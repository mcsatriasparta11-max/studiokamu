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FA17B54-3E53-465C-B81B-462E1D42AC47}" xr6:coauthVersionLast="47" xr6:coauthVersionMax="47" xr10:uidLastSave="{00000000-0000-0000-0000-000000000000}"/>
  <bookViews>
    <workbookView xWindow="-120" yWindow="-120" windowWidth="29040" windowHeight="15720" xr2:uid="{955C4C9D-398B-4F95-86F6-2612D06FC6D9}"/>
  </bookViews>
  <sheets>
    <sheet name="rekapan max llg" sheetId="1" r:id="rId1"/>
    <sheet name="stock" sheetId="3" r:id="rId2"/>
    <sheet name="Sheet2" sheetId="6" r:id="rId3"/>
  </sheets>
  <definedNames>
    <definedName name="_xlnm._FilterDatabase" localSheetId="1" hidden="1">stock!$A$1:$C$9840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6" i="1"/>
  <c r="R4" i="1"/>
  <c r="R3" i="1"/>
  <c r="D263" i="1"/>
  <c r="D156" i="1"/>
  <c r="D331" i="1"/>
  <c r="D506" i="1"/>
  <c r="D255" i="1"/>
  <c r="D787" i="1"/>
  <c r="D827" i="1"/>
  <c r="D433" i="1"/>
  <c r="D300" i="1"/>
  <c r="D585" i="1"/>
  <c r="D963" i="1"/>
  <c r="D621" i="1"/>
  <c r="G621" i="1" s="1"/>
  <c r="D302" i="1"/>
  <c r="G302" i="1" s="1"/>
  <c r="D572" i="1"/>
  <c r="D571" i="1"/>
  <c r="H571" i="1" s="1"/>
  <c r="D931" i="1"/>
  <c r="H931" i="1" s="1"/>
  <c r="D697" i="1"/>
  <c r="D401" i="1"/>
  <c r="D154" i="1"/>
  <c r="D751" i="1"/>
  <c r="D407" i="1"/>
  <c r="D189" i="1"/>
  <c r="D880" i="1"/>
  <c r="D152" i="1"/>
  <c r="D447" i="1"/>
  <c r="D496" i="1"/>
  <c r="D857" i="1"/>
  <c r="D140" i="1"/>
  <c r="D820" i="1"/>
  <c r="D264" i="1"/>
  <c r="D696" i="1"/>
  <c r="D871" i="1"/>
  <c r="D605" i="1"/>
  <c r="D896" i="1"/>
  <c r="D307" i="1"/>
  <c r="D623" i="1"/>
  <c r="D600" i="1"/>
  <c r="D395" i="1"/>
  <c r="D555" i="1"/>
  <c r="D2" i="1"/>
  <c r="D610" i="1"/>
  <c r="D599" i="1"/>
  <c r="D542" i="1"/>
  <c r="D162" i="1"/>
  <c r="D481" i="1"/>
  <c r="D856" i="1"/>
  <c r="D734" i="1"/>
  <c r="D756" i="1"/>
  <c r="D3" i="1"/>
  <c r="D611" i="1"/>
  <c r="H611" i="1" s="1"/>
  <c r="D669" i="1"/>
  <c r="D926" i="1"/>
  <c r="H926" i="1" s="1"/>
  <c r="D432" i="1"/>
  <c r="H432" i="1" s="1"/>
  <c r="D354" i="1"/>
  <c r="D272" i="1"/>
  <c r="D4" i="1"/>
  <c r="G4" i="1" s="1"/>
  <c r="D872" i="1"/>
  <c r="G872" i="1" s="1"/>
  <c r="D431" i="1"/>
  <c r="D329" i="1"/>
  <c r="D664" i="1"/>
  <c r="D628" i="1"/>
  <c r="D771" i="1"/>
  <c r="D229" i="1"/>
  <c r="D5" i="1"/>
  <c r="G5" i="1" s="1"/>
  <c r="D639" i="1"/>
  <c r="D394" i="1"/>
  <c r="H394" i="1" s="1"/>
  <c r="D701" i="1"/>
  <c r="D6" i="1"/>
  <c r="G6" i="1" s="1"/>
  <c r="D472" i="1"/>
  <c r="D971" i="1"/>
  <c r="H971" i="1" s="1"/>
  <c r="D261" i="1"/>
  <c r="D647" i="1"/>
  <c r="H647" i="1" s="1"/>
  <c r="D968" i="1"/>
  <c r="H968" i="1" s="1"/>
  <c r="D301" i="1"/>
  <c r="G301" i="1" s="1"/>
  <c r="D7" i="1"/>
  <c r="D8" i="1"/>
  <c r="D294" i="1"/>
  <c r="D541" i="1"/>
  <c r="D476" i="1"/>
  <c r="D929" i="1"/>
  <c r="D142" i="1"/>
  <c r="D916" i="1"/>
  <c r="D1001" i="1"/>
  <c r="D9" i="1"/>
  <c r="H9" i="1" s="1"/>
  <c r="D10" i="1"/>
  <c r="D355" i="1"/>
  <c r="D471" i="1"/>
  <c r="D778" i="1"/>
  <c r="D356" i="1"/>
  <c r="D305" i="1"/>
  <c r="G305" i="1" s="1"/>
  <c r="D463" i="1"/>
  <c r="G463" i="1" s="1"/>
  <c r="D234" i="1"/>
  <c r="D523" i="1"/>
  <c r="D309" i="1"/>
  <c r="D956" i="1"/>
  <c r="D797" i="1"/>
  <c r="D655" i="1"/>
  <c r="D680" i="1"/>
  <c r="D412" i="1"/>
  <c r="D406" i="1"/>
  <c r="D342" i="1"/>
  <c r="D11" i="1"/>
  <c r="D12" i="1"/>
  <c r="D679" i="1"/>
  <c r="D825" i="1"/>
  <c r="D511" i="1"/>
  <c r="H511" i="1" s="1"/>
  <c r="D843" i="1"/>
  <c r="D765" i="1"/>
  <c r="D228" i="1"/>
  <c r="D484" i="1"/>
  <c r="D138" i="1"/>
  <c r="G138" i="1" s="1"/>
  <c r="D13" i="1"/>
  <c r="D155" i="1"/>
  <c r="G155" i="1" s="1"/>
  <c r="D534" i="1"/>
  <c r="D882" i="1"/>
  <c r="D378" i="1"/>
  <c r="D702" i="1"/>
  <c r="D253" i="1"/>
  <c r="D665" i="1"/>
  <c r="D160" i="1"/>
  <c r="D286" i="1"/>
  <c r="D211" i="1"/>
  <c r="D257" i="1"/>
  <c r="D944" i="1"/>
  <c r="G944" i="1" s="1"/>
  <c r="D310" i="1"/>
  <c r="D178" i="1"/>
  <c r="G178" i="1" s="1"/>
  <c r="D14" i="1"/>
  <c r="D815" i="1"/>
  <c r="D976" i="1"/>
  <c r="D148" i="1"/>
  <c r="G148" i="1" s="1"/>
  <c r="D598" i="1"/>
  <c r="G598" i="1" s="1"/>
  <c r="D488" i="1"/>
  <c r="D450" i="1"/>
  <c r="G450" i="1" s="1"/>
  <c r="D172" i="1"/>
  <c r="G172" i="1" s="1"/>
  <c r="D227" i="1"/>
  <c r="D417" i="1"/>
  <c r="D593" i="1"/>
  <c r="D15" i="1"/>
  <c r="D970" i="1"/>
  <c r="D767" i="1"/>
  <c r="D938" i="1"/>
  <c r="D667" i="1"/>
  <c r="D887" i="1"/>
  <c r="D16" i="1"/>
  <c r="H16" i="1" s="1"/>
  <c r="D198" i="1"/>
  <c r="D328" i="1"/>
  <c r="H328" i="1" s="1"/>
  <c r="D646" i="1"/>
  <c r="D408" i="1"/>
  <c r="G408" i="1" s="1"/>
  <c r="D579" i="1"/>
  <c r="D158" i="1"/>
  <c r="G158" i="1" s="1"/>
  <c r="D398" i="1"/>
  <c r="G398" i="1" s="1"/>
  <c r="D763" i="1"/>
  <c r="D167" i="1"/>
  <c r="G167" i="1" s="1"/>
  <c r="D531" i="1"/>
  <c r="D565" i="1"/>
  <c r="D413" i="1"/>
  <c r="D445" i="1"/>
  <c r="D442" i="1"/>
  <c r="D17" i="1"/>
  <c r="D660" i="1"/>
  <c r="D469" i="1"/>
  <c r="D923" i="1"/>
  <c r="D535" i="1"/>
  <c r="D642" i="1"/>
  <c r="G642" i="1" s="1"/>
  <c r="D478" i="1"/>
  <c r="D861" i="1"/>
  <c r="H861" i="1" s="1"/>
  <c r="D18" i="1"/>
  <c r="D159" i="1"/>
  <c r="D19" i="1"/>
  <c r="D384" i="1"/>
  <c r="G384" i="1" s="1"/>
  <c r="D437" i="1"/>
  <c r="D676" i="1"/>
  <c r="G676" i="1" s="1"/>
  <c r="D539" i="1"/>
  <c r="H539" i="1" s="1"/>
  <c r="D266" i="1"/>
  <c r="D129" i="1"/>
  <c r="D573" i="1"/>
  <c r="D512" i="1"/>
  <c r="D544" i="1"/>
  <c r="D554" i="1"/>
  <c r="D522" i="1"/>
  <c r="D312" i="1"/>
  <c r="D20" i="1"/>
  <c r="D746" i="1"/>
  <c r="D334" i="1"/>
  <c r="H334" i="1" s="1"/>
  <c r="D866" i="1"/>
  <c r="D950" i="1"/>
  <c r="G950" i="1" s="1"/>
  <c r="D903" i="1"/>
  <c r="D409" i="1"/>
  <c r="G409" i="1" s="1"/>
  <c r="D900" i="1"/>
  <c r="D474" i="1"/>
  <c r="G474" i="1" s="1"/>
  <c r="D197" i="1"/>
  <c r="G197" i="1" s="1"/>
  <c r="D276" i="1"/>
  <c r="H276" i="1" s="1"/>
  <c r="D441" i="1"/>
  <c r="D742" i="1"/>
  <c r="D343" i="1"/>
  <c r="D937" i="1"/>
  <c r="D21" i="1"/>
  <c r="D232" i="1"/>
  <c r="D899" i="1"/>
  <c r="D602" i="1"/>
  <c r="D22" i="1"/>
  <c r="D698" i="1"/>
  <c r="D161" i="1"/>
  <c r="D869" i="1"/>
  <c r="G869" i="1" s="1"/>
  <c r="D23" i="1"/>
  <c r="D939" i="1"/>
  <c r="H939" i="1" s="1"/>
  <c r="D930" i="1"/>
  <c r="D390" i="1"/>
  <c r="D920" i="1"/>
  <c r="D577" i="1"/>
  <c r="G577" i="1" s="1"/>
  <c r="D883" i="1"/>
  <c r="H883" i="1" s="1"/>
  <c r="D927" i="1"/>
  <c r="D494" i="1"/>
  <c r="D177" i="1"/>
  <c r="D845" i="1"/>
  <c r="D128" i="1"/>
  <c r="D24" i="1"/>
  <c r="D383" i="1"/>
  <c r="D974" i="1"/>
  <c r="D960" i="1"/>
  <c r="D491" i="1"/>
  <c r="D562" i="1"/>
  <c r="H562" i="1" s="1"/>
  <c r="D428" i="1"/>
  <c r="D319" i="1"/>
  <c r="G319" i="1" s="1"/>
  <c r="D549" i="1"/>
  <c r="D999" i="1"/>
  <c r="D25" i="1"/>
  <c r="D911" i="1"/>
  <c r="H911" i="1" s="1"/>
  <c r="D26" i="1"/>
  <c r="D682" i="1"/>
  <c r="D953" i="1"/>
  <c r="H953" i="1" s="1"/>
  <c r="D891" i="1"/>
  <c r="H891" i="1" s="1"/>
  <c r="D513" i="1"/>
  <c r="G513" i="1" s="1"/>
  <c r="D967" i="1"/>
  <c r="H967" i="1" s="1"/>
  <c r="D537" i="1"/>
  <c r="D418" i="1"/>
  <c r="D826" i="1"/>
  <c r="D738" i="1"/>
  <c r="D248" i="1"/>
  <c r="D464" i="1"/>
  <c r="D176" i="1"/>
  <c r="D894" i="1"/>
  <c r="G894" i="1" s="1"/>
  <c r="D901" i="1"/>
  <c r="D322" i="1"/>
  <c r="G322" i="1" s="1"/>
  <c r="D256" i="1"/>
  <c r="D192" i="1"/>
  <c r="G192" i="1" s="1"/>
  <c r="D279" i="1"/>
  <c r="D536" i="1"/>
  <c r="D878" i="1"/>
  <c r="D935" i="1"/>
  <c r="H935" i="1" s="1"/>
  <c r="D854" i="1"/>
  <c r="G854" i="1" s="1"/>
  <c r="D392" i="1"/>
  <c r="H392" i="1" s="1"/>
  <c r="D387" i="1"/>
  <c r="G387" i="1" s="1"/>
  <c r="D27" i="1"/>
  <c r="H27" i="1" s="1"/>
  <c r="D817" i="1"/>
  <c r="D393" i="1"/>
  <c r="D659" i="1"/>
  <c r="D149" i="1"/>
  <c r="D906" i="1"/>
  <c r="D754" i="1"/>
  <c r="D168" i="1"/>
  <c r="D473" i="1"/>
  <c r="D191" i="1"/>
  <c r="D448" i="1"/>
  <c r="D969" i="1"/>
  <c r="D921" i="1"/>
  <c r="G921" i="1" s="1"/>
  <c r="D524" i="1"/>
  <c r="D485" i="1"/>
  <c r="H485" i="1" s="1"/>
  <c r="D381" i="1"/>
  <c r="D796" i="1"/>
  <c r="G796" i="1" s="1"/>
  <c r="D703" i="1"/>
  <c r="H703" i="1" s="1"/>
  <c r="D653" i="1"/>
  <c r="D823" i="1"/>
  <c r="H823" i="1" s="1"/>
  <c r="D886" i="1"/>
  <c r="D637" i="1"/>
  <c r="H637" i="1" s="1"/>
  <c r="D978" i="1"/>
  <c r="D617" i="1"/>
  <c r="D806" i="1"/>
  <c r="D28" i="1"/>
  <c r="D521" i="1"/>
  <c r="D520" i="1"/>
  <c r="D251" i="1"/>
  <c r="H251" i="1" s="1"/>
  <c r="D373" i="1"/>
  <c r="D946" i="1"/>
  <c r="H946" i="1" s="1"/>
  <c r="D204" i="1"/>
  <c r="D273" i="1"/>
  <c r="H273" i="1" s="1"/>
  <c r="D29" i="1"/>
  <c r="D317" i="1"/>
  <c r="G317" i="1" s="1"/>
  <c r="D483" i="1"/>
  <c r="D126" i="1"/>
  <c r="D30" i="1"/>
  <c r="H30" i="1" s="1"/>
  <c r="D566" i="1"/>
  <c r="H566" i="1" s="1"/>
  <c r="D668" i="1"/>
  <c r="G668" i="1" s="1"/>
  <c r="D357" i="1"/>
  <c r="D185" i="1"/>
  <c r="D816" i="1"/>
  <c r="D984" i="1"/>
  <c r="D547" i="1"/>
  <c r="D296" i="1"/>
  <c r="D704" i="1"/>
  <c r="D246" i="1"/>
  <c r="D877" i="1"/>
  <c r="D247" i="1"/>
  <c r="D163" i="1"/>
  <c r="D666" i="1"/>
  <c r="D444" i="1"/>
  <c r="H444" i="1" s="1"/>
  <c r="D231" i="1"/>
  <c r="D419" i="1"/>
  <c r="D440" i="1"/>
  <c r="D648" i="1"/>
  <c r="D831" i="1"/>
  <c r="D675" i="1"/>
  <c r="D580" i="1"/>
  <c r="D546" i="1"/>
  <c r="D399" i="1"/>
  <c r="D153" i="1"/>
  <c r="D618" i="1"/>
  <c r="D804" i="1"/>
  <c r="D735" i="1"/>
  <c r="D31" i="1"/>
  <c r="D652" i="1"/>
  <c r="D141" i="1"/>
  <c r="D32" i="1"/>
  <c r="D932" i="1"/>
  <c r="D289" i="1"/>
  <c r="D788" i="1"/>
  <c r="D657" i="1"/>
  <c r="H657" i="1" s="1"/>
  <c r="D727" i="1"/>
  <c r="D292" i="1"/>
  <c r="G292" i="1" s="1"/>
  <c r="D991" i="1"/>
  <c r="D33" i="1"/>
  <c r="D948" i="1"/>
  <c r="D358" i="1"/>
  <c r="D721" i="1"/>
  <c r="D983" i="1"/>
  <c r="D34" i="1"/>
  <c r="D651" i="1"/>
  <c r="D705" i="1"/>
  <c r="D396" i="1"/>
  <c r="D35" i="1"/>
  <c r="D36" i="1"/>
  <c r="D420" i="1"/>
  <c r="D205" i="1"/>
  <c r="D359" i="1"/>
  <c r="D37" i="1"/>
  <c r="G37" i="1" s="1"/>
  <c r="D875" i="1"/>
  <c r="D607" i="1"/>
  <c r="H607" i="1" s="1"/>
  <c r="D864" i="1"/>
  <c r="D591" i="1"/>
  <c r="H591" i="1" s="1"/>
  <c r="D779" i="1"/>
  <c r="D217" i="1"/>
  <c r="D634" i="1"/>
  <c r="D164" i="1"/>
  <c r="D941" i="1"/>
  <c r="D458" i="1"/>
  <c r="D774" i="1"/>
  <c r="D807" i="1"/>
  <c r="D755" i="1"/>
  <c r="D38" i="1"/>
  <c r="D949" i="1"/>
  <c r="D414" i="1"/>
  <c r="D497" i="1"/>
  <c r="H497" i="1" s="1"/>
  <c r="D819" i="1"/>
  <c r="H819" i="1" s="1"/>
  <c r="D374" i="1"/>
  <c r="D988" i="1"/>
  <c r="D224" i="1"/>
  <c r="D757" i="1"/>
  <c r="D942" i="1"/>
  <c r="D594" i="1"/>
  <c r="D39" i="1"/>
  <c r="D548" i="1"/>
  <c r="D808" i="1"/>
  <c r="D423" i="1"/>
  <c r="D146" i="1"/>
  <c r="D40" i="1"/>
  <c r="D41" i="1"/>
  <c r="D468" i="1"/>
  <c r="D683" i="1"/>
  <c r="D514" i="1"/>
  <c r="D706" i="1"/>
  <c r="D860" i="1"/>
  <c r="D223" i="1"/>
  <c r="H223" i="1" s="1"/>
  <c r="D841" i="1"/>
  <c r="G841" i="1" s="1"/>
  <c r="D525" i="1"/>
  <c r="D42" i="1"/>
  <c r="D258" i="1"/>
  <c r="D885" i="1"/>
  <c r="D43" i="1"/>
  <c r="D295" i="1"/>
  <c r="D44" i="1"/>
  <c r="D249" i="1"/>
  <c r="D426" i="1"/>
  <c r="D622" i="1"/>
  <c r="D400" i="1"/>
  <c r="D335" i="1"/>
  <c r="D888" i="1"/>
  <c r="D219" i="1"/>
  <c r="H219" i="1" s="1"/>
  <c r="D45" i="1"/>
  <c r="D46" i="1"/>
  <c r="D237" i="1"/>
  <c r="D574" i="1"/>
  <c r="D945" i="1"/>
  <c r="G945" i="1" s="1"/>
  <c r="D212" i="1"/>
  <c r="D465" i="1"/>
  <c r="H465" i="1" s="1"/>
  <c r="D280" i="1"/>
  <c r="H280" i="1" s="1"/>
  <c r="D681" i="1"/>
  <c r="D803" i="1"/>
  <c r="D233" i="1"/>
  <c r="H233" i="1" s="1"/>
  <c r="D438" i="1"/>
  <c r="D892" i="1"/>
  <c r="D918" i="1"/>
  <c r="D688" i="1"/>
  <c r="D802" i="1"/>
  <c r="D789" i="1"/>
  <c r="D47" i="1"/>
  <c r="H47" i="1" s="1"/>
  <c r="D360" i="1"/>
  <c r="D134" i="1"/>
  <c r="D907" i="1"/>
  <c r="D235" i="1"/>
  <c r="D320" i="1"/>
  <c r="D48" i="1"/>
  <c r="D670" i="1"/>
  <c r="D510" i="1"/>
  <c r="D410" i="1"/>
  <c r="D132" i="1"/>
  <c r="D186" i="1"/>
  <c r="D638" i="1"/>
  <c r="D139" i="1"/>
  <c r="G139" i="1" s="1"/>
  <c r="D49" i="1"/>
  <c r="D753" i="1"/>
  <c r="D629" i="1"/>
  <c r="D274" i="1"/>
  <c r="D685" i="1"/>
  <c r="G685" i="1" s="1"/>
  <c r="D144" i="1"/>
  <c r="D731" i="1"/>
  <c r="D50" i="1"/>
  <c r="D799" i="1"/>
  <c r="D254" i="1"/>
  <c r="D730" i="1"/>
  <c r="D784" i="1"/>
  <c r="D532" i="1"/>
  <c r="D361" i="1"/>
  <c r="G361" i="1" s="1"/>
  <c r="D649" i="1"/>
  <c r="D801" i="1"/>
  <c r="D744" i="1"/>
  <c r="D759" i="1"/>
  <c r="D265" i="1"/>
  <c r="D673" i="1"/>
  <c r="H673" i="1" s="1"/>
  <c r="D745" i="1"/>
  <c r="D200" i="1"/>
  <c r="D206" i="1"/>
  <c r="D125" i="1"/>
  <c r="D954" i="1"/>
  <c r="D293" i="1"/>
  <c r="D604" i="1"/>
  <c r="D147" i="1"/>
  <c r="D492" i="1"/>
  <c r="D613" i="1"/>
  <c r="D402" i="1"/>
  <c r="D791" i="1"/>
  <c r="D207" i="1"/>
  <c r="D558" i="1"/>
  <c r="G558" i="1" s="1"/>
  <c r="D975" i="1"/>
  <c r="D304" i="1"/>
  <c r="D690" i="1"/>
  <c r="D632" i="1"/>
  <c r="D982" i="1"/>
  <c r="D790" i="1"/>
  <c r="D985" i="1"/>
  <c r="D707" i="1"/>
  <c r="D725" i="1"/>
  <c r="D466" i="1"/>
  <c r="D51" i="1"/>
  <c r="D238" i="1"/>
  <c r="D460" i="1"/>
  <c r="D814" i="1"/>
  <c r="D52" i="1"/>
  <c r="D389" i="1"/>
  <c r="D166" i="1"/>
  <c r="D362" i="1"/>
  <c r="D379" i="1"/>
  <c r="D965" i="1"/>
  <c r="D53" i="1"/>
  <c r="D157" i="1"/>
  <c r="D538" i="1"/>
  <c r="D446" i="1"/>
  <c r="D561" i="1"/>
  <c r="D913" i="1"/>
  <c r="D575" i="1"/>
  <c r="D684" i="1"/>
  <c r="D487" i="1"/>
  <c r="D527" i="1"/>
  <c r="D347" i="1"/>
  <c r="D239" i="1"/>
  <c r="D507" i="1"/>
  <c r="G507" i="1" s="1"/>
  <c r="D499" i="1"/>
  <c r="D811" i="1"/>
  <c r="D54" i="1"/>
  <c r="D552" i="1"/>
  <c r="D287" i="1"/>
  <c r="D852" i="1"/>
  <c r="D297" i="1"/>
  <c r="D226" i="1"/>
  <c r="D55" i="1"/>
  <c r="D225" i="1"/>
  <c r="D723" i="1"/>
  <c r="D750" i="1"/>
  <c r="D708" i="1"/>
  <c r="D299" i="1"/>
  <c r="D262" i="1"/>
  <c r="D325" i="1"/>
  <c r="D493" i="1"/>
  <c r="D829" i="1"/>
  <c r="D230" i="1"/>
  <c r="D56" i="1"/>
  <c r="D397" i="1"/>
  <c r="D57" i="1"/>
  <c r="D917" i="1"/>
  <c r="D570" i="1"/>
  <c r="D914" i="1"/>
  <c r="D933" i="1"/>
  <c r="D661" i="1"/>
  <c r="D994" i="1"/>
  <c r="D844" i="1"/>
  <c r="D729" i="1"/>
  <c r="D338" i="1"/>
  <c r="D928" i="1"/>
  <c r="D303" i="1"/>
  <c r="D171" i="1"/>
  <c r="D620" i="1"/>
  <c r="D58" i="1"/>
  <c r="D311" i="1"/>
  <c r="D59" i="1"/>
  <c r="D641" i="1"/>
  <c r="G641" i="1" s="1"/>
  <c r="D957" i="1"/>
  <c r="D60" i="1"/>
  <c r="D135" i="1"/>
  <c r="D614" i="1"/>
  <c r="D363" i="1"/>
  <c r="D633" i="1"/>
  <c r="D848" i="1"/>
  <c r="D777" i="1"/>
  <c r="D990" i="1"/>
  <c r="D959" i="1"/>
  <c r="D587" i="1"/>
  <c r="D193" i="1"/>
  <c r="H193" i="1" s="1"/>
  <c r="D612" i="1"/>
  <c r="D595" i="1"/>
  <c r="D333" i="1"/>
  <c r="D898" i="1"/>
  <c r="D509" i="1"/>
  <c r="D951" i="1"/>
  <c r="D762" i="1"/>
  <c r="H762" i="1" s="1"/>
  <c r="D832" i="1"/>
  <c r="D694" i="1"/>
  <c r="D61" i="1"/>
  <c r="D686" i="1"/>
  <c r="D691" i="1"/>
  <c r="D480" i="1"/>
  <c r="D709" i="1"/>
  <c r="D336" i="1"/>
  <c r="D603" i="1"/>
  <c r="H603" i="1" s="1"/>
  <c r="D986" i="1"/>
  <c r="D952" i="1"/>
  <c r="D62" i="1"/>
  <c r="D63" i="1"/>
  <c r="D337" i="1"/>
  <c r="D761" i="1"/>
  <c r="D758" i="1"/>
  <c r="D64" i="1"/>
  <c r="D65" i="1"/>
  <c r="D658" i="1"/>
  <c r="D809" i="1"/>
  <c r="D732" i="1"/>
  <c r="D987" i="1"/>
  <c r="D180" i="1"/>
  <c r="D581" i="1"/>
  <c r="D461" i="1"/>
  <c r="D912" i="1"/>
  <c r="H912" i="1" s="1"/>
  <c r="D636" i="1"/>
  <c r="D847" i="1"/>
  <c r="D650" i="1"/>
  <c r="D908" i="1"/>
  <c r="D136" i="1"/>
  <c r="D567" i="1"/>
  <c r="D316" i="1"/>
  <c r="D353" i="1"/>
  <c r="D515" i="1"/>
  <c r="D710" i="1"/>
  <c r="D277" i="1"/>
  <c r="D371" i="1"/>
  <c r="D66" i="1"/>
  <c r="H66" i="1" s="1"/>
  <c r="D321" i="1"/>
  <c r="D403" i="1"/>
  <c r="D67" i="1"/>
  <c r="D711" i="1"/>
  <c r="D291" i="1"/>
  <c r="D838" i="1"/>
  <c r="D68" i="1"/>
  <c r="D503" i="1"/>
  <c r="D69" i="1"/>
  <c r="D435" i="1"/>
  <c r="D752" i="1"/>
  <c r="D543" i="1"/>
  <c r="D269" i="1"/>
  <c r="D451" i="1"/>
  <c r="D372" i="1"/>
  <c r="D281" i="1"/>
  <c r="D624" i="1"/>
  <c r="D556" i="1"/>
  <c r="D220" i="1"/>
  <c r="D934" i="1"/>
  <c r="D712" i="1"/>
  <c r="D213" i="1"/>
  <c r="D770" i="1"/>
  <c r="D452" i="1"/>
  <c r="D597" i="1"/>
  <c r="D70" i="1"/>
  <c r="D979" i="1"/>
  <c r="D748" i="1"/>
  <c r="D71" i="1"/>
  <c r="D375" i="1"/>
  <c r="D250" i="1"/>
  <c r="D671" i="1"/>
  <c r="D72" i="1"/>
  <c r="D421" i="1"/>
  <c r="D133" i="1"/>
  <c r="D516" i="1"/>
  <c r="D143" i="1"/>
  <c r="D73" i="1"/>
  <c r="D453" i="1"/>
  <c r="D203" i="1"/>
  <c r="D724" i="1"/>
  <c r="G724" i="1" s="1"/>
  <c r="D434" i="1"/>
  <c r="H434" i="1" s="1"/>
  <c r="D905" i="1"/>
  <c r="D662" i="1"/>
  <c r="D966" i="1"/>
  <c r="D208" i="1"/>
  <c r="D416" i="1"/>
  <c r="D699" i="1"/>
  <c r="H699" i="1" s="1"/>
  <c r="D813" i="1"/>
  <c r="D792" i="1"/>
  <c r="D713" i="1"/>
  <c r="D678" i="1"/>
  <c r="D202" i="1"/>
  <c r="D74" i="1"/>
  <c r="D495" i="1"/>
  <c r="D443" i="1"/>
  <c r="D526" i="1"/>
  <c r="D995" i="1"/>
  <c r="D75" i="1"/>
  <c r="D654" i="1"/>
  <c r="D456" i="1"/>
  <c r="D282" i="1"/>
  <c r="D364" i="1"/>
  <c r="D973" i="1"/>
  <c r="D267" i="1"/>
  <c r="D781" i="1"/>
  <c r="D550" i="1"/>
  <c r="H550" i="1" s="1"/>
  <c r="D498" i="1"/>
  <c r="D924" i="1"/>
  <c r="D793" i="1"/>
  <c r="D339" i="1"/>
  <c r="D268" i="1"/>
  <c r="D76" i="1"/>
  <c r="D380" i="1"/>
  <c r="D313" i="1"/>
  <c r="H313" i="1" s="1"/>
  <c r="D625" i="1"/>
  <c r="D760" i="1"/>
  <c r="D137" i="1"/>
  <c r="D785" i="1"/>
  <c r="D462" i="1"/>
  <c r="D910" i="1"/>
  <c r="D77" i="1"/>
  <c r="D218" i="1"/>
  <c r="D596" i="1"/>
  <c r="D348" i="1"/>
  <c r="D818" i="1"/>
  <c r="D692" i="1"/>
  <c r="D78" i="1"/>
  <c r="D376" i="1"/>
  <c r="D993" i="1"/>
  <c r="D551" i="1"/>
  <c r="D489" i="1"/>
  <c r="D644" i="1"/>
  <c r="D196" i="1"/>
  <c r="H196" i="1" s="1"/>
  <c r="D388" i="1"/>
  <c r="D79" i="1"/>
  <c r="D80" i="1"/>
  <c r="D773" i="1"/>
  <c r="D640" i="1"/>
  <c r="D81" i="1"/>
  <c r="D977" i="1"/>
  <c r="D897" i="1"/>
  <c r="D323" i="1"/>
  <c r="D324" i="1"/>
  <c r="D936" i="1"/>
  <c r="D528" i="1"/>
  <c r="D502" i="1"/>
  <c r="D794" i="1"/>
  <c r="D349" i="1"/>
  <c r="D998" i="1"/>
  <c r="D943" i="1"/>
  <c r="D187" i="1"/>
  <c r="D839" i="1"/>
  <c r="D508" i="1"/>
  <c r="D879" i="1"/>
  <c r="H879" i="1" s="1"/>
  <c r="D582" i="1"/>
  <c r="D833" i="1"/>
  <c r="D82" i="1"/>
  <c r="H82" i="1" s="1"/>
  <c r="D609" i="1"/>
  <c r="H609" i="1" s="1"/>
  <c r="D83" i="1"/>
  <c r="D314" i="1"/>
  <c r="D182" i="1"/>
  <c r="D84" i="1"/>
  <c r="D85" i="1"/>
  <c r="D672" i="1"/>
  <c r="D179" i="1"/>
  <c r="D564" i="1"/>
  <c r="D86" i="1"/>
  <c r="D298" i="1"/>
  <c r="D590" i="1"/>
  <c r="D87" i="1"/>
  <c r="D722" i="1"/>
  <c r="D972" i="1"/>
  <c r="D145" i="1"/>
  <c r="D626" i="1"/>
  <c r="D606" i="1"/>
  <c r="D714" i="1"/>
  <c r="D553" i="1"/>
  <c r="H553" i="1" s="1"/>
  <c r="D884" i="1"/>
  <c r="D630" i="1"/>
  <c r="D842" i="1"/>
  <c r="D890" i="1"/>
  <c r="D422" i="1"/>
  <c r="D764" i="1"/>
  <c r="D557" i="1"/>
  <c r="D766" i="1"/>
  <c r="D868" i="1"/>
  <c r="D846" i="1"/>
  <c r="D88" i="1"/>
  <c r="D619" i="1"/>
  <c r="D850" i="1"/>
  <c r="D288" i="1"/>
  <c r="D715" i="1"/>
  <c r="D615" i="1"/>
  <c r="D529" i="1"/>
  <c r="G529" i="1" s="1"/>
  <c r="D870" i="1"/>
  <c r="D635" i="1"/>
  <c r="D904" i="1"/>
  <c r="D89" i="1"/>
  <c r="D188" i="1"/>
  <c r="D341" i="1"/>
  <c r="H341" i="1" s="1"/>
  <c r="D181" i="1"/>
  <c r="D517" i="1"/>
  <c r="D989" i="1"/>
  <c r="D881" i="1"/>
  <c r="D352" i="1"/>
  <c r="D689" i="1"/>
  <c r="D940" i="1"/>
  <c r="D150" i="1"/>
  <c r="D919" i="1"/>
  <c r="D449" i="1"/>
  <c r="D430" i="1"/>
  <c r="D795" i="1"/>
  <c r="D482" i="1"/>
  <c r="D867" i="1"/>
  <c r="D501" i="1"/>
  <c r="D865" i="1"/>
  <c r="D716" i="1"/>
  <c r="D828" i="1"/>
  <c r="H828" i="1" s="1"/>
  <c r="D90" i="1"/>
  <c r="D996" i="1"/>
  <c r="D601" i="1"/>
  <c r="D365" i="1"/>
  <c r="D91" i="1"/>
  <c r="D834" i="1"/>
  <c r="D592" i="1"/>
  <c r="D739" i="1"/>
  <c r="D736" i="1"/>
  <c r="D199" i="1"/>
  <c r="D350" i="1"/>
  <c r="D306" i="1"/>
  <c r="D240" i="1"/>
  <c r="D925" i="1"/>
  <c r="D859" i="1"/>
  <c r="D415" i="1"/>
  <c r="D853" i="1"/>
  <c r="H853" i="1" s="1"/>
  <c r="D283" i="1"/>
  <c r="D717" i="1"/>
  <c r="H717" i="1" s="1"/>
  <c r="D92" i="1"/>
  <c r="H92" i="1" s="1"/>
  <c r="D174" i="1"/>
  <c r="D241" i="1"/>
  <c r="D93" i="1"/>
  <c r="D876" i="1"/>
  <c r="D576" i="1"/>
  <c r="D94" i="1"/>
  <c r="D173" i="1"/>
  <c r="D958" i="1"/>
  <c r="D835" i="1"/>
  <c r="D786" i="1"/>
  <c r="D873" i="1"/>
  <c r="D798" i="1"/>
  <c r="D124" i="1"/>
  <c r="D486" i="1"/>
  <c r="D947" i="1"/>
  <c r="D127" i="1"/>
  <c r="D427" i="1"/>
  <c r="D405" i="1"/>
  <c r="D344" i="1"/>
  <c r="D961" i="1"/>
  <c r="D366" i="1"/>
  <c r="D215" i="1"/>
  <c r="D656" i="1"/>
  <c r="D252" i="1"/>
  <c r="D822" i="1"/>
  <c r="D980" i="1"/>
  <c r="D782" i="1"/>
  <c r="D964" i="1"/>
  <c r="D95" i="1"/>
  <c r="D96" i="1"/>
  <c r="G96" i="1" s="1"/>
  <c r="D209" i="1"/>
  <c r="D851" i="1"/>
  <c r="D588" i="1"/>
  <c r="D97" i="1"/>
  <c r="D718" i="1"/>
  <c r="D290" i="1"/>
  <c r="D367" i="1"/>
  <c r="H367" i="1" s="1"/>
  <c r="D98" i="1"/>
  <c r="D568" i="1"/>
  <c r="D824" i="1"/>
  <c r="D377" i="1"/>
  <c r="D560" i="1"/>
  <c r="D184" i="1"/>
  <c r="D747" i="1"/>
  <c r="D99" i="1"/>
  <c r="D500" i="1"/>
  <c r="D100" i="1"/>
  <c r="D101" i="1"/>
  <c r="D470" i="1"/>
  <c r="D800" i="1"/>
  <c r="D222" i="1"/>
  <c r="D981" i="1"/>
  <c r="D391" i="1"/>
  <c r="D330" i="1"/>
  <c r="D805" i="1"/>
  <c r="D902" i="1"/>
  <c r="D368" i="1"/>
  <c r="D102" i="1"/>
  <c r="D893" i="1"/>
  <c r="D439" i="1"/>
  <c r="D130" i="1"/>
  <c r="D743" i="1"/>
  <c r="D351" i="1"/>
  <c r="D278" i="1"/>
  <c r="D103" i="1"/>
  <c r="D104" i="1"/>
  <c r="D275" i="1"/>
  <c r="D955" i="1"/>
  <c r="D836" i="1"/>
  <c r="D105" i="1"/>
  <c r="D242" i="1"/>
  <c r="D733" i="1"/>
  <c r="D106" i="1"/>
  <c r="D271" i="1"/>
  <c r="D821" i="1"/>
  <c r="D895" i="1"/>
  <c r="D475" i="1"/>
  <c r="D107" i="1"/>
  <c r="D108" i="1"/>
  <c r="D201" i="1"/>
  <c r="D504" i="1"/>
  <c r="D284" i="1"/>
  <c r="D109" i="1"/>
  <c r="D260" i="1"/>
  <c r="D810" i="1"/>
  <c r="D308" i="1"/>
  <c r="D110" i="1"/>
  <c r="D645" i="1"/>
  <c r="D195" i="1"/>
  <c r="D477" i="1"/>
  <c r="D270" i="1"/>
  <c r="D584" i="1"/>
  <c r="D583" i="1"/>
  <c r="D737" i="1"/>
  <c r="D345" i="1"/>
  <c r="D837" i="1"/>
  <c r="D862" i="1"/>
  <c r="D740" i="1"/>
  <c r="D111" i="1"/>
  <c r="D962" i="1"/>
  <c r="D404" i="1"/>
  <c r="D221" i="1"/>
  <c r="D385" i="1"/>
  <c r="D530" i="1"/>
  <c r="D332" i="1"/>
  <c r="D340" i="1"/>
  <c r="D719" i="1"/>
  <c r="D726" i="1"/>
  <c r="D775" i="1"/>
  <c r="D424" i="1"/>
  <c r="G424" i="1" s="1"/>
  <c r="D559" i="1"/>
  <c r="D327" i="1"/>
  <c r="D855" i="1"/>
  <c r="D169" i="1"/>
  <c r="D749" i="1"/>
  <c r="D131" i="1"/>
  <c r="D545" i="1"/>
  <c r="D631" i="1"/>
  <c r="D992" i="1"/>
  <c r="H992" i="1" s="1"/>
  <c r="D243" i="1"/>
  <c r="D285" i="1"/>
  <c r="D183" i="1"/>
  <c r="D112" i="1"/>
  <c r="D113" i="1"/>
  <c r="D114" i="1"/>
  <c r="D772" i="1"/>
  <c r="D863" i="1"/>
  <c r="D889" i="1"/>
  <c r="D429" i="1"/>
  <c r="D858" i="1"/>
  <c r="D728" i="1"/>
  <c r="D115" i="1"/>
  <c r="D563" i="1"/>
  <c r="D175" i="1"/>
  <c r="D216" i="1"/>
  <c r="H216" i="1" s="1"/>
  <c r="D616" i="1"/>
  <c r="D116" i="1"/>
  <c r="D214" i="1"/>
  <c r="D117" i="1"/>
  <c r="D467" i="1"/>
  <c r="D812" i="1"/>
  <c r="D776" i="1"/>
  <c r="D687" i="1"/>
  <c r="D915" i="1"/>
  <c r="H915" i="1" s="1"/>
  <c r="D578" i="1"/>
  <c r="D783" i="1"/>
  <c r="D608" i="1"/>
  <c r="D780" i="1"/>
  <c r="D118" i="1"/>
  <c r="D643" i="1"/>
  <c r="D490" i="1"/>
  <c r="D741" i="1"/>
  <c r="D244" i="1"/>
  <c r="D245" i="1"/>
  <c r="D236" i="1"/>
  <c r="D677" i="1"/>
  <c r="D874" i="1"/>
  <c r="D519" i="1"/>
  <c r="D479" i="1"/>
  <c r="D346" i="1"/>
  <c r="D505" i="1"/>
  <c r="D674" i="1"/>
  <c r="D997" i="1"/>
  <c r="D119" i="1"/>
  <c r="D411" i="1"/>
  <c r="D830" i="1"/>
  <c r="D190" i="1"/>
  <c r="D120" i="1"/>
  <c r="H120" i="1" s="1"/>
  <c r="D769" i="1"/>
  <c r="D457" i="1"/>
  <c r="D170" i="1"/>
  <c r="D259" i="1"/>
  <c r="D540" i="1"/>
  <c r="D663" i="1"/>
  <c r="D369" i="1"/>
  <c r="D840" i="1"/>
  <c r="D382" i="1"/>
  <c r="D569" i="1"/>
  <c r="D318" i="1"/>
  <c r="D627" i="1"/>
  <c r="D459" i="1"/>
  <c r="D693" i="1"/>
  <c r="D695" i="1"/>
  <c r="D589" i="1"/>
  <c r="D700" i="1"/>
  <c r="D386" i="1"/>
  <c r="D370" i="1"/>
  <c r="D1000" i="1"/>
  <c r="D768" i="1"/>
  <c r="D121" i="1"/>
  <c r="D909" i="1"/>
  <c r="D436" i="1"/>
  <c r="D122" i="1"/>
  <c r="D922" i="1"/>
  <c r="D165" i="1"/>
  <c r="D849" i="1"/>
  <c r="D425" i="1"/>
  <c r="D315" i="1"/>
  <c r="D586" i="1"/>
  <c r="D454" i="1"/>
  <c r="D533" i="1"/>
  <c r="D194" i="1"/>
  <c r="D455" i="1"/>
  <c r="D518" i="1"/>
  <c r="D720" i="1"/>
  <c r="D123" i="1"/>
  <c r="D151" i="1"/>
  <c r="D326" i="1"/>
  <c r="D210" i="1"/>
  <c r="H204" i="1"/>
  <c r="G251" i="1"/>
  <c r="H473" i="1"/>
  <c r="G473" i="1"/>
  <c r="H256" i="1"/>
  <c r="H901" i="1"/>
  <c r="G901" i="1"/>
  <c r="H894" i="1"/>
  <c r="G428" i="1"/>
  <c r="H930" i="1"/>
  <c r="H161" i="1"/>
  <c r="G161" i="1"/>
  <c r="H698" i="1"/>
  <c r="G698" i="1"/>
  <c r="H903" i="1"/>
  <c r="H746" i="1"/>
  <c r="G746" i="1"/>
  <c r="G535" i="1"/>
  <c r="H923" i="1"/>
  <c r="G923" i="1"/>
  <c r="H198" i="1"/>
  <c r="G198" i="1"/>
  <c r="H887" i="1"/>
  <c r="G887" i="1"/>
  <c r="H598" i="1"/>
  <c r="G310" i="1"/>
  <c r="H138" i="1"/>
  <c r="G765" i="1"/>
  <c r="G843" i="1"/>
  <c r="H825" i="1"/>
  <c r="G825" i="1"/>
  <c r="H471" i="1"/>
  <c r="H10" i="1"/>
  <c r="G10" i="1"/>
  <c r="H916" i="1"/>
  <c r="G916" i="1"/>
  <c r="H261" i="1"/>
  <c r="G261" i="1"/>
  <c r="H701" i="1"/>
  <c r="G229" i="1"/>
  <c r="G611" i="1"/>
  <c r="H696" i="1"/>
  <c r="G264" i="1"/>
  <c r="H857" i="1"/>
  <c r="H447" i="1"/>
  <c r="G447" i="1"/>
  <c r="H302" i="1"/>
  <c r="H156" i="1"/>
  <c r="G156" i="1"/>
  <c r="H263" i="1"/>
  <c r="G263" i="1"/>
  <c r="H381" i="1"/>
  <c r="H192" i="1"/>
  <c r="H820" i="1"/>
  <c r="H264" i="1"/>
  <c r="H765" i="1"/>
  <c r="H331" i="1"/>
  <c r="H585" i="1"/>
  <c r="H976" i="1"/>
  <c r="H428" i="1"/>
  <c r="H229" i="1"/>
  <c r="H878" i="1"/>
  <c r="H950" i="1"/>
  <c r="H25" i="1"/>
  <c r="H29" i="1"/>
  <c r="H257" i="1"/>
  <c r="H843" i="1"/>
  <c r="H317" i="1"/>
  <c r="H409" i="1"/>
  <c r="H228" i="1"/>
  <c r="H356" i="1"/>
  <c r="H579" i="1"/>
  <c r="H14" i="1"/>
  <c r="H483" i="1"/>
  <c r="H866" i="1"/>
  <c r="H373" i="1"/>
  <c r="H920" i="1"/>
  <c r="H310" i="1"/>
  <c r="H535" i="1"/>
  <c r="H279" i="1"/>
  <c r="G820" i="1"/>
  <c r="G696" i="1"/>
  <c r="G331" i="1"/>
  <c r="G585" i="1"/>
  <c r="G204" i="1"/>
  <c r="G976" i="1"/>
  <c r="G971" i="1"/>
  <c r="G328" i="1"/>
  <c r="G878" i="1"/>
  <c r="G857" i="1"/>
  <c r="G471" i="1"/>
  <c r="G25" i="1"/>
  <c r="G256" i="1"/>
  <c r="G911" i="1"/>
  <c r="G29" i="1"/>
  <c r="G701" i="1"/>
  <c r="G257" i="1"/>
  <c r="G394" i="1"/>
  <c r="G228" i="1"/>
  <c r="G939" i="1"/>
  <c r="G381" i="1"/>
  <c r="G356" i="1"/>
  <c r="G579" i="1"/>
  <c r="G14" i="1"/>
  <c r="G483" i="1"/>
  <c r="G866" i="1"/>
  <c r="G373" i="1"/>
  <c r="G920" i="1"/>
  <c r="G930" i="1"/>
  <c r="G279" i="1"/>
  <c r="G903" i="1"/>
  <c r="H450" i="1" l="1"/>
  <c r="G926" i="1"/>
  <c r="H513" i="1"/>
  <c r="G432" i="1"/>
  <c r="G392" i="1"/>
  <c r="G968" i="1"/>
  <c r="G539" i="1"/>
  <c r="G276" i="1"/>
  <c r="H5" i="1"/>
  <c r="H319" i="1"/>
  <c r="G9" i="1"/>
  <c r="G16" i="1"/>
  <c r="H322" i="1"/>
  <c r="G946" i="1"/>
  <c r="G334" i="1"/>
  <c r="H869" i="1"/>
  <c r="H642" i="1"/>
  <c r="H944" i="1"/>
  <c r="G861" i="1"/>
  <c r="H158" i="1"/>
  <c r="H796" i="1"/>
  <c r="G935" i="1"/>
  <c r="G273" i="1"/>
  <c r="G511" i="1"/>
  <c r="H921" i="1"/>
  <c r="H178" i="1"/>
  <c r="G562" i="1"/>
  <c r="H172" i="1"/>
  <c r="H384" i="1"/>
  <c r="H148" i="1"/>
  <c r="H305" i="1"/>
  <c r="H301" i="1"/>
  <c r="H854" i="1"/>
  <c r="G953" i="1"/>
  <c r="G703" i="1"/>
  <c r="H398" i="1"/>
  <c r="H197" i="1"/>
  <c r="G883" i="1"/>
  <c r="G30" i="1"/>
  <c r="H155" i="1"/>
  <c r="H167" i="1"/>
  <c r="H6" i="1"/>
  <c r="H408" i="1"/>
  <c r="G485" i="1"/>
  <c r="H387" i="1"/>
  <c r="H676" i="1"/>
  <c r="G647" i="1"/>
  <c r="G891" i="1"/>
  <c r="G591" i="1"/>
  <c r="H641" i="1"/>
  <c r="H668" i="1"/>
  <c r="G823" i="1"/>
  <c r="G566" i="1"/>
  <c r="H945" i="1"/>
  <c r="G550" i="1"/>
  <c r="G120" i="1"/>
  <c r="G434" i="1"/>
  <c r="G465" i="1"/>
  <c r="G497" i="1"/>
  <c r="G223" i="1"/>
  <c r="G607" i="1"/>
  <c r="H363" i="1"/>
  <c r="G498" i="1"/>
  <c r="G363" i="1"/>
  <c r="G312" i="1"/>
  <c r="H784" i="1"/>
  <c r="H168" i="1"/>
  <c r="H362" i="1"/>
  <c r="G709" i="1"/>
  <c r="H429" i="1"/>
  <c r="G480" i="1"/>
  <c r="G142" i="1"/>
  <c r="H286" i="1"/>
  <c r="H872" i="1"/>
  <c r="G809" i="1"/>
  <c r="G933" i="1"/>
  <c r="H532" i="1"/>
  <c r="G912" i="1"/>
  <c r="G532" i="1"/>
  <c r="H960" i="1"/>
  <c r="G207" i="1"/>
  <c r="H666" i="1"/>
  <c r="G168" i="1"/>
  <c r="G362" i="1"/>
  <c r="G914" i="1"/>
  <c r="H480" i="1"/>
  <c r="G286" i="1"/>
  <c r="H491" i="1"/>
  <c r="H357" i="1"/>
  <c r="G852" i="1"/>
  <c r="H150" i="1"/>
  <c r="H342" i="1"/>
  <c r="G342" i="1"/>
  <c r="H633" i="1"/>
  <c r="G572" i="1"/>
  <c r="H464" i="1"/>
  <c r="G822" i="1"/>
  <c r="G347" i="1"/>
  <c r="G772" i="1"/>
  <c r="G464" i="1"/>
  <c r="G7" i="1"/>
  <c r="H627" i="1"/>
  <c r="H400" i="1"/>
  <c r="G775" i="1"/>
  <c r="H312" i="1"/>
  <c r="H142" i="1"/>
  <c r="H177" i="1"/>
  <c r="G246" i="1"/>
  <c r="G491" i="1"/>
  <c r="G940" i="1"/>
  <c r="H551" i="1"/>
  <c r="H889" i="1"/>
  <c r="G897" i="1"/>
  <c r="G296" i="1"/>
  <c r="H572" i="1"/>
  <c r="H7" i="1"/>
  <c r="H775" i="1"/>
  <c r="H602" i="1"/>
  <c r="G960" i="1"/>
  <c r="H520" i="1"/>
  <c r="G520" i="1"/>
  <c r="G339" i="1"/>
  <c r="H95" i="1"/>
  <c r="G633" i="1"/>
  <c r="G95" i="1"/>
  <c r="H295" i="1"/>
  <c r="H176" i="1"/>
  <c r="H396" i="1"/>
  <c r="G8" i="1"/>
  <c r="H200" i="1"/>
  <c r="H582" i="1"/>
  <c r="H882" i="1"/>
  <c r="H508" i="1"/>
  <c r="G466" i="1"/>
  <c r="G753" i="1"/>
  <c r="G882" i="1"/>
  <c r="H860" i="1"/>
  <c r="H660" i="1"/>
  <c r="H40" i="1"/>
  <c r="H537" i="1"/>
  <c r="H848" i="1"/>
  <c r="G660" i="1"/>
  <c r="H735" i="1"/>
  <c r="H692" i="1"/>
  <c r="H22" i="1"/>
  <c r="G847" i="1"/>
  <c r="H933" i="1"/>
  <c r="G237" i="1"/>
  <c r="H498" i="1"/>
  <c r="G602" i="1"/>
  <c r="G784" i="1"/>
  <c r="H914" i="1"/>
  <c r="G571" i="1"/>
  <c r="G564" i="1"/>
  <c r="G692" i="1"/>
  <c r="G22" i="1"/>
  <c r="H742" i="1"/>
  <c r="G308" i="1"/>
  <c r="H700" i="1"/>
  <c r="G810" i="1"/>
  <c r="G397" i="1"/>
  <c r="G770" i="1"/>
  <c r="H996" i="1"/>
  <c r="H505" i="1"/>
  <c r="H174" i="1"/>
  <c r="H654" i="1"/>
  <c r="G203" i="1"/>
  <c r="H934" i="1"/>
  <c r="H658" i="1"/>
  <c r="H493" i="1"/>
  <c r="G125" i="1"/>
  <c r="G274" i="1"/>
  <c r="H426" i="1"/>
  <c r="H675" i="1"/>
  <c r="G201" i="1"/>
  <c r="H961" i="1"/>
  <c r="G65" i="1"/>
  <c r="G712" i="1"/>
  <c r="G117" i="1"/>
  <c r="H893" i="1"/>
  <c r="G568" i="1"/>
  <c r="H344" i="1"/>
  <c r="H137" i="1"/>
  <c r="G39" i="1"/>
  <c r="H569" i="1"/>
  <c r="H353" i="1"/>
  <c r="H369" i="1"/>
  <c r="G615" i="1"/>
  <c r="G821" i="1"/>
  <c r="G588" i="1"/>
  <c r="H124" i="1"/>
  <c r="G943" i="1"/>
  <c r="H435" i="1"/>
  <c r="G379" i="1"/>
  <c r="G881" i="1"/>
  <c r="G104" i="1"/>
  <c r="G336" i="1"/>
  <c r="G713" i="1"/>
  <c r="G979" i="1"/>
  <c r="H769" i="1"/>
  <c r="H801" i="1"/>
  <c r="H834" i="1"/>
  <c r="G583" i="1"/>
  <c r="H244" i="1"/>
  <c r="G957" i="1"/>
  <c r="H932" i="1"/>
  <c r="H37" i="1"/>
  <c r="H729" i="1"/>
  <c r="G932" i="1"/>
  <c r="H157" i="1"/>
  <c r="G157" i="1"/>
  <c r="G755" i="1"/>
  <c r="H99" i="1"/>
  <c r="H766" i="1"/>
  <c r="G766" i="1"/>
  <c r="H103" i="1"/>
  <c r="G103" i="1"/>
  <c r="H678" i="1"/>
  <c r="G289" i="1"/>
  <c r="G666" i="1"/>
  <c r="G818" i="1"/>
  <c r="G479" i="1"/>
  <c r="G225" i="1"/>
  <c r="H179" i="1"/>
  <c r="H752" i="1"/>
  <c r="H576" i="1"/>
  <c r="H578" i="1"/>
  <c r="G429" i="1"/>
  <c r="G179" i="1"/>
  <c r="G744" i="1"/>
  <c r="G752" i="1"/>
  <c r="G576" i="1"/>
  <c r="G578" i="1"/>
  <c r="G619" i="1"/>
  <c r="H881" i="1"/>
  <c r="H713" i="1"/>
  <c r="H35" i="1"/>
  <c r="H50" i="1"/>
  <c r="G275" i="1"/>
  <c r="H613" i="1"/>
  <c r="H755" i="1"/>
  <c r="H360" i="1"/>
  <c r="H888" i="1"/>
  <c r="G959" i="1"/>
  <c r="H732" i="1"/>
  <c r="G951" i="1"/>
  <c r="H289" i="1"/>
  <c r="H304" i="1"/>
  <c r="H628" i="1"/>
  <c r="G929" i="1"/>
  <c r="G444" i="1"/>
  <c r="G182" i="1"/>
  <c r="G986" i="1"/>
  <c r="H55" i="1"/>
  <c r="H213" i="1"/>
  <c r="G150" i="1"/>
  <c r="G298" i="1"/>
  <c r="G860" i="1"/>
  <c r="G380" i="1"/>
  <c r="G55" i="1"/>
  <c r="G213" i="1"/>
  <c r="G124" i="1"/>
  <c r="G879" i="1"/>
  <c r="G548" i="1"/>
  <c r="H119" i="1"/>
  <c r="H296" i="1"/>
  <c r="G974" i="1"/>
  <c r="H554" i="1"/>
  <c r="G970" i="1"/>
  <c r="G977" i="1"/>
  <c r="H439" i="1"/>
  <c r="H316" i="1"/>
  <c r="G91" i="1"/>
  <c r="G508" i="1"/>
  <c r="G76" i="1"/>
  <c r="H822" i="1"/>
  <c r="H772" i="1"/>
  <c r="H397" i="1"/>
  <c r="G525" i="1"/>
  <c r="G952" i="1"/>
  <c r="G436" i="1"/>
  <c r="H115" i="1"/>
  <c r="H327" i="1"/>
  <c r="G851" i="1"/>
  <c r="H994" i="1"/>
  <c r="G341" i="1"/>
  <c r="H460" i="1"/>
  <c r="H965" i="1"/>
  <c r="G460" i="1"/>
  <c r="H411" i="1"/>
  <c r="G199" i="1"/>
  <c r="H88" i="1"/>
  <c r="H924" i="1"/>
  <c r="H207" i="1"/>
  <c r="G910" i="1"/>
  <c r="G942" i="1"/>
  <c r="H335" i="1"/>
  <c r="H500" i="1"/>
  <c r="H788" i="1"/>
  <c r="H33" i="1"/>
  <c r="H340" i="1"/>
  <c r="H987" i="1"/>
  <c r="G119" i="1"/>
  <c r="G735" i="1"/>
  <c r="G335" i="1"/>
  <c r="G980" i="1"/>
  <c r="G33" i="1"/>
  <c r="G340" i="1"/>
  <c r="G987" i="1"/>
  <c r="H430" i="1"/>
  <c r="H791" i="1"/>
  <c r="H44" i="1"/>
  <c r="H404" i="1"/>
  <c r="H287" i="1"/>
  <c r="G92" i="1"/>
  <c r="G889" i="1"/>
  <c r="H868" i="1"/>
  <c r="H514" i="1"/>
  <c r="G791" i="1"/>
  <c r="G786" i="1"/>
  <c r="G689" i="1"/>
  <c r="G404" i="1"/>
  <c r="G287" i="1"/>
  <c r="H36" i="1"/>
  <c r="H96" i="1"/>
  <c r="H779" i="1"/>
  <c r="H424" i="1"/>
  <c r="H318" i="1"/>
  <c r="H957" i="1"/>
  <c r="G173" i="1"/>
  <c r="H683" i="1"/>
  <c r="G346" i="1"/>
  <c r="G318" i="1"/>
  <c r="H824" i="1"/>
  <c r="H618" i="1"/>
  <c r="G824" i="1"/>
  <c r="H180" i="1"/>
  <c r="G34" i="1"/>
  <c r="G153" i="1"/>
  <c r="G828" i="1"/>
  <c r="G67" i="1"/>
  <c r="G238" i="1"/>
  <c r="H144" i="1"/>
  <c r="G789" i="1"/>
  <c r="G146" i="1"/>
  <c r="H802" i="1"/>
  <c r="H164" i="1"/>
  <c r="H366" i="1"/>
  <c r="G519" i="1"/>
  <c r="G631" i="1"/>
  <c r="G740" i="1"/>
  <c r="H102" i="1"/>
  <c r="H98" i="1"/>
  <c r="H714" i="1"/>
  <c r="G171" i="1"/>
  <c r="H299" i="1"/>
  <c r="H745" i="1"/>
  <c r="H49" i="1"/>
  <c r="G453" i="1"/>
  <c r="H201" i="1"/>
  <c r="H210" i="1"/>
  <c r="H116" i="1"/>
  <c r="G545" i="1"/>
  <c r="G475" i="1"/>
  <c r="H516" i="1"/>
  <c r="G281" i="1"/>
  <c r="G790" i="1"/>
  <c r="G439" i="1"/>
  <c r="G174" i="1"/>
  <c r="G834" i="1"/>
  <c r="H810" i="1"/>
  <c r="H31" i="1"/>
  <c r="H840" i="1"/>
  <c r="G677" i="1"/>
  <c r="H895" i="1"/>
  <c r="H290" i="1"/>
  <c r="H127" i="1"/>
  <c r="H626" i="1"/>
  <c r="H495" i="1"/>
  <c r="G928" i="1"/>
  <c r="G805" i="1"/>
  <c r="G364" i="1"/>
  <c r="H715" i="1"/>
  <c r="G280" i="1"/>
  <c r="G240" i="1"/>
  <c r="G383" i="1"/>
  <c r="H544" i="1"/>
  <c r="G665" i="1"/>
  <c r="H412" i="1"/>
  <c r="G476" i="1"/>
  <c r="H664" i="1"/>
  <c r="H984" i="1"/>
  <c r="H617" i="1"/>
  <c r="G24" i="1"/>
  <c r="G21" i="1"/>
  <c r="H512" i="1"/>
  <c r="G593" i="1"/>
  <c r="G680" i="1"/>
  <c r="G541" i="1"/>
  <c r="G555" i="1"/>
  <c r="G154" i="1"/>
  <c r="H829" i="1"/>
  <c r="H954" i="1"/>
  <c r="H616" i="1"/>
  <c r="G862" i="1"/>
  <c r="G368" i="1"/>
  <c r="G904" i="1"/>
  <c r="G75" i="1"/>
  <c r="H220" i="1"/>
  <c r="G509" i="1"/>
  <c r="H311" i="1"/>
  <c r="H527" i="1"/>
  <c r="G423" i="1"/>
  <c r="G745" i="1"/>
  <c r="G673" i="1"/>
  <c r="G554" i="1"/>
  <c r="G675" i="1"/>
  <c r="H165" i="1"/>
  <c r="H236" i="1"/>
  <c r="H867" i="1"/>
  <c r="H635" i="1"/>
  <c r="H833" i="1"/>
  <c r="H380" i="1"/>
  <c r="H942" i="1"/>
  <c r="G495" i="1"/>
  <c r="H821" i="1"/>
  <c r="G718" i="1"/>
  <c r="G482" i="1"/>
  <c r="G582" i="1"/>
  <c r="G526" i="1"/>
  <c r="G710" i="1"/>
  <c r="G620" i="1"/>
  <c r="G262" i="1"/>
  <c r="G200" i="1"/>
  <c r="H753" i="1"/>
  <c r="G44" i="1"/>
  <c r="H548" i="1"/>
  <c r="H721" i="1"/>
  <c r="H546" i="1"/>
  <c r="H185" i="1"/>
  <c r="G637" i="1"/>
  <c r="H817" i="1"/>
  <c r="G537" i="1"/>
  <c r="H845" i="1"/>
  <c r="G343" i="1"/>
  <c r="H565" i="1"/>
  <c r="H797" i="1"/>
  <c r="H8" i="1"/>
  <c r="H188" i="1"/>
  <c r="H974" i="1"/>
  <c r="G785" i="1"/>
  <c r="H906" i="1"/>
  <c r="G313" i="1"/>
  <c r="G906" i="1"/>
  <c r="G705" i="1"/>
  <c r="G779" i="1"/>
  <c r="G612" i="1"/>
  <c r="H913" i="1"/>
  <c r="G344" i="1"/>
  <c r="G913" i="1"/>
  <c r="H406" i="1"/>
  <c r="H620" i="1"/>
  <c r="H800" i="1"/>
  <c r="G360" i="1"/>
  <c r="G888" i="1"/>
  <c r="G337" i="1"/>
  <c r="G63" i="1"/>
  <c r="G38" i="1"/>
  <c r="G406" i="1"/>
  <c r="G626" i="1"/>
  <c r="H67" i="1"/>
  <c r="H577" i="1"/>
  <c r="H943" i="1"/>
  <c r="H474" i="1"/>
  <c r="G546" i="1"/>
  <c r="H171" i="1"/>
  <c r="H275" i="1"/>
  <c r="H689" i="1"/>
  <c r="H76" i="1"/>
  <c r="H726" i="1"/>
  <c r="H349" i="1"/>
  <c r="G792" i="1"/>
  <c r="G777" i="1"/>
  <c r="H975" i="1"/>
  <c r="H297" i="1"/>
  <c r="G732" i="1"/>
  <c r="G299" i="1"/>
  <c r="G47" i="1"/>
  <c r="G965" i="1"/>
  <c r="H147" i="1"/>
  <c r="H908" i="1"/>
  <c r="H813" i="1"/>
  <c r="H468" i="1"/>
  <c r="H694" i="1"/>
  <c r="H929" i="1"/>
  <c r="H794" i="1"/>
  <c r="G42" i="1"/>
  <c r="G990" i="1"/>
  <c r="G147" i="1"/>
  <c r="G468" i="1"/>
  <c r="G265" i="1"/>
  <c r="H379" i="1"/>
  <c r="H17" i="1"/>
  <c r="H479" i="1"/>
  <c r="H709" i="1"/>
  <c r="H463" i="1"/>
  <c r="H225" i="1"/>
  <c r="H977" i="1"/>
  <c r="G297" i="1"/>
  <c r="H970" i="1"/>
  <c r="G430" i="1"/>
  <c r="G628" i="1"/>
  <c r="G169" i="1"/>
  <c r="G17" i="1"/>
  <c r="H575" i="1"/>
  <c r="H706" i="1"/>
  <c r="G217" i="1"/>
  <c r="H580" i="1"/>
  <c r="G580" i="1"/>
  <c r="G372" i="1"/>
  <c r="G353" i="1"/>
  <c r="G233" i="1"/>
  <c r="H795" i="1"/>
  <c r="H855" i="1"/>
  <c r="H388" i="1"/>
  <c r="H459" i="1"/>
  <c r="H215" i="1"/>
  <c r="H241" i="1"/>
  <c r="H57" i="1"/>
  <c r="H492" i="1"/>
  <c r="G795" i="1"/>
  <c r="G97" i="1"/>
  <c r="G106" i="1"/>
  <c r="H594" i="1"/>
  <c r="H708" i="1"/>
  <c r="H182" i="1"/>
  <c r="G594" i="1"/>
  <c r="G31" i="1"/>
  <c r="G271" i="1"/>
  <c r="H39" i="1"/>
  <c r="H897" i="1"/>
  <c r="H292" i="1"/>
  <c r="H790" i="1"/>
  <c r="H364" i="1"/>
  <c r="H621" i="1"/>
  <c r="G807" i="1"/>
  <c r="H705" i="1"/>
  <c r="G144" i="1"/>
  <c r="G2" i="1"/>
  <c r="H2" i="1"/>
  <c r="H146" i="1"/>
  <c r="G88" i="1"/>
  <c r="H153" i="1"/>
  <c r="H540" i="1"/>
  <c r="H169" i="1"/>
  <c r="G330" i="1"/>
  <c r="H281" i="1"/>
  <c r="G49" i="1"/>
  <c r="H143" i="1"/>
  <c r="G143" i="1"/>
  <c r="G817" i="1"/>
  <c r="H741" i="1"/>
  <c r="H372" i="1"/>
  <c r="H612" i="1"/>
  <c r="G253" i="1"/>
  <c r="H253" i="1"/>
  <c r="G490" i="1"/>
  <c r="G584" i="1"/>
  <c r="G733" i="1"/>
  <c r="H306" i="1"/>
  <c r="G715" i="1"/>
  <c r="G972" i="1"/>
  <c r="H644" i="1"/>
  <c r="H421" i="1"/>
  <c r="G421" i="1"/>
  <c r="H63" i="1"/>
  <c r="G750" i="1"/>
  <c r="H750" i="1"/>
  <c r="H561" i="1"/>
  <c r="H982" i="1"/>
  <c r="H265" i="1"/>
  <c r="G638" i="1"/>
  <c r="H638" i="1"/>
  <c r="G462" i="1"/>
  <c r="H462" i="1"/>
  <c r="G185" i="1"/>
  <c r="H482" i="1"/>
  <c r="H262" i="1"/>
  <c r="H533" i="1"/>
  <c r="G992" i="1"/>
  <c r="G853" i="1"/>
  <c r="G845" i="1"/>
  <c r="G412" i="1"/>
  <c r="H383" i="1"/>
  <c r="H339" i="1"/>
  <c r="H744" i="1"/>
  <c r="H712" i="1"/>
  <c r="H892" i="1"/>
  <c r="G892" i="1"/>
  <c r="G544" i="1"/>
  <c r="G797" i="1"/>
  <c r="H805" i="1"/>
  <c r="H710" i="1"/>
  <c r="H685" i="1"/>
  <c r="G762" i="1"/>
  <c r="G870" i="1"/>
  <c r="H870" i="1"/>
  <c r="H964" i="1"/>
  <c r="G958" i="1"/>
  <c r="H958" i="1"/>
  <c r="G739" i="1"/>
  <c r="H739" i="1"/>
  <c r="H940" i="1"/>
  <c r="H298" i="1"/>
  <c r="G603" i="1"/>
  <c r="G994" i="1"/>
  <c r="H226" i="1"/>
  <c r="G649" i="1"/>
  <c r="H525" i="1"/>
  <c r="H988" i="1"/>
  <c r="G214" i="1"/>
  <c r="H214" i="1"/>
  <c r="H774" i="1"/>
  <c r="G774" i="1"/>
  <c r="H519" i="1"/>
  <c r="G783" i="1"/>
  <c r="G863" i="1"/>
  <c r="H863" i="1"/>
  <c r="H719" i="1"/>
  <c r="H100" i="1"/>
  <c r="H782" i="1"/>
  <c r="G782" i="1"/>
  <c r="H173" i="1"/>
  <c r="G846" i="1"/>
  <c r="G794" i="1"/>
  <c r="G630" i="1"/>
  <c r="H630" i="1"/>
  <c r="G100" i="1"/>
  <c r="G664" i="1"/>
  <c r="H347" i="1"/>
  <c r="H104" i="1"/>
  <c r="G500" i="1"/>
  <c r="H352" i="1"/>
  <c r="G868" i="1"/>
  <c r="H852" i="1"/>
  <c r="G726" i="1"/>
  <c r="G721" i="1"/>
  <c r="H783" i="1"/>
  <c r="H568" i="1"/>
  <c r="H846" i="1"/>
  <c r="H665" i="1"/>
  <c r="G99" i="1"/>
  <c r="G719" i="1"/>
  <c r="H718" i="1"/>
  <c r="H526" i="1"/>
  <c r="H108" i="1"/>
  <c r="G108" i="1"/>
  <c r="G865" i="1"/>
  <c r="H859" i="1"/>
  <c r="G859" i="1"/>
  <c r="G164" i="1"/>
  <c r="H343" i="1"/>
  <c r="H743" i="1"/>
  <c r="H422" i="1"/>
  <c r="H323" i="1"/>
  <c r="H973" i="1"/>
  <c r="H662" i="1"/>
  <c r="H452" i="1"/>
  <c r="H711" i="1"/>
  <c r="H60" i="1"/>
  <c r="H811" i="1"/>
  <c r="H52" i="1"/>
  <c r="H799" i="1"/>
  <c r="H792" i="1"/>
  <c r="H593" i="1"/>
  <c r="G964" i="1"/>
  <c r="G226" i="1"/>
  <c r="G618" i="1"/>
  <c r="G565" i="1"/>
  <c r="G804" i="1"/>
  <c r="H97" i="1"/>
  <c r="G516" i="1"/>
  <c r="G855" i="1"/>
  <c r="H583" i="1"/>
  <c r="H588" i="1"/>
  <c r="H240" i="1"/>
  <c r="G145" i="1"/>
  <c r="H337" i="1"/>
  <c r="G708" i="1"/>
  <c r="H139" i="1"/>
  <c r="H217" i="1"/>
  <c r="G769" i="1"/>
  <c r="H118" i="1"/>
  <c r="H786" i="1"/>
  <c r="H199" i="1"/>
  <c r="G850" i="1"/>
  <c r="G87" i="1"/>
  <c r="G551" i="1"/>
  <c r="G678" i="1"/>
  <c r="H952" i="1"/>
  <c r="H959" i="1"/>
  <c r="G729" i="1"/>
  <c r="H538" i="1"/>
  <c r="G538" i="1"/>
  <c r="G132" i="1"/>
  <c r="H132" i="1"/>
  <c r="H757" i="1"/>
  <c r="H780" i="1"/>
  <c r="H619" i="1"/>
  <c r="G908" i="1"/>
  <c r="H986" i="1"/>
  <c r="H990" i="1"/>
  <c r="G304" i="1"/>
  <c r="G801" i="1"/>
  <c r="H42" i="1"/>
  <c r="G657" i="1"/>
  <c r="G813" i="1"/>
  <c r="H69" i="1"/>
  <c r="H847" i="1"/>
  <c r="H336" i="1"/>
  <c r="G848" i="1"/>
  <c r="H558" i="1"/>
  <c r="H361" i="1"/>
  <c r="H841" i="1"/>
  <c r="G788" i="1"/>
  <c r="G700" i="1"/>
  <c r="H308" i="1"/>
  <c r="H980" i="1"/>
  <c r="H564" i="1"/>
  <c r="G699" i="1"/>
  <c r="G819" i="1"/>
  <c r="H91" i="1"/>
  <c r="H818" i="1"/>
  <c r="H416" i="1"/>
  <c r="H979" i="1"/>
  <c r="H237" i="1"/>
  <c r="G997" i="1"/>
  <c r="H687" i="1"/>
  <c r="G530" i="1"/>
  <c r="G260" i="1"/>
  <c r="G252" i="1"/>
  <c r="G876" i="1"/>
  <c r="H989" i="1"/>
  <c r="H557" i="1"/>
  <c r="G672" i="1"/>
  <c r="H936" i="1"/>
  <c r="H208" i="1"/>
  <c r="G70" i="1"/>
  <c r="H461" i="1"/>
  <c r="H691" i="1"/>
  <c r="G614" i="1"/>
  <c r="G570" i="1"/>
  <c r="H552" i="1"/>
  <c r="H235" i="1"/>
  <c r="H46" i="1"/>
  <c r="G32" i="1"/>
  <c r="H163" i="1"/>
  <c r="H54" i="1"/>
  <c r="H389" i="1"/>
  <c r="H254" i="1"/>
  <c r="H907" i="1"/>
  <c r="H45" i="1"/>
  <c r="H949" i="1"/>
  <c r="H141" i="1"/>
  <c r="H247" i="1"/>
  <c r="H877" i="1"/>
  <c r="G118" i="1"/>
  <c r="H145" i="1"/>
  <c r="H90" i="1"/>
  <c r="G780" i="1"/>
  <c r="H346" i="1"/>
  <c r="H285" i="1"/>
  <c r="G366" i="1"/>
  <c r="H770" i="1"/>
  <c r="G694" i="1"/>
  <c r="G50" i="1"/>
  <c r="H38" i="1"/>
  <c r="G35" i="1"/>
  <c r="H246" i="1"/>
  <c r="G176" i="1"/>
  <c r="G11" i="1"/>
  <c r="G627" i="1"/>
  <c r="G285" i="1"/>
  <c r="G90" i="1"/>
  <c r="H117" i="1"/>
  <c r="G961" i="1"/>
  <c r="H910" i="1"/>
  <c r="H507" i="1"/>
  <c r="G396" i="1"/>
  <c r="G235" i="1"/>
  <c r="G557" i="1"/>
  <c r="G936" i="1"/>
  <c r="H570" i="1"/>
  <c r="G982" i="1"/>
  <c r="G163" i="1"/>
  <c r="H997" i="1"/>
  <c r="H70" i="1"/>
  <c r="H530" i="1"/>
  <c r="G954" i="1"/>
  <c r="G40" i="1"/>
  <c r="H87" i="1"/>
  <c r="H649" i="1"/>
  <c r="H789" i="1"/>
  <c r="H252" i="1"/>
  <c r="G552" i="1"/>
  <c r="G706" i="1"/>
  <c r="H807" i="1"/>
  <c r="G691" i="1"/>
  <c r="G327" i="1"/>
  <c r="G717" i="1"/>
  <c r="G975" i="1"/>
  <c r="H777" i="1"/>
  <c r="G989" i="1"/>
  <c r="G46" i="1"/>
  <c r="H238" i="1"/>
  <c r="G461" i="1"/>
  <c r="H672" i="1"/>
  <c r="H804" i="1"/>
  <c r="G193" i="1"/>
  <c r="G757" i="1"/>
  <c r="H851" i="1"/>
  <c r="H809" i="1"/>
  <c r="H584" i="1"/>
  <c r="H260" i="1"/>
  <c r="H32" i="1"/>
  <c r="G188" i="1"/>
  <c r="G400" i="1"/>
  <c r="G569" i="1"/>
  <c r="G988" i="1"/>
  <c r="G435" i="1"/>
  <c r="H850" i="1"/>
  <c r="H724" i="1"/>
  <c r="G69" i="1"/>
  <c r="H928" i="1"/>
  <c r="H11" i="1"/>
  <c r="H476" i="1"/>
  <c r="G115" i="1"/>
  <c r="G349" i="1"/>
  <c r="H614" i="1"/>
  <c r="G893" i="1"/>
  <c r="G800" i="1"/>
  <c r="G658" i="1"/>
  <c r="H203" i="1"/>
  <c r="G616" i="1"/>
  <c r="H274" i="1"/>
  <c r="H487" i="1"/>
  <c r="G487" i="1"/>
  <c r="H978" i="1"/>
  <c r="G978" i="1"/>
  <c r="H904" i="1"/>
  <c r="H75" i="1"/>
  <c r="H509" i="1"/>
  <c r="G177" i="1"/>
  <c r="H270" i="1"/>
  <c r="G270" i="1"/>
  <c r="H242" i="1"/>
  <c r="G242" i="1"/>
  <c r="H873" i="1"/>
  <c r="G873" i="1"/>
  <c r="H288" i="1"/>
  <c r="G288" i="1"/>
  <c r="H722" i="1"/>
  <c r="G722" i="1"/>
  <c r="H202" i="1"/>
  <c r="G202" i="1"/>
  <c r="H72" i="1"/>
  <c r="G72" i="1"/>
  <c r="H587" i="1"/>
  <c r="G587" i="1"/>
  <c r="H723" i="1"/>
  <c r="G723" i="1"/>
  <c r="H446" i="1"/>
  <c r="G446" i="1"/>
  <c r="H632" i="1"/>
  <c r="G632" i="1"/>
  <c r="H681" i="1"/>
  <c r="G681" i="1"/>
  <c r="H885" i="1"/>
  <c r="G885" i="1"/>
  <c r="H680" i="1"/>
  <c r="H209" i="1"/>
  <c r="G209" i="1"/>
  <c r="G840" i="1"/>
  <c r="G244" i="1"/>
  <c r="G290" i="1"/>
  <c r="G352" i="1"/>
  <c r="G609" i="1"/>
  <c r="G388" i="1"/>
  <c r="G416" i="1"/>
  <c r="G575" i="1"/>
  <c r="G295" i="1"/>
  <c r="G617" i="1"/>
  <c r="G967" i="1"/>
  <c r="H330" i="1"/>
  <c r="H529" i="1"/>
  <c r="H453" i="1"/>
  <c r="H816" i="1"/>
  <c r="G816" i="1"/>
  <c r="H702" i="1"/>
  <c r="G702" i="1"/>
  <c r="G512" i="1"/>
  <c r="G306" i="1"/>
  <c r="G527" i="1"/>
  <c r="G426" i="1"/>
  <c r="H677" i="1"/>
  <c r="H368" i="1"/>
  <c r="H972" i="1"/>
  <c r="G367" i="1"/>
  <c r="G369" i="1"/>
  <c r="G741" i="1"/>
  <c r="G102" i="1"/>
  <c r="G82" i="1"/>
  <c r="G196" i="1"/>
  <c r="G924" i="1"/>
  <c r="G208" i="1"/>
  <c r="G934" i="1"/>
  <c r="G829" i="1"/>
  <c r="G802" i="1"/>
  <c r="G984" i="1"/>
  <c r="G27" i="1"/>
  <c r="H876" i="1"/>
  <c r="H865" i="1"/>
  <c r="H615" i="1"/>
  <c r="H785" i="1"/>
  <c r="G137" i="1"/>
  <c r="H58" i="1"/>
  <c r="G58" i="1"/>
  <c r="H983" i="1"/>
  <c r="G983" i="1"/>
  <c r="G127" i="1"/>
  <c r="G742" i="1"/>
  <c r="H541" i="1"/>
  <c r="G833" i="1"/>
  <c r="G220" i="1"/>
  <c r="G561" i="1"/>
  <c r="H490" i="1"/>
  <c r="H475" i="1"/>
  <c r="H65" i="1"/>
  <c r="H466" i="1"/>
  <c r="H423" i="1"/>
  <c r="H760" i="1"/>
  <c r="G760" i="1"/>
  <c r="H918" i="1"/>
  <c r="G918" i="1"/>
  <c r="H401" i="1"/>
  <c r="G401" i="1"/>
  <c r="H951" i="1"/>
  <c r="G236" i="1"/>
  <c r="H125" i="1"/>
  <c r="G210" i="1"/>
  <c r="G644" i="1"/>
  <c r="G316" i="1"/>
  <c r="G493" i="1"/>
  <c r="G194" i="1"/>
  <c r="G540" i="1"/>
  <c r="G357" i="1"/>
  <c r="H413" i="1"/>
  <c r="G413" i="1"/>
  <c r="G66" i="1"/>
  <c r="G165" i="1"/>
  <c r="G553" i="1"/>
  <c r="H271" i="1"/>
  <c r="H21" i="1"/>
  <c r="G116" i="1"/>
  <c r="H995" i="1"/>
  <c r="G995" i="1"/>
  <c r="H725" i="1"/>
  <c r="G725" i="1"/>
  <c r="H655" i="1"/>
  <c r="G655" i="1"/>
  <c r="H154" i="1"/>
  <c r="H740" i="1"/>
  <c r="H106" i="1"/>
  <c r="H24" i="1"/>
  <c r="H556" i="1"/>
  <c r="G556" i="1"/>
  <c r="H399" i="1"/>
  <c r="G399" i="1"/>
  <c r="G216" i="1"/>
  <c r="H34" i="1"/>
  <c r="H555" i="1"/>
  <c r="G98" i="1"/>
  <c r="G311" i="1"/>
  <c r="H862" i="1"/>
  <c r="H733" i="1"/>
  <c r="H73" i="1"/>
  <c r="G73" i="1"/>
  <c r="H206" i="1"/>
  <c r="G206" i="1"/>
  <c r="H128" i="1"/>
  <c r="G128" i="1"/>
  <c r="G895" i="1"/>
  <c r="H693" i="1"/>
  <c r="G693" i="1"/>
  <c r="H674" i="1"/>
  <c r="G674" i="1"/>
  <c r="H776" i="1"/>
  <c r="G776" i="1"/>
  <c r="H109" i="1"/>
  <c r="G109" i="1"/>
  <c r="H351" i="1"/>
  <c r="G351" i="1"/>
  <c r="H184" i="1"/>
  <c r="G184" i="1"/>
  <c r="H656" i="1"/>
  <c r="G656" i="1"/>
  <c r="H93" i="1"/>
  <c r="G93" i="1"/>
  <c r="H764" i="1"/>
  <c r="G764" i="1"/>
  <c r="H596" i="1"/>
  <c r="G596" i="1"/>
  <c r="H966" i="1"/>
  <c r="G966" i="1"/>
  <c r="H291" i="1"/>
  <c r="G291" i="1"/>
  <c r="H686" i="1"/>
  <c r="G686" i="1"/>
  <c r="H135" i="1"/>
  <c r="G135" i="1"/>
  <c r="H917" i="1"/>
  <c r="G917" i="1"/>
  <c r="H64" i="1"/>
  <c r="G64" i="1"/>
  <c r="H937" i="1"/>
  <c r="G937" i="1"/>
  <c r="G915" i="1"/>
  <c r="G635" i="1"/>
  <c r="H898" i="1"/>
  <c r="G898" i="1"/>
  <c r="H808" i="1"/>
  <c r="G808" i="1"/>
  <c r="H417" i="1"/>
  <c r="G417" i="1"/>
  <c r="G714" i="1"/>
  <c r="G687" i="1"/>
  <c r="G654" i="1"/>
  <c r="G931" i="1"/>
  <c r="H436" i="1"/>
  <c r="H631" i="1"/>
  <c r="G411" i="1"/>
  <c r="H545" i="1"/>
  <c r="H80" i="1"/>
  <c r="G80" i="1"/>
  <c r="H395" i="1"/>
  <c r="G395" i="1"/>
  <c r="G867" i="1"/>
  <c r="G533" i="1"/>
  <c r="G54" i="1"/>
  <c r="G389" i="1"/>
  <c r="G613" i="1"/>
  <c r="G254" i="1"/>
  <c r="G907" i="1"/>
  <c r="G45" i="1"/>
  <c r="G514" i="1"/>
  <c r="G949" i="1"/>
  <c r="G141" i="1"/>
  <c r="G247" i="1"/>
  <c r="G459" i="1"/>
  <c r="G505" i="1"/>
  <c r="G743" i="1"/>
  <c r="G215" i="1"/>
  <c r="G241" i="1"/>
  <c r="G996" i="1"/>
  <c r="G422" i="1"/>
  <c r="G323" i="1"/>
  <c r="G973" i="1"/>
  <c r="G662" i="1"/>
  <c r="G452" i="1"/>
  <c r="G711" i="1"/>
  <c r="G180" i="1"/>
  <c r="G60" i="1"/>
  <c r="G57" i="1"/>
  <c r="G811" i="1"/>
  <c r="G52" i="1"/>
  <c r="G492" i="1"/>
  <c r="G799" i="1"/>
  <c r="G219" i="1"/>
  <c r="G683" i="1"/>
  <c r="G36" i="1"/>
  <c r="G877" i="1"/>
  <c r="G140" i="1"/>
  <c r="G272" i="1"/>
  <c r="G759" i="1"/>
  <c r="G133" i="1"/>
  <c r="G815" i="1"/>
  <c r="G243" i="1"/>
  <c r="G486" i="1"/>
  <c r="G955" i="1"/>
  <c r="G856" i="1"/>
  <c r="G636" i="1"/>
  <c r="G205" i="1"/>
  <c r="G68" i="1"/>
  <c r="G355" i="1"/>
  <c r="G19" i="1"/>
  <c r="G484" i="1"/>
  <c r="G659" i="1"/>
  <c r="G669" i="1"/>
  <c r="G441" i="1"/>
  <c r="G728" i="1"/>
  <c r="G431" i="1"/>
  <c r="G738" i="1"/>
  <c r="G542" i="1"/>
  <c r="G440" i="1"/>
  <c r="G324" i="1"/>
  <c r="G407" i="1"/>
  <c r="G345" i="1"/>
  <c r="G56" i="1"/>
  <c r="G871" i="1"/>
  <c r="G15" i="1"/>
  <c r="G806" i="1"/>
  <c r="G842" i="1"/>
  <c r="G255" i="1"/>
  <c r="G648" i="1"/>
  <c r="G348" i="1"/>
  <c r="G438" i="1"/>
  <c r="G374" i="1"/>
  <c r="G787" i="1"/>
  <c r="G162" i="1"/>
  <c r="G481" i="1"/>
  <c r="G410" i="1"/>
  <c r="G152" i="1"/>
  <c r="G94" i="1"/>
  <c r="G605" i="1"/>
  <c r="G189" i="1"/>
  <c r="G919" i="1"/>
  <c r="G896" i="1"/>
  <c r="G212" i="1"/>
  <c r="G449" i="1"/>
  <c r="G307" i="1"/>
  <c r="G402" i="1"/>
  <c r="G250" i="1"/>
  <c r="G991" i="1"/>
  <c r="G359" i="1"/>
  <c r="G496" i="1"/>
  <c r="G590" i="1"/>
  <c r="G831" i="1"/>
  <c r="G827" i="1"/>
  <c r="G573" i="1"/>
  <c r="G149" i="1"/>
  <c r="G927" i="1"/>
  <c r="G111" i="1"/>
  <c r="G623" i="1"/>
  <c r="G652" i="1"/>
  <c r="G48" i="1"/>
  <c r="G393" i="1"/>
  <c r="G433" i="1"/>
  <c r="G332" i="1"/>
  <c r="G329" i="1"/>
  <c r="G451" i="1"/>
  <c r="G985" i="1"/>
  <c r="G880" i="1"/>
  <c r="G905" i="1"/>
  <c r="G420" i="1"/>
  <c r="G300" i="1"/>
  <c r="G695" i="1"/>
  <c r="G751" i="1"/>
  <c r="G600" i="1"/>
  <c r="G610" i="1"/>
  <c r="G234" i="1"/>
  <c r="G61" i="1"/>
  <c r="G595" i="1"/>
  <c r="G510" i="1"/>
  <c r="G839" i="1"/>
  <c r="G249" i="1"/>
  <c r="G258" i="1"/>
  <c r="G707" i="1"/>
  <c r="G778" i="1"/>
  <c r="G222" i="1"/>
  <c r="G941" i="1"/>
  <c r="G734" i="1"/>
  <c r="G515" i="1"/>
  <c r="G864" i="1"/>
  <c r="G963" i="1"/>
  <c r="G78" i="1"/>
  <c r="G457" i="1"/>
  <c r="G756" i="1"/>
  <c r="G350" i="1"/>
  <c r="G956" i="1"/>
  <c r="G536" i="1"/>
  <c r="G858" i="1"/>
  <c r="G84" i="1"/>
  <c r="G232" i="1"/>
  <c r="G599" i="1"/>
  <c r="G754" i="1"/>
  <c r="G506" i="1"/>
  <c r="G365" i="1"/>
  <c r="G43" i="1"/>
  <c r="G767" i="1"/>
  <c r="G606" i="1"/>
  <c r="G293" i="1"/>
  <c r="G737" i="1"/>
  <c r="G812" i="1"/>
  <c r="G160" i="1"/>
  <c r="G886" i="1"/>
  <c r="G3" i="1"/>
  <c r="G502" i="1"/>
  <c r="G640" i="1"/>
  <c r="G377" i="1"/>
  <c r="G248" i="1"/>
  <c r="G773" i="1"/>
  <c r="G320" i="1"/>
  <c r="G697" i="1"/>
  <c r="G849" i="1"/>
  <c r="G454" i="1"/>
  <c r="G86" i="1"/>
  <c r="G736" i="1"/>
  <c r="G28" i="1"/>
  <c r="G85" i="1"/>
  <c r="G427" i="1"/>
  <c r="G522" i="1"/>
  <c r="G998" i="1"/>
  <c r="G651" i="1"/>
  <c r="G333" i="1"/>
  <c r="G183" i="1"/>
  <c r="G761" i="1"/>
  <c r="G716" i="1"/>
  <c r="G547" i="1"/>
  <c r="G900" i="1"/>
  <c r="G403" i="1"/>
  <c r="G129" i="1"/>
  <c r="G105" i="1"/>
  <c r="G443" i="1"/>
  <c r="G211" i="1"/>
  <c r="G134" i="1"/>
  <c r="G875" i="1"/>
  <c r="G549" i="1"/>
  <c r="G390" i="1"/>
  <c r="G981" i="1"/>
  <c r="G909" i="1"/>
  <c r="G13" i="1"/>
  <c r="G458" i="1"/>
  <c r="G624" i="1"/>
  <c r="G947" i="1"/>
  <c r="G338" i="1"/>
  <c r="G123" i="1"/>
  <c r="G151" i="1"/>
  <c r="G581" i="1"/>
  <c r="G731" i="1"/>
  <c r="G231" i="1"/>
  <c r="G448" i="1"/>
  <c r="G838" i="1"/>
  <c r="G494" i="1"/>
  <c r="G354" i="1"/>
  <c r="G79" i="1"/>
  <c r="G20" i="1"/>
  <c r="G26" i="1"/>
  <c r="G836" i="1"/>
  <c r="G682" i="1"/>
  <c r="G925" i="1"/>
  <c r="G51" i="1"/>
  <c r="G503" i="1"/>
  <c r="G121" i="1"/>
  <c r="G107" i="1"/>
  <c r="G771" i="1"/>
  <c r="G832" i="1"/>
  <c r="G81" i="1"/>
  <c r="G837" i="1"/>
  <c r="G181" i="1"/>
  <c r="G993" i="1"/>
  <c r="G670" i="1"/>
  <c r="G419" i="1"/>
  <c r="G391" i="1"/>
  <c r="G227" i="1"/>
  <c r="G266" i="1"/>
  <c r="G74" i="1"/>
  <c r="G748" i="1"/>
  <c r="G284" i="1"/>
  <c r="G645" i="1"/>
  <c r="G478" i="1"/>
  <c r="G71" i="1"/>
  <c r="G634" i="1"/>
  <c r="G504" i="1"/>
  <c r="G814" i="1"/>
  <c r="G371" i="1"/>
  <c r="G661" i="1"/>
  <c r="G826" i="1"/>
  <c r="G53" i="1"/>
  <c r="G531" i="1"/>
  <c r="G679" i="1"/>
  <c r="G230" i="1"/>
  <c r="G499" i="1"/>
  <c r="G83" i="1"/>
  <c r="G517" i="1"/>
  <c r="G467" i="1"/>
  <c r="G414" i="1"/>
  <c r="G472" i="1"/>
  <c r="G835" i="1"/>
  <c r="G309" i="1"/>
  <c r="G793" i="1"/>
  <c r="G442" i="1"/>
  <c r="G321" i="1"/>
  <c r="G425" i="1"/>
  <c r="G186" i="1"/>
  <c r="G690" i="1"/>
  <c r="G126" i="1"/>
  <c r="G303" i="1"/>
  <c r="G294" i="1"/>
  <c r="G405" i="1"/>
  <c r="G23" i="1"/>
  <c r="G101" i="1"/>
  <c r="G375" i="1"/>
  <c r="G89" i="1"/>
  <c r="G629" i="1"/>
  <c r="G277" i="1"/>
  <c r="G112" i="1"/>
  <c r="G314" i="1"/>
  <c r="G187" i="1"/>
  <c r="G763" i="1"/>
  <c r="G890" i="1"/>
  <c r="G376" i="1"/>
  <c r="G604" i="1"/>
  <c r="G704" i="1"/>
  <c r="G218" i="1"/>
  <c r="G781" i="1"/>
  <c r="G768" i="1"/>
  <c r="G370" i="1"/>
  <c r="G534" i="1"/>
  <c r="G563" i="1"/>
  <c r="G113" i="1"/>
  <c r="G803" i="1"/>
  <c r="G597" i="1"/>
  <c r="G938" i="1"/>
  <c r="G445" i="1"/>
  <c r="G259" i="1"/>
  <c r="G758" i="1"/>
  <c r="G501" i="1"/>
  <c r="G269" i="1"/>
  <c r="G543" i="1"/>
  <c r="G688" i="1"/>
  <c r="G166" i="1"/>
  <c r="G663" i="1"/>
  <c r="G560" i="1"/>
  <c r="G325" i="1"/>
  <c r="G608" i="1"/>
  <c r="G221" i="1"/>
  <c r="G77" i="1"/>
  <c r="G470" i="1"/>
  <c r="G667" i="1"/>
  <c r="G999" i="1"/>
  <c r="G41" i="1"/>
  <c r="G574" i="1"/>
  <c r="G622" i="1"/>
  <c r="G589" i="1"/>
  <c r="G523" i="1"/>
  <c r="G969" i="1"/>
  <c r="G488" i="1"/>
  <c r="G601" i="1"/>
  <c r="G122" i="1"/>
  <c r="G874" i="1"/>
  <c r="G902" i="1"/>
  <c r="G175" i="1"/>
  <c r="G592" i="1"/>
  <c r="G625" i="1"/>
  <c r="G358" i="1"/>
  <c r="G378" i="1"/>
  <c r="G727" i="1"/>
  <c r="G962" i="1"/>
  <c r="G528" i="1"/>
  <c r="G1001" i="1"/>
  <c r="G884" i="1"/>
  <c r="G643" i="1"/>
  <c r="G385" i="1"/>
  <c r="G720" i="1"/>
  <c r="G646" i="1"/>
  <c r="G278" i="1"/>
  <c r="G239" i="1"/>
  <c r="G798" i="1"/>
  <c r="G245" i="1"/>
  <c r="G521" i="1"/>
  <c r="G130" i="1"/>
  <c r="G518" i="1"/>
  <c r="G455" i="1"/>
  <c r="G639" i="1"/>
  <c r="G489" i="1"/>
  <c r="G469" i="1"/>
  <c r="G224" i="1"/>
  <c r="G477" i="1"/>
  <c r="G749" i="1"/>
  <c r="G653" i="1"/>
  <c r="G730" i="1"/>
  <c r="G899" i="1"/>
  <c r="G12" i="1"/>
  <c r="G418" i="1"/>
  <c r="G586" i="1"/>
  <c r="G190" i="1"/>
  <c r="G415" i="1"/>
  <c r="G136" i="1"/>
  <c r="G559" i="1"/>
  <c r="G114" i="1"/>
  <c r="G267" i="1"/>
  <c r="G170" i="1"/>
  <c r="G131" i="1"/>
  <c r="G650" i="1"/>
  <c r="G283" i="1"/>
  <c r="G191" i="1"/>
  <c r="G456" i="1"/>
  <c r="G315" i="1"/>
  <c r="G59" i="1"/>
  <c r="G830" i="1"/>
  <c r="G195" i="1"/>
  <c r="G62" i="1"/>
  <c r="G948" i="1"/>
  <c r="G922" i="1"/>
  <c r="G1000" i="1"/>
  <c r="G282" i="1"/>
  <c r="G268" i="1"/>
  <c r="G567" i="1"/>
  <c r="G524" i="1"/>
  <c r="G747" i="1"/>
  <c r="G437" i="1"/>
  <c r="G382" i="1"/>
  <c r="G671" i="1"/>
  <c r="G110" i="1"/>
  <c r="G18" i="1"/>
  <c r="G386" i="1"/>
  <c r="G844" i="1"/>
  <c r="G159" i="1"/>
  <c r="G684" i="1"/>
  <c r="G326" i="1"/>
  <c r="H140" i="1" l="1"/>
  <c r="H272" i="1"/>
  <c r="H4" i="1"/>
  <c r="H759" i="1"/>
  <c r="H133" i="1"/>
  <c r="H815" i="1"/>
  <c r="H243" i="1"/>
  <c r="H486" i="1"/>
  <c r="H955" i="1"/>
  <c r="H856" i="1"/>
  <c r="H636" i="1"/>
  <c r="H205" i="1"/>
  <c r="H68" i="1"/>
  <c r="H355" i="1"/>
  <c r="H19" i="1"/>
  <c r="H484" i="1"/>
  <c r="H659" i="1"/>
  <c r="H669" i="1"/>
  <c r="H441" i="1"/>
  <c r="H728" i="1"/>
  <c r="H431" i="1"/>
  <c r="H738" i="1"/>
  <c r="H542" i="1"/>
  <c r="H440" i="1"/>
  <c r="H324" i="1"/>
  <c r="H407" i="1"/>
  <c r="H345" i="1"/>
  <c r="H56" i="1"/>
  <c r="H871" i="1"/>
  <c r="H15" i="1"/>
  <c r="H806" i="1"/>
  <c r="H842" i="1"/>
  <c r="H255" i="1"/>
  <c r="H648" i="1"/>
  <c r="H348" i="1"/>
  <c r="H438" i="1"/>
  <c r="H374" i="1"/>
  <c r="H787" i="1"/>
  <c r="H162" i="1"/>
  <c r="H481" i="1"/>
  <c r="H410" i="1"/>
  <c r="H152" i="1"/>
  <c r="H94" i="1"/>
  <c r="H605" i="1"/>
  <c r="H189" i="1"/>
  <c r="H919" i="1"/>
  <c r="H896" i="1"/>
  <c r="H212" i="1"/>
  <c r="H449" i="1"/>
  <c r="H307" i="1"/>
  <c r="H402" i="1"/>
  <c r="H250" i="1"/>
  <c r="H991" i="1"/>
  <c r="H359" i="1"/>
  <c r="H496" i="1"/>
  <c r="H590" i="1"/>
  <c r="H831" i="1"/>
  <c r="H827" i="1"/>
  <c r="H573" i="1"/>
  <c r="H149" i="1"/>
  <c r="H927" i="1"/>
  <c r="H111" i="1"/>
  <c r="H623" i="1"/>
  <c r="H269" i="1"/>
  <c r="H652" i="1"/>
  <c r="H48" i="1"/>
  <c r="H393" i="1"/>
  <c r="H433" i="1"/>
  <c r="H332" i="1"/>
  <c r="H329" i="1"/>
  <c r="H266" i="1"/>
  <c r="H451" i="1"/>
  <c r="H985" i="1"/>
  <c r="H880" i="1"/>
  <c r="H905" i="1"/>
  <c r="H420" i="1"/>
  <c r="H300" i="1"/>
  <c r="H695" i="1"/>
  <c r="H751" i="1"/>
  <c r="H600" i="1"/>
  <c r="H610" i="1"/>
  <c r="H234" i="1"/>
  <c r="H61" i="1"/>
  <c r="H595" i="1"/>
  <c r="H510" i="1"/>
  <c r="H839" i="1"/>
  <c r="H249" i="1"/>
  <c r="H258" i="1"/>
  <c r="H707" i="1"/>
  <c r="H778" i="1"/>
  <c r="H222" i="1"/>
  <c r="H941" i="1"/>
  <c r="H734" i="1"/>
  <c r="H515" i="1"/>
  <c r="H864" i="1"/>
  <c r="H963" i="1"/>
  <c r="H78" i="1"/>
  <c r="H457" i="1"/>
  <c r="H326" i="1"/>
  <c r="H756" i="1"/>
  <c r="H350" i="1"/>
  <c r="H956" i="1"/>
  <c r="H536" i="1"/>
  <c r="H858" i="1"/>
  <c r="H84" i="1"/>
  <c r="H232" i="1"/>
  <c r="H599" i="1"/>
  <c r="H754" i="1"/>
  <c r="H506" i="1"/>
  <c r="H365" i="1"/>
  <c r="H43" i="1"/>
  <c r="H767" i="1"/>
  <c r="H606" i="1"/>
  <c r="H293" i="1"/>
  <c r="H737" i="1"/>
  <c r="H812" i="1"/>
  <c r="H160" i="1"/>
  <c r="H886" i="1"/>
  <c r="H3" i="1"/>
  <c r="P1" i="1" s="1"/>
  <c r="H502" i="1"/>
  <c r="H849" i="1"/>
  <c r="H454" i="1"/>
  <c r="H248" i="1"/>
  <c r="H697" i="1"/>
  <c r="H773" i="1"/>
  <c r="H640" i="1"/>
  <c r="H320" i="1"/>
  <c r="H86" i="1"/>
  <c r="H85" i="1"/>
  <c r="H28" i="1"/>
  <c r="H549" i="1"/>
  <c r="H427" i="1"/>
  <c r="H651" i="1"/>
  <c r="H129" i="1"/>
  <c r="H998" i="1"/>
  <c r="H522" i="1"/>
  <c r="H716" i="1"/>
  <c r="H26" i="1"/>
  <c r="H736" i="1"/>
  <c r="H333" i="1"/>
  <c r="H947" i="1"/>
  <c r="H403" i="1"/>
  <c r="H211" i="1"/>
  <c r="H183" i="1"/>
  <c r="H547" i="1"/>
  <c r="H900" i="1"/>
  <c r="H761" i="1"/>
  <c r="H443" i="1"/>
  <c r="H151" i="1"/>
  <c r="H134" i="1"/>
  <c r="H20" i="1"/>
  <c r="H377" i="1"/>
  <c r="H622" i="1"/>
  <c r="H836" i="1"/>
  <c r="H390" i="1"/>
  <c r="H981" i="1"/>
  <c r="H682" i="1"/>
  <c r="H338" i="1"/>
  <c r="H634" i="1"/>
  <c r="H832" i="1"/>
  <c r="H837" i="1"/>
  <c r="H909" i="1"/>
  <c r="H13" i="1"/>
  <c r="H748" i="1"/>
  <c r="H925" i="1"/>
  <c r="H458" i="1"/>
  <c r="H231" i="1"/>
  <c r="H107" i="1"/>
  <c r="H105" i="1"/>
  <c r="H890" i="1"/>
  <c r="H494" i="1"/>
  <c r="H121" i="1"/>
  <c r="H589" i="1"/>
  <c r="H731" i="1"/>
  <c r="H448" i="1"/>
  <c r="H604" i="1"/>
  <c r="H181" i="1"/>
  <c r="H74" i="1"/>
  <c r="H79" i="1"/>
  <c r="H663" i="1"/>
  <c r="H122" i="1"/>
  <c r="H875" i="1"/>
  <c r="H283" i="1"/>
  <c r="H624" i="1"/>
  <c r="H835" i="1"/>
  <c r="H51" i="1"/>
  <c r="H123" i="1"/>
  <c r="H391" i="1"/>
  <c r="H771" i="1"/>
  <c r="H81" i="1"/>
  <c r="H993" i="1"/>
  <c r="H303" i="1"/>
  <c r="H354" i="1"/>
  <c r="H581" i="1"/>
  <c r="H838" i="1"/>
  <c r="H528" i="1"/>
  <c r="H113" i="1"/>
  <c r="H114" i="1"/>
  <c r="H53" i="1"/>
  <c r="H445" i="1"/>
  <c r="H378" i="1"/>
  <c r="H501" i="1"/>
  <c r="H309" i="1"/>
  <c r="H23" i="1"/>
  <c r="H59" i="1"/>
  <c r="H661" i="1"/>
  <c r="H727" i="1"/>
  <c r="H704" i="1"/>
  <c r="H227" i="1"/>
  <c r="H284" i="1"/>
  <c r="H645" i="1"/>
  <c r="H478" i="1"/>
  <c r="H130" i="1"/>
  <c r="H803" i="1"/>
  <c r="H504" i="1"/>
  <c r="H814" i="1"/>
  <c r="H371" i="1"/>
  <c r="H517" i="1"/>
  <c r="H826" i="1"/>
  <c r="H793" i="1"/>
  <c r="H524" i="1"/>
  <c r="H194" i="1"/>
  <c r="H419" i="1"/>
  <c r="H277" i="1"/>
  <c r="H688" i="1"/>
  <c r="H472" i="1"/>
  <c r="H531" i="1"/>
  <c r="H126" i="1"/>
  <c r="H259" i="1"/>
  <c r="H518" i="1"/>
  <c r="H670" i="1"/>
  <c r="H922" i="1"/>
  <c r="H405" i="1"/>
  <c r="H414" i="1"/>
  <c r="H503" i="1"/>
  <c r="H543" i="1"/>
  <c r="H477" i="1"/>
  <c r="H523" i="1"/>
  <c r="H442" i="1"/>
  <c r="H321" i="1"/>
  <c r="H969" i="1"/>
  <c r="H679" i="1"/>
  <c r="H83" i="1"/>
  <c r="H136" i="1"/>
  <c r="H730" i="1"/>
  <c r="H499" i="1"/>
  <c r="H639" i="1"/>
  <c r="H314" i="1"/>
  <c r="H874" i="1"/>
  <c r="H218" i="1"/>
  <c r="H376" i="1"/>
  <c r="H938" i="1"/>
  <c r="H437" i="1"/>
  <c r="H690" i="1"/>
  <c r="H830" i="1"/>
  <c r="H101" i="1"/>
  <c r="H763" i="1"/>
  <c r="H375" i="1"/>
  <c r="H89" i="1"/>
  <c r="H629" i="1"/>
  <c r="H601" i="1"/>
  <c r="H230" i="1"/>
  <c r="H325" i="1"/>
  <c r="H559" i="1"/>
  <c r="H41" i="1"/>
  <c r="H684" i="1"/>
  <c r="H884" i="1"/>
  <c r="H747" i="1"/>
  <c r="H720" i="1"/>
  <c r="H999" i="1"/>
  <c r="H278" i="1"/>
  <c r="H110" i="1"/>
  <c r="H239" i="1"/>
  <c r="H798" i="1"/>
  <c r="H899" i="1"/>
  <c r="H781" i="1"/>
  <c r="H768" i="1"/>
  <c r="H370" i="1"/>
  <c r="H456" i="1"/>
  <c r="H71" i="1"/>
  <c r="H1001" i="1"/>
  <c r="H597" i="1"/>
  <c r="H195" i="1"/>
  <c r="H455" i="1"/>
  <c r="H650" i="1"/>
  <c r="H625" i="1"/>
  <c r="H224" i="1"/>
  <c r="H294" i="1"/>
  <c r="H608" i="1"/>
  <c r="H749" i="1"/>
  <c r="H221" i="1"/>
  <c r="H77" i="1"/>
  <c r="H166" i="1"/>
  <c r="H470" i="1"/>
  <c r="H62" i="1"/>
  <c r="H592" i="1"/>
  <c r="H560" i="1"/>
  <c r="H12" i="1"/>
  <c r="H586" i="1"/>
  <c r="H418" i="1"/>
  <c r="H758" i="1"/>
  <c r="H567" i="1"/>
  <c r="H170" i="1"/>
  <c r="H358" i="1"/>
  <c r="H467" i="1"/>
  <c r="H112" i="1"/>
  <c r="H267" i="1"/>
  <c r="H415" i="1"/>
  <c r="H191" i="1"/>
  <c r="H488" i="1"/>
  <c r="H902" i="1"/>
  <c r="H667" i="1"/>
  <c r="H175" i="1"/>
  <c r="H187" i="1"/>
  <c r="H131" i="1"/>
  <c r="H962" i="1"/>
  <c r="H671" i="1"/>
  <c r="H386" i="1"/>
  <c r="H643" i="1"/>
  <c r="H385" i="1"/>
  <c r="H315" i="1"/>
  <c r="H574" i="1"/>
  <c r="H245" i="1"/>
  <c r="H186" i="1"/>
  <c r="H534" i="1"/>
  <c r="H563" i="1"/>
  <c r="H268" i="1"/>
  <c r="H653" i="1"/>
  <c r="H469" i="1"/>
  <c r="H425" i="1"/>
  <c r="H282" i="1"/>
  <c r="H646" i="1"/>
  <c r="H489" i="1"/>
  <c r="H18" i="1"/>
  <c r="H521" i="1"/>
  <c r="H190" i="1"/>
  <c r="H844" i="1"/>
  <c r="H382" i="1"/>
  <c r="H948" i="1"/>
  <c r="H1000" i="1"/>
  <c r="H159" i="1"/>
  <c r="O1" i="1" l="1"/>
  <c r="M1" i="1"/>
  <c r="L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B41045-0031-47A7-ADFA-26616F3DCD57}" keepAlive="1" name="Query - RekapitulasiStock_20260630_074801" description="Connection to the 'RekapitulasiStock_20260630_074801' query in the workbook." type="5" refreshedVersion="0" background="1">
    <dbPr connection="Provider=Microsoft.Mashup.OleDb.1;Data Source=$Workbook$;Location=RekapitulasiStock_20260630_074801;Extended Properties=&quot;&quot;" command="SELECT * FROM [RekapitulasiStock_20260630_074801]"/>
  </connection>
  <connection id="2" xr16:uid="{80DF90C4-AFCB-4798-A415-3DBB6CAD87F8}" keepAlive="1" name="Query - RekapitulasiStock_20260701_073834" description="Connection to the 'RekapitulasiStock_20260701_073834' query in the workbook." type="5" refreshedVersion="0" background="1">
    <dbPr connection="Provider=Microsoft.Mashup.OleDb.1;Data Source=$Workbook$;Location=RekapitulasiStock_20260701_073834;Extended Properties=&quot;&quot;" command="SELECT * FROM [RekapitulasiStock_20260701_073834]"/>
  </connection>
  <connection id="3" xr16:uid="{B0702076-334B-46D2-99F8-6BAB60491772}" keepAlive="1" name="Query - RekapitulasiStock_20260701_073834 (2)" description="Connection to the 'RekapitulasiStock_20260701_073834 (2)' query in the workbook." type="5" refreshedVersion="0" background="1">
    <dbPr connection="Provider=Microsoft.Mashup.OleDb.1;Data Source=$Workbook$;Location=&quot;RekapitulasiStock_20260701_073834 (2)&quot;;Extended Properties=&quot;&quot;" command="SELECT * FROM [RekapitulasiStock_20260701_073834 (2)]"/>
  </connection>
  <connection id="4" xr16:uid="{D50B236D-2148-4D97-A9B0-0E892AFB7BC8}" keepAlive="1" name="Query - RekapitulasiStock_20260701_073834 (3)" description="Connection to the 'RekapitulasiStock_20260701_073834 (3)' query in the workbook." type="5" refreshedVersion="0" background="1">
    <dbPr connection="Provider=Microsoft.Mashup.OleDb.1;Data Source=$Workbook$;Location=&quot;RekapitulasiStock_20260701_073834 (3)&quot;;Extended Properties=&quot;&quot;" command="SELECT * FROM [RekapitulasiStock_20260701_073834 (3)]"/>
  </connection>
  <connection id="5" xr16:uid="{0D331811-D3EF-48F9-A889-2E0513AAAE89}" keepAlive="1" name="Query - RekapitulasiStock_20260702_073535" description="Connection to the 'RekapitulasiStock_20260702_073535' query in the workbook." type="5" refreshedVersion="0" background="1">
    <dbPr connection="Provider=Microsoft.Mashup.OleDb.1;Data Source=$Workbook$;Location=RekapitulasiStock_20260702_073535;Extended Properties=&quot;&quot;" command="SELECT * FROM [RekapitulasiStock_20260702_073535]"/>
  </connection>
  <connection id="6" xr16:uid="{B7811DA6-020D-4015-BA7B-1C5AD697FBC8}" keepAlive="1" name="Query - RekapitulasiStock_20260703_080356" description="Connection to the 'RekapitulasiStock_20260703_080356' query in the workbook." type="5" refreshedVersion="0" background="1">
    <dbPr connection="Provider=Microsoft.Mashup.OleDb.1;Data Source=$Workbook$;Location=RekapitulasiStock_20260703_080356;Extended Properties=&quot;&quot;" command="SELECT * FROM [RekapitulasiStock_20260703_080356]"/>
  </connection>
</connections>
</file>

<file path=xl/sharedStrings.xml><?xml version="1.0" encoding="utf-8"?>
<sst xmlns="http://schemas.openxmlformats.org/spreadsheetml/2006/main" count="74192" uniqueCount="23281">
  <si>
    <t>NAMA BARANG</t>
  </si>
  <si>
    <t>KATEGORI</t>
  </si>
  <si>
    <t>stock</t>
  </si>
  <si>
    <t>8000500131329</t>
  </si>
  <si>
    <t>NUTELLA 3KG</t>
  </si>
  <si>
    <t>8710917003033</t>
  </si>
  <si>
    <t>BUTTER WYSMAN 1KG</t>
  </si>
  <si>
    <t>10410373</t>
  </si>
  <si>
    <t xml:space="preserve">TP GULA WALET MAS 900GR </t>
  </si>
  <si>
    <t>8992824265890</t>
  </si>
  <si>
    <t>MOTHER CHOICE 15KG</t>
  </si>
  <si>
    <t>8710917003026</t>
  </si>
  <si>
    <t xml:space="preserve">BUTTER WYSMAN 454GR </t>
  </si>
  <si>
    <t>8994094000522</t>
  </si>
  <si>
    <t>DAIRY CHAMP SKM 2.5KG</t>
  </si>
  <si>
    <t>10410759</t>
  </si>
  <si>
    <t>CAKRA TP TERIGU 25KG</t>
  </si>
  <si>
    <t>8994094000737</t>
  </si>
  <si>
    <t>DAIRY CHAMP SKM PCH 1000ML</t>
  </si>
  <si>
    <t>8994592011136</t>
  </si>
  <si>
    <t xml:space="preserve">TULIP STICK DARK COMPOUND 1,5KG </t>
  </si>
  <si>
    <t>10410749</t>
  </si>
  <si>
    <t>SEGITIGA TP TERIGU 25kg</t>
  </si>
  <si>
    <t>18992628502174</t>
  </si>
  <si>
    <t>MENTEGA SIMAS 15KG</t>
  </si>
  <si>
    <t>10410408</t>
  </si>
  <si>
    <t>ALMOND SLICE 1KG</t>
  </si>
  <si>
    <t>8997014030647</t>
  </si>
  <si>
    <t>ELMER AF BLCK 12% 1KG</t>
  </si>
  <si>
    <t>9415007303510</t>
  </si>
  <si>
    <t>ANCHOR WHIPPING CREAM 1L</t>
  </si>
  <si>
    <t>10200086</t>
  </si>
  <si>
    <t xml:space="preserve">ABON SAPI ECHO 1KG </t>
  </si>
  <si>
    <t>8888166989948</t>
  </si>
  <si>
    <t>EGG DROP 24X110GR</t>
  </si>
  <si>
    <t>8997014031521</t>
  </si>
  <si>
    <t>ELMER MISES BAKERY GOLD 12.5KG</t>
  </si>
  <si>
    <t>10411062</t>
  </si>
  <si>
    <t>ROYAL KRONE BOS SALTED 1KG</t>
  </si>
  <si>
    <t>10420832</t>
  </si>
  <si>
    <t xml:space="preserve">TP SUSU NZMP ANCHOR 1KG </t>
  </si>
  <si>
    <t>8993319050120</t>
  </si>
  <si>
    <t>GRANDAIRY FULL CREAM 1L</t>
  </si>
  <si>
    <t>8997014031439</t>
  </si>
  <si>
    <t>ELMER COCOMALTIN CRUNCHY 5KG</t>
  </si>
  <si>
    <t>8992993524644</t>
  </si>
  <si>
    <t xml:space="preserve">COLATTA COMPOUND DARK 2X250GR </t>
  </si>
  <si>
    <t>10410606</t>
  </si>
  <si>
    <t>ALMOND SLICE 250gr</t>
  </si>
  <si>
    <t>10427155</t>
  </si>
  <si>
    <t>PLAZA FILLING SOFT C8 5KG</t>
  </si>
  <si>
    <t>8992770096142</t>
  </si>
  <si>
    <t>SAORI SAUS TIRAM 1L</t>
  </si>
  <si>
    <t>8997014033631</t>
  </si>
  <si>
    <t>PLAZA COMPOUND CKLT 1KG</t>
  </si>
  <si>
    <t>8997014450421</t>
  </si>
  <si>
    <t>KEJU PROCHIZ GOLD SLICE 12S</t>
  </si>
  <si>
    <t>9555394503862</t>
  </si>
  <si>
    <t>MANTAP SKM 1KG</t>
  </si>
  <si>
    <t>8992993250048</t>
  </si>
  <si>
    <t>BENDICO COKLAT 90GR</t>
  </si>
  <si>
    <t>8992826211178</t>
  </si>
  <si>
    <t>FILMA MARGARINE 15KG</t>
  </si>
  <si>
    <t>8993037581104</t>
  </si>
  <si>
    <t>ROYAL KRONE BOS SALTED 2KG</t>
  </si>
  <si>
    <t>10530124</t>
  </si>
  <si>
    <t>BOTOL JAR 1000ML</t>
  </si>
  <si>
    <t>8997014450506</t>
  </si>
  <si>
    <t>KEJU PROCHIZ QUICK MELT SLICE 5S</t>
  </si>
  <si>
    <t>1042593</t>
  </si>
  <si>
    <t>THINWALL DM RECTANGLE 650ML</t>
  </si>
  <si>
    <t>10420846</t>
  </si>
  <si>
    <t>TP SUSU NZMP ANCHOR 250GR</t>
  </si>
  <si>
    <t>5411396002946</t>
  </si>
  <si>
    <t>CORMAN PATISY 17KG</t>
  </si>
  <si>
    <t>19415007055058</t>
  </si>
  <si>
    <t>ANCHOR CREAM CHEESE BLOCK 20KG</t>
  </si>
  <si>
    <t>8992993523548</t>
  </si>
  <si>
    <t>COLATTA WHITE 1KG</t>
  </si>
  <si>
    <t>10420056</t>
  </si>
  <si>
    <t>CUP DIVA 5 BLACK</t>
  </si>
  <si>
    <t>10411123</t>
  </si>
  <si>
    <t>FLORENTA 500GR</t>
  </si>
  <si>
    <t>10410857</t>
  </si>
  <si>
    <t xml:space="preserve">SUSU PROMIL 25KG </t>
  </si>
  <si>
    <t>10420845</t>
  </si>
  <si>
    <t xml:space="preserve">TP SUSU NZMP ANCHOR 1/2KG </t>
  </si>
  <si>
    <t>8992993526105</t>
  </si>
  <si>
    <t>COL GLAZE DARK 1KG TUB</t>
  </si>
  <si>
    <t>10410372</t>
  </si>
  <si>
    <t xml:space="preserve">TP GULA WALET MAS 400GR </t>
  </si>
  <si>
    <t>1042592</t>
  </si>
  <si>
    <t>THINWALL DM RECTANGLE 500ML</t>
  </si>
  <si>
    <t>10410834</t>
  </si>
  <si>
    <t>TP SUSU MILKY 25KG</t>
  </si>
  <si>
    <t>8992984870026</t>
  </si>
  <si>
    <t>KOEPOE GULA CAIR 5LT</t>
  </si>
  <si>
    <t>8992753005499</t>
  </si>
  <si>
    <t>FF UHT PF F.CREAM 946ML</t>
  </si>
  <si>
    <t>8992993523531</t>
  </si>
  <si>
    <t xml:space="preserve">COLATTA COMPOUND DARK 5KG </t>
  </si>
  <si>
    <t>9415007048190</t>
  </si>
  <si>
    <t xml:space="preserve">ANCHOR GRATED PARMESAN 1KG </t>
  </si>
  <si>
    <t>10425074</t>
  </si>
  <si>
    <t>THINWALL DM RECTANGLE 750ML</t>
  </si>
  <si>
    <t>10200305</t>
  </si>
  <si>
    <t>GULA PASIR 50KG</t>
  </si>
  <si>
    <t>10410580</t>
  </si>
  <si>
    <t xml:space="preserve">MOTHER CHOICE 1KG </t>
  </si>
  <si>
    <t>8997214882756</t>
  </si>
  <si>
    <t>DAIRY CROWN SKM 2.5KG</t>
  </si>
  <si>
    <t>9415007031659</t>
  </si>
  <si>
    <t>ANCHOR EXTRA YIELD 1 LITER</t>
  </si>
  <si>
    <t>10425001</t>
  </si>
  <si>
    <t>MISES CHOCC 168 12KG</t>
  </si>
  <si>
    <t>8997223840020</t>
  </si>
  <si>
    <t>RICOMAN LIGHT BROWN SUGAR 1KG</t>
  </si>
  <si>
    <t>10411058</t>
  </si>
  <si>
    <t>TP KANJI SAGU TANI 50 KG</t>
  </si>
  <si>
    <t>10411080</t>
  </si>
  <si>
    <t>ANCHOR UNSALTED 1/2KG</t>
  </si>
  <si>
    <t>10200204</t>
  </si>
  <si>
    <t xml:space="preserve">KURMA GOLDEN VALEY  10KG </t>
  </si>
  <si>
    <t>10423682</t>
  </si>
  <si>
    <t>VICTORY BOX RECTANGLE 500ML</t>
  </si>
  <si>
    <t>10425116</t>
  </si>
  <si>
    <t>BEST FRESH 450MM</t>
  </si>
  <si>
    <t>9310079305892</t>
  </si>
  <si>
    <t>BUTTER SEGITIGA 340GR</t>
  </si>
  <si>
    <t>10423653</t>
  </si>
  <si>
    <t>VICTORY BOX SQUARE 2000ML</t>
  </si>
  <si>
    <t>8710912015833</t>
  </si>
  <si>
    <t xml:space="preserve">KEJU EDAM VICTORIA 300GR </t>
  </si>
  <si>
    <t>10410400</t>
  </si>
  <si>
    <t xml:space="preserve">KACANG MORIN GROSS 1KG </t>
  </si>
  <si>
    <t>9556024001017</t>
  </si>
  <si>
    <t>KNORR CHICKEN FLAVOUR SEASONING 1KG</t>
  </si>
  <si>
    <t>10410423</t>
  </si>
  <si>
    <t>METE SUPER 100GR</t>
  </si>
  <si>
    <t>8997014450377</t>
  </si>
  <si>
    <t>KEJU PROCHIZ MOZARELLA 160GR</t>
  </si>
  <si>
    <t>8997028582095</t>
  </si>
  <si>
    <t>FILLO COMPOUND 1KG</t>
  </si>
  <si>
    <t>8992826342148</t>
  </si>
  <si>
    <t>PALMVITA BOS 15KG</t>
  </si>
  <si>
    <t>8992992390400</t>
  </si>
  <si>
    <t>CARLO -PAND GREASE 5KG</t>
  </si>
  <si>
    <t>8997014039640</t>
  </si>
  <si>
    <t>PLAZA GLAZE ECO G. TEA 1KG</t>
  </si>
  <si>
    <t>8993037582408</t>
  </si>
  <si>
    <t>ROYAL KRONE BOS SALTED 300GR</t>
  </si>
  <si>
    <t>10425356</t>
  </si>
  <si>
    <t>SENDOK MKN TIPTOP BENING 100S</t>
  </si>
  <si>
    <t>8992993526051</t>
  </si>
  <si>
    <t>COLATTA FINEZA BUTTON 400GR</t>
  </si>
  <si>
    <t>10424469</t>
  </si>
  <si>
    <t>OVEN BIMA 12060 HITAM</t>
  </si>
  <si>
    <t>18992628720172</t>
  </si>
  <si>
    <t>PALMIA MARGARINE PUTIH 15KG</t>
  </si>
  <si>
    <t>10424383</t>
  </si>
  <si>
    <t>VICTORY CUP 150ML</t>
  </si>
  <si>
    <t>8997220500712</t>
  </si>
  <si>
    <t>DRIPP BUTTERSCOTCH SYRUP 760ML</t>
  </si>
  <si>
    <t>10424170</t>
  </si>
  <si>
    <t>VICTORY MANGKOK ROUNDBOWL 650ML</t>
  </si>
  <si>
    <t>8997237643303</t>
  </si>
  <si>
    <t>SWAN B COKLAT 500GR</t>
  </si>
  <si>
    <t>10411532</t>
  </si>
  <si>
    <t>TP KETAN HITAM WALET 5KG</t>
  </si>
  <si>
    <t>80051671</t>
  </si>
  <si>
    <t xml:space="preserve">NUTELLA 200GR </t>
  </si>
  <si>
    <t>10410530</t>
  </si>
  <si>
    <t xml:space="preserve">ALMOND UTUH 1KG </t>
  </si>
  <si>
    <t>8888900700006</t>
  </si>
  <si>
    <t>LAFONTE SAUS BOLOGNESE 315GR</t>
  </si>
  <si>
    <t>8850643068361</t>
  </si>
  <si>
    <t>MAMATA TOM YAUM 675GR</t>
  </si>
  <si>
    <t>6922877792700</t>
  </si>
  <si>
    <t>SKIPPY CREAMY 500GR</t>
  </si>
  <si>
    <t>8997240600010</t>
  </si>
  <si>
    <t>OATSIDE BARISTA BLEND 1L</t>
  </si>
  <si>
    <t>10423175</t>
  </si>
  <si>
    <t>VICTORY BOX RECTANGLE 750ML</t>
  </si>
  <si>
    <t>8997014030807</t>
  </si>
  <si>
    <t>ELMER DIP ROCKY DARK 1 KG</t>
  </si>
  <si>
    <t>8612491126</t>
  </si>
  <si>
    <t>DENALI GREENTEA DELICATE 800GR</t>
  </si>
  <si>
    <t>8997237643204</t>
  </si>
  <si>
    <t>SWAN B DARK COKLAT 500GR</t>
  </si>
  <si>
    <t>10200357</t>
  </si>
  <si>
    <t>KURMA AL SAAD KHALAS 10KG</t>
  </si>
  <si>
    <t>9557727934572</t>
  </si>
  <si>
    <t>DAIRY CHAMP EVAPORASI 390GR</t>
  </si>
  <si>
    <t>10411138</t>
  </si>
  <si>
    <t xml:space="preserve">PANIR PRIMERA PANKO PUTIH 10KG </t>
  </si>
  <si>
    <t>8997024460243</t>
  </si>
  <si>
    <t>MC LEWIS CHILI SAUS 6KG</t>
  </si>
  <si>
    <t>5410522513530</t>
  </si>
  <si>
    <t xml:space="preserve">CALLEBAUT 823NV 2,5KG </t>
  </si>
  <si>
    <t>10420815</t>
  </si>
  <si>
    <t>CALLEBAUT 823NV 250GR</t>
  </si>
  <si>
    <t>8997236410012</t>
  </si>
  <si>
    <t>TRANS GOLD WHIP TOPPING 1L</t>
  </si>
  <si>
    <t>8992824265210</t>
  </si>
  <si>
    <t>BUTTER BULLION 15KG</t>
  </si>
  <si>
    <t>10425384</t>
  </si>
  <si>
    <t>KLIR THINWALL SQ 120ML</t>
  </si>
  <si>
    <t>9557727212403</t>
  </si>
  <si>
    <t xml:space="preserve">DAIRY CHAMP SKM 1KG </t>
  </si>
  <si>
    <t>8997015495704</t>
  </si>
  <si>
    <t>MARASCHINO CHERRY MERAH BTL 4.25KG</t>
  </si>
  <si>
    <t>10423404</t>
  </si>
  <si>
    <t>VICTORY CUP 35ML</t>
  </si>
  <si>
    <t>8997014033730</t>
  </si>
  <si>
    <t>ELMER FILLING PASTA DARK 1KG</t>
  </si>
  <si>
    <t>10425114</t>
  </si>
  <si>
    <t>BEST FRESH 350MM</t>
  </si>
  <si>
    <t>8994592014311</t>
  </si>
  <si>
    <t>TULIP HAZEL DELIGHT HAZELNUT COKLAT COATING 5KG</t>
  </si>
  <si>
    <t>8888900700037</t>
  </si>
  <si>
    <t>LAFONTE SAUS BOLOGNESE AYAM 290GR</t>
  </si>
  <si>
    <t>10200423</t>
  </si>
  <si>
    <t>ABON SAPI SR SUPER A1 1KG</t>
  </si>
  <si>
    <t>1042544</t>
  </si>
  <si>
    <t>KLIR THINWALL REC 500ML</t>
  </si>
  <si>
    <t>10410881</t>
  </si>
  <si>
    <t>BENSDROP M 1KG</t>
  </si>
  <si>
    <t>10410978</t>
  </si>
  <si>
    <t>SP RYOTO 15KG</t>
  </si>
  <si>
    <t>10430105</t>
  </si>
  <si>
    <t>VICTORY BOX SQUARE 1500ML</t>
  </si>
  <si>
    <t>7622300270919</t>
  </si>
  <si>
    <t xml:space="preserve">KEJU KRAFT QUICK MELT 165GR </t>
  </si>
  <si>
    <t>8997237642573</t>
  </si>
  <si>
    <t>SWAN B MATCHA 500GR</t>
  </si>
  <si>
    <t>8997223840044</t>
  </si>
  <si>
    <t>RICOMAN DARK BROWN SUGAR 1KG</t>
  </si>
  <si>
    <t>1042543</t>
  </si>
  <si>
    <t>KLIR THINWALL REC 650ML</t>
  </si>
  <si>
    <t>8994094000577</t>
  </si>
  <si>
    <t>DAIRY CHAMP SKM 480GR</t>
  </si>
  <si>
    <t>10412362</t>
  </si>
  <si>
    <t>ALKA SARI GULA AREN SEMUT 1KG</t>
  </si>
  <si>
    <t>9556182914723</t>
  </si>
  <si>
    <t>CADBURY  COKLAT 450GR</t>
  </si>
  <si>
    <t>8993200668670</t>
  </si>
  <si>
    <t>MAMAYO MAYONAIS 500GR</t>
  </si>
  <si>
    <t>8992984870019</t>
  </si>
  <si>
    <t>KOEPOE GULA CAIR 1LT</t>
  </si>
  <si>
    <t>9556040071162</t>
  </si>
  <si>
    <t>SUNBAY EVAPORASI 380ML</t>
  </si>
  <si>
    <t>10411014</t>
  </si>
  <si>
    <t>TP KETAN HITAM WALET 250GR</t>
  </si>
  <si>
    <t>788986668</t>
  </si>
  <si>
    <t>RICOMAN LIGHT BROWN SUGAR 500GR</t>
  </si>
  <si>
    <t>10423655</t>
  </si>
  <si>
    <t>VICTORY BOX RECTANGLE 250ML</t>
  </si>
  <si>
    <t>1042587</t>
  </si>
  <si>
    <t>THINWALL DM SQUARE 2000ML</t>
  </si>
  <si>
    <t>8992992933454</t>
  </si>
  <si>
    <t>ZEELANDIA QUICK 75 1KG</t>
  </si>
  <si>
    <t>8997014035253</t>
  </si>
  <si>
    <t>PLAZA GO CRUNCHY CHOCO MALT 1KG</t>
  </si>
  <si>
    <t>8997034020024</t>
  </si>
  <si>
    <t>OH GUAN HING MYK WIJEN 300ML</t>
  </si>
  <si>
    <t>8995102704135</t>
  </si>
  <si>
    <t>MMSK TP ROTI PTH 1KG</t>
  </si>
  <si>
    <t>8719200296602</t>
  </si>
  <si>
    <t>BLUE BAND MST CAKE MENTEGA 500GR</t>
  </si>
  <si>
    <t>8997024460502</t>
  </si>
  <si>
    <t>MC LEWIS SAMBAL EXTRA HOT 6KG</t>
  </si>
  <si>
    <t>8994307100070</t>
  </si>
  <si>
    <t xml:space="preserve">ANCHOR CHEDDAR CHEESE 2KG </t>
  </si>
  <si>
    <t>8993319050106</t>
  </si>
  <si>
    <t>GRANDAIRY FOAMING MILK 1L</t>
  </si>
  <si>
    <t>10424300</t>
  </si>
  <si>
    <t>VICTORY MANGKOK ROUNDBOWL 300ML</t>
  </si>
  <si>
    <t>10411377</t>
  </si>
  <si>
    <t>TERIGU PAYUNG 25KG</t>
  </si>
  <si>
    <t>10425258</t>
  </si>
  <si>
    <t>SENDOK MKN TIPTOP PUTIH 100S</t>
  </si>
  <si>
    <t>10424470</t>
  </si>
  <si>
    <t>OVEN BIMA 12060 STAINLESS</t>
  </si>
  <si>
    <t>8612535102</t>
  </si>
  <si>
    <t>DENALI CARAMEL SYRUP 750ML</t>
  </si>
  <si>
    <t>8993093667811</t>
  </si>
  <si>
    <t>MAIZENA ROSE BRAND 500GR</t>
  </si>
  <si>
    <t>8997236410029</t>
  </si>
  <si>
    <t>TRANS SILVER WHIP TOPPING 1L</t>
  </si>
  <si>
    <t>10423396</t>
  </si>
  <si>
    <t>VICTORY ROUND 300ML</t>
  </si>
  <si>
    <t>1042581</t>
  </si>
  <si>
    <t>THINWALL DM ROUND 300ML</t>
  </si>
  <si>
    <t>10411173</t>
  </si>
  <si>
    <t>BEST BUBBLE TARO 1KG</t>
  </si>
  <si>
    <t>8997214885467</t>
  </si>
  <si>
    <t>MILK BARN UHT FULL CREAM 1L</t>
  </si>
  <si>
    <t>8992705011011</t>
  </si>
  <si>
    <t>SATELIT AGAR 9GR BIRD</t>
  </si>
  <si>
    <t>8992770096128</t>
  </si>
  <si>
    <t>SAORI BOTOL 133ML</t>
  </si>
  <si>
    <t>8612491112</t>
  </si>
  <si>
    <t>DENALI NO DAIRY CREAMER 800GR</t>
  </si>
  <si>
    <t>8991205511113</t>
  </si>
  <si>
    <t>TOFFIECO VANILA PASTA 500GR</t>
  </si>
  <si>
    <t>7320409412260</t>
  </si>
  <si>
    <t>COMEXTRA METE W450 PREMIUM 22.68KG</t>
  </si>
  <si>
    <t>168891</t>
  </si>
  <si>
    <t>TIMBANGAN SF-400</t>
  </si>
  <si>
    <t>1042594</t>
  </si>
  <si>
    <t>THINWALL DM RECTANGLE 200ML</t>
  </si>
  <si>
    <t>10420887</t>
  </si>
  <si>
    <t xml:space="preserve">GRATED PARMESAN 100GR </t>
  </si>
  <si>
    <t>8992993260368</t>
  </si>
  <si>
    <t xml:space="preserve">COLATTA MILK 250GR </t>
  </si>
  <si>
    <t>10425732</t>
  </si>
  <si>
    <t>THINWALL DM SQUARE 120ML</t>
  </si>
  <si>
    <t>10200175</t>
  </si>
  <si>
    <t>ANCHOR BAKER MIX 250GR</t>
  </si>
  <si>
    <t>8994452370014</t>
  </si>
  <si>
    <t>KEJU MYCHIZ MILKY 2KG</t>
  </si>
  <si>
    <t>10427108</t>
  </si>
  <si>
    <t>PLASTIK SEGITIGA ROSA JUMBO</t>
  </si>
  <si>
    <t>1042588</t>
  </si>
  <si>
    <t>THINWALL DM SQUARE 250ML</t>
  </si>
  <si>
    <t>5410522512854</t>
  </si>
  <si>
    <t>CALLEBAUT 38NV 2.5KG</t>
  </si>
  <si>
    <t>8612535125</t>
  </si>
  <si>
    <t>DENALI BLUE CITRUS SYRUP 750ML</t>
  </si>
  <si>
    <t>8714700521025</t>
  </si>
  <si>
    <t>MAIZENAKU 500GR</t>
  </si>
  <si>
    <t>8999999090999</t>
  </si>
  <si>
    <t>ROYCO SAPI 1KG</t>
  </si>
  <si>
    <t>10423654</t>
  </si>
  <si>
    <t>VICTORY BOX RECTANGLE 200ML</t>
  </si>
  <si>
    <t>8992933442113</t>
  </si>
  <si>
    <t>NUTRIJELL PUDING SUSU BELGIAN CKLT 130GR</t>
  </si>
  <si>
    <t>8998888110817</t>
  </si>
  <si>
    <t>MARJAN BOUDOIN LECI 460ML</t>
  </si>
  <si>
    <t>8993200666607</t>
  </si>
  <si>
    <t>GOURMET SAUS SAMBAL EXTRA HOT 1KG</t>
  </si>
  <si>
    <t>1042538</t>
  </si>
  <si>
    <t>KLIR THINWALL REC 1000ML</t>
  </si>
  <si>
    <t>8997033630743</t>
  </si>
  <si>
    <t>ABROFOOD BUMBU RENDANG INSTAN 250GR</t>
  </si>
  <si>
    <t>10410019</t>
  </si>
  <si>
    <t>CHIP MINI COLATTA 1KG</t>
  </si>
  <si>
    <t>10200235</t>
  </si>
  <si>
    <t>ABON AYAM ORI NUTRI 1KG</t>
  </si>
  <si>
    <t>1041075</t>
  </si>
  <si>
    <t>TP SUSU ANCHOR NZMP 25KG</t>
  </si>
  <si>
    <t>8990062008286</t>
  </si>
  <si>
    <t>ALU OX 100 100S</t>
  </si>
  <si>
    <t>10424473</t>
  </si>
  <si>
    <t>OVEN BIMA 8860 STAINLESS</t>
  </si>
  <si>
    <t>104105102</t>
  </si>
  <si>
    <t>ELMER AFRICAN BLCK 250GR</t>
  </si>
  <si>
    <t>9414997006661</t>
  </si>
  <si>
    <t xml:space="preserve">MASCARPONE 500GR </t>
  </si>
  <si>
    <t>8993407212072</t>
  </si>
  <si>
    <t>CHEESY EASY MELT 480GR</t>
  </si>
  <si>
    <t>10410279</t>
  </si>
  <si>
    <t>PALETTA STRAW  1KG</t>
  </si>
  <si>
    <t>10427011</t>
  </si>
  <si>
    <t>BESTAFT SARUNG TANGAN KARET M</t>
  </si>
  <si>
    <t>8997237642559</t>
  </si>
  <si>
    <t>SWAN B TARO 500GR</t>
  </si>
  <si>
    <t>10425582</t>
  </si>
  <si>
    <t>THINWALL DM SQUARE 350ML 25S</t>
  </si>
  <si>
    <t>8997215750184</t>
  </si>
  <si>
    <t>KEJU WINCHEEZ CHEDDAR 2KG</t>
  </si>
  <si>
    <t>10424520</t>
  </si>
  <si>
    <t>OVEN HOCK HAWA NO. 2</t>
  </si>
  <si>
    <t>1042591</t>
  </si>
  <si>
    <t>THINWALL DM RECTANGLE 1000ML</t>
  </si>
  <si>
    <t>8995127900420</t>
  </si>
  <si>
    <t>SELAI NANAS NASTAR NINE 500GR</t>
  </si>
  <si>
    <t>10424153</t>
  </si>
  <si>
    <t xml:space="preserve">PET BULAT PRINTING 9CM 200S LM- </t>
  </si>
  <si>
    <t>8997002050350</t>
  </si>
  <si>
    <t>NARAYA LONGAN 565GR</t>
  </si>
  <si>
    <t>10421037</t>
  </si>
  <si>
    <t>TULIP BUBUK BORDEAUX 250GR</t>
  </si>
  <si>
    <t>8993379500221</t>
  </si>
  <si>
    <t>MG SUNCO 1L</t>
  </si>
  <si>
    <t>10410118</t>
  </si>
  <si>
    <t>SPRINKLE DRUM 250GR</t>
  </si>
  <si>
    <t>8992933329117</t>
  </si>
  <si>
    <t>NUTRIJELL EKO CINCAU</t>
  </si>
  <si>
    <t>8990064000394</t>
  </si>
  <si>
    <t>PLAZA SPREAD CRUNCHY MILK 1KG</t>
  </si>
  <si>
    <t>8997231730030</t>
  </si>
  <si>
    <t>AROMANIS BROWN SUGAR 250GR</t>
  </si>
  <si>
    <t>8997215750153</t>
  </si>
  <si>
    <t>KEJU WINCHEEZ CHEDDAR 160GR</t>
  </si>
  <si>
    <t>8003180018676</t>
  </si>
  <si>
    <t>MASTER GOURMET MLY 1LT</t>
  </si>
  <si>
    <t>8997015494004</t>
  </si>
  <si>
    <t>GREEN VALLEY GRATED PERMESAN 80GR</t>
  </si>
  <si>
    <t>8809301681435</t>
  </si>
  <si>
    <t>EVER WHIP KRIM NABATI 1030GR</t>
  </si>
  <si>
    <t>10424475</t>
  </si>
  <si>
    <t>OVEN BIMA 8044 HITAM</t>
  </si>
  <si>
    <t>8998888153562</t>
  </si>
  <si>
    <t>SUNQUICK MANDARIN 700ML</t>
  </si>
  <si>
    <t>8992993524477</t>
  </si>
  <si>
    <t>COLATTA FINEZA COMPOUND 250GR</t>
  </si>
  <si>
    <t>8992826250108</t>
  </si>
  <si>
    <t>MARGARINE PALMBOOM 15KG</t>
  </si>
  <si>
    <t>1042589</t>
  </si>
  <si>
    <t>THINWALL DM SQUARE 1500ML</t>
  </si>
  <si>
    <t>10410168</t>
  </si>
  <si>
    <t>CORMAN PATISY 250GR</t>
  </si>
  <si>
    <t>10411597</t>
  </si>
  <si>
    <t>MISES CHOCC 168 1KG</t>
  </si>
  <si>
    <t>10425731</t>
  </si>
  <si>
    <t>THINWALL DM SQUARE 150ML</t>
  </si>
  <si>
    <t>8888140202124</t>
  </si>
  <si>
    <t>MILI LYCHEE 565GR</t>
  </si>
  <si>
    <t>10411537</t>
  </si>
  <si>
    <t>PALETTA BLUEBERRY 1KG</t>
  </si>
  <si>
    <t>10420122</t>
  </si>
  <si>
    <t xml:space="preserve">MIKA MEGA 2A </t>
  </si>
  <si>
    <t>10430096</t>
  </si>
  <si>
    <t xml:space="preserve">VICTORY BOX SQUARE 1000ML </t>
  </si>
  <si>
    <t>8997014450070</t>
  </si>
  <si>
    <t>KEJU PROCHIZ SLICE 5S</t>
  </si>
  <si>
    <t>8999898962557</t>
  </si>
  <si>
    <t>DIAMOND UHT COKLAT 1L</t>
  </si>
  <si>
    <t>8999999034054</t>
  </si>
  <si>
    <t>KNORR POTATO FLAKES 4KG</t>
  </si>
  <si>
    <t>8992933247114</t>
  </si>
  <si>
    <t>NUTRIJELL MANGGA GEDONG PCS</t>
  </si>
  <si>
    <t>1042586</t>
  </si>
  <si>
    <t>THINWALL DM ROUND BOWL 200ML</t>
  </si>
  <si>
    <t>8993351123103</t>
  </si>
  <si>
    <t>GREENFIELDS MOZZARELLA 1KG</t>
  </si>
  <si>
    <t>049800101579</t>
  </si>
  <si>
    <t>RICHS GOLD 500ML</t>
  </si>
  <si>
    <t>CHILLED</t>
  </si>
  <si>
    <t>089686420098</t>
  </si>
  <si>
    <t>INDOFOOD KECAP MANIS 5.7KG</t>
  </si>
  <si>
    <t>CONDIMENT</t>
  </si>
  <si>
    <t>8993093665497</t>
  </si>
  <si>
    <t>ROSE BRAND GULA TEBU 1KG</t>
  </si>
  <si>
    <t>10411653</t>
  </si>
  <si>
    <t>GREEN TEA MATCHA BUBUK 100GR</t>
  </si>
  <si>
    <t>8999758456448</t>
  </si>
  <si>
    <t>GULARE BROWN SUGAR SYRUP 1.3KG</t>
  </si>
  <si>
    <t>8992992936776</t>
  </si>
  <si>
    <t>LAROME VANILLA SUSU 40GR</t>
  </si>
  <si>
    <t>8992992340429</t>
  </si>
  <si>
    <t>LAROME PANDAN 500G</t>
  </si>
  <si>
    <t>10530055</t>
  </si>
  <si>
    <t>BOTOL ALMOND</t>
  </si>
  <si>
    <t>8997014039619</t>
  </si>
  <si>
    <t>PLAZA GLAZE ECO DARK 1KG</t>
  </si>
  <si>
    <t>10423395</t>
  </si>
  <si>
    <t>VICTORY CUP 25ML</t>
  </si>
  <si>
    <t>8991205511670</t>
  </si>
  <si>
    <t>TOFFIECO VANILA BUTTER PASTA 1KG</t>
  </si>
  <si>
    <t>8997214270034</t>
  </si>
  <si>
    <t>FIBER CREME 450gr</t>
  </si>
  <si>
    <t>8997237642061</t>
  </si>
  <si>
    <t>BRO BUBBLE GREENTEA 1KG</t>
  </si>
  <si>
    <t>8612535141</t>
  </si>
  <si>
    <t>DENALI BUTTERSCOOTCH SYRUP 750ML</t>
  </si>
  <si>
    <t>18992628605172</t>
  </si>
  <si>
    <t>AMANDA MARGARIN KRIM 15KG</t>
  </si>
  <si>
    <t>8612535101</t>
  </si>
  <si>
    <t>DENALI VANILLA SYRUP 750ML</t>
  </si>
  <si>
    <t>8998008170042</t>
  </si>
  <si>
    <t xml:space="preserve">MMSK MAYONAIS 1KG </t>
  </si>
  <si>
    <t>8992957212501</t>
  </si>
  <si>
    <t>LAGIE MISES SAFARI COKLAT 250GR</t>
  </si>
  <si>
    <t>8997024460236</t>
  </si>
  <si>
    <t>MC LEWIS CHILI SAUCE 1KG</t>
  </si>
  <si>
    <t>8997237642900</t>
  </si>
  <si>
    <t>SWAN B STRAW 500GR</t>
  </si>
  <si>
    <t>8993093666326</t>
  </si>
  <si>
    <t>TP GULA ROSE BRAND 500GR</t>
  </si>
  <si>
    <t>8998888170828</t>
  </si>
  <si>
    <t>MARJAN SQUASH LYCHEE 450ML</t>
  </si>
  <si>
    <t>8992696526549</t>
  </si>
  <si>
    <t>CARNATION SKM PCH 2KG</t>
  </si>
  <si>
    <t>10200326</t>
  </si>
  <si>
    <t>KULIT DIMSUM HW 10CM</t>
  </si>
  <si>
    <t>8993061901657</t>
  </si>
  <si>
    <t>TOTAL BAKING PAPER PUTIH 30CMX10M</t>
  </si>
  <si>
    <t>8999999000875</t>
  </si>
  <si>
    <t>KNORR CHICKEN PWDR REFF 1KG</t>
  </si>
  <si>
    <t>8993093668177</t>
  </si>
  <si>
    <t>TP GULA ROSE BRAND 250GR</t>
  </si>
  <si>
    <t>8997237642047</t>
  </si>
  <si>
    <t>SWAN B THAI TEA 500GR</t>
  </si>
  <si>
    <t>8992736111179</t>
  </si>
  <si>
    <t>SASA SAMBAL SACHET 8GR</t>
  </si>
  <si>
    <t>8003180018683</t>
  </si>
  <si>
    <t>PLEASURE GOLD 1L</t>
  </si>
  <si>
    <t>10430094</t>
  </si>
  <si>
    <t>VICTORY CUP 60ML</t>
  </si>
  <si>
    <t>8997014030661</t>
  </si>
  <si>
    <t>ELMER AF RED 12% 1KG</t>
  </si>
  <si>
    <t>8993351129938</t>
  </si>
  <si>
    <t>GREENFIELDS FRESH MILK 1LT</t>
  </si>
  <si>
    <t>8990062008224</t>
  </si>
  <si>
    <t>ALU AX350 BLANK 125S</t>
  </si>
  <si>
    <t>10410683</t>
  </si>
  <si>
    <t>TULIP MASTER FILLING 1KG</t>
  </si>
  <si>
    <t>10200327</t>
  </si>
  <si>
    <t>KULIT DIMSUM HW 8CM</t>
  </si>
  <si>
    <t>8992770096135</t>
  </si>
  <si>
    <t>SAORI BOTOL 270ML</t>
  </si>
  <si>
    <t>10411161</t>
  </si>
  <si>
    <t>BEST BUBBLE CAPUCINO 1KG</t>
  </si>
  <si>
    <t>5410522513257</t>
  </si>
  <si>
    <t xml:space="preserve">CALLEBAUT 811NV 2,5KG </t>
  </si>
  <si>
    <t>711844115033</t>
  </si>
  <si>
    <t>ABC KECAP ASIN 620ML</t>
  </si>
  <si>
    <t>8612491101</t>
  </si>
  <si>
    <t>DENALI DARK COCOA 800GR</t>
  </si>
  <si>
    <t>8993037043022</t>
  </si>
  <si>
    <t>DONNY NASTAR NANAS 500GR</t>
  </si>
  <si>
    <t>8612491106</t>
  </si>
  <si>
    <t>DENALI MATCHA 800GR</t>
  </si>
  <si>
    <t>8992696525054</t>
  </si>
  <si>
    <t>DANCOW FORTIGRO 26GR 10S</t>
  </si>
  <si>
    <t>9415007054962</t>
  </si>
  <si>
    <t>BAKERS MIX MILK POWDER 500GR</t>
  </si>
  <si>
    <t>8999999502010</t>
  </si>
  <si>
    <t>BANGO KECAP 6.2KG</t>
  </si>
  <si>
    <t>10426421</t>
  </si>
  <si>
    <t>KLIR THINWALL OVAL 450ML</t>
  </si>
  <si>
    <t>9415007038948</t>
  </si>
  <si>
    <t>ANCHOR SLICE OREN 1.04KG</t>
  </si>
  <si>
    <t>8612535108</t>
  </si>
  <si>
    <t>DENALI LYCHEE SYRUP 750ML</t>
  </si>
  <si>
    <t>8992992932440</t>
  </si>
  <si>
    <t>CARLO PENGOLES LOYANG 400GR</t>
  </si>
  <si>
    <t>8003180018690</t>
  </si>
  <si>
    <t>MONNA LISA MLY 1LT</t>
  </si>
  <si>
    <t>8993080104503</t>
  </si>
  <si>
    <t>HERCULES BAKING PWD 450GR</t>
  </si>
  <si>
    <t>8997014036915</t>
  </si>
  <si>
    <t>ELMER GLAZE CHEESE 5KG</t>
  </si>
  <si>
    <t>8997014030319</t>
  </si>
  <si>
    <t>ELMER COCOMALTIN CRUNCHY 1KG</t>
  </si>
  <si>
    <t>10420986</t>
  </si>
  <si>
    <t>ELMER FILLING BAKERY 5KG</t>
  </si>
  <si>
    <t>8997014031606</t>
  </si>
  <si>
    <t>ELMER COMP BAKERY WHITE 1KG</t>
  </si>
  <si>
    <t>8998009010613</t>
  </si>
  <si>
    <t>ULTRA MILK FULL CREAM 1000ML</t>
  </si>
  <si>
    <t>10412392</t>
  </si>
  <si>
    <t>ANCHOR CREAM CHEESE (GRAM)</t>
  </si>
  <si>
    <t>8992696426528</t>
  </si>
  <si>
    <t>CARNATION SKM 488GR</t>
  </si>
  <si>
    <t>8993007006538</t>
  </si>
  <si>
    <t>TIGA SAPI EVAPORASI 500GR</t>
  </si>
  <si>
    <t>10530129</t>
  </si>
  <si>
    <t>BOTOL JAR 600ML</t>
  </si>
  <si>
    <t>10425098</t>
  </si>
  <si>
    <t>THINWALL DM RECTANGLE 250ML</t>
  </si>
  <si>
    <t>9311931183160</t>
  </si>
  <si>
    <t>MAX CREAMER 500G</t>
  </si>
  <si>
    <t>8993379500238</t>
  </si>
  <si>
    <t>MG SUNCO 2LT</t>
  </si>
  <si>
    <t>8992753700301</t>
  </si>
  <si>
    <t>FF PUREFARM COCONUT DELIGHT 946ML</t>
  </si>
  <si>
    <t>8992933463118</t>
  </si>
  <si>
    <t>NUTRIJELL PUDING SUSU MANGGA 170GR</t>
  </si>
  <si>
    <t>9556040210042</t>
  </si>
  <si>
    <t>FN EVAPORASI SUSU KLG 380GR</t>
  </si>
  <si>
    <t>8997024460496</t>
  </si>
  <si>
    <t>MC LEWIS CHILI SAUS EXT HOT POUCH 1KG</t>
  </si>
  <si>
    <t>8993296101044</t>
  </si>
  <si>
    <t xml:space="preserve">SEGITIGA BIRU PREMIUM 5KG </t>
  </si>
  <si>
    <t>8999898962533</t>
  </si>
  <si>
    <t>DIAMOND UHT FULL CREAM 1L</t>
  </si>
  <si>
    <t>8719200259898</t>
  </si>
  <si>
    <t>BLUE BAND MST BAKING 1KG</t>
  </si>
  <si>
    <t>10425750</t>
  </si>
  <si>
    <t>BEST FRESH BAKING PAPER WHITE 40X60CM</t>
  </si>
  <si>
    <t>10520088</t>
  </si>
  <si>
    <t>SARUNG TANGAN CAKRA</t>
  </si>
  <si>
    <t>8993007003902</t>
  </si>
  <si>
    <t>INDOMILK SKM PUTIH PCH 545GR</t>
  </si>
  <si>
    <t>8997014039633</t>
  </si>
  <si>
    <t>PLAZA GLAZE ECO TIRAMISU 1KG</t>
  </si>
  <si>
    <t>10420445</t>
  </si>
  <si>
    <t>TOPLES EASYTOP 1108</t>
  </si>
  <si>
    <t>10700004</t>
  </si>
  <si>
    <t>TOPLES NUAI 1001</t>
  </si>
  <si>
    <t>1042545</t>
  </si>
  <si>
    <t>KLIR THINWALL REC 750ML</t>
  </si>
  <si>
    <t>9415007055631</t>
  </si>
  <si>
    <t xml:space="preserve">ANCHOR SALTED 200GR </t>
  </si>
  <si>
    <t>10200097</t>
  </si>
  <si>
    <t xml:space="preserve">GULA PASIR  1KG </t>
  </si>
  <si>
    <t>10410010</t>
  </si>
  <si>
    <t xml:space="preserve">COLATTA STIK 1200GR </t>
  </si>
  <si>
    <t>2707103014382</t>
  </si>
  <si>
    <t>ABON SAPI SR SUPER 100GR</t>
  </si>
  <si>
    <t>8992753720606</t>
  </si>
  <si>
    <t xml:space="preserve">FF OMELA KRIMER 490GR </t>
  </si>
  <si>
    <t>8992628650151</t>
  </si>
  <si>
    <t xml:space="preserve">ROYAL PALMIA 200GR </t>
  </si>
  <si>
    <t>10530169</t>
  </si>
  <si>
    <t>BOTOL JAR 400ML</t>
  </si>
  <si>
    <t>10425383</t>
  </si>
  <si>
    <t>KLIR THINWALL SQ 150ML</t>
  </si>
  <si>
    <t>8999898977476</t>
  </si>
  <si>
    <t>DIAMOND UHT ALL PURPOSE MILK 1L</t>
  </si>
  <si>
    <t>1042528</t>
  </si>
  <si>
    <t>KLIR THINWALL SAUCE CUP 35ML</t>
  </si>
  <si>
    <t>10530113</t>
  </si>
  <si>
    <t>PIPET STERIL HITAM 620 6MM 250S</t>
  </si>
  <si>
    <t>8714700521032</t>
  </si>
  <si>
    <t>MAIZENAKU HONIQ 250GR</t>
  </si>
  <si>
    <t>9415007055648</t>
  </si>
  <si>
    <t>ANCHOR UNSALTED 200GR</t>
  </si>
  <si>
    <t>8993007007153</t>
  </si>
  <si>
    <t>INDOMILK FC PLAIN FOOD SERVICE 950ML</t>
  </si>
  <si>
    <t>8997214880868</t>
  </si>
  <si>
    <t>MILK BARN 1KG</t>
  </si>
  <si>
    <t>8993200664542</t>
  </si>
  <si>
    <t>MAMAYO MAYONAIS 1KG</t>
  </si>
  <si>
    <t>8992770011244</t>
  </si>
  <si>
    <t xml:space="preserve">AJINOMOTO PLUS 1KG </t>
  </si>
  <si>
    <t>10423640</t>
  </si>
  <si>
    <t>TOPLES LOGO 368</t>
  </si>
  <si>
    <t>10423633</t>
  </si>
  <si>
    <t>TOPLES LOGO 398</t>
  </si>
  <si>
    <t>8997014450094</t>
  </si>
  <si>
    <t>KEJU PROCHIZ SLICE 10S</t>
  </si>
  <si>
    <t>8992205015007</t>
  </si>
  <si>
    <t xml:space="preserve">SELAI NANAS NASTAR ROYAL 500GR </t>
  </si>
  <si>
    <t>10423681</t>
  </si>
  <si>
    <t>VICTORY BOX RECTANGLE 1000ML</t>
  </si>
  <si>
    <t>10410696</t>
  </si>
  <si>
    <t>ELMER MISES DARK 1/2KG</t>
  </si>
  <si>
    <t>10510023</t>
  </si>
  <si>
    <t>ASOY KALONG MRH 40</t>
  </si>
  <si>
    <t>10411042</t>
  </si>
  <si>
    <t>TP KETAN HITAM WALET 500GR</t>
  </si>
  <si>
    <t>8997002050367</t>
  </si>
  <si>
    <t>NARAYA LECY 565GR</t>
  </si>
  <si>
    <t>10423397</t>
  </si>
  <si>
    <t>VICTORY BOWL 400ML</t>
  </si>
  <si>
    <t>10530201</t>
  </si>
  <si>
    <t>BOTOL JAR 500ML</t>
  </si>
  <si>
    <t>10411061</t>
  </si>
  <si>
    <t>ROYAL KRONE BOS SALTED 1/2KG</t>
  </si>
  <si>
    <t>8992933214116</t>
  </si>
  <si>
    <t>NUTRIJELL MELON PCS</t>
  </si>
  <si>
    <t>10423437</t>
  </si>
  <si>
    <t>BOTOL JAR 1300ML</t>
  </si>
  <si>
    <t>8999999538231</t>
  </si>
  <si>
    <t xml:space="preserve">KNORR CHICKEN PWD 200GR </t>
  </si>
  <si>
    <t>10410320</t>
  </si>
  <si>
    <t>TP SUSU MILKY 1KG</t>
  </si>
  <si>
    <t>8992628510158</t>
  </si>
  <si>
    <t>SIMAS PALMIA 200GR</t>
  </si>
  <si>
    <t>10423548</t>
  </si>
  <si>
    <t>VICTORY BOWL 200 ML</t>
  </si>
  <si>
    <t>10425318</t>
  </si>
  <si>
    <t>THINWALL DM ROUND 450ML</t>
  </si>
  <si>
    <t>10410965</t>
  </si>
  <si>
    <t>CALLEBAUT 38NV 250GR</t>
  </si>
  <si>
    <t>10420885</t>
  </si>
  <si>
    <t>ALMOND SLICE 500gr</t>
  </si>
  <si>
    <t>8998888712196</t>
  </si>
  <si>
    <t>DELMONTE SPAGHETTY 250GR</t>
  </si>
  <si>
    <t>8993162116028</t>
  </si>
  <si>
    <t>POHON PINANG FRESH JUICE MARKISA 12X520ML</t>
  </si>
  <si>
    <t>10410152</t>
  </si>
  <si>
    <t>PANIR WARNA 1KG</t>
  </si>
  <si>
    <t>10530149</t>
  </si>
  <si>
    <t xml:space="preserve">BOTOL JAR 800ML </t>
  </si>
  <si>
    <t>8992993250079</t>
  </si>
  <si>
    <t xml:space="preserve">HAAN FIESTA ICING SUGAR 425GR </t>
  </si>
  <si>
    <t>1042582</t>
  </si>
  <si>
    <t>THINWALL DM ROUND 400ML</t>
  </si>
  <si>
    <t>10410091</t>
  </si>
  <si>
    <t>ALMOND SLICE 100GR</t>
  </si>
  <si>
    <t>8992933219111</t>
  </si>
  <si>
    <t>NUTRIJELL CINCAU PCS 15GR</t>
  </si>
  <si>
    <t>10200222</t>
  </si>
  <si>
    <t xml:space="preserve">TP KANJI PAK TANI KEMASAN 1KG </t>
  </si>
  <si>
    <t>10422350</t>
  </si>
  <si>
    <t>LOY LIDAH KUCING 60X40 CM</t>
  </si>
  <si>
    <t>8997033631559</t>
  </si>
  <si>
    <t>TP GULA RUMAH KITA 1KG</t>
  </si>
  <si>
    <t>8992770111104</t>
  </si>
  <si>
    <t xml:space="preserve">MAYUMI SERBAGUNA 1KG </t>
  </si>
  <si>
    <t>078895300031</t>
  </si>
  <si>
    <t>LKK SAUS TIRAM 907GR</t>
  </si>
  <si>
    <t>8997014450308</t>
  </si>
  <si>
    <t>PROCHIZ MAYO 1L</t>
  </si>
  <si>
    <t>10410167</t>
  </si>
  <si>
    <t xml:space="preserve">CORMAN PATISY 1/2KG </t>
  </si>
  <si>
    <t>711844120624</t>
  </si>
  <si>
    <t>ABC SAMBAL ASLI 24 KG</t>
  </si>
  <si>
    <t>8992993527799</t>
  </si>
  <si>
    <t>D CORE DARK COMPOUND 1KG</t>
  </si>
  <si>
    <t>8714700522015</t>
  </si>
  <si>
    <t>MAIZENAKU TP CORN 1KG</t>
  </si>
  <si>
    <t>10412371</t>
  </si>
  <si>
    <t>MELCREAMER HB01 1KG</t>
  </si>
  <si>
    <t>10426419</t>
  </si>
  <si>
    <t>KLIR THINWALL OVAL 700ML</t>
  </si>
  <si>
    <t>1042530</t>
  </si>
  <si>
    <t>KLIR THINWALL SAUCE CUP 25ML</t>
  </si>
  <si>
    <t>8991999110219</t>
  </si>
  <si>
    <t>MILK LIFE FRESH MILK 1L</t>
  </si>
  <si>
    <t>8997014034935</t>
  </si>
  <si>
    <t>ELMER GLAZE DARK VIZTA 200GR</t>
  </si>
  <si>
    <t>10410126</t>
  </si>
  <si>
    <t xml:space="preserve">CORMAN PATISY 1KG </t>
  </si>
  <si>
    <t>10423666</t>
  </si>
  <si>
    <t>VICTORY CUP 100ML</t>
  </si>
  <si>
    <t>8992826346115</t>
  </si>
  <si>
    <t>PUSAKA BAKER FAT 15KG</t>
  </si>
  <si>
    <t>8997028580909</t>
  </si>
  <si>
    <t xml:space="preserve">KEJU CALF MERAH 2KG </t>
  </si>
  <si>
    <t>10411603</t>
  </si>
  <si>
    <t>FILMA MARGARNIE 1KG</t>
  </si>
  <si>
    <t>10410213</t>
  </si>
  <si>
    <t>CHOCO CRUNCH 250GR</t>
  </si>
  <si>
    <t>10411100</t>
  </si>
  <si>
    <t>ANCHOR SALTED 1/2KG</t>
  </si>
  <si>
    <t>10411030</t>
  </si>
  <si>
    <t>GULA CAIR 30LT</t>
  </si>
  <si>
    <t>10410184</t>
  </si>
  <si>
    <t>BIJAN PUTIH 1KG</t>
  </si>
  <si>
    <t>10411771</t>
  </si>
  <si>
    <t>YAKI SUSHI NORI 125GR 50S</t>
  </si>
  <si>
    <t>8993296715012</t>
  </si>
  <si>
    <t xml:space="preserve">CAKRA KEMBAR TP 1KG </t>
  </si>
  <si>
    <t>8992933243116</t>
  </si>
  <si>
    <t>NUTRIJELL KELAPA MUDA PCS</t>
  </si>
  <si>
    <t>10410436</t>
  </si>
  <si>
    <t>CORN FLAKE 250GR</t>
  </si>
  <si>
    <t>8994448730037</t>
  </si>
  <si>
    <t>DELS MOZZARELLA STRETCHY 250GR</t>
  </si>
  <si>
    <t>8994448730006</t>
  </si>
  <si>
    <t>DELS MOZZARELLA CREAMY&amp;STRETCHY 250GR</t>
  </si>
  <si>
    <t>10410044</t>
  </si>
  <si>
    <t>MENTEGA SIMAS 1KG</t>
  </si>
  <si>
    <t>8992933326116</t>
  </si>
  <si>
    <t>NUTRIJELL EKO MANGGA</t>
  </si>
  <si>
    <t>8998888712288</t>
  </si>
  <si>
    <t>DELMONTE BBQ SAUS 1KG</t>
  </si>
  <si>
    <t>8993093115008</t>
  </si>
  <si>
    <t>TEPUNG BERAS ROSE BRAND 500G</t>
  </si>
  <si>
    <t>8992717900266</t>
  </si>
  <si>
    <t>NATAKU NATADE COCO 1KG</t>
  </si>
  <si>
    <t>10410550</t>
  </si>
  <si>
    <t xml:space="preserve">SUSU PROMIL 1KG </t>
  </si>
  <si>
    <t>8993351121307</t>
  </si>
  <si>
    <t xml:space="preserve">GREENFIELDS FC MILK 1KG </t>
  </si>
  <si>
    <t>10411971</t>
  </si>
  <si>
    <t>KOEPOE SP 10KG</t>
  </si>
  <si>
    <t>5410126146943</t>
  </si>
  <si>
    <t>LOTUS CRUNCHY 380GR</t>
  </si>
  <si>
    <t>8997226690684</t>
  </si>
  <si>
    <t>COMEXTRA METE W240 PREMIUM 1KG</t>
  </si>
  <si>
    <t>8997014036854</t>
  </si>
  <si>
    <t>ELMER GLAZE RED VELVET 5KG</t>
  </si>
  <si>
    <t>10410820</t>
  </si>
  <si>
    <t>BUTTER VITAS BOS 18KG</t>
  </si>
  <si>
    <t>8997014030692</t>
  </si>
  <si>
    <t>ELMER AFRICAN RED 5KG</t>
  </si>
  <si>
    <t>10412363</t>
  </si>
  <si>
    <t>ALKA SARI GULA AREN CAIR 1L</t>
  </si>
  <si>
    <t>8612535103</t>
  </si>
  <si>
    <t>DENALI HAZELNUT SYRUP 750ML</t>
  </si>
  <si>
    <t>8991205510772</t>
  </si>
  <si>
    <t>TOFFIECO COKLAT PASTA 1 LITER</t>
  </si>
  <si>
    <t>10600003</t>
  </si>
  <si>
    <t>K EMPING LH 5KG</t>
  </si>
  <si>
    <t>10420814</t>
  </si>
  <si>
    <t>CALLEBAUT 811NV 250GR</t>
  </si>
  <si>
    <t>8997014039503</t>
  </si>
  <si>
    <t>PLAZA GLAZE ECO WHITE 5KG</t>
  </si>
  <si>
    <t>8992628032155</t>
  </si>
  <si>
    <t>MG BIMOLI SPECIAL 2LT</t>
  </si>
  <si>
    <t>9556001317254</t>
  </si>
  <si>
    <t>MILO ACTIVE GO MALAYSIA 900GR</t>
  </si>
  <si>
    <t>8990062008323</t>
  </si>
  <si>
    <t>ALU OX 250 100s</t>
  </si>
  <si>
    <t>10425111</t>
  </si>
  <si>
    <t>BEST FRESH 200MM</t>
  </si>
  <si>
    <t>8992992340139</t>
  </si>
  <si>
    <t>PALETTA STRAW 5KG</t>
  </si>
  <si>
    <t>8995102707853</t>
  </si>
  <si>
    <t>MMSK DELISAOS HOT LAVA VOLCANO 6,2KG</t>
  </si>
  <si>
    <t>8999999000868</t>
  </si>
  <si>
    <t>KNORR ROSTIP 1KG</t>
  </si>
  <si>
    <t>8993492101657</t>
  </si>
  <si>
    <t>EDO PUFF PASTRY 750GR</t>
  </si>
  <si>
    <t>1042540</t>
  </si>
  <si>
    <t>KLIR CUP 100ML</t>
  </si>
  <si>
    <t>10410697</t>
  </si>
  <si>
    <t>ELMER MISES DARK 1KG</t>
  </si>
  <si>
    <t>8992717781001</t>
  </si>
  <si>
    <t xml:space="preserve">KARA NATA DE COCO  1KG </t>
  </si>
  <si>
    <t>10410444</t>
  </si>
  <si>
    <t>CHIP LAGIE 1/2 BLT 1KG</t>
  </si>
  <si>
    <t>8993472100083</t>
  </si>
  <si>
    <t>PALM SUKER PIDO 250GR</t>
  </si>
  <si>
    <t>8993080101106</t>
  </si>
  <si>
    <t xml:space="preserve">HERCULES BAKING PWD 110GR </t>
  </si>
  <si>
    <t>7622210557858</t>
  </si>
  <si>
    <t>KEJU KRAFT CHEDDAR ALL IN 1 160GR</t>
  </si>
  <si>
    <t>788986669</t>
  </si>
  <si>
    <t>RICOMAN DARK BROWN SUGAR 500g</t>
  </si>
  <si>
    <t>10520048</t>
  </si>
  <si>
    <t>STANDING POUCH 16X32</t>
  </si>
  <si>
    <t>10411027</t>
  </si>
  <si>
    <t>PALMIA SUPERCAKE 1KG</t>
  </si>
  <si>
    <t>8992957251487</t>
  </si>
  <si>
    <t>LAGIE GOLDEN CITY CHOC BALL 75GR</t>
  </si>
  <si>
    <t>10410214</t>
  </si>
  <si>
    <t>SAGU MUTIARA API ABADI 1KG</t>
  </si>
  <si>
    <t>8993080333002</t>
  </si>
  <si>
    <t xml:space="preserve">FINO TP CUSTARD 300GR </t>
  </si>
  <si>
    <t>10700003</t>
  </si>
  <si>
    <t>TOPLES BIGGY CT-250</t>
  </si>
  <si>
    <t>10425580</t>
  </si>
  <si>
    <t>THINWALL DM SQUARE 500ML 25S</t>
  </si>
  <si>
    <t>6922130108040</t>
  </si>
  <si>
    <t xml:space="preserve">TOTOLE KALDU JAMUR 400GR </t>
  </si>
  <si>
    <t>1042536</t>
  </si>
  <si>
    <t>KLIR THINWALL SQ 1500ML</t>
  </si>
  <si>
    <t>8719200171404</t>
  </si>
  <si>
    <t>BLUE BAND SERBAGUNA 250GR CUP</t>
  </si>
  <si>
    <t>10410698</t>
  </si>
  <si>
    <t>TP SUSU NZMP ANCHOR 100GR</t>
  </si>
  <si>
    <t>711844110519</t>
  </si>
  <si>
    <t xml:space="preserve">ABC KCP JRG 6KG </t>
  </si>
  <si>
    <t>8992992348906</t>
  </si>
  <si>
    <t>8997014030531</t>
  </si>
  <si>
    <t xml:space="preserve">ELMER COMP GREEN TEA 1KG </t>
  </si>
  <si>
    <t>8992696405493</t>
  </si>
  <si>
    <t>DANCOW FORTIGRO 780GR</t>
  </si>
  <si>
    <t>10410601</t>
  </si>
  <si>
    <t xml:space="preserve">ELMER AFRICAN RED 100GR </t>
  </si>
  <si>
    <t>10411028</t>
  </si>
  <si>
    <t>PALMIA MARGARINE 1KG</t>
  </si>
  <si>
    <t>7898024394181</t>
  </si>
  <si>
    <t xml:space="preserve">NUTELLA 350GR </t>
  </si>
  <si>
    <t>10200071</t>
  </si>
  <si>
    <t>KACANG KUPAS 1KG</t>
  </si>
  <si>
    <t>10540091</t>
  </si>
  <si>
    <t>GELAS 22 OZ OVAL STD 8GR</t>
  </si>
  <si>
    <t>10423436</t>
  </si>
  <si>
    <t>VICTORY ROUND 450ML</t>
  </si>
  <si>
    <t>8997014035109</t>
  </si>
  <si>
    <t>ELMER GLAZE DARK 5KG</t>
  </si>
  <si>
    <t>10411526</t>
  </si>
  <si>
    <t>CARAVELLE 1KG</t>
  </si>
  <si>
    <t>8995102708041</t>
  </si>
  <si>
    <t>MMSK RUMPUT LAUT (NORI) 20GR</t>
  </si>
  <si>
    <t>8997014450445</t>
  </si>
  <si>
    <t>KEJU TOP CHIZ 250GR</t>
  </si>
  <si>
    <t>8997223840082</t>
  </si>
  <si>
    <t>RICOMAN PALM SUGAR A 400GR</t>
  </si>
  <si>
    <t>8992993525924</t>
  </si>
  <si>
    <t>COL GLAZE G.TEA MATCHA 1KG TUB</t>
  </si>
  <si>
    <t>10412003</t>
  </si>
  <si>
    <t>SWAN BRAND TP KETAN HITAM 250GR</t>
  </si>
  <si>
    <t>10411581</t>
  </si>
  <si>
    <t>AMANDA MARGARIN KRIM 1KG</t>
  </si>
  <si>
    <t>8997215750016</t>
  </si>
  <si>
    <t xml:space="preserve">KEJU WINCHEZZ 2KG </t>
  </si>
  <si>
    <t>10510136</t>
  </si>
  <si>
    <t>ASOY KRISNA 10X30</t>
  </si>
  <si>
    <t>8993296101112</t>
  </si>
  <si>
    <t xml:space="preserve">CAKRA KEMBAR PREMIUM 1KG </t>
  </si>
  <si>
    <t>8888091998381</t>
  </si>
  <si>
    <t>MAMATA LYCHEE 565GR</t>
  </si>
  <si>
    <t>10510001</t>
  </si>
  <si>
    <t>ASOY BNG KRISNA 15</t>
  </si>
  <si>
    <t>3516662440018</t>
  </si>
  <si>
    <t>RAGI INS SAF 11GR</t>
  </si>
  <si>
    <t>8993296201119</t>
  </si>
  <si>
    <t xml:space="preserve">SEGITIGA BIRU PREMIUM 1KG </t>
  </si>
  <si>
    <t>8997024460359</t>
  </si>
  <si>
    <t>MC LEWIS MAYO ORIGINAL 1KG</t>
  </si>
  <si>
    <t>9556339009722</t>
  </si>
  <si>
    <t>BAGUS SKM 505GR</t>
  </si>
  <si>
    <t>8995002804010</t>
  </si>
  <si>
    <t>SPONGE 28 20KG</t>
  </si>
  <si>
    <t>10420596</t>
  </si>
  <si>
    <t>TOPLES EASYTOP 1109</t>
  </si>
  <si>
    <t>8997028580053</t>
  </si>
  <si>
    <t>MERCOLADE WHITE 1KG</t>
  </si>
  <si>
    <t>10200202</t>
  </si>
  <si>
    <t>KACANG KUPAS 41/51 GROSS 12,5KG</t>
  </si>
  <si>
    <t>10411166</t>
  </si>
  <si>
    <t>BEST BUBBLE MANGGA 1KG</t>
  </si>
  <si>
    <t>10411419</t>
  </si>
  <si>
    <t>LAKREIVA R.VELVET FINE 2.5KG</t>
  </si>
  <si>
    <t>10424181</t>
  </si>
  <si>
    <t>PLASTIK OPP 15X15 1000S</t>
  </si>
  <si>
    <t>10410845</t>
  </si>
  <si>
    <t xml:space="preserve">TULIP BUBUK BORDEAUX 1KG </t>
  </si>
  <si>
    <t>10424477</t>
  </si>
  <si>
    <t>OVEN BIMA 5044 PINTU STAINLESS</t>
  </si>
  <si>
    <t>041736001701</t>
  </si>
  <si>
    <t>OLIVE OIL PURE 1000ML</t>
  </si>
  <si>
    <t>P &amp; D</t>
  </si>
  <si>
    <t>10411618</t>
  </si>
  <si>
    <t>GREEN TEA MATCHA BUBUK 500GR</t>
  </si>
  <si>
    <t>10410705</t>
  </si>
  <si>
    <t>TULIP BUBUK BORDEAUX 1/2KG</t>
  </si>
  <si>
    <t>10427515</t>
  </si>
  <si>
    <t>CUP STELLA 5 BLACK</t>
  </si>
  <si>
    <t>10420816</t>
  </si>
  <si>
    <t>CALLEBAUT W2NV 250GR</t>
  </si>
  <si>
    <t>8850487037172</t>
  </si>
  <si>
    <t>SAMBAL THAILAND CAP AYAM 980GR</t>
  </si>
  <si>
    <t>10425113</t>
  </si>
  <si>
    <t>BEST FRESH 300MM</t>
  </si>
  <si>
    <t>8991205511090</t>
  </si>
  <si>
    <t xml:space="preserve">TOFFIECO VANILLA PASTA  100GR </t>
  </si>
  <si>
    <t>8992717900129</t>
  </si>
  <si>
    <t xml:space="preserve">KARA NATA DE COCO SLICE 1KG </t>
  </si>
  <si>
    <t>10410850</t>
  </si>
  <si>
    <t>MISES PLAZA DONAT 12KG</t>
  </si>
  <si>
    <t>10600002</t>
  </si>
  <si>
    <t>K EMPING LH 1KG</t>
  </si>
  <si>
    <t>8991205510260</t>
  </si>
  <si>
    <t>BUTTER HOLMAN 2250GR</t>
  </si>
  <si>
    <t>10425115</t>
  </si>
  <si>
    <t>BEST FRESH 400MM</t>
  </si>
  <si>
    <t>10424172</t>
  </si>
  <si>
    <t>VICTORY MANGKOK ROUNDBOWL 750ML</t>
  </si>
  <si>
    <t>8991205511120</t>
  </si>
  <si>
    <t xml:space="preserve">TOFFIECO VANILA PASTA 1KG </t>
  </si>
  <si>
    <t>8993061150017</t>
  </si>
  <si>
    <t>TOTAL WRAP 300X30</t>
  </si>
  <si>
    <t>10200118</t>
  </si>
  <si>
    <t xml:space="preserve">MALINDA PTH 1KG </t>
  </si>
  <si>
    <t>8991001400406</t>
  </si>
  <si>
    <t>TULIP BUBUK BORDEAUX 500GR</t>
  </si>
  <si>
    <t>18992628733172</t>
  </si>
  <si>
    <t>MALINDA PTH 15KG</t>
  </si>
  <si>
    <t>8997028583917</t>
  </si>
  <si>
    <t>MERCOLADE DARK 150GR</t>
  </si>
  <si>
    <t>10410573</t>
  </si>
  <si>
    <t>BUTTER HOLMAN 250GR</t>
  </si>
  <si>
    <t>8997014450148</t>
  </si>
  <si>
    <t>KEJU PROCHIZ GOLD 2KG</t>
  </si>
  <si>
    <t>8992984821318</t>
  </si>
  <si>
    <t xml:space="preserve">KOEPOE SP 30GR </t>
  </si>
  <si>
    <t>711844120617</t>
  </si>
  <si>
    <t>ABC SAMBAL ASLI 5,5KG</t>
  </si>
  <si>
    <t>8997225850027</t>
  </si>
  <si>
    <t>TEPUNG KETAN AROMANIS 500g</t>
  </si>
  <si>
    <t>10411220</t>
  </si>
  <si>
    <t>SWAN BRAND TP GULA 500GR</t>
  </si>
  <si>
    <t>8719200170995</t>
  </si>
  <si>
    <t>BLUE BAND SERBAGUNA 200GR</t>
  </si>
  <si>
    <t>8997024460373</t>
  </si>
  <si>
    <t xml:space="preserve">MC LEWIS SWEET MAYONAISE 1KG </t>
  </si>
  <si>
    <t>8992992340603</t>
  </si>
  <si>
    <t>LAROME VANILA MILK 500GR</t>
  </si>
  <si>
    <t>8997014033662</t>
  </si>
  <si>
    <t>ELMER COMP BAKERY DARK 1KG</t>
  </si>
  <si>
    <t>8992829888896</t>
  </si>
  <si>
    <t xml:space="preserve">GOALPARA 250GR </t>
  </si>
  <si>
    <t>8997024460601</t>
  </si>
  <si>
    <t>MC LEWIS BLACK PAPPER1KG</t>
  </si>
  <si>
    <t>6921790660158</t>
  </si>
  <si>
    <t>WILMOND JERUK MANDARIN 312GR</t>
  </si>
  <si>
    <t>8998888710130</t>
  </si>
  <si>
    <t xml:space="preserve">DELMONTE KETCHUP TOMAT  5,7KG </t>
  </si>
  <si>
    <t>8992993525153</t>
  </si>
  <si>
    <t>HAAN WIPPY CREAM PCH 400 GR</t>
  </si>
  <si>
    <t>8997014039497</t>
  </si>
  <si>
    <t>PLAZA GLAZE ECO DARK 5KG</t>
  </si>
  <si>
    <t>8999999195052</t>
  </si>
  <si>
    <t>ROYCO AYAM 1KG</t>
  </si>
  <si>
    <t>8997237642337</t>
  </si>
  <si>
    <t>SWAN B MANGGA SMOOTH 500GR</t>
  </si>
  <si>
    <t>10420379</t>
  </si>
  <si>
    <t>MIKA MEGA 4X 100S</t>
  </si>
  <si>
    <t>8997214882749</t>
  </si>
  <si>
    <t>DAIRY CROWN SKM PCH 1KG</t>
  </si>
  <si>
    <t>8992717880209</t>
  </si>
  <si>
    <t>KARA SANTAN 1LT</t>
  </si>
  <si>
    <t>8710917003040</t>
  </si>
  <si>
    <t>BUTTER WYSMAN 2270GR</t>
  </si>
  <si>
    <t>9415007054641</t>
  </si>
  <si>
    <t>ANCHOR CREAM CHEESE 1KG</t>
  </si>
  <si>
    <t>10411722</t>
  </si>
  <si>
    <t>PLAZA FILLING PASTA C4 5KG</t>
  </si>
  <si>
    <t>10410321</t>
  </si>
  <si>
    <t>METE SUPER 1KG</t>
  </si>
  <si>
    <t>8993296101082</t>
  </si>
  <si>
    <t>CAKRA KEMBAR MAS ORI 5KG</t>
  </si>
  <si>
    <t>10520002</t>
  </si>
  <si>
    <t xml:space="preserve">KERTAS NASI INTERCO </t>
  </si>
  <si>
    <t>8997014030685</t>
  </si>
  <si>
    <t>ELMER AF RED 24% 1KG</t>
  </si>
  <si>
    <t>18992628722176</t>
  </si>
  <si>
    <t>PALMIA MARGARINE 15KG</t>
  </si>
  <si>
    <t>8998888710536</t>
  </si>
  <si>
    <t xml:space="preserve">DELMONTE CHILI EXTRA HOT 5,5KG </t>
  </si>
  <si>
    <t>10423926</t>
  </si>
  <si>
    <t>BOTOL JAR 300ML</t>
  </si>
  <si>
    <t>8991002105089</t>
  </si>
  <si>
    <t>KAPAL API KRIM KAFE 500GR</t>
  </si>
  <si>
    <t>8992696408869</t>
  </si>
  <si>
    <t>NESCAFE CLASSIC 120GR</t>
  </si>
  <si>
    <t>10410528</t>
  </si>
  <si>
    <t>TULIP COCHIP 250GR</t>
  </si>
  <si>
    <t>8997026852091</t>
  </si>
  <si>
    <t>PURATOS RED VELVET 5KG</t>
  </si>
  <si>
    <t>8992993527232</t>
  </si>
  <si>
    <t>HAAN ICE CREAM VANILLA 1.5KG</t>
  </si>
  <si>
    <t>8000350000585</t>
  </si>
  <si>
    <t>VICENZOVO LADY FINGER 200GR</t>
  </si>
  <si>
    <t>8995102707846</t>
  </si>
  <si>
    <t>MMSK DELISAOS HOT LAVA VOLCANO 1KG</t>
  </si>
  <si>
    <t>10411535</t>
  </si>
  <si>
    <t>COLATTA STIK 300GR</t>
  </si>
  <si>
    <t>8992786600111</t>
  </si>
  <si>
    <t>PONDAN WHIP CREAM POUCH 200GR</t>
  </si>
  <si>
    <t>8993080103001</t>
  </si>
  <si>
    <t>HERCULES CUSTARD POWDER 300G</t>
  </si>
  <si>
    <t>8993093665244</t>
  </si>
  <si>
    <t>MG TAWON 2L</t>
  </si>
  <si>
    <t>10510081</t>
  </si>
  <si>
    <t>ASOY ROYAL ORANGE19</t>
  </si>
  <si>
    <t>10510002</t>
  </si>
  <si>
    <t>ASOY BNG KRISNA 19</t>
  </si>
  <si>
    <t>8612491102</t>
  </si>
  <si>
    <t>DENALI COCOA SIGNATURE 800GR</t>
  </si>
  <si>
    <t>8992753721696</t>
  </si>
  <si>
    <t>FF OMELA PLAIN 1000ML</t>
  </si>
  <si>
    <t>8992993525719</t>
  </si>
  <si>
    <t xml:space="preserve">HAAN BROWNIES PCH 230GR </t>
  </si>
  <si>
    <t>8993093665091</t>
  </si>
  <si>
    <t xml:space="preserve">TP KANJI PAK TANI GUNUNG 500GR </t>
  </si>
  <si>
    <t>10530003</t>
  </si>
  <si>
    <t>GELAS 16 OZ STARINDO</t>
  </si>
  <si>
    <t>8997028630017</t>
  </si>
  <si>
    <t>ANTAKA BALADO 100GR</t>
  </si>
  <si>
    <t>8992933213119</t>
  </si>
  <si>
    <t>NUTRIJELL LECY PCS</t>
  </si>
  <si>
    <t>8992933462111</t>
  </si>
  <si>
    <t>NUTRIJELL PUDING SUSU CKLT145GR</t>
  </si>
  <si>
    <t>8997215750030</t>
  </si>
  <si>
    <t xml:space="preserve">KEJU WINCHEEZ 250GR </t>
  </si>
  <si>
    <t>10430093</t>
  </si>
  <si>
    <t>VICTORY BOX SQUARE 350ML</t>
  </si>
  <si>
    <t>10420373</t>
  </si>
  <si>
    <t>MIKA MEGA 3A 100S</t>
  </si>
  <si>
    <t>3516664100002</t>
  </si>
  <si>
    <t xml:space="preserve">RAGI INS SAF BLUE 500GR </t>
  </si>
  <si>
    <t>8850370071115</t>
  </si>
  <si>
    <t>CHATRAMUE GREENTEA MIX 200GR</t>
  </si>
  <si>
    <t>8997034020017</t>
  </si>
  <si>
    <t>OH GUAN HING MYK WIJEN 600ML</t>
  </si>
  <si>
    <t>10423634</t>
  </si>
  <si>
    <t>TOPLES LOGO 315</t>
  </si>
  <si>
    <t>8710917003019</t>
  </si>
  <si>
    <t>BUTTER WYSMAN 200GR</t>
  </si>
  <si>
    <t>10410473</t>
  </si>
  <si>
    <t>CHOCO CRUNCH 1/2KG</t>
  </si>
  <si>
    <t>8992993523098</t>
  </si>
  <si>
    <t xml:space="preserve">COLATTA CHOCO CHIP 150GR </t>
  </si>
  <si>
    <t>8998888712295</t>
  </si>
  <si>
    <t>DELMONTE BBQ SAUS 250GR</t>
  </si>
  <si>
    <t>8992753004010</t>
  </si>
  <si>
    <t xml:space="preserve">FF SKM PUTIH PCH 535GR </t>
  </si>
  <si>
    <t>10700008</t>
  </si>
  <si>
    <t>TOPLES NUAI 501</t>
  </si>
  <si>
    <t>8612535104</t>
  </si>
  <si>
    <t>DENALI SALTED CARAMEL SYRUP 750ML</t>
  </si>
  <si>
    <t>8992628020152</t>
  </si>
  <si>
    <t>MG BIMOLI KLASIK 2L</t>
  </si>
  <si>
    <t>8714700520004</t>
  </si>
  <si>
    <t>MAIZENAKU TP CORN 750GR</t>
  </si>
  <si>
    <t>8992984870118</t>
  </si>
  <si>
    <t>KOEPOE GULA AREN 1L</t>
  </si>
  <si>
    <t>8993296220004</t>
  </si>
  <si>
    <t xml:space="preserve">TERIGU LENCANA MERAH 1KG  </t>
  </si>
  <si>
    <t>8992696521308</t>
  </si>
  <si>
    <t>NESTEA LYCHEE 560GR</t>
  </si>
  <si>
    <t>8997209390501</t>
  </si>
  <si>
    <t>MAIZENA BOLA 1KG</t>
  </si>
  <si>
    <t>8995125900019</t>
  </si>
  <si>
    <t>SYRUP KURNIA 600ML</t>
  </si>
  <si>
    <t>8997024460434</t>
  </si>
  <si>
    <t>MC LEWIS SAUS BBQ 1KG</t>
  </si>
  <si>
    <t>10420300</t>
  </si>
  <si>
    <t>KERTAS ROTI</t>
  </si>
  <si>
    <t>8999999034399</t>
  </si>
  <si>
    <t>BANGO KECAP 1.525KG</t>
  </si>
  <si>
    <t>8992933323115</t>
  </si>
  <si>
    <t>NUTRIJELL EKO MELON</t>
  </si>
  <si>
    <t>5410126716016</t>
  </si>
  <si>
    <t>LOTUS BISCOFF 250GR</t>
  </si>
  <si>
    <t>10410114</t>
  </si>
  <si>
    <t>CHIP LAGIE 1/2 BLT 1/2KG</t>
  </si>
  <si>
    <t>80051672</t>
  </si>
  <si>
    <t xml:space="preserve">MIE SUA 300GR </t>
  </si>
  <si>
    <t>8995102708607</t>
  </si>
  <si>
    <t>MMSK GIM BORI ORI 50GR</t>
  </si>
  <si>
    <t>8994060100034</t>
  </si>
  <si>
    <t>RED BELL PANDAN</t>
  </si>
  <si>
    <t>8992992936349</t>
  </si>
  <si>
    <t>ZEE RAP SAUCE SALTED CARAMEL 500GR</t>
  </si>
  <si>
    <t>10411570</t>
  </si>
  <si>
    <t>PALMIA MARGARINE 500GR</t>
  </si>
  <si>
    <t>8998888172723</t>
  </si>
  <si>
    <t>MARJAN SQUASH MANGGA 450ML</t>
  </si>
  <si>
    <t>10430107</t>
  </si>
  <si>
    <t>BOBATEE TAPIOKA PEARL 1KG</t>
  </si>
  <si>
    <t>8997024460793</t>
  </si>
  <si>
    <t>MC LEWIS HOT N HOT SAUCE 1KG</t>
  </si>
  <si>
    <t>8992936218012</t>
  </si>
  <si>
    <t xml:space="preserve">TONG TJI TEH SUPER 80GR </t>
  </si>
  <si>
    <t>8997214882732</t>
  </si>
  <si>
    <t>MILK BARN POUCH 2.5KG</t>
  </si>
  <si>
    <t>8997214882725</t>
  </si>
  <si>
    <t>MILK BARN POUCH 1KG</t>
  </si>
  <si>
    <t>10540075</t>
  </si>
  <si>
    <t>SUMPIT 76 20 PSG</t>
  </si>
  <si>
    <t>8999898275015</t>
  </si>
  <si>
    <t>DIAMOND ICE CRM VANILLA 8L</t>
  </si>
  <si>
    <t>3052911225567</t>
  </si>
  <si>
    <t>MONIN LECI 70CL</t>
  </si>
  <si>
    <t>8997024460281</t>
  </si>
  <si>
    <t>MC LEWIS TOMATO VALUE</t>
  </si>
  <si>
    <t>8997212611174</t>
  </si>
  <si>
    <t>KARA COCONUT OIL 2LT</t>
  </si>
  <si>
    <t>8997013630015</t>
  </si>
  <si>
    <t>GULA PASIR PSM 1KG</t>
  </si>
  <si>
    <t>9311000998565</t>
  </si>
  <si>
    <t>TATURA CRM CHEESE 2KG</t>
  </si>
  <si>
    <t>18992628710173</t>
  </si>
  <si>
    <t>PALMIA SUPERCAKE 15KG</t>
  </si>
  <si>
    <t>8997014033198</t>
  </si>
  <si>
    <t>BAKERLINE DONUT DUSTING 5KG</t>
  </si>
  <si>
    <t>10423662</t>
  </si>
  <si>
    <t>VICTORY BOX SQUARE 3000ML</t>
  </si>
  <si>
    <t>8992824265197</t>
  </si>
  <si>
    <t>DANISH PASTRY 15KG</t>
  </si>
  <si>
    <t>8990108872208</t>
  </si>
  <si>
    <t>TOFFIECO RED VELVET PASTA 1KG</t>
  </si>
  <si>
    <t>9556156002173</t>
  </si>
  <si>
    <t xml:space="preserve">YEOS TOUCO 450GR </t>
  </si>
  <si>
    <t>8993200663019</t>
  </si>
  <si>
    <t>KANZLER SMOKED BEEF 1000GR</t>
  </si>
  <si>
    <t>8997002050435</t>
  </si>
  <si>
    <t>NARAYA MUSHROOM 425 GR</t>
  </si>
  <si>
    <t>8991205510277</t>
  </si>
  <si>
    <t>BUTTER HOLMAN 18KG</t>
  </si>
  <si>
    <t>8999999090203</t>
  </si>
  <si>
    <t xml:space="preserve">KNORR GLACE SAUCE MIX 1KG  </t>
  </si>
  <si>
    <t>8993037582309</t>
  </si>
  <si>
    <t>ROYAL KRONE BOS SALTED 20KG</t>
  </si>
  <si>
    <t>8997215750078</t>
  </si>
  <si>
    <t>KEJU WINCHEZZ GOLD 2KG</t>
  </si>
  <si>
    <t>8995102707228</t>
  </si>
  <si>
    <t>MMSK DELISAOS HOT LAVA 6,2KG</t>
  </si>
  <si>
    <t>10410740</t>
  </si>
  <si>
    <t>BUREO CRUMBLE CKLT 1KG</t>
  </si>
  <si>
    <t>10410752</t>
  </si>
  <si>
    <t>MISES PLAZA TOPPING 12KG</t>
  </si>
  <si>
    <t>8997028581425</t>
  </si>
  <si>
    <t xml:space="preserve">MERO LBC VANILLA CREAM 1KG </t>
  </si>
  <si>
    <t>8992736101170</t>
  </si>
  <si>
    <t>SASA SAMBAL ASLI 950GR</t>
  </si>
  <si>
    <t>8997212610016</t>
  </si>
  <si>
    <t>KARA COCONUT OIL 5L</t>
  </si>
  <si>
    <t>8994592305600</t>
  </si>
  <si>
    <t xml:space="preserve">TULIP MASTER BAKER DARK 5KG </t>
  </si>
  <si>
    <t>5410126146950</t>
  </si>
  <si>
    <t>LOTUS SMOOTH 400GR</t>
  </si>
  <si>
    <t>10410551</t>
  </si>
  <si>
    <t xml:space="preserve">SUSU PROMIL 1/2KG </t>
  </si>
  <si>
    <t>10423189</t>
  </si>
  <si>
    <t>VICTORY BOX RECTANGLE 650ML</t>
  </si>
  <si>
    <t>8993200345038</t>
  </si>
  <si>
    <t>KANZLER SMOKED BEEF 250GR</t>
  </si>
  <si>
    <t>8992993523562</t>
  </si>
  <si>
    <t xml:space="preserve">COLATTA MILK 1KG </t>
  </si>
  <si>
    <t>8992696403413</t>
  </si>
  <si>
    <t>NESCAFE CLASSIC 45G</t>
  </si>
  <si>
    <t>8993093665480</t>
  </si>
  <si>
    <t>ROSE BRAND GULA KRISTAL PUTIH 1KG</t>
  </si>
  <si>
    <t>8992984910500</t>
  </si>
  <si>
    <t>DUA BELIBIS SAUS CABE BANTAL 1KG</t>
  </si>
  <si>
    <t>8992770088895</t>
  </si>
  <si>
    <t xml:space="preserve">SAJIKU TPG BUMBU SERBAGUNA 900GR </t>
  </si>
  <si>
    <t>8993093135006</t>
  </si>
  <si>
    <t>TEPUNG KETAN ROSE BRAND 500G</t>
  </si>
  <si>
    <t>8997209390495</t>
  </si>
  <si>
    <t>MAIZENA BOLA 500GR</t>
  </si>
  <si>
    <t>8994592001250</t>
  </si>
  <si>
    <t>TULIP MASTER FILLING 5 KG</t>
  </si>
  <si>
    <t>8995899130322</t>
  </si>
  <si>
    <t>KOBE TP KENTUCKY 850GR</t>
  </si>
  <si>
    <t>711844130715</t>
  </si>
  <si>
    <t>ABC SAUS TOMAT 5,7KG</t>
  </si>
  <si>
    <t>10430055</t>
  </si>
  <si>
    <t>PETRA PASTA PANDAN 5KG</t>
  </si>
  <si>
    <t>10421700</t>
  </si>
  <si>
    <t>TOPLES EASYTOP 1008P</t>
  </si>
  <si>
    <t>8992824265678</t>
  </si>
  <si>
    <t>MGP CITA FRY 15KG</t>
  </si>
  <si>
    <t>8992993527256</t>
  </si>
  <si>
    <t>HAAN ICE CREAM CKLT 1.5KG</t>
  </si>
  <si>
    <t>8888900400104</t>
  </si>
  <si>
    <t>LAFONTE SPAGHETTINI 450GR</t>
  </si>
  <si>
    <t>10410102</t>
  </si>
  <si>
    <t>MISES PLAZA TOPPING 1KG</t>
  </si>
  <si>
    <t>8997209390341</t>
  </si>
  <si>
    <t xml:space="preserve">TP KETAN BOLA 500GR </t>
  </si>
  <si>
    <t>10530224</t>
  </si>
  <si>
    <t>GELAS 22 OZ DATAR STD 8GR</t>
  </si>
  <si>
    <t>8992717781025</t>
  </si>
  <si>
    <t>SANTAN KARA 65ML</t>
  </si>
  <si>
    <t>10424671</t>
  </si>
  <si>
    <t>TOPLES LOGO 988 BENSU</t>
  </si>
  <si>
    <t>8998008170110</t>
  </si>
  <si>
    <t xml:space="preserve">MMSK SALAD DRESSING 1KG </t>
  </si>
  <si>
    <t>8992760221028</t>
  </si>
  <si>
    <t xml:space="preserve">OREO VANILA 119,6GR </t>
  </si>
  <si>
    <t>8997014035093</t>
  </si>
  <si>
    <t>ELMER GLAZE TIRAMISU 5KG</t>
  </si>
  <si>
    <t>10410784</t>
  </si>
  <si>
    <t xml:space="preserve">TULIP STICK 250Gr </t>
  </si>
  <si>
    <t>078895300048</t>
  </si>
  <si>
    <t xml:space="preserve">LKK SAUS TIRAM 2,2KG </t>
  </si>
  <si>
    <t>8000500066027</t>
  </si>
  <si>
    <t>KINDER BUENO 43GR</t>
  </si>
  <si>
    <t>8998888000088</t>
  </si>
  <si>
    <t xml:space="preserve">DELMONTE CHILI EXT HOT PCH 500GR </t>
  </si>
  <si>
    <t>8992770011114</t>
  </si>
  <si>
    <t>AJINOMOTO 1KG</t>
  </si>
  <si>
    <t>8994357010015</t>
  </si>
  <si>
    <t>MIE ATOM BULAN</t>
  </si>
  <si>
    <t>8992984821325</t>
  </si>
  <si>
    <t xml:space="preserve">KOEPOE SP 70GR </t>
  </si>
  <si>
    <t>10430052</t>
  </si>
  <si>
    <t xml:space="preserve">BUBBLE COKLAT 1KG </t>
  </si>
  <si>
    <t>8992993528192</t>
  </si>
  <si>
    <t>COLATTA COMPOUND DARK 180GR</t>
  </si>
  <si>
    <t>10430095</t>
  </si>
  <si>
    <t>VICTORY BOX SQUARE 500ML</t>
  </si>
  <si>
    <t>10411218</t>
  </si>
  <si>
    <t>SWAN BRAND TP GULA 1KG</t>
  </si>
  <si>
    <t>8997014450759</t>
  </si>
  <si>
    <t>KEJU PROCHIZ CHEDDAR 160GR</t>
  </si>
  <si>
    <t>8993296101105</t>
  </si>
  <si>
    <t>CAKRA KEMBAR MAS ROTI 5KG</t>
  </si>
  <si>
    <t>8992993525160</t>
  </si>
  <si>
    <t>HAAN WIPPING CREAM POUCH 200GR</t>
  </si>
  <si>
    <t>10410155</t>
  </si>
  <si>
    <t>PANIR PRIMERA PANKO MIX 10KG</t>
  </si>
  <si>
    <t>8997014039664</t>
  </si>
  <si>
    <t>PLAZA GLAZE ECO STRW 1KG</t>
  </si>
  <si>
    <t>10410205</t>
  </si>
  <si>
    <t xml:space="preserve">VANILE METACO 1KG </t>
  </si>
  <si>
    <t>10425075</t>
  </si>
  <si>
    <t>LUNCH BOX M 50S</t>
  </si>
  <si>
    <t>8993351123110</t>
  </si>
  <si>
    <t xml:space="preserve">GREENFIELDS MOZZARELLA 200GR </t>
  </si>
  <si>
    <t>8992984820434</t>
  </si>
  <si>
    <t>KOEPOE BAKING 1KG</t>
  </si>
  <si>
    <t>10411162</t>
  </si>
  <si>
    <t>BEST BUBBLE COKLAT 1KG</t>
  </si>
  <si>
    <t>8994592010146</t>
  </si>
  <si>
    <t>TULIP CHOCO FILLING 1KG</t>
  </si>
  <si>
    <t>8991688890682</t>
  </si>
  <si>
    <t>MIE BURUNG DARA URAI ORIGINAL 140GR</t>
  </si>
  <si>
    <t>089686420678</t>
  </si>
  <si>
    <t>INDOFOOD KECAP MANIS 725ML</t>
  </si>
  <si>
    <t>8992993523265</t>
  </si>
  <si>
    <t>GALETTO COKLAT BATANG250GR</t>
  </si>
  <si>
    <t>8997014450018</t>
  </si>
  <si>
    <t>KEJU PROCHIZ PREMIUM 2KG</t>
  </si>
  <si>
    <t>8997008780688</t>
  </si>
  <si>
    <t xml:space="preserve">BOX TPS 25X25 GRETEL </t>
  </si>
  <si>
    <t>8991001302212</t>
  </si>
  <si>
    <t>CERES CLASSIC 320GR</t>
  </si>
  <si>
    <t>8992993523524</t>
  </si>
  <si>
    <t>COLATTA DARK 1KG</t>
  </si>
  <si>
    <t>8992753100101</t>
  </si>
  <si>
    <t xml:space="preserve">FF SKM GOLD 370GR </t>
  </si>
  <si>
    <t>8993007002967</t>
  </si>
  <si>
    <t>TIGA SAPI SKM 490GR</t>
  </si>
  <si>
    <t>8000500220412</t>
  </si>
  <si>
    <t xml:space="preserve">NUTELLA 680GR </t>
  </si>
  <si>
    <t>8997226412033</t>
  </si>
  <si>
    <t>EMINA KEJU MOZZA 160GR</t>
  </si>
  <si>
    <t>8993207202204</t>
  </si>
  <si>
    <t>OKEY SOSIS 1000GR</t>
  </si>
  <si>
    <t>8997014039626</t>
  </si>
  <si>
    <t>PLAZA GLAZE ECO WHITE 1KG</t>
  </si>
  <si>
    <t>8997231730016</t>
  </si>
  <si>
    <t>AROMANIS PALM SUGAR 250GR</t>
  </si>
  <si>
    <t>8993200664719</t>
  </si>
  <si>
    <t xml:space="preserve">GOURMET SAUS KEJU 500GR </t>
  </si>
  <si>
    <t>8998888000125</t>
  </si>
  <si>
    <t>DELMONTE BLACK PEPPER SAUCE 1KG</t>
  </si>
  <si>
    <t>9311931504200</t>
  </si>
  <si>
    <t>MAX TEA LEMON TEA 30 SACHET</t>
  </si>
  <si>
    <t>8997034020031</t>
  </si>
  <si>
    <t>OH GUAN HING MYK WIJEN 100ML</t>
  </si>
  <si>
    <t>711844120358</t>
  </si>
  <si>
    <t>ABC SAMBAL ASLI 1KG</t>
  </si>
  <si>
    <t>8998009070075</t>
  </si>
  <si>
    <t xml:space="preserve">KEJU KRAFT CHEDDAR 2KG </t>
  </si>
  <si>
    <t>8997014450216</t>
  </si>
  <si>
    <t>KEJU PROCHIZ GOLD 160GR</t>
  </si>
  <si>
    <t>8992984832413</t>
  </si>
  <si>
    <t xml:space="preserve">KOEPOE VANILLA 25ML </t>
  </si>
  <si>
    <t>8998888461186</t>
  </si>
  <si>
    <t xml:space="preserve">MAESTRO MAYONAISE PCH 1KG </t>
  </si>
  <si>
    <t>10411060</t>
  </si>
  <si>
    <t>ROYAL KRONE BOS SALTED 250GR</t>
  </si>
  <si>
    <t>8992984910173</t>
  </si>
  <si>
    <t xml:space="preserve">DUA BELIBIS SAUS CABE 1KG </t>
  </si>
  <si>
    <t>8992910231006</t>
  </si>
  <si>
    <t>KECAP INGGRIS AHS 620ML</t>
  </si>
  <si>
    <t>049800102781</t>
  </si>
  <si>
    <t>RICHS GOLD LABEL 907g</t>
  </si>
  <si>
    <t>8997214270317</t>
  </si>
  <si>
    <t>FIBER CREME 1KG</t>
  </si>
  <si>
    <t>8992993250314</t>
  </si>
  <si>
    <t xml:space="preserve">HAAN PALM SUGAR 250GR </t>
  </si>
  <si>
    <t>8992717880186</t>
  </si>
  <si>
    <t>KARA SANTAN 200ML</t>
  </si>
  <si>
    <t>7622210694584</t>
  </si>
  <si>
    <t>OREO CRUMB ORIGINAL 1KG</t>
  </si>
  <si>
    <t>10410849</t>
  </si>
  <si>
    <t>SAGU MUTIARA API ABADI  10KG</t>
  </si>
  <si>
    <t>711844120501</t>
  </si>
  <si>
    <t>ABC EXTRA PEDAS 950GR</t>
  </si>
  <si>
    <t>8992993526884</t>
  </si>
  <si>
    <t>COL GLAZE DARK 5KG</t>
  </si>
  <si>
    <t>10411519</t>
  </si>
  <si>
    <t>CARAVELLE 25KG</t>
  </si>
  <si>
    <t>8992984821349</t>
  </si>
  <si>
    <t>KOEPOE SP 1KG</t>
  </si>
  <si>
    <t>10412360</t>
  </si>
  <si>
    <t>MELCREAMER HB01 25KG</t>
  </si>
  <si>
    <t>8992918165013</t>
  </si>
  <si>
    <t>MADU NUSANTARA 650ML</t>
  </si>
  <si>
    <t>8991001400154</t>
  </si>
  <si>
    <t xml:space="preserve">TULIP BUBUK BORDEAUX 2,5KG </t>
  </si>
  <si>
    <t>1042549</t>
  </si>
  <si>
    <t>KLIR THINWALL SAUCE CUP 60ML</t>
  </si>
  <si>
    <t>10420375</t>
  </si>
  <si>
    <t>MIKA MEGA 3X 100S</t>
  </si>
  <si>
    <t>8612491131</t>
  </si>
  <si>
    <t>DENALI THAI TEA 800GR</t>
  </si>
  <si>
    <t>9313689019432</t>
  </si>
  <si>
    <t>BAKELS GULA DEKORASI  7KG</t>
  </si>
  <si>
    <t>10410717</t>
  </si>
  <si>
    <t>MGP FRYBEST 15KG</t>
  </si>
  <si>
    <t>18992628615171</t>
  </si>
  <si>
    <t>AMANDA DFF 15KG</t>
  </si>
  <si>
    <t>8997014039527</t>
  </si>
  <si>
    <t>PLAZA GLAZE ECO G. TEA 5KG</t>
  </si>
  <si>
    <t>8997033630385</t>
  </si>
  <si>
    <t>BK CAP UDANG 1KG</t>
  </si>
  <si>
    <t>8997215750221</t>
  </si>
  <si>
    <t>WINCHEEZ FILLING CHEESE 1 KG</t>
  </si>
  <si>
    <t>8992984870125</t>
  </si>
  <si>
    <t>KOEPOE GULA AREN 5L</t>
  </si>
  <si>
    <t>10410435</t>
  </si>
  <si>
    <t xml:space="preserve">CORN FLAKE 1/2KG </t>
  </si>
  <si>
    <t>8993496110075</t>
  </si>
  <si>
    <t>TULIP TEPUNG TERIGU 1KG</t>
  </si>
  <si>
    <t>10420601</t>
  </si>
  <si>
    <t xml:space="preserve">BOTOL KALE B 250ML </t>
  </si>
  <si>
    <t>8998888710574</t>
  </si>
  <si>
    <t xml:space="preserve">DELMONTE CHILI EXT HOT PCH 1KG </t>
  </si>
  <si>
    <t>10510080</t>
  </si>
  <si>
    <t>ASOY ROYAL ORANGE35</t>
  </si>
  <si>
    <t>10410744</t>
  </si>
  <si>
    <t xml:space="preserve">TULIP COCHIP 1/2KG </t>
  </si>
  <si>
    <t>8997028580022</t>
  </si>
  <si>
    <t xml:space="preserve">MERCOLADE DARK 1KG </t>
  </si>
  <si>
    <t>8995102707235</t>
  </si>
  <si>
    <t>MMSK SAUS SAMBAL PEDAS 1KG</t>
  </si>
  <si>
    <t>8991004029017</t>
  </si>
  <si>
    <t>TP KANJI SAGU TANI KEMASAN 1KG</t>
  </si>
  <si>
    <t>8997014033754</t>
  </si>
  <si>
    <t>PLAZA FILLING EKO 1KG</t>
  </si>
  <si>
    <t>10420036</t>
  </si>
  <si>
    <t xml:space="preserve">BOX GS 18X18 POLOS </t>
  </si>
  <si>
    <t>8993296301116</t>
  </si>
  <si>
    <t xml:space="preserve">TERIGU KUNCI BIRU 1KG </t>
  </si>
  <si>
    <t>8997028630161</t>
  </si>
  <si>
    <t xml:space="preserve">ANTAKA BALADO  1KG </t>
  </si>
  <si>
    <t>8991818890155</t>
  </si>
  <si>
    <t>FINNA KULIT LUMPIA 40SHEET</t>
  </si>
  <si>
    <t>10412351</t>
  </si>
  <si>
    <t>JELLY JELLY RASA NATA DE COCO 1KG</t>
  </si>
  <si>
    <t>8997225850010</t>
  </si>
  <si>
    <t>TEPUNG BERAS AROMANIS 500g</t>
  </si>
  <si>
    <t>8997002050381</t>
  </si>
  <si>
    <t>JAGUNG KLG NARAYA 425GR</t>
  </si>
  <si>
    <t>6922130105117</t>
  </si>
  <si>
    <t xml:space="preserve">TOTOLE KALDU JAMUR 200GR </t>
  </si>
  <si>
    <t>8992933241112</t>
  </si>
  <si>
    <t>NUTRIJELL COKLAT PCS</t>
  </si>
  <si>
    <t>8992993526143</t>
  </si>
  <si>
    <t>COL GLAZE TIRAMISU 1KG TUB</t>
  </si>
  <si>
    <t>4800361004688</t>
  </si>
  <si>
    <t>NESTLE NESTEA LEMON TEA 1KG</t>
  </si>
  <si>
    <t>8997214884880</t>
  </si>
  <si>
    <t>DAIRY CROWN EVAPORASI 380ML</t>
  </si>
  <si>
    <t>8998888110619</t>
  </si>
  <si>
    <t>MARJAN BOUDOIN VANILA 460ML</t>
  </si>
  <si>
    <t>8993172998607</t>
  </si>
  <si>
    <t>CHOCO CRUNCH SIMBA 950GR</t>
  </si>
  <si>
    <t>8992984850615</t>
  </si>
  <si>
    <t xml:space="preserve">KOEPOE PEWARNA HIJAU TUA 30ML </t>
  </si>
  <si>
    <t>9780201380057</t>
  </si>
  <si>
    <t>ORIPACK LUNCH BOX L 50S</t>
  </si>
  <si>
    <t>8997028580107</t>
  </si>
  <si>
    <t xml:space="preserve">CHEESE FILLING 8000 1KG </t>
  </si>
  <si>
    <t>8612491105</t>
  </si>
  <si>
    <t>DENALI SUNNY TARO 800GR</t>
  </si>
  <si>
    <t>10420136</t>
  </si>
  <si>
    <t>MIKA TP GAJAH TX 01</t>
  </si>
  <si>
    <t>8888900400319</t>
  </si>
  <si>
    <t>LAFONTE FETTUCINE 450GR</t>
  </si>
  <si>
    <t>8719200171466</t>
  </si>
  <si>
    <t>BLUE BAND CAKE&amp;COOKIE 200GR</t>
  </si>
  <si>
    <t>8994452370038</t>
  </si>
  <si>
    <t>KEJU MYCHIZ CHEDDAR 2KG</t>
  </si>
  <si>
    <t>8990108870013</t>
  </si>
  <si>
    <t>TOFFIECO PANDAN WANGI PASTA 1KG</t>
  </si>
  <si>
    <t>8992933212112</t>
  </si>
  <si>
    <t>NUTRIJELL ORANGE PCS</t>
  </si>
  <si>
    <t>8992933246117</t>
  </si>
  <si>
    <t>NUTRIJELL DARK CHOCO 24GR</t>
  </si>
  <si>
    <t>8992933249118</t>
  </si>
  <si>
    <t>NUTRIJELL AVOCADO PCS</t>
  </si>
  <si>
    <t>10510024</t>
  </si>
  <si>
    <t>ASOY BNG KRISNA 28</t>
  </si>
  <si>
    <t>8992993260351</t>
  </si>
  <si>
    <t>COLATTA DARK 250GR</t>
  </si>
  <si>
    <t>10200425</t>
  </si>
  <si>
    <t>ABON AYAM ORI SR SUPER 1KG</t>
  </si>
  <si>
    <t>8997231730092</t>
  </si>
  <si>
    <t>AROMANIS PALM SUGAR 1KG</t>
  </si>
  <si>
    <t>8997231730108</t>
  </si>
  <si>
    <t>AROMANIS BROWN SUGAR 1KG</t>
  </si>
  <si>
    <t>8992984910180</t>
  </si>
  <si>
    <t>DUA BELIBIS SAUS CABE 5KG</t>
  </si>
  <si>
    <t>10410207</t>
  </si>
  <si>
    <t>BLUE BAND MENTEGA 1/2KG</t>
  </si>
  <si>
    <t>8992984910524</t>
  </si>
  <si>
    <t>DUA BELIBIS SAUS CABE VALUE 5KG</t>
  </si>
  <si>
    <t>8991001400024</t>
  </si>
  <si>
    <t>VAN HOUTEN COCOA POWDER 80GR</t>
  </si>
  <si>
    <t>8994307100063</t>
  </si>
  <si>
    <t>ANCHOR BAKER MIX 15KG</t>
  </si>
  <si>
    <t>8997014030654</t>
  </si>
  <si>
    <t xml:space="preserve">ELMER AFRICAN BLCK 5 KG </t>
  </si>
  <si>
    <t>10411635</t>
  </si>
  <si>
    <t>PLAZA FILLING PASTA K2 5KG</t>
  </si>
  <si>
    <t>8992993528147</t>
  </si>
  <si>
    <t>COLATTA PASTRY DARK 5KG</t>
  </si>
  <si>
    <t>8992984810442</t>
  </si>
  <si>
    <t>KOEPOE BWG PUTIH BUBUK 1KG</t>
  </si>
  <si>
    <t>8997206772119</t>
  </si>
  <si>
    <t>KEWPIE SAUS SIRAM WIJEN SANGRAI 1KG</t>
  </si>
  <si>
    <t>10411051</t>
  </si>
  <si>
    <t>LAGIE GOLDEN CITY CHOC BALL 1KG</t>
  </si>
  <si>
    <t>8997231730023</t>
  </si>
  <si>
    <t>AROMANIS PALM SUGAR 2KG</t>
  </si>
  <si>
    <t>8991188943536</t>
  </si>
  <si>
    <t>SASA SANTAN KELAPA 65ML</t>
  </si>
  <si>
    <t>10200174</t>
  </si>
  <si>
    <t xml:space="preserve">ANCHOR BAKER MIX 1/2KG </t>
  </si>
  <si>
    <t>8992628605151</t>
  </si>
  <si>
    <t xml:space="preserve">AMANDA MARGARIN 200GR </t>
  </si>
  <si>
    <t>8992993528321</t>
  </si>
  <si>
    <t>GALETTO COMP DARK 180GR</t>
  </si>
  <si>
    <t>10530001</t>
  </si>
  <si>
    <t>GELAS 12 OZ STARINDO</t>
  </si>
  <si>
    <t>9556065000987</t>
  </si>
  <si>
    <t>BABAS CURRY 250GR</t>
  </si>
  <si>
    <t>8992984820731</t>
  </si>
  <si>
    <t>KOEPOE SODA KUE 1KG</t>
  </si>
  <si>
    <t>8992717781230</t>
  </si>
  <si>
    <t>SUN KARA SANTAN 1L</t>
  </si>
  <si>
    <t>8997209390914</t>
  </si>
  <si>
    <t>TP TAPIOKA BOLA 500GR</t>
  </si>
  <si>
    <t>8997239660254</t>
  </si>
  <si>
    <t>SWALLOW AGAR 9GR</t>
  </si>
  <si>
    <t>8992933216110</t>
  </si>
  <si>
    <t>NUTRIJELL MANGGA PCS</t>
  </si>
  <si>
    <t>8993296210005</t>
  </si>
  <si>
    <t>SEGITIGA TP KMSN 1KG</t>
  </si>
  <si>
    <t>8714700524002</t>
  </si>
  <si>
    <t>MAIZENAKU TPG CORN 150GR</t>
  </si>
  <si>
    <t>8997014450155</t>
  </si>
  <si>
    <t>KEJU PROCHIZ SPREADY 160GR</t>
  </si>
  <si>
    <t>8992717900501</t>
  </si>
  <si>
    <t>SUN KARA SANTAN 110ML</t>
  </si>
  <si>
    <t>8997014450230</t>
  </si>
  <si>
    <t>KEJU TOP CHIZ 2 KG</t>
  </si>
  <si>
    <t>8992696419162</t>
  </si>
  <si>
    <t>NESCAFE CLASSIC 2GR</t>
  </si>
  <si>
    <t>8992696520066</t>
  </si>
  <si>
    <t>NESTLE ALEGRIA DARK COCOA 1KG</t>
  </si>
  <si>
    <t>8992993528178</t>
  </si>
  <si>
    <t>HAAN WIPPY CREAM 400GR</t>
  </si>
  <si>
    <t>10410139</t>
  </si>
  <si>
    <t>CHIP LAGIE 1/2 BLT 250GR</t>
  </si>
  <si>
    <t>8992984821752</t>
  </si>
  <si>
    <t xml:space="preserve">KOEPOE PERISA VANILLA 20GR </t>
  </si>
  <si>
    <t>10510022</t>
  </si>
  <si>
    <t>ASOY BNG KRISNA 35</t>
  </si>
  <si>
    <t>8990064001032</t>
  </si>
  <si>
    <t>PLAZA GLAZE ECO CAPPUCINO 1KG</t>
  </si>
  <si>
    <t>10420121</t>
  </si>
  <si>
    <t xml:space="preserve">MIKA MEGA 1A </t>
  </si>
  <si>
    <t>8995002804041</t>
  </si>
  <si>
    <t>SPONGE 28 1KG (PAIL)</t>
  </si>
  <si>
    <t>8612491119</t>
  </si>
  <si>
    <t>DENALI RED VELVET 800GR</t>
  </si>
  <si>
    <t>8994592343688</t>
  </si>
  <si>
    <t xml:space="preserve">TULIP COMPOUND WHITE 1KG </t>
  </si>
  <si>
    <t>8991205510284</t>
  </si>
  <si>
    <t>BUTTER HOLMAN 800GR</t>
  </si>
  <si>
    <t>6924844800920</t>
  </si>
  <si>
    <t xml:space="preserve">GLOBAL MUSHROOMS 425GR </t>
  </si>
  <si>
    <t>8992993527669</t>
  </si>
  <si>
    <t>COLATTA PASTRY DARK 1KG</t>
  </si>
  <si>
    <t>078895710922</t>
  </si>
  <si>
    <t xml:space="preserve">LKK MINYAK WIJEN 207ML </t>
  </si>
  <si>
    <t>8997028580725</t>
  </si>
  <si>
    <t xml:space="preserve">MERCOLADE TIRAMISU 1KG </t>
  </si>
  <si>
    <t>3516663740001</t>
  </si>
  <si>
    <t>RAGI INS FERMIFAN 11GR</t>
  </si>
  <si>
    <t>8714700527003</t>
  </si>
  <si>
    <t>MAIZENAKU TPG CORN 300GR</t>
  </si>
  <si>
    <t>8997014450131</t>
  </si>
  <si>
    <t>KEJU PROCHIZ SPREADY 2KG</t>
  </si>
  <si>
    <t>8992933215113</t>
  </si>
  <si>
    <t>NUTRIJELL PLAIN PCS</t>
  </si>
  <si>
    <t>10410089</t>
  </si>
  <si>
    <t>MISES PLAZA DONAT 1KG</t>
  </si>
  <si>
    <t>8997215750085</t>
  </si>
  <si>
    <t>KEJU WINCHEZZ GOLD 170GR</t>
  </si>
  <si>
    <t>8997237642191</t>
  </si>
  <si>
    <t>BRO BUBBLE COKLAT 1KG</t>
  </si>
  <si>
    <t>8993037016224</t>
  </si>
  <si>
    <t>DONNY PANDAN 2KG</t>
  </si>
  <si>
    <t>8993496109956</t>
  </si>
  <si>
    <t xml:space="preserve">SANIA TP TERIGU SERBAGUNA 1KG </t>
  </si>
  <si>
    <t>8992696521797</t>
  </si>
  <si>
    <t>MILO ACTIV-GO 22GR</t>
  </si>
  <si>
    <t>8888140030093</t>
  </si>
  <si>
    <t>MILI SARDEN MACKEREL 425GR</t>
  </si>
  <si>
    <t>10510003</t>
  </si>
  <si>
    <t>ASOY BNG KRISNA 24</t>
  </si>
  <si>
    <t>8992993260375</t>
  </si>
  <si>
    <t xml:space="preserve">COLATTA WHITE 250GR </t>
  </si>
  <si>
    <t>8719200171411</t>
  </si>
  <si>
    <t>BLUE BAND SERBAGUNA 1KG</t>
  </si>
  <si>
    <t>10530002</t>
  </si>
  <si>
    <t>GELAS 14 OZ STARINDO</t>
  </si>
  <si>
    <t>8992933211115</t>
  </si>
  <si>
    <t>NUTRIJELL STROBERI PCS</t>
  </si>
  <si>
    <t>9300698001473</t>
  </si>
  <si>
    <t xml:space="preserve">NUTELLA 1KG </t>
  </si>
  <si>
    <t>8997214270355</t>
  </si>
  <si>
    <t>RICH CREME NON DAIRY CREAMER 500GR</t>
  </si>
  <si>
    <t>8994043110098</t>
  </si>
  <si>
    <t>GULA DONAT CLARIS 250GR</t>
  </si>
  <si>
    <t>8991001400017</t>
  </si>
  <si>
    <t>VAN HOUTEN COCOA POWDER 40GR</t>
  </si>
  <si>
    <t>8998888152763</t>
  </si>
  <si>
    <t>SUNQUICK MANGGO 700ML</t>
  </si>
  <si>
    <t>8992984820410</t>
  </si>
  <si>
    <t xml:space="preserve">KOEPOE BAKING POWDER  45GR </t>
  </si>
  <si>
    <t>8997237642542</t>
  </si>
  <si>
    <t>SWAN B VANILLA 500GR</t>
  </si>
  <si>
    <t>10410760</t>
  </si>
  <si>
    <t xml:space="preserve">BENDICO XD 1/2KG </t>
  </si>
  <si>
    <t>10421027</t>
  </si>
  <si>
    <t xml:space="preserve">CHIP LAGIE 1/2BULAT 3KG </t>
  </si>
  <si>
    <t>18992628732175</t>
  </si>
  <si>
    <t>MALINDA KNG 15KG</t>
  </si>
  <si>
    <t>8991001302700</t>
  </si>
  <si>
    <t>TULIP MISES COKLAT 500GR</t>
  </si>
  <si>
    <t>8997025590086</t>
  </si>
  <si>
    <t xml:space="preserve">BUBUK CABE 500GR </t>
  </si>
  <si>
    <t>8991188943086</t>
  </si>
  <si>
    <t>SASA 1KG</t>
  </si>
  <si>
    <t>8997014039657</t>
  </si>
  <si>
    <t>PLAZA GLAZE ECO TARO 1KG</t>
  </si>
  <si>
    <t>10411739</t>
  </si>
  <si>
    <t>TEH LOMBA KUDA 10KG</t>
  </si>
  <si>
    <t>8997212611068</t>
  </si>
  <si>
    <t>KARA COCONUT OIL 1LT</t>
  </si>
  <si>
    <t>8997226690479</t>
  </si>
  <si>
    <t>COMEXTRA METE W320 PREMIUM 1KG</t>
  </si>
  <si>
    <t>8998888150981</t>
  </si>
  <si>
    <t>SUNQUICK ORANGE 2000ML</t>
  </si>
  <si>
    <t>10420374</t>
  </si>
  <si>
    <t>MIKA MEGA 3C 100S</t>
  </si>
  <si>
    <t>8906117000778</t>
  </si>
  <si>
    <t>BERAS BASMATI CREAMY 5KG</t>
  </si>
  <si>
    <t>10411164</t>
  </si>
  <si>
    <t>BEST BUBBLE G.TEA 1KG</t>
  </si>
  <si>
    <t>8997014039541</t>
  </si>
  <si>
    <t>PLAZA GLAZE ECO STRW 5KG</t>
  </si>
  <si>
    <t>8993037016163</t>
  </si>
  <si>
    <t>DONNY SARIKAYA 2KG</t>
  </si>
  <si>
    <t>10410600</t>
  </si>
  <si>
    <t>ELMER AFRICAN RED 250GR</t>
  </si>
  <si>
    <t>8993492101800</t>
  </si>
  <si>
    <t>PERFETTO KEJU MOZARELLA 250GR</t>
  </si>
  <si>
    <t>9415007040729</t>
  </si>
  <si>
    <t xml:space="preserve">ANCHOR SALTED BUTTER 2KG </t>
  </si>
  <si>
    <t>4894338010017</t>
  </si>
  <si>
    <t>KUETIAW KERING 280GR</t>
  </si>
  <si>
    <t>8997214270072</t>
  </si>
  <si>
    <t>FIBER CREME 100gr</t>
  </si>
  <si>
    <t>8997209390303</t>
  </si>
  <si>
    <t>TP BERAS BOLA 500GR</t>
  </si>
  <si>
    <t>10520049</t>
  </si>
  <si>
    <t>STANDING POUCH 20X29</t>
  </si>
  <si>
    <t>10510079</t>
  </si>
  <si>
    <t>ASOY ROYAL ORANGE24</t>
  </si>
  <si>
    <t>8992933411119</t>
  </si>
  <si>
    <t>NUTRIJELL EKO KELAPA MUDA</t>
  </si>
  <si>
    <t>011747234207</t>
  </si>
  <si>
    <t xml:space="preserve">DOLPIN GARAM 1KG </t>
  </si>
  <si>
    <t>10200173</t>
  </si>
  <si>
    <t xml:space="preserve">ANCHOR BAKER MIX 1KG </t>
  </si>
  <si>
    <t>8992933218114</t>
  </si>
  <si>
    <t>NUTRIJELL ANGGUR  PCS</t>
  </si>
  <si>
    <t>10510078</t>
  </si>
  <si>
    <t>ASOY ROYAL ORANGE15</t>
  </si>
  <si>
    <t>5410687089314</t>
  </si>
  <si>
    <t>PURATOS AMBIANTE TOPPING 1L</t>
  </si>
  <si>
    <t>9555678902039</t>
  </si>
  <si>
    <t>MILANO KRIMER KENTAL MNS 1KG</t>
  </si>
  <si>
    <t>8992993527249</t>
  </si>
  <si>
    <t>HAAN ICE CREAM STRAWBERRY 1,5KG</t>
  </si>
  <si>
    <t>8992993527713</t>
  </si>
  <si>
    <t xml:space="preserve">BENDICO XD 1KG </t>
  </si>
  <si>
    <t>8992984832420</t>
  </si>
  <si>
    <t>KOEPOE PASTA VANILA 60ML</t>
  </si>
  <si>
    <t>10423636</t>
  </si>
  <si>
    <t>TOPLES LOGO 318</t>
  </si>
  <si>
    <t>8997028580855</t>
  </si>
  <si>
    <t>FILLOKU COKLAT ISIAN 5KG</t>
  </si>
  <si>
    <t>10420404</t>
  </si>
  <si>
    <t>MIKA MEGA HB 01 50S</t>
  </si>
  <si>
    <t>10410527</t>
  </si>
  <si>
    <t xml:space="preserve">TULIP COCHIP 1KG </t>
  </si>
  <si>
    <t>8995002803013</t>
  </si>
  <si>
    <t>BAKERIN PLUS 500</t>
  </si>
  <si>
    <t>10427159</t>
  </si>
  <si>
    <t>TOPLES WW-04 168</t>
  </si>
  <si>
    <t>10420141</t>
  </si>
  <si>
    <t xml:space="preserve">CUP DIVA 5 MRH </t>
  </si>
  <si>
    <t>711844130050</t>
  </si>
  <si>
    <t>ABC SAUS TOMAT 1KG</t>
  </si>
  <si>
    <t>6922130105100</t>
  </si>
  <si>
    <t xml:space="preserve">TOTOLE KALDU RASA JAMUR 80GR </t>
  </si>
  <si>
    <t>8992696420458</t>
  </si>
  <si>
    <t>MILO ACTIVE GO 990GR</t>
  </si>
  <si>
    <t>8992993526938</t>
  </si>
  <si>
    <t>COL GLAZE STRAW 5KG</t>
  </si>
  <si>
    <t>8992933622119</t>
  </si>
  <si>
    <t>MY VLA VANILA 60GR</t>
  </si>
  <si>
    <t>10420989</t>
  </si>
  <si>
    <t>BENDICO XD 250GR</t>
  </si>
  <si>
    <t>8992826341141</t>
  </si>
  <si>
    <t>PALMVITA DFF 15KG</t>
  </si>
  <si>
    <t>8992993524576</t>
  </si>
  <si>
    <t xml:space="preserve">COL CHOCO FILLING 5KG </t>
  </si>
  <si>
    <t>8719200171527</t>
  </si>
  <si>
    <t>MINYAK SAMIN 2KG</t>
  </si>
  <si>
    <t>8997011922327</t>
  </si>
  <si>
    <t>MILKO TP SUSU FULL CREAM 1KG</t>
  </si>
  <si>
    <t>10425112</t>
  </si>
  <si>
    <t>BEST FRESH 250MM</t>
  </si>
  <si>
    <t>10410865</t>
  </si>
  <si>
    <t>BENDICO ND 500gr</t>
  </si>
  <si>
    <t>10510077</t>
  </si>
  <si>
    <t>ASOY ROYAL ORANGE28</t>
  </si>
  <si>
    <t>8998888710505</t>
  </si>
  <si>
    <t xml:space="preserve">DELMONTE CHILI EXTRA HOT 8GR </t>
  </si>
  <si>
    <t>8992992340122</t>
  </si>
  <si>
    <t>PALETTA BLUEBERRY 5KG</t>
  </si>
  <si>
    <t>6922130108026</t>
  </si>
  <si>
    <t>TOTOLE KALDU JAMUR 1KG</t>
  </si>
  <si>
    <t>8998888150967</t>
  </si>
  <si>
    <t>SUNQUICK ORANGE 800ML</t>
  </si>
  <si>
    <t>10410990</t>
  </si>
  <si>
    <t>TEH LOMBA KUDA 1/2KG</t>
  </si>
  <si>
    <t>8992993527676</t>
  </si>
  <si>
    <t>COLATTA PASTRY WHITE 1KG</t>
  </si>
  <si>
    <t>10420896</t>
  </si>
  <si>
    <t xml:space="preserve">TULIP BUBUK BORDEAUX 100GR </t>
  </si>
  <si>
    <t>8992993527898</t>
  </si>
  <si>
    <t>COLATTA DRINKING COKLAT 1KG</t>
  </si>
  <si>
    <t>8719200171473</t>
  </si>
  <si>
    <t>BLUE BAND CAKE COOKIES KLG 1KG</t>
  </si>
  <si>
    <t>8992204165000</t>
  </si>
  <si>
    <t>DONNY KACANG MERAH 500GR</t>
  </si>
  <si>
    <t>10424171</t>
  </si>
  <si>
    <t>VICTORY MANGKOK ROUNDBOWL 1000ML</t>
  </si>
  <si>
    <t>8997237642917</t>
  </si>
  <si>
    <t>SWAN B CAPUCINO 500GR</t>
  </si>
  <si>
    <t>8991001400031</t>
  </si>
  <si>
    <t>VAN HOUTEN COCOA POWDER 165GR</t>
  </si>
  <si>
    <t>8992984821523</t>
  </si>
  <si>
    <t xml:space="preserve">KOEPOE PEMUTIH 50GR </t>
  </si>
  <si>
    <t>8888900322109</t>
  </si>
  <si>
    <t xml:space="preserve">MAKARONI SEDANI SPIRAL 1KG </t>
  </si>
  <si>
    <t>8993039112504</t>
  </si>
  <si>
    <t>REGAL BISKUIT MARIE 230GR</t>
  </si>
  <si>
    <t>8888900400111</t>
  </si>
  <si>
    <t>LAFONTE SPAGHETTI 450GR</t>
  </si>
  <si>
    <t>10410419</t>
  </si>
  <si>
    <t xml:space="preserve">MALINDA KNG 1KG </t>
  </si>
  <si>
    <t>8997033630361</t>
  </si>
  <si>
    <t>ABROFOOD MERICA GL 1KG</t>
  </si>
  <si>
    <t>8997237642436</t>
  </si>
  <si>
    <t>BRO BUBBLE STW 1KG</t>
  </si>
  <si>
    <t>078895210118</t>
  </si>
  <si>
    <t xml:space="preserve">LKK MINYAK WIJEN 115ML </t>
  </si>
  <si>
    <t>8997237642771</t>
  </si>
  <si>
    <t>BRO BUBBLE VANILLA 1KG</t>
  </si>
  <si>
    <t>10410792</t>
  </si>
  <si>
    <t>HATARI MISES CKLT 3KG</t>
  </si>
  <si>
    <t>8992984820717</t>
  </si>
  <si>
    <t xml:space="preserve">KOEPOE SODA KUE 81GR </t>
  </si>
  <si>
    <t>8992696521322</t>
  </si>
  <si>
    <t xml:space="preserve">CARNATION EVAPORASI 405GR </t>
  </si>
  <si>
    <t>8995002809343</t>
  </si>
  <si>
    <t>BAKERIN PLUS 100GR</t>
  </si>
  <si>
    <t>8992933413113</t>
  </si>
  <si>
    <t>NUTRIJELL EKO PLAIN</t>
  </si>
  <si>
    <t>10410289</t>
  </si>
  <si>
    <t>SP RYOTO ESTER 1KG</t>
  </si>
  <si>
    <t>8992786600005</t>
  </si>
  <si>
    <t>PONDAN WHIP CREAM POUCH 100GR</t>
  </si>
  <si>
    <t>8992705011073</t>
  </si>
  <si>
    <t>SATELIT AGAR 9GR</t>
  </si>
  <si>
    <t>8992993525979</t>
  </si>
  <si>
    <t>COL GLAZE G.TEA MATCHA 5KG</t>
  </si>
  <si>
    <t>10200424</t>
  </si>
  <si>
    <t>ABON AYAM PEDAS SR SUPER 1KG</t>
  </si>
  <si>
    <t>8850370721119</t>
  </si>
  <si>
    <t>CHATRAMUE THAI TEA MIX 400GR</t>
  </si>
  <si>
    <t>8992993526891</t>
  </si>
  <si>
    <t>COL GLAZE WHITE 5KG</t>
  </si>
  <si>
    <t>5410126186208</t>
  </si>
  <si>
    <t>LOTUS BISCOFF CRUMBLE 750GR</t>
  </si>
  <si>
    <t>8990064000998</t>
  </si>
  <si>
    <t>ELMER COMP BAKERY DARK 5KG</t>
  </si>
  <si>
    <t>3451790476945</t>
  </si>
  <si>
    <t>ELLE&amp;VIRE CRM CHEESE 1.36KG</t>
  </si>
  <si>
    <t>8992993528161</t>
  </si>
  <si>
    <t>HAAN WIPPY CREAM 200GR</t>
  </si>
  <si>
    <t>8990064001063</t>
  </si>
  <si>
    <t>PLAZA GLAZE ECO CAPPUCINO 5KG</t>
  </si>
  <si>
    <t>8998888461087</t>
  </si>
  <si>
    <t xml:space="preserve">MAESTRO MUSTARD 1KG </t>
  </si>
  <si>
    <t>8998888710178</t>
  </si>
  <si>
    <t xml:space="preserve">DELMONTE KETCHUP TOMAT PCH 1KG </t>
  </si>
  <si>
    <t>8997028500440</t>
  </si>
  <si>
    <t>MINYAK WIJEN 58 275ML</t>
  </si>
  <si>
    <t>3516664670000</t>
  </si>
  <si>
    <t>RAGI INS SAF GOLD 500GR</t>
  </si>
  <si>
    <t>10410143</t>
  </si>
  <si>
    <t xml:space="preserve">TP GULA MINT 1KG </t>
  </si>
  <si>
    <t>8998888150455</t>
  </si>
  <si>
    <t xml:space="preserve">SUNQUICK LEMON 300ML </t>
  </si>
  <si>
    <t>8992753120802</t>
  </si>
  <si>
    <t>FF SUSU BUBUK FULL CREAM 800GR</t>
  </si>
  <si>
    <t>8997014036489</t>
  </si>
  <si>
    <t>ELMER GLAZE GREENTEA 5KG</t>
  </si>
  <si>
    <t>8997014030517</t>
  </si>
  <si>
    <t>ELMER COMP TIRAMISU 1KG</t>
  </si>
  <si>
    <t>8991205515029</t>
  </si>
  <si>
    <t>TOFFIECO PERISA COFFEBREAD 1KG</t>
  </si>
  <si>
    <t>10420569</t>
  </si>
  <si>
    <t>LUNCH BOX L 50S</t>
  </si>
  <si>
    <t>8612538602</t>
  </si>
  <si>
    <t>DENALI CARAMEL SAUCE 2KG</t>
  </si>
  <si>
    <t>9414997006432</t>
  </si>
  <si>
    <t>MASCARPONE TATUA 1KG</t>
  </si>
  <si>
    <t>8993093664711</t>
  </si>
  <si>
    <t>MG ROSE BRAND 2L</t>
  </si>
  <si>
    <t>8990064000707</t>
  </si>
  <si>
    <t>PLAZA GLAZE ECO CHEESE 1KG</t>
  </si>
  <si>
    <t>8992993526907</t>
  </si>
  <si>
    <t>COL GLAZE TIRAMISU 5KG</t>
  </si>
  <si>
    <t>8997033630606</t>
  </si>
  <si>
    <t>ABROFOOD MERICAKU HTM GIL 1KG</t>
  </si>
  <si>
    <t>8990168651232</t>
  </si>
  <si>
    <t>BUMBU PECAL SINTI 200GR</t>
  </si>
  <si>
    <t>8994461960398</t>
  </si>
  <si>
    <t>GULARE PALM SUGAR SYRUP 1.3KG</t>
  </si>
  <si>
    <t>8992993523517</t>
  </si>
  <si>
    <t xml:space="preserve">GALETTO WHITE 250GR </t>
  </si>
  <si>
    <t>10410001</t>
  </si>
  <si>
    <t>BLUE BAND MENTEGA 1KG</t>
  </si>
  <si>
    <t>8850124006677</t>
  </si>
  <si>
    <t>NESTLE COFEEMATE 450GR</t>
  </si>
  <si>
    <t>10410663</t>
  </si>
  <si>
    <t>ALMOND BUBUK 1KG</t>
  </si>
  <si>
    <t>8991205511625</t>
  </si>
  <si>
    <t>TOFFIECO COKLAT BF PASTA 1KG</t>
  </si>
  <si>
    <t>8997237642313</t>
  </si>
  <si>
    <t>SWAN B RED VELVED 500GR</t>
  </si>
  <si>
    <t>8888900320112</t>
  </si>
  <si>
    <t>SEDANI SPAGHETI 1KG</t>
  </si>
  <si>
    <t>10410106</t>
  </si>
  <si>
    <t>CHIP LAGIE 1/2 BLT 100GR</t>
  </si>
  <si>
    <t>10410116</t>
  </si>
  <si>
    <t>SPRINKLE DRUM 100GR</t>
  </si>
  <si>
    <t>10410863</t>
  </si>
  <si>
    <t>PALMIA TOP WHITE 1 KG</t>
  </si>
  <si>
    <t>10412352</t>
  </si>
  <si>
    <t>BAKERS MIX GOLD 1/2KG</t>
  </si>
  <si>
    <t>8997014039510</t>
  </si>
  <si>
    <t>PLAZA GLAZE ECO TIRAMISU 5KG</t>
  </si>
  <si>
    <t>10530123</t>
  </si>
  <si>
    <t xml:space="preserve">BOTOL JAR 750ML </t>
  </si>
  <si>
    <t>10530024</t>
  </si>
  <si>
    <t>TUTUP CEMBUNG STARINDO</t>
  </si>
  <si>
    <t>8997024460021</t>
  </si>
  <si>
    <t>MC LEWIS CHILI SAUS 9GR</t>
  </si>
  <si>
    <t>8992993527737</t>
  </si>
  <si>
    <t xml:space="preserve">BENDICO XXD 1KG </t>
  </si>
  <si>
    <t>8997014036465</t>
  </si>
  <si>
    <t>ELMER GLAZE TARO 5KG</t>
  </si>
  <si>
    <t>8997014039534</t>
  </si>
  <si>
    <t>PLAZA GLAZE ECO TARO 5KG</t>
  </si>
  <si>
    <t>9310079307025</t>
  </si>
  <si>
    <t>BUTTER SEGITIGA 2KG</t>
  </si>
  <si>
    <t>045666638334</t>
  </si>
  <si>
    <t xml:space="preserve">BALA LONGAN 565GR </t>
  </si>
  <si>
    <t>CAN</t>
  </si>
  <si>
    <t>8854729500028</t>
  </si>
  <si>
    <t>CREAMER NON DAIRY DREAMY COFFE 1000GR</t>
  </si>
  <si>
    <t>8809301680087</t>
  </si>
  <si>
    <t>EVER WHIP CREAM VANILA 1030GR</t>
  </si>
  <si>
    <t>8888003125508</t>
  </si>
  <si>
    <t>TYJ SPRING ROLL PASTRY 250GR</t>
  </si>
  <si>
    <t>8991188943543</t>
  </si>
  <si>
    <t>SASA SANTAN KELAPA 200ML</t>
  </si>
  <si>
    <t>8998225800043</t>
  </si>
  <si>
    <t>MG FORTUNE 2L(REFIL)</t>
  </si>
  <si>
    <t>4800361328722</t>
  </si>
  <si>
    <t>NESTLE LEMONADE 640GR</t>
  </si>
  <si>
    <t>8992770034199</t>
  </si>
  <si>
    <t>MASAKO AYAM 1KG</t>
  </si>
  <si>
    <t>10410719</t>
  </si>
  <si>
    <t>TULIP MISES COKLAT 5 KG</t>
  </si>
  <si>
    <t>10411695</t>
  </si>
  <si>
    <t>PLAZA FILLING PASTA C2 5KG</t>
  </si>
  <si>
    <t>8990064002695</t>
  </si>
  <si>
    <t>PLAZA GLAZE ECO DARK 200GR</t>
  </si>
  <si>
    <t>8992993528246</t>
  </si>
  <si>
    <t>BENDICO XD 5KG</t>
  </si>
  <si>
    <t>8992933324112</t>
  </si>
  <si>
    <t>NUTRIJELL EKO COKLAT</t>
  </si>
  <si>
    <t>8992717102509</t>
  </si>
  <si>
    <t>SUN KARA SANTAN 200ML</t>
  </si>
  <si>
    <t>8993883420022</t>
  </si>
  <si>
    <t>MINDA MINYAK WIJEN 130 ML</t>
  </si>
  <si>
    <t>5010652998476</t>
  </si>
  <si>
    <t>MILLAC GOLD WHIPPING 1L</t>
  </si>
  <si>
    <t>7622210473608</t>
  </si>
  <si>
    <t xml:space="preserve">KEJU KRAFT MARTABAK 2KG </t>
  </si>
  <si>
    <t>8997231730139</t>
  </si>
  <si>
    <t>AROMANIS GULA AREN CAIR PREM 1.2KG</t>
  </si>
  <si>
    <t>8888900322062</t>
  </si>
  <si>
    <t>MAKARONI SEDANI PIPA 1KG</t>
  </si>
  <si>
    <t>8855362001033</t>
  </si>
  <si>
    <t xml:space="preserve">SAITON FISH SAUCE 750ML </t>
  </si>
  <si>
    <t>078895129960</t>
  </si>
  <si>
    <t xml:space="preserve">LKK SAUS TIRAM 770GR </t>
  </si>
  <si>
    <t>8999801700054</t>
  </si>
  <si>
    <t>FOYU KRIMER 1KG</t>
  </si>
  <si>
    <t>8719200171497</t>
  </si>
  <si>
    <t>BLUE BAND MARGARINE GROSS 15KG</t>
  </si>
  <si>
    <t>8993492102432</t>
  </si>
  <si>
    <t>EDO DANISH PASTRY 750GR</t>
  </si>
  <si>
    <t>6917790974326</t>
  </si>
  <si>
    <t>RAGI INS ANGEL 500GR</t>
  </si>
  <si>
    <t>8993061901664</t>
  </si>
  <si>
    <t>TOTAL BAKING PAPER COKLAT 30CMX10M</t>
  </si>
  <si>
    <t>8993093105009</t>
  </si>
  <si>
    <t>KANJI GUNUNG AGUNG MRH 500GR</t>
  </si>
  <si>
    <t>5410126306286</t>
  </si>
  <si>
    <t>LOTUS BISCOF 25S 156GR</t>
  </si>
  <si>
    <t>3161911364531</t>
  </si>
  <si>
    <t>ELLE &amp; VIRE UNSALT BUTTER 200GR</t>
  </si>
  <si>
    <t>8994592309639</t>
  </si>
  <si>
    <t>TULIP COMPOUND MILK 1KG</t>
  </si>
  <si>
    <t>8998888110213</t>
  </si>
  <si>
    <t xml:space="preserve">MARJAN BOUDOIN MELON 460ML </t>
  </si>
  <si>
    <t>6922877792731</t>
  </si>
  <si>
    <t>SKIPPY CHUNKY 500GR</t>
  </si>
  <si>
    <t>10410572</t>
  </si>
  <si>
    <t xml:space="preserve">BUTTER HOLMAN 1/2KG </t>
  </si>
  <si>
    <t>8997214881254</t>
  </si>
  <si>
    <t>DAIRY CROWN SKM 500GR</t>
  </si>
  <si>
    <t>6953942200127</t>
  </si>
  <si>
    <t>SHINEROAD NON DAIRY TOPPING 1KG</t>
  </si>
  <si>
    <t>8719200171435</t>
  </si>
  <si>
    <t>BLUE BAND MST MENTEGA 2KG</t>
  </si>
  <si>
    <t>8994592305587</t>
  </si>
  <si>
    <t xml:space="preserve">TULIP COMPOUND DARK 1KG </t>
  </si>
  <si>
    <t>10200335</t>
  </si>
  <si>
    <t>PANIR WR INTIRASA 10KG</t>
  </si>
  <si>
    <t>8997214270331</t>
  </si>
  <si>
    <t>RICH CREAM WHIPPING CREAM 400GR</t>
  </si>
  <si>
    <t>8997237642764</t>
  </si>
  <si>
    <t>BRO BUBBLE TARO 1KG</t>
  </si>
  <si>
    <t>8990108872178</t>
  </si>
  <si>
    <t>TOFFIECO RED VELVET PASTA 100GR</t>
  </si>
  <si>
    <t>8998888110411</t>
  </si>
  <si>
    <t>MARJAN BOUDOIN LEMON 460ML</t>
  </si>
  <si>
    <t>8992993526914</t>
  </si>
  <si>
    <t>COL GLAZE CAPPUCINO 5KG</t>
  </si>
  <si>
    <t>8719200171442</t>
  </si>
  <si>
    <t>BLUE BAND MST MENTEGA 4,5KG</t>
  </si>
  <si>
    <t>8991205511021</t>
  </si>
  <si>
    <t>TOFFIECO PANDAN PASTA 1LITER</t>
  </si>
  <si>
    <t>8997237642054</t>
  </si>
  <si>
    <t>BRO BUBBLE CAPUCINO 1KG</t>
  </si>
  <si>
    <t>10410571</t>
  </si>
  <si>
    <t xml:space="preserve">BUTTER HOLMAN 1KG </t>
  </si>
  <si>
    <t>10410682</t>
  </si>
  <si>
    <t>TULIP MISES COKLAT 1KG</t>
  </si>
  <si>
    <t>8992993527720</t>
  </si>
  <si>
    <t xml:space="preserve">BENDICO ND 1KG </t>
  </si>
  <si>
    <t>10411252</t>
  </si>
  <si>
    <t>LOTUS BISCOF 50S 312,5GR</t>
  </si>
  <si>
    <t>9310079305830</t>
  </si>
  <si>
    <t xml:space="preserve">BUTTER CAP TONG 2KG </t>
  </si>
  <si>
    <t>10411923</t>
  </si>
  <si>
    <t>BENSDROP M 250GR</t>
  </si>
  <si>
    <t>8997237642429</t>
  </si>
  <si>
    <t>BRO BUBBLE MANGOSMOOTH 1KG</t>
  </si>
  <si>
    <t>8998009080500</t>
  </si>
  <si>
    <t xml:space="preserve">KEJU KRAFT CHEDDAR 150GR </t>
  </si>
  <si>
    <t>10411546</t>
  </si>
  <si>
    <t>PALMVITA BOS 1KG</t>
  </si>
  <si>
    <t>10424144</t>
  </si>
  <si>
    <t xml:space="preserve">CUP MUFFIN SMALL 50S JZ- </t>
  </si>
  <si>
    <t>10410552</t>
  </si>
  <si>
    <t xml:space="preserve">SUSU PROMIL 1/4KG </t>
  </si>
  <si>
    <t>8997214270324</t>
  </si>
  <si>
    <t>RICH CREME WHIPPING CREAM 200GR</t>
  </si>
  <si>
    <t>10410737</t>
  </si>
  <si>
    <t>KELAPA KERING 250GR</t>
  </si>
  <si>
    <t>8993296101099</t>
  </si>
  <si>
    <t>CAKRA KEMBAR MAS ROTI PAO 5KG</t>
  </si>
  <si>
    <t>10410023</t>
  </si>
  <si>
    <t xml:space="preserve">COKELAT PASTA KH 1KG </t>
  </si>
  <si>
    <t>10410882</t>
  </si>
  <si>
    <t>BENSDROP M 1/2KG</t>
  </si>
  <si>
    <t>8719200171480</t>
  </si>
  <si>
    <t>BLUE BAND CAKE&amp;COOKIES 2KG</t>
  </si>
  <si>
    <t>8997237642931</t>
  </si>
  <si>
    <t xml:space="preserve">BRO BUBBLE RED VELVET 1KG </t>
  </si>
  <si>
    <t>9310079305663</t>
  </si>
  <si>
    <t>BUTTER CAP TONG 340GR</t>
  </si>
  <si>
    <t>8998888110114</t>
  </si>
  <si>
    <t>MARJAN BOUDOIN COCOPANDAN 460ML</t>
  </si>
  <si>
    <t>10410332</t>
  </si>
  <si>
    <t>METE SUPER 1/2KG</t>
  </si>
  <si>
    <t>5010652994959</t>
  </si>
  <si>
    <t xml:space="preserve">MILLAC ROSELLE KRIM 1L </t>
  </si>
  <si>
    <t>10410733</t>
  </si>
  <si>
    <t xml:space="preserve">PLAZA FILLING ECONO 5KG </t>
  </si>
  <si>
    <t>8998888170224</t>
  </si>
  <si>
    <t>MARJAN SQUASH MELON 450ML</t>
  </si>
  <si>
    <t>10410333</t>
  </si>
  <si>
    <t>METE SUPER 250GR</t>
  </si>
  <si>
    <t>711844150003</t>
  </si>
  <si>
    <t>ABC SIRUP ORANGE 460ML</t>
  </si>
  <si>
    <t>10420061</t>
  </si>
  <si>
    <t>PAPER DIVA 5,5 140MM</t>
  </si>
  <si>
    <t>10410604</t>
  </si>
  <si>
    <t xml:space="preserve">ANCHOR MOZARELLA 1KG </t>
  </si>
  <si>
    <t>Kode</t>
  </si>
  <si>
    <t>Nama</t>
  </si>
  <si>
    <t>10427516</t>
  </si>
  <si>
    <t>TIMBANGAN DIGI 40KG</t>
  </si>
  <si>
    <t>10411585</t>
  </si>
  <si>
    <t>AB MAURI RED BEAN PASTE 5KG</t>
  </si>
  <si>
    <t>9916500118002</t>
  </si>
  <si>
    <t>ABBYS BAKSO SAPI KECIL 370GR</t>
  </si>
  <si>
    <t>711844120082</t>
  </si>
  <si>
    <t>ABC EXTRA PEDAS 135ML</t>
  </si>
  <si>
    <t>711844120532</t>
  </si>
  <si>
    <t>ABC EXTRA PEDAS 380GR</t>
  </si>
  <si>
    <t>711844120556</t>
  </si>
  <si>
    <t>ABC EXTRA PEDAS 75GR</t>
  </si>
  <si>
    <t>ABC KCP JRG 6KG</t>
  </si>
  <si>
    <t>711844110144</t>
  </si>
  <si>
    <t>ABC KCP MANIS 250ML</t>
  </si>
  <si>
    <t>711844115057</t>
  </si>
  <si>
    <t>ABC KECAP ASIN 131ML</t>
  </si>
  <si>
    <t>711844110762</t>
  </si>
  <si>
    <t>ABC KECAP EXTRA PDS 135ML</t>
  </si>
  <si>
    <t>8994907003634</t>
  </si>
  <si>
    <t>ABC KECAP HTM MANIS 62GR</t>
  </si>
  <si>
    <t>711844140127</t>
  </si>
  <si>
    <t>ABC KECAP INGGRIS 195ML</t>
  </si>
  <si>
    <t>711844110113</t>
  </si>
  <si>
    <t>ABC KECAP MANIS 130ML</t>
  </si>
  <si>
    <t>8994907000428</t>
  </si>
  <si>
    <t>ABC KECAP MANIS 15ML</t>
  </si>
  <si>
    <t>711844110083</t>
  </si>
  <si>
    <t>ABC KECAP MANIS 275ML</t>
  </si>
  <si>
    <t>8994907003603</t>
  </si>
  <si>
    <t>ABC KECAP MANIS 600GR</t>
  </si>
  <si>
    <t>711844110052</t>
  </si>
  <si>
    <t>ABC KECAP MANIS 620ML</t>
  </si>
  <si>
    <t>711844110182</t>
  </si>
  <si>
    <t>ABC KECAP MANIS 65ML</t>
  </si>
  <si>
    <t>711844110205</t>
  </si>
  <si>
    <t>ABC KECAP MANIS HOKI 520ML</t>
  </si>
  <si>
    <t>711844110700</t>
  </si>
  <si>
    <t>ABC KECAP MANIS PEDAS 135ML</t>
  </si>
  <si>
    <t>711844110717</t>
  </si>
  <si>
    <t>ABC KECAP MANIS PEDAS 275ML</t>
  </si>
  <si>
    <t>8991002101968</t>
  </si>
  <si>
    <t>ABC KOPI SUSU GULA AREN 297GR</t>
  </si>
  <si>
    <t>711844120013</t>
  </si>
  <si>
    <t>ABC SAMB ASLI BB 335 ML</t>
  </si>
  <si>
    <t>711844120150</t>
  </si>
  <si>
    <t>ABC SAMB AYAM GORENG 335ML</t>
  </si>
  <si>
    <t>711844120075</t>
  </si>
  <si>
    <t>ABC SAMB EXTR PEDAS BB 335 ML</t>
  </si>
  <si>
    <t>711844120099</t>
  </si>
  <si>
    <t>ABC SAMB MP BB 335 ML</t>
  </si>
  <si>
    <t>711844120037</t>
  </si>
  <si>
    <t>ABC SAMBAL ASLI 135ML</t>
  </si>
  <si>
    <t>711844120525</t>
  </si>
  <si>
    <t>ABC SAMBAL ASLI 380GR</t>
  </si>
  <si>
    <t>711844120549</t>
  </si>
  <si>
    <t>ABC SAMBAL ASLI 75GR</t>
  </si>
  <si>
    <t>8994907000619</t>
  </si>
  <si>
    <t>ABC SAMBAL ASLI 8GR</t>
  </si>
  <si>
    <t>711844120310</t>
  </si>
  <si>
    <t>711844120419</t>
  </si>
  <si>
    <t>ABC SAMBAL ASLI BTL 275ML</t>
  </si>
  <si>
    <t>711844120433</t>
  </si>
  <si>
    <t>ABC SAMBAL ASLI BTL 600ML</t>
  </si>
  <si>
    <t>8994907003450</t>
  </si>
  <si>
    <t>ABC SAMBAL ASLI PCH 690GR</t>
  </si>
  <si>
    <t>711844120167</t>
  </si>
  <si>
    <t>ABC SAMBAL AYM GORENG 135ML</t>
  </si>
  <si>
    <t>711844120440</t>
  </si>
  <si>
    <t>ABC SAMBAL EXTRA PADAS 275ML</t>
  </si>
  <si>
    <t>711844120341</t>
  </si>
  <si>
    <t>ABC SAMBAL EXTRA PEDAS 8GR</t>
  </si>
  <si>
    <t>8994907002309</t>
  </si>
  <si>
    <t>ABC SAMBAL EXTREME PEDAS 135ML</t>
  </si>
  <si>
    <t>8994907002316</t>
  </si>
  <si>
    <t>ABC SAMBAL EXTREME PEDAS 275ML</t>
  </si>
  <si>
    <t>8994907002293</t>
  </si>
  <si>
    <t>ABC SAMBAL EXTREME PEDAS 75GR</t>
  </si>
  <si>
    <t>711844120105</t>
  </si>
  <si>
    <t>ABC SAMBAL MANIS PEDAS 135ML</t>
  </si>
  <si>
    <t>711844120402</t>
  </si>
  <si>
    <t>ABC SAMBAL TERASI</t>
  </si>
  <si>
    <t>711844120396</t>
  </si>
  <si>
    <t>ABC SAMBAL TERASI 180GR</t>
  </si>
  <si>
    <t>8994907003481</t>
  </si>
  <si>
    <t>ABC SARDEN SAUS CABAI 300GR</t>
  </si>
  <si>
    <t>711844330146</t>
  </si>
  <si>
    <t>ABC SARDEN SAUS EXT.PDS 155GR</t>
  </si>
  <si>
    <t>711844330153</t>
  </si>
  <si>
    <t>ABC SARDEN SAUS EXT.PDS 425GR</t>
  </si>
  <si>
    <t>711844330009</t>
  </si>
  <si>
    <t>ABC SARDEN SAUS TOMAT 155GR</t>
  </si>
  <si>
    <t>711844330016</t>
  </si>
  <si>
    <t>ABC SARDEN SAUS TOMAT 425GR</t>
  </si>
  <si>
    <t>711844330108</t>
  </si>
  <si>
    <t>ABC SARDINES SAUS CABE 155GR</t>
  </si>
  <si>
    <t>711844330115</t>
  </si>
  <si>
    <t>ABC SARDINES SAUS CABE 425GR</t>
  </si>
  <si>
    <t>8994907003719</t>
  </si>
  <si>
    <t>ABC SAUS TIRAM 18ML</t>
  </si>
  <si>
    <t>711844140028</t>
  </si>
  <si>
    <t>ABC SAUS TIRAM BTL 195ML</t>
  </si>
  <si>
    <t>711844130111</t>
  </si>
  <si>
    <t>ABC SAUS TOMAT 135ML</t>
  </si>
  <si>
    <t>711844130722</t>
  </si>
  <si>
    <t>ABC SAUS TOMAT 24 KG</t>
  </si>
  <si>
    <t>711844130012</t>
  </si>
  <si>
    <t>ABC SAUS TOMAT BB 335 ML</t>
  </si>
  <si>
    <t>711844130128</t>
  </si>
  <si>
    <t>ABC SAUS TOMAT BTL 275ML</t>
  </si>
  <si>
    <t>711844154506</t>
  </si>
  <si>
    <t>ABC SG COCOPANDAN 485ML</t>
  </si>
  <si>
    <t>711844154568</t>
  </si>
  <si>
    <t>ABC SG MELON 485 ML</t>
  </si>
  <si>
    <t>711844150010</t>
  </si>
  <si>
    <t>ABC SQUASH ANGGUR 450ML</t>
  </si>
  <si>
    <t>711844150034</t>
  </si>
  <si>
    <t>ABC SQUASH LECI 450ML</t>
  </si>
  <si>
    <t>711844150065</t>
  </si>
  <si>
    <t>ABC SQUASH MANGGA 450ML</t>
  </si>
  <si>
    <t>711844150027</t>
  </si>
  <si>
    <t>ABC SQUASH NANAS 450ML</t>
  </si>
  <si>
    <t>711844150041</t>
  </si>
  <si>
    <t>ABC SQUASH SIRSAK 450ML</t>
  </si>
  <si>
    <t>711844340008</t>
  </si>
  <si>
    <t>ABC TERASI UDANG 84G</t>
  </si>
  <si>
    <t>10200428</t>
  </si>
  <si>
    <t>ABON AYAM 99 SUPER ORI PCH 100GR</t>
  </si>
  <si>
    <t>8993556610231</t>
  </si>
  <si>
    <t>ABON AYAM ALFA 200GR</t>
  </si>
  <si>
    <t>10200243</t>
  </si>
  <si>
    <t>ABON AYAM ORI NUTRI 250GR</t>
  </si>
  <si>
    <t>10200234</t>
  </si>
  <si>
    <t>ABON AYAM SPICY NUTRI 1KG</t>
  </si>
  <si>
    <t>10200180</t>
  </si>
  <si>
    <t>ABON AYAM SPICY NUTRI 250GR</t>
  </si>
  <si>
    <t>10410654</t>
  </si>
  <si>
    <t>ABON SAPI 250 GR</t>
  </si>
  <si>
    <t>ABON SAPI ECHO 1KG</t>
  </si>
  <si>
    <t>10200169</t>
  </si>
  <si>
    <t>ABON SAPI ECHO 250GR</t>
  </si>
  <si>
    <t>10200448</t>
  </si>
  <si>
    <t>ABON SAPI MAYO 2 1KG</t>
  </si>
  <si>
    <t>10200446</t>
  </si>
  <si>
    <t>ABON SAPI SR SUPER A4 1KG</t>
  </si>
  <si>
    <t>8997033630941</t>
  </si>
  <si>
    <t>ABROFOOD ADAS MANIS BLT BTL 25GR</t>
  </si>
  <si>
    <t>8997033630156</t>
  </si>
  <si>
    <t>ABROFOOD ADAS MANIS BUBUK 10GR</t>
  </si>
  <si>
    <t>8997033631139</t>
  </si>
  <si>
    <t>ABROFOOD ADAS MANIS BUBUK BTL 30GR</t>
  </si>
  <si>
    <t>8997033630620</t>
  </si>
  <si>
    <t>ABROFOOD BUBUK PALA 1KG</t>
  </si>
  <si>
    <t>8997033631306</t>
  </si>
  <si>
    <t>ABROFOOD BUMBU GULAI 8GR</t>
  </si>
  <si>
    <t>8997033631146</t>
  </si>
  <si>
    <t>ABROFOOD BUMBU GULAI BTL 30GR</t>
  </si>
  <si>
    <t>8997033630903</t>
  </si>
  <si>
    <t>ABROFOOD BUMBU RENDANG 1000 10GR</t>
  </si>
  <si>
    <t>8997033631153</t>
  </si>
  <si>
    <t>ABROFOOD BUMBU RENDANG BTL 30GR</t>
  </si>
  <si>
    <t>8997033630798</t>
  </si>
  <si>
    <t>ABROFOOD BUMBU RENDANG INSTAN 180GR</t>
  </si>
  <si>
    <t>8997033630873</t>
  </si>
  <si>
    <t>ABROFOOD BUMBU RENDANG INSTAN MILD 180GR</t>
  </si>
  <si>
    <t>8997033630880</t>
  </si>
  <si>
    <t>ABROFOOD BUMBU RENDANG INSTAN MILD 250GR</t>
  </si>
  <si>
    <t>8997033630200</t>
  </si>
  <si>
    <t>ABROFOOD BUMBU SARIKAYO 10GR</t>
  </si>
  <si>
    <t>8997033630453</t>
  </si>
  <si>
    <t>ABROFOOD BUMBU SARIKAYO 1KG</t>
  </si>
  <si>
    <t>8997033631313</t>
  </si>
  <si>
    <t>ABROFOOD BUMBU SATE 8GR</t>
  </si>
  <si>
    <t>8997033631177</t>
  </si>
  <si>
    <t>ABROFOOD BUMBU SATE BTL 30GR</t>
  </si>
  <si>
    <t>8997033630484</t>
  </si>
  <si>
    <t>ABROFOOD BUMBU SOTO 1KG</t>
  </si>
  <si>
    <t>8997033631184</t>
  </si>
  <si>
    <t>ABROFOOD BUMBU SOTO BTL 30GR</t>
  </si>
  <si>
    <t>8997033630194</t>
  </si>
  <si>
    <t>ABROFOOD BUMBU SPEKUK 10GR</t>
  </si>
  <si>
    <t>8997033631191</t>
  </si>
  <si>
    <t>ABROFOOD BUMBU SPEKUK BTL 30GR</t>
  </si>
  <si>
    <t>8997033630804</t>
  </si>
  <si>
    <t>ABROFOOD BUMBU SUP 1000 3GR</t>
  </si>
  <si>
    <t>8997033630415</t>
  </si>
  <si>
    <t>ABROFOOD BUMBU SUP 50GR</t>
  </si>
  <si>
    <t>8997033631160</t>
  </si>
  <si>
    <t>ABROFOOD BUMBU SUP BTL 30GR</t>
  </si>
  <si>
    <t>8997033631016</t>
  </si>
  <si>
    <t>ABROFOOD BUNGA LAWANG BLT BTL 15GR</t>
  </si>
  <si>
    <t>8997033631122</t>
  </si>
  <si>
    <t>ABROFOOD BUNGA LAWANG BUBUK BTL 30GR</t>
  </si>
  <si>
    <t>8997033631467</t>
  </si>
  <si>
    <t>ABROFOOD BWG PTH SANGRAI BUBUK 1KG</t>
  </si>
  <si>
    <t>8997033631504</t>
  </si>
  <si>
    <t>ABROFOOD BWG PUTIH BUBUK 1KG</t>
  </si>
  <si>
    <t>8997033631375</t>
  </si>
  <si>
    <t>ABROFOOD BWG PUTIH BUBUK 7GR</t>
  </si>
  <si>
    <t>8997033631382</t>
  </si>
  <si>
    <t>ABROFOOD BWG PUTIH SANGRAI BUBUK 5GGR</t>
  </si>
  <si>
    <t>8997033631542</t>
  </si>
  <si>
    <t>ABROFOOD CABE BUBUK 1KG</t>
  </si>
  <si>
    <t>8997033631351</t>
  </si>
  <si>
    <t>ABROFOOD CABE BUBUK 7GR</t>
  </si>
  <si>
    <t>8997033631023</t>
  </si>
  <si>
    <t>ABROFOOD CENGKEH BLT BTL 25GR</t>
  </si>
  <si>
    <t>8997033630149</t>
  </si>
  <si>
    <t>ABROFOOD CENGKEH BUBUK 10G</t>
  </si>
  <si>
    <t>8997033631092</t>
  </si>
  <si>
    <t>ABROFOOD CENGKEH BUBUK BTL 30GR</t>
  </si>
  <si>
    <t>8997033630996</t>
  </si>
  <si>
    <t>ABROFOOD JINTAN 35GR</t>
  </si>
  <si>
    <t>8997033630163</t>
  </si>
  <si>
    <t>ABROFOOD JINTAN BUBUK 10GR</t>
  </si>
  <si>
    <t>8997033630552</t>
  </si>
  <si>
    <t>ABROFOOD JINTAN BUBUK 1KG</t>
  </si>
  <si>
    <t>8997033631115</t>
  </si>
  <si>
    <t>ABROFOOD JINTAN BUBUK BTL 30GR</t>
  </si>
  <si>
    <t>8997033630934</t>
  </si>
  <si>
    <t>ABROFOOD KAYU MANIS BTL 25GR</t>
  </si>
  <si>
    <t>8997033630866</t>
  </si>
  <si>
    <t>ABROFOOD KAYU MANIS BUBUK 1000 5GR</t>
  </si>
  <si>
    <t>8997033630187</t>
  </si>
  <si>
    <t>ABROFOOD KAYU MANIS BUBUK 10GR</t>
  </si>
  <si>
    <t>8997033631078</t>
  </si>
  <si>
    <t>ABROFOOD KAYU MANIS BUBUK BTL 40GR</t>
  </si>
  <si>
    <t>8997033630927</t>
  </si>
  <si>
    <t>ABROFOOD KETUMBAR BUBUK 1000</t>
  </si>
  <si>
    <t>8997033630569</t>
  </si>
  <si>
    <t>ABROFOOD KETUMBAR BUBUK 1KG</t>
  </si>
  <si>
    <t>8997033631061</t>
  </si>
  <si>
    <t>ABROFOOD KETUMBAR BUBUK BTL 30GR</t>
  </si>
  <si>
    <t>8997033630576</t>
  </si>
  <si>
    <t>ABROFOOD KETUMBAR SANGRAI BUBUK 1KG</t>
  </si>
  <si>
    <t>8997033630583</t>
  </si>
  <si>
    <t>ABROFOOD KULIT MANIS BUBUK 1KG</t>
  </si>
  <si>
    <t>8997033631399</t>
  </si>
  <si>
    <t>ABROFOOD KUNYIT BUBUK 10GR</t>
  </si>
  <si>
    <t>8997033631511</t>
  </si>
  <si>
    <t>ABROFOOD KUNYIT BUBUK 1KG</t>
  </si>
  <si>
    <t>8997033630965</t>
  </si>
  <si>
    <t>ABROFOOD MERICA BLT BTL 40GR</t>
  </si>
  <si>
    <t>8997033631047</t>
  </si>
  <si>
    <t>ABROFOOD MERICA BUBUK BTL 35GR</t>
  </si>
  <si>
    <t>8997033630972</t>
  </si>
  <si>
    <t>ABROFOOD MERICA HITAM BTL 35GR</t>
  </si>
  <si>
    <t>8997033631054</t>
  </si>
  <si>
    <t>ABROFOOD MERICA HTM BUBUK BTL 30GR</t>
  </si>
  <si>
    <t>8997033630095</t>
  </si>
  <si>
    <t>ABROFOOD MERICAKU 1000</t>
  </si>
  <si>
    <t>8997033630132</t>
  </si>
  <si>
    <t>ABROFOOD PALA BUBUK 10GR</t>
  </si>
  <si>
    <t>8997033631498</t>
  </si>
  <si>
    <t>ABROFOOD PALA BUBUK 3GR</t>
  </si>
  <si>
    <t>8997033631085</t>
  </si>
  <si>
    <t>ABROFOOD PALA BUBUK BTL 30GR</t>
  </si>
  <si>
    <t>8997033630632</t>
  </si>
  <si>
    <t>ABROFOOD PEKAK BUBUK 1KG</t>
  </si>
  <si>
    <t>8997033631320</t>
  </si>
  <si>
    <t>ABROFOOD SOTO PADANG 8GR</t>
  </si>
  <si>
    <t>10425988</t>
  </si>
  <si>
    <t>ACR HB PINK PASTEL 10S TA140H2</t>
  </si>
  <si>
    <t>10427251</t>
  </si>
  <si>
    <t>10427252</t>
  </si>
  <si>
    <t>ACRILIK HB MYWIFE YTA-0003C</t>
  </si>
  <si>
    <t>9555119802195</t>
  </si>
  <si>
    <t>ACUAN ANG KU NO.219</t>
  </si>
  <si>
    <t>9555119802256</t>
  </si>
  <si>
    <t>ACUAN BISCUIT 225</t>
  </si>
  <si>
    <t>9555119802263</t>
  </si>
  <si>
    <t>ACUAN BISCUIT 226</t>
  </si>
  <si>
    <t>9555119802270</t>
  </si>
  <si>
    <t>ACUAN BISCUIT 227</t>
  </si>
  <si>
    <t>9555119802287</t>
  </si>
  <si>
    <t>ACUAN BISCUIT NO. 228</t>
  </si>
  <si>
    <t>9555119802294</t>
  </si>
  <si>
    <t>ACUAN BISCUIT NO. 229</t>
  </si>
  <si>
    <t>9555119802218</t>
  </si>
  <si>
    <t>ACUAN JAM TART NO.221</t>
  </si>
  <si>
    <t>9555119802225</t>
  </si>
  <si>
    <t>ACUAN JAM TART NO.222</t>
  </si>
  <si>
    <t>9555182107326</t>
  </si>
  <si>
    <t>ACUAN KUE BAWANG 5500</t>
  </si>
  <si>
    <t>10420332</t>
  </si>
  <si>
    <t>ACUAN MALAYSIA 1S</t>
  </si>
  <si>
    <t>9555119801013</t>
  </si>
  <si>
    <t>ACUAN NO 101 JEM TAT</t>
  </si>
  <si>
    <t>9555119801020</t>
  </si>
  <si>
    <t>ACUAN NO 102</t>
  </si>
  <si>
    <t>9555119801037</t>
  </si>
  <si>
    <t>ACUAN NO 103</t>
  </si>
  <si>
    <t>9555119801044</t>
  </si>
  <si>
    <t>ACUAN NO 104 JEM TAT</t>
  </si>
  <si>
    <t>9555119801051</t>
  </si>
  <si>
    <t>ACUAN NO 105</t>
  </si>
  <si>
    <t>9555119801068</t>
  </si>
  <si>
    <t>ACUAN NO 106</t>
  </si>
  <si>
    <t>9555119801075</t>
  </si>
  <si>
    <t>ACUAN NO 107</t>
  </si>
  <si>
    <t>9555119801082</t>
  </si>
  <si>
    <t>ACUAN NO 108 SEMPERIT TANGAN</t>
  </si>
  <si>
    <t>9555119801105</t>
  </si>
  <si>
    <t>ACUAN NO 110</t>
  </si>
  <si>
    <t>9555119801112</t>
  </si>
  <si>
    <t>ACUAN NO 111</t>
  </si>
  <si>
    <t>9555119801129</t>
  </si>
  <si>
    <t>ACUAN NO 112 A</t>
  </si>
  <si>
    <t>9555119800016</t>
  </si>
  <si>
    <t>ACUAN NO 112 B</t>
  </si>
  <si>
    <t>9555119800023</t>
  </si>
  <si>
    <t>ACUAN NO 112-1</t>
  </si>
  <si>
    <t>9555119800030</t>
  </si>
  <si>
    <t>ACUAN NO 112-2</t>
  </si>
  <si>
    <t>9555119800047</t>
  </si>
  <si>
    <t>ACUAN NO 112-3</t>
  </si>
  <si>
    <t>9555119800054</t>
  </si>
  <si>
    <t>ACUAN NO 112-4</t>
  </si>
  <si>
    <t>9555119801136</t>
  </si>
  <si>
    <t>ACUAN NO 113 PAPAN SIPUT</t>
  </si>
  <si>
    <t>9555119801143</t>
  </si>
  <si>
    <t>ACUAN NO 114</t>
  </si>
  <si>
    <t>9555119801150</t>
  </si>
  <si>
    <t>ACUAN NO 115</t>
  </si>
  <si>
    <t>9555119801167</t>
  </si>
  <si>
    <t>ACUAN NO 116</t>
  </si>
  <si>
    <t>9555119801174</t>
  </si>
  <si>
    <t>ACUAN NO 117</t>
  </si>
  <si>
    <t>9555119801181</t>
  </si>
  <si>
    <t>ACUAN NO 118</t>
  </si>
  <si>
    <t>9555119801198</t>
  </si>
  <si>
    <t>ACUAN NO 119</t>
  </si>
  <si>
    <t>9555119801204</t>
  </si>
  <si>
    <t>ACUAN NO 120</t>
  </si>
  <si>
    <t>9555119801211</t>
  </si>
  <si>
    <t>ACUAN NO 121</t>
  </si>
  <si>
    <t>9555119801228</t>
  </si>
  <si>
    <t>ACUAN NO 122</t>
  </si>
  <si>
    <t>9555119801273</t>
  </si>
  <si>
    <t>ACUAN NO 127</t>
  </si>
  <si>
    <t>9555119801280</t>
  </si>
  <si>
    <t>ACUAN NO 128 KUIH SEMPRIT</t>
  </si>
  <si>
    <t>9555119801297</t>
  </si>
  <si>
    <t>ACUAN NO 129 CUTTER</t>
  </si>
  <si>
    <t>9555119801310</t>
  </si>
  <si>
    <t>ACUAN NO 131 TAT GULUNG</t>
  </si>
  <si>
    <t>9555119801327</t>
  </si>
  <si>
    <t>ACUAN NO 132 KUIH SIPUT</t>
  </si>
  <si>
    <t>9555119801341</t>
  </si>
  <si>
    <t>ACUAN NO 134</t>
  </si>
  <si>
    <t>9555119801042</t>
  </si>
  <si>
    <t>ACUAN NO 135 A</t>
  </si>
  <si>
    <t>9555119801358</t>
  </si>
  <si>
    <t>ACUAN NO 135 B</t>
  </si>
  <si>
    <t>9555119801365</t>
  </si>
  <si>
    <t>ACUAN NO 136 H TART ROLL</t>
  </si>
  <si>
    <t>9555119801372</t>
  </si>
  <si>
    <t>ACUAN NO 137 TAT GULUNG</t>
  </si>
  <si>
    <t>9555119801396</t>
  </si>
  <si>
    <t>ACUAN NO 139 NASTAR</t>
  </si>
  <si>
    <t>9555119801402</t>
  </si>
  <si>
    <t>ACUAN NO 140 PISAU KEK</t>
  </si>
  <si>
    <t>9555119801419</t>
  </si>
  <si>
    <t>ACUAN NO 141 BISKUT</t>
  </si>
  <si>
    <t>9555119801426</t>
  </si>
  <si>
    <t>ACUAN NO 142 A</t>
  </si>
  <si>
    <t>10423042</t>
  </si>
  <si>
    <t>ACUAN NO 142B</t>
  </si>
  <si>
    <t>9555119801433</t>
  </si>
  <si>
    <t>ACUAN NO 143 BISKUIT</t>
  </si>
  <si>
    <t>9555119801440</t>
  </si>
  <si>
    <t>ACUAN NO 144</t>
  </si>
  <si>
    <t>9555119801457</t>
  </si>
  <si>
    <t>ACUAN NO 145 PISAU BERPUTAR</t>
  </si>
  <si>
    <t>10423045</t>
  </si>
  <si>
    <t>ACUAN NO 146</t>
  </si>
  <si>
    <t>10420428</t>
  </si>
  <si>
    <t>ACUAN NO 146 A-2</t>
  </si>
  <si>
    <t>10420430</t>
  </si>
  <si>
    <t>ACUAN NO 146 A4</t>
  </si>
  <si>
    <t>10426563</t>
  </si>
  <si>
    <t>ACUAN NO 146 A5</t>
  </si>
  <si>
    <t>10420421</t>
  </si>
  <si>
    <t>ACUAN NO 147 A1 BISCUIT</t>
  </si>
  <si>
    <t>9555119801488</t>
  </si>
  <si>
    <t>ACUAN NO 148 A GELEK PLASTIK</t>
  </si>
  <si>
    <t>9555119800078</t>
  </si>
  <si>
    <t>ACUAN NO 148 B GELEK PLASTIK</t>
  </si>
  <si>
    <t>10420426</t>
  </si>
  <si>
    <t>ACUAN NO 149</t>
  </si>
  <si>
    <t>9555119801501</t>
  </si>
  <si>
    <t>ACUAN NO 150</t>
  </si>
  <si>
    <t>9555119801518</t>
  </si>
  <si>
    <t>ACUAN NO 151 BISCUIT PUMP SET</t>
  </si>
  <si>
    <t>9555119801525</t>
  </si>
  <si>
    <t>ACUAN NO 152</t>
  </si>
  <si>
    <t>10423043</t>
  </si>
  <si>
    <t>ACUAN NO 153</t>
  </si>
  <si>
    <t>9555119801549</t>
  </si>
  <si>
    <t>ACUAN NO 154 ROLLING PIN</t>
  </si>
  <si>
    <t>10420429</t>
  </si>
  <si>
    <t>ACUAN NO 155</t>
  </si>
  <si>
    <t>10426565</t>
  </si>
  <si>
    <t>ACUAN NO 156</t>
  </si>
  <si>
    <t>10420440</t>
  </si>
  <si>
    <t>ACUAN NO 157S 1S</t>
  </si>
  <si>
    <t>10420425</t>
  </si>
  <si>
    <t>ACUAN NO 157S 20 S</t>
  </si>
  <si>
    <t>9555119801594</t>
  </si>
  <si>
    <t>ACUAN NO 159 PAPAN SIPUT</t>
  </si>
  <si>
    <t>9555119801600</t>
  </si>
  <si>
    <t>ACUAN NO 160 SPATULA</t>
  </si>
  <si>
    <t>9555119801631</t>
  </si>
  <si>
    <t>ACUAN NO 163-1 COMB SCRAPER</t>
  </si>
  <si>
    <t>9555119800085</t>
  </si>
  <si>
    <t>ACUAN NO 163-2 SCRAPER</t>
  </si>
  <si>
    <t>9555119800092</t>
  </si>
  <si>
    <t>ACUAN NO 163-3 SCRAPER</t>
  </si>
  <si>
    <t>9555119800108</t>
  </si>
  <si>
    <t>ACUAN NO 163-4 SCRAPER</t>
  </si>
  <si>
    <t>9555119801648</t>
  </si>
  <si>
    <t>ACUAN NO 164 SPATULA</t>
  </si>
  <si>
    <t>9555119801655</t>
  </si>
  <si>
    <t>ACUAN NO 165 SCRAPER</t>
  </si>
  <si>
    <t>9555119801679</t>
  </si>
  <si>
    <t>ACUAN NO 167 BISCUIT</t>
  </si>
  <si>
    <t>9555119801686</t>
  </si>
  <si>
    <t>ACUAN NO 168</t>
  </si>
  <si>
    <t>9555119801709</t>
  </si>
  <si>
    <t>ACUAN NO 170 BERPAM</t>
  </si>
  <si>
    <t>9555119801716</t>
  </si>
  <si>
    <t>ACUAN NO 171</t>
  </si>
  <si>
    <t>9555119801723</t>
  </si>
  <si>
    <t>ACUAN NO 172</t>
  </si>
  <si>
    <t>9555119801730</t>
  </si>
  <si>
    <t>ACUAN NO 173</t>
  </si>
  <si>
    <t>9555119801747</t>
  </si>
  <si>
    <t>ACUAN NO 174 BISKUIT</t>
  </si>
  <si>
    <t>9555119801754</t>
  </si>
  <si>
    <t>ACUAN NO 175</t>
  </si>
  <si>
    <t>9555119801761</t>
  </si>
  <si>
    <t>ACUAN NO 176</t>
  </si>
  <si>
    <t>10420427</t>
  </si>
  <si>
    <t>ACUAN NO 178</t>
  </si>
  <si>
    <t>9555119801792</t>
  </si>
  <si>
    <t>ACUAN NO 179 PRESS SET</t>
  </si>
  <si>
    <t>9555119801808</t>
  </si>
  <si>
    <t>ACUAN NO 180 PIESS SET</t>
  </si>
  <si>
    <t>9555119801815</t>
  </si>
  <si>
    <t>ACUAN NO 181 PRESS SET</t>
  </si>
  <si>
    <t>9555119801822</t>
  </si>
  <si>
    <t>ACUAN NO 182 PRESS SET</t>
  </si>
  <si>
    <t>9555119801839</t>
  </si>
  <si>
    <t>ACUAN NO 183</t>
  </si>
  <si>
    <t>9555119801846</t>
  </si>
  <si>
    <t>ACUAN NO 184</t>
  </si>
  <si>
    <t>9555119801853</t>
  </si>
  <si>
    <t>ACUAN NO 185 SPATULA</t>
  </si>
  <si>
    <t>9555119801860</t>
  </si>
  <si>
    <t>ACUAN NO 186 PUMP SET</t>
  </si>
  <si>
    <t>9555119801877</t>
  </si>
  <si>
    <t>ACUAN NO 187 BISCUIT</t>
  </si>
  <si>
    <t>9555119801884</t>
  </si>
  <si>
    <t>ACUAN NO 188 BISCUIT</t>
  </si>
  <si>
    <t>9555119801891</t>
  </si>
  <si>
    <t>ACUAN NO 189 BISCUIT</t>
  </si>
  <si>
    <t>9555119801907</t>
  </si>
  <si>
    <t>ACUAN NO 190</t>
  </si>
  <si>
    <t>9555119801921</t>
  </si>
  <si>
    <t>ACUAN NO 192 GELEK PLASTIK</t>
  </si>
  <si>
    <t>9555119801938</t>
  </si>
  <si>
    <t>ACUAN NO 193 GELEK PLASTIK</t>
  </si>
  <si>
    <t>9555119801945</t>
  </si>
  <si>
    <t>ACUAN NO 194 GELEK PLASTIK</t>
  </si>
  <si>
    <t>9555119801952</t>
  </si>
  <si>
    <t>ACUAN NO 195 KNIFE</t>
  </si>
  <si>
    <t>9555119801969</t>
  </si>
  <si>
    <t>ACUAN NO 196 A</t>
  </si>
  <si>
    <t>10426564</t>
  </si>
  <si>
    <t>ACUAN NO 196 B</t>
  </si>
  <si>
    <t>9555119801990</t>
  </si>
  <si>
    <t>ACUAN NO 199</t>
  </si>
  <si>
    <t>9555119802003</t>
  </si>
  <si>
    <t>ACUAN NO 200 JAM TART</t>
  </si>
  <si>
    <t>9555119802010</t>
  </si>
  <si>
    <t>ACUAN NO 201</t>
  </si>
  <si>
    <t>9555119802027</t>
  </si>
  <si>
    <t>ACUAN NO 202 JAM TART</t>
  </si>
  <si>
    <t>9555119802034</t>
  </si>
  <si>
    <t>ACUAN NO 203 BISCUIT</t>
  </si>
  <si>
    <t>9555119802065</t>
  </si>
  <si>
    <t>ACUAN NO 206 (PAK)</t>
  </si>
  <si>
    <t>9555119802096</t>
  </si>
  <si>
    <t>ACUAN NO 209</t>
  </si>
  <si>
    <t>1042600</t>
  </si>
  <si>
    <t>ACUAN NO 210 8MOTIF BISCUIT</t>
  </si>
  <si>
    <t>10423048</t>
  </si>
  <si>
    <t>ACUAN NO 210 A BISCUIT</t>
  </si>
  <si>
    <t>10423051</t>
  </si>
  <si>
    <t>ACUAN NO 210 B BISCUIT</t>
  </si>
  <si>
    <t>10423049</t>
  </si>
  <si>
    <t>ACUAN NO 210 C BISCUIT</t>
  </si>
  <si>
    <t>10423050</t>
  </si>
  <si>
    <t>ACUAN NO 210 E BISCUIT</t>
  </si>
  <si>
    <t>9555119802102</t>
  </si>
  <si>
    <t>ACUAN NO 210 F BISCUIT</t>
  </si>
  <si>
    <t>10423046</t>
  </si>
  <si>
    <t>ACUAN NO 210 G BISCUIT</t>
  </si>
  <si>
    <t>10423047</t>
  </si>
  <si>
    <t>ACUAN NO 210 H BISCUIT</t>
  </si>
  <si>
    <t>9555119802171</t>
  </si>
  <si>
    <t>ACUAN NO 217</t>
  </si>
  <si>
    <t>9555119802201</t>
  </si>
  <si>
    <t>ACUAN NO 220</t>
  </si>
  <si>
    <t>10422488</t>
  </si>
  <si>
    <t>ACUAN NO 232</t>
  </si>
  <si>
    <t>10422489</t>
  </si>
  <si>
    <t>ACUAN NO 233</t>
  </si>
  <si>
    <t>10422490</t>
  </si>
  <si>
    <t>ACUAN NO 234</t>
  </si>
  <si>
    <t>10422491</t>
  </si>
  <si>
    <t>ACUAN NO 235</t>
  </si>
  <si>
    <t>10425892</t>
  </si>
  <si>
    <t>ACUAN NO 236</t>
  </si>
  <si>
    <t>9555119802447</t>
  </si>
  <si>
    <t>ACUAN NO 244</t>
  </si>
  <si>
    <t>9555119802454</t>
  </si>
  <si>
    <t>ACUAN NO 245</t>
  </si>
  <si>
    <t>9555119802461</t>
  </si>
  <si>
    <t>ACUAN NO 246</t>
  </si>
  <si>
    <t>9555119802478</t>
  </si>
  <si>
    <t>ACUAN NO 247</t>
  </si>
  <si>
    <t>9555119802485</t>
  </si>
  <si>
    <t>ACUAN NO 248 ROLLING PIN</t>
  </si>
  <si>
    <t>9555119802508</t>
  </si>
  <si>
    <t>ACUAN NO 250</t>
  </si>
  <si>
    <t>9555119802515</t>
  </si>
  <si>
    <t>ACUAN NO 251</t>
  </si>
  <si>
    <t>9555119802522</t>
  </si>
  <si>
    <t>ACUAN NO 252</t>
  </si>
  <si>
    <t>10420422</t>
  </si>
  <si>
    <t>ACUAN NO.146 A1</t>
  </si>
  <si>
    <t>10420423</t>
  </si>
  <si>
    <t>ACUAN NO.146 A3</t>
  </si>
  <si>
    <t>10420420</t>
  </si>
  <si>
    <t>ACUAN NO.147</t>
  </si>
  <si>
    <t>10426829</t>
  </si>
  <si>
    <t>ACUAN NO.147-A2</t>
  </si>
  <si>
    <t>10426828</t>
  </si>
  <si>
    <t>ACUAN NO.147-A3</t>
  </si>
  <si>
    <t>10420424</t>
  </si>
  <si>
    <t>ACUAN NO.162</t>
  </si>
  <si>
    <t>9555119802126</t>
  </si>
  <si>
    <t>ACUAN SPATULA NO 212</t>
  </si>
  <si>
    <t>9555119802157</t>
  </si>
  <si>
    <t>ACUAN TART ROLL NO. 215</t>
  </si>
  <si>
    <t>9555119802140</t>
  </si>
  <si>
    <t>ACUAN TART ROLL NO.214</t>
  </si>
  <si>
    <t>9555119802164</t>
  </si>
  <si>
    <t>ACUAN TART ROLL NO.216</t>
  </si>
  <si>
    <t>9556252120269</t>
  </si>
  <si>
    <t>ADABI KARI AYAM DAN DAGING 24GR</t>
  </si>
  <si>
    <t>9556252122508</t>
  </si>
  <si>
    <t>ADABI KARI AYAM DAN DAGING 250GR</t>
  </si>
  <si>
    <t>9556252353001</t>
  </si>
  <si>
    <t>ADABI KETUPAT MINI 20GR</t>
  </si>
  <si>
    <t>9556252190309</t>
  </si>
  <si>
    <t>ADABI KUNYIT BUBUK 30GR</t>
  </si>
  <si>
    <t>9556252270100</t>
  </si>
  <si>
    <t>ADABI NASI GORENG KAMPUNG 17GR</t>
  </si>
  <si>
    <t>9556252800017</t>
  </si>
  <si>
    <t>ADABI PASTA ASAM JAWA 200GR</t>
  </si>
  <si>
    <t>9556252800048</t>
  </si>
  <si>
    <t>ADABI PASTA ASAM JAWA 40GR</t>
  </si>
  <si>
    <t>9556252210304</t>
  </si>
  <si>
    <t>ADABI PERENCAH NASI GORENG</t>
  </si>
  <si>
    <t>9556252230401</t>
  </si>
  <si>
    <t>ADABI PERENCAH TOM YAM 40GR</t>
  </si>
  <si>
    <t>9556252235000</t>
  </si>
  <si>
    <t>ADABI PERENCAH TOM YAM BTL 200GR</t>
  </si>
  <si>
    <t>9556252225605</t>
  </si>
  <si>
    <t>ADABI SAUS KOREA 40GR</t>
  </si>
  <si>
    <t>9556252881115</t>
  </si>
  <si>
    <t>ADABI SAUS TIRAM 30GR</t>
  </si>
  <si>
    <t>9556252881009</t>
  </si>
  <si>
    <t>ADABI SAUS TIRAM 340GR</t>
  </si>
  <si>
    <t>9556252160081</t>
  </si>
  <si>
    <t>ADABI SUP BUNJUT</t>
  </si>
  <si>
    <t>9556252161101</t>
  </si>
  <si>
    <t>ADABI SUP TULANG</t>
  </si>
  <si>
    <t>9556252322700</t>
  </si>
  <si>
    <t>ADABI TP BMB AYAM GORENG 150GR</t>
  </si>
  <si>
    <t>9556252322526</t>
  </si>
  <si>
    <t>ADABI TP BMB AYAM GORENG PEDAS 250GR</t>
  </si>
  <si>
    <t>9556252312503</t>
  </si>
  <si>
    <t>ADABI TP BUMBU PISANG 250GR</t>
  </si>
  <si>
    <t>9556252452049</t>
  </si>
  <si>
    <t>ADABI TP CUCUR LEMAK MANIS130GR</t>
  </si>
  <si>
    <t>9556252452056</t>
  </si>
  <si>
    <t>ADABI TP CUCUR UDANG 130GR</t>
  </si>
  <si>
    <t>9556252321208</t>
  </si>
  <si>
    <t>ADABI TP GORENG AYAM PEDAS 80GR</t>
  </si>
  <si>
    <t>10100202</t>
  </si>
  <si>
    <t>ADAS MANIS 1/2KG</t>
  </si>
  <si>
    <t>10100203</t>
  </si>
  <si>
    <t>ADAS MANIS 250GR</t>
  </si>
  <si>
    <t>10100101</t>
  </si>
  <si>
    <t>ADAS MANIS 50GR</t>
  </si>
  <si>
    <t>10200117</t>
  </si>
  <si>
    <t>ADAS MANIS BLT 100GR</t>
  </si>
  <si>
    <t>10100100</t>
  </si>
  <si>
    <t>ADAS MANIS BLT 1KG</t>
  </si>
  <si>
    <t>10100300</t>
  </si>
  <si>
    <t>ADAS MANIS GL 100GR</t>
  </si>
  <si>
    <t>10100209</t>
  </si>
  <si>
    <t>ADAS MANIS GL 50GR</t>
  </si>
  <si>
    <t>10100193</t>
  </si>
  <si>
    <t>ADAS MANIS GLG 1KG</t>
  </si>
  <si>
    <t>10300034</t>
  </si>
  <si>
    <t>ADAS PEDAS 1KG</t>
  </si>
  <si>
    <t>10300037</t>
  </si>
  <si>
    <t>ADAS PEDAS 50GR</t>
  </si>
  <si>
    <t>8997005721158</t>
  </si>
  <si>
    <t>ADIMAS BUMBU KUAH BAKSO SAPI 65GR</t>
  </si>
  <si>
    <t>10424610</t>
  </si>
  <si>
    <t>ADJUSTABLE MEASURING SPOON ST38</t>
  </si>
  <si>
    <t>8992933424119</t>
  </si>
  <si>
    <t>AGARASA COKLAT 22gr</t>
  </si>
  <si>
    <t>8992933423112</t>
  </si>
  <si>
    <t>AGARASA MELON 10GR</t>
  </si>
  <si>
    <t>8992933422115</t>
  </si>
  <si>
    <t>AGARASA STRAW 10GR</t>
  </si>
  <si>
    <t>8992933425116</t>
  </si>
  <si>
    <t>AGARASA SUSU 42GR</t>
  </si>
  <si>
    <t>8992933421118</t>
  </si>
  <si>
    <t>AGARASA VANILA 10GR</t>
  </si>
  <si>
    <t>8992933163124</t>
  </si>
  <si>
    <t>AGARIA AGAR WRN COKLAT 7GR</t>
  </si>
  <si>
    <t>8992933161120</t>
  </si>
  <si>
    <t>AGARIA AGAR WRN HIJAU 7GR</t>
  </si>
  <si>
    <t>8992933164121</t>
  </si>
  <si>
    <t>AGARIA AGAR WRN MERAH 7GR</t>
  </si>
  <si>
    <t>8992933162127</t>
  </si>
  <si>
    <t>AGARIA AGAR WRN PUTIH 7GR</t>
  </si>
  <si>
    <t>10200347</t>
  </si>
  <si>
    <t>AHEN GULA CAIR PCH 650GR</t>
  </si>
  <si>
    <t>8992770011084</t>
  </si>
  <si>
    <t>AJINOMOTO 100GR</t>
  </si>
  <si>
    <t>8992770011152</t>
  </si>
  <si>
    <t>AJINOMOTO 16GR</t>
  </si>
  <si>
    <t>8992770011091</t>
  </si>
  <si>
    <t>AJINOMOTO 250GR</t>
  </si>
  <si>
    <t>8992770011060</t>
  </si>
  <si>
    <t>AJINOMOTO 50 GR</t>
  </si>
  <si>
    <t>8992770011169</t>
  </si>
  <si>
    <t>AJINOMOTO 5000 90GR</t>
  </si>
  <si>
    <t>8992770011107</t>
  </si>
  <si>
    <t>AJINOMOTO 500GR</t>
  </si>
  <si>
    <t>AJINOMOTO PLUS 1KG</t>
  </si>
  <si>
    <t>10424887</t>
  </si>
  <si>
    <t>AKB2H ALAS TART BULAT 28</t>
  </si>
  <si>
    <t>10425476</t>
  </si>
  <si>
    <t>AKR HB EMAS TA140A</t>
  </si>
  <si>
    <t>10425485</t>
  </si>
  <si>
    <t>AKR HB SILVER TA140S</t>
  </si>
  <si>
    <t>10422388</t>
  </si>
  <si>
    <t>AKRILIK ANNIV EMAS TXCT-1010</t>
  </si>
  <si>
    <t>10424235</t>
  </si>
  <si>
    <t>AKRILIK HAPPY BIRTHDAY TA52</t>
  </si>
  <si>
    <t>10424236</t>
  </si>
  <si>
    <t>AKRILIK HAPPY BIRTHDAY TA55</t>
  </si>
  <si>
    <t>10424822</t>
  </si>
  <si>
    <t>AKRILIK HB BUNGA EMAS TA57</t>
  </si>
  <si>
    <t>10424855</t>
  </si>
  <si>
    <t>AKRILIK HB DISNEY AB TA45AB</t>
  </si>
  <si>
    <t>10423305</t>
  </si>
  <si>
    <t>AKRILIK HB EMAS TXCT1633</t>
  </si>
  <si>
    <t>10423304</t>
  </si>
  <si>
    <t>AKRILIK HB EMAS TXCT659</t>
  </si>
  <si>
    <t>10423354</t>
  </si>
  <si>
    <t>AKRILIK HB GOLD TXCT1029G</t>
  </si>
  <si>
    <t>10422854</t>
  </si>
  <si>
    <t>AKRILIK HB KUPU EMAS TXCT637</t>
  </si>
  <si>
    <t>10422240</t>
  </si>
  <si>
    <t>AKRILIK HB MAHKOTA EMAS TA-2</t>
  </si>
  <si>
    <t>10424823</t>
  </si>
  <si>
    <t>AKRILIK HB MAHKOTA PERAK TA3</t>
  </si>
  <si>
    <t>10424859</t>
  </si>
  <si>
    <t>AKRILIK HB MAMA PITA PINK TA91H</t>
  </si>
  <si>
    <t>10424857</t>
  </si>
  <si>
    <t>AKRILIK HB MAMI EMAS TA90A</t>
  </si>
  <si>
    <t>10424858</t>
  </si>
  <si>
    <t>AKRILIK HB MAMI PINK TA90H</t>
  </si>
  <si>
    <t>10424860</t>
  </si>
  <si>
    <t>AKRILIK HB MOM EMAS HATI TA92B</t>
  </si>
  <si>
    <t>10424856</t>
  </si>
  <si>
    <t>AKRILIK HB MOM EMAS TA92A</t>
  </si>
  <si>
    <t>10422387</t>
  </si>
  <si>
    <t>AKRILIK HB PERAK TXCT-1029</t>
  </si>
  <si>
    <t>10422383</t>
  </si>
  <si>
    <t>AKRILIK HB UNICORN TA-1</t>
  </si>
  <si>
    <t>10425444</t>
  </si>
  <si>
    <t>AKRILIK HITAM TA140HT</t>
  </si>
  <si>
    <t>10422940</t>
  </si>
  <si>
    <t>AKRILIK LOL TA-4</t>
  </si>
  <si>
    <t>10426464</t>
  </si>
  <si>
    <t>AKRILIK PENGANTIN DANSA EMAS TA179A</t>
  </si>
  <si>
    <t>10426462</t>
  </si>
  <si>
    <t>AKRILIK PENGANTIN PELUKAN EMAS TA175A</t>
  </si>
  <si>
    <t>10426463</t>
  </si>
  <si>
    <t>AKRILIK PENGANTIN+CINCIN EMAS TA178A</t>
  </si>
  <si>
    <t>10425448</t>
  </si>
  <si>
    <t>AKRILIK PINK TA140H</t>
  </si>
  <si>
    <t>10422941</t>
  </si>
  <si>
    <t>AKRILIK UNICORN TA-5</t>
  </si>
  <si>
    <t>10424891</t>
  </si>
  <si>
    <t>AKRILK HB MAMA PITA EMAS TA91A</t>
  </si>
  <si>
    <t>10411590</t>
  </si>
  <si>
    <t>AKU SAUS EXTRA PEDAS 9GR 50S</t>
  </si>
  <si>
    <t>10411591</t>
  </si>
  <si>
    <t>AKU SAUS SAMBAL ORI 9GR 50S</t>
  </si>
  <si>
    <t>10412080</t>
  </si>
  <si>
    <t>AKU SAUS TOMAT 9GR 50S</t>
  </si>
  <si>
    <t>8993207201771</t>
  </si>
  <si>
    <t>AKUMO NUGET COIN 30X200GR</t>
  </si>
  <si>
    <t>8993207130071</t>
  </si>
  <si>
    <t>AKUMO NUGGET 1000GR</t>
  </si>
  <si>
    <t>8993207130064</t>
  </si>
  <si>
    <t>AKUMO NUGGET 500GR</t>
  </si>
  <si>
    <t>8993234772923</t>
  </si>
  <si>
    <t>ALAMINDO SARDEN SAUS TOMAT 425GR</t>
  </si>
  <si>
    <t>10422297</t>
  </si>
  <si>
    <t>ALAS DIVA B 18 CKLT</t>
  </si>
  <si>
    <t>10421895</t>
  </si>
  <si>
    <t>ALAS DIVA B 20 CKLT</t>
  </si>
  <si>
    <t>10421896</t>
  </si>
  <si>
    <t>ALAS DIVA B 22,5 CKLT</t>
  </si>
  <si>
    <t>10421897</t>
  </si>
  <si>
    <t>ALAS DIVA B 25 CKLT</t>
  </si>
  <si>
    <t>10421900</t>
  </si>
  <si>
    <t>ALAS DIVA B 35 CKLT</t>
  </si>
  <si>
    <t>10421901</t>
  </si>
  <si>
    <t>ALAS DIVA P 18 CKLT</t>
  </si>
  <si>
    <t>10421902</t>
  </si>
  <si>
    <t>ALAS DIVA P 20 CKLT</t>
  </si>
  <si>
    <t>10422298</t>
  </si>
  <si>
    <t>ALAS DIVA P 22 CKLT</t>
  </si>
  <si>
    <t>10422299</t>
  </si>
  <si>
    <t>ALAS DIVA P 25 CKLT</t>
  </si>
  <si>
    <t>10423648</t>
  </si>
  <si>
    <t>ALAS DIVA P 30 CKLT</t>
  </si>
  <si>
    <t>10425251</t>
  </si>
  <si>
    <t>ALAS NICOLE 18 BEEHIVE WHITE</t>
  </si>
  <si>
    <t>10420232</t>
  </si>
  <si>
    <t>ALAS NICOLE 18 BLACK</t>
  </si>
  <si>
    <t>10422699</t>
  </si>
  <si>
    <t>ALAS NICOLE 18 BOARD GOLD</t>
  </si>
  <si>
    <t>10427290</t>
  </si>
  <si>
    <t>ALAS NICOLE 18 BOARD WHITE</t>
  </si>
  <si>
    <t>10422645</t>
  </si>
  <si>
    <t>ALAS NICOLE 18 WHITE</t>
  </si>
  <si>
    <t>10425249</t>
  </si>
  <si>
    <t>ALAS NICOLE 18 WOODEN WHITE</t>
  </si>
  <si>
    <t>10425246</t>
  </si>
  <si>
    <t>ALAS NICOLE 20 BEEHIVE WHITE</t>
  </si>
  <si>
    <t>10422329</t>
  </si>
  <si>
    <t>ALAS NICOLE 20 BLACK</t>
  </si>
  <si>
    <t>10424390</t>
  </si>
  <si>
    <t>ALAS NICOLE 20 BLCK MERBLE</t>
  </si>
  <si>
    <t>10422700</t>
  </si>
  <si>
    <t>ALAS NICOLE 20 BOARD GOLD</t>
  </si>
  <si>
    <t>10427292</t>
  </si>
  <si>
    <t>ALAS NICOLE 20 BOARD WHITE</t>
  </si>
  <si>
    <t>10422189</t>
  </si>
  <si>
    <t>ALAS NICOLE 20 WHITE</t>
  </si>
  <si>
    <t>10424389</t>
  </si>
  <si>
    <t>ALAS NICOLE 20 WHITE MERBLE</t>
  </si>
  <si>
    <t>10425248</t>
  </si>
  <si>
    <t>ALAS NICOLE 20 WOODEN WHITE</t>
  </si>
  <si>
    <t>10425224</t>
  </si>
  <si>
    <t>ALAS NICOLE 22 BEAUTY PEONY</t>
  </si>
  <si>
    <t>10425250</t>
  </si>
  <si>
    <t>ALAS NICOLE 22 BEEHIVE WHITE</t>
  </si>
  <si>
    <t>10422185</t>
  </si>
  <si>
    <t>ALAS NICOLE 22 BLACK</t>
  </si>
  <si>
    <t>10424391</t>
  </si>
  <si>
    <t>ALAS NICOLE 22 BLCK MERBLE</t>
  </si>
  <si>
    <t>10425233</t>
  </si>
  <si>
    <t>ALAS NICOLE 22 BLUE MARBLE</t>
  </si>
  <si>
    <t>10425226</t>
  </si>
  <si>
    <t>ALAS NICOLE 22 BLUE TERAZZO</t>
  </si>
  <si>
    <t>10422701</t>
  </si>
  <si>
    <t>ALAS NICOLE 22 BOARD GOLD</t>
  </si>
  <si>
    <t>10425232</t>
  </si>
  <si>
    <t>ALAS NICOLE 22 BROWN WOOD</t>
  </si>
  <si>
    <t>10425237</t>
  </si>
  <si>
    <t>ALAS NICOLE 22 CHERRY TERAZZO</t>
  </si>
  <si>
    <t>10425231</t>
  </si>
  <si>
    <t>ALAS NICOLE 22 DREAMY PINK</t>
  </si>
  <si>
    <t>10425234</t>
  </si>
  <si>
    <t>ALAS NICOLE 22 GREEN ASTER</t>
  </si>
  <si>
    <t>10425235</t>
  </si>
  <si>
    <t>ALAS NICOLE 22 MATCHA TERAZZO</t>
  </si>
  <si>
    <t>10422181</t>
  </si>
  <si>
    <t>ALAS NICOLE 22 PEACH</t>
  </si>
  <si>
    <t>10420208</t>
  </si>
  <si>
    <t>ALAS NICOLE 22 TOSCA</t>
  </si>
  <si>
    <t>10425229</t>
  </si>
  <si>
    <t>ALAS NICOLE 22 VIOLET VERBENA</t>
  </si>
  <si>
    <t>10422723</t>
  </si>
  <si>
    <t>ALAS NICOLE 22 WHITE</t>
  </si>
  <si>
    <t>10422805</t>
  </si>
  <si>
    <t>ALAS NICOLE 22 WHITE MERBLE</t>
  </si>
  <si>
    <t>10425228</t>
  </si>
  <si>
    <t>ALAS NICOLE 22 WOODEN PINE</t>
  </si>
  <si>
    <t>10425243</t>
  </si>
  <si>
    <t>ALAS NICOLE 22 WOODEN WHITE</t>
  </si>
  <si>
    <t>10425724</t>
  </si>
  <si>
    <t>ALAS NICOLE 22X10 GOLD</t>
  </si>
  <si>
    <t>10425241</t>
  </si>
  <si>
    <t>ALAS NICOLE 24 BEEHIVE WHITE</t>
  </si>
  <si>
    <t>10420233</t>
  </si>
  <si>
    <t>ALAS NICOLE 24 BLACK</t>
  </si>
  <si>
    <t>10427293</t>
  </si>
  <si>
    <t>ALAS NICOLE 24 BOARD WHITE</t>
  </si>
  <si>
    <t>10422222</t>
  </si>
  <si>
    <t>ALAS NICOLE 24 WHITE</t>
  </si>
  <si>
    <t>10425242</t>
  </si>
  <si>
    <t>ALAS NICOLE 24 WOODEN WHITE</t>
  </si>
  <si>
    <t>10425225</t>
  </si>
  <si>
    <t>ALAS NICOLE 25 BEAUTY PEONY</t>
  </si>
  <si>
    <t>10422184</t>
  </si>
  <si>
    <t>ALAS NICOLE 25 BLACK</t>
  </si>
  <si>
    <t>10424392</t>
  </si>
  <si>
    <t>ALAS NICOLE 25 BLCK MERBLE</t>
  </si>
  <si>
    <t>10425222</t>
  </si>
  <si>
    <t>ALAS NICOLE 25 BLUSHING ROSE</t>
  </si>
  <si>
    <t>10422702</t>
  </si>
  <si>
    <t>ALAS NICOLE 25 BOARD GOLD</t>
  </si>
  <si>
    <t>10425240</t>
  </si>
  <si>
    <t>ALAS NICOLE 25 LATTE TERAZZO</t>
  </si>
  <si>
    <t>10425236</t>
  </si>
  <si>
    <t>ALAS NICOLE 25 LUXURY WHITE</t>
  </si>
  <si>
    <t>10425227</t>
  </si>
  <si>
    <t>ALAS NICOLE 25 MATCHA TERAZZO</t>
  </si>
  <si>
    <t>10425223</t>
  </si>
  <si>
    <t>ALAS NICOLE 25 SPRING DAISY</t>
  </si>
  <si>
    <t>10422806</t>
  </si>
  <si>
    <t>ALAS NICOLE 25 WHITE</t>
  </si>
  <si>
    <t>10422809</t>
  </si>
  <si>
    <t>ALAS NICOLE 25 WHITE MERBLE</t>
  </si>
  <si>
    <t>10425230</t>
  </si>
  <si>
    <t>ALAS NICOLE 25 WOOD BLUSH MARBLE</t>
  </si>
  <si>
    <t>10420231</t>
  </si>
  <si>
    <t>ALAS NICOLE 30 BLACK</t>
  </si>
  <si>
    <t>10422730</t>
  </si>
  <si>
    <t>ALAS NICOLE 30 BLCK MERBEL</t>
  </si>
  <si>
    <t>10422703</t>
  </si>
  <si>
    <t>ALAS NICOLE 30 BOARD GOLD</t>
  </si>
  <si>
    <t>10422187</t>
  </si>
  <si>
    <t>ALAS NICOLE 30 PEACH</t>
  </si>
  <si>
    <t>10422186</t>
  </si>
  <si>
    <t>ALAS NICOLE 30 TOSCA</t>
  </si>
  <si>
    <t>10422217</t>
  </si>
  <si>
    <t>ALAS NICOLE 30 WHITE</t>
  </si>
  <si>
    <t>10422812</t>
  </si>
  <si>
    <t>ALAS NICOLE 30 WHITE MERBLE</t>
  </si>
  <si>
    <t>10422188</t>
  </si>
  <si>
    <t>ALAS NICOLE 30 YELLOW</t>
  </si>
  <si>
    <t>10425725</t>
  </si>
  <si>
    <t>ALAS NICOLE BLT 18 GOLD</t>
  </si>
  <si>
    <t>10425726</t>
  </si>
  <si>
    <t>ALAS NICOLE BLT 20 GOLD</t>
  </si>
  <si>
    <t>10425727</t>
  </si>
  <si>
    <t>ALAS NICOLE BLT 22 GOLD</t>
  </si>
  <si>
    <t>10425728</t>
  </si>
  <si>
    <t>ALAS NICOLE BLT 24 GOLD</t>
  </si>
  <si>
    <t>10425729</t>
  </si>
  <si>
    <t>ALAS NICOLE BLT 25 GOLD</t>
  </si>
  <si>
    <t>10425730</t>
  </si>
  <si>
    <t>ALAS NICOLE BLT 30 GOLD</t>
  </si>
  <si>
    <t>10425244</t>
  </si>
  <si>
    <t>ALAS NICOLE GOLD 15X10CM</t>
  </si>
  <si>
    <t>10427387</t>
  </si>
  <si>
    <t>ALAS PANCI SILICON BULAT</t>
  </si>
  <si>
    <t>10425841</t>
  </si>
  <si>
    <t>ALAS ROSA P 26 PUTIH</t>
  </si>
  <si>
    <t>10422277</t>
  </si>
  <si>
    <t>ALAS TAR B 8 AK7</t>
  </si>
  <si>
    <t>10420352</t>
  </si>
  <si>
    <t>ALAS TART B 30 SILVER</t>
  </si>
  <si>
    <t>10420343</t>
  </si>
  <si>
    <t>ALAS TART B 18 SILVER</t>
  </si>
  <si>
    <t>10420345</t>
  </si>
  <si>
    <t>ALAS TART B 20 SILVER</t>
  </si>
  <si>
    <t>10420346</t>
  </si>
  <si>
    <t>ALAS TART B 22 SILVER</t>
  </si>
  <si>
    <t>10420432</t>
  </si>
  <si>
    <t>ALAS TART B 25 SILVER</t>
  </si>
  <si>
    <t>10424965</t>
  </si>
  <si>
    <t>ALAS TART BLT 10 AK8</t>
  </si>
  <si>
    <t>10424966</t>
  </si>
  <si>
    <t>ALAS TART BLT 6 AK6</t>
  </si>
  <si>
    <t>10420344</t>
  </si>
  <si>
    <t>ALAS TART P 18 SILVER</t>
  </si>
  <si>
    <t>10422477</t>
  </si>
  <si>
    <t>ALAS TART P 20 SILVER</t>
  </si>
  <si>
    <t>10420347</t>
  </si>
  <si>
    <t>ALAS TART P 22 SILVER</t>
  </si>
  <si>
    <t>10420348</t>
  </si>
  <si>
    <t>ALAS TART P 24 SILVER</t>
  </si>
  <si>
    <t>10422324</t>
  </si>
  <si>
    <t>ALAS TART P 25 EMAS</t>
  </si>
  <si>
    <t>10420349</t>
  </si>
  <si>
    <t>ALAS TART P 25 SILVER</t>
  </si>
  <si>
    <t>10420562</t>
  </si>
  <si>
    <t>ALAS TART P 28 SILVER</t>
  </si>
  <si>
    <t>10422914</t>
  </si>
  <si>
    <t>ALAS TART P 30 EMAS</t>
  </si>
  <si>
    <t>10420353</t>
  </si>
  <si>
    <t>ALAS TART P 30 SILVER</t>
  </si>
  <si>
    <t>10424964</t>
  </si>
  <si>
    <t>ALAS TART PETAK 10 AK4</t>
  </si>
  <si>
    <t>10424962</t>
  </si>
  <si>
    <t>ALAS TART PETAK 4 AK1</t>
  </si>
  <si>
    <t>10424963</t>
  </si>
  <si>
    <t>ALAS TART PETAK 6 AK2</t>
  </si>
  <si>
    <t>10424886</t>
  </si>
  <si>
    <t>ALAS TART PETAK 8 AK3</t>
  </si>
  <si>
    <t>10425803</t>
  </si>
  <si>
    <t>ALAS TATAKAN PANCI ATP02</t>
  </si>
  <si>
    <t>10100310</t>
  </si>
  <si>
    <t>ALBA 100GR</t>
  </si>
  <si>
    <t>10100126</t>
  </si>
  <si>
    <t>ALBA 1KG</t>
  </si>
  <si>
    <t>10100399</t>
  </si>
  <si>
    <t>ALBA 250GR</t>
  </si>
  <si>
    <t>10100128</t>
  </si>
  <si>
    <t>ALBA 50GR</t>
  </si>
  <si>
    <t>1100019</t>
  </si>
  <si>
    <t>ALBA LAPIAK</t>
  </si>
  <si>
    <t>8908010946429</t>
  </si>
  <si>
    <t>ALISHAAN BASMATI RICE 1KG</t>
  </si>
  <si>
    <t>8850096818506</t>
  </si>
  <si>
    <t>ALMOND BREEZE ORIGINAL 946ML</t>
  </si>
  <si>
    <t>8850096818520</t>
  </si>
  <si>
    <t>ALMOND BREEZE VANILLA 946ML</t>
  </si>
  <si>
    <t>10410731</t>
  </si>
  <si>
    <t>ALMOND BUBUK 1/2KG</t>
  </si>
  <si>
    <t>10410670</t>
  </si>
  <si>
    <t>ALMOND BUBUK 100 GR</t>
  </si>
  <si>
    <t>10424481</t>
  </si>
  <si>
    <t>ALMOND BUBUK 11.34KG</t>
  </si>
  <si>
    <t>10410669</t>
  </si>
  <si>
    <t>ALMOND BUBUK 250GR</t>
  </si>
  <si>
    <t>10411067</t>
  </si>
  <si>
    <t>ALMOND KULIT 1/2KG</t>
  </si>
  <si>
    <t>10411069</t>
  </si>
  <si>
    <t>ALMOND KULIT 100GR</t>
  </si>
  <si>
    <t>10411066</t>
  </si>
  <si>
    <t>ALMOND KULIT 1KG</t>
  </si>
  <si>
    <t>10411068</t>
  </si>
  <si>
    <t>ALMOND KULIT 250GR</t>
  </si>
  <si>
    <t>10411440</t>
  </si>
  <si>
    <t>ALMOND SLICE 11.34KG</t>
  </si>
  <si>
    <t>10410535</t>
  </si>
  <si>
    <t>ALMOND UTUH 250GR</t>
  </si>
  <si>
    <t>10410615</t>
  </si>
  <si>
    <t>ALMOND UTUH 1/2KG</t>
  </si>
  <si>
    <t>10410536</t>
  </si>
  <si>
    <t>ALMOND UTUH 100GR</t>
  </si>
  <si>
    <t>ALMOND UTUH 1KG</t>
  </si>
  <si>
    <t>10411542</t>
  </si>
  <si>
    <t>ALMOND UTUH 22,68KG</t>
  </si>
  <si>
    <t>10423030</t>
  </si>
  <si>
    <t>ALU AX350 BLANK 5S</t>
  </si>
  <si>
    <t>1042517</t>
  </si>
  <si>
    <t>ALU AX350 BLANK 5S+TTP</t>
  </si>
  <si>
    <t>8990062001010</t>
  </si>
  <si>
    <t>ALU BX 0344 50S</t>
  </si>
  <si>
    <t>10422660</t>
  </si>
  <si>
    <t>ALU BX 0344 5S</t>
  </si>
  <si>
    <t>8990062001027</t>
  </si>
  <si>
    <t>ALU BX 0345 100S</t>
  </si>
  <si>
    <t>10420401</t>
  </si>
  <si>
    <t>ALU BX 0345 10S</t>
  </si>
  <si>
    <t>10422301</t>
  </si>
  <si>
    <t>ALU BX 0346 100S</t>
  </si>
  <si>
    <t>10420384</t>
  </si>
  <si>
    <t>ALU BX 0346 10S</t>
  </si>
  <si>
    <t>8990062008248</t>
  </si>
  <si>
    <t>ALU BX 0350 100S</t>
  </si>
  <si>
    <t>8990062001102</t>
  </si>
  <si>
    <t>ALU BX 2551 100S</t>
  </si>
  <si>
    <t>10420403</t>
  </si>
  <si>
    <t>ALU BX 2551 10S</t>
  </si>
  <si>
    <t>8990062008255</t>
  </si>
  <si>
    <t>ALU BX 340 100S</t>
  </si>
  <si>
    <t>10420105</t>
  </si>
  <si>
    <t>ALU BX 340 10S</t>
  </si>
  <si>
    <t>10424521</t>
  </si>
  <si>
    <t>ALU BX 350 100S</t>
  </si>
  <si>
    <t>10424522</t>
  </si>
  <si>
    <t>ALU BX 350 10S</t>
  </si>
  <si>
    <t>1042526</t>
  </si>
  <si>
    <t>ALU BX 350 5S+TTP</t>
  </si>
  <si>
    <t>8990062001188</t>
  </si>
  <si>
    <t>ALU BX 5260 100S</t>
  </si>
  <si>
    <t>10422310</t>
  </si>
  <si>
    <t>ALU BX 5260 10S</t>
  </si>
  <si>
    <t>10425760</t>
  </si>
  <si>
    <t>ALU CASE RECTANGLE BLCKGOLD+TTP 100S</t>
  </si>
  <si>
    <t>10425759</t>
  </si>
  <si>
    <t>ALU CASE RECTANGLE SILVERGOLD+TTP 100S</t>
  </si>
  <si>
    <t>10427487</t>
  </si>
  <si>
    <t>ALU CASE ROUND BLACKPINK+TTP 100S</t>
  </si>
  <si>
    <t>10425772</t>
  </si>
  <si>
    <t>ALU CASE ROUND BLCKGOLD+TTP 100S</t>
  </si>
  <si>
    <t>10425773</t>
  </si>
  <si>
    <t>ALU CASE ROUND BLCKGOLD+TTP 5S</t>
  </si>
  <si>
    <t>10425758</t>
  </si>
  <si>
    <t>ALU CASE SQUARE 150ML SILVERGOLD+TTP 100S</t>
  </si>
  <si>
    <t>10425764</t>
  </si>
  <si>
    <t>ALU CASE SQUARE 150ML SILVERGOLD+TTP 5S</t>
  </si>
  <si>
    <t>10427488</t>
  </si>
  <si>
    <t>ALU CASE SQUARE 150ML SILVERPINK+TTP 100S</t>
  </si>
  <si>
    <t>10420046</t>
  </si>
  <si>
    <t>ALU OX 100 10S</t>
  </si>
  <si>
    <t>8990062008316</t>
  </si>
  <si>
    <t>ALU OX 1225 100S</t>
  </si>
  <si>
    <t>10420385</t>
  </si>
  <si>
    <t>ALU OX 1225 10S</t>
  </si>
  <si>
    <t>10420357</t>
  </si>
  <si>
    <t>ALU OX 1225 1S</t>
  </si>
  <si>
    <t>1042522</t>
  </si>
  <si>
    <t>ALU OX 1225 5S+TTP</t>
  </si>
  <si>
    <t>10424801</t>
  </si>
  <si>
    <t>ALU OX 1400 10S</t>
  </si>
  <si>
    <t>10420173</t>
  </si>
  <si>
    <t>ALU OX 1400 1S</t>
  </si>
  <si>
    <t>8990062008309</t>
  </si>
  <si>
    <t>ALU OX 1400 50S</t>
  </si>
  <si>
    <t>1042516</t>
  </si>
  <si>
    <t>ALU OX 1400 5S</t>
  </si>
  <si>
    <t>10421984</t>
  </si>
  <si>
    <t>ALU OX 250 5S</t>
  </si>
  <si>
    <t>8990062003168</t>
  </si>
  <si>
    <t>ALU OX 8550 125S</t>
  </si>
  <si>
    <t>10420366</t>
  </si>
  <si>
    <t>ALU OX 8550 1S</t>
  </si>
  <si>
    <t>10425316</t>
  </si>
  <si>
    <t>ALU OX 8550 5S</t>
  </si>
  <si>
    <t>8990062004509</t>
  </si>
  <si>
    <t>ALU RX 0346 100S</t>
  </si>
  <si>
    <t>10423398</t>
  </si>
  <si>
    <t>ALU RX 0346 10S</t>
  </si>
  <si>
    <t>8990062004547</t>
  </si>
  <si>
    <t>ALU RX 12261 125S</t>
  </si>
  <si>
    <t>10420368</t>
  </si>
  <si>
    <t>ALU RX 12261 1S</t>
  </si>
  <si>
    <t>1042515</t>
  </si>
  <si>
    <t>ALU RX 12261 5S</t>
  </si>
  <si>
    <t>8990062004578</t>
  </si>
  <si>
    <t>ALU RX 14071 100S</t>
  </si>
  <si>
    <t>10420400</t>
  </si>
  <si>
    <t>ALU RX 14071 10S</t>
  </si>
  <si>
    <t>8990062004592</t>
  </si>
  <si>
    <t>ALU RX 1425 100S</t>
  </si>
  <si>
    <t>8990062008378</t>
  </si>
  <si>
    <t>ALU RX 180 100S</t>
  </si>
  <si>
    <t>10420386</t>
  </si>
  <si>
    <t>ALU RX 180 10S</t>
  </si>
  <si>
    <t>10422406</t>
  </si>
  <si>
    <t>ALU RX 180 5S</t>
  </si>
  <si>
    <t>8990062008385</t>
  </si>
  <si>
    <t>ALU RX 209 100S</t>
  </si>
  <si>
    <t>10420388</t>
  </si>
  <si>
    <t>ALU RX 209 10S</t>
  </si>
  <si>
    <t>8990062008392</t>
  </si>
  <si>
    <t>ALU RX 50 100S</t>
  </si>
  <si>
    <t>10420389</t>
  </si>
  <si>
    <t>ALU RX 50 10S</t>
  </si>
  <si>
    <t>1042523</t>
  </si>
  <si>
    <t>ALU RX 50 5S+TTP</t>
  </si>
  <si>
    <t>8990062004738</t>
  </si>
  <si>
    <t>ALU RX Y6 100S</t>
  </si>
  <si>
    <t>10420441</t>
  </si>
  <si>
    <t>ALU RX Y6 10S</t>
  </si>
  <si>
    <t>10422732</t>
  </si>
  <si>
    <t>ALU RX-Y16 10S</t>
  </si>
  <si>
    <t>10422323</t>
  </si>
  <si>
    <t>ALU TRAY RX 1425 100s</t>
  </si>
  <si>
    <t>10420387</t>
  </si>
  <si>
    <t>ALU TRAY RX 1425 10s</t>
  </si>
  <si>
    <t>10411587</t>
  </si>
  <si>
    <t>AMANDA DFF 1KG</t>
  </si>
  <si>
    <t>AMANDA MARGARIN 200GR</t>
  </si>
  <si>
    <t>10430098</t>
  </si>
  <si>
    <t>AMPIA HOMELUX</t>
  </si>
  <si>
    <t>10423206</t>
  </si>
  <si>
    <t>AMPIA OXONE</t>
  </si>
  <si>
    <t>8998838711804</t>
  </si>
  <si>
    <t>AMPIA SHUMA</t>
  </si>
  <si>
    <t>10425323</t>
  </si>
  <si>
    <t>AMPIA YAMAKAWA</t>
  </si>
  <si>
    <t>ANCHOR BAKER MIX 1/2KG</t>
  </si>
  <si>
    <t>ANCHOR BAKER MIX 1KG</t>
  </si>
  <si>
    <t>9415007056003</t>
  </si>
  <si>
    <t>ANCHOR CHEDDAR CHEESE 150GR</t>
  </si>
  <si>
    <t>ANCHOR CHEDDAR CHEESE 2KG</t>
  </si>
  <si>
    <t>9415007058601</t>
  </si>
  <si>
    <t>ANCHOR EASY BAKERY CREAM 1L</t>
  </si>
  <si>
    <t>ANCHOR GRATED PARMESAN 1KG</t>
  </si>
  <si>
    <t>ANCHOR MOZARELLA 1KG</t>
  </si>
  <si>
    <t>9415007048183</t>
  </si>
  <si>
    <t>ANCHOR PARMESAN 0,8</t>
  </si>
  <si>
    <t>ANCHOR SALTED 200GR</t>
  </si>
  <si>
    <t>10410699</t>
  </si>
  <si>
    <t>ANCHOR SALTED 25KG</t>
  </si>
  <si>
    <t>10800005</t>
  </si>
  <si>
    <t>ANCHOR SALTED 7gr</t>
  </si>
  <si>
    <t>ANCHOR SALTED BUTTER 2KG</t>
  </si>
  <si>
    <t>9414517000013</t>
  </si>
  <si>
    <t>ANCHOR SOFT ICE CREAM COKLAT 1KG</t>
  </si>
  <si>
    <t>9414517000006</t>
  </si>
  <si>
    <t>ANCHOR SOFT ICE CREAM VANILLA 1KG</t>
  </si>
  <si>
    <t>10410746</t>
  </si>
  <si>
    <t>ANCHOR UNSALTED 25KG</t>
  </si>
  <si>
    <t>10800004</t>
  </si>
  <si>
    <t>ANCHOR UNSALTED 7GR</t>
  </si>
  <si>
    <t>10427305</t>
  </si>
  <si>
    <t>ANGPAO IDUL FITRI 25-04 MOTIF MIX 50S</t>
  </si>
  <si>
    <t>10427334</t>
  </si>
  <si>
    <t>ANGPAO IDUL FITRI 25-08 MOTIF MIX 50S</t>
  </si>
  <si>
    <t>10422875</t>
  </si>
  <si>
    <t>ANIMAL 12S AI2</t>
  </si>
  <si>
    <t>10422876</t>
  </si>
  <si>
    <t>ANIMAL KARTUN 6S AI4</t>
  </si>
  <si>
    <t>10427407</t>
  </si>
  <si>
    <t>ANIMAL KARTUN SET 6 LOKAL AI4P</t>
  </si>
  <si>
    <t>10425857</t>
  </si>
  <si>
    <t>ANIMAL SET 4 PLASTIK AI4P</t>
  </si>
  <si>
    <t>8997028630086</t>
  </si>
  <si>
    <t>ANTAKA AYAM BAKAR 100GR</t>
  </si>
  <si>
    <t>ANTAKA BALADO 1KG</t>
  </si>
  <si>
    <t>8997028630635</t>
  </si>
  <si>
    <t>ANTAKA BALADO EXTRA 100GR</t>
  </si>
  <si>
    <t>8997028630024</t>
  </si>
  <si>
    <t>ANTAKA BBQ 100GR</t>
  </si>
  <si>
    <t>8997028630147</t>
  </si>
  <si>
    <t>ANTAKA JAGUNG BAKAR 100GR</t>
  </si>
  <si>
    <t>8997028630055</t>
  </si>
  <si>
    <t>ANTAKA JAGUNG MANIS 100GR</t>
  </si>
  <si>
    <t>8997028630123</t>
  </si>
  <si>
    <t>ANTAKA KEJU ASIN 100GR</t>
  </si>
  <si>
    <t>8997028630116</t>
  </si>
  <si>
    <t>ANTAKA KEJU MANIS 100GR</t>
  </si>
  <si>
    <t>8997028630079</t>
  </si>
  <si>
    <t>ANTAKA PEDAS MNS 100GR</t>
  </si>
  <si>
    <t>8997028630697</t>
  </si>
  <si>
    <t>ANTAKA TUM TUM 100GR</t>
  </si>
  <si>
    <t>8699936610067</t>
  </si>
  <si>
    <t>ANTEBELLA FISTIK EZMESI PISTACHIO PASTE 200GR</t>
  </si>
  <si>
    <t>8699936610357</t>
  </si>
  <si>
    <t>ANTEBELLA FISTIK KREMASI PISTACHIO CREAM 200GR</t>
  </si>
  <si>
    <t>10411709</t>
  </si>
  <si>
    <t>APITO BANANA PASTE 2KG</t>
  </si>
  <si>
    <t>4483023000008</t>
  </si>
  <si>
    <t>APITO EXPRESSO PASTE 2KG</t>
  </si>
  <si>
    <t>10412033</t>
  </si>
  <si>
    <t>APITO MANGO PASTE 2KG</t>
  </si>
  <si>
    <t>10411707</t>
  </si>
  <si>
    <t>APITO MOCHA PASTE 2KG</t>
  </si>
  <si>
    <t>10411708</t>
  </si>
  <si>
    <t>APITO PANDAN PASTE 2KG</t>
  </si>
  <si>
    <t>4410023000004</t>
  </si>
  <si>
    <t>APITO STRAWBERRY PASTE 2KG</t>
  </si>
  <si>
    <t>8602568853221</t>
  </si>
  <si>
    <t>APLICADOR MULTIUSO 4 TUBETES Y65-2440</t>
  </si>
  <si>
    <t>8997231730047</t>
  </si>
  <si>
    <t>AROMANIS BROWN SUGAR 2KG</t>
  </si>
  <si>
    <t>8997231730115</t>
  </si>
  <si>
    <t>AROMANIS CASTER SUGAR 1KG</t>
  </si>
  <si>
    <t>8997231730054</t>
  </si>
  <si>
    <t>AROMANIS CASTER SUGAR 250GR</t>
  </si>
  <si>
    <t>8997231730061</t>
  </si>
  <si>
    <t>AROMANIS CASTER SUGAR 2KG</t>
  </si>
  <si>
    <t>8997005181006</t>
  </si>
  <si>
    <t>ARORA CENDOL 500GR</t>
  </si>
  <si>
    <t>8997237644058</t>
  </si>
  <si>
    <t>ARUM DAY BLACKCURRANT TEA 200G</t>
  </si>
  <si>
    <t>8997237643976</t>
  </si>
  <si>
    <t>ARUM DAY BLACKCURRANT TEA 500G</t>
  </si>
  <si>
    <t>8997237644089</t>
  </si>
  <si>
    <t>ARUM DAY LEMON TEA 200G</t>
  </si>
  <si>
    <t>8997237643945</t>
  </si>
  <si>
    <t>ARUM DAY LEMON TEA 500G</t>
  </si>
  <si>
    <t>8997237644072</t>
  </si>
  <si>
    <t>ARUM DAY LYCHEE TEA 200G</t>
  </si>
  <si>
    <t>8997237643952</t>
  </si>
  <si>
    <t>ARUM DAY LYCHEE TEA 500G</t>
  </si>
  <si>
    <t>8997237644041</t>
  </si>
  <si>
    <t>ARUM DAY MINT TEA 200G</t>
  </si>
  <si>
    <t>8997237643983</t>
  </si>
  <si>
    <t>ARUM DAY MINT TEA 500G</t>
  </si>
  <si>
    <t>8997237644065</t>
  </si>
  <si>
    <t>ARUM DAY PEACH TEA 200G</t>
  </si>
  <si>
    <t>8997237643969</t>
  </si>
  <si>
    <t>ARUM DAY PEACH TEA 500G</t>
  </si>
  <si>
    <t>8994420100018</t>
  </si>
  <si>
    <t>ASAHI SARDEN SAUS PEDAS 155GR</t>
  </si>
  <si>
    <t>8994420100025</t>
  </si>
  <si>
    <t>ASAHI SARDEN SAUS PEDAS 425GR</t>
  </si>
  <si>
    <t>8994420107789</t>
  </si>
  <si>
    <t>ASAHI SARDEN SAUS TOMAT 155GR</t>
  </si>
  <si>
    <t>8994420107796</t>
  </si>
  <si>
    <t>ASAHI SARDEN SAUS TOMAT 425GR</t>
  </si>
  <si>
    <t>10100468</t>
  </si>
  <si>
    <t>ASAM JAWA CAP BUAH 1S</t>
  </si>
  <si>
    <t>10100448</t>
  </si>
  <si>
    <t>ASAM JAWA CAP BUAH 20S</t>
  </si>
  <si>
    <t>8993207202242</t>
  </si>
  <si>
    <t>ASIMO NUGGET KOMBINASI 1000GR</t>
  </si>
  <si>
    <t>8993207202235</t>
  </si>
  <si>
    <t>ASIMO NUGGET KOMBINASI 500GR</t>
  </si>
  <si>
    <t>8993207191324</t>
  </si>
  <si>
    <t>ASIMO SOSIS KOMBINASI 1000GR</t>
  </si>
  <si>
    <t>8993207191300</t>
  </si>
  <si>
    <t>ASIMO SOSIS KOMBINASI 500GR</t>
  </si>
  <si>
    <t>10510131</t>
  </si>
  <si>
    <t>ASOY BENING CERIA 15</t>
  </si>
  <si>
    <t>10510132</t>
  </si>
  <si>
    <t>ASOY BENING CERIA 19</t>
  </si>
  <si>
    <t>10510133</t>
  </si>
  <si>
    <t>ASOY BENING CERIA 24</t>
  </si>
  <si>
    <t>10510255</t>
  </si>
  <si>
    <t>ASOY BNG KRISNA 15 250GR</t>
  </si>
  <si>
    <t>10510256</t>
  </si>
  <si>
    <t>ASOY BNG KRISNA 19 250GR</t>
  </si>
  <si>
    <t>10510137</t>
  </si>
  <si>
    <t>ASOY DINASTY HTM 15</t>
  </si>
  <si>
    <t>10510138</t>
  </si>
  <si>
    <t>ASOY DINASTY HTM 19</t>
  </si>
  <si>
    <t>10510139</t>
  </si>
  <si>
    <t>ASOY DINASTY HTM 24</t>
  </si>
  <si>
    <t>10510140</t>
  </si>
  <si>
    <t>ASOY DINASTY HTM 28</t>
  </si>
  <si>
    <t>10510141</t>
  </si>
  <si>
    <t>ASOY DINASTY HTM 35</t>
  </si>
  <si>
    <t>10510018</t>
  </si>
  <si>
    <t>ASOY KALONG MRH 17</t>
  </si>
  <si>
    <t>10510019</t>
  </si>
  <si>
    <t>ASOY KALONG MRH 24</t>
  </si>
  <si>
    <t>10510021</t>
  </si>
  <si>
    <t>ASOY KALONG MRH 28</t>
  </si>
  <si>
    <t>10510020</t>
  </si>
  <si>
    <t>ASOY KALONG MRH 35</t>
  </si>
  <si>
    <t>10510130</t>
  </si>
  <si>
    <t>ASOY KRISNA 10X40</t>
  </si>
  <si>
    <t>10510142</t>
  </si>
  <si>
    <t>ASOY KRISNA 10X50</t>
  </si>
  <si>
    <t>10510253</t>
  </si>
  <si>
    <t>ASOY KRISNA HITAM 24</t>
  </si>
  <si>
    <t>10510262</t>
  </si>
  <si>
    <t>ASOY KRISNA HITAM 28</t>
  </si>
  <si>
    <t>10510254</t>
  </si>
  <si>
    <t>ASOY KRISNA PUTIH 15</t>
  </si>
  <si>
    <t>10510249</t>
  </si>
  <si>
    <t>ASOY KRISNA PUTIH 19</t>
  </si>
  <si>
    <t>10510250</t>
  </si>
  <si>
    <t>ASOY KRISNA PUTIH 24</t>
  </si>
  <si>
    <t>10510251</t>
  </si>
  <si>
    <t>ASOY KRISNA PUTIH 28</t>
  </si>
  <si>
    <t>10510252</t>
  </si>
  <si>
    <t>ASOY KRISNA PUTIH 35</t>
  </si>
  <si>
    <t>10510242</t>
  </si>
  <si>
    <t>ASOY KRISNA W 15</t>
  </si>
  <si>
    <t>10510244</t>
  </si>
  <si>
    <t>ASOY KRISNA W 19</t>
  </si>
  <si>
    <t>10510243</t>
  </si>
  <si>
    <t>ASOY KRISNA W 24</t>
  </si>
  <si>
    <t>10510240</t>
  </si>
  <si>
    <t>ASOY KRISNA W 28</t>
  </si>
  <si>
    <t>10510239</t>
  </si>
  <si>
    <t>ASOY KRISNA W 35</t>
  </si>
  <si>
    <t>10427402</t>
  </si>
  <si>
    <t>ASOY MITRA 10X30</t>
  </si>
  <si>
    <t>10510027</t>
  </si>
  <si>
    <t>ASOY MTH 45 BIRU</t>
  </si>
  <si>
    <t>10510029</t>
  </si>
  <si>
    <t>ASOY MTH 45 HIJAU MD</t>
  </si>
  <si>
    <t>10510028</t>
  </si>
  <si>
    <t>ASOY MTH 45 HIJAU TUA</t>
  </si>
  <si>
    <t>10510030</t>
  </si>
  <si>
    <t>ASOY MTH 45 KNG</t>
  </si>
  <si>
    <t>10510031</t>
  </si>
  <si>
    <t>ASOY MTH 45 MRH TUA</t>
  </si>
  <si>
    <t>10510032</t>
  </si>
  <si>
    <t>ASOY MTH 45 ORANGE</t>
  </si>
  <si>
    <t>10510033</t>
  </si>
  <si>
    <t>ASOY MTH 45 PINK</t>
  </si>
  <si>
    <t>10510035</t>
  </si>
  <si>
    <t>ASOY MTH 45 UNGU</t>
  </si>
  <si>
    <t>10510036</t>
  </si>
  <si>
    <t>ASOY MTH PUTIH 15</t>
  </si>
  <si>
    <t>10510037</t>
  </si>
  <si>
    <t>ASOY MTH PUTIH 19</t>
  </si>
  <si>
    <t>10510038</t>
  </si>
  <si>
    <t>ASOY MTH PUTIH 24</t>
  </si>
  <si>
    <t>10510039</t>
  </si>
  <si>
    <t>ASOY MTH PUTIH 28</t>
  </si>
  <si>
    <t>10510040</t>
  </si>
  <si>
    <t>ASOY MTH PUTIH 35</t>
  </si>
  <si>
    <t>10510041</t>
  </si>
  <si>
    <t>ASOY MTH PUTIH 45</t>
  </si>
  <si>
    <t>10510147</t>
  </si>
  <si>
    <t>ASOY NELAYAN 19</t>
  </si>
  <si>
    <t>8995101170016</t>
  </si>
  <si>
    <t>ASOY PE ROYAL BENING 15</t>
  </si>
  <si>
    <t>8995101170023</t>
  </si>
  <si>
    <t>ASOY PE ROYAL BENING 24</t>
  </si>
  <si>
    <t>8995101170030</t>
  </si>
  <si>
    <t>ASOY PE ROYAL BENING 25</t>
  </si>
  <si>
    <t>10426578</t>
  </si>
  <si>
    <t>ASTONOT KARTUN CEWE TKS-0034 HB</t>
  </si>
  <si>
    <t>10426579</t>
  </si>
  <si>
    <t>ASTRONOT BAWA BINTANG TKS-0037 HB</t>
  </si>
  <si>
    <t>8992992937636</t>
  </si>
  <si>
    <t>ATHENA EGG WASH 60GR</t>
  </si>
  <si>
    <t>8992016235519</t>
  </si>
  <si>
    <t>ATOZ TUSUK GIGI BOTOL</t>
  </si>
  <si>
    <t>10427401</t>
  </si>
  <si>
    <t>ATOZ TUSUK GIGI STERIL 250S</t>
  </si>
  <si>
    <t>8997017020171</t>
  </si>
  <si>
    <t>AVANTE QUEEN ANNA 2.5KG</t>
  </si>
  <si>
    <t>10424955</t>
  </si>
  <si>
    <t>AVENGER 4S AI18</t>
  </si>
  <si>
    <t>10423870</t>
  </si>
  <si>
    <t>AYAKAN PREM GOLD SS AYA0005 LISSE</t>
  </si>
  <si>
    <t>6958004013738</t>
  </si>
  <si>
    <t>AYAKAN TEPUNG AYA0001 LISSE</t>
  </si>
  <si>
    <t>6987251107525</t>
  </si>
  <si>
    <t>AYAKAN TEPUNG DELICIA</t>
  </si>
  <si>
    <t>10427479</t>
  </si>
  <si>
    <t>AYAKAN TEPUNG JC3693</t>
  </si>
  <si>
    <t>10426614</t>
  </si>
  <si>
    <t>AYAKAN TEPUNG TEPI WR 20CM</t>
  </si>
  <si>
    <t>10426615</t>
  </si>
  <si>
    <t>AYAKAN TEPUNG TEPI WR 22CM</t>
  </si>
  <si>
    <t>10426616</t>
  </si>
  <si>
    <t>AYAKAN TEPUNG TEPI WR 25CM</t>
  </si>
  <si>
    <t>9556065001106</t>
  </si>
  <si>
    <t>BABAS CHILLI POWDER 250GR</t>
  </si>
  <si>
    <t>10425855</t>
  </si>
  <si>
    <t>BABY BOY SAYAP LL-0008-G</t>
  </si>
  <si>
    <t>10425856</t>
  </si>
  <si>
    <t>BABY GIRL SAYAP LL-0008-H</t>
  </si>
  <si>
    <t>10424832</t>
  </si>
  <si>
    <t>BABY SLEEPING SMALL 5,5CM 1S B46</t>
  </si>
  <si>
    <t>10411826</t>
  </si>
  <si>
    <t>BACOM A 100 250GR</t>
  </si>
  <si>
    <t>10412009</t>
  </si>
  <si>
    <t>BACOM A100 600GR</t>
  </si>
  <si>
    <t>10420647</t>
  </si>
  <si>
    <t>BAG SEALER FRESH VEGETABLE</t>
  </si>
  <si>
    <t>10411710</t>
  </si>
  <si>
    <t>BAKELS BUTTA VANILLA 2KG</t>
  </si>
  <si>
    <t>10411904</t>
  </si>
  <si>
    <t>BAKELS DOBRIM 2000 1KG</t>
  </si>
  <si>
    <t>10411903</t>
  </si>
  <si>
    <t>BAKELS DOBRIM 3000 1KG</t>
  </si>
  <si>
    <t>BAKELS GULA DEKORASI 7KG</t>
  </si>
  <si>
    <t>10420820</t>
  </si>
  <si>
    <t>BAKELS GULA DEKORASI 1/2KG</t>
  </si>
  <si>
    <t>10420819</t>
  </si>
  <si>
    <t>BAKELS GULA DEKORASI 1KG</t>
  </si>
  <si>
    <t>10420821</t>
  </si>
  <si>
    <t>BAKELS GULA DEKORASI 250GR</t>
  </si>
  <si>
    <t>10411698</t>
  </si>
  <si>
    <t>BAKELS MIX RED VELVET 1/2KG</t>
  </si>
  <si>
    <t>4142103000009</t>
  </si>
  <si>
    <t>BAKELS MIX RED VELVET 10KG</t>
  </si>
  <si>
    <t>10411715</t>
  </si>
  <si>
    <t>BAKELS MIX RED VELVET 250GR</t>
  </si>
  <si>
    <t>10412353</t>
  </si>
  <si>
    <t>BAKELS ORANGE FILLING 1/2KG</t>
  </si>
  <si>
    <t>10425315</t>
  </si>
  <si>
    <t>BAKELS TP GANDUM HALUS 10KG</t>
  </si>
  <si>
    <t>10411738</t>
  </si>
  <si>
    <t>BAKELS TP GANDUM HALUS 1KG</t>
  </si>
  <si>
    <t>8997021890029</t>
  </si>
  <si>
    <t>BAKER BONUS 500GR</t>
  </si>
  <si>
    <t>8997014033761</t>
  </si>
  <si>
    <t>BAKERLIN ICING SUGAR 500GR</t>
  </si>
  <si>
    <t>8997014033785</t>
  </si>
  <si>
    <t>BAKERLINE DONAT DUSTING 500GR</t>
  </si>
  <si>
    <t>8997014036250</t>
  </si>
  <si>
    <t>BAKERLINE DONAT DUSTING BLUEBERRY 250GR</t>
  </si>
  <si>
    <t>8997014036267</t>
  </si>
  <si>
    <t>BAKERLINE DONAT DUSTING MINT 250GR</t>
  </si>
  <si>
    <t>8997014036274</t>
  </si>
  <si>
    <t>BAKERLINE DONAT DUSTING ORANGE 250GR</t>
  </si>
  <si>
    <t>8997014036298</t>
  </si>
  <si>
    <t>BAKERLINE DONAT DUSTING STRW 250GR</t>
  </si>
  <si>
    <t>10412369</t>
  </si>
  <si>
    <t>BAKERLINE DONUT DUSTING 1/2KG</t>
  </si>
  <si>
    <t>8997014037233</t>
  </si>
  <si>
    <t>BAKERLINE VIOLETTA BLUBERRY 500GR</t>
  </si>
  <si>
    <t>8997014037226</t>
  </si>
  <si>
    <t>BAKERLINE VIOLETTA STRW 500GR</t>
  </si>
  <si>
    <t>10412349</t>
  </si>
  <si>
    <t>BAKERS MIX GOLD 15KG</t>
  </si>
  <si>
    <t>10423256</t>
  </si>
  <si>
    <t>BAKING 5SET SILICONE SP05PCS LISSE TOOLS</t>
  </si>
  <si>
    <t>10425390</t>
  </si>
  <si>
    <t>BAKING CLOTH 45X77CM BIC1</t>
  </si>
  <si>
    <t>10410431</t>
  </si>
  <si>
    <t>BAKING KUE 1/2KG</t>
  </si>
  <si>
    <t>10410326</t>
  </si>
  <si>
    <t>BAKING KUE 1KG</t>
  </si>
  <si>
    <t>10410432</t>
  </si>
  <si>
    <t>BAKING KUE 250GR</t>
  </si>
  <si>
    <t>10410869</t>
  </si>
  <si>
    <t>BAKING KUE 25KG</t>
  </si>
  <si>
    <t>10423753</t>
  </si>
  <si>
    <t>BAKING MAT PINK BMS0009 LISSE</t>
  </si>
  <si>
    <t>8997010490018</t>
  </si>
  <si>
    <t>BAKING PAN 22CM ORCHID</t>
  </si>
  <si>
    <t>8997010490025</t>
  </si>
  <si>
    <t>BAKING PAN 24CM ORCHID</t>
  </si>
  <si>
    <t>8997205430317</t>
  </si>
  <si>
    <t>BAKING POWDER PINGUIN 60GR</t>
  </si>
  <si>
    <t>BALA LONGAN 565GR</t>
  </si>
  <si>
    <t>10425027</t>
  </si>
  <si>
    <t>BALON DORAEMON 100S BL10D</t>
  </si>
  <si>
    <t>10425026</t>
  </si>
  <si>
    <t>BALON HB 100S BL10C</t>
  </si>
  <si>
    <t>10425031</t>
  </si>
  <si>
    <t>BALON KILAP 120GR BL20A</t>
  </si>
  <si>
    <t>10425029</t>
  </si>
  <si>
    <t>BALON KILAP WARNA WARNI 100S BL19</t>
  </si>
  <si>
    <t>10427311</t>
  </si>
  <si>
    <t>BALON LATEX MOTIF MIX KARAKTER BL10KT</t>
  </si>
  <si>
    <t>10425926</t>
  </si>
  <si>
    <t>BALON LATEX PAYET 12 SET 10</t>
  </si>
  <si>
    <t>10425025</t>
  </si>
  <si>
    <t>BALON MICKEY 100S BL10A</t>
  </si>
  <si>
    <t>6949427810080</t>
  </si>
  <si>
    <t>BAMBOO TUSUK GIGI BOTOL</t>
  </si>
  <si>
    <t>8990121011073</t>
  </si>
  <si>
    <t>BANGO KECAP 189ML</t>
  </si>
  <si>
    <t>8999999593223</t>
  </si>
  <si>
    <t>BANGO KECAP 280GR</t>
  </si>
  <si>
    <t>8999999002503</t>
  </si>
  <si>
    <t>BANGO KECAP 385ML</t>
  </si>
  <si>
    <t>8999999514617</t>
  </si>
  <si>
    <t>BANGO KECAP 540GR</t>
  </si>
  <si>
    <t>8999999596507</t>
  </si>
  <si>
    <t>BANGO KECAP 55GR</t>
  </si>
  <si>
    <t>8999999100506</t>
  </si>
  <si>
    <t>BANGO KECAP 700GR</t>
  </si>
  <si>
    <t>8999999514006</t>
  </si>
  <si>
    <t>BANGO KECAP 77GR</t>
  </si>
  <si>
    <t>8999999578282</t>
  </si>
  <si>
    <t>BANGO KECAP MANIS 950GR</t>
  </si>
  <si>
    <t>10411388</t>
  </si>
  <si>
    <t>BAOPING ROUND STRAINER 6PCS</t>
  </si>
  <si>
    <t>6903662016089</t>
  </si>
  <si>
    <t>BAOU KITCHEN TOOL YK1010</t>
  </si>
  <si>
    <t>10540044</t>
  </si>
  <si>
    <t>BARBIE 1/2 BADAN IMPORT BI8</t>
  </si>
  <si>
    <t>10410607</t>
  </si>
  <si>
    <t>BASIL 10GR</t>
  </si>
  <si>
    <t>10422250</t>
  </si>
  <si>
    <t>BATMEN IMPORT BI1</t>
  </si>
  <si>
    <t>10412394</t>
  </si>
  <si>
    <t>BAWANG GORENG 100GR BUNDA NUPI</t>
  </si>
  <si>
    <t>10412393</t>
  </si>
  <si>
    <t>BAWANG GORENG 65GR BUNDA NUPI</t>
  </si>
  <si>
    <t>10420499</t>
  </si>
  <si>
    <t>BAWANG GORENG MAMA MIA 5kg</t>
  </si>
  <si>
    <t>9310264911945</t>
  </si>
  <si>
    <t>BEGA SMOKEY BBQ 12S</t>
  </si>
  <si>
    <t>3073780515702</t>
  </si>
  <si>
    <t>BELCUBE KEJU MPSI 125GR</t>
  </si>
  <si>
    <t>9310155031004</t>
  </si>
  <si>
    <t>BELDUCCI PASTA LASAGNA 250GR</t>
  </si>
  <si>
    <t>8995229800321</t>
  </si>
  <si>
    <t>BELFOODS CHICKEN NUGET 500GR</t>
  </si>
  <si>
    <t>8995229800192</t>
  </si>
  <si>
    <t>BELFOODS CHICKEN NUGET CERIA 500GR</t>
  </si>
  <si>
    <t>8993071700219</t>
  </si>
  <si>
    <t>BELFOODS CHICKEN NUGGET CORN FLAKE 120GR</t>
  </si>
  <si>
    <t>8994130900762</t>
  </si>
  <si>
    <t>BELFOODS CHICKEN NUGGET CRUNCHY 120GR</t>
  </si>
  <si>
    <t>8995229804145</t>
  </si>
  <si>
    <t>BELFOODS CHICKEN SAUSAGES 200GR</t>
  </si>
  <si>
    <t>8994130899721</t>
  </si>
  <si>
    <t>BELFOODS CHICKEN STICK 170GR</t>
  </si>
  <si>
    <t>8995229801243</t>
  </si>
  <si>
    <t>BELFOODS CHIKEN NUGGET SAFARI 450GR</t>
  </si>
  <si>
    <t>8995229800130</t>
  </si>
  <si>
    <t>BELFOODS CRISPY CHICKEN 500GR</t>
  </si>
  <si>
    <t>8994130899417</t>
  </si>
  <si>
    <t>BELFOODS CRISPY CHICKEN BURGER 315GR</t>
  </si>
  <si>
    <t>8994130899677</t>
  </si>
  <si>
    <t>BELFOODS CRISPY CHICKEN PEDAS 500GR</t>
  </si>
  <si>
    <t>8994130899974</t>
  </si>
  <si>
    <t>BELFOODS FRENCH FRIES SHOESTRING 175GR</t>
  </si>
  <si>
    <t>8994130899622</t>
  </si>
  <si>
    <t>BELFOODS FRENCH FRIES SHOESTRING 500GR</t>
  </si>
  <si>
    <t>8994130899691</t>
  </si>
  <si>
    <t>BELFOODS NUGGET CHICKEN CRUCHY 500GR</t>
  </si>
  <si>
    <t>8995229800109</t>
  </si>
  <si>
    <t>BELFOODS SPICY WINGS 500GR</t>
  </si>
  <si>
    <t>8992952952372</t>
  </si>
  <si>
    <t>BELLA COMP COKLAT 250GR</t>
  </si>
  <si>
    <t>8992952952389</t>
  </si>
  <si>
    <t>BELLA COMP WHITE 250GR</t>
  </si>
  <si>
    <t>8992952924379</t>
  </si>
  <si>
    <t>BELLA MISES 90GR</t>
  </si>
  <si>
    <t>8992952924386</t>
  </si>
  <si>
    <t>BELLA MISES COKLAT 225GR</t>
  </si>
  <si>
    <t>8992952925932</t>
  </si>
  <si>
    <t>BELLA MISES WARNA 225GR</t>
  </si>
  <si>
    <t>8992952925925</t>
  </si>
  <si>
    <t>BELLA MISES WARNA 90GR</t>
  </si>
  <si>
    <t>10422869</t>
  </si>
  <si>
    <t>BEN 10 5S B155</t>
  </si>
  <si>
    <t>10422867</t>
  </si>
  <si>
    <t>BEN 10 BESAR 1S B153</t>
  </si>
  <si>
    <t>10422868</t>
  </si>
  <si>
    <t>BEN 10 KECIL 1S B154</t>
  </si>
  <si>
    <t>10422870</t>
  </si>
  <si>
    <t>BEN 10 TUSUK 6S B156</t>
  </si>
  <si>
    <t>8993055000502</t>
  </si>
  <si>
    <t>BENDERA TEH BUBUK 50GR</t>
  </si>
  <si>
    <t>10200200</t>
  </si>
  <si>
    <t>BENDICO ND 100GR</t>
  </si>
  <si>
    <t>BENDICO ND 1KG</t>
  </si>
  <si>
    <t>10420990</t>
  </si>
  <si>
    <t>BENDICO ND 250GR</t>
  </si>
  <si>
    <t>BENDICO XD 1/2KG</t>
  </si>
  <si>
    <t>10420849</t>
  </si>
  <si>
    <t>BENDICO XD 100GR</t>
  </si>
  <si>
    <t>BENDICO XD 1KG</t>
  </si>
  <si>
    <t>10410722</t>
  </si>
  <si>
    <t>BENDICO XXD 1/2KG</t>
  </si>
  <si>
    <t>104105100</t>
  </si>
  <si>
    <t>BENDICO XXD 100GR</t>
  </si>
  <si>
    <t>BENDICO XXD 1KG</t>
  </si>
  <si>
    <t>10410704</t>
  </si>
  <si>
    <t>BENDICO XXD 250GR</t>
  </si>
  <si>
    <t>504195723305</t>
  </si>
  <si>
    <t>BENERAN CHURROS WHITE SUGAR 500GR</t>
  </si>
  <si>
    <t>10410700</t>
  </si>
  <si>
    <t>BENSDROP 5 KG</t>
  </si>
  <si>
    <t>10411924</t>
  </si>
  <si>
    <t>BENSDROP M 100GR</t>
  </si>
  <si>
    <t>10410879</t>
  </si>
  <si>
    <t>BENSDROP MALAYSIA 25KG</t>
  </si>
  <si>
    <t>10410967</t>
  </si>
  <si>
    <t>BERAS BASMATI CREAMY 1/2KG</t>
  </si>
  <si>
    <t>10411076</t>
  </si>
  <si>
    <t>BERAS BASMATI CREAMY 1KG</t>
  </si>
  <si>
    <t>8997231830013</t>
  </si>
  <si>
    <t>BERAS BASMATI SHUKRIYA 1KG</t>
  </si>
  <si>
    <t>8993531772886</t>
  </si>
  <si>
    <t>BERAS KOSHIHIKARI 2KG</t>
  </si>
  <si>
    <t>10411554</t>
  </si>
  <si>
    <t>BERAS KOSHIHIKARI 500GR</t>
  </si>
  <si>
    <t>8993531772824</t>
  </si>
  <si>
    <t>BERAS KOSHIHIKARI 5KG</t>
  </si>
  <si>
    <t>8997017500024</t>
  </si>
  <si>
    <t>BERAS MERAH HOLISTIC 2KG</t>
  </si>
  <si>
    <t>8999801600095</t>
  </si>
  <si>
    <t>BERAS MERAH SUGIHEN 1kg</t>
  </si>
  <si>
    <t>8999801600088</t>
  </si>
  <si>
    <t>BERAS MERAH SUGIHEN 2kg</t>
  </si>
  <si>
    <t>8997235700091</t>
  </si>
  <si>
    <t>BERAS SHIRATAKI 1KG</t>
  </si>
  <si>
    <t>9916500403405</t>
  </si>
  <si>
    <t>BERNARDI BAKSO IKAN KECIL 360GR</t>
  </si>
  <si>
    <t>9916500103107</t>
  </si>
  <si>
    <t>BERNARDI BAKSO SAPI KASAR URAT 360GR</t>
  </si>
  <si>
    <t>9915250101104</t>
  </si>
  <si>
    <t>BERNARDI BURGER SAPI 250GR</t>
  </si>
  <si>
    <t>8997023078708</t>
  </si>
  <si>
    <t>BERNARDI ROTI BURGER POLOS 300GR 6S</t>
  </si>
  <si>
    <t>8997023078715</t>
  </si>
  <si>
    <t>BERNARDI ROTI BURGER WIJEN 300GR 6S</t>
  </si>
  <si>
    <t>9914250103101</t>
  </si>
  <si>
    <t>BERNARDI SMOKED BEEF 250GR</t>
  </si>
  <si>
    <t>8997023077916</t>
  </si>
  <si>
    <t>BERNARDI STEAMBOAT 300GR</t>
  </si>
  <si>
    <t>8997023079538</t>
  </si>
  <si>
    <t>BERNARDI TOM YUM INSTAN 300GR</t>
  </si>
  <si>
    <t>10427453</t>
  </si>
  <si>
    <t>BERRY FRESH CLING WRAP 25CMX500 METER</t>
  </si>
  <si>
    <t>10427452</t>
  </si>
  <si>
    <t>BERRY FRESH CLING WRAP 25CMX500R</t>
  </si>
  <si>
    <t>10427451</t>
  </si>
  <si>
    <t>BERRY FRESH CLING WRAP 30CMX500 METER</t>
  </si>
  <si>
    <t>10427450</t>
  </si>
  <si>
    <t>BERRY FRESH CLING WRAP 30CMX500R</t>
  </si>
  <si>
    <t>10427449</t>
  </si>
  <si>
    <t>BERRY FRESH CLING WRAP 35CMX500 METER</t>
  </si>
  <si>
    <t>10427448</t>
  </si>
  <si>
    <t>BERRY FRESH CLING WRAP 35CMX500R</t>
  </si>
  <si>
    <t>10427445</t>
  </si>
  <si>
    <t>BERRY FRESH CLING WRAP 40CMX500 METER</t>
  </si>
  <si>
    <t>10427444</t>
  </si>
  <si>
    <t>BERRY FRESH CLING WRAP 40CMX500R</t>
  </si>
  <si>
    <t>10427447</t>
  </si>
  <si>
    <t>BERRY FRESH CLING WRAP 45CMX500 METER</t>
  </si>
  <si>
    <t>10427446</t>
  </si>
  <si>
    <t>BERRY FRESH CLING WRAP 45CMX500R</t>
  </si>
  <si>
    <t>041790001501</t>
  </si>
  <si>
    <t>BERTOLLI CLASSICO 250ML</t>
  </si>
  <si>
    <t>041790004106</t>
  </si>
  <si>
    <t>BERTOLLI EXTRA LIGHT 250ML</t>
  </si>
  <si>
    <t>041790600186</t>
  </si>
  <si>
    <t>BERTOLLI EXTRA LIGHT SPRAY 145ML</t>
  </si>
  <si>
    <t>041790001655</t>
  </si>
  <si>
    <t>BERTOLLI EXTRA VIRGIN 250ML</t>
  </si>
  <si>
    <t>041790600162</t>
  </si>
  <si>
    <t>BERTOLLI EXTRA VIRGIN SPRAY 145ML</t>
  </si>
  <si>
    <t>6934093622099</t>
  </si>
  <si>
    <t>BES SUSHI NORI 140GR 50S</t>
  </si>
  <si>
    <t>6934093655103</t>
  </si>
  <si>
    <t>BES SUSHI NORI 28GR 10S</t>
  </si>
  <si>
    <t>10411159</t>
  </si>
  <si>
    <t>BEST BUBBLE AVOCADO 1KG</t>
  </si>
  <si>
    <t>10411194</t>
  </si>
  <si>
    <t>BEST BUBBLE BLUEBERRY 1KG</t>
  </si>
  <si>
    <t>10411160</t>
  </si>
  <si>
    <t>BEST BUBBLE BUBBLEGUM 1KG</t>
  </si>
  <si>
    <t>10411165</t>
  </si>
  <si>
    <t>BEST BUBBLE HAZELNUT 1KG</t>
  </si>
  <si>
    <t>10411195</t>
  </si>
  <si>
    <t>BEST BUBBLE KOPICARAMEL 1KG</t>
  </si>
  <si>
    <t>10411167</t>
  </si>
  <si>
    <t>BEST BUBBLE MELON 1KG</t>
  </si>
  <si>
    <t>10411170</t>
  </si>
  <si>
    <t>BEST BUBBLE OREO 1KG</t>
  </si>
  <si>
    <t>10411171</t>
  </si>
  <si>
    <t>BEST BUBBLE RED VELVET 1KG</t>
  </si>
  <si>
    <t>10411172</t>
  </si>
  <si>
    <t>BEST BUBBLE STW 1KG</t>
  </si>
  <si>
    <t>10411174</t>
  </si>
  <si>
    <t>BEST BUBBLE THAITEA 1KG</t>
  </si>
  <si>
    <t>10411175</t>
  </si>
  <si>
    <t>BEST BUBBLE TIRAMISU 1KG</t>
  </si>
  <si>
    <t>10411176</t>
  </si>
  <si>
    <t>BEST BUBBLE VANILA 1KG</t>
  </si>
  <si>
    <t>10411177</t>
  </si>
  <si>
    <t>BEST BUBBLE VANILA LATE 1KG</t>
  </si>
  <si>
    <t>8990062001058</t>
  </si>
  <si>
    <t>BEST FRESH ALU BX 0350 10S+TTP</t>
  </si>
  <si>
    <t>8990062000068</t>
  </si>
  <si>
    <t>BEST FRESH ALU FOIL 30CMX7.6M</t>
  </si>
  <si>
    <t>8990062000082</t>
  </si>
  <si>
    <t>BEST FRESH ALU FOIL 45CMX7.6M</t>
  </si>
  <si>
    <t>8990062003052</t>
  </si>
  <si>
    <t>BEST FRESH ALU OX 100 10S</t>
  </si>
  <si>
    <t>8990062003069</t>
  </si>
  <si>
    <t>BEST FRESH ALU OX 100 10S+TTP</t>
  </si>
  <si>
    <t>8990062003120</t>
  </si>
  <si>
    <t>BEST FRESH ALU OX 1400 5S+TTP</t>
  </si>
  <si>
    <t>8990062003137</t>
  </si>
  <si>
    <t>BEST FRESH ALU OX 250 10S</t>
  </si>
  <si>
    <t>8990062003144</t>
  </si>
  <si>
    <t>BEST FRESH ALU OX 250 10S+TTP</t>
  </si>
  <si>
    <t>8990062004691</t>
  </si>
  <si>
    <t>BEST FRESH ALU RX 50 10S</t>
  </si>
  <si>
    <t>8990062000365</t>
  </si>
  <si>
    <t>BEST FRESH BAKING PAPER BROWN 10MX30CM</t>
  </si>
  <si>
    <t>8990062000372</t>
  </si>
  <si>
    <t>BEST FRESH BAKING PAPER WHITE 10MX30CM</t>
  </si>
  <si>
    <t>8997231401541</t>
  </si>
  <si>
    <t>BEST FRESH BAKING PAPER WHITE 40CMX60CM</t>
  </si>
  <si>
    <t>8990062000358</t>
  </si>
  <si>
    <t>BEST FRESH BAKING PAPER WHITE 40CMX60CM 5S</t>
  </si>
  <si>
    <t>8990062000624</t>
  </si>
  <si>
    <t>BEST FRESH CLING WRAP 30CMX300M</t>
  </si>
  <si>
    <t>8990062000631</t>
  </si>
  <si>
    <t>BEST FRESH CLING WRAP 45CMX300M</t>
  </si>
  <si>
    <t>10425932</t>
  </si>
  <si>
    <t>BEST FRESH POLYNET ROLL KCL</t>
  </si>
  <si>
    <t>8990062000655</t>
  </si>
  <si>
    <t>BEST FRESH WRAPPING 30CM</t>
  </si>
  <si>
    <t>8990062000662</t>
  </si>
  <si>
    <t>BEST FRESH WRAPPING 38CM</t>
  </si>
  <si>
    <t>10427012</t>
  </si>
  <si>
    <t>BESTAFT SARUNG TANGAN KARET L</t>
  </si>
  <si>
    <t>10427318</t>
  </si>
  <si>
    <t>BESTAFT SARUNG TANGAN PLASTIK</t>
  </si>
  <si>
    <t>8997229331577</t>
  </si>
  <si>
    <t>BEWELL KALDU IKAN BILIS 80GR</t>
  </si>
  <si>
    <t>8997229331584</t>
  </si>
  <si>
    <t>BEWELL KALDU JAMUR 80GR</t>
  </si>
  <si>
    <t>10420153</t>
  </si>
  <si>
    <t>BGT 30 CKLT</t>
  </si>
  <si>
    <t>103001004</t>
  </si>
  <si>
    <t>BIDARA LAUT 1KG</t>
  </si>
  <si>
    <t>103001005</t>
  </si>
  <si>
    <t>BIDARA LAUT 50GR</t>
  </si>
  <si>
    <t>10410521</t>
  </si>
  <si>
    <t>BIG ONE BAKPOU 10GR</t>
  </si>
  <si>
    <t>8997004060043</t>
  </si>
  <si>
    <t>BIHUN CAP PANEN JAGUNG 300GR</t>
  </si>
  <si>
    <t>8993093665015</t>
  </si>
  <si>
    <t>BIHUN INST ROSE BRAND ASAM PEDAS 55GR</t>
  </si>
  <si>
    <t>8993093664872</t>
  </si>
  <si>
    <t>BIHUN INST ROSE BRAND AYAM BAWANG 55GR</t>
  </si>
  <si>
    <t>8993093665022</t>
  </si>
  <si>
    <t>BIHUN INST ROSE BRAND KALDU AYAM 55GR</t>
  </si>
  <si>
    <t>8991688891214</t>
  </si>
  <si>
    <t>BIHUN JAGUNG DOROKU 316 GR</t>
  </si>
  <si>
    <t>8999801700542</t>
  </si>
  <si>
    <t>BIHUN JAGUNG YAYA 2KG</t>
  </si>
  <si>
    <t>8997008310397</t>
  </si>
  <si>
    <t>BIJAG KELONG 150GR</t>
  </si>
  <si>
    <t>8997011700475</t>
  </si>
  <si>
    <t>BIJAG SPS FOOD 2.56KG</t>
  </si>
  <si>
    <t>8997011700123</t>
  </si>
  <si>
    <t>BIJAG SPS FOOD 300GR</t>
  </si>
  <si>
    <t>8999801700528</t>
  </si>
  <si>
    <t>BIJAG YAYA 140GR</t>
  </si>
  <si>
    <t>8999801700535</t>
  </si>
  <si>
    <t>BIJAG YAYA 260GR</t>
  </si>
  <si>
    <t>10200197</t>
  </si>
  <si>
    <t>BIJAN HITAM 1/2KG</t>
  </si>
  <si>
    <t>10200194</t>
  </si>
  <si>
    <t>BIJAN HITAM 100GR</t>
  </si>
  <si>
    <t>10200190</t>
  </si>
  <si>
    <t>BIJAN HITAM 1KG</t>
  </si>
  <si>
    <t>10200195</t>
  </si>
  <si>
    <t>BIJAN HITAM 250GR</t>
  </si>
  <si>
    <t>10410437</t>
  </si>
  <si>
    <t>BIJAN PUTIH 1/2KG</t>
  </si>
  <si>
    <t>10410438</t>
  </si>
  <si>
    <t>BIJAN PUTIH 100GR</t>
  </si>
  <si>
    <t>10410226</t>
  </si>
  <si>
    <t>BIJAN PUTIH 250GR</t>
  </si>
  <si>
    <t>10410999</t>
  </si>
  <si>
    <t>BIJAN PUTIH 25KG</t>
  </si>
  <si>
    <t>10410933</t>
  </si>
  <si>
    <t>BIJI LABU KUPAS 100GR</t>
  </si>
  <si>
    <t>10410931</t>
  </si>
  <si>
    <t>BIJI LABU KUPAS 1KG</t>
  </si>
  <si>
    <t>10410932</t>
  </si>
  <si>
    <t>BIJI LABU KUPAS 250GR</t>
  </si>
  <si>
    <t>103001010</t>
  </si>
  <si>
    <t>BIJI MAHONI 1KG</t>
  </si>
  <si>
    <t>103001011</t>
  </si>
  <si>
    <t>BIJI MAHONI 50GR</t>
  </si>
  <si>
    <t>10410936</t>
  </si>
  <si>
    <t>BIJI MATAHARI 100GR</t>
  </si>
  <si>
    <t>10410934</t>
  </si>
  <si>
    <t>BIJI MATAHARI 1KG</t>
  </si>
  <si>
    <t>10410935</t>
  </si>
  <si>
    <t>BIJI MATAHARI 250GR</t>
  </si>
  <si>
    <t>10427160</t>
  </si>
  <si>
    <t>BINGKAI ROLLING PIN 22X17</t>
  </si>
  <si>
    <t>10424752</t>
  </si>
  <si>
    <t>BINGKAI ROLLING PIN 30X20</t>
  </si>
  <si>
    <t>10423019</t>
  </si>
  <si>
    <t>BINGKAI ROLLING PIN 30X40</t>
  </si>
  <si>
    <t>8999898972280</t>
  </si>
  <si>
    <t>BIOKUL YOGURT GREEK MADU 80GR</t>
  </si>
  <si>
    <t>8999898972310</t>
  </si>
  <si>
    <t>BIOKUL YOGURT GREEK MANGGA 80GR</t>
  </si>
  <si>
    <t>8999898972273</t>
  </si>
  <si>
    <t>BIOKUL YOGURT GREEK PLAIN 80GR</t>
  </si>
  <si>
    <t>8999898962694</t>
  </si>
  <si>
    <t>BIOKUL YOGURT PLAIN 500ML</t>
  </si>
  <si>
    <t>8999898963110</t>
  </si>
  <si>
    <t>BIOKUL YOGURT SET 1LT</t>
  </si>
  <si>
    <t>8999898962212</t>
  </si>
  <si>
    <t>BIOKUL YOGURT STIRRED BLUEBERRY 80ML</t>
  </si>
  <si>
    <t>8999898962199</t>
  </si>
  <si>
    <t>BIOKUL YOGURT STIRRED PLAIN 80ML</t>
  </si>
  <si>
    <t>8999898962205</t>
  </si>
  <si>
    <t>BIOKUL YOGURT STIRRED STRAWBERRY 80ML</t>
  </si>
  <si>
    <t>8999898975762</t>
  </si>
  <si>
    <t>BIOKUL YOGURT TO GO BLUEBERRY 80GR</t>
  </si>
  <si>
    <t>8999898975809</t>
  </si>
  <si>
    <t>BIOKUL YOGURT TO GO LECI 80GR</t>
  </si>
  <si>
    <t>8999898975755</t>
  </si>
  <si>
    <t>BIOKUL YOGURT TO GO MANGGA 80GR</t>
  </si>
  <si>
    <t>8999898975793</t>
  </si>
  <si>
    <t>BIOKUL YOGURT TO GO MIXBERRY 80GR</t>
  </si>
  <si>
    <t>8999898975748</t>
  </si>
  <si>
    <t>BIOKUL YOGURT TO GO PLAIN 80GR</t>
  </si>
  <si>
    <t>8999898975816</t>
  </si>
  <si>
    <t>BIOKUL YOGURT TO GO STRAWBERRY 80GR</t>
  </si>
  <si>
    <t>8997033630897</t>
  </si>
  <si>
    <t>BK CAP UDANG 250GR</t>
  </si>
  <si>
    <t>8997033630064</t>
  </si>
  <si>
    <t>BK CAP UDANG 50GR</t>
  </si>
  <si>
    <t>8997033630071</t>
  </si>
  <si>
    <t>BK CAP UDANG 8GR</t>
  </si>
  <si>
    <t>10427206</t>
  </si>
  <si>
    <t>BK-1313-5D BOX KUE</t>
  </si>
  <si>
    <t>10427207</t>
  </si>
  <si>
    <t>BK-1313-5H BOX KUE</t>
  </si>
  <si>
    <t>10427212</t>
  </si>
  <si>
    <t>BK-137-5D BOX KUE</t>
  </si>
  <si>
    <t>10427209</t>
  </si>
  <si>
    <t>BK-137-5H BOX KUE</t>
  </si>
  <si>
    <t>10427210</t>
  </si>
  <si>
    <t>BK-2113-5B BOX KUE BANGAU</t>
  </si>
  <si>
    <t>10427204</t>
  </si>
  <si>
    <t>BK178-6C2 BOX KUE 17.5X8.2X6.5CM</t>
  </si>
  <si>
    <t>10427223</t>
  </si>
  <si>
    <t>BK188-7PT1 BOX KUE THANK YOU</t>
  </si>
  <si>
    <t>10427256</t>
  </si>
  <si>
    <t>BK188-7PT2 BOX KUE BAKING</t>
  </si>
  <si>
    <t>10427201</t>
  </si>
  <si>
    <t>BK188-7PT3 BOX KUE GOOD CAKES</t>
  </si>
  <si>
    <t>10427208</t>
  </si>
  <si>
    <t>BK2113-5CK BOX KUE</t>
  </si>
  <si>
    <t>10427213</t>
  </si>
  <si>
    <t>BK2113-5D BOX KUE</t>
  </si>
  <si>
    <t>10427442</t>
  </si>
  <si>
    <t>BKP-1616-12A2 BOX KUE</t>
  </si>
  <si>
    <t>10427443</t>
  </si>
  <si>
    <t>BKP-1616-12M BOX KUE</t>
  </si>
  <si>
    <t>10427205</t>
  </si>
  <si>
    <t>BKU11810-4G2 BOX ULTAH</t>
  </si>
  <si>
    <t>10427199</t>
  </si>
  <si>
    <t>BKU11810-4H BOX ULTAH VINTAGE</t>
  </si>
  <si>
    <t>10427203</t>
  </si>
  <si>
    <t>BKU16910-4FR BOX ULTAH FRANCE</t>
  </si>
  <si>
    <t>10427202</t>
  </si>
  <si>
    <t>BKU16910-4PT BOX ULTAH 16.2X9X10.5CM</t>
  </si>
  <si>
    <t>10427195</t>
  </si>
  <si>
    <t>BKU979-25G BOX ULTAH BIRU 91X75X89MM</t>
  </si>
  <si>
    <t>10427194</t>
  </si>
  <si>
    <t>BKU979-25H BOX ULTAH VINTAGE 9X7.5X9</t>
  </si>
  <si>
    <t>10425481</t>
  </si>
  <si>
    <t>BLT EMAS 10 HBT7A</t>
  </si>
  <si>
    <t>10425474</t>
  </si>
  <si>
    <t>BLT SILVER SET10 HBT7S</t>
  </si>
  <si>
    <t>10412377</t>
  </si>
  <si>
    <t>BLUE BAND CROMA SERBAGUNA 1/2KG</t>
  </si>
  <si>
    <t>28719200701780</t>
  </si>
  <si>
    <t>BLUE BAND CROMA SERBAGUNA 15KG</t>
  </si>
  <si>
    <t>10412356</t>
  </si>
  <si>
    <t>BLUE BAND CROMA SERBAGUNA 1KG</t>
  </si>
  <si>
    <t>8719200304017</t>
  </si>
  <si>
    <t>BLUE BAND SERBAGUNA 5IN1 190GR</t>
  </si>
  <si>
    <t>10427030</t>
  </si>
  <si>
    <t>BNK ANAK PR KACAMATA BAP1-1</t>
  </si>
  <si>
    <t>8997221550440</t>
  </si>
  <si>
    <t>BOBA KING BROWN SYRUP 1000ML</t>
  </si>
  <si>
    <t>10422591</t>
  </si>
  <si>
    <t>BOBOI BOY K SET5 B257</t>
  </si>
  <si>
    <t>039978029911</t>
  </si>
  <si>
    <t>BOBS RM ALL PURPOSE ORGANIC FLOUR 2.27KG</t>
  </si>
  <si>
    <t>039978002365</t>
  </si>
  <si>
    <t>BOBS RM ARTISAN BREAD FLOUR 2.27KG</t>
  </si>
  <si>
    <t>039978114259</t>
  </si>
  <si>
    <t>BOBS RM BROWN LENTILS 765 GR</t>
  </si>
  <si>
    <t>039978114648</t>
  </si>
  <si>
    <t>BOBS RM BROWNIES MIX 595GR</t>
  </si>
  <si>
    <t>039978113023</t>
  </si>
  <si>
    <t>BOBS RM BUCK WHEAT FLOUR 624GR</t>
  </si>
  <si>
    <t>039978008442</t>
  </si>
  <si>
    <t>BOBS RM CHIA SEEDS 340GR</t>
  </si>
  <si>
    <t>039978113320</t>
  </si>
  <si>
    <t>BOBS RM CHICKPEA FLOUR 454GR</t>
  </si>
  <si>
    <t>039978035813</t>
  </si>
  <si>
    <t>BOBS RM COCONUT FLAKE 284GR</t>
  </si>
  <si>
    <t>039978019714</t>
  </si>
  <si>
    <t>BOBS RM CORN FLOUR 624GR</t>
  </si>
  <si>
    <t>039978049520</t>
  </si>
  <si>
    <t>BOBS RM FASHINED ROLLED OATS 907GR</t>
  </si>
  <si>
    <t>039978029362</t>
  </si>
  <si>
    <t>BOBS RM FLAXSEED BROWN 368GR</t>
  </si>
  <si>
    <t>039978114570</t>
  </si>
  <si>
    <t>BOBS RM GARBANZO FAVA FLOUR 624GR</t>
  </si>
  <si>
    <t>039978003645</t>
  </si>
  <si>
    <t>BOBS RM GRANOLA 340GR</t>
  </si>
  <si>
    <t>039978031730</t>
  </si>
  <si>
    <t>BOBS RM GRANOLA CRANBERY ALMOND 312GR</t>
  </si>
  <si>
    <t>039978001733</t>
  </si>
  <si>
    <t>BOBS RM GRANOLA MAPLE SEA SALT 312GR</t>
  </si>
  <si>
    <t>039978113771</t>
  </si>
  <si>
    <t>BOBS RM OAT FLOUR 510GR</t>
  </si>
  <si>
    <t>039978119193</t>
  </si>
  <si>
    <t>BOBS RM ORGANIC CORN POLENTA 680GR</t>
  </si>
  <si>
    <t>039978113139</t>
  </si>
  <si>
    <t>BOBS RM ORGANIC DARK RYE FLOUR 567GR</t>
  </si>
  <si>
    <t>039978003508</t>
  </si>
  <si>
    <t>BOBS RM PALEO STYLE MUESLI 397GR</t>
  </si>
  <si>
    <t>039978114624</t>
  </si>
  <si>
    <t>BOBS RM PANCAKE MIX 680GR</t>
  </si>
  <si>
    <t>039978002860</t>
  </si>
  <si>
    <t>BOBS RM PEANUT BUTTER GRANOLA 312GR</t>
  </si>
  <si>
    <t>039978114037</t>
  </si>
  <si>
    <t>BOBS RM PEARL BARLEY 850GR</t>
  </si>
  <si>
    <t>039978114358</t>
  </si>
  <si>
    <t>BOBS RM RED LENTILS 765GR</t>
  </si>
  <si>
    <t>039978039538</t>
  </si>
  <si>
    <t>BOBS RM ROLLED OATS 907GR</t>
  </si>
  <si>
    <t>039978501035</t>
  </si>
  <si>
    <t>BOBS RM SEREAL MUESLI 510GR</t>
  </si>
  <si>
    <t>039978122513</t>
  </si>
  <si>
    <t>BOBS RM SOUP MIX 13 BEAN 822GR</t>
  </si>
  <si>
    <t>039978003683</t>
  </si>
  <si>
    <t>BOBS RM TROPICAL MUESLI 397GR</t>
  </si>
  <si>
    <t>039978035424</t>
  </si>
  <si>
    <t>BOBS RM TVP PROTEIN NABATI 340GR</t>
  </si>
  <si>
    <t>039978114662</t>
  </si>
  <si>
    <t>BOBS RM VANILLA CAKE MIX 539GR</t>
  </si>
  <si>
    <t>039978122506</t>
  </si>
  <si>
    <t>BOBS RM VEGI SOUP MIX 794GR</t>
  </si>
  <si>
    <t>039978124067</t>
  </si>
  <si>
    <t>BOBS RM WHOLE GRAIN MILLET 794GR</t>
  </si>
  <si>
    <t>039978029874</t>
  </si>
  <si>
    <t>BOBS RM WHOLE WHEAT FLOUR 2.27KG</t>
  </si>
  <si>
    <t>10426988</t>
  </si>
  <si>
    <t>BOLA DISKO 2CM SILVER 6S HBS6-2S</t>
  </si>
  <si>
    <t>10426987</t>
  </si>
  <si>
    <t>BOLA DISKO 3CM EMAS 6S HBS6-3A</t>
  </si>
  <si>
    <t>10426984</t>
  </si>
  <si>
    <t>BOLA DISKO 3CM PINK 6S HBS6-3H</t>
  </si>
  <si>
    <t>10426985</t>
  </si>
  <si>
    <t>BOLA DISKO 3CM ROSE GOLD 6S HBS6-3RS</t>
  </si>
  <si>
    <t>10426986</t>
  </si>
  <si>
    <t>BOLA DISKO 3CM SILVER 6S HBS6-3S</t>
  </si>
  <si>
    <t>10426983</t>
  </si>
  <si>
    <t>BOLA DISKO 4CM EMAS 6S HBS6-4A</t>
  </si>
  <si>
    <t>10426982</t>
  </si>
  <si>
    <t>BOLA DISKO 4CM PINK 6S HBS6-4H</t>
  </si>
  <si>
    <t>10426980</t>
  </si>
  <si>
    <t>BOLA DISKO 4CM ROSE GOLD 6S HBS6-4RS</t>
  </si>
  <si>
    <t>10426979</t>
  </si>
  <si>
    <t>BOLA DISKO 4CM SILVER 6S HBS6-4S</t>
  </si>
  <si>
    <t>10426995</t>
  </si>
  <si>
    <t>BOLA DISKO 5CM EMAS 6S HBS6-5A</t>
  </si>
  <si>
    <t>10426996</t>
  </si>
  <si>
    <t>BOLA DISKO 5CM PINK 6S HBS6-5H</t>
  </si>
  <si>
    <t>10426994</t>
  </si>
  <si>
    <t>BOLA DISKO 5CM ROSE GOLD 6S HBS6-5RS</t>
  </si>
  <si>
    <t>10426997</t>
  </si>
  <si>
    <t>BOLA DISKO 5CM SILVER 6S HBS6-5S</t>
  </si>
  <si>
    <t>8997205020013</t>
  </si>
  <si>
    <t>BOLA SALJU TP TERIGU 1KG</t>
  </si>
  <si>
    <t>8995899250310</t>
  </si>
  <si>
    <t>BONCABE BTL LV10 50GR</t>
  </si>
  <si>
    <t>8995899250341</t>
  </si>
  <si>
    <t>BONCABE BTL LV15 45GR</t>
  </si>
  <si>
    <t>8995899250358</t>
  </si>
  <si>
    <t>BONCABE BTL LV30 40GR</t>
  </si>
  <si>
    <t>8995899250112</t>
  </si>
  <si>
    <t>BONCABE LV10 6GR</t>
  </si>
  <si>
    <t>8995899250143</t>
  </si>
  <si>
    <t>BONCABE LV15 7GR</t>
  </si>
  <si>
    <t>8995899250556</t>
  </si>
  <si>
    <t>BONCABE LV30 200GR</t>
  </si>
  <si>
    <t>8995899250150</t>
  </si>
  <si>
    <t>BONCABE LV30 4.5GR</t>
  </si>
  <si>
    <t>8995899250211</t>
  </si>
  <si>
    <t>BONCABE REFILL RASA BWG GORNG LV10 45GR</t>
  </si>
  <si>
    <t>8995899250235</t>
  </si>
  <si>
    <t>BONCABE REFILL RASA EBI KRIUK LV2 35GR</t>
  </si>
  <si>
    <t>8995899250440</t>
  </si>
  <si>
    <t>BONCABE REFILL RASA ORI LV15 40GR</t>
  </si>
  <si>
    <t>8995899203095</t>
  </si>
  <si>
    <t>BONCABE REFILL RASA ORI LV30 35GR</t>
  </si>
  <si>
    <t>8995899250228</t>
  </si>
  <si>
    <t>BONCABE REFILL RASA TERI LV3 35GR</t>
  </si>
  <si>
    <t>10424415</t>
  </si>
  <si>
    <t>BONEKA MG39</t>
  </si>
  <si>
    <t>10424406</t>
  </si>
  <si>
    <t>BONEKA MG47</t>
  </si>
  <si>
    <t>10424401</t>
  </si>
  <si>
    <t>BONEKA MG55</t>
  </si>
  <si>
    <t>10424417</t>
  </si>
  <si>
    <t>BONEKA MG75</t>
  </si>
  <si>
    <t>10300120</t>
  </si>
  <si>
    <t>BONPATIS ROTI BURGER 60GR</t>
  </si>
  <si>
    <t>8410179200835</t>
  </si>
  <si>
    <t>BORGES CLASSIC OLIVE OIL 250ML</t>
  </si>
  <si>
    <t>8410179200828</t>
  </si>
  <si>
    <t>BORGES CLASSIC OLIVE OIL 500ML</t>
  </si>
  <si>
    <t>4902931110185</t>
  </si>
  <si>
    <t>BOTAN MAKAREL 155GR</t>
  </si>
  <si>
    <t>4902931110178</t>
  </si>
  <si>
    <t>BOTAN MAKAREL 425GR</t>
  </si>
  <si>
    <t>8993322101550</t>
  </si>
  <si>
    <t>BOTAN SARDEN 155GR</t>
  </si>
  <si>
    <t>8993322104254</t>
  </si>
  <si>
    <t>BOTAN SARDEN 425GR</t>
  </si>
  <si>
    <t>10530054</t>
  </si>
  <si>
    <t>BOTOL CIMORY PDK</t>
  </si>
  <si>
    <t>10530066</t>
  </si>
  <si>
    <t>BOTOL CIMORY T</t>
  </si>
  <si>
    <t>10530219</t>
  </si>
  <si>
    <t>BOTOL JAR 1000ML+TTP SILVER</t>
  </si>
  <si>
    <t>10530220</t>
  </si>
  <si>
    <t>BOTOL JAR 1300ML+TTP SILVER</t>
  </si>
  <si>
    <t>10530171</t>
  </si>
  <si>
    <t>BOTOL JAR 1500ML</t>
  </si>
  <si>
    <t>10530097</t>
  </si>
  <si>
    <t>BOTOL JAR 150ML</t>
  </si>
  <si>
    <t>10540089</t>
  </si>
  <si>
    <t>BOTOL JAR 200ML</t>
  </si>
  <si>
    <t>10530216</t>
  </si>
  <si>
    <t>BOTOL JAR 200ML+TTP SILVER</t>
  </si>
  <si>
    <t>10530217</t>
  </si>
  <si>
    <t>BOTOL JAR 300ML+TTP SILVER</t>
  </si>
  <si>
    <t>10530099</t>
  </si>
  <si>
    <t>BOTOL JAR 320ML</t>
  </si>
  <si>
    <t>10427150</t>
  </si>
  <si>
    <t>BOTOL JAR 400ML+TTP SILVER</t>
  </si>
  <si>
    <t>10530218</t>
  </si>
  <si>
    <t>BOTOL JAR 600ML+TTP SILVER</t>
  </si>
  <si>
    <t>BOTOL JAR 750ML</t>
  </si>
  <si>
    <t>10427149</t>
  </si>
  <si>
    <t>BOTOL JAR 750ML+TTP ROSE GOLD</t>
  </si>
  <si>
    <t>10530215</t>
  </si>
  <si>
    <t>BOTOL JAR 750ML+TTP SILVER</t>
  </si>
  <si>
    <t>BOTOL JAR 800ML</t>
  </si>
  <si>
    <t>10530100</t>
  </si>
  <si>
    <t>BOTOL JAR BUMBU B 200ML</t>
  </si>
  <si>
    <t>10530101</t>
  </si>
  <si>
    <t>BOTOL JAR BUMBU P 200ML</t>
  </si>
  <si>
    <t>10530191</t>
  </si>
  <si>
    <t>BOTOL JELLY 60ML</t>
  </si>
  <si>
    <t>10423178</t>
  </si>
  <si>
    <t>BOTOL KALE 1000ML</t>
  </si>
  <si>
    <t>BOTOL KALE B 250ML</t>
  </si>
  <si>
    <t>10530131</t>
  </si>
  <si>
    <t>BOTOL KALE B 500 ML</t>
  </si>
  <si>
    <t>8997034200112</t>
  </si>
  <si>
    <t>BOTOL KECAP VITA 300ML</t>
  </si>
  <si>
    <t>8997034200129</t>
  </si>
  <si>
    <t>BOTOL KECAP VITA 400ML</t>
  </si>
  <si>
    <t>10530203</t>
  </si>
  <si>
    <t>BOTOL KICK SQUARE 250ML</t>
  </si>
  <si>
    <t>10530178</t>
  </si>
  <si>
    <t>BOTOL KORMIK 100ML</t>
  </si>
  <si>
    <t>10425203</t>
  </si>
  <si>
    <t>BOTOL KUAS MINYAK PREM TOL0007</t>
  </si>
  <si>
    <t>10425169</t>
  </si>
  <si>
    <t>BOTOL KUAS PREM TOL0019</t>
  </si>
  <si>
    <t>9555047301432</t>
  </si>
  <si>
    <t>BOTOL ROTI JALA 3 LUBANG</t>
  </si>
  <si>
    <t>9555047301630</t>
  </si>
  <si>
    <t>BOTOL ROTI JALA 5 LUBANG</t>
  </si>
  <si>
    <t>10424771</t>
  </si>
  <si>
    <t>BOTOL SAUCE 13OZ JC3803</t>
  </si>
  <si>
    <t>10424772</t>
  </si>
  <si>
    <t>BOTOL SAUCE 18OZ JC3804</t>
  </si>
  <si>
    <t>10424767</t>
  </si>
  <si>
    <t>BOTOL SAUCE 3 LUBANG 18OZ JC3804</t>
  </si>
  <si>
    <t>10424768</t>
  </si>
  <si>
    <t>BOTOL SAUCE 3 LUBANG 24OZ JC3805</t>
  </si>
  <si>
    <t>10424769</t>
  </si>
  <si>
    <t>BOTOL SAUCE 3 LUBANG 36OZ JC3806</t>
  </si>
  <si>
    <t>10424766</t>
  </si>
  <si>
    <t>BOTOL SAUCE 6OZ JC3801</t>
  </si>
  <si>
    <t>10424770</t>
  </si>
  <si>
    <t>BOTOL SAUCE 9OZ JC3802</t>
  </si>
  <si>
    <t>10425046</t>
  </si>
  <si>
    <t>BOTTLE STOPPER BB-0PP 3</t>
  </si>
  <si>
    <t>10427244</t>
  </si>
  <si>
    <t>BOX 7X14X6CM 1685CK MK</t>
  </si>
  <si>
    <t>10427495</t>
  </si>
  <si>
    <t>BOX BROWNIES 20 X 10 X 5</t>
  </si>
  <si>
    <t>8997008781678</t>
  </si>
  <si>
    <t>BOX BROWNIES GRT 15X10</t>
  </si>
  <si>
    <t>8997008781661</t>
  </si>
  <si>
    <t>BOX BROWNIES GRT 22X10</t>
  </si>
  <si>
    <t>8997008781630</t>
  </si>
  <si>
    <t>BOX BROWNIES GRT 30X10</t>
  </si>
  <si>
    <t>10424174</t>
  </si>
  <si>
    <t>BOX BROWNIES L 30 X 10 X 5</t>
  </si>
  <si>
    <t>10424178</t>
  </si>
  <si>
    <t>BOX BROWNIES M 22 X 10 X 5</t>
  </si>
  <si>
    <t>10424133</t>
  </si>
  <si>
    <t>BOX BROWNIES S 15 X 10 X 5</t>
  </si>
  <si>
    <t>10426942</t>
  </si>
  <si>
    <t>BOX CUP CAKE 6LB BKK-2416-75PT</t>
  </si>
  <si>
    <t>10426941</t>
  </si>
  <si>
    <t>BOX CUP CAKE CKLT 12LB BKK-3225-9CK</t>
  </si>
  <si>
    <t>10426939</t>
  </si>
  <si>
    <t>BOX CUP CAKE CKLT 2LB BKK-1609-75CK</t>
  </si>
  <si>
    <t>10426938</t>
  </si>
  <si>
    <t>BOX CUP CAKE CKLT 4LB BKK-1616-75CK</t>
  </si>
  <si>
    <t>10424563</t>
  </si>
  <si>
    <t>BOX CUP CAKE CKLT 6.25X3.75X3 MBL2</t>
  </si>
  <si>
    <t>10424564</t>
  </si>
  <si>
    <t>BOX CUP CAKE CKLT 6.25X6.25X3 MBL4</t>
  </si>
  <si>
    <t>10424565</t>
  </si>
  <si>
    <t>BOX CUP CAKE CKLT 9.25X6.25X3 MBL6</t>
  </si>
  <si>
    <t>10424571</t>
  </si>
  <si>
    <t>BOX CUP CAKE PET 6.25X3.8X3 MB2</t>
  </si>
  <si>
    <t>10424572</t>
  </si>
  <si>
    <t>BOX CUP CAKE PET 6.25X6.25X4.7 MB4</t>
  </si>
  <si>
    <t>10426940</t>
  </si>
  <si>
    <t>BOX CUP CAKE PTH 12LB BKK-3225-9PT</t>
  </si>
  <si>
    <t>10424560</t>
  </si>
  <si>
    <t>BOX CUP CAKE PTH 6.25X3.75X3 MBL2</t>
  </si>
  <si>
    <t>10424561</t>
  </si>
  <si>
    <t>BOX CUP CAKE PTH 6.25X6.25X3 MBL4</t>
  </si>
  <si>
    <t>10424562</t>
  </si>
  <si>
    <t>BOX CUP CAKE PTH 9.25X6.25X3 MBL6</t>
  </si>
  <si>
    <t>10422706</t>
  </si>
  <si>
    <t>BOX DONAT ISI 12 36.5X27.5X5.5CM</t>
  </si>
  <si>
    <t>10422705</t>
  </si>
  <si>
    <t>BOX DONAT ISI 6 27X18.5X5CM</t>
  </si>
  <si>
    <t>10424134</t>
  </si>
  <si>
    <t>BOX DONAT L 27 X 18.5 X 5</t>
  </si>
  <si>
    <t>10425733</t>
  </si>
  <si>
    <t>BOX DONAT WDN3003 27X9X5</t>
  </si>
  <si>
    <t>10424804</t>
  </si>
  <si>
    <t>BOX DONAT WDN6001 27X18,5X5,5</t>
  </si>
  <si>
    <t>10424262</t>
  </si>
  <si>
    <t>BOX DONAT WDN6002 27X18,5X5,5</t>
  </si>
  <si>
    <t>10427454</t>
  </si>
  <si>
    <t>BOX DONUT FRESHLY ISI 6 KRAFT</t>
  </si>
  <si>
    <t>WD12TL002</t>
  </si>
  <si>
    <t>BOX DONUT WDN12002 36X27X5</t>
  </si>
  <si>
    <t>16835</t>
  </si>
  <si>
    <t>BOX EGG TART MOTIF A 14X14X5CM</t>
  </si>
  <si>
    <t>8997008780282</t>
  </si>
  <si>
    <t>BOX GRETEL EXCLUSIVE 18X18</t>
  </si>
  <si>
    <t>10425825</t>
  </si>
  <si>
    <t>BOX GS 12X12 BATIK SP HJ</t>
  </si>
  <si>
    <t>10425828</t>
  </si>
  <si>
    <t>BOX GS 12X12 BATIK SP MERAH</t>
  </si>
  <si>
    <t>8997008780923</t>
  </si>
  <si>
    <t>BOX GS 12X12 CAESAR</t>
  </si>
  <si>
    <t>8997008781029</t>
  </si>
  <si>
    <t>BOX GS 12X12 DRACO</t>
  </si>
  <si>
    <t>8997008780527</t>
  </si>
  <si>
    <t>BOX GS 12X12 GRETEL</t>
  </si>
  <si>
    <t>8997008782255</t>
  </si>
  <si>
    <t>BOX GS 12X12 GRETEL BROWN</t>
  </si>
  <si>
    <t>10425823</t>
  </si>
  <si>
    <t>BOX GS 12X12 LC GOLD 310GR</t>
  </si>
  <si>
    <t>10422371</t>
  </si>
  <si>
    <t>BOX GS 12X12 MANTAP RASSANYA</t>
  </si>
  <si>
    <t>8993101212118</t>
  </si>
  <si>
    <t>BOX GS 12X12 MOTIF SP CKLT</t>
  </si>
  <si>
    <t>10426915</t>
  </si>
  <si>
    <t>BOX GS 12X12 MOTIF SP CKLT DC230</t>
  </si>
  <si>
    <t>10425738</t>
  </si>
  <si>
    <t>BOX GS 12X12 MOTIF SP CKLT DC250</t>
  </si>
  <si>
    <t>8993101212125</t>
  </si>
  <si>
    <t>BOX GS 12X12 MOTIF SP HJ</t>
  </si>
  <si>
    <t>10426912</t>
  </si>
  <si>
    <t>BOX GS 12X12 MOTIF SP HJ DC230</t>
  </si>
  <si>
    <t>10425737</t>
  </si>
  <si>
    <t>BOX GS 12X12 MOTIF SP HJ DC250</t>
  </si>
  <si>
    <t>8997008781808</t>
  </si>
  <si>
    <t>BOX GS 12X12 POLOS</t>
  </si>
  <si>
    <t>8997008780435</t>
  </si>
  <si>
    <t>BOX GS 12X12 SM</t>
  </si>
  <si>
    <t>10427325</t>
  </si>
  <si>
    <t>BOX GS 12X12 SP CKLT SM</t>
  </si>
  <si>
    <t>10424747</t>
  </si>
  <si>
    <t>BOX GS 12X12X7 KRAFT</t>
  </si>
  <si>
    <t>8997889789121</t>
  </si>
  <si>
    <t>BOX GS 12X14 MANTAP RASANYA</t>
  </si>
  <si>
    <t>KR-U214070</t>
  </si>
  <si>
    <t>BOX GS 12X14 MTF VINTAGE HJ</t>
  </si>
  <si>
    <t>KR-U214071</t>
  </si>
  <si>
    <t>BOX GS 12X14 MTF VINTAGE HTM</t>
  </si>
  <si>
    <t>8997008782248</t>
  </si>
  <si>
    <t>BOX GS 12X16 GRETEL BROWN</t>
  </si>
  <si>
    <t>10424782</t>
  </si>
  <si>
    <t>BOX GS 12X16 POLOS</t>
  </si>
  <si>
    <t>8997008780503</t>
  </si>
  <si>
    <t>BOX GS 13,5X21 SM</t>
  </si>
  <si>
    <t>8997008780398</t>
  </si>
  <si>
    <t>BOX GS 13,5X21 SM MARTABAK</t>
  </si>
  <si>
    <t>10425826</t>
  </si>
  <si>
    <t>BOX GS 14X12 BATIK SP HJ</t>
  </si>
  <si>
    <t>10425827</t>
  </si>
  <si>
    <t>BOX GS 14X12 BATIK SP MERAH</t>
  </si>
  <si>
    <t>8997008780930</t>
  </si>
  <si>
    <t>BOX GS 14X12 CAESAR</t>
  </si>
  <si>
    <t>8997008781036</t>
  </si>
  <si>
    <t>BOX GS 14X12 DRACO</t>
  </si>
  <si>
    <t>8997008780541</t>
  </si>
  <si>
    <t>BOX GS 14X12 GRETEL</t>
  </si>
  <si>
    <t>10426790</t>
  </si>
  <si>
    <t>BOX GS 14X12 JASMINE BLUE</t>
  </si>
  <si>
    <t>10425824</t>
  </si>
  <si>
    <t>BOX GS 14X12 LC GOLD 310GR</t>
  </si>
  <si>
    <t>8990108553558</t>
  </si>
  <si>
    <t>BOX GS 14X12 MOTIF SP CKLT</t>
  </si>
  <si>
    <t>10426914</t>
  </si>
  <si>
    <t>BOX GS 14X12 MOTIF SP CKLT DC230</t>
  </si>
  <si>
    <t>10425808</t>
  </si>
  <si>
    <t>BOX GS 14X12 MOTIF SP CKLT DC250</t>
  </si>
  <si>
    <t>8990108553619</t>
  </si>
  <si>
    <t>BOX GS 14X12 MOTIF SP HJ</t>
  </si>
  <si>
    <t>10426913</t>
  </si>
  <si>
    <t>BOX GS 14X12 MOTIF SP HJ DC230</t>
  </si>
  <si>
    <t>10425807</t>
  </si>
  <si>
    <t>10420045</t>
  </si>
  <si>
    <t>BOX GS 14X12 POLOS</t>
  </si>
  <si>
    <t>8997008780442</t>
  </si>
  <si>
    <t>BOX GS 14X12 SM</t>
  </si>
  <si>
    <t>8997008780558</t>
  </si>
  <si>
    <t>BOX GS 15X15 GRETEL</t>
  </si>
  <si>
    <t>8997008780459</t>
  </si>
  <si>
    <t>BOX GS 15X15 SM</t>
  </si>
  <si>
    <t>8997008780565</t>
  </si>
  <si>
    <t>BOX GS 16X12 GRETEL</t>
  </si>
  <si>
    <t>8997008780466</t>
  </si>
  <si>
    <t>BOX GS 16X12 SM</t>
  </si>
  <si>
    <t>8997008780572</t>
  </si>
  <si>
    <t>BOX GS 18X18 GRETEL</t>
  </si>
  <si>
    <t>10425607</t>
  </si>
  <si>
    <t>BOX GS 18X18 BATIK SP MERAH</t>
  </si>
  <si>
    <t>10427003</t>
  </si>
  <si>
    <t>BOX GS 18X18 BILIK BAMBU</t>
  </si>
  <si>
    <t>10427521</t>
  </si>
  <si>
    <t>BOX GS 18X18 HJ KETUPAT</t>
  </si>
  <si>
    <t>10427280</t>
  </si>
  <si>
    <t>BOX GS 18X18 KRAFT MOTIF HIJAU</t>
  </si>
  <si>
    <t>10427279</t>
  </si>
  <si>
    <t>BOX GS 18X18 KRAFT MOTIF MERAH</t>
  </si>
  <si>
    <t>10427281</t>
  </si>
  <si>
    <t>BOX GS 18X18 KRAFT MOTIF PUTIH</t>
  </si>
  <si>
    <t>BOX GS 18X18 POLOS</t>
  </si>
  <si>
    <t>8997008780480</t>
  </si>
  <si>
    <t>BOX GS 18X18 SM</t>
  </si>
  <si>
    <t>10427333</t>
  </si>
  <si>
    <t>BOX GS 18X18X7,5 KRAFT</t>
  </si>
  <si>
    <t>10427116</t>
  </si>
  <si>
    <t>BOX GS 20X20 BILIK BAMBU</t>
  </si>
  <si>
    <t>8997008780589</t>
  </si>
  <si>
    <t>BOX GS 20X20 GRETEL</t>
  </si>
  <si>
    <t>10427004</t>
  </si>
  <si>
    <t>BOX GS 20X20 JASMINE BLUE</t>
  </si>
  <si>
    <t>8997008780497</t>
  </si>
  <si>
    <t>BOX GS 20X20 SM</t>
  </si>
  <si>
    <t>8997008781616</t>
  </si>
  <si>
    <t>BOX GS 20X20 SM PIZZA</t>
  </si>
  <si>
    <t>8997008781463</t>
  </si>
  <si>
    <t>BOX GS 22X22 SM PIZZA</t>
  </si>
  <si>
    <t>8997008780602</t>
  </si>
  <si>
    <t>BOX GS 25X25 GRETEL</t>
  </si>
  <si>
    <t>8997008781449</t>
  </si>
  <si>
    <t>BOX GS 25X25 SM PIZZA</t>
  </si>
  <si>
    <t>8997008780626</t>
  </si>
  <si>
    <t>BOX GS 30X30 GRETEL</t>
  </si>
  <si>
    <t>10424699</t>
  </si>
  <si>
    <t>BOX GS CKLT 18X18X7,5CM</t>
  </si>
  <si>
    <t>10425870</t>
  </si>
  <si>
    <t>BOX GS PIZZA 20X20X4.5</t>
  </si>
  <si>
    <t>10425871</t>
  </si>
  <si>
    <t>BOX GS PIZZA 22X22X4.5</t>
  </si>
  <si>
    <t>8990108763285</t>
  </si>
  <si>
    <t>BOX GS R8-350 MOTIF</t>
  </si>
  <si>
    <t>8997008782026</t>
  </si>
  <si>
    <t>BOX GS SM DONAT 27,5X9,5</t>
  </si>
  <si>
    <t>8997008781845</t>
  </si>
  <si>
    <t>BOX GS SM DONAT 27X18,5</t>
  </si>
  <si>
    <t>8997008782002</t>
  </si>
  <si>
    <t>BOX GS SM DONAT 27X37</t>
  </si>
  <si>
    <t>10424700</t>
  </si>
  <si>
    <t>BOX HAMPERS 1 BOTOL</t>
  </si>
  <si>
    <t>1003006607301508</t>
  </si>
  <si>
    <t>BOX HAMPERS IDUL FITRI 29,5X15X7,5CM</t>
  </si>
  <si>
    <t>10424719</t>
  </si>
  <si>
    <t>BOX HAMPERS LEBARAN 28,7X14,5X14CM</t>
  </si>
  <si>
    <t>10425407</t>
  </si>
  <si>
    <t>BOX HAMPERS LEBARAN 37X24,5X10,5CM</t>
  </si>
  <si>
    <t>10424748</t>
  </si>
  <si>
    <t>BOX HAMPERS TOPLES</t>
  </si>
  <si>
    <t>10426727</t>
  </si>
  <si>
    <t>BOX HAPPY EID MUBARAK 22.5X22.5CM</t>
  </si>
  <si>
    <t>1003001707190913</t>
  </si>
  <si>
    <t>BOX IDUL FITRI 18,5X9,2X13,2CM</t>
  </si>
  <si>
    <t>1003006301222216</t>
  </si>
  <si>
    <t>BOX IDUL FITRI 22X22X16CM</t>
  </si>
  <si>
    <t>1003006301252518</t>
  </si>
  <si>
    <t>BOX IDUL FITRI 25X25X17,5CM</t>
  </si>
  <si>
    <t>1003006107311212</t>
  </si>
  <si>
    <t>BOX KAMPOENG RAYA 31X12X12CM</t>
  </si>
  <si>
    <t>10425761</t>
  </si>
  <si>
    <t>BOX KERTAS SANDWICH MTF 13X7X7CM</t>
  </si>
  <si>
    <t>10426952</t>
  </si>
  <si>
    <t>BOX KUE BK-1313-10F</t>
  </si>
  <si>
    <t>10426956</t>
  </si>
  <si>
    <t>BOX KUE BK-1313-10G</t>
  </si>
  <si>
    <t>10426955</t>
  </si>
  <si>
    <t>BOX KUE BK-1313-10H</t>
  </si>
  <si>
    <t>10426960</t>
  </si>
  <si>
    <t>BOX KUE BK-1515-12C</t>
  </si>
  <si>
    <t>10426959</t>
  </si>
  <si>
    <t>BOX KUE BK-1515-12C2</t>
  </si>
  <si>
    <t>10426944</t>
  </si>
  <si>
    <t>BOX KUE BK-1515-12H</t>
  </si>
  <si>
    <t>10426954</t>
  </si>
  <si>
    <t>BOX KUE BK-1515-12H3</t>
  </si>
  <si>
    <t>10426951</t>
  </si>
  <si>
    <t>BOX KUE BK-1515-12KC1</t>
  </si>
  <si>
    <t>10426958</t>
  </si>
  <si>
    <t>BOX KUE BK-1515-12PT</t>
  </si>
  <si>
    <t>10426949</t>
  </si>
  <si>
    <t>BOX KUE BK-1616-125PT</t>
  </si>
  <si>
    <t>10426945</t>
  </si>
  <si>
    <t>BOX KUE BK-1616-125PT4</t>
  </si>
  <si>
    <t>10426947</t>
  </si>
  <si>
    <t>BOX KUE BK-1616-15C</t>
  </si>
  <si>
    <t>10426946</t>
  </si>
  <si>
    <t>BOX KUE BK-1616-15D</t>
  </si>
  <si>
    <t>10426943</t>
  </si>
  <si>
    <t>BOX KUE BK-1616-15D2</t>
  </si>
  <si>
    <t>10426957</t>
  </si>
  <si>
    <t>BOX KUE BK-1616-15G</t>
  </si>
  <si>
    <t>10426948</t>
  </si>
  <si>
    <t>BOX KUE BK-1616-15H</t>
  </si>
  <si>
    <t>10426953</t>
  </si>
  <si>
    <t>BOX KUE BK-1616-95PT</t>
  </si>
  <si>
    <t>10426961</t>
  </si>
  <si>
    <t>BOX KUE BK-2020-15C</t>
  </si>
  <si>
    <t>10426962</t>
  </si>
  <si>
    <t>BOX KUE BK-2020-15C2</t>
  </si>
  <si>
    <t>10426966</t>
  </si>
  <si>
    <t>BOX KUE BK-2020-15C3</t>
  </si>
  <si>
    <t>10426963</t>
  </si>
  <si>
    <t>BOX KUE BK-2020-15CK</t>
  </si>
  <si>
    <t>10426965</t>
  </si>
  <si>
    <t>BOX KUE BK-2020-15D</t>
  </si>
  <si>
    <t>10426964</t>
  </si>
  <si>
    <t>BOX KUE BK-2020-15PT</t>
  </si>
  <si>
    <t>10426950</t>
  </si>
  <si>
    <t>BOX KUE BKP-1616-15M</t>
  </si>
  <si>
    <t>10426931</t>
  </si>
  <si>
    <t>BOX KUE PETAK BKP-1616-12C</t>
  </si>
  <si>
    <t>10426934</t>
  </si>
  <si>
    <t>BOX KUE PETAK BKP-1616-12F</t>
  </si>
  <si>
    <t>10426935</t>
  </si>
  <si>
    <t>BOX KUE PETAK BKP-1616-12I</t>
  </si>
  <si>
    <t>10426936</t>
  </si>
  <si>
    <t>BOX KUE PETAK BKP-1616-12K</t>
  </si>
  <si>
    <t>10426932</t>
  </si>
  <si>
    <t>BOX KUE PETAK BKP-1616-12NH</t>
  </si>
  <si>
    <t>10426933</t>
  </si>
  <si>
    <t>BOX KUE PETAK BKP-1616-15A2</t>
  </si>
  <si>
    <t>10426937</t>
  </si>
  <si>
    <t>BOX KUE PETAK BKP-1616-15B</t>
  </si>
  <si>
    <t>10424733</t>
  </si>
  <si>
    <t>BOX KYLIE ASTER 25X25X13CM</t>
  </si>
  <si>
    <t>170901</t>
  </si>
  <si>
    <t>BOX KYLIE ASTER 25X25X18CM</t>
  </si>
  <si>
    <t>170926</t>
  </si>
  <si>
    <t>BOX KYLIE AZALEA -2 12,5X12,5X18CM</t>
  </si>
  <si>
    <t>10424736</t>
  </si>
  <si>
    <t>BOX KYLIE CHANDRIKA 24 12X25X7CM</t>
  </si>
  <si>
    <t>10424734</t>
  </si>
  <si>
    <t>BOX KYLIE CHANDRIKA 25 12X25X7CM</t>
  </si>
  <si>
    <t>170943</t>
  </si>
  <si>
    <t>BOX KYLIE KARAMEL 26X14X5CM</t>
  </si>
  <si>
    <t>170898</t>
  </si>
  <si>
    <t>BOX KYLIE KAREEM 15X8,5X23CM</t>
  </si>
  <si>
    <t>10424735</t>
  </si>
  <si>
    <t>BOX KYLIE OLIVE 26X11X8,5CM</t>
  </si>
  <si>
    <t>170947</t>
  </si>
  <si>
    <t>BOX KYLIE SUNWAY 25X8X8CM</t>
  </si>
  <si>
    <t>10424717</t>
  </si>
  <si>
    <t>BOX LEBARAN 22X22X10,5CM</t>
  </si>
  <si>
    <t>10424718</t>
  </si>
  <si>
    <t>BOX LEBARAN 3 BOTOL(JAR 750ML)</t>
  </si>
  <si>
    <t>10425889</t>
  </si>
  <si>
    <t>BOX LUX BOLU 25X8.5X9 GRT</t>
  </si>
  <si>
    <t>10425890</t>
  </si>
  <si>
    <t>BOX LUX BROWNIES 15X10X5 GRT</t>
  </si>
  <si>
    <t>10420107</t>
  </si>
  <si>
    <t>BOX MAKNYOS 12X12</t>
  </si>
  <si>
    <t>10420042</t>
  </si>
  <si>
    <t>BOX MAKNYOS 18X18</t>
  </si>
  <si>
    <t>10424180</t>
  </si>
  <si>
    <t>BOX MIKA TTP KACA 18 X 18 X 7</t>
  </si>
  <si>
    <t>10424179</t>
  </si>
  <si>
    <t>BOX MIKA TTP KACA 20 X 20 X 7</t>
  </si>
  <si>
    <t>10427405</t>
  </si>
  <si>
    <t>BOX MIKA TTP KACA 22 X 22 X 12</t>
  </si>
  <si>
    <t>10424396</t>
  </si>
  <si>
    <t>BOX MIKA TTP KACA 22 X 22 X 7.5</t>
  </si>
  <si>
    <t>10425770</t>
  </si>
  <si>
    <t>BOX MIKA+GARPU LARGE12X12CM 50S</t>
  </si>
  <si>
    <t>10427512</t>
  </si>
  <si>
    <t>BOX NICOLE 20 AQUAMARINE</t>
  </si>
  <si>
    <t>1003000301202012</t>
  </si>
  <si>
    <t>BOX NICOLE 20 BROWN SUGAR</t>
  </si>
  <si>
    <t>10422325</t>
  </si>
  <si>
    <t>BOX NICOLE 22 AQUAMARINE</t>
  </si>
  <si>
    <t>10422327</t>
  </si>
  <si>
    <t>BOX NICOLE 22 BRIDGE MARIGOLD</t>
  </si>
  <si>
    <t>10422996</t>
  </si>
  <si>
    <t>BOX NICOLE 22 BROWN SUGAR</t>
  </si>
  <si>
    <t>10422801</t>
  </si>
  <si>
    <t>BOX NICOLE 22 CHERRY BLOSSOM</t>
  </si>
  <si>
    <t>1003000501222213</t>
  </si>
  <si>
    <t>BOX NICOLE 22 GINKGO LEAVES</t>
  </si>
  <si>
    <t>1003000801222213</t>
  </si>
  <si>
    <t>BOX NICOLE 22 LE PETIT CAFE</t>
  </si>
  <si>
    <t>1003000701222213</t>
  </si>
  <si>
    <t>BOX NICOLE 22 MARBLE LATTE</t>
  </si>
  <si>
    <t>10422804</t>
  </si>
  <si>
    <t>BOX NICOLE 22 RIBBON HAPPY PEACH</t>
  </si>
  <si>
    <t>10422803</t>
  </si>
  <si>
    <t>BOX NICOLE 22 RIBBON HAPPY TOSCA</t>
  </si>
  <si>
    <t>10423645</t>
  </si>
  <si>
    <t>BOX NICOLE 24X11X7 BROWN</t>
  </si>
  <si>
    <t>10423646</t>
  </si>
  <si>
    <t>BOX NICOLE 24X11X7 SWEET CAKE</t>
  </si>
  <si>
    <t>10422326</t>
  </si>
  <si>
    <t>BOX NICOLE 25 AQUAMARINE</t>
  </si>
  <si>
    <t>10422328</t>
  </si>
  <si>
    <t>BOX NICOLE 25 BRIDGE MARIGOLD</t>
  </si>
  <si>
    <t>10422997</t>
  </si>
  <si>
    <t>BOX NICOLE 25 BROWN SUGAR</t>
  </si>
  <si>
    <t>10422802</t>
  </si>
  <si>
    <t>BOX NICOLE 25 CHERRY BLOSSOM</t>
  </si>
  <si>
    <t>1003000501252518</t>
  </si>
  <si>
    <t>BOX NICOLE 25 GINKGO LEAVES</t>
  </si>
  <si>
    <t>10425220</t>
  </si>
  <si>
    <t>1003000601252518</t>
  </si>
  <si>
    <t>BOX NICOLE 25 LE PETIT CAFE</t>
  </si>
  <si>
    <t>1003000701252518</t>
  </si>
  <si>
    <t>BOX NICOLE 25 MARBLE LATTE</t>
  </si>
  <si>
    <t>10420275</t>
  </si>
  <si>
    <t>BOX NICOLE 25 PURPLE</t>
  </si>
  <si>
    <t>10423094</t>
  </si>
  <si>
    <t>BOX NICOLE 25 RIBBON HAPPY PEACH</t>
  </si>
  <si>
    <t>10422726</t>
  </si>
  <si>
    <t>BOX NICOLE 25 RIBBON TOSCA</t>
  </si>
  <si>
    <t>10422224</t>
  </si>
  <si>
    <t>BOX NICOLE 30 RIBBON BLUE ROMANTIC</t>
  </si>
  <si>
    <t>10422223</t>
  </si>
  <si>
    <t>BOX NICOLE 30 RIBBON HAPPY PEACH</t>
  </si>
  <si>
    <t>10422725</t>
  </si>
  <si>
    <t>BOX NICOLE 30 RIBON TOSCA</t>
  </si>
  <si>
    <t>10424127</t>
  </si>
  <si>
    <t>BOX PIZZA 15 X 15 X5</t>
  </si>
  <si>
    <t>10424130</t>
  </si>
  <si>
    <t>BOX PIZZA 18 X 18 X 8</t>
  </si>
  <si>
    <t>10424132</t>
  </si>
  <si>
    <t>BOX PIZZA 20 X 20 X 8</t>
  </si>
  <si>
    <t>10423918</t>
  </si>
  <si>
    <t>BOX PIZZA 20 X 20 X5</t>
  </si>
  <si>
    <t>10423917</t>
  </si>
  <si>
    <t>BOX PIZZA 22 X 22 X5</t>
  </si>
  <si>
    <t>10424126</t>
  </si>
  <si>
    <t>BOX PIZZA 22 X 22X 8</t>
  </si>
  <si>
    <t>10424173</t>
  </si>
  <si>
    <t>BOX PIZZA 25 X 17 X 5</t>
  </si>
  <si>
    <t>10424129</t>
  </si>
  <si>
    <t>BOX PIZZA 25 X 20 X 5</t>
  </si>
  <si>
    <t>10423916</t>
  </si>
  <si>
    <t>BOX PIZZA 25 X 25 X 5</t>
  </si>
  <si>
    <t>10424128</t>
  </si>
  <si>
    <t>BOX PIZZA 25 X 25 X 8</t>
  </si>
  <si>
    <t>10424131</t>
  </si>
  <si>
    <t>BOX PIZZA 25X10X10</t>
  </si>
  <si>
    <t>10423915</t>
  </si>
  <si>
    <t>BOX PIZZA 30 X 30 X5</t>
  </si>
  <si>
    <t>10424135</t>
  </si>
  <si>
    <t>BOX PIZZA KACA EMAS 20 X 20 X 5</t>
  </si>
  <si>
    <t>10424136</t>
  </si>
  <si>
    <t>BOX PIZZA KACA EMAS 22 X 22 X 5</t>
  </si>
  <si>
    <t>10427494</t>
  </si>
  <si>
    <t>BOX PIZZA KACA EMAS 22 X 22 X 8</t>
  </si>
  <si>
    <t>10426760</t>
  </si>
  <si>
    <t>BOX PIZZA MIKA 20X20X5</t>
  </si>
  <si>
    <t>10426759</t>
  </si>
  <si>
    <t>BOX PIZZA MIKA 22X22X5</t>
  </si>
  <si>
    <t>10422704</t>
  </si>
  <si>
    <t>BOX PIZZA NICOLE 25X25</t>
  </si>
  <si>
    <t>10424137</t>
  </si>
  <si>
    <t>BOX ROTI BAKAR 22 X 10 X 10</t>
  </si>
  <si>
    <t>8997008781869</t>
  </si>
  <si>
    <t>BOX SM PIZZA MTB 20X20</t>
  </si>
  <si>
    <t>8997008781852</t>
  </si>
  <si>
    <t>BOX SM PIZZA MTB 22X22</t>
  </si>
  <si>
    <t>8997008781838</t>
  </si>
  <si>
    <t>BOX SM PIZZA MTB 25X25</t>
  </si>
  <si>
    <t>10427115</t>
  </si>
  <si>
    <t>BOX STARBOX 12X16</t>
  </si>
  <si>
    <t>8997008781982</t>
  </si>
  <si>
    <t>BOX TAB PLUS AYAM GEPREK M</t>
  </si>
  <si>
    <t>10420215</t>
  </si>
  <si>
    <t>BOX THINWALL 650ML 50S</t>
  </si>
  <si>
    <t>10420216</t>
  </si>
  <si>
    <t>BOX THINWALL 750ML</t>
  </si>
  <si>
    <t>10427455</t>
  </si>
  <si>
    <t>BOX TOAST TUTUP 13X10X5</t>
  </si>
  <si>
    <t>169512</t>
  </si>
  <si>
    <t>BOX TP3 PADINI A</t>
  </si>
  <si>
    <t>170360</t>
  </si>
  <si>
    <t>BOX TP3 RAYA-1 14X14X19.5CM</t>
  </si>
  <si>
    <t>170361</t>
  </si>
  <si>
    <t>BOX TP3 RAYA-2 14X14X19.5CM</t>
  </si>
  <si>
    <t>8997008781111</t>
  </si>
  <si>
    <t>BOX TPS 18X18 DRACO</t>
  </si>
  <si>
    <t>8997008780718</t>
  </si>
  <si>
    <t>BOX TPS 18X18 GRETEL</t>
  </si>
  <si>
    <t>10423169</t>
  </si>
  <si>
    <t>BOX TPS 18X18 KACA EMAS</t>
  </si>
  <si>
    <t>10425557</t>
  </si>
  <si>
    <t>BOX TPS 18X18 POLOS</t>
  </si>
  <si>
    <t>8997008780701</t>
  </si>
  <si>
    <t>BOX TPS 20X20 GRETEL</t>
  </si>
  <si>
    <t>10423170</t>
  </si>
  <si>
    <t>BOX TPS 20X20 KACA EMAS</t>
  </si>
  <si>
    <t>8997008780695</t>
  </si>
  <si>
    <t>BOX TPS 22X22 GRETEL</t>
  </si>
  <si>
    <t>10423171</t>
  </si>
  <si>
    <t>BOX TPS 22X22 KACA EMAS</t>
  </si>
  <si>
    <t>8997008781012</t>
  </si>
  <si>
    <t>BOX TPS 25X25 CAESAR</t>
  </si>
  <si>
    <t>BOX TPS 25X25 GRETEL</t>
  </si>
  <si>
    <t>10423355</t>
  </si>
  <si>
    <t>BOX TPS 25X25 KACA EMAS</t>
  </si>
  <si>
    <t>8997008780671</t>
  </si>
  <si>
    <t>BOX TPS 30X30 GRETEL</t>
  </si>
  <si>
    <t>8997008780664</t>
  </si>
  <si>
    <t>BOX TPS 35X35 GRETEL</t>
  </si>
  <si>
    <t>8997008781142</t>
  </si>
  <si>
    <t>BOX TPS LUX CAESAR 18X18</t>
  </si>
  <si>
    <t>8997008781159</t>
  </si>
  <si>
    <t>BOX TPS LUX CAESAR 20X20</t>
  </si>
  <si>
    <t>8997008781166</t>
  </si>
  <si>
    <t>BOX TPS LUX CAESAR 22X22</t>
  </si>
  <si>
    <t>8997008781173</t>
  </si>
  <si>
    <t>BOX TPS LUX CAESAR 24X24</t>
  </si>
  <si>
    <t>8997008781180</t>
  </si>
  <si>
    <t>BOX TPS LUX CAESAR 25X25</t>
  </si>
  <si>
    <t>8997008781197</t>
  </si>
  <si>
    <t>BOX TPS LUX CAESAR 26X26</t>
  </si>
  <si>
    <t>8997008781203</t>
  </si>
  <si>
    <t>BOX TPS LUX CAESAR 28X28</t>
  </si>
  <si>
    <t>8997008781210</t>
  </si>
  <si>
    <t>BOX TPS LUX CAESAR 30X30</t>
  </si>
  <si>
    <t>8997008780176</t>
  </si>
  <si>
    <t>BOX TPS LUX GRT 18X18</t>
  </si>
  <si>
    <t>8997008780183</t>
  </si>
  <si>
    <t>BOX TPS LUX GRT 20X20</t>
  </si>
  <si>
    <t>8997008780190</t>
  </si>
  <si>
    <t>BOX TPS LUX GRT 22X22</t>
  </si>
  <si>
    <t>8997008780206</t>
  </si>
  <si>
    <t>BOX TPS LUX GRT 24X24</t>
  </si>
  <si>
    <t>8997008780213</t>
  </si>
  <si>
    <t>BOX TPS LUX GRT 25X25</t>
  </si>
  <si>
    <t>8997008781654</t>
  </si>
  <si>
    <t>BOX TPS LUX GRT 25X8.5X9</t>
  </si>
  <si>
    <t>8997008780220</t>
  </si>
  <si>
    <t>BOX TPS LUX GRT 26X26</t>
  </si>
  <si>
    <t>8997008780237</t>
  </si>
  <si>
    <t>BOX TPS LUX GRT 28X28</t>
  </si>
  <si>
    <t>8997008780244</t>
  </si>
  <si>
    <t>BOX TPS LUX GRT 30X30</t>
  </si>
  <si>
    <t>8997008781647</t>
  </si>
  <si>
    <t>BOX TPS LUX GRT 30X8,5X9</t>
  </si>
  <si>
    <t>8997008781623</t>
  </si>
  <si>
    <t>BOX TPS LUX GRT 32X8,5X9</t>
  </si>
  <si>
    <t>8997008780251</t>
  </si>
  <si>
    <t>BOX TPS LUX GRT 35X35</t>
  </si>
  <si>
    <t>8997008780268</t>
  </si>
  <si>
    <t>BOX TPS LUX GRT 40X40</t>
  </si>
  <si>
    <t>074305001161</t>
  </si>
  <si>
    <t>BRAGG ORGANIX APPLE VINEGAR 473ML</t>
  </si>
  <si>
    <t>10412035</t>
  </si>
  <si>
    <t>BREAD-O BREAD FAT 1/2KG</t>
  </si>
  <si>
    <t>8992824265647</t>
  </si>
  <si>
    <t>BREAD-O BREAD FAT 15KG</t>
  </si>
  <si>
    <t>10412036</t>
  </si>
  <si>
    <t>BREAD-O BREAD FAT 1KG</t>
  </si>
  <si>
    <t>10411824</t>
  </si>
  <si>
    <t>BREADFLOUR IMPROVER 250GR</t>
  </si>
  <si>
    <t>10411829</t>
  </si>
  <si>
    <t>BREADFLOUR IMPROVER 500GR</t>
  </si>
  <si>
    <t>10422079</t>
  </si>
  <si>
    <t>BRILIANT EGG YELLOW 1KG</t>
  </si>
  <si>
    <t>10420701</t>
  </si>
  <si>
    <t>BRILIANT LEMON YELLOW 1KG</t>
  </si>
  <si>
    <t>8997237643341</t>
  </si>
  <si>
    <t>BRO BUBBLE AVOCADO COFFE 1KG</t>
  </si>
  <si>
    <t>8997237643327</t>
  </si>
  <si>
    <t>BRO BUBBLE BUBBLEGUM 1KG</t>
  </si>
  <si>
    <t>8997237643310</t>
  </si>
  <si>
    <t>BRO BUBBLE CHOCO CARAMEL 1KG</t>
  </si>
  <si>
    <t>8997237642795</t>
  </si>
  <si>
    <t>BRO BUBBLE COCO COOKIES&amp;CREAM 1KG</t>
  </si>
  <si>
    <t>8997237642801</t>
  </si>
  <si>
    <t>BRO BUBBLE COCO HAZELNUT 1KG</t>
  </si>
  <si>
    <t>8997237643334</t>
  </si>
  <si>
    <t>BRO BUBBLE COFFECARAMEL 1KG</t>
  </si>
  <si>
    <t>8997237641132</t>
  </si>
  <si>
    <t>BRO BUBBLE COKLAT ORI 1KG</t>
  </si>
  <si>
    <t>8997237641101</t>
  </si>
  <si>
    <t>BRO BUBBLE GREENTEA LATTE 1KG</t>
  </si>
  <si>
    <t>10411226</t>
  </si>
  <si>
    <t>BRO BUBBLE MOCACHINO 1KG</t>
  </si>
  <si>
    <t>BRO BUBBLE RED VELVET 1KG</t>
  </si>
  <si>
    <t>8997237642788</t>
  </si>
  <si>
    <t>BRO BUBBLE THAITEA 1KG</t>
  </si>
  <si>
    <t>8997237643235</t>
  </si>
  <si>
    <t>BRO BUBBLE TIRAIMISU 1KG</t>
  </si>
  <si>
    <t>8997237641187</t>
  </si>
  <si>
    <t>BRO BUBBLE VANILLA LATE 1KG</t>
  </si>
  <si>
    <t>BUBBLE COKLAT 1KG</t>
  </si>
  <si>
    <t>10427122</t>
  </si>
  <si>
    <t>BUBBLE WRAP HTM 40CM</t>
  </si>
  <si>
    <t>10300096</t>
  </si>
  <si>
    <t>BUBUK CABE 100 GR</t>
  </si>
  <si>
    <t>BUBUK CABE 500GR</t>
  </si>
  <si>
    <t>10100425</t>
  </si>
  <si>
    <t>BUBUK KUNYIT 100GR</t>
  </si>
  <si>
    <t>10420487</t>
  </si>
  <si>
    <t>BUBUK KUNYIT 50GR</t>
  </si>
  <si>
    <t>8997025590093</t>
  </si>
  <si>
    <t>BUBUK KUNYIT JEMPOL 500GR</t>
  </si>
  <si>
    <t>10425865</t>
  </si>
  <si>
    <t>BULAT EMAS SET 10 HBT8A HS</t>
  </si>
  <si>
    <t>10425858</t>
  </si>
  <si>
    <t>BULAT EMAS SET 10 HBT9A HS</t>
  </si>
  <si>
    <t>10425852</t>
  </si>
  <si>
    <t>BULAT MERAH SET 20 HBT5B HS</t>
  </si>
  <si>
    <t>10425851</t>
  </si>
  <si>
    <t>BULAT MM STABILLO SET 10 HBT9H2 HS</t>
  </si>
  <si>
    <t>10425866</t>
  </si>
  <si>
    <t>BULAT PINK SET 10 HBT8H HS</t>
  </si>
  <si>
    <t>10425867</t>
  </si>
  <si>
    <t>BULAT SILVER SET 10 HBT8S HS</t>
  </si>
  <si>
    <t>10425859</t>
  </si>
  <si>
    <t>BULAT SILVER SET 10 HBT9S HS</t>
  </si>
  <si>
    <t>8999088100028</t>
  </si>
  <si>
    <t>BUMBU BUAH MANIS 150GR</t>
  </si>
  <si>
    <t>8999088810002</t>
  </si>
  <si>
    <t>BUMBU BUAH PEDAS 150GR</t>
  </si>
  <si>
    <t>10100466</t>
  </si>
  <si>
    <t>BUMBU NASI GORENG ORI 250GR</t>
  </si>
  <si>
    <t>10100467</t>
  </si>
  <si>
    <t>BUMBU NASI GORENG PEDAS 250GR</t>
  </si>
  <si>
    <t>8997033630705</t>
  </si>
  <si>
    <t>BUMBU RENDANG ABADI 50GR</t>
  </si>
  <si>
    <t>10100008</t>
  </si>
  <si>
    <t>BUMBU RENDANG KASAR LP</t>
  </si>
  <si>
    <t>10100132</t>
  </si>
  <si>
    <t>BUMBU SARIKAYO 250GR</t>
  </si>
  <si>
    <t>8997033630491</t>
  </si>
  <si>
    <t>BUMBU SOTO 99 50GR</t>
  </si>
  <si>
    <t>10100118</t>
  </si>
  <si>
    <t>BUMBU SPEKUK 100GR</t>
  </si>
  <si>
    <t>10100017</t>
  </si>
  <si>
    <t>BUMBU SPEKUK 1KG</t>
  </si>
  <si>
    <t>10100117</t>
  </si>
  <si>
    <t>BUMBU SPEKUK 50GR</t>
  </si>
  <si>
    <t>10100115</t>
  </si>
  <si>
    <t>BUMBU SUP 250GR</t>
  </si>
  <si>
    <t>10100020</t>
  </si>
  <si>
    <t>BUMBU SUP CAP AYAM 1KG</t>
  </si>
  <si>
    <t>8997033630521</t>
  </si>
  <si>
    <t>BUMBU SUP CAP AYAM 50GR</t>
  </si>
  <si>
    <t>10100429</t>
  </si>
  <si>
    <t>BUMBU SUP KSR 1S</t>
  </si>
  <si>
    <t>10420439</t>
  </si>
  <si>
    <t>BUMBU TEH TELOR</t>
  </si>
  <si>
    <t>10425209</t>
  </si>
  <si>
    <t>BUN PAN CHARLOTTE 24CM BUN0022</t>
  </si>
  <si>
    <t>10426496</t>
  </si>
  <si>
    <t>BUNDT PAN ANNIVERSARY BUN0032</t>
  </si>
  <si>
    <t>10426537</t>
  </si>
  <si>
    <t>BUNDT PAN GEO 6 CUP BUN0026</t>
  </si>
  <si>
    <t>10426480</t>
  </si>
  <si>
    <t>BUNDT PAN HONEY COMB BUN0033</t>
  </si>
  <si>
    <t>6930776310529</t>
  </si>
  <si>
    <t>BUNDT PAN KUGELHOPF PINK BUN0014 LISSE</t>
  </si>
  <si>
    <t>10426497</t>
  </si>
  <si>
    <t>BUNDT PAN PYRAMID BUN0027</t>
  </si>
  <si>
    <t>10424826</t>
  </si>
  <si>
    <t>BUNGA 12S BU217</t>
  </si>
  <si>
    <t>10427456</t>
  </si>
  <si>
    <t>BUNGA SET 12S LLCP0115</t>
  </si>
  <si>
    <t>10411115</t>
  </si>
  <si>
    <t>BUNGA TELANG 20GR</t>
  </si>
  <si>
    <t>10422575</t>
  </si>
  <si>
    <t>BUNGA WARNA 273</t>
  </si>
  <si>
    <t>8691573097188</t>
  </si>
  <si>
    <t>BURCU TAHIN 550GR</t>
  </si>
  <si>
    <t>10411630</t>
  </si>
  <si>
    <t>BUREO CRUMBLE GREEN TEA 1KG</t>
  </si>
  <si>
    <t>10412028</t>
  </si>
  <si>
    <t>BUREO CRUMBLE GREEN TEA 250GR</t>
  </si>
  <si>
    <t>10411629</t>
  </si>
  <si>
    <t>BUREO CRUMBLE RED VELVET 1KG</t>
  </si>
  <si>
    <t>10411631</t>
  </si>
  <si>
    <t>BUREO CRUMBLE STW 1KG</t>
  </si>
  <si>
    <t>10412029</t>
  </si>
  <si>
    <t>BUREO CRUMBLE STW 250GR</t>
  </si>
  <si>
    <t>10420705</t>
  </si>
  <si>
    <t>BUTTER BULLION 1/2KG</t>
  </si>
  <si>
    <t>10200087</t>
  </si>
  <si>
    <t>BUTTER BULLION 1KG</t>
  </si>
  <si>
    <t>10410689</t>
  </si>
  <si>
    <t>BUTTER BULLION 250gr</t>
  </si>
  <si>
    <t>BUTTER CAP TONG 2KG</t>
  </si>
  <si>
    <t>BUTTER HOLMAN 1/2KG</t>
  </si>
  <si>
    <t>BUTTER HOLMAN 1KG</t>
  </si>
  <si>
    <t>8992702002210</t>
  </si>
  <si>
    <t>BUTTER ORCHID SALTED 340</t>
  </si>
  <si>
    <t>10410842</t>
  </si>
  <si>
    <t>BUTTER VITAS BOS 1/2KG</t>
  </si>
  <si>
    <t>10410841</t>
  </si>
  <si>
    <t>BUTTER VITAS BOS 15KG</t>
  </si>
  <si>
    <t>10410012</t>
  </si>
  <si>
    <t>BUTTER VITAS BOS 1KG</t>
  </si>
  <si>
    <t>10410228</t>
  </si>
  <si>
    <t>BUTTER VITAS BOS 250GR</t>
  </si>
  <si>
    <t>8710314000703</t>
  </si>
  <si>
    <t>BUTTER WYSMAN 10KG</t>
  </si>
  <si>
    <t>BUTTER WYSMAN 454GR</t>
  </si>
  <si>
    <t>8993037572201</t>
  </si>
  <si>
    <t>BUTTERLAND MARGARIN 250GR</t>
  </si>
  <si>
    <t>8993037612112</t>
  </si>
  <si>
    <t>BUTTERSUB MILKY 250GR</t>
  </si>
  <si>
    <t>8997205020129</t>
  </si>
  <si>
    <t>C. BRAN TP KULIT GANDUM 1KG</t>
  </si>
  <si>
    <t>10300101</t>
  </si>
  <si>
    <t>CABE JAWA 100GR</t>
  </si>
  <si>
    <t>10300062</t>
  </si>
  <si>
    <t>CABE JAWA 1KG</t>
  </si>
  <si>
    <t>10300065</t>
  </si>
  <si>
    <t>CABE JAWA 50GR</t>
  </si>
  <si>
    <t>10300066</t>
  </si>
  <si>
    <t>CABE PILIN 1KG</t>
  </si>
  <si>
    <t>10300068</t>
  </si>
  <si>
    <t>CABE PILIN 50GR</t>
  </si>
  <si>
    <t>CADBURY COKLAT 450GR</t>
  </si>
  <si>
    <t>9556182023272</t>
  </si>
  <si>
    <t>CADBURY DAIRY MILK CHOCOLATE 160GR</t>
  </si>
  <si>
    <t>7622210777768</t>
  </si>
  <si>
    <t>CADBURY DAIRY MILK COKLAT MINI 81GR</t>
  </si>
  <si>
    <t>10412348</t>
  </si>
  <si>
    <t>CAFFIATO BELGIAN DARK CHOCOLATE 800GR</t>
  </si>
  <si>
    <t>10424570</t>
  </si>
  <si>
    <t>CAKE BOX CKLT 10X10X2.5 INCH</t>
  </si>
  <si>
    <t>10424568</t>
  </si>
  <si>
    <t>CAKE BOX CKLT 8X8X2.5 INCH</t>
  </si>
  <si>
    <t>10425578</t>
  </si>
  <si>
    <t>CAKE BOX GOLD 4X6X3 INCH</t>
  </si>
  <si>
    <t>10425135</t>
  </si>
  <si>
    <t>CAKE BOX MIKA 26X26X18CM</t>
  </si>
  <si>
    <t>10425136</t>
  </si>
  <si>
    <t>CAKE BOX MIKA 26X26X24CM</t>
  </si>
  <si>
    <t>10425137</t>
  </si>
  <si>
    <t>CAKE BOX MIKA 28X28X18CM</t>
  </si>
  <si>
    <t>10425138</t>
  </si>
  <si>
    <t>CAKE BOX MIKA 28X28X24CM</t>
  </si>
  <si>
    <t>10427470</t>
  </si>
  <si>
    <t>CAKE BOX MIKA 30X30X18CM</t>
  </si>
  <si>
    <t>10427471</t>
  </si>
  <si>
    <t>CAKE BOX MIKA 30X30X25CM</t>
  </si>
  <si>
    <t>10427472</t>
  </si>
  <si>
    <t>CAKE BOX MIKA 32X32X18CM</t>
  </si>
  <si>
    <t>10427473</t>
  </si>
  <si>
    <t>CAKE BOX MIKA 32X32X25CM</t>
  </si>
  <si>
    <t>10427474</t>
  </si>
  <si>
    <t>CAKE BOX MIKA KERTAS 26X26X18CM</t>
  </si>
  <si>
    <t>10427475</t>
  </si>
  <si>
    <t>CAKE BOX MIKA KERTAS 26X26X24CM</t>
  </si>
  <si>
    <t>10427476</t>
  </si>
  <si>
    <t>CAKE BOX MIKA KERTAS 34X34X18CM</t>
  </si>
  <si>
    <t>10427478</t>
  </si>
  <si>
    <t>CAKE BOX MIKA KERTAS 36X36X18CM</t>
  </si>
  <si>
    <t>10427477</t>
  </si>
  <si>
    <t>CAKE BOX MIKA KERTAS 36X36X25CM</t>
  </si>
  <si>
    <t>10425754</t>
  </si>
  <si>
    <t>CAKE BOX MIKA LARGE 20X20X15CM</t>
  </si>
  <si>
    <t>10425753</t>
  </si>
  <si>
    <t>CAKE BOX MIKA SMALL 15X15X13CM</t>
  </si>
  <si>
    <t>10425655</t>
  </si>
  <si>
    <t>CAKE BOX MIKA TALI 20X20X12CM</t>
  </si>
  <si>
    <t>10425656</t>
  </si>
  <si>
    <t>CAKE BOX MIKA TALI 20X20X15CM</t>
  </si>
  <si>
    <t>10425657</t>
  </si>
  <si>
    <t>CAKE BOX MIKA TALI 20X20X20CM</t>
  </si>
  <si>
    <t>10425658</t>
  </si>
  <si>
    <t>CAKE BOX MIKA TALI 22X22X12CM</t>
  </si>
  <si>
    <t>10425659</t>
  </si>
  <si>
    <t>CAKE BOX MIKA TALI 22X22X15CM</t>
  </si>
  <si>
    <t>10425574</t>
  </si>
  <si>
    <t>CAKE BOX MIKA TALI 22X22X20CM</t>
  </si>
  <si>
    <t>10425660</t>
  </si>
  <si>
    <t>CAKE BOX MIKA TALI 24X24X12CM</t>
  </si>
  <si>
    <t>10425661</t>
  </si>
  <si>
    <t>CAKE BOX MIKA TALI 24X24X15CM</t>
  </si>
  <si>
    <t>10427466</t>
  </si>
  <si>
    <t>CAKE BOX MIKA TALI 26X26X20CM</t>
  </si>
  <si>
    <t>10427467</t>
  </si>
  <si>
    <t>CAKE BOX MIKA TALI 26X26X24CM</t>
  </si>
  <si>
    <t>10425620</t>
  </si>
  <si>
    <t>CAKE BOX MIKA TALI 28X28X20CM</t>
  </si>
  <si>
    <t>10427468</t>
  </si>
  <si>
    <t>CAKE BOX MIKA TALI 30X30X20CM</t>
  </si>
  <si>
    <t>10427469</t>
  </si>
  <si>
    <t>CAKE BOX MIKA TALI 30X30X24CM</t>
  </si>
  <si>
    <t>10424168</t>
  </si>
  <si>
    <t>CAKE BOX PUTIH 25X25X15CM</t>
  </si>
  <si>
    <t>10424167</t>
  </si>
  <si>
    <t>CAKE BOX PUTIH 25X25X6CM</t>
  </si>
  <si>
    <t>10427278</t>
  </si>
  <si>
    <t>CAKE BOX PUTIH 9X9X5 INCH</t>
  </si>
  <si>
    <t>10424760</t>
  </si>
  <si>
    <t>CAKE BOX SILVER 4X6X3 INCH</t>
  </si>
  <si>
    <t>9555092608579</t>
  </si>
  <si>
    <t>CAKE BOX WARNA 30X30X15CM</t>
  </si>
  <si>
    <t>9555092609026</t>
  </si>
  <si>
    <t>CAKE BOX WR 10.5X10.5X5 INCH</t>
  </si>
  <si>
    <t>9555092608715</t>
  </si>
  <si>
    <t>CAKE BOX WR 10X10X2 INCH</t>
  </si>
  <si>
    <t>9555092608654</t>
  </si>
  <si>
    <t>CAKE BOX WR 10X10X5 INCH</t>
  </si>
  <si>
    <t>9555092608586</t>
  </si>
  <si>
    <t>CAKE BOX WR 11X11X6 INCH</t>
  </si>
  <si>
    <t>9555092608517</t>
  </si>
  <si>
    <t>CAKE BOX WR 4X4X3 INCH</t>
  </si>
  <si>
    <t>9555092608616</t>
  </si>
  <si>
    <t>CAKE BOX WR 8X8X2 INCH</t>
  </si>
  <si>
    <t>9555092608692</t>
  </si>
  <si>
    <t>CAKE BOX WR 8X8X8 INCH</t>
  </si>
  <si>
    <t>9555092608814</t>
  </si>
  <si>
    <t>CAKE BOX WR 9X9X2 INCH</t>
  </si>
  <si>
    <t>9555092608555</t>
  </si>
  <si>
    <t>CAKE BOX WR 9X9X5 INCH</t>
  </si>
  <si>
    <t>169251</t>
  </si>
  <si>
    <t>CAKE CUTTER STAINLES 22-28</t>
  </si>
  <si>
    <t>10424447</t>
  </si>
  <si>
    <t>CAKE DECORATION 236</t>
  </si>
  <si>
    <t>10424423</t>
  </si>
  <si>
    <t>CAKE DECORATION 240</t>
  </si>
  <si>
    <t>10424419</t>
  </si>
  <si>
    <t>CAKE DECORATION 281 A</t>
  </si>
  <si>
    <t>10424443</t>
  </si>
  <si>
    <t>CAKE DECORATION 281 B</t>
  </si>
  <si>
    <t>10424442</t>
  </si>
  <si>
    <t>CAKE DECORATION 312</t>
  </si>
  <si>
    <t>10424427</t>
  </si>
  <si>
    <t>CAKE DECORATION 342</t>
  </si>
  <si>
    <t>10424460</t>
  </si>
  <si>
    <t>CAKE DECORATION 349</t>
  </si>
  <si>
    <t>10424425</t>
  </si>
  <si>
    <t>CAKE DECORATION 350</t>
  </si>
  <si>
    <t>10424459</t>
  </si>
  <si>
    <t>CAKE DECORATION 353</t>
  </si>
  <si>
    <t>10424424</t>
  </si>
  <si>
    <t>CAKE DECORATION 365</t>
  </si>
  <si>
    <t>10424421</t>
  </si>
  <si>
    <t>CAKE DECORATION 371</t>
  </si>
  <si>
    <t>10424428</t>
  </si>
  <si>
    <t>CAKE DECORATION 374</t>
  </si>
  <si>
    <t>10424429</t>
  </si>
  <si>
    <t>CAKE DECORATION 375</t>
  </si>
  <si>
    <t>10424435</t>
  </si>
  <si>
    <t>CAKE DECORATION 379</t>
  </si>
  <si>
    <t>10424440</t>
  </si>
  <si>
    <t>CAKE DECORATION 424</t>
  </si>
  <si>
    <t>10424430</t>
  </si>
  <si>
    <t>CAKE DECORATION 425</t>
  </si>
  <si>
    <t>10424448</t>
  </si>
  <si>
    <t>CAKE DECORATION 426</t>
  </si>
  <si>
    <t>10424426</t>
  </si>
  <si>
    <t>CAKE DECORATION 450</t>
  </si>
  <si>
    <t>10425622</t>
  </si>
  <si>
    <t>CAKE FUNNEL CF2</t>
  </si>
  <si>
    <t>9555119802188</t>
  </si>
  <si>
    <t>CAKE KNIFE ACUAN NO.218</t>
  </si>
  <si>
    <t>6952196105387</t>
  </si>
  <si>
    <t>CAKE LEVELER GG PLSTK TOL0015 LISSE</t>
  </si>
  <si>
    <t>7899949033674</t>
  </si>
  <si>
    <t>CAKE LIFTER STAIN SCR0016 LISSE</t>
  </si>
  <si>
    <t>10425055</t>
  </si>
  <si>
    <t>CAKE PAN ALLANIS 24CM DGM10</t>
  </si>
  <si>
    <t>10425057</t>
  </si>
  <si>
    <t>CAKE PAN BLUMA 24CM DGM27</t>
  </si>
  <si>
    <t>10424969</t>
  </si>
  <si>
    <t>CAKE PAN CARRINGTON DGM07</t>
  </si>
  <si>
    <t>10424864</t>
  </si>
  <si>
    <t>CAKE PAN CATHEDRAL DGM15</t>
  </si>
  <si>
    <t>10424865</t>
  </si>
  <si>
    <t>CAKE PAN CORLIS DGM13</t>
  </si>
  <si>
    <t>10425621</t>
  </si>
  <si>
    <t>CAKE PAN CRYSTAL DCP08</t>
  </si>
  <si>
    <t>10424863</t>
  </si>
  <si>
    <t>CAKE PAN MAGNOLIA DGM16</t>
  </si>
  <si>
    <t>10424862</t>
  </si>
  <si>
    <t>CAKE PAN POSSY DGM24</t>
  </si>
  <si>
    <t>10425056</t>
  </si>
  <si>
    <t>CAKE PAN SWIRL 24CM DGM14</t>
  </si>
  <si>
    <t>10423536</t>
  </si>
  <si>
    <t>CAKE RING 3S D7CM CRL06</t>
  </si>
  <si>
    <t>10425616</t>
  </si>
  <si>
    <t>CAKE RING 7CM CRL06A</t>
  </si>
  <si>
    <t>10425617</t>
  </si>
  <si>
    <t>CAKE RING 8CM CRL06B</t>
  </si>
  <si>
    <t>10425618</t>
  </si>
  <si>
    <t>CAKE RING 9CM CRL06C</t>
  </si>
  <si>
    <t>6625844585175</t>
  </si>
  <si>
    <t>CAKE RING BULAT SET3 CRL05</t>
  </si>
  <si>
    <t>10427435</t>
  </si>
  <si>
    <t>CAKE RING CUTTER B 24-30CM CRL01</t>
  </si>
  <si>
    <t>10427439</t>
  </si>
  <si>
    <t>CAKE RING CUTTER K 16-20CM CRL02</t>
  </si>
  <si>
    <t>6625844585106</t>
  </si>
  <si>
    <t>CAKE RING HATI SET 3 PL27</t>
  </si>
  <si>
    <t>6625844585199</t>
  </si>
  <si>
    <t>CAKE RING PERSEGI SET3 PL28</t>
  </si>
  <si>
    <t>10425307</t>
  </si>
  <si>
    <t>CAKE SHOVEL GERIGI 24CM</t>
  </si>
  <si>
    <t>10423831</t>
  </si>
  <si>
    <t>CAKE SHOVEL GG KAYU CSV0003 LISSE</t>
  </si>
  <si>
    <t>10427396</t>
  </si>
  <si>
    <t>CAKE SHOVEL GG PLASTIK</t>
  </si>
  <si>
    <t>3826598549588</t>
  </si>
  <si>
    <t>CAKE SHOVEL PASTEL TOL0002</t>
  </si>
  <si>
    <t>10423830</t>
  </si>
  <si>
    <t>CAKE SHOVEL STAIN ROSEGOLD CSV0002 LISSE</t>
  </si>
  <si>
    <t>070896321411</t>
  </si>
  <si>
    <t>CAKE SMOOTHER PREMIUM SCR0015</t>
  </si>
  <si>
    <t>10424762</t>
  </si>
  <si>
    <t>CAKE STAND ALUMINIUM 20CMX31CM JC4513</t>
  </si>
  <si>
    <t>10423221</t>
  </si>
  <si>
    <t>CAKE STAND PP 35X24CM TK183-2</t>
  </si>
  <si>
    <t>10423214</t>
  </si>
  <si>
    <t>CAKE STAND TEPI LUBANG JCA146</t>
  </si>
  <si>
    <t>10426860</t>
  </si>
  <si>
    <t>CAKE TRAY BLACK 50S XY12-12-B</t>
  </si>
  <si>
    <t>10426858</t>
  </si>
  <si>
    <t>CAKE TRAY GOLD 100S XY65S-G</t>
  </si>
  <si>
    <t>10426859</t>
  </si>
  <si>
    <t>CAKE TRAY GOLD 50S XY80S-G</t>
  </si>
  <si>
    <t>10424320</t>
  </si>
  <si>
    <t>CAKE TRUNTABLE JC45165</t>
  </si>
  <si>
    <t>10423825</t>
  </si>
  <si>
    <t>CAKE TURNABLE SS CAT0003 LISSE</t>
  </si>
  <si>
    <t>10424321</t>
  </si>
  <si>
    <t>CAKE TURNTABLE LOCKED JC4516</t>
  </si>
  <si>
    <t>10421046</t>
  </si>
  <si>
    <t>CAKRA KEMBAR MAS ORI 1/2KG</t>
  </si>
  <si>
    <t>10421038</t>
  </si>
  <si>
    <t>CAKRA KEMBAR MAS ORI 1KG</t>
  </si>
  <si>
    <t>10410860</t>
  </si>
  <si>
    <t>CAKRA KEMBAR MAS ROTI 1/2KG</t>
  </si>
  <si>
    <t>10410859</t>
  </si>
  <si>
    <t>CAKRA KEMBAR MAS ROTI 1KG</t>
  </si>
  <si>
    <t>10411091</t>
  </si>
  <si>
    <t>CAKRA KEMBAR MAS ROTI PAO 1KG</t>
  </si>
  <si>
    <t>CAKRA KEMBAR PREMIUM 1KG</t>
  </si>
  <si>
    <t>CAKRA KEMBAR TP 1KG</t>
  </si>
  <si>
    <t>10410474</t>
  </si>
  <si>
    <t>CAKRA TP TERIGU 1/2KG</t>
  </si>
  <si>
    <t>10410144</t>
  </si>
  <si>
    <t>CAKRA TP TERIGU 1KG</t>
  </si>
  <si>
    <t>10426501</t>
  </si>
  <si>
    <t>CALL BELL BESAR TOL0115</t>
  </si>
  <si>
    <t>10426502</t>
  </si>
  <si>
    <t>CALL BELL KECIL TOL0114</t>
  </si>
  <si>
    <t>5410522513196</t>
  </si>
  <si>
    <t>CALLEBAUT 811NV 1KG</t>
  </si>
  <si>
    <t>CALLEBAUT 811NV 2,5KG</t>
  </si>
  <si>
    <t>5410522556605</t>
  </si>
  <si>
    <t>CALLEBAUT 811NV 400GR</t>
  </si>
  <si>
    <t>CALLEBAUT 823NV 2,5KG</t>
  </si>
  <si>
    <t>5410522556209</t>
  </si>
  <si>
    <t>CALLEBAUT 823NV 400GR</t>
  </si>
  <si>
    <t>5410522555257</t>
  </si>
  <si>
    <t>CALLEBAUT GOLD COKLAT 2,5KG</t>
  </si>
  <si>
    <t>10423190</t>
  </si>
  <si>
    <t>CALLEBAUT GOLD COKLAT 250GR</t>
  </si>
  <si>
    <t>10425387</t>
  </si>
  <si>
    <t>CALLEBAUT RUBY CHOCOLATE 250GR</t>
  </si>
  <si>
    <t>5410522516777</t>
  </si>
  <si>
    <t>CALLEBAUT W2NV 2,5KG</t>
  </si>
  <si>
    <t>10424083</t>
  </si>
  <si>
    <t>CAN OPENER BLUE</t>
  </si>
  <si>
    <t>10425928</t>
  </si>
  <si>
    <t>CAN OPENER INOX</t>
  </si>
  <si>
    <t>10426845</t>
  </si>
  <si>
    <t>CAN OPENER NO 1</t>
  </si>
  <si>
    <t>9551015951517</t>
  </si>
  <si>
    <t>CAN OPENER NO 2</t>
  </si>
  <si>
    <t>10426495</t>
  </si>
  <si>
    <t>CAN OPENER PUTAR TOL0139</t>
  </si>
  <si>
    <t>10426499</t>
  </si>
  <si>
    <t>CAN OPENER TOL0021</t>
  </si>
  <si>
    <t>8886007811038</t>
  </si>
  <si>
    <t>CAP BOTOL TEH BIRU SEDUH 40GR</t>
  </si>
  <si>
    <t>8886007811083</t>
  </si>
  <si>
    <t>CAP BOTOL TEH BIRU SEDUH 80GR</t>
  </si>
  <si>
    <t>8886007811021</t>
  </si>
  <si>
    <t>CAP BOTOL TEH HIJAU SEDUH 40GR</t>
  </si>
  <si>
    <t>8886007000241</t>
  </si>
  <si>
    <t>CAP BOTOL TEH HIJAU TB25</t>
  </si>
  <si>
    <t>9556040071056</t>
  </si>
  <si>
    <t>CAP ENAK AJAIB SKM 1KG</t>
  </si>
  <si>
    <t>9556040071049</t>
  </si>
  <si>
    <t>CAP ENAK AJAIB SKM 500GR</t>
  </si>
  <si>
    <t>10426503</t>
  </si>
  <si>
    <t>CAPITAN NANAS TOL0145</t>
  </si>
  <si>
    <t>8997227875257</t>
  </si>
  <si>
    <t>CAPSAICIN POWDER 50GR</t>
  </si>
  <si>
    <t>10422271</t>
  </si>
  <si>
    <t>CAPTEN AMERICA KI1</t>
  </si>
  <si>
    <t>8997026852770</t>
  </si>
  <si>
    <t>CARAT SUPERCREM 305 5KG</t>
  </si>
  <si>
    <t>8997026854606</t>
  </si>
  <si>
    <t>CARAT SUPERCREM CRUNCY 1KG</t>
  </si>
  <si>
    <t>10420331</t>
  </si>
  <si>
    <t>CARAT SUPERCRM 250GR</t>
  </si>
  <si>
    <t>10412334</t>
  </si>
  <si>
    <t>CARAVELLA GRAN PISTACCHIO 250GR</t>
  </si>
  <si>
    <t>10411527</t>
  </si>
  <si>
    <t>CARAVELLE 250GR</t>
  </si>
  <si>
    <t>10411510</t>
  </si>
  <si>
    <t>CARBERY MOZARELLA 1KG</t>
  </si>
  <si>
    <t>10412135</t>
  </si>
  <si>
    <t>CARBERY MOZARELLA 2.5KG</t>
  </si>
  <si>
    <t>10427130</t>
  </si>
  <si>
    <t>CARIBE KOIN WHITE 100GR</t>
  </si>
  <si>
    <t>10412335</t>
  </si>
  <si>
    <t>CARIBE KOIN WHITE 1KG</t>
  </si>
  <si>
    <t>10427129</t>
  </si>
  <si>
    <t>CARIBE KOIN WHITE 250GR</t>
  </si>
  <si>
    <t>10411201</t>
  </si>
  <si>
    <t>CARIBE WHITE FLAKE 100GR</t>
  </si>
  <si>
    <t>10411203</t>
  </si>
  <si>
    <t>CARIBE WHITE FLAKE 1KG</t>
  </si>
  <si>
    <t>10411202</t>
  </si>
  <si>
    <t>CARIBE WHITE FLAKE 250GR</t>
  </si>
  <si>
    <t>CARNATION EVAPORASI 405GR</t>
  </si>
  <si>
    <t>8992696527706</t>
  </si>
  <si>
    <t>CARNATION SKM SST 38G</t>
  </si>
  <si>
    <t>10425140</t>
  </si>
  <si>
    <t>CARRIAGE LOVE CCS75</t>
  </si>
  <si>
    <t>10422382</t>
  </si>
  <si>
    <t>CARS SET 6 MI-25</t>
  </si>
  <si>
    <t>10424292</t>
  </si>
  <si>
    <t>CASE SEGITIGA MOTIF LM-PAPER</t>
  </si>
  <si>
    <t>8997243271200</t>
  </si>
  <si>
    <t>CASSIE BROWN POP UP 250 PLY</t>
  </si>
  <si>
    <t>8997243271217</t>
  </si>
  <si>
    <t>CASSIE BROWN UP TO 500PLY</t>
  </si>
  <si>
    <t>8997243271101</t>
  </si>
  <si>
    <t>CASSIE TISSUE FACIAL 250GR</t>
  </si>
  <si>
    <t>8997243271279</t>
  </si>
  <si>
    <t>CASSIE TISSUE FACIAL BOTTOM PULL 880 PLY</t>
  </si>
  <si>
    <t>8997243271071</t>
  </si>
  <si>
    <t>CASSIE TISSUE FACIAL POP UP 1000GR</t>
  </si>
  <si>
    <t>8997243271125</t>
  </si>
  <si>
    <t>CASSIE TISSUE FACIAL REFILL 1000GR</t>
  </si>
  <si>
    <t>8997243271033</t>
  </si>
  <si>
    <t>CASSIE TISSUE POP UP 250 PLY</t>
  </si>
  <si>
    <t>10425511</t>
  </si>
  <si>
    <t>CASTENGEL 20 LUBANG BULAT</t>
  </si>
  <si>
    <t>10424713</t>
  </si>
  <si>
    <t>CASTENGEL 20 LUBANG KACANG 1,5CM</t>
  </si>
  <si>
    <t>10424709</t>
  </si>
  <si>
    <t>CASTENGEL 20 LUBANG KOTAK GERIGI 1,5CM</t>
  </si>
  <si>
    <t>10427331</t>
  </si>
  <si>
    <t>CASTENGEL 20 LUBANG KUPU-KUPU 1,5CM</t>
  </si>
  <si>
    <t>10424711</t>
  </si>
  <si>
    <t>CASTENGEL 20 LUBANG LOVE 1,5CM</t>
  </si>
  <si>
    <t>10424710</t>
  </si>
  <si>
    <t>CASTENGEL 20 LUBANG SAKURA 1,5CM</t>
  </si>
  <si>
    <t>10424712</t>
  </si>
  <si>
    <t>CASTENGEL 24 LUBANG BULAT 1,5CM</t>
  </si>
  <si>
    <t>10423643</t>
  </si>
  <si>
    <t>CASTENGEL 30 LUBANG BULAN 1.5CM</t>
  </si>
  <si>
    <t>10423644</t>
  </si>
  <si>
    <t>CASTENGEL 40 LUBANG 1.5CM</t>
  </si>
  <si>
    <t>10424714</t>
  </si>
  <si>
    <t>CASTENGEL 40 LUBANG OVAL 1,5CM</t>
  </si>
  <si>
    <t>10422999</t>
  </si>
  <si>
    <t>CASTENGEL 45 LUBANG 1CM</t>
  </si>
  <si>
    <t>8997014356013</t>
  </si>
  <si>
    <t>CEDEA BAKSO IKAN BESAR 500GR</t>
  </si>
  <si>
    <t>8997014356037</t>
  </si>
  <si>
    <t>CEDEA BAKSO IKAN SAYUR 500GR</t>
  </si>
  <si>
    <t>8997014356006</t>
  </si>
  <si>
    <t>CEDEA BAKSO IKAN SEDANG 500GR</t>
  </si>
  <si>
    <t>8997014356518</t>
  </si>
  <si>
    <t>CEDEA BAKSO SALMON 500GR</t>
  </si>
  <si>
    <t>8997014356723</t>
  </si>
  <si>
    <t>CEDEA CHIKUWA MINI 1KG</t>
  </si>
  <si>
    <t>8997014357386</t>
  </si>
  <si>
    <t>CEDEA CHIKUWA MINI 500GR</t>
  </si>
  <si>
    <t>8997014356730</t>
  </si>
  <si>
    <t>CEDEA CRAB STICK 1KG</t>
  </si>
  <si>
    <t>8997014352657</t>
  </si>
  <si>
    <t>CEDEA CRAB STICK 250GR</t>
  </si>
  <si>
    <t>8997014356570</t>
  </si>
  <si>
    <t>CEDEA FISH DUMPLING CHEESE 500GR</t>
  </si>
  <si>
    <t>8997014358024</t>
  </si>
  <si>
    <t>CEDEA FISH DUMPLING SPICY CHICKEN 500GR</t>
  </si>
  <si>
    <t>10425177</t>
  </si>
  <si>
    <t>CELEMEK BIRU CEL0001 LISSE</t>
  </si>
  <si>
    <t>6940978133522</t>
  </si>
  <si>
    <t>CELEMEK CANTIK A-9622</t>
  </si>
  <si>
    <t>10425668</t>
  </si>
  <si>
    <t>CELEMEK KAIN MOTIF GARIS CKMG01</t>
  </si>
  <si>
    <t>10427262</t>
  </si>
  <si>
    <t>CELEMEK KAIN PVC WARNA</t>
  </si>
  <si>
    <t>10425672</t>
  </si>
  <si>
    <t>CELEMEK KANVAS BARISTA PREMIUM CKBP04</t>
  </si>
  <si>
    <t>10425671</t>
  </si>
  <si>
    <t>CELEMEK KATUN BARISTA CKB05</t>
  </si>
  <si>
    <t>10425036</t>
  </si>
  <si>
    <t>CELEMEK MOTIF BONEKA</t>
  </si>
  <si>
    <t>10425669</t>
  </si>
  <si>
    <t>CELEMEK MOTIF KELINCI CMK02</t>
  </si>
  <si>
    <t>10423840</t>
  </si>
  <si>
    <t>CELEMEK PEACH CEL0003 LISSE</t>
  </si>
  <si>
    <t>10423841</t>
  </si>
  <si>
    <t>CELEMEK PINK CEL0002 LISSE</t>
  </si>
  <si>
    <t>10427261</t>
  </si>
  <si>
    <t>CELEMEK PLASTIK KARAKTER</t>
  </si>
  <si>
    <t>10425667</t>
  </si>
  <si>
    <t>CELEMEK PLASTIK KARAKTER CPK01</t>
  </si>
  <si>
    <t>10422662</t>
  </si>
  <si>
    <t>CELEMEK PVC MOTIF</t>
  </si>
  <si>
    <t>10427264</t>
  </si>
  <si>
    <t>CELEMEK PVC WATERPROOF MIX MOTIF</t>
  </si>
  <si>
    <t>10425129</t>
  </si>
  <si>
    <t>CELEMEK SALUR MOTIF KOMBINASI</t>
  </si>
  <si>
    <t>10420490</t>
  </si>
  <si>
    <t>CENGKEH BLT 1/2KG</t>
  </si>
  <si>
    <t>10100394</t>
  </si>
  <si>
    <t>CENGKEH BLT 100gr</t>
  </si>
  <si>
    <t>10100137</t>
  </si>
  <si>
    <t>CENGKEH BLT 1KG</t>
  </si>
  <si>
    <t>10420491</t>
  </si>
  <si>
    <t>CENGKEH BLT 250GR</t>
  </si>
  <si>
    <t>10100079</t>
  </si>
  <si>
    <t>CENGKEH BLT 50GR</t>
  </si>
  <si>
    <t>10100459</t>
  </si>
  <si>
    <t>CENGKEH BUBUK 100GR</t>
  </si>
  <si>
    <t>8997033630545</t>
  </si>
  <si>
    <t>CENGKEH BUBUK 1KG</t>
  </si>
  <si>
    <t>10100458</t>
  </si>
  <si>
    <t>CENGKEH BUBUK 250GR</t>
  </si>
  <si>
    <t>10100460</t>
  </si>
  <si>
    <t>CENGKEH BUBUK 50GR</t>
  </si>
  <si>
    <t>6972395647723</t>
  </si>
  <si>
    <t>CENTONG PENGGORENG LUBANG 0771-4</t>
  </si>
  <si>
    <t>6972395647709</t>
  </si>
  <si>
    <t>CENTONG PENGGORENG STAINLESS 0771-3</t>
  </si>
  <si>
    <t>10424624</t>
  </si>
  <si>
    <t>CENTONG SAYUR SILICONE YH548</t>
  </si>
  <si>
    <t>4002309037578</t>
  </si>
  <si>
    <t>CERES DOUBLE HAZZELNUT 350GR</t>
  </si>
  <si>
    <t>8991001302366</t>
  </si>
  <si>
    <t>CERES BAKING HRTGE DARK COCO 250GR</t>
  </si>
  <si>
    <t>8991001301031</t>
  </si>
  <si>
    <t>CERES CLASSIC 140GR</t>
  </si>
  <si>
    <t>8991001301017</t>
  </si>
  <si>
    <t>CERES CLASSIC 80GR</t>
  </si>
  <si>
    <t>8991001301048</t>
  </si>
  <si>
    <t>CERES FESTIVE WRNA 200GR</t>
  </si>
  <si>
    <t>8991001301024</t>
  </si>
  <si>
    <t>CERES FESTIVE WRNA 80GR</t>
  </si>
  <si>
    <t>8991001302274</t>
  </si>
  <si>
    <t>CERES MILK 140GR</t>
  </si>
  <si>
    <t>8991001302267</t>
  </si>
  <si>
    <t>CERES MILK 80GR</t>
  </si>
  <si>
    <t>4002309006703</t>
  </si>
  <si>
    <t>CERES MILK DUO SPREAD 350GR</t>
  </si>
  <si>
    <t>8997008310342</t>
  </si>
  <si>
    <t>CERIPING BAWANG 1000 BERKAH 200GR</t>
  </si>
  <si>
    <t>8995207802484</t>
  </si>
  <si>
    <t>CET AGAR AMERIKA 999</t>
  </si>
  <si>
    <t>8995207802057</t>
  </si>
  <si>
    <t>CET AGAR AMERIKA M</t>
  </si>
  <si>
    <t>10425560</t>
  </si>
  <si>
    <t>CET AGAR BAVAYA LARGE LLCP0027</t>
  </si>
  <si>
    <t>10426443</t>
  </si>
  <si>
    <t>CET AGAR BAVAYA MINI 6S LLCP0028</t>
  </si>
  <si>
    <t>10425567</t>
  </si>
  <si>
    <t>CET AGAR BAVAYA MINI LLCP0028</t>
  </si>
  <si>
    <t>8995207805454</t>
  </si>
  <si>
    <t>CET AGAR BNGA MATAHARI</t>
  </si>
  <si>
    <t>10425558</t>
  </si>
  <si>
    <t>CET AGAR BOBA LARGE LLCP0068</t>
  </si>
  <si>
    <t>10426444</t>
  </si>
  <si>
    <t>CET AGAR BUBBLE MINI 6S LLCP0034</t>
  </si>
  <si>
    <t>10425564</t>
  </si>
  <si>
    <t>CET AGAR BUBBLE MINI LLCP0034</t>
  </si>
  <si>
    <t>10425105</t>
  </si>
  <si>
    <t>CET AGAR CAMELIA</t>
  </si>
  <si>
    <t>10426445</t>
  </si>
  <si>
    <t>CET AGAR CLASSIC MINI 6S LLCP0031</t>
  </si>
  <si>
    <t>10425568</t>
  </si>
  <si>
    <t>CET AGAR CLASSIC MINI LLCP0031</t>
  </si>
  <si>
    <t>8997019940859</t>
  </si>
  <si>
    <t>CET AGAR DELIMA</t>
  </si>
  <si>
    <t>10426446</t>
  </si>
  <si>
    <t>CET AGAR DIAMOND MINI 6S LLCP0074</t>
  </si>
  <si>
    <t>10425636</t>
  </si>
  <si>
    <t>CET AGAR DIAMOND MINI LLCP0074</t>
  </si>
  <si>
    <t>10425938</t>
  </si>
  <si>
    <t>CET AGAR GIOK</t>
  </si>
  <si>
    <t>10426447</t>
  </si>
  <si>
    <t>CET AGAR GRANDIA MINI 6S LLCP0032</t>
  </si>
  <si>
    <t>10425561</t>
  </si>
  <si>
    <t>CET AGAR GRANDIA MINI LLCP0032</t>
  </si>
  <si>
    <t>8998338009715</t>
  </si>
  <si>
    <t>CET AGAR GREEN LEAF 0971</t>
  </si>
  <si>
    <t>10426448</t>
  </si>
  <si>
    <t>CET AGAR HAZEL MINI 6S LLCP0076</t>
  </si>
  <si>
    <t>10425638</t>
  </si>
  <si>
    <t>CET AGAR HAZEL MINI LLCP0076</t>
  </si>
  <si>
    <t>8995207804211</t>
  </si>
  <si>
    <t>CET AGAR ITALI</t>
  </si>
  <si>
    <t>8991708370026</t>
  </si>
  <si>
    <t>CET AGAR JASMIN</t>
  </si>
  <si>
    <t>8995207800183</t>
  </si>
  <si>
    <t>CET AGAR KRISAN</t>
  </si>
  <si>
    <t>10426470</t>
  </si>
  <si>
    <t>CET AGAR LARGE SPINNER LLCP0086</t>
  </si>
  <si>
    <t>10425559</t>
  </si>
  <si>
    <t>CET AGAR LARGE TWIST</t>
  </si>
  <si>
    <t>10426449</t>
  </si>
  <si>
    <t>CET AGAR LEXTRA MINI 6S LLCP0029</t>
  </si>
  <si>
    <t>10425562</t>
  </si>
  <si>
    <t>CET AGAR LEXTRA MINI LLCP0029</t>
  </si>
  <si>
    <t>8995207801395</t>
  </si>
  <si>
    <t>CET AGAR LOVE+TUTUP</t>
  </si>
  <si>
    <t>10426467</t>
  </si>
  <si>
    <t>CET AGAR MEDIUM JAMBRUD LLCP0083</t>
  </si>
  <si>
    <t>10426469</t>
  </si>
  <si>
    <t>CET AGAR MEDIUM RUBY LLCP0085 CET</t>
  </si>
  <si>
    <t>10426468</t>
  </si>
  <si>
    <t>CET AGAR MEDIUM SAPHIRE LLCP0084</t>
  </si>
  <si>
    <t>10425611</t>
  </si>
  <si>
    <t>CET AGAR MINI ALOHA</t>
  </si>
  <si>
    <t>10426927</t>
  </si>
  <si>
    <t>CET AGAR MINI CRYSTAL</t>
  </si>
  <si>
    <t>10426924</t>
  </si>
  <si>
    <t>CET AGAR MINI ELEGAN</t>
  </si>
  <si>
    <t>10426925</t>
  </si>
  <si>
    <t>CET AGAR MINI EMERALD</t>
  </si>
  <si>
    <t>10426926</t>
  </si>
  <si>
    <t>CET AGAR MINI MARBLE</t>
  </si>
  <si>
    <t>10426466</t>
  </si>
  <si>
    <t>CET AGAR ONYX MEDIUM LLCP0082</t>
  </si>
  <si>
    <t>8998338009593</t>
  </si>
  <si>
    <t>CET AGAR PANCONG</t>
  </si>
  <si>
    <t>10426450</t>
  </si>
  <si>
    <t>CET AGAR PREMIO MINI 6S LLCP0030</t>
  </si>
  <si>
    <t>10425566</t>
  </si>
  <si>
    <t>CET AGAR PREMIO MINI LLCP0030</t>
  </si>
  <si>
    <t>8991708370019</t>
  </si>
  <si>
    <t>CET AGAR ROSE</t>
  </si>
  <si>
    <t>10426451</t>
  </si>
  <si>
    <t>CET AGAR ROYAL MINI 6S LLCP0073</t>
  </si>
  <si>
    <t>10425635</t>
  </si>
  <si>
    <t>CET AGAR ROYAL MINI LLCP0073</t>
  </si>
  <si>
    <t>8995207806550</t>
  </si>
  <si>
    <t>CET AGAR SAKURA</t>
  </si>
  <si>
    <t>10426452</t>
  </si>
  <si>
    <t>CET AGAR SAKURA MINI 6S LLCP0071</t>
  </si>
  <si>
    <t>10425612</t>
  </si>
  <si>
    <t>CET AGAR SAKURA MINI LLCP0071</t>
  </si>
  <si>
    <t>10423879</t>
  </si>
  <si>
    <t>CET AGAR SAMANTHA</t>
  </si>
  <si>
    <t>10426453</t>
  </si>
  <si>
    <t>CET AGAR SPIN MINI 6S LLCP0075</t>
  </si>
  <si>
    <t>10425637</t>
  </si>
  <si>
    <t>CET AGAR SPIN MINI LLCP0075</t>
  </si>
  <si>
    <t>8991708370033</t>
  </si>
  <si>
    <t>CET AGAR SRIKAYA</t>
  </si>
  <si>
    <t>10423877</t>
  </si>
  <si>
    <t>CET AGAR TONAKA</t>
  </si>
  <si>
    <t>10426454</t>
  </si>
  <si>
    <t>CET AGAR TWIST MINI 6S LLCP0033</t>
  </si>
  <si>
    <t>10425563</t>
  </si>
  <si>
    <t>CET AGAR TWIST MINI LLCP0033</t>
  </si>
  <si>
    <t>8995207804877</t>
  </si>
  <si>
    <t>CET AGAR VALENTINE</t>
  </si>
  <si>
    <t>10426455</t>
  </si>
  <si>
    <t>CET AGAR VARDA MINI 6S LLCP0035</t>
  </si>
  <si>
    <t>10425565</t>
  </si>
  <si>
    <t>CET AGAR VARDA MINI LLCP0035</t>
  </si>
  <si>
    <t>10423257</t>
  </si>
  <si>
    <t>CET AGAR VOLCADOD</t>
  </si>
  <si>
    <t>10423878</t>
  </si>
  <si>
    <t>CET AGAR VOLKADOT M</t>
  </si>
  <si>
    <t>10425104</t>
  </si>
  <si>
    <t>CET AGAR WEAVIA TWISTER</t>
  </si>
  <si>
    <t>10422602</t>
  </si>
  <si>
    <t>CET BANGKET B GERIGI 5 CB9</t>
  </si>
  <si>
    <t>10422033</t>
  </si>
  <si>
    <t>CET BANGKET BINTANG 5 CB7</t>
  </si>
  <si>
    <t>6999201905228</t>
  </si>
  <si>
    <t>CET BANGKET BLT 5S CB11</t>
  </si>
  <si>
    <t>6935884518584</t>
  </si>
  <si>
    <t>CET BANGKET BLT GERIGI SET 6 CB3</t>
  </si>
  <si>
    <t>10422030</t>
  </si>
  <si>
    <t>CET BANGKET BUNGA 5 CB2</t>
  </si>
  <si>
    <t>10422034</t>
  </si>
  <si>
    <t>CET BANGKET BUNGA 6</t>
  </si>
  <si>
    <t>10422032</t>
  </si>
  <si>
    <t>CET BANGKET LOVE 5 CB5</t>
  </si>
  <si>
    <t>6940600860014</t>
  </si>
  <si>
    <t>CET BANGKET STAINLES CBS2</t>
  </si>
  <si>
    <t>10423543</t>
  </si>
  <si>
    <t>CET BANGKIT PERSEGI CB6</t>
  </si>
  <si>
    <t>10426584</t>
  </si>
  <si>
    <t>CET BENTO BSR SEGITIGA CBP-0009</t>
  </si>
  <si>
    <t>10426587</t>
  </si>
  <si>
    <t>CET BENTO BUNGA CBP-0007</t>
  </si>
  <si>
    <t>10426580</t>
  </si>
  <si>
    <t>CET BENTO HATI CBP-0005</t>
  </si>
  <si>
    <t>10426571</t>
  </si>
  <si>
    <t>CET BENTO KCL SEGITIGA CBP-0004</t>
  </si>
  <si>
    <t>10427354</t>
  </si>
  <si>
    <t>CET BENTO MOTIF KARAKTER CB 201</t>
  </si>
  <si>
    <t>10425125</t>
  </si>
  <si>
    <t>CET BENTO SANDWICH HELLO KITTY</t>
  </si>
  <si>
    <t>10424608</t>
  </si>
  <si>
    <t>CET BISCUIT LINGKARAN D4 1S M-F30</t>
  </si>
  <si>
    <t>10424606</t>
  </si>
  <si>
    <t>CET BISCUIT PERSEGI 4X4 1S M-F04</t>
  </si>
  <si>
    <t>10426538</t>
  </si>
  <si>
    <t>CET BISCUIT PERSEGI PANJANG 5X4CM CTD0092</t>
  </si>
  <si>
    <t>10424609</t>
  </si>
  <si>
    <t>CET BISCUIT PERSEGI PANJANG 6X3 1S M-F64</t>
  </si>
  <si>
    <t>10424607</t>
  </si>
  <si>
    <t>CET BISCUIT PERSEGI PNJNG 4X3 1S M-F12</t>
  </si>
  <si>
    <t>10427461</t>
  </si>
  <si>
    <t>CET BOLU BSR BELIMBING</t>
  </si>
  <si>
    <t>10427457</t>
  </si>
  <si>
    <t>CET BOLU IKAN LB3</t>
  </si>
  <si>
    <t>10427458</t>
  </si>
  <si>
    <t>CET BOLU IKAN LB4</t>
  </si>
  <si>
    <t>10427459</t>
  </si>
  <si>
    <t>CET BOLU KCL BELIMBING</t>
  </si>
  <si>
    <t>10427460</t>
  </si>
  <si>
    <t>CET BOLU KCL TELUR</t>
  </si>
  <si>
    <t>10423012</t>
  </si>
  <si>
    <t>CET BOLU KEMOJO NO 1</t>
  </si>
  <si>
    <t>10423407</t>
  </si>
  <si>
    <t>CET BOLU KEMOJO NO 2</t>
  </si>
  <si>
    <t>10423931</t>
  </si>
  <si>
    <t>CET BOLU KEMOJO NO 3</t>
  </si>
  <si>
    <t>10422498</t>
  </si>
  <si>
    <t>CET BOLU KUKUS A</t>
  </si>
  <si>
    <t>1042568</t>
  </si>
  <si>
    <t>CET BOLU KUKUS A 12S</t>
  </si>
  <si>
    <t>10422499</t>
  </si>
  <si>
    <t>CET BOLU KUKUS B</t>
  </si>
  <si>
    <t>1042569</t>
  </si>
  <si>
    <t>CET BOLU KUKUS B 12S</t>
  </si>
  <si>
    <t>10422500</t>
  </si>
  <si>
    <t>CET BOLU KUKUS C</t>
  </si>
  <si>
    <t>1042570</t>
  </si>
  <si>
    <t>CET BOLU KUKUS C 12S</t>
  </si>
  <si>
    <t>10422501</t>
  </si>
  <si>
    <t>CET BOLU KUKUS D</t>
  </si>
  <si>
    <t>1042571</t>
  </si>
  <si>
    <t>CET BOLU KUKUS D 12S</t>
  </si>
  <si>
    <t>1042578</t>
  </si>
  <si>
    <t>CET BOLU KUKUS E 12S</t>
  </si>
  <si>
    <t>10426801</t>
  </si>
  <si>
    <t>CET BOLU KUKUS E 1S</t>
  </si>
  <si>
    <t>10425533</t>
  </si>
  <si>
    <t>CET BOLU KUKUS LUBANG</t>
  </si>
  <si>
    <t>10422956</t>
  </si>
  <si>
    <t>CET BOLU MANGGIS BESAR 12LB</t>
  </si>
  <si>
    <t>10422960</t>
  </si>
  <si>
    <t>CET BOLU MANGGIS BESAR 18LB</t>
  </si>
  <si>
    <t>10426853</t>
  </si>
  <si>
    <t>CET BOLU MANGGIS BESAR 7LB</t>
  </si>
  <si>
    <t>10422955</t>
  </si>
  <si>
    <t>CET BOLU MANGGIS CAMPUR 12LB</t>
  </si>
  <si>
    <t>10422957</t>
  </si>
  <si>
    <t>CET BOLU MANGGIS CAMPUR 18LB</t>
  </si>
  <si>
    <t>10423944</t>
  </si>
  <si>
    <t>CET BOLU MANGGIS CAMPUR BS 12LB</t>
  </si>
  <si>
    <t>10426852</t>
  </si>
  <si>
    <t>CET BOLU MANGGIS CAMPUR KECIL 18LB</t>
  </si>
  <si>
    <t>10423408</t>
  </si>
  <si>
    <t>CET BOLU MANGGIS KECIL 12LB</t>
  </si>
  <si>
    <t>10426851</t>
  </si>
  <si>
    <t>CET BOLU MANGGIS KECIL 18LB</t>
  </si>
  <si>
    <t>10422954</t>
  </si>
  <si>
    <t>CET BOLU MANGGIS KECIL 7LB</t>
  </si>
  <si>
    <t>10427285</t>
  </si>
  <si>
    <t>CET COKLAT DUBAI</t>
  </si>
  <si>
    <t>10423934</t>
  </si>
  <si>
    <t>CET DONAT ALU A 1S</t>
  </si>
  <si>
    <t>10424079</t>
  </si>
  <si>
    <t>CET DONAT ALU A 20S</t>
  </si>
  <si>
    <t>1042553</t>
  </si>
  <si>
    <t>CET DONAT ALU B 10S</t>
  </si>
  <si>
    <t>10423935</t>
  </si>
  <si>
    <t>CET DONAT ALU B 1S</t>
  </si>
  <si>
    <t>10424080</t>
  </si>
  <si>
    <t>CET DONAT ALU B 20S</t>
  </si>
  <si>
    <t>1042554</t>
  </si>
  <si>
    <t>CET DONAT ALU C 10S</t>
  </si>
  <si>
    <t>10423936</t>
  </si>
  <si>
    <t>CET DONAT ALU C 1S</t>
  </si>
  <si>
    <t>10424081</t>
  </si>
  <si>
    <t>CET DONAT ALU C 20S</t>
  </si>
  <si>
    <t>10425531</t>
  </si>
  <si>
    <t>CET DONAT SENG</t>
  </si>
  <si>
    <t>10426486</t>
  </si>
  <si>
    <t>CET EGG TART BULAT 3.7INC CTD0083</t>
  </si>
  <si>
    <t>10426487</t>
  </si>
  <si>
    <t>CET EGG TART BULAT 3INC CTD0082</t>
  </si>
  <si>
    <t>10426488</t>
  </si>
  <si>
    <t>CET EGG TART FLOWER CTD0059</t>
  </si>
  <si>
    <t>10426484</t>
  </si>
  <si>
    <t>CET EGG TART FLOWER RED CTD0084</t>
  </si>
  <si>
    <t>10426485</t>
  </si>
  <si>
    <t>CET EGG TART OVAL CTD0085</t>
  </si>
  <si>
    <t>10422902</t>
  </si>
  <si>
    <t>CET ES KRIM SMILE CEK-0005</t>
  </si>
  <si>
    <t>10422919</t>
  </si>
  <si>
    <t>CET FONDANT HURUF DISNEY</t>
  </si>
  <si>
    <t>10426710</t>
  </si>
  <si>
    <t>CET HBD+ANGKA SILICONE JSC1883</t>
  </si>
  <si>
    <t>10426842</t>
  </si>
  <si>
    <t>CET JELLY BINTANG</t>
  </si>
  <si>
    <t>10425940</t>
  </si>
  <si>
    <t>CET JELLY BUNGA 20 LUBANG</t>
  </si>
  <si>
    <t>10425939</t>
  </si>
  <si>
    <t>CET JELLY LOVE 35 LUBANG</t>
  </si>
  <si>
    <t>10426928</t>
  </si>
  <si>
    <t>CET JELLY MIE</t>
  </si>
  <si>
    <t>10426923</t>
  </si>
  <si>
    <t>CET JELLY MIX 3 MOTIF 54 LUBANG</t>
  </si>
  <si>
    <t>10423389</t>
  </si>
  <si>
    <t>CET KUE CAPIT</t>
  </si>
  <si>
    <t>9555484901318</t>
  </si>
  <si>
    <t>CET KUE JALA 2S YUKAFO</t>
  </si>
  <si>
    <t>10425176</t>
  </si>
  <si>
    <t>CET MTF BARONGSAI 50GR CTD0074</t>
  </si>
  <si>
    <t>10423846</t>
  </si>
  <si>
    <t>CET MTF BUNGA 004 30GR CTD0012 LISSE</t>
  </si>
  <si>
    <t>10423844</t>
  </si>
  <si>
    <t>CET MTF DAUN 002 50GR CTD0010 LISSE</t>
  </si>
  <si>
    <t>10423843</t>
  </si>
  <si>
    <t>CET MTF KTK 001 30GR CTD0009 LISSE</t>
  </si>
  <si>
    <t>10423845</t>
  </si>
  <si>
    <t>CET MTF SAKURA 003 30GR CTD0011 LISSE</t>
  </si>
  <si>
    <t>10426706</t>
  </si>
  <si>
    <t>CET NASTAR NANAS ALUMINIUM</t>
  </si>
  <si>
    <t>10427374</t>
  </si>
  <si>
    <t>CET PASTEL SET ROLLING CPS1</t>
  </si>
  <si>
    <t>10422767</t>
  </si>
  <si>
    <t>CET PUTU AYU BLT 12S</t>
  </si>
  <si>
    <t>10424056</t>
  </si>
  <si>
    <t>CET PUTU AYU BLT 144S</t>
  </si>
  <si>
    <t>10425541</t>
  </si>
  <si>
    <t>CET PUTU AYU GERIGI 12S</t>
  </si>
  <si>
    <t>10425327</t>
  </si>
  <si>
    <t>CET PUTU AYU MATAHARI 12S</t>
  </si>
  <si>
    <t>10425292</t>
  </si>
  <si>
    <t>CET PUTU AYU MATAHARI 144S</t>
  </si>
  <si>
    <t>10422129</t>
  </si>
  <si>
    <t>CET PUTU AYU P 12S</t>
  </si>
  <si>
    <t>10424057</t>
  </si>
  <si>
    <t>CET PUTU AYU P 144S</t>
  </si>
  <si>
    <t>10425542</t>
  </si>
  <si>
    <t>CET PUTU AYU SEGI</t>
  </si>
  <si>
    <t>10423400</t>
  </si>
  <si>
    <t>CET PUTU AYU SEGI 12S</t>
  </si>
  <si>
    <t>10424058</t>
  </si>
  <si>
    <t>CET PUTU AYU SEGI 144S</t>
  </si>
  <si>
    <t>10427404</t>
  </si>
  <si>
    <t>CET PUTU AYU SUNFLOWER 12S</t>
  </si>
  <si>
    <t>10427403</t>
  </si>
  <si>
    <t>CET PUTU AYU SUNFLOWER 144S</t>
  </si>
  <si>
    <t>10423037</t>
  </si>
  <si>
    <t>CET PUTU AYU TALAM 12S</t>
  </si>
  <si>
    <t>10424059</t>
  </si>
  <si>
    <t>CET PUTU AYU TALAM 144S</t>
  </si>
  <si>
    <t>10423945</t>
  </si>
  <si>
    <t>CET PUTU AYU WAJIK 12S</t>
  </si>
  <si>
    <t>10424060</t>
  </si>
  <si>
    <t>CET PUTU AYU WAJIK 144S</t>
  </si>
  <si>
    <t>10422765</t>
  </si>
  <si>
    <t>CET PUTU BELIMBING 12S</t>
  </si>
  <si>
    <t>10424061</t>
  </si>
  <si>
    <t>CET PUTU BELIMBING 144S</t>
  </si>
  <si>
    <t>10426428</t>
  </si>
  <si>
    <t>CET PUTU BELIMBING 36S</t>
  </si>
  <si>
    <t>10423004</t>
  </si>
  <si>
    <t>CET PUTU BINTANG REGE 12S</t>
  </si>
  <si>
    <t>10424062</t>
  </si>
  <si>
    <t>CET PUTU BINTANG REGE 144S</t>
  </si>
  <si>
    <t>10423921</t>
  </si>
  <si>
    <t>CET PUTU BULAT REGE 12S</t>
  </si>
  <si>
    <t>10424063</t>
  </si>
  <si>
    <t>CET PUTU BULAT REGE 144S</t>
  </si>
  <si>
    <t>8996560459490</t>
  </si>
  <si>
    <t>CET PUTU CUCING BESAR 24S</t>
  </si>
  <si>
    <t>10423947</t>
  </si>
  <si>
    <t>CET PUTU CUCING BSR 12S</t>
  </si>
  <si>
    <t>10424064</t>
  </si>
  <si>
    <t>CET PUTU CUCING BSR 144S</t>
  </si>
  <si>
    <t>10423946</t>
  </si>
  <si>
    <t>CET PUTU CUCING KCL 12S</t>
  </si>
  <si>
    <t>10424065</t>
  </si>
  <si>
    <t>CET PUTU CUCING KCL 144S</t>
  </si>
  <si>
    <t>8996560455461</t>
  </si>
  <si>
    <t>CET PUTU CUCING KECIL 36S</t>
  </si>
  <si>
    <t>10423449</t>
  </si>
  <si>
    <t>CET PUTU HATI REGE 12S</t>
  </si>
  <si>
    <t>10424066</t>
  </si>
  <si>
    <t>CET PUTU HATI REGE 144S</t>
  </si>
  <si>
    <t>10426430</t>
  </si>
  <si>
    <t>CET PUTU HATI REGE 36S</t>
  </si>
  <si>
    <t>10423922</t>
  </si>
  <si>
    <t>CET PUTU JASMINE 12S</t>
  </si>
  <si>
    <t>10424067</t>
  </si>
  <si>
    <t>CET PUTU JASMINE 144S</t>
  </si>
  <si>
    <t>10426431</t>
  </si>
  <si>
    <t>CET PUTU JASMINE 36S</t>
  </si>
  <si>
    <t>10422922</t>
  </si>
  <si>
    <t>CET PUTU KUKUS LUBANG 12S</t>
  </si>
  <si>
    <t>10424068</t>
  </si>
  <si>
    <t>CET PUTU KUKUS LUBANG 144S</t>
  </si>
  <si>
    <t>10423399</t>
  </si>
  <si>
    <t>CET PUTU KUKUS POLOS 12S</t>
  </si>
  <si>
    <t>10424069</t>
  </si>
  <si>
    <t>CET PUTU KUKUS POLOS 144S</t>
  </si>
  <si>
    <t>10426807</t>
  </si>
  <si>
    <t>CET PUTU LOTUS PUTIH 12S</t>
  </si>
  <si>
    <t>10426806</t>
  </si>
  <si>
    <t>CET PUTU LOTUS PUTIH 144S</t>
  </si>
  <si>
    <t>10422130</t>
  </si>
  <si>
    <t>CET PUTU MAWAR BSR 12S</t>
  </si>
  <si>
    <t>10424070</t>
  </si>
  <si>
    <t>CET PUTU MAWAR BSR 144S</t>
  </si>
  <si>
    <t>10422135</t>
  </si>
  <si>
    <t>CET PUTU MAWAR KCL 12S</t>
  </si>
  <si>
    <t>10424071</t>
  </si>
  <si>
    <t>CET PUTU MAWAR KCL 144S</t>
  </si>
  <si>
    <t>10422771</t>
  </si>
  <si>
    <t>CET PUTU SAKURA 12S</t>
  </si>
  <si>
    <t>10424072</t>
  </si>
  <si>
    <t>CET PUTU SAKURA 144S</t>
  </si>
  <si>
    <t>10425162</t>
  </si>
  <si>
    <t>CET PUTU SEGI BSR REGE 12S</t>
  </si>
  <si>
    <t>10425163</t>
  </si>
  <si>
    <t>CET PUTU SEGI BSR REGE 144S</t>
  </si>
  <si>
    <t>10423920</t>
  </si>
  <si>
    <t>CET PUTU TERATAI 12S</t>
  </si>
  <si>
    <t>10424073</t>
  </si>
  <si>
    <t>CET PUTU TERATAI 144S</t>
  </si>
  <si>
    <t>10422132</t>
  </si>
  <si>
    <t>CET PUTU TULIP 12S</t>
  </si>
  <si>
    <t>10424074</t>
  </si>
  <si>
    <t>CET PUTU TULIP 144S</t>
  </si>
  <si>
    <t>10426439</t>
  </si>
  <si>
    <t>CET PUTU TULIP 36S</t>
  </si>
  <si>
    <t>10422131</t>
  </si>
  <si>
    <t>CET PUTU TWISSTER 12S</t>
  </si>
  <si>
    <t>10424075</t>
  </si>
  <si>
    <t>CET PUTU TWISSTER 144S</t>
  </si>
  <si>
    <t>9555182107258</t>
  </si>
  <si>
    <t>CETAKAN ANGKU NCI 5202</t>
  </si>
  <si>
    <t>9555182107265</t>
  </si>
  <si>
    <t>CETAKAN ANGKU NCI 5203</t>
  </si>
  <si>
    <t>10423026</t>
  </si>
  <si>
    <t>CETAKAN BAKSO STAINLES JUMBO</t>
  </si>
  <si>
    <t>10423025</t>
  </si>
  <si>
    <t>CETAKAN BAKSO STAINLES SMAL</t>
  </si>
  <si>
    <t>10427391</t>
  </si>
  <si>
    <t>CETAKAN BENTO D-PAIGE</t>
  </si>
  <si>
    <t>10427393</t>
  </si>
  <si>
    <t>CETAKAN BENTO FISH</t>
  </si>
  <si>
    <t>10427392</t>
  </si>
  <si>
    <t>CETAKAN BENTO MICKEY</t>
  </si>
  <si>
    <t>1042556</t>
  </si>
  <si>
    <t>CETAKAN BOLU CAP IKAN</t>
  </si>
  <si>
    <t>10422229</t>
  </si>
  <si>
    <t>CETAKAN BRUDER BESAR</t>
  </si>
  <si>
    <t>10422231</t>
  </si>
  <si>
    <t>CETAKAN BRUDER KECIL</t>
  </si>
  <si>
    <t>10422230</t>
  </si>
  <si>
    <t>CETAKAN BRUDER SEDANG</t>
  </si>
  <si>
    <t>10540053</t>
  </si>
  <si>
    <t>CETAKAN CASTANGLE A 10.5CM C3</t>
  </si>
  <si>
    <t>10540054</t>
  </si>
  <si>
    <t>CETAKAN CASTANGLE B 10.5CM C4</t>
  </si>
  <si>
    <t>10540055</t>
  </si>
  <si>
    <t>CETAKAN CASTANGLE C 10.5CM C5</t>
  </si>
  <si>
    <t>10540056</t>
  </si>
  <si>
    <t>CETAKAN CASTANGLE D 10.5CM C6</t>
  </si>
  <si>
    <t>10421978</t>
  </si>
  <si>
    <t>CETAKAN CENDOL DAWET KL34</t>
  </si>
  <si>
    <t>10421991</t>
  </si>
  <si>
    <t>CETAKAN COOKIES NAGAKO</t>
  </si>
  <si>
    <t>10425308</t>
  </si>
  <si>
    <t>CETAKAN DAUN 20S</t>
  </si>
  <si>
    <t>10422143</t>
  </si>
  <si>
    <t>CETAKAN DONAT ANGKA 1S</t>
  </si>
  <si>
    <t>10422142</t>
  </si>
  <si>
    <t>CETAKAN DONAT HURUF 1S</t>
  </si>
  <si>
    <t>10424787</t>
  </si>
  <si>
    <t>CETAKAN DONAT LOVE</t>
  </si>
  <si>
    <t>10427483</t>
  </si>
  <si>
    <t>CETAKAN DONAT MOTIF 1S</t>
  </si>
  <si>
    <t>10422901</t>
  </si>
  <si>
    <t>CETAKAN ES KRIM CEK-0001</t>
  </si>
  <si>
    <t>8997034200167</t>
  </si>
  <si>
    <t>CETAKAN ES LILIN POLOS</t>
  </si>
  <si>
    <t>8994070008078</t>
  </si>
  <si>
    <t>CETAKAN ES TELUR PUYUH</t>
  </si>
  <si>
    <t>10425991</t>
  </si>
  <si>
    <t>CETAKAN JELLY BULAT WARNA 18X11 CM 33 LUBANG</t>
  </si>
  <si>
    <t>10426594</t>
  </si>
  <si>
    <t>CETAKAN JELLY BULAT WARNA 20X12 CM 33 LUBANG</t>
  </si>
  <si>
    <t>55597648</t>
  </si>
  <si>
    <t>CETAKAN KUE 8S</t>
  </si>
  <si>
    <t>10100402</t>
  </si>
  <si>
    <t>CETAKAN KUE BALOK</t>
  </si>
  <si>
    <t>10421990</t>
  </si>
  <si>
    <t>CETAKAN KUE KAKTUS FUJIKA</t>
  </si>
  <si>
    <t>10100403</t>
  </si>
  <si>
    <t>CETAKAN KUE PANCUNG 20 LB</t>
  </si>
  <si>
    <t>10100404</t>
  </si>
  <si>
    <t>CETAKAN KUE PUKIS 12 LB</t>
  </si>
  <si>
    <t>10422497</t>
  </si>
  <si>
    <t>CETAKAN LEMPER</t>
  </si>
  <si>
    <t>10421894</t>
  </si>
  <si>
    <t>CETAKAN LNTG 4 MATA</t>
  </si>
  <si>
    <t>10421981</t>
  </si>
  <si>
    <t>CETAKAN LONTONG KCL</t>
  </si>
  <si>
    <t>10423021</t>
  </si>
  <si>
    <t>CETAKAN LONTONG SDG</t>
  </si>
  <si>
    <t>10422012</t>
  </si>
  <si>
    <t>CETAKAN MARTABAK B 4LB</t>
  </si>
  <si>
    <t>10411089</t>
  </si>
  <si>
    <t>CETAKAN MARTABAK P 4LB</t>
  </si>
  <si>
    <t>10423842</t>
  </si>
  <si>
    <t>CETAKAN NASTAR 30GR CTD0004 LISSE</t>
  </si>
  <si>
    <t>9555182107524</t>
  </si>
  <si>
    <t>CETAKAN NCI 5533/D</t>
  </si>
  <si>
    <t>10421997</t>
  </si>
  <si>
    <t>CETAKAN PAI NO 1</t>
  </si>
  <si>
    <t>10421998</t>
  </si>
  <si>
    <t>CETAKAN PAI NO 2</t>
  </si>
  <si>
    <t>10421999</t>
  </si>
  <si>
    <t>CETAKAN PAI NO 3</t>
  </si>
  <si>
    <t>10422000</t>
  </si>
  <si>
    <t>CETAKAN PAI NO 4</t>
  </si>
  <si>
    <t>10422001</t>
  </si>
  <si>
    <t>CETAKAN PAI NO 5</t>
  </si>
  <si>
    <t>10424106</t>
  </si>
  <si>
    <t>CETAKAN PAI NO1 20S</t>
  </si>
  <si>
    <t>10424107</t>
  </si>
  <si>
    <t>CETAKAN PAI NO2 20S</t>
  </si>
  <si>
    <t>10424108</t>
  </si>
  <si>
    <t>CETAKAN PAI NO3 20S</t>
  </si>
  <si>
    <t>10424109</t>
  </si>
  <si>
    <t>CETAKAN PAI NO4 20S</t>
  </si>
  <si>
    <t>10424110</t>
  </si>
  <si>
    <t>CETAKAN PAI NO5 20S</t>
  </si>
  <si>
    <t>10420292</t>
  </si>
  <si>
    <t>CETAKAN PAI NO6 20S</t>
  </si>
  <si>
    <t>10422074</t>
  </si>
  <si>
    <t>CETAKAN PAI OVAL KCL</t>
  </si>
  <si>
    <t>10422075</t>
  </si>
  <si>
    <t>CETAKAN PAI OVAL SDG</t>
  </si>
  <si>
    <t>9555182107395</t>
  </si>
  <si>
    <t>CETAKAN PASTEL 5521/D 2S</t>
  </si>
  <si>
    <t>9555182107401</t>
  </si>
  <si>
    <t>CETAKAN PASTEL 5530</t>
  </si>
  <si>
    <t>9555182107418</t>
  </si>
  <si>
    <t>CETAKAN PASTEL 5535</t>
  </si>
  <si>
    <t>9555182107371</t>
  </si>
  <si>
    <t>CETAKAN PASTEL 5542</t>
  </si>
  <si>
    <t>9555182107388</t>
  </si>
  <si>
    <t>CETAKAN PASTEL 5543</t>
  </si>
  <si>
    <t>10427429</t>
  </si>
  <si>
    <t>CETAKAN PASTEL KLC 216</t>
  </si>
  <si>
    <t>10422354</t>
  </si>
  <si>
    <t>CETAKAN PASTEL MINI</t>
  </si>
  <si>
    <t>10423887</t>
  </si>
  <si>
    <t>CETAKAN PASTEL NCI 5521/S</t>
  </si>
  <si>
    <t>9555015405223</t>
  </si>
  <si>
    <t>CETAKAN PEYEK 10CM DOUBLE</t>
  </si>
  <si>
    <t>9555015405216</t>
  </si>
  <si>
    <t>CETAKAN PEYEK 10CM SINGLE</t>
  </si>
  <si>
    <t>9555015405209</t>
  </si>
  <si>
    <t>CETAKAN PEYEK 8CM DOUBLE</t>
  </si>
  <si>
    <t>10422063</t>
  </si>
  <si>
    <t>CETAKAN PUTU MAYONG</t>
  </si>
  <si>
    <t>9555182107333</t>
  </si>
  <si>
    <t>CETAKAN ROTI JALA NCI 5507</t>
  </si>
  <si>
    <t>10422007</t>
  </si>
  <si>
    <t>CETAKAN SAGON BULAT</t>
  </si>
  <si>
    <t>10422006</t>
  </si>
  <si>
    <t>CETAKAN SAGON PETAK</t>
  </si>
  <si>
    <t>6940256613088</t>
  </si>
  <si>
    <t>CETAKAN SAKURA 3D PINK CTD0024 LISSE</t>
  </si>
  <si>
    <t>10427462</t>
  </si>
  <si>
    <t>CETAKAN SELAT POPIAH 1</t>
  </si>
  <si>
    <t>10422018</t>
  </si>
  <si>
    <t>CETAKAN SERABI B 4LB</t>
  </si>
  <si>
    <t>10422016</t>
  </si>
  <si>
    <t>CETAKAN SERABI KCL B 7LB</t>
  </si>
  <si>
    <t>10422014</t>
  </si>
  <si>
    <t>CETAKAN SERABI OVAL 10LB</t>
  </si>
  <si>
    <t>10422019</t>
  </si>
  <si>
    <t>CETAKAN SERABI P 16LB</t>
  </si>
  <si>
    <t>10422013</t>
  </si>
  <si>
    <t>CETAKAN SERABI P 9 LB</t>
  </si>
  <si>
    <t>10422059</t>
  </si>
  <si>
    <t>CETAKAN SUS KEONG B</t>
  </si>
  <si>
    <t>10422060</t>
  </si>
  <si>
    <t>CETAKAN SUS KEONG K</t>
  </si>
  <si>
    <t>5645245515213</t>
  </si>
  <si>
    <t>CETAKAN SUSHI</t>
  </si>
  <si>
    <t>10420291</t>
  </si>
  <si>
    <t>CETAKAN TANGKAI</t>
  </si>
  <si>
    <t>10425281</t>
  </si>
  <si>
    <t>CETAKAN TANGKAI MOTIF APEL</t>
  </si>
  <si>
    <t>10425494</t>
  </si>
  <si>
    <t>CETAKAN TANGKAI MOTIF BEBEK</t>
  </si>
  <si>
    <t>10424278</t>
  </si>
  <si>
    <t>CETAKAN TANGKAI MOTIF BINTANG KL21</t>
  </si>
  <si>
    <t>10424279</t>
  </si>
  <si>
    <t>CETAKAN TANGKAI MOTIF BULAN KL15</t>
  </si>
  <si>
    <t>10424276</t>
  </si>
  <si>
    <t>CETAKAN TANGKAI MOTIF BULAT KL19</t>
  </si>
  <si>
    <t>10425147</t>
  </si>
  <si>
    <t>CETAKAN TANGKAI MOTIF BUNGA KL20</t>
  </si>
  <si>
    <t>10424289</t>
  </si>
  <si>
    <t>CETAKAN TANGKAI MOTIF CHICKS</t>
  </si>
  <si>
    <t>10424284</t>
  </si>
  <si>
    <t>CETAKAN TANGKAI MOTIF DAUN</t>
  </si>
  <si>
    <t>10425148</t>
  </si>
  <si>
    <t>CETAKAN TANGKAI MOTIF HATI KL17</t>
  </si>
  <si>
    <t>10425283</t>
  </si>
  <si>
    <t>CETAKAN TANGKAI MOTIF JAMBU</t>
  </si>
  <si>
    <t>10424277</t>
  </si>
  <si>
    <t>CETAKAN TANGKAI MOTIF KACANG KL105</t>
  </si>
  <si>
    <t>10425495</t>
  </si>
  <si>
    <t>CETAKAN TANGKAI MOTIF KELINCI</t>
  </si>
  <si>
    <t>10424275</t>
  </si>
  <si>
    <t>CETAKAN TANGKAI MOTIF KUPU-KUPU</t>
  </si>
  <si>
    <t>10425280</t>
  </si>
  <si>
    <t>CETAKAN TANGKAI MOTIF LONCENG</t>
  </si>
  <si>
    <t>10425282</t>
  </si>
  <si>
    <t>CETAKAN TANGKAI MOTIF MANGGIS</t>
  </si>
  <si>
    <t>10425269</t>
  </si>
  <si>
    <t>CETAKAN TANGKAI MOTIF MICKEY MOUSE</t>
  </si>
  <si>
    <t>10425268</t>
  </si>
  <si>
    <t>CETAKAN TANGKAI MOTIF OVAL</t>
  </si>
  <si>
    <t>10425145</t>
  </si>
  <si>
    <t>CETAKAN TANGKAI MOTIF PERSEGI KL16</t>
  </si>
  <si>
    <t>10425274</t>
  </si>
  <si>
    <t>CETAKAN TANGKAI MOTIF SABIT</t>
  </si>
  <si>
    <t>10425272</t>
  </si>
  <si>
    <t>CETAKAN TANGKAI MOTIF SEGITIGA</t>
  </si>
  <si>
    <t>10425267</t>
  </si>
  <si>
    <t>CETAKAN TANGKAI MOTIF SEGITIGA GERIGI</t>
  </si>
  <si>
    <t>10424282</t>
  </si>
  <si>
    <t>CETAKAN TANGKAI MOTIF SEKOP</t>
  </si>
  <si>
    <t>10424288</t>
  </si>
  <si>
    <t>CETAKAN TANGKAI MOTIF SIRIP HIU</t>
  </si>
  <si>
    <t>9555182107234</t>
  </si>
  <si>
    <t>CETAKAN TAO 5103</t>
  </si>
  <si>
    <t>10424264</t>
  </si>
  <si>
    <t>CETAKAN TELUR BINTANG</t>
  </si>
  <si>
    <t>10424265</t>
  </si>
  <si>
    <t>CETAKAN TELUR LOVE</t>
  </si>
  <si>
    <t>9555182107227</t>
  </si>
  <si>
    <t>CETAKAN TOU NCI 5102</t>
  </si>
  <si>
    <t>8991001502254</t>
  </si>
  <si>
    <t>CHACHA MILK 15X40GR</t>
  </si>
  <si>
    <t>8991001503114</t>
  </si>
  <si>
    <t>CHACHA MILK CHOCO 20GR</t>
  </si>
  <si>
    <t>8991001503107</t>
  </si>
  <si>
    <t>CHACHA MILK PEANUT 20GR</t>
  </si>
  <si>
    <t>8991001502933</t>
  </si>
  <si>
    <t>CHACHA MINIS TUBE 12X30GR</t>
  </si>
  <si>
    <t>8993207240732</t>
  </si>
  <si>
    <t>CHAMP ABC 450GR</t>
  </si>
  <si>
    <t>8993207568294</t>
  </si>
  <si>
    <t>CHAMP BAKSO AYAM 500GR</t>
  </si>
  <si>
    <t>8993207120119</t>
  </si>
  <si>
    <t>CHAMP BAKSO SAPI 500GR</t>
  </si>
  <si>
    <t>8993207140384</t>
  </si>
  <si>
    <t>CHAMP BURGER 315GR</t>
  </si>
  <si>
    <t>8993207240763</t>
  </si>
  <si>
    <t>CHAMP CHICKEN NUGGET KOMBINASI 225GR</t>
  </si>
  <si>
    <t>8993207240701</t>
  </si>
  <si>
    <t>CHAMP CHICKEN NUGGET KOMBINASI 450GR</t>
  </si>
  <si>
    <t>8993207240688</t>
  </si>
  <si>
    <t>CHAMP CHICKEN NUGGET KOMBINASI 900GR</t>
  </si>
  <si>
    <t>8993207240695</t>
  </si>
  <si>
    <t>CHAMP CHICKEN NUGGET STICK 900GR</t>
  </si>
  <si>
    <t>8993207230115</t>
  </si>
  <si>
    <t>CHAMP CRUNCHY NUGGET 225GR</t>
  </si>
  <si>
    <t>8993207230221</t>
  </si>
  <si>
    <t>CHAMP CRUNCY NUGGET 450GR</t>
  </si>
  <si>
    <t>8993207730035</t>
  </si>
  <si>
    <t>CHAMP SOSIS AYAM 375GR</t>
  </si>
  <si>
    <t>8993207730110</t>
  </si>
  <si>
    <t>CHAMP SOSIS SAPI 150GR</t>
  </si>
  <si>
    <t>8993207730127</t>
  </si>
  <si>
    <t>CHAMP SOSIS SAPI 375GR</t>
  </si>
  <si>
    <t>CHEESE FILLING 8000 1KG</t>
  </si>
  <si>
    <t>8993407212300</t>
  </si>
  <si>
    <t>CHEESY EASY MELT 160GR</t>
  </si>
  <si>
    <t>8993407212041</t>
  </si>
  <si>
    <t>CHEESY KEJU EDAM 170gr</t>
  </si>
  <si>
    <t>8993407122401</t>
  </si>
  <si>
    <t>CHEESY SPREAD CHEDDAR CHEESE 240GR</t>
  </si>
  <si>
    <t>10427316</t>
  </si>
  <si>
    <t>CHEFFY WRAPING 30CM</t>
  </si>
  <si>
    <t>10427317</t>
  </si>
  <si>
    <t>CHEFFY WRAPING 45CM</t>
  </si>
  <si>
    <t>9556854006039</t>
  </si>
  <si>
    <t>CHEK HUP 3IN1 IPOH WHITE COFFEE RICH 480GR</t>
  </si>
  <si>
    <t>9556854006008</t>
  </si>
  <si>
    <t>CHEK HUP WHITE COFFEE IPOH ORI 480GR</t>
  </si>
  <si>
    <t>10411381</t>
  </si>
  <si>
    <t>CHERRY HIJAU EMBER ROYAL</t>
  </si>
  <si>
    <t>10410015</t>
  </si>
  <si>
    <t>CHERRY HIJAU RYL 100GR</t>
  </si>
  <si>
    <t>10410229</t>
  </si>
  <si>
    <t>CHERRY HIJAU RYL 250GR</t>
  </si>
  <si>
    <t>10410478</t>
  </si>
  <si>
    <t>CHERRY MERAH 100GR</t>
  </si>
  <si>
    <t>10410476</t>
  </si>
  <si>
    <t>CHERRY MERAH 250GR</t>
  </si>
  <si>
    <t>10411382</t>
  </si>
  <si>
    <t>CHERRY MERAH EMBER ROYAL</t>
  </si>
  <si>
    <t>10427055</t>
  </si>
  <si>
    <t>CHERY EMAS 1.5CM 100S CI3A</t>
  </si>
  <si>
    <t>10427056</t>
  </si>
  <si>
    <t>CHERY EMAS 1CM 100S CI2A</t>
  </si>
  <si>
    <t>10427054</t>
  </si>
  <si>
    <t>CHERY SILVER 1.5CM 100S CI3S</t>
  </si>
  <si>
    <t>10427057</t>
  </si>
  <si>
    <t>CHERY SILVER 1CM 100S CI2S</t>
  </si>
  <si>
    <t>10410945</t>
  </si>
  <si>
    <t>CHIA SEED ORGANIC 100GR</t>
  </si>
  <si>
    <t>10410943</t>
  </si>
  <si>
    <t>CHIA SEED ORGANIC 1KG</t>
  </si>
  <si>
    <t>10410944</t>
  </si>
  <si>
    <t>CHIA SEED ORGANIC 250GR</t>
  </si>
  <si>
    <t>8991001501011</t>
  </si>
  <si>
    <t>CHIC CHOC BISCUIT 36GR</t>
  </si>
  <si>
    <t>8991001503664</t>
  </si>
  <si>
    <t>CHIC CHOC BISCUIT MINI 20GR</t>
  </si>
  <si>
    <t>CHIP LAGIE 1/2BULAT 3KG</t>
  </si>
  <si>
    <t>10410018</t>
  </si>
  <si>
    <t>CHIP LAGIE RAINBOW 1KG</t>
  </si>
  <si>
    <t>10410829</t>
  </si>
  <si>
    <t>CHIP LAGIE RAINBOW 3KG</t>
  </si>
  <si>
    <t>10410212</t>
  </si>
  <si>
    <t>CHIP LAGIE RAINBOW 1/2KG</t>
  </si>
  <si>
    <t>10410483</t>
  </si>
  <si>
    <t>CHIP LAGIE RAINBOW 100GR</t>
  </si>
  <si>
    <t>10410231</t>
  </si>
  <si>
    <t>CHIP LAGIE RAINBOW 250GR</t>
  </si>
  <si>
    <t>12000188</t>
  </si>
  <si>
    <t>CHIP MINI COL 1/2KG</t>
  </si>
  <si>
    <t>10420834</t>
  </si>
  <si>
    <t>CHIP MINI COL 100GR</t>
  </si>
  <si>
    <t>10420833</t>
  </si>
  <si>
    <t>CHIP MINI COL 250GR</t>
  </si>
  <si>
    <t>8992993527843</t>
  </si>
  <si>
    <t>CHIP MINI COLATTA 5 KG</t>
  </si>
  <si>
    <t>8992952952792</t>
  </si>
  <si>
    <t>CHO CHO METEORA POUCH 1KG</t>
  </si>
  <si>
    <t>8997025914783</t>
  </si>
  <si>
    <t>CHOCK LITS COKLAT PASTA 5KG</t>
  </si>
  <si>
    <t>8992775913000</t>
  </si>
  <si>
    <t>CHOCOLATOS DRINK COKLAT 27GR 10S</t>
  </si>
  <si>
    <t>8992775005170</t>
  </si>
  <si>
    <t>CHOCOLATOS DRINK CREAMY CHOCOLATE 27GR 10S</t>
  </si>
  <si>
    <t>8992775000250</t>
  </si>
  <si>
    <t>CHOCOLATOS DRINK MATCHA LATE 24GR</t>
  </si>
  <si>
    <t>9555092606117</t>
  </si>
  <si>
    <t>CHUSAO BAKING PAPER 30X10CM</t>
  </si>
  <si>
    <t>9555092606001</t>
  </si>
  <si>
    <t>CHUSAO BAKING PAPER 30X5CM</t>
  </si>
  <si>
    <t>10426976</t>
  </si>
  <si>
    <t>CINNAMAROL TATAAN LAMPU CI9-1</t>
  </si>
  <si>
    <t>10425933</t>
  </si>
  <si>
    <t>CINNAMON ROLL DKK SET5 CI7B</t>
  </si>
  <si>
    <t>10426586</t>
  </si>
  <si>
    <t>CINNAMON SET5 CI6</t>
  </si>
  <si>
    <t>8001440120244</t>
  </si>
  <si>
    <t>CIRIO PASSATA 350GR</t>
  </si>
  <si>
    <t>8992824265630</t>
  </si>
  <si>
    <t>CITA MARGARINE 15KG</t>
  </si>
  <si>
    <t>10411606</t>
  </si>
  <si>
    <t>CITA MARGARINE 1KG</t>
  </si>
  <si>
    <t>10411607</t>
  </si>
  <si>
    <t>CITA MARGARINE 500GR</t>
  </si>
  <si>
    <t>10200079</t>
  </si>
  <si>
    <t>CITRUN CAP GJH 500GR</t>
  </si>
  <si>
    <t>8993093100509</t>
  </si>
  <si>
    <t>CITRUN CAP GJH 50GR</t>
  </si>
  <si>
    <t>10410568</t>
  </si>
  <si>
    <t>CKLT FILLING PRIGENT 1/2KG</t>
  </si>
  <si>
    <t>10410844</t>
  </si>
  <si>
    <t>CKLT FILLING PRIGENT 10KG</t>
  </si>
  <si>
    <t>10410566</t>
  </si>
  <si>
    <t>CKLT FILLING PRIGENT 1KG</t>
  </si>
  <si>
    <t>10410567</t>
  </si>
  <si>
    <t>CKLT FILLING PRIGENT 250GR</t>
  </si>
  <si>
    <t>10424785</t>
  </si>
  <si>
    <t>CLAIR GUNTING SERBAGUNA</t>
  </si>
  <si>
    <t>10412365</t>
  </si>
  <si>
    <t>CLARA COCOA POWDER 1/2KG</t>
  </si>
  <si>
    <t>8994043111279</t>
  </si>
  <si>
    <t>CLARA COCOA POWDER 10KG</t>
  </si>
  <si>
    <t>10412366</t>
  </si>
  <si>
    <t>CLARA COCOA POWDER 250GR</t>
  </si>
  <si>
    <t>10426479</t>
  </si>
  <si>
    <t>CLASSIC LOAF PAN BUN0028</t>
  </si>
  <si>
    <t>10425702</t>
  </si>
  <si>
    <t>CLAY PELANGI B AWAN 3 YCL2A</t>
  </si>
  <si>
    <t>10425699</t>
  </si>
  <si>
    <t>CLAY PELANGI B AWAN YCL2B</t>
  </si>
  <si>
    <t>10425695</t>
  </si>
  <si>
    <t>CLAY PELANGI B BINTANG YCL2D</t>
  </si>
  <si>
    <t>10425697</t>
  </si>
  <si>
    <t>CLAY PELANGI B HATI YCL2C</t>
  </si>
  <si>
    <t>8997227040143</t>
  </si>
  <si>
    <t>CLING WRAP REFILL 30</t>
  </si>
  <si>
    <t>8997227040150</t>
  </si>
  <si>
    <t>CLING WRAP REFILL 40</t>
  </si>
  <si>
    <t>10426620</t>
  </si>
  <si>
    <t>COBEK KAYU PREMIUM BESAR 19CM</t>
  </si>
  <si>
    <t>10426621</t>
  </si>
  <si>
    <t>COBEK KAYU PREMIUM JUMBO 21CM</t>
  </si>
  <si>
    <t>10426618</t>
  </si>
  <si>
    <t>COBEK KAYU PREMIUM KECIL 14CM</t>
  </si>
  <si>
    <t>10426619</t>
  </si>
  <si>
    <t>COBEK KAYU PREMIUM SEDANG 16CM</t>
  </si>
  <si>
    <t>8852756303506</t>
  </si>
  <si>
    <t>COCO LOOPS 170GR</t>
  </si>
  <si>
    <t>8852756304503</t>
  </si>
  <si>
    <t>COCO LOOPS 330GR</t>
  </si>
  <si>
    <t>7891100030911</t>
  </si>
  <si>
    <t>COFFE GRINDER LIVON</t>
  </si>
  <si>
    <t>COKELAT PASTA KH 1KG</t>
  </si>
  <si>
    <t>10420848</t>
  </si>
  <si>
    <t>COKELAT PASTA KH 20 CC</t>
  </si>
  <si>
    <t>10411118</t>
  </si>
  <si>
    <t>COKLAT CARIBE FLAKE 100GR</t>
  </si>
  <si>
    <t>10411116</t>
  </si>
  <si>
    <t>COKLAT CARIBE FLAKE 1KG</t>
  </si>
  <si>
    <t>10411657</t>
  </si>
  <si>
    <t>COKLAT CARIBE FLAKE 20KG</t>
  </si>
  <si>
    <t>10411117</t>
  </si>
  <si>
    <t>COKLAT CARIBE FLAKE 250GR</t>
  </si>
  <si>
    <t>8000500003787</t>
  </si>
  <si>
    <t>COKLAT FERRERO ROCHER 200GR</t>
  </si>
  <si>
    <t>8000500009673</t>
  </si>
  <si>
    <t>COKLAT FERRERO ROCHER 300GR</t>
  </si>
  <si>
    <t>8000500010709</t>
  </si>
  <si>
    <t>COKLAT FERRERO ROCHER 37,5GR</t>
  </si>
  <si>
    <t>10410912</t>
  </si>
  <si>
    <t>COKLAT FILLING NESTA BF 1/2kg</t>
  </si>
  <si>
    <t>10410908</t>
  </si>
  <si>
    <t>COKLAT FILLING NESTA BF 250GR</t>
  </si>
  <si>
    <t>10412391</t>
  </si>
  <si>
    <t>COKLAT ISIAN NESTA 1/2KG</t>
  </si>
  <si>
    <t>10410022</t>
  </si>
  <si>
    <t>COKLAT ISIAN NESTA 10 KG</t>
  </si>
  <si>
    <t>10424027</t>
  </si>
  <si>
    <t>COKLAT POWDER N20 10KG</t>
  </si>
  <si>
    <t>10411489</t>
  </si>
  <si>
    <t>COKLAT POWDER N20 250GR</t>
  </si>
  <si>
    <t>10300094</t>
  </si>
  <si>
    <t>COL CHOCO FILLING 1/2KG</t>
  </si>
  <si>
    <t>10421862</t>
  </si>
  <si>
    <t>COL CHOCO FILLING 1KG</t>
  </si>
  <si>
    <t>10300095</t>
  </si>
  <si>
    <t>COL CHOCO FILLING 250GR</t>
  </si>
  <si>
    <t>COL CHOCO FILLING 5KG</t>
  </si>
  <si>
    <t>10410199</t>
  </si>
  <si>
    <t>COL GLAZE CAPUCINO 1/2 KG</t>
  </si>
  <si>
    <t>8992993526112</t>
  </si>
  <si>
    <t>COL GLAZE CAPUCINO 1KG TUB</t>
  </si>
  <si>
    <t>10410238</t>
  </si>
  <si>
    <t>COL GLAZE CAPUCINO 250GR</t>
  </si>
  <si>
    <t>8992993526518</t>
  </si>
  <si>
    <t>COL GLAZE CARAMEL DULCE 1KG</t>
  </si>
  <si>
    <t>10410187</t>
  </si>
  <si>
    <t>COL GLAZE DARK 1/2KG</t>
  </si>
  <si>
    <t>10410239</t>
  </si>
  <si>
    <t>COL GLAZE DARK 250GR</t>
  </si>
  <si>
    <t>8992993528123</t>
  </si>
  <si>
    <t>COL GLAZE DARK COKLAT 250GR</t>
  </si>
  <si>
    <t>10410457</t>
  </si>
  <si>
    <t>COL GLAZE GREEN TEA 1/2KG</t>
  </si>
  <si>
    <t>10410240</t>
  </si>
  <si>
    <t>COL GLAZE GREEN TEA 250GR</t>
  </si>
  <si>
    <t>8992993526129</t>
  </si>
  <si>
    <t>COL GLAZE MANGGA 1KG TUB</t>
  </si>
  <si>
    <t>10410456</t>
  </si>
  <si>
    <t>COL GLAZE STRAW 1/2KG</t>
  </si>
  <si>
    <t>10410260</t>
  </si>
  <si>
    <t>COL GLAZE STRAW 250GR</t>
  </si>
  <si>
    <t>8992993528369</t>
  </si>
  <si>
    <t>8992993526136</t>
  </si>
  <si>
    <t>COL GLAZE STW 1KG TUB</t>
  </si>
  <si>
    <t>10410455</t>
  </si>
  <si>
    <t>COL GLAZE TIRAMISU 1/2KG</t>
  </si>
  <si>
    <t>8992993528130</t>
  </si>
  <si>
    <t>COL GLAZE TIRAMISU 250GR</t>
  </si>
  <si>
    <t>10410258</t>
  </si>
  <si>
    <t>10411837</t>
  </si>
  <si>
    <t>COL GLAZE UBI 1/2KG</t>
  </si>
  <si>
    <t>10411838</t>
  </si>
  <si>
    <t>COL GLAZE UBI 250GR</t>
  </si>
  <si>
    <t>8992993528291</t>
  </si>
  <si>
    <t>COL GLAZE UBI UNGU 1KG TUB</t>
  </si>
  <si>
    <t>8992993528307</t>
  </si>
  <si>
    <t>COL GLAZE UBI UNGU 5KG</t>
  </si>
  <si>
    <t>10410189</t>
  </si>
  <si>
    <t>COL GLAZE WHITE 1/2KG</t>
  </si>
  <si>
    <t>8992993526150</t>
  </si>
  <si>
    <t>COL GLAZE WHITE 1KG TUB</t>
  </si>
  <si>
    <t>10410242</t>
  </si>
  <si>
    <t>COL GLAZE WHITE 250GR</t>
  </si>
  <si>
    <t>8992993528352</t>
  </si>
  <si>
    <t>10411057</t>
  </si>
  <si>
    <t>COLATTA CHIP BS 1/2KG</t>
  </si>
  <si>
    <t>10410867</t>
  </si>
  <si>
    <t>COLATTA CHIP BS 250GR</t>
  </si>
  <si>
    <t>8992993527850</t>
  </si>
  <si>
    <t>COLATTA CHIP BS 5KG</t>
  </si>
  <si>
    <t>COLATTA CHOCO CHIP 150GR</t>
  </si>
  <si>
    <t>8992993528918</t>
  </si>
  <si>
    <t>COLATTA CHOCO CHIPS 225GR</t>
  </si>
  <si>
    <t>8992993523968</t>
  </si>
  <si>
    <t>COLATTA CHOCO HAZELNUT 220GR</t>
  </si>
  <si>
    <t>8992993523951</t>
  </si>
  <si>
    <t>COLATTA CHOCO SPREAD 220GR</t>
  </si>
  <si>
    <t>COLATTA COMPOUND DARK 2X250GR</t>
  </si>
  <si>
    <t>COLATTA COMPOUND DARK 5KG</t>
  </si>
  <si>
    <t>8992993525726</t>
  </si>
  <si>
    <t>COLATTA CRUNCHY SPREAD 220GR</t>
  </si>
  <si>
    <t>10412088</t>
  </si>
  <si>
    <t>COLATTA DARK 1S</t>
  </si>
  <si>
    <t>COLATTA MILK 1KG</t>
  </si>
  <si>
    <t>COLATTA MILK 250GR</t>
  </si>
  <si>
    <t>8992993528383</t>
  </si>
  <si>
    <t>COLATTA PASTRY DARK 250GR</t>
  </si>
  <si>
    <t>10410331</t>
  </si>
  <si>
    <t>COLATTA PASTRY MATE BAKERY 5KG</t>
  </si>
  <si>
    <t>10412318</t>
  </si>
  <si>
    <t>COLATTA PASTRY WHITE 1S</t>
  </si>
  <si>
    <t>COLATTA STIK 1200GR</t>
  </si>
  <si>
    <t>8992993522701</t>
  </si>
  <si>
    <t>COLATTA STRAWBERY 250GR</t>
  </si>
  <si>
    <t>COLATTA WHITE 250GR</t>
  </si>
  <si>
    <t>10422348</t>
  </si>
  <si>
    <t>COLLING RAK 30X30</t>
  </si>
  <si>
    <t>10423014</t>
  </si>
  <si>
    <t>COLLING RAK 30X40</t>
  </si>
  <si>
    <t>10422349</t>
  </si>
  <si>
    <t>COLLING RAK 60X40</t>
  </si>
  <si>
    <t>10426861</t>
  </si>
  <si>
    <t>COLLING RAK BLACK 16X10CM A336</t>
  </si>
  <si>
    <t>10423136</t>
  </si>
  <si>
    <t>COLLING RAK BLT 30X30</t>
  </si>
  <si>
    <t>6930776300179</t>
  </si>
  <si>
    <t>COLLINGRAK BSR 41.3X2 CRH0008</t>
  </si>
  <si>
    <t>6958004011208</t>
  </si>
  <si>
    <t>COLLINGRAK BSR 44CM CRH0005</t>
  </si>
  <si>
    <t>10425201</t>
  </si>
  <si>
    <t>COLLINGRAK BSR GOLD 42,7X27,6CM CRH0006</t>
  </si>
  <si>
    <t>10425180</t>
  </si>
  <si>
    <t>COLLINGRAK LOVE ROSEGOLD CRH0009</t>
  </si>
  <si>
    <t>8997226690882</t>
  </si>
  <si>
    <t>COMEXTRA KACANG KENARI 1KG</t>
  </si>
  <si>
    <t>10100454</t>
  </si>
  <si>
    <t>COMEXTRA METE CINCANG 22.68 KG</t>
  </si>
  <si>
    <t>8997226690691</t>
  </si>
  <si>
    <t>COMEXTRA METE SW240 1KG</t>
  </si>
  <si>
    <t>3123052000624</t>
  </si>
  <si>
    <t>COMEXTRA METE SW320 22.68KG</t>
  </si>
  <si>
    <t>8080328111673</t>
  </si>
  <si>
    <t>COMEXTRA METE SW450 22.68KG</t>
  </si>
  <si>
    <t>7310323311787</t>
  </si>
  <si>
    <t>COMEXTRA METE W240 PREMIUM 22.68KG</t>
  </si>
  <si>
    <t>10411972</t>
  </si>
  <si>
    <t>10411954</t>
  </si>
  <si>
    <t>COMEXTRA METE W450 PREMIUM 11.34KG</t>
  </si>
  <si>
    <t>8997226690523</t>
  </si>
  <si>
    <t>COMEXTRA METE W450 PREMIUM 1KG</t>
  </si>
  <si>
    <t>081091</t>
  </si>
  <si>
    <t>CONGRAT FANCY SCRIPT</t>
  </si>
  <si>
    <t>10423847</t>
  </si>
  <si>
    <t>COOKIE CUT BLT WRN 12PCS CTD0026 LISSE</t>
  </si>
  <si>
    <t>10426530</t>
  </si>
  <si>
    <t>COOKIE CUTTER 3IN1 MTF CTD0028</t>
  </si>
  <si>
    <t>10425210</t>
  </si>
  <si>
    <t>COOKIE CUTTER LENTERA CTD0089</t>
  </si>
  <si>
    <t>10423848</t>
  </si>
  <si>
    <t>COOKIE CUTTER STAIN LISSE CTD0031</t>
  </si>
  <si>
    <t>6940600860007</t>
  </si>
  <si>
    <t>COOKIECUTTER HURUF ANGKA 1615-5</t>
  </si>
  <si>
    <t>6935107655256</t>
  </si>
  <si>
    <t>COOKIES CUTTER HURUF DS311</t>
  </si>
  <si>
    <t>10424837</t>
  </si>
  <si>
    <t>COOKIES K HATI PLS4-1</t>
  </si>
  <si>
    <t>10424913</t>
  </si>
  <si>
    <t>COOKIES K LOVE PLS4-2</t>
  </si>
  <si>
    <t>10425993</t>
  </si>
  <si>
    <t>COOKIES KCL HELLOKITTY PLS3-7</t>
  </si>
  <si>
    <t>10426998</t>
  </si>
  <si>
    <t>COOKIES KCL POCHACO PLS3-6</t>
  </si>
  <si>
    <t>10100474</t>
  </si>
  <si>
    <t>COOKING MASTER BUMBU KIMCHI 250GR</t>
  </si>
  <si>
    <t>8997227876681</t>
  </si>
  <si>
    <t>COOKING MASTER BUMBU KIMCHI 380GR</t>
  </si>
  <si>
    <t>4989082757575</t>
  </si>
  <si>
    <t>COOKIS CUTTER MOTIF 2S</t>
  </si>
  <si>
    <t>10410517</t>
  </si>
  <si>
    <t>CORMAN P1 1/2KG</t>
  </si>
  <si>
    <t>10410866</t>
  </si>
  <si>
    <t>CORMAN P1 17KG</t>
  </si>
  <si>
    <t>10410516</t>
  </si>
  <si>
    <t>CORMAN P1 250GR</t>
  </si>
  <si>
    <t>CORMAN PATISY 1/2KG</t>
  </si>
  <si>
    <t>CORMAN PATISY 1KG</t>
  </si>
  <si>
    <t>CORN FLAKE 1/2KG</t>
  </si>
  <si>
    <t>10411212</t>
  </si>
  <si>
    <t>CORN FLAKE 10KG</t>
  </si>
  <si>
    <t>10426528</t>
  </si>
  <si>
    <t>CORN PEELER DONAT TOL0144</t>
  </si>
  <si>
    <t>6972474682980</t>
  </si>
  <si>
    <t>COROLLA GAS TORCH 1300C</t>
  </si>
  <si>
    <t>644209000678</t>
  </si>
  <si>
    <t>COUNTRY KITCHEN ORI 710ML</t>
  </si>
  <si>
    <t>10425842</t>
  </si>
  <si>
    <t>COVER GLASS 10.5 DIVA</t>
  </si>
  <si>
    <t>10423677</t>
  </si>
  <si>
    <t>COVER GLASS 10.5 KLASSY</t>
  </si>
  <si>
    <t>10420584</t>
  </si>
  <si>
    <t>COVER GLASS 10.5 ROSE</t>
  </si>
  <si>
    <t>10412401</t>
  </si>
  <si>
    <t>COWBLEND BUTTER FAT BLEND 2KG</t>
  </si>
  <si>
    <t>10412402</t>
  </si>
  <si>
    <t>COWBLEND BUTTER FAT BLEND 400GR</t>
  </si>
  <si>
    <t>9555119802119</t>
  </si>
  <si>
    <t>CRAPER PLASTIK ACUAN NO 211</t>
  </si>
  <si>
    <t>10422850</t>
  </si>
  <si>
    <t>CREAM WHIPPER 500ML</t>
  </si>
  <si>
    <t>8936022043010</t>
  </si>
  <si>
    <t>CREAMY WHIP NON DAIRY 1L</t>
  </si>
  <si>
    <t>8997214882640</t>
  </si>
  <si>
    <t>CREME CASTLE ORI 1KG</t>
  </si>
  <si>
    <t>8997214881131</t>
  </si>
  <si>
    <t>8997214882626</t>
  </si>
  <si>
    <t>CREME CASTLE ORI 500GR</t>
  </si>
  <si>
    <t>8997214882909</t>
  </si>
  <si>
    <t>CREME CASTLE SKM POUCH 1KG</t>
  </si>
  <si>
    <t>8997214882916</t>
  </si>
  <si>
    <t>CREME CASTLE SKM POUCH 2,5KG</t>
  </si>
  <si>
    <t>10421025</t>
  </si>
  <si>
    <t>CRISPY BALL BANANA 100GR</t>
  </si>
  <si>
    <t>10410781</t>
  </si>
  <si>
    <t>CRISPY BALL BANANA 2,5KG</t>
  </si>
  <si>
    <t>10420962</t>
  </si>
  <si>
    <t>CRISPY BALL BANANA 250GR</t>
  </si>
  <si>
    <t>10410779</t>
  </si>
  <si>
    <t>CRISPY BALL CAPPUCINO 2,5KG</t>
  </si>
  <si>
    <t>10420891</t>
  </si>
  <si>
    <t>CRISPY BALL CAPUCINO 100GR</t>
  </si>
  <si>
    <t>10420892</t>
  </si>
  <si>
    <t>CRISPY BALL CAPUCINO 250GR</t>
  </si>
  <si>
    <t>10410599</t>
  </si>
  <si>
    <t>CRISPY BALL DARK 100GR</t>
  </si>
  <si>
    <t>10410774</t>
  </si>
  <si>
    <t>CRISPY BALL DARK 2,5KG</t>
  </si>
  <si>
    <t>10410597</t>
  </si>
  <si>
    <t>CRISPY BALL DARK 250GR</t>
  </si>
  <si>
    <t>10420888</t>
  </si>
  <si>
    <t>CRISPY BALL GRAPE 100GR</t>
  </si>
  <si>
    <t>10410778</t>
  </si>
  <si>
    <t>CRISPY BALL GRAPE 2,5KG</t>
  </si>
  <si>
    <t>10420889</t>
  </si>
  <si>
    <t>CRISPY BALL GRAPE 250GR</t>
  </si>
  <si>
    <t>10420954</t>
  </si>
  <si>
    <t>CRISPY BALL LEMON 100GR</t>
  </si>
  <si>
    <t>10410780</t>
  </si>
  <si>
    <t>CRISPY BALL LEMON 2,5KG</t>
  </si>
  <si>
    <t>10420952</t>
  </si>
  <si>
    <t>CRISPY BALL LEMON 250GR</t>
  </si>
  <si>
    <t>10410595</t>
  </si>
  <si>
    <t>CRISPY BALL MELON 100GR</t>
  </si>
  <si>
    <t>10410775</t>
  </si>
  <si>
    <t>CRISPY BALL MELON 2,5KG</t>
  </si>
  <si>
    <t>10410594</t>
  </si>
  <si>
    <t>CRISPY BALL MELON 250GR</t>
  </si>
  <si>
    <t>10410777</t>
  </si>
  <si>
    <t>CRISPY BALL STRAW 2,5kg</t>
  </si>
  <si>
    <t>10410593</t>
  </si>
  <si>
    <t>CRISPY BALL STRW 100GR</t>
  </si>
  <si>
    <t>10410592</t>
  </si>
  <si>
    <t>CRISPY BALL STRW 250GR</t>
  </si>
  <si>
    <t>10410776</t>
  </si>
  <si>
    <t>CRISPY BALL WHITE 2,5KG</t>
  </si>
  <si>
    <t>10410598</t>
  </si>
  <si>
    <t>CRISPY BALL WHT 100GR</t>
  </si>
  <si>
    <t>10410596</t>
  </si>
  <si>
    <t>CRISPY BALL WHT 250GR</t>
  </si>
  <si>
    <t>8994302009620</t>
  </si>
  <si>
    <t>CROSS LIQUID BLACK PANTOM 20ML</t>
  </si>
  <si>
    <t>8994302001990</t>
  </si>
  <si>
    <t>CROSS LIQUID CHERRY RED 60ML</t>
  </si>
  <si>
    <t>8994302001822</t>
  </si>
  <si>
    <t>CROSS LIQUID CHERY RED 20ML</t>
  </si>
  <si>
    <t>8994302002003</t>
  </si>
  <si>
    <t>CROSS LIQUID CHOCOLATE 60ML</t>
  </si>
  <si>
    <t>8994302001983</t>
  </si>
  <si>
    <t>CROSS LIQUID DARK COKLAT 20ML</t>
  </si>
  <si>
    <t>10423696</t>
  </si>
  <si>
    <t>CROSS LIQUID DARK VIOLET 20ML</t>
  </si>
  <si>
    <t>8994302001846</t>
  </si>
  <si>
    <t>CROSS LIQUID EGG YELLOW 20ML</t>
  </si>
  <si>
    <t>8994302002010</t>
  </si>
  <si>
    <t>CROSS LIQUID EGG YELLOW 60ML</t>
  </si>
  <si>
    <t>8994302001853</t>
  </si>
  <si>
    <t>CROSS LIQUID LEAF GREEN 20ML</t>
  </si>
  <si>
    <t>8994302002027</t>
  </si>
  <si>
    <t>CROSS LIQUID LEAF GREEN 60ML</t>
  </si>
  <si>
    <t>8994302001860</t>
  </si>
  <si>
    <t>CROSS LIQUID LEM YELLOW 20ML</t>
  </si>
  <si>
    <t>8994302002034</t>
  </si>
  <si>
    <t>CROSS LIQUID LEM YELLOW 60ML</t>
  </si>
  <si>
    <t>8994302001877</t>
  </si>
  <si>
    <t>CROSS LIQUID MOST GREEN 20ML</t>
  </si>
  <si>
    <t>8994302001884</t>
  </si>
  <si>
    <t>CROSS LIQUID ORANGE 20ML</t>
  </si>
  <si>
    <t>10423698</t>
  </si>
  <si>
    <t>8994302002058</t>
  </si>
  <si>
    <t>CROSS LIQUID ORANGE 60ML</t>
  </si>
  <si>
    <t>8994302001891</t>
  </si>
  <si>
    <t>CROSS LIQUID PEAC YELLOW 20ML</t>
  </si>
  <si>
    <t>8994302001969</t>
  </si>
  <si>
    <t>CROSS LIQUID RED RED 20ML</t>
  </si>
  <si>
    <t>8994302002133</t>
  </si>
  <si>
    <t>CROSS LIQUID RED RED 60ML</t>
  </si>
  <si>
    <t>8994302001907</t>
  </si>
  <si>
    <t>CROSS LIQUID ROSE PINK 20ML</t>
  </si>
  <si>
    <t>8994302002072</t>
  </si>
  <si>
    <t>CROSS LIQUID ROSE PINK 60ML</t>
  </si>
  <si>
    <t>8994302009613</t>
  </si>
  <si>
    <t>CROSS LIQUID ROYAL BLUE 20ML</t>
  </si>
  <si>
    <t>8994302001921</t>
  </si>
  <si>
    <t>CROSS LIQUID SKY BLUE 20ML</t>
  </si>
  <si>
    <t>8994302002096</t>
  </si>
  <si>
    <t>CROSS LIQUID SKY BLUE 60ML</t>
  </si>
  <si>
    <t>8994302001976</t>
  </si>
  <si>
    <t>CROSS LIQUID SUPER RED 20ML</t>
  </si>
  <si>
    <t>8994302002140</t>
  </si>
  <si>
    <t>CROSS LIQUID SUPER RED 60ML</t>
  </si>
  <si>
    <t>8994302001938</t>
  </si>
  <si>
    <t>CROSS LIQUID SWEET BLACK 20ML</t>
  </si>
  <si>
    <t>8994302002102</t>
  </si>
  <si>
    <t>CROSS LIQUID SWEET BLACK 60ML</t>
  </si>
  <si>
    <t>8994302001945</t>
  </si>
  <si>
    <t>CROSS LIQUID VIOLET 20ML</t>
  </si>
  <si>
    <t>8994302002119</t>
  </si>
  <si>
    <t>CROSS LIQUID VIOLET 60ML</t>
  </si>
  <si>
    <t>8997235890631</t>
  </si>
  <si>
    <t>CUKA APEL FINEGA 250ML</t>
  </si>
  <si>
    <t>8997235890662</t>
  </si>
  <si>
    <t>CUKA APEL FINEGA 250ML (BTL PLSTK)</t>
  </si>
  <si>
    <t>8997235890648</t>
  </si>
  <si>
    <t>CUKA APEL FINEGA 500ML</t>
  </si>
  <si>
    <t>013000008129</t>
  </si>
  <si>
    <t>CUKA APEL HEINZ 473ML</t>
  </si>
  <si>
    <t>8997234780339</t>
  </si>
  <si>
    <t>CUKA APEL ROYAL SULTAN 320ML</t>
  </si>
  <si>
    <t>8997235890778</t>
  </si>
  <si>
    <t>CUKA LEMON FINEGA 250ML</t>
  </si>
  <si>
    <t>8997235890785</t>
  </si>
  <si>
    <t>CUKA LEMON FINEGA 500ML</t>
  </si>
  <si>
    <t>8997028500549</t>
  </si>
  <si>
    <t>CUKA MAKAN 58 135ML</t>
  </si>
  <si>
    <t>8997028500242</t>
  </si>
  <si>
    <t>CUKA MAKAN 58 600ML</t>
  </si>
  <si>
    <t>8997023760801</t>
  </si>
  <si>
    <t>CUKA TULEN PRENDJAK 150 ML</t>
  </si>
  <si>
    <t>8997023760818</t>
  </si>
  <si>
    <t>CUKA TULEN PRENDJAK 300 ML</t>
  </si>
  <si>
    <t>8997023760825</t>
  </si>
  <si>
    <t>CUKA TULEN PRENDJAK 610 ML</t>
  </si>
  <si>
    <t>013000008525</t>
  </si>
  <si>
    <t>CUKA WHITE HEINZ 473ML</t>
  </si>
  <si>
    <t>10100072</t>
  </si>
  <si>
    <t>CUKO MEJA ANUGRAH</t>
  </si>
  <si>
    <t>10427489</t>
  </si>
  <si>
    <t>CUP BARON 7 BLACK</t>
  </si>
  <si>
    <t>10427490</t>
  </si>
  <si>
    <t>CUP BARON 9.5 BLACK</t>
  </si>
  <si>
    <t>10420009</t>
  </si>
  <si>
    <t>CUP BATIK 38X40MM</t>
  </si>
  <si>
    <t>10420007</t>
  </si>
  <si>
    <t>CUP BATIK 45X50MM</t>
  </si>
  <si>
    <t>10423167</t>
  </si>
  <si>
    <t>CUP BOLU KKS PTH</t>
  </si>
  <si>
    <t>10423168</t>
  </si>
  <si>
    <t>CUP BOLU KKS PTH 100S</t>
  </si>
  <si>
    <t>10420030</t>
  </si>
  <si>
    <t>CUP BRUDER BAKING 63MM</t>
  </si>
  <si>
    <t>10420004</t>
  </si>
  <si>
    <t>CUP BRUDER MD 55MM</t>
  </si>
  <si>
    <t>6958004010652</t>
  </si>
  <si>
    <t>CUP CAKE MAKER 6CUP L6C0007 LISSE</t>
  </si>
  <si>
    <t>10530111</t>
  </si>
  <si>
    <t>CUP CH-20-1-5 25S LESBONS+TUTUP</t>
  </si>
  <si>
    <t>10530117</t>
  </si>
  <si>
    <t>CUP CH-20-1-5 5S LESBONS+TUTUP</t>
  </si>
  <si>
    <t>10530107</t>
  </si>
  <si>
    <t>CUP CH-24 P TINGGI 25S + TUTUP</t>
  </si>
  <si>
    <t>10530118</t>
  </si>
  <si>
    <t>CUP CH-24 P TINGGI 5S + TUTUP</t>
  </si>
  <si>
    <t>10530148</t>
  </si>
  <si>
    <t>CUP CH-32 25S + TUTUP</t>
  </si>
  <si>
    <t>10530110</t>
  </si>
  <si>
    <t>CUP CH-41 P KCL 25S + TUTUP</t>
  </si>
  <si>
    <t>10530120</t>
  </si>
  <si>
    <t>CUP CH-41 P KCL 5S+TUTUP</t>
  </si>
  <si>
    <t>10425576</t>
  </si>
  <si>
    <t>CUP CH-7770 JELLY 25S+TUTUP</t>
  </si>
  <si>
    <t>10424780</t>
  </si>
  <si>
    <t>CUP CH-7770 LESBONS 25S+TUTUP</t>
  </si>
  <si>
    <t>10425577</t>
  </si>
  <si>
    <t>CUP CH-7770-1 JELLY 25S+TUTUP</t>
  </si>
  <si>
    <t>10426856</t>
  </si>
  <si>
    <t>CUP CH20-3-1 JELLY 25S+TUTUP</t>
  </si>
  <si>
    <t>10530106</t>
  </si>
  <si>
    <t>CUP CH20-7570 JELLY 25S + TUTUP</t>
  </si>
  <si>
    <t>10530121</t>
  </si>
  <si>
    <t>CUP CH20-7570 JELLY 5S+TUTUP</t>
  </si>
  <si>
    <t>10430054</t>
  </si>
  <si>
    <t>CUP CONE ICE 10S</t>
  </si>
  <si>
    <t>10421811</t>
  </si>
  <si>
    <t>CUP CURLING MOTIF 3.8X3CM</t>
  </si>
  <si>
    <t>10420005</t>
  </si>
  <si>
    <t>CUP CURLING MOTIF 4,4X3,5CM</t>
  </si>
  <si>
    <t>10422647</t>
  </si>
  <si>
    <t>CUP CURLING MOTIF 5X3.9CM</t>
  </si>
  <si>
    <t>10420139</t>
  </si>
  <si>
    <t>CUP DIVA 5 BIRU</t>
  </si>
  <si>
    <t>10420204</t>
  </si>
  <si>
    <t>CUP DIVA 5 BIRU 100S</t>
  </si>
  <si>
    <t>10420038</t>
  </si>
  <si>
    <t>CUP DIVA 5 BLACK 100S</t>
  </si>
  <si>
    <t>10420055</t>
  </si>
  <si>
    <t>CUP DIVA 5 HIJAU</t>
  </si>
  <si>
    <t>10420039</t>
  </si>
  <si>
    <t>CUP DIVA 5 HIJAU 100S</t>
  </si>
  <si>
    <t>10420140</t>
  </si>
  <si>
    <t>CUP DIVA 5 KNG</t>
  </si>
  <si>
    <t>10420201</t>
  </si>
  <si>
    <t>CUP DIVA 5 KNG 100S</t>
  </si>
  <si>
    <t>CUP DIVA 5 MRH</t>
  </si>
  <si>
    <t>10420200</t>
  </si>
  <si>
    <t>CUP DIVA 5 MRH 100S</t>
  </si>
  <si>
    <t>10420142</t>
  </si>
  <si>
    <t>CUP DIVA 5 ORANGE</t>
  </si>
  <si>
    <t>10420202</t>
  </si>
  <si>
    <t>CUP DIVA 5 ORANGE 100S</t>
  </si>
  <si>
    <t>10420143</t>
  </si>
  <si>
    <t>CUP DIVA 5 PINK</t>
  </si>
  <si>
    <t>10420203</t>
  </si>
  <si>
    <t>CUP DIVA 5 PINK 100S</t>
  </si>
  <si>
    <t>10420144</t>
  </si>
  <si>
    <t>CUP DIVA 5 VIOLET</t>
  </si>
  <si>
    <t>10420041</t>
  </si>
  <si>
    <t>CUP DIVA 5 VIOLET 100S</t>
  </si>
  <si>
    <t>10421858</t>
  </si>
  <si>
    <t>CUP DIVA ROLL RIM CUP</t>
  </si>
  <si>
    <t>10421856</t>
  </si>
  <si>
    <t>CUP DIVA TLP MIX 50X80</t>
  </si>
  <si>
    <t>10421857</t>
  </si>
  <si>
    <t>CUP DIVA TLP MOTIF 35X55</t>
  </si>
  <si>
    <t>10421855</t>
  </si>
  <si>
    <t>CUP DIVA TLP PTH 50X80</t>
  </si>
  <si>
    <t>10427493</t>
  </si>
  <si>
    <t>CUP FORA 11 PUTIH</t>
  </si>
  <si>
    <t>10427492</t>
  </si>
  <si>
    <t>CUP FORA 11 WARNA</t>
  </si>
  <si>
    <t>10420051</t>
  </si>
  <si>
    <t>CUP FORA 5,5 WARNA</t>
  </si>
  <si>
    <t>10422471</t>
  </si>
  <si>
    <t>CUP FORA 5,5 WARNA 100S</t>
  </si>
  <si>
    <t>10427491</t>
  </si>
  <si>
    <t>CUP FORA 5.5 PUTIH</t>
  </si>
  <si>
    <t>10420052</t>
  </si>
  <si>
    <t>CUP FORA 7 WARNA</t>
  </si>
  <si>
    <t>10420053</t>
  </si>
  <si>
    <t>CUP FORA 9,5 WARNA</t>
  </si>
  <si>
    <t>10420050</t>
  </si>
  <si>
    <t>CUP FORA BOLU KUKUS 12,8</t>
  </si>
  <si>
    <t>10426013</t>
  </si>
  <si>
    <t>CUP FORA BRUDER MD 38X40MM</t>
  </si>
  <si>
    <t>10422094</t>
  </si>
  <si>
    <t>CUP FORA BUNGA 55MM</t>
  </si>
  <si>
    <t>10424729</t>
  </si>
  <si>
    <t>CUP FORA CHIFON 156X85MM 1S</t>
  </si>
  <si>
    <t>10424723</t>
  </si>
  <si>
    <t>CUP FORA CHIFON 156X85MM 25S</t>
  </si>
  <si>
    <t>10424732</t>
  </si>
  <si>
    <t>CUP FORA CHIFON EXTRA SMALL 100X52MM 1S</t>
  </si>
  <si>
    <t>10424720</t>
  </si>
  <si>
    <t>CUP FORA CHIFON EXTRA SMALL 100X52MM 40S</t>
  </si>
  <si>
    <t>10424731</t>
  </si>
  <si>
    <t>CUP FORA CHIFON MINI 115X75MM 1S</t>
  </si>
  <si>
    <t>10424721</t>
  </si>
  <si>
    <t>CUP FORA CHIFON MINI 115X75MM 25S</t>
  </si>
  <si>
    <t>10424730</t>
  </si>
  <si>
    <t>CUP FORA CHIFON SEDANG 128X70MM 1S</t>
  </si>
  <si>
    <t>10424722</t>
  </si>
  <si>
    <t>CUP FORA CHIFON SEDANG 128X70MM 50S</t>
  </si>
  <si>
    <t>10422751</t>
  </si>
  <si>
    <t>CUP FORA WARNA OVAL 7.5 X 22.5</t>
  </si>
  <si>
    <t>10422753</t>
  </si>
  <si>
    <t>CUP FORA WR SEGI 11.5X11.5</t>
  </si>
  <si>
    <t>10424779</t>
  </si>
  <si>
    <t>CUP GD-2014-A14 P TINGGI 20S+TUTUP</t>
  </si>
  <si>
    <t>10530119</t>
  </si>
  <si>
    <t>CUP GD-26 5S SEGI 8 + TUTUP</t>
  </si>
  <si>
    <t>10530112</t>
  </si>
  <si>
    <t>CUP GD-26 SEGI 8 + TUTUP</t>
  </si>
  <si>
    <t>10424778</t>
  </si>
  <si>
    <t>CUP GD-7065 P TINGGI 40S+TUTUP</t>
  </si>
  <si>
    <t>10420341</t>
  </si>
  <si>
    <t>CUP ICE CRAM + SENDOK</t>
  </si>
  <si>
    <t>10427414</t>
  </si>
  <si>
    <t>CUP INJECTION 14 OZ</t>
  </si>
  <si>
    <t>10427412</t>
  </si>
  <si>
    <t>CUP INJECTION 16 OZ</t>
  </si>
  <si>
    <t>10427415</t>
  </si>
  <si>
    <t>CUP INJECTION 22 OZ</t>
  </si>
  <si>
    <t>10427413</t>
  </si>
  <si>
    <t>CUP INJECTION OVAL 12 OZ</t>
  </si>
  <si>
    <t>10423994</t>
  </si>
  <si>
    <t>CUP KLASSI 5,5 PUTIH</t>
  </si>
  <si>
    <t>10424680</t>
  </si>
  <si>
    <t>CUP KLASSI 5,5 PUTIH 100S</t>
  </si>
  <si>
    <t>10420058</t>
  </si>
  <si>
    <t>CUP KLASSI 5,5 WARNA</t>
  </si>
  <si>
    <t>10420047</t>
  </si>
  <si>
    <t>CUP KLASSI 5,5 WARNA 100S</t>
  </si>
  <si>
    <t>10420048</t>
  </si>
  <si>
    <t>CUP KLASSI 7 PTH 100S</t>
  </si>
  <si>
    <t>10420059</t>
  </si>
  <si>
    <t>CUP KLASSI 7 PUTIH</t>
  </si>
  <si>
    <t>10420435</t>
  </si>
  <si>
    <t>CUP KLASSI 7 WRN 100S</t>
  </si>
  <si>
    <t>10420248</t>
  </si>
  <si>
    <t>CUP KLASSI 7 WRNA</t>
  </si>
  <si>
    <t>10422196</t>
  </si>
  <si>
    <t>CUP KLASSI 9,5 PUTIH</t>
  </si>
  <si>
    <t>10422228</t>
  </si>
  <si>
    <t>CUP KLASSI 9,5 PUTIH 100s</t>
  </si>
  <si>
    <t>10420145</t>
  </si>
  <si>
    <t>CUP KLASSI BOLU KKS</t>
  </si>
  <si>
    <t>10420049</t>
  </si>
  <si>
    <t>CUP KLASSI BOLU KKS 100S</t>
  </si>
  <si>
    <t>10420054</t>
  </si>
  <si>
    <t>CUP KLASSI WRN 9,5</t>
  </si>
  <si>
    <t>10420044</t>
  </si>
  <si>
    <t>CUP KLASSI WRN 9,5 100S</t>
  </si>
  <si>
    <t>10420602</t>
  </si>
  <si>
    <t>CUP MOTIF MALAYSIA 100S</t>
  </si>
  <si>
    <t>10424164</t>
  </si>
  <si>
    <t>CUP MUFFIN MEDIUM 50S JZ-</t>
  </si>
  <si>
    <t>CUP MUFFIN SMALL 50S JZ-</t>
  </si>
  <si>
    <t>10420008</t>
  </si>
  <si>
    <t>CUP PATTISERIE 38X40MM</t>
  </si>
  <si>
    <t>10420006</t>
  </si>
  <si>
    <t>CUP PATTISERIE 45X50MM</t>
  </si>
  <si>
    <t>10422093</t>
  </si>
  <si>
    <t>CUP PATTISERIE 55MM</t>
  </si>
  <si>
    <t>10426857</t>
  </si>
  <si>
    <t>CUP PERSEGI KECIL 100S LBX-B1</t>
  </si>
  <si>
    <t>10420593</t>
  </si>
  <si>
    <t>CUP POLIGONAL 20S</t>
  </si>
  <si>
    <t>10420035</t>
  </si>
  <si>
    <t>CUP POLIGONAL BF 200S</t>
  </si>
  <si>
    <t>10530057</t>
  </si>
  <si>
    <t>CUP PUDING ROYAL</t>
  </si>
  <si>
    <t>10422680</t>
  </si>
  <si>
    <t>CUP ROSA 11</t>
  </si>
  <si>
    <t>10425633</t>
  </si>
  <si>
    <t>CUP ROSA 11 MOTIF</t>
  </si>
  <si>
    <t>10423940</t>
  </si>
  <si>
    <t>CUP ROSA 5.5 BLACK</t>
  </si>
  <si>
    <t>10420689</t>
  </si>
  <si>
    <t>CUP ROSA 7 BLCK</t>
  </si>
  <si>
    <t>10420690</t>
  </si>
  <si>
    <t>CUP ROSA 7 BLCK 100S</t>
  </si>
  <si>
    <t>10420586</t>
  </si>
  <si>
    <t>CUP ROSA 9,5 BLCK</t>
  </si>
  <si>
    <t>10420592</t>
  </si>
  <si>
    <t>CUP ROSA 9,5 BLCK 100S</t>
  </si>
  <si>
    <t>10425530</t>
  </si>
  <si>
    <t>CUP SENG PLS</t>
  </si>
  <si>
    <t>10426553</t>
  </si>
  <si>
    <t>CUP SILICONE BINTANG 3S CUS0004</t>
  </si>
  <si>
    <t>10426518</t>
  </si>
  <si>
    <t>CUP SILICONE BINTANG CUS0004</t>
  </si>
  <si>
    <t>10426555</t>
  </si>
  <si>
    <t>CUP SILICONE BULAT 3S CUS0001</t>
  </si>
  <si>
    <t>10426520</t>
  </si>
  <si>
    <t>CUP SILICONE BULAT CUS0001</t>
  </si>
  <si>
    <t>10426552</t>
  </si>
  <si>
    <t>CUP SILICONE BULAT MTF 3S CUS0006</t>
  </si>
  <si>
    <t>10426517</t>
  </si>
  <si>
    <t>CUP SILICONE BULAT MTF CUS0006</t>
  </si>
  <si>
    <t>10426550</t>
  </si>
  <si>
    <t>CUP SILICONE DAUN 3S CUS0008</t>
  </si>
  <si>
    <t>10426515</t>
  </si>
  <si>
    <t>CUP SILICONE DAUN CUS0008</t>
  </si>
  <si>
    <t>10426557</t>
  </si>
  <si>
    <t>CUP SILICONE FLOWER PLUM 3S CUS0016</t>
  </si>
  <si>
    <t>10426522</t>
  </si>
  <si>
    <t>CUP SILICONE FLOWER PLUM CUS0016</t>
  </si>
  <si>
    <t>10426554</t>
  </si>
  <si>
    <t>CUP SILICONE HATI 3S CUS0003</t>
  </si>
  <si>
    <t>10426519</t>
  </si>
  <si>
    <t>CUP SILICONE HATI CUS0003</t>
  </si>
  <si>
    <t>10426558</t>
  </si>
  <si>
    <t>CUP SILICONE LOTUS 3S CUS0018</t>
  </si>
  <si>
    <t>10426523</t>
  </si>
  <si>
    <t>CUP SILICONE LOTUS CUS0018</t>
  </si>
  <si>
    <t>10426562</t>
  </si>
  <si>
    <t>CUP SILICONE MELATI 3S CUS0007</t>
  </si>
  <si>
    <t>10426490</t>
  </si>
  <si>
    <t>CUP SILICONE MELATI CUS0007</t>
  </si>
  <si>
    <t>10426560</t>
  </si>
  <si>
    <t>CUP SILICONE MELATI MOTIF 3S CUS0021</t>
  </si>
  <si>
    <t>10426525</t>
  </si>
  <si>
    <t>CUP SILICONE MELATI MOTIF CUS0021</t>
  </si>
  <si>
    <t>10426559</t>
  </si>
  <si>
    <t>CUP SILICONE NEW ROSE 3S CUS0020</t>
  </si>
  <si>
    <t>10426524</t>
  </si>
  <si>
    <t>CUP SILICONE NEW ROSE CUS0020</t>
  </si>
  <si>
    <t>10426556</t>
  </si>
  <si>
    <t>CUP SILICONE SAKURA 3S CUS0010</t>
  </si>
  <si>
    <t>10426521</t>
  </si>
  <si>
    <t>CUP SILICONE SAKURA CUS0010</t>
  </si>
  <si>
    <t>10426549</t>
  </si>
  <si>
    <t>CUP SILICONE SUNFLOWER 3S CUS0023</t>
  </si>
  <si>
    <t>10426514</t>
  </si>
  <si>
    <t>CUP SILICONE SUNFLOWER CUS0023</t>
  </si>
  <si>
    <t>10426551</t>
  </si>
  <si>
    <t>CUP SILICONE TULIP 3S CUS0009</t>
  </si>
  <si>
    <t>10426516</t>
  </si>
  <si>
    <t>CUP SILICONE TULIP CUS0009</t>
  </si>
  <si>
    <t>6973594329151</t>
  </si>
  <si>
    <t>CURHAT KALDU RASA JAMUR 200GR</t>
  </si>
  <si>
    <t>4934481132508</t>
  </si>
  <si>
    <t>CUTTER 16CM PP10 NEGI</t>
  </si>
  <si>
    <t>10422607</t>
  </si>
  <si>
    <t>CUTTER BLT GERIGI YG-25</t>
  </si>
  <si>
    <t>6923450016770</t>
  </si>
  <si>
    <t>CUTTER GEOMETRIC FT 1407</t>
  </si>
  <si>
    <t>10427397</t>
  </si>
  <si>
    <t>CUTTER PIZZA BULAT STAINLES</t>
  </si>
  <si>
    <t>8994094000324</t>
  </si>
  <si>
    <t>DAIRY CHAMP SASET 40GR</t>
  </si>
  <si>
    <t>DAIRY CHAMP SKM 1KG</t>
  </si>
  <si>
    <t>8997214880837</t>
  </si>
  <si>
    <t>DAIRY CROWN SKM 1KG</t>
  </si>
  <si>
    <t>9556592764932</t>
  </si>
  <si>
    <t>DAIRY MASTER CHEESE SAUCE 1KG</t>
  </si>
  <si>
    <t>9555040805821</t>
  </si>
  <si>
    <t>DAIRY MASTER SIGNATURE CHEESE SAUCE 500gr</t>
  </si>
  <si>
    <t>9551021070158</t>
  </si>
  <si>
    <t>DAIRY MASTER TRUFFLE CHEESE SAUCE 500GR</t>
  </si>
  <si>
    <t>8993407212584</t>
  </si>
  <si>
    <t>DAIRYGOLD GREEN CHEDDAR CHEESEE 160GR</t>
  </si>
  <si>
    <t>8992696525030</t>
  </si>
  <si>
    <t>DANCOW COKLAT FORTIGRO SCH 38GR 10S</t>
  </si>
  <si>
    <t>8992696405448</t>
  </si>
  <si>
    <t>DANCOW INST ENRICHED FORTIGRO 780 GR</t>
  </si>
  <si>
    <t>8994286130587</t>
  </si>
  <si>
    <t>DANDANG BLACK TEA CELUP 50GR</t>
  </si>
  <si>
    <t>8994286160034</t>
  </si>
  <si>
    <t>DANDANG VANILLA TEA CELUP 50GR</t>
  </si>
  <si>
    <t>10410611</t>
  </si>
  <si>
    <t>DANISH PASTRY 1/2KG</t>
  </si>
  <si>
    <t>10410581</t>
  </si>
  <si>
    <t>DANISH PASTRY 1KG</t>
  </si>
  <si>
    <t>10410612</t>
  </si>
  <si>
    <t>DANISH PASTRY 250GR</t>
  </si>
  <si>
    <t>10300042</t>
  </si>
  <si>
    <t>DAUN SAMBILOTO 1KG</t>
  </si>
  <si>
    <t>10300045</t>
  </si>
  <si>
    <t>DAUN SAMBILOTO 50GR</t>
  </si>
  <si>
    <t>8888640248844</t>
  </si>
  <si>
    <t>DAYDAY GRASS JELLY CINCAU CRT 24X300ML</t>
  </si>
  <si>
    <t>8997214882862</t>
  </si>
  <si>
    <t>DBEST SODA WATER 325ML</t>
  </si>
  <si>
    <t>8992992936363</t>
  </si>
  <si>
    <t>DCREPES PANCAKE MIX CHOCOLATE 220GR</t>
  </si>
  <si>
    <t>8423450600101</t>
  </si>
  <si>
    <t>DCT115 YG-10 GUNTING MAWAR+SPUIT</t>
  </si>
  <si>
    <t>10423627</t>
  </si>
  <si>
    <t>DCT218 PARUTAN KEJU GONRONG/PEELER</t>
  </si>
  <si>
    <t>10424086</t>
  </si>
  <si>
    <t>DCT261 PASTA SCOOP PREMIUM SIL</t>
  </si>
  <si>
    <t>8993093665435</t>
  </si>
  <si>
    <t>DELCOCO NATA DE COCO 1KG</t>
  </si>
  <si>
    <t>10412380</t>
  </si>
  <si>
    <t>DELILEN MARGARIN 1/2KG</t>
  </si>
  <si>
    <t>8994456500004</t>
  </si>
  <si>
    <t>DELILEN MARGARIN 15KG</t>
  </si>
  <si>
    <t>8994456500547</t>
  </si>
  <si>
    <t>DELILEN MARGARIN 1KG</t>
  </si>
  <si>
    <t>8998888712127</t>
  </si>
  <si>
    <t>DELMONTE BBQ SAUCE BTL 330GR</t>
  </si>
  <si>
    <t>8998888000019</t>
  </si>
  <si>
    <t>DELMONTE BLACK PEPPER SAUCE 250GR</t>
  </si>
  <si>
    <t>DELMONTE CHILI EXT HOT PCH 1KG</t>
  </si>
  <si>
    <t>8998888710598</t>
  </si>
  <si>
    <t>DELMONTE CHILI EXT HOT PCH 200GR</t>
  </si>
  <si>
    <t>DELMONTE CHILI EXT HOT PCH 500GR</t>
  </si>
  <si>
    <t>8998888710567</t>
  </si>
  <si>
    <t>DELMONTE CHILI EXTRA HOT 135ML</t>
  </si>
  <si>
    <t>8998888710543</t>
  </si>
  <si>
    <t>DELMONTE CHILI EXTRA HOT 265ML</t>
  </si>
  <si>
    <t>8998888710512</t>
  </si>
  <si>
    <t>DELMONTE CHILI EXTRA HOT 330ML</t>
  </si>
  <si>
    <t>DELMONTE CHILI EXTRA HOT 5,5KG</t>
  </si>
  <si>
    <t>DELMONTE CHILI EXTRA HOT 8GR</t>
  </si>
  <si>
    <t>8998888710215</t>
  </si>
  <si>
    <t>DELMONTE CHILI SAUCE 340ML</t>
  </si>
  <si>
    <t>024000163015</t>
  </si>
  <si>
    <t>DELMONTE CREAM STYLE CORN</t>
  </si>
  <si>
    <t>024000010920</t>
  </si>
  <si>
    <t>DELMONTE FRUIT COCTAIL 825GR</t>
  </si>
  <si>
    <t>024000163022</t>
  </si>
  <si>
    <t>DELMONTE JAGUNG KALENG</t>
  </si>
  <si>
    <t>DELMONTE KETCHUP TOMAT 5,7KG</t>
  </si>
  <si>
    <t>8998888710192</t>
  </si>
  <si>
    <t>DELMONTE KETCHUP TOMAT 200GR</t>
  </si>
  <si>
    <t>8998888710109</t>
  </si>
  <si>
    <t>DELMONTE KETCHUP TOMAT 8GR</t>
  </si>
  <si>
    <t>DELMONTE KETCHUP TOMAT PCH 1KG</t>
  </si>
  <si>
    <t>8998888000095</t>
  </si>
  <si>
    <t>DELMONTE KETCHUP TOMAT PCH 500GR</t>
  </si>
  <si>
    <t>8998888000002</t>
  </si>
  <si>
    <t>DELMONTE KOREAN BBQ 250GR</t>
  </si>
  <si>
    <t>8887333090029</t>
  </si>
  <si>
    <t>DELMONTE PEACH KALENG 825G</t>
  </si>
  <si>
    <t>8998888712622</t>
  </si>
  <si>
    <t>DELMONTE SARDINE CHILI 155GR</t>
  </si>
  <si>
    <t>8998888712646</t>
  </si>
  <si>
    <t>DELMONTE SARDINE CHILI 425GR</t>
  </si>
  <si>
    <t>8998888712523</t>
  </si>
  <si>
    <t>DELMONTE SARDINE TOMAT 155GR</t>
  </si>
  <si>
    <t>8998888712547</t>
  </si>
  <si>
    <t>DELMONTE SARDINE TOMAT 425GR</t>
  </si>
  <si>
    <t>8998888000057</t>
  </si>
  <si>
    <t>DELMONTE SAUS CARBONARA 180GR</t>
  </si>
  <si>
    <t>8998888000071</t>
  </si>
  <si>
    <t>DELMONTE SAUS CARBONARA CHEESE 180GR</t>
  </si>
  <si>
    <t>8998888000064</t>
  </si>
  <si>
    <t>DELMONTE SAUS CARBONARA MUSHROOM 180GR</t>
  </si>
  <si>
    <t>8998888712110</t>
  </si>
  <si>
    <t>DELMONTE SPAGHETTI SAUCE 330GR</t>
  </si>
  <si>
    <t>8998888710925</t>
  </si>
  <si>
    <t>DELMONTE TASTY SAUS SAMBAL 200GR</t>
  </si>
  <si>
    <t>8998888710161</t>
  </si>
  <si>
    <t>DELMONTE TOMATO 135ML</t>
  </si>
  <si>
    <t>8998888710147</t>
  </si>
  <si>
    <t>DELMONTE TOMATO 265ML</t>
  </si>
  <si>
    <t>8998888710116</t>
  </si>
  <si>
    <t>DELMONTE TOMATO 340ML</t>
  </si>
  <si>
    <t>8887333430054</t>
  </si>
  <si>
    <t>DELMONTE TOMATO PASTE 195GR</t>
  </si>
  <si>
    <t>10411552</t>
  </si>
  <si>
    <t>DELS BUBUK KEJU 1KG</t>
  </si>
  <si>
    <t>10411582</t>
  </si>
  <si>
    <t>DELS BUBUK KEJU 250GR</t>
  </si>
  <si>
    <t>10411102</t>
  </si>
  <si>
    <t>DELS BUBUK KEJU 500 GR</t>
  </si>
  <si>
    <t>10411550</t>
  </si>
  <si>
    <t>DELS CARIBE FLAKE 300GR</t>
  </si>
  <si>
    <t>10411551</t>
  </si>
  <si>
    <t>DELS CARIBE WHITE FLAKE 1KG</t>
  </si>
  <si>
    <t>8994448730082</t>
  </si>
  <si>
    <t>DELS NOCCIOLA SPREAD 320GR</t>
  </si>
  <si>
    <t>10412340</t>
  </si>
  <si>
    <t>DELS PL POTATO FLAKES 1KG</t>
  </si>
  <si>
    <t>070896025319</t>
  </si>
  <si>
    <t>DELUXE TIP SET 22</t>
  </si>
  <si>
    <t>8612491118</t>
  </si>
  <si>
    <t>DENALI AVOCADO DELIACTE 800GR</t>
  </si>
  <si>
    <t>8612491110</t>
  </si>
  <si>
    <t>DENALI BANANA PLEASURE 800GR</t>
  </si>
  <si>
    <t>8612491113</t>
  </si>
  <si>
    <t>DENALI BLUEBERRY BLAST 800GR</t>
  </si>
  <si>
    <t>8612535114</t>
  </si>
  <si>
    <t>DENALI BLUEBERRY SYRUP 750ML</t>
  </si>
  <si>
    <t>8612536205</t>
  </si>
  <si>
    <t>DENALI BLUEBERRY SYRUP PUREE 2KG</t>
  </si>
  <si>
    <t>8612491130</t>
  </si>
  <si>
    <t>DENALI BUBBLE GUM 800GR</t>
  </si>
  <si>
    <t>10411764</t>
  </si>
  <si>
    <t>DENALI CHOCOLATE ICE CREAM POWDER 1KG</t>
  </si>
  <si>
    <t>8612495002</t>
  </si>
  <si>
    <t>8612491132</t>
  </si>
  <si>
    <t>DENALI COOKIES N CREAM 800GR</t>
  </si>
  <si>
    <t>8612491117</t>
  </si>
  <si>
    <t>DENALI CREAMY CAPPUCINO 800GR</t>
  </si>
  <si>
    <t>8612538601</t>
  </si>
  <si>
    <t>DENALI DARK CHOCOLATE SAUCE 2KG</t>
  </si>
  <si>
    <t>8612491111</t>
  </si>
  <si>
    <t>DENALI ENCHANTED PEACH 800GR</t>
  </si>
  <si>
    <t>8612491107</t>
  </si>
  <si>
    <t>DENALI FRAPPE BASE 800GR</t>
  </si>
  <si>
    <t>8612491139</t>
  </si>
  <si>
    <t>DENALI GOTH CHARCOAL 800GR</t>
  </si>
  <si>
    <t>8612535129</t>
  </si>
  <si>
    <t>DENALI GREEN APPLE SYRUP 750ML</t>
  </si>
  <si>
    <t>8612491116</t>
  </si>
  <si>
    <t>DENALI HEAVENLY TIRAMISU 800GR</t>
  </si>
  <si>
    <t>8612491103</t>
  </si>
  <si>
    <t>DENALI JOLLY STRAWBERRY 800GR</t>
  </si>
  <si>
    <t>8612491108</t>
  </si>
  <si>
    <t>DENALI KLEPON 800GR</t>
  </si>
  <si>
    <t>8612535128</t>
  </si>
  <si>
    <t>DENALI LEMON SYRUP 750ML</t>
  </si>
  <si>
    <t>8612491121</t>
  </si>
  <si>
    <t>DENALI LEMON TEA 1KG</t>
  </si>
  <si>
    <t>8612491137</t>
  </si>
  <si>
    <t>DENALI LEMONGRASS TEA 1KG</t>
  </si>
  <si>
    <t>8612536203</t>
  </si>
  <si>
    <t>DENALI LYCHEE SYRUP PUREE 2KG</t>
  </si>
  <si>
    <t>8612491136</t>
  </si>
  <si>
    <t>DENALI LYCHEE TEA 1KG</t>
  </si>
  <si>
    <t>8612535143</t>
  </si>
  <si>
    <t>DENALI MANDARIN ORANGE SYRUP 750ML</t>
  </si>
  <si>
    <t>8612491104</t>
  </si>
  <si>
    <t>DENALI MANGO DELIGHT 800GR</t>
  </si>
  <si>
    <t>8612535130</t>
  </si>
  <si>
    <t>DENALI MANGO SYRUP 750ML</t>
  </si>
  <si>
    <t>8612536207</t>
  </si>
  <si>
    <t>DENALI MANGO SYRUP PURE 2KG</t>
  </si>
  <si>
    <t>8612491115</t>
  </si>
  <si>
    <t>DENALI MOCHA FRIZZANTE 800GR</t>
  </si>
  <si>
    <t>8612535126</t>
  </si>
  <si>
    <t>DENALI MOJITO MINT SYRUP 750ML</t>
  </si>
  <si>
    <t>8612535136</t>
  </si>
  <si>
    <t>DENALI PANDAN SYRUP 750ML</t>
  </si>
  <si>
    <t>8612535118</t>
  </si>
  <si>
    <t>DENALI PASSION FRUIT 750ML</t>
  </si>
  <si>
    <t>8612491133</t>
  </si>
  <si>
    <t>DENALI PEACH TEA 1KG</t>
  </si>
  <si>
    <t>8612535115</t>
  </si>
  <si>
    <t>DENALI PEPPERMINT SYRUP 750ML</t>
  </si>
  <si>
    <t>8612491114</t>
  </si>
  <si>
    <t>DENALI REFRESHING LIME 800GR</t>
  </si>
  <si>
    <t>8612535119</t>
  </si>
  <si>
    <t>DENALI ROUN SYRUP 750ML</t>
  </si>
  <si>
    <t>8612535105</t>
  </si>
  <si>
    <t>DENALI STRAWBERRY SYRUP 750ML</t>
  </si>
  <si>
    <t>8612536201</t>
  </si>
  <si>
    <t>DENALI STRAWBERRY SYRUP PURE 2KG</t>
  </si>
  <si>
    <t>8612491122</t>
  </si>
  <si>
    <t>DENALI VANILA 800GR</t>
  </si>
  <si>
    <t>8612495001</t>
  </si>
  <si>
    <t>DENALI VANILLA ICE CREAM POWDER 1KG</t>
  </si>
  <si>
    <t>8612491120</t>
  </si>
  <si>
    <t>DENALI WHITE CHOCOLATE 800GR</t>
  </si>
  <si>
    <t>8997011931626</t>
  </si>
  <si>
    <t>DESAKU BUMBU BALADO 11GR</t>
  </si>
  <si>
    <t>8997011931701</t>
  </si>
  <si>
    <t>DESAKU BUMBU GULAI 12.5GR</t>
  </si>
  <si>
    <t>8997011931695</t>
  </si>
  <si>
    <t>DESAKU BUMBU LODEH 12.5GR</t>
  </si>
  <si>
    <t>8997011931640</t>
  </si>
  <si>
    <t>DESAKU BUMBU OPOR 12.5GR</t>
  </si>
  <si>
    <t>8997011931732</t>
  </si>
  <si>
    <t>DESAKU MARINASI 15GR</t>
  </si>
  <si>
    <t>8997011931725</t>
  </si>
  <si>
    <t>DESAKU SAMBAL GORENG 12.5GR</t>
  </si>
  <si>
    <t>10425818</t>
  </si>
  <si>
    <t>DESSERT BOX MIKA OVAL+TTP 10S</t>
  </si>
  <si>
    <t>10425777</t>
  </si>
  <si>
    <t>DESSERT BOX MIKA OVAL+TTP 50S</t>
  </si>
  <si>
    <t>10425755</t>
  </si>
  <si>
    <t>DESSERT CUP BLT 250ML+TUTUP 50S</t>
  </si>
  <si>
    <t>10425756</t>
  </si>
  <si>
    <t>DESSERT CUP BLT 350ML+TUTUP 50S</t>
  </si>
  <si>
    <t>10425778</t>
  </si>
  <si>
    <t>DESSERT CUP MIKA PANJANG+TTP 100S</t>
  </si>
  <si>
    <t>10425822</t>
  </si>
  <si>
    <t>DESSERT CUP MIKA PANJANG+TTP 10S</t>
  </si>
  <si>
    <t>8997018720131</t>
  </si>
  <si>
    <t>DHT SIRUP PISANG AMBON 2L</t>
  </si>
  <si>
    <t>8999898561323</t>
  </si>
  <si>
    <t>DIAMOND CHEDDAR 180GR</t>
  </si>
  <si>
    <t>8999898561309</t>
  </si>
  <si>
    <t>DIAMOND CHEDDAR 2KG</t>
  </si>
  <si>
    <t>8999898969761</t>
  </si>
  <si>
    <t>DIAMOND COKELAT PASTA 250GR</t>
  </si>
  <si>
    <t>8999898971016</t>
  </si>
  <si>
    <t>DIAMOND COKLAT COMP DARK F1 5KG</t>
  </si>
  <si>
    <t>8999898963745</t>
  </si>
  <si>
    <t>DIAMOND COMP DARK 1KG</t>
  </si>
  <si>
    <t>8999898963769</t>
  </si>
  <si>
    <t>DIAMOND COMP MILK 1KG</t>
  </si>
  <si>
    <t>8999898970712</t>
  </si>
  <si>
    <t>DIAMOND COMP WHITE 1KG</t>
  </si>
  <si>
    <t>8999898270027</t>
  </si>
  <si>
    <t>DIAMOND ES KRIM COKLAT 700ML</t>
  </si>
  <si>
    <t>8999898270058</t>
  </si>
  <si>
    <t>DIAMOND ES KRIM NEOPOLITAN 700ML</t>
  </si>
  <si>
    <t>8999898270034</t>
  </si>
  <si>
    <t>DIAMOND ES KRIM STW 700ML</t>
  </si>
  <si>
    <t>8999898270010</t>
  </si>
  <si>
    <t>DIAMOND ES KRIM VANILA 700ML</t>
  </si>
  <si>
    <t>8999898300038</t>
  </si>
  <si>
    <t>DIAMOND FRESH MILK COKLAT 946ML</t>
  </si>
  <si>
    <t>8999898301011</t>
  </si>
  <si>
    <t>DIAMOND FRESH MILK NON FAT 946ML</t>
  </si>
  <si>
    <t>8999898962458</t>
  </si>
  <si>
    <t>DIAMOND FRESH MILK STRAWBERRY 946ML</t>
  </si>
  <si>
    <t>8999898279051</t>
  </si>
  <si>
    <t>DIAMOND ICE CREAM VANILA CHO CIPS 700ML</t>
  </si>
  <si>
    <t>899998275022</t>
  </si>
  <si>
    <t>DIAMOND ICE CRM COKLAT 8L</t>
  </si>
  <si>
    <t>8999898275053</t>
  </si>
  <si>
    <t>DIAMOND ICE CRM NEOPOLITAN 8L</t>
  </si>
  <si>
    <t>8999898275039</t>
  </si>
  <si>
    <t>DIAMOND ICE CRM STRAWBERRY 8L</t>
  </si>
  <si>
    <t>8999898962588</t>
  </si>
  <si>
    <t>DIAMOND LOWFAT 1LT</t>
  </si>
  <si>
    <t>8999898977483</t>
  </si>
  <si>
    <t>DIAMOND MAYO 1KG</t>
  </si>
  <si>
    <t>8999898973461</t>
  </si>
  <si>
    <t>DIAMOND QUICK MELT 180GR</t>
  </si>
  <si>
    <t>8999898299035</t>
  </si>
  <si>
    <t>DIAMOND UHT FRESH MILK 946ML</t>
  </si>
  <si>
    <t>10410523</t>
  </si>
  <si>
    <t>DIANA CHERRY HIJAU 5S</t>
  </si>
  <si>
    <t>723745214005</t>
  </si>
  <si>
    <t>DIANA CHERRY HIJAU BTL 4,25KG</t>
  </si>
  <si>
    <t>723745210007</t>
  </si>
  <si>
    <t>DIANA CHERRY MERAH BTL 4.25KG</t>
  </si>
  <si>
    <t>10410524</t>
  </si>
  <si>
    <t>DIANA CHERRY MRH 5S</t>
  </si>
  <si>
    <t>10421853</t>
  </si>
  <si>
    <t>DIMSUM PAPER 4,5 INC</t>
  </si>
  <si>
    <t>10425652</t>
  </si>
  <si>
    <t>DINOSAURUS SET12 DI17</t>
  </si>
  <si>
    <t>8994302021080</t>
  </si>
  <si>
    <t>DIVA COOKIES GLAZE 100ML</t>
  </si>
  <si>
    <t>10425872</t>
  </si>
  <si>
    <t>DIVA PAPER STRAW BROWN 8MM</t>
  </si>
  <si>
    <t>10427125</t>
  </si>
  <si>
    <t>DIVES COKLAT BUBUK 1/2KG</t>
  </si>
  <si>
    <t>10427124</t>
  </si>
  <si>
    <t>DIVES COKLAT BUBUK 1KG</t>
  </si>
  <si>
    <t>10427123</t>
  </si>
  <si>
    <t>DIVES COKLAT BUBUK 25KG</t>
  </si>
  <si>
    <t>8993366201117</t>
  </si>
  <si>
    <t>DIXI CUKA MAKAN 100ML</t>
  </si>
  <si>
    <t>8993366201216</t>
  </si>
  <si>
    <t>DIXI CUKA MAKAN 150ML</t>
  </si>
  <si>
    <t>8993366201315</t>
  </si>
  <si>
    <t>DIXI CUKA MAKAN 650ML</t>
  </si>
  <si>
    <t>8997011481794</t>
  </si>
  <si>
    <t>DLOOPS SNACK PUFF FRUITS 1KG</t>
  </si>
  <si>
    <t>10427291</t>
  </si>
  <si>
    <t>DOLPHIN IMPULSE SEALER PFS-200</t>
  </si>
  <si>
    <t>DOLPIN GARAM 1KG</t>
  </si>
  <si>
    <t>011747234160</t>
  </si>
  <si>
    <t>DOLPIN GARAM 250GR</t>
  </si>
  <si>
    <t>011747234191</t>
  </si>
  <si>
    <t>DOLPIN GARAM 500GR</t>
  </si>
  <si>
    <t>0117472342177</t>
  </si>
  <si>
    <t>DOLPIN GARAM BTL 200GR</t>
  </si>
  <si>
    <t>117472342276</t>
  </si>
  <si>
    <t>DOLPIN GARAM BTL 450GR</t>
  </si>
  <si>
    <t>8992204365004</t>
  </si>
  <si>
    <t>DONNY KACANG HIJAU 500GR</t>
  </si>
  <si>
    <t>8992204465001</t>
  </si>
  <si>
    <t>DONNY KACANG HIJAU PANDAN 500GR</t>
  </si>
  <si>
    <t>10410665</t>
  </si>
  <si>
    <t>DONNY PANDAN 1/2KG</t>
  </si>
  <si>
    <t>10200182</t>
  </si>
  <si>
    <t>DONNY PANDAN 1KG</t>
  </si>
  <si>
    <t>10410666</t>
  </si>
  <si>
    <t>DONNY PANDAN 250GR</t>
  </si>
  <si>
    <t>8993037016040</t>
  </si>
  <si>
    <t>DONNY PANDAN 500 GR</t>
  </si>
  <si>
    <t>8993037044029</t>
  </si>
  <si>
    <t>DONNY SARIKAYA 1KG</t>
  </si>
  <si>
    <t>10200054</t>
  </si>
  <si>
    <t>DONNY SARIKAYA 250GR</t>
  </si>
  <si>
    <t>8993037016057</t>
  </si>
  <si>
    <t>DONNY SARIKAYA 500 GR</t>
  </si>
  <si>
    <t>10424673</t>
  </si>
  <si>
    <t>DORAEMON BASEBALL SET6 DI5</t>
  </si>
  <si>
    <t>10424532</t>
  </si>
  <si>
    <t>DORAEMON DKK 1S DI1</t>
  </si>
  <si>
    <t>8998888000187</t>
  </si>
  <si>
    <t>DOUBLE FRESH LEMON 650ML</t>
  </si>
  <si>
    <t>8998888132734</t>
  </si>
  <si>
    <t>DOUBLE FRESH MANGGA 650ML</t>
  </si>
  <si>
    <t>8998888130938</t>
  </si>
  <si>
    <t>DOUBLE FRESH ORANGE 650ML</t>
  </si>
  <si>
    <t>10424082</t>
  </si>
  <si>
    <t>DOUBLE PIZZA CUTTER DCT186</t>
  </si>
  <si>
    <t>10424318</t>
  </si>
  <si>
    <t>DOUGH SCRAPER 9,5X10CM JC3707</t>
  </si>
  <si>
    <t>8997217690136</t>
  </si>
  <si>
    <t>DRAGONFLY TP TERIGU 1KG</t>
  </si>
  <si>
    <t>10410930</t>
  </si>
  <si>
    <t>DRIED APRICOT 100GR</t>
  </si>
  <si>
    <t>10410928</t>
  </si>
  <si>
    <t>DRIED APRICOT 1KG</t>
  </si>
  <si>
    <t>10410929</t>
  </si>
  <si>
    <t>DRIED APRICOT 250GR</t>
  </si>
  <si>
    <t>10411748</t>
  </si>
  <si>
    <t>DRIED PLUM/PRUNES 11.34KG</t>
  </si>
  <si>
    <t>8997220504635</t>
  </si>
  <si>
    <t>DRIPP APEL MALANG 760ML</t>
  </si>
  <si>
    <t>8997220501818</t>
  </si>
  <si>
    <t>DRIPP BANANA SYRUP 760ML</t>
  </si>
  <si>
    <t>8997220504680</t>
  </si>
  <si>
    <t>DRIPP BLUEBERRY PULP 760ML</t>
  </si>
  <si>
    <t>8997220500019</t>
  </si>
  <si>
    <t>DRIPP CARAMEL SYRUP 760ML</t>
  </si>
  <si>
    <t>8997220501146</t>
  </si>
  <si>
    <t>DRIPP CREAM CHEESE SYRUP 760ML</t>
  </si>
  <si>
    <t>8997220501191</t>
  </si>
  <si>
    <t>DRIPP HARUM MANIS FRUIT PULP 760ML</t>
  </si>
  <si>
    <t>8997220500026</t>
  </si>
  <si>
    <t>DRIPP HAZELNUT SYRUP 760ML</t>
  </si>
  <si>
    <t>8997220501801</t>
  </si>
  <si>
    <t>DRIPP JASMINE SYRUP 760ML</t>
  </si>
  <si>
    <t>8997220500507</t>
  </si>
  <si>
    <t>DRIPP LEMONADE SYRUP 760ML</t>
  </si>
  <si>
    <t>8997220500064</t>
  </si>
  <si>
    <t>DRIPP LYCHEE SYRUP 760ML</t>
  </si>
  <si>
    <t>8997220502600</t>
  </si>
  <si>
    <t>DRIPP MINT SYRUP 760ML</t>
  </si>
  <si>
    <t>8997220500989</t>
  </si>
  <si>
    <t>DRIPP MIXED BERRY FRUIT PULP 760ML</t>
  </si>
  <si>
    <t>8997220500774</t>
  </si>
  <si>
    <t>DRIPP PALM SUGAR SYRUP 760ML</t>
  </si>
  <si>
    <t>8997220500743</t>
  </si>
  <si>
    <t>DRIPP PANDAN SYRUP 760ML</t>
  </si>
  <si>
    <t>8997220500071</t>
  </si>
  <si>
    <t>DRIPP PEACH SYRUP 760ML</t>
  </si>
  <si>
    <t>8997220502396</t>
  </si>
  <si>
    <t>DRIPP PISTACHIO SYRUP 760ML</t>
  </si>
  <si>
    <t>8997220500101</t>
  </si>
  <si>
    <t>DRIPP POWDER PREM MATCHA 760GR</t>
  </si>
  <si>
    <t>8997220500118</t>
  </si>
  <si>
    <t>DRIPP POWDER RED VELVET 760GR</t>
  </si>
  <si>
    <t>8997220503614</t>
  </si>
  <si>
    <t>DRIPP SAUCE CARAMEL 500ML</t>
  </si>
  <si>
    <t>8997220505724</t>
  </si>
  <si>
    <t>8997220500996</t>
  </si>
  <si>
    <t>DRIPP STRAW FRUIT PULP 760ML</t>
  </si>
  <si>
    <t>8997220500538</t>
  </si>
  <si>
    <t>DRIPP STRAW SYRUP 760ML</t>
  </si>
  <si>
    <t>8997220500705</t>
  </si>
  <si>
    <t>DRIPP TIRAMISU SYRUP 760ML</t>
  </si>
  <si>
    <t>8997220500033</t>
  </si>
  <si>
    <t>DRIPP VANILLA SYRUP 760ML</t>
  </si>
  <si>
    <t>8997235700107</t>
  </si>
  <si>
    <t>DRY MIE SHIRATAKI 250GR</t>
  </si>
  <si>
    <t>10411970</t>
  </si>
  <si>
    <t>DSG2 LUSTER DUST EMAS</t>
  </si>
  <si>
    <t>10411969</t>
  </si>
  <si>
    <t>DSS2 LUSTER DUST SILVER MUDA</t>
  </si>
  <si>
    <t>8992984920110</t>
  </si>
  <si>
    <t>DUA BELIBIS CUKA 150ML</t>
  </si>
  <si>
    <t>8992984920127</t>
  </si>
  <si>
    <t>DUA BELIBIS CUKA 650ML</t>
  </si>
  <si>
    <t>8992984910128</t>
  </si>
  <si>
    <t>DUA BELIBIS SAUS CABE 135ML</t>
  </si>
  <si>
    <t>8992984910104</t>
  </si>
  <si>
    <t>DUA BELIBIS SAUS CABE 18GR</t>
  </si>
  <si>
    <t>DUA BELIBIS SAUS CABE 1KG</t>
  </si>
  <si>
    <t>8992984910142</t>
  </si>
  <si>
    <t>DUA BELIBIS SAUS CABE 235ML</t>
  </si>
  <si>
    <t>8992984910135</t>
  </si>
  <si>
    <t>DUA BELIBIS SAUS CABE 340ML</t>
  </si>
  <si>
    <t>8992984910272</t>
  </si>
  <si>
    <t>DUA BELIBIS SAUS CABE 535ML</t>
  </si>
  <si>
    <t>8992984910111</t>
  </si>
  <si>
    <t>DUA BELIBIS SAUS CABE 9GR</t>
  </si>
  <si>
    <t>8992984911026</t>
  </si>
  <si>
    <t>DUA BELIBIS SAUS TOMAT 135ML</t>
  </si>
  <si>
    <t>8992984911071</t>
  </si>
  <si>
    <t>DUA BELIBIS SAUS TOMAT 1KG</t>
  </si>
  <si>
    <t>8992984911040</t>
  </si>
  <si>
    <t>DUA BELIBIS SAUS TOMAT 235ML</t>
  </si>
  <si>
    <t>8992984911033</t>
  </si>
  <si>
    <t>DUA BELIBIS SAUS TOMAT 340ML</t>
  </si>
  <si>
    <t>8992984911095</t>
  </si>
  <si>
    <t>DUA BELIBIS SAUS TOMAT 5KG</t>
  </si>
  <si>
    <t>8992984911019</t>
  </si>
  <si>
    <t>DUA BELIBIS SAUS TOMAT 9GR</t>
  </si>
  <si>
    <t>10200403</t>
  </si>
  <si>
    <t>DUA PUTRI KECAP MANIS 630GR</t>
  </si>
  <si>
    <t>10530139</t>
  </si>
  <si>
    <t>DUMMY STEROFOAM 12X4</t>
  </si>
  <si>
    <t>10530135</t>
  </si>
  <si>
    <t>DUMMY STEROFOAM 12X8</t>
  </si>
  <si>
    <t>10530160</t>
  </si>
  <si>
    <t>DUMMY STEROFOAM 14X4</t>
  </si>
  <si>
    <t>10530157</t>
  </si>
  <si>
    <t>DUMMY STEROFOAM 14X8</t>
  </si>
  <si>
    <t>10530140</t>
  </si>
  <si>
    <t>DUMMY STEROFOAM 16X4</t>
  </si>
  <si>
    <t>10530136</t>
  </si>
  <si>
    <t>DUMMY STEROFOAM 16X8</t>
  </si>
  <si>
    <t>10530141</t>
  </si>
  <si>
    <t>DUMMY STEROFOAM 18X4</t>
  </si>
  <si>
    <t>10530137</t>
  </si>
  <si>
    <t>DUMMY STEROFOAM 18X8</t>
  </si>
  <si>
    <t>10530142</t>
  </si>
  <si>
    <t>DUMMY STEROFOAM 20X4</t>
  </si>
  <si>
    <t>10530138</t>
  </si>
  <si>
    <t>DUMMY STEROFOAM 20X8</t>
  </si>
  <si>
    <t>10530143</t>
  </si>
  <si>
    <t>DUMMY STEROFOAM 22X4</t>
  </si>
  <si>
    <t>10530087</t>
  </si>
  <si>
    <t>DUMMY STEROFOAM 22X8</t>
  </si>
  <si>
    <t>10530144</t>
  </si>
  <si>
    <t>DUMMY STEROFOAM 24X4</t>
  </si>
  <si>
    <t>10530088</t>
  </si>
  <si>
    <t>DUMMY STEROFOAM 24X8</t>
  </si>
  <si>
    <t>10530161</t>
  </si>
  <si>
    <t>DUMMY STEROFOAM 26X4</t>
  </si>
  <si>
    <t>10530158</t>
  </si>
  <si>
    <t>DUMMY STEROFOAM 26X8</t>
  </si>
  <si>
    <t>10530162</t>
  </si>
  <si>
    <t>DUMMY STEROFOAM 28X4</t>
  </si>
  <si>
    <t>10530159</t>
  </si>
  <si>
    <t>DUMMY STEROFOAM 28X8</t>
  </si>
  <si>
    <t>10530145</t>
  </si>
  <si>
    <t>DUMMY STEROFOAM 30X4</t>
  </si>
  <si>
    <t>10530089</t>
  </si>
  <si>
    <t>DUMMY STEROFOAM 30X8</t>
  </si>
  <si>
    <t>10425998</t>
  </si>
  <si>
    <t>DUMMY STEROFOAM 35X4</t>
  </si>
  <si>
    <t>10425997</t>
  </si>
  <si>
    <t>DUMMY STEROFOAM 35X8</t>
  </si>
  <si>
    <t>10410563</t>
  </si>
  <si>
    <t>DYNA CUSTARD PWD 1/2KG</t>
  </si>
  <si>
    <t>10410541</t>
  </si>
  <si>
    <t>DYNA CUSTARD PWD 1KG</t>
  </si>
  <si>
    <t>10410616</t>
  </si>
  <si>
    <t>DYNA CUSTARD PWD 250GR</t>
  </si>
  <si>
    <t>10411568</t>
  </si>
  <si>
    <t>DYNA CUSTARD PWD 10KG</t>
  </si>
  <si>
    <t>10411589</t>
  </si>
  <si>
    <t>DYNA IROT KACANG HIJAU WB 10KG</t>
  </si>
  <si>
    <t>10410325</t>
  </si>
  <si>
    <t>DYNA M 500GR</t>
  </si>
  <si>
    <t>10412375</t>
  </si>
  <si>
    <t>DYNA SP 1/2KG</t>
  </si>
  <si>
    <t>10412374</t>
  </si>
  <si>
    <t>DYNA SP 1KG</t>
  </si>
  <si>
    <t>10412373</t>
  </si>
  <si>
    <t>DYNA SP 20KG</t>
  </si>
  <si>
    <t>10412376</t>
  </si>
  <si>
    <t>DYNA SP 250GR</t>
  </si>
  <si>
    <t>10427049</t>
  </si>
  <si>
    <t>E108-PT MK BOX 9.3X9.3*6CM</t>
  </si>
  <si>
    <t>10427050</t>
  </si>
  <si>
    <t>E118-PT MK BOX 10X10X6CM</t>
  </si>
  <si>
    <t>10427051</t>
  </si>
  <si>
    <t>E1413-PT MK BOX 11X12.5X6CM</t>
  </si>
  <si>
    <t>10427046</t>
  </si>
  <si>
    <t>E1985-CK MK BOX 7X17X6CM</t>
  </si>
  <si>
    <t>6963421609068</t>
  </si>
  <si>
    <t>EDIBLE PEN/FOOD DEKORASI 2S</t>
  </si>
  <si>
    <t>6963421609051</t>
  </si>
  <si>
    <t>EDIBLE PEN/FOOD DEKORASI 5S</t>
  </si>
  <si>
    <t>8993037015029</t>
  </si>
  <si>
    <t>EDNA CREAM DURIAN 500GR</t>
  </si>
  <si>
    <t>8993037015623</t>
  </si>
  <si>
    <t>EDNA CREAM VANILLA 2KG</t>
  </si>
  <si>
    <t>8993037015098</t>
  </si>
  <si>
    <t>EDNA FILLING BLUEBERY 500GR</t>
  </si>
  <si>
    <t>8993037015074</t>
  </si>
  <si>
    <t>EDNA FILLING STW 500GR</t>
  </si>
  <si>
    <t>8993492000158</t>
  </si>
  <si>
    <t>EDO BURGER BUN 300GR 6S</t>
  </si>
  <si>
    <t>8993492101879</t>
  </si>
  <si>
    <t>EDO FISH BALL 250GR</t>
  </si>
  <si>
    <t>10800007</t>
  </si>
  <si>
    <t>EDO FISH BALL @14GR 1KG</t>
  </si>
  <si>
    <t>10800006</t>
  </si>
  <si>
    <t>EDO FISH BALL @20GR 1KG</t>
  </si>
  <si>
    <t>8993492101848</t>
  </si>
  <si>
    <t>EDO MINI PAU COKLAT 200GR</t>
  </si>
  <si>
    <t>8993492101855</t>
  </si>
  <si>
    <t>EDO MINI PAU KACANG MRH 200GR</t>
  </si>
  <si>
    <t>8999898973263</t>
  </si>
  <si>
    <t>EDO MINI PAU SALTED CARAMEL 200GR</t>
  </si>
  <si>
    <t>8993492101664</t>
  </si>
  <si>
    <t>EDO PIZZA BASE 120GR</t>
  </si>
  <si>
    <t>8993492102272</t>
  </si>
  <si>
    <t>EDO PUFF PASTRY MINI 375GR</t>
  </si>
  <si>
    <t>10422995</t>
  </si>
  <si>
    <t>EGG BETTER BEATER BESAR TOL0097</t>
  </si>
  <si>
    <t>10422994</t>
  </si>
  <si>
    <t>EGG BETTER BEATER KECIL TOL0001</t>
  </si>
  <si>
    <t>10423142</t>
  </si>
  <si>
    <t>EGG SEPARATOR BSR</t>
  </si>
  <si>
    <t>10423141</t>
  </si>
  <si>
    <t>EGG SEPARATOR KCL</t>
  </si>
  <si>
    <t>10426513</t>
  </si>
  <si>
    <t>EGG SEPARATOR SS EGG0007</t>
  </si>
  <si>
    <t>10423821</t>
  </si>
  <si>
    <t>EGG SEPERATOR GOLD EGG0002 LISSE</t>
  </si>
  <si>
    <t>10426531</t>
  </si>
  <si>
    <t>EGG TART POLOS ALUMINIUM LBB0015</t>
  </si>
  <si>
    <t>10426489</t>
  </si>
  <si>
    <t>EGG TART SHELL CTD0058</t>
  </si>
  <si>
    <t>10424464</t>
  </si>
  <si>
    <t>EGG WHISK 30CM A69-12</t>
  </si>
  <si>
    <t>10424465</t>
  </si>
  <si>
    <t>EGG WHISK 35CM A69-14</t>
  </si>
  <si>
    <t>10424466</t>
  </si>
  <si>
    <t>EGG WHISK 40CM A69-16</t>
  </si>
  <si>
    <t>10423098</t>
  </si>
  <si>
    <t>ELEMEN PRESS 20CM</t>
  </si>
  <si>
    <t>10423099</t>
  </si>
  <si>
    <t>ELEMEN PRESS 30 CM</t>
  </si>
  <si>
    <t>10800002</t>
  </si>
  <si>
    <t>ELLE &amp; VIRE BUTTER UNSALTED 10GR</t>
  </si>
  <si>
    <t>3451790802249</t>
  </si>
  <si>
    <t>ELLE &amp; VIRE COOKING CREAM 1LT</t>
  </si>
  <si>
    <t>3161911393210</t>
  </si>
  <si>
    <t>ELLE &amp; VIRE SALT BUTTER 200GR</t>
  </si>
  <si>
    <t>30002432</t>
  </si>
  <si>
    <t>ELLE&amp;VIRE COOKING CREAM 200ML</t>
  </si>
  <si>
    <t>3451790397622</t>
  </si>
  <si>
    <t>ELLE&amp;VIRE LACTE APRICOT 125GR</t>
  </si>
  <si>
    <t>3451790397868</t>
  </si>
  <si>
    <t>ELLE&amp;VIRE LACTE CHERRY 125GR</t>
  </si>
  <si>
    <t>3451790397745</t>
  </si>
  <si>
    <t>ELLE&amp;VIRE LACTE FRUIT OF FORREST 125GR</t>
  </si>
  <si>
    <t>3451790872051</t>
  </si>
  <si>
    <t>ELLE&amp;VIRE LACTE MANGO 125GR</t>
  </si>
  <si>
    <t>3451790801358</t>
  </si>
  <si>
    <t>ELLE&amp;VIRE LACTE PLAIN SWEET 125GR</t>
  </si>
  <si>
    <t>3161911703385</t>
  </si>
  <si>
    <t>ELLE&amp;VIRE WHIPPING CRM 1L</t>
  </si>
  <si>
    <t>10410603</t>
  </si>
  <si>
    <t>ELMER AFRICAN BLCK 1/2KG</t>
  </si>
  <si>
    <t>10410609</t>
  </si>
  <si>
    <t>ELMER AFRICAN BLCK 100GR</t>
  </si>
  <si>
    <t>ELMER AFRICAN BLCK 5 KG</t>
  </si>
  <si>
    <t>10410602</t>
  </si>
  <si>
    <t>ELMER AFRICAN RED 1/2KG</t>
  </si>
  <si>
    <t>ELMER AFRICAN RED 100GR</t>
  </si>
  <si>
    <t>10410702</t>
  </si>
  <si>
    <t>ELMER CHIP MINI WHT 1/2 KG</t>
  </si>
  <si>
    <t>10410694</t>
  </si>
  <si>
    <t>ELMER CHIP MINI WHT 100gr</t>
  </si>
  <si>
    <t>10421026</t>
  </si>
  <si>
    <t>ELMER CHIP MINI WHT 250GR</t>
  </si>
  <si>
    <t>8997014030913</t>
  </si>
  <si>
    <t>ELMER CHIP MINI WHT 5KG</t>
  </si>
  <si>
    <t>10410813</t>
  </si>
  <si>
    <t>ELMER CHIP SQUARE 100GR</t>
  </si>
  <si>
    <t>10410806</t>
  </si>
  <si>
    <t>ELMER CHIP SQUARE 250GR</t>
  </si>
  <si>
    <t>8997014033211</t>
  </si>
  <si>
    <t>ELMER CHIP SQUARE 5KG</t>
  </si>
  <si>
    <t>8997014031057</t>
  </si>
  <si>
    <t>ELMER COMP APPLE 1KG</t>
  </si>
  <si>
    <t>10410503</t>
  </si>
  <si>
    <t>ELMER COMP APPLE 1S</t>
  </si>
  <si>
    <t>10410703</t>
  </si>
  <si>
    <t>ELMER COMP BAKERY DARK 1s</t>
  </si>
  <si>
    <t>8997014032009</t>
  </si>
  <si>
    <t>ELMER COMP BAKERY VISTA DARK 1KG</t>
  </si>
  <si>
    <t>8997014031064</t>
  </si>
  <si>
    <t>ELMER COMP BANANA 1KG</t>
  </si>
  <si>
    <t>10410508</t>
  </si>
  <si>
    <t>ELMER COMP BANANA 1S</t>
  </si>
  <si>
    <t>8997014030579</t>
  </si>
  <si>
    <t>ELMER COMP BLUEBERRY 1KG</t>
  </si>
  <si>
    <t>10410509</t>
  </si>
  <si>
    <t>ELMER COMP BLUEBERRY 1S</t>
  </si>
  <si>
    <t>8997014030524</t>
  </si>
  <si>
    <t>ELMER COMP CAPUCCINO 1KG</t>
  </si>
  <si>
    <t>10410621</t>
  </si>
  <si>
    <t>ELMER COMP CAPUCINO 1S</t>
  </si>
  <si>
    <t>8997014030371</t>
  </si>
  <si>
    <t>ELMER COMP GHANA DARK 1KG</t>
  </si>
  <si>
    <t>10412390</t>
  </si>
  <si>
    <t>ELMER COMP GHANA DARK 1S</t>
  </si>
  <si>
    <t>8997014030630</t>
  </si>
  <si>
    <t>ELMER COMP GRAPE 1KG</t>
  </si>
  <si>
    <t>10410505</t>
  </si>
  <si>
    <t>ELMER COMP GRAPE 1S</t>
  </si>
  <si>
    <t>ELMER COMP GREEN TEA 1KG</t>
  </si>
  <si>
    <t>10410510</t>
  </si>
  <si>
    <t>ELMER COMP GREEN TEA 1S</t>
  </si>
  <si>
    <t>8997014030555</t>
  </si>
  <si>
    <t>ELMER COMP LEMON 1KG</t>
  </si>
  <si>
    <t>10410623</t>
  </si>
  <si>
    <t>ELMER COMP LEMON 1S</t>
  </si>
  <si>
    <t>8997014031040</t>
  </si>
  <si>
    <t>ELMER COMP MELON 1KG</t>
  </si>
  <si>
    <t>10410494</t>
  </si>
  <si>
    <t>ELMER COMP MELON 1S</t>
  </si>
  <si>
    <t>10410506</t>
  </si>
  <si>
    <t>ELMER COMP ORANGE 1S</t>
  </si>
  <si>
    <t>10410504</t>
  </si>
  <si>
    <t>ELMER COMP RASBERRY 1S</t>
  </si>
  <si>
    <t>8997014031071</t>
  </si>
  <si>
    <t>ELMER COMP RASPBERRY 1KG</t>
  </si>
  <si>
    <t>8997014030562</t>
  </si>
  <si>
    <t>ELMER COMP STRAW 1KG</t>
  </si>
  <si>
    <t>10410507</t>
  </si>
  <si>
    <t>ELMER COMP STRAW 1S</t>
  </si>
  <si>
    <t>8997014031323</t>
  </si>
  <si>
    <t>ELMER COMP TARO 1KG</t>
  </si>
  <si>
    <t>10410622</t>
  </si>
  <si>
    <t>ELMER COMP TARO 1S</t>
  </si>
  <si>
    <t>10410511</t>
  </si>
  <si>
    <t>ELMER COMP TIRAMISU 1S</t>
  </si>
  <si>
    <t>10420955</t>
  </si>
  <si>
    <t>ELMER COMP WHITE 1S</t>
  </si>
  <si>
    <t>8997014031682</t>
  </si>
  <si>
    <t>ELMER CRUNCY CAPPUCCINO SPREAD 1KG</t>
  </si>
  <si>
    <t>8997014036533</t>
  </si>
  <si>
    <t>ELMER CRUNCY CHOCOLAVA SPREAD VISTA 1KG</t>
  </si>
  <si>
    <t>8997014032566</t>
  </si>
  <si>
    <t>ELMER CRUNCY COCOLAVA SPREAD 1KG</t>
  </si>
  <si>
    <t>8997014036472</t>
  </si>
  <si>
    <t>ELMER CRUNCY TARO SPREAD 1KG</t>
  </si>
  <si>
    <t>8997014031712</t>
  </si>
  <si>
    <t>ELMER CRUNCY TIRAMISU SPREAD 1KG</t>
  </si>
  <si>
    <t>8997014031316</t>
  </si>
  <si>
    <t>ELMER DIP ROCKY WHITE 1KG</t>
  </si>
  <si>
    <t>10410819</t>
  </si>
  <si>
    <t>ELMER FILLING BAKERY 1/2KG</t>
  </si>
  <si>
    <t>10421030</t>
  </si>
  <si>
    <t>ELMER FILLING BAKERY 1KG</t>
  </si>
  <si>
    <t>10410996</t>
  </si>
  <si>
    <t>ELMER FILLING BAKERY 250GR</t>
  </si>
  <si>
    <t>8997014036748</t>
  </si>
  <si>
    <t>ELMER FILLING CHEESE 1/2KG</t>
  </si>
  <si>
    <t>10422628</t>
  </si>
  <si>
    <t>ELMER FILLING TIRAMISU 1/2KG</t>
  </si>
  <si>
    <t>10422627</t>
  </si>
  <si>
    <t>ELMER FILLING TIRAMISU 1KG</t>
  </si>
  <si>
    <t>10422632</t>
  </si>
  <si>
    <t>ELMER FILLING TIRAMISU 250GR</t>
  </si>
  <si>
    <t>8997014030609</t>
  </si>
  <si>
    <t>ELMER FILLING TIRAMISU 5KG</t>
  </si>
  <si>
    <t>10410460</t>
  </si>
  <si>
    <t>ELMER GLAZE AVOCADO 1/2KG</t>
  </si>
  <si>
    <t>8997014035574</t>
  </si>
  <si>
    <t>ELMER GLAZE AVOCADO 1KG TUB</t>
  </si>
  <si>
    <t>8997014039763</t>
  </si>
  <si>
    <t>8997014033938</t>
  </si>
  <si>
    <t>ELMER GLAZE AVOCADO 200GR</t>
  </si>
  <si>
    <t>10410121</t>
  </si>
  <si>
    <t>ELMER GLAZE AVOCADO 250GR</t>
  </si>
  <si>
    <t>8997014036939</t>
  </si>
  <si>
    <t>ELMER GLAZE AVOCADO 5KG</t>
  </si>
  <si>
    <t>10410135</t>
  </si>
  <si>
    <t>ELMER GLAZE BANANA 1/2KG</t>
  </si>
  <si>
    <t>10410134</t>
  </si>
  <si>
    <t>ELMER GLAZE BANANA 250GR</t>
  </si>
  <si>
    <t>8997014036885</t>
  </si>
  <si>
    <t>ELMER GLAZE BANANA 5KG</t>
  </si>
  <si>
    <t>10420837</t>
  </si>
  <si>
    <t>ELMER GLAZE BLUBERRY 250GR</t>
  </si>
  <si>
    <t>10420838</t>
  </si>
  <si>
    <t>ELMER GLAZE BLUEBERRY 1/2KG</t>
  </si>
  <si>
    <t>8997014035581</t>
  </si>
  <si>
    <t>ELMER GLAZE BLUEBERRY 1KG TUB</t>
  </si>
  <si>
    <t>8997014035598</t>
  </si>
  <si>
    <t>ELMER GLAZE BLUEBERRY 200GR</t>
  </si>
  <si>
    <t>8997014036892</t>
  </si>
  <si>
    <t>ELMER GLAZE BLUEBERRY 5KG</t>
  </si>
  <si>
    <t>8997014035086</t>
  </si>
  <si>
    <t>ELMER GLAZE CAPPU VISTA 1KG TUB</t>
  </si>
  <si>
    <t>8997014035116</t>
  </si>
  <si>
    <t>ELMER GLAZE CAPPUCINO 5KG</t>
  </si>
  <si>
    <t>10411050</t>
  </si>
  <si>
    <t>ELMER GLAZE CAPUCINO 250GR</t>
  </si>
  <si>
    <t>10411652</t>
  </si>
  <si>
    <t>ELMER GLAZE CAPUCINO 500GR</t>
  </si>
  <si>
    <t>10410101</t>
  </si>
  <si>
    <t>ELMER GLAZE CHEESE 1/2KG</t>
  </si>
  <si>
    <t>8997014035673</t>
  </si>
  <si>
    <t>ELMER GLAZE CHEESE 1KG TUB</t>
  </si>
  <si>
    <t>8997014035604</t>
  </si>
  <si>
    <t>ELMER GLAZE CHEESE 200GR</t>
  </si>
  <si>
    <t>10410123</t>
  </si>
  <si>
    <t>ELMER GLAZE CHESE 250GR</t>
  </si>
  <si>
    <t>10420988</t>
  </si>
  <si>
    <t>ELMER GLAZE COFFE MOCCA 1/2KG</t>
  </si>
  <si>
    <t>10410653</t>
  </si>
  <si>
    <t>ELMER GLAZE COFFE MOCCA 250 GR</t>
  </si>
  <si>
    <t>8997014036922</t>
  </si>
  <si>
    <t>ELMER GLAZE COFFE MOCCA 5KG</t>
  </si>
  <si>
    <t>10410174</t>
  </si>
  <si>
    <t>ELMER GLAZE DARK 1/2KG</t>
  </si>
  <si>
    <t>10410124</t>
  </si>
  <si>
    <t>ELMER GLAZE DARK 250GR</t>
  </si>
  <si>
    <t>10410980</t>
  </si>
  <si>
    <t>ELMER GLAZE DARK GOLD 1/2KG</t>
  </si>
  <si>
    <t>8997014035178</t>
  </si>
  <si>
    <t>ELMER GLAZE DARK GOLD 1KG TUB</t>
  </si>
  <si>
    <t>10410981</t>
  </si>
  <si>
    <t>ELMER GLAZE DARK GOLD 250GR</t>
  </si>
  <si>
    <t>8997014036458</t>
  </si>
  <si>
    <t>ELMER GLAZE DARK GOLD 5KG</t>
  </si>
  <si>
    <t>8997014035079</t>
  </si>
  <si>
    <t>ELMER GLAZE DARK VIZTA 1KG TUB</t>
  </si>
  <si>
    <t>10410128</t>
  </si>
  <si>
    <t>ELMER GLAZE GREENTEA 1/2KG</t>
  </si>
  <si>
    <t>8997014035567</t>
  </si>
  <si>
    <t>ELMER GLAZE GREENTEA 1KG TUB</t>
  </si>
  <si>
    <t>8997014033877</t>
  </si>
  <si>
    <t>ELMER GLAZE GREENTEA 200GR</t>
  </si>
  <si>
    <t>10410129</t>
  </si>
  <si>
    <t>ELMER GLAZE GREENTEA 250GR</t>
  </si>
  <si>
    <t>10410741</t>
  </si>
  <si>
    <t>ELMER GLAZE HAZELNUT 1/2KG</t>
  </si>
  <si>
    <t>10410652</t>
  </si>
  <si>
    <t>ELMER GLAZE HAZELNUT 250 GR</t>
  </si>
  <si>
    <t>8997014036878</t>
  </si>
  <si>
    <t>ELMER GLAZE HAZELNUT 5KG</t>
  </si>
  <si>
    <t>8997014037646</t>
  </si>
  <si>
    <t>ELMER GLAZE RED VELVET 200GR</t>
  </si>
  <si>
    <t>10411463</t>
  </si>
  <si>
    <t>ELMER GLAZE RED VELVET 250GR</t>
  </si>
  <si>
    <t>10410136</t>
  </si>
  <si>
    <t>ELMER GLAZE STRAW 1/2KG</t>
  </si>
  <si>
    <t>8997014035222</t>
  </si>
  <si>
    <t>ELMER GLAZE STRAW 1KG TUB</t>
  </si>
  <si>
    <t>8997014033860</t>
  </si>
  <si>
    <t>ELMER GLAZE STRAW 200GR</t>
  </si>
  <si>
    <t>10410137</t>
  </si>
  <si>
    <t>ELMER GLAZE STRAW 250GR</t>
  </si>
  <si>
    <t>8997014036496</t>
  </si>
  <si>
    <t>ELMER GLAZE STRAW 5KG</t>
  </si>
  <si>
    <t>10420900</t>
  </si>
  <si>
    <t>ELMER GLAZE TARO 1/2KG</t>
  </si>
  <si>
    <t>8997014035239</t>
  </si>
  <si>
    <t>ELMER GLAZE TARO 1KG TUB</t>
  </si>
  <si>
    <t>8997014033846</t>
  </si>
  <si>
    <t>ELMER GLAZE TARO 200GR</t>
  </si>
  <si>
    <t>10420899</t>
  </si>
  <si>
    <t>ELMER GLAZE TARO 250GR</t>
  </si>
  <si>
    <t>10410141</t>
  </si>
  <si>
    <t>ELMER GLAZE TIRAMISU 1/2KG</t>
  </si>
  <si>
    <t>10410140</t>
  </si>
  <si>
    <t>ELMER GLAZE TIRAMISU 250GR</t>
  </si>
  <si>
    <t>10410667</t>
  </si>
  <si>
    <t>ELMER GLAZE TIRAMISU GOLD 1/2KG</t>
  </si>
  <si>
    <t>10410668</t>
  </si>
  <si>
    <t>ELMER GLAZE TIRAMISU GOLD 250GR</t>
  </si>
  <si>
    <t>8997014036946</t>
  </si>
  <si>
    <t>ELMER GLAZE TIRAMISU GOLD 5KG</t>
  </si>
  <si>
    <t>8997014035062</t>
  </si>
  <si>
    <t>ELMER GLAZE TIRAMISU VIZTA 1KG TUB</t>
  </si>
  <si>
    <t>8997014034928</t>
  </si>
  <si>
    <t>ELMER GLAZE TIRAMISU VIZTA 200GR</t>
  </si>
  <si>
    <t>8997014035215</t>
  </si>
  <si>
    <t>ELMER GLAZE TIRAMISUGOLD 1KG TUB</t>
  </si>
  <si>
    <t>10420938</t>
  </si>
  <si>
    <t>ELMER GLAZE WHITE 1/2</t>
  </si>
  <si>
    <t>8997014035192</t>
  </si>
  <si>
    <t>ELMER GLAZE WHITE 1KG TUB</t>
  </si>
  <si>
    <t>8997014033853</t>
  </si>
  <si>
    <t>ELMER GLAZE WHITE 200GR</t>
  </si>
  <si>
    <t>10410227</t>
  </si>
  <si>
    <t>ELMER GLAZE WHITE 250GR</t>
  </si>
  <si>
    <t>8997014036502</t>
  </si>
  <si>
    <t>ELMER GLAZE WHITE 5KG</t>
  </si>
  <si>
    <t>10420934</t>
  </si>
  <si>
    <t>ELMER MISES BLUE 250GR</t>
  </si>
  <si>
    <t>8997014037738</t>
  </si>
  <si>
    <t>ELMER MISES BLUE 5KG</t>
  </si>
  <si>
    <t>10410695</t>
  </si>
  <si>
    <t>ELMER MISES DARK 250GR</t>
  </si>
  <si>
    <t>10420929</t>
  </si>
  <si>
    <t>ELMER MISES GREENTEA 250GR</t>
  </si>
  <si>
    <t>10410843</t>
  </si>
  <si>
    <t>ELMER MISES GREENTEA 5KG</t>
  </si>
  <si>
    <t>10420935</t>
  </si>
  <si>
    <t>ELMER MISES ORANGE 250GR</t>
  </si>
  <si>
    <t>10411180</t>
  </si>
  <si>
    <t>ELMER MISES OREN 5KG</t>
  </si>
  <si>
    <t>10420931</t>
  </si>
  <si>
    <t>ELMER MISES PINK 250GR</t>
  </si>
  <si>
    <t>10421036</t>
  </si>
  <si>
    <t>ELMER MISES PINK 5KG</t>
  </si>
  <si>
    <t>10420937</t>
  </si>
  <si>
    <t>ELMER MISES RED 250GR</t>
  </si>
  <si>
    <t>8997014037745</t>
  </si>
  <si>
    <t>ELMER MISES RED 5KG</t>
  </si>
  <si>
    <t>10420928</t>
  </si>
  <si>
    <t>ELMER MISES TARO 250GR</t>
  </si>
  <si>
    <t>10410754</t>
  </si>
  <si>
    <t>ELMER MISES TARO 5KG</t>
  </si>
  <si>
    <t>10420926</t>
  </si>
  <si>
    <t>ELMER MISES TIRAMITSU 250GR</t>
  </si>
  <si>
    <t>10410755</t>
  </si>
  <si>
    <t>ELMER MISES TIRAMITSU 5KG</t>
  </si>
  <si>
    <t>10420932</t>
  </si>
  <si>
    <t>ELMER MISES WHITE 250GR</t>
  </si>
  <si>
    <t>10423390</t>
  </si>
  <si>
    <t>ELMER MISES WHITE 5KG</t>
  </si>
  <si>
    <t>10420936</t>
  </si>
  <si>
    <t>ELMER MISES YELLOW 250GR</t>
  </si>
  <si>
    <t>10421035</t>
  </si>
  <si>
    <t>ELMER MISES YELLOW 5KG</t>
  </si>
  <si>
    <t>10410888</t>
  </si>
  <si>
    <t>ELMER STONE MNI WR 250GR</t>
  </si>
  <si>
    <t>10420507</t>
  </si>
  <si>
    <t>ELMER STONE MNI WR 5KG</t>
  </si>
  <si>
    <t>8997236236759</t>
  </si>
  <si>
    <t>ELS COFFEE INTENSE GINSENG BANANA COFFEE 5S</t>
  </si>
  <si>
    <t>8997226412019</t>
  </si>
  <si>
    <t>EMINA KEJU MILD 170GR</t>
  </si>
  <si>
    <t>8997226412149</t>
  </si>
  <si>
    <t>EMINA KEJU SHRED 160GR</t>
  </si>
  <si>
    <t>8997226412118</t>
  </si>
  <si>
    <t>EMINA KEJU SHRED 2KG</t>
  </si>
  <si>
    <t>8997226414020</t>
  </si>
  <si>
    <t>EMINA MOZZA SLICE 5S</t>
  </si>
  <si>
    <t>10427289</t>
  </si>
  <si>
    <t>EPE FOAM SEAL 85MM 50S</t>
  </si>
  <si>
    <t>8995209801676</t>
  </si>
  <si>
    <t>ETIRA JAMUR KANCING WHOLE 250GR</t>
  </si>
  <si>
    <t>8995209800754</t>
  </si>
  <si>
    <t>ETIRA JAMUR KANCING SLICE</t>
  </si>
  <si>
    <t>8995209801638</t>
  </si>
  <si>
    <t>ETIRA JAMUR KANCING SLICE 250GR</t>
  </si>
  <si>
    <t>8995209800853</t>
  </si>
  <si>
    <t>ETIRA JAMUR KANCING SLICE 450GR</t>
  </si>
  <si>
    <t>8995209801645</t>
  </si>
  <si>
    <t>8995209800839</t>
  </si>
  <si>
    <t>ETIRA JAMUR WHOLE 450GR</t>
  </si>
  <si>
    <t>8995209801683</t>
  </si>
  <si>
    <t>10411656</t>
  </si>
  <si>
    <t>EURIAL MOZARELLA 10KG</t>
  </si>
  <si>
    <t>10411752</t>
  </si>
  <si>
    <t>EURIAL MOZARELLA 1KG</t>
  </si>
  <si>
    <t>8992753721702</t>
  </si>
  <si>
    <t>EVAPORASI OMELA 386GR</t>
  </si>
  <si>
    <t>8809301680438</t>
  </si>
  <si>
    <t>EVER WHIP AS 1030GR</t>
  </si>
  <si>
    <t>8697454725232</t>
  </si>
  <si>
    <t>EVOO EXTRA VIRGIN KIDS 250ML</t>
  </si>
  <si>
    <t>8991002102231</t>
  </si>
  <si>
    <t>EXCELSO ARABICA GOLD 200GR</t>
  </si>
  <si>
    <t>8991002102132</t>
  </si>
  <si>
    <t>EXCELSO ROBUSTA GOLD 200GR</t>
  </si>
  <si>
    <t>8997205020105</t>
  </si>
  <si>
    <t>F. BRAN TP KULIT GANDUM 1KG</t>
  </si>
  <si>
    <t>8992759244069</t>
  </si>
  <si>
    <t>FACCIAL TISSUE 1000GR 2PLY JOLLY</t>
  </si>
  <si>
    <t>8992759170580</t>
  </si>
  <si>
    <t>FACIAL TISSUE 250S JOLY</t>
  </si>
  <si>
    <t>8992759174113</t>
  </si>
  <si>
    <t>FACIAL TISSUE 560GR 2PLY JOLLY</t>
  </si>
  <si>
    <t>8997217690099</t>
  </si>
  <si>
    <t>FALCON TP ROTI 1KG</t>
  </si>
  <si>
    <t>8997217690051</t>
  </si>
  <si>
    <t>FALCON TP TERIGU 1KG</t>
  </si>
  <si>
    <t>8997217690174</t>
  </si>
  <si>
    <t>FALCON TP TERIGU JAJANAN PASAR 1KG</t>
  </si>
  <si>
    <t>8710679120245</t>
  </si>
  <si>
    <t>FARM FRITES FF CRINKLE CUT 2KG</t>
  </si>
  <si>
    <t>8997214881612</t>
  </si>
  <si>
    <t>FARMILA SKM 500GR</t>
  </si>
  <si>
    <t>10300107</t>
  </si>
  <si>
    <t>FETUCINE KONNYAKU 200GR</t>
  </si>
  <si>
    <t>10412126</t>
  </si>
  <si>
    <t>FF CRINKLE CUT 2KG</t>
  </si>
  <si>
    <t>8992753005475</t>
  </si>
  <si>
    <t>FF LOW FAT 946ML</t>
  </si>
  <si>
    <t>8992753631209</t>
  </si>
  <si>
    <t>FF OMELA KRIMER 370GR</t>
  </si>
  <si>
    <t>FF OMELA KRIMER 490GR</t>
  </si>
  <si>
    <t>8992753723232</t>
  </si>
  <si>
    <t>FF OMELA KRIMER 5KG</t>
  </si>
  <si>
    <t>8992753102204</t>
  </si>
  <si>
    <t>FF SKM CKLT 370GR</t>
  </si>
  <si>
    <t>8992753720903</t>
  </si>
  <si>
    <t>FF SKM CKLT 490GR</t>
  </si>
  <si>
    <t>8992753721580</t>
  </si>
  <si>
    <t>FF SKM CKLT PCH 240GR</t>
  </si>
  <si>
    <t>8992753722747</t>
  </si>
  <si>
    <t>FF SKM CKLT PCH 260GR</t>
  </si>
  <si>
    <t>8992753004034</t>
  </si>
  <si>
    <t>8992753102303</t>
  </si>
  <si>
    <t>FF SKM CKLT SCH 38GR 6S</t>
  </si>
  <si>
    <t>FF SKM GOLD 370GR</t>
  </si>
  <si>
    <t>8992753721009</t>
  </si>
  <si>
    <t>FF SKM GOLD 490GR</t>
  </si>
  <si>
    <t>8992753722181</t>
  </si>
  <si>
    <t>FF SKM GOLD PCH 24X240GR</t>
  </si>
  <si>
    <t>8992753100309</t>
  </si>
  <si>
    <t>FF SKM GOLD SCH 40GR</t>
  </si>
  <si>
    <t>8992753722785</t>
  </si>
  <si>
    <t>FF SKM KOREAN STRAWBERRY 260GR</t>
  </si>
  <si>
    <t>8992753723041</t>
  </si>
  <si>
    <t>FF SKM KOREAN STRW 38G 6S</t>
  </si>
  <si>
    <t>8992753101207</t>
  </si>
  <si>
    <t>FF SKM PUTIH 370GR</t>
  </si>
  <si>
    <t>8992753720804</t>
  </si>
  <si>
    <t>FF SKM PUTIH 490GR</t>
  </si>
  <si>
    <t>8992753722730</t>
  </si>
  <si>
    <t>FF SKM PUTIH PCH 260GR</t>
  </si>
  <si>
    <t>8992753721597</t>
  </si>
  <si>
    <t>FF SKM PUTIH PCH 280GR</t>
  </si>
  <si>
    <t>8992753031900</t>
  </si>
  <si>
    <t>FF SKM PUTIH SCH 40GR 6S</t>
  </si>
  <si>
    <t>10412011</t>
  </si>
  <si>
    <t>FF STRAIGHT CUT 1KG</t>
  </si>
  <si>
    <t>8992753761302</t>
  </si>
  <si>
    <t>FF SUSU BUBUK COKLAT 35GR 10S</t>
  </si>
  <si>
    <t>8992753721047</t>
  </si>
  <si>
    <t>FF SUSU BUBUK VANILA 30GR 10S</t>
  </si>
  <si>
    <t>8992753005482</t>
  </si>
  <si>
    <t>FF UHT PF CKLT 946ML</t>
  </si>
  <si>
    <t>8992753184002</t>
  </si>
  <si>
    <t>FF UHT ZUZHU STRW 115ML</t>
  </si>
  <si>
    <t>10411366</t>
  </si>
  <si>
    <t>FG1 GOLD FOIL 8X8.3CM 10S</t>
  </si>
  <si>
    <t>10411368</t>
  </si>
  <si>
    <t>FG2 FLAKE GOLD 5GR</t>
  </si>
  <si>
    <t>10411370</t>
  </si>
  <si>
    <t>FG3 EDIBLE GOLD FOIL 5S</t>
  </si>
  <si>
    <t>8997214270041</t>
  </si>
  <si>
    <t>FIBER CREME 168gr</t>
  </si>
  <si>
    <t>8997214270515</t>
  </si>
  <si>
    <t>FIBER CREME COOKING 65ML</t>
  </si>
  <si>
    <t>8997214270218</t>
  </si>
  <si>
    <t>FIBER CREME SCH 20GR</t>
  </si>
  <si>
    <t>8993207240657</t>
  </si>
  <si>
    <t>FIESTA CHICKEN NUGGET 200GR</t>
  </si>
  <si>
    <t>8993207240558</t>
  </si>
  <si>
    <t>FIESTA CHICKEN NUGGET 400GR</t>
  </si>
  <si>
    <t>8993207230214</t>
  </si>
  <si>
    <t>FIESTA CRISPY BUBBLE NUGGET 400GR</t>
  </si>
  <si>
    <t>8993207200071</t>
  </si>
  <si>
    <t>FIESTA CRISPY CRUNCH 300GR</t>
  </si>
  <si>
    <t>8993207571690</t>
  </si>
  <si>
    <t>FIESTA FF BATTER COATED 500GR</t>
  </si>
  <si>
    <t>8993207240640</t>
  </si>
  <si>
    <t>FIESTA HOT&amp;CRISPY FRIED CHICKEN 400GR</t>
  </si>
  <si>
    <t>8993207240619</t>
  </si>
  <si>
    <t>FIESTA KARAGE DAGING PAHA AYAM 400GR</t>
  </si>
  <si>
    <t>8993207240589</t>
  </si>
  <si>
    <t>FIESTA NUGGET STIKIE 400GR</t>
  </si>
  <si>
    <t>8993207571720</t>
  </si>
  <si>
    <t>FIESTA SHOESTRING 1000GR</t>
  </si>
  <si>
    <t>8993207140377</t>
  </si>
  <si>
    <t>FIESTA SHOESTRING 2KG</t>
  </si>
  <si>
    <t>8993207571683</t>
  </si>
  <si>
    <t>FIESTA SHOESTRING 500GR</t>
  </si>
  <si>
    <t>8993207566016</t>
  </si>
  <si>
    <t>FIESTA SOSIS AYAM 500GR</t>
  </si>
  <si>
    <t>8993207240978</t>
  </si>
  <si>
    <t>FIESTA SPICY CHICK 400GR</t>
  </si>
  <si>
    <t>8993207240961</t>
  </si>
  <si>
    <t>FIESTA SPICY WINGS 400GR</t>
  </si>
  <si>
    <t>8993207240664</t>
  </si>
  <si>
    <t>FIESTA STIKIE 200GR</t>
  </si>
  <si>
    <t>8993207180939</t>
  </si>
  <si>
    <t>FIESTA TEPUNG ROTI PUTIH 200GR</t>
  </si>
  <si>
    <t>8993207180908</t>
  </si>
  <si>
    <t>FIESTA TP BUMBU AYAM GORENG 80GR</t>
  </si>
  <si>
    <t>8993207180861</t>
  </si>
  <si>
    <t>FIESTA TP BUMBU AYAM KREMES 80GR</t>
  </si>
  <si>
    <t>8993207180878</t>
  </si>
  <si>
    <t>FIESTA TP BUMBU BAKWAN 80GR</t>
  </si>
  <si>
    <t>8993207180854</t>
  </si>
  <si>
    <t>FIESTA TP BUMBU SERBAGUNA 80GR</t>
  </si>
  <si>
    <t>8992826211017</t>
  </si>
  <si>
    <t>FILMA MARGARINE 200GR</t>
  </si>
  <si>
    <t>10411604</t>
  </si>
  <si>
    <t>FILMA MARGARNIE 500GR</t>
  </si>
  <si>
    <t>10412384</t>
  </si>
  <si>
    <t>FILMA PRESTIGE 1/2KG</t>
  </si>
  <si>
    <t>8992826293617</t>
  </si>
  <si>
    <t>FILMA PRESTIGE 10KG</t>
  </si>
  <si>
    <t>10412383</t>
  </si>
  <si>
    <t>FILMA PRESTIGE 1KG</t>
  </si>
  <si>
    <t>8992826311113</t>
  </si>
  <si>
    <t>FILMA PUFF PASTRY 12KG</t>
  </si>
  <si>
    <t>10411620</t>
  </si>
  <si>
    <t>FILMA PUFF PASTRY 250GR</t>
  </si>
  <si>
    <t>10411599</t>
  </si>
  <si>
    <t>FILMA PUFF PASTRY 2KG</t>
  </si>
  <si>
    <t>10411619</t>
  </si>
  <si>
    <t>FILMA PUFF PASTRY 500GR</t>
  </si>
  <si>
    <t>8997028581159</t>
  </si>
  <si>
    <t>FILO COKLAT BUBUK 10KG</t>
  </si>
  <si>
    <t>8997235890402</t>
  </si>
  <si>
    <t>FINECO VIRGIN COCONUT OIL 250ML</t>
  </si>
  <si>
    <t>8997235890419</t>
  </si>
  <si>
    <t>FINECO VIRGIN COCONUT OIL 500ML</t>
  </si>
  <si>
    <t>8991818000165</t>
  </si>
  <si>
    <t>FINNA DUA MENARA UDANG 380GR</t>
  </si>
  <si>
    <t>8850213602001</t>
  </si>
  <si>
    <t>FINNA KCP IKAN LOBSTER 200ML</t>
  </si>
  <si>
    <t>8850213607501</t>
  </si>
  <si>
    <t>FINNA KCP IKAN LOBSTER 700ML</t>
  </si>
  <si>
    <t>8850213102006</t>
  </si>
  <si>
    <t>FINNA KECAP IKAN 200ML</t>
  </si>
  <si>
    <t>8850213107506</t>
  </si>
  <si>
    <t>FINNA KECAP IKAN 700ML</t>
  </si>
  <si>
    <t>8991818890148</t>
  </si>
  <si>
    <t>FINNA KULIT LUMPIA 50S</t>
  </si>
  <si>
    <t>8991818801342</t>
  </si>
  <si>
    <t>FINNA SAMBAL EXTRA PEDAS 1KG</t>
  </si>
  <si>
    <t>8991818801632</t>
  </si>
  <si>
    <t>FINNA SAMBAL EXTRA PEDAS 9GR</t>
  </si>
  <si>
    <t>8991818100025</t>
  </si>
  <si>
    <t>FINNA SAUS EXTRA HOT 340ML</t>
  </si>
  <si>
    <t>8991818040062</t>
  </si>
  <si>
    <t>FINNA TP BUMBU CRISPY 1KG</t>
  </si>
  <si>
    <t>FINO TP CUSTARD 300GR</t>
  </si>
  <si>
    <t>8992824265234</t>
  </si>
  <si>
    <t>FLAKE PASTRY 15KG</t>
  </si>
  <si>
    <t>10412395</t>
  </si>
  <si>
    <t>FLAKE PASTRY 500GR</t>
  </si>
  <si>
    <t>6950820920771</t>
  </si>
  <si>
    <t>FLAME GUN GAS TORCH 1300C</t>
  </si>
  <si>
    <t>10422649</t>
  </si>
  <si>
    <t>FOL0001 EDIBLE SILVER 2GR</t>
  </si>
  <si>
    <t>10425037</t>
  </si>
  <si>
    <t>FOL0002 FLAKE GOLD 2GR</t>
  </si>
  <si>
    <t>8992992933416</t>
  </si>
  <si>
    <t>FONDX VIRGIN WHITE 5KG</t>
  </si>
  <si>
    <t>10410673</t>
  </si>
  <si>
    <t>FONDX VIRGIN WHT 1/2 kg</t>
  </si>
  <si>
    <t>10420434</t>
  </si>
  <si>
    <t>FONDX VIRGIN WHT 1KG</t>
  </si>
  <si>
    <t>10410837</t>
  </si>
  <si>
    <t>FONDX VIRGIN WHT 250GR</t>
  </si>
  <si>
    <t>10427419</t>
  </si>
  <si>
    <t>FOOD PAIL 10 OZ KRAFT</t>
  </si>
  <si>
    <t>10427421</t>
  </si>
  <si>
    <t>FOOD PAIL 10 OZ PTH</t>
  </si>
  <si>
    <t>10427420</t>
  </si>
  <si>
    <t>FOOD PAIL 12 OZ KRAFT</t>
  </si>
  <si>
    <t>10427422</t>
  </si>
  <si>
    <t>FOOD PAIL 12 OZ PTH</t>
  </si>
  <si>
    <t>10420576</t>
  </si>
  <si>
    <t>FOOD PAIL MEDIUM 50S</t>
  </si>
  <si>
    <t>10412387</t>
  </si>
  <si>
    <t>FOODMAKERS GELATIN 100GR</t>
  </si>
  <si>
    <t>10412386</t>
  </si>
  <si>
    <t>FOODMAKERS GELATIN 1KG</t>
  </si>
  <si>
    <t>10424271</t>
  </si>
  <si>
    <t>FORA BAKING CUP 38MM SMALL</t>
  </si>
  <si>
    <t>10424272</t>
  </si>
  <si>
    <t>FORA BAKING CUP 45MM MEDIUM</t>
  </si>
  <si>
    <t>10424273</t>
  </si>
  <si>
    <t>FORA BAKING CUP 55MM MEDIUM</t>
  </si>
  <si>
    <t>10424274</t>
  </si>
  <si>
    <t>FORA BAKING CUP 63MM BIG</t>
  </si>
  <si>
    <t>8992946520587</t>
  </si>
  <si>
    <t>FORVITA MARGARIN 200GR</t>
  </si>
  <si>
    <t>8992946534409</t>
  </si>
  <si>
    <t>FORVITA MARGARIN TUB 200GR</t>
  </si>
  <si>
    <t>10411586</t>
  </si>
  <si>
    <t>FORVITA MARGARINE 1KG</t>
  </si>
  <si>
    <t>8999801700030</t>
  </si>
  <si>
    <t>FOYU KRIMER 500GR</t>
  </si>
  <si>
    <t>415103</t>
  </si>
  <si>
    <t>FRENCHS CLASIC YL MUSTARD 170GR</t>
  </si>
  <si>
    <t>041500013527</t>
  </si>
  <si>
    <t>FRENCHS CLASIC YL MUSTARD 226GR</t>
  </si>
  <si>
    <t>8991002109407</t>
  </si>
  <si>
    <t>FRESCO CAPPUCINO 225GR</t>
  </si>
  <si>
    <t>10422631</t>
  </si>
  <si>
    <t>FRESH FOOD 250MM</t>
  </si>
  <si>
    <t>10420380</t>
  </si>
  <si>
    <t>FRESH FOOD 300MM</t>
  </si>
  <si>
    <t>10420198</t>
  </si>
  <si>
    <t>FRESH FOOD 350MM</t>
  </si>
  <si>
    <t>10420376</t>
  </si>
  <si>
    <t>FRESH FOOD 400MM</t>
  </si>
  <si>
    <t>10420377</t>
  </si>
  <si>
    <t>FRESH FOOD 450MM</t>
  </si>
  <si>
    <t>8997227040235</t>
  </si>
  <si>
    <t>FRESHFOOD CLING 40CM X 20M @24</t>
  </si>
  <si>
    <t>10411925</t>
  </si>
  <si>
    <t>FRG2 FOIL ROSE GOLD 5GR</t>
  </si>
  <si>
    <t>8852756303049</t>
  </si>
  <si>
    <t>FROOT LOOPS 150GR</t>
  </si>
  <si>
    <t>8852756304046</t>
  </si>
  <si>
    <t>FROOT LOOPS 300GR</t>
  </si>
  <si>
    <t>8852756303063</t>
  </si>
  <si>
    <t>FROSTIES 175GR</t>
  </si>
  <si>
    <t>8852756304060</t>
  </si>
  <si>
    <t>FROSTIES 300GR</t>
  </si>
  <si>
    <t>10424844</t>
  </si>
  <si>
    <t>FROZEN ANAK B 2S FI18</t>
  </si>
  <si>
    <t>10424536</t>
  </si>
  <si>
    <t>FROZEN DKK 1S FI1</t>
  </si>
  <si>
    <t>10422787</t>
  </si>
  <si>
    <t>FROZEN SET 1 FI4</t>
  </si>
  <si>
    <t>10425849</t>
  </si>
  <si>
    <t>FROZEN SET 3 PUTRI SS-00170</t>
  </si>
  <si>
    <t>10421909</t>
  </si>
  <si>
    <t>FROZEN SET 6</t>
  </si>
  <si>
    <t>10422589</t>
  </si>
  <si>
    <t>FROZEN SET 6 F10</t>
  </si>
  <si>
    <t>10424672</t>
  </si>
  <si>
    <t>FROZEN SET 6 FI3</t>
  </si>
  <si>
    <t>10424674</t>
  </si>
  <si>
    <t>FROZEN SET3 9CM FI5</t>
  </si>
  <si>
    <t>6944128625438</t>
  </si>
  <si>
    <t>FRUIT KNIFE SET 3 FK1</t>
  </si>
  <si>
    <t>10427042</t>
  </si>
  <si>
    <t>FRUIT TOLLS 4 SET FT3</t>
  </si>
  <si>
    <t>10422244</t>
  </si>
  <si>
    <t>FRUIT TOOLS FT1</t>
  </si>
  <si>
    <t>8432583620399</t>
  </si>
  <si>
    <t>FRUIT TOOLS FT2</t>
  </si>
  <si>
    <t>10411395</t>
  </si>
  <si>
    <t>FRUITY SELAI KACANG 1KG</t>
  </si>
  <si>
    <t>10410442</t>
  </si>
  <si>
    <t>FRUTY NANAS 1/2KG</t>
  </si>
  <si>
    <t>10410414</t>
  </si>
  <si>
    <t>FRUTY NANAS 1KG</t>
  </si>
  <si>
    <t>10410443</t>
  </si>
  <si>
    <t>FRUTY NANAS 250GR</t>
  </si>
  <si>
    <t>10410812</t>
  </si>
  <si>
    <t>FRUTY NANAS 5KG</t>
  </si>
  <si>
    <t>10411755</t>
  </si>
  <si>
    <t>FRUTY NANAS PREMIUM 5KG</t>
  </si>
  <si>
    <t>10410108</t>
  </si>
  <si>
    <t>FRUTY STRAW 1/2KG</t>
  </si>
  <si>
    <t>10410413</t>
  </si>
  <si>
    <t>FRUTY STRAW 1KG</t>
  </si>
  <si>
    <t>10410280</t>
  </si>
  <si>
    <t>FRUTY STRAW 250GR</t>
  </si>
  <si>
    <t>10410743</t>
  </si>
  <si>
    <t>FRUTY STRAW 5KG</t>
  </si>
  <si>
    <t>10411367</t>
  </si>
  <si>
    <t>FS1 SILVER FOIL 8X8.3CM 10S</t>
  </si>
  <si>
    <t>10411369</t>
  </si>
  <si>
    <t>FS2 FLAKE SILVER 5GR</t>
  </si>
  <si>
    <t>10411365</t>
  </si>
  <si>
    <t>FS3 EDIBLE SILVER FOIL 5S</t>
  </si>
  <si>
    <t>169391</t>
  </si>
  <si>
    <t>FT BOTOL</t>
  </si>
  <si>
    <t>10426494</t>
  </si>
  <si>
    <t>FUNNEL RAINBOW PLASTIK 5S FUN0003</t>
  </si>
  <si>
    <t>10426512</t>
  </si>
  <si>
    <t>FUNNEL SILICONE BESAR FUN0002</t>
  </si>
  <si>
    <t>8888327831819</t>
  </si>
  <si>
    <t>GAGA MIE TELOR A1 180GR</t>
  </si>
  <si>
    <t>10423869</t>
  </si>
  <si>
    <t>GAGANG HOT STAMP HOT0001 LISSE</t>
  </si>
  <si>
    <t>8992993528956</t>
  </si>
  <si>
    <t>GALETTO CHOCO CRUNCHY 350GR</t>
  </si>
  <si>
    <t>8992993528338</t>
  </si>
  <si>
    <t>GALETTO COMP TIRAMISU 180GR</t>
  </si>
  <si>
    <t>8992993528345</t>
  </si>
  <si>
    <t>GALETTO COMP WHITE 180GR</t>
  </si>
  <si>
    <t>GALETTO WHITE 250GR</t>
  </si>
  <si>
    <t>8994389110189</t>
  </si>
  <si>
    <t>GARAM HALUS IKAN LAYANG 250GR</t>
  </si>
  <si>
    <t>8997007870021</t>
  </si>
  <si>
    <t>GARAM HALUS SARCIL 200GR</t>
  </si>
  <si>
    <t>8993226568473</t>
  </si>
  <si>
    <t>GARAM PASAR RAME</t>
  </si>
  <si>
    <t>8992797340174</t>
  </si>
  <si>
    <t>GARDOE TEH HIJAU 40GR</t>
  </si>
  <si>
    <t>6694689362098</t>
  </si>
  <si>
    <t>GARLIC MIXER YS-209</t>
  </si>
  <si>
    <t>6912321549639</t>
  </si>
  <si>
    <t>GARLIC PRESS GG PLASTIK</t>
  </si>
  <si>
    <t>55481238</t>
  </si>
  <si>
    <t>GARLIC PRESS M-481</t>
  </si>
  <si>
    <t>10424628</t>
  </si>
  <si>
    <t>GARLIC PRESS SEESAW SG1</t>
  </si>
  <si>
    <t>10425718</t>
  </si>
  <si>
    <t>GARPU KAYU 100S WS2-16A</t>
  </si>
  <si>
    <t>5550788</t>
  </si>
  <si>
    <t>GARPU KUE JAGUNG A300 12S</t>
  </si>
  <si>
    <t>10420027</t>
  </si>
  <si>
    <t>GARPU MAKAN HITAM 25</t>
  </si>
  <si>
    <t>10424687</t>
  </si>
  <si>
    <t>GARPU MAKAN PEONIX BENING 25S</t>
  </si>
  <si>
    <t>10424698</t>
  </si>
  <si>
    <t>GARPU MAKAN PEONIX PSS 25S</t>
  </si>
  <si>
    <t>10424756</t>
  </si>
  <si>
    <t>GARPU MAKAN PTH UNIV 25S</t>
  </si>
  <si>
    <t>10420065</t>
  </si>
  <si>
    <t>GARPU MAKAN ROMAN BENING 25</t>
  </si>
  <si>
    <t>10424291</t>
  </si>
  <si>
    <t>GARPU MAKAN UNIV BNG</t>
  </si>
  <si>
    <t>10420224</t>
  </si>
  <si>
    <t>GARPU MKN ROMAN P SS</t>
  </si>
  <si>
    <t>10424999</t>
  </si>
  <si>
    <t>GARPU MKN TIPTOP BENING 100S</t>
  </si>
  <si>
    <t>1042541</t>
  </si>
  <si>
    <t>GARPU MKN TIPTOP BENING 25S</t>
  </si>
  <si>
    <t>10425000</t>
  </si>
  <si>
    <t>GARPU MKN TIPTOP PUTIH 100S</t>
  </si>
  <si>
    <t>10425102</t>
  </si>
  <si>
    <t>GARPU MKN TIPTOP PUTIH 25S</t>
  </si>
  <si>
    <t>10425143</t>
  </si>
  <si>
    <t>GARPU SENDOK KAYU JATI KK22</t>
  </si>
  <si>
    <t>6957090104306</t>
  </si>
  <si>
    <t>GATER PAPER COFFE FILTER 1-2CUP 40S</t>
  </si>
  <si>
    <t>6957090104313</t>
  </si>
  <si>
    <t>GATER PAPER COFFE FILTER 2-4CUP 40S</t>
  </si>
  <si>
    <t>9555182107654</t>
  </si>
  <si>
    <t>GAYUNG AIR MINUM NCI7222</t>
  </si>
  <si>
    <t>10530194</t>
  </si>
  <si>
    <t>GELAS 10 OZ CHERIA</t>
  </si>
  <si>
    <t>10530238</t>
  </si>
  <si>
    <t>GELAS 12 OZ CHERIA</t>
  </si>
  <si>
    <t>10530198</t>
  </si>
  <si>
    <t>GELAS 12 OZ GLASINDO</t>
  </si>
  <si>
    <t>10530185</t>
  </si>
  <si>
    <t>GELAS 12 OZ GLASINDO OVAL</t>
  </si>
  <si>
    <t>10530240</t>
  </si>
  <si>
    <t>GELAS 12 OZ KHARISMA</t>
  </si>
  <si>
    <t>10530147</t>
  </si>
  <si>
    <t>GELAS 12 OZ OVAL STD</t>
  </si>
  <si>
    <t>10427427</t>
  </si>
  <si>
    <t>GELAS 12 OZ OVAL TIPTOP</t>
  </si>
  <si>
    <t>10530210</t>
  </si>
  <si>
    <t>GELAS 12 OZ OVAL UNIVERSAL</t>
  </si>
  <si>
    <t>10530188</t>
  </si>
  <si>
    <t>GELAS 12 OZ POLOS VIVA</t>
  </si>
  <si>
    <t>10427000</t>
  </si>
  <si>
    <t>GELAS 12 OZ POP ICE</t>
  </si>
  <si>
    <t>10427509</t>
  </si>
  <si>
    <t>GELAS 12 OZ STD 7GR</t>
  </si>
  <si>
    <t>10426999</t>
  </si>
  <si>
    <t>GELAS 12 OZ ZAMZAM</t>
  </si>
  <si>
    <t>10530239</t>
  </si>
  <si>
    <t>GELAS 14 OZ CHERIA</t>
  </si>
  <si>
    <t>10530227</t>
  </si>
  <si>
    <t>GELAS 14 OZ DATAR STD 7GR</t>
  </si>
  <si>
    <t>10530074</t>
  </si>
  <si>
    <t>GELAS 14 OZ GLASINDO</t>
  </si>
  <si>
    <t>10530190</t>
  </si>
  <si>
    <t>GELAS 14 OZ OVAL GLASINDO</t>
  </si>
  <si>
    <t>10530235</t>
  </si>
  <si>
    <t>GELAS 14 OZ OVAL SP 7GR</t>
  </si>
  <si>
    <t>10530093</t>
  </si>
  <si>
    <t>GELAS 14 OZ OVAL STD</t>
  </si>
  <si>
    <t>10530214</t>
  </si>
  <si>
    <t>GELAS 14 OZ OVAL UNIVERSAL</t>
  </si>
  <si>
    <t>10530077</t>
  </si>
  <si>
    <t>GELAS 14 OZ POLOS SP 7GR</t>
  </si>
  <si>
    <t>10530189</t>
  </si>
  <si>
    <t>GELAS 14 OZ POLOS VIVA</t>
  </si>
  <si>
    <t>10530108</t>
  </si>
  <si>
    <t>GELAS 16 GLASINDO</t>
  </si>
  <si>
    <t>10530228</t>
  </si>
  <si>
    <t>GELAS 16 OZ DATAR STD 7GR</t>
  </si>
  <si>
    <t>10530134</t>
  </si>
  <si>
    <t>GELAS 16 OZ GLASINDO OVAL</t>
  </si>
  <si>
    <t>10530183</t>
  </si>
  <si>
    <t>GELAS 16 OZ GLASINDO OVAL P</t>
  </si>
  <si>
    <t>10426761</t>
  </si>
  <si>
    <t>GELAS 16 OZ OVAL SP 7GR</t>
  </si>
  <si>
    <t>10530150</t>
  </si>
  <si>
    <t>GELAS 16 OZ OVAL STD</t>
  </si>
  <si>
    <t>10427001</t>
  </si>
  <si>
    <t>GELAS 16 OZ POP ICE</t>
  </si>
  <si>
    <t>10424121</t>
  </si>
  <si>
    <t>GELAS 18 OZ OVAL STD</t>
  </si>
  <si>
    <t>10424122</t>
  </si>
  <si>
    <t>GELAS 18 OZ STD</t>
  </si>
  <si>
    <t>10530213</t>
  </si>
  <si>
    <t>GELAS 22 OVAL M-CUP</t>
  </si>
  <si>
    <t>10530146</t>
  </si>
  <si>
    <t>GELAS 22 OZ GLASINDO</t>
  </si>
  <si>
    <t>10427158</t>
  </si>
  <si>
    <t>GELAS 22 OZ OVAL MCUP</t>
  </si>
  <si>
    <t>10530234</t>
  </si>
  <si>
    <t>GELAS 22 OZ OVAL NATURAL SP</t>
  </si>
  <si>
    <t>10540080</t>
  </si>
  <si>
    <t>GELAS 22 OZ OVAL STD</t>
  </si>
  <si>
    <t>10530212</t>
  </si>
  <si>
    <t>GELAS 22 OZ OVAL UNIVERSAL</t>
  </si>
  <si>
    <t>10530249</t>
  </si>
  <si>
    <t>GELAS 22 OZ POLOS SP 9GR</t>
  </si>
  <si>
    <t>10530085</t>
  </si>
  <si>
    <t>GELAS 22 OZ STARINDO</t>
  </si>
  <si>
    <t>10420406</t>
  </si>
  <si>
    <t>GELAS AQUA PLS</t>
  </si>
  <si>
    <t>10426567</t>
  </si>
  <si>
    <t>GELAS AYAKAN AKRILIK 11CM GS3</t>
  </si>
  <si>
    <t>10424618</t>
  </si>
  <si>
    <t>GELAS AYAKAN STAIN JUMBO GS4</t>
  </si>
  <si>
    <t>168300</t>
  </si>
  <si>
    <t>GELAS AYAKAN TEPUNG</t>
  </si>
  <si>
    <t>5569877598546</t>
  </si>
  <si>
    <t>GELAS AYAKAN TEPUNG GS1</t>
  </si>
  <si>
    <t>10423714</t>
  </si>
  <si>
    <t>GELAS AYAKAN TEPUNG GS2</t>
  </si>
  <si>
    <t>10530015</t>
  </si>
  <si>
    <t>GELAS BOLA PENUH 50S</t>
  </si>
  <si>
    <t>10530181</t>
  </si>
  <si>
    <t>GELAS BOLA PENUH STD 50S</t>
  </si>
  <si>
    <t>10427400</t>
  </si>
  <si>
    <t>GELAS BOLA PENUH TIPTOP</t>
  </si>
  <si>
    <t>10530199</t>
  </si>
  <si>
    <t>GELAS BOLA PENUH TP 50S</t>
  </si>
  <si>
    <t>10540065</t>
  </si>
  <si>
    <t>GELAS ES KRIM 100ML STD</t>
  </si>
  <si>
    <t>10426799</t>
  </si>
  <si>
    <t>GELAS KACA (BONUS)</t>
  </si>
  <si>
    <t>10420436</t>
  </si>
  <si>
    <t>GELAS KOPI 6,5 OZ</t>
  </si>
  <si>
    <t>10530019</t>
  </si>
  <si>
    <t>GELAS KOPI 8 OZ</t>
  </si>
  <si>
    <t>10427418</t>
  </si>
  <si>
    <t>GELAS KOPI 8 OZ KRAFT</t>
  </si>
  <si>
    <t>10530182</t>
  </si>
  <si>
    <t>GELAS KOPI 8 OZ POLOS</t>
  </si>
  <si>
    <t>10540070</t>
  </si>
  <si>
    <t>GELAS KOPI 9 OZ TANGKAI</t>
  </si>
  <si>
    <t>10422276</t>
  </si>
  <si>
    <t>GELAS UKUR 300ML GU1</t>
  </si>
  <si>
    <t>10424183</t>
  </si>
  <si>
    <t>GELAS UKUR AKRILIK 150ML GU4</t>
  </si>
  <si>
    <t>10422878</t>
  </si>
  <si>
    <t>GELAS UKUR STAIN 350ML GU2</t>
  </si>
  <si>
    <t>10422893</t>
  </si>
  <si>
    <t>GELAS UKUR STAIN 600ML GU3</t>
  </si>
  <si>
    <t>10425064</t>
  </si>
  <si>
    <t>GELAS UKUR STAIN 900ML GU3-1</t>
  </si>
  <si>
    <t>10427375</t>
  </si>
  <si>
    <t>GELAS UKUR STAINLES 30ML GU6K</t>
  </si>
  <si>
    <t>10427376</t>
  </si>
  <si>
    <t>GELAS UKUR STAINLESS 40ML GU6T</t>
  </si>
  <si>
    <t>10530008</t>
  </si>
  <si>
    <t>GELAS UNIVERSAL 50ML</t>
  </si>
  <si>
    <t>10530236</t>
  </si>
  <si>
    <t>GELAS UNIVERSAL PSS 50ML</t>
  </si>
  <si>
    <t>10530202</t>
  </si>
  <si>
    <t>GELAS UNIVERSAL WARNA 50ML</t>
  </si>
  <si>
    <t>6923450656181</t>
  </si>
  <si>
    <t>GELATIN JELLY ART YG 11</t>
  </si>
  <si>
    <t>10424455</t>
  </si>
  <si>
    <t>GENERATION OF SPIDERMAN MG 54</t>
  </si>
  <si>
    <t>10426570</t>
  </si>
  <si>
    <t>GERIGI SET12 GI020</t>
  </si>
  <si>
    <t>10425954</t>
  </si>
  <si>
    <t>GFRG2 FLAKE ROSEGOLD 2GR</t>
  </si>
  <si>
    <t>10425953</t>
  </si>
  <si>
    <t>GFS2 FLAKE SILVER 2GR</t>
  </si>
  <si>
    <t>10424632</t>
  </si>
  <si>
    <t>GIL CEMBUNG STAIN GOLD 33CM GI018C</t>
  </si>
  <si>
    <t>10424631</t>
  </si>
  <si>
    <t>GIL CEMBUNG STAIN GOLD GELAP 33CM GI018B</t>
  </si>
  <si>
    <t>10424633</t>
  </si>
  <si>
    <t>GIL CEMBUNG STAIN RAINBOW 33CM GI018D</t>
  </si>
  <si>
    <t>10424634</t>
  </si>
  <si>
    <t>GIL CEMBUNG STAIN ROSEGOLD 33CM GI018E</t>
  </si>
  <si>
    <t>10424630</t>
  </si>
  <si>
    <t>GIL CEMBUNG STAIN SILVER 33CM GI018A</t>
  </si>
  <si>
    <t>10423588</t>
  </si>
  <si>
    <t>GILASAN + PENGGARIS 44 CM GI08</t>
  </si>
  <si>
    <t>10423717</t>
  </si>
  <si>
    <t>GILASAN PUTIH A A08</t>
  </si>
  <si>
    <t>6908961921096</t>
  </si>
  <si>
    <t>GILASAN PUTIH A09</t>
  </si>
  <si>
    <t>6908961921034</t>
  </si>
  <si>
    <t>GILASAN PUTIH B A A06</t>
  </si>
  <si>
    <t>10423292</t>
  </si>
  <si>
    <t>GILASAN PUTIH K A07</t>
  </si>
  <si>
    <t>10423552</t>
  </si>
  <si>
    <t>GILASAN STAINLES 44 CM GI07</t>
  </si>
  <si>
    <t>10423576</t>
  </si>
  <si>
    <t>GILASAN STAINLESS 20 CM GI05</t>
  </si>
  <si>
    <t>10410147</t>
  </si>
  <si>
    <t>GINCU SWAN HIJAU</t>
  </si>
  <si>
    <t>10410150</t>
  </si>
  <si>
    <t>GINCU SWAN KUNING MUDA</t>
  </si>
  <si>
    <t>10410149</t>
  </si>
  <si>
    <t>GINCU SWAN KUNING TUA</t>
  </si>
  <si>
    <t>10410151</t>
  </si>
  <si>
    <t>GINCU SWAN MERAH MUDA</t>
  </si>
  <si>
    <t>10410148</t>
  </si>
  <si>
    <t>GINCU SWAN MERAH TUA</t>
  </si>
  <si>
    <t>10411648</t>
  </si>
  <si>
    <t>GINCU SWAN RASPBERRY</t>
  </si>
  <si>
    <t>10425853</t>
  </si>
  <si>
    <t>GIRL KUCING TIDUR LL-0002</t>
  </si>
  <si>
    <t>10425479</t>
  </si>
  <si>
    <t>GLITER UNGU KPT13-E2</t>
  </si>
  <si>
    <t>8854419004256</t>
  </si>
  <si>
    <t>GLOBAL JAGUNG KALENG 425 GR</t>
  </si>
  <si>
    <t>8850035105360</t>
  </si>
  <si>
    <t>GLOBAL JAGUNG SWEET CORN 425GR</t>
  </si>
  <si>
    <t>GLOBAL MUSHROOMS 425GR</t>
  </si>
  <si>
    <t>8992829888827</t>
  </si>
  <si>
    <t>GOALPARA 100GR</t>
  </si>
  <si>
    <t>GOALPARA 250GR</t>
  </si>
  <si>
    <t>8992829888810</t>
  </si>
  <si>
    <t>GOALPARA 50GR</t>
  </si>
  <si>
    <t>8992829888889</t>
  </si>
  <si>
    <t>GOALPARA TB 25</t>
  </si>
  <si>
    <t>10411760</t>
  </si>
  <si>
    <t>GOCHUJANG SAUCE 1KG</t>
  </si>
  <si>
    <t>10427319</t>
  </si>
  <si>
    <t>GODIEBAG IDUL FITRI 25-05 MOTIF MIX 1S</t>
  </si>
  <si>
    <t>10427297</t>
  </si>
  <si>
    <t>GODIEBAG IDUL FITRI 25-05 MOTIF MIX 30S</t>
  </si>
  <si>
    <t>10427303</t>
  </si>
  <si>
    <t>GODIEBAG IDUL FITRI 25-06 MOTIF MIX 1S</t>
  </si>
  <si>
    <t>10427302</t>
  </si>
  <si>
    <t>GODIEBAG IDUL FITRI 25-06 MOTIF MIX 30S</t>
  </si>
  <si>
    <t>10427320</t>
  </si>
  <si>
    <t>GODIEBAG IDUL FITRI 25-10 MOTIF MIX 1S</t>
  </si>
  <si>
    <t>10427298</t>
  </si>
  <si>
    <t>GODIEBAG IDUL FITRI 25-10 MOTIF MIX 30S</t>
  </si>
  <si>
    <t>8995002809404</t>
  </si>
  <si>
    <t>GOLD REEF FRUIT COCKTAIL 822GR</t>
  </si>
  <si>
    <t>8995002809411</t>
  </si>
  <si>
    <t>GOLD REEF PEACH HALVES 822GR</t>
  </si>
  <si>
    <t>9557412204362</t>
  </si>
  <si>
    <t>GOLDEN BRIGDE SALAD OIL 1LT</t>
  </si>
  <si>
    <t>8997205020044</t>
  </si>
  <si>
    <t>GOLDEN EAGLE TP TERIGU 1KG</t>
  </si>
  <si>
    <t>8993492101022</t>
  </si>
  <si>
    <t>GOLDEN FARM CORN KERNEL 1KG</t>
  </si>
  <si>
    <t>8993492101084</t>
  </si>
  <si>
    <t>GOLDEN FARM CORN KERNEL 500GR</t>
  </si>
  <si>
    <t>8993492101411</t>
  </si>
  <si>
    <t>GOLDEN FARM FF COATED 1KG</t>
  </si>
  <si>
    <t>8993492101428</t>
  </si>
  <si>
    <t>GOLDEN FARM FF COATED 500GR</t>
  </si>
  <si>
    <t>8993492101060</t>
  </si>
  <si>
    <t>GOLDEN FARM FF CRINKLE 1KG</t>
  </si>
  <si>
    <t>8993492101121</t>
  </si>
  <si>
    <t>GOLDEN FARM FF CRINKLE 500GR</t>
  </si>
  <si>
    <t>8993492101046</t>
  </si>
  <si>
    <t>GOLDEN FARM FF SHOESTRING 1KG</t>
  </si>
  <si>
    <t>8993492101107</t>
  </si>
  <si>
    <t>GOLDEN FARM FF SHOESTRING 500GR</t>
  </si>
  <si>
    <t>8993492101053</t>
  </si>
  <si>
    <t>GOLDEN FARM FF STRAIGHT 1KG</t>
  </si>
  <si>
    <t>8993492101114</t>
  </si>
  <si>
    <t>GOLDEN FARM FF STRAIGHT 500GR</t>
  </si>
  <si>
    <t>8993492101015</t>
  </si>
  <si>
    <t>GOLDEN FARM FROZEN PEAS 1KG</t>
  </si>
  <si>
    <t>8993492101077</t>
  </si>
  <si>
    <t>GOLDEN FARM FROZEN PEAS 500GR</t>
  </si>
  <si>
    <t>8993492101039</t>
  </si>
  <si>
    <t>GOLDEN FARM MIX 1KG</t>
  </si>
  <si>
    <t>8993492101091</t>
  </si>
  <si>
    <t>GOLDEN FARM MIX 500GR</t>
  </si>
  <si>
    <t>8993492102463</t>
  </si>
  <si>
    <t>GOLDEN FARM ORIGINAL EDAMAME 450GR</t>
  </si>
  <si>
    <t>8993492101503</t>
  </si>
  <si>
    <t>GOLDEN FARM POPATO NUGGETS 750GR</t>
  </si>
  <si>
    <t>8991002103764</t>
  </si>
  <si>
    <t>GOOD DAY CAPUCINNO 10S</t>
  </si>
  <si>
    <t>8991002103771</t>
  </si>
  <si>
    <t>GOOD DAY CAPUCINNO 30S</t>
  </si>
  <si>
    <t>8991002103788</t>
  </si>
  <si>
    <t>GOOD DAY CAPUCINO WITH GRANULE 125GR</t>
  </si>
  <si>
    <t>8991002103931</t>
  </si>
  <si>
    <t>GOOD DAY CARREBIAN NUT 10S</t>
  </si>
  <si>
    <t>8991002103955</t>
  </si>
  <si>
    <t>GOOD DAY CARREBIAN NUT 50S</t>
  </si>
  <si>
    <t>8991002103641</t>
  </si>
  <si>
    <t>GOOD DAY CHOC ORANGE 300GR</t>
  </si>
  <si>
    <t>8991002103832</t>
  </si>
  <si>
    <t>GOOD DAY CHOCOCINNO 10S</t>
  </si>
  <si>
    <t>8991002113909</t>
  </si>
  <si>
    <t>GOOD DAY COOKIES N CREAM 300GR</t>
  </si>
  <si>
    <t>8991002113688</t>
  </si>
  <si>
    <t>GOOD DAY COOLIN 10S</t>
  </si>
  <si>
    <t>8991002133334</t>
  </si>
  <si>
    <t>GOOD DAY DUET MOCA CARAMEL 110G 5S</t>
  </si>
  <si>
    <t>8991002143067</t>
  </si>
  <si>
    <t>GOOD DAY LATTE BUTTERSCOTCH 220GR 10S</t>
  </si>
  <si>
    <t>8991002143043</t>
  </si>
  <si>
    <t>GOOD DAY LATTE ORI 220GR 10S</t>
  </si>
  <si>
    <t>8991002103238</t>
  </si>
  <si>
    <t>GOOD DAY MOCACINNO 10S</t>
  </si>
  <si>
    <t>8991002103252</t>
  </si>
  <si>
    <t>GOOD DAY MOCACINNO 50S</t>
  </si>
  <si>
    <t>8991002103245</t>
  </si>
  <si>
    <t>GOOD DAY MOCACINO 600GR</t>
  </si>
  <si>
    <t>8991002103740</t>
  </si>
  <si>
    <t>GOOD DAY MOCAFRIO 300GR</t>
  </si>
  <si>
    <t>8991002103535</t>
  </si>
  <si>
    <t>GOOD DAY THE ORIGINAL 10S</t>
  </si>
  <si>
    <t>8991002113695</t>
  </si>
  <si>
    <t>GOOD DAY THE ORIGINAL 200GR</t>
  </si>
  <si>
    <t>8991002103351</t>
  </si>
  <si>
    <t>GOOD DAY VANILLA LATE 50S</t>
  </si>
  <si>
    <t>8991002103337</t>
  </si>
  <si>
    <t>GOOD DAY VANILLA LATTE 10S</t>
  </si>
  <si>
    <t>8991002103320</t>
  </si>
  <si>
    <t>GOOD DAY VANILLA LATTE BOX 100G 5S</t>
  </si>
  <si>
    <t>8991002113671</t>
  </si>
  <si>
    <t>GOODDAY CARREBIAN NUT 200GR</t>
  </si>
  <si>
    <t>8991002133532</t>
  </si>
  <si>
    <t>GOODDAY DUET MOCACHOCO 110GR</t>
  </si>
  <si>
    <t>8997214250821</t>
  </si>
  <si>
    <t>GOODRICH KRUNCH 1KG</t>
  </si>
  <si>
    <t>8993200668878</t>
  </si>
  <si>
    <t>GOURMET SAUS BARBEQUE 250GR</t>
  </si>
  <si>
    <t>GOURMET SAUS KEJU 500GR</t>
  </si>
  <si>
    <t>8993200665204</t>
  </si>
  <si>
    <t>GOURMET SAUS SAMBAL 1 KG</t>
  </si>
  <si>
    <t>8993200667734</t>
  </si>
  <si>
    <t>GOURMET SAUS SAMBAL 500GR</t>
  </si>
  <si>
    <t>8993200667741</t>
  </si>
  <si>
    <t>GOURMET SAUS SAMBAL EXTRA HOT 500GR</t>
  </si>
  <si>
    <t>10426863</t>
  </si>
  <si>
    <t>GRADE PAPER BAG 10.5X11CM 100S</t>
  </si>
  <si>
    <t>10426864</t>
  </si>
  <si>
    <t>GRADE PAPER BAG 12.5X13CM 100S</t>
  </si>
  <si>
    <t>10426862</t>
  </si>
  <si>
    <t>GRADE PAPER BAG 13X25.5CM 100S</t>
  </si>
  <si>
    <t>8997019259142</t>
  </si>
  <si>
    <t>GRADE PAPER DOILIES 3.5 250S</t>
  </si>
  <si>
    <t>8997019259197</t>
  </si>
  <si>
    <t>GRADE PAPER DOILIES 5.5 250S</t>
  </si>
  <si>
    <t>8993319050137</t>
  </si>
  <si>
    <t>GRANDAIRY CHOCO MILK 1L</t>
  </si>
  <si>
    <t>GRATED PARMESAN 100GR</t>
  </si>
  <si>
    <t>10420894</t>
  </si>
  <si>
    <t>GRATED PARMESAN 50GR</t>
  </si>
  <si>
    <t>10424626</t>
  </si>
  <si>
    <t>GRATER 2IN1 GT4</t>
  </si>
  <si>
    <t>10424622</t>
  </si>
  <si>
    <t>GRATER SET 3 GT5</t>
  </si>
  <si>
    <t>8997015492376</t>
  </si>
  <si>
    <t>GREEN VALLEY GRATED PERMESAN 200GR</t>
  </si>
  <si>
    <t>8993351174358</t>
  </si>
  <si>
    <t>GREENFIELD MILK UHT FULL CREAM CB 1LT</t>
  </si>
  <si>
    <t>8993351129617</t>
  </si>
  <si>
    <t>GREENFIELDS CHCOMALT 1KG</t>
  </si>
  <si>
    <t>GREENFIELDS FC MILK 1KG</t>
  </si>
  <si>
    <t>8993351129914</t>
  </si>
  <si>
    <t>GREENFIELDS FRSH MILK 1890ML</t>
  </si>
  <si>
    <t>8993351129105</t>
  </si>
  <si>
    <t>GREENFIELDS FRSH MILK 1L</t>
  </si>
  <si>
    <t>8993351128306</t>
  </si>
  <si>
    <t>GREENFIELDS LOW FAT 1KG</t>
  </si>
  <si>
    <t>GREENFIELDS MOZZARELLA 200GR</t>
  </si>
  <si>
    <t>8993351127309</t>
  </si>
  <si>
    <t>GREENFIELDS SKIMMED MILK 1KG</t>
  </si>
  <si>
    <t>8993351129808</t>
  </si>
  <si>
    <t>GREENFIELDS WHIPP CRM 1L</t>
  </si>
  <si>
    <t>8992917274198</t>
  </si>
  <si>
    <t>GS DONAT 10GR</t>
  </si>
  <si>
    <t>10300031</t>
  </si>
  <si>
    <t>GULA BATU CAP GAJAH 500GR</t>
  </si>
  <si>
    <t>10411133</t>
  </si>
  <si>
    <t>GULA BERLIAN 150S</t>
  </si>
  <si>
    <t>10411641</t>
  </si>
  <si>
    <t>GULA BERLIAN STIK 150S</t>
  </si>
  <si>
    <t>10200063</t>
  </si>
  <si>
    <t>GULA MRH KODOK 1/2KG</t>
  </si>
  <si>
    <t>10200073</t>
  </si>
  <si>
    <t>GULA MRH KODOK 1KG</t>
  </si>
  <si>
    <t>10200064</t>
  </si>
  <si>
    <t>GULA MRH KODOK 250GR</t>
  </si>
  <si>
    <t>10200232</t>
  </si>
  <si>
    <t>GULA MRH KODOK GROSS 10KG</t>
  </si>
  <si>
    <t>GULA PASIR 1KG</t>
  </si>
  <si>
    <t>8999758456486</t>
  </si>
  <si>
    <t>GULARE GULA CAIR PREMIUM 5KG</t>
  </si>
  <si>
    <t>10411136</t>
  </si>
  <si>
    <t>GULARE PALMSUGAR STIK 225S 7GR</t>
  </si>
  <si>
    <t>10200342</t>
  </si>
  <si>
    <t>GULARE PALMSUGAR STIK 25S 7GR</t>
  </si>
  <si>
    <t>8994461960848</t>
  </si>
  <si>
    <t>GULARE WHITESUGAR STIK 100S 8GR</t>
  </si>
  <si>
    <t>10200391</t>
  </si>
  <si>
    <t>GULARE WHITESUGAR STIK 25S 8GR</t>
  </si>
  <si>
    <t>10423833</t>
  </si>
  <si>
    <t>GUNTING DECORASI TOL0004 LISSE</t>
  </si>
  <si>
    <t>10425152</t>
  </si>
  <si>
    <t>GUNTING DEKORASI DCT104</t>
  </si>
  <si>
    <t>10427154</t>
  </si>
  <si>
    <t>GUNTING JEPANG MULTIFUNGSI</t>
  </si>
  <si>
    <t>6923450601105</t>
  </si>
  <si>
    <t>GUNTING MWR SET</t>
  </si>
  <si>
    <t>10200161</t>
  </si>
  <si>
    <t>GV GELATINE HALAL 100GR</t>
  </si>
  <si>
    <t>10200160</t>
  </si>
  <si>
    <t>GV GELATINE HALAL 250GR</t>
  </si>
  <si>
    <t>10427048</t>
  </si>
  <si>
    <t>GY015 MK BOX 13X11.5X5CM</t>
  </si>
  <si>
    <t>10427047</t>
  </si>
  <si>
    <t>H1414-5 MK BOX 12X12X5.5CM</t>
  </si>
  <si>
    <t>8992992340177</t>
  </si>
  <si>
    <t>HAAN BLCK FOREST KUKUS 400GR</t>
  </si>
  <si>
    <t>8992992340184</t>
  </si>
  <si>
    <t>HAAN BROWNIES KUKUS 475GR</t>
  </si>
  <si>
    <t>HAAN BROWNIES PCH 230GR</t>
  </si>
  <si>
    <t>8992993523807</t>
  </si>
  <si>
    <t>HAAN CHEESE PANCAKE 150GR</t>
  </si>
  <si>
    <t>8992993523791</t>
  </si>
  <si>
    <t>HAAN CKLAT PANCAKE 150GR</t>
  </si>
  <si>
    <t>8992993524811</t>
  </si>
  <si>
    <t>HAAN EMULPLEX</t>
  </si>
  <si>
    <t>HAAN FIESTA ICING SUGAR 425GR</t>
  </si>
  <si>
    <t>8992993250055</t>
  </si>
  <si>
    <t>HAAN FLAN MIX CREAM CARAMEL VANILA 300GR</t>
  </si>
  <si>
    <t>8992993352216</t>
  </si>
  <si>
    <t>HAAN ICE CREAM CAPUCINO 85GR</t>
  </si>
  <si>
    <t>8992993352186</t>
  </si>
  <si>
    <t>HAAN ICE CREAM STRAWBERRY 85GR</t>
  </si>
  <si>
    <t>8992993352193</t>
  </si>
  <si>
    <t>HAAN ICE CREAM VANILA 85GR</t>
  </si>
  <si>
    <t>8992993352223</t>
  </si>
  <si>
    <t>HAAN ICE KRIM COKLAT 90G</t>
  </si>
  <si>
    <t>8992993528222</t>
  </si>
  <si>
    <t>HAAN KREMA INSTAN 400GR</t>
  </si>
  <si>
    <t>8992993523104</t>
  </si>
  <si>
    <t>HAAN MAIZENA 150GR</t>
  </si>
  <si>
    <t>8992993250291</t>
  </si>
  <si>
    <t>HAAN MAIZENA 400GR</t>
  </si>
  <si>
    <t>HAAN PALM SUGAR 250GR</t>
  </si>
  <si>
    <t>8992993250321</t>
  </si>
  <si>
    <t>HAAN PANCAKE VANILLA 180GR</t>
  </si>
  <si>
    <t>8992993525757</t>
  </si>
  <si>
    <t>HAAN PUDDING COKLAT PCH 145GR</t>
  </si>
  <si>
    <t>8992993525740</t>
  </si>
  <si>
    <t>HAAN PUDDING MANGGA PCH 145GR</t>
  </si>
  <si>
    <t>8992993528406</t>
  </si>
  <si>
    <t>HAAN PUDDING STRAW PCH 145GR</t>
  </si>
  <si>
    <t>8992993250413</t>
  </si>
  <si>
    <t>HAAN SELF RAISING FLOUR 400GR</t>
  </si>
  <si>
    <t>10410324</t>
  </si>
  <si>
    <t>HAAN WHIP TOPP 600GR</t>
  </si>
  <si>
    <t>8993037180185</t>
  </si>
  <si>
    <t>HAMER PASTA COKLAT 100GR</t>
  </si>
  <si>
    <t>8993037179974</t>
  </si>
  <si>
    <t>HAMER PASTA GREEN TEA 100GR</t>
  </si>
  <si>
    <t>8993037180246</t>
  </si>
  <si>
    <t>HAMER PASTA KOPI MOKA 100GR</t>
  </si>
  <si>
    <t>8993037246447</t>
  </si>
  <si>
    <t>HAMER PASTA KOPI MOKA 30GR</t>
  </si>
  <si>
    <t>8993037180154</t>
  </si>
  <si>
    <t>HAMER PASTA MOKA 100GR</t>
  </si>
  <si>
    <t>8993037843851</t>
  </si>
  <si>
    <t>HAMER PASTA PANDA 30GR</t>
  </si>
  <si>
    <t>8993037008113</t>
  </si>
  <si>
    <t>HAMER PASTA PANDAN 100GR</t>
  </si>
  <si>
    <t>8993037180000</t>
  </si>
  <si>
    <t>HAMER PASTA VANILA 100GR</t>
  </si>
  <si>
    <t>8993037180727</t>
  </si>
  <si>
    <t>HAMER PERISA COKLAT 500ML</t>
  </si>
  <si>
    <t>8993037180734</t>
  </si>
  <si>
    <t>HAMER PERISA KOPI MOKA 500ML</t>
  </si>
  <si>
    <t>8993037180765</t>
  </si>
  <si>
    <t>HAMER PERISA PANDAN 500ML</t>
  </si>
  <si>
    <t>8993037180789</t>
  </si>
  <si>
    <t>HAMER PERISA STRAW 500GR</t>
  </si>
  <si>
    <t>8993037180802</t>
  </si>
  <si>
    <t>HAMER PERISA SUSU 100GR</t>
  </si>
  <si>
    <t>8993037874329</t>
  </si>
  <si>
    <t>HAMER PERISA SUSU 30GR</t>
  </si>
  <si>
    <t>8993037180741</t>
  </si>
  <si>
    <t>HAMER PERISA SUSU 500ML</t>
  </si>
  <si>
    <t>8993037179998</t>
  </si>
  <si>
    <t>HAMER PERISA VANILLA 500ML</t>
  </si>
  <si>
    <t>8993037180055</t>
  </si>
  <si>
    <t>HAMER STROBERI 100GR</t>
  </si>
  <si>
    <t>8997205020037</t>
  </si>
  <si>
    <t>HANA MAS TP TERIGU 1KG</t>
  </si>
  <si>
    <t>6976147256348</t>
  </si>
  <si>
    <t>HAND MIXER 26CM TOL0011</t>
  </si>
  <si>
    <t>10425343</t>
  </si>
  <si>
    <t>HANDLE BOX JAHIT 23.5X28X22.5CM</t>
  </si>
  <si>
    <t>10425339</t>
  </si>
  <si>
    <t>HANDLE BOX JAHIT 25.5X28X24.5CM</t>
  </si>
  <si>
    <t>10425345</t>
  </si>
  <si>
    <t>HANDLE BOX JAHIT 32X27X26</t>
  </si>
  <si>
    <t>10425346</t>
  </si>
  <si>
    <t>HANDLE LIPAT SAMPING 25X35X10</t>
  </si>
  <si>
    <t>10425344</t>
  </si>
  <si>
    <t>HANDLE LIPAT SAMPING 30X40X10</t>
  </si>
  <si>
    <t>10425336</t>
  </si>
  <si>
    <t>HANDLE LIPAT SAMPING 33.5X33X21</t>
  </si>
  <si>
    <t>10425342</t>
  </si>
  <si>
    <t>HANDLE LIPAT SAMPING 38X45X10</t>
  </si>
  <si>
    <t>10425340</t>
  </si>
  <si>
    <t>HANDLE OVAL 25X35</t>
  </si>
  <si>
    <t>10425338</t>
  </si>
  <si>
    <t>HANDLE OVAL 30X40</t>
  </si>
  <si>
    <t>10425347</t>
  </si>
  <si>
    <t>HANDLE OVAL MOTIF 20X26</t>
  </si>
  <si>
    <t>10425341</t>
  </si>
  <si>
    <t>HANDLE OVAL POLOS 20X26</t>
  </si>
  <si>
    <t>6970992694133</t>
  </si>
  <si>
    <t>HANDMIXER ROSEGOLD 20CM TOL0071 LISSE</t>
  </si>
  <si>
    <t>10423892</t>
  </si>
  <si>
    <t>HANG TAG LABEL 07</t>
  </si>
  <si>
    <t>10424740</t>
  </si>
  <si>
    <t>HANG TAG LABEL 35</t>
  </si>
  <si>
    <t>10424750</t>
  </si>
  <si>
    <t>HANG TAG LABEL 36</t>
  </si>
  <si>
    <t>10424749</t>
  </si>
  <si>
    <t>HANG TAG LABEL 39</t>
  </si>
  <si>
    <t>10424739</t>
  </si>
  <si>
    <t>HANG TAG LABEL 40</t>
  </si>
  <si>
    <t>10100457</t>
  </si>
  <si>
    <t>HANISUN ROTI CANE 200GR</t>
  </si>
  <si>
    <t>10424824</t>
  </si>
  <si>
    <t>HAPPY ANNIV GOLD 1S TI31</t>
  </si>
  <si>
    <t>10425006</t>
  </si>
  <si>
    <t>HAPPY ANNIV GOLD 5S TI31</t>
  </si>
  <si>
    <t>10425004</t>
  </si>
  <si>
    <t>HAPPY BIRTH GOLD 5S TI32</t>
  </si>
  <si>
    <t>10422051</t>
  </si>
  <si>
    <t>HAPPY BIRTH GOLD TI32</t>
  </si>
  <si>
    <t>10422050</t>
  </si>
  <si>
    <t>HAPPY BIRTH MERAH T88</t>
  </si>
  <si>
    <t>10425007</t>
  </si>
  <si>
    <t>HAPPY BIRTH MERAH 5S T88</t>
  </si>
  <si>
    <t>8992933151114</t>
  </si>
  <si>
    <t>HAPPY PUDDING COKLAT 60GR</t>
  </si>
  <si>
    <t>8992933155112</t>
  </si>
  <si>
    <t>HAPPY PUDDING MANGGO 60GR</t>
  </si>
  <si>
    <t>8992933152111</t>
  </si>
  <si>
    <t>HAPPY PUDDING STW 60GR</t>
  </si>
  <si>
    <t>8992933154115</t>
  </si>
  <si>
    <t>HAPPY PUDDING TARO 60GR</t>
  </si>
  <si>
    <t>8992933153118</t>
  </si>
  <si>
    <t>HAPPY PUDDING VANILLA 60GR</t>
  </si>
  <si>
    <t>1042557</t>
  </si>
  <si>
    <t>HAPPY WEDDING RAINB 5S TI69C</t>
  </si>
  <si>
    <t>10422268</t>
  </si>
  <si>
    <t>HAPPY WEDDING RAINB TI69C</t>
  </si>
  <si>
    <t>10424957</t>
  </si>
  <si>
    <t>HAPPY WEDDING RED 1S TI69B</t>
  </si>
  <si>
    <t>1042597</t>
  </si>
  <si>
    <t>HAPPY WEDDING RED 5S TI69B</t>
  </si>
  <si>
    <t>10410337</t>
  </si>
  <si>
    <t>HATARI MISES CKLT 1/2KG</t>
  </si>
  <si>
    <t>10410402</t>
  </si>
  <si>
    <t>HATARI MISES CKLT 1KG</t>
  </si>
  <si>
    <t>10410403</t>
  </si>
  <si>
    <t>HATARI MISES CKLT 250GR</t>
  </si>
  <si>
    <t>10425970</t>
  </si>
  <si>
    <t>HATI EMAS 7S TKS-0060-A HB</t>
  </si>
  <si>
    <t>10426585</t>
  </si>
  <si>
    <t>HATI EMAS SET8 HBH-0001-A HS</t>
  </si>
  <si>
    <t>10425975</t>
  </si>
  <si>
    <t>HATI PINK 7S TKS-0060-H HB</t>
  </si>
  <si>
    <t>10426568</t>
  </si>
  <si>
    <t>HATI PINK SET8 HBH-0001-H HS</t>
  </si>
  <si>
    <t>10426566</t>
  </si>
  <si>
    <t>HATI SILVER SET 8 HBH-0001-S HS</t>
  </si>
  <si>
    <t>10410923</t>
  </si>
  <si>
    <t>HAZEL BLUBBERY 5KG</t>
  </si>
  <si>
    <t>10410411</t>
  </si>
  <si>
    <t>HAZEL BLUBERRY 1KG</t>
  </si>
  <si>
    <t>10410448</t>
  </si>
  <si>
    <t>HAZEL BLUEBERRY 1/2</t>
  </si>
  <si>
    <t>10410449</t>
  </si>
  <si>
    <t>HAZEL BLUEBERRY 250GR</t>
  </si>
  <si>
    <t>10410446</t>
  </si>
  <si>
    <t>HAZEL STRAW 1/2</t>
  </si>
  <si>
    <t>10410412</t>
  </si>
  <si>
    <t>HAZEL STRAW 1KG</t>
  </si>
  <si>
    <t>10410447</t>
  </si>
  <si>
    <t>HAZEL STRAW 250GR</t>
  </si>
  <si>
    <t>10410814</t>
  </si>
  <si>
    <t>HAZEL STRAW 5KG</t>
  </si>
  <si>
    <t>10423514</t>
  </si>
  <si>
    <t>HB 1 PINK 1S TI186</t>
  </si>
  <si>
    <t>10423515</t>
  </si>
  <si>
    <t>HB 1 PINK 5S TI186</t>
  </si>
  <si>
    <t>10424244</t>
  </si>
  <si>
    <t>HB AKRILIK BINTANG PERAK ZN844A</t>
  </si>
  <si>
    <t>10422385</t>
  </si>
  <si>
    <t>HB AKRILIK KUPU EMAS ZN-816</t>
  </si>
  <si>
    <t>10424861</t>
  </si>
  <si>
    <t>HB AKRILIK UNICRORN TA9 TUL</t>
  </si>
  <si>
    <t>10426577</t>
  </si>
  <si>
    <t>HB ASTRONOT TKS-0033</t>
  </si>
  <si>
    <t>10423498</t>
  </si>
  <si>
    <t>HB AWAN B GOLD 1S TI181AG</t>
  </si>
  <si>
    <t>10423499</t>
  </si>
  <si>
    <t>HB AWAN B GOLD 5S TI181AG</t>
  </si>
  <si>
    <t>10423500</t>
  </si>
  <si>
    <t>HB AWAN B RAINB 1S TI181C</t>
  </si>
  <si>
    <t>10423501</t>
  </si>
  <si>
    <t>HB AWAN B RAINB 5S TI181C</t>
  </si>
  <si>
    <t>10423496</t>
  </si>
  <si>
    <t>HB B RAINB 1S TI180C</t>
  </si>
  <si>
    <t>10423497</t>
  </si>
  <si>
    <t>HB B RAINB 5S TI180C</t>
  </si>
  <si>
    <t>10423494</t>
  </si>
  <si>
    <t>HB BINGKAI B GOLD 1S TI180AG</t>
  </si>
  <si>
    <t>10423495</t>
  </si>
  <si>
    <t>HB BINGKAI B GOLD 5S TI180AG</t>
  </si>
  <si>
    <t>10424251</t>
  </si>
  <si>
    <t>HB BINTANG EMAS 1S TS92</t>
  </si>
  <si>
    <t>10424254</t>
  </si>
  <si>
    <t>HB BINTANG EMAS 6S TS92</t>
  </si>
  <si>
    <t>10424182</t>
  </si>
  <si>
    <t>HB BINTANG EMAS ZN844</t>
  </si>
  <si>
    <t>10424653</t>
  </si>
  <si>
    <t>HB GOLD BALON 1S TI110A</t>
  </si>
  <si>
    <t>10422608</t>
  </si>
  <si>
    <t>HB GOLD BALON 6S TI110A</t>
  </si>
  <si>
    <t>7499221234340</t>
  </si>
  <si>
    <t>HB GREEK BLUEBERRY 1000GR</t>
  </si>
  <si>
    <t>7499221164210</t>
  </si>
  <si>
    <t>HB GREEK CLASSIC 200ML</t>
  </si>
  <si>
    <t>10423516</t>
  </si>
  <si>
    <t>HB HIJAU 1S TI190</t>
  </si>
  <si>
    <t>10423517</t>
  </si>
  <si>
    <t>HB HIJAU 5S TI190</t>
  </si>
  <si>
    <t>10422041</t>
  </si>
  <si>
    <t>HB KUPU PERAK ZN816A</t>
  </si>
  <si>
    <t>10425848</t>
  </si>
  <si>
    <t>HBRB1PT BURGER 50S</t>
  </si>
  <si>
    <t>7499221174318</t>
  </si>
  <si>
    <t>HBY GREEK BASE ORI STIRRED 1KG</t>
  </si>
  <si>
    <t>7499221164173</t>
  </si>
  <si>
    <t>HBY GREEK GRANOLA 100GR</t>
  </si>
  <si>
    <t>7499221134152</t>
  </si>
  <si>
    <t>HBY GREEK HONEY 100GR</t>
  </si>
  <si>
    <t>7499221194194</t>
  </si>
  <si>
    <t>HBY GREEK LYCHEE NATA DE COCO 100GR</t>
  </si>
  <si>
    <t>7499221184324</t>
  </si>
  <si>
    <t>HBY GREEK ORI STIRRED 300GR</t>
  </si>
  <si>
    <t>7499221124146</t>
  </si>
  <si>
    <t>HBY GREEK PEACH 100GR</t>
  </si>
  <si>
    <t>7499221124115</t>
  </si>
  <si>
    <t>HBY GREEK STRAWBERRY 100GR</t>
  </si>
  <si>
    <t>8997203880794</t>
  </si>
  <si>
    <t>HC GULA BATU 500GR</t>
  </si>
  <si>
    <t>8997203881067</t>
  </si>
  <si>
    <t>HC VIRGIN COCONUT OIL 340ML</t>
  </si>
  <si>
    <t>10510107</t>
  </si>
  <si>
    <t>HD RODEO 10X17</t>
  </si>
  <si>
    <t>10510090</t>
  </si>
  <si>
    <t>HD RODEO 11X22</t>
  </si>
  <si>
    <t>10510091</t>
  </si>
  <si>
    <t>HD RODEO 12X22</t>
  </si>
  <si>
    <t>10510092</t>
  </si>
  <si>
    <t>HD RODEO 13X21</t>
  </si>
  <si>
    <t>10510093</t>
  </si>
  <si>
    <t>HD RODEO 14X28</t>
  </si>
  <si>
    <t>10510094</t>
  </si>
  <si>
    <t>HD RODEO 15X27</t>
  </si>
  <si>
    <t>10510095</t>
  </si>
  <si>
    <t>HD RODEO 20X33</t>
  </si>
  <si>
    <t>8994907001388</t>
  </si>
  <si>
    <t>HEINZ TOMATO KETCHUP 125GR</t>
  </si>
  <si>
    <t>10424535</t>
  </si>
  <si>
    <t>HELLO KITTY KUE 1S HI14</t>
  </si>
  <si>
    <t>10424534</t>
  </si>
  <si>
    <t>HELLO KITTY PERI 1S HI10</t>
  </si>
  <si>
    <t>10422581</t>
  </si>
  <si>
    <t>HELLO KITTY SET5 H40</t>
  </si>
  <si>
    <t>10424533</t>
  </si>
  <si>
    <t>HELLO KITTY TATAAN 1S HI8</t>
  </si>
  <si>
    <t>10424675</t>
  </si>
  <si>
    <t>HELLO KITTY TATAAN SET 6 HI9</t>
  </si>
  <si>
    <t>10422580</t>
  </si>
  <si>
    <t>HELLOKITTY LOVE H52</t>
  </si>
  <si>
    <t>10424846</t>
  </si>
  <si>
    <t>HELOKITTY+STW SET10 HI18</t>
  </si>
  <si>
    <t>HERCULES BAKING PWD 110GR</t>
  </si>
  <si>
    <t>6942836724214</t>
  </si>
  <si>
    <t>HERSHEY SYRUP COKLAT 623GR</t>
  </si>
  <si>
    <t>10425452</t>
  </si>
  <si>
    <t>HIASAN BLT SILVER SET10 HBT6S</t>
  </si>
  <si>
    <t>10427338</t>
  </si>
  <si>
    <t>HIASAN BOLA SET 8 GOLD</t>
  </si>
  <si>
    <t>10427337</t>
  </si>
  <si>
    <t>HIASAN BOLA SET 8 UNGU</t>
  </si>
  <si>
    <t>10425450</t>
  </si>
  <si>
    <t>HIASAN BULAT EMAS HBT6A</t>
  </si>
  <si>
    <t>10425358</t>
  </si>
  <si>
    <t>HIASAN BULAT SET 4 GOLD HBT1G</t>
  </si>
  <si>
    <t>10425449</t>
  </si>
  <si>
    <t>HIASAN BULAT SILVER HBT5S</t>
  </si>
  <si>
    <t>10426840</t>
  </si>
  <si>
    <t>HIASAN TOPPER BOLA SET 8 PEARL WHITE HTB9</t>
  </si>
  <si>
    <t>10426839</t>
  </si>
  <si>
    <t>HIASAN TOPPER BOLA SET 8 PINK HTB8</t>
  </si>
  <si>
    <t>10426841</t>
  </si>
  <si>
    <t>HIASAN TOPPER BOLA SET 8 TRANSPARANT HTB7</t>
  </si>
  <si>
    <t>10426833</t>
  </si>
  <si>
    <t>HIASAN TOPPER CAKE LED GOLD HTL1G</t>
  </si>
  <si>
    <t>10426838</t>
  </si>
  <si>
    <t>HIASAN TOPPER CAKE LED SILVER HTL1S</t>
  </si>
  <si>
    <t>10427258</t>
  </si>
  <si>
    <t>HIASAN TOPPER HBD GOLD HTB1</t>
  </si>
  <si>
    <t>10427260</t>
  </si>
  <si>
    <t>HIASAN TOPPER HBD ROSEGOLD HTB3</t>
  </si>
  <si>
    <t>10427259</t>
  </si>
  <si>
    <t>HIASAN TOPPER HBD SILVER HTB2</t>
  </si>
  <si>
    <t>9323795000088</t>
  </si>
  <si>
    <t>HIGH FIBRE MUESLI 700GR</t>
  </si>
  <si>
    <t>749921030375</t>
  </si>
  <si>
    <t>HILO AVOCADO CHOCOLATE 14GR RTG</t>
  </si>
  <si>
    <t>749921031228</t>
  </si>
  <si>
    <t>HILO CALCIUM CHOCO MALT 14GR 10S</t>
  </si>
  <si>
    <t>749921030337</t>
  </si>
  <si>
    <t>HILO CHOCO HAZELNUT 14GR 10S</t>
  </si>
  <si>
    <t>749921030467</t>
  </si>
  <si>
    <t>HILO CHOCOLATE BANANA 14GR 10S</t>
  </si>
  <si>
    <t>749921030573</t>
  </si>
  <si>
    <t>HILO CHOCOLATE TARO 14GR 10S</t>
  </si>
  <si>
    <t>749921030351</t>
  </si>
  <si>
    <t>HILO CHOCOLATE WHITE 14GR 10S</t>
  </si>
  <si>
    <t>749921030146</t>
  </si>
  <si>
    <t>HILO COKLAT 14GR 10S</t>
  </si>
  <si>
    <t>749921031181</t>
  </si>
  <si>
    <t>HILO COKLAT MINT 14GR</t>
  </si>
  <si>
    <t>749921030719</t>
  </si>
  <si>
    <t>HILO ES KETAN HITAM 14GR 10S</t>
  </si>
  <si>
    <t>749921030429</t>
  </si>
  <si>
    <t>HILO SCHOOL SUSU CKLT 30GR 10S</t>
  </si>
  <si>
    <t>749921030436</t>
  </si>
  <si>
    <t>HILO SWIS CHOCOLATE 28GR</t>
  </si>
  <si>
    <t>749921031136</t>
  </si>
  <si>
    <t>HILO TEH TARIK 15GR RTG</t>
  </si>
  <si>
    <t>749921030481</t>
  </si>
  <si>
    <t>HILO THAI TEA 15GR 10S</t>
  </si>
  <si>
    <t>749921030962</t>
  </si>
  <si>
    <t>HILO THAI TEA 500GR</t>
  </si>
  <si>
    <t>UISP0006</t>
  </si>
  <si>
    <t>HL IMPULSE SEALER 20CM</t>
  </si>
  <si>
    <t>UISP0008</t>
  </si>
  <si>
    <t>HL IMPULSE SEALER 30CM</t>
  </si>
  <si>
    <t>10425335</t>
  </si>
  <si>
    <t>HLS LEBARAN 30X40X10</t>
  </si>
  <si>
    <t>8994291500207</t>
  </si>
  <si>
    <t>HO FUN MIE TELOR 200GR</t>
  </si>
  <si>
    <t>8990108872741</t>
  </si>
  <si>
    <t>HOLMAN BUT CREAM 1KG</t>
  </si>
  <si>
    <t>8990108872734</t>
  </si>
  <si>
    <t>HOLMAN BUT CREAM 350GR</t>
  </si>
  <si>
    <t>8990188727344</t>
  </si>
  <si>
    <t>10420946</t>
  </si>
  <si>
    <t>HOLMAN BUTT CRM 1/2KG</t>
  </si>
  <si>
    <t>10420939</t>
  </si>
  <si>
    <t>HOLMAN BUTT CRM 1KG</t>
  </si>
  <si>
    <t>10420945</t>
  </si>
  <si>
    <t>HOLMAN BUTT CRM 250GR</t>
  </si>
  <si>
    <t>8990188727580</t>
  </si>
  <si>
    <t>HOLMAN BUTT CRM 8KG</t>
  </si>
  <si>
    <t>8990108872758</t>
  </si>
  <si>
    <t>8991205510338</t>
  </si>
  <si>
    <t>HOLMAN SOFT CREAM 2250GR</t>
  </si>
  <si>
    <t>8991205510321</t>
  </si>
  <si>
    <t>HOLMAN SOFT CREAM 800GR</t>
  </si>
  <si>
    <t>10420942</t>
  </si>
  <si>
    <t>HOLMAN SOFT CRM 1/2KG</t>
  </si>
  <si>
    <t>8991205510345</t>
  </si>
  <si>
    <t>HOLMAN SOFT CRM 15KG</t>
  </si>
  <si>
    <t>10420941</t>
  </si>
  <si>
    <t>HOLMAN SOFT CRM 1KG</t>
  </si>
  <si>
    <t>10420943</t>
  </si>
  <si>
    <t>HOLMAN SOFT CRM 250GR</t>
  </si>
  <si>
    <t>0579847358891</t>
  </si>
  <si>
    <t>HOME CAKE MOULD 3PCS</t>
  </si>
  <si>
    <t>8991818070120</t>
  </si>
  <si>
    <t>HOME CRINKLE CUT 1KG</t>
  </si>
  <si>
    <t>8991818070144</t>
  </si>
  <si>
    <t>HOME SHEOSTRING 1KG</t>
  </si>
  <si>
    <t>10423868</t>
  </si>
  <si>
    <t>HOT STAMP 3CM HOT0002 LISSE</t>
  </si>
  <si>
    <t>10423867</t>
  </si>
  <si>
    <t>HOT STAMP 4CM HOT0003 LISSE</t>
  </si>
  <si>
    <t>8997213420010</t>
  </si>
  <si>
    <t>HOUSE KARI ALA JPG 935GR</t>
  </si>
  <si>
    <t>10425850</t>
  </si>
  <si>
    <t>HS BULAT EMAS SET 20 HBT5A</t>
  </si>
  <si>
    <t>10425864</t>
  </si>
  <si>
    <t>HS TSK BINTANG HB BIRU TSC20BG</t>
  </si>
  <si>
    <t>10425860</t>
  </si>
  <si>
    <t>HS TSK BINTANG HB EMAS TSC20BA</t>
  </si>
  <si>
    <t>10425862</t>
  </si>
  <si>
    <t>HS TSK BINTANG HB SILVER TSC20BS</t>
  </si>
  <si>
    <t>10425863</t>
  </si>
  <si>
    <t>HS TSK HATI HB EMAS TSC34A</t>
  </si>
  <si>
    <t>10425861</t>
  </si>
  <si>
    <t>HS TSK HATI HB SILVER TSC34S</t>
  </si>
  <si>
    <t>8997233800014</t>
  </si>
  <si>
    <t>HUMAIRA KURMA ANGGUR 550GR</t>
  </si>
  <si>
    <t>8997233800038</t>
  </si>
  <si>
    <t>HUMAIRA KURMA SUKARI 500GR</t>
  </si>
  <si>
    <t>8997233800021</t>
  </si>
  <si>
    <t>HUMAIRA KURMA TUNISIA GOLD 300GR</t>
  </si>
  <si>
    <t>10426456</t>
  </si>
  <si>
    <t>HURUF DOUBLE SILIKON JSC1884</t>
  </si>
  <si>
    <t>8997021890562</t>
  </si>
  <si>
    <t>IBIS BLUE 500GR</t>
  </si>
  <si>
    <t>8997021890555</t>
  </si>
  <si>
    <t>IBIS BLUE PELEMBUT ROTI 10GR</t>
  </si>
  <si>
    <t>10424322</t>
  </si>
  <si>
    <t>ICE SHOVEL JC3801</t>
  </si>
  <si>
    <t>10424323</t>
  </si>
  <si>
    <t>ICE SHOVEL JC3802</t>
  </si>
  <si>
    <t>10424324</t>
  </si>
  <si>
    <t>ICE SHOVEL JC3803</t>
  </si>
  <si>
    <t>10424325</t>
  </si>
  <si>
    <t>ICE SHOVEL JC3804</t>
  </si>
  <si>
    <t>10412012</t>
  </si>
  <si>
    <t>ICING FONDANT WHITE 2.5KG</t>
  </si>
  <si>
    <t>089686440089</t>
  </si>
  <si>
    <t>IF BUMBU GULAI 45GR</t>
  </si>
  <si>
    <t>089686385564</t>
  </si>
  <si>
    <t>IF BUMBU KTG GRG RS BBQ 4X12X25GR</t>
  </si>
  <si>
    <t>089686385519</t>
  </si>
  <si>
    <t>IF BUMBU KTG GRG RS JAGUNG BAKAR 4X12X25GR</t>
  </si>
  <si>
    <t>089686385618</t>
  </si>
  <si>
    <t>IF BUMBU KTG GRG RS KEJU 4X12X25GR</t>
  </si>
  <si>
    <t>089686386066</t>
  </si>
  <si>
    <t>IF BUMBU RACIK AYM GRG 26GR</t>
  </si>
  <si>
    <t>089686386462</t>
  </si>
  <si>
    <t>IF BUMBU RACIK IKAN GRG 20GR</t>
  </si>
  <si>
    <t>089686386011</t>
  </si>
  <si>
    <t>IF BUMBU RACIK NASI GRG 20GR</t>
  </si>
  <si>
    <t>089686386110</t>
  </si>
  <si>
    <t>IF BUMBU RACIK SAYUR ASEM 33GR</t>
  </si>
  <si>
    <t>089686386318</t>
  </si>
  <si>
    <t>IF BUMBU RACIK SAYUR SOP 20GR</t>
  </si>
  <si>
    <t>089686386417</t>
  </si>
  <si>
    <t>IF BUMBU RACIK TEMPE GRG 20GR</t>
  </si>
  <si>
    <t>089686440430</t>
  </si>
  <si>
    <t>IF BUMBU RENDANG 50GR</t>
  </si>
  <si>
    <t>089686380262</t>
  </si>
  <si>
    <t>IF PENYEDAP AYAM 100GR</t>
  </si>
  <si>
    <t>089686380361</t>
  </si>
  <si>
    <t>IF PENYEDAP SAPI 100GR</t>
  </si>
  <si>
    <t>089686386196</t>
  </si>
  <si>
    <t>IF RACIK TP BUMBU AYAM KRISPI 10X75GR</t>
  </si>
  <si>
    <t>089686386158</t>
  </si>
  <si>
    <t>IF RACIK TP BUMBU SERBAGUNA 10X75GR</t>
  </si>
  <si>
    <t>089686386189</t>
  </si>
  <si>
    <t>IF RACIK TP BUMBU SERBAGUNA 24X210GR</t>
  </si>
  <si>
    <t>089686400861</t>
  </si>
  <si>
    <t>IF SAMBAL EKSTRA PEDAS BTL 340ML</t>
  </si>
  <si>
    <t>089686400106</t>
  </si>
  <si>
    <t>IF SAMBAL EXT PEDAS 1KG</t>
  </si>
  <si>
    <t>089686400854</t>
  </si>
  <si>
    <t>IF SAMBAL EXT PEDAS BTL 275ML</t>
  </si>
  <si>
    <t>089686400359</t>
  </si>
  <si>
    <t>IF SAMBAL PEDAS BTL 275ML</t>
  </si>
  <si>
    <t>089686400038</t>
  </si>
  <si>
    <t>IF SAMBAL PEDAS DAHSYAT 24X275ML</t>
  </si>
  <si>
    <t>089686401745</t>
  </si>
  <si>
    <t>IF SAUS TOMAT BOTOL 275ML</t>
  </si>
  <si>
    <t>089686386226</t>
  </si>
  <si>
    <t>IF TEPUNG RACIK AYAM KRISPI 210GR</t>
  </si>
  <si>
    <t>089686386257</t>
  </si>
  <si>
    <t>IF TEPUNG RACIK BAKWAN 210GR</t>
  </si>
  <si>
    <t>8995002803020</t>
  </si>
  <si>
    <t>IF-100 BREAD IMPROVER 500GR</t>
  </si>
  <si>
    <t>8997008310540</t>
  </si>
  <si>
    <t>IFUMIE TELUR CAP KELONG</t>
  </si>
  <si>
    <t>10300103</t>
  </si>
  <si>
    <t>IFUMIE TELUR CAP NAGA</t>
  </si>
  <si>
    <t>10424831</t>
  </si>
  <si>
    <t>IKAN SET6 II2</t>
  </si>
  <si>
    <t>10427315</t>
  </si>
  <si>
    <t>IMPULSE SEALER RIDX 300MM</t>
  </si>
  <si>
    <t>8992726898349</t>
  </si>
  <si>
    <t>INACO NATA DECOCO CRISPY EMBER 1KG</t>
  </si>
  <si>
    <t>10412002</t>
  </si>
  <si>
    <t>INACO PUDING ANEKA RASA 1KG</t>
  </si>
  <si>
    <t>8992726898059</t>
  </si>
  <si>
    <t>INACO RASA VANILA EMBER 1KG</t>
  </si>
  <si>
    <t>8992726964808</t>
  </si>
  <si>
    <t>INACO RASA VANILA PCH 1KG</t>
  </si>
  <si>
    <t>8992726965362</t>
  </si>
  <si>
    <t>INACO SELASIH STRW PCH 1KG</t>
  </si>
  <si>
    <t>10422583</t>
  </si>
  <si>
    <t>INCREDLBLES SET5 I6</t>
  </si>
  <si>
    <t>9311931189056</t>
  </si>
  <si>
    <t>INDOCAFE CAPPUCINO 1250GR</t>
  </si>
  <si>
    <t>9311931189018</t>
  </si>
  <si>
    <t>INDOCAFE CAPPUCINO 24X5X25GR</t>
  </si>
  <si>
    <t>9311931029017</t>
  </si>
  <si>
    <t>INDOCAFE CAPUCINO 25GR 10S</t>
  </si>
  <si>
    <t>9311931184051</t>
  </si>
  <si>
    <t>INDOCAFE COFFEMIX 2000GR</t>
  </si>
  <si>
    <t>9311931024036</t>
  </si>
  <si>
    <t>INDOCAFE COFFEMIX 20GR 10S</t>
  </si>
  <si>
    <t>9311931184075</t>
  </si>
  <si>
    <t>INDOCAFE COFFEMIX 30X20GR PACK</t>
  </si>
  <si>
    <t>9311931184082</t>
  </si>
  <si>
    <t>INDOCAFE COFFEMIX 36X15X20GR</t>
  </si>
  <si>
    <t>9311931184037</t>
  </si>
  <si>
    <t>INDOCAFE COFFEMIX 60X5X20GR</t>
  </si>
  <si>
    <t>9311931182026</t>
  </si>
  <si>
    <t>INDOCAFE FB 24X50GR</t>
  </si>
  <si>
    <t>9311931182378</t>
  </si>
  <si>
    <t>INDOCAFE OB 12X200GR</t>
  </si>
  <si>
    <t>089686400885</t>
  </si>
  <si>
    <t>INDOFOOD EXTRA PEDAS 1KG</t>
  </si>
  <si>
    <t>089686834109</t>
  </si>
  <si>
    <t>INDOFOOD FREISS SIRUP COCOPANDAN 460ML</t>
  </si>
  <si>
    <t>089686834291</t>
  </si>
  <si>
    <t>089686834154</t>
  </si>
  <si>
    <t>INDOFOOD FREISS SIRUP FRAMBOZEN 460ML</t>
  </si>
  <si>
    <t>089686834253</t>
  </si>
  <si>
    <t>INDOFOOD FREISS SIRUP MELON 460ML</t>
  </si>
  <si>
    <t>089686834314</t>
  </si>
  <si>
    <t>089686834055</t>
  </si>
  <si>
    <t>INDOFOOD FREISS SQUASH JERUK 460ML</t>
  </si>
  <si>
    <t>089686834307</t>
  </si>
  <si>
    <t>INDOFOOD FREISS SQUASH LECI 460ML</t>
  </si>
  <si>
    <t>089686420036</t>
  </si>
  <si>
    <t>INDOFOOD KECAP MANIS 135ML</t>
  </si>
  <si>
    <t>089686420029</t>
  </si>
  <si>
    <t>INDOFOOD KECAP MANIS 275ML</t>
  </si>
  <si>
    <t>089686000061</t>
  </si>
  <si>
    <t>INDOFOOD MIE 3 AYAM 200G</t>
  </si>
  <si>
    <t>089686440133</t>
  </si>
  <si>
    <t>INDOFOOD RACIK KARE 45GR</t>
  </si>
  <si>
    <t>089686440287</t>
  </si>
  <si>
    <t>INDOFOOD RACIK OPOR AYAM 45GR</t>
  </si>
  <si>
    <t>089686440386</t>
  </si>
  <si>
    <t>INDOFOOD RACIK RAWON 50GR</t>
  </si>
  <si>
    <t>089686440584</t>
  </si>
  <si>
    <t>INDOFOOD RACIK SOTO AYAM 45GR</t>
  </si>
  <si>
    <t>089686401011</t>
  </si>
  <si>
    <t>INDOFOOD SAMBAL BANGKOK 135ML</t>
  </si>
  <si>
    <t>089686401042</t>
  </si>
  <si>
    <t>INDOFOOD SAMBAL BANGKOK 1KG</t>
  </si>
  <si>
    <t>089686401066</t>
  </si>
  <si>
    <t>INDOFOOD SAMBAL BANGKOK 335ML</t>
  </si>
  <si>
    <t>089686400526</t>
  </si>
  <si>
    <t>INDOFOOD SAMBAL PDS MANIS 135ML</t>
  </si>
  <si>
    <t>089686400427</t>
  </si>
  <si>
    <t>INDOFOOD SAMBAL PEDAS 135ML</t>
  </si>
  <si>
    <t>089686400465</t>
  </si>
  <si>
    <t>INDOFOOD SAMBAL PEDAS 335ML</t>
  </si>
  <si>
    <t>089686400021</t>
  </si>
  <si>
    <t>INDOFOOD SAMBAL PEDAS DAHSYAT 335ML</t>
  </si>
  <si>
    <t>089686401721</t>
  </si>
  <si>
    <t>INDOFOOD SAUS TOMAT 135ML</t>
  </si>
  <si>
    <t>089686401813</t>
  </si>
  <si>
    <t>INDOFOOD SAUS TOMAT 1KG</t>
  </si>
  <si>
    <t>089686401769</t>
  </si>
  <si>
    <t>INDOFOOD SAUS TOMAT 335ML</t>
  </si>
  <si>
    <t>089686400816</t>
  </si>
  <si>
    <t>INDOFOOD SMB EXT PDS 135ML</t>
  </si>
  <si>
    <t>8993007000680</t>
  </si>
  <si>
    <t>INDOMILK FC PLAIN 950ML</t>
  </si>
  <si>
    <t>8992702000063</t>
  </si>
  <si>
    <t>INDOMILK SKM COKLAT 370 GR</t>
  </si>
  <si>
    <t>8993007003919</t>
  </si>
  <si>
    <t>INDOMILK SKM COKLAT PCH 545GR</t>
  </si>
  <si>
    <t>8993007001700</t>
  </si>
  <si>
    <t>INDOMILK SKM COKLAT SCH 37GR</t>
  </si>
  <si>
    <t>8992702000018</t>
  </si>
  <si>
    <t>INDOMILK SKM PLAIN 370GR</t>
  </si>
  <si>
    <t>8993007001694</t>
  </si>
  <si>
    <t>INDOMILK SKM PUTIH SCH 37GR</t>
  </si>
  <si>
    <t>8992702050266</t>
  </si>
  <si>
    <t>INDOMILK SUSU BBK FULL CREAM 250 GR</t>
  </si>
  <si>
    <t>8992702050341</t>
  </si>
  <si>
    <t>INDOMILK SUSU BBK FULL CREAM 400GR</t>
  </si>
  <si>
    <t>8997001450595</t>
  </si>
  <si>
    <t>INDOMINA OTAK-OTAK IKAN 500GR</t>
  </si>
  <si>
    <t>8997001450625</t>
  </si>
  <si>
    <t>INDOMINA SOSIS BENTUK BAMBU 500GR</t>
  </si>
  <si>
    <t>10422248</t>
  </si>
  <si>
    <t>IRON MAN II1</t>
  </si>
  <si>
    <t>10424092</t>
  </si>
  <si>
    <t>IRUS MAHONI KK7</t>
  </si>
  <si>
    <t>10425205</t>
  </si>
  <si>
    <t>ISOLASI PLASTIK BUAH MIX SLS2A</t>
  </si>
  <si>
    <t>10425206</t>
  </si>
  <si>
    <t>ISOLASI PLASTIK D 4,5 SLS3</t>
  </si>
  <si>
    <t>10425204</t>
  </si>
  <si>
    <t>ISOLASI PLASTIK KARAKTER SLS1A</t>
  </si>
  <si>
    <t>10426705</t>
  </si>
  <si>
    <t>ISOLASI TOPLES HOLOGRAM 14MM SLS5L</t>
  </si>
  <si>
    <t>10426634</t>
  </si>
  <si>
    <t>ISOLASI TOPLES MOTIF 15MM SLS5A</t>
  </si>
  <si>
    <t>10410534</t>
  </si>
  <si>
    <t>JAGUNG POP CORN 1/2KG</t>
  </si>
  <si>
    <t>10410532</t>
  </si>
  <si>
    <t>JAGUNG POP CORN 1KG</t>
  </si>
  <si>
    <t>10410533</t>
  </si>
  <si>
    <t>JAGUNG POP CORN 250GR</t>
  </si>
  <si>
    <t>10200218</t>
  </si>
  <si>
    <t>JAGUNG POP CORN KING 22.68GR</t>
  </si>
  <si>
    <t>103001006</t>
  </si>
  <si>
    <t>JAHE KERING 1KG</t>
  </si>
  <si>
    <t>103001007</t>
  </si>
  <si>
    <t>JAHE KERING 50GR</t>
  </si>
  <si>
    <t>10424924</t>
  </si>
  <si>
    <t>JAMUR MERAH SET8 JS2</t>
  </si>
  <si>
    <t>710535815849</t>
  </si>
  <si>
    <t>JAMUR MERANG KALDU AYAM 100GR</t>
  </si>
  <si>
    <t>710535815801</t>
  </si>
  <si>
    <t>JAMUR MERANG KALDU AYAM 250GR</t>
  </si>
  <si>
    <t>710535725315</t>
  </si>
  <si>
    <t>JAMUR MERANG KALDU AYAM 30S</t>
  </si>
  <si>
    <t>710535725353</t>
  </si>
  <si>
    <t>JAMUR MERANG KALDU JAMUR 100GR</t>
  </si>
  <si>
    <t>710535725346</t>
  </si>
  <si>
    <t>JAMUR MERANG KALDU JAMUR 250GR</t>
  </si>
  <si>
    <t>710535725308</t>
  </si>
  <si>
    <t>JAMUR MERANG KALDU JAMUR 30S</t>
  </si>
  <si>
    <t>710535815856</t>
  </si>
  <si>
    <t>JAMUR MERANG KALDU SAPI 100GR</t>
  </si>
  <si>
    <t>710535815818</t>
  </si>
  <si>
    <t>JAMUR MERANG KALDU SAPI 250GR</t>
  </si>
  <si>
    <t>710535725322</t>
  </si>
  <si>
    <t>JAMUR MERANG KALDU SAPI 30S</t>
  </si>
  <si>
    <t>10200187</t>
  </si>
  <si>
    <t>JAMUR SHITAKE 1KG</t>
  </si>
  <si>
    <t>10200198</t>
  </si>
  <si>
    <t>JAMUR SHITAKE 50GR</t>
  </si>
  <si>
    <t>10424914</t>
  </si>
  <si>
    <t>JAMUR WARNA SET 8 JS1</t>
  </si>
  <si>
    <t>8997227875783</t>
  </si>
  <si>
    <t>JAVASUPERFOOD PENGEMPUK DAGING 100GR</t>
  </si>
  <si>
    <t>8997205020020</t>
  </si>
  <si>
    <t>JAWARA TP TERIGU 1KG</t>
  </si>
  <si>
    <t>8997014383675</t>
  </si>
  <si>
    <t>JAYS AGLIO E OLIO PASTA SEASONING BLEND 30GR</t>
  </si>
  <si>
    <t>8997014380049</t>
  </si>
  <si>
    <t>JAYS ALL PURPOSE 90GR</t>
  </si>
  <si>
    <t>8997014382623</t>
  </si>
  <si>
    <t>JAYS BASIL 1KG</t>
  </si>
  <si>
    <t>8997014380070</t>
  </si>
  <si>
    <t>JAYS BASIL LEAVES 20GR</t>
  </si>
  <si>
    <t>8997014380148</t>
  </si>
  <si>
    <t>JAYS BAY LEAVES 8g</t>
  </si>
  <si>
    <t>8997014380490</t>
  </si>
  <si>
    <t>JAYS BBQ SAUCE ORI 500GR</t>
  </si>
  <si>
    <t>8997014380476</t>
  </si>
  <si>
    <t>JAYS BEEF STOCK POWDER 150GR</t>
  </si>
  <si>
    <t>8997014381398</t>
  </si>
  <si>
    <t>JAYS BLACK PEPPER 25GR</t>
  </si>
  <si>
    <t>8997014380278</t>
  </si>
  <si>
    <t>JAYS BLACK PEPPER GROUND 55GR</t>
  </si>
  <si>
    <t>8997014381329</t>
  </si>
  <si>
    <t>JAYS BLACK PEPPER SEASALT 120GR</t>
  </si>
  <si>
    <t>8997014381381</t>
  </si>
  <si>
    <t>JAYS BROWN GRAVY 25GR</t>
  </si>
  <si>
    <t>8997014384351</t>
  </si>
  <si>
    <t>JAYS CAJUN SEASONING SPICE BLEND 30GR</t>
  </si>
  <si>
    <t>8997014380483</t>
  </si>
  <si>
    <t>JAYS CHICKEN POWDER 150GR</t>
  </si>
  <si>
    <t>8997014380223</t>
  </si>
  <si>
    <t>JAYS CHILI FLAKES 45GR</t>
  </si>
  <si>
    <t>8997014380100</t>
  </si>
  <si>
    <t>JAYS CHILLI POWDER 65G</t>
  </si>
  <si>
    <t>8997014380094</t>
  </si>
  <si>
    <t>JAYS CRUSHED BLACK PEPPER 60GR</t>
  </si>
  <si>
    <t>8997014380179</t>
  </si>
  <si>
    <t>JAYS CUMIN GROUND 65G</t>
  </si>
  <si>
    <t>8997014381428</t>
  </si>
  <si>
    <t>JAYS DEMIGLACE SAUCE</t>
  </si>
  <si>
    <t>8997014380209</t>
  </si>
  <si>
    <t>JAYS FENNEL GROUND 55GR</t>
  </si>
  <si>
    <t>8997014380858</t>
  </si>
  <si>
    <t>JAYS GARAM MASALA 70GR</t>
  </si>
  <si>
    <t>8997014380032</t>
  </si>
  <si>
    <t>JAYS GARLIC BREAD 85GR</t>
  </si>
  <si>
    <t>8997014380018</t>
  </si>
  <si>
    <t>JAYS GARLIC POWDER 80GR</t>
  </si>
  <si>
    <t>8997014380193</t>
  </si>
  <si>
    <t>JAYS GINGER GROUND 55 GR</t>
  </si>
  <si>
    <t>8997014381374</t>
  </si>
  <si>
    <t>JAYS GM CHICKEN MAGIC DRT RUB 70GR</t>
  </si>
  <si>
    <t>8997014380933</t>
  </si>
  <si>
    <t>JAYS GM CLASSIC BBQ 30GR</t>
  </si>
  <si>
    <t>8997014380940</t>
  </si>
  <si>
    <t>JAYS GM HOT&amp;SPICY BBQ 30GR</t>
  </si>
  <si>
    <t>8997014380957</t>
  </si>
  <si>
    <t>JAYS GM ITALIAN GRIL 30GR</t>
  </si>
  <si>
    <t>8997014380971</t>
  </si>
  <si>
    <t>JAYS GM ROTIS CHICKEN 30GR</t>
  </si>
  <si>
    <t>8997014381367</t>
  </si>
  <si>
    <t>JAYS GM SEAFOOD MAGIC DRY RUB 60GR</t>
  </si>
  <si>
    <t>8997014380964</t>
  </si>
  <si>
    <t>JAYS GM STEAK BURGER 30GR</t>
  </si>
  <si>
    <t>8997014381343</t>
  </si>
  <si>
    <t>JAYS GM STEAK MAGIC DRY RUB 70GR</t>
  </si>
  <si>
    <t>8997014382234</t>
  </si>
  <si>
    <t>JAYS INDIAN CURRY 1KG</t>
  </si>
  <si>
    <t>8997014380056</t>
  </si>
  <si>
    <t>JAYS INDIAN CURRY POWDER</t>
  </si>
  <si>
    <t>8997014380810</t>
  </si>
  <si>
    <t>JAYS ITALIAN HERB 40GR</t>
  </si>
  <si>
    <t>8997014381039</t>
  </si>
  <si>
    <t>JAYS MASHED POTATO GARLIC&amp;PARSLEY 45GR</t>
  </si>
  <si>
    <t>8997014381022</t>
  </si>
  <si>
    <t>JAYS MASHED POTATO TRADITIONAL 45GR</t>
  </si>
  <si>
    <t>8997014380247</t>
  </si>
  <si>
    <t>JAYS MUSTARD GROUND 50GR</t>
  </si>
  <si>
    <t>8997014380834</t>
  </si>
  <si>
    <t>JAYS ONION MINCED 75GR</t>
  </si>
  <si>
    <t>8997014380841</t>
  </si>
  <si>
    <t>JAYS ONION POWDER 90GR</t>
  </si>
  <si>
    <t>8997014381312</t>
  </si>
  <si>
    <t>JAYS ONION SEA SALT 120GR</t>
  </si>
  <si>
    <t>8997014382340</t>
  </si>
  <si>
    <t>JAYS OREGANO 1KG</t>
  </si>
  <si>
    <t>8997014380063</t>
  </si>
  <si>
    <t>JAYS OREGANO LEAVES 25GR</t>
  </si>
  <si>
    <t>8997014380025</t>
  </si>
  <si>
    <t>JAYS PAPRIKA POWDER 70GR</t>
  </si>
  <si>
    <t>8997014382210</t>
  </si>
  <si>
    <t>JAYS PARSLEY 1KG</t>
  </si>
  <si>
    <t>8997014380117</t>
  </si>
  <si>
    <t>JAYS PARSLEY FLAKES 20GR</t>
  </si>
  <si>
    <t>8997014380124</t>
  </si>
  <si>
    <t>JAYS ROSEMARY 40GR</t>
  </si>
  <si>
    <t>8997014381411</t>
  </si>
  <si>
    <t>JAYS ROSEMARY GARLIC SAUCE 25GR</t>
  </si>
  <si>
    <t>8997014381404</t>
  </si>
  <si>
    <t>JAYS SAUS JAMUR 25GR</t>
  </si>
  <si>
    <t>8997014380896</t>
  </si>
  <si>
    <t>JAYS SESAME SEED TOASTED 70GR</t>
  </si>
  <si>
    <t>8997014384382</t>
  </si>
  <si>
    <t>JAYS TANDORI SEASONING SPICE BLEND 30GR</t>
  </si>
  <si>
    <t>8997014380131</t>
  </si>
  <si>
    <t>JAYS THYME LEAVES 27GR</t>
  </si>
  <si>
    <t>8997014380186</t>
  </si>
  <si>
    <t>JAYS TURMERIC GROUND 55GR</t>
  </si>
  <si>
    <t>8997014380285</t>
  </si>
  <si>
    <t>JAYS WHITE PEPPER GROUND 75GR</t>
  </si>
  <si>
    <t>8997014380216</t>
  </si>
  <si>
    <t>JAYSCHINESE FIVESPICE 50GR</t>
  </si>
  <si>
    <t>9555119802379</t>
  </si>
  <si>
    <t>JELLY CUTTER NO 237</t>
  </si>
  <si>
    <t>55121008</t>
  </si>
  <si>
    <t>JEPITAN DEKORASI 13CM RV015-010</t>
  </si>
  <si>
    <t>10422272</t>
  </si>
  <si>
    <t>JEPITAN KUE 22CM PR2</t>
  </si>
  <si>
    <t>10423250</t>
  </si>
  <si>
    <t>JEPITAN KUE 9INC</t>
  </si>
  <si>
    <t>10425120</t>
  </si>
  <si>
    <t>JEPITAN PLASTIK SET5</t>
  </si>
  <si>
    <t>10425131</t>
  </si>
  <si>
    <t>JEPITAN ROTI 11 INCH JP001</t>
  </si>
  <si>
    <t>10425134</t>
  </si>
  <si>
    <t>JEPITAN ROTI 11 INCH JP004</t>
  </si>
  <si>
    <t>10425132</t>
  </si>
  <si>
    <t>JEPITAN ROTI 9 INCH JP002</t>
  </si>
  <si>
    <t>10425133</t>
  </si>
  <si>
    <t>JEPITAN ROTI 9 INCH JP003</t>
  </si>
  <si>
    <t>8995083803438</t>
  </si>
  <si>
    <t>JIN RED CABE KASAR 50GR</t>
  </si>
  <si>
    <t>10100205</t>
  </si>
  <si>
    <t>JINTAN GL 100GR</t>
  </si>
  <si>
    <t>10100028</t>
  </si>
  <si>
    <t>JINTAN GL 1KG</t>
  </si>
  <si>
    <t>10100113</t>
  </si>
  <si>
    <t>JINTAN GL 250GR</t>
  </si>
  <si>
    <t>10100112</t>
  </si>
  <si>
    <t>JINTAN GL 50 GR</t>
  </si>
  <si>
    <t>10300097</t>
  </si>
  <si>
    <t>JINTAN HITAM 1/2 KG</t>
  </si>
  <si>
    <t>10420489</t>
  </si>
  <si>
    <t>JINTAN HITAM 1KG</t>
  </si>
  <si>
    <t>10100439</t>
  </si>
  <si>
    <t>JINTAN HTM BLT 100GR</t>
  </si>
  <si>
    <t>10200151</t>
  </si>
  <si>
    <t>JINTAN HTM BLT 250GR</t>
  </si>
  <si>
    <t>10100438</t>
  </si>
  <si>
    <t>JINTAN HTM BLT 50GR</t>
  </si>
  <si>
    <t>10420485</t>
  </si>
  <si>
    <t>JINTAN PUTIH 100GR</t>
  </si>
  <si>
    <t>10100141</t>
  </si>
  <si>
    <t>JINTAN PUTIH 1KG</t>
  </si>
  <si>
    <t>10100408</t>
  </si>
  <si>
    <t>JINTAN PUTIH 250GR</t>
  </si>
  <si>
    <t>10100340</t>
  </si>
  <si>
    <t>JINTAN PUTIH 500GR</t>
  </si>
  <si>
    <t>10100096</t>
  </si>
  <si>
    <t>JINTAN PUTIH 50GR</t>
  </si>
  <si>
    <t>6901304000823</t>
  </si>
  <si>
    <t>JUICER ORANGE JO1</t>
  </si>
  <si>
    <t>10426509</t>
  </si>
  <si>
    <t>JUICER PRESS MANUAL TOL0044</t>
  </si>
  <si>
    <t>8991818090005</t>
  </si>
  <si>
    <t>K BAWAL PTH FINNA 380GR</t>
  </si>
  <si>
    <t>8997002060267</t>
  </si>
  <si>
    <t>K BAWANG PANDA 500GR</t>
  </si>
  <si>
    <t>10412331</t>
  </si>
  <si>
    <t>K CERIPING KKP 400GR</t>
  </si>
  <si>
    <t>10600038</t>
  </si>
  <si>
    <t>K EMPING 250GR</t>
  </si>
  <si>
    <t>8991818111007</t>
  </si>
  <si>
    <t>K FINA SELERAKU BAWANG 200GR</t>
  </si>
  <si>
    <t>8991818110321</t>
  </si>
  <si>
    <t>K FINA SELERAKU UDANG 200GR</t>
  </si>
  <si>
    <t>10600095</t>
  </si>
  <si>
    <t>K IKAN TAN 250GR</t>
  </si>
  <si>
    <t>10600089</t>
  </si>
  <si>
    <t>K IKAN TAN 500GR</t>
  </si>
  <si>
    <t>10600047</t>
  </si>
  <si>
    <t>K IKAN TAN 5KG</t>
  </si>
  <si>
    <t>10600074</t>
  </si>
  <si>
    <t>K IMPALA WR 5KG</t>
  </si>
  <si>
    <t>10600061</t>
  </si>
  <si>
    <t>K IMPALA WRN 500GR</t>
  </si>
  <si>
    <t>10600122</t>
  </si>
  <si>
    <t>K INDO BAWANG 500GR</t>
  </si>
  <si>
    <t>10600112</t>
  </si>
  <si>
    <t>K INDO BAWANG 5KG</t>
  </si>
  <si>
    <t>10600011</t>
  </si>
  <si>
    <t>K INDO BAWANG RU 500GR</t>
  </si>
  <si>
    <t>10600012</t>
  </si>
  <si>
    <t>K INDO BAWANG RU 5KG</t>
  </si>
  <si>
    <t>10600071</t>
  </si>
  <si>
    <t>K JENGKOL SCL 1/2KG</t>
  </si>
  <si>
    <t>10600070</t>
  </si>
  <si>
    <t>K JENGKOL SCL 5KG</t>
  </si>
  <si>
    <t>10600084</t>
  </si>
  <si>
    <t>K JEREBET LIONTIN 500GR</t>
  </si>
  <si>
    <t>10600083</t>
  </si>
  <si>
    <t>K JEREBET LIONTIN 5KG</t>
  </si>
  <si>
    <t>10200072</t>
  </si>
  <si>
    <t>K KAKA MAMA 300GR</t>
  </si>
  <si>
    <t>8994449320022</t>
  </si>
  <si>
    <t>K MAKARONI GORENG A1</t>
  </si>
  <si>
    <t>10600097</t>
  </si>
  <si>
    <t>K MAMBO HIJAU RU 500GR</t>
  </si>
  <si>
    <t>10600098</t>
  </si>
  <si>
    <t>K MAMBO ORANGE RU 500GR</t>
  </si>
  <si>
    <t>10600099</t>
  </si>
  <si>
    <t>K MAMBO UNGU RU 500GR</t>
  </si>
  <si>
    <t>8997002060410</t>
  </si>
  <si>
    <t>K MATAHARI OREN PANDA 500GR</t>
  </si>
  <si>
    <t>10411119</t>
  </si>
  <si>
    <t>K MATAHARI OREN PANDA 5KG</t>
  </si>
  <si>
    <t>10411120</t>
  </si>
  <si>
    <t>K MATAHARI PTH PANDA 5KG</t>
  </si>
  <si>
    <t>10600092</t>
  </si>
  <si>
    <t>K MATAHARI PUTIH PANDA 500GR</t>
  </si>
  <si>
    <t>10600062</t>
  </si>
  <si>
    <t>K MAWAR MERPATI 500GR</t>
  </si>
  <si>
    <t>8991818000004</t>
  </si>
  <si>
    <t>K NUSANTARA FINNA 380GR</t>
  </si>
  <si>
    <t>8997002060168</t>
  </si>
  <si>
    <t>K PANDA DUO 450GR</t>
  </si>
  <si>
    <t>10600051</t>
  </si>
  <si>
    <t>K PANTHER G 1/2KG</t>
  </si>
  <si>
    <t>10600041</t>
  </si>
  <si>
    <t>K PANTHER G 250GR</t>
  </si>
  <si>
    <t>10200210</t>
  </si>
  <si>
    <t>K PANTHER G 5KG</t>
  </si>
  <si>
    <t>10600067</t>
  </si>
  <si>
    <t>K PANTHER M 1/2KG</t>
  </si>
  <si>
    <t>10600042</t>
  </si>
  <si>
    <t>K PANTHER M 250GR</t>
  </si>
  <si>
    <t>10200211</t>
  </si>
  <si>
    <t>K PANTHER M 5KG</t>
  </si>
  <si>
    <t>10600072</t>
  </si>
  <si>
    <t>K PENSI SCL 1/2KG</t>
  </si>
  <si>
    <t>10600037</t>
  </si>
  <si>
    <t>K PENSI SCL 250GR</t>
  </si>
  <si>
    <t>10600023</t>
  </si>
  <si>
    <t>K PENSI SCL 5KG</t>
  </si>
  <si>
    <t>8997025480110</t>
  </si>
  <si>
    <t>K PF 500GR</t>
  </si>
  <si>
    <t>10600123</t>
  </si>
  <si>
    <t>K POTATO TUGU MONAS 5KG</t>
  </si>
  <si>
    <t>10600094</t>
  </si>
  <si>
    <t>K PRASMANAN PTH 250GR</t>
  </si>
  <si>
    <t>10600060</t>
  </si>
  <si>
    <t>K PRIMA 500GR</t>
  </si>
  <si>
    <t>10600073</t>
  </si>
  <si>
    <t>K PRIMA 5KG</t>
  </si>
  <si>
    <t>10600165</t>
  </si>
  <si>
    <t>K RAJA UDANG 500GR</t>
  </si>
  <si>
    <t>10600115</t>
  </si>
  <si>
    <t>K RANTE JMB PUTIH LIONTIN 5KG</t>
  </si>
  <si>
    <t>10100463</t>
  </si>
  <si>
    <t>K RANTE JMB PUTIH NAGA 500GR</t>
  </si>
  <si>
    <t>10600109</t>
  </si>
  <si>
    <t>K RANTE JMB PUTIH NAGA 5KG</t>
  </si>
  <si>
    <t>10600114</t>
  </si>
  <si>
    <t>K RANTE JMB WARNA NAGA 500GR</t>
  </si>
  <si>
    <t>10600113</t>
  </si>
  <si>
    <t>K RANTE JMB WARNA NAGA 5KG</t>
  </si>
  <si>
    <t>711844610095</t>
  </si>
  <si>
    <t>K SARI UDANG LARISA 500GR</t>
  </si>
  <si>
    <t>8997002060243</t>
  </si>
  <si>
    <t>K SARI UDANG PANDA 500GR</t>
  </si>
  <si>
    <t>8997002060779</t>
  </si>
  <si>
    <t>K SARI UDANG PANDA 250GR</t>
  </si>
  <si>
    <t>10600107</t>
  </si>
  <si>
    <t>K SARI UDANG PANDA 5KG</t>
  </si>
  <si>
    <t>6997002060625</t>
  </si>
  <si>
    <t>K SARI UDANG PANDA 99 500GR</t>
  </si>
  <si>
    <t>10600169</t>
  </si>
  <si>
    <t>K SARI UDG PRASMANAN BAWANG 500GR</t>
  </si>
  <si>
    <t>10600168</t>
  </si>
  <si>
    <t>K SARI UDG PRASMANAN BAWANG 5KG</t>
  </si>
  <si>
    <t>10600082</t>
  </si>
  <si>
    <t>K SARI UDG PRASMANAN PTH 500 GR</t>
  </si>
  <si>
    <t>8997021081052</t>
  </si>
  <si>
    <t>K SARI UDG PRASMANAN PTH 500GR</t>
  </si>
  <si>
    <t>10600081</t>
  </si>
  <si>
    <t>K SARI UDG PRASMANAN PTH 5KG</t>
  </si>
  <si>
    <t>10600075</t>
  </si>
  <si>
    <t>K SCL 5KG</t>
  </si>
  <si>
    <t>10600079</t>
  </si>
  <si>
    <t>K SCL ORANGE 1/2KG</t>
  </si>
  <si>
    <t>10600101</t>
  </si>
  <si>
    <t>K TERSANJUNG PANDA 5KG</t>
  </si>
  <si>
    <t>10600063</t>
  </si>
  <si>
    <t>K TERSANJUNG PND 500GR</t>
  </si>
  <si>
    <t>10600117</t>
  </si>
  <si>
    <t>K TIGA RODA MAS LIONTIN 500GR</t>
  </si>
  <si>
    <t>10600111</t>
  </si>
  <si>
    <t>K TIGA RODA MAS LIONTIN 5KG</t>
  </si>
  <si>
    <t>10425329</t>
  </si>
  <si>
    <t>K TIGA RODA MAS NAGA 500GR</t>
  </si>
  <si>
    <t>10600120</t>
  </si>
  <si>
    <t>K TIGA RODA MAS NAGA 5KG</t>
  </si>
  <si>
    <t>10600103</t>
  </si>
  <si>
    <t>K TIGA RODA PTH LIONTIN 500GR</t>
  </si>
  <si>
    <t>10600102</t>
  </si>
  <si>
    <t>K TIGA RODA PTH LIONTIN 5KG</t>
  </si>
  <si>
    <t>10600059</t>
  </si>
  <si>
    <t>K TIGA RODA PTH NAGA 500GR</t>
  </si>
  <si>
    <t>10600076</t>
  </si>
  <si>
    <t>K TIGA RODA PTH NAGA 5KG</t>
  </si>
  <si>
    <t>10600119</t>
  </si>
  <si>
    <t>K TIGA RODA WARNA LIONTIN 500GR</t>
  </si>
  <si>
    <t>10600110</t>
  </si>
  <si>
    <t>K TIGA RODA WARNA LIONTIN 5KG</t>
  </si>
  <si>
    <t>10600058</t>
  </si>
  <si>
    <t>K TIGA RODA WR 500GR</t>
  </si>
  <si>
    <t>10600077</t>
  </si>
  <si>
    <t>K TIGA RODA WR NAGA 5KG</t>
  </si>
  <si>
    <t>8991818030001</t>
  </si>
  <si>
    <t>K UDANG FINNA 380GR</t>
  </si>
  <si>
    <t>7118844610095</t>
  </si>
  <si>
    <t>K UDANG LARISSA 500GR</t>
  </si>
  <si>
    <t>10412367</t>
  </si>
  <si>
    <t>K. RASA UDANG APM 1/2KG</t>
  </si>
  <si>
    <t>8997033631429</t>
  </si>
  <si>
    <t>K. RASA UDANG APM 5KG</t>
  </si>
  <si>
    <t>10600069</t>
  </si>
  <si>
    <t>K. TEMPE KUNING 1/2KG</t>
  </si>
  <si>
    <t>10600068</t>
  </si>
  <si>
    <t>K. TEMPE KUNING 5KG</t>
  </si>
  <si>
    <t>10200224</t>
  </si>
  <si>
    <t>K. UDANG MINI 1</t>
  </si>
  <si>
    <t>8997024180028</t>
  </si>
  <si>
    <t>K.A MIE LIDI 1KG</t>
  </si>
  <si>
    <t>8997024180011</t>
  </si>
  <si>
    <t>K.A MIE LIDI 500GR</t>
  </si>
  <si>
    <t>8997205020075</t>
  </si>
  <si>
    <t>KABUKI BIRU TEPUNG TERIGU 1KG</t>
  </si>
  <si>
    <t>8997205020082</t>
  </si>
  <si>
    <t>KABUKI GOLD TEPUNG TERIGU 1KG</t>
  </si>
  <si>
    <t>10200220</t>
  </si>
  <si>
    <t>KACANG ATOM 1/2KG</t>
  </si>
  <si>
    <t>10200208</t>
  </si>
  <si>
    <t>KACANG ATOM 1KG</t>
  </si>
  <si>
    <t>10200207</t>
  </si>
  <si>
    <t>KACANG ATOM 5 KG</t>
  </si>
  <si>
    <t>10411103</t>
  </si>
  <si>
    <t>KACANG CINCANG JF 1KG</t>
  </si>
  <si>
    <t>10200055</t>
  </si>
  <si>
    <t>KACANG HIJAU 1/2KG</t>
  </si>
  <si>
    <t>10200058</t>
  </si>
  <si>
    <t>KACANG HIJAU 1KG</t>
  </si>
  <si>
    <t>10200056</t>
  </si>
  <si>
    <t>KACANG HIJAU 250GR</t>
  </si>
  <si>
    <t>10200388</t>
  </si>
  <si>
    <t>KACANG HIJAU 25KG</t>
  </si>
  <si>
    <t>10200214</t>
  </si>
  <si>
    <t>KACANG HIJAU KUPAS 1 KG</t>
  </si>
  <si>
    <t>10200216</t>
  </si>
  <si>
    <t>KACANG HIJAU KUPAS 1/2KG</t>
  </si>
  <si>
    <t>10200217</t>
  </si>
  <si>
    <t>KACANG HIJAU KUPAS 250GR</t>
  </si>
  <si>
    <t>10200350</t>
  </si>
  <si>
    <t>KACANG HIJAU KUPAS 25KG</t>
  </si>
  <si>
    <t>10410790</t>
  </si>
  <si>
    <t>KACANG KENARI 100g</t>
  </si>
  <si>
    <t>10410789</t>
  </si>
  <si>
    <t>KACANG KENARI 250GR</t>
  </si>
  <si>
    <t>10200094</t>
  </si>
  <si>
    <t>KACANG KUPAS 1/2 KG</t>
  </si>
  <si>
    <t>10200212</t>
  </si>
  <si>
    <t>KACANG KUPAS 51/61 GROSS 12,5KG</t>
  </si>
  <si>
    <t>10200227</t>
  </si>
  <si>
    <t>KACANG KUPAS 61/71 GROSS 12,5KG</t>
  </si>
  <si>
    <t>10410323</t>
  </si>
  <si>
    <t>KACANG KUPAS TERATAI 1KG</t>
  </si>
  <si>
    <t>10200163</t>
  </si>
  <si>
    <t>KACANG MORIN 250GR</t>
  </si>
  <si>
    <t>KACANG MORIN GROSS 1KG</t>
  </si>
  <si>
    <t>10410961</t>
  </si>
  <si>
    <t>KACANG PISTACHIO 100GR</t>
  </si>
  <si>
    <t>10410960</t>
  </si>
  <si>
    <t>KACANG PISTACHIO 1KG</t>
  </si>
  <si>
    <t>10412016</t>
  </si>
  <si>
    <t>KACANG PISTACHIO 500GR</t>
  </si>
  <si>
    <t>10412330</t>
  </si>
  <si>
    <t>KACANG PISTACHIO KUPAS 250GR</t>
  </si>
  <si>
    <t>10200052</t>
  </si>
  <si>
    <t>KACANG TANAH S 1/2KG</t>
  </si>
  <si>
    <t>10200051</t>
  </si>
  <si>
    <t>KACANG TANAH S 1KG</t>
  </si>
  <si>
    <t>10200053</t>
  </si>
  <si>
    <t>KACANG TANAH S 250GR</t>
  </si>
  <si>
    <t>10200192</t>
  </si>
  <si>
    <t>KACANG TELUR 1/2 kg</t>
  </si>
  <si>
    <t>10412400</t>
  </si>
  <si>
    <t>KACANG TELUR 10KG</t>
  </si>
  <si>
    <t>10200191</t>
  </si>
  <si>
    <t>KACANG TELUR 1KG</t>
  </si>
  <si>
    <t>10200193</t>
  </si>
  <si>
    <t>KACANG TELUR 5KG</t>
  </si>
  <si>
    <t>10423718</t>
  </si>
  <si>
    <t>KAIN SILPAT 60X40 CM LM1</t>
  </si>
  <si>
    <t>10427504</t>
  </si>
  <si>
    <t>KAIN SILPAT BESAR 40X60 MO5</t>
  </si>
  <si>
    <t>10422479</t>
  </si>
  <si>
    <t>KAIN SILPAT KECIL 40X30 MO3</t>
  </si>
  <si>
    <t>10423873</t>
  </si>
  <si>
    <t>KAKI CHIFON 2IN1 17CM</t>
  </si>
  <si>
    <t>8993200667772</t>
  </si>
  <si>
    <t>KANZLER BEEF SAUSAGE 250GR</t>
  </si>
  <si>
    <t>8993200662302</t>
  </si>
  <si>
    <t>KANZLER BEEF SAUSAGE 500GR</t>
  </si>
  <si>
    <t>8993200668076</t>
  </si>
  <si>
    <t>KANZLER CHICKEN CRISPY STICK 450GR</t>
  </si>
  <si>
    <t>8993200669028</t>
  </si>
  <si>
    <t>KANZLER CHICKEN NUGET ORI CRISPY 120GR</t>
  </si>
  <si>
    <t>8993200664399</t>
  </si>
  <si>
    <t>KANZLER CHICKEN NUGET ORI CRISPY 450GR</t>
  </si>
  <si>
    <t>8993200669134</t>
  </si>
  <si>
    <t>KANZLER CHICKEN NUGET SPICY CRISPY 450GR</t>
  </si>
  <si>
    <t>8993200664382</t>
  </si>
  <si>
    <t>KANZLER CHICKEN NUGGET ORI 450GR</t>
  </si>
  <si>
    <t>8993200664337</t>
  </si>
  <si>
    <t>KANZLER FRANKFURTER 500GR</t>
  </si>
  <si>
    <t>8993200345618</t>
  </si>
  <si>
    <t>KANZLER GARLIC FRANKFURTER 300GR</t>
  </si>
  <si>
    <t>8993200000005</t>
  </si>
  <si>
    <t>KANZLER SINGLES BAKSO GOCHUJANG 55GR</t>
  </si>
  <si>
    <t>8993200668984</t>
  </si>
  <si>
    <t>KANZLER SINGLES BAKSO HOT 55GR</t>
  </si>
  <si>
    <t>8993200668502</t>
  </si>
  <si>
    <t>KANZLER SINGLES BAKSO KEJU 48GR</t>
  </si>
  <si>
    <t>8993200668496</t>
  </si>
  <si>
    <t>KANZLER SINGLES BAKSO ORI 48GR</t>
  </si>
  <si>
    <t>8993200668243</t>
  </si>
  <si>
    <t>KANZLER SINGLES GOCHUJANG 60GR</t>
  </si>
  <si>
    <t>8993200346318</t>
  </si>
  <si>
    <t>KANZLER SINGLES KEJU 65GR</t>
  </si>
  <si>
    <t>8993200347315</t>
  </si>
  <si>
    <t>KANZLER SINGLES MINI 65GR</t>
  </si>
  <si>
    <t>8993200348312</t>
  </si>
  <si>
    <t>KANZLER SINGLES ORI 65GR</t>
  </si>
  <si>
    <t>8993200345717</t>
  </si>
  <si>
    <t>KANZLER SOSIS HOT SINGLES 65GR</t>
  </si>
  <si>
    <t>8991002135024</t>
  </si>
  <si>
    <t>KAPAL API GULA AREN 230GR</t>
  </si>
  <si>
    <t>8991002105409</t>
  </si>
  <si>
    <t>KAPAL API KOPI BUBUK 350GR</t>
  </si>
  <si>
    <t>8991002105669</t>
  </si>
  <si>
    <t>KAPAL API KOPI SUSU 620GR</t>
  </si>
  <si>
    <t>8991002106345</t>
  </si>
  <si>
    <t>KAPAL API LESS SUGAR SPC MIX 210G 10S</t>
  </si>
  <si>
    <t>8991002115507</t>
  </si>
  <si>
    <t>KAPAL API SIGNATURE 65GR</t>
  </si>
  <si>
    <t>8991002105430</t>
  </si>
  <si>
    <t>KAPAL API SP MERAH 50x60GR</t>
  </si>
  <si>
    <t>8991002105485</t>
  </si>
  <si>
    <t>KAPAL API SP MIX RTG 25 GR</t>
  </si>
  <si>
    <t>8991002105300</t>
  </si>
  <si>
    <t>KAPAL API SPECIAL 120GR</t>
  </si>
  <si>
    <t>8991002105423</t>
  </si>
  <si>
    <t>KAPAL API SPECIAL 150GR</t>
  </si>
  <si>
    <t>8991002115477</t>
  </si>
  <si>
    <t>KAPAL API SPECIAL 380GR</t>
  </si>
  <si>
    <t>8991002135338</t>
  </si>
  <si>
    <t>KAPAL API SPECIAL 90GR</t>
  </si>
  <si>
    <t>8991002105546</t>
  </si>
  <si>
    <t>KAPALAPI MIX 460GR</t>
  </si>
  <si>
    <t>10100190</t>
  </si>
  <si>
    <t>KAPULAGA BIASA 100GR</t>
  </si>
  <si>
    <t>10100077</t>
  </si>
  <si>
    <t>KAPULAGA BIASA 1KG</t>
  </si>
  <si>
    <t>10100078</t>
  </si>
  <si>
    <t>KAPULAGA BIASA 250GR</t>
  </si>
  <si>
    <t>10100191</t>
  </si>
  <si>
    <t>KAPULAGA BIASA 50GR</t>
  </si>
  <si>
    <t>10100098</t>
  </si>
  <si>
    <t>KAPULAGA INDIA 100GR</t>
  </si>
  <si>
    <t>10200184</t>
  </si>
  <si>
    <t>KAPULAGA INDIA 10GR</t>
  </si>
  <si>
    <t>10100071</t>
  </si>
  <si>
    <t>10100423</t>
  </si>
  <si>
    <t>KAPULAGA INDIA 250GR</t>
  </si>
  <si>
    <t>10100099</t>
  </si>
  <si>
    <t>KAPULAGA INDIA 50GR</t>
  </si>
  <si>
    <t>10200183</t>
  </si>
  <si>
    <t>KAPULAGA INDIA 5GR</t>
  </si>
  <si>
    <t>KARA NATA DE COCO 1KG</t>
  </si>
  <si>
    <t>8992717900228</t>
  </si>
  <si>
    <t>KARA NATA DE COCO EMBER 1KG</t>
  </si>
  <si>
    <t>8992717783616</t>
  </si>
  <si>
    <t>KARA NATA DE COCO 360GR</t>
  </si>
  <si>
    <t>KARA NATA DE COCO SLICE 1KG</t>
  </si>
  <si>
    <t>10420247</t>
  </si>
  <si>
    <t>KARET KNG 14</t>
  </si>
  <si>
    <t>10420246</t>
  </si>
  <si>
    <t>KARET MRH 11</t>
  </si>
  <si>
    <t>8997229330457</t>
  </si>
  <si>
    <t>KARS GRANOLA COCO CHOCOLATE 350GR</t>
  </si>
  <si>
    <t>8997229330464</t>
  </si>
  <si>
    <t>KARS GRANOLA COFFEE 350GR</t>
  </si>
  <si>
    <t>8997229330471</t>
  </si>
  <si>
    <t>KARS GRANOLA SHADY PANDAN 350GR</t>
  </si>
  <si>
    <t>8997229330440</t>
  </si>
  <si>
    <t>KARS GRANOLA TROPICAL 350GR</t>
  </si>
  <si>
    <t>9556084000050</t>
  </si>
  <si>
    <t>KARTS ROTI CANAI 580GR</t>
  </si>
  <si>
    <t>10100309</t>
  </si>
  <si>
    <t>KAS KAS 100GR</t>
  </si>
  <si>
    <t>10100070</t>
  </si>
  <si>
    <t>KAS KAS 1KG</t>
  </si>
  <si>
    <t>10100401</t>
  </si>
  <si>
    <t>KAS KAS 250GR</t>
  </si>
  <si>
    <t>10100073</t>
  </si>
  <si>
    <t>KAS KAS 50GR</t>
  </si>
  <si>
    <t>9556587102589</t>
  </si>
  <si>
    <t>KAWAN ROTI CANAI 480GR</t>
  </si>
  <si>
    <t>8997005721578</t>
  </si>
  <si>
    <t>KAYARASA TP MAIZENA 200GR</t>
  </si>
  <si>
    <t>10100461</t>
  </si>
  <si>
    <t>KAYU MANIS BUBUK 45GR</t>
  </si>
  <si>
    <t>10100434</t>
  </si>
  <si>
    <t>KAYU SECANG 1KG</t>
  </si>
  <si>
    <t>10100435</t>
  </si>
  <si>
    <t>KAYU SECANG 20GR</t>
  </si>
  <si>
    <t>8997028500143</t>
  </si>
  <si>
    <t>KECAP ASIN 58 135ML</t>
  </si>
  <si>
    <t>8997028500433</t>
  </si>
  <si>
    <t>KECAP ASIN 58 275ML</t>
  </si>
  <si>
    <t>8997028500488</t>
  </si>
  <si>
    <t>KECAP ASIN 58 600ML</t>
  </si>
  <si>
    <t>8997028500617</t>
  </si>
  <si>
    <t>KECAP IKAN 58 135ML</t>
  </si>
  <si>
    <t>8997028500624</t>
  </si>
  <si>
    <t>KECAP IKAN 58 275ML</t>
  </si>
  <si>
    <t>8997028500631</t>
  </si>
  <si>
    <t>KECAP IKAN 58 600ML</t>
  </si>
  <si>
    <t>8992910231020</t>
  </si>
  <si>
    <t>KECAP INGGRIS 135ML</t>
  </si>
  <si>
    <t>8992910231013</t>
  </si>
  <si>
    <t>KECAP INGGRIS 320ML</t>
  </si>
  <si>
    <t>8997028500020</t>
  </si>
  <si>
    <t>KECAP INGGRIS 58 135ML</t>
  </si>
  <si>
    <t>8997028500419</t>
  </si>
  <si>
    <t>KECAP INGGRIS 58 275ML</t>
  </si>
  <si>
    <t>8997028500464</t>
  </si>
  <si>
    <t>KECAP INGGRIS 58 600ML</t>
  </si>
  <si>
    <t>6921180820032</t>
  </si>
  <si>
    <t>KECAP JAMUR BRIDGE 150ML</t>
  </si>
  <si>
    <t>6921180820049</t>
  </si>
  <si>
    <t>KECAP JAMUR BRIDGE 600ML</t>
  </si>
  <si>
    <t>10200005</t>
  </si>
  <si>
    <t>KECAP UDANG 630GR</t>
  </si>
  <si>
    <t>8997028585782</t>
  </si>
  <si>
    <t>KEJU CALF CHEDDAR 200GR</t>
  </si>
  <si>
    <t>KEJU CALF MERAH 2KG</t>
  </si>
  <si>
    <t>8993407212164</t>
  </si>
  <si>
    <t>KEJU DAIRYBLUE 180GR</t>
  </si>
  <si>
    <t>8710912014348</t>
  </si>
  <si>
    <t>KEJU EDAM VICTORIA 1KG</t>
  </si>
  <si>
    <t>KEJU EDAM VICTORIA 300GR</t>
  </si>
  <si>
    <t>KEJU KRAFT CHEDDAR 150GR</t>
  </si>
  <si>
    <t>KEJU KRAFT CHEDDAR 2KG</t>
  </si>
  <si>
    <t>KEJU KRAFT MARTABAK 2KG</t>
  </si>
  <si>
    <t>7622210193957</t>
  </si>
  <si>
    <t>KEJU KRAFT MIDI 70GR</t>
  </si>
  <si>
    <t>7622300065201</t>
  </si>
  <si>
    <t>KEJU KRAFT MINI 30GR</t>
  </si>
  <si>
    <t>KEJU KRAFT QUICK MELT 165GR</t>
  </si>
  <si>
    <t>8998009070044</t>
  </si>
  <si>
    <t>KEJU KRAFT SINGLES 5S</t>
  </si>
  <si>
    <t>8998009070037</t>
  </si>
  <si>
    <t>KEJU KRAFT SINGLES 8S</t>
  </si>
  <si>
    <t>8994023000043</t>
  </si>
  <si>
    <t>KEJU MEG 2KG</t>
  </si>
  <si>
    <t>8994023000050</t>
  </si>
  <si>
    <t>KEJU MEG SERBA GUNA 160GR</t>
  </si>
  <si>
    <t>8994023000333</t>
  </si>
  <si>
    <t>KEJU MEG SERBAGUNA 150GR 10 SLICE</t>
  </si>
  <si>
    <t>8994452370045</t>
  </si>
  <si>
    <t>KEJU MYCHIZ CHEDDAR 250GR</t>
  </si>
  <si>
    <t>8994452370007</t>
  </si>
  <si>
    <t>KEJU MYCHIZ MILKY 250GR</t>
  </si>
  <si>
    <t>8997014450452</t>
  </si>
  <si>
    <t>KEJU PROCHIZ GOLD 60GR</t>
  </si>
  <si>
    <t>8997014450711</t>
  </si>
  <si>
    <t>KEJU PROCHIZ QUICK MELT 160GR</t>
  </si>
  <si>
    <t>KEJU WINCHEEZ 250GR</t>
  </si>
  <si>
    <t>8997215750238</t>
  </si>
  <si>
    <t>KEJU WINCHEEZ SPREADABLE 150GR</t>
  </si>
  <si>
    <t>KEJU WINCHEZZ 2KG</t>
  </si>
  <si>
    <t>10410736</t>
  </si>
  <si>
    <t>KELAPA KERING 1/2KG</t>
  </si>
  <si>
    <t>10410735</t>
  </si>
  <si>
    <t>KELAPA KERING 1KG</t>
  </si>
  <si>
    <t>10411479</t>
  </si>
  <si>
    <t>KELAPA KERING 25KG</t>
  </si>
  <si>
    <t>8852756303056</t>
  </si>
  <si>
    <t>KELLOGGS CORN FLAKE 150GR</t>
  </si>
  <si>
    <t>8852756346053</t>
  </si>
  <si>
    <t>KELLOGGS CORN FLAKE 500GR</t>
  </si>
  <si>
    <t>8852756304053</t>
  </si>
  <si>
    <t>KELLOGGS CORN FLAKES 275GR</t>
  </si>
  <si>
    <t>8997008310496</t>
  </si>
  <si>
    <t>KELONG KERUPUK TEMPE 200GR</t>
  </si>
  <si>
    <t>10423930</t>
  </si>
  <si>
    <t>KEMBANG LOY BS 8CM</t>
  </si>
  <si>
    <t>10421837</t>
  </si>
  <si>
    <t>KEMBANG LOY BUL BES</t>
  </si>
  <si>
    <t>10421836</t>
  </si>
  <si>
    <t>KEMBANG LOY BUL KEC</t>
  </si>
  <si>
    <t>10411013</t>
  </si>
  <si>
    <t>KEMBANG TAHU</t>
  </si>
  <si>
    <t>10300015</t>
  </si>
  <si>
    <t>KEMUKUS 1KG</t>
  </si>
  <si>
    <t>10300080</t>
  </si>
  <si>
    <t>KEMUKUS 50GR</t>
  </si>
  <si>
    <t>8694587138489</t>
  </si>
  <si>
    <t>KENT SAUCE CARAMEL 325GR</t>
  </si>
  <si>
    <t>8694587142653</t>
  </si>
  <si>
    <t>KENT SYRUP CARAMEL 624GR</t>
  </si>
  <si>
    <t>8694587140017</t>
  </si>
  <si>
    <t>KENT SYRUP PANCAKE&amp;WAFFLE 355ML</t>
  </si>
  <si>
    <t>8992797730135</t>
  </si>
  <si>
    <t>KEPALA DJENGGOT LEMON TEA 24X30GR</t>
  </si>
  <si>
    <t>8992797110036</t>
  </si>
  <si>
    <t>KEPALA DJENGGOT TEH HIJAU 24X100GR</t>
  </si>
  <si>
    <t>8992797260106</t>
  </si>
  <si>
    <t>KEPALA DJENGGOT TEH HIJAU 24X25S</t>
  </si>
  <si>
    <t>8992797450118</t>
  </si>
  <si>
    <t>KEPALA DJENGGOT TEH MELATI 24X25S</t>
  </si>
  <si>
    <t>8992797650129</t>
  </si>
  <si>
    <t>KEPALA DJENGGOT TEH MERAH 24X25S</t>
  </si>
  <si>
    <t>10424541</t>
  </si>
  <si>
    <t>KERANJANG BULAT SET3 KR4</t>
  </si>
  <si>
    <t>10424547</t>
  </si>
  <si>
    <t>KERANJANG LONJONG KR3</t>
  </si>
  <si>
    <t>10425386</t>
  </si>
  <si>
    <t>KERANJANG PACKING</t>
  </si>
  <si>
    <t>10426590</t>
  </si>
  <si>
    <t>KERANJANG PACKING 2306</t>
  </si>
  <si>
    <t>10424539</t>
  </si>
  <si>
    <t>KERANJANG PERAHU SET3 KR2</t>
  </si>
  <si>
    <t>10424540</t>
  </si>
  <si>
    <t>KERANJANG PERSEGI SET3 KR5</t>
  </si>
  <si>
    <t>10424548</t>
  </si>
  <si>
    <t>KERANJANG PRSGI PNJNG KR1</t>
  </si>
  <si>
    <t>10425042</t>
  </si>
  <si>
    <t>KERANJANG STAIN K GOLD KRS3B</t>
  </si>
  <si>
    <t>10424619</t>
  </si>
  <si>
    <t>KERANJANG STAIN K ROSEGOLD KRS3A</t>
  </si>
  <si>
    <t>10424620</t>
  </si>
  <si>
    <t>KERANJANG STAIN K SILVER KRS3C</t>
  </si>
  <si>
    <t>10424627</t>
  </si>
  <si>
    <t>KERANJANG STAIN KECIL KRS1</t>
  </si>
  <si>
    <t>10424742</t>
  </si>
  <si>
    <t>KEROK BLEWAH KL29</t>
  </si>
  <si>
    <t>10422564</t>
  </si>
  <si>
    <t>KEROK DEGAN KL14</t>
  </si>
  <si>
    <t>10427507</t>
  </si>
  <si>
    <t>KEROK DEGAN STAINLESS</t>
  </si>
  <si>
    <t>8997225981066</t>
  </si>
  <si>
    <t>KERTAS BAKPAU FREESIA 7CM</t>
  </si>
  <si>
    <t>10424716</t>
  </si>
  <si>
    <t>KERTAS NASI BUNGA INTERKO</t>
  </si>
  <si>
    <t>KERTAS NASI INTERCO</t>
  </si>
  <si>
    <t>10421993</t>
  </si>
  <si>
    <t>KERTAS NASI MOTIF 25X27 100S</t>
  </si>
  <si>
    <t>10420340</t>
  </si>
  <si>
    <t>KERTAS NASI PLS 25X27 100S</t>
  </si>
  <si>
    <t>10425433</t>
  </si>
  <si>
    <t>KERTAS ROTI DIVA 60X40CM</t>
  </si>
  <si>
    <t>10423446</t>
  </si>
  <si>
    <t>KERTAS ROTI DIVA PRINT 20X60CM</t>
  </si>
  <si>
    <t>10423447</t>
  </si>
  <si>
    <t>KERTAS ROTI DIVA PRINT 30X60CM</t>
  </si>
  <si>
    <t>10426773</t>
  </si>
  <si>
    <t>KERTAS ROTI DIVA SILICONE 60X40 50S</t>
  </si>
  <si>
    <t>10426782</t>
  </si>
  <si>
    <t>KERTAS ROTI DIVA SILICONE 60X40 5S</t>
  </si>
  <si>
    <t>8997033631405</t>
  </si>
  <si>
    <t>KERUPUK RU APM 500GR</t>
  </si>
  <si>
    <t>10200240</t>
  </si>
  <si>
    <t>KETAN PUTIH 1/2kg</t>
  </si>
  <si>
    <t>10200091</t>
  </si>
  <si>
    <t>KETAN PUTIH 1KG</t>
  </si>
  <si>
    <t>10200238</t>
  </si>
  <si>
    <t>KETAN PUTIH CANTIK 25KG</t>
  </si>
  <si>
    <t>10100302</t>
  </si>
  <si>
    <t>KETUMBAR GL PTH 100GR</t>
  </si>
  <si>
    <t>10100301</t>
  </si>
  <si>
    <t>KETUMBAR GL PTH 50GR</t>
  </si>
  <si>
    <t>10100200</t>
  </si>
  <si>
    <t>KETUMBAR KECIL 1/2KG</t>
  </si>
  <si>
    <t>10420482</t>
  </si>
  <si>
    <t>KETUMBAR KECIL 100GR</t>
  </si>
  <si>
    <t>10100177</t>
  </si>
  <si>
    <t>KETUMBAR KECIL 1KG</t>
  </si>
  <si>
    <t>10100201</t>
  </si>
  <si>
    <t>KETUMBAR KECIL 250GR</t>
  </si>
  <si>
    <t>10100179</t>
  </si>
  <si>
    <t>KETUMBAR KECIL 50GR</t>
  </si>
  <si>
    <t>10100184</t>
  </si>
  <si>
    <t>KETUMBAR RANGON 1/2KG</t>
  </si>
  <si>
    <t>10100186</t>
  </si>
  <si>
    <t>KETUMBAR RANGON 100GR</t>
  </si>
  <si>
    <t>10100176</t>
  </si>
  <si>
    <t>KETUMBAR RANGON 1KG</t>
  </si>
  <si>
    <t>10100185</t>
  </si>
  <si>
    <t>KETUMBAR RANGON 250GR</t>
  </si>
  <si>
    <t>10100178</t>
  </si>
  <si>
    <t>KETUMBAR RANGON 50GR</t>
  </si>
  <si>
    <t>10100304</t>
  </si>
  <si>
    <t>KETUMBAR SANGRAI 100GR</t>
  </si>
  <si>
    <t>10100303</t>
  </si>
  <si>
    <t>KETUMBAR SANGRAI 50GR</t>
  </si>
  <si>
    <t>8997206772041</t>
  </si>
  <si>
    <t>KEWPIE CAESAR 25ML</t>
  </si>
  <si>
    <t>8997206771273</t>
  </si>
  <si>
    <t>KEWPIE MAYONAIS 70GR</t>
  </si>
  <si>
    <t>8997206771013</t>
  </si>
  <si>
    <t>KEWPIE MAYONAIS ORIGINAL 15G</t>
  </si>
  <si>
    <t>8997206771075</t>
  </si>
  <si>
    <t>KEWPIE MAYONAIS ORIGINAL 1KG</t>
  </si>
  <si>
    <t>8997206771167</t>
  </si>
  <si>
    <t>KEWPIE MAYONAIS ORIGINAL 300GR</t>
  </si>
  <si>
    <t>8997206771044</t>
  </si>
  <si>
    <t>KEWPIE MAYONAISE ORIGINAL 150GR</t>
  </si>
  <si>
    <t>8997206771303</t>
  </si>
  <si>
    <t>KEWPIE MENTAI MAYO 1KG</t>
  </si>
  <si>
    <t>10412396</t>
  </si>
  <si>
    <t>KEWPIE ONION &amp; MAYO 1KG</t>
  </si>
  <si>
    <t>8997206771365</t>
  </si>
  <si>
    <t>KEWPIE SALAD DRESSING DENGAN YOGURT</t>
  </si>
  <si>
    <t>8997206772096</t>
  </si>
  <si>
    <t>KEWPIE SAUS SIRAM CAESAR 200ML</t>
  </si>
  <si>
    <t>8997206772072</t>
  </si>
  <si>
    <t>KEWPIE SAUS SIRAM KECAP JEPANG 200ML</t>
  </si>
  <si>
    <t>8997206772089</t>
  </si>
  <si>
    <t>KEWPIE SAUS SIRAM TOMAT PEDAS 200ML</t>
  </si>
  <si>
    <t>8997206772164</t>
  </si>
  <si>
    <t>8997206772065</t>
  </si>
  <si>
    <t>KEWPIE SAUS SIRAM WIJEN SANGRAI 200ML</t>
  </si>
  <si>
    <t>8997206772317</t>
  </si>
  <si>
    <t>KEWPIE SAUS SIRAM WIJEN SANGRAI 500ML</t>
  </si>
  <si>
    <t>8997206774434</t>
  </si>
  <si>
    <t>KEWPIE SUSHI SEASONING 1KG</t>
  </si>
  <si>
    <t>8997206772102</t>
  </si>
  <si>
    <t>KEWPIE THOUSAND ISLAND 200ML</t>
  </si>
  <si>
    <t>8997206772058</t>
  </si>
  <si>
    <t>KEWPIE THOUSAND ISLAND 25ML</t>
  </si>
  <si>
    <t>10412397</t>
  </si>
  <si>
    <t>KEWPIE TRUFFLE MAYO 1KG</t>
  </si>
  <si>
    <t>8997206772324</t>
  </si>
  <si>
    <t>KEWPIE WIJAN SANGRAI 100ML</t>
  </si>
  <si>
    <t>8997206772010</t>
  </si>
  <si>
    <t>KEWPIE WIJEN SANGRAI 25ML</t>
  </si>
  <si>
    <t>8997206772348</t>
  </si>
  <si>
    <t>KEWPIE WIJEN SANGRAI 50ML</t>
  </si>
  <si>
    <t>8997010321824</t>
  </si>
  <si>
    <t>KIKKOMAN BLCKPAPER TERIYAKI 300GR</t>
  </si>
  <si>
    <t>8997010321398</t>
  </si>
  <si>
    <t>KIKKOMAN BULGOGI 2.2KG</t>
  </si>
  <si>
    <t>8997010323804</t>
  </si>
  <si>
    <t>KIKKOMAN FISH SAUS 150ML</t>
  </si>
  <si>
    <t>8997010321237</t>
  </si>
  <si>
    <t>KIKKOMAN GARLIC TERIYAKI 300GR</t>
  </si>
  <si>
    <t>8997010321299</t>
  </si>
  <si>
    <t>KIKKOMAN GARLIC TERIYAKI 5.7KG</t>
  </si>
  <si>
    <t>8997010321336</t>
  </si>
  <si>
    <t>KIKKOMAN GOCHUJANG 2.2KG</t>
  </si>
  <si>
    <t>8997010321343</t>
  </si>
  <si>
    <t>KIKKOMAN GOCHUJANG 5,7KG</t>
  </si>
  <si>
    <t>8997010321756</t>
  </si>
  <si>
    <t>KIKKOMAN HOISIN 300GR</t>
  </si>
  <si>
    <t>8997010323194</t>
  </si>
  <si>
    <t>KIKKOMAN KATSU 300GR</t>
  </si>
  <si>
    <t>8997010321930</t>
  </si>
  <si>
    <t>KIKKOMAN KCP ASIN JEPANG SCH 5ML</t>
  </si>
  <si>
    <t>8997010321916</t>
  </si>
  <si>
    <t>KIKKOMAN KCP ASIN JEPANG TRAVEL 150ML</t>
  </si>
  <si>
    <t>8997010321954</t>
  </si>
  <si>
    <t>KIKKOMAN ORIENTAL SOY 150ML</t>
  </si>
  <si>
    <t>8997010321855</t>
  </si>
  <si>
    <t>KIKKOMAN SAUS BBQ 300GR</t>
  </si>
  <si>
    <t>8997010321725</t>
  </si>
  <si>
    <t>KIKKOMAN SAUS BULGOGI 300GR</t>
  </si>
  <si>
    <t>8997010321794</t>
  </si>
  <si>
    <t>KIKKOMAN SAUS BUMBU RASA TIRAM 300GR</t>
  </si>
  <si>
    <t>8997010321879</t>
  </si>
  <si>
    <t>KIKKOMAN SAUS GOCHUJANG 300GR</t>
  </si>
  <si>
    <t>8997010324085</t>
  </si>
  <si>
    <t>KIKKOMAN SOBA SHOYU 150ML</t>
  </si>
  <si>
    <t>8997010321909</t>
  </si>
  <si>
    <t>KIKKOMAN SOY SAUCE 150ML</t>
  </si>
  <si>
    <t>8997010320872</t>
  </si>
  <si>
    <t>KIKKOMAN SOY SAUCE 5KG</t>
  </si>
  <si>
    <t>8997010320889</t>
  </si>
  <si>
    <t>KIKKOMAN SOY SAUCE JEPANG 18LT</t>
  </si>
  <si>
    <t>8997010323187</t>
  </si>
  <si>
    <t>KIKKOMAN SWEET MIRIN 250ML</t>
  </si>
  <si>
    <t>8997010322685</t>
  </si>
  <si>
    <t>KIKKOMAN SWEET MIRIN 5L</t>
  </si>
  <si>
    <t>8997010323996</t>
  </si>
  <si>
    <t>KIKKOMAN VINEGAR SEASONING 150ML</t>
  </si>
  <si>
    <t>8997010324023</t>
  </si>
  <si>
    <t>KIKKOMAN VINEGAR SEASONING 5LT</t>
  </si>
  <si>
    <t>8997010323934</t>
  </si>
  <si>
    <t>KIKKOMAN YAKINKU SAUS 300GR</t>
  </si>
  <si>
    <t>8998888330277</t>
  </si>
  <si>
    <t>KIKO SAUS SAMBAL 1KG</t>
  </si>
  <si>
    <t>8998888000101</t>
  </si>
  <si>
    <t>KIKO SAUS SAMBAL 500GR</t>
  </si>
  <si>
    <t>8998888330178</t>
  </si>
  <si>
    <t>KIKO SAUS TOMAT 1KG</t>
  </si>
  <si>
    <t>8998888000118</t>
  </si>
  <si>
    <t>KIKO SAUS TOMAT 500GR</t>
  </si>
  <si>
    <t>8993523101137</t>
  </si>
  <si>
    <t>KING FISHER MACKEREL TOMAT 155GR</t>
  </si>
  <si>
    <t>8993523101175</t>
  </si>
  <si>
    <t>KING FISHER MACKEREL TOMAT 425GR</t>
  </si>
  <si>
    <t>8993523101199</t>
  </si>
  <si>
    <t>KING FISHER SARDEN BALADO 155GR</t>
  </si>
  <si>
    <t>8993523101205</t>
  </si>
  <si>
    <t>KING FISHER SARDEN BALADO 425GR</t>
  </si>
  <si>
    <t>8993523101809</t>
  </si>
  <si>
    <t>KING FISHER SARDEN SAMBAL HIJAU 155GR</t>
  </si>
  <si>
    <t>8993523101816</t>
  </si>
  <si>
    <t>KING FISHER SARDEN SAMBAL HIJAU 425GR</t>
  </si>
  <si>
    <t>8993523101304</t>
  </si>
  <si>
    <t>KING FISHER SARDEN SAUS SAMBAL 155GR</t>
  </si>
  <si>
    <t>8993523101311</t>
  </si>
  <si>
    <t>KING FISHER SARDEN SAUS SAMBAL 425GR</t>
  </si>
  <si>
    <t>8993523101021</t>
  </si>
  <si>
    <t>KING FISHER SARDEN TOMAT 155GR</t>
  </si>
  <si>
    <t>8993523101014</t>
  </si>
  <si>
    <t>KING FISHER SARDEN TOMAT 425GR</t>
  </si>
  <si>
    <t>10410739</t>
  </si>
  <si>
    <t>KISMIS GOLD PREMIUM 1/2KG</t>
  </si>
  <si>
    <t>10410678</t>
  </si>
  <si>
    <t>KISMIS GOLD PREMIUM 100GR</t>
  </si>
  <si>
    <t>10411158</t>
  </si>
  <si>
    <t>KISMIS GOLD PREMIUM 10KG</t>
  </si>
  <si>
    <t>10410677</t>
  </si>
  <si>
    <t>KISMIS GOLD PREMIUM 1KG</t>
  </si>
  <si>
    <t>10410679</t>
  </si>
  <si>
    <t>KISMIS GOLD PREMIUM 250GR</t>
  </si>
  <si>
    <t>10200171</t>
  </si>
  <si>
    <t>KISMIS HITAM 1/2KG</t>
  </si>
  <si>
    <t>10410427</t>
  </si>
  <si>
    <t>KISMIS HITAM 100GR</t>
  </si>
  <si>
    <t>10411800</t>
  </si>
  <si>
    <t>KISMIS HITAM 10KG</t>
  </si>
  <si>
    <t>10410305</t>
  </si>
  <si>
    <t>KISMIS HITAM 1KG</t>
  </si>
  <si>
    <t>10410254</t>
  </si>
  <si>
    <t>KISMIS HITAM 250GR</t>
  </si>
  <si>
    <t>6953291021183</t>
  </si>
  <si>
    <t>KITCHEN TIMER FANCY COLOUR JS-118</t>
  </si>
  <si>
    <t>10423544</t>
  </si>
  <si>
    <t>KITCHEN TOOLS BL-1011</t>
  </si>
  <si>
    <t>10423545</t>
  </si>
  <si>
    <t>KITCHEN TOOLS BL-1013</t>
  </si>
  <si>
    <t>10423880</t>
  </si>
  <si>
    <t>KITCHEN UTENSIL SILICONE 9 IN 1</t>
  </si>
  <si>
    <t>10425164</t>
  </si>
  <si>
    <t>KLIR BENTO 3 SEKAT</t>
  </si>
  <si>
    <t>1042539</t>
  </si>
  <si>
    <t>KLIR BENTO 4 SEKAT</t>
  </si>
  <si>
    <t>10425165</t>
  </si>
  <si>
    <t>KLIR BENTO STAR</t>
  </si>
  <si>
    <t>10427399</t>
  </si>
  <si>
    <t>KLIR CUP INJECTION 500ML + TTP</t>
  </si>
  <si>
    <t>10425263</t>
  </si>
  <si>
    <t>KLIR GARPU BUAH BENING 100S</t>
  </si>
  <si>
    <t>10425262</t>
  </si>
  <si>
    <t>KLIR GARPU BUAH WARNA 100S</t>
  </si>
  <si>
    <t>1042537</t>
  </si>
  <si>
    <t>KLIR THINWALL BOWL 200ML</t>
  </si>
  <si>
    <t>1042529</t>
  </si>
  <si>
    <t>KLIR THINWALL BOWL 300ML</t>
  </si>
  <si>
    <t>1042550</t>
  </si>
  <si>
    <t>KLIR THINWALL BOWL 400ML</t>
  </si>
  <si>
    <t>10425735</t>
  </si>
  <si>
    <t>KLIR THINWALL BOWL 425ML</t>
  </si>
  <si>
    <t>1042551</t>
  </si>
  <si>
    <t>KLIR THINWALL BOWL 500ML</t>
  </si>
  <si>
    <t>10426423</t>
  </si>
  <si>
    <t>KLIR THINWALL REC 1050ML</t>
  </si>
  <si>
    <t>10426424</t>
  </si>
  <si>
    <t>KLIR THINWALL REC 1250ML</t>
  </si>
  <si>
    <t>10426420</t>
  </si>
  <si>
    <t>KLIR THINWALL REC 1500ML</t>
  </si>
  <si>
    <t>1042548</t>
  </si>
  <si>
    <t>KLIR THINWALL REC 200ML</t>
  </si>
  <si>
    <t>1042547</t>
  </si>
  <si>
    <t>KLIR THINWALL REC 250ML</t>
  </si>
  <si>
    <t>1042546</t>
  </si>
  <si>
    <t>KLIR THINWALL REC 300ML</t>
  </si>
  <si>
    <t>10426422</t>
  </si>
  <si>
    <t>KLIR THINWALL REC 800ML</t>
  </si>
  <si>
    <t>10427511</t>
  </si>
  <si>
    <t>KLIR THINWALL REC LOCK 1000ML</t>
  </si>
  <si>
    <t>10427510</t>
  </si>
  <si>
    <t>KLIR THINWALL REC LOCK 500ML</t>
  </si>
  <si>
    <t>10427151</t>
  </si>
  <si>
    <t>KLIR THINWALL REC LOCK 750ML</t>
  </si>
  <si>
    <t>10426414</t>
  </si>
  <si>
    <t>KLIR THINWALL RL 1 750ML</t>
  </si>
  <si>
    <t>10426417</t>
  </si>
  <si>
    <t>KLIR THINWALL RL 1A 750ML</t>
  </si>
  <si>
    <t>10426416</t>
  </si>
  <si>
    <t>KLIR THINWALL RL 1B 750ML</t>
  </si>
  <si>
    <t>10426418</t>
  </si>
  <si>
    <t>KLIR THINWALL RL 1C 750ML</t>
  </si>
  <si>
    <t>10426415</t>
  </si>
  <si>
    <t>KLIR THINWALL RL 3 750ML</t>
  </si>
  <si>
    <t>10425334</t>
  </si>
  <si>
    <t>KLIR THINWALL ROUND 300ML</t>
  </si>
  <si>
    <t>10425844</t>
  </si>
  <si>
    <t>KLIR THINWALL ROUND 400ML</t>
  </si>
  <si>
    <t>1042527</t>
  </si>
  <si>
    <t>KLIR THINWALL ROUND 450ML</t>
  </si>
  <si>
    <t>10425734</t>
  </si>
  <si>
    <t>KLIR THINWALL ROUND 500ML</t>
  </si>
  <si>
    <t>10425843</t>
  </si>
  <si>
    <t>KLIR THINWALL SAUCE CUP 150ML</t>
  </si>
  <si>
    <t>1042535</t>
  </si>
  <si>
    <t>KLIR THINWALL SQ 1000ML</t>
  </si>
  <si>
    <t>1042532</t>
  </si>
  <si>
    <t>KLIR THINWALL SQ 2000ML</t>
  </si>
  <si>
    <t>1042534</t>
  </si>
  <si>
    <t>KLIR THINWALL SQ 3000ML</t>
  </si>
  <si>
    <t>1042533</t>
  </si>
  <si>
    <t>KLIR THINWALL SQ 350ML</t>
  </si>
  <si>
    <t>1042531</t>
  </si>
  <si>
    <t>KLIR THINWALL SQ 500ML</t>
  </si>
  <si>
    <t>10426850</t>
  </si>
  <si>
    <t>KLIR THINWALL SQ 750ML</t>
  </si>
  <si>
    <t>10100415</t>
  </si>
  <si>
    <t>KLUWAK 2S</t>
  </si>
  <si>
    <t>10423274</t>
  </si>
  <si>
    <t>KNIFE BREAD GAGANG S PS14</t>
  </si>
  <si>
    <t>10423273</t>
  </si>
  <si>
    <t>KNIFE BREAD PS13</t>
  </si>
  <si>
    <t>6990111892134</t>
  </si>
  <si>
    <t>KNIFE PEELER SCISSORS DCT183</t>
  </si>
  <si>
    <t>10423630</t>
  </si>
  <si>
    <t>KNIFE SET EKS HITAM 5S</t>
  </si>
  <si>
    <t>10423293</t>
  </si>
  <si>
    <t>KNIFE SET5 HY-11 NON-STICK</t>
  </si>
  <si>
    <t>10423294</t>
  </si>
  <si>
    <t>KNIFE SET6 NON-STICK FHY-G11</t>
  </si>
  <si>
    <t>6930784227994</t>
  </si>
  <si>
    <t>KNIVES+PENJEPIT SET3 ZN2799</t>
  </si>
  <si>
    <t>8999999091088</t>
  </si>
  <si>
    <t>KNORR BEEF POWDER 1KG</t>
  </si>
  <si>
    <t>8999999615918</t>
  </si>
  <si>
    <t>KNORR CHICKEN PWD 200GR</t>
  </si>
  <si>
    <t>8999999043193</t>
  </si>
  <si>
    <t>KNORR CREAM CHICKEN SOUP 1KG</t>
  </si>
  <si>
    <t>8999999043179</t>
  </si>
  <si>
    <t>KNORR CREAM SOUP BASE 1KG</t>
  </si>
  <si>
    <t>KNORR GLACE SAUCE MIX 1KG</t>
  </si>
  <si>
    <t>8999999599546</t>
  </si>
  <si>
    <t>KNORR GLACE SAUCE MIX 500GR</t>
  </si>
  <si>
    <t>8999999578350</t>
  </si>
  <si>
    <t>KNORR MUSHROOM VEGETABLE 400GR</t>
  </si>
  <si>
    <t>8999999091279</t>
  </si>
  <si>
    <t>KNORR OYSTER FLAU SAU 1KG</t>
  </si>
  <si>
    <t>8999999055677</t>
  </si>
  <si>
    <t>KNORR POTATO 500GR</t>
  </si>
  <si>
    <t>8999999596163</t>
  </si>
  <si>
    <t>KNORR ROSTIP 200GR</t>
  </si>
  <si>
    <t>8999999090210</t>
  </si>
  <si>
    <t>KNORR SAUCE BBQ 1KG</t>
  </si>
  <si>
    <t>8995899215036</t>
  </si>
  <si>
    <t>KOBE BONCABE MAXEND LV50 2,5GR</t>
  </si>
  <si>
    <t>8995899215159</t>
  </si>
  <si>
    <t>KOBE BONCABE MAXEND LV50 30GR</t>
  </si>
  <si>
    <t>8995899216040</t>
  </si>
  <si>
    <t>KOBE BONCABE NORI LV 3 4GR</t>
  </si>
  <si>
    <t>8995899216484</t>
  </si>
  <si>
    <t>KOBE BONCABE NORI R.LAUT LV3 35GR</t>
  </si>
  <si>
    <t>8995899110416</t>
  </si>
  <si>
    <t>KOBE BUMBU KALASAN LENGKAP 35GR</t>
  </si>
  <si>
    <t>8995899210529</t>
  </si>
  <si>
    <t>KOBE NASI GORENG POOL PEDAS</t>
  </si>
  <si>
    <t>8995899787038</t>
  </si>
  <si>
    <t>KOBE NASI GORENG POOL PEDAS 12GR</t>
  </si>
  <si>
    <t>8995899280157</t>
  </si>
  <si>
    <t>KOBE SELERA SAUS TIRAM BTL 170GR</t>
  </si>
  <si>
    <t>8995899110522</t>
  </si>
  <si>
    <t>KOBE TEPUNG BAKWAN DAN PERGEDEL 210 GR</t>
  </si>
  <si>
    <t>8995899110324</t>
  </si>
  <si>
    <t>KOBE TEPUNG GORENG PISANG 210 GR</t>
  </si>
  <si>
    <t>8995899110515</t>
  </si>
  <si>
    <t>KOBE TP BAKWAN 80,5G</t>
  </si>
  <si>
    <t>8995899110621</t>
  </si>
  <si>
    <t>KOBE TP BMB SPCL 70GR</t>
  </si>
  <si>
    <t>8995899110638</t>
  </si>
  <si>
    <t>KOBE TP BMBU SERBAGUNA SPESIAL 200gr</t>
  </si>
  <si>
    <t>8995899110126</t>
  </si>
  <si>
    <t>KOBE TP BUMBU PTH 210GR</t>
  </si>
  <si>
    <t>8995899110133</t>
  </si>
  <si>
    <t>KOBE TP BUMBU PTH 850GR</t>
  </si>
  <si>
    <t>8995899110188</t>
  </si>
  <si>
    <t>KOBE TP BUMBU SPCL 70GR</t>
  </si>
  <si>
    <t>8995899130339</t>
  </si>
  <si>
    <t>KOBE TP KENTUCKY SC 200GR</t>
  </si>
  <si>
    <t>8995899130315</t>
  </si>
  <si>
    <t>KOBE TP KENTUCKY SC 70GR</t>
  </si>
  <si>
    <t>8995899110317</t>
  </si>
  <si>
    <t>KOBE TP PISANG 70GR</t>
  </si>
  <si>
    <t>8995899190111</t>
  </si>
  <si>
    <t>KOBE TP ROTI CRISPY 200GR</t>
  </si>
  <si>
    <t>8995899103180</t>
  </si>
  <si>
    <t>KOBE TP TEMPE KRIUK GOR 70GR</t>
  </si>
  <si>
    <t>8995899111031</t>
  </si>
  <si>
    <t>KOBE TP TEMPE KRIUK 200GR</t>
  </si>
  <si>
    <t>8995899111024</t>
  </si>
  <si>
    <t>KOBE TP TEMPE KRIUK 70G</t>
  </si>
  <si>
    <t>8995899104187</t>
  </si>
  <si>
    <t>KOBE TPG BAKWAN KRESS 70GR</t>
  </si>
  <si>
    <t>10411084</t>
  </si>
  <si>
    <t>KOCOKAN K WH7</t>
  </si>
  <si>
    <t>10423008</t>
  </si>
  <si>
    <t>KOCOKAN POL 22CM WH9</t>
  </si>
  <si>
    <t>10423589</t>
  </si>
  <si>
    <t>KOCOKAN POL 25 CM WH9</t>
  </si>
  <si>
    <t>10423590</t>
  </si>
  <si>
    <t>KOCOKAN POL 27 CM WH9</t>
  </si>
  <si>
    <t>10423591</t>
  </si>
  <si>
    <t>KOCOKAN POL 29 CM WH9</t>
  </si>
  <si>
    <t>10411083</t>
  </si>
  <si>
    <t>KOCOKAN TG WH6</t>
  </si>
  <si>
    <t>8992984210013</t>
  </si>
  <si>
    <t>KOEPOE ANGGANA RAMADHAN SELECTION</t>
  </si>
  <si>
    <t>KOEPOE BAKING POWDER 45GR</t>
  </si>
  <si>
    <t>8992984820441</t>
  </si>
  <si>
    <t>KOEPOE BAKING PWD 136GR</t>
  </si>
  <si>
    <t>8992984812217</t>
  </si>
  <si>
    <t>KOEPOE BASIL 13GR</t>
  </si>
  <si>
    <t>8992984812224</t>
  </si>
  <si>
    <t>KOEPOE BASIL 31GR</t>
  </si>
  <si>
    <t>8992984820113</t>
  </si>
  <si>
    <t>KOEPOE BIJI SELASIH 50GR</t>
  </si>
  <si>
    <t>8992984810510</t>
  </si>
  <si>
    <t>KOEPOE BUMBU GULAI 22G</t>
  </si>
  <si>
    <t>8992984820915</t>
  </si>
  <si>
    <t>KOEPOE BUMBU SPEKUK 25GR</t>
  </si>
  <si>
    <t>8992984810411</t>
  </si>
  <si>
    <t>KOEPOE BWG PUTIH BUBUK 130GR</t>
  </si>
  <si>
    <t>8992984810428</t>
  </si>
  <si>
    <t>KOEPOE BWG PUTIH BUBUK 64GR</t>
  </si>
  <si>
    <t>8992984810732</t>
  </si>
  <si>
    <t>KOEPOE CABE BUBUK 1KG</t>
  </si>
  <si>
    <t>8992984810718</t>
  </si>
  <si>
    <t>KOEPOE CABE BUBUK 23GR</t>
  </si>
  <si>
    <t>8992984810817</t>
  </si>
  <si>
    <t>KOEPOE CENGKEH BBK 34 GR</t>
  </si>
  <si>
    <t>10411830</t>
  </si>
  <si>
    <t>KOEPOE CHILI FLAKE 500GR</t>
  </si>
  <si>
    <t>8992984820212</t>
  </si>
  <si>
    <t>KOEPOE CITROEN ZUUR 65GR</t>
  </si>
  <si>
    <t>8992984821011</t>
  </si>
  <si>
    <t>KOEPOE CMC 43GR</t>
  </si>
  <si>
    <t>8992984820618</t>
  </si>
  <si>
    <t>KOEPOE CREAM TARTAR 43ML</t>
  </si>
  <si>
    <t>8992984820816</t>
  </si>
  <si>
    <t>KOEPOE GIST KORELS 65GR</t>
  </si>
  <si>
    <t>8992984811111</t>
  </si>
  <si>
    <t>KOEPOE JAHE BUBUK 25G</t>
  </si>
  <si>
    <t>8992984811418</t>
  </si>
  <si>
    <t>KOEPOE KAYU MANIS BUBUK 35GR</t>
  </si>
  <si>
    <t>8992984811517</t>
  </si>
  <si>
    <t>KOEPOE KEMBANG PALA BUBUK 25GR</t>
  </si>
  <si>
    <t>8992984811319</t>
  </si>
  <si>
    <t>KOEPOE KETUMBAR BUBUK 25GR</t>
  </si>
  <si>
    <t>8992984811616</t>
  </si>
  <si>
    <t>KOEPOE KUNYIT 25G</t>
  </si>
  <si>
    <t>8992984810213</t>
  </si>
  <si>
    <t>KOEPOE LADA HITAM 83G</t>
  </si>
  <si>
    <t>8992984810138</t>
  </si>
  <si>
    <t>KOEPOE LADA PUTIH 38GR</t>
  </si>
  <si>
    <t>8992984810114</t>
  </si>
  <si>
    <t>KOEPOE LADA PUTIH 85GR</t>
  </si>
  <si>
    <t>8992984810312</t>
  </si>
  <si>
    <t>KOEPOE LENGKUAS BUBUK 22gr</t>
  </si>
  <si>
    <t>8992984820311</t>
  </si>
  <si>
    <t>KOEPOE NATRIUM BENZOAT 33GR</t>
  </si>
  <si>
    <t>8992984820335</t>
  </si>
  <si>
    <t>KOEPOE NATRIUM BENZOATE 1KG</t>
  </si>
  <si>
    <t>8992984810916</t>
  </si>
  <si>
    <t>KOEPOE NGO HIANG BUBUK 23GR</t>
  </si>
  <si>
    <t>8992984817816</t>
  </si>
  <si>
    <t>KOEPOE OREGANO 14GR</t>
  </si>
  <si>
    <t>8992984821110</t>
  </si>
  <si>
    <t>KOEPOE OVALET 30GR</t>
  </si>
  <si>
    <t>8992984821127</t>
  </si>
  <si>
    <t>KOEPOE OVALET 75GR</t>
  </si>
  <si>
    <t>8992984811012</t>
  </si>
  <si>
    <t>KOEPOE PALA BUBUK 37G</t>
  </si>
  <si>
    <t>10412057</t>
  </si>
  <si>
    <t>KOEPOE PAPRIKA POWDER 500GR</t>
  </si>
  <si>
    <t>8992984812316</t>
  </si>
  <si>
    <t>KOEPOE PARSLEY 9GR</t>
  </si>
  <si>
    <t>8992984812323</t>
  </si>
  <si>
    <t>KOEPOE PARSLEY 19GR</t>
  </si>
  <si>
    <t>8992984830426</t>
  </si>
  <si>
    <t>KOEPOE PASTA COKLAT 60ML</t>
  </si>
  <si>
    <t>8992984830723</t>
  </si>
  <si>
    <t>KOEPOE PASTA DURIAN 60ML</t>
  </si>
  <si>
    <t>8992984833328</t>
  </si>
  <si>
    <t>KOEPOE PASTA LECI 60ML</t>
  </si>
  <si>
    <t>8992984833229</t>
  </si>
  <si>
    <t>KOEPOE PASTA MELON 60ML</t>
  </si>
  <si>
    <t>8992984832826</t>
  </si>
  <si>
    <t>KOEPOE PASTA TALAS 60ML</t>
  </si>
  <si>
    <t>8992984821547</t>
  </si>
  <si>
    <t>KOEPOE PEMUTIH 1KG</t>
  </si>
  <si>
    <t>KOEPOE PEMUTIH 50GR</t>
  </si>
  <si>
    <t>8992984832116</t>
  </si>
  <si>
    <t>KOEPOE PERISA PSTA ANGGUR 25ML</t>
  </si>
  <si>
    <t>8992984832017</t>
  </si>
  <si>
    <t>KOEPOE PERISA PSTA CERI 25ML</t>
  </si>
  <si>
    <t>8992984830518</t>
  </si>
  <si>
    <t>KOEPOE PERISA PSTA COCO PANDAN 25ML</t>
  </si>
  <si>
    <t>8992984830624</t>
  </si>
  <si>
    <t>KOEPOE PERISA PSTA COFFE MOCA 60ML</t>
  </si>
  <si>
    <t>8992984830419</t>
  </si>
  <si>
    <t>KOEPOE PERISA PSTA COKELAT 25ML</t>
  </si>
  <si>
    <t>8992984833113</t>
  </si>
  <si>
    <t>KOEPOE PERISA PSTA DOGER 25ML</t>
  </si>
  <si>
    <t>8992984830716</t>
  </si>
  <si>
    <t>KOEPOE PERISA PSTA DURIAN 25ML</t>
  </si>
  <si>
    <t>8992984833120</t>
  </si>
  <si>
    <t>KOEPOE PERISA PSTA ES DOGER 60ML</t>
  </si>
  <si>
    <t>8992984830815</t>
  </si>
  <si>
    <t>KOEPOE PERISA PSTA FRAMBOZEN 25ML</t>
  </si>
  <si>
    <t>8992984830822</t>
  </si>
  <si>
    <t>KOEPOE PERISA PSTA FRAMBOZEN 60ML</t>
  </si>
  <si>
    <t>8992984830617</t>
  </si>
  <si>
    <t>KOEPOE PERISA PSTA KOPI MOKA 25ML</t>
  </si>
  <si>
    <t>8992984833311</t>
  </si>
  <si>
    <t>KOEPOE PERISA PSTA LECI 25ML</t>
  </si>
  <si>
    <t>8992984832314</t>
  </si>
  <si>
    <t>KOEPOE PERISA PSTA LEMON 25ML</t>
  </si>
  <si>
    <t>8992984832321</t>
  </si>
  <si>
    <t>KOEPOE PERISA PSTA LEMON 60ML</t>
  </si>
  <si>
    <t>8992984833212</t>
  </si>
  <si>
    <t>KOEPOE PERISA PSTA MELON 25ML</t>
  </si>
  <si>
    <t>8992984831218</t>
  </si>
  <si>
    <t>KOEPOE PERISA PSTA MOKA 25ML</t>
  </si>
  <si>
    <t>8992984831225</t>
  </si>
  <si>
    <t>KOEPOE PERISA PSTA MOKA 60ML</t>
  </si>
  <si>
    <t>8992984831713</t>
  </si>
  <si>
    <t>KOEPOE PERISA PSTA PANDAN 25ML</t>
  </si>
  <si>
    <t>8992984831720</t>
  </si>
  <si>
    <t>KOEPOE PERISA PSTA PANDAN 60ML</t>
  </si>
  <si>
    <t>8992984831515</t>
  </si>
  <si>
    <t>KOEPOE PERISA PSTA PISANG AMBON 25ML</t>
  </si>
  <si>
    <t>8992984831522</t>
  </si>
  <si>
    <t>KOEPOE PERISA PSTA PISANG AMBON 60ML</t>
  </si>
  <si>
    <t>8992984831911</t>
  </si>
  <si>
    <t>KOEPOE PERISA PSTA STROBERI 25ML</t>
  </si>
  <si>
    <t>8992984832819</t>
  </si>
  <si>
    <t>KOEPOE PERISA PSTA TALAS 25ML</t>
  </si>
  <si>
    <t>KOEPOE PERISA VANILLA 20GR</t>
  </si>
  <si>
    <t>8992984821790</t>
  </si>
  <si>
    <t>KOEPOE PERISA VANILLA 2GR(BOX)</t>
  </si>
  <si>
    <t>8992984821714</t>
  </si>
  <si>
    <t>KOEPOE PERISA VANILLA 2GR(SASET)</t>
  </si>
  <si>
    <t>8992984852145</t>
  </si>
  <si>
    <t>KOEPOE PEWARNA BBK HIJAU 8GR</t>
  </si>
  <si>
    <t>8992984852244</t>
  </si>
  <si>
    <t>KOEPOE PEWARNA BBK KUNING 8GR</t>
  </si>
  <si>
    <t>8992984852343</t>
  </si>
  <si>
    <t>KOEPOE PEWARNA BBK MERAH 8GR</t>
  </si>
  <si>
    <t>8992984851216</t>
  </si>
  <si>
    <t>KOEPOE PEWARNA BIRU 30ML</t>
  </si>
  <si>
    <t>8992984853012</t>
  </si>
  <si>
    <t>KOEPOE PEWARNA BIRU OIL BASE 30ML</t>
  </si>
  <si>
    <t>8992984851018</t>
  </si>
  <si>
    <t>KOEPOE PEWARNA CKLAT 30ML</t>
  </si>
  <si>
    <t>8992984853111</t>
  </si>
  <si>
    <t>KOEPOE PEWARNA COKLAT OIL BASE 30ML</t>
  </si>
  <si>
    <t>8992984851117</t>
  </si>
  <si>
    <t>KOEPOE PEWARNA COKLAT TUA 30ML</t>
  </si>
  <si>
    <t>8992984853210</t>
  </si>
  <si>
    <t>KOEPOE PEWARNA HIJAU OIL BASE 30ML</t>
  </si>
  <si>
    <t>KOEPOE PEWARNA HIJAU TUA 30ML</t>
  </si>
  <si>
    <t>8992984851315</t>
  </si>
  <si>
    <t>KOEPOE PEWARNA HITAM 30ML</t>
  </si>
  <si>
    <t>8992984853319</t>
  </si>
  <si>
    <t>KOEPOE PEWARNA HITAM OIL BASE 30ML</t>
  </si>
  <si>
    <t>8992984850714</t>
  </si>
  <si>
    <t>KOEPOE PEWARNA HJU MUDA 30ML</t>
  </si>
  <si>
    <t>8992984850516</t>
  </si>
  <si>
    <t>KOEPOE PEWARNA KNG MUDA 30ML</t>
  </si>
  <si>
    <t>8992984850417</t>
  </si>
  <si>
    <t>KOEPOE PEWARNA KNG TUA 30ML</t>
  </si>
  <si>
    <t>8992984853418</t>
  </si>
  <si>
    <t>KOEPOE PEWARNA KUNING OIL BASE 30ML</t>
  </si>
  <si>
    <t>8992984851414</t>
  </si>
  <si>
    <t>KOEPOE PEWARNA KUNING TELUR 30ML</t>
  </si>
  <si>
    <t>8992984850219</t>
  </si>
  <si>
    <t>KOEPOE PEWARNA MERAH CABE 30ML</t>
  </si>
  <si>
    <t>8992984853517</t>
  </si>
  <si>
    <t>KOEPOE PEWARNA MERAH OIL BASE 30ML</t>
  </si>
  <si>
    <t>8992984850318</t>
  </si>
  <si>
    <t>KOEPOE PEWARNA MRH ROSE 30ML</t>
  </si>
  <si>
    <t>8992984850110</t>
  </si>
  <si>
    <t>KOEPOE PEWARNA MRH TUA 30ML</t>
  </si>
  <si>
    <t>8992984850813</t>
  </si>
  <si>
    <t>KOEPOE PEWARNA ORANYE 30ML</t>
  </si>
  <si>
    <t>8992984853616</t>
  </si>
  <si>
    <t>KOEPOE PEWARNA ORANYE OIL BASE 30ML</t>
  </si>
  <si>
    <t>8992984850912</t>
  </si>
  <si>
    <t>KOEPOE PEWARNA UNGU 30ML</t>
  </si>
  <si>
    <t>8992984853715</t>
  </si>
  <si>
    <t>KOEPOE PEWARNA UNGU OIL BASE 30ML</t>
  </si>
  <si>
    <t>8992984812415</t>
  </si>
  <si>
    <t>KOEPOE ROSEMARY 23GR</t>
  </si>
  <si>
    <t>8992984812422</t>
  </si>
  <si>
    <t>KOEPOE ROSEMARY 53GR</t>
  </si>
  <si>
    <t>8992984811814</t>
  </si>
  <si>
    <t>KOEPOE SENDAWA 74GR</t>
  </si>
  <si>
    <t>KOEPOE SODA KUE 81GR</t>
  </si>
  <si>
    <t>KOEPOE SP 30GR</t>
  </si>
  <si>
    <t>KOEPOE SP 70GR</t>
  </si>
  <si>
    <t>8992984821219</t>
  </si>
  <si>
    <t>KOEPOE TBM 35GR</t>
  </si>
  <si>
    <t>8992984821226</t>
  </si>
  <si>
    <t>KOEPOE TBM 80GR</t>
  </si>
  <si>
    <t>KOEPOE VANILLA 25ML</t>
  </si>
  <si>
    <t>8992984821424</t>
  </si>
  <si>
    <t>KOEPOE VX PENGEMBANG 45ML</t>
  </si>
  <si>
    <t>8992984880124</t>
  </si>
  <si>
    <t>KOEPOE WIJEN PANGGANG 90GR</t>
  </si>
  <si>
    <t>8991071750142</t>
  </si>
  <si>
    <t>KOKEN KALDU JAMUR 200GR</t>
  </si>
  <si>
    <t>8991071750166</t>
  </si>
  <si>
    <t>KOKEN KALDU JAMUR 40GR</t>
  </si>
  <si>
    <t>8991071750135</t>
  </si>
  <si>
    <t>KOKEN KALDU JAMUR 80GR</t>
  </si>
  <si>
    <t>4800361346429</t>
  </si>
  <si>
    <t>KOKO KRUNCH DUO 170GR</t>
  </si>
  <si>
    <t>1GWGM</t>
  </si>
  <si>
    <t>KOMODO GARPU GLOWSY 6S</t>
  </si>
  <si>
    <t>8997235700046</t>
  </si>
  <si>
    <t>KONYAKU BLOCK 500GR</t>
  </si>
  <si>
    <t>10410374</t>
  </si>
  <si>
    <t>KOPI RUMMI ARABIKA GUNUNG OMEH 100GR</t>
  </si>
  <si>
    <t>10412179</t>
  </si>
  <si>
    <t>KOPI RUMMI ROBUSTA KERINTJI 100GR</t>
  </si>
  <si>
    <t>10412119</t>
  </si>
  <si>
    <t>KOPI RUMMI ROBUSTA SIDIKALANG 100GR</t>
  </si>
  <si>
    <t>10412118</t>
  </si>
  <si>
    <t>KOPI RUMMI ROBUSTA SIDIKALANG 1KG</t>
  </si>
  <si>
    <t>10425794</t>
  </si>
  <si>
    <t>KOREAN BUCKET HANDLE 300ML 20S</t>
  </si>
  <si>
    <t>10425793</t>
  </si>
  <si>
    <t>KOREAN BUCKET HANDLE 500ML 10S</t>
  </si>
  <si>
    <t>9555788800133</t>
  </si>
  <si>
    <t>KUALI BURGER PLATE 11X15INC</t>
  </si>
  <si>
    <t>9555788800140</t>
  </si>
  <si>
    <t>KUALI BURGER PLATE 12X16INC</t>
  </si>
  <si>
    <t>9555788800218</t>
  </si>
  <si>
    <t>KUALI BURGER PLATE 14X18INC</t>
  </si>
  <si>
    <t>9555788800225</t>
  </si>
  <si>
    <t>KUALI BURGER PLATE 15X20INC</t>
  </si>
  <si>
    <t>9555788800010</t>
  </si>
  <si>
    <t>KUALI ROTI PLATE 12INC</t>
  </si>
  <si>
    <t>9555788800362</t>
  </si>
  <si>
    <t>KUALI ROTI PLATE 12INC 1.2MM</t>
  </si>
  <si>
    <t>9555788800119</t>
  </si>
  <si>
    <t>KUALI ROTI PLATE 12X12INC 1.5MM</t>
  </si>
  <si>
    <t>9555788800027</t>
  </si>
  <si>
    <t>KUALI ROTI PLATE 14INC</t>
  </si>
  <si>
    <t>9555788800379</t>
  </si>
  <si>
    <t>KUALI ROTI PLATE 14INC 1.5MM</t>
  </si>
  <si>
    <t>9555788800126</t>
  </si>
  <si>
    <t>KUALI ROTI PLATE 14X14INC 1.5MM</t>
  </si>
  <si>
    <t>9555788800034</t>
  </si>
  <si>
    <t>KUALI ROTI PLATE 16INC</t>
  </si>
  <si>
    <t>9555788800386</t>
  </si>
  <si>
    <t>KUALI ROTI PLATE 16INC 1.5MM</t>
  </si>
  <si>
    <t>10424238</t>
  </si>
  <si>
    <t>KUAS 22CM KS26</t>
  </si>
  <si>
    <t>10423559</t>
  </si>
  <si>
    <t>KUAS 25 CM KS9</t>
  </si>
  <si>
    <t>10423558</t>
  </si>
  <si>
    <t>KUAS B 5 CM KS14</t>
  </si>
  <si>
    <t>6972618318812</t>
  </si>
  <si>
    <t>KUAS BULU DOMBA KECIL KBD0001 LISSE</t>
  </si>
  <si>
    <t>10427181</t>
  </si>
  <si>
    <t>KUAS BULU DOMBA S2 KBD0004</t>
  </si>
  <si>
    <t>10426545</t>
  </si>
  <si>
    <t>KUAS BULU DOMBA S3 KBD0005</t>
  </si>
  <si>
    <t>10427180</t>
  </si>
  <si>
    <t>KUAS BULU DOMBA S4 KBD0006</t>
  </si>
  <si>
    <t>10426546</t>
  </si>
  <si>
    <t>KUAS BULU DOMBA S5 KBD0007</t>
  </si>
  <si>
    <t>6972618318829</t>
  </si>
  <si>
    <t>KUAS BULU DOMBA SDG KBD0002 LISSE</t>
  </si>
  <si>
    <t>10423606</t>
  </si>
  <si>
    <t>KUAS FULL SILICONE LARGE</t>
  </si>
  <si>
    <t>10423605</t>
  </si>
  <si>
    <t>KUAS FULL SILICONE SMALL</t>
  </si>
  <si>
    <t>10423776</t>
  </si>
  <si>
    <t>KUAS JMB STAIN SPT0021 LISSE</t>
  </si>
  <si>
    <t>10423557</t>
  </si>
  <si>
    <t>KUAS K 3 CM KS15</t>
  </si>
  <si>
    <t>10423720</t>
  </si>
  <si>
    <t>KUAS KAYU NO 5 KS18</t>
  </si>
  <si>
    <t>10424605</t>
  </si>
  <si>
    <t>KUAS KAYU NO 8 4.8X15CM KS17</t>
  </si>
  <si>
    <t>10422888</t>
  </si>
  <si>
    <t>KUAS KAYU NO1 KS22</t>
  </si>
  <si>
    <t>10422887</t>
  </si>
  <si>
    <t>KUAS KAYU NO2 KS21</t>
  </si>
  <si>
    <t>10422886</t>
  </si>
  <si>
    <t>KUAS KAYU NO3 KS20</t>
  </si>
  <si>
    <t>10423534</t>
  </si>
  <si>
    <t>KUAS KAYU NO4 KS19</t>
  </si>
  <si>
    <t>10425518</t>
  </si>
  <si>
    <t>KUAS KUE 1 INC</t>
  </si>
  <si>
    <t>10425517</t>
  </si>
  <si>
    <t>KUAS KUE 1,5 INC</t>
  </si>
  <si>
    <t>10422983</t>
  </si>
  <si>
    <t>KUAS KUE KAYU PANJANG HIPPO</t>
  </si>
  <si>
    <t>10422982</t>
  </si>
  <si>
    <t>KUAS KUE KAYU PENDEK HIPPO</t>
  </si>
  <si>
    <t>10423143</t>
  </si>
  <si>
    <t>KUAS KUE KAYU SEDANG HIPPO</t>
  </si>
  <si>
    <t>10423556</t>
  </si>
  <si>
    <t>KUAS NASTAR B 2 CM KS11</t>
  </si>
  <si>
    <t>10427520</t>
  </si>
  <si>
    <t>KUAS NASTAR OLESO FOODGRADE</t>
  </si>
  <si>
    <t>10422884</t>
  </si>
  <si>
    <t>KUAS NASTAR S2 1S KS12</t>
  </si>
  <si>
    <t>10422885</t>
  </si>
  <si>
    <t>KUAS NASTAR S4 1S KS13</t>
  </si>
  <si>
    <t>6925464642235</t>
  </si>
  <si>
    <t>KUAS SET3 KS4</t>
  </si>
  <si>
    <t>10426608</t>
  </si>
  <si>
    <t>KUAS SILICON JUMBO 21X9CM</t>
  </si>
  <si>
    <t>8002460038861</t>
  </si>
  <si>
    <t>KUAS SILICONE +SOLET KCL 1613-12K</t>
  </si>
  <si>
    <t>10423156</t>
  </si>
  <si>
    <t>KUAS SILICONE 17CM KS3</t>
  </si>
  <si>
    <t>6848949861245</t>
  </si>
  <si>
    <t>KUAS SILICONE B 20CM KS1</t>
  </si>
  <si>
    <t>10422392</t>
  </si>
  <si>
    <t>KUAS SILICONE GAGANG BESI KS16</t>
  </si>
  <si>
    <t>10423628</t>
  </si>
  <si>
    <t>KUAS SILICONE GG KAYU 27CM</t>
  </si>
  <si>
    <t>10423154</t>
  </si>
  <si>
    <t>KUAS SILICONE ISI2 W016</t>
  </si>
  <si>
    <t>10423157</t>
  </si>
  <si>
    <t>KUAS SILICONE KCL ISI 2 W016</t>
  </si>
  <si>
    <t>10423604</t>
  </si>
  <si>
    <t>KUAS SILICONE RAINBOW LARGE</t>
  </si>
  <si>
    <t>10423603</t>
  </si>
  <si>
    <t>KUAS SILICONE RAINBOW SMALL</t>
  </si>
  <si>
    <t>10425366</t>
  </si>
  <si>
    <t>KUAS SILICONE YH635</t>
  </si>
  <si>
    <t>10425367</t>
  </si>
  <si>
    <t>KUAS SILICONE YH636</t>
  </si>
  <si>
    <t>6969584762312</t>
  </si>
  <si>
    <t>KUAS SILICONE&amp;SOLET 16120-9</t>
  </si>
  <si>
    <t>6916132156215</t>
  </si>
  <si>
    <t>KUAS SILICONE&amp;SOLET 1613-12</t>
  </si>
  <si>
    <t>10423549</t>
  </si>
  <si>
    <t>KUAS SILIKON 23,5 CM KS10</t>
  </si>
  <si>
    <t>10425039</t>
  </si>
  <si>
    <t>KUAS SOLET SIL BOLAK BALIK KSS1</t>
  </si>
  <si>
    <t>6965202302014</t>
  </si>
  <si>
    <t>KUAS+PASTRY BAG+ SPUIT SET 9 AB056</t>
  </si>
  <si>
    <t>10422789</t>
  </si>
  <si>
    <t>KUDA PONI BARU SET 1</t>
  </si>
  <si>
    <t>10422592</t>
  </si>
  <si>
    <t>KUDA PONI SET4 K98</t>
  </si>
  <si>
    <t>10422146</t>
  </si>
  <si>
    <t>KUKUSAN 35</t>
  </si>
  <si>
    <t>10422145</t>
  </si>
  <si>
    <t>KUKUSAN 40</t>
  </si>
  <si>
    <t>10422144</t>
  </si>
  <si>
    <t>KUKUSAN 45</t>
  </si>
  <si>
    <t>10422926</t>
  </si>
  <si>
    <t>KUKUSAN 50</t>
  </si>
  <si>
    <t>10422925</t>
  </si>
  <si>
    <t>KUKUSAN 55</t>
  </si>
  <si>
    <t>10422688</t>
  </si>
  <si>
    <t>KUKUSAN BULAT 35X35</t>
  </si>
  <si>
    <t>10422748</t>
  </si>
  <si>
    <t>KUKUSAN BULAT 45X45</t>
  </si>
  <si>
    <t>10422685</t>
  </si>
  <si>
    <t>KUKUSAN SUSUN 2 35X35</t>
  </si>
  <si>
    <t>10422686</t>
  </si>
  <si>
    <t>KUKUSAN SUSUN 2 40X40</t>
  </si>
  <si>
    <t>10422736</t>
  </si>
  <si>
    <t>KUKUSAN SUSUN 2 45X45</t>
  </si>
  <si>
    <t>8997237360255</t>
  </si>
  <si>
    <t>KULEK FOODS GULA SEMUT 250GR</t>
  </si>
  <si>
    <t>8992759218046</t>
  </si>
  <si>
    <t>KULINER 10 ROLL JOLLY</t>
  </si>
  <si>
    <t>10200311</t>
  </si>
  <si>
    <t>KULINER 240S JOLLY</t>
  </si>
  <si>
    <t>10426729</t>
  </si>
  <si>
    <t>KULINER FACIAL CORE LUNAK 10ROL 2PLY JOLLY</t>
  </si>
  <si>
    <t>10100397</t>
  </si>
  <si>
    <t>KULIT MANIS BLT 100GR</t>
  </si>
  <si>
    <t>10100149</t>
  </si>
  <si>
    <t>KULIT MANIS BLT 1KG</t>
  </si>
  <si>
    <t>10100392</t>
  </si>
  <si>
    <t>KULIT MANIS BLT 250GR</t>
  </si>
  <si>
    <t>10100181</t>
  </si>
  <si>
    <t>KULIT MANIS BLT 50GR ,</t>
  </si>
  <si>
    <t>10100396</t>
  </si>
  <si>
    <t>KULIT MANIS GL 100gr</t>
  </si>
  <si>
    <t>10100393</t>
  </si>
  <si>
    <t>KULIT MANIS GL 50 GR</t>
  </si>
  <si>
    <t>10424348</t>
  </si>
  <si>
    <t>KULIT MANIS GLG 250GR</t>
  </si>
  <si>
    <t>1100026</t>
  </si>
  <si>
    <t>KULIT MANIS SUPER 10S</t>
  </si>
  <si>
    <t>1100024</t>
  </si>
  <si>
    <t>KULIT MANIS SUPER 5S</t>
  </si>
  <si>
    <t>10300081</t>
  </si>
  <si>
    <t>KUMIS KUCING 1KG</t>
  </si>
  <si>
    <t>10300018</t>
  </si>
  <si>
    <t>KUMIS KUCING 50GR</t>
  </si>
  <si>
    <t>9557821122509</t>
  </si>
  <si>
    <t>KUNDUR SUGAR 250gr</t>
  </si>
  <si>
    <t>10427257</t>
  </si>
  <si>
    <t>KUPU GRADASI KPT3R</t>
  </si>
  <si>
    <t>10425477</t>
  </si>
  <si>
    <t>KUPU HIJAU KPT14D</t>
  </si>
  <si>
    <t>10425473</t>
  </si>
  <si>
    <t>KUPU PINK KPT14H</t>
  </si>
  <si>
    <t>10425648</t>
  </si>
  <si>
    <t>KUPU PINK KPT3H</t>
  </si>
  <si>
    <t>10425480</t>
  </si>
  <si>
    <t>KUPU PINK KPT9H</t>
  </si>
  <si>
    <t>10425471</t>
  </si>
  <si>
    <t>KUPU PUTIH MOTIF KPT14K</t>
  </si>
  <si>
    <t>10425440</t>
  </si>
  <si>
    <t>KUPU UNGU KCL KPT14E</t>
  </si>
  <si>
    <t>10425472</t>
  </si>
  <si>
    <t>KUPU UNGU KPT13-E1</t>
  </si>
  <si>
    <t>10425475</t>
  </si>
  <si>
    <t>KUPU UNGU MUDA KPT3E</t>
  </si>
  <si>
    <t>10425478</t>
  </si>
  <si>
    <t>KUPU UNGU TUA GLITER KPT13-E3</t>
  </si>
  <si>
    <t>10425438</t>
  </si>
  <si>
    <t>KUPU-KUPU BIRU KPT9G</t>
  </si>
  <si>
    <t>10425437</t>
  </si>
  <si>
    <t>KUPU-KUPU KUNING KPT9A</t>
  </si>
  <si>
    <t>10426712</t>
  </si>
  <si>
    <t>KUPU-KUPU ORANGE KPT9F</t>
  </si>
  <si>
    <t>10426713</t>
  </si>
  <si>
    <t>KUPU-KUPU PINK KPT3P</t>
  </si>
  <si>
    <t>10426714</t>
  </si>
  <si>
    <t>KUPU-KUPU RAINBOW KPT9C</t>
  </si>
  <si>
    <t>10426569</t>
  </si>
  <si>
    <t>KUPU-KUPU RAINBOW SET12 KPT8C</t>
  </si>
  <si>
    <t>10425439</t>
  </si>
  <si>
    <t>KUPU-KUPU UNGU KPT9E</t>
  </si>
  <si>
    <t>10200352</t>
  </si>
  <si>
    <t>KURMA AJWA AJWAD 1KG</t>
  </si>
  <si>
    <t>10200353</t>
  </si>
  <si>
    <t>KURMA AJWA AJWAD 500GR</t>
  </si>
  <si>
    <t>10200358</t>
  </si>
  <si>
    <t>KURMA AL SAAD KHALAS 500GR</t>
  </si>
  <si>
    <t>6134151000030</t>
  </si>
  <si>
    <t>KURMA AL SHIFA TANGKAI 500GR</t>
  </si>
  <si>
    <t>10200417</t>
  </si>
  <si>
    <t>KURMA ALMADINAH AJWA 500GR</t>
  </si>
  <si>
    <t>6291100212866</t>
  </si>
  <si>
    <t>KURMA DATE CROWN KHALAS 1KG</t>
  </si>
  <si>
    <t>6291100191031</t>
  </si>
  <si>
    <t>6291100212514</t>
  </si>
  <si>
    <t>KURMA DATE CROWN PREMIUM 500GR</t>
  </si>
  <si>
    <t>KURMA GOLDEN VALEY 10KG</t>
  </si>
  <si>
    <t>10200205</t>
  </si>
  <si>
    <t>KURMA GOLDEN VALEY 500GR</t>
  </si>
  <si>
    <t>10200419</t>
  </si>
  <si>
    <t>KURMA NABAWI AJWA 500GR</t>
  </si>
  <si>
    <t>6194008610010</t>
  </si>
  <si>
    <t>KURMA PALM FRUTT 500GR</t>
  </si>
  <si>
    <t>10426581</t>
  </si>
  <si>
    <t>KUROMI 1S LL-0016</t>
  </si>
  <si>
    <t>10426977</t>
  </si>
  <si>
    <t>KUROMI TATAAN LAMPU HTM CI9-2</t>
  </si>
  <si>
    <t>10426975</t>
  </si>
  <si>
    <t>KUROMI TATAAN LAMPU UNGU CI9-3</t>
  </si>
  <si>
    <t>8997033630217</t>
  </si>
  <si>
    <t>LADA HITAM BUBUK 10GR</t>
  </si>
  <si>
    <t>10410578</t>
  </si>
  <si>
    <t>LADAME EXTRACT 100ML</t>
  </si>
  <si>
    <t>10411096</t>
  </si>
  <si>
    <t>LADAME EXTRACT 25ML</t>
  </si>
  <si>
    <t>10411095</t>
  </si>
  <si>
    <t>LADAME EXTRACT 50ML</t>
  </si>
  <si>
    <t>10410617</t>
  </si>
  <si>
    <t>LADAME PASTA 100ML</t>
  </si>
  <si>
    <t>10410570</t>
  </si>
  <si>
    <t>LADAME PASTA 25 ML</t>
  </si>
  <si>
    <t>10411106</t>
  </si>
  <si>
    <t>LADAME PASTA 50ML</t>
  </si>
  <si>
    <t>10410989</t>
  </si>
  <si>
    <t>LADAME VANILA BEAN 15GR</t>
  </si>
  <si>
    <t>8997204770094</t>
  </si>
  <si>
    <t>LADANG LIMA BLACKMOND 180GR</t>
  </si>
  <si>
    <t>8997204770360</t>
  </si>
  <si>
    <t>LADANG LIMA BLACKTHINS 100GR</t>
  </si>
  <si>
    <t>8997204770452</t>
  </si>
  <si>
    <t>LADANG LIMA BLACKTHINS 65GR</t>
  </si>
  <si>
    <t>8997204770391</t>
  </si>
  <si>
    <t>LADANG LIMA CHEESETHINS 80GR</t>
  </si>
  <si>
    <t>8997204770346</t>
  </si>
  <si>
    <t>LADANG LIMA MAC &amp; CHEESE 115GR</t>
  </si>
  <si>
    <t>8997204770100</t>
  </si>
  <si>
    <t>LADANG LIMA PANCAKE MIX 220GR</t>
  </si>
  <si>
    <t>8997204770407</t>
  </si>
  <si>
    <t>LADANG LIMA TEPUNG BAKWAN 200GR</t>
  </si>
  <si>
    <t>8997204770223</t>
  </si>
  <si>
    <t>LADANG LIMA TEPUNG BUMBU 150GR</t>
  </si>
  <si>
    <t>8997204770315</t>
  </si>
  <si>
    <t>LADANG LIMA TEPUNG PISANG GORENG 200GR</t>
  </si>
  <si>
    <t>8997217030307</t>
  </si>
  <si>
    <t>LAFANCY BAY LEAVES 8GR</t>
  </si>
  <si>
    <t>8997217030734</t>
  </si>
  <si>
    <t>LAFANCY CURRY POWDER 65GR</t>
  </si>
  <si>
    <t>8997217031533</t>
  </si>
  <si>
    <t>LAFANCY FLAKES CHILI 50GR</t>
  </si>
  <si>
    <t>8997217031328</t>
  </si>
  <si>
    <t>LAFANCY GARLIC POWDER 65GR</t>
  </si>
  <si>
    <t>8997217031823</t>
  </si>
  <si>
    <t>LAFANCY OREGANO 15GR</t>
  </si>
  <si>
    <t>8997217030253</t>
  </si>
  <si>
    <t>LAFANCY PAPRIKA POWDER 47GR</t>
  </si>
  <si>
    <t>8997217030222</t>
  </si>
  <si>
    <t>LAFANCY PARSLEY 20GR</t>
  </si>
  <si>
    <t>8997217030246</t>
  </si>
  <si>
    <t>LAFANCY POWDER CHILI 48GR</t>
  </si>
  <si>
    <t>8997217031779</t>
  </si>
  <si>
    <t>LAFANCY ROSEMARY 26GR</t>
  </si>
  <si>
    <t>8997217030192</t>
  </si>
  <si>
    <t>LAFANCY ROSEMARY 30GR</t>
  </si>
  <si>
    <t>8997217030659</t>
  </si>
  <si>
    <t>LAFANCY SAGE 24GR</t>
  </si>
  <si>
    <t>8888900700051</t>
  </si>
  <si>
    <t>LAFONTE CARBONARA 315GR</t>
  </si>
  <si>
    <t>8888900502068</t>
  </si>
  <si>
    <t>LAFONTE CHIFFERI RIGATI 500GR</t>
  </si>
  <si>
    <t>8888900502075</t>
  </si>
  <si>
    <t>LAFONTE COCCIOLINI 500GR</t>
  </si>
  <si>
    <t>8888900515044</t>
  </si>
  <si>
    <t>LAFONTE ELBOW 225GR</t>
  </si>
  <si>
    <t>8888900415030</t>
  </si>
  <si>
    <t>LAFONTE FETTUCINE 225GR</t>
  </si>
  <si>
    <t>8888900502020</t>
  </si>
  <si>
    <t>LAFONTE FUSILLI 450GR</t>
  </si>
  <si>
    <t>8888900543009</t>
  </si>
  <si>
    <t>LAFONTE LASAGNA 230GR</t>
  </si>
  <si>
    <t>8888900543016</t>
  </si>
  <si>
    <t>LAFONTE LASAGNA 450GR</t>
  </si>
  <si>
    <t>8888900415061</t>
  </si>
  <si>
    <t>LAFONTE LONG MACARONI 225GR</t>
  </si>
  <si>
    <t>8888900631911</t>
  </si>
  <si>
    <t>LAFONTE MACARONI SAUS BOLOGNESE 117GR</t>
  </si>
  <si>
    <t>8888900515013</t>
  </si>
  <si>
    <t>LAFONTE MAKARONI 225GR</t>
  </si>
  <si>
    <t>089686190014</t>
  </si>
  <si>
    <t>LAFONTE MAKARONI KEJU 63GR</t>
  </si>
  <si>
    <t>8888900500910</t>
  </si>
  <si>
    <t>LAFONTE PZ RIGATE 450GR</t>
  </si>
  <si>
    <t>8888900610114</t>
  </si>
  <si>
    <t>LAFONTE SPAGHETI SAUS AYAM 117GR</t>
  </si>
  <si>
    <t>8888900600115</t>
  </si>
  <si>
    <t>LAFONTE SPAGHETI SAUS BOLGNESE 117GR</t>
  </si>
  <si>
    <t>8888900415009</t>
  </si>
  <si>
    <t>LAFONTE SPAGHETTI 225GR</t>
  </si>
  <si>
    <t>8888900515020</t>
  </si>
  <si>
    <t>LAFONTE SPIRAL MAKARONI 225GR</t>
  </si>
  <si>
    <t>8992957354478</t>
  </si>
  <si>
    <t>LAGIE DIANA COMP CKLT 250GR</t>
  </si>
  <si>
    <t>10410995</t>
  </si>
  <si>
    <t>LAGIE FEBBY COKLAT 1KG</t>
  </si>
  <si>
    <t>10410994</t>
  </si>
  <si>
    <t>LAGIE FEBBY WWC 1KG</t>
  </si>
  <si>
    <t>8992957361124</t>
  </si>
  <si>
    <t>LAGIE GOLDEN CITY CHOC BALL 50GR</t>
  </si>
  <si>
    <t>10411486</t>
  </si>
  <si>
    <t>LAGIE GOLDEN CITY MERAH MUDA 1KG</t>
  </si>
  <si>
    <t>10411487</t>
  </si>
  <si>
    <t>LAGIE GOLDEN CITY MINI 1KG</t>
  </si>
  <si>
    <t>8992957220025</t>
  </si>
  <si>
    <t>LAGIE GOLDEN CITY MINI 50GR</t>
  </si>
  <si>
    <t>8992957221367</t>
  </si>
  <si>
    <t>LAGIE GOLDEN CITY MINI 75GR</t>
  </si>
  <si>
    <t>10411107</t>
  </si>
  <si>
    <t>LAGIE GOLDEN KOIN 1KG</t>
  </si>
  <si>
    <t>8992957214307</t>
  </si>
  <si>
    <t>LAGIE MISES SAFARI COKLAT 100GR</t>
  </si>
  <si>
    <t>8992957214314</t>
  </si>
  <si>
    <t>LAGIE MISES SAFARI WR 100GR</t>
  </si>
  <si>
    <t>8992957212518</t>
  </si>
  <si>
    <t>LAGIE MISES SAFARI WR 250GR</t>
  </si>
  <si>
    <t>10410993</t>
  </si>
  <si>
    <t>LAGIE PLANET 1KG</t>
  </si>
  <si>
    <t>10411425</t>
  </si>
  <si>
    <t>LAKREIVA BLACK EXFINE 250GR</t>
  </si>
  <si>
    <t>10411405</t>
  </si>
  <si>
    <t>LAKREIVA BLACK EXFINE 3KG</t>
  </si>
  <si>
    <t>10411444</t>
  </si>
  <si>
    <t>LAKREIVA BLACK FINE 2.5KG</t>
  </si>
  <si>
    <t>10411433</t>
  </si>
  <si>
    <t>LAKREIVA BLACK FINE 250GR</t>
  </si>
  <si>
    <t>10411424</t>
  </si>
  <si>
    <t>LAKREIVA CARMEL EXFINE 250GR</t>
  </si>
  <si>
    <t>10411407</t>
  </si>
  <si>
    <t>LAKREIVA CARMEL EXFINE 3KG</t>
  </si>
  <si>
    <t>10411420</t>
  </si>
  <si>
    <t>LAKREIVA CARMEL FINE 2.5KG</t>
  </si>
  <si>
    <t>10411434</t>
  </si>
  <si>
    <t>LAKREIVA CARMEL FINE 250GR</t>
  </si>
  <si>
    <t>10411426</t>
  </si>
  <si>
    <t>LAKREIVA CHOCO EXFINE 250GR</t>
  </si>
  <si>
    <t>10411417</t>
  </si>
  <si>
    <t>LAKREIVA CHOCO EXFINE 3KG</t>
  </si>
  <si>
    <t>10411435</t>
  </si>
  <si>
    <t>LAKREIVA CHOCO FINE 250GR</t>
  </si>
  <si>
    <t>10411443</t>
  </si>
  <si>
    <t>LAKREIVA CHOCOLATE FINE 2.5KG</t>
  </si>
  <si>
    <t>8992993527614</t>
  </si>
  <si>
    <t>LAKREIVA CRUMBLE BLACK 250GR</t>
  </si>
  <si>
    <t>8992993527591</t>
  </si>
  <si>
    <t>LAKREIVA CRUMBLE CARAMEL 250GR</t>
  </si>
  <si>
    <t>8992993528772</t>
  </si>
  <si>
    <t>LAKREIVA CRUMBLE CHEESE 250GR</t>
  </si>
  <si>
    <t>8992993527577</t>
  </si>
  <si>
    <t>LAKREIVA CRUMBLE CHOCOLATE 250GR</t>
  </si>
  <si>
    <t>8992993528215</t>
  </si>
  <si>
    <t>LAKREIVA CRUMBLE MARIE BISCUIT 250GR</t>
  </si>
  <si>
    <t>8992993527607</t>
  </si>
  <si>
    <t>LAKREIVA CRUMBLE MATCHA 250GR</t>
  </si>
  <si>
    <t>8992993527621</t>
  </si>
  <si>
    <t>LAKREIVA CRUMBLE ORIGINAL 250GR</t>
  </si>
  <si>
    <t>8992993528758</t>
  </si>
  <si>
    <t>LAKREIVA CRUMBLE PINEAPPLE 250GR</t>
  </si>
  <si>
    <t>8992993527584</t>
  </si>
  <si>
    <t>LAKREIVA CRUMBLE RED VELVET 250GR</t>
  </si>
  <si>
    <t>8992993528208</t>
  </si>
  <si>
    <t>LAKREIVA CRUMBLE SPECULAAS 250GR</t>
  </si>
  <si>
    <t>8992993528741</t>
  </si>
  <si>
    <t>LAKREIVA CRUMBLE SUMMER BERRIES 250GR</t>
  </si>
  <si>
    <t>10410375</t>
  </si>
  <si>
    <t>LAKREIVA CRUMBLE UBEE 2,5KG</t>
  </si>
  <si>
    <t>8992993528765</t>
  </si>
  <si>
    <t>LAKREIVA CRUMBLE UBEE 250GR</t>
  </si>
  <si>
    <t>10412398</t>
  </si>
  <si>
    <t>10411422</t>
  </si>
  <si>
    <t>LAKREIVA MATCHA EX.FINE 250GR</t>
  </si>
  <si>
    <t>10411416</t>
  </si>
  <si>
    <t>LAKREIVA MATCHA EXFINE 3KG</t>
  </si>
  <si>
    <t>10411421</t>
  </si>
  <si>
    <t>LAKREIVA MATCHA FINE 2.5KG</t>
  </si>
  <si>
    <t>10411436</t>
  </si>
  <si>
    <t>LAKREIVA MATCHA FINE 250GR</t>
  </si>
  <si>
    <t>10411418</t>
  </si>
  <si>
    <t>LAKREIVA ORI EXFINE 3KG</t>
  </si>
  <si>
    <t>10411437</t>
  </si>
  <si>
    <t>LAKREIVA ORI FINE 250GR</t>
  </si>
  <si>
    <t>10411427</t>
  </si>
  <si>
    <t>LAKREIVA ORIGINAL EXFINE250GR</t>
  </si>
  <si>
    <t>10411445</t>
  </si>
  <si>
    <t>LAKREIVA ORIGINAL FINE 2.5KG</t>
  </si>
  <si>
    <t>10411423</t>
  </si>
  <si>
    <t>LAKREIVA R.VELVET EXFINE 250GR</t>
  </si>
  <si>
    <t>10411406</t>
  </si>
  <si>
    <t>LAKREIVA R.VELVET EXFINE 3KG</t>
  </si>
  <si>
    <t>10411438</t>
  </si>
  <si>
    <t>LAKREIVA R.VELVET FINE 250GR</t>
  </si>
  <si>
    <t>10411721</t>
  </si>
  <si>
    <t>LAKREIVA SPECULAAS FINE 2,5KG</t>
  </si>
  <si>
    <t>10411827</t>
  </si>
  <si>
    <t>LAKREIVA SPECULAAS FINE 250GR</t>
  </si>
  <si>
    <t>8901161104564</t>
  </si>
  <si>
    <t>LAL QILLA BASMATI 5 KG</t>
  </si>
  <si>
    <t>711844610064</t>
  </si>
  <si>
    <t>LARISSA KERUPUK SINGKONG 250GR</t>
  </si>
  <si>
    <t>8997021300115</t>
  </si>
  <si>
    <t>LARISSA KERUPUK SINGKONG 500GR</t>
  </si>
  <si>
    <t>8997021300061</t>
  </si>
  <si>
    <t>LARISSA KERUPUK UDANG PEDAS 250GR</t>
  </si>
  <si>
    <t>8992992390073</t>
  </si>
  <si>
    <t>LAROME COKELAT 100GR</t>
  </si>
  <si>
    <t>8992992340320</t>
  </si>
  <si>
    <t>LAROME COKLAT 500GR</t>
  </si>
  <si>
    <t>8992992390059</t>
  </si>
  <si>
    <t>LAROME GREEN TEA 50GR</t>
  </si>
  <si>
    <t>8992992340375</t>
  </si>
  <si>
    <t>LAROME MOCCA 500GR</t>
  </si>
  <si>
    <t>8992992340399</t>
  </si>
  <si>
    <t>LAROME PANDAN 100GR</t>
  </si>
  <si>
    <t>8992992936738</t>
  </si>
  <si>
    <t>LAROME STRAWBERRY 60GR</t>
  </si>
  <si>
    <t>8994461960497</t>
  </si>
  <si>
    <t>LARRE SYRUP PALM SUGAR</t>
  </si>
  <si>
    <t>10410037</t>
  </si>
  <si>
    <t>LASA BESAR CAP KENTANG</t>
  </si>
  <si>
    <t>10412272</t>
  </si>
  <si>
    <t>LAZAYA CHERRY MERAH BTL 4.25KG</t>
  </si>
  <si>
    <t>6958004010850</t>
  </si>
  <si>
    <t>LCF0005 LOY CIFFON SUNCITY 8INC</t>
  </si>
  <si>
    <t>761373074554</t>
  </si>
  <si>
    <t>LE CHEF TEPUNG ROTI 500GR</t>
  </si>
  <si>
    <t>8996001600375</t>
  </si>
  <si>
    <t>LE MINERALE 330ML</t>
  </si>
  <si>
    <t>8996001600269</t>
  </si>
  <si>
    <t>LE MINERALE 600ML</t>
  </si>
  <si>
    <t>5000111001533</t>
  </si>
  <si>
    <t>LEA &amp; PERRINS SAUS 142ML</t>
  </si>
  <si>
    <t>5000111001540</t>
  </si>
  <si>
    <t>LEA &amp; PERRINS SAUS 284ML</t>
  </si>
  <si>
    <t>694948970039</t>
  </si>
  <si>
    <t>LEMON PRESS SQUEEZER</t>
  </si>
  <si>
    <t>6941087000306</t>
  </si>
  <si>
    <t>LEMON PRESS TOL0131</t>
  </si>
  <si>
    <t>8997232970527</t>
  </si>
  <si>
    <t>LEMONILO GORME KALDU AYAM KAMPUNG 40GR</t>
  </si>
  <si>
    <t>8997232970541</t>
  </si>
  <si>
    <t>LEMONILO GORME KALDU SAPI 40GR</t>
  </si>
  <si>
    <t>4260123412609</t>
  </si>
  <si>
    <t>LESCO MINYAK GORENG KELAPA MURNI 500ML</t>
  </si>
  <si>
    <t>10540010</t>
  </si>
  <si>
    <t>LIDI SATE 76</t>
  </si>
  <si>
    <t>6946467200024</t>
  </si>
  <si>
    <t>LIDI SATE BANTENG</t>
  </si>
  <si>
    <t>10540077</t>
  </si>
  <si>
    <t>LIDI SATE KUDA</t>
  </si>
  <si>
    <t>10540012</t>
  </si>
  <si>
    <t>LIDI SATE NENAS X20</t>
  </si>
  <si>
    <t>8997225980434</t>
  </si>
  <si>
    <t>LILAC SLEEVE CUP 6OZ 50S</t>
  </si>
  <si>
    <t>8997225980441</t>
  </si>
  <si>
    <t>LILAC SLEEVE CUP 8OZ 50S</t>
  </si>
  <si>
    <t>10422097</t>
  </si>
  <si>
    <t>LILIN ANGKA 0</t>
  </si>
  <si>
    <t>10422856</t>
  </si>
  <si>
    <t>LILIN ANGKA 0 B GOLD YH284-0</t>
  </si>
  <si>
    <t>10424903</t>
  </si>
  <si>
    <t>LILIN ANGKA 0 BALON CA1054-0</t>
  </si>
  <si>
    <t>10424878</t>
  </si>
  <si>
    <t>LILIN ANGKA 0 EMOT CA1190-0</t>
  </si>
  <si>
    <t>10424873</t>
  </si>
  <si>
    <t>LILIN ANGKA 0 GOLD YH103-0</t>
  </si>
  <si>
    <t>10423295</t>
  </si>
  <si>
    <t>LILIN ANGKA 0 HBD LI39</t>
  </si>
  <si>
    <t>10424907</t>
  </si>
  <si>
    <t>LILIN ANGKA 0 K GOLD YH146-0</t>
  </si>
  <si>
    <t>10424866</t>
  </si>
  <si>
    <t>LILIN ANGKA 0 SILVER YH103-0</t>
  </si>
  <si>
    <t>10423277</t>
  </si>
  <si>
    <t>LILIN ANGKA 0 YH598-0</t>
  </si>
  <si>
    <t>10422098</t>
  </si>
  <si>
    <t>LILIN ANGKA 1</t>
  </si>
  <si>
    <t>10422857</t>
  </si>
  <si>
    <t>LILIN ANGKA 1 B GOLD YH284-1</t>
  </si>
  <si>
    <t>10424910</t>
  </si>
  <si>
    <t>LILIN ANGKA 1 BALON CA1054-1</t>
  </si>
  <si>
    <t>10424879</t>
  </si>
  <si>
    <t>LILIN ANGKA 1 EMOT CA1190-1</t>
  </si>
  <si>
    <t>10423296</t>
  </si>
  <si>
    <t>LILIN ANGKA 1 HBD LI40</t>
  </si>
  <si>
    <t>10425017</t>
  </si>
  <si>
    <t>LILIN ANGKA 1 K GOLD YH146-1</t>
  </si>
  <si>
    <t>10424827</t>
  </si>
  <si>
    <t>LILIN ANGKA 1 LI15</t>
  </si>
  <si>
    <t>10425011</t>
  </si>
  <si>
    <t>LILIN ANGKA 1 SILVER YH103-1</t>
  </si>
  <si>
    <t>10423285</t>
  </si>
  <si>
    <t>LILIN ANGKA 1 YH598-1</t>
  </si>
  <si>
    <t>10422099</t>
  </si>
  <si>
    <t>LILIN ANGKA 2</t>
  </si>
  <si>
    <t>10422858</t>
  </si>
  <si>
    <t>LILIN ANGKA 2 B GOLD YH284-2</t>
  </si>
  <si>
    <t>10424949</t>
  </si>
  <si>
    <t>LILIN ANGKA 2 BALON CA1054-2</t>
  </si>
  <si>
    <t>10424880</t>
  </si>
  <si>
    <t>LILIN ANGKA 2 EMOT CA1190-2</t>
  </si>
  <si>
    <t>10425013</t>
  </si>
  <si>
    <t>LILIN ANGKA 2 GOLD YH103-2</t>
  </si>
  <si>
    <t>10423297</t>
  </si>
  <si>
    <t>LILIN ANGKA 2 HBD LI41</t>
  </si>
  <si>
    <t>10424882</t>
  </si>
  <si>
    <t>LILIN ANGKA 2 K GOLD YH146-2</t>
  </si>
  <si>
    <t>10427438</t>
  </si>
  <si>
    <t>LILIN ANGKA 2 LI16</t>
  </si>
  <si>
    <t>10425014</t>
  </si>
  <si>
    <t>LILIN ANGKA 2 SILVER YH103-2</t>
  </si>
  <si>
    <t>10423279</t>
  </si>
  <si>
    <t>LILIN ANGKA 2 YH598-2</t>
  </si>
  <si>
    <t>10422100</t>
  </si>
  <si>
    <t>LILIN ANGKA 3</t>
  </si>
  <si>
    <t>10422859</t>
  </si>
  <si>
    <t>LILIN ANGKA 3 B GOLD YH284-3</t>
  </si>
  <si>
    <t>10424897</t>
  </si>
  <si>
    <t>LILIN ANGKA 3 BALON CA1054-3</t>
  </si>
  <si>
    <t>10424961</t>
  </si>
  <si>
    <t>LILIN ANGKA 3 EMOT CA1190-3</t>
  </si>
  <si>
    <t>10425016</t>
  </si>
  <si>
    <t>LILIN ANGKA 3 GOLD YH103-3</t>
  </si>
  <si>
    <t>10423298</t>
  </si>
  <si>
    <t>LILIN ANGKA 3 HBD LI42</t>
  </si>
  <si>
    <t>10424896</t>
  </si>
  <si>
    <t>LILIN ANGKA 3 K GOLD YH146-3</t>
  </si>
  <si>
    <t>10427436</t>
  </si>
  <si>
    <t>LILIN ANGKA 3 LI17</t>
  </si>
  <si>
    <t>10425015</t>
  </si>
  <si>
    <t>LILIN ANGKA 3 SILVER YH103-3</t>
  </si>
  <si>
    <t>10423281</t>
  </si>
  <si>
    <t>LILIN ANGKA 3 YH598-3</t>
  </si>
  <si>
    <t>10422101</t>
  </si>
  <si>
    <t>LILIN ANGKA 4</t>
  </si>
  <si>
    <t>10422860</t>
  </si>
  <si>
    <t>LILIN ANGKA 4 B GOLD YH284-4</t>
  </si>
  <si>
    <t>10424902</t>
  </si>
  <si>
    <t>LILIN ANGKA 4 BALON CA1054-4</t>
  </si>
  <si>
    <t>10425614</t>
  </si>
  <si>
    <t>LILIN ANGKA 4 EMOT CA1190-4</t>
  </si>
  <si>
    <t>10424917</t>
  </si>
  <si>
    <t>LILIN ANGKA 4 GOLD YH103-4</t>
  </si>
  <si>
    <t>10423299</t>
  </si>
  <si>
    <t>LILIN ANGKA 4 HBD LI43</t>
  </si>
  <si>
    <t>10424895</t>
  </si>
  <si>
    <t>LILIN ANGKA 4 K GOLD YH146-4</t>
  </si>
  <si>
    <t>10427440</t>
  </si>
  <si>
    <t>LILIN ANGKA 4 LI18</t>
  </si>
  <si>
    <t>10424918</t>
  </si>
  <si>
    <t>LILIN ANGKA 4 SILVER YH103-4</t>
  </si>
  <si>
    <t>10423286</t>
  </si>
  <si>
    <t>LILIN ANGKA 4 YH598-4</t>
  </si>
  <si>
    <t>10422102</t>
  </si>
  <si>
    <t>LILIN ANGKA 5</t>
  </si>
  <si>
    <t>10422861</t>
  </si>
  <si>
    <t>LILIN ANGKA 5 B GOLD YH284-5</t>
  </si>
  <si>
    <t>10424909</t>
  </si>
  <si>
    <t>LILIN ANGKA 5 BALON CA1054-5</t>
  </si>
  <si>
    <t>10424850</t>
  </si>
  <si>
    <t>LILIN ANGKA 5 EMOT CA1190-5</t>
  </si>
  <si>
    <t>10424848</t>
  </si>
  <si>
    <t>LILIN ANGKA 5 GOLD YH103-5</t>
  </si>
  <si>
    <t>10423300</t>
  </si>
  <si>
    <t>LILIN ANGKA 5 HBD LI44</t>
  </si>
  <si>
    <t>10424905</t>
  </si>
  <si>
    <t>LILIN ANGKA 5 K GOLD YH146-5</t>
  </si>
  <si>
    <t>10424849</t>
  </si>
  <si>
    <t>LILIN ANGKA 5 SILVER YH103-5</t>
  </si>
  <si>
    <t>10423287</t>
  </si>
  <si>
    <t>LILIN ANGKA 5 YH598-5</t>
  </si>
  <si>
    <t>10422103</t>
  </si>
  <si>
    <t>LILIN ANGKA 6</t>
  </si>
  <si>
    <t>10422862</t>
  </si>
  <si>
    <t>LILIN ANGKA 6 B GOLD YH284-6</t>
  </si>
  <si>
    <t>10424893</t>
  </si>
  <si>
    <t>LILIN ANGKA 6 BALON CA1054-6</t>
  </si>
  <si>
    <t>10424876</t>
  </si>
  <si>
    <t>LILIN ANGKA 6 EMOT CA1190-6</t>
  </si>
  <si>
    <t>10424870</t>
  </si>
  <si>
    <t>LILIN ANGKA 6 GOLD YH103-6</t>
  </si>
  <si>
    <t>10423301</t>
  </si>
  <si>
    <t>LILIN ANGKA 6 HBD LI45</t>
  </si>
  <si>
    <t>10424906</t>
  </si>
  <si>
    <t>LILIN ANGKA 6 K GOLD YH146-6</t>
  </si>
  <si>
    <t>10427437</t>
  </si>
  <si>
    <t>LILIN ANGKA 6 LI20</t>
  </si>
  <si>
    <t>10424869</t>
  </si>
  <si>
    <t>LILIN ANGKA 6 SILVER YH103-6</t>
  </si>
  <si>
    <t>10423278</t>
  </si>
  <si>
    <t>LILIN ANGKA 6 YH598-6</t>
  </si>
  <si>
    <t>10422104</t>
  </si>
  <si>
    <t>LILIN ANGKA 7</t>
  </si>
  <si>
    <t>10422863</t>
  </si>
  <si>
    <t>LILIN ANGKA 7 B GOLD YH284-7</t>
  </si>
  <si>
    <t>10424894</t>
  </si>
  <si>
    <t>LILIN ANGKA 7 BALON CA1054-7</t>
  </si>
  <si>
    <t>10424875</t>
  </si>
  <si>
    <t>LILIN ANGKA 7 EMOT CA1190-7</t>
  </si>
  <si>
    <t>10424872</t>
  </si>
  <si>
    <t>LILIN ANGKA 7 GOLD YH103-7</t>
  </si>
  <si>
    <t>10423302</t>
  </si>
  <si>
    <t>LILIN ANGKA 7 HBD LI46</t>
  </si>
  <si>
    <t>10424881</t>
  </si>
  <si>
    <t>LILIN ANGKA 7 K GOLD YH146-7</t>
  </si>
  <si>
    <t>10424871</t>
  </si>
  <si>
    <t>LILIN ANGKA 7 SILVER YH103-7</t>
  </si>
  <si>
    <t>10423288</t>
  </si>
  <si>
    <t>LILIN ANGKA 7 YH598-7</t>
  </si>
  <si>
    <t>10422105</t>
  </si>
  <si>
    <t>LILIN ANGKA 8</t>
  </si>
  <si>
    <t>10422855</t>
  </si>
  <si>
    <t>LILIN ANGKA 8 B GOLD YH284-8</t>
  </si>
  <si>
    <t>10424899</t>
  </si>
  <si>
    <t>LILIN ANGKA 8 BALON CA1054-8</t>
  </si>
  <si>
    <t>10424874</t>
  </si>
  <si>
    <t>LILIN ANGKA 8 EMOT CA1190-8</t>
  </si>
  <si>
    <t>10424867</t>
  </si>
  <si>
    <t>LILIN ANGKA 8 GOLD YH103-8</t>
  </si>
  <si>
    <t>10423347</t>
  </si>
  <si>
    <t>LILIN ANGKA 8 HBD LI47</t>
  </si>
  <si>
    <t>10424904</t>
  </si>
  <si>
    <t>LILIN ANGKA 8 K GOLD YH146-8</t>
  </si>
  <si>
    <t>10424868</t>
  </si>
  <si>
    <t>LILIN ANGKA 8 SILVER YH103-8</t>
  </si>
  <si>
    <t>10423280</t>
  </si>
  <si>
    <t>LILIN ANGKA 8 YH598-8</t>
  </si>
  <si>
    <t>10422106</t>
  </si>
  <si>
    <t>LILIN ANGKA 9</t>
  </si>
  <si>
    <t>10422864</t>
  </si>
  <si>
    <t>LILIN ANGKA 9 B GOLD YH284-9</t>
  </si>
  <si>
    <t>10424900</t>
  </si>
  <si>
    <t>LILIN ANGKA 9 BALON CA1054-9</t>
  </si>
  <si>
    <t>10424877</t>
  </si>
  <si>
    <t>LILIN ANGKA 9 EMOT CA1190-9</t>
  </si>
  <si>
    <t>10424920</t>
  </si>
  <si>
    <t>LILIN ANGKA 9 GOLD YH103-9</t>
  </si>
  <si>
    <t>10423348</t>
  </si>
  <si>
    <t>LILIN ANGKA 9 HBD LI48</t>
  </si>
  <si>
    <t>10424908</t>
  </si>
  <si>
    <t>LILIN ANGKA 9 K GOLD YH146-9</t>
  </si>
  <si>
    <t>10424919</t>
  </si>
  <si>
    <t>LILIN ANGKA 9 SILVER YH103-9</t>
  </si>
  <si>
    <t>10423289</t>
  </si>
  <si>
    <t>LILIN ANGKA 9 YH598-9</t>
  </si>
  <si>
    <t>10422451</t>
  </si>
  <si>
    <t>LILIN ANGKA RAINBOW 0</t>
  </si>
  <si>
    <t>6972105950075</t>
  </si>
  <si>
    <t>LILIN BUNGA MIX LI75</t>
  </si>
  <si>
    <t>6972105910130</t>
  </si>
  <si>
    <t>LILIN EKOR IKAN YH582</t>
  </si>
  <si>
    <t>10424968</t>
  </si>
  <si>
    <t>LILIN EMAS ANGKA 0 YH372-0A</t>
  </si>
  <si>
    <t>10425698</t>
  </si>
  <si>
    <t>LILIN EMAS ANGKA 1 YH372-1A</t>
  </si>
  <si>
    <t>10425690</t>
  </si>
  <si>
    <t>LILIN EMAS ANGKA 2 YH372-2A</t>
  </si>
  <si>
    <t>10425694</t>
  </si>
  <si>
    <t>LILIN EMAS ANGKA 3 YH372-3A</t>
  </si>
  <si>
    <t>10425689</t>
  </si>
  <si>
    <t>LILIN EMAS ANGKA 4 YH372-4A</t>
  </si>
  <si>
    <t>10425691</t>
  </si>
  <si>
    <t>LILIN EMAS ANGKA 5 YH372-5A</t>
  </si>
  <si>
    <t>10425693</t>
  </si>
  <si>
    <t>LILIN EMAS ANGKA 6 YH372-6A</t>
  </si>
  <si>
    <t>10425696</t>
  </si>
  <si>
    <t>LILIN EMAS ANGKA 7 YH372-7A</t>
  </si>
  <si>
    <t>10425692</t>
  </si>
  <si>
    <t>LILIN EMAS ANGKA 8 YH372-8A</t>
  </si>
  <si>
    <t>10425686</t>
  </si>
  <si>
    <t>LILIN EMAS ANGKA 9 YH372-9A</t>
  </si>
  <si>
    <t>6708054040556</t>
  </si>
  <si>
    <t>LILIN GOLD SET6 YH394A</t>
  </si>
  <si>
    <t>8042782548235</t>
  </si>
  <si>
    <t>LILIN HAPPY BIRTHDAY S623</t>
  </si>
  <si>
    <t>8042782548242</t>
  </si>
  <si>
    <t>LILIN HAPPY BIRTHDAY S624</t>
  </si>
  <si>
    <t>10425705</t>
  </si>
  <si>
    <t>LILIN HATI BIRU HX-019G</t>
  </si>
  <si>
    <t>10425700</t>
  </si>
  <si>
    <t>LILIN HATI GOLD HX-019A</t>
  </si>
  <si>
    <t>10425704</t>
  </si>
  <si>
    <t>LILIN HATI HX-019I</t>
  </si>
  <si>
    <t>10425707</t>
  </si>
  <si>
    <t>LILIN HATI MERAH HX-019B</t>
  </si>
  <si>
    <t>6972105950037</t>
  </si>
  <si>
    <t>LILIN HATI PINK HX-019H</t>
  </si>
  <si>
    <t>10425708</t>
  </si>
  <si>
    <t>LILIN HATI SILVER HX-019S</t>
  </si>
  <si>
    <t>10425706</t>
  </si>
  <si>
    <t>LILIN HATI UNGU HX-019E</t>
  </si>
  <si>
    <t>6958255100027</t>
  </si>
  <si>
    <t>LILIN HB BENING LI65</t>
  </si>
  <si>
    <t>10427026</t>
  </si>
  <si>
    <t>LILIN HB PINK HIJAU LI81-HD</t>
  </si>
  <si>
    <t>10427025</t>
  </si>
  <si>
    <t>LILIN HB UNGU BIRU LI81-EG</t>
  </si>
  <si>
    <t>10427250</t>
  </si>
  <si>
    <t>LILIN HIJAU PINK LI90DH</t>
  </si>
  <si>
    <t>6933696871286</t>
  </si>
  <si>
    <t>LILIN MAGIC BESAR LI6</t>
  </si>
  <si>
    <t>6933696871279</t>
  </si>
  <si>
    <t>LILIN MAGIC CANDLES LI7</t>
  </si>
  <si>
    <t>10424958</t>
  </si>
  <si>
    <t>LILIN MERAH ANGKA 0 YH372-0B</t>
  </si>
  <si>
    <t>10424970</t>
  </si>
  <si>
    <t>LILIN MERAH ANGKA 1 YH372-1B</t>
  </si>
  <si>
    <t>10424972</t>
  </si>
  <si>
    <t>LILIN MERAH ANGKA 2 YH372-2B</t>
  </si>
  <si>
    <t>10424974</t>
  </si>
  <si>
    <t>LILIN MERAH ANGKA 3 YH372-3B</t>
  </si>
  <si>
    <t>10424976</t>
  </si>
  <si>
    <t>LILIN MERAH ANGKA 4 YH372-4B</t>
  </si>
  <si>
    <t>10424978</t>
  </si>
  <si>
    <t>LILIN MERAH ANGKA 5 YH372-5B</t>
  </si>
  <si>
    <t>10424980</t>
  </si>
  <si>
    <t>LILIN MERAH ANGKA 6 YH372-6B</t>
  </si>
  <si>
    <t>10424982</t>
  </si>
  <si>
    <t>LILIN MERAH ANGKA 7 YH372-7B</t>
  </si>
  <si>
    <t>10424984</t>
  </si>
  <si>
    <t>LILIN MERAH ANGKA 8 YH372-8B</t>
  </si>
  <si>
    <t>10425687</t>
  </si>
  <si>
    <t>LILIN MERAH ANGKA 9 YH372-9B</t>
  </si>
  <si>
    <t>10427224</t>
  </si>
  <si>
    <t>LILIN MUTIARA EMAS LI91M-0</t>
  </si>
  <si>
    <t>10427226</t>
  </si>
  <si>
    <t>LILIN MUTIARA EMAS LI91M-1</t>
  </si>
  <si>
    <t>10427227</t>
  </si>
  <si>
    <t>LILIN MUTIARA EMAS LI91M-2</t>
  </si>
  <si>
    <t>10427228</t>
  </si>
  <si>
    <t>LILIN MUTIARA EMAS LI91M-3</t>
  </si>
  <si>
    <t>10427229</t>
  </si>
  <si>
    <t>LILIN MUTIARA EMAS LI91M-4</t>
  </si>
  <si>
    <t>10427230</t>
  </si>
  <si>
    <t>LILIN MUTIARA EMAS LI91M-5</t>
  </si>
  <si>
    <t>10427231</t>
  </si>
  <si>
    <t>LILIN MUTIARA EMAS LI91M-6</t>
  </si>
  <si>
    <t>10427232</t>
  </si>
  <si>
    <t>LILIN MUTIARA EMAS LI91M-7</t>
  </si>
  <si>
    <t>10427233</t>
  </si>
  <si>
    <t>LILIN MUTIARA EMAS LI91M-8</t>
  </si>
  <si>
    <t>10427234</t>
  </si>
  <si>
    <t>LILIN MUTIARA EMAS LI91M-9</t>
  </si>
  <si>
    <t>10427248</t>
  </si>
  <si>
    <t>LILIN PENSIL HITAM LI83HT</t>
  </si>
  <si>
    <t>10427245</t>
  </si>
  <si>
    <t>LILIN PENSIL KUNING LI83I</t>
  </si>
  <si>
    <t>10427246</t>
  </si>
  <si>
    <t>LILIN PENSIL ORANGE LI83F</t>
  </si>
  <si>
    <t>10427247</t>
  </si>
  <si>
    <t>LILIN PENSIL PUTIH LI83PT</t>
  </si>
  <si>
    <t>268170</t>
  </si>
  <si>
    <t>LILIN PEPPERMINT KECIL</t>
  </si>
  <si>
    <t>8856362565228</t>
  </si>
  <si>
    <t>LILIN PEPPERMINT LI4</t>
  </si>
  <si>
    <t>10427249</t>
  </si>
  <si>
    <t>LILIN RAINBOW LI90C</t>
  </si>
  <si>
    <t>10425641</t>
  </si>
  <si>
    <t>LILIN RAINBOW SET8 YH396-1</t>
  </si>
  <si>
    <t>10425373</t>
  </si>
  <si>
    <t>LILIN RAINBOW YH416L</t>
  </si>
  <si>
    <t>10424992</t>
  </si>
  <si>
    <t>LILIN SILVER ANGKA 0 YH372-0S</t>
  </si>
  <si>
    <t>10424971</t>
  </si>
  <si>
    <t>LILIN SILVER ANGKA 1 YH372-1S</t>
  </si>
  <si>
    <t>10424973</t>
  </si>
  <si>
    <t>LILIN SILVER ANGKA 2 YH372-2S</t>
  </si>
  <si>
    <t>10424975</t>
  </si>
  <si>
    <t>LILIN SILVER ANGKA 3 YH372-3S</t>
  </si>
  <si>
    <t>10424977</t>
  </si>
  <si>
    <t>LILIN SILVER ANGKA 4 YH372-4S</t>
  </si>
  <si>
    <t>10424979</t>
  </si>
  <si>
    <t>LILIN SILVER ANGKA 5 YH372-5S</t>
  </si>
  <si>
    <t>10424981</t>
  </si>
  <si>
    <t>LILIN SILVER ANGKA 6 YH372-6S</t>
  </si>
  <si>
    <t>10424983</t>
  </si>
  <si>
    <t>LILIN SILVER ANGKA 7 YH372-7S</t>
  </si>
  <si>
    <t>10424985</t>
  </si>
  <si>
    <t>LILIN SILVER ANGKA 8 YH372-8S</t>
  </si>
  <si>
    <t>10425688</t>
  </si>
  <si>
    <t>LILIN SILVER ANGKA 9 YH372-9S</t>
  </si>
  <si>
    <t>10424892</t>
  </si>
  <si>
    <t>LILIN SPARKLING 16S S16</t>
  </si>
  <si>
    <t>10540025</t>
  </si>
  <si>
    <t>LILIN TARUNA 0</t>
  </si>
  <si>
    <t>10540079</t>
  </si>
  <si>
    <t>LILIN TARUNA 1</t>
  </si>
  <si>
    <t>10540083</t>
  </si>
  <si>
    <t>LILIN TARUNA 2</t>
  </si>
  <si>
    <t>10540022</t>
  </si>
  <si>
    <t>LILIN TARUNA 3</t>
  </si>
  <si>
    <t>10540072</t>
  </si>
  <si>
    <t>LILIN TARUNA 4</t>
  </si>
  <si>
    <t>10540021</t>
  </si>
  <si>
    <t>LILIN TARUNA 5</t>
  </si>
  <si>
    <t>10540024</t>
  </si>
  <si>
    <t>LILIN TARUNA 6</t>
  </si>
  <si>
    <t>10540073</t>
  </si>
  <si>
    <t>LILIN TARUNA 7</t>
  </si>
  <si>
    <t>10540071</t>
  </si>
  <si>
    <t>LILIN TARUNA 8</t>
  </si>
  <si>
    <t>10540023</t>
  </si>
  <si>
    <t>LILIN TARUNA 9</t>
  </si>
  <si>
    <t>10427022</t>
  </si>
  <si>
    <t>LILIN TWIST BIRU EMAS LI76-G</t>
  </si>
  <si>
    <t>10424915</t>
  </si>
  <si>
    <t>LILIN TWIST EMAS 6S YH361-1A</t>
  </si>
  <si>
    <t>10427312</t>
  </si>
  <si>
    <t>LILIN TWIST EMAS CHAMPAGNE 6S YH361-1CH</t>
  </si>
  <si>
    <t>10427021</t>
  </si>
  <si>
    <t>LILIN TWIST HIJAU EMAS LI76-D</t>
  </si>
  <si>
    <t>10427018</t>
  </si>
  <si>
    <t>LILIN TWIST HITAM LI77-HT</t>
  </si>
  <si>
    <t>10427023</t>
  </si>
  <si>
    <t>LILIN TWIST MERAH EMAS LI76-B</t>
  </si>
  <si>
    <t>10427020</t>
  </si>
  <si>
    <t>LILIN TWIST MERAH LI77-B</t>
  </si>
  <si>
    <t>10427024</t>
  </si>
  <si>
    <t>LILIN TWIST MIX LI76-C</t>
  </si>
  <si>
    <t>10427019</t>
  </si>
  <si>
    <t>LILIN TWIST PUTIH LI77-PT</t>
  </si>
  <si>
    <t>6972105950013</t>
  </si>
  <si>
    <t>LILIN TWIST RAINBOW YH361-1C</t>
  </si>
  <si>
    <t>10424916</t>
  </si>
  <si>
    <t>LILIN TWIST ROSE GOLD 6S YH361-1I</t>
  </si>
  <si>
    <t>10425710</t>
  </si>
  <si>
    <t>LILIN TWIST SILVER YH361-1S</t>
  </si>
  <si>
    <t>10425709</t>
  </si>
  <si>
    <t>LILIN TWIST UNGU MUDA YH361-1H</t>
  </si>
  <si>
    <t>6972105950136</t>
  </si>
  <si>
    <t>LILIN ULIR EARNA PASTEL 6S GLX043</t>
  </si>
  <si>
    <t>10424911</t>
  </si>
  <si>
    <t>LILIN ULIR GOLD 10S YH382-1</t>
  </si>
  <si>
    <t>6708054040563</t>
  </si>
  <si>
    <t>LILIN ULIR K PINK YH382-1H</t>
  </si>
  <si>
    <t>10427484</t>
  </si>
  <si>
    <t>LILIN ULIR K ROSEGOLD YH382-1G</t>
  </si>
  <si>
    <t>6692232048710</t>
  </si>
  <si>
    <t>LILIN ULIR K SET250 LI66</t>
  </si>
  <si>
    <t>6930254789496</t>
  </si>
  <si>
    <t>LILIN ULIR K SILVER YH382-1S</t>
  </si>
  <si>
    <t>10424912</t>
  </si>
  <si>
    <t>LILIN ULIR WARNA 10S YH392-1</t>
  </si>
  <si>
    <t>10427254</t>
  </si>
  <si>
    <t>LILIN UNGU PUTIH LI90EP</t>
  </si>
  <si>
    <t>10425701</t>
  </si>
  <si>
    <t>LILIN WARNA SET6 YH394B</t>
  </si>
  <si>
    <t>8997004430303</t>
  </si>
  <si>
    <t>LION 60CC ALPUKAT</t>
  </si>
  <si>
    <t>8997004430310</t>
  </si>
  <si>
    <t>LION 60CC COKLAT</t>
  </si>
  <si>
    <t>8997004430327</t>
  </si>
  <si>
    <t>LION 60CC DOGER</t>
  </si>
  <si>
    <t>8997004431485</t>
  </si>
  <si>
    <t>LION 60CC ES TELER</t>
  </si>
  <si>
    <t>8997004430402</t>
  </si>
  <si>
    <t>LION 60CC KOPIMOCA</t>
  </si>
  <si>
    <t>8997004430433</t>
  </si>
  <si>
    <t>LION 60CC MELON</t>
  </si>
  <si>
    <t>8997004430495</t>
  </si>
  <si>
    <t>LION 60CC PANDAN</t>
  </si>
  <si>
    <t>8997004430501</t>
  </si>
  <si>
    <t>LION 60CC PISANG AMBON</t>
  </si>
  <si>
    <t>8997004433670</t>
  </si>
  <si>
    <t>LION BS DURIAN KUNING</t>
  </si>
  <si>
    <t>8997004433939</t>
  </si>
  <si>
    <t>LION BS KOPI MOCCA IS 1KG</t>
  </si>
  <si>
    <t>8997004434158</t>
  </si>
  <si>
    <t>LION BS NANAS PLB ESEN 1KG</t>
  </si>
  <si>
    <t>8997004434394</t>
  </si>
  <si>
    <t>LION BS PANDAN 1.25KG</t>
  </si>
  <si>
    <t>8997004434431</t>
  </si>
  <si>
    <t>LION BS PISANG AMBON</t>
  </si>
  <si>
    <t>8997004434745</t>
  </si>
  <si>
    <t>LION BS STRAW 1.25KG</t>
  </si>
  <si>
    <t>8997004435674</t>
  </si>
  <si>
    <t>LION PEWARNA BIRU 30GR</t>
  </si>
  <si>
    <t>8997004433182</t>
  </si>
  <si>
    <t>LION PEWARNA COKLAT 30GR</t>
  </si>
  <si>
    <t>8997004435667</t>
  </si>
  <si>
    <t>LION PEWARNA COKLAT TUA 30GR</t>
  </si>
  <si>
    <t>8997004433137</t>
  </si>
  <si>
    <t>LION PEWARNA HIJAU 30GR</t>
  </si>
  <si>
    <t>8997004435681</t>
  </si>
  <si>
    <t>LION PEWARNA HITAM 30GR</t>
  </si>
  <si>
    <t>8997004433175</t>
  </si>
  <si>
    <t>LION PEWARNA KUNING MUDA 30GR</t>
  </si>
  <si>
    <t>8997004433144</t>
  </si>
  <si>
    <t>LION PEWARNA KUNING TELUR 30GR</t>
  </si>
  <si>
    <t>8997004433168</t>
  </si>
  <si>
    <t>LION PEWARNA MERAH CABE 30GR</t>
  </si>
  <si>
    <t>8997004433151</t>
  </si>
  <si>
    <t>LION PEWARNA MERAH TUA 30GR</t>
  </si>
  <si>
    <t>8997004435698</t>
  </si>
  <si>
    <t>LION PEWARNA PINK 30GR</t>
  </si>
  <si>
    <t>8997004435704</t>
  </si>
  <si>
    <t>LION PEWARNA RED VELVET 30GR</t>
  </si>
  <si>
    <t>8997004433199</t>
  </si>
  <si>
    <t>LION PEWARNA UNGU 30GR</t>
  </si>
  <si>
    <t>9310494035664</t>
  </si>
  <si>
    <t>LIPTON CHAMOUMILE INFUSION 25GR</t>
  </si>
  <si>
    <t>9310494035732</t>
  </si>
  <si>
    <t>LIPTON DECAFFE BLACK TEA 50GR</t>
  </si>
  <si>
    <t>9310494035640</t>
  </si>
  <si>
    <t>LIPTON EARL GREY BLACKTEA 50GR</t>
  </si>
  <si>
    <t>9310494035633</t>
  </si>
  <si>
    <t>LIPTON ENGLISH BREAKFAST 60GR</t>
  </si>
  <si>
    <t>8999999553210</t>
  </si>
  <si>
    <t>LIPTON FOREST BERIES 50GR</t>
  </si>
  <si>
    <t>8999999553227</t>
  </si>
  <si>
    <t>LIPTON FRENCH EARL GREY 50GR</t>
  </si>
  <si>
    <t>8999999553203</t>
  </si>
  <si>
    <t>LIPTON G.TEA 40GR</t>
  </si>
  <si>
    <t>9310494035671</t>
  </si>
  <si>
    <t>LIPTON G.TEA JASMINE 50GR</t>
  </si>
  <si>
    <t>9310494042457</t>
  </si>
  <si>
    <t>LIPTON GREENTEA 50GR</t>
  </si>
  <si>
    <t>8999999550820</t>
  </si>
  <si>
    <t>LIPTON ICE TEA LECI 510GR</t>
  </si>
  <si>
    <t>8999999550806</t>
  </si>
  <si>
    <t>LIPTON ICE TEA LEMON 510GR</t>
  </si>
  <si>
    <t>8999999550813</t>
  </si>
  <si>
    <t>LIPTON ICE TEA PEACH 510GR</t>
  </si>
  <si>
    <t>9310494035657</t>
  </si>
  <si>
    <t>LIPTON PEPPERMINT INFUSION 37.5GR</t>
  </si>
  <si>
    <t>8999999041670</t>
  </si>
  <si>
    <t>LIPTON YELLOW LABEL TB100 ENV</t>
  </si>
  <si>
    <t>8888086010302</t>
  </si>
  <si>
    <t>LIPTON YELLOW LABEL TEA TB 100 NE</t>
  </si>
  <si>
    <t>10423794</t>
  </si>
  <si>
    <t>LISSE BUNDT PAN CROWN BUN0013</t>
  </si>
  <si>
    <t>10425197</t>
  </si>
  <si>
    <t>LISSE BUNDT PAN JUBILE OVAL BUN0017</t>
  </si>
  <si>
    <t>10423792</t>
  </si>
  <si>
    <t>LISSE BUNDT PAN MARISSA BUN0012</t>
  </si>
  <si>
    <t>10424301</t>
  </si>
  <si>
    <t>LISSE CET MTF STRAWBERRY 007 CTD0036</t>
  </si>
  <si>
    <t>10425173</t>
  </si>
  <si>
    <t>LISSE LOY KERANG GOLD 12CUP L120015</t>
  </si>
  <si>
    <t>10425172</t>
  </si>
  <si>
    <t>LISSE LOY MOTIF GOLD 6CUP L6C0004</t>
  </si>
  <si>
    <t>10425174</t>
  </si>
  <si>
    <t>LISSE LOY P TINGGI 28X22.9X6.2CM LPS0002</t>
  </si>
  <si>
    <t>10425171</t>
  </si>
  <si>
    <t>LISSE LOY PRSEGI RENDH S 22X17X2,5CM LPS0004</t>
  </si>
  <si>
    <t>10423713</t>
  </si>
  <si>
    <t>LISSE WHISK TOSCA GG KAYU</t>
  </si>
  <si>
    <t>8052440171927</t>
  </si>
  <si>
    <t>LITALY TOMATO PASTE 400GR</t>
  </si>
  <si>
    <t>10422402</t>
  </si>
  <si>
    <t>LITTLE PONNY 6 B 9CM LI61</t>
  </si>
  <si>
    <t>10422252</t>
  </si>
  <si>
    <t>LITTLE PONNY K Li24</t>
  </si>
  <si>
    <t>10422253</t>
  </si>
  <si>
    <t>LITTLE PONNY RAMBUT PANJANG Li57</t>
  </si>
  <si>
    <t>10420606</t>
  </si>
  <si>
    <t>LITTLE PONY LI59</t>
  </si>
  <si>
    <t>8993053175073</t>
  </si>
  <si>
    <t>LIVI ECO FKILO 580S</t>
  </si>
  <si>
    <t>8992759180046</t>
  </si>
  <si>
    <t>LIVI ECO T HBT MPURP 150S</t>
  </si>
  <si>
    <t>8993053435511</t>
  </si>
  <si>
    <t>LIVI EVERYDAY TWL MFOLD 150S</t>
  </si>
  <si>
    <t>8993053325027</t>
  </si>
  <si>
    <t>LIVI EVO FULL EMBOSS 100S</t>
  </si>
  <si>
    <t>8993053435207</t>
  </si>
  <si>
    <t>LIVI EVO MULTIFOLD 150S</t>
  </si>
  <si>
    <t>8993053325164</t>
  </si>
  <si>
    <t>LIVI EVO PREM NL MG WHT FE 100S PTG 2</t>
  </si>
  <si>
    <t>8993053325157</t>
  </si>
  <si>
    <t>LIVI EVO PREM NL MG WHT FE 50S</t>
  </si>
  <si>
    <t>8993053125085</t>
  </si>
  <si>
    <t>LIVI EVO PREM NPU 200S</t>
  </si>
  <si>
    <t>8993053315073</t>
  </si>
  <si>
    <t>LIVI EVO SENS PREM NC 100S</t>
  </si>
  <si>
    <t>8993053335101</t>
  </si>
  <si>
    <t>LIVI EVO SPLASH PREM ND EDGE E 50S</t>
  </si>
  <si>
    <t>8993053335118</t>
  </si>
  <si>
    <t>LIVI EVO SQUASH PREM ND EDGE E 50S</t>
  </si>
  <si>
    <t>8993053415025</t>
  </si>
  <si>
    <t>LIVI EVO TWL KITC MAXI 12R 200S</t>
  </si>
  <si>
    <t>10510263</t>
  </si>
  <si>
    <t>LIVI OVO T JRT 12R 300M</t>
  </si>
  <si>
    <t>078895159417</t>
  </si>
  <si>
    <t>LKK CHILLI CRAB PASTA 150GR</t>
  </si>
  <si>
    <t>078895162042</t>
  </si>
  <si>
    <t>LKK HAINAN CHICKEN RICE 100GR</t>
  </si>
  <si>
    <t>078895130157</t>
  </si>
  <si>
    <t>LKK KECAP ASIN 250ML</t>
  </si>
  <si>
    <t>078895128789</t>
  </si>
  <si>
    <t>LKK KECAP ASIN 500ML</t>
  </si>
  <si>
    <t>078895129632</t>
  </si>
  <si>
    <t>LKK KECAP ASIN PREMIUM 250ML</t>
  </si>
  <si>
    <t>078895126396</t>
  </si>
  <si>
    <t>LKK KECAP ASIN PREMIUM 500ML</t>
  </si>
  <si>
    <t>078895126389</t>
  </si>
  <si>
    <t>LKK KECAP HITAM PREMIUM 500ML</t>
  </si>
  <si>
    <t>LKK MINYAK WIJEN 115ML</t>
  </si>
  <si>
    <t>LKK MINYAK WIJEN 207ML</t>
  </si>
  <si>
    <t>078895160758</t>
  </si>
  <si>
    <t>LKK MINYAK WIJEN 750ML</t>
  </si>
  <si>
    <t>078895120332</t>
  </si>
  <si>
    <t>LKK SAUCE MA PO TOFU</t>
  </si>
  <si>
    <t>078895740042</t>
  </si>
  <si>
    <t>LKK SAUS BARBEQUE 240GR</t>
  </si>
  <si>
    <t>078895610116</t>
  </si>
  <si>
    <t>LKK SAUS BARBEQUE 397GR</t>
  </si>
  <si>
    <t>078895700015</t>
  </si>
  <si>
    <t>LKK SAUS HOISIN 240GR</t>
  </si>
  <si>
    <t>078895210040</t>
  </si>
  <si>
    <t>LKK SAUS HOISIN 397GR</t>
  </si>
  <si>
    <t>078895941593</t>
  </si>
  <si>
    <t>LKK SAUS LADA HTM 230GR</t>
  </si>
  <si>
    <t>078895423037</t>
  </si>
  <si>
    <t>LKK SAUS SEAFOOD 410GR</t>
  </si>
  <si>
    <t>078895146981</t>
  </si>
  <si>
    <t>LKK SAUS TIRAM 145GR</t>
  </si>
  <si>
    <t>LKK SAUS TIRAM 2,2KG</t>
  </si>
  <si>
    <t>078895300017</t>
  </si>
  <si>
    <t>LKK SAUS TIRAM 255GR</t>
  </si>
  <si>
    <t>078895169355</t>
  </si>
  <si>
    <t>LKK SAUS TIRAM 30GR</t>
  </si>
  <si>
    <t>078895300024</t>
  </si>
  <si>
    <t>LKK SAUS TIRAM 510GR</t>
  </si>
  <si>
    <t>LKK SAUS TIRAM 770GR</t>
  </si>
  <si>
    <t>078895139099</t>
  </si>
  <si>
    <t>LKK SAUS TIRAM JAMUR 510GR</t>
  </si>
  <si>
    <t>078895100020</t>
  </si>
  <si>
    <t>LKK SAUS TIRAM PREMIUM 510GR</t>
  </si>
  <si>
    <t>078895121919</t>
  </si>
  <si>
    <t>LKK SOUP BASE CHICKEN HOT POT 60GR</t>
  </si>
  <si>
    <t>1042560</t>
  </si>
  <si>
    <t>LM- PET BULAT PRINTING 8,5CM 20S</t>
  </si>
  <si>
    <t>1042561</t>
  </si>
  <si>
    <t>LM- PET BULAT PRINTING 9CM 20S</t>
  </si>
  <si>
    <t>1042559</t>
  </si>
  <si>
    <t>LM-PAPER CASE SEGITIGA MOTIF 20S</t>
  </si>
  <si>
    <t>8997203881340</t>
  </si>
  <si>
    <t>LO BERAS MERAH ORGANIK 1KG</t>
  </si>
  <si>
    <t>10423819</t>
  </si>
  <si>
    <t>LOAF PAN KCL GOLD LLP0003 LISSE</t>
  </si>
  <si>
    <t>10425649</t>
  </si>
  <si>
    <t>LOL 1S LI62</t>
  </si>
  <si>
    <t>10422261</t>
  </si>
  <si>
    <t>LOL CAMPING 1S LI53</t>
  </si>
  <si>
    <t>10422260</t>
  </si>
  <si>
    <t>LOL IMPORT LI52</t>
  </si>
  <si>
    <t>10422594</t>
  </si>
  <si>
    <t>LOL KECIL SET6 L63</t>
  </si>
  <si>
    <t>10423745</t>
  </si>
  <si>
    <t>LOL MINI 4.5CM SET6 L64</t>
  </si>
  <si>
    <t>10422582</t>
  </si>
  <si>
    <t>LOL SET 6 L62</t>
  </si>
  <si>
    <t>10422480</t>
  </si>
  <si>
    <t>LOL SISIR 8CM 1S LI63</t>
  </si>
  <si>
    <t>8991045242505</t>
  </si>
  <si>
    <t>LOSOSA 250GR</t>
  </si>
  <si>
    <t>8991045245001</t>
  </si>
  <si>
    <t>LOSOSA 500GR</t>
  </si>
  <si>
    <t>5410126006360</t>
  </si>
  <si>
    <t>LOTUS SANDWICH CREAM 150GR</t>
  </si>
  <si>
    <t>5410126006353</t>
  </si>
  <si>
    <t>LOTUS SANDWICH MILK CHOCOLATE 150GR</t>
  </si>
  <si>
    <t>5410126006377</t>
  </si>
  <si>
    <t>LOTUS SANDWICH VANILLA 150GR</t>
  </si>
  <si>
    <t>10420698</t>
  </si>
  <si>
    <t>LOY 32CM BULAT</t>
  </si>
  <si>
    <t>10422342</t>
  </si>
  <si>
    <t>LOY 57X22X2 CM</t>
  </si>
  <si>
    <t>10422529</t>
  </si>
  <si>
    <t>LOY ABJAD C</t>
  </si>
  <si>
    <t>10422509</t>
  </si>
  <si>
    <t>LOY ABJAD G</t>
  </si>
  <si>
    <t>10422510</t>
  </si>
  <si>
    <t>LOY ABJAD H</t>
  </si>
  <si>
    <t>10422514</t>
  </si>
  <si>
    <t>LOY ABJAD L</t>
  </si>
  <si>
    <t>10422519</t>
  </si>
  <si>
    <t>LOY ABJAD Q</t>
  </si>
  <si>
    <t>10422523</t>
  </si>
  <si>
    <t>LOY ABJAD U</t>
  </si>
  <si>
    <t>10422524</t>
  </si>
  <si>
    <t>LOY ABJAD V</t>
  </si>
  <si>
    <t>10423204</t>
  </si>
  <si>
    <t>LOY B 12X12X5CM</t>
  </si>
  <si>
    <t>10422842</t>
  </si>
  <si>
    <t>LOY B 12X12X7CM</t>
  </si>
  <si>
    <t>10422838</t>
  </si>
  <si>
    <t>LOY B 15X15X5CM</t>
  </si>
  <si>
    <t>10422843</t>
  </si>
  <si>
    <t>LOY B 15X15X7CM</t>
  </si>
  <si>
    <t>10422839</t>
  </si>
  <si>
    <t>LOY B 18X18X5CM</t>
  </si>
  <si>
    <t>10422844</t>
  </si>
  <si>
    <t>LOY B 18X18X7CM</t>
  </si>
  <si>
    <t>10422840</t>
  </si>
  <si>
    <t>LOY B 20X20X5CM</t>
  </si>
  <si>
    <t>10422845</t>
  </si>
  <si>
    <t>LOY B 20X20X7CM</t>
  </si>
  <si>
    <t>10422841</t>
  </si>
  <si>
    <t>LOY B 22X22X5CM</t>
  </si>
  <si>
    <t>10422846</t>
  </si>
  <si>
    <t>LOY B 22X22X7CM</t>
  </si>
  <si>
    <t>10425549</t>
  </si>
  <si>
    <t>LOY B 23X23X5CM</t>
  </si>
  <si>
    <t>10423205</t>
  </si>
  <si>
    <t>LOY B 25X25X5CM</t>
  </si>
  <si>
    <t>10423203</t>
  </si>
  <si>
    <t>LOY B 25X25X7CM</t>
  </si>
  <si>
    <t>10425548</t>
  </si>
  <si>
    <t>LOY B 26X26X5CM</t>
  </si>
  <si>
    <t>10423236</t>
  </si>
  <si>
    <t>LOY B 27X27X5CM</t>
  </si>
  <si>
    <t>10423894</t>
  </si>
  <si>
    <t>LOY B 27X27X7CM</t>
  </si>
  <si>
    <t>10425547</t>
  </si>
  <si>
    <t>LOY B 28X28X5CM</t>
  </si>
  <si>
    <t>10423237</t>
  </si>
  <si>
    <t>LOY B 30X30X5CM</t>
  </si>
  <si>
    <t>10423235</t>
  </si>
  <si>
    <t>LOY B 30X30X7CM</t>
  </si>
  <si>
    <t>10423197</t>
  </si>
  <si>
    <t>LOY BLT PORSIL 12X12X5</t>
  </si>
  <si>
    <t>10422436</t>
  </si>
  <si>
    <t>LOY BLT PORSIL 12X12X7</t>
  </si>
  <si>
    <t>10422835</t>
  </si>
  <si>
    <t>LOY BLT PORSIL 15X15X5</t>
  </si>
  <si>
    <t>10422438</t>
  </si>
  <si>
    <t>LOY BLT PORSIL 15X15X7</t>
  </si>
  <si>
    <t>10422832</t>
  </si>
  <si>
    <t>LOY BLT PORSIL 18X18X5</t>
  </si>
  <si>
    <t>10422437</t>
  </si>
  <si>
    <t>LOY BLT PORSIL 18X18X7</t>
  </si>
  <si>
    <t>10423234</t>
  </si>
  <si>
    <t>LOY BLT PORSIL 19X19X5</t>
  </si>
  <si>
    <t>10422833</t>
  </si>
  <si>
    <t>LOY BLT PORSIL 20X20X5</t>
  </si>
  <si>
    <t>10422434</t>
  </si>
  <si>
    <t>LOY BLT PORSIL 20X20X7</t>
  </si>
  <si>
    <t>10425554</t>
  </si>
  <si>
    <t>LOY BLT PORSIL 22X22X4</t>
  </si>
  <si>
    <t>10422834</t>
  </si>
  <si>
    <t>LOY BLT PORSIL 22X22X5</t>
  </si>
  <si>
    <t>10422435</t>
  </si>
  <si>
    <t>LOY BLT PORSIL 22X22X7</t>
  </si>
  <si>
    <t>10423233</t>
  </si>
  <si>
    <t>LOY BLT PORSIL 23X23X5</t>
  </si>
  <si>
    <t>10423242</t>
  </si>
  <si>
    <t>LOY BLT PORSIL 23X23X7</t>
  </si>
  <si>
    <t>10425512</t>
  </si>
  <si>
    <t>LOY BLT PORSIL 24X24X7</t>
  </si>
  <si>
    <t>10423198</t>
  </si>
  <si>
    <t>LOY BLT PORSIL 25X25X5</t>
  </si>
  <si>
    <t>10422433</t>
  </si>
  <si>
    <t>LOY BLT PORSIL 25X25X7</t>
  </si>
  <si>
    <t>10423241</t>
  </si>
  <si>
    <t>LOY BLT PORSIL 28X28X5</t>
  </si>
  <si>
    <t>10423239</t>
  </si>
  <si>
    <t>LOY BLT PORSIL 28X28X7</t>
  </si>
  <si>
    <t>10423240</t>
  </si>
  <si>
    <t>LOY BLT PORSIL 30X30X5</t>
  </si>
  <si>
    <t>10423238</t>
  </si>
  <si>
    <t>LOY BLT PORSIL 30X30X7</t>
  </si>
  <si>
    <t>10423683</t>
  </si>
  <si>
    <t>LOY BLT PORSIL BONGPAS 15X15X6</t>
  </si>
  <si>
    <t>10425513</t>
  </si>
  <si>
    <t>LOY BOLU 16X16X2CM</t>
  </si>
  <si>
    <t>10425507</t>
  </si>
  <si>
    <t>LOY BOLU 18X18X2CM</t>
  </si>
  <si>
    <t>10425506</t>
  </si>
  <si>
    <t>LOY BOLU 20X20X2CM</t>
  </si>
  <si>
    <t>10421870</t>
  </si>
  <si>
    <t>LOY BOLU 20X25X2CM</t>
  </si>
  <si>
    <t>10421878</t>
  </si>
  <si>
    <t>LOY BOLU 20X25X3CM</t>
  </si>
  <si>
    <t>10422635</t>
  </si>
  <si>
    <t>LOY BOLU 22X22X2CM</t>
  </si>
  <si>
    <t>10422991</t>
  </si>
  <si>
    <t>LOY BOLU 22X22X3CM</t>
  </si>
  <si>
    <t>10423001</t>
  </si>
  <si>
    <t>LOY BOLU 22X27X2CM</t>
  </si>
  <si>
    <t>10422634</t>
  </si>
  <si>
    <t>LOY BOLU 22X27X3CM</t>
  </si>
  <si>
    <t>10425504</t>
  </si>
  <si>
    <t>LOY BOLU 24X24X2CM</t>
  </si>
  <si>
    <t>10421850</t>
  </si>
  <si>
    <t>LOY BOLU 25X25X2CM</t>
  </si>
  <si>
    <t>10420693</t>
  </si>
  <si>
    <t>LOY BOLU 25X25X3CM</t>
  </si>
  <si>
    <t>10421872</t>
  </si>
  <si>
    <t>LOY BOLU 25X30X2CM</t>
  </si>
  <si>
    <t>10421880</t>
  </si>
  <si>
    <t>LOY BOLU 25X30X3CM</t>
  </si>
  <si>
    <t>10425503</t>
  </si>
  <si>
    <t>LOY BOLU 26X26X2CM</t>
  </si>
  <si>
    <t>10423000</t>
  </si>
  <si>
    <t>LOY BOLU 27X27X2CM</t>
  </si>
  <si>
    <t>10422990</t>
  </si>
  <si>
    <t>LOY BOLU 27X27X3CM</t>
  </si>
  <si>
    <t>10425502</t>
  </si>
  <si>
    <t>LOY BOLU 28X28X2CM</t>
  </si>
  <si>
    <t>10421852</t>
  </si>
  <si>
    <t>LOY BOLU 30X30X2CM</t>
  </si>
  <si>
    <t>10421824</t>
  </si>
  <si>
    <t>LOY BOLU 30X30X3CM</t>
  </si>
  <si>
    <t>6958004013066</t>
  </si>
  <si>
    <t>LOY BOX 9CUP SUNCITY L9C0001</t>
  </si>
  <si>
    <t>10421966</t>
  </si>
  <si>
    <t>LOY BROWNAT 10</t>
  </si>
  <si>
    <t>10424101</t>
  </si>
  <si>
    <t>LOY BROWNAT 10 12S</t>
  </si>
  <si>
    <t>10422077</t>
  </si>
  <si>
    <t>LOY BROWNAT 11</t>
  </si>
  <si>
    <t>10424102</t>
  </si>
  <si>
    <t>LOY BROWNAT 11 12S</t>
  </si>
  <si>
    <t>10421965</t>
  </si>
  <si>
    <t>LOY BROWNAT 12</t>
  </si>
  <si>
    <t>10424103</t>
  </si>
  <si>
    <t>LOY BROWNAT 12 12S</t>
  </si>
  <si>
    <t>10421968</t>
  </si>
  <si>
    <t>LOY BROWNAT 8</t>
  </si>
  <si>
    <t>10424104</t>
  </si>
  <si>
    <t>LOY BROWNAT 8 12S</t>
  </si>
  <si>
    <t>10421967</t>
  </si>
  <si>
    <t>LOY BROWNAT 9</t>
  </si>
  <si>
    <t>10424105</t>
  </si>
  <si>
    <t>LOY BROWNAT 9 12S</t>
  </si>
  <si>
    <t>10421843</t>
  </si>
  <si>
    <t>LOY BROWNIES 15X10X4 CM</t>
  </si>
  <si>
    <t>10422967</t>
  </si>
  <si>
    <t>LOY BROWNIES 15X10X7CM</t>
  </si>
  <si>
    <t>10421989</t>
  </si>
  <si>
    <t>LOY BROWNIES 20X10X4 CM</t>
  </si>
  <si>
    <t>10422966</t>
  </si>
  <si>
    <t>LOY BROWNIES 20X10X7CM</t>
  </si>
  <si>
    <t>10423202</t>
  </si>
  <si>
    <t>LOY BROWNIES 22X10X4 CM</t>
  </si>
  <si>
    <t>10423488</t>
  </si>
  <si>
    <t>LOY BROWNIES 22X10X7 CM</t>
  </si>
  <si>
    <t>10425516</t>
  </si>
  <si>
    <t>LOY BROWNIES 24X10X7CM</t>
  </si>
  <si>
    <t>10421842</t>
  </si>
  <si>
    <t>LOY BROWNIES 25X10X4 CM</t>
  </si>
  <si>
    <t>10423489</t>
  </si>
  <si>
    <t>LOY BROWNIES 25X10X7 CM</t>
  </si>
  <si>
    <t>10540031</t>
  </si>
  <si>
    <t>LOY BROWNIES 30X10X4 CM</t>
  </si>
  <si>
    <t>10422965</t>
  </si>
  <si>
    <t>LOY BROWNIES 30X10X7CM</t>
  </si>
  <si>
    <t>10423371</t>
  </si>
  <si>
    <t>LOY BROWNIES PAN SEKAT 30CM</t>
  </si>
  <si>
    <t>3273438694906</t>
  </si>
  <si>
    <t>LOY BROWNIES SEKAT BONGPAS ORANGE LBS0001</t>
  </si>
  <si>
    <t>10424959</t>
  </si>
  <si>
    <t>LOY BULAT BONGPAS 11CM LY26</t>
  </si>
  <si>
    <t>10424960</t>
  </si>
  <si>
    <t>LOY BULAT BONGPAS 17CM LY27</t>
  </si>
  <si>
    <t>10424545</t>
  </si>
  <si>
    <t>LOY BULAT POLOS BM13</t>
  </si>
  <si>
    <t>10423034</t>
  </si>
  <si>
    <t>LOY CHIFFON JITU 21CM</t>
  </si>
  <si>
    <t>10423035</t>
  </si>
  <si>
    <t>LOY CHIFFON JITU 24CM</t>
  </si>
  <si>
    <t>10423036</t>
  </si>
  <si>
    <t>LOY CHIFFON JITU 28CM</t>
  </si>
  <si>
    <t>10425499</t>
  </si>
  <si>
    <t>LOY CHIFON SAKURA 20CM</t>
  </si>
  <si>
    <t>10425501</t>
  </si>
  <si>
    <t>LOY CHIFON SAKURA 22CM</t>
  </si>
  <si>
    <t>10425166</t>
  </si>
  <si>
    <t>LOY CHSCAKE OVAL GOLD 22,2X10.8X5,8CM LCC0001</t>
  </si>
  <si>
    <t>10423246</t>
  </si>
  <si>
    <t>LOY CIFFON P 24CM</t>
  </si>
  <si>
    <t>10421932</t>
  </si>
  <si>
    <t>LOY CIFON 4 TELUR</t>
  </si>
  <si>
    <t>10421931</t>
  </si>
  <si>
    <t>LOY CIFON 6 TELUR</t>
  </si>
  <si>
    <t>10421889</t>
  </si>
  <si>
    <t>LOY CIFON 8 TELUR</t>
  </si>
  <si>
    <t>10425515</t>
  </si>
  <si>
    <t>LOY CIFON LURUS 22CM</t>
  </si>
  <si>
    <t>10425514</t>
  </si>
  <si>
    <t>LOY CIFON LURUS 26CM</t>
  </si>
  <si>
    <t>10422061</t>
  </si>
  <si>
    <t>LOY CIFON MINI T8</t>
  </si>
  <si>
    <t>10423615</t>
  </si>
  <si>
    <t>LOY COOKIES GOLD LARGE</t>
  </si>
  <si>
    <t>10423809</t>
  </si>
  <si>
    <t>LOY DIAMOND GOLD 12CUP L120008 LISSE</t>
  </si>
  <si>
    <t>10423451</t>
  </si>
  <si>
    <t>LOY DOMINO B 20 CM</t>
  </si>
  <si>
    <t>10423137</t>
  </si>
  <si>
    <t>LOY DOMINO B 24</t>
  </si>
  <si>
    <t>10423452</t>
  </si>
  <si>
    <t>LOY DOMINO P 20 CM</t>
  </si>
  <si>
    <t>10423138</t>
  </si>
  <si>
    <t>LOY DOMINO P 24</t>
  </si>
  <si>
    <t>10423804</t>
  </si>
  <si>
    <t>LOY DONAT GOLD 6CUP L6C0003 LISSE</t>
  </si>
  <si>
    <t>10425508</t>
  </si>
  <si>
    <t>LOY GANCET POLOS OVAL</t>
  </si>
  <si>
    <t>10422057</t>
  </si>
  <si>
    <t>LOY GERIGI SEGI 3 KCL</t>
  </si>
  <si>
    <t>10422055</t>
  </si>
  <si>
    <t>LOY GERIGI U KECIL</t>
  </si>
  <si>
    <t>10423796</t>
  </si>
  <si>
    <t>LOY GOLD L 32.4X26.9X6.2 LPS0003 LISSE</t>
  </si>
  <si>
    <t>10423803</t>
  </si>
  <si>
    <t>LOY GOLD MAKER CUP6 L6C0008 LISSE</t>
  </si>
  <si>
    <t>6917790995284</t>
  </si>
  <si>
    <t>LOY HOTDOG OVAL GOLD LCC0002 LISSE</t>
  </si>
  <si>
    <t>10422072</t>
  </si>
  <si>
    <t>LOY IMPORT LOVE</t>
  </si>
  <si>
    <t>10422071</t>
  </si>
  <si>
    <t>LOY IMPORT PANDA</t>
  </si>
  <si>
    <t>10425496</t>
  </si>
  <si>
    <t>LOY JARING 55X35</t>
  </si>
  <si>
    <t>10425357</t>
  </si>
  <si>
    <t>LOY JARING 60X40X3</t>
  </si>
  <si>
    <t>10422065</t>
  </si>
  <si>
    <t>LOY KECIL PETAK</t>
  </si>
  <si>
    <t>10423434</t>
  </si>
  <si>
    <t>LOY KICK PRES 20CM</t>
  </si>
  <si>
    <t>10423480</t>
  </si>
  <si>
    <t>LOY KICK PRES 22CM</t>
  </si>
  <si>
    <t>10423435</t>
  </si>
  <si>
    <t>LOY KICK PRES 24CM</t>
  </si>
  <si>
    <t>10423433</t>
  </si>
  <si>
    <t>LOY KICK PRES 26CM</t>
  </si>
  <si>
    <t>0579554189238</t>
  </si>
  <si>
    <t>LOY KOTAK SET5 LY2</t>
  </si>
  <si>
    <t>10423810</t>
  </si>
  <si>
    <t>LOY KTK GOLD 12CUP L120010 LISSE</t>
  </si>
  <si>
    <t>10422148</t>
  </si>
  <si>
    <t>LOY KUE 60X40X3</t>
  </si>
  <si>
    <t>10425300</t>
  </si>
  <si>
    <t>LOY LAPIS SURBYA 20X30X4</t>
  </si>
  <si>
    <t>10425321</t>
  </si>
  <si>
    <t>LOY LAPIS SURBYA 24X30X4</t>
  </si>
  <si>
    <t>10421844</t>
  </si>
  <si>
    <t>LOY LAPIS SURBYA 30X30X4</t>
  </si>
  <si>
    <t>10422344</t>
  </si>
  <si>
    <t>LOY LIDAH KUCING 22X25 CM</t>
  </si>
  <si>
    <t>10422837</t>
  </si>
  <si>
    <t>LOY LIDAH KUCING 25X25 CM</t>
  </si>
  <si>
    <t>10422345</t>
  </si>
  <si>
    <t>LOY LIDAH KUCING 30X30 CM</t>
  </si>
  <si>
    <t>10422346</t>
  </si>
  <si>
    <t>LOY LIDAH KUCING 30X40 CM</t>
  </si>
  <si>
    <t>10423410</t>
  </si>
  <si>
    <t>LOY LIDAH KUCING 30X50 CM</t>
  </si>
  <si>
    <t>10422375</t>
  </si>
  <si>
    <t>LOY LIDAH KUCING BULAT 30X30</t>
  </si>
  <si>
    <t>10422374</t>
  </si>
  <si>
    <t>LOY LIDAH KUCING LOVE 30X30</t>
  </si>
  <si>
    <t>10422376</t>
  </si>
  <si>
    <t>LOY LIDAH KUCING SAKURA 30X30</t>
  </si>
  <si>
    <t>10421886</t>
  </si>
  <si>
    <t>LOY LOVE 8 INCH</t>
  </si>
  <si>
    <t>10421888</t>
  </si>
  <si>
    <t>LOY LOVE 10 INCHI</t>
  </si>
  <si>
    <t>10421884</t>
  </si>
  <si>
    <t>LOY LOVE 6 INCH</t>
  </si>
  <si>
    <t>10421885</t>
  </si>
  <si>
    <t>LOY LOVE 7 INCH</t>
  </si>
  <si>
    <t>10421887</t>
  </si>
  <si>
    <t>LOY LOVE 9 INCHI</t>
  </si>
  <si>
    <t>10423820</t>
  </si>
  <si>
    <t>LOY MACARON BLT GOLD 30CUP LMC0003 LISSE</t>
  </si>
  <si>
    <t>6958004013080</t>
  </si>
  <si>
    <t>LOY MACARONE BLT 28CUP LMC0002 LISSE</t>
  </si>
  <si>
    <t>10425200</t>
  </si>
  <si>
    <t>LOY MACARONE BLT TOSCA LMC0004 LISSE 30CUP</t>
  </si>
  <si>
    <t>6958004013097</t>
  </si>
  <si>
    <t>LOY MACARONE MOTIF LMC0001 LISSE</t>
  </si>
  <si>
    <t>10425202</t>
  </si>
  <si>
    <t>LOY MADELINE 12CUP 35X26 L120014 LISSE</t>
  </si>
  <si>
    <t>10423807</t>
  </si>
  <si>
    <t>LOY MADELINE GOLD 12CUP L120013 LISSE</t>
  </si>
  <si>
    <t>6930776304412</t>
  </si>
  <si>
    <t>LOY MADELINE LOVE GOLD 12CUP L120003 LISSE</t>
  </si>
  <si>
    <t>6958004014186</t>
  </si>
  <si>
    <t>LOY MADELINE RED 12CUP L120004 LISSE</t>
  </si>
  <si>
    <t>10424546</t>
  </si>
  <si>
    <t>LOY MOTIF BM16</t>
  </si>
  <si>
    <t>10424544</t>
  </si>
  <si>
    <t>LOY MOTIF LOVKER BM14</t>
  </si>
  <si>
    <t>10422989</t>
  </si>
  <si>
    <t>LOY MUFFIN 12 LUBANG</t>
  </si>
  <si>
    <t>10423193</t>
  </si>
  <si>
    <t>LOY MUFFIN 16 LUBANG</t>
  </si>
  <si>
    <t>10423686</t>
  </si>
  <si>
    <t>LOY MUFFIN 6 LUBANG</t>
  </si>
  <si>
    <t>10422988</t>
  </si>
  <si>
    <t>LOY MUFFIN 9 LUBANG</t>
  </si>
  <si>
    <t>6958004010133</t>
  </si>
  <si>
    <t>LOY MUFFIN GOLD 12CUP L120002 LISSE</t>
  </si>
  <si>
    <t>10423423</t>
  </si>
  <si>
    <t>LOY OVAL 18X6CM</t>
  </si>
  <si>
    <t>10423247</t>
  </si>
  <si>
    <t>LOY OVAL 20X6</t>
  </si>
  <si>
    <t>10425385</t>
  </si>
  <si>
    <t>LOY OVEN 46X72X3</t>
  </si>
  <si>
    <t>10422818</t>
  </si>
  <si>
    <t>LOY P 12X12X5CM</t>
  </si>
  <si>
    <t>10422822</t>
  </si>
  <si>
    <t>LOY P 12X12X7CM</t>
  </si>
  <si>
    <t>10423199</t>
  </si>
  <si>
    <t>LOY P 15X15X5CM</t>
  </si>
  <si>
    <t>10422823</t>
  </si>
  <si>
    <t>LOY P 15X15X7CM</t>
  </si>
  <si>
    <t>10425216</t>
  </si>
  <si>
    <t>LOY P 18X18X4CM</t>
  </si>
  <si>
    <t>10422819</t>
  </si>
  <si>
    <t>LOY P 18X18X5CM</t>
  </si>
  <si>
    <t>10422824</t>
  </si>
  <si>
    <t>LOY P 18X18X7CM</t>
  </si>
  <si>
    <t>10425217</t>
  </si>
  <si>
    <t>LOY P 20X20X4CM</t>
  </si>
  <si>
    <t>10422820</t>
  </si>
  <si>
    <t>LOY P 20X20X5CM</t>
  </si>
  <si>
    <t>10422684</t>
  </si>
  <si>
    <t>LOY P 20X20X7CM</t>
  </si>
  <si>
    <t>10422821</t>
  </si>
  <si>
    <t>LOY P 22X22X5CM</t>
  </si>
  <si>
    <t>10422826</t>
  </si>
  <si>
    <t>LOY P 22X22X7CM</t>
  </si>
  <si>
    <t>10425545</t>
  </si>
  <si>
    <t>LOY P 23X23X7CM</t>
  </si>
  <si>
    <t>10427513</t>
  </si>
  <si>
    <t>LOY P 24X24X4CM</t>
  </si>
  <si>
    <t>10422817</t>
  </si>
  <si>
    <t>LOY P 25X25X5CM</t>
  </si>
  <si>
    <t>10422815</t>
  </si>
  <si>
    <t>LOY P 25X25X7CM</t>
  </si>
  <si>
    <t>10423668</t>
  </si>
  <si>
    <t>LOY P 26X26X7CM</t>
  </si>
  <si>
    <t>10423200</t>
  </si>
  <si>
    <t>LOY P 28X28X5CM</t>
  </si>
  <si>
    <t>10422816</t>
  </si>
  <si>
    <t>LOY P 28X28X7CM</t>
  </si>
  <si>
    <t>10423201</t>
  </si>
  <si>
    <t>LOY P 30X30X5CM</t>
  </si>
  <si>
    <t>10422827</t>
  </si>
  <si>
    <t>LOY P 30X30X7CM</t>
  </si>
  <si>
    <t>10423453</t>
  </si>
  <si>
    <t>LOY PAI BSR 15 CM</t>
  </si>
  <si>
    <t>10423454</t>
  </si>
  <si>
    <t>LOY PAI BSR 16 CM</t>
  </si>
  <si>
    <t>10423455</t>
  </si>
  <si>
    <t>LOY PAI BSR 18 CM</t>
  </si>
  <si>
    <t>10423456</t>
  </si>
  <si>
    <t>LOY PAI BSR 20 CM</t>
  </si>
  <si>
    <t>10423457</t>
  </si>
  <si>
    <t>LOY PAI BSR 22 CM</t>
  </si>
  <si>
    <t>10425497</t>
  </si>
  <si>
    <t>LOY PAI BSR 24CM</t>
  </si>
  <si>
    <t>10425498</t>
  </si>
  <si>
    <t>LOY PAI BSR 26CM</t>
  </si>
  <si>
    <t>10423747</t>
  </si>
  <si>
    <t>LOY PERSEGI BONGPAS GOLD LPS0024 LISSE</t>
  </si>
  <si>
    <t>10423802</t>
  </si>
  <si>
    <t>LOY PERSEGI GOLD L LPS0020 LISSE</t>
  </si>
  <si>
    <t>10423801</t>
  </si>
  <si>
    <t>LOY PERSEGI GOLD M LPS0019 LISSE</t>
  </si>
  <si>
    <t>6930776310741</t>
  </si>
  <si>
    <t>LOY PERSEGI PEARL PINK LPS0022 LISSE</t>
  </si>
  <si>
    <t>6958004011642</t>
  </si>
  <si>
    <t>LOY PIE BLT GOLD 10 INC LPE0004 LISSE SC</t>
  </si>
  <si>
    <t>6958004010379</t>
  </si>
  <si>
    <t>LOY PIE BLT GOLD 8INCH LPE0005 LISSE SC</t>
  </si>
  <si>
    <t>6958004012694</t>
  </si>
  <si>
    <t>LOY PIE BLT RED 8INC LPE0006 LISSE SC</t>
  </si>
  <si>
    <t>10426510</t>
  </si>
  <si>
    <t>LOY PIE MINI PERSEGI DARK GREY LPE0008</t>
  </si>
  <si>
    <t>6966985658213</t>
  </si>
  <si>
    <t>LOY PIE PAN 20CM 01023-1</t>
  </si>
  <si>
    <t>6966985658237</t>
  </si>
  <si>
    <t>LOY PIE PAN 24CM 01023-2</t>
  </si>
  <si>
    <t>6966985658251</t>
  </si>
  <si>
    <t>LOY PIE PAN 28CM 01023-3</t>
  </si>
  <si>
    <t>6958004012663</t>
  </si>
  <si>
    <t>LOY PIE PERSEGI 25X25X4CM LPE0007 LISSE</t>
  </si>
  <si>
    <t>10423799</t>
  </si>
  <si>
    <t>LOY PINK L LPS0009 LISSE</t>
  </si>
  <si>
    <t>10423798</t>
  </si>
  <si>
    <t>LOY PINK M LPS0008 LISSE</t>
  </si>
  <si>
    <t>1042572</t>
  </si>
  <si>
    <t>LOY PISANG BESAR 10S</t>
  </si>
  <si>
    <t>10421958</t>
  </si>
  <si>
    <t>LOY PISANG BSR 13CM</t>
  </si>
  <si>
    <t>10421960</t>
  </si>
  <si>
    <t>LOY PISANG KCL 9CM</t>
  </si>
  <si>
    <t>1042574</t>
  </si>
  <si>
    <t>LOY PISANG KECIL 10S</t>
  </si>
  <si>
    <t>1042573</t>
  </si>
  <si>
    <t>LOY PISANG SEDANG 10S</t>
  </si>
  <si>
    <t>10421962</t>
  </si>
  <si>
    <t>LOY PIZZA 10 T2</t>
  </si>
  <si>
    <t>10423932</t>
  </si>
  <si>
    <t>LOY PIZZA 12 T2</t>
  </si>
  <si>
    <t>10423933</t>
  </si>
  <si>
    <t>LOY PIZZA 14 T2</t>
  </si>
  <si>
    <t>10421961</t>
  </si>
  <si>
    <t>LOY PIZZA 16 T2</t>
  </si>
  <si>
    <t>10421934</t>
  </si>
  <si>
    <t>LOY PIZZA 18 T2</t>
  </si>
  <si>
    <t>10421935</t>
  </si>
  <si>
    <t>LOY PIZZA 20 T2</t>
  </si>
  <si>
    <t>10421936</t>
  </si>
  <si>
    <t>LOY PIZZA 22 T2</t>
  </si>
  <si>
    <t>10421937</t>
  </si>
  <si>
    <t>LOY PIZZA 24 T2</t>
  </si>
  <si>
    <t>10421939</t>
  </si>
  <si>
    <t>LOY PIZZA 26 T2</t>
  </si>
  <si>
    <t>10421940</t>
  </si>
  <si>
    <t>LOY PIZZA 28 T2</t>
  </si>
  <si>
    <t>10423392</t>
  </si>
  <si>
    <t>LOY PIZZA 30 T2</t>
  </si>
  <si>
    <t>10423538</t>
  </si>
  <si>
    <t>LOY PIZZA LUBANG 20CM LPL2</t>
  </si>
  <si>
    <t>10423429</t>
  </si>
  <si>
    <t>LOY PIZZA LUBANG 24CM</t>
  </si>
  <si>
    <t>10424611</t>
  </si>
  <si>
    <t>LOY PIZZA LUBANG LEPAS LPL1</t>
  </si>
  <si>
    <t>10423562</t>
  </si>
  <si>
    <t>LOY PIZZA LUBANG2 LEPAS LPL3</t>
  </si>
  <si>
    <t>6958004010607</t>
  </si>
  <si>
    <t>LOY PIZZA PINK 8INC LPZ0003 LISSE</t>
  </si>
  <si>
    <t>6958004010713</t>
  </si>
  <si>
    <t>LOY PIZZA PINK 6 INC LPZ0002 LISSE</t>
  </si>
  <si>
    <t>10422232</t>
  </si>
  <si>
    <t>LOY PONDAN PULDE 18CM</t>
  </si>
  <si>
    <t>10422233</t>
  </si>
  <si>
    <t>LOY PONDAN PULDE 20CM</t>
  </si>
  <si>
    <t>10422234</t>
  </si>
  <si>
    <t>LOY PONDAN PULDE 22CM</t>
  </si>
  <si>
    <t>10422235</t>
  </si>
  <si>
    <t>LOY PONDAN PULDE 24CM</t>
  </si>
  <si>
    <t>10422236</t>
  </si>
  <si>
    <t>LOY PONDAN PULDE 26CM</t>
  </si>
  <si>
    <t>10423194</t>
  </si>
  <si>
    <t>LOY PONDAN PULDE 28CM</t>
  </si>
  <si>
    <t>10423667</t>
  </si>
  <si>
    <t>LOY ROTI SISIR 20X12X5CM</t>
  </si>
  <si>
    <t>10421946</t>
  </si>
  <si>
    <t>LOY ROTI SISIR 22X12X5CM</t>
  </si>
  <si>
    <t>10425213</t>
  </si>
  <si>
    <t>LOY ROTI SISIR 24X12X5CM</t>
  </si>
  <si>
    <t>10424026</t>
  </si>
  <si>
    <t>LOY ROTI TAWAR 20X10CM</t>
  </si>
  <si>
    <t>10424008</t>
  </si>
  <si>
    <t>LOY ROTI TAWAR 22X10CM</t>
  </si>
  <si>
    <t>10421947</t>
  </si>
  <si>
    <t>LOY ROTI TAWAR 24X10CM</t>
  </si>
  <si>
    <t>10422343</t>
  </si>
  <si>
    <t>LOY ROTI TAWAR GERIGI 20X8X8CM</t>
  </si>
  <si>
    <t>10422069</t>
  </si>
  <si>
    <t>LOY ROTI TAWAR GERIGI 24X8X8CM</t>
  </si>
  <si>
    <t>10425211</t>
  </si>
  <si>
    <t>LOY RUGBY GOLD 12CUP L120016 LISSE</t>
  </si>
  <si>
    <t>10422639</t>
  </si>
  <si>
    <t>LOY SAKURA 3 INCI</t>
  </si>
  <si>
    <t>10422640</t>
  </si>
  <si>
    <t>LOY SAKURA 4 INCI</t>
  </si>
  <si>
    <t>10423391</t>
  </si>
  <si>
    <t>LOY SEKAT 20X10X4</t>
  </si>
  <si>
    <t>10423139</t>
  </si>
  <si>
    <t>LOY SEKAT 20X20CM</t>
  </si>
  <si>
    <t>10425330</t>
  </si>
  <si>
    <t>LOY SEKAT 22X10CM</t>
  </si>
  <si>
    <t>10423191</t>
  </si>
  <si>
    <t>LOY SEKAT 22X22CM</t>
  </si>
  <si>
    <t>10422141</t>
  </si>
  <si>
    <t>LOY SEKAT 24X24CM</t>
  </si>
  <si>
    <t>10423192</t>
  </si>
  <si>
    <t>LOY SEKAT 30X10CM</t>
  </si>
  <si>
    <t>10422347</t>
  </si>
  <si>
    <t>LOY SEKAT 30X30CM</t>
  </si>
  <si>
    <t>10423245</t>
  </si>
  <si>
    <t>LOY SPIKU 24X24CM</t>
  </si>
  <si>
    <t>10424245</t>
  </si>
  <si>
    <t>LOY SQUARE BAKE PAN 20X20X5 LY24</t>
  </si>
  <si>
    <t>10421988</t>
  </si>
  <si>
    <t>LOY SS CENDOL PIRING</t>
  </si>
  <si>
    <t>6971824951302</t>
  </si>
  <si>
    <t>LOY STAIN TRIANGLE SEKAT6 L6C0010 LISSE</t>
  </si>
  <si>
    <t>10424011</t>
  </si>
  <si>
    <t>LOY SULTAN 1</t>
  </si>
  <si>
    <t>10424012</t>
  </si>
  <si>
    <t>LOY SULTAN 2</t>
  </si>
  <si>
    <t>10424013</t>
  </si>
  <si>
    <t>LOY SULTAN 3</t>
  </si>
  <si>
    <t>10424014</t>
  </si>
  <si>
    <t>LOY SULTAN 4</t>
  </si>
  <si>
    <t>10424015</t>
  </si>
  <si>
    <t>LOY SULTAN 5</t>
  </si>
  <si>
    <t>10424016</t>
  </si>
  <si>
    <t>LOY SULTAN 6</t>
  </si>
  <si>
    <t>10424017</t>
  </si>
  <si>
    <t>LOY SULTAN 7</t>
  </si>
  <si>
    <t>10424018</t>
  </si>
  <si>
    <t>LOY SULTAN 8</t>
  </si>
  <si>
    <t>10421874</t>
  </si>
  <si>
    <t>LOY T2 BULAT 12 INCI</t>
  </si>
  <si>
    <t>10421881</t>
  </si>
  <si>
    <t>LOY T3 BULAT 11 INCI</t>
  </si>
  <si>
    <t>10421882</t>
  </si>
  <si>
    <t>LOY T3 BULAT 12 INCI</t>
  </si>
  <si>
    <t>10422503</t>
  </si>
  <si>
    <t>LOY TANGGA SAMPING</t>
  </si>
  <si>
    <t>10422502</t>
  </si>
  <si>
    <t>LOY TANGGA TENGAH</t>
  </si>
  <si>
    <t>10427166</t>
  </si>
  <si>
    <t>LOY TIRAMISU 20X8X7CM</t>
  </si>
  <si>
    <t>10427165</t>
  </si>
  <si>
    <t>LOY TIRAMISU 25X8X7CM</t>
  </si>
  <si>
    <t>10427164</t>
  </si>
  <si>
    <t>LOY TIRAMISU 30X8X7CM</t>
  </si>
  <si>
    <t>10423684</t>
  </si>
  <si>
    <t>LOY TRAVEL CAKE 20X6X6</t>
  </si>
  <si>
    <t>10421985</t>
  </si>
  <si>
    <t>LOY TUMPENG 7CM</t>
  </si>
  <si>
    <t>10421986</t>
  </si>
  <si>
    <t>LOY TUMPENG 8CM</t>
  </si>
  <si>
    <t>10421987</t>
  </si>
  <si>
    <t>LOY TUMPENG 9CM</t>
  </si>
  <si>
    <t>10425020</t>
  </si>
  <si>
    <t>LOYANG BM 10 RECTANGLE LBM-9</t>
  </si>
  <si>
    <t>10425022</t>
  </si>
  <si>
    <t>LOYANG BM 12 FLOWERS+LOVE LBM-7</t>
  </si>
  <si>
    <t>10425018</t>
  </si>
  <si>
    <t>LOYANG BM 24 FLOWERS LBM-8</t>
  </si>
  <si>
    <t>10425019</t>
  </si>
  <si>
    <t>LOYANG BM 4 CIRCLE LBM-3</t>
  </si>
  <si>
    <t>10425021</t>
  </si>
  <si>
    <t>LOYANG BM 6 DONUTS LBM-6</t>
  </si>
  <si>
    <t>10425033</t>
  </si>
  <si>
    <t>LOYANG BM 7 CIRCLE LBM-10</t>
  </si>
  <si>
    <t>10422899</t>
  </si>
  <si>
    <t>LOYANG BULAT 16.5CM KL-6</t>
  </si>
  <si>
    <t>10422900</t>
  </si>
  <si>
    <t>LOYANG BULAT 21.5CM KL-8</t>
  </si>
  <si>
    <t>10423586</t>
  </si>
  <si>
    <t>LOYANG BULAT B 25,5CM LY23</t>
  </si>
  <si>
    <t>10424549</t>
  </si>
  <si>
    <t>LOYANG BULAT K 22,5CM LY22</t>
  </si>
  <si>
    <t>10422396</t>
  </si>
  <si>
    <t>LOYANG BUNGA RICH 3657-4</t>
  </si>
  <si>
    <t>10422395</t>
  </si>
  <si>
    <t>LOYANG BUNGA SUN 3657-3</t>
  </si>
  <si>
    <t>10424922</t>
  </si>
  <si>
    <t>LOYANG CAKE 15X27.5CM 01023-7</t>
  </si>
  <si>
    <t>10424921</t>
  </si>
  <si>
    <t>LOYANG CAKE 21,5X11,5X6CM 01023-6</t>
  </si>
  <si>
    <t>10422380</t>
  </si>
  <si>
    <t>LOYANG MG - 006</t>
  </si>
  <si>
    <t>10422865</t>
  </si>
  <si>
    <t>LOYANG MG - 007</t>
  </si>
  <si>
    <t>10423422</t>
  </si>
  <si>
    <t>LOYANG MG - 008</t>
  </si>
  <si>
    <t>10422378</t>
  </si>
  <si>
    <t>LOYANG MG - 018</t>
  </si>
  <si>
    <t>6958004014131</t>
  </si>
  <si>
    <t>LOYANG NASTAR TAIWAN SUNCITY</t>
  </si>
  <si>
    <t>10423608</t>
  </si>
  <si>
    <t>LOYANG NOUGAT/MARSHMALLOW GOLD</t>
  </si>
  <si>
    <t>10424989</t>
  </si>
  <si>
    <t>LOYANG PIZZA 24CM 01023-10</t>
  </si>
  <si>
    <t>10424990</t>
  </si>
  <si>
    <t>LOYANG PIZZA 26CM 01023-11</t>
  </si>
  <si>
    <t>10424991</t>
  </si>
  <si>
    <t>LOYANG PIZZA 29CM 01023-12</t>
  </si>
  <si>
    <t>6958004013912</t>
  </si>
  <si>
    <t>LOYANG SUNCITY BLT GOLD PONGPAS LBB0008</t>
  </si>
  <si>
    <t>6958004010911</t>
  </si>
  <si>
    <t>LOYANG SUNCITY BLT PINK BONGPAS LBB0007</t>
  </si>
  <si>
    <t>8997008680124</t>
  </si>
  <si>
    <t>LSC MACKEREL SAUS TOMAT 425GR</t>
  </si>
  <si>
    <t>10423923</t>
  </si>
  <si>
    <t>LUNCH BOX CKLT 16X9X5 CM</t>
  </si>
  <si>
    <t>10423919</t>
  </si>
  <si>
    <t>LUNCH BOX COKLAT 18X10X4 CM</t>
  </si>
  <si>
    <t>8994456013221</t>
  </si>
  <si>
    <t>LUNCH BOX S CKLT 50S</t>
  </si>
  <si>
    <t>10200334</t>
  </si>
  <si>
    <t>LUTOSA POTATO FLAKES 500GR</t>
  </si>
  <si>
    <t>8994171102552</t>
  </si>
  <si>
    <t>LUWAK KOFFIE OVALCCINO 25GR 10S</t>
  </si>
  <si>
    <t>8994171101289</t>
  </si>
  <si>
    <t>LUWAK WHITE KOFFIE ORI 20GR 10S</t>
  </si>
  <si>
    <t>6975982720120</t>
  </si>
  <si>
    <t>LY 12 CUP MUFFIN CAKE+SILICONE WY04-13</t>
  </si>
  <si>
    <t>6975982720137</t>
  </si>
  <si>
    <t>LY 24 CUP MUFFIN CAKE+SILICONE WY04-14</t>
  </si>
  <si>
    <t>6975982720113</t>
  </si>
  <si>
    <t>LY 6 CUP GIANT CAKE+SILICONE WY04-12</t>
  </si>
  <si>
    <t>6975982720106</t>
  </si>
  <si>
    <t>LY 6 CUP MUFFIN CAKE+SILICONE WY04-11</t>
  </si>
  <si>
    <t>6975982720090</t>
  </si>
  <si>
    <t>LY BUNDT CAKE+SILICONE WY04-10</t>
  </si>
  <si>
    <t>6975982720083</t>
  </si>
  <si>
    <t>LY COOKIE SHEET B CAKE+SILICONE WY04-9</t>
  </si>
  <si>
    <t>6975982720069</t>
  </si>
  <si>
    <t>LY COOKIE SHEET K CAKE+SILIKON WY04-7</t>
  </si>
  <si>
    <t>6975982720076</t>
  </si>
  <si>
    <t>LY COOKIE SHEET T CAKE+SILIKON WY04-8</t>
  </si>
  <si>
    <t>10424555</t>
  </si>
  <si>
    <t>LY MOTIF GARIS BM22</t>
  </si>
  <si>
    <t>10424557</t>
  </si>
  <si>
    <t>LY MOTIF LOVE BM41</t>
  </si>
  <si>
    <t>6975982720045</t>
  </si>
  <si>
    <t>LY ROASTER B CAKE+SILIKON WY04-5</t>
  </si>
  <si>
    <t>6975982720052</t>
  </si>
  <si>
    <t>LY ROASTER B CAKE+SILIKON WY04-6</t>
  </si>
  <si>
    <t>8997209230630</t>
  </si>
  <si>
    <t>MADAM BUN ROTI BURGER 300GR 6S</t>
  </si>
  <si>
    <t>6281073210228</t>
  </si>
  <si>
    <t>MADU ALSHIFA 1KG</t>
  </si>
  <si>
    <t>6281073210242</t>
  </si>
  <si>
    <t>MADU ALSHIFA 1KG+250G</t>
  </si>
  <si>
    <t>6281073210143</t>
  </si>
  <si>
    <t>MADU ALSHIFA 250ML</t>
  </si>
  <si>
    <t>6281073210181</t>
  </si>
  <si>
    <t>MADU ALSHIFA 500GR</t>
  </si>
  <si>
    <t>8992918165020</t>
  </si>
  <si>
    <t>MADU NUSANTARA 250ML</t>
  </si>
  <si>
    <t>3523230059534</t>
  </si>
  <si>
    <t>MAESTRELLA MOZARELLA 2.49KG</t>
  </si>
  <si>
    <t>8998888461766</t>
  </si>
  <si>
    <t>MAESTRO BLUE CHEESE BTL 237ML</t>
  </si>
  <si>
    <t>8998888461117</t>
  </si>
  <si>
    <t>MAESTRO MAYONAISE 100GR</t>
  </si>
  <si>
    <t>8998888461124</t>
  </si>
  <si>
    <t>MAESTRO MAYONAISE 180GR</t>
  </si>
  <si>
    <t>8998888461100</t>
  </si>
  <si>
    <t>MAESTRO MAYONAISE 25GR</t>
  </si>
  <si>
    <t>8998888461254</t>
  </si>
  <si>
    <t>MAESTRO MAYONAISE 300ML</t>
  </si>
  <si>
    <t>8998888461131</t>
  </si>
  <si>
    <t>MAESTRO MAYONAISE BTL 225ML</t>
  </si>
  <si>
    <t>MAESTRO MAYONAISE PCH 1KG</t>
  </si>
  <si>
    <t>8998888461810</t>
  </si>
  <si>
    <t>MAESTRO MAYONAISE PEDAS 100GR</t>
  </si>
  <si>
    <t>MAESTRO MUSTARD 1KG</t>
  </si>
  <si>
    <t>8998888461049</t>
  </si>
  <si>
    <t>MAESTRO MUSTARD BTL 245GR</t>
  </si>
  <si>
    <t>8998888000156</t>
  </si>
  <si>
    <t>MAESTRO SAUS MAYO 1KG</t>
  </si>
  <si>
    <t>8998888000149</t>
  </si>
  <si>
    <t>MAESTRO SAUS MAYO 500GR</t>
  </si>
  <si>
    <t>8998888462824</t>
  </si>
  <si>
    <t>MAESTRO SAUS TIRAM 180GR</t>
  </si>
  <si>
    <t>8998888462848</t>
  </si>
  <si>
    <t>MAESTRO SAUS TIRAM 270ML</t>
  </si>
  <si>
    <t>8998888461315</t>
  </si>
  <si>
    <t>MAESTRO THOUSAND ISLAND 100GR</t>
  </si>
  <si>
    <t>8998888461322</t>
  </si>
  <si>
    <t>MAESTRO THOUSAND ISLAND 180GR</t>
  </si>
  <si>
    <t>8998888461384</t>
  </si>
  <si>
    <t>MAESTRO THOUSAND ISLAND 1KG</t>
  </si>
  <si>
    <t>8998888461360</t>
  </si>
  <si>
    <t>MAESTRO THOUSAND ISLAND BTL 237ML</t>
  </si>
  <si>
    <t>8998888462190</t>
  </si>
  <si>
    <t>MAESTRO WIJEN SANGRAI 100GR</t>
  </si>
  <si>
    <t>8998888462169</t>
  </si>
  <si>
    <t>MAESTRO WJIEN SANGRAI 237ML</t>
  </si>
  <si>
    <t>8998888000132</t>
  </si>
  <si>
    <t>MAESTRO YOGURT DRESSING 180GR</t>
  </si>
  <si>
    <t>9556001001474</t>
  </si>
  <si>
    <t>MAGGI OYSTER BTL 350GR</t>
  </si>
  <si>
    <t>8934804006444</t>
  </si>
  <si>
    <t>MAGGI SAUS TIRAM 150GR</t>
  </si>
  <si>
    <t>6917878004488</t>
  </si>
  <si>
    <t>MAGGI SEASONING 800ML</t>
  </si>
  <si>
    <t>8992696403109</t>
  </si>
  <si>
    <t>MAGGI SEASONING BTL 100ML</t>
  </si>
  <si>
    <t>8992696403116</t>
  </si>
  <si>
    <t>MAGGI SEASONING BTL 200ML</t>
  </si>
  <si>
    <t>8994456500080</t>
  </si>
  <si>
    <t>MAGLAM BAKEST SELAI JELLY NANAS 5KG</t>
  </si>
  <si>
    <t>8997004431843</t>
  </si>
  <si>
    <t>MAGLAM PASTA COKLAT 100GR</t>
  </si>
  <si>
    <t>8997004431867</t>
  </si>
  <si>
    <t>MAGLAM PASTA COKLAT BF 100GR</t>
  </si>
  <si>
    <t>8997004432499</t>
  </si>
  <si>
    <t>MAGLAM PASTA MOCHA 100GR</t>
  </si>
  <si>
    <t>8997004432086</t>
  </si>
  <si>
    <t>MAGLAM PASTA PANDAN 100GR</t>
  </si>
  <si>
    <t>8997004435131</t>
  </si>
  <si>
    <t>MAGLAM PASTA PANDAN HIJAU SUJI 100GR</t>
  </si>
  <si>
    <t>8997004432109</t>
  </si>
  <si>
    <t>MAGLAM PASTA PANDAN WANGI 100GR</t>
  </si>
  <si>
    <t>8997004432116</t>
  </si>
  <si>
    <t>MAGLAM PASTA PANDAN WANGI 1KG</t>
  </si>
  <si>
    <t>8997004435292</t>
  </si>
  <si>
    <t>MAGLAM PASTA RED VELVET 100GR</t>
  </si>
  <si>
    <t>8997004432413</t>
  </si>
  <si>
    <t>MAGLAM PERISA BLACK FOREST 100GR</t>
  </si>
  <si>
    <t>8997004431669</t>
  </si>
  <si>
    <t>MAGLAM PERISA BUTTER VANILA 100GR</t>
  </si>
  <si>
    <t>8997004432048</t>
  </si>
  <si>
    <t>MAGLAM PERISA MILK CONDENSED 100GR</t>
  </si>
  <si>
    <t>8997004432321</t>
  </si>
  <si>
    <t>MAGLAM PERISA VANILA 100GR</t>
  </si>
  <si>
    <t>8997004432024</t>
  </si>
  <si>
    <t>MAGLAM PERISA VANILA SUSU 100GR</t>
  </si>
  <si>
    <t>10425521</t>
  </si>
  <si>
    <t>MAHKOTA HBD</t>
  </si>
  <si>
    <t>10422038</t>
  </si>
  <si>
    <t>MAHKOTA SILVER TA-3 HB</t>
  </si>
  <si>
    <t>8997238110132</t>
  </si>
  <si>
    <t>MAHORAHORA GULA AREN BBK 1000ML</t>
  </si>
  <si>
    <t>8997238110118</t>
  </si>
  <si>
    <t>MAHORAHORA GULA AREN CAIR 1000ML</t>
  </si>
  <si>
    <t>078895164015</t>
  </si>
  <si>
    <t>MAHSURI SAUS ASAM MANIS 60GR</t>
  </si>
  <si>
    <t>078895165555</t>
  </si>
  <si>
    <t>MAHSURI SAUS CABE ALA RESTO 235ML</t>
  </si>
  <si>
    <t>078895163971</t>
  </si>
  <si>
    <t>MAHSURI SAUS LADA HITAM 60ML</t>
  </si>
  <si>
    <t>10410422</t>
  </si>
  <si>
    <t>MAIZENA 1/2KG</t>
  </si>
  <si>
    <t>10410418</t>
  </si>
  <si>
    <t>MAIZENA 1KG</t>
  </si>
  <si>
    <t>10200230</t>
  </si>
  <si>
    <t>MAIZENA BOLA 25KG</t>
  </si>
  <si>
    <t>8997209390488</t>
  </si>
  <si>
    <t>MAIZENA BOLA 250GR</t>
  </si>
  <si>
    <t>3178990433164</t>
  </si>
  <si>
    <t>MAIZENA HOLLAND 100GR</t>
  </si>
  <si>
    <t>8995102500102</t>
  </si>
  <si>
    <t>MAIZENA HOLLAND 150GR</t>
  </si>
  <si>
    <t>10200376</t>
  </si>
  <si>
    <t>MAIZENA LOS 25KG</t>
  </si>
  <si>
    <t>10200379</t>
  </si>
  <si>
    <t>MAIZENA MIWON 25KG</t>
  </si>
  <si>
    <t>8993093668351</t>
  </si>
  <si>
    <t>MAIZENA ROSE BRAND 100GR</t>
  </si>
  <si>
    <t>8993093667828</t>
  </si>
  <si>
    <t>MAIZENA ROSE BRAND 250GR</t>
  </si>
  <si>
    <t>8997033630736</t>
  </si>
  <si>
    <t>MAIZENA RUMAH KITA 100GR</t>
  </si>
  <si>
    <t>8714700521001</t>
  </si>
  <si>
    <t>MAIZENAKU TP CORN 100GR</t>
  </si>
  <si>
    <t>8997234210973</t>
  </si>
  <si>
    <t>MAKABA DAUN KELOR CELUP</t>
  </si>
  <si>
    <t>10200108</t>
  </si>
  <si>
    <t>MAKARONI JELAWAT 1KG</t>
  </si>
  <si>
    <t>8888900322079</t>
  </si>
  <si>
    <t>MAKARONI SEDANI KERANG 1KG</t>
  </si>
  <si>
    <t>MAKARONI SEDANI SPIRAL 1KG</t>
  </si>
  <si>
    <t>10600065</t>
  </si>
  <si>
    <t>MAKARONI SUP KERANG 250GR</t>
  </si>
  <si>
    <t>10600066</t>
  </si>
  <si>
    <t>MAKARONI SUP PIPA 250GR</t>
  </si>
  <si>
    <t>10600064</t>
  </si>
  <si>
    <t>MAKARONI SUP SPIRAL 250GR</t>
  </si>
  <si>
    <t>8995002809084</t>
  </si>
  <si>
    <t>MALIMA PLUS 500GR</t>
  </si>
  <si>
    <t>10410428</t>
  </si>
  <si>
    <t>MALINDA KNG 1/2KG</t>
  </si>
  <si>
    <t>MALINDA KNG 1KG</t>
  </si>
  <si>
    <t>10410734</t>
  </si>
  <si>
    <t>MALINDA PTH 1/2KG</t>
  </si>
  <si>
    <t>MALINDA PTH 1KG</t>
  </si>
  <si>
    <t>8995102708171</t>
  </si>
  <si>
    <t>MAMASUKA R. LAUT KERING PANGGANG PEDAS 80X4,5GR 2S</t>
  </si>
  <si>
    <t>8995102708102</t>
  </si>
  <si>
    <t>MAMASUKA R. LAUT SALTED EGG 80X4,5GR</t>
  </si>
  <si>
    <t>8995102708119</t>
  </si>
  <si>
    <t>MAMASUKA R.LAUT SALTED EGG 4.5GR 2S</t>
  </si>
  <si>
    <t>8995102702117</t>
  </si>
  <si>
    <t>MAMASUKA TP BAKWAN 20X80GR</t>
  </si>
  <si>
    <t>8995102702025</t>
  </si>
  <si>
    <t>MAMASUKA TP BB KRISPY 70GR</t>
  </si>
  <si>
    <t>8995102702643</t>
  </si>
  <si>
    <t>MAMASUKA TP PISANG GRG VANILA 20X70GR</t>
  </si>
  <si>
    <t>6904555699204</t>
  </si>
  <si>
    <t>MAMATA ASPARAGUS CUT 430GR</t>
  </si>
  <si>
    <t>6904555699211</t>
  </si>
  <si>
    <t>MAMATA ASPARAGUS SPEAR 430GR</t>
  </si>
  <si>
    <t>6901009575060</t>
  </si>
  <si>
    <t>MAMATA JAMUR KANCING 425GR</t>
  </si>
  <si>
    <t>9555038405149</t>
  </si>
  <si>
    <t>MAMATA SIRUP BLACKCURRANT 1L</t>
  </si>
  <si>
    <t>9555038405118</t>
  </si>
  <si>
    <t>MAMATA SIRUP LECI 1L</t>
  </si>
  <si>
    <t>9555038405163</t>
  </si>
  <si>
    <t>MAMATA SIRUP ORANGE 1L</t>
  </si>
  <si>
    <t>10411661</t>
  </si>
  <si>
    <t>MAMATA SIRUP ROSE 1L</t>
  </si>
  <si>
    <t>9555038405187</t>
  </si>
  <si>
    <t>MAMATA SIRUP SARSAPARILLA 1L</t>
  </si>
  <si>
    <t>8850643071194</t>
  </si>
  <si>
    <t>MAMATA TOM YAUM 340gr</t>
  </si>
  <si>
    <t>8850643071187</t>
  </si>
  <si>
    <t>MAMATA TOM YUM 114GR</t>
  </si>
  <si>
    <t>8888516997371</t>
  </si>
  <si>
    <t>MAMATA TP KENTANG 300GR</t>
  </si>
  <si>
    <t>8888516996596</t>
  </si>
  <si>
    <t>MAMATA TP TANGMIEN 600GR</t>
  </si>
  <si>
    <t>8850643073327</t>
  </si>
  <si>
    <t>MAMATA VEGETARIAN TOMYUM 340GR</t>
  </si>
  <si>
    <t>8993200662760</t>
  </si>
  <si>
    <t>MAMAYO MAYONAIS 200GR</t>
  </si>
  <si>
    <t>10424197</t>
  </si>
  <si>
    <t>MANGKOK 18CM MB15</t>
  </si>
  <si>
    <t>10423526</t>
  </si>
  <si>
    <t>MANGKOK 18CM MB6</t>
  </si>
  <si>
    <t>10424250</t>
  </si>
  <si>
    <t>MANGKOK 20CM MB16</t>
  </si>
  <si>
    <t>10423527</t>
  </si>
  <si>
    <t>MANGKOK 20CM MB5</t>
  </si>
  <si>
    <t>10422256</t>
  </si>
  <si>
    <t>MANGKOK 22 CM MB4</t>
  </si>
  <si>
    <t>10424247</t>
  </si>
  <si>
    <t>MANGKOK 22CM MB17</t>
  </si>
  <si>
    <t>10422255</t>
  </si>
  <si>
    <t>MANGKOK 24 CM MB3</t>
  </si>
  <si>
    <t>10424248</t>
  </si>
  <si>
    <t>MANGKOK 24CM MB18</t>
  </si>
  <si>
    <t>10422254</t>
  </si>
  <si>
    <t>MANGKOK 26 CM MB2</t>
  </si>
  <si>
    <t>10424249</t>
  </si>
  <si>
    <t>MANGKOK 26CM MB19</t>
  </si>
  <si>
    <t>10420149</t>
  </si>
  <si>
    <t>MANGKOK BSM MK5</t>
  </si>
  <si>
    <t>10420017</t>
  </si>
  <si>
    <t>MANGKOK BSM MK6</t>
  </si>
  <si>
    <t>10420148</t>
  </si>
  <si>
    <t>MANGKOK BSM MK7</t>
  </si>
  <si>
    <t>10427424</t>
  </si>
  <si>
    <t>MANGKOK BUBUR SUPER BUBBLE+TTP 50S</t>
  </si>
  <si>
    <t>10520084</t>
  </si>
  <si>
    <t>MANGKOK BUSA M0</t>
  </si>
  <si>
    <t>10422881</t>
  </si>
  <si>
    <t>MANGKOK STAINLES MB20</t>
  </si>
  <si>
    <t>10100306</t>
  </si>
  <si>
    <t>MANJAKANI 1KG</t>
  </si>
  <si>
    <t>10100308</t>
  </si>
  <si>
    <t>MANJAKANI 50GR</t>
  </si>
  <si>
    <t>9555394503367</t>
  </si>
  <si>
    <t>MANTAP SKM 505GR</t>
  </si>
  <si>
    <t>10540059</t>
  </si>
  <si>
    <t>MANTEN BARAT 10CM M 87</t>
  </si>
  <si>
    <t>10424833</t>
  </si>
  <si>
    <t>MANTEN BARAT 8CM M85</t>
  </si>
  <si>
    <t>10540048</t>
  </si>
  <si>
    <t>MANTEN BARAT JUMBO M76</t>
  </si>
  <si>
    <t>10424835</t>
  </si>
  <si>
    <t>MANTEN HIJAB K KUNING M130B</t>
  </si>
  <si>
    <t>10424834</t>
  </si>
  <si>
    <t>MANTEN HIJAB K PTH M130A</t>
  </si>
  <si>
    <t>10423743</t>
  </si>
  <si>
    <t>MANTEN HIJAB ORANGE M127D</t>
  </si>
  <si>
    <t>10423742</t>
  </si>
  <si>
    <t>MANTEN HIJAB PTH 9.5CM M127A</t>
  </si>
  <si>
    <t>10424243</t>
  </si>
  <si>
    <t>MANTEN HIJAB TANGGUNG KUNING 9.5CM M129B</t>
  </si>
  <si>
    <t>10424242</t>
  </si>
  <si>
    <t>MANTEN HIJAB TANGGUNG PTH M129A</t>
  </si>
  <si>
    <t>10423741</t>
  </si>
  <si>
    <t>MANTEN PILAR 17CM M21</t>
  </si>
  <si>
    <t>10422584</t>
  </si>
  <si>
    <t>MANTEN ROK BSR MI26</t>
  </si>
  <si>
    <t>10540051</t>
  </si>
  <si>
    <t>MANTEN SEMOK 10.5CM M22</t>
  </si>
  <si>
    <t>10540052</t>
  </si>
  <si>
    <t>MANTEN TANGGUNG 9CM M24</t>
  </si>
  <si>
    <t>6924299309276</t>
  </si>
  <si>
    <t>MANUAL JUS PRESSER</t>
  </si>
  <si>
    <t>3088542500285</t>
  </si>
  <si>
    <t>MAPLE SYRUP JOE 250GR</t>
  </si>
  <si>
    <t>723745313005</t>
  </si>
  <si>
    <t>MARASCHINO CHERRY MERAH BTL 454GR</t>
  </si>
  <si>
    <t>8997015490426</t>
  </si>
  <si>
    <t>MARASHINO CHERRY MERAH 2KG</t>
  </si>
  <si>
    <t>10411601</t>
  </si>
  <si>
    <t>MARGARINE PALMBOM 1KG</t>
  </si>
  <si>
    <t>10411602</t>
  </si>
  <si>
    <t>MARGARINE PALMBOM 500GR</t>
  </si>
  <si>
    <t>8997025914042</t>
  </si>
  <si>
    <t>MARIE ATB 185GR</t>
  </si>
  <si>
    <t>10426481</t>
  </si>
  <si>
    <t>MARISSA BUNDLETTE 6 CUP BUN0029</t>
  </si>
  <si>
    <t>8997012120609</t>
  </si>
  <si>
    <t>MARIZA CARAMEL TOPPING 350GR</t>
  </si>
  <si>
    <t>8997012120647</t>
  </si>
  <si>
    <t>MARIZA CHOCOLATE TOPPING 200GR</t>
  </si>
  <si>
    <t>8997012120234</t>
  </si>
  <si>
    <t>MARIZA CHOCOLATE TOPPING 350GR</t>
  </si>
  <si>
    <t>733894114071</t>
  </si>
  <si>
    <t>MARIZA PEANUT JAM BUTTER 225GR</t>
  </si>
  <si>
    <t>8997012121279</t>
  </si>
  <si>
    <t>MARIZA SELAI CHOCOLATE BTL 165GR</t>
  </si>
  <si>
    <t>733894112008</t>
  </si>
  <si>
    <t>MARIZA SELAI CHOCOLATE BTL 350gr</t>
  </si>
  <si>
    <t>8997012121347</t>
  </si>
  <si>
    <t>MARIZA SELAI NANAS BTL 170GR</t>
  </si>
  <si>
    <t>733894112077</t>
  </si>
  <si>
    <t>MARIZA SELAI PEANUT BTL 325GR</t>
  </si>
  <si>
    <t>8997012121286</t>
  </si>
  <si>
    <t>MARIZA SELAI PEANUT BUTTER SPREAD BTL 155GR</t>
  </si>
  <si>
    <t>733894112060</t>
  </si>
  <si>
    <t>MARIZA SELAI PINEAPPLE JAM 350GR</t>
  </si>
  <si>
    <t>8997012120715</t>
  </si>
  <si>
    <t>MARIZA SELAI SRIKAYA BTL 250GR</t>
  </si>
  <si>
    <t>733894112015</t>
  </si>
  <si>
    <t>MARIZA SELAI SRIKAYA BTL 350GR</t>
  </si>
  <si>
    <t>733894114019</t>
  </si>
  <si>
    <t>MARIZA SELAI SRIKAYA PANDAN 250GR</t>
  </si>
  <si>
    <t>733894112084</t>
  </si>
  <si>
    <t>MARIZA SELAI STAWBERRY JAM BTL 350GR</t>
  </si>
  <si>
    <t>8997012121293</t>
  </si>
  <si>
    <t>MARIZA SELAI STRAWBERRY BTL 170GR</t>
  </si>
  <si>
    <t>733894114088</t>
  </si>
  <si>
    <t>MARIZA SELAI STRAWBERRY BTL 250GR</t>
  </si>
  <si>
    <t>8997012120630</t>
  </si>
  <si>
    <t>MARIZA STRAWBERRY TOPPING 200GR</t>
  </si>
  <si>
    <t>8997012120227</t>
  </si>
  <si>
    <t>MARIZA STRAWBERRY TOPPING 350GR</t>
  </si>
  <si>
    <t>8998888112415</t>
  </si>
  <si>
    <t>MARJAN BOUDOIN FRUITPUNCH 460ML</t>
  </si>
  <si>
    <t>8998888113610</t>
  </si>
  <si>
    <t>MARJAN BOUDOIN GRENADINE 460ML</t>
  </si>
  <si>
    <t>8998888172112</t>
  </si>
  <si>
    <t>MARJAN BOUDOIN MARKISA 460ML</t>
  </si>
  <si>
    <t>MARJAN BOUDOIN MELON 460ML</t>
  </si>
  <si>
    <t>8998888110312</t>
  </si>
  <si>
    <t>MARJAN BOUDOIN MOCCA 460ML</t>
  </si>
  <si>
    <t>8998888110718</t>
  </si>
  <si>
    <t>MARJAN BOUDOIN STW 460ML</t>
  </si>
  <si>
    <t>8998888142399</t>
  </si>
  <si>
    <t>MARJAN RG CARAMEL 650ML</t>
  </si>
  <si>
    <t>8998888142290</t>
  </si>
  <si>
    <t>MARJAN RG HAZELNUT 650ML</t>
  </si>
  <si>
    <t>8998888140692</t>
  </si>
  <si>
    <t>MARJAN RG VANILLA 650ML</t>
  </si>
  <si>
    <t>8998888170118</t>
  </si>
  <si>
    <t>MARJAN SQUASH COCOPANDAN 450ML</t>
  </si>
  <si>
    <t>8998888172419</t>
  </si>
  <si>
    <t>MARJAN SQUASH FRUIT 450ML</t>
  </si>
  <si>
    <t>8998888174314</t>
  </si>
  <si>
    <t>MARJAN SQUASH GUAVA 450ML</t>
  </si>
  <si>
    <t>8998888170910</t>
  </si>
  <si>
    <t>MARJAN SQUASH ORANGE 450ml</t>
  </si>
  <si>
    <t>8998888170521</t>
  </si>
  <si>
    <t>MARJAN SQUASH PINNEAPLE 450ML</t>
  </si>
  <si>
    <t>8998888171429</t>
  </si>
  <si>
    <t>MARJAN SQUASH SIRSAK 450ML</t>
  </si>
  <si>
    <t>8998888170729</t>
  </si>
  <si>
    <t>MARJAN SQUASH STW 450ML</t>
  </si>
  <si>
    <t>8998888113078</t>
  </si>
  <si>
    <t>MARJAN SYRUP GULA 5L</t>
  </si>
  <si>
    <t>10411665</t>
  </si>
  <si>
    <t>MARJRIN MARGARIN RASA KEJU 15KG</t>
  </si>
  <si>
    <t>8993037562219</t>
  </si>
  <si>
    <t>MARJRIN MARGARIN RASA KEJU 250GR</t>
  </si>
  <si>
    <t>8993037562226</t>
  </si>
  <si>
    <t>MARJRIN MARGARIN RASA KEJU 5KG</t>
  </si>
  <si>
    <t>8999898972655</t>
  </si>
  <si>
    <t>MARLEY COMPOUND CHIP 150GR</t>
  </si>
  <si>
    <t>8999898968290</t>
  </si>
  <si>
    <t>MARLEY COMPOUND MILK 250GR</t>
  </si>
  <si>
    <t>8999898968207</t>
  </si>
  <si>
    <t>MARLEY DARK COATING 250GR</t>
  </si>
  <si>
    <t>8999898968283</t>
  </si>
  <si>
    <t>MARLEY DARK COMPOUND 250GR</t>
  </si>
  <si>
    <t>8999898968221</t>
  </si>
  <si>
    <t>MARLEY MILK COATING 250GR</t>
  </si>
  <si>
    <t>8999898968245</t>
  </si>
  <si>
    <t>MARLEY WHITE COATING250GR</t>
  </si>
  <si>
    <t>8999898968306</t>
  </si>
  <si>
    <t>MARLEY WHITE COMPOUND 250GR</t>
  </si>
  <si>
    <t>8993037521124</t>
  </si>
  <si>
    <t>MARMILA MARGARIN 250GR</t>
  </si>
  <si>
    <t>4977930002489</t>
  </si>
  <si>
    <t>MARUMO HANA KATSUO 50GR</t>
  </si>
  <si>
    <t>4977930002472</t>
  </si>
  <si>
    <t>MARUMO ITOKEZURI 50GR</t>
  </si>
  <si>
    <t>8992770034175</t>
  </si>
  <si>
    <t>MASAKO AYAM 100GR</t>
  </si>
  <si>
    <t>8992770034151</t>
  </si>
  <si>
    <t>MASAKO AYAM 250GR</t>
  </si>
  <si>
    <t>8992770034212</t>
  </si>
  <si>
    <t>MASAKO AYAM 5000 123GR</t>
  </si>
  <si>
    <t>8992770031686</t>
  </si>
  <si>
    <t>MASAKO AYAM 500GR</t>
  </si>
  <si>
    <t>8992770038937</t>
  </si>
  <si>
    <t>MASAKO JAMUR 10GR 6S</t>
  </si>
  <si>
    <t>8992770038913</t>
  </si>
  <si>
    <t>MASAKO JAMUR 40GR</t>
  </si>
  <si>
    <t>8992770034182</t>
  </si>
  <si>
    <t>MASAKO SAPI 100GR</t>
  </si>
  <si>
    <t>8992770034205</t>
  </si>
  <si>
    <t>MASAKO SAPI 1KG</t>
  </si>
  <si>
    <t>8992770034168</t>
  </si>
  <si>
    <t>MASAKO SAPI 250GR</t>
  </si>
  <si>
    <t>8992770034229</t>
  </si>
  <si>
    <t>MASAKO SAPI 5000 130GR</t>
  </si>
  <si>
    <t>MASCARPONE 500GR</t>
  </si>
  <si>
    <t>10300085</t>
  </si>
  <si>
    <t>MASOHI 1KG</t>
  </si>
  <si>
    <t>10300006</t>
  </si>
  <si>
    <t>MASOHI 50GR</t>
  </si>
  <si>
    <t>10425294</t>
  </si>
  <si>
    <t>MASUKAZE COFFEE FILTER 1-4CUP 40S</t>
  </si>
  <si>
    <t>10422658</t>
  </si>
  <si>
    <t>MATRAS B 50X70 CM CM3</t>
  </si>
  <si>
    <t>10423213</t>
  </si>
  <si>
    <t>MATRAS MACARONE 30 CT164</t>
  </si>
  <si>
    <t>10422948</t>
  </si>
  <si>
    <t>MATRAS MACARONE 48 YH-137</t>
  </si>
  <si>
    <t>10423219</t>
  </si>
  <si>
    <t>MATRAS OVEN 40X60CM MO10</t>
  </si>
  <si>
    <t>10425207</t>
  </si>
  <si>
    <t>MATRAS OVEN 30X21CM MO2</t>
  </si>
  <si>
    <t>10423218</t>
  </si>
  <si>
    <t>MATRAS OVEN 30X40CM MO8</t>
  </si>
  <si>
    <t>10423224</t>
  </si>
  <si>
    <t>MATRAS OVEN 40X50CM MO9</t>
  </si>
  <si>
    <t>10423225</t>
  </si>
  <si>
    <t>MATRAS OVEN 50X60CM MO11</t>
  </si>
  <si>
    <t>10423226</t>
  </si>
  <si>
    <t>MATRAS OVEN 50X70CM MO12</t>
  </si>
  <si>
    <t>10423723</t>
  </si>
  <si>
    <t>MATRAS OVEN 60X60 CM MO13</t>
  </si>
  <si>
    <t>10427441</t>
  </si>
  <si>
    <t>MATRAS OVEN 60X80 CM MO14</t>
  </si>
  <si>
    <t>10425934</t>
  </si>
  <si>
    <t>MATRAS SILICON 70X70CM CM8-2</t>
  </si>
  <si>
    <t>10423207</t>
  </si>
  <si>
    <t>MATRAS SILICONE 40X30CM</t>
  </si>
  <si>
    <t>10423386</t>
  </si>
  <si>
    <t>MATRAS SILICONE 50X40CM</t>
  </si>
  <si>
    <t>10424307</t>
  </si>
  <si>
    <t>MATRAS SILICONE 50X70CM</t>
  </si>
  <si>
    <t>10425885</t>
  </si>
  <si>
    <t>MATRAS SILICONE 60X40CM</t>
  </si>
  <si>
    <t>10425623</t>
  </si>
  <si>
    <t>MATRAS SILICONE 63X66CM CM2</t>
  </si>
  <si>
    <t>10423387</t>
  </si>
  <si>
    <t>MATRAS SILICONE 65X45CM</t>
  </si>
  <si>
    <t>10421918</t>
  </si>
  <si>
    <t>MATRAS SUSHI</t>
  </si>
  <si>
    <t>10425121</t>
  </si>
  <si>
    <t>MATRAS SUSHI PLASTIK</t>
  </si>
  <si>
    <t>6939274800105</t>
  </si>
  <si>
    <t>MATRIX VACUM SEALER 280/2SD</t>
  </si>
  <si>
    <t>8995002805369</t>
  </si>
  <si>
    <t>MAURI LS PELEMBUT CAKE 90GR</t>
  </si>
  <si>
    <t>9311931183016</t>
  </si>
  <si>
    <t>MAX CREAMER 12X280GR</t>
  </si>
  <si>
    <t>9311931183146</t>
  </si>
  <si>
    <t>MAX CREAMER 50X3GRAM</t>
  </si>
  <si>
    <t>9311931202205</t>
  </si>
  <si>
    <t>MAX TEA LEMON TEA 25GR 10S</t>
  </si>
  <si>
    <t>9311931802207</t>
  </si>
  <si>
    <t>MAX TEA LEMON TEA 60X5X25GR</t>
  </si>
  <si>
    <t>9311931201208</t>
  </si>
  <si>
    <t>MAX TEA TARIK 25GR 10S</t>
  </si>
  <si>
    <t>9311931506204</t>
  </si>
  <si>
    <t>MAX TEA TARIK 30 SASET</t>
  </si>
  <si>
    <t>9311931512205</t>
  </si>
  <si>
    <t>MAX TEA TARIK 50 SASET</t>
  </si>
  <si>
    <t>8997017302468</t>
  </si>
  <si>
    <t>MAXIKING BAKSO AYAM 500GR</t>
  </si>
  <si>
    <t>8992947834256</t>
  </si>
  <si>
    <t>MAYA SARDEN SAUS CABE 425GR</t>
  </si>
  <si>
    <t>8992770111005</t>
  </si>
  <si>
    <t>MAYUMI MAYO 100GR</t>
  </si>
  <si>
    <t>8992770111012</t>
  </si>
  <si>
    <t>MAYUMI PEDAS 100GR</t>
  </si>
  <si>
    <t>8992770111029</t>
  </si>
  <si>
    <t>MAYUMI SAUS SALAD BUAH LEMON 70GR</t>
  </si>
  <si>
    <t>MAYUMI SERBAGUNA 1KG</t>
  </si>
  <si>
    <t>7640129898466</t>
  </si>
  <si>
    <t>MAZOLA CANOLA OIL 450ML</t>
  </si>
  <si>
    <t>7640129898480</t>
  </si>
  <si>
    <t>MAZOLA CANOLA OIL 900ML</t>
  </si>
  <si>
    <t>7640129898527</t>
  </si>
  <si>
    <t>MAZOLA CORN OIL 450ML</t>
  </si>
  <si>
    <t>7640129898541</t>
  </si>
  <si>
    <t>MAZOLA CORN OIL 900ML</t>
  </si>
  <si>
    <t>7640129897827</t>
  </si>
  <si>
    <t>MAZOLA SOYA OIL 450ML</t>
  </si>
  <si>
    <t>7640129898343</t>
  </si>
  <si>
    <t>MAZOLA SUN FLOWER OIL 450ML</t>
  </si>
  <si>
    <t>8997005571500</t>
  </si>
  <si>
    <t>MAZZONI BERBEQUE 1KG</t>
  </si>
  <si>
    <t>8994451310066</t>
  </si>
  <si>
    <t>MAZZONI MAYONAISE ECO 1KG</t>
  </si>
  <si>
    <t>8994451310110</t>
  </si>
  <si>
    <t>MAZZONI SAUS RED HOT 8GR</t>
  </si>
  <si>
    <t>10427355</t>
  </si>
  <si>
    <t>MBK1 MIXING BOWL KOREA GOLD L</t>
  </si>
  <si>
    <t>10427359</t>
  </si>
  <si>
    <t>MBK2 MIXING BOWL KOREA GOLD M</t>
  </si>
  <si>
    <t>10427361</t>
  </si>
  <si>
    <t>MBK3 MIXING BOWL KOREA GOLD S</t>
  </si>
  <si>
    <t>10427363</t>
  </si>
  <si>
    <t>MBK5 MIXING BOWL KOREA SILVER L</t>
  </si>
  <si>
    <t>10427365</t>
  </si>
  <si>
    <t>MBK6 MIXING BOWL KOREA SILVER M</t>
  </si>
  <si>
    <t>10427366</t>
  </si>
  <si>
    <t>MBK7 MIXING BOWL KOREA SILVER S</t>
  </si>
  <si>
    <t>8997024460700</t>
  </si>
  <si>
    <t>MC LEWIS BLACK PEPPER 310GR</t>
  </si>
  <si>
    <t>8997024460687</t>
  </si>
  <si>
    <t>MC LEWIS CHEESE 1KG</t>
  </si>
  <si>
    <t>8997024460731</t>
  </si>
  <si>
    <t>MC LEWIS CHEESE 250GR</t>
  </si>
  <si>
    <t>8997024460816</t>
  </si>
  <si>
    <t>MC LEWIS CHILI EXT HOT 200GR</t>
  </si>
  <si>
    <t>8997024460489</t>
  </si>
  <si>
    <t>MC LEWIS CHILI EXT HOT 20GR</t>
  </si>
  <si>
    <t>8997024460144</t>
  </si>
  <si>
    <t>MC LEWIS CHILI PREM 6KG</t>
  </si>
  <si>
    <t>8997024460588</t>
  </si>
  <si>
    <t>MC LEWIS CHILI SAUS 500GR</t>
  </si>
  <si>
    <t>8997024460762</t>
  </si>
  <si>
    <t>MC LEWIS CHILI SAUS EXT HOT 500GR</t>
  </si>
  <si>
    <t>8997024460625</t>
  </si>
  <si>
    <t>MC LEWIS HOT&amp;SPICY MAYO 1KG</t>
  </si>
  <si>
    <t>8997024460717</t>
  </si>
  <si>
    <t>MC LEWIS MAYO 100GR</t>
  </si>
  <si>
    <t>8997024460618</t>
  </si>
  <si>
    <t>MC LEWIS MAYO ORIGINAL 500GR</t>
  </si>
  <si>
    <t>8997024460335</t>
  </si>
  <si>
    <t>MC LEWIS MAYO PREMIUM 1KG</t>
  </si>
  <si>
    <t>8997024460830</t>
  </si>
  <si>
    <t>MC LEWIS SAMBAL TEMPONG BALI 15GR 10S</t>
  </si>
  <si>
    <t>8997024460809</t>
  </si>
  <si>
    <t>MC LEWIS SAMBAL TERASI 18GR</t>
  </si>
  <si>
    <t>8997024460663</t>
  </si>
  <si>
    <t>MC LEWIS SAUS BARBEQUE 310 GR</t>
  </si>
  <si>
    <t>8997024460748</t>
  </si>
  <si>
    <t>MC LEWIS SAUS BARBEQUE PEDAS 310GR</t>
  </si>
  <si>
    <t>8997024460670</t>
  </si>
  <si>
    <t>MC LEWIS SAUS BBQ PEDAS 1KG</t>
  </si>
  <si>
    <t>8997024460779</t>
  </si>
  <si>
    <t>MC LEWIS SAUS PEDAS RASA AYAM 250GR</t>
  </si>
  <si>
    <t>8997024460458</t>
  </si>
  <si>
    <t>MC LEWIS SAUS SPAGHETTI 1KG</t>
  </si>
  <si>
    <t>8997024460656</t>
  </si>
  <si>
    <t>MC LEWIS SAUS SPAGHETTI 310 GR</t>
  </si>
  <si>
    <t>8997024460298</t>
  </si>
  <si>
    <t>MC LEWIS SAUS TOMAT 6KG</t>
  </si>
  <si>
    <t>8997024460755</t>
  </si>
  <si>
    <t>MC LEWIS SWEET MAYO 500GR</t>
  </si>
  <si>
    <t>MC LEWIS SWEET MAYONAISE 1KG</t>
  </si>
  <si>
    <t>8997024460076</t>
  </si>
  <si>
    <t>MC LEWIS TOMAT 9GR</t>
  </si>
  <si>
    <t>8997024460090</t>
  </si>
  <si>
    <t>MC LEWIS TOMATO PREMIUM 5,7 KG</t>
  </si>
  <si>
    <t>4729851659958</t>
  </si>
  <si>
    <t>MEASURE ZIBBER ACRYLIC 10/20CC</t>
  </si>
  <si>
    <t>10422931</t>
  </si>
  <si>
    <t>0305265045571</t>
  </si>
  <si>
    <t>MEASURE ZIBBER ACRYLIC 20/40CC</t>
  </si>
  <si>
    <t>10422932</t>
  </si>
  <si>
    <t>6920170215889</t>
  </si>
  <si>
    <t>MEASURING 4 PCS YP411</t>
  </si>
  <si>
    <t>10424316</t>
  </si>
  <si>
    <t>MEASURING CUP 1000ML JC3104</t>
  </si>
  <si>
    <t>10424157</t>
  </si>
  <si>
    <t>MEASURING CUP 100ML JC3101</t>
  </si>
  <si>
    <t>10424567</t>
  </si>
  <si>
    <t>MEASURING CUP 2000ML JC3105</t>
  </si>
  <si>
    <t>10424145</t>
  </si>
  <si>
    <t>MEASURING CUP 250ML JC3102</t>
  </si>
  <si>
    <t>8998338118271</t>
  </si>
  <si>
    <t>MEASURING CUP 3IN1</t>
  </si>
  <si>
    <t>10424156</t>
  </si>
  <si>
    <t>MEASURING CUP 500ML JC3103</t>
  </si>
  <si>
    <t>10424566</t>
  </si>
  <si>
    <t>MEASURING CUP 50ML JC3100</t>
  </si>
  <si>
    <t>9555119801914</t>
  </si>
  <si>
    <t>MEASURING CUP NO.191</t>
  </si>
  <si>
    <t>10423359</t>
  </si>
  <si>
    <t>MEASURING CUP STAIN 4S</t>
  </si>
  <si>
    <t>10424496</t>
  </si>
  <si>
    <t>MEASURING JAR + SENDOK TAKAR SET</t>
  </si>
  <si>
    <t>10410035</t>
  </si>
  <si>
    <t>MEDALIA KNG 1/2KG</t>
  </si>
  <si>
    <t>10410839</t>
  </si>
  <si>
    <t>MEDALIA KNG 15KG</t>
  </si>
  <si>
    <t>10410024</t>
  </si>
  <si>
    <t>MEDALIA KNG 1KG</t>
  </si>
  <si>
    <t>10410338</t>
  </si>
  <si>
    <t>MEDALIA PTH 1/2KG</t>
  </si>
  <si>
    <t>10410738</t>
  </si>
  <si>
    <t>MEDALIA PTH 15KG</t>
  </si>
  <si>
    <t>10410049</t>
  </si>
  <si>
    <t>MEDALIA PTH 1KG</t>
  </si>
  <si>
    <t>10422026</t>
  </si>
  <si>
    <t>MEJA PLS TEPI BATIK MJP4</t>
  </si>
  <si>
    <t>10423739</t>
  </si>
  <si>
    <t>MEJA PUTAR 28CM DTT1</t>
  </si>
  <si>
    <t>10423740</t>
  </si>
  <si>
    <t>MEJA PUTAR KUE STAINLES C187</t>
  </si>
  <si>
    <t>8990011144287</t>
  </si>
  <si>
    <t>MEJA PUTAR MASPION</t>
  </si>
  <si>
    <t>10422883</t>
  </si>
  <si>
    <t>MEJA PUTAR MINI KM-005</t>
  </si>
  <si>
    <t>10426917</t>
  </si>
  <si>
    <t>MEJA PUTAR VLS</t>
  </si>
  <si>
    <t>10424836</t>
  </si>
  <si>
    <t>MEJA PUTIH POLOS BATIK MJP4</t>
  </si>
  <si>
    <t>10424253</t>
  </si>
  <si>
    <t>MEJA STAINLES TEPI GARIS MJP10</t>
  </si>
  <si>
    <t>10425392</t>
  </si>
  <si>
    <t>MEJA STAINLESS B POLOS MJP11</t>
  </si>
  <si>
    <t>10412372</t>
  </si>
  <si>
    <t>MELCREAMER HB01 1/2KG</t>
  </si>
  <si>
    <t>10410043</t>
  </si>
  <si>
    <t>MENTEGA SIMAS 1/2KG</t>
  </si>
  <si>
    <t>103001002</t>
  </si>
  <si>
    <t>MENTHOL 1KG</t>
  </si>
  <si>
    <t>103001003</t>
  </si>
  <si>
    <t>MENTHOL 20GR</t>
  </si>
  <si>
    <t>8997028581135</t>
  </si>
  <si>
    <t>MERCOLADE AVOCADO 1KG</t>
  </si>
  <si>
    <t>10410493</t>
  </si>
  <si>
    <t>MERCOLADE AVOCADO 1S</t>
  </si>
  <si>
    <t>8997028581289</t>
  </si>
  <si>
    <t>MERCOLADE BANANA 1KG</t>
  </si>
  <si>
    <t>10410492</t>
  </si>
  <si>
    <t>MERCOLADE BANANA 1S</t>
  </si>
  <si>
    <t>8997028583962</t>
  </si>
  <si>
    <t>MERCOLADE BARLEY 150GR</t>
  </si>
  <si>
    <t>8997028580688</t>
  </si>
  <si>
    <t>MERCOLADE BARLEY 1KG</t>
  </si>
  <si>
    <t>10410495</t>
  </si>
  <si>
    <t>MERCOLADE BARLEY 1S</t>
  </si>
  <si>
    <t>8997028580732</t>
  </si>
  <si>
    <t>MERCOLADE CAPU 1KG</t>
  </si>
  <si>
    <t>10410498</t>
  </si>
  <si>
    <t>MERCOLADE CAPU 1S</t>
  </si>
  <si>
    <t>10200176</t>
  </si>
  <si>
    <t>MERCOLADE DARK 1S</t>
  </si>
  <si>
    <t>MERCOLADE DARK 1KG</t>
  </si>
  <si>
    <t>10411223</t>
  </si>
  <si>
    <t>MERCOLADE GREEN TEA 1S</t>
  </si>
  <si>
    <t>8997028581142</t>
  </si>
  <si>
    <t>MERCOLADE GREENTEA 1KG</t>
  </si>
  <si>
    <t>8997028580671</t>
  </si>
  <si>
    <t>MERCOLADE LEMON 1KG</t>
  </si>
  <si>
    <t>10410499</t>
  </si>
  <si>
    <t>MERCOLADE LEMON 1S</t>
  </si>
  <si>
    <t>8997028580718</t>
  </si>
  <si>
    <t>MERCOLADE MELON 1KG</t>
  </si>
  <si>
    <t>10410491</t>
  </si>
  <si>
    <t>MERCOLADE MELON 1S</t>
  </si>
  <si>
    <t>8997028580664</t>
  </si>
  <si>
    <t>MERCOLADE MINTY 1KG</t>
  </si>
  <si>
    <t>10410497</t>
  </si>
  <si>
    <t>MERCOLADE MINTY 1S</t>
  </si>
  <si>
    <t>8997028580657</t>
  </si>
  <si>
    <t>MERCOLADE PINK STRAW 1KG</t>
  </si>
  <si>
    <t>10410500</t>
  </si>
  <si>
    <t>MERCOLADE PINK STRAW 1S</t>
  </si>
  <si>
    <t>8997028583955</t>
  </si>
  <si>
    <t>MERCOLADE PINK STRW 150GR</t>
  </si>
  <si>
    <t>10410501</t>
  </si>
  <si>
    <t>MERCOLADE RED STRAW 1S</t>
  </si>
  <si>
    <t>8997028580640</t>
  </si>
  <si>
    <t>MERCOLADE RED STRW 1KG</t>
  </si>
  <si>
    <t>8997028583986</t>
  </si>
  <si>
    <t>MERCOLADE TIRAMISU 150GR</t>
  </si>
  <si>
    <t>MERCOLADE TIRAMISU 1KG</t>
  </si>
  <si>
    <t>10410496</t>
  </si>
  <si>
    <t>MERCOLADE TIRAMISU 1S</t>
  </si>
  <si>
    <t>8997028584013</t>
  </si>
  <si>
    <t>MERCOLADE VIOLET 150GR</t>
  </si>
  <si>
    <t>8997028580695</t>
  </si>
  <si>
    <t>MERCOLADE VIOLET 1KG</t>
  </si>
  <si>
    <t>10410502</t>
  </si>
  <si>
    <t>MERCOLADE VIOLET 1S</t>
  </si>
  <si>
    <t>10410835</t>
  </si>
  <si>
    <t>MERCOLADE WHITE 1S</t>
  </si>
  <si>
    <t>8997240730045</t>
  </si>
  <si>
    <t>MERHAN BIRYANI 500GR</t>
  </si>
  <si>
    <t>8997240730038</t>
  </si>
  <si>
    <t>MERHAN KABSAH 500GR</t>
  </si>
  <si>
    <t>8997240730014</t>
  </si>
  <si>
    <t>MERHAN KABULI 500GR</t>
  </si>
  <si>
    <t>8997240730021</t>
  </si>
  <si>
    <t>MERHAN MANDI 500GR</t>
  </si>
  <si>
    <t>10100031</t>
  </si>
  <si>
    <t>MERICA GLG 1/2KG</t>
  </si>
  <si>
    <t>10100033</t>
  </si>
  <si>
    <t>MERICA GLG 100GR</t>
  </si>
  <si>
    <t>10100006</t>
  </si>
  <si>
    <t>MERICA GLG 250GR</t>
  </si>
  <si>
    <t>10100013</t>
  </si>
  <si>
    <t>MERICA GLG 50GR</t>
  </si>
  <si>
    <t>10420498</t>
  </si>
  <si>
    <t>MERICA HTM BLT 1/2 KG</t>
  </si>
  <si>
    <t>10420488</t>
  </si>
  <si>
    <t>MERICA HTM BLT 100GR</t>
  </si>
  <si>
    <t>10100159</t>
  </si>
  <si>
    <t>MERICA HTM BLT 1KG</t>
  </si>
  <si>
    <t>10100395</t>
  </si>
  <si>
    <t>MERICA HTM BLT 250GR</t>
  </si>
  <si>
    <t>10100183</t>
  </si>
  <si>
    <t>MERICA HTM BLT 50GR</t>
  </si>
  <si>
    <t>10100199</t>
  </si>
  <si>
    <t>MERICA HTM GLG 100GR</t>
  </si>
  <si>
    <t>10100198</t>
  </si>
  <si>
    <t>MERICA HTM GLG 50GR</t>
  </si>
  <si>
    <t>10100093</t>
  </si>
  <si>
    <t>MERICA PUTIH BLT 1KG</t>
  </si>
  <si>
    <t>10100187</t>
  </si>
  <si>
    <t>MERICA PUTIH 1/2KG</t>
  </si>
  <si>
    <t>10100188</t>
  </si>
  <si>
    <t>MERICA PUTIH 100GR</t>
  </si>
  <si>
    <t>10100189</t>
  </si>
  <si>
    <t>MERICA PUTIH 250GR</t>
  </si>
  <si>
    <t>10100092</t>
  </si>
  <si>
    <t>MERICA PUTIH 50GR</t>
  </si>
  <si>
    <t>1100025</t>
  </si>
  <si>
    <t>MERICA PUTIH LAPIAK</t>
  </si>
  <si>
    <t>10425869</t>
  </si>
  <si>
    <t>MERMAID SET 4 LL-0014</t>
  </si>
  <si>
    <t>8997028581449</t>
  </si>
  <si>
    <t>MERO LBC BUTTER CARAMEL 1KG</t>
  </si>
  <si>
    <t>8997028581364</t>
  </si>
  <si>
    <t>MERO LBC DURIAN 1KG</t>
  </si>
  <si>
    <t>8997028581418</t>
  </si>
  <si>
    <t>MERO LBC RASAKAYA 1KG</t>
  </si>
  <si>
    <t>8997028581340</t>
  </si>
  <si>
    <t>MERO LBC TARO CREAM 1KG</t>
  </si>
  <si>
    <t>MERO LBC VANILLA CREAM 1KG</t>
  </si>
  <si>
    <t>10200166</t>
  </si>
  <si>
    <t>MERRY WHIP 1/2KG</t>
  </si>
  <si>
    <t>8992824265081</t>
  </si>
  <si>
    <t>MERRY WHIP 16KG</t>
  </si>
  <si>
    <t>10200165</t>
  </si>
  <si>
    <t>MERRY WHIP 1KG</t>
  </si>
  <si>
    <t>80051673</t>
  </si>
  <si>
    <t>MERRY WHIP 250GR</t>
  </si>
  <si>
    <t>10420442</t>
  </si>
  <si>
    <t>MESIN POP ICE</t>
  </si>
  <si>
    <t>10411645</t>
  </si>
  <si>
    <t>METE CACAH SANGRAI 1KG</t>
  </si>
  <si>
    <t>10100452</t>
  </si>
  <si>
    <t>METE CINCANG 100GR</t>
  </si>
  <si>
    <t>10100451</t>
  </si>
  <si>
    <t>METE CINCANG 1KG</t>
  </si>
  <si>
    <t>10100450</t>
  </si>
  <si>
    <t>METE CINCANG 250GR</t>
  </si>
  <si>
    <t>10100453</t>
  </si>
  <si>
    <t>METE CINCANG 500GR</t>
  </si>
  <si>
    <t>10411667</t>
  </si>
  <si>
    <t>METE W320 11KG</t>
  </si>
  <si>
    <t>10411011</t>
  </si>
  <si>
    <t>METE WW 450 11KG</t>
  </si>
  <si>
    <t>10423874</t>
  </si>
  <si>
    <t>METSA BAKING PAPER 41G 40X60CM</t>
  </si>
  <si>
    <t>8993077820409</t>
  </si>
  <si>
    <t>MG BARCO 1L</t>
  </si>
  <si>
    <t>8993077860603</t>
  </si>
  <si>
    <t>MG BARCO 2L</t>
  </si>
  <si>
    <t>8993077840506</t>
  </si>
  <si>
    <t>MG BARCO 5LT</t>
  </si>
  <si>
    <t>8993077880700</t>
  </si>
  <si>
    <t>MG BARCO POCH 1 LTR</t>
  </si>
  <si>
    <t>8993077880809</t>
  </si>
  <si>
    <t>MG BARCO REFF 2L</t>
  </si>
  <si>
    <t>8992628022156</t>
  </si>
  <si>
    <t>MG BIMOLI KLASIK 1L</t>
  </si>
  <si>
    <t>8992628010139</t>
  </si>
  <si>
    <t>MG BIMOLI KLASIK 5LT DRG</t>
  </si>
  <si>
    <t>8992628034159</t>
  </si>
  <si>
    <t>MG BIMOLI SPECIAL 1LT</t>
  </si>
  <si>
    <t>8992628030137</t>
  </si>
  <si>
    <t>MG BIMOLI SPECIAL 5LT DRG</t>
  </si>
  <si>
    <t>8992826111072</t>
  </si>
  <si>
    <t>MG FILMA 1LT</t>
  </si>
  <si>
    <t>8992826111089</t>
  </si>
  <si>
    <t>MG FILMA 2LT</t>
  </si>
  <si>
    <t>8993496106504</t>
  </si>
  <si>
    <t>MG FORTUNE 1L(REFIL)</t>
  </si>
  <si>
    <t>8998225800029</t>
  </si>
  <si>
    <t>MG FORTUNE 5L</t>
  </si>
  <si>
    <t>8992826112215</t>
  </si>
  <si>
    <t>MG KUNCI MAS 2L</t>
  </si>
  <si>
    <t>8992826117333</t>
  </si>
  <si>
    <t>MG MASKU 2LT</t>
  </si>
  <si>
    <t>8992826116213</t>
  </si>
  <si>
    <t>MG MITRA 1L</t>
  </si>
  <si>
    <t>8992826116367</t>
  </si>
  <si>
    <t>MG MITRA 2L</t>
  </si>
  <si>
    <t>8994460890061</t>
  </si>
  <si>
    <t>MG PALCO 1800ML</t>
  </si>
  <si>
    <t>8994460890054</t>
  </si>
  <si>
    <t>MG PALCO 900ML</t>
  </si>
  <si>
    <t>8997214450016</t>
  </si>
  <si>
    <t>MG PERMATA 1L</t>
  </si>
  <si>
    <t>8997214450023</t>
  </si>
  <si>
    <t>MG PERMATA 2L</t>
  </si>
  <si>
    <t>8993093664704</t>
  </si>
  <si>
    <t>MG ROSE BRAND 1LX12</t>
  </si>
  <si>
    <t>8993093664759</t>
  </si>
  <si>
    <t>MG ROSE BRAND 5L</t>
  </si>
  <si>
    <t>8993496001083</t>
  </si>
  <si>
    <t>MG SANIA 1L</t>
  </si>
  <si>
    <t>8993496001076</t>
  </si>
  <si>
    <t>MG SANIA 2L</t>
  </si>
  <si>
    <t>8993496101011</t>
  </si>
  <si>
    <t>MG SANIA 5L</t>
  </si>
  <si>
    <t>8993093665237</t>
  </si>
  <si>
    <t>MG TAWON 1L</t>
  </si>
  <si>
    <t>8993093665251</t>
  </si>
  <si>
    <t>MG TAWON 5L</t>
  </si>
  <si>
    <t>8992946121005</t>
  </si>
  <si>
    <t>MG TROPICAL BTL 1LTR</t>
  </si>
  <si>
    <t>8992946122002</t>
  </si>
  <si>
    <t>MG TROPICAL BTL 2LTR</t>
  </si>
  <si>
    <t>10411498</t>
  </si>
  <si>
    <t>MGP CITA FRY 1KG</t>
  </si>
  <si>
    <t>10411499</t>
  </si>
  <si>
    <t>MGP CITA FRY 500GR</t>
  </si>
  <si>
    <t>10200185</t>
  </si>
  <si>
    <t>MGP FRYBEST 1/2KG</t>
  </si>
  <si>
    <t>10200093</t>
  </si>
  <si>
    <t>MGP FRYBEST 1KG</t>
  </si>
  <si>
    <t>10424537</t>
  </si>
  <si>
    <t>MICKEY DKK 1S MI10</t>
  </si>
  <si>
    <t>10422599</t>
  </si>
  <si>
    <t>MICKEY M SET3 M119</t>
  </si>
  <si>
    <t>10422603</t>
  </si>
  <si>
    <t>MICKEY MINNIE SAYAP 2 MI20</t>
  </si>
  <si>
    <t>10422257</t>
  </si>
  <si>
    <t>MICKEY MINNIE SET 2 MI21</t>
  </si>
  <si>
    <t>10424591</t>
  </si>
  <si>
    <t>MICKEY TATAAN SET 6 MI14</t>
  </si>
  <si>
    <t>10300123</t>
  </si>
  <si>
    <t>MIE BASO JITU 2,25KG</t>
  </si>
  <si>
    <t>8991688891320</t>
  </si>
  <si>
    <t>MIE BURUNG DARA BALI 190GR</t>
  </si>
  <si>
    <t>8991688890101</t>
  </si>
  <si>
    <t>MIE BURUNG DARA BULAT 136GR</t>
  </si>
  <si>
    <t>8991688891207</t>
  </si>
  <si>
    <t>MIE BURUNG DARA DOROKU 350GR</t>
  </si>
  <si>
    <t>8991688891344</t>
  </si>
  <si>
    <t>MIE BURUNG DARA DOROMAS 300GR</t>
  </si>
  <si>
    <t>8991688889334</t>
  </si>
  <si>
    <t>MIE BURUNG DARA MARON 200GR</t>
  </si>
  <si>
    <t>8991688890705</t>
  </si>
  <si>
    <t>MIE BURUNG DARA ORIGINAL 200GR</t>
  </si>
  <si>
    <t>8991688890484</t>
  </si>
  <si>
    <t>MIE BURUNG DARA PIPIH 140GR</t>
  </si>
  <si>
    <t>8991688890699</t>
  </si>
  <si>
    <t>MIE BURUNG DARA URAI PIPIH 140GR</t>
  </si>
  <si>
    <t>8997024180271</t>
  </si>
  <si>
    <t>MIE LIDI CAP KELONG 500GR</t>
  </si>
  <si>
    <t>8997024180394</t>
  </si>
  <si>
    <t>MIE LIDI CAP KINCIR 500GR</t>
  </si>
  <si>
    <t>8997024180035</t>
  </si>
  <si>
    <t>MIE LIDI KAPAL API 500GR</t>
  </si>
  <si>
    <t>MIE SUA 300GR</t>
  </si>
  <si>
    <t>8993118938223</t>
  </si>
  <si>
    <t>MIE SUPERIOR 2KG</t>
  </si>
  <si>
    <t>8993118938216</t>
  </si>
  <si>
    <t>MIE SUPERIOR 600GR</t>
  </si>
  <si>
    <t>8995129300020</t>
  </si>
  <si>
    <t>MIE TELOR AA</t>
  </si>
  <si>
    <t>8990074009462</t>
  </si>
  <si>
    <t>MIGA RICE PAPER BULAT 100GR 10S</t>
  </si>
  <si>
    <t>8990074001688</t>
  </si>
  <si>
    <t>MIGA RICE PAPER BULAT 200GR 20S</t>
  </si>
  <si>
    <t>8990074001695</t>
  </si>
  <si>
    <t>MIGA RICE PAPER BULAT 500GR 50S</t>
  </si>
  <si>
    <t>8990074001701</t>
  </si>
  <si>
    <t>MIGA RICE PAPER PETAK 200GR 20S</t>
  </si>
  <si>
    <t>10420452</t>
  </si>
  <si>
    <t>MIKA BENTO</t>
  </si>
  <si>
    <t>10426967</t>
  </si>
  <si>
    <t>MIKA BENTO+TTP 14X14X5CM 5S MKB1414-5PT</t>
  </si>
  <si>
    <t>10425994</t>
  </si>
  <si>
    <t>MIKA BENTO+TTP 14X14X5CM MKB1414-5PT</t>
  </si>
  <si>
    <t>10426968</t>
  </si>
  <si>
    <t>MIKA BENTO+TTP 18X18X6,5CM 5S MKB1818-6,5H</t>
  </si>
  <si>
    <t>10426969</t>
  </si>
  <si>
    <t>MIKA BENTO+TTP 18X18X6,5CM 5S MKB1818-6,5PT</t>
  </si>
  <si>
    <t>10425996</t>
  </si>
  <si>
    <t>MIKA BENTO+TTP 18X18X6,5CM MKB1818-6,5H</t>
  </si>
  <si>
    <t>10425995</t>
  </si>
  <si>
    <t>MIKA BENTO+TTP 18X18X6,5CM MKB1818-6,5PT</t>
  </si>
  <si>
    <t>10422317</t>
  </si>
  <si>
    <t>MIKA BOLU BGP 8530</t>
  </si>
  <si>
    <t>10420196</t>
  </si>
  <si>
    <t>MIKA BOLU GLG BG225</t>
  </si>
  <si>
    <t>10420040</t>
  </si>
  <si>
    <t>MIKA BOLU GLG BG225 10S</t>
  </si>
  <si>
    <t>10427010</t>
  </si>
  <si>
    <t>MIKA BOLU GLG SEKAT 3 50S</t>
  </si>
  <si>
    <t>10424006</t>
  </si>
  <si>
    <t>MIKA BOLU GULUNG 725</t>
  </si>
  <si>
    <t>1042579</t>
  </si>
  <si>
    <t>MIKA BOLU GULUNG 725 10S</t>
  </si>
  <si>
    <t>10425279</t>
  </si>
  <si>
    <t>MIKA BOLU GULUNG 725 200S</t>
  </si>
  <si>
    <t>10420078</t>
  </si>
  <si>
    <t>MIKA BOLU GULUNG BG8530</t>
  </si>
  <si>
    <t>10422785</t>
  </si>
  <si>
    <t>MIKA BOLU GULUNG MINI</t>
  </si>
  <si>
    <t>10425312</t>
  </si>
  <si>
    <t>MIKA BROWNIES L IC 10S</t>
  </si>
  <si>
    <t>10424526</t>
  </si>
  <si>
    <t>MIKA BROWNIES L LUX 25S</t>
  </si>
  <si>
    <t>10422979</t>
  </si>
  <si>
    <t>MIKA BROWNIES L TP 10S</t>
  </si>
  <si>
    <t>10424527</t>
  </si>
  <si>
    <t>MIKA BROWNIES L TP 200S</t>
  </si>
  <si>
    <t>10424529</t>
  </si>
  <si>
    <t>MIKA BROWNIES L TP 50S</t>
  </si>
  <si>
    <t>10420112</t>
  </si>
  <si>
    <t>MIKA BROWNIES L TP 5S</t>
  </si>
  <si>
    <t>10420090</t>
  </si>
  <si>
    <t>MIKA BROWNIES M IC 10S</t>
  </si>
  <si>
    <t>10424530</t>
  </si>
  <si>
    <t>MIKA BROWNIES M IC 200S</t>
  </si>
  <si>
    <t>10424559</t>
  </si>
  <si>
    <t>MIKA BROWNIES M TP 10S</t>
  </si>
  <si>
    <t>10424684</t>
  </si>
  <si>
    <t>MIKA BROWNIES M TP 50S</t>
  </si>
  <si>
    <t>10425319</t>
  </si>
  <si>
    <t>MIKA BROWNIES M TP 5S</t>
  </si>
  <si>
    <t>10420080</t>
  </si>
  <si>
    <t>MIKA BROWNIES S IC 10S</t>
  </si>
  <si>
    <t>10424531</t>
  </si>
  <si>
    <t>MIKA BROWNIES S IC 200S</t>
  </si>
  <si>
    <t>10425317</t>
  </si>
  <si>
    <t>MIKA BROWNIES S IC 5S</t>
  </si>
  <si>
    <t>10424030</t>
  </si>
  <si>
    <t>MIKA BROWNIES S LUX 25S</t>
  </si>
  <si>
    <t>10425324</t>
  </si>
  <si>
    <t>MIKA BROWNIES S TP 10S</t>
  </si>
  <si>
    <t>10425320</t>
  </si>
  <si>
    <t>MIKA BROWNIES S TP 50S</t>
  </si>
  <si>
    <t>10425325</t>
  </si>
  <si>
    <t>MIKA BROWNIES S TP 5S</t>
  </si>
  <si>
    <t>10425780</t>
  </si>
  <si>
    <t>MIKA BULAT CUPCAKE 100S</t>
  </si>
  <si>
    <t>10420408</t>
  </si>
  <si>
    <t>MIKA CHIFFON 1206 IC</t>
  </si>
  <si>
    <t>10420156</t>
  </si>
  <si>
    <t>MIKA CHIFFON TX 25</t>
  </si>
  <si>
    <t>10420245</t>
  </si>
  <si>
    <t>MIKA CHIFON TX 16</t>
  </si>
  <si>
    <t>10420155</t>
  </si>
  <si>
    <t>MIKA CHIFON TX 18</t>
  </si>
  <si>
    <t>10420023</t>
  </si>
  <si>
    <t>MIKA CHIFON TX 20</t>
  </si>
  <si>
    <t>10420150</t>
  </si>
  <si>
    <t>MIKA CHIFON TX 22</t>
  </si>
  <si>
    <t>10423685</t>
  </si>
  <si>
    <t>MIKA HOTDOG H-24 50S</t>
  </si>
  <si>
    <t>10420244</t>
  </si>
  <si>
    <t>MIKA MB 100</t>
  </si>
  <si>
    <t>MIKA MEGA 1A</t>
  </si>
  <si>
    <t>MIKA MEGA 2A</t>
  </si>
  <si>
    <t>10420378</t>
  </si>
  <si>
    <t>MIKA MEGA 4A 100S</t>
  </si>
  <si>
    <t>10420381</t>
  </si>
  <si>
    <t>MIKA MEGA 4C 100S</t>
  </si>
  <si>
    <t>10420129</t>
  </si>
  <si>
    <t>MIKA MEGA 5A 100S</t>
  </si>
  <si>
    <t>10420130</t>
  </si>
  <si>
    <t>MIKA MEGA 5C</t>
  </si>
  <si>
    <t>10420131</t>
  </si>
  <si>
    <t>MIKA MEGA 5X</t>
  </si>
  <si>
    <t>10420132</t>
  </si>
  <si>
    <t>MIKA MEGA 6A</t>
  </si>
  <si>
    <t>10420133</t>
  </si>
  <si>
    <t>MIKA MEGA 6X</t>
  </si>
  <si>
    <t>10420134</t>
  </si>
  <si>
    <t>MIKA MEGA 7C</t>
  </si>
  <si>
    <t>10424800</t>
  </si>
  <si>
    <t>MIKA MEGA GX-2A 50S</t>
  </si>
  <si>
    <t>10422150</t>
  </si>
  <si>
    <t>MIKA MEGA JUMBO</t>
  </si>
  <si>
    <t>10424578</t>
  </si>
  <si>
    <t>MIKA MEGA T18</t>
  </si>
  <si>
    <t>10420513</t>
  </si>
  <si>
    <t>MIKA MMP SANDWICH 50S</t>
  </si>
  <si>
    <t>10425403</t>
  </si>
  <si>
    <t>MIKA MMPG 1A</t>
  </si>
  <si>
    <t>10425397</t>
  </si>
  <si>
    <t>MIKA MMPG 1X</t>
  </si>
  <si>
    <t>10425399</t>
  </si>
  <si>
    <t>MIKA MMPG 2A</t>
  </si>
  <si>
    <t>10425400</t>
  </si>
  <si>
    <t>MIKA MMPG 3A</t>
  </si>
  <si>
    <t>10425395</t>
  </si>
  <si>
    <t>MIKA MMPG 3X</t>
  </si>
  <si>
    <t>10425405</t>
  </si>
  <si>
    <t>MIKA MMPG 3XC</t>
  </si>
  <si>
    <t>10530242</t>
  </si>
  <si>
    <t>MIKA MMPG 4A</t>
  </si>
  <si>
    <t>10425401</t>
  </si>
  <si>
    <t>MIKA MMPG 4X</t>
  </si>
  <si>
    <t>10425402</t>
  </si>
  <si>
    <t>MIKA MMPG 4XC</t>
  </si>
  <si>
    <t>10425404</t>
  </si>
  <si>
    <t>MIKA MMPG 5A</t>
  </si>
  <si>
    <t>10425398</t>
  </si>
  <si>
    <t>MIKA MMPG 5X</t>
  </si>
  <si>
    <t>10425406</t>
  </si>
  <si>
    <t>MIKA MMPG 5XC</t>
  </si>
  <si>
    <t>10425396</t>
  </si>
  <si>
    <t>MIKA MMPG 6XC</t>
  </si>
  <si>
    <t>10426758</t>
  </si>
  <si>
    <t>MIKA MMPG 7XC</t>
  </si>
  <si>
    <t>10427009</t>
  </si>
  <si>
    <t>MIKA MOCHI BULAT 50S</t>
  </si>
  <si>
    <t>10425604</t>
  </si>
  <si>
    <t>MIKA MOON CRISPY SEKAT 3 10S</t>
  </si>
  <si>
    <t>10425605</t>
  </si>
  <si>
    <t>MIKA MOON CRISPY SEKAT 3 50S</t>
  </si>
  <si>
    <t>10425603</t>
  </si>
  <si>
    <t>MIKA MOON CRISPY SEKAT 3 5S</t>
  </si>
  <si>
    <t>10423998</t>
  </si>
  <si>
    <t>MIKA PANCAKE CKLT 50S</t>
  </si>
  <si>
    <t>10424308</t>
  </si>
  <si>
    <t>MIKA PINGGIRAN 10CM</t>
  </si>
  <si>
    <t>10424309</t>
  </si>
  <si>
    <t>MIKA PINGGIRAN 12CM</t>
  </si>
  <si>
    <t>10426548</t>
  </si>
  <si>
    <t>MIKA PINGGIRAN 12CM/M</t>
  </si>
  <si>
    <t>10424310</t>
  </si>
  <si>
    <t>MIKA PINGGIRAN 14CM</t>
  </si>
  <si>
    <t>10424311</t>
  </si>
  <si>
    <t>MIKA PINGGIRAN 8CM</t>
  </si>
  <si>
    <t>10510121</t>
  </si>
  <si>
    <t>MIKA PINGGIRAN 8CM/1M</t>
  </si>
  <si>
    <t>10423838</t>
  </si>
  <si>
    <t>MIKA ROL MTF 003 8X60M MIC0004 LISSE</t>
  </si>
  <si>
    <t>10423839</t>
  </si>
  <si>
    <t>MIKA ROL MTF 004 8X60M MIC0005 LISSE</t>
  </si>
  <si>
    <t>10425379</t>
  </si>
  <si>
    <t>MIKA SEGI3 15X11CM 50S</t>
  </si>
  <si>
    <t>10427288</t>
  </si>
  <si>
    <t>MIKA SEGI3 16X12CM 50S</t>
  </si>
  <si>
    <t>10530243</t>
  </si>
  <si>
    <t>MIKA SUSHI EASYPACK 100S</t>
  </si>
  <si>
    <t>10530244</t>
  </si>
  <si>
    <t>MIKA SUSHI EASYPACK 10S</t>
  </si>
  <si>
    <t>10530153</t>
  </si>
  <si>
    <t>MIKA TABUNG TEBAL 8X14 CM</t>
  </si>
  <si>
    <t>10530151</t>
  </si>
  <si>
    <t>MIKA TABUNG TEBAL 8X20 CM</t>
  </si>
  <si>
    <t>10420582</t>
  </si>
  <si>
    <t>MIKA TELOR 10 LUBANG 40S</t>
  </si>
  <si>
    <t>10425873</t>
  </si>
  <si>
    <t>MIKA TELOR 6 LUBANG 50S</t>
  </si>
  <si>
    <t>10423851</t>
  </si>
  <si>
    <t>MIKA TRAY 4073 100PC PKN0018 LISSE</t>
  </si>
  <si>
    <t>9555678902022</t>
  </si>
  <si>
    <t>MILANO KRIMER KENTAL MANIS 500GR</t>
  </si>
  <si>
    <t>8888140031250</t>
  </si>
  <si>
    <t>MILI GREEN PEAS 397GR</t>
  </si>
  <si>
    <t>8888140202056</t>
  </si>
  <si>
    <t>MILI LONGAN SYRUP 565GR</t>
  </si>
  <si>
    <t>8888140200557</t>
  </si>
  <si>
    <t>MILI SARDEN 155GR</t>
  </si>
  <si>
    <t>8888140030352</t>
  </si>
  <si>
    <t>MILI SAUS KACANG 170GR</t>
  </si>
  <si>
    <t>8997214881490</t>
  </si>
  <si>
    <t>MILK BARN 500GR</t>
  </si>
  <si>
    <t>8997214881506</t>
  </si>
  <si>
    <t>MILK BARN COKLAT 370GR</t>
  </si>
  <si>
    <t>8997214881513</t>
  </si>
  <si>
    <t>MILK BARN COKLAT 500GR</t>
  </si>
  <si>
    <t>8997214885245</t>
  </si>
  <si>
    <t>MILK BARN EVAPORASI 380ML</t>
  </si>
  <si>
    <t>8997214885450</t>
  </si>
  <si>
    <t>MILK BARN FULL CREAM 450ML</t>
  </si>
  <si>
    <t>8997214881889</t>
  </si>
  <si>
    <t>MILK BARN SCH 37GR</t>
  </si>
  <si>
    <t>8991999112862</t>
  </si>
  <si>
    <t>MILK LIFE UHT FULL CREAM 1LT</t>
  </si>
  <si>
    <t>8997011929128</t>
  </si>
  <si>
    <t>MILKO EVAPORASI 210GR</t>
  </si>
  <si>
    <t>8997011929227</t>
  </si>
  <si>
    <t>MILKO EVAPORASI GOLD 210GR</t>
  </si>
  <si>
    <t>MILLAC ROSELLE KRIM 1L</t>
  </si>
  <si>
    <t>9556001008633</t>
  </si>
  <si>
    <t>MILO ACTIV-GO 300GR</t>
  </si>
  <si>
    <t>8992696427990</t>
  </si>
  <si>
    <t>MILO ACTIV-GO 790GR</t>
  </si>
  <si>
    <t>8992696522800</t>
  </si>
  <si>
    <t>MILO ACTIV-GO 960GR</t>
  </si>
  <si>
    <t>8992696420472</t>
  </si>
  <si>
    <t>MILO ACTIVE 3IN 990GR</t>
  </si>
  <si>
    <t>8992696427976</t>
  </si>
  <si>
    <t>MILO ACTIVE-GO 3IN1 790GR</t>
  </si>
  <si>
    <t>4800361291446</t>
  </si>
  <si>
    <t>MILO CHOCO CRUN 330 GR</t>
  </si>
  <si>
    <t>8993883420039</t>
  </si>
  <si>
    <t>MINDA MINYAK AYAM BAWANG 130 ML</t>
  </si>
  <si>
    <t>8993883420015</t>
  </si>
  <si>
    <t>MINDA MINYAK BAMER 130 ML</t>
  </si>
  <si>
    <t>8993883420008</t>
  </si>
  <si>
    <t>MINDA MINYAK BAPUT 130 ML</t>
  </si>
  <si>
    <t>8993883420053</t>
  </si>
  <si>
    <t>MINDA MINYAK UDANG 130ML</t>
  </si>
  <si>
    <t>10426477</t>
  </si>
  <si>
    <t>MINI TOAST BOX TBX0003 LISSE</t>
  </si>
  <si>
    <t>8997033630354</t>
  </si>
  <si>
    <t>MINYAK MISO</t>
  </si>
  <si>
    <t>10200231</t>
  </si>
  <si>
    <t>MINYAK SAMIN 250GR</t>
  </si>
  <si>
    <t>8719200170407</t>
  </si>
  <si>
    <t>MINYAK SAMIN ONTA 200GR</t>
  </si>
  <si>
    <t>8997028500266</t>
  </si>
  <si>
    <t>MINYAK WIJEN 58 135ML</t>
  </si>
  <si>
    <t>8997028500280</t>
  </si>
  <si>
    <t>MINYAK WIJEN 58 600ML</t>
  </si>
  <si>
    <t>10412083</t>
  </si>
  <si>
    <t>MIRROR GLAZE NEUTRAL 500GR</t>
  </si>
  <si>
    <t>10411598</t>
  </si>
  <si>
    <t>MISES CHOCC 168 500GR</t>
  </si>
  <si>
    <t>10411758</t>
  </si>
  <si>
    <t>MISES GREAT LION CKLT 500GR</t>
  </si>
  <si>
    <t>10410070</t>
  </si>
  <si>
    <t>MISES PLAZA BR HIJAU 1/2KG</t>
  </si>
  <si>
    <t>10410910</t>
  </si>
  <si>
    <t>MISES PLAZA BR HIJAU 12KG</t>
  </si>
  <si>
    <t>10410069</t>
  </si>
  <si>
    <t>MISES PLAZA BR HIJAU 1KG</t>
  </si>
  <si>
    <t>10410071</t>
  </si>
  <si>
    <t>MISES PLAZA BR HIJAU 250GR</t>
  </si>
  <si>
    <t>10410063</t>
  </si>
  <si>
    <t>MISES PLAZA BR KUNING 1/2KG</t>
  </si>
  <si>
    <t>10410909</t>
  </si>
  <si>
    <t>MISES PLAZA BR KUNING 12KG</t>
  </si>
  <si>
    <t>10410062</t>
  </si>
  <si>
    <t>MISES PLAZA BR KUNING 1KG</t>
  </si>
  <si>
    <t>10410064</t>
  </si>
  <si>
    <t>MISES PLAZA BR KUNING 250GR</t>
  </si>
  <si>
    <t>10410067</t>
  </si>
  <si>
    <t>MISES PLAZA BR MERAH 1/2KG</t>
  </si>
  <si>
    <t>10410924</t>
  </si>
  <si>
    <t>MISES PLAZA BR MERAH 12KG</t>
  </si>
  <si>
    <t>10410066</t>
  </si>
  <si>
    <t>MISES PLAZA BR MERAH 1KG</t>
  </si>
  <si>
    <t>10410068</t>
  </si>
  <si>
    <t>MISES PLAZA BR MERAH 250GR</t>
  </si>
  <si>
    <t>10410074</t>
  </si>
  <si>
    <t>MISES PLAZA BR PINK 1/2KG</t>
  </si>
  <si>
    <t>10410911</t>
  </si>
  <si>
    <t>MISES PLAZA BR PINK 12KG</t>
  </si>
  <si>
    <t>10410073</t>
  </si>
  <si>
    <t>MISES PLAZA BR PINK 1KG</t>
  </si>
  <si>
    <t>10410075</t>
  </si>
  <si>
    <t>MISES PLAZA BR PINK 250GR</t>
  </si>
  <si>
    <t>10410078</t>
  </si>
  <si>
    <t>MISES PLAZA BR PUTIH 1/2KG</t>
  </si>
  <si>
    <t>10411389</t>
  </si>
  <si>
    <t>MISES PLAZA BR PUTIH 12KG</t>
  </si>
  <si>
    <t>10410092</t>
  </si>
  <si>
    <t>MISES PLAZA DONAT 250GR</t>
  </si>
  <si>
    <t>10411670</t>
  </si>
  <si>
    <t>MISES PLAZA DONAT 500GR</t>
  </si>
  <si>
    <t>10410103</t>
  </si>
  <si>
    <t>MISES PLAZA TOPPING 1/2KG</t>
  </si>
  <si>
    <t>10410104</t>
  </si>
  <si>
    <t>MISES PLAZA TOPPING 250GR</t>
  </si>
  <si>
    <t>8998008151027</t>
  </si>
  <si>
    <t>MIWON 1KG</t>
  </si>
  <si>
    <t>8998008151058</t>
  </si>
  <si>
    <t>MIWON 250GR</t>
  </si>
  <si>
    <t>8998008151034</t>
  </si>
  <si>
    <t>MIWON 500GR</t>
  </si>
  <si>
    <t>8998008153038</t>
  </si>
  <si>
    <t>MIWON GARAM GURIH 300GR</t>
  </si>
  <si>
    <t>8998008366117</t>
  </si>
  <si>
    <t>MIWON KOPI GINSENG 400GR</t>
  </si>
  <si>
    <t>9555093300007</t>
  </si>
  <si>
    <t>MIXED JELLY WAISUN 1KG</t>
  </si>
  <si>
    <t>10430069</t>
  </si>
  <si>
    <t>MIXED MINI JELI INACO 1KG</t>
  </si>
  <si>
    <t>10422483</t>
  </si>
  <si>
    <t>MIXER MINI ELECTRIC</t>
  </si>
  <si>
    <t>10420765</t>
  </si>
  <si>
    <t>MK 10</t>
  </si>
  <si>
    <t>10420763</t>
  </si>
  <si>
    <t>MK 100</t>
  </si>
  <si>
    <t>10420740</t>
  </si>
  <si>
    <t>MK 101</t>
  </si>
  <si>
    <t>10420741</t>
  </si>
  <si>
    <t>MK 102</t>
  </si>
  <si>
    <t>10420727</t>
  </si>
  <si>
    <t>MK 103</t>
  </si>
  <si>
    <t>10420766</t>
  </si>
  <si>
    <t>MK 104</t>
  </si>
  <si>
    <t>10420767</t>
  </si>
  <si>
    <t>MK 105</t>
  </si>
  <si>
    <t>10420742</t>
  </si>
  <si>
    <t>MK 106</t>
  </si>
  <si>
    <t>10422610</t>
  </si>
  <si>
    <t>MK 107</t>
  </si>
  <si>
    <t>10420728</t>
  </si>
  <si>
    <t>MK 11</t>
  </si>
  <si>
    <t>10420743</t>
  </si>
  <si>
    <t>MK 12</t>
  </si>
  <si>
    <t>10420744</t>
  </si>
  <si>
    <t>MK 13</t>
  </si>
  <si>
    <t>10422415</t>
  </si>
  <si>
    <t>MK 131</t>
  </si>
  <si>
    <t>10422416</t>
  </si>
  <si>
    <t>MK 139</t>
  </si>
  <si>
    <t>10420729</t>
  </si>
  <si>
    <t>MK 15</t>
  </si>
  <si>
    <t>10422936</t>
  </si>
  <si>
    <t>MK 159</t>
  </si>
  <si>
    <t>10420768</t>
  </si>
  <si>
    <t>MK 16</t>
  </si>
  <si>
    <t>10422937</t>
  </si>
  <si>
    <t>MK 160</t>
  </si>
  <si>
    <t>10422950</t>
  </si>
  <si>
    <t>MK 161 MIKA KETUPAT B+K</t>
  </si>
  <si>
    <t>10422939</t>
  </si>
  <si>
    <t>MK 162</t>
  </si>
  <si>
    <t>10422414</t>
  </si>
  <si>
    <t>MK 163</t>
  </si>
  <si>
    <t>10422611</t>
  </si>
  <si>
    <t>MK 164</t>
  </si>
  <si>
    <t>10424032</t>
  </si>
  <si>
    <t>MK 165</t>
  </si>
  <si>
    <t>10420730</t>
  </si>
  <si>
    <t>MK 17</t>
  </si>
  <si>
    <t>10420745</t>
  </si>
  <si>
    <t>MK 18</t>
  </si>
  <si>
    <t>10424033</t>
  </si>
  <si>
    <t>MK 183</t>
  </si>
  <si>
    <t>10422619</t>
  </si>
  <si>
    <t>MK 184</t>
  </si>
  <si>
    <t>10422612</t>
  </si>
  <si>
    <t>MK 186</t>
  </si>
  <si>
    <t>10420746</t>
  </si>
  <si>
    <t>MK 19</t>
  </si>
  <si>
    <t>10422613</t>
  </si>
  <si>
    <t>MK 193</t>
  </si>
  <si>
    <t>10422614</t>
  </si>
  <si>
    <t>MK 194</t>
  </si>
  <si>
    <t>10424045</t>
  </si>
  <si>
    <t>MK 197</t>
  </si>
  <si>
    <t>10424051</t>
  </si>
  <si>
    <t>MK 201</t>
  </si>
  <si>
    <t>10424047</t>
  </si>
  <si>
    <t>MK 203</t>
  </si>
  <si>
    <t>10424034</t>
  </si>
  <si>
    <t>MK 207</t>
  </si>
  <si>
    <t>10424035</t>
  </si>
  <si>
    <t>MK 208</t>
  </si>
  <si>
    <t>10424054</t>
  </si>
  <si>
    <t>MK 21</t>
  </si>
  <si>
    <t>10424036</t>
  </si>
  <si>
    <t>MK 212</t>
  </si>
  <si>
    <t>10424046</t>
  </si>
  <si>
    <t>MK 214</t>
  </si>
  <si>
    <t>10424048</t>
  </si>
  <si>
    <t>MK 217</t>
  </si>
  <si>
    <t>10424037</t>
  </si>
  <si>
    <t>MK 219</t>
  </si>
  <si>
    <t>10420769</t>
  </si>
  <si>
    <t>MK 22</t>
  </si>
  <si>
    <t>10424038</t>
  </si>
  <si>
    <t>MK 220</t>
  </si>
  <si>
    <t>10424043</t>
  </si>
  <si>
    <t>MK 221</t>
  </si>
  <si>
    <t>10424039</t>
  </si>
  <si>
    <t>MK 222</t>
  </si>
  <si>
    <t>10424040</t>
  </si>
  <si>
    <t>MK 223</t>
  </si>
  <si>
    <t>10424041</t>
  </si>
  <si>
    <t>MK 224</t>
  </si>
  <si>
    <t>10424042</t>
  </si>
  <si>
    <t>MK 226</t>
  </si>
  <si>
    <t>10420770</t>
  </si>
  <si>
    <t>MK 23</t>
  </si>
  <si>
    <t>10424044</t>
  </si>
  <si>
    <t>MK 231</t>
  </si>
  <si>
    <t>10427283</t>
  </si>
  <si>
    <t>MK 232</t>
  </si>
  <si>
    <t>10424807</t>
  </si>
  <si>
    <t>MK 239 MIKA BULAT TIPIS 8</t>
  </si>
  <si>
    <t>10420771</t>
  </si>
  <si>
    <t>MK 24</t>
  </si>
  <si>
    <t>10424811</t>
  </si>
  <si>
    <t>MK 243 MIKA KOTAK IKAN 4</t>
  </si>
  <si>
    <t>10424812</t>
  </si>
  <si>
    <t>MK 244</t>
  </si>
  <si>
    <t>10424806</t>
  </si>
  <si>
    <t>MK 245</t>
  </si>
  <si>
    <t>10424814</t>
  </si>
  <si>
    <t>MK 246</t>
  </si>
  <si>
    <t>10420772</t>
  </si>
  <si>
    <t>MK 25</t>
  </si>
  <si>
    <t>10424815</t>
  </si>
  <si>
    <t>MK 254 MIKA HURUF+ANGKA BK</t>
  </si>
  <si>
    <t>10424923</t>
  </si>
  <si>
    <t>MK 255 MIKA HURUF+ANGKA B</t>
  </si>
  <si>
    <t>10424808</t>
  </si>
  <si>
    <t>MK 257</t>
  </si>
  <si>
    <t>10420773</t>
  </si>
  <si>
    <t>MK 26</t>
  </si>
  <si>
    <t>10424817</t>
  </si>
  <si>
    <t>MK 262</t>
  </si>
  <si>
    <t>10424816</t>
  </si>
  <si>
    <t>MK 263</t>
  </si>
  <si>
    <t>10424810</t>
  </si>
  <si>
    <t>MK 264</t>
  </si>
  <si>
    <t>10424809</t>
  </si>
  <si>
    <t>MK 268</t>
  </si>
  <si>
    <t>10420732</t>
  </si>
  <si>
    <t>MK 27</t>
  </si>
  <si>
    <t>10424825</t>
  </si>
  <si>
    <t>MK 275</t>
  </si>
  <si>
    <t>10420710</t>
  </si>
  <si>
    <t>MK 28</t>
  </si>
  <si>
    <t>10424052</t>
  </si>
  <si>
    <t>MK 3</t>
  </si>
  <si>
    <t>10420711</t>
  </si>
  <si>
    <t>MK 31</t>
  </si>
  <si>
    <t>10420712</t>
  </si>
  <si>
    <t>MK 32</t>
  </si>
  <si>
    <t>10420731</t>
  </si>
  <si>
    <t>MK 33</t>
  </si>
  <si>
    <t>10420747</t>
  </si>
  <si>
    <t>MK 34</t>
  </si>
  <si>
    <t>10420748</t>
  </si>
  <si>
    <t>MK 35</t>
  </si>
  <si>
    <t>10420713</t>
  </si>
  <si>
    <t>MK 36</t>
  </si>
  <si>
    <t>10420749</t>
  </si>
  <si>
    <t>MK 38</t>
  </si>
  <si>
    <t>10420750</t>
  </si>
  <si>
    <t>MK 39</t>
  </si>
  <si>
    <t>10424050</t>
  </si>
  <si>
    <t>MK 4</t>
  </si>
  <si>
    <t>10420714</t>
  </si>
  <si>
    <t>MK 40</t>
  </si>
  <si>
    <t>10420715</t>
  </si>
  <si>
    <t>MK 41</t>
  </si>
  <si>
    <t>10420733</t>
  </si>
  <si>
    <t>MK 42</t>
  </si>
  <si>
    <t>10420716</t>
  </si>
  <si>
    <t>MK 46</t>
  </si>
  <si>
    <t>10424053</t>
  </si>
  <si>
    <t>MK 5</t>
  </si>
  <si>
    <t>10420751</t>
  </si>
  <si>
    <t>MK 54</t>
  </si>
  <si>
    <t>10420752</t>
  </si>
  <si>
    <t>MK 55</t>
  </si>
  <si>
    <t>10420753</t>
  </si>
  <si>
    <t>MK 56</t>
  </si>
  <si>
    <t>10420717</t>
  </si>
  <si>
    <t>MK 57</t>
  </si>
  <si>
    <t>10420718</t>
  </si>
  <si>
    <t>MK 6</t>
  </si>
  <si>
    <t>10420719</t>
  </si>
  <si>
    <t>MK 62</t>
  </si>
  <si>
    <t>10420754</t>
  </si>
  <si>
    <t>MK 64</t>
  </si>
  <si>
    <t>10420755</t>
  </si>
  <si>
    <t>MK 65</t>
  </si>
  <si>
    <t>10420756</t>
  </si>
  <si>
    <t>MK 66</t>
  </si>
  <si>
    <t>10424049</t>
  </si>
  <si>
    <t>MK 72</t>
  </si>
  <si>
    <t>10420757</t>
  </si>
  <si>
    <t>MK 73</t>
  </si>
  <si>
    <t>10420720</t>
  </si>
  <si>
    <t>MK 75</t>
  </si>
  <si>
    <t>10420759</t>
  </si>
  <si>
    <t>MK 77</t>
  </si>
  <si>
    <t>10420734</t>
  </si>
  <si>
    <t>MK 80</t>
  </si>
  <si>
    <t>10420721</t>
  </si>
  <si>
    <t>MK 81</t>
  </si>
  <si>
    <t>10420758</t>
  </si>
  <si>
    <t>MK 83</t>
  </si>
  <si>
    <t>10420735</t>
  </si>
  <si>
    <t>MK 9</t>
  </si>
  <si>
    <t>10420760</t>
  </si>
  <si>
    <t>MK 92</t>
  </si>
  <si>
    <t>10420761</t>
  </si>
  <si>
    <t>MK 94</t>
  </si>
  <si>
    <t>10420736</t>
  </si>
  <si>
    <t>MK 95</t>
  </si>
  <si>
    <t>10420762</t>
  </si>
  <si>
    <t>MK 96</t>
  </si>
  <si>
    <t>10420722</t>
  </si>
  <si>
    <t>MK 98</t>
  </si>
  <si>
    <t>10422905</t>
  </si>
  <si>
    <t>MK204 MIKA BINGKAI</t>
  </si>
  <si>
    <t>10422906</t>
  </si>
  <si>
    <t>MK205 MIKA LIST LONJONG</t>
  </si>
  <si>
    <t>10422949</t>
  </si>
  <si>
    <t>MK206</t>
  </si>
  <si>
    <t>10422907</t>
  </si>
  <si>
    <t>MK209 MIKA LIST ATAP</t>
  </si>
  <si>
    <t>10422908</t>
  </si>
  <si>
    <t>MK211 MIKA HATI</t>
  </si>
  <si>
    <t>10423722</t>
  </si>
  <si>
    <t>MK213 MIKA PERSEGI MOTIF</t>
  </si>
  <si>
    <t>10427241</t>
  </si>
  <si>
    <t>MKB1211-65C MIKA BOX+TTP 12X11X6.5CM</t>
  </si>
  <si>
    <t>10427220</t>
  </si>
  <si>
    <t>MKB1211-65D3 MIKA BOX+TTP 12X11X6.5CM</t>
  </si>
  <si>
    <t>10427196</t>
  </si>
  <si>
    <t>MKB1211-65F MIKA BOX+TTP 12X11X6.5CM</t>
  </si>
  <si>
    <t>10427222</t>
  </si>
  <si>
    <t>MKB1211-65H MIKA BOX+TTP 12X11X6.5CM</t>
  </si>
  <si>
    <t>10427225</t>
  </si>
  <si>
    <t>MKB1211-65I MIKA BOX+TTP 12X11X6.5CM</t>
  </si>
  <si>
    <t>10427243</t>
  </si>
  <si>
    <t>MKB1211-65PT MIKA BOX+TTP 12X11X6.5CM</t>
  </si>
  <si>
    <t>10427255</t>
  </si>
  <si>
    <t>MKB177-65C MIKA BOX 17X7X6.5CM</t>
  </si>
  <si>
    <t>10427197</t>
  </si>
  <si>
    <t>MKB177-65CK MIKA BOX 17X7X6.5</t>
  </si>
  <si>
    <t>10427198</t>
  </si>
  <si>
    <t>MKB177-65D1 MIKA BOX 17X7X6.5M</t>
  </si>
  <si>
    <t>10427236</t>
  </si>
  <si>
    <t>MKB177-65D3 MIKA BOX 17X7X6.5CM</t>
  </si>
  <si>
    <t>10427253</t>
  </si>
  <si>
    <t>MKB177-65I2 MIKA BOX 17X7X6.5CM</t>
  </si>
  <si>
    <t>8995102703107</t>
  </si>
  <si>
    <t>MMSK BMB KUAH BAKSO 100GR</t>
  </si>
  <si>
    <t>8995102703114</t>
  </si>
  <si>
    <t>MMSK BMB KUAH BAKSO 250GR</t>
  </si>
  <si>
    <t>8998008170097</t>
  </si>
  <si>
    <t>MMSK CHEESY MAYONAISE 100GR</t>
  </si>
  <si>
    <t>8995102707198</t>
  </si>
  <si>
    <t>MMSK DELISAOS ARRABIATA 315GR</t>
  </si>
  <si>
    <t>8995102707211</t>
  </si>
  <si>
    <t>MMSK DELISAOS BOLOGNESE 315GR</t>
  </si>
  <si>
    <t>8995102705347</t>
  </si>
  <si>
    <t>MMSK DELISAOS HL KOREAN GARLIC 160GR</t>
  </si>
  <si>
    <t>8995102705354</t>
  </si>
  <si>
    <t>MMSK DELISAOS HL KOREAN GARLIC 320GR</t>
  </si>
  <si>
    <t>8995102705286</t>
  </si>
  <si>
    <t>MMSK DELISAOS HL KOREAN ORI 160GR</t>
  </si>
  <si>
    <t>8995102705293</t>
  </si>
  <si>
    <t>MMSK DELISAOS HL KOREAN ORI 320GR</t>
  </si>
  <si>
    <t>8995102705408</t>
  </si>
  <si>
    <t>MMSK DELISAOS HL KOREAN SPICY 160GR</t>
  </si>
  <si>
    <t>8995102705415</t>
  </si>
  <si>
    <t>MMSK DELISAOS HL KOREAN SPICY 320GR</t>
  </si>
  <si>
    <t>8995102707112</t>
  </si>
  <si>
    <t>MMSK DELISAOS HOT LAVA 160ML</t>
  </si>
  <si>
    <t>8995102707129</t>
  </si>
  <si>
    <t>MMSK DELISAOS HOT LAVA 320ML</t>
  </si>
  <si>
    <t>8995102707242</t>
  </si>
  <si>
    <t>MMSK DELISAOS HOT LAVA VOLCANO 160ML</t>
  </si>
  <si>
    <t>8995102707259</t>
  </si>
  <si>
    <t>MMSK DELISAOS HOT LAVA VOLCANO 310GR</t>
  </si>
  <si>
    <t>8995102707204</t>
  </si>
  <si>
    <t>MMSK DELISAOS ROSE 315GR</t>
  </si>
  <si>
    <t>8995102707174</t>
  </si>
  <si>
    <t>MMSK DELISAOS S TIRAM MANIS 130GR</t>
  </si>
  <si>
    <t>8995102707181</t>
  </si>
  <si>
    <t>MMSK DELISAOS S TIRAM MANIS 320ML</t>
  </si>
  <si>
    <t>8995102707143</t>
  </si>
  <si>
    <t>MMSK DELISAOS S TIRAM MANIS UDANG 130GR</t>
  </si>
  <si>
    <t>8995102707150</t>
  </si>
  <si>
    <t>MMSK DELISAOS S TIRAM MANIS UDANG 320ML</t>
  </si>
  <si>
    <t>8995102707600</t>
  </si>
  <si>
    <t>MMSK DELISAOS SAUS BULGOGI 160ML</t>
  </si>
  <si>
    <t>8995102707273</t>
  </si>
  <si>
    <t>MMSK DELISAOS SAUS BULGOGI 320ML</t>
  </si>
  <si>
    <t>8995102707525</t>
  </si>
  <si>
    <t>MMSK DELISAOS SAUS JAPCHAE ORI 100GR</t>
  </si>
  <si>
    <t>8995102707532</t>
  </si>
  <si>
    <t>MMSK DELISAOS SAUS JAPCHAE SPICY 100GR</t>
  </si>
  <si>
    <t>8995102707488</t>
  </si>
  <si>
    <t>MMSK DELISAOS SAUS TOPOKKI CREAMY 100GR</t>
  </si>
  <si>
    <t>8995102707464</t>
  </si>
  <si>
    <t>MMSK DELISAOS SAUS TOPOKKI ORI 100GR</t>
  </si>
  <si>
    <t>8995102707471</t>
  </si>
  <si>
    <t>MMSK DELISAOS SAUS TOPOKKI SPICY 100GR</t>
  </si>
  <si>
    <t>8995102707327</t>
  </si>
  <si>
    <t>MMSK DRESSING HOTLAVA 100GR</t>
  </si>
  <si>
    <t>8995102708683</t>
  </si>
  <si>
    <t>MMSK GIM BORI BULGOGI 25GR</t>
  </si>
  <si>
    <t>8995102708690</t>
  </si>
  <si>
    <t>MMSK GIM BORI BULGOGI 50GR</t>
  </si>
  <si>
    <t>8995102708652</t>
  </si>
  <si>
    <t>MMSK GIM BORI EXTRA SPICY 30GR</t>
  </si>
  <si>
    <t>8995102708591</t>
  </si>
  <si>
    <t>MMSK GIM BORI ORI 25GR</t>
  </si>
  <si>
    <t>8995102708706</t>
  </si>
  <si>
    <t>MMSK GIM BORI PEDAS MAX 30GR</t>
  </si>
  <si>
    <t>8995102708621</t>
  </si>
  <si>
    <t>MMSK GIM BORI SPICY 30GR</t>
  </si>
  <si>
    <t>8995102707280</t>
  </si>
  <si>
    <t>MMSK HONEY MUSTARD 100GR</t>
  </si>
  <si>
    <t>8998008170073</t>
  </si>
  <si>
    <t>MMSK MAYONAIS 100GR</t>
  </si>
  <si>
    <t>MMSK MAYONAIS 1KG</t>
  </si>
  <si>
    <t>8995102708508</t>
  </si>
  <si>
    <t>MMSK NORI SAKU BBQ 12S</t>
  </si>
  <si>
    <t>8995102704388</t>
  </si>
  <si>
    <t>MMSK NORI SAKU BBQ 2GR 20S</t>
  </si>
  <si>
    <t>8995102708492</t>
  </si>
  <si>
    <t>MMSK NORI SAKU SPICY 12S</t>
  </si>
  <si>
    <t>8995102708324</t>
  </si>
  <si>
    <t>MMSK NORI SAKU SPICY 2GR 20S</t>
  </si>
  <si>
    <t>8995102704463</t>
  </si>
  <si>
    <t>MMSK PREMIKS MUFFIN CKLT 250GR</t>
  </si>
  <si>
    <t>8995102704470</t>
  </si>
  <si>
    <t>MMSK PREMIKS MUFFIN PISANG 250GR</t>
  </si>
  <si>
    <t>8995102708089</t>
  </si>
  <si>
    <t>MMSK RUMPUT LAUT BBQ 9GR 2S</t>
  </si>
  <si>
    <t>8995102704401</t>
  </si>
  <si>
    <t>MMSK RUMPUT LAUT CHICKEN GHOST PAPPER 9GR 2S</t>
  </si>
  <si>
    <t>8995102708010</t>
  </si>
  <si>
    <t>MMSK RUMPUT LAUT(NORI) 4,5</t>
  </si>
  <si>
    <t>8995102708027</t>
  </si>
  <si>
    <t>MMSK RUMPUT LAUT(NORI) 4.5GR 3S</t>
  </si>
  <si>
    <t>8995102707341</t>
  </si>
  <si>
    <t>MMSK SALAD DRESSING 150GR</t>
  </si>
  <si>
    <t>MMSK SALAD DRESSING 1KG</t>
  </si>
  <si>
    <t>8995102708775</t>
  </si>
  <si>
    <t>MMSK SARDEN JALAPENO 155GR</t>
  </si>
  <si>
    <t>8995102708768</t>
  </si>
  <si>
    <t>MMSK SARDEN TOMAT 155GR</t>
  </si>
  <si>
    <t>8995102708751</t>
  </si>
  <si>
    <t>MMSK SARDINES GOCHUJANG 155GR</t>
  </si>
  <si>
    <t>8995102702919</t>
  </si>
  <si>
    <t>MMSK SUP KRIM JAGUNG 55GR</t>
  </si>
  <si>
    <t>8995102702926</t>
  </si>
  <si>
    <t>MMSK SUP KRIM JAMUR 55GR</t>
  </si>
  <si>
    <t>8995102702414</t>
  </si>
  <si>
    <t>MMSK TEPUNG BAKSO KENYAL 32GR</t>
  </si>
  <si>
    <t>8995102703442</t>
  </si>
  <si>
    <t>MMSK TERASI UDANG 4GR</t>
  </si>
  <si>
    <t>8995102704623</t>
  </si>
  <si>
    <t>MMSK TOPOKKI ROSE CARBONARA 105GR</t>
  </si>
  <si>
    <t>8995102701851</t>
  </si>
  <si>
    <t>MMSK TP AYAM GORENG KOREA ORI 170GR</t>
  </si>
  <si>
    <t>8995102702155</t>
  </si>
  <si>
    <t>MMSK TP BAKWAN JAGUNG 170GR</t>
  </si>
  <si>
    <t>8995102702124</t>
  </si>
  <si>
    <t>MMSK TP BAKWAN KRISPI 225GR</t>
  </si>
  <si>
    <t>8995102702162</t>
  </si>
  <si>
    <t>MMSK TP BAKWAN UDANG 180GR</t>
  </si>
  <si>
    <t>8995102701974</t>
  </si>
  <si>
    <t>MMSK TP BB ALA KENTUCKY 210GR</t>
  </si>
  <si>
    <t>8995102702056</t>
  </si>
  <si>
    <t>MMSK TP BMB KRISPI 900GR</t>
  </si>
  <si>
    <t>8995102702063</t>
  </si>
  <si>
    <t>MMSK TP BMB KRISPI ALA RESTO 900GR</t>
  </si>
  <si>
    <t>8995102702049</t>
  </si>
  <si>
    <t>MMSK TP BUMBU KRISPI 210GR</t>
  </si>
  <si>
    <t>8995102702544</t>
  </si>
  <si>
    <t>MMSK TP KRISPI LADA HITAM 170GR</t>
  </si>
  <si>
    <t>8995102704227</t>
  </si>
  <si>
    <t>MMSK TP MAIZENA 1KG</t>
  </si>
  <si>
    <t>8995102702629</t>
  </si>
  <si>
    <t>MMSK TP PISANG RASA PANDAN 210GR</t>
  </si>
  <si>
    <t>8995102702650</t>
  </si>
  <si>
    <t>MMSK TP PISANG RASA VANILA 210GR</t>
  </si>
  <si>
    <t>8995102702070</t>
  </si>
  <si>
    <t>MMSK TP TEMPE GORENG 70GR</t>
  </si>
  <si>
    <t>8995102702094</t>
  </si>
  <si>
    <t>MMSK TP TEMPURA KRISPI RESTO 900GR</t>
  </si>
  <si>
    <t>8995102707297</t>
  </si>
  <si>
    <t>MMSK WIJEN SANGRAI 100GR</t>
  </si>
  <si>
    <t>10423729</t>
  </si>
  <si>
    <t>MOBIL CART SET 6 MI25</t>
  </si>
  <si>
    <t>10422400</t>
  </si>
  <si>
    <t>MOBIL MCQUEEN MI26</t>
  </si>
  <si>
    <t>10422413</t>
  </si>
  <si>
    <t>MOBIL MINI SET 8 MI16</t>
  </si>
  <si>
    <t>10422399</t>
  </si>
  <si>
    <t>MOBILE B 7 6CM MI15</t>
  </si>
  <si>
    <t>10423715</t>
  </si>
  <si>
    <t>MODELING TOOLS SET14 ZN122B</t>
  </si>
  <si>
    <t>10427364</t>
  </si>
  <si>
    <t>MODELLING TOOLS SET12</t>
  </si>
  <si>
    <t>10424791</t>
  </si>
  <si>
    <t>MODELLING TOOLS SET8</t>
  </si>
  <si>
    <t>10427112</t>
  </si>
  <si>
    <t>MOKO GARPU 12S</t>
  </si>
  <si>
    <t>3052910056353</t>
  </si>
  <si>
    <t>MONIN BLUE LAGOON 700ML</t>
  </si>
  <si>
    <t>3052910041052</t>
  </si>
  <si>
    <t>MONIN BUBBLE GUM 700ML</t>
  </si>
  <si>
    <t>3052910041069</t>
  </si>
  <si>
    <t>MONIN BUTTERSCOTCH 70CL</t>
  </si>
  <si>
    <t>3052910006907</t>
  </si>
  <si>
    <t>MONIN CARAMEL 70CL</t>
  </si>
  <si>
    <t>3052910056476</t>
  </si>
  <si>
    <t>MONIN CINNAMON 70CL</t>
  </si>
  <si>
    <t>3052910041151</t>
  </si>
  <si>
    <t>MONIN CREME BRULE 700ML</t>
  </si>
  <si>
    <t>3052910018948</t>
  </si>
  <si>
    <t>MONIN ELDERFLOWER 700ML</t>
  </si>
  <si>
    <t>3052910056339</t>
  </si>
  <si>
    <t>MONIN FRUIT DE LA PASSION 700ML</t>
  </si>
  <si>
    <t>3052910056223</t>
  </si>
  <si>
    <t>MONIN GREEN MINT 70CL</t>
  </si>
  <si>
    <t>3052910056254</t>
  </si>
  <si>
    <t>MONIN GRENADINE 70CL</t>
  </si>
  <si>
    <t>3052910055325</t>
  </si>
  <si>
    <t>MONIN HAZELNUT 700ML</t>
  </si>
  <si>
    <t>3052910056438</t>
  </si>
  <si>
    <t>MONIN KIWI 70CL</t>
  </si>
  <si>
    <t>3052911187674</t>
  </si>
  <si>
    <t>MONIN LEMON CONCENTRATE</t>
  </si>
  <si>
    <t>3052910055226</t>
  </si>
  <si>
    <t>MONIN MANGO 70CL</t>
  </si>
  <si>
    <t>3052911248641</t>
  </si>
  <si>
    <t>MONIN PANDAN 70CL</t>
  </si>
  <si>
    <t>3052910056377</t>
  </si>
  <si>
    <t>MONIN PEACH 70CL</t>
  </si>
  <si>
    <t>3052910056261</t>
  </si>
  <si>
    <t>MONIN STRW FRAISE 70CL</t>
  </si>
  <si>
    <t>3052910015107</t>
  </si>
  <si>
    <t>MONIN SYRUP GREEN 70CL</t>
  </si>
  <si>
    <t>3052910700263</t>
  </si>
  <si>
    <t>MONIN TIRAMISU 70CL</t>
  </si>
  <si>
    <t>3052910000929</t>
  </si>
  <si>
    <t>MONIN VANILLE 1LT</t>
  </si>
  <si>
    <t>3052910056469</t>
  </si>
  <si>
    <t>MONIN VANILLE 700ML</t>
  </si>
  <si>
    <t>3052910018924</t>
  </si>
  <si>
    <t>MONIN WATERMELON 70CL</t>
  </si>
  <si>
    <t>3052910015961</t>
  </si>
  <si>
    <t>MONIN WILD MINT 700ML</t>
  </si>
  <si>
    <t>8993163502103</t>
  </si>
  <si>
    <t>MONTIS TISSUE COMPACT 200S</t>
  </si>
  <si>
    <t>8993163402137</t>
  </si>
  <si>
    <t>MONTIS TISSUE SOFT 1000S</t>
  </si>
  <si>
    <t>8993163411108</t>
  </si>
  <si>
    <t>MONTIS TISSUE SOFT 250S</t>
  </si>
  <si>
    <t>8993163502059</t>
  </si>
  <si>
    <t>MONTIS TISSUE SOFT 60X200S</t>
  </si>
  <si>
    <t>8993163702022</t>
  </si>
  <si>
    <t>MONTISS KITCHEN ROLL TOWEL</t>
  </si>
  <si>
    <t>8993163702015</t>
  </si>
  <si>
    <t>MONTISS MULTIPURPOSE TOWEL 150S</t>
  </si>
  <si>
    <t>8992824265883</t>
  </si>
  <si>
    <t>MOREMADE BUTTER BLEND 17KG</t>
  </si>
  <si>
    <t>10412399</t>
  </si>
  <si>
    <t>MOREMADE BUTTER BLEND 500GR</t>
  </si>
  <si>
    <t>8995952008230</t>
  </si>
  <si>
    <t>MORIN CHOCO PEANUT 150GR</t>
  </si>
  <si>
    <t>8995952008025</t>
  </si>
  <si>
    <t>MORIN CHOCO PEANUT 250GR</t>
  </si>
  <si>
    <t>8995952008018</t>
  </si>
  <si>
    <t>MORIN CHOCO PEANUT 300GR</t>
  </si>
  <si>
    <t>8995952064229</t>
  </si>
  <si>
    <t>MORIN JAM BLUEBERRY 170GR</t>
  </si>
  <si>
    <t>8995952001224</t>
  </si>
  <si>
    <t>MORIN KAYA SPREAD 170GR</t>
  </si>
  <si>
    <t>8995952001026</t>
  </si>
  <si>
    <t>MORIN KAYA SPREAD 250GR</t>
  </si>
  <si>
    <t>8995952001019</t>
  </si>
  <si>
    <t>MORIN KAYA SPREAD 330GR</t>
  </si>
  <si>
    <t>8995952005017</t>
  </si>
  <si>
    <t>MORIN MIXED FRUIT 330GR</t>
  </si>
  <si>
    <t>8995952004232</t>
  </si>
  <si>
    <t>MORIN PEANUT BUTTER 150GR</t>
  </si>
  <si>
    <t>8995952004027</t>
  </si>
  <si>
    <t>MORIN PEANUT BUTTER 250GR</t>
  </si>
  <si>
    <t>8995952004010</t>
  </si>
  <si>
    <t>MORIN PEANUT BUTTER 300GR</t>
  </si>
  <si>
    <t>8995952002221</t>
  </si>
  <si>
    <t>MORIN PINEAPPLE JAM 170GR</t>
  </si>
  <si>
    <t>8995952002023</t>
  </si>
  <si>
    <t>MORIN PINEAPPLE JAM 250GR</t>
  </si>
  <si>
    <t>8995952002016</t>
  </si>
  <si>
    <t>MORIN PINEAPPLE JAM 330GR</t>
  </si>
  <si>
    <t>8995952003013</t>
  </si>
  <si>
    <t>MORIN STRAW 330 GR</t>
  </si>
  <si>
    <t>8995952003228</t>
  </si>
  <si>
    <t>MORIN STRAW JAM 170GR</t>
  </si>
  <si>
    <t>8995952003020</t>
  </si>
  <si>
    <t>MORIN STRAW JAM 250GR</t>
  </si>
  <si>
    <t>8997012120944</t>
  </si>
  <si>
    <t>MORISCA CHOCOLATE JAM 125GR</t>
  </si>
  <si>
    <t>733894317076</t>
  </si>
  <si>
    <t>MORISCA PEANUT BUTTER JAM 150GR</t>
  </si>
  <si>
    <t>8997012121354</t>
  </si>
  <si>
    <t>MORISCA SRIKAYA JAM 170GR</t>
  </si>
  <si>
    <t>733894317083</t>
  </si>
  <si>
    <t>MORISCA STAWBERRY JAM 150GR</t>
  </si>
  <si>
    <t>733894133102</t>
  </si>
  <si>
    <t>MORITA JAM COKLAT 150GR</t>
  </si>
  <si>
    <t>733894133171</t>
  </si>
  <si>
    <t>MORITA JAM PEANUT BUTTER 125GR</t>
  </si>
  <si>
    <t>733894133188</t>
  </si>
  <si>
    <t>MORITA JAM STAWBERRY 150GR</t>
  </si>
  <si>
    <t>4712523800079</t>
  </si>
  <si>
    <t>MOSA CREAM CHARGER 10S</t>
  </si>
  <si>
    <t>4712523800154</t>
  </si>
  <si>
    <t>MOSA SODA CHARGER 10S</t>
  </si>
  <si>
    <t>10411002</t>
  </si>
  <si>
    <t>MOTHER CHOICE 1/2KG</t>
  </si>
  <si>
    <t>MOTHER CHOICE 1KG</t>
  </si>
  <si>
    <t>8992824265593</t>
  </si>
  <si>
    <t>MOTHER CHOICE 4.5KG</t>
  </si>
  <si>
    <t>10420314</t>
  </si>
  <si>
    <t>MS 1000 A</t>
  </si>
  <si>
    <t>10423187</t>
  </si>
  <si>
    <t>MS 1200 QC 50S</t>
  </si>
  <si>
    <t>10420414</t>
  </si>
  <si>
    <t>MS 16 B 50S</t>
  </si>
  <si>
    <t>10420312</t>
  </si>
  <si>
    <t>MS 20</t>
  </si>
  <si>
    <t>10420315</t>
  </si>
  <si>
    <t>MS 650 A</t>
  </si>
  <si>
    <t>8995153200419</t>
  </si>
  <si>
    <t>MS BAKING POWDER 25GR</t>
  </si>
  <si>
    <t>8995153200433</t>
  </si>
  <si>
    <t>MS BICARBONATE 25GR</t>
  </si>
  <si>
    <t>8995153200358</t>
  </si>
  <si>
    <t>MS CREAM OF TATAR 25GR</t>
  </si>
  <si>
    <t>8998008170011</t>
  </si>
  <si>
    <t>MS MAYONAISE 300GR</t>
  </si>
  <si>
    <t>10423642</t>
  </si>
  <si>
    <t>MS SL1000 FPT</t>
  </si>
  <si>
    <t>8995153200440</t>
  </si>
  <si>
    <t>MS SODA POWDER 25GR</t>
  </si>
  <si>
    <t>10423184</t>
  </si>
  <si>
    <t>MS SQ 1 50S</t>
  </si>
  <si>
    <t>10420415</t>
  </si>
  <si>
    <t>MS SQ 250 50S</t>
  </si>
  <si>
    <t>10420413</t>
  </si>
  <si>
    <t>MS SQ 550 50S</t>
  </si>
  <si>
    <t>10422053</t>
  </si>
  <si>
    <t>MS SQ650</t>
  </si>
  <si>
    <t>8995153200327</t>
  </si>
  <si>
    <t>MS TBM 25GR</t>
  </si>
  <si>
    <t>8993093665800</t>
  </si>
  <si>
    <t>MSG A1 ROSEBRAND 100GR</t>
  </si>
  <si>
    <t>8993093665831</t>
  </si>
  <si>
    <t>MSG A1 ROSEBRAND 250GR</t>
  </si>
  <si>
    <t>10420096</t>
  </si>
  <si>
    <t>MUFFIN 4 LUBANG 5S</t>
  </si>
  <si>
    <t>8997225980090</t>
  </si>
  <si>
    <t>MUFFIN PAPER FRENCH 11X12CM 100S</t>
  </si>
  <si>
    <t>8992931025202</t>
  </si>
  <si>
    <t>MULTI ECO POP UP 200S</t>
  </si>
  <si>
    <t>8992931025042</t>
  </si>
  <si>
    <t>MULTI FACIAL TISSUE 600GR</t>
  </si>
  <si>
    <t>8992931025080</t>
  </si>
  <si>
    <t>MULTI MP-08 1000GR X16</t>
  </si>
  <si>
    <t>8992931002357</t>
  </si>
  <si>
    <t>MULTI NAPKIN TISSUE 200S</t>
  </si>
  <si>
    <t>8997207138495</t>
  </si>
  <si>
    <t>MURATEKU ODENG SAUS PEDAS 500GR</t>
  </si>
  <si>
    <t>8997231730078</t>
  </si>
  <si>
    <t>MURNIRA GULA MERAH 250GR</t>
  </si>
  <si>
    <t>8997210980852</t>
  </si>
  <si>
    <t>MY CHEF MACKEREL TOMATO 425GR</t>
  </si>
  <si>
    <t>8992933621112</t>
  </si>
  <si>
    <t>MY VLA COKLAT 60GR</t>
  </si>
  <si>
    <t>8997210980340</t>
  </si>
  <si>
    <t>MYCHEF LONGAN 565GR</t>
  </si>
  <si>
    <t>8997210980395</t>
  </si>
  <si>
    <t>MYCHEF LYCHEE 565GR</t>
  </si>
  <si>
    <t>8997210980166</t>
  </si>
  <si>
    <t>MYCHEF MUSHROOM 425GR</t>
  </si>
  <si>
    <t>8993492102388</t>
  </si>
  <si>
    <t>NACCIO PEANUT BUTTER CHUNKY 340GR</t>
  </si>
  <si>
    <t>8993492102395</t>
  </si>
  <si>
    <t>NACCIO PEANUT BUTTER CHUNKY 500GR</t>
  </si>
  <si>
    <t>8993492102364</t>
  </si>
  <si>
    <t>NACCIO PEANUT BUTTER CREAMY 340GR</t>
  </si>
  <si>
    <t>8993492102371</t>
  </si>
  <si>
    <t>NACCIO PEANUT BUTTER CREAMY 500GR</t>
  </si>
  <si>
    <t>10420159</t>
  </si>
  <si>
    <t>NAMPAN 1628</t>
  </si>
  <si>
    <t>10420191</t>
  </si>
  <si>
    <t>NAMPAN 2211 MINI 30X20CM</t>
  </si>
  <si>
    <t>10420190</t>
  </si>
  <si>
    <t>NAMPAN L DI</t>
  </si>
  <si>
    <t>10426911</t>
  </si>
  <si>
    <t>NAMPAN M</t>
  </si>
  <si>
    <t>10425809</t>
  </si>
  <si>
    <t>NAMPAN S MINI 32X26.5CM</t>
  </si>
  <si>
    <t>8997002050374</t>
  </si>
  <si>
    <t>NARAYA RAMBUTAN+NANAS</t>
  </si>
  <si>
    <t>8997002058967</t>
  </si>
  <si>
    <t>NARAYA BAKED BEANS 400GR</t>
  </si>
  <si>
    <t>8997002052149</t>
  </si>
  <si>
    <t>NARAYA FRUIT COCKTAIL 850GR</t>
  </si>
  <si>
    <t>8997002058998</t>
  </si>
  <si>
    <t>NARAYA JERUK MANDARIN 312GR</t>
  </si>
  <si>
    <t>8997002054433</t>
  </si>
  <si>
    <t>NARAYA PEACH KALENG 425GR</t>
  </si>
  <si>
    <t>8997002050961</t>
  </si>
  <si>
    <t>NARAYA RAMBUTAN 565GR</t>
  </si>
  <si>
    <t>8997002051104</t>
  </si>
  <si>
    <t>NARAYA SARDEN MAKAREL 425GR</t>
  </si>
  <si>
    <t>10425278</t>
  </si>
  <si>
    <t>NASTAR BULAT 20S</t>
  </si>
  <si>
    <t>10422973</t>
  </si>
  <si>
    <t>NASTAR DAUN 20S</t>
  </si>
  <si>
    <t>10425277</t>
  </si>
  <si>
    <t>NASTAR PETAK 15S</t>
  </si>
  <si>
    <t>8992726953604</t>
  </si>
  <si>
    <t>NATA DE COCO PANDAN 360GR</t>
  </si>
  <si>
    <t>8992726938366</t>
  </si>
  <si>
    <t>NATA DE COCO LECI 360GR</t>
  </si>
  <si>
    <t>8992717900297</t>
  </si>
  <si>
    <t>NATA DE COCO LYCHEE 130GR</t>
  </si>
  <si>
    <t>8992726938861</t>
  </si>
  <si>
    <t>NATA DE COCO MANGGA 360GR</t>
  </si>
  <si>
    <t>8992726938762</t>
  </si>
  <si>
    <t>NATA DE COCO STW 360 GR</t>
  </si>
  <si>
    <t>8992726938663</t>
  </si>
  <si>
    <t>NATA DE COCO VANILLA 360GR</t>
  </si>
  <si>
    <t>8992696527065</t>
  </si>
  <si>
    <t>NESCAFE ICE ROAST 2GR 10S</t>
  </si>
  <si>
    <t>10412287</t>
  </si>
  <si>
    <t>10410997</t>
  </si>
  <si>
    <t>NESTA BF COKLAT 5KG</t>
  </si>
  <si>
    <t>10411040</t>
  </si>
  <si>
    <t>NESTA BF COKLAT KACANG 1/2KG</t>
  </si>
  <si>
    <t>10411041</t>
  </si>
  <si>
    <t>NESTA BF COKLAT KACANG 250GR</t>
  </si>
  <si>
    <t>10410885</t>
  </si>
  <si>
    <t>NESTA BF COKLAT KACANG 5KG</t>
  </si>
  <si>
    <t>10411753</t>
  </si>
  <si>
    <t>NESTA IROT COKLAT 25KG</t>
  </si>
  <si>
    <t>9556001031556</t>
  </si>
  <si>
    <t>NESTLE BLACKCURRANT 750GR</t>
  </si>
  <si>
    <t>10411555</t>
  </si>
  <si>
    <t>NESTLE DOCELLO DESSERT BASE 1KG</t>
  </si>
  <si>
    <t>4800361002851</t>
  </si>
  <si>
    <t>NESTLE KOKO KRUNCH 150GR</t>
  </si>
  <si>
    <t>4800361000239</t>
  </si>
  <si>
    <t>NESTLE KOKO KRUNCH CEREAL 330GR</t>
  </si>
  <si>
    <t>8992696527027</t>
  </si>
  <si>
    <t>NESTLE MILO NPRO 1.5KG</t>
  </si>
  <si>
    <t>4800361002974</t>
  </si>
  <si>
    <t>NESTLE MILO SEREAL 150GR</t>
  </si>
  <si>
    <t>8992982201501</t>
  </si>
  <si>
    <t>NESTLE PURE LIFE 1500ML</t>
  </si>
  <si>
    <t>8992982206001</t>
  </si>
  <si>
    <t>NESTLE PURE LIFE 600ML</t>
  </si>
  <si>
    <t>10510257</t>
  </si>
  <si>
    <t>NICE BATHROOM TISSUE 1ROL</t>
  </si>
  <si>
    <t>8992759124347</t>
  </si>
  <si>
    <t>NICE FACIAL 36X250`S</t>
  </si>
  <si>
    <t>8992759124354</t>
  </si>
  <si>
    <t>NICE FACIAL 60X180`S GT</t>
  </si>
  <si>
    <t>8992759244021</t>
  </si>
  <si>
    <t>NICE FACIAL POP UP 200S</t>
  </si>
  <si>
    <t>10510258</t>
  </si>
  <si>
    <t>NICE LIVING FACIAL 2PLY 1000GR</t>
  </si>
  <si>
    <t>4023012018098</t>
  </si>
  <si>
    <t>NICER DICER 5IN1 NDQ1</t>
  </si>
  <si>
    <t>8997227875363</t>
  </si>
  <si>
    <t>NORI ONIGIRI 13GR 10S</t>
  </si>
  <si>
    <t>8997227875394</t>
  </si>
  <si>
    <t>NORI ONIGIRI 65GR 50S</t>
  </si>
  <si>
    <t>10422165</t>
  </si>
  <si>
    <t>NOZZEL BRUSH</t>
  </si>
  <si>
    <t>NUTELLA 1KG</t>
  </si>
  <si>
    <t>NUTELLA 200GR</t>
  </si>
  <si>
    <t>NUTELLA 350GR</t>
  </si>
  <si>
    <t>NUTELLA 680GR</t>
  </si>
  <si>
    <t>8000500227848</t>
  </si>
  <si>
    <t>NUTELLA B-READY 132GR</t>
  </si>
  <si>
    <t>8000500224281</t>
  </si>
  <si>
    <t>NUTELLA B-READY 22GR 1S</t>
  </si>
  <si>
    <t>8992933771114</t>
  </si>
  <si>
    <t>NUTRICAKE BROWNIES COKLAT 230</t>
  </si>
  <si>
    <t>8992933773118</t>
  </si>
  <si>
    <t>NUTRICAKE BROWNIES KEJU 230</t>
  </si>
  <si>
    <t>NUTRIJELL ANGGUR PCS</t>
  </si>
  <si>
    <t>8992933248111</t>
  </si>
  <si>
    <t>NUTRIJELL BANANA PCS</t>
  </si>
  <si>
    <t>8992933472110</t>
  </si>
  <si>
    <t>NUTRIJELL BLNC BLUE 15GR</t>
  </si>
  <si>
    <t>8992933471113</t>
  </si>
  <si>
    <t>NUTRIJELL BLNC DELIMA15GR</t>
  </si>
  <si>
    <t>8992933474114</t>
  </si>
  <si>
    <t>NUTRIJELL BLNC SIRSAK 15GR</t>
  </si>
  <si>
    <t>8992933320114</t>
  </si>
  <si>
    <t>NUTRIJELL EKO BLUEBERRY</t>
  </si>
  <si>
    <t>8992933415117</t>
  </si>
  <si>
    <t>NUTRIJELL EKO DARK CHOCO 12GR</t>
  </si>
  <si>
    <t>8992933328110</t>
  </si>
  <si>
    <t>NUTRIJELL EKO GRAPE</t>
  </si>
  <si>
    <t>8992933327113</t>
  </si>
  <si>
    <t>NUTRIJELL EKO GUAVA</t>
  </si>
  <si>
    <t>8992933414110</t>
  </si>
  <si>
    <t>NUTRIJELL EKO KURMA</t>
  </si>
  <si>
    <t>8992933325119</t>
  </si>
  <si>
    <t>NUTRIJELL EKO LECI</t>
  </si>
  <si>
    <t>8992933322118</t>
  </si>
  <si>
    <t>NUTRIJELL EKO ORANGE</t>
  </si>
  <si>
    <t>8992933321111</t>
  </si>
  <si>
    <t>NUTRIJELL EKO STRAW</t>
  </si>
  <si>
    <t>8992933217117</t>
  </si>
  <si>
    <t>NUTRIJELL JAMBU BIJI PCS</t>
  </si>
  <si>
    <t>8992933632118</t>
  </si>
  <si>
    <t>NUTRIJELL KOPI PCS</t>
  </si>
  <si>
    <t>8992933245110</t>
  </si>
  <si>
    <t>NUTRIJELL KURMA PCS</t>
  </si>
  <si>
    <t>8992933469110</t>
  </si>
  <si>
    <t>NUTRIJELL PUDING LAPIS COCOPANDAN 110GR</t>
  </si>
  <si>
    <t>8992933460117</t>
  </si>
  <si>
    <t>NUTRIJELL PUDING LAPIS GULA JAWA 110GR</t>
  </si>
  <si>
    <t>8992933461114</t>
  </si>
  <si>
    <t>NUTRIJELL PUDING SAN PANDAN 130GR</t>
  </si>
  <si>
    <t>8992933466119</t>
  </si>
  <si>
    <t>NUTRIJELL PUDING SUSU CAPUCINO 145GR</t>
  </si>
  <si>
    <t>8992933467116</t>
  </si>
  <si>
    <t>NUTRIJELL PUDING SUSU KARAMEL 142GR</t>
  </si>
  <si>
    <t>8992933172119</t>
  </si>
  <si>
    <t>NUTRIJELL PUDING SUSU KOREAN STW 145GR</t>
  </si>
  <si>
    <t>8992933441116</t>
  </si>
  <si>
    <t>NUTRIJELL PUDING SUSU MELON 145GR</t>
  </si>
  <si>
    <t>8992933171112</t>
  </si>
  <si>
    <t>NUTRIJELL PUDING SUSU R. VELVET 110GR</t>
  </si>
  <si>
    <t>8992933465112</t>
  </si>
  <si>
    <t>NUTRIJELL PUDING SUSU STRAW 145GR</t>
  </si>
  <si>
    <t>8992933468113</t>
  </si>
  <si>
    <t>NUTRIJELL PUDING SUSU VANILA 120GR</t>
  </si>
  <si>
    <t>8992933619119</t>
  </si>
  <si>
    <t>NUTRIJELL YOGURT BLACKCURANT 35GR</t>
  </si>
  <si>
    <t>8992933618112</t>
  </si>
  <si>
    <t>NUTRIJELL YOGURT STRAWBERRY 35GR</t>
  </si>
  <si>
    <t>749921010988</t>
  </si>
  <si>
    <t>NUTRISARI ALA JUS MANGGA 15GR</t>
  </si>
  <si>
    <t>749921005946</t>
  </si>
  <si>
    <t>NUTRISARI AMERICAN ORG RTG</t>
  </si>
  <si>
    <t>749921010445</t>
  </si>
  <si>
    <t>NUTRISARI ANGGUR RTG</t>
  </si>
  <si>
    <t>749921011565</t>
  </si>
  <si>
    <t>NUTRISARI ANGGUR HIJAU RTG</t>
  </si>
  <si>
    <t>749921011794</t>
  </si>
  <si>
    <t>NUTRISARI APPLE TEA RTG 11GR</t>
  </si>
  <si>
    <t>749921011053</t>
  </si>
  <si>
    <t>NUTRISARI BLEWAH 11GR</t>
  </si>
  <si>
    <t>749921011336</t>
  </si>
  <si>
    <t>NUTRISARI COCOPANDAN 13GR</t>
  </si>
  <si>
    <t>7499221229957</t>
  </si>
  <si>
    <t>NUTRISARI DON DONG SARI CINCAU IJO RTG</t>
  </si>
  <si>
    <t>7499221229933</t>
  </si>
  <si>
    <t>NUTRISARI DON DONG SARI TEBU RTG</t>
  </si>
  <si>
    <t>749921011282</t>
  </si>
  <si>
    <t>NUTRISARI ES CINCAU RTG</t>
  </si>
  <si>
    <t>749921011206</t>
  </si>
  <si>
    <t>NUTRISARI ES RUJAK 13GR</t>
  </si>
  <si>
    <t>749921006110</t>
  </si>
  <si>
    <t>NUTRISARI FLORIDA ORANGE RTG</t>
  </si>
  <si>
    <t>749921011633</t>
  </si>
  <si>
    <t>NUTRISARI ISOTONIK RTG</t>
  </si>
  <si>
    <t>749921011695</t>
  </si>
  <si>
    <t>NUTRISARI JERUK BALI RTG</t>
  </si>
  <si>
    <t>749921010414</t>
  </si>
  <si>
    <t>NUTRISARI JERUK EKSTRA MANIS 11GR</t>
  </si>
  <si>
    <t>749921011213</t>
  </si>
  <si>
    <t>NUTRISARI JERUK MANADO 11GR</t>
  </si>
  <si>
    <t>749921010520</t>
  </si>
  <si>
    <t>NUTRISARI JERUK MAROKO RTG</t>
  </si>
  <si>
    <t>749921010339</t>
  </si>
  <si>
    <t>NUTRISARI JERUK NIPIS RTG</t>
  </si>
  <si>
    <t>749921010711</t>
  </si>
  <si>
    <t>NUTRISARI JERUK PERAS</t>
  </si>
  <si>
    <t>749921010780</t>
  </si>
  <si>
    <t>NUTRISARI KELAPA MUDA 11GR</t>
  </si>
  <si>
    <t>749921011428</t>
  </si>
  <si>
    <t>NUTRISARI KUWUD NIPIS RTG</t>
  </si>
  <si>
    <t>749921006226</t>
  </si>
  <si>
    <t>NUTRISARI LECI RTG 11GR</t>
  </si>
  <si>
    <t>749921011480</t>
  </si>
  <si>
    <t>NUTRISARI LEMON TEA 500GR</t>
  </si>
  <si>
    <t>749921010575</t>
  </si>
  <si>
    <t>NUTRISARI LEMON TEA SCH 13GR</t>
  </si>
  <si>
    <t>749921011619</t>
  </si>
  <si>
    <t>NUTRISARI LESS SUGAR BELIMBING RTG</t>
  </si>
  <si>
    <t>749921010803</t>
  </si>
  <si>
    <t>NUTRISARI LYCHEE TEA 14GR</t>
  </si>
  <si>
    <t>749921011381</t>
  </si>
  <si>
    <t>NUTRISARI LYCHEE TEA 500GR</t>
  </si>
  <si>
    <t>749921011121</t>
  </si>
  <si>
    <t>NUTRISARI MADU JERUK 14G</t>
  </si>
  <si>
    <t>749921011114</t>
  </si>
  <si>
    <t>NUTRISARI MADU KURMA 14GR</t>
  </si>
  <si>
    <t>749921011107</t>
  </si>
  <si>
    <t>NUTRISARI MADU LEMON 14GR</t>
  </si>
  <si>
    <t>749921011237</t>
  </si>
  <si>
    <t>NUTRISARI MANGGA GANDARIA 14GR RTG</t>
  </si>
  <si>
    <t>749921011060</t>
  </si>
  <si>
    <t>NUTRISARI MARKISA 14GR</t>
  </si>
  <si>
    <t>749921011275</t>
  </si>
  <si>
    <t>NUTRISARI MILKY ORANGE 11GR</t>
  </si>
  <si>
    <t>749921011312</t>
  </si>
  <si>
    <t>NUTRISARI NANAS RTG</t>
  </si>
  <si>
    <t>749921011305</t>
  </si>
  <si>
    <t>NUTRISARI SEMANGKA RTG</t>
  </si>
  <si>
    <t>749921010438</t>
  </si>
  <si>
    <t>NUTRISARI SIRSAK RTG</t>
  </si>
  <si>
    <t>749921006158</t>
  </si>
  <si>
    <t>NUTRISARI SWEET GUAVA 11GR</t>
  </si>
  <si>
    <t>749921010162</t>
  </si>
  <si>
    <t>NUTRISARI SWEET MANGGO RTG</t>
  </si>
  <si>
    <t>749921010919</t>
  </si>
  <si>
    <t>NUTRISARI YUZU ORANGE 11GR</t>
  </si>
  <si>
    <t>8992933921113</t>
  </si>
  <si>
    <t>NUTRISEDAP MAIZENA 20GR</t>
  </si>
  <si>
    <t>10410343</t>
  </si>
  <si>
    <t>NY LIEM CARAMEL 100ML</t>
  </si>
  <si>
    <t>10410347</t>
  </si>
  <si>
    <t>NY LIEM CKLT 100ML</t>
  </si>
  <si>
    <t>10410346</t>
  </si>
  <si>
    <t>NY LIEM CKLT BLCK FOREST 100ML</t>
  </si>
  <si>
    <t>10410344</t>
  </si>
  <si>
    <t>NY LIEM COFFEE 100ML</t>
  </si>
  <si>
    <t>10411564</t>
  </si>
  <si>
    <t>NY LIEM COKLAT 1KG</t>
  </si>
  <si>
    <t>10410369</t>
  </si>
  <si>
    <t>NY LIEM CONDENSE MILK 100ML</t>
  </si>
  <si>
    <t>10412145</t>
  </si>
  <si>
    <t>NY LIEM ES TELLER 100ML</t>
  </si>
  <si>
    <t>10410350</t>
  </si>
  <si>
    <t>NY LIEM GREEN TEA 100ML</t>
  </si>
  <si>
    <t>10410355</t>
  </si>
  <si>
    <t>NY LIEM MOCA 100ML</t>
  </si>
  <si>
    <t>10410360</t>
  </si>
  <si>
    <t>NY LIEM PANDAN 100ML</t>
  </si>
  <si>
    <t>8993037889910</t>
  </si>
  <si>
    <t>NY LIEM PEWARNA BIRU 30ML</t>
  </si>
  <si>
    <t>8993037889965</t>
  </si>
  <si>
    <t>NY LIEM PEWARNA MERAH MUDA 30ML</t>
  </si>
  <si>
    <t>10410370</t>
  </si>
  <si>
    <t>NY LIEM PISANG AMBON 100ML</t>
  </si>
  <si>
    <t>10410361</t>
  </si>
  <si>
    <t>NY LIEM RED VELVET 100ML</t>
  </si>
  <si>
    <t>10411664</t>
  </si>
  <si>
    <t>NY LIEM RED VELVET 1KG</t>
  </si>
  <si>
    <t>10410368</t>
  </si>
  <si>
    <t>NY LIEM VANILA CREAM 100ML</t>
  </si>
  <si>
    <t>4271062722629</t>
  </si>
  <si>
    <t>OASE GULA SEMUT AREN 225 GR</t>
  </si>
  <si>
    <t>4271062622523</t>
  </si>
  <si>
    <t>OASE GULA SEMUT KELAPA 225 GR</t>
  </si>
  <si>
    <t>4290062283831</t>
  </si>
  <si>
    <t>OASE KACANG KEDELAI KUNING 1KG</t>
  </si>
  <si>
    <t>4272062822722</t>
  </si>
  <si>
    <t>OASE KACANG MERAH 1 KG</t>
  </si>
  <si>
    <t>8997240600027</t>
  </si>
  <si>
    <t>OATSIDE CHOCOLATE 1L</t>
  </si>
  <si>
    <t>8997240600225</t>
  </si>
  <si>
    <t>OATSIDE COFFE OAT MILK 1L</t>
  </si>
  <si>
    <t>8997240600997</t>
  </si>
  <si>
    <t>OATSIDE OAT MILK MOCHA CAPS 200ML</t>
  </si>
  <si>
    <t>8997229330990</t>
  </si>
  <si>
    <t>OC BERAS PUTIH SORGHUM 1KG</t>
  </si>
  <si>
    <t>8997229331317</t>
  </si>
  <si>
    <t>OC COCO COOKING OIL 1LITER</t>
  </si>
  <si>
    <t>8997229330655</t>
  </si>
  <si>
    <t>OC COCONUT SUGAR 250GR</t>
  </si>
  <si>
    <t>8997229332130</t>
  </si>
  <si>
    <t>OC GARLIC SEASALT 250GR</t>
  </si>
  <si>
    <t>8997229330402</t>
  </si>
  <si>
    <t>OC GRANOLA FRUIT LOVERS 350GR</t>
  </si>
  <si>
    <t>8997229330419</t>
  </si>
  <si>
    <t>OC GRANOLA FRUIT NUTS&amp;SEEDS 350GR</t>
  </si>
  <si>
    <t>8997229330433</t>
  </si>
  <si>
    <t>OC GRANOLA NUTS&amp;SEEDS 350GR</t>
  </si>
  <si>
    <t>8997229330693</t>
  </si>
  <si>
    <t>OC KALDU AYAM 80GR</t>
  </si>
  <si>
    <t>8997229330716</t>
  </si>
  <si>
    <t>OC KALDU JAMUR 80GR</t>
  </si>
  <si>
    <t>8997229330709</t>
  </si>
  <si>
    <t>OC KALDU SAPI 80GR</t>
  </si>
  <si>
    <t>8997229331003</t>
  </si>
  <si>
    <t>OC KECAP MANIS SORGHUM 140ML</t>
  </si>
  <si>
    <t>8997229331478</t>
  </si>
  <si>
    <t>OC KECAP MANIS SORGHUM 340ML</t>
  </si>
  <si>
    <t>8997229330952</t>
  </si>
  <si>
    <t>OC KETUMBAR POWDER 70GR</t>
  </si>
  <si>
    <t>8997229330945</t>
  </si>
  <si>
    <t>OC KUNYIT POWDER 70GR</t>
  </si>
  <si>
    <t>8997229330969</t>
  </si>
  <si>
    <t>OC LADA HITAM 60GR</t>
  </si>
  <si>
    <t>8997229330976</t>
  </si>
  <si>
    <t>OC LADA PUTIH 60GR</t>
  </si>
  <si>
    <t>8997229330631</t>
  </si>
  <si>
    <t>OC MIE SAGU UBI UNGU 250GR</t>
  </si>
  <si>
    <t>8997229332147</t>
  </si>
  <si>
    <t>OC NON YODIUM COARSE BALI SALT 250GR</t>
  </si>
  <si>
    <t>8997229330983</t>
  </si>
  <si>
    <t>OC OREGANO 30GR</t>
  </si>
  <si>
    <t>8997229330600</t>
  </si>
  <si>
    <t>OC TEPUNG SAGU 1KG</t>
  </si>
  <si>
    <t>8993207130033</t>
  </si>
  <si>
    <t>OKEY NUGGET 500GR</t>
  </si>
  <si>
    <t>8993207202198</t>
  </si>
  <si>
    <t>OKEY SOSIS 500GR</t>
  </si>
  <si>
    <t>8993207202181</t>
  </si>
  <si>
    <t>OKEY STICK 1000GR</t>
  </si>
  <si>
    <t>8993207202174</t>
  </si>
  <si>
    <t>OKEY STICK 500GR</t>
  </si>
  <si>
    <t>041736030169</t>
  </si>
  <si>
    <t>OLIVE OIL EXTRA LIGHT 250ML</t>
  </si>
  <si>
    <t>8002210123113</t>
  </si>
  <si>
    <t>OLIVE OIL EXTRA LIGHT SPRAY 200ML</t>
  </si>
  <si>
    <t>8002210500105</t>
  </si>
  <si>
    <t>OLIVE OIL EXTRA VIRGIN 250ML</t>
  </si>
  <si>
    <t>8002210500204</t>
  </si>
  <si>
    <t>OLIVE OIL EXTRA VIRGIN 500ML</t>
  </si>
  <si>
    <t>041736001909</t>
  </si>
  <si>
    <t>OLIVE OIL PURE 250ML</t>
  </si>
  <si>
    <t>041736001800</t>
  </si>
  <si>
    <t>OLIVE OIL PURE 500ML</t>
  </si>
  <si>
    <t>8993110002649</t>
  </si>
  <si>
    <t>OMAYO BULDAK SAUS ALA KOREA 500GR</t>
  </si>
  <si>
    <t>6951202837540</t>
  </si>
  <si>
    <t>OPENER CAN&amp;BOTTLE ZF-3014</t>
  </si>
  <si>
    <t>10410614</t>
  </si>
  <si>
    <t>OREGANO 10GR</t>
  </si>
  <si>
    <t>7622300442507</t>
  </si>
  <si>
    <t>OREO BLUEBERRY ICE CREAM 119.6GR</t>
  </si>
  <si>
    <t>7622210580276</t>
  </si>
  <si>
    <t>OREO CHOCOLATE 64.4GR</t>
  </si>
  <si>
    <t>8992760223015</t>
  </si>
  <si>
    <t>OREO COKLAT 119.6GR</t>
  </si>
  <si>
    <t>10410462</t>
  </si>
  <si>
    <t>OREO COKLAT BBK 1/2KG</t>
  </si>
  <si>
    <t>10410720</t>
  </si>
  <si>
    <t>OREO COKLAT BBK 12 KG</t>
  </si>
  <si>
    <t>10410461</t>
  </si>
  <si>
    <t>OREO COKLAT BBK 250GR</t>
  </si>
  <si>
    <t>7622201430153</t>
  </si>
  <si>
    <t>OREO COKLAT ISI 3 38GR</t>
  </si>
  <si>
    <t>7622210708434</t>
  </si>
  <si>
    <t>OREO DARK AND WHITE 119.6GR</t>
  </si>
  <si>
    <t>7622201430146</t>
  </si>
  <si>
    <t>OREO LUP COKLAT 12S</t>
  </si>
  <si>
    <t>7622201430085</t>
  </si>
  <si>
    <t>OREO LUP STRW 12S</t>
  </si>
  <si>
    <t>7622201430177</t>
  </si>
  <si>
    <t>OREO LUP VANILA 12S</t>
  </si>
  <si>
    <t>7622210515278</t>
  </si>
  <si>
    <t>OREO MINI CKLT 20,4GR</t>
  </si>
  <si>
    <t>7622300761363</t>
  </si>
  <si>
    <t>OREO MINI COKLAT 61,3GR</t>
  </si>
  <si>
    <t>7622210515285</t>
  </si>
  <si>
    <t>OREO MINI ORI 20,4GR</t>
  </si>
  <si>
    <t>7622210462534</t>
  </si>
  <si>
    <t>OREO MINI STRAWBERRY 61,3GR</t>
  </si>
  <si>
    <t>7622210695802</t>
  </si>
  <si>
    <t>OREO MINI STRW 20,4GR</t>
  </si>
  <si>
    <t>7622300761349</t>
  </si>
  <si>
    <t>OREO MINI VANILA 61,3GR</t>
  </si>
  <si>
    <t>8992760121090</t>
  </si>
  <si>
    <t>OREO PEANUT BUTTER CKLT 119.6GR</t>
  </si>
  <si>
    <t>7622210551733</t>
  </si>
  <si>
    <t>OREO RED VELVET 123,5GR</t>
  </si>
  <si>
    <t>7622201430092</t>
  </si>
  <si>
    <t>OREO STRW ISI 3</t>
  </si>
  <si>
    <t>7622300136055</t>
  </si>
  <si>
    <t>OREO STRW SUMMER 119,6GR</t>
  </si>
  <si>
    <t>OREO VANILA 119,6GR</t>
  </si>
  <si>
    <t>6901668053121</t>
  </si>
  <si>
    <t>OREO VANILA 64.4GR</t>
  </si>
  <si>
    <t>7622201430184</t>
  </si>
  <si>
    <t>OREO VANILA ISI 3</t>
  </si>
  <si>
    <t>10427284</t>
  </si>
  <si>
    <t>ORI PET MIKA BENTO SEKAT4 50S</t>
  </si>
  <si>
    <t>8997015498101</t>
  </si>
  <si>
    <t>ORILIA SUN FLOWER OIL 1L</t>
  </si>
  <si>
    <t>6930754322117</t>
  </si>
  <si>
    <t>OSB-099 SOLET CAMPUR</t>
  </si>
  <si>
    <t>8992753017171</t>
  </si>
  <si>
    <t>OVALTINE 3IN1 NUTRI10 300GR</t>
  </si>
  <si>
    <t>8850086265945</t>
  </si>
  <si>
    <t>OVALTINE 3IN1 NUTRI10 594GR</t>
  </si>
  <si>
    <t>8850086239007</t>
  </si>
  <si>
    <t>OVALTINE 3IN1 NUTRI10 900GR</t>
  </si>
  <si>
    <t>8850086250224</t>
  </si>
  <si>
    <t>OVALTINE CLASSIC MALTED 22GR 10S</t>
  </si>
  <si>
    <t>8992769203001</t>
  </si>
  <si>
    <t>OVALTINE CLASSIC MALTED 280GR</t>
  </si>
  <si>
    <t>8850086239021</t>
  </si>
  <si>
    <t>OVALTINE CLASSIC MALTED CHOCO 900GR</t>
  </si>
  <si>
    <t>8999898969600</t>
  </si>
  <si>
    <t>OVALTINE UHT CHOCOMALT 1LT</t>
  </si>
  <si>
    <t>10424480</t>
  </si>
  <si>
    <t>OVEN BIMA 12060 PINTU STAINLESS</t>
  </si>
  <si>
    <t>10425285</t>
  </si>
  <si>
    <t>OVEN BIMA 38 ANTI KARAT</t>
  </si>
  <si>
    <t>10425286</t>
  </si>
  <si>
    <t>OVEN BIMA 42 ANTI KARAT</t>
  </si>
  <si>
    <t>10424472</t>
  </si>
  <si>
    <t>OVEN BIMA 5044 HITAM</t>
  </si>
  <si>
    <t>10424471</t>
  </si>
  <si>
    <t>OVEN BIMA 5044 STAINLESS</t>
  </si>
  <si>
    <t>10424476</t>
  </si>
  <si>
    <t>OVEN BIMA 8044 PINTU STAINLESS</t>
  </si>
  <si>
    <t>10424474</t>
  </si>
  <si>
    <t>OVEN BIMA 8044 STAINLESS</t>
  </si>
  <si>
    <t>10424479</t>
  </si>
  <si>
    <t>OVEN BIMA 8860 HITAM</t>
  </si>
  <si>
    <t>10424478</t>
  </si>
  <si>
    <t>OVEN BIMA 8860 PINTU STAINLESS</t>
  </si>
  <si>
    <t>10425287</t>
  </si>
  <si>
    <t>OVEN BIMA TM ANTI KARAT</t>
  </si>
  <si>
    <t>10425288</t>
  </si>
  <si>
    <t>OVEN BIMA TM STAINLESS</t>
  </si>
  <si>
    <t>10423038</t>
  </si>
  <si>
    <t>OVEN HOCK HAWA NO. 4</t>
  </si>
  <si>
    <t>10423033</t>
  </si>
  <si>
    <t>OVEN HOCK HAWA NO.3</t>
  </si>
  <si>
    <t>10425187</t>
  </si>
  <si>
    <t>OVEN TRAY 13 LPS0029 LISSE</t>
  </si>
  <si>
    <t>7612100030677</t>
  </si>
  <si>
    <t>OVOMALTINE 680GR</t>
  </si>
  <si>
    <t>6989856113901</t>
  </si>
  <si>
    <t>PAKU BUNGA ZN390</t>
  </si>
  <si>
    <t>10424123</t>
  </si>
  <si>
    <t>PAKU PAYUNG SET 3 8CM P6</t>
  </si>
  <si>
    <t>6950959910124</t>
  </si>
  <si>
    <t>PAKU PAYUNG SET4 ZN1012</t>
  </si>
  <si>
    <t>10100405</t>
  </si>
  <si>
    <t>PALA BLT 2S</t>
  </si>
  <si>
    <t>10100090</t>
  </si>
  <si>
    <t>PALA BLT 50GR</t>
  </si>
  <si>
    <t>10420496</t>
  </si>
  <si>
    <t>PALA BLT 1/2KG</t>
  </si>
  <si>
    <t>10420495</t>
  </si>
  <si>
    <t>PALA BLT 100GR</t>
  </si>
  <si>
    <t>10100088</t>
  </si>
  <si>
    <t>PALA BLT 1KG</t>
  </si>
  <si>
    <t>10100194</t>
  </si>
  <si>
    <t>PALA BLT 250GR</t>
  </si>
  <si>
    <t>10100208</t>
  </si>
  <si>
    <t>PALA GL 100GR</t>
  </si>
  <si>
    <t>10100206</t>
  </si>
  <si>
    <t>PALA GL 50GR</t>
  </si>
  <si>
    <t>10410282</t>
  </si>
  <si>
    <t>PALETTA BLUEBERRY 1/2KG</t>
  </si>
  <si>
    <t>10410518</t>
  </si>
  <si>
    <t>PALETTA BLUEBERRY 250GR</t>
  </si>
  <si>
    <t>8992992348890</t>
  </si>
  <si>
    <t>PALETTA BLUEBERRY 25KG</t>
  </si>
  <si>
    <t>8992992936271</t>
  </si>
  <si>
    <t>PALETTA FRUITFILL NANAS 1KG</t>
  </si>
  <si>
    <t>8992992937957</t>
  </si>
  <si>
    <t>PALETTA FRUITFILL NANAS 500GR</t>
  </si>
  <si>
    <t>PALETTA STRAW 1KG</t>
  </si>
  <si>
    <t>10410745</t>
  </si>
  <si>
    <t>PALETTA STRAW 1/2KG</t>
  </si>
  <si>
    <t>8992992340917</t>
  </si>
  <si>
    <t>PALETTA STRAW 25KG</t>
  </si>
  <si>
    <t>10200177</t>
  </si>
  <si>
    <t>PALETTA STRW 250GR</t>
  </si>
  <si>
    <t>8992992933119</t>
  </si>
  <si>
    <t>PALETTA VLA BANANA 500GR</t>
  </si>
  <si>
    <t>8992992934369</t>
  </si>
  <si>
    <t>PALETTA VLA CARAMEL 500GR</t>
  </si>
  <si>
    <t>8992992933096</t>
  </si>
  <si>
    <t>PALETTA VLA SARIKAYA 500GR</t>
  </si>
  <si>
    <t>8992992933041</t>
  </si>
  <si>
    <t>PALETTA VLA VANILA 500GR</t>
  </si>
  <si>
    <t>10423727</t>
  </si>
  <si>
    <t>PALETTE KNIFE SET 5 ST27</t>
  </si>
  <si>
    <t>6194008630025</t>
  </si>
  <si>
    <t>PALM FRUIT KURMA 250GR</t>
  </si>
  <si>
    <t>10410768</t>
  </si>
  <si>
    <t>PALMIA BOS 1/2KG</t>
  </si>
  <si>
    <t>18992628728178</t>
  </si>
  <si>
    <t>PALMIA BOS 15KG</t>
  </si>
  <si>
    <t>10410767</t>
  </si>
  <si>
    <t>PALMIA BOS 1KG</t>
  </si>
  <si>
    <t>10410769</t>
  </si>
  <si>
    <t>PALMIA BOS 250GR</t>
  </si>
  <si>
    <t>18992628701171</t>
  </si>
  <si>
    <t>PALMIA DFF 15KG</t>
  </si>
  <si>
    <t>10411571</t>
  </si>
  <si>
    <t>PALMIA DFF 1KG</t>
  </si>
  <si>
    <t>10411572</t>
  </si>
  <si>
    <t>PALMIA DFF 500GR</t>
  </si>
  <si>
    <t>10411507</t>
  </si>
  <si>
    <t>PALMIA MARGARINE PTH 1/2 KG</t>
  </si>
  <si>
    <t>10411506</t>
  </si>
  <si>
    <t>PALMIA MARGARINE PTH 1KG</t>
  </si>
  <si>
    <t>10411529</t>
  </si>
  <si>
    <t>PALMIA PRIME MARGARINE 1/2KG</t>
  </si>
  <si>
    <t>18992628762172</t>
  </si>
  <si>
    <t>PALMIA PRIME MARGARINE 15KG</t>
  </si>
  <si>
    <t>10411528</t>
  </si>
  <si>
    <t>PALMIA PRIME MARGARINE 1KG</t>
  </si>
  <si>
    <t>10410772</t>
  </si>
  <si>
    <t>PALMIA ROYAL MARGARIN 1/2KG</t>
  </si>
  <si>
    <t>10410771</t>
  </si>
  <si>
    <t>PALMIA ROYAL MARGARIN 1KG</t>
  </si>
  <si>
    <t>10410773</t>
  </si>
  <si>
    <t>PALMIA ROYAL MARGARIN 250GR</t>
  </si>
  <si>
    <t>18992628630112</t>
  </si>
  <si>
    <t>PALMIA ROYAL MARGARINE 18 KG</t>
  </si>
  <si>
    <t>10411509</t>
  </si>
  <si>
    <t>PALMIA SHORTENING PTH 1/2KG</t>
  </si>
  <si>
    <t>10411508</t>
  </si>
  <si>
    <t>PALMIA SHORTENING PTH 1KG</t>
  </si>
  <si>
    <t>18992628717172</t>
  </si>
  <si>
    <t>PALMIA SHORTENING PUTIH 15KG</t>
  </si>
  <si>
    <t>10411573</t>
  </si>
  <si>
    <t>PALMIA SUPERCAKE 500GR</t>
  </si>
  <si>
    <t>10410876</t>
  </si>
  <si>
    <t>PALMIA TOP WHITE 1 /2KG</t>
  </si>
  <si>
    <t>18992628718179</t>
  </si>
  <si>
    <t>PALMIA TOP WHITE 15KG</t>
  </si>
  <si>
    <t>8992826345620</t>
  </si>
  <si>
    <t>PALMVITA BOS 18KG</t>
  </si>
  <si>
    <t>10411548</t>
  </si>
  <si>
    <t>PALMVITA BOS 250GR</t>
  </si>
  <si>
    <t>10411547</t>
  </si>
  <si>
    <t>PALMVITA BOS 500GR</t>
  </si>
  <si>
    <t>10411740</t>
  </si>
  <si>
    <t>PALMVITA DFF 1KG</t>
  </si>
  <si>
    <t>10426527</t>
  </si>
  <si>
    <t>PALU MEAT TENDERLIZER TOL0132</t>
  </si>
  <si>
    <t>10426475</t>
  </si>
  <si>
    <t>PAN ALUMINIUM 15X9CM LLP0011 LOAF</t>
  </si>
  <si>
    <t>10426476</t>
  </si>
  <si>
    <t>PAN ALUMINIUM 20X10CM LLP0010 LOAF</t>
  </si>
  <si>
    <t>10425186</t>
  </si>
  <si>
    <t>PAN BSR GOLD LISSE LOAF 27,5X9,5X6CM LLP0006</t>
  </si>
  <si>
    <t>6930776310512</t>
  </si>
  <si>
    <t>PAN PINK 28CM LLP0007 LOAF</t>
  </si>
  <si>
    <t>10425179</t>
  </si>
  <si>
    <t>PAN RSGOLD DEEP SQUARE LPS0028 LISSE</t>
  </si>
  <si>
    <t>10425188</t>
  </si>
  <si>
    <t>PAN SDG GOLD 23X9,5X6CMLLP0004 LISSE LOAF</t>
  </si>
  <si>
    <t>6958004011444</t>
  </si>
  <si>
    <t>PANCI FRY PAN CREPES LISSE SC PAN0003</t>
  </si>
  <si>
    <t>6958004011413</t>
  </si>
  <si>
    <t>PANCI PAN CREPES 10INC LISSE SC PAN0004</t>
  </si>
  <si>
    <t>10426478</t>
  </si>
  <si>
    <t>PANCI PENCAIR CKLT GOLD PAN0007</t>
  </si>
  <si>
    <t>10426472</t>
  </si>
  <si>
    <t>PANCI PENCAIR CKLT STAINLESS PAN0002</t>
  </si>
  <si>
    <t>10423054</t>
  </si>
  <si>
    <t>PANGGANGAN PORTABEL LGI</t>
  </si>
  <si>
    <t>10412251</t>
  </si>
  <si>
    <t>PANIR FOODCHEF 10KG</t>
  </si>
  <si>
    <t>8997214470311</t>
  </si>
  <si>
    <t>PANIR PRIMERA BUBBLE CRUMB 500GR</t>
  </si>
  <si>
    <t>PANIR PRIMERA PANKO PUTIH 10KG</t>
  </si>
  <si>
    <t>10200181</t>
  </si>
  <si>
    <t>PANIR PUTIH 1KG</t>
  </si>
  <si>
    <t>10410660</t>
  </si>
  <si>
    <t>PANIR PUTIH 500GR</t>
  </si>
  <si>
    <t>10410278</t>
  </si>
  <si>
    <t>PANIR WARNA 500GR</t>
  </si>
  <si>
    <t>10411720</t>
  </si>
  <si>
    <t>PANIR WARNA PRO CHEF 10KG</t>
  </si>
  <si>
    <t>693493285162</t>
  </si>
  <si>
    <t>PANIR WR MISTER CHEF 500GR</t>
  </si>
  <si>
    <t>693493285155</t>
  </si>
  <si>
    <t>PANIR WR SORRENTO 500GR</t>
  </si>
  <si>
    <t>10420808</t>
  </si>
  <si>
    <t>PANTHER SP HJ 1/2KG</t>
  </si>
  <si>
    <t>10410440</t>
  </si>
  <si>
    <t>PANTHER SP HJ 100GR</t>
  </si>
  <si>
    <t>10410410</t>
  </si>
  <si>
    <t>PANTHER SP HJ 1KG</t>
  </si>
  <si>
    <t>10410764</t>
  </si>
  <si>
    <t>PANTHER SP HJ 20KG</t>
  </si>
  <si>
    <t>10410441</t>
  </si>
  <si>
    <t>PANTHER SP HJ 250GR</t>
  </si>
  <si>
    <t>10426529</t>
  </si>
  <si>
    <t>PAP0004 KARTU UCAPAN LEBARAN</t>
  </si>
  <si>
    <t>10427182</t>
  </si>
  <si>
    <t>PAP0007 GOODIE BAG LEBARAN KECIL</t>
  </si>
  <si>
    <t>10427183</t>
  </si>
  <si>
    <t>PAP0008 GOODIE BAG LEBARAN BESAR</t>
  </si>
  <si>
    <t>10422656</t>
  </si>
  <si>
    <t>PAPER BAG COKLAT 100S</t>
  </si>
  <si>
    <t>10425526</t>
  </si>
  <si>
    <t>PAPER BAG HBD 17X16CM</t>
  </si>
  <si>
    <t>10425525</t>
  </si>
  <si>
    <t>PAPER BAG HBD 21X17CM</t>
  </si>
  <si>
    <t>10425529</t>
  </si>
  <si>
    <t>PAPER BAG HBD 23X26CM</t>
  </si>
  <si>
    <t>10425520</t>
  </si>
  <si>
    <t>PAPER BAG HBD 26X20CM</t>
  </si>
  <si>
    <t>10425528</t>
  </si>
  <si>
    <t>PAPER BAG HBD 29X23CM</t>
  </si>
  <si>
    <t>10427321</t>
  </si>
  <si>
    <t>PAPER BAG IDUL FITRI 25-01 MOTIF MIX 1S</t>
  </si>
  <si>
    <t>10427299</t>
  </si>
  <si>
    <t>PAPER BAG IDUL FITRI 25-01 MOTIF MIX 30S</t>
  </si>
  <si>
    <t>10427322</t>
  </si>
  <si>
    <t>PAPER BAG IDUL FITRI 25-02 MOTIF MIX 1S</t>
  </si>
  <si>
    <t>10427301</t>
  </si>
  <si>
    <t>PAPER BAG IDUL FITRI 25-02 MOTIF MIX 30S</t>
  </si>
  <si>
    <t>10427323</t>
  </si>
  <si>
    <t>PAPER BAG IDUL FITRI 25-03 MOTIF MIX 1S</t>
  </si>
  <si>
    <t>10427300</t>
  </si>
  <si>
    <t>PAPER BAG IDUL FITRI 25-03 MOTIF MIX 30S</t>
  </si>
  <si>
    <t>10427324</t>
  </si>
  <si>
    <t>PAPER BAG IDUL FITRI 25-06 MOTIF MIX 1S</t>
  </si>
  <si>
    <t>10427304</t>
  </si>
  <si>
    <t>PAPER BAG IDUL FITRI 25-06 MOTIF MIX 30S</t>
  </si>
  <si>
    <t>10425535</t>
  </si>
  <si>
    <t>PAPER BAG PLASTIK HBD</t>
  </si>
  <si>
    <t>10427410</t>
  </si>
  <si>
    <t>PAPER BAG PTH 11X11CM 100S</t>
  </si>
  <si>
    <t>10427481</t>
  </si>
  <si>
    <t>PAPER BAG PTH 11X19CM 100S</t>
  </si>
  <si>
    <t>10420572</t>
  </si>
  <si>
    <t>PAPER BAG PTH 12X23X8 100S</t>
  </si>
  <si>
    <t>10427411</t>
  </si>
  <si>
    <t>PAPER BAG PTH 13X20CM 100S</t>
  </si>
  <si>
    <t>10424738</t>
  </si>
  <si>
    <t>PAPER BELT LB DATAR IDUL FITRI</t>
  </si>
  <si>
    <t>10420438</t>
  </si>
  <si>
    <t>PAPER BOWL 300ML 25S</t>
  </si>
  <si>
    <t>10424803</t>
  </si>
  <si>
    <t>PAPER BOWL 360ML + TTP 25S</t>
  </si>
  <si>
    <t>10420181</t>
  </si>
  <si>
    <t>PAPER BOWL 360ML + TTP 50S</t>
  </si>
  <si>
    <t>10424394</t>
  </si>
  <si>
    <t>PAPER BOWL 360ML 25S</t>
  </si>
  <si>
    <t>10420578</t>
  </si>
  <si>
    <t>PAPER BOWL 360ML 50S</t>
  </si>
  <si>
    <t>10425835</t>
  </si>
  <si>
    <t>PAPER BOWL 360ML KRAFT 25S</t>
  </si>
  <si>
    <t>10426600</t>
  </si>
  <si>
    <t>PAPER BOWL 360ML KRAFT 25S+TTP</t>
  </si>
  <si>
    <t>1042513</t>
  </si>
  <si>
    <t>PAPER BOWL 500ML + TTP 25S</t>
  </si>
  <si>
    <t>10422002</t>
  </si>
  <si>
    <t>PAPER BOWL 500ML 25S</t>
  </si>
  <si>
    <t>10425834</t>
  </si>
  <si>
    <t>PAPER BOWL 500ML KRAFT 25S</t>
  </si>
  <si>
    <t>10426601</t>
  </si>
  <si>
    <t>PAPER BOWL 500ML KRAFT 25S+TTP</t>
  </si>
  <si>
    <t>10424000</t>
  </si>
  <si>
    <t>PAPER BOWL 500ML+TTP 50S</t>
  </si>
  <si>
    <t>10425059</t>
  </si>
  <si>
    <t>PAPER BOWL 600ML 25S</t>
  </si>
  <si>
    <t>10420182</t>
  </si>
  <si>
    <t>PAPER BOWL 600ML 50S</t>
  </si>
  <si>
    <t>10424031</t>
  </si>
  <si>
    <t>PAPER BOWL 650ML + TTP 25S</t>
  </si>
  <si>
    <t>10424395</t>
  </si>
  <si>
    <t>PAPER BOWL 650ML 25S</t>
  </si>
  <si>
    <t>10425836</t>
  </si>
  <si>
    <t>PAPER BOWL 650ML KRAFT 25S</t>
  </si>
  <si>
    <t>10426602</t>
  </si>
  <si>
    <t>PAPER BOWL 650ML KRAFT 25S+TTP</t>
  </si>
  <si>
    <t>10422476</t>
  </si>
  <si>
    <t>PAPER BOWL 720ML 25S</t>
  </si>
  <si>
    <t>10424001</t>
  </si>
  <si>
    <t>PAPER BOWL 720ML+TTP 25S</t>
  </si>
  <si>
    <t>10423897</t>
  </si>
  <si>
    <t>PAPER BOWL 800ML 25S</t>
  </si>
  <si>
    <t>10425833</t>
  </si>
  <si>
    <t>PAPER BOWL 800ML KRAFT 25S</t>
  </si>
  <si>
    <t>10426603</t>
  </si>
  <si>
    <t>PAPER BOWL 800ML KRAFT 25S+TTP</t>
  </si>
  <si>
    <t>10424002</t>
  </si>
  <si>
    <t>PAPER BOWL 800ML+TTP 25S</t>
  </si>
  <si>
    <t>10424143</t>
  </si>
  <si>
    <t>PAPER CASE CUP MUFFIN 100S FB4849</t>
  </si>
  <si>
    <t>10424773</t>
  </si>
  <si>
    <t>PAPER CASE PERSEGI 200S ZF-LM</t>
  </si>
  <si>
    <t>10424774</t>
  </si>
  <si>
    <t>PAPER CASE PERSEGI 20S ZF-LM</t>
  </si>
  <si>
    <t>10426855</t>
  </si>
  <si>
    <t>PAPER CASE PERSEGI 6 100S FB55-04</t>
  </si>
  <si>
    <t>10530207</t>
  </si>
  <si>
    <t>PAPER CUP BROWN 12 OZ+TTP 25S</t>
  </si>
  <si>
    <t>8990062003564</t>
  </si>
  <si>
    <t>8990062003571</t>
  </si>
  <si>
    <t>PAPER CUP BROWN 16 OZ+TTP 25S</t>
  </si>
  <si>
    <t>10530209</t>
  </si>
  <si>
    <t>PAPER CUP BROWN 26 OZ+TTP 25S</t>
  </si>
  <si>
    <t>8990062003595</t>
  </si>
  <si>
    <t>PAPER CUP BROWN 8 OZ+TTP 25S</t>
  </si>
  <si>
    <t>10423438</t>
  </si>
  <si>
    <t>PAPER DIVA 10,5X14 INC OVAL</t>
  </si>
  <si>
    <t>10423448</t>
  </si>
  <si>
    <t>PAPER DIVA 11,5X14,5 OVAL</t>
  </si>
  <si>
    <t>10422177</t>
  </si>
  <si>
    <t>PAPER DIVA 14,5 BULAT</t>
  </si>
  <si>
    <t>10423439</t>
  </si>
  <si>
    <t>PAPER DIVA 14X18INC P</t>
  </si>
  <si>
    <t>10423440</t>
  </si>
  <si>
    <t>PAPER DIVA 3,5 BULAT</t>
  </si>
  <si>
    <t>10423441</t>
  </si>
  <si>
    <t>PAPER DIVA 4 BULAT</t>
  </si>
  <si>
    <t>10425435</t>
  </si>
  <si>
    <t>PAPER DIVA 4,5 114MM</t>
  </si>
  <si>
    <t>10425432</t>
  </si>
  <si>
    <t>PAPER DIVA 6,5 165MM</t>
  </si>
  <si>
    <t>10425434</t>
  </si>
  <si>
    <t>PAPER DIVA 7,5 191MM</t>
  </si>
  <si>
    <t>10423442</t>
  </si>
  <si>
    <t>PAPER DIVA 8,5 BULAT</t>
  </si>
  <si>
    <t>10423443</t>
  </si>
  <si>
    <t>PAPER DIVA 8X12 INC OVAL</t>
  </si>
  <si>
    <t>10423444</t>
  </si>
  <si>
    <t>PAPER DIVA 8X12 INC PETAK</t>
  </si>
  <si>
    <t>10425436</t>
  </si>
  <si>
    <t>PAPER DIVA 9,5 241MM</t>
  </si>
  <si>
    <t>10422176</t>
  </si>
  <si>
    <t>PAPER DOYLEYS 12,5 B</t>
  </si>
  <si>
    <t>10425238</t>
  </si>
  <si>
    <t>PAPER SLICE CAKE RECTANGLE</t>
  </si>
  <si>
    <t>10425239</t>
  </si>
  <si>
    <t>PAPER SLICE CAKE RECTANGLE SMALL</t>
  </si>
  <si>
    <t>10422718</t>
  </si>
  <si>
    <t>PAPER SLICE CAKE SQUARE</t>
  </si>
  <si>
    <t>10425662</t>
  </si>
  <si>
    <t>PAPER TRAY KRAFT RECTANGLE 50S CFH-01</t>
  </si>
  <si>
    <t>10425664</t>
  </si>
  <si>
    <t>PAPER TRAY KRAFT SQUARE 50S ZFH-01</t>
  </si>
  <si>
    <t>10420588</t>
  </si>
  <si>
    <t>PAPER TRAY L 100S</t>
  </si>
  <si>
    <t>10420583</t>
  </si>
  <si>
    <t>PAPER TRAY M</t>
  </si>
  <si>
    <t>10425663</t>
  </si>
  <si>
    <t>PAPER TRAY WHITE RECTANGLE 50S CFH-01</t>
  </si>
  <si>
    <t>10425665</t>
  </si>
  <si>
    <t>PAPER TRAY WHITE SQUARE 50S ZFH-01</t>
  </si>
  <si>
    <t>10100446</t>
  </si>
  <si>
    <t>PARSLEY 10 GR</t>
  </si>
  <si>
    <t>10423560</t>
  </si>
  <si>
    <t>PARUT KEJU 2 PK1</t>
  </si>
  <si>
    <t>10425394</t>
  </si>
  <si>
    <t>PARUTAN KEJU BESAR LU-47</t>
  </si>
  <si>
    <t>10425126</t>
  </si>
  <si>
    <t>PARUTAN KEJU GG PLASTIK</t>
  </si>
  <si>
    <t>10422113</t>
  </si>
  <si>
    <t>PARUTAN KEJU KCL</t>
  </si>
  <si>
    <t>10425123</t>
  </si>
  <si>
    <t>PARUTAN KEJU STAIN PJG</t>
  </si>
  <si>
    <t>10423910</t>
  </si>
  <si>
    <t>PARUTAN LEMON 28CM</t>
  </si>
  <si>
    <t>55862918</t>
  </si>
  <si>
    <t>PARUTAN MULTIFUNGSI 86-2</t>
  </si>
  <si>
    <t>6945333682339</t>
  </si>
  <si>
    <t>PARUTAN SET ARMOR</t>
  </si>
  <si>
    <t>10423980</t>
  </si>
  <si>
    <t>PARUTAN UBI BESAR</t>
  </si>
  <si>
    <t>10423981</t>
  </si>
  <si>
    <t>PARUTAN UBI KECIL</t>
  </si>
  <si>
    <t>8993053121018</t>
  </si>
  <si>
    <t>PASEO ELEGANT 250S</t>
  </si>
  <si>
    <t>8993053311013</t>
  </si>
  <si>
    <t>PASEO ELEGANT 50S</t>
  </si>
  <si>
    <t>10510259</t>
  </si>
  <si>
    <t>PASEO SMART 50S</t>
  </si>
  <si>
    <t>8993053121407</t>
  </si>
  <si>
    <t>PASEO SMART 540S</t>
  </si>
  <si>
    <t>8993053121452</t>
  </si>
  <si>
    <t>PASEO SMART 60X200S</t>
  </si>
  <si>
    <t>8993053411027</t>
  </si>
  <si>
    <t>PASEO TOWEL 1 ROLL 70S</t>
  </si>
  <si>
    <t>8993053411010</t>
  </si>
  <si>
    <t>PASEO TOWEL 3 ROLL 70S</t>
  </si>
  <si>
    <t>8993053131017</t>
  </si>
  <si>
    <t>PASEO TRAVEL PACK ESENTIAL 80x50`S</t>
  </si>
  <si>
    <t>10422401</t>
  </si>
  <si>
    <t>PAW PATROL 12 PI13</t>
  </si>
  <si>
    <t>10412070</t>
  </si>
  <si>
    <t>PAYA PENGEMPUK DAGING 1KG</t>
  </si>
  <si>
    <t>10411704</t>
  </si>
  <si>
    <t>PAYA PENGEMPUK DAGING 70GR</t>
  </si>
  <si>
    <t>55200188</t>
  </si>
  <si>
    <t>PEELER 2IN1 16.5CM JX-P2001</t>
  </si>
  <si>
    <t>10425175</t>
  </si>
  <si>
    <t>PEGANGAN SILICONE ANTI PANAS TOL0006</t>
  </si>
  <si>
    <t>8851019000893</t>
  </si>
  <si>
    <t>PEJOY VANILA HAKAIDO MILK 16GR</t>
  </si>
  <si>
    <t>8851019000657</t>
  </si>
  <si>
    <t>PEJOY BELGIAN COKLAT 16GR</t>
  </si>
  <si>
    <t>8851019210254</t>
  </si>
  <si>
    <t>PEJOY BELGIAN COKLAT 30GR</t>
  </si>
  <si>
    <t>8851019000930</t>
  </si>
  <si>
    <t>PEJOY VANILLA HOKAIDO MILK 30GR</t>
  </si>
  <si>
    <t>10200150</t>
  </si>
  <si>
    <t>PEKAK 100GR</t>
  </si>
  <si>
    <t>10100085</t>
  </si>
  <si>
    <t>PEKAK 1KG</t>
  </si>
  <si>
    <t>10100195</t>
  </si>
  <si>
    <t>PEKAK 250GR</t>
  </si>
  <si>
    <t>10100182</t>
  </si>
  <si>
    <t>PEKAK 50GR</t>
  </si>
  <si>
    <t>8997033630170</t>
  </si>
  <si>
    <t>PEKAK BUNGA LAWANG 10GR</t>
  </si>
  <si>
    <t>10410406</t>
  </si>
  <si>
    <t>PEMANIS MIKI 47GR</t>
  </si>
  <si>
    <t>10430024</t>
  </si>
  <si>
    <t>PEMANIS RTS 1KG</t>
  </si>
  <si>
    <t>10430020</t>
  </si>
  <si>
    <t>PEMANIS RTS 40GR</t>
  </si>
  <si>
    <t>10425160</t>
  </si>
  <si>
    <t>PEMATIK API</t>
  </si>
  <si>
    <t>6900052347891</t>
  </si>
  <si>
    <t>PEMOTONG KUE PM1</t>
  </si>
  <si>
    <t>4018157126913</t>
  </si>
  <si>
    <t>PEMOTONG PEELER PP8</t>
  </si>
  <si>
    <t>10424224</t>
  </si>
  <si>
    <t>PEMOTONG PIZZA PP9</t>
  </si>
  <si>
    <t>10423834</t>
  </si>
  <si>
    <t>PEN0002 LISSE PEN EDIBLE HITAM 2PCS</t>
  </si>
  <si>
    <t>10423835</t>
  </si>
  <si>
    <t>PEN0003 LISSE PEN EDIBLE WRN MIX 10PCS</t>
  </si>
  <si>
    <t>10421964</t>
  </si>
  <si>
    <t>PENEKAN PAI</t>
  </si>
  <si>
    <t>10425644</t>
  </si>
  <si>
    <t>PENGANTIN HIJAB 3 TT64</t>
  </si>
  <si>
    <t>55052128</t>
  </si>
  <si>
    <t>PENGASAH PISAU 3 LUBANG NB052</t>
  </si>
  <si>
    <t>6976843582499</t>
  </si>
  <si>
    <t>PENGASAH PISAU 3 MATA</t>
  </si>
  <si>
    <t>10425054</t>
  </si>
  <si>
    <t>PENGGORENG GG STAIN 3LUBANG M20-GB3</t>
  </si>
  <si>
    <t>6912345600170</t>
  </si>
  <si>
    <t>PENGGORENG GG STAINLESS 34CM M20-GB5</t>
  </si>
  <si>
    <t>10423284</t>
  </si>
  <si>
    <t>PENGOCOK 20CM WH4</t>
  </si>
  <si>
    <t>10423283</t>
  </si>
  <si>
    <t>PENGOCOK 24CM WH4</t>
  </si>
  <si>
    <t>10423282</t>
  </si>
  <si>
    <t>PENGOCOK 28CM WH4</t>
  </si>
  <si>
    <t>10423151</t>
  </si>
  <si>
    <t>PENGOCOK SET3 WH4</t>
  </si>
  <si>
    <t>10425388</t>
  </si>
  <si>
    <t>PENGUPAS MATA NANAS PN1</t>
  </si>
  <si>
    <t>6951227502645</t>
  </si>
  <si>
    <t>PENJEPIT HR-09A23</t>
  </si>
  <si>
    <t>10422273</t>
  </si>
  <si>
    <t>PENJEPIT KUE PR3</t>
  </si>
  <si>
    <t>10424795</t>
  </si>
  <si>
    <t>PENJEPIT KUE STAIN 29CM</t>
  </si>
  <si>
    <t>10426606</t>
  </si>
  <si>
    <t>PENJEPIT MAKANAN OVAL LARGE 33CM</t>
  </si>
  <si>
    <t>10426605</t>
  </si>
  <si>
    <t>PENJEPIT MAKANAN OVAL MEDIUM 28CM</t>
  </si>
  <si>
    <t>10426607</t>
  </si>
  <si>
    <t>PENJEPIT MAKANAN OVAL SMALL 23CM</t>
  </si>
  <si>
    <t>10425066</t>
  </si>
  <si>
    <t>PENJEPIT ROTI 12INCH PR9</t>
  </si>
  <si>
    <t>10422606</t>
  </si>
  <si>
    <t>PENJEPIT ROTI 29CM PR5</t>
  </si>
  <si>
    <t>10411085</t>
  </si>
  <si>
    <t>PENJEPIT ROTI 30CM PR4</t>
  </si>
  <si>
    <t>10425065</t>
  </si>
  <si>
    <t>PENJEPIT ROTI 9INCH PR8</t>
  </si>
  <si>
    <t>639277599971</t>
  </si>
  <si>
    <t>PENJEPIT ROTI PR1</t>
  </si>
  <si>
    <t>10424604</t>
  </si>
  <si>
    <t>PENJEPIT ROTI WARNA SET 3 PR6</t>
  </si>
  <si>
    <t>10423730</t>
  </si>
  <si>
    <t>PENJEPIT WHISK 20CM PW1</t>
  </si>
  <si>
    <t>10425043</t>
  </si>
  <si>
    <t>PENYARING GORENGAN BESAR PG2A</t>
  </si>
  <si>
    <t>10425045</t>
  </si>
  <si>
    <t>PENYARING GORENGAN KECIL PG2C</t>
  </si>
  <si>
    <t>10425044</t>
  </si>
  <si>
    <t>PENYARING GORENGAN TANGGUNG PG2B</t>
  </si>
  <si>
    <t>10530046</t>
  </si>
  <si>
    <t>PEONY SDK BEBEK 12LS</t>
  </si>
  <si>
    <t>10530045</t>
  </si>
  <si>
    <t>PEONY SDK BEBEK 1LS</t>
  </si>
  <si>
    <t>10422648</t>
  </si>
  <si>
    <t>PET BULAT PRINTING 10S</t>
  </si>
  <si>
    <t>10424152</t>
  </si>
  <si>
    <t>PET BULAT PRINTING 8,5CM 200S LM-</t>
  </si>
  <si>
    <t>10423159</t>
  </si>
  <si>
    <t>PET BULAT PRINTING 8CM 200S</t>
  </si>
  <si>
    <t>PET BULAT PRINTING 9CM 200S LM-</t>
  </si>
  <si>
    <t>10411023</t>
  </si>
  <si>
    <t>PETRA PANDAN 1KG</t>
  </si>
  <si>
    <t>10430056</t>
  </si>
  <si>
    <t>PETRA PANDAN AQUA</t>
  </si>
  <si>
    <t>10411029</t>
  </si>
  <si>
    <t>PETRA PERISA&amp;PEWARNA JAGUNG MANIS 1LT</t>
  </si>
  <si>
    <t>8991002114098</t>
  </si>
  <si>
    <t>PIKOPI GULA AREN 198GR</t>
  </si>
  <si>
    <t>8991002114012</t>
  </si>
  <si>
    <t>PIKOPI KOPIMIX 180GR</t>
  </si>
  <si>
    <t>8991002114074</t>
  </si>
  <si>
    <t>PIKOPI MOCCACHINO 180GR</t>
  </si>
  <si>
    <t>10530248</t>
  </si>
  <si>
    <t>PIPET BENGKOK DRAGON</t>
  </si>
  <si>
    <t>10530175</t>
  </si>
  <si>
    <t>PIPET BENGKOK KILOAN</t>
  </si>
  <si>
    <t>10530084</t>
  </si>
  <si>
    <t>PIPET BENGKOK PLASINDO</t>
  </si>
  <si>
    <t>10427417</t>
  </si>
  <si>
    <t>PIPET BUBBLE 820 BUNGKUS PLSTK 100S</t>
  </si>
  <si>
    <t>10530174</t>
  </si>
  <si>
    <t>PIPET BUBLE 1221 STERIL BENING</t>
  </si>
  <si>
    <t>10530126</t>
  </si>
  <si>
    <t>PIPET BUBLE 1221 STERIL HTM</t>
  </si>
  <si>
    <t>10510156</t>
  </si>
  <si>
    <t>PIPET FLEXSIBLE 76</t>
  </si>
  <si>
    <t>10530034</t>
  </si>
  <si>
    <t>PIPET LURUS PLASINDO</t>
  </si>
  <si>
    <t>10530047</t>
  </si>
  <si>
    <t>PIPET MAMBO</t>
  </si>
  <si>
    <t>10420339</t>
  </si>
  <si>
    <t>PIPET PETAK CKLT</t>
  </si>
  <si>
    <t>10424573</t>
  </si>
  <si>
    <t>PIPET PETAK UNIV 500S</t>
  </si>
  <si>
    <t>10530035</t>
  </si>
  <si>
    <t>PIPET POP ICE 76</t>
  </si>
  <si>
    <t>10510126</t>
  </si>
  <si>
    <t>PIPET POP ICE TIGER</t>
  </si>
  <si>
    <t>10510082</t>
  </si>
  <si>
    <t>PIPET POP ICE UPIN</t>
  </si>
  <si>
    <t>10425891</t>
  </si>
  <si>
    <t>PIPET STERIL 524 250S</t>
  </si>
  <si>
    <t>4569873211662</t>
  </si>
  <si>
    <t>PIPET STERIL 524 ORIPACK 500S</t>
  </si>
  <si>
    <t>8997223740214</t>
  </si>
  <si>
    <t>PIPET STERIL WARNA 620 500S</t>
  </si>
  <si>
    <t>8997223740566</t>
  </si>
  <si>
    <t>PIPET STERIL WIGO FLEXIBLE 500S</t>
  </si>
  <si>
    <t>10426483</t>
  </si>
  <si>
    <t>PIPET VLA PUDING 20S TOL0135</t>
  </si>
  <si>
    <t>10425570</t>
  </si>
  <si>
    <t>PIPET VLA PUDING LOVE 500S</t>
  </si>
  <si>
    <t>10425569</t>
  </si>
  <si>
    <t>PIPET VLA PUDING TUBE 500S</t>
  </si>
  <si>
    <t>10420084</t>
  </si>
  <si>
    <t>PIRING BSM P10</t>
  </si>
  <si>
    <t>10420146</t>
  </si>
  <si>
    <t>PIRING BSM P6</t>
  </si>
  <si>
    <t>10420012</t>
  </si>
  <si>
    <t>PIRING BSM P7</t>
  </si>
  <si>
    <t>10420147</t>
  </si>
  <si>
    <t>PIRING BSM P9</t>
  </si>
  <si>
    <t>10420328</t>
  </si>
  <si>
    <t>PIRING EMAS B</t>
  </si>
  <si>
    <t>10422776</t>
  </si>
  <si>
    <t>PIRING HBD</t>
  </si>
  <si>
    <t>10423977</t>
  </si>
  <si>
    <t>PIRING LIDI ROTAN</t>
  </si>
  <si>
    <t>745760270033</t>
  </si>
  <si>
    <t>PIRING MULIAPACK P6</t>
  </si>
  <si>
    <t>8991030100216</t>
  </si>
  <si>
    <t>PIRING MULIAPACK P7</t>
  </si>
  <si>
    <t>10424299</t>
  </si>
  <si>
    <t>PIRING OVEN HOCK NO 2</t>
  </si>
  <si>
    <t>10422088</t>
  </si>
  <si>
    <t>PIRING OVEN HOCK NO 3</t>
  </si>
  <si>
    <t>10422087</t>
  </si>
  <si>
    <t>PIRING OVEN HOCK NO 4</t>
  </si>
  <si>
    <t>10423979</t>
  </si>
  <si>
    <t>PIRING OVEN NO 3</t>
  </si>
  <si>
    <t>10426870</t>
  </si>
  <si>
    <t>PIRING PLASTIK LIDI COKLAT</t>
  </si>
  <si>
    <t>10422246</t>
  </si>
  <si>
    <t>PISAU BUAH SET 3 B BK111B</t>
  </si>
  <si>
    <t>10423309</t>
  </si>
  <si>
    <t>PISAU BUAH SET3 BK111</t>
  </si>
  <si>
    <t>6931156560008</t>
  </si>
  <si>
    <t>PISAU BUNGA GERIGI PS8</t>
  </si>
  <si>
    <t>6902031552655</t>
  </si>
  <si>
    <t>PISAU BUNGA SET3 YU17003-3</t>
  </si>
  <si>
    <t>169244</t>
  </si>
  <si>
    <t>PISAU CHIFFON KNIFE</t>
  </si>
  <si>
    <t>10427336</t>
  </si>
  <si>
    <t>PISAU COCKTAIL STAINLES 2 MATA</t>
  </si>
  <si>
    <t>10427153</t>
  </si>
  <si>
    <t>PISAU DAPUR HITAM 6 SET</t>
  </si>
  <si>
    <t>10423832</t>
  </si>
  <si>
    <t>PISAU FRENCH FRIES PIS0008 LISSE</t>
  </si>
  <si>
    <t>6969723196428</t>
  </si>
  <si>
    <t>PISAU GARNISH SET 4</t>
  </si>
  <si>
    <t>10422048</t>
  </si>
  <si>
    <t>PISAU GERIGI B 12INC KN 26</t>
  </si>
  <si>
    <t>10422046</t>
  </si>
  <si>
    <t>PISAU GERIGI K 10INC KN25</t>
  </si>
  <si>
    <t>6231532560425</t>
  </si>
  <si>
    <t>PISAU GERIGI SET3 PS6</t>
  </si>
  <si>
    <t>10425041</t>
  </si>
  <si>
    <t>PISAU GG KAYU 11,5X12CM LS11-1E</t>
  </si>
  <si>
    <t>10426457</t>
  </si>
  <si>
    <t>PISAU GG KAYU 11.5X12.5CM LS11-1A</t>
  </si>
  <si>
    <t>10424616</t>
  </si>
  <si>
    <t>PISAU GG KAYU 11.5X14.5CM LS11-7</t>
  </si>
  <si>
    <t>10424617</t>
  </si>
  <si>
    <t>PISAU GG KAYU 12.17X7.5CM LS11-9</t>
  </si>
  <si>
    <t>10424615</t>
  </si>
  <si>
    <t>PISAU GG KAYU 12.18X5CM LS11-6</t>
  </si>
  <si>
    <t>10424614</t>
  </si>
  <si>
    <t>PISAU GG KAYU 12.20X3CM LS11-2</t>
  </si>
  <si>
    <t>10426715</t>
  </si>
  <si>
    <t>PISAU GG KAYU 4INCH LS11-15</t>
  </si>
  <si>
    <t>10427360</t>
  </si>
  <si>
    <t>PISAU GG KAYU 4INCH LS11-16</t>
  </si>
  <si>
    <t>10426717</t>
  </si>
  <si>
    <t>PISAU GG KAYU 8INCH BK-07</t>
  </si>
  <si>
    <t>10427330</t>
  </si>
  <si>
    <t>PISAU GG KAYU LEKUK LS12-1P</t>
  </si>
  <si>
    <t>8851130050265</t>
  </si>
  <si>
    <t>PISAU KIWI NO5</t>
  </si>
  <si>
    <t>8851130050272</t>
  </si>
  <si>
    <t>PISAU KIWI NO6</t>
  </si>
  <si>
    <t>8851130050289</t>
  </si>
  <si>
    <t>PISAU KIWI NO7</t>
  </si>
  <si>
    <t>8851130050296</t>
  </si>
  <si>
    <t>PISAU KIWI NO8</t>
  </si>
  <si>
    <t>8851130050302</t>
  </si>
  <si>
    <t>PISAU KIWI NO9</t>
  </si>
  <si>
    <t>10420001</t>
  </si>
  <si>
    <t>PISAU KUE</t>
  </si>
  <si>
    <t>10423733</t>
  </si>
  <si>
    <t>PISAU LEKUK 10INC PLP2</t>
  </si>
  <si>
    <t>10423525</t>
  </si>
  <si>
    <t>PISAU LEKUK 12INC PLP1</t>
  </si>
  <si>
    <t>10423306</t>
  </si>
  <si>
    <t>PISAU LEKUK 6INC PLP4</t>
  </si>
  <si>
    <t>10422629</t>
  </si>
  <si>
    <t>PISAU MAKAN BNG UNIV</t>
  </si>
  <si>
    <t>10422674</t>
  </si>
  <si>
    <t>PISAU MKN HITAM UNIV</t>
  </si>
  <si>
    <t>10420197</t>
  </si>
  <si>
    <t>PISAU MKN PTH UNIV</t>
  </si>
  <si>
    <t>10426507</t>
  </si>
  <si>
    <t>PISAU PIZZA ROL KAPAK PIS0023</t>
  </si>
  <si>
    <t>6962154612352</t>
  </si>
  <si>
    <t>PISAU PLS +SPUIT STAINLESS XZ-38</t>
  </si>
  <si>
    <t>10423524</t>
  </si>
  <si>
    <t>PISAU POLES 10 INC PS4</t>
  </si>
  <si>
    <t>10423523</t>
  </si>
  <si>
    <t>PISAU POLES 12INC PS3</t>
  </si>
  <si>
    <t>10423275</t>
  </si>
  <si>
    <t>PISAU POLES 8INC PS5</t>
  </si>
  <si>
    <t>10422283</t>
  </si>
  <si>
    <t>PISAU POLES BESI 10 INC PLP6</t>
  </si>
  <si>
    <t>10422284</t>
  </si>
  <si>
    <t>PISAU POLES BESI 12 INC PLP7</t>
  </si>
  <si>
    <t>10423528</t>
  </si>
  <si>
    <t>PISAU POLES GAGANG STNLS PS15</t>
  </si>
  <si>
    <t>10423529</t>
  </si>
  <si>
    <t>PISAU POLES GAGANG STNLS PS16</t>
  </si>
  <si>
    <t>10423308</t>
  </si>
  <si>
    <t>PISAU POLES GG HTM 8 INCH PLP 3</t>
  </si>
  <si>
    <t>10424198</t>
  </si>
  <si>
    <t>PISAU POLES GG KAYU 10INC KN 30</t>
  </si>
  <si>
    <t>10424222</t>
  </si>
  <si>
    <t>PISAU POLES GG KAYU 6INC KN 28</t>
  </si>
  <si>
    <t>10424223</t>
  </si>
  <si>
    <t>PISAU POLES GG KAYU 8INC KN 29</t>
  </si>
  <si>
    <t>10423311</t>
  </si>
  <si>
    <t>PISAU POLES LEKUK 10INC KN16</t>
  </si>
  <si>
    <t>10423263</t>
  </si>
  <si>
    <t>PISAU POLES LEKUK 12INC KN17</t>
  </si>
  <si>
    <t>10423551</t>
  </si>
  <si>
    <t>PISAU POLES LEKUK 8 INC KN15</t>
  </si>
  <si>
    <t>10422282</t>
  </si>
  <si>
    <t>PISAU POLES LEKUK STNLS 8 INC PLP5</t>
  </si>
  <si>
    <t>10423310</t>
  </si>
  <si>
    <t>PISAU POLES LURUS GERIGI KN27</t>
  </si>
  <si>
    <t>10423546</t>
  </si>
  <si>
    <t>PISAU POLES MINI 6IN PS10</t>
  </si>
  <si>
    <t>2680460617499</t>
  </si>
  <si>
    <t>PISAU POLES SET 3 XZ-37</t>
  </si>
  <si>
    <t>10423533</t>
  </si>
  <si>
    <t>PISAU POLES STAINLES PS17</t>
  </si>
  <si>
    <t>10424613</t>
  </si>
  <si>
    <t>PISAU POLOS GG KAYU 12INC KN31</t>
  </si>
  <si>
    <t>6991080652385</t>
  </si>
  <si>
    <t>PISAU RAINBOW PS9</t>
  </si>
  <si>
    <t>10427395</t>
  </si>
  <si>
    <t>PISAU ROTI 2IN1 20CM</t>
  </si>
  <si>
    <t>10427390</t>
  </si>
  <si>
    <t>PISAU ROTI 2IN1 25CM</t>
  </si>
  <si>
    <t>10427389</t>
  </si>
  <si>
    <t>PISAU ROTI 2IN1 30CM</t>
  </si>
  <si>
    <t>10424794</t>
  </si>
  <si>
    <t>PISAU ROTI 2IN1 8 INCH</t>
  </si>
  <si>
    <t>6958004011758</t>
  </si>
  <si>
    <t>PISAU ROTI PIS0003 LISSE SC</t>
  </si>
  <si>
    <t>6941211307080</t>
  </si>
  <si>
    <t>PISAU SKRAP SET2 BUNGA PS12</t>
  </si>
  <si>
    <t>6969723183206</t>
  </si>
  <si>
    <t>PISAU SPATULA SET3IN1 PIS0007 LISSE</t>
  </si>
  <si>
    <t>10423774</t>
  </si>
  <si>
    <t>PISAU SPATULA SIL JUMBO SPT0013 LISSE</t>
  </si>
  <si>
    <t>10423555</t>
  </si>
  <si>
    <t>PISAU+GM+SPUIT+PAKU+SILICON SJZ-T10-9</t>
  </si>
  <si>
    <t>10423539</t>
  </si>
  <si>
    <t>PISAU+LENGKUNG+BULAT BL1014</t>
  </si>
  <si>
    <t>7885180915695</t>
  </si>
  <si>
    <t>PISAU+SKRAP PS11</t>
  </si>
  <si>
    <t>10425425</t>
  </si>
  <si>
    <t>PITA EID MUBARAK 1,3CM</t>
  </si>
  <si>
    <t>10425426</t>
  </si>
  <si>
    <t>PITA EID MUBARAK 2,5CM</t>
  </si>
  <si>
    <t>10427342</t>
  </si>
  <si>
    <t>PITA EID MUBARAK 2CM</t>
  </si>
  <si>
    <t>10425414</t>
  </si>
  <si>
    <t>PITA EMBOS LASER 2CM</t>
  </si>
  <si>
    <t>10425419</t>
  </si>
  <si>
    <t>PITA EMBOS LASER 3,8CM</t>
  </si>
  <si>
    <t>10425412</t>
  </si>
  <si>
    <t>PITA HIJAU KNG 1,3CM</t>
  </si>
  <si>
    <t>10425421</t>
  </si>
  <si>
    <t>PITA HIJAU KNG 2,5CM</t>
  </si>
  <si>
    <t>10425420</t>
  </si>
  <si>
    <t>PITA HIJAU KNG 4CM</t>
  </si>
  <si>
    <t>10425416</t>
  </si>
  <si>
    <t>PITA HOLOGRAM 2CM</t>
  </si>
  <si>
    <t>10425417</t>
  </si>
  <si>
    <t>PITA HOLOGRAM 3,8CM</t>
  </si>
  <si>
    <t>10425422</t>
  </si>
  <si>
    <t>PITA KADO ROLL GLITER 1,8CM</t>
  </si>
  <si>
    <t>10425415</t>
  </si>
  <si>
    <t>PITA KADO ROLL GLITER 3,8CM</t>
  </si>
  <si>
    <t>10427332</t>
  </si>
  <si>
    <t>PITA KADO ROLL GLITER PELANGI 2CM</t>
  </si>
  <si>
    <t>10425431</t>
  </si>
  <si>
    <t>PITA KADO ROLL LIST EMAS 2CM</t>
  </si>
  <si>
    <t>10425410</t>
  </si>
  <si>
    <t>PITA KADO ROLL LIST EMAS 3,8CM</t>
  </si>
  <si>
    <t>10425413</t>
  </si>
  <si>
    <t>PITA KADO ROLL POLOS 2CM</t>
  </si>
  <si>
    <t>10425418</t>
  </si>
  <si>
    <t>PITA KADO ROLL POLOS 3,8CM</t>
  </si>
  <si>
    <t>10425411</t>
  </si>
  <si>
    <t>PITA KETUPAT METALIK EMBOS</t>
  </si>
  <si>
    <t>10425423</t>
  </si>
  <si>
    <t>PITA ROLL SATIN IDUL FITRI 1,3CM</t>
  </si>
  <si>
    <t>10425424</t>
  </si>
  <si>
    <t>PITA ROLL SATIN IDUL FITRI 2,5CM</t>
  </si>
  <si>
    <t>10427343</t>
  </si>
  <si>
    <t>PITA ROLL SATIN IDUL FITRI 2CM</t>
  </si>
  <si>
    <t>10427296</t>
  </si>
  <si>
    <t>PITA ROLL SATIN POLOS 1,3CM</t>
  </si>
  <si>
    <t>10427329</t>
  </si>
  <si>
    <t>PITA ROLL SATIN POLOS 1CM</t>
  </si>
  <si>
    <t>10427294</t>
  </si>
  <si>
    <t>PITA ROLL SATIN POLOS 2,5CM</t>
  </si>
  <si>
    <t>10427295</t>
  </si>
  <si>
    <t>PITA ROLL SATIN POLOS 2CM</t>
  </si>
  <si>
    <t>10425429</t>
  </si>
  <si>
    <t>PITA TARIK EMBOS 32MM</t>
  </si>
  <si>
    <t>10425428</t>
  </si>
  <si>
    <t>PITA TARIK EMBOS 50MM</t>
  </si>
  <si>
    <t>10423466</t>
  </si>
  <si>
    <t>PITA TARIK GLITTER 32MM 10S</t>
  </si>
  <si>
    <t>10422667</t>
  </si>
  <si>
    <t>PITA TARIK LIST EMAS 18MM 10S</t>
  </si>
  <si>
    <t>10423460</t>
  </si>
  <si>
    <t>PITA TARIK LIST EMAS 32MM 10S</t>
  </si>
  <si>
    <t>10427327</t>
  </si>
  <si>
    <t>PITA TARIK MATTE ORGANDI 32MM</t>
  </si>
  <si>
    <t>10427326</t>
  </si>
  <si>
    <t>PITA TARIK MATTE ORGANDI 50MM</t>
  </si>
  <si>
    <t>10422665</t>
  </si>
  <si>
    <t>PITA TARIK MOTIF 18MM 10S</t>
  </si>
  <si>
    <t>10423462</t>
  </si>
  <si>
    <t>PITA TARIK MOTIF 32MM 10S</t>
  </si>
  <si>
    <t>10423468</t>
  </si>
  <si>
    <t>PITA TARIK ORGANDI/GOLD 32MM 10S</t>
  </si>
  <si>
    <t>10427328</t>
  </si>
  <si>
    <t>PITA TARIK POM 2 WRN 32MM</t>
  </si>
  <si>
    <t>10425430</t>
  </si>
  <si>
    <t>PITA TARIK POM HOLOGRAM 32MM</t>
  </si>
  <si>
    <t>10423472</t>
  </si>
  <si>
    <t>PITA TARIK POM HOLOGRAM 50MM</t>
  </si>
  <si>
    <t>10423470</t>
  </si>
  <si>
    <t>PITA TARIK POMMETALIK 32MM</t>
  </si>
  <si>
    <t>10423458</t>
  </si>
  <si>
    <t>PITA TARIK RENDA 18MM 10S</t>
  </si>
  <si>
    <t>10423464</t>
  </si>
  <si>
    <t>PITA TARIK RENDA 32MM 10S</t>
  </si>
  <si>
    <t>10424225</t>
  </si>
  <si>
    <t>PIZZA CUTTER SCR2</t>
  </si>
  <si>
    <t>10427136</t>
  </si>
  <si>
    <t>PIZZA FROZEN PEPPERONI</t>
  </si>
  <si>
    <t>6975065200013</t>
  </si>
  <si>
    <t>PIZZA MESSER GG KAYU LARGE</t>
  </si>
  <si>
    <t>6901304000304</t>
  </si>
  <si>
    <t>PIZZA MESSER PP1</t>
  </si>
  <si>
    <t>6948261806143</t>
  </si>
  <si>
    <t>PLASTIC SHOVEL SCOOP SET3 16120-16</t>
  </si>
  <si>
    <t>10425936</t>
  </si>
  <si>
    <t>PLASTIK B BONJOW OR PLS1-2</t>
  </si>
  <si>
    <t>10425361</t>
  </si>
  <si>
    <t>PLASTIK B BUNGA PLS2-1</t>
  </si>
  <si>
    <t>10425378</t>
  </si>
  <si>
    <t>PLASTIK B STRAW PINK PLS1-4</t>
  </si>
  <si>
    <t>10425362</t>
  </si>
  <si>
    <t>PLASTIK B TANGKAI MAWAR PLS2-4</t>
  </si>
  <si>
    <t>10425391</t>
  </si>
  <si>
    <t>PLASTIK B TEKO+KUE PLS2-3</t>
  </si>
  <si>
    <t>10530114</t>
  </si>
  <si>
    <t>PLASTIK BUAH HSJ 25X38</t>
  </si>
  <si>
    <t>10425377</t>
  </si>
  <si>
    <t>PLASTIK BUNGA 10X13.5CM PLS16B</t>
  </si>
  <si>
    <t>10425370</t>
  </si>
  <si>
    <t>PLASTIK BUNGA K PLS16K</t>
  </si>
  <si>
    <t>10425363</t>
  </si>
  <si>
    <t>PLASTIK BUNGA MM PT B PLS9B</t>
  </si>
  <si>
    <t>10425364</t>
  </si>
  <si>
    <t>PLASTIK BUNGA MM PT K PLS9K</t>
  </si>
  <si>
    <t>10425365</t>
  </si>
  <si>
    <t>PLASTIK BUNGA MM PT T PLS9T</t>
  </si>
  <si>
    <t>10425368</t>
  </si>
  <si>
    <t>PLASTIK BUNGA TG PLS16T</t>
  </si>
  <si>
    <t>10425369</t>
  </si>
  <si>
    <t>PLASTIK COOKIES KCL CERRY PLS4G</t>
  </si>
  <si>
    <t>10520055</t>
  </si>
  <si>
    <t>PLASTIK KLIP 10X15 100S</t>
  </si>
  <si>
    <t>10520056</t>
  </si>
  <si>
    <t>PLASTIK KLIP 12X20 100S</t>
  </si>
  <si>
    <t>10427499</t>
  </si>
  <si>
    <t>PLASTIK KLIP 16X25</t>
  </si>
  <si>
    <t>10427496</t>
  </si>
  <si>
    <t>PLASTIK KLIP 20X30</t>
  </si>
  <si>
    <t>10427497</t>
  </si>
  <si>
    <t>PLASTIK KLIP 25X35</t>
  </si>
  <si>
    <t>10427498</t>
  </si>
  <si>
    <t>PLASTIK KLIP 30X40</t>
  </si>
  <si>
    <t>10510088</t>
  </si>
  <si>
    <t>PLASTIK KLIP 4X6 100S</t>
  </si>
  <si>
    <t>10510085</t>
  </si>
  <si>
    <t>PLASTIK KLIP 5X3 100S</t>
  </si>
  <si>
    <t>10510087</t>
  </si>
  <si>
    <t>PLASTIK KLIP 5X8 100S</t>
  </si>
  <si>
    <t>10520079</t>
  </si>
  <si>
    <t>PLASTIK KLIP 7X10 100S</t>
  </si>
  <si>
    <t>10510086</t>
  </si>
  <si>
    <t>PLASTIK KLIP 8,7X13 100S</t>
  </si>
  <si>
    <t>10520057</t>
  </si>
  <si>
    <t>PLASTIK KLIP 8X12 100S</t>
  </si>
  <si>
    <t>10425376</t>
  </si>
  <si>
    <t>PLASTIK KUNING PLS12-3</t>
  </si>
  <si>
    <t>10520099</t>
  </si>
  <si>
    <t>PLASTIK OPP 10X10 1000S</t>
  </si>
  <si>
    <t>10520092</t>
  </si>
  <si>
    <t>PLASTIK OPP 10X10 100S</t>
  </si>
  <si>
    <t>105200100</t>
  </si>
  <si>
    <t>PLASTIK OPP 10X15 1000S</t>
  </si>
  <si>
    <t>10520095</t>
  </si>
  <si>
    <t>PLASTIK OPP 10X15 100S</t>
  </si>
  <si>
    <t>105200101</t>
  </si>
  <si>
    <t>PLASTIK OPP 10X17 1000S</t>
  </si>
  <si>
    <t>10520096</t>
  </si>
  <si>
    <t>PLASTIK OPP 10X17 100S</t>
  </si>
  <si>
    <t>10520059</t>
  </si>
  <si>
    <t>PLASTIK OPP 10X25 100S</t>
  </si>
  <si>
    <t>105200102</t>
  </si>
  <si>
    <t>PLASTIK OPP 11X17 1000S</t>
  </si>
  <si>
    <t>10520097</t>
  </si>
  <si>
    <t>PLASTIK OPP 11X17 100S</t>
  </si>
  <si>
    <t>10520060</t>
  </si>
  <si>
    <t>PLASTIK OPP 11X25 100S</t>
  </si>
  <si>
    <t>105200105</t>
  </si>
  <si>
    <t>PLASTIK OPP 12X12 1000S</t>
  </si>
  <si>
    <t>10520065</t>
  </si>
  <si>
    <t>PLASTIK OPP 12X12 100S</t>
  </si>
  <si>
    <t>105200103</t>
  </si>
  <si>
    <t>PLASTIK OPP 12X13 1000S</t>
  </si>
  <si>
    <t>10520098</t>
  </si>
  <si>
    <t>PLASTIK OPP 12X13 100S</t>
  </si>
  <si>
    <t>10520061</t>
  </si>
  <si>
    <t>PLASTIK OPP 12X25 100S</t>
  </si>
  <si>
    <t>105200106</t>
  </si>
  <si>
    <t>PLASTIK OPP 13X13 1000S</t>
  </si>
  <si>
    <t>10520064</t>
  </si>
  <si>
    <t>PLASTIK OPP 13X13 100S</t>
  </si>
  <si>
    <t>105200109</t>
  </si>
  <si>
    <t>PLASTIK OPP 13X15 1000S</t>
  </si>
  <si>
    <t>10520076</t>
  </si>
  <si>
    <t>PLASTIK OPP 13X15 100S</t>
  </si>
  <si>
    <t>10520062</t>
  </si>
  <si>
    <t>PLASTIK OPP 13X25 100S</t>
  </si>
  <si>
    <t>10520090</t>
  </si>
  <si>
    <t>PLASTIK OPP 14,5 X15 100S</t>
  </si>
  <si>
    <t>105200104</t>
  </si>
  <si>
    <t>PLASTIK OPP 14X14 1000S</t>
  </si>
  <si>
    <t>10520093</t>
  </si>
  <si>
    <t>PLASTIK OPP 14X14 100S</t>
  </si>
  <si>
    <t>105200108</t>
  </si>
  <si>
    <t>PLASTIK OPP 14X17 1000S</t>
  </si>
  <si>
    <t>10520094</t>
  </si>
  <si>
    <t>PLASTIK OPP 14X17 100S</t>
  </si>
  <si>
    <t>105200107</t>
  </si>
  <si>
    <t>PLASTIK OPP 14X18 1000S</t>
  </si>
  <si>
    <t>10520066</t>
  </si>
  <si>
    <t>PLASTIK OPP 14X18 100S</t>
  </si>
  <si>
    <t>10520067</t>
  </si>
  <si>
    <t>PLASTIK OPP 14X25 100S</t>
  </si>
  <si>
    <t>10422210</t>
  </si>
  <si>
    <t>PLASTIK OPP 15X15 100S</t>
  </si>
  <si>
    <t>10520068</t>
  </si>
  <si>
    <t>PLASTIK OPP 15X25 100S</t>
  </si>
  <si>
    <t>10520069</t>
  </si>
  <si>
    <t>PLASTIK OPP 16X25 100S</t>
  </si>
  <si>
    <t>10520070</t>
  </si>
  <si>
    <t>PLASTIK OPP 17X25 100S</t>
  </si>
  <si>
    <t>10520071</t>
  </si>
  <si>
    <t>PLASTIK OPP 18X25 100S</t>
  </si>
  <si>
    <t>10422355</t>
  </si>
  <si>
    <t>PLASTIK OPP 19X25 100S</t>
  </si>
  <si>
    <t>10520072</t>
  </si>
  <si>
    <t>PLASTIK OPP 20X25 100S</t>
  </si>
  <si>
    <t>10520089</t>
  </si>
  <si>
    <t>PLASTIK OPP 25X35 100S</t>
  </si>
  <si>
    <t>10520073</t>
  </si>
  <si>
    <t>PLASTIK OPP 28X35 100S</t>
  </si>
  <si>
    <t>10520074</t>
  </si>
  <si>
    <t>PLASTIK OPP 30X35 100S</t>
  </si>
  <si>
    <t>10427120</t>
  </si>
  <si>
    <t>PLASTIK OPP 35X39 100S</t>
  </si>
  <si>
    <t>10520103</t>
  </si>
  <si>
    <t>PLASTIK OPP 6X15 1000S</t>
  </si>
  <si>
    <t>10520104</t>
  </si>
  <si>
    <t>PLASTIK OPP 6X15 100S</t>
  </si>
  <si>
    <t>10520102</t>
  </si>
  <si>
    <t>PLASTIK OPP 7,5X25 100S</t>
  </si>
  <si>
    <t>10427119</t>
  </si>
  <si>
    <t>PLASTIK OPP 7X18 1000S</t>
  </si>
  <si>
    <t>10427156</t>
  </si>
  <si>
    <t>PLASTIK OPP 7X18 100S</t>
  </si>
  <si>
    <t>10520101</t>
  </si>
  <si>
    <t>PLASTIK OPP 7X25 100S</t>
  </si>
  <si>
    <t>10427143</t>
  </si>
  <si>
    <t>PLASTIK OPP 8X18 1000S</t>
  </si>
  <si>
    <t>10427142</t>
  </si>
  <si>
    <t>PLASTIK OPP 8X18 100S</t>
  </si>
  <si>
    <t>10520121</t>
  </si>
  <si>
    <t>PLASTIK OPP NON SEAL 10X10 100GR</t>
  </si>
  <si>
    <t>10520118</t>
  </si>
  <si>
    <t>PLASTIK OPP NON SEAL 10X10 1KG</t>
  </si>
  <si>
    <t>10520122</t>
  </si>
  <si>
    <t>PLASTIK OPP NON SEAL 10X15 100GR</t>
  </si>
  <si>
    <t>10520119</t>
  </si>
  <si>
    <t>PLASTIK OPP NON SEAL 10X15 1KG</t>
  </si>
  <si>
    <t>10520123</t>
  </si>
  <si>
    <t>PLASTIK OPP NON SEAL 12X15 100GR</t>
  </si>
  <si>
    <t>10520120</t>
  </si>
  <si>
    <t>PLASTIK OPP NON SEAL 12X15 1KG</t>
  </si>
  <si>
    <t>10520112</t>
  </si>
  <si>
    <t>PLASTIK OPP NON SEAL 14X20 100GR</t>
  </si>
  <si>
    <t>10520107</t>
  </si>
  <si>
    <t>PLASTIK OPP NON SEAL 14X20 1KG</t>
  </si>
  <si>
    <t>10510116</t>
  </si>
  <si>
    <t>PLASTIK OPP NON SEAL 15X25 100GR</t>
  </si>
  <si>
    <t>10422080</t>
  </si>
  <si>
    <t>PLASTIK OPP NON SEAL 15X25 1KG</t>
  </si>
  <si>
    <t>10520113</t>
  </si>
  <si>
    <t>PLASTIK OPP NON SEAL 16X25 100GR</t>
  </si>
  <si>
    <t>10520111</t>
  </si>
  <si>
    <t>PLASTIK OPP NON SEAL 16X25 1KG</t>
  </si>
  <si>
    <t>10520114</t>
  </si>
  <si>
    <t>PLASTIK OPP NON SEAL 16X35 100GR</t>
  </si>
  <si>
    <t>10520106</t>
  </si>
  <si>
    <t>PLASTIK OPP NON SEAL 16X35 1KG</t>
  </si>
  <si>
    <t>10520115</t>
  </si>
  <si>
    <t>PLASTIK OPP NON SEAL 24X25 100GR</t>
  </si>
  <si>
    <t>10520110</t>
  </si>
  <si>
    <t>PLASTIK OPP NON SEAL 24X25 1KG</t>
  </si>
  <si>
    <t>10520116</t>
  </si>
  <si>
    <t>PLASTIK OPP NON SEAL 7X10 100GR</t>
  </si>
  <si>
    <t>10520108</t>
  </si>
  <si>
    <t>PLASTIK OPP NON SEAL 7X10 1KG</t>
  </si>
  <si>
    <t>10520117</t>
  </si>
  <si>
    <t>PLASTIK OPP NON SEAL 7X15 100GR</t>
  </si>
  <si>
    <t>10520109</t>
  </si>
  <si>
    <t>PLASTIK OPP NON SEAL 7X15 1KG</t>
  </si>
  <si>
    <t>10510115</t>
  </si>
  <si>
    <t>PLASTIK OPP NON SEAL 7X15 250GR</t>
  </si>
  <si>
    <t>10425375</t>
  </si>
  <si>
    <t>PLASTIK PINK PLS12-2</t>
  </si>
  <si>
    <t>10425374</t>
  </si>
  <si>
    <t>PLASTIK PUTIH PLS12-1</t>
  </si>
  <si>
    <t>10425768</t>
  </si>
  <si>
    <t>PLASTIK ROTI&amp;DONAT 100S</t>
  </si>
  <si>
    <t>8997237070031</t>
  </si>
  <si>
    <t>PLASTIK SAMPAH BESAR 80X100CM 8S</t>
  </si>
  <si>
    <t>8997237070048</t>
  </si>
  <si>
    <t>PLASTIK SAMPAH EXT BESAR 100X120CM 5S</t>
  </si>
  <si>
    <t>8997237070017</t>
  </si>
  <si>
    <t>PLASTIK SAMPAH KECIL 40X50CM 30S</t>
  </si>
  <si>
    <t>10510247</t>
  </si>
  <si>
    <t>PLASTIK SAMPAH ROYAL 60X100</t>
  </si>
  <si>
    <t>10510248</t>
  </si>
  <si>
    <t>PLASTIK SAMPAH ROYAL 90X120</t>
  </si>
  <si>
    <t>8997237070024</t>
  </si>
  <si>
    <t>PLASTIK SAMPAH SEDANG 60X80CM 12S</t>
  </si>
  <si>
    <t>10520125</t>
  </si>
  <si>
    <t>PLASTIK SEGITIGA ORIPACK 100S</t>
  </si>
  <si>
    <t>10520126</t>
  </si>
  <si>
    <t>PLASTIK SEGITIGA ORIPACK 50S</t>
  </si>
  <si>
    <t>10427107</t>
  </si>
  <si>
    <t>PLASTIK SEGITIGA ROSA KECIL</t>
  </si>
  <si>
    <t>10427109</t>
  </si>
  <si>
    <t>PLASTIK SEGITIGA ROSA TANGGUNG</t>
  </si>
  <si>
    <t>9555119801570</t>
  </si>
  <si>
    <t>PLASTIK SPIKE NO 157</t>
  </si>
  <si>
    <t>10424169</t>
  </si>
  <si>
    <t>PLASTIK SPUIT BESAR</t>
  </si>
  <si>
    <t>10422092</t>
  </si>
  <si>
    <t>PLASTIK SPUIT BESAR DIVA</t>
  </si>
  <si>
    <t>10520077</t>
  </si>
  <si>
    <t>PLASTIK SPUIT JMB 5S</t>
  </si>
  <si>
    <t>10420104</t>
  </si>
  <si>
    <t>PLASTIK SPUIT KECIL</t>
  </si>
  <si>
    <t>10422692</t>
  </si>
  <si>
    <t>PLASTIK SPUIT KECIL DIVA</t>
  </si>
  <si>
    <t>10426908</t>
  </si>
  <si>
    <t>PLASTIK VACUM 12X20</t>
  </si>
  <si>
    <t>10424119</t>
  </si>
  <si>
    <t>PLASTIK VACUM 15X20</t>
  </si>
  <si>
    <t>10424120</t>
  </si>
  <si>
    <t>PLASTIK VACUM 15X25</t>
  </si>
  <si>
    <t>10426907</t>
  </si>
  <si>
    <t>PLASTIK VACUM 17X25</t>
  </si>
  <si>
    <t>10424138</t>
  </si>
  <si>
    <t>PLASTIK VACUM 17X30</t>
  </si>
  <si>
    <t>10424139</t>
  </si>
  <si>
    <t>PLASTIK VACUM 18X28</t>
  </si>
  <si>
    <t>10424140</t>
  </si>
  <si>
    <t>PLASTIK VACUM 20X25</t>
  </si>
  <si>
    <t>10422915</t>
  </si>
  <si>
    <t>PLASTIK VACUM 20X30</t>
  </si>
  <si>
    <t>10424141</t>
  </si>
  <si>
    <t>PLASTIK VACUM 23X30</t>
  </si>
  <si>
    <t>10426909</t>
  </si>
  <si>
    <t>PLASTIK VACUM 23X34</t>
  </si>
  <si>
    <t>10424142</t>
  </si>
  <si>
    <t>PLASTIK VACUM 25X35</t>
  </si>
  <si>
    <t>10425070</t>
  </si>
  <si>
    <t>PLASTIK VACUM EMBOS 11X16</t>
  </si>
  <si>
    <t>10425071</t>
  </si>
  <si>
    <t>PLASTIK VACUM EMBOS 12X17</t>
  </si>
  <si>
    <t>10425072</t>
  </si>
  <si>
    <t>PLASTIK VACUM EMBOS 12X20</t>
  </si>
  <si>
    <t>1042564</t>
  </si>
  <si>
    <t>PLASTIK VACUM EMBOS 13X18</t>
  </si>
  <si>
    <t>10425073</t>
  </si>
  <si>
    <t>PLASTIK VACUM EMBOS 14X16</t>
  </si>
  <si>
    <t>1042507</t>
  </si>
  <si>
    <t>PLASTIK VACUM EMBOS 15X20</t>
  </si>
  <si>
    <t>1042508</t>
  </si>
  <si>
    <t>PLASTIK VACUM EMBOS 15X25</t>
  </si>
  <si>
    <t>1042509</t>
  </si>
  <si>
    <t>PLASTIK VACUM EMBOS 15X27</t>
  </si>
  <si>
    <t>10426903</t>
  </si>
  <si>
    <t>PLASTIK VACUM EMBOS 16X25</t>
  </si>
  <si>
    <t>10426904</t>
  </si>
  <si>
    <t>PLASTIK VACUM EMBOS 17X25</t>
  </si>
  <si>
    <t>10426905</t>
  </si>
  <si>
    <t>PLASTIK VACUM EMBOS 18X28</t>
  </si>
  <si>
    <t>10426906</t>
  </si>
  <si>
    <t>PLASTIK VACUM EMBOS 20X25</t>
  </si>
  <si>
    <t>1042510</t>
  </si>
  <si>
    <t>PLASTIK VACUM EMBOS 20X30</t>
  </si>
  <si>
    <t>1042511</t>
  </si>
  <si>
    <t>PLASTIK VACUM EMBOS 23X34</t>
  </si>
  <si>
    <t>1042512</t>
  </si>
  <si>
    <t>PLASTIK VACUM EMBOS 27X34</t>
  </si>
  <si>
    <t>10410083</t>
  </si>
  <si>
    <t>PLAZA BR PELANGI 1/2KG</t>
  </si>
  <si>
    <t>10410832</t>
  </si>
  <si>
    <t>PLAZA BR PELANGI 12KG</t>
  </si>
  <si>
    <t>10410081</t>
  </si>
  <si>
    <t>PLAZA BR PELANGI 1KG</t>
  </si>
  <si>
    <t>10410084</t>
  </si>
  <si>
    <t>PLAZA BR PELANGI 250GR</t>
  </si>
  <si>
    <t>10410087</t>
  </si>
  <si>
    <t>PLAZA BR PELITA 1/2KG</t>
  </si>
  <si>
    <t>10410833</t>
  </si>
  <si>
    <t>PLAZA BR PELITA 12KG</t>
  </si>
  <si>
    <t>10410085</t>
  </si>
  <si>
    <t>PLAZA BR PELITA 1KG</t>
  </si>
  <si>
    <t>10410088</t>
  </si>
  <si>
    <t>PLAZA BR PELITA 250GR</t>
  </si>
  <si>
    <t>10410690</t>
  </si>
  <si>
    <t>PLAZA COMPOUND CKLT 1S</t>
  </si>
  <si>
    <t>8997014037486</t>
  </si>
  <si>
    <t>PLAZA COMPOUND VIRO 250GR</t>
  </si>
  <si>
    <t>10410021</t>
  </si>
  <si>
    <t>PLAZA FILLING 1/2KG</t>
  </si>
  <si>
    <t>10410466</t>
  </si>
  <si>
    <t>PLAZA FILLING 1KG</t>
  </si>
  <si>
    <t>10410234</t>
  </si>
  <si>
    <t>PLAZA FILLING 250GR</t>
  </si>
  <si>
    <t>8997014035260</t>
  </si>
  <si>
    <t>PLAZA FILLING DECOR 1KG</t>
  </si>
  <si>
    <t>PLAZA FILLING ECONO 5KG</t>
  </si>
  <si>
    <t>8997014034492</t>
  </si>
  <si>
    <t>PLAZA FILLING PASTA DARK 500GR</t>
  </si>
  <si>
    <t>8997014036038</t>
  </si>
  <si>
    <t>PLAZA GLAZE DARK 1KG TUB</t>
  </si>
  <si>
    <t>8997014037950</t>
  </si>
  <si>
    <t>PLAZA GLAZE DARK 5KG</t>
  </si>
  <si>
    <t>8990064000547</t>
  </si>
  <si>
    <t>PLAZA GLAZE DARK SUPRA 1KG</t>
  </si>
  <si>
    <t>8990064001223</t>
  </si>
  <si>
    <t>PLAZA GLAZE DARK SUPRA 5KG</t>
  </si>
  <si>
    <t>8990064001025</t>
  </si>
  <si>
    <t>PLAZA GLAZE ECO BLUEBERRY 1KG</t>
  </si>
  <si>
    <t>8990064001049</t>
  </si>
  <si>
    <t>PLAZA GLAZE ECO BLUEBERRY 5KG</t>
  </si>
  <si>
    <t>8990064001056</t>
  </si>
  <si>
    <t>PLAZA GLAZE ECO CHEESE 5KG</t>
  </si>
  <si>
    <t>8997014035475</t>
  </si>
  <si>
    <t>8990064000271</t>
  </si>
  <si>
    <t>PLAZA GLAZE ECO G. TEA 200GR</t>
  </si>
  <si>
    <t>8990064002701</t>
  </si>
  <si>
    <t>PLAZA GLAZE ECO GREENTEA 200GR</t>
  </si>
  <si>
    <t>8990064000257</t>
  </si>
  <si>
    <t>PLAZA GLAZE ECO TARO 200GR</t>
  </si>
  <si>
    <t>8990064002749</t>
  </si>
  <si>
    <t>8990064000264</t>
  </si>
  <si>
    <t>PLAZA GLAZE ECO TIRAMISU 200GR</t>
  </si>
  <si>
    <t>8990064000233</t>
  </si>
  <si>
    <t>PLAZA GLAZE ECO WHITE 200GR</t>
  </si>
  <si>
    <t>8997014038988</t>
  </si>
  <si>
    <t>PLAZA GLAZE G. TEA 5KG</t>
  </si>
  <si>
    <t>8990064000578</t>
  </si>
  <si>
    <t>PLAZA GLAZE G. TEA SUPRA 1KG</t>
  </si>
  <si>
    <t>8990064001254</t>
  </si>
  <si>
    <t>PLAZA GLAZE G. TEA SUPRA 5KG</t>
  </si>
  <si>
    <t>8997014036069</t>
  </si>
  <si>
    <t>PLAZA GLAZE G.TEA 1KG TUB</t>
  </si>
  <si>
    <t>8990064000592</t>
  </si>
  <si>
    <t>PLAZA GLAZE STRAW SUPRA 1KG</t>
  </si>
  <si>
    <t>8990064001278</t>
  </si>
  <si>
    <t>PLAZA GLAZE STRAW SUPRA 5KG</t>
  </si>
  <si>
    <t>8997014035529</t>
  </si>
  <si>
    <t>PLAZA GLAZE STW 1KG POUCH</t>
  </si>
  <si>
    <t>8997014036083</t>
  </si>
  <si>
    <t>PLAZA GLAZE STW 1KG TUB</t>
  </si>
  <si>
    <t>8997014038018</t>
  </si>
  <si>
    <t>PLAZA GLAZE STW 5KG</t>
  </si>
  <si>
    <t>8997014036076</t>
  </si>
  <si>
    <t>PLAZA GLAZE TARO 1KG TUB</t>
  </si>
  <si>
    <t>8997014038995</t>
  </si>
  <si>
    <t>PLAZA GLAZE TARO 5KG</t>
  </si>
  <si>
    <t>8990064000585</t>
  </si>
  <si>
    <t>PLAZA GLAZE TARO SUPRA 1KG</t>
  </si>
  <si>
    <t>8990064001261</t>
  </si>
  <si>
    <t>PLAZA GLAZE TARO SUPRA 5KG</t>
  </si>
  <si>
    <t>8997014036052</t>
  </si>
  <si>
    <t>PLAZA GLAZE TIRAMISU 1KG TUB</t>
  </si>
  <si>
    <t>8997014039008</t>
  </si>
  <si>
    <t>PLAZA GLAZE TIRAMISU 5KG</t>
  </si>
  <si>
    <t>8990064000561</t>
  </si>
  <si>
    <t>PLAZA GLAZE TIRAMISU SUPRA 1KG</t>
  </si>
  <si>
    <t>8990064001247</t>
  </si>
  <si>
    <t>PLAZA GLAZE TIRAMISU SUPRA 5KG</t>
  </si>
  <si>
    <t>8997014036045</t>
  </si>
  <si>
    <t>PLAZA GLAZE WHITE 1KG TUB</t>
  </si>
  <si>
    <t>8997014039671</t>
  </si>
  <si>
    <t>PLAZA GLAZE WHITE 5KG</t>
  </si>
  <si>
    <t>8990064000554</t>
  </si>
  <si>
    <t>PLAZA GLAZE WHITE SUPRA 1KG</t>
  </si>
  <si>
    <t>8990064001230</t>
  </si>
  <si>
    <t>PLAZA GLAZE WHITE SUPRA 5KG</t>
  </si>
  <si>
    <t>10420725</t>
  </si>
  <si>
    <t>PLONGER SET 3 GERIGI PL 3</t>
  </si>
  <si>
    <t>10420724</t>
  </si>
  <si>
    <t>PLONGER SET 3 PL 1</t>
  </si>
  <si>
    <t>10423313</t>
  </si>
  <si>
    <t>PLS1B COOKIES BUNGA PITA</t>
  </si>
  <si>
    <t>10423314</t>
  </si>
  <si>
    <t>PLS1C COOKIES RABBIT</t>
  </si>
  <si>
    <t>10423315</t>
  </si>
  <si>
    <t>PLS1D COOKIES PANDA</t>
  </si>
  <si>
    <t>10423316</t>
  </si>
  <si>
    <t>PLS1G COOKIES AYAM PT</t>
  </si>
  <si>
    <t>10423317</t>
  </si>
  <si>
    <t>PLS1H COOKIES AYAM MT</t>
  </si>
  <si>
    <t>10423318</t>
  </si>
  <si>
    <t>PLS1I COOKIES AYAM SLM</t>
  </si>
  <si>
    <t>10423319</t>
  </si>
  <si>
    <t>PLS1K COOKIES POPO SLM</t>
  </si>
  <si>
    <t>10423320</t>
  </si>
  <si>
    <t>PLS1L COOKIES POPO KN</t>
  </si>
  <si>
    <t>10423566</t>
  </si>
  <si>
    <t>PLS1M COOKIES DOMBA SLM</t>
  </si>
  <si>
    <t>10423321</t>
  </si>
  <si>
    <t>PLS1N COOKIES B KUCING</t>
  </si>
  <si>
    <t>10423322</t>
  </si>
  <si>
    <t>PLS1O COOKIES B</t>
  </si>
  <si>
    <t>10423567</t>
  </si>
  <si>
    <t>PLS1P COOKIES B KUCING</t>
  </si>
  <si>
    <t>10423568</t>
  </si>
  <si>
    <t>PLS2A COOKIES MENARA EIFEL</t>
  </si>
  <si>
    <t>10423569</t>
  </si>
  <si>
    <t>PLS2D COOKIES POLKADOT</t>
  </si>
  <si>
    <t>10423570</t>
  </si>
  <si>
    <t>PLS2E COOKIES THANK YOU</t>
  </si>
  <si>
    <t>10423325</t>
  </si>
  <si>
    <t>PLS2G COOKIES BINGKAI PITA</t>
  </si>
  <si>
    <t>10423326</t>
  </si>
  <si>
    <t>PLS2J COOKIES CUP CAKE</t>
  </si>
  <si>
    <t>10423327</t>
  </si>
  <si>
    <t>PLS2K COOKIES HATI MM</t>
  </si>
  <si>
    <t>10423571</t>
  </si>
  <si>
    <t>PLS2L COOKIES B BINGKAI LK</t>
  </si>
  <si>
    <t>10423572</t>
  </si>
  <si>
    <t>PLS2M COOKIES B BINGKAI PR</t>
  </si>
  <si>
    <t>10423328</t>
  </si>
  <si>
    <t>PLS2P COOKIES B PITA</t>
  </si>
  <si>
    <t>10423329</t>
  </si>
  <si>
    <t>PLS2Q COOKIES B TULISAN</t>
  </si>
  <si>
    <t>10423330</t>
  </si>
  <si>
    <t>PLS2S COOKIES B PINK ROSE</t>
  </si>
  <si>
    <t>10423573</t>
  </si>
  <si>
    <t>PLS2W COOKIES BINGKAI BULAT</t>
  </si>
  <si>
    <t>10423574</t>
  </si>
  <si>
    <t>PLS2X COOKIES CUPCAKE HIJAU</t>
  </si>
  <si>
    <t>10423331</t>
  </si>
  <si>
    <t>PLS3E COOKIES B KCL E</t>
  </si>
  <si>
    <t>10423575</t>
  </si>
  <si>
    <t>PLS3F COOKIES KCL F</t>
  </si>
  <si>
    <t>10423332</t>
  </si>
  <si>
    <t>PLS3J COOKIES B KCL J</t>
  </si>
  <si>
    <t>10423333</t>
  </si>
  <si>
    <t>PLS3K COOKIES B KCL K</t>
  </si>
  <si>
    <t>10423334</t>
  </si>
  <si>
    <t>PLS3O COOKIES B KCL O</t>
  </si>
  <si>
    <t>10423335</t>
  </si>
  <si>
    <t>PLS3P COOKIES B KCL P</t>
  </si>
  <si>
    <t>10423577</t>
  </si>
  <si>
    <t>PLS3Q COOKIES KCL Q</t>
  </si>
  <si>
    <t>10423336</t>
  </si>
  <si>
    <t>PLS3S COOKIES KCL MY NAME</t>
  </si>
  <si>
    <t>10423578</t>
  </si>
  <si>
    <t>PLS3T COOKIES KCL MY NAME</t>
  </si>
  <si>
    <t>10423338</t>
  </si>
  <si>
    <t>PLS4B COOKIES KCL PITA</t>
  </si>
  <si>
    <t>10423339</t>
  </si>
  <si>
    <t>PLS4C COOKIES KCL EIFEL</t>
  </si>
  <si>
    <t>10423342</t>
  </si>
  <si>
    <t>PLS4H COOKIES KCL H</t>
  </si>
  <si>
    <t>10423343</t>
  </si>
  <si>
    <t>PLS4J COOKIES KCL J</t>
  </si>
  <si>
    <t>10423579</t>
  </si>
  <si>
    <t>PLS4L COOKIES KCL BINGKAI KL</t>
  </si>
  <si>
    <t>10423580</t>
  </si>
  <si>
    <t>PLS4M COOKIES KCL FOR YOU</t>
  </si>
  <si>
    <t>10423344</t>
  </si>
  <si>
    <t>PLS4N COOKIES KCL THANK YOU</t>
  </si>
  <si>
    <t>10423345</t>
  </si>
  <si>
    <t>PLS4O COOKIES KCL BINGKAI H</t>
  </si>
  <si>
    <t>10423581</t>
  </si>
  <si>
    <t>PLS4P COOKIES KCL BINGKAI P</t>
  </si>
  <si>
    <t>10423582</t>
  </si>
  <si>
    <t>PLS4Q COOKIES KCL BINGKAI Q</t>
  </si>
  <si>
    <t>10423346</t>
  </si>
  <si>
    <t>PLS4R COOKIES KCL BINGKAI M</t>
  </si>
  <si>
    <t>10423583</t>
  </si>
  <si>
    <t>PLS4T COOKIES KCL MATA SLM</t>
  </si>
  <si>
    <t>10423584</t>
  </si>
  <si>
    <t>PLS4U COOKIES KCL POLKADOT</t>
  </si>
  <si>
    <t>885833300734</t>
  </si>
  <si>
    <t>PLSTK SOFENIR 4,5X7</t>
  </si>
  <si>
    <t>88588333000758</t>
  </si>
  <si>
    <t>PLSTK SOFENIR 5X8</t>
  </si>
  <si>
    <t>885833300796</t>
  </si>
  <si>
    <t>PLSTK SOFENIR 6X9</t>
  </si>
  <si>
    <t>6870896422255</t>
  </si>
  <si>
    <t>PLUNGER ABJAD ZN2225</t>
  </si>
  <si>
    <t>3700392451011</t>
  </si>
  <si>
    <t>PLUNGER BLT, HATI , BINTANG ZN2328</t>
  </si>
  <si>
    <t>6251603053014</t>
  </si>
  <si>
    <t>PLUNGER DAUN ZN530-1</t>
  </si>
  <si>
    <t>6884854726392</t>
  </si>
  <si>
    <t>PLUNGER KANCING BAJU ZN2639</t>
  </si>
  <si>
    <t>6251603010031</t>
  </si>
  <si>
    <t>PLUNGER ZN1003</t>
  </si>
  <si>
    <t>6952533283280</t>
  </si>
  <si>
    <t>PLUNGER ZN530</t>
  </si>
  <si>
    <t>5060047053013</t>
  </si>
  <si>
    <t>PLUNGER ZN550</t>
  </si>
  <si>
    <t>6943745686341</t>
  </si>
  <si>
    <t>PLUNGER ZN634</t>
  </si>
  <si>
    <t>6960047067081</t>
  </si>
  <si>
    <t>PLUNGER ZN708</t>
  </si>
  <si>
    <t>8886007811410</t>
  </si>
  <si>
    <t>POCI TEH CELUP ASLI TB25</t>
  </si>
  <si>
    <t>8886007811113</t>
  </si>
  <si>
    <t>POCI TEH CELUP VANILA TB25</t>
  </si>
  <si>
    <t>8886007000227</t>
  </si>
  <si>
    <t>POCI TEH MAS 80GR</t>
  </si>
  <si>
    <t>8886007811366</t>
  </si>
  <si>
    <t>POCI TEH SEDUH GOLD 40GR</t>
  </si>
  <si>
    <t>8886007811489</t>
  </si>
  <si>
    <t>POCI TEH SEDUH VANILA 50GR</t>
  </si>
  <si>
    <t>10422432</t>
  </si>
  <si>
    <t>POCKET KENTANG M 100S</t>
  </si>
  <si>
    <t>8990044000062</t>
  </si>
  <si>
    <t>POCKY COKLAT 22GR</t>
  </si>
  <si>
    <t>8990044000000</t>
  </si>
  <si>
    <t>POCKY COKLAT 47GR</t>
  </si>
  <si>
    <t>8990044000086</t>
  </si>
  <si>
    <t>POCKY COOKIES &amp; CREAM 20GR</t>
  </si>
  <si>
    <t>8990044000024</t>
  </si>
  <si>
    <t>POCKY COOKIES &amp; CREAM 40GR</t>
  </si>
  <si>
    <t>8851019001302</t>
  </si>
  <si>
    <t>POCKY CRUSHED FRUITS BLUEBERRY YOGURT 38GR</t>
  </si>
  <si>
    <t>8851019001340</t>
  </si>
  <si>
    <t>POCKY CRUSHED FRUITS STW &amp; PEACH 38GR</t>
  </si>
  <si>
    <t>8990044000222</t>
  </si>
  <si>
    <t>POCKY CRUSHED NUTS ALMOND DARK CHOC 25GR</t>
  </si>
  <si>
    <t>8990044000239</t>
  </si>
  <si>
    <t>POCKY CRUSHEDNUTS ALMOND MILK CHOC 25GR</t>
  </si>
  <si>
    <t>8990044000031</t>
  </si>
  <si>
    <t>POCKY DOUBLE COKLAT 47GR</t>
  </si>
  <si>
    <t>8851019600383</t>
  </si>
  <si>
    <t>POCKY MILK FLAVOUR 21GR</t>
  </si>
  <si>
    <t>8851019600291</t>
  </si>
  <si>
    <t>POCKY MILK FLAVOUR 39GR</t>
  </si>
  <si>
    <t>8990044000048</t>
  </si>
  <si>
    <t>POCKY MILKY MATCHA 33GR</t>
  </si>
  <si>
    <t>8990044000079</t>
  </si>
  <si>
    <t>POCKY STW 21GR</t>
  </si>
  <si>
    <t>8990044000017</t>
  </si>
  <si>
    <t>POCKY STW 45GR</t>
  </si>
  <si>
    <t>8993162116011</t>
  </si>
  <si>
    <t>POHON PINANG SUPER QUALITY MARQUISA 6X520ML</t>
  </si>
  <si>
    <t>8993162116097</t>
  </si>
  <si>
    <t>POHON PINANG SYRUP COCOPANDAN 520ML</t>
  </si>
  <si>
    <t>8993162116035</t>
  </si>
  <si>
    <t>POHON PINANG SYRUP LYCHEE 520ML</t>
  </si>
  <si>
    <t>8993162116042</t>
  </si>
  <si>
    <t>POHON PINANG SYRUP MELON 520ML</t>
  </si>
  <si>
    <t>8993162116059</t>
  </si>
  <si>
    <t>POHON PINANG SYRUP ORANGE 520ML</t>
  </si>
  <si>
    <t>8999908442208</t>
  </si>
  <si>
    <t>POLARIS SODA WATER 330ML</t>
  </si>
  <si>
    <t>8992830155963</t>
  </si>
  <si>
    <t>POLESAN KUE VELVET HAWAI</t>
  </si>
  <si>
    <t>6862454656639</t>
  </si>
  <si>
    <t>POLESAN MENTEGA SILIKON L</t>
  </si>
  <si>
    <t>55691328</t>
  </si>
  <si>
    <t>POLESAN MENTEGA SILIKON S</t>
  </si>
  <si>
    <t>6968100690177</t>
  </si>
  <si>
    <t>POLISHER ADJUSTABLE SCR0014</t>
  </si>
  <si>
    <t>55566688</t>
  </si>
  <si>
    <t>POMPA GALON LIPAT PAP-U</t>
  </si>
  <si>
    <t>8992786100192</t>
  </si>
  <si>
    <t>PONDAN BLACK FOREST 418GR</t>
  </si>
  <si>
    <t>8992786400292</t>
  </si>
  <si>
    <t>PONDAN BROWNIES 230GR</t>
  </si>
  <si>
    <t>8992786200205</t>
  </si>
  <si>
    <t>PONDAN BROWNIES KUKUS 400GR</t>
  </si>
  <si>
    <t>8992786100321</t>
  </si>
  <si>
    <t>PONDAN CAKE MIX BLCK FOREST KUKUS 400GR</t>
  </si>
  <si>
    <t>8992786100239</t>
  </si>
  <si>
    <t>PONDAN CAKE MIX CHIFFON PANDAN 400GR</t>
  </si>
  <si>
    <t>8992786100123</t>
  </si>
  <si>
    <t>PONDAN CAKE MIX CKLT 400GR</t>
  </si>
  <si>
    <t>8992786100383</t>
  </si>
  <si>
    <t>PONDAN CAKE MIX KETAN HTM 400GR</t>
  </si>
  <si>
    <t>8992786100116</t>
  </si>
  <si>
    <t>PONDAN CAKE MIX PANDAN 400GR</t>
  </si>
  <si>
    <t>8992786601392</t>
  </si>
  <si>
    <t>PONDAN FRUTIJELL ANGGUR 15GR</t>
  </si>
  <si>
    <t>8992786601378</t>
  </si>
  <si>
    <t>PONDAN FRUTIJELL COKLAT 15GR</t>
  </si>
  <si>
    <t>8992786601491</t>
  </si>
  <si>
    <t>PONDAN FRUTIJELL PLAIN 15GR</t>
  </si>
  <si>
    <t>8992786200298</t>
  </si>
  <si>
    <t>PONDAN ICE CREAM 3 RASA 300GR</t>
  </si>
  <si>
    <t>8992786500794</t>
  </si>
  <si>
    <t>PONDAN ICE CREAM CKLT 75GR</t>
  </si>
  <si>
    <t>8992786702013</t>
  </si>
  <si>
    <t>PONDAN ICE CREAM COKLAT 1KG</t>
  </si>
  <si>
    <t>8992786601132</t>
  </si>
  <si>
    <t>PONDAN ICE CREAM COKLAT CHIP PCH 160GR</t>
  </si>
  <si>
    <t>8992786702020</t>
  </si>
  <si>
    <t>PONDAN ICE CREAM STRAW 1KG</t>
  </si>
  <si>
    <t>8992786500787</t>
  </si>
  <si>
    <t>PONDAN ICE CREAM STRAW 75GR</t>
  </si>
  <si>
    <t>8992786601125</t>
  </si>
  <si>
    <t>PONDAN ICE CREAM STRW CHIP PCH 160GR</t>
  </si>
  <si>
    <t>8992786702006</t>
  </si>
  <si>
    <t>PONDAN ICE CREAM VANILA 1KG</t>
  </si>
  <si>
    <t>8992786500770</t>
  </si>
  <si>
    <t>PONDAN ICE CREAM VANILA 75GR</t>
  </si>
  <si>
    <t>8992786601118</t>
  </si>
  <si>
    <t>PONDAN ICE CREAM VANILLA PCH 160GR</t>
  </si>
  <si>
    <t>8992786400155</t>
  </si>
  <si>
    <t>PONDAN KAASTENGEL 400GR</t>
  </si>
  <si>
    <t>8992786400308</t>
  </si>
  <si>
    <t>PONDAN MAPLE SIRUP 40ML</t>
  </si>
  <si>
    <t>8992786601637</t>
  </si>
  <si>
    <t>PONDAN MAPLE SIRUP BTL 200ML</t>
  </si>
  <si>
    <t>8992786300417</t>
  </si>
  <si>
    <t>PONDAN PAN CAKE MIX COKLAT 250GR</t>
  </si>
  <si>
    <t>8992786300424</t>
  </si>
  <si>
    <t>PONDAN PAN CAKE ORIGINAL 250GR</t>
  </si>
  <si>
    <t>8992786400247</t>
  </si>
  <si>
    <t>PONDAN PANCAKE MIX CKLT 125GR</t>
  </si>
  <si>
    <t>8992786400230</t>
  </si>
  <si>
    <t>PONDAN PANCAKE ORIGINAL 125</t>
  </si>
  <si>
    <t>8992786801532</t>
  </si>
  <si>
    <t>PONDAN PERISA ALPUKAT 60ML</t>
  </si>
  <si>
    <t>8992786801587</t>
  </si>
  <si>
    <t>PONDAN PERISA BLUBERI 60ML</t>
  </si>
  <si>
    <t>8992786801402</t>
  </si>
  <si>
    <t>PONDAN PERISA COCOPANDAN 60ML</t>
  </si>
  <si>
    <t>8992786801426</t>
  </si>
  <si>
    <t>PONDAN PERISA COKLAT 60ML</t>
  </si>
  <si>
    <t>8992786801518</t>
  </si>
  <si>
    <t>PONDAN PERISA DURIAN 60ML</t>
  </si>
  <si>
    <t>8992786801525</t>
  </si>
  <si>
    <t>PONDAN PERISA JERUK 60ML</t>
  </si>
  <si>
    <t>8992786801556</t>
  </si>
  <si>
    <t>PONDAN PERISA MANGGA 60ML</t>
  </si>
  <si>
    <t>8992786801419</t>
  </si>
  <si>
    <t>PONDAN PERISA PANDAN 60ML</t>
  </si>
  <si>
    <t>8992786801464</t>
  </si>
  <si>
    <t>PONDAN PERISA PISANG AMBON 60ML</t>
  </si>
  <si>
    <t>8992786801501</t>
  </si>
  <si>
    <t>PONDAN PERISA SIRSAK 60ML</t>
  </si>
  <si>
    <t>8992786801440</t>
  </si>
  <si>
    <t>PONDAN PERISA STROBERI 60ML</t>
  </si>
  <si>
    <t>8992786801495</t>
  </si>
  <si>
    <t>PONDAN PERISA SUSU 60ML</t>
  </si>
  <si>
    <t>8992786801457</t>
  </si>
  <si>
    <t>PONDAN PERISA VANILA 60ML</t>
  </si>
  <si>
    <t>8992786300271</t>
  </si>
  <si>
    <t>PONDAN PUDDING FLAN COKLAT 100GR</t>
  </si>
  <si>
    <t>8992786300240</t>
  </si>
  <si>
    <t>PONDAN PUDDING FLAN MANGGA 180GR</t>
  </si>
  <si>
    <t>8992786400216</t>
  </si>
  <si>
    <t>PONDAN PUDDING FLAN MANGO 100GR</t>
  </si>
  <si>
    <t>8992786400223</t>
  </si>
  <si>
    <t>PONDAN PUDDING FLAN STW 100GR</t>
  </si>
  <si>
    <t>8992786300370</t>
  </si>
  <si>
    <t>PONDAN PUDDING FLAN VANILA 100GR</t>
  </si>
  <si>
    <t>8992786300110</t>
  </si>
  <si>
    <t>PONDAN PUDDING MANGGA VLA VANILLA 200GR</t>
  </si>
  <si>
    <t>8992786400315</t>
  </si>
  <si>
    <t>PONDAN PUDDING RASA COKELAT 100GR</t>
  </si>
  <si>
    <t>8992786400339</t>
  </si>
  <si>
    <t>PONDAN PUDDING RASA MANGGA 100GR</t>
  </si>
  <si>
    <t>8992786400322</t>
  </si>
  <si>
    <t>PONDAN PUDDING RASA VANILLA 100GR</t>
  </si>
  <si>
    <t>8992786400384</t>
  </si>
  <si>
    <t>PONDAN PUDDING VLA CKLT 50GR</t>
  </si>
  <si>
    <t>8992786400377</t>
  </si>
  <si>
    <t>PONDAN PUDDING VLA VANILLA 50GR</t>
  </si>
  <si>
    <t>8992786601002</t>
  </si>
  <si>
    <t>PONDAN SILKY PUDDING COKLAT 100GR</t>
  </si>
  <si>
    <t>8992786601019</t>
  </si>
  <si>
    <t>PONDAN SILKY PUDDING MANGGA 100GR</t>
  </si>
  <si>
    <t>8992786601026</t>
  </si>
  <si>
    <t>PONDAN SILKY PUDDING PERMEN KARET 100GR</t>
  </si>
  <si>
    <t>8992786601033</t>
  </si>
  <si>
    <t>PONDAN SILKY PUDDING TALAS 100GR</t>
  </si>
  <si>
    <t>8992786703126</t>
  </si>
  <si>
    <t>PONDAN SOFT ICE CREAM COKLAT 1.1KG</t>
  </si>
  <si>
    <t>8992786703133</t>
  </si>
  <si>
    <t>PONDAN SOFT ICE CREAM STROBERI 1.1KG</t>
  </si>
  <si>
    <t>8992786703119</t>
  </si>
  <si>
    <t>PONDAN SOFT ICE CREAM VANILA 1.1KG</t>
  </si>
  <si>
    <t>8992786601149</t>
  </si>
  <si>
    <t>PONDAN SPONGE COKLAT 200 GR</t>
  </si>
  <si>
    <t>8992786601163</t>
  </si>
  <si>
    <t>PONDAN SPONGE PANDAN 200 GR</t>
  </si>
  <si>
    <t>8992786601156</t>
  </si>
  <si>
    <t>PONDAN SPONGE VANILA 200 GR</t>
  </si>
  <si>
    <t>8992786400162</t>
  </si>
  <si>
    <t>PONDAN TP KUE NASTAR 400GR</t>
  </si>
  <si>
    <t>8992786100130</t>
  </si>
  <si>
    <t>PONDAN VANILA 400GR</t>
  </si>
  <si>
    <t>8992786701177</t>
  </si>
  <si>
    <t>PONDAN VITASPONGE SP 30GR</t>
  </si>
  <si>
    <t>8992786701184</t>
  </si>
  <si>
    <t>PONDAN VITASPONGE SP 70GR</t>
  </si>
  <si>
    <t>8992786100222</t>
  </si>
  <si>
    <t>PONDAN WHIP CREAM 150GR</t>
  </si>
  <si>
    <t>8992933256116</t>
  </si>
  <si>
    <t>POP ICE AVOCADO</t>
  </si>
  <si>
    <t>8992933285116</t>
  </si>
  <si>
    <t>POP ICE BLUEBERRY</t>
  </si>
  <si>
    <t>8992933259117</t>
  </si>
  <si>
    <t>POP ICE CAPPUCCINO</t>
  </si>
  <si>
    <t>8992933645118</t>
  </si>
  <si>
    <t>POP ICE CHOCO CHEESE</t>
  </si>
  <si>
    <t>8992933253115</t>
  </si>
  <si>
    <t>POP ICE CHOCO CREAM</t>
  </si>
  <si>
    <t>8992933231113</t>
  </si>
  <si>
    <t>POP ICE COKLAT</t>
  </si>
  <si>
    <t>8992933644111</t>
  </si>
  <si>
    <t>POP ICE CREAM CHEESE</t>
  </si>
  <si>
    <t>8992933237115</t>
  </si>
  <si>
    <t>POP ICE DOGER</t>
  </si>
  <si>
    <t>8992933239119</t>
  </si>
  <si>
    <t>POP ICE DURIAN</t>
  </si>
  <si>
    <t>8992933646115</t>
  </si>
  <si>
    <t>POP ICE ES TELER</t>
  </si>
  <si>
    <t>8992933252118</t>
  </si>
  <si>
    <t>POP ICE GRAPE</t>
  </si>
  <si>
    <t>8992933257113</t>
  </si>
  <si>
    <t>POP ICE LYCHEE</t>
  </si>
  <si>
    <t>8992933238112</t>
  </si>
  <si>
    <t>POP ICE MANGO</t>
  </si>
  <si>
    <t>8992933235111</t>
  </si>
  <si>
    <t>POP ICE MELON</t>
  </si>
  <si>
    <t>8992933283112</t>
  </si>
  <si>
    <t>POP ICE PERMEN KARET</t>
  </si>
  <si>
    <t>8992933233117</t>
  </si>
  <si>
    <t>POP ICE STRAWBERRY</t>
  </si>
  <si>
    <t>8992933293111</t>
  </si>
  <si>
    <t>POP ICE SULTAN ITALIAN CHOCIATO</t>
  </si>
  <si>
    <t>8992933649116</t>
  </si>
  <si>
    <t>POP ICE SULTAN ITALIAN CHOCO</t>
  </si>
  <si>
    <t>8992933640113</t>
  </si>
  <si>
    <t>POP ICE SULTAN POP CORN CARAMEL</t>
  </si>
  <si>
    <t>8992933251111</t>
  </si>
  <si>
    <t>POP ICE TARO</t>
  </si>
  <si>
    <t>8992933647112</t>
  </si>
  <si>
    <t>POP ICE THUNDER CHOCO MALT</t>
  </si>
  <si>
    <t>8992933648119</t>
  </si>
  <si>
    <t>POP ICE TORNADO SQUASH</t>
  </si>
  <si>
    <t>8992933254112</t>
  </si>
  <si>
    <t>POP ICE VANILLA BLUE</t>
  </si>
  <si>
    <t>8992759184013</t>
  </si>
  <si>
    <t>POP UP 90GR JOLLY</t>
  </si>
  <si>
    <t>6984618779234</t>
  </si>
  <si>
    <t>POTONGAN BULAT P945</t>
  </si>
  <si>
    <t>10423550</t>
  </si>
  <si>
    <t>POTONGAN BULAT PP4</t>
  </si>
  <si>
    <t>6930317201408</t>
  </si>
  <si>
    <t>POTONGAN PIZZA PP2</t>
  </si>
  <si>
    <t>10425167</t>
  </si>
  <si>
    <t>POW0002 POWDER SPRINKLER SEDANG</t>
  </si>
  <si>
    <t>10425168</t>
  </si>
  <si>
    <t>POW0003 POWDER SPRINKLER BESAR</t>
  </si>
  <si>
    <t>10510157</t>
  </si>
  <si>
    <t>PP KAISAR 010 10X17 1KG</t>
  </si>
  <si>
    <t>10510238</t>
  </si>
  <si>
    <t>PP KAISAR 010 18X30 1KG</t>
  </si>
  <si>
    <t>10510205</t>
  </si>
  <si>
    <t>PP KAISAR 010 23 X 38 1KG</t>
  </si>
  <si>
    <t>10510159</t>
  </si>
  <si>
    <t>PP KAISAR 08 10X17 1KG</t>
  </si>
  <si>
    <t>10510160</t>
  </si>
  <si>
    <t>PP KAISAR 08 13X21 1KG</t>
  </si>
  <si>
    <t>10510161</t>
  </si>
  <si>
    <t>PP KAISAR 08 15X27 1KG</t>
  </si>
  <si>
    <t>10510222</t>
  </si>
  <si>
    <t>PP KAISAR 08 20X32 1KG</t>
  </si>
  <si>
    <t>10510162</t>
  </si>
  <si>
    <t>PP KAISAR 08 23X38 1KG</t>
  </si>
  <si>
    <t>10510129</t>
  </si>
  <si>
    <t>PP MEDAN 05 13X40</t>
  </si>
  <si>
    <t>10510245</t>
  </si>
  <si>
    <t>PP ROYAL SM SHEET 15X15X0,5</t>
  </si>
  <si>
    <t>10510246</t>
  </si>
  <si>
    <t>PP ROYAL SM SHEET 17X17X0,5</t>
  </si>
  <si>
    <t>10510046</t>
  </si>
  <si>
    <t>PP WAYANG 10X15</t>
  </si>
  <si>
    <t>10530044</t>
  </si>
  <si>
    <t>PP WAYANG 10X17</t>
  </si>
  <si>
    <t>10510047</t>
  </si>
  <si>
    <t>PP WAYANG 10X20</t>
  </si>
  <si>
    <t>10510048</t>
  </si>
  <si>
    <t>PP WAYANG 11X20</t>
  </si>
  <si>
    <t>10510209</t>
  </si>
  <si>
    <t>PP WAYANG 11X22</t>
  </si>
  <si>
    <t>10510049</t>
  </si>
  <si>
    <t>PP WAYANG 12X15</t>
  </si>
  <si>
    <t>10510050</t>
  </si>
  <si>
    <t>PP WAYANG 12X17</t>
  </si>
  <si>
    <t>10510051</t>
  </si>
  <si>
    <t>PP WAYANG 12X22</t>
  </si>
  <si>
    <t>10510052</t>
  </si>
  <si>
    <t>PP WAYANG 13X21</t>
  </si>
  <si>
    <t>10510053</t>
  </si>
  <si>
    <t>PP WAYANG 15X27</t>
  </si>
  <si>
    <t>10510055</t>
  </si>
  <si>
    <t>PP WAYANG 20X32</t>
  </si>
  <si>
    <t>10510054</t>
  </si>
  <si>
    <t>PP WAYANG 20X40</t>
  </si>
  <si>
    <t>10510151</t>
  </si>
  <si>
    <t>PP WAYANG 23X38</t>
  </si>
  <si>
    <t>10510056</t>
  </si>
  <si>
    <t>PP WAYANG 26X45</t>
  </si>
  <si>
    <t>10510057</t>
  </si>
  <si>
    <t>PP WAYANG 30X45</t>
  </si>
  <si>
    <t>10510058</t>
  </si>
  <si>
    <t>PP WAYANG 35X55</t>
  </si>
  <si>
    <t>10510059</t>
  </si>
  <si>
    <t>PP WAYANG 40X60</t>
  </si>
  <si>
    <t>10510210</t>
  </si>
  <si>
    <t>PP WAYANG 40X70</t>
  </si>
  <si>
    <t>10510060</t>
  </si>
  <si>
    <t>PP WAYANG 45X75</t>
  </si>
  <si>
    <t>10510204</t>
  </si>
  <si>
    <t>PP WAYANG 60X100</t>
  </si>
  <si>
    <t>10510153</t>
  </si>
  <si>
    <t>PP WAYANG 6X10</t>
  </si>
  <si>
    <t>10510154</t>
  </si>
  <si>
    <t>PP WAYANG 6X15</t>
  </si>
  <si>
    <t>10510155</t>
  </si>
  <si>
    <t>PP WAYANG 6X8</t>
  </si>
  <si>
    <t>10510061</t>
  </si>
  <si>
    <t>PP WAYANG 7X11</t>
  </si>
  <si>
    <t>10510062</t>
  </si>
  <si>
    <t>PP WAYANG 7X13</t>
  </si>
  <si>
    <t>10510069</t>
  </si>
  <si>
    <t>PP WAYANG 7X15</t>
  </si>
  <si>
    <t>10510063</t>
  </si>
  <si>
    <t>PP WAYANG 7X9</t>
  </si>
  <si>
    <t>10510064</t>
  </si>
  <si>
    <t>PP WAYANG 8X11</t>
  </si>
  <si>
    <t>10510065</t>
  </si>
  <si>
    <t>PP WAYANG 8X13</t>
  </si>
  <si>
    <t>10510102</t>
  </si>
  <si>
    <t>PP WAYANG 8X15</t>
  </si>
  <si>
    <t>10510066</t>
  </si>
  <si>
    <t>PP WAYANG 9X13</t>
  </si>
  <si>
    <t>10510067</t>
  </si>
  <si>
    <t>PP WAYANG 9X14</t>
  </si>
  <si>
    <t>10510103</t>
  </si>
  <si>
    <t>PP WAYANG 9X15</t>
  </si>
  <si>
    <t>10510068</t>
  </si>
  <si>
    <t>PP WAYANG 9X17</t>
  </si>
  <si>
    <t>8997217690167</t>
  </si>
  <si>
    <t>PRAMA HIJAU KACANG KEDELAI 1KG</t>
  </si>
  <si>
    <t>10424084</t>
  </si>
  <si>
    <t>PREMIUM SIL BRUSH DCT216</t>
  </si>
  <si>
    <t>8997023761761</t>
  </si>
  <si>
    <t>PRENDJAK TEH CELUP 100GR 50S</t>
  </si>
  <si>
    <t>8997023760481</t>
  </si>
  <si>
    <t>PRENDJAK TEH CELUP 200GR 100S</t>
  </si>
  <si>
    <t>8997023760016</t>
  </si>
  <si>
    <t>PRENDJAK TEH CELUP 50X25X2GR</t>
  </si>
  <si>
    <t>8997023760207</t>
  </si>
  <si>
    <t>PRENDJAK TEH HITAM BBK 100GR</t>
  </si>
  <si>
    <t>8997023760627</t>
  </si>
  <si>
    <t>PRENDJAK TEH HITAM BBK 1KG</t>
  </si>
  <si>
    <t>8997023761488</t>
  </si>
  <si>
    <t>PRENDJAK TEH TARIK 105GR 5S</t>
  </si>
  <si>
    <t>8997023761501</t>
  </si>
  <si>
    <t>PRENDJAK TEH TARIK 460GR 20S</t>
  </si>
  <si>
    <t>3228020355741</t>
  </si>
  <si>
    <t>PRESIDENT FRENCH BUTTER SALTED 200GR</t>
  </si>
  <si>
    <t>3228022910023</t>
  </si>
  <si>
    <t>PRESIDENT FRENCH BUTTER UNSALTED 200GR</t>
  </si>
  <si>
    <t>10422573</t>
  </si>
  <si>
    <t>PRESS KENTANG STAINLES</t>
  </si>
  <si>
    <t>10422853</t>
  </si>
  <si>
    <t>PRESS SEALER PFS300 MATRIX</t>
  </si>
  <si>
    <t>8851019510460</t>
  </si>
  <si>
    <t>PRETZ CHICKEN BBQ 31GR</t>
  </si>
  <si>
    <t>8851019510514</t>
  </si>
  <si>
    <t>PRETZ ORIGINAL 31GR</t>
  </si>
  <si>
    <t>9916500114110</t>
  </si>
  <si>
    <t>PRIMA BAKSO SAPI KECIL 360GR</t>
  </si>
  <si>
    <t>8999510785472</t>
  </si>
  <si>
    <t>PRISTINE 12X1500ML</t>
  </si>
  <si>
    <t>8999510785465</t>
  </si>
  <si>
    <t>PRISTINE 24X600ML</t>
  </si>
  <si>
    <t>8999510785540</t>
  </si>
  <si>
    <t>PRISTINE 400ML</t>
  </si>
  <si>
    <t>8997014450575</t>
  </si>
  <si>
    <t>PROCHIZ MAYO 250ML</t>
  </si>
  <si>
    <t>8997021220253</t>
  </si>
  <si>
    <t>PRONAS ABON SAPI BAWANG 100GR</t>
  </si>
  <si>
    <t>8997021220154</t>
  </si>
  <si>
    <t>PRONAS ABON SAPI ORI 110GR</t>
  </si>
  <si>
    <t>8997021220161</t>
  </si>
  <si>
    <t>PRONAS ABON SAPI PEDAS 100GR</t>
  </si>
  <si>
    <t>8992804901497</t>
  </si>
  <si>
    <t>PRONAS BUMBU GADO-GADO 185GR</t>
  </si>
  <si>
    <t>8992804151205</t>
  </si>
  <si>
    <t>PRONAS BUMBU NASI GORENG AYAM 110GR</t>
  </si>
  <si>
    <t>8992804151212</t>
  </si>
  <si>
    <t>PRONAS BUMBU NASI GORENG SAPI 110GR</t>
  </si>
  <si>
    <t>8992804900254</t>
  </si>
  <si>
    <t>PRONAS CORNED BEEF 120GR</t>
  </si>
  <si>
    <t>8992804119816</t>
  </si>
  <si>
    <t>PRONAS CORNED BEEF 198GR</t>
  </si>
  <si>
    <t>8992804113401</t>
  </si>
  <si>
    <t>PRONAS CORNED BEEF 340GR</t>
  </si>
  <si>
    <t>8992804900841</t>
  </si>
  <si>
    <t>PRONAS CORNED BEEF 50GR</t>
  </si>
  <si>
    <t>8992804900407</t>
  </si>
  <si>
    <t>PRONAS CORNED BEEF CHILI 198GR</t>
  </si>
  <si>
    <t>8992804900414</t>
  </si>
  <si>
    <t>PRONAS CORNED BEEF CHILI 340GR</t>
  </si>
  <si>
    <t>8992804900889</t>
  </si>
  <si>
    <t>PRONAS CORNED BEEF CHILI 50GR</t>
  </si>
  <si>
    <t>8992804900834</t>
  </si>
  <si>
    <t>PRONAS CORNED BEEF COMBINATION 50GR</t>
  </si>
  <si>
    <t>8992804902821</t>
  </si>
  <si>
    <t>PRONAS CORNED BEEF MASHROM 198 GRAM</t>
  </si>
  <si>
    <t>8992804902944</t>
  </si>
  <si>
    <t>PRONAS CORNED BEEF MASHROM 340 GRAM</t>
  </si>
  <si>
    <t>8992804901213</t>
  </si>
  <si>
    <t>PRONAS CORNED CHIKEN 198GR</t>
  </si>
  <si>
    <t>8992804901220</t>
  </si>
  <si>
    <t>PRONAS CORNED CHIKEN 340GR</t>
  </si>
  <si>
    <t>8997021220000</t>
  </si>
  <si>
    <t>PRONAS CREAM STYLE CORN 410GR</t>
  </si>
  <si>
    <t>8992804900643</t>
  </si>
  <si>
    <t>PRONAS KORNETKU BEEF 200G</t>
  </si>
  <si>
    <t>8992804900810</t>
  </si>
  <si>
    <t>PRONAS LUNCHEON BEEF 198GR</t>
  </si>
  <si>
    <t>8992804900827</t>
  </si>
  <si>
    <t>PRONAS LUNCHEON BEEF 340GR</t>
  </si>
  <si>
    <t>8992804901183</t>
  </si>
  <si>
    <t>PRONAS LUNCHEON CHICKEN 198GR</t>
  </si>
  <si>
    <t>8992804901190</t>
  </si>
  <si>
    <t>PRONAS LUNCHEON CHICKEN 340GR</t>
  </si>
  <si>
    <t>8997021220048</t>
  </si>
  <si>
    <t>PRONAS LYCHEE 510GR</t>
  </si>
  <si>
    <t>8992804900742</t>
  </si>
  <si>
    <t>PRONAS MAKAREL SAUS PEDAS 155GR</t>
  </si>
  <si>
    <t>8992804900759</t>
  </si>
  <si>
    <t>PRONAS MAKAREL SAUS PEDAS 425GR</t>
  </si>
  <si>
    <t>8992804900605</t>
  </si>
  <si>
    <t>PRONAS MAKAREL SAUS TOMAT 155GR</t>
  </si>
  <si>
    <t>8992804900612</t>
  </si>
  <si>
    <t>PRONAS MAKAREL SAUS TOMAT 425GR</t>
  </si>
  <si>
    <t>8997021220369</t>
  </si>
  <si>
    <t>PRONAS MUSHROOM 400GR</t>
  </si>
  <si>
    <t>8997021220086</t>
  </si>
  <si>
    <t>PRONAS PASTAMIA MAKARONI ELBWO 200GR</t>
  </si>
  <si>
    <t>8997021220079</t>
  </si>
  <si>
    <t>PRONAS PASTAMIA MAKARONI ELBWO 500GR</t>
  </si>
  <si>
    <t>8997021220185</t>
  </si>
  <si>
    <t>PRONAS PASTAMIA SPAGHETTI 200GR</t>
  </si>
  <si>
    <t>8997021220055</t>
  </si>
  <si>
    <t>PRONAS PASTAMIA SPAGHETTI 500GR</t>
  </si>
  <si>
    <t>8992804901480</t>
  </si>
  <si>
    <t>PRONAS SAMBAL PECEL PEDAS 185GR</t>
  </si>
  <si>
    <t>8992804900568</t>
  </si>
  <si>
    <t>PRONAS SARDEN SAUS PEDAS 155GR</t>
  </si>
  <si>
    <t>8992804900575</t>
  </si>
  <si>
    <t>PRONAS SARDEN SAUS PEDAS 425GR</t>
  </si>
  <si>
    <t>8992820115519</t>
  </si>
  <si>
    <t>PRONAS SARDEN SAUS TOMAT 155GR</t>
  </si>
  <si>
    <t>8992820114260</t>
  </si>
  <si>
    <t>PRONAS SARDEN SAUS TOMAT 425GR</t>
  </si>
  <si>
    <t>8992804901251</t>
  </si>
  <si>
    <t>PRONAS SAUS BBQ 175GR</t>
  </si>
  <si>
    <t>8992804901268</t>
  </si>
  <si>
    <t>PRONAS SAUS LADA HITAM 175GR</t>
  </si>
  <si>
    <t>8992804000473</t>
  </si>
  <si>
    <t>PRONAS SAUS SPAGHETI AYAM 175GR</t>
  </si>
  <si>
    <t>8992804000480</t>
  </si>
  <si>
    <t>PRONAS SAUS SPAGHETI AYAM 315GR</t>
  </si>
  <si>
    <t>8992804000459</t>
  </si>
  <si>
    <t>PRONAS SAUS SPAGHETI SAPI 175GR</t>
  </si>
  <si>
    <t>8992804000466</t>
  </si>
  <si>
    <t>PRONAS SAUS SPAGHETI SAPI 315GR</t>
  </si>
  <si>
    <t>8992804901244</t>
  </si>
  <si>
    <t>PRONAS SAUS TERIYAKI 175GR</t>
  </si>
  <si>
    <t>8993297834880</t>
  </si>
  <si>
    <t>PRONAS TUNA CHUNK IN BRINE 185GR</t>
  </si>
  <si>
    <t>8993297834514</t>
  </si>
  <si>
    <t>PRONAS TUNA CHUNK IN OIL 185GR</t>
  </si>
  <si>
    <t>8997021220352</t>
  </si>
  <si>
    <t>PRONAS TUNA SAMBAL GORENG 185GR</t>
  </si>
  <si>
    <t>8997021220017</t>
  </si>
  <si>
    <t>PRONAS WHOLE KERNEL SWEET CORN 425GR</t>
  </si>
  <si>
    <t>8993328000048</t>
  </si>
  <si>
    <t>PROTEINA 250GR</t>
  </si>
  <si>
    <t>10411696</t>
  </si>
  <si>
    <t>PRUNES 1KG</t>
  </si>
  <si>
    <t>10411697</t>
  </si>
  <si>
    <t>PRUNES 250G</t>
  </si>
  <si>
    <t>10412347</t>
  </si>
  <si>
    <t>PRUNES GOOD VALLEY 10KG</t>
  </si>
  <si>
    <t>6936867216640</t>
  </si>
  <si>
    <t>PUDDING ART TOOLS B PA2</t>
  </si>
  <si>
    <t>10422238</t>
  </si>
  <si>
    <t>PUDDING ART TOOLS D PA4</t>
  </si>
  <si>
    <t>169129</t>
  </si>
  <si>
    <t>PUDDING ART TOOLS G PA7</t>
  </si>
  <si>
    <t>6958004012656</t>
  </si>
  <si>
    <t>PUFF PAN GOLD 12CUP L120012 LISSE SC</t>
  </si>
  <si>
    <t>10100082</t>
  </si>
  <si>
    <t>PULO SARI 1KG</t>
  </si>
  <si>
    <t>10100180</t>
  </si>
  <si>
    <t>PULO SARI 50GR</t>
  </si>
  <si>
    <t>8993163214518</t>
  </si>
  <si>
    <t>PULPIES TISSUE NAPKIN 100S</t>
  </si>
  <si>
    <t>8993163514519</t>
  </si>
  <si>
    <t>PULPIES TISSUE POP UP</t>
  </si>
  <si>
    <t>8993163114511</t>
  </si>
  <si>
    <t>PULPIES TOILET TISSUE ROLL ON</t>
  </si>
  <si>
    <t>8997026852749</t>
  </si>
  <si>
    <t>PURATOS CARAT COVER DARK 1KG</t>
  </si>
  <si>
    <t>8997026851971</t>
  </si>
  <si>
    <t>PURATOS CARAT COVERLUX DARK 1KG</t>
  </si>
  <si>
    <t>8997026851988</t>
  </si>
  <si>
    <t>PURATOS CARAT COVERLUX DARK 2.5KG</t>
  </si>
  <si>
    <t>8997026853968</t>
  </si>
  <si>
    <t>PURATOS CARAT SUPERCREM 1KG</t>
  </si>
  <si>
    <t>8997026851407</t>
  </si>
  <si>
    <t>PURATOS CARAT SUPERCREM MALTO CRUNCH 1KG</t>
  </si>
  <si>
    <t>8997026855078</t>
  </si>
  <si>
    <t>PURATOS CARAT SUPERCRM HAZELNUT 1KG</t>
  </si>
  <si>
    <t>8997026850202</t>
  </si>
  <si>
    <t>PURATOS COLDFIL BB 1KG</t>
  </si>
  <si>
    <t>8997026850134</t>
  </si>
  <si>
    <t>PURATOS COLDFIL STRAWBERRY 1KG</t>
  </si>
  <si>
    <t>8997026853685</t>
  </si>
  <si>
    <t>PURATOS CREMFIL BANANA 1KG</t>
  </si>
  <si>
    <t>8997026850417</t>
  </si>
  <si>
    <t>PURATOS CREMFIL CLASSIC CHEESE 1KG</t>
  </si>
  <si>
    <t>8997026853715</t>
  </si>
  <si>
    <t>PURATOS CREMFIL DURIAN 1KG</t>
  </si>
  <si>
    <t>8997026850431</t>
  </si>
  <si>
    <t>PURATOS CREMFIL DURIAN 5KG</t>
  </si>
  <si>
    <t>8997026853678</t>
  </si>
  <si>
    <t>PURATOS CREMFIL VANILLA 1KG</t>
  </si>
  <si>
    <t>8997026850486</t>
  </si>
  <si>
    <t>PURATOS CREMFIL VANILLA 5KG</t>
  </si>
  <si>
    <t>8997026851513</t>
  </si>
  <si>
    <t>PURATOS DECORFIL SARIKAYA 1KG</t>
  </si>
  <si>
    <t>5410687168620</t>
  </si>
  <si>
    <t>PURATOS FESTIPAK TOPPING 1L</t>
  </si>
  <si>
    <t>10420708</t>
  </si>
  <si>
    <t>PURATOS RED VELVET 1/2KG</t>
  </si>
  <si>
    <t>10420706</t>
  </si>
  <si>
    <t>PURATOS RED VELVET 1KG</t>
  </si>
  <si>
    <t>10410748</t>
  </si>
  <si>
    <t>PURATOS RED VELVET 250G</t>
  </si>
  <si>
    <t>8997026852251</t>
  </si>
  <si>
    <t>PURATOS S500 ACTI PLUS 500GR</t>
  </si>
  <si>
    <t>8997026851667</t>
  </si>
  <si>
    <t>PURATOS SOFTR COTTON A-P 500GR</t>
  </si>
  <si>
    <t>10410605</t>
  </si>
  <si>
    <t>PURAVITA GANDUM 1/2KG</t>
  </si>
  <si>
    <t>8997026853302</t>
  </si>
  <si>
    <t>PURAVITA GANDUM 10KG</t>
  </si>
  <si>
    <t>10410583</t>
  </si>
  <si>
    <t>PURAVITA GANDUM 1KG</t>
  </si>
  <si>
    <t>10410728</t>
  </si>
  <si>
    <t>PUSAKA BAKER FAT 1/2KG</t>
  </si>
  <si>
    <t>10410727</t>
  </si>
  <si>
    <t>PUSAKA BAKER FAT 1KG</t>
  </si>
  <si>
    <t>10427031</t>
  </si>
  <si>
    <t>PUTRI BAJU MM PI57-1</t>
  </si>
  <si>
    <t>10427032</t>
  </si>
  <si>
    <t>PUTRI BAJU MM PITA PI57-2</t>
  </si>
  <si>
    <t>10424842</t>
  </si>
  <si>
    <t>PUTRI BAJU PUTIH 1S PI42PT</t>
  </si>
  <si>
    <t>10422278</t>
  </si>
  <si>
    <t>PUTRI BEUTY PI1</t>
  </si>
  <si>
    <t>10423746</t>
  </si>
  <si>
    <t>PUTRI CINDERELLA BR 11.5CM P110</t>
  </si>
  <si>
    <t>10422279</t>
  </si>
  <si>
    <t>PUTRI CINDERELLA PI2</t>
  </si>
  <si>
    <t>10422588</t>
  </si>
  <si>
    <t>PUTRI DISNEY CPR SET7 P125</t>
  </si>
  <si>
    <t>10422587</t>
  </si>
  <si>
    <t>PUTRI DISNEY SET5 P109</t>
  </si>
  <si>
    <t>10422280</t>
  </si>
  <si>
    <t>PUTRI SALJU PI4</t>
  </si>
  <si>
    <t>10423724</t>
  </si>
  <si>
    <t>PUTRI SHOPIA + DISNEY SET 6 PI29</t>
  </si>
  <si>
    <t>10422263</t>
  </si>
  <si>
    <t>PUTRI SLEEPING PI5</t>
  </si>
  <si>
    <t>9555119801334</t>
  </si>
  <si>
    <t>PUTU MAYONG NO.133</t>
  </si>
  <si>
    <t>9556174802229</t>
  </si>
  <si>
    <t>QUAKER COOKING OATMEAL 200GR</t>
  </si>
  <si>
    <t>9556174802205</t>
  </si>
  <si>
    <t>QUAKER COOKING OATMEAL 800GR</t>
  </si>
  <si>
    <t>8997020180350</t>
  </si>
  <si>
    <t>QUAKER OATMEAL 1200GR</t>
  </si>
  <si>
    <t>9556174802236</t>
  </si>
  <si>
    <t>QUAKER OATMEAL 200GR</t>
  </si>
  <si>
    <t>9556174802212</t>
  </si>
  <si>
    <t>QUAKER OATMEAL 800GR</t>
  </si>
  <si>
    <t>4892347004386</t>
  </si>
  <si>
    <t>QUAKER ROLLED OATS 800GR</t>
  </si>
  <si>
    <t>089686386394</t>
  </si>
  <si>
    <t>RACIK AYAM GORENG MENTEGA 50GR</t>
  </si>
  <si>
    <t>5413066000061</t>
  </si>
  <si>
    <t>RAGI INS BRUGGEMAN 11GR</t>
  </si>
  <si>
    <t>6917790978751</t>
  </si>
  <si>
    <t>RAGI INS EAGLE 500GR</t>
  </si>
  <si>
    <t>9556248302891</t>
  </si>
  <si>
    <t>RAGI INS MAURIPAN IMPORT 12GR</t>
  </si>
  <si>
    <t>9556248303171</t>
  </si>
  <si>
    <t>RAGI INS MAURIPAN KANGGURU 125GR</t>
  </si>
  <si>
    <t>6973791066255</t>
  </si>
  <si>
    <t>RAGI INS MAURIPAN KANGGURU 12GR</t>
  </si>
  <si>
    <t>6973791067078</t>
  </si>
  <si>
    <t>RAGI INS MAURIPAN KANGURU 500GR</t>
  </si>
  <si>
    <t>8935012911025</t>
  </si>
  <si>
    <t>8995002802047</t>
  </si>
  <si>
    <t>RAGI INS MAURIPAN LOKAL 12GR</t>
  </si>
  <si>
    <t>8995002802016</t>
  </si>
  <si>
    <t>RAGI INS MAURIPAN LOKAL 500GR</t>
  </si>
  <si>
    <t>9556248301689</t>
  </si>
  <si>
    <t>RAGI INS MAURIPAN PLATINUM 500GR</t>
  </si>
  <si>
    <t>6973791063247</t>
  </si>
  <si>
    <t>RAGI INS MAURIPAN PRINT 500GR</t>
  </si>
  <si>
    <t>3516668370005</t>
  </si>
  <si>
    <t>RAGI INS NEVADA 500GR</t>
  </si>
  <si>
    <t>8992786601224</t>
  </si>
  <si>
    <t>RAGI INS PONDAN 11GR</t>
  </si>
  <si>
    <t>9556248302952</t>
  </si>
  <si>
    <t>RAGI INS PRIME 500GR</t>
  </si>
  <si>
    <t>6953204599228</t>
  </si>
  <si>
    <t>6973791064336</t>
  </si>
  <si>
    <t>RAGI INS SAF BLUE 500GR</t>
  </si>
  <si>
    <t>10200109</t>
  </si>
  <si>
    <t>RAGI TAPAI NKL</t>
  </si>
  <si>
    <t>10410878</t>
  </si>
  <si>
    <t>RAGI TEMPE</t>
  </si>
  <si>
    <t>10422604</t>
  </si>
  <si>
    <t>RAK KUE BESI YZ1817</t>
  </si>
  <si>
    <t>10422601</t>
  </si>
  <si>
    <t>RAK KUE OVAL 4 TK31234</t>
  </si>
  <si>
    <t>10422241</t>
  </si>
  <si>
    <t>RAK KUE PUTIH TK8123</t>
  </si>
  <si>
    <t>8992717900549</t>
  </si>
  <si>
    <t>RASA MASA IKAN GORENG 20GR</t>
  </si>
  <si>
    <t>8992717900518</t>
  </si>
  <si>
    <t>RASA MASA NASI GORENG 20GR</t>
  </si>
  <si>
    <t>8992717900488</t>
  </si>
  <si>
    <t>RASA MASA OPOR AYAM 40GR</t>
  </si>
  <si>
    <t>8992717900464</t>
  </si>
  <si>
    <t>RASA MASA SAYUR LODEH 25GR</t>
  </si>
  <si>
    <t>8992717900532</t>
  </si>
  <si>
    <t>RASA MASA TEMPE TAHU GORENG 20GR</t>
  </si>
  <si>
    <t>10412370</t>
  </si>
  <si>
    <t>RATTU CREAMER 1KG</t>
  </si>
  <si>
    <t>8994060100119</t>
  </si>
  <si>
    <t>RED BELL ALPUKAT</t>
  </si>
  <si>
    <t>8994060100027</t>
  </si>
  <si>
    <t>RED BELL COFEE MOCCA</t>
  </si>
  <si>
    <t>8994060100089</t>
  </si>
  <si>
    <t>RED BELL COKELAT</t>
  </si>
  <si>
    <t>8994060100287</t>
  </si>
  <si>
    <t>RED BELL DARK COKLAT</t>
  </si>
  <si>
    <t>8994060100041</t>
  </si>
  <si>
    <t>RED BELL DOGER</t>
  </si>
  <si>
    <t>8994060100072</t>
  </si>
  <si>
    <t>RED BELL DURIAN KUNING</t>
  </si>
  <si>
    <t>8994060100300</t>
  </si>
  <si>
    <t>RED BELL DURIAN PUTIH</t>
  </si>
  <si>
    <t>8994060100157</t>
  </si>
  <si>
    <t>RED BELL GRAPE</t>
  </si>
  <si>
    <t>8994060100256</t>
  </si>
  <si>
    <t>RED BELL JERUK KEPROK 55ML</t>
  </si>
  <si>
    <t>8994060100171</t>
  </si>
  <si>
    <t>RED BELL LECI</t>
  </si>
  <si>
    <t>8994060100188</t>
  </si>
  <si>
    <t>RED BELL MANGGA 55ML</t>
  </si>
  <si>
    <t>8994060100102</t>
  </si>
  <si>
    <t>RED BELL MELON</t>
  </si>
  <si>
    <t>8994060100058</t>
  </si>
  <si>
    <t>RED BELL NANAS</t>
  </si>
  <si>
    <t>8994060100096</t>
  </si>
  <si>
    <t>RED BELL NANGKA</t>
  </si>
  <si>
    <t>8994060100010</t>
  </si>
  <si>
    <t>RED BELL ORANGE SPCL</t>
  </si>
  <si>
    <t>8994060100133</t>
  </si>
  <si>
    <t>RED BELL PISANG AMBON</t>
  </si>
  <si>
    <t>8994060100355</t>
  </si>
  <si>
    <t>RED BELL RED VELVET</t>
  </si>
  <si>
    <t>8994060100164</t>
  </si>
  <si>
    <t>RED BELL SANTA MERAH 55ML</t>
  </si>
  <si>
    <t>8994060100065</t>
  </si>
  <si>
    <t>RED BELL STRAWBERRY</t>
  </si>
  <si>
    <t>8993226112508</t>
  </si>
  <si>
    <t>REFINA GARAM 250GR</t>
  </si>
  <si>
    <t>8993226125003</t>
  </si>
  <si>
    <t>REFINA GARAM 500GR</t>
  </si>
  <si>
    <t>8852756303087</t>
  </si>
  <si>
    <t>RICE KRISPIES 130GR</t>
  </si>
  <si>
    <t>8997227879811</t>
  </si>
  <si>
    <t>RICE NOODLES 200GR</t>
  </si>
  <si>
    <t>8997227876995</t>
  </si>
  <si>
    <t>RICE PAPER BULAT 100GR 10S</t>
  </si>
  <si>
    <t>8997227877008</t>
  </si>
  <si>
    <t>RICE PAPER BULAT 200GR 20S</t>
  </si>
  <si>
    <t>8997227877039</t>
  </si>
  <si>
    <t>RICE PAPER BULAT 500GR 50S</t>
  </si>
  <si>
    <t>8997227878319</t>
  </si>
  <si>
    <t>RICE PAPER PETAK 100GR 10S</t>
  </si>
  <si>
    <t>8997227878326</t>
  </si>
  <si>
    <t>RICE PAPER PETAK 200GR 20S</t>
  </si>
  <si>
    <t>8997227878302</t>
  </si>
  <si>
    <t>RICE PAPER PETAK 500GR 50S</t>
  </si>
  <si>
    <t>049800172838</t>
  </si>
  <si>
    <t>RICHS BETTERCREME 907GR</t>
  </si>
  <si>
    <t>0049800063570</t>
  </si>
  <si>
    <t>RICHS CHOCOLATE 907G</t>
  </si>
  <si>
    <t>049800224537</t>
  </si>
  <si>
    <t>RICHS ICEHOT NON-DAIRY CREAMER 500GR</t>
  </si>
  <si>
    <t>0049800177031</t>
  </si>
  <si>
    <t>RICHS VALUE PRIDE 907 GR</t>
  </si>
  <si>
    <t>10425509</t>
  </si>
  <si>
    <t>RING CUTER BULAT 10X3</t>
  </si>
  <si>
    <t>10411642</t>
  </si>
  <si>
    <t>RING CUTER BULAT 8X3</t>
  </si>
  <si>
    <t>10411644</t>
  </si>
  <si>
    <t>RING CUTER OVAL 10X6X3</t>
  </si>
  <si>
    <t>10411643</t>
  </si>
  <si>
    <t>RING CUTER OVAL 11X7X3</t>
  </si>
  <si>
    <t>10430103</t>
  </si>
  <si>
    <t>RING CUTTER 15X5X2.5</t>
  </si>
  <si>
    <t>10425925</t>
  </si>
  <si>
    <t>RING CUTTER SET 3 PL 1</t>
  </si>
  <si>
    <t>7622202304392</t>
  </si>
  <si>
    <t>RITZ CRACKERS CHEESE 27GR</t>
  </si>
  <si>
    <t>8992760211029</t>
  </si>
  <si>
    <t>RITZ CRACKERS ORIGINAL 100GR</t>
  </si>
  <si>
    <t>6940033410824</t>
  </si>
  <si>
    <t>ROCK CANDY LUMP SUGAR 400GR</t>
  </si>
  <si>
    <t>10423782</t>
  </si>
  <si>
    <t>ROL PIN STAIN GOLD ROL0008 LISSE</t>
  </si>
  <si>
    <t>10423783</t>
  </si>
  <si>
    <t>ROL PIN STAIN ROSEGOLD ROL0009 LISSE</t>
  </si>
  <si>
    <t>10423541</t>
  </si>
  <si>
    <t>ROLLING KAYU 22CM GI012</t>
  </si>
  <si>
    <t>6920761665888</t>
  </si>
  <si>
    <t>ROLLING KAYU 28CM GI013</t>
  </si>
  <si>
    <t>6920761668681</t>
  </si>
  <si>
    <t>ROLLING PIN KAYU CHRISMAS 35CM ROL0025</t>
  </si>
  <si>
    <t>060107153320</t>
  </si>
  <si>
    <t>ROLLING PIN PASTRY 001 ROL0028</t>
  </si>
  <si>
    <t>55434638</t>
  </si>
  <si>
    <t>ROLLING PIN PVC 30CM</t>
  </si>
  <si>
    <t>10426604</t>
  </si>
  <si>
    <t>ROLLING PIN SIL GG KAYU 10CM</t>
  </si>
  <si>
    <t>10426609</t>
  </si>
  <si>
    <t>ROLLING PIN SIL GG KAYU 18CM</t>
  </si>
  <si>
    <t>10426610</t>
  </si>
  <si>
    <t>ROLLING PIN SIL GG KAYU 19CM</t>
  </si>
  <si>
    <t>10425948</t>
  </si>
  <si>
    <t>ROLLING PIN SIL GG KAYU 24CM</t>
  </si>
  <si>
    <t>10427353</t>
  </si>
  <si>
    <t>ROLLING PIN SILIKON MEDIUM</t>
  </si>
  <si>
    <t>10426001</t>
  </si>
  <si>
    <t>ROLLING S/S STICK SILICONE 26,4X2,6CM</t>
  </si>
  <si>
    <t>10426611</t>
  </si>
  <si>
    <t>ROLLPIN KAYU 20CM</t>
  </si>
  <si>
    <t>10426836</t>
  </si>
  <si>
    <t>ROLLPIN KAYU 27CM</t>
  </si>
  <si>
    <t>10426612</t>
  </si>
  <si>
    <t>ROLLPIN KAYU 30CM</t>
  </si>
  <si>
    <t>10426613</t>
  </si>
  <si>
    <t>ROLLPIN KAYU 40CM</t>
  </si>
  <si>
    <t>8993093666272</t>
  </si>
  <si>
    <t>ROSE BRAND MENTEGA 200GR</t>
  </si>
  <si>
    <t>8993093665855</t>
  </si>
  <si>
    <t>ROSE BRAND SANTAN 200ML</t>
  </si>
  <si>
    <t>8993093665848</t>
  </si>
  <si>
    <t>ROSE BRAND SANTAN 65ML</t>
  </si>
  <si>
    <t>9555119802072</t>
  </si>
  <si>
    <t>ROTI JALA NO. 207</t>
  </si>
  <si>
    <t>9555119802089</t>
  </si>
  <si>
    <t>ROTI JALA NO. 208</t>
  </si>
  <si>
    <t>6971824952103</t>
  </si>
  <si>
    <t>ROWN CUTTER 10CM SET4 YR1822-3</t>
  </si>
  <si>
    <t>8992205265006</t>
  </si>
  <si>
    <t>ROYAL KACANG HIJAU 500GR</t>
  </si>
  <si>
    <t>8992205365003</t>
  </si>
  <si>
    <t>ROYAL KACANG HIJAU KUPAS 500GR</t>
  </si>
  <si>
    <t>8992205165009</t>
  </si>
  <si>
    <t>ROYAL KACANG MERAH 500GR</t>
  </si>
  <si>
    <t>10412389</t>
  </si>
  <si>
    <t>ROYAL KRONE BOS UNSALTED 1/2KG</t>
  </si>
  <si>
    <t>8993037613140</t>
  </si>
  <si>
    <t>ROYAL KRONE BOS UNSALTED 18KG</t>
  </si>
  <si>
    <t>10412388</t>
  </si>
  <si>
    <t>ROYAL KRONE BOS UNSALTED 1KG</t>
  </si>
  <si>
    <t>ROYAL PALMIA 200GR</t>
  </si>
  <si>
    <t>8999999516208</t>
  </si>
  <si>
    <t>ROYCO AYAM 220G</t>
  </si>
  <si>
    <t>8999999523763</t>
  </si>
  <si>
    <t>ROYCO AYAM 460G</t>
  </si>
  <si>
    <t>8999999601331</t>
  </si>
  <si>
    <t>ROYCO AYAM 8GR</t>
  </si>
  <si>
    <t>8999999192150</t>
  </si>
  <si>
    <t>ROYCO AYAM 94GR</t>
  </si>
  <si>
    <t>8999999615734</t>
  </si>
  <si>
    <t>8999999549701</t>
  </si>
  <si>
    <t>ROYCO AYAM SAUS TELUR ASIN 22R</t>
  </si>
  <si>
    <t>8999999576493</t>
  </si>
  <si>
    <t>ROYCO KALDU AYAM 40GR</t>
  </si>
  <si>
    <t>8999999557041</t>
  </si>
  <si>
    <t>ROYCO KALDU JAMUR 170GR</t>
  </si>
  <si>
    <t>8999999557058</t>
  </si>
  <si>
    <t>ROYCO KALDU JAMUR 40GR</t>
  </si>
  <si>
    <t>8999999035976</t>
  </si>
  <si>
    <t>ROYCO KUAH BAKSO 100G</t>
  </si>
  <si>
    <t>8999999516215</t>
  </si>
  <si>
    <t>ROYCO SAPI 220G</t>
  </si>
  <si>
    <t>8999999523770</t>
  </si>
  <si>
    <t>ROYCO SAPI 460G</t>
  </si>
  <si>
    <t>8999999601348</t>
  </si>
  <si>
    <t>ROYCO SAPI 8GR</t>
  </si>
  <si>
    <t>8999999502409</t>
  </si>
  <si>
    <t>8999999192198</t>
  </si>
  <si>
    <t>ROYCO SAPI 94G</t>
  </si>
  <si>
    <t>8999999576967</t>
  </si>
  <si>
    <t>ROYCO SAUS TIRAM 135ML</t>
  </si>
  <si>
    <t>8999999576950</t>
  </si>
  <si>
    <t>ROYCO SAUS TIRAM 275ML</t>
  </si>
  <si>
    <t>8999999537982</t>
  </si>
  <si>
    <t>ROYCO SUP KRIM KEPITING&amp;JAGUNG 48X44GR</t>
  </si>
  <si>
    <t>8420701102575</t>
  </si>
  <si>
    <t>RS MINYAK ZAITUN 40ML</t>
  </si>
  <si>
    <t>8420701102322</t>
  </si>
  <si>
    <t>RS MINYAK ZAITUN 90ML</t>
  </si>
  <si>
    <t>10425069</t>
  </si>
  <si>
    <t>RUMPUT IMPORT 12S BU269</t>
  </si>
  <si>
    <t>10424828</t>
  </si>
  <si>
    <t>RUMPUT JARUM K 24S BU258</t>
  </si>
  <si>
    <t>10430063</t>
  </si>
  <si>
    <t>RUMPUT LAUT SUPER 1/2KG</t>
  </si>
  <si>
    <t>10430062</t>
  </si>
  <si>
    <t>RUMPUT LAUT SUPER 1KG</t>
  </si>
  <si>
    <t>10424838</t>
  </si>
  <si>
    <t>RUMPUT SET12 BU133</t>
  </si>
  <si>
    <t>8888111740006</t>
  </si>
  <si>
    <t>S&amp;W JAGUNG KALENG 425GR</t>
  </si>
  <si>
    <t>10427043</t>
  </si>
  <si>
    <t>S-201 MK BOX 14X12.5X7.5CM</t>
  </si>
  <si>
    <t>10422678</t>
  </si>
  <si>
    <t>SAFFRON 1GR</t>
  </si>
  <si>
    <t>8994458240250</t>
  </si>
  <si>
    <t>SAFIYA HIMALAYAN PINK 1KG</t>
  </si>
  <si>
    <t>8994458240229</t>
  </si>
  <si>
    <t>SAFIYA HIMALAYAN PINK 250GR</t>
  </si>
  <si>
    <t>8994458240236</t>
  </si>
  <si>
    <t>SAFIYA HIMALAYAN PINK 500GR</t>
  </si>
  <si>
    <t>10411488</t>
  </si>
  <si>
    <t>SAGA BEEF MINCED 1KG</t>
  </si>
  <si>
    <t>8999898975588</t>
  </si>
  <si>
    <t>SAGA BEEF PATTIES 450GR</t>
  </si>
  <si>
    <t>8999898975618</t>
  </si>
  <si>
    <t>SAGA SMOKED BEEF 250GR</t>
  </si>
  <si>
    <t>10410209</t>
  </si>
  <si>
    <t>SAGU MUTIARA AA 1/2KG</t>
  </si>
  <si>
    <t>10410105</t>
  </si>
  <si>
    <t>SAGU MUTIARA AA 250GR</t>
  </si>
  <si>
    <t>SAGU MUTIARA API ABADI 10KG</t>
  </si>
  <si>
    <t>10200378</t>
  </si>
  <si>
    <t>SAHARA DAGING SAPI PREMIUM 2KG</t>
  </si>
  <si>
    <t>8855362001132</t>
  </si>
  <si>
    <t>SAITON FISH SAUCE 200ML</t>
  </si>
  <si>
    <t>SAITON FISH SAUCE 750ML</t>
  </si>
  <si>
    <t>8992770074010</t>
  </si>
  <si>
    <t>SAJIKU AYAM GORENG 24GR</t>
  </si>
  <si>
    <t>8992770061072</t>
  </si>
  <si>
    <t>SAJIKU BAKWAN CRISPY 210GR</t>
  </si>
  <si>
    <t>8992770061065</t>
  </si>
  <si>
    <t>SAJIKU BAKWAN CRISPY 90GR</t>
  </si>
  <si>
    <t>8992770154033</t>
  </si>
  <si>
    <t>SAJIKU CAPCAY 20GR</t>
  </si>
  <si>
    <t>8992770061041</t>
  </si>
  <si>
    <t>SAJIKU GOLDEN CRISPY 200GR</t>
  </si>
  <si>
    <t>8992770074027</t>
  </si>
  <si>
    <t>SAJIKU IKAN GORENG 18GR</t>
  </si>
  <si>
    <t>8992770054012</t>
  </si>
  <si>
    <t>SAJIKU NASI GORENG AYAM20GR</t>
  </si>
  <si>
    <t>8992770054036</t>
  </si>
  <si>
    <t>SAJIKU NASI GORENG PEDAS 20GR</t>
  </si>
  <si>
    <t>8992770154019</t>
  </si>
  <si>
    <t>SAJIKU SAYUR ASEM 25GR</t>
  </si>
  <si>
    <t>8992770154026</t>
  </si>
  <si>
    <t>SAJIKU SAYUR SOP 19GR</t>
  </si>
  <si>
    <t>8992770084040</t>
  </si>
  <si>
    <t>SAJIKU SOTO AYAM 20GR</t>
  </si>
  <si>
    <t>8992770061034</t>
  </si>
  <si>
    <t>SAJIKU TPG BUMBU SERBAGUNA 40GR</t>
  </si>
  <si>
    <t>8992770084064</t>
  </si>
  <si>
    <t>SAJIKU TPG BUMBU SEBAGUNA 220GR</t>
  </si>
  <si>
    <t>8992770061010</t>
  </si>
  <si>
    <t>SAJIKU TPG BUMBU SERBAGUNA 75GR</t>
  </si>
  <si>
    <t>SAJIKU TPG BUMBU SERBAGUNA 900GR</t>
  </si>
  <si>
    <t>8997231540004</t>
  </si>
  <si>
    <t>SAKKU CHICKEN NUGGET 250GR</t>
  </si>
  <si>
    <t>8993883830012</t>
  </si>
  <si>
    <t>SAKTI TEPUNG ROTI 1KG</t>
  </si>
  <si>
    <t>8994461690028</t>
  </si>
  <si>
    <t>8993883830005</t>
  </si>
  <si>
    <t>SAKTI TEPUNG ROTI 200GR</t>
  </si>
  <si>
    <t>8994461690011</t>
  </si>
  <si>
    <t>10423665</t>
  </si>
  <si>
    <t>SALAD BOWL SET MBW0001 3 IN 1 BAKING</t>
  </si>
  <si>
    <t>8995027201603</t>
  </si>
  <si>
    <t>SALWA KOLANG KALING 360GR</t>
  </si>
  <si>
    <t>8997006540123</t>
  </si>
  <si>
    <t>SAMBAL CABE PAYUNG 600ML</t>
  </si>
  <si>
    <t>9310155001731</t>
  </si>
  <si>
    <t>SAN REMO ELBOWS 250GR</t>
  </si>
  <si>
    <t>9310155203838</t>
  </si>
  <si>
    <t>SAN REMO ELBOWS 500GR</t>
  </si>
  <si>
    <t>9310155101035</t>
  </si>
  <si>
    <t>SAN REMO FETTUCCINE 500GR</t>
  </si>
  <si>
    <t>9310155411929</t>
  </si>
  <si>
    <t>SAN REMO LASAGNA 250GR</t>
  </si>
  <si>
    <t>9310155170413</t>
  </si>
  <si>
    <t>SAN REMO PASTA SAUS TOMAT,ONION&amp;GARLIC</t>
  </si>
  <si>
    <t>9310155001724</t>
  </si>
  <si>
    <t>SAN REMO SPAGHETTI 250GR</t>
  </si>
  <si>
    <t>9310155100434</t>
  </si>
  <si>
    <t>SAN REMO SPAGHETTI 500GR</t>
  </si>
  <si>
    <t>9310155413411</t>
  </si>
  <si>
    <t>SAN REMO SPINACH FETTUCCINE 500GR</t>
  </si>
  <si>
    <t>9310155002042</t>
  </si>
  <si>
    <t>SAN REMO TOMATO AND BASIL 500GR</t>
  </si>
  <si>
    <t>8993496112239</t>
  </si>
  <si>
    <t>SANIA TP BERAS 500GR</t>
  </si>
  <si>
    <t>SANIA TP TERIGU SERBAGUNA 1KG</t>
  </si>
  <si>
    <t>10425651</t>
  </si>
  <si>
    <t>SANRIO SET8 CI7</t>
  </si>
  <si>
    <t>10412379</t>
  </si>
  <si>
    <t>SANTOS CREAMER 1KG</t>
  </si>
  <si>
    <t>10412378</t>
  </si>
  <si>
    <t>SANTOS CREAMER 25KG</t>
  </si>
  <si>
    <t>8992770094315</t>
  </si>
  <si>
    <t>SAORI ASAM MANIS 25ML</t>
  </si>
  <si>
    <t>8992770096524</t>
  </si>
  <si>
    <t>SAORI LADA HITAM 133ML</t>
  </si>
  <si>
    <t>8992770094117</t>
  </si>
  <si>
    <t>SAORI SASET RENTENG 23ML</t>
  </si>
  <si>
    <t>8992770096722</t>
  </si>
  <si>
    <t>SAORI SAUS BULGOGI 133ML</t>
  </si>
  <si>
    <t>8992770094513</t>
  </si>
  <si>
    <t>SAORI SAUS LADA HTM 26ML</t>
  </si>
  <si>
    <t>8992770094414</t>
  </si>
  <si>
    <t>SAORI SAUS RASA MENTEGA 26ML</t>
  </si>
  <si>
    <t>8992770096227</t>
  </si>
  <si>
    <t>SAORI SAUS TERIYAKI BTL 135ML</t>
  </si>
  <si>
    <t>8992770096234</t>
  </si>
  <si>
    <t>SAORI SAUS TERIYAKI BTL 275ML</t>
  </si>
  <si>
    <t>8992770095152</t>
  </si>
  <si>
    <t>SAORI SAUS TIRAM PCH 500ML</t>
  </si>
  <si>
    <t>8992770094216</t>
  </si>
  <si>
    <t>SAORI TERIYAKI 22ML</t>
  </si>
  <si>
    <t>8992770096241</t>
  </si>
  <si>
    <t>SAORI TERIYAKI BTL 1L</t>
  </si>
  <si>
    <t>8992934001081</t>
  </si>
  <si>
    <t>SARANG TAWON COCOPANDAN 525ML</t>
  </si>
  <si>
    <t>6978173990029</t>
  </si>
  <si>
    <t>SARDEN S&amp;K MACKAREL SAUS TOMAT 425GR</t>
  </si>
  <si>
    <t>10200316</t>
  </si>
  <si>
    <t>SARI JAMUR KUPING 100GR</t>
  </si>
  <si>
    <t>10200315</t>
  </si>
  <si>
    <t>SARI JAMUR KUPING 50GR</t>
  </si>
  <si>
    <t>10430109</t>
  </si>
  <si>
    <t>SARI LEMONE 100ML</t>
  </si>
  <si>
    <t>10430110</t>
  </si>
  <si>
    <t>SARI LEMONE 250ML</t>
  </si>
  <si>
    <t>8999999195649</t>
  </si>
  <si>
    <t>SARI WANGI TB 25</t>
  </si>
  <si>
    <t>8999999195670</t>
  </si>
  <si>
    <t>SARI WANGI TB 100</t>
  </si>
  <si>
    <t>8999999195656</t>
  </si>
  <si>
    <t>SARI WANGI TB 50</t>
  </si>
  <si>
    <t>8999999031602</t>
  </si>
  <si>
    <t>SARIMURNI TB 25`S</t>
  </si>
  <si>
    <t>10422848</t>
  </si>
  <si>
    <t>SARINGAN AMPAS SHAKER</t>
  </si>
  <si>
    <t>10426500</t>
  </si>
  <si>
    <t>SARINGAN KAIN GG PLASTIK TOL0070</t>
  </si>
  <si>
    <t>10426498</t>
  </si>
  <si>
    <t>SARINGAN KOPI DRIP STAINLESS HRC0004</t>
  </si>
  <si>
    <t>10422419</t>
  </si>
  <si>
    <t>SARINGAN KOPI/TEH BESAR</t>
  </si>
  <si>
    <t>10426830</t>
  </si>
  <si>
    <t>SARINGAN KOPI/TEH JUMBO</t>
  </si>
  <si>
    <t>10422495</t>
  </si>
  <si>
    <t>SARINGAN KOPI/TEH KECIL</t>
  </si>
  <si>
    <t>10427157</t>
  </si>
  <si>
    <t>SARINGAN KOPI/TEH TANGKAI TEMBAGA</t>
  </si>
  <si>
    <t>10426493</t>
  </si>
  <si>
    <t>SARINGAN MIE BULAT 16CM STR0020</t>
  </si>
  <si>
    <t>10427384</t>
  </si>
  <si>
    <t>SARINGAN TEH KAWAT 11CM</t>
  </si>
  <si>
    <t>10427383</t>
  </si>
  <si>
    <t>SARINGAN TEH KAWAT 5CM</t>
  </si>
  <si>
    <t>10427386</t>
  </si>
  <si>
    <t>SARINGAN TEH KAWAT 7CM</t>
  </si>
  <si>
    <t>10427385</t>
  </si>
  <si>
    <t>SARINGAN TEH KAWAT 9CM</t>
  </si>
  <si>
    <t>10426000</t>
  </si>
  <si>
    <t>SARINGAN TEPUNG STAINLES SET 6 TRX1</t>
  </si>
  <si>
    <t>8999999567279</t>
  </si>
  <si>
    <t>SARIWANGI JAHE KUNYIT 25X1.5GR</t>
  </si>
  <si>
    <t>8999999501990</t>
  </si>
  <si>
    <t>SARIWANGI TEH MELATI TB25X48</t>
  </si>
  <si>
    <t>10423540</t>
  </si>
  <si>
    <t>SARUNG OVEN SILVER 2S SO3</t>
  </si>
  <si>
    <t>10426878</t>
  </si>
  <si>
    <t>SARUNG TANGAN KAIN MOTIF</t>
  </si>
  <si>
    <t>10520124</t>
  </si>
  <si>
    <t>SARUNG TANGAN ORIPACK</t>
  </si>
  <si>
    <t>10424484</t>
  </si>
  <si>
    <t>SARUNG TANGAN OVEN + CEMPAL</t>
  </si>
  <si>
    <t>10423262</t>
  </si>
  <si>
    <t>SARUNG TANGAN OVEN 2S SO2</t>
  </si>
  <si>
    <t>10423736</t>
  </si>
  <si>
    <t>SARUNG TANGAN OVEN 40CM SO1</t>
  </si>
  <si>
    <t>10424790</t>
  </si>
  <si>
    <t>SARUNG TANGAN OVEN KATUN MOTIF</t>
  </si>
  <si>
    <t>10423426</t>
  </si>
  <si>
    <t>SARUNG TANGAN OVEN MOTIF</t>
  </si>
  <si>
    <t>10427485</t>
  </si>
  <si>
    <t>SARUNG TANGAN OVEN MTF GARIS</t>
  </si>
  <si>
    <t>6928588623265</t>
  </si>
  <si>
    <t>SARUNG TANGAN OVEN MTF POLKADOT</t>
  </si>
  <si>
    <t>10425751</t>
  </si>
  <si>
    <t>SARUNG TANGAN OVEN MTF SILICON SS02</t>
  </si>
  <si>
    <t>10427486</t>
  </si>
  <si>
    <t>SARUNG TANGAN OVEN MTF SILIKON</t>
  </si>
  <si>
    <t>10424746</t>
  </si>
  <si>
    <t>SARUNG TANGAN OVEN SILICON PJG</t>
  </si>
  <si>
    <t>10424724</t>
  </si>
  <si>
    <t>SARUNG TANGAN OVEN SILICONE PENDEK</t>
  </si>
  <si>
    <t>10425673</t>
  </si>
  <si>
    <t>SARUNG TANGAN OVEN SILIKON 05 SS05</t>
  </si>
  <si>
    <t>10424725</t>
  </si>
  <si>
    <t>SARUNG TANGAN SILICONE MOTIF PNDK</t>
  </si>
  <si>
    <t>10425170</t>
  </si>
  <si>
    <t>SARUNG TANGAN SILICONE SAR000</t>
  </si>
  <si>
    <t>10423261</t>
  </si>
  <si>
    <t>SARUNG TANGAN SILVER OVEN 2S SO4</t>
  </si>
  <si>
    <t>10420282</t>
  </si>
  <si>
    <t>SARUNG TGN SILICON KCL</t>
  </si>
  <si>
    <t>8991188943055</t>
  </si>
  <si>
    <t>SASA 1000</t>
  </si>
  <si>
    <t>8991188943024</t>
  </si>
  <si>
    <t>SASA 100GR</t>
  </si>
  <si>
    <t>8991188943062</t>
  </si>
  <si>
    <t>SASA 250GR</t>
  </si>
  <si>
    <t>8991188943369</t>
  </si>
  <si>
    <t>SASA 5000</t>
  </si>
  <si>
    <t>8991188943017</t>
  </si>
  <si>
    <t>SASA 50GR</t>
  </si>
  <si>
    <t>8992736240459</t>
  </si>
  <si>
    <t>SASA BUMBU AYAM KALASAN 33GR</t>
  </si>
  <si>
    <t>8992736225463</t>
  </si>
  <si>
    <t>SASA BUMBU AYAM KUNING 25GR</t>
  </si>
  <si>
    <t>8992736725116</t>
  </si>
  <si>
    <t>SASA BUMBU EKSTRAK AYAM 250G</t>
  </si>
  <si>
    <t>8992736940175</t>
  </si>
  <si>
    <t>SASA BUMBU LUMUR AYAM SPCL 26GR</t>
  </si>
  <si>
    <t>8992736424293</t>
  </si>
  <si>
    <t>SASA BUMBU NASI GORENG AYAM SPCL 20GR</t>
  </si>
  <si>
    <t>8992736524306</t>
  </si>
  <si>
    <t>SASA BUMBU NASI GORENG BBQ 20GR</t>
  </si>
  <si>
    <t>8992736220802</t>
  </si>
  <si>
    <t>SASA BUMBU NASI GORENG SAMBAL MATAH 20GR</t>
  </si>
  <si>
    <t>8992736825120</t>
  </si>
  <si>
    <t>SASA EKSTRAK SAPI 250G</t>
  </si>
  <si>
    <t>8992736139111</t>
  </si>
  <si>
    <t>SASA SAMBAL ASLI 340ML</t>
  </si>
  <si>
    <t>8992736111070</t>
  </si>
  <si>
    <t>SASA SAMBAL EKSTRA PEDAS 8GR</t>
  </si>
  <si>
    <t>8992736111407</t>
  </si>
  <si>
    <t>SASA SAMBAL EXTR PDS 135ML,</t>
  </si>
  <si>
    <t>8992736113418</t>
  </si>
  <si>
    <t>SASA SAMBAL EXTR PDS 340GR</t>
  </si>
  <si>
    <t>8991188943550</t>
  </si>
  <si>
    <t>SASA SANTAN KELAPA 1LT</t>
  </si>
  <si>
    <t>8992736106168</t>
  </si>
  <si>
    <t>SASA SAUS SAMBAL 5,5KG</t>
  </si>
  <si>
    <t>8992736239217</t>
  </si>
  <si>
    <t>SASA SAUS TOMAT 340ML</t>
  </si>
  <si>
    <t>8992736206264</t>
  </si>
  <si>
    <t>SASA SAUS TOMAT 5,5KG</t>
  </si>
  <si>
    <t>8992736201276</t>
  </si>
  <si>
    <t>SASA SAUS TOMAT PCH 950GR</t>
  </si>
  <si>
    <t>8992736925165</t>
  </si>
  <si>
    <t>SASA TB KENTUCKY 200GR</t>
  </si>
  <si>
    <t>8992736225401</t>
  </si>
  <si>
    <t>SASA TP BAKWAN 225GR</t>
  </si>
  <si>
    <t>8992736290409</t>
  </si>
  <si>
    <t>SASA TP BAKWAN 90GR</t>
  </si>
  <si>
    <t>8992736990163</t>
  </si>
  <si>
    <t>SASA TP BUMBU KENTUCKY 850GR</t>
  </si>
  <si>
    <t>8992736925134</t>
  </si>
  <si>
    <t>SASA TP BUMBU SERBAGUNA 210GR</t>
  </si>
  <si>
    <t>8992736980133</t>
  </si>
  <si>
    <t>SASA TP BUMBU SERBAGUNA 75GR</t>
  </si>
  <si>
    <t>8992736925158</t>
  </si>
  <si>
    <t>SASA TP BUMBU SERBAGUNA HOT&amp;SPICY 210GR</t>
  </si>
  <si>
    <t>8992736980157</t>
  </si>
  <si>
    <t>SASA TP BUMBU SERBAGUNA HOT&amp;SPICY 70GR</t>
  </si>
  <si>
    <t>8992736025162</t>
  </si>
  <si>
    <t>SASA TP PISANG GORENG VANILLA 210GR</t>
  </si>
  <si>
    <t>8992736010168</t>
  </si>
  <si>
    <t>SASA TP PISANG GRG VANILLA 80GR</t>
  </si>
  <si>
    <t>8992917193505</t>
  </si>
  <si>
    <t>SAUCE INGGRIS 320ML</t>
  </si>
  <si>
    <t>8992917196537</t>
  </si>
  <si>
    <t>SAUCE INGGRIS 600ML</t>
  </si>
  <si>
    <t>8997028500068</t>
  </si>
  <si>
    <t>SAUS RASA RAJA 58 135ML</t>
  </si>
  <si>
    <t>8997028500402</t>
  </si>
  <si>
    <t>SAUS RASA RAJA 58 275ML</t>
  </si>
  <si>
    <t>8997028500303</t>
  </si>
  <si>
    <t>SAUS TIRAM 58 135ML</t>
  </si>
  <si>
    <t>8997028500426</t>
  </si>
  <si>
    <t>SAUS TIRAM 58 275ML</t>
  </si>
  <si>
    <t>10420086</t>
  </si>
  <si>
    <t>SB PUTIH BIASA 12S</t>
  </si>
  <si>
    <t>10420085</t>
  </si>
  <si>
    <t>SB ROYAL BENING</t>
  </si>
  <si>
    <t>10420037</t>
  </si>
  <si>
    <t>SB ROYAL BENING 1S</t>
  </si>
  <si>
    <t>10420087</t>
  </si>
  <si>
    <t>SB ROYAL P.SUSU</t>
  </si>
  <si>
    <t>10420119</t>
  </si>
  <si>
    <t>SB ROYAL P.SUSU 1S</t>
  </si>
  <si>
    <t>10420088</t>
  </si>
  <si>
    <t>SB ROYAL WARNA</t>
  </si>
  <si>
    <t>10420199</t>
  </si>
  <si>
    <t>SB ROYAL WARNA 1S</t>
  </si>
  <si>
    <t>168661</t>
  </si>
  <si>
    <t>SCOOP ICE CRM 4CM</t>
  </si>
  <si>
    <t>168652</t>
  </si>
  <si>
    <t>SCOOP ICE CRM 5CM</t>
  </si>
  <si>
    <t>10423133</t>
  </si>
  <si>
    <t>SCOOP ICE CRM 6CM</t>
  </si>
  <si>
    <t>10424317</t>
  </si>
  <si>
    <t>SCRAPER 1/2 BULAT 10,5X15,5CM JC3704</t>
  </si>
  <si>
    <t>10427380</t>
  </si>
  <si>
    <t>SCRAPER 1/2 BULAT 10X7CM SCP11</t>
  </si>
  <si>
    <t>10423757</t>
  </si>
  <si>
    <t>SCRAPER 2IN1 SCR0007 LISSE KUNING</t>
  </si>
  <si>
    <t>10423758</t>
  </si>
  <si>
    <t>SCRAPER 2IN1 SCR0008 LISSE BIRU</t>
  </si>
  <si>
    <t>10425956</t>
  </si>
  <si>
    <t>SCRAPER BUSUR GELOMBANG YGI-0001-A</t>
  </si>
  <si>
    <t>10425965</t>
  </si>
  <si>
    <t>SCRAPER BUSUR GELOMBANG YGI-0001-B</t>
  </si>
  <si>
    <t>10425989</t>
  </si>
  <si>
    <t>SCRAPER BUSUR GG PLASTIK YGI-0002-A</t>
  </si>
  <si>
    <t>10423607</t>
  </si>
  <si>
    <t>SCRAPER GAGANG SILICONE SCR0005</t>
  </si>
  <si>
    <t>6214340506885</t>
  </si>
  <si>
    <t>SCRAPER GG PLASTIK GI02</t>
  </si>
  <si>
    <t>10427505</t>
  </si>
  <si>
    <t>SCRAPER JUMBO SCR027 LISSE KUNING 13CM</t>
  </si>
  <si>
    <t>10423734</t>
  </si>
  <si>
    <t>SCRAPER KOTAK STAIN 25CM GI010</t>
  </si>
  <si>
    <t>10426576</t>
  </si>
  <si>
    <t>SCRAPER PANJANG SET4 YSC-0001</t>
  </si>
  <si>
    <t>10424319</t>
  </si>
  <si>
    <t>SCRAPER PINK 9,5X12CM JC3707 JC3708</t>
  </si>
  <si>
    <t>10423759</t>
  </si>
  <si>
    <t>SCRAPER SCR0010 LISSE 2IN1 PINK</t>
  </si>
  <si>
    <t>10423786</t>
  </si>
  <si>
    <t>SCRAPER SCR0010 LISSE 3IN1</t>
  </si>
  <si>
    <t>10424160</t>
  </si>
  <si>
    <t>SCRAPER SEGITIGA JC3708</t>
  </si>
  <si>
    <t>6968764823683</t>
  </si>
  <si>
    <t>SCRAPER SET2 GI04</t>
  </si>
  <si>
    <t>10424124</t>
  </si>
  <si>
    <t>SCRAPER SILICONE GI017</t>
  </si>
  <si>
    <t>6930784227772</t>
  </si>
  <si>
    <t>SCRAPER SISI POLOS K 20X9.3CM ZN2777</t>
  </si>
  <si>
    <t>10423291</t>
  </si>
  <si>
    <t>SCRAPER STAIN 15CM GI03</t>
  </si>
  <si>
    <t>6906027003199</t>
  </si>
  <si>
    <t>SCRAPER STAIN 22CM GI011</t>
  </si>
  <si>
    <t>10423531</t>
  </si>
  <si>
    <t>SCRAPER STAINLES GERGI D03</t>
  </si>
  <si>
    <t>10423530</t>
  </si>
  <si>
    <t>SCRAPER STAINLES PLS D02</t>
  </si>
  <si>
    <t>10423896</t>
  </si>
  <si>
    <t>SCRAPER STAINLISE 15 CM</t>
  </si>
  <si>
    <t>10424162</t>
  </si>
  <si>
    <t>SCRAPER TRAPESIUM 10,5X15,5CM JC3702</t>
  </si>
  <si>
    <t>10424161</t>
  </si>
  <si>
    <t>SCRAPER TRAPESIUM 13X19.5CM JC3701</t>
  </si>
  <si>
    <t>10424163</t>
  </si>
  <si>
    <t>SCRAPER TRAPESIUM 9,5X13,5CM JC3703</t>
  </si>
  <si>
    <t>10425199</t>
  </si>
  <si>
    <t>SCRAPPER SILICONE PREM SCR0011</t>
  </si>
  <si>
    <t>6930784227765</t>
  </si>
  <si>
    <t>SCRAPPER SISI POLOS B 25X9.3CM ZN2776</t>
  </si>
  <si>
    <t>10425619</t>
  </si>
  <si>
    <t>SCRAPPER STAINLES 15CM GG SILICON SCR3</t>
  </si>
  <si>
    <t>10425615</t>
  </si>
  <si>
    <t>SCRAPPER STAINLES SCR1</t>
  </si>
  <si>
    <t>10423787</t>
  </si>
  <si>
    <t>SCRAPPER TRAPESIUM SCR0001 LISSE</t>
  </si>
  <si>
    <t>10426877</t>
  </si>
  <si>
    <t>SCRAPPER TRAPESIUM SMALL</t>
  </si>
  <si>
    <t>10427379</t>
  </si>
  <si>
    <t>SCRONG BREAD SB20A</t>
  </si>
  <si>
    <t>8997028580367</t>
  </si>
  <si>
    <t>SCS VANILLA 60ML</t>
  </si>
  <si>
    <t>8997028580343</t>
  </si>
  <si>
    <t>SCS WYSMAN 60ML</t>
  </si>
  <si>
    <t>10426787</t>
  </si>
  <si>
    <t>SEAL GELAS DRINK 1000</t>
  </si>
  <si>
    <t>10426783</t>
  </si>
  <si>
    <t>SEAL GELAS HTM 1000</t>
  </si>
  <si>
    <t>10425581</t>
  </si>
  <si>
    <t>SEAL GELAS KARTUN 100M</t>
  </si>
  <si>
    <t>10422797</t>
  </si>
  <si>
    <t>SEAL GELAS KARTUN 180M</t>
  </si>
  <si>
    <t>10420194</t>
  </si>
  <si>
    <t>SEAL GELAS KARTUN 500M</t>
  </si>
  <si>
    <t>10424028</t>
  </si>
  <si>
    <t>SEAL GELAS POLOS 100M</t>
  </si>
  <si>
    <t>10422737</t>
  </si>
  <si>
    <t>SEAL GELAS POLOS 180M</t>
  </si>
  <si>
    <t>10426867</t>
  </si>
  <si>
    <t>SEAL GELAS POLOS 200M</t>
  </si>
  <si>
    <t>180908096S</t>
  </si>
  <si>
    <t>SEAL GELAS SEGAR 250M</t>
  </si>
  <si>
    <t>1808025</t>
  </si>
  <si>
    <t>SEAL GELAS SEGAR 500M</t>
  </si>
  <si>
    <t>10426788</t>
  </si>
  <si>
    <t>SEAL GELAS TEH HIJAU 1000</t>
  </si>
  <si>
    <t>10412086</t>
  </si>
  <si>
    <t>SEGEH BLACK TEA 50GR</t>
  </si>
  <si>
    <t>8997019030451</t>
  </si>
  <si>
    <t>SEGEH GREEN TEA 50GR</t>
  </si>
  <si>
    <t>SEGITIGA BIRU PREMIUM 1KG</t>
  </si>
  <si>
    <t>SEGITIGA BIRU PREMIUM 5KG</t>
  </si>
  <si>
    <t>8991045123453</t>
  </si>
  <si>
    <t>SEGITIGA GARAM HALUS 250GR</t>
  </si>
  <si>
    <t>8991045252092</t>
  </si>
  <si>
    <t>SEGITIGA GARAM KASAR 1KG</t>
  </si>
  <si>
    <t>8991045252146</t>
  </si>
  <si>
    <t>SEGITIGA GARAM KASAR 200GR</t>
  </si>
  <si>
    <t>8991045225652</t>
  </si>
  <si>
    <t>SEGITIGA GARAM KASAR 500GR</t>
  </si>
  <si>
    <t>10410475</t>
  </si>
  <si>
    <t>SEGITIGA TP TERIGU 1/2KG</t>
  </si>
  <si>
    <t>10410188</t>
  </si>
  <si>
    <t>SEGITIGA TP TERIGU 1KG</t>
  </si>
  <si>
    <t>6902017100718</t>
  </si>
  <si>
    <t>SEKOP KUE</t>
  </si>
  <si>
    <t>8992932110259</t>
  </si>
  <si>
    <t>SEKOTENG PACAR CINA</t>
  </si>
  <si>
    <t>10100196</t>
  </si>
  <si>
    <t>SELAI KACANG 1/2KG</t>
  </si>
  <si>
    <t>10410576</t>
  </si>
  <si>
    <t>SELAI KACANG 1KG</t>
  </si>
  <si>
    <t>10410107</t>
  </si>
  <si>
    <t>SELAI KACANG 20KG</t>
  </si>
  <si>
    <t>10100197</t>
  </si>
  <si>
    <t>SELAI KACANG 250GR</t>
  </si>
  <si>
    <t>020074</t>
  </si>
  <si>
    <t>SELAMAT HARI RAYA IDUL FITRI</t>
  </si>
  <si>
    <t>10200105</t>
  </si>
  <si>
    <t>SELASIH 1/2KG</t>
  </si>
  <si>
    <t>10410142</t>
  </si>
  <si>
    <t>SELASIH 100GR</t>
  </si>
  <si>
    <t>10410111</t>
  </si>
  <si>
    <t>SELASIH 1KG</t>
  </si>
  <si>
    <t>10200115</t>
  </si>
  <si>
    <t>SELASIH 250GR</t>
  </si>
  <si>
    <t>10412359</t>
  </si>
  <si>
    <t>SELERA GULA CAIR 5L</t>
  </si>
  <si>
    <t>8995899280119</t>
  </si>
  <si>
    <t>SELERA SAUS TIRAM 20GR</t>
  </si>
  <si>
    <t>10100413</t>
  </si>
  <si>
    <t>SEMPAYANG 100GR</t>
  </si>
  <si>
    <t>10425053</t>
  </si>
  <si>
    <t>SENDOK BAKSO ST34</t>
  </si>
  <si>
    <t>10423913</t>
  </si>
  <si>
    <t>SENDOK ICE CREAM BESI</t>
  </si>
  <si>
    <t>10425675</t>
  </si>
  <si>
    <t>SENDOK ICE CREAM PLASTIK</t>
  </si>
  <si>
    <t>10425676</t>
  </si>
  <si>
    <t>SENDOK ICE CREAM STAINLESS</t>
  </si>
  <si>
    <t>10420250</t>
  </si>
  <si>
    <t>SENDOK ICE CRM</t>
  </si>
  <si>
    <t>10420301</t>
  </si>
  <si>
    <t>SENDOK ICE CRM 1/2KG</t>
  </si>
  <si>
    <t>10420303</t>
  </si>
  <si>
    <t>SENDOK ICE CRM 100GR</t>
  </si>
  <si>
    <t>10420302</t>
  </si>
  <si>
    <t>SENDOK ICE CRM 250GR</t>
  </si>
  <si>
    <t>10421805</t>
  </si>
  <si>
    <t>SENDOK ICE CRM WRNA</t>
  </si>
  <si>
    <t>10420091</t>
  </si>
  <si>
    <t>SENDOK ICE ROMAN</t>
  </si>
  <si>
    <t>10530200</t>
  </si>
  <si>
    <t>SENDOK JELLY BENING TIPTOP 100S</t>
  </si>
  <si>
    <t>10425306</t>
  </si>
  <si>
    <t>SENDOK JELLY WARNA TIPTOP 100S</t>
  </si>
  <si>
    <t>6972395647747</t>
  </si>
  <si>
    <t>SENDOK JUMBO STAINLESS 0771-8</t>
  </si>
  <si>
    <t>10425719</t>
  </si>
  <si>
    <t>SENDOK KAYU 100S WS2-16B</t>
  </si>
  <si>
    <t>10425804</t>
  </si>
  <si>
    <t>SENDOK LUBANG SILICONE L</t>
  </si>
  <si>
    <t>10425144</t>
  </si>
  <si>
    <t>SENDOK MADU KAYU RAMIN KK20</t>
  </si>
  <si>
    <t>10420093</t>
  </si>
  <si>
    <t>SENDOK MAKAN BENING ROMAN</t>
  </si>
  <si>
    <t>10424467</t>
  </si>
  <si>
    <t>SENDOK MAKAN BNG UNIV</t>
  </si>
  <si>
    <t>10420026</t>
  </si>
  <si>
    <t>SENDOK MAKAN HITAM 25</t>
  </si>
  <si>
    <t>10425492</t>
  </si>
  <si>
    <t>SENDOK MAKAN PRATAMA 100S</t>
  </si>
  <si>
    <t>10420018</t>
  </si>
  <si>
    <t>SENDOK MAKAN PTH SUSU 25</t>
  </si>
  <si>
    <t>10425118</t>
  </si>
  <si>
    <t>SENDOK MAKAN PUTIH SUPER 25S</t>
  </si>
  <si>
    <t>10420095</t>
  </si>
  <si>
    <t>SENDOK MAKAN UNIVERSAL 100</t>
  </si>
  <si>
    <t>10427408</t>
  </si>
  <si>
    <t>SENDOK MKN HITAM KCS 100S</t>
  </si>
  <si>
    <t>10420225</t>
  </si>
  <si>
    <t>SENDOK MKN ROMAN PSS</t>
  </si>
  <si>
    <t>10427506</t>
  </si>
  <si>
    <t>SENDOK MKN ROSA PSS</t>
  </si>
  <si>
    <t>10425110</t>
  </si>
  <si>
    <t>SENDOK MKN TIPTOP BENING 25S</t>
  </si>
  <si>
    <t>1042598</t>
  </si>
  <si>
    <t>SENDOK MKN TIPTOP PUTIH 25S</t>
  </si>
  <si>
    <t>10427388</t>
  </si>
  <si>
    <t>SENDOK SARINGAN SPAGETI</t>
  </si>
  <si>
    <t>10423993</t>
  </si>
  <si>
    <t>SENDOK SET PREMIUM TOL008 LISSE</t>
  </si>
  <si>
    <t>10425109</t>
  </si>
  <si>
    <t>SENDOK SET STERILE 100S</t>
  </si>
  <si>
    <t>10427423</t>
  </si>
  <si>
    <t>SENDOK SET STERILE 1S</t>
  </si>
  <si>
    <t>10424582</t>
  </si>
  <si>
    <t>SENDOK SILICONE 4.3X21CM YH483</t>
  </si>
  <si>
    <t>10424585</t>
  </si>
  <si>
    <t>SENDOK SILICONE 4.5X30CM YH546</t>
  </si>
  <si>
    <t>10425800</t>
  </si>
  <si>
    <t>SENDOK SILICONE LARGE</t>
  </si>
  <si>
    <t>10423264</t>
  </si>
  <si>
    <t>SENDOK SKRAP B10 B12</t>
  </si>
  <si>
    <t>10424125</t>
  </si>
  <si>
    <t>SENDOK SKRAP SL05</t>
  </si>
  <si>
    <t>10425052</t>
  </si>
  <si>
    <t>SENDOK SKRAP STAIN GERIGI BLACK SL10F</t>
  </si>
  <si>
    <t>10425050</t>
  </si>
  <si>
    <t>SENDOK SKRAP STAIN GERIGI BLUE SL10D</t>
  </si>
  <si>
    <t>10425047</t>
  </si>
  <si>
    <t>SENDOK SKRAP STAIN GERIGI GOLD SL10A</t>
  </si>
  <si>
    <t>10425049</t>
  </si>
  <si>
    <t>SENDOK SKRAP STAIN GERIGI RAINBOW SL10C</t>
  </si>
  <si>
    <t>10425048</t>
  </si>
  <si>
    <t>SENDOK SKRAP STAIN GERIGI ROSEGOLD SL10B</t>
  </si>
  <si>
    <t>10425650</t>
  </si>
  <si>
    <t>SENDOK SKRAP STAIN GERIGI SL10</t>
  </si>
  <si>
    <t>10425051</t>
  </si>
  <si>
    <t>SENDOK SKRAP STAIN GERIGI UNGU SL10E</t>
  </si>
  <si>
    <t>10423352</t>
  </si>
  <si>
    <t>SENDOK SKRAP STAIN SL06</t>
  </si>
  <si>
    <t>10422264</t>
  </si>
  <si>
    <t>SENDOK SKRAP STAINLES SL 10</t>
  </si>
  <si>
    <t>55133958</t>
  </si>
  <si>
    <t>SENDOK SOP 250ML RV006-013/250</t>
  </si>
  <si>
    <t>55132128</t>
  </si>
  <si>
    <t>SENDOK SOP 25ML RV006-013/25</t>
  </si>
  <si>
    <t>55132608</t>
  </si>
  <si>
    <t>SENDOK SOP 50ML RV006-013/50</t>
  </si>
  <si>
    <t>10425951</t>
  </si>
  <si>
    <t>SENDOK TAKAR 10INCH</t>
  </si>
  <si>
    <t>10422384</t>
  </si>
  <si>
    <t>SENDOK TAKAR 11 A-5W</t>
  </si>
  <si>
    <t>10425952</t>
  </si>
  <si>
    <t>SENDOK TAKAR 11INCH</t>
  </si>
  <si>
    <t>6901301008013</t>
  </si>
  <si>
    <t>SENDOK TAKAR 4 ST4</t>
  </si>
  <si>
    <t>10411086</t>
  </si>
  <si>
    <t>SENDOK TAKAR 5 ST1</t>
  </si>
  <si>
    <t>10411087</t>
  </si>
  <si>
    <t>SENDOK TAKAR 5 ST2</t>
  </si>
  <si>
    <t>6901301007368</t>
  </si>
  <si>
    <t>SENDOK TAKAR 6 ST11</t>
  </si>
  <si>
    <t>10425949</t>
  </si>
  <si>
    <t>SENDOK TAKAR 8INCH</t>
  </si>
  <si>
    <t>6902305000300</t>
  </si>
  <si>
    <t>SENDOK TAKAR 9 YL-500030</t>
  </si>
  <si>
    <t>10425950</t>
  </si>
  <si>
    <t>SENDOK TAKAR 9INCH</t>
  </si>
  <si>
    <t>6923888876311</t>
  </si>
  <si>
    <t>SENDOK TAKAR HATI SET4 ST36</t>
  </si>
  <si>
    <t>10425677</t>
  </si>
  <si>
    <t>SENDOK TAKAR ICE CREAM</t>
  </si>
  <si>
    <t>10423532</t>
  </si>
  <si>
    <t>SENDOK TAKAR KEMBAR ST16</t>
  </si>
  <si>
    <t>6970237410801</t>
  </si>
  <si>
    <t>SENDOK TAKAR SET 10 ST60</t>
  </si>
  <si>
    <t>10425360</t>
  </si>
  <si>
    <t>SENDOK TAKAR SET 4 ST17</t>
  </si>
  <si>
    <t>10425061</t>
  </si>
  <si>
    <t>SENDOK TAKAR SET 4 ST39</t>
  </si>
  <si>
    <t>10423731</t>
  </si>
  <si>
    <t>SENDOK TAKAR SET 8 ST35</t>
  </si>
  <si>
    <t>6901311007723</t>
  </si>
  <si>
    <t>SENDOK TAKAR SET6 ST5</t>
  </si>
  <si>
    <t>10422892</t>
  </si>
  <si>
    <t>SENDOK TAKAR STAINLES SET 4 ST32</t>
  </si>
  <si>
    <t>10422890</t>
  </si>
  <si>
    <t>SENDOK TAKAR STAINLES ST29</t>
  </si>
  <si>
    <t>6951366400796</t>
  </si>
  <si>
    <t>SENDOK TAKAR STAINLES ST30</t>
  </si>
  <si>
    <t>10425955</t>
  </si>
  <si>
    <t>SENDOK TAKAR STAINLESS KOMP PLASTIK SET 4</t>
  </si>
  <si>
    <t>6951366400772</t>
  </si>
  <si>
    <t>SENDOK TAKAR STAINLESS ST28</t>
  </si>
  <si>
    <t>10422866</t>
  </si>
  <si>
    <t>SENDOK TAKAR STAINLESS ST31</t>
  </si>
  <si>
    <t>10422281</t>
  </si>
  <si>
    <t>SENDOK TAKAR STELL ST 18</t>
  </si>
  <si>
    <t>10425261</t>
  </si>
  <si>
    <t>SENDOK TEH BNG TIPTOP 100S</t>
  </si>
  <si>
    <t>10425257</t>
  </si>
  <si>
    <t>SENDOK TEH PSS TIPTOP 100S</t>
  </si>
  <si>
    <t>10420226</t>
  </si>
  <si>
    <t>SENDOK TEH ROMAN BNG</t>
  </si>
  <si>
    <t>10410407</t>
  </si>
  <si>
    <t>SENDOK TEH WARNA</t>
  </si>
  <si>
    <t>10425108</t>
  </si>
  <si>
    <t>SENDOK TEH WARNA TIPTOP 100S</t>
  </si>
  <si>
    <t>10424689</t>
  </si>
  <si>
    <t>SENDOK+GARPU MKN BNG CUTLERY 100S</t>
  </si>
  <si>
    <t>10424691</t>
  </si>
  <si>
    <t>SENDOK+GARPU MKN HITAM CUTLERY 100S</t>
  </si>
  <si>
    <t>1010003039630</t>
  </si>
  <si>
    <t>SEPARATOR STEEL STAINLESS SSS1</t>
  </si>
  <si>
    <t>10412085</t>
  </si>
  <si>
    <t>SERA TEH HIJAU 250GR</t>
  </si>
  <si>
    <t>10412084</t>
  </si>
  <si>
    <t>SERA TEH HITAM 250GR</t>
  </si>
  <si>
    <t>10420100</t>
  </si>
  <si>
    <t>SERBET FRENDLY WARNA</t>
  </si>
  <si>
    <t>10510089</t>
  </si>
  <si>
    <t>SERBET SOOR</t>
  </si>
  <si>
    <t>10510223</t>
  </si>
  <si>
    <t>SERBET SOOR MINI</t>
  </si>
  <si>
    <t>10422275</t>
  </si>
  <si>
    <t>SETRIKA FONDAN A318</t>
  </si>
  <si>
    <t>10423015</t>
  </si>
  <si>
    <t>SETRIKA FONDANT STAINLES</t>
  </si>
  <si>
    <t>10425058</t>
  </si>
  <si>
    <t>SETRIKA FONDANT ZN2727</t>
  </si>
  <si>
    <t>8992275846037</t>
  </si>
  <si>
    <t>SG PERISA BANANA 28ML</t>
  </si>
  <si>
    <t>8897777377129</t>
  </si>
  <si>
    <t>SG PEWARNA CAIR BLUE 30ML</t>
  </si>
  <si>
    <t>8897777377136</t>
  </si>
  <si>
    <t>SG PEWARNA CAIR GREEN 30ML</t>
  </si>
  <si>
    <t>8897777377105</t>
  </si>
  <si>
    <t>SG PEWARNA CAIR LEMON 30ML</t>
  </si>
  <si>
    <t>8897777377167</t>
  </si>
  <si>
    <t>SG PEWARNA CAIR RED 30ML</t>
  </si>
  <si>
    <t>8897777377150</t>
  </si>
  <si>
    <t>SG PEWARNA CAIR ROSE PINK 30ML</t>
  </si>
  <si>
    <t>8897777377143</t>
  </si>
  <si>
    <t>SG PEWARNA CAIR VIOLET 30ML</t>
  </si>
  <si>
    <t>8897777377181</t>
  </si>
  <si>
    <t>SG PEWARNA CAIR YELLOW 30ML</t>
  </si>
  <si>
    <t>10422930</t>
  </si>
  <si>
    <t>SHAKER ACRYLIC 1000ML</t>
  </si>
  <si>
    <t>10422927</t>
  </si>
  <si>
    <t>SHAKER ACRYLIC 350ML</t>
  </si>
  <si>
    <t>10422928</t>
  </si>
  <si>
    <t>SHAKER ACRYLIC 530ML</t>
  </si>
  <si>
    <t>10422929</t>
  </si>
  <si>
    <t>SHAKER ACRYLIC 700ML</t>
  </si>
  <si>
    <t>10425943</t>
  </si>
  <si>
    <t>SHAKER COCKTAIL 200CC</t>
  </si>
  <si>
    <t>10422565</t>
  </si>
  <si>
    <t>SHAKER COCKTAIL 350CC</t>
  </si>
  <si>
    <t>10425178</t>
  </si>
  <si>
    <t>SHAKER COCKTAIL 530CC SHA0002</t>
  </si>
  <si>
    <t>10422566</t>
  </si>
  <si>
    <t>SHAKER COCKTAIL 550CC</t>
  </si>
  <si>
    <t>10422567</t>
  </si>
  <si>
    <t>SHAKER COCKTAIL 750CC</t>
  </si>
  <si>
    <t>788821122124</t>
  </si>
  <si>
    <t>SHAN BIRYANI 50GR</t>
  </si>
  <si>
    <t>788821001146</t>
  </si>
  <si>
    <t>SHAN BOMBAY BIRYANI 60 GR</t>
  </si>
  <si>
    <t>788821007544</t>
  </si>
  <si>
    <t>SHAN CHICKEN 65 60GR</t>
  </si>
  <si>
    <t>788821037145</t>
  </si>
  <si>
    <t>SHAN CORIANDER POWDER 100GR</t>
  </si>
  <si>
    <t>788821060051</t>
  </si>
  <si>
    <t>SHAN FISH BIRYANI 50GR</t>
  </si>
  <si>
    <t>788821004291</t>
  </si>
  <si>
    <t>SHAN KABSA RICE 60GR</t>
  </si>
  <si>
    <t>788821033147</t>
  </si>
  <si>
    <t>SHAN KEEMA 50GR</t>
  </si>
  <si>
    <t>788821004253</t>
  </si>
  <si>
    <t>SHAN MANDHI 50GR</t>
  </si>
  <si>
    <t>788821041142</t>
  </si>
  <si>
    <t>SHAN PILAU BIRYANI 50GR</t>
  </si>
  <si>
    <t>788821075147</t>
  </si>
  <si>
    <t>SHAN RED CHILI POWDER 100GR</t>
  </si>
  <si>
    <t>788821019141</t>
  </si>
  <si>
    <t>SHAN SINDHI BIRYANI 60GR</t>
  </si>
  <si>
    <t>788821017819</t>
  </si>
  <si>
    <t>SHAN VEGETABLE BIRYANI</t>
  </si>
  <si>
    <t>8003180029856</t>
  </si>
  <si>
    <t>SHINE COKLAT COMP DARK BLOCK 1KG</t>
  </si>
  <si>
    <t>8993011010316</t>
  </si>
  <si>
    <t>SIE SIN ABON DAGING AYAM 200GR</t>
  </si>
  <si>
    <t>8993011010255</t>
  </si>
  <si>
    <t>SIE SIN ABON SAPI 100GR</t>
  </si>
  <si>
    <t>8993011010279</t>
  </si>
  <si>
    <t>SIE SIN ABON SAPI+BAWANG GRG 100GR</t>
  </si>
  <si>
    <t>8993011010323</t>
  </si>
  <si>
    <t>SIE SIN SAMBAL GRG UDANG KERING 250GR</t>
  </si>
  <si>
    <t>8993163510160</t>
  </si>
  <si>
    <t>SIERRA FACIAL TISSUE 250S</t>
  </si>
  <si>
    <t>8993163410019</t>
  </si>
  <si>
    <t>SIERRA JUMBO FACIAL TISSUE 600S</t>
  </si>
  <si>
    <t>10427482</t>
  </si>
  <si>
    <t>SIFTER CUP JC3694</t>
  </si>
  <si>
    <t>10426526</t>
  </si>
  <si>
    <t>SIKAT SPUIT DEK0021</t>
  </si>
  <si>
    <t>10510202</t>
  </si>
  <si>
    <t>SILICAGEL 1GR (1KG)</t>
  </si>
  <si>
    <t>10510203</t>
  </si>
  <si>
    <t>SILICAGEL 1GR (250GR)</t>
  </si>
  <si>
    <t>10422904</t>
  </si>
  <si>
    <t>SILICON BUNGA TUSUK 4S CEK-0010</t>
  </si>
  <si>
    <t>10423587</t>
  </si>
  <si>
    <t>SILICONE BALOK 6 JSC2872</t>
  </si>
  <si>
    <t>10427282</t>
  </si>
  <si>
    <t>SILICONE CKLT BTG JSC3436</t>
  </si>
  <si>
    <t>10423542</t>
  </si>
  <si>
    <t>SILICONE DONAT YK158-12</t>
  </si>
  <si>
    <t>10427237</t>
  </si>
  <si>
    <t>SILICONE JSC4298</t>
  </si>
  <si>
    <t>4891729182483</t>
  </si>
  <si>
    <t>SILICONE MACARON BAKING</t>
  </si>
  <si>
    <t>10427219</t>
  </si>
  <si>
    <t>SILICONE MIX JSC4319</t>
  </si>
  <si>
    <t>10422412</t>
  </si>
  <si>
    <t>SILICONE P 20X11CM JSC2773</t>
  </si>
  <si>
    <t>10423563</t>
  </si>
  <si>
    <t>SILICONE PERSEGI 6 CTS 150</t>
  </si>
  <si>
    <t>10425215</t>
  </si>
  <si>
    <t>SILICONE RUSSIAN TALE 6CUP CES0081</t>
  </si>
  <si>
    <t>8992933448115</t>
  </si>
  <si>
    <t>SILKY PUDDING AVOCADO 110GR</t>
  </si>
  <si>
    <t>8992933441215</t>
  </si>
  <si>
    <t>SILKY PUDDING AVOCADO155GR</t>
  </si>
  <si>
    <t>8992933449112</t>
  </si>
  <si>
    <t>SILKY PUDDING BGUM PCH 24X110GR</t>
  </si>
  <si>
    <t>8992933445213</t>
  </si>
  <si>
    <t>SILKY PUDDING BISCUIT 155GR</t>
  </si>
  <si>
    <t>8992933442212</t>
  </si>
  <si>
    <t>SILKY PUDDING BUBBLE 155GR</t>
  </si>
  <si>
    <t>8992933443219</t>
  </si>
  <si>
    <t>SILKY PUDDING CKLT 155GR</t>
  </si>
  <si>
    <t>8992933443110</t>
  </si>
  <si>
    <t>SILKY PUDDING COKLAT PCH 24X110GR</t>
  </si>
  <si>
    <t>8992933448214</t>
  </si>
  <si>
    <t>SILKY PUDDING KOREAN STW 155GR</t>
  </si>
  <si>
    <t>8992933447217</t>
  </si>
  <si>
    <t>SILKY PUDDING LYCHEE 155GR</t>
  </si>
  <si>
    <t>8992933447118</t>
  </si>
  <si>
    <t>SILKY PUDDING LYCHEE PCH 24X110GR</t>
  </si>
  <si>
    <t>8992933402117</t>
  </si>
  <si>
    <t>SILKY PUDDING MATCHA 100GR</t>
  </si>
  <si>
    <t>8992933446210</t>
  </si>
  <si>
    <t>SILKY PUDDING PEACH 155GR</t>
  </si>
  <si>
    <t>8992933444216</t>
  </si>
  <si>
    <t>SILKY PUDDING TARO 155GR</t>
  </si>
  <si>
    <t>8992933444117</t>
  </si>
  <si>
    <t>SILKY PUDDING TARO PCH 24X110GR</t>
  </si>
  <si>
    <t>10423865</t>
  </si>
  <si>
    <t>SILPAD BSR MTF NON STIK 40X60 BMS0015 LISSE</t>
  </si>
  <si>
    <t>10423864</t>
  </si>
  <si>
    <t>SILPAD KCL MTF NON STIK 30X42 BMS0014 LISSE</t>
  </si>
  <si>
    <t>10425717</t>
  </si>
  <si>
    <t>SILPAT MACARON 30X40CM CM9</t>
  </si>
  <si>
    <t>10425716</t>
  </si>
  <si>
    <t>SILPAT SILICONE 30X21CM CM8-1</t>
  </si>
  <si>
    <t>8993172000461</t>
  </si>
  <si>
    <t>SIMBA CHOCO CHIP STRW 950GR</t>
  </si>
  <si>
    <t>8993172001253</t>
  </si>
  <si>
    <t>SIMBA MAGIC RAINBOW 900GR</t>
  </si>
  <si>
    <t>10300014</t>
  </si>
  <si>
    <t>SINABAKI 1KG</t>
  </si>
  <si>
    <t>10300033</t>
  </si>
  <si>
    <t>SINABAKI 250GR</t>
  </si>
  <si>
    <t>8992934001029</t>
  </si>
  <si>
    <t>SIRUP SARANG TAWON MARKISA 525ML</t>
  </si>
  <si>
    <t>6922877792724</t>
  </si>
  <si>
    <t>SKIPPY CHUNKY 340GR</t>
  </si>
  <si>
    <t>6922877792694</t>
  </si>
  <si>
    <t>SKIPPY CREAMY 340GR</t>
  </si>
  <si>
    <t>10423535</t>
  </si>
  <si>
    <t>SKRAB B 24X12 ST23</t>
  </si>
  <si>
    <t>10422044</t>
  </si>
  <si>
    <t>SKRAP 3 LUBANG K B7A</t>
  </si>
  <si>
    <t>10423351</t>
  </si>
  <si>
    <t>SKRAP B 27X12CM ST25</t>
  </si>
  <si>
    <t>10422903</t>
  </si>
  <si>
    <t>SKRAP B17 B17B</t>
  </si>
  <si>
    <t>10425393</t>
  </si>
  <si>
    <t>SKRAP JUMBO GG KAYU BM-16</t>
  </si>
  <si>
    <t>10423513</t>
  </si>
  <si>
    <t>SKRAP LEKUK B3</t>
  </si>
  <si>
    <t>10422882</t>
  </si>
  <si>
    <t>SKRAP LUBANG B17A</t>
  </si>
  <si>
    <t>10424625</t>
  </si>
  <si>
    <t>SKRAP LUBANG SILICONE YH551</t>
  </si>
  <si>
    <t>10423512</t>
  </si>
  <si>
    <t>SKRAP LURUS B10</t>
  </si>
  <si>
    <t>10422045</t>
  </si>
  <si>
    <t>SKRAP POLOS K B7B</t>
  </si>
  <si>
    <t>10423265</t>
  </si>
  <si>
    <t>SKRAP STAIN LUBANG 905A</t>
  </si>
  <si>
    <t>10422042</t>
  </si>
  <si>
    <t>SKRAP STANLES LUBANG PS19A</t>
  </si>
  <si>
    <t>10520006</t>
  </si>
  <si>
    <t>SL 10X17</t>
  </si>
  <si>
    <t>10520082</t>
  </si>
  <si>
    <t>SL 11X22</t>
  </si>
  <si>
    <t>10520007</t>
  </si>
  <si>
    <t>SL 12X22</t>
  </si>
  <si>
    <t>10520008</t>
  </si>
  <si>
    <t>SL 13X21</t>
  </si>
  <si>
    <t>10520009</t>
  </si>
  <si>
    <t>SL 14X28</t>
  </si>
  <si>
    <t>10520010</t>
  </si>
  <si>
    <t>SL 15X27</t>
  </si>
  <si>
    <t>10510128</t>
  </si>
  <si>
    <t>SL 18X30</t>
  </si>
  <si>
    <t>10520011</t>
  </si>
  <si>
    <t>SL 20X33</t>
  </si>
  <si>
    <t>10520050</t>
  </si>
  <si>
    <t>SL 23X38</t>
  </si>
  <si>
    <t>10520012</t>
  </si>
  <si>
    <t>SL 26X45</t>
  </si>
  <si>
    <t>10520013</t>
  </si>
  <si>
    <t>SL 3,5X20</t>
  </si>
  <si>
    <t>10520051</t>
  </si>
  <si>
    <t>SL 30X45</t>
  </si>
  <si>
    <t>10520026</t>
  </si>
  <si>
    <t>SL 35X55</t>
  </si>
  <si>
    <t>10520052</t>
  </si>
  <si>
    <t>SL 3X20</t>
  </si>
  <si>
    <t>10520083</t>
  </si>
  <si>
    <t>SL 4.5X20</t>
  </si>
  <si>
    <t>10520053</t>
  </si>
  <si>
    <t>SL 4X20</t>
  </si>
  <si>
    <t>10520054</t>
  </si>
  <si>
    <t>SL 5X20</t>
  </si>
  <si>
    <t>10426974</t>
  </si>
  <si>
    <t>SLENDING PIZZA EFESTO ESP1</t>
  </si>
  <si>
    <t>10422657</t>
  </si>
  <si>
    <t>SLICON LOLIPOP 4 CEK-0011</t>
  </si>
  <si>
    <t>10423781</t>
  </si>
  <si>
    <t>SNDK TAKAR ROSEGOLD SET6 STK0002 LISSE</t>
  </si>
  <si>
    <t>10423780</t>
  </si>
  <si>
    <t>SNDK TAKAR ROSEGOLD SET8 STK0001 LISSE</t>
  </si>
  <si>
    <t>8936022040446</t>
  </si>
  <si>
    <t>SNOWHIP WHIPPING CREAM 1L</t>
  </si>
  <si>
    <t>10410424</t>
  </si>
  <si>
    <t>SODA ASAHI 1/2KG</t>
  </si>
  <si>
    <t>10410039</t>
  </si>
  <si>
    <t>SODA ASAHI 1KG</t>
  </si>
  <si>
    <t>10410197</t>
  </si>
  <si>
    <t>SODA ASAHI 250GR</t>
  </si>
  <si>
    <t>1042558</t>
  </si>
  <si>
    <t>SODA CHARGER 1S</t>
  </si>
  <si>
    <t>10425024</t>
  </si>
  <si>
    <t>SODA CHARGER SET10</t>
  </si>
  <si>
    <t>8997205430324</t>
  </si>
  <si>
    <t>SODA PINGUIN 60GR</t>
  </si>
  <si>
    <t>10425023</t>
  </si>
  <si>
    <t>SODA SHIPON</t>
  </si>
  <si>
    <t>8992917274181</t>
  </si>
  <si>
    <t>SOFT BREAD 10GR</t>
  </si>
  <si>
    <t>8994302008470</t>
  </si>
  <si>
    <t>SOFTENER PANDAN 450ML</t>
  </si>
  <si>
    <t>8994302008432</t>
  </si>
  <si>
    <t>SOFTENER VANILLI 450ML</t>
  </si>
  <si>
    <t>8994302008364</t>
  </si>
  <si>
    <t>SOFTENER VANILLI 60ML</t>
  </si>
  <si>
    <t>8994302008449</t>
  </si>
  <si>
    <t>SOFTENER WYSMAN 450ML</t>
  </si>
  <si>
    <t>10420884</t>
  </si>
  <si>
    <t>SOFTENER WYSMAN 5.5KG</t>
  </si>
  <si>
    <t>10420882</t>
  </si>
  <si>
    <t>SOFTENER WYSMAN 60ML</t>
  </si>
  <si>
    <t>10423725</t>
  </si>
  <si>
    <t>SOLET 14.5X7.5X5.3 CM SL23</t>
  </si>
  <si>
    <t>10423721</t>
  </si>
  <si>
    <t>SOLET 19CM SL02</t>
  </si>
  <si>
    <t>10423290</t>
  </si>
  <si>
    <t>SOLET 1S 1613-10</t>
  </si>
  <si>
    <t>10423271</t>
  </si>
  <si>
    <t>SOLET 1S 1613-11</t>
  </si>
  <si>
    <t>10423735</t>
  </si>
  <si>
    <t>SOLET 22 CM SL03</t>
  </si>
  <si>
    <t>10422898</t>
  </si>
  <si>
    <t>SOLET 27CM YH547</t>
  </si>
  <si>
    <t>6961646487355</t>
  </si>
  <si>
    <t>SOLET B (31CM)+KUAS SILICONE ZG-113</t>
  </si>
  <si>
    <t>10423276</t>
  </si>
  <si>
    <t>SOLET B 27CM SL08</t>
  </si>
  <si>
    <t>6985551168642</t>
  </si>
  <si>
    <t>SOLET GAGANG BESI 26CM SL18</t>
  </si>
  <si>
    <t>10422393</t>
  </si>
  <si>
    <t>SOLET GAGANG BESI SL19</t>
  </si>
  <si>
    <t>10424239</t>
  </si>
  <si>
    <t>SOLET GG 16 8.5X5 SL30</t>
  </si>
  <si>
    <t>10424240</t>
  </si>
  <si>
    <t>SOLET GG 16 9X6X4 SL29</t>
  </si>
  <si>
    <t>10425796</t>
  </si>
  <si>
    <t>SOLET GG KAYU SL28-1</t>
  </si>
  <si>
    <t>10426630</t>
  </si>
  <si>
    <t>SOLET KAYU BESAR 35CM STK01</t>
  </si>
  <si>
    <t>10426632</t>
  </si>
  <si>
    <t>SOLET KAYU BESAR 35CM STK02</t>
  </si>
  <si>
    <t>10426628</t>
  </si>
  <si>
    <t>SOLET KAYU BESAR 35CM STK03</t>
  </si>
  <si>
    <t>10426631</t>
  </si>
  <si>
    <t>SOLET KAYU JUMBO 40CM STK01</t>
  </si>
  <si>
    <t>10426633</t>
  </si>
  <si>
    <t>SOLET KAYU JUMBO 40CM STK02</t>
  </si>
  <si>
    <t>10426635</t>
  </si>
  <si>
    <t>SOLET KAYU JUMBO 40CM STK03</t>
  </si>
  <si>
    <t>10426623</t>
  </si>
  <si>
    <t>SOLET KAYU KECIL 23CM STK01</t>
  </si>
  <si>
    <t>10426626</t>
  </si>
  <si>
    <t>SOLET KAYU KECIL 30CM STK02</t>
  </si>
  <si>
    <t>10426629</t>
  </si>
  <si>
    <t>SOLET KAYU KECIL 30CM STK03</t>
  </si>
  <si>
    <t>10426625</t>
  </si>
  <si>
    <t>SOLET KAYU MINI 22CM STK01</t>
  </si>
  <si>
    <t>10426622</t>
  </si>
  <si>
    <t>SOLET KAYU MINI 23CM STK02</t>
  </si>
  <si>
    <t>10426624</t>
  </si>
  <si>
    <t>SOLET KAYU MINI 23CM STK03</t>
  </si>
  <si>
    <t>10426627</t>
  </si>
  <si>
    <t>SOLET KAYU SEDANG 30CM STK01</t>
  </si>
  <si>
    <t>10424550</t>
  </si>
  <si>
    <t>SOLET LUBANG GG KAYU SL28</t>
  </si>
  <si>
    <t>10424629</t>
  </si>
  <si>
    <t>SOLET PENGGORENG GG KAYU SL33</t>
  </si>
  <si>
    <t>10425795</t>
  </si>
  <si>
    <t>SOLET PENGGORENG SILICON GG KAYU</t>
  </si>
  <si>
    <t>10424621</t>
  </si>
  <si>
    <t>SOLET PENGGORENG STAIN SL34</t>
  </si>
  <si>
    <t>10424623</t>
  </si>
  <si>
    <t>SOLET PENGGORENGAN SL31</t>
  </si>
  <si>
    <t>10423738</t>
  </si>
  <si>
    <t>SOLET PUTIH B 41CM SL14</t>
  </si>
  <si>
    <t>10423732</t>
  </si>
  <si>
    <t>SOLET PUTIH K 33CM SL15</t>
  </si>
  <si>
    <t>6985214751310</t>
  </si>
  <si>
    <t>SOLET SET 5 SL787-10</t>
  </si>
  <si>
    <t>6952196132963</t>
  </si>
  <si>
    <t>SOLET SET3 HY2003</t>
  </si>
  <si>
    <t>6985214751235</t>
  </si>
  <si>
    <t>SOLET SET5 SL787-11</t>
  </si>
  <si>
    <t>10426916</t>
  </si>
  <si>
    <t>SOLET SILICON 1S SL09</t>
  </si>
  <si>
    <t>10427272</t>
  </si>
  <si>
    <t>SOLET SILICON 2 WARNA LARGE</t>
  </si>
  <si>
    <t>10425931</t>
  </si>
  <si>
    <t>SOLET SILICON SMALL GG MIKA</t>
  </si>
  <si>
    <t>10425631</t>
  </si>
  <si>
    <t>SOLET SILICON TRANSPARAN B 28CM YH599</t>
  </si>
  <si>
    <t>10427357</t>
  </si>
  <si>
    <t>SOLET SILICON YH653</t>
  </si>
  <si>
    <t>10427358</t>
  </si>
  <si>
    <t>SOLET SILICON YH654</t>
  </si>
  <si>
    <t>10424587</t>
  </si>
  <si>
    <t>SOLET SILICONE B 6X27.5CM YH486</t>
  </si>
  <si>
    <t>10426716</t>
  </si>
  <si>
    <t>SOLET SILICONE GRADASI 33X9.5CM</t>
  </si>
  <si>
    <t>10424583</t>
  </si>
  <si>
    <t>SOLET SILICONE K 4.5X21CM YH485</t>
  </si>
  <si>
    <t>10424538</t>
  </si>
  <si>
    <t>SOLET SILICONE YH564</t>
  </si>
  <si>
    <t>10426718</t>
  </si>
  <si>
    <t>SOLET SILICONE YH650</t>
  </si>
  <si>
    <t>10423155</t>
  </si>
  <si>
    <t>SOLET+KUAS SILICONE SL07</t>
  </si>
  <si>
    <t>6916132156178</t>
  </si>
  <si>
    <t>SOLET+KUAS SILICONE YL-060</t>
  </si>
  <si>
    <t>6921548500132</t>
  </si>
  <si>
    <t>SOLET+KUAS+SPUIT SET 7 AB-026</t>
  </si>
  <si>
    <t>6965202305138</t>
  </si>
  <si>
    <t>SOLET+PASTRY BAG+ SPUIT SET 8 AB055</t>
  </si>
  <si>
    <t>10423270</t>
  </si>
  <si>
    <t>SOLET+SPUIT SET8 AB016</t>
  </si>
  <si>
    <t>6921569116541</t>
  </si>
  <si>
    <t>SOLET+SPUIT SET9 AB020</t>
  </si>
  <si>
    <t>6899369520090</t>
  </si>
  <si>
    <t>SOLET+SPUIT+EGS SET8 AB017</t>
  </si>
  <si>
    <t>10423148</t>
  </si>
  <si>
    <t>SOLET+SPUIT+GERIGI SET9 AB019</t>
  </si>
  <si>
    <t>6969873695741</t>
  </si>
  <si>
    <t>SOLET+WHISK+KUAS 3 B-001</t>
  </si>
  <si>
    <t>10422891</t>
  </si>
  <si>
    <t>SOLET20 SL20</t>
  </si>
  <si>
    <t>8886007811069</t>
  </si>
  <si>
    <t>SOSRO TEH CELUP 100S</t>
  </si>
  <si>
    <t>8886007811533</t>
  </si>
  <si>
    <t>SOSRO TEH CELUP 15S</t>
  </si>
  <si>
    <t>8886007821242</t>
  </si>
  <si>
    <t>SOSRO TEH CELUP 25S</t>
  </si>
  <si>
    <t>8886007811076</t>
  </si>
  <si>
    <t>SOSRO TEH CELUP 30S</t>
  </si>
  <si>
    <t>8886007811502</t>
  </si>
  <si>
    <t>SOSRO TEH CELUP 50S</t>
  </si>
  <si>
    <t>8886007811052</t>
  </si>
  <si>
    <t>SOSRO TEH CELUP BLACK TB25</t>
  </si>
  <si>
    <t>9414997006678</t>
  </si>
  <si>
    <t>SOUR CREAM 500GR</t>
  </si>
  <si>
    <t>12000189</t>
  </si>
  <si>
    <t>SP RYOTO 1/2kg</t>
  </si>
  <si>
    <t>10410420</t>
  </si>
  <si>
    <t>SP RYOTO 100GR</t>
  </si>
  <si>
    <t>10410450</t>
  </si>
  <si>
    <t>SP RYOTO 250GR</t>
  </si>
  <si>
    <t>6958004011536</t>
  </si>
  <si>
    <t>SPATULA 2SISI SUNCITY SPT0014 LISSE</t>
  </si>
  <si>
    <t>10423149</t>
  </si>
  <si>
    <t>SPATULA BENGKOK+WHISK SET AB018</t>
  </si>
  <si>
    <t>10423620</t>
  </si>
  <si>
    <t>SPATULA CEERES FDA&amp;SGS 6S</t>
  </si>
  <si>
    <t>10423602</t>
  </si>
  <si>
    <t>SPATULA FULL SILICONE LARGE</t>
  </si>
  <si>
    <t>10423601</t>
  </si>
  <si>
    <t>SPATULA FULL SILICONE SMALL</t>
  </si>
  <si>
    <t>10423775</t>
  </si>
  <si>
    <t>SPATULA GG KAYU SPT0015 LISSE</t>
  </si>
  <si>
    <t>6852331559566</t>
  </si>
  <si>
    <t>SPATULA KUE SILIKON CUNDA 2S RV090-001</t>
  </si>
  <si>
    <t>10423688</t>
  </si>
  <si>
    <t>SPATULA MOTIF LISSE</t>
  </si>
  <si>
    <t>9555119802386</t>
  </si>
  <si>
    <t>SPATULA PLASTIC NO 238</t>
  </si>
  <si>
    <t>9555119802393</t>
  </si>
  <si>
    <t>SPATULA PLASTIC NO 239</t>
  </si>
  <si>
    <t>9555119802409</t>
  </si>
  <si>
    <t>SPATULA PLASTIC NO 240</t>
  </si>
  <si>
    <t>10426471</t>
  </si>
  <si>
    <t>SPATULA SET 2 LUXURY SPS0025</t>
  </si>
  <si>
    <t>10423373</t>
  </si>
  <si>
    <t>SPATULA SIILICONE SGS SET6</t>
  </si>
  <si>
    <t>10425799</t>
  </si>
  <si>
    <t>SPATULA SILICON SMALL YH465</t>
  </si>
  <si>
    <t>10426719</t>
  </si>
  <si>
    <t>SPATULA SILICON YH651</t>
  </si>
  <si>
    <t>10427356</t>
  </si>
  <si>
    <t>SPATULA SILICON YH652</t>
  </si>
  <si>
    <t>10424315</t>
  </si>
  <si>
    <t>SPATULA SILICONE 398-9</t>
  </si>
  <si>
    <t>10423909</t>
  </si>
  <si>
    <t>SPATULA SILICONE 3SET</t>
  </si>
  <si>
    <t>10423621</t>
  </si>
  <si>
    <t>SPATULA SILICONE BAKING 6S</t>
  </si>
  <si>
    <t>10423622</t>
  </si>
  <si>
    <t>SPATULA SILICONE BAKING 7S</t>
  </si>
  <si>
    <t>10423378</t>
  </si>
  <si>
    <t>SPATULA SILICONE LARGE KAYU SL26</t>
  </si>
  <si>
    <t>10427335</t>
  </si>
  <si>
    <t>SPATULA SILICONE SL550</t>
  </si>
  <si>
    <t>10427339</t>
  </si>
  <si>
    <t>SPATULA SILICONE SMALL RB96</t>
  </si>
  <si>
    <t>6995565657797</t>
  </si>
  <si>
    <t>SPATULA SOLET SILICON 30CM</t>
  </si>
  <si>
    <t>168847</t>
  </si>
  <si>
    <t>SPATULA STLS BGK 12</t>
  </si>
  <si>
    <t>10426533</t>
  </si>
  <si>
    <t>SPATULLA PIZZA GG KAYU 10.5X8.5CM SPT0025</t>
  </si>
  <si>
    <t>10426534</t>
  </si>
  <si>
    <t>SPATULLA PIZZA GG KAYU 11.5X10CM SPT0026</t>
  </si>
  <si>
    <t>8992917274174</t>
  </si>
  <si>
    <t>SPEKUK BMB KUE LAPIS 10GR (BOX)</t>
  </si>
  <si>
    <t>10411274</t>
  </si>
  <si>
    <t>SPG1 MECES GOLD BTL</t>
  </si>
  <si>
    <t>10411965</t>
  </si>
  <si>
    <t>SPG10 GOLD STAR</t>
  </si>
  <si>
    <t>10411966</t>
  </si>
  <si>
    <t>SPG10 GOLD STAR BTL</t>
  </si>
  <si>
    <t>10411963</t>
  </si>
  <si>
    <t>SPG12 BINTANG KCL GOLD CHOROME</t>
  </si>
  <si>
    <t>10411964</t>
  </si>
  <si>
    <t>SPG12 BINTANG KCL GOLD CHOROME BTL</t>
  </si>
  <si>
    <t>10411275</t>
  </si>
  <si>
    <t>SPG2 BINTANG BESAR GOLD</t>
  </si>
  <si>
    <t>10411276</t>
  </si>
  <si>
    <t>SPG2 BINTANG BESAR GOLD BTL</t>
  </si>
  <si>
    <t>10411281</t>
  </si>
  <si>
    <t>SPG6-2 GOLD 2MM</t>
  </si>
  <si>
    <t>10411282</t>
  </si>
  <si>
    <t>SPG6-2 GOLD 2MM BTL</t>
  </si>
  <si>
    <t>10411283</t>
  </si>
  <si>
    <t>SPG6-4 GOLD 4MM</t>
  </si>
  <si>
    <t>10411284</t>
  </si>
  <si>
    <t>SPG6-4 GOLD 4MM BTL</t>
  </si>
  <si>
    <t>10411683</t>
  </si>
  <si>
    <t>SPG6-6 GOLD 6 MM BTL</t>
  </si>
  <si>
    <t>10411967</t>
  </si>
  <si>
    <t>SPG6-7 GOLD 7 MM</t>
  </si>
  <si>
    <t>10411968</t>
  </si>
  <si>
    <t>SPG6-7 GOLD 7 MM BTL</t>
  </si>
  <si>
    <t>10411294</t>
  </si>
  <si>
    <t>SPG7A GOLD STICK EMAS BTL</t>
  </si>
  <si>
    <t>10411296</t>
  </si>
  <si>
    <t>SPG7B GOLD STICK PINK BTL</t>
  </si>
  <si>
    <t>10411298</t>
  </si>
  <si>
    <t>SPG7C GOLD STICK HIJAU BTL</t>
  </si>
  <si>
    <t>10411364</t>
  </si>
  <si>
    <t>SPG9-2 EMAS BIASA 2MM BTL</t>
  </si>
  <si>
    <t>10411286</t>
  </si>
  <si>
    <t>SPG9-4 EMAS BIASA 4MM BTL</t>
  </si>
  <si>
    <t>10411288</t>
  </si>
  <si>
    <t>SPG9-6 EMAS BIASA 6MM BTL</t>
  </si>
  <si>
    <t>10411462</t>
  </si>
  <si>
    <t>SPG9-7 EMAS BIASA 7MM BTL</t>
  </si>
  <si>
    <t>10422597</t>
  </si>
  <si>
    <t>SPIDERMAN SET4 S21</t>
  </si>
  <si>
    <t>10540045</t>
  </si>
  <si>
    <t>SPIDERMANN IMPORT SI3</t>
  </si>
  <si>
    <t>10411320</t>
  </si>
  <si>
    <t>SPK159 MAGIC EASTER EGG BTL</t>
  </si>
  <si>
    <t>10411673</t>
  </si>
  <si>
    <t>SPK470 STAR PALM TREE MIX</t>
  </si>
  <si>
    <t>10411685</t>
  </si>
  <si>
    <t>SPK470 STAR PALM TREE MIX BTL</t>
  </si>
  <si>
    <t>10411687</t>
  </si>
  <si>
    <t>SPK471 MOONLIGHT STAR BTL</t>
  </si>
  <si>
    <t>10411674</t>
  </si>
  <si>
    <t>SPK476 MAGICAL SUGAR MIX</t>
  </si>
  <si>
    <t>10411686</t>
  </si>
  <si>
    <t>SPK476 MAGICAL SUGAR MIX BTL</t>
  </si>
  <si>
    <t>10411540</t>
  </si>
  <si>
    <t>SPK81AGS SPRINKLE MIX S&amp;G BTL</t>
  </si>
  <si>
    <t>10411692</t>
  </si>
  <si>
    <t>SPK81K MIX SIZE PUTIH BTL</t>
  </si>
  <si>
    <t>10410232</t>
  </si>
  <si>
    <t>SPONGE 28 1/2KG</t>
  </si>
  <si>
    <t>10410487</t>
  </si>
  <si>
    <t>SPONGE 28 100GR</t>
  </si>
  <si>
    <t>10410486</t>
  </si>
  <si>
    <t>SPONGE 28 250GR</t>
  </si>
  <si>
    <t>8995002804058</t>
  </si>
  <si>
    <t>SPONGE 28 80GR</t>
  </si>
  <si>
    <t>10424543</t>
  </si>
  <si>
    <t>SPONGEBOB DKK 1S SI4</t>
  </si>
  <si>
    <t>10425868</t>
  </si>
  <si>
    <t>SPONGEBOB SET 6 SS-666-366</t>
  </si>
  <si>
    <t>10424387</t>
  </si>
  <si>
    <t>SPONTEX 1KG</t>
  </si>
  <si>
    <t>10424386</t>
  </si>
  <si>
    <t>SPONTEX 250GR</t>
  </si>
  <si>
    <t>8995002802061</t>
  </si>
  <si>
    <t>SPONTEX HIJAU 20KG</t>
  </si>
  <si>
    <t>10411496</t>
  </si>
  <si>
    <t>SPONTEX N 20KG</t>
  </si>
  <si>
    <t>10424382</t>
  </si>
  <si>
    <t>SPOON SIL PREMIUM SL27</t>
  </si>
  <si>
    <t>10421813</t>
  </si>
  <si>
    <t>SPOUT BAG 12X20</t>
  </si>
  <si>
    <t>10421814</t>
  </si>
  <si>
    <t>SPOUT BAG 12X20 10S</t>
  </si>
  <si>
    <t>10421820</t>
  </si>
  <si>
    <t>SPOUT BAG 14X22</t>
  </si>
  <si>
    <t>10421815</t>
  </si>
  <si>
    <t>SPOUT BAG 14X22 10S</t>
  </si>
  <si>
    <t>10421816</t>
  </si>
  <si>
    <t>SPOUT BAG 16X24</t>
  </si>
  <si>
    <t>10421817</t>
  </si>
  <si>
    <t>SPOUT BAG 16X24 10S</t>
  </si>
  <si>
    <t>10410117</t>
  </si>
  <si>
    <t>SPRINKLE DRUM 1/2 KG</t>
  </si>
  <si>
    <t>10410115</t>
  </si>
  <si>
    <t>SPRINKLE DRUM 1KG</t>
  </si>
  <si>
    <t>10411124</t>
  </si>
  <si>
    <t>SPRINKLE DRUM 50KG</t>
  </si>
  <si>
    <t>10410642</t>
  </si>
  <si>
    <t>SPRINKLE EASTER BUNY 50GR</t>
  </si>
  <si>
    <t>10410658</t>
  </si>
  <si>
    <t>SPRINKLE SPRING 100 GR</t>
  </si>
  <si>
    <t>8995002800357</t>
  </si>
  <si>
    <t>SPRINT 28 CAKE EMULSIFIER 40GR</t>
  </si>
  <si>
    <t>10411290</t>
  </si>
  <si>
    <t>SPS1 MECES SILVER BTL</t>
  </si>
  <si>
    <t>10411292</t>
  </si>
  <si>
    <t>SPS2 BINTANG BESAR SILVER BTL</t>
  </si>
  <si>
    <t>10411305</t>
  </si>
  <si>
    <t>SPS3 BINTANG KECIL SILVER</t>
  </si>
  <si>
    <t>10411306</t>
  </si>
  <si>
    <t>SPS3 BINTANG KECIL SILVER BTL</t>
  </si>
  <si>
    <t>10411308</t>
  </si>
  <si>
    <t>SPS4 HATI BESAR SILVER BTL</t>
  </si>
  <si>
    <t>10411415</t>
  </si>
  <si>
    <t>SPS6-2 SPRINKLE SILVER 2MM</t>
  </si>
  <si>
    <t>10411412</t>
  </si>
  <si>
    <t>SPS6-2 SPRINKLE SILVER 2MM BTL</t>
  </si>
  <si>
    <t>10411311</t>
  </si>
  <si>
    <t>SPS6-4 SILVER 4MM</t>
  </si>
  <si>
    <t>10411312</t>
  </si>
  <si>
    <t>SPS6-4 SILVER 4MM BTL</t>
  </si>
  <si>
    <t>10411672</t>
  </si>
  <si>
    <t>SPS6-6 SILVER 6MM</t>
  </si>
  <si>
    <t>10411684</t>
  </si>
  <si>
    <t>SPS6-6 SILVER 6MM BTL</t>
  </si>
  <si>
    <t>10424332</t>
  </si>
  <si>
    <t>SPUIT 112</t>
  </si>
  <si>
    <t>10424343</t>
  </si>
  <si>
    <t>SPUIT 113</t>
  </si>
  <si>
    <t>10424335</t>
  </si>
  <si>
    <t>SPUIT 123</t>
  </si>
  <si>
    <t>10424333</t>
  </si>
  <si>
    <t>SPUIT 132</t>
  </si>
  <si>
    <t>10424340</t>
  </si>
  <si>
    <t>SPUIT 1C</t>
  </si>
  <si>
    <t>10424098</t>
  </si>
  <si>
    <t>SPUIT 1E</t>
  </si>
  <si>
    <t>10424345</t>
  </si>
  <si>
    <t>SPUIT 1G</t>
  </si>
  <si>
    <t>10424099</t>
  </si>
  <si>
    <t>SPUIT 1M</t>
  </si>
  <si>
    <t>10424334</t>
  </si>
  <si>
    <t>SPUIT 2F</t>
  </si>
  <si>
    <t>10424331</t>
  </si>
  <si>
    <t>SPUIT 2MM</t>
  </si>
  <si>
    <t>10424344</t>
  </si>
  <si>
    <t>SPUIT 336</t>
  </si>
  <si>
    <t>10424338</t>
  </si>
  <si>
    <t>SPUIT 353</t>
  </si>
  <si>
    <t>10424342</t>
  </si>
  <si>
    <t>SPUIT 368</t>
  </si>
  <si>
    <t>10422879</t>
  </si>
  <si>
    <t>SPUIT 3S SP21</t>
  </si>
  <si>
    <t>10424327</t>
  </si>
  <si>
    <t>SPUIT 7092</t>
  </si>
  <si>
    <t>10424328</t>
  </si>
  <si>
    <t>SPUIT 7103</t>
  </si>
  <si>
    <t>10424330</t>
  </si>
  <si>
    <t>SPUIT 7112B</t>
  </si>
  <si>
    <t>10424326</t>
  </si>
  <si>
    <t>SPUIT 7162</t>
  </si>
  <si>
    <t>10424336</t>
  </si>
  <si>
    <t>SPUIT 895</t>
  </si>
  <si>
    <t>10424339</t>
  </si>
  <si>
    <t>SPUIT 8CS</t>
  </si>
  <si>
    <t>10424341</t>
  </si>
  <si>
    <t>SPUIT 9FT</t>
  </si>
  <si>
    <t>10424707</t>
  </si>
  <si>
    <t>SPUIT A1</t>
  </si>
  <si>
    <t>10427480</t>
  </si>
  <si>
    <t>SPUIT A2</t>
  </si>
  <si>
    <t>10424347</t>
  </si>
  <si>
    <t>SPUIT A45</t>
  </si>
  <si>
    <t>10420774</t>
  </si>
  <si>
    <t>SPUIT BUTTER 12 AB 010</t>
  </si>
  <si>
    <t>2016110266661</t>
  </si>
  <si>
    <t>SPUIT BUTTER 12 ZX315</t>
  </si>
  <si>
    <t>6823081052010</t>
  </si>
  <si>
    <t>SPUIT BUTTER AB012</t>
  </si>
  <si>
    <t>6899369520076</t>
  </si>
  <si>
    <t>SPUIT BUTTER BULAT SET12 AB010</t>
  </si>
  <si>
    <t>10424337</t>
  </si>
  <si>
    <t>SPUIT D352</t>
  </si>
  <si>
    <t>10424329</t>
  </si>
  <si>
    <t>SPUIT D52</t>
  </si>
  <si>
    <t>10424346</t>
  </si>
  <si>
    <t>SPUIT D68</t>
  </si>
  <si>
    <t>696043074209</t>
  </si>
  <si>
    <t>SPUIT DECORATING SUIT 7 SP 4</t>
  </si>
  <si>
    <t>10423726</t>
  </si>
  <si>
    <t>SPUIT KUE FILLING SET 3 SKF2</t>
  </si>
  <si>
    <t>10422880</t>
  </si>
  <si>
    <t>SPUIT LANCIP SP22</t>
  </si>
  <si>
    <t>10422793</t>
  </si>
  <si>
    <t>SPUIT NOZEL 1</t>
  </si>
  <si>
    <t>10425062</t>
  </si>
  <si>
    <t>SPUIT PIPING BAG SET 8 SP26</t>
  </si>
  <si>
    <t>10421924</t>
  </si>
  <si>
    <t>SPUIT RUSIA</t>
  </si>
  <si>
    <t>7112034568098</t>
  </si>
  <si>
    <t>SPUIT RUSIA 7 MOTIF</t>
  </si>
  <si>
    <t>10422381</t>
  </si>
  <si>
    <t>SPUIT RUSIA SET 12 YG-31</t>
  </si>
  <si>
    <t>6978753526709</t>
  </si>
  <si>
    <t>SPUIT RUSIA SET 12 ZX 512</t>
  </si>
  <si>
    <t>10423565</t>
  </si>
  <si>
    <t>SPUIT SET 10 SP9</t>
  </si>
  <si>
    <t>6958764131123</t>
  </si>
  <si>
    <t>SPUIT SET 13 AB014</t>
  </si>
  <si>
    <t>6923450625521</t>
  </si>
  <si>
    <t>SPUIT SET 13 YG19</t>
  </si>
  <si>
    <t>10420723</t>
  </si>
  <si>
    <t>SPUIT SET 30 SP 8</t>
  </si>
  <si>
    <t>6899369520052</t>
  </si>
  <si>
    <t>SPUIT SET 6 AB006</t>
  </si>
  <si>
    <t>10420726</t>
  </si>
  <si>
    <t>SPUIT SET 6 SP 10</t>
  </si>
  <si>
    <t>10420737</t>
  </si>
  <si>
    <t>SPUIT SET 6 SP 11</t>
  </si>
  <si>
    <t>6921548541548</t>
  </si>
  <si>
    <t>SPUIT SET 7 AB015</t>
  </si>
  <si>
    <t>6899369520038</t>
  </si>
  <si>
    <t>SPUIT SET 8 + CONTONG AB031</t>
  </si>
  <si>
    <t>6906241151805</t>
  </si>
  <si>
    <t>SPUIT SET 8 AB050</t>
  </si>
  <si>
    <t>10420738</t>
  </si>
  <si>
    <t>SPUIT SET 8 SP 12</t>
  </si>
  <si>
    <t>10427378</t>
  </si>
  <si>
    <t>SPUIT SET 8 SP38</t>
  </si>
  <si>
    <t>6971824952312</t>
  </si>
  <si>
    <t>SPUIT SET14 YR1823</t>
  </si>
  <si>
    <t>10423223</t>
  </si>
  <si>
    <t>SPUIT SET27 SP24</t>
  </si>
  <si>
    <t>6899369520045</t>
  </si>
  <si>
    <t>SPUIT SET7 AB007</t>
  </si>
  <si>
    <t>10423303</t>
  </si>
  <si>
    <t>SPUIT STAIN 24S 1613-4</t>
  </si>
  <si>
    <t>6978753526785</t>
  </si>
  <si>
    <t>SPUIT STAINLES 24 1613-2</t>
  </si>
  <si>
    <t>10422379</t>
  </si>
  <si>
    <t>SPUIT STAINLESS 48S 1613-5</t>
  </si>
  <si>
    <t>10423222</t>
  </si>
  <si>
    <t>SPUIT STAINLESS SP23</t>
  </si>
  <si>
    <t>10423585</t>
  </si>
  <si>
    <t>SPUIT+CB+CANTONG 13 AB029</t>
  </si>
  <si>
    <t>10423216</t>
  </si>
  <si>
    <t>SPUIT+GM+KUAS+PAKU T10-8</t>
  </si>
  <si>
    <t>6980783210850</t>
  </si>
  <si>
    <t>SPUIT+PAKU+PS.POLES+KUAS T10-3</t>
  </si>
  <si>
    <t>10422398</t>
  </si>
  <si>
    <t>SPUIT+SENDOK+SOLET 9 AB025</t>
  </si>
  <si>
    <t>10422397</t>
  </si>
  <si>
    <t>SPUIT+SPATULA+GM AB027</t>
  </si>
  <si>
    <t>6945948974515</t>
  </si>
  <si>
    <t>SPUIT+WHISK+SENDOK 9 AB023</t>
  </si>
  <si>
    <t>10422896</t>
  </si>
  <si>
    <t>SPUIT12 SP20</t>
  </si>
  <si>
    <t>8991001111647</t>
  </si>
  <si>
    <t>SQ CHUNCKY BAR 85GR</t>
  </si>
  <si>
    <t>8991001111883</t>
  </si>
  <si>
    <t>SQ CHUNKY BAR MINI 12X30GR</t>
  </si>
  <si>
    <t>8991001113023</t>
  </si>
  <si>
    <t>SQ CHUNKY BAR MINI ALMOND 16X12X30GR</t>
  </si>
  <si>
    <t>8991001111722</t>
  </si>
  <si>
    <t>SQ CHUNKY WHITE CHOCOLATE 95GR</t>
  </si>
  <si>
    <t>8991001111692</t>
  </si>
  <si>
    <t>SQ CRISPY 20X55GR</t>
  </si>
  <si>
    <t>8991001111289</t>
  </si>
  <si>
    <t>SQ MIDI CASHEW 30X22GR</t>
  </si>
  <si>
    <t>10423750</t>
  </si>
  <si>
    <t>SQUARE PAN ROSEGOLD LPS0026 LISSE</t>
  </si>
  <si>
    <t>8852646532009</t>
  </si>
  <si>
    <t>SRIRACHA CHILI SAUCE HOT &amp; SPICY 200ML</t>
  </si>
  <si>
    <t>6960047022707</t>
  </si>
  <si>
    <t>ST9 SENDOK CEKUNG</t>
  </si>
  <si>
    <t>10423553</t>
  </si>
  <si>
    <t>STAINLESS STEEL FILTER SSF1</t>
  </si>
  <si>
    <t>8016880215009</t>
  </si>
  <si>
    <t>STAMPO RAVIOLI SET2 LY1500-2</t>
  </si>
  <si>
    <t>10510097</t>
  </si>
  <si>
    <t>STANDING POUCH 10X17</t>
  </si>
  <si>
    <t>10510096</t>
  </si>
  <si>
    <t>STANDING POUCH 12X20</t>
  </si>
  <si>
    <t>10520046</t>
  </si>
  <si>
    <t>STANDING POUCH 14X22</t>
  </si>
  <si>
    <t>10520047</t>
  </si>
  <si>
    <t>STANDING POUCH 16X24</t>
  </si>
  <si>
    <t>10520085</t>
  </si>
  <si>
    <t>STANDING POUCH 9X15</t>
  </si>
  <si>
    <t>6930784227604</t>
  </si>
  <si>
    <t>STARTER TOOL SET3 ZN2760</t>
  </si>
  <si>
    <t>9555017209331</t>
  </si>
  <si>
    <t>STARWAY MIXED PASTILLES MIX 1KG</t>
  </si>
  <si>
    <t>10540009</t>
  </si>
  <si>
    <t>STICK ES</t>
  </si>
  <si>
    <t>10540049</t>
  </si>
  <si>
    <t>STICK ES 1/2 KG</t>
  </si>
  <si>
    <t>10421929</t>
  </si>
  <si>
    <t>STICK ES 100GR</t>
  </si>
  <si>
    <t>10540020</t>
  </si>
  <si>
    <t>STICK ES 250GR</t>
  </si>
  <si>
    <t>10427221</t>
  </si>
  <si>
    <t>STICKER BAKERY HAND MADE B-51-25</t>
  </si>
  <si>
    <t>10425624</t>
  </si>
  <si>
    <t>STICKER BLT B HITAM SELAMAT MENIKMATI</t>
  </si>
  <si>
    <t>10425626</t>
  </si>
  <si>
    <t>STICKER BLT B KUNING SELAMAT MENIKMATI</t>
  </si>
  <si>
    <t>10426837</t>
  </si>
  <si>
    <t>STICKER BLT B SELAMAT MENIKMATI MIX</t>
  </si>
  <si>
    <t>10425625</t>
  </si>
  <si>
    <t>STICKER BLT B TOSCA/PINK SELAMAT MENIKMATI</t>
  </si>
  <si>
    <t>10425627</t>
  </si>
  <si>
    <t>STICKER BLT COKLAT K SELAMAT MENIKMATI</t>
  </si>
  <si>
    <t>10425597</t>
  </si>
  <si>
    <t>STICKER BLT HIJAB K TY FOR ORDER</t>
  </si>
  <si>
    <t>10425595</t>
  </si>
  <si>
    <t>STICKER BLT K SELAMAT MENIKMATI MIX</t>
  </si>
  <si>
    <t>10425594</t>
  </si>
  <si>
    <t>STICKER BLT UNGU K SELAMAT MENIKMATI</t>
  </si>
  <si>
    <t>10424986</t>
  </si>
  <si>
    <t>STICKER BULAT CAMPUR A-251</t>
  </si>
  <si>
    <t>10424988</t>
  </si>
  <si>
    <t>STICKER BULAT K</t>
  </si>
  <si>
    <t>10424993</t>
  </si>
  <si>
    <t>STICKER BUNGA ROSE K-82-38</t>
  </si>
  <si>
    <t>10424987</t>
  </si>
  <si>
    <t>STICKER BUNGA WARNA A281-38</t>
  </si>
  <si>
    <t>10427306</t>
  </si>
  <si>
    <t>STICKER CKLT SELAMAT MENIKMATI SM004</t>
  </si>
  <si>
    <t>10427372</t>
  </si>
  <si>
    <t>STICKER EID MUBARAK 14A</t>
  </si>
  <si>
    <t>10427373</t>
  </si>
  <si>
    <t>STICKER EID MUBARAK 14B</t>
  </si>
  <si>
    <t>10427340</t>
  </si>
  <si>
    <t>STICKER EID MUBARAK 14C</t>
  </si>
  <si>
    <t>10427367</t>
  </si>
  <si>
    <t>STICKER EID MUBARAK 14D</t>
  </si>
  <si>
    <t>10427369</t>
  </si>
  <si>
    <t>STICKER EID MUBARAK 14E</t>
  </si>
  <si>
    <t>10427370</t>
  </si>
  <si>
    <t>STICKER EID MUBARAK 14F</t>
  </si>
  <si>
    <t>10427368</t>
  </si>
  <si>
    <t>STICKER EID MUBARAK 14G</t>
  </si>
  <si>
    <t>10427371</t>
  </si>
  <si>
    <t>STICKER EID MUBARAK 14H</t>
  </si>
  <si>
    <t>10427341</t>
  </si>
  <si>
    <t>STICKER EID MUBARAK 14J</t>
  </si>
  <si>
    <t>10427214</t>
  </si>
  <si>
    <t>STICKER HANDMADE HT C-12-25</t>
  </si>
  <si>
    <t>10425598</t>
  </si>
  <si>
    <t>STICKER HANDMADE WITH LOVE B C-204</t>
  </si>
  <si>
    <t>10427269</t>
  </si>
  <si>
    <t>STICKER HITAM SELAMAT MENIKMATI SM007</t>
  </si>
  <si>
    <t>10427267</t>
  </si>
  <si>
    <t>STICKER LABEL HALAL SM10X</t>
  </si>
  <si>
    <t>10427265</t>
  </si>
  <si>
    <t>STICKER LABEL HANDMADE HITAM 100S STL01</t>
  </si>
  <si>
    <t>10427275</t>
  </si>
  <si>
    <t>STICKER LABEL TY PUTIH PANDA 100S STL05X</t>
  </si>
  <si>
    <t>10423852</t>
  </si>
  <si>
    <t>STICKER LISSE A-11 STC0001</t>
  </si>
  <si>
    <t>10427188</t>
  </si>
  <si>
    <t>STICKER LISSE A-14 STC0003</t>
  </si>
  <si>
    <t>10427184</t>
  </si>
  <si>
    <t>STICKER LISSE A-15 STC0004</t>
  </si>
  <si>
    <t>10427191</t>
  </si>
  <si>
    <t>STICKER LISSE A-58 STC0038</t>
  </si>
  <si>
    <t>10427190</t>
  </si>
  <si>
    <t>STICKER LISSE A-59 STC0039</t>
  </si>
  <si>
    <t>10427192</t>
  </si>
  <si>
    <t>STICKER LISSE B-11 STC0041</t>
  </si>
  <si>
    <t>10427189</t>
  </si>
  <si>
    <t>STICKER LISSE EID 023 STC0148</t>
  </si>
  <si>
    <t>10423853</t>
  </si>
  <si>
    <t>STICKER LISSE K-01 STC0006</t>
  </si>
  <si>
    <t>10427186</t>
  </si>
  <si>
    <t>STICKER LISSE A-10 STC0035</t>
  </si>
  <si>
    <t>10427187</t>
  </si>
  <si>
    <t>STICKER LISSE A-12 STC0002</t>
  </si>
  <si>
    <t>10427307</t>
  </si>
  <si>
    <t>STICKER PINK SELAMAT MENIKMATI SM005</t>
  </si>
  <si>
    <t>10427268</t>
  </si>
  <si>
    <t>STICKER ROLL LABEL HALAL</t>
  </si>
  <si>
    <t>10427266</t>
  </si>
  <si>
    <t>STICKER SEGEL MOTIF KARTUN 100S</t>
  </si>
  <si>
    <t>10427263</t>
  </si>
  <si>
    <t>STICKER SEGEL TY PINK 100S STL02</t>
  </si>
  <si>
    <t>10427310</t>
  </si>
  <si>
    <t>STICKER SELAMAT MENIKMATI LABUBU SM09X</t>
  </si>
  <si>
    <t>10426875</t>
  </si>
  <si>
    <t>STICKER SELAMAT MENIKMATI MIX 2,5CM</t>
  </si>
  <si>
    <t>10427309</t>
  </si>
  <si>
    <t>STICKER SELAMAT MENIKMATI MIX SM07X</t>
  </si>
  <si>
    <t>10426835</t>
  </si>
  <si>
    <t>STICKER SM K BLT CINAMOROLL F-121</t>
  </si>
  <si>
    <t>10426834</t>
  </si>
  <si>
    <t>STICKER SM K BLT MELODI F-120</t>
  </si>
  <si>
    <t>10427211</t>
  </si>
  <si>
    <t>STICKER TY ANIMALS C-204-25</t>
  </si>
  <si>
    <t>10427274</t>
  </si>
  <si>
    <t>STICKER TY BESAR A281-38</t>
  </si>
  <si>
    <t>10426465</t>
  </si>
  <si>
    <t>STICKER TY BULAT B VC-27-38</t>
  </si>
  <si>
    <t>10425585</t>
  </si>
  <si>
    <t>STICKER TY BULAT HITAM K F-112</t>
  </si>
  <si>
    <t>10425590</t>
  </si>
  <si>
    <t>STICKER TY BULAT KRAFT A F-101</t>
  </si>
  <si>
    <t>10425591</t>
  </si>
  <si>
    <t>STICKER TY BULAT KRAFT B F-102</t>
  </si>
  <si>
    <t>10425592</t>
  </si>
  <si>
    <t>STICKER TY BULAT KRAFT C F-103</t>
  </si>
  <si>
    <t>10425586</t>
  </si>
  <si>
    <t>STICKER TY BULAT LASER K F-113</t>
  </si>
  <si>
    <t>10425609</t>
  </si>
  <si>
    <t>STICKER TY BULAT MOTIF MIX K F-114</t>
  </si>
  <si>
    <t>10425608</t>
  </si>
  <si>
    <t>STICKER TY BUNGA A281-25</t>
  </si>
  <si>
    <t>10426848</t>
  </si>
  <si>
    <t>STICKER TY BUNGA MIX A C-205</t>
  </si>
  <si>
    <t>10425599</t>
  </si>
  <si>
    <t>STICKER TY BUNGA MIX B C-205</t>
  </si>
  <si>
    <t>10425634</t>
  </si>
  <si>
    <t>STICKER TY BUNGA PERSEGI A381</t>
  </si>
  <si>
    <t>10425588</t>
  </si>
  <si>
    <t>STICKER TY BUNGA PUTIH K F-115</t>
  </si>
  <si>
    <t>10427218</t>
  </si>
  <si>
    <t>STICKER TY E-01</t>
  </si>
  <si>
    <t>10424925</t>
  </si>
  <si>
    <t>STICKER TY HATI B-10ST</t>
  </si>
  <si>
    <t>10426847</t>
  </si>
  <si>
    <t>STICKER TY HIJAB C-259</t>
  </si>
  <si>
    <t>10427270</t>
  </si>
  <si>
    <t>STICKER TY HOLOGRAM C-189H</t>
  </si>
  <si>
    <t>10427216</t>
  </si>
  <si>
    <t>STICKER TY KUNING C-220-25</t>
  </si>
  <si>
    <t>10425888</t>
  </si>
  <si>
    <t>STICKER TY LABEL BIRD A-57</t>
  </si>
  <si>
    <t>10425610</t>
  </si>
  <si>
    <t>STICKER TY LOVE TU-25</t>
  </si>
  <si>
    <t>10425884</t>
  </si>
  <si>
    <t>STICKER TY MIX WARNA WARNI C-222</t>
  </si>
  <si>
    <t>10425882</t>
  </si>
  <si>
    <t>STICKER TY NEW C-210</t>
  </si>
  <si>
    <t>10427271</t>
  </si>
  <si>
    <t>STICKER TY NEW MOTIF C-188N</t>
  </si>
  <si>
    <t>10424926</t>
  </si>
  <si>
    <t>STICKER TY PINK C-09</t>
  </si>
  <si>
    <t>10427217</t>
  </si>
  <si>
    <t>STICKER TY PTH C-227-25</t>
  </si>
  <si>
    <t>10425883</t>
  </si>
  <si>
    <t>STICKER TY SARANGHAEYO</t>
  </si>
  <si>
    <t>10425587</t>
  </si>
  <si>
    <t>STICKER TY SEGI KRAFT C-0201</t>
  </si>
  <si>
    <t>10427308</t>
  </si>
  <si>
    <t>STICKER UNGU SELAMAT MENIKMATI SM006</t>
  </si>
  <si>
    <t>10427193</t>
  </si>
  <si>
    <t>STICKERLISSE B-09 STC0040</t>
  </si>
  <si>
    <t>10422162</t>
  </si>
  <si>
    <t>STIK COKLAT 100gr</t>
  </si>
  <si>
    <t>10422154</t>
  </si>
  <si>
    <t>STIK COKLAT 1KG</t>
  </si>
  <si>
    <t>10426711</t>
  </si>
  <si>
    <t>STIKER IDUL FITRI 3.8CM</t>
  </si>
  <si>
    <t>10425348</t>
  </si>
  <si>
    <t>STIKER IDUL FITRI MIX MOTIF 2.5CM</t>
  </si>
  <si>
    <t>10425353</t>
  </si>
  <si>
    <t>STIKER IDUL FITRI MIX MOTIF B 4.5CM</t>
  </si>
  <si>
    <t>10425354</t>
  </si>
  <si>
    <t>STIKER IDUL FITRI MOTIF C 4.5CM</t>
  </si>
  <si>
    <t>10425355</t>
  </si>
  <si>
    <t>STIKER IDUL FITRI MOTIF D 4.5CM</t>
  </si>
  <si>
    <t>10427344</t>
  </si>
  <si>
    <t>STIKER ROLL IDUL FITRI 4.5CM</t>
  </si>
  <si>
    <t>10427170</t>
  </si>
  <si>
    <t>STIKER SEGEL IDUL FITRI 5S STC0149</t>
  </si>
  <si>
    <t>10427169</t>
  </si>
  <si>
    <t>STIKER SEGEL IDUL FITRI 5S STC0150</t>
  </si>
  <si>
    <t>10427179</t>
  </si>
  <si>
    <t>STIKER SEGEL IDUL FITRI 5S STC0152</t>
  </si>
  <si>
    <t>10427347</t>
  </si>
  <si>
    <t>STIKER TY GRADASI C-337</t>
  </si>
  <si>
    <t>10427346</t>
  </si>
  <si>
    <t>STIKER TY HIJAU GOLD C-366</t>
  </si>
  <si>
    <t>10427348</t>
  </si>
  <si>
    <t>STIKER TY LOVE HITAM C-338</t>
  </si>
  <si>
    <t>10427345</t>
  </si>
  <si>
    <t>STIKER TY MOTIF MANBLE C-336</t>
  </si>
  <si>
    <t>10427352</t>
  </si>
  <si>
    <t>STIKER TY PERSEGI LOVE PINK F-303</t>
  </si>
  <si>
    <t>10427350</t>
  </si>
  <si>
    <t>STIKER TY PERSEGI PINK KUNING F-301</t>
  </si>
  <si>
    <t>10427351</t>
  </si>
  <si>
    <t>STIKER TY PERSEGI PUTIH PINK F-302</t>
  </si>
  <si>
    <t>10427349</t>
  </si>
  <si>
    <t>STIKER TY PINK GOLD C-367</t>
  </si>
  <si>
    <t>10420674</t>
  </si>
  <si>
    <t>STP KRFT ALU 14X22 10S</t>
  </si>
  <si>
    <t>10420677</t>
  </si>
  <si>
    <t>STP KRFT KMB 14X22 10S</t>
  </si>
  <si>
    <t>10423828</t>
  </si>
  <si>
    <t>STRIPPING KNIFE STP0002 LISSE</t>
  </si>
  <si>
    <t>10410042</t>
  </si>
  <si>
    <t>SUKADE DELIMA 100GR</t>
  </si>
  <si>
    <t>10410297</t>
  </si>
  <si>
    <t>SUKADE DELIMA 1KG</t>
  </si>
  <si>
    <t>10410050</t>
  </si>
  <si>
    <t>SUKADE DELIMA 250GR</t>
  </si>
  <si>
    <t>2208199127074</t>
  </si>
  <si>
    <t>SUKARI AL-MADINAH KURMA 500GR</t>
  </si>
  <si>
    <t>10540043</t>
  </si>
  <si>
    <t>SUMPIT NENAS 20 PSG</t>
  </si>
  <si>
    <t>8002210112704</t>
  </si>
  <si>
    <t>SUN DRIED TOMAT PASTA 190GR</t>
  </si>
  <si>
    <t>8992717900310</t>
  </si>
  <si>
    <t>SUN KARA PWD 20GR</t>
  </si>
  <si>
    <t>8997027902207</t>
  </si>
  <si>
    <t>SUNBELL TUNA DALAM MINYAK SAYUR 185ML</t>
  </si>
  <si>
    <t>8997027900333</t>
  </si>
  <si>
    <t>SUNBELL TUNA FLAKES IN SUNFLOWER OIL 120GR</t>
  </si>
  <si>
    <t>8997027904614</t>
  </si>
  <si>
    <t>SUNBELL TUNA KATSUO 70GR</t>
  </si>
  <si>
    <t>8997027906243</t>
  </si>
  <si>
    <t>SUNBELL TUNA NASI GORENG 185GR</t>
  </si>
  <si>
    <t>8997027906205</t>
  </si>
  <si>
    <t>SUNBELL TUNA SAUS CABE 185ML</t>
  </si>
  <si>
    <t>8997027900289</t>
  </si>
  <si>
    <t>SUNBELL TUNA SAUS JEPANG 70GR</t>
  </si>
  <si>
    <t>8993379500122</t>
  </si>
  <si>
    <t>SUNCO M/GORENG BTL 12X1LT</t>
  </si>
  <si>
    <t>8993379500146</t>
  </si>
  <si>
    <t>SUNCO M/GORENG BTL 4X5LT</t>
  </si>
  <si>
    <t>8993379500139</t>
  </si>
  <si>
    <t>SUNCO M/GORENG BTL 8X2LT</t>
  </si>
  <si>
    <t>8993080223006</t>
  </si>
  <si>
    <t>SUNDAY CHERRY HIJAU 13.6KG</t>
  </si>
  <si>
    <t>8993080253003</t>
  </si>
  <si>
    <t>SUNDAY CHERRY MERAH 13.6KG</t>
  </si>
  <si>
    <t>8994010000414</t>
  </si>
  <si>
    <t>SUNPRIDE KOKTAIL BUAH DALAM SIRUP 825GR</t>
  </si>
  <si>
    <t>8994010000230</t>
  </si>
  <si>
    <t>SUNPRIDE PINAPPLE SLICE HEAVY SYRUP 567GR</t>
  </si>
  <si>
    <t>8994010000407</t>
  </si>
  <si>
    <t>SUNPRIDE PINAPPLE SLICE IN SYRUP 567GR</t>
  </si>
  <si>
    <t>8994010000551</t>
  </si>
  <si>
    <t>SUNPRIDE PINAPPLE TIDBITS IN SYRUP 567GR</t>
  </si>
  <si>
    <t>SUNQUICK LEMON 300ML</t>
  </si>
  <si>
    <t>8998888153555</t>
  </si>
  <si>
    <t>SUNQUICK MANDARIN 300ML</t>
  </si>
  <si>
    <t>8998888152756</t>
  </si>
  <si>
    <t>SUNQUICK MANGO 300ML</t>
  </si>
  <si>
    <t>8998888150950</t>
  </si>
  <si>
    <t>SUNQUICK ORANGE 400 EXTRA 20%</t>
  </si>
  <si>
    <t>10411818</t>
  </si>
  <si>
    <t>SUPER FONDANT COTTON WHITE 1KG</t>
  </si>
  <si>
    <t>1054800002005000</t>
  </si>
  <si>
    <t>SUPER FONDANT COTTON WHITE 5KG</t>
  </si>
  <si>
    <t>10422598</t>
  </si>
  <si>
    <t>SUPER HERO K SET4 S77</t>
  </si>
  <si>
    <t>10422590</t>
  </si>
  <si>
    <t>SUPER HERO SET6 S93</t>
  </si>
  <si>
    <t>10422258</t>
  </si>
  <si>
    <t>SUPERMAN IMPORT SI2</t>
  </si>
  <si>
    <t>10422596</t>
  </si>
  <si>
    <t>SUPERMEN SET4 S82</t>
  </si>
  <si>
    <t>SUSU PROMIL 1/2KG</t>
  </si>
  <si>
    <t>SUSU PROMIL 1/4KG</t>
  </si>
  <si>
    <t>10410591</t>
  </si>
  <si>
    <t>SUSU PROMIL 100GR</t>
  </si>
  <si>
    <t>SUSU PROMIL 1KG</t>
  </si>
  <si>
    <t>SUSU PROMIL 25KG</t>
  </si>
  <si>
    <t>10424094</t>
  </si>
  <si>
    <t>SUTIL LUBANG MAHONI KK5</t>
  </si>
  <si>
    <t>10425146</t>
  </si>
  <si>
    <t>SUTIL PUKIS KL28</t>
  </si>
  <si>
    <t>10411039</t>
  </si>
  <si>
    <t>SWAN B AVOCADO COFFEE 500GR</t>
  </si>
  <si>
    <t>8997237642924</t>
  </si>
  <si>
    <t>SWAN B AVOCADO SMOTIES 500GR</t>
  </si>
  <si>
    <t>8997237642092</t>
  </si>
  <si>
    <t>SWAN B BUBBLE GUM 500GR</t>
  </si>
  <si>
    <t>8997237642351</t>
  </si>
  <si>
    <t>SWAN B COCO CARAMEL 500GR</t>
  </si>
  <si>
    <t>10430051</t>
  </si>
  <si>
    <t>SWAN B COCO COOKIES 500GR</t>
  </si>
  <si>
    <t>8997237643662</t>
  </si>
  <si>
    <t>SWAN B COCO HAZELNUT 500GR</t>
  </si>
  <si>
    <t>10422952</t>
  </si>
  <si>
    <t>SWAN B COFEE CARAMEL 500GR</t>
  </si>
  <si>
    <t>10411054</t>
  </si>
  <si>
    <t>SWAN B COFEE LATE 500GR</t>
  </si>
  <si>
    <t>8997237641330</t>
  </si>
  <si>
    <t>SWAN B COFFE COKIES N CREAM 500GR</t>
  </si>
  <si>
    <t>8997237642320</t>
  </si>
  <si>
    <t>SWAN B GREENTEA 500GR</t>
  </si>
  <si>
    <t>8997237641392</t>
  </si>
  <si>
    <t>SWAN B GREENTEA MATCHA 500GR</t>
  </si>
  <si>
    <t>10430050</t>
  </si>
  <si>
    <t>SWAN B HAZELNUT 500GR</t>
  </si>
  <si>
    <t>10420803</t>
  </si>
  <si>
    <t>SWAN B MILK TEA 500GR</t>
  </si>
  <si>
    <t>8997237642122</t>
  </si>
  <si>
    <t>SWAN B TIRAMISU 500GR</t>
  </si>
  <si>
    <t>8997237641569</t>
  </si>
  <si>
    <t>SWAN B VANILLA LATTE 500GR</t>
  </si>
  <si>
    <t>8997033630392</t>
  </si>
  <si>
    <t>SWAN BRAND TP GULA 250GR</t>
  </si>
  <si>
    <t>10427052</t>
  </si>
  <si>
    <t>SX112 THINWALL TABUNG 220ML</t>
  </si>
  <si>
    <t>10427044</t>
  </si>
  <si>
    <t>SX599 MK BOX OVAL</t>
  </si>
  <si>
    <t>10425030</t>
  </si>
  <si>
    <t>SYRUP POURER HITAM</t>
  </si>
  <si>
    <t>10425028</t>
  </si>
  <si>
    <t>SYRUP POURER SILVER</t>
  </si>
  <si>
    <t>55006938</t>
  </si>
  <si>
    <t>T006 LUNCH BOX SEKAT 5 STAINLES</t>
  </si>
  <si>
    <t>10422942</t>
  </si>
  <si>
    <t>TA-9 TUL HB AKRILIK UNICORN</t>
  </si>
  <si>
    <t>011210007253</t>
  </si>
  <si>
    <t>TABASCO GARLIC PEPPER SAUCE 60ML</t>
  </si>
  <si>
    <t>011210006508</t>
  </si>
  <si>
    <t>TABASCO HABANERO SAUCE 60ML</t>
  </si>
  <si>
    <t>011210000155</t>
  </si>
  <si>
    <t>TABASCO PEPPER SAUCE 150ML</t>
  </si>
  <si>
    <t>011210000018</t>
  </si>
  <si>
    <t>TABASCO PEPPER SAUCE 60ML</t>
  </si>
  <si>
    <t>8993477701605</t>
  </si>
  <si>
    <t>TAIKO GULA BATA 450GR</t>
  </si>
  <si>
    <t>6970742820034</t>
  </si>
  <si>
    <t>TALENAN HIJAU BULAT 31CM</t>
  </si>
  <si>
    <t>10427277</t>
  </si>
  <si>
    <t>TALENAN KAYU BSR/HANDLE</t>
  </si>
  <si>
    <t>10425159</t>
  </si>
  <si>
    <t>TALENAN KAYU LOVE D17</t>
  </si>
  <si>
    <t>10423986</t>
  </si>
  <si>
    <t>TALENAN KAYU SETIA 27X15 CM</t>
  </si>
  <si>
    <t>10423987</t>
  </si>
  <si>
    <t>TALENAN KAYU SETIA 30X18 CM</t>
  </si>
  <si>
    <t>10425161</t>
  </si>
  <si>
    <t>TALENAN PRIMERA SDG</t>
  </si>
  <si>
    <t>10422746</t>
  </si>
  <si>
    <t>TALENAN SET PISAU&amp;PELER</t>
  </si>
  <si>
    <t>169626</t>
  </si>
  <si>
    <t>TANG BENING</t>
  </si>
  <si>
    <t>10420160</t>
  </si>
  <si>
    <t>TART CT10 BULAT</t>
  </si>
  <si>
    <t>10420161</t>
  </si>
  <si>
    <t>TART CT15 BULAT</t>
  </si>
  <si>
    <t>10420410</t>
  </si>
  <si>
    <t>TART CT18 BULAT</t>
  </si>
  <si>
    <t>10420163</t>
  </si>
  <si>
    <t>TART CT20 BULAT</t>
  </si>
  <si>
    <t>10427273</t>
  </si>
  <si>
    <t>TART CT20 PETAK</t>
  </si>
  <si>
    <t>10420164</t>
  </si>
  <si>
    <t>TART CT22 BULAT</t>
  </si>
  <si>
    <t>10427276</t>
  </si>
  <si>
    <t>TART CT22 PETAK</t>
  </si>
  <si>
    <t>10420165</t>
  </si>
  <si>
    <t>TART CT25 BULAT</t>
  </si>
  <si>
    <t>10420166</t>
  </si>
  <si>
    <t>TART CT25 PETAK</t>
  </si>
  <si>
    <t>10420167</t>
  </si>
  <si>
    <t>TART CT28 BULAT</t>
  </si>
  <si>
    <t>10420168</t>
  </si>
  <si>
    <t>TART CT28 PETAK</t>
  </si>
  <si>
    <t>10420169</t>
  </si>
  <si>
    <t>TART CT30 BULAT</t>
  </si>
  <si>
    <t>10420170</t>
  </si>
  <si>
    <t>TART CT30 PETAK</t>
  </si>
  <si>
    <t>6988032126988</t>
  </si>
  <si>
    <t>TARTE RING ROUND SET6 8CM ZN2698</t>
  </si>
  <si>
    <t>10510213</t>
  </si>
  <si>
    <t>TAS OVAL MOTIF 10X15</t>
  </si>
  <si>
    <t>10510214</t>
  </si>
  <si>
    <t>TAS OVAL MOTIF 15X22</t>
  </si>
  <si>
    <t>10510215</t>
  </si>
  <si>
    <t>TAS OVAL MOTIF 20X30</t>
  </si>
  <si>
    <t>10510221</t>
  </si>
  <si>
    <t>TAS OVAL MOTIF 25X35</t>
  </si>
  <si>
    <t>10510216</t>
  </si>
  <si>
    <t>TAS OVAL MOTIF 30X38</t>
  </si>
  <si>
    <t>10510217</t>
  </si>
  <si>
    <t>TAS OVAL POLOS 15X22</t>
  </si>
  <si>
    <t>10510218</t>
  </si>
  <si>
    <t>TAS OVAL POLOS 20X30</t>
  </si>
  <si>
    <t>10510219</t>
  </si>
  <si>
    <t>TAS OVAL POLOS 25X35</t>
  </si>
  <si>
    <t>10510220</t>
  </si>
  <si>
    <t>TAS OVAL POLOS 30X38</t>
  </si>
  <si>
    <t>10510226</t>
  </si>
  <si>
    <t>TAS OVAL POLOS 35X45</t>
  </si>
  <si>
    <t>10426543</t>
  </si>
  <si>
    <t>TATAKAN BLT GOLD 8CM 5S CUP0030</t>
  </si>
  <si>
    <t>10426544</t>
  </si>
  <si>
    <t>TATAKAN BLT GOLD 9CM 5S CUP0031</t>
  </si>
  <si>
    <t>10426539</t>
  </si>
  <si>
    <t>TATAKAN KTK GOLD 7.2X7CM 5S CUP0034</t>
  </si>
  <si>
    <t>10426540</t>
  </si>
  <si>
    <t>TATAKAN KTK GOLD 8.4X9CM 5S CUP0035</t>
  </si>
  <si>
    <t>169524</t>
  </si>
  <si>
    <t>TATAKAN KUE PERSEGI PJG</t>
  </si>
  <si>
    <t>10422351</t>
  </si>
  <si>
    <t>TATAKAN PANGGANG 26CM</t>
  </si>
  <si>
    <t>10426541</t>
  </si>
  <si>
    <t>TATAKAN SEGI3 GOLD 11.5X6.4CM 5S CUP0032</t>
  </si>
  <si>
    <t>10426542</t>
  </si>
  <si>
    <t>TATAKAN SEGITIGA GOLD 11.8X7.8CM 5S CUP0033</t>
  </si>
  <si>
    <t>10200099</t>
  </si>
  <si>
    <t>TATURA CRM CHEESE 1KG</t>
  </si>
  <si>
    <t>10422270</t>
  </si>
  <si>
    <t>TAYO IMPORT 1S DK-03</t>
  </si>
  <si>
    <t>6958004010591</t>
  </si>
  <si>
    <t>TOAST BOX GOLD SC TBX0009</t>
  </si>
  <si>
    <t>6923314041115</t>
  </si>
  <si>
    <t>TEA BALL KECIL TOL0082</t>
  </si>
  <si>
    <t>9311931181203</t>
  </si>
  <si>
    <t>TEA TARIK 24X5X25GR</t>
  </si>
  <si>
    <t>10425445</t>
  </si>
  <si>
    <t>TEGAK EMAS TA119A</t>
  </si>
  <si>
    <t>10425446</t>
  </si>
  <si>
    <t>TEGAK HITAM TA119HT</t>
  </si>
  <si>
    <t>10412354</t>
  </si>
  <si>
    <t>TEH BENDERA BUBUK 10 KG</t>
  </si>
  <si>
    <t>8993055000601</t>
  </si>
  <si>
    <t>TEH BENDERA CELUP 25</t>
  </si>
  <si>
    <t>8996006320117</t>
  </si>
  <si>
    <t>TEH BOTOL SOSRO KOTAK 200ML</t>
  </si>
  <si>
    <t>9829988678992</t>
  </si>
  <si>
    <t>TEH COCO CELUP LEMON TEA 24X15`S</t>
  </si>
  <si>
    <t>9829077998888</t>
  </si>
  <si>
    <t>TEH COCO CELUP MAWAR 48X25`S</t>
  </si>
  <si>
    <t>9887950812126</t>
  </si>
  <si>
    <t>TEH COCO CLASSIC 50GRX200</t>
  </si>
  <si>
    <t>9829012351686</t>
  </si>
  <si>
    <t>TEH COCO CLASSIC HIJAU 25`SX48</t>
  </si>
  <si>
    <t>9829017778891</t>
  </si>
  <si>
    <t>TEH COCO HIJAU JASMINE AMPLOP 48X25`S</t>
  </si>
  <si>
    <t>9829012041686</t>
  </si>
  <si>
    <t>TEH COCO ISI 25X48</t>
  </si>
  <si>
    <t>9836017888888</t>
  </si>
  <si>
    <t>TEH COCO ISI 50X48</t>
  </si>
  <si>
    <t>9829012077777</t>
  </si>
  <si>
    <t>TEH COCO ISI 75X12</t>
  </si>
  <si>
    <t>9882998777888</t>
  </si>
  <si>
    <t>TEH COCO JERUK NIPIS AMPLOP 48X25`S</t>
  </si>
  <si>
    <t>9829988123775</t>
  </si>
  <si>
    <t>TEH COCO VANILA AMPLOP 48X25`S</t>
  </si>
  <si>
    <t>8994144100042</t>
  </si>
  <si>
    <t>TEH GOPEK 40GR</t>
  </si>
  <si>
    <t>8994144100059</t>
  </si>
  <si>
    <t>TEH GOPEK 80GR</t>
  </si>
  <si>
    <t>8994144100202</t>
  </si>
  <si>
    <t>TEH GOPEK JASMINE CELUP 25S</t>
  </si>
  <si>
    <t>8992933381115</t>
  </si>
  <si>
    <t>TEH SISRI CINCAU 8GR</t>
  </si>
  <si>
    <t>8992933108118</t>
  </si>
  <si>
    <t>TEH SISRI GULA BATU 8GR</t>
  </si>
  <si>
    <t>8992933387117</t>
  </si>
  <si>
    <t>TEH SISRI GULA TEBU 8GR</t>
  </si>
  <si>
    <t>8992933103113</t>
  </si>
  <si>
    <t>TEH SISRI LEMON 8GR</t>
  </si>
  <si>
    <t>8992933042115</t>
  </si>
  <si>
    <t>TEH TJAP SOLO 35GR</t>
  </si>
  <si>
    <t>10422836</t>
  </si>
  <si>
    <t>TEKO 24CM</t>
  </si>
  <si>
    <t>8997014350110</t>
  </si>
  <si>
    <t>TEMAN LAUT BAKSO IKAN DAN CUMI 500GR</t>
  </si>
  <si>
    <t>8997014350103</t>
  </si>
  <si>
    <t>TEMAN LAUT BAKSO IKAN DAN UDANG 500GR</t>
  </si>
  <si>
    <t>8997205150499</t>
  </si>
  <si>
    <t>TEMPAT AGAR BUNGA MATAHARI</t>
  </si>
  <si>
    <t>8997006801316</t>
  </si>
  <si>
    <t>TEMPAT TUSUK GIGI HOMMY JANE 5223</t>
  </si>
  <si>
    <t>103001008</t>
  </si>
  <si>
    <t>TEMULAWAK 1KG</t>
  </si>
  <si>
    <t>103001009</t>
  </si>
  <si>
    <t>TEMULAWAK 50GR</t>
  </si>
  <si>
    <t>10427500</t>
  </si>
  <si>
    <t>TEN TEN SAUCE CUP 100ML</t>
  </si>
  <si>
    <t>10427502</t>
  </si>
  <si>
    <t>TEN TEN SAUCE CUP 60ML</t>
  </si>
  <si>
    <t>10427503</t>
  </si>
  <si>
    <t>TEN TEN SAUCE CUP 70ML</t>
  </si>
  <si>
    <t>10427501</t>
  </si>
  <si>
    <t>TEN TEN SAUCE CUP 90ML</t>
  </si>
  <si>
    <t>8997017540013</t>
  </si>
  <si>
    <t>TEPUNG BAKSO KOFTA</t>
  </si>
  <si>
    <t>8997033631597</t>
  </si>
  <si>
    <t>TEPUNG ROTI RUMAH KITA 500GR</t>
  </si>
  <si>
    <t>10200082</t>
  </si>
  <si>
    <t>TERASI 333 20GR 1S</t>
  </si>
  <si>
    <t>10200078</t>
  </si>
  <si>
    <t>TERASI 333 20GR 20S</t>
  </si>
  <si>
    <t>10200380</t>
  </si>
  <si>
    <t>TERASI 333 40GR 10S</t>
  </si>
  <si>
    <t>10200083</t>
  </si>
  <si>
    <t>TERASI SN BLT</t>
  </si>
  <si>
    <t>10420494</t>
  </si>
  <si>
    <t>TERASI SN BLT 1S</t>
  </si>
  <si>
    <t>8995333032113</t>
  </si>
  <si>
    <t>TERIGU GATOT KACA 1KG</t>
  </si>
  <si>
    <t>8995333060703</t>
  </si>
  <si>
    <t>TERIGU KOMPAS 1KG</t>
  </si>
  <si>
    <t>TERIGU KUNCI BIRU 1KG</t>
  </si>
  <si>
    <t>TERIGU LENCANA MERAH 1KG</t>
  </si>
  <si>
    <t>8997019490019</t>
  </si>
  <si>
    <t>TERIGU MILA 1KG</t>
  </si>
  <si>
    <t>10411441</t>
  </si>
  <si>
    <t>TERIGU PAYUNG 1KG</t>
  </si>
  <si>
    <t>8997205020099</t>
  </si>
  <si>
    <t>TERIGU SEMOLINA GANDUM 2.5KG</t>
  </si>
  <si>
    <t>168888</t>
  </si>
  <si>
    <t>TERMOMETER DIGITAL</t>
  </si>
  <si>
    <t>168889</t>
  </si>
  <si>
    <t>TERMOMETER OVEN OT1</t>
  </si>
  <si>
    <t>10423756</t>
  </si>
  <si>
    <t>TERMOMETER OVEN TER0001 LISSE</t>
  </si>
  <si>
    <t>8992931005235</t>
  </si>
  <si>
    <t>TESSA FACIAL KARAKTER 200S</t>
  </si>
  <si>
    <t>8992931005228</t>
  </si>
  <si>
    <t>TESSA FACIAL NATURAL SOFT 250S</t>
  </si>
  <si>
    <t>8992931001848</t>
  </si>
  <si>
    <t>TESSA NATURAL TOWEL ROL 100S</t>
  </si>
  <si>
    <t>8992931005099</t>
  </si>
  <si>
    <t>TESSA TP-09 TRAVEL TWEETY 50`SX48</t>
  </si>
  <si>
    <t>8992931005112</t>
  </si>
  <si>
    <t>TESSA TP-11 TRAVEL 50`SX80</t>
  </si>
  <si>
    <t>8992931006256</t>
  </si>
  <si>
    <t>TESSA TPC-25X48</t>
  </si>
  <si>
    <t>10520004</t>
  </si>
  <si>
    <t>TF 2</t>
  </si>
  <si>
    <t>10520100</t>
  </si>
  <si>
    <t>TF 2 POLOS</t>
  </si>
  <si>
    <t>10520003</t>
  </si>
  <si>
    <t>TF 3</t>
  </si>
  <si>
    <t>10520105</t>
  </si>
  <si>
    <t>TF 3 POLOS</t>
  </si>
  <si>
    <t>10420418</t>
  </si>
  <si>
    <t>TF BURGER</t>
  </si>
  <si>
    <t>8852646230509</t>
  </si>
  <si>
    <t>THAI DANCER MASSAMAN CURRY PASTE 50GR</t>
  </si>
  <si>
    <t>8852646220500</t>
  </si>
  <si>
    <t>THAI DANCER PANANG CURRY PASTE 50GR</t>
  </si>
  <si>
    <t>8852646210501</t>
  </si>
  <si>
    <t>THAI DANCER RED CURRY PASTE 50GR</t>
  </si>
  <si>
    <t>8852646250507</t>
  </si>
  <si>
    <t>THAI DANCER TOM YUM PASTE 50GR</t>
  </si>
  <si>
    <t>8852646190506</t>
  </si>
  <si>
    <t>THAI DANCER YELLOW CURRY PASTE 50GR</t>
  </si>
  <si>
    <t>10425150</t>
  </si>
  <si>
    <t>THERMOMETER DIGITAL FOOD DCT119</t>
  </si>
  <si>
    <t>10426889</t>
  </si>
  <si>
    <t>THINWALL DM GELAS 700ML</t>
  </si>
  <si>
    <t>10425099</t>
  </si>
  <si>
    <t>THINWALL DM RECTANGLE 300ML</t>
  </si>
  <si>
    <t>10425720</t>
  </si>
  <si>
    <t>THINWALL DM ROUND 100ML</t>
  </si>
  <si>
    <t>10425721</t>
  </si>
  <si>
    <t>THINWALL DM ROUND 150ML</t>
  </si>
  <si>
    <t>1042585</t>
  </si>
  <si>
    <t>THINWALL DM ROUND BOWL 300ML</t>
  </si>
  <si>
    <t>1042583</t>
  </si>
  <si>
    <t>THINWALL DM ROUND BOWL 400ML</t>
  </si>
  <si>
    <t>1042584</t>
  </si>
  <si>
    <t>THINWALL DM ROUND BOWL 450ML</t>
  </si>
  <si>
    <t>10425723</t>
  </si>
  <si>
    <t>THINWALL DM SAUCE CUP 25ML</t>
  </si>
  <si>
    <t>10425722</t>
  </si>
  <si>
    <t>THINWALL DM SAUCE CUP 35ML</t>
  </si>
  <si>
    <t>1042590</t>
  </si>
  <si>
    <t>THINWALL DM SQUARE 1000ML</t>
  </si>
  <si>
    <t>10427514</t>
  </si>
  <si>
    <t>THINWALL DM SQUARE 200ML</t>
  </si>
  <si>
    <t>10426890</t>
  </si>
  <si>
    <t>THINWALL DM TUTUP GELAS DATAR</t>
  </si>
  <si>
    <t>10425830</t>
  </si>
  <si>
    <t>THINWALL EASY PACK KM 650 TRP</t>
  </si>
  <si>
    <t>10425831</t>
  </si>
  <si>
    <t>THINWALL EASY PACK KM 750 TRP</t>
  </si>
  <si>
    <t>10423656</t>
  </si>
  <si>
    <t>THINWALL EASY PACK KP 1000</t>
  </si>
  <si>
    <t>10423664</t>
  </si>
  <si>
    <t>THINWALL EASY PACK KP 1750</t>
  </si>
  <si>
    <t>10423657</t>
  </si>
  <si>
    <t>THINWALL EASY PACK MK 300</t>
  </si>
  <si>
    <t>10423658</t>
  </si>
  <si>
    <t>THINWALL EASY PACK MK 450</t>
  </si>
  <si>
    <t>10423661</t>
  </si>
  <si>
    <t>THINWALL EASY PACK MS 700</t>
  </si>
  <si>
    <t>10427045</t>
  </si>
  <si>
    <t>THINWALL KOTAK 120ML TWK120</t>
  </si>
  <si>
    <t>10422579</t>
  </si>
  <si>
    <t>THOMAS TRAIN B (4) K103</t>
  </si>
  <si>
    <t>10422895</t>
  </si>
  <si>
    <t>THOR 917-1D</t>
  </si>
  <si>
    <t>8993007004213</t>
  </si>
  <si>
    <t>TIGA SAPI SKM COKLAT 48X490R</t>
  </si>
  <si>
    <t>10425941</t>
  </si>
  <si>
    <t>TIMBANGAN ANALOG 5KG</t>
  </si>
  <si>
    <t>6922227113476</t>
  </si>
  <si>
    <t>TIMBANGAN CAMRY EK2160H 5KG</t>
  </si>
  <si>
    <t>6922227103224</t>
  </si>
  <si>
    <t>TIMBANGAN CAMRY EK3650/51 5KG</t>
  </si>
  <si>
    <t>6922227108892</t>
  </si>
  <si>
    <t>TIMBANGAN CAMRY EK3840 3KG</t>
  </si>
  <si>
    <t>6922227101695</t>
  </si>
  <si>
    <t>TIMBANGAN CAMRY EK5055 5KG</t>
  </si>
  <si>
    <t>6922227107789</t>
  </si>
  <si>
    <t>TIMBANGAN CAMRY EK9270 5KG</t>
  </si>
  <si>
    <t>10422745</t>
  </si>
  <si>
    <t>TIMBANGAN DIGI CROWN NEXIA</t>
  </si>
  <si>
    <t>10427519</t>
  </si>
  <si>
    <t>TIMBANGAN DIGI CX 1IN6 5KG</t>
  </si>
  <si>
    <t>10427518</t>
  </si>
  <si>
    <t>TIMBANGAN DIGI CX 1IN7 5KG</t>
  </si>
  <si>
    <t>10427517</t>
  </si>
  <si>
    <t>TIMBANGAN DIGI CX-C07 3KG</t>
  </si>
  <si>
    <t>10422744</t>
  </si>
  <si>
    <t>TIMBANGAN DIGI ELECTRONIC B05</t>
  </si>
  <si>
    <t>10424744</t>
  </si>
  <si>
    <t>TIMBANGAN DIGITAL ARASHI AKS02 5KG</t>
  </si>
  <si>
    <t>10425583</t>
  </si>
  <si>
    <t>TIMBANGAN DIGITAL ARASHI AKS03 5KG</t>
  </si>
  <si>
    <t>10425942</t>
  </si>
  <si>
    <t>TIMBANGAN DIGITAL EKSH-150 10KG</t>
  </si>
  <si>
    <t>10422430</t>
  </si>
  <si>
    <t>TIMBANGAN DIGITAL HOMELUX 3KG</t>
  </si>
  <si>
    <t>10426929</t>
  </si>
  <si>
    <t>TIMBANGAN DIGITAL SCALE 10KG</t>
  </si>
  <si>
    <t>10423095</t>
  </si>
  <si>
    <t>TIMBANGAN HOMELUX 5KG</t>
  </si>
  <si>
    <t>10423018</t>
  </si>
  <si>
    <t>TIMBANGAN KITCHEN SCALE 5KG</t>
  </si>
  <si>
    <t>10425284</t>
  </si>
  <si>
    <t>TIMBANGAN KOPI I-2000</t>
  </si>
  <si>
    <t>849969023251</t>
  </si>
  <si>
    <t>TIMBANGAN MEASURE MASTER 15KG</t>
  </si>
  <si>
    <t>847127007433</t>
  </si>
  <si>
    <t>TIMBANGAN MEASURE MASTER 5KG</t>
  </si>
  <si>
    <t>10426930</t>
  </si>
  <si>
    <t>TIMBANGAN SF-400 COLOUR</t>
  </si>
  <si>
    <t>4904785031883</t>
  </si>
  <si>
    <t>TIMBANGAN TANITA 1122 2KG</t>
  </si>
  <si>
    <t>4904785032071</t>
  </si>
  <si>
    <t>TIMBANGAN TANITA 1401 2.25KG</t>
  </si>
  <si>
    <t>4904785032057</t>
  </si>
  <si>
    <t>TIMBANGAN TANITA 1401 2KG</t>
  </si>
  <si>
    <t>4904785033856</t>
  </si>
  <si>
    <t>TIMBANGAN TANITA KD160</t>
  </si>
  <si>
    <t>6939105416871</t>
  </si>
  <si>
    <t>TIMER ANIMAL LISSE TID0002</t>
  </si>
  <si>
    <t>10425427</t>
  </si>
  <si>
    <t>TIMER DIGITAL MINI COLOUR</t>
  </si>
  <si>
    <t>10427426</t>
  </si>
  <si>
    <t>TIPTOP GELAS 60ML</t>
  </si>
  <si>
    <t>10425837</t>
  </si>
  <si>
    <t>TIPTOP SDK BEBEK BENING 12LS</t>
  </si>
  <si>
    <t>10425382</t>
  </si>
  <si>
    <t>TIPTOP SDK BEBEK PTH 12LS</t>
  </si>
  <si>
    <t>10425927</t>
  </si>
  <si>
    <t>TIRAI FOLL RUMBAI 2M</t>
  </si>
  <si>
    <t>8992931021211</t>
  </si>
  <si>
    <t>TISU MULTI HAND TOWELS 150S</t>
  </si>
  <si>
    <t>10422600</t>
  </si>
  <si>
    <t>TK11234- RAK KUE P4</t>
  </si>
  <si>
    <t>10423492</t>
  </si>
  <si>
    <t>TLSAN HB PAKU HIJAU 1S TI101D</t>
  </si>
  <si>
    <t>10423493</t>
  </si>
  <si>
    <t>TLSAN HB PAKU HIJAU 6S TI101D</t>
  </si>
  <si>
    <t>10430101</t>
  </si>
  <si>
    <t>TOAST BOX 10X10 LISSE</t>
  </si>
  <si>
    <t>6958004013233</t>
  </si>
  <si>
    <t>8997002220562</t>
  </si>
  <si>
    <t>TOBAFISH TUNA CHUNK IN BRINE 185GR</t>
  </si>
  <si>
    <t>8997002220579</t>
  </si>
  <si>
    <t>TOBAFISH TUNA CHUNK IN OIL 185GR</t>
  </si>
  <si>
    <t>8997002220715</t>
  </si>
  <si>
    <t>TOBAFISH TUNA RED CHILI 140G</t>
  </si>
  <si>
    <t>8997002220500</t>
  </si>
  <si>
    <t>TOBAFISH TUNA SANDWICH 185GR</t>
  </si>
  <si>
    <t>8991205512394</t>
  </si>
  <si>
    <t>TOFFIECO ALMOND 25CC</t>
  </si>
  <si>
    <t>8991205512547</t>
  </si>
  <si>
    <t>TOFFIECO ANGGUR 25CC</t>
  </si>
  <si>
    <t>8991205516712</t>
  </si>
  <si>
    <t>TOFFIECO BIRU 30GR</t>
  </si>
  <si>
    <t>8990108872482</t>
  </si>
  <si>
    <t>TOFFIECO BLUEBERRY 25CC</t>
  </si>
  <si>
    <t>8991205517597</t>
  </si>
  <si>
    <t>TOFFIECO BLUEBERRY PASTA 100G</t>
  </si>
  <si>
    <t>8990108870501</t>
  </si>
  <si>
    <t>TOFFIECO BUBLE GUM 25CC</t>
  </si>
  <si>
    <t>8991205515241</t>
  </si>
  <si>
    <t>TOFFIECO CAPPUCINO 25CC</t>
  </si>
  <si>
    <t>8991205514091</t>
  </si>
  <si>
    <t>TOFFIECO COCONUT 25CC</t>
  </si>
  <si>
    <t>8991205514992</t>
  </si>
  <si>
    <t>TOFFIECO COFFE BREAD 25CC</t>
  </si>
  <si>
    <t>8990108871317</t>
  </si>
  <si>
    <t>TOFFIECO COFFE CARAMEL PASTA 100GR</t>
  </si>
  <si>
    <t>8990108871522</t>
  </si>
  <si>
    <t>TOFFIECO COFFE PASTA 100GR</t>
  </si>
  <si>
    <t>8991205516033</t>
  </si>
  <si>
    <t>TOFFIECO COKLAT 30GR</t>
  </si>
  <si>
    <t>8991205511595</t>
  </si>
  <si>
    <t>TOFFIECO COKLAT BF PASTA 100G</t>
  </si>
  <si>
    <t>8991205511601</t>
  </si>
  <si>
    <t>TOFFIECO COKLAT BF PASTA 250g</t>
  </si>
  <si>
    <t>8991205511618</t>
  </si>
  <si>
    <t>TOFFIECO COKLAT BF PASTA 500GR</t>
  </si>
  <si>
    <t>8991205510741</t>
  </si>
  <si>
    <t>TOFFIECO COKLAT PASTA 100GR</t>
  </si>
  <si>
    <t>8991205510758</t>
  </si>
  <si>
    <t>TOFFIECO COKLAT PASTA 250gr</t>
  </si>
  <si>
    <t>8991205510765</t>
  </si>
  <si>
    <t>TOFFIECO COKLAT PASTA 500GR</t>
  </si>
  <si>
    <t>8991205515746</t>
  </si>
  <si>
    <t>TOFFIECO CONDENSE MILK 25CC</t>
  </si>
  <si>
    <t>8991205510697</t>
  </si>
  <si>
    <t>TOFFIECO DURIAN PASTA 100GR</t>
  </si>
  <si>
    <t>8991205512448</t>
  </si>
  <si>
    <t>TOFFIECO DURIAN 25CC</t>
  </si>
  <si>
    <t>8991205516231</t>
  </si>
  <si>
    <t>TOFFIECO HIJAU MUDA 30GR</t>
  </si>
  <si>
    <t>8991205516279</t>
  </si>
  <si>
    <t>TOFFIECO HIJAU TUA 30GR</t>
  </si>
  <si>
    <t>8991205516637</t>
  </si>
  <si>
    <t>TOFFIECO JINGGA 30GR</t>
  </si>
  <si>
    <t>8991205514299</t>
  </si>
  <si>
    <t>TOFFIECO KEJU 25CC</t>
  </si>
  <si>
    <t>8991205516156</t>
  </si>
  <si>
    <t>TOFFIECO KUNING TELUR 30GR</t>
  </si>
  <si>
    <t>8991205516194</t>
  </si>
  <si>
    <t>TOFFIECO KUNING TERANG 30GR</t>
  </si>
  <si>
    <t>8991205512592</t>
  </si>
  <si>
    <t>TOFFIECO LECI 25CC</t>
  </si>
  <si>
    <t>8991205512622</t>
  </si>
  <si>
    <t>TOFFIECO LECI ESSENCE 1KG</t>
  </si>
  <si>
    <t>8991205510840</t>
  </si>
  <si>
    <t>TOFFIECO MANGGA PASTA 100G</t>
  </si>
  <si>
    <t>8991205514343</t>
  </si>
  <si>
    <t>TOFFIECO MELON 25CC</t>
  </si>
  <si>
    <t>8991205510925</t>
  </si>
  <si>
    <t>TOFFIECO MELON PASTA 1 LITER</t>
  </si>
  <si>
    <t>8991205510895</t>
  </si>
  <si>
    <t>TOFFIECO MELON PASTA 100G</t>
  </si>
  <si>
    <t>8991205516675</t>
  </si>
  <si>
    <t>TOFFIECO MERAH MUDA 30GR</t>
  </si>
  <si>
    <t>8991205516071</t>
  </si>
  <si>
    <t>TOFFIECO MERAH TERANG 30GR</t>
  </si>
  <si>
    <t>8991205516118</t>
  </si>
  <si>
    <t>TOFFIECO MERAH TUA 30GR</t>
  </si>
  <si>
    <t>8990108870037</t>
  </si>
  <si>
    <t>TOFFIECO MILK FC PASTA 100G</t>
  </si>
  <si>
    <t>8991205513292</t>
  </si>
  <si>
    <t>TOFFIECO MINT 25CC</t>
  </si>
  <si>
    <t>8991205510826</t>
  </si>
  <si>
    <t>TOFFIECO MOCCA SP PASTA 1KG</t>
  </si>
  <si>
    <t>8991205510802</t>
  </si>
  <si>
    <t>TOFFIECO MOCCA SP PASTA 250GR</t>
  </si>
  <si>
    <t>8991205515791</t>
  </si>
  <si>
    <t>TOFFIECO MOCHACINO 25CC</t>
  </si>
  <si>
    <t>8991205510796</t>
  </si>
  <si>
    <t>TOFFIECO MOKA SUPER PASTA 100GR</t>
  </si>
  <si>
    <t>8991205517696</t>
  </si>
  <si>
    <t>TOFFIECO NANAS PASTA 100GR</t>
  </si>
  <si>
    <t>8991205511793</t>
  </si>
  <si>
    <t>TOFFIECO NANGKA PASTA 100G</t>
  </si>
  <si>
    <t>8991205510949</t>
  </si>
  <si>
    <t>TOFFIECO ORANGE PASTA 100GR</t>
  </si>
  <si>
    <t>8991205512646</t>
  </si>
  <si>
    <t>TOFFIECO PANDAN 25CC</t>
  </si>
  <si>
    <t>8990108872109</t>
  </si>
  <si>
    <t>TOFFIECO PANDAN MALAKA PASTA 100GR</t>
  </si>
  <si>
    <t>8991205510994</t>
  </si>
  <si>
    <t>TOFFIECO PANDAN PASTA 100GR</t>
  </si>
  <si>
    <t>8991205511007</t>
  </si>
  <si>
    <t>TOFFIECO PANDAN PASTA 250GR</t>
  </si>
  <si>
    <t>8991205511014</t>
  </si>
  <si>
    <t>TOFFIECO PANDAN PASTA 500GR</t>
  </si>
  <si>
    <t>8990108872390</t>
  </si>
  <si>
    <t>TOFFIECO PANDAN SUJI PASTA 100GR</t>
  </si>
  <si>
    <t>8990108872444</t>
  </si>
  <si>
    <t>TOFFIECO PANDAN WANGI PASTA 100GR</t>
  </si>
  <si>
    <t>8990108872451</t>
  </si>
  <si>
    <t>TOFFIECO PANDAN WANGI PASTA 250GR</t>
  </si>
  <si>
    <t>8991205516064</t>
  </si>
  <si>
    <t>TOFFIECO PEWARNA COKLAT 1LT</t>
  </si>
  <si>
    <t>8990108872185</t>
  </si>
  <si>
    <t>TOFFIECO RED VELVET PASTA 250GR</t>
  </si>
  <si>
    <t>8990108872192</t>
  </si>
  <si>
    <t>TOFFIECO RED VELVET PASTA 500GR</t>
  </si>
  <si>
    <t>8991205515999</t>
  </si>
  <si>
    <t>TOFFIECO SALEM 30GR</t>
  </si>
  <si>
    <t>8991205511045</t>
  </si>
  <si>
    <t>TOFFIECO STRAW PASTA 100GR</t>
  </si>
  <si>
    <t>8991205513599</t>
  </si>
  <si>
    <t>TOFFIECO STRAWBERRY 25CC</t>
  </si>
  <si>
    <t>8991205511076</t>
  </si>
  <si>
    <t>TOFFIECO STRAWBERRY PASTA 1 LITER</t>
  </si>
  <si>
    <t>8991205515692</t>
  </si>
  <si>
    <t>TOFFIECO SUSU 25CC</t>
  </si>
  <si>
    <t>8990108870617</t>
  </si>
  <si>
    <t>TOFFIECO SUSU KENTAL PASTA 100GR</t>
  </si>
  <si>
    <t>8991205517795</t>
  </si>
  <si>
    <t>TOFFIECO TALAS PASTA 100GR</t>
  </si>
  <si>
    <t>8991205517825</t>
  </si>
  <si>
    <t>TOFFIECO TALAS PASTA 1KG</t>
  </si>
  <si>
    <t>8991205514145</t>
  </si>
  <si>
    <t>TOFFIECO TEH HIJAU 25CC</t>
  </si>
  <si>
    <t>8991205511748</t>
  </si>
  <si>
    <t>TOFFIECO TEH HIJAU PASTA 100G</t>
  </si>
  <si>
    <t>8991205511946</t>
  </si>
  <si>
    <t>TOFFIECO TIRAMISU PASTA 100GR</t>
  </si>
  <si>
    <t>8991205514244</t>
  </si>
  <si>
    <t>TOFFIECO TUTTI FRUITY 25CC</t>
  </si>
  <si>
    <t>8991205516750</t>
  </si>
  <si>
    <t>TOFFIECO UNGU 30GR</t>
  </si>
  <si>
    <t>8991205511649</t>
  </si>
  <si>
    <t>TOFFIECO VANILA BUTTER PASTA 100G</t>
  </si>
  <si>
    <t>8991205511656</t>
  </si>
  <si>
    <t>TOFFIECO VANILA BUTTER PASTA 250GR</t>
  </si>
  <si>
    <t>TOFFIECO VANILA PASTA 1KG</t>
  </si>
  <si>
    <t>8991205511106</t>
  </si>
  <si>
    <t>TOFFIECO VANILA PASTA 250GR</t>
  </si>
  <si>
    <t>8991205513544</t>
  </si>
  <si>
    <t>TOFFIECO VANILLA 25CC</t>
  </si>
  <si>
    <t>TOFFIECO VANILLA PASTA 100GR</t>
  </si>
  <si>
    <t>8990108871850</t>
  </si>
  <si>
    <t>TOFFIECO ZERO BAKAR 100GR</t>
  </si>
  <si>
    <t>8990108871881</t>
  </si>
  <si>
    <t>TOFFIECO ZERO BAKAR 1KG</t>
  </si>
  <si>
    <t>8990108871928</t>
  </si>
  <si>
    <t>8990074000254</t>
  </si>
  <si>
    <t>TOKPOKKI 1KG</t>
  </si>
  <si>
    <t>8997227873901</t>
  </si>
  <si>
    <t>TOKPOKKI 500GR</t>
  </si>
  <si>
    <t>8997227873482</t>
  </si>
  <si>
    <t>TOKPOKKI SAUS 250GR</t>
  </si>
  <si>
    <t>8997227873499</t>
  </si>
  <si>
    <t>TOKPOKKI SAUS 500GR</t>
  </si>
  <si>
    <t>8992936662488</t>
  </si>
  <si>
    <t>TONG TJI BLACK TEA HARUM TB25</t>
  </si>
  <si>
    <t>8992936661979</t>
  </si>
  <si>
    <t>TONG TJI GREENTEA 100GR</t>
  </si>
  <si>
    <t>8992936661610</t>
  </si>
  <si>
    <t>TONG TJI GREENTEA JASMINE 15S</t>
  </si>
  <si>
    <t>8992936661931</t>
  </si>
  <si>
    <t>TONG TJI JASMINE PREMIUM 40GR</t>
  </si>
  <si>
    <t>8992936125013</t>
  </si>
  <si>
    <t>TONG TJI JASMINE PREMIUM 50GR</t>
  </si>
  <si>
    <t>8992936120902</t>
  </si>
  <si>
    <t>TONG TJI JASMINE PREMIUM 9GR 10S</t>
  </si>
  <si>
    <t>8992936661283</t>
  </si>
  <si>
    <t>TONG TJI JASMINE TEA TB 100S</t>
  </si>
  <si>
    <t>8992936662723</t>
  </si>
  <si>
    <t>TONG TJI JASMINE TEA TB 15S</t>
  </si>
  <si>
    <t>8992936115014</t>
  </si>
  <si>
    <t>TONG TJI JASMINE TEA TB 25S</t>
  </si>
  <si>
    <t>8992936115021</t>
  </si>
  <si>
    <t>TONG TJI JASMINE TEH CELUP 25S</t>
  </si>
  <si>
    <t>8992936661559</t>
  </si>
  <si>
    <t>TONG TJI LEMON TEA 15S</t>
  </si>
  <si>
    <t>8992936661306</t>
  </si>
  <si>
    <t>TONG TJI TEH ASLI 100S</t>
  </si>
  <si>
    <t>8992936662747</t>
  </si>
  <si>
    <t>TONG TJI TEH ASLI 15S</t>
  </si>
  <si>
    <t>8992936115045</t>
  </si>
  <si>
    <t>TONG TJI TEH ASLI 25S</t>
  </si>
  <si>
    <t>8992936661269</t>
  </si>
  <si>
    <t>TONG TJI TEH ASLI 50GR</t>
  </si>
  <si>
    <t>8992936254126</t>
  </si>
  <si>
    <t>TONG TJI TEH BUBUK SUPER 250GR</t>
  </si>
  <si>
    <t>8992936662693</t>
  </si>
  <si>
    <t>TONG TJI TEH HIJAU 50GR</t>
  </si>
  <si>
    <t>8992936214014</t>
  </si>
  <si>
    <t>TONG TJI TEH SUPER 40GR</t>
  </si>
  <si>
    <t>TONG TJI TEH SUPER 80GR</t>
  </si>
  <si>
    <t>8997209101572</t>
  </si>
  <si>
    <t>TONG TJI TEMATIK CHOCOLATE 280GR</t>
  </si>
  <si>
    <t>8997209101558</t>
  </si>
  <si>
    <t>TONG TJI TEMATIK CHOCOLATE 87GR</t>
  </si>
  <si>
    <t>8997209100308</t>
  </si>
  <si>
    <t>TONG TJI TEMATIK GINGER TEA BOX</t>
  </si>
  <si>
    <t>8997209100230</t>
  </si>
  <si>
    <t>TONG TJI TEMATIK LEMONGRASS 87 GR</t>
  </si>
  <si>
    <t>8997209100124</t>
  </si>
  <si>
    <t>TONG TJI TEMATIK MATCHA 247GR</t>
  </si>
  <si>
    <t>8997209100070</t>
  </si>
  <si>
    <t>TONG TJI TEMATIK TEH TARIK 236GR</t>
  </si>
  <si>
    <t>8992936115069</t>
  </si>
  <si>
    <t>TONGTJI GREENTEA 50GR</t>
  </si>
  <si>
    <t>8997209100056</t>
  </si>
  <si>
    <t>TONGTJI TEMATIK 70.8GR</t>
  </si>
  <si>
    <t>8997209100100</t>
  </si>
  <si>
    <t>TONGTJI TEMATIK MATCHA 74GR</t>
  </si>
  <si>
    <t>8992933306118</t>
  </si>
  <si>
    <t>TOP ICE CAPPUCINO RTG</t>
  </si>
  <si>
    <t>8992933365115</t>
  </si>
  <si>
    <t>TOP ICE CHOCO CHEESE RTG</t>
  </si>
  <si>
    <t>8992933357110</t>
  </si>
  <si>
    <t>TOP ICE SUSU VANILA RTG</t>
  </si>
  <si>
    <t>8992933573114</t>
  </si>
  <si>
    <t>TOP ICE TARO RTG</t>
  </si>
  <si>
    <t>8992933366112</t>
  </si>
  <si>
    <t>TOP ICE WAFER COKLAT RTG</t>
  </si>
  <si>
    <t>8992933369113</t>
  </si>
  <si>
    <t>TOP ICE WAFER KEJU RTG</t>
  </si>
  <si>
    <t>10427148</t>
  </si>
  <si>
    <t>TOPLES 101 TTP MERAH</t>
  </si>
  <si>
    <t>10427144</t>
  </si>
  <si>
    <t>TOPLES 111 TTP MERAH</t>
  </si>
  <si>
    <t>10427147</t>
  </si>
  <si>
    <t>TOPLES 2103 TTP MERAH HANDLE</t>
  </si>
  <si>
    <t>10427145</t>
  </si>
  <si>
    <t>TOPLES 2105 TTP MERAH HANDLE</t>
  </si>
  <si>
    <t>10427146</t>
  </si>
  <si>
    <t>TOPLES 2301 TTP MERAH</t>
  </si>
  <si>
    <t>10427058</t>
  </si>
  <si>
    <t>TOPLES BEST BELLE</t>
  </si>
  <si>
    <t>10427059</t>
  </si>
  <si>
    <t>TOPLES BEST CAITLYN 025</t>
  </si>
  <si>
    <t>10427060</t>
  </si>
  <si>
    <t>TOPLES BEST CAITLYN 05</t>
  </si>
  <si>
    <t>10427061</t>
  </si>
  <si>
    <t>TOPLES BEST CLAYTON 2023</t>
  </si>
  <si>
    <t>10700020</t>
  </si>
  <si>
    <t>TOPLES BIGGY CT 150</t>
  </si>
  <si>
    <t>10700021</t>
  </si>
  <si>
    <t>TOPLES BIGGY CT 350</t>
  </si>
  <si>
    <t>10422296</t>
  </si>
  <si>
    <t>TOPLES EASYTOP 1008 KEMBANG</t>
  </si>
  <si>
    <t>10423641</t>
  </si>
  <si>
    <t>TOPLES EASYTOP 1009P</t>
  </si>
  <si>
    <t>10425130</t>
  </si>
  <si>
    <t>TOPLES EASYTOP 1010 (1LSN)</t>
  </si>
  <si>
    <t>10530115</t>
  </si>
  <si>
    <t>TOPLES EASYTOP 1010 (2LSN)</t>
  </si>
  <si>
    <t>10423675</t>
  </si>
  <si>
    <t>TOPLES EASYTOP 1102 BULAT</t>
  </si>
  <si>
    <t>10422918</t>
  </si>
  <si>
    <t>TOPLES EASYTOP 1106 SEGI8</t>
  </si>
  <si>
    <t>10422917</t>
  </si>
  <si>
    <t>TOPLES EASYTOP 1201 CANDY</t>
  </si>
  <si>
    <t>10700016</t>
  </si>
  <si>
    <t>TOPLES EASYTOP 1205P</t>
  </si>
  <si>
    <t>10424753</t>
  </si>
  <si>
    <t>TOPLES EASYTOP 212 TABUNG (1LSN)</t>
  </si>
  <si>
    <t>10420597</t>
  </si>
  <si>
    <t>TOPLES EASYTOP 212 TABUNG (2LSN)</t>
  </si>
  <si>
    <t>10530116</t>
  </si>
  <si>
    <t>TOPLES EASYTOP 317</t>
  </si>
  <si>
    <t>10423676</t>
  </si>
  <si>
    <t>TOPLES EASYTOP 320 PARTISI (2LSN)</t>
  </si>
  <si>
    <t>10420444</t>
  </si>
  <si>
    <t>TOPLES EASYTOP 712</t>
  </si>
  <si>
    <t>10420595</t>
  </si>
  <si>
    <t>TOPLES EASYTOP 712 RADIAN</t>
  </si>
  <si>
    <t>10422916</t>
  </si>
  <si>
    <t>TOPLES EASYTOP 808 BATIK</t>
  </si>
  <si>
    <t>10422625</t>
  </si>
  <si>
    <t>TOPLES EASYTOP 815 TABUNG</t>
  </si>
  <si>
    <t>10423674</t>
  </si>
  <si>
    <t>TOPLES EASYTOP 818 BATIK</t>
  </si>
  <si>
    <t>10424575</t>
  </si>
  <si>
    <t>TOPLES GB JENNY</t>
  </si>
  <si>
    <t>10423991</t>
  </si>
  <si>
    <t>TOPLES LOGO 312</t>
  </si>
  <si>
    <t>10424802</t>
  </si>
  <si>
    <t>TOPLES LOGO 316</t>
  </si>
  <si>
    <t>10423631</t>
  </si>
  <si>
    <t>TOPLES LOGO 317</t>
  </si>
  <si>
    <t>10423928</t>
  </si>
  <si>
    <t>TOPLES LOGO 319</t>
  </si>
  <si>
    <t>10423942</t>
  </si>
  <si>
    <t>TOPLES LOGO 328 WAJIK</t>
  </si>
  <si>
    <t>10424007</t>
  </si>
  <si>
    <t>TOPLES LOGO 338</t>
  </si>
  <si>
    <t>10425381</t>
  </si>
  <si>
    <t>TOPLES LOGO 339</t>
  </si>
  <si>
    <t>10423992</t>
  </si>
  <si>
    <t>TOPLES LOGO 358</t>
  </si>
  <si>
    <t>10423927</t>
  </si>
  <si>
    <t>TOPLES LOGO 388</t>
  </si>
  <si>
    <t>10423638</t>
  </si>
  <si>
    <t>TOPLES LOGO 392 SEKAT2</t>
  </si>
  <si>
    <t>10423639</t>
  </si>
  <si>
    <t>TOPLES LOGO 392 SEKAT3</t>
  </si>
  <si>
    <t>10423632</t>
  </si>
  <si>
    <t>TOPLES LOGO 393</t>
  </si>
  <si>
    <t>10423637</t>
  </si>
  <si>
    <t>TOPLES LOGO 395</t>
  </si>
  <si>
    <t>10424482</t>
  </si>
  <si>
    <t>TOPLES LOGO 397</t>
  </si>
  <si>
    <t>10424004</t>
  </si>
  <si>
    <t>TOPLES LOGO 618</t>
  </si>
  <si>
    <t>10423943</t>
  </si>
  <si>
    <t>TOPLES LOGO 888</t>
  </si>
  <si>
    <t>10425380</t>
  </si>
  <si>
    <t>TOPLES LOGO 926</t>
  </si>
  <si>
    <t>10427152</t>
  </si>
  <si>
    <t>TOPLES LOGO 926 SEKAT4</t>
  </si>
  <si>
    <t>10424005</t>
  </si>
  <si>
    <t>TOPLES LOGO 928</t>
  </si>
  <si>
    <t>10424670</t>
  </si>
  <si>
    <t>TOPLES LOGO 988 HENDA</t>
  </si>
  <si>
    <t>10700011</t>
  </si>
  <si>
    <t>TOPLES NUAI 211</t>
  </si>
  <si>
    <t>10700005</t>
  </si>
  <si>
    <t>TOPLES NUAI 288</t>
  </si>
  <si>
    <t>10700013</t>
  </si>
  <si>
    <t>TOPLES NUAI 299</t>
  </si>
  <si>
    <t>10700006</t>
  </si>
  <si>
    <t>TOPLES NUAI 377</t>
  </si>
  <si>
    <t>10700007</t>
  </si>
  <si>
    <t>TOPLES NUAI 388</t>
  </si>
  <si>
    <t>10700009</t>
  </si>
  <si>
    <t>TOPLES NUAI 588</t>
  </si>
  <si>
    <t>10700010</t>
  </si>
  <si>
    <t>TOPLES NUAI 599</t>
  </si>
  <si>
    <t>10700022</t>
  </si>
  <si>
    <t>TOPLES NUAI 879</t>
  </si>
  <si>
    <t>10427118</t>
  </si>
  <si>
    <t>TOPLES TIPTOP 250GR</t>
  </si>
  <si>
    <t>10425328</t>
  </si>
  <si>
    <t>TOPLES TIPTOP 500GR</t>
  </si>
  <si>
    <t>10424147</t>
  </si>
  <si>
    <t>TOPLES TTP GOLD 10X12CM</t>
  </si>
  <si>
    <t>10424146</t>
  </si>
  <si>
    <t>TOPLES TTP GOLD 10X15CM</t>
  </si>
  <si>
    <t>10424399</t>
  </si>
  <si>
    <t>TOPLES TTP GOLD 6.5CMX14.5CM</t>
  </si>
  <si>
    <t>10424149</t>
  </si>
  <si>
    <t>TOPLES TTP GOLD 8,5X10CM</t>
  </si>
  <si>
    <t>10424148</t>
  </si>
  <si>
    <t>TOPLES TTP GOLD 8,5X12CM</t>
  </si>
  <si>
    <t>10424763</t>
  </si>
  <si>
    <t>TOPLES TTP GOLD 8,5X15CM</t>
  </si>
  <si>
    <t>10424304</t>
  </si>
  <si>
    <t>TOPLES TTP GOLD 8,5X8,5CM</t>
  </si>
  <si>
    <t>10424305</t>
  </si>
  <si>
    <t>TOPLES TTP SILVER 10X10CM</t>
  </si>
  <si>
    <t>10424151</t>
  </si>
  <si>
    <t>TOPLES TTP SILVER 10X12CM</t>
  </si>
  <si>
    <t>10424158</t>
  </si>
  <si>
    <t>TOPLES TTP SILVER 10X15CM</t>
  </si>
  <si>
    <t>10425060</t>
  </si>
  <si>
    <t>TOPLES TTP SILVER 6,5CMX14,5CM</t>
  </si>
  <si>
    <t>10424150</t>
  </si>
  <si>
    <t>TOPLES TTP SILVER 8,5X10CM</t>
  </si>
  <si>
    <t>10424159</t>
  </si>
  <si>
    <t>TOPLES TTP SILVER 8,5X12CM</t>
  </si>
  <si>
    <t>10424764</t>
  </si>
  <si>
    <t>TOPLES TTP SILVER 8,5X15CM</t>
  </si>
  <si>
    <t>10424306</t>
  </si>
  <si>
    <t>TOPLES TTP SILVER 8,5X8,5CM</t>
  </si>
  <si>
    <t>8992759324105</t>
  </si>
  <si>
    <t>TOPLY NAPKIN 50S</t>
  </si>
  <si>
    <t>8992759324136</t>
  </si>
  <si>
    <t>TOPLY WHITE LUNCHEON PTG 2 60x100`S</t>
  </si>
  <si>
    <t>10427362</t>
  </si>
  <si>
    <t>TOPPER AKRILIK GOLD 10S TA45AG</t>
  </si>
  <si>
    <t>169479</t>
  </si>
  <si>
    <t>TOPPER ANGKA 0</t>
  </si>
  <si>
    <t>10427381</t>
  </si>
  <si>
    <t>TOPPER ANNA TP1</t>
  </si>
  <si>
    <t>10425647</t>
  </si>
  <si>
    <t>TOPPER BATMAN 3 TT56</t>
  </si>
  <si>
    <t>10425963</t>
  </si>
  <si>
    <t>TOPPER BINTANG EMAS 7S TKS-0063-A</t>
  </si>
  <si>
    <t>10425979</t>
  </si>
  <si>
    <t>TOPPER CINAMON ROLL BLT TUSUK 5S TKS-0101-3A</t>
  </si>
  <si>
    <t>10427238</t>
  </si>
  <si>
    <t>TOPPER CINAMON ROLL DKK 5S C17-B</t>
  </si>
  <si>
    <t>10425978</t>
  </si>
  <si>
    <t>TOPPER CINAMON ROLL SEDOTAN 10S TKS-0101-1D</t>
  </si>
  <si>
    <t>10425960</t>
  </si>
  <si>
    <t>TOPPER CINNAMON ROLL 35S TKS-0101-HB5</t>
  </si>
  <si>
    <t>10425973</t>
  </si>
  <si>
    <t>TOPPER DAUN MELINGKAR EMAS TKS-0098-A</t>
  </si>
  <si>
    <t>10425971</t>
  </si>
  <si>
    <t>TOPPER DAUN MELINGKAR PINK TKS-0098-H</t>
  </si>
  <si>
    <t>10425972</t>
  </si>
  <si>
    <t>TOPPER DAUN MELINGKAR TOSCA TKS-0098-DI</t>
  </si>
  <si>
    <t>10426536</t>
  </si>
  <si>
    <t>TOPPER EID MUBARAK TOS0001</t>
  </si>
  <si>
    <t>10426583</t>
  </si>
  <si>
    <t>TOPPER EKOR DUYUNG TKS-0032</t>
  </si>
  <si>
    <t>10427382</t>
  </si>
  <si>
    <t>TOPPER ELSA TP2</t>
  </si>
  <si>
    <t>10425645</t>
  </si>
  <si>
    <t>TOPPER FROZEN 3 TT57</t>
  </si>
  <si>
    <t>10425958</t>
  </si>
  <si>
    <t>TOPPER HATI PINK 7S TKS-0065-H</t>
  </si>
  <si>
    <t>10424933</t>
  </si>
  <si>
    <t>TOPPER HB ANIMAL TPK18</t>
  </si>
  <si>
    <t>10426461</t>
  </si>
  <si>
    <t>TOPPER HB ANIMAL TPK246</t>
  </si>
  <si>
    <t>10424939</t>
  </si>
  <si>
    <t>TOPPER HB BATMAN TPK3</t>
  </si>
  <si>
    <t>10424928</t>
  </si>
  <si>
    <t>TOPPER HB BOBOIBOY TPK14</t>
  </si>
  <si>
    <t>10424930</t>
  </si>
  <si>
    <t>TOPPER HB CAPTEN AMERIKA TPK4</t>
  </si>
  <si>
    <t>10425083</t>
  </si>
  <si>
    <t>TOPPER HB COCOMELON SET6 TT13</t>
  </si>
  <si>
    <t>10425845</t>
  </si>
  <si>
    <t>TOPPER HB DINASAURUS TPK227</t>
  </si>
  <si>
    <t>10427430</t>
  </si>
  <si>
    <t>TOPPER HB DIRGAHAYU RI TPK269</t>
  </si>
  <si>
    <t>10424938</t>
  </si>
  <si>
    <t>TOPPER HB DORAEMON TPK24</t>
  </si>
  <si>
    <t>10424940</t>
  </si>
  <si>
    <t>TOPPER HB FREEFIRE TPK99</t>
  </si>
  <si>
    <t>10424936</t>
  </si>
  <si>
    <t>TOPPER HB GOLDEN PAN TPK39</t>
  </si>
  <si>
    <t>10425846</t>
  </si>
  <si>
    <t>TOPPER HB HELLO KITTY TPK226</t>
  </si>
  <si>
    <t>10425847</t>
  </si>
  <si>
    <t>TOPPER HB HK MELODI MERAH TPK231</t>
  </si>
  <si>
    <t>10427015</t>
  </si>
  <si>
    <t>TOPPER HB HONEY 10S YTA-0003-E</t>
  </si>
  <si>
    <t>10426574</t>
  </si>
  <si>
    <t>TOPPER HB IRONMAN TPK241</t>
  </si>
  <si>
    <t>10424947</t>
  </si>
  <si>
    <t>TOPPER HB KUDAPONY KUE TPK45</t>
  </si>
  <si>
    <t>10424942</t>
  </si>
  <si>
    <t>TOPPER HB KUDAPONY TPK28</t>
  </si>
  <si>
    <t>10426573</t>
  </si>
  <si>
    <t>TOPPER HB KUROMI HITAM TPK244</t>
  </si>
  <si>
    <t>10425078</t>
  </si>
  <si>
    <t>TOPPER HB LOL SET6 TT9</t>
  </si>
  <si>
    <t>10424946</t>
  </si>
  <si>
    <t>TOPPER HB LOL TPK25</t>
  </si>
  <si>
    <t>10427431</t>
  </si>
  <si>
    <t>TOPPER HB MAINCRATT TPK271</t>
  </si>
  <si>
    <t>10424931</t>
  </si>
  <si>
    <t>TOPPER HB MARVEL TPK41</t>
  </si>
  <si>
    <t>10424932</t>
  </si>
  <si>
    <t>TOPPER HB MINNIE MICKEY TPK13</t>
  </si>
  <si>
    <t>10424935</t>
  </si>
  <si>
    <t>TOPPER HB MOBIL CART TPK6</t>
  </si>
  <si>
    <t>10424941</t>
  </si>
  <si>
    <t>TOPPER HB MOBILELEGENDS TPK38</t>
  </si>
  <si>
    <t>10427016</t>
  </si>
  <si>
    <t>TOPPER HB MYHUSBAND 10S YTA-0003-B</t>
  </si>
  <si>
    <t>10427013</t>
  </si>
  <si>
    <t>TOPPER HB MYHUSBAND 10S YTA-0003-D</t>
  </si>
  <si>
    <t>10427017</t>
  </si>
  <si>
    <t>TOPPER HB MYLOVE 10S YTA-0003-G</t>
  </si>
  <si>
    <t>10427014</t>
  </si>
  <si>
    <t>TOPPER HB MYWIFE 10S YTA-0003-C</t>
  </si>
  <si>
    <t>10424937</t>
  </si>
  <si>
    <t>TOPPER HB NERF TPK97</t>
  </si>
  <si>
    <t>10424929</t>
  </si>
  <si>
    <t>TOPPER HB PRINCES TPK44</t>
  </si>
  <si>
    <t>10425964</t>
  </si>
  <si>
    <t>TOPPER HB PUTIH CINAMON ROLL 5S TKS-0101-HB2</t>
  </si>
  <si>
    <t>10425977</t>
  </si>
  <si>
    <t>TOPPER HB RAINBOW CINAMON ROLL TKS-0101-HB1</t>
  </si>
  <si>
    <t>10424927</t>
  </si>
  <si>
    <t>TOPPER HB ROBLOK TPK105</t>
  </si>
  <si>
    <t>10427432</t>
  </si>
  <si>
    <t>TOPPER HB SLM HARI KEMERDEKAAN TPK270</t>
  </si>
  <si>
    <t>10424934</t>
  </si>
  <si>
    <t>TOPPER HB SPIDERMAN TPK1</t>
  </si>
  <si>
    <t>10427434</t>
  </si>
  <si>
    <t>TOPPER HB SUPERHERO THOR TPK274</t>
  </si>
  <si>
    <t>10424945</t>
  </si>
  <si>
    <t>TOPPER HB SUPERMAN TPK2</t>
  </si>
  <si>
    <t>10424944</t>
  </si>
  <si>
    <t>TOPPER HB TAYO TPK10</t>
  </si>
  <si>
    <t>10427433</t>
  </si>
  <si>
    <t>TOPPER HB TENTARA TPK268</t>
  </si>
  <si>
    <t>10424943</t>
  </si>
  <si>
    <t>TOPPER HB TOHMAS TPK84</t>
  </si>
  <si>
    <t>10426575</t>
  </si>
  <si>
    <t>TOPPER HB TURTLES TPK240</t>
  </si>
  <si>
    <t>10426989</t>
  </si>
  <si>
    <t>TOPPER HBD ANAK HIJAB TPK255</t>
  </si>
  <si>
    <t>10424694</t>
  </si>
  <si>
    <t>TOPPER HBD AWAN 1S D99</t>
  </si>
  <si>
    <t>10424695</t>
  </si>
  <si>
    <t>TOPPER HBD AWAN 6S D99</t>
  </si>
  <si>
    <t>10424692</t>
  </si>
  <si>
    <t>TOPPER HBD BINGKAI 1S D96</t>
  </si>
  <si>
    <t>10424693</t>
  </si>
  <si>
    <t>TOPPER HBD BINGKAI 6S D96</t>
  </si>
  <si>
    <t>10426992</t>
  </si>
  <si>
    <t>TOPPER HBD LABUBU RMH TPK264</t>
  </si>
  <si>
    <t>10426993</t>
  </si>
  <si>
    <t>TOPPER HBD LABUBU TPK261</t>
  </si>
  <si>
    <t>10426990</t>
  </si>
  <si>
    <t>TOPPER HBD MEMELODY TPK260</t>
  </si>
  <si>
    <t>10426991</t>
  </si>
  <si>
    <t>TOPPER HBD MERMAID TPK259</t>
  </si>
  <si>
    <t>10425976</t>
  </si>
  <si>
    <t>TOPPER KELINCI 3S TKS-0102-3</t>
  </si>
  <si>
    <t>10425957</t>
  </si>
  <si>
    <t>TOPPER KELINCI BALET 5S TKS-0102-B</t>
  </si>
  <si>
    <t>10426582</t>
  </si>
  <si>
    <t>TOPPER KERANG CAMPUR TKS-0031</t>
  </si>
  <si>
    <t>10425966</t>
  </si>
  <si>
    <t>TOPPER KERTAS ANIMALS 7S TKS-0052</t>
  </si>
  <si>
    <t>10425969</t>
  </si>
  <si>
    <t>TOPPER KERTAS ANIMALS 7S TKS-0058</t>
  </si>
  <si>
    <t>10425968</t>
  </si>
  <si>
    <t>TOPPER KERTAS ANIMALS+POHON 10S TKS-0057</t>
  </si>
  <si>
    <t>10425967</t>
  </si>
  <si>
    <t>TOPPER KERTAS MOBIL KEAMANAN 5S TKS-0055</t>
  </si>
  <si>
    <t>10425986</t>
  </si>
  <si>
    <t>TOPPER KERTAS TUSUK HBD 5S TKS-0105-1</t>
  </si>
  <si>
    <t>10425987</t>
  </si>
  <si>
    <t>TOPPER KERTAS TUSUK HBD 5S TKS-0105-2</t>
  </si>
  <si>
    <t>10425985</t>
  </si>
  <si>
    <t>TOPPER KERTAS TUSUK HBD 5S TKS-0105-4</t>
  </si>
  <si>
    <t>10426981</t>
  </si>
  <si>
    <t>TOPPER KERTAS TUSUK HBD 5S TKS-0105-5H</t>
  </si>
  <si>
    <t>10427037</t>
  </si>
  <si>
    <t>TOPPER KERTAS TUSUK KUROMI HB 10S TKS-0105-2G</t>
  </si>
  <si>
    <t>10425983</t>
  </si>
  <si>
    <t>TOPPER KUROMI BULAT 10S TKS-0103-1F</t>
  </si>
  <si>
    <t>10425961</t>
  </si>
  <si>
    <t>TOPPER KUROMI HB PITA 3S TKS-0103-HB2</t>
  </si>
  <si>
    <t>10425959</t>
  </si>
  <si>
    <t>TOPPER KUROMI HITAM 10S TKS-0103-1A</t>
  </si>
  <si>
    <t>10425982</t>
  </si>
  <si>
    <t>TOPPER KUROMI PITA BIRU 10S TKS-0103-1G</t>
  </si>
  <si>
    <t>10425980</t>
  </si>
  <si>
    <t>TOPPER KUROMI ROK HITAM 10S TKS-0103-IC</t>
  </si>
  <si>
    <t>10425962</t>
  </si>
  <si>
    <t>TOPPER KUROMI SEDOTAN 6S TKS-0103-6HT</t>
  </si>
  <si>
    <t>10425981</t>
  </si>
  <si>
    <t>TOPPER KUROMI UNGU 10S TKS-0103-1B</t>
  </si>
  <si>
    <t>10426508</t>
  </si>
  <si>
    <t>TOPPER LOVE YOU DAD TOT0018</t>
  </si>
  <si>
    <t>10425646</t>
  </si>
  <si>
    <t>TOPPER PANGERAN+ISTANA TT12</t>
  </si>
  <si>
    <t>10425079</t>
  </si>
  <si>
    <t>TOPPER PENGANTIN BARAT SET2 TT62</t>
  </si>
  <si>
    <t>10425643</t>
  </si>
  <si>
    <t>TOPPER PENGANTIN HIJAB 1 TT58</t>
  </si>
  <si>
    <t>10425080</t>
  </si>
  <si>
    <t>TOPPER PENGANTIN HIJAB SET2 TT59</t>
  </si>
  <si>
    <t>10425081</t>
  </si>
  <si>
    <t>TOPPER PENGANTIN SILUET SET2 TT65</t>
  </si>
  <si>
    <t>10424948</t>
  </si>
  <si>
    <t>TOPPER POHON KELAPA 1S BU243</t>
  </si>
  <si>
    <t>10424884</t>
  </si>
  <si>
    <t>TOPPER RUMPUT BUNGA 12S BU115</t>
  </si>
  <si>
    <t>10424883</t>
  </si>
  <si>
    <t>TOPPER RUMPUT DAUN 5S BU203</t>
  </si>
  <si>
    <t>10426900</t>
  </si>
  <si>
    <t>TOPPER SALJU GLITER TAC6</t>
  </si>
  <si>
    <t>10426897</t>
  </si>
  <si>
    <t>TOPPER SALJU SILVER TAC5</t>
  </si>
  <si>
    <t>10424715</t>
  </si>
  <si>
    <t>TOPPER SELAMAT IDUL FITRI 1S</t>
  </si>
  <si>
    <t>10425082</t>
  </si>
  <si>
    <t>TOPPER SQUID GAME SET6 TT1</t>
  </si>
  <si>
    <t>10425640</t>
  </si>
  <si>
    <t>TOPPER TAYO SET6 TT43</t>
  </si>
  <si>
    <t>10426901</t>
  </si>
  <si>
    <t>TOPPER TUSUK SALJU BIRU TAC-6G</t>
  </si>
  <si>
    <t>10426899</t>
  </si>
  <si>
    <t>TOPPER TUSUK SALJU GLITER TAC-6B</t>
  </si>
  <si>
    <t>8992992391421</t>
  </si>
  <si>
    <t>TOPPING BIOBIANCA 1KG</t>
  </si>
  <si>
    <t>8992992935090</t>
  </si>
  <si>
    <t>TOPPING BIOBIANCA CKLT 200GR</t>
  </si>
  <si>
    <t>8992992936905</t>
  </si>
  <si>
    <t>TOPPING BIOBIANCA MOUSSE TIRAMISU 1KG</t>
  </si>
  <si>
    <t>8992992935106</t>
  </si>
  <si>
    <t>TOPPING BIOBIANCA STR 200GR</t>
  </si>
  <si>
    <t>8992992935113</t>
  </si>
  <si>
    <t>TOPPING BIOBIANCA VANILA 200GR</t>
  </si>
  <si>
    <t>10426473</t>
  </si>
  <si>
    <t>TORCH FLAME GUN HRC0003</t>
  </si>
  <si>
    <t>AOTG0002</t>
  </si>
  <si>
    <t>TORCH GAS HL 1300C</t>
  </si>
  <si>
    <t>10200312</t>
  </si>
  <si>
    <t>TORTILA BESAR</t>
  </si>
  <si>
    <t>10200154</t>
  </si>
  <si>
    <t>TORTILA MINI</t>
  </si>
  <si>
    <t>10200209</t>
  </si>
  <si>
    <t>TORTILA SEDANG</t>
  </si>
  <si>
    <t>8993061140018</t>
  </si>
  <si>
    <t>TOTAL ALUMUNIUM FOIL 300</t>
  </si>
  <si>
    <t>8993061140025</t>
  </si>
  <si>
    <t>TOTAL ALUMUNIUM FOIL 450</t>
  </si>
  <si>
    <t>8993061140032</t>
  </si>
  <si>
    <t>TOTAL ALUMUNIUM REFIL 300</t>
  </si>
  <si>
    <t>8993061150024</t>
  </si>
  <si>
    <t>TOTAL WRAP 380X15</t>
  </si>
  <si>
    <t>8993061901343</t>
  </si>
  <si>
    <t>TOTAL WRAP REFF 300X30</t>
  </si>
  <si>
    <t>8993061901640</t>
  </si>
  <si>
    <t>TOTAL WRAP REFF 380X15</t>
  </si>
  <si>
    <t>6922130122534</t>
  </si>
  <si>
    <t>TOTOLE KALDU AYAM 40GR</t>
  </si>
  <si>
    <t>TOTOLE KALDU JAMUR 200GR</t>
  </si>
  <si>
    <t>TOTOLE KALDU JAMUR 400GR</t>
  </si>
  <si>
    <t>6922130108057</t>
  </si>
  <si>
    <t>TOTOLE KALDU JAMUR 40GR</t>
  </si>
  <si>
    <t>TOTOLE KALDU RASA JAMUR 80GR</t>
  </si>
  <si>
    <t>8994120101018</t>
  </si>
  <si>
    <t>TP CAP CITRA PUTRI 250GR</t>
  </si>
  <si>
    <t>10410029</t>
  </si>
  <si>
    <t>TP GULA MINT 1/2KG</t>
  </si>
  <si>
    <t>10410742</t>
  </si>
  <si>
    <t>TP GULA MINT 1/4KG</t>
  </si>
  <si>
    <t>TP GULA MINT 1KG</t>
  </si>
  <si>
    <t>10411003</t>
  </si>
  <si>
    <t>TP GULA MINT 25KG</t>
  </si>
  <si>
    <t>TP GULA WALET MAS 400GR</t>
  </si>
  <si>
    <t>TP GULA WALET MAS 900GR</t>
  </si>
  <si>
    <t>10430033</t>
  </si>
  <si>
    <t>TP HUNKWE BURUNG TANDUK</t>
  </si>
  <si>
    <t>10411428</t>
  </si>
  <si>
    <t>TP KANJI GUNUNG MERAH 25KG</t>
  </si>
  <si>
    <t>10200089</t>
  </si>
  <si>
    <t>TP KANJI PAK TANI 1/2KG</t>
  </si>
  <si>
    <t>10200088</t>
  </si>
  <si>
    <t>TP KANJI PAK TANI 1KG</t>
  </si>
  <si>
    <t>10200306</t>
  </si>
  <si>
    <t>TP KANJI PAK TANI 50KG</t>
  </si>
  <si>
    <t>TP KANJI PAK TANI GUNUNG 500GR</t>
  </si>
  <si>
    <t>TP KANJI PAK TANI KEMASAN 1KG</t>
  </si>
  <si>
    <t>10410430</t>
  </si>
  <si>
    <t>TP KANJI SAGU TANI 1/2KG</t>
  </si>
  <si>
    <t>10410030</t>
  </si>
  <si>
    <t>TP KANJI SAGU TANI 1KG</t>
  </si>
  <si>
    <t>8991004029024</t>
  </si>
  <si>
    <t>TP KANJI SAGU TANI KEMASAN 500GR</t>
  </si>
  <si>
    <t>TP KETAN BOLA 500GR</t>
  </si>
  <si>
    <t>10410627</t>
  </si>
  <si>
    <t>TP KOMACHI 1/2KG</t>
  </si>
  <si>
    <t>10410626</t>
  </si>
  <si>
    <t>TP KOMACHI 1KG</t>
  </si>
  <si>
    <t>10410983</t>
  </si>
  <si>
    <t>TP KOMACHI 25KG</t>
  </si>
  <si>
    <t>9555124302109</t>
  </si>
  <si>
    <t>TP PAO HAPPY GRASS 1.3 KG</t>
  </si>
  <si>
    <t>9555124308316</t>
  </si>
  <si>
    <t>TP PAO MAMATA 1KG</t>
  </si>
  <si>
    <t>10420704</t>
  </si>
  <si>
    <t>TP SAGU 1/2KG</t>
  </si>
  <si>
    <t>10420703</t>
  </si>
  <si>
    <t>TP SAGU 1KG</t>
  </si>
  <si>
    <t>10411064</t>
  </si>
  <si>
    <t>TP SAGU 50KG</t>
  </si>
  <si>
    <t>9556289010014</t>
  </si>
  <si>
    <t>TP SERBAGUNA HUPLOONG 245GR</t>
  </si>
  <si>
    <t>10411476</t>
  </si>
  <si>
    <t>TP SUSU INDOMILK 25KG</t>
  </si>
  <si>
    <t>10410286</t>
  </si>
  <si>
    <t>TP SUSU MILKY 1/2KG</t>
  </si>
  <si>
    <t>10422083</t>
  </si>
  <si>
    <t>TP SUSU MILKY 100GR</t>
  </si>
  <si>
    <t>10410285</t>
  </si>
  <si>
    <t>TP SUSU MILKY 250GR</t>
  </si>
  <si>
    <t>TP SUSU NZMP ANCHOR 1/2KG</t>
  </si>
  <si>
    <t>TP SUSU NZMP ANCHOR 1KG</t>
  </si>
  <si>
    <t>10424967</t>
  </si>
  <si>
    <t>TPR POHON KELAPA 6S BU272</t>
  </si>
  <si>
    <t>10421048</t>
  </si>
  <si>
    <t>TRANS BUN FILLING RED 1KG</t>
  </si>
  <si>
    <t>10422377</t>
  </si>
  <si>
    <t>TRANSFORMERS SET 12 TI45</t>
  </si>
  <si>
    <t>10425779</t>
  </si>
  <si>
    <t>TRAY CAKE MOCHI 2 SEKAT 50S</t>
  </si>
  <si>
    <t>10425776</t>
  </si>
  <si>
    <t>TRAY CAKE MOCHI 4 SEKAT 50S</t>
  </si>
  <si>
    <t>8032956530623</t>
  </si>
  <si>
    <t>TRIFOLA WHITE TRUFFLE OIL 250ML</t>
  </si>
  <si>
    <t>749921002556</t>
  </si>
  <si>
    <t>TROP CORN OIL 1000ML</t>
  </si>
  <si>
    <t>749921002532</t>
  </si>
  <si>
    <t>TROP CORN OIL 946ML</t>
  </si>
  <si>
    <t>749921020888</t>
  </si>
  <si>
    <t>TROP KALDU AYAM DAN JAMUR 100GR</t>
  </si>
  <si>
    <t>749921003034</t>
  </si>
  <si>
    <t>TROP KECAP ASIN 200ML</t>
  </si>
  <si>
    <t>749921003027</t>
  </si>
  <si>
    <t>TROP KECAP MANIS 200ML</t>
  </si>
  <si>
    <t>749921000040</t>
  </si>
  <si>
    <t>TROP SYRUP COCOPANDAN 750ML</t>
  </si>
  <si>
    <t>749921000057</t>
  </si>
  <si>
    <t>TROP SYRUP LECI 750ML</t>
  </si>
  <si>
    <t>749921000019</t>
  </si>
  <si>
    <t>TROP SYRUP OREN 750ML</t>
  </si>
  <si>
    <t>9323795000187</t>
  </si>
  <si>
    <t>TROPICAL MUESLI 700GR</t>
  </si>
  <si>
    <t>749921020543</t>
  </si>
  <si>
    <t>TROPICALSLIM TOPPING KENTAL MNS 150ML</t>
  </si>
  <si>
    <t>749921020185</t>
  </si>
  <si>
    <t>TROPICANASLIM BERAS MRH ORGANIK 1KG</t>
  </si>
  <si>
    <t>749921020253</t>
  </si>
  <si>
    <t>TROPICANASLIM CANOLA OIL 946ML</t>
  </si>
  <si>
    <t>749921020918</t>
  </si>
  <si>
    <t>TROPICANASLIM COCOA ORANGE 60GR</t>
  </si>
  <si>
    <t>749921020628</t>
  </si>
  <si>
    <t>TROPICANASLIM COKLAT SPREAD 300GR</t>
  </si>
  <si>
    <t>749921020130</t>
  </si>
  <si>
    <t>TROPICANASLIM EXTRA VIRGIN 500GR</t>
  </si>
  <si>
    <t>749921003515</t>
  </si>
  <si>
    <t>TROPICANASLIM GULA JAWA 350ML</t>
  </si>
  <si>
    <t>749921020741</t>
  </si>
  <si>
    <t>TROPICANASLIM SAUS TIRAM 200ML</t>
  </si>
  <si>
    <t>749921020734</t>
  </si>
  <si>
    <t>TROPICANASLIM SHIRATAKI NOODLES 71GR</t>
  </si>
  <si>
    <t>749921020796</t>
  </si>
  <si>
    <t>TROPICANASLIM SHIRATAKI RICE 72GR</t>
  </si>
  <si>
    <t>749921000835</t>
  </si>
  <si>
    <t>TROPICANASLIM SWEET CLASSIC 100GR</t>
  </si>
  <si>
    <t>749921020192</t>
  </si>
  <si>
    <t>TROPICANASLIM SWEET CLASSIC 125S</t>
  </si>
  <si>
    <t>749921020284</t>
  </si>
  <si>
    <t>TROPICANASLIM SWEET CLASSIC 160S</t>
  </si>
  <si>
    <t>749921000828</t>
  </si>
  <si>
    <t>TROPICANASLIM SWEET CLASSIC 250GR</t>
  </si>
  <si>
    <t>749921000859</t>
  </si>
  <si>
    <t>TROPICANASLIM SWEET CLASSIC 500GR</t>
  </si>
  <si>
    <t>749921020789</t>
  </si>
  <si>
    <t>TROPICANASLIM SWETNER GULA AREN 50S</t>
  </si>
  <si>
    <t>10427038</t>
  </si>
  <si>
    <t>TSK HATI SILICON MERAH 5S TSC36B-B</t>
  </si>
  <si>
    <t>10427039</t>
  </si>
  <si>
    <t>TSK HATI SILICON PINK 5S TSC36B-H</t>
  </si>
  <si>
    <t>8997235700060</t>
  </si>
  <si>
    <t>TSUBU KONNYAKU 200GR</t>
  </si>
  <si>
    <t>8990062008415</t>
  </si>
  <si>
    <t>TTP ALU AX350 BLANK 125S</t>
  </si>
  <si>
    <t>10423053</t>
  </si>
  <si>
    <t>TTP ALU AX350 BLANK 5S</t>
  </si>
  <si>
    <t>1042595</t>
  </si>
  <si>
    <t>TTP ALU BX 2551 100S</t>
  </si>
  <si>
    <t>1042520</t>
  </si>
  <si>
    <t>TTP ALU BX 350 100S</t>
  </si>
  <si>
    <t>8990062012092</t>
  </si>
  <si>
    <t>TTP ALU OX 100 100S</t>
  </si>
  <si>
    <t>1042514</t>
  </si>
  <si>
    <t>TTP ALU OX 1225 100S</t>
  </si>
  <si>
    <t>1042521</t>
  </si>
  <si>
    <t>TTP ALU OX 1400 50S</t>
  </si>
  <si>
    <t>8990062002475</t>
  </si>
  <si>
    <t>TTP ALU OX 250 100S</t>
  </si>
  <si>
    <t>10424177</t>
  </si>
  <si>
    <t>TTP ALU OX 250 5S</t>
  </si>
  <si>
    <t>1042519</t>
  </si>
  <si>
    <t>TTP ALU RX 50 100S</t>
  </si>
  <si>
    <t>1042596</t>
  </si>
  <si>
    <t>TTP BOWL NESTO 360&amp;500ML 25S</t>
  </si>
  <si>
    <t>10426865</t>
  </si>
  <si>
    <t>TTP BOWL NESTO 650&amp;800ML 25S</t>
  </si>
  <si>
    <t>10427425</t>
  </si>
  <si>
    <t>TTP INJECTION BENING</t>
  </si>
  <si>
    <t>10420192</t>
  </si>
  <si>
    <t>TTP PAPER BOWL 300ML</t>
  </si>
  <si>
    <t>10420185</t>
  </si>
  <si>
    <t>10425874</t>
  </si>
  <si>
    <t>TTP PAPER BOWL 360ML 25S</t>
  </si>
  <si>
    <t>10420186</t>
  </si>
  <si>
    <t>TTP PAPER BOWL 360ML 50S</t>
  </si>
  <si>
    <t>10422742</t>
  </si>
  <si>
    <t>TTP PAPER BOWL 500ML 25S</t>
  </si>
  <si>
    <t>10422003</t>
  </si>
  <si>
    <t>TTP PAPER BOWL 500ML 50S</t>
  </si>
  <si>
    <t>10422743</t>
  </si>
  <si>
    <t>TTP PAPER BOWL 720ML @25</t>
  </si>
  <si>
    <t>10423898</t>
  </si>
  <si>
    <t>TTP PAPER BOWL 800ML 25S</t>
  </si>
  <si>
    <t>10425974</t>
  </si>
  <si>
    <t>TUL AKRILIK HB BULAT DOUBLE 10S TA25</t>
  </si>
  <si>
    <t>10424677</t>
  </si>
  <si>
    <t>TUL AKRILIK HB BULAT DOUBLE TA25</t>
  </si>
  <si>
    <t>10427313</t>
  </si>
  <si>
    <t>TUL AKRILIK HB BULAT LOVE 10S TA25A</t>
  </si>
  <si>
    <t>10427314</t>
  </si>
  <si>
    <t>TUL AKRILIK HB BULAT SQUARE 10S TA25B</t>
  </si>
  <si>
    <t>10424592</t>
  </si>
  <si>
    <t>TUL HAPPY ANNIV 1S TI162A</t>
  </si>
  <si>
    <t>10424686</t>
  </si>
  <si>
    <t>TUL HAPPY ANNIV 6S TI162A</t>
  </si>
  <si>
    <t>10424820</t>
  </si>
  <si>
    <t>TUL HB 3 RAINBOW 1S TI19</t>
  </si>
  <si>
    <t>10424821</t>
  </si>
  <si>
    <t>TUL HB 3 RAINBOW 6S TI19</t>
  </si>
  <si>
    <t>10425788</t>
  </si>
  <si>
    <t>TUL HB AWAN JMB BIRU 5S TI249G</t>
  </si>
  <si>
    <t>10425785</t>
  </si>
  <si>
    <t>TUL HB AWAN JMB MRH 5S TI249B</t>
  </si>
  <si>
    <t>10424658</t>
  </si>
  <si>
    <t>TUL HB AWAN JUMBO BIRU TI249G</t>
  </si>
  <si>
    <t>10425816</t>
  </si>
  <si>
    <t>TUL HB AWAN JUMBO EMAS 5S TI249A</t>
  </si>
  <si>
    <t>10424654</t>
  </si>
  <si>
    <t>TUL HB AWAN JUMBO EMAS TI249A</t>
  </si>
  <si>
    <t>10425680</t>
  </si>
  <si>
    <t>TUL HB AWAN JUMBO RAINBOW 6S TI249C</t>
  </si>
  <si>
    <t>10424656</t>
  </si>
  <si>
    <t>TUL HB AWAN JUMBO RAINBOW TI249C</t>
  </si>
  <si>
    <t>10425678</t>
  </si>
  <si>
    <t>TUL HB AWAN JUMBO UNGU 6S TI249E</t>
  </si>
  <si>
    <t>10424657</t>
  </si>
  <si>
    <t>TUL HB AWAN JUMBO UNGU TI249E</t>
  </si>
  <si>
    <t>10427041</t>
  </si>
  <si>
    <t>TUL HB BIRU CTK-0006-2B</t>
  </si>
  <si>
    <t>10425789</t>
  </si>
  <si>
    <t>TUL HB BUNGA BWH BIRU 5S TI250G</t>
  </si>
  <si>
    <t>10424663</t>
  </si>
  <si>
    <t>TUL HB BUNGA BWH BIRU TI250G</t>
  </si>
  <si>
    <t>10425666</t>
  </si>
  <si>
    <t>TUL HB BUNGA BWH GOLD 6S TI250A</t>
  </si>
  <si>
    <t>10424659</t>
  </si>
  <si>
    <t>TUL HB BUNGA BWH GOLD TI250A</t>
  </si>
  <si>
    <t>10424660</t>
  </si>
  <si>
    <t>TUL HB BUNGA BWH MERAH TI250B</t>
  </si>
  <si>
    <t>10425746</t>
  </si>
  <si>
    <t>TUL HB BUNGA BWH RAINBOW 6S TI250C</t>
  </si>
  <si>
    <t>10424661</t>
  </si>
  <si>
    <t>TUL HB BUNGA BWH RAINBOW TI250C</t>
  </si>
  <si>
    <t>10425787</t>
  </si>
  <si>
    <t>TUL HB BUNGA BWH UNGU 5S TI250E</t>
  </si>
  <si>
    <t>10424662</t>
  </si>
  <si>
    <t>TUL HB BUNGA BWH UNGU TI250E</t>
  </si>
  <si>
    <t>10425786</t>
  </si>
  <si>
    <t>TUL HB BYNGA BWH MRH 5S TI250B</t>
  </si>
  <si>
    <t>10425739</t>
  </si>
  <si>
    <t>TUL HB JMB BUNGA RAINB 6S TI251C</t>
  </si>
  <si>
    <t>10425805</t>
  </si>
  <si>
    <t>TUL HB JMB KTK MRH 5S TI253B</t>
  </si>
  <si>
    <t>10425744</t>
  </si>
  <si>
    <t>TUL HB JMB KTK RAINB 6S TI253C</t>
  </si>
  <si>
    <t>10425741</t>
  </si>
  <si>
    <t>TUL HB JMB KTK UNGU 6S TI253E</t>
  </si>
  <si>
    <t>10425743</t>
  </si>
  <si>
    <t>TUL HB JMB LILIN BIRU 6S TI256G</t>
  </si>
  <si>
    <t>10425784</t>
  </si>
  <si>
    <t>TUL HB JMB LILIN MRH 5S TI256B</t>
  </si>
  <si>
    <t>10425790</t>
  </si>
  <si>
    <t>TUL HB JMB TOPI EMAS 5S TI255A</t>
  </si>
  <si>
    <t>10425806</t>
  </si>
  <si>
    <t>TUL HB JMB TOPI UNGU 5S TI255E</t>
  </si>
  <si>
    <t>10425749</t>
  </si>
  <si>
    <t>TUL HB JUMBO BUNGA BIRU 6S TI251G</t>
  </si>
  <si>
    <t>10424642</t>
  </si>
  <si>
    <t>TUL HB JUMBO BUNGA BIRU TI251G</t>
  </si>
  <si>
    <t>10425811</t>
  </si>
  <si>
    <t>TUL HB JUMBO BUNGA GOLD 5S TI251A</t>
  </si>
  <si>
    <t>10424637</t>
  </si>
  <si>
    <t>TUL HB JUMBO BUNGA GOLD TI251A</t>
  </si>
  <si>
    <t>10424640</t>
  </si>
  <si>
    <t>TUL HB JUMBO BUNGA HIJAU TI251D</t>
  </si>
  <si>
    <t>10425813</t>
  </si>
  <si>
    <t>TUL HB JUMBO BUNGA HJ 5S TI251D</t>
  </si>
  <si>
    <t>10425815</t>
  </si>
  <si>
    <t>TUL HB JUMBO BUNGA MERAH 6S TI251B</t>
  </si>
  <si>
    <t>10424638</t>
  </si>
  <si>
    <t>TUL HB JUMBO BUNGA MERAH TI251B</t>
  </si>
  <si>
    <t>10424639</t>
  </si>
  <si>
    <t>TUL HB JUMBO BUNGA RAINBOW TI251C</t>
  </si>
  <si>
    <t>10425812</t>
  </si>
  <si>
    <t>TUL HB JUMBO BUNGA UNGU 5S TI251E</t>
  </si>
  <si>
    <t>10424641</t>
  </si>
  <si>
    <t>TUL HB JUMBO BUNGA UNGU TI251E</t>
  </si>
  <si>
    <t>10425745</t>
  </si>
  <si>
    <t>TUL HB JUMBO KTK BIRU 6S TI253G</t>
  </si>
  <si>
    <t>10424602</t>
  </si>
  <si>
    <t>TUL HB JUMBO KTK BIRU TI253G</t>
  </si>
  <si>
    <t>10425713</t>
  </si>
  <si>
    <t>TUL HB JUMBO KTK EMAS 6S TI253A</t>
  </si>
  <si>
    <t>10424598</t>
  </si>
  <si>
    <t>TUL HB JUMBO KTK EMAS TI253A</t>
  </si>
  <si>
    <t>10424599</t>
  </si>
  <si>
    <t>TUL HB JUMBO KTK MERAH TI253B</t>
  </si>
  <si>
    <t>10424600</t>
  </si>
  <si>
    <t>TUL HB JUMBO KTK RAINBOW TI253C</t>
  </si>
  <si>
    <t>10424601</t>
  </si>
  <si>
    <t>TUL HB JUMBO KTK UNGU TI253E</t>
  </si>
  <si>
    <t>10425810</t>
  </si>
  <si>
    <t>TUL HB JUMBO LILIN EMAS 5S TI256A</t>
  </si>
  <si>
    <t>10424648</t>
  </si>
  <si>
    <t>TUL HB JUMBO LILIN EMAS TI256A</t>
  </si>
  <si>
    <t>10425715</t>
  </si>
  <si>
    <t>TUL HB JUMBO LILIN UNGU 6S TI256E</t>
  </si>
  <si>
    <t>10424651</t>
  </si>
  <si>
    <t>TUL HB JUMBO LILIN UNGU TI256E</t>
  </si>
  <si>
    <t>10425817</t>
  </si>
  <si>
    <t>TUL HB JUMBO TOPI BIRU 6S TI255G</t>
  </si>
  <si>
    <t>10424669</t>
  </si>
  <si>
    <t>TUL HB JUMBO TOPI BIRU TI255G</t>
  </si>
  <si>
    <t>10425679</t>
  </si>
  <si>
    <t>TUL HB JUMBO TOPI HIJAU 6S TI255D</t>
  </si>
  <si>
    <t>10424667</t>
  </si>
  <si>
    <t>TUL HB JUMBO TOPI HIJAU TI255D</t>
  </si>
  <si>
    <t>10425711</t>
  </si>
  <si>
    <t>TUL HB JUMBO TOPI RAINBOW 6S TI255C</t>
  </si>
  <si>
    <t>10424666</t>
  </si>
  <si>
    <t>TUL HB JUMBO TOPI RAINBOW TI255C</t>
  </si>
  <si>
    <t>10425742</t>
  </si>
  <si>
    <t>TUL HB OVAL DOUBLE BIRU 6S TI254G</t>
  </si>
  <si>
    <t>10424645</t>
  </si>
  <si>
    <t>TUL HB OVAL DOUBLE BIRU TI254G</t>
  </si>
  <si>
    <t>10425792</t>
  </si>
  <si>
    <t>TUL HB OVAL DOUBLE GOLD 5S TI254A</t>
  </si>
  <si>
    <t>10424643</t>
  </si>
  <si>
    <t>TUL HB OVAL DOUBLE GOLD TI254A</t>
  </si>
  <si>
    <t>10424644</t>
  </si>
  <si>
    <t>TUL HB OVAL DOUBLE MERAH TI254B</t>
  </si>
  <si>
    <t>10425791</t>
  </si>
  <si>
    <t>TUL HB OVAL DOUBLE MRH 6S TI254B</t>
  </si>
  <si>
    <t>10425814</t>
  </si>
  <si>
    <t>TUL HB OVAL DOUBLE RAINBOW 6S TI254C</t>
  </si>
  <si>
    <t>10424646</t>
  </si>
  <si>
    <t>TUL HB OVAL DOUBLE RAINBOW TI254C</t>
  </si>
  <si>
    <t>10425712</t>
  </si>
  <si>
    <t>TUL HB OVAL DOUBLE UNGU 6S TI254E</t>
  </si>
  <si>
    <t>10424647</t>
  </si>
  <si>
    <t>TUL HB OVAL DOUBLE UNGU TI254E</t>
  </si>
  <si>
    <t>10425740</t>
  </si>
  <si>
    <t>TUL HB OVAL JMB BIRU 6S TI252G</t>
  </si>
  <si>
    <t>10424597</t>
  </si>
  <si>
    <t>TUL HB OVAL JUMBO BIRU TI252G</t>
  </si>
  <si>
    <t>10425714</t>
  </si>
  <si>
    <t>TUL HB OVAL JUMBO EMAS 6S TI252A</t>
  </si>
  <si>
    <t>10424593</t>
  </si>
  <si>
    <t>TUL HB OVAL JUMBO EMAS TI252A</t>
  </si>
  <si>
    <t>10425747</t>
  </si>
  <si>
    <t>TUL HB OVAL JUMBO MERAH 6S TI252B</t>
  </si>
  <si>
    <t>10424594</t>
  </si>
  <si>
    <t>TUL HB OVAL JUMBO MERAH TI252B</t>
  </si>
  <si>
    <t>10425748</t>
  </si>
  <si>
    <t>TUL HB OVAL JUMBO RAINBOW 6S TI252C</t>
  </si>
  <si>
    <t>10424595</t>
  </si>
  <si>
    <t>TUL HB OVAL JUMBO RAINBOW TI252C</t>
  </si>
  <si>
    <t>10425681</t>
  </si>
  <si>
    <t>TUL HB OVAL JUMBO UNGU 6S TI252E</t>
  </si>
  <si>
    <t>10424596</t>
  </si>
  <si>
    <t>TUL HB OVAL JUMBO UNGU TI252E</t>
  </si>
  <si>
    <t>10424830</t>
  </si>
  <si>
    <t>TUL HB RAINBOW 6S T84</t>
  </si>
  <si>
    <t>10424950</t>
  </si>
  <si>
    <t>TUL HB TOPI EMAS 1S TI65A</t>
  </si>
  <si>
    <t>10424951</t>
  </si>
  <si>
    <t>TUL HB TOPI EMAS 5S TI65A</t>
  </si>
  <si>
    <t>10424818</t>
  </si>
  <si>
    <t>TUL HB TOPI MERAH 1S TI65B</t>
  </si>
  <si>
    <t>10424819</t>
  </si>
  <si>
    <t>TUL HB TOPI MERAH 5S TI65B</t>
  </si>
  <si>
    <t>10424685</t>
  </si>
  <si>
    <t>TUL IDUL FITRI BULAN RAINBOW 6S TI133C</t>
  </si>
  <si>
    <t>10424683</t>
  </si>
  <si>
    <t>TUL IDUL FITRI HIJAU 6S TI136D</t>
  </si>
  <si>
    <t>10422944</t>
  </si>
  <si>
    <t>TUL IDUL FITRI MASJID EMAS 6S TI135A</t>
  </si>
  <si>
    <t>10424588</t>
  </si>
  <si>
    <t>TUL IDUL FITRI MASJID EMAS TI135A</t>
  </si>
  <si>
    <t>10422946</t>
  </si>
  <si>
    <t>TUL IDUL FITRI MASJID+SALAMAN 6S TI137D</t>
  </si>
  <si>
    <t>10424589</t>
  </si>
  <si>
    <t>TUL IDUL FITRI MASJID+SALAMAN TI137D</t>
  </si>
  <si>
    <t>10426895</t>
  </si>
  <si>
    <t>TUL MOTHER DAY EMAS 6S TI57A</t>
  </si>
  <si>
    <t>10426896</t>
  </si>
  <si>
    <t>TUL MOTHER DAY EMAS TI57A</t>
  </si>
  <si>
    <t>TULIP BUBUK BORDEAUX 100GR</t>
  </si>
  <si>
    <t>TULIP BUBUK BORDEAUX 1KG</t>
  </si>
  <si>
    <t>TULIP BUBUK BORDEAUX 2,5KG</t>
  </si>
  <si>
    <t>10411483</t>
  </si>
  <si>
    <t>TULIP BUBUK BURGUNDY 100GR</t>
  </si>
  <si>
    <t>8991001400161</t>
  </si>
  <si>
    <t>TULIP BUBUK BURGUNDY 2,5KG</t>
  </si>
  <si>
    <t>10411484</t>
  </si>
  <si>
    <t>TULIP BUBUK BURGUNDY 250GR</t>
  </si>
  <si>
    <t>8991001400390</t>
  </si>
  <si>
    <t>TULIP BUBUK BURGUNDY 500GR</t>
  </si>
  <si>
    <t>10410903</t>
  </si>
  <si>
    <t>TULIP BUBUK NOIR 1/2KG</t>
  </si>
  <si>
    <t>10410905</t>
  </si>
  <si>
    <t>TULIP BUBUK NOIR 100GR</t>
  </si>
  <si>
    <t>10410906</t>
  </si>
  <si>
    <t>TULIP BUBUK NOIR 1KG</t>
  </si>
  <si>
    <t>8991001400185</t>
  </si>
  <si>
    <t>TULIP BUBUK NOIR 2,5KG</t>
  </si>
  <si>
    <t>10410904</t>
  </si>
  <si>
    <t>TULIP BUBUK NOIR 250GR</t>
  </si>
  <si>
    <t>10411206</t>
  </si>
  <si>
    <t>TULIP CHIPS WHITE 100 GR</t>
  </si>
  <si>
    <t>10411204</t>
  </si>
  <si>
    <t>TULIP CHIPS WHITE 2.5KG</t>
  </si>
  <si>
    <t>10411205</t>
  </si>
  <si>
    <t>TULIP CHIPS WHITE 250GR</t>
  </si>
  <si>
    <t>TULIP COCHIP 1/2KG</t>
  </si>
  <si>
    <t>10410529</t>
  </si>
  <si>
    <t>TULIP COCHIP 100 GR</t>
  </si>
  <si>
    <t>10410718</t>
  </si>
  <si>
    <t>TULIP COCHIP 10KG</t>
  </si>
  <si>
    <t>TULIP COCHIP 1KG</t>
  </si>
  <si>
    <t>TULIP COMPOUND DARK 1KG</t>
  </si>
  <si>
    <t>TULIP COMPOUND WHITE 1KG</t>
  </si>
  <si>
    <t>10411248</t>
  </si>
  <si>
    <t>TULIP COMPOUND WHITE 1S</t>
  </si>
  <si>
    <t>8888166621374</t>
  </si>
  <si>
    <t>TULIP COOKIES CRUMB 1KG</t>
  </si>
  <si>
    <t>10411699</t>
  </si>
  <si>
    <t>TULIP COOKIES CRUMB 500GR</t>
  </si>
  <si>
    <t>10411557</t>
  </si>
  <si>
    <t>TULIP COOKIES CRUMB 5KG</t>
  </si>
  <si>
    <t>8991001802132</t>
  </si>
  <si>
    <t>TULIP DARK COUMPOUND 225GR</t>
  </si>
  <si>
    <t>10420980</t>
  </si>
  <si>
    <t>TULIP FILLING 1/2KG</t>
  </si>
  <si>
    <t>10420981</t>
  </si>
  <si>
    <t>TULIP FILLING 250GR</t>
  </si>
  <si>
    <t>8994592017787</t>
  </si>
  <si>
    <t>TULIP GLAZE DARK CHOCOLATE 1KG</t>
  </si>
  <si>
    <t>8994592017763</t>
  </si>
  <si>
    <t>TULIP GLAZE MATCHA 1KG</t>
  </si>
  <si>
    <t>8994592017770</t>
  </si>
  <si>
    <t>TULIP GLAZE TIRAMISU 1KG</t>
  </si>
  <si>
    <t>8991001302014</t>
  </si>
  <si>
    <t>TULIP HAGELSLAG 90GR</t>
  </si>
  <si>
    <t>8991001302038</t>
  </si>
  <si>
    <t>TULIP HAGELSLAG WRNA 90GR</t>
  </si>
  <si>
    <t>8994592017541</t>
  </si>
  <si>
    <t>TULIP HAZEL DELIGHT HAZELNUT 1 KG</t>
  </si>
  <si>
    <t>10412364</t>
  </si>
  <si>
    <t>TULIP MASTER BAKER DARK 1S</t>
  </si>
  <si>
    <t>TULIP MASTER BAKER DARK 5KG</t>
  </si>
  <si>
    <t>8991001802125</t>
  </si>
  <si>
    <t>TULIP MILK COMPOUND 250GR</t>
  </si>
  <si>
    <t>10420976</t>
  </si>
  <si>
    <t>TULIP MISES COKLAT 1/2KG</t>
  </si>
  <si>
    <t>10420975</t>
  </si>
  <si>
    <t>TULIP MISES COKLAT 250GR</t>
  </si>
  <si>
    <t>10411751</t>
  </si>
  <si>
    <t>TULIP MISES MINT 250GR</t>
  </si>
  <si>
    <t>10411750</t>
  </si>
  <si>
    <t>TULIP MISES MINT 5KG</t>
  </si>
  <si>
    <t>10420977</t>
  </si>
  <si>
    <t>TULIP MISES PELANGI 1/2KG</t>
  </si>
  <si>
    <t>10410681</t>
  </si>
  <si>
    <t>TULIP MISES PELANGI 1KG</t>
  </si>
  <si>
    <t>10420978</t>
  </si>
  <si>
    <t>TULIP MISES PELANGI 250GR</t>
  </si>
  <si>
    <t>10410871</t>
  </si>
  <si>
    <t>TULIP MISES PELANGI 5 KG</t>
  </si>
  <si>
    <t>TULIP STICK 250Gr</t>
  </si>
  <si>
    <t>TULIP STICK DARK COMPOUND 1,5KG</t>
  </si>
  <si>
    <t>8991001802149</t>
  </si>
  <si>
    <t>TULIP WHITE COMPOUND 225GR</t>
  </si>
  <si>
    <t>10424553</t>
  </si>
  <si>
    <t>TULISAN AKRILIK HBD BOLD TA26</t>
  </si>
  <si>
    <t>10424554</t>
  </si>
  <si>
    <t>TULISAN AKRILIK HBD TA28</t>
  </si>
  <si>
    <t>10423965</t>
  </si>
  <si>
    <t>TULISAN HB BANGAU PAKU RAINB 1S TI165C</t>
  </si>
  <si>
    <t>10423966</t>
  </si>
  <si>
    <t>TULISAN HB BANGAU PAKU RAINB 5S TI165C</t>
  </si>
  <si>
    <t>10423957</t>
  </si>
  <si>
    <t>TULISAN HB BINGKAI EMAS 1S TI180A</t>
  </si>
  <si>
    <t>10423958</t>
  </si>
  <si>
    <t>TULISAN HB BINGKAI EMAS 5S TI180A</t>
  </si>
  <si>
    <t>10423967</t>
  </si>
  <si>
    <t>TULISAN HB BINTANG BALON RAINB 1S TI171C</t>
  </si>
  <si>
    <t>10423968</t>
  </si>
  <si>
    <t>TULISAN HB BINTANG BALON RAINB 5S TI171C</t>
  </si>
  <si>
    <t>10424185</t>
  </si>
  <si>
    <t>TULISAN HB BIRU BIRU 1S TI219G</t>
  </si>
  <si>
    <t>10424191</t>
  </si>
  <si>
    <t>TULISAN HB BIRU BIRU 6S TI219G</t>
  </si>
  <si>
    <t>10424184</t>
  </si>
  <si>
    <t>TULISAN HB BIRU EMAS 1S TI219A</t>
  </si>
  <si>
    <t>10424190</t>
  </si>
  <si>
    <t>TULISAN HB BIRU EMAS 6S TI219A</t>
  </si>
  <si>
    <t>10424186</t>
  </si>
  <si>
    <t>TULISAN HB BIRU SILVER 1S TI219S</t>
  </si>
  <si>
    <t>10424192</t>
  </si>
  <si>
    <t>TULISAN HB BIRU SILVER 6S TI219S</t>
  </si>
  <si>
    <t>10423953</t>
  </si>
  <si>
    <t>TULISAN HB BLT EMAS 1S TI179A</t>
  </si>
  <si>
    <t>10423954</t>
  </si>
  <si>
    <t>TULISAN HB BLT EMAS 6S TI179A</t>
  </si>
  <si>
    <t>10423955</t>
  </si>
  <si>
    <t>TULISAN HB BLT GOLD 1S TI179AG</t>
  </si>
  <si>
    <t>10423956</t>
  </si>
  <si>
    <t>TULISAN HB BLT GOLD 5S TI179AG</t>
  </si>
  <si>
    <t>10424194</t>
  </si>
  <si>
    <t>TULISAN HB EMAS 1S TS100</t>
  </si>
  <si>
    <t>10424269</t>
  </si>
  <si>
    <t>TULISAN HB EMAS 1S TS101</t>
  </si>
  <si>
    <t>10424195</t>
  </si>
  <si>
    <t>TULISAN HB EMAS 1S TS95</t>
  </si>
  <si>
    <t>10424196</t>
  </si>
  <si>
    <t>TULISAN HB EMAS 1S TS96</t>
  </si>
  <si>
    <t>10424188</t>
  </si>
  <si>
    <t>TULISAN HB EMAS 1S TS97A</t>
  </si>
  <si>
    <t>10424261</t>
  </si>
  <si>
    <t>TULISAN HB EMAS 5S TS96</t>
  </si>
  <si>
    <t>10424256</t>
  </si>
  <si>
    <t>TULISAN HB EMAS 5S TS97A</t>
  </si>
  <si>
    <t>10424258</t>
  </si>
  <si>
    <t>TULISAN HB EMAS 6S TI16</t>
  </si>
  <si>
    <t>10424259</t>
  </si>
  <si>
    <t>TULISAN HB EMAS 6S TS100</t>
  </si>
  <si>
    <t>10424268</t>
  </si>
  <si>
    <t>TULISAN HB EMAS 6S TS101</t>
  </si>
  <si>
    <t>10423963</t>
  </si>
  <si>
    <t>TULISAN HB LILIN EMAS 1S TI184A</t>
  </si>
  <si>
    <t>10423964</t>
  </si>
  <si>
    <t>TULISAN HB LILIN EMAS 5S TI184A</t>
  </si>
  <si>
    <t>10423969</t>
  </si>
  <si>
    <t>TULISAN HB LOVE EMAS 1S TI175A</t>
  </si>
  <si>
    <t>10423970</t>
  </si>
  <si>
    <t>TULISAN HB LOVE EMAS 5S TI175A</t>
  </si>
  <si>
    <t>10423971</t>
  </si>
  <si>
    <t>TULISAN HB LOVE HIJAU 1S TI175D</t>
  </si>
  <si>
    <t>10423972</t>
  </si>
  <si>
    <t>TULISAN HB LOVE HIJAU 6S TI175D</t>
  </si>
  <si>
    <t>10423510</t>
  </si>
  <si>
    <t>TULISAN HB PINK 1S TI193</t>
  </si>
  <si>
    <t>10423511</t>
  </si>
  <si>
    <t>TULISAN HB PINK 6S TI193</t>
  </si>
  <si>
    <t>10424189</t>
  </si>
  <si>
    <t>TULISAN HB PINK KEUNGUAN 1S TS97E</t>
  </si>
  <si>
    <t>10424257</t>
  </si>
  <si>
    <t>TULISAN HB PINK KEUNGUAN 5S TS97E</t>
  </si>
  <si>
    <t>10427035</t>
  </si>
  <si>
    <t>TULISAN HBD 10S TA20</t>
  </si>
  <si>
    <t>10427036</t>
  </si>
  <si>
    <t>TULISAN HBD 10S TA21</t>
  </si>
  <si>
    <t>10425540</t>
  </si>
  <si>
    <t>TULISAN HBD KARAKTER</t>
  </si>
  <si>
    <t>10424676</t>
  </si>
  <si>
    <t>TULISAN HBD TA20</t>
  </si>
  <si>
    <t>10424551</t>
  </si>
  <si>
    <t>TULISAN HBD TA21</t>
  </si>
  <si>
    <t>1042577</t>
  </si>
  <si>
    <t>TUMPENG MINI 10CM</t>
  </si>
  <si>
    <t>1042575</t>
  </si>
  <si>
    <t>TUMPENG MINI 11CM</t>
  </si>
  <si>
    <t>104252300</t>
  </si>
  <si>
    <t>TUMPENG MINI 12CM</t>
  </si>
  <si>
    <t>10425299</t>
  </si>
  <si>
    <t>TUMPENG MINI 14CM</t>
  </si>
  <si>
    <t>10425298</t>
  </si>
  <si>
    <t>TUMPENG MINI 16CM</t>
  </si>
  <si>
    <t>10425297</t>
  </si>
  <si>
    <t>TUMPENG MINI 18CM</t>
  </si>
  <si>
    <t>10425296</t>
  </si>
  <si>
    <t>TUMPENG MINI 20CM</t>
  </si>
  <si>
    <t>10425295</t>
  </si>
  <si>
    <t>TUMPENG MINI 22CM</t>
  </si>
  <si>
    <t>10425331</t>
  </si>
  <si>
    <t>TUMPENG MINI 24CM</t>
  </si>
  <si>
    <t>1042576</t>
  </si>
  <si>
    <t>TUMPENG MINI 7.5CM</t>
  </si>
  <si>
    <t>10422961</t>
  </si>
  <si>
    <t>TUMPENG MINI 7CM</t>
  </si>
  <si>
    <t>10422962</t>
  </si>
  <si>
    <t>TUMPENG MINI 8CM</t>
  </si>
  <si>
    <t>10422963</t>
  </si>
  <si>
    <t>TUMPENG MINI 9CM</t>
  </si>
  <si>
    <t>10422970</t>
  </si>
  <si>
    <t>TUMPENG TINGKAT 20CM</t>
  </si>
  <si>
    <t>10422971</t>
  </si>
  <si>
    <t>TUMPENG TINGKAT 22CM</t>
  </si>
  <si>
    <t>10422972</t>
  </si>
  <si>
    <t>TUMPENG TINGKAT 24CM</t>
  </si>
  <si>
    <t>10422390</t>
  </si>
  <si>
    <t>TUSUK CUP CAKE UNICORN B 4 TSC3</t>
  </si>
  <si>
    <t>10540081</t>
  </si>
  <si>
    <t>TUSUK GIGI NENAS 1S</t>
  </si>
  <si>
    <t>10540015</t>
  </si>
  <si>
    <t>TUSUK GIGI NENAS 24S</t>
  </si>
  <si>
    <t>10425086</t>
  </si>
  <si>
    <t>TUSUK HB BINGKAI MAHKOTA PITA TSC27HT</t>
  </si>
  <si>
    <t>10530229</t>
  </si>
  <si>
    <t>TUTUP GELAS AQUA 50S</t>
  </si>
  <si>
    <t>10530026</t>
  </si>
  <si>
    <t>TUTUP GELAS DATAR STARINDO</t>
  </si>
  <si>
    <t>10530009</t>
  </si>
  <si>
    <t>TUTUP GELAS ICECRM</t>
  </si>
  <si>
    <t>10420437</t>
  </si>
  <si>
    <t>TUTUP GELAS KOPI 6,5 OZ</t>
  </si>
  <si>
    <t>10530197</t>
  </si>
  <si>
    <t>TUTUP GELAS KOPI 8 OZ HITAM</t>
  </si>
  <si>
    <t>10530237</t>
  </si>
  <si>
    <t>TUTUP GELAS KOPI 8 OZ HTM TP</t>
  </si>
  <si>
    <t>10530028</t>
  </si>
  <si>
    <t>TUTUP GELAS KOPI 8 OZ PTH</t>
  </si>
  <si>
    <t>10427508</t>
  </si>
  <si>
    <t>TUTUP GELAS STRAWLESS DATAR</t>
  </si>
  <si>
    <t>8991001780225</t>
  </si>
  <si>
    <t>TWISTER MINIS BLACK 70GR</t>
  </si>
  <si>
    <t>10424241</t>
  </si>
  <si>
    <t>TXCT-1613 TULISAN THANK YOU SILVER</t>
  </si>
  <si>
    <t>10422947</t>
  </si>
  <si>
    <t>TXCT1613G AKRILIK THANK YOU GOLD</t>
  </si>
  <si>
    <t>10425359</t>
  </si>
  <si>
    <t>TXCY1011 AKRILIK CONGRATULATION</t>
  </si>
  <si>
    <t>10422951</t>
  </si>
  <si>
    <t>TXCY123 AKRILIK HB LOL</t>
  </si>
  <si>
    <t>8888003071218</t>
  </si>
  <si>
    <t>TYJ GYOZA SKIN 300GR</t>
  </si>
  <si>
    <t>8888003652400</t>
  </si>
  <si>
    <t>TYJ ROTI PARATHA PLAIN 325GR</t>
  </si>
  <si>
    <t>8888003215209</t>
  </si>
  <si>
    <t>TYJ SPRING ROLL PASTRY 275GR</t>
  </si>
  <si>
    <t>8995229804091</t>
  </si>
  <si>
    <t>UENAK BAKSO AYAM MINI 500GR</t>
  </si>
  <si>
    <t>8995229801809</t>
  </si>
  <si>
    <t>UENAK NUGGET COIN AYAM 500GR</t>
  </si>
  <si>
    <t>8995229804237</t>
  </si>
  <si>
    <t>UENAK NUGGET S AYAM 500GR</t>
  </si>
  <si>
    <t>8995229801823</t>
  </si>
  <si>
    <t>UENAK NUGGET STICK AYAM 500GR</t>
  </si>
  <si>
    <t>8995229804206</t>
  </si>
  <si>
    <t>UENAK SOSIS AYAM 475 15S</t>
  </si>
  <si>
    <t>8995229801298</t>
  </si>
  <si>
    <t>UENAK SOSIS AYAM 950GR 30S</t>
  </si>
  <si>
    <t>8994130899578</t>
  </si>
  <si>
    <t>UENAK SOSIS AYAM 950GR 40S</t>
  </si>
  <si>
    <t>10422274</t>
  </si>
  <si>
    <t>ULTRA MAN IMPORT UI1</t>
  </si>
  <si>
    <t>8998009010620</t>
  </si>
  <si>
    <t>ULTRA MILK COKELAT 1000ML</t>
  </si>
  <si>
    <t>8998009010637</t>
  </si>
  <si>
    <t>ULTRA MILK LOW FAT 1000ML</t>
  </si>
  <si>
    <t>10424452</t>
  </si>
  <si>
    <t>ULTRAMAN MG48</t>
  </si>
  <si>
    <t>10424840</t>
  </si>
  <si>
    <t>ULTRAMEN TATAAN 1S UI5</t>
  </si>
  <si>
    <t>8997032113308</t>
  </si>
  <si>
    <t>UMIA-MI MINI PAO COKLAT 480GR</t>
  </si>
  <si>
    <t>8997032113346</t>
  </si>
  <si>
    <t>UMIA-MI MINI PAO STRAWBERRY 465GR</t>
  </si>
  <si>
    <t>9912500306005</t>
  </si>
  <si>
    <t>UMIA-MI SOSIS AYAM ULIR 500GR</t>
  </si>
  <si>
    <t>10422409</t>
  </si>
  <si>
    <t>UNICORN B SET 3 UI3</t>
  </si>
  <si>
    <t>8992786400018</t>
  </si>
  <si>
    <t>UNIFOOD FRIED CHICKEN 50GR</t>
  </si>
  <si>
    <t>8992786200359</t>
  </si>
  <si>
    <t>UNIFOOD TP KENTUCKY HOT 200GR</t>
  </si>
  <si>
    <t>8851028001812</t>
  </si>
  <si>
    <t>V-SOY MULTI GRAIN 1L</t>
  </si>
  <si>
    <t>8851028000303</t>
  </si>
  <si>
    <t>V-SOY SOYMILK ORIGINAL 1L</t>
  </si>
  <si>
    <t>UISP0009</t>
  </si>
  <si>
    <t>VACUM SEALER HS 280-1</t>
  </si>
  <si>
    <t>5410522722888</t>
  </si>
  <si>
    <t>VAN HOUTEN COCOA POWDER OPTIMUM 1KG</t>
  </si>
  <si>
    <t>8991001121189</t>
  </si>
  <si>
    <t>VAN HOUTEN DARK ALMOND 40GR</t>
  </si>
  <si>
    <t>8991001121196</t>
  </si>
  <si>
    <t>VAN HOUTEN DARK CASHEWS 40GR</t>
  </si>
  <si>
    <t>10412300</t>
  </si>
  <si>
    <t>VAN HOUTEN DARK COMPOUND COINS 1/2KG</t>
  </si>
  <si>
    <t>5410522733655</t>
  </si>
  <si>
    <t>VAN HOUTEN DARK COMPOUND COINS 12.5KG</t>
  </si>
  <si>
    <t>8991001121202</t>
  </si>
  <si>
    <t>VAN HOUTEN DARK FRUIT&amp;NUT 40GR</t>
  </si>
  <si>
    <t>8991001121172</t>
  </si>
  <si>
    <t>VAN HOUTEN DARK MILK CHOCOLATE 40GR</t>
  </si>
  <si>
    <t>5410522733105</t>
  </si>
  <si>
    <t>VAN HOUTEN SIGNATURE DARK COMP COINS 1KG</t>
  </si>
  <si>
    <t>8992277474115</t>
  </si>
  <si>
    <t>VANILE ESSENCE SG 30ML</t>
  </si>
  <si>
    <t>10410479</t>
  </si>
  <si>
    <t>VANILE METACO 100GR</t>
  </si>
  <si>
    <t>VANILE METACO 1KG</t>
  </si>
  <si>
    <t>10410480</t>
  </si>
  <si>
    <t>VANILE METACO 50GR</t>
  </si>
  <si>
    <t>8997205430300</t>
  </si>
  <si>
    <t>VANILE PENGUIN 400GR</t>
  </si>
  <si>
    <t>8997205430294</t>
  </si>
  <si>
    <t>VANILE PENGUIN KCL 60GR</t>
  </si>
  <si>
    <t>10423744</t>
  </si>
  <si>
    <t>VARIASI CROWN MERPATI K V15</t>
  </si>
  <si>
    <t>6971824951002</t>
  </si>
  <si>
    <t>VEGETABLE CUTTER BUNGA SET8 YR1810-2</t>
  </si>
  <si>
    <t>6971824951001</t>
  </si>
  <si>
    <t>VEGETABLE CUTTER MICKEY SET8 YR1810-1</t>
  </si>
  <si>
    <t>8997229330648</t>
  </si>
  <si>
    <t>VEGGIE NOODLE ORIGINAL SAGO 250GR</t>
  </si>
  <si>
    <t>8997229330761</t>
  </si>
  <si>
    <t>VEGGIE NOODLE PAK COY SAGO 250GR</t>
  </si>
  <si>
    <t>8997229330617</t>
  </si>
  <si>
    <t>VEGGIE NOODLE TOMATO SAGO 250GR</t>
  </si>
  <si>
    <t>6902482000124</t>
  </si>
  <si>
    <t>VERMICELLI SOUN LONGKOW 100GR</t>
  </si>
  <si>
    <t>6933414103064</t>
  </si>
  <si>
    <t>VERMICELLI SOUN LONGKOW 250GR</t>
  </si>
  <si>
    <t>6902482000049</t>
  </si>
  <si>
    <t>6933414103071</t>
  </si>
  <si>
    <t>VERMICELLI SOUN LONGKOW 500GR</t>
  </si>
  <si>
    <t>6902482000070</t>
  </si>
  <si>
    <t>6902482000094</t>
  </si>
  <si>
    <t>VERMICELLI SOUN LONGKOW 50GR</t>
  </si>
  <si>
    <t>6933414103057</t>
  </si>
  <si>
    <t>8997033630644</t>
  </si>
  <si>
    <t>VETSIN CAP JEMPOL 50GR</t>
  </si>
  <si>
    <t>8000350000332</t>
  </si>
  <si>
    <t>VICENZI MILLEFOGLIE 125GR</t>
  </si>
  <si>
    <t>10426873</t>
  </si>
  <si>
    <t>VICTORY BENTO 3 SEKAT FLAT</t>
  </si>
  <si>
    <t>10424384</t>
  </si>
  <si>
    <t>VICTORY BENTO SEKAT 4</t>
  </si>
  <si>
    <t>10426902</t>
  </si>
  <si>
    <t>VICTORY BENTO SEKAT 4 DOME</t>
  </si>
  <si>
    <t>10424385</t>
  </si>
  <si>
    <t>VICTORY BENTO SEKAT 4 STAR</t>
  </si>
  <si>
    <t>10423663</t>
  </si>
  <si>
    <t>VICTORY BOX RECTANGLE 300ML</t>
  </si>
  <si>
    <t>VICTORY BOX SQUARE 1000ML</t>
  </si>
  <si>
    <t>10424314</t>
  </si>
  <si>
    <t>VICTORY BOX SQUARE 1010ML</t>
  </si>
  <si>
    <t>10425886</t>
  </si>
  <si>
    <t>VICTORY BOX SQUARE 120ML</t>
  </si>
  <si>
    <t>10425887</t>
  </si>
  <si>
    <t>VICTORY BOX SQUARE 150ML</t>
  </si>
  <si>
    <t>10424176</t>
  </si>
  <si>
    <t>VICTORY BOX SQUARE 750ML</t>
  </si>
  <si>
    <t>10427406</t>
  </si>
  <si>
    <t>VICTORY CUP INJECTION 24 OZ</t>
  </si>
  <si>
    <t>10530165</t>
  </si>
  <si>
    <t>VICTORY CUP INJECTION 24 OZ+TTP</t>
  </si>
  <si>
    <t>10427162</t>
  </si>
  <si>
    <t>VICTORY CUP INJECTION OVAL 380ML</t>
  </si>
  <si>
    <t>10427161</t>
  </si>
  <si>
    <t>VICTORY CUP OVAL 35ML</t>
  </si>
  <si>
    <t>9780201380194</t>
  </si>
  <si>
    <t>VICTORY FLAT CUP 400ML</t>
  </si>
  <si>
    <t>9780201380200</t>
  </si>
  <si>
    <t>VICTORY FLAT CUP 500ML</t>
  </si>
  <si>
    <t>10427163</t>
  </si>
  <si>
    <t>VICTORY TTP INJECTION BENING</t>
  </si>
  <si>
    <t>1733268801049</t>
  </si>
  <si>
    <t>VINISI CHUNK LIGHT TUNA 160GR</t>
  </si>
  <si>
    <t>1733268801094</t>
  </si>
  <si>
    <t>VINISI CORNED TUNA 300gr</t>
  </si>
  <si>
    <t>1733268802046</t>
  </si>
  <si>
    <t>VINISI IKAN ASIN NS GRG 120gr</t>
  </si>
  <si>
    <t>1733288080240</t>
  </si>
  <si>
    <t>VINISI KOKTIL BUAH 840GR</t>
  </si>
  <si>
    <t>1733268802039</t>
  </si>
  <si>
    <t>VINISI RAJUNGAN NASI GORENG 120gr</t>
  </si>
  <si>
    <t>1733268801063</t>
  </si>
  <si>
    <t>VINISI RENDANG TUNA 120gr</t>
  </si>
  <si>
    <t>1733268801032</t>
  </si>
  <si>
    <t>VINISI TUNA BAWANG BOMBAY 140gr</t>
  </si>
  <si>
    <t>1733268802022</t>
  </si>
  <si>
    <t>VINISI TUNA NASI GORENG 120gr</t>
  </si>
  <si>
    <t>1733268802053</t>
  </si>
  <si>
    <t>VINISI TUNA RICA2 NASI GORENG 120gr</t>
  </si>
  <si>
    <t>1733268801117</t>
  </si>
  <si>
    <t>VINISI TUNA RICARICA 130gr</t>
  </si>
  <si>
    <t>1733268801025</t>
  </si>
  <si>
    <t>VINISI TUNA SAMBAL BALADO 130GR</t>
  </si>
  <si>
    <t>1733268801070</t>
  </si>
  <si>
    <t>VINISI TUNA SAMBAL GORENG 165gr</t>
  </si>
  <si>
    <t>1733268802015</t>
  </si>
  <si>
    <t>VINISI TUNA SEAFOOD NASI GORENG 120gr</t>
  </si>
  <si>
    <t>10411647</t>
  </si>
  <si>
    <t>WALNUT 10 KG</t>
  </si>
  <si>
    <t>10410939</t>
  </si>
  <si>
    <t>WALNUT 100GR</t>
  </si>
  <si>
    <t>10410937</t>
  </si>
  <si>
    <t>WALNUT 1KG</t>
  </si>
  <si>
    <t>10410938</t>
  </si>
  <si>
    <t>WALNUT 250GR</t>
  </si>
  <si>
    <t>10411478</t>
  </si>
  <si>
    <t>WALNUT 500GR</t>
  </si>
  <si>
    <t>10411744</t>
  </si>
  <si>
    <t>WASABI POWDER 100GR</t>
  </si>
  <si>
    <t>10411743</t>
  </si>
  <si>
    <t>WASABI POWDER 1KG</t>
  </si>
  <si>
    <t>9983320007007</t>
  </si>
  <si>
    <t>WEI WANG MANTAO PLAIN 290GR</t>
  </si>
  <si>
    <t>10427428</t>
  </si>
  <si>
    <t>WELHOME MESIN PENYEGEL WCS-C37N</t>
  </si>
  <si>
    <t>8997235700022</t>
  </si>
  <si>
    <t>WET SHIRATAKI 200GR</t>
  </si>
  <si>
    <t>4948969100026</t>
  </si>
  <si>
    <t>10300105</t>
  </si>
  <si>
    <t>WET SHIRATAKI SMALL 200GR</t>
  </si>
  <si>
    <t>8997235700053</t>
  </si>
  <si>
    <t>WET SHIRATAKI THIN 200GR</t>
  </si>
  <si>
    <t>10423871</t>
  </si>
  <si>
    <t>WHIPPED CREAM DISPENSER 500ML WHI0001 LISSE</t>
  </si>
  <si>
    <t>10423866</t>
  </si>
  <si>
    <t>WHIPPED CREAM RAINBOW 500ML WHI0002 LISSE</t>
  </si>
  <si>
    <t>10423716</t>
  </si>
  <si>
    <t>WHISK 10 INC WH2</t>
  </si>
  <si>
    <t>10423518</t>
  </si>
  <si>
    <t>WHISK 12INC WH3</t>
  </si>
  <si>
    <t>10425326</t>
  </si>
  <si>
    <t>WHISK 16INCH 16120-4</t>
  </si>
  <si>
    <t>10424612</t>
  </si>
  <si>
    <t>WHISK 17CM WH20</t>
  </si>
  <si>
    <t>10424635</t>
  </si>
  <si>
    <t>WHISK 30CM WH17</t>
  </si>
  <si>
    <t>10423520</t>
  </si>
  <si>
    <t>WHISK BUNGA 24CM WH10</t>
  </si>
  <si>
    <t>10423521</t>
  </si>
  <si>
    <t>WHISK BUNGA 26CM WH10</t>
  </si>
  <si>
    <t>10423522</t>
  </si>
  <si>
    <t>WHISK BUNGA 28CM WH10</t>
  </si>
  <si>
    <t>10423519</t>
  </si>
  <si>
    <t>WHISK BUNGA 3S WH10</t>
  </si>
  <si>
    <t>6973010390178</t>
  </si>
  <si>
    <t>WHISK ELECTRIC 20CM WH19</t>
  </si>
  <si>
    <t>10423554</t>
  </si>
  <si>
    <t>WHISK JUMBO 18 INC WH14</t>
  </si>
  <si>
    <t>10425195</t>
  </si>
  <si>
    <t>WHISK KNG 26CM WHK0002 LISSE</t>
  </si>
  <si>
    <t>10425194</t>
  </si>
  <si>
    <t>WHISK KNG BSR 32,5CM WHK0001 LISSE</t>
  </si>
  <si>
    <t>10423267</t>
  </si>
  <si>
    <t>WHISK KOCOKAN 26CM WH8</t>
  </si>
  <si>
    <t>10423268</t>
  </si>
  <si>
    <t>WHISK KOCOKAN 28CM WH8</t>
  </si>
  <si>
    <t>10424252</t>
  </si>
  <si>
    <t>WHISK KOCOKAN 30CM WH18</t>
  </si>
  <si>
    <t>10423266</t>
  </si>
  <si>
    <t>WHISK KOCOKAN 30CM WH8</t>
  </si>
  <si>
    <t>10411081</t>
  </si>
  <si>
    <t>WHISK KOCOKAN SET3 WH8</t>
  </si>
  <si>
    <t>10423269</t>
  </si>
  <si>
    <t>WHISK KOCOKAN STAIN 8INC WH1</t>
  </si>
  <si>
    <t>10424603</t>
  </si>
  <si>
    <t>WHISK PUTAR SET 2 WH16</t>
  </si>
  <si>
    <t>6970992690296</t>
  </si>
  <si>
    <t>WHISK ROSEGOLD 20CM WHK0014 LISSE</t>
  </si>
  <si>
    <t>10423425</t>
  </si>
  <si>
    <t>WHISK STAINLESS SET+SEPARATOR</t>
  </si>
  <si>
    <t>10423150</t>
  </si>
  <si>
    <t>WHISK+SENDOK TAKAR+SPUIT AB039</t>
  </si>
  <si>
    <t>6935498742313</t>
  </si>
  <si>
    <t>WHISK+SPUIT SET6 AB021</t>
  </si>
  <si>
    <t>6946847300146</t>
  </si>
  <si>
    <t>WILMOND BAKED BEANS 425GR</t>
  </si>
  <si>
    <t>6938638288474</t>
  </si>
  <si>
    <t>WILMOND LECI 565GR</t>
  </si>
  <si>
    <t>8853478003002</t>
  </si>
  <si>
    <t>WILMOND LONGAN 565GR</t>
  </si>
  <si>
    <t>761934538228</t>
  </si>
  <si>
    <t>WILMOND SLICE PINEAPPLE 567GR</t>
  </si>
  <si>
    <t>6905587061014</t>
  </si>
  <si>
    <t>WILMOND STRAWBERRY 825GR</t>
  </si>
  <si>
    <t>6935205331274</t>
  </si>
  <si>
    <t>WILMOND TOMATO PASTE 170GR</t>
  </si>
  <si>
    <t>8997207138242</t>
  </si>
  <si>
    <t>WILSON MEIER BURGER SAPI 200GR</t>
  </si>
  <si>
    <t>8997207138259</t>
  </si>
  <si>
    <t>WILSON MEIER SMOKED BEEF 200GR</t>
  </si>
  <si>
    <t>8997215750160</t>
  </si>
  <si>
    <t>WINCHEEZ SAUS KEJU 250GR</t>
  </si>
  <si>
    <t>10200365</t>
  </si>
  <si>
    <t>WIND MILL POTATO STARCH 25KG</t>
  </si>
  <si>
    <t>10200367</t>
  </si>
  <si>
    <t>WIND MILL POTATO STARCH 500GR</t>
  </si>
  <si>
    <t>8991001400086</t>
  </si>
  <si>
    <t>WINDMOLEN COCOA POWDER 165GR</t>
  </si>
  <si>
    <t>10425703</t>
  </si>
  <si>
    <t>WOOD SPOON 11CM 50S WS1-11</t>
  </si>
  <si>
    <t>10426588</t>
  </si>
  <si>
    <t>WOOD SPOON 16CM 100S WS1-16</t>
  </si>
  <si>
    <t>10427033</t>
  </si>
  <si>
    <t>WT118 MK BOX 10X10X8.5CM</t>
  </si>
  <si>
    <t>10427034</t>
  </si>
  <si>
    <t>XY902 MK BOX 11X11.5X10CM BLT</t>
  </si>
  <si>
    <t>10427040</t>
  </si>
  <si>
    <t>XY903 MK BOX 11X11.5X10CM KTK</t>
  </si>
  <si>
    <t>8802241900130</t>
  </si>
  <si>
    <t>YAKI SUSHI NORI 22GR 10S</t>
  </si>
  <si>
    <t>8992994110112</t>
  </si>
  <si>
    <t>YAKULT 5`S</t>
  </si>
  <si>
    <t>8992994000017</t>
  </si>
  <si>
    <t>YAKULT MANGGA 5`S</t>
  </si>
  <si>
    <t>6955053150629</t>
  </si>
  <si>
    <t>YAMI COFFEE FILTER 1-4CUP 40S</t>
  </si>
  <si>
    <t>9556156002067</t>
  </si>
  <si>
    <t>YEOS TOUCO 250GR</t>
  </si>
  <si>
    <t>YEOS TOUCO 450GR</t>
  </si>
  <si>
    <t>8994291101084</t>
  </si>
  <si>
    <t>YI JIAN MIE TELOR KECIL 200GR</t>
  </si>
  <si>
    <t>8997232000095</t>
  </si>
  <si>
    <t>YI JIAN MIE TELOR KECIL TARIK 190GR</t>
  </si>
  <si>
    <t>8994291500009</t>
  </si>
  <si>
    <t>YI JIAN MIE TELOR LEBAR 200GR</t>
  </si>
  <si>
    <t>8993351120003</t>
  </si>
  <si>
    <t>YOGURT GREENFIELD 125GR</t>
  </si>
  <si>
    <t>8993351120027</t>
  </si>
  <si>
    <t>YOGURT GREENFIELDS 1KG</t>
  </si>
  <si>
    <t>8993351120010</t>
  </si>
  <si>
    <t>YOGURT GREENFIELDS 500GR</t>
  </si>
  <si>
    <t>10411624</t>
  </si>
  <si>
    <t>YU AI KACANG HIJAU DAN PANDAN 1KG</t>
  </si>
  <si>
    <t>10411625</t>
  </si>
  <si>
    <t>YU AI KACANG MERAH 1KG</t>
  </si>
  <si>
    <t>8992992390578</t>
  </si>
  <si>
    <t>ZEA 100 500GR</t>
  </si>
  <si>
    <t>8992992390943</t>
  </si>
  <si>
    <t>ZEE AXE BB 5KG</t>
  </si>
  <si>
    <t>8992992389046</t>
  </si>
  <si>
    <t>ZEE AXE BLUBERRY 500GR</t>
  </si>
  <si>
    <t>8992992391070</t>
  </si>
  <si>
    <t>ZEE AXE FRUTTI PINEAPPLE 5KG</t>
  </si>
  <si>
    <t>8992992389039</t>
  </si>
  <si>
    <t>ZEE AXE FRUTY STW 500GR</t>
  </si>
  <si>
    <t>10410453</t>
  </si>
  <si>
    <t>ZEE AXE PINEAP 1KG</t>
  </si>
  <si>
    <t>10410190</t>
  </si>
  <si>
    <t>ZEE AXE PINEAP 250GR</t>
  </si>
  <si>
    <t>8992992390929</t>
  </si>
  <si>
    <t>ZEE AXE STRAW 5KG</t>
  </si>
  <si>
    <t>8992992938114</t>
  </si>
  <si>
    <t>ZEE AXE VLA SARIKAYA 5KG</t>
  </si>
  <si>
    <t>10412265</t>
  </si>
  <si>
    <t>ZEE AXE VLA SARIKAYA PANDAN 1/2KG</t>
  </si>
  <si>
    <t>10412266</t>
  </si>
  <si>
    <t>ZEE AXE VLA SARIKAYA PANDAN 250GR</t>
  </si>
  <si>
    <t>8992992938091</t>
  </si>
  <si>
    <t>ZEE AXE VLA SARIKAYA PANDAN 5KG</t>
  </si>
  <si>
    <t>8992992936684</t>
  </si>
  <si>
    <t>ZEE BROWNIES MIX KUKUS 230GR</t>
  </si>
  <si>
    <t>8992992936486</t>
  </si>
  <si>
    <t>ZEE CHOCO MOIST MIX 375GR</t>
  </si>
  <si>
    <t>8992992937971</t>
  </si>
  <si>
    <t>ZEE GLAZE DARK 1KG</t>
  </si>
  <si>
    <t>8992992938350</t>
  </si>
  <si>
    <t>ZEE GLAZE HAZELNUT 5KG</t>
  </si>
  <si>
    <t>8992992936653</t>
  </si>
  <si>
    <t>ZEE LAROME VANILLA 60GR</t>
  </si>
  <si>
    <t>8992992937292</t>
  </si>
  <si>
    <t>ZEE MUFFIN MIX VANILLA 1KG</t>
  </si>
  <si>
    <t>8992992936509</t>
  </si>
  <si>
    <t>ZEE MUFFIN MIX VANILLA 375GR</t>
  </si>
  <si>
    <t>8992992389022</t>
  </si>
  <si>
    <t>ZEE PALETTA BLUE BERRY 500GR</t>
  </si>
  <si>
    <t>8992992389015</t>
  </si>
  <si>
    <t>ZEE PALETTA STRAW 500GR</t>
  </si>
  <si>
    <t>8992992389008</t>
  </si>
  <si>
    <t>ZEE RAP 500GR</t>
  </si>
  <si>
    <t>8992992937049</t>
  </si>
  <si>
    <t>ZEE RAP VLA SARIKAYA 500GR</t>
  </si>
  <si>
    <t>8992992937186</t>
  </si>
  <si>
    <t>ZEE RAP VLA VANILLA 500GR</t>
  </si>
  <si>
    <t>8992992932273</t>
  </si>
  <si>
    <t>ZEELANDIA ATHENA BP 80GR</t>
  </si>
  <si>
    <t>8992992936059</t>
  </si>
  <si>
    <t>ZEELANDIA BAKERS MARGARIN 15KG</t>
  </si>
  <si>
    <t>10412032</t>
  </si>
  <si>
    <t>ZEELANDIA BAKERS MARGARIN 1KG</t>
  </si>
  <si>
    <t>8992992938046</t>
  </si>
  <si>
    <t>ZEELANDIA BIOBIANCA ICING DONAT 500GR</t>
  </si>
  <si>
    <t>8992992936929</t>
  </si>
  <si>
    <t>ZEELANDIA BOLU KUKUS MIX 400GR</t>
  </si>
  <si>
    <t>8997026850820</t>
  </si>
  <si>
    <t>ZEELANDIA CARLO 20KG</t>
  </si>
  <si>
    <t>ZEELANDIA CARLO MASTER 400GR</t>
  </si>
  <si>
    <t>ZEELANDIA CARLO PAND GREASE 5KG</t>
  </si>
  <si>
    <t>8992992388988</t>
  </si>
  <si>
    <t>ZEELANDIA MAMON CAKE MIX 500GR</t>
  </si>
  <si>
    <t>8992992934345</t>
  </si>
  <si>
    <t>ZEELANDIA QUICK 75 80GR</t>
  </si>
  <si>
    <t>8992992937650</t>
  </si>
  <si>
    <t>ZEELANDIA RAP CUSTARD CHOCOLATE 500G</t>
  </si>
  <si>
    <t>8992992937490</t>
  </si>
  <si>
    <t>ZEELANDIA RAP CUSTARD VANILLA 500G</t>
  </si>
  <si>
    <t>8992992936608</t>
  </si>
  <si>
    <t>ZEELANDIA VANILLA MOIST MIX 375GR</t>
  </si>
  <si>
    <t>10411757</t>
  </si>
  <si>
    <t>ZICUSTARD SARIKAYA 500GR</t>
  </si>
  <si>
    <t>8992992935953</t>
  </si>
  <si>
    <t>ZICUSTARD SARIKAYA 5KG</t>
  </si>
  <si>
    <t>8992992937254</t>
  </si>
  <si>
    <t>ZIMUFFIN COKELAT 1KG</t>
  </si>
  <si>
    <t>8992992389831</t>
  </si>
  <si>
    <t>ZIMUFFIN VANILLA 1KG</t>
  </si>
  <si>
    <t>10423705</t>
  </si>
  <si>
    <t>ZIPPER 001 PLASTIK ROTI</t>
  </si>
  <si>
    <t>8223451624904</t>
  </si>
  <si>
    <t>ZN2490 PASTRY CUP MAKER</t>
  </si>
  <si>
    <t>10425990</t>
  </si>
  <si>
    <t>ZN2726 SPUIT 2S</t>
  </si>
  <si>
    <t>8999510603004</t>
  </si>
  <si>
    <t>ZODA WATER 250ML</t>
  </si>
  <si>
    <t>8999510910003</t>
  </si>
  <si>
    <t>ZODA WATER GROOVY 330ML</t>
  </si>
  <si>
    <t>Kode Barang</t>
  </si>
  <si>
    <t>Nama Barang</t>
  </si>
  <si>
    <t xml:space="preserve">TABASCO PEPPER SAUCE 60ML </t>
  </si>
  <si>
    <t xml:space="preserve">TABASCO PEPPER SAUCE 150ML </t>
  </si>
  <si>
    <t xml:space="preserve">TABASCO HABANERO SAUCE 60ML </t>
  </si>
  <si>
    <t xml:space="preserve">TABASCO GARLIC PEPPER SAUCE 60ML </t>
  </si>
  <si>
    <t xml:space="preserve">DOLPIN GARAM 250GR </t>
  </si>
  <si>
    <t xml:space="preserve">DOLPIN GARAM 500GR </t>
  </si>
  <si>
    <t xml:space="preserve">SELAMAT HARI RAYA IDUL FITRI </t>
  </si>
  <si>
    <t xml:space="preserve">OLIVE OIL PURE 250ML </t>
  </si>
  <si>
    <t xml:space="preserve">LOY KOTAK SET5 LY2 </t>
  </si>
  <si>
    <t xml:space="preserve">ROLLING PIN PASTRY 001 ROL0028 </t>
  </si>
  <si>
    <t xml:space="preserve">CAKE SMOOTHER PREMIUM SCR0015 </t>
  </si>
  <si>
    <t>LKK SAUS LADA HTM  230GR</t>
  </si>
  <si>
    <t xml:space="preserve">CONGRAT FANCY SCRIPT </t>
  </si>
  <si>
    <t xml:space="preserve">IF BUMBU RACIK NASI GRG 20GR </t>
  </si>
  <si>
    <t xml:space="preserve">IF BUMBU RACIK AYM GRG 26GR </t>
  </si>
  <si>
    <t xml:space="preserve">IF BUMBU RACIK SAYUR  ASEM 33GR  </t>
  </si>
  <si>
    <t xml:space="preserve">IF BUMBU RACIK SAYUR  SOP 20GR  </t>
  </si>
  <si>
    <t xml:space="preserve">IF BUMBU RACIK TEMPE GRG 20GR  </t>
  </si>
  <si>
    <t xml:space="preserve">IF BUMBU RACIK IKAN GRG 20GR </t>
  </si>
  <si>
    <t xml:space="preserve">IF SAMBAL PEDAS BTL 275ML </t>
  </si>
  <si>
    <t xml:space="preserve">IF SAMBAL EXT PEDAS BTL 275ML </t>
  </si>
  <si>
    <t xml:space="preserve">IF BUMBU GULAI 45GR </t>
  </si>
  <si>
    <t xml:space="preserve">IF BUMBU RENDANG 50GR </t>
  </si>
  <si>
    <t xml:space="preserve">BOX NICOLE 25 MARBLE LATTE </t>
  </si>
  <si>
    <t xml:space="preserve">MERICA GLG 50GR </t>
  </si>
  <si>
    <t xml:space="preserve">SEPARATOR STEEL STAINLESS SSS1 </t>
  </si>
  <si>
    <t xml:space="preserve">MERICA GLG 1/2KG </t>
  </si>
  <si>
    <t xml:space="preserve">MERICA GLG 100GR </t>
  </si>
  <si>
    <t xml:space="preserve">PALA BLT  50GR </t>
  </si>
  <si>
    <t>MERICA PUTIH  BLT 1KG</t>
  </si>
  <si>
    <t xml:space="preserve">KAPULAGA INDIA 50GR </t>
  </si>
  <si>
    <t xml:space="preserve">BUMBU SPEKUK 50GR </t>
  </si>
  <si>
    <t xml:space="preserve">BUMBU SPEKUK 100GR </t>
  </si>
  <si>
    <t xml:space="preserve">KETUMBAR RANGON 50GR </t>
  </si>
  <si>
    <t xml:space="preserve">KETUMBAR KECIL 50GR </t>
  </si>
  <si>
    <t xml:space="preserve">PULO SARI 50GR </t>
  </si>
  <si>
    <t xml:space="preserve">PEKAK 50GR </t>
  </si>
  <si>
    <t xml:space="preserve">MERICA HTM BLT 50GR </t>
  </si>
  <si>
    <t xml:space="preserve">KETUMBAR RANGON 1/2KG </t>
  </si>
  <si>
    <t xml:space="preserve">KETUMBAR RANGON 100GR </t>
  </si>
  <si>
    <t xml:space="preserve">MERICA PUTIH 1/2KG </t>
  </si>
  <si>
    <t xml:space="preserve">MERICA PUTIH 100GR </t>
  </si>
  <si>
    <t xml:space="preserve">KAPULAGA BIASA 100GR </t>
  </si>
  <si>
    <t xml:space="preserve">KAPULAGA BIASA 50GR </t>
  </si>
  <si>
    <t xml:space="preserve">ADAS MANIS GLG 1KG </t>
  </si>
  <si>
    <t xml:space="preserve">SELAI KACANG 1/2KG </t>
  </si>
  <si>
    <t xml:space="preserve">MERICA HTM GLG 50GR </t>
  </si>
  <si>
    <t xml:space="preserve">MERICA HTM GLG 100GR </t>
  </si>
  <si>
    <t xml:space="preserve">KETUMBAR KECIL 1/2KG </t>
  </si>
  <si>
    <t xml:space="preserve">ADAS MANIS 1/2KG </t>
  </si>
  <si>
    <t xml:space="preserve">JINTAN GL 100GR </t>
  </si>
  <si>
    <t xml:space="preserve">PALA GL 50GR </t>
  </si>
  <si>
    <t xml:space="preserve">PALA GL 100GR </t>
  </si>
  <si>
    <t xml:space="preserve">ADAS MANIS GL 50GR </t>
  </si>
  <si>
    <t xml:space="preserve">ADAS MANIS GL 100GR </t>
  </si>
  <si>
    <t xml:space="preserve">KETUMBAR GL PTH 50GR </t>
  </si>
  <si>
    <t xml:space="preserve">KETUMBAR SANGRAI 50GR </t>
  </si>
  <si>
    <t xml:space="preserve">KETUMBAR SANGRAI 100GR </t>
  </si>
  <si>
    <t xml:space="preserve">MANJAKANI 1KG </t>
  </si>
  <si>
    <t xml:space="preserve">MANJAKANI 50GR </t>
  </si>
  <si>
    <t xml:space="preserve">KAS KAS 100GR </t>
  </si>
  <si>
    <t xml:space="preserve">ALBA 100GR </t>
  </si>
  <si>
    <t>PALA  BLT 2S</t>
  </si>
  <si>
    <t xml:space="preserve">KACANG TANAH S 1/2KG </t>
  </si>
  <si>
    <t xml:space="preserve">K KAKA MAMA 300GR </t>
  </si>
  <si>
    <t xml:space="preserve">CITRUN CAP GJH 500GR </t>
  </si>
  <si>
    <t xml:space="preserve">TERASI SN BLT </t>
  </si>
  <si>
    <t xml:space="preserve">BUTTER BULLION 1KG </t>
  </si>
  <si>
    <t xml:space="preserve">TP KANJI PAK TANI 1KG </t>
  </si>
  <si>
    <t xml:space="preserve">KETAN PUTIH 1KG </t>
  </si>
  <si>
    <t xml:space="preserve">KACANG KUPAS 1/2 KG </t>
  </si>
  <si>
    <t xml:space="preserve">SELASIH 1/2KG </t>
  </si>
  <si>
    <t xml:space="preserve">RAGI TAPAI NKL </t>
  </si>
  <si>
    <t xml:space="preserve">ADAS MANIS BLT 100GR </t>
  </si>
  <si>
    <t xml:space="preserve">PEKAK 100GR </t>
  </si>
  <si>
    <t xml:space="preserve">TORTILA MINI </t>
  </si>
  <si>
    <t xml:space="preserve">GV GELATINE HALAL 100GR </t>
  </si>
  <si>
    <t xml:space="preserve">MERRY WHIP 1KG </t>
  </si>
  <si>
    <t xml:space="preserve">MERRY WHIP 1/2KG </t>
  </si>
  <si>
    <t>MERCOLADE DARK  1S</t>
  </si>
  <si>
    <t xml:space="preserve">PANIR PUTIH 1KG </t>
  </si>
  <si>
    <t xml:space="preserve">DONNY PANDAN 1KG </t>
  </si>
  <si>
    <t xml:space="preserve">KAPULAGA INDIA 5GR </t>
  </si>
  <si>
    <t xml:space="preserve">KAPULAGA INDIA 10GR </t>
  </si>
  <si>
    <t xml:space="preserve">MGP FRYBEST 1/2KG </t>
  </si>
  <si>
    <t xml:space="preserve">JAMUR SHITAKE 1KG </t>
  </si>
  <si>
    <t xml:space="preserve">BIJAN HITAM 1KG </t>
  </si>
  <si>
    <t xml:space="preserve">KACANG TELUR 1KG </t>
  </si>
  <si>
    <t xml:space="preserve">KACANG TELUR 5KG </t>
  </si>
  <si>
    <t xml:space="preserve">BIJAN HITAM 1/2KG </t>
  </si>
  <si>
    <t xml:space="preserve">JAMUR SHITAKE 50GR </t>
  </si>
  <si>
    <t xml:space="preserve">BENDICO ND 100GR </t>
  </si>
  <si>
    <t xml:space="preserve">KURMA GOLDEN VALEY  500GR </t>
  </si>
  <si>
    <t xml:space="preserve">TORTILA SEDANG </t>
  </si>
  <si>
    <t xml:space="preserve">MAIZENA BOLA  25KG </t>
  </si>
  <si>
    <t xml:space="preserve">KULINER 240S JOLLY </t>
  </si>
  <si>
    <t xml:space="preserve">TERASI 333 40GR 10S </t>
  </si>
  <si>
    <t xml:space="preserve">COL CHOCO FILLING 1/2KG </t>
  </si>
  <si>
    <t>CHIP LAGIE RAINBOW  1KG</t>
  </si>
  <si>
    <t xml:space="preserve">SODA ASAHI 1KG </t>
  </si>
  <si>
    <t xml:space="preserve">ELMER GLAZE GREENTEA 1/2KG </t>
  </si>
  <si>
    <t xml:space="preserve">ELMER GLAZE BANANA 1/2KG </t>
  </si>
  <si>
    <t xml:space="preserve">ELMER GLAZE STRAW 1/2KG </t>
  </si>
  <si>
    <t>PANIR PRIMERA PANKO 10KG</t>
  </si>
  <si>
    <t xml:space="preserve">COL GLAZE DARK 1/2KG </t>
  </si>
  <si>
    <t xml:space="preserve">COL GLAZE WHITE 1/2KG </t>
  </si>
  <si>
    <t>KACANG KUPAS TERATAI  1KG</t>
  </si>
  <si>
    <t xml:space="preserve">DYNA M 500GR </t>
  </si>
  <si>
    <t xml:space="preserve">COLATTA PASTRY MATE BAKERY 5KG </t>
  </si>
  <si>
    <t xml:space="preserve">SENDOK TEH WARNA </t>
  </si>
  <si>
    <t xml:space="preserve">FRUTY STRAW 1KG  </t>
  </si>
  <si>
    <t xml:space="preserve">MAIZENA 1KG </t>
  </si>
  <si>
    <t xml:space="preserve">SP RYOTO 100GR </t>
  </si>
  <si>
    <t xml:space="preserve">MAIZENA 1/2KG </t>
  </si>
  <si>
    <t xml:space="preserve">SODA ASAHI 1/2KG </t>
  </si>
  <si>
    <t xml:space="preserve">KISMIS HITAM 100GR </t>
  </si>
  <si>
    <t xml:space="preserve">TP KANJI SAGU TANI 1/2KG </t>
  </si>
  <si>
    <t xml:space="preserve">BIJAN PUTIH 1/2KG </t>
  </si>
  <si>
    <t xml:space="preserve">BIJAN PUTIH 100GR </t>
  </si>
  <si>
    <t xml:space="preserve">PANTHER SP HJ 100GR </t>
  </si>
  <si>
    <t xml:space="preserve">ZEE AXE PINEAP 1KG </t>
  </si>
  <si>
    <t xml:space="preserve">COL GLAZE TIRAMISU 1/2KG </t>
  </si>
  <si>
    <t xml:space="preserve">COL GLAZE STRAW 1/2KG </t>
  </si>
  <si>
    <t xml:space="preserve">COL GLAZE GREEN TEA 1/2KG </t>
  </si>
  <si>
    <t xml:space="preserve">PLAZA FILLING 1KG </t>
  </si>
  <si>
    <t xml:space="preserve">BENDICO XXD 100GR </t>
  </si>
  <si>
    <t xml:space="preserve">BIG ONE BAKPOU 10GR </t>
  </si>
  <si>
    <t>ALMOND UTUH  250GR</t>
  </si>
  <si>
    <t xml:space="preserve">DYNA CUSTARD  PWD  1KG </t>
  </si>
  <si>
    <t xml:space="preserve">DYNA CUSTARD  PWD  1/2KG </t>
  </si>
  <si>
    <t xml:space="preserve">CKLT FILLING PRIGENT 1KG </t>
  </si>
  <si>
    <t xml:space="preserve">CKLT FILLING PRIGENT 1/2KG </t>
  </si>
  <si>
    <t xml:space="preserve">LADAME PASTA 25 ML </t>
  </si>
  <si>
    <t xml:space="preserve">SELAI KACANG 1KG </t>
  </si>
  <si>
    <t xml:space="preserve">LADAME EXTRACT 100ML </t>
  </si>
  <si>
    <t xml:space="preserve">DANISH PASTRY 1KG </t>
  </si>
  <si>
    <t xml:space="preserve">PURAVITA GANDUM 1KG </t>
  </si>
  <si>
    <t xml:space="preserve">SUSU PROMIL 100GR </t>
  </si>
  <si>
    <t xml:space="preserve">CRISPY BALL STRW 100GR </t>
  </si>
  <si>
    <t xml:space="preserve">CRISPY BALL MELON 100GR </t>
  </si>
  <si>
    <t xml:space="preserve">CRISPY BALL WHT 100GR </t>
  </si>
  <si>
    <t xml:space="preserve">CRISPY BALL DARK 100GR </t>
  </si>
  <si>
    <t xml:space="preserve">ELMER AFRICAN RED 1/2KG </t>
  </si>
  <si>
    <t xml:space="preserve">ELMER AFRICAN BLCK 1/2KG </t>
  </si>
  <si>
    <t xml:space="preserve">PURAVITA GANDUM 1/2KG </t>
  </si>
  <si>
    <t xml:space="preserve">ELMER AFRICAN BLCK 100GR </t>
  </si>
  <si>
    <t xml:space="preserve">DANISH PASTRY 1/2KG </t>
  </si>
  <si>
    <t xml:space="preserve">OREGANO 10GR </t>
  </si>
  <si>
    <t xml:space="preserve">ALMOND UTUH 1/2KG </t>
  </si>
  <si>
    <t>DYNA CUSTARD  PWD 250GR</t>
  </si>
  <si>
    <t xml:space="preserve">ELMER COMP TARO 1S </t>
  </si>
  <si>
    <t xml:space="preserve">ELMER COMP LEMON 1S </t>
  </si>
  <si>
    <t xml:space="preserve">TP KOMACHI 1KG </t>
  </si>
  <si>
    <t xml:space="preserve">TP KOMACHI 1/2KG </t>
  </si>
  <si>
    <t xml:space="preserve">SPRINKLE EASTER BUNY 50GR </t>
  </si>
  <si>
    <t xml:space="preserve">OREO COKLAT BBK 12 KG </t>
  </si>
  <si>
    <t xml:space="preserve">BENDICO XXD 1/2KG </t>
  </si>
  <si>
    <t xml:space="preserve">MALINDA PTH 1/2KG </t>
  </si>
  <si>
    <t xml:space="preserve">ELMER GLAZE HAZELNUT 1/2KG </t>
  </si>
  <si>
    <t xml:space="preserve">TP GULA MINT 1/4KG </t>
  </si>
  <si>
    <t xml:space="preserve">FRUTY STRAW 5KG  </t>
  </si>
  <si>
    <t xml:space="preserve">ELMER MISES TARO 5KG </t>
  </si>
  <si>
    <t xml:space="preserve">ELMER MISES TIRAMITSU 5KG </t>
  </si>
  <si>
    <t>PALMIA ROYAL MARGARIN  1KG</t>
  </si>
  <si>
    <t>PALMIA ROYAL MARGARIN  1/2KG</t>
  </si>
  <si>
    <t xml:space="preserve">CRISPY BALL DARK 2,5KG </t>
  </si>
  <si>
    <t xml:space="preserve">CRISPY BALL MELON 2,5KG </t>
  </si>
  <si>
    <t xml:space="preserve">CRISPY BALL WHITE 2,5KG </t>
  </si>
  <si>
    <t xml:space="preserve">CRISPY BALL GRAPE 2,5KG </t>
  </si>
  <si>
    <t xml:space="preserve">CRISPY BALL CAPPUCINO 2,5KG </t>
  </si>
  <si>
    <t xml:space="preserve">CRISPY BALL LEMON 2,5KG </t>
  </si>
  <si>
    <t xml:space="preserve">CRISPY BALL BANANA 2,5KG </t>
  </si>
  <si>
    <t>CHIP LAGIE RAINBOW  3KG</t>
  </si>
  <si>
    <t xml:space="preserve">ELMER MISES GREENTEA 5KG </t>
  </si>
  <si>
    <t xml:space="preserve">CKLT FILLING PRIGENT 10KG </t>
  </si>
  <si>
    <t xml:space="preserve">WHISK KOCOKAN SET3 WH8 </t>
  </si>
  <si>
    <t xml:space="preserve">KOCOKAN TG WH6 </t>
  </si>
  <si>
    <t xml:space="preserve">KOCOKAN K WH7 </t>
  </si>
  <si>
    <t xml:space="preserve">PENJEPIT ROTI 30CM PR4 </t>
  </si>
  <si>
    <t xml:space="preserve">SENDOK TAKAR 5 ST1 </t>
  </si>
  <si>
    <t xml:space="preserve">SENDOK TAKAR 5 ST2 </t>
  </si>
  <si>
    <t xml:space="preserve">SPG2 BINTANG BESAR GOLD </t>
  </si>
  <si>
    <t xml:space="preserve">SPG9-6 EMAS BIASA 6MM BTL </t>
  </si>
  <si>
    <t>SPS1 MECES SILVER  BTL</t>
  </si>
  <si>
    <t xml:space="preserve">SPG7B GOLD STICK PINK BTL </t>
  </si>
  <si>
    <t xml:space="preserve">SPS6-2 SPRINKLE SILVER 2MM </t>
  </si>
  <si>
    <t xml:space="preserve">SPG9-7 EMAS BIASA 7MM BTL </t>
  </si>
  <si>
    <t xml:space="preserve">SPK476 MAGICAL SUGAR MIX </t>
  </si>
  <si>
    <t>PRUNES GOOD VALLEY  10KG</t>
  </si>
  <si>
    <t xml:space="preserve">CUP PATTISERIE 45X50MM </t>
  </si>
  <si>
    <t xml:space="preserve">CUP PATTISERIE 38X40MM </t>
  </si>
  <si>
    <t xml:space="preserve">BOX GS 14X12 POLOS </t>
  </si>
  <si>
    <t xml:space="preserve">CUP DIVA 5 HIJAU </t>
  </si>
  <si>
    <t xml:space="preserve">CUP KLASSI 7 PUTIH </t>
  </si>
  <si>
    <t xml:space="preserve">SB ROYAL P.SUSU </t>
  </si>
  <si>
    <t xml:space="preserve">BOX MAKNYOS 12X12 </t>
  </si>
  <si>
    <t xml:space="preserve">SB ROYAL P.SUSU  1S </t>
  </si>
  <si>
    <t xml:space="preserve">MIKA MEGA 5C </t>
  </si>
  <si>
    <t xml:space="preserve">MIKA MEGA 5X </t>
  </si>
  <si>
    <t xml:space="preserve">MIKA MEGA 6A </t>
  </si>
  <si>
    <t xml:space="preserve">MIKA MEGA 6X </t>
  </si>
  <si>
    <t xml:space="preserve">MIKA MEGA 7C </t>
  </si>
  <si>
    <t xml:space="preserve">CUP DIVA 5 BIRU </t>
  </si>
  <si>
    <t xml:space="preserve">CUP DIVA 5 KNG </t>
  </si>
  <si>
    <t xml:space="preserve">CUP DIVA 5 ORANGE </t>
  </si>
  <si>
    <t xml:space="preserve">CUP DIVA 5 PINK </t>
  </si>
  <si>
    <t xml:space="preserve">CUP DIVA 5 VIOLET </t>
  </si>
  <si>
    <t xml:space="preserve">PIRING BSM P6 </t>
  </si>
  <si>
    <t xml:space="preserve">MANGKOK BSM MK5 </t>
  </si>
  <si>
    <t xml:space="preserve">MIKA CHIFON TX 22 </t>
  </si>
  <si>
    <t xml:space="preserve">TART CT10 BULAT </t>
  </si>
  <si>
    <t xml:space="preserve">TART CT15 BULAT </t>
  </si>
  <si>
    <t xml:space="preserve">TART CT20 BULAT  </t>
  </si>
  <si>
    <t xml:space="preserve">TART CT22 BULAT </t>
  </si>
  <si>
    <t xml:space="preserve">TART CT25 BULAT </t>
  </si>
  <si>
    <t xml:space="preserve">TART CT25 PETAK </t>
  </si>
  <si>
    <t xml:space="preserve">TART CT28 BULAT </t>
  </si>
  <si>
    <t xml:space="preserve">TART CT28 PETAK </t>
  </si>
  <si>
    <t xml:space="preserve">TART CT30 BULAT </t>
  </si>
  <si>
    <t xml:space="preserve">TART CT30 PETAK </t>
  </si>
  <si>
    <t>TTP PAPER BOWL  650ML 50S</t>
  </si>
  <si>
    <t xml:space="preserve">NAMPAN L DI </t>
  </si>
  <si>
    <t>TTP PAPER BOWL  300ML</t>
  </si>
  <si>
    <t xml:space="preserve">FRESH FOOD 350MM </t>
  </si>
  <si>
    <t xml:space="preserve">ALAS NICOLE 18 BLACK </t>
  </si>
  <si>
    <t xml:space="preserve">ALAS NICOLE 24 BLACK </t>
  </si>
  <si>
    <t xml:space="preserve">CUP KLASSI 7 WRNA </t>
  </si>
  <si>
    <t xml:space="preserve">SENDOK ICE CRM </t>
  </si>
  <si>
    <t xml:space="preserve">BOX NICOLE 25 PURPLE </t>
  </si>
  <si>
    <t xml:space="preserve">SENDOK ICE CRM 1/2KG </t>
  </si>
  <si>
    <t xml:space="preserve">SENDOK ICE CRM 100GR </t>
  </si>
  <si>
    <t xml:space="preserve">PIRING EMAS B </t>
  </si>
  <si>
    <t xml:space="preserve">PIPET PETAK CKLT </t>
  </si>
  <si>
    <t xml:space="preserve">ALAS TART B 18 SILVER </t>
  </si>
  <si>
    <t xml:space="preserve">ALAS TART P 18 SILVER </t>
  </si>
  <si>
    <t xml:space="preserve">ALAS TART B 22 SILVER </t>
  </si>
  <si>
    <t xml:space="preserve">ALAS TART P 22 SILVER </t>
  </si>
  <si>
    <t xml:space="preserve">ALAS TART P 24 SILVER </t>
  </si>
  <si>
    <t xml:space="preserve">ALAS TART P 25 SILVER </t>
  </si>
  <si>
    <t xml:space="preserve">ALAS TART B  30 SILVER </t>
  </si>
  <si>
    <t xml:space="preserve">ALAS TART P 30 SILVER </t>
  </si>
  <si>
    <t xml:space="preserve">FRESH FOOD 400MM </t>
  </si>
  <si>
    <t xml:space="preserve">FRESH FOOD 300MM </t>
  </si>
  <si>
    <t xml:space="preserve">ALU RX 14071 10S </t>
  </si>
  <si>
    <t xml:space="preserve">ALU BX 2551 10S </t>
  </si>
  <si>
    <t xml:space="preserve">GELAS AQUA PLS </t>
  </si>
  <si>
    <t xml:space="preserve">MIKA CHIFFON 1206 IC </t>
  </si>
  <si>
    <t xml:space="preserve">TF BURGER </t>
  </si>
  <si>
    <t xml:space="preserve">ALAS TART B 25 SILVER </t>
  </si>
  <si>
    <t xml:space="preserve">FONDX VIRGIN WHT 1KG </t>
  </si>
  <si>
    <t xml:space="preserve">BUMBU TEH TELOR </t>
  </si>
  <si>
    <t xml:space="preserve">MESIN POP ICE </t>
  </si>
  <si>
    <t xml:space="preserve">MIKA BENTO </t>
  </si>
  <si>
    <t xml:space="preserve">KETUMBAR KECIL 100GR </t>
  </si>
  <si>
    <t xml:space="preserve">JINTAN PUTIH 100GR </t>
  </si>
  <si>
    <t xml:space="preserve">BUBUK KUNYIT 50GR </t>
  </si>
  <si>
    <t xml:space="preserve">MERICA HTM BLT 100GR </t>
  </si>
  <si>
    <t xml:space="preserve">JINTAN HITAM 1KG </t>
  </si>
  <si>
    <t xml:space="preserve">CENGKEH BLT 1/2KG </t>
  </si>
  <si>
    <t xml:space="preserve">PALA BLT 100GR </t>
  </si>
  <si>
    <t xml:space="preserve">PALA BLT 1/2KG </t>
  </si>
  <si>
    <t xml:space="preserve">PAPER TRAY M </t>
  </si>
  <si>
    <t xml:space="preserve">COVER GLASS 10.5 ROSE </t>
  </si>
  <si>
    <t xml:space="preserve">TOPLES EASYTOP 712 RADIAN </t>
  </si>
  <si>
    <t xml:space="preserve">CUP MOTIF MALAYSIA 100S </t>
  </si>
  <si>
    <t xml:space="preserve">LITTLE PONY LI59 </t>
  </si>
  <si>
    <t xml:space="preserve">CUP ROSA 7 BLCK </t>
  </si>
  <si>
    <t xml:space="preserve">LOY 32CM BULAT </t>
  </si>
  <si>
    <t xml:space="preserve">BRILIANT LEMON YELLOW 1KG </t>
  </si>
  <si>
    <t xml:space="preserve">TP SAGU 1KG </t>
  </si>
  <si>
    <t xml:space="preserve">TP SAGU 1/2KG </t>
  </si>
  <si>
    <t xml:space="preserve">BUTTER BULLION 1/2KG </t>
  </si>
  <si>
    <t xml:space="preserve">PURATOS RED VELVET 1KG </t>
  </si>
  <si>
    <t xml:space="preserve">PURATOS RED VELVET 1/2KG </t>
  </si>
  <si>
    <t xml:space="preserve">SPUIT SET 30 SP 8 </t>
  </si>
  <si>
    <t xml:space="preserve">PLONGER SET 3 PL 1 </t>
  </si>
  <si>
    <t xml:space="preserve">SPUIT SET 6 SP 10 </t>
  </si>
  <si>
    <t xml:space="preserve">SPUIT SET 6 SP 11 </t>
  </si>
  <si>
    <t xml:space="preserve">SPUIT SET 8 SP 12 </t>
  </si>
  <si>
    <t xml:space="preserve">SPUIT BUTTER 12 AB 010 </t>
  </si>
  <si>
    <t xml:space="preserve">SWAN B MILK TEA 500GR </t>
  </si>
  <si>
    <t xml:space="preserve">PANTHER SP HJ 1/2KG </t>
  </si>
  <si>
    <t xml:space="preserve">BAKELS GULA DEKORASI 1/2KG </t>
  </si>
  <si>
    <t xml:space="preserve">CHIP MINI COL 100GR </t>
  </si>
  <si>
    <t xml:space="preserve">BENDICO XD 100GR </t>
  </si>
  <si>
    <t xml:space="preserve">CRISPY BALL GRAPE 100GR </t>
  </si>
  <si>
    <t xml:space="preserve">CRISPY BALL CAPUCINO 100GR </t>
  </si>
  <si>
    <t xml:space="preserve">GRATED PARMESAN 50GR </t>
  </si>
  <si>
    <t xml:space="preserve">ELMER GLAZE TARO 1/2KG </t>
  </si>
  <si>
    <t xml:space="preserve">HOLMAN SOFT CRM 1KG </t>
  </si>
  <si>
    <t xml:space="preserve">HOLMAN SOFT CRM 1/2KG </t>
  </si>
  <si>
    <t xml:space="preserve">HOLMAN BUTT CRM 1/2KG </t>
  </si>
  <si>
    <t xml:space="preserve">CRISPY BALL LEMON 100GR </t>
  </si>
  <si>
    <t xml:space="preserve">TULIP MISES COKLAT 1/2KG </t>
  </si>
  <si>
    <t xml:space="preserve">TULIP MISES PELANGI 1/2KG </t>
  </si>
  <si>
    <t xml:space="preserve">TULIP FILLING 1/2KG </t>
  </si>
  <si>
    <t xml:space="preserve">ELMER GLAZE COFFE MOCCA 1/2KG </t>
  </si>
  <si>
    <t xml:space="preserve">CRISPY BALL BANANA 100GR </t>
  </si>
  <si>
    <t xml:space="preserve">SENDOK ICE CRM WRNA </t>
  </si>
  <si>
    <t>CUP DIVA TLP PTH  50X80</t>
  </si>
  <si>
    <t xml:space="preserve">CUP DIVA ROLL RIM  CUP </t>
  </si>
  <si>
    <t xml:space="preserve">COL CHOCO FILLING 1KG </t>
  </si>
  <si>
    <t xml:space="preserve">LOY T2 BULAT 12 INCI </t>
  </si>
  <si>
    <t xml:space="preserve">LOY T3 BULAT 11 INCI </t>
  </si>
  <si>
    <t xml:space="preserve">LOY T3 BULAT 12 INCI </t>
  </si>
  <si>
    <t>LOY LOVE  8 INCH</t>
  </si>
  <si>
    <t xml:space="preserve">ALAS DIVA B 20 CKLT </t>
  </si>
  <si>
    <t xml:space="preserve">SPUIT RUSIA </t>
  </si>
  <si>
    <t xml:space="preserve">STICK ES 100GR </t>
  </si>
  <si>
    <t xml:space="preserve">LOY CIFON 6 TELUR </t>
  </si>
  <si>
    <t xml:space="preserve">LOY CIFON 4 TELUR </t>
  </si>
  <si>
    <t xml:space="preserve">PENEKAN PAI </t>
  </si>
  <si>
    <t xml:space="preserve">CETAKAN CENDOL DAWET KL34 </t>
  </si>
  <si>
    <t xml:space="preserve">CETAKAN LONTONG KCL </t>
  </si>
  <si>
    <t xml:space="preserve">LOY BROWNIES 20X10X4 CM </t>
  </si>
  <si>
    <t xml:space="preserve">CETAKAN PAI NO 1 </t>
  </si>
  <si>
    <t xml:space="preserve">CETAKAN PAI NO 4 </t>
  </si>
  <si>
    <t xml:space="preserve">CETAKAN SAGON PETAK </t>
  </si>
  <si>
    <t xml:space="preserve">CETAKAN SAGON BULAT </t>
  </si>
  <si>
    <t xml:space="preserve">MEJA PLS TEPI BATIK MJP4 </t>
  </si>
  <si>
    <t xml:space="preserve">CET BANGKET BUNGA 5 CB2 </t>
  </si>
  <si>
    <t xml:space="preserve">CET BANGKET LOVE 5 CB5 </t>
  </si>
  <si>
    <t xml:space="preserve">CET BANGKET BINTANG 5 CB7 </t>
  </si>
  <si>
    <t xml:space="preserve">MAHKOTA SILVER TA-3 HB </t>
  </si>
  <si>
    <t xml:space="preserve">HB KUPU PERAK ZN816A </t>
  </si>
  <si>
    <t xml:space="preserve">SKRAP STANLES LUBANG PS19A </t>
  </si>
  <si>
    <t xml:space="preserve">SKRAP 3 LUBANG K B7A </t>
  </si>
  <si>
    <t xml:space="preserve">SKRAP POLOS K B7B </t>
  </si>
  <si>
    <t xml:space="preserve">PISAU GERIGI K 10INC KN25  </t>
  </si>
  <si>
    <t xml:space="preserve">HAPPY BIRTH MERAH  T88 </t>
  </si>
  <si>
    <t xml:space="preserve">HAPPY BIRTH GOLD TI32 </t>
  </si>
  <si>
    <t xml:space="preserve">BRILIANT EGG YELLOW 1KG </t>
  </si>
  <si>
    <t xml:space="preserve">PLASTIK SPUIT BESAR DIVA </t>
  </si>
  <si>
    <t xml:space="preserve">CUP FORA BUNGA 55MM </t>
  </si>
  <si>
    <t xml:space="preserve">PUDDING ART TOOLS D PA4 </t>
  </si>
  <si>
    <t xml:space="preserve">AKRILIK HB MAHKOTA EMAS TA-2 </t>
  </si>
  <si>
    <t xml:space="preserve">RAK KUE PUTIH TK8123 </t>
  </si>
  <si>
    <t xml:space="preserve">FRUIT TOOLS FT1 </t>
  </si>
  <si>
    <t xml:space="preserve">PISAU BUAH SET 3 B BK111B </t>
  </si>
  <si>
    <t xml:space="preserve">IRON MAN II1 </t>
  </si>
  <si>
    <t xml:space="preserve">BATMEN IMPORT BI1 </t>
  </si>
  <si>
    <t xml:space="preserve">LITTLE PONNY K Li24 </t>
  </si>
  <si>
    <t xml:space="preserve">LITTLE PONNY RAMBUT PANJANG Li57 </t>
  </si>
  <si>
    <t xml:space="preserve">MANGKOK 26 CM MB2 </t>
  </si>
  <si>
    <t xml:space="preserve">MANGKOK 24 CM MB3 </t>
  </si>
  <si>
    <t xml:space="preserve">MANGKOK 22 CM MB4 </t>
  </si>
  <si>
    <t xml:space="preserve">MICKEY MINNIE SET 2 MI21 </t>
  </si>
  <si>
    <t xml:space="preserve">SUPERMAN IMPORT SI2 </t>
  </si>
  <si>
    <t xml:space="preserve">LOL IMPORT LI52 </t>
  </si>
  <si>
    <t xml:space="preserve">LOL CAMPING 1S LI53 </t>
  </si>
  <si>
    <t xml:space="preserve">PUTRI SLEEPING PI5 </t>
  </si>
  <si>
    <t xml:space="preserve">SENDOK SKRAP STAINLES SL 10 </t>
  </si>
  <si>
    <t xml:space="preserve">HAPPY WEDDING RAINB TI69C </t>
  </si>
  <si>
    <t xml:space="preserve">TAYO IMPORT 1S DK-03 </t>
  </si>
  <si>
    <t xml:space="preserve">CAPTEN AMERICA KI1 </t>
  </si>
  <si>
    <t xml:space="preserve">JEPITAN KUE 22CM PR2 </t>
  </si>
  <si>
    <t xml:space="preserve">PENJEPIT KUE PR3 </t>
  </si>
  <si>
    <t xml:space="preserve">ULTRA MAN IMPORT UI1 </t>
  </si>
  <si>
    <t xml:space="preserve">SETRIKA FONDAN A318 </t>
  </si>
  <si>
    <t xml:space="preserve">GELAS UKUR 300ML GU1 </t>
  </si>
  <si>
    <t xml:space="preserve">ALAS TAR B 8 AK7 </t>
  </si>
  <si>
    <t xml:space="preserve">PUTRI BEUTY PI1 </t>
  </si>
  <si>
    <t xml:space="preserve">PUTRI CINDERELLA PI2 </t>
  </si>
  <si>
    <t xml:space="preserve">PUTRI SALJU PI4 </t>
  </si>
  <si>
    <t xml:space="preserve">SENDOK TAKAR STELL ST 18 </t>
  </si>
  <si>
    <t xml:space="preserve">PISAU POLES LEKUK STNLS 8 INC PLP5 </t>
  </si>
  <si>
    <t xml:space="preserve">PISAU POLES BESI 10 INC PLP6 </t>
  </si>
  <si>
    <t xml:space="preserve">PISAU POLES BESI 12 INC PLP7 </t>
  </si>
  <si>
    <t xml:space="preserve">ALAS NICOLE 20 BLACK </t>
  </si>
  <si>
    <t xml:space="preserve">TRANSFORMERS SET 12 TI45 </t>
  </si>
  <si>
    <t xml:space="preserve">LOYANG MG - 018 </t>
  </si>
  <si>
    <t xml:space="preserve">SPUIT STAINLESS 48S 1613-5 </t>
  </si>
  <si>
    <t xml:space="preserve">LOYANG MG - 006 </t>
  </si>
  <si>
    <t xml:space="preserve">SPUIT RUSIA SET 12 YG-31 </t>
  </si>
  <si>
    <t xml:space="preserve">CARS SET 6 MI-25 </t>
  </si>
  <si>
    <t xml:space="preserve">AKRILIK HB UNICORN TA-1 </t>
  </si>
  <si>
    <t xml:space="preserve">SENDOK TAKAR 11 A-5W </t>
  </si>
  <si>
    <t xml:space="preserve">HB AKRILIK KUPU EMAS ZN-816 </t>
  </si>
  <si>
    <t xml:space="preserve">AKRILIK HB PERAK TXCT-1029 </t>
  </si>
  <si>
    <t xml:space="preserve">AKRILIK  ANNIV  EMAS TXCT-1010 </t>
  </si>
  <si>
    <t xml:space="preserve">TUSUK CUP CAKE UNICORN B 4 TSC3 </t>
  </si>
  <si>
    <t xml:space="preserve">KUAS SILICONE GAGANG BESI KS16 </t>
  </si>
  <si>
    <t xml:space="preserve">SOLET GAGANG BESI SL19 </t>
  </si>
  <si>
    <t xml:space="preserve">LOYANG BUNGA SUN 3657-3 </t>
  </si>
  <si>
    <t xml:space="preserve">LOYANG BUNGA RICH 3657-4 </t>
  </si>
  <si>
    <t xml:space="preserve">SPUIT+SPATULA+GM AB027 </t>
  </si>
  <si>
    <t xml:space="preserve">SPUIT+SENDOK+SOLET 9 AB025 </t>
  </si>
  <si>
    <t xml:space="preserve">MOBILE B 7 6CM MI15 </t>
  </si>
  <si>
    <t xml:space="preserve">MOBIL MCQUEEN MI26 </t>
  </si>
  <si>
    <t xml:space="preserve">LITTLE PONNY 6 B 9CM LI61 </t>
  </si>
  <si>
    <t xml:space="preserve">UNICORN B SET 3 UI3 </t>
  </si>
  <si>
    <t xml:space="preserve">SILICONE P 20X11CM JSC2773 </t>
  </si>
  <si>
    <t xml:space="preserve">MOBIL MINI SET 8 MI16 </t>
  </si>
  <si>
    <t xml:space="preserve">KAIN SILPAT KECIL 40X30 MO3 </t>
  </si>
  <si>
    <t xml:space="preserve">LOL SISIR 8CM 1S LI63 </t>
  </si>
  <si>
    <t xml:space="preserve">KEROK DEGAN KL14 </t>
  </si>
  <si>
    <t xml:space="preserve">BUNGA WARNA 273 </t>
  </si>
  <si>
    <t xml:space="preserve">THOMAS TRAIN B (4) K103 </t>
  </si>
  <si>
    <t xml:space="preserve">HELLOKITTY LOVE H52 </t>
  </si>
  <si>
    <t xml:space="preserve">HELLO KITTY SET5 H40 </t>
  </si>
  <si>
    <t xml:space="preserve">LOL SET 6 L62 </t>
  </si>
  <si>
    <t xml:space="preserve">INCREDLBLES SET5 I6 </t>
  </si>
  <si>
    <t xml:space="preserve">MANTEN ROK BSR MI26 </t>
  </si>
  <si>
    <t xml:space="preserve">PUTRI DISNEY SET5 P109 </t>
  </si>
  <si>
    <t xml:space="preserve">PUTRI DISNEY CPR SET7 P125 </t>
  </si>
  <si>
    <t xml:space="preserve">FROZEN SET 6 F10 </t>
  </si>
  <si>
    <t xml:space="preserve">SUPER HERO SET6 S93 </t>
  </si>
  <si>
    <t xml:space="preserve">BOBOI BOY K SET5 B257 </t>
  </si>
  <si>
    <t xml:space="preserve">KUDA PONI SET4 K98 </t>
  </si>
  <si>
    <t xml:space="preserve">LOL KECIL SET6 L63 </t>
  </si>
  <si>
    <t xml:space="preserve">SUPERMEN SET4 S82 </t>
  </si>
  <si>
    <t xml:space="preserve">SPIDERMAN SET4 S21 </t>
  </si>
  <si>
    <t xml:space="preserve">SUPER HERO K SET4 S77 </t>
  </si>
  <si>
    <t xml:space="preserve">MICKEY M SET3 M119 </t>
  </si>
  <si>
    <t xml:space="preserve">TK11234- RAK KUE P4 </t>
  </si>
  <si>
    <t xml:space="preserve">RAK KUE OVAL 4 TK31234 </t>
  </si>
  <si>
    <t xml:space="preserve">CET BANGKET B GERIGI 5 CB9 </t>
  </si>
  <si>
    <t xml:space="preserve">MICKEY MINNIE SAYAP 2 MI20 </t>
  </si>
  <si>
    <t xml:space="preserve">RAK KUE BESI YZ1817 </t>
  </si>
  <si>
    <t xml:space="preserve">PENJEPIT ROTI 29CM PR5 </t>
  </si>
  <si>
    <t xml:space="preserve">CUTTER BLT GERIGI YG-25 </t>
  </si>
  <si>
    <t xml:space="preserve">HB GOLD BALON 6S TI110A </t>
  </si>
  <si>
    <t xml:space="preserve">SLICON LOLIPOP 4 CEK-0011 </t>
  </si>
  <si>
    <t xml:space="preserve">MATRAS B 50X70 CM CM3 </t>
  </si>
  <si>
    <t xml:space="preserve">PLASTIK SPUIT KECIL DIVA </t>
  </si>
  <si>
    <t xml:space="preserve">FROZEN SET 1 FI4 </t>
  </si>
  <si>
    <t xml:space="preserve">AKRILIK HB KUPU EMAS TXCT637 </t>
  </si>
  <si>
    <t xml:space="preserve">LILIN ANGKA 8 B GOLD YH284-8 </t>
  </si>
  <si>
    <t xml:space="preserve">LILIN ANGKA 0 B GOLD YH284-0 </t>
  </si>
  <si>
    <t xml:space="preserve">LILIN ANGKA 1 B GOLD YH284-1 </t>
  </si>
  <si>
    <t xml:space="preserve">LILIN ANGKA 2 B GOLD YH284-2 </t>
  </si>
  <si>
    <t xml:space="preserve">LILIN ANGKA 3 B GOLD YH284-3  </t>
  </si>
  <si>
    <t xml:space="preserve">LILIN ANGKA 4 B GOLD YH284-4 </t>
  </si>
  <si>
    <t xml:space="preserve">LILIN ANGKA 5 B GOLD YH284-5 </t>
  </si>
  <si>
    <t xml:space="preserve">LILIN ANGKA 6 B GOLD YH284-6 </t>
  </si>
  <si>
    <t xml:space="preserve">LILIN ANGKA 7 B GOLD YH284-7 </t>
  </si>
  <si>
    <t xml:space="preserve">LILIN ANGKA 9 B GOLD YH284-9  </t>
  </si>
  <si>
    <t xml:space="preserve">LOYANG MG - 007 </t>
  </si>
  <si>
    <t xml:space="preserve">SENDOK TAKAR STAINLESS ST31 </t>
  </si>
  <si>
    <t xml:space="preserve">BEN 10 BESAR 1S B153 </t>
  </si>
  <si>
    <t xml:space="preserve">BEN 10 KECIL 1S B154 </t>
  </si>
  <si>
    <t xml:space="preserve">BEN 10 5S B155 </t>
  </si>
  <si>
    <t xml:space="preserve">BEN 10 TUSUK 6S B156 </t>
  </si>
  <si>
    <t xml:space="preserve">ANIMAL 12S AI2 </t>
  </si>
  <si>
    <t xml:space="preserve">ANIMAL KARTUN 6S AI4 </t>
  </si>
  <si>
    <t xml:space="preserve">GELAS UKUR STAIN 350ML GU2 </t>
  </si>
  <si>
    <t xml:space="preserve">SPUIT 3S SP21 </t>
  </si>
  <si>
    <t xml:space="preserve">SPUIT LANCIP SP22 </t>
  </si>
  <si>
    <t xml:space="preserve">MANGKOK STAINLES MB20 </t>
  </si>
  <si>
    <t xml:space="preserve">SKRAP LUBANG B17A </t>
  </si>
  <si>
    <t xml:space="preserve">KUAS NASTAR S2 1S KS12 </t>
  </si>
  <si>
    <t xml:space="preserve">KUAS NASTAR S4 1S KS13 </t>
  </si>
  <si>
    <t xml:space="preserve">KUAS KAYU NO3 KS20 </t>
  </si>
  <si>
    <t xml:space="preserve">KUAS KAYU NO2 KS21 </t>
  </si>
  <si>
    <t xml:space="preserve">KUAS KAYU NO1 KS22 </t>
  </si>
  <si>
    <t xml:space="preserve">SENDOK TAKAR STAINLES ST29 </t>
  </si>
  <si>
    <t xml:space="preserve">SOLET20 SL20 </t>
  </si>
  <si>
    <t xml:space="preserve">SENDOK TAKAR STAINLES SET 4 ST32 </t>
  </si>
  <si>
    <t xml:space="preserve">GELAS UKUR STAIN 600ML GU3 </t>
  </si>
  <si>
    <t xml:space="preserve">THOR 917-1D </t>
  </si>
  <si>
    <t xml:space="preserve">SPUIT12 SP20 </t>
  </si>
  <si>
    <t xml:space="preserve">SOLET 27CM YH547 </t>
  </si>
  <si>
    <t xml:space="preserve">LOYANG BULAT 16.5CM KL-6 </t>
  </si>
  <si>
    <t xml:space="preserve">LOYANG BULAT 21.5CM KL-8 </t>
  </si>
  <si>
    <t xml:space="preserve">CETAKAN ES KRIM CEK-0001 </t>
  </si>
  <si>
    <t xml:space="preserve">CET ES KRIM SMILE CEK-0005 </t>
  </si>
  <si>
    <t xml:space="preserve">SKRAP B17 B17B </t>
  </si>
  <si>
    <t xml:space="preserve">SILICON BUNGA TUSUK 4S CEK-0010 </t>
  </si>
  <si>
    <t xml:space="preserve">AKRILIK LOL TA-4 </t>
  </si>
  <si>
    <t xml:space="preserve">AKRILIK UNICORN TA-5 </t>
  </si>
  <si>
    <t xml:space="preserve">TUL IDUL FITRI MASJID EMAS 6S TI135A </t>
  </si>
  <si>
    <t xml:space="preserve">TUL IDUL FITRI MASJID+SALAMAN 6S TI137D </t>
  </si>
  <si>
    <t xml:space="preserve">MATRAS MACARONE 48 YH-137 </t>
  </si>
  <si>
    <t>MIKA BROWNIES L TP  10S</t>
  </si>
  <si>
    <t xml:space="preserve">KUAS KUE KAYU PENDEK HIPPO </t>
  </si>
  <si>
    <t xml:space="preserve">KUAS KUE KAYU PANJANG HIPPO </t>
  </si>
  <si>
    <t xml:space="preserve">EGG BETTER BEATER KECIL TOL0001 </t>
  </si>
  <si>
    <t xml:space="preserve">EGG BETTER BEATER BESAR TOL0097 </t>
  </si>
  <si>
    <t xml:space="preserve">KOCOKAN POL 22CM WH9 </t>
  </si>
  <si>
    <t xml:space="preserve">OVEN HOCK HAWA NO.3 </t>
  </si>
  <si>
    <t xml:space="preserve">LOY CHIFFON JITU 24CM </t>
  </si>
  <si>
    <t xml:space="preserve">KUAS KUE KAYU SEDANG HIPPO </t>
  </si>
  <si>
    <t xml:space="preserve">SOLET+SPUIT+GERIGI SET9 AB019 </t>
  </si>
  <si>
    <t xml:space="preserve">SPATULA BENGKOK+WHISK SET AB018 </t>
  </si>
  <si>
    <t xml:space="preserve">WHISK+SENDOK TAKAR+SPUIT  AB039 </t>
  </si>
  <si>
    <t xml:space="preserve">PENGOCOK SET3 WH4 </t>
  </si>
  <si>
    <t xml:space="preserve">KUAS SILICONE ISI2 W016 </t>
  </si>
  <si>
    <t xml:space="preserve">SOLET+KUAS SILICONE SL07 </t>
  </si>
  <si>
    <t xml:space="preserve">KUAS SILICONE 17CM KS3 </t>
  </si>
  <si>
    <t xml:space="preserve">KUAS SILICONE KCL ISI 2 W016 </t>
  </si>
  <si>
    <t xml:space="preserve">AMPIA OXONE </t>
  </si>
  <si>
    <t xml:space="preserve">MATRAS MACARONE 30 CT164 </t>
  </si>
  <si>
    <t xml:space="preserve">CAKE STAND TEPI LUBANG JCA146 </t>
  </si>
  <si>
    <t xml:space="preserve">SPUIT+GM+KUAS+PAKU T10-8 </t>
  </si>
  <si>
    <t xml:space="preserve">MATRAS OVEN 30X40CM MO8 </t>
  </si>
  <si>
    <t xml:space="preserve">MATRAS OVEN  40X60CM MO10 </t>
  </si>
  <si>
    <t xml:space="preserve">CAKE STAND PP 35X24CM TK183-2 </t>
  </si>
  <si>
    <t xml:space="preserve">SPUIT STAINLESS SP23 </t>
  </si>
  <si>
    <t xml:space="preserve">SPUIT SET27 SP24 </t>
  </si>
  <si>
    <t xml:space="preserve">MATRAS OVEN 40X50CM MO9 </t>
  </si>
  <si>
    <t xml:space="preserve">MATRAS OVEN 50X60CM MO11 </t>
  </si>
  <si>
    <t xml:space="preserve">MATRAS OVEN 50X70CM MO12 </t>
  </si>
  <si>
    <t xml:space="preserve">BAKING 5SET SILICONE SP05PCS LISSE TOOLS </t>
  </si>
  <si>
    <t xml:space="preserve">SARUNG TANGAN SILVER OVEN 2S SO4 </t>
  </si>
  <si>
    <t xml:space="preserve">SARUNG TANGAN OVEN 2S SO2 </t>
  </si>
  <si>
    <t xml:space="preserve">PISAU POLES LEKUK 12INC KN17 </t>
  </si>
  <si>
    <t xml:space="preserve">SENDOK SKRAP B10 B12 </t>
  </si>
  <si>
    <t xml:space="preserve">SKRAP STAIN LUBANG 905A </t>
  </si>
  <si>
    <t xml:space="preserve">WHISK KOCOKAN 30CM WH8 </t>
  </si>
  <si>
    <t xml:space="preserve">WHISK KOCOKAN 26CM WH8 </t>
  </si>
  <si>
    <t xml:space="preserve">WHISK KOCOKAN 28CM WH8 </t>
  </si>
  <si>
    <t xml:space="preserve">WHISK KOCOKAN STAIN 8INC WH1 </t>
  </si>
  <si>
    <t xml:space="preserve">SOLET+SPUIT SET8 AB016 </t>
  </si>
  <si>
    <t xml:space="preserve">SOLET 1S 1613-11 </t>
  </si>
  <si>
    <t xml:space="preserve">KNIFE BREAD  PS13 </t>
  </si>
  <si>
    <t xml:space="preserve">KNIFE BREAD  GAGANG S PS14 </t>
  </si>
  <si>
    <t xml:space="preserve">PISAU POLES 8INC PS5 </t>
  </si>
  <si>
    <t xml:space="preserve">SOLET B 27CM SL08 </t>
  </si>
  <si>
    <t xml:space="preserve">LILIN ANGKA 0 YH598-0 </t>
  </si>
  <si>
    <t xml:space="preserve">LILIN ANGKA 6 YH598-6 </t>
  </si>
  <si>
    <t xml:space="preserve">LILIN ANGKA 2 YH598-2 </t>
  </si>
  <si>
    <t xml:space="preserve">LILIN ANGKA 8 YH598-8 </t>
  </si>
  <si>
    <t xml:space="preserve">LILIN ANGKA 3 YH598-3 </t>
  </si>
  <si>
    <t xml:space="preserve">PENGOCOK 28CM WH4 </t>
  </si>
  <si>
    <t xml:space="preserve">PENGOCOK 24CM WH4 </t>
  </si>
  <si>
    <t xml:space="preserve">PENGOCOK 20CM WH4 </t>
  </si>
  <si>
    <t xml:space="preserve">LILIN ANGKA 1 YH598-1 </t>
  </si>
  <si>
    <t xml:space="preserve">LILIN ANGKA 4 YH598-4 </t>
  </si>
  <si>
    <t xml:space="preserve">LILIN ANGKA 5 YH598-5 </t>
  </si>
  <si>
    <t xml:space="preserve">LILIN ANGKA 7 YH598-7 </t>
  </si>
  <si>
    <t xml:space="preserve">LILIN ANGKA 9 YH598-9 </t>
  </si>
  <si>
    <t xml:space="preserve">SOLET 1S 1613-10 </t>
  </si>
  <si>
    <t xml:space="preserve">SCRAPER STAIN 15CM GI03 </t>
  </si>
  <si>
    <t xml:space="preserve">GILASAN PUTIH K A07 </t>
  </si>
  <si>
    <t xml:space="preserve">KNIFE SET5 HY-11 NON-STICK </t>
  </si>
  <si>
    <t xml:space="preserve">KNIFE SET6 NON-STICK FHY-G11 </t>
  </si>
  <si>
    <t xml:space="preserve">LILIN ANGKA 0 HBD LI39 </t>
  </si>
  <si>
    <t xml:space="preserve">LILIN ANGKA 1 HBD LI40 </t>
  </si>
  <si>
    <t xml:space="preserve">LILIN ANGKA 2 HBD LI41 </t>
  </si>
  <si>
    <t xml:space="preserve">LILIN ANGKA 3 HBD LI42 </t>
  </si>
  <si>
    <t xml:space="preserve">LILIN ANGKA 4 HBD LI43 </t>
  </si>
  <si>
    <t xml:space="preserve">LILIN ANGKA 5 HBD LI44 </t>
  </si>
  <si>
    <t xml:space="preserve">LILIN ANGKA 6 HBD LI45 </t>
  </si>
  <si>
    <t xml:space="preserve">LILIN ANGKA 7 HBD LI46 </t>
  </si>
  <si>
    <t xml:space="preserve">SPUIT STAIN 24S 1613-4 </t>
  </si>
  <si>
    <t xml:space="preserve">AKRILIK HB EMAS TXCT659 </t>
  </si>
  <si>
    <t xml:space="preserve">AKRILIK HB EMAS TXCT1633 </t>
  </si>
  <si>
    <t xml:space="preserve">PISAU LEKUK 6INC PLP4 </t>
  </si>
  <si>
    <t xml:space="preserve">PISAU POLES GG HTM 8 INCH PLP 3 </t>
  </si>
  <si>
    <t xml:space="preserve">PISAU BUAH SET3 BK111 </t>
  </si>
  <si>
    <t xml:space="preserve">PISAU POLES LURUS GERIGI KN27 </t>
  </si>
  <si>
    <t xml:space="preserve">PISAU POLES LEKUK 10INC KN16 </t>
  </si>
  <si>
    <t xml:space="preserve">LILIN ANGKA 8 HBD LI47 </t>
  </si>
  <si>
    <t xml:space="preserve">LILIN ANGKA 9 HBD LI48 </t>
  </si>
  <si>
    <t xml:space="preserve">SKRAP B 27X12CM ST25 </t>
  </si>
  <si>
    <t xml:space="preserve">SENDOK SKRAP STAIN SL06 </t>
  </si>
  <si>
    <t xml:space="preserve">AKRILIK HB GOLD TXCT1029G </t>
  </si>
  <si>
    <t xml:space="preserve">SPATULA SILICONE LARGE KAYU SL26 </t>
  </si>
  <si>
    <t xml:space="preserve">LOYANG MG - 008 </t>
  </si>
  <si>
    <t xml:space="preserve">TLSAN HB PAKU HIJAU 1S TI101D </t>
  </si>
  <si>
    <t xml:space="preserve">TLSAN HB PAKU HIJAU 6S TI101D </t>
  </si>
  <si>
    <t xml:space="preserve">HB BINGKAI B GOLD 1S TI180AG </t>
  </si>
  <si>
    <t xml:space="preserve">HB BINGKAI B GOLD 5S TI180AG </t>
  </si>
  <si>
    <t xml:space="preserve">HB B RAINB 1S TI180C </t>
  </si>
  <si>
    <t xml:space="preserve">HB AWAN B GOLD 1S TI181AG </t>
  </si>
  <si>
    <t xml:space="preserve">HB AWAN B GOLD 5S TI181AG </t>
  </si>
  <si>
    <t xml:space="preserve">HB AWAN B RAINB 1S TI181C </t>
  </si>
  <si>
    <t xml:space="preserve">HB AWAN B RAINB 5S TI181C </t>
  </si>
  <si>
    <t xml:space="preserve">TULISAN HB PINK 1S TI193 </t>
  </si>
  <si>
    <t xml:space="preserve">TULISAN HB PINK 6S TI193 </t>
  </si>
  <si>
    <t xml:space="preserve">SKRAP LURUS B10 </t>
  </si>
  <si>
    <t xml:space="preserve">SKRAP LEKUK B3 </t>
  </si>
  <si>
    <t xml:space="preserve">HB 1 PINK 1S TI186 </t>
  </si>
  <si>
    <t xml:space="preserve">HB 1 PINK 6S TI186 </t>
  </si>
  <si>
    <t xml:space="preserve">HB HIJAU 1S TI190 </t>
  </si>
  <si>
    <t xml:space="preserve">HB HIJAU 6S TI190 </t>
  </si>
  <si>
    <t xml:space="preserve">WHISK 12INC WH3 </t>
  </si>
  <si>
    <t xml:space="preserve">WHISK BUNGA 3S WH10 </t>
  </si>
  <si>
    <t xml:space="preserve">WHISK BUNGA 24CM WH10 </t>
  </si>
  <si>
    <t xml:space="preserve">WHISK BUNGA 26CM WH10 </t>
  </si>
  <si>
    <t xml:space="preserve">WHISK BUNGA 28CM WH10 </t>
  </si>
  <si>
    <t xml:space="preserve">PISAU POLES 12INC PS3 </t>
  </si>
  <si>
    <t xml:space="preserve">PISAU POLES 10 INC PS4 </t>
  </si>
  <si>
    <t xml:space="preserve">PISAU LEKUK 12INC PLP1 </t>
  </si>
  <si>
    <t xml:space="preserve">MANGKOK 18CM MB6 </t>
  </si>
  <si>
    <t xml:space="preserve">MANGKOK 20CM MB5 </t>
  </si>
  <si>
    <t xml:space="preserve">PISAU POLES GAGANG STNLS PS15 </t>
  </si>
  <si>
    <t xml:space="preserve">PISAU POLES GAGANG STNLS PS16 </t>
  </si>
  <si>
    <t xml:space="preserve">SCRAPER STAINLES PLS D02 </t>
  </si>
  <si>
    <t xml:space="preserve">SCRAPER STAINLES GERGI D03 </t>
  </si>
  <si>
    <t xml:space="preserve">SENDOK TAKAR KEMBAR ST16 </t>
  </si>
  <si>
    <t xml:space="preserve">PISAU POLES STAINLES PS17 </t>
  </si>
  <si>
    <t xml:space="preserve">KUAS KAYU NO4 KS19 </t>
  </si>
  <si>
    <t xml:space="preserve">SKRAB B 24X12 ST23 </t>
  </si>
  <si>
    <t xml:space="preserve">CAKE RING 3S D7CM CRL06 </t>
  </si>
  <si>
    <t xml:space="preserve">LOY PIZZA LUBANG 20CM LPL2 </t>
  </si>
  <si>
    <t xml:space="preserve">PISAU+LENGKUNG+BULAT BL1014 </t>
  </si>
  <si>
    <t xml:space="preserve">SARUNG OVEN SILVER 2S SO3 </t>
  </si>
  <si>
    <t xml:space="preserve">ROLLING KAYU 22CM GI012 </t>
  </si>
  <si>
    <t xml:space="preserve">SILICONE DONAT YK158-12 </t>
  </si>
  <si>
    <t xml:space="preserve">CET BANGKIT PERSEGI CB6 </t>
  </si>
  <si>
    <t xml:space="preserve">KITCHEN TOOLS BL-1011 </t>
  </si>
  <si>
    <t xml:space="preserve">KITCHEN TOOLS BL-1013 </t>
  </si>
  <si>
    <t xml:space="preserve">PISAU POLES MINI 6IN PS10 </t>
  </si>
  <si>
    <t xml:space="preserve">KUAS SILIKON 23,5 CM KS10 </t>
  </si>
  <si>
    <t xml:space="preserve">POTONGAN BULAT PP4 </t>
  </si>
  <si>
    <t xml:space="preserve">PISAU POLES LEKUK 8 INC KN15 </t>
  </si>
  <si>
    <t xml:space="preserve">GILASAN STAINLES 44 CM GI07 </t>
  </si>
  <si>
    <t xml:space="preserve">STAINLESS STEEL FILTER SSF1 </t>
  </si>
  <si>
    <t xml:space="preserve">WHISK JUMBO 18 INC WH14 </t>
  </si>
  <si>
    <t xml:space="preserve">PISAU+GM+SPUIT+PAKU+SILICON SJZ-T10-9 </t>
  </si>
  <si>
    <t xml:space="preserve">KUAS NASTAR B 2 CM KS11 </t>
  </si>
  <si>
    <t xml:space="preserve">KUAS K 3 CM KS15 </t>
  </si>
  <si>
    <t xml:space="preserve">KUAS B 5 CM KS14 </t>
  </si>
  <si>
    <t xml:space="preserve">KUAS 25 CM KS9 </t>
  </si>
  <si>
    <t xml:space="preserve">PARUT KEJU 2 PK1 </t>
  </si>
  <si>
    <t xml:space="preserve">LOY PIZZA LUBANG2 LEPAS LPL3 </t>
  </si>
  <si>
    <t xml:space="preserve">SILICONE PERSEGI 6 CTS 150 </t>
  </si>
  <si>
    <t xml:space="preserve">SPUIT SET 10 SP9 </t>
  </si>
  <si>
    <t xml:space="preserve">PLS1P COOKIES B KUCING </t>
  </si>
  <si>
    <t xml:space="preserve">PLS2D COOKIES POLKADOT </t>
  </si>
  <si>
    <t xml:space="preserve">PLS2W COOKIES BINGKAI BULAT </t>
  </si>
  <si>
    <t xml:space="preserve">GILASAN STAINLESS 20 CM GI05 </t>
  </si>
  <si>
    <t xml:space="preserve">PLS3T COOKIES KCL MY NAME </t>
  </si>
  <si>
    <t xml:space="preserve">PLS4Q COOKIES KCL BINGKAI Q </t>
  </si>
  <si>
    <t xml:space="preserve">SPUIT+CB+CANTONG 13 AB029 </t>
  </si>
  <si>
    <t xml:space="preserve">LOYANG BULAT B 25,5CM LY23 </t>
  </si>
  <si>
    <t xml:space="preserve">SILICONE BALOK 6 JSC2872 </t>
  </si>
  <si>
    <t xml:space="preserve">GILASAN + PENGGARIS 44 CM GI08 </t>
  </si>
  <si>
    <t xml:space="preserve">KOCOKAN POL 25 CM WH9 </t>
  </si>
  <si>
    <t xml:space="preserve">KOCOKAN POL 27 CM WH9 </t>
  </si>
  <si>
    <t xml:space="preserve">KOCOKAN POL 29 CM WH9 </t>
  </si>
  <si>
    <t xml:space="preserve">SCRAPER GAGANG SILICONE SCR0005 </t>
  </si>
  <si>
    <t xml:space="preserve">SALAD BOWL SET MBW0001 3 IN 1 BAKING </t>
  </si>
  <si>
    <t xml:space="preserve">SPATULA MOTIF LISSE </t>
  </si>
  <si>
    <t xml:space="preserve">GELAS AYAKAN TEPUNG GS2 </t>
  </si>
  <si>
    <t xml:space="preserve">MODELING TOOLS SET14 ZN122B </t>
  </si>
  <si>
    <t xml:space="preserve">WHISK 10 INC WH2 </t>
  </si>
  <si>
    <t xml:space="preserve">GILASAN PUTIH A A08 </t>
  </si>
  <si>
    <t xml:space="preserve">KAIN SILPAT 60X40 CM LM1 </t>
  </si>
  <si>
    <t xml:space="preserve">KUAS KAYU NO 5 KS18 </t>
  </si>
  <si>
    <t xml:space="preserve">SOLET 19CM SL02 </t>
  </si>
  <si>
    <t xml:space="preserve">MATRAS OVEN 60X60 CM MO13 </t>
  </si>
  <si>
    <t xml:space="preserve">PUTRI SHOPIA + DISNEY SET 6 PI29 </t>
  </si>
  <si>
    <t xml:space="preserve">SOLET 14.5X7.5X5.3 CM SL23 </t>
  </si>
  <si>
    <t xml:space="preserve">SPUIT KUE FILLING SET 3 SKF2 </t>
  </si>
  <si>
    <t xml:space="preserve">PALETTE KNIFE  SET 5 ST27 </t>
  </si>
  <si>
    <t xml:space="preserve">MOBIL CART SET 6 MI25 </t>
  </si>
  <si>
    <t xml:space="preserve">PENJEPIT WHISK 20CM PW1 </t>
  </si>
  <si>
    <t xml:space="preserve">SENDOK TAKAR SET 8 ST35 </t>
  </si>
  <si>
    <t xml:space="preserve">SOLET PUTIH K 33CM SL15 </t>
  </si>
  <si>
    <t xml:space="preserve">PISAU LEKUK 10INC PLP2 </t>
  </si>
  <si>
    <t xml:space="preserve">SCRAPER KOTAK STAIN 25CM GI010 </t>
  </si>
  <si>
    <t xml:space="preserve">SOLET 22 CM SL03  </t>
  </si>
  <si>
    <t xml:space="preserve">SARUNG TANGAN OVEN 40CM SO1 </t>
  </si>
  <si>
    <t xml:space="preserve">SOLET PUTIH B 41CM SL14 </t>
  </si>
  <si>
    <t xml:space="preserve">MEJA PUTAR 28CM DTT1 </t>
  </si>
  <si>
    <t xml:space="preserve">MEJA PUTAR KUE STAINLES C187 </t>
  </si>
  <si>
    <t xml:space="preserve">MANTEN PILAR 17CM M21 </t>
  </si>
  <si>
    <t xml:space="preserve">MANTEN HIJAB PTH 9.5CM M127A </t>
  </si>
  <si>
    <t xml:space="preserve">MANTEN HIJAB ORANGE M127D </t>
  </si>
  <si>
    <t xml:space="preserve">VARIASI CROWN MERPATI K V15 </t>
  </si>
  <si>
    <t xml:space="preserve">LOL MINI 4.5CM SET6 L64 </t>
  </si>
  <si>
    <t xml:space="preserve">PUTRI CINDERELLA BR 11.5CM P110 </t>
  </si>
  <si>
    <t xml:space="preserve">LOY PERSEGI BONGPAS GOLD LPS0024 LISSE </t>
  </si>
  <si>
    <t xml:space="preserve">SQUARE PAN ROSEGOLD LPS0026 LISSE </t>
  </si>
  <si>
    <t xml:space="preserve">BAKING MAT PINK BMS0009 LISSE </t>
  </si>
  <si>
    <t xml:space="preserve">TERMOMETER OVEN TER0001 LISSE </t>
  </si>
  <si>
    <t>SCRAPER 2IN1 SCR0008 LISSE  BIRU</t>
  </si>
  <si>
    <t xml:space="preserve">PISAU SPATULA SIL JUMBO SPT0013 LISSE </t>
  </si>
  <si>
    <t xml:space="preserve">SPATULA GG KAYU SPT0015 LISSE </t>
  </si>
  <si>
    <t xml:space="preserve">KUAS JMB STAIN SPT0021 LISSE </t>
  </si>
  <si>
    <t xml:space="preserve">SNDK TAKAR ROSEGOLD SET8 STK0001 LISSE </t>
  </si>
  <si>
    <t xml:space="preserve">SNDK TAKAR ROSEGOLD SET6 STK0002 LISSE </t>
  </si>
  <si>
    <t xml:space="preserve">ROL PIN STAIN GOLD ROL0008 LISSE </t>
  </si>
  <si>
    <t xml:space="preserve">ROL PIN STAIN ROSEGOLD ROL0009 LISSE </t>
  </si>
  <si>
    <t xml:space="preserve">SCRAPER SCR0010 LISSE 3IN1 </t>
  </si>
  <si>
    <t xml:space="preserve">SCRAPPER TRAPESIUM SCR0001 LISSE </t>
  </si>
  <si>
    <t xml:space="preserve">LISSE BUNDT PAN MARISSA BUN0012 </t>
  </si>
  <si>
    <t xml:space="preserve">LISSE BUNDT PAN CROWN BUN0013 </t>
  </si>
  <si>
    <t xml:space="preserve">LOY GOLD L 32.4X26.9X6.2 LPS0003 LISSE </t>
  </si>
  <si>
    <t xml:space="preserve">LOY PINK M LPS0008 LISSE </t>
  </si>
  <si>
    <t xml:space="preserve">LOY PINK L LPS0009 LISSE </t>
  </si>
  <si>
    <t xml:space="preserve">LOY PERSEGI GOLD M LPS0019 LISSE </t>
  </si>
  <si>
    <t xml:space="preserve">LOY PERSEGI GOLD L LPS0020 LISSE </t>
  </si>
  <si>
    <t xml:space="preserve">LOY GOLD MAKER CUP6 L6C0008 LISSE </t>
  </si>
  <si>
    <t xml:space="preserve">LOY DONAT GOLD 6CUP L6C0003 LISSE </t>
  </si>
  <si>
    <t xml:space="preserve">LOY MADELINE GOLD 12CUP L120013 LISSE </t>
  </si>
  <si>
    <t xml:space="preserve">LOY DIAMOND GOLD 12CUP L120008 LISSE </t>
  </si>
  <si>
    <t xml:space="preserve">LOY KTK GOLD 12CUP L120010 LISSE </t>
  </si>
  <si>
    <t xml:space="preserve">LOAF PAN KCL GOLD LLP0003 LISSE </t>
  </si>
  <si>
    <t xml:space="preserve">LOY MACARON BLT GOLD 30CUP LMC0003 LISSE </t>
  </si>
  <si>
    <t xml:space="preserve">EGG SEPERATOR GOLD EGG0002 LISSE </t>
  </si>
  <si>
    <t xml:space="preserve">CAKE TURNABLE SS CAT0003 LISSE </t>
  </si>
  <si>
    <t xml:space="preserve">STRIPPING KNIFE STP0002 LISSE </t>
  </si>
  <si>
    <t xml:space="preserve">CAKE SHOVEL STAIN ROSEGOLD CSV0002 LISSE </t>
  </si>
  <si>
    <t xml:space="preserve">CAKE SHOVEL GG KAYU CSV0003 LISSE </t>
  </si>
  <si>
    <t xml:space="preserve">PISAU FRENCH FRIES PIS0008 LISSE </t>
  </si>
  <si>
    <t xml:space="preserve">GUNTING DECORASI TOL0004 LISSE </t>
  </si>
  <si>
    <t xml:space="preserve">MIKA ROL MTF 003 8X60M MIC0004 LISSE </t>
  </si>
  <si>
    <t xml:space="preserve">MIKA ROL MTF 004 8X60M MIC0005 LISSE </t>
  </si>
  <si>
    <t xml:space="preserve">CELEMEK PEACH CEL0003 LISSE </t>
  </si>
  <si>
    <t xml:space="preserve">CELEMEK PINK CEL0002 LISSE </t>
  </si>
  <si>
    <t xml:space="preserve">CETAKAN NASTAR 30GR CTD0004 LISSE </t>
  </si>
  <si>
    <t xml:space="preserve">CET MTF KTK 001 30GR CTD0009 LISSE </t>
  </si>
  <si>
    <t xml:space="preserve">CET MTF DAUN 002 50GR CTD0010 LISSE </t>
  </si>
  <si>
    <t xml:space="preserve">CET MTF SAKURA 003 30GR CTD0011 LISSE </t>
  </si>
  <si>
    <t xml:space="preserve">CET MTF BUNGA 004 30GR CTD0012 LISSE </t>
  </si>
  <si>
    <t xml:space="preserve">COOKIE CUT BLT WRN 12PCS CTD0026 LISSE </t>
  </si>
  <si>
    <t xml:space="preserve">COOKIE CUTTER STAIN LISSE CTD0031 </t>
  </si>
  <si>
    <t xml:space="preserve">MIKA TRAY 4073 100PC PKN0018 LISSE </t>
  </si>
  <si>
    <t xml:space="preserve">STICKER LISSE  A-11 STC0001 </t>
  </si>
  <si>
    <t xml:space="preserve">STICKER LISSE  K-01 STC0006 </t>
  </si>
  <si>
    <t xml:space="preserve">SILPAD KCL MTF NON STIK 30X42 BMS0014 LISSE </t>
  </si>
  <si>
    <t xml:space="preserve">SILPAD BSR MTF NON STIK 40X60 BMS0015 LISSE </t>
  </si>
  <si>
    <t xml:space="preserve">WHIPPED CREAM RAINBOW 500ML WHI0002 LISSE </t>
  </si>
  <si>
    <t xml:space="preserve">HOT STAMP 4CM HOT0003 LISSE </t>
  </si>
  <si>
    <t xml:space="preserve">HOT STAMP 3CM HOT0002 LISSE </t>
  </si>
  <si>
    <t xml:space="preserve">GAGANG HOT STAMP HOT0001 LISSE </t>
  </si>
  <si>
    <t xml:space="preserve">AYAKAN PREM GOLD SS AYA0005 LISSE </t>
  </si>
  <si>
    <t xml:space="preserve">WHIPPED CREAM DISPENSER 500ML WHI0001 LISSE </t>
  </si>
  <si>
    <t xml:space="preserve">CET AGAR SAMANTHA </t>
  </si>
  <si>
    <t xml:space="preserve">KITCHEN UTENSIL SILICONE 9 IN 1 </t>
  </si>
  <si>
    <t xml:space="preserve">TULISAN HB BLT EMAS 1S TI179A </t>
  </si>
  <si>
    <t xml:space="preserve">TULISAN HB BLT EMAS 6S TI179A </t>
  </si>
  <si>
    <t xml:space="preserve">TULISAN HB BLT GOLD 1S TI179AG </t>
  </si>
  <si>
    <t xml:space="preserve">TULISAN HB BLT GOLD 5S TI179AG </t>
  </si>
  <si>
    <t xml:space="preserve">TULISAN HB BINGKAI EMAS 1S TI180A </t>
  </si>
  <si>
    <t xml:space="preserve">TULISAN HB BINGKAI EMAS 5S TI180A </t>
  </si>
  <si>
    <t xml:space="preserve">TULISAN HB LILIN EMAS 1S TI184A </t>
  </si>
  <si>
    <t xml:space="preserve">TULISAN HB LILIN EMAS 5S TI184A </t>
  </si>
  <si>
    <t xml:space="preserve">TULISAN HB BANGAU PAKU RAINB 1S TI165C </t>
  </si>
  <si>
    <t xml:space="preserve">TULISAN HB BANGAU PAKU RAINB 6S TI165C </t>
  </si>
  <si>
    <t xml:space="preserve">TULISAN HB BINTANG BALON RAINB 1S TI171C </t>
  </si>
  <si>
    <t xml:space="preserve">TULISAN HB BINTANG BALON RAINB 5S TI171C </t>
  </si>
  <si>
    <t xml:space="preserve">TULISAN HB LOVE EMAS 1S TI175A </t>
  </si>
  <si>
    <t xml:space="preserve">TULISAN HB LOVE EMAS 5S TI175A </t>
  </si>
  <si>
    <t xml:space="preserve">TULISAN HB LOVE HIJAU 1S TI175D </t>
  </si>
  <si>
    <t xml:space="preserve">TULISAN HB LOVE HIJAU 6S TI175D </t>
  </si>
  <si>
    <t xml:space="preserve">PIRING LIDI ROTAN </t>
  </si>
  <si>
    <t xml:space="preserve">SENDOK SET PREMIUM TOL008 LISSE </t>
  </si>
  <si>
    <t xml:space="preserve">DOUBLE PIZZA CUTTER DCT186 </t>
  </si>
  <si>
    <t xml:space="preserve">PREMIUM SIL BRUSH DCT216 </t>
  </si>
  <si>
    <t xml:space="preserve">IRUS MAHONI KK7 </t>
  </si>
  <si>
    <t xml:space="preserve">SUTIL LUBANG MAHONI KK5 </t>
  </si>
  <si>
    <t xml:space="preserve">PAKU PAYUNG SET 3 8CM P6 </t>
  </si>
  <si>
    <t xml:space="preserve">SCRAPER SILICONE GI017 </t>
  </si>
  <si>
    <t xml:space="preserve">SENDOK SKRAP SL05 </t>
  </si>
  <si>
    <t xml:space="preserve">PAPER CASE CUP MUFFIN 100S FB4849 </t>
  </si>
  <si>
    <t xml:space="preserve">MEASURING CUP 250ML JC3102 </t>
  </si>
  <si>
    <t xml:space="preserve">PET BULAT PRINTING 8,5CM 200S LM- </t>
  </si>
  <si>
    <t xml:space="preserve">MEASURING CUP 500ML JC3103 </t>
  </si>
  <si>
    <t xml:space="preserve">MEASURING CUP 100ML JC3101 </t>
  </si>
  <si>
    <t xml:space="preserve">SCRAPER SEGITIGA JC3708 </t>
  </si>
  <si>
    <t xml:space="preserve">SCRAPER TRAPESIUM 13X19.5CM JC3701 </t>
  </si>
  <si>
    <t xml:space="preserve">SCRAPER TRAPESIUM 10,5X15,5CM JC3702 </t>
  </si>
  <si>
    <t xml:space="preserve">SCRAPER TRAPESIUM 9,5X13,5CM JC3703 </t>
  </si>
  <si>
    <t xml:space="preserve">CUP MUFFIN MEDIUM  50S JZ- </t>
  </si>
  <si>
    <t xml:space="preserve">HB BINTANG EMAS ZN844 </t>
  </si>
  <si>
    <t xml:space="preserve">GELAS UKUR AKRILIK 150ML GU4 </t>
  </si>
  <si>
    <t xml:space="preserve">TULISAN HB BIRU EMAS 1S TI219A </t>
  </si>
  <si>
    <t xml:space="preserve">TULISAN HB BIRU BIRU 1S TI219G </t>
  </si>
  <si>
    <t xml:space="preserve">TULISAN HB BIRU SILVER 1S TI219S </t>
  </si>
  <si>
    <t xml:space="preserve">TULISAN HB EMAS 1S TS97A </t>
  </si>
  <si>
    <t xml:space="preserve">TULISAN HB PINK KEUNGUAN 1S TS97E </t>
  </si>
  <si>
    <t xml:space="preserve">TULISAN HB BIRU EMAS 6S TI219A </t>
  </si>
  <si>
    <t xml:space="preserve">TULISAN HB BIRU BIRU 6S TI219G </t>
  </si>
  <si>
    <t xml:space="preserve">TULISAN HB BIRU SILVER 6S TI219S </t>
  </si>
  <si>
    <t xml:space="preserve">TULISAN HB EMAS 1S TS100 </t>
  </si>
  <si>
    <t xml:space="preserve">TULISAN HB EMAS 1S TS95 </t>
  </si>
  <si>
    <t xml:space="preserve">TULISAN HB EMAS 1S TS96 </t>
  </si>
  <si>
    <t xml:space="preserve">MANGKOK 18CM MB15 </t>
  </si>
  <si>
    <t xml:space="preserve">PISAU POLES GG KAYU 10INC KN 30 </t>
  </si>
  <si>
    <t xml:space="preserve">PISAU POLES GG KAYU 8INC KN 29 </t>
  </si>
  <si>
    <t xml:space="preserve">PEMOTONG PIZZA PP9 </t>
  </si>
  <si>
    <t xml:space="preserve">PIZZA CUTTER SCR2 </t>
  </si>
  <si>
    <t xml:space="preserve">AKRILIK HAPPY BIRTHDAY TA52 </t>
  </si>
  <si>
    <t xml:space="preserve">AKRILIK HAPPY BIRTHDAY TA55 </t>
  </si>
  <si>
    <t xml:space="preserve">KUAS 22CM KS26 </t>
  </si>
  <si>
    <t xml:space="preserve">SOLET GG 16 8.5X5 SL30 </t>
  </si>
  <si>
    <t xml:space="preserve">SOLET GG 16 9X6X4 SL29 </t>
  </si>
  <si>
    <t xml:space="preserve">MANTEN HIJAB TANGGUNG PTH M129A </t>
  </si>
  <si>
    <t xml:space="preserve">MANTEN HIJAB TANGGUNG KUNING 9.5CM M129B </t>
  </si>
  <si>
    <t xml:space="preserve">HB AKRILIK BINTANG PERAK ZN844A </t>
  </si>
  <si>
    <t xml:space="preserve">LOY SQUARE BAKE PAN 20X20X5 LY24 </t>
  </si>
  <si>
    <t xml:space="preserve">MANGKOK 22CM MB17 </t>
  </si>
  <si>
    <t xml:space="preserve">MANGKOK 24CM MB18 </t>
  </si>
  <si>
    <t xml:space="preserve">MANGKOK 26CM MB19 </t>
  </si>
  <si>
    <t xml:space="preserve">MANGKOK 20CM MB16 </t>
  </si>
  <si>
    <t xml:space="preserve">HB BINTANG EMAS 1S TS92 </t>
  </si>
  <si>
    <t xml:space="preserve">WHISK KOCOKAN 30CM WH18 </t>
  </si>
  <si>
    <t xml:space="preserve">MEJA STAINLES TEPI GARIS MJP10 </t>
  </si>
  <si>
    <t xml:space="preserve">HB BINTANG EMAS 6S TS92 </t>
  </si>
  <si>
    <t xml:space="preserve">TULISAN HB EMAS 5S TS97A </t>
  </si>
  <si>
    <t xml:space="preserve">TULISAN HB PINK KEUNGUAN 5S TS97E </t>
  </si>
  <si>
    <t xml:space="preserve">TULISAN HB EMAS 6S TI16 </t>
  </si>
  <si>
    <t xml:space="preserve">TULISAN HB EMAS 6S TS100 </t>
  </si>
  <si>
    <t xml:space="preserve">TULISAN HB EMAS 5S TS96 </t>
  </si>
  <si>
    <t xml:space="preserve">TULISAN HB EMAS 6S TS101 </t>
  </si>
  <si>
    <t xml:space="preserve">TULISAN HB EMAS 1S TS101 </t>
  </si>
  <si>
    <t xml:space="preserve">CETAKAN TANGKAI MOTIF BULAT KL19 </t>
  </si>
  <si>
    <t xml:space="preserve">CETAKAN TANGKAI MOTIF KACANG KL105 </t>
  </si>
  <si>
    <t xml:space="preserve">CETAKAN TANGKAI MOTIF BINTANG KL21 </t>
  </si>
  <si>
    <t xml:space="preserve">CETAKAN TANGKAI MOTIF BULAN KL15 </t>
  </si>
  <si>
    <t xml:space="preserve">CASE SEGITIGA MOTIF LM-PAPER </t>
  </si>
  <si>
    <t xml:space="preserve">LISSE CET MTF STRAWBERRY 007 CTD0036 </t>
  </si>
  <si>
    <t xml:space="preserve">SPATULA SILICONE 398-9  </t>
  </si>
  <si>
    <t xml:space="preserve">MEASURING CUP 1000ML JC3104 </t>
  </si>
  <si>
    <t xml:space="preserve">SCRAPER 1/2 BULAT 10,5X15,5CM JC3704 </t>
  </si>
  <si>
    <t xml:space="preserve">DOUGH SCRAPER 9,5X10CM JC3707 </t>
  </si>
  <si>
    <t xml:space="preserve">SCRAPER PINK 9,5X12CM JC3707 JC3708 </t>
  </si>
  <si>
    <t xml:space="preserve">CAKE TRUNTABLE JC45165 </t>
  </si>
  <si>
    <t xml:space="preserve">CAKE TURNTABLE LOCKED JC4516 </t>
  </si>
  <si>
    <t xml:space="preserve">ICE SHOVEL JC3801 </t>
  </si>
  <si>
    <t xml:space="preserve">ICE SHOVEL JC3802 </t>
  </si>
  <si>
    <t xml:space="preserve">ICE SHOVEL JC3803 </t>
  </si>
  <si>
    <t xml:space="preserve">ICE SHOVEL JC3804 </t>
  </si>
  <si>
    <t xml:space="preserve">SPOON SIL PREMIUM SL27 </t>
  </si>
  <si>
    <t>SPONTEX  250GR</t>
  </si>
  <si>
    <t>SPONTEX  1KG</t>
  </si>
  <si>
    <t xml:space="preserve">EGG WHISK 30CM A69-12 </t>
  </si>
  <si>
    <t xml:space="preserve">EGG WHISK 35CM A69-14 </t>
  </si>
  <si>
    <t xml:space="preserve">EGG WHISK 40CM A69-16 </t>
  </si>
  <si>
    <t xml:space="preserve">DORAEMON DKK 1S DI1 </t>
  </si>
  <si>
    <t xml:space="preserve">HELLO KITTY TATAAN 1S HI8 </t>
  </si>
  <si>
    <t xml:space="preserve">HELLO KITTY PERI 1S HI10 </t>
  </si>
  <si>
    <t xml:space="preserve">HELLO KITTY KUE 1S HI14 </t>
  </si>
  <si>
    <t xml:space="preserve">FROZEN DKK 1S FI1 </t>
  </si>
  <si>
    <t xml:space="preserve">MICKEY DKK 1S MI10 </t>
  </si>
  <si>
    <t xml:space="preserve">SOLET SILICONE YH564 </t>
  </si>
  <si>
    <t xml:space="preserve">KERANJANG PERAHU SET3 KR2 </t>
  </si>
  <si>
    <t xml:space="preserve">KERANJANG PERSEGI SET3 KR5 </t>
  </si>
  <si>
    <t xml:space="preserve">KERANJANG BULAT SET3 KR4 </t>
  </si>
  <si>
    <t xml:space="preserve">SPONGEBOB DKK 1S SI4 </t>
  </si>
  <si>
    <t xml:space="preserve">LOY MOTIF LOVKER BM14 </t>
  </si>
  <si>
    <t xml:space="preserve">LOY BULAT POLOS BM13 </t>
  </si>
  <si>
    <t xml:space="preserve">LOY MOTIF BM16 </t>
  </si>
  <si>
    <t xml:space="preserve">KERANJANG LONJONG KR3 </t>
  </si>
  <si>
    <t xml:space="preserve">KERANJANG PRSGI PNJNG KR1 </t>
  </si>
  <si>
    <t xml:space="preserve">LOYANG BULAT K 22,5CM LY22 </t>
  </si>
  <si>
    <t xml:space="preserve">SOLET LUBANG GG KAYU SL28 </t>
  </si>
  <si>
    <t xml:space="preserve">TULISAN HBD TA21 </t>
  </si>
  <si>
    <t xml:space="preserve">TULISAN AKRILIK HBD BOLD TA26 </t>
  </si>
  <si>
    <t xml:space="preserve">TULISAN AKRILIK HBD TA28 </t>
  </si>
  <si>
    <t xml:space="preserve">LY MOTIF LOVE BM41 </t>
  </si>
  <si>
    <t xml:space="preserve">BOX CUP CAKE PTH 6.25X3.75X3 MBL2 </t>
  </si>
  <si>
    <t xml:space="preserve">BOX CUP CAKE PTH 6.25X6.25X3 MBL4 </t>
  </si>
  <si>
    <t xml:space="preserve">BOX CUP CAKE PTH 9.25X6.25X3 MBL6 </t>
  </si>
  <si>
    <t xml:space="preserve">BOX CUP CAKE CKLT 6.25X3.75X3 MBL2 </t>
  </si>
  <si>
    <t xml:space="preserve">BOX CUP CAKE CKLT 6.25X6.25X3 MBL4 </t>
  </si>
  <si>
    <t xml:space="preserve">BOX CUP CAKE CKLT 9.25X6.25X3 MBL6 </t>
  </si>
  <si>
    <t xml:space="preserve">MEASURING CUP 50ML JC3100 </t>
  </si>
  <si>
    <t xml:space="preserve">MEASURING CUP 2000ML JC3105 </t>
  </si>
  <si>
    <t xml:space="preserve">BOX CUP CAKE PET 6.25X3.8X3 MB2 </t>
  </si>
  <si>
    <t xml:space="preserve">BOX CUP CAKE PET 6.25X6.25X4.7 MB4 </t>
  </si>
  <si>
    <t xml:space="preserve">SENDOK SILICONE 4.3X21CM YH483 </t>
  </si>
  <si>
    <t xml:space="preserve">SOLET SILICONE K 4.5X21CM YH485 </t>
  </si>
  <si>
    <t xml:space="preserve">SENDOK SILICONE 4.5X30CM YH546 </t>
  </si>
  <si>
    <t xml:space="preserve">SOLET SILICONE B 6X27.5CM YH486 </t>
  </si>
  <si>
    <t xml:space="preserve">TUL IDUL FITRI MASJID EMAS TI135A  </t>
  </si>
  <si>
    <t xml:space="preserve">TUL IDUL FITRI MASJID+SALAMAN TI137D </t>
  </si>
  <si>
    <t xml:space="preserve">MICKEY TATAAN SET 6 MI14 </t>
  </si>
  <si>
    <t xml:space="preserve">TUL HAPPY ANNIV 1S TI162A </t>
  </si>
  <si>
    <t xml:space="preserve">TUL HB OVAL JUMBO EMAS TI252A </t>
  </si>
  <si>
    <t xml:space="preserve">TUL HB OVAL JUMBO MERAH TI252B </t>
  </si>
  <si>
    <t xml:space="preserve">TUL HB OVAL JUMBO RAINBOW TI252C </t>
  </si>
  <si>
    <t xml:space="preserve">TUL HB OVAL JUMBO UNGU TI252E </t>
  </si>
  <si>
    <t xml:space="preserve">TUL HB OVAL JUMBO BIRU TI252G </t>
  </si>
  <si>
    <t xml:space="preserve">TUL HB JUMBO KTK EMAS TI253A </t>
  </si>
  <si>
    <t xml:space="preserve">TUL HB JUMBO KTK MERAH TI253B </t>
  </si>
  <si>
    <t xml:space="preserve">TUL HB JUMBO KTK RAINBOW TI253C </t>
  </si>
  <si>
    <t xml:space="preserve">TUL HB JUMBO KTK UNGU TI253E </t>
  </si>
  <si>
    <t xml:space="preserve">TUL HB JUMBO KTK BIRU TI253G </t>
  </si>
  <si>
    <t xml:space="preserve">WHISK PUTAR SET 2 WH16 </t>
  </si>
  <si>
    <t xml:space="preserve">PENJEPIT ROTI WARNA SET 3 PR6 </t>
  </si>
  <si>
    <t xml:space="preserve">KUAS KAYU NO 8 4.8X15CM KS17 </t>
  </si>
  <si>
    <t xml:space="preserve">CET BISCUIT PERSEGI 4X4 1S M-F04 </t>
  </si>
  <si>
    <t xml:space="preserve">CET BISCUIT PERSEGI PNJNG 4X3 1S M-F12 </t>
  </si>
  <si>
    <t xml:space="preserve">CET BISCUIT PERSEGI PANJANG 6X3 1S M-F64 </t>
  </si>
  <si>
    <t xml:space="preserve">ADJUSTABLE MEASURING SPOON ST38 </t>
  </si>
  <si>
    <t xml:space="preserve">LOY PIZZA LUBANG LEPAS LPL1 </t>
  </si>
  <si>
    <t xml:space="preserve">WHISK 17CM WH20 </t>
  </si>
  <si>
    <t xml:space="preserve">PISAU POLOS GG KAYU 12INC KN31 </t>
  </si>
  <si>
    <t xml:space="preserve">PISAU GG KAYU 12.20X3CM LS11-2 </t>
  </si>
  <si>
    <t xml:space="preserve">PISAU GG KAYU 12.18X5CM LS11-6 </t>
  </si>
  <si>
    <t xml:space="preserve">PISAU GG KAYU 11.5X14.5CM LS11-7 </t>
  </si>
  <si>
    <t xml:space="preserve">PISAU GG KAYU 12.17X7.5CM LS11-9 </t>
  </si>
  <si>
    <t xml:space="preserve">GELAS AYAKAN STAIN JUMBO GS4 </t>
  </si>
  <si>
    <t xml:space="preserve">KERANJANG STAIN K ROSEGOLD KRS3A </t>
  </si>
  <si>
    <t xml:space="preserve">KERANJANG STAIN K SILVER KRS3C </t>
  </si>
  <si>
    <t xml:space="preserve">SOLET PENGGORENG STAIN SL34 </t>
  </si>
  <si>
    <t xml:space="preserve">GRATER SET 3 GT5 </t>
  </si>
  <si>
    <t xml:space="preserve">SOLET PENGGORENGAN SL31 </t>
  </si>
  <si>
    <t xml:space="preserve">CENTONG SAYUR SILICONE YH548 </t>
  </si>
  <si>
    <t xml:space="preserve">SKRAP LUBANG SILICONE YH551 </t>
  </si>
  <si>
    <t xml:space="preserve">GRATER 2IN1 GT4 </t>
  </si>
  <si>
    <t xml:space="preserve">KERANJANG STAIN KECIL KRS1 </t>
  </si>
  <si>
    <t xml:space="preserve">GARLIC PRESS SEESAW SG1 </t>
  </si>
  <si>
    <t xml:space="preserve">SOLET PENGGORENG GG KAYU SL33 </t>
  </si>
  <si>
    <t xml:space="preserve">GIL CEMBUNG STAIN SILVER 33CM GI018A </t>
  </si>
  <si>
    <t xml:space="preserve">GIL CEMBUNG STAIN GOLD GELAP 33CM GI018B </t>
  </si>
  <si>
    <t xml:space="preserve">GIL CEMBUNG STAIN GOLD 33CM GI018C </t>
  </si>
  <si>
    <t xml:space="preserve">GIL CEMBUNG STAIN RAINBOW 33CM GI018D </t>
  </si>
  <si>
    <t xml:space="preserve">GIL CEMBUNG STAIN ROSEGOLD 33CM GI018E </t>
  </si>
  <si>
    <t xml:space="preserve">WHISK 30CM WH17 </t>
  </si>
  <si>
    <t xml:space="preserve">TUL HB JUMBO BUNGA GOLD TI251A </t>
  </si>
  <si>
    <t xml:space="preserve">TUL HB JUMBO BUNGA MERAH TI251B </t>
  </si>
  <si>
    <t xml:space="preserve">TUL HB JUMBO BUNGA RAINBOW TI251C </t>
  </si>
  <si>
    <t xml:space="preserve">TUL HB JUMBO BUNGA HIJAU TI251D </t>
  </si>
  <si>
    <t xml:space="preserve">TUL HB JUMBO BUNGA UNGU TI251E </t>
  </si>
  <si>
    <t xml:space="preserve">TUL HB JUMBO BUNGA BIRU TI251G </t>
  </si>
  <si>
    <t xml:space="preserve">TUL HB OVAL DOUBLE GOLD TI254A </t>
  </si>
  <si>
    <t xml:space="preserve">TUL HB OVAL DOUBLE MERAH TI254B </t>
  </si>
  <si>
    <t xml:space="preserve">TUL HB OVAL DOUBLE BIRU TI254G </t>
  </si>
  <si>
    <t xml:space="preserve">TUL HB OVAL DOUBLE RAINBOW TI254C </t>
  </si>
  <si>
    <t xml:space="preserve">TUL HB OVAL DOUBLE UNGU TI254E </t>
  </si>
  <si>
    <t xml:space="preserve">TUL HB JUMBO LILIN EMAS TI256A </t>
  </si>
  <si>
    <t xml:space="preserve">TUL HB JUMBO LILIN UNGU TI256E </t>
  </si>
  <si>
    <t xml:space="preserve">HB GOLD BALON 1S TI110A </t>
  </si>
  <si>
    <t xml:space="preserve">TUL HB AWAN JUMBO EMAS TI249A </t>
  </si>
  <si>
    <t xml:space="preserve">TUL HB AWAN JUMBO RAINBOW TI249C </t>
  </si>
  <si>
    <t xml:space="preserve">TUL HB AWAN JUMBO UNGU TI249E </t>
  </si>
  <si>
    <t xml:space="preserve">TUL HB AWAN JUMBO BIRU TI249G </t>
  </si>
  <si>
    <t xml:space="preserve">TUL HB BUNGA BWH GOLD TI250A </t>
  </si>
  <si>
    <t xml:space="preserve">TUL HB BUNGA BWH MERAH TI250B </t>
  </si>
  <si>
    <t xml:space="preserve">TUL HB BUNGA BWH RAINBOW TI250C </t>
  </si>
  <si>
    <t xml:space="preserve">TUL HB BUNGA BWH UNGU TI250E </t>
  </si>
  <si>
    <t xml:space="preserve">TUL HB BUNGA BWH BIRU TI250G </t>
  </si>
  <si>
    <t xml:space="preserve">TUL HB JUMBO TOPI RAINBOW TI255C </t>
  </si>
  <si>
    <t xml:space="preserve">TUL HB JUMBO TOPI HIJAU TI255D </t>
  </si>
  <si>
    <t xml:space="preserve">TUL HB JUMBO TOPI BIRU TI255G </t>
  </si>
  <si>
    <t xml:space="preserve">FROZEN SET 6 FI3 </t>
  </si>
  <si>
    <t xml:space="preserve">DORAEMON BASEBALL SET6 DI5 </t>
  </si>
  <si>
    <t xml:space="preserve">FROZEN SET3 9CM FI5 </t>
  </si>
  <si>
    <t xml:space="preserve">HELLO KITTY TATAAN SET 6 HI9 </t>
  </si>
  <si>
    <t xml:space="preserve">TULISAN HBD TA20 </t>
  </si>
  <si>
    <t xml:space="preserve">TUL AKRILIK HB BULAT DOUBLE TA25 </t>
  </si>
  <si>
    <t xml:space="preserve">TUL IDUL FITRI HIJAU 6S TI136D </t>
  </si>
  <si>
    <t xml:space="preserve">TUL IDUL FITRI BULAN RAINBOW 6S TI133C </t>
  </si>
  <si>
    <t xml:space="preserve">TUL HAPPY ANNIV 6S TI162A </t>
  </si>
  <si>
    <t xml:space="preserve">TOPPER HBD BINGKAI 1S D96 </t>
  </si>
  <si>
    <t xml:space="preserve">TOPPER HBD BINGKAI 6S D96 </t>
  </si>
  <si>
    <t xml:space="preserve">TOPPER HBD AWAN 1S D99 </t>
  </si>
  <si>
    <t xml:space="preserve">TOPPER HBD AWAN 6S D99 </t>
  </si>
  <si>
    <t xml:space="preserve">BOX GS CKLT 18X18X7,5CM </t>
  </si>
  <si>
    <t xml:space="preserve">KEROK BLEWAH KL29 </t>
  </si>
  <si>
    <t xml:space="preserve">CAKE STAND ALUMINIUM 20CMX31CM JC4513 </t>
  </si>
  <si>
    <t xml:space="preserve">BOTOL SAUCE 6OZ JC3801 </t>
  </si>
  <si>
    <t xml:space="preserve">BOTOL SAUCE 3 LUBANG 18OZ JC3804 </t>
  </si>
  <si>
    <t xml:space="preserve">BOTOL SAUCE 3 LUBANG 24OZ JC3805 </t>
  </si>
  <si>
    <t xml:space="preserve">BOTOL SAUCE 3 LUBANG 36OZ JC3806 </t>
  </si>
  <si>
    <t xml:space="preserve">BOTOL SAUCE 9OZ JC3802 </t>
  </si>
  <si>
    <t xml:space="preserve">BOTOL SAUCE 13OZ JC3803 </t>
  </si>
  <si>
    <t xml:space="preserve">BOTOL SAUCE 18OZ JC3804 </t>
  </si>
  <si>
    <t xml:space="preserve">PAPER CASE PERSEGI 200S ZF-LM </t>
  </si>
  <si>
    <t xml:space="preserve">PAPER CASE PERSEGI 20S ZF-LM </t>
  </si>
  <si>
    <t xml:space="preserve">BOX GS 12X16 POLOS </t>
  </si>
  <si>
    <t xml:space="preserve">MK 257 </t>
  </si>
  <si>
    <t xml:space="preserve">MK 268 </t>
  </si>
  <si>
    <t xml:space="preserve">TUL HB TOPI MERAH 1S TI65B </t>
  </si>
  <si>
    <t xml:space="preserve">TUL HB TOPI MERAH 5S TI65B </t>
  </si>
  <si>
    <t xml:space="preserve">TUL HB 3 RAINBOW 1S TI19 </t>
  </si>
  <si>
    <t xml:space="preserve">TUL HB 3 RAINBOW 6S TI19 </t>
  </si>
  <si>
    <t xml:space="preserve">AKRILIK HB BUNGA EMAS TA57 </t>
  </si>
  <si>
    <t xml:space="preserve">AKRILIK HB MAHKOTA PERAK TA3 </t>
  </si>
  <si>
    <t xml:space="preserve">HAPPY ANNIV GOLD 1S TI31 </t>
  </si>
  <si>
    <t xml:space="preserve">BUNGA 12S BU217 </t>
  </si>
  <si>
    <t xml:space="preserve">LILIN ANGKA 1 LI15 </t>
  </si>
  <si>
    <t xml:space="preserve">RUMPUT JARUM K 24S BU258 </t>
  </si>
  <si>
    <t xml:space="preserve">TUL HB RAINBOW 6S T84 </t>
  </si>
  <si>
    <t xml:space="preserve">IKAN SET6 II2 </t>
  </si>
  <si>
    <t xml:space="preserve">BABY SLEEPING SMALL 5,5CM 1S B46 </t>
  </si>
  <si>
    <t xml:space="preserve">MANTEN BARAT 8CM M85 </t>
  </si>
  <si>
    <t xml:space="preserve">MANTEN HIJAB K PTH M130A </t>
  </si>
  <si>
    <t xml:space="preserve">MANTEN HIJAB K KUNING M130B </t>
  </si>
  <si>
    <t xml:space="preserve">MEJA PUTIH POLOS BATIK MJP4 </t>
  </si>
  <si>
    <t xml:space="preserve">COOKIES K HATI PLS4-1 </t>
  </si>
  <si>
    <t xml:space="preserve">RUMPUT SET12 BU133 </t>
  </si>
  <si>
    <t xml:space="preserve">ULTRAMEN TATAAN 1S UI5 </t>
  </si>
  <si>
    <t xml:space="preserve">PUTRI BAJU PUTIH 1S PI42PT </t>
  </si>
  <si>
    <t xml:space="preserve">FROZEN ANAK B 1S FI18 </t>
  </si>
  <si>
    <t xml:space="preserve">HELOKITTY+STW SET10 HI18 </t>
  </si>
  <si>
    <t xml:space="preserve">LILIN ANGKA 5 GOLD YH103-5 </t>
  </si>
  <si>
    <t xml:space="preserve">LILIN ANGKA 5 SILVER YH103-5 </t>
  </si>
  <si>
    <t xml:space="preserve">LILIN ANGKA 5 EMOT CA1190-5 </t>
  </si>
  <si>
    <t xml:space="preserve">AKRILIK HB DISNEY AB TA45AB </t>
  </si>
  <si>
    <t xml:space="preserve">AKRILIK HB MOM EMAS TA92A </t>
  </si>
  <si>
    <t xml:space="preserve">AKRILIK HB MAMI EMAS TA90A </t>
  </si>
  <si>
    <t xml:space="preserve">AKRILIK HB MAMI PINK TA90H </t>
  </si>
  <si>
    <t xml:space="preserve">AKRILIK HB MAMA PITA PINK TA91H </t>
  </si>
  <si>
    <t xml:space="preserve">AKRILIK HB MOM EMAS HATI TA92B </t>
  </si>
  <si>
    <t xml:space="preserve">HB AKRILIK UNICRORN TA9 TUL </t>
  </si>
  <si>
    <t xml:space="preserve">CAKE PAN POSSY DGM24 </t>
  </si>
  <si>
    <t xml:space="preserve">CAKE PAN MAGNOLIA DGM16 </t>
  </si>
  <si>
    <t xml:space="preserve">CAKE PAN CATHEDRAL DGM15 </t>
  </si>
  <si>
    <t xml:space="preserve">CAKE PAN CORLIS DGM13 </t>
  </si>
  <si>
    <t xml:space="preserve">LILIN ANGKA 0 SILVER YH103-0 </t>
  </si>
  <si>
    <t xml:space="preserve">LILIN ANGKA 8 GOLD YH103-8 </t>
  </si>
  <si>
    <t xml:space="preserve">LILIN ANGKA 8 SILVER YH103-8 </t>
  </si>
  <si>
    <t xml:space="preserve">LILIN ANGKA 6 SILVER YH103-6 </t>
  </si>
  <si>
    <t xml:space="preserve">LILIN ANGKA 6 GOLD YH103-6 </t>
  </si>
  <si>
    <t xml:space="preserve">LILIN ANGKA 7 SILVER YH103-7 </t>
  </si>
  <si>
    <t xml:space="preserve">LILIN ANGKA 7 GOLD YH103-7 </t>
  </si>
  <si>
    <t xml:space="preserve">LILIN ANGKA 0 GOLD YH103-0 </t>
  </si>
  <si>
    <t xml:space="preserve">LILIN ANGKA 8 EMOT CA1190-8 </t>
  </si>
  <si>
    <t xml:space="preserve">LILIN ANGKA 7 EMOT CA1190-7 </t>
  </si>
  <si>
    <t xml:space="preserve">LILIN ANGKA 6 EMOT CA1190-6 </t>
  </si>
  <si>
    <t xml:space="preserve">LILIN ANGKA 9 EMOT CA1190-9 </t>
  </si>
  <si>
    <t xml:space="preserve">LILIN ANGKA 0 EMOT CA1190-0 </t>
  </si>
  <si>
    <t xml:space="preserve">LILIN ANGKA 1 EMOT CA1190-1 </t>
  </si>
  <si>
    <t xml:space="preserve">LILIN ANGKA 2 EMOT CA1190-2 </t>
  </si>
  <si>
    <t xml:space="preserve">LILIN ANGKA 7 K GOLD YH146-7 </t>
  </si>
  <si>
    <t xml:space="preserve">LILIN ANGKA 2 K GOLD YH146-2 </t>
  </si>
  <si>
    <t xml:space="preserve">TOPPER RUMPUT DAUN 5S BU203 </t>
  </si>
  <si>
    <t xml:space="preserve">TOPPER RUMPUT BUNGA 12S BU115 </t>
  </si>
  <si>
    <t xml:space="preserve">ALAS TART PETAK 8 AK3 </t>
  </si>
  <si>
    <t xml:space="preserve">AKRILK HB MAMA PITA EMAS TA91A </t>
  </si>
  <si>
    <t xml:space="preserve">LILIN SPARKLING 16S S16 </t>
  </si>
  <si>
    <t xml:space="preserve">LILIN ANGKA 6 BALON CA1054-6 </t>
  </si>
  <si>
    <t xml:space="preserve">LILIN ANGKA 7 BALON CA1054-7 </t>
  </si>
  <si>
    <t xml:space="preserve">LILIN ANGKA 4 K GOLD YH146-4 </t>
  </si>
  <si>
    <t xml:space="preserve">LILIN ANGKA 3 K GOLD YH146-3 </t>
  </si>
  <si>
    <t xml:space="preserve">LILIN ANGKA 3 BALON CA1054-3 </t>
  </si>
  <si>
    <t xml:space="preserve">LILIN ANGKA 8 BALON CA1054-8 </t>
  </si>
  <si>
    <t xml:space="preserve">LILIN ANGKA 9 BALON CA1054-9 </t>
  </si>
  <si>
    <t xml:space="preserve">LILIN ANGKA 4 BALON CA1054-4 </t>
  </si>
  <si>
    <t xml:space="preserve">LILIN ANGKA 0 BALON CA1054-0 </t>
  </si>
  <si>
    <t xml:space="preserve">LILIN ANGKA 8 K GOLD YH146-8 </t>
  </si>
  <si>
    <t xml:space="preserve">LILIN ANGKA 5 K GOLD YH146-5 </t>
  </si>
  <si>
    <t xml:space="preserve">LILIN ANGKA 6 K GOLD YH146-6 </t>
  </si>
  <si>
    <t xml:space="preserve">LILIN ANGKA 0 K GOLD YH146-0 </t>
  </si>
  <si>
    <t xml:space="preserve">LILIN ANGKA 9 K GOLD YH146-9 </t>
  </si>
  <si>
    <t xml:space="preserve">LILIN ANGKA 5 BALON CA1054-5 </t>
  </si>
  <si>
    <t xml:space="preserve">LILIN ANGKA 1 BALON CA1054-1 </t>
  </si>
  <si>
    <t xml:space="preserve">LILIN ULIR GOLD 10S YH382-1 </t>
  </si>
  <si>
    <t xml:space="preserve">LILIN ULIR WARNA 10S YH392-1 </t>
  </si>
  <si>
    <t xml:space="preserve">COOKIES K LOVE PLS4-2 </t>
  </si>
  <si>
    <t xml:space="preserve">JAMUR WARNA SET 8 JS1 </t>
  </si>
  <si>
    <t xml:space="preserve">LILIN TWIST EMAS 6S YH361-1A </t>
  </si>
  <si>
    <t xml:space="preserve">LILIN TWIST ROSE GOLD 6S YH361-1I </t>
  </si>
  <si>
    <t xml:space="preserve">LILIN ANGKA 4 GOLD YH103-4 </t>
  </si>
  <si>
    <t xml:space="preserve">LILIN ANGKA 4 SILVER YH103-4 </t>
  </si>
  <si>
    <t xml:space="preserve">LILIN ANGKA 9 SILVER YH103-9 </t>
  </si>
  <si>
    <t xml:space="preserve">LILIN ANGKA 9 GOLD YH103-9 </t>
  </si>
  <si>
    <t xml:space="preserve">LOYANG CAKE 21,5X11,5X6CM 01023-6 </t>
  </si>
  <si>
    <t xml:space="preserve">LOYANG CAKE 15X27.5CM 01023-7 </t>
  </si>
  <si>
    <t xml:space="preserve">JAMUR MERAH SET8 JS2 </t>
  </si>
  <si>
    <t xml:space="preserve">STICKER TY HATI B-10ST </t>
  </si>
  <si>
    <t xml:space="preserve">STICKER TY PINK C-09 </t>
  </si>
  <si>
    <t xml:space="preserve">TOPPER HB ROBLOK TPK105 </t>
  </si>
  <si>
    <t xml:space="preserve">TOPPER HB BOBOIBOY TPK14 </t>
  </si>
  <si>
    <t xml:space="preserve">TOPPER HB PRINCES TPK44 </t>
  </si>
  <si>
    <t xml:space="preserve">TOPPER HB CAPTEN AMERIKA TPK4 </t>
  </si>
  <si>
    <t xml:space="preserve">TOPPER HB MARVEL TPK41 </t>
  </si>
  <si>
    <t xml:space="preserve">TOPPER HB MINNIE MICKEY TPK13 </t>
  </si>
  <si>
    <t xml:space="preserve">TOPPER HB ANIMAL TPK18 </t>
  </si>
  <si>
    <t xml:space="preserve">TOPPER HB SPIDERMAN TPK1 </t>
  </si>
  <si>
    <t xml:space="preserve">TOPPER HB MOBIL CART TPK6 </t>
  </si>
  <si>
    <t xml:space="preserve">TOPPER HB GOLDEN PAN TPK39 </t>
  </si>
  <si>
    <t xml:space="preserve">TOPPER HB NERF TPK97 </t>
  </si>
  <si>
    <t xml:space="preserve">TOPPER HB DORAEMON TPK24 </t>
  </si>
  <si>
    <t xml:space="preserve">TOPPER HB BATMAN TPK3 </t>
  </si>
  <si>
    <t xml:space="preserve">TOPPER HB FREEFIRE TPK99 </t>
  </si>
  <si>
    <t xml:space="preserve">TOPPER HB MOBILELEGENDS TPK38 </t>
  </si>
  <si>
    <t xml:space="preserve">TOPPER HB KUDAPONY TPK28 </t>
  </si>
  <si>
    <t xml:space="preserve">TOPPER HB TOHMAS TPK84 </t>
  </si>
  <si>
    <t xml:space="preserve">TOPPER HB TAYO TPK10 </t>
  </si>
  <si>
    <t xml:space="preserve">TOPPER HB SUPERMAN TPK2 </t>
  </si>
  <si>
    <t xml:space="preserve">TOPPER HB LOL TPK25 </t>
  </si>
  <si>
    <t xml:space="preserve">TOPPER HB KUDAPONY KUE TPK45 </t>
  </si>
  <si>
    <t xml:space="preserve">TOPPER POHON KELAPA 1S BU243 </t>
  </si>
  <si>
    <t xml:space="preserve">LILIN ANGKA 2 BALON CA1054-2 </t>
  </si>
  <si>
    <t xml:space="preserve">TUL HB TOPI EMAS 1S TI65A </t>
  </si>
  <si>
    <t xml:space="preserve">TUL HB TOPI EMAS 5S TI65A </t>
  </si>
  <si>
    <t xml:space="preserve">AVENGER 4S AI18 </t>
  </si>
  <si>
    <t xml:space="preserve">HAPPY WEDDING RED 1S TI69B </t>
  </si>
  <si>
    <t xml:space="preserve">LILIN MERAH ANGKA 0 YH372-0B </t>
  </si>
  <si>
    <t xml:space="preserve">LOY BULAT BONGPAS 11CM LY26 </t>
  </si>
  <si>
    <t xml:space="preserve">LOY BULAT BONGPAS 17CM LY27 </t>
  </si>
  <si>
    <t xml:space="preserve">LILIN ANGKA 3 EMOT CA1190-3 </t>
  </si>
  <si>
    <t xml:space="preserve">ALAS TART PETAK 4 AK1 </t>
  </si>
  <si>
    <t xml:space="preserve">ALAS TART PETAK 6 AK2 </t>
  </si>
  <si>
    <t xml:space="preserve">ALAS TART PETAK 10 AK4 </t>
  </si>
  <si>
    <t xml:space="preserve">ALAS TART BLT 10 AK8 </t>
  </si>
  <si>
    <t xml:space="preserve">ALAS TART BLT 6 AK6 </t>
  </si>
  <si>
    <t xml:space="preserve">TPR POHON KELAPA 6S BU272 </t>
  </si>
  <si>
    <t xml:space="preserve">LILIN EMAS ANGKA 0 YH372-0A </t>
  </si>
  <si>
    <t xml:space="preserve">CAKE PAN CARRINGTON DGM07 </t>
  </si>
  <si>
    <t xml:space="preserve">LILIN MERAH ANGKA 1 YH372-1B </t>
  </si>
  <si>
    <t xml:space="preserve">LILIN SILVER ANGKA 1 YH372-1S </t>
  </si>
  <si>
    <t xml:space="preserve">LILIN MERAH ANGKA 2 YH372-2B </t>
  </si>
  <si>
    <t xml:space="preserve">LILIN SILVER ANGKA 2 YH372-2S </t>
  </si>
  <si>
    <t xml:space="preserve">LILIN MERAH ANGKA 3 YH372-3B </t>
  </si>
  <si>
    <t xml:space="preserve">LILIN SILVER ANGKA 3 YH372-3S </t>
  </si>
  <si>
    <t xml:space="preserve">LILIN MERAH ANGKA 4 YH372-4B </t>
  </si>
  <si>
    <t xml:space="preserve">LILIN SILVER ANGKA 4 YH372-4S </t>
  </si>
  <si>
    <t xml:space="preserve">LILIN MERAH ANGKA 5 YH372-5B </t>
  </si>
  <si>
    <t xml:space="preserve">LILIN SILVER ANGKA 5 YH372-5S </t>
  </si>
  <si>
    <t xml:space="preserve">LILIN MERAH ANGKA 6 YH372-6B </t>
  </si>
  <si>
    <t xml:space="preserve">LILIN SILVER ANGKA 6 YH372-6S </t>
  </si>
  <si>
    <t xml:space="preserve">LILIN MERAH ANGKA 7 YH372-7B </t>
  </si>
  <si>
    <t xml:space="preserve">LILIN SILVER ANGKA 7 YH372-7S </t>
  </si>
  <si>
    <t xml:space="preserve">LILIN MERAH ANGKA 8 YH372-8B </t>
  </si>
  <si>
    <t xml:space="preserve">LILIN SILVER ANGKA 8 YH372-8S </t>
  </si>
  <si>
    <t xml:space="preserve">STICKER BULAT CAMPUR A-251 </t>
  </si>
  <si>
    <t xml:space="preserve">STICKER BUNGA WARNA A281-38 </t>
  </si>
  <si>
    <t xml:space="preserve">STICKER BULAT K </t>
  </si>
  <si>
    <t xml:space="preserve">LOYANG PIZZA 24CM 01023-10 </t>
  </si>
  <si>
    <t xml:space="preserve">LOYANG PIZZA 26CM 01023-11 </t>
  </si>
  <si>
    <t xml:space="preserve">LILIN SILVER ANGKA 0 YH372-0S </t>
  </si>
  <si>
    <t xml:space="preserve">STICKER BUNGA ROSE K-82-38 </t>
  </si>
  <si>
    <t xml:space="preserve">HAPPY BIRTH GOLD 5S TI32 </t>
  </si>
  <si>
    <t xml:space="preserve">HAPPY ANNIV GOLD 5S TI31 </t>
  </si>
  <si>
    <t xml:space="preserve">HAPPY BIRTH MERAH 5S T88 </t>
  </si>
  <si>
    <t xml:space="preserve">LILIN ANGKA 1 SILVER YH103-1 </t>
  </si>
  <si>
    <t xml:space="preserve">LILIN ANGKA 2 GOLD YH103-2 </t>
  </si>
  <si>
    <t xml:space="preserve">LILIN ANGKA 2 SILVER YH103-2 </t>
  </si>
  <si>
    <t xml:space="preserve">LILIN ANGKA 3 SILVER YH103-3 </t>
  </si>
  <si>
    <t xml:space="preserve">LILIN ANGKA 3 GOLD YH103-3 </t>
  </si>
  <si>
    <t xml:space="preserve">LILIN ANGKA 1 K GOLD YH146-1 </t>
  </si>
  <si>
    <t xml:space="preserve">LOYANG BM 24 FLOWERS LBM-8 </t>
  </si>
  <si>
    <t xml:space="preserve">LOYANG BM 4 CIRCLE LBM-3 </t>
  </si>
  <si>
    <t xml:space="preserve">LOYANG BM 10 RECTANGLE LBM-9 </t>
  </si>
  <si>
    <t xml:space="preserve">LOYANG BM 6 DONUTS LBM-6 </t>
  </si>
  <si>
    <t xml:space="preserve">LOYANG BM 12 FLOWERS+LOVE LBM-7 </t>
  </si>
  <si>
    <t xml:space="preserve">BALON MICKEY 100S BL10A </t>
  </si>
  <si>
    <t xml:space="preserve">BALON HB 100S BL10C </t>
  </si>
  <si>
    <t xml:space="preserve">BALON DORAEMON 100S BL10D </t>
  </si>
  <si>
    <t xml:space="preserve">BALON KILAP WARNA WARNI 100S BL19 </t>
  </si>
  <si>
    <t xml:space="preserve">BALON KILAP 120GR BL20A </t>
  </si>
  <si>
    <t xml:space="preserve">LOYANG BM 7 CIRCLE LBM-10 </t>
  </si>
  <si>
    <t xml:space="preserve">KUAS SOLET SIL BOLAK BALIK KSS1 </t>
  </si>
  <si>
    <t xml:space="preserve">PISAU GG KAYU 11,5X12CM LS11-1E </t>
  </si>
  <si>
    <t xml:space="preserve">KERANJANG STAIN K GOLD KRS3B </t>
  </si>
  <si>
    <t xml:space="preserve">PENYARING GORENGAN BESAR PG2A </t>
  </si>
  <si>
    <t xml:space="preserve">PENYARING GORENGAN TANGGUNG PG2B </t>
  </si>
  <si>
    <t xml:space="preserve">PENYARING GORENGAN KECIL PG2C </t>
  </si>
  <si>
    <t xml:space="preserve">SENDOK SKRAP STAIN GERIGI GOLD SL10A </t>
  </si>
  <si>
    <t xml:space="preserve">SENDOK SKRAP STAIN GERIGI ROSEGOLD SL10B </t>
  </si>
  <si>
    <t xml:space="preserve">SENDOK SKRAP STAIN GERIGI RAINBOW SL10C </t>
  </si>
  <si>
    <t xml:space="preserve">SENDOK SKRAP STAIN GERIGI BLUE SL10D </t>
  </si>
  <si>
    <t xml:space="preserve">SENDOK SKRAP STAIN GERIGI UNGU SL10E </t>
  </si>
  <si>
    <t xml:space="preserve">SENDOK SKRAP STAIN GERIGI BLACK SL10F </t>
  </si>
  <si>
    <t xml:space="preserve">SENDOK BAKSO ST34 </t>
  </si>
  <si>
    <t xml:space="preserve">PENGGORENG GG STAIN 3LUBANG M20-GB3 </t>
  </si>
  <si>
    <t xml:space="preserve">CAKE PAN ALLANIS 24CM DGM10 </t>
  </si>
  <si>
    <t xml:space="preserve">CAKE PAN SWIRL 24CM DGM14 </t>
  </si>
  <si>
    <t xml:space="preserve">CAKE PAN BLUMA 24CM DGM27 </t>
  </si>
  <si>
    <t xml:space="preserve">SETRIKA FONDANT ZN2727 </t>
  </si>
  <si>
    <t xml:space="preserve">SENDOK TAKAR SET 4 ST39 </t>
  </si>
  <si>
    <t xml:space="preserve">SPUIT PIPING BAG SET 8 SP26 </t>
  </si>
  <si>
    <t xml:space="preserve">GELAS UKUR STAIN 900ML GU3-1 </t>
  </si>
  <si>
    <t xml:space="preserve">PENJEPIT ROTI 9INCH PR8 </t>
  </si>
  <si>
    <t xml:space="preserve">PENJEPIT ROTI 12INCH PR9 </t>
  </si>
  <si>
    <t xml:space="preserve">RUMPUT IMPORT 12S BU269 </t>
  </si>
  <si>
    <t xml:space="preserve">TOPPER HB LOL SET6 TT9 </t>
  </si>
  <si>
    <t xml:space="preserve">TOPPER PENGANTIN BARAT SET2 TT62 </t>
  </si>
  <si>
    <t xml:space="preserve">TOPPER PENGANTIN HIJAB SET2 TT59 </t>
  </si>
  <si>
    <t xml:space="preserve">TOPPER PENGANTIN SILUET SET2 TT65 </t>
  </si>
  <si>
    <t xml:space="preserve">TOPPER SQUID GAME SET6 TT1 </t>
  </si>
  <si>
    <t xml:space="preserve">TOPPER HB COCOMELON SET6 TT13 </t>
  </si>
  <si>
    <t xml:space="preserve">TUSUK HB BINGKAI MAHKOTA PITA TSC27HT </t>
  </si>
  <si>
    <t xml:space="preserve">JEPITAN ROTI 11 INCH JP001 </t>
  </si>
  <si>
    <t xml:space="preserve">JEPITAN ROTI 9 INCH JP002 </t>
  </si>
  <si>
    <t xml:space="preserve">JEPITAN ROTI 9 INCH JP003 </t>
  </si>
  <si>
    <t xml:space="preserve">JEPITAN ROTI 11 INCH JP004 </t>
  </si>
  <si>
    <t xml:space="preserve">CARRIAGE LOVE CCS75 </t>
  </si>
  <si>
    <t xml:space="preserve">SENDOK MADU KAYU RAMIN KK20 </t>
  </si>
  <si>
    <t xml:space="preserve">CETAKAN TANGKAI MOTIF PERSEGI KL16 </t>
  </si>
  <si>
    <t xml:space="preserve">SUTIL PUKIS KL28 </t>
  </si>
  <si>
    <t xml:space="preserve">CETAKAN TANGKAI MOTIF BUNGA KL20 </t>
  </si>
  <si>
    <t xml:space="preserve">CETAKAN TANGKAI MOTIF HATI KL17 </t>
  </si>
  <si>
    <t xml:space="preserve">THERMOMETER DIGITAL FOOD DCT119 </t>
  </si>
  <si>
    <t xml:space="preserve">GUNTING DEKORASI DCT104 </t>
  </si>
  <si>
    <t xml:space="preserve">LOY CHSCAKE OVAL GOLD 22,2X10.8X5,8CM LCC0001 </t>
  </si>
  <si>
    <t xml:space="preserve">BOTOL KUAS PREM TOL0019 </t>
  </si>
  <si>
    <t xml:space="preserve">SARUNG TANGAN SILICONE SAR000 </t>
  </si>
  <si>
    <t xml:space="preserve">LISSE LOY PRSEGI RENDH S 22X17X2,5CM LPS0004 </t>
  </si>
  <si>
    <t xml:space="preserve">LISSE LOY MOTIF GOLD 6CUP L6C0004 </t>
  </si>
  <si>
    <t xml:space="preserve">LISSE LOY KERANG GOLD 12CUP L120015 </t>
  </si>
  <si>
    <t xml:space="preserve">LISSE LOY P TINGGI 28X22.9X6.2CM LPS0002 </t>
  </si>
  <si>
    <t xml:space="preserve">PEGANGAN SILICONE ANTI PANAS TOL0006 </t>
  </si>
  <si>
    <t xml:space="preserve">CET MTF BARONGSAI 50GR CTD0074 </t>
  </si>
  <si>
    <t xml:space="preserve">CELEMEK BIRU CEL0001 LISSE </t>
  </si>
  <si>
    <t xml:space="preserve">SHAKER COCKTAIL 530CC SHA0002 </t>
  </si>
  <si>
    <t xml:space="preserve">PAN RSGOLD DEEP SQUARE  LPS0028 LISSE </t>
  </si>
  <si>
    <t xml:space="preserve">COLLINGRAK LOVE ROSEGOLD CRH0009 </t>
  </si>
  <si>
    <t>PAN BSR GOLD  LISSE LOAF  27,5X9,5X6CM LLP0006</t>
  </si>
  <si>
    <t xml:space="preserve">OVEN TRAY 13 LPS0029 LISSE </t>
  </si>
  <si>
    <t xml:space="preserve">WHISK KNG BSR 32,5CM WHK0001 LISSE </t>
  </si>
  <si>
    <t xml:space="preserve">WHISK KNG 26CM WHK0002 LISSE </t>
  </si>
  <si>
    <t xml:space="preserve">LISSE BUNDT PAN JUBILE OVAL BUN0017 </t>
  </si>
  <si>
    <t xml:space="preserve">SCRAPPER SILICONE PREM SCR0011 </t>
  </si>
  <si>
    <t>LOY MACARONE BLT TOSCA LMC0004 LISSE  30CUP</t>
  </si>
  <si>
    <t xml:space="preserve">COLLINGRAK BSR GOLD 42,7X27,6CM CRH0006 </t>
  </si>
  <si>
    <t xml:space="preserve">LOY MADELINE 12CUP 35X26 L120014 LISSE </t>
  </si>
  <si>
    <t xml:space="preserve">BOTOL KUAS MINYAK PREM TOL0007 </t>
  </si>
  <si>
    <t xml:space="preserve">ISOLASI PLASTIK KARAKTER SLS1A </t>
  </si>
  <si>
    <t xml:space="preserve">ISOLASI PLASTIK BUAH MIX SLS2A </t>
  </si>
  <si>
    <t xml:space="preserve">ISOLASI PLASTIK D 4,5 SLS3 </t>
  </si>
  <si>
    <t xml:space="preserve">MATRAS OVEN 30X21CM MO2 </t>
  </si>
  <si>
    <t xml:space="preserve">BUN PAN CHARLOTTE 24CM BUN0022 </t>
  </si>
  <si>
    <t xml:space="preserve">LOY RUGBY GOLD 12CUP L120016 LISSE </t>
  </si>
  <si>
    <t xml:space="preserve">SILICONE RUSSIAN TALE 6CUP CES0081 </t>
  </si>
  <si>
    <t>KUKUSAN 50X100</t>
  </si>
  <si>
    <t xml:space="preserve">AMPIA YAMAKAWA  </t>
  </si>
  <si>
    <t xml:space="preserve">WHISK 16INCH 16120-4 </t>
  </si>
  <si>
    <t xml:space="preserve">HANDLE OVAL POLOS 20X26 </t>
  </si>
  <si>
    <t xml:space="preserve">HIASAN BULAT SET 4 GOLD HBT1G </t>
  </si>
  <si>
    <t xml:space="preserve">SENDOK TAKAR SET 4 ST17 </t>
  </si>
  <si>
    <t xml:space="preserve">PLASTIK B BUNGA PLS2-1 </t>
  </si>
  <si>
    <t xml:space="preserve">PLASTIK B TANGKAI MAWAR PLS2-4 </t>
  </si>
  <si>
    <t xml:space="preserve">PLASTIK BUNGA MM PT B PLS9B </t>
  </si>
  <si>
    <t xml:space="preserve">PLASTIK BUNGA MM PT K PLS9K </t>
  </si>
  <si>
    <t xml:space="preserve">PLASTIK BUNGA MM PT T PLS9T </t>
  </si>
  <si>
    <t xml:space="preserve">KUAS SILICONE YH635 </t>
  </si>
  <si>
    <t xml:space="preserve">KUAS SILICONE YH636 </t>
  </si>
  <si>
    <t xml:space="preserve">PLASTIK BUNGA TG PLS16T </t>
  </si>
  <si>
    <t xml:space="preserve">PLASTIK COOKIES KCL CERRY PLS4G </t>
  </si>
  <si>
    <t xml:space="preserve">PLASTIK BUNGA K PLS16K </t>
  </si>
  <si>
    <t xml:space="preserve">LILIN RAINBOW YH416L </t>
  </si>
  <si>
    <t xml:space="preserve">PLASTIK PUTIH PLS12-1 </t>
  </si>
  <si>
    <t xml:space="preserve">PLASTIK PINK PLS12-2 </t>
  </si>
  <si>
    <t xml:space="preserve">PLASTIK KUNING PLS12-3 </t>
  </si>
  <si>
    <t xml:space="preserve">PLASTIK BUNGA 10X13.5CM PLS16B </t>
  </si>
  <si>
    <t xml:space="preserve">PLASTIK B STRAW PINK PLS1-4 </t>
  </si>
  <si>
    <t xml:space="preserve">PENGUPAS MATA NANAS PN1 </t>
  </si>
  <si>
    <t xml:space="preserve">BAKING CLOTH 45X77CM BIC1 </t>
  </si>
  <si>
    <t xml:space="preserve">PLASTIK B TEKO+KUE PLS2-3 </t>
  </si>
  <si>
    <t xml:space="preserve">MEJA STAINLESS B POLOS MJP11 </t>
  </si>
  <si>
    <t xml:space="preserve">SKRAP JUMBO GG KAYU BM-16  </t>
  </si>
  <si>
    <t xml:space="preserve">PARUTAN KEJU BESAR LU-47 </t>
  </si>
  <si>
    <t xml:space="preserve">MIKA MMPG 3X </t>
  </si>
  <si>
    <t xml:space="preserve">KUPU-KUPU KUNING KPT9A </t>
  </si>
  <si>
    <t xml:space="preserve">KUPU-KUPU BIRU KPT9G </t>
  </si>
  <si>
    <t xml:space="preserve">KUPU-KUPU UNGU KPT9E </t>
  </si>
  <si>
    <t xml:space="preserve">KUPU UNGU KCL KPT14E </t>
  </si>
  <si>
    <t xml:space="preserve">AKRILIK HITAM TA140HT </t>
  </si>
  <si>
    <t xml:space="preserve">TEGAK EMAS TA119A </t>
  </si>
  <si>
    <t xml:space="preserve">TEGAK HITAM TA119HT </t>
  </si>
  <si>
    <t xml:space="preserve">AKRILIK PINK TA140H </t>
  </si>
  <si>
    <t xml:space="preserve">HIASAN BULAT SILVER HBT5S </t>
  </si>
  <si>
    <t xml:space="preserve">HIASAN BULAT EMAS HBT6A </t>
  </si>
  <si>
    <t xml:space="preserve">HIASAN BLT SILVER SET10 HBT6S </t>
  </si>
  <si>
    <t xml:space="preserve">KUPU PUTIH MOTIF KPT14K </t>
  </si>
  <si>
    <t xml:space="preserve">KUPU UNGU KPT13-E1 </t>
  </si>
  <si>
    <t xml:space="preserve">KUPU PINK KPT14H </t>
  </si>
  <si>
    <t xml:space="preserve">BLT SILVER SET10 HBT7S </t>
  </si>
  <si>
    <t xml:space="preserve">KUPU UNGU MUDA KPT3E </t>
  </si>
  <si>
    <t xml:space="preserve">AKR HB EMAS TA140A </t>
  </si>
  <si>
    <t xml:space="preserve">KUPU HIJAU KPT14D </t>
  </si>
  <si>
    <t xml:space="preserve">KUPU UNGU TUA GLITER KPT13-E3 </t>
  </si>
  <si>
    <t xml:space="preserve">GLITER UNGU KPT13-E2 </t>
  </si>
  <si>
    <t xml:space="preserve">KUPU PINK KPT9H </t>
  </si>
  <si>
    <t xml:space="preserve">BLT EMAS 10 HBT7A </t>
  </si>
  <si>
    <t xml:space="preserve">AKR HB SILVER TA140S </t>
  </si>
  <si>
    <t xml:space="preserve">CET AGAR BOBA LARGE LLCP0068 </t>
  </si>
  <si>
    <t xml:space="preserve">CET AGAR BAVAYA LARGE LLCP0027 </t>
  </si>
  <si>
    <t xml:space="preserve">CET AGAR GRANDIA MINI LLCP0032 </t>
  </si>
  <si>
    <t xml:space="preserve">CET AGAR LEXTRA MINI LLCP0029 </t>
  </si>
  <si>
    <t xml:space="preserve">CET AGAR TWIST MINI LLCP0033 </t>
  </si>
  <si>
    <t xml:space="preserve">CET AGAR BUBBLE MINI LLCP0034 </t>
  </si>
  <si>
    <t xml:space="preserve">CET AGAR VARDA MINI LLCP0035 </t>
  </si>
  <si>
    <t xml:space="preserve">CET AGAR PREMIO MINI LLCP0030 </t>
  </si>
  <si>
    <t xml:space="preserve">CET AGAR BAVAYA MINI LLCP0028 </t>
  </si>
  <si>
    <t xml:space="preserve">CET AGAR CLASSIC MINI LLCP0031 </t>
  </si>
  <si>
    <t xml:space="preserve">HAPPY WEDDING RAINB 5S TI69C </t>
  </si>
  <si>
    <t xml:space="preserve">STICKER TY BULAT HITAM K F-112 </t>
  </si>
  <si>
    <t xml:space="preserve">STICKER TY BULAT LASER K F-113 </t>
  </si>
  <si>
    <t xml:space="preserve">STICKER TY SEGI KRAFT C-0201 </t>
  </si>
  <si>
    <t xml:space="preserve">STICKER TY BUNGA PUTIH K F-115 </t>
  </si>
  <si>
    <t xml:space="preserve">STICKER TY BULAT KRAFT A F-101 </t>
  </si>
  <si>
    <t xml:space="preserve">STICKER TY BULAT KRAFT B F-102 </t>
  </si>
  <si>
    <t xml:space="preserve">STICKER TY BULAT KRAFT C F-103 </t>
  </si>
  <si>
    <t xml:space="preserve">STICKER HANDMADE WITH LOVE B C-204 </t>
  </si>
  <si>
    <t xml:space="preserve">STICKER TY BUNGA MIX B C-205 </t>
  </si>
  <si>
    <t xml:space="preserve">STICKER TY BUNGA A281-25 </t>
  </si>
  <si>
    <t xml:space="preserve">STICKER TY BULAT MOTIF MIX K F-114 </t>
  </si>
  <si>
    <t xml:space="preserve">STICKER TY LOVE TU-25 </t>
  </si>
  <si>
    <t xml:space="preserve">CET AGAR SAKURA MINI LLCP0071 </t>
  </si>
  <si>
    <t xml:space="preserve">LILIN ANGKA 4 EMOT CA1190-4 </t>
  </si>
  <si>
    <t xml:space="preserve">SCRAPPER STAINLES SCR1 </t>
  </si>
  <si>
    <t xml:space="preserve">CAKE RING 7CM CRL06A </t>
  </si>
  <si>
    <t xml:space="preserve">CAKE RING 8CM CRL06B </t>
  </si>
  <si>
    <t xml:space="preserve">CAKE RING 9CM CRL06C </t>
  </si>
  <si>
    <t xml:space="preserve">SCRAPPER STAINLES 15CM GG SILICON SCR3 </t>
  </si>
  <si>
    <t xml:space="preserve">CAKE PAN CRYSTAL DCP08 </t>
  </si>
  <si>
    <t xml:space="preserve">CAKE FUNNEL CF2 </t>
  </si>
  <si>
    <t xml:space="preserve">MATRAS SILICONE 63X66CM CM2 </t>
  </si>
  <si>
    <t xml:space="preserve">SOLET SILICON TRANSPARAN B 28CM YH599 </t>
  </si>
  <si>
    <t xml:space="preserve">STICKER TY BUNGA PERSEGI A381 </t>
  </si>
  <si>
    <t xml:space="preserve">CET AGAR ROYAL MINI LLCP0073 </t>
  </si>
  <si>
    <t xml:space="preserve">CET AGAR DIAMOND MINI LLCP0074 </t>
  </si>
  <si>
    <t xml:space="preserve">CET AGAR SPIN MINI LLCP0075 </t>
  </si>
  <si>
    <t xml:space="preserve">CET AGAR HAZEL MINI LLCP0076 </t>
  </si>
  <si>
    <t xml:space="preserve">TOPPER TAYO SET6 TT43 </t>
  </si>
  <si>
    <t xml:space="preserve">LILIN RAINBOW SET8 YH396-1 </t>
  </si>
  <si>
    <t xml:space="preserve">TOPPER PENGANTIN HIJAB 1 TT58 </t>
  </si>
  <si>
    <t xml:space="preserve">PENGANTIN HIJAB 3 TT64 </t>
  </si>
  <si>
    <t xml:space="preserve">TOPPER FROZEN 3 TT57 </t>
  </si>
  <si>
    <t xml:space="preserve">TOPPER PANGERAN+ISTANA TT12 </t>
  </si>
  <si>
    <t xml:space="preserve">TOPPER BATMAN 3 TT56 </t>
  </si>
  <si>
    <t xml:space="preserve">KUPU PINK KPT3H </t>
  </si>
  <si>
    <t xml:space="preserve">LOL 1S LI62 </t>
  </si>
  <si>
    <t xml:space="preserve">SENDOK SKRAP STAIN GERIGI SL10 </t>
  </si>
  <si>
    <t xml:space="preserve">SANRIO SET8 CI7 </t>
  </si>
  <si>
    <t xml:space="preserve">DINOSAURUS SET12 DI17 </t>
  </si>
  <si>
    <t xml:space="preserve">PAPER TRAY KRAFT RECTANGLE 50S CFH-01 </t>
  </si>
  <si>
    <t xml:space="preserve">PAPER TRAY WHITE RECTANGLE 50S CFH-01 </t>
  </si>
  <si>
    <t xml:space="preserve">PAPER TRAY KRAFT SQUARE 50S ZFH-01 </t>
  </si>
  <si>
    <t xml:space="preserve">PAPER TRAY WHITE SQUARE 50S ZFH-01 </t>
  </si>
  <si>
    <t xml:space="preserve">TUL HB BUNGA BWH GOLD 6S TI250A </t>
  </si>
  <si>
    <t xml:space="preserve">CELEMEK PLASTIK KARAKTER CPK01 </t>
  </si>
  <si>
    <t xml:space="preserve">CELEMEK KAIN MOTIF GARIS CKMG01 </t>
  </si>
  <si>
    <t xml:space="preserve">CELEMEK MOTIF KELINCI CMK02 </t>
  </si>
  <si>
    <t xml:space="preserve">CELEMEK KATUN BARISTA CKB05 </t>
  </si>
  <si>
    <t xml:space="preserve">CELEMEK KANVAS BARISTA PREMIUM CKBP04 </t>
  </si>
  <si>
    <t xml:space="preserve">SARUNG TANGAN OVEN SILIKON 05 SS05 </t>
  </si>
  <si>
    <t xml:space="preserve">TUL HB AWAN JUMBO UNGU 6S TI249E </t>
  </si>
  <si>
    <t xml:space="preserve">TUL HB JUMBO TOPI HIJAU 6S TI255D </t>
  </si>
  <si>
    <t xml:space="preserve">TUL HB AWAN JUMBO RAINBOW 6S TI249C </t>
  </si>
  <si>
    <t xml:space="preserve">TUL HB OVAL JUMBO UNGU 6S TI252E </t>
  </si>
  <si>
    <t xml:space="preserve">LILIN EMAS ANGKA 9 YH372-9A </t>
  </si>
  <si>
    <t xml:space="preserve">LILIN MERAH ANGKA 9 YH372-9B </t>
  </si>
  <si>
    <t xml:space="preserve">LILIN SILVER ANGKA 9 YH372-9S </t>
  </si>
  <si>
    <t xml:space="preserve">LILIN EMAS ANGKA 4 YH372-4A </t>
  </si>
  <si>
    <t xml:space="preserve">LILIN EMAS ANGKA 2 YH372-2A </t>
  </si>
  <si>
    <t xml:space="preserve">LILIN EMAS ANGKA 5 YH372-5A </t>
  </si>
  <si>
    <t xml:space="preserve">LILIN EMAS ANGKA 8 YH372-8A </t>
  </si>
  <si>
    <t xml:space="preserve">LILIN EMAS ANGKA 6 YH372-6A </t>
  </si>
  <si>
    <t xml:space="preserve">LILIN EMAS ANGKA 3 YH372-3A </t>
  </si>
  <si>
    <t xml:space="preserve">CLAY PELANGI B BINTANG YCL2D </t>
  </si>
  <si>
    <t xml:space="preserve">LILIN EMAS ANGKA 7 YH372-7A </t>
  </si>
  <si>
    <t xml:space="preserve">CLAY PELANGI B HATI YCL2C </t>
  </si>
  <si>
    <t xml:space="preserve">LILIN EMAS ANGKA 1 YH372-1A </t>
  </si>
  <si>
    <t xml:space="preserve">CLAY PELANGI B AWAN YCL2B </t>
  </si>
  <si>
    <t xml:space="preserve">LILIN HATI GOLD HX-019A </t>
  </si>
  <si>
    <t xml:space="preserve">LILIN WARNA SET6 YH394B </t>
  </si>
  <si>
    <t xml:space="preserve">CLAY PELANGI B AWAN 3 YCL2A </t>
  </si>
  <si>
    <t xml:space="preserve">WOOD SPOON 11CM 50S WS1-11 </t>
  </si>
  <si>
    <t xml:space="preserve">LILIN HATI HX-019I </t>
  </si>
  <si>
    <t xml:space="preserve">LILIN HATI BIRU HX-019G </t>
  </si>
  <si>
    <t xml:space="preserve">LILIN HATI UNGU HX-019E </t>
  </si>
  <si>
    <t xml:space="preserve">LILIN HATI MERAH HX-019B </t>
  </si>
  <si>
    <t xml:space="preserve">LILIN HATI SILVER HX-019S </t>
  </si>
  <si>
    <t xml:space="preserve">LILIN TWIST UNGU MUDA YH361-1H </t>
  </si>
  <si>
    <t xml:space="preserve">LILIN TWIST SILVER YH361-1S </t>
  </si>
  <si>
    <t xml:space="preserve">TUL HB JUMBO TOPI RAINBOW 6S TI255C </t>
  </si>
  <si>
    <t xml:space="preserve">TUL HB OVAL DOUBLE UNGU 6S TI254E </t>
  </si>
  <si>
    <t xml:space="preserve">TUL HB JUMBO KTK EMAS 6S TI253A </t>
  </si>
  <si>
    <t xml:space="preserve">TUL HB OVAL JUMBO EMAS 6S TI252A </t>
  </si>
  <si>
    <t xml:space="preserve">TUL HB JUMBO LILIN UNGU 6S TI256E </t>
  </si>
  <si>
    <t xml:space="preserve">SILPAT SILICONE 30X21CM CM8-1 </t>
  </si>
  <si>
    <t xml:space="preserve">SILPAT MACARON 30X40CM CM9 </t>
  </si>
  <si>
    <t xml:space="preserve">GARPU KAYU 100S WS2-16A </t>
  </si>
  <si>
    <t xml:space="preserve">SENDOK KAYU 100S WS2-16B </t>
  </si>
  <si>
    <t xml:space="preserve">TUL HB JMB BUNGA RAINB 6S TI251C </t>
  </si>
  <si>
    <t xml:space="preserve">TUL HB OVAL JMB BIRU 6S TI252G </t>
  </si>
  <si>
    <t xml:space="preserve">TUL HB JMB KTK UNGU 6S TI253E </t>
  </si>
  <si>
    <t xml:space="preserve">TUL HB OVAL DOUBLE BIRU 6S TI254G </t>
  </si>
  <si>
    <t xml:space="preserve">TUL HB JMB LILIN BIRU 6S TI256G </t>
  </si>
  <si>
    <t xml:space="preserve">TUL HB JMB KTK RAINB 6S TI253C </t>
  </si>
  <si>
    <t xml:space="preserve">TUL HB JUMBO KTK BIRU 6S TI253G </t>
  </si>
  <si>
    <t xml:space="preserve">TUL HB BUNGA BWH RAINBOW 6S TI250C </t>
  </si>
  <si>
    <t xml:space="preserve">TUL HB OVAL JUMBO MERAH 6S TI252B </t>
  </si>
  <si>
    <t xml:space="preserve">TUL HB OVAL JUMBO RAINBOW 6S TI252C </t>
  </si>
  <si>
    <t xml:space="preserve">TUL HB JUMBO BUNGA BIRU 6S TI251G </t>
  </si>
  <si>
    <t xml:space="preserve">SARUNG TANGAN OVEN MTF SILICON SS02 </t>
  </si>
  <si>
    <t xml:space="preserve">TUL HB JMB LILIN MRH 5S TI256B </t>
  </si>
  <si>
    <t xml:space="preserve">TUL HB AWAN JMB MRH 5S TI249B </t>
  </si>
  <si>
    <t xml:space="preserve">TUL HB BYNGA BWH MRH 5S TI250B </t>
  </si>
  <si>
    <t xml:space="preserve">TUL HB BUNGA BWH UNGU 5S TI250E </t>
  </si>
  <si>
    <t xml:space="preserve">TUL HB AWAN JMB BIRU 5S TI249G </t>
  </si>
  <si>
    <t xml:space="preserve">TUL HB BUNGA BWH BIRU 5S TI250G </t>
  </si>
  <si>
    <t xml:space="preserve">TUL HB JMB TOPI EMAS 5S TI255A </t>
  </si>
  <si>
    <t xml:space="preserve">TUL HB OVAL DOUBLE MRH 6S TI254B </t>
  </si>
  <si>
    <t xml:space="preserve">TUL HB OVAL DOUBLE GOLD 5S TI254A </t>
  </si>
  <si>
    <t xml:space="preserve">SOLET GG KAYU SL28-1 </t>
  </si>
  <si>
    <t xml:space="preserve">SPATULA SILICON SMALL YH465 </t>
  </si>
  <si>
    <t xml:space="preserve">ALAS TATAKAN PANCI ATP02 </t>
  </si>
  <si>
    <t xml:space="preserve">TUL HB JMB KTK MRH 5S TI253B </t>
  </si>
  <si>
    <t xml:space="preserve">TUL HB JMB TOPI UNGU 5S TI255E </t>
  </si>
  <si>
    <t xml:space="preserve">TUL HB JUMBO LILIN EMAS 5S TI256A </t>
  </si>
  <si>
    <t xml:space="preserve">TUL HB JUMBO BUNGA GOLD 5S TI251A </t>
  </si>
  <si>
    <t xml:space="preserve">TUL HB JUMBO BUNGA UNGU 5S TI251E </t>
  </si>
  <si>
    <t xml:space="preserve">TUL HB JUMBO BUNGA HJ 5S TI251D </t>
  </si>
  <si>
    <t xml:space="preserve">TUL HB OVAL DOUBLE RAINBOW 6S TI254C </t>
  </si>
  <si>
    <t xml:space="preserve">TUL HB JUMBO BUNGA MERAH 6S TI251B </t>
  </si>
  <si>
    <t xml:space="preserve">TUL HB AWAN JUMBO EMAS 5S TI249A </t>
  </si>
  <si>
    <t xml:space="preserve">TUL HB JUMBO TOPI BIRU 6S TI255G </t>
  </si>
  <si>
    <t xml:space="preserve">TOPPER HB DINASAURUS TPK227 </t>
  </si>
  <si>
    <t xml:space="preserve">TOPPER HB HELLO KITTY TPK226 </t>
  </si>
  <si>
    <t xml:space="preserve">TOPPER HB HK MELODI MERAH TPK231 </t>
  </si>
  <si>
    <t xml:space="preserve">FROZEN SET 3 PUTRI SS-00170 </t>
  </si>
  <si>
    <t xml:space="preserve">HS BULAT EMAS SET 20 HBT5A </t>
  </si>
  <si>
    <t xml:space="preserve">BULAT MM STABILLO SET 10 HBT9H2 HS </t>
  </si>
  <si>
    <t xml:space="preserve">BULAT MERAH SET 20 HBT5B HS </t>
  </si>
  <si>
    <t xml:space="preserve">GIRL KUCING TIDUR LL-0002 </t>
  </si>
  <si>
    <t xml:space="preserve">BABY BOY SAYAP LL-0008-G </t>
  </si>
  <si>
    <t xml:space="preserve">BABY GIRL SAYAP LL-0008-H </t>
  </si>
  <si>
    <t xml:space="preserve">ANIMAL SET 4 PLASTIK AI4P </t>
  </si>
  <si>
    <t xml:space="preserve">BULAT SILVER SET 10 HBT9S HS </t>
  </si>
  <si>
    <t xml:space="preserve">HS TSK BINTANG HB EMAS TSC20BA </t>
  </si>
  <si>
    <t xml:space="preserve">HS TSK HATI HB SILVER TSC34S </t>
  </si>
  <si>
    <t xml:space="preserve">HS TSK BINTANG HB SILVER TSC20BS </t>
  </si>
  <si>
    <t xml:space="preserve">HS TSK HATI HB EMAS TSC34A </t>
  </si>
  <si>
    <t xml:space="preserve">HS TSK BINTANG HB BIRU TSC20BG </t>
  </si>
  <si>
    <t xml:space="preserve">BULAT EMAS SET 10 HBT8A HS </t>
  </si>
  <si>
    <t xml:space="preserve">BULAT PINK SET 10 HBT8H HS </t>
  </si>
  <si>
    <t xml:space="preserve">BULAT SILVER SET 10 HBT8S HS </t>
  </si>
  <si>
    <t xml:space="preserve">SPONGEBOB SET 6 SS-666-366 </t>
  </si>
  <si>
    <t xml:space="preserve">MERMAID SET 4 LL-0014 </t>
  </si>
  <si>
    <t xml:space="preserve">STICKER TY NEW C-210 </t>
  </si>
  <si>
    <t xml:space="preserve">STICKER TY MIX WARNA WARNI C-222 </t>
  </si>
  <si>
    <t xml:space="preserve">STICKER TY LABEL BIRD A-57 </t>
  </si>
  <si>
    <t xml:space="preserve">RING CUTTER SET 3 PL 1 </t>
  </si>
  <si>
    <t xml:space="preserve">CINNAMON ROLL DKK SET5 CI7B </t>
  </si>
  <si>
    <t xml:space="preserve">MATRAS SILICON 70X70CM CM8-2 </t>
  </si>
  <si>
    <t xml:space="preserve">PLASTIK B BONJOW OR PLS1-2 </t>
  </si>
  <si>
    <t xml:space="preserve">SCRAPER BUSUR GELOMBANG YGI-0001-A </t>
  </si>
  <si>
    <t xml:space="preserve">TOPPER KELINCI BALET 5S TKS-0102-B </t>
  </si>
  <si>
    <t xml:space="preserve">TOPPER HATI PINK 7S TKS-0065-H </t>
  </si>
  <si>
    <t xml:space="preserve">TOPPER KUROMI HITAM 10S TKS-0103-1A </t>
  </si>
  <si>
    <t xml:space="preserve">TOPPER CINNAMON ROLL 35S TKS-0101-HB5 </t>
  </si>
  <si>
    <t xml:space="preserve">TOPPER KUROMI HB PITA 3S TKS-0103-HB2 </t>
  </si>
  <si>
    <t xml:space="preserve">TOPPER KUROMI SEDOTAN 6S TKS-0103-6HT </t>
  </si>
  <si>
    <t xml:space="preserve">TOPPER BINTANG EMAS 7S TKS-0063-A </t>
  </si>
  <si>
    <t xml:space="preserve">TOPPER HB PUTIH CINAMON ROLL 5S TKS-0101-HB2 </t>
  </si>
  <si>
    <t xml:space="preserve">SCRAPER BUSUR GELOMBANG YGI-0001-B </t>
  </si>
  <si>
    <t xml:space="preserve">TOPPER KERTAS ANIMALS 7S TKS-0052 </t>
  </si>
  <si>
    <t xml:space="preserve">TOPPER KERTAS MOBIL KEAMANAN 5S TKS-0055 </t>
  </si>
  <si>
    <t xml:space="preserve">TOPPER KERTAS ANIMALS+POHON 10S TKS-0057 </t>
  </si>
  <si>
    <t xml:space="preserve">TOPPER KERTAS ANIMALS 7S TKS-0058 </t>
  </si>
  <si>
    <t xml:space="preserve">HAPPY WEDDING RED 5S TI69B </t>
  </si>
  <si>
    <t xml:space="preserve">HATI EMAS 7S TKS-0060-A HB </t>
  </si>
  <si>
    <t xml:space="preserve">TOPPER DAUN MELINGKAR PINK TKS-0098-H </t>
  </si>
  <si>
    <t xml:space="preserve">TOPPER DAUN MELINGKAR TOSCA TKS-0098-DI </t>
  </si>
  <si>
    <t xml:space="preserve">TOPPER DAUN MELINGKAR EMAS TKS-0098-A </t>
  </si>
  <si>
    <t xml:space="preserve">TUL AKRILIK HB BULAT DOUBLE 10S TA25 </t>
  </si>
  <si>
    <t xml:space="preserve">HATI PINK 7S TKS-0060-H HB </t>
  </si>
  <si>
    <t xml:space="preserve">TOPPER KELINCI 3S TKS-0102-3 </t>
  </si>
  <si>
    <t xml:space="preserve">TOPPER HB RAINBOW CINAMON ROLL TKS-0101-HB1 </t>
  </si>
  <si>
    <t xml:space="preserve">TOPPER CINAMON ROLL SEDOTAN 10S TKS-0101-1D </t>
  </si>
  <si>
    <t xml:space="preserve">TOPPER CINAMON ROLL BLT TUSUK 5S TKS-0101-3A </t>
  </si>
  <si>
    <t xml:space="preserve">TOPPER KUROMI ROK HITAM 10S TKS-0103-IC </t>
  </si>
  <si>
    <t xml:space="preserve">TOPPER KUROMI UNGU 10S TKS-0103-1B </t>
  </si>
  <si>
    <t xml:space="preserve">TOPPER KUROMI PITA BIRU 10S TKS-0103-1G </t>
  </si>
  <si>
    <t xml:space="preserve">TOPPER KUROMI BULAT 10S TKS-0103-1F </t>
  </si>
  <si>
    <t xml:space="preserve">TOPPER KERTAS TUSUK HBD 5S TKS-0105-4 </t>
  </si>
  <si>
    <t xml:space="preserve">TOPPER KERTAS TUSUK HBD 5S TKS-0105-1 </t>
  </si>
  <si>
    <t xml:space="preserve">TOPPER KERTAS TUSUK HBD 5S TKS-0105-2 </t>
  </si>
  <si>
    <t xml:space="preserve">ACR HB PINK PASTEL 10S TA140H2 </t>
  </si>
  <si>
    <t xml:space="preserve">SCRAPER BUSUR GG PLASTIK YGI-0002-A </t>
  </si>
  <si>
    <t xml:space="preserve">COOKIES KCL HELLOKITTY PLS3-7 </t>
  </si>
  <si>
    <t xml:space="preserve">MIKA BENTO+TTP 14X14X5CM MKB1414-5PT </t>
  </si>
  <si>
    <t xml:space="preserve">MIKA BENTO+TTP 18X18X6,5CM MKB1818-6,5PT </t>
  </si>
  <si>
    <t xml:space="preserve">MIKA BENTO+TTP 18X18X6,5CM MKB1818-6,5H </t>
  </si>
  <si>
    <t xml:space="preserve">SARINGAN TEPUNG STAINLES SET 6 TRX1 </t>
  </si>
  <si>
    <t xml:space="preserve">CET AGAR BAVAYA MINI 6S LLCP0028 </t>
  </si>
  <si>
    <t xml:space="preserve">CET AGAR BUBBLE MINI 6S LLCP0034 </t>
  </si>
  <si>
    <t xml:space="preserve">CET AGAR CLASSIC MINI 6S LLCP0031 </t>
  </si>
  <si>
    <t xml:space="preserve">CET AGAR DIAMOND MINI 6S LLCP0074 </t>
  </si>
  <si>
    <t xml:space="preserve">CET AGAR GRANDIA MINI 6S LLCP0032 </t>
  </si>
  <si>
    <t xml:space="preserve">CET AGAR HAZEL MINI 6S LLCP0076 </t>
  </si>
  <si>
    <t xml:space="preserve">CET AGAR PREMIO MINI 6S LLCP0030 </t>
  </si>
  <si>
    <t xml:space="preserve">CET AGAR ROYAL MINI 6S LLCP0073 </t>
  </si>
  <si>
    <t xml:space="preserve">CET AGAR SAKURA MINI 6S LLCP0071 </t>
  </si>
  <si>
    <t xml:space="preserve">CET AGAR SPIN MINI 6S LLCP0075 </t>
  </si>
  <si>
    <t xml:space="preserve">CET AGAR TWIST MINI 6S LLCP0033 </t>
  </si>
  <si>
    <t xml:space="preserve">CET AGAR VARDA MINI 6S LLCP0035 </t>
  </si>
  <si>
    <t xml:space="preserve">HURUF DOUBLE SILIKON JSC1884 </t>
  </si>
  <si>
    <t xml:space="preserve">PISAU GG KAYU 11.5X12.5CM LS11-1A </t>
  </si>
  <si>
    <t xml:space="preserve">TOPPER HB ANIMAL TPK246 </t>
  </si>
  <si>
    <t xml:space="preserve">AKRILIK PENGANTIN PELUKAN EMAS TA175A </t>
  </si>
  <si>
    <t xml:space="preserve">AKRILIK PENGANTIN+CINCIN EMAS TA178A </t>
  </si>
  <si>
    <t xml:space="preserve">AKRILIK PENGANTIN DANSA EMAS TA179A </t>
  </si>
  <si>
    <t xml:space="preserve">STICKER TY BULAT B VC-27-38 </t>
  </si>
  <si>
    <t xml:space="preserve">CET AGAR MEDIUM JAMBRUD LLCP0083 </t>
  </si>
  <si>
    <t xml:space="preserve">CET AGAR MEDIUM SAPHIRE LLCP0084 </t>
  </si>
  <si>
    <t xml:space="preserve">CET AGAR LARGE SPINNER LLCP0086 </t>
  </si>
  <si>
    <t xml:space="preserve">SPATULA SET 2 LUXURY SPS0025 </t>
  </si>
  <si>
    <t xml:space="preserve">PANCI PENCAIR CKLT STAINLESS PAN0002 </t>
  </si>
  <si>
    <t xml:space="preserve">TORCH FLAME GUN HRC0003 </t>
  </si>
  <si>
    <t xml:space="preserve">PAN ALUMINIUM 15X9CM LLP0011 LOAF </t>
  </si>
  <si>
    <t xml:space="preserve">PAN ALUMINIUM 20X10CM LLP0010 LOAF </t>
  </si>
  <si>
    <t xml:space="preserve">MINI TOAST BOX TBX0003 LISSE </t>
  </si>
  <si>
    <t xml:space="preserve">PANCI PENCAIR CKLT GOLD PAN0007 </t>
  </si>
  <si>
    <t xml:space="preserve">CLASSIC LOAF PAN BUN0028 </t>
  </si>
  <si>
    <t xml:space="preserve">BUNDT PAN HONEY COMB BUN0033 </t>
  </si>
  <si>
    <t xml:space="preserve">MARISSA BUNDLETTE 6 CUP BUN0029 </t>
  </si>
  <si>
    <t xml:space="preserve">PIPET VLA PUDING 20S TOL0135 </t>
  </si>
  <si>
    <t xml:space="preserve">CET EGG TART FLOWER RED CTD0084 </t>
  </si>
  <si>
    <t xml:space="preserve">CET EGG TART OVAL CTD0085 </t>
  </si>
  <si>
    <t xml:space="preserve">CET EGG TART BULAT 3.7INC CTD0083 </t>
  </si>
  <si>
    <t xml:space="preserve">CET EGG TART BULAT 3INC CTD0082 </t>
  </si>
  <si>
    <t xml:space="preserve">CET EGG TART FLOWER CTD0059 </t>
  </si>
  <si>
    <t xml:space="preserve">EGG TART SHELL CTD0058 </t>
  </si>
  <si>
    <t xml:space="preserve">CUP SILICONE MELATI CUS0007 </t>
  </si>
  <si>
    <t xml:space="preserve">SARINGAN MIE BULAT 16CM STR0020 </t>
  </si>
  <si>
    <t xml:space="preserve">FUNNEL RAINBOW PLASTIK 5S FUN0003 </t>
  </si>
  <si>
    <t xml:space="preserve">CAN OPENER PUTAR TOL0139 </t>
  </si>
  <si>
    <t xml:space="preserve">BUNDT PAN ANNIVERSARY BUN0032 </t>
  </si>
  <si>
    <t xml:space="preserve">BUNDT PAN PYRAMID BUN0027 </t>
  </si>
  <si>
    <t xml:space="preserve">SARINGAN KOPI DRIP STAINLESS HRC0004 </t>
  </si>
  <si>
    <t xml:space="preserve">CAN OPENER TOL0021 </t>
  </si>
  <si>
    <t xml:space="preserve">SARINGAN KAIN GG PLASTIK TOL0070 </t>
  </si>
  <si>
    <t xml:space="preserve">CALL BELL BESAR TOL0115 </t>
  </si>
  <si>
    <t xml:space="preserve">CALL BELL KECIL TOL0114 </t>
  </si>
  <si>
    <t xml:space="preserve">CAPITAN NANAS TOL0145 </t>
  </si>
  <si>
    <t xml:space="preserve">PISAU PIZZA ROL KAPAK PIS0023 </t>
  </si>
  <si>
    <t xml:space="preserve">TOPPER LOVE YOU DAD TOT0018 </t>
  </si>
  <si>
    <t xml:space="preserve">JUICER PRESS MANUAL TOL0044 </t>
  </si>
  <si>
    <t xml:space="preserve">LOY PIE MINI PERSEGI DARK GREY LPE0008 </t>
  </si>
  <si>
    <t xml:space="preserve">FUNNEL SILICONE BESAR FUN0002 </t>
  </si>
  <si>
    <t xml:space="preserve">EGG SEPARATOR SS EGG0007 </t>
  </si>
  <si>
    <t xml:space="preserve">CUP SILICONE SUNFLOWER CUS0023 </t>
  </si>
  <si>
    <t xml:space="preserve">CUP SILICONE DAUN CUS0008 </t>
  </si>
  <si>
    <t xml:space="preserve">CUP SILICONE TULIP CUS0009 </t>
  </si>
  <si>
    <t xml:space="preserve">CUP SILICONE BULAT MTF CUS0006 </t>
  </si>
  <si>
    <t xml:space="preserve">CUP SILICONE BINTANG CUS0004 </t>
  </si>
  <si>
    <t xml:space="preserve">CUP SILICONE HATI CUS0003 </t>
  </si>
  <si>
    <t xml:space="preserve">CUP SILICONE BULAT CUS0001 </t>
  </si>
  <si>
    <t xml:space="preserve">CUP SILICONE SAKURA CUS0010 </t>
  </si>
  <si>
    <t xml:space="preserve">CUP SILICONE FLOWER PLUM CUS0016 </t>
  </si>
  <si>
    <t xml:space="preserve">CUP SILICONE LOTUS CUS0018 </t>
  </si>
  <si>
    <t xml:space="preserve">CUP SILICONE NEW ROSE CUS0020 </t>
  </si>
  <si>
    <t xml:space="preserve">CUP SILICONE MELATI MOTIF CUS0021 </t>
  </si>
  <si>
    <t xml:space="preserve">SIKAT SPUIT DEK0021 </t>
  </si>
  <si>
    <t xml:space="preserve">PALU MEAT TENDERLIZER TOL0132 </t>
  </si>
  <si>
    <t xml:space="preserve">CORN PEELER DONAT TOL0144 </t>
  </si>
  <si>
    <t xml:space="preserve">COOKIE CUTTER 3IN1 MTF CTD0028 </t>
  </si>
  <si>
    <t xml:space="preserve">EGG TART POLOS ALUMINIUM LBB0015 </t>
  </si>
  <si>
    <t xml:space="preserve">SPATULLA PIZZA GG KAYU 10.5X8.5CM SPT0025 </t>
  </si>
  <si>
    <t xml:space="preserve">SPATULLA PIZZA GG KAYU 11.5X10CM SPT0026 </t>
  </si>
  <si>
    <t xml:space="preserve">TOPPER EID MUBARAK TOS0001 </t>
  </si>
  <si>
    <t xml:space="preserve">BUNDT PAN GEO 6 CUP BUN0026 </t>
  </si>
  <si>
    <t xml:space="preserve">TATAKAN KTK GOLD 7.2X7CM 5S CUP0034 </t>
  </si>
  <si>
    <t xml:space="preserve">TATAKAN KTK GOLD 8.4X9CM 5S CUP0035 </t>
  </si>
  <si>
    <t xml:space="preserve">TATAKAN SEGI3 GOLD 11.5X6.4CM 5S CUP0032 </t>
  </si>
  <si>
    <t xml:space="preserve">TATAKAN SEGITIGA GOLD 11.8X7.8CM 5S CUP0033 </t>
  </si>
  <si>
    <t xml:space="preserve">TATAKAN BLT GOLD 8CM 5S CUP0030 </t>
  </si>
  <si>
    <t xml:space="preserve">TATAKAN BLT GOLD 9CM 5S CUP0031 </t>
  </si>
  <si>
    <t xml:space="preserve">KUAS BULU DOMBA S3 KBD0005 </t>
  </si>
  <si>
    <t xml:space="preserve">KUAS BULU DOMBA S5 KBD0007 </t>
  </si>
  <si>
    <t xml:space="preserve">CUP SILICONE SUNFLOWER 3S CUS0023 </t>
  </si>
  <si>
    <t xml:space="preserve">CUP SILICONE DAUN 3S CUS0008 </t>
  </si>
  <si>
    <t xml:space="preserve">CUP SILICONE TULIP 3S CUS0009 </t>
  </si>
  <si>
    <t xml:space="preserve">CUP SILICONE BULAT MTF 3S CUS0006 </t>
  </si>
  <si>
    <t xml:space="preserve">CUP SILICONE BINTANG 3S CUS0004 </t>
  </si>
  <si>
    <t xml:space="preserve">CUP SILICONE HATI 3S CUS0003 </t>
  </si>
  <si>
    <t xml:space="preserve">CUP SILICONE BULAT 3S CUS0001 </t>
  </si>
  <si>
    <t xml:space="preserve">CUP SILICONE SAKURA 3S CUS0010 </t>
  </si>
  <si>
    <t xml:space="preserve">CUP SILICONE FLOWER PLUM 3S CUS0016 </t>
  </si>
  <si>
    <t xml:space="preserve">CUP SILICONE LOTUS 3S CUS0018 </t>
  </si>
  <si>
    <t xml:space="preserve">CUP SILICONE NEW ROSE 3S CUS0020 </t>
  </si>
  <si>
    <t xml:space="preserve">CUP SILICONE MELATI MOTIF 3S CUS0021 </t>
  </si>
  <si>
    <t xml:space="preserve">CUP SILICONE MELATI 3S CUS0007 </t>
  </si>
  <si>
    <t xml:space="preserve">HATI SILVER SET 8 HBH-0001-S HS </t>
  </si>
  <si>
    <t xml:space="preserve">GELAS AYAKAN AKRILIK 11CM GS3 </t>
  </si>
  <si>
    <t xml:space="preserve">HATI PINK SET8 HBH-0001-H HS </t>
  </si>
  <si>
    <t xml:space="preserve">KUPU-KUPU RAINBOW SET12 KPT8C </t>
  </si>
  <si>
    <t xml:space="preserve">GERIGI SET12 GI020 </t>
  </si>
  <si>
    <t xml:space="preserve">CET BENTO KCL SEGITIGA CBP-0004 </t>
  </si>
  <si>
    <t xml:space="preserve">TOPPER HB KUROMI HITAM TPK244 </t>
  </si>
  <si>
    <t xml:space="preserve">TOPPER HB IRONMAN TPK241 </t>
  </si>
  <si>
    <t xml:space="preserve">TOPPER HB TURTLES TPK240 </t>
  </si>
  <si>
    <t xml:space="preserve">SCRAPER PANJANG SET4 YSC-0001 </t>
  </si>
  <si>
    <t xml:space="preserve">HB ASTRONOT TKS-0033 </t>
  </si>
  <si>
    <t xml:space="preserve">ASTONOT KARTUN CEWE TKS-0034 HB </t>
  </si>
  <si>
    <t xml:space="preserve">ASTRONOT BAWA BINTANG TKS-0037 HB </t>
  </si>
  <si>
    <t xml:space="preserve">CET BENTO HATI CBP-0005 </t>
  </si>
  <si>
    <t xml:space="preserve">KUROMI 1S LL-0016 </t>
  </si>
  <si>
    <t xml:space="preserve">TOPPER KERANG CAMPUR TKS-0031 </t>
  </si>
  <si>
    <t xml:space="preserve">TOPPER EKOR DUYUNG TKS-0032 </t>
  </si>
  <si>
    <t xml:space="preserve">CET BENTO BSR SEGITIGA CBP-0009 </t>
  </si>
  <si>
    <t xml:space="preserve">HATI EMAS SET8 HBH-0001-A HS </t>
  </si>
  <si>
    <t xml:space="preserve">CINNAMON SET5 CI6 </t>
  </si>
  <si>
    <t xml:space="preserve">CET BENTO BUNGA CBP-0007 </t>
  </si>
  <si>
    <t xml:space="preserve">WOOD SPOON 16CM 100S WS1-16 </t>
  </si>
  <si>
    <t xml:space="preserve">SOLET KAYU MINI 23CM STK02 </t>
  </si>
  <si>
    <t xml:space="preserve">SOLET KAYU KECIL 23CM STK01 </t>
  </si>
  <si>
    <t xml:space="preserve">SOLET KAYU MINI 23CM STK03 </t>
  </si>
  <si>
    <t xml:space="preserve">SOLET KAYU MINI 22CM STK01 </t>
  </si>
  <si>
    <t xml:space="preserve">SOLET KAYU KECIL 30CM STK02 </t>
  </si>
  <si>
    <t xml:space="preserve">SOLET KAYU SEDANG 30CM STK01 </t>
  </si>
  <si>
    <t xml:space="preserve">SOLET KAYU BESAR 35CM STK03 </t>
  </si>
  <si>
    <t xml:space="preserve">SOLET KAYU KECIL 30CM STK03 </t>
  </si>
  <si>
    <t xml:space="preserve">SOLET KAYU BESAR 35CM STK01 </t>
  </si>
  <si>
    <t xml:space="preserve">SOLET KAYU JUMBO 40CM STK01 </t>
  </si>
  <si>
    <t xml:space="preserve">SOLET KAYU BESAR 35CM STK02 </t>
  </si>
  <si>
    <t xml:space="preserve">SOLET KAYU JUMBO 40CM STK02 </t>
  </si>
  <si>
    <t xml:space="preserve">ISOLASI TOPLES MOTIF 15MM SLS5A </t>
  </si>
  <si>
    <t xml:space="preserve">SOLET KAYU JUMBO 40CM STK03 </t>
  </si>
  <si>
    <t xml:space="preserve">ISOLASI TOPLES HOLOGRAM 14MM SLS5L </t>
  </si>
  <si>
    <t xml:space="preserve">CET HBD+ANGKA SILICONE JSC1883 </t>
  </si>
  <si>
    <t xml:space="preserve">KUPU-KUPU ORANGE KPT9F </t>
  </si>
  <si>
    <t xml:space="preserve">KUPU-KUPU PINK KPT3P </t>
  </si>
  <si>
    <t xml:space="preserve">KUPU-KUPU RAINBOW KPT9C </t>
  </si>
  <si>
    <t xml:space="preserve">PISAU GG KAYU 4INCH LS11-15 </t>
  </si>
  <si>
    <t xml:space="preserve">PISAU GG KAYU 8INCH BK-07 </t>
  </si>
  <si>
    <t xml:space="preserve">SOLET SILICONE YH650 </t>
  </si>
  <si>
    <t xml:space="preserve">SPATULA SILICON YH651 </t>
  </si>
  <si>
    <t xml:space="preserve">KULINER FACIAL CORE LUNAK 10ROL 2PLY JOLLY </t>
  </si>
  <si>
    <t xml:space="preserve">HIASAN TOPPER CAKE LED GOLD HTL1G </t>
  </si>
  <si>
    <t xml:space="preserve">STICKER SM K BLT MELODI F-120 </t>
  </si>
  <si>
    <t xml:space="preserve">STICKER SM K BLT CINAMOROLL F-121 </t>
  </si>
  <si>
    <t xml:space="preserve">HIASAN TOPPER CAKE LED SILVER HTL1S </t>
  </si>
  <si>
    <t xml:space="preserve">HIASAN TOPPER BOLA SET 8 PINK HTB8 </t>
  </si>
  <si>
    <t xml:space="preserve">HIASAN TOPPER BOLA SET 8 PEARL WHITE HTB9 </t>
  </si>
  <si>
    <t xml:space="preserve">HIASAN TOPPER BOLA SET 8 TRANSPARANT HTB7 </t>
  </si>
  <si>
    <t xml:space="preserve">STICKER TY HIJAB C-259 </t>
  </si>
  <si>
    <t xml:space="preserve">STICKER TY BUNGA MIX A C-205 </t>
  </si>
  <si>
    <t xml:space="preserve">PAPER CASE PERSEGI 6 100S FB55-04 </t>
  </si>
  <si>
    <t xml:space="preserve">CUP PERSEGI KECIL 100S LBX-B1 </t>
  </si>
  <si>
    <t xml:space="preserve">CAKE TRAY GOLD 100S XY65S-G </t>
  </si>
  <si>
    <t xml:space="preserve">CAKE TRAY GOLD 50S XY80S-G </t>
  </si>
  <si>
    <t xml:space="preserve">CAKE TRAY BLACK 50S XY12-12-B </t>
  </si>
  <si>
    <t xml:space="preserve">COLLING RAK BLACK 16X10CM A336 </t>
  </si>
  <si>
    <t xml:space="preserve">TUL MOTHER DAY EMAS 6S TI57A </t>
  </si>
  <si>
    <t xml:space="preserve">TUL MOTHER DAY EMAS TI57A </t>
  </si>
  <si>
    <t xml:space="preserve">TOPPER SALJU SILVER TAC5 </t>
  </si>
  <si>
    <t xml:space="preserve">TOPPER TUSUK SALJU GLITER TAC-6B </t>
  </si>
  <si>
    <t xml:space="preserve">TOPPER SALJU GLITER TAC6 </t>
  </si>
  <si>
    <t xml:space="preserve">TOPPER TUSUK SALJU BIRU TAC-6G </t>
  </si>
  <si>
    <t xml:space="preserve">SOLET SILICON 1S SL09 </t>
  </si>
  <si>
    <t xml:space="preserve">BOX KUE PETAK BKP-1616-12C </t>
  </si>
  <si>
    <t xml:space="preserve">BOX KUE PETAK BKP-1616-12NH </t>
  </si>
  <si>
    <t xml:space="preserve">BOX KUE PETAK BKP-1616-15A2 </t>
  </si>
  <si>
    <t xml:space="preserve">BOX KUE PETAK BKP-1616-12F </t>
  </si>
  <si>
    <t xml:space="preserve">BOX KUE PETAK BKP-1616-12I </t>
  </si>
  <si>
    <t xml:space="preserve">BOX KUE PETAK BKP-1616-12K </t>
  </si>
  <si>
    <t xml:space="preserve">BOX KUE PETAK BKP-1616-15B </t>
  </si>
  <si>
    <t xml:space="preserve">BOX CUP CAKE CKLT 4LB BKK-1616-75CK </t>
  </si>
  <si>
    <t xml:space="preserve">BOX CUP CAKE CKLT 2LB BKK-1609-75CK </t>
  </si>
  <si>
    <t xml:space="preserve">BOX CUP CAKE PTH 12LB BKK-3225-9PT </t>
  </si>
  <si>
    <t xml:space="preserve">BOX CUP CAKE CKLT 12LB BKK-3225-9CK </t>
  </si>
  <si>
    <t xml:space="preserve">BOX CUP CAKE 6LB BKK-2416-75PT </t>
  </si>
  <si>
    <t xml:space="preserve">BOX KUE BK-1616-15D2 </t>
  </si>
  <si>
    <t xml:space="preserve">BOX KUE BK-1515-12H </t>
  </si>
  <si>
    <t xml:space="preserve">BOX KUE BK-1616-125PT4 </t>
  </si>
  <si>
    <t xml:space="preserve">BOX KUE BK-1616-15D </t>
  </si>
  <si>
    <t xml:space="preserve">BOX KUE BK-1616-15C </t>
  </si>
  <si>
    <t xml:space="preserve">BOX KUE BK-1616-15H </t>
  </si>
  <si>
    <t xml:space="preserve">BOX KUE BK-1616-125PT </t>
  </si>
  <si>
    <t xml:space="preserve">BOX KUE BKP-1616-15M </t>
  </si>
  <si>
    <t xml:space="preserve">BOX KUE BK-1515-12KC1 </t>
  </si>
  <si>
    <t xml:space="preserve">BOX KUE BK-1313-10F </t>
  </si>
  <si>
    <t xml:space="preserve">BOX KUE BK-1515-12H3 </t>
  </si>
  <si>
    <t xml:space="preserve">BOX KUE BK-1313-10H </t>
  </si>
  <si>
    <t xml:space="preserve">BOX KUE BK-1313-10G </t>
  </si>
  <si>
    <t xml:space="preserve">BOX KUE BK-1616-15G </t>
  </si>
  <si>
    <t xml:space="preserve">BOX KUE BK-1515-12PT </t>
  </si>
  <si>
    <t xml:space="preserve">BOX KUE BK-1515-12C2 </t>
  </si>
  <si>
    <t xml:space="preserve">BOX KUE BK-1515-12C </t>
  </si>
  <si>
    <t xml:space="preserve">BOX KUE BK-2020-15C </t>
  </si>
  <si>
    <t xml:space="preserve">BOX KUE BK-2020-15C2 </t>
  </si>
  <si>
    <t xml:space="preserve">BOX KUE BK-2020-15CK </t>
  </si>
  <si>
    <t xml:space="preserve">BOX KUE BK-2020-15PT </t>
  </si>
  <si>
    <t xml:space="preserve">BOX KUE BK-2020-15D </t>
  </si>
  <si>
    <t xml:space="preserve">BOX KUE BK-2020-15C3 </t>
  </si>
  <si>
    <t xml:space="preserve">MIKA BENTO+TTP 14X14X5CM 5S MKB1414-5PT </t>
  </si>
  <si>
    <t xml:space="preserve">MIKA BENTO+TTP 18X18X6,5CM 5S MKB1818-6,5PT </t>
  </si>
  <si>
    <t xml:space="preserve">SLENDING PIZZA EFESTO ESP1  </t>
  </si>
  <si>
    <t xml:space="preserve">KUROMI TATAAN LAMPU UNGU CI9-3 </t>
  </si>
  <si>
    <t xml:space="preserve">CINNAMAROL TATAAN LAMPU CI9-1 </t>
  </si>
  <si>
    <t xml:space="preserve">KUROMI TATAAN LAMPU HTM CI9-2 </t>
  </si>
  <si>
    <t xml:space="preserve">BOLA DISKO 4CM SILVER 6S HBS6-4S </t>
  </si>
  <si>
    <t xml:space="preserve">BOLA DISKO 4CM ROSE GOLD 6S HBS6-4RS </t>
  </si>
  <si>
    <t xml:space="preserve">TOPPER KERTAS TUSUK HBD 5S TKS-0105-5H </t>
  </si>
  <si>
    <t xml:space="preserve">BOLA DISKO 4CM PINK 6S HBS6-4H </t>
  </si>
  <si>
    <t xml:space="preserve">BOLA DISKO 4CM EMAS 6S HBS6-4A </t>
  </si>
  <si>
    <t xml:space="preserve">BOLA DISKO 3CM PINK 6S HBS6-3H </t>
  </si>
  <si>
    <t xml:space="preserve">BOLA DISKO 3CM ROSE GOLD 6S HBS6-3RS </t>
  </si>
  <si>
    <t xml:space="preserve">BOLA DISKO 3CM SILVER 6S HBS6-3S </t>
  </si>
  <si>
    <t xml:space="preserve">BOLA DISKO 3CM EMAS 6S HBS6-3A </t>
  </si>
  <si>
    <t xml:space="preserve">BOLA DISKO 2CM SILVER 6S HBS6-2S </t>
  </si>
  <si>
    <t xml:space="preserve">TOPPER HBD ANAK HIJAB TPK255 </t>
  </si>
  <si>
    <t xml:space="preserve">TOPPER HBD MEMELODY TPK260 </t>
  </si>
  <si>
    <t xml:space="preserve">TOPPER HBD MERMAID TPK259 </t>
  </si>
  <si>
    <t xml:space="preserve">TOPPER HBD LABUBU RMH TPK264 </t>
  </si>
  <si>
    <t xml:space="preserve">TOPPER HBD LABUBU TPK261 </t>
  </si>
  <si>
    <t xml:space="preserve">BOLA DISKO 5CM ROSE GOLD 6S HBS6-5RS </t>
  </si>
  <si>
    <t xml:space="preserve">BOLA DISKO 5CM EMAS 6S HBS6-5A </t>
  </si>
  <si>
    <t xml:space="preserve">BOLA DISKO 5CM PINK 6S HBS6-5H </t>
  </si>
  <si>
    <t xml:space="preserve">BOLA DISKO 5CM SILVER 6S HBS6-5S </t>
  </si>
  <si>
    <t xml:space="preserve">COOKIES KCL POCHACO PLS3-6 </t>
  </si>
  <si>
    <t xml:space="preserve">TOPPER HB MYHUSBAND 10S YTA-0003-D </t>
  </si>
  <si>
    <t xml:space="preserve">TOPPER HB MYWIFE 10S YTA-0003-C </t>
  </si>
  <si>
    <t xml:space="preserve">TOPPER HB HONEY 10S YTA-0003-E </t>
  </si>
  <si>
    <t xml:space="preserve">TOPPER HB MYHUSBAND 10S YTA-0003-B </t>
  </si>
  <si>
    <t xml:space="preserve">TOPPER HB MYLOVE 10S YTA-0003-G </t>
  </si>
  <si>
    <t xml:space="preserve">LILIN TWIST HITAM LI77-HT </t>
  </si>
  <si>
    <t xml:space="preserve">LILIN TWIST PUTIH LI77-PT </t>
  </si>
  <si>
    <t xml:space="preserve">LILIN TWIST MERAH LI77-B </t>
  </si>
  <si>
    <t xml:space="preserve">LILIN TWIST HIJAU EMAS LI76-D </t>
  </si>
  <si>
    <t xml:space="preserve">LILIN TWIST BIRU EMAS LI76-G </t>
  </si>
  <si>
    <t xml:space="preserve">LILIN TWIST MERAH EMAS LI76-B </t>
  </si>
  <si>
    <t xml:space="preserve">LILIN TWIST MIX LI76-C </t>
  </si>
  <si>
    <t xml:space="preserve">LILIN HB UNGU BIRU LI81-EG </t>
  </si>
  <si>
    <t xml:space="preserve">LILIN HB PINK HIJAU LI81-HD </t>
  </si>
  <si>
    <t xml:space="preserve">BNK ANAK PR KACAMATA BAP1-1 </t>
  </si>
  <si>
    <t xml:space="preserve">PUTRI BAJU MM PI57-1 </t>
  </si>
  <si>
    <t xml:space="preserve">PUTRI BAJU MM PITA PI57-2 </t>
  </si>
  <si>
    <t xml:space="preserve">TULISAN HBD 10S TA20 </t>
  </si>
  <si>
    <t xml:space="preserve">TULISAN HBD 10S TA21 </t>
  </si>
  <si>
    <t xml:space="preserve">TOPPER KERTAS TUSUK KUROMI HB 10S TKS-0105-2G </t>
  </si>
  <si>
    <t xml:space="preserve">TSK HATI SILICON MERAH 5S TSC36B-B </t>
  </si>
  <si>
    <t xml:space="preserve">TSK HATI SILICON PINK 5S TSC36B-H </t>
  </si>
  <si>
    <t xml:space="preserve">TUL HB BIRU CTK-0006-2B </t>
  </si>
  <si>
    <t xml:space="preserve">FRUIT TOLLS 4 SET FT3 </t>
  </si>
  <si>
    <t xml:space="preserve">THINWALL KOTAK 120ML TWK120 </t>
  </si>
  <si>
    <t xml:space="preserve">CHERY SILVER 1.5CM 100S CI3S </t>
  </si>
  <si>
    <t xml:space="preserve">CHERY EMAS 1.5CM 100S CI3A </t>
  </si>
  <si>
    <t xml:space="preserve">CHERY EMAS 1CM 100S CI2A </t>
  </si>
  <si>
    <t xml:space="preserve">CHERY SILVER 1CM 100S CI2S </t>
  </si>
  <si>
    <t xml:space="preserve">STIKER SEGEL IDUL FITRI 5S STC0150 </t>
  </si>
  <si>
    <t xml:space="preserve">STIKER SEGEL IDUL FITRI 5S STC0149 </t>
  </si>
  <si>
    <t xml:space="preserve">STIKER SEGEL IDUL FITRI 5S STC0152 </t>
  </si>
  <si>
    <t xml:space="preserve">KUAS BULU DOMBA S4 KBD0006 </t>
  </si>
  <si>
    <t xml:space="preserve">KUAS BULU DOMBA S2 KBD0004 </t>
  </si>
  <si>
    <t xml:space="preserve">STICKER LISSE  A-15 STC0004 </t>
  </si>
  <si>
    <t xml:space="preserve">STICKER LISSE A-10 STC0035 </t>
  </si>
  <si>
    <t xml:space="preserve">STICKER LISSE A-12 STC0002 </t>
  </si>
  <si>
    <t xml:space="preserve">STICKER LISSE  A-14 STC0003 </t>
  </si>
  <si>
    <t xml:space="preserve">STICKER LISSE  EID 023 STC0148 </t>
  </si>
  <si>
    <t xml:space="preserve">STICKER LISSE  A-59 STC0039 </t>
  </si>
  <si>
    <t xml:space="preserve">STICKER LISSE  A-58 STC0038 </t>
  </si>
  <si>
    <t xml:space="preserve">STICKER LISSE  B-11 STC0041 </t>
  </si>
  <si>
    <t xml:space="preserve">STICKERLISSE   B-09 STC0040 </t>
  </si>
  <si>
    <t xml:space="preserve">BK188-7PT3 BOX KUE GOOD CAKES </t>
  </si>
  <si>
    <t xml:space="preserve">STICKER TY ANIMALS C-204-25 </t>
  </si>
  <si>
    <t xml:space="preserve">STICKER HANDMADE HT C-12-25 </t>
  </si>
  <si>
    <t xml:space="preserve">STICKER TY KUNING C-220-25 </t>
  </si>
  <si>
    <t xml:space="preserve">STICKER TY PTH C-227-25 </t>
  </si>
  <si>
    <t xml:space="preserve">STICKER TY E-01 </t>
  </si>
  <si>
    <t xml:space="preserve">SILICONE MIX JSC4319 </t>
  </si>
  <si>
    <t xml:space="preserve">STICKER BAKERY HAND MADE B-51-25 </t>
  </si>
  <si>
    <t xml:space="preserve">LILIN MUTIARA EMAS LI91M-0 </t>
  </si>
  <si>
    <t xml:space="preserve">LILIN MUTIARA EMAS LI91M-1 </t>
  </si>
  <si>
    <t xml:space="preserve">LILIN MUTIARA EMAS LI91M-2 </t>
  </si>
  <si>
    <t xml:space="preserve">LILIN MUTIARA EMAS LI91M-3 </t>
  </si>
  <si>
    <t xml:space="preserve">LILIN MUTIARA EMAS LI91M-4 </t>
  </si>
  <si>
    <t xml:space="preserve">LILIN MUTIARA EMAS LI91M-5 </t>
  </si>
  <si>
    <t xml:space="preserve">LILIN MUTIARA EMAS LI91M-6 </t>
  </si>
  <si>
    <t xml:space="preserve">LILIN MUTIARA EMAS LI91M-7 </t>
  </si>
  <si>
    <t xml:space="preserve">LILIN MUTIARA EMAS LI91M-8 </t>
  </si>
  <si>
    <t xml:space="preserve">LILIN MUTIARA EMAS LI91M-9 </t>
  </si>
  <si>
    <t xml:space="preserve">SILICONE JSC4298 </t>
  </si>
  <si>
    <t xml:space="preserve">TOPPER CINAMON ROLL DKK 5S C17-B </t>
  </si>
  <si>
    <t xml:space="preserve">LILIN PENSIL KUNING LI83I  </t>
  </si>
  <si>
    <t xml:space="preserve">LILIN PENSIL ORANGE LI83F </t>
  </si>
  <si>
    <t xml:space="preserve">LILIN PENSIL PUTIH LI83PT </t>
  </si>
  <si>
    <t xml:space="preserve">LILIN PENSIL HITAM LI83HT </t>
  </si>
  <si>
    <t xml:space="preserve">LILIN RAINBOW LI90C </t>
  </si>
  <si>
    <t xml:space="preserve">LILIN HIJAU PINK LI90DH </t>
  </si>
  <si>
    <t xml:space="preserve">ACRILIK HB MYHUSBAND YTA-0003-B </t>
  </si>
  <si>
    <t xml:space="preserve">ACRILIK HB MYWIFE YTA-0003C </t>
  </si>
  <si>
    <t xml:space="preserve">LILIN UNGU PUTIH LI90EP </t>
  </si>
  <si>
    <t xml:space="preserve">KUPU GRADASI KPT3R </t>
  </si>
  <si>
    <t xml:space="preserve">HIASAN TOPPER HBD GOLD HTB1 </t>
  </si>
  <si>
    <t xml:space="preserve">HIASAN TOPPER HBD SILVER HTB2 </t>
  </si>
  <si>
    <t xml:space="preserve">HIASAN TOPPER HBD ROSEGOLD HTB3 </t>
  </si>
  <si>
    <t xml:space="preserve">STICKER SEGEL TY PINK 100S STL02 </t>
  </si>
  <si>
    <t xml:space="preserve">STICKER LABEL HANDMADE HITAM 100S STL01 </t>
  </si>
  <si>
    <t xml:space="preserve">STICKER LABEL HALAL SM10X </t>
  </si>
  <si>
    <t xml:space="preserve">STICKER HITAM SELAMAT MENIKMATI SM007 </t>
  </si>
  <si>
    <t xml:space="preserve">STICKER TY HOLOGRAM C-189H </t>
  </si>
  <si>
    <t xml:space="preserve">STICKER TY NEW MOTIF C-188N </t>
  </si>
  <si>
    <t xml:space="preserve">TART CT20 PETAK  </t>
  </si>
  <si>
    <t xml:space="preserve">STICKER TY BESAR A281-38 </t>
  </si>
  <si>
    <t xml:space="preserve">STICKER LABEL TY PUTIH PANDA 100S STL05X </t>
  </si>
  <si>
    <t xml:space="preserve">SILICONE CKLT BTG JSC3436 </t>
  </si>
  <si>
    <t xml:space="preserve">STICKER CKLT SELAMAT MENIKMATI SM004 </t>
  </si>
  <si>
    <t xml:space="preserve">STICKER PINK SELAMAT MENIKMATI SM005 </t>
  </si>
  <si>
    <t xml:space="preserve">STICKER UNGU SELAMAT MENIKMATI SM006 </t>
  </si>
  <si>
    <t xml:space="preserve">STICKER SELAMAT MENIKMATI MIX SM07X </t>
  </si>
  <si>
    <t xml:space="preserve">STICKER SELAMAT MENIKMATI LABUBU SM09X </t>
  </si>
  <si>
    <t xml:space="preserve">BALON LATEX MOTIF MIX KARAKTER BL10KT </t>
  </si>
  <si>
    <t xml:space="preserve">LILIN TWIST EMAS CHAMPAGNE 6S YH361-1CH </t>
  </si>
  <si>
    <t xml:space="preserve">TUL AKRILIK HB BULAT LOVE 10S TA25A </t>
  </si>
  <si>
    <t xml:space="preserve">TUL AKRILIK HB BULAT SQUARE 10S TA25B </t>
  </si>
  <si>
    <t>IMPULSE SEALER RIDX  300MM</t>
  </si>
  <si>
    <t xml:space="preserve">PISAU GG KAYU LEKUK LS12-1P </t>
  </si>
  <si>
    <t xml:space="preserve">SPATULA SILICONE SL550 </t>
  </si>
  <si>
    <t xml:space="preserve">SPATULA SILICONE SMALL RB96 </t>
  </si>
  <si>
    <t xml:space="preserve">STIKER TY MOTIF MANBLE C-336 </t>
  </si>
  <si>
    <t xml:space="preserve">STIKER TY HIJAU GOLD C-366 </t>
  </si>
  <si>
    <t xml:space="preserve">STIKER TY GRADASI C-337 </t>
  </si>
  <si>
    <t xml:space="preserve">STIKER TY LOVE HITAM C-338 </t>
  </si>
  <si>
    <t xml:space="preserve">STIKER TY PINK GOLD C-367 </t>
  </si>
  <si>
    <t xml:space="preserve">STIKER TY PERSEGI PINK KUNING F-301 </t>
  </si>
  <si>
    <t xml:space="preserve">STIKER TY PERSEGI PUTIH PINK F-302 </t>
  </si>
  <si>
    <t xml:space="preserve">STIKER TY PERSEGI LOVE PINK F-303 </t>
  </si>
  <si>
    <t xml:space="preserve">CET BENTO MOTIF KARAKTER CB 201 </t>
  </si>
  <si>
    <t xml:space="preserve">SPATULA SILICON YH652 </t>
  </si>
  <si>
    <t xml:space="preserve">SOLET SILICON YH653 </t>
  </si>
  <si>
    <t xml:space="preserve">SOLET SILICON YH654 </t>
  </si>
  <si>
    <t xml:space="preserve">PISAU GG KAYU 4INCH LS11-16 </t>
  </si>
  <si>
    <t xml:space="preserve">TOPPER AKRILIK GOLD 10S TA45AG </t>
  </si>
  <si>
    <t xml:space="preserve">CET PASTEL SET ROLLING CPS1 </t>
  </si>
  <si>
    <t xml:space="preserve">GELAS UKUR STAINLES 30ML GU6K </t>
  </si>
  <si>
    <t xml:space="preserve">GELAS UKUR STAINLESS 40ML GU6T </t>
  </si>
  <si>
    <t xml:space="preserve">SPUIT SET 8 SP38 </t>
  </si>
  <si>
    <t xml:space="preserve">SCRONG BREAD SB20A </t>
  </si>
  <si>
    <t xml:space="preserve">SCRAPER 1/2 BULAT 10X7CM SCP11 </t>
  </si>
  <si>
    <t xml:space="preserve">TOPPER ANNA TP1 </t>
  </si>
  <si>
    <t xml:space="preserve">TOPPER ELSA TP2 </t>
  </si>
  <si>
    <t xml:space="preserve">SENDOK SARINGAN SPAGETI </t>
  </si>
  <si>
    <t xml:space="preserve">CETAKAN BENTO D-PAIGE </t>
  </si>
  <si>
    <t xml:space="preserve">CAKE SHOVEL GG PLASTIK </t>
  </si>
  <si>
    <t xml:space="preserve">CUTTER PIZZA BULAT STAINLES </t>
  </si>
  <si>
    <t xml:space="preserve">ANIMAL KARTUN SET 6 LOKAL AI4P </t>
  </si>
  <si>
    <t xml:space="preserve">CUP INJECTION 16 OZ </t>
  </si>
  <si>
    <t xml:space="preserve">CUP INJECTION OVAL 12 OZ </t>
  </si>
  <si>
    <t xml:space="preserve">CUP INJECTION 14 OZ </t>
  </si>
  <si>
    <t xml:space="preserve">CUP INJECTION 22 OZ </t>
  </si>
  <si>
    <t xml:space="preserve">GELAS KOPI 8 OZ KRAFT </t>
  </si>
  <si>
    <t xml:space="preserve">FOOD PAIL 10 OZ KRAFT </t>
  </si>
  <si>
    <t xml:space="preserve">FOOD PAIL 12 OZ KRAFT </t>
  </si>
  <si>
    <t xml:space="preserve">FOOD PAIL 10 OZ PTH </t>
  </si>
  <si>
    <t xml:space="preserve">FOOD PAIL 12 OZ PTH </t>
  </si>
  <si>
    <t xml:space="preserve">TOPPER HB DIRGAHAYU RI TPK269 </t>
  </si>
  <si>
    <t xml:space="preserve">TOPPER HB MAINCRATT TPK271 </t>
  </si>
  <si>
    <t xml:space="preserve">TOPPER HB SLM HARI KEMERDEKAAN TPK270 </t>
  </si>
  <si>
    <t xml:space="preserve">TOPPER HB TENTARA TPK268 </t>
  </si>
  <si>
    <t xml:space="preserve">TOPPER HB SUPERHERO THOR TPK274 </t>
  </si>
  <si>
    <t xml:space="preserve">CAKE RING CUTTER B 24-30CM CRL01 </t>
  </si>
  <si>
    <t xml:space="preserve">LILIN ANGKA 3 LI17 </t>
  </si>
  <si>
    <t xml:space="preserve">LILIN ANGKA 6 LI20 </t>
  </si>
  <si>
    <t xml:space="preserve">LILIN ANGKA 2 LI16 </t>
  </si>
  <si>
    <t xml:space="preserve">CAKE RING CUTTER K 16-20CM CRL02 </t>
  </si>
  <si>
    <t xml:space="preserve">LILIN ANGKA 4 LI18 </t>
  </si>
  <si>
    <t xml:space="preserve">MATRAS OVEN 60X80 CM MO14 </t>
  </si>
  <si>
    <t xml:space="preserve">BKP-1616-12A2 BOX KUE </t>
  </si>
  <si>
    <t xml:space="preserve">BUNGA SET 12S LLCP0115 </t>
  </si>
  <si>
    <t xml:space="preserve">AYAKAN TEPUNG JC3693 </t>
  </si>
  <si>
    <t xml:space="preserve">SIFTER CUP JC3694 </t>
  </si>
  <si>
    <t xml:space="preserve">LILIN ULIR K ROSEGOLD YH382-1G </t>
  </si>
  <si>
    <t xml:space="preserve">KAIN SILPAT BESAR 40X60 MO5 </t>
  </si>
  <si>
    <t xml:space="preserve">KEROK DEGAN STAINLESS </t>
  </si>
  <si>
    <t xml:space="preserve">TOAST BOX 10X10 LISSE </t>
  </si>
  <si>
    <t xml:space="preserve">ASOY MTH 45 BIRU </t>
  </si>
  <si>
    <t xml:space="preserve">ASOY MTH 45 HIJAU TUA </t>
  </si>
  <si>
    <t xml:space="preserve">ASOY MTH 45 HIJAU MD </t>
  </si>
  <si>
    <t xml:space="preserve">ASOY MTH 45 KNG </t>
  </si>
  <si>
    <t xml:space="preserve">ASOY MTH 45 MRH TUA </t>
  </si>
  <si>
    <t xml:space="preserve">ASOY MTH 45 ORANGE </t>
  </si>
  <si>
    <t xml:space="preserve">ASOY MTH 45 PINK </t>
  </si>
  <si>
    <t xml:space="preserve">ASOY MTH 45 UNGU </t>
  </si>
  <si>
    <t xml:space="preserve">ASOY MTH PUTIH 45 </t>
  </si>
  <si>
    <t xml:space="preserve">PIPET POP ICE UPIN </t>
  </si>
  <si>
    <t xml:space="preserve">SERBET SOOR </t>
  </si>
  <si>
    <t xml:space="preserve">SL 35X55 </t>
  </si>
  <si>
    <t xml:space="preserve">GELAS UNIVERSAL 50ML </t>
  </si>
  <si>
    <t xml:space="preserve">TUTUP GELAS ICECRM </t>
  </si>
  <si>
    <t xml:space="preserve">CUP PUDING ROYAL </t>
  </si>
  <si>
    <t xml:space="preserve">PIPET BENGKOK PLASINDO </t>
  </si>
  <si>
    <t xml:space="preserve">GELAS 16 OZ GLASINDO OVAL </t>
  </si>
  <si>
    <t xml:space="preserve">CUP CH-32 25S + TUTUP </t>
  </si>
  <si>
    <t xml:space="preserve">BOTOL JAR 1500ML </t>
  </si>
  <si>
    <t xml:space="preserve">PIPET BENGKOK KILOAN </t>
  </si>
  <si>
    <t xml:space="preserve">GELAS KOPI 8 OZ POLOS </t>
  </si>
  <si>
    <t xml:space="preserve">BOTOL JAR 200ML+TTP SILVER </t>
  </si>
  <si>
    <t xml:space="preserve">BOTOL JAR 300ML+TTP SILVER </t>
  </si>
  <si>
    <t xml:space="preserve">STICK ES </t>
  </si>
  <si>
    <t xml:space="preserve">LILIN TARUNA 5 </t>
  </si>
  <si>
    <t xml:space="preserve">BARBIE 1/2 BADAN IMPORT BI8 </t>
  </si>
  <si>
    <t xml:space="preserve">SPIDERMANN IMPORT SI3 </t>
  </si>
  <si>
    <t xml:space="preserve">MANTEN BARAT JUMBO M76 </t>
  </si>
  <si>
    <t xml:space="preserve">MANTEN SEMOK 10.5CM M22 </t>
  </si>
  <si>
    <t xml:space="preserve">MANTEN TANGGUNG 9CM M24 </t>
  </si>
  <si>
    <t xml:space="preserve">CETAKAN CASTANGLE A 10.5CM C3 </t>
  </si>
  <si>
    <t xml:space="preserve">CETAKAN CASTANGLE B 10.5CM C4 </t>
  </si>
  <si>
    <t xml:space="preserve">CETAKAN CASTANGLE C 10.5CM C5 </t>
  </si>
  <si>
    <t xml:space="preserve">CETAKAN CASTANGLE D 10.5CM C6 </t>
  </si>
  <si>
    <t xml:space="preserve">MANTEN BARAT 10CM M 87 </t>
  </si>
  <si>
    <t xml:space="preserve">LIDI SATE KUDA </t>
  </si>
  <si>
    <t xml:space="preserve">K PANTHER G 1/2KG </t>
  </si>
  <si>
    <t xml:space="preserve">GELAS AYAKAN TEPUNG </t>
  </si>
  <si>
    <t xml:space="preserve">SCOOP ICE CRM 5CM </t>
  </si>
  <si>
    <t xml:space="preserve">SCOOP ICE CRM 4CM </t>
  </si>
  <si>
    <t xml:space="preserve">TERMOMETER DIGITAL </t>
  </si>
  <si>
    <t xml:space="preserve">TERMOMETER OVEN OT1  </t>
  </si>
  <si>
    <t xml:space="preserve">PUDDING ART TOOLS G PA7 </t>
  </si>
  <si>
    <t xml:space="preserve">FT BOTOL </t>
  </si>
  <si>
    <t xml:space="preserve">TATAKAN KUE PERSEGI PJG </t>
  </si>
  <si>
    <t xml:space="preserve">TANG BENING </t>
  </si>
  <si>
    <t xml:space="preserve">VINISI CHUNK LIGHT TUNA 160GR </t>
  </si>
  <si>
    <t xml:space="preserve">VINISI KOKTIL BUAH 840GR </t>
  </si>
  <si>
    <t xml:space="preserve">SPUIT BUTTER 12 ZX315 </t>
  </si>
  <si>
    <t xml:space="preserve">PISAU POLES SET 3 XZ-37 </t>
  </si>
  <si>
    <t xml:space="preserve">MONIN CARAMEL 70CL </t>
  </si>
  <si>
    <t xml:space="preserve">MONIN LEMON CONCENTRATE </t>
  </si>
  <si>
    <t xml:space="preserve">LOY BROWNIES SEKAT BONGPAS ORANGE LBS0001 </t>
  </si>
  <si>
    <t xml:space="preserve">ELLE&amp;VIRE LACTE APRICOT 125GR </t>
  </si>
  <si>
    <t xml:space="preserve">PLUNGER BLT, HATI , BINTANG ZN2328 </t>
  </si>
  <si>
    <t xml:space="preserve">CAKE SHOVEL PASTEL TOL0002 </t>
  </si>
  <si>
    <t>CERES  DOUBLE HAZZELNUT 350GR</t>
  </si>
  <si>
    <t xml:space="preserve">PEMOTONG PEELER PP8 </t>
  </si>
  <si>
    <t xml:space="preserve">NICER DICER 5IN1 NDQ1 </t>
  </si>
  <si>
    <t xml:space="preserve">NESTLE KOKO KRUNCH CEREAL 330GR </t>
  </si>
  <si>
    <t xml:space="preserve">NESTLE KOKO KRUNCH 150GR </t>
  </si>
  <si>
    <t xml:space="preserve">SILICONE MACARON BAKING </t>
  </si>
  <si>
    <t xml:space="preserve">BOTAN MAKAREL 425GR </t>
  </si>
  <si>
    <t xml:space="preserve">BOTAN MAKAREL 155GR </t>
  </si>
  <si>
    <t xml:space="preserve">CUTTER 16CM PP10 NEGI </t>
  </si>
  <si>
    <t xml:space="preserve">LEA &amp; PERRINS SAUS 142ML </t>
  </si>
  <si>
    <t xml:space="preserve">LEA &amp; PERRINS SAUS 284ML </t>
  </si>
  <si>
    <t xml:space="preserve">PLUNGER ZN550 </t>
  </si>
  <si>
    <t xml:space="preserve">CALLEBAUT W2NV 2,5KG </t>
  </si>
  <si>
    <t xml:space="preserve">PENGASAH PISAU 3 LUBANG NB052 </t>
  </si>
  <si>
    <t xml:space="preserve">JEPITAN DEKORASI 13CM RV015-010 </t>
  </si>
  <si>
    <t xml:space="preserve">SENDOK SOP 25ML RV006-013/25 </t>
  </si>
  <si>
    <t xml:space="preserve">SENDOK SOP 50ML RV006-013/50 </t>
  </si>
  <si>
    <t xml:space="preserve">SENDOK SOP 250ML RV006-013/250 </t>
  </si>
  <si>
    <t xml:space="preserve">PEELER 2IN1 16.5CM JX-P2001 </t>
  </si>
  <si>
    <t xml:space="preserve">GARLIC PRESS M-481 </t>
  </si>
  <si>
    <t xml:space="preserve">POMPA GALON LIPAT PAP-U </t>
  </si>
  <si>
    <t xml:space="preserve">GELAS AYAKAN TEPUNG GS1 </t>
  </si>
  <si>
    <t xml:space="preserve">PARUTAN MULTIFUNGSI 86-2 </t>
  </si>
  <si>
    <t xml:space="preserve">SCRAPER GG PLASTIK GI02 </t>
  </si>
  <si>
    <t xml:space="preserve">PISAU GERIGI SET3 PS6 </t>
  </si>
  <si>
    <t xml:space="preserve">PLUNGER ZN1003 </t>
  </si>
  <si>
    <t xml:space="preserve">PLUNGER DAUN ZN530-1 </t>
  </si>
  <si>
    <t xml:space="preserve">PENJEPIT ROTI PR1 </t>
  </si>
  <si>
    <t xml:space="preserve">CAKE RING HATI SET 3 PL27 </t>
  </si>
  <si>
    <t xml:space="preserve">CAKE RING BULAT SET3 CRL05 </t>
  </si>
  <si>
    <t xml:space="preserve">CAKE RING PERSEGI SET3 PL28 </t>
  </si>
  <si>
    <t xml:space="preserve">LILIN ULIR K SET250 LI66 </t>
  </si>
  <si>
    <t xml:space="preserve">GARLIC MIXER YS-209 </t>
  </si>
  <si>
    <t xml:space="preserve">LILIN GOLD SET6 YH394A </t>
  </si>
  <si>
    <t xml:space="preserve">LILIN ULIR K PINK YH382-1H </t>
  </si>
  <si>
    <t xml:space="preserve">SPUIT BUTTER AB012 </t>
  </si>
  <si>
    <t xml:space="preserve">KUAS SILICONE B 20CM KS1 </t>
  </si>
  <si>
    <t xml:space="preserve">SPATULA KUE SILIKON CUNDA 2S RV090-001 </t>
  </si>
  <si>
    <t xml:space="preserve">PLUNGER ABJAD ZN2225 </t>
  </si>
  <si>
    <t xml:space="preserve">PLUNGER KANCING BAJU ZN2639 </t>
  </si>
  <si>
    <t xml:space="preserve">SPUIT SET 8 + CONTONG AB031 </t>
  </si>
  <si>
    <t xml:space="preserve">SPUIT SET7 AB007 </t>
  </si>
  <si>
    <t xml:space="preserve">SPUIT SET 6 AB006 </t>
  </si>
  <si>
    <t xml:space="preserve">SOLET+SPUIT+EGS SET8 AB017 </t>
  </si>
  <si>
    <t xml:space="preserve">PEMOTONG KUE PM1 </t>
  </si>
  <si>
    <t xml:space="preserve">SENDOK TAKAR 6 ST11 </t>
  </si>
  <si>
    <t xml:space="preserve">SENDOK TAKAR 4 ST4 </t>
  </si>
  <si>
    <t xml:space="preserve">PIZZA MESSER PP1 </t>
  </si>
  <si>
    <t xml:space="preserve">JUICER ORANGE JO1 </t>
  </si>
  <si>
    <t xml:space="preserve">SENDOK TAKAR SET6 ST5 </t>
  </si>
  <si>
    <t xml:space="preserve">SEKOP KUE </t>
  </si>
  <si>
    <t xml:space="preserve">PISAU BUNGA SET3 YU17003-3 </t>
  </si>
  <si>
    <t xml:space="preserve">SENDOK TAKAR 9 YL-500030 </t>
  </si>
  <si>
    <t xml:space="preserve">BAOU KITCHEN TOOL YK1010 </t>
  </si>
  <si>
    <t xml:space="preserve">SCRAPER STAIN 22CM GI011 </t>
  </si>
  <si>
    <t xml:space="preserve">SPUIT SET 8 AB050 </t>
  </si>
  <si>
    <t xml:space="preserve">GILASAN PUTIH B A A06 </t>
  </si>
  <si>
    <t xml:space="preserve">GILASAN PUTIH A09 </t>
  </si>
  <si>
    <t xml:space="preserve">PENGGORENG GG STAINLESS 34CM M20-GB5 </t>
  </si>
  <si>
    <t xml:space="preserve">SOLET+KUAS SILICONE YL-060  </t>
  </si>
  <si>
    <t xml:space="preserve">KUAS SILICONE&amp;SOLET 1613-12 </t>
  </si>
  <si>
    <t xml:space="preserve">RAGI INS EAGLE 500GR </t>
  </si>
  <si>
    <t xml:space="preserve">LOY HOTDOG OVAL GOLD LCC0002 LISSE </t>
  </si>
  <si>
    <t xml:space="preserve">MEASURING 4 PCS YP411 </t>
  </si>
  <si>
    <t xml:space="preserve">ROLLING KAYU 28CM GI013 </t>
  </si>
  <si>
    <t xml:space="preserve">ROLLING PIN KAYU CHRISMAS 35CM ROL0025 </t>
  </si>
  <si>
    <t xml:space="preserve">SOLET+KUAS+SPUIT SET 7 AB-026 </t>
  </si>
  <si>
    <t xml:space="preserve">SPUIT SET 7 AB015 </t>
  </si>
  <si>
    <t xml:space="preserve">SOLET+SPUIT SET9 AB020 </t>
  </si>
  <si>
    <t xml:space="preserve">TEA BALL KECIL TOL0082 </t>
  </si>
  <si>
    <t xml:space="preserve">CUTTER GEOMETRIC  FT 1407  </t>
  </si>
  <si>
    <t xml:space="preserve">GUNTING MWR SET </t>
  </si>
  <si>
    <t xml:space="preserve">GELATIN JELLY ART YG 11 </t>
  </si>
  <si>
    <t xml:space="preserve">SENDOK TAKAR HATI SET4 ST36 </t>
  </si>
  <si>
    <t xml:space="preserve">KUAS SET3 KS4 </t>
  </si>
  <si>
    <t xml:space="preserve">LILIN ULIR K SILVER YH382-1S </t>
  </si>
  <si>
    <t xml:space="preserve">POTONGAN PIZZA PP2  </t>
  </si>
  <si>
    <t xml:space="preserve">COLLINGRAK BSR 41.3X2 CRH0008 </t>
  </si>
  <si>
    <t xml:space="preserve">LOY MADELINE LOVE GOLD 12CUP L120003 LISSE </t>
  </si>
  <si>
    <t xml:space="preserve">PAN PINK 28CM LLP0007 LOAF </t>
  </si>
  <si>
    <t xml:space="preserve">BUNDT PAN KUGELHOPF PINK BUN0014 LISSE </t>
  </si>
  <si>
    <t xml:space="preserve">LOY PERSEGI PEARL PINK LPS0022 LISSE </t>
  </si>
  <si>
    <t xml:space="preserve">STARTER TOOL SET3 ZN2760 </t>
  </si>
  <si>
    <t xml:space="preserve">SCRAPPER SISI POLOS B 25X9.3CM ZN2776 </t>
  </si>
  <si>
    <t xml:space="preserve">SCRAPER SISI POLOS K 20X9.3CM ZN2777 </t>
  </si>
  <si>
    <t xml:space="preserve">KNIVES+PENJEPIT SET3 ZN2799 </t>
  </si>
  <si>
    <t xml:space="preserve">PISAU BUNGA GERIGI PS8 </t>
  </si>
  <si>
    <t xml:space="preserve">LILIN MAGIC CANDLES LI7 </t>
  </si>
  <si>
    <t xml:space="preserve">LILIN MAGIC BESAR LI6 </t>
  </si>
  <si>
    <t xml:space="preserve">COOKIES CUTTER HURUF DS311 </t>
  </si>
  <si>
    <t xml:space="preserve">WHISK+SPUIT SET6 AB021 </t>
  </si>
  <si>
    <t xml:space="preserve">CET BANGKET BLT GERIGI SET 6 CB3 </t>
  </si>
  <si>
    <t xml:space="preserve">PUDDING ART TOOLS B PA2 </t>
  </si>
  <si>
    <t xml:space="preserve">TIMER ANIMAL LISSE TID0002 </t>
  </si>
  <si>
    <t xml:space="preserve">CETAKAN SAKURA 3D PINK CTD0024 LISSE </t>
  </si>
  <si>
    <t xml:space="preserve">COOKIECUTTER HURUF ANGKA 1615-5 </t>
  </si>
  <si>
    <t xml:space="preserve">CET BANGKET STAINLES CBS2 </t>
  </si>
  <si>
    <t xml:space="preserve">CELEMEK CANTIK A-9622  </t>
  </si>
  <si>
    <t xml:space="preserve">LEMON PRESS TOL0131 </t>
  </si>
  <si>
    <t xml:space="preserve">PISAU SKRAP SET2 BUNGA PS12 </t>
  </si>
  <si>
    <t xml:space="preserve">PLUNGER ZN634 </t>
  </si>
  <si>
    <t xml:space="preserve">FRUIT KNIFE SET 3 FK1 </t>
  </si>
  <si>
    <t xml:space="preserve">SPUIT+WHISK+SENDOK 9 AB023 </t>
  </si>
  <si>
    <t xml:space="preserve">PLASTIC SHOVEL SCOOP SET3 16120-16 </t>
  </si>
  <si>
    <t xml:space="preserve">BAMBOO TUSUK GIGI BOTOL </t>
  </si>
  <si>
    <t xml:space="preserve">PAKU PAYUNG SET4 ZN1012 </t>
  </si>
  <si>
    <t xml:space="preserve">OPENER CAN&amp;BOTTLE ZF-3014 </t>
  </si>
  <si>
    <t xml:space="preserve">PENJEPIT HR-09A23 </t>
  </si>
  <si>
    <t xml:space="preserve">SENDOK TAKAR STAINLESS ST28 </t>
  </si>
  <si>
    <t xml:space="preserve">SENDOK TAKAR STAINLES ST30 </t>
  </si>
  <si>
    <t xml:space="preserve">CAKE LEVELER GG PLSTK TOL0015 LISSE </t>
  </si>
  <si>
    <t xml:space="preserve">SOLET SET3 HY2003 </t>
  </si>
  <si>
    <t xml:space="preserve">PLUNGER ZN530 </t>
  </si>
  <si>
    <t xml:space="preserve">KITCHEN TIMER FANCY COLOUR JS-118 </t>
  </si>
  <si>
    <t xml:space="preserve">LOY MUFFIN GOLD 12CUP L120002 LISSE </t>
  </si>
  <si>
    <t xml:space="preserve">LOY PIE BLT GOLD 8INCH LPE0005 LISSE SC </t>
  </si>
  <si>
    <t>TBX0009 LISSE TOAST BOX GOLD</t>
  </si>
  <si>
    <t xml:space="preserve">LOY PIZZA PINK  8INC LPZ0003 LISSE </t>
  </si>
  <si>
    <t xml:space="preserve">CUP CAKE MAKER 6CUP L6C0007 LISSE </t>
  </si>
  <si>
    <t xml:space="preserve">LOY PIZZA PINK 6 INC LPZ0002 LISSE </t>
  </si>
  <si>
    <t xml:space="preserve">LOYANG SUNCITY BLT PINK BONGPAS LBB0007 </t>
  </si>
  <si>
    <t xml:space="preserve">COLLINGRAK BSR 44CM CRH0005 </t>
  </si>
  <si>
    <t xml:space="preserve">PANCI PAN CREPES 10INC LISSE SC PAN0004 </t>
  </si>
  <si>
    <t xml:space="preserve">PANCI FRY PAN CREPES LISSE SC  PAN0003 </t>
  </si>
  <si>
    <t xml:space="preserve">SPATULA 2SISI SUNCITY SPT0014 LISSE </t>
  </si>
  <si>
    <t xml:space="preserve">LOY PIE BLT GOLD 10 INC LPE0004 LISSE SC </t>
  </si>
  <si>
    <t xml:space="preserve">LOY PIE PERSEGI 25X25X4CM LPE0007 LISSE </t>
  </si>
  <si>
    <t xml:space="preserve">LOY PIE BLT RED 8INC LPE0006 LISSE SC </t>
  </si>
  <si>
    <t xml:space="preserve">LOY BOX 9CUP SUNCITY L9C0001 </t>
  </si>
  <si>
    <t xml:space="preserve">LOY MACARONE BLT 28CUP LMC0002 LISSE </t>
  </si>
  <si>
    <t xml:space="preserve">LOY MACARONE MOTIF LMC0001 LISSE </t>
  </si>
  <si>
    <t xml:space="preserve">TOAST BOX GOLD SC TBX0009 </t>
  </si>
  <si>
    <t xml:space="preserve">AYAKAN TEPUNG AYA0001 LISSE </t>
  </si>
  <si>
    <t xml:space="preserve">LOYANG SUNCITY BLT GOLD PONGPAS LBB0008 </t>
  </si>
  <si>
    <t xml:space="preserve">LOYANG NASTAR TAIWAN SUNCITY </t>
  </si>
  <si>
    <t xml:space="preserve">LOY MADELINE RED 12CUP L120004 LISSE </t>
  </si>
  <si>
    <t xml:space="preserve">LILIN HB BENING LI65 </t>
  </si>
  <si>
    <t xml:space="preserve">SPUIT SET 13 AB014 </t>
  </si>
  <si>
    <t xml:space="preserve">PLUNGER ZN708 </t>
  </si>
  <si>
    <t xml:space="preserve">SPUIT DECORATING SUIT 7 SP 4 </t>
  </si>
  <si>
    <t xml:space="preserve">SOLET B (31CM)+KUAS SILICONE ZG-113 </t>
  </si>
  <si>
    <t xml:space="preserve">PISAU PLS +SPUIT STAINLESS XZ-38 </t>
  </si>
  <si>
    <t xml:space="preserve">KUAS+PASTRY BAG+ SPUIT SET 9 AB056 </t>
  </si>
  <si>
    <t xml:space="preserve">SOLET+PASTRY BAG+ SPUIT SET 8 AB055 </t>
  </si>
  <si>
    <t xml:space="preserve">LOY PIE PAN 20CM 01023-1 </t>
  </si>
  <si>
    <t xml:space="preserve">LOY PIE PAN 24CM 01023-2 </t>
  </si>
  <si>
    <t xml:space="preserve">LOY PIE PAN 28CM 01023-3 </t>
  </si>
  <si>
    <t xml:space="preserve">POLISHER ADJUSTABLE SCR0014 </t>
  </si>
  <si>
    <t xml:space="preserve">SCRAPER SET2 GI04 </t>
  </si>
  <si>
    <t xml:space="preserve">KUAS SILICONE&amp;SOLET 16120-9 </t>
  </si>
  <si>
    <t xml:space="preserve">PISAU SPATULA SET3IN1 PIS0007 LISSE </t>
  </si>
  <si>
    <t xml:space="preserve">SOLET+WHISK+KUAS 3 B-001 </t>
  </si>
  <si>
    <t xml:space="preserve">SENDOK TAKAR SET 10 ST60 </t>
  </si>
  <si>
    <t xml:space="preserve">WHISK ROSEGOLD 20CM WHK0014 LISSE </t>
  </si>
  <si>
    <t xml:space="preserve">HANDMIXER ROSEGOLD 20CM TOL0071 LISSE </t>
  </si>
  <si>
    <t xml:space="preserve">VEGETABLE CUTTER MICKEY SET8 YR1810-1 </t>
  </si>
  <si>
    <t xml:space="preserve">VEGETABLE CUTTER BUNGA SET8 YR1810-2 </t>
  </si>
  <si>
    <t xml:space="preserve">LOY STAIN TRIANGLE SEKAT6 L6C0010 LISSE </t>
  </si>
  <si>
    <t xml:space="preserve">ROWN CUTTER 10CM SET4 YR1822-3 </t>
  </si>
  <si>
    <t xml:space="preserve">SPUIT SET14 YR1823 </t>
  </si>
  <si>
    <t xml:space="preserve">LILIN EKOR IKAN YH582 </t>
  </si>
  <si>
    <t xml:space="preserve">LILIN TWIST RAINBOW YH361-1C </t>
  </si>
  <si>
    <t xml:space="preserve">LILIN HATI PINK HX-019H </t>
  </si>
  <si>
    <t xml:space="preserve">LILIN BUNGA MIX LI75 </t>
  </si>
  <si>
    <t xml:space="preserve">LILIN ULIR EARNA PASTEL 6S GLX043 </t>
  </si>
  <si>
    <t xml:space="preserve">CENTONG PENGGORENG STAINLESS 0771-3 </t>
  </si>
  <si>
    <t xml:space="preserve">CENTONG PENGGORENG LUBANG 0771-4 </t>
  </si>
  <si>
    <t xml:space="preserve">SENDOK JUMBO STAINLESS 0771-8 </t>
  </si>
  <si>
    <t xml:space="preserve">KUAS BULU DOMBA KECIL KBD0001 LISSE </t>
  </si>
  <si>
    <t xml:space="preserve">KUAS BULU DOMBA SDG KBD0002 LISSE </t>
  </si>
  <si>
    <t xml:space="preserve">WHISK ELECTRIC 20CM WH19 </t>
  </si>
  <si>
    <t xml:space="preserve">RAGI INS PRIME 500GR </t>
  </si>
  <si>
    <t xml:space="preserve">LY ROASTER B CAKE+SILIKON WY04-5 </t>
  </si>
  <si>
    <t xml:space="preserve">LY COOKIE SHEET K CAKE+SILIKON WY04-7 </t>
  </si>
  <si>
    <t xml:space="preserve">LY COOKIE SHEET T CAKE+SILIKON WY04-8 </t>
  </si>
  <si>
    <t xml:space="preserve">LY COOKIE SHEET B CAKE+SILICONE WY04-9 </t>
  </si>
  <si>
    <t xml:space="preserve">LY BUNDT CAKE+SILICONE WY04-10 </t>
  </si>
  <si>
    <t xml:space="preserve">LY 6 CUP MUFFIN CAKE+SILICONE WY04-11 </t>
  </si>
  <si>
    <t xml:space="preserve">LY 6 CUP GIANT CAKE+SILICONE WY04-12 </t>
  </si>
  <si>
    <t xml:space="preserve">LY 12 CUP MUFFIN CAKE+SILICONE WY04-13 </t>
  </si>
  <si>
    <t xml:space="preserve">LY 24 CUP MUFFIN CAKE+SILICONE WY04-14 </t>
  </si>
  <si>
    <t xml:space="preserve">HAND MIXER 26CM TOL0011 </t>
  </si>
  <si>
    <t xml:space="preserve">SPUIT STAINLES 24 1613-2 </t>
  </si>
  <si>
    <t xml:space="preserve">SPUIT+PAKU+PS.POLES+KUAS T10-3 </t>
  </si>
  <si>
    <t xml:space="preserve">POTONGAN BULAT P945 </t>
  </si>
  <si>
    <t xml:space="preserve">SOLET SET5 SL787-11 </t>
  </si>
  <si>
    <t xml:space="preserve">SOLET SET 5 SL787-10 </t>
  </si>
  <si>
    <t xml:space="preserve">SOLET GAGANG BESI 26CM SL18 </t>
  </si>
  <si>
    <t xml:space="preserve">TARTE RING ROUND SET6 8CM ZN2698 </t>
  </si>
  <si>
    <t xml:space="preserve">PAKU BUNGA ZN390 </t>
  </si>
  <si>
    <t xml:space="preserve">KNIFE PEELER SCISSORS DCT183 </t>
  </si>
  <si>
    <t xml:space="preserve">PISAU RAINBOW PS9 </t>
  </si>
  <si>
    <t xml:space="preserve">CET BANGKET BLT 5S CB11 </t>
  </si>
  <si>
    <t xml:space="preserve">ABC KECAP MANIS 275ML </t>
  </si>
  <si>
    <t>ABC KECAP ASIN  131ML</t>
  </si>
  <si>
    <t xml:space="preserve">ABC SAMBAL AYM GORENG 135ML </t>
  </si>
  <si>
    <t xml:space="preserve">ABC SAMBAL ASLI 8GR </t>
  </si>
  <si>
    <t xml:space="preserve">ABC SAMBAL TERASI 180GR </t>
  </si>
  <si>
    <t xml:space="preserve">ABC SAMBAL ASLI BTL 275ML </t>
  </si>
  <si>
    <t xml:space="preserve">ABC SAMBAL ASLI BTL 600ML </t>
  </si>
  <si>
    <t xml:space="preserve">ABC SAUS TOMAT BTL 275ML </t>
  </si>
  <si>
    <t>ABC TERASI  UDANG 84G</t>
  </si>
  <si>
    <t xml:space="preserve">LARISSA KERUPUK SINGKONG 250GR </t>
  </si>
  <si>
    <t xml:space="preserve">DIANA CHERRY MERAH BTL 4.25KG </t>
  </si>
  <si>
    <t xml:space="preserve">DIANA CHERRY HIJAU BTL 4,25KG </t>
  </si>
  <si>
    <t xml:space="preserve">MARIZA SELAI SRIKAYA BTL 350GR </t>
  </si>
  <si>
    <t xml:space="preserve">MARIZA SELAI PINEAPPLE JAM 350GR </t>
  </si>
  <si>
    <t xml:space="preserve">MARIZA SELAI PEANUT BTL 325GR </t>
  </si>
  <si>
    <t xml:space="preserve">MORITA JAM COKLAT 150GR </t>
  </si>
  <si>
    <t xml:space="preserve">MORITA JAM PEANUT BUTTER 125GR  </t>
  </si>
  <si>
    <t xml:space="preserve">MORITA JAM STAWBERRY 150GR </t>
  </si>
  <si>
    <t xml:space="preserve">MORISCA PEANUT BUTTER JAM 150GR </t>
  </si>
  <si>
    <t xml:space="preserve">MORISCA STAWBERRY JAM 150GR </t>
  </si>
  <si>
    <t xml:space="preserve">PIRING MULIAPACK P6 </t>
  </si>
  <si>
    <t>NUTRISARI AMERICAN ORG  RTG</t>
  </si>
  <si>
    <t>NUTRISARI FLORIDA ORANGE  RTG</t>
  </si>
  <si>
    <t>NUTRISARI SIRSAK  RTG</t>
  </si>
  <si>
    <t>NUTRISARI ANGGUR  RTG</t>
  </si>
  <si>
    <t>NUTRISARI APPLE TEA  RTG 11GR</t>
  </si>
  <si>
    <t xml:space="preserve">KEJU KRAFT MIDI 70GR </t>
  </si>
  <si>
    <t xml:space="preserve">PISAU+SKRAP PS11 </t>
  </si>
  <si>
    <t xml:space="preserve">COFFE GRINDER LIVON </t>
  </si>
  <si>
    <t xml:space="preserve">CAKE LIFTER STAIN SCR0016 LISSE </t>
  </si>
  <si>
    <t xml:space="preserve">OLIVE OIL EXTRA VIRGIN 250ML </t>
  </si>
  <si>
    <t xml:space="preserve">KUAS SILICONE +SOLET KCL 1613-12K </t>
  </si>
  <si>
    <t xml:space="preserve">STAMPO RAVIOLI SET2 LY1500-2 </t>
  </si>
  <si>
    <t xml:space="preserve">FRUIT TOOLS FT2 </t>
  </si>
  <si>
    <t xml:space="preserve">APLICADOR MULTIUSO 4 TUBETES Y65-2440 </t>
  </si>
  <si>
    <t>MAMATA TOM YAUM  340gr</t>
  </si>
  <si>
    <t>PEJOY  VANILA HAKAIDO MILK 16GR</t>
  </si>
  <si>
    <t xml:space="preserve">FROSTIES 175GR </t>
  </si>
  <si>
    <t xml:space="preserve">FROSTIES 300GR </t>
  </si>
  <si>
    <t xml:space="preserve">COCO LOOPS 330GR </t>
  </si>
  <si>
    <t xml:space="preserve">LILIN PEPPERMINT LI4 </t>
  </si>
  <si>
    <t xml:space="preserve">POCI TEH SEDUH GOLD 40GR </t>
  </si>
  <si>
    <t xml:space="preserve">SG PEWARNA CAIR BLUE 30ML </t>
  </si>
  <si>
    <t xml:space="preserve">SG PEWARNA CAIR GREEN  30ML </t>
  </si>
  <si>
    <t xml:space="preserve">SG PEWARNA CAIR VIOLET 30ML </t>
  </si>
  <si>
    <t xml:space="preserve">SG PEWARNA CAIR ROSE PINK 30ML </t>
  </si>
  <si>
    <t xml:space="preserve">SG PEWARNA CAIR RED 30ML </t>
  </si>
  <si>
    <t xml:space="preserve">SG PEWARNA CAIR YELLOW 30ML </t>
  </si>
  <si>
    <t>TTP ALU OX 250  100S</t>
  </si>
  <si>
    <t xml:space="preserve">TOFFIECO RED VELVET PASTA 250GR </t>
  </si>
  <si>
    <t xml:space="preserve">TOFFIECO PANDAN WANGI PASTA 100GR </t>
  </si>
  <si>
    <t xml:space="preserve">TOFFIECO PANDAN WANGI PASTA 250GR </t>
  </si>
  <si>
    <t xml:space="preserve">SQ CHUNCKY BAR 85GR </t>
  </si>
  <si>
    <t xml:space="preserve">CERES CLASSIC 80GR </t>
  </si>
  <si>
    <t xml:space="preserve">CERES FESTIVE WRNA 80GR </t>
  </si>
  <si>
    <t xml:space="preserve">CERES CLASSIC 140GR </t>
  </si>
  <si>
    <t xml:space="preserve">CERES FESTIVE WRNA  200GR </t>
  </si>
  <si>
    <t xml:space="preserve">CERES MILK 80GR </t>
  </si>
  <si>
    <t xml:space="preserve">CERES MILK 140GR </t>
  </si>
  <si>
    <t xml:space="preserve">TULIP BUBUK NOIR 2,5KG </t>
  </si>
  <si>
    <t xml:space="preserve">CHACHA MILK PEANUT 20GR </t>
  </si>
  <si>
    <t xml:space="preserve">CHACHA MILK CHOCO 20GR </t>
  </si>
  <si>
    <t xml:space="preserve">TULIP MILK COMPOUND 250GR </t>
  </si>
  <si>
    <t xml:space="preserve">TULIP DARK COUMPOUND 225GR </t>
  </si>
  <si>
    <t xml:space="preserve">TULIP WHITE COMPOUND 225GR </t>
  </si>
  <si>
    <t xml:space="preserve">SASA 50GR </t>
  </si>
  <si>
    <t xml:space="preserve">TOFFIECO DURIAN  PASTA 100GR </t>
  </si>
  <si>
    <t xml:space="preserve">TOFFIECO COKLAT PASTA 100GR </t>
  </si>
  <si>
    <t xml:space="preserve">TOFFIECO MOKA SUPER PASTA 100GR </t>
  </si>
  <si>
    <t xml:space="preserve">TOFFIECO PANDAN PASTA 100GR </t>
  </si>
  <si>
    <t xml:space="preserve">TOFFIECO PANDAN PASTA 250GR </t>
  </si>
  <si>
    <t xml:space="preserve">TOFFIECO STRAW PASTA 100GR </t>
  </si>
  <si>
    <t xml:space="preserve">TOFFIECO VANILA PASTA 250GR </t>
  </si>
  <si>
    <t xml:space="preserve">TOFFIECO TIRAMISU PASTA  100GR </t>
  </si>
  <si>
    <t>TOFFIECO CONDENSE MILK  25CC</t>
  </si>
  <si>
    <t xml:space="preserve">K NUSANTARA FINNA  380GR </t>
  </si>
  <si>
    <t xml:space="preserve">K UDANG FINNA 380GR </t>
  </si>
  <si>
    <t xml:space="preserve">K BAWAL PTH FINNA 380GR </t>
  </si>
  <si>
    <t xml:space="preserve">INDOMILK SKM PLAIN 370GR </t>
  </si>
  <si>
    <t xml:space="preserve">KARA NATA DE COCO 360GR </t>
  </si>
  <si>
    <t>KARA NATA DE COCO  EMBER 1KG</t>
  </si>
  <si>
    <t xml:space="preserve">SUN KARA PWD 20GR </t>
  </si>
  <si>
    <t xml:space="preserve">INACO RASA VANILA EMBER 1KG </t>
  </si>
  <si>
    <t>NATA DE COCO  PANDAN  360GR</t>
  </si>
  <si>
    <t xml:space="preserve">INACO RASA VANILA PCH 1KG </t>
  </si>
  <si>
    <t xml:space="preserve">INACO SELASIH STRW PCH 1KG </t>
  </si>
  <si>
    <t xml:space="preserve">SASA TP PISANG GRG VANILLA 80GR </t>
  </si>
  <si>
    <t>SASA TP PISANG  GORENG VANILLA 210GR</t>
  </si>
  <si>
    <t xml:space="preserve">SASA SAMBAL EXTR PDS 340GR </t>
  </si>
  <si>
    <t xml:space="preserve">SASA SAMBAL ASLI  340ML </t>
  </si>
  <si>
    <t xml:space="preserve">SASA SAUS TOMAT PCH 950GR </t>
  </si>
  <si>
    <t xml:space="preserve">SASA TP BUMBU SERBAGUNA 210GR </t>
  </si>
  <si>
    <t xml:space="preserve">SASA TB KENTUCKY 200GR </t>
  </si>
  <si>
    <t xml:space="preserve">FF SKM CKLT PCH 535GR </t>
  </si>
  <si>
    <t xml:space="preserve">FF LOW FAT 946ML  </t>
  </si>
  <si>
    <t xml:space="preserve">FF UHT PF CKLT 946ML </t>
  </si>
  <si>
    <t xml:space="preserve">FF SKM CKLT 370GR </t>
  </si>
  <si>
    <t xml:space="preserve">FF SKM PUTIH 490GR </t>
  </si>
  <si>
    <t xml:space="preserve">FF SKM CKLT 490GR </t>
  </si>
  <si>
    <t xml:space="preserve">FACIAL TISSUE 250S JOLY </t>
  </si>
  <si>
    <t xml:space="preserve">FACIAL TISSUE 560GR 2PLY JOLLY </t>
  </si>
  <si>
    <t xml:space="preserve">POP UP 90GR JOLLY </t>
  </si>
  <si>
    <t xml:space="preserve">KULINER 10 ROLL JOLLY </t>
  </si>
  <si>
    <t xml:space="preserve">FACCIAL TISSUE 1000GR 2PLY JOLLY </t>
  </si>
  <si>
    <t xml:space="preserve">OREO COKLAT 119.6GR </t>
  </si>
  <si>
    <t xml:space="preserve">MASAKO AYAM 100GR </t>
  </si>
  <si>
    <t xml:space="preserve">MASAKO SAPI 100GR </t>
  </si>
  <si>
    <t xml:space="preserve">SAJIKU TPG BUMBU  SERBAGUNA 40GR </t>
  </si>
  <si>
    <t xml:space="preserve">SAJIKU GOLDEN CRISPY 200GR </t>
  </si>
  <si>
    <t xml:space="preserve">SAJIKU BAKWAN CRISPY 90GR </t>
  </si>
  <si>
    <t xml:space="preserve">SAJIKU BAKWAN CRISPY 210GR </t>
  </si>
  <si>
    <t xml:space="preserve">SAJIKU AYAM GORENG 24GR </t>
  </si>
  <si>
    <t xml:space="preserve">SAJIKU IKAN GORENG 18GR </t>
  </si>
  <si>
    <t xml:space="preserve">SAJIKU SOTO AYAM 20GR </t>
  </si>
  <si>
    <t xml:space="preserve">SAORI ASAM MANIS 25ML </t>
  </si>
  <si>
    <t xml:space="preserve">SAORI SAUS RASA MENTEGA 26ML </t>
  </si>
  <si>
    <t xml:space="preserve">SAORI SAUS LADA HTM 26ML </t>
  </si>
  <si>
    <t xml:space="preserve">SAORI SAUS TERIYAKI BTL 135ML </t>
  </si>
  <si>
    <t xml:space="preserve">SAORI SAUS TERIYAKI BTL 275ML </t>
  </si>
  <si>
    <t xml:space="preserve">SAORI TERIYAKI BTL 1L </t>
  </si>
  <si>
    <t xml:space="preserve">MAYUMI MAYO 100GR </t>
  </si>
  <si>
    <t xml:space="preserve">MAYUMI PEDAS 100GR </t>
  </si>
  <si>
    <t xml:space="preserve">SAJIKU SAYUR ASEM 25GR </t>
  </si>
  <si>
    <t xml:space="preserve">SAJIKU SAYUR SOP 19GR </t>
  </si>
  <si>
    <t xml:space="preserve">SAJIKU CAPCAY 20GR </t>
  </si>
  <si>
    <t xml:space="preserve">PONDAN CAKE MIX PANDAN 400GR </t>
  </si>
  <si>
    <t xml:space="preserve">PONDAN CAKE MIX CKLT 400GR </t>
  </si>
  <si>
    <t xml:space="preserve">PONDAN WHIP CREAM 150GR </t>
  </si>
  <si>
    <t xml:space="preserve">PONDAN CAKE MIX CHIFFON PANDAN 400GR </t>
  </si>
  <si>
    <t xml:space="preserve">PONDAN CAKE MIX BLCK FOREST KUKUS 400GR </t>
  </si>
  <si>
    <t xml:space="preserve">PONDAN CAKE MIX KETAN HTM 400GR </t>
  </si>
  <si>
    <t xml:space="preserve">PONDAN PUDDING FLAN MANGGA 180GR </t>
  </si>
  <si>
    <t xml:space="preserve">PONDAN PAN CAKE ORIGINAL 250GR </t>
  </si>
  <si>
    <t xml:space="preserve">UNIFOOD FRIED CHICKEN 50GR </t>
  </si>
  <si>
    <t xml:space="preserve">PONDAN BROWNIES 230GR </t>
  </si>
  <si>
    <t xml:space="preserve">PONDAN ICE CREAM VANILA 75GR </t>
  </si>
  <si>
    <t xml:space="preserve">PONDAN ICE CREAM STRAW 75GR </t>
  </si>
  <si>
    <t xml:space="preserve">PONDAN ICE CREAM CKLT 75GR </t>
  </si>
  <si>
    <t xml:space="preserve">PONDAN ICE CREAM VANILA 1KG </t>
  </si>
  <si>
    <t xml:space="preserve">PONDAN ICE CREAM COKLAT 1KG </t>
  </si>
  <si>
    <t xml:space="preserve">PONDAN ICE CREAM STRAW 1KG </t>
  </si>
  <si>
    <t xml:space="preserve">PONDAN SOFT ICE CREAM VANILA 1.1KG </t>
  </si>
  <si>
    <t xml:space="preserve">KEPALA DJENGGOT TEH MERAH 24X25S </t>
  </si>
  <si>
    <t xml:space="preserve">GOALPARA 50GR </t>
  </si>
  <si>
    <t xml:space="preserve">GOALPARA 100GR </t>
  </si>
  <si>
    <t xml:space="preserve">POLESAN KUE VELVET HAWAI </t>
  </si>
  <si>
    <t xml:space="preserve">SOFT BREAD 10GR </t>
  </si>
  <si>
    <t xml:space="preserve">GS DONAT 10GR </t>
  </si>
  <si>
    <t xml:space="preserve">POP ICE AVOCADO </t>
  </si>
  <si>
    <t>AGARASA COKLAT  22gr</t>
  </si>
  <si>
    <t xml:space="preserve">POP ICE ES TELER </t>
  </si>
  <si>
    <t xml:space="preserve">POP ICE SULTAN ITALIAN CHOCO </t>
  </si>
  <si>
    <t xml:space="preserve">TONG TJI JASMINE TEH CELUP 25S </t>
  </si>
  <si>
    <t xml:space="preserve">TONG TJI TEH ASLI 25S </t>
  </si>
  <si>
    <t xml:space="preserve">TONG TJI TEH ASLI 100S </t>
  </si>
  <si>
    <t xml:space="preserve">FORVITA MARGARIN 200GR </t>
  </si>
  <si>
    <t xml:space="preserve">KOEPOE LADA PUTIH 85GR </t>
  </si>
  <si>
    <t xml:space="preserve">KOEPOE LADA PUTIH 38GR </t>
  </si>
  <si>
    <t xml:space="preserve">KOEPOE BWG PUTIH BUBUK 130GR </t>
  </si>
  <si>
    <t xml:space="preserve">KOEPOE BWG PUTIH BUBUK 64GR </t>
  </si>
  <si>
    <t>KOEPOE PARSLEY  9GR</t>
  </si>
  <si>
    <t xml:space="preserve">KOEPOE BIJI SELASIH 50GR </t>
  </si>
  <si>
    <t xml:space="preserve">KOEPOE CITROEN ZUUR 65GR </t>
  </si>
  <si>
    <t xml:space="preserve">KOEPOE NATRIUM BENZOAT 33GR </t>
  </si>
  <si>
    <t xml:space="preserve">KOEPOE BUMBU SPEKUK 25GR </t>
  </si>
  <si>
    <t xml:space="preserve">KOEPOE CMC 43GR </t>
  </si>
  <si>
    <t xml:space="preserve">KOEPOE OVALET 75GR </t>
  </si>
  <si>
    <t xml:space="preserve">KOEPOE TBM 35GR </t>
  </si>
  <si>
    <t xml:space="preserve">KOEPOE TBM 80GR </t>
  </si>
  <si>
    <t xml:space="preserve">KOEPOE PEWARNA MERAH CABE 30ML </t>
  </si>
  <si>
    <t xml:space="preserve">KOEPOE PEWARNA MRH ROSE 30ML </t>
  </si>
  <si>
    <t xml:space="preserve">KOEPOE PEWARNA ORANYE 30ML </t>
  </si>
  <si>
    <t xml:space="preserve">KOEPOE PEWARNA BIRU 30ML </t>
  </si>
  <si>
    <t xml:space="preserve">DUA BELIBIS SAUS CABE 9GR </t>
  </si>
  <si>
    <t xml:space="preserve">DUA BELIBIS SAUS TOMAT 9GR </t>
  </si>
  <si>
    <t xml:space="preserve">DUA BELIBIS SAUS TOMAT 1KG </t>
  </si>
  <si>
    <t xml:space="preserve">DUA BELIBIS SAUS TOMAT 5KG </t>
  </si>
  <si>
    <t xml:space="preserve">HAAN BLCK FOREST KUKUS 400GR </t>
  </si>
  <si>
    <t xml:space="preserve">HAAN BROWNIES KUKUS 475GR </t>
  </si>
  <si>
    <t xml:space="preserve">LAROME COKLAT 500GR </t>
  </si>
  <si>
    <t xml:space="preserve">LAROME MOCCA 500GR </t>
  </si>
  <si>
    <t xml:space="preserve">LAROME PANDAN 100GR </t>
  </si>
  <si>
    <t xml:space="preserve">ZEELANDIA MAMON CAKE MIX 500GR </t>
  </si>
  <si>
    <t xml:space="preserve">ZIMUFFIN VANILLA 1KG </t>
  </si>
  <si>
    <t xml:space="preserve">LAROME GREEN TEA 50GR </t>
  </si>
  <si>
    <t xml:space="preserve">LAROME COKELAT 100GR </t>
  </si>
  <si>
    <t xml:space="preserve">ZEE AXE BB 5KG </t>
  </si>
  <si>
    <t xml:space="preserve">ZEELANDIA ATHENA BP 80GR </t>
  </si>
  <si>
    <t xml:space="preserve">HAAN MAIZENA 400GR </t>
  </si>
  <si>
    <t xml:space="preserve">HAAN PANCAKE VANILLA 180GR </t>
  </si>
  <si>
    <t xml:space="preserve">HAAN SELF RAISING FLOUR 400GR </t>
  </si>
  <si>
    <t xml:space="preserve">COLATTA STRAWBERY 250GR </t>
  </si>
  <si>
    <t xml:space="preserve">HAAN CKLAT PANCAKE 150GR </t>
  </si>
  <si>
    <t xml:space="preserve">HAAN CHEESE PANCAKE 150GR </t>
  </si>
  <si>
    <t xml:space="preserve">COLATTA CHOCO SPREAD 220GR </t>
  </si>
  <si>
    <t xml:space="preserve">COLATTA CHOCO HAZELNUT 220GR </t>
  </si>
  <si>
    <t xml:space="preserve">COLATTA CRUNCHY SPREAD 220GR </t>
  </si>
  <si>
    <t xml:space="preserve">HAAN PUDDING MANGGA PCH 145GR </t>
  </si>
  <si>
    <t xml:space="preserve">DONNY SARIKAYA 1KG </t>
  </si>
  <si>
    <t>TOTAL ALUMUNIUM FOIL  300</t>
  </si>
  <si>
    <t xml:space="preserve">TOTAL ALUMUNIUM FOIL 450 </t>
  </si>
  <si>
    <t xml:space="preserve">MG BARCO 1L </t>
  </si>
  <si>
    <t xml:space="preserve">MG BARCO REFF 2L </t>
  </si>
  <si>
    <t xml:space="preserve">MONTISS KITCHEN ROLL TOWEL </t>
  </si>
  <si>
    <t xml:space="preserve">OKEY NUGGET 500GR </t>
  </si>
  <si>
    <t xml:space="preserve">AKUMO NUGGET 500GR </t>
  </si>
  <si>
    <t xml:space="preserve">AKUMO NUGGET 1000GR </t>
  </si>
  <si>
    <t xml:space="preserve">CHAMP BURGER 315GR </t>
  </si>
  <si>
    <t>CHAMP ABC 225GR</t>
  </si>
  <si>
    <t xml:space="preserve">CHAMP BAKSO AYAM 500GR </t>
  </si>
  <si>
    <t xml:space="preserve">FIESTA SHOESTRING 500GR </t>
  </si>
  <si>
    <t xml:space="preserve">FIESTA SHOESTRING 1000GR </t>
  </si>
  <si>
    <t xml:space="preserve">CHAMP SOSIS SAPI 150GR </t>
  </si>
  <si>
    <t xml:space="preserve">CHAMP SOSIS SAPI 375GR </t>
  </si>
  <si>
    <t>REFINA GARAM  250GR</t>
  </si>
  <si>
    <t xml:space="preserve">BOTAN SARDEN 155GR </t>
  </si>
  <si>
    <t xml:space="preserve">BOTAN SARDEN 425GR </t>
  </si>
  <si>
    <t xml:space="preserve">GREENFIELDS CHCOMALT 1KG </t>
  </si>
  <si>
    <t xml:space="preserve">DIXI CUKA MAKAN 150ML </t>
  </si>
  <si>
    <t xml:space="preserve">DIXI CUKA MAKAN 650ML </t>
  </si>
  <si>
    <t xml:space="preserve">KEJU DAIRYBLUE 180GR </t>
  </si>
  <si>
    <t xml:space="preserve">EDO PIZZA BASE 120GR </t>
  </si>
  <si>
    <t xml:space="preserve">EDO FISH BALL 250GR </t>
  </si>
  <si>
    <t xml:space="preserve">RED BELL COKELAT </t>
  </si>
  <si>
    <t>CROSS LIQUID CHOCOLATE  60ML</t>
  </si>
  <si>
    <t xml:space="preserve">GARAM HALUS IKAN LAYANG 250GR </t>
  </si>
  <si>
    <t xml:space="preserve">MAZZONI MAYONAISE ECO 1KG </t>
  </si>
  <si>
    <t xml:space="preserve">RAGI INS MAURIPAN LOKAL 500GR </t>
  </si>
  <si>
    <t xml:space="preserve">MAIZENA HOLLAND 150GR </t>
  </si>
  <si>
    <t xml:space="preserve">MMSK TP BUMBU KRISPI 210GR </t>
  </si>
  <si>
    <t xml:space="preserve">MMSK TP BAKWAN JAGUNG 170GR </t>
  </si>
  <si>
    <t xml:space="preserve">MMSK TP BAKWAN UDANG 180GR </t>
  </si>
  <si>
    <t xml:space="preserve">MMSK TP KRISPI LADA HITAM 170GR </t>
  </si>
  <si>
    <t xml:space="preserve">MMSK TP PISANG RASA PANDAN 210GR </t>
  </si>
  <si>
    <t xml:space="preserve">MMSK TP PISANG RASA VANILA 210GR </t>
  </si>
  <si>
    <t xml:space="preserve">MMSK SUP KRIM JAGUNG 55GR </t>
  </si>
  <si>
    <t xml:space="preserve">MMSK SUP KRIM JAMUR 55GR </t>
  </si>
  <si>
    <t xml:space="preserve">MS TBM 25GR </t>
  </si>
  <si>
    <t xml:space="preserve">MS CREAM OF TATAR 25GR </t>
  </si>
  <si>
    <t xml:space="preserve">MS BICARBONATE 25GR </t>
  </si>
  <si>
    <t xml:space="preserve">MS SODA POWDER 25GR </t>
  </si>
  <si>
    <t xml:space="preserve">CET AGAR KRISAN </t>
  </si>
  <si>
    <t>ETIRA JAMUR  KANCING WHOLE 250GR</t>
  </si>
  <si>
    <t>KOBE TP TEMPE KRIUK  GOR 70GR</t>
  </si>
  <si>
    <t xml:space="preserve">BONCABE LV30 200GR </t>
  </si>
  <si>
    <t xml:space="preserve">MORIN KAYA SPREAD 250GR </t>
  </si>
  <si>
    <t xml:space="preserve">MORIN KAYA SPREAD 170GR </t>
  </si>
  <si>
    <t xml:space="preserve">MORIN PINEAPPLE JAM 330GR </t>
  </si>
  <si>
    <t xml:space="preserve">MORIN PINEAPPLE JAM 250GR </t>
  </si>
  <si>
    <t xml:space="preserve">MORIN STRAW JAM 250GR </t>
  </si>
  <si>
    <t xml:space="preserve">MORIN STRAW JAM 170GR </t>
  </si>
  <si>
    <t xml:space="preserve">MORIN PEANUT BUTTER 300GR </t>
  </si>
  <si>
    <t xml:space="preserve">MORIN PEANUT BUTTER 250GR </t>
  </si>
  <si>
    <t xml:space="preserve">MORIN PEANUT BUTTER 150GR </t>
  </si>
  <si>
    <t xml:space="preserve">MORIN CHOCO PEANUT 300GR </t>
  </si>
  <si>
    <t xml:space="preserve">MORIN CHOCO PEANUT 250GR </t>
  </si>
  <si>
    <t>NARAYA  RAMBUTAN+NANAS</t>
  </si>
  <si>
    <t>K SARI UDANG PANDA  500GR</t>
  </si>
  <si>
    <t xml:space="preserve">LION 60CC ES TELER  </t>
  </si>
  <si>
    <t xml:space="preserve">MAZZONI BERBEQUE 1KG </t>
  </si>
  <si>
    <t xml:space="preserve">GARAM HALUS SARCIL 200GR </t>
  </si>
  <si>
    <t xml:space="preserve">BOX TPS LUX GRT 24X24 </t>
  </si>
  <si>
    <t xml:space="preserve">BOX TPS LUX GRT 25X25 </t>
  </si>
  <si>
    <t xml:space="preserve">BOX GS 13,5X21 SM MARTABAK </t>
  </si>
  <si>
    <t xml:space="preserve">BOX GS 12X12 SM </t>
  </si>
  <si>
    <t xml:space="preserve">BOX GS 14X12 SM </t>
  </si>
  <si>
    <t xml:space="preserve">BOX GS 15X15 SM </t>
  </si>
  <si>
    <t xml:space="preserve">BOX GS 16X12 SM </t>
  </si>
  <si>
    <t xml:space="preserve">BOX GS 18X18 SM </t>
  </si>
  <si>
    <t xml:space="preserve">BOX GS 20X20 SM </t>
  </si>
  <si>
    <t xml:space="preserve">BOX GS 13,5X21 SM </t>
  </si>
  <si>
    <t xml:space="preserve">BOX GS 14X12 GRETEL </t>
  </si>
  <si>
    <t xml:space="preserve">BOX GS 15X15 GRETEL </t>
  </si>
  <si>
    <t xml:space="preserve">BOX GS 16X12 GRETEL </t>
  </si>
  <si>
    <t xml:space="preserve">BOX GS 18X18  GRETEL </t>
  </si>
  <si>
    <t xml:space="preserve">BOX GS 20X20 GRETEL </t>
  </si>
  <si>
    <t xml:space="preserve">BOX GS 25X25 GRETEL </t>
  </si>
  <si>
    <t xml:space="preserve">BOX GS 30X30 GRETEL </t>
  </si>
  <si>
    <t xml:space="preserve">BOX TPS 35X35 GRETEL </t>
  </si>
  <si>
    <t xml:space="preserve">BOX TPS 30X30 GRETEL </t>
  </si>
  <si>
    <t xml:space="preserve">BOX TPS 22X22 GRETEL </t>
  </si>
  <si>
    <t xml:space="preserve">BOX TPS 20X20 GRETEL </t>
  </si>
  <si>
    <t xml:space="preserve">BOX GS 12X12 CAESAR </t>
  </si>
  <si>
    <t xml:space="preserve">BOX GS 14X12 CAESAR </t>
  </si>
  <si>
    <t xml:space="preserve">BOX GS 12X12 DRACO  </t>
  </si>
  <si>
    <t xml:space="preserve">BOX GS 14X12 DRACO  </t>
  </si>
  <si>
    <t xml:space="preserve">BOX GS 25X25 SM PIZZA </t>
  </si>
  <si>
    <t xml:space="preserve">BOX GS 20X20 SM PIZZA  </t>
  </si>
  <si>
    <t xml:space="preserve">BOX GS 12X12 POLOS </t>
  </si>
  <si>
    <t xml:space="preserve">KIKKOMAN SAUS BULGOGI 300GR </t>
  </si>
  <si>
    <t xml:space="preserve">KIKKOMAN SAUS BUMBU RASA TIRAM 300GR </t>
  </si>
  <si>
    <t xml:space="preserve">KIKKOMAN SAUS GOCHUJANG 300GR </t>
  </si>
  <si>
    <t xml:space="preserve">KIKKOMAN KCP ASIN JEPANG TRAVEL 150ML </t>
  </si>
  <si>
    <t xml:space="preserve">BAKING PAN 22CM ORCHID </t>
  </si>
  <si>
    <t xml:space="preserve">BAKING PAN 24CM ORCHID </t>
  </si>
  <si>
    <t xml:space="preserve">MARIZA CARAMEL TOPPING 350GR </t>
  </si>
  <si>
    <t xml:space="preserve">MARIZA STRAWBERRY TOPPING 200GR </t>
  </si>
  <si>
    <t xml:space="preserve">MARIZA CHOCOLATE TOPPING 200GR </t>
  </si>
  <si>
    <t xml:space="preserve">MARIZA SELAI SRIKAYA BTL 250GR </t>
  </si>
  <si>
    <t xml:space="preserve">MORISCA CHOCOLATE JAM 125GR </t>
  </si>
  <si>
    <t xml:space="preserve">MORISCA SRIKAYA JAM 170GR </t>
  </si>
  <si>
    <t xml:space="preserve">ELMER COMP CAPUCCINO 1KG </t>
  </si>
  <si>
    <t xml:space="preserve">ELMER COMP LEMON 1KG </t>
  </si>
  <si>
    <t xml:space="preserve">ELMER COMP STRAW 1KG </t>
  </si>
  <si>
    <t xml:space="preserve">ELMER COMP BLUEBERRY 1KG </t>
  </si>
  <si>
    <t xml:space="preserve">ELMER COMP GRAPE 1KG </t>
  </si>
  <si>
    <t xml:space="preserve">ELMER COMP MELON 1KG </t>
  </si>
  <si>
    <t xml:space="preserve">ELMER COMP APPLE 1KG </t>
  </si>
  <si>
    <t xml:space="preserve">ELMER COMP BANANA 1KG </t>
  </si>
  <si>
    <t xml:space="preserve">ELMER COMP RASPBERRY 1KG </t>
  </si>
  <si>
    <t xml:space="preserve">ELMER COMP TARO 1KG </t>
  </si>
  <si>
    <t xml:space="preserve">PLAZA FILLING DECOR 1KG </t>
  </si>
  <si>
    <t xml:space="preserve">PLAZA GLAZE ECO DARK REFF 1KG </t>
  </si>
  <si>
    <t xml:space="preserve">ELMER GLAZE AVOCADO 1KG TUB </t>
  </si>
  <si>
    <t>CEDEA FISH DUMPLING CHICKEN 500GR</t>
  </si>
  <si>
    <t xml:space="preserve">JAYS PAPRIKA POWDER 70GR </t>
  </si>
  <si>
    <t xml:space="preserve">JAYS OREGANO LEAVES 25GR </t>
  </si>
  <si>
    <t xml:space="preserve">JAYS BASIL LEAVES  20GR </t>
  </si>
  <si>
    <t xml:space="preserve">JAYS PARSLEY FLAKES 20GR </t>
  </si>
  <si>
    <t xml:space="preserve">JAYS ROSEMARY 40GR </t>
  </si>
  <si>
    <t xml:space="preserve">JAYS THYME LEAVES 27GR </t>
  </si>
  <si>
    <t>JAYS CAJUN SEASONING SPICE BLEND  30GR</t>
  </si>
  <si>
    <t>MIE LIDI CAP KELONG 350GR</t>
  </si>
  <si>
    <t xml:space="preserve">K PF 500GR </t>
  </si>
  <si>
    <t xml:space="preserve">BUBUK KUNYIT JEMPOL 500GR </t>
  </si>
  <si>
    <t xml:space="preserve">PURATOS CARAT COVERLUX DARK 1KG </t>
  </si>
  <si>
    <t xml:space="preserve">PURATOS S500 ACTI PLUS 500GR </t>
  </si>
  <si>
    <t xml:space="preserve">PURATOS CARAT COVER DARK 1KG </t>
  </si>
  <si>
    <t xml:space="preserve">PURATOS CREMFIL VANILLA 1KG </t>
  </si>
  <si>
    <t xml:space="preserve">PURATOS CREMFIL DURIAN 1KG </t>
  </si>
  <si>
    <t xml:space="preserve">PURATOS CARAT SUPERCREM 1KG </t>
  </si>
  <si>
    <t xml:space="preserve">SCS WYSMAN 60ML </t>
  </si>
  <si>
    <t xml:space="preserve">MERCOLADE RED STRW 1KG </t>
  </si>
  <si>
    <t xml:space="preserve">MERCOLADE PINK STRAW 1KG </t>
  </si>
  <si>
    <t xml:space="preserve">MERCOLADE MINTY 1KG </t>
  </si>
  <si>
    <t xml:space="preserve">MERCOLADE VIOLET 1KG </t>
  </si>
  <si>
    <t xml:space="preserve">MERCOLADE CAPU 1KG </t>
  </si>
  <si>
    <t xml:space="preserve">MERCOLADE AVOCADO 1KG </t>
  </si>
  <si>
    <t xml:space="preserve">MERCOLADE BANANA 1KG </t>
  </si>
  <si>
    <t xml:space="preserve">MERO LBC RASAKAYA 1KG </t>
  </si>
  <si>
    <t xml:space="preserve">MERO LBC BUTTER CARAMEL 1KG </t>
  </si>
  <si>
    <t xml:space="preserve">ANTAKA BBQ 100GR </t>
  </si>
  <si>
    <t xml:space="preserve">ANTAKA PEDAS MNS 100GR </t>
  </si>
  <si>
    <t xml:space="preserve">ANTAKA AYAM BAKAR 100GR </t>
  </si>
  <si>
    <t xml:space="preserve">ANTAKA KEJU MANIS 100GR </t>
  </si>
  <si>
    <t xml:space="preserve">ANTAKA KEJU ASIN 100GR </t>
  </si>
  <si>
    <t>ANTAKA TUM TUM  100GR</t>
  </si>
  <si>
    <t xml:space="preserve">ABROFOOD PALA BUBUK 10GR </t>
  </si>
  <si>
    <t xml:space="preserve">ABROFOOD KAYU MANIS BUBUK 10GR </t>
  </si>
  <si>
    <t xml:space="preserve">ABROFOOD BUMBU SPEKUK 10GR </t>
  </si>
  <si>
    <t xml:space="preserve">LADA HITAM BUBUK 10GR </t>
  </si>
  <si>
    <t xml:space="preserve">BAKING POWDER PINGUIN 60GR </t>
  </si>
  <si>
    <t xml:space="preserve">CREME CASTLE SKM POUCH 1KG </t>
  </si>
  <si>
    <t xml:space="preserve">SWAN B VANILLA LATTE 500GR </t>
  </si>
  <si>
    <t xml:space="preserve">SWAN B BUBBLE GUM 500GR </t>
  </si>
  <si>
    <t xml:space="preserve">MS MAYONAISE 300GR </t>
  </si>
  <si>
    <t xml:space="preserve">SUNQUICK MANGO 300ML </t>
  </si>
  <si>
    <t xml:space="preserve">MAESTRO MUSTARD BTL 245GR </t>
  </si>
  <si>
    <t xml:space="preserve">MAESTRO MAYONAISE 25GR </t>
  </si>
  <si>
    <t xml:space="preserve">MAESTRO MAYONAISE 100GR </t>
  </si>
  <si>
    <t xml:space="preserve">MAESTRO MAYONAISE 180GR </t>
  </si>
  <si>
    <t xml:space="preserve">MAESTRO MAYONAISE BTL 225ML </t>
  </si>
  <si>
    <t xml:space="preserve">MAESTRO THOUSAND ISLAND BTL 237ML </t>
  </si>
  <si>
    <t xml:space="preserve">DELMONTE KETCHUP TOMAT 8GR </t>
  </si>
  <si>
    <t xml:space="preserve">DELMONTE KETCHUP TOMAT 200GR </t>
  </si>
  <si>
    <t xml:space="preserve">DELMONTE CHILI EXT HOT PCH 200GR </t>
  </si>
  <si>
    <t xml:space="preserve">DELMONTE SPAGHETTI SAUCE 330GR </t>
  </si>
  <si>
    <t xml:space="preserve">DELMONTE BBQ SAUCE BTL 330GR </t>
  </si>
  <si>
    <t xml:space="preserve">FOYU KRIMER  500GR </t>
  </si>
  <si>
    <t xml:space="preserve">DIAMOND ICE CRM NEOPOLITAN 8L </t>
  </si>
  <si>
    <t>DIAMOND ICE CREAM VANILA CHO CIPS  700ML</t>
  </si>
  <si>
    <t xml:space="preserve">DIAMOND UHT FRESH MILK 946ML </t>
  </si>
  <si>
    <t xml:space="preserve">BIOKUL YOGURT PLAIN 500ML </t>
  </si>
  <si>
    <t xml:space="preserve">DIAMOND ICE CRM COKLAT 8L </t>
  </si>
  <si>
    <t>BANGO KECAP 210ML</t>
  </si>
  <si>
    <t>SARI WANGI TB  25</t>
  </si>
  <si>
    <t>ANCHOR PARMESAN  0,8</t>
  </si>
  <si>
    <t>ACUAN NO 131  TAT GULUNG</t>
  </si>
  <si>
    <t>CRAPER PLASTIK ACUAN  NO 211</t>
  </si>
  <si>
    <t>CAKE KNIFE ACUAN  NO.218</t>
  </si>
  <si>
    <t xml:space="preserve">GAYUNG AIR MINUM NCI7222 </t>
  </si>
  <si>
    <t xml:space="preserve">CET KUE JALA 2S  YUKAFO </t>
  </si>
  <si>
    <t xml:space="preserve">ADABI KARI AYAM DAN DAGING 250GR </t>
  </si>
  <si>
    <t xml:space="preserve">ADABI SUP TULANG </t>
  </si>
  <si>
    <t xml:space="preserve">ADABI PERENCAH TOM YAM BTL 200GR </t>
  </si>
  <si>
    <t xml:space="preserve">ADABI NASI GORENG KAMPUNG 17GR </t>
  </si>
  <si>
    <t xml:space="preserve">ADABI PASTA ASAM JAWA 200GR </t>
  </si>
  <si>
    <t>11747234207</t>
  </si>
  <si>
    <t>41736001701</t>
  </si>
  <si>
    <t>45666638334</t>
  </si>
  <si>
    <t>49800101579</t>
  </si>
  <si>
    <t>49800102781</t>
  </si>
  <si>
    <t>78895129960</t>
  </si>
  <si>
    <t>78895210118</t>
  </si>
  <si>
    <t>78895300031</t>
  </si>
  <si>
    <t>78895300048</t>
  </si>
  <si>
    <t>78895710922</t>
  </si>
  <si>
    <t>89686420098</t>
  </si>
  <si>
    <t>89686420678</t>
  </si>
  <si>
    <t>10425291</t>
  </si>
  <si>
    <t>8993207240787</t>
  </si>
  <si>
    <t>8997014356563</t>
  </si>
  <si>
    <t>8999999012625</t>
  </si>
  <si>
    <t>progres prio 1 LOLONG</t>
  </si>
  <si>
    <t>tanggal</t>
  </si>
  <si>
    <t>over 150%</t>
  </si>
  <si>
    <t>BOX GS 14X12 MOTIF SP HJ DC250</t>
  </si>
  <si>
    <t>CARLO PAN GREASE 20KG</t>
  </si>
  <si>
    <t>ADABI TEPUNG BUMBU PISANG 250GR</t>
  </si>
  <si>
    <t>10425537</t>
  </si>
  <si>
    <t>TAS HANDLE MOTIF BUNGA</t>
  </si>
  <si>
    <t>8906000170243</t>
  </si>
  <si>
    <t>EMPEROR AKB KAPULAGA INDIA 1KG</t>
  </si>
  <si>
    <t>8991002102217</t>
  </si>
  <si>
    <t>EXCELSO ARABICA GOLD BIJI 200GR</t>
  </si>
  <si>
    <t>8991002103436</t>
  </si>
  <si>
    <t>GOOD DAY COOLIN COFFE 10S</t>
  </si>
  <si>
    <t>8992797220018</t>
  </si>
  <si>
    <t>KEPALA DJENGGOT TEH JAHE WANGI 200GR</t>
  </si>
  <si>
    <t>8999999615741</t>
  </si>
  <si>
    <t>BANGO KECAP 700GR + 189GR</t>
  </si>
  <si>
    <t>9916998405400</t>
  </si>
  <si>
    <t>BERNARDI BAKSO SAPI 150GR</t>
  </si>
  <si>
    <t>10411756</t>
  </si>
  <si>
    <t>MISES GREAT LION CKLT 12.5KG</t>
  </si>
  <si>
    <t>10422425</t>
  </si>
  <si>
    <t>10530208</t>
  </si>
  <si>
    <t>8992704412215</t>
  </si>
  <si>
    <t>BUMIFOOD EBI FURAI 220GR</t>
  </si>
  <si>
    <t>8994302008517</t>
  </si>
  <si>
    <t xml:space="preserve">KAPULAGA INDIA 1KG </t>
  </si>
  <si>
    <t>SOUN VERMICELLI HOME 250GR</t>
  </si>
  <si>
    <t>SOUN VERMICELLI HOME 500GR</t>
  </si>
  <si>
    <t>SOUN VERMICELLI HOME 50GR</t>
  </si>
  <si>
    <t>SOUN VERMICELLI HOME 100GR</t>
  </si>
  <si>
    <t>SOUN VERMICELLI  XIANGLONG 50GR</t>
  </si>
  <si>
    <t>SOUN VERMICELLI XIANGLONG 250GR</t>
  </si>
  <si>
    <t>SOUN VERMICELLI XIANGLONG 500GR</t>
  </si>
  <si>
    <t xml:space="preserve">ZEELANDIA CARLO PAND GREASE 500GR </t>
  </si>
  <si>
    <t>MIN</t>
  </si>
  <si>
    <t>10200179</t>
  </si>
  <si>
    <t>ABON AYAM 250GR</t>
  </si>
  <si>
    <t>ACRILIK HB MYHUSBAND YTA-0003B</t>
  </si>
  <si>
    <t>8993207130057</t>
  </si>
  <si>
    <t>AKUMO NUGGET 250GR</t>
  </si>
  <si>
    <t>10100398</t>
  </si>
  <si>
    <t>ALBA 500GR</t>
  </si>
  <si>
    <t>ALSHIFA MADU 1KG</t>
  </si>
  <si>
    <t>ALSHIFA MADU 250ML</t>
  </si>
  <si>
    <t>10420365</t>
  </si>
  <si>
    <t>ALU BX 2551 1S</t>
  </si>
  <si>
    <t>AMPADU TANAH 1KG</t>
  </si>
  <si>
    <t>AMPADU TANAH 50GR</t>
  </si>
  <si>
    <t>4450023000000</t>
  </si>
  <si>
    <t>APITO CHOCOLATE EMULCO 2KG</t>
  </si>
  <si>
    <t>8993207201801</t>
  </si>
  <si>
    <t>ASIMO STIK 500GR</t>
  </si>
  <si>
    <t>BANGO KECAP MANIS 1KG</t>
  </si>
  <si>
    <t>10420500</t>
  </si>
  <si>
    <t>BAWANG GORENG MAMA MIA 100gr</t>
  </si>
  <si>
    <t>10420501</t>
  </si>
  <si>
    <t>BAWANG GORENG MAMA MIA 250gr</t>
  </si>
  <si>
    <t>8994130899523</t>
  </si>
  <si>
    <t>BELFOODS CHICKEN NUGET 170GR</t>
  </si>
  <si>
    <t>5041957231609</t>
  </si>
  <si>
    <t>BENERAN CHICKEN KATSU 400GR</t>
  </si>
  <si>
    <t>9781234567897</t>
  </si>
  <si>
    <t>BENERAN CIRENG SMBL RUJAK 380GR</t>
  </si>
  <si>
    <t>504195723220</t>
  </si>
  <si>
    <t>BENERAN DIMSUM AYAM 500GR</t>
  </si>
  <si>
    <t>504195723145</t>
  </si>
  <si>
    <t>BENERAN DIMSUM MIX 250GR</t>
  </si>
  <si>
    <t>504195723251</t>
  </si>
  <si>
    <t>BENERAN DIMSUM MIX 500GR</t>
  </si>
  <si>
    <t>725272730706</t>
  </si>
  <si>
    <t>BENERAN GOHYONG AYAM 600GR</t>
  </si>
  <si>
    <t>504195723268</t>
  </si>
  <si>
    <t>BENERAN SNACK SAMOSA CHICKEN CURRY 500GR</t>
  </si>
  <si>
    <t>10410553</t>
  </si>
  <si>
    <t>BENSDROP 1/2KG</t>
  </si>
  <si>
    <t>10410236</t>
  </si>
  <si>
    <t>BENSDROP 100GR</t>
  </si>
  <si>
    <t>10410405</t>
  </si>
  <si>
    <t>BENSDROP 1KG</t>
  </si>
  <si>
    <t>10410025</t>
  </si>
  <si>
    <t>BENSDROP 250GR</t>
  </si>
  <si>
    <t>10412385</t>
  </si>
  <si>
    <t>BENSDROP 25KG</t>
  </si>
  <si>
    <t>9916500302302</t>
  </si>
  <si>
    <t>BERNARDI BAKSO AYAM BESAR 340GR</t>
  </si>
  <si>
    <t>9916500301305</t>
  </si>
  <si>
    <t>BERNARDI BAKSO AYAM KECIL 360GR 50S</t>
  </si>
  <si>
    <t>9915250301306</t>
  </si>
  <si>
    <t>BERNARDI BURGER AYAM 250GR</t>
  </si>
  <si>
    <t>8997207132356</t>
  </si>
  <si>
    <t>BERNARDI EASY BITES SOSIS AYAM&amp;SAPI KEJU 65GR</t>
  </si>
  <si>
    <t>8997207132363</t>
  </si>
  <si>
    <t>BERNARDI EASY BITES SOSIS AYAM&amp;SAPI ORIGINAL 65GR</t>
  </si>
  <si>
    <t>8997207132370</t>
  </si>
  <si>
    <t>BERNARDI EASY BITES SOSIS AYAM&amp;SAPI PICCOLO 65GR</t>
  </si>
  <si>
    <t>9912500104106</t>
  </si>
  <si>
    <t>BERNARDI SOSIS SAPI 500GR</t>
  </si>
  <si>
    <t>9911380301001</t>
  </si>
  <si>
    <t>BERNARDI SPICED CHICKEN WINGS 380GR</t>
  </si>
  <si>
    <t>8997023079521</t>
  </si>
  <si>
    <t>BERNARDI YONG TOFU 300GR</t>
  </si>
  <si>
    <t>10411169</t>
  </si>
  <si>
    <t>BEST BUBBLE MOCACINO 1KG</t>
  </si>
  <si>
    <t>BIDARA LAUT 50</t>
  </si>
  <si>
    <t>10412274</t>
  </si>
  <si>
    <t>BIDAYAH DAGING KEBAB 1KG</t>
  </si>
  <si>
    <t>8992704002416</t>
  </si>
  <si>
    <t>BUMIFOOD MINI WONTON 350GR</t>
  </si>
  <si>
    <t>5410522655346</t>
  </si>
  <si>
    <t>CALLEBAUT RUBY CHOCOLATE 2.5KG</t>
  </si>
  <si>
    <t>8997014350233</t>
  </si>
  <si>
    <t>CEDEA EOMUK BAR CHEESE 200GR</t>
  </si>
  <si>
    <t>8993207191621</t>
  </si>
  <si>
    <t>CHAMP SIOMAY 180GR</t>
  </si>
  <si>
    <t>8993207730028</t>
  </si>
  <si>
    <t>CHAMP SOSIS AYAM 150GR</t>
  </si>
  <si>
    <t>8993207240718</t>
  </si>
  <si>
    <t>CHAMP STIKIE 450GR</t>
  </si>
  <si>
    <t>8996129800626</t>
  </si>
  <si>
    <t>CLEO ECO 330ML</t>
  </si>
  <si>
    <t>8997227040020</t>
  </si>
  <si>
    <t>CLING WRAP 30MX30XM</t>
  </si>
  <si>
    <t>DIAMOND COKLAT COMP 1KG</t>
  </si>
  <si>
    <t>DIAMOND COMPOUND MILK 1KG</t>
  </si>
  <si>
    <t>DIAMOND WHITE COMP 1KG</t>
  </si>
  <si>
    <t>8993492101923</t>
  </si>
  <si>
    <t>EDO TOFU FISCH CAKE 250GR</t>
  </si>
  <si>
    <t>ELMER CHIP WHITE MINI 5KG</t>
  </si>
  <si>
    <t>ELMER CHIPS MINI WHT 1/2 KG</t>
  </si>
  <si>
    <t>ELMER CHIPS MINI WHT 100gr</t>
  </si>
  <si>
    <t>ELMER CHIPS MINI WHT 250GR</t>
  </si>
  <si>
    <t>10410391</t>
  </si>
  <si>
    <t>FF SKM CKLT PCH 280GR</t>
  </si>
  <si>
    <t>FF SKM CKLT PCH 545GR</t>
  </si>
  <si>
    <t>FF SKM GOLD PCH 24X280GR</t>
  </si>
  <si>
    <t>FF SKM PUTIH PCH 545GR</t>
  </si>
  <si>
    <t>8993207240602</t>
  </si>
  <si>
    <t>FIESTA CHEESY LOVER 400GR</t>
  </si>
  <si>
    <t>8993207240596</t>
  </si>
  <si>
    <t>FIESTA FRIED CHICKEN 400GR</t>
  </si>
  <si>
    <t>8993207240848</t>
  </si>
  <si>
    <t>FIESTA NUGGET DINO 400GR</t>
  </si>
  <si>
    <t>8993207240855</t>
  </si>
  <si>
    <t>FIESTA NUGGET HAPPY STAR 400GR</t>
  </si>
  <si>
    <t>8993207240862</t>
  </si>
  <si>
    <t>FIESTA NUGGET PIZZA ABC 400GR</t>
  </si>
  <si>
    <t>8993207223131</t>
  </si>
  <si>
    <t>FIESTA READY SAUSAGE 65GR</t>
  </si>
  <si>
    <t>8993207240572</t>
  </si>
  <si>
    <t>FIESTA SPICY KARAGE 400GR</t>
  </si>
  <si>
    <t>8992946522635</t>
  </si>
  <si>
    <t>FORVITA MARGARINE 15KG</t>
  </si>
  <si>
    <t>10540078</t>
  </si>
  <si>
    <t>GELAS 22 OZ OVAL GLASINDO</t>
  </si>
  <si>
    <t>GELAS 22 OZ STARINDD</t>
  </si>
  <si>
    <t>8997015494677</t>
  </si>
  <si>
    <t>GELATINE DANIEL 1KG</t>
  </si>
  <si>
    <t>8850370771466</t>
  </si>
  <si>
    <t>GREENTEA MIX THAI TEA 100GR 5S</t>
  </si>
  <si>
    <t>GREENTEA MIX THAI TEA 200GR</t>
  </si>
  <si>
    <t>GROOVY SODA WATER 330ML</t>
  </si>
  <si>
    <t>8997204220117</t>
  </si>
  <si>
    <t>HATO NUGGET DINO 500GR</t>
  </si>
  <si>
    <t>8997204220209</t>
  </si>
  <si>
    <t>HATO NUGGET FILLET 500GR</t>
  </si>
  <si>
    <t>8991818070137</t>
  </si>
  <si>
    <t>HOME STRAIGHT CUT 1KG</t>
  </si>
  <si>
    <t>INDOFOOD KECAP MANIS 520ML</t>
  </si>
  <si>
    <t>8997001450762</t>
  </si>
  <si>
    <t>INDOMINA BAKSO IKAN 500GR</t>
  </si>
  <si>
    <t>8997001450908</t>
  </si>
  <si>
    <t>INDOMINA CUMI FLOWER 500GR</t>
  </si>
  <si>
    <t>8997001450571</t>
  </si>
  <si>
    <t>INDOMINA ORIENTAL CARTOON FISH BALL 500GR</t>
  </si>
  <si>
    <t>8997001450427</t>
  </si>
  <si>
    <t>INDOMINA SOSIS SALJU 500GR</t>
  </si>
  <si>
    <t>8853478001565</t>
  </si>
  <si>
    <t>JAGUNG KLG BAGUS 425GR</t>
  </si>
  <si>
    <t>KACANG HIJAU IMPOR 1KG</t>
  </si>
  <si>
    <t>KACANG HIJAU IMPOR 25KG</t>
  </si>
  <si>
    <t>8993200661503</t>
  </si>
  <si>
    <t>KANZLER BEEF WIENER 360GR</t>
  </si>
  <si>
    <t>8993200344215</t>
  </si>
  <si>
    <t>KANZLER BLACKPEPPER 300GR</t>
  </si>
  <si>
    <t>8993200345526</t>
  </si>
  <si>
    <t>KANZLER BOCKWURST 360GR</t>
  </si>
  <si>
    <t>8993200661442</t>
  </si>
  <si>
    <t>KANZLER CHEESE BRATWURST 360GR</t>
  </si>
  <si>
    <t>8993200664368</t>
  </si>
  <si>
    <t>KANZLER CHEESE COCKTAIL 500GR</t>
  </si>
  <si>
    <t>8993200345427</t>
  </si>
  <si>
    <t>KANZLER CHEESE FRANKFURTER 360GR</t>
  </si>
  <si>
    <t>KELAPA KERING 20KG</t>
  </si>
  <si>
    <t>10425736</t>
  </si>
  <si>
    <t>KLIR THINWALL ROUND WIDE 300ML</t>
  </si>
  <si>
    <t>KURMA DATE CROWN "KHALAS" 1KG</t>
  </si>
  <si>
    <t>8994449320008</t>
  </si>
  <si>
    <t>KWETIAU KERING CAP A1 200R</t>
  </si>
  <si>
    <t>8997234211031</t>
  </si>
  <si>
    <t>LEFAME SARI LEMON 200ML</t>
  </si>
  <si>
    <t>8997234211048</t>
  </si>
  <si>
    <t>LEFAME SARI LEMON 500ML</t>
  </si>
  <si>
    <t>078895122565</t>
  </si>
  <si>
    <t>LKK SAUS PLUM 260GR</t>
  </si>
  <si>
    <t>LOY LIDAH KUCING 30x30 CM</t>
  </si>
  <si>
    <t>10200333</t>
  </si>
  <si>
    <t>LUTOSA POTATO FLAKES 25KG</t>
  </si>
  <si>
    <t>MAIZENA TEREOS 25KG</t>
  </si>
  <si>
    <t>MAJESTA KISMIS HITAM 10KG</t>
  </si>
  <si>
    <t>MAKARONI SUP KERANG 1KG</t>
  </si>
  <si>
    <t>8995102708164</t>
  </si>
  <si>
    <t>MAMASUKA R. LAUT KERING PANGGANG PEDAS 80X4,5GR</t>
  </si>
  <si>
    <t>8888516996909</t>
  </si>
  <si>
    <t>MAMATA BAKING SODA 380GR</t>
  </si>
  <si>
    <t>MENTHOL 50GR</t>
  </si>
  <si>
    <t>METE CINCANG 11KG</t>
  </si>
  <si>
    <t>MILI LONGAN SYRUP 56GR</t>
  </si>
  <si>
    <t>MMSK GIM BORI EXTRA PEDAS 30GR</t>
  </si>
  <si>
    <t>8995102708072</t>
  </si>
  <si>
    <t>MMSK RUMPUT LAUT BBQ 4.5GR</t>
  </si>
  <si>
    <t>8995102704395</t>
  </si>
  <si>
    <t>MMSK RUMPUT LAUT CHICKEN GHOST PAPPER 4.5GR</t>
  </si>
  <si>
    <t>8997240600348</t>
  </si>
  <si>
    <t>OATSIDE COFFE OAT MILK 200ML</t>
  </si>
  <si>
    <t>8997240601154</t>
  </si>
  <si>
    <t>OATSIDE OAT MILK CARAMEL MACHIATO CAPS 200ML</t>
  </si>
  <si>
    <t>8997240600409</t>
  </si>
  <si>
    <t>OATSIDE OAT MILK CHOCOLATE STRAW 200ML</t>
  </si>
  <si>
    <t>8997240600935</t>
  </si>
  <si>
    <t>OATSIDE OAT MILK CHOCOMALT STRAW 200ML</t>
  </si>
  <si>
    <t>8997240600454</t>
  </si>
  <si>
    <t>OATSIDE OAT MILK COFFE STRAW 200ML</t>
  </si>
  <si>
    <t>8997240600393</t>
  </si>
  <si>
    <t>OATSIDE PLAIN OAT MILK STRAW 200ML</t>
  </si>
  <si>
    <t>PALETTA BLUBERRY 1/2KG</t>
  </si>
  <si>
    <t>PALETTA BLUBERRY 250GR</t>
  </si>
  <si>
    <t>10540067</t>
  </si>
  <si>
    <t>PIPET BUBLE HITAM 12MM*22CM</t>
  </si>
  <si>
    <t>10427416</t>
  </si>
  <si>
    <t>PIPET STERIL BENING 620 6MM 250S</t>
  </si>
  <si>
    <t>10530226</t>
  </si>
  <si>
    <t>PIPET STERIL HITAM 620 6MM 300S</t>
  </si>
  <si>
    <t>10427409</t>
  </si>
  <si>
    <t>PIPET STERIL HITAM 620 6MM 500S</t>
  </si>
  <si>
    <t>PIPET STERIL WIGO FLEXIBLE STRAW 500S</t>
  </si>
  <si>
    <t>10425117</t>
  </si>
  <si>
    <t>PIRING EMAS B ROMAN</t>
  </si>
  <si>
    <t>10520031</t>
  </si>
  <si>
    <t>PLASTIK OPP 12X25 1000S</t>
  </si>
  <si>
    <t>8990064000226</t>
  </si>
  <si>
    <t>8997026852695</t>
  </si>
  <si>
    <t>8999999502393</t>
  </si>
  <si>
    <t>ROYCO AYAM 94GR DISC 10%</t>
  </si>
  <si>
    <t>8997006540451</t>
  </si>
  <si>
    <t>SAMBAL HOT CHILI 1KG</t>
  </si>
  <si>
    <t>8998866202305</t>
  </si>
  <si>
    <t>SEDAAP KECAP HITAM BTL 48X135ML</t>
  </si>
  <si>
    <t>SELAI NANAS NASTAR 500GR</t>
  </si>
  <si>
    <t>SERBUK OREO BUREO 1KG</t>
  </si>
  <si>
    <t>10411565</t>
  </si>
  <si>
    <t>SODA ASAHI 25KG</t>
  </si>
  <si>
    <t>SWEETENER GULA JAWA 350ML</t>
  </si>
  <si>
    <t>8997014350011</t>
  </si>
  <si>
    <t>TEMAN LAUT BAKSO IKAN 500GR</t>
  </si>
  <si>
    <t>THAI TEA MIX 400GR</t>
  </si>
  <si>
    <t>8993007004152</t>
  </si>
  <si>
    <t>TIGA SAPI SKM 37GR 6S</t>
  </si>
  <si>
    <t>TROPICALSLIM SWETNER 125S</t>
  </si>
  <si>
    <t>TROPICANASLIM KALDU AYAM DAN JAMUR 100GR</t>
  </si>
  <si>
    <t>TROPICSL GULA SASET 160S</t>
  </si>
  <si>
    <t>TS BERAS MERAH ORGANIK 1KG</t>
  </si>
  <si>
    <t>TS CANOLA OIL 946ML</t>
  </si>
  <si>
    <t>8994130899837</t>
  </si>
  <si>
    <t>UENAK NUGGET S AYAM 1000GR</t>
  </si>
  <si>
    <t>WINCHEZZ FILLING CHEESE 1 KG</t>
  </si>
  <si>
    <t>ZEELANDIA CARLO 500GR</t>
  </si>
  <si>
    <t>504195723237</t>
  </si>
  <si>
    <t>BENERAN DIMSUM UDANG 500GR</t>
  </si>
  <si>
    <t>KACANG CINCANG JOHN FARMER 1KG</t>
  </si>
  <si>
    <t>8888640248646</t>
  </si>
  <si>
    <t>DAYDAY SUSU KEDELAI CRT 24X300ML</t>
  </si>
  <si>
    <t>under 10%</t>
  </si>
  <si>
    <t>%max</t>
  </si>
  <si>
    <t>min%</t>
  </si>
  <si>
    <t>Kelp.Satuan</t>
  </si>
  <si>
    <t>Kelp.Volume</t>
  </si>
  <si>
    <t>LOLONG</t>
  </si>
  <si>
    <t>TAG</t>
  </si>
  <si>
    <t>AKTIF</t>
  </si>
  <si>
    <t>MIN 2</t>
  </si>
  <si>
    <t>MAX 2</t>
  </si>
  <si>
    <t>CRT-PCS</t>
  </si>
  <si>
    <t>S</t>
  </si>
  <si>
    <t>Ya</t>
  </si>
  <si>
    <t>D</t>
  </si>
  <si>
    <t>Tidak</t>
  </si>
  <si>
    <t>48-1</t>
  </si>
  <si>
    <t>M</t>
  </si>
  <si>
    <t>F1</t>
  </si>
  <si>
    <t>PCS</t>
  </si>
  <si>
    <t>288-1</t>
  </si>
  <si>
    <t>F</t>
  </si>
  <si>
    <t>60-1</t>
  </si>
  <si>
    <t>CRT-PACK-PCS</t>
  </si>
  <si>
    <t>120-10-1</t>
  </si>
  <si>
    <t>36-1</t>
  </si>
  <si>
    <t>100-10-1</t>
  </si>
  <si>
    <t>36-6-1</t>
  </si>
  <si>
    <t>PACK-PCS</t>
  </si>
  <si>
    <t>50-1</t>
  </si>
  <si>
    <t>576-48-1</t>
  </si>
  <si>
    <t>CRT-PACK-RTG-PCS</t>
  </si>
  <si>
    <t>1152-48-12-1</t>
  </si>
  <si>
    <t>576-20-12-1</t>
  </si>
  <si>
    <t>72-6-1</t>
  </si>
  <si>
    <t>576-48-12-1</t>
  </si>
  <si>
    <t>288-48-1</t>
  </si>
  <si>
    <t>576-1</t>
  </si>
  <si>
    <t>LUSIN-PCS</t>
  </si>
  <si>
    <t>100-1</t>
  </si>
  <si>
    <t>KODI-PCS</t>
  </si>
  <si>
    <t>PACK</t>
  </si>
  <si>
    <t>CRT-RTG-PCS</t>
  </si>
  <si>
    <t>240-12-1</t>
  </si>
  <si>
    <t>40-1</t>
  </si>
  <si>
    <t>240-16-1</t>
  </si>
  <si>
    <t>CRT-BOX-PCS</t>
  </si>
  <si>
    <t>360-30-1</t>
  </si>
  <si>
    <t>144-24-1</t>
  </si>
  <si>
    <t>360-12-1</t>
  </si>
  <si>
    <t>BOX-PCS</t>
  </si>
  <si>
    <t>1200-24-1</t>
  </si>
  <si>
    <t>720-24-1</t>
  </si>
  <si>
    <t>SAK-KG</t>
  </si>
  <si>
    <t>KG</t>
  </si>
  <si>
    <t>72-12-1</t>
  </si>
  <si>
    <t>288-12-1</t>
  </si>
  <si>
    <t>120-20-1</t>
  </si>
  <si>
    <t>360-20-1</t>
  </si>
  <si>
    <t>80-10-1</t>
  </si>
  <si>
    <t>240-20-1</t>
  </si>
  <si>
    <t>150-25-1</t>
  </si>
  <si>
    <t>200-25-1</t>
  </si>
  <si>
    <t>100-25-1</t>
  </si>
  <si>
    <t>72-1</t>
  </si>
  <si>
    <t>CRT</t>
  </si>
  <si>
    <t>PAC</t>
  </si>
  <si>
    <t>GRAM</t>
  </si>
  <si>
    <t>CRT-KG</t>
  </si>
  <si>
    <t>200-10-1</t>
  </si>
  <si>
    <t>150-10-1</t>
  </si>
  <si>
    <t>32-1</t>
  </si>
  <si>
    <t>TIM-PCS</t>
  </si>
  <si>
    <t>BAL-IKAT-PCS</t>
  </si>
  <si>
    <t>200-5-1</t>
  </si>
  <si>
    <t>70-5-1</t>
  </si>
  <si>
    <t>100-5-1</t>
  </si>
  <si>
    <t>50-5-1</t>
  </si>
  <si>
    <t>80-5-1</t>
  </si>
  <si>
    <t>60-5-1</t>
  </si>
  <si>
    <t>250-5-1</t>
  </si>
  <si>
    <t>BAL-PCS</t>
  </si>
  <si>
    <t>192-1</t>
  </si>
  <si>
    <t>SAK</t>
  </si>
  <si>
    <t>144-6-1</t>
  </si>
  <si>
    <t>120-12-1</t>
  </si>
  <si>
    <t>48-12-1</t>
  </si>
  <si>
    <t>84-1</t>
  </si>
  <si>
    <t>80-1</t>
  </si>
  <si>
    <t>CRT-RIM-LBR</t>
  </si>
  <si>
    <t>1000-500-1</t>
  </si>
  <si>
    <t>SLOFT-BOX-PCS</t>
  </si>
  <si>
    <t>80-4-1</t>
  </si>
  <si>
    <t>240-1</t>
  </si>
  <si>
    <t>110-1</t>
  </si>
  <si>
    <t>77-1</t>
  </si>
  <si>
    <t>56-1</t>
  </si>
  <si>
    <t>96-1</t>
  </si>
  <si>
    <t>CRT-BAL-PCS</t>
  </si>
  <si>
    <t>164-100-1</t>
  </si>
  <si>
    <t>252-1</t>
  </si>
  <si>
    <t>600-1</t>
  </si>
  <si>
    <t>BAL-PACK-PCS</t>
  </si>
  <si>
    <t>500-100-1</t>
  </si>
  <si>
    <t>500-1</t>
  </si>
  <si>
    <t>300-1</t>
  </si>
  <si>
    <t>BAL-IKAT-PACK-PCS</t>
  </si>
  <si>
    <t>1500-500-100-1</t>
  </si>
  <si>
    <t>IKAT-PACK-PCS</t>
  </si>
  <si>
    <t>150-1</t>
  </si>
  <si>
    <t>BALL-IKAT-PACK-PCS</t>
  </si>
  <si>
    <t>1200-500-100-1</t>
  </si>
  <si>
    <t>1000-500-100-1</t>
  </si>
  <si>
    <t>700-500-100-1</t>
  </si>
  <si>
    <t>500-500-100-1</t>
  </si>
  <si>
    <t>200-100-1</t>
  </si>
  <si>
    <t>IKAT-PCS</t>
  </si>
  <si>
    <t>500-50-1</t>
  </si>
  <si>
    <t>1000-250-50-1</t>
  </si>
  <si>
    <t>200-50-1</t>
  </si>
  <si>
    <t>150-50-1</t>
  </si>
  <si>
    <t>250-10-1</t>
  </si>
  <si>
    <t>300-10-1</t>
  </si>
  <si>
    <t>50-10-1</t>
  </si>
  <si>
    <t>KG-PCS</t>
  </si>
  <si>
    <t>300-50-1</t>
  </si>
  <si>
    <t>300-25-1</t>
  </si>
  <si>
    <t>42-1</t>
  </si>
  <si>
    <t>80-20-1</t>
  </si>
  <si>
    <t>96-12-1</t>
  </si>
  <si>
    <t>GROS-PCS</t>
  </si>
  <si>
    <t>144-1</t>
  </si>
  <si>
    <t>GROS</t>
  </si>
  <si>
    <t>160-20-1</t>
  </si>
  <si>
    <t>CRT-PACK</t>
  </si>
  <si>
    <t>120-30-1</t>
  </si>
  <si>
    <t>CRT-RTG</t>
  </si>
  <si>
    <t>200-20-1</t>
  </si>
  <si>
    <t>PAIL-PCS</t>
  </si>
  <si>
    <t>48-6-1</t>
  </si>
  <si>
    <t>CRT-ROL</t>
  </si>
  <si>
    <t>ROLL</t>
  </si>
  <si>
    <t>120-1</t>
  </si>
  <si>
    <t>SAK-PCS</t>
  </si>
  <si>
    <t>60-12-1</t>
  </si>
  <si>
    <t>CRT-BAG-PCS</t>
  </si>
  <si>
    <t>CRT-BOX</t>
  </si>
  <si>
    <t>40-10-1</t>
  </si>
  <si>
    <t>50-2</t>
  </si>
  <si>
    <t>ROL</t>
  </si>
  <si>
    <t>500-10-1</t>
  </si>
  <si>
    <t>132-1</t>
  </si>
  <si>
    <t>CRT-RENTENG</t>
  </si>
  <si>
    <t>PACK-RTG</t>
  </si>
  <si>
    <t>CRT-PACK-RTG</t>
  </si>
  <si>
    <t>SLOF-PCS</t>
  </si>
  <si>
    <t>CRT-TIM-PCS</t>
  </si>
  <si>
    <t>40-20-1</t>
  </si>
  <si>
    <t>100-4-1</t>
  </si>
  <si>
    <t>400-50-1</t>
  </si>
  <si>
    <t>RTG-PCS</t>
  </si>
  <si>
    <t>RTG</t>
  </si>
  <si>
    <t>TIM</t>
  </si>
  <si>
    <t>64-8-1</t>
  </si>
  <si>
    <t>54-1</t>
  </si>
  <si>
    <t>32-8-1</t>
  </si>
  <si>
    <t>96-8-1</t>
  </si>
  <si>
    <t>64-1</t>
  </si>
  <si>
    <t>RIM-PCS</t>
  </si>
  <si>
    <t>1000-1</t>
  </si>
  <si>
    <t>576-24-1</t>
  </si>
  <si>
    <t>72-3-1</t>
  </si>
  <si>
    <t>144-36-1</t>
  </si>
  <si>
    <t>48-24-1</t>
  </si>
  <si>
    <t>TRAY-PCS</t>
  </si>
  <si>
    <t>70-1</t>
  </si>
  <si>
    <t>PACK -PCS</t>
  </si>
  <si>
    <t>400-1</t>
  </si>
  <si>
    <t>200-1</t>
  </si>
  <si>
    <t>250-1</t>
  </si>
  <si>
    <t>106-1</t>
  </si>
  <si>
    <t>100-20-1</t>
  </si>
  <si>
    <t>40-8-1</t>
  </si>
  <si>
    <t>40-5-1</t>
  </si>
  <si>
    <t>48-4-1</t>
  </si>
  <si>
    <t>144-12-1</t>
  </si>
  <si>
    <t>36-4-1</t>
  </si>
  <si>
    <t>72-4-1</t>
  </si>
  <si>
    <t>60-10-1</t>
  </si>
  <si>
    <t>432-12-1</t>
  </si>
  <si>
    <t>36-12-1</t>
  </si>
  <si>
    <t>PAIL</t>
  </si>
  <si>
    <t>400-10-1</t>
  </si>
  <si>
    <t>480-12-1</t>
  </si>
  <si>
    <t>PAK</t>
  </si>
  <si>
    <t>380-1</t>
  </si>
  <si>
    <t>290-5-1</t>
  </si>
  <si>
    <t>160-5-1</t>
  </si>
  <si>
    <t>105-1</t>
  </si>
  <si>
    <t>115-1</t>
  </si>
  <si>
    <t>35-1</t>
  </si>
  <si>
    <t>75-1</t>
  </si>
  <si>
    <t>CRT-PAIL</t>
  </si>
  <si>
    <t>CRT-BOS-PCS</t>
  </si>
  <si>
    <t>150-5-1</t>
  </si>
  <si>
    <t>BAL-KG</t>
  </si>
  <si>
    <t>125-25-5</t>
  </si>
  <si>
    <t>50-2-1</t>
  </si>
  <si>
    <t>CRT-BOX-PACK-PCS</t>
  </si>
  <si>
    <t>240-60-4-1</t>
  </si>
  <si>
    <t>CRT-SLOF-KOTAK-PCS</t>
  </si>
  <si>
    <t>240-40-4-1</t>
  </si>
  <si>
    <t>240-60-1</t>
  </si>
  <si>
    <t>240-4-1</t>
  </si>
  <si>
    <t>CRT-RENTENG-PCS</t>
  </si>
  <si>
    <t>160-1</t>
  </si>
  <si>
    <t>216-12-1</t>
  </si>
  <si>
    <t>LUSIN-KG</t>
  </si>
  <si>
    <t>120-6-1</t>
  </si>
  <si>
    <t>96-24-1</t>
  </si>
  <si>
    <t>94-1</t>
  </si>
  <si>
    <t>128-1</t>
  </si>
  <si>
    <t>BALL-PCS</t>
  </si>
  <si>
    <t>102-1</t>
  </si>
  <si>
    <t>33-1</t>
  </si>
  <si>
    <t>48-8-1</t>
  </si>
  <si>
    <t>112-1</t>
  </si>
  <si>
    <t>IKAT-CRT</t>
  </si>
  <si>
    <t>45-1</t>
  </si>
  <si>
    <t xml:space="preserve">PCS </t>
  </si>
  <si>
    <t>HASIL MIN</t>
  </si>
  <si>
    <t>HASIL MAX</t>
  </si>
  <si>
    <t xml:space="preserve">LOY BLT PORSIL 25X7 </t>
  </si>
  <si>
    <t>LOY BLT PORSIL 20X7</t>
  </si>
  <si>
    <t>LOY BLT PORSIL 22X7</t>
  </si>
  <si>
    <t>LOY BLT PORSIL 12X7</t>
  </si>
  <si>
    <t>LOY BLT PORSIL 18X7</t>
  </si>
  <si>
    <t>LOY BLT PORSIL 15X7</t>
  </si>
  <si>
    <t>LOY BLT PORSIL 18X5</t>
  </si>
  <si>
    <t>LOY BLT PORSIL 20X5</t>
  </si>
  <si>
    <t>LOY BLT PORSIL 22X5</t>
  </si>
  <si>
    <t>LOY BLT PORSIL 15X5</t>
  </si>
  <si>
    <t>LOY BLT PORSIL 12X5</t>
  </si>
  <si>
    <t>LOY BLT PORSIL 25X5</t>
  </si>
  <si>
    <t>LOY BLT PORSIL 23X5</t>
  </si>
  <si>
    <t>LOY BLT PORSIL 19X5</t>
  </si>
  <si>
    <t>LOY BLT PORSIL 30X7</t>
  </si>
  <si>
    <t>LOY BLT PORSIL 28X7</t>
  </si>
  <si>
    <t>LOY BLT PORSIL 30X5</t>
  </si>
  <si>
    <t>LOY BLT PORSIL 28X5</t>
  </si>
  <si>
    <t>LOY BLT PORSIL 23X7</t>
  </si>
  <si>
    <t>LOY BLT PORSIL BONGPAS 15X6</t>
  </si>
  <si>
    <t>LOY BLT PORSIL 24X7</t>
  </si>
  <si>
    <t>LOY BLT PORSIL 22X4</t>
  </si>
  <si>
    <t>8996006142511</t>
  </si>
  <si>
    <t>TEH BOTOL SOSRO KOTAK 250 ML</t>
  </si>
  <si>
    <t xml:space="preserve">PISAU GERIGI B 12INC KN26 </t>
  </si>
  <si>
    <t xml:space="preserve">PISAU POLES GG KAYU 6INC KN28 </t>
  </si>
  <si>
    <t>BOTTLE STOPPER BB-0PP</t>
  </si>
  <si>
    <t>HS BULAT EMAS SET 10 HBT9A</t>
  </si>
  <si>
    <t>MIKA BENTO+TTP 18X18X6,5CM 5S MKB1818-65H</t>
  </si>
  <si>
    <t>BOX ULTAH BIRU 91X75X89MM BKU979-25G2</t>
  </si>
  <si>
    <t>SPUIT SET 13 YG-19</t>
  </si>
  <si>
    <t>SPUIT RUSIA SET 12 ZX-512</t>
  </si>
  <si>
    <t>8994239181789</t>
  </si>
  <si>
    <t>MG SARI MURNI 1L</t>
  </si>
  <si>
    <t>8994239181888</t>
  </si>
  <si>
    <t>MG SARI MURNI 2L</t>
  </si>
  <si>
    <t>8997033630477</t>
  </si>
  <si>
    <t>BUMBU SATE CAP BINTANG 50G</t>
  </si>
  <si>
    <t>10530250</t>
  </si>
  <si>
    <t>GELAS AQUA POLOS TIPTOP</t>
  </si>
  <si>
    <t>KACANG CINCANG INNOVA 1KG</t>
  </si>
  <si>
    <t>SENDOK BEBEK TIPTOP PTH 12LS</t>
  </si>
  <si>
    <t>SENDOK BEBEKTIPTOP BENING 12LS</t>
  </si>
  <si>
    <t>10427522</t>
  </si>
  <si>
    <t>SENDOK BEBEK UNIV BNG 12LS</t>
  </si>
  <si>
    <t xml:space="preserve">SENDOK BEBEK PEONY 1LS </t>
  </si>
  <si>
    <t>SENDOK BEBEK PEONY 12LS</t>
  </si>
  <si>
    <t>8999999578381</t>
  </si>
  <si>
    <t>8992696527737</t>
  </si>
  <si>
    <t>CARNATION SKM PCH 1KG</t>
  </si>
  <si>
    <t>8993492000110</t>
  </si>
  <si>
    <t>PERFETTO SHREDDED MOZZARELLA 150GR</t>
  </si>
  <si>
    <t>PERFETTO KEJU MOZZARELLA 250GR</t>
  </si>
  <si>
    <t>9556252150266</t>
  </si>
  <si>
    <t>ADABI BUMBU SUP 24G</t>
  </si>
  <si>
    <t>9556252152505</t>
  </si>
  <si>
    <t>ADABI BUMBU SUP 250G</t>
  </si>
  <si>
    <t>8992933633115</t>
  </si>
  <si>
    <t>NUTRIJELL BLUEBERRY PCS</t>
  </si>
  <si>
    <t>LOY PETAK 12X12X5CM</t>
  </si>
  <si>
    <t>LOY BULAT 15X5CM</t>
  </si>
  <si>
    <t>LOY BULAT 18X5CM</t>
  </si>
  <si>
    <t>LOY BULAT 20X5CM</t>
  </si>
  <si>
    <t>LOY BULAT 22X5CM</t>
  </si>
  <si>
    <t>LOY BULAT 12X7CM</t>
  </si>
  <si>
    <t>LOY BULAT 15X7CM</t>
  </si>
  <si>
    <t>LOY BULAT 18X7CM</t>
  </si>
  <si>
    <t>LOY BULAT 20X7CM</t>
  </si>
  <si>
    <t>LOY BULAT 22X7CM</t>
  </si>
  <si>
    <t>LOY BULAT 25X7CM</t>
  </si>
  <si>
    <t>LOY BULAT 12X5CM</t>
  </si>
  <si>
    <t>LOY BULAT 25X5CM</t>
  </si>
  <si>
    <t>LOY BULAT 30X7CM</t>
  </si>
  <si>
    <t>LOY BULAT 27X5CM</t>
  </si>
  <si>
    <t>LOY BULAT 30X5CM</t>
  </si>
  <si>
    <t>LOY BULAT 27X7CM</t>
  </si>
  <si>
    <t>LOY BULAT 28X5CM</t>
  </si>
  <si>
    <t>LOY BULAT 26X5CM</t>
  </si>
  <si>
    <t>LOY BULAT 23X5CM</t>
  </si>
  <si>
    <t>10412010</t>
  </si>
  <si>
    <t>FF SHOESTRING 1KG</t>
  </si>
  <si>
    <t>10422913</t>
  </si>
  <si>
    <t>YH465 SOLET SILICONE D</t>
  </si>
  <si>
    <t>104275800</t>
  </si>
  <si>
    <t>THINWALL DM SAUCE CUP 80ML</t>
  </si>
  <si>
    <t>SODA CHARGER MOSA  10S</t>
  </si>
  <si>
    <t>LOTUS BISCOFF CREAM 150GR</t>
  </si>
  <si>
    <t>LOTUS BISCOFF VANILLA 150GR</t>
  </si>
  <si>
    <t>5410126676358</t>
  </si>
  <si>
    <t>LOTUS BISCOFF MILK CHOCO 110GR</t>
  </si>
  <si>
    <t>5410126676365</t>
  </si>
  <si>
    <t>LOTUS BISCOFF CREAM 110GR</t>
  </si>
  <si>
    <t>5410126676372</t>
  </si>
  <si>
    <t>LOTUS BISCOFF VANILLA 110GR</t>
  </si>
  <si>
    <t xml:space="preserve">SPUIT BUTTER BULAT SET12 AB010 </t>
  </si>
  <si>
    <t>6922130122541</t>
  </si>
  <si>
    <t>TOTOLE KALDU AYAM 100GR</t>
  </si>
  <si>
    <t>6977129602153</t>
  </si>
  <si>
    <t>6977129602160</t>
  </si>
  <si>
    <t>8990064002725</t>
  </si>
  <si>
    <t>8991004029031</t>
  </si>
  <si>
    <t>TP SAGU TANI SUPER 1KG</t>
  </si>
  <si>
    <t>8991004029041</t>
  </si>
  <si>
    <t>TP SAGU TANI SUPER 500GR</t>
  </si>
  <si>
    <t>8991004029055</t>
  </si>
  <si>
    <t>TP TAPIOKA GAJAH TANI 500GR</t>
  </si>
  <si>
    <t>8992786601606</t>
  </si>
  <si>
    <t>PONDAN CHIFFON PANDAN PCH 250GR</t>
  </si>
  <si>
    <t>8992786601644</t>
  </si>
  <si>
    <t>PONDAN BLACK FOREST PCH 209GR</t>
  </si>
  <si>
    <t>SEKOTENG PACAR CINA 100GR</t>
  </si>
  <si>
    <t>8992933561111</t>
  </si>
  <si>
    <t>WHIPKING WIPPY CREAM PCH 200GR</t>
  </si>
  <si>
    <t>8993406002506</t>
  </si>
  <si>
    <t>YUMMY CREAM CHEESE 250GR</t>
  </si>
  <si>
    <t>8993406202500</t>
  </si>
  <si>
    <t>YUMMY MASCARPONE 250GR</t>
  </si>
  <si>
    <t>8993406402504</t>
  </si>
  <si>
    <t>YUMMY FETA  CHEESE  250GR</t>
  </si>
  <si>
    <t>8993406801048</t>
  </si>
  <si>
    <t>YUMMY GREEK YOGHURT ORI 500GR</t>
  </si>
  <si>
    <t>8993406805008</t>
  </si>
  <si>
    <t>YUMMY YOGHURT PLAIN 500GR</t>
  </si>
  <si>
    <t>8997014035505</t>
  </si>
  <si>
    <t>PLAZA GLAZE ECO G. TEA REFF 1KG</t>
  </si>
  <si>
    <t>8997028583702</t>
  </si>
  <si>
    <t>MERO BREDA GEL 150GR</t>
  </si>
  <si>
    <t>8997033631207</t>
  </si>
  <si>
    <t>TP PANIR RUMAH KITA 10KG</t>
  </si>
  <si>
    <t>8997214882817</t>
  </si>
  <si>
    <t>VAMOOLA SKM 2.5KG</t>
  </si>
  <si>
    <t>8997231402364</t>
  </si>
  <si>
    <t>8998888000262</t>
  </si>
  <si>
    <t>DELMONTE SPAGHETTY PCH 1KG</t>
  </si>
  <si>
    <t>8998888000279</t>
  </si>
  <si>
    <t>MAESTRO WIJEN SANGRAI PCH 500GR</t>
  </si>
  <si>
    <t>10600266</t>
  </si>
  <si>
    <t>K POTATO TUGU MONAS 500GR</t>
  </si>
  <si>
    <t>8997014451152</t>
  </si>
  <si>
    <t>KEJU PROCHIZ QUICK MELT 2KG</t>
  </si>
  <si>
    <t>MARASCHINO CHERRY MERAH 2KG</t>
  </si>
  <si>
    <t>CUP MUFFIN 6CM 25S</t>
  </si>
  <si>
    <t>KEJU KRAFT SINGLES 10S</t>
  </si>
  <si>
    <t>BOX FLUTE 30 X 30 X5</t>
  </si>
  <si>
    <t>BOX FLUTE 25 X 25 X 5</t>
  </si>
  <si>
    <t>BOX FLUTE 22 X 22 X5</t>
  </si>
  <si>
    <t>BOX FLUTE 20 X 20 X5</t>
  </si>
  <si>
    <t>BOX FLUTE 22 X 22X 8</t>
  </si>
  <si>
    <t>BOX FLUTE 15 X 15 X5</t>
  </si>
  <si>
    <t>BOX FLUTE 25 X 25 X 8</t>
  </si>
  <si>
    <t>BOX FLUTE 25 X 20 X 5</t>
  </si>
  <si>
    <t>BOX FLUTE 18 X 18 X 8</t>
  </si>
  <si>
    <t>BOX FLUTE 25X10X10</t>
  </si>
  <si>
    <t>BOX FLUTE 20 X 20 X 8</t>
  </si>
  <si>
    <t>BOX FLUTE 25 X 17 X 5</t>
  </si>
  <si>
    <t>BOX KOTAK MIKA 20 X 20 X 7</t>
  </si>
  <si>
    <t>BOX KOTAK MIKA 18 X 18 X 7</t>
  </si>
  <si>
    <t>BOX KOTAK MIKA 22 X 22 X 7.5</t>
  </si>
  <si>
    <t>BOX FLUTE MIKA 22 X 22 X 12</t>
  </si>
  <si>
    <t>BOX KOTAK MIKA 20 X 20 X 5</t>
  </si>
  <si>
    <t>BOX KOTAK MIKA 22 X 22 X 5</t>
  </si>
  <si>
    <t>BOX KOTAK MIKA 22 X 22 X 8</t>
  </si>
  <si>
    <t>KAPAL API SPECIAL 350GR</t>
  </si>
  <si>
    <t>10300098</t>
  </si>
  <si>
    <t>CABE PILIN 100GR</t>
  </si>
  <si>
    <t>8995177101112</t>
  </si>
  <si>
    <t xml:space="preserve">GULAKU PREMIUM 1KG </t>
  </si>
  <si>
    <t>8993093664889</t>
  </si>
  <si>
    <t>BIHUN INST ROSE BRAND SOTO AYAM 55GR</t>
  </si>
  <si>
    <t>10427121</t>
  </si>
  <si>
    <t>BAG SEALER FRESH</t>
  </si>
  <si>
    <t>8991004029048</t>
  </si>
  <si>
    <t>8994130899714</t>
  </si>
  <si>
    <t>BELFOODS CHICKEN NUGET CERIA 170GR</t>
  </si>
  <si>
    <t>49800063570</t>
  </si>
  <si>
    <t>49800177031</t>
  </si>
  <si>
    <t>11210000018</t>
  </si>
  <si>
    <t>11210000155</t>
  </si>
  <si>
    <t>11210006508</t>
  </si>
  <si>
    <t>11210007253</t>
  </si>
  <si>
    <t>11747234160</t>
  </si>
  <si>
    <t>11747234191</t>
  </si>
  <si>
    <t>117472342177</t>
  </si>
  <si>
    <t>13000008129</t>
  </si>
  <si>
    <t>13000008525</t>
  </si>
  <si>
    <t>20074</t>
  </si>
  <si>
    <t>24000010920</t>
  </si>
  <si>
    <t>24000163015</t>
  </si>
  <si>
    <t>24000163022</t>
  </si>
  <si>
    <t>305265045571</t>
  </si>
  <si>
    <t>39978001733</t>
  </si>
  <si>
    <t>39978002365</t>
  </si>
  <si>
    <t>39978002860</t>
  </si>
  <si>
    <t>39978003508</t>
  </si>
  <si>
    <t>39978003645</t>
  </si>
  <si>
    <t>39978003683</t>
  </si>
  <si>
    <t>39978008442</t>
  </si>
  <si>
    <t>39978019714</t>
  </si>
  <si>
    <t>39978029362</t>
  </si>
  <si>
    <t>39978029874</t>
  </si>
  <si>
    <t>39978029911</t>
  </si>
  <si>
    <t>39978031730</t>
  </si>
  <si>
    <t>39978035424</t>
  </si>
  <si>
    <t>39978035813</t>
  </si>
  <si>
    <t>39978039538</t>
  </si>
  <si>
    <t>39978049520</t>
  </si>
  <si>
    <t>39978113023</t>
  </si>
  <si>
    <t>39978113139</t>
  </si>
  <si>
    <t>39978113320</t>
  </si>
  <si>
    <t>39978113771</t>
  </si>
  <si>
    <t>39978114037</t>
  </si>
  <si>
    <t>39978114259</t>
  </si>
  <si>
    <t>39978114358</t>
  </si>
  <si>
    <t>39978114570</t>
  </si>
  <si>
    <t>39978114624</t>
  </si>
  <si>
    <t>39978114648</t>
  </si>
  <si>
    <t>39978114662</t>
  </si>
  <si>
    <t>39978119193</t>
  </si>
  <si>
    <t>39978122506</t>
  </si>
  <si>
    <t>39978122513</t>
  </si>
  <si>
    <t>39978124067</t>
  </si>
  <si>
    <t>39978501035</t>
  </si>
  <si>
    <t>41500013527</t>
  </si>
  <si>
    <t>41736001800</t>
  </si>
  <si>
    <t>41736001909</t>
  </si>
  <si>
    <t>41736030169</t>
  </si>
  <si>
    <t>41790001501</t>
  </si>
  <si>
    <t>41790001655</t>
  </si>
  <si>
    <t>41790004106</t>
  </si>
  <si>
    <t>41790600162</t>
  </si>
  <si>
    <t>41790600186</t>
  </si>
  <si>
    <t>49800172838</t>
  </si>
  <si>
    <t>49800224537</t>
  </si>
  <si>
    <t>579554189238</t>
  </si>
  <si>
    <t>579847358891</t>
  </si>
  <si>
    <t>60107153320</t>
  </si>
  <si>
    <t>70896025319</t>
  </si>
  <si>
    <t>70896321411</t>
  </si>
  <si>
    <t>74305001161</t>
  </si>
  <si>
    <t>788364504265</t>
  </si>
  <si>
    <t>78895100020</t>
  </si>
  <si>
    <t>78895120332</t>
  </si>
  <si>
    <t>78895121919</t>
  </si>
  <si>
    <t>78895126389</t>
  </si>
  <si>
    <t>78895126396</t>
  </si>
  <si>
    <t>78895128789</t>
  </si>
  <si>
    <t>78895129632</t>
  </si>
  <si>
    <t>78895130157</t>
  </si>
  <si>
    <t>78895139099</t>
  </si>
  <si>
    <t>78895146981</t>
  </si>
  <si>
    <t>78895159417</t>
  </si>
  <si>
    <t>78895160758</t>
  </si>
  <si>
    <t>78895162042</t>
  </si>
  <si>
    <t>78895163971</t>
  </si>
  <si>
    <t>78895164015</t>
  </si>
  <si>
    <t>78895165555</t>
  </si>
  <si>
    <t>78895169355</t>
  </si>
  <si>
    <t>78895210040</t>
  </si>
  <si>
    <t>78895300017</t>
  </si>
  <si>
    <t>78895300024</t>
  </si>
  <si>
    <t>78895423037</t>
  </si>
  <si>
    <t>78895610116</t>
  </si>
  <si>
    <t>78895700015</t>
  </si>
  <si>
    <t>78895740042</t>
  </si>
  <si>
    <t>78895941593</t>
  </si>
  <si>
    <t>81091</t>
  </si>
  <si>
    <t>89686000061</t>
  </si>
  <si>
    <t>89686190014</t>
  </si>
  <si>
    <t>89686380262</t>
  </si>
  <si>
    <t>89686380361</t>
  </si>
  <si>
    <t>89686385519</t>
  </si>
  <si>
    <t>89686385564</t>
  </si>
  <si>
    <t>89686385618</t>
  </si>
  <si>
    <t>89686386011</t>
  </si>
  <si>
    <t>89686386066</t>
  </si>
  <si>
    <t>89686386110</t>
  </si>
  <si>
    <t>89686386158</t>
  </si>
  <si>
    <t>89686386189</t>
  </si>
  <si>
    <t>89686386196</t>
  </si>
  <si>
    <t>89686386226</t>
  </si>
  <si>
    <t>89686386257</t>
  </si>
  <si>
    <t>89686386318</t>
  </si>
  <si>
    <t>89686386394</t>
  </si>
  <si>
    <t>89686386417</t>
  </si>
  <si>
    <t>89686386462</t>
  </si>
  <si>
    <t>89686400021</t>
  </si>
  <si>
    <t>89686400038</t>
  </si>
  <si>
    <t>89686400106</t>
  </si>
  <si>
    <t>89686400359</t>
  </si>
  <si>
    <t>89686400427</t>
  </si>
  <si>
    <t>89686400465</t>
  </si>
  <si>
    <t>89686400526</t>
  </si>
  <si>
    <t>89686400816</t>
  </si>
  <si>
    <t>89686400854</t>
  </si>
  <si>
    <t>89686400861</t>
  </si>
  <si>
    <t>89686400885</t>
  </si>
  <si>
    <t>89686401011</t>
  </si>
  <si>
    <t>89686401042</t>
  </si>
  <si>
    <t>89686401066</t>
  </si>
  <si>
    <t>89686401721</t>
  </si>
  <si>
    <t>89686401745</t>
  </si>
  <si>
    <t>89686401769</t>
  </si>
  <si>
    <t>89686401813</t>
  </si>
  <si>
    <t>89686420029</t>
  </si>
  <si>
    <t>89686420036</t>
  </si>
  <si>
    <t>89686440089</t>
  </si>
  <si>
    <t>89686440133</t>
  </si>
  <si>
    <t>89686440287</t>
  </si>
  <si>
    <t>89686440386</t>
  </si>
  <si>
    <t>89686440430</t>
  </si>
  <si>
    <t>89686440584</t>
  </si>
  <si>
    <t>89686834055</t>
  </si>
  <si>
    <t>89686834109</t>
  </si>
  <si>
    <t>89686834154</t>
  </si>
  <si>
    <t>89686834253</t>
  </si>
  <si>
    <t>89686834291</t>
  </si>
  <si>
    <t>89686834307</t>
  </si>
  <si>
    <t>89686834314</t>
  </si>
  <si>
    <t>1003000301202010</t>
  </si>
  <si>
    <t>1003000501222210</t>
  </si>
  <si>
    <t>1003000501252510</t>
  </si>
  <si>
    <t>1003000601252510</t>
  </si>
  <si>
    <t>1003000701222210</t>
  </si>
  <si>
    <t>1003000701252510</t>
  </si>
  <si>
    <t>1003000801222210</t>
  </si>
  <si>
    <t>1003001707190910</t>
  </si>
  <si>
    <t>1003006107311210</t>
  </si>
  <si>
    <t>1003006301222210</t>
  </si>
  <si>
    <t>1003006301252510</t>
  </si>
  <si>
    <t>1003006607301500</t>
  </si>
  <si>
    <t>CODE BARANG</t>
  </si>
  <si>
    <t>BAVERAGE</t>
  </si>
  <si>
    <t>SWEETENER</t>
  </si>
  <si>
    <t>FST</t>
  </si>
  <si>
    <t>TEPUNG</t>
  </si>
  <si>
    <t>B &amp; M</t>
  </si>
  <si>
    <t>SAVOURY</t>
  </si>
  <si>
    <t>FROZEN</t>
  </si>
  <si>
    <t>PACKAGING</t>
  </si>
  <si>
    <t>E &amp; I</t>
  </si>
  <si>
    <t>C &amp; F</t>
  </si>
  <si>
    <t>AGAR &amp; JELLY</t>
  </si>
  <si>
    <t>SPICES &amp; HERBS</t>
  </si>
  <si>
    <t>HOUSEHOLD</t>
  </si>
  <si>
    <t>HEALTHY</t>
  </si>
  <si>
    <t>10411639</t>
  </si>
  <si>
    <t>MOCAF TEPUNG PREMIUM 1KG</t>
  </si>
  <si>
    <t>10412403</t>
  </si>
  <si>
    <t>10425606</t>
  </si>
  <si>
    <t>BOX GS 18X18 BATIK SP HJ</t>
  </si>
  <si>
    <t>10427523</t>
  </si>
  <si>
    <t>PAPER BAG PTH 12X12CM 100S</t>
  </si>
  <si>
    <t>10427524</t>
  </si>
  <si>
    <t>SPATULA GG KAYU WARNA P32</t>
  </si>
  <si>
    <t>8886008101053</t>
  </si>
  <si>
    <t>AQUA BOTOL 600ML</t>
  </si>
  <si>
    <t>8886008101091</t>
  </si>
  <si>
    <t>AQUA BOTOL 1500ML</t>
  </si>
  <si>
    <t>8990062007289</t>
  </si>
  <si>
    <t>BEST FRESH CUP MUFFIN BATIK 38MM</t>
  </si>
  <si>
    <t>8990062007302</t>
  </si>
  <si>
    <t>BEST FRESH CUP MUFFIN MOTIF 38MM</t>
  </si>
  <si>
    <t>8991818100124</t>
  </si>
  <si>
    <t>FINNA SAUS AYAM GORENG 340ML</t>
  </si>
  <si>
    <t>8993492101930</t>
  </si>
  <si>
    <t>EDO FISH CAKE 250GR</t>
  </si>
  <si>
    <t>8997014035482</t>
  </si>
  <si>
    <t>PLAZA GLAZE ECO WHITE REFF 1KG</t>
  </si>
  <si>
    <t>8997014035499</t>
  </si>
  <si>
    <t>PLAZA GLAZE ECO TIRAMISU REFF 1KG</t>
  </si>
  <si>
    <t>8997032230722</t>
  </si>
  <si>
    <t>BLAST GULA AREN CAIR PREM 1KG</t>
  </si>
  <si>
    <t>8997033631566</t>
  </si>
  <si>
    <t>TP GULA RUMAH KITA 500GR</t>
  </si>
  <si>
    <t>8997033631610</t>
  </si>
  <si>
    <t>K. RASA UDANG KMJ 5KG</t>
  </si>
  <si>
    <t>8997209392116</t>
  </si>
  <si>
    <t>BOLA GULA CAIR 5LT</t>
  </si>
  <si>
    <t>0.01</t>
  </si>
  <si>
    <t>1.6</t>
  </si>
  <si>
    <t>0.21</t>
  </si>
  <si>
    <t>MAX UNDER 10%</t>
  </si>
  <si>
    <t>MIN UNDER 10%</t>
  </si>
  <si>
    <t>MAX OVER 150%</t>
  </si>
  <si>
    <t>MIN OVER 150%</t>
  </si>
  <si>
    <t>Stock Akhir</t>
  </si>
  <si>
    <t>10200580</t>
  </si>
  <si>
    <t>MAIZENA MEKAR MAS 25KG</t>
  </si>
  <si>
    <t>103001012</t>
  </si>
  <si>
    <t>SERBUK JAHE MERAH SUPER 330 GR</t>
  </si>
  <si>
    <t>103001013</t>
  </si>
  <si>
    <t>JAHE MERAH PLUS 330 GR</t>
  </si>
  <si>
    <t>103001014</t>
  </si>
  <si>
    <t>SERBUK KUNYIT PUTIH 330 GR</t>
  </si>
  <si>
    <t>8859112600064</t>
  </si>
  <si>
    <t>ITO EN JASMINE G TEA 500ML</t>
  </si>
  <si>
    <t>8885011230002</t>
  </si>
  <si>
    <t>ITO EN BARLEY TEA 500ML</t>
  </si>
  <si>
    <t>37.83</t>
  </si>
  <si>
    <t>8992984910562</t>
  </si>
  <si>
    <t>DUA BELIBIS VALUE 200GR</t>
  </si>
  <si>
    <t>8992984940019</t>
  </si>
  <si>
    <t>DUA BELIBIS MAYO ORI 100GR</t>
  </si>
  <si>
    <t>8992984940033</t>
  </si>
  <si>
    <t>DUA BELIBIS MAYO ORI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</si>
</sst>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9" fontId="0" fillId="2" borderId="0" xfId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3" fillId="3" borderId="0" xfId="1" applyFont="1" applyFill="1"/>
    <xf numFmtId="9" fontId="0" fillId="0" borderId="0" xfId="1" applyFont="1"/>
    <xf numFmtId="0" fontId="4" fillId="4" borderId="5" xfId="0" applyFont="1" applyFill="1" applyBorder="1" applyAlignment="1">
      <alignment horizontal="center" wrapText="1"/>
    </xf>
    <xf numFmtId="0" fontId="9" fillId="5" borderId="6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10" fillId="6" borderId="5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wrapText="1"/>
    </xf>
    <xf numFmtId="0" fontId="6" fillId="4" borderId="5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6" fillId="5" borderId="5" xfId="0" applyFont="1" applyFill="1" applyBorder="1" applyAlignment="1">
      <alignment horizontal="center" vertical="top" wrapText="1"/>
    </xf>
    <xf numFmtId="0" fontId="6" fillId="5" borderId="7" xfId="0" applyFont="1" applyFill="1" applyBorder="1" applyAlignment="1">
      <alignment horizontal="center" vertical="top" wrapText="1"/>
    </xf>
    <xf numFmtId="0" fontId="6" fillId="6" borderId="5" xfId="0" applyFont="1" applyFill="1" applyBorder="1" applyAlignment="1">
      <alignment horizontal="center" vertical="top" wrapText="1"/>
    </xf>
    <xf numFmtId="0" fontId="11" fillId="6" borderId="10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wrapText="1"/>
    </xf>
    <xf numFmtId="16" fontId="6" fillId="0" borderId="7" xfId="0" applyNumberFormat="1" applyFont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6" fillId="5" borderId="7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2" fillId="5" borderId="7" xfId="0" applyFont="1" applyFill="1" applyBorder="1" applyAlignment="1">
      <alignment horizontal="center" wrapText="1"/>
    </xf>
    <xf numFmtId="0" fontId="6" fillId="7" borderId="10" xfId="0" applyFont="1" applyFill="1" applyBorder="1" applyAlignment="1">
      <alignment wrapText="1"/>
    </xf>
    <xf numFmtId="0" fontId="6" fillId="7" borderId="11" xfId="0" applyFont="1" applyFill="1" applyBorder="1" applyAlignment="1">
      <alignment wrapText="1"/>
    </xf>
    <xf numFmtId="0" fontId="6" fillId="0" borderId="7" xfId="0" applyFont="1" applyBorder="1" applyAlignment="1">
      <alignment wrapText="1"/>
    </xf>
    <xf numFmtId="0" fontId="13" fillId="7" borderId="10" xfId="0" applyFont="1" applyFill="1" applyBorder="1" applyAlignment="1">
      <alignment horizontal="center" wrapText="1"/>
    </xf>
    <xf numFmtId="0" fontId="13" fillId="7" borderId="11" xfId="0" applyFont="1" applyFill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7" fillId="6" borderId="5" xfId="0" applyNumberFormat="1" applyFont="1" applyFill="1" applyBorder="1" applyAlignment="1">
      <alignment horizontal="center" wrapText="1"/>
    </xf>
    <xf numFmtId="14" fontId="6" fillId="0" borderId="7" xfId="0" applyNumberFormat="1" applyFont="1" applyBorder="1" applyAlignment="1">
      <alignment wrapText="1"/>
    </xf>
    <xf numFmtId="16" fontId="6" fillId="0" borderId="7" xfId="0" applyNumberFormat="1" applyFont="1" applyBorder="1" applyAlignment="1">
      <alignment horizontal="center" wrapText="1"/>
    </xf>
    <xf numFmtId="49" fontId="4" fillId="4" borderId="5" xfId="0" applyNumberFormat="1" applyFont="1" applyFill="1" applyBorder="1" applyAlignment="1">
      <alignment horizontal="center" wrapText="1"/>
    </xf>
    <xf numFmtId="49" fontId="6" fillId="4" borderId="5" xfId="0" applyNumberFormat="1" applyFont="1" applyFill="1" applyBorder="1" applyAlignment="1">
      <alignment vertical="top" wrapText="1"/>
    </xf>
    <xf numFmtId="49" fontId="6" fillId="0" borderId="5" xfId="0" applyNumberFormat="1" applyFont="1" applyBorder="1" applyAlignment="1">
      <alignment wrapText="1"/>
    </xf>
    <xf numFmtId="0" fontId="0" fillId="0" borderId="0" xfId="0" applyAlignment="1"/>
    <xf numFmtId="49" fontId="0" fillId="0" borderId="0" xfId="0" applyNumberFormat="1" applyAlignment="1"/>
    <xf numFmtId="0" fontId="0" fillId="0" borderId="0" xfId="0" applyNumberFormat="1" applyFill="1" applyAlignment="1">
      <alignment horizontal="center"/>
    </xf>
    <xf numFmtId="0" fontId="0" fillId="0" borderId="3" xfId="0" applyNumberFormat="1" applyFill="1" applyBorder="1" applyAlignment="1">
      <alignment horizontal="center"/>
    </xf>
    <xf numFmtId="49" fontId="0" fillId="0" borderId="0" xfId="0" applyNumberFormat="1"/>
    <xf numFmtId="0" fontId="0" fillId="2" borderId="3" xfId="0" applyNumberFormat="1" applyFill="1" applyBorder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0" fontId="0" fillId="8" borderId="3" xfId="0" applyNumberFormat="1" applyFill="1" applyBorder="1" applyAlignment="1">
      <alignment horizontal="center"/>
    </xf>
    <xf numFmtId="0" fontId="0" fillId="9" borderId="3" xfId="0" applyNumberFormat="1" applyFill="1" applyBorder="1" applyAlignment="1">
      <alignment horizontal="center"/>
    </xf>
    <xf numFmtId="0" fontId="0" fillId="2" borderId="0" xfId="0" applyNumberFormat="1" applyFill="1" applyAlignment="1">
      <alignment horizontal="center"/>
    </xf>
    <xf numFmtId="49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1" applyFont="1" applyFill="1" applyAlignment="1">
      <alignment horizontal="center"/>
    </xf>
    <xf numFmtId="0" fontId="0" fillId="3" borderId="0" xfId="0" applyNumberFormat="1" applyFill="1" applyAlignment="1">
      <alignment horizontal="center"/>
    </xf>
    <xf numFmtId="164" fontId="16" fillId="0" borderId="3" xfId="0" applyNumberFormat="1" applyFont="1" applyBorder="1" applyAlignment="1">
      <alignment horizontal="center"/>
    </xf>
    <xf numFmtId="0" fontId="16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0" fontId="0" fillId="0" borderId="14" xfId="0" applyNumberFormat="1" applyFill="1" applyBorder="1" applyAlignment="1">
      <alignment horizontal="left"/>
    </xf>
    <xf numFmtId="49" fontId="15" fillId="3" borderId="0" xfId="0" applyNumberFormat="1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0" fillId="9" borderId="0" xfId="0" applyFill="1"/>
    <xf numFmtId="0" fontId="0" fillId="8" borderId="0" xfId="0" applyFill="1"/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 wrapText="1"/>
    </xf>
    <xf numFmtId="0" fontId="9" fillId="5" borderId="13" xfId="0" applyFont="1" applyFill="1" applyBorder="1" applyAlignment="1">
      <alignment horizontal="center" wrapText="1"/>
    </xf>
    <xf numFmtId="0" fontId="10" fillId="6" borderId="8" xfId="0" applyFont="1" applyFill="1" applyBorder="1" applyAlignment="1">
      <alignment horizontal="center" wrapText="1"/>
    </xf>
    <xf numFmtId="0" fontId="10" fillId="6" borderId="9" xfId="0" applyFont="1" applyFill="1" applyBorder="1" applyAlignment="1">
      <alignment horizontal="center" wrapText="1"/>
    </xf>
  </cellXfs>
  <cellStyles count="3">
    <cellStyle name="Normal" xfId="0" builtinId="0"/>
    <cellStyle name="Normal 2" xfId="2" xr:uid="{1EB24627-850F-402C-A5DD-97049A5EA738}"/>
    <cellStyle name="Percent" xfId="1" builtinId="5"/>
  </cellStyles>
  <dxfs count="12">
    <dxf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69CC4-1F31-4F47-BD9B-0685023C5421}" name="Table1" displayName="Table1" ref="A1:H1001" totalsRowShown="0" headerRowDxfId="9" dataDxfId="8">
  <autoFilter ref="A1:H1001" xr:uid="{7B869CC4-1F31-4F47-BD9B-0685023C5421}"/>
  <sortState xmlns:xlrd2="http://schemas.microsoft.com/office/spreadsheetml/2017/richdata2" ref="A2:H1001">
    <sortCondition ref="H1:H1001"/>
  </sortState>
  <tableColumns count="8">
    <tableColumn id="1" xr3:uid="{49681481-A2FF-4567-8D55-41990B4E98F7}" name="CODE BARANG" dataDxfId="7"/>
    <tableColumn id="2" xr3:uid="{843DF25E-41BC-432C-8F45-B3DADFA6BA37}" name="NAMA BARANG" dataDxfId="6"/>
    <tableColumn id="3" xr3:uid="{DC35E21F-7289-4187-9B04-5F1C286E57B5}" name="KATEGORI" dataDxfId="5"/>
    <tableColumn id="5" xr3:uid="{96DD2575-9052-4288-B004-86D786568976}" name="stock" dataDxfId="4">
      <calculatedColumnFormula>VLOOKUP(Table1[[#This Row],[CODE BARANG]],stock!$A:$C,3,)</calculatedColumnFormula>
    </tableColumn>
    <tableColumn id="11" xr3:uid="{CF82476C-55A8-4233-AAE8-C28F8BAD9B58}" name="HASIL MIN" dataDxfId="3"/>
    <tableColumn id="12" xr3:uid="{7F883F47-8CEE-474E-90D5-AB5C76FFC2BC}" name="HASIL MAX" dataDxfId="2"/>
    <tableColumn id="7" xr3:uid="{0C85B0FE-3E51-42CE-8E29-18DD78CD06D9}" name="min%" dataDxfId="1" dataCellStyle="Percent">
      <calculatedColumnFormula>Table1[[#This Row],[stock]]/Table1[[#This Row],[HASIL MIN]]</calculatedColumnFormula>
    </tableColumn>
    <tableColumn id="8" xr3:uid="{C23B711B-77BF-4374-B441-04FA29E22453}" name="%max" dataDxfId="0" dataCellStyle="Percent">
      <calculatedColumnFormula>Table1[[#This Row],[stock]]/Table1[[#This Row],[HASIL MAX]]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65C5-279E-4448-8682-239791A1BE35}">
  <dimension ref="A1:R1001"/>
  <sheetViews>
    <sheetView tabSelected="1" zoomScale="90" zoomScaleNormal="90" workbookViewId="0">
      <selection activeCell="D9" sqref="D9"/>
    </sheetView>
  </sheetViews>
  <sheetFormatPr defaultRowHeight="15" x14ac:dyDescent="0.25"/>
  <cols>
    <col min="1" max="1" width="18" customWidth="1"/>
    <col min="2" max="2" width="48.5703125" customWidth="1"/>
    <col min="3" max="3" width="15.28515625" customWidth="1"/>
    <col min="4" max="4" width="11.42578125" style="3" customWidth="1"/>
    <col min="5" max="5" width="15.85546875" style="3" bestFit="1" customWidth="1"/>
    <col min="6" max="6" width="16.42578125" style="3" bestFit="1" customWidth="1"/>
    <col min="7" max="7" width="11" style="4" bestFit="1" customWidth="1"/>
    <col min="8" max="8" width="9.140625" style="4"/>
    <col min="9" max="10" width="9.140625" style="9"/>
    <col min="11" max="11" width="14.140625" hidden="1" customWidth="1"/>
    <col min="12" max="13" width="18.140625" style="46" hidden="1" customWidth="1"/>
    <col min="14" max="16" width="18.140625" style="46" customWidth="1"/>
    <col min="17" max="17" width="15.85546875" bestFit="1" customWidth="1"/>
  </cols>
  <sheetData>
    <row r="1" spans="1:18" ht="15.75" x14ac:dyDescent="0.25">
      <c r="A1" s="63" t="s">
        <v>23206</v>
      </c>
      <c r="B1" s="64" t="s">
        <v>0</v>
      </c>
      <c r="C1" s="64" t="s">
        <v>1</v>
      </c>
      <c r="D1" s="5" t="s">
        <v>2</v>
      </c>
      <c r="E1" s="5" t="s">
        <v>22874</v>
      </c>
      <c r="F1" s="5" t="s">
        <v>22875</v>
      </c>
      <c r="G1" s="5" t="s">
        <v>22647</v>
      </c>
      <c r="H1" s="8" t="s">
        <v>22646</v>
      </c>
      <c r="I1" s="8"/>
      <c r="J1" s="8"/>
      <c r="L1" s="46">
        <f>COUNTIFS($G:$G,"&lt;=10%")</f>
        <v>173</v>
      </c>
      <c r="M1" s="46">
        <f>COUNTIFS($H:$H,"&gt;=150%")</f>
        <v>88</v>
      </c>
      <c r="N1"/>
      <c r="O1" s="46">
        <f>COUNTIFS($G:$G,"&lt;=10%")</f>
        <v>173</v>
      </c>
      <c r="P1" s="46">
        <f>COUNTIFS(H:H,"&gt;=150%")</f>
        <v>88</v>
      </c>
    </row>
    <row r="2" spans="1:18" x14ac:dyDescent="0.25">
      <c r="A2" s="48" t="s">
        <v>1015</v>
      </c>
      <c r="B2" t="s">
        <v>1016</v>
      </c>
      <c r="C2" t="s">
        <v>23207</v>
      </c>
      <c r="D2" s="3">
        <f>VLOOKUP(Table1[[#This Row],[CODE BARANG]],stock!$A:$C,3,)</f>
        <v>0</v>
      </c>
      <c r="E2" s="1">
        <v>70</v>
      </c>
      <c r="F2" s="1">
        <v>120</v>
      </c>
      <c r="G2" s="4">
        <f>Table1[[#This Row],[stock]]/Table1[[#This Row],[HASIL MIN]]</f>
        <v>0</v>
      </c>
      <c r="H2" s="4">
        <f>Table1[[#This Row],[stock]]/Table1[[#This Row],[HASIL MAX]]</f>
        <v>0</v>
      </c>
      <c r="I2" s="4"/>
      <c r="J2" s="4"/>
      <c r="K2" s="67" t="s">
        <v>22362</v>
      </c>
      <c r="L2" s="68"/>
      <c r="M2" s="69"/>
      <c r="N2" s="67" t="s">
        <v>22362</v>
      </c>
      <c r="O2" s="68"/>
      <c r="P2" s="69"/>
    </row>
    <row r="3" spans="1:18" x14ac:dyDescent="0.25">
      <c r="A3" s="48" t="s">
        <v>1811</v>
      </c>
      <c r="B3" t="s">
        <v>1812</v>
      </c>
      <c r="C3" t="s">
        <v>23209</v>
      </c>
      <c r="D3" s="3">
        <f>VLOOKUP(Table1[[#This Row],[CODE BARANG]],stock!$A:$C,3,)</f>
        <v>0</v>
      </c>
      <c r="E3" s="1">
        <v>4</v>
      </c>
      <c r="F3" s="1">
        <v>16</v>
      </c>
      <c r="G3" s="4">
        <f>Table1[[#This Row],[stock]]/Table1[[#This Row],[HASIL MIN]]</f>
        <v>0</v>
      </c>
      <c r="H3" s="4">
        <f>Table1[[#This Row],[stock]]/Table1[[#This Row],[HASIL MAX]]</f>
        <v>0</v>
      </c>
      <c r="I3" s="4"/>
      <c r="J3" s="4"/>
      <c r="K3" s="6" t="s">
        <v>22363</v>
      </c>
      <c r="L3" s="47" t="s">
        <v>22645</v>
      </c>
      <c r="M3" s="47" t="s">
        <v>22364</v>
      </c>
      <c r="N3" s="6" t="s">
        <v>22363</v>
      </c>
      <c r="O3" s="47" t="s">
        <v>22645</v>
      </c>
      <c r="P3" s="47" t="s">
        <v>22364</v>
      </c>
      <c r="Q3" s="62" t="s">
        <v>23257</v>
      </c>
      <c r="R3" s="65">
        <f>MAX(O4:O34)</f>
        <v>179</v>
      </c>
    </row>
    <row r="4" spans="1:18" x14ac:dyDescent="0.25">
      <c r="A4" s="48" t="s">
        <v>7</v>
      </c>
      <c r="B4" t="s">
        <v>8</v>
      </c>
      <c r="C4" t="s">
        <v>23209</v>
      </c>
      <c r="D4" s="3">
        <f>VLOOKUP(Table1[[#This Row],[CODE BARANG]],stock!$A:$C,3,)</f>
        <v>0</v>
      </c>
      <c r="E4" s="1">
        <v>10</v>
      </c>
      <c r="F4" s="1">
        <v>20</v>
      </c>
      <c r="G4" s="4">
        <f>Table1[[#This Row],[stock]]/Table1[[#This Row],[HASIL MIN]]</f>
        <v>0</v>
      </c>
      <c r="H4" s="4">
        <f>Table1[[#This Row],[stock]]/Table1[[#This Row],[HASIL MAX]]</f>
        <v>0</v>
      </c>
      <c r="I4" s="4"/>
      <c r="J4" s="4"/>
      <c r="K4" s="7">
        <v>46204</v>
      </c>
      <c r="L4" s="47">
        <v>248</v>
      </c>
      <c r="M4" s="47">
        <v>175</v>
      </c>
      <c r="N4" s="7">
        <v>46204</v>
      </c>
      <c r="O4" s="47">
        <v>172</v>
      </c>
      <c r="P4" s="47">
        <v>71</v>
      </c>
      <c r="Q4" t="s">
        <v>23258</v>
      </c>
      <c r="R4" s="66">
        <f>MIN(O4:O34)</f>
        <v>158</v>
      </c>
    </row>
    <row r="5" spans="1:18" x14ac:dyDescent="0.25">
      <c r="A5" s="48" t="s">
        <v>997</v>
      </c>
      <c r="B5" t="s">
        <v>998</v>
      </c>
      <c r="C5" t="s">
        <v>23209</v>
      </c>
      <c r="D5" s="3">
        <f>VLOOKUP(Table1[[#This Row],[CODE BARANG]],stock!$A:$C,3,)</f>
        <v>0</v>
      </c>
      <c r="E5" s="1">
        <v>12</v>
      </c>
      <c r="F5" s="1">
        <v>18</v>
      </c>
      <c r="G5" s="4">
        <f>Table1[[#This Row],[stock]]/Table1[[#This Row],[HASIL MIN]]</f>
        <v>0</v>
      </c>
      <c r="H5" s="4">
        <f>Table1[[#This Row],[stock]]/Table1[[#This Row],[HASIL MAX]]</f>
        <v>0</v>
      </c>
      <c r="I5" s="4"/>
      <c r="J5" s="4"/>
      <c r="K5" s="7">
        <v>46175</v>
      </c>
      <c r="L5" s="47">
        <v>250</v>
      </c>
      <c r="M5" s="47">
        <v>174</v>
      </c>
      <c r="N5" s="7">
        <v>46205</v>
      </c>
      <c r="O5" s="51">
        <v>158</v>
      </c>
      <c r="P5" s="52">
        <v>75</v>
      </c>
    </row>
    <row r="6" spans="1:18" x14ac:dyDescent="0.25">
      <c r="A6" s="48" t="s">
        <v>621</v>
      </c>
      <c r="B6" t="s">
        <v>622</v>
      </c>
      <c r="C6" t="s">
        <v>23207</v>
      </c>
      <c r="D6" s="3">
        <f>VLOOKUP(Table1[[#This Row],[CODE BARANG]],stock!$A:$C,3,)</f>
        <v>0</v>
      </c>
      <c r="E6" s="1">
        <v>360</v>
      </c>
      <c r="F6" s="1">
        <v>600</v>
      </c>
      <c r="G6" s="4">
        <f>Table1[[#This Row],[stock]]/Table1[[#This Row],[HASIL MIN]]</f>
        <v>0</v>
      </c>
      <c r="H6" s="4">
        <f>Table1[[#This Row],[stock]]/Table1[[#This Row],[HASIL MAX]]</f>
        <v>0</v>
      </c>
      <c r="I6" s="4"/>
      <c r="J6" s="4"/>
      <c r="K6" s="7">
        <v>46176</v>
      </c>
      <c r="L6" s="47">
        <v>236</v>
      </c>
      <c r="M6" s="47">
        <v>182</v>
      </c>
      <c r="N6" s="7">
        <v>46206</v>
      </c>
      <c r="O6" s="61">
        <v>169</v>
      </c>
      <c r="P6" s="47">
        <v>60</v>
      </c>
      <c r="Q6" t="s">
        <v>23259</v>
      </c>
      <c r="R6" s="65">
        <f>MAX(P4:P34)</f>
        <v>88</v>
      </c>
    </row>
    <row r="7" spans="1:18" x14ac:dyDescent="0.25">
      <c r="A7" s="48" t="s">
        <v>799</v>
      </c>
      <c r="B7" t="s">
        <v>800</v>
      </c>
      <c r="C7" t="s">
        <v>23213</v>
      </c>
      <c r="D7" s="3">
        <f>VLOOKUP(Table1[[#This Row],[CODE BARANG]],stock!$A:$C,3,)</f>
        <v>0</v>
      </c>
      <c r="E7" s="1">
        <v>60</v>
      </c>
      <c r="F7" s="1">
        <v>120</v>
      </c>
      <c r="G7" s="4">
        <f>Table1[[#This Row],[stock]]/Table1[[#This Row],[HASIL MIN]]</f>
        <v>0</v>
      </c>
      <c r="H7" s="4">
        <f>Table1[[#This Row],[stock]]/Table1[[#This Row],[HASIL MAX]]</f>
        <v>0</v>
      </c>
      <c r="I7" s="4"/>
      <c r="J7" s="4"/>
      <c r="K7" s="7">
        <v>46177</v>
      </c>
      <c r="L7" s="47">
        <v>219</v>
      </c>
      <c r="M7" s="47">
        <v>188</v>
      </c>
      <c r="N7" s="7">
        <v>46207</v>
      </c>
      <c r="O7" s="47">
        <v>171</v>
      </c>
      <c r="P7" s="60">
        <v>56</v>
      </c>
      <c r="Q7" t="s">
        <v>23260</v>
      </c>
      <c r="R7" s="66">
        <f>MIN(P4:P34)</f>
        <v>51</v>
      </c>
    </row>
    <row r="8" spans="1:18" x14ac:dyDescent="0.25">
      <c r="A8" s="48" t="s">
        <v>523</v>
      </c>
      <c r="B8" t="s">
        <v>524</v>
      </c>
      <c r="C8" t="s">
        <v>23207</v>
      </c>
      <c r="D8" s="3">
        <f>VLOOKUP(Table1[[#This Row],[CODE BARANG]],stock!$A:$C,3,)</f>
        <v>0</v>
      </c>
      <c r="E8" s="1">
        <v>10</v>
      </c>
      <c r="F8" s="1">
        <v>20</v>
      </c>
      <c r="G8" s="4">
        <f>Table1[[#This Row],[stock]]/Table1[[#This Row],[HASIL MIN]]</f>
        <v>0</v>
      </c>
      <c r="H8" s="4">
        <f>Table1[[#This Row],[stock]]/Table1[[#This Row],[HASIL MAX]]</f>
        <v>0</v>
      </c>
      <c r="I8" s="4"/>
      <c r="J8" s="4"/>
      <c r="K8" s="7">
        <v>46178</v>
      </c>
      <c r="L8" s="47">
        <v>225</v>
      </c>
      <c r="M8" s="47">
        <v>189</v>
      </c>
      <c r="N8" s="7">
        <v>46208</v>
      </c>
      <c r="O8" s="47">
        <v>178</v>
      </c>
      <c r="P8" s="51">
        <v>51</v>
      </c>
    </row>
    <row r="9" spans="1:18" x14ac:dyDescent="0.25">
      <c r="A9" s="48" t="s">
        <v>1041</v>
      </c>
      <c r="B9" t="s">
        <v>1042</v>
      </c>
      <c r="C9" t="s">
        <v>23207</v>
      </c>
      <c r="D9" s="3">
        <f>VLOOKUP(Table1[[#This Row],[CODE BARANG]],stock!$A:$C,3,)</f>
        <v>0</v>
      </c>
      <c r="E9" s="1">
        <v>60</v>
      </c>
      <c r="F9" s="1">
        <v>120</v>
      </c>
      <c r="G9" s="4">
        <f>Table1[[#This Row],[stock]]/Table1[[#This Row],[HASIL MIN]]</f>
        <v>0</v>
      </c>
      <c r="H9" s="4">
        <f>Table1[[#This Row],[stock]]/Table1[[#This Row],[HASIL MAX]]</f>
        <v>0</v>
      </c>
      <c r="I9" s="4"/>
      <c r="J9" s="4"/>
      <c r="K9" s="7">
        <v>46179</v>
      </c>
      <c r="L9" s="47">
        <v>232</v>
      </c>
      <c r="M9" s="47">
        <v>183</v>
      </c>
      <c r="N9" s="7">
        <v>46209</v>
      </c>
      <c r="O9" s="52">
        <v>179</v>
      </c>
      <c r="P9" s="47">
        <v>53</v>
      </c>
    </row>
    <row r="10" spans="1:18" x14ac:dyDescent="0.25">
      <c r="A10" s="48" t="s">
        <v>1801</v>
      </c>
      <c r="B10" t="s">
        <v>1802</v>
      </c>
      <c r="C10" t="s">
        <v>23214</v>
      </c>
      <c r="D10" s="3">
        <f>VLOOKUP(Table1[[#This Row],[CODE BARANG]],stock!$A:$C,3,)</f>
        <v>0</v>
      </c>
      <c r="E10" s="1">
        <v>10</v>
      </c>
      <c r="F10" s="1">
        <v>20</v>
      </c>
      <c r="G10" s="4">
        <f>Table1[[#This Row],[stock]]/Table1[[#This Row],[HASIL MIN]]</f>
        <v>0</v>
      </c>
      <c r="H10" s="4">
        <f>Table1[[#This Row],[stock]]/Table1[[#This Row],[HASIL MAX]]</f>
        <v>0</v>
      </c>
      <c r="I10" s="4"/>
      <c r="J10" s="4"/>
      <c r="K10" s="7">
        <v>46180</v>
      </c>
      <c r="L10" s="47">
        <v>245</v>
      </c>
      <c r="M10" s="47">
        <v>177</v>
      </c>
      <c r="N10" s="7">
        <v>46210</v>
      </c>
      <c r="O10" s="47">
        <v>173</v>
      </c>
      <c r="P10" s="47">
        <v>65</v>
      </c>
    </row>
    <row r="11" spans="1:18" x14ac:dyDescent="0.25">
      <c r="A11" s="48" t="s">
        <v>1377</v>
      </c>
      <c r="B11" t="s">
        <v>1378</v>
      </c>
      <c r="C11" t="s">
        <v>23208</v>
      </c>
      <c r="D11" s="3">
        <f>VLOOKUP(Table1[[#This Row],[CODE BARANG]],stock!$A:$C,3,)</f>
        <v>0</v>
      </c>
      <c r="E11" s="1">
        <v>6</v>
      </c>
      <c r="F11" s="1">
        <v>12</v>
      </c>
      <c r="G11" s="4">
        <f>Table1[[#This Row],[stock]]/Table1[[#This Row],[HASIL MIN]]</f>
        <v>0</v>
      </c>
      <c r="H11" s="4">
        <f>Table1[[#This Row],[stock]]/Table1[[#This Row],[HASIL MAX]]</f>
        <v>0</v>
      </c>
      <c r="I11" s="4"/>
      <c r="J11" s="4"/>
      <c r="K11" s="7">
        <v>46181</v>
      </c>
      <c r="L11" s="47">
        <v>228</v>
      </c>
      <c r="M11" s="47">
        <v>187</v>
      </c>
      <c r="N11" s="7">
        <v>46211</v>
      </c>
      <c r="O11" s="47">
        <v>171</v>
      </c>
      <c r="P11" s="47">
        <v>82</v>
      </c>
    </row>
    <row r="12" spans="1:18" x14ac:dyDescent="0.25">
      <c r="A12" s="48" t="s">
        <v>533</v>
      </c>
      <c r="B12" t="s">
        <v>534</v>
      </c>
      <c r="C12" t="s">
        <v>439</v>
      </c>
      <c r="D12" s="3">
        <f>VLOOKUP(Table1[[#This Row],[CODE BARANG]],stock!$A:$C,3,)</f>
        <v>0</v>
      </c>
      <c r="E12" s="1">
        <v>6</v>
      </c>
      <c r="F12" s="1">
        <v>10</v>
      </c>
      <c r="G12" s="4">
        <f>Table1[[#This Row],[stock]]/Table1[[#This Row],[HASIL MIN]]</f>
        <v>0</v>
      </c>
      <c r="H12" s="4">
        <f>Table1[[#This Row],[stock]]/Table1[[#This Row],[HASIL MAX]]</f>
        <v>0</v>
      </c>
      <c r="I12" s="4"/>
      <c r="J12" s="4"/>
      <c r="K12" s="7">
        <v>46182</v>
      </c>
      <c r="L12" s="47">
        <v>227</v>
      </c>
      <c r="M12" s="47">
        <v>192</v>
      </c>
      <c r="N12" s="7">
        <v>46212</v>
      </c>
      <c r="O12" s="47">
        <v>176</v>
      </c>
      <c r="P12" s="47">
        <v>81</v>
      </c>
    </row>
    <row r="13" spans="1:18" x14ac:dyDescent="0.25">
      <c r="A13" s="48" t="s">
        <v>161</v>
      </c>
      <c r="B13" t="s">
        <v>162</v>
      </c>
      <c r="C13" t="s">
        <v>23207</v>
      </c>
      <c r="D13" s="3">
        <f>VLOOKUP(Table1[[#This Row],[CODE BARANG]],stock!$A:$C,3,)</f>
        <v>0</v>
      </c>
      <c r="E13" s="1">
        <v>4</v>
      </c>
      <c r="F13" s="1">
        <v>6</v>
      </c>
      <c r="G13" s="4">
        <f>Table1[[#This Row],[stock]]/Table1[[#This Row],[HASIL MIN]]</f>
        <v>0</v>
      </c>
      <c r="H13" s="4">
        <f>Table1[[#This Row],[stock]]/Table1[[#This Row],[HASIL MAX]]</f>
        <v>0</v>
      </c>
      <c r="I13" s="4"/>
      <c r="J13" s="4"/>
      <c r="K13" s="7">
        <v>46183</v>
      </c>
      <c r="L13" s="47">
        <v>228</v>
      </c>
      <c r="M13" s="47">
        <v>199</v>
      </c>
      <c r="N13" s="7">
        <v>46213</v>
      </c>
      <c r="O13" s="47">
        <v>173</v>
      </c>
      <c r="P13" s="47">
        <v>88</v>
      </c>
    </row>
    <row r="14" spans="1:18" x14ac:dyDescent="0.25">
      <c r="A14" s="48" t="s">
        <v>1165</v>
      </c>
      <c r="B14" t="s">
        <v>1166</v>
      </c>
      <c r="C14" t="s">
        <v>23211</v>
      </c>
      <c r="D14" s="3">
        <f>VLOOKUP(Table1[[#This Row],[CODE BARANG]],stock!$A:$C,3,)</f>
        <v>0</v>
      </c>
      <c r="E14" s="1">
        <v>1</v>
      </c>
      <c r="F14" s="1">
        <v>2</v>
      </c>
      <c r="G14" s="4">
        <f>Table1[[#This Row],[stock]]/Table1[[#This Row],[HASIL MIN]]</f>
        <v>0</v>
      </c>
      <c r="H14" s="4">
        <f>Table1[[#This Row],[stock]]/Table1[[#This Row],[HASIL MAX]]</f>
        <v>0</v>
      </c>
      <c r="I14" s="4"/>
      <c r="J14" s="4"/>
      <c r="K14" s="7">
        <v>46184</v>
      </c>
      <c r="L14" s="47">
        <v>188</v>
      </c>
      <c r="M14" s="47">
        <v>219</v>
      </c>
      <c r="N14" s="59">
        <v>46214</v>
      </c>
      <c r="O14" s="60"/>
      <c r="P14" s="47"/>
    </row>
    <row r="15" spans="1:18" x14ac:dyDescent="0.25">
      <c r="A15" s="48" t="s">
        <v>41</v>
      </c>
      <c r="B15" t="s">
        <v>42</v>
      </c>
      <c r="C15" t="s">
        <v>23207</v>
      </c>
      <c r="D15" s="3">
        <f>VLOOKUP(Table1[[#This Row],[CODE BARANG]],stock!$A:$C,3,)</f>
        <v>0</v>
      </c>
      <c r="E15" s="1">
        <v>60</v>
      </c>
      <c r="F15" s="1">
        <v>120</v>
      </c>
      <c r="G15" s="4">
        <f>Table1[[#This Row],[stock]]/Table1[[#This Row],[HASIL MIN]]</f>
        <v>0</v>
      </c>
      <c r="H15" s="4">
        <f>Table1[[#This Row],[stock]]/Table1[[#This Row],[HASIL MAX]]</f>
        <v>0</v>
      </c>
      <c r="I15" s="4"/>
      <c r="J15" s="4"/>
      <c r="K15" s="7">
        <v>46185</v>
      </c>
      <c r="L15" s="47">
        <v>196</v>
      </c>
      <c r="M15" s="47">
        <v>207</v>
      </c>
      <c r="N15" s="7">
        <v>46215</v>
      </c>
      <c r="O15" s="47"/>
      <c r="P15" s="47"/>
    </row>
    <row r="16" spans="1:18" x14ac:dyDescent="0.25">
      <c r="A16" s="48" t="s">
        <v>12662</v>
      </c>
      <c r="B16" t="s">
        <v>12663</v>
      </c>
      <c r="C16" t="s">
        <v>912</v>
      </c>
      <c r="D16" s="3">
        <f>VLOOKUP(Table1[[#This Row],[CODE BARANG]],stock!$A:$C,3,)</f>
        <v>0</v>
      </c>
      <c r="E16" s="1">
        <v>18</v>
      </c>
      <c r="F16" s="1">
        <v>30</v>
      </c>
      <c r="G16" s="4">
        <f>Table1[[#This Row],[stock]]/Table1[[#This Row],[HASIL MIN]]</f>
        <v>0</v>
      </c>
      <c r="H16" s="4">
        <f>Table1[[#This Row],[stock]]/Table1[[#This Row],[HASIL MAX]]</f>
        <v>0</v>
      </c>
      <c r="I16" s="4"/>
      <c r="J16" s="4"/>
      <c r="K16" s="7">
        <v>46186</v>
      </c>
      <c r="L16" s="47">
        <v>192</v>
      </c>
      <c r="M16" s="47">
        <v>202</v>
      </c>
      <c r="N16" s="7">
        <v>46216</v>
      </c>
      <c r="O16" s="47"/>
      <c r="P16" s="47"/>
    </row>
    <row r="17" spans="1:16" x14ac:dyDescent="0.25">
      <c r="A17" s="48" t="s">
        <v>1313</v>
      </c>
      <c r="B17" t="s">
        <v>1314</v>
      </c>
      <c r="C17" t="s">
        <v>23207</v>
      </c>
      <c r="D17" s="3">
        <f>VLOOKUP(Table1[[#This Row],[CODE BARANG]],stock!$A:$C,3,)</f>
        <v>0</v>
      </c>
      <c r="E17" s="1">
        <v>6</v>
      </c>
      <c r="F17" s="1">
        <v>12</v>
      </c>
      <c r="G17" s="4">
        <f>Table1[[#This Row],[stock]]/Table1[[#This Row],[HASIL MIN]]</f>
        <v>0</v>
      </c>
      <c r="H17" s="4">
        <f>Table1[[#This Row],[stock]]/Table1[[#This Row],[HASIL MAX]]</f>
        <v>0</v>
      </c>
      <c r="I17" s="4"/>
      <c r="J17" s="4"/>
      <c r="K17" s="7">
        <v>46187</v>
      </c>
      <c r="L17" s="47">
        <v>192</v>
      </c>
      <c r="M17" s="47">
        <v>201</v>
      </c>
      <c r="N17" s="7">
        <v>46217</v>
      </c>
      <c r="O17" s="47"/>
      <c r="P17" s="47"/>
    </row>
    <row r="18" spans="1:16" x14ac:dyDescent="0.25">
      <c r="A18" s="48" t="s">
        <v>519</v>
      </c>
      <c r="B18" t="s">
        <v>520</v>
      </c>
      <c r="C18" t="s">
        <v>23207</v>
      </c>
      <c r="D18" s="3">
        <f>VLOOKUP(Table1[[#This Row],[CODE BARANG]],stock!$A:$C,3,)</f>
        <v>0</v>
      </c>
      <c r="E18" s="1">
        <v>6</v>
      </c>
      <c r="F18" s="1">
        <v>10</v>
      </c>
      <c r="G18" s="4">
        <f>Table1[[#This Row],[stock]]/Table1[[#This Row],[HASIL MIN]]</f>
        <v>0</v>
      </c>
      <c r="H18" s="4">
        <f>Table1[[#This Row],[stock]]/Table1[[#This Row],[HASIL MAX]]</f>
        <v>0</v>
      </c>
      <c r="I18" s="4"/>
      <c r="J18" s="4"/>
      <c r="K18" s="7">
        <v>46188</v>
      </c>
      <c r="L18" s="47">
        <v>207</v>
      </c>
      <c r="M18" s="47">
        <v>194</v>
      </c>
      <c r="N18" s="7">
        <v>46218</v>
      </c>
      <c r="O18" s="47"/>
      <c r="P18" s="47"/>
    </row>
    <row r="19" spans="1:16" x14ac:dyDescent="0.25">
      <c r="A19" s="48" t="s">
        <v>713</v>
      </c>
      <c r="B19" t="s">
        <v>714</v>
      </c>
      <c r="C19" t="s">
        <v>439</v>
      </c>
      <c r="D19" s="3">
        <f>VLOOKUP(Table1[[#This Row],[CODE BARANG]],stock!$A:$C,3,)</f>
        <v>0</v>
      </c>
      <c r="E19" s="1">
        <v>36</v>
      </c>
      <c r="F19" s="1">
        <v>60</v>
      </c>
      <c r="G19" s="4">
        <f>Table1[[#This Row],[stock]]/Table1[[#This Row],[HASIL MIN]]</f>
        <v>0</v>
      </c>
      <c r="H19" s="4">
        <f>Table1[[#This Row],[stock]]/Table1[[#This Row],[HASIL MAX]]</f>
        <v>0</v>
      </c>
      <c r="I19" s="4"/>
      <c r="J19" s="4"/>
      <c r="K19" s="7">
        <v>46189</v>
      </c>
      <c r="L19" s="47">
        <v>219</v>
      </c>
      <c r="M19" s="47">
        <v>190</v>
      </c>
      <c r="N19" s="7">
        <v>46219</v>
      </c>
      <c r="O19" s="47"/>
      <c r="P19" s="47"/>
    </row>
    <row r="20" spans="1:16" x14ac:dyDescent="0.25">
      <c r="A20" s="48" t="s">
        <v>751</v>
      </c>
      <c r="B20" t="s">
        <v>752</v>
      </c>
      <c r="C20" t="s">
        <v>442</v>
      </c>
      <c r="D20" s="3">
        <f>VLOOKUP(Table1[[#This Row],[CODE BARANG]],stock!$A:$C,3,)</f>
        <v>0</v>
      </c>
      <c r="E20" s="1">
        <v>24</v>
      </c>
      <c r="F20" s="1">
        <v>36</v>
      </c>
      <c r="G20" s="4">
        <f>Table1[[#This Row],[stock]]/Table1[[#This Row],[HASIL MIN]]</f>
        <v>0</v>
      </c>
      <c r="H20" s="4">
        <f>Table1[[#This Row],[stock]]/Table1[[#This Row],[HASIL MAX]]</f>
        <v>0</v>
      </c>
      <c r="I20" s="4"/>
      <c r="J20" s="4"/>
      <c r="K20" s="7">
        <v>46190</v>
      </c>
      <c r="L20" s="47">
        <v>189</v>
      </c>
      <c r="M20" s="47">
        <v>210</v>
      </c>
      <c r="N20" s="7">
        <v>46220</v>
      </c>
      <c r="O20" s="47"/>
      <c r="P20" s="47"/>
    </row>
    <row r="21" spans="1:16" x14ac:dyDescent="0.25">
      <c r="A21" s="48" t="s">
        <v>515</v>
      </c>
      <c r="B21" t="s">
        <v>516</v>
      </c>
      <c r="C21" t="s">
        <v>23209</v>
      </c>
      <c r="D21" s="3">
        <f>VLOOKUP(Table1[[#This Row],[CODE BARANG]],stock!$A:$C,3,)</f>
        <v>0</v>
      </c>
      <c r="E21" s="1">
        <v>2</v>
      </c>
      <c r="F21" s="1">
        <v>6</v>
      </c>
      <c r="G21" s="4">
        <f>Table1[[#This Row],[stock]]/Table1[[#This Row],[HASIL MIN]]</f>
        <v>0</v>
      </c>
      <c r="H21" s="4">
        <f>Table1[[#This Row],[stock]]/Table1[[#This Row],[HASIL MAX]]</f>
        <v>0</v>
      </c>
      <c r="I21" s="4"/>
      <c r="J21" s="4"/>
      <c r="K21" s="7">
        <v>46191</v>
      </c>
      <c r="L21" s="47">
        <v>192</v>
      </c>
      <c r="M21" s="47">
        <v>213</v>
      </c>
      <c r="N21" s="7">
        <v>46221</v>
      </c>
      <c r="O21" s="47"/>
      <c r="P21" s="47"/>
    </row>
    <row r="22" spans="1:16" x14ac:dyDescent="0.25">
      <c r="A22" s="48" t="s">
        <v>95</v>
      </c>
      <c r="B22" t="s">
        <v>96</v>
      </c>
      <c r="C22" t="s">
        <v>23208</v>
      </c>
      <c r="D22" s="3">
        <f>VLOOKUP(Table1[[#This Row],[CODE BARANG]],stock!$A:$C,3,)</f>
        <v>0</v>
      </c>
      <c r="E22" s="1">
        <v>8</v>
      </c>
      <c r="F22" s="1">
        <v>12</v>
      </c>
      <c r="G22" s="4">
        <f>Table1[[#This Row],[stock]]/Table1[[#This Row],[HASIL MIN]]</f>
        <v>0</v>
      </c>
      <c r="H22" s="4">
        <f>Table1[[#This Row],[stock]]/Table1[[#This Row],[HASIL MAX]]</f>
        <v>0</v>
      </c>
      <c r="I22" s="4"/>
      <c r="J22" s="4"/>
      <c r="K22" s="7">
        <v>46192</v>
      </c>
      <c r="L22" s="47">
        <v>194</v>
      </c>
      <c r="M22" s="47">
        <v>212</v>
      </c>
      <c r="N22" s="7">
        <v>46222</v>
      </c>
      <c r="O22" s="47"/>
      <c r="P22" s="47"/>
    </row>
    <row r="23" spans="1:16" x14ac:dyDescent="0.25">
      <c r="A23" s="48" t="s">
        <v>49</v>
      </c>
      <c r="B23" t="s">
        <v>50</v>
      </c>
      <c r="C23" t="s">
        <v>23209</v>
      </c>
      <c r="D23" s="3">
        <f>VLOOKUP(Table1[[#This Row],[CODE BARANG]],stock!$A:$C,3,)</f>
        <v>0</v>
      </c>
      <c r="E23" s="1">
        <v>2</v>
      </c>
      <c r="F23" s="1">
        <v>4</v>
      </c>
      <c r="G23" s="4">
        <f>Table1[[#This Row],[stock]]/Table1[[#This Row],[HASIL MIN]]</f>
        <v>0</v>
      </c>
      <c r="H23" s="4">
        <f>Table1[[#This Row],[stock]]/Table1[[#This Row],[HASIL MAX]]</f>
        <v>0</v>
      </c>
      <c r="I23" s="4"/>
      <c r="J23" s="4"/>
      <c r="K23" s="7">
        <v>46193</v>
      </c>
      <c r="L23" s="47">
        <v>204</v>
      </c>
      <c r="M23" s="47">
        <v>216</v>
      </c>
      <c r="N23" s="7">
        <v>46223</v>
      </c>
      <c r="O23" s="47"/>
      <c r="P23" s="47"/>
    </row>
    <row r="24" spans="1:16" x14ac:dyDescent="0.25">
      <c r="A24" s="48" t="s">
        <v>1245</v>
      </c>
      <c r="B24" t="s">
        <v>1246</v>
      </c>
      <c r="C24" t="s">
        <v>442</v>
      </c>
      <c r="D24" s="3">
        <f>VLOOKUP(Table1[[#This Row],[CODE BARANG]],stock!$A:$C,3,)</f>
        <v>0</v>
      </c>
      <c r="E24" s="1">
        <v>12</v>
      </c>
      <c r="F24" s="1">
        <v>20</v>
      </c>
      <c r="G24" s="4">
        <f>Table1[[#This Row],[stock]]/Table1[[#This Row],[HASIL MIN]]</f>
        <v>0</v>
      </c>
      <c r="H24" s="4">
        <f>Table1[[#This Row],[stock]]/Table1[[#This Row],[HASIL MAX]]</f>
        <v>0</v>
      </c>
      <c r="I24" s="4"/>
      <c r="J24" s="4"/>
      <c r="K24" s="7">
        <v>46194</v>
      </c>
      <c r="L24" s="47">
        <v>221</v>
      </c>
      <c r="M24" s="47">
        <v>214</v>
      </c>
      <c r="N24" s="7">
        <v>46224</v>
      </c>
      <c r="O24" s="47"/>
      <c r="P24" s="47"/>
    </row>
    <row r="25" spans="1:16" x14ac:dyDescent="0.25">
      <c r="A25" s="48" t="s">
        <v>1419</v>
      </c>
      <c r="B25" t="s">
        <v>1420</v>
      </c>
      <c r="C25" t="s">
        <v>23207</v>
      </c>
      <c r="D25" s="3">
        <f>VLOOKUP(Table1[[#This Row],[CODE BARANG]],stock!$A:$C,3,)</f>
        <v>0</v>
      </c>
      <c r="E25" s="1">
        <v>6</v>
      </c>
      <c r="F25" s="1">
        <v>8</v>
      </c>
      <c r="G25" s="4">
        <f>Table1[[#This Row],[stock]]/Table1[[#This Row],[HASIL MIN]]</f>
        <v>0</v>
      </c>
      <c r="H25" s="4">
        <f>Table1[[#This Row],[stock]]/Table1[[#This Row],[HASIL MAX]]</f>
        <v>0</v>
      </c>
      <c r="I25" s="4"/>
      <c r="J25" s="4"/>
      <c r="K25" s="7">
        <v>46195</v>
      </c>
      <c r="L25" s="47">
        <v>233</v>
      </c>
      <c r="M25" s="47">
        <v>195</v>
      </c>
      <c r="N25" s="7">
        <v>46225</v>
      </c>
      <c r="O25" s="47"/>
      <c r="P25" s="47"/>
    </row>
    <row r="26" spans="1:16" x14ac:dyDescent="0.25">
      <c r="A26" s="48" t="s">
        <v>67</v>
      </c>
      <c r="B26" t="s">
        <v>68</v>
      </c>
      <c r="C26" t="s">
        <v>23209</v>
      </c>
      <c r="D26" s="3">
        <f>VLOOKUP(Table1[[#This Row],[CODE BARANG]],stock!$A:$C,3,)</f>
        <v>0</v>
      </c>
      <c r="E26" s="1">
        <v>96</v>
      </c>
      <c r="F26" s="1">
        <v>120</v>
      </c>
      <c r="G26" s="4">
        <f>Table1[[#This Row],[stock]]/Table1[[#This Row],[HASIL MIN]]</f>
        <v>0</v>
      </c>
      <c r="H26" s="4">
        <f>Table1[[#This Row],[stock]]/Table1[[#This Row],[HASIL MAX]]</f>
        <v>0</v>
      </c>
      <c r="I26" s="4"/>
      <c r="J26" s="4"/>
      <c r="K26" s="7">
        <v>46196</v>
      </c>
      <c r="L26" s="47">
        <v>220</v>
      </c>
      <c r="M26" s="47">
        <v>194</v>
      </c>
      <c r="N26" s="7">
        <v>46226</v>
      </c>
      <c r="O26" s="47"/>
      <c r="P26" s="47"/>
    </row>
    <row r="27" spans="1:16" x14ac:dyDescent="0.25">
      <c r="A27" s="48" t="s">
        <v>1477</v>
      </c>
      <c r="B27" t="s">
        <v>1478</v>
      </c>
      <c r="C27" t="s">
        <v>23218</v>
      </c>
      <c r="D27" s="3">
        <f>VLOOKUP(Table1[[#This Row],[CODE BARANG]],stock!$A:$C,3,)</f>
        <v>0</v>
      </c>
      <c r="E27" s="1">
        <v>2</v>
      </c>
      <c r="F27" s="1">
        <v>4</v>
      </c>
      <c r="G27" s="4">
        <f>Table1[[#This Row],[stock]]/Table1[[#This Row],[HASIL MIN]]</f>
        <v>0</v>
      </c>
      <c r="H27" s="4">
        <f>Table1[[#This Row],[stock]]/Table1[[#This Row],[HASIL MAX]]</f>
        <v>0</v>
      </c>
      <c r="I27" s="4"/>
      <c r="J27" s="4"/>
      <c r="K27" s="7">
        <v>46197</v>
      </c>
      <c r="L27" s="47">
        <v>186</v>
      </c>
      <c r="M27" s="47">
        <v>187</v>
      </c>
      <c r="N27" s="7">
        <v>46227</v>
      </c>
      <c r="O27" s="47"/>
      <c r="P27" s="47"/>
    </row>
    <row r="28" spans="1:16" x14ac:dyDescent="0.25">
      <c r="A28" s="48" t="s">
        <v>1039</v>
      </c>
      <c r="B28" t="s">
        <v>1040</v>
      </c>
      <c r="C28" t="s">
        <v>23207</v>
      </c>
      <c r="D28" s="3">
        <f>VLOOKUP(Table1[[#This Row],[CODE BARANG]],stock!$A:$C,3,)</f>
        <v>0</v>
      </c>
      <c r="E28" s="1">
        <v>6</v>
      </c>
      <c r="F28" s="1">
        <v>10</v>
      </c>
      <c r="G28" s="4">
        <f>Table1[[#This Row],[stock]]/Table1[[#This Row],[HASIL MIN]]</f>
        <v>0</v>
      </c>
      <c r="H28" s="4">
        <f>Table1[[#This Row],[stock]]/Table1[[#This Row],[HASIL MAX]]</f>
        <v>0</v>
      </c>
      <c r="I28" s="4"/>
      <c r="J28" s="4"/>
      <c r="K28" s="7">
        <v>46198</v>
      </c>
      <c r="L28" s="47">
        <v>193</v>
      </c>
      <c r="M28" s="47">
        <v>187</v>
      </c>
      <c r="N28" s="7">
        <v>46228</v>
      </c>
      <c r="O28" s="47"/>
      <c r="P28" s="47"/>
    </row>
    <row r="29" spans="1:16" x14ac:dyDescent="0.25">
      <c r="A29" s="48" t="s">
        <v>465</v>
      </c>
      <c r="B29" t="s">
        <v>466</v>
      </c>
      <c r="C29" t="s">
        <v>23207</v>
      </c>
      <c r="D29" s="3">
        <f>VLOOKUP(Table1[[#This Row],[CODE BARANG]],stock!$A:$C,3,)</f>
        <v>0</v>
      </c>
      <c r="E29" s="1">
        <v>4</v>
      </c>
      <c r="F29" s="1">
        <v>6</v>
      </c>
      <c r="G29" s="4">
        <f>Table1[[#This Row],[stock]]/Table1[[#This Row],[HASIL MIN]]</f>
        <v>0</v>
      </c>
      <c r="H29" s="4">
        <f>Table1[[#This Row],[stock]]/Table1[[#This Row],[HASIL MAX]]</f>
        <v>0</v>
      </c>
      <c r="I29" s="4"/>
      <c r="J29" s="4"/>
      <c r="K29" s="7">
        <v>46199</v>
      </c>
      <c r="L29" s="47">
        <v>189</v>
      </c>
      <c r="M29" s="47">
        <v>182</v>
      </c>
      <c r="N29" s="7">
        <v>46229</v>
      </c>
      <c r="O29" s="47"/>
      <c r="P29" s="47"/>
    </row>
    <row r="30" spans="1:16" x14ac:dyDescent="0.25">
      <c r="A30" s="48" t="s">
        <v>91</v>
      </c>
      <c r="B30" t="s">
        <v>92</v>
      </c>
      <c r="C30" t="s">
        <v>23214</v>
      </c>
      <c r="D30" s="3">
        <f>VLOOKUP(Table1[[#This Row],[CODE BARANG]],stock!$A:$C,3,)</f>
        <v>0</v>
      </c>
      <c r="E30" s="1">
        <v>40</v>
      </c>
      <c r="F30" s="1">
        <v>80</v>
      </c>
      <c r="G30" s="4">
        <f>Table1[[#This Row],[stock]]/Table1[[#This Row],[HASIL MIN]]</f>
        <v>0</v>
      </c>
      <c r="H30" s="4">
        <f>Table1[[#This Row],[stock]]/Table1[[#This Row],[HASIL MAX]]</f>
        <v>0</v>
      </c>
      <c r="I30" s="4"/>
      <c r="J30" s="4"/>
      <c r="K30" s="7">
        <v>46200</v>
      </c>
      <c r="L30" s="49">
        <v>177</v>
      </c>
      <c r="M30" s="49">
        <v>230</v>
      </c>
      <c r="N30" s="7">
        <v>46230</v>
      </c>
      <c r="O30" s="47"/>
      <c r="P30" s="47"/>
    </row>
    <row r="31" spans="1:16" x14ac:dyDescent="0.25">
      <c r="A31" s="48" t="s">
        <v>1519</v>
      </c>
      <c r="B31" t="s">
        <v>1520</v>
      </c>
      <c r="C31" t="s">
        <v>23207</v>
      </c>
      <c r="D31" s="3">
        <f>VLOOKUP(Table1[[#This Row],[CODE BARANG]],stock!$A:$C,3,)</f>
        <v>0</v>
      </c>
      <c r="E31" s="1">
        <v>2</v>
      </c>
      <c r="F31" s="1">
        <v>4</v>
      </c>
      <c r="G31" s="4">
        <f>Table1[[#This Row],[stock]]/Table1[[#This Row],[HASIL MIN]]</f>
        <v>0</v>
      </c>
      <c r="H31" s="4">
        <f>Table1[[#This Row],[stock]]/Table1[[#This Row],[HASIL MAX]]</f>
        <v>0</v>
      </c>
      <c r="I31" s="4"/>
      <c r="J31" s="4"/>
      <c r="K31" s="7">
        <v>46201</v>
      </c>
      <c r="L31" s="49">
        <v>179</v>
      </c>
      <c r="M31" s="47">
        <v>230</v>
      </c>
      <c r="N31" s="7">
        <v>46231</v>
      </c>
      <c r="O31" s="47"/>
      <c r="P31" s="47"/>
    </row>
    <row r="32" spans="1:16" x14ac:dyDescent="0.25">
      <c r="A32" s="48" t="s">
        <v>101</v>
      </c>
      <c r="B32" t="s">
        <v>102</v>
      </c>
      <c r="C32" t="s">
        <v>439</v>
      </c>
      <c r="D32" s="3">
        <f>VLOOKUP(Table1[[#This Row],[CODE BARANG]],stock!$A:$C,3,)</f>
        <v>0</v>
      </c>
      <c r="E32" s="1">
        <v>4</v>
      </c>
      <c r="F32" s="1">
        <v>6</v>
      </c>
      <c r="G32" s="4">
        <f>Table1[[#This Row],[stock]]/Table1[[#This Row],[HASIL MIN]]</f>
        <v>0</v>
      </c>
      <c r="H32" s="4">
        <f>Table1[[#This Row],[stock]]/Table1[[#This Row],[HASIL MAX]]</f>
        <v>0</v>
      </c>
      <c r="I32" s="4"/>
      <c r="J32" s="4"/>
      <c r="K32" s="7">
        <v>46202</v>
      </c>
      <c r="L32" s="50">
        <v>181</v>
      </c>
      <c r="M32" s="50">
        <v>229</v>
      </c>
      <c r="N32" s="7">
        <v>46232</v>
      </c>
      <c r="O32" s="61"/>
      <c r="P32" s="61"/>
    </row>
    <row r="33" spans="1:16" x14ac:dyDescent="0.25">
      <c r="A33" s="48" t="s">
        <v>1984</v>
      </c>
      <c r="B33" t="s">
        <v>1985</v>
      </c>
      <c r="C33" t="s">
        <v>23207</v>
      </c>
      <c r="D33" s="3">
        <f>VLOOKUP(Table1[[#This Row],[CODE BARANG]],stock!$A:$C,3,)</f>
        <v>0</v>
      </c>
      <c r="E33" s="1">
        <v>2</v>
      </c>
      <c r="F33" s="1">
        <v>4</v>
      </c>
      <c r="G33" s="4">
        <f>Table1[[#This Row],[stock]]/Table1[[#This Row],[HASIL MIN]]</f>
        <v>0</v>
      </c>
      <c r="H33" s="4">
        <f>Table1[[#This Row],[stock]]/Table1[[#This Row],[HASIL MAX]]</f>
        <v>0</v>
      </c>
      <c r="I33" s="4"/>
      <c r="J33" s="4"/>
      <c r="K33" s="7">
        <v>46203</v>
      </c>
      <c r="L33" s="50">
        <v>184</v>
      </c>
      <c r="M33" s="50">
        <v>221</v>
      </c>
      <c r="N33" s="7">
        <v>46233</v>
      </c>
      <c r="O33" s="61"/>
      <c r="P33" s="61"/>
    </row>
    <row r="34" spans="1:16" x14ac:dyDescent="0.25">
      <c r="A34" s="48" t="s">
        <v>1199</v>
      </c>
      <c r="B34" t="s">
        <v>1200</v>
      </c>
      <c r="C34" t="s">
        <v>23212</v>
      </c>
      <c r="D34" s="3">
        <f>VLOOKUP(Table1[[#This Row],[CODE BARANG]],stock!$A:$C,3,)</f>
        <v>0</v>
      </c>
      <c r="E34" s="1">
        <v>12</v>
      </c>
      <c r="F34" s="1">
        <v>20</v>
      </c>
      <c r="G34" s="4">
        <f>Table1[[#This Row],[stock]]/Table1[[#This Row],[HASIL MIN]]</f>
        <v>0</v>
      </c>
      <c r="H34" s="4">
        <f>Table1[[#This Row],[stock]]/Table1[[#This Row],[HASIL MAX]]</f>
        <v>0</v>
      </c>
      <c r="I34" s="4"/>
      <c r="J34" s="4"/>
      <c r="K34" s="7">
        <v>46204</v>
      </c>
      <c r="L34" s="47">
        <v>197</v>
      </c>
      <c r="M34" s="47">
        <v>214</v>
      </c>
      <c r="N34" s="7">
        <v>46234</v>
      </c>
      <c r="O34" s="47"/>
      <c r="P34" s="47"/>
    </row>
    <row r="35" spans="1:16" x14ac:dyDescent="0.25">
      <c r="A35" s="48" t="s">
        <v>179</v>
      </c>
      <c r="B35" t="s">
        <v>180</v>
      </c>
      <c r="C35" t="s">
        <v>23207</v>
      </c>
      <c r="D35" s="3">
        <f>VLOOKUP(Table1[[#This Row],[CODE BARANG]],stock!$A:$C,3,)</f>
        <v>0</v>
      </c>
      <c r="E35" s="1">
        <v>6</v>
      </c>
      <c r="F35" s="1">
        <v>12</v>
      </c>
      <c r="G35" s="4">
        <f>Table1[[#This Row],[stock]]/Table1[[#This Row],[HASIL MIN]]</f>
        <v>0</v>
      </c>
      <c r="H35" s="4">
        <f>Table1[[#This Row],[stock]]/Table1[[#This Row],[HASIL MAX]]</f>
        <v>0</v>
      </c>
      <c r="I35" s="4"/>
      <c r="J35" s="4"/>
    </row>
    <row r="36" spans="1:16" x14ac:dyDescent="0.25">
      <c r="A36" s="48" t="s">
        <v>241</v>
      </c>
      <c r="B36" t="s">
        <v>242</v>
      </c>
      <c r="C36" t="s">
        <v>23208</v>
      </c>
      <c r="D36" s="3">
        <f>VLOOKUP(Table1[[#This Row],[CODE BARANG]],stock!$A:$C,3,)</f>
        <v>0</v>
      </c>
      <c r="E36" s="1">
        <v>6</v>
      </c>
      <c r="F36" s="1">
        <v>12</v>
      </c>
      <c r="G36" s="4">
        <f>Table1[[#This Row],[stock]]/Table1[[#This Row],[HASIL MIN]]</f>
        <v>0</v>
      </c>
      <c r="H36" s="4">
        <f>Table1[[#This Row],[stock]]/Table1[[#This Row],[HASIL MAX]]</f>
        <v>0</v>
      </c>
      <c r="I36" s="4"/>
      <c r="J36" s="4"/>
    </row>
    <row r="37" spans="1:16" x14ac:dyDescent="0.25">
      <c r="A37" s="48" t="s">
        <v>1892</v>
      </c>
      <c r="B37" t="s">
        <v>1893</v>
      </c>
      <c r="C37" t="s">
        <v>23208</v>
      </c>
      <c r="D37" s="3">
        <f>VLOOKUP(Table1[[#This Row],[CODE BARANG]],stock!$A:$C,3,)</f>
        <v>0</v>
      </c>
      <c r="E37" s="1">
        <v>5</v>
      </c>
      <c r="F37" s="1">
        <v>10</v>
      </c>
      <c r="G37" s="4">
        <f>Table1[[#This Row],[stock]]/Table1[[#This Row],[HASIL MIN]]</f>
        <v>0</v>
      </c>
      <c r="H37" s="4">
        <f>Table1[[#This Row],[stock]]/Table1[[#This Row],[HASIL MAX]]</f>
        <v>0</v>
      </c>
      <c r="I37" s="4"/>
      <c r="J37" s="4"/>
    </row>
    <row r="38" spans="1:16" x14ac:dyDescent="0.25">
      <c r="A38" s="48" t="s">
        <v>535</v>
      </c>
      <c r="B38" t="s">
        <v>536</v>
      </c>
      <c r="C38" t="s">
        <v>23207</v>
      </c>
      <c r="D38" s="3">
        <f>VLOOKUP(Table1[[#This Row],[CODE BARANG]],stock!$A:$C,3,)</f>
        <v>0</v>
      </c>
      <c r="E38" s="1">
        <v>6</v>
      </c>
      <c r="F38" s="1">
        <v>18</v>
      </c>
      <c r="G38" s="4">
        <f>Table1[[#This Row],[stock]]/Table1[[#This Row],[HASIL MIN]]</f>
        <v>0</v>
      </c>
      <c r="H38" s="4">
        <f>Table1[[#This Row],[stock]]/Table1[[#This Row],[HASIL MAX]]</f>
        <v>0</v>
      </c>
      <c r="I38" s="4"/>
      <c r="J38" s="4"/>
    </row>
    <row r="39" spans="1:16" x14ac:dyDescent="0.25">
      <c r="A39" s="48" t="s">
        <v>1235</v>
      </c>
      <c r="B39" t="s">
        <v>1236</v>
      </c>
      <c r="C39" t="s">
        <v>23209</v>
      </c>
      <c r="D39" s="3">
        <f>VLOOKUP(Table1[[#This Row],[CODE BARANG]],stock!$A:$C,3,)</f>
        <v>0</v>
      </c>
      <c r="E39" s="1">
        <v>3</v>
      </c>
      <c r="F39" s="1">
        <v>4</v>
      </c>
      <c r="G39" s="4">
        <f>Table1[[#This Row],[stock]]/Table1[[#This Row],[HASIL MIN]]</f>
        <v>0</v>
      </c>
      <c r="H39" s="4">
        <f>Table1[[#This Row],[stock]]/Table1[[#This Row],[HASIL MAX]]</f>
        <v>0</v>
      </c>
      <c r="I39" s="4"/>
      <c r="J39" s="4"/>
    </row>
    <row r="40" spans="1:16" x14ac:dyDescent="0.25">
      <c r="A40" s="48" t="s">
        <v>763</v>
      </c>
      <c r="B40" t="s">
        <v>764</v>
      </c>
      <c r="C40" t="s">
        <v>23209</v>
      </c>
      <c r="D40" s="3">
        <f>VLOOKUP(Table1[[#This Row],[CODE BARANG]],stock!$A:$C,3,)</f>
        <v>0</v>
      </c>
      <c r="E40" s="1">
        <v>12</v>
      </c>
      <c r="F40" s="1">
        <v>24</v>
      </c>
      <c r="G40" s="4">
        <f>Table1[[#This Row],[stock]]/Table1[[#This Row],[HASIL MIN]]</f>
        <v>0</v>
      </c>
      <c r="H40" s="4">
        <f>Table1[[#This Row],[stock]]/Table1[[#This Row],[HASIL MAX]]</f>
        <v>0</v>
      </c>
      <c r="I40" s="4"/>
      <c r="J40" s="4"/>
    </row>
    <row r="41" spans="1:16" x14ac:dyDescent="0.25">
      <c r="A41" s="48" t="s">
        <v>283</v>
      </c>
      <c r="B41" t="s">
        <v>284</v>
      </c>
      <c r="C41" t="s">
        <v>23207</v>
      </c>
      <c r="D41" s="3">
        <f>VLOOKUP(Table1[[#This Row],[CODE BARANG]],stock!$A:$C,3,)</f>
        <v>0</v>
      </c>
      <c r="E41" s="1">
        <v>4</v>
      </c>
      <c r="F41" s="1">
        <v>6</v>
      </c>
      <c r="G41" s="4">
        <f>Table1[[#This Row],[stock]]/Table1[[#This Row],[HASIL MIN]]</f>
        <v>0</v>
      </c>
      <c r="H41" s="4">
        <f>Table1[[#This Row],[stock]]/Table1[[#This Row],[HASIL MAX]]</f>
        <v>0</v>
      </c>
      <c r="I41" s="4"/>
      <c r="J41" s="4"/>
    </row>
    <row r="42" spans="1:16" x14ac:dyDescent="0.25">
      <c r="A42" s="48" t="s">
        <v>1371</v>
      </c>
      <c r="B42" t="s">
        <v>1372</v>
      </c>
      <c r="C42" t="s">
        <v>23209</v>
      </c>
      <c r="D42" s="3">
        <f>VLOOKUP(Table1[[#This Row],[CODE BARANG]],stock!$A:$C,3,)</f>
        <v>0</v>
      </c>
      <c r="E42" s="1">
        <v>2</v>
      </c>
      <c r="F42" s="1">
        <v>4</v>
      </c>
      <c r="G42" s="4">
        <f>Table1[[#This Row],[stock]]/Table1[[#This Row],[HASIL MIN]]</f>
        <v>0</v>
      </c>
      <c r="H42" s="4">
        <f>Table1[[#This Row],[stock]]/Table1[[#This Row],[HASIL MAX]]</f>
        <v>0</v>
      </c>
      <c r="I42" s="4"/>
      <c r="J42" s="4"/>
    </row>
    <row r="43" spans="1:16" x14ac:dyDescent="0.25">
      <c r="A43" s="48" t="s">
        <v>759</v>
      </c>
      <c r="B43" t="s">
        <v>760</v>
      </c>
      <c r="C43" t="s">
        <v>23207</v>
      </c>
      <c r="D43" s="3">
        <f>VLOOKUP(Table1[[#This Row],[CODE BARANG]],stock!$A:$C,3,)</f>
        <v>0</v>
      </c>
      <c r="E43" s="1">
        <v>60</v>
      </c>
      <c r="F43" s="1">
        <v>120</v>
      </c>
      <c r="G43" s="4">
        <f>Table1[[#This Row],[stock]]/Table1[[#This Row],[HASIL MIN]]</f>
        <v>0</v>
      </c>
      <c r="H43" s="4">
        <f>Table1[[#This Row],[stock]]/Table1[[#This Row],[HASIL MAX]]</f>
        <v>0</v>
      </c>
      <c r="I43" s="4"/>
      <c r="J43" s="4"/>
    </row>
    <row r="44" spans="1:16" x14ac:dyDescent="0.25">
      <c r="A44" s="48" t="s">
        <v>469</v>
      </c>
      <c r="B44" t="s">
        <v>470</v>
      </c>
      <c r="C44" t="s">
        <v>23207</v>
      </c>
      <c r="D44" s="3">
        <f>VLOOKUP(Table1[[#This Row],[CODE BARANG]],stock!$A:$C,3,)</f>
        <v>0</v>
      </c>
      <c r="E44" s="1">
        <v>6</v>
      </c>
      <c r="F44" s="1">
        <v>18</v>
      </c>
      <c r="G44" s="4">
        <f>Table1[[#This Row],[stock]]/Table1[[#This Row],[HASIL MIN]]</f>
        <v>0</v>
      </c>
      <c r="H44" s="4">
        <f>Table1[[#This Row],[stock]]/Table1[[#This Row],[HASIL MAX]]</f>
        <v>0</v>
      </c>
      <c r="I44" s="4"/>
      <c r="J44" s="4"/>
    </row>
    <row r="45" spans="1:16" x14ac:dyDescent="0.25">
      <c r="A45" s="48" t="s">
        <v>1940</v>
      </c>
      <c r="B45" t="s">
        <v>1941</v>
      </c>
      <c r="C45" t="s">
        <v>23207</v>
      </c>
      <c r="D45" s="3">
        <f>VLOOKUP(Table1[[#This Row],[CODE BARANG]],stock!$A:$C,3,)</f>
        <v>0</v>
      </c>
      <c r="E45" s="1">
        <v>6</v>
      </c>
      <c r="F45" s="1">
        <v>12</v>
      </c>
      <c r="G45" s="4">
        <f>Table1[[#This Row],[stock]]/Table1[[#This Row],[HASIL MIN]]</f>
        <v>0</v>
      </c>
      <c r="H45" s="4">
        <f>Table1[[#This Row],[stock]]/Table1[[#This Row],[HASIL MAX]]</f>
        <v>0</v>
      </c>
      <c r="I45" s="4"/>
      <c r="J45" s="4"/>
    </row>
    <row r="46" spans="1:16" x14ac:dyDescent="0.25">
      <c r="A46" s="48" t="s">
        <v>1904</v>
      </c>
      <c r="B46" t="s">
        <v>1905</v>
      </c>
      <c r="C46" t="s">
        <v>23213</v>
      </c>
      <c r="D46" s="3">
        <f>VLOOKUP(Table1[[#This Row],[CODE BARANG]],stock!$A:$C,3,)</f>
        <v>0</v>
      </c>
      <c r="E46" s="1">
        <v>12</v>
      </c>
      <c r="F46" s="1">
        <v>24</v>
      </c>
      <c r="G46" s="4">
        <f>Table1[[#This Row],[stock]]/Table1[[#This Row],[HASIL MIN]]</f>
        <v>0</v>
      </c>
      <c r="H46" s="4">
        <f>Table1[[#This Row],[stock]]/Table1[[#This Row],[HASIL MAX]]</f>
        <v>0</v>
      </c>
      <c r="I46" s="4"/>
      <c r="J46" s="4"/>
    </row>
    <row r="47" spans="1:16" x14ac:dyDescent="0.25">
      <c r="A47" s="48" t="s">
        <v>1269</v>
      </c>
      <c r="B47" t="s">
        <v>1270</v>
      </c>
      <c r="C47" t="s">
        <v>23216</v>
      </c>
      <c r="D47" s="3">
        <f>VLOOKUP(Table1[[#This Row],[CODE BARANG]],stock!$A:$C,3,)</f>
        <v>0</v>
      </c>
      <c r="E47" s="1">
        <v>6</v>
      </c>
      <c r="F47" s="1">
        <v>12</v>
      </c>
      <c r="G47" s="4">
        <f>Table1[[#This Row],[stock]]/Table1[[#This Row],[HASIL MIN]]</f>
        <v>0</v>
      </c>
      <c r="H47" s="4">
        <f>Table1[[#This Row],[stock]]/Table1[[#This Row],[HASIL MAX]]</f>
        <v>0</v>
      </c>
      <c r="I47" s="4"/>
      <c r="J47" s="4"/>
    </row>
    <row r="48" spans="1:16" x14ac:dyDescent="0.25">
      <c r="A48" s="48" t="s">
        <v>1069</v>
      </c>
      <c r="B48" t="s">
        <v>1070</v>
      </c>
      <c r="C48" t="s">
        <v>23211</v>
      </c>
      <c r="D48" s="3">
        <f>VLOOKUP(Table1[[#This Row],[CODE BARANG]],stock!$A:$C,3,)</f>
        <v>0</v>
      </c>
      <c r="E48" s="1">
        <v>24</v>
      </c>
      <c r="F48" s="1">
        <v>48</v>
      </c>
      <c r="G48" s="4">
        <f>Table1[[#This Row],[stock]]/Table1[[#This Row],[HASIL MIN]]</f>
        <v>0</v>
      </c>
      <c r="H48" s="4">
        <f>Table1[[#This Row],[stock]]/Table1[[#This Row],[HASIL MAX]]</f>
        <v>0</v>
      </c>
      <c r="I48" s="4"/>
      <c r="J48" s="4"/>
    </row>
    <row r="49" spans="1:10" x14ac:dyDescent="0.25">
      <c r="A49" s="48" t="s">
        <v>1795</v>
      </c>
      <c r="B49" t="s">
        <v>1796</v>
      </c>
      <c r="C49" t="s">
        <v>23209</v>
      </c>
      <c r="D49" s="3">
        <f>VLOOKUP(Table1[[#This Row],[CODE BARANG]],stock!$A:$C,3,)</f>
        <v>0</v>
      </c>
      <c r="E49" s="1">
        <v>4</v>
      </c>
      <c r="F49" s="1">
        <v>6</v>
      </c>
      <c r="G49" s="4">
        <f>Table1[[#This Row],[stock]]/Table1[[#This Row],[HASIL MIN]]</f>
        <v>0</v>
      </c>
      <c r="H49" s="4">
        <f>Table1[[#This Row],[stock]]/Table1[[#This Row],[HASIL MAX]]</f>
        <v>0</v>
      </c>
      <c r="I49" s="4"/>
      <c r="J49" s="4"/>
    </row>
    <row r="50" spans="1:10" x14ac:dyDescent="0.25">
      <c r="A50" s="48" t="s">
        <v>301</v>
      </c>
      <c r="B50" t="s">
        <v>302</v>
      </c>
      <c r="C50" t="s">
        <v>23207</v>
      </c>
      <c r="D50" s="3">
        <f>VLOOKUP(Table1[[#This Row],[CODE BARANG]],stock!$A:$C,3,)</f>
        <v>0</v>
      </c>
      <c r="E50" s="1">
        <v>10</v>
      </c>
      <c r="F50" s="1">
        <v>18</v>
      </c>
      <c r="G50" s="4">
        <f>Table1[[#This Row],[stock]]/Table1[[#This Row],[HASIL MIN]]</f>
        <v>0</v>
      </c>
      <c r="H50" s="4">
        <f>Table1[[#This Row],[stock]]/Table1[[#This Row],[HASIL MAX]]</f>
        <v>0</v>
      </c>
      <c r="I50" s="4"/>
      <c r="J50" s="4"/>
    </row>
    <row r="51" spans="1:10" x14ac:dyDescent="0.25">
      <c r="A51" s="48" t="s">
        <v>1329</v>
      </c>
      <c r="B51" t="s">
        <v>1330</v>
      </c>
      <c r="C51" t="s">
        <v>442</v>
      </c>
      <c r="D51" s="3">
        <f>VLOOKUP(Table1[[#This Row],[CODE BARANG]],stock!$A:$C,3,)</f>
        <v>0</v>
      </c>
      <c r="E51" s="1">
        <v>15</v>
      </c>
      <c r="F51" s="1">
        <v>30</v>
      </c>
      <c r="G51" s="4">
        <f>Table1[[#This Row],[stock]]/Table1[[#This Row],[HASIL MIN]]</f>
        <v>0</v>
      </c>
      <c r="H51" s="4">
        <f>Table1[[#This Row],[stock]]/Table1[[#This Row],[HASIL MAX]]</f>
        <v>0</v>
      </c>
      <c r="I51" s="4"/>
      <c r="J51" s="4"/>
    </row>
    <row r="52" spans="1:10" x14ac:dyDescent="0.25">
      <c r="A52" s="48" t="s">
        <v>261</v>
      </c>
      <c r="B52" t="s">
        <v>262</v>
      </c>
      <c r="C52" t="s">
        <v>23209</v>
      </c>
      <c r="D52" s="3">
        <f>VLOOKUP(Table1[[#This Row],[CODE BARANG]],stock!$A:$C,3,)</f>
        <v>0</v>
      </c>
      <c r="E52" s="1">
        <v>24</v>
      </c>
      <c r="F52" s="1">
        <v>30</v>
      </c>
      <c r="G52" s="4">
        <f>Table1[[#This Row],[stock]]/Table1[[#This Row],[HASIL MIN]]</f>
        <v>0</v>
      </c>
      <c r="H52" s="4">
        <f>Table1[[#This Row],[stock]]/Table1[[#This Row],[HASIL MAX]]</f>
        <v>0</v>
      </c>
      <c r="I52" s="4"/>
      <c r="J52" s="4"/>
    </row>
    <row r="53" spans="1:10" x14ac:dyDescent="0.25">
      <c r="A53" s="48" t="s">
        <v>767</v>
      </c>
      <c r="B53" t="s">
        <v>768</v>
      </c>
      <c r="C53" t="s">
        <v>23209</v>
      </c>
      <c r="D53" s="3">
        <f>VLOOKUP(Table1[[#This Row],[CODE BARANG]],stock!$A:$C,3,)</f>
        <v>0</v>
      </c>
      <c r="E53" s="1">
        <v>1</v>
      </c>
      <c r="F53" s="1">
        <v>2</v>
      </c>
      <c r="G53" s="4">
        <f>Table1[[#This Row],[stock]]/Table1[[#This Row],[HASIL MIN]]</f>
        <v>0</v>
      </c>
      <c r="H53" s="4">
        <f>Table1[[#This Row],[stock]]/Table1[[#This Row],[HASIL MAX]]</f>
        <v>0</v>
      </c>
      <c r="I53" s="4"/>
      <c r="J53" s="4"/>
    </row>
    <row r="54" spans="1:10" x14ac:dyDescent="0.25">
      <c r="A54" s="48" t="s">
        <v>511</v>
      </c>
      <c r="B54" t="s">
        <v>512</v>
      </c>
      <c r="C54" t="s">
        <v>442</v>
      </c>
      <c r="D54" s="3">
        <f>VLOOKUP(Table1[[#This Row],[CODE BARANG]],stock!$A:$C,3,)</f>
        <v>0</v>
      </c>
      <c r="E54" s="1">
        <v>24</v>
      </c>
      <c r="F54" s="1">
        <v>48</v>
      </c>
      <c r="G54" s="4">
        <f>Table1[[#This Row],[stock]]/Table1[[#This Row],[HASIL MIN]]</f>
        <v>0</v>
      </c>
      <c r="H54" s="4">
        <f>Table1[[#This Row],[stock]]/Table1[[#This Row],[HASIL MAX]]</f>
        <v>0</v>
      </c>
      <c r="I54" s="4"/>
      <c r="J54" s="4"/>
    </row>
    <row r="55" spans="1:10" x14ac:dyDescent="0.25">
      <c r="A55" s="48" t="s">
        <v>1091</v>
      </c>
      <c r="B55" t="s">
        <v>1092</v>
      </c>
      <c r="C55" t="s">
        <v>23207</v>
      </c>
      <c r="D55" s="3">
        <f>VLOOKUP(Table1[[#This Row],[CODE BARANG]],stock!$A:$C,3,)</f>
        <v>0</v>
      </c>
      <c r="E55" s="1">
        <v>6</v>
      </c>
      <c r="F55" s="1">
        <v>8</v>
      </c>
      <c r="G55" s="4">
        <f>Table1[[#This Row],[stock]]/Table1[[#This Row],[HASIL MIN]]</f>
        <v>0</v>
      </c>
      <c r="H55" s="4">
        <f>Table1[[#This Row],[stock]]/Table1[[#This Row],[HASIL MAX]]</f>
        <v>0</v>
      </c>
      <c r="I55" s="4"/>
      <c r="J55" s="4"/>
    </row>
    <row r="56" spans="1:10" x14ac:dyDescent="0.25">
      <c r="A56" s="48" t="s">
        <v>783</v>
      </c>
      <c r="B56" t="s">
        <v>784</v>
      </c>
      <c r="C56" t="s">
        <v>23209</v>
      </c>
      <c r="D56" s="3">
        <f>VLOOKUP(Table1[[#This Row],[CODE BARANG]],stock!$A:$C,3,)</f>
        <v>0</v>
      </c>
      <c r="E56" s="1">
        <v>2</v>
      </c>
      <c r="F56" s="1">
        <v>4</v>
      </c>
      <c r="G56" s="4">
        <f>Table1[[#This Row],[stock]]/Table1[[#This Row],[HASIL MIN]]</f>
        <v>0</v>
      </c>
      <c r="H56" s="4">
        <f>Table1[[#This Row],[stock]]/Table1[[#This Row],[HASIL MAX]]</f>
        <v>0</v>
      </c>
      <c r="I56" s="4"/>
      <c r="J56" s="4"/>
    </row>
    <row r="57" spans="1:10" x14ac:dyDescent="0.25">
      <c r="A57" s="48" t="s">
        <v>585</v>
      </c>
      <c r="B57" t="s">
        <v>586</v>
      </c>
      <c r="C57" t="s">
        <v>23208</v>
      </c>
      <c r="D57" s="3">
        <f>VLOOKUP(Table1[[#This Row],[CODE BARANG]],stock!$A:$C,3,)</f>
        <v>0</v>
      </c>
      <c r="E57" s="1">
        <v>48</v>
      </c>
      <c r="F57" s="1">
        <v>72</v>
      </c>
      <c r="G57" s="4">
        <f>Table1[[#This Row],[stock]]/Table1[[#This Row],[HASIL MIN]]</f>
        <v>0</v>
      </c>
      <c r="H57" s="4">
        <f>Table1[[#This Row],[stock]]/Table1[[#This Row],[HASIL MAX]]</f>
        <v>0</v>
      </c>
      <c r="I57" s="4"/>
      <c r="J57" s="4"/>
    </row>
    <row r="58" spans="1:10" x14ac:dyDescent="0.25">
      <c r="A58" s="48" t="s">
        <v>1273</v>
      </c>
      <c r="B58" t="s">
        <v>1274</v>
      </c>
      <c r="C58" t="s">
        <v>439</v>
      </c>
      <c r="D58" s="3">
        <f>VLOOKUP(Table1[[#This Row],[CODE BARANG]],stock!$A:$C,3,)</f>
        <v>0</v>
      </c>
      <c r="E58" s="1">
        <v>4</v>
      </c>
      <c r="F58" s="1">
        <v>6</v>
      </c>
      <c r="G58" s="4">
        <f>Table1[[#This Row],[stock]]/Table1[[#This Row],[HASIL MIN]]</f>
        <v>0</v>
      </c>
      <c r="H58" s="4">
        <f>Table1[[#This Row],[stock]]/Table1[[#This Row],[HASIL MAX]]</f>
        <v>0</v>
      </c>
      <c r="I58" s="4"/>
      <c r="J58" s="4"/>
    </row>
    <row r="59" spans="1:10" x14ac:dyDescent="0.25">
      <c r="A59" s="48" t="s">
        <v>23127</v>
      </c>
      <c r="B59" t="s">
        <v>11169</v>
      </c>
      <c r="C59" t="s">
        <v>442</v>
      </c>
      <c r="D59" s="3">
        <f>VLOOKUP(Table1[[#This Row],[CODE BARANG]],stock!$A:$C,3,)</f>
        <v>0</v>
      </c>
      <c r="E59" s="1">
        <v>4</v>
      </c>
      <c r="F59" s="1">
        <v>12</v>
      </c>
      <c r="G59" s="4">
        <f>Table1[[#This Row],[stock]]/Table1[[#This Row],[HASIL MIN]]</f>
        <v>0</v>
      </c>
      <c r="H59" s="4">
        <f>Table1[[#This Row],[stock]]/Table1[[#This Row],[HASIL MAX]]</f>
        <v>0</v>
      </c>
      <c r="I59" s="4"/>
      <c r="J59" s="4"/>
    </row>
    <row r="60" spans="1:10" x14ac:dyDescent="0.25">
      <c r="A60" s="48" t="s">
        <v>1823</v>
      </c>
      <c r="B60" t="s">
        <v>1824</v>
      </c>
      <c r="C60" t="s">
        <v>23207</v>
      </c>
      <c r="D60" s="3">
        <f>VLOOKUP(Table1[[#This Row],[CODE BARANG]],stock!$A:$C,3,)</f>
        <v>0</v>
      </c>
      <c r="E60" s="1">
        <v>20</v>
      </c>
      <c r="F60" s="1">
        <v>24</v>
      </c>
      <c r="G60" s="4">
        <f>Table1[[#This Row],[stock]]/Table1[[#This Row],[HASIL MIN]]</f>
        <v>0</v>
      </c>
      <c r="H60" s="4">
        <f>Table1[[#This Row],[stock]]/Table1[[#This Row],[HASIL MAX]]</f>
        <v>0</v>
      </c>
      <c r="I60" s="4"/>
      <c r="J60" s="4"/>
    </row>
    <row r="61" spans="1:10" x14ac:dyDescent="0.25">
      <c r="A61" s="48" t="s">
        <v>1457</v>
      </c>
      <c r="B61" t="s">
        <v>1458</v>
      </c>
      <c r="C61" t="s">
        <v>23208</v>
      </c>
      <c r="D61" s="3">
        <f>VLOOKUP(Table1[[#This Row],[CODE BARANG]],stock!$A:$C,3,)</f>
        <v>0</v>
      </c>
      <c r="E61" s="1">
        <v>4</v>
      </c>
      <c r="F61" s="1">
        <v>7</v>
      </c>
      <c r="G61" s="4">
        <f>Table1[[#This Row],[stock]]/Table1[[#This Row],[HASIL MIN]]</f>
        <v>0</v>
      </c>
      <c r="H61" s="4">
        <f>Table1[[#This Row],[stock]]/Table1[[#This Row],[HASIL MAX]]</f>
        <v>0</v>
      </c>
      <c r="I61" s="4"/>
      <c r="J61" s="4"/>
    </row>
    <row r="62" spans="1:10" x14ac:dyDescent="0.25">
      <c r="A62" s="48" t="s">
        <v>6600</v>
      </c>
      <c r="B62" t="s">
        <v>6601</v>
      </c>
      <c r="C62" t="s">
        <v>23208</v>
      </c>
      <c r="D62" s="3">
        <f>VLOOKUP(Table1[[#This Row],[CODE BARANG]],stock!$A:$C,3,)</f>
        <v>0</v>
      </c>
      <c r="E62" s="1">
        <v>16</v>
      </c>
      <c r="F62" s="1">
        <v>24</v>
      </c>
      <c r="G62" s="4">
        <f>Table1[[#This Row],[stock]]/Table1[[#This Row],[HASIL MIN]]</f>
        <v>0</v>
      </c>
      <c r="H62" s="4">
        <f>Table1[[#This Row],[stock]]/Table1[[#This Row],[HASIL MAX]]</f>
        <v>0</v>
      </c>
      <c r="I62" s="4"/>
      <c r="J62" s="4"/>
    </row>
    <row r="63" spans="1:10" x14ac:dyDescent="0.25">
      <c r="A63" s="48" t="s">
        <v>327</v>
      </c>
      <c r="B63" t="s">
        <v>328</v>
      </c>
      <c r="C63" t="s">
        <v>23207</v>
      </c>
      <c r="D63" s="3">
        <f>VLOOKUP(Table1[[#This Row],[CODE BARANG]],stock!$A:$C,3,)</f>
        <v>0</v>
      </c>
      <c r="E63" s="1">
        <v>4</v>
      </c>
      <c r="F63" s="1">
        <v>6</v>
      </c>
      <c r="G63" s="4">
        <f>Table1[[#This Row],[stock]]/Table1[[#This Row],[HASIL MIN]]</f>
        <v>0</v>
      </c>
      <c r="H63" s="4">
        <f>Table1[[#This Row],[stock]]/Table1[[#This Row],[HASIL MAX]]</f>
        <v>0</v>
      </c>
      <c r="I63" s="4"/>
      <c r="J63" s="4"/>
    </row>
    <row r="64" spans="1:10" x14ac:dyDescent="0.25">
      <c r="A64" s="48" t="s">
        <v>1791</v>
      </c>
      <c r="B64" t="s">
        <v>1792</v>
      </c>
      <c r="C64" t="s">
        <v>23207</v>
      </c>
      <c r="D64" s="3">
        <f>VLOOKUP(Table1[[#This Row],[CODE BARANG]],stock!$A:$C,3,)</f>
        <v>0</v>
      </c>
      <c r="E64" s="1">
        <v>4</v>
      </c>
      <c r="F64" s="1">
        <v>8</v>
      </c>
      <c r="G64" s="4">
        <f>Table1[[#This Row],[stock]]/Table1[[#This Row],[HASIL MIN]]</f>
        <v>0</v>
      </c>
      <c r="H64" s="4">
        <f>Table1[[#This Row],[stock]]/Table1[[#This Row],[HASIL MAX]]</f>
        <v>0</v>
      </c>
      <c r="I64" s="4"/>
      <c r="J64" s="4"/>
    </row>
    <row r="65" spans="1:10" x14ac:dyDescent="0.25">
      <c r="A65" s="48" t="s">
        <v>1948</v>
      </c>
      <c r="B65" t="s">
        <v>1949</v>
      </c>
      <c r="C65" t="s">
        <v>23207</v>
      </c>
      <c r="D65" s="3">
        <f>VLOOKUP(Table1[[#This Row],[CODE BARANG]],stock!$A:$C,3,)</f>
        <v>0</v>
      </c>
      <c r="E65" s="1">
        <v>2</v>
      </c>
      <c r="F65" s="1">
        <v>4</v>
      </c>
      <c r="G65" s="4">
        <f>Table1[[#This Row],[stock]]/Table1[[#This Row],[HASIL MIN]]</f>
        <v>0</v>
      </c>
      <c r="H65" s="4">
        <f>Table1[[#This Row],[stock]]/Table1[[#This Row],[HASIL MAX]]</f>
        <v>0</v>
      </c>
      <c r="I65" s="4"/>
      <c r="J65" s="4"/>
    </row>
    <row r="66" spans="1:10" x14ac:dyDescent="0.25">
      <c r="A66" s="48" t="s">
        <v>10501</v>
      </c>
      <c r="B66" t="s">
        <v>10502</v>
      </c>
      <c r="C66" t="s">
        <v>23209</v>
      </c>
      <c r="D66" s="3">
        <f>VLOOKUP(Table1[[#This Row],[CODE BARANG]],stock!$A:$C,3,)</f>
        <v>0</v>
      </c>
      <c r="E66" s="1">
        <v>5</v>
      </c>
      <c r="F66" s="1">
        <v>6</v>
      </c>
      <c r="G66" s="4">
        <f>Table1[[#This Row],[stock]]/Table1[[#This Row],[HASIL MIN]]</f>
        <v>0</v>
      </c>
      <c r="H66" s="4">
        <f>Table1[[#This Row],[stock]]/Table1[[#This Row],[HASIL MAX]]</f>
        <v>0</v>
      </c>
      <c r="I66" s="4"/>
      <c r="J66" s="4"/>
    </row>
    <row r="67" spans="1:10" x14ac:dyDescent="0.25">
      <c r="A67" s="48" t="s">
        <v>6795</v>
      </c>
      <c r="B67" t="s">
        <v>6796</v>
      </c>
      <c r="C67" t="s">
        <v>23207</v>
      </c>
      <c r="D67" s="3">
        <f>VLOOKUP(Table1[[#This Row],[CODE BARANG]],stock!$A:$C,3,)</f>
        <v>0</v>
      </c>
      <c r="E67" s="1">
        <v>3</v>
      </c>
      <c r="F67" s="1">
        <v>6</v>
      </c>
      <c r="G67" s="4">
        <f>Table1[[#This Row],[stock]]/Table1[[#This Row],[HASIL MIN]]</f>
        <v>0</v>
      </c>
      <c r="H67" s="4">
        <f>Table1[[#This Row],[stock]]/Table1[[#This Row],[HASIL MAX]]</f>
        <v>0</v>
      </c>
      <c r="I67" s="4"/>
      <c r="J67" s="4"/>
    </row>
    <row r="68" spans="1:10" x14ac:dyDescent="0.25">
      <c r="A68" s="48" t="s">
        <v>6990</v>
      </c>
      <c r="B68" t="s">
        <v>6991</v>
      </c>
      <c r="C68" t="s">
        <v>23207</v>
      </c>
      <c r="D68" s="3">
        <f>VLOOKUP(Table1[[#This Row],[CODE BARANG]],stock!$A:$C,3,)</f>
        <v>0</v>
      </c>
      <c r="E68" s="1">
        <v>1</v>
      </c>
      <c r="F68" s="1">
        <v>4</v>
      </c>
      <c r="G68" s="4">
        <f>Table1[[#This Row],[stock]]/Table1[[#This Row],[HASIL MIN]]</f>
        <v>0</v>
      </c>
      <c r="H68" s="4">
        <f>Table1[[#This Row],[stock]]/Table1[[#This Row],[HASIL MAX]]</f>
        <v>0</v>
      </c>
      <c r="I68" s="4"/>
      <c r="J68" s="4"/>
    </row>
    <row r="69" spans="1:10" x14ac:dyDescent="0.25">
      <c r="A69" s="48" t="s">
        <v>1367</v>
      </c>
      <c r="B69" t="s">
        <v>1368</v>
      </c>
      <c r="C69" t="s">
        <v>23211</v>
      </c>
      <c r="D69" s="3">
        <f>VLOOKUP(Table1[[#This Row],[CODE BARANG]],stock!$A:$C,3,)</f>
        <v>0</v>
      </c>
      <c r="E69" s="1">
        <v>1</v>
      </c>
      <c r="F69" s="1">
        <v>1</v>
      </c>
      <c r="G69" s="4">
        <f>Table1[[#This Row],[stock]]/Table1[[#This Row],[HASIL MIN]]</f>
        <v>0</v>
      </c>
      <c r="H69" s="4">
        <f>Table1[[#This Row],[stock]]/Table1[[#This Row],[HASIL MAX]]</f>
        <v>0</v>
      </c>
      <c r="I69" s="4"/>
      <c r="J69" s="4"/>
    </row>
    <row r="70" spans="1:10" x14ac:dyDescent="0.25">
      <c r="A70" s="48" t="s">
        <v>1355</v>
      </c>
      <c r="B70" t="s">
        <v>1356</v>
      </c>
      <c r="C70" t="s">
        <v>23220</v>
      </c>
      <c r="D70" s="3">
        <f>VLOOKUP(Table1[[#This Row],[CODE BARANG]],stock!$A:$C,3,)</f>
        <v>0</v>
      </c>
      <c r="E70" s="1">
        <v>6</v>
      </c>
      <c r="F70" s="1">
        <v>12</v>
      </c>
      <c r="G70" s="4">
        <f>Table1[[#This Row],[stock]]/Table1[[#This Row],[HASIL MIN]]</f>
        <v>0</v>
      </c>
      <c r="H70" s="4">
        <f>Table1[[#This Row],[stock]]/Table1[[#This Row],[HASIL MAX]]</f>
        <v>0</v>
      </c>
      <c r="I70" s="4"/>
      <c r="J70" s="4"/>
    </row>
    <row r="71" spans="1:10" x14ac:dyDescent="0.25">
      <c r="A71" s="48" t="s">
        <v>1275</v>
      </c>
      <c r="B71" t="s">
        <v>1276</v>
      </c>
      <c r="C71" t="s">
        <v>23215</v>
      </c>
      <c r="D71" s="3">
        <f>VLOOKUP(Table1[[#This Row],[CODE BARANG]],stock!$A:$C,3,)</f>
        <v>0</v>
      </c>
      <c r="E71" s="1">
        <v>3</v>
      </c>
      <c r="F71" s="1">
        <v>6</v>
      </c>
      <c r="G71" s="4">
        <f>Table1[[#This Row],[stock]]/Table1[[#This Row],[HASIL MIN]]</f>
        <v>0</v>
      </c>
      <c r="H71" s="4">
        <f>Table1[[#This Row],[stock]]/Table1[[#This Row],[HASIL MAX]]</f>
        <v>0</v>
      </c>
      <c r="I71" s="4"/>
      <c r="J71" s="4"/>
    </row>
    <row r="72" spans="1:10" x14ac:dyDescent="0.25">
      <c r="A72" s="48" t="s">
        <v>1481</v>
      </c>
      <c r="B72" t="s">
        <v>1482</v>
      </c>
      <c r="C72" t="s">
        <v>23209</v>
      </c>
      <c r="D72" s="3">
        <f>VLOOKUP(Table1[[#This Row],[CODE BARANG]],stock!$A:$C,3,)</f>
        <v>0</v>
      </c>
      <c r="E72" s="1">
        <v>6</v>
      </c>
      <c r="F72" s="1">
        <v>12</v>
      </c>
      <c r="G72" s="4">
        <f>Table1[[#This Row],[stock]]/Table1[[#This Row],[HASIL MIN]]</f>
        <v>0</v>
      </c>
      <c r="H72" s="4">
        <f>Table1[[#This Row],[stock]]/Table1[[#This Row],[HASIL MAX]]</f>
        <v>0</v>
      </c>
      <c r="I72" s="4"/>
      <c r="J72" s="4"/>
    </row>
    <row r="73" spans="1:10" x14ac:dyDescent="0.25">
      <c r="A73" s="48" t="s">
        <v>1081</v>
      </c>
      <c r="B73" t="s">
        <v>1082</v>
      </c>
      <c r="C73" t="s">
        <v>23207</v>
      </c>
      <c r="D73" s="3">
        <f>VLOOKUP(Table1[[#This Row],[CODE BARANG]],stock!$A:$C,3,)</f>
        <v>0</v>
      </c>
      <c r="E73" s="1">
        <v>2</v>
      </c>
      <c r="F73" s="1">
        <v>4</v>
      </c>
      <c r="G73" s="4">
        <f>Table1[[#This Row],[stock]]/Table1[[#This Row],[HASIL MIN]]</f>
        <v>0</v>
      </c>
      <c r="H73" s="4">
        <f>Table1[[#This Row],[stock]]/Table1[[#This Row],[HASIL MAX]]</f>
        <v>0</v>
      </c>
      <c r="I73" s="4"/>
      <c r="J73" s="4"/>
    </row>
    <row r="74" spans="1:10" x14ac:dyDescent="0.25">
      <c r="A74" s="48" t="s">
        <v>169</v>
      </c>
      <c r="B74" t="s">
        <v>170</v>
      </c>
      <c r="C74" t="s">
        <v>23209</v>
      </c>
      <c r="D74" s="3">
        <f>VLOOKUP(Table1[[#This Row],[CODE BARANG]],stock!$A:$C,3,)</f>
        <v>0</v>
      </c>
      <c r="E74" s="1">
        <v>12</v>
      </c>
      <c r="F74" s="1">
        <v>24</v>
      </c>
      <c r="G74" s="4">
        <f>Table1[[#This Row],[stock]]/Table1[[#This Row],[HASIL MIN]]</f>
        <v>0</v>
      </c>
      <c r="H74" s="4">
        <f>Table1[[#This Row],[stock]]/Table1[[#This Row],[HASIL MAX]]</f>
        <v>0</v>
      </c>
      <c r="I74" s="4"/>
      <c r="J74" s="4"/>
    </row>
    <row r="75" spans="1:10" x14ac:dyDescent="0.25">
      <c r="A75" s="48" t="s">
        <v>1962</v>
      </c>
      <c r="B75" t="s">
        <v>1963</v>
      </c>
      <c r="C75" t="s">
        <v>23207</v>
      </c>
      <c r="D75" s="3">
        <f>VLOOKUP(Table1[[#This Row],[CODE BARANG]],stock!$A:$C,3,)</f>
        <v>0</v>
      </c>
      <c r="E75" s="1">
        <v>2</v>
      </c>
      <c r="F75" s="1">
        <v>4</v>
      </c>
      <c r="G75" s="4">
        <f>Table1[[#This Row],[stock]]/Table1[[#This Row],[HASIL MIN]]</f>
        <v>0</v>
      </c>
      <c r="H75" s="4">
        <f>Table1[[#This Row],[stock]]/Table1[[#This Row],[HASIL MAX]]</f>
        <v>0</v>
      </c>
      <c r="I75" s="4"/>
      <c r="J75" s="4"/>
    </row>
    <row r="76" spans="1:10" x14ac:dyDescent="0.25">
      <c r="A76" s="48" t="s">
        <v>15233</v>
      </c>
      <c r="B76" t="s">
        <v>15234</v>
      </c>
      <c r="C76" t="s">
        <v>23209</v>
      </c>
      <c r="D76" s="3">
        <f>VLOOKUP(Table1[[#This Row],[CODE BARANG]],stock!$A:$C,3,)</f>
        <v>0</v>
      </c>
      <c r="E76" s="1">
        <v>2</v>
      </c>
      <c r="F76" s="1">
        <v>4</v>
      </c>
      <c r="G76" s="4">
        <f>Table1[[#This Row],[stock]]/Table1[[#This Row],[HASIL MIN]]</f>
        <v>0</v>
      </c>
      <c r="H76" s="4">
        <f>Table1[[#This Row],[stock]]/Table1[[#This Row],[HASIL MAX]]</f>
        <v>0</v>
      </c>
      <c r="I76" s="4"/>
      <c r="J76" s="4"/>
    </row>
    <row r="77" spans="1:10" x14ac:dyDescent="0.25">
      <c r="A77" s="48" t="s">
        <v>9672</v>
      </c>
      <c r="B77" t="s">
        <v>9673</v>
      </c>
      <c r="C77" t="s">
        <v>442</v>
      </c>
      <c r="D77" s="3">
        <f>VLOOKUP(Table1[[#This Row],[CODE BARANG]],stock!$A:$C,3,)</f>
        <v>0</v>
      </c>
      <c r="E77" s="1">
        <v>1</v>
      </c>
      <c r="F77" s="1">
        <v>2</v>
      </c>
      <c r="G77" s="4">
        <f>Table1[[#This Row],[stock]]/Table1[[#This Row],[HASIL MIN]]</f>
        <v>0</v>
      </c>
      <c r="H77" s="4">
        <f>Table1[[#This Row],[stock]]/Table1[[#This Row],[HASIL MAX]]</f>
        <v>0</v>
      </c>
      <c r="I77" s="4"/>
      <c r="J77" s="4"/>
    </row>
    <row r="78" spans="1:10" x14ac:dyDescent="0.25">
      <c r="A78" s="48" t="s">
        <v>12202</v>
      </c>
      <c r="B78" t="s">
        <v>12203</v>
      </c>
      <c r="C78" t="s">
        <v>23207</v>
      </c>
      <c r="D78" s="3">
        <f>VLOOKUP(Table1[[#This Row],[CODE BARANG]],stock!$A:$C,3,)</f>
        <v>0</v>
      </c>
      <c r="E78" s="1">
        <v>2</v>
      </c>
      <c r="F78" s="1">
        <v>6</v>
      </c>
      <c r="G78" s="4">
        <f>Table1[[#This Row],[stock]]/Table1[[#This Row],[HASIL MIN]]</f>
        <v>0</v>
      </c>
      <c r="H78" s="4">
        <f>Table1[[#This Row],[stock]]/Table1[[#This Row],[HASIL MAX]]</f>
        <v>0</v>
      </c>
      <c r="I78" s="4"/>
      <c r="J78" s="4"/>
    </row>
    <row r="79" spans="1:10" x14ac:dyDescent="0.25">
      <c r="A79" s="48" t="s">
        <v>6996</v>
      </c>
      <c r="B79" t="s">
        <v>6995</v>
      </c>
      <c r="C79" t="s">
        <v>23207</v>
      </c>
      <c r="D79" s="3">
        <f>VLOOKUP(Table1[[#This Row],[CODE BARANG]],stock!$A:$C,3,)</f>
        <v>0</v>
      </c>
      <c r="E79" s="1">
        <v>2</v>
      </c>
      <c r="F79" s="1">
        <v>6</v>
      </c>
      <c r="G79" s="4">
        <f>Table1[[#This Row],[stock]]/Table1[[#This Row],[HASIL MIN]]</f>
        <v>0</v>
      </c>
      <c r="H79" s="4">
        <f>Table1[[#This Row],[stock]]/Table1[[#This Row],[HASIL MAX]]</f>
        <v>0</v>
      </c>
      <c r="I79" s="4"/>
      <c r="J79" s="4"/>
    </row>
    <row r="80" spans="1:10" x14ac:dyDescent="0.25">
      <c r="A80" s="48" t="s">
        <v>207</v>
      </c>
      <c r="B80" t="s">
        <v>208</v>
      </c>
      <c r="C80" t="s">
        <v>23208</v>
      </c>
      <c r="D80" s="3">
        <f>VLOOKUP(Table1[[#This Row],[CODE BARANG]],stock!$A:$C,3,)</f>
        <v>0</v>
      </c>
      <c r="E80" s="1">
        <v>24</v>
      </c>
      <c r="F80" s="1">
        <v>48</v>
      </c>
      <c r="G80" s="4">
        <f>Table1[[#This Row],[stock]]/Table1[[#This Row],[HASIL MIN]]</f>
        <v>0</v>
      </c>
      <c r="H80" s="4">
        <f>Table1[[#This Row],[stock]]/Table1[[#This Row],[HASIL MAX]]</f>
        <v>0</v>
      </c>
      <c r="I80" s="4"/>
      <c r="J80" s="4"/>
    </row>
    <row r="81" spans="1:10" x14ac:dyDescent="0.25">
      <c r="A81" s="48" t="s">
        <v>1421</v>
      </c>
      <c r="B81" t="s">
        <v>1422</v>
      </c>
      <c r="C81" t="s">
        <v>912</v>
      </c>
      <c r="D81" s="3">
        <f>VLOOKUP(Table1[[#This Row],[CODE BARANG]],stock!$A:$C,3,)</f>
        <v>0</v>
      </c>
      <c r="E81" s="1">
        <v>48</v>
      </c>
      <c r="F81" s="1">
        <v>96</v>
      </c>
      <c r="G81" s="4">
        <f>Table1[[#This Row],[stock]]/Table1[[#This Row],[HASIL MIN]]</f>
        <v>0</v>
      </c>
      <c r="H81" s="4">
        <f>Table1[[#This Row],[stock]]/Table1[[#This Row],[HASIL MAX]]</f>
        <v>0</v>
      </c>
      <c r="I81" s="4"/>
      <c r="J81" s="4"/>
    </row>
    <row r="82" spans="1:10" x14ac:dyDescent="0.25">
      <c r="A82" s="48" t="s">
        <v>2237</v>
      </c>
      <c r="B82" t="s">
        <v>2238</v>
      </c>
      <c r="C82" t="s">
        <v>23218</v>
      </c>
      <c r="D82" s="3">
        <f>VLOOKUP(Table1[[#This Row],[CODE BARANG]],stock!$A:$C,3,)</f>
        <v>0</v>
      </c>
      <c r="E82" s="1">
        <v>3</v>
      </c>
      <c r="F82" s="1">
        <v>6</v>
      </c>
      <c r="G82" s="4">
        <f>Table1[[#This Row],[stock]]/Table1[[#This Row],[HASIL MIN]]</f>
        <v>0</v>
      </c>
      <c r="H82" s="4">
        <f>Table1[[#This Row],[stock]]/Table1[[#This Row],[HASIL MAX]]</f>
        <v>0</v>
      </c>
      <c r="I82" s="4"/>
      <c r="J82" s="4"/>
    </row>
    <row r="83" spans="1:10" x14ac:dyDescent="0.25">
      <c r="A83" s="48" t="s">
        <v>217</v>
      </c>
      <c r="B83" t="s">
        <v>218</v>
      </c>
      <c r="C83" t="s">
        <v>23209</v>
      </c>
      <c r="D83" s="3">
        <f>VLOOKUP(Table1[[#This Row],[CODE BARANG]],stock!$A:$C,3,)</f>
        <v>0</v>
      </c>
      <c r="E83" s="1">
        <v>2</v>
      </c>
      <c r="F83" s="1">
        <v>4</v>
      </c>
      <c r="G83" s="4">
        <f>Table1[[#This Row],[stock]]/Table1[[#This Row],[HASIL MIN]]</f>
        <v>0</v>
      </c>
      <c r="H83" s="4">
        <f>Table1[[#This Row],[stock]]/Table1[[#This Row],[HASIL MAX]]</f>
        <v>0</v>
      </c>
      <c r="I83" s="4"/>
      <c r="J83" s="4"/>
    </row>
    <row r="84" spans="1:10" x14ac:dyDescent="0.25">
      <c r="A84" s="48" t="s">
        <v>8207</v>
      </c>
      <c r="B84" t="s">
        <v>8208</v>
      </c>
      <c r="C84" t="s">
        <v>23208</v>
      </c>
      <c r="D84" s="3">
        <f>VLOOKUP(Table1[[#This Row],[CODE BARANG]],stock!$A:$C,3,)</f>
        <v>0</v>
      </c>
      <c r="E84" s="1">
        <v>4</v>
      </c>
      <c r="F84" s="1">
        <v>12</v>
      </c>
      <c r="G84" s="4">
        <f>Table1[[#This Row],[stock]]/Table1[[#This Row],[HASIL MIN]]</f>
        <v>0</v>
      </c>
      <c r="H84" s="4">
        <f>Table1[[#This Row],[stock]]/Table1[[#This Row],[HASIL MAX]]</f>
        <v>0</v>
      </c>
      <c r="I84" s="4"/>
      <c r="J84" s="4"/>
    </row>
    <row r="85" spans="1:10" x14ac:dyDescent="0.25">
      <c r="A85" s="48" t="s">
        <v>5840</v>
      </c>
      <c r="B85" t="s">
        <v>5841</v>
      </c>
      <c r="C85" t="s">
        <v>23214</v>
      </c>
      <c r="D85" s="3">
        <f>VLOOKUP(Table1[[#This Row],[CODE BARANG]],stock!$A:$C,3,)</f>
        <v>0</v>
      </c>
      <c r="E85" s="1">
        <v>2</v>
      </c>
      <c r="F85" s="1">
        <v>6</v>
      </c>
      <c r="G85" s="4">
        <f>Table1[[#This Row],[stock]]/Table1[[#This Row],[HASIL MIN]]</f>
        <v>0</v>
      </c>
      <c r="H85" s="4">
        <f>Table1[[#This Row],[stock]]/Table1[[#This Row],[HASIL MAX]]</f>
        <v>0</v>
      </c>
      <c r="I85" s="4"/>
      <c r="J85" s="4"/>
    </row>
    <row r="86" spans="1:10" x14ac:dyDescent="0.25">
      <c r="A86" s="48" t="s">
        <v>999</v>
      </c>
      <c r="B86" t="s">
        <v>1000</v>
      </c>
      <c r="C86" t="s">
        <v>23209</v>
      </c>
      <c r="D86" s="3">
        <f>VLOOKUP(Table1[[#This Row],[CODE BARANG]],stock!$A:$C,3,)</f>
        <v>0</v>
      </c>
      <c r="E86" s="1">
        <v>6</v>
      </c>
      <c r="F86" s="1">
        <v>10</v>
      </c>
      <c r="G86" s="4">
        <f>Table1[[#This Row],[stock]]/Table1[[#This Row],[HASIL MIN]]</f>
        <v>0</v>
      </c>
      <c r="H86" s="4">
        <f>Table1[[#This Row],[stock]]/Table1[[#This Row],[HASIL MAX]]</f>
        <v>0</v>
      </c>
      <c r="I86" s="4"/>
      <c r="J86" s="4"/>
    </row>
    <row r="87" spans="1:10" x14ac:dyDescent="0.25">
      <c r="A87" s="48" t="s">
        <v>16322</v>
      </c>
      <c r="B87" t="s">
        <v>16323</v>
      </c>
      <c r="C87" t="s">
        <v>442</v>
      </c>
      <c r="D87" s="3">
        <f>VLOOKUP(Table1[[#This Row],[CODE BARANG]],stock!$A:$C,3,)</f>
        <v>0</v>
      </c>
      <c r="E87" s="1">
        <v>12</v>
      </c>
      <c r="F87" s="1">
        <v>24</v>
      </c>
      <c r="G87" s="4">
        <f>Table1[[#This Row],[stock]]/Table1[[#This Row],[HASIL MIN]]</f>
        <v>0</v>
      </c>
      <c r="H87" s="4">
        <f>Table1[[#This Row],[stock]]/Table1[[#This Row],[HASIL MAX]]</f>
        <v>0</v>
      </c>
      <c r="I87" s="4"/>
      <c r="J87" s="4"/>
    </row>
    <row r="88" spans="1:10" x14ac:dyDescent="0.25">
      <c r="A88" s="48" t="s">
        <v>9463</v>
      </c>
      <c r="B88" t="s">
        <v>9464</v>
      </c>
      <c r="C88" t="s">
        <v>23209</v>
      </c>
      <c r="D88" s="3">
        <f>VLOOKUP(Table1[[#This Row],[CODE BARANG]],stock!$A:$C,3,)</f>
        <v>0</v>
      </c>
      <c r="E88" s="1">
        <v>28</v>
      </c>
      <c r="F88" s="1">
        <v>48</v>
      </c>
      <c r="G88" s="4">
        <f>Table1[[#This Row],[stock]]/Table1[[#This Row],[HASIL MIN]]</f>
        <v>0</v>
      </c>
      <c r="H88" s="4">
        <f>Table1[[#This Row],[stock]]/Table1[[#This Row],[HASIL MAX]]</f>
        <v>0</v>
      </c>
      <c r="I88" s="4"/>
      <c r="J88" s="4"/>
    </row>
    <row r="89" spans="1:10" x14ac:dyDescent="0.25">
      <c r="A89" s="48" t="s">
        <v>355</v>
      </c>
      <c r="B89" t="s">
        <v>356</v>
      </c>
      <c r="C89" t="s">
        <v>23216</v>
      </c>
      <c r="D89" s="3">
        <f>VLOOKUP(Table1[[#This Row],[CODE BARANG]],stock!$A:$C,3,)</f>
        <v>0</v>
      </c>
      <c r="E89" s="1">
        <v>3</v>
      </c>
      <c r="F89" s="1">
        <v>6</v>
      </c>
      <c r="G89" s="4">
        <f>Table1[[#This Row],[stock]]/Table1[[#This Row],[HASIL MIN]]</f>
        <v>0</v>
      </c>
      <c r="H89" s="4">
        <f>Table1[[#This Row],[stock]]/Table1[[#This Row],[HASIL MAX]]</f>
        <v>0</v>
      </c>
      <c r="I89" s="4"/>
      <c r="J89" s="4"/>
    </row>
    <row r="90" spans="1:10" x14ac:dyDescent="0.25">
      <c r="A90" s="48" t="s">
        <v>381</v>
      </c>
      <c r="B90" t="s">
        <v>382</v>
      </c>
      <c r="C90" t="s">
        <v>23216</v>
      </c>
      <c r="D90" s="3">
        <f>VLOOKUP(Table1[[#This Row],[CODE BARANG]],stock!$A:$C,3,)</f>
        <v>0</v>
      </c>
      <c r="E90" s="1">
        <v>2</v>
      </c>
      <c r="F90" s="1">
        <v>4</v>
      </c>
      <c r="G90" s="4">
        <f>Table1[[#This Row],[stock]]/Table1[[#This Row],[HASIL MIN]]</f>
        <v>0</v>
      </c>
      <c r="H90" s="4">
        <f>Table1[[#This Row],[stock]]/Table1[[#This Row],[HASIL MAX]]</f>
        <v>0</v>
      </c>
      <c r="I90" s="4"/>
      <c r="J90" s="4"/>
    </row>
    <row r="91" spans="1:10" x14ac:dyDescent="0.25">
      <c r="A91" s="48" t="s">
        <v>11982</v>
      </c>
      <c r="B91" t="s">
        <v>11983</v>
      </c>
      <c r="C91" t="s">
        <v>23208</v>
      </c>
      <c r="D91" s="3">
        <f>VLOOKUP(Table1[[#This Row],[CODE BARANG]],stock!$A:$C,3,)</f>
        <v>0</v>
      </c>
      <c r="E91" s="1">
        <v>4</v>
      </c>
      <c r="F91" s="1">
        <v>12</v>
      </c>
      <c r="G91" s="4">
        <f>Table1[[#This Row],[stock]]/Table1[[#This Row],[HASIL MIN]]</f>
        <v>0</v>
      </c>
      <c r="H91" s="4">
        <f>Table1[[#This Row],[stock]]/Table1[[#This Row],[HASIL MAX]]</f>
        <v>0</v>
      </c>
      <c r="I91" s="4"/>
      <c r="J91" s="4"/>
    </row>
    <row r="92" spans="1:10" x14ac:dyDescent="0.25">
      <c r="A92" s="48" t="s">
        <v>7326</v>
      </c>
      <c r="B92" t="s">
        <v>7327</v>
      </c>
      <c r="C92" t="s">
        <v>23209</v>
      </c>
      <c r="D92" s="3">
        <f>VLOOKUP(Table1[[#This Row],[CODE BARANG]],stock!$A:$C,3,)</f>
        <v>0</v>
      </c>
      <c r="E92" s="1">
        <v>1</v>
      </c>
      <c r="F92" s="1">
        <v>2</v>
      </c>
      <c r="G92" s="4">
        <f>Table1[[#This Row],[stock]]/Table1[[#This Row],[HASIL MIN]]</f>
        <v>0</v>
      </c>
      <c r="H92" s="4">
        <f>Table1[[#This Row],[stock]]/Table1[[#This Row],[HASIL MAX]]</f>
        <v>0</v>
      </c>
      <c r="I92" s="4"/>
      <c r="J92" s="4"/>
    </row>
    <row r="93" spans="1:10" x14ac:dyDescent="0.25">
      <c r="A93" s="48" t="s">
        <v>11916</v>
      </c>
      <c r="B93" t="s">
        <v>11917</v>
      </c>
      <c r="C93" t="s">
        <v>442</v>
      </c>
      <c r="D93" s="3">
        <f>VLOOKUP(Table1[[#This Row],[CODE BARANG]],stock!$A:$C,3,)</f>
        <v>0</v>
      </c>
      <c r="E93" s="1">
        <v>12</v>
      </c>
      <c r="F93" s="1">
        <v>24</v>
      </c>
      <c r="G93" s="4">
        <f>Table1[[#This Row],[stock]]/Table1[[#This Row],[HASIL MIN]]</f>
        <v>0</v>
      </c>
      <c r="H93" s="4">
        <f>Table1[[#This Row],[stock]]/Table1[[#This Row],[HASIL MAX]]</f>
        <v>0</v>
      </c>
      <c r="I93" s="4"/>
      <c r="J93" s="4"/>
    </row>
    <row r="94" spans="1:10" x14ac:dyDescent="0.25">
      <c r="A94" s="48" t="s">
        <v>19863</v>
      </c>
      <c r="B94" t="s">
        <v>19864</v>
      </c>
      <c r="C94" t="s">
        <v>23207</v>
      </c>
      <c r="D94" s="3">
        <f>VLOOKUP(Table1[[#This Row],[CODE BARANG]],stock!$A:$C,3,)</f>
        <v>0</v>
      </c>
      <c r="E94" s="1">
        <v>24</v>
      </c>
      <c r="F94" s="1">
        <v>48</v>
      </c>
      <c r="G94" s="4">
        <f>Table1[[#This Row],[stock]]/Table1[[#This Row],[HASIL MIN]]</f>
        <v>0</v>
      </c>
      <c r="H94" s="4">
        <f>Table1[[#This Row],[stock]]/Table1[[#This Row],[HASIL MAX]]</f>
        <v>0</v>
      </c>
      <c r="I94" s="4"/>
      <c r="J94" s="4"/>
    </row>
    <row r="95" spans="1:10" x14ac:dyDescent="0.25">
      <c r="A95" s="48" t="s">
        <v>1691</v>
      </c>
      <c r="B95" t="s">
        <v>1692</v>
      </c>
      <c r="C95" t="s">
        <v>23209</v>
      </c>
      <c r="D95" s="3">
        <f>VLOOKUP(Table1[[#This Row],[CODE BARANG]],stock!$A:$C,3,)</f>
        <v>0</v>
      </c>
      <c r="E95" s="1">
        <v>8</v>
      </c>
      <c r="F95" s="1">
        <v>12</v>
      </c>
      <c r="G95" s="4">
        <f>Table1[[#This Row],[stock]]/Table1[[#This Row],[HASIL MIN]]</f>
        <v>0</v>
      </c>
      <c r="H95" s="4">
        <f>Table1[[#This Row],[stock]]/Table1[[#This Row],[HASIL MAX]]</f>
        <v>0</v>
      </c>
      <c r="I95" s="4"/>
      <c r="J95" s="4"/>
    </row>
    <row r="96" spans="1:10" x14ac:dyDescent="0.25">
      <c r="A96" s="48" t="s">
        <v>99</v>
      </c>
      <c r="B96" t="s">
        <v>100</v>
      </c>
      <c r="C96" t="s">
        <v>23209</v>
      </c>
      <c r="D96" s="3">
        <f>VLOOKUP(Table1[[#This Row],[CODE BARANG]],stock!$A:$C,3,)</f>
        <v>0</v>
      </c>
      <c r="E96" s="1">
        <v>2</v>
      </c>
      <c r="F96" s="1">
        <v>4</v>
      </c>
      <c r="G96" s="4">
        <f>Table1[[#This Row],[stock]]/Table1[[#This Row],[HASIL MIN]]</f>
        <v>0</v>
      </c>
      <c r="H96" s="4">
        <f>Table1[[#This Row],[stock]]/Table1[[#This Row],[HASIL MAX]]</f>
        <v>0</v>
      </c>
      <c r="I96" s="4"/>
      <c r="J96" s="4"/>
    </row>
    <row r="97" spans="1:10" x14ac:dyDescent="0.25">
      <c r="A97" s="48" t="s">
        <v>15415</v>
      </c>
      <c r="B97" t="s">
        <v>15416</v>
      </c>
      <c r="C97" t="s">
        <v>23207</v>
      </c>
      <c r="D97" s="3">
        <f>VLOOKUP(Table1[[#This Row],[CODE BARANG]],stock!$A:$C,3,)</f>
        <v>0</v>
      </c>
      <c r="E97" s="1">
        <v>24</v>
      </c>
      <c r="F97" s="1">
        <v>48</v>
      </c>
      <c r="G97" s="4">
        <f>Table1[[#This Row],[stock]]/Table1[[#This Row],[HASIL MIN]]</f>
        <v>0</v>
      </c>
      <c r="H97" s="4">
        <f>Table1[[#This Row],[stock]]/Table1[[#This Row],[HASIL MAX]]</f>
        <v>0</v>
      </c>
      <c r="I97" s="4"/>
      <c r="J97" s="4"/>
    </row>
    <row r="98" spans="1:10" x14ac:dyDescent="0.25">
      <c r="A98" s="48" t="s">
        <v>1461</v>
      </c>
      <c r="B98" t="s">
        <v>1462</v>
      </c>
      <c r="C98" t="s">
        <v>442</v>
      </c>
      <c r="D98" s="3">
        <f>VLOOKUP(Table1[[#This Row],[CODE BARANG]],stock!$A:$C,3,)</f>
        <v>0</v>
      </c>
      <c r="E98" s="1">
        <v>4</v>
      </c>
      <c r="F98" s="1">
        <v>6</v>
      </c>
      <c r="G98" s="4">
        <f>Table1[[#This Row],[stock]]/Table1[[#This Row],[HASIL MIN]]</f>
        <v>0</v>
      </c>
      <c r="H98" s="4">
        <f>Table1[[#This Row],[stock]]/Table1[[#This Row],[HASIL MAX]]</f>
        <v>0</v>
      </c>
      <c r="I98" s="4"/>
      <c r="J98" s="4"/>
    </row>
    <row r="99" spans="1:10" x14ac:dyDescent="0.25">
      <c r="A99" s="48" t="s">
        <v>6976</v>
      </c>
      <c r="B99" t="s">
        <v>6977</v>
      </c>
      <c r="C99" t="s">
        <v>23207</v>
      </c>
      <c r="D99" s="3">
        <f>VLOOKUP(Table1[[#This Row],[CODE BARANG]],stock!$A:$C,3,)</f>
        <v>0</v>
      </c>
      <c r="E99" s="1">
        <v>2</v>
      </c>
      <c r="F99" s="1">
        <v>6</v>
      </c>
      <c r="G99" s="4">
        <f>Table1[[#This Row],[stock]]/Table1[[#This Row],[HASIL MIN]]</f>
        <v>0</v>
      </c>
      <c r="H99" s="4">
        <f>Table1[[#This Row],[stock]]/Table1[[#This Row],[HASIL MAX]]</f>
        <v>0</v>
      </c>
      <c r="I99" s="4"/>
      <c r="J99" s="4"/>
    </row>
    <row r="100" spans="1:10" x14ac:dyDescent="0.25">
      <c r="A100" s="48" t="s">
        <v>1837</v>
      </c>
      <c r="B100" t="s">
        <v>1838</v>
      </c>
      <c r="C100" t="s">
        <v>23211</v>
      </c>
      <c r="D100" s="3">
        <f>VLOOKUP(Table1[[#This Row],[CODE BARANG]],stock!$A:$C,3,)</f>
        <v>0</v>
      </c>
      <c r="E100" s="1">
        <v>15</v>
      </c>
      <c r="F100" s="1">
        <v>30</v>
      </c>
      <c r="G100" s="4">
        <f>Table1[[#This Row],[stock]]/Table1[[#This Row],[HASIL MIN]]</f>
        <v>0</v>
      </c>
      <c r="H100" s="4">
        <f>Table1[[#This Row],[stock]]/Table1[[#This Row],[HASIL MAX]]</f>
        <v>0</v>
      </c>
      <c r="I100" s="4"/>
      <c r="J100" s="4"/>
    </row>
    <row r="101" spans="1:10" x14ac:dyDescent="0.25">
      <c r="A101" s="48" t="s">
        <v>3785</v>
      </c>
      <c r="B101" t="s">
        <v>3786</v>
      </c>
      <c r="C101" t="s">
        <v>439</v>
      </c>
      <c r="D101" s="3">
        <f>VLOOKUP(Table1[[#This Row],[CODE BARANG]],stock!$A:$C,3,)</f>
        <v>0</v>
      </c>
      <c r="E101" s="1">
        <v>4</v>
      </c>
      <c r="F101" s="1">
        <v>6</v>
      </c>
      <c r="G101" s="4">
        <f>Table1[[#This Row],[stock]]/Table1[[#This Row],[HASIL MIN]]</f>
        <v>0</v>
      </c>
      <c r="H101" s="4">
        <f>Table1[[#This Row],[stock]]/Table1[[#This Row],[HASIL MAX]]</f>
        <v>0</v>
      </c>
      <c r="I101" s="4"/>
      <c r="J101" s="4"/>
    </row>
    <row r="102" spans="1:10" x14ac:dyDescent="0.25">
      <c r="A102" s="48" t="s">
        <v>16326</v>
      </c>
      <c r="B102" t="s">
        <v>22078</v>
      </c>
      <c r="C102" t="s">
        <v>442</v>
      </c>
      <c r="D102" s="3">
        <f>VLOOKUP(Table1[[#This Row],[CODE BARANG]],stock!$A:$C,3,)</f>
        <v>0</v>
      </c>
      <c r="E102" s="1">
        <v>4</v>
      </c>
      <c r="F102" s="1">
        <v>24</v>
      </c>
      <c r="G102" s="4">
        <f>Table1[[#This Row],[stock]]/Table1[[#This Row],[HASIL MIN]]</f>
        <v>0</v>
      </c>
      <c r="H102" s="4">
        <f>Table1[[#This Row],[stock]]/Table1[[#This Row],[HASIL MAX]]</f>
        <v>0</v>
      </c>
      <c r="I102" s="4"/>
      <c r="J102" s="4"/>
    </row>
    <row r="103" spans="1:10" x14ac:dyDescent="0.25">
      <c r="A103" s="48" t="s">
        <v>6769</v>
      </c>
      <c r="B103" t="s">
        <v>6770</v>
      </c>
      <c r="C103" t="s">
        <v>23207</v>
      </c>
      <c r="D103" s="3">
        <f>VLOOKUP(Table1[[#This Row],[CODE BARANG]],stock!$A:$C,3,)</f>
        <v>0</v>
      </c>
      <c r="E103" s="1">
        <v>4</v>
      </c>
      <c r="F103" s="1">
        <v>6</v>
      </c>
      <c r="G103" s="4">
        <f>Table1[[#This Row],[stock]]/Table1[[#This Row],[HASIL MIN]]</f>
        <v>0</v>
      </c>
      <c r="H103" s="4">
        <f>Table1[[#This Row],[stock]]/Table1[[#This Row],[HASIL MAX]]</f>
        <v>0</v>
      </c>
      <c r="I103" s="4"/>
      <c r="J103" s="4"/>
    </row>
    <row r="104" spans="1:10" x14ac:dyDescent="0.25">
      <c r="A104" s="48" t="s">
        <v>1365</v>
      </c>
      <c r="B104" t="s">
        <v>1366</v>
      </c>
      <c r="C104" t="s">
        <v>23209</v>
      </c>
      <c r="D104" s="3">
        <f>VLOOKUP(Table1[[#This Row],[CODE BARANG]],stock!$A:$C,3,)</f>
        <v>0</v>
      </c>
      <c r="E104" s="1">
        <v>1</v>
      </c>
      <c r="F104" s="1">
        <v>2</v>
      </c>
      <c r="G104" s="4">
        <f>Table1[[#This Row],[stock]]/Table1[[#This Row],[HASIL MIN]]</f>
        <v>0</v>
      </c>
      <c r="H104" s="4">
        <f>Table1[[#This Row],[stock]]/Table1[[#This Row],[HASIL MAX]]</f>
        <v>0</v>
      </c>
      <c r="I104" s="4"/>
      <c r="J104" s="4"/>
    </row>
    <row r="105" spans="1:10" x14ac:dyDescent="0.25">
      <c r="A105" s="48" t="s">
        <v>311</v>
      </c>
      <c r="B105" t="s">
        <v>312</v>
      </c>
      <c r="C105" t="s">
        <v>439</v>
      </c>
      <c r="D105" s="3">
        <f>VLOOKUP(Table1[[#This Row],[CODE BARANG]],stock!$A:$C,3,)</f>
        <v>0</v>
      </c>
      <c r="E105" s="1">
        <v>10</v>
      </c>
      <c r="F105" s="1">
        <v>12</v>
      </c>
      <c r="G105" s="4">
        <f>Table1[[#This Row],[stock]]/Table1[[#This Row],[HASIL MIN]]</f>
        <v>0</v>
      </c>
      <c r="H105" s="4">
        <f>Table1[[#This Row],[stock]]/Table1[[#This Row],[HASIL MAX]]</f>
        <v>0</v>
      </c>
      <c r="I105" s="4"/>
      <c r="J105" s="4"/>
    </row>
    <row r="106" spans="1:10" x14ac:dyDescent="0.25">
      <c r="A106" s="48" t="s">
        <v>6781</v>
      </c>
      <c r="B106" t="s">
        <v>6782</v>
      </c>
      <c r="C106" t="s">
        <v>23207</v>
      </c>
      <c r="D106" s="3">
        <f>VLOOKUP(Table1[[#This Row],[CODE BARANG]],stock!$A:$C,3,)</f>
        <v>0</v>
      </c>
      <c r="E106" s="1">
        <v>2</v>
      </c>
      <c r="F106" s="1">
        <v>6</v>
      </c>
      <c r="G106" s="4">
        <f>Table1[[#This Row],[stock]]/Table1[[#This Row],[HASIL MIN]]</f>
        <v>0</v>
      </c>
      <c r="H106" s="4">
        <f>Table1[[#This Row],[stock]]/Table1[[#This Row],[HASIL MAX]]</f>
        <v>0</v>
      </c>
      <c r="I106" s="4"/>
      <c r="J106" s="4"/>
    </row>
    <row r="107" spans="1:10" x14ac:dyDescent="0.25">
      <c r="A107" s="48" t="s">
        <v>6488</v>
      </c>
      <c r="B107" t="s">
        <v>6489</v>
      </c>
      <c r="C107" t="s">
        <v>23214</v>
      </c>
      <c r="D107" s="3">
        <f>VLOOKUP(Table1[[#This Row],[CODE BARANG]],stock!$A:$C,3,)</f>
        <v>0</v>
      </c>
      <c r="E107" s="1">
        <v>9</v>
      </c>
      <c r="F107" s="1">
        <v>20</v>
      </c>
      <c r="G107" s="4">
        <f>Table1[[#This Row],[stock]]/Table1[[#This Row],[HASIL MIN]]</f>
        <v>0</v>
      </c>
      <c r="H107" s="4">
        <f>Table1[[#This Row],[stock]]/Table1[[#This Row],[HASIL MAX]]</f>
        <v>0</v>
      </c>
      <c r="I107" s="4"/>
      <c r="J107" s="4"/>
    </row>
    <row r="108" spans="1:10" x14ac:dyDescent="0.25">
      <c r="A108" s="48" t="s">
        <v>6797</v>
      </c>
      <c r="B108" t="s">
        <v>6798</v>
      </c>
      <c r="C108" t="s">
        <v>23207</v>
      </c>
      <c r="D108" s="3">
        <f>VLOOKUP(Table1[[#This Row],[CODE BARANG]],stock!$A:$C,3,)</f>
        <v>0</v>
      </c>
      <c r="E108" s="1">
        <v>2</v>
      </c>
      <c r="F108" s="1">
        <v>4</v>
      </c>
      <c r="G108" s="4">
        <f>Table1[[#This Row],[stock]]/Table1[[#This Row],[HASIL MIN]]</f>
        <v>0</v>
      </c>
      <c r="H108" s="4">
        <f>Table1[[#This Row],[stock]]/Table1[[#This Row],[HASIL MAX]]</f>
        <v>0</v>
      </c>
      <c r="I108" s="4"/>
      <c r="J108" s="4"/>
    </row>
    <row r="109" spans="1:10" x14ac:dyDescent="0.25">
      <c r="A109" s="48" t="s">
        <v>1621</v>
      </c>
      <c r="B109" t="s">
        <v>1622</v>
      </c>
      <c r="C109" t="s">
        <v>23207</v>
      </c>
      <c r="D109" s="3">
        <f>VLOOKUP(Table1[[#This Row],[CODE BARANG]],stock!$A:$C,3,)</f>
        <v>0</v>
      </c>
      <c r="E109" s="1">
        <v>2</v>
      </c>
      <c r="F109" s="1">
        <v>4</v>
      </c>
      <c r="G109" s="4">
        <f>Table1[[#This Row],[stock]]/Table1[[#This Row],[HASIL MIN]]</f>
        <v>0</v>
      </c>
      <c r="H109" s="4">
        <f>Table1[[#This Row],[stock]]/Table1[[#This Row],[HASIL MAX]]</f>
        <v>0</v>
      </c>
      <c r="I109" s="4"/>
      <c r="J109" s="4"/>
    </row>
    <row r="110" spans="1:10" x14ac:dyDescent="0.25">
      <c r="A110" s="48" t="s">
        <v>319</v>
      </c>
      <c r="B110" t="s">
        <v>320</v>
      </c>
      <c r="C110" t="s">
        <v>23209</v>
      </c>
      <c r="D110" s="3">
        <f>VLOOKUP(Table1[[#This Row],[CODE BARANG]],stock!$A:$C,3,)</f>
        <v>0</v>
      </c>
      <c r="E110" s="1">
        <v>8</v>
      </c>
      <c r="F110" s="1">
        <v>12</v>
      </c>
      <c r="G110" s="4">
        <f>Table1[[#This Row],[stock]]/Table1[[#This Row],[HASIL MIN]]</f>
        <v>0</v>
      </c>
      <c r="H110" s="4">
        <f>Table1[[#This Row],[stock]]/Table1[[#This Row],[HASIL MAX]]</f>
        <v>0</v>
      </c>
      <c r="I110" s="4"/>
      <c r="J110" s="4"/>
    </row>
    <row r="111" spans="1:10" x14ac:dyDescent="0.25">
      <c r="A111" s="48" t="s">
        <v>22973</v>
      </c>
      <c r="B111" t="s">
        <v>3636</v>
      </c>
      <c r="C111" t="s">
        <v>442</v>
      </c>
      <c r="D111" s="3">
        <f>VLOOKUP(Table1[[#This Row],[CODE BARANG]],stock!$A:$C,3,)</f>
        <v>0</v>
      </c>
      <c r="E111" s="1">
        <v>6</v>
      </c>
      <c r="F111" s="1">
        <v>12</v>
      </c>
      <c r="G111" s="4">
        <f>Table1[[#This Row],[stock]]/Table1[[#This Row],[HASIL MIN]]</f>
        <v>0</v>
      </c>
      <c r="H111" s="4">
        <f>Table1[[#This Row],[stock]]/Table1[[#This Row],[HASIL MAX]]</f>
        <v>0</v>
      </c>
      <c r="I111" s="4"/>
      <c r="J111" s="4"/>
    </row>
    <row r="112" spans="1:10" x14ac:dyDescent="0.25">
      <c r="A112" s="48" t="s">
        <v>13639</v>
      </c>
      <c r="B112" t="s">
        <v>13640</v>
      </c>
      <c r="C112" t="s">
        <v>1859</v>
      </c>
      <c r="D112" s="3">
        <f>VLOOKUP(Table1[[#This Row],[CODE BARANG]],stock!$A:$C,3,)</f>
        <v>0</v>
      </c>
      <c r="E112" s="1">
        <v>5</v>
      </c>
      <c r="F112" s="1">
        <v>12</v>
      </c>
      <c r="G112" s="4">
        <f>Table1[[#This Row],[stock]]/Table1[[#This Row],[HASIL MIN]]</f>
        <v>0</v>
      </c>
      <c r="H112" s="4">
        <f>Table1[[#This Row],[stock]]/Table1[[#This Row],[HASIL MAX]]</f>
        <v>0</v>
      </c>
      <c r="I112" s="4"/>
      <c r="J112" s="4"/>
    </row>
    <row r="113" spans="1:10" x14ac:dyDescent="0.25">
      <c r="A113" s="48" t="s">
        <v>303</v>
      </c>
      <c r="B113" t="s">
        <v>304</v>
      </c>
      <c r="C113" t="s">
        <v>23216</v>
      </c>
      <c r="D113" s="3">
        <f>VLOOKUP(Table1[[#This Row],[CODE BARANG]],stock!$A:$C,3,)</f>
        <v>0</v>
      </c>
      <c r="E113" s="1">
        <v>6</v>
      </c>
      <c r="F113" s="1">
        <v>12</v>
      </c>
      <c r="G113" s="4">
        <f>Table1[[#This Row],[stock]]/Table1[[#This Row],[HASIL MIN]]</f>
        <v>0</v>
      </c>
      <c r="H113" s="4">
        <f>Table1[[#This Row],[stock]]/Table1[[#This Row],[HASIL MAX]]</f>
        <v>0</v>
      </c>
      <c r="I113" s="4"/>
      <c r="J113" s="4"/>
    </row>
    <row r="114" spans="1:10" x14ac:dyDescent="0.25">
      <c r="A114" s="48" t="s">
        <v>7190</v>
      </c>
      <c r="B114" t="s">
        <v>20012</v>
      </c>
      <c r="C114" t="s">
        <v>23216</v>
      </c>
      <c r="D114" s="3">
        <f>VLOOKUP(Table1[[#This Row],[CODE BARANG]],stock!$A:$C,3,)</f>
        <v>0</v>
      </c>
      <c r="E114" s="1">
        <v>2</v>
      </c>
      <c r="F114" s="1">
        <v>6</v>
      </c>
      <c r="G114" s="4">
        <f>Table1[[#This Row],[stock]]/Table1[[#This Row],[HASIL MIN]]</f>
        <v>0</v>
      </c>
      <c r="H114" s="4">
        <f>Table1[[#This Row],[stock]]/Table1[[#This Row],[HASIL MAX]]</f>
        <v>0</v>
      </c>
      <c r="I114" s="4"/>
      <c r="J114" s="4"/>
    </row>
    <row r="115" spans="1:10" x14ac:dyDescent="0.25">
      <c r="A115" s="48" t="s">
        <v>8966</v>
      </c>
      <c r="B115" t="s">
        <v>22277</v>
      </c>
      <c r="C115" t="s">
        <v>23218</v>
      </c>
      <c r="D115" s="3">
        <f>VLOOKUP(Table1[[#This Row],[CODE BARANG]],stock!$A:$C,3,)</f>
        <v>0</v>
      </c>
      <c r="E115" s="1">
        <v>10</v>
      </c>
      <c r="F115" s="1">
        <v>20</v>
      </c>
      <c r="G115" s="4">
        <f>Table1[[#This Row],[stock]]/Table1[[#This Row],[HASIL MIN]]</f>
        <v>0</v>
      </c>
      <c r="H115" s="4">
        <f>Table1[[#This Row],[stock]]/Table1[[#This Row],[HASIL MAX]]</f>
        <v>0</v>
      </c>
      <c r="I115" s="4"/>
      <c r="J115" s="4"/>
    </row>
    <row r="116" spans="1:10" x14ac:dyDescent="0.25">
      <c r="A116" s="48" t="s">
        <v>1085</v>
      </c>
      <c r="B116" t="s">
        <v>1086</v>
      </c>
      <c r="C116" t="s">
        <v>23210</v>
      </c>
      <c r="D116" s="3">
        <f>VLOOKUP(Table1[[#This Row],[CODE BARANG]],stock!$A:$C,3,)</f>
        <v>0</v>
      </c>
      <c r="E116" s="1">
        <v>24</v>
      </c>
      <c r="F116" s="1">
        <v>48</v>
      </c>
      <c r="G116" s="4">
        <f>Table1[[#This Row],[stock]]/Table1[[#This Row],[HASIL MIN]]</f>
        <v>0</v>
      </c>
      <c r="H116" s="4">
        <f>Table1[[#This Row],[stock]]/Table1[[#This Row],[HASIL MAX]]</f>
        <v>0</v>
      </c>
      <c r="I116" s="4"/>
      <c r="J116" s="4"/>
    </row>
    <row r="117" spans="1:10" x14ac:dyDescent="0.25">
      <c r="A117" s="48" t="s">
        <v>4703</v>
      </c>
      <c r="B117" t="s">
        <v>4704</v>
      </c>
      <c r="C117" t="s">
        <v>23209</v>
      </c>
      <c r="D117" s="3">
        <f>VLOOKUP(Table1[[#This Row],[CODE BARANG]],stock!$A:$C,3,)</f>
        <v>0</v>
      </c>
      <c r="E117" s="1">
        <v>5</v>
      </c>
      <c r="F117" s="1">
        <v>10</v>
      </c>
      <c r="G117" s="4">
        <f>Table1[[#This Row],[stock]]/Table1[[#This Row],[HASIL MIN]]</f>
        <v>0</v>
      </c>
      <c r="H117" s="4">
        <f>Table1[[#This Row],[stock]]/Table1[[#This Row],[HASIL MAX]]</f>
        <v>0</v>
      </c>
      <c r="I117" s="4"/>
      <c r="J117" s="4"/>
    </row>
    <row r="118" spans="1:10" x14ac:dyDescent="0.25">
      <c r="A118" s="48" t="s">
        <v>23005</v>
      </c>
      <c r="B118" t="s">
        <v>23006</v>
      </c>
      <c r="C118" t="s">
        <v>23208</v>
      </c>
      <c r="D118" s="3">
        <f>VLOOKUP(Table1[[#This Row],[CODE BARANG]],stock!$A:$C,3,)</f>
        <v>0</v>
      </c>
      <c r="E118" s="1">
        <v>8</v>
      </c>
      <c r="F118" s="1">
        <v>24</v>
      </c>
      <c r="G118" s="4">
        <f>Table1[[#This Row],[stock]]/Table1[[#This Row],[HASIL MIN]]</f>
        <v>0</v>
      </c>
      <c r="H118" s="4">
        <f>Table1[[#This Row],[stock]]/Table1[[#This Row],[HASIL MAX]]</f>
        <v>0</v>
      </c>
      <c r="I118" s="4"/>
      <c r="J118" s="4"/>
    </row>
    <row r="119" spans="1:10" x14ac:dyDescent="0.25">
      <c r="A119" s="48" t="s">
        <v>8732</v>
      </c>
      <c r="B119" t="s">
        <v>8733</v>
      </c>
      <c r="C119" t="s">
        <v>23207</v>
      </c>
      <c r="D119" s="3">
        <f>VLOOKUP(Table1[[#This Row],[CODE BARANG]],stock!$A:$C,3,)</f>
        <v>0</v>
      </c>
      <c r="E119" s="1">
        <v>2</v>
      </c>
      <c r="F119" s="1">
        <v>4</v>
      </c>
      <c r="G119" s="4">
        <f>Table1[[#This Row],[stock]]/Table1[[#This Row],[HASIL MIN]]</f>
        <v>0</v>
      </c>
      <c r="H119" s="4">
        <f>Table1[[#This Row],[stock]]/Table1[[#This Row],[HASIL MAX]]</f>
        <v>0</v>
      </c>
      <c r="I119" s="4"/>
      <c r="J119" s="4"/>
    </row>
    <row r="120" spans="1:10" x14ac:dyDescent="0.25">
      <c r="A120" s="48" t="s">
        <v>7192</v>
      </c>
      <c r="B120" t="s">
        <v>20014</v>
      </c>
      <c r="C120" t="s">
        <v>23216</v>
      </c>
      <c r="D120" s="3">
        <f>VLOOKUP(Table1[[#This Row],[CODE BARANG]],stock!$A:$C,3,)</f>
        <v>0</v>
      </c>
      <c r="E120" s="1">
        <v>12</v>
      </c>
      <c r="F120" s="1">
        <v>24</v>
      </c>
      <c r="G120" s="4">
        <f>Table1[[#This Row],[stock]]/Table1[[#This Row],[HASIL MIN]]</f>
        <v>0</v>
      </c>
      <c r="H120" s="4">
        <f>Table1[[#This Row],[stock]]/Table1[[#This Row],[HASIL MAX]]</f>
        <v>0</v>
      </c>
      <c r="I120" s="4"/>
      <c r="J120" s="4"/>
    </row>
    <row r="121" spans="1:10" x14ac:dyDescent="0.25">
      <c r="A121" s="48" t="s">
        <v>12964</v>
      </c>
      <c r="B121" t="s">
        <v>12965</v>
      </c>
      <c r="C121" t="s">
        <v>23207</v>
      </c>
      <c r="D121" s="3">
        <f>VLOOKUP(Table1[[#This Row],[CODE BARANG]],stock!$A:$C,3,)</f>
        <v>0</v>
      </c>
      <c r="E121" s="1">
        <v>6</v>
      </c>
      <c r="F121" s="1">
        <v>8</v>
      </c>
      <c r="G121" s="4">
        <f>Table1[[#This Row],[stock]]/Table1[[#This Row],[HASIL MIN]]</f>
        <v>0</v>
      </c>
      <c r="H121" s="4">
        <f>Table1[[#This Row],[stock]]/Table1[[#This Row],[HASIL MAX]]</f>
        <v>0</v>
      </c>
      <c r="I121" s="4"/>
      <c r="J121" s="4"/>
    </row>
    <row r="122" spans="1:10" x14ac:dyDescent="0.25">
      <c r="A122" s="48" t="s">
        <v>11980</v>
      </c>
      <c r="B122" t="s">
        <v>11981</v>
      </c>
      <c r="C122" t="s">
        <v>23208</v>
      </c>
      <c r="D122" s="3">
        <f>VLOOKUP(Table1[[#This Row],[CODE BARANG]],stock!$A:$C,3,)</f>
        <v>0</v>
      </c>
      <c r="E122" s="1">
        <v>4</v>
      </c>
      <c r="F122" s="1">
        <v>10</v>
      </c>
      <c r="G122" s="4">
        <f>Table1[[#This Row],[stock]]/Table1[[#This Row],[HASIL MIN]]</f>
        <v>0</v>
      </c>
      <c r="H122" s="4">
        <f>Table1[[#This Row],[stock]]/Table1[[#This Row],[HASIL MAX]]</f>
        <v>0</v>
      </c>
      <c r="I122" s="4"/>
      <c r="J122" s="4"/>
    </row>
    <row r="123" spans="1:10" x14ac:dyDescent="0.25">
      <c r="A123" s="48" t="s">
        <v>6745</v>
      </c>
      <c r="B123" t="s">
        <v>6746</v>
      </c>
      <c r="C123" t="s">
        <v>23207</v>
      </c>
      <c r="D123" s="3">
        <f>VLOOKUP(Table1[[#This Row],[CODE BARANG]],stock!$A:$C,3,)</f>
        <v>0</v>
      </c>
      <c r="E123" s="1">
        <v>2</v>
      </c>
      <c r="F123" s="1">
        <v>4</v>
      </c>
      <c r="G123" s="4">
        <f>Table1[[#This Row],[stock]]/Table1[[#This Row],[HASIL MIN]]</f>
        <v>0</v>
      </c>
      <c r="H123" s="4">
        <f>Table1[[#This Row],[stock]]/Table1[[#This Row],[HASIL MAX]]</f>
        <v>0</v>
      </c>
      <c r="I123" s="4"/>
      <c r="J123" s="4"/>
    </row>
    <row r="124" spans="1:10" x14ac:dyDescent="0.25">
      <c r="A124" s="48" t="s">
        <v>821</v>
      </c>
      <c r="B124" t="s">
        <v>822</v>
      </c>
      <c r="C124" t="s">
        <v>23209</v>
      </c>
      <c r="D124" s="3">
        <f>VLOOKUP(Table1[[#This Row],[CODE BARANG]],stock!$A:$C,3,)</f>
        <v>0</v>
      </c>
      <c r="E124" s="1">
        <v>36</v>
      </c>
      <c r="F124" s="1">
        <v>48</v>
      </c>
      <c r="G124" s="4">
        <f>Table1[[#This Row],[stock]]/Table1[[#This Row],[HASIL MIN]]</f>
        <v>0</v>
      </c>
      <c r="H124" s="4">
        <f>Table1[[#This Row],[stock]]/Table1[[#This Row],[HASIL MAX]]</f>
        <v>0</v>
      </c>
      <c r="I124" s="4"/>
      <c r="J124" s="4"/>
    </row>
    <row r="125" spans="1:10" x14ac:dyDescent="0.25">
      <c r="A125" s="48" t="s">
        <v>639</v>
      </c>
      <c r="B125" t="s">
        <v>640</v>
      </c>
      <c r="C125" t="s">
        <v>23209</v>
      </c>
      <c r="D125" s="3">
        <f>VLOOKUP(Table1[[#This Row],[CODE BARANG]],stock!$A:$C,3,)</f>
        <v>0</v>
      </c>
      <c r="E125" s="1">
        <v>20</v>
      </c>
      <c r="F125" s="1">
        <v>36</v>
      </c>
      <c r="G125" s="4">
        <f>Table1[[#This Row],[stock]]/Table1[[#This Row],[HASIL MIN]]</f>
        <v>0</v>
      </c>
      <c r="H125" s="4">
        <f>Table1[[#This Row],[stock]]/Table1[[#This Row],[HASIL MAX]]</f>
        <v>0</v>
      </c>
      <c r="I125" s="4"/>
      <c r="J125" s="4"/>
    </row>
    <row r="126" spans="1:10" x14ac:dyDescent="0.25">
      <c r="A126" s="48" t="s">
        <v>445</v>
      </c>
      <c r="B126" t="s">
        <v>446</v>
      </c>
      <c r="C126" t="s">
        <v>23207</v>
      </c>
      <c r="D126" s="3">
        <f>VLOOKUP(Table1[[#This Row],[CODE BARANG]],stock!$A:$C,3,)</f>
        <v>0</v>
      </c>
      <c r="E126" s="1">
        <v>12</v>
      </c>
      <c r="F126" s="1">
        <v>24</v>
      </c>
      <c r="G126" s="4">
        <f>Table1[[#This Row],[stock]]/Table1[[#This Row],[HASIL MIN]]</f>
        <v>0</v>
      </c>
      <c r="H126" s="4">
        <f>Table1[[#This Row],[stock]]/Table1[[#This Row],[HASIL MAX]]</f>
        <v>0</v>
      </c>
      <c r="I126" s="4"/>
      <c r="J126" s="4"/>
    </row>
    <row r="127" spans="1:10" x14ac:dyDescent="0.25">
      <c r="A127" s="48" t="s">
        <v>399</v>
      </c>
      <c r="B127" t="s">
        <v>400</v>
      </c>
      <c r="C127" t="s">
        <v>439</v>
      </c>
      <c r="D127" s="3">
        <f>VLOOKUP(Table1[[#This Row],[CODE BARANG]],stock!$A:$C,3,)</f>
        <v>0</v>
      </c>
      <c r="E127" s="1">
        <v>24</v>
      </c>
      <c r="F127" s="1">
        <v>36</v>
      </c>
      <c r="G127" s="4">
        <f>Table1[[#This Row],[stock]]/Table1[[#This Row],[HASIL MIN]]</f>
        <v>0</v>
      </c>
      <c r="H127" s="4">
        <f>Table1[[#This Row],[stock]]/Table1[[#This Row],[HASIL MAX]]</f>
        <v>0</v>
      </c>
      <c r="I127" s="4"/>
      <c r="J127" s="4"/>
    </row>
    <row r="128" spans="1:10" x14ac:dyDescent="0.25">
      <c r="A128" s="48" t="s">
        <v>1625</v>
      </c>
      <c r="B128" t="s">
        <v>1626</v>
      </c>
      <c r="C128" t="s">
        <v>23209</v>
      </c>
      <c r="D128" s="3">
        <f>VLOOKUP(Table1[[#This Row],[CODE BARANG]],stock!$A:$C,3,)</f>
        <v>0</v>
      </c>
      <c r="E128" s="1">
        <v>6</v>
      </c>
      <c r="F128" s="1">
        <v>10</v>
      </c>
      <c r="G128" s="4">
        <f>Table1[[#This Row],[stock]]/Table1[[#This Row],[HASIL MIN]]</f>
        <v>0</v>
      </c>
      <c r="H128" s="4">
        <f>Table1[[#This Row],[stock]]/Table1[[#This Row],[HASIL MAX]]</f>
        <v>0</v>
      </c>
      <c r="I128" s="4"/>
      <c r="J128" s="4"/>
    </row>
    <row r="129" spans="1:10" x14ac:dyDescent="0.25">
      <c r="A129" s="48" t="s">
        <v>471</v>
      </c>
      <c r="B129" t="s">
        <v>472</v>
      </c>
      <c r="C129" t="s">
        <v>442</v>
      </c>
      <c r="D129" s="3">
        <f>VLOOKUP(Table1[[#This Row],[CODE BARANG]],stock!$A:$C,3,)</f>
        <v>0</v>
      </c>
      <c r="E129" s="1">
        <v>18</v>
      </c>
      <c r="F129" s="1">
        <v>48</v>
      </c>
      <c r="G129" s="4">
        <f>Table1[[#This Row],[stock]]/Table1[[#This Row],[HASIL MIN]]</f>
        <v>0</v>
      </c>
      <c r="H129" s="4">
        <f>Table1[[#This Row],[stock]]/Table1[[#This Row],[HASIL MAX]]</f>
        <v>0</v>
      </c>
      <c r="I129" s="4"/>
      <c r="J129" s="4"/>
    </row>
    <row r="130" spans="1:10" x14ac:dyDescent="0.25">
      <c r="A130" s="48" t="s">
        <v>1657</v>
      </c>
      <c r="B130" t="s">
        <v>1658</v>
      </c>
      <c r="C130" t="s">
        <v>23210</v>
      </c>
      <c r="D130" s="3">
        <f>VLOOKUP(Table1[[#This Row],[CODE BARANG]],stock!$A:$C,3,)</f>
        <v>0</v>
      </c>
      <c r="E130" s="1">
        <v>8</v>
      </c>
      <c r="F130" s="1">
        <v>16</v>
      </c>
      <c r="G130" s="4">
        <f>Table1[[#This Row],[stock]]/Table1[[#This Row],[HASIL MIN]]</f>
        <v>0</v>
      </c>
      <c r="H130" s="4">
        <f>Table1[[#This Row],[stock]]/Table1[[#This Row],[HASIL MAX]]</f>
        <v>0</v>
      </c>
      <c r="I130" s="4"/>
      <c r="J130" s="4"/>
    </row>
    <row r="131" spans="1:10" x14ac:dyDescent="0.25">
      <c r="A131" s="48" t="s">
        <v>16220</v>
      </c>
      <c r="B131" t="s">
        <v>16221</v>
      </c>
      <c r="C131" t="s">
        <v>23213</v>
      </c>
      <c r="D131" s="3">
        <f>VLOOKUP(Table1[[#This Row],[CODE BARANG]],stock!$A:$C,3,)</f>
        <v>0</v>
      </c>
      <c r="E131" s="1">
        <v>2</v>
      </c>
      <c r="F131" s="1">
        <v>6</v>
      </c>
      <c r="G131" s="4">
        <f>Table1[[#This Row],[stock]]/Table1[[#This Row],[HASIL MIN]]</f>
        <v>0</v>
      </c>
      <c r="H131" s="4">
        <f>Table1[[#This Row],[stock]]/Table1[[#This Row],[HASIL MAX]]</f>
        <v>0</v>
      </c>
      <c r="I131" s="4"/>
      <c r="J131" s="4"/>
    </row>
    <row r="132" spans="1:10" x14ac:dyDescent="0.25">
      <c r="A132" s="48" t="s">
        <v>1219</v>
      </c>
      <c r="B132" t="s">
        <v>1220</v>
      </c>
      <c r="C132" t="s">
        <v>23212</v>
      </c>
      <c r="D132" s="3">
        <f>VLOOKUP(Table1[[#This Row],[CODE BARANG]],stock!$A:$C,3,)</f>
        <v>0</v>
      </c>
      <c r="E132" s="1">
        <v>20</v>
      </c>
      <c r="F132" s="1">
        <v>40</v>
      </c>
      <c r="G132" s="4">
        <f>Table1[[#This Row],[stock]]/Table1[[#This Row],[HASIL MIN]]</f>
        <v>0</v>
      </c>
      <c r="H132" s="4">
        <f>Table1[[#This Row],[stock]]/Table1[[#This Row],[HASIL MAX]]</f>
        <v>0</v>
      </c>
      <c r="I132" s="4"/>
      <c r="J132" s="4"/>
    </row>
    <row r="133" spans="1:10" x14ac:dyDescent="0.25">
      <c r="A133" s="48" t="s">
        <v>1633</v>
      </c>
      <c r="B133" t="s">
        <v>1634</v>
      </c>
      <c r="C133" t="s">
        <v>23212</v>
      </c>
      <c r="D133" s="3">
        <f>VLOOKUP(Table1[[#This Row],[CODE BARANG]],stock!$A:$C,3,)</f>
        <v>0</v>
      </c>
      <c r="E133" s="1">
        <v>16</v>
      </c>
      <c r="F133" s="1">
        <v>24</v>
      </c>
      <c r="G133" s="4">
        <f>Table1[[#This Row],[stock]]/Table1[[#This Row],[HASIL MIN]]</f>
        <v>0</v>
      </c>
      <c r="H133" s="4">
        <f>Table1[[#This Row],[stock]]/Table1[[#This Row],[HASIL MAX]]</f>
        <v>0</v>
      </c>
      <c r="I133" s="4"/>
      <c r="J133" s="4"/>
    </row>
    <row r="134" spans="1:10" x14ac:dyDescent="0.25">
      <c r="A134" s="48" t="s">
        <v>1433</v>
      </c>
      <c r="B134" t="s">
        <v>1434</v>
      </c>
      <c r="C134" t="s">
        <v>23207</v>
      </c>
      <c r="D134" s="3">
        <f>VLOOKUP(Table1[[#This Row],[CODE BARANG]],stock!$A:$C,3,)</f>
        <v>0</v>
      </c>
      <c r="E134" s="1">
        <v>2</v>
      </c>
      <c r="F134" s="1">
        <v>4</v>
      </c>
      <c r="G134" s="4">
        <f>Table1[[#This Row],[stock]]/Table1[[#This Row],[HASIL MIN]]</f>
        <v>0</v>
      </c>
      <c r="H134" s="4">
        <f>Table1[[#This Row],[stock]]/Table1[[#This Row],[HASIL MAX]]</f>
        <v>0</v>
      </c>
      <c r="I134" s="4"/>
      <c r="J134" s="4"/>
    </row>
    <row r="135" spans="1:10" x14ac:dyDescent="0.25">
      <c r="A135" s="48" t="s">
        <v>761</v>
      </c>
      <c r="B135" t="s">
        <v>762</v>
      </c>
      <c r="C135" t="s">
        <v>23215</v>
      </c>
      <c r="D135" s="3">
        <f>VLOOKUP(Table1[[#This Row],[CODE BARANG]],stock!$A:$C,3,)</f>
        <v>0</v>
      </c>
      <c r="E135" s="1">
        <v>2</v>
      </c>
      <c r="F135" s="1">
        <v>4</v>
      </c>
      <c r="G135" s="4">
        <f>Table1[[#This Row],[stock]]/Table1[[#This Row],[HASIL MIN]]</f>
        <v>0</v>
      </c>
      <c r="H135" s="4">
        <f>Table1[[#This Row],[stock]]/Table1[[#This Row],[HASIL MAX]]</f>
        <v>0</v>
      </c>
      <c r="I135" s="4"/>
      <c r="J135" s="4"/>
    </row>
    <row r="136" spans="1:10" x14ac:dyDescent="0.25">
      <c r="A136" s="48" t="s">
        <v>7420</v>
      </c>
      <c r="B136" t="s">
        <v>7421</v>
      </c>
      <c r="C136" t="s">
        <v>23209</v>
      </c>
      <c r="D136" s="3">
        <f>VLOOKUP(Table1[[#This Row],[CODE BARANG]],stock!$A:$C,3,)</f>
        <v>0</v>
      </c>
      <c r="E136" s="1">
        <v>2</v>
      </c>
      <c r="F136" s="1">
        <v>4</v>
      </c>
      <c r="G136" s="4">
        <f>Table1[[#This Row],[stock]]/Table1[[#This Row],[HASIL MIN]]</f>
        <v>0</v>
      </c>
      <c r="H136" s="4">
        <f>Table1[[#This Row],[stock]]/Table1[[#This Row],[HASIL MAX]]</f>
        <v>0</v>
      </c>
      <c r="I136" s="4"/>
      <c r="J136" s="4"/>
    </row>
    <row r="137" spans="1:10" x14ac:dyDescent="0.25">
      <c r="A137" s="48" t="s">
        <v>1125</v>
      </c>
      <c r="B137" t="s">
        <v>1126</v>
      </c>
      <c r="C137" t="s">
        <v>23207</v>
      </c>
      <c r="D137" s="3">
        <f>VLOOKUP(Table1[[#This Row],[CODE BARANG]],stock!$A:$C,3,)</f>
        <v>0</v>
      </c>
      <c r="E137" s="1">
        <v>20</v>
      </c>
      <c r="F137" s="1">
        <v>40</v>
      </c>
      <c r="G137" s="4">
        <f>Table1[[#This Row],[stock]]/Table1[[#This Row],[HASIL MIN]]</f>
        <v>0</v>
      </c>
      <c r="H137" s="4">
        <f>Table1[[#This Row],[stock]]/Table1[[#This Row],[HASIL MAX]]</f>
        <v>0</v>
      </c>
      <c r="I137" s="4"/>
      <c r="J137" s="4"/>
    </row>
    <row r="138" spans="1:10" x14ac:dyDescent="0.25">
      <c r="A138" s="48" t="s">
        <v>43</v>
      </c>
      <c r="B138" t="s">
        <v>44</v>
      </c>
      <c r="C138" t="s">
        <v>23209</v>
      </c>
      <c r="D138" s="3">
        <f>VLOOKUP(Table1[[#This Row],[CODE BARANG]],stock!$A:$C,3,)</f>
        <v>0</v>
      </c>
      <c r="E138" s="1">
        <v>2</v>
      </c>
      <c r="F138" s="1">
        <v>6</v>
      </c>
      <c r="G138" s="4">
        <f>Table1[[#This Row],[stock]]/Table1[[#This Row],[HASIL MIN]]</f>
        <v>0</v>
      </c>
      <c r="H138" s="4">
        <f>Table1[[#This Row],[stock]]/Table1[[#This Row],[HASIL MAX]]</f>
        <v>0</v>
      </c>
      <c r="I138" s="4"/>
      <c r="J138" s="4"/>
    </row>
    <row r="139" spans="1:10" x14ac:dyDescent="0.25">
      <c r="A139" s="48" t="s">
        <v>1591</v>
      </c>
      <c r="B139" t="s">
        <v>1592</v>
      </c>
      <c r="C139" t="s">
        <v>23215</v>
      </c>
      <c r="D139" s="3">
        <f>VLOOKUP(Table1[[#This Row],[CODE BARANG]],stock!$A:$C,3,)</f>
        <v>0</v>
      </c>
      <c r="E139" s="1">
        <v>24</v>
      </c>
      <c r="F139" s="1">
        <v>48</v>
      </c>
      <c r="G139" s="4">
        <f>Table1[[#This Row],[stock]]/Table1[[#This Row],[HASIL MIN]]</f>
        <v>0</v>
      </c>
      <c r="H139" s="4">
        <f>Table1[[#This Row],[stock]]/Table1[[#This Row],[HASIL MAX]]</f>
        <v>0</v>
      </c>
      <c r="I139" s="4"/>
      <c r="J139" s="4"/>
    </row>
    <row r="140" spans="1:10" x14ac:dyDescent="0.25">
      <c r="A140" s="48" t="s">
        <v>1205</v>
      </c>
      <c r="B140" t="s">
        <v>1206</v>
      </c>
      <c r="C140" t="s">
        <v>23209</v>
      </c>
      <c r="D140" s="3">
        <f>VLOOKUP(Table1[[#This Row],[CODE BARANG]],stock!$A:$C,3,)</f>
        <v>0</v>
      </c>
      <c r="E140" s="1">
        <v>12</v>
      </c>
      <c r="F140" s="1">
        <v>20</v>
      </c>
      <c r="G140" s="4">
        <f>Table1[[#This Row],[stock]]/Table1[[#This Row],[HASIL MIN]]</f>
        <v>0</v>
      </c>
      <c r="H140" s="4">
        <f>Table1[[#This Row],[stock]]/Table1[[#This Row],[HASIL MAX]]</f>
        <v>0</v>
      </c>
      <c r="I140" s="4"/>
      <c r="J140" s="4"/>
    </row>
    <row r="141" spans="1:10" x14ac:dyDescent="0.25">
      <c r="A141" s="48" t="s">
        <v>1918</v>
      </c>
      <c r="B141" t="s">
        <v>1919</v>
      </c>
      <c r="C141" t="s">
        <v>23207</v>
      </c>
      <c r="D141" s="3">
        <f>VLOOKUP(Table1[[#This Row],[CODE BARANG]],stock!$A:$C,3,)</f>
        <v>0</v>
      </c>
      <c r="E141" s="1">
        <v>24</v>
      </c>
      <c r="F141" s="1">
        <v>36</v>
      </c>
      <c r="G141" s="4">
        <f>Table1[[#This Row],[stock]]/Table1[[#This Row],[HASIL MIN]]</f>
        <v>0</v>
      </c>
      <c r="H141" s="4">
        <f>Table1[[#This Row],[stock]]/Table1[[#This Row],[HASIL MAX]]</f>
        <v>0</v>
      </c>
      <c r="I141" s="4"/>
      <c r="J141" s="4"/>
    </row>
    <row r="142" spans="1:10" x14ac:dyDescent="0.25">
      <c r="A142" s="48" t="s">
        <v>1583</v>
      </c>
      <c r="B142" t="s">
        <v>1584</v>
      </c>
      <c r="C142" t="s">
        <v>23209</v>
      </c>
      <c r="D142" s="3">
        <f>VLOOKUP(Table1[[#This Row],[CODE BARANG]],stock!$A:$C,3,)</f>
        <v>0</v>
      </c>
      <c r="E142" s="1">
        <v>24</v>
      </c>
      <c r="F142" s="1">
        <v>36</v>
      </c>
      <c r="G142" s="4">
        <f>Table1[[#This Row],[stock]]/Table1[[#This Row],[HASIL MIN]]</f>
        <v>0</v>
      </c>
      <c r="H142" s="4">
        <f>Table1[[#This Row],[stock]]/Table1[[#This Row],[HASIL MAX]]</f>
        <v>0</v>
      </c>
      <c r="I142" s="4"/>
      <c r="J142" s="4"/>
    </row>
    <row r="143" spans="1:10" x14ac:dyDescent="0.25">
      <c r="A143" s="48" t="s">
        <v>22924</v>
      </c>
      <c r="B143" t="s">
        <v>22925</v>
      </c>
      <c r="C143" t="s">
        <v>23208</v>
      </c>
      <c r="D143" s="3">
        <f>VLOOKUP(Table1[[#This Row],[CODE BARANG]],stock!$A:$C,3,)</f>
        <v>0</v>
      </c>
      <c r="E143" s="1">
        <v>12</v>
      </c>
      <c r="F143" s="1">
        <v>36</v>
      </c>
      <c r="G143" s="4">
        <f>Table1[[#This Row],[stock]]/Table1[[#This Row],[HASIL MIN]]</f>
        <v>0</v>
      </c>
      <c r="H143" s="4">
        <f>Table1[[#This Row],[stock]]/Table1[[#This Row],[HASIL MAX]]</f>
        <v>0</v>
      </c>
      <c r="I143" s="4"/>
      <c r="J143" s="4"/>
    </row>
    <row r="144" spans="1:10" x14ac:dyDescent="0.25">
      <c r="A144" s="48" t="s">
        <v>1483</v>
      </c>
      <c r="B144" t="s">
        <v>1484</v>
      </c>
      <c r="C144" t="s">
        <v>23208</v>
      </c>
      <c r="D144" s="3">
        <f>VLOOKUP(Table1[[#This Row],[CODE BARANG]],stock!$A:$C,3,)</f>
        <v>0</v>
      </c>
      <c r="E144" s="1">
        <v>2</v>
      </c>
      <c r="F144" s="1">
        <v>4</v>
      </c>
      <c r="G144" s="4">
        <f>Table1[[#This Row],[stock]]/Table1[[#This Row],[HASIL MIN]]</f>
        <v>0</v>
      </c>
      <c r="H144" s="4">
        <f>Table1[[#This Row],[stock]]/Table1[[#This Row],[HASIL MAX]]</f>
        <v>0</v>
      </c>
      <c r="I144" s="4"/>
      <c r="J144" s="4"/>
    </row>
    <row r="145" spans="1:10" x14ac:dyDescent="0.25">
      <c r="A145" s="48" t="s">
        <v>693</v>
      </c>
      <c r="B145" t="s">
        <v>694</v>
      </c>
      <c r="C145" t="s">
        <v>442</v>
      </c>
      <c r="D145" s="3">
        <f>VLOOKUP(Table1[[#This Row],[CODE BARANG]],stock!$A:$C,3,)</f>
        <v>0</v>
      </c>
      <c r="E145" s="1">
        <v>4</v>
      </c>
      <c r="F145" s="1">
        <v>6</v>
      </c>
      <c r="G145" s="4">
        <f>Table1[[#This Row],[stock]]/Table1[[#This Row],[HASIL MIN]]</f>
        <v>0</v>
      </c>
      <c r="H145" s="4">
        <f>Table1[[#This Row],[stock]]/Table1[[#This Row],[HASIL MAX]]</f>
        <v>0</v>
      </c>
      <c r="I145" s="4"/>
      <c r="J145" s="4"/>
    </row>
    <row r="146" spans="1:10" x14ac:dyDescent="0.25">
      <c r="A146" s="48" t="s">
        <v>483</v>
      </c>
      <c r="B146" t="s">
        <v>484</v>
      </c>
      <c r="C146" t="s">
        <v>23208</v>
      </c>
      <c r="D146" s="3">
        <f>VLOOKUP(Table1[[#This Row],[CODE BARANG]],stock!$A:$C,3,)</f>
        <v>0</v>
      </c>
      <c r="E146" s="1">
        <v>18</v>
      </c>
      <c r="F146" s="1">
        <v>36</v>
      </c>
      <c r="G146" s="4">
        <f>Table1[[#This Row],[stock]]/Table1[[#This Row],[HASIL MIN]]</f>
        <v>0</v>
      </c>
      <c r="H146" s="4">
        <f>Table1[[#This Row],[stock]]/Table1[[#This Row],[HASIL MAX]]</f>
        <v>0</v>
      </c>
      <c r="I146" s="4"/>
      <c r="J146" s="4"/>
    </row>
    <row r="147" spans="1:10" x14ac:dyDescent="0.25">
      <c r="A147" s="48" t="s">
        <v>339</v>
      </c>
      <c r="B147" t="s">
        <v>340</v>
      </c>
      <c r="C147" t="s">
        <v>442</v>
      </c>
      <c r="D147" s="3">
        <f>VLOOKUP(Table1[[#This Row],[CODE BARANG]],stock!$A:$C,3,)</f>
        <v>0</v>
      </c>
      <c r="E147" s="1">
        <v>36</v>
      </c>
      <c r="F147" s="1">
        <v>60</v>
      </c>
      <c r="G147" s="4">
        <f>Table1[[#This Row],[stock]]/Table1[[#This Row],[HASIL MIN]]</f>
        <v>0</v>
      </c>
      <c r="H147" s="4">
        <f>Table1[[#This Row],[stock]]/Table1[[#This Row],[HASIL MAX]]</f>
        <v>0</v>
      </c>
      <c r="I147" s="4"/>
      <c r="J147" s="4"/>
    </row>
    <row r="148" spans="1:10" x14ac:dyDescent="0.25">
      <c r="A148" s="48" t="s">
        <v>527</v>
      </c>
      <c r="B148" t="s">
        <v>528</v>
      </c>
      <c r="C148" t="s">
        <v>23209</v>
      </c>
      <c r="D148" s="3">
        <f>VLOOKUP(Table1[[#This Row],[CODE BARANG]],stock!$A:$C,3,)</f>
        <v>0</v>
      </c>
      <c r="E148" s="1">
        <v>18</v>
      </c>
      <c r="F148" s="1">
        <v>36</v>
      </c>
      <c r="G148" s="4">
        <f>Table1[[#This Row],[stock]]/Table1[[#This Row],[HASIL MIN]]</f>
        <v>0</v>
      </c>
      <c r="H148" s="4">
        <f>Table1[[#This Row],[stock]]/Table1[[#This Row],[HASIL MAX]]</f>
        <v>0</v>
      </c>
      <c r="I148" s="4"/>
      <c r="J148" s="4"/>
    </row>
    <row r="149" spans="1:10" x14ac:dyDescent="0.25">
      <c r="A149" s="48" t="s">
        <v>1942</v>
      </c>
      <c r="B149" t="s">
        <v>1943</v>
      </c>
      <c r="C149" t="s">
        <v>23209</v>
      </c>
      <c r="D149" s="3">
        <f>VLOOKUP(Table1[[#This Row],[CODE BARANG]],stock!$A:$C,3,)</f>
        <v>0</v>
      </c>
      <c r="E149" s="1">
        <v>2</v>
      </c>
      <c r="F149" s="1">
        <v>4</v>
      </c>
      <c r="G149" s="4">
        <f>Table1[[#This Row],[stock]]/Table1[[#This Row],[HASIL MIN]]</f>
        <v>0</v>
      </c>
      <c r="H149" s="4">
        <f>Table1[[#This Row],[stock]]/Table1[[#This Row],[HASIL MAX]]</f>
        <v>0</v>
      </c>
      <c r="I149" s="4"/>
      <c r="J149" s="4"/>
    </row>
    <row r="150" spans="1:10" x14ac:dyDescent="0.25">
      <c r="A150" s="48" t="s">
        <v>6763</v>
      </c>
      <c r="B150" t="s">
        <v>6764</v>
      </c>
      <c r="C150" t="s">
        <v>23207</v>
      </c>
      <c r="D150" s="3">
        <f>VLOOKUP(Table1[[#This Row],[CODE BARANG]],stock!$A:$C,3,)</f>
        <v>0</v>
      </c>
      <c r="E150" s="1">
        <v>1</v>
      </c>
      <c r="F150" s="1">
        <v>2</v>
      </c>
      <c r="G150" s="4">
        <f>Table1[[#This Row],[stock]]/Table1[[#This Row],[HASIL MIN]]</f>
        <v>0</v>
      </c>
      <c r="H150" s="4">
        <f>Table1[[#This Row],[stock]]/Table1[[#This Row],[HASIL MAX]]</f>
        <v>0</v>
      </c>
      <c r="I150" s="4"/>
      <c r="J150" s="4"/>
    </row>
    <row r="151" spans="1:10" x14ac:dyDescent="0.25">
      <c r="A151" s="48" t="s">
        <v>531</v>
      </c>
      <c r="B151" t="s">
        <v>532</v>
      </c>
      <c r="C151" t="s">
        <v>23214</v>
      </c>
      <c r="D151" s="3">
        <f>VLOOKUP(Table1[[#This Row],[CODE BARANG]],stock!$A:$C,3,)</f>
        <v>0</v>
      </c>
      <c r="E151" s="1">
        <v>15</v>
      </c>
      <c r="F151" s="1">
        <v>20</v>
      </c>
      <c r="G151" s="4">
        <f>Table1[[#This Row],[stock]]/Table1[[#This Row],[HASIL MIN]]</f>
        <v>0</v>
      </c>
      <c r="H151" s="4">
        <f>Table1[[#This Row],[stock]]/Table1[[#This Row],[HASIL MAX]]</f>
        <v>0</v>
      </c>
      <c r="I151" s="4"/>
      <c r="J151" s="4"/>
    </row>
    <row r="152" spans="1:10" x14ac:dyDescent="0.25">
      <c r="A152" s="48" t="s">
        <v>611</v>
      </c>
      <c r="B152" t="s">
        <v>612</v>
      </c>
      <c r="C152" t="s">
        <v>23207</v>
      </c>
      <c r="D152" s="3">
        <f>VLOOKUP(Table1[[#This Row],[CODE BARANG]],stock!$A:$C,3,)</f>
        <v>1</v>
      </c>
      <c r="E152" s="1">
        <v>120</v>
      </c>
      <c r="F152" s="1">
        <v>600</v>
      </c>
      <c r="G152" s="4">
        <f>Table1[[#This Row],[stock]]/Table1[[#This Row],[HASIL MIN]]</f>
        <v>8.3333333333333332E-3</v>
      </c>
      <c r="H152" s="4">
        <f>Table1[[#This Row],[stock]]/Table1[[#This Row],[HASIL MAX]]</f>
        <v>1.6666666666666668E-3</v>
      </c>
      <c r="I152" s="4"/>
      <c r="J152" s="4"/>
    </row>
    <row r="153" spans="1:10" x14ac:dyDescent="0.25">
      <c r="A153" s="48" t="s">
        <v>97</v>
      </c>
      <c r="B153" t="s">
        <v>98</v>
      </c>
      <c r="C153" t="s">
        <v>23207</v>
      </c>
      <c r="D153" s="3">
        <f>VLOOKUP(Table1[[#This Row],[CODE BARANG]],stock!$A:$C,3,)</f>
        <v>2</v>
      </c>
      <c r="E153" s="1">
        <v>360</v>
      </c>
      <c r="F153" s="1">
        <v>600</v>
      </c>
      <c r="G153" s="4">
        <f>Table1[[#This Row],[stock]]/Table1[[#This Row],[HASIL MIN]]</f>
        <v>5.5555555555555558E-3</v>
      </c>
      <c r="H153" s="4">
        <f>Table1[[#This Row],[stock]]/Table1[[#This Row],[HASIL MAX]]</f>
        <v>3.3333333333333335E-3</v>
      </c>
      <c r="I153" s="4"/>
      <c r="J153" s="4"/>
    </row>
    <row r="154" spans="1:10" x14ac:dyDescent="0.25">
      <c r="A154" s="48" t="s">
        <v>557</v>
      </c>
      <c r="B154" t="s">
        <v>558</v>
      </c>
      <c r="C154" t="s">
        <v>912</v>
      </c>
      <c r="D154" s="3">
        <f>VLOOKUP(Table1[[#This Row],[CODE BARANG]],stock!$A:$C,3,)</f>
        <v>1</v>
      </c>
      <c r="E154" s="1">
        <v>120</v>
      </c>
      <c r="F154" s="1">
        <v>240</v>
      </c>
      <c r="G154" s="4">
        <f>Table1[[#This Row],[stock]]/Table1[[#This Row],[HASIL MIN]]</f>
        <v>8.3333333333333332E-3</v>
      </c>
      <c r="H154" s="4">
        <f>Table1[[#This Row],[stock]]/Table1[[#This Row],[HASIL MAX]]</f>
        <v>4.1666666666666666E-3</v>
      </c>
      <c r="I154" s="4"/>
      <c r="J154" s="4"/>
    </row>
    <row r="155" spans="1:10" x14ac:dyDescent="0.25">
      <c r="A155" s="48" t="s">
        <v>551</v>
      </c>
      <c r="B155" t="s">
        <v>552</v>
      </c>
      <c r="C155" t="s">
        <v>23207</v>
      </c>
      <c r="D155" s="3">
        <f>VLOOKUP(Table1[[#This Row],[CODE BARANG]],stock!$A:$C,3,)</f>
        <v>4</v>
      </c>
      <c r="E155" s="1">
        <v>360</v>
      </c>
      <c r="F155" s="1">
        <v>600</v>
      </c>
      <c r="G155" s="4">
        <f>Table1[[#This Row],[stock]]/Table1[[#This Row],[HASIL MIN]]</f>
        <v>1.1111111111111112E-2</v>
      </c>
      <c r="H155" s="4">
        <f>Table1[[#This Row],[stock]]/Table1[[#This Row],[HASIL MAX]]</f>
        <v>6.6666666666666671E-3</v>
      </c>
      <c r="I155" s="4"/>
      <c r="J155" s="4"/>
    </row>
    <row r="156" spans="1:10" x14ac:dyDescent="0.25">
      <c r="A156" s="48" t="s">
        <v>577</v>
      </c>
      <c r="B156" t="s">
        <v>578</v>
      </c>
      <c r="C156" t="s">
        <v>23207</v>
      </c>
      <c r="D156" s="3">
        <f>VLOOKUP(Table1[[#This Row],[CODE BARANG]],stock!$A:$C,3,)</f>
        <v>9</v>
      </c>
      <c r="E156" s="1">
        <v>300</v>
      </c>
      <c r="F156" s="1">
        <v>900</v>
      </c>
      <c r="G156" s="4">
        <f>Table1[[#This Row],[stock]]/Table1[[#This Row],[HASIL MIN]]</f>
        <v>0.03</v>
      </c>
      <c r="H156" s="4">
        <f>Table1[[#This Row],[stock]]/Table1[[#This Row],[HASIL MAX]]</f>
        <v>0.01</v>
      </c>
      <c r="I156" s="4"/>
      <c r="J156" s="4"/>
    </row>
    <row r="157" spans="1:10" x14ac:dyDescent="0.25">
      <c r="A157" s="48" t="s">
        <v>151</v>
      </c>
      <c r="B157" t="s">
        <v>152</v>
      </c>
      <c r="C157" t="s">
        <v>23214</v>
      </c>
      <c r="D157" s="3">
        <f>VLOOKUP(Table1[[#This Row],[CODE BARANG]],stock!$A:$C,3,)</f>
        <v>3</v>
      </c>
      <c r="E157" s="1">
        <v>120</v>
      </c>
      <c r="F157" s="1">
        <v>200</v>
      </c>
      <c r="G157" s="4">
        <f>Table1[[#This Row],[stock]]/Table1[[#This Row],[HASIL MIN]]</f>
        <v>2.5000000000000001E-2</v>
      </c>
      <c r="H157" s="4">
        <f>Table1[[#This Row],[stock]]/Table1[[#This Row],[HASIL MAX]]</f>
        <v>1.4999999999999999E-2</v>
      </c>
      <c r="I157" s="4"/>
      <c r="J157" s="4"/>
    </row>
    <row r="158" spans="1:10" x14ac:dyDescent="0.25">
      <c r="A158" s="48" t="s">
        <v>579</v>
      </c>
      <c r="B158" t="s">
        <v>580</v>
      </c>
      <c r="C158" t="s">
        <v>23211</v>
      </c>
      <c r="D158" s="3">
        <f>VLOOKUP(Table1[[#This Row],[CODE BARANG]],stock!$A:$C,3,)</f>
        <v>1</v>
      </c>
      <c r="E158" s="1">
        <v>30</v>
      </c>
      <c r="F158" s="1">
        <v>60</v>
      </c>
      <c r="G158" s="4">
        <f>Table1[[#This Row],[stock]]/Table1[[#This Row],[HASIL MIN]]</f>
        <v>3.3333333333333333E-2</v>
      </c>
      <c r="H158" s="4">
        <f>Table1[[#This Row],[stock]]/Table1[[#This Row],[HASIL MAX]]</f>
        <v>1.6666666666666666E-2</v>
      </c>
      <c r="I158" s="4"/>
      <c r="J158" s="4"/>
    </row>
    <row r="159" spans="1:10" x14ac:dyDescent="0.25">
      <c r="A159" s="48" t="s">
        <v>755</v>
      </c>
      <c r="B159" t="s">
        <v>756</v>
      </c>
      <c r="C159" t="s">
        <v>23217</v>
      </c>
      <c r="D159" s="3">
        <f>VLOOKUP(Table1[[#This Row],[CODE BARANG]],stock!$A:$C,3,)</f>
        <v>2</v>
      </c>
      <c r="E159" s="1">
        <v>60</v>
      </c>
      <c r="F159" s="1">
        <v>120</v>
      </c>
      <c r="G159" s="4">
        <f>Table1[[#This Row],[stock]]/Table1[[#This Row],[HASIL MIN]]</f>
        <v>3.3333333333333333E-2</v>
      </c>
      <c r="H159" s="4">
        <f>Table1[[#This Row],[stock]]/Table1[[#This Row],[HASIL MAX]]</f>
        <v>1.6666666666666666E-2</v>
      </c>
      <c r="I159" s="4"/>
      <c r="J159" s="4"/>
    </row>
    <row r="160" spans="1:10" x14ac:dyDescent="0.25">
      <c r="A160" s="48" t="s">
        <v>51</v>
      </c>
      <c r="B160" t="s">
        <v>52</v>
      </c>
      <c r="C160" t="s">
        <v>442</v>
      </c>
      <c r="D160" s="3">
        <f>VLOOKUP(Table1[[#This Row],[CODE BARANG]],stock!$A:$C,3,)</f>
        <v>1</v>
      </c>
      <c r="E160" s="1">
        <v>24</v>
      </c>
      <c r="F160" s="1">
        <v>48</v>
      </c>
      <c r="G160" s="4">
        <f>Table1[[#This Row],[stock]]/Table1[[#This Row],[HASIL MIN]]</f>
        <v>4.1666666666666664E-2</v>
      </c>
      <c r="H160" s="4">
        <f>Table1[[#This Row],[stock]]/Table1[[#This Row],[HASIL MAX]]</f>
        <v>2.0833333333333332E-2</v>
      </c>
      <c r="I160" s="4"/>
      <c r="J160" s="4"/>
    </row>
    <row r="161" spans="1:10" x14ac:dyDescent="0.25">
      <c r="A161" s="48" t="s">
        <v>705</v>
      </c>
      <c r="B161" t="s">
        <v>706</v>
      </c>
      <c r="C161" t="s">
        <v>23210</v>
      </c>
      <c r="D161" s="3">
        <f>VLOOKUP(Table1[[#This Row],[CODE BARANG]],stock!$A:$C,3,)</f>
        <v>1</v>
      </c>
      <c r="E161" s="1">
        <v>18</v>
      </c>
      <c r="F161" s="1">
        <v>48</v>
      </c>
      <c r="G161" s="4">
        <f>Table1[[#This Row],[stock]]/Table1[[#This Row],[HASIL MIN]]</f>
        <v>5.5555555555555552E-2</v>
      </c>
      <c r="H161" s="4">
        <f>Table1[[#This Row],[stock]]/Table1[[#This Row],[HASIL MAX]]</f>
        <v>2.0833333333333332E-2</v>
      </c>
      <c r="I161" s="4"/>
      <c r="J161" s="4"/>
    </row>
    <row r="162" spans="1:10" x14ac:dyDescent="0.25">
      <c r="A162" s="48" t="s">
        <v>1141</v>
      </c>
      <c r="B162" t="s">
        <v>1142</v>
      </c>
      <c r="C162" t="s">
        <v>23208</v>
      </c>
      <c r="D162" s="3">
        <f>VLOOKUP(Table1[[#This Row],[CODE BARANG]],stock!$A:$C,3,)</f>
        <v>3</v>
      </c>
      <c r="E162" s="1">
        <v>60</v>
      </c>
      <c r="F162" s="1">
        <v>120</v>
      </c>
      <c r="G162" s="4">
        <f>Table1[[#This Row],[stock]]/Table1[[#This Row],[HASIL MIN]]</f>
        <v>0.05</v>
      </c>
      <c r="H162" s="4">
        <f>Table1[[#This Row],[stock]]/Table1[[#This Row],[HASIL MAX]]</f>
        <v>2.5000000000000001E-2</v>
      </c>
      <c r="I162" s="4"/>
      <c r="J162" s="4"/>
    </row>
    <row r="163" spans="1:10" x14ac:dyDescent="0.25">
      <c r="A163" s="48" t="s">
        <v>1193</v>
      </c>
      <c r="B163" t="s">
        <v>1194</v>
      </c>
      <c r="C163" t="s">
        <v>23207</v>
      </c>
      <c r="D163" s="3">
        <f>VLOOKUP(Table1[[#This Row],[CODE BARANG]],stock!$A:$C,3,)</f>
        <v>1</v>
      </c>
      <c r="E163" s="1">
        <v>24</v>
      </c>
      <c r="F163" s="1">
        <v>36</v>
      </c>
      <c r="G163" s="4">
        <f>Table1[[#This Row],[stock]]/Table1[[#This Row],[HASIL MIN]]</f>
        <v>4.1666666666666664E-2</v>
      </c>
      <c r="H163" s="4">
        <f>Table1[[#This Row],[stock]]/Table1[[#This Row],[HASIL MAX]]</f>
        <v>2.7777777777777776E-2</v>
      </c>
      <c r="I163" s="4"/>
      <c r="J163" s="4"/>
    </row>
    <row r="164" spans="1:10" x14ac:dyDescent="0.25">
      <c r="A164" s="48" t="s">
        <v>1077</v>
      </c>
      <c r="B164" t="s">
        <v>1078</v>
      </c>
      <c r="C164" t="s">
        <v>23208</v>
      </c>
      <c r="D164" s="3">
        <f>VLOOKUP(Table1[[#This Row],[CODE BARANG]],stock!$A:$C,3,)</f>
        <v>2</v>
      </c>
      <c r="E164" s="1">
        <v>48</v>
      </c>
      <c r="F164" s="1">
        <v>72</v>
      </c>
      <c r="G164" s="4">
        <f>Table1[[#This Row],[stock]]/Table1[[#This Row],[HASIL MIN]]</f>
        <v>4.1666666666666664E-2</v>
      </c>
      <c r="H164" s="4">
        <f>Table1[[#This Row],[stock]]/Table1[[#This Row],[HASIL MAX]]</f>
        <v>2.7777777777777776E-2</v>
      </c>
      <c r="I164" s="4"/>
      <c r="J164" s="4"/>
    </row>
    <row r="165" spans="1:10" x14ac:dyDescent="0.25">
      <c r="A165" s="48" t="s">
        <v>3102</v>
      </c>
      <c r="B165" t="s">
        <v>3103</v>
      </c>
      <c r="C165" t="s">
        <v>23211</v>
      </c>
      <c r="D165" s="3">
        <f>VLOOKUP(Table1[[#This Row],[CODE BARANG]],stock!$A:$C,3,)</f>
        <v>1</v>
      </c>
      <c r="E165" s="1">
        <v>15</v>
      </c>
      <c r="F165" s="1">
        <v>30</v>
      </c>
      <c r="G165" s="4">
        <f>Table1[[#This Row],[stock]]/Table1[[#This Row],[HASIL MIN]]</f>
        <v>6.6666666666666666E-2</v>
      </c>
      <c r="H165" s="4">
        <f>Table1[[#This Row],[stock]]/Table1[[#This Row],[HASIL MAX]]</f>
        <v>3.3333333333333333E-2</v>
      </c>
      <c r="I165" s="4"/>
      <c r="J165" s="4"/>
    </row>
    <row r="166" spans="1:10" x14ac:dyDescent="0.25">
      <c r="A166" s="48" t="s">
        <v>1585</v>
      </c>
      <c r="B166" t="s">
        <v>1586</v>
      </c>
      <c r="C166" t="s">
        <v>23209</v>
      </c>
      <c r="D166" s="3">
        <f>VLOOKUP(Table1[[#This Row],[CODE BARANG]],stock!$A:$C,3,)</f>
        <v>2</v>
      </c>
      <c r="E166" s="1">
        <v>32</v>
      </c>
      <c r="F166" s="1">
        <v>60</v>
      </c>
      <c r="G166" s="4">
        <f>Table1[[#This Row],[stock]]/Table1[[#This Row],[HASIL MIN]]</f>
        <v>6.25E-2</v>
      </c>
      <c r="H166" s="4">
        <f>Table1[[#This Row],[stock]]/Table1[[#This Row],[HASIL MAX]]</f>
        <v>3.3333333333333333E-2</v>
      </c>
      <c r="I166" s="4"/>
      <c r="J166" s="4"/>
    </row>
    <row r="167" spans="1:10" x14ac:dyDescent="0.25">
      <c r="A167" s="48" t="s">
        <v>595</v>
      </c>
      <c r="B167" t="s">
        <v>596</v>
      </c>
      <c r="C167" t="s">
        <v>439</v>
      </c>
      <c r="D167" s="3">
        <f>VLOOKUP(Table1[[#This Row],[CODE BARANG]],stock!$A:$C,3,)</f>
        <v>3</v>
      </c>
      <c r="E167" s="1">
        <v>40</v>
      </c>
      <c r="F167" s="1">
        <v>80</v>
      </c>
      <c r="G167" s="4">
        <f>Table1[[#This Row],[stock]]/Table1[[#This Row],[HASIL MIN]]</f>
        <v>7.4999999999999997E-2</v>
      </c>
      <c r="H167" s="4">
        <f>Table1[[#This Row],[stock]]/Table1[[#This Row],[HASIL MAX]]</f>
        <v>3.7499999999999999E-2</v>
      </c>
      <c r="I167" s="4"/>
      <c r="J167" s="4"/>
    </row>
    <row r="168" spans="1:10" x14ac:dyDescent="0.25">
      <c r="A168" s="48" t="s">
        <v>1337</v>
      </c>
      <c r="B168" t="s">
        <v>1338</v>
      </c>
      <c r="C168" t="s">
        <v>23208</v>
      </c>
      <c r="D168" s="3">
        <f>VLOOKUP(Table1[[#This Row],[CODE BARANG]],stock!$A:$C,3,)</f>
        <v>9</v>
      </c>
      <c r="E168" s="1">
        <v>120</v>
      </c>
      <c r="F168" s="1">
        <v>240</v>
      </c>
      <c r="G168" s="4">
        <f>Table1[[#This Row],[stock]]/Table1[[#This Row],[HASIL MIN]]</f>
        <v>7.4999999999999997E-2</v>
      </c>
      <c r="H168" s="4">
        <f>Table1[[#This Row],[stock]]/Table1[[#This Row],[HASIL MAX]]</f>
        <v>3.7499999999999999E-2</v>
      </c>
      <c r="I168" s="4"/>
      <c r="J168" s="4"/>
    </row>
    <row r="169" spans="1:10" x14ac:dyDescent="0.25">
      <c r="A169" s="48" t="s">
        <v>9914</v>
      </c>
      <c r="B169" t="s">
        <v>9915</v>
      </c>
      <c r="C169" t="s">
        <v>23215</v>
      </c>
      <c r="D169" s="3">
        <f>VLOOKUP(Table1[[#This Row],[CODE BARANG]],stock!$A:$C,3,)</f>
        <v>1</v>
      </c>
      <c r="E169" s="1">
        <v>7</v>
      </c>
      <c r="F169" s="1">
        <v>24</v>
      </c>
      <c r="G169" s="4">
        <f>Table1[[#This Row],[stock]]/Table1[[#This Row],[HASIL MIN]]</f>
        <v>0.14285714285714285</v>
      </c>
      <c r="H169" s="4">
        <f>Table1[[#This Row],[stock]]/Table1[[#This Row],[HASIL MAX]]</f>
        <v>4.1666666666666664E-2</v>
      </c>
      <c r="I169" s="4"/>
      <c r="J169" s="4"/>
    </row>
    <row r="170" spans="1:10" x14ac:dyDescent="0.25">
      <c r="A170" s="48" t="s">
        <v>245</v>
      </c>
      <c r="B170" t="s">
        <v>246</v>
      </c>
      <c r="C170" t="s">
        <v>442</v>
      </c>
      <c r="D170" s="3">
        <f>VLOOKUP(Table1[[#This Row],[CODE BARANG]],stock!$A:$C,3,)</f>
        <v>2</v>
      </c>
      <c r="E170" s="1">
        <v>24</v>
      </c>
      <c r="F170" s="1">
        <v>48</v>
      </c>
      <c r="G170" s="4">
        <f>Table1[[#This Row],[stock]]/Table1[[#This Row],[HASIL MIN]]</f>
        <v>8.3333333333333329E-2</v>
      </c>
      <c r="H170" s="4">
        <f>Table1[[#This Row],[stock]]/Table1[[#This Row],[HASIL MAX]]</f>
        <v>4.1666666666666664E-2</v>
      </c>
      <c r="I170" s="4"/>
      <c r="J170" s="4"/>
    </row>
    <row r="171" spans="1:10" x14ac:dyDescent="0.25">
      <c r="A171" s="48" t="s">
        <v>1025</v>
      </c>
      <c r="B171" t="s">
        <v>1026</v>
      </c>
      <c r="C171" t="s">
        <v>442</v>
      </c>
      <c r="D171" s="3">
        <f>VLOOKUP(Table1[[#This Row],[CODE BARANG]],stock!$A:$C,3,)</f>
        <v>1</v>
      </c>
      <c r="E171" s="1">
        <v>12</v>
      </c>
      <c r="F171" s="1">
        <v>24</v>
      </c>
      <c r="G171" s="4">
        <f>Table1[[#This Row],[stock]]/Table1[[#This Row],[HASIL MIN]]</f>
        <v>8.3333333333333329E-2</v>
      </c>
      <c r="H171" s="4">
        <f>Table1[[#This Row],[stock]]/Table1[[#This Row],[HASIL MAX]]</f>
        <v>4.1666666666666664E-2</v>
      </c>
      <c r="I171" s="4"/>
      <c r="J171" s="4"/>
    </row>
    <row r="172" spans="1:10" x14ac:dyDescent="0.25">
      <c r="A172" s="48" t="s">
        <v>1821</v>
      </c>
      <c r="B172" t="s">
        <v>1822</v>
      </c>
      <c r="C172" t="s">
        <v>23211</v>
      </c>
      <c r="D172" s="3">
        <f>VLOOKUP(Table1[[#This Row],[CODE BARANG]],stock!$A:$C,3,)</f>
        <v>2</v>
      </c>
      <c r="E172" s="1">
        <v>30</v>
      </c>
      <c r="F172" s="1">
        <v>45</v>
      </c>
      <c r="G172" s="4">
        <f>Table1[[#This Row],[stock]]/Table1[[#This Row],[HASIL MIN]]</f>
        <v>6.6666666666666666E-2</v>
      </c>
      <c r="H172" s="4">
        <f>Table1[[#This Row],[stock]]/Table1[[#This Row],[HASIL MAX]]</f>
        <v>4.4444444444444446E-2</v>
      </c>
      <c r="I172" s="4"/>
      <c r="J172" s="4"/>
    </row>
    <row r="173" spans="1:10" x14ac:dyDescent="0.25">
      <c r="A173" s="48" t="s">
        <v>715</v>
      </c>
      <c r="B173" t="s">
        <v>716</v>
      </c>
      <c r="C173" t="s">
        <v>23209</v>
      </c>
      <c r="D173" s="3">
        <f>VLOOKUP(Table1[[#This Row],[CODE BARANG]],stock!$A:$C,3,)</f>
        <v>3</v>
      </c>
      <c r="E173" s="1">
        <v>24</v>
      </c>
      <c r="F173" s="1">
        <v>60</v>
      </c>
      <c r="G173" s="4">
        <f>Table1[[#This Row],[stock]]/Table1[[#This Row],[HASIL MIN]]</f>
        <v>0.125</v>
      </c>
      <c r="H173" s="4">
        <f>Table1[[#This Row],[stock]]/Table1[[#This Row],[HASIL MAX]]</f>
        <v>0.05</v>
      </c>
      <c r="I173" s="4"/>
      <c r="J173" s="4"/>
    </row>
    <row r="174" spans="1:10" x14ac:dyDescent="0.25">
      <c r="A174" s="48" t="s">
        <v>457</v>
      </c>
      <c r="B174" t="s">
        <v>458</v>
      </c>
      <c r="C174" t="s">
        <v>23214</v>
      </c>
      <c r="D174" s="3">
        <f>VLOOKUP(Table1[[#This Row],[CODE BARANG]],stock!$A:$C,3,)</f>
        <v>2</v>
      </c>
      <c r="E174" s="1">
        <v>20</v>
      </c>
      <c r="F174" s="1">
        <v>40</v>
      </c>
      <c r="G174" s="4">
        <f>Table1[[#This Row],[stock]]/Table1[[#This Row],[HASIL MIN]]</f>
        <v>0.1</v>
      </c>
      <c r="H174" s="4">
        <f>Table1[[#This Row],[stock]]/Table1[[#This Row],[HASIL MAX]]</f>
        <v>0.05</v>
      </c>
      <c r="I174" s="4"/>
      <c r="J174" s="4"/>
    </row>
    <row r="175" spans="1:10" x14ac:dyDescent="0.25">
      <c r="A175" s="48" t="s">
        <v>223</v>
      </c>
      <c r="B175" t="s">
        <v>224</v>
      </c>
      <c r="C175" t="s">
        <v>23214</v>
      </c>
      <c r="D175" s="3">
        <f>VLOOKUP(Table1[[#This Row],[CODE BARANG]],stock!$A:$C,3,)</f>
        <v>2</v>
      </c>
      <c r="E175" s="1">
        <v>20</v>
      </c>
      <c r="F175" s="1">
        <v>40</v>
      </c>
      <c r="G175" s="4">
        <f>Table1[[#This Row],[stock]]/Table1[[#This Row],[HASIL MIN]]</f>
        <v>0.1</v>
      </c>
      <c r="H175" s="4">
        <f>Table1[[#This Row],[stock]]/Table1[[#This Row],[HASIL MAX]]</f>
        <v>0.05</v>
      </c>
      <c r="I175" s="4"/>
      <c r="J175" s="4"/>
    </row>
    <row r="176" spans="1:10" x14ac:dyDescent="0.25">
      <c r="A176" s="48" t="s">
        <v>111</v>
      </c>
      <c r="B176" t="s">
        <v>112</v>
      </c>
      <c r="C176" t="s">
        <v>439</v>
      </c>
      <c r="D176" s="3">
        <f>VLOOKUP(Table1[[#This Row],[CODE BARANG]],stock!$A:$C,3,)</f>
        <v>1</v>
      </c>
      <c r="E176" s="1">
        <v>12</v>
      </c>
      <c r="F176" s="1">
        <v>16</v>
      </c>
      <c r="G176" s="4">
        <f>Table1[[#This Row],[stock]]/Table1[[#This Row],[HASIL MIN]]</f>
        <v>8.3333333333333329E-2</v>
      </c>
      <c r="H176" s="4">
        <f>Table1[[#This Row],[stock]]/Table1[[#This Row],[HASIL MAX]]</f>
        <v>6.25E-2</v>
      </c>
      <c r="I176" s="4"/>
      <c r="J176" s="4"/>
    </row>
    <row r="177" spans="1:10" x14ac:dyDescent="0.25">
      <c r="A177" s="48" t="s">
        <v>9460</v>
      </c>
      <c r="B177" t="s">
        <v>9461</v>
      </c>
      <c r="C177" t="s">
        <v>23209</v>
      </c>
      <c r="D177" s="3">
        <f>VLOOKUP(Table1[[#This Row],[CODE BARANG]],stock!$A:$C,3,)</f>
        <v>6</v>
      </c>
      <c r="E177" s="1">
        <v>48</v>
      </c>
      <c r="F177" s="1">
        <v>96</v>
      </c>
      <c r="G177" s="4">
        <f>Table1[[#This Row],[stock]]/Table1[[#This Row],[HASIL MIN]]</f>
        <v>0.125</v>
      </c>
      <c r="H177" s="4">
        <f>Table1[[#This Row],[stock]]/Table1[[#This Row],[HASIL MAX]]</f>
        <v>6.25E-2</v>
      </c>
      <c r="I177" s="4"/>
      <c r="J177" s="4"/>
    </row>
    <row r="178" spans="1:10" x14ac:dyDescent="0.25">
      <c r="A178" s="48" t="s">
        <v>1841</v>
      </c>
      <c r="B178" t="s">
        <v>1842</v>
      </c>
      <c r="C178" t="s">
        <v>23209</v>
      </c>
      <c r="D178" s="3">
        <f>VLOOKUP(Table1[[#This Row],[CODE BARANG]],stock!$A:$C,3,)</f>
        <v>1</v>
      </c>
      <c r="E178" s="1">
        <v>8</v>
      </c>
      <c r="F178" s="1">
        <v>16</v>
      </c>
      <c r="G178" s="4">
        <f>Table1[[#This Row],[stock]]/Table1[[#This Row],[HASIL MIN]]</f>
        <v>0.125</v>
      </c>
      <c r="H178" s="4">
        <f>Table1[[#This Row],[stock]]/Table1[[#This Row],[HASIL MAX]]</f>
        <v>6.25E-2</v>
      </c>
      <c r="I178" s="4"/>
      <c r="J178" s="4"/>
    </row>
    <row r="179" spans="1:10" x14ac:dyDescent="0.25">
      <c r="A179" s="48" t="s">
        <v>1289</v>
      </c>
      <c r="B179" t="s">
        <v>1290</v>
      </c>
      <c r="C179" t="s">
        <v>23214</v>
      </c>
      <c r="D179" s="3">
        <f>VLOOKUP(Table1[[#This Row],[CODE BARANG]],stock!$A:$C,3,)</f>
        <v>21</v>
      </c>
      <c r="E179" s="1">
        <v>200</v>
      </c>
      <c r="F179" s="1">
        <v>300</v>
      </c>
      <c r="G179" s="4">
        <f>Table1[[#This Row],[stock]]/Table1[[#This Row],[HASIL MIN]]</f>
        <v>0.105</v>
      </c>
      <c r="H179" s="4">
        <f>Table1[[#This Row],[stock]]/Table1[[#This Row],[HASIL MAX]]</f>
        <v>7.0000000000000007E-2</v>
      </c>
      <c r="I179" s="4"/>
      <c r="J179" s="4"/>
    </row>
    <row r="180" spans="1:10" x14ac:dyDescent="0.25">
      <c r="A180" s="48" t="s">
        <v>487</v>
      </c>
      <c r="B180" t="s">
        <v>488</v>
      </c>
      <c r="C180" t="s">
        <v>23214</v>
      </c>
      <c r="D180" s="3">
        <f>VLOOKUP(Table1[[#This Row],[CODE BARANG]],stock!$A:$C,3,)</f>
        <v>4</v>
      </c>
      <c r="E180" s="1">
        <v>24</v>
      </c>
      <c r="F180" s="1">
        <v>48</v>
      </c>
      <c r="G180" s="4">
        <f>Table1[[#This Row],[stock]]/Table1[[#This Row],[HASIL MIN]]</f>
        <v>0.16666666666666666</v>
      </c>
      <c r="H180" s="4">
        <f>Table1[[#This Row],[stock]]/Table1[[#This Row],[HASIL MAX]]</f>
        <v>8.3333333333333329E-2</v>
      </c>
      <c r="I180" s="4"/>
      <c r="J180" s="4"/>
    </row>
    <row r="181" spans="1:10" x14ac:dyDescent="0.25">
      <c r="A181" s="48" t="s">
        <v>1908</v>
      </c>
      <c r="B181" t="s">
        <v>1909</v>
      </c>
      <c r="C181" t="s">
        <v>23214</v>
      </c>
      <c r="D181" s="3">
        <f>VLOOKUP(Table1[[#This Row],[CODE BARANG]],stock!$A:$C,3,)</f>
        <v>4</v>
      </c>
      <c r="E181" s="1">
        <v>24</v>
      </c>
      <c r="F181" s="1">
        <v>48</v>
      </c>
      <c r="G181" s="4">
        <f>Table1[[#This Row],[stock]]/Table1[[#This Row],[HASIL MIN]]</f>
        <v>0.16666666666666666</v>
      </c>
      <c r="H181" s="4">
        <f>Table1[[#This Row],[stock]]/Table1[[#This Row],[HASIL MAX]]</f>
        <v>8.3333333333333329E-2</v>
      </c>
      <c r="I181" s="4"/>
      <c r="J181" s="4"/>
    </row>
    <row r="182" spans="1:10" x14ac:dyDescent="0.25">
      <c r="A182" s="48" t="s">
        <v>23050</v>
      </c>
      <c r="B182" t="s">
        <v>16078</v>
      </c>
      <c r="C182" t="s">
        <v>439</v>
      </c>
      <c r="D182" s="3">
        <f>VLOOKUP(Table1[[#This Row],[CODE BARANG]],stock!$A:$C,3,)</f>
        <v>2</v>
      </c>
      <c r="E182" s="1">
        <v>12</v>
      </c>
      <c r="F182" s="1">
        <v>24</v>
      </c>
      <c r="G182" s="4">
        <f>Table1[[#This Row],[stock]]/Table1[[#This Row],[HASIL MIN]]</f>
        <v>0.16666666666666666</v>
      </c>
      <c r="H182" s="4">
        <f>Table1[[#This Row],[stock]]/Table1[[#This Row],[HASIL MAX]]</f>
        <v>8.3333333333333329E-2</v>
      </c>
      <c r="I182" s="4"/>
      <c r="J182" s="4"/>
    </row>
    <row r="183" spans="1:10" x14ac:dyDescent="0.25">
      <c r="A183" s="48" t="s">
        <v>1323</v>
      </c>
      <c r="B183" t="s">
        <v>1324</v>
      </c>
      <c r="C183" t="s">
        <v>23216</v>
      </c>
      <c r="D183" s="3">
        <f>VLOOKUP(Table1[[#This Row],[CODE BARANG]],stock!$A:$C,3,)</f>
        <v>4</v>
      </c>
      <c r="E183" s="1">
        <v>28</v>
      </c>
      <c r="F183" s="1">
        <v>48</v>
      </c>
      <c r="G183" s="4">
        <f>Table1[[#This Row],[stock]]/Table1[[#This Row],[HASIL MIN]]</f>
        <v>0.14285714285714285</v>
      </c>
      <c r="H183" s="4">
        <f>Table1[[#This Row],[stock]]/Table1[[#This Row],[HASIL MAX]]</f>
        <v>8.3333333333333329E-2</v>
      </c>
      <c r="I183" s="4"/>
      <c r="J183" s="4"/>
    </row>
    <row r="184" spans="1:10" x14ac:dyDescent="0.25">
      <c r="A184" s="48" t="s">
        <v>495</v>
      </c>
      <c r="B184" t="s">
        <v>496</v>
      </c>
      <c r="C184" t="s">
        <v>442</v>
      </c>
      <c r="D184" s="3">
        <f>VLOOKUP(Table1[[#This Row],[CODE BARANG]],stock!$A:$C,3,)</f>
        <v>5</v>
      </c>
      <c r="E184" s="1">
        <v>30</v>
      </c>
      <c r="F184" s="1">
        <v>60</v>
      </c>
      <c r="G184" s="4">
        <f>Table1[[#This Row],[stock]]/Table1[[#This Row],[HASIL MIN]]</f>
        <v>0.16666666666666666</v>
      </c>
      <c r="H184" s="4">
        <f>Table1[[#This Row],[stock]]/Table1[[#This Row],[HASIL MAX]]</f>
        <v>8.3333333333333329E-2</v>
      </c>
      <c r="I184" s="4"/>
      <c r="J184" s="4"/>
    </row>
    <row r="185" spans="1:10" x14ac:dyDescent="0.25">
      <c r="A185" s="48" t="s">
        <v>1669</v>
      </c>
      <c r="B185" t="s">
        <v>1670</v>
      </c>
      <c r="C185" t="s">
        <v>23209</v>
      </c>
      <c r="D185" s="3">
        <f>VLOOKUP(Table1[[#This Row],[CODE BARANG]],stock!$A:$C,3,)</f>
        <v>1</v>
      </c>
      <c r="E185" s="1">
        <v>6</v>
      </c>
      <c r="F185" s="1">
        <v>12</v>
      </c>
      <c r="G185" s="4">
        <f>Table1[[#This Row],[stock]]/Table1[[#This Row],[HASIL MIN]]</f>
        <v>0.16666666666666666</v>
      </c>
      <c r="H185" s="4">
        <f>Table1[[#This Row],[stock]]/Table1[[#This Row],[HASIL MAX]]</f>
        <v>8.3333333333333329E-2</v>
      </c>
      <c r="I185" s="4"/>
      <c r="J185" s="4"/>
    </row>
    <row r="186" spans="1:10" x14ac:dyDescent="0.25">
      <c r="A186" s="48" t="s">
        <v>9597</v>
      </c>
      <c r="B186" t="s">
        <v>9598</v>
      </c>
      <c r="C186" t="s">
        <v>442</v>
      </c>
      <c r="D186" s="3">
        <f>VLOOKUP(Table1[[#This Row],[CODE BARANG]],stock!$A:$C,3,)</f>
        <v>2</v>
      </c>
      <c r="E186" s="1">
        <v>6</v>
      </c>
      <c r="F186" s="1">
        <v>20</v>
      </c>
      <c r="G186" s="4">
        <f>Table1[[#This Row],[stock]]/Table1[[#This Row],[HASIL MIN]]</f>
        <v>0.33333333333333331</v>
      </c>
      <c r="H186" s="4">
        <f>Table1[[#This Row],[stock]]/Table1[[#This Row],[HASIL MAX]]</f>
        <v>0.1</v>
      </c>
      <c r="I186" s="4"/>
      <c r="J186" s="4"/>
    </row>
    <row r="187" spans="1:10" x14ac:dyDescent="0.25">
      <c r="A187" s="48" t="s">
        <v>14163</v>
      </c>
      <c r="B187" t="s">
        <v>14164</v>
      </c>
      <c r="C187" t="s">
        <v>23211</v>
      </c>
      <c r="D187" s="3">
        <f>VLOOKUP(Table1[[#This Row],[CODE BARANG]],stock!$A:$C,3,)</f>
        <v>3</v>
      </c>
      <c r="E187" s="1">
        <v>6</v>
      </c>
      <c r="F187" s="1">
        <v>30</v>
      </c>
      <c r="G187" s="4">
        <f>Table1[[#This Row],[stock]]/Table1[[#This Row],[HASIL MIN]]</f>
        <v>0.5</v>
      </c>
      <c r="H187" s="4">
        <f>Table1[[#This Row],[stock]]/Table1[[#This Row],[HASIL MAX]]</f>
        <v>0.1</v>
      </c>
      <c r="I187" s="4"/>
      <c r="J187" s="4"/>
    </row>
    <row r="188" spans="1:10" x14ac:dyDescent="0.25">
      <c r="A188" s="48" t="s">
        <v>1567</v>
      </c>
      <c r="B188" t="s">
        <v>1568</v>
      </c>
      <c r="C188" t="s">
        <v>23207</v>
      </c>
      <c r="D188" s="3">
        <f>VLOOKUP(Table1[[#This Row],[CODE BARANG]],stock!$A:$C,3,)</f>
        <v>1</v>
      </c>
      <c r="E188" s="1">
        <v>8</v>
      </c>
      <c r="F188" s="1">
        <v>10</v>
      </c>
      <c r="G188" s="4">
        <f>Table1[[#This Row],[stock]]/Table1[[#This Row],[HASIL MIN]]</f>
        <v>0.125</v>
      </c>
      <c r="H188" s="4">
        <f>Table1[[#This Row],[stock]]/Table1[[#This Row],[HASIL MAX]]</f>
        <v>0.1</v>
      </c>
      <c r="I188" s="4"/>
      <c r="J188" s="4"/>
    </row>
    <row r="189" spans="1:10" x14ac:dyDescent="0.25">
      <c r="A189" s="48" t="s">
        <v>1127</v>
      </c>
      <c r="B189" t="s">
        <v>1128</v>
      </c>
      <c r="C189" t="s">
        <v>23208</v>
      </c>
      <c r="D189" s="3">
        <f>VLOOKUP(Table1[[#This Row],[CODE BARANG]],stock!$A:$C,3,)</f>
        <v>8</v>
      </c>
      <c r="E189" s="1">
        <v>40</v>
      </c>
      <c r="F189" s="1">
        <v>80</v>
      </c>
      <c r="G189" s="4">
        <f>Table1[[#This Row],[stock]]/Table1[[#This Row],[HASIL MIN]]</f>
        <v>0.2</v>
      </c>
      <c r="H189" s="4">
        <f>Table1[[#This Row],[stock]]/Table1[[#This Row],[HASIL MAX]]</f>
        <v>0.1</v>
      </c>
      <c r="I189" s="4"/>
      <c r="J189" s="4"/>
    </row>
    <row r="190" spans="1:10" x14ac:dyDescent="0.25">
      <c r="A190" s="48" t="s">
        <v>18129</v>
      </c>
      <c r="B190" t="s">
        <v>18130</v>
      </c>
      <c r="C190" t="s">
        <v>23214</v>
      </c>
      <c r="D190" s="3">
        <f>VLOOKUP(Table1[[#This Row],[CODE BARANG]],stock!$A:$C,3,)</f>
        <v>4</v>
      </c>
      <c r="E190" s="1">
        <v>26</v>
      </c>
      <c r="F190" s="1">
        <v>40</v>
      </c>
      <c r="G190" s="4">
        <f>Table1[[#This Row],[stock]]/Table1[[#This Row],[HASIL MIN]]</f>
        <v>0.15384615384615385</v>
      </c>
      <c r="H190" s="4">
        <f>Table1[[#This Row],[stock]]/Table1[[#This Row],[HASIL MAX]]</f>
        <v>0.1</v>
      </c>
      <c r="I190" s="4"/>
      <c r="J190" s="4"/>
    </row>
    <row r="191" spans="1:10" x14ac:dyDescent="0.25">
      <c r="A191" s="48" t="s">
        <v>1157</v>
      </c>
      <c r="B191" t="s">
        <v>1158</v>
      </c>
      <c r="C191" t="s">
        <v>23213</v>
      </c>
      <c r="D191" s="3">
        <f>VLOOKUP(Table1[[#This Row],[CODE BARANG]],stock!$A:$C,3,)</f>
        <v>1</v>
      </c>
      <c r="E191" s="1">
        <v>6</v>
      </c>
      <c r="F191" s="1">
        <v>10</v>
      </c>
      <c r="G191" s="4">
        <f>Table1[[#This Row],[stock]]/Table1[[#This Row],[HASIL MIN]]</f>
        <v>0.16666666666666666</v>
      </c>
      <c r="H191" s="4">
        <f>Table1[[#This Row],[stock]]/Table1[[#This Row],[HASIL MAX]]</f>
        <v>0.1</v>
      </c>
      <c r="I191" s="4"/>
      <c r="J191" s="4"/>
    </row>
    <row r="192" spans="1:10" x14ac:dyDescent="0.25">
      <c r="A192" s="48" t="s">
        <v>119</v>
      </c>
      <c r="B192" t="s">
        <v>120</v>
      </c>
      <c r="C192" t="s">
        <v>439</v>
      </c>
      <c r="D192" s="3">
        <f>VLOOKUP(Table1[[#This Row],[CODE BARANG]],stock!$A:$C,3,)</f>
        <v>2</v>
      </c>
      <c r="E192" s="1">
        <v>12</v>
      </c>
      <c r="F192" s="1">
        <v>18</v>
      </c>
      <c r="G192" s="4">
        <f>Table1[[#This Row],[stock]]/Table1[[#This Row],[HASIL MIN]]</f>
        <v>0.16666666666666666</v>
      </c>
      <c r="H192" s="4">
        <f>Table1[[#This Row],[stock]]/Table1[[#This Row],[HASIL MAX]]</f>
        <v>0.1111111111111111</v>
      </c>
      <c r="I192" s="4"/>
      <c r="J192" s="4"/>
    </row>
    <row r="193" spans="1:16" s="2" customFormat="1" x14ac:dyDescent="0.25">
      <c r="A193" s="48" t="s">
        <v>848</v>
      </c>
      <c r="B193" t="s">
        <v>849</v>
      </c>
      <c r="C193" t="s">
        <v>23211</v>
      </c>
      <c r="D193" s="3">
        <f>VLOOKUP(Table1[[#This Row],[CODE BARANG]],stock!$A:$C,3,)</f>
        <v>5</v>
      </c>
      <c r="E193" s="1">
        <v>30</v>
      </c>
      <c r="F193" s="1">
        <v>45</v>
      </c>
      <c r="G193" s="4">
        <f>Table1[[#This Row],[stock]]/Table1[[#This Row],[HASIL MIN]]</f>
        <v>0.16666666666666666</v>
      </c>
      <c r="H193" s="4">
        <f>Table1[[#This Row],[stock]]/Table1[[#This Row],[HASIL MAX]]</f>
        <v>0.1111111111111111</v>
      </c>
      <c r="I193" s="4"/>
      <c r="J193" s="4"/>
      <c r="L193" s="46"/>
      <c r="M193" s="46"/>
      <c r="N193" s="46"/>
      <c r="O193" s="46"/>
      <c r="P193" s="46"/>
    </row>
    <row r="194" spans="1:16" x14ac:dyDescent="0.25">
      <c r="A194" s="48" t="s">
        <v>5034</v>
      </c>
      <c r="B194" t="s">
        <v>5035</v>
      </c>
      <c r="C194" t="s">
        <v>23207</v>
      </c>
      <c r="D194" s="3">
        <f>VLOOKUP(Table1[[#This Row],[CODE BARANG]],stock!$A:$C,3,)</f>
        <v>6</v>
      </c>
      <c r="E194" s="1">
        <v>25</v>
      </c>
      <c r="F194" s="1">
        <v>50</v>
      </c>
      <c r="G194" s="4">
        <f>Table1[[#This Row],[stock]]/Table1[[#This Row],[HASIL MIN]]</f>
        <v>0.24</v>
      </c>
      <c r="H194" s="4">
        <f>Table1[[#This Row],[stock]]/Table1[[#This Row],[HASIL MAX]]</f>
        <v>0.12</v>
      </c>
      <c r="I194" s="4"/>
      <c r="J194" s="4"/>
    </row>
    <row r="195" spans="1:16" x14ac:dyDescent="0.25">
      <c r="A195" s="48" t="s">
        <v>10075</v>
      </c>
      <c r="B195" t="s">
        <v>10076</v>
      </c>
      <c r="C195" t="s">
        <v>23216</v>
      </c>
      <c r="D195" s="3">
        <f>VLOOKUP(Table1[[#This Row],[CODE BARANG]],stock!$A:$C,3,)</f>
        <v>9</v>
      </c>
      <c r="E195" s="1">
        <v>48</v>
      </c>
      <c r="F195" s="1">
        <v>72</v>
      </c>
      <c r="G195" s="4">
        <f>Table1[[#This Row],[stock]]/Table1[[#This Row],[HASIL MIN]]</f>
        <v>0.1875</v>
      </c>
      <c r="H195" s="4">
        <f>Table1[[#This Row],[stock]]/Table1[[#This Row],[HASIL MAX]]</f>
        <v>0.125</v>
      </c>
      <c r="I195" s="4"/>
      <c r="J195" s="4"/>
    </row>
    <row r="196" spans="1:16" x14ac:dyDescent="0.25">
      <c r="A196" s="48" t="s">
        <v>389</v>
      </c>
      <c r="B196" t="s">
        <v>390</v>
      </c>
      <c r="C196" t="s">
        <v>23209</v>
      </c>
      <c r="D196" s="3">
        <f>VLOOKUP(Table1[[#This Row],[CODE BARANG]],stock!$A:$C,3,)</f>
        <v>3</v>
      </c>
      <c r="E196" s="1">
        <v>12</v>
      </c>
      <c r="F196" s="1">
        <v>24</v>
      </c>
      <c r="G196" s="4">
        <f>Table1[[#This Row],[stock]]/Table1[[#This Row],[HASIL MIN]]</f>
        <v>0.25</v>
      </c>
      <c r="H196" s="4">
        <f>Table1[[#This Row],[stock]]/Table1[[#This Row],[HASIL MAX]]</f>
        <v>0.125</v>
      </c>
      <c r="I196" s="4"/>
      <c r="J196" s="4"/>
    </row>
    <row r="197" spans="1:16" x14ac:dyDescent="0.25">
      <c r="A197" s="48" t="s">
        <v>1707</v>
      </c>
      <c r="B197" t="s">
        <v>1708</v>
      </c>
      <c r="C197" t="s">
        <v>442</v>
      </c>
      <c r="D197" s="3">
        <f>VLOOKUP(Table1[[#This Row],[CODE BARANG]],stock!$A:$C,3,)</f>
        <v>3</v>
      </c>
      <c r="E197" s="1">
        <v>12</v>
      </c>
      <c r="F197" s="1">
        <v>24</v>
      </c>
      <c r="G197" s="4">
        <f>Table1[[#This Row],[stock]]/Table1[[#This Row],[HASIL MIN]]</f>
        <v>0.25</v>
      </c>
      <c r="H197" s="4">
        <f>Table1[[#This Row],[stock]]/Table1[[#This Row],[HASIL MAX]]</f>
        <v>0.125</v>
      </c>
      <c r="I197" s="4"/>
      <c r="J197" s="4"/>
    </row>
    <row r="198" spans="1:16" x14ac:dyDescent="0.25">
      <c r="A198" s="48" t="s">
        <v>983</v>
      </c>
      <c r="B198" t="s">
        <v>984</v>
      </c>
      <c r="C198" t="s">
        <v>442</v>
      </c>
      <c r="D198" s="3">
        <f>VLOOKUP(Table1[[#This Row],[CODE BARANG]],stock!$A:$C,3,)</f>
        <v>3</v>
      </c>
      <c r="E198" s="1">
        <v>12</v>
      </c>
      <c r="F198" s="1">
        <v>24</v>
      </c>
      <c r="G198" s="4">
        <f>Table1[[#This Row],[stock]]/Table1[[#This Row],[HASIL MIN]]</f>
        <v>0.25</v>
      </c>
      <c r="H198" s="4">
        <f>Table1[[#This Row],[stock]]/Table1[[#This Row],[HASIL MAX]]</f>
        <v>0.125</v>
      </c>
      <c r="I198" s="4"/>
      <c r="J198" s="4"/>
    </row>
    <row r="199" spans="1:16" x14ac:dyDescent="0.25">
      <c r="A199" s="48" t="s">
        <v>14232</v>
      </c>
      <c r="B199" t="s">
        <v>14233</v>
      </c>
      <c r="C199" t="s">
        <v>23210</v>
      </c>
      <c r="D199" s="3">
        <f>VLOOKUP(Table1[[#This Row],[CODE BARANG]],stock!$A:$C,3,)</f>
        <v>5</v>
      </c>
      <c r="E199" s="1">
        <v>25</v>
      </c>
      <c r="F199" s="1">
        <v>36</v>
      </c>
      <c r="G199" s="4">
        <f>Table1[[#This Row],[stock]]/Table1[[#This Row],[HASIL MIN]]</f>
        <v>0.2</v>
      </c>
      <c r="H199" s="4">
        <f>Table1[[#This Row],[stock]]/Table1[[#This Row],[HASIL MAX]]</f>
        <v>0.1388888888888889</v>
      </c>
      <c r="I199" s="4"/>
      <c r="J199" s="4"/>
    </row>
    <row r="200" spans="1:16" x14ac:dyDescent="0.25">
      <c r="A200" s="48" t="s">
        <v>115</v>
      </c>
      <c r="B200" t="s">
        <v>116</v>
      </c>
      <c r="C200" t="s">
        <v>23208</v>
      </c>
      <c r="D200" s="3">
        <f>VLOOKUP(Table1[[#This Row],[CODE BARANG]],stock!$A:$C,3,)</f>
        <v>7</v>
      </c>
      <c r="E200" s="1">
        <v>24</v>
      </c>
      <c r="F200" s="1">
        <v>48</v>
      </c>
      <c r="G200" s="4">
        <f>Table1[[#This Row],[stock]]/Table1[[#This Row],[HASIL MIN]]</f>
        <v>0.29166666666666669</v>
      </c>
      <c r="H200" s="4">
        <f>Table1[[#This Row],[stock]]/Table1[[#This Row],[HASIL MAX]]</f>
        <v>0.14583333333333334</v>
      </c>
      <c r="I200" s="4"/>
      <c r="J200" s="4"/>
    </row>
    <row r="201" spans="1:16" x14ac:dyDescent="0.25">
      <c r="A201" s="48" t="s">
        <v>663</v>
      </c>
      <c r="B201" t="s">
        <v>664</v>
      </c>
      <c r="C201" t="s">
        <v>23214</v>
      </c>
      <c r="D201" s="3">
        <f>VLOOKUP(Table1[[#This Row],[CODE BARANG]],stock!$A:$C,3,)</f>
        <v>6</v>
      </c>
      <c r="E201" s="1">
        <v>20</v>
      </c>
      <c r="F201" s="1">
        <v>40</v>
      </c>
      <c r="G201" s="4">
        <f>Table1[[#This Row],[stock]]/Table1[[#This Row],[HASIL MIN]]</f>
        <v>0.3</v>
      </c>
      <c r="H201" s="4">
        <f>Table1[[#This Row],[stock]]/Table1[[#This Row],[HASIL MAX]]</f>
        <v>0.15</v>
      </c>
      <c r="I201" s="4"/>
      <c r="J201" s="4"/>
    </row>
    <row r="202" spans="1:16" x14ac:dyDescent="0.25">
      <c r="A202" s="48" t="s">
        <v>1051</v>
      </c>
      <c r="B202" t="s">
        <v>1052</v>
      </c>
      <c r="C202" t="s">
        <v>23217</v>
      </c>
      <c r="D202" s="3">
        <f>VLOOKUP(Table1[[#This Row],[CODE BARANG]],stock!$A:$C,3,)</f>
        <v>22</v>
      </c>
      <c r="E202" s="1">
        <v>72</v>
      </c>
      <c r="F202" s="1">
        <v>144</v>
      </c>
      <c r="G202" s="4">
        <f>Table1[[#This Row],[stock]]/Table1[[#This Row],[HASIL MIN]]</f>
        <v>0.30555555555555558</v>
      </c>
      <c r="H202" s="4">
        <f>Table1[[#This Row],[stock]]/Table1[[#This Row],[HASIL MAX]]</f>
        <v>0.15277777777777779</v>
      </c>
      <c r="I202" s="4"/>
      <c r="J202" s="4"/>
    </row>
    <row r="203" spans="1:16" x14ac:dyDescent="0.25">
      <c r="A203" s="48" t="s">
        <v>279</v>
      </c>
      <c r="B203" t="s">
        <v>280</v>
      </c>
      <c r="C203" t="s">
        <v>23214</v>
      </c>
      <c r="D203" s="3">
        <f>VLOOKUP(Table1[[#This Row],[CODE BARANG]],stock!$A:$C,3,)</f>
        <v>31</v>
      </c>
      <c r="E203" s="1">
        <v>120</v>
      </c>
      <c r="F203" s="1">
        <v>200</v>
      </c>
      <c r="G203" s="4">
        <f>Table1[[#This Row],[stock]]/Table1[[#This Row],[HASIL MIN]]</f>
        <v>0.25833333333333336</v>
      </c>
      <c r="H203" s="4">
        <f>Table1[[#This Row],[stock]]/Table1[[#This Row],[HASIL MAX]]</f>
        <v>0.155</v>
      </c>
      <c r="I203" s="4"/>
      <c r="J203" s="4"/>
    </row>
    <row r="204" spans="1:16" x14ac:dyDescent="0.25">
      <c r="A204" s="48" t="s">
        <v>167</v>
      </c>
      <c r="B204" t="s">
        <v>168</v>
      </c>
      <c r="C204" t="s">
        <v>23210</v>
      </c>
      <c r="D204" s="3">
        <f>VLOOKUP(Table1[[#This Row],[CODE BARANG]],stock!$A:$C,3,)</f>
        <v>1</v>
      </c>
      <c r="E204" s="1">
        <v>3</v>
      </c>
      <c r="F204" s="1">
        <v>6</v>
      </c>
      <c r="G204" s="4">
        <f>Table1[[#This Row],[stock]]/Table1[[#This Row],[HASIL MIN]]</f>
        <v>0.33333333333333331</v>
      </c>
      <c r="H204" s="4">
        <f>Table1[[#This Row],[stock]]/Table1[[#This Row],[HASIL MAX]]</f>
        <v>0.16666666666666666</v>
      </c>
      <c r="I204" s="4"/>
      <c r="J204" s="4"/>
    </row>
    <row r="205" spans="1:16" x14ac:dyDescent="0.25">
      <c r="A205" s="48" t="s">
        <v>1211</v>
      </c>
      <c r="B205" t="s">
        <v>1212</v>
      </c>
      <c r="C205" t="s">
        <v>23216</v>
      </c>
      <c r="D205" s="3">
        <f>VLOOKUP(Table1[[#This Row],[CODE BARANG]],stock!$A:$C,3,)</f>
        <v>2</v>
      </c>
      <c r="E205" s="1">
        <v>8</v>
      </c>
      <c r="F205" s="1">
        <v>12</v>
      </c>
      <c r="G205" s="4">
        <f>Table1[[#This Row],[stock]]/Table1[[#This Row],[HASIL MIN]]</f>
        <v>0.25</v>
      </c>
      <c r="H205" s="4">
        <f>Table1[[#This Row],[stock]]/Table1[[#This Row],[HASIL MAX]]</f>
        <v>0.16666666666666666</v>
      </c>
      <c r="I205" s="4"/>
      <c r="J205" s="4"/>
    </row>
    <row r="206" spans="1:16" x14ac:dyDescent="0.25">
      <c r="A206" s="48" t="s">
        <v>868</v>
      </c>
      <c r="B206" t="s">
        <v>869</v>
      </c>
      <c r="C206" t="s">
        <v>23209</v>
      </c>
      <c r="D206" s="3">
        <f>VLOOKUP(Table1[[#This Row],[CODE BARANG]],stock!$A:$C,3,)</f>
        <v>2</v>
      </c>
      <c r="E206" s="1">
        <v>6</v>
      </c>
      <c r="F206" s="1">
        <v>12</v>
      </c>
      <c r="G206" s="4">
        <f>Table1[[#This Row],[stock]]/Table1[[#This Row],[HASIL MIN]]</f>
        <v>0.33333333333333331</v>
      </c>
      <c r="H206" s="4">
        <f>Table1[[#This Row],[stock]]/Table1[[#This Row],[HASIL MAX]]</f>
        <v>0.16666666666666666</v>
      </c>
      <c r="I206" s="4"/>
      <c r="J206" s="4"/>
    </row>
    <row r="207" spans="1:16" x14ac:dyDescent="0.25">
      <c r="A207" s="48" t="s">
        <v>1465</v>
      </c>
      <c r="B207" t="s">
        <v>1466</v>
      </c>
      <c r="C207" t="s">
        <v>442</v>
      </c>
      <c r="D207" s="3">
        <f>VLOOKUP(Table1[[#This Row],[CODE BARANG]],stock!$A:$C,3,)</f>
        <v>1</v>
      </c>
      <c r="E207" s="1">
        <v>4</v>
      </c>
      <c r="F207" s="1">
        <v>6</v>
      </c>
      <c r="G207" s="4">
        <f>Table1[[#This Row],[stock]]/Table1[[#This Row],[HASIL MIN]]</f>
        <v>0.25</v>
      </c>
      <c r="H207" s="4">
        <f>Table1[[#This Row],[stock]]/Table1[[#This Row],[HASIL MAX]]</f>
        <v>0.16666666666666666</v>
      </c>
      <c r="I207" s="4"/>
      <c r="J207" s="4"/>
    </row>
    <row r="208" spans="1:16" x14ac:dyDescent="0.25">
      <c r="A208" s="48" t="s">
        <v>729</v>
      </c>
      <c r="B208" t="s">
        <v>730</v>
      </c>
      <c r="C208" t="s">
        <v>439</v>
      </c>
      <c r="D208" s="3">
        <f>VLOOKUP(Table1[[#This Row],[CODE BARANG]],stock!$A:$C,3,)</f>
        <v>2</v>
      </c>
      <c r="E208" s="1">
        <v>6</v>
      </c>
      <c r="F208" s="1">
        <v>12</v>
      </c>
      <c r="G208" s="4">
        <f>Table1[[#This Row],[stock]]/Table1[[#This Row],[HASIL MIN]]</f>
        <v>0.33333333333333331</v>
      </c>
      <c r="H208" s="4">
        <f>Table1[[#This Row],[stock]]/Table1[[#This Row],[HASIL MAX]]</f>
        <v>0.16666666666666666</v>
      </c>
      <c r="I208" s="4"/>
      <c r="J208" s="4"/>
    </row>
    <row r="209" spans="1:10" x14ac:dyDescent="0.25">
      <c r="A209" s="48" t="s">
        <v>19316</v>
      </c>
      <c r="B209" t="s">
        <v>19317</v>
      </c>
      <c r="C209" t="s">
        <v>23209</v>
      </c>
      <c r="D209" s="3">
        <f>VLOOKUP(Table1[[#This Row],[CODE BARANG]],stock!$A:$C,3,)</f>
        <v>2</v>
      </c>
      <c r="E209" s="1">
        <v>2</v>
      </c>
      <c r="F209" s="1">
        <v>12</v>
      </c>
      <c r="G209" s="4">
        <f>Table1[[#This Row],[stock]]/Table1[[#This Row],[HASIL MIN]]</f>
        <v>1</v>
      </c>
      <c r="H209" s="4">
        <f>Table1[[#This Row],[stock]]/Table1[[#This Row],[HASIL MAX]]</f>
        <v>0.16666666666666666</v>
      </c>
      <c r="I209" s="4"/>
      <c r="J209" s="4"/>
    </row>
    <row r="210" spans="1:10" x14ac:dyDescent="0.25">
      <c r="A210" s="48" t="s">
        <v>9926</v>
      </c>
      <c r="B210" t="s">
        <v>22117</v>
      </c>
      <c r="C210" t="s">
        <v>23218</v>
      </c>
      <c r="D210" s="3">
        <f>VLOOKUP(Table1[[#This Row],[CODE BARANG]],stock!$A:$C,3,)</f>
        <v>2</v>
      </c>
      <c r="E210" s="1">
        <v>5</v>
      </c>
      <c r="F210" s="1">
        <v>12</v>
      </c>
      <c r="G210" s="4">
        <f>Table1[[#This Row],[stock]]/Table1[[#This Row],[HASIL MIN]]</f>
        <v>0.4</v>
      </c>
      <c r="H210" s="4">
        <f>Table1[[#This Row],[stock]]/Table1[[#This Row],[HASIL MAX]]</f>
        <v>0.16666666666666666</v>
      </c>
      <c r="I210" s="4"/>
      <c r="J210" s="4"/>
    </row>
    <row r="211" spans="1:10" x14ac:dyDescent="0.25">
      <c r="A211" s="48" t="s">
        <v>645</v>
      </c>
      <c r="B211" t="s">
        <v>646</v>
      </c>
      <c r="C211" t="s">
        <v>1859</v>
      </c>
      <c r="D211" s="3">
        <f>VLOOKUP(Table1[[#This Row],[CODE BARANG]],stock!$A:$C,3,)</f>
        <v>6</v>
      </c>
      <c r="E211" s="1">
        <v>12</v>
      </c>
      <c r="F211" s="1">
        <v>36</v>
      </c>
      <c r="G211" s="4">
        <f>Table1[[#This Row],[stock]]/Table1[[#This Row],[HASIL MIN]]</f>
        <v>0.5</v>
      </c>
      <c r="H211" s="4">
        <f>Table1[[#This Row],[stock]]/Table1[[#This Row],[HASIL MAX]]</f>
        <v>0.16666666666666666</v>
      </c>
      <c r="I211" s="4"/>
      <c r="J211" s="4"/>
    </row>
    <row r="212" spans="1:10" x14ac:dyDescent="0.25">
      <c r="A212" s="48" t="s">
        <v>23115</v>
      </c>
      <c r="B212" t="s">
        <v>22916</v>
      </c>
      <c r="C212" t="s">
        <v>23209</v>
      </c>
      <c r="D212" s="3">
        <f>VLOOKUP(Table1[[#This Row],[CODE BARANG]],stock!$A:$C,3,)</f>
        <v>4</v>
      </c>
      <c r="E212" s="1">
        <v>12</v>
      </c>
      <c r="F212" s="1">
        <v>24</v>
      </c>
      <c r="G212" s="4">
        <f>Table1[[#This Row],[stock]]/Table1[[#This Row],[HASIL MIN]]</f>
        <v>0.33333333333333331</v>
      </c>
      <c r="H212" s="4">
        <f>Table1[[#This Row],[stock]]/Table1[[#This Row],[HASIL MAX]]</f>
        <v>0.16666666666666666</v>
      </c>
      <c r="I212" s="4"/>
      <c r="J212" s="4"/>
    </row>
    <row r="213" spans="1:10" x14ac:dyDescent="0.25">
      <c r="A213" s="48" t="s">
        <v>8407</v>
      </c>
      <c r="B213" t="s">
        <v>8408</v>
      </c>
      <c r="C213" t="s">
        <v>23209</v>
      </c>
      <c r="D213" s="3">
        <f>VLOOKUP(Table1[[#This Row],[CODE BARANG]],stock!$A:$C,3,)</f>
        <v>1</v>
      </c>
      <c r="E213" s="1">
        <v>2</v>
      </c>
      <c r="F213" s="1">
        <v>6</v>
      </c>
      <c r="G213" s="4">
        <f>Table1[[#This Row],[stock]]/Table1[[#This Row],[HASIL MIN]]</f>
        <v>0.5</v>
      </c>
      <c r="H213" s="4">
        <f>Table1[[#This Row],[stock]]/Table1[[#This Row],[HASIL MAX]]</f>
        <v>0.16666666666666666</v>
      </c>
      <c r="I213" s="4"/>
      <c r="J213" s="4"/>
    </row>
    <row r="214" spans="1:10" x14ac:dyDescent="0.25">
      <c r="A214" s="48" t="s">
        <v>13714</v>
      </c>
      <c r="B214" t="s">
        <v>13715</v>
      </c>
      <c r="C214" t="s">
        <v>23207</v>
      </c>
      <c r="D214" s="3">
        <f>VLOOKUP(Table1[[#This Row],[CODE BARANG]],stock!$A:$C,3,)</f>
        <v>1</v>
      </c>
      <c r="E214" s="1">
        <v>2</v>
      </c>
      <c r="F214" s="1">
        <v>6</v>
      </c>
      <c r="G214" s="4">
        <f>Table1[[#This Row],[stock]]/Table1[[#This Row],[HASIL MIN]]</f>
        <v>0.5</v>
      </c>
      <c r="H214" s="4">
        <f>Table1[[#This Row],[stock]]/Table1[[#This Row],[HASIL MAX]]</f>
        <v>0.16666666666666666</v>
      </c>
      <c r="I214" s="4"/>
      <c r="J214" s="4"/>
    </row>
    <row r="215" spans="1:10" x14ac:dyDescent="0.25">
      <c r="A215" s="48" t="s">
        <v>1737</v>
      </c>
      <c r="B215" t="s">
        <v>1738</v>
      </c>
      <c r="C215" t="s">
        <v>23211</v>
      </c>
      <c r="D215" s="3">
        <f>VLOOKUP(Table1[[#This Row],[CODE BARANG]],stock!$A:$C,3,)</f>
        <v>5</v>
      </c>
      <c r="E215" s="1">
        <v>15</v>
      </c>
      <c r="F215" s="1">
        <v>30</v>
      </c>
      <c r="G215" s="4">
        <f>Table1[[#This Row],[stock]]/Table1[[#This Row],[HASIL MIN]]</f>
        <v>0.33333333333333331</v>
      </c>
      <c r="H215" s="4">
        <f>Table1[[#This Row],[stock]]/Table1[[#This Row],[HASIL MAX]]</f>
        <v>0.16666666666666666</v>
      </c>
      <c r="I215" s="4"/>
      <c r="J215" s="4"/>
    </row>
    <row r="216" spans="1:10" x14ac:dyDescent="0.25">
      <c r="A216" s="48" t="s">
        <v>9603</v>
      </c>
      <c r="B216" t="s">
        <v>9604</v>
      </c>
      <c r="C216" t="s">
        <v>442</v>
      </c>
      <c r="D216" s="3">
        <f>VLOOKUP(Table1[[#This Row],[CODE BARANG]],stock!$A:$C,3,)</f>
        <v>1</v>
      </c>
      <c r="E216" s="1">
        <v>3</v>
      </c>
      <c r="F216" s="1">
        <v>6</v>
      </c>
      <c r="G216" s="4">
        <f>Table1[[#This Row],[stock]]/Table1[[#This Row],[HASIL MIN]]</f>
        <v>0.33333333333333331</v>
      </c>
      <c r="H216" s="4">
        <f>Table1[[#This Row],[stock]]/Table1[[#This Row],[HASIL MAX]]</f>
        <v>0.16666666666666666</v>
      </c>
      <c r="I216" s="4"/>
      <c r="J216" s="4"/>
    </row>
    <row r="217" spans="1:10" x14ac:dyDescent="0.25">
      <c r="A217" s="48" t="s">
        <v>939</v>
      </c>
      <c r="B217" t="s">
        <v>940</v>
      </c>
      <c r="C217" t="s">
        <v>23216</v>
      </c>
      <c r="D217" s="3">
        <f>VLOOKUP(Table1[[#This Row],[CODE BARANG]],stock!$A:$C,3,)</f>
        <v>2</v>
      </c>
      <c r="E217" s="1">
        <v>6</v>
      </c>
      <c r="F217" s="1">
        <v>12</v>
      </c>
      <c r="G217" s="4">
        <f>Table1[[#This Row],[stock]]/Table1[[#This Row],[HASIL MIN]]</f>
        <v>0.33333333333333331</v>
      </c>
      <c r="H217" s="4">
        <f>Table1[[#This Row],[stock]]/Table1[[#This Row],[HASIL MAX]]</f>
        <v>0.16666666666666666</v>
      </c>
      <c r="I217" s="4"/>
      <c r="J217" s="4"/>
    </row>
    <row r="218" spans="1:10" x14ac:dyDescent="0.25">
      <c r="A218" s="48" t="s">
        <v>6873</v>
      </c>
      <c r="B218" t="s">
        <v>22330</v>
      </c>
      <c r="C218" t="s">
        <v>439</v>
      </c>
      <c r="D218" s="3">
        <f>VLOOKUP(Table1[[#This Row],[CODE BARANG]],stock!$A:$C,3,)</f>
        <v>2</v>
      </c>
      <c r="E218" s="1">
        <v>4</v>
      </c>
      <c r="F218" s="1">
        <v>12</v>
      </c>
      <c r="G218" s="4">
        <f>Table1[[#This Row],[stock]]/Table1[[#This Row],[HASIL MIN]]</f>
        <v>0.5</v>
      </c>
      <c r="H218" s="4">
        <f>Table1[[#This Row],[stock]]/Table1[[#This Row],[HASIL MAX]]</f>
        <v>0.16666666666666666</v>
      </c>
      <c r="I218" s="4"/>
      <c r="J218" s="4"/>
    </row>
    <row r="219" spans="1:10" x14ac:dyDescent="0.25">
      <c r="A219" s="48" t="s">
        <v>581</v>
      </c>
      <c r="B219" t="s">
        <v>582</v>
      </c>
      <c r="C219" t="s">
        <v>23219</v>
      </c>
      <c r="D219" s="3">
        <f>VLOOKUP(Table1[[#This Row],[CODE BARANG]],stock!$A:$C,3,)</f>
        <v>87</v>
      </c>
      <c r="E219" s="1">
        <v>200</v>
      </c>
      <c r="F219" s="1">
        <v>500</v>
      </c>
      <c r="G219" s="4">
        <f>Table1[[#This Row],[stock]]/Table1[[#This Row],[HASIL MIN]]</f>
        <v>0.435</v>
      </c>
      <c r="H219" s="4">
        <f>Table1[[#This Row],[stock]]/Table1[[#This Row],[HASIL MAX]]</f>
        <v>0.17399999999999999</v>
      </c>
      <c r="I219" s="4"/>
      <c r="J219" s="4"/>
    </row>
    <row r="220" spans="1:10" x14ac:dyDescent="0.25">
      <c r="A220" s="48" t="s">
        <v>9220</v>
      </c>
      <c r="B220" t="s">
        <v>9221</v>
      </c>
      <c r="C220" t="s">
        <v>23209</v>
      </c>
      <c r="D220" s="3">
        <f>VLOOKUP(Table1[[#This Row],[CODE BARANG]],stock!$A:$C,3,)</f>
        <v>7</v>
      </c>
      <c r="E220" s="1">
        <v>20</v>
      </c>
      <c r="F220" s="1">
        <v>40</v>
      </c>
      <c r="G220" s="4">
        <f>Table1[[#This Row],[stock]]/Table1[[#This Row],[HASIL MIN]]</f>
        <v>0.35</v>
      </c>
      <c r="H220" s="4">
        <f>Table1[[#This Row],[stock]]/Table1[[#This Row],[HASIL MAX]]</f>
        <v>0.17499999999999999</v>
      </c>
      <c r="I220" s="4"/>
      <c r="J220" s="4"/>
    </row>
    <row r="221" spans="1:10" x14ac:dyDescent="0.25">
      <c r="A221" s="48" t="s">
        <v>19586</v>
      </c>
      <c r="B221" t="s">
        <v>19587</v>
      </c>
      <c r="C221" t="s">
        <v>23214</v>
      </c>
      <c r="D221" s="3">
        <f>VLOOKUP(Table1[[#This Row],[CODE BARANG]],stock!$A:$C,3,)</f>
        <v>3</v>
      </c>
      <c r="E221" s="1">
        <v>8</v>
      </c>
      <c r="F221" s="1">
        <v>16</v>
      </c>
      <c r="G221" s="4">
        <f>Table1[[#This Row],[stock]]/Table1[[#This Row],[HASIL MIN]]</f>
        <v>0.375</v>
      </c>
      <c r="H221" s="4">
        <f>Table1[[#This Row],[stock]]/Table1[[#This Row],[HASIL MAX]]</f>
        <v>0.1875</v>
      </c>
      <c r="I221" s="4"/>
      <c r="J221" s="4"/>
    </row>
    <row r="222" spans="1:10" x14ac:dyDescent="0.25">
      <c r="A222" s="48" t="s">
        <v>9250</v>
      </c>
      <c r="B222" t="s">
        <v>9251</v>
      </c>
      <c r="C222" t="s">
        <v>23209</v>
      </c>
      <c r="D222" s="3">
        <f>VLOOKUP(Table1[[#This Row],[CODE BARANG]],stock!$A:$C,3,)</f>
        <v>7</v>
      </c>
      <c r="E222" s="1">
        <v>24</v>
      </c>
      <c r="F222" s="1">
        <v>36</v>
      </c>
      <c r="G222" s="4">
        <f>Table1[[#This Row],[stock]]/Table1[[#This Row],[HASIL MIN]]</f>
        <v>0.29166666666666669</v>
      </c>
      <c r="H222" s="4">
        <f>Table1[[#This Row],[stock]]/Table1[[#This Row],[HASIL MAX]]</f>
        <v>0.19444444444444445</v>
      </c>
      <c r="I222" s="4"/>
      <c r="J222" s="4"/>
    </row>
    <row r="223" spans="1:10" x14ac:dyDescent="0.25">
      <c r="A223" s="48" t="s">
        <v>913</v>
      </c>
      <c r="B223" t="s">
        <v>914</v>
      </c>
      <c r="C223" t="s">
        <v>23207</v>
      </c>
      <c r="D223" s="3">
        <f>VLOOKUP(Table1[[#This Row],[CODE BARANG]],stock!$A:$C,3,)</f>
        <v>2</v>
      </c>
      <c r="E223" s="1">
        <v>4</v>
      </c>
      <c r="F223" s="1">
        <v>10</v>
      </c>
      <c r="G223" s="4">
        <f>Table1[[#This Row],[stock]]/Table1[[#This Row],[HASIL MIN]]</f>
        <v>0.5</v>
      </c>
      <c r="H223" s="4">
        <f>Table1[[#This Row],[stock]]/Table1[[#This Row],[HASIL MAX]]</f>
        <v>0.2</v>
      </c>
      <c r="I223" s="4"/>
      <c r="J223" s="4"/>
    </row>
    <row r="224" spans="1:10" x14ac:dyDescent="0.25">
      <c r="A224" s="48" t="s">
        <v>295</v>
      </c>
      <c r="B224" t="s">
        <v>296</v>
      </c>
      <c r="C224" t="s">
        <v>23207</v>
      </c>
      <c r="D224" s="3">
        <f>VLOOKUP(Table1[[#This Row],[CODE BARANG]],stock!$A:$C,3,)</f>
        <v>12</v>
      </c>
      <c r="E224" s="1">
        <v>36</v>
      </c>
      <c r="F224" s="1">
        <v>60</v>
      </c>
      <c r="G224" s="4">
        <f>Table1[[#This Row],[stock]]/Table1[[#This Row],[HASIL MIN]]</f>
        <v>0.33333333333333331</v>
      </c>
      <c r="H224" s="4">
        <f>Table1[[#This Row],[stock]]/Table1[[#This Row],[HASIL MAX]]</f>
        <v>0.2</v>
      </c>
      <c r="I224" s="4"/>
      <c r="J224" s="4"/>
    </row>
    <row r="225" spans="1:10" x14ac:dyDescent="0.25">
      <c r="A225" s="48" t="s">
        <v>1601</v>
      </c>
      <c r="B225" t="s">
        <v>1602</v>
      </c>
      <c r="C225" t="s">
        <v>23209</v>
      </c>
      <c r="D225" s="3">
        <f>VLOOKUP(Table1[[#This Row],[CODE BARANG]],stock!$A:$C,3,)</f>
        <v>5</v>
      </c>
      <c r="E225" s="1">
        <v>12</v>
      </c>
      <c r="F225" s="1">
        <v>24</v>
      </c>
      <c r="G225" s="4">
        <f>Table1[[#This Row],[stock]]/Table1[[#This Row],[HASIL MIN]]</f>
        <v>0.41666666666666669</v>
      </c>
      <c r="H225" s="4">
        <f>Table1[[#This Row],[stock]]/Table1[[#This Row],[HASIL MAX]]</f>
        <v>0.20833333333333334</v>
      </c>
      <c r="I225" s="4"/>
      <c r="J225" s="4"/>
    </row>
    <row r="226" spans="1:10" x14ac:dyDescent="0.25">
      <c r="A226" s="48" t="s">
        <v>1253</v>
      </c>
      <c r="B226" t="s">
        <v>1254</v>
      </c>
      <c r="C226" t="s">
        <v>23209</v>
      </c>
      <c r="D226" s="3">
        <f>VLOOKUP(Table1[[#This Row],[CODE BARANG]],stock!$A:$C,3,)</f>
        <v>15</v>
      </c>
      <c r="E226" s="1">
        <v>48</v>
      </c>
      <c r="F226" s="1">
        <v>72</v>
      </c>
      <c r="G226" s="4">
        <f>Table1[[#This Row],[stock]]/Table1[[#This Row],[HASIL MIN]]</f>
        <v>0.3125</v>
      </c>
      <c r="H226" s="4">
        <f>Table1[[#This Row],[stock]]/Table1[[#This Row],[HASIL MAX]]</f>
        <v>0.20833333333333334</v>
      </c>
      <c r="I226" s="4"/>
      <c r="J226" s="4"/>
    </row>
    <row r="227" spans="1:10" x14ac:dyDescent="0.25">
      <c r="A227" s="48" t="s">
        <v>1021</v>
      </c>
      <c r="B227" t="s">
        <v>1022</v>
      </c>
      <c r="C227" t="s">
        <v>23210</v>
      </c>
      <c r="D227" s="3">
        <f>VLOOKUP(Table1[[#This Row],[CODE BARANG]],stock!$A:$C,3,)</f>
        <v>5</v>
      </c>
      <c r="E227" s="1">
        <v>16</v>
      </c>
      <c r="F227" s="1">
        <v>24</v>
      </c>
      <c r="G227" s="4">
        <f>Table1[[#This Row],[stock]]/Table1[[#This Row],[HASIL MIN]]</f>
        <v>0.3125</v>
      </c>
      <c r="H227" s="4">
        <f>Table1[[#This Row],[stock]]/Table1[[#This Row],[HASIL MAX]]</f>
        <v>0.20833333333333334</v>
      </c>
      <c r="I227" s="4"/>
      <c r="J227" s="4"/>
    </row>
    <row r="228" spans="1:10" x14ac:dyDescent="0.25">
      <c r="A228" s="48" t="s">
        <v>575</v>
      </c>
      <c r="B228" t="s">
        <v>576</v>
      </c>
      <c r="C228" t="s">
        <v>23210</v>
      </c>
      <c r="D228" s="3">
        <f>VLOOKUP(Table1[[#This Row],[CODE BARANG]],stock!$A:$C,3,)</f>
        <v>13</v>
      </c>
      <c r="E228" s="1">
        <v>30</v>
      </c>
      <c r="F228" s="1">
        <v>60</v>
      </c>
      <c r="G228" s="4">
        <f>Table1[[#This Row],[stock]]/Table1[[#This Row],[HASIL MIN]]</f>
        <v>0.43333333333333335</v>
      </c>
      <c r="H228" s="4">
        <f>Table1[[#This Row],[stock]]/Table1[[#This Row],[HASIL MAX]]</f>
        <v>0.21666666666666667</v>
      </c>
      <c r="I228" s="4"/>
      <c r="J228" s="4"/>
    </row>
    <row r="229" spans="1:10" x14ac:dyDescent="0.25">
      <c r="A229" s="48" t="s">
        <v>1065</v>
      </c>
      <c r="B229" t="s">
        <v>1066</v>
      </c>
      <c r="C229" t="s">
        <v>442</v>
      </c>
      <c r="D229" s="3">
        <f>VLOOKUP(Table1[[#This Row],[CODE BARANG]],stock!$A:$C,3,)</f>
        <v>26</v>
      </c>
      <c r="E229" s="1">
        <v>48</v>
      </c>
      <c r="F229" s="1">
        <v>120</v>
      </c>
      <c r="G229" s="4">
        <f>Table1[[#This Row],[stock]]/Table1[[#This Row],[HASIL MIN]]</f>
        <v>0.54166666666666663</v>
      </c>
      <c r="H229" s="4">
        <f>Table1[[#This Row],[stock]]/Table1[[#This Row],[HASIL MAX]]</f>
        <v>0.21666666666666667</v>
      </c>
      <c r="I229" s="4"/>
      <c r="J229" s="4"/>
    </row>
    <row r="230" spans="1:10" x14ac:dyDescent="0.25">
      <c r="A230" s="48" t="s">
        <v>1463</v>
      </c>
      <c r="B230" t="s">
        <v>1464</v>
      </c>
      <c r="C230" t="s">
        <v>23211</v>
      </c>
      <c r="D230" s="3">
        <f>VLOOKUP(Table1[[#This Row],[CODE BARANG]],stock!$A:$C,3,)</f>
        <v>13</v>
      </c>
      <c r="E230" s="1">
        <v>30</v>
      </c>
      <c r="F230" s="1">
        <v>60</v>
      </c>
      <c r="G230" s="4">
        <f>Table1[[#This Row],[stock]]/Table1[[#This Row],[HASIL MIN]]</f>
        <v>0.43333333333333335</v>
      </c>
      <c r="H230" s="4">
        <f>Table1[[#This Row],[stock]]/Table1[[#This Row],[HASIL MAX]]</f>
        <v>0.21666666666666667</v>
      </c>
      <c r="I230" s="4"/>
      <c r="J230" s="4"/>
    </row>
    <row r="231" spans="1:10" x14ac:dyDescent="0.25">
      <c r="A231" s="48" t="s">
        <v>1661</v>
      </c>
      <c r="B231" t="s">
        <v>1662</v>
      </c>
      <c r="C231" t="s">
        <v>23216</v>
      </c>
      <c r="D231" s="3">
        <f>VLOOKUP(Table1[[#This Row],[CODE BARANG]],stock!$A:$C,3,)</f>
        <v>8</v>
      </c>
      <c r="E231" s="1">
        <v>24</v>
      </c>
      <c r="F231" s="1">
        <v>36</v>
      </c>
      <c r="G231" s="4">
        <f>Table1[[#This Row],[stock]]/Table1[[#This Row],[HASIL MIN]]</f>
        <v>0.33333333333333331</v>
      </c>
      <c r="H231" s="4">
        <f>Table1[[#This Row],[stock]]/Table1[[#This Row],[HASIL MAX]]</f>
        <v>0.22222222222222221</v>
      </c>
      <c r="I231" s="4"/>
      <c r="J231" s="4"/>
    </row>
    <row r="232" spans="1:10" x14ac:dyDescent="0.25">
      <c r="A232" s="48" t="s">
        <v>1281</v>
      </c>
      <c r="B232" t="s">
        <v>1282</v>
      </c>
      <c r="C232" t="s">
        <v>23212</v>
      </c>
      <c r="D232" s="3">
        <f>VLOOKUP(Table1[[#This Row],[CODE BARANG]],stock!$A:$C,3,)</f>
        <v>108</v>
      </c>
      <c r="E232" s="1">
        <v>240</v>
      </c>
      <c r="F232" s="1">
        <v>480</v>
      </c>
      <c r="G232" s="4">
        <f>Table1[[#This Row],[stock]]/Table1[[#This Row],[HASIL MIN]]</f>
        <v>0.45</v>
      </c>
      <c r="H232" s="4">
        <f>Table1[[#This Row],[stock]]/Table1[[#This Row],[HASIL MAX]]</f>
        <v>0.22500000000000001</v>
      </c>
      <c r="I232" s="4"/>
      <c r="J232" s="4"/>
    </row>
    <row r="233" spans="1:10" x14ac:dyDescent="0.25">
      <c r="A233" s="48" t="s">
        <v>239</v>
      </c>
      <c r="B233" t="s">
        <v>240</v>
      </c>
      <c r="C233" t="s">
        <v>23208</v>
      </c>
      <c r="D233" s="3">
        <f>VLOOKUP(Table1[[#This Row],[CODE BARANG]],stock!$A:$C,3,)</f>
        <v>23</v>
      </c>
      <c r="E233" s="1">
        <v>48</v>
      </c>
      <c r="F233" s="1">
        <v>96</v>
      </c>
      <c r="G233" s="4">
        <f>Table1[[#This Row],[stock]]/Table1[[#This Row],[HASIL MIN]]</f>
        <v>0.47916666666666669</v>
      </c>
      <c r="H233" s="4">
        <f>Table1[[#This Row],[stock]]/Table1[[#This Row],[HASIL MAX]]</f>
        <v>0.23958333333333334</v>
      </c>
      <c r="I233" s="4"/>
      <c r="J233" s="4"/>
    </row>
    <row r="234" spans="1:10" x14ac:dyDescent="0.25">
      <c r="A234" s="48" t="s">
        <v>1087</v>
      </c>
      <c r="B234" t="s">
        <v>1088</v>
      </c>
      <c r="C234" t="s">
        <v>23208</v>
      </c>
      <c r="D234" s="3">
        <f>VLOOKUP(Table1[[#This Row],[CODE BARANG]],stock!$A:$C,3,)</f>
        <v>12</v>
      </c>
      <c r="E234" s="1">
        <v>36</v>
      </c>
      <c r="F234" s="1">
        <v>50</v>
      </c>
      <c r="G234" s="4">
        <f>Table1[[#This Row],[stock]]/Table1[[#This Row],[HASIL MIN]]</f>
        <v>0.33333333333333331</v>
      </c>
      <c r="H234" s="4">
        <f>Table1[[#This Row],[stock]]/Table1[[#This Row],[HASIL MAX]]</f>
        <v>0.24</v>
      </c>
      <c r="I234" s="4"/>
      <c r="J234" s="4"/>
    </row>
    <row r="235" spans="1:10" x14ac:dyDescent="0.25">
      <c r="A235" s="48" t="s">
        <v>659</v>
      </c>
      <c r="B235" t="s">
        <v>660</v>
      </c>
      <c r="C235" t="s">
        <v>23215</v>
      </c>
      <c r="D235" s="3">
        <f>VLOOKUP(Table1[[#This Row],[CODE BARANG]],stock!$A:$C,3,)</f>
        <v>11</v>
      </c>
      <c r="E235" s="1">
        <v>25</v>
      </c>
      <c r="F235" s="1">
        <v>45</v>
      </c>
      <c r="G235" s="4">
        <f>Table1[[#This Row],[stock]]/Table1[[#This Row],[HASIL MIN]]</f>
        <v>0.44</v>
      </c>
      <c r="H235" s="4">
        <f>Table1[[#This Row],[stock]]/Table1[[#This Row],[HASIL MAX]]</f>
        <v>0.24444444444444444</v>
      </c>
      <c r="I235" s="4"/>
      <c r="J235" s="4"/>
    </row>
    <row r="236" spans="1:10" x14ac:dyDescent="0.25">
      <c r="A236" s="48" t="s">
        <v>6863</v>
      </c>
      <c r="B236" t="s">
        <v>22328</v>
      </c>
      <c r="C236" t="s">
        <v>23213</v>
      </c>
      <c r="D236" s="3">
        <f>VLOOKUP(Table1[[#This Row],[CODE BARANG]],stock!$A:$C,3,)</f>
        <v>1</v>
      </c>
      <c r="E236" s="1">
        <v>2</v>
      </c>
      <c r="F236" s="1">
        <v>4</v>
      </c>
      <c r="G236" s="4">
        <f>Table1[[#This Row],[stock]]/Table1[[#This Row],[HASIL MIN]]</f>
        <v>0.5</v>
      </c>
      <c r="H236" s="4">
        <f>Table1[[#This Row],[stock]]/Table1[[#This Row],[HASIL MAX]]</f>
        <v>0.25</v>
      </c>
      <c r="I236" s="4"/>
      <c r="J236" s="4"/>
    </row>
    <row r="237" spans="1:10" x14ac:dyDescent="0.25">
      <c r="A237" s="48" t="s">
        <v>157</v>
      </c>
      <c r="B237" t="s">
        <v>158</v>
      </c>
      <c r="C237" t="s">
        <v>23211</v>
      </c>
      <c r="D237" s="3">
        <f>VLOOKUP(Table1[[#This Row],[CODE BARANG]],stock!$A:$C,3,)</f>
        <v>1</v>
      </c>
      <c r="E237" s="1">
        <v>2</v>
      </c>
      <c r="F237" s="1">
        <v>4</v>
      </c>
      <c r="G237" s="4">
        <f>Table1[[#This Row],[stock]]/Table1[[#This Row],[HASIL MIN]]</f>
        <v>0.5</v>
      </c>
      <c r="H237" s="4">
        <f>Table1[[#This Row],[stock]]/Table1[[#This Row],[HASIL MAX]]</f>
        <v>0.25</v>
      </c>
      <c r="I237" s="4"/>
      <c r="J237" s="4"/>
    </row>
    <row r="238" spans="1:10" x14ac:dyDescent="0.25">
      <c r="A238" s="48" t="s">
        <v>1373</v>
      </c>
      <c r="B238" t="s">
        <v>1374</v>
      </c>
      <c r="C238" t="s">
        <v>23218</v>
      </c>
      <c r="D238" s="3">
        <f>VLOOKUP(Table1[[#This Row],[CODE BARANG]],stock!$A:$C,3,)</f>
        <v>1</v>
      </c>
      <c r="E238" s="1">
        <v>2</v>
      </c>
      <c r="F238" s="1">
        <v>4</v>
      </c>
      <c r="G238" s="4">
        <f>Table1[[#This Row],[stock]]/Table1[[#This Row],[HASIL MIN]]</f>
        <v>0.5</v>
      </c>
      <c r="H238" s="4">
        <f>Table1[[#This Row],[stock]]/Table1[[#This Row],[HASIL MAX]]</f>
        <v>0.25</v>
      </c>
      <c r="I238" s="4"/>
      <c r="J238" s="4"/>
    </row>
    <row r="239" spans="1:10" x14ac:dyDescent="0.25">
      <c r="A239" s="48" t="s">
        <v>1615</v>
      </c>
      <c r="B239" t="s">
        <v>1616</v>
      </c>
      <c r="C239" t="s">
        <v>23207</v>
      </c>
      <c r="D239" s="3">
        <f>VLOOKUP(Table1[[#This Row],[CODE BARANG]],stock!$A:$C,3,)</f>
        <v>1</v>
      </c>
      <c r="E239" s="1">
        <v>2</v>
      </c>
      <c r="F239" s="1">
        <v>4</v>
      </c>
      <c r="G239" s="4">
        <f>Table1[[#This Row],[stock]]/Table1[[#This Row],[HASIL MIN]]</f>
        <v>0.5</v>
      </c>
      <c r="H239" s="4">
        <f>Table1[[#This Row],[stock]]/Table1[[#This Row],[HASIL MAX]]</f>
        <v>0.25</v>
      </c>
      <c r="I239" s="4"/>
      <c r="J239" s="4"/>
    </row>
    <row r="240" spans="1:10" x14ac:dyDescent="0.25">
      <c r="A240" s="48" t="s">
        <v>403</v>
      </c>
      <c r="B240" t="s">
        <v>404</v>
      </c>
      <c r="C240" t="s">
        <v>23207</v>
      </c>
      <c r="D240" s="3">
        <f>VLOOKUP(Table1[[#This Row],[CODE BARANG]],stock!$A:$C,3,)</f>
        <v>1</v>
      </c>
      <c r="E240" s="1">
        <v>2</v>
      </c>
      <c r="F240" s="1">
        <v>4</v>
      </c>
      <c r="G240" s="4">
        <f>Table1[[#This Row],[stock]]/Table1[[#This Row],[HASIL MIN]]</f>
        <v>0.5</v>
      </c>
      <c r="H240" s="4">
        <f>Table1[[#This Row],[stock]]/Table1[[#This Row],[HASIL MAX]]</f>
        <v>0.25</v>
      </c>
      <c r="I240" s="4"/>
      <c r="J240" s="4"/>
    </row>
    <row r="241" spans="1:10" x14ac:dyDescent="0.25">
      <c r="A241" s="48" t="s">
        <v>667</v>
      </c>
      <c r="B241" t="s">
        <v>668</v>
      </c>
      <c r="C241" t="s">
        <v>23209</v>
      </c>
      <c r="D241" s="3">
        <f>VLOOKUP(Table1[[#This Row],[CODE BARANG]],stock!$A:$C,3,)</f>
        <v>3</v>
      </c>
      <c r="E241" s="1">
        <v>10</v>
      </c>
      <c r="F241" s="1">
        <v>12</v>
      </c>
      <c r="G241" s="4">
        <f>Table1[[#This Row],[stock]]/Table1[[#This Row],[HASIL MIN]]</f>
        <v>0.3</v>
      </c>
      <c r="H241" s="4">
        <f>Table1[[#This Row],[stock]]/Table1[[#This Row],[HASIL MAX]]</f>
        <v>0.25</v>
      </c>
      <c r="I241" s="4"/>
      <c r="J241" s="4"/>
    </row>
    <row r="242" spans="1:10" x14ac:dyDescent="0.25">
      <c r="A242" s="48" t="s">
        <v>651</v>
      </c>
      <c r="B242" t="s">
        <v>652</v>
      </c>
      <c r="C242" t="s">
        <v>23211</v>
      </c>
      <c r="D242" s="3">
        <f>VLOOKUP(Table1[[#This Row],[CODE BARANG]],stock!$A:$C,3,)</f>
        <v>3</v>
      </c>
      <c r="E242" s="1">
        <v>6</v>
      </c>
      <c r="F242" s="1">
        <v>12</v>
      </c>
      <c r="G242" s="4">
        <f>Table1[[#This Row],[stock]]/Table1[[#This Row],[HASIL MIN]]</f>
        <v>0.5</v>
      </c>
      <c r="H242" s="4">
        <f>Table1[[#This Row],[stock]]/Table1[[#This Row],[HASIL MAX]]</f>
        <v>0.25</v>
      </c>
      <c r="I242" s="4"/>
      <c r="J242" s="4"/>
    </row>
    <row r="243" spans="1:10" x14ac:dyDescent="0.25">
      <c r="A243" s="48" t="s">
        <v>8842</v>
      </c>
      <c r="B243" t="s">
        <v>8843</v>
      </c>
      <c r="C243" t="s">
        <v>912</v>
      </c>
      <c r="D243" s="3">
        <f>VLOOKUP(Table1[[#This Row],[CODE BARANG]],stock!$A:$C,3,)</f>
        <v>1</v>
      </c>
      <c r="E243" s="1">
        <v>2</v>
      </c>
      <c r="F243" s="1">
        <v>4</v>
      </c>
      <c r="G243" s="4">
        <f>Table1[[#This Row],[stock]]/Table1[[#This Row],[HASIL MIN]]</f>
        <v>0.5</v>
      </c>
      <c r="H243" s="4">
        <f>Table1[[#This Row],[stock]]/Table1[[#This Row],[HASIL MAX]]</f>
        <v>0.25</v>
      </c>
      <c r="I243" s="4"/>
      <c r="J243" s="4"/>
    </row>
    <row r="244" spans="1:10" x14ac:dyDescent="0.25">
      <c r="A244" s="48" t="s">
        <v>7778</v>
      </c>
      <c r="B244" t="s">
        <v>7779</v>
      </c>
      <c r="C244" t="s">
        <v>23209</v>
      </c>
      <c r="D244" s="3">
        <f>VLOOKUP(Table1[[#This Row],[CODE BARANG]],stock!$A:$C,3,)</f>
        <v>1</v>
      </c>
      <c r="E244" s="1">
        <v>2</v>
      </c>
      <c r="F244" s="1">
        <v>4</v>
      </c>
      <c r="G244" s="4">
        <f>Table1[[#This Row],[stock]]/Table1[[#This Row],[HASIL MIN]]</f>
        <v>0.5</v>
      </c>
      <c r="H244" s="4">
        <f>Table1[[#This Row],[stock]]/Table1[[#This Row],[HASIL MAX]]</f>
        <v>0.25</v>
      </c>
      <c r="I244" s="4"/>
      <c r="J244" s="4"/>
    </row>
    <row r="245" spans="1:10" x14ac:dyDescent="0.25">
      <c r="A245" s="48" t="s">
        <v>842</v>
      </c>
      <c r="B245" t="s">
        <v>843</v>
      </c>
      <c r="C245" t="s">
        <v>23209</v>
      </c>
      <c r="D245" s="3">
        <f>VLOOKUP(Table1[[#This Row],[CODE BARANG]],stock!$A:$C,3,)</f>
        <v>3</v>
      </c>
      <c r="E245" s="1">
        <v>8</v>
      </c>
      <c r="F245" s="1">
        <v>12</v>
      </c>
      <c r="G245" s="4">
        <f>Table1[[#This Row],[stock]]/Table1[[#This Row],[HASIL MIN]]</f>
        <v>0.375</v>
      </c>
      <c r="H245" s="4">
        <f>Table1[[#This Row],[stock]]/Table1[[#This Row],[HASIL MAX]]</f>
        <v>0.25</v>
      </c>
      <c r="I245" s="4"/>
      <c r="J245" s="4"/>
    </row>
    <row r="246" spans="1:10" x14ac:dyDescent="0.25">
      <c r="A246" s="48" t="s">
        <v>123</v>
      </c>
      <c r="B246" t="s">
        <v>124</v>
      </c>
      <c r="C246" t="s">
        <v>23214</v>
      </c>
      <c r="D246" s="3">
        <f>VLOOKUP(Table1[[#This Row],[CODE BARANG]],stock!$A:$C,3,)</f>
        <v>15</v>
      </c>
      <c r="E246" s="1">
        <v>40</v>
      </c>
      <c r="F246" s="1">
        <v>60</v>
      </c>
      <c r="G246" s="4">
        <f>Table1[[#This Row],[stock]]/Table1[[#This Row],[HASIL MIN]]</f>
        <v>0.375</v>
      </c>
      <c r="H246" s="4">
        <f>Table1[[#This Row],[stock]]/Table1[[#This Row],[HASIL MAX]]</f>
        <v>0.25</v>
      </c>
      <c r="I246" s="4"/>
      <c r="J246" s="4"/>
    </row>
    <row r="247" spans="1:10" x14ac:dyDescent="0.25">
      <c r="A247" s="48" t="s">
        <v>549</v>
      </c>
      <c r="B247" t="s">
        <v>550</v>
      </c>
      <c r="C247" t="s">
        <v>23209</v>
      </c>
      <c r="D247" s="3">
        <f>VLOOKUP(Table1[[#This Row],[CODE BARANG]],stock!$A:$C,3,)</f>
        <v>6</v>
      </c>
      <c r="E247" s="1">
        <v>12</v>
      </c>
      <c r="F247" s="1">
        <v>24</v>
      </c>
      <c r="G247" s="4">
        <f>Table1[[#This Row],[stock]]/Table1[[#This Row],[HASIL MIN]]</f>
        <v>0.5</v>
      </c>
      <c r="H247" s="4">
        <f>Table1[[#This Row],[stock]]/Table1[[#This Row],[HASIL MAX]]</f>
        <v>0.25</v>
      </c>
      <c r="I247" s="4"/>
      <c r="J247" s="4"/>
    </row>
    <row r="248" spans="1:10" x14ac:dyDescent="0.25">
      <c r="A248" s="48" t="s">
        <v>1771</v>
      </c>
      <c r="B248" t="s">
        <v>1772</v>
      </c>
      <c r="C248" t="s">
        <v>23209</v>
      </c>
      <c r="D248" s="3">
        <f>VLOOKUP(Table1[[#This Row],[CODE BARANG]],stock!$A:$C,3,)</f>
        <v>3</v>
      </c>
      <c r="E248" s="1">
        <v>6</v>
      </c>
      <c r="F248" s="1">
        <v>12</v>
      </c>
      <c r="G248" s="4">
        <f>Table1[[#This Row],[stock]]/Table1[[#This Row],[HASIL MIN]]</f>
        <v>0.5</v>
      </c>
      <c r="H248" s="4">
        <f>Table1[[#This Row],[stock]]/Table1[[#This Row],[HASIL MAX]]</f>
        <v>0.25</v>
      </c>
      <c r="I248" s="4"/>
      <c r="J248" s="4"/>
    </row>
    <row r="249" spans="1:10" x14ac:dyDescent="0.25">
      <c r="A249" s="48" t="s">
        <v>781</v>
      </c>
      <c r="B249" t="s">
        <v>782</v>
      </c>
      <c r="C249" t="s">
        <v>23209</v>
      </c>
      <c r="D249" s="3">
        <f>VLOOKUP(Table1[[#This Row],[CODE BARANG]],stock!$A:$C,3,)</f>
        <v>6</v>
      </c>
      <c r="E249" s="1">
        <v>12</v>
      </c>
      <c r="F249" s="1">
        <v>24</v>
      </c>
      <c r="G249" s="4">
        <f>Table1[[#This Row],[stock]]/Table1[[#This Row],[HASIL MIN]]</f>
        <v>0.5</v>
      </c>
      <c r="H249" s="4">
        <f>Table1[[#This Row],[stock]]/Table1[[#This Row],[HASIL MAX]]</f>
        <v>0.25</v>
      </c>
      <c r="I249" s="4"/>
      <c r="J249" s="4"/>
    </row>
    <row r="250" spans="1:10" x14ac:dyDescent="0.25">
      <c r="A250" s="48" t="s">
        <v>1177</v>
      </c>
      <c r="B250" t="s">
        <v>1178</v>
      </c>
      <c r="C250" t="s">
        <v>442</v>
      </c>
      <c r="D250" s="3">
        <f>VLOOKUP(Table1[[#This Row],[CODE BARANG]],stock!$A:$C,3,)</f>
        <v>12</v>
      </c>
      <c r="E250" s="1">
        <v>24</v>
      </c>
      <c r="F250" s="1">
        <v>48</v>
      </c>
      <c r="G250" s="4">
        <f>Table1[[#This Row],[stock]]/Table1[[#This Row],[HASIL MIN]]</f>
        <v>0.5</v>
      </c>
      <c r="H250" s="4">
        <f>Table1[[#This Row],[stock]]/Table1[[#This Row],[HASIL MAX]]</f>
        <v>0.25</v>
      </c>
      <c r="I250" s="4"/>
      <c r="J250" s="4"/>
    </row>
    <row r="251" spans="1:10" x14ac:dyDescent="0.25">
      <c r="A251" s="48" t="s">
        <v>1169</v>
      </c>
      <c r="B251" t="s">
        <v>1170</v>
      </c>
      <c r="C251" t="s">
        <v>442</v>
      </c>
      <c r="D251" s="3">
        <f>VLOOKUP(Table1[[#This Row],[CODE BARANG]],stock!$A:$C,3,)</f>
        <v>1</v>
      </c>
      <c r="E251" s="1">
        <v>2</v>
      </c>
      <c r="F251" s="1">
        <v>4</v>
      </c>
      <c r="G251" s="4">
        <f>Table1[[#This Row],[stock]]/Table1[[#This Row],[HASIL MIN]]</f>
        <v>0.5</v>
      </c>
      <c r="H251" s="4">
        <f>Table1[[#This Row],[stock]]/Table1[[#This Row],[HASIL MAX]]</f>
        <v>0.25</v>
      </c>
      <c r="I251" s="4"/>
      <c r="J251" s="4"/>
    </row>
    <row r="252" spans="1:10" x14ac:dyDescent="0.25">
      <c r="A252" s="48" t="s">
        <v>363</v>
      </c>
      <c r="B252" t="s">
        <v>364</v>
      </c>
      <c r="C252" t="s">
        <v>23219</v>
      </c>
      <c r="D252" s="3">
        <f>VLOOKUP(Table1[[#This Row],[CODE BARANG]],stock!$A:$C,3,)</f>
        <v>1</v>
      </c>
      <c r="E252" s="1">
        <v>2</v>
      </c>
      <c r="F252" s="1">
        <v>4</v>
      </c>
      <c r="G252" s="4">
        <f>Table1[[#This Row],[stock]]/Table1[[#This Row],[HASIL MIN]]</f>
        <v>0.5</v>
      </c>
      <c r="H252" s="4">
        <f>Table1[[#This Row],[stock]]/Table1[[#This Row],[HASIL MAX]]</f>
        <v>0.25</v>
      </c>
      <c r="I252" s="4"/>
      <c r="J252" s="4"/>
    </row>
    <row r="253" spans="1:10" x14ac:dyDescent="0.25">
      <c r="A253" s="48" t="s">
        <v>27</v>
      </c>
      <c r="B253" t="s">
        <v>28</v>
      </c>
      <c r="C253" t="s">
        <v>23216</v>
      </c>
      <c r="D253" s="3">
        <f>VLOOKUP(Table1[[#This Row],[CODE BARANG]],stock!$A:$C,3,)</f>
        <v>2</v>
      </c>
      <c r="E253" s="1">
        <v>6</v>
      </c>
      <c r="F253" s="1">
        <v>8</v>
      </c>
      <c r="G253" s="4">
        <f>Table1[[#This Row],[stock]]/Table1[[#This Row],[HASIL MIN]]</f>
        <v>0.33333333333333331</v>
      </c>
      <c r="H253" s="4">
        <f>Table1[[#This Row],[stock]]/Table1[[#This Row],[HASIL MAX]]</f>
        <v>0.25</v>
      </c>
      <c r="I253" s="4"/>
      <c r="J253" s="4"/>
    </row>
    <row r="254" spans="1:10" x14ac:dyDescent="0.25">
      <c r="A254" s="48" t="s">
        <v>145</v>
      </c>
      <c r="B254" t="s">
        <v>19838</v>
      </c>
      <c r="C254" t="s">
        <v>23211</v>
      </c>
      <c r="D254" s="3">
        <f>VLOOKUP(Table1[[#This Row],[CODE BARANG]],stock!$A:$C,3,)</f>
        <v>1</v>
      </c>
      <c r="E254" s="1">
        <v>2</v>
      </c>
      <c r="F254" s="1">
        <v>4</v>
      </c>
      <c r="G254" s="4">
        <f>Table1[[#This Row],[stock]]/Table1[[#This Row],[HASIL MIN]]</f>
        <v>0.5</v>
      </c>
      <c r="H254" s="4">
        <f>Table1[[#This Row],[stock]]/Table1[[#This Row],[HASIL MAX]]</f>
        <v>0.25</v>
      </c>
      <c r="I254" s="4"/>
      <c r="J254" s="4"/>
    </row>
    <row r="255" spans="1:10" x14ac:dyDescent="0.25">
      <c r="A255" s="48" t="s">
        <v>625</v>
      </c>
      <c r="B255" t="s">
        <v>626</v>
      </c>
      <c r="C255" t="s">
        <v>442</v>
      </c>
      <c r="D255" s="3">
        <f>VLOOKUP(Table1[[#This Row],[CODE BARANG]],stock!$A:$C,3,)</f>
        <v>46</v>
      </c>
      <c r="E255" s="1">
        <v>72</v>
      </c>
      <c r="F255" s="1">
        <v>180</v>
      </c>
      <c r="G255" s="4">
        <f>Table1[[#This Row],[stock]]/Table1[[#This Row],[HASIL MIN]]</f>
        <v>0.63888888888888884</v>
      </c>
      <c r="H255" s="4">
        <f>Table1[[#This Row],[stock]]/Table1[[#This Row],[HASIL MAX]]</f>
        <v>0.25555555555555554</v>
      </c>
      <c r="I255" s="4"/>
      <c r="J255" s="4"/>
    </row>
    <row r="256" spans="1:10" x14ac:dyDescent="0.25">
      <c r="A256" s="48" t="s">
        <v>757</v>
      </c>
      <c r="B256" t="s">
        <v>758</v>
      </c>
      <c r="C256" t="s">
        <v>23215</v>
      </c>
      <c r="D256" s="3">
        <f>VLOOKUP(Table1[[#This Row],[CODE BARANG]],stock!$A:$C,3,)</f>
        <v>13</v>
      </c>
      <c r="E256" s="1">
        <v>25</v>
      </c>
      <c r="F256" s="1">
        <v>50</v>
      </c>
      <c r="G256" s="4">
        <f>Table1[[#This Row],[stock]]/Table1[[#This Row],[HASIL MIN]]</f>
        <v>0.52</v>
      </c>
      <c r="H256" s="4">
        <f>Table1[[#This Row],[stock]]/Table1[[#This Row],[HASIL MAX]]</f>
        <v>0.26</v>
      </c>
      <c r="I256" s="4"/>
      <c r="J256" s="4"/>
    </row>
    <row r="257" spans="1:10" x14ac:dyDescent="0.25">
      <c r="A257" s="48" t="s">
        <v>977</v>
      </c>
      <c r="B257" t="s">
        <v>978</v>
      </c>
      <c r="C257" t="s">
        <v>442</v>
      </c>
      <c r="D257" s="3">
        <f>VLOOKUP(Table1[[#This Row],[CODE BARANG]],stock!$A:$C,3,)</f>
        <v>8</v>
      </c>
      <c r="E257" s="1">
        <v>20</v>
      </c>
      <c r="F257" s="1">
        <v>30</v>
      </c>
      <c r="G257" s="4">
        <f>Table1[[#This Row],[stock]]/Table1[[#This Row],[HASIL MIN]]</f>
        <v>0.4</v>
      </c>
      <c r="H257" s="4">
        <f>Table1[[#This Row],[stock]]/Table1[[#This Row],[HASIL MAX]]</f>
        <v>0.26666666666666666</v>
      </c>
      <c r="I257" s="4"/>
      <c r="J257" s="4"/>
    </row>
    <row r="258" spans="1:10" x14ac:dyDescent="0.25">
      <c r="A258" s="48" t="s">
        <v>1475</v>
      </c>
      <c r="B258" t="s">
        <v>1476</v>
      </c>
      <c r="C258" t="s">
        <v>23209</v>
      </c>
      <c r="D258" s="3">
        <f>VLOOKUP(Table1[[#This Row],[CODE BARANG]],stock!$A:$C,3,)</f>
        <v>16</v>
      </c>
      <c r="E258" s="1">
        <v>40</v>
      </c>
      <c r="F258" s="1">
        <v>60</v>
      </c>
      <c r="G258" s="4">
        <f>Table1[[#This Row],[stock]]/Table1[[#This Row],[HASIL MIN]]</f>
        <v>0.4</v>
      </c>
      <c r="H258" s="4">
        <f>Table1[[#This Row],[stock]]/Table1[[#This Row],[HASIL MAX]]</f>
        <v>0.26666666666666666</v>
      </c>
      <c r="I258" s="4"/>
      <c r="J258" s="4"/>
    </row>
    <row r="259" spans="1:10" x14ac:dyDescent="0.25">
      <c r="A259" s="48" t="s">
        <v>1866</v>
      </c>
      <c r="B259" t="s">
        <v>1867</v>
      </c>
      <c r="C259" t="s">
        <v>23212</v>
      </c>
      <c r="D259" s="3">
        <f>VLOOKUP(Table1[[#This Row],[CODE BARANG]],stock!$A:$C,3,)</f>
        <v>16</v>
      </c>
      <c r="E259" s="1">
        <v>36</v>
      </c>
      <c r="F259" s="1">
        <v>60</v>
      </c>
      <c r="G259" s="4">
        <f>Table1[[#This Row],[stock]]/Table1[[#This Row],[HASIL MIN]]</f>
        <v>0.44444444444444442</v>
      </c>
      <c r="H259" s="4">
        <f>Table1[[#This Row],[stock]]/Table1[[#This Row],[HASIL MAX]]</f>
        <v>0.26666666666666666</v>
      </c>
      <c r="I259" s="4"/>
      <c r="J259" s="4"/>
    </row>
    <row r="260" spans="1:10" x14ac:dyDescent="0.25">
      <c r="A260" s="48" t="s">
        <v>231</v>
      </c>
      <c r="B260" t="s">
        <v>232</v>
      </c>
      <c r="C260" t="s">
        <v>23209</v>
      </c>
      <c r="D260" s="3">
        <f>VLOOKUP(Table1[[#This Row],[CODE BARANG]],stock!$A:$C,3,)</f>
        <v>13</v>
      </c>
      <c r="E260" s="1">
        <v>24</v>
      </c>
      <c r="F260" s="1">
        <v>48</v>
      </c>
      <c r="G260" s="4">
        <f>Table1[[#This Row],[stock]]/Table1[[#This Row],[HASIL MIN]]</f>
        <v>0.54166666666666663</v>
      </c>
      <c r="H260" s="4">
        <f>Table1[[#This Row],[stock]]/Table1[[#This Row],[HASIL MAX]]</f>
        <v>0.27083333333333331</v>
      </c>
      <c r="I260" s="4"/>
      <c r="J260" s="4"/>
    </row>
    <row r="261" spans="1:10" x14ac:dyDescent="0.25">
      <c r="A261" s="48" t="s">
        <v>880</v>
      </c>
      <c r="B261" t="s">
        <v>881</v>
      </c>
      <c r="C261" t="s">
        <v>1859</v>
      </c>
      <c r="D261" s="3">
        <f>VLOOKUP(Table1[[#This Row],[CODE BARANG]],stock!$A:$C,3,)</f>
        <v>13</v>
      </c>
      <c r="E261" s="1">
        <v>24</v>
      </c>
      <c r="F261" s="1">
        <v>48</v>
      </c>
      <c r="G261" s="4">
        <f>Table1[[#This Row],[stock]]/Table1[[#This Row],[HASIL MIN]]</f>
        <v>0.54166666666666663</v>
      </c>
      <c r="H261" s="4">
        <f>Table1[[#This Row],[stock]]/Table1[[#This Row],[HASIL MAX]]</f>
        <v>0.27083333333333331</v>
      </c>
      <c r="I261" s="4"/>
      <c r="J261" s="4"/>
    </row>
    <row r="262" spans="1:10" x14ac:dyDescent="0.25">
      <c r="A262" s="48" t="s">
        <v>1701</v>
      </c>
      <c r="B262" t="s">
        <v>1702</v>
      </c>
      <c r="C262" t="s">
        <v>23214</v>
      </c>
      <c r="D262" s="3">
        <f>VLOOKUP(Table1[[#This Row],[CODE BARANG]],stock!$A:$C,3,)</f>
        <v>10</v>
      </c>
      <c r="E262" s="1">
        <v>24</v>
      </c>
      <c r="F262" s="1">
        <v>36</v>
      </c>
      <c r="G262" s="4">
        <f>Table1[[#This Row],[stock]]/Table1[[#This Row],[HASIL MIN]]</f>
        <v>0.41666666666666669</v>
      </c>
      <c r="H262" s="4">
        <f>Table1[[#This Row],[stock]]/Table1[[#This Row],[HASIL MAX]]</f>
        <v>0.27777777777777779</v>
      </c>
      <c r="I262" s="4"/>
      <c r="J262" s="4"/>
    </row>
    <row r="263" spans="1:10" x14ac:dyDescent="0.25">
      <c r="A263" s="48" t="s">
        <v>22350</v>
      </c>
      <c r="B263" t="s">
        <v>1334</v>
      </c>
      <c r="C263" t="s">
        <v>439</v>
      </c>
      <c r="D263" s="3">
        <f>VLOOKUP(Table1[[#This Row],[CODE BARANG]],stock!$A:$C,3,)</f>
        <v>170</v>
      </c>
      <c r="E263" s="1">
        <v>120</v>
      </c>
      <c r="F263" s="1">
        <v>600</v>
      </c>
      <c r="G263" s="4">
        <f>Table1[[#This Row],[stock]]/Table1[[#This Row],[HASIL MIN]]</f>
        <v>1.4166666666666667</v>
      </c>
      <c r="H263" s="4">
        <f>Table1[[#This Row],[stock]]/Table1[[#This Row],[HASIL MAX]]</f>
        <v>0.28333333333333333</v>
      </c>
      <c r="I263" s="4"/>
      <c r="J263" s="4"/>
    </row>
    <row r="264" spans="1:10" x14ac:dyDescent="0.25">
      <c r="A264" s="48" t="s">
        <v>503</v>
      </c>
      <c r="B264" t="s">
        <v>504</v>
      </c>
      <c r="C264" t="s">
        <v>439</v>
      </c>
      <c r="D264" s="3">
        <f>VLOOKUP(Table1[[#This Row],[CODE BARANG]],stock!$A:$C,3,)</f>
        <v>52</v>
      </c>
      <c r="E264" s="1">
        <v>120</v>
      </c>
      <c r="F264" s="1">
        <v>180</v>
      </c>
      <c r="G264" s="4">
        <f>Table1[[#This Row],[stock]]/Table1[[#This Row],[HASIL MIN]]</f>
        <v>0.43333333333333335</v>
      </c>
      <c r="H264" s="4">
        <f>Table1[[#This Row],[stock]]/Table1[[#This Row],[HASIL MAX]]</f>
        <v>0.28888888888888886</v>
      </c>
      <c r="I264" s="4"/>
      <c r="J264" s="4"/>
    </row>
    <row r="265" spans="1:10" x14ac:dyDescent="0.25">
      <c r="A265" s="48" t="s">
        <v>1952</v>
      </c>
      <c r="B265" t="s">
        <v>1953</v>
      </c>
      <c r="C265" t="s">
        <v>23209</v>
      </c>
      <c r="D265" s="3">
        <f>VLOOKUP(Table1[[#This Row],[CODE BARANG]],stock!$A:$C,3,)</f>
        <v>7</v>
      </c>
      <c r="E265" s="1">
        <v>12</v>
      </c>
      <c r="F265" s="1">
        <v>24</v>
      </c>
      <c r="G265" s="4">
        <f>Table1[[#This Row],[stock]]/Table1[[#This Row],[HASIL MIN]]</f>
        <v>0.58333333333333337</v>
      </c>
      <c r="H265" s="4">
        <f>Table1[[#This Row],[stock]]/Table1[[#This Row],[HASIL MAX]]</f>
        <v>0.29166666666666669</v>
      </c>
      <c r="I265" s="4"/>
      <c r="J265" s="4"/>
    </row>
    <row r="266" spans="1:10" x14ac:dyDescent="0.25">
      <c r="A266" s="48" t="s">
        <v>1331</v>
      </c>
      <c r="B266" t="s">
        <v>1332</v>
      </c>
      <c r="C266" t="s">
        <v>442</v>
      </c>
      <c r="D266" s="3">
        <f>VLOOKUP(Table1[[#This Row],[CODE BARANG]],stock!$A:$C,3,)</f>
        <v>7</v>
      </c>
      <c r="E266" s="1">
        <v>12</v>
      </c>
      <c r="F266" s="1">
        <v>24</v>
      </c>
      <c r="G266" s="4">
        <f>Table1[[#This Row],[stock]]/Table1[[#This Row],[HASIL MIN]]</f>
        <v>0.58333333333333337</v>
      </c>
      <c r="H266" s="4">
        <f>Table1[[#This Row],[stock]]/Table1[[#This Row],[HASIL MAX]]</f>
        <v>0.29166666666666669</v>
      </c>
      <c r="I266" s="4"/>
      <c r="J266" s="4"/>
    </row>
    <row r="267" spans="1:10" x14ac:dyDescent="0.25">
      <c r="A267" s="48" t="s">
        <v>1759</v>
      </c>
      <c r="B267" t="s">
        <v>1760</v>
      </c>
      <c r="C267" t="s">
        <v>23209</v>
      </c>
      <c r="D267" s="3">
        <f>VLOOKUP(Table1[[#This Row],[CODE BARANG]],stock!$A:$C,3,)</f>
        <v>14</v>
      </c>
      <c r="E267" s="1">
        <v>24</v>
      </c>
      <c r="F267" s="1">
        <v>48</v>
      </c>
      <c r="G267" s="4">
        <f>Table1[[#This Row],[stock]]/Table1[[#This Row],[HASIL MIN]]</f>
        <v>0.58333333333333337</v>
      </c>
      <c r="H267" s="4">
        <f>Table1[[#This Row],[stock]]/Table1[[#This Row],[HASIL MAX]]</f>
        <v>0.29166666666666669</v>
      </c>
      <c r="I267" s="4"/>
      <c r="J267" s="4"/>
    </row>
    <row r="268" spans="1:10" x14ac:dyDescent="0.25">
      <c r="A268" s="48" t="s">
        <v>19482</v>
      </c>
      <c r="B268" t="s">
        <v>19483</v>
      </c>
      <c r="C268" t="s">
        <v>23213</v>
      </c>
      <c r="D268" s="3">
        <f>VLOOKUP(Table1[[#This Row],[CODE BARANG]],stock!$A:$C,3,)</f>
        <v>7</v>
      </c>
      <c r="E268" s="1">
        <v>11</v>
      </c>
      <c r="F268" s="1">
        <v>24</v>
      </c>
      <c r="G268" s="4">
        <f>Table1[[#This Row],[stock]]/Table1[[#This Row],[HASIL MIN]]</f>
        <v>0.63636363636363635</v>
      </c>
      <c r="H268" s="4">
        <f>Table1[[#This Row],[stock]]/Table1[[#This Row],[HASIL MAX]]</f>
        <v>0.29166666666666669</v>
      </c>
      <c r="I268" s="4"/>
      <c r="J268" s="4"/>
    </row>
    <row r="269" spans="1:10" x14ac:dyDescent="0.25">
      <c r="A269" s="48" t="s">
        <v>6799</v>
      </c>
      <c r="B269" t="s">
        <v>6800</v>
      </c>
      <c r="C269" t="s">
        <v>23207</v>
      </c>
      <c r="D269" s="3">
        <f>VLOOKUP(Table1[[#This Row],[CODE BARANG]],stock!$A:$C,3,)</f>
        <v>3</v>
      </c>
      <c r="E269" s="1">
        <v>4</v>
      </c>
      <c r="F269" s="1">
        <v>10</v>
      </c>
      <c r="G269" s="4">
        <f>Table1[[#This Row],[stock]]/Table1[[#This Row],[HASIL MIN]]</f>
        <v>0.75</v>
      </c>
      <c r="H269" s="4">
        <f>Table1[[#This Row],[stock]]/Table1[[#This Row],[HASIL MAX]]</f>
        <v>0.3</v>
      </c>
      <c r="I269" s="4"/>
      <c r="J269" s="4"/>
    </row>
    <row r="270" spans="1:10" x14ac:dyDescent="0.25">
      <c r="A270" s="48" t="s">
        <v>11086</v>
      </c>
      <c r="B270" t="s">
        <v>11087</v>
      </c>
      <c r="C270" t="s">
        <v>23207</v>
      </c>
      <c r="D270" s="3">
        <f>VLOOKUP(Table1[[#This Row],[CODE BARANG]],stock!$A:$C,3,)</f>
        <v>3</v>
      </c>
      <c r="E270" s="1">
        <v>4</v>
      </c>
      <c r="F270" s="1">
        <v>10</v>
      </c>
      <c r="G270" s="4">
        <f>Table1[[#This Row],[stock]]/Table1[[#This Row],[HASIL MIN]]</f>
        <v>0.75</v>
      </c>
      <c r="H270" s="4">
        <f>Table1[[#This Row],[stock]]/Table1[[#This Row],[HASIL MAX]]</f>
        <v>0.3</v>
      </c>
      <c r="I270" s="4"/>
      <c r="J270" s="4"/>
    </row>
    <row r="271" spans="1:10" x14ac:dyDescent="0.25">
      <c r="A271" s="48" t="s">
        <v>1107</v>
      </c>
      <c r="B271" t="s">
        <v>1108</v>
      </c>
      <c r="C271" t="s">
        <v>23209</v>
      </c>
      <c r="D271" s="3">
        <f>VLOOKUP(Table1[[#This Row],[CODE BARANG]],stock!$A:$C,3,)</f>
        <v>6</v>
      </c>
      <c r="E271" s="1">
        <v>12</v>
      </c>
      <c r="F271" s="1">
        <v>20</v>
      </c>
      <c r="G271" s="4">
        <f>Table1[[#This Row],[stock]]/Table1[[#This Row],[HASIL MIN]]</f>
        <v>0.5</v>
      </c>
      <c r="H271" s="4">
        <f>Table1[[#This Row],[stock]]/Table1[[#This Row],[HASIL MAX]]</f>
        <v>0.3</v>
      </c>
      <c r="I271" s="4"/>
      <c r="J271" s="4"/>
    </row>
    <row r="272" spans="1:10" x14ac:dyDescent="0.25">
      <c r="A272" s="48" t="s">
        <v>619</v>
      </c>
      <c r="B272" t="s">
        <v>620</v>
      </c>
      <c r="C272" t="s">
        <v>439</v>
      </c>
      <c r="D272" s="3">
        <f>VLOOKUP(Table1[[#This Row],[CODE BARANG]],stock!$A:$C,3,)</f>
        <v>24</v>
      </c>
      <c r="E272" s="1">
        <v>40</v>
      </c>
      <c r="F272" s="1">
        <v>80</v>
      </c>
      <c r="G272" s="4">
        <f>Table1[[#This Row],[stock]]/Table1[[#This Row],[HASIL MIN]]</f>
        <v>0.6</v>
      </c>
      <c r="H272" s="4">
        <f>Table1[[#This Row],[stock]]/Table1[[#This Row],[HASIL MAX]]</f>
        <v>0.3</v>
      </c>
      <c r="I272" s="4"/>
      <c r="J272" s="4"/>
    </row>
    <row r="273" spans="1:10" x14ac:dyDescent="0.25">
      <c r="A273" s="48" t="s">
        <v>501</v>
      </c>
      <c r="B273" t="s">
        <v>502</v>
      </c>
      <c r="C273" t="s">
        <v>23216</v>
      </c>
      <c r="D273" s="3">
        <f>VLOOKUP(Table1[[#This Row],[CODE BARANG]],stock!$A:$C,3,)</f>
        <v>5</v>
      </c>
      <c r="E273" s="1">
        <v>8</v>
      </c>
      <c r="F273" s="1">
        <v>16</v>
      </c>
      <c r="G273" s="4">
        <f>Table1[[#This Row],[stock]]/Table1[[#This Row],[HASIL MIN]]</f>
        <v>0.625</v>
      </c>
      <c r="H273" s="4">
        <f>Table1[[#This Row],[stock]]/Table1[[#This Row],[HASIL MAX]]</f>
        <v>0.3125</v>
      </c>
      <c r="I273" s="4"/>
      <c r="J273" s="4"/>
    </row>
    <row r="274" spans="1:10" x14ac:dyDescent="0.25">
      <c r="A274" s="48" t="s">
        <v>219</v>
      </c>
      <c r="B274" t="s">
        <v>220</v>
      </c>
      <c r="C274" t="s">
        <v>442</v>
      </c>
      <c r="D274" s="3">
        <f>VLOOKUP(Table1[[#This Row],[CODE BARANG]],stock!$A:$C,3,)</f>
        <v>15</v>
      </c>
      <c r="E274" s="1">
        <v>24</v>
      </c>
      <c r="F274" s="1">
        <v>48</v>
      </c>
      <c r="G274" s="4">
        <f>Table1[[#This Row],[stock]]/Table1[[#This Row],[HASIL MIN]]</f>
        <v>0.625</v>
      </c>
      <c r="H274" s="4">
        <f>Table1[[#This Row],[stock]]/Table1[[#This Row],[HASIL MAX]]</f>
        <v>0.3125</v>
      </c>
      <c r="I274" s="4"/>
      <c r="J274" s="4"/>
    </row>
    <row r="275" spans="1:10" x14ac:dyDescent="0.25">
      <c r="A275" s="48" t="s">
        <v>1407</v>
      </c>
      <c r="B275" t="s">
        <v>1408</v>
      </c>
      <c r="C275" t="s">
        <v>23217</v>
      </c>
      <c r="D275" s="3">
        <f>VLOOKUP(Table1[[#This Row],[CODE BARANG]],stock!$A:$C,3,)</f>
        <v>11</v>
      </c>
      <c r="E275" s="1">
        <v>20</v>
      </c>
      <c r="F275" s="1">
        <v>35</v>
      </c>
      <c r="G275" s="4">
        <f>Table1[[#This Row],[stock]]/Table1[[#This Row],[HASIL MIN]]</f>
        <v>0.55000000000000004</v>
      </c>
      <c r="H275" s="4">
        <f>Table1[[#This Row],[stock]]/Table1[[#This Row],[HASIL MAX]]</f>
        <v>0.31428571428571428</v>
      </c>
      <c r="I275" s="4"/>
      <c r="J275" s="4"/>
    </row>
    <row r="276" spans="1:10" x14ac:dyDescent="0.25">
      <c r="A276" s="48" t="s">
        <v>707</v>
      </c>
      <c r="B276" t="s">
        <v>708</v>
      </c>
      <c r="C276" t="s">
        <v>23207</v>
      </c>
      <c r="D276" s="3">
        <f>VLOOKUP(Table1[[#This Row],[CODE BARANG]],stock!$A:$C,3,)</f>
        <v>16</v>
      </c>
      <c r="E276" s="1">
        <v>25</v>
      </c>
      <c r="F276" s="1">
        <v>50</v>
      </c>
      <c r="G276" s="4">
        <f>Table1[[#This Row],[stock]]/Table1[[#This Row],[HASIL MIN]]</f>
        <v>0.64</v>
      </c>
      <c r="H276" s="4">
        <f>Table1[[#This Row],[stock]]/Table1[[#This Row],[HASIL MAX]]</f>
        <v>0.32</v>
      </c>
      <c r="I276" s="4"/>
      <c r="J276" s="4"/>
    </row>
    <row r="277" spans="1:10" x14ac:dyDescent="0.25">
      <c r="A277" s="48" t="s">
        <v>447</v>
      </c>
      <c r="B277" t="s">
        <v>448</v>
      </c>
      <c r="C277" t="s">
        <v>23208</v>
      </c>
      <c r="D277" s="3">
        <f>VLOOKUP(Table1[[#This Row],[CODE BARANG]],stock!$A:$C,3,)</f>
        <v>8</v>
      </c>
      <c r="E277" s="1">
        <v>12</v>
      </c>
      <c r="F277" s="1">
        <v>24</v>
      </c>
      <c r="G277" s="4">
        <f>Table1[[#This Row],[stock]]/Table1[[#This Row],[HASIL MIN]]</f>
        <v>0.66666666666666663</v>
      </c>
      <c r="H277" s="4">
        <f>Table1[[#This Row],[stock]]/Table1[[#This Row],[HASIL MAX]]</f>
        <v>0.33333333333333331</v>
      </c>
      <c r="I277" s="4"/>
      <c r="J277" s="4"/>
    </row>
    <row r="278" spans="1:10" x14ac:dyDescent="0.25">
      <c r="A278" s="48" t="s">
        <v>13494</v>
      </c>
      <c r="B278" t="s">
        <v>13495</v>
      </c>
      <c r="C278" t="s">
        <v>23207</v>
      </c>
      <c r="D278" s="3">
        <f>VLOOKUP(Table1[[#This Row],[CODE BARANG]],stock!$A:$C,3,)</f>
        <v>1</v>
      </c>
      <c r="E278" s="1">
        <v>2</v>
      </c>
      <c r="F278" s="1">
        <v>3</v>
      </c>
      <c r="G278" s="4">
        <f>Table1[[#This Row],[stock]]/Table1[[#This Row],[HASIL MIN]]</f>
        <v>0.5</v>
      </c>
      <c r="H278" s="4">
        <f>Table1[[#This Row],[stock]]/Table1[[#This Row],[HASIL MAX]]</f>
        <v>0.33333333333333331</v>
      </c>
      <c r="I278" s="4"/>
      <c r="J278" s="4"/>
    </row>
    <row r="279" spans="1:10" x14ac:dyDescent="0.25">
      <c r="A279" s="48" t="s">
        <v>1561</v>
      </c>
      <c r="B279" t="s">
        <v>1562</v>
      </c>
      <c r="C279" t="s">
        <v>23207</v>
      </c>
      <c r="D279" s="3">
        <f>VLOOKUP(Table1[[#This Row],[CODE BARANG]],stock!$A:$C,3,)</f>
        <v>4</v>
      </c>
      <c r="E279" s="1">
        <v>10</v>
      </c>
      <c r="F279" s="1">
        <v>12</v>
      </c>
      <c r="G279" s="4">
        <f>Table1[[#This Row],[stock]]/Table1[[#This Row],[HASIL MIN]]</f>
        <v>0.4</v>
      </c>
      <c r="H279" s="4">
        <f>Table1[[#This Row],[stock]]/Table1[[#This Row],[HASIL MAX]]</f>
        <v>0.33333333333333331</v>
      </c>
      <c r="I279" s="4"/>
      <c r="J279" s="4"/>
    </row>
    <row r="280" spans="1:10" x14ac:dyDescent="0.25">
      <c r="A280" s="48" t="s">
        <v>1589</v>
      </c>
      <c r="B280" t="s">
        <v>1590</v>
      </c>
      <c r="C280" t="s">
        <v>23207</v>
      </c>
      <c r="D280" s="3">
        <f>VLOOKUP(Table1[[#This Row],[CODE BARANG]],stock!$A:$C,3,)</f>
        <v>2</v>
      </c>
      <c r="E280" s="1">
        <v>2</v>
      </c>
      <c r="F280" s="1">
        <v>6</v>
      </c>
      <c r="G280" s="4">
        <f>Table1[[#This Row],[stock]]/Table1[[#This Row],[HASIL MIN]]</f>
        <v>1</v>
      </c>
      <c r="H280" s="4">
        <f>Table1[[#This Row],[stock]]/Table1[[#This Row],[HASIL MAX]]</f>
        <v>0.33333333333333331</v>
      </c>
      <c r="I280" s="4"/>
      <c r="J280" s="4"/>
    </row>
    <row r="281" spans="1:10" x14ac:dyDescent="0.25">
      <c r="A281" s="48" t="s">
        <v>850</v>
      </c>
      <c r="B281" t="s">
        <v>851</v>
      </c>
      <c r="C281" t="s">
        <v>23209</v>
      </c>
      <c r="D281" s="3">
        <f>VLOOKUP(Table1[[#This Row],[CODE BARANG]],stock!$A:$C,3,)</f>
        <v>4</v>
      </c>
      <c r="E281" s="1">
        <v>6</v>
      </c>
      <c r="F281" s="1">
        <v>12</v>
      </c>
      <c r="G281" s="4">
        <f>Table1[[#This Row],[stock]]/Table1[[#This Row],[HASIL MIN]]</f>
        <v>0.66666666666666663</v>
      </c>
      <c r="H281" s="4">
        <f>Table1[[#This Row],[stock]]/Table1[[#This Row],[HASIL MAX]]</f>
        <v>0.33333333333333331</v>
      </c>
      <c r="I281" s="4"/>
      <c r="J281" s="4"/>
    </row>
    <row r="282" spans="1:10" x14ac:dyDescent="0.25">
      <c r="A282" s="48" t="s">
        <v>1403</v>
      </c>
      <c r="B282" t="s">
        <v>1404</v>
      </c>
      <c r="C282" t="s">
        <v>442</v>
      </c>
      <c r="D282" s="3">
        <f>VLOOKUP(Table1[[#This Row],[CODE BARANG]],stock!$A:$C,3,)</f>
        <v>2</v>
      </c>
      <c r="E282" s="1">
        <v>4</v>
      </c>
      <c r="F282" s="1">
        <v>6</v>
      </c>
      <c r="G282" s="4">
        <f>Table1[[#This Row],[stock]]/Table1[[#This Row],[HASIL MIN]]</f>
        <v>0.5</v>
      </c>
      <c r="H282" s="4">
        <f>Table1[[#This Row],[stock]]/Table1[[#This Row],[HASIL MAX]]</f>
        <v>0.33333333333333331</v>
      </c>
      <c r="I282" s="4"/>
      <c r="J282" s="4"/>
    </row>
    <row r="283" spans="1:10" x14ac:dyDescent="0.25">
      <c r="A283" s="48" t="s">
        <v>22348</v>
      </c>
      <c r="B283" t="s">
        <v>1858</v>
      </c>
      <c r="C283" t="s">
        <v>1859</v>
      </c>
      <c r="D283" s="3">
        <f>VLOOKUP(Table1[[#This Row],[CODE BARANG]],stock!$A:$C,3,)</f>
        <v>8</v>
      </c>
      <c r="E283" s="1">
        <v>12</v>
      </c>
      <c r="F283" s="1">
        <v>24</v>
      </c>
      <c r="G283" s="4">
        <f>Table1[[#This Row],[stock]]/Table1[[#This Row],[HASIL MIN]]</f>
        <v>0.66666666666666663</v>
      </c>
      <c r="H283" s="4">
        <f>Table1[[#This Row],[stock]]/Table1[[#This Row],[HASIL MAX]]</f>
        <v>0.33333333333333331</v>
      </c>
      <c r="I283" s="4"/>
      <c r="J283" s="4"/>
    </row>
    <row r="284" spans="1:10" x14ac:dyDescent="0.25">
      <c r="A284" s="48" t="s">
        <v>14189</v>
      </c>
      <c r="B284" t="s">
        <v>14190</v>
      </c>
      <c r="C284" t="s">
        <v>23211</v>
      </c>
      <c r="D284" s="3">
        <f>VLOOKUP(Table1[[#This Row],[CODE BARANG]],stock!$A:$C,3,)</f>
        <v>2</v>
      </c>
      <c r="E284" s="1">
        <v>2</v>
      </c>
      <c r="F284" s="1">
        <v>6</v>
      </c>
      <c r="G284" s="4">
        <f>Table1[[#This Row],[stock]]/Table1[[#This Row],[HASIL MIN]]</f>
        <v>1</v>
      </c>
      <c r="H284" s="4">
        <f>Table1[[#This Row],[stock]]/Table1[[#This Row],[HASIL MAX]]</f>
        <v>0.33333333333333331</v>
      </c>
      <c r="I284" s="4"/>
      <c r="J284" s="4"/>
    </row>
    <row r="285" spans="1:10" x14ac:dyDescent="0.25">
      <c r="A285" s="48" t="s">
        <v>12206</v>
      </c>
      <c r="B285" t="s">
        <v>12207</v>
      </c>
      <c r="C285" t="s">
        <v>23207</v>
      </c>
      <c r="D285" s="3">
        <f>VLOOKUP(Table1[[#This Row],[CODE BARANG]],stock!$A:$C,3,)</f>
        <v>2</v>
      </c>
      <c r="E285" s="1">
        <v>2</v>
      </c>
      <c r="F285" s="1">
        <v>6</v>
      </c>
      <c r="G285" s="4">
        <f>Table1[[#This Row],[stock]]/Table1[[#This Row],[HASIL MIN]]</f>
        <v>1</v>
      </c>
      <c r="H285" s="4">
        <f>Table1[[#This Row],[stock]]/Table1[[#This Row],[HASIL MAX]]</f>
        <v>0.33333333333333331</v>
      </c>
      <c r="I285" s="4"/>
      <c r="J285" s="4"/>
    </row>
    <row r="286" spans="1:10" x14ac:dyDescent="0.25">
      <c r="A286" s="48" t="s">
        <v>803</v>
      </c>
      <c r="B286" t="s">
        <v>804</v>
      </c>
      <c r="C286" t="s">
        <v>23209</v>
      </c>
      <c r="D286" s="3">
        <f>VLOOKUP(Table1[[#This Row],[CODE BARANG]],stock!$A:$C,3,)</f>
        <v>20</v>
      </c>
      <c r="E286" s="1">
        <v>24</v>
      </c>
      <c r="F286" s="1">
        <v>60</v>
      </c>
      <c r="G286" s="4">
        <f>Table1[[#This Row],[stock]]/Table1[[#This Row],[HASIL MIN]]</f>
        <v>0.83333333333333337</v>
      </c>
      <c r="H286" s="4">
        <f>Table1[[#This Row],[stock]]/Table1[[#This Row],[HASIL MAX]]</f>
        <v>0.33333333333333331</v>
      </c>
      <c r="I286" s="4"/>
      <c r="J286" s="4"/>
    </row>
    <row r="287" spans="1:10" x14ac:dyDescent="0.25">
      <c r="A287" s="48" t="s">
        <v>247</v>
      </c>
      <c r="B287" t="s">
        <v>248</v>
      </c>
      <c r="C287" t="s">
        <v>23208</v>
      </c>
      <c r="D287" s="3">
        <f>VLOOKUP(Table1[[#This Row],[CODE BARANG]],stock!$A:$C,3,)</f>
        <v>16</v>
      </c>
      <c r="E287" s="1">
        <v>24</v>
      </c>
      <c r="F287" s="1">
        <v>48</v>
      </c>
      <c r="G287" s="4">
        <f>Table1[[#This Row],[stock]]/Table1[[#This Row],[HASIL MIN]]</f>
        <v>0.66666666666666663</v>
      </c>
      <c r="H287" s="4">
        <f>Table1[[#This Row],[stock]]/Table1[[#This Row],[HASIL MAX]]</f>
        <v>0.33333333333333331</v>
      </c>
      <c r="I287" s="4"/>
      <c r="J287" s="4"/>
    </row>
    <row r="288" spans="1:10" x14ac:dyDescent="0.25">
      <c r="A288" s="48" t="s">
        <v>315</v>
      </c>
      <c r="B288" t="s">
        <v>316</v>
      </c>
      <c r="C288" t="s">
        <v>23214</v>
      </c>
      <c r="D288" s="3">
        <f>VLOOKUP(Table1[[#This Row],[CODE BARANG]],stock!$A:$C,3,)</f>
        <v>20</v>
      </c>
      <c r="E288" s="1">
        <v>40</v>
      </c>
      <c r="F288" s="1">
        <v>60</v>
      </c>
      <c r="G288" s="4">
        <f>Table1[[#This Row],[stock]]/Table1[[#This Row],[HASIL MIN]]</f>
        <v>0.5</v>
      </c>
      <c r="H288" s="4">
        <f>Table1[[#This Row],[stock]]/Table1[[#This Row],[HASIL MAX]]</f>
        <v>0.33333333333333331</v>
      </c>
      <c r="I288" s="4"/>
      <c r="J288" s="4"/>
    </row>
    <row r="289" spans="1:10" x14ac:dyDescent="0.25">
      <c r="A289" s="48" t="s">
        <v>12145</v>
      </c>
      <c r="B289" t="s">
        <v>23016</v>
      </c>
      <c r="C289" t="s">
        <v>23209</v>
      </c>
      <c r="D289" s="3">
        <f>VLOOKUP(Table1[[#This Row],[CODE BARANG]],stock!$A:$C,3,)</f>
        <v>2</v>
      </c>
      <c r="E289" s="1">
        <v>2</v>
      </c>
      <c r="F289" s="1">
        <v>6</v>
      </c>
      <c r="G289" s="4">
        <f>Table1[[#This Row],[stock]]/Table1[[#This Row],[HASIL MIN]]</f>
        <v>1</v>
      </c>
      <c r="H289" s="4">
        <f>Table1[[#This Row],[stock]]/Table1[[#This Row],[HASIL MAX]]</f>
        <v>0.33333333333333331</v>
      </c>
      <c r="I289" s="4"/>
      <c r="J289" s="4"/>
    </row>
    <row r="290" spans="1:10" x14ac:dyDescent="0.25">
      <c r="A290" s="48" t="s">
        <v>14228</v>
      </c>
      <c r="B290" t="s">
        <v>19949</v>
      </c>
      <c r="C290" t="s">
        <v>23210</v>
      </c>
      <c r="D290" s="3">
        <f>VLOOKUP(Table1[[#This Row],[CODE BARANG]],stock!$A:$C,3,)</f>
        <v>10</v>
      </c>
      <c r="E290" s="1">
        <v>9</v>
      </c>
      <c r="F290" s="1">
        <v>30</v>
      </c>
      <c r="G290" s="4">
        <f>Table1[[#This Row],[stock]]/Table1[[#This Row],[HASIL MIN]]</f>
        <v>1.1111111111111112</v>
      </c>
      <c r="H290" s="4">
        <f>Table1[[#This Row],[stock]]/Table1[[#This Row],[HASIL MAX]]</f>
        <v>0.33333333333333331</v>
      </c>
      <c r="I290" s="4"/>
      <c r="J290" s="4"/>
    </row>
    <row r="291" spans="1:10" x14ac:dyDescent="0.25">
      <c r="A291" s="48" t="s">
        <v>18939</v>
      </c>
      <c r="B291" t="s">
        <v>18940</v>
      </c>
      <c r="C291" t="s">
        <v>23209</v>
      </c>
      <c r="D291" s="3">
        <f>VLOOKUP(Table1[[#This Row],[CODE BARANG]],stock!$A:$C,3,)</f>
        <v>4</v>
      </c>
      <c r="E291" s="1">
        <v>4</v>
      </c>
      <c r="F291" s="1">
        <v>12</v>
      </c>
      <c r="G291" s="4">
        <f>Table1[[#This Row],[stock]]/Table1[[#This Row],[HASIL MIN]]</f>
        <v>1</v>
      </c>
      <c r="H291" s="4">
        <f>Table1[[#This Row],[stock]]/Table1[[#This Row],[HASIL MAX]]</f>
        <v>0.33333333333333331</v>
      </c>
      <c r="I291" s="4"/>
      <c r="J291" s="4"/>
    </row>
    <row r="292" spans="1:10" x14ac:dyDescent="0.25">
      <c r="A292" s="48" t="s">
        <v>1944</v>
      </c>
      <c r="B292" t="s">
        <v>1945</v>
      </c>
      <c r="C292" t="s">
        <v>23211</v>
      </c>
      <c r="D292" s="3">
        <f>VLOOKUP(Table1[[#This Row],[CODE BARANG]],stock!$A:$C,3,)</f>
        <v>2</v>
      </c>
      <c r="E292" s="1">
        <v>4</v>
      </c>
      <c r="F292" s="1">
        <v>6</v>
      </c>
      <c r="G292" s="4">
        <f>Table1[[#This Row],[stock]]/Table1[[#This Row],[HASIL MIN]]</f>
        <v>0.5</v>
      </c>
      <c r="H292" s="4">
        <f>Table1[[#This Row],[stock]]/Table1[[#This Row],[HASIL MAX]]</f>
        <v>0.33333333333333331</v>
      </c>
      <c r="I292" s="4"/>
      <c r="J292" s="4"/>
    </row>
    <row r="293" spans="1:10" x14ac:dyDescent="0.25">
      <c r="A293" s="48" t="s">
        <v>205</v>
      </c>
      <c r="B293" t="s">
        <v>206</v>
      </c>
      <c r="C293" t="s">
        <v>23214</v>
      </c>
      <c r="D293" s="3">
        <f>VLOOKUP(Table1[[#This Row],[CODE BARANG]],stock!$A:$C,3,)</f>
        <v>41</v>
      </c>
      <c r="E293" s="1">
        <v>72</v>
      </c>
      <c r="F293" s="1">
        <v>120</v>
      </c>
      <c r="G293" s="4">
        <f>Table1[[#This Row],[stock]]/Table1[[#This Row],[HASIL MIN]]</f>
        <v>0.56944444444444442</v>
      </c>
      <c r="H293" s="4">
        <f>Table1[[#This Row],[stock]]/Table1[[#This Row],[HASIL MAX]]</f>
        <v>0.34166666666666667</v>
      </c>
      <c r="I293" s="4"/>
      <c r="J293" s="4"/>
    </row>
    <row r="294" spans="1:10" x14ac:dyDescent="0.25">
      <c r="A294" s="48" t="s">
        <v>1297</v>
      </c>
      <c r="B294" t="s">
        <v>1298</v>
      </c>
      <c r="C294" t="s">
        <v>23208</v>
      </c>
      <c r="D294" s="3">
        <f>VLOOKUP(Table1[[#This Row],[CODE BARANG]],stock!$A:$C,3,)</f>
        <v>85</v>
      </c>
      <c r="E294" s="1">
        <v>144</v>
      </c>
      <c r="F294" s="1">
        <v>244</v>
      </c>
      <c r="G294" s="4">
        <f>Table1[[#This Row],[stock]]/Table1[[#This Row],[HASIL MIN]]</f>
        <v>0.59027777777777779</v>
      </c>
      <c r="H294" s="4">
        <f>Table1[[#This Row],[stock]]/Table1[[#This Row],[HASIL MAX]]</f>
        <v>0.34836065573770492</v>
      </c>
      <c r="I294" s="4"/>
      <c r="J294" s="4"/>
    </row>
    <row r="295" spans="1:10" x14ac:dyDescent="0.25">
      <c r="A295" s="48" t="s">
        <v>567</v>
      </c>
      <c r="B295" t="s">
        <v>568</v>
      </c>
      <c r="C295" t="s">
        <v>23207</v>
      </c>
      <c r="D295" s="3">
        <f>VLOOKUP(Table1[[#This Row],[CODE BARANG]],stock!$A:$C,3,)</f>
        <v>42</v>
      </c>
      <c r="E295" s="1">
        <v>60</v>
      </c>
      <c r="F295" s="1">
        <v>120</v>
      </c>
      <c r="G295" s="4">
        <f>Table1[[#This Row],[stock]]/Table1[[#This Row],[HASIL MIN]]</f>
        <v>0.7</v>
      </c>
      <c r="H295" s="4">
        <f>Table1[[#This Row],[stock]]/Table1[[#This Row],[HASIL MAX]]</f>
        <v>0.35</v>
      </c>
      <c r="I295" s="4"/>
      <c r="J295" s="4"/>
    </row>
    <row r="296" spans="1:10" x14ac:dyDescent="0.25">
      <c r="A296" s="48" t="s">
        <v>603</v>
      </c>
      <c r="B296" t="s">
        <v>604</v>
      </c>
      <c r="C296" t="s">
        <v>23208</v>
      </c>
      <c r="D296" s="3">
        <f>VLOOKUP(Table1[[#This Row],[CODE BARANG]],stock!$A:$C,3,)</f>
        <v>42</v>
      </c>
      <c r="E296" s="1">
        <v>60</v>
      </c>
      <c r="F296" s="1">
        <v>120</v>
      </c>
      <c r="G296" s="4">
        <f>Table1[[#This Row],[stock]]/Table1[[#This Row],[HASIL MIN]]</f>
        <v>0.7</v>
      </c>
      <c r="H296" s="4">
        <f>Table1[[#This Row],[stock]]/Table1[[#This Row],[HASIL MAX]]</f>
        <v>0.35</v>
      </c>
      <c r="I296" s="4"/>
      <c r="J296" s="4"/>
    </row>
    <row r="297" spans="1:10" x14ac:dyDescent="0.25">
      <c r="A297" s="48" t="s">
        <v>23041</v>
      </c>
      <c r="B297" t="s">
        <v>23042</v>
      </c>
      <c r="C297" t="s">
        <v>23208</v>
      </c>
      <c r="D297" s="3">
        <f>VLOOKUP(Table1[[#This Row],[CODE BARANG]],stock!$A:$C,3,)</f>
        <v>36</v>
      </c>
      <c r="E297" s="1">
        <v>60</v>
      </c>
      <c r="F297" s="1">
        <v>100</v>
      </c>
      <c r="G297" s="4">
        <f>Table1[[#This Row],[stock]]/Table1[[#This Row],[HASIL MIN]]</f>
        <v>0.6</v>
      </c>
      <c r="H297" s="4">
        <f>Table1[[#This Row],[stock]]/Table1[[#This Row],[HASIL MAX]]</f>
        <v>0.36</v>
      </c>
      <c r="I297" s="4"/>
      <c r="J297" s="4"/>
    </row>
    <row r="298" spans="1:10" x14ac:dyDescent="0.25">
      <c r="A298" s="48" t="s">
        <v>2570</v>
      </c>
      <c r="B298" t="s">
        <v>22341</v>
      </c>
      <c r="C298" t="s">
        <v>23218</v>
      </c>
      <c r="D298" s="3">
        <f>VLOOKUP(Table1[[#This Row],[CODE BARANG]],stock!$A:$C,3,)</f>
        <v>11</v>
      </c>
      <c r="E298" s="1">
        <v>15</v>
      </c>
      <c r="F298" s="1">
        <v>30</v>
      </c>
      <c r="G298" s="4">
        <f>Table1[[#This Row],[stock]]/Table1[[#This Row],[HASIL MIN]]</f>
        <v>0.73333333333333328</v>
      </c>
      <c r="H298" s="4">
        <f>Table1[[#This Row],[stock]]/Table1[[#This Row],[HASIL MAX]]</f>
        <v>0.36666666666666664</v>
      </c>
      <c r="I298" s="4"/>
      <c r="J298" s="4"/>
    </row>
    <row r="299" spans="1:10" x14ac:dyDescent="0.25">
      <c r="A299" s="48" t="s">
        <v>973</v>
      </c>
      <c r="B299" t="s">
        <v>974</v>
      </c>
      <c r="C299" t="s">
        <v>442</v>
      </c>
      <c r="D299" s="3">
        <f>VLOOKUP(Table1[[#This Row],[CODE BARANG]],stock!$A:$C,3,)</f>
        <v>9</v>
      </c>
      <c r="E299" s="1">
        <v>12</v>
      </c>
      <c r="F299" s="1">
        <v>24</v>
      </c>
      <c r="G299" s="4">
        <f>Table1[[#This Row],[stock]]/Table1[[#This Row],[HASIL MIN]]</f>
        <v>0.75</v>
      </c>
      <c r="H299" s="4">
        <f>Table1[[#This Row],[stock]]/Table1[[#This Row],[HASIL MAX]]</f>
        <v>0.375</v>
      </c>
      <c r="I299" s="4"/>
      <c r="J299" s="4"/>
    </row>
    <row r="300" spans="1:10" x14ac:dyDescent="0.25">
      <c r="A300" s="48" t="s">
        <v>874</v>
      </c>
      <c r="B300" t="s">
        <v>875</v>
      </c>
      <c r="C300" t="s">
        <v>23209</v>
      </c>
      <c r="D300" s="3">
        <f>VLOOKUP(Table1[[#This Row],[CODE BARANG]],stock!$A:$C,3,)</f>
        <v>15</v>
      </c>
      <c r="E300" s="1">
        <v>24</v>
      </c>
      <c r="F300" s="1">
        <v>40</v>
      </c>
      <c r="G300" s="4">
        <f>Table1[[#This Row],[stock]]/Table1[[#This Row],[HASIL MIN]]</f>
        <v>0.625</v>
      </c>
      <c r="H300" s="4">
        <f>Table1[[#This Row],[stock]]/Table1[[#This Row],[HASIL MAX]]</f>
        <v>0.375</v>
      </c>
      <c r="I300" s="4"/>
      <c r="J300" s="4"/>
    </row>
    <row r="301" spans="1:10" x14ac:dyDescent="0.25">
      <c r="A301" s="48" t="s">
        <v>703</v>
      </c>
      <c r="B301" t="s">
        <v>704</v>
      </c>
      <c r="C301" t="s">
        <v>23209</v>
      </c>
      <c r="D301" s="3">
        <f>VLOOKUP(Table1[[#This Row],[CODE BARANG]],stock!$A:$C,3,)</f>
        <v>9</v>
      </c>
      <c r="E301" s="1">
        <v>12</v>
      </c>
      <c r="F301" s="1">
        <v>24</v>
      </c>
      <c r="G301" s="4">
        <f>Table1[[#This Row],[stock]]/Table1[[#This Row],[HASIL MIN]]</f>
        <v>0.75</v>
      </c>
      <c r="H301" s="4">
        <f>Table1[[#This Row],[stock]]/Table1[[#This Row],[HASIL MAX]]</f>
        <v>0.375</v>
      </c>
      <c r="I301" s="4"/>
      <c r="J301" s="4"/>
    </row>
    <row r="302" spans="1:10" x14ac:dyDescent="0.25">
      <c r="A302" s="48" t="s">
        <v>1347</v>
      </c>
      <c r="B302" t="s">
        <v>1348</v>
      </c>
      <c r="C302" t="s">
        <v>23209</v>
      </c>
      <c r="D302" s="3">
        <f>VLOOKUP(Table1[[#This Row],[CODE BARANG]],stock!$A:$C,3,)</f>
        <v>6</v>
      </c>
      <c r="E302" s="1">
        <v>8</v>
      </c>
      <c r="F302" s="1">
        <v>16</v>
      </c>
      <c r="G302" s="4">
        <f>Table1[[#This Row],[stock]]/Table1[[#This Row],[HASIL MIN]]</f>
        <v>0.75</v>
      </c>
      <c r="H302" s="4">
        <f>Table1[[#This Row],[stock]]/Table1[[#This Row],[HASIL MAX]]</f>
        <v>0.375</v>
      </c>
      <c r="I302" s="4"/>
      <c r="J302" s="4"/>
    </row>
    <row r="303" spans="1:10" x14ac:dyDescent="0.25">
      <c r="A303" s="48" t="s">
        <v>1207</v>
      </c>
      <c r="B303" t="s">
        <v>1208</v>
      </c>
      <c r="C303" t="s">
        <v>23212</v>
      </c>
      <c r="D303" s="3">
        <f>VLOOKUP(Table1[[#This Row],[CODE BARANG]],stock!$A:$C,3,)</f>
        <v>18</v>
      </c>
      <c r="E303" s="1">
        <v>24</v>
      </c>
      <c r="F303" s="1">
        <v>48</v>
      </c>
      <c r="G303" s="4">
        <f>Table1[[#This Row],[stock]]/Table1[[#This Row],[HASIL MIN]]</f>
        <v>0.75</v>
      </c>
      <c r="H303" s="4">
        <f>Table1[[#This Row],[stock]]/Table1[[#This Row],[HASIL MAX]]</f>
        <v>0.375</v>
      </c>
      <c r="I303" s="4"/>
      <c r="J303" s="4"/>
    </row>
    <row r="304" spans="1:10" x14ac:dyDescent="0.25">
      <c r="A304" s="48" t="s">
        <v>872</v>
      </c>
      <c r="B304" t="s">
        <v>873</v>
      </c>
      <c r="C304" t="s">
        <v>23211</v>
      </c>
      <c r="D304" s="3">
        <f>VLOOKUP(Table1[[#This Row],[CODE BARANG]],stock!$A:$C,3,)</f>
        <v>17</v>
      </c>
      <c r="E304" s="1">
        <v>30</v>
      </c>
      <c r="F304" s="1">
        <v>45</v>
      </c>
      <c r="G304" s="4">
        <f>Table1[[#This Row],[stock]]/Table1[[#This Row],[HASIL MIN]]</f>
        <v>0.56666666666666665</v>
      </c>
      <c r="H304" s="4">
        <f>Table1[[#This Row],[stock]]/Table1[[#This Row],[HASIL MAX]]</f>
        <v>0.37777777777777777</v>
      </c>
      <c r="I304" s="4"/>
      <c r="J304" s="4"/>
    </row>
    <row r="305" spans="1:10" x14ac:dyDescent="0.25">
      <c r="A305" s="48" t="s">
        <v>860</v>
      </c>
      <c r="B305" t="s">
        <v>861</v>
      </c>
      <c r="C305" t="s">
        <v>23207</v>
      </c>
      <c r="D305" s="3">
        <f>VLOOKUP(Table1[[#This Row],[CODE BARANG]],stock!$A:$C,3,)</f>
        <v>19</v>
      </c>
      <c r="E305" s="1">
        <v>25</v>
      </c>
      <c r="F305" s="1">
        <v>50</v>
      </c>
      <c r="G305" s="4">
        <f>Table1[[#This Row],[stock]]/Table1[[#This Row],[HASIL MIN]]</f>
        <v>0.76</v>
      </c>
      <c r="H305" s="4">
        <f>Table1[[#This Row],[stock]]/Table1[[#This Row],[HASIL MAX]]</f>
        <v>0.38</v>
      </c>
      <c r="I305" s="4"/>
      <c r="J305" s="4"/>
    </row>
    <row r="306" spans="1:10" x14ac:dyDescent="0.25">
      <c r="A306" s="48" t="s">
        <v>1043</v>
      </c>
      <c r="B306" t="s">
        <v>1044</v>
      </c>
      <c r="C306" t="s">
        <v>23210</v>
      </c>
      <c r="D306" s="3">
        <f>VLOOKUP(Table1[[#This Row],[CODE BARANG]],stock!$A:$C,3,)</f>
        <v>19</v>
      </c>
      <c r="E306" s="1">
        <v>24</v>
      </c>
      <c r="F306" s="1">
        <v>48</v>
      </c>
      <c r="G306" s="4">
        <f>Table1[[#This Row],[stock]]/Table1[[#This Row],[HASIL MIN]]</f>
        <v>0.79166666666666663</v>
      </c>
      <c r="H306" s="4">
        <f>Table1[[#This Row],[stock]]/Table1[[#This Row],[HASIL MAX]]</f>
        <v>0.39583333333333331</v>
      </c>
      <c r="I306" s="4"/>
      <c r="J306" s="4"/>
    </row>
    <row r="307" spans="1:10" x14ac:dyDescent="0.25">
      <c r="A307" s="48" t="s">
        <v>1385</v>
      </c>
      <c r="B307" t="s">
        <v>1386</v>
      </c>
      <c r="C307" t="s">
        <v>442</v>
      </c>
      <c r="D307" s="3">
        <f>VLOOKUP(Table1[[#This Row],[CODE BARANG]],stock!$A:$C,3,)</f>
        <v>198</v>
      </c>
      <c r="E307" s="1">
        <v>200</v>
      </c>
      <c r="F307" s="1">
        <v>500</v>
      </c>
      <c r="G307" s="4">
        <f>Table1[[#This Row],[stock]]/Table1[[#This Row],[HASIL MIN]]</f>
        <v>0.99</v>
      </c>
      <c r="H307" s="4">
        <f>Table1[[#This Row],[stock]]/Table1[[#This Row],[HASIL MAX]]</f>
        <v>0.39600000000000002</v>
      </c>
      <c r="I307" s="4"/>
      <c r="J307" s="4"/>
    </row>
    <row r="308" spans="1:10" x14ac:dyDescent="0.25">
      <c r="A308" s="48" t="s">
        <v>14441</v>
      </c>
      <c r="B308" t="s">
        <v>14442</v>
      </c>
      <c r="C308" t="s">
        <v>23219</v>
      </c>
      <c r="D308" s="3">
        <f>VLOOKUP(Table1[[#This Row],[CODE BARANG]],stock!$A:$C,3,)</f>
        <v>8</v>
      </c>
      <c r="E308" s="1">
        <v>8</v>
      </c>
      <c r="F308" s="1">
        <v>20</v>
      </c>
      <c r="G308" s="4">
        <f>Table1[[#This Row],[stock]]/Table1[[#This Row],[HASIL MIN]]</f>
        <v>1</v>
      </c>
      <c r="H308" s="4">
        <f>Table1[[#This Row],[stock]]/Table1[[#This Row],[HASIL MAX]]</f>
        <v>0.4</v>
      </c>
      <c r="I308" s="4"/>
      <c r="J308" s="4"/>
    </row>
    <row r="309" spans="1:10" x14ac:dyDescent="0.25">
      <c r="A309" s="48" t="s">
        <v>839</v>
      </c>
      <c r="B309" t="s">
        <v>840</v>
      </c>
      <c r="C309" t="s">
        <v>442</v>
      </c>
      <c r="D309" s="3">
        <f>VLOOKUP(Table1[[#This Row],[CODE BARANG]],stock!$A:$C,3,)</f>
        <v>6</v>
      </c>
      <c r="E309" s="1">
        <v>10</v>
      </c>
      <c r="F309" s="1">
        <v>15</v>
      </c>
      <c r="G309" s="4">
        <f>Table1[[#This Row],[stock]]/Table1[[#This Row],[HASIL MIN]]</f>
        <v>0.6</v>
      </c>
      <c r="H309" s="4">
        <f>Table1[[#This Row],[stock]]/Table1[[#This Row],[HASIL MAX]]</f>
        <v>0.4</v>
      </c>
      <c r="I309" s="4"/>
      <c r="J309" s="4"/>
    </row>
    <row r="310" spans="1:10" x14ac:dyDescent="0.25">
      <c r="A310" s="48" t="s">
        <v>661</v>
      </c>
      <c r="B310" t="s">
        <v>662</v>
      </c>
      <c r="C310" t="s">
        <v>23211</v>
      </c>
      <c r="D310" s="3">
        <f>VLOOKUP(Table1[[#This Row],[CODE BARANG]],stock!$A:$C,3,)</f>
        <v>245</v>
      </c>
      <c r="E310" s="1">
        <v>300</v>
      </c>
      <c r="F310" s="1">
        <v>600</v>
      </c>
      <c r="G310" s="4">
        <f>Table1[[#This Row],[stock]]/Table1[[#This Row],[HASIL MIN]]</f>
        <v>0.81666666666666665</v>
      </c>
      <c r="H310" s="4">
        <f>Table1[[#This Row],[stock]]/Table1[[#This Row],[HASIL MAX]]</f>
        <v>0.40833333333333333</v>
      </c>
      <c r="I310" s="4"/>
      <c r="J310" s="4"/>
    </row>
    <row r="311" spans="1:10" x14ac:dyDescent="0.25">
      <c r="A311" s="48" t="s">
        <v>331</v>
      </c>
      <c r="B311" t="s">
        <v>332</v>
      </c>
      <c r="C311" t="s">
        <v>442</v>
      </c>
      <c r="D311" s="3">
        <f>VLOOKUP(Table1[[#This Row],[CODE BARANG]],stock!$A:$C,3,)</f>
        <v>5</v>
      </c>
      <c r="E311" s="1">
        <v>6</v>
      </c>
      <c r="F311" s="1">
        <v>12</v>
      </c>
      <c r="G311" s="4">
        <f>Table1[[#This Row],[stock]]/Table1[[#This Row],[HASIL MIN]]</f>
        <v>0.83333333333333337</v>
      </c>
      <c r="H311" s="4">
        <f>Table1[[#This Row],[stock]]/Table1[[#This Row],[HASIL MAX]]</f>
        <v>0.41666666666666669</v>
      </c>
      <c r="I311" s="4"/>
      <c r="J311" s="4"/>
    </row>
    <row r="312" spans="1:10" x14ac:dyDescent="0.25">
      <c r="A312" s="48" t="s">
        <v>1896</v>
      </c>
      <c r="B312" t="s">
        <v>1897</v>
      </c>
      <c r="C312" t="s">
        <v>442</v>
      </c>
      <c r="D312" s="3">
        <f>VLOOKUP(Table1[[#This Row],[CODE BARANG]],stock!$A:$C,3,)</f>
        <v>10</v>
      </c>
      <c r="E312" s="1">
        <v>12</v>
      </c>
      <c r="F312" s="1">
        <v>24</v>
      </c>
      <c r="G312" s="4">
        <f>Table1[[#This Row],[stock]]/Table1[[#This Row],[HASIL MIN]]</f>
        <v>0.83333333333333337</v>
      </c>
      <c r="H312" s="4">
        <f>Table1[[#This Row],[stock]]/Table1[[#This Row],[HASIL MAX]]</f>
        <v>0.41666666666666669</v>
      </c>
      <c r="I312" s="4"/>
      <c r="J312" s="4"/>
    </row>
    <row r="313" spans="1:10" x14ac:dyDescent="0.25">
      <c r="A313" s="48" t="s">
        <v>265</v>
      </c>
      <c r="B313" t="s">
        <v>266</v>
      </c>
      <c r="C313" t="s">
        <v>23210</v>
      </c>
      <c r="D313" s="3">
        <f>VLOOKUP(Table1[[#This Row],[CODE BARANG]],stock!$A:$C,3,)</f>
        <v>5</v>
      </c>
      <c r="E313" s="1">
        <v>6</v>
      </c>
      <c r="F313" s="1">
        <v>12</v>
      </c>
      <c r="G313" s="4">
        <f>Table1[[#This Row],[stock]]/Table1[[#This Row],[HASIL MIN]]</f>
        <v>0.83333333333333337</v>
      </c>
      <c r="H313" s="4">
        <f>Table1[[#This Row],[stock]]/Table1[[#This Row],[HASIL MAX]]</f>
        <v>0.41666666666666669</v>
      </c>
      <c r="I313" s="4"/>
      <c r="J313" s="4"/>
    </row>
    <row r="314" spans="1:10" x14ac:dyDescent="0.25">
      <c r="A314" s="48" t="s">
        <v>1713</v>
      </c>
      <c r="B314" t="s">
        <v>1714</v>
      </c>
      <c r="C314" t="s">
        <v>23209</v>
      </c>
      <c r="D314" s="3">
        <f>VLOOKUP(Table1[[#This Row],[CODE BARANG]],stock!$A:$C,3,)</f>
        <v>5</v>
      </c>
      <c r="E314" s="1">
        <v>6</v>
      </c>
      <c r="F314" s="1">
        <v>12</v>
      </c>
      <c r="G314" s="4">
        <f>Table1[[#This Row],[stock]]/Table1[[#This Row],[HASIL MIN]]</f>
        <v>0.83333333333333337</v>
      </c>
      <c r="H314" s="4">
        <f>Table1[[#This Row],[stock]]/Table1[[#This Row],[HASIL MAX]]</f>
        <v>0.41666666666666669</v>
      </c>
      <c r="I314" s="4"/>
      <c r="J314" s="4"/>
    </row>
    <row r="315" spans="1:10" x14ac:dyDescent="0.25">
      <c r="A315" s="48" t="s">
        <v>177</v>
      </c>
      <c r="B315" t="s">
        <v>178</v>
      </c>
      <c r="C315" t="s">
        <v>23209</v>
      </c>
      <c r="D315" s="3">
        <f>VLOOKUP(Table1[[#This Row],[CODE BARANG]],stock!$A:$C,3,)</f>
        <v>5</v>
      </c>
      <c r="E315" s="1">
        <v>6</v>
      </c>
      <c r="F315" s="1">
        <v>12</v>
      </c>
      <c r="G315" s="4">
        <f>Table1[[#This Row],[stock]]/Table1[[#This Row],[HASIL MIN]]</f>
        <v>0.83333333333333337</v>
      </c>
      <c r="H315" s="4">
        <f>Table1[[#This Row],[stock]]/Table1[[#This Row],[HASIL MAX]]</f>
        <v>0.41666666666666669</v>
      </c>
      <c r="I315" s="4"/>
      <c r="J315" s="4"/>
    </row>
    <row r="316" spans="1:10" x14ac:dyDescent="0.25">
      <c r="A316" s="48" t="s">
        <v>14094</v>
      </c>
      <c r="B316" t="s">
        <v>14095</v>
      </c>
      <c r="C316" t="s">
        <v>23209</v>
      </c>
      <c r="D316" s="3">
        <f>VLOOKUP(Table1[[#This Row],[CODE BARANG]],stock!$A:$C,3,)</f>
        <v>5</v>
      </c>
      <c r="E316" s="1">
        <v>2</v>
      </c>
      <c r="F316" s="1">
        <v>12</v>
      </c>
      <c r="G316" s="4">
        <f>Table1[[#This Row],[stock]]/Table1[[#This Row],[HASIL MIN]]</f>
        <v>2.5</v>
      </c>
      <c r="H316" s="4">
        <f>Table1[[#This Row],[stock]]/Table1[[#This Row],[HASIL MAX]]</f>
        <v>0.41666666666666669</v>
      </c>
      <c r="I316" s="4"/>
      <c r="J316" s="4"/>
    </row>
    <row r="317" spans="1:10" x14ac:dyDescent="0.25">
      <c r="A317" s="48" t="s">
        <v>1417</v>
      </c>
      <c r="B317" t="s">
        <v>1418</v>
      </c>
      <c r="C317" t="s">
        <v>23209</v>
      </c>
      <c r="D317" s="3">
        <f>VLOOKUP(Table1[[#This Row],[CODE BARANG]],stock!$A:$C,3,)</f>
        <v>10</v>
      </c>
      <c r="E317" s="1">
        <v>12</v>
      </c>
      <c r="F317" s="1">
        <v>24</v>
      </c>
      <c r="G317" s="4">
        <f>Table1[[#This Row],[stock]]/Table1[[#This Row],[HASIL MIN]]</f>
        <v>0.83333333333333337</v>
      </c>
      <c r="H317" s="4">
        <f>Table1[[#This Row],[stock]]/Table1[[#This Row],[HASIL MAX]]</f>
        <v>0.41666666666666669</v>
      </c>
      <c r="I317" s="4"/>
      <c r="J317" s="4"/>
    </row>
    <row r="318" spans="1:10" x14ac:dyDescent="0.25">
      <c r="A318" s="48" t="s">
        <v>1868</v>
      </c>
      <c r="B318" t="s">
        <v>1869</v>
      </c>
      <c r="C318" t="s">
        <v>912</v>
      </c>
      <c r="D318" s="3">
        <f>VLOOKUP(Table1[[#This Row],[CODE BARANG]],stock!$A:$C,3,)</f>
        <v>10</v>
      </c>
      <c r="E318" s="1">
        <v>12</v>
      </c>
      <c r="F318" s="1">
        <v>24</v>
      </c>
      <c r="G318" s="4">
        <f>Table1[[#This Row],[stock]]/Table1[[#This Row],[HASIL MIN]]</f>
        <v>0.83333333333333337</v>
      </c>
      <c r="H318" s="4">
        <f>Table1[[#This Row],[stock]]/Table1[[#This Row],[HASIL MAX]]</f>
        <v>0.41666666666666669</v>
      </c>
      <c r="I318" s="4"/>
      <c r="J318" s="4"/>
    </row>
    <row r="319" spans="1:10" x14ac:dyDescent="0.25">
      <c r="A319" s="48" t="s">
        <v>1876</v>
      </c>
      <c r="B319" t="s">
        <v>1877</v>
      </c>
      <c r="C319" t="s">
        <v>23209</v>
      </c>
      <c r="D319" s="3">
        <f>VLOOKUP(Table1[[#This Row],[CODE BARANG]],stock!$A:$C,3,)</f>
        <v>5</v>
      </c>
      <c r="E319" s="1">
        <v>4</v>
      </c>
      <c r="F319" s="1">
        <v>12</v>
      </c>
      <c r="G319" s="4">
        <f>Table1[[#This Row],[stock]]/Table1[[#This Row],[HASIL MIN]]</f>
        <v>1.25</v>
      </c>
      <c r="H319" s="4">
        <f>Table1[[#This Row],[stock]]/Table1[[#This Row],[HASIL MAX]]</f>
        <v>0.41666666666666669</v>
      </c>
      <c r="I319" s="4"/>
      <c r="J319" s="4"/>
    </row>
    <row r="320" spans="1:10" x14ac:dyDescent="0.25">
      <c r="A320" s="48" t="s">
        <v>1956</v>
      </c>
      <c r="B320" t="s">
        <v>1957</v>
      </c>
      <c r="C320" t="s">
        <v>23209</v>
      </c>
      <c r="D320" s="3">
        <f>VLOOKUP(Table1[[#This Row],[CODE BARANG]],stock!$A:$C,3,)</f>
        <v>5</v>
      </c>
      <c r="E320" s="1">
        <v>6</v>
      </c>
      <c r="F320" s="1">
        <v>12</v>
      </c>
      <c r="G320" s="4">
        <f>Table1[[#This Row],[stock]]/Table1[[#This Row],[HASIL MIN]]</f>
        <v>0.83333333333333337</v>
      </c>
      <c r="H320" s="4">
        <f>Table1[[#This Row],[stock]]/Table1[[#This Row],[HASIL MAX]]</f>
        <v>0.41666666666666669</v>
      </c>
      <c r="I320" s="4"/>
      <c r="J320" s="4"/>
    </row>
    <row r="321" spans="1:10" x14ac:dyDescent="0.25">
      <c r="A321" s="48" t="s">
        <v>269</v>
      </c>
      <c r="B321" t="s">
        <v>270</v>
      </c>
      <c r="C321" t="s">
        <v>442</v>
      </c>
      <c r="D321" s="3">
        <f>VLOOKUP(Table1[[#This Row],[CODE BARANG]],stock!$A:$C,3,)</f>
        <v>5</v>
      </c>
      <c r="E321" s="1">
        <v>8</v>
      </c>
      <c r="F321" s="1">
        <v>12</v>
      </c>
      <c r="G321" s="4">
        <f>Table1[[#This Row],[stock]]/Table1[[#This Row],[HASIL MIN]]</f>
        <v>0.625</v>
      </c>
      <c r="H321" s="4">
        <f>Table1[[#This Row],[stock]]/Table1[[#This Row],[HASIL MAX]]</f>
        <v>0.41666666666666669</v>
      </c>
      <c r="I321" s="4"/>
      <c r="J321" s="4"/>
    </row>
    <row r="322" spans="1:10" x14ac:dyDescent="0.25">
      <c r="A322" s="48" t="s">
        <v>1629</v>
      </c>
      <c r="B322" t="s">
        <v>22928</v>
      </c>
      <c r="C322" t="s">
        <v>439</v>
      </c>
      <c r="D322" s="3">
        <f>VLOOKUP(Table1[[#This Row],[CODE BARANG]],stock!$A:$C,3,)</f>
        <v>5</v>
      </c>
      <c r="E322" s="1">
        <v>6</v>
      </c>
      <c r="F322" s="1">
        <v>12</v>
      </c>
      <c r="G322" s="4">
        <f>Table1[[#This Row],[stock]]/Table1[[#This Row],[HASIL MIN]]</f>
        <v>0.83333333333333337</v>
      </c>
      <c r="H322" s="4">
        <f>Table1[[#This Row],[stock]]/Table1[[#This Row],[HASIL MAX]]</f>
        <v>0.41666666666666669</v>
      </c>
      <c r="I322" s="4"/>
      <c r="J322" s="4"/>
    </row>
    <row r="323" spans="1:10" x14ac:dyDescent="0.25">
      <c r="A323" s="48" t="s">
        <v>199</v>
      </c>
      <c r="B323" t="s">
        <v>200</v>
      </c>
      <c r="C323" t="s">
        <v>23209</v>
      </c>
      <c r="D323" s="3">
        <f>VLOOKUP(Table1[[#This Row],[CODE BARANG]],stock!$A:$C,3,)</f>
        <v>5</v>
      </c>
      <c r="E323" s="1">
        <v>6</v>
      </c>
      <c r="F323" s="1">
        <v>12</v>
      </c>
      <c r="G323" s="4">
        <f>Table1[[#This Row],[stock]]/Table1[[#This Row],[HASIL MIN]]</f>
        <v>0.83333333333333337</v>
      </c>
      <c r="H323" s="4">
        <f>Table1[[#This Row],[stock]]/Table1[[#This Row],[HASIL MAX]]</f>
        <v>0.41666666666666669</v>
      </c>
      <c r="I323" s="4"/>
      <c r="J323" s="4"/>
    </row>
    <row r="324" spans="1:10" x14ac:dyDescent="0.25">
      <c r="A324" s="48" t="s">
        <v>15068</v>
      </c>
      <c r="B324" t="s">
        <v>15069</v>
      </c>
      <c r="C324" t="s">
        <v>23219</v>
      </c>
      <c r="D324" s="3">
        <f>VLOOKUP(Table1[[#This Row],[CODE BARANG]],stock!$A:$C,3,)</f>
        <v>5</v>
      </c>
      <c r="E324" s="1">
        <v>9</v>
      </c>
      <c r="F324" s="1">
        <v>12</v>
      </c>
      <c r="G324" s="4">
        <f>Table1[[#This Row],[stock]]/Table1[[#This Row],[HASIL MIN]]</f>
        <v>0.55555555555555558</v>
      </c>
      <c r="H324" s="4">
        <f>Table1[[#This Row],[stock]]/Table1[[#This Row],[HASIL MAX]]</f>
        <v>0.41666666666666669</v>
      </c>
      <c r="I324" s="4"/>
      <c r="J324" s="4"/>
    </row>
    <row r="325" spans="1:10" x14ac:dyDescent="0.25">
      <c r="A325" s="48" t="s">
        <v>1137</v>
      </c>
      <c r="B325" t="s">
        <v>1138</v>
      </c>
      <c r="C325" t="s">
        <v>442</v>
      </c>
      <c r="D325" s="3">
        <f>VLOOKUP(Table1[[#This Row],[CODE BARANG]],stock!$A:$C,3,)</f>
        <v>170</v>
      </c>
      <c r="E325" s="1">
        <v>200</v>
      </c>
      <c r="F325" s="1">
        <v>400</v>
      </c>
      <c r="G325" s="4">
        <f>Table1[[#This Row],[stock]]/Table1[[#This Row],[HASIL MIN]]</f>
        <v>0.85</v>
      </c>
      <c r="H325" s="4">
        <f>Table1[[#This Row],[stock]]/Table1[[#This Row],[HASIL MAX]]</f>
        <v>0.42499999999999999</v>
      </c>
      <c r="I325" s="4"/>
      <c r="J325" s="4"/>
    </row>
    <row r="326" spans="1:10" x14ac:dyDescent="0.25">
      <c r="A326" s="48" t="s">
        <v>431</v>
      </c>
      <c r="B326" t="s">
        <v>432</v>
      </c>
      <c r="C326" t="s">
        <v>23217</v>
      </c>
      <c r="D326" s="3">
        <f>VLOOKUP(Table1[[#This Row],[CODE BARANG]],stock!$A:$C,3,)</f>
        <v>62</v>
      </c>
      <c r="E326" s="1">
        <v>72</v>
      </c>
      <c r="F326" s="1">
        <v>144</v>
      </c>
      <c r="G326" s="4">
        <f>Table1[[#This Row],[stock]]/Table1[[#This Row],[HASIL MIN]]</f>
        <v>0.86111111111111116</v>
      </c>
      <c r="H326" s="4">
        <f>Table1[[#This Row],[stock]]/Table1[[#This Row],[HASIL MAX]]</f>
        <v>0.43055555555555558</v>
      </c>
      <c r="I326" s="4"/>
      <c r="J326" s="4"/>
    </row>
    <row r="327" spans="1:10" x14ac:dyDescent="0.25">
      <c r="A327" s="48" t="s">
        <v>1489</v>
      </c>
      <c r="B327" t="s">
        <v>1490</v>
      </c>
      <c r="C327" t="s">
        <v>23211</v>
      </c>
      <c r="D327" s="3">
        <f>VLOOKUP(Table1[[#This Row],[CODE BARANG]],stock!$A:$C,3,)</f>
        <v>52</v>
      </c>
      <c r="E327" s="1">
        <v>60</v>
      </c>
      <c r="F327" s="1">
        <v>120</v>
      </c>
      <c r="G327" s="4">
        <f>Table1[[#This Row],[stock]]/Table1[[#This Row],[HASIL MIN]]</f>
        <v>0.8666666666666667</v>
      </c>
      <c r="H327" s="4">
        <f>Table1[[#This Row],[stock]]/Table1[[#This Row],[HASIL MAX]]</f>
        <v>0.43333333333333335</v>
      </c>
      <c r="I327" s="4"/>
      <c r="J327" s="4"/>
    </row>
    <row r="328" spans="1:10" x14ac:dyDescent="0.25">
      <c r="A328" s="48" t="s">
        <v>884</v>
      </c>
      <c r="B328" t="s">
        <v>885</v>
      </c>
      <c r="C328" t="s">
        <v>23215</v>
      </c>
      <c r="D328" s="3">
        <f>VLOOKUP(Table1[[#This Row],[CODE BARANG]],stock!$A:$C,3,)</f>
        <v>312</v>
      </c>
      <c r="E328" s="1">
        <v>480</v>
      </c>
      <c r="F328" s="1">
        <v>720</v>
      </c>
      <c r="G328" s="4">
        <f>Table1[[#This Row],[stock]]/Table1[[#This Row],[HASIL MIN]]</f>
        <v>0.65</v>
      </c>
      <c r="H328" s="4">
        <f>Table1[[#This Row],[stock]]/Table1[[#This Row],[HASIL MAX]]</f>
        <v>0.43333333333333335</v>
      </c>
      <c r="I328" s="4"/>
      <c r="J328" s="4"/>
    </row>
    <row r="329" spans="1:10" x14ac:dyDescent="0.25">
      <c r="A329" s="48" t="s">
        <v>858</v>
      </c>
      <c r="B329" t="s">
        <v>859</v>
      </c>
      <c r="C329" t="s">
        <v>23209</v>
      </c>
      <c r="D329" s="3">
        <f>VLOOKUP(Table1[[#This Row],[CODE BARANG]],stock!$A:$C,3,)</f>
        <v>7</v>
      </c>
      <c r="E329" s="1">
        <v>10</v>
      </c>
      <c r="F329" s="1">
        <v>16</v>
      </c>
      <c r="G329" s="4">
        <f>Table1[[#This Row],[stock]]/Table1[[#This Row],[HASIL MIN]]</f>
        <v>0.7</v>
      </c>
      <c r="H329" s="4">
        <f>Table1[[#This Row],[stock]]/Table1[[#This Row],[HASIL MAX]]</f>
        <v>0.4375</v>
      </c>
      <c r="I329" s="4"/>
      <c r="J329" s="4"/>
    </row>
    <row r="330" spans="1:10" x14ac:dyDescent="0.25">
      <c r="A330" s="48" t="s">
        <v>1972</v>
      </c>
      <c r="B330" t="s">
        <v>1973</v>
      </c>
      <c r="C330" t="s">
        <v>23209</v>
      </c>
      <c r="D330" s="3">
        <f>VLOOKUP(Table1[[#This Row],[CODE BARANG]],stock!$A:$C,3,)</f>
        <v>21</v>
      </c>
      <c r="E330" s="1">
        <v>24</v>
      </c>
      <c r="F330" s="1">
        <v>48</v>
      </c>
      <c r="G330" s="4">
        <f>Table1[[#This Row],[stock]]/Table1[[#This Row],[HASIL MIN]]</f>
        <v>0.875</v>
      </c>
      <c r="H330" s="4">
        <f>Table1[[#This Row],[stock]]/Table1[[#This Row],[HASIL MAX]]</f>
        <v>0.4375</v>
      </c>
      <c r="I330" s="4"/>
      <c r="J330" s="4"/>
    </row>
    <row r="331" spans="1:10" x14ac:dyDescent="0.25">
      <c r="A331" s="48" t="s">
        <v>563</v>
      </c>
      <c r="B331" t="s">
        <v>564</v>
      </c>
      <c r="C331" t="s">
        <v>23207</v>
      </c>
      <c r="D331" s="3">
        <f>VLOOKUP(Table1[[#This Row],[CODE BARANG]],stock!$A:$C,3,)</f>
        <v>106</v>
      </c>
      <c r="E331" s="1">
        <v>120</v>
      </c>
      <c r="F331" s="1">
        <v>240</v>
      </c>
      <c r="G331" s="4">
        <f>Table1[[#This Row],[stock]]/Table1[[#This Row],[HASIL MIN]]</f>
        <v>0.8833333333333333</v>
      </c>
      <c r="H331" s="4">
        <f>Table1[[#This Row],[stock]]/Table1[[#This Row],[HASIL MAX]]</f>
        <v>0.44166666666666665</v>
      </c>
      <c r="I331" s="4"/>
      <c r="J331" s="4"/>
    </row>
    <row r="332" spans="1:10" x14ac:dyDescent="0.25">
      <c r="A332" s="48" t="s">
        <v>9808</v>
      </c>
      <c r="B332" t="s">
        <v>9809</v>
      </c>
      <c r="C332" t="s">
        <v>23214</v>
      </c>
      <c r="D332" s="3">
        <f>VLOOKUP(Table1[[#This Row],[CODE BARANG]],stock!$A:$C,3,)</f>
        <v>9</v>
      </c>
      <c r="E332" s="1">
        <v>7</v>
      </c>
      <c r="F332" s="1">
        <v>20</v>
      </c>
      <c r="G332" s="4">
        <f>Table1[[#This Row],[stock]]/Table1[[#This Row],[HASIL MIN]]</f>
        <v>1.2857142857142858</v>
      </c>
      <c r="H332" s="4">
        <f>Table1[[#This Row],[stock]]/Table1[[#This Row],[HASIL MAX]]</f>
        <v>0.45</v>
      </c>
      <c r="I332" s="4"/>
      <c r="J332" s="4"/>
    </row>
    <row r="333" spans="1:10" x14ac:dyDescent="0.25">
      <c r="A333" s="48" t="s">
        <v>237</v>
      </c>
      <c r="B333" t="s">
        <v>238</v>
      </c>
      <c r="C333" t="s">
        <v>23214</v>
      </c>
      <c r="D333" s="3">
        <f>VLOOKUP(Table1[[#This Row],[CODE BARANG]],stock!$A:$C,3,)</f>
        <v>18</v>
      </c>
      <c r="E333" s="1">
        <v>20</v>
      </c>
      <c r="F333" s="1">
        <v>40</v>
      </c>
      <c r="G333" s="4">
        <f>Table1[[#This Row],[stock]]/Table1[[#This Row],[HASIL MIN]]</f>
        <v>0.9</v>
      </c>
      <c r="H333" s="4">
        <f>Table1[[#This Row],[stock]]/Table1[[#This Row],[HASIL MAX]]</f>
        <v>0.45</v>
      </c>
      <c r="I333" s="4"/>
      <c r="J333" s="4"/>
    </row>
    <row r="334" spans="1:10" x14ac:dyDescent="0.25">
      <c r="A334" s="48" t="s">
        <v>1391</v>
      </c>
      <c r="B334" t="s">
        <v>1392</v>
      </c>
      <c r="C334" t="s">
        <v>23209</v>
      </c>
      <c r="D334" s="3">
        <f>VLOOKUP(Table1[[#This Row],[CODE BARANG]],stock!$A:$C,3,)</f>
        <v>27</v>
      </c>
      <c r="E334" s="1">
        <v>24</v>
      </c>
      <c r="F334" s="1">
        <v>60</v>
      </c>
      <c r="G334" s="4">
        <f>Table1[[#This Row],[stock]]/Table1[[#This Row],[HASIL MIN]]</f>
        <v>1.125</v>
      </c>
      <c r="H334" s="4">
        <f>Table1[[#This Row],[stock]]/Table1[[#This Row],[HASIL MAX]]</f>
        <v>0.45</v>
      </c>
      <c r="I334" s="4"/>
      <c r="J334" s="4"/>
    </row>
    <row r="335" spans="1:10" x14ac:dyDescent="0.25">
      <c r="A335" s="48" t="s">
        <v>211</v>
      </c>
      <c r="B335" t="s">
        <v>212</v>
      </c>
      <c r="C335" t="s">
        <v>23214</v>
      </c>
      <c r="D335" s="3">
        <f>VLOOKUP(Table1[[#This Row],[CODE BARANG]],stock!$A:$C,3,)</f>
        <v>18</v>
      </c>
      <c r="E335" s="1">
        <v>20</v>
      </c>
      <c r="F335" s="1">
        <v>40</v>
      </c>
      <c r="G335" s="4">
        <f>Table1[[#This Row],[stock]]/Table1[[#This Row],[HASIL MIN]]</f>
        <v>0.9</v>
      </c>
      <c r="H335" s="4">
        <f>Table1[[#This Row],[stock]]/Table1[[#This Row],[HASIL MAX]]</f>
        <v>0.45</v>
      </c>
      <c r="I335" s="4"/>
      <c r="J335" s="4"/>
    </row>
    <row r="336" spans="1:10" x14ac:dyDescent="0.25">
      <c r="A336" s="48" t="s">
        <v>1493</v>
      </c>
      <c r="B336" t="s">
        <v>1494</v>
      </c>
      <c r="C336" t="s">
        <v>23214</v>
      </c>
      <c r="D336" s="3">
        <f>VLOOKUP(Table1[[#This Row],[CODE BARANG]],stock!$A:$C,3,)</f>
        <v>18</v>
      </c>
      <c r="E336" s="1">
        <v>20</v>
      </c>
      <c r="F336" s="1">
        <v>40</v>
      </c>
      <c r="G336" s="4">
        <f>Table1[[#This Row],[stock]]/Table1[[#This Row],[HASIL MIN]]</f>
        <v>0.9</v>
      </c>
      <c r="H336" s="4">
        <f>Table1[[#This Row],[stock]]/Table1[[#This Row],[HASIL MAX]]</f>
        <v>0.45</v>
      </c>
      <c r="I336" s="4"/>
      <c r="J336" s="4"/>
    </row>
    <row r="337" spans="1:10" x14ac:dyDescent="0.25">
      <c r="A337" s="48" t="s">
        <v>709</v>
      </c>
      <c r="B337" t="s">
        <v>710</v>
      </c>
      <c r="C337" t="s">
        <v>23214</v>
      </c>
      <c r="D337" s="3">
        <f>VLOOKUP(Table1[[#This Row],[CODE BARANG]],stock!$A:$C,3,)</f>
        <v>18</v>
      </c>
      <c r="E337" s="1">
        <v>20</v>
      </c>
      <c r="F337" s="1">
        <v>40</v>
      </c>
      <c r="G337" s="4">
        <f>Table1[[#This Row],[stock]]/Table1[[#This Row],[HASIL MIN]]</f>
        <v>0.9</v>
      </c>
      <c r="H337" s="4">
        <f>Table1[[#This Row],[stock]]/Table1[[#This Row],[HASIL MAX]]</f>
        <v>0.45</v>
      </c>
      <c r="I337" s="4"/>
      <c r="J337" s="4"/>
    </row>
    <row r="338" spans="1:10" x14ac:dyDescent="0.25">
      <c r="A338" s="48" t="s">
        <v>1529</v>
      </c>
      <c r="B338" t="s">
        <v>1530</v>
      </c>
      <c r="C338" t="s">
        <v>23209</v>
      </c>
      <c r="D338" s="3">
        <f>VLOOKUP(Table1[[#This Row],[CODE BARANG]],stock!$A:$C,3,)</f>
        <v>11</v>
      </c>
      <c r="E338" s="1">
        <v>12</v>
      </c>
      <c r="F338" s="1">
        <v>24</v>
      </c>
      <c r="G338" s="4">
        <f>Table1[[#This Row],[stock]]/Table1[[#This Row],[HASIL MIN]]</f>
        <v>0.91666666666666663</v>
      </c>
      <c r="H338" s="4">
        <f>Table1[[#This Row],[stock]]/Table1[[#This Row],[HASIL MAX]]</f>
        <v>0.45833333333333331</v>
      </c>
      <c r="I338" s="4"/>
      <c r="J338" s="4"/>
    </row>
    <row r="339" spans="1:10" x14ac:dyDescent="0.25">
      <c r="A339" s="48" t="s">
        <v>3863</v>
      </c>
      <c r="B339" t="s">
        <v>3864</v>
      </c>
      <c r="C339" t="s">
        <v>23207</v>
      </c>
      <c r="D339" s="3">
        <f>VLOOKUP(Table1[[#This Row],[CODE BARANG]],stock!$A:$C,3,)</f>
        <v>11</v>
      </c>
      <c r="E339" s="1">
        <v>12</v>
      </c>
      <c r="F339" s="1">
        <v>24</v>
      </c>
      <c r="G339" s="4">
        <f>Table1[[#This Row],[stock]]/Table1[[#This Row],[HASIL MIN]]</f>
        <v>0.91666666666666663</v>
      </c>
      <c r="H339" s="4">
        <f>Table1[[#This Row],[stock]]/Table1[[#This Row],[HASIL MAX]]</f>
        <v>0.45833333333333331</v>
      </c>
      <c r="I339" s="4"/>
      <c r="J339" s="4"/>
    </row>
    <row r="340" spans="1:10" x14ac:dyDescent="0.25">
      <c r="A340" s="48" t="s">
        <v>1729</v>
      </c>
      <c r="B340" t="s">
        <v>1730</v>
      </c>
      <c r="C340" t="s">
        <v>23216</v>
      </c>
      <c r="D340" s="3">
        <f>VLOOKUP(Table1[[#This Row],[CODE BARANG]],stock!$A:$C,3,)</f>
        <v>11</v>
      </c>
      <c r="E340" s="1">
        <v>12</v>
      </c>
      <c r="F340" s="1">
        <v>24</v>
      </c>
      <c r="G340" s="4">
        <f>Table1[[#This Row],[stock]]/Table1[[#This Row],[HASIL MIN]]</f>
        <v>0.91666666666666663</v>
      </c>
      <c r="H340" s="4">
        <f>Table1[[#This Row],[stock]]/Table1[[#This Row],[HASIL MAX]]</f>
        <v>0.45833333333333331</v>
      </c>
      <c r="I340" s="4"/>
      <c r="J340" s="4"/>
    </row>
    <row r="341" spans="1:10" x14ac:dyDescent="0.25">
      <c r="A341" s="48" t="s">
        <v>3263</v>
      </c>
      <c r="B341" t="s">
        <v>3264</v>
      </c>
      <c r="C341" t="s">
        <v>23214</v>
      </c>
      <c r="D341" s="3">
        <f>VLOOKUP(Table1[[#This Row],[CODE BARANG]],stock!$A:$C,3,)</f>
        <v>23</v>
      </c>
      <c r="E341" s="1">
        <v>15</v>
      </c>
      <c r="F341" s="1">
        <v>50</v>
      </c>
      <c r="G341" s="4">
        <f>Table1[[#This Row],[stock]]/Table1[[#This Row],[HASIL MIN]]</f>
        <v>1.5333333333333334</v>
      </c>
      <c r="H341" s="4">
        <f>Table1[[#This Row],[stock]]/Table1[[#This Row],[HASIL MAX]]</f>
        <v>0.46</v>
      </c>
      <c r="I341" s="4"/>
      <c r="J341" s="4"/>
    </row>
    <row r="342" spans="1:10" x14ac:dyDescent="0.25">
      <c r="A342" s="48" t="s">
        <v>1321</v>
      </c>
      <c r="B342" t="s">
        <v>1322</v>
      </c>
      <c r="C342" t="s">
        <v>23209</v>
      </c>
      <c r="D342" s="3">
        <f>VLOOKUP(Table1[[#This Row],[CODE BARANG]],stock!$A:$C,3,)</f>
        <v>221</v>
      </c>
      <c r="E342" s="1">
        <v>240</v>
      </c>
      <c r="F342" s="1">
        <v>480</v>
      </c>
      <c r="G342" s="4">
        <f>Table1[[#This Row],[stock]]/Table1[[#This Row],[HASIL MIN]]</f>
        <v>0.92083333333333328</v>
      </c>
      <c r="H342" s="4">
        <f>Table1[[#This Row],[stock]]/Table1[[#This Row],[HASIL MAX]]</f>
        <v>0.46041666666666664</v>
      </c>
      <c r="I342" s="4"/>
      <c r="J342" s="4"/>
    </row>
    <row r="343" spans="1:10" x14ac:dyDescent="0.25">
      <c r="A343" s="48" t="s">
        <v>959</v>
      </c>
      <c r="B343" t="s">
        <v>960</v>
      </c>
      <c r="C343" t="s">
        <v>23210</v>
      </c>
      <c r="D343" s="3">
        <f>VLOOKUP(Table1[[#This Row],[CODE BARANG]],stock!$A:$C,3,)</f>
        <v>93</v>
      </c>
      <c r="E343" s="1">
        <v>100</v>
      </c>
      <c r="F343" s="1">
        <v>200</v>
      </c>
      <c r="G343" s="4">
        <f>Table1[[#This Row],[stock]]/Table1[[#This Row],[HASIL MIN]]</f>
        <v>0.93</v>
      </c>
      <c r="H343" s="4">
        <f>Table1[[#This Row],[stock]]/Table1[[#This Row],[HASIL MAX]]</f>
        <v>0.46500000000000002</v>
      </c>
      <c r="I343" s="4"/>
      <c r="J343" s="4"/>
    </row>
    <row r="344" spans="1:10" x14ac:dyDescent="0.25">
      <c r="A344" s="48" t="s">
        <v>1595</v>
      </c>
      <c r="B344" t="s">
        <v>1596</v>
      </c>
      <c r="C344" t="s">
        <v>23216</v>
      </c>
      <c r="D344" s="3">
        <f>VLOOKUP(Table1[[#This Row],[CODE BARANG]],stock!$A:$C,3,)</f>
        <v>7</v>
      </c>
      <c r="E344" s="1">
        <v>5</v>
      </c>
      <c r="F344" s="1">
        <v>15</v>
      </c>
      <c r="G344" s="4">
        <f>Table1[[#This Row],[stock]]/Table1[[#This Row],[HASIL MIN]]</f>
        <v>1.4</v>
      </c>
      <c r="H344" s="4">
        <f>Table1[[#This Row],[stock]]/Table1[[#This Row],[HASIL MAX]]</f>
        <v>0.46666666666666667</v>
      </c>
      <c r="I344" s="4"/>
      <c r="J344" s="4"/>
    </row>
    <row r="345" spans="1:10" x14ac:dyDescent="0.25">
      <c r="A345" s="48" t="s">
        <v>9970</v>
      </c>
      <c r="B345" t="s">
        <v>9971</v>
      </c>
      <c r="C345" t="s">
        <v>23218</v>
      </c>
      <c r="D345" s="3">
        <f>VLOOKUP(Table1[[#This Row],[CODE BARANG]],stock!$A:$C,3,)</f>
        <v>17</v>
      </c>
      <c r="E345" s="1">
        <v>16</v>
      </c>
      <c r="F345" s="1">
        <v>36</v>
      </c>
      <c r="G345" s="4">
        <f>Table1[[#This Row],[stock]]/Table1[[#This Row],[HASIL MIN]]</f>
        <v>1.0625</v>
      </c>
      <c r="H345" s="4">
        <f>Table1[[#This Row],[stock]]/Table1[[#This Row],[HASIL MAX]]</f>
        <v>0.47222222222222221</v>
      </c>
      <c r="I345" s="4"/>
      <c r="J345" s="4"/>
    </row>
    <row r="346" spans="1:10" x14ac:dyDescent="0.25">
      <c r="A346" s="48" t="s">
        <v>387</v>
      </c>
      <c r="B346" t="s">
        <v>388</v>
      </c>
      <c r="C346" t="s">
        <v>23217</v>
      </c>
      <c r="D346" s="3">
        <f>VLOOKUP(Table1[[#This Row],[CODE BARANG]],stock!$A:$C,3,)</f>
        <v>68</v>
      </c>
      <c r="E346" s="1">
        <v>72</v>
      </c>
      <c r="F346" s="1">
        <v>144</v>
      </c>
      <c r="G346" s="4">
        <f>Table1[[#This Row],[stock]]/Table1[[#This Row],[HASIL MIN]]</f>
        <v>0.94444444444444442</v>
      </c>
      <c r="H346" s="4">
        <f>Table1[[#This Row],[stock]]/Table1[[#This Row],[HASIL MAX]]</f>
        <v>0.47222222222222221</v>
      </c>
      <c r="I346" s="4"/>
      <c r="J346" s="4"/>
    </row>
    <row r="347" spans="1:10" x14ac:dyDescent="0.25">
      <c r="A347" s="48" t="s">
        <v>1035</v>
      </c>
      <c r="B347" t="s">
        <v>1036</v>
      </c>
      <c r="C347" t="s">
        <v>23214</v>
      </c>
      <c r="D347" s="3">
        <f>VLOOKUP(Table1[[#This Row],[CODE BARANG]],stock!$A:$C,3,)</f>
        <v>19</v>
      </c>
      <c r="E347" s="1">
        <v>24</v>
      </c>
      <c r="F347" s="1">
        <v>40</v>
      </c>
      <c r="G347" s="4">
        <f>Table1[[#This Row],[stock]]/Table1[[#This Row],[HASIL MIN]]</f>
        <v>0.79166666666666663</v>
      </c>
      <c r="H347" s="4">
        <f>Table1[[#This Row],[stock]]/Table1[[#This Row],[HASIL MAX]]</f>
        <v>0.47499999999999998</v>
      </c>
      <c r="I347" s="4"/>
      <c r="J347" s="4"/>
    </row>
    <row r="348" spans="1:10" x14ac:dyDescent="0.25">
      <c r="A348" s="48" t="s">
        <v>13468</v>
      </c>
      <c r="B348" t="s">
        <v>21760</v>
      </c>
      <c r="C348" t="s">
        <v>23207</v>
      </c>
      <c r="D348" s="3">
        <f>VLOOKUP(Table1[[#This Row],[CODE BARANG]],stock!$A:$C,3,)</f>
        <v>3</v>
      </c>
      <c r="E348" s="1">
        <v>2</v>
      </c>
      <c r="F348" s="1">
        <v>6</v>
      </c>
      <c r="G348" s="4">
        <f>Table1[[#This Row],[stock]]/Table1[[#This Row],[HASIL MIN]]</f>
        <v>1.5</v>
      </c>
      <c r="H348" s="4">
        <f>Table1[[#This Row],[stock]]/Table1[[#This Row],[HASIL MAX]]</f>
        <v>0.5</v>
      </c>
      <c r="I348" s="4"/>
      <c r="J348" s="4"/>
    </row>
    <row r="349" spans="1:10" x14ac:dyDescent="0.25">
      <c r="A349" s="48" t="s">
        <v>153</v>
      </c>
      <c r="B349" t="s">
        <v>154</v>
      </c>
      <c r="C349" t="s">
        <v>23209</v>
      </c>
      <c r="D349" s="3">
        <f>VLOOKUP(Table1[[#This Row],[CODE BARANG]],stock!$A:$C,3,)</f>
        <v>24</v>
      </c>
      <c r="E349" s="1">
        <v>24</v>
      </c>
      <c r="F349" s="1">
        <v>48</v>
      </c>
      <c r="G349" s="4">
        <f>Table1[[#This Row],[stock]]/Table1[[#This Row],[HASIL MIN]]</f>
        <v>1</v>
      </c>
      <c r="H349" s="4">
        <f>Table1[[#This Row],[stock]]/Table1[[#This Row],[HASIL MAX]]</f>
        <v>0.5</v>
      </c>
      <c r="I349" s="4"/>
      <c r="J349" s="4"/>
    </row>
    <row r="350" spans="1:10" x14ac:dyDescent="0.25">
      <c r="A350" s="48" t="s">
        <v>7603</v>
      </c>
      <c r="B350" t="s">
        <v>7604</v>
      </c>
      <c r="C350" t="s">
        <v>23213</v>
      </c>
      <c r="D350" s="3">
        <f>VLOOKUP(Table1[[#This Row],[CODE BARANG]],stock!$A:$C,3,)</f>
        <v>6</v>
      </c>
      <c r="E350" s="1">
        <v>6</v>
      </c>
      <c r="F350" s="1">
        <v>12</v>
      </c>
      <c r="G350" s="4">
        <f>Table1[[#This Row],[stock]]/Table1[[#This Row],[HASIL MIN]]</f>
        <v>1</v>
      </c>
      <c r="H350" s="4">
        <f>Table1[[#This Row],[stock]]/Table1[[#This Row],[HASIL MAX]]</f>
        <v>0.5</v>
      </c>
      <c r="I350" s="4"/>
      <c r="J350" s="4"/>
    </row>
    <row r="351" spans="1:10" x14ac:dyDescent="0.25">
      <c r="A351" s="48" t="s">
        <v>12668</v>
      </c>
      <c r="B351" t="s">
        <v>12669</v>
      </c>
      <c r="C351" t="s">
        <v>912</v>
      </c>
      <c r="D351" s="3">
        <f>VLOOKUP(Table1[[#This Row],[CODE BARANG]],stock!$A:$C,3,)</f>
        <v>12</v>
      </c>
      <c r="E351" s="1">
        <v>4</v>
      </c>
      <c r="F351" s="1">
        <v>24</v>
      </c>
      <c r="G351" s="4">
        <f>Table1[[#This Row],[stock]]/Table1[[#This Row],[HASIL MIN]]</f>
        <v>3</v>
      </c>
      <c r="H351" s="4">
        <f>Table1[[#This Row],[stock]]/Table1[[#This Row],[HASIL MAX]]</f>
        <v>0.5</v>
      </c>
      <c r="I351" s="4"/>
      <c r="J351" s="4"/>
    </row>
    <row r="352" spans="1:10" x14ac:dyDescent="0.25">
      <c r="A352" s="48" t="s">
        <v>1819</v>
      </c>
      <c r="B352" t="s">
        <v>1820</v>
      </c>
      <c r="C352" t="s">
        <v>23209</v>
      </c>
      <c r="D352" s="3">
        <f>VLOOKUP(Table1[[#This Row],[CODE BARANG]],stock!$A:$C,3,)</f>
        <v>24</v>
      </c>
      <c r="E352" s="1">
        <v>24</v>
      </c>
      <c r="F352" s="1">
        <v>48</v>
      </c>
      <c r="G352" s="4">
        <f>Table1[[#This Row],[stock]]/Table1[[#This Row],[HASIL MIN]]</f>
        <v>1</v>
      </c>
      <c r="H352" s="4">
        <f>Table1[[#This Row],[stock]]/Table1[[#This Row],[HASIL MAX]]</f>
        <v>0.5</v>
      </c>
      <c r="I352" s="4"/>
      <c r="J352" s="4"/>
    </row>
    <row r="353" spans="1:10" x14ac:dyDescent="0.25">
      <c r="A353" s="48" t="s">
        <v>12378</v>
      </c>
      <c r="B353" t="s">
        <v>12379</v>
      </c>
      <c r="C353" t="s">
        <v>442</v>
      </c>
      <c r="D353" s="3">
        <f>VLOOKUP(Table1[[#This Row],[CODE BARANG]],stock!$A:$C,3,)</f>
        <v>18</v>
      </c>
      <c r="E353" s="1">
        <v>24</v>
      </c>
      <c r="F353" s="1">
        <v>36</v>
      </c>
      <c r="G353" s="4">
        <f>Table1[[#This Row],[stock]]/Table1[[#This Row],[HASIL MIN]]</f>
        <v>0.75</v>
      </c>
      <c r="H353" s="4">
        <f>Table1[[#This Row],[stock]]/Table1[[#This Row],[HASIL MAX]]</f>
        <v>0.5</v>
      </c>
      <c r="I353" s="4"/>
      <c r="J353" s="4"/>
    </row>
    <row r="354" spans="1:10" x14ac:dyDescent="0.25">
      <c r="A354" s="48" t="s">
        <v>1349</v>
      </c>
      <c r="B354" t="s">
        <v>1350</v>
      </c>
      <c r="C354" t="s">
        <v>23207</v>
      </c>
      <c r="D354" s="3">
        <f>VLOOKUP(Table1[[#This Row],[CODE BARANG]],stock!$A:$C,3,)</f>
        <v>2</v>
      </c>
      <c r="E354" s="1">
        <v>2</v>
      </c>
      <c r="F354" s="1">
        <v>4</v>
      </c>
      <c r="G354" s="4">
        <f>Table1[[#This Row],[stock]]/Table1[[#This Row],[HASIL MIN]]</f>
        <v>1</v>
      </c>
      <c r="H354" s="4">
        <f>Table1[[#This Row],[stock]]/Table1[[#This Row],[HASIL MAX]]</f>
        <v>0.5</v>
      </c>
      <c r="I354" s="4"/>
      <c r="J354" s="4"/>
    </row>
    <row r="355" spans="1:10" x14ac:dyDescent="0.25">
      <c r="A355" s="48" t="s">
        <v>929</v>
      </c>
      <c r="B355" t="s">
        <v>930</v>
      </c>
      <c r="C355" t="s">
        <v>23209</v>
      </c>
      <c r="D355" s="3">
        <f>VLOOKUP(Table1[[#This Row],[CODE BARANG]],stock!$A:$C,3,)</f>
        <v>2</v>
      </c>
      <c r="E355" s="1">
        <v>2</v>
      </c>
      <c r="F355" s="1">
        <v>4</v>
      </c>
      <c r="G355" s="4">
        <f>Table1[[#This Row],[stock]]/Table1[[#This Row],[HASIL MIN]]</f>
        <v>1</v>
      </c>
      <c r="H355" s="4">
        <f>Table1[[#This Row],[stock]]/Table1[[#This Row],[HASIL MAX]]</f>
        <v>0.5</v>
      </c>
      <c r="I355" s="4"/>
      <c r="J355" s="4"/>
    </row>
    <row r="356" spans="1:10" x14ac:dyDescent="0.25">
      <c r="A356" s="48" t="s">
        <v>1351</v>
      </c>
      <c r="B356" t="s">
        <v>1352</v>
      </c>
      <c r="C356" t="s">
        <v>23215</v>
      </c>
      <c r="D356" s="3">
        <f>VLOOKUP(Table1[[#This Row],[CODE BARANG]],stock!$A:$C,3,)</f>
        <v>6</v>
      </c>
      <c r="E356" s="1">
        <v>6</v>
      </c>
      <c r="F356" s="1">
        <v>12</v>
      </c>
      <c r="G356" s="4">
        <f>Table1[[#This Row],[stock]]/Table1[[#This Row],[HASIL MIN]]</f>
        <v>1</v>
      </c>
      <c r="H356" s="4">
        <f>Table1[[#This Row],[stock]]/Table1[[#This Row],[HASIL MAX]]</f>
        <v>0.5</v>
      </c>
      <c r="I356" s="4"/>
      <c r="J356" s="4"/>
    </row>
    <row r="357" spans="1:10" x14ac:dyDescent="0.25">
      <c r="A357" s="48" t="s">
        <v>225</v>
      </c>
      <c r="B357" t="s">
        <v>226</v>
      </c>
      <c r="C357" t="s">
        <v>23216</v>
      </c>
      <c r="D357" s="3">
        <f>VLOOKUP(Table1[[#This Row],[CODE BARANG]],stock!$A:$C,3,)</f>
        <v>1</v>
      </c>
      <c r="E357" s="1">
        <v>1</v>
      </c>
      <c r="F357" s="1">
        <v>2</v>
      </c>
      <c r="G357" s="4">
        <f>Table1[[#This Row],[stock]]/Table1[[#This Row],[HASIL MIN]]</f>
        <v>1</v>
      </c>
      <c r="H357" s="4">
        <f>Table1[[#This Row],[stock]]/Table1[[#This Row],[HASIL MAX]]</f>
        <v>0.5</v>
      </c>
      <c r="I357" s="4"/>
      <c r="J357" s="4"/>
    </row>
    <row r="358" spans="1:10" x14ac:dyDescent="0.25">
      <c r="A358" s="48" t="s">
        <v>892</v>
      </c>
      <c r="B358" t="s">
        <v>893</v>
      </c>
      <c r="C358" t="s">
        <v>23215</v>
      </c>
      <c r="D358" s="3">
        <f>VLOOKUP(Table1[[#This Row],[CODE BARANG]],stock!$A:$C,3,)</f>
        <v>1</v>
      </c>
      <c r="E358" s="1">
        <v>1</v>
      </c>
      <c r="F358" s="1">
        <v>2</v>
      </c>
      <c r="G358" s="4">
        <f>Table1[[#This Row],[stock]]/Table1[[#This Row],[HASIL MIN]]</f>
        <v>1</v>
      </c>
      <c r="H358" s="4">
        <f>Table1[[#This Row],[stock]]/Table1[[#This Row],[HASIL MAX]]</f>
        <v>0.5</v>
      </c>
      <c r="I358" s="4"/>
      <c r="J358" s="4"/>
    </row>
    <row r="359" spans="1:10" x14ac:dyDescent="0.25">
      <c r="A359" s="48" t="s">
        <v>1681</v>
      </c>
      <c r="B359" t="s">
        <v>1682</v>
      </c>
      <c r="C359" t="s">
        <v>23207</v>
      </c>
      <c r="D359" s="3">
        <f>VLOOKUP(Table1[[#This Row],[CODE BARANG]],stock!$A:$C,3,)</f>
        <v>2</v>
      </c>
      <c r="E359" s="1">
        <v>2</v>
      </c>
      <c r="F359" s="1">
        <v>4</v>
      </c>
      <c r="G359" s="4">
        <f>Table1[[#This Row],[stock]]/Table1[[#This Row],[HASIL MIN]]</f>
        <v>1</v>
      </c>
      <c r="H359" s="4">
        <f>Table1[[#This Row],[stock]]/Table1[[#This Row],[HASIL MAX]]</f>
        <v>0.5</v>
      </c>
      <c r="I359" s="4"/>
      <c r="J359" s="4"/>
    </row>
    <row r="360" spans="1:10" x14ac:dyDescent="0.25">
      <c r="A360" s="48" t="s">
        <v>1946</v>
      </c>
      <c r="B360" t="s">
        <v>1947</v>
      </c>
      <c r="C360" t="s">
        <v>23216</v>
      </c>
      <c r="D360" s="3">
        <f>VLOOKUP(Table1[[#This Row],[CODE BARANG]],stock!$A:$C,3,)</f>
        <v>6</v>
      </c>
      <c r="E360" s="1">
        <v>6</v>
      </c>
      <c r="F360" s="1">
        <v>12</v>
      </c>
      <c r="G360" s="4">
        <f>Table1[[#This Row],[stock]]/Table1[[#This Row],[HASIL MIN]]</f>
        <v>1</v>
      </c>
      <c r="H360" s="4">
        <f>Table1[[#This Row],[stock]]/Table1[[#This Row],[HASIL MAX]]</f>
        <v>0.5</v>
      </c>
      <c r="I360" s="4"/>
      <c r="J360" s="4"/>
    </row>
    <row r="361" spans="1:10" x14ac:dyDescent="0.25">
      <c r="A361" s="48" t="s">
        <v>921</v>
      </c>
      <c r="B361" t="s">
        <v>922</v>
      </c>
      <c r="C361" t="s">
        <v>442</v>
      </c>
      <c r="D361" s="3">
        <f>VLOOKUP(Table1[[#This Row],[CODE BARANG]],stock!$A:$C,3,)</f>
        <v>3</v>
      </c>
      <c r="E361" s="1">
        <v>4</v>
      </c>
      <c r="F361" s="1">
        <v>6</v>
      </c>
      <c r="G361" s="4">
        <f>Table1[[#This Row],[stock]]/Table1[[#This Row],[HASIL MIN]]</f>
        <v>0.75</v>
      </c>
      <c r="H361" s="4">
        <f>Table1[[#This Row],[stock]]/Table1[[#This Row],[HASIL MAX]]</f>
        <v>0.5</v>
      </c>
      <c r="I361" s="4"/>
      <c r="J361" s="4"/>
    </row>
    <row r="362" spans="1:10" x14ac:dyDescent="0.25">
      <c r="A362" s="48" t="s">
        <v>1683</v>
      </c>
      <c r="B362" t="s">
        <v>1684</v>
      </c>
      <c r="C362" t="s">
        <v>23209</v>
      </c>
      <c r="D362" s="3">
        <f>VLOOKUP(Table1[[#This Row],[CODE BARANG]],stock!$A:$C,3,)</f>
        <v>1</v>
      </c>
      <c r="E362" s="1">
        <v>1</v>
      </c>
      <c r="F362" s="1">
        <v>2</v>
      </c>
      <c r="G362" s="4">
        <f>Table1[[#This Row],[stock]]/Table1[[#This Row],[HASIL MIN]]</f>
        <v>1</v>
      </c>
      <c r="H362" s="4">
        <f>Table1[[#This Row],[stock]]/Table1[[#This Row],[HASIL MAX]]</f>
        <v>0.5</v>
      </c>
      <c r="I362" s="4"/>
      <c r="J362" s="4"/>
    </row>
    <row r="363" spans="1:10" x14ac:dyDescent="0.25">
      <c r="A363" s="48" t="s">
        <v>1543</v>
      </c>
      <c r="B363" t="s">
        <v>1544</v>
      </c>
      <c r="C363" t="s">
        <v>23209</v>
      </c>
      <c r="D363" s="3">
        <f>VLOOKUP(Table1[[#This Row],[CODE BARANG]],stock!$A:$C,3,)</f>
        <v>12</v>
      </c>
      <c r="E363" s="1">
        <v>12</v>
      </c>
      <c r="F363" s="1">
        <v>24</v>
      </c>
      <c r="G363" s="4">
        <f>Table1[[#This Row],[stock]]/Table1[[#This Row],[HASIL MIN]]</f>
        <v>1</v>
      </c>
      <c r="H363" s="4">
        <f>Table1[[#This Row],[stock]]/Table1[[#This Row],[HASIL MAX]]</f>
        <v>0.5</v>
      </c>
      <c r="I363" s="4"/>
      <c r="J363" s="4"/>
    </row>
    <row r="364" spans="1:10" x14ac:dyDescent="0.25">
      <c r="A364" s="48" t="s">
        <v>429</v>
      </c>
      <c r="B364" t="s">
        <v>430</v>
      </c>
      <c r="C364" t="s">
        <v>23210</v>
      </c>
      <c r="D364" s="3">
        <f>VLOOKUP(Table1[[#This Row],[CODE BARANG]],stock!$A:$C,3,)</f>
        <v>2</v>
      </c>
      <c r="E364" s="1">
        <v>2</v>
      </c>
      <c r="F364" s="1">
        <v>4</v>
      </c>
      <c r="G364" s="4">
        <f>Table1[[#This Row],[stock]]/Table1[[#This Row],[HASIL MIN]]</f>
        <v>1</v>
      </c>
      <c r="H364" s="4">
        <f>Table1[[#This Row],[stock]]/Table1[[#This Row],[HASIL MAX]]</f>
        <v>0.5</v>
      </c>
      <c r="I364" s="4"/>
      <c r="J364" s="4"/>
    </row>
    <row r="365" spans="1:10" x14ac:dyDescent="0.25">
      <c r="A365" s="48" t="s">
        <v>771</v>
      </c>
      <c r="B365" t="s">
        <v>772</v>
      </c>
      <c r="C365" t="s">
        <v>23216</v>
      </c>
      <c r="D365" s="3">
        <f>VLOOKUP(Table1[[#This Row],[CODE BARANG]],stock!$A:$C,3,)</f>
        <v>1</v>
      </c>
      <c r="E365" s="1">
        <v>1</v>
      </c>
      <c r="F365" s="1">
        <v>2</v>
      </c>
      <c r="G365" s="4">
        <f>Table1[[#This Row],[stock]]/Table1[[#This Row],[HASIL MIN]]</f>
        <v>1</v>
      </c>
      <c r="H365" s="4">
        <f>Table1[[#This Row],[stock]]/Table1[[#This Row],[HASIL MAX]]</f>
        <v>0.5</v>
      </c>
      <c r="I365" s="4"/>
      <c r="J365" s="4"/>
    </row>
    <row r="366" spans="1:10" x14ac:dyDescent="0.25">
      <c r="A366" s="48" t="s">
        <v>185</v>
      </c>
      <c r="B366" t="s">
        <v>186</v>
      </c>
      <c r="C366" t="s">
        <v>23207</v>
      </c>
      <c r="D366" s="3">
        <f>VLOOKUP(Table1[[#This Row],[CODE BARANG]],stock!$A:$C,3,)</f>
        <v>2</v>
      </c>
      <c r="E366" s="1">
        <v>2</v>
      </c>
      <c r="F366" s="1">
        <v>4</v>
      </c>
      <c r="G366" s="4">
        <f>Table1[[#This Row],[stock]]/Table1[[#This Row],[HASIL MIN]]</f>
        <v>1</v>
      </c>
      <c r="H366" s="4">
        <f>Table1[[#This Row],[stock]]/Table1[[#This Row],[HASIL MAX]]</f>
        <v>0.5</v>
      </c>
      <c r="I366" s="4"/>
      <c r="J366" s="4"/>
    </row>
    <row r="367" spans="1:10" x14ac:dyDescent="0.25">
      <c r="A367" s="48" t="s">
        <v>14191</v>
      </c>
      <c r="B367" t="s">
        <v>14192</v>
      </c>
      <c r="C367" t="s">
        <v>23211</v>
      </c>
      <c r="D367" s="3">
        <f>VLOOKUP(Table1[[#This Row],[CODE BARANG]],stock!$A:$C,3,)</f>
        <v>2</v>
      </c>
      <c r="E367" s="1">
        <v>2</v>
      </c>
      <c r="F367" s="1">
        <v>4</v>
      </c>
      <c r="G367" s="4">
        <f>Table1[[#This Row],[stock]]/Table1[[#This Row],[HASIL MIN]]</f>
        <v>1</v>
      </c>
      <c r="H367" s="4">
        <f>Table1[[#This Row],[stock]]/Table1[[#This Row],[HASIL MAX]]</f>
        <v>0.5</v>
      </c>
      <c r="I367" s="4"/>
      <c r="J367" s="4"/>
    </row>
    <row r="368" spans="1:10" x14ac:dyDescent="0.25">
      <c r="A368" s="48" t="s">
        <v>9636</v>
      </c>
      <c r="B368" t="s">
        <v>9637</v>
      </c>
      <c r="C368" t="s">
        <v>442</v>
      </c>
      <c r="D368" s="3">
        <f>VLOOKUP(Table1[[#This Row],[CODE BARANG]],stock!$A:$C,3,)</f>
        <v>2</v>
      </c>
      <c r="E368" s="1">
        <v>2</v>
      </c>
      <c r="F368" s="1">
        <v>4</v>
      </c>
      <c r="G368" s="4">
        <f>Table1[[#This Row],[stock]]/Table1[[#This Row],[HASIL MIN]]</f>
        <v>1</v>
      </c>
      <c r="H368" s="4">
        <f>Table1[[#This Row],[stock]]/Table1[[#This Row],[HASIL MAX]]</f>
        <v>0.5</v>
      </c>
      <c r="I368" s="4"/>
      <c r="J368" s="4"/>
    </row>
    <row r="369" spans="1:10" x14ac:dyDescent="0.25">
      <c r="A369" s="48" t="s">
        <v>13736</v>
      </c>
      <c r="B369" t="s">
        <v>13737</v>
      </c>
      <c r="C369" t="s">
        <v>442</v>
      </c>
      <c r="D369" s="3">
        <f>VLOOKUP(Table1[[#This Row],[CODE BARANG]],stock!$A:$C,3,)</f>
        <v>6</v>
      </c>
      <c r="E369" s="1">
        <v>4</v>
      </c>
      <c r="F369" s="1">
        <v>12</v>
      </c>
      <c r="G369" s="4">
        <f>Table1[[#This Row],[stock]]/Table1[[#This Row],[HASIL MIN]]</f>
        <v>1.5</v>
      </c>
      <c r="H369" s="4">
        <f>Table1[[#This Row],[stock]]/Table1[[#This Row],[HASIL MAX]]</f>
        <v>0.5</v>
      </c>
      <c r="I369" s="4"/>
      <c r="J369" s="4"/>
    </row>
    <row r="370" spans="1:10" x14ac:dyDescent="0.25">
      <c r="A370" s="48" t="s">
        <v>2010</v>
      </c>
      <c r="B370" t="s">
        <v>2011</v>
      </c>
      <c r="C370" t="s">
        <v>23209</v>
      </c>
      <c r="D370" s="3">
        <f>VLOOKUP(Table1[[#This Row],[CODE BARANG]],stock!$A:$C,3,)</f>
        <v>1</v>
      </c>
      <c r="E370" s="1">
        <v>1</v>
      </c>
      <c r="F370" s="1">
        <v>2</v>
      </c>
      <c r="G370" s="4">
        <f>Table1[[#This Row],[stock]]/Table1[[#This Row],[HASIL MIN]]</f>
        <v>1</v>
      </c>
      <c r="H370" s="4">
        <f>Table1[[#This Row],[stock]]/Table1[[#This Row],[HASIL MAX]]</f>
        <v>0.5</v>
      </c>
      <c r="I370" s="4"/>
      <c r="J370" s="4"/>
    </row>
    <row r="371" spans="1:10" x14ac:dyDescent="0.25">
      <c r="A371" s="48" t="s">
        <v>3195</v>
      </c>
      <c r="B371" t="s">
        <v>3196</v>
      </c>
      <c r="C371" t="s">
        <v>23217</v>
      </c>
      <c r="D371" s="3">
        <f>VLOOKUP(Table1[[#This Row],[CODE BARANG]],stock!$A:$C,3,)</f>
        <v>20</v>
      </c>
      <c r="E371" s="1">
        <v>20</v>
      </c>
      <c r="F371" s="1">
        <v>40</v>
      </c>
      <c r="G371" s="4">
        <f>Table1[[#This Row],[stock]]/Table1[[#This Row],[HASIL MIN]]</f>
        <v>1</v>
      </c>
      <c r="H371" s="4">
        <f>Table1[[#This Row],[stock]]/Table1[[#This Row],[HASIL MAX]]</f>
        <v>0.5</v>
      </c>
      <c r="I371" s="4"/>
      <c r="J371" s="4"/>
    </row>
    <row r="372" spans="1:10" x14ac:dyDescent="0.25">
      <c r="A372" s="48" t="s">
        <v>1872</v>
      </c>
      <c r="B372" t="s">
        <v>1873</v>
      </c>
      <c r="C372" t="s">
        <v>442</v>
      </c>
      <c r="D372" s="3">
        <f>VLOOKUP(Table1[[#This Row],[CODE BARANG]],stock!$A:$C,3,)</f>
        <v>12</v>
      </c>
      <c r="E372" s="1">
        <v>12</v>
      </c>
      <c r="F372" s="1">
        <v>24</v>
      </c>
      <c r="G372" s="4">
        <f>Table1[[#This Row],[stock]]/Table1[[#This Row],[HASIL MIN]]</f>
        <v>1</v>
      </c>
      <c r="H372" s="4">
        <f>Table1[[#This Row],[stock]]/Table1[[#This Row],[HASIL MAX]]</f>
        <v>0.5</v>
      </c>
      <c r="I372" s="4"/>
      <c r="J372" s="4"/>
    </row>
    <row r="373" spans="1:10" x14ac:dyDescent="0.25">
      <c r="A373" s="48" t="s">
        <v>1121</v>
      </c>
      <c r="B373" t="s">
        <v>1122</v>
      </c>
      <c r="C373" t="s">
        <v>23207</v>
      </c>
      <c r="D373" s="3">
        <f>VLOOKUP(Table1[[#This Row],[CODE BARANG]],stock!$A:$C,3,)</f>
        <v>20</v>
      </c>
      <c r="E373" s="1">
        <v>20</v>
      </c>
      <c r="F373" s="1">
        <v>40</v>
      </c>
      <c r="G373" s="4">
        <f>Table1[[#This Row],[stock]]/Table1[[#This Row],[HASIL MIN]]</f>
        <v>1</v>
      </c>
      <c r="H373" s="4">
        <f>Table1[[#This Row],[stock]]/Table1[[#This Row],[HASIL MAX]]</f>
        <v>0.5</v>
      </c>
      <c r="I373" s="4"/>
      <c r="J373" s="4"/>
    </row>
    <row r="374" spans="1:10" x14ac:dyDescent="0.25">
      <c r="A374" s="48" t="s">
        <v>1443</v>
      </c>
      <c r="B374" t="s">
        <v>1444</v>
      </c>
      <c r="C374" t="s">
        <v>23216</v>
      </c>
      <c r="D374" s="3">
        <f>VLOOKUP(Table1[[#This Row],[CODE BARANG]],stock!$A:$C,3,)</f>
        <v>4</v>
      </c>
      <c r="E374" s="1">
        <v>6</v>
      </c>
      <c r="F374" s="1">
        <v>8</v>
      </c>
      <c r="G374" s="4">
        <f>Table1[[#This Row],[stock]]/Table1[[#This Row],[HASIL MIN]]</f>
        <v>0.66666666666666663</v>
      </c>
      <c r="H374" s="4">
        <f>Table1[[#This Row],[stock]]/Table1[[#This Row],[HASIL MAX]]</f>
        <v>0.5</v>
      </c>
      <c r="I374" s="4"/>
      <c r="J374" s="4"/>
    </row>
    <row r="375" spans="1:10" x14ac:dyDescent="0.25">
      <c r="A375" s="48" t="s">
        <v>1071</v>
      </c>
      <c r="B375" t="s">
        <v>1072</v>
      </c>
      <c r="C375" t="s">
        <v>23209</v>
      </c>
      <c r="D375" s="3">
        <f>VLOOKUP(Table1[[#This Row],[CODE BARANG]],stock!$A:$C,3,)</f>
        <v>18</v>
      </c>
      <c r="E375" s="1">
        <v>20</v>
      </c>
      <c r="F375" s="1">
        <v>36</v>
      </c>
      <c r="G375" s="4">
        <f>Table1[[#This Row],[stock]]/Table1[[#This Row],[HASIL MIN]]</f>
        <v>0.9</v>
      </c>
      <c r="H375" s="4">
        <f>Table1[[#This Row],[stock]]/Table1[[#This Row],[HASIL MAX]]</f>
        <v>0.5</v>
      </c>
      <c r="I375" s="4"/>
      <c r="J375" s="4"/>
    </row>
    <row r="376" spans="1:10" x14ac:dyDescent="0.25">
      <c r="A376" s="48" t="s">
        <v>1497</v>
      </c>
      <c r="B376" t="s">
        <v>1498</v>
      </c>
      <c r="C376" t="s">
        <v>23215</v>
      </c>
      <c r="D376" s="3">
        <f>VLOOKUP(Table1[[#This Row],[CODE BARANG]],stock!$A:$C,3,)</f>
        <v>3</v>
      </c>
      <c r="E376" s="1">
        <v>4</v>
      </c>
      <c r="F376" s="1">
        <v>6</v>
      </c>
      <c r="G376" s="4">
        <f>Table1[[#This Row],[stock]]/Table1[[#This Row],[HASIL MIN]]</f>
        <v>0.75</v>
      </c>
      <c r="H376" s="4">
        <f>Table1[[#This Row],[stock]]/Table1[[#This Row],[HASIL MAX]]</f>
        <v>0.5</v>
      </c>
      <c r="I376" s="4"/>
      <c r="J376" s="4"/>
    </row>
    <row r="377" spans="1:10" x14ac:dyDescent="0.25">
      <c r="A377" s="48" t="s">
        <v>3036</v>
      </c>
      <c r="B377" t="s">
        <v>3037</v>
      </c>
      <c r="C377" t="s">
        <v>23214</v>
      </c>
      <c r="D377" s="3">
        <f>VLOOKUP(Table1[[#This Row],[CODE BARANG]],stock!$A:$C,3,)</f>
        <v>3</v>
      </c>
      <c r="E377" s="1">
        <v>3</v>
      </c>
      <c r="F377" s="1">
        <v>6</v>
      </c>
      <c r="G377" s="4">
        <f>Table1[[#This Row],[stock]]/Table1[[#This Row],[HASIL MIN]]</f>
        <v>1</v>
      </c>
      <c r="H377" s="4">
        <f>Table1[[#This Row],[stock]]/Table1[[#This Row],[HASIL MAX]]</f>
        <v>0.5</v>
      </c>
      <c r="I377" s="4"/>
      <c r="J377" s="4"/>
    </row>
    <row r="378" spans="1:10" x14ac:dyDescent="0.25">
      <c r="A378" s="48" t="s">
        <v>1659</v>
      </c>
      <c r="B378" t="s">
        <v>1660</v>
      </c>
      <c r="C378" t="s">
        <v>23216</v>
      </c>
      <c r="D378" s="3">
        <f>VLOOKUP(Table1[[#This Row],[CODE BARANG]],stock!$A:$C,3,)</f>
        <v>8</v>
      </c>
      <c r="E378" s="1">
        <v>8</v>
      </c>
      <c r="F378" s="1">
        <v>16</v>
      </c>
      <c r="G378" s="4">
        <f>Table1[[#This Row],[stock]]/Table1[[#This Row],[HASIL MIN]]</f>
        <v>1</v>
      </c>
      <c r="H378" s="4">
        <f>Table1[[#This Row],[stock]]/Table1[[#This Row],[HASIL MAX]]</f>
        <v>0.5</v>
      </c>
      <c r="I378" s="4"/>
      <c r="J378" s="4"/>
    </row>
    <row r="379" spans="1:10" x14ac:dyDescent="0.25">
      <c r="A379" s="48" t="s">
        <v>1599</v>
      </c>
      <c r="B379" t="s">
        <v>1600</v>
      </c>
      <c r="C379" t="s">
        <v>23211</v>
      </c>
      <c r="D379" s="3">
        <f>VLOOKUP(Table1[[#This Row],[CODE BARANG]],stock!$A:$C,3,)</f>
        <v>2</v>
      </c>
      <c r="E379" s="1">
        <v>2</v>
      </c>
      <c r="F379" s="1">
        <v>4</v>
      </c>
      <c r="G379" s="4">
        <f>Table1[[#This Row],[stock]]/Table1[[#This Row],[HASIL MIN]]</f>
        <v>1</v>
      </c>
      <c r="H379" s="4">
        <f>Table1[[#This Row],[stock]]/Table1[[#This Row],[HASIL MAX]]</f>
        <v>0.5</v>
      </c>
      <c r="I379" s="4"/>
      <c r="J379" s="4"/>
    </row>
    <row r="380" spans="1:10" x14ac:dyDescent="0.25">
      <c r="A380" s="48" t="s">
        <v>15166</v>
      </c>
      <c r="B380" t="s">
        <v>19993</v>
      </c>
      <c r="C380" t="s">
        <v>23209</v>
      </c>
      <c r="D380" s="3">
        <f>VLOOKUP(Table1[[#This Row],[CODE BARANG]],stock!$A:$C,3,)</f>
        <v>6</v>
      </c>
      <c r="E380" s="1">
        <v>6</v>
      </c>
      <c r="F380" s="1">
        <v>12</v>
      </c>
      <c r="G380" s="4">
        <f>Table1[[#This Row],[stock]]/Table1[[#This Row],[HASIL MIN]]</f>
        <v>1</v>
      </c>
      <c r="H380" s="4">
        <f>Table1[[#This Row],[stock]]/Table1[[#This Row],[HASIL MAX]]</f>
        <v>0.5</v>
      </c>
      <c r="I380" s="4"/>
      <c r="J380" s="4"/>
    </row>
    <row r="381" spans="1:10" x14ac:dyDescent="0.25">
      <c r="A381" s="48" t="s">
        <v>22356</v>
      </c>
      <c r="B381" t="s">
        <v>441</v>
      </c>
      <c r="C381" t="s">
        <v>442</v>
      </c>
      <c r="D381" s="3">
        <f>VLOOKUP(Table1[[#This Row],[CODE BARANG]],stock!$A:$C,3,)</f>
        <v>3</v>
      </c>
      <c r="E381" s="1">
        <v>4</v>
      </c>
      <c r="F381" s="1">
        <v>6</v>
      </c>
      <c r="G381" s="4">
        <f>Table1[[#This Row],[stock]]/Table1[[#This Row],[HASIL MIN]]</f>
        <v>0.75</v>
      </c>
      <c r="H381" s="4">
        <f>Table1[[#This Row],[stock]]/Table1[[#This Row],[HASIL MAX]]</f>
        <v>0.5</v>
      </c>
      <c r="I381" s="4"/>
      <c r="J381" s="4"/>
    </row>
    <row r="382" spans="1:10" x14ac:dyDescent="0.25">
      <c r="A382" s="48" t="s">
        <v>7657</v>
      </c>
      <c r="B382" t="s">
        <v>7658</v>
      </c>
      <c r="C382" t="s">
        <v>442</v>
      </c>
      <c r="D382" s="3">
        <f>VLOOKUP(Table1[[#This Row],[CODE BARANG]],stock!$A:$C,3,)</f>
        <v>6</v>
      </c>
      <c r="E382" s="1">
        <v>6</v>
      </c>
      <c r="F382" s="1">
        <v>12</v>
      </c>
      <c r="G382" s="4">
        <f>Table1[[#This Row],[stock]]/Table1[[#This Row],[HASIL MIN]]</f>
        <v>1</v>
      </c>
      <c r="H382" s="4">
        <f>Table1[[#This Row],[stock]]/Table1[[#This Row],[HASIL MAX]]</f>
        <v>0.5</v>
      </c>
      <c r="I382" s="4"/>
      <c r="J382" s="4"/>
    </row>
    <row r="383" spans="1:10" x14ac:dyDescent="0.25">
      <c r="A383" s="48" t="s">
        <v>1763</v>
      </c>
      <c r="B383" t="s">
        <v>1764</v>
      </c>
      <c r="C383" t="s">
        <v>23209</v>
      </c>
      <c r="D383" s="3">
        <f>VLOOKUP(Table1[[#This Row],[CODE BARANG]],stock!$A:$C,3,)</f>
        <v>2</v>
      </c>
      <c r="E383" s="1">
        <v>2</v>
      </c>
      <c r="F383" s="1">
        <v>4</v>
      </c>
      <c r="G383" s="4">
        <f>Table1[[#This Row],[stock]]/Table1[[#This Row],[HASIL MIN]]</f>
        <v>1</v>
      </c>
      <c r="H383" s="4">
        <f>Table1[[#This Row],[stock]]/Table1[[#This Row],[HASIL MAX]]</f>
        <v>0.5</v>
      </c>
      <c r="I383" s="4"/>
      <c r="J383" s="4"/>
    </row>
    <row r="384" spans="1:10" x14ac:dyDescent="0.25">
      <c r="A384" s="48" t="s">
        <v>1773</v>
      </c>
      <c r="B384" t="s">
        <v>1774</v>
      </c>
      <c r="C384" t="s">
        <v>23209</v>
      </c>
      <c r="D384" s="3">
        <f>VLOOKUP(Table1[[#This Row],[CODE BARANG]],stock!$A:$C,3,)</f>
        <v>2</v>
      </c>
      <c r="E384" s="1">
        <v>2</v>
      </c>
      <c r="F384" s="1">
        <v>4</v>
      </c>
      <c r="G384" s="4">
        <f>Table1[[#This Row],[stock]]/Table1[[#This Row],[HASIL MIN]]</f>
        <v>1</v>
      </c>
      <c r="H384" s="4">
        <f>Table1[[#This Row],[stock]]/Table1[[#This Row],[HASIL MAX]]</f>
        <v>0.5</v>
      </c>
      <c r="I384" s="4"/>
      <c r="J384" s="4"/>
    </row>
    <row r="385" spans="1:10" x14ac:dyDescent="0.25">
      <c r="A385" s="48" t="s">
        <v>7283</v>
      </c>
      <c r="B385" t="s">
        <v>7284</v>
      </c>
      <c r="C385" t="s">
        <v>23209</v>
      </c>
      <c r="D385" s="3">
        <f>VLOOKUP(Table1[[#This Row],[CODE BARANG]],stock!$A:$C,3,)</f>
        <v>6</v>
      </c>
      <c r="E385" s="1">
        <v>2</v>
      </c>
      <c r="F385" s="1">
        <v>12</v>
      </c>
      <c r="G385" s="4">
        <f>Table1[[#This Row],[stock]]/Table1[[#This Row],[HASIL MIN]]</f>
        <v>3</v>
      </c>
      <c r="H385" s="4">
        <f>Table1[[#This Row],[stock]]/Table1[[#This Row],[HASIL MAX]]</f>
        <v>0.5</v>
      </c>
      <c r="I385" s="4"/>
      <c r="J385" s="4"/>
    </row>
    <row r="386" spans="1:10" x14ac:dyDescent="0.25">
      <c r="A386" s="48" t="s">
        <v>900</v>
      </c>
      <c r="B386" t="s">
        <v>901</v>
      </c>
      <c r="C386" t="s">
        <v>23207</v>
      </c>
      <c r="D386" s="3">
        <f>VLOOKUP(Table1[[#This Row],[CODE BARANG]],stock!$A:$C,3,)</f>
        <v>5</v>
      </c>
      <c r="E386" s="1">
        <v>6</v>
      </c>
      <c r="F386" s="1">
        <v>10</v>
      </c>
      <c r="G386" s="4">
        <f>Table1[[#This Row],[stock]]/Table1[[#This Row],[HASIL MIN]]</f>
        <v>0.83333333333333337</v>
      </c>
      <c r="H386" s="4">
        <f>Table1[[#This Row],[stock]]/Table1[[#This Row],[HASIL MAX]]</f>
        <v>0.5</v>
      </c>
      <c r="I386" s="4"/>
      <c r="J386" s="4"/>
    </row>
    <row r="387" spans="1:10" x14ac:dyDescent="0.25">
      <c r="A387" s="48" t="s">
        <v>1471</v>
      </c>
      <c r="B387" t="s">
        <v>1472</v>
      </c>
      <c r="C387" t="s">
        <v>23216</v>
      </c>
      <c r="D387" s="3">
        <f>VLOOKUP(Table1[[#This Row],[CODE BARANG]],stock!$A:$C,3,)</f>
        <v>1</v>
      </c>
      <c r="E387" s="1">
        <v>1</v>
      </c>
      <c r="F387" s="1">
        <v>2</v>
      </c>
      <c r="G387" s="4">
        <f>Table1[[#This Row],[stock]]/Table1[[#This Row],[HASIL MIN]]</f>
        <v>1</v>
      </c>
      <c r="H387" s="4">
        <f>Table1[[#This Row],[stock]]/Table1[[#This Row],[HASIL MAX]]</f>
        <v>0.5</v>
      </c>
      <c r="I387" s="4"/>
      <c r="J387" s="4"/>
    </row>
    <row r="388" spans="1:10" x14ac:dyDescent="0.25">
      <c r="A388" s="48" t="s">
        <v>22353</v>
      </c>
      <c r="B388" t="s">
        <v>696</v>
      </c>
      <c r="C388" t="s">
        <v>442</v>
      </c>
      <c r="D388" s="3">
        <f>VLOOKUP(Table1[[#This Row],[CODE BARANG]],stock!$A:$C,3,)</f>
        <v>12</v>
      </c>
      <c r="E388" s="1">
        <v>12</v>
      </c>
      <c r="F388" s="1">
        <v>24</v>
      </c>
      <c r="G388" s="4">
        <f>Table1[[#This Row],[stock]]/Table1[[#This Row],[HASIL MIN]]</f>
        <v>1</v>
      </c>
      <c r="H388" s="4">
        <f>Table1[[#This Row],[stock]]/Table1[[#This Row],[HASIL MAX]]</f>
        <v>0.5</v>
      </c>
      <c r="I388" s="4"/>
      <c r="J388" s="4"/>
    </row>
    <row r="389" spans="1:10" x14ac:dyDescent="0.25">
      <c r="A389" s="48" t="s">
        <v>1415</v>
      </c>
      <c r="B389" t="s">
        <v>1416</v>
      </c>
      <c r="C389" t="s">
        <v>23217</v>
      </c>
      <c r="D389" s="3">
        <f>VLOOKUP(Table1[[#This Row],[CODE BARANG]],stock!$A:$C,3,)</f>
        <v>147</v>
      </c>
      <c r="E389" s="1">
        <v>144</v>
      </c>
      <c r="F389" s="1">
        <v>288</v>
      </c>
      <c r="G389" s="4">
        <f>Table1[[#This Row],[stock]]/Table1[[#This Row],[HASIL MIN]]</f>
        <v>1.0208333333333333</v>
      </c>
      <c r="H389" s="4">
        <f>Table1[[#This Row],[stock]]/Table1[[#This Row],[HASIL MAX]]</f>
        <v>0.51041666666666663</v>
      </c>
      <c r="I389" s="4"/>
      <c r="J389" s="4"/>
    </row>
    <row r="390" spans="1:10" x14ac:dyDescent="0.25">
      <c r="A390" s="48" t="s">
        <v>1093</v>
      </c>
      <c r="B390" t="s">
        <v>1094</v>
      </c>
      <c r="C390" t="s">
        <v>23210</v>
      </c>
      <c r="D390" s="3">
        <f>VLOOKUP(Table1[[#This Row],[CODE BARANG]],stock!$A:$C,3,)</f>
        <v>31</v>
      </c>
      <c r="E390" s="1">
        <v>40</v>
      </c>
      <c r="F390" s="1">
        <v>60</v>
      </c>
      <c r="G390" s="4">
        <f>Table1[[#This Row],[stock]]/Table1[[#This Row],[HASIL MIN]]</f>
        <v>0.77500000000000002</v>
      </c>
      <c r="H390" s="4">
        <f>Table1[[#This Row],[stock]]/Table1[[#This Row],[HASIL MAX]]</f>
        <v>0.51666666666666672</v>
      </c>
      <c r="I390" s="4"/>
      <c r="J390" s="4"/>
    </row>
    <row r="391" spans="1:10" x14ac:dyDescent="0.25">
      <c r="A391" s="48" t="s">
        <v>23057</v>
      </c>
      <c r="B391" t="s">
        <v>19874</v>
      </c>
      <c r="C391" t="s">
        <v>442</v>
      </c>
      <c r="D391" s="3">
        <f>VLOOKUP(Table1[[#This Row],[CODE BARANG]],stock!$A:$C,3,)</f>
        <v>31</v>
      </c>
      <c r="E391" s="1">
        <v>28</v>
      </c>
      <c r="F391" s="1">
        <v>60</v>
      </c>
      <c r="G391" s="4">
        <f>Table1[[#This Row],[stock]]/Table1[[#This Row],[HASIL MIN]]</f>
        <v>1.1071428571428572</v>
      </c>
      <c r="H391" s="4">
        <f>Table1[[#This Row],[stock]]/Table1[[#This Row],[HASIL MAX]]</f>
        <v>0.51666666666666672</v>
      </c>
      <c r="I391" s="4"/>
      <c r="J391" s="4"/>
    </row>
    <row r="392" spans="1:10" x14ac:dyDescent="0.25">
      <c r="A392" s="48" t="s">
        <v>147</v>
      </c>
      <c r="B392" t="s">
        <v>148</v>
      </c>
      <c r="C392" t="s">
        <v>23209</v>
      </c>
      <c r="D392" s="3">
        <f>VLOOKUP(Table1[[#This Row],[CODE BARANG]],stock!$A:$C,3,)</f>
        <v>25</v>
      </c>
      <c r="E392" s="1">
        <v>30</v>
      </c>
      <c r="F392" s="1">
        <v>48</v>
      </c>
      <c r="G392" s="4">
        <f>Table1[[#This Row],[stock]]/Table1[[#This Row],[HASIL MIN]]</f>
        <v>0.83333333333333337</v>
      </c>
      <c r="H392" s="4">
        <f>Table1[[#This Row],[stock]]/Table1[[#This Row],[HASIL MAX]]</f>
        <v>0.52083333333333337</v>
      </c>
      <c r="I392" s="4"/>
      <c r="J392" s="4"/>
    </row>
    <row r="393" spans="1:10" x14ac:dyDescent="0.25">
      <c r="A393" s="48" t="s">
        <v>553</v>
      </c>
      <c r="B393" t="s">
        <v>554</v>
      </c>
      <c r="C393" t="s">
        <v>439</v>
      </c>
      <c r="D393" s="3">
        <f>VLOOKUP(Table1[[#This Row],[CODE BARANG]],stock!$A:$C,3,)</f>
        <v>10580</v>
      </c>
      <c r="E393" s="1">
        <v>10000</v>
      </c>
      <c r="F393" s="1">
        <v>20000</v>
      </c>
      <c r="G393" s="4">
        <f>Table1[[#This Row],[stock]]/Table1[[#This Row],[HASIL MIN]]</f>
        <v>1.0580000000000001</v>
      </c>
      <c r="H393" s="4">
        <f>Table1[[#This Row],[stock]]/Table1[[#This Row],[HASIL MAX]]</f>
        <v>0.52900000000000003</v>
      </c>
      <c r="I393" s="4"/>
      <c r="J393" s="4"/>
    </row>
    <row r="394" spans="1:10" x14ac:dyDescent="0.25">
      <c r="A394" s="48" t="s">
        <v>969</v>
      </c>
      <c r="B394" t="s">
        <v>970</v>
      </c>
      <c r="C394" t="s">
        <v>23209</v>
      </c>
      <c r="D394" s="3">
        <f>VLOOKUP(Table1[[#This Row],[CODE BARANG]],stock!$A:$C,3,)</f>
        <v>32</v>
      </c>
      <c r="E394" s="1">
        <v>24</v>
      </c>
      <c r="F394" s="1">
        <v>60</v>
      </c>
      <c r="G394" s="4">
        <f>Table1[[#This Row],[stock]]/Table1[[#This Row],[HASIL MIN]]</f>
        <v>1.3333333333333333</v>
      </c>
      <c r="H394" s="4">
        <f>Table1[[#This Row],[stock]]/Table1[[#This Row],[HASIL MAX]]</f>
        <v>0.53333333333333333</v>
      </c>
      <c r="I394" s="4"/>
      <c r="J394" s="4"/>
    </row>
    <row r="395" spans="1:10" x14ac:dyDescent="0.25">
      <c r="A395" s="48" t="s">
        <v>737</v>
      </c>
      <c r="B395" t="s">
        <v>738</v>
      </c>
      <c r="C395" t="s">
        <v>23210</v>
      </c>
      <c r="D395" s="3">
        <f>VLOOKUP(Table1[[#This Row],[CODE BARANG]],stock!$A:$C,3,)</f>
        <v>321</v>
      </c>
      <c r="E395" s="1">
        <v>240</v>
      </c>
      <c r="F395" s="1">
        <v>600</v>
      </c>
      <c r="G395" s="4">
        <f>Table1[[#This Row],[stock]]/Table1[[#This Row],[HASIL MIN]]</f>
        <v>1.3374999999999999</v>
      </c>
      <c r="H395" s="4">
        <f>Table1[[#This Row],[stock]]/Table1[[#This Row],[HASIL MAX]]</f>
        <v>0.53500000000000003</v>
      </c>
      <c r="I395" s="4"/>
      <c r="J395" s="4"/>
    </row>
    <row r="396" spans="1:10" x14ac:dyDescent="0.25">
      <c r="A396" s="48" t="s">
        <v>1409</v>
      </c>
      <c r="B396" t="s">
        <v>1410</v>
      </c>
      <c r="C396" t="s">
        <v>23210</v>
      </c>
      <c r="D396" s="3">
        <f>VLOOKUP(Table1[[#This Row],[CODE BARANG]],stock!$A:$C,3,)</f>
        <v>54</v>
      </c>
      <c r="E396" s="1">
        <v>60</v>
      </c>
      <c r="F396" s="1">
        <v>100</v>
      </c>
      <c r="G396" s="4">
        <f>Table1[[#This Row],[stock]]/Table1[[#This Row],[HASIL MIN]]</f>
        <v>0.9</v>
      </c>
      <c r="H396" s="4">
        <f>Table1[[#This Row],[stock]]/Table1[[#This Row],[HASIL MAX]]</f>
        <v>0.54</v>
      </c>
      <c r="I396" s="4"/>
      <c r="J396" s="4"/>
    </row>
    <row r="397" spans="1:10" x14ac:dyDescent="0.25">
      <c r="A397" s="48" t="s">
        <v>59</v>
      </c>
      <c r="B397" t="s">
        <v>60</v>
      </c>
      <c r="C397" t="s">
        <v>23216</v>
      </c>
      <c r="D397" s="3">
        <f>VLOOKUP(Table1[[#This Row],[CODE BARANG]],stock!$A:$C,3,)</f>
        <v>26</v>
      </c>
      <c r="E397" s="1">
        <v>24</v>
      </c>
      <c r="F397" s="1">
        <v>48</v>
      </c>
      <c r="G397" s="4">
        <f>Table1[[#This Row],[stock]]/Table1[[#This Row],[HASIL MIN]]</f>
        <v>1.0833333333333333</v>
      </c>
      <c r="H397" s="4">
        <f>Table1[[#This Row],[stock]]/Table1[[#This Row],[HASIL MAX]]</f>
        <v>0.54166666666666663</v>
      </c>
      <c r="I397" s="4"/>
      <c r="J397" s="4"/>
    </row>
    <row r="398" spans="1:10" x14ac:dyDescent="0.25">
      <c r="A398" s="48" t="s">
        <v>1928</v>
      </c>
      <c r="B398" t="s">
        <v>1929</v>
      </c>
      <c r="C398" t="s">
        <v>23211</v>
      </c>
      <c r="D398" s="3">
        <f>VLOOKUP(Table1[[#This Row],[CODE BARANG]],stock!$A:$C,3,)</f>
        <v>13</v>
      </c>
      <c r="E398" s="1">
        <v>12</v>
      </c>
      <c r="F398" s="1">
        <v>24</v>
      </c>
      <c r="G398" s="4">
        <f>Table1[[#This Row],[stock]]/Table1[[#This Row],[HASIL MIN]]</f>
        <v>1.0833333333333333</v>
      </c>
      <c r="H398" s="4">
        <f>Table1[[#This Row],[stock]]/Table1[[#This Row],[HASIL MAX]]</f>
        <v>0.54166666666666663</v>
      </c>
      <c r="I398" s="4"/>
      <c r="J398" s="4"/>
    </row>
    <row r="399" spans="1:10" x14ac:dyDescent="0.25">
      <c r="A399" s="48" t="s">
        <v>1115</v>
      </c>
      <c r="B399" t="s">
        <v>1116</v>
      </c>
      <c r="C399" t="s">
        <v>23209</v>
      </c>
      <c r="D399" s="3">
        <f>VLOOKUP(Table1[[#This Row],[CODE BARANG]],stock!$A:$C,3,)</f>
        <v>26</v>
      </c>
      <c r="E399" s="1">
        <v>36</v>
      </c>
      <c r="F399" s="1">
        <v>48</v>
      </c>
      <c r="G399" s="4">
        <f>Table1[[#This Row],[stock]]/Table1[[#This Row],[HASIL MIN]]</f>
        <v>0.72222222222222221</v>
      </c>
      <c r="H399" s="4">
        <f>Table1[[#This Row],[stock]]/Table1[[#This Row],[HASIL MAX]]</f>
        <v>0.54166666666666663</v>
      </c>
      <c r="I399" s="4"/>
      <c r="J399" s="4"/>
    </row>
    <row r="400" spans="1:10" x14ac:dyDescent="0.25">
      <c r="A400" s="48" t="s">
        <v>1119</v>
      </c>
      <c r="B400" t="s">
        <v>1120</v>
      </c>
      <c r="C400" t="s">
        <v>23207</v>
      </c>
      <c r="D400" s="3">
        <f>VLOOKUP(Table1[[#This Row],[CODE BARANG]],stock!$A:$C,3,)</f>
        <v>13</v>
      </c>
      <c r="E400" s="1">
        <v>12</v>
      </c>
      <c r="F400" s="1">
        <v>24</v>
      </c>
      <c r="G400" s="4">
        <f>Table1[[#This Row],[stock]]/Table1[[#This Row],[HASIL MIN]]</f>
        <v>1.0833333333333333</v>
      </c>
      <c r="H400" s="4">
        <f>Table1[[#This Row],[stock]]/Table1[[#This Row],[HASIL MAX]]</f>
        <v>0.54166666666666663</v>
      </c>
      <c r="I400" s="4"/>
      <c r="J400" s="4"/>
    </row>
    <row r="401" spans="1:10" x14ac:dyDescent="0.25">
      <c r="A401" s="48" t="s">
        <v>1511</v>
      </c>
      <c r="B401" t="s">
        <v>1512</v>
      </c>
      <c r="C401" t="s">
        <v>23209</v>
      </c>
      <c r="D401" s="3">
        <f>VLOOKUP(Table1[[#This Row],[CODE BARANG]],stock!$A:$C,3,)</f>
        <v>209</v>
      </c>
      <c r="E401" s="1">
        <v>240</v>
      </c>
      <c r="F401" s="1">
        <v>384</v>
      </c>
      <c r="G401" s="4">
        <f>Table1[[#This Row],[stock]]/Table1[[#This Row],[HASIL MIN]]</f>
        <v>0.87083333333333335</v>
      </c>
      <c r="H401" s="4">
        <f>Table1[[#This Row],[stock]]/Table1[[#This Row],[HASIL MAX]]</f>
        <v>0.54427083333333337</v>
      </c>
      <c r="I401" s="4"/>
      <c r="J401" s="4"/>
    </row>
    <row r="402" spans="1:10" x14ac:dyDescent="0.25">
      <c r="A402" s="48" t="s">
        <v>1753</v>
      </c>
      <c r="B402" t="s">
        <v>1754</v>
      </c>
      <c r="C402" t="s">
        <v>23215</v>
      </c>
      <c r="D402" s="3">
        <f>VLOOKUP(Table1[[#This Row],[CODE BARANG]],stock!$A:$C,3,)</f>
        <v>23</v>
      </c>
      <c r="E402" s="1">
        <v>18</v>
      </c>
      <c r="F402" s="1">
        <v>42</v>
      </c>
      <c r="G402" s="4">
        <f>Table1[[#This Row],[stock]]/Table1[[#This Row],[HASIL MIN]]</f>
        <v>1.2777777777777777</v>
      </c>
      <c r="H402" s="4">
        <f>Table1[[#This Row],[stock]]/Table1[[#This Row],[HASIL MAX]]</f>
        <v>0.54761904761904767</v>
      </c>
      <c r="I402" s="4"/>
      <c r="J402" s="4"/>
    </row>
    <row r="403" spans="1:10" x14ac:dyDescent="0.25">
      <c r="A403" s="48" t="s">
        <v>3319</v>
      </c>
      <c r="B403" t="s">
        <v>3320</v>
      </c>
      <c r="C403" t="s">
        <v>23214</v>
      </c>
      <c r="D403" s="3">
        <f>VLOOKUP(Table1[[#This Row],[CODE BARANG]],stock!$A:$C,3,)</f>
        <v>11</v>
      </c>
      <c r="E403" s="1">
        <v>10</v>
      </c>
      <c r="F403" s="1">
        <v>20</v>
      </c>
      <c r="G403" s="4">
        <f>Table1[[#This Row],[stock]]/Table1[[#This Row],[HASIL MIN]]</f>
        <v>1.1000000000000001</v>
      </c>
      <c r="H403" s="4">
        <f>Table1[[#This Row],[stock]]/Table1[[#This Row],[HASIL MAX]]</f>
        <v>0.55000000000000004</v>
      </c>
      <c r="I403" s="4"/>
      <c r="J403" s="4"/>
    </row>
    <row r="404" spans="1:10" x14ac:dyDescent="0.25">
      <c r="A404" s="48" t="s">
        <v>9794</v>
      </c>
      <c r="B404" t="s">
        <v>9795</v>
      </c>
      <c r="C404" t="s">
        <v>23214</v>
      </c>
      <c r="D404" s="3">
        <f>VLOOKUP(Table1[[#This Row],[CODE BARANG]],stock!$A:$C,3,)</f>
        <v>11</v>
      </c>
      <c r="E404" s="1">
        <v>9</v>
      </c>
      <c r="F404" s="1">
        <v>20</v>
      </c>
      <c r="G404" s="4">
        <f>Table1[[#This Row],[stock]]/Table1[[#This Row],[HASIL MIN]]</f>
        <v>1.2222222222222223</v>
      </c>
      <c r="H404" s="4">
        <f>Table1[[#This Row],[stock]]/Table1[[#This Row],[HASIL MAX]]</f>
        <v>0.55000000000000004</v>
      </c>
      <c r="I404" s="4"/>
      <c r="J404" s="4"/>
    </row>
    <row r="405" spans="1:10" x14ac:dyDescent="0.25">
      <c r="A405" s="48" t="s">
        <v>6369</v>
      </c>
      <c r="B405" t="s">
        <v>6370</v>
      </c>
      <c r="C405" t="s">
        <v>23214</v>
      </c>
      <c r="D405" s="3">
        <f>VLOOKUP(Table1[[#This Row],[CODE BARANG]],stock!$A:$C,3,)</f>
        <v>33</v>
      </c>
      <c r="E405" s="1">
        <v>10</v>
      </c>
      <c r="F405" s="1">
        <v>60</v>
      </c>
      <c r="G405" s="4">
        <f>Table1[[#This Row],[stock]]/Table1[[#This Row],[HASIL MIN]]</f>
        <v>3.3</v>
      </c>
      <c r="H405" s="4">
        <f>Table1[[#This Row],[stock]]/Table1[[#This Row],[HASIL MAX]]</f>
        <v>0.55000000000000004</v>
      </c>
      <c r="I405" s="4"/>
      <c r="J405" s="4"/>
    </row>
    <row r="406" spans="1:10" x14ac:dyDescent="0.25">
      <c r="A406" s="48" t="s">
        <v>1467</v>
      </c>
      <c r="B406" t="s">
        <v>1468</v>
      </c>
      <c r="C406" t="s">
        <v>23216</v>
      </c>
      <c r="D406" s="3">
        <f>VLOOKUP(Table1[[#This Row],[CODE BARANG]],stock!$A:$C,3,)</f>
        <v>66</v>
      </c>
      <c r="E406" s="1">
        <v>60</v>
      </c>
      <c r="F406" s="1">
        <v>120</v>
      </c>
      <c r="G406" s="4">
        <f>Table1[[#This Row],[stock]]/Table1[[#This Row],[HASIL MIN]]</f>
        <v>1.1000000000000001</v>
      </c>
      <c r="H406" s="4">
        <f>Table1[[#This Row],[stock]]/Table1[[#This Row],[HASIL MAX]]</f>
        <v>0.55000000000000004</v>
      </c>
      <c r="I406" s="4"/>
      <c r="J406" s="4"/>
    </row>
    <row r="407" spans="1:10" x14ac:dyDescent="0.25">
      <c r="A407" s="48" t="s">
        <v>1631</v>
      </c>
      <c r="B407" t="s">
        <v>1632</v>
      </c>
      <c r="C407" t="s">
        <v>23211</v>
      </c>
      <c r="D407" s="3">
        <f>VLOOKUP(Table1[[#This Row],[CODE BARANG]],stock!$A:$C,3,)</f>
        <v>20</v>
      </c>
      <c r="E407" s="1">
        <v>18</v>
      </c>
      <c r="F407" s="1">
        <v>36</v>
      </c>
      <c r="G407" s="4">
        <f>Table1[[#This Row],[stock]]/Table1[[#This Row],[HASIL MIN]]</f>
        <v>1.1111111111111112</v>
      </c>
      <c r="H407" s="4">
        <f>Table1[[#This Row],[stock]]/Table1[[#This Row],[HASIL MAX]]</f>
        <v>0.55555555555555558</v>
      </c>
      <c r="I407" s="4"/>
      <c r="J407" s="4"/>
    </row>
    <row r="408" spans="1:10" x14ac:dyDescent="0.25">
      <c r="A408" s="48" t="s">
        <v>1101</v>
      </c>
      <c r="B408" t="s">
        <v>1102</v>
      </c>
      <c r="C408" t="s">
        <v>442</v>
      </c>
      <c r="D408" s="3">
        <f>VLOOKUP(Table1[[#This Row],[CODE BARANG]],stock!$A:$C,3,)</f>
        <v>20</v>
      </c>
      <c r="E408" s="1">
        <v>24</v>
      </c>
      <c r="F408" s="1">
        <v>36</v>
      </c>
      <c r="G408" s="4">
        <f>Table1[[#This Row],[stock]]/Table1[[#This Row],[HASIL MIN]]</f>
        <v>0.83333333333333337</v>
      </c>
      <c r="H408" s="4">
        <f>Table1[[#This Row],[stock]]/Table1[[#This Row],[HASIL MAX]]</f>
        <v>0.55555555555555558</v>
      </c>
      <c r="I408" s="4"/>
      <c r="J408" s="4"/>
    </row>
    <row r="409" spans="1:10" x14ac:dyDescent="0.25">
      <c r="A409" s="48" t="s">
        <v>573</v>
      </c>
      <c r="B409" t="s">
        <v>574</v>
      </c>
      <c r="C409" t="s">
        <v>442</v>
      </c>
      <c r="D409" s="3">
        <f>VLOOKUP(Table1[[#This Row],[CODE BARANG]],stock!$A:$C,3,)</f>
        <v>47</v>
      </c>
      <c r="E409" s="1">
        <v>60</v>
      </c>
      <c r="F409" s="1">
        <v>84</v>
      </c>
      <c r="G409" s="4">
        <f>Table1[[#This Row],[stock]]/Table1[[#This Row],[HASIL MIN]]</f>
        <v>0.78333333333333333</v>
      </c>
      <c r="H409" s="4">
        <f>Table1[[#This Row],[stock]]/Table1[[#This Row],[HASIL MAX]]</f>
        <v>0.55952380952380953</v>
      </c>
      <c r="I409" s="4"/>
      <c r="J409" s="4"/>
    </row>
    <row r="410" spans="1:10" x14ac:dyDescent="0.25">
      <c r="A410" s="48" t="s">
        <v>1197</v>
      </c>
      <c r="B410" t="s">
        <v>1198</v>
      </c>
      <c r="C410" t="s">
        <v>442</v>
      </c>
      <c r="D410" s="3">
        <f>VLOOKUP(Table1[[#This Row],[CODE BARANG]],stock!$A:$C,3,)</f>
        <v>17</v>
      </c>
      <c r="E410" s="1">
        <v>15</v>
      </c>
      <c r="F410" s="1">
        <v>30</v>
      </c>
      <c r="G410" s="4">
        <f>Table1[[#This Row],[stock]]/Table1[[#This Row],[HASIL MIN]]</f>
        <v>1.1333333333333333</v>
      </c>
      <c r="H410" s="4">
        <f>Table1[[#This Row],[stock]]/Table1[[#This Row],[HASIL MAX]]</f>
        <v>0.56666666666666665</v>
      </c>
      <c r="I410" s="4"/>
      <c r="J410" s="4"/>
    </row>
    <row r="411" spans="1:10" x14ac:dyDescent="0.25">
      <c r="A411" s="48" t="s">
        <v>335</v>
      </c>
      <c r="B411" t="s">
        <v>336</v>
      </c>
      <c r="C411" t="s">
        <v>23217</v>
      </c>
      <c r="D411" s="3">
        <f>VLOOKUP(Table1[[#This Row],[CODE BARANG]],stock!$A:$C,3,)</f>
        <v>41</v>
      </c>
      <c r="E411" s="1">
        <v>36</v>
      </c>
      <c r="F411" s="1">
        <v>72</v>
      </c>
      <c r="G411" s="4">
        <f>Table1[[#This Row],[stock]]/Table1[[#This Row],[HASIL MIN]]</f>
        <v>1.1388888888888888</v>
      </c>
      <c r="H411" s="4">
        <f>Table1[[#This Row],[stock]]/Table1[[#This Row],[HASIL MAX]]</f>
        <v>0.56944444444444442</v>
      </c>
      <c r="I411" s="4"/>
      <c r="J411" s="4"/>
    </row>
    <row r="412" spans="1:10" x14ac:dyDescent="0.25">
      <c r="A412" s="48" t="s">
        <v>1023</v>
      </c>
      <c r="B412" t="s">
        <v>1024</v>
      </c>
      <c r="C412" t="s">
        <v>23209</v>
      </c>
      <c r="D412" s="3">
        <f>VLOOKUP(Table1[[#This Row],[CODE BARANG]],stock!$A:$C,3,)</f>
        <v>57</v>
      </c>
      <c r="E412" s="1">
        <v>60</v>
      </c>
      <c r="F412" s="1">
        <v>100</v>
      </c>
      <c r="G412" s="4">
        <f>Table1[[#This Row],[stock]]/Table1[[#This Row],[HASIL MIN]]</f>
        <v>0.95</v>
      </c>
      <c r="H412" s="4">
        <f>Table1[[#This Row],[stock]]/Table1[[#This Row],[HASIL MAX]]</f>
        <v>0.56999999999999995</v>
      </c>
      <c r="I412" s="4"/>
      <c r="J412" s="4"/>
    </row>
    <row r="413" spans="1:10" x14ac:dyDescent="0.25">
      <c r="A413" s="48" t="s">
        <v>475</v>
      </c>
      <c r="B413" t="s">
        <v>476</v>
      </c>
      <c r="C413" t="s">
        <v>442</v>
      </c>
      <c r="D413" s="3">
        <f>VLOOKUP(Table1[[#This Row],[CODE BARANG]],stock!$A:$C,3,)</f>
        <v>137</v>
      </c>
      <c r="E413" s="1">
        <v>120</v>
      </c>
      <c r="F413" s="1">
        <v>240</v>
      </c>
      <c r="G413" s="4">
        <f>Table1[[#This Row],[stock]]/Table1[[#This Row],[HASIL MIN]]</f>
        <v>1.1416666666666666</v>
      </c>
      <c r="H413" s="4">
        <f>Table1[[#This Row],[stock]]/Table1[[#This Row],[HASIL MAX]]</f>
        <v>0.5708333333333333</v>
      </c>
      <c r="I413" s="4"/>
      <c r="J413" s="4"/>
    </row>
    <row r="414" spans="1:10" x14ac:dyDescent="0.25">
      <c r="A414" s="48" t="s">
        <v>711</v>
      </c>
      <c r="B414" t="s">
        <v>712</v>
      </c>
      <c r="C414" t="s">
        <v>23214</v>
      </c>
      <c r="D414" s="3">
        <f>VLOOKUP(Table1[[#This Row],[CODE BARANG]],stock!$A:$C,3,)</f>
        <v>23</v>
      </c>
      <c r="E414" s="1">
        <v>20</v>
      </c>
      <c r="F414" s="1">
        <v>40</v>
      </c>
      <c r="G414" s="4">
        <f>Table1[[#This Row],[stock]]/Table1[[#This Row],[HASIL MIN]]</f>
        <v>1.1499999999999999</v>
      </c>
      <c r="H414" s="4">
        <f>Table1[[#This Row],[stock]]/Table1[[#This Row],[HASIL MAX]]</f>
        <v>0.57499999999999996</v>
      </c>
      <c r="I414" s="4"/>
      <c r="J414" s="4"/>
    </row>
    <row r="415" spans="1:10" x14ac:dyDescent="0.25">
      <c r="A415" s="48" t="s">
        <v>1523</v>
      </c>
      <c r="B415" t="s">
        <v>1524</v>
      </c>
      <c r="C415" t="s">
        <v>23209</v>
      </c>
      <c r="D415" s="3">
        <f>VLOOKUP(Table1[[#This Row],[CODE BARANG]],stock!$A:$C,3,)</f>
        <v>14</v>
      </c>
      <c r="E415" s="1">
        <v>12</v>
      </c>
      <c r="F415" s="1">
        <v>24</v>
      </c>
      <c r="G415" s="4">
        <f>Table1[[#This Row],[stock]]/Table1[[#This Row],[HASIL MIN]]</f>
        <v>1.1666666666666667</v>
      </c>
      <c r="H415" s="4">
        <f>Table1[[#This Row],[stock]]/Table1[[#This Row],[HASIL MAX]]</f>
        <v>0.58333333333333337</v>
      </c>
      <c r="I415" s="4"/>
      <c r="J415" s="4"/>
    </row>
    <row r="416" spans="1:10" x14ac:dyDescent="0.25">
      <c r="A416" s="48" t="s">
        <v>1291</v>
      </c>
      <c r="B416" t="s">
        <v>1292</v>
      </c>
      <c r="C416" t="s">
        <v>23209</v>
      </c>
      <c r="D416" s="3">
        <f>VLOOKUP(Table1[[#This Row],[CODE BARANG]],stock!$A:$C,3,)</f>
        <v>14</v>
      </c>
      <c r="E416" s="1">
        <v>16</v>
      </c>
      <c r="F416" s="1">
        <v>24</v>
      </c>
      <c r="G416" s="4">
        <f>Table1[[#This Row],[stock]]/Table1[[#This Row],[HASIL MIN]]</f>
        <v>0.875</v>
      </c>
      <c r="H416" s="4">
        <f>Table1[[#This Row],[stock]]/Table1[[#This Row],[HASIL MAX]]</f>
        <v>0.58333333333333337</v>
      </c>
      <c r="I416" s="4"/>
      <c r="J416" s="4"/>
    </row>
    <row r="417" spans="1:10" x14ac:dyDescent="0.25">
      <c r="A417" s="48" t="s">
        <v>805</v>
      </c>
      <c r="B417" t="s">
        <v>806</v>
      </c>
      <c r="C417" t="s">
        <v>23217</v>
      </c>
      <c r="D417" s="3">
        <f>VLOOKUP(Table1[[#This Row],[CODE BARANG]],stock!$A:$C,3,)</f>
        <v>70</v>
      </c>
      <c r="E417" s="1">
        <v>60</v>
      </c>
      <c r="F417" s="1">
        <v>120</v>
      </c>
      <c r="G417" s="4">
        <f>Table1[[#This Row],[stock]]/Table1[[#This Row],[HASIL MIN]]</f>
        <v>1.1666666666666667</v>
      </c>
      <c r="H417" s="4">
        <f>Table1[[#This Row],[stock]]/Table1[[#This Row],[HASIL MAX]]</f>
        <v>0.58333333333333337</v>
      </c>
      <c r="I417" s="4"/>
      <c r="J417" s="4"/>
    </row>
    <row r="418" spans="1:10" x14ac:dyDescent="0.25">
      <c r="A418" s="48" t="s">
        <v>1299</v>
      </c>
      <c r="B418" t="s">
        <v>1300</v>
      </c>
      <c r="C418" t="s">
        <v>23209</v>
      </c>
      <c r="D418" s="3">
        <f>VLOOKUP(Table1[[#This Row],[CODE BARANG]],stock!$A:$C,3,)</f>
        <v>7</v>
      </c>
      <c r="E418" s="1">
        <v>6</v>
      </c>
      <c r="F418" s="1">
        <v>12</v>
      </c>
      <c r="G418" s="4">
        <f>Table1[[#This Row],[stock]]/Table1[[#This Row],[HASIL MIN]]</f>
        <v>1.1666666666666667</v>
      </c>
      <c r="H418" s="4">
        <f>Table1[[#This Row],[stock]]/Table1[[#This Row],[HASIL MAX]]</f>
        <v>0.58333333333333337</v>
      </c>
      <c r="I418" s="4"/>
      <c r="J418" s="4"/>
    </row>
    <row r="419" spans="1:10" x14ac:dyDescent="0.25">
      <c r="A419" s="48" t="s">
        <v>1605</v>
      </c>
      <c r="B419" t="s">
        <v>1606</v>
      </c>
      <c r="C419" t="s">
        <v>442</v>
      </c>
      <c r="D419" s="3">
        <f>VLOOKUP(Table1[[#This Row],[CODE BARANG]],stock!$A:$C,3,)</f>
        <v>14</v>
      </c>
      <c r="E419" s="1">
        <v>12</v>
      </c>
      <c r="F419" s="1">
        <v>24</v>
      </c>
      <c r="G419" s="4">
        <f>Table1[[#This Row],[stock]]/Table1[[#This Row],[HASIL MIN]]</f>
        <v>1.1666666666666667</v>
      </c>
      <c r="H419" s="4">
        <f>Table1[[#This Row],[stock]]/Table1[[#This Row],[HASIL MAX]]</f>
        <v>0.58333333333333337</v>
      </c>
      <c r="I419" s="4"/>
      <c r="J419" s="4"/>
    </row>
    <row r="420" spans="1:10" x14ac:dyDescent="0.25">
      <c r="A420" s="48" t="s">
        <v>1191</v>
      </c>
      <c r="B420" t="s">
        <v>1192</v>
      </c>
      <c r="C420" t="s">
        <v>23209</v>
      </c>
      <c r="D420" s="3">
        <f>VLOOKUP(Table1[[#This Row],[CODE BARANG]],stock!$A:$C,3,)</f>
        <v>14</v>
      </c>
      <c r="E420" s="1">
        <v>12</v>
      </c>
      <c r="F420" s="1">
        <v>24</v>
      </c>
      <c r="G420" s="4">
        <f>Table1[[#This Row],[stock]]/Table1[[#This Row],[HASIL MIN]]</f>
        <v>1.1666666666666667</v>
      </c>
      <c r="H420" s="4">
        <f>Table1[[#This Row],[stock]]/Table1[[#This Row],[HASIL MAX]]</f>
        <v>0.58333333333333337</v>
      </c>
      <c r="I420" s="4"/>
      <c r="J420" s="4"/>
    </row>
    <row r="421" spans="1:10" x14ac:dyDescent="0.25">
      <c r="A421" s="48" t="s">
        <v>1111</v>
      </c>
      <c r="B421" t="s">
        <v>1112</v>
      </c>
      <c r="C421" t="s">
        <v>442</v>
      </c>
      <c r="D421" s="3">
        <f>VLOOKUP(Table1[[#This Row],[CODE BARANG]],stock!$A:$C,3,)</f>
        <v>7</v>
      </c>
      <c r="E421" s="1">
        <v>7</v>
      </c>
      <c r="F421" s="1">
        <v>12</v>
      </c>
      <c r="G421" s="4">
        <f>Table1[[#This Row],[stock]]/Table1[[#This Row],[HASIL MIN]]</f>
        <v>1</v>
      </c>
      <c r="H421" s="4">
        <f>Table1[[#This Row],[stock]]/Table1[[#This Row],[HASIL MAX]]</f>
        <v>0.58333333333333337</v>
      </c>
      <c r="I421" s="4"/>
      <c r="J421" s="4"/>
    </row>
    <row r="422" spans="1:10" x14ac:dyDescent="0.25">
      <c r="A422" s="48" t="s">
        <v>733</v>
      </c>
      <c r="B422" t="s">
        <v>734</v>
      </c>
      <c r="C422" t="s">
        <v>23209</v>
      </c>
      <c r="D422" s="3">
        <f>VLOOKUP(Table1[[#This Row],[CODE BARANG]],stock!$A:$C,3,)</f>
        <v>7</v>
      </c>
      <c r="E422" s="1">
        <v>6</v>
      </c>
      <c r="F422" s="1">
        <v>12</v>
      </c>
      <c r="G422" s="4">
        <f>Table1[[#This Row],[stock]]/Table1[[#This Row],[HASIL MIN]]</f>
        <v>1.1666666666666667</v>
      </c>
      <c r="H422" s="4">
        <f>Table1[[#This Row],[stock]]/Table1[[#This Row],[HASIL MAX]]</f>
        <v>0.58333333333333337</v>
      </c>
      <c r="I422" s="4"/>
      <c r="J422" s="4"/>
    </row>
    <row r="423" spans="1:10" x14ac:dyDescent="0.25">
      <c r="A423" s="48" t="s">
        <v>1495</v>
      </c>
      <c r="B423" t="s">
        <v>1496</v>
      </c>
      <c r="C423" t="s">
        <v>23218</v>
      </c>
      <c r="D423" s="3">
        <f>VLOOKUP(Table1[[#This Row],[CODE BARANG]],stock!$A:$C,3,)</f>
        <v>14</v>
      </c>
      <c r="E423" s="1">
        <v>12</v>
      </c>
      <c r="F423" s="1">
        <v>24</v>
      </c>
      <c r="G423" s="4">
        <f>Table1[[#This Row],[stock]]/Table1[[#This Row],[HASIL MIN]]</f>
        <v>1.1666666666666667</v>
      </c>
      <c r="H423" s="4">
        <f>Table1[[#This Row],[stock]]/Table1[[#This Row],[HASIL MAX]]</f>
        <v>0.58333333333333337</v>
      </c>
      <c r="I423" s="4"/>
      <c r="J423" s="4"/>
    </row>
    <row r="424" spans="1:10" x14ac:dyDescent="0.25">
      <c r="A424" s="48" t="s">
        <v>19478</v>
      </c>
      <c r="B424" t="s">
        <v>19479</v>
      </c>
      <c r="C424" t="s">
        <v>23213</v>
      </c>
      <c r="D424" s="3">
        <f>VLOOKUP(Table1[[#This Row],[CODE BARANG]],stock!$A:$C,3,)</f>
        <v>9</v>
      </c>
      <c r="E424" s="1">
        <v>9</v>
      </c>
      <c r="F424" s="1">
        <v>15</v>
      </c>
      <c r="G424" s="4">
        <f>Table1[[#This Row],[stock]]/Table1[[#This Row],[HASIL MIN]]</f>
        <v>1</v>
      </c>
      <c r="H424" s="4">
        <f>Table1[[#This Row],[stock]]/Table1[[#This Row],[HASIL MAX]]</f>
        <v>0.6</v>
      </c>
      <c r="I424" s="4"/>
      <c r="J424" s="4"/>
    </row>
    <row r="425" spans="1:10" x14ac:dyDescent="0.25">
      <c r="A425" s="48" t="s">
        <v>12962</v>
      </c>
      <c r="B425" t="s">
        <v>12963</v>
      </c>
      <c r="C425" t="s">
        <v>23207</v>
      </c>
      <c r="D425" s="3">
        <f>VLOOKUP(Table1[[#This Row],[CODE BARANG]],stock!$A:$C,3,)</f>
        <v>6</v>
      </c>
      <c r="E425" s="1">
        <v>4</v>
      </c>
      <c r="F425" s="1">
        <v>10</v>
      </c>
      <c r="G425" s="4">
        <f>Table1[[#This Row],[stock]]/Table1[[#This Row],[HASIL MIN]]</f>
        <v>1.5</v>
      </c>
      <c r="H425" s="4">
        <f>Table1[[#This Row],[stock]]/Table1[[#This Row],[HASIL MAX]]</f>
        <v>0.6</v>
      </c>
      <c r="I425" s="4"/>
      <c r="J425" s="4"/>
    </row>
    <row r="426" spans="1:10" x14ac:dyDescent="0.25">
      <c r="A426" s="48" t="s">
        <v>181</v>
      </c>
      <c r="B426" t="s">
        <v>182</v>
      </c>
      <c r="C426" t="s">
        <v>23214</v>
      </c>
      <c r="D426" s="3">
        <f>VLOOKUP(Table1[[#This Row],[CODE BARANG]],stock!$A:$C,3,)</f>
        <v>24</v>
      </c>
      <c r="E426" s="1">
        <v>20</v>
      </c>
      <c r="F426" s="1">
        <v>40</v>
      </c>
      <c r="G426" s="4">
        <f>Table1[[#This Row],[stock]]/Table1[[#This Row],[HASIL MIN]]</f>
        <v>1.2</v>
      </c>
      <c r="H426" s="4">
        <f>Table1[[#This Row],[stock]]/Table1[[#This Row],[HASIL MAX]]</f>
        <v>0.6</v>
      </c>
      <c r="I426" s="4"/>
      <c r="J426" s="4"/>
    </row>
    <row r="427" spans="1:10" x14ac:dyDescent="0.25">
      <c r="A427" s="48" t="s">
        <v>1491</v>
      </c>
      <c r="B427" t="s">
        <v>1492</v>
      </c>
      <c r="C427" t="s">
        <v>23209</v>
      </c>
      <c r="D427" s="3">
        <f>VLOOKUP(Table1[[#This Row],[CODE BARANG]],stock!$A:$C,3,)</f>
        <v>36</v>
      </c>
      <c r="E427" s="1">
        <v>48</v>
      </c>
      <c r="F427" s="1">
        <v>60</v>
      </c>
      <c r="G427" s="4">
        <f>Table1[[#This Row],[stock]]/Table1[[#This Row],[HASIL MIN]]</f>
        <v>0.75</v>
      </c>
      <c r="H427" s="4">
        <f>Table1[[#This Row],[stock]]/Table1[[#This Row],[HASIL MAX]]</f>
        <v>0.6</v>
      </c>
      <c r="I427" s="4"/>
      <c r="J427" s="4"/>
    </row>
    <row r="428" spans="1:10" x14ac:dyDescent="0.25">
      <c r="A428" s="48" t="s">
        <v>22346</v>
      </c>
      <c r="B428" t="s">
        <v>1646</v>
      </c>
      <c r="C428" t="s">
        <v>442</v>
      </c>
      <c r="D428" s="3">
        <f>VLOOKUP(Table1[[#This Row],[CODE BARANG]],stock!$A:$C,3,)</f>
        <v>36</v>
      </c>
      <c r="E428" s="1">
        <v>36</v>
      </c>
      <c r="F428" s="1">
        <v>60</v>
      </c>
      <c r="G428" s="4">
        <f>Table1[[#This Row],[stock]]/Table1[[#This Row],[HASIL MIN]]</f>
        <v>1</v>
      </c>
      <c r="H428" s="4">
        <f>Table1[[#This Row],[stock]]/Table1[[#This Row],[HASIL MAX]]</f>
        <v>0.6</v>
      </c>
      <c r="I428" s="4"/>
      <c r="J428" s="4"/>
    </row>
    <row r="429" spans="1:10" x14ac:dyDescent="0.25">
      <c r="A429" s="48" t="s">
        <v>11928</v>
      </c>
      <c r="B429" t="s">
        <v>11929</v>
      </c>
      <c r="C429" t="s">
        <v>442</v>
      </c>
      <c r="D429" s="3">
        <f>VLOOKUP(Table1[[#This Row],[CODE BARANG]],stock!$A:$C,3,)</f>
        <v>6</v>
      </c>
      <c r="E429" s="1">
        <v>4</v>
      </c>
      <c r="F429" s="1">
        <v>10</v>
      </c>
      <c r="G429" s="4">
        <f>Table1[[#This Row],[stock]]/Table1[[#This Row],[HASIL MIN]]</f>
        <v>1.5</v>
      </c>
      <c r="H429" s="4">
        <f>Table1[[#This Row],[stock]]/Table1[[#This Row],[HASIL MAX]]</f>
        <v>0.6</v>
      </c>
      <c r="I429" s="4"/>
      <c r="J429" s="4"/>
    </row>
    <row r="430" spans="1:10" x14ac:dyDescent="0.25">
      <c r="A430" s="48" t="s">
        <v>8960</v>
      </c>
      <c r="B430" t="s">
        <v>22275</v>
      </c>
      <c r="C430" t="s">
        <v>23218</v>
      </c>
      <c r="D430" s="3">
        <f>VLOOKUP(Table1[[#This Row],[CODE BARANG]],stock!$A:$C,3,)</f>
        <v>12</v>
      </c>
      <c r="E430" s="1">
        <v>10</v>
      </c>
      <c r="F430" s="1">
        <v>20</v>
      </c>
      <c r="G430" s="4">
        <f>Table1[[#This Row],[stock]]/Table1[[#This Row],[HASIL MIN]]</f>
        <v>1.2</v>
      </c>
      <c r="H430" s="4">
        <f>Table1[[#This Row],[stock]]/Table1[[#This Row],[HASIL MAX]]</f>
        <v>0.6</v>
      </c>
      <c r="I430" s="4"/>
      <c r="J430" s="4"/>
    </row>
    <row r="431" spans="1:10" x14ac:dyDescent="0.25">
      <c r="A431" s="48" t="s">
        <v>29</v>
      </c>
      <c r="B431" t="s">
        <v>30</v>
      </c>
      <c r="C431" t="s">
        <v>439</v>
      </c>
      <c r="D431" s="3">
        <f>VLOOKUP(Table1[[#This Row],[CODE BARANG]],stock!$A:$C,3,)</f>
        <v>29</v>
      </c>
      <c r="E431" s="1">
        <v>24</v>
      </c>
      <c r="F431" s="1">
        <v>48</v>
      </c>
      <c r="G431" s="4">
        <f>Table1[[#This Row],[stock]]/Table1[[#This Row],[HASIL MIN]]</f>
        <v>1.2083333333333333</v>
      </c>
      <c r="H431" s="4">
        <f>Table1[[#This Row],[stock]]/Table1[[#This Row],[HASIL MAX]]</f>
        <v>0.60416666666666663</v>
      </c>
      <c r="I431" s="4"/>
      <c r="J431" s="4"/>
    </row>
    <row r="432" spans="1:10" x14ac:dyDescent="0.25">
      <c r="A432" s="48" t="s">
        <v>455</v>
      </c>
      <c r="B432" t="s">
        <v>456</v>
      </c>
      <c r="C432" t="s">
        <v>23209</v>
      </c>
      <c r="D432" s="3">
        <f>VLOOKUP(Table1[[#This Row],[CODE BARANG]],stock!$A:$C,3,)</f>
        <v>29</v>
      </c>
      <c r="E432" s="1">
        <v>30</v>
      </c>
      <c r="F432" s="1">
        <v>48</v>
      </c>
      <c r="G432" s="4">
        <f>Table1[[#This Row],[stock]]/Table1[[#This Row],[HASIL MIN]]</f>
        <v>0.96666666666666667</v>
      </c>
      <c r="H432" s="4">
        <f>Table1[[#This Row],[stock]]/Table1[[#This Row],[HASIL MAX]]</f>
        <v>0.60416666666666663</v>
      </c>
      <c r="I432" s="4"/>
      <c r="J432" s="4"/>
    </row>
    <row r="433" spans="1:10" x14ac:dyDescent="0.25">
      <c r="A433" s="48" t="s">
        <v>1293</v>
      </c>
      <c r="B433" t="s">
        <v>1294</v>
      </c>
      <c r="C433" t="s">
        <v>23209</v>
      </c>
      <c r="D433" s="3">
        <f>VLOOKUP(Table1[[#This Row],[CODE BARANG]],stock!$A:$C,3,)</f>
        <v>73</v>
      </c>
      <c r="E433" s="1">
        <v>60</v>
      </c>
      <c r="F433" s="1">
        <v>120</v>
      </c>
      <c r="G433" s="4">
        <f>Table1[[#This Row],[stock]]/Table1[[#This Row],[HASIL MIN]]</f>
        <v>1.2166666666666666</v>
      </c>
      <c r="H433" s="4">
        <f>Table1[[#This Row],[stock]]/Table1[[#This Row],[HASIL MAX]]</f>
        <v>0.60833333333333328</v>
      </c>
      <c r="I433" s="4"/>
      <c r="J433" s="4"/>
    </row>
    <row r="434" spans="1:10" x14ac:dyDescent="0.25">
      <c r="A434" s="48" t="s">
        <v>1635</v>
      </c>
      <c r="B434" t="s">
        <v>1636</v>
      </c>
      <c r="C434" t="s">
        <v>23212</v>
      </c>
      <c r="D434" s="3">
        <f>VLOOKUP(Table1[[#This Row],[CODE BARANG]],stock!$A:$C,3,)</f>
        <v>22</v>
      </c>
      <c r="E434" s="1">
        <v>24</v>
      </c>
      <c r="F434" s="1">
        <v>36</v>
      </c>
      <c r="G434" s="4">
        <f>Table1[[#This Row],[stock]]/Table1[[#This Row],[HASIL MIN]]</f>
        <v>0.91666666666666663</v>
      </c>
      <c r="H434" s="4">
        <f>Table1[[#This Row],[stock]]/Table1[[#This Row],[HASIL MAX]]</f>
        <v>0.61111111111111116</v>
      </c>
      <c r="I434" s="4"/>
      <c r="J434" s="4"/>
    </row>
    <row r="435" spans="1:10" x14ac:dyDescent="0.25">
      <c r="A435" s="48" t="s">
        <v>1109</v>
      </c>
      <c r="B435" t="s">
        <v>1110</v>
      </c>
      <c r="C435" t="s">
        <v>23212</v>
      </c>
      <c r="D435" s="3">
        <f>VLOOKUP(Table1[[#This Row],[CODE BARANG]],stock!$A:$C,3,)</f>
        <v>147</v>
      </c>
      <c r="E435" s="1">
        <v>160</v>
      </c>
      <c r="F435" s="1">
        <v>240</v>
      </c>
      <c r="G435" s="4">
        <f>Table1[[#This Row],[stock]]/Table1[[#This Row],[HASIL MIN]]</f>
        <v>0.91874999999999996</v>
      </c>
      <c r="H435" s="4">
        <f>Table1[[#This Row],[stock]]/Table1[[#This Row],[HASIL MAX]]</f>
        <v>0.61250000000000004</v>
      </c>
      <c r="I435" s="4"/>
      <c r="J435" s="4"/>
    </row>
    <row r="436" spans="1:10" x14ac:dyDescent="0.25">
      <c r="A436" s="48" t="s">
        <v>4188</v>
      </c>
      <c r="B436" t="s">
        <v>22222</v>
      </c>
      <c r="C436" t="s">
        <v>23214</v>
      </c>
      <c r="D436" s="3">
        <f>VLOOKUP(Table1[[#This Row],[CODE BARANG]],stock!$A:$C,3,)</f>
        <v>184</v>
      </c>
      <c r="E436" s="1">
        <v>200</v>
      </c>
      <c r="F436" s="1">
        <v>300</v>
      </c>
      <c r="G436" s="4">
        <f>Table1[[#This Row],[stock]]/Table1[[#This Row],[HASIL MIN]]</f>
        <v>0.92</v>
      </c>
      <c r="H436" s="4">
        <f>Table1[[#This Row],[stock]]/Table1[[#This Row],[HASIL MAX]]</f>
        <v>0.61333333333333329</v>
      </c>
      <c r="I436" s="4"/>
      <c r="J436" s="4"/>
    </row>
    <row r="437" spans="1:10" x14ac:dyDescent="0.25">
      <c r="A437" s="48" t="s">
        <v>1727</v>
      </c>
      <c r="B437" t="s">
        <v>1728</v>
      </c>
      <c r="C437" t="s">
        <v>23216</v>
      </c>
      <c r="D437" s="3">
        <f>VLOOKUP(Table1[[#This Row],[CODE BARANG]],stock!$A:$C,3,)</f>
        <v>37</v>
      </c>
      <c r="E437" s="1">
        <v>40</v>
      </c>
      <c r="F437" s="1">
        <v>60</v>
      </c>
      <c r="G437" s="4">
        <f>Table1[[#This Row],[stock]]/Table1[[#This Row],[HASIL MIN]]</f>
        <v>0.92500000000000004</v>
      </c>
      <c r="H437" s="4">
        <f>Table1[[#This Row],[stock]]/Table1[[#This Row],[HASIL MAX]]</f>
        <v>0.6166666666666667</v>
      </c>
      <c r="I437" s="4"/>
      <c r="J437" s="4"/>
    </row>
    <row r="438" spans="1:10" x14ac:dyDescent="0.25">
      <c r="A438" s="48" t="s">
        <v>697</v>
      </c>
      <c r="B438" t="s">
        <v>698</v>
      </c>
      <c r="C438" t="s">
        <v>442</v>
      </c>
      <c r="D438" s="3">
        <f>VLOOKUP(Table1[[#This Row],[CODE BARANG]],stock!$A:$C,3,)</f>
        <v>30</v>
      </c>
      <c r="E438" s="1">
        <v>24</v>
      </c>
      <c r="F438" s="1">
        <v>48</v>
      </c>
      <c r="G438" s="4">
        <f>Table1[[#This Row],[stock]]/Table1[[#This Row],[HASIL MIN]]</f>
        <v>1.25</v>
      </c>
      <c r="H438" s="4">
        <f>Table1[[#This Row],[stock]]/Table1[[#This Row],[HASIL MAX]]</f>
        <v>0.625</v>
      </c>
      <c r="I438" s="4"/>
      <c r="J438" s="4"/>
    </row>
    <row r="439" spans="1:10" x14ac:dyDescent="0.25">
      <c r="A439" s="48" t="s">
        <v>1159</v>
      </c>
      <c r="B439" t="s">
        <v>1160</v>
      </c>
      <c r="C439" t="s">
        <v>1859</v>
      </c>
      <c r="D439" s="3">
        <f>VLOOKUP(Table1[[#This Row],[CODE BARANG]],stock!$A:$C,3,)</f>
        <v>15</v>
      </c>
      <c r="E439" s="1">
        <v>12</v>
      </c>
      <c r="F439" s="1">
        <v>24</v>
      </c>
      <c r="G439" s="4">
        <f>Table1[[#This Row],[stock]]/Table1[[#This Row],[HASIL MIN]]</f>
        <v>1.25</v>
      </c>
      <c r="H439" s="4">
        <f>Table1[[#This Row],[stock]]/Table1[[#This Row],[HASIL MAX]]</f>
        <v>0.625</v>
      </c>
      <c r="I439" s="4"/>
      <c r="J439" s="4"/>
    </row>
    <row r="440" spans="1:10" x14ac:dyDescent="0.25">
      <c r="A440" s="48" t="s">
        <v>1916</v>
      </c>
      <c r="B440" t="s">
        <v>1917</v>
      </c>
      <c r="C440" t="s">
        <v>23209</v>
      </c>
      <c r="D440" s="3">
        <f>VLOOKUP(Table1[[#This Row],[CODE BARANG]],stock!$A:$C,3,)</f>
        <v>15</v>
      </c>
      <c r="E440" s="1">
        <v>12</v>
      </c>
      <c r="F440" s="1">
        <v>24</v>
      </c>
      <c r="G440" s="4">
        <f>Table1[[#This Row],[stock]]/Table1[[#This Row],[HASIL MIN]]</f>
        <v>1.25</v>
      </c>
      <c r="H440" s="4">
        <f>Table1[[#This Row],[stock]]/Table1[[#This Row],[HASIL MAX]]</f>
        <v>0.625</v>
      </c>
      <c r="I440" s="4"/>
      <c r="J440" s="4"/>
    </row>
    <row r="441" spans="1:10" x14ac:dyDescent="0.25">
      <c r="A441" s="48" t="s">
        <v>1167</v>
      </c>
      <c r="B441" t="s">
        <v>1168</v>
      </c>
      <c r="C441" t="s">
        <v>23209</v>
      </c>
      <c r="D441" s="3">
        <f>VLOOKUP(Table1[[#This Row],[CODE BARANG]],stock!$A:$C,3,)</f>
        <v>10</v>
      </c>
      <c r="E441" s="1">
        <v>8</v>
      </c>
      <c r="F441" s="1">
        <v>16</v>
      </c>
      <c r="G441" s="4">
        <f>Table1[[#This Row],[stock]]/Table1[[#This Row],[HASIL MIN]]</f>
        <v>1.25</v>
      </c>
      <c r="H441" s="4">
        <f>Table1[[#This Row],[stock]]/Table1[[#This Row],[HASIL MAX]]</f>
        <v>0.625</v>
      </c>
      <c r="I441" s="4"/>
      <c r="J441" s="4"/>
    </row>
    <row r="442" spans="1:10" x14ac:dyDescent="0.25">
      <c r="A442" s="48" t="s">
        <v>547</v>
      </c>
      <c r="B442" t="s">
        <v>548</v>
      </c>
      <c r="C442" t="s">
        <v>23209</v>
      </c>
      <c r="D442" s="3">
        <f>VLOOKUP(Table1[[#This Row],[CODE BARANG]],stock!$A:$C,3,)</f>
        <v>5</v>
      </c>
      <c r="E442" s="1">
        <v>4</v>
      </c>
      <c r="F442" s="1">
        <v>8</v>
      </c>
      <c r="G442" s="4">
        <f>Table1[[#This Row],[stock]]/Table1[[#This Row],[HASIL MIN]]</f>
        <v>1.25</v>
      </c>
      <c r="H442" s="4">
        <f>Table1[[#This Row],[stock]]/Table1[[#This Row],[HASIL MAX]]</f>
        <v>0.625</v>
      </c>
      <c r="I442" s="4"/>
      <c r="J442" s="4"/>
    </row>
    <row r="443" spans="1:10" x14ac:dyDescent="0.25">
      <c r="A443" s="48" t="s">
        <v>1992</v>
      </c>
      <c r="B443" t="s">
        <v>1993</v>
      </c>
      <c r="C443" t="s">
        <v>439</v>
      </c>
      <c r="D443" s="3">
        <f>VLOOKUP(Table1[[#This Row],[CODE BARANG]],stock!$A:$C,3,)</f>
        <v>15</v>
      </c>
      <c r="E443" s="1">
        <v>12</v>
      </c>
      <c r="F443" s="1">
        <v>24</v>
      </c>
      <c r="G443" s="4">
        <f>Table1[[#This Row],[stock]]/Table1[[#This Row],[HASIL MIN]]</f>
        <v>1.25</v>
      </c>
      <c r="H443" s="4">
        <f>Table1[[#This Row],[stock]]/Table1[[#This Row],[HASIL MAX]]</f>
        <v>0.625</v>
      </c>
      <c r="I443" s="4"/>
      <c r="J443" s="4"/>
    </row>
    <row r="444" spans="1:10" x14ac:dyDescent="0.25">
      <c r="A444" s="48" t="s">
        <v>485</v>
      </c>
      <c r="B444" t="s">
        <v>486</v>
      </c>
      <c r="C444" t="s">
        <v>23213</v>
      </c>
      <c r="D444" s="3">
        <f>VLOOKUP(Table1[[#This Row],[CODE BARANG]],stock!$A:$C,3,)</f>
        <v>45</v>
      </c>
      <c r="E444" s="1">
        <v>40</v>
      </c>
      <c r="F444" s="1">
        <v>70</v>
      </c>
      <c r="G444" s="4">
        <f>Table1[[#This Row],[stock]]/Table1[[#This Row],[HASIL MIN]]</f>
        <v>1.125</v>
      </c>
      <c r="H444" s="4">
        <f>Table1[[#This Row],[stock]]/Table1[[#This Row],[HASIL MAX]]</f>
        <v>0.6428571428571429</v>
      </c>
      <c r="I444" s="4"/>
      <c r="J444" s="4"/>
    </row>
    <row r="445" spans="1:10" x14ac:dyDescent="0.25">
      <c r="A445" s="48" t="s">
        <v>888</v>
      </c>
      <c r="B445" t="s">
        <v>889</v>
      </c>
      <c r="C445" t="s">
        <v>442</v>
      </c>
      <c r="D445" s="3">
        <f>VLOOKUP(Table1[[#This Row],[CODE BARANG]],stock!$A:$C,3,)</f>
        <v>39</v>
      </c>
      <c r="E445" s="1">
        <v>36</v>
      </c>
      <c r="F445" s="1">
        <v>60</v>
      </c>
      <c r="G445" s="4">
        <f>Table1[[#This Row],[stock]]/Table1[[#This Row],[HASIL MIN]]</f>
        <v>1.0833333333333333</v>
      </c>
      <c r="H445" s="4">
        <f>Table1[[#This Row],[stock]]/Table1[[#This Row],[HASIL MAX]]</f>
        <v>0.65</v>
      </c>
      <c r="I445" s="4"/>
      <c r="J445" s="4"/>
    </row>
    <row r="446" spans="1:10" x14ac:dyDescent="0.25">
      <c r="A446" s="48" t="s">
        <v>943</v>
      </c>
      <c r="B446" t="s">
        <v>944</v>
      </c>
      <c r="C446" t="s">
        <v>23211</v>
      </c>
      <c r="D446" s="3">
        <f>VLOOKUP(Table1[[#This Row],[CODE BARANG]],stock!$A:$C,3,)</f>
        <v>39</v>
      </c>
      <c r="E446" s="1">
        <v>24</v>
      </c>
      <c r="F446" s="1">
        <v>60</v>
      </c>
      <c r="G446" s="4">
        <f>Table1[[#This Row],[stock]]/Table1[[#This Row],[HASIL MIN]]</f>
        <v>1.625</v>
      </c>
      <c r="H446" s="4">
        <f>Table1[[#This Row],[stock]]/Table1[[#This Row],[HASIL MAX]]</f>
        <v>0.65</v>
      </c>
      <c r="I446" s="4"/>
      <c r="J446" s="4"/>
    </row>
    <row r="447" spans="1:10" x14ac:dyDescent="0.25">
      <c r="A447" s="48" t="s">
        <v>1195</v>
      </c>
      <c r="B447" t="s">
        <v>1196</v>
      </c>
      <c r="C447" t="s">
        <v>23208</v>
      </c>
      <c r="D447" s="3">
        <f>VLOOKUP(Table1[[#This Row],[CODE BARANG]],stock!$A:$C,3,)</f>
        <v>394</v>
      </c>
      <c r="E447" s="1">
        <v>300</v>
      </c>
      <c r="F447" s="1">
        <v>600</v>
      </c>
      <c r="G447" s="4">
        <f>Table1[[#This Row],[stock]]/Table1[[#This Row],[HASIL MIN]]</f>
        <v>1.3133333333333332</v>
      </c>
      <c r="H447" s="4">
        <f>Table1[[#This Row],[stock]]/Table1[[#This Row],[HASIL MAX]]</f>
        <v>0.65666666666666662</v>
      </c>
      <c r="I447" s="4"/>
      <c r="J447" s="4"/>
    </row>
    <row r="448" spans="1:10" x14ac:dyDescent="0.25">
      <c r="A448" s="48" t="s">
        <v>39</v>
      </c>
      <c r="B448" t="s">
        <v>40</v>
      </c>
      <c r="C448" t="s">
        <v>23215</v>
      </c>
      <c r="D448" s="3">
        <f>VLOOKUP(Table1[[#This Row],[CODE BARANG]],stock!$A:$C,3,)</f>
        <v>33</v>
      </c>
      <c r="E448" s="1">
        <v>25</v>
      </c>
      <c r="F448" s="1">
        <v>50</v>
      </c>
      <c r="G448" s="4">
        <f>Table1[[#This Row],[stock]]/Table1[[#This Row],[HASIL MIN]]</f>
        <v>1.32</v>
      </c>
      <c r="H448" s="4">
        <f>Table1[[#This Row],[stock]]/Table1[[#This Row],[HASIL MAX]]</f>
        <v>0.66</v>
      </c>
      <c r="I448" s="4"/>
      <c r="J448" s="4"/>
    </row>
    <row r="449" spans="1:10" x14ac:dyDescent="0.25">
      <c r="A449" s="48" t="s">
        <v>775</v>
      </c>
      <c r="B449" t="s">
        <v>776</v>
      </c>
      <c r="C449" t="s">
        <v>23207</v>
      </c>
      <c r="D449" s="3">
        <f>VLOOKUP(Table1[[#This Row],[CODE BARANG]],stock!$A:$C,3,)</f>
        <v>8</v>
      </c>
      <c r="E449" s="1">
        <v>6</v>
      </c>
      <c r="F449" s="1">
        <v>12</v>
      </c>
      <c r="G449" s="4">
        <f>Table1[[#This Row],[stock]]/Table1[[#This Row],[HASIL MIN]]</f>
        <v>1.3333333333333333</v>
      </c>
      <c r="H449" s="4">
        <f>Table1[[#This Row],[stock]]/Table1[[#This Row],[HASIL MAX]]</f>
        <v>0.66666666666666663</v>
      </c>
      <c r="I449" s="4"/>
      <c r="J449" s="4"/>
    </row>
    <row r="450" spans="1:10" x14ac:dyDescent="0.25">
      <c r="A450" s="48" t="s">
        <v>1007</v>
      </c>
      <c r="B450" t="s">
        <v>1008</v>
      </c>
      <c r="C450" t="s">
        <v>23211</v>
      </c>
      <c r="D450" s="3">
        <f>VLOOKUP(Table1[[#This Row],[CODE BARANG]],stock!$A:$C,3,)</f>
        <v>4</v>
      </c>
      <c r="E450" s="1">
        <v>3</v>
      </c>
      <c r="F450" s="1">
        <v>6</v>
      </c>
      <c r="G450" s="4">
        <f>Table1[[#This Row],[stock]]/Table1[[#This Row],[HASIL MIN]]</f>
        <v>1.3333333333333333</v>
      </c>
      <c r="H450" s="4">
        <f>Table1[[#This Row],[stock]]/Table1[[#This Row],[HASIL MAX]]</f>
        <v>0.66666666666666663</v>
      </c>
      <c r="I450" s="4"/>
      <c r="J450" s="4"/>
    </row>
    <row r="451" spans="1:10" x14ac:dyDescent="0.25">
      <c r="A451" s="48" t="s">
        <v>6964</v>
      </c>
      <c r="B451" t="s">
        <v>6965</v>
      </c>
      <c r="C451" t="s">
        <v>23207</v>
      </c>
      <c r="D451" s="3">
        <f>VLOOKUP(Table1[[#This Row],[CODE BARANG]],stock!$A:$C,3,)</f>
        <v>4</v>
      </c>
      <c r="E451" s="1">
        <v>2</v>
      </c>
      <c r="F451" s="1">
        <v>6</v>
      </c>
      <c r="G451" s="4">
        <f>Table1[[#This Row],[stock]]/Table1[[#This Row],[HASIL MIN]]</f>
        <v>2</v>
      </c>
      <c r="H451" s="4">
        <f>Table1[[#This Row],[stock]]/Table1[[#This Row],[HASIL MAX]]</f>
        <v>0.66666666666666663</v>
      </c>
      <c r="I451" s="4"/>
      <c r="J451" s="4"/>
    </row>
    <row r="452" spans="1:10" x14ac:dyDescent="0.25">
      <c r="A452" s="48" t="s">
        <v>15084</v>
      </c>
      <c r="B452" t="s">
        <v>20201</v>
      </c>
      <c r="C452" t="s">
        <v>23219</v>
      </c>
      <c r="D452" s="3">
        <f>VLOOKUP(Table1[[#This Row],[CODE BARANG]],stock!$A:$C,3,)</f>
        <v>8</v>
      </c>
      <c r="E452" s="1">
        <v>4</v>
      </c>
      <c r="F452" s="1">
        <v>12</v>
      </c>
      <c r="G452" s="4">
        <f>Table1[[#This Row],[stock]]/Table1[[#This Row],[HASIL MIN]]</f>
        <v>2</v>
      </c>
      <c r="H452" s="4">
        <f>Table1[[#This Row],[stock]]/Table1[[#This Row],[HASIL MAX]]</f>
        <v>0.66666666666666663</v>
      </c>
      <c r="I452" s="4"/>
      <c r="J452" s="4"/>
    </row>
    <row r="453" spans="1:10" x14ac:dyDescent="0.25">
      <c r="A453" s="48" t="s">
        <v>539</v>
      </c>
      <c r="B453" t="s">
        <v>540</v>
      </c>
      <c r="C453" t="s">
        <v>439</v>
      </c>
      <c r="D453" s="3">
        <f>VLOOKUP(Table1[[#This Row],[CODE BARANG]],stock!$A:$C,3,)</f>
        <v>4</v>
      </c>
      <c r="E453" s="1">
        <v>4</v>
      </c>
      <c r="F453" s="1">
        <v>6</v>
      </c>
      <c r="G453" s="4">
        <f>Table1[[#This Row],[stock]]/Table1[[#This Row],[HASIL MIN]]</f>
        <v>1</v>
      </c>
      <c r="H453" s="4">
        <f>Table1[[#This Row],[stock]]/Table1[[#This Row],[HASIL MAX]]</f>
        <v>0.66666666666666663</v>
      </c>
      <c r="I453" s="4"/>
      <c r="J453" s="4"/>
    </row>
    <row r="454" spans="1:10" x14ac:dyDescent="0.25">
      <c r="A454" s="48" t="s">
        <v>12264</v>
      </c>
      <c r="B454" t="s">
        <v>12265</v>
      </c>
      <c r="C454" t="s">
        <v>442</v>
      </c>
      <c r="D454" s="3">
        <f>VLOOKUP(Table1[[#This Row],[CODE BARANG]],stock!$A:$C,3,)</f>
        <v>8</v>
      </c>
      <c r="E454" s="1">
        <v>4</v>
      </c>
      <c r="F454" s="1">
        <v>12</v>
      </c>
      <c r="G454" s="4">
        <f>Table1[[#This Row],[stock]]/Table1[[#This Row],[HASIL MIN]]</f>
        <v>2</v>
      </c>
      <c r="H454" s="4">
        <f>Table1[[#This Row],[stock]]/Table1[[#This Row],[HASIL MAX]]</f>
        <v>0.66666666666666663</v>
      </c>
      <c r="I454" s="4"/>
      <c r="J454" s="4"/>
    </row>
    <row r="455" spans="1:10" x14ac:dyDescent="0.25">
      <c r="A455" s="48" t="s">
        <v>2990</v>
      </c>
      <c r="B455" t="s">
        <v>2991</v>
      </c>
      <c r="C455" t="s">
        <v>23214</v>
      </c>
      <c r="D455" s="3">
        <f>VLOOKUP(Table1[[#This Row],[CODE BARANG]],stock!$A:$C,3,)</f>
        <v>4</v>
      </c>
      <c r="E455" s="1">
        <v>3</v>
      </c>
      <c r="F455" s="1">
        <v>6</v>
      </c>
      <c r="G455" s="4">
        <f>Table1[[#This Row],[stock]]/Table1[[#This Row],[HASIL MIN]]</f>
        <v>1.3333333333333333</v>
      </c>
      <c r="H455" s="4">
        <f>Table1[[#This Row],[stock]]/Table1[[#This Row],[HASIL MAX]]</f>
        <v>0.66666666666666663</v>
      </c>
      <c r="I455" s="4"/>
      <c r="J455" s="4"/>
    </row>
    <row r="456" spans="1:10" x14ac:dyDescent="0.25">
      <c r="A456" s="48" t="s">
        <v>1677</v>
      </c>
      <c r="B456" t="s">
        <v>1678</v>
      </c>
      <c r="C456" t="s">
        <v>442</v>
      </c>
      <c r="D456" s="3">
        <f>VLOOKUP(Table1[[#This Row],[CODE BARANG]],stock!$A:$C,3,)</f>
        <v>32</v>
      </c>
      <c r="E456" s="1">
        <v>30</v>
      </c>
      <c r="F456" s="1">
        <v>48</v>
      </c>
      <c r="G456" s="4">
        <f>Table1[[#This Row],[stock]]/Table1[[#This Row],[HASIL MIN]]</f>
        <v>1.0666666666666667</v>
      </c>
      <c r="H456" s="4">
        <f>Table1[[#This Row],[stock]]/Table1[[#This Row],[HASIL MAX]]</f>
        <v>0.66666666666666663</v>
      </c>
      <c r="I456" s="4"/>
      <c r="J456" s="4"/>
    </row>
    <row r="457" spans="1:10" x14ac:dyDescent="0.25">
      <c r="A457" s="48" t="s">
        <v>896</v>
      </c>
      <c r="B457" t="s">
        <v>897</v>
      </c>
      <c r="C457" t="s">
        <v>23209</v>
      </c>
      <c r="D457" s="3">
        <f>VLOOKUP(Table1[[#This Row],[CODE BARANG]],stock!$A:$C,3,)</f>
        <v>16</v>
      </c>
      <c r="E457" s="1">
        <v>12</v>
      </c>
      <c r="F457" s="1">
        <v>24</v>
      </c>
      <c r="G457" s="4">
        <f>Table1[[#This Row],[stock]]/Table1[[#This Row],[HASIL MIN]]</f>
        <v>1.3333333333333333</v>
      </c>
      <c r="H457" s="4">
        <f>Table1[[#This Row],[stock]]/Table1[[#This Row],[HASIL MAX]]</f>
        <v>0.66666666666666663</v>
      </c>
      <c r="I457" s="4"/>
      <c r="J457" s="4"/>
    </row>
    <row r="458" spans="1:10" x14ac:dyDescent="0.25">
      <c r="A458" s="48" t="s">
        <v>337</v>
      </c>
      <c r="B458" t="s">
        <v>338</v>
      </c>
      <c r="C458" t="s">
        <v>23207</v>
      </c>
      <c r="D458" s="3">
        <f>VLOOKUP(Table1[[#This Row],[CODE BARANG]],stock!$A:$C,3,)</f>
        <v>24</v>
      </c>
      <c r="E458" s="1">
        <v>24</v>
      </c>
      <c r="F458" s="1">
        <v>36</v>
      </c>
      <c r="G458" s="4">
        <f>Table1[[#This Row],[stock]]/Table1[[#This Row],[HASIL MIN]]</f>
        <v>1</v>
      </c>
      <c r="H458" s="4">
        <f>Table1[[#This Row],[stock]]/Table1[[#This Row],[HASIL MAX]]</f>
        <v>0.66666666666666663</v>
      </c>
      <c r="I458" s="4"/>
      <c r="J458" s="4"/>
    </row>
    <row r="459" spans="1:10" x14ac:dyDescent="0.25">
      <c r="A459" s="48" t="s">
        <v>19817</v>
      </c>
      <c r="B459" t="s">
        <v>19818</v>
      </c>
      <c r="C459" t="s">
        <v>23209</v>
      </c>
      <c r="D459" s="3">
        <f>VLOOKUP(Table1[[#This Row],[CODE BARANG]],stock!$A:$C,3,)</f>
        <v>32</v>
      </c>
      <c r="E459" s="1">
        <v>24</v>
      </c>
      <c r="F459" s="1">
        <v>48</v>
      </c>
      <c r="G459" s="4">
        <f>Table1[[#This Row],[stock]]/Table1[[#This Row],[HASIL MIN]]</f>
        <v>1.3333333333333333</v>
      </c>
      <c r="H459" s="4">
        <f>Table1[[#This Row],[stock]]/Table1[[#This Row],[HASIL MAX]]</f>
        <v>0.66666666666666663</v>
      </c>
      <c r="I459" s="4"/>
      <c r="J459" s="4"/>
    </row>
    <row r="460" spans="1:10" x14ac:dyDescent="0.25">
      <c r="A460" s="48" t="s">
        <v>841</v>
      </c>
      <c r="B460" t="s">
        <v>22397</v>
      </c>
      <c r="C460" t="s">
        <v>23211</v>
      </c>
      <c r="D460" s="3">
        <f>VLOOKUP(Table1[[#This Row],[CODE BARANG]],stock!$A:$C,3,)</f>
        <v>20</v>
      </c>
      <c r="E460" s="1">
        <v>15</v>
      </c>
      <c r="F460" s="1">
        <v>30</v>
      </c>
      <c r="G460" s="4">
        <f>Table1[[#This Row],[stock]]/Table1[[#This Row],[HASIL MIN]]</f>
        <v>1.3333333333333333</v>
      </c>
      <c r="H460" s="4">
        <f>Table1[[#This Row],[stock]]/Table1[[#This Row],[HASIL MAX]]</f>
        <v>0.66666666666666663</v>
      </c>
      <c r="I460" s="4"/>
      <c r="J460" s="4"/>
    </row>
    <row r="461" spans="1:10" x14ac:dyDescent="0.25">
      <c r="A461" s="48" t="s">
        <v>789</v>
      </c>
      <c r="B461" t="s">
        <v>790</v>
      </c>
      <c r="C461" t="s">
        <v>23214</v>
      </c>
      <c r="D461" s="3">
        <f>VLOOKUP(Table1[[#This Row],[CODE BARANG]],stock!$A:$C,3,)</f>
        <v>8</v>
      </c>
      <c r="E461" s="1">
        <v>6</v>
      </c>
      <c r="F461" s="1">
        <v>12</v>
      </c>
      <c r="G461" s="4">
        <f>Table1[[#This Row],[stock]]/Table1[[#This Row],[HASIL MIN]]</f>
        <v>1.3333333333333333</v>
      </c>
      <c r="H461" s="4">
        <f>Table1[[#This Row],[stock]]/Table1[[#This Row],[HASIL MAX]]</f>
        <v>0.66666666666666663</v>
      </c>
      <c r="I461" s="4"/>
      <c r="J461" s="4"/>
    </row>
    <row r="462" spans="1:10" x14ac:dyDescent="0.25">
      <c r="A462" s="48" t="s">
        <v>19718</v>
      </c>
      <c r="B462" t="s">
        <v>19719</v>
      </c>
      <c r="C462" t="s">
        <v>1859</v>
      </c>
      <c r="D462" s="3">
        <f>VLOOKUP(Table1[[#This Row],[CODE BARANG]],stock!$A:$C,3,)</f>
        <v>8</v>
      </c>
      <c r="E462" s="1">
        <v>4</v>
      </c>
      <c r="F462" s="1">
        <v>12</v>
      </c>
      <c r="G462" s="4">
        <f>Table1[[#This Row],[stock]]/Table1[[#This Row],[HASIL MIN]]</f>
        <v>2</v>
      </c>
      <c r="H462" s="4">
        <f>Table1[[#This Row],[stock]]/Table1[[#This Row],[HASIL MAX]]</f>
        <v>0.66666666666666663</v>
      </c>
      <c r="I462" s="4"/>
      <c r="J462" s="4"/>
    </row>
    <row r="463" spans="1:10" x14ac:dyDescent="0.25">
      <c r="A463" s="48" t="s">
        <v>1787</v>
      </c>
      <c r="B463" t="s">
        <v>1788</v>
      </c>
      <c r="C463" t="s">
        <v>23215</v>
      </c>
      <c r="D463" s="3">
        <f>VLOOKUP(Table1[[#This Row],[CODE BARANG]],stock!$A:$C,3,)</f>
        <v>16</v>
      </c>
      <c r="E463" s="1">
        <v>12</v>
      </c>
      <c r="F463" s="1">
        <v>24</v>
      </c>
      <c r="G463" s="4">
        <f>Table1[[#This Row],[stock]]/Table1[[#This Row],[HASIL MIN]]</f>
        <v>1.3333333333333333</v>
      </c>
      <c r="H463" s="4">
        <f>Table1[[#This Row],[stock]]/Table1[[#This Row],[HASIL MAX]]</f>
        <v>0.66666666666666663</v>
      </c>
      <c r="I463" s="4"/>
      <c r="J463" s="4"/>
    </row>
    <row r="464" spans="1:10" x14ac:dyDescent="0.25">
      <c r="A464" s="48" t="s">
        <v>975</v>
      </c>
      <c r="B464" t="s">
        <v>976</v>
      </c>
      <c r="C464" t="s">
        <v>1859</v>
      </c>
      <c r="D464" s="3">
        <f>VLOOKUP(Table1[[#This Row],[CODE BARANG]],stock!$A:$C,3,)</f>
        <v>32</v>
      </c>
      <c r="E464" s="1">
        <v>24</v>
      </c>
      <c r="F464" s="1">
        <v>48</v>
      </c>
      <c r="G464" s="4">
        <f>Table1[[#This Row],[stock]]/Table1[[#This Row],[HASIL MIN]]</f>
        <v>1.3333333333333333</v>
      </c>
      <c r="H464" s="4">
        <f>Table1[[#This Row],[stock]]/Table1[[#This Row],[HASIL MAX]]</f>
        <v>0.66666666666666663</v>
      </c>
      <c r="I464" s="4"/>
      <c r="J464" s="4"/>
    </row>
    <row r="465" spans="1:10" x14ac:dyDescent="0.25">
      <c r="A465" s="48" t="s">
        <v>1305</v>
      </c>
      <c r="B465" t="s">
        <v>1306</v>
      </c>
      <c r="C465" t="s">
        <v>23209</v>
      </c>
      <c r="D465" s="3">
        <f>VLOOKUP(Table1[[#This Row],[CODE BARANG]],stock!$A:$C,3,)</f>
        <v>16</v>
      </c>
      <c r="E465" s="1">
        <v>12</v>
      </c>
      <c r="F465" s="1">
        <v>24</v>
      </c>
      <c r="G465" s="4">
        <f>Table1[[#This Row],[stock]]/Table1[[#This Row],[HASIL MIN]]</f>
        <v>1.3333333333333333</v>
      </c>
      <c r="H465" s="4">
        <f>Table1[[#This Row],[stock]]/Table1[[#This Row],[HASIL MAX]]</f>
        <v>0.66666666666666663</v>
      </c>
      <c r="I465" s="4"/>
      <c r="J465" s="4"/>
    </row>
    <row r="466" spans="1:10" x14ac:dyDescent="0.25">
      <c r="A466" s="48" t="s">
        <v>15189</v>
      </c>
      <c r="B466" t="s">
        <v>22271</v>
      </c>
      <c r="C466" t="s">
        <v>23209</v>
      </c>
      <c r="D466" s="3">
        <f>VLOOKUP(Table1[[#This Row],[CODE BARANG]],stock!$A:$C,3,)</f>
        <v>4</v>
      </c>
      <c r="E466" s="1">
        <v>3</v>
      </c>
      <c r="F466" s="1">
        <v>6</v>
      </c>
      <c r="G466" s="4">
        <f>Table1[[#This Row],[stock]]/Table1[[#This Row],[HASIL MIN]]</f>
        <v>1.3333333333333333</v>
      </c>
      <c r="H466" s="4">
        <f>Table1[[#This Row],[stock]]/Table1[[#This Row],[HASIL MAX]]</f>
        <v>0.66666666666666663</v>
      </c>
      <c r="I466" s="4"/>
      <c r="J466" s="4"/>
    </row>
    <row r="467" spans="1:10" x14ac:dyDescent="0.25">
      <c r="A467" s="48" t="s">
        <v>5838</v>
      </c>
      <c r="B467" t="s">
        <v>5839</v>
      </c>
      <c r="C467" t="s">
        <v>23214</v>
      </c>
      <c r="D467" s="3">
        <f>VLOOKUP(Table1[[#This Row],[CODE BARANG]],stock!$A:$C,3,)</f>
        <v>4</v>
      </c>
      <c r="E467" s="1">
        <v>2</v>
      </c>
      <c r="F467" s="1">
        <v>6</v>
      </c>
      <c r="G467" s="4">
        <f>Table1[[#This Row],[stock]]/Table1[[#This Row],[HASIL MIN]]</f>
        <v>2</v>
      </c>
      <c r="H467" s="4">
        <f>Table1[[#This Row],[stock]]/Table1[[#This Row],[HASIL MAX]]</f>
        <v>0.66666666666666663</v>
      </c>
      <c r="I467" s="4"/>
      <c r="J467" s="4"/>
    </row>
    <row r="468" spans="1:10" x14ac:dyDescent="0.25">
      <c r="A468" s="48" t="s">
        <v>955</v>
      </c>
      <c r="B468" t="s">
        <v>956</v>
      </c>
      <c r="C468" t="s">
        <v>23215</v>
      </c>
      <c r="D468" s="3">
        <f>VLOOKUP(Table1[[#This Row],[CODE BARANG]],stock!$A:$C,3,)</f>
        <v>32</v>
      </c>
      <c r="E468" s="1">
        <v>24</v>
      </c>
      <c r="F468" s="1">
        <v>48</v>
      </c>
      <c r="G468" s="4">
        <f>Table1[[#This Row],[stock]]/Table1[[#This Row],[HASIL MIN]]</f>
        <v>1.3333333333333333</v>
      </c>
      <c r="H468" s="4">
        <f>Table1[[#This Row],[stock]]/Table1[[#This Row],[HASIL MAX]]</f>
        <v>0.66666666666666663</v>
      </c>
      <c r="I468" s="4"/>
      <c r="J468" s="4"/>
    </row>
    <row r="469" spans="1:10" x14ac:dyDescent="0.25">
      <c r="A469" s="48" t="s">
        <v>35</v>
      </c>
      <c r="B469" t="s">
        <v>36</v>
      </c>
      <c r="C469" t="s">
        <v>23209</v>
      </c>
      <c r="D469" s="3">
        <f>VLOOKUP(Table1[[#This Row],[CODE BARANG]],stock!$A:$C,3,)</f>
        <v>4</v>
      </c>
      <c r="E469" s="1">
        <v>3</v>
      </c>
      <c r="F469" s="1">
        <v>6</v>
      </c>
      <c r="G469" s="4">
        <f>Table1[[#This Row],[stock]]/Table1[[#This Row],[HASIL MIN]]</f>
        <v>1.3333333333333333</v>
      </c>
      <c r="H469" s="4">
        <f>Table1[[#This Row],[stock]]/Table1[[#This Row],[HASIL MAX]]</f>
        <v>0.66666666666666663</v>
      </c>
      <c r="I469" s="4"/>
      <c r="J469" s="4"/>
    </row>
    <row r="470" spans="1:10" x14ac:dyDescent="0.25">
      <c r="A470" s="48" t="s">
        <v>383</v>
      </c>
      <c r="B470" t="s">
        <v>384</v>
      </c>
      <c r="C470" t="s">
        <v>912</v>
      </c>
      <c r="D470" s="3">
        <f>VLOOKUP(Table1[[#This Row],[CODE BARANG]],stock!$A:$C,3,)</f>
        <v>16</v>
      </c>
      <c r="E470" s="1">
        <v>12</v>
      </c>
      <c r="F470" s="1">
        <v>24</v>
      </c>
      <c r="G470" s="4">
        <f>Table1[[#This Row],[stock]]/Table1[[#This Row],[HASIL MIN]]</f>
        <v>1.3333333333333333</v>
      </c>
      <c r="H470" s="4">
        <f>Table1[[#This Row],[stock]]/Table1[[#This Row],[HASIL MAX]]</f>
        <v>0.66666666666666663</v>
      </c>
      <c r="I470" s="4"/>
      <c r="J470" s="4"/>
    </row>
    <row r="471" spans="1:10" x14ac:dyDescent="0.25">
      <c r="A471" s="48" t="s">
        <v>947</v>
      </c>
      <c r="B471" t="s">
        <v>948</v>
      </c>
      <c r="C471" t="s">
        <v>23211</v>
      </c>
      <c r="D471" s="3">
        <f>VLOOKUP(Table1[[#This Row],[CODE BARANG]],stock!$A:$C,3,)</f>
        <v>4</v>
      </c>
      <c r="E471" s="1">
        <v>2</v>
      </c>
      <c r="F471" s="1">
        <v>6</v>
      </c>
      <c r="G471" s="4">
        <f>Table1[[#This Row],[stock]]/Table1[[#This Row],[HASIL MIN]]</f>
        <v>2</v>
      </c>
      <c r="H471" s="4">
        <f>Table1[[#This Row],[stock]]/Table1[[#This Row],[HASIL MAX]]</f>
        <v>0.66666666666666663</v>
      </c>
      <c r="I471" s="4"/>
      <c r="J471" s="4"/>
    </row>
    <row r="472" spans="1:10" x14ac:dyDescent="0.25">
      <c r="A472" s="48" t="s">
        <v>1439</v>
      </c>
      <c r="B472" t="s">
        <v>1440</v>
      </c>
      <c r="C472" t="s">
        <v>23211</v>
      </c>
      <c r="D472" s="3">
        <f>VLOOKUP(Table1[[#This Row],[CODE BARANG]],stock!$A:$C,3,)</f>
        <v>201</v>
      </c>
      <c r="E472" s="1">
        <v>120</v>
      </c>
      <c r="F472" s="1">
        <v>300</v>
      </c>
      <c r="G472" s="4">
        <f>Table1[[#This Row],[stock]]/Table1[[#This Row],[HASIL MIN]]</f>
        <v>1.675</v>
      </c>
      <c r="H472" s="4">
        <f>Table1[[#This Row],[stock]]/Table1[[#This Row],[HASIL MAX]]</f>
        <v>0.67</v>
      </c>
      <c r="I472" s="4"/>
      <c r="J472" s="4"/>
    </row>
    <row r="473" spans="1:10" x14ac:dyDescent="0.25">
      <c r="A473" s="48" t="s">
        <v>1587</v>
      </c>
      <c r="B473" t="s">
        <v>1588</v>
      </c>
      <c r="C473" t="s">
        <v>23216</v>
      </c>
      <c r="D473" s="3">
        <f>VLOOKUP(Table1[[#This Row],[CODE BARANG]],stock!$A:$C,3,)</f>
        <v>67</v>
      </c>
      <c r="E473" s="1">
        <v>60</v>
      </c>
      <c r="F473" s="1">
        <v>100</v>
      </c>
      <c r="G473" s="4">
        <f>Table1[[#This Row],[stock]]/Table1[[#This Row],[HASIL MIN]]</f>
        <v>1.1166666666666667</v>
      </c>
      <c r="H473" s="4">
        <f>Table1[[#This Row],[stock]]/Table1[[#This Row],[HASIL MAX]]</f>
        <v>0.67</v>
      </c>
      <c r="I473" s="4"/>
      <c r="J473" s="4"/>
    </row>
    <row r="474" spans="1:10" x14ac:dyDescent="0.25">
      <c r="A474" s="48" t="s">
        <v>509</v>
      </c>
      <c r="B474" t="s">
        <v>510</v>
      </c>
      <c r="C474" t="s">
        <v>23213</v>
      </c>
      <c r="D474" s="3">
        <f>VLOOKUP(Table1[[#This Row],[CODE BARANG]],stock!$A:$C,3,)</f>
        <v>47</v>
      </c>
      <c r="E474" s="1">
        <v>50</v>
      </c>
      <c r="F474" s="1">
        <v>70</v>
      </c>
      <c r="G474" s="4">
        <f>Table1[[#This Row],[stock]]/Table1[[#This Row],[HASIL MIN]]</f>
        <v>0.94</v>
      </c>
      <c r="H474" s="4">
        <f>Table1[[#This Row],[stock]]/Table1[[#This Row],[HASIL MAX]]</f>
        <v>0.67142857142857137</v>
      </c>
      <c r="I474" s="4"/>
      <c r="J474" s="4"/>
    </row>
    <row r="475" spans="1:10" x14ac:dyDescent="0.25">
      <c r="A475" s="48" t="s">
        <v>9796</v>
      </c>
      <c r="B475" t="s">
        <v>9797</v>
      </c>
      <c r="C475" t="s">
        <v>23214</v>
      </c>
      <c r="D475" s="3">
        <f>VLOOKUP(Table1[[#This Row],[CODE BARANG]],stock!$A:$C,3,)</f>
        <v>27</v>
      </c>
      <c r="E475" s="1">
        <v>20</v>
      </c>
      <c r="F475" s="1">
        <v>40</v>
      </c>
      <c r="G475" s="4">
        <f>Table1[[#This Row],[stock]]/Table1[[#This Row],[HASIL MIN]]</f>
        <v>1.35</v>
      </c>
      <c r="H475" s="4">
        <f>Table1[[#This Row],[stock]]/Table1[[#This Row],[HASIL MAX]]</f>
        <v>0.67500000000000004</v>
      </c>
      <c r="I475" s="4"/>
      <c r="J475" s="4"/>
    </row>
    <row r="476" spans="1:10" x14ac:dyDescent="0.25">
      <c r="A476" s="48" t="s">
        <v>991</v>
      </c>
      <c r="B476" t="s">
        <v>992</v>
      </c>
      <c r="C476" t="s">
        <v>23212</v>
      </c>
      <c r="D476" s="3">
        <f>VLOOKUP(Table1[[#This Row],[CODE BARANG]],stock!$A:$C,3,)</f>
        <v>65</v>
      </c>
      <c r="E476" s="1">
        <v>60</v>
      </c>
      <c r="F476" s="1">
        <v>96</v>
      </c>
      <c r="G476" s="4">
        <f>Table1[[#This Row],[stock]]/Table1[[#This Row],[HASIL MIN]]</f>
        <v>1.0833333333333333</v>
      </c>
      <c r="H476" s="4">
        <f>Table1[[#This Row],[stock]]/Table1[[#This Row],[HASIL MAX]]</f>
        <v>0.67708333333333337</v>
      </c>
      <c r="I476" s="4"/>
      <c r="J476" s="4"/>
    </row>
    <row r="477" spans="1:10" x14ac:dyDescent="0.25">
      <c r="A477" s="48" t="s">
        <v>725</v>
      </c>
      <c r="B477" t="s">
        <v>726</v>
      </c>
      <c r="C477" t="s">
        <v>23211</v>
      </c>
      <c r="D477" s="3">
        <f>VLOOKUP(Table1[[#This Row],[CODE BARANG]],stock!$A:$C,3,)</f>
        <v>17</v>
      </c>
      <c r="E477" s="1">
        <v>15</v>
      </c>
      <c r="F477" s="1">
        <v>25</v>
      </c>
      <c r="G477" s="4">
        <f>Table1[[#This Row],[stock]]/Table1[[#This Row],[HASIL MIN]]</f>
        <v>1.1333333333333333</v>
      </c>
      <c r="H477" s="4">
        <f>Table1[[#This Row],[stock]]/Table1[[#This Row],[HASIL MAX]]</f>
        <v>0.68</v>
      </c>
      <c r="I477" s="4"/>
      <c r="J477" s="4"/>
    </row>
    <row r="478" spans="1:10" x14ac:dyDescent="0.25">
      <c r="A478" s="48" t="s">
        <v>587</v>
      </c>
      <c r="B478" t="s">
        <v>588</v>
      </c>
      <c r="C478" t="s">
        <v>23209</v>
      </c>
      <c r="D478" s="3">
        <f>VLOOKUP(Table1[[#This Row],[CODE BARANG]],stock!$A:$C,3,)</f>
        <v>49</v>
      </c>
      <c r="E478" s="1">
        <v>30</v>
      </c>
      <c r="F478" s="1">
        <v>72</v>
      </c>
      <c r="G478" s="4">
        <f>Table1[[#This Row],[stock]]/Table1[[#This Row],[HASIL MIN]]</f>
        <v>1.6333333333333333</v>
      </c>
      <c r="H478" s="4">
        <f>Table1[[#This Row],[stock]]/Table1[[#This Row],[HASIL MAX]]</f>
        <v>0.68055555555555558</v>
      </c>
      <c r="I478" s="4"/>
      <c r="J478" s="4"/>
    </row>
    <row r="479" spans="1:10" x14ac:dyDescent="0.25">
      <c r="A479" s="48" t="s">
        <v>961</v>
      </c>
      <c r="B479" t="s">
        <v>962</v>
      </c>
      <c r="C479" t="s">
        <v>23209</v>
      </c>
      <c r="D479" s="3">
        <f>VLOOKUP(Table1[[#This Row],[CODE BARANG]],stock!$A:$C,3,)</f>
        <v>82</v>
      </c>
      <c r="E479" s="1">
        <v>60</v>
      </c>
      <c r="F479" s="1">
        <v>120</v>
      </c>
      <c r="G479" s="4">
        <f>Table1[[#This Row],[stock]]/Table1[[#This Row],[HASIL MIN]]</f>
        <v>1.3666666666666667</v>
      </c>
      <c r="H479" s="4">
        <f>Table1[[#This Row],[stock]]/Table1[[#This Row],[HASIL MAX]]</f>
        <v>0.68333333333333335</v>
      </c>
      <c r="I479" s="4"/>
      <c r="J479" s="4"/>
    </row>
    <row r="480" spans="1:10" x14ac:dyDescent="0.25">
      <c r="A480" s="48" t="s">
        <v>801</v>
      </c>
      <c r="B480" t="s">
        <v>802</v>
      </c>
      <c r="C480" t="s">
        <v>23214</v>
      </c>
      <c r="D480" s="3">
        <f>VLOOKUP(Table1[[#This Row],[CODE BARANG]],stock!$A:$C,3,)</f>
        <v>41</v>
      </c>
      <c r="E480" s="1">
        <v>40</v>
      </c>
      <c r="F480" s="1">
        <v>60</v>
      </c>
      <c r="G480" s="4">
        <f>Table1[[#This Row],[stock]]/Table1[[#This Row],[HASIL MIN]]</f>
        <v>1.0249999999999999</v>
      </c>
      <c r="H480" s="4">
        <f>Table1[[#This Row],[stock]]/Table1[[#This Row],[HASIL MAX]]</f>
        <v>0.68333333333333335</v>
      </c>
      <c r="I480" s="4"/>
      <c r="J480" s="4"/>
    </row>
    <row r="481" spans="1:10" x14ac:dyDescent="0.25">
      <c r="A481" s="48" t="s">
        <v>878</v>
      </c>
      <c r="B481" t="s">
        <v>879</v>
      </c>
      <c r="C481" t="s">
        <v>23210</v>
      </c>
      <c r="D481" s="3">
        <f>VLOOKUP(Table1[[#This Row],[CODE BARANG]],stock!$A:$C,3,)</f>
        <v>330</v>
      </c>
      <c r="E481" s="1">
        <v>240</v>
      </c>
      <c r="F481" s="1">
        <v>480</v>
      </c>
      <c r="G481" s="4">
        <f>Table1[[#This Row],[stock]]/Table1[[#This Row],[HASIL MIN]]</f>
        <v>1.375</v>
      </c>
      <c r="H481" s="4">
        <f>Table1[[#This Row],[stock]]/Table1[[#This Row],[HASIL MAX]]</f>
        <v>0.6875</v>
      </c>
      <c r="I481" s="4"/>
      <c r="J481" s="4"/>
    </row>
    <row r="482" spans="1:10" x14ac:dyDescent="0.25">
      <c r="A482" s="48" t="s">
        <v>1833</v>
      </c>
      <c r="B482" t="s">
        <v>1834</v>
      </c>
      <c r="C482" t="s">
        <v>23209</v>
      </c>
      <c r="D482" s="3">
        <f>VLOOKUP(Table1[[#This Row],[CODE BARANG]],stock!$A:$C,3,)</f>
        <v>25</v>
      </c>
      <c r="E482" s="1">
        <v>20</v>
      </c>
      <c r="F482" s="1">
        <v>36</v>
      </c>
      <c r="G482" s="4">
        <f>Table1[[#This Row],[stock]]/Table1[[#This Row],[HASIL MIN]]</f>
        <v>1.25</v>
      </c>
      <c r="H482" s="4">
        <f>Table1[[#This Row],[stock]]/Table1[[#This Row],[HASIL MAX]]</f>
        <v>0.69444444444444442</v>
      </c>
      <c r="I482" s="4"/>
      <c r="J482" s="4"/>
    </row>
    <row r="483" spans="1:10" x14ac:dyDescent="0.25">
      <c r="A483" s="48" t="s">
        <v>653</v>
      </c>
      <c r="B483" t="s">
        <v>654</v>
      </c>
      <c r="C483" t="s">
        <v>23217</v>
      </c>
      <c r="D483" s="3">
        <f>VLOOKUP(Table1[[#This Row],[CODE BARANG]],stock!$A:$C,3,)</f>
        <v>200</v>
      </c>
      <c r="E483" s="1">
        <v>144</v>
      </c>
      <c r="F483" s="1">
        <v>288</v>
      </c>
      <c r="G483" s="4">
        <f>Table1[[#This Row],[stock]]/Table1[[#This Row],[HASIL MIN]]</f>
        <v>1.3888888888888888</v>
      </c>
      <c r="H483" s="4">
        <f>Table1[[#This Row],[stock]]/Table1[[#This Row],[HASIL MAX]]</f>
        <v>0.69444444444444442</v>
      </c>
      <c r="I483" s="4"/>
      <c r="J483" s="4"/>
    </row>
    <row r="484" spans="1:10" x14ac:dyDescent="0.25">
      <c r="A484" s="48" t="s">
        <v>1285</v>
      </c>
      <c r="B484" t="s">
        <v>1286</v>
      </c>
      <c r="C484" t="s">
        <v>23209</v>
      </c>
      <c r="D484" s="3">
        <f>VLOOKUP(Table1[[#This Row],[CODE BARANG]],stock!$A:$C,3,)</f>
        <v>67</v>
      </c>
      <c r="E484" s="1">
        <v>48</v>
      </c>
      <c r="F484" s="1">
        <v>96</v>
      </c>
      <c r="G484" s="4">
        <f>Table1[[#This Row],[stock]]/Table1[[#This Row],[HASIL MIN]]</f>
        <v>1.3958333333333333</v>
      </c>
      <c r="H484" s="4">
        <f>Table1[[#This Row],[stock]]/Table1[[#This Row],[HASIL MAX]]</f>
        <v>0.69791666666666663</v>
      </c>
      <c r="I484" s="4"/>
      <c r="J484" s="4"/>
    </row>
    <row r="485" spans="1:10" x14ac:dyDescent="0.25">
      <c r="A485" s="48" t="s">
        <v>1099</v>
      </c>
      <c r="B485" t="s">
        <v>1100</v>
      </c>
      <c r="C485" t="s">
        <v>23214</v>
      </c>
      <c r="D485" s="3">
        <f>VLOOKUP(Table1[[#This Row],[CODE BARANG]],stock!$A:$C,3,)</f>
        <v>1399</v>
      </c>
      <c r="E485" s="1">
        <v>1000</v>
      </c>
      <c r="F485" s="1">
        <v>2000</v>
      </c>
      <c r="G485" s="4">
        <f>Table1[[#This Row],[stock]]/Table1[[#This Row],[HASIL MIN]]</f>
        <v>1.399</v>
      </c>
      <c r="H485" s="4">
        <f>Table1[[#This Row],[stock]]/Table1[[#This Row],[HASIL MAX]]</f>
        <v>0.69950000000000001</v>
      </c>
      <c r="I485" s="4"/>
      <c r="J485" s="4"/>
    </row>
    <row r="486" spans="1:10" x14ac:dyDescent="0.25">
      <c r="A486" s="48" t="s">
        <v>1089</v>
      </c>
      <c r="B486" t="s">
        <v>1090</v>
      </c>
      <c r="C486" t="s">
        <v>23210</v>
      </c>
      <c r="D486" s="3">
        <f>VLOOKUP(Table1[[#This Row],[CODE BARANG]],stock!$A:$C,3,)</f>
        <v>42</v>
      </c>
      <c r="E486" s="1">
        <v>36</v>
      </c>
      <c r="F486" s="1">
        <v>60</v>
      </c>
      <c r="G486" s="4">
        <f>Table1[[#This Row],[stock]]/Table1[[#This Row],[HASIL MIN]]</f>
        <v>1.1666666666666667</v>
      </c>
      <c r="H486" s="4">
        <f>Table1[[#This Row],[stock]]/Table1[[#This Row],[HASIL MAX]]</f>
        <v>0.7</v>
      </c>
      <c r="I486" s="4"/>
      <c r="J486" s="4"/>
    </row>
    <row r="487" spans="1:10" x14ac:dyDescent="0.25">
      <c r="A487" s="48" t="s">
        <v>807</v>
      </c>
      <c r="B487" t="s">
        <v>808</v>
      </c>
      <c r="C487" t="s">
        <v>23209</v>
      </c>
      <c r="D487" s="3">
        <f>VLOOKUP(Table1[[#This Row],[CODE BARANG]],stock!$A:$C,3,)</f>
        <v>14</v>
      </c>
      <c r="E487" s="1">
        <v>12</v>
      </c>
      <c r="F487" s="1">
        <v>20</v>
      </c>
      <c r="G487" s="4">
        <f>Table1[[#This Row],[stock]]/Table1[[#This Row],[HASIL MIN]]</f>
        <v>1.1666666666666667</v>
      </c>
      <c r="H487" s="4">
        <f>Table1[[#This Row],[stock]]/Table1[[#This Row],[HASIL MAX]]</f>
        <v>0.7</v>
      </c>
      <c r="I487" s="4"/>
      <c r="J487" s="4"/>
    </row>
    <row r="488" spans="1:10" x14ac:dyDescent="0.25">
      <c r="A488" s="48" t="s">
        <v>1345</v>
      </c>
      <c r="B488" t="s">
        <v>1346</v>
      </c>
      <c r="C488" t="s">
        <v>442</v>
      </c>
      <c r="D488" s="3">
        <f>VLOOKUP(Table1[[#This Row],[CODE BARANG]],stock!$A:$C,3,)</f>
        <v>56</v>
      </c>
      <c r="E488" s="1">
        <v>60</v>
      </c>
      <c r="F488" s="1">
        <v>80</v>
      </c>
      <c r="G488" s="4">
        <f>Table1[[#This Row],[stock]]/Table1[[#This Row],[HASIL MIN]]</f>
        <v>0.93333333333333335</v>
      </c>
      <c r="H488" s="4">
        <f>Table1[[#This Row],[stock]]/Table1[[#This Row],[HASIL MAX]]</f>
        <v>0.7</v>
      </c>
      <c r="I488" s="4"/>
      <c r="J488" s="4"/>
    </row>
    <row r="489" spans="1:10" x14ac:dyDescent="0.25">
      <c r="A489" s="48" t="s">
        <v>745</v>
      </c>
      <c r="B489" t="s">
        <v>746</v>
      </c>
      <c r="C489" t="s">
        <v>439</v>
      </c>
      <c r="D489" s="3">
        <f>VLOOKUP(Table1[[#This Row],[CODE BARANG]],stock!$A:$C,3,)</f>
        <v>7</v>
      </c>
      <c r="E489" s="1">
        <v>6</v>
      </c>
      <c r="F489" s="1">
        <v>10</v>
      </c>
      <c r="G489" s="4">
        <f>Table1[[#This Row],[stock]]/Table1[[#This Row],[HASIL MIN]]</f>
        <v>1.1666666666666667</v>
      </c>
      <c r="H489" s="4">
        <f>Table1[[#This Row],[stock]]/Table1[[#This Row],[HASIL MAX]]</f>
        <v>0.7</v>
      </c>
      <c r="I489" s="4"/>
      <c r="J489" s="4"/>
    </row>
    <row r="490" spans="1:10" x14ac:dyDescent="0.25">
      <c r="A490" s="48" t="s">
        <v>18352</v>
      </c>
      <c r="B490" t="s">
        <v>18353</v>
      </c>
      <c r="C490" t="s">
        <v>23216</v>
      </c>
      <c r="D490" s="3">
        <f>VLOOKUP(Table1[[#This Row],[CODE BARANG]],stock!$A:$C,3,)</f>
        <v>7</v>
      </c>
      <c r="E490" s="1">
        <v>4</v>
      </c>
      <c r="F490" s="1">
        <v>10</v>
      </c>
      <c r="G490" s="4">
        <f>Table1[[#This Row],[stock]]/Table1[[#This Row],[HASIL MIN]]</f>
        <v>1.75</v>
      </c>
      <c r="H490" s="4">
        <f>Table1[[#This Row],[stock]]/Table1[[#This Row],[HASIL MAX]]</f>
        <v>0.7</v>
      </c>
      <c r="I490" s="4"/>
      <c r="J490" s="4"/>
    </row>
    <row r="491" spans="1:10" x14ac:dyDescent="0.25">
      <c r="A491" s="48" t="s">
        <v>1171</v>
      </c>
      <c r="B491" t="s">
        <v>1172</v>
      </c>
      <c r="C491" t="s">
        <v>23209</v>
      </c>
      <c r="D491" s="3">
        <f>VLOOKUP(Table1[[#This Row],[CODE BARANG]],stock!$A:$C,3,)</f>
        <v>42</v>
      </c>
      <c r="E491" s="1">
        <v>20</v>
      </c>
      <c r="F491" s="1">
        <v>60</v>
      </c>
      <c r="G491" s="4">
        <f>Table1[[#This Row],[stock]]/Table1[[#This Row],[HASIL MIN]]</f>
        <v>2.1</v>
      </c>
      <c r="H491" s="4">
        <f>Table1[[#This Row],[stock]]/Table1[[#This Row],[HASIL MAX]]</f>
        <v>0.7</v>
      </c>
      <c r="I491" s="4"/>
      <c r="J491" s="4"/>
    </row>
    <row r="492" spans="1:10" x14ac:dyDescent="0.25">
      <c r="A492" s="48" t="s">
        <v>1131</v>
      </c>
      <c r="B492" t="s">
        <v>1132</v>
      </c>
      <c r="C492" t="s">
        <v>23219</v>
      </c>
      <c r="D492" s="3">
        <f>VLOOKUP(Table1[[#This Row],[CODE BARANG]],stock!$A:$C,3,)</f>
        <v>148</v>
      </c>
      <c r="E492" s="1">
        <v>140</v>
      </c>
      <c r="F492" s="1">
        <v>210</v>
      </c>
      <c r="G492" s="4">
        <f>Table1[[#This Row],[stock]]/Table1[[#This Row],[HASIL MIN]]</f>
        <v>1.0571428571428572</v>
      </c>
      <c r="H492" s="4">
        <f>Table1[[#This Row],[stock]]/Table1[[#This Row],[HASIL MAX]]</f>
        <v>0.70476190476190481</v>
      </c>
      <c r="I492" s="4"/>
      <c r="J492" s="4"/>
    </row>
    <row r="493" spans="1:10" x14ac:dyDescent="0.25">
      <c r="A493" s="48" t="s">
        <v>723</v>
      </c>
      <c r="B493" t="s">
        <v>724</v>
      </c>
      <c r="C493" t="s">
        <v>23209</v>
      </c>
      <c r="D493" s="3">
        <f>VLOOKUP(Table1[[#This Row],[CODE BARANG]],stock!$A:$C,3,)</f>
        <v>17</v>
      </c>
      <c r="E493" s="1">
        <v>16</v>
      </c>
      <c r="F493" s="1">
        <v>24</v>
      </c>
      <c r="G493" s="4">
        <f>Table1[[#This Row],[stock]]/Table1[[#This Row],[HASIL MIN]]</f>
        <v>1.0625</v>
      </c>
      <c r="H493" s="4">
        <f>Table1[[#This Row],[stock]]/Table1[[#This Row],[HASIL MAX]]</f>
        <v>0.70833333333333337</v>
      </c>
      <c r="I493" s="4"/>
      <c r="J493" s="4"/>
    </row>
    <row r="494" spans="1:10" x14ac:dyDescent="0.25">
      <c r="A494" s="48" t="s">
        <v>1900</v>
      </c>
      <c r="B494" t="s">
        <v>1901</v>
      </c>
      <c r="C494" t="s">
        <v>23208</v>
      </c>
      <c r="D494" s="3">
        <f>VLOOKUP(Table1[[#This Row],[CODE BARANG]],stock!$A:$C,3,)</f>
        <v>17</v>
      </c>
      <c r="E494" s="1">
        <v>12</v>
      </c>
      <c r="F494" s="1">
        <v>24</v>
      </c>
      <c r="G494" s="4">
        <f>Table1[[#This Row],[stock]]/Table1[[#This Row],[HASIL MIN]]</f>
        <v>1.4166666666666667</v>
      </c>
      <c r="H494" s="4">
        <f>Table1[[#This Row],[stock]]/Table1[[#This Row],[HASIL MAX]]</f>
        <v>0.70833333333333337</v>
      </c>
      <c r="I494" s="4"/>
      <c r="J494" s="4"/>
    </row>
    <row r="495" spans="1:10" x14ac:dyDescent="0.25">
      <c r="A495" s="48" t="s">
        <v>1029</v>
      </c>
      <c r="B495" t="s">
        <v>1030</v>
      </c>
      <c r="C495" t="s">
        <v>23209</v>
      </c>
      <c r="D495" s="3">
        <f>VLOOKUP(Table1[[#This Row],[CODE BARANG]],stock!$A:$C,3,)</f>
        <v>17</v>
      </c>
      <c r="E495" s="1">
        <v>18</v>
      </c>
      <c r="F495" s="1">
        <v>24</v>
      </c>
      <c r="G495" s="4">
        <f>Table1[[#This Row],[stock]]/Table1[[#This Row],[HASIL MIN]]</f>
        <v>0.94444444444444442</v>
      </c>
      <c r="H495" s="4">
        <f>Table1[[#This Row],[stock]]/Table1[[#This Row],[HASIL MAX]]</f>
        <v>0.70833333333333337</v>
      </c>
      <c r="I495" s="4"/>
      <c r="J495" s="4"/>
    </row>
    <row r="496" spans="1:10" x14ac:dyDescent="0.25">
      <c r="A496" s="48" t="s">
        <v>1013</v>
      </c>
      <c r="B496" t="s">
        <v>1014</v>
      </c>
      <c r="C496" t="s">
        <v>23207</v>
      </c>
      <c r="D496" s="3">
        <f>VLOOKUP(Table1[[#This Row],[CODE BARANG]],stock!$A:$C,3,)</f>
        <v>43</v>
      </c>
      <c r="E496" s="1">
        <v>24</v>
      </c>
      <c r="F496" s="1">
        <v>60</v>
      </c>
      <c r="G496" s="4">
        <f>Table1[[#This Row],[stock]]/Table1[[#This Row],[HASIL MIN]]</f>
        <v>1.7916666666666667</v>
      </c>
      <c r="H496" s="4">
        <f>Table1[[#This Row],[stock]]/Table1[[#This Row],[HASIL MAX]]</f>
        <v>0.71666666666666667</v>
      </c>
      <c r="I496" s="4"/>
      <c r="J496" s="4"/>
    </row>
    <row r="497" spans="1:10" x14ac:dyDescent="0.25">
      <c r="A497" s="48" t="s">
        <v>3859</v>
      </c>
      <c r="B497" t="s">
        <v>3860</v>
      </c>
      <c r="C497" t="s">
        <v>23211</v>
      </c>
      <c r="D497" s="3">
        <f>VLOOKUP(Table1[[#This Row],[CODE BARANG]],stock!$A:$C,3,)</f>
        <v>130</v>
      </c>
      <c r="E497" s="1">
        <v>24</v>
      </c>
      <c r="F497" s="1">
        <v>180</v>
      </c>
      <c r="G497" s="4">
        <f>Table1[[#This Row],[stock]]/Table1[[#This Row],[HASIL MIN]]</f>
        <v>5.416666666666667</v>
      </c>
      <c r="H497" s="4">
        <f>Table1[[#This Row],[stock]]/Table1[[#This Row],[HASIL MAX]]</f>
        <v>0.72222222222222221</v>
      </c>
      <c r="I497" s="4"/>
      <c r="J497" s="4"/>
    </row>
    <row r="498" spans="1:10" x14ac:dyDescent="0.25">
      <c r="A498" s="48" t="s">
        <v>866</v>
      </c>
      <c r="B498" t="s">
        <v>867</v>
      </c>
      <c r="C498" t="s">
        <v>23208</v>
      </c>
      <c r="D498" s="3">
        <f>VLOOKUP(Table1[[#This Row],[CODE BARANG]],stock!$A:$C,3,)</f>
        <v>52</v>
      </c>
      <c r="E498" s="1">
        <v>48</v>
      </c>
      <c r="F498" s="1">
        <v>72</v>
      </c>
      <c r="G498" s="4">
        <f>Table1[[#This Row],[stock]]/Table1[[#This Row],[HASIL MIN]]</f>
        <v>1.0833333333333333</v>
      </c>
      <c r="H498" s="4">
        <f>Table1[[#This Row],[stock]]/Table1[[#This Row],[HASIL MAX]]</f>
        <v>0.72222222222222221</v>
      </c>
      <c r="I498" s="4"/>
      <c r="J498" s="4"/>
    </row>
    <row r="499" spans="1:10" x14ac:dyDescent="0.25">
      <c r="A499" s="48" t="s">
        <v>1988</v>
      </c>
      <c r="B499" t="s">
        <v>1989</v>
      </c>
      <c r="C499" t="s">
        <v>23207</v>
      </c>
      <c r="D499" s="3">
        <f>VLOOKUP(Table1[[#This Row],[CODE BARANG]],stock!$A:$C,3,)</f>
        <v>52</v>
      </c>
      <c r="E499" s="1">
        <v>48</v>
      </c>
      <c r="F499" s="1">
        <v>72</v>
      </c>
      <c r="G499" s="4">
        <f>Table1[[#This Row],[stock]]/Table1[[#This Row],[HASIL MIN]]</f>
        <v>1.0833333333333333</v>
      </c>
      <c r="H499" s="4">
        <f>Table1[[#This Row],[stock]]/Table1[[#This Row],[HASIL MAX]]</f>
        <v>0.72222222222222221</v>
      </c>
      <c r="I499" s="4"/>
      <c r="J499" s="4"/>
    </row>
    <row r="500" spans="1:10" x14ac:dyDescent="0.25">
      <c r="A500" s="48" t="s">
        <v>15183</v>
      </c>
      <c r="B500" t="s">
        <v>15184</v>
      </c>
      <c r="C500" t="s">
        <v>23209</v>
      </c>
      <c r="D500" s="3">
        <f>VLOOKUP(Table1[[#This Row],[CODE BARANG]],stock!$A:$C,3,)</f>
        <v>13</v>
      </c>
      <c r="E500" s="1">
        <v>12</v>
      </c>
      <c r="F500" s="1">
        <v>18</v>
      </c>
      <c r="G500" s="4">
        <f>Table1[[#This Row],[stock]]/Table1[[#This Row],[HASIL MIN]]</f>
        <v>1.0833333333333333</v>
      </c>
      <c r="H500" s="4">
        <f>Table1[[#This Row],[stock]]/Table1[[#This Row],[HASIL MAX]]</f>
        <v>0.72222222222222221</v>
      </c>
      <c r="I500" s="4"/>
      <c r="J500" s="4"/>
    </row>
    <row r="501" spans="1:10" x14ac:dyDescent="0.25">
      <c r="A501" s="48" t="s">
        <v>159</v>
      </c>
      <c r="B501" t="s">
        <v>160</v>
      </c>
      <c r="C501" t="s">
        <v>23214</v>
      </c>
      <c r="D501" s="3">
        <f>VLOOKUP(Table1[[#This Row],[CODE BARANG]],stock!$A:$C,3,)</f>
        <v>58</v>
      </c>
      <c r="E501" s="1">
        <v>40</v>
      </c>
      <c r="F501" s="1">
        <v>80</v>
      </c>
      <c r="G501" s="4">
        <f>Table1[[#This Row],[stock]]/Table1[[#This Row],[HASIL MIN]]</f>
        <v>1.45</v>
      </c>
      <c r="H501" s="4">
        <f>Table1[[#This Row],[stock]]/Table1[[#This Row],[HASIL MAX]]</f>
        <v>0.72499999999999998</v>
      </c>
      <c r="I501" s="4"/>
      <c r="J501" s="4"/>
    </row>
    <row r="502" spans="1:10" x14ac:dyDescent="0.25">
      <c r="A502" s="48" t="s">
        <v>1203</v>
      </c>
      <c r="B502" t="s">
        <v>1204</v>
      </c>
      <c r="C502" t="s">
        <v>23210</v>
      </c>
      <c r="D502" s="3">
        <f>VLOOKUP(Table1[[#This Row],[CODE BARANG]],stock!$A:$C,3,)</f>
        <v>29</v>
      </c>
      <c r="E502" s="1">
        <v>20</v>
      </c>
      <c r="F502" s="1">
        <v>40</v>
      </c>
      <c r="G502" s="4">
        <f>Table1[[#This Row],[stock]]/Table1[[#This Row],[HASIL MIN]]</f>
        <v>1.45</v>
      </c>
      <c r="H502" s="4">
        <f>Table1[[#This Row],[stock]]/Table1[[#This Row],[HASIL MAX]]</f>
        <v>0.72499999999999998</v>
      </c>
      <c r="I502" s="4"/>
      <c r="J502" s="4"/>
    </row>
    <row r="503" spans="1:10" x14ac:dyDescent="0.25">
      <c r="A503" s="48" t="s">
        <v>45</v>
      </c>
      <c r="B503" t="s">
        <v>46</v>
      </c>
      <c r="C503" t="s">
        <v>23209</v>
      </c>
      <c r="D503" s="3">
        <f>VLOOKUP(Table1[[#This Row],[CODE BARANG]],stock!$A:$C,3,)</f>
        <v>35</v>
      </c>
      <c r="E503" s="1">
        <v>24</v>
      </c>
      <c r="F503" s="1">
        <v>48</v>
      </c>
      <c r="G503" s="4">
        <f>Table1[[#This Row],[stock]]/Table1[[#This Row],[HASIL MIN]]</f>
        <v>1.4583333333333333</v>
      </c>
      <c r="H503" s="4">
        <f>Table1[[#This Row],[stock]]/Table1[[#This Row],[HASIL MAX]]</f>
        <v>0.72916666666666663</v>
      </c>
      <c r="I503" s="4"/>
      <c r="J503" s="4"/>
    </row>
    <row r="504" spans="1:10" x14ac:dyDescent="0.25">
      <c r="A504" s="48" t="s">
        <v>1579</v>
      </c>
      <c r="B504" t="s">
        <v>1580</v>
      </c>
      <c r="C504" t="s">
        <v>23217</v>
      </c>
      <c r="D504" s="3">
        <f>VLOOKUP(Table1[[#This Row],[CODE BARANG]],stock!$A:$C,3,)</f>
        <v>105</v>
      </c>
      <c r="E504" s="1">
        <v>72</v>
      </c>
      <c r="F504" s="1">
        <v>144</v>
      </c>
      <c r="G504" s="4">
        <f>Table1[[#This Row],[stock]]/Table1[[#This Row],[HASIL MIN]]</f>
        <v>1.4583333333333333</v>
      </c>
      <c r="H504" s="4">
        <f>Table1[[#This Row],[stock]]/Table1[[#This Row],[HASIL MAX]]</f>
        <v>0.72916666666666663</v>
      </c>
      <c r="I504" s="4"/>
      <c r="J504" s="4"/>
    </row>
    <row r="505" spans="1:10" x14ac:dyDescent="0.25">
      <c r="A505" s="48" t="s">
        <v>85</v>
      </c>
      <c r="B505" t="s">
        <v>86</v>
      </c>
      <c r="C505" t="s">
        <v>23215</v>
      </c>
      <c r="D505" s="3">
        <f>VLOOKUP(Table1[[#This Row],[CODE BARANG]],stock!$A:$C,3,)</f>
        <v>35</v>
      </c>
      <c r="E505" s="1">
        <v>24</v>
      </c>
      <c r="F505" s="1">
        <v>48</v>
      </c>
      <c r="G505" s="4">
        <f>Table1[[#This Row],[stock]]/Table1[[#This Row],[HASIL MIN]]</f>
        <v>1.4583333333333333</v>
      </c>
      <c r="H505" s="4">
        <f>Table1[[#This Row],[stock]]/Table1[[#This Row],[HASIL MAX]]</f>
        <v>0.72916666666666663</v>
      </c>
      <c r="I505" s="4"/>
      <c r="J505" s="4"/>
    </row>
    <row r="506" spans="1:10" x14ac:dyDescent="0.25">
      <c r="A506" s="48" t="s">
        <v>555</v>
      </c>
      <c r="B506" t="s">
        <v>556</v>
      </c>
      <c r="C506" t="s">
        <v>23208</v>
      </c>
      <c r="D506" s="3">
        <f>VLOOKUP(Table1[[#This Row],[CODE BARANG]],stock!$A:$C,3,)</f>
        <v>246</v>
      </c>
      <c r="E506" s="1">
        <v>144</v>
      </c>
      <c r="F506" s="1">
        <v>336</v>
      </c>
      <c r="G506" s="4">
        <f>Table1[[#This Row],[stock]]/Table1[[#This Row],[HASIL MIN]]</f>
        <v>1.7083333333333333</v>
      </c>
      <c r="H506" s="4">
        <f>Table1[[#This Row],[stock]]/Table1[[#This Row],[HASIL MAX]]</f>
        <v>0.7321428571428571</v>
      </c>
      <c r="I506" s="4"/>
      <c r="J506" s="4"/>
    </row>
    <row r="507" spans="1:10" x14ac:dyDescent="0.25">
      <c r="A507" s="48" t="s">
        <v>47</v>
      </c>
      <c r="B507" t="s">
        <v>48</v>
      </c>
      <c r="C507" t="s">
        <v>23209</v>
      </c>
      <c r="D507" s="3">
        <f>VLOOKUP(Table1[[#This Row],[CODE BARANG]],stock!$A:$C,3,)</f>
        <v>22</v>
      </c>
      <c r="E507" s="1">
        <v>12</v>
      </c>
      <c r="F507" s="1">
        <v>30</v>
      </c>
      <c r="G507" s="4">
        <f>Table1[[#This Row],[stock]]/Table1[[#This Row],[HASIL MIN]]</f>
        <v>1.8333333333333333</v>
      </c>
      <c r="H507" s="4">
        <f>Table1[[#This Row],[stock]]/Table1[[#This Row],[HASIL MAX]]</f>
        <v>0.73333333333333328</v>
      </c>
      <c r="I507" s="4"/>
      <c r="J507" s="4"/>
    </row>
    <row r="508" spans="1:10" x14ac:dyDescent="0.25">
      <c r="A508" s="48" t="s">
        <v>537</v>
      </c>
      <c r="B508" t="s">
        <v>19837</v>
      </c>
      <c r="C508" t="s">
        <v>23211</v>
      </c>
      <c r="D508" s="3">
        <f>VLOOKUP(Table1[[#This Row],[CODE BARANG]],stock!$A:$C,3,)</f>
        <v>22</v>
      </c>
      <c r="E508" s="1">
        <v>15</v>
      </c>
      <c r="F508" s="1">
        <v>30</v>
      </c>
      <c r="G508" s="4">
        <f>Table1[[#This Row],[stock]]/Table1[[#This Row],[HASIL MIN]]</f>
        <v>1.4666666666666666</v>
      </c>
      <c r="H508" s="4">
        <f>Table1[[#This Row],[stock]]/Table1[[#This Row],[HASIL MAX]]</f>
        <v>0.73333333333333328</v>
      </c>
      <c r="I508" s="4"/>
      <c r="J508" s="4"/>
    </row>
    <row r="509" spans="1:10" x14ac:dyDescent="0.25">
      <c r="A509" s="48" t="s">
        <v>1389</v>
      </c>
      <c r="B509" t="s">
        <v>1390</v>
      </c>
      <c r="C509" t="s">
        <v>23209</v>
      </c>
      <c r="D509" s="3">
        <f>VLOOKUP(Table1[[#This Row],[CODE BARANG]],stock!$A:$C,3,)</f>
        <v>11</v>
      </c>
      <c r="E509" s="1">
        <v>12</v>
      </c>
      <c r="F509" s="1">
        <v>15</v>
      </c>
      <c r="G509" s="4">
        <f>Table1[[#This Row],[stock]]/Table1[[#This Row],[HASIL MIN]]</f>
        <v>0.91666666666666663</v>
      </c>
      <c r="H509" s="4">
        <f>Table1[[#This Row],[stock]]/Table1[[#This Row],[HASIL MAX]]</f>
        <v>0.73333333333333328</v>
      </c>
      <c r="I509" s="4"/>
      <c r="J509" s="4"/>
    </row>
    <row r="510" spans="1:10" x14ac:dyDescent="0.25">
      <c r="A510" s="48" t="s">
        <v>1073</v>
      </c>
      <c r="B510" t="s">
        <v>1074</v>
      </c>
      <c r="C510" t="s">
        <v>23209</v>
      </c>
      <c r="D510" s="3">
        <f>VLOOKUP(Table1[[#This Row],[CODE BARANG]],stock!$A:$C,3,)</f>
        <v>45</v>
      </c>
      <c r="E510" s="1">
        <v>48</v>
      </c>
      <c r="F510" s="1">
        <v>60</v>
      </c>
      <c r="G510" s="4">
        <f>Table1[[#This Row],[stock]]/Table1[[#This Row],[HASIL MIN]]</f>
        <v>0.9375</v>
      </c>
      <c r="H510" s="4">
        <f>Table1[[#This Row],[stock]]/Table1[[#This Row],[HASIL MAX]]</f>
        <v>0.75</v>
      </c>
      <c r="I510" s="4"/>
      <c r="J510" s="4"/>
    </row>
    <row r="511" spans="1:10" x14ac:dyDescent="0.25">
      <c r="A511" s="48" t="s">
        <v>1689</v>
      </c>
      <c r="B511" t="s">
        <v>1690</v>
      </c>
      <c r="C511" t="s">
        <v>23211</v>
      </c>
      <c r="D511" s="3">
        <f>VLOOKUP(Table1[[#This Row],[CODE BARANG]],stock!$A:$C,3,)</f>
        <v>3</v>
      </c>
      <c r="E511" s="1">
        <v>2</v>
      </c>
      <c r="F511" s="1">
        <v>4</v>
      </c>
      <c r="G511" s="4">
        <f>Table1[[#This Row],[stock]]/Table1[[#This Row],[HASIL MIN]]</f>
        <v>1.5</v>
      </c>
      <c r="H511" s="4">
        <f>Table1[[#This Row],[stock]]/Table1[[#This Row],[HASIL MAX]]</f>
        <v>0.75</v>
      </c>
      <c r="I511" s="4"/>
      <c r="J511" s="4"/>
    </row>
    <row r="512" spans="1:10" x14ac:dyDescent="0.25">
      <c r="A512" s="48" t="s">
        <v>1369</v>
      </c>
      <c r="B512" t="s">
        <v>1370</v>
      </c>
      <c r="C512" t="s">
        <v>23211</v>
      </c>
      <c r="D512" s="3">
        <f>VLOOKUP(Table1[[#This Row],[CODE BARANG]],stock!$A:$C,3,)</f>
        <v>3</v>
      </c>
      <c r="E512" s="1">
        <v>2</v>
      </c>
      <c r="F512" s="1">
        <v>4</v>
      </c>
      <c r="G512" s="4">
        <f>Table1[[#This Row],[stock]]/Table1[[#This Row],[HASIL MIN]]</f>
        <v>1.5</v>
      </c>
      <c r="H512" s="4">
        <f>Table1[[#This Row],[stock]]/Table1[[#This Row],[HASIL MAX]]</f>
        <v>0.75</v>
      </c>
      <c r="I512" s="4"/>
      <c r="J512" s="4"/>
    </row>
    <row r="513" spans="1:10" x14ac:dyDescent="0.25">
      <c r="A513" s="48" t="s">
        <v>83</v>
      </c>
      <c r="B513" t="s">
        <v>84</v>
      </c>
      <c r="C513" t="s">
        <v>23215</v>
      </c>
      <c r="D513" s="3">
        <f>VLOOKUP(Table1[[#This Row],[CODE BARANG]],stock!$A:$C,3,)</f>
        <v>3</v>
      </c>
      <c r="E513" s="1">
        <v>2</v>
      </c>
      <c r="F513" s="1">
        <v>4</v>
      </c>
      <c r="G513" s="4">
        <f>Table1[[#This Row],[stock]]/Table1[[#This Row],[HASIL MIN]]</f>
        <v>1.5</v>
      </c>
      <c r="H513" s="4">
        <f>Table1[[#This Row],[stock]]/Table1[[#This Row],[HASIL MAX]]</f>
        <v>0.75</v>
      </c>
      <c r="I513" s="4"/>
      <c r="J513" s="4"/>
    </row>
    <row r="514" spans="1:10" x14ac:dyDescent="0.25">
      <c r="A514" s="48" t="s">
        <v>1095</v>
      </c>
      <c r="B514" t="s">
        <v>1096</v>
      </c>
      <c r="C514" t="s">
        <v>23207</v>
      </c>
      <c r="D514" s="3">
        <f>VLOOKUP(Table1[[#This Row],[CODE BARANG]],stock!$A:$C,3,)</f>
        <v>18</v>
      </c>
      <c r="E514" s="1">
        <v>12</v>
      </c>
      <c r="F514" s="1">
        <v>24</v>
      </c>
      <c r="G514" s="4">
        <f>Table1[[#This Row],[stock]]/Table1[[#This Row],[HASIL MIN]]</f>
        <v>1.5</v>
      </c>
      <c r="H514" s="4">
        <f>Table1[[#This Row],[stock]]/Table1[[#This Row],[HASIL MAX]]</f>
        <v>0.75</v>
      </c>
      <c r="I514" s="4"/>
      <c r="J514" s="4"/>
    </row>
    <row r="515" spans="1:10" x14ac:dyDescent="0.25">
      <c r="A515" s="48" t="s">
        <v>1343</v>
      </c>
      <c r="B515" t="s">
        <v>1344</v>
      </c>
      <c r="C515" t="s">
        <v>912</v>
      </c>
      <c r="D515" s="3">
        <f>VLOOKUP(Table1[[#This Row],[CODE BARANG]],stock!$A:$C,3,)</f>
        <v>3</v>
      </c>
      <c r="E515" s="1">
        <v>2</v>
      </c>
      <c r="F515" s="1">
        <v>4</v>
      </c>
      <c r="G515" s="4">
        <f>Table1[[#This Row],[stock]]/Table1[[#This Row],[HASIL MIN]]</f>
        <v>1.5</v>
      </c>
      <c r="H515" s="4">
        <f>Table1[[#This Row],[stock]]/Table1[[#This Row],[HASIL MAX]]</f>
        <v>0.75</v>
      </c>
      <c r="I515" s="4"/>
      <c r="J515" s="4"/>
    </row>
    <row r="516" spans="1:10" x14ac:dyDescent="0.25">
      <c r="A516" s="48" t="s">
        <v>343</v>
      </c>
      <c r="B516" t="s">
        <v>344</v>
      </c>
      <c r="C516" t="s">
        <v>23218</v>
      </c>
      <c r="D516" s="3">
        <f>VLOOKUP(Table1[[#This Row],[CODE BARANG]],stock!$A:$C,3,)</f>
        <v>9</v>
      </c>
      <c r="E516" s="1">
        <v>10</v>
      </c>
      <c r="F516" s="1">
        <v>12</v>
      </c>
      <c r="G516" s="4">
        <f>Table1[[#This Row],[stock]]/Table1[[#This Row],[HASIL MIN]]</f>
        <v>0.9</v>
      </c>
      <c r="H516" s="4">
        <f>Table1[[#This Row],[stock]]/Table1[[#This Row],[HASIL MAX]]</f>
        <v>0.75</v>
      </c>
      <c r="I516" s="4"/>
      <c r="J516" s="4"/>
    </row>
    <row r="517" spans="1:10" x14ac:dyDescent="0.25">
      <c r="A517" s="48" t="s">
        <v>19270</v>
      </c>
      <c r="B517" t="s">
        <v>19271</v>
      </c>
      <c r="C517" t="s">
        <v>23209</v>
      </c>
      <c r="D517" s="3">
        <f>VLOOKUP(Table1[[#This Row],[CODE BARANG]],stock!$A:$C,3,)</f>
        <v>3</v>
      </c>
      <c r="E517" s="1">
        <v>2</v>
      </c>
      <c r="F517" s="1">
        <v>4</v>
      </c>
      <c r="G517" s="4">
        <f>Table1[[#This Row],[stock]]/Table1[[#This Row],[HASIL MIN]]</f>
        <v>1.5</v>
      </c>
      <c r="H517" s="4">
        <f>Table1[[#This Row],[stock]]/Table1[[#This Row],[HASIL MAX]]</f>
        <v>0.75</v>
      </c>
      <c r="I517" s="4"/>
      <c r="J517" s="4"/>
    </row>
    <row r="518" spans="1:10" x14ac:dyDescent="0.25">
      <c r="A518" s="48" t="s">
        <v>9994</v>
      </c>
      <c r="B518" t="s">
        <v>9995</v>
      </c>
      <c r="C518" t="s">
        <v>23216</v>
      </c>
      <c r="D518" s="3">
        <f>VLOOKUP(Table1[[#This Row],[CODE BARANG]],stock!$A:$C,3,)</f>
        <v>9</v>
      </c>
      <c r="E518" s="1">
        <v>4</v>
      </c>
      <c r="F518" s="1">
        <v>12</v>
      </c>
      <c r="G518" s="4">
        <f>Table1[[#This Row],[stock]]/Table1[[#This Row],[HASIL MIN]]</f>
        <v>2.25</v>
      </c>
      <c r="H518" s="4">
        <f>Table1[[#This Row],[stock]]/Table1[[#This Row],[HASIL MAX]]</f>
        <v>0.75</v>
      </c>
      <c r="I518" s="4"/>
      <c r="J518" s="4"/>
    </row>
    <row r="519" spans="1:10" x14ac:dyDescent="0.25">
      <c r="A519" s="48" t="s">
        <v>1715</v>
      </c>
      <c r="B519" t="s">
        <v>1716</v>
      </c>
      <c r="C519" t="s">
        <v>23216</v>
      </c>
      <c r="D519" s="3">
        <f>VLOOKUP(Table1[[#This Row],[CODE BARANG]],stock!$A:$C,3,)</f>
        <v>9</v>
      </c>
      <c r="E519" s="1">
        <v>6</v>
      </c>
      <c r="F519" s="1">
        <v>12</v>
      </c>
      <c r="G519" s="4">
        <f>Table1[[#This Row],[stock]]/Table1[[#This Row],[HASIL MIN]]</f>
        <v>1.5</v>
      </c>
      <c r="H519" s="4">
        <f>Table1[[#This Row],[stock]]/Table1[[#This Row],[HASIL MAX]]</f>
        <v>0.75</v>
      </c>
      <c r="I519" s="4"/>
      <c r="J519" s="4"/>
    </row>
    <row r="520" spans="1:10" x14ac:dyDescent="0.25">
      <c r="A520" s="48" t="s">
        <v>1733</v>
      </c>
      <c r="B520" t="s">
        <v>1734</v>
      </c>
      <c r="C520" t="s">
        <v>23209</v>
      </c>
      <c r="D520" s="3">
        <f>VLOOKUP(Table1[[#This Row],[CODE BARANG]],stock!$A:$C,3,)</f>
        <v>36</v>
      </c>
      <c r="E520" s="1">
        <v>24</v>
      </c>
      <c r="F520" s="1">
        <v>48</v>
      </c>
      <c r="G520" s="4">
        <f>Table1[[#This Row],[stock]]/Table1[[#This Row],[HASIL MIN]]</f>
        <v>1.5</v>
      </c>
      <c r="H520" s="4">
        <f>Table1[[#This Row],[stock]]/Table1[[#This Row],[HASIL MAX]]</f>
        <v>0.75</v>
      </c>
      <c r="I520" s="4"/>
      <c r="J520" s="4"/>
    </row>
    <row r="521" spans="1:10" x14ac:dyDescent="0.25">
      <c r="A521" s="48" t="s">
        <v>1005</v>
      </c>
      <c r="B521" t="s">
        <v>1006</v>
      </c>
      <c r="C521" t="s">
        <v>23216</v>
      </c>
      <c r="D521" s="3">
        <f>VLOOKUP(Table1[[#This Row],[CODE BARANG]],stock!$A:$C,3,)</f>
        <v>9</v>
      </c>
      <c r="E521" s="1">
        <v>8</v>
      </c>
      <c r="F521" s="1">
        <v>12</v>
      </c>
      <c r="G521" s="4">
        <f>Table1[[#This Row],[stock]]/Table1[[#This Row],[HASIL MIN]]</f>
        <v>1.125</v>
      </c>
      <c r="H521" s="4">
        <f>Table1[[#This Row],[stock]]/Table1[[#This Row],[HASIL MAX]]</f>
        <v>0.75</v>
      </c>
      <c r="I521" s="4"/>
      <c r="J521" s="4"/>
    </row>
    <row r="522" spans="1:10" x14ac:dyDescent="0.25">
      <c r="A522" s="48" t="s">
        <v>1735</v>
      </c>
      <c r="B522" t="s">
        <v>1736</v>
      </c>
      <c r="C522" t="s">
        <v>442</v>
      </c>
      <c r="D522" s="3">
        <f>VLOOKUP(Table1[[#This Row],[CODE BARANG]],stock!$A:$C,3,)</f>
        <v>30</v>
      </c>
      <c r="E522" s="1">
        <v>20</v>
      </c>
      <c r="F522" s="1">
        <v>40</v>
      </c>
      <c r="G522" s="4">
        <f>Table1[[#This Row],[stock]]/Table1[[#This Row],[HASIL MIN]]</f>
        <v>1.5</v>
      </c>
      <c r="H522" s="4">
        <f>Table1[[#This Row],[stock]]/Table1[[#This Row],[HASIL MAX]]</f>
        <v>0.75</v>
      </c>
      <c r="I522" s="4"/>
      <c r="J522" s="4"/>
    </row>
    <row r="523" spans="1:10" x14ac:dyDescent="0.25">
      <c r="A523" s="48" t="s">
        <v>1353</v>
      </c>
      <c r="B523" t="s">
        <v>1354</v>
      </c>
      <c r="C523" t="s">
        <v>23207</v>
      </c>
      <c r="D523" s="3">
        <f>VLOOKUP(Table1[[#This Row],[CODE BARANG]],stock!$A:$C,3,)</f>
        <v>3</v>
      </c>
      <c r="E523" s="1">
        <v>2</v>
      </c>
      <c r="F523" s="1">
        <v>4</v>
      </c>
      <c r="G523" s="4">
        <f>Table1[[#This Row],[stock]]/Table1[[#This Row],[HASIL MIN]]</f>
        <v>1.5</v>
      </c>
      <c r="H523" s="4">
        <f>Table1[[#This Row],[stock]]/Table1[[#This Row],[HASIL MAX]]</f>
        <v>0.75</v>
      </c>
      <c r="I523" s="4"/>
      <c r="J523" s="4"/>
    </row>
    <row r="524" spans="1:10" x14ac:dyDescent="0.25">
      <c r="A524" s="48" t="s">
        <v>1705</v>
      </c>
      <c r="B524" t="s">
        <v>1706</v>
      </c>
      <c r="C524" t="s">
        <v>23209</v>
      </c>
      <c r="D524" s="3">
        <f>VLOOKUP(Table1[[#This Row],[CODE BARANG]],stock!$A:$C,3,)</f>
        <v>3</v>
      </c>
      <c r="E524" s="1">
        <v>2</v>
      </c>
      <c r="F524" s="1">
        <v>4</v>
      </c>
      <c r="G524" s="4">
        <f>Table1[[#This Row],[stock]]/Table1[[#This Row],[HASIL MIN]]</f>
        <v>1.5</v>
      </c>
      <c r="H524" s="4">
        <f>Table1[[#This Row],[stock]]/Table1[[#This Row],[HASIL MAX]]</f>
        <v>0.75</v>
      </c>
      <c r="I524" s="4"/>
      <c r="J524" s="4"/>
    </row>
    <row r="525" spans="1:10" x14ac:dyDescent="0.25">
      <c r="A525" s="48" t="s">
        <v>1215</v>
      </c>
      <c r="B525" t="s">
        <v>1216</v>
      </c>
      <c r="C525" t="s">
        <v>23211</v>
      </c>
      <c r="D525" s="3">
        <f>VLOOKUP(Table1[[#This Row],[CODE BARANG]],stock!$A:$C,3,)</f>
        <v>3</v>
      </c>
      <c r="E525" s="1">
        <v>3</v>
      </c>
      <c r="F525" s="1">
        <v>4</v>
      </c>
      <c r="G525" s="4">
        <f>Table1[[#This Row],[stock]]/Table1[[#This Row],[HASIL MIN]]</f>
        <v>1</v>
      </c>
      <c r="H525" s="4">
        <f>Table1[[#This Row],[stock]]/Table1[[#This Row],[HASIL MAX]]</f>
        <v>0.75</v>
      </c>
      <c r="I525" s="4"/>
      <c r="J525" s="4"/>
    </row>
    <row r="526" spans="1:10" x14ac:dyDescent="0.25">
      <c r="A526" s="48" t="s">
        <v>243</v>
      </c>
      <c r="B526" t="s">
        <v>244</v>
      </c>
      <c r="C526" t="s">
        <v>23207</v>
      </c>
      <c r="D526" s="3">
        <f>VLOOKUP(Table1[[#This Row],[CODE BARANG]],stock!$A:$C,3,)</f>
        <v>9</v>
      </c>
      <c r="E526" s="1">
        <v>6</v>
      </c>
      <c r="F526" s="1">
        <v>12</v>
      </c>
      <c r="G526" s="4">
        <f>Table1[[#This Row],[stock]]/Table1[[#This Row],[HASIL MIN]]</f>
        <v>1.5</v>
      </c>
      <c r="H526" s="4">
        <f>Table1[[#This Row],[stock]]/Table1[[#This Row],[HASIL MAX]]</f>
        <v>0.75</v>
      </c>
      <c r="I526" s="4"/>
      <c r="J526" s="4"/>
    </row>
    <row r="527" spans="1:10" x14ac:dyDescent="0.25">
      <c r="A527" s="48" t="s">
        <v>1853</v>
      </c>
      <c r="B527" t="s">
        <v>1854</v>
      </c>
      <c r="C527" t="s">
        <v>23209</v>
      </c>
      <c r="D527" s="3">
        <f>VLOOKUP(Table1[[#This Row],[CODE BARANG]],stock!$A:$C,3,)</f>
        <v>3</v>
      </c>
      <c r="E527" s="1">
        <v>2</v>
      </c>
      <c r="F527" s="1">
        <v>4</v>
      </c>
      <c r="G527" s="4">
        <f>Table1[[#This Row],[stock]]/Table1[[#This Row],[HASIL MIN]]</f>
        <v>1.5</v>
      </c>
      <c r="H527" s="4">
        <f>Table1[[#This Row],[stock]]/Table1[[#This Row],[HASIL MAX]]</f>
        <v>0.75</v>
      </c>
      <c r="I527" s="4"/>
      <c r="J527" s="4"/>
    </row>
    <row r="528" spans="1:10" x14ac:dyDescent="0.25">
      <c r="A528" s="48" t="s">
        <v>902</v>
      </c>
      <c r="B528" t="s">
        <v>903</v>
      </c>
      <c r="C528" t="s">
        <v>23209</v>
      </c>
      <c r="D528" s="3">
        <f>VLOOKUP(Table1[[#This Row],[CODE BARANG]],stock!$A:$C,3,)</f>
        <v>3</v>
      </c>
      <c r="E528" s="1">
        <v>2</v>
      </c>
      <c r="F528" s="1">
        <v>4</v>
      </c>
      <c r="G528" s="4">
        <f>Table1[[#This Row],[stock]]/Table1[[#This Row],[HASIL MIN]]</f>
        <v>1.5</v>
      </c>
      <c r="H528" s="4">
        <f>Table1[[#This Row],[stock]]/Table1[[#This Row],[HASIL MAX]]</f>
        <v>0.75</v>
      </c>
      <c r="I528" s="4"/>
      <c r="J528" s="4"/>
    </row>
    <row r="529" spans="1:10" x14ac:dyDescent="0.25">
      <c r="A529" s="48" t="s">
        <v>22347</v>
      </c>
      <c r="B529" t="s">
        <v>911</v>
      </c>
      <c r="C529" t="s">
        <v>912</v>
      </c>
      <c r="D529" s="3">
        <f>VLOOKUP(Table1[[#This Row],[CODE BARANG]],stock!$A:$C,3,)</f>
        <v>3</v>
      </c>
      <c r="E529" s="1">
        <v>2</v>
      </c>
      <c r="F529" s="1">
        <v>4</v>
      </c>
      <c r="G529" s="4">
        <f>Table1[[#This Row],[stock]]/Table1[[#This Row],[HASIL MIN]]</f>
        <v>1.5</v>
      </c>
      <c r="H529" s="4">
        <f>Table1[[#This Row],[stock]]/Table1[[#This Row],[HASIL MAX]]</f>
        <v>0.75</v>
      </c>
      <c r="I529" s="4"/>
      <c r="J529" s="4"/>
    </row>
    <row r="530" spans="1:10" x14ac:dyDescent="0.25">
      <c r="A530" s="48" t="s">
        <v>15154</v>
      </c>
      <c r="B530" t="s">
        <v>15155</v>
      </c>
      <c r="C530" t="s">
        <v>23209</v>
      </c>
      <c r="D530" s="3">
        <f>VLOOKUP(Table1[[#This Row],[CODE BARANG]],stock!$A:$C,3,)</f>
        <v>3</v>
      </c>
      <c r="E530" s="1">
        <v>2</v>
      </c>
      <c r="F530" s="1">
        <v>4</v>
      </c>
      <c r="G530" s="4">
        <f>Table1[[#This Row],[stock]]/Table1[[#This Row],[HASIL MIN]]</f>
        <v>1.5</v>
      </c>
      <c r="H530" s="4">
        <f>Table1[[#This Row],[stock]]/Table1[[#This Row],[HASIL MAX]]</f>
        <v>0.75</v>
      </c>
      <c r="I530" s="4"/>
      <c r="J530" s="4"/>
    </row>
    <row r="531" spans="1:10" x14ac:dyDescent="0.25">
      <c r="A531" s="48" t="s">
        <v>1425</v>
      </c>
      <c r="B531" t="s">
        <v>1426</v>
      </c>
      <c r="C531" t="s">
        <v>23209</v>
      </c>
      <c r="D531" s="3">
        <f>VLOOKUP(Table1[[#This Row],[CODE BARANG]],stock!$A:$C,3,)</f>
        <v>30</v>
      </c>
      <c r="E531" s="1">
        <v>20</v>
      </c>
      <c r="F531" s="1">
        <v>40</v>
      </c>
      <c r="G531" s="4">
        <f>Table1[[#This Row],[stock]]/Table1[[#This Row],[HASIL MIN]]</f>
        <v>1.5</v>
      </c>
      <c r="H531" s="4">
        <f>Table1[[#This Row],[stock]]/Table1[[#This Row],[HASIL MAX]]</f>
        <v>0.75</v>
      </c>
      <c r="I531" s="4"/>
      <c r="J531" s="4"/>
    </row>
    <row r="532" spans="1:10" x14ac:dyDescent="0.25">
      <c r="A532" s="48" t="s">
        <v>1717</v>
      </c>
      <c r="B532" t="s">
        <v>1718</v>
      </c>
      <c r="C532" t="s">
        <v>23207</v>
      </c>
      <c r="D532" s="3">
        <f>VLOOKUP(Table1[[#This Row],[CODE BARANG]],stock!$A:$C,3,)</f>
        <v>3</v>
      </c>
      <c r="E532" s="1">
        <v>2</v>
      </c>
      <c r="F532" s="1">
        <v>4</v>
      </c>
      <c r="G532" s="4">
        <f>Table1[[#This Row],[stock]]/Table1[[#This Row],[HASIL MIN]]</f>
        <v>1.5</v>
      </c>
      <c r="H532" s="4">
        <f>Table1[[#This Row],[stock]]/Table1[[#This Row],[HASIL MAX]]</f>
        <v>0.75</v>
      </c>
      <c r="I532" s="4"/>
      <c r="J532" s="4"/>
    </row>
    <row r="533" spans="1:10" x14ac:dyDescent="0.25">
      <c r="A533" s="48" t="s">
        <v>4184</v>
      </c>
      <c r="B533" t="s">
        <v>20825</v>
      </c>
      <c r="C533" t="s">
        <v>23214</v>
      </c>
      <c r="D533" s="3">
        <f>VLOOKUP(Table1[[#This Row],[CODE BARANG]],stock!$A:$C,3,)</f>
        <v>377</v>
      </c>
      <c r="E533" s="1">
        <v>300</v>
      </c>
      <c r="F533" s="1">
        <v>500</v>
      </c>
      <c r="G533" s="4">
        <f>Table1[[#This Row],[stock]]/Table1[[#This Row],[HASIL MIN]]</f>
        <v>1.2566666666666666</v>
      </c>
      <c r="H533" s="4">
        <f>Table1[[#This Row],[stock]]/Table1[[#This Row],[HASIL MAX]]</f>
        <v>0.754</v>
      </c>
      <c r="I533" s="4"/>
      <c r="J533" s="4"/>
    </row>
    <row r="534" spans="1:10" x14ac:dyDescent="0.25">
      <c r="A534" s="48" t="s">
        <v>1783</v>
      </c>
      <c r="B534" t="s">
        <v>1784</v>
      </c>
      <c r="C534" t="s">
        <v>442</v>
      </c>
      <c r="D534" s="3">
        <f>VLOOKUP(Table1[[#This Row],[CODE BARANG]],stock!$A:$C,3,)</f>
        <v>151</v>
      </c>
      <c r="E534" s="1">
        <v>100</v>
      </c>
      <c r="F534" s="1">
        <v>200</v>
      </c>
      <c r="G534" s="4">
        <f>Table1[[#This Row],[stock]]/Table1[[#This Row],[HASIL MIN]]</f>
        <v>1.51</v>
      </c>
      <c r="H534" s="4">
        <f>Table1[[#This Row],[stock]]/Table1[[#This Row],[HASIL MAX]]</f>
        <v>0.755</v>
      </c>
      <c r="I534" s="4"/>
      <c r="J534" s="4"/>
    </row>
    <row r="535" spans="1:10" x14ac:dyDescent="0.25">
      <c r="A535" s="48" t="s">
        <v>1549</v>
      </c>
      <c r="B535" t="s">
        <v>1550</v>
      </c>
      <c r="C535" t="s">
        <v>23215</v>
      </c>
      <c r="D535" s="3">
        <f>VLOOKUP(Table1[[#This Row],[CODE BARANG]],stock!$A:$C,3,)</f>
        <v>547</v>
      </c>
      <c r="E535" s="1">
        <v>480</v>
      </c>
      <c r="F535" s="1">
        <v>720</v>
      </c>
      <c r="G535" s="4">
        <f>Table1[[#This Row],[stock]]/Table1[[#This Row],[HASIL MIN]]</f>
        <v>1.1395833333333334</v>
      </c>
      <c r="H535" s="4">
        <f>Table1[[#This Row],[stock]]/Table1[[#This Row],[HASIL MAX]]</f>
        <v>0.75972222222222219</v>
      </c>
      <c r="I535" s="4"/>
      <c r="J535" s="4"/>
    </row>
    <row r="536" spans="1:10" x14ac:dyDescent="0.25">
      <c r="A536" s="48" t="s">
        <v>643</v>
      </c>
      <c r="B536" t="s">
        <v>644</v>
      </c>
      <c r="C536" t="s">
        <v>23210</v>
      </c>
      <c r="D536" s="3">
        <f>VLOOKUP(Table1[[#This Row],[CODE BARANG]],stock!$A:$C,3,)</f>
        <v>55</v>
      </c>
      <c r="E536" s="1">
        <v>36</v>
      </c>
      <c r="F536" s="1">
        <v>72</v>
      </c>
      <c r="G536" s="4">
        <f>Table1[[#This Row],[stock]]/Table1[[#This Row],[HASIL MIN]]</f>
        <v>1.5277777777777777</v>
      </c>
      <c r="H536" s="4">
        <f>Table1[[#This Row],[stock]]/Table1[[#This Row],[HASIL MAX]]</f>
        <v>0.76388888888888884</v>
      </c>
      <c r="I536" s="4"/>
      <c r="J536" s="4"/>
    </row>
    <row r="537" spans="1:10" x14ac:dyDescent="0.25">
      <c r="A537" s="48" t="s">
        <v>1807</v>
      </c>
      <c r="B537" t="s">
        <v>1808</v>
      </c>
      <c r="C537" t="s">
        <v>912</v>
      </c>
      <c r="D537" s="3">
        <f>VLOOKUP(Table1[[#This Row],[CODE BARANG]],stock!$A:$C,3,)</f>
        <v>23</v>
      </c>
      <c r="E537" s="1">
        <v>18</v>
      </c>
      <c r="F537" s="1">
        <v>30</v>
      </c>
      <c r="G537" s="4">
        <f>Table1[[#This Row],[stock]]/Table1[[#This Row],[HASIL MIN]]</f>
        <v>1.2777777777777777</v>
      </c>
      <c r="H537" s="4">
        <f>Table1[[#This Row],[stock]]/Table1[[#This Row],[HASIL MAX]]</f>
        <v>0.76666666666666672</v>
      </c>
      <c r="I537" s="4"/>
      <c r="J537" s="4"/>
    </row>
    <row r="538" spans="1:10" x14ac:dyDescent="0.25">
      <c r="A538" s="48" t="s">
        <v>1011</v>
      </c>
      <c r="B538" t="s">
        <v>1012</v>
      </c>
      <c r="C538" t="s">
        <v>23214</v>
      </c>
      <c r="D538" s="3">
        <f>VLOOKUP(Table1[[#This Row],[CODE BARANG]],stock!$A:$C,3,)</f>
        <v>43</v>
      </c>
      <c r="E538" s="1">
        <v>24</v>
      </c>
      <c r="F538" s="1">
        <v>56</v>
      </c>
      <c r="G538" s="4">
        <f>Table1[[#This Row],[stock]]/Table1[[#This Row],[HASIL MIN]]</f>
        <v>1.7916666666666667</v>
      </c>
      <c r="H538" s="4">
        <f>Table1[[#This Row],[stock]]/Table1[[#This Row],[HASIL MAX]]</f>
        <v>0.7678571428571429</v>
      </c>
      <c r="I538" s="4"/>
      <c r="J538" s="4"/>
    </row>
    <row r="539" spans="1:10" x14ac:dyDescent="0.25">
      <c r="A539" s="48" t="s">
        <v>1251</v>
      </c>
      <c r="B539" t="s">
        <v>1252</v>
      </c>
      <c r="C539" t="s">
        <v>23207</v>
      </c>
      <c r="D539" s="3">
        <f>VLOOKUP(Table1[[#This Row],[CODE BARANG]],stock!$A:$C,3,)</f>
        <v>37</v>
      </c>
      <c r="E539" s="1">
        <v>24</v>
      </c>
      <c r="F539" s="1">
        <v>48</v>
      </c>
      <c r="G539" s="4">
        <f>Table1[[#This Row],[stock]]/Table1[[#This Row],[HASIL MIN]]</f>
        <v>1.5416666666666667</v>
      </c>
      <c r="H539" s="4">
        <f>Table1[[#This Row],[stock]]/Table1[[#This Row],[HASIL MAX]]</f>
        <v>0.77083333333333337</v>
      </c>
      <c r="I539" s="4"/>
      <c r="J539" s="4"/>
    </row>
    <row r="540" spans="1:10" x14ac:dyDescent="0.25">
      <c r="A540" s="48" t="s">
        <v>6650</v>
      </c>
      <c r="B540" t="s">
        <v>6651</v>
      </c>
      <c r="C540" t="s">
        <v>442</v>
      </c>
      <c r="D540" s="3">
        <f>VLOOKUP(Table1[[#This Row],[CODE BARANG]],stock!$A:$C,3,)</f>
        <v>37</v>
      </c>
      <c r="E540" s="1">
        <v>24</v>
      </c>
      <c r="F540" s="1">
        <v>48</v>
      </c>
      <c r="G540" s="4">
        <f>Table1[[#This Row],[stock]]/Table1[[#This Row],[HASIL MIN]]</f>
        <v>1.5416666666666667</v>
      </c>
      <c r="H540" s="4">
        <f>Table1[[#This Row],[stock]]/Table1[[#This Row],[HASIL MAX]]</f>
        <v>0.77083333333333337</v>
      </c>
      <c r="I540" s="4"/>
      <c r="J540" s="4"/>
    </row>
    <row r="541" spans="1:10" x14ac:dyDescent="0.25">
      <c r="A541" s="48" t="s">
        <v>1930</v>
      </c>
      <c r="B541" t="s">
        <v>1931</v>
      </c>
      <c r="C541" t="s">
        <v>23209</v>
      </c>
      <c r="D541" s="3">
        <f>VLOOKUP(Table1[[#This Row],[CODE BARANG]],stock!$A:$C,3,)</f>
        <v>37</v>
      </c>
      <c r="E541" s="1">
        <v>24</v>
      </c>
      <c r="F541" s="1">
        <v>48</v>
      </c>
      <c r="G541" s="4">
        <f>Table1[[#This Row],[stock]]/Table1[[#This Row],[HASIL MIN]]</f>
        <v>1.5416666666666667</v>
      </c>
      <c r="H541" s="4">
        <f>Table1[[#This Row],[stock]]/Table1[[#This Row],[HASIL MAX]]</f>
        <v>0.77083333333333337</v>
      </c>
      <c r="I541" s="4"/>
      <c r="J541" s="4"/>
    </row>
    <row r="542" spans="1:10" x14ac:dyDescent="0.25">
      <c r="A542" s="48" t="s">
        <v>13</v>
      </c>
      <c r="B542" t="s">
        <v>14</v>
      </c>
      <c r="C542" t="s">
        <v>23208</v>
      </c>
      <c r="D542" s="3">
        <f>VLOOKUP(Table1[[#This Row],[CODE BARANG]],stock!$A:$C,3,)</f>
        <v>62</v>
      </c>
      <c r="E542" s="1">
        <v>40</v>
      </c>
      <c r="F542" s="1">
        <v>80</v>
      </c>
      <c r="G542" s="4">
        <f>Table1[[#This Row],[stock]]/Table1[[#This Row],[HASIL MIN]]</f>
        <v>1.55</v>
      </c>
      <c r="H542" s="4">
        <f>Table1[[#This Row],[stock]]/Table1[[#This Row],[HASIL MAX]]</f>
        <v>0.77500000000000002</v>
      </c>
      <c r="I542" s="4"/>
      <c r="J542" s="4"/>
    </row>
    <row r="543" spans="1:10" x14ac:dyDescent="0.25">
      <c r="A543" s="48" t="s">
        <v>635</v>
      </c>
      <c r="B543" t="s">
        <v>636</v>
      </c>
      <c r="C543" t="s">
        <v>23209</v>
      </c>
      <c r="D543" s="3">
        <f>VLOOKUP(Table1[[#This Row],[CODE BARANG]],stock!$A:$C,3,)</f>
        <v>31</v>
      </c>
      <c r="E543" s="1">
        <v>20</v>
      </c>
      <c r="F543" s="1">
        <v>40</v>
      </c>
      <c r="G543" s="4">
        <f>Table1[[#This Row],[stock]]/Table1[[#This Row],[HASIL MIN]]</f>
        <v>1.55</v>
      </c>
      <c r="H543" s="4">
        <f>Table1[[#This Row],[stock]]/Table1[[#This Row],[HASIL MAX]]</f>
        <v>0.77500000000000002</v>
      </c>
      <c r="I543" s="4"/>
      <c r="J543" s="4"/>
    </row>
    <row r="544" spans="1:10" x14ac:dyDescent="0.25">
      <c r="A544" s="48" t="s">
        <v>1227</v>
      </c>
      <c r="B544" t="s">
        <v>1228</v>
      </c>
      <c r="C544" t="s">
        <v>23212</v>
      </c>
      <c r="D544" s="3">
        <f>VLOOKUP(Table1[[#This Row],[CODE BARANG]],stock!$A:$C,3,)</f>
        <v>186</v>
      </c>
      <c r="E544" s="1">
        <v>180</v>
      </c>
      <c r="F544" s="1">
        <v>240</v>
      </c>
      <c r="G544" s="4">
        <f>Table1[[#This Row],[stock]]/Table1[[#This Row],[HASIL MIN]]</f>
        <v>1.0333333333333334</v>
      </c>
      <c r="H544" s="4">
        <f>Table1[[#This Row],[stock]]/Table1[[#This Row],[HASIL MAX]]</f>
        <v>0.77500000000000002</v>
      </c>
      <c r="I544" s="4"/>
      <c r="J544" s="4"/>
    </row>
    <row r="545" spans="1:10" x14ac:dyDescent="0.25">
      <c r="A545" s="48" t="s">
        <v>7915</v>
      </c>
      <c r="B545" t="s">
        <v>7916</v>
      </c>
      <c r="C545" t="s">
        <v>23214</v>
      </c>
      <c r="D545" s="3">
        <f>VLOOKUP(Table1[[#This Row],[CODE BARANG]],stock!$A:$C,3,)</f>
        <v>31</v>
      </c>
      <c r="E545" s="1">
        <v>20</v>
      </c>
      <c r="F545" s="1">
        <v>40</v>
      </c>
      <c r="G545" s="4">
        <f>Table1[[#This Row],[stock]]/Table1[[#This Row],[HASIL MIN]]</f>
        <v>1.55</v>
      </c>
      <c r="H545" s="4">
        <f>Table1[[#This Row],[stock]]/Table1[[#This Row],[HASIL MAX]]</f>
        <v>0.77500000000000002</v>
      </c>
      <c r="I545" s="4"/>
      <c r="J545" s="4"/>
    </row>
    <row r="546" spans="1:10" x14ac:dyDescent="0.25">
      <c r="A546" s="48" t="s">
        <v>1097</v>
      </c>
      <c r="B546" t="s">
        <v>1098</v>
      </c>
      <c r="C546" t="s">
        <v>442</v>
      </c>
      <c r="D546" s="3">
        <f>VLOOKUP(Table1[[#This Row],[CODE BARANG]],stock!$A:$C,3,)</f>
        <v>28</v>
      </c>
      <c r="E546" s="1">
        <v>24</v>
      </c>
      <c r="F546" s="1">
        <v>36</v>
      </c>
      <c r="G546" s="4">
        <f>Table1[[#This Row],[stock]]/Table1[[#This Row],[HASIL MIN]]</f>
        <v>1.1666666666666667</v>
      </c>
      <c r="H546" s="4">
        <f>Table1[[#This Row],[stock]]/Table1[[#This Row],[HASIL MAX]]</f>
        <v>0.77777777777777779</v>
      </c>
      <c r="I546" s="4"/>
      <c r="J546" s="4"/>
    </row>
    <row r="547" spans="1:10" x14ac:dyDescent="0.25">
      <c r="A547" s="48" t="s">
        <v>135</v>
      </c>
      <c r="B547" t="s">
        <v>136</v>
      </c>
      <c r="C547" t="s">
        <v>442</v>
      </c>
      <c r="D547" s="3">
        <f>VLOOKUP(Table1[[#This Row],[CODE BARANG]],stock!$A:$C,3,)</f>
        <v>28</v>
      </c>
      <c r="E547" s="1">
        <v>24</v>
      </c>
      <c r="F547" s="1">
        <v>36</v>
      </c>
      <c r="G547" s="4">
        <f>Table1[[#This Row],[stock]]/Table1[[#This Row],[HASIL MIN]]</f>
        <v>1.1666666666666667</v>
      </c>
      <c r="H547" s="4">
        <f>Table1[[#This Row],[stock]]/Table1[[#This Row],[HASIL MAX]]</f>
        <v>0.77777777777777779</v>
      </c>
      <c r="I547" s="4"/>
      <c r="J547" s="4"/>
    </row>
    <row r="548" spans="1:10" x14ac:dyDescent="0.25">
      <c r="A548" s="48" t="s">
        <v>1679</v>
      </c>
      <c r="B548" t="s">
        <v>1680</v>
      </c>
      <c r="C548" t="s">
        <v>442</v>
      </c>
      <c r="D548" s="3">
        <f>VLOOKUP(Table1[[#This Row],[CODE BARANG]],stock!$A:$C,3,)</f>
        <v>56</v>
      </c>
      <c r="E548" s="1">
        <v>36</v>
      </c>
      <c r="F548" s="1">
        <v>72</v>
      </c>
      <c r="G548" s="4">
        <f>Table1[[#This Row],[stock]]/Table1[[#This Row],[HASIL MIN]]</f>
        <v>1.5555555555555556</v>
      </c>
      <c r="H548" s="4">
        <f>Table1[[#This Row],[stock]]/Table1[[#This Row],[HASIL MAX]]</f>
        <v>0.77777777777777779</v>
      </c>
      <c r="I548" s="4"/>
      <c r="J548" s="4"/>
    </row>
    <row r="549" spans="1:10" x14ac:dyDescent="0.25">
      <c r="A549" s="48" t="s">
        <v>1263</v>
      </c>
      <c r="B549" t="s">
        <v>1264</v>
      </c>
      <c r="C549" t="s">
        <v>23209</v>
      </c>
      <c r="D549" s="3">
        <f>VLOOKUP(Table1[[#This Row],[CODE BARANG]],stock!$A:$C,3,)</f>
        <v>94</v>
      </c>
      <c r="E549" s="1">
        <v>72</v>
      </c>
      <c r="F549" s="1">
        <v>120</v>
      </c>
      <c r="G549" s="4">
        <f>Table1[[#This Row],[stock]]/Table1[[#This Row],[HASIL MIN]]</f>
        <v>1.3055555555555556</v>
      </c>
      <c r="H549" s="4">
        <f>Table1[[#This Row],[stock]]/Table1[[#This Row],[HASIL MAX]]</f>
        <v>0.78333333333333333</v>
      </c>
      <c r="I549" s="4"/>
      <c r="J549" s="4"/>
    </row>
    <row r="550" spans="1:10" x14ac:dyDescent="0.25">
      <c r="A550" s="48" t="s">
        <v>16233</v>
      </c>
      <c r="B550" t="s">
        <v>16234</v>
      </c>
      <c r="C550" t="s">
        <v>442</v>
      </c>
      <c r="D550" s="3">
        <f>VLOOKUP(Table1[[#This Row],[CODE BARANG]],stock!$A:$C,3,)</f>
        <v>19</v>
      </c>
      <c r="E550" s="1">
        <v>12</v>
      </c>
      <c r="F550" s="1">
        <v>24</v>
      </c>
      <c r="G550" s="4">
        <f>Table1[[#This Row],[stock]]/Table1[[#This Row],[HASIL MIN]]</f>
        <v>1.5833333333333333</v>
      </c>
      <c r="H550" s="4">
        <f>Table1[[#This Row],[stock]]/Table1[[#This Row],[HASIL MAX]]</f>
        <v>0.79166666666666663</v>
      </c>
      <c r="I550" s="4"/>
      <c r="J550" s="4"/>
    </row>
    <row r="551" spans="1:10" x14ac:dyDescent="0.25">
      <c r="A551" s="48" t="s">
        <v>13975</v>
      </c>
      <c r="B551" t="s">
        <v>13976</v>
      </c>
      <c r="C551" t="s">
        <v>23213</v>
      </c>
      <c r="D551" s="3">
        <f>VLOOKUP(Table1[[#This Row],[CODE BARANG]],stock!$A:$C,3,)</f>
        <v>19</v>
      </c>
      <c r="E551" s="1">
        <v>17</v>
      </c>
      <c r="F551" s="1">
        <v>24</v>
      </c>
      <c r="G551" s="4">
        <f>Table1[[#This Row],[stock]]/Table1[[#This Row],[HASIL MIN]]</f>
        <v>1.1176470588235294</v>
      </c>
      <c r="H551" s="4">
        <f>Table1[[#This Row],[stock]]/Table1[[#This Row],[HASIL MAX]]</f>
        <v>0.79166666666666663</v>
      </c>
      <c r="I551" s="4"/>
      <c r="J551" s="4"/>
    </row>
    <row r="552" spans="1:10" x14ac:dyDescent="0.25">
      <c r="A552" s="48" t="s">
        <v>77</v>
      </c>
      <c r="B552" t="s">
        <v>78</v>
      </c>
      <c r="C552" t="s">
        <v>23209</v>
      </c>
      <c r="D552" s="3">
        <f>VLOOKUP(Table1[[#This Row],[CODE BARANG]],stock!$A:$C,3,)</f>
        <v>19</v>
      </c>
      <c r="E552" s="1">
        <v>12</v>
      </c>
      <c r="F552" s="1">
        <v>24</v>
      </c>
      <c r="G552" s="4">
        <f>Table1[[#This Row],[stock]]/Table1[[#This Row],[HASIL MIN]]</f>
        <v>1.5833333333333333</v>
      </c>
      <c r="H552" s="4">
        <f>Table1[[#This Row],[stock]]/Table1[[#This Row],[HASIL MAX]]</f>
        <v>0.79166666666666663</v>
      </c>
      <c r="I552" s="4"/>
      <c r="J552" s="4"/>
    </row>
    <row r="553" spans="1:10" x14ac:dyDescent="0.25">
      <c r="A553" s="48" t="s">
        <v>1914</v>
      </c>
      <c r="B553" t="s">
        <v>1915</v>
      </c>
      <c r="C553" t="s">
        <v>439</v>
      </c>
      <c r="D553" s="3">
        <f>VLOOKUP(Table1[[#This Row],[CODE BARANG]],stock!$A:$C,3,)</f>
        <v>19</v>
      </c>
      <c r="E553" s="1">
        <v>12</v>
      </c>
      <c r="F553" s="1">
        <v>24</v>
      </c>
      <c r="G553" s="4">
        <f>Table1[[#This Row],[stock]]/Table1[[#This Row],[HASIL MIN]]</f>
        <v>1.5833333333333333</v>
      </c>
      <c r="H553" s="4">
        <f>Table1[[#This Row],[stock]]/Table1[[#This Row],[HASIL MAX]]</f>
        <v>0.79166666666666663</v>
      </c>
      <c r="I553" s="4"/>
      <c r="J553" s="4"/>
    </row>
    <row r="554" spans="1:10" x14ac:dyDescent="0.25">
      <c r="A554" s="48" t="s">
        <v>1129</v>
      </c>
      <c r="B554" t="s">
        <v>1130</v>
      </c>
      <c r="C554" t="s">
        <v>23208</v>
      </c>
      <c r="D554" s="3">
        <f>VLOOKUP(Table1[[#This Row],[CODE BARANG]],stock!$A:$C,3,)</f>
        <v>95</v>
      </c>
      <c r="E554" s="1">
        <v>72</v>
      </c>
      <c r="F554" s="1">
        <v>120</v>
      </c>
      <c r="G554" s="4">
        <f>Table1[[#This Row],[stock]]/Table1[[#This Row],[HASIL MIN]]</f>
        <v>1.3194444444444444</v>
      </c>
      <c r="H554" s="4">
        <f>Table1[[#This Row],[stock]]/Table1[[#This Row],[HASIL MAX]]</f>
        <v>0.79166666666666663</v>
      </c>
      <c r="I554" s="4"/>
      <c r="J554" s="4"/>
    </row>
    <row r="555" spans="1:10" x14ac:dyDescent="0.25">
      <c r="A555" s="48" t="s">
        <v>981</v>
      </c>
      <c r="B555" t="s">
        <v>982</v>
      </c>
      <c r="C555" t="s">
        <v>23209</v>
      </c>
      <c r="D555" s="3">
        <f>VLOOKUP(Table1[[#This Row],[CODE BARANG]],stock!$A:$C,3,)</f>
        <v>19</v>
      </c>
      <c r="E555" s="1">
        <v>10</v>
      </c>
      <c r="F555" s="1">
        <v>24</v>
      </c>
      <c r="G555" s="4">
        <f>Table1[[#This Row],[stock]]/Table1[[#This Row],[HASIL MIN]]</f>
        <v>1.9</v>
      </c>
      <c r="H555" s="4">
        <f>Table1[[#This Row],[stock]]/Table1[[#This Row],[HASIL MAX]]</f>
        <v>0.79166666666666663</v>
      </c>
      <c r="I555" s="4"/>
      <c r="J555" s="4"/>
    </row>
    <row r="556" spans="1:10" x14ac:dyDescent="0.25">
      <c r="A556" s="48" t="s">
        <v>1189</v>
      </c>
      <c r="B556" t="s">
        <v>1190</v>
      </c>
      <c r="C556" t="s">
        <v>23213</v>
      </c>
      <c r="D556" s="3">
        <f>VLOOKUP(Table1[[#This Row],[CODE BARANG]],stock!$A:$C,3,)</f>
        <v>19</v>
      </c>
      <c r="E556" s="1">
        <v>12</v>
      </c>
      <c r="F556" s="1">
        <v>24</v>
      </c>
      <c r="G556" s="4">
        <f>Table1[[#This Row],[stock]]/Table1[[#This Row],[HASIL MIN]]</f>
        <v>1.5833333333333333</v>
      </c>
      <c r="H556" s="4">
        <f>Table1[[#This Row],[stock]]/Table1[[#This Row],[HASIL MAX]]</f>
        <v>0.79166666666666663</v>
      </c>
      <c r="I556" s="4"/>
      <c r="J556" s="4"/>
    </row>
    <row r="557" spans="1:10" x14ac:dyDescent="0.25">
      <c r="A557" s="48" t="s">
        <v>1912</v>
      </c>
      <c r="B557" t="s">
        <v>1913</v>
      </c>
      <c r="C557" t="s">
        <v>23209</v>
      </c>
      <c r="D557" s="3">
        <f>VLOOKUP(Table1[[#This Row],[CODE BARANG]],stock!$A:$C,3,)</f>
        <v>19</v>
      </c>
      <c r="E557" s="1">
        <v>12</v>
      </c>
      <c r="F557" s="1">
        <v>24</v>
      </c>
      <c r="G557" s="4">
        <f>Table1[[#This Row],[stock]]/Table1[[#This Row],[HASIL MIN]]</f>
        <v>1.5833333333333333</v>
      </c>
      <c r="H557" s="4">
        <f>Table1[[#This Row],[stock]]/Table1[[#This Row],[HASIL MAX]]</f>
        <v>0.79166666666666663</v>
      </c>
      <c r="I557" s="4"/>
      <c r="J557" s="4"/>
    </row>
    <row r="558" spans="1:10" x14ac:dyDescent="0.25">
      <c r="A558" s="48" t="s">
        <v>1301</v>
      </c>
      <c r="B558" t="s">
        <v>1302</v>
      </c>
      <c r="C558" t="s">
        <v>23209</v>
      </c>
      <c r="D558" s="3">
        <f>VLOOKUP(Table1[[#This Row],[CODE BARANG]],stock!$A:$C,3,)</f>
        <v>38</v>
      </c>
      <c r="E558" s="1">
        <v>24</v>
      </c>
      <c r="F558" s="1">
        <v>48</v>
      </c>
      <c r="G558" s="4">
        <f>Table1[[#This Row],[stock]]/Table1[[#This Row],[HASIL MIN]]</f>
        <v>1.5833333333333333</v>
      </c>
      <c r="H558" s="4">
        <f>Table1[[#This Row],[stock]]/Table1[[#This Row],[HASIL MAX]]</f>
        <v>0.79166666666666663</v>
      </c>
      <c r="I558" s="4"/>
      <c r="J558" s="4"/>
    </row>
    <row r="559" spans="1:10" x14ac:dyDescent="0.25">
      <c r="A559" s="48" t="s">
        <v>9810</v>
      </c>
      <c r="B559" t="s">
        <v>9811</v>
      </c>
      <c r="C559" t="s">
        <v>23214</v>
      </c>
      <c r="D559" s="3">
        <f>VLOOKUP(Table1[[#This Row],[CODE BARANG]],stock!$A:$C,3,)</f>
        <v>16</v>
      </c>
      <c r="E559" s="1">
        <v>14</v>
      </c>
      <c r="F559" s="1">
        <v>20</v>
      </c>
      <c r="G559" s="4">
        <f>Table1[[#This Row],[stock]]/Table1[[#This Row],[HASIL MIN]]</f>
        <v>1.1428571428571428</v>
      </c>
      <c r="H559" s="4">
        <f>Table1[[#This Row],[stock]]/Table1[[#This Row],[HASIL MAX]]</f>
        <v>0.8</v>
      </c>
      <c r="I559" s="4"/>
      <c r="J559" s="4"/>
    </row>
    <row r="560" spans="1:10" x14ac:dyDescent="0.25">
      <c r="A560" s="48" t="s">
        <v>291</v>
      </c>
      <c r="B560" t="s">
        <v>292</v>
      </c>
      <c r="C560" t="s">
        <v>23214</v>
      </c>
      <c r="D560" s="3">
        <f>VLOOKUP(Table1[[#This Row],[CODE BARANG]],stock!$A:$C,3,)</f>
        <v>64</v>
      </c>
      <c r="E560" s="1">
        <v>40</v>
      </c>
      <c r="F560" s="1">
        <v>80</v>
      </c>
      <c r="G560" s="4">
        <f>Table1[[#This Row],[stock]]/Table1[[#This Row],[HASIL MIN]]</f>
        <v>1.6</v>
      </c>
      <c r="H560" s="4">
        <f>Table1[[#This Row],[stock]]/Table1[[#This Row],[HASIL MAX]]</f>
        <v>0.8</v>
      </c>
      <c r="I560" s="4"/>
      <c r="J560" s="4"/>
    </row>
    <row r="561" spans="1:10" x14ac:dyDescent="0.25">
      <c r="A561" s="48" t="s">
        <v>862</v>
      </c>
      <c r="B561" t="s">
        <v>863</v>
      </c>
      <c r="C561" t="s">
        <v>442</v>
      </c>
      <c r="D561" s="3">
        <f>VLOOKUP(Table1[[#This Row],[CODE BARANG]],stock!$A:$C,3,)</f>
        <v>12</v>
      </c>
      <c r="E561" s="1">
        <v>14</v>
      </c>
      <c r="F561" s="1">
        <v>15</v>
      </c>
      <c r="G561" s="4">
        <f>Table1[[#This Row],[stock]]/Table1[[#This Row],[HASIL MIN]]</f>
        <v>0.8571428571428571</v>
      </c>
      <c r="H561" s="4">
        <f>Table1[[#This Row],[stock]]/Table1[[#This Row],[HASIL MAX]]</f>
        <v>0.8</v>
      </c>
      <c r="I561" s="4"/>
      <c r="J561" s="4"/>
    </row>
    <row r="562" spans="1:10" x14ac:dyDescent="0.25">
      <c r="A562" s="48" t="s">
        <v>1019</v>
      </c>
      <c r="B562" t="s">
        <v>1020</v>
      </c>
      <c r="C562" t="s">
        <v>23210</v>
      </c>
      <c r="D562" s="3">
        <f>VLOOKUP(Table1[[#This Row],[CODE BARANG]],stock!$A:$C,3,)</f>
        <v>8</v>
      </c>
      <c r="E562" s="1">
        <v>6</v>
      </c>
      <c r="F562" s="1">
        <v>10</v>
      </c>
      <c r="G562" s="4">
        <f>Table1[[#This Row],[stock]]/Table1[[#This Row],[HASIL MIN]]</f>
        <v>1.3333333333333333</v>
      </c>
      <c r="H562" s="4">
        <f>Table1[[#This Row],[stock]]/Table1[[#This Row],[HASIL MAX]]</f>
        <v>0.8</v>
      </c>
      <c r="I562" s="4"/>
      <c r="J562" s="4"/>
    </row>
    <row r="563" spans="1:10" x14ac:dyDescent="0.25">
      <c r="A563" s="48" t="s">
        <v>1709</v>
      </c>
      <c r="B563" t="s">
        <v>1710</v>
      </c>
      <c r="C563" t="s">
        <v>23207</v>
      </c>
      <c r="D563" s="3">
        <f>VLOOKUP(Table1[[#This Row],[CODE BARANG]],stock!$A:$C,3,)</f>
        <v>8</v>
      </c>
      <c r="E563" s="1">
        <v>4</v>
      </c>
      <c r="F563" s="1">
        <v>10</v>
      </c>
      <c r="G563" s="4">
        <f>Table1[[#This Row],[stock]]/Table1[[#This Row],[HASIL MIN]]</f>
        <v>2</v>
      </c>
      <c r="H563" s="4">
        <f>Table1[[#This Row],[stock]]/Table1[[#This Row],[HASIL MAX]]</f>
        <v>0.8</v>
      </c>
      <c r="I563" s="4"/>
      <c r="J563" s="4"/>
    </row>
    <row r="564" spans="1:10" x14ac:dyDescent="0.25">
      <c r="A564" s="48" t="s">
        <v>8962</v>
      </c>
      <c r="B564" t="s">
        <v>22274</v>
      </c>
      <c r="C564" t="s">
        <v>23218</v>
      </c>
      <c r="D564" s="3">
        <f>VLOOKUP(Table1[[#This Row],[CODE BARANG]],stock!$A:$C,3,)</f>
        <v>16</v>
      </c>
      <c r="E564" s="1">
        <v>10</v>
      </c>
      <c r="F564" s="1">
        <v>20</v>
      </c>
      <c r="G564" s="4">
        <f>Table1[[#This Row],[stock]]/Table1[[#This Row],[HASIL MIN]]</f>
        <v>1.6</v>
      </c>
      <c r="H564" s="4">
        <f>Table1[[#This Row],[stock]]/Table1[[#This Row],[HASIL MAX]]</f>
        <v>0.8</v>
      </c>
      <c r="I564" s="4"/>
      <c r="J564" s="4"/>
    </row>
    <row r="565" spans="1:10" x14ac:dyDescent="0.25">
      <c r="A565" s="48" t="s">
        <v>597</v>
      </c>
      <c r="B565" t="s">
        <v>598</v>
      </c>
      <c r="C565" t="s">
        <v>23208</v>
      </c>
      <c r="D565" s="3">
        <f>VLOOKUP(Table1[[#This Row],[CODE BARANG]],stock!$A:$C,3,)</f>
        <v>161</v>
      </c>
      <c r="E565" s="1">
        <v>100</v>
      </c>
      <c r="F565" s="1">
        <v>200</v>
      </c>
      <c r="G565" s="4">
        <f>Table1[[#This Row],[stock]]/Table1[[#This Row],[HASIL MIN]]</f>
        <v>1.61</v>
      </c>
      <c r="H565" s="4">
        <f>Table1[[#This Row],[stock]]/Table1[[#This Row],[HASIL MAX]]</f>
        <v>0.80500000000000005</v>
      </c>
      <c r="I565" s="4"/>
      <c r="J565" s="4"/>
    </row>
    <row r="566" spans="1:10" x14ac:dyDescent="0.25">
      <c r="A566" s="48" t="s">
        <v>12658</v>
      </c>
      <c r="B566" t="s">
        <v>12659</v>
      </c>
      <c r="C566" t="s">
        <v>912</v>
      </c>
      <c r="D566" s="3">
        <f>VLOOKUP(Table1[[#This Row],[CODE BARANG]],stock!$A:$C,3,)</f>
        <v>29</v>
      </c>
      <c r="E566" s="1">
        <v>12</v>
      </c>
      <c r="F566" s="1">
        <v>36</v>
      </c>
      <c r="G566" s="4">
        <f>Table1[[#This Row],[stock]]/Table1[[#This Row],[HASIL MIN]]</f>
        <v>2.4166666666666665</v>
      </c>
      <c r="H566" s="4">
        <f>Table1[[#This Row],[stock]]/Table1[[#This Row],[HASIL MAX]]</f>
        <v>0.80555555555555558</v>
      </c>
      <c r="I566" s="4"/>
      <c r="J566" s="4"/>
    </row>
    <row r="567" spans="1:10" x14ac:dyDescent="0.25">
      <c r="A567" s="48" t="s">
        <v>6049</v>
      </c>
      <c r="B567" t="s">
        <v>6050</v>
      </c>
      <c r="C567" t="s">
        <v>23209</v>
      </c>
      <c r="D567" s="3">
        <f>VLOOKUP(Table1[[#This Row],[CODE BARANG]],stock!$A:$C,3,)</f>
        <v>13</v>
      </c>
      <c r="E567" s="1">
        <v>6</v>
      </c>
      <c r="F567" s="1">
        <v>16</v>
      </c>
      <c r="G567" s="4">
        <f>Table1[[#This Row],[stock]]/Table1[[#This Row],[HASIL MIN]]</f>
        <v>2.1666666666666665</v>
      </c>
      <c r="H567" s="4">
        <f>Table1[[#This Row],[stock]]/Table1[[#This Row],[HASIL MAX]]</f>
        <v>0.8125</v>
      </c>
      <c r="I567" s="4"/>
      <c r="J567" s="4"/>
    </row>
    <row r="568" spans="1:10" x14ac:dyDescent="0.25">
      <c r="A568" s="48" t="s">
        <v>1938</v>
      </c>
      <c r="B568" t="s">
        <v>1939</v>
      </c>
      <c r="C568" t="s">
        <v>23216</v>
      </c>
      <c r="D568" s="3">
        <f>VLOOKUP(Table1[[#This Row],[CODE BARANG]],stock!$A:$C,3,)</f>
        <v>13</v>
      </c>
      <c r="E568" s="1">
        <v>10</v>
      </c>
      <c r="F568" s="1">
        <v>16</v>
      </c>
      <c r="G568" s="4">
        <f>Table1[[#This Row],[stock]]/Table1[[#This Row],[HASIL MIN]]</f>
        <v>1.3</v>
      </c>
      <c r="H568" s="4">
        <f>Table1[[#This Row],[stock]]/Table1[[#This Row],[HASIL MAX]]</f>
        <v>0.8125</v>
      </c>
      <c r="I568" s="4"/>
      <c r="J568" s="4"/>
    </row>
    <row r="569" spans="1:10" x14ac:dyDescent="0.25">
      <c r="A569" s="48" t="s">
        <v>835</v>
      </c>
      <c r="B569" t="s">
        <v>836</v>
      </c>
      <c r="C569" t="s">
        <v>23211</v>
      </c>
      <c r="D569" s="3">
        <f>VLOOKUP(Table1[[#This Row],[CODE BARANG]],stock!$A:$C,3,)</f>
        <v>39</v>
      </c>
      <c r="E569" s="1">
        <v>24</v>
      </c>
      <c r="F569" s="1">
        <v>48</v>
      </c>
      <c r="G569" s="4">
        <f>Table1[[#This Row],[stock]]/Table1[[#This Row],[HASIL MIN]]</f>
        <v>1.625</v>
      </c>
      <c r="H569" s="4">
        <f>Table1[[#This Row],[stock]]/Table1[[#This Row],[HASIL MAX]]</f>
        <v>0.8125</v>
      </c>
      <c r="I569" s="4"/>
      <c r="J569" s="4"/>
    </row>
    <row r="570" spans="1:10" x14ac:dyDescent="0.25">
      <c r="A570" s="48" t="s">
        <v>1233</v>
      </c>
      <c r="B570" t="s">
        <v>1234</v>
      </c>
      <c r="C570" t="s">
        <v>23209</v>
      </c>
      <c r="D570" s="3">
        <f>VLOOKUP(Table1[[#This Row],[CODE BARANG]],stock!$A:$C,3,)</f>
        <v>39</v>
      </c>
      <c r="E570" s="1">
        <v>24</v>
      </c>
      <c r="F570" s="1">
        <v>48</v>
      </c>
      <c r="G570" s="4">
        <f>Table1[[#This Row],[stock]]/Table1[[#This Row],[HASIL MIN]]</f>
        <v>1.625</v>
      </c>
      <c r="H570" s="4">
        <f>Table1[[#This Row],[stock]]/Table1[[#This Row],[HASIL MAX]]</f>
        <v>0.8125</v>
      </c>
      <c r="I570" s="4"/>
      <c r="J570" s="4"/>
    </row>
    <row r="571" spans="1:10" x14ac:dyDescent="0.25">
      <c r="A571" s="48" t="s">
        <v>1507</v>
      </c>
      <c r="B571" t="s">
        <v>1508</v>
      </c>
      <c r="C571" t="s">
        <v>23210</v>
      </c>
      <c r="D571" s="3">
        <f>VLOOKUP(Table1[[#This Row],[CODE BARANG]],stock!$A:$C,3,)</f>
        <v>488</v>
      </c>
      <c r="E571" s="1">
        <v>360</v>
      </c>
      <c r="F571" s="1">
        <v>600</v>
      </c>
      <c r="G571" s="4">
        <f>Table1[[#This Row],[stock]]/Table1[[#This Row],[HASIL MIN]]</f>
        <v>1.3555555555555556</v>
      </c>
      <c r="H571" s="4">
        <f>Table1[[#This Row],[stock]]/Table1[[#This Row],[HASIL MAX]]</f>
        <v>0.81333333333333335</v>
      </c>
      <c r="I571" s="4"/>
      <c r="J571" s="4"/>
    </row>
    <row r="572" spans="1:10" x14ac:dyDescent="0.25">
      <c r="A572" s="48" t="s">
        <v>1055</v>
      </c>
      <c r="B572" t="s">
        <v>1056</v>
      </c>
      <c r="C572" t="s">
        <v>23209</v>
      </c>
      <c r="D572" s="3">
        <f>VLOOKUP(Table1[[#This Row],[CODE BARANG]],stock!$A:$C,3,)</f>
        <v>261</v>
      </c>
      <c r="E572" s="1">
        <v>240</v>
      </c>
      <c r="F572" s="1">
        <v>320</v>
      </c>
      <c r="G572" s="4">
        <f>Table1[[#This Row],[stock]]/Table1[[#This Row],[HASIL MIN]]</f>
        <v>1.0874999999999999</v>
      </c>
      <c r="H572" s="4">
        <f>Table1[[#This Row],[stock]]/Table1[[#This Row],[HASIL MAX]]</f>
        <v>0.81562500000000004</v>
      </c>
      <c r="I572" s="4"/>
      <c r="J572" s="4"/>
    </row>
    <row r="573" spans="1:10" x14ac:dyDescent="0.25">
      <c r="A573" s="48" t="s">
        <v>1257</v>
      </c>
      <c r="B573" t="s">
        <v>1258</v>
      </c>
      <c r="C573" t="s">
        <v>23209</v>
      </c>
      <c r="D573" s="3">
        <f>VLOOKUP(Table1[[#This Row],[CODE BARANG]],stock!$A:$C,3,)</f>
        <v>82</v>
      </c>
      <c r="E573" s="1">
        <v>60</v>
      </c>
      <c r="F573" s="1">
        <v>100</v>
      </c>
      <c r="G573" s="4">
        <f>Table1[[#This Row],[stock]]/Table1[[#This Row],[HASIL MIN]]</f>
        <v>1.3666666666666667</v>
      </c>
      <c r="H573" s="4">
        <f>Table1[[#This Row],[stock]]/Table1[[#This Row],[HASIL MAX]]</f>
        <v>0.82</v>
      </c>
      <c r="I573" s="4"/>
      <c r="J573" s="4"/>
    </row>
    <row r="574" spans="1:10" x14ac:dyDescent="0.25">
      <c r="A574" s="48" t="s">
        <v>1123</v>
      </c>
      <c r="B574" t="s">
        <v>1124</v>
      </c>
      <c r="C574" t="s">
        <v>442</v>
      </c>
      <c r="D574" s="3">
        <f>VLOOKUP(Table1[[#This Row],[CODE BARANG]],stock!$A:$C,3,)</f>
        <v>99</v>
      </c>
      <c r="E574" s="1">
        <v>60</v>
      </c>
      <c r="F574" s="1">
        <v>120</v>
      </c>
      <c r="G574" s="4">
        <f>Table1[[#This Row],[stock]]/Table1[[#This Row],[HASIL MIN]]</f>
        <v>1.65</v>
      </c>
      <c r="H574" s="4">
        <f>Table1[[#This Row],[stock]]/Table1[[#This Row],[HASIL MAX]]</f>
        <v>0.82499999999999996</v>
      </c>
      <c r="I574" s="4"/>
      <c r="J574" s="4"/>
    </row>
    <row r="575" spans="1:10" x14ac:dyDescent="0.25">
      <c r="A575" s="48" t="s">
        <v>289</v>
      </c>
      <c r="B575" t="s">
        <v>290</v>
      </c>
      <c r="C575" t="s">
        <v>23214</v>
      </c>
      <c r="D575" s="3">
        <f>VLOOKUP(Table1[[#This Row],[CODE BARANG]],stock!$A:$C,3,)</f>
        <v>33</v>
      </c>
      <c r="E575" s="1">
        <v>20</v>
      </c>
      <c r="F575" s="1">
        <v>40</v>
      </c>
      <c r="G575" s="4">
        <f>Table1[[#This Row],[stock]]/Table1[[#This Row],[HASIL MIN]]</f>
        <v>1.65</v>
      </c>
      <c r="H575" s="4">
        <f>Table1[[#This Row],[stock]]/Table1[[#This Row],[HASIL MAX]]</f>
        <v>0.82499999999999996</v>
      </c>
      <c r="I575" s="4"/>
      <c r="J575" s="4"/>
    </row>
    <row r="576" spans="1:10" x14ac:dyDescent="0.25">
      <c r="A576" s="48" t="s">
        <v>9756</v>
      </c>
      <c r="B576" t="s">
        <v>9757</v>
      </c>
      <c r="C576" t="s">
        <v>23214</v>
      </c>
      <c r="D576" s="3">
        <f>VLOOKUP(Table1[[#This Row],[CODE BARANG]],stock!$A:$C,3,)</f>
        <v>33</v>
      </c>
      <c r="E576" s="1">
        <v>20</v>
      </c>
      <c r="F576" s="1">
        <v>40</v>
      </c>
      <c r="G576" s="4">
        <f>Table1[[#This Row],[stock]]/Table1[[#This Row],[HASIL MIN]]</f>
        <v>1.65</v>
      </c>
      <c r="H576" s="4">
        <f>Table1[[#This Row],[stock]]/Table1[[#This Row],[HASIL MAX]]</f>
        <v>0.82499999999999996</v>
      </c>
      <c r="I576" s="4"/>
      <c r="J576" s="4"/>
    </row>
    <row r="577" spans="1:10" x14ac:dyDescent="0.25">
      <c r="A577" s="48" t="s">
        <v>1894</v>
      </c>
      <c r="B577" t="s">
        <v>1895</v>
      </c>
      <c r="C577" t="s">
        <v>23212</v>
      </c>
      <c r="D577" s="3">
        <f>VLOOKUP(Table1[[#This Row],[CODE BARANG]],stock!$A:$C,3,)</f>
        <v>50</v>
      </c>
      <c r="E577" s="1">
        <v>20</v>
      </c>
      <c r="F577" s="1">
        <v>60</v>
      </c>
      <c r="G577" s="4">
        <f>Table1[[#This Row],[stock]]/Table1[[#This Row],[HASIL MIN]]</f>
        <v>2.5</v>
      </c>
      <c r="H577" s="4">
        <f>Table1[[#This Row],[stock]]/Table1[[#This Row],[HASIL MAX]]</f>
        <v>0.83333333333333337</v>
      </c>
      <c r="I577" s="4"/>
      <c r="J577" s="4"/>
    </row>
    <row r="578" spans="1:10" x14ac:dyDescent="0.25">
      <c r="A578" s="48" t="s">
        <v>10586</v>
      </c>
      <c r="B578" t="s">
        <v>10587</v>
      </c>
      <c r="C578" t="s">
        <v>23207</v>
      </c>
      <c r="D578" s="3">
        <f>VLOOKUP(Table1[[#This Row],[CODE BARANG]],stock!$A:$C,3,)</f>
        <v>20</v>
      </c>
      <c r="E578" s="1">
        <v>12</v>
      </c>
      <c r="F578" s="1">
        <v>24</v>
      </c>
      <c r="G578" s="4">
        <f>Table1[[#This Row],[stock]]/Table1[[#This Row],[HASIL MIN]]</f>
        <v>1.6666666666666667</v>
      </c>
      <c r="H578" s="4">
        <f>Table1[[#This Row],[stock]]/Table1[[#This Row],[HASIL MAX]]</f>
        <v>0.83333333333333337</v>
      </c>
      <c r="I578" s="4"/>
      <c r="J578" s="4"/>
    </row>
    <row r="579" spans="1:10" x14ac:dyDescent="0.25">
      <c r="A579" s="48" t="s">
        <v>993</v>
      </c>
      <c r="B579" t="s">
        <v>994</v>
      </c>
      <c r="C579" t="s">
        <v>23211</v>
      </c>
      <c r="D579" s="3">
        <f>VLOOKUP(Table1[[#This Row],[CODE BARANG]],stock!$A:$C,3,)</f>
        <v>15</v>
      </c>
      <c r="E579" s="1">
        <v>12</v>
      </c>
      <c r="F579" s="1">
        <v>18</v>
      </c>
      <c r="G579" s="4">
        <f>Table1[[#This Row],[stock]]/Table1[[#This Row],[HASIL MIN]]</f>
        <v>1.25</v>
      </c>
      <c r="H579" s="4">
        <f>Table1[[#This Row],[stock]]/Table1[[#This Row],[HASIL MAX]]</f>
        <v>0.83333333333333337</v>
      </c>
      <c r="I579" s="4"/>
      <c r="J579" s="4"/>
    </row>
    <row r="580" spans="1:10" x14ac:dyDescent="0.25">
      <c r="A580" s="48" t="s">
        <v>1221</v>
      </c>
      <c r="B580" t="s">
        <v>1222</v>
      </c>
      <c r="C580" t="s">
        <v>23209</v>
      </c>
      <c r="D580" s="3">
        <f>VLOOKUP(Table1[[#This Row],[CODE BARANG]],stock!$A:$C,3,)</f>
        <v>20</v>
      </c>
      <c r="E580" s="1">
        <v>12</v>
      </c>
      <c r="F580" s="1">
        <v>24</v>
      </c>
      <c r="G580" s="4">
        <f>Table1[[#This Row],[stock]]/Table1[[#This Row],[HASIL MIN]]</f>
        <v>1.6666666666666667</v>
      </c>
      <c r="H580" s="4">
        <f>Table1[[#This Row],[stock]]/Table1[[#This Row],[HASIL MAX]]</f>
        <v>0.83333333333333337</v>
      </c>
      <c r="I580" s="4"/>
      <c r="J580" s="4"/>
    </row>
    <row r="581" spans="1:10" x14ac:dyDescent="0.25">
      <c r="A581" s="48" t="s">
        <v>1315</v>
      </c>
      <c r="B581" t="s">
        <v>1316</v>
      </c>
      <c r="C581" t="s">
        <v>442</v>
      </c>
      <c r="D581" s="3">
        <f>VLOOKUP(Table1[[#This Row],[CODE BARANG]],stock!$A:$C,3,)</f>
        <v>20</v>
      </c>
      <c r="E581" s="1">
        <v>12</v>
      </c>
      <c r="F581" s="1">
        <v>24</v>
      </c>
      <c r="G581" s="4">
        <f>Table1[[#This Row],[stock]]/Table1[[#This Row],[HASIL MIN]]</f>
        <v>1.6666666666666667</v>
      </c>
      <c r="H581" s="4">
        <f>Table1[[#This Row],[stock]]/Table1[[#This Row],[HASIL MAX]]</f>
        <v>0.83333333333333337</v>
      </c>
      <c r="I581" s="4"/>
      <c r="J581" s="4"/>
    </row>
    <row r="582" spans="1:10" x14ac:dyDescent="0.25">
      <c r="A582" s="48" t="s">
        <v>931</v>
      </c>
      <c r="B582" t="s">
        <v>932</v>
      </c>
      <c r="C582" t="s">
        <v>23212</v>
      </c>
      <c r="D582" s="3">
        <f>VLOOKUP(Table1[[#This Row],[CODE BARANG]],stock!$A:$C,3,)</f>
        <v>5</v>
      </c>
      <c r="E582" s="1">
        <v>4</v>
      </c>
      <c r="F582" s="1">
        <v>6</v>
      </c>
      <c r="G582" s="4">
        <f>Table1[[#This Row],[stock]]/Table1[[#This Row],[HASIL MIN]]</f>
        <v>1.25</v>
      </c>
      <c r="H582" s="4">
        <f>Table1[[#This Row],[stock]]/Table1[[#This Row],[HASIL MAX]]</f>
        <v>0.83333333333333337</v>
      </c>
      <c r="I582" s="4"/>
      <c r="J582" s="4"/>
    </row>
    <row r="583" spans="1:10" x14ac:dyDescent="0.25">
      <c r="A583" s="48" t="s">
        <v>4602</v>
      </c>
      <c r="B583" t="s">
        <v>4603</v>
      </c>
      <c r="C583" t="s">
        <v>23207</v>
      </c>
      <c r="D583" s="3">
        <f>VLOOKUP(Table1[[#This Row],[CODE BARANG]],stock!$A:$C,3,)</f>
        <v>5</v>
      </c>
      <c r="E583" s="1">
        <v>4</v>
      </c>
      <c r="F583" s="1">
        <v>6</v>
      </c>
      <c r="G583" s="4">
        <f>Table1[[#This Row],[stock]]/Table1[[#This Row],[HASIL MIN]]</f>
        <v>1.25</v>
      </c>
      <c r="H583" s="4">
        <f>Table1[[#This Row],[stock]]/Table1[[#This Row],[HASIL MAX]]</f>
        <v>0.83333333333333337</v>
      </c>
      <c r="I583" s="4"/>
      <c r="J583" s="4"/>
    </row>
    <row r="584" spans="1:10" x14ac:dyDescent="0.25">
      <c r="A584" s="48" t="s">
        <v>1575</v>
      </c>
      <c r="B584" t="s">
        <v>1576</v>
      </c>
      <c r="C584" t="s">
        <v>23211</v>
      </c>
      <c r="D584" s="3">
        <f>VLOOKUP(Table1[[#This Row],[CODE BARANG]],stock!$A:$C,3,)</f>
        <v>30</v>
      </c>
      <c r="E584" s="1">
        <v>18</v>
      </c>
      <c r="F584" s="1">
        <v>36</v>
      </c>
      <c r="G584" s="4">
        <f>Table1[[#This Row],[stock]]/Table1[[#This Row],[HASIL MIN]]</f>
        <v>1.6666666666666667</v>
      </c>
      <c r="H584" s="4">
        <f>Table1[[#This Row],[stock]]/Table1[[#This Row],[HASIL MAX]]</f>
        <v>0.83333333333333337</v>
      </c>
      <c r="I584" s="4"/>
      <c r="J584" s="4"/>
    </row>
    <row r="585" spans="1:10" x14ac:dyDescent="0.25">
      <c r="A585" s="48" t="s">
        <v>1751</v>
      </c>
      <c r="B585" t="s">
        <v>1752</v>
      </c>
      <c r="C585" t="s">
        <v>912</v>
      </c>
      <c r="D585" s="3">
        <f>VLOOKUP(Table1[[#This Row],[CODE BARANG]],stock!$A:$C,3,)</f>
        <v>240</v>
      </c>
      <c r="E585" s="1">
        <v>144</v>
      </c>
      <c r="F585" s="1">
        <v>288</v>
      </c>
      <c r="G585" s="4">
        <f>Table1[[#This Row],[stock]]/Table1[[#This Row],[HASIL MIN]]</f>
        <v>1.6666666666666667</v>
      </c>
      <c r="H585" s="4">
        <f>Table1[[#This Row],[stock]]/Table1[[#This Row],[HASIL MAX]]</f>
        <v>0.83333333333333337</v>
      </c>
      <c r="I585" s="4"/>
      <c r="J585" s="4"/>
    </row>
    <row r="586" spans="1:10" x14ac:dyDescent="0.25">
      <c r="A586" s="48" t="s">
        <v>9414</v>
      </c>
      <c r="B586" t="s">
        <v>9415</v>
      </c>
      <c r="C586" t="s">
        <v>442</v>
      </c>
      <c r="D586" s="3">
        <f>VLOOKUP(Table1[[#This Row],[CODE BARANG]],stock!$A:$C,3,)</f>
        <v>20</v>
      </c>
      <c r="E586" s="1">
        <v>8</v>
      </c>
      <c r="F586" s="1">
        <v>24</v>
      </c>
      <c r="G586" s="4">
        <f>Table1[[#This Row],[stock]]/Table1[[#This Row],[HASIL MIN]]</f>
        <v>2.5</v>
      </c>
      <c r="H586" s="4">
        <f>Table1[[#This Row],[stock]]/Table1[[#This Row],[HASIL MAX]]</f>
        <v>0.83333333333333337</v>
      </c>
      <c r="I586" s="4"/>
      <c r="J586" s="4"/>
    </row>
    <row r="587" spans="1:10" x14ac:dyDescent="0.25">
      <c r="A587" s="48" t="s">
        <v>951</v>
      </c>
      <c r="B587" t="s">
        <v>952</v>
      </c>
      <c r="C587" t="s">
        <v>23211</v>
      </c>
      <c r="D587" s="3">
        <f>VLOOKUP(Table1[[#This Row],[CODE BARANG]],stock!$A:$C,3,)</f>
        <v>20</v>
      </c>
      <c r="E587" s="1">
        <v>12</v>
      </c>
      <c r="F587" s="1">
        <v>24</v>
      </c>
      <c r="G587" s="4">
        <f>Table1[[#This Row],[stock]]/Table1[[#This Row],[HASIL MIN]]</f>
        <v>1.6666666666666667</v>
      </c>
      <c r="H587" s="4">
        <f>Table1[[#This Row],[stock]]/Table1[[#This Row],[HASIL MAX]]</f>
        <v>0.83333333333333337</v>
      </c>
      <c r="I587" s="4"/>
      <c r="J587" s="4"/>
    </row>
    <row r="588" spans="1:10" x14ac:dyDescent="0.25">
      <c r="A588" s="48" t="s">
        <v>1723</v>
      </c>
      <c r="B588" t="s">
        <v>1724</v>
      </c>
      <c r="C588" t="s">
        <v>23214</v>
      </c>
      <c r="D588" s="3">
        <f>VLOOKUP(Table1[[#This Row],[CODE BARANG]],stock!$A:$C,3,)</f>
        <v>10</v>
      </c>
      <c r="E588" s="1">
        <v>8</v>
      </c>
      <c r="F588" s="1">
        <v>12</v>
      </c>
      <c r="G588" s="4">
        <f>Table1[[#This Row],[stock]]/Table1[[#This Row],[HASIL MIN]]</f>
        <v>1.25</v>
      </c>
      <c r="H588" s="4">
        <f>Table1[[#This Row],[stock]]/Table1[[#This Row],[HASIL MAX]]</f>
        <v>0.83333333333333337</v>
      </c>
      <c r="I588" s="4"/>
      <c r="J588" s="4"/>
    </row>
    <row r="589" spans="1:10" x14ac:dyDescent="0.25">
      <c r="A589" s="48" t="s">
        <v>9291</v>
      </c>
      <c r="B589" t="s">
        <v>9292</v>
      </c>
      <c r="C589" t="s">
        <v>23213</v>
      </c>
      <c r="D589" s="3">
        <f>VLOOKUP(Table1[[#This Row],[CODE BARANG]],stock!$A:$C,3,)</f>
        <v>10</v>
      </c>
      <c r="E589" s="1">
        <v>7</v>
      </c>
      <c r="F589" s="1">
        <v>12</v>
      </c>
      <c r="G589" s="4">
        <f>Table1[[#This Row],[stock]]/Table1[[#This Row],[HASIL MIN]]</f>
        <v>1.4285714285714286</v>
      </c>
      <c r="H589" s="4">
        <f>Table1[[#This Row],[stock]]/Table1[[#This Row],[HASIL MAX]]</f>
        <v>0.83333333333333337</v>
      </c>
      <c r="I589" s="4"/>
      <c r="J589" s="4"/>
    </row>
    <row r="590" spans="1:10" x14ac:dyDescent="0.25">
      <c r="A590" s="48" t="s">
        <v>785</v>
      </c>
      <c r="B590" t="s">
        <v>786</v>
      </c>
      <c r="C590" t="s">
        <v>912</v>
      </c>
      <c r="D590" s="3">
        <f>VLOOKUP(Table1[[#This Row],[CODE BARANG]],stock!$A:$C,3,)</f>
        <v>15</v>
      </c>
      <c r="E590" s="1">
        <v>12</v>
      </c>
      <c r="F590" s="1">
        <v>18</v>
      </c>
      <c r="G590" s="4">
        <f>Table1[[#This Row],[stock]]/Table1[[#This Row],[HASIL MIN]]</f>
        <v>1.25</v>
      </c>
      <c r="H590" s="4">
        <f>Table1[[#This Row],[stock]]/Table1[[#This Row],[HASIL MAX]]</f>
        <v>0.83333333333333337</v>
      </c>
      <c r="I590" s="4"/>
      <c r="J590" s="4"/>
    </row>
    <row r="591" spans="1:10" x14ac:dyDescent="0.25">
      <c r="A591" s="48" t="s">
        <v>545</v>
      </c>
      <c r="B591" t="s">
        <v>546</v>
      </c>
      <c r="C591" t="s">
        <v>23209</v>
      </c>
      <c r="D591" s="3">
        <f>VLOOKUP(Table1[[#This Row],[CODE BARANG]],stock!$A:$C,3,)</f>
        <v>15</v>
      </c>
      <c r="E591" s="1">
        <v>12</v>
      </c>
      <c r="F591" s="1">
        <v>18</v>
      </c>
      <c r="G591" s="4">
        <f>Table1[[#This Row],[stock]]/Table1[[#This Row],[HASIL MIN]]</f>
        <v>1.25</v>
      </c>
      <c r="H591" s="4">
        <f>Table1[[#This Row],[stock]]/Table1[[#This Row],[HASIL MAX]]</f>
        <v>0.83333333333333337</v>
      </c>
      <c r="I591" s="4"/>
      <c r="J591" s="4"/>
    </row>
    <row r="592" spans="1:10" x14ac:dyDescent="0.25">
      <c r="A592" s="48" t="s">
        <v>17819</v>
      </c>
      <c r="B592" t="s">
        <v>17820</v>
      </c>
      <c r="C592" t="s">
        <v>23207</v>
      </c>
      <c r="D592" s="3">
        <f>VLOOKUP(Table1[[#This Row],[CODE BARANG]],stock!$A:$C,3,)</f>
        <v>5</v>
      </c>
      <c r="E592" s="1">
        <v>4</v>
      </c>
      <c r="F592" s="1">
        <v>6</v>
      </c>
      <c r="G592" s="4">
        <f>Table1[[#This Row],[stock]]/Table1[[#This Row],[HASIL MIN]]</f>
        <v>1.25</v>
      </c>
      <c r="H592" s="4">
        <f>Table1[[#This Row],[stock]]/Table1[[#This Row],[HASIL MAX]]</f>
        <v>0.83333333333333337</v>
      </c>
      <c r="I592" s="4"/>
      <c r="J592" s="4"/>
    </row>
    <row r="593" spans="1:10" x14ac:dyDescent="0.25">
      <c r="A593" s="48" t="s">
        <v>1173</v>
      </c>
      <c r="B593" t="s">
        <v>1174</v>
      </c>
      <c r="C593" t="s">
        <v>23209</v>
      </c>
      <c r="D593" s="3">
        <f>VLOOKUP(Table1[[#This Row],[CODE BARANG]],stock!$A:$C,3,)</f>
        <v>5</v>
      </c>
      <c r="E593" s="1">
        <v>4</v>
      </c>
      <c r="F593" s="1">
        <v>6</v>
      </c>
      <c r="G593" s="4">
        <f>Table1[[#This Row],[stock]]/Table1[[#This Row],[HASIL MIN]]</f>
        <v>1.25</v>
      </c>
      <c r="H593" s="4">
        <f>Table1[[#This Row],[stock]]/Table1[[#This Row],[HASIL MAX]]</f>
        <v>0.83333333333333337</v>
      </c>
      <c r="I593" s="4"/>
      <c r="J593" s="4"/>
    </row>
    <row r="594" spans="1:10" x14ac:dyDescent="0.25">
      <c r="A594" s="48" t="s">
        <v>773</v>
      </c>
      <c r="B594" t="s">
        <v>774</v>
      </c>
      <c r="C594" t="s">
        <v>23208</v>
      </c>
      <c r="D594" s="3">
        <f>VLOOKUP(Table1[[#This Row],[CODE BARANG]],stock!$A:$C,3,)</f>
        <v>10</v>
      </c>
      <c r="E594" s="1">
        <v>6</v>
      </c>
      <c r="F594" s="1">
        <v>12</v>
      </c>
      <c r="G594" s="4">
        <f>Table1[[#This Row],[stock]]/Table1[[#This Row],[HASIL MIN]]</f>
        <v>1.6666666666666667</v>
      </c>
      <c r="H594" s="4">
        <f>Table1[[#This Row],[stock]]/Table1[[#This Row],[HASIL MAX]]</f>
        <v>0.83333333333333337</v>
      </c>
      <c r="I594" s="4"/>
      <c r="J594" s="4"/>
    </row>
    <row r="595" spans="1:10" x14ac:dyDescent="0.25">
      <c r="A595" s="48" t="s">
        <v>1557</v>
      </c>
      <c r="B595" t="s">
        <v>1558</v>
      </c>
      <c r="C595" t="s">
        <v>23209</v>
      </c>
      <c r="D595" s="3">
        <f>VLOOKUP(Table1[[#This Row],[CODE BARANG]],stock!$A:$C,3,)</f>
        <v>40</v>
      </c>
      <c r="E595" s="1">
        <v>24</v>
      </c>
      <c r="F595" s="1">
        <v>48</v>
      </c>
      <c r="G595" s="4">
        <f>Table1[[#This Row],[stock]]/Table1[[#This Row],[HASIL MIN]]</f>
        <v>1.6666666666666667</v>
      </c>
      <c r="H595" s="4">
        <f>Table1[[#This Row],[stock]]/Table1[[#This Row],[HASIL MAX]]</f>
        <v>0.83333333333333337</v>
      </c>
      <c r="I595" s="4"/>
      <c r="J595" s="4"/>
    </row>
    <row r="596" spans="1:10" x14ac:dyDescent="0.25">
      <c r="A596" s="48" t="s">
        <v>16160</v>
      </c>
      <c r="B596" t="s">
        <v>16161</v>
      </c>
      <c r="C596" t="s">
        <v>442</v>
      </c>
      <c r="D596" s="3">
        <f>VLOOKUP(Table1[[#This Row],[CODE BARANG]],stock!$A:$C,3,)</f>
        <v>40</v>
      </c>
      <c r="E596" s="1">
        <v>24</v>
      </c>
      <c r="F596" s="1">
        <v>48</v>
      </c>
      <c r="G596" s="4">
        <f>Table1[[#This Row],[stock]]/Table1[[#This Row],[HASIL MIN]]</f>
        <v>1.6666666666666667</v>
      </c>
      <c r="H596" s="4">
        <f>Table1[[#This Row],[stock]]/Table1[[#This Row],[HASIL MAX]]</f>
        <v>0.83333333333333337</v>
      </c>
      <c r="I596" s="4"/>
      <c r="J596" s="4"/>
    </row>
    <row r="597" spans="1:10" x14ac:dyDescent="0.25">
      <c r="A597" s="48" t="s">
        <v>1827</v>
      </c>
      <c r="B597" t="s">
        <v>1828</v>
      </c>
      <c r="C597" t="s">
        <v>23216</v>
      </c>
      <c r="D597" s="3">
        <f>VLOOKUP(Table1[[#This Row],[CODE BARANG]],stock!$A:$C,3,)</f>
        <v>10</v>
      </c>
      <c r="E597" s="1">
        <v>6</v>
      </c>
      <c r="F597" s="1">
        <v>12</v>
      </c>
      <c r="G597" s="4">
        <f>Table1[[#This Row],[stock]]/Table1[[#This Row],[HASIL MIN]]</f>
        <v>1.6666666666666667</v>
      </c>
      <c r="H597" s="4">
        <f>Table1[[#This Row],[stock]]/Table1[[#This Row],[HASIL MAX]]</f>
        <v>0.83333333333333337</v>
      </c>
      <c r="I597" s="4"/>
      <c r="J597" s="4"/>
    </row>
    <row r="598" spans="1:10" x14ac:dyDescent="0.25">
      <c r="A598" s="48" t="s">
        <v>1793</v>
      </c>
      <c r="B598" t="s">
        <v>1794</v>
      </c>
      <c r="C598" t="s">
        <v>23215</v>
      </c>
      <c r="D598" s="3">
        <f>VLOOKUP(Table1[[#This Row],[CODE BARANG]],stock!$A:$C,3,)</f>
        <v>20</v>
      </c>
      <c r="E598" s="1">
        <v>12</v>
      </c>
      <c r="F598" s="1">
        <v>24</v>
      </c>
      <c r="G598" s="4">
        <f>Table1[[#This Row],[stock]]/Table1[[#This Row],[HASIL MIN]]</f>
        <v>1.6666666666666667</v>
      </c>
      <c r="H598" s="4">
        <f>Table1[[#This Row],[stock]]/Table1[[#This Row],[HASIL MAX]]</f>
        <v>0.83333333333333337</v>
      </c>
      <c r="I598" s="4"/>
      <c r="J598" s="4"/>
    </row>
    <row r="599" spans="1:10" x14ac:dyDescent="0.25">
      <c r="A599" s="48" t="s">
        <v>571</v>
      </c>
      <c r="B599" t="s">
        <v>572</v>
      </c>
      <c r="C599" t="s">
        <v>912</v>
      </c>
      <c r="D599" s="3">
        <f>VLOOKUP(Table1[[#This Row],[CODE BARANG]],stock!$A:$C,3,)</f>
        <v>201</v>
      </c>
      <c r="E599" s="1">
        <v>144</v>
      </c>
      <c r="F599" s="1">
        <v>240</v>
      </c>
      <c r="G599" s="4">
        <f>Table1[[#This Row],[stock]]/Table1[[#This Row],[HASIL MIN]]</f>
        <v>1.3958333333333333</v>
      </c>
      <c r="H599" s="4">
        <f>Table1[[#This Row],[stock]]/Table1[[#This Row],[HASIL MAX]]</f>
        <v>0.83750000000000002</v>
      </c>
      <c r="I599" s="4"/>
      <c r="J599" s="4"/>
    </row>
    <row r="600" spans="1:10" x14ac:dyDescent="0.25">
      <c r="A600" s="48" t="s">
        <v>957</v>
      </c>
      <c r="B600" t="s">
        <v>958</v>
      </c>
      <c r="C600" t="s">
        <v>442</v>
      </c>
      <c r="D600" s="3">
        <f>VLOOKUP(Table1[[#This Row],[CODE BARANG]],stock!$A:$C,3,)</f>
        <v>21</v>
      </c>
      <c r="E600" s="1">
        <v>20</v>
      </c>
      <c r="F600" s="1">
        <v>25</v>
      </c>
      <c r="G600" s="4">
        <f>Table1[[#This Row],[stock]]/Table1[[#This Row],[HASIL MIN]]</f>
        <v>1.05</v>
      </c>
      <c r="H600" s="4">
        <f>Table1[[#This Row],[stock]]/Table1[[#This Row],[HASIL MAX]]</f>
        <v>0.84</v>
      </c>
      <c r="I600" s="4"/>
      <c r="J600" s="4"/>
    </row>
    <row r="601" spans="1:10" x14ac:dyDescent="0.25">
      <c r="A601" s="48" t="s">
        <v>1103</v>
      </c>
      <c r="B601" t="s">
        <v>1104</v>
      </c>
      <c r="C601" t="s">
        <v>23217</v>
      </c>
      <c r="D601" s="3">
        <f>VLOOKUP(Table1[[#This Row],[CODE BARANG]],stock!$A:$C,3,)</f>
        <v>121</v>
      </c>
      <c r="E601" s="1">
        <v>72</v>
      </c>
      <c r="F601" s="1">
        <v>144</v>
      </c>
      <c r="G601" s="4">
        <f>Table1[[#This Row],[stock]]/Table1[[#This Row],[HASIL MIN]]</f>
        <v>1.6805555555555556</v>
      </c>
      <c r="H601" s="4">
        <f>Table1[[#This Row],[stock]]/Table1[[#This Row],[HASIL MAX]]</f>
        <v>0.84027777777777779</v>
      </c>
      <c r="I601" s="4"/>
      <c r="J601" s="4"/>
    </row>
    <row r="602" spans="1:10" x14ac:dyDescent="0.25">
      <c r="A602" s="48" t="s">
        <v>739</v>
      </c>
      <c r="B602" t="s">
        <v>740</v>
      </c>
      <c r="C602" t="s">
        <v>23217</v>
      </c>
      <c r="D602" s="3">
        <f>VLOOKUP(Table1[[#This Row],[CODE BARANG]],stock!$A:$C,3,)</f>
        <v>243</v>
      </c>
      <c r="E602" s="1">
        <v>144</v>
      </c>
      <c r="F602" s="1">
        <v>288</v>
      </c>
      <c r="G602" s="4">
        <f>Table1[[#This Row],[stock]]/Table1[[#This Row],[HASIL MIN]]</f>
        <v>1.6875</v>
      </c>
      <c r="H602" s="4">
        <f>Table1[[#This Row],[stock]]/Table1[[#This Row],[HASIL MAX]]</f>
        <v>0.84375</v>
      </c>
      <c r="I602" s="4"/>
      <c r="J602" s="4"/>
    </row>
    <row r="603" spans="1:10" x14ac:dyDescent="0.25">
      <c r="A603" s="48" t="s">
        <v>1317</v>
      </c>
      <c r="B603" t="s">
        <v>1318</v>
      </c>
      <c r="C603" t="s">
        <v>442</v>
      </c>
      <c r="D603" s="3">
        <f>VLOOKUP(Table1[[#This Row],[CODE BARANG]],stock!$A:$C,3,)</f>
        <v>51</v>
      </c>
      <c r="E603" s="1">
        <v>30</v>
      </c>
      <c r="F603" s="1">
        <v>60</v>
      </c>
      <c r="G603" s="4">
        <f>Table1[[#This Row],[stock]]/Table1[[#This Row],[HASIL MIN]]</f>
        <v>1.7</v>
      </c>
      <c r="H603" s="4">
        <f>Table1[[#This Row],[stock]]/Table1[[#This Row],[HASIL MAX]]</f>
        <v>0.85</v>
      </c>
      <c r="I603" s="4"/>
      <c r="J603" s="4"/>
    </row>
    <row r="604" spans="1:10" x14ac:dyDescent="0.25">
      <c r="A604" s="48" t="s">
        <v>69</v>
      </c>
      <c r="B604" t="s">
        <v>70</v>
      </c>
      <c r="C604" t="s">
        <v>23214</v>
      </c>
      <c r="D604" s="3">
        <f>VLOOKUP(Table1[[#This Row],[CODE BARANG]],stock!$A:$C,3,)</f>
        <v>51</v>
      </c>
      <c r="E604" s="1">
        <v>40</v>
      </c>
      <c r="F604" s="1">
        <v>60</v>
      </c>
      <c r="G604" s="4">
        <f>Table1[[#This Row],[stock]]/Table1[[#This Row],[HASIL MIN]]</f>
        <v>1.2749999999999999</v>
      </c>
      <c r="H604" s="4">
        <f>Table1[[#This Row],[stock]]/Table1[[#This Row],[HASIL MAX]]</f>
        <v>0.85</v>
      </c>
      <c r="I604" s="4"/>
      <c r="J604" s="4"/>
    </row>
    <row r="605" spans="1:10" x14ac:dyDescent="0.25">
      <c r="A605" s="48" t="s">
        <v>979</v>
      </c>
      <c r="B605" t="s">
        <v>980</v>
      </c>
      <c r="C605" t="s">
        <v>23209</v>
      </c>
      <c r="D605" s="3">
        <f>VLOOKUP(Table1[[#This Row],[CODE BARANG]],stock!$A:$C,3,)</f>
        <v>51</v>
      </c>
      <c r="E605" s="1">
        <v>24</v>
      </c>
      <c r="F605" s="1">
        <v>60</v>
      </c>
      <c r="G605" s="4">
        <f>Table1[[#This Row],[stock]]/Table1[[#This Row],[HASIL MIN]]</f>
        <v>2.125</v>
      </c>
      <c r="H605" s="4">
        <f>Table1[[#This Row],[stock]]/Table1[[#This Row],[HASIL MAX]]</f>
        <v>0.85</v>
      </c>
      <c r="I605" s="4"/>
      <c r="J605" s="4"/>
    </row>
    <row r="606" spans="1:10" x14ac:dyDescent="0.25">
      <c r="A606" s="48" t="s">
        <v>593</v>
      </c>
      <c r="B606" t="s">
        <v>594</v>
      </c>
      <c r="C606" t="s">
        <v>23214</v>
      </c>
      <c r="D606" s="3">
        <f>VLOOKUP(Table1[[#This Row],[CODE BARANG]],stock!$A:$C,3,)</f>
        <v>51</v>
      </c>
      <c r="E606" s="1">
        <v>40</v>
      </c>
      <c r="F606" s="1">
        <v>60</v>
      </c>
      <c r="G606" s="4">
        <f>Table1[[#This Row],[stock]]/Table1[[#This Row],[HASIL MIN]]</f>
        <v>1.2749999999999999</v>
      </c>
      <c r="H606" s="4">
        <f>Table1[[#This Row],[stock]]/Table1[[#This Row],[HASIL MAX]]</f>
        <v>0.85</v>
      </c>
      <c r="I606" s="4"/>
      <c r="J606" s="4"/>
    </row>
    <row r="607" spans="1:10" x14ac:dyDescent="0.25">
      <c r="A607" s="48" t="s">
        <v>1731</v>
      </c>
      <c r="B607" t="s">
        <v>1732</v>
      </c>
      <c r="C607" t="s">
        <v>23212</v>
      </c>
      <c r="D607" s="3">
        <f>VLOOKUP(Table1[[#This Row],[CODE BARANG]],stock!$A:$C,3,)</f>
        <v>34</v>
      </c>
      <c r="E607" s="1">
        <v>20</v>
      </c>
      <c r="F607" s="1">
        <v>40</v>
      </c>
      <c r="G607" s="4">
        <f>Table1[[#This Row],[stock]]/Table1[[#This Row],[HASIL MIN]]</f>
        <v>1.7</v>
      </c>
      <c r="H607" s="4">
        <f>Table1[[#This Row],[stock]]/Table1[[#This Row],[HASIL MAX]]</f>
        <v>0.85</v>
      </c>
      <c r="I607" s="4"/>
      <c r="J607" s="4"/>
    </row>
    <row r="608" spans="1:10" x14ac:dyDescent="0.25">
      <c r="A608" s="48" t="s">
        <v>9309</v>
      </c>
      <c r="B608" t="s">
        <v>9310</v>
      </c>
      <c r="C608" t="s">
        <v>439</v>
      </c>
      <c r="D608" s="3">
        <f>VLOOKUP(Table1[[#This Row],[CODE BARANG]],stock!$A:$C,3,)</f>
        <v>51</v>
      </c>
      <c r="E608" s="1">
        <v>24</v>
      </c>
      <c r="F608" s="1">
        <v>60</v>
      </c>
      <c r="G608" s="4">
        <f>Table1[[#This Row],[stock]]/Table1[[#This Row],[HASIL MIN]]</f>
        <v>2.125</v>
      </c>
      <c r="H608" s="4">
        <f>Table1[[#This Row],[stock]]/Table1[[#This Row],[HASIL MAX]]</f>
        <v>0.85</v>
      </c>
      <c r="I608" s="4"/>
      <c r="J608" s="4"/>
    </row>
    <row r="609" spans="1:10" x14ac:dyDescent="0.25">
      <c r="A609" s="48" t="s">
        <v>499</v>
      </c>
      <c r="B609" t="s">
        <v>500</v>
      </c>
      <c r="C609" t="s">
        <v>23214</v>
      </c>
      <c r="D609" s="3">
        <f>VLOOKUP(Table1[[#This Row],[CODE BARANG]],stock!$A:$C,3,)</f>
        <v>41</v>
      </c>
      <c r="E609" s="1">
        <v>24</v>
      </c>
      <c r="F609" s="1">
        <v>48</v>
      </c>
      <c r="G609" s="4">
        <f>Table1[[#This Row],[stock]]/Table1[[#This Row],[HASIL MIN]]</f>
        <v>1.7083333333333333</v>
      </c>
      <c r="H609" s="4">
        <f>Table1[[#This Row],[stock]]/Table1[[#This Row],[HASIL MAX]]</f>
        <v>0.85416666666666663</v>
      </c>
      <c r="I609" s="4"/>
      <c r="J609" s="4"/>
    </row>
    <row r="610" spans="1:10" x14ac:dyDescent="0.25">
      <c r="A610" s="48" t="s">
        <v>565</v>
      </c>
      <c r="B610" t="s">
        <v>566</v>
      </c>
      <c r="C610" t="s">
        <v>912</v>
      </c>
      <c r="D610" s="3">
        <f>VLOOKUP(Table1[[#This Row],[CODE BARANG]],stock!$A:$C,3,)</f>
        <v>103</v>
      </c>
      <c r="E610" s="1">
        <v>60</v>
      </c>
      <c r="F610" s="1">
        <v>120</v>
      </c>
      <c r="G610" s="4">
        <f>Table1[[#This Row],[stock]]/Table1[[#This Row],[HASIL MIN]]</f>
        <v>1.7166666666666666</v>
      </c>
      <c r="H610" s="4">
        <f>Table1[[#This Row],[stock]]/Table1[[#This Row],[HASIL MAX]]</f>
        <v>0.85833333333333328</v>
      </c>
      <c r="I610" s="4"/>
      <c r="J610" s="4"/>
    </row>
    <row r="611" spans="1:10" x14ac:dyDescent="0.25">
      <c r="A611" s="48" t="s">
        <v>886</v>
      </c>
      <c r="B611" t="s">
        <v>887</v>
      </c>
      <c r="C611" t="s">
        <v>23210</v>
      </c>
      <c r="D611" s="3">
        <f>VLOOKUP(Table1[[#This Row],[CODE BARANG]],stock!$A:$C,3,)</f>
        <v>415</v>
      </c>
      <c r="E611" s="1">
        <v>120</v>
      </c>
      <c r="F611" s="1">
        <v>480</v>
      </c>
      <c r="G611" s="4">
        <f>Table1[[#This Row],[stock]]/Table1[[#This Row],[HASIL MIN]]</f>
        <v>3.4583333333333335</v>
      </c>
      <c r="H611" s="4">
        <f>Table1[[#This Row],[stock]]/Table1[[#This Row],[HASIL MAX]]</f>
        <v>0.86458333333333337</v>
      </c>
      <c r="I611" s="4"/>
      <c r="J611" s="4"/>
    </row>
    <row r="612" spans="1:10" x14ac:dyDescent="0.25">
      <c r="A612" s="48" t="s">
        <v>819</v>
      </c>
      <c r="B612" t="s">
        <v>820</v>
      </c>
      <c r="C612" t="s">
        <v>23211</v>
      </c>
      <c r="D612" s="3">
        <f>VLOOKUP(Table1[[#This Row],[CODE BARANG]],stock!$A:$C,3,)</f>
        <v>26</v>
      </c>
      <c r="E612" s="1">
        <v>15</v>
      </c>
      <c r="F612" s="1">
        <v>30</v>
      </c>
      <c r="G612" s="4">
        <f>Table1[[#This Row],[stock]]/Table1[[#This Row],[HASIL MIN]]</f>
        <v>1.7333333333333334</v>
      </c>
      <c r="H612" s="4">
        <f>Table1[[#This Row],[stock]]/Table1[[#This Row],[HASIL MAX]]</f>
        <v>0.8666666666666667</v>
      </c>
      <c r="I612" s="4"/>
      <c r="J612" s="4"/>
    </row>
    <row r="613" spans="1:10" x14ac:dyDescent="0.25">
      <c r="A613" s="48" t="s">
        <v>1571</v>
      </c>
      <c r="B613" t="s">
        <v>1572</v>
      </c>
      <c r="C613" t="s">
        <v>23214</v>
      </c>
      <c r="D613" s="3">
        <f>VLOOKUP(Table1[[#This Row],[CODE BARANG]],stock!$A:$C,3,)</f>
        <v>52</v>
      </c>
      <c r="E613" s="1">
        <v>24</v>
      </c>
      <c r="F613" s="1">
        <v>60</v>
      </c>
      <c r="G613" s="4">
        <f>Table1[[#This Row],[stock]]/Table1[[#This Row],[HASIL MIN]]</f>
        <v>2.1666666666666665</v>
      </c>
      <c r="H613" s="4">
        <f>Table1[[#This Row],[stock]]/Table1[[#This Row],[HASIL MAX]]</f>
        <v>0.8666666666666667</v>
      </c>
      <c r="I613" s="4"/>
      <c r="J613" s="4"/>
    </row>
    <row r="614" spans="1:10" x14ac:dyDescent="0.25">
      <c r="A614" s="48" t="s">
        <v>1217</v>
      </c>
      <c r="B614" t="s">
        <v>1218</v>
      </c>
      <c r="C614" t="s">
        <v>23210</v>
      </c>
      <c r="D614" s="3">
        <f>VLOOKUP(Table1[[#This Row],[CODE BARANG]],stock!$A:$C,3,)</f>
        <v>7</v>
      </c>
      <c r="E614" s="1">
        <v>5</v>
      </c>
      <c r="F614" s="1">
        <v>8</v>
      </c>
      <c r="G614" s="4">
        <f>Table1[[#This Row],[stock]]/Table1[[#This Row],[HASIL MIN]]</f>
        <v>1.4</v>
      </c>
      <c r="H614" s="4">
        <f>Table1[[#This Row],[stock]]/Table1[[#This Row],[HASIL MAX]]</f>
        <v>0.875</v>
      </c>
      <c r="I614" s="4"/>
      <c r="J614" s="4"/>
    </row>
    <row r="615" spans="1:10" x14ac:dyDescent="0.25">
      <c r="A615" s="48" t="s">
        <v>1149</v>
      </c>
      <c r="B615" t="s">
        <v>1150</v>
      </c>
      <c r="C615" t="s">
        <v>23214</v>
      </c>
      <c r="D615" s="3">
        <f>VLOOKUP(Table1[[#This Row],[CODE BARANG]],stock!$A:$C,3,)</f>
        <v>14</v>
      </c>
      <c r="E615" s="1">
        <v>12</v>
      </c>
      <c r="F615" s="1">
        <v>16</v>
      </c>
      <c r="G615" s="4">
        <f>Table1[[#This Row],[stock]]/Table1[[#This Row],[HASIL MIN]]</f>
        <v>1.1666666666666667</v>
      </c>
      <c r="H615" s="4">
        <f>Table1[[#This Row],[stock]]/Table1[[#This Row],[HASIL MAX]]</f>
        <v>0.875</v>
      </c>
      <c r="I615" s="4"/>
      <c r="J615" s="4"/>
    </row>
    <row r="616" spans="1:10" x14ac:dyDescent="0.25">
      <c r="A616" s="48" t="s">
        <v>846</v>
      </c>
      <c r="B616" t="s">
        <v>847</v>
      </c>
      <c r="C616" t="s">
        <v>23216</v>
      </c>
      <c r="D616" s="3">
        <f>VLOOKUP(Table1[[#This Row],[CODE BARANG]],stock!$A:$C,3,)</f>
        <v>21</v>
      </c>
      <c r="E616" s="1">
        <v>12</v>
      </c>
      <c r="F616" s="1">
        <v>24</v>
      </c>
      <c r="G616" s="4">
        <f>Table1[[#This Row],[stock]]/Table1[[#This Row],[HASIL MIN]]</f>
        <v>1.75</v>
      </c>
      <c r="H616" s="4">
        <f>Table1[[#This Row],[stock]]/Table1[[#This Row],[HASIL MAX]]</f>
        <v>0.875</v>
      </c>
      <c r="I616" s="4"/>
      <c r="J616" s="4"/>
    </row>
    <row r="617" spans="1:10" x14ac:dyDescent="0.25">
      <c r="A617" s="48" t="s">
        <v>685</v>
      </c>
      <c r="B617" t="s">
        <v>686</v>
      </c>
      <c r="C617" t="s">
        <v>23217</v>
      </c>
      <c r="D617" s="3">
        <f>VLOOKUP(Table1[[#This Row],[CODE BARANG]],stock!$A:$C,3,)</f>
        <v>127</v>
      </c>
      <c r="E617" s="1">
        <v>72</v>
      </c>
      <c r="F617" s="1">
        <v>144</v>
      </c>
      <c r="G617" s="4">
        <f>Table1[[#This Row],[stock]]/Table1[[#This Row],[HASIL MIN]]</f>
        <v>1.7638888888888888</v>
      </c>
      <c r="H617" s="4">
        <f>Table1[[#This Row],[stock]]/Table1[[#This Row],[HASIL MAX]]</f>
        <v>0.88194444444444442</v>
      </c>
      <c r="I617" s="4"/>
      <c r="J617" s="4"/>
    </row>
    <row r="618" spans="1:10" x14ac:dyDescent="0.25">
      <c r="A618" s="48" t="s">
        <v>1976</v>
      </c>
      <c r="B618" t="s">
        <v>1977</v>
      </c>
      <c r="C618" t="s">
        <v>23210</v>
      </c>
      <c r="D618" s="3">
        <f>VLOOKUP(Table1[[#This Row],[CODE BARANG]],stock!$A:$C,3,)</f>
        <v>16</v>
      </c>
      <c r="E618" s="1">
        <v>12</v>
      </c>
      <c r="F618" s="1">
        <v>18</v>
      </c>
      <c r="G618" s="4">
        <f>Table1[[#This Row],[stock]]/Table1[[#This Row],[HASIL MIN]]</f>
        <v>1.3333333333333333</v>
      </c>
      <c r="H618" s="4">
        <f>Table1[[#This Row],[stock]]/Table1[[#This Row],[HASIL MAX]]</f>
        <v>0.88888888888888884</v>
      </c>
      <c r="I618" s="4"/>
      <c r="J618" s="4"/>
    </row>
    <row r="619" spans="1:10" x14ac:dyDescent="0.25">
      <c r="A619" s="48" t="s">
        <v>3048</v>
      </c>
      <c r="B619" t="s">
        <v>3049</v>
      </c>
      <c r="C619" t="s">
        <v>23214</v>
      </c>
      <c r="D619" s="3">
        <f>VLOOKUP(Table1[[#This Row],[CODE BARANG]],stock!$A:$C,3,)</f>
        <v>8</v>
      </c>
      <c r="E619" s="1">
        <v>6</v>
      </c>
      <c r="F619" s="1">
        <v>9</v>
      </c>
      <c r="G619" s="4">
        <f>Table1[[#This Row],[stock]]/Table1[[#This Row],[HASIL MIN]]</f>
        <v>1.3333333333333333</v>
      </c>
      <c r="H619" s="4">
        <f>Table1[[#This Row],[stock]]/Table1[[#This Row],[HASIL MAX]]</f>
        <v>0.88888888888888884</v>
      </c>
      <c r="I619" s="4"/>
      <c r="J619" s="4"/>
    </row>
    <row r="620" spans="1:10" x14ac:dyDescent="0.25">
      <c r="A620" s="48" t="s">
        <v>747</v>
      </c>
      <c r="B620" t="s">
        <v>748</v>
      </c>
      <c r="C620" t="s">
        <v>23211</v>
      </c>
      <c r="D620" s="3">
        <f>VLOOKUP(Table1[[#This Row],[CODE BARANG]],stock!$A:$C,3,)</f>
        <v>40</v>
      </c>
      <c r="E620" s="1">
        <v>15</v>
      </c>
      <c r="F620" s="1">
        <v>45</v>
      </c>
      <c r="G620" s="4">
        <f>Table1[[#This Row],[stock]]/Table1[[#This Row],[HASIL MIN]]</f>
        <v>2.6666666666666665</v>
      </c>
      <c r="H620" s="4">
        <f>Table1[[#This Row],[stock]]/Table1[[#This Row],[HASIL MAX]]</f>
        <v>0.88888888888888884</v>
      </c>
      <c r="I620" s="4"/>
      <c r="J620" s="4"/>
    </row>
    <row r="621" spans="1:10" x14ac:dyDescent="0.25">
      <c r="A621" s="48" t="s">
        <v>1063</v>
      </c>
      <c r="B621" t="s">
        <v>1064</v>
      </c>
      <c r="C621" t="s">
        <v>23207</v>
      </c>
      <c r="D621" s="3">
        <f>VLOOKUP(Table1[[#This Row],[CODE BARANG]],stock!$A:$C,3,)</f>
        <v>161</v>
      </c>
      <c r="E621" s="1">
        <v>120</v>
      </c>
      <c r="F621" s="1">
        <v>180</v>
      </c>
      <c r="G621" s="4">
        <f>Table1[[#This Row],[stock]]/Table1[[#This Row],[HASIL MIN]]</f>
        <v>1.3416666666666666</v>
      </c>
      <c r="H621" s="4">
        <f>Table1[[#This Row],[stock]]/Table1[[#This Row],[HASIL MAX]]</f>
        <v>0.89444444444444449</v>
      </c>
      <c r="I621" s="4"/>
      <c r="J621" s="4"/>
    </row>
    <row r="622" spans="1:10" x14ac:dyDescent="0.25">
      <c r="A622" s="48" t="s">
        <v>1133</v>
      </c>
      <c r="B622" t="s">
        <v>1134</v>
      </c>
      <c r="C622" t="s">
        <v>23213</v>
      </c>
      <c r="D622" s="3">
        <f>VLOOKUP(Table1[[#This Row],[CODE BARANG]],stock!$A:$C,3,)</f>
        <v>9</v>
      </c>
      <c r="E622" s="1">
        <v>8</v>
      </c>
      <c r="F622" s="1">
        <v>10</v>
      </c>
      <c r="G622" s="4">
        <f>Table1[[#This Row],[stock]]/Table1[[#This Row],[HASIL MIN]]</f>
        <v>1.125</v>
      </c>
      <c r="H622" s="4">
        <f>Table1[[#This Row],[stock]]/Table1[[#This Row],[HASIL MAX]]</f>
        <v>0.9</v>
      </c>
      <c r="I622" s="4"/>
      <c r="J622" s="4"/>
    </row>
    <row r="623" spans="1:10" x14ac:dyDescent="0.25">
      <c r="A623" s="48" t="s">
        <v>1001</v>
      </c>
      <c r="B623" t="s">
        <v>1002</v>
      </c>
      <c r="C623" t="s">
        <v>23210</v>
      </c>
      <c r="D623" s="3">
        <f>VLOOKUP(Table1[[#This Row],[CODE BARANG]],stock!$A:$C,3,)</f>
        <v>54</v>
      </c>
      <c r="E623" s="1">
        <v>30</v>
      </c>
      <c r="F623" s="1">
        <v>60</v>
      </c>
      <c r="G623" s="4">
        <f>Table1[[#This Row],[stock]]/Table1[[#This Row],[HASIL MIN]]</f>
        <v>1.8</v>
      </c>
      <c r="H623" s="4">
        <f>Table1[[#This Row],[stock]]/Table1[[#This Row],[HASIL MAX]]</f>
        <v>0.9</v>
      </c>
      <c r="I623" s="4"/>
      <c r="J623" s="4"/>
    </row>
    <row r="624" spans="1:10" x14ac:dyDescent="0.25">
      <c r="A624" s="48" t="s">
        <v>321</v>
      </c>
      <c r="B624" t="s">
        <v>322</v>
      </c>
      <c r="C624" t="s">
        <v>23214</v>
      </c>
      <c r="D624" s="3">
        <f>VLOOKUP(Table1[[#This Row],[CODE BARANG]],stock!$A:$C,3,)</f>
        <v>18</v>
      </c>
      <c r="E624" s="1">
        <v>10</v>
      </c>
      <c r="F624" s="1">
        <v>20</v>
      </c>
      <c r="G624" s="4">
        <f>Table1[[#This Row],[stock]]/Table1[[#This Row],[HASIL MIN]]</f>
        <v>1.8</v>
      </c>
      <c r="H624" s="4">
        <f>Table1[[#This Row],[stock]]/Table1[[#This Row],[HASIL MAX]]</f>
        <v>0.9</v>
      </c>
      <c r="I624" s="4"/>
      <c r="J624" s="4"/>
    </row>
    <row r="625" spans="1:10" x14ac:dyDescent="0.25">
      <c r="A625" s="48" t="s">
        <v>1651</v>
      </c>
      <c r="B625" t="s">
        <v>1652</v>
      </c>
      <c r="C625" t="s">
        <v>23214</v>
      </c>
      <c r="D625" s="3">
        <f>VLOOKUP(Table1[[#This Row],[CODE BARANG]],stock!$A:$C,3,)</f>
        <v>27</v>
      </c>
      <c r="E625" s="1">
        <v>20</v>
      </c>
      <c r="F625" s="1">
        <v>30</v>
      </c>
      <c r="G625" s="4">
        <f>Table1[[#This Row],[stock]]/Table1[[#This Row],[HASIL MIN]]</f>
        <v>1.35</v>
      </c>
      <c r="H625" s="4">
        <f>Table1[[#This Row],[stock]]/Table1[[#This Row],[HASIL MAX]]</f>
        <v>0.9</v>
      </c>
      <c r="I625" s="4"/>
      <c r="J625" s="4"/>
    </row>
    <row r="626" spans="1:10" x14ac:dyDescent="0.25">
      <c r="A626" s="48" t="s">
        <v>927</v>
      </c>
      <c r="B626" t="s">
        <v>928</v>
      </c>
      <c r="C626" t="s">
        <v>23217</v>
      </c>
      <c r="D626" s="3">
        <f>VLOOKUP(Table1[[#This Row],[CODE BARANG]],stock!$A:$C,3,)</f>
        <v>54</v>
      </c>
      <c r="E626" s="1">
        <v>30</v>
      </c>
      <c r="F626" s="1">
        <v>60</v>
      </c>
      <c r="G626" s="4">
        <f>Table1[[#This Row],[stock]]/Table1[[#This Row],[HASIL MIN]]</f>
        <v>1.8</v>
      </c>
      <c r="H626" s="4">
        <f>Table1[[#This Row],[stock]]/Table1[[#This Row],[HASIL MAX]]</f>
        <v>0.9</v>
      </c>
      <c r="I626" s="4"/>
      <c r="J626" s="4"/>
    </row>
    <row r="627" spans="1:10" x14ac:dyDescent="0.25">
      <c r="A627" s="48" t="s">
        <v>18392</v>
      </c>
      <c r="B627" t="s">
        <v>18393</v>
      </c>
      <c r="C627" t="s">
        <v>23216</v>
      </c>
      <c r="D627" s="3">
        <f>VLOOKUP(Table1[[#This Row],[CODE BARANG]],stock!$A:$C,3,)</f>
        <v>9</v>
      </c>
      <c r="E627" s="1">
        <v>5</v>
      </c>
      <c r="F627" s="1">
        <v>10</v>
      </c>
      <c r="G627" s="4">
        <f>Table1[[#This Row],[stock]]/Table1[[#This Row],[HASIL MIN]]</f>
        <v>1.8</v>
      </c>
      <c r="H627" s="4">
        <f>Table1[[#This Row],[stock]]/Table1[[#This Row],[HASIL MAX]]</f>
        <v>0.9</v>
      </c>
      <c r="I627" s="4"/>
      <c r="J627" s="4"/>
    </row>
    <row r="628" spans="1:10" x14ac:dyDescent="0.25">
      <c r="A628" s="48" t="s">
        <v>1381</v>
      </c>
      <c r="B628" t="s">
        <v>1382</v>
      </c>
      <c r="C628" t="s">
        <v>23210</v>
      </c>
      <c r="D628" s="3">
        <f>VLOOKUP(Table1[[#This Row],[CODE BARANG]],stock!$A:$C,3,)</f>
        <v>180</v>
      </c>
      <c r="E628" s="1">
        <v>100</v>
      </c>
      <c r="F628" s="1">
        <v>200</v>
      </c>
      <c r="G628" s="4">
        <f>Table1[[#This Row],[stock]]/Table1[[#This Row],[HASIL MIN]]</f>
        <v>1.8</v>
      </c>
      <c r="H628" s="4">
        <f>Table1[[#This Row],[stock]]/Table1[[#This Row],[HASIL MAX]]</f>
        <v>0.9</v>
      </c>
      <c r="I628" s="4"/>
      <c r="J628" s="4"/>
    </row>
    <row r="629" spans="1:10" x14ac:dyDescent="0.25">
      <c r="A629" s="48" t="s">
        <v>1187</v>
      </c>
      <c r="B629" t="s">
        <v>1188</v>
      </c>
      <c r="C629" t="s">
        <v>23214</v>
      </c>
      <c r="D629" s="3">
        <f>VLOOKUP(Table1[[#This Row],[CODE BARANG]],stock!$A:$C,3,)</f>
        <v>90</v>
      </c>
      <c r="E629" s="1">
        <v>60</v>
      </c>
      <c r="F629" s="1">
        <v>100</v>
      </c>
      <c r="G629" s="4">
        <f>Table1[[#This Row],[stock]]/Table1[[#This Row],[HASIL MIN]]</f>
        <v>1.5</v>
      </c>
      <c r="H629" s="4">
        <f>Table1[[#This Row],[stock]]/Table1[[#This Row],[HASIL MAX]]</f>
        <v>0.9</v>
      </c>
      <c r="I629" s="4"/>
      <c r="J629" s="4"/>
    </row>
    <row r="630" spans="1:10" x14ac:dyDescent="0.25">
      <c r="A630" s="48" t="s">
        <v>1781</v>
      </c>
      <c r="B630" t="s">
        <v>1782</v>
      </c>
      <c r="C630" t="s">
        <v>442</v>
      </c>
      <c r="D630" s="3">
        <f>VLOOKUP(Table1[[#This Row],[CODE BARANG]],stock!$A:$C,3,)</f>
        <v>9</v>
      </c>
      <c r="E630" s="1">
        <v>6</v>
      </c>
      <c r="F630" s="1">
        <v>10</v>
      </c>
      <c r="G630" s="4">
        <f>Table1[[#This Row],[stock]]/Table1[[#This Row],[HASIL MIN]]</f>
        <v>1.5</v>
      </c>
      <c r="H630" s="4">
        <f>Table1[[#This Row],[stock]]/Table1[[#This Row],[HASIL MAX]]</f>
        <v>0.9</v>
      </c>
      <c r="I630" s="4"/>
      <c r="J630" s="4"/>
    </row>
    <row r="631" spans="1:10" x14ac:dyDescent="0.25">
      <c r="A631" s="48" t="s">
        <v>6829</v>
      </c>
      <c r="B631" t="s">
        <v>6830</v>
      </c>
      <c r="C631" t="s">
        <v>23207</v>
      </c>
      <c r="D631" s="3">
        <f>VLOOKUP(Table1[[#This Row],[CODE BARANG]],stock!$A:$C,3,)</f>
        <v>9</v>
      </c>
      <c r="E631" s="1">
        <v>4</v>
      </c>
      <c r="F631" s="1">
        <v>10</v>
      </c>
      <c r="G631" s="4">
        <f>Table1[[#This Row],[stock]]/Table1[[#This Row],[HASIL MIN]]</f>
        <v>2.25</v>
      </c>
      <c r="H631" s="4">
        <f>Table1[[#This Row],[stock]]/Table1[[#This Row],[HASIL MAX]]</f>
        <v>0.9</v>
      </c>
      <c r="I631" s="4"/>
      <c r="J631" s="4"/>
    </row>
    <row r="632" spans="1:10" x14ac:dyDescent="0.25">
      <c r="A632" s="48" t="s">
        <v>22910</v>
      </c>
      <c r="B632" t="s">
        <v>22911</v>
      </c>
      <c r="C632" t="s">
        <v>23212</v>
      </c>
      <c r="D632" s="3">
        <f>VLOOKUP(Table1[[#This Row],[CODE BARANG]],stock!$A:$C,3,)</f>
        <v>54</v>
      </c>
      <c r="E632" s="1">
        <v>24</v>
      </c>
      <c r="F632" s="1">
        <v>60</v>
      </c>
      <c r="G632" s="4">
        <f>Table1[[#This Row],[stock]]/Table1[[#This Row],[HASIL MIN]]</f>
        <v>2.25</v>
      </c>
      <c r="H632" s="4">
        <f>Table1[[#This Row],[stock]]/Table1[[#This Row],[HASIL MAX]]</f>
        <v>0.9</v>
      </c>
      <c r="I632" s="4"/>
      <c r="J632" s="4"/>
    </row>
    <row r="633" spans="1:10" x14ac:dyDescent="0.25">
      <c r="A633" s="48" t="s">
        <v>1147</v>
      </c>
      <c r="B633" t="s">
        <v>1148</v>
      </c>
      <c r="C633" t="s">
        <v>23209</v>
      </c>
      <c r="D633" s="3">
        <f>VLOOKUP(Table1[[#This Row],[CODE BARANG]],stock!$A:$C,3,)</f>
        <v>9</v>
      </c>
      <c r="E633" s="1">
        <v>6</v>
      </c>
      <c r="F633" s="1">
        <v>10</v>
      </c>
      <c r="G633" s="4">
        <f>Table1[[#This Row],[stock]]/Table1[[#This Row],[HASIL MIN]]</f>
        <v>1.5</v>
      </c>
      <c r="H633" s="4">
        <f>Table1[[#This Row],[stock]]/Table1[[#This Row],[HASIL MAX]]</f>
        <v>0.9</v>
      </c>
      <c r="I633" s="4"/>
      <c r="J633" s="4"/>
    </row>
    <row r="634" spans="1:10" x14ac:dyDescent="0.25">
      <c r="A634" s="48" t="s">
        <v>1980</v>
      </c>
      <c r="B634" t="s">
        <v>1981</v>
      </c>
      <c r="C634" t="s">
        <v>23216</v>
      </c>
      <c r="D634" s="3">
        <f>VLOOKUP(Table1[[#This Row],[CODE BARANG]],stock!$A:$C,3,)</f>
        <v>9</v>
      </c>
      <c r="E634" s="1">
        <v>6</v>
      </c>
      <c r="F634" s="1">
        <v>10</v>
      </c>
      <c r="G634" s="4">
        <f>Table1[[#This Row],[stock]]/Table1[[#This Row],[HASIL MIN]]</f>
        <v>1.5</v>
      </c>
      <c r="H634" s="4">
        <f>Table1[[#This Row],[stock]]/Table1[[#This Row],[HASIL MAX]]</f>
        <v>0.9</v>
      </c>
      <c r="I634" s="4"/>
      <c r="J634" s="4"/>
    </row>
    <row r="635" spans="1:10" x14ac:dyDescent="0.25">
      <c r="A635" s="48" t="s">
        <v>1057</v>
      </c>
      <c r="B635" t="s">
        <v>1058</v>
      </c>
      <c r="C635" t="s">
        <v>23214</v>
      </c>
      <c r="D635" s="3">
        <f>VLOOKUP(Table1[[#This Row],[CODE BARANG]],stock!$A:$C,3,)</f>
        <v>36</v>
      </c>
      <c r="E635" s="1">
        <v>20</v>
      </c>
      <c r="F635" s="1">
        <v>40</v>
      </c>
      <c r="G635" s="4">
        <f>Table1[[#This Row],[stock]]/Table1[[#This Row],[HASIL MIN]]</f>
        <v>1.8</v>
      </c>
      <c r="H635" s="4">
        <f>Table1[[#This Row],[stock]]/Table1[[#This Row],[HASIL MAX]]</f>
        <v>0.9</v>
      </c>
      <c r="I635" s="4"/>
      <c r="J635" s="4"/>
    </row>
    <row r="636" spans="1:10" x14ac:dyDescent="0.25">
      <c r="A636" s="48" t="s">
        <v>1437</v>
      </c>
      <c r="B636" t="s">
        <v>1438</v>
      </c>
      <c r="C636" t="s">
        <v>23212</v>
      </c>
      <c r="D636" s="3">
        <f>VLOOKUP(Table1[[#This Row],[CODE BARANG]],stock!$A:$C,3,)</f>
        <v>10</v>
      </c>
      <c r="E636" s="1">
        <v>7</v>
      </c>
      <c r="F636" s="1">
        <v>11</v>
      </c>
      <c r="G636" s="4">
        <f>Table1[[#This Row],[stock]]/Table1[[#This Row],[HASIL MIN]]</f>
        <v>1.4285714285714286</v>
      </c>
      <c r="H636" s="4">
        <f>Table1[[#This Row],[stock]]/Table1[[#This Row],[HASIL MAX]]</f>
        <v>0.90909090909090906</v>
      </c>
      <c r="I636" s="4"/>
      <c r="J636" s="4"/>
    </row>
    <row r="637" spans="1:10" x14ac:dyDescent="0.25">
      <c r="A637" s="48" t="s">
        <v>1888</v>
      </c>
      <c r="B637" t="s">
        <v>1889</v>
      </c>
      <c r="C637" t="s">
        <v>439</v>
      </c>
      <c r="D637" s="3">
        <f>VLOOKUP(Table1[[#This Row],[CODE BARANG]],stock!$A:$C,3,)</f>
        <v>11</v>
      </c>
      <c r="E637" s="1">
        <v>6</v>
      </c>
      <c r="F637" s="1">
        <v>12</v>
      </c>
      <c r="G637" s="4">
        <f>Table1[[#This Row],[stock]]/Table1[[#This Row],[HASIL MIN]]</f>
        <v>1.8333333333333333</v>
      </c>
      <c r="H637" s="4">
        <f>Table1[[#This Row],[stock]]/Table1[[#This Row],[HASIL MAX]]</f>
        <v>0.91666666666666663</v>
      </c>
      <c r="I637" s="4"/>
      <c r="J637" s="4"/>
    </row>
    <row r="638" spans="1:10" x14ac:dyDescent="0.25">
      <c r="A638" s="48" t="s">
        <v>1533</v>
      </c>
      <c r="B638" t="s">
        <v>1534</v>
      </c>
      <c r="C638" t="s">
        <v>23215</v>
      </c>
      <c r="D638" s="3">
        <f>VLOOKUP(Table1[[#This Row],[CODE BARANG]],stock!$A:$C,3,)</f>
        <v>11</v>
      </c>
      <c r="E638" s="1">
        <v>6</v>
      </c>
      <c r="F638" s="1">
        <v>12</v>
      </c>
      <c r="G638" s="4">
        <f>Table1[[#This Row],[stock]]/Table1[[#This Row],[HASIL MIN]]</f>
        <v>1.8333333333333333</v>
      </c>
      <c r="H638" s="4">
        <f>Table1[[#This Row],[stock]]/Table1[[#This Row],[HASIL MAX]]</f>
        <v>0.91666666666666663</v>
      </c>
      <c r="I638" s="4"/>
      <c r="J638" s="4"/>
    </row>
    <row r="639" spans="1:10" x14ac:dyDescent="0.25">
      <c r="A639" s="48" t="s">
        <v>489</v>
      </c>
      <c r="B639" t="s">
        <v>490</v>
      </c>
      <c r="C639" t="s">
        <v>442</v>
      </c>
      <c r="D639" s="3">
        <f>VLOOKUP(Table1[[#This Row],[CODE BARANG]],stock!$A:$C,3,)</f>
        <v>22</v>
      </c>
      <c r="E639" s="1">
        <v>18</v>
      </c>
      <c r="F639" s="1">
        <v>24</v>
      </c>
      <c r="G639" s="4">
        <f>Table1[[#This Row],[stock]]/Table1[[#This Row],[HASIL MIN]]</f>
        <v>1.2222222222222223</v>
      </c>
      <c r="H639" s="4">
        <f>Table1[[#This Row],[stock]]/Table1[[#This Row],[HASIL MAX]]</f>
        <v>0.91666666666666663</v>
      </c>
      <c r="I639" s="4"/>
      <c r="J639" s="4"/>
    </row>
    <row r="640" spans="1:10" x14ac:dyDescent="0.25">
      <c r="A640" s="48" t="s">
        <v>1547</v>
      </c>
      <c r="B640" t="s">
        <v>1548</v>
      </c>
      <c r="C640" t="s">
        <v>23209</v>
      </c>
      <c r="D640" s="3">
        <f>VLOOKUP(Table1[[#This Row],[CODE BARANG]],stock!$A:$C,3,)</f>
        <v>11</v>
      </c>
      <c r="E640" s="1">
        <v>8</v>
      </c>
      <c r="F640" s="1">
        <v>12</v>
      </c>
      <c r="G640" s="4">
        <f>Table1[[#This Row],[stock]]/Table1[[#This Row],[HASIL MIN]]</f>
        <v>1.375</v>
      </c>
      <c r="H640" s="4">
        <f>Table1[[#This Row],[stock]]/Table1[[#This Row],[HASIL MAX]]</f>
        <v>0.91666666666666663</v>
      </c>
      <c r="I640" s="4"/>
      <c r="J640" s="4"/>
    </row>
    <row r="641" spans="1:10" x14ac:dyDescent="0.25">
      <c r="A641" s="48" t="s">
        <v>1243</v>
      </c>
      <c r="B641" t="s">
        <v>1244</v>
      </c>
      <c r="C641" t="s">
        <v>442</v>
      </c>
      <c r="D641" s="3">
        <f>VLOOKUP(Table1[[#This Row],[CODE BARANG]],stock!$A:$C,3,)</f>
        <v>66</v>
      </c>
      <c r="E641" s="1">
        <v>48</v>
      </c>
      <c r="F641" s="1">
        <v>72</v>
      </c>
      <c r="G641" s="4">
        <f>Table1[[#This Row],[stock]]/Table1[[#This Row],[HASIL MIN]]</f>
        <v>1.375</v>
      </c>
      <c r="H641" s="4">
        <f>Table1[[#This Row],[stock]]/Table1[[#This Row],[HASIL MAX]]</f>
        <v>0.91666666666666663</v>
      </c>
      <c r="I641" s="4"/>
      <c r="J641" s="4"/>
    </row>
    <row r="642" spans="1:10" x14ac:dyDescent="0.25">
      <c r="A642" s="48" t="s">
        <v>5</v>
      </c>
      <c r="B642" t="s">
        <v>6</v>
      </c>
      <c r="C642" t="s">
        <v>23211</v>
      </c>
      <c r="D642" s="3">
        <f>VLOOKUP(Table1[[#This Row],[CODE BARANG]],stock!$A:$C,3,)</f>
        <v>11</v>
      </c>
      <c r="E642" s="1">
        <v>8</v>
      </c>
      <c r="F642" s="1">
        <v>12</v>
      </c>
      <c r="G642" s="4">
        <f>Table1[[#This Row],[stock]]/Table1[[#This Row],[HASIL MIN]]</f>
        <v>1.375</v>
      </c>
      <c r="H642" s="4">
        <f>Table1[[#This Row],[stock]]/Table1[[#This Row],[HASIL MAX]]</f>
        <v>0.91666666666666663</v>
      </c>
      <c r="I642" s="4"/>
      <c r="J642" s="4"/>
    </row>
    <row r="643" spans="1:10" x14ac:dyDescent="0.25">
      <c r="A643" s="48" t="s">
        <v>9096</v>
      </c>
      <c r="B643" t="s">
        <v>22034</v>
      </c>
      <c r="C643" t="s">
        <v>23212</v>
      </c>
      <c r="D643" s="3">
        <f>VLOOKUP(Table1[[#This Row],[CODE BARANG]],stock!$A:$C,3,)</f>
        <v>11</v>
      </c>
      <c r="E643" s="1">
        <v>5</v>
      </c>
      <c r="F643" s="1">
        <v>12</v>
      </c>
      <c r="G643" s="4">
        <f>Table1[[#This Row],[stock]]/Table1[[#This Row],[HASIL MIN]]</f>
        <v>2.2000000000000002</v>
      </c>
      <c r="H643" s="4">
        <f>Table1[[#This Row],[stock]]/Table1[[#This Row],[HASIL MAX]]</f>
        <v>0.91666666666666663</v>
      </c>
      <c r="I643" s="4"/>
      <c r="J643" s="4"/>
    </row>
    <row r="644" spans="1:10" x14ac:dyDescent="0.25">
      <c r="A644" s="48" t="s">
        <v>213</v>
      </c>
      <c r="B644" t="s">
        <v>214</v>
      </c>
      <c r="C644" t="s">
        <v>23209</v>
      </c>
      <c r="D644" s="3">
        <f>VLOOKUP(Table1[[#This Row],[CODE BARANG]],stock!$A:$C,3,)</f>
        <v>22</v>
      </c>
      <c r="E644" s="1">
        <v>12</v>
      </c>
      <c r="F644" s="1">
        <v>24</v>
      </c>
      <c r="G644" s="4">
        <f>Table1[[#This Row],[stock]]/Table1[[#This Row],[HASIL MIN]]</f>
        <v>1.8333333333333333</v>
      </c>
      <c r="H644" s="4">
        <f>Table1[[#This Row],[stock]]/Table1[[#This Row],[HASIL MAX]]</f>
        <v>0.91666666666666663</v>
      </c>
      <c r="I644" s="4"/>
      <c r="J644" s="4"/>
    </row>
    <row r="645" spans="1:10" x14ac:dyDescent="0.25">
      <c r="A645" s="48" t="s">
        <v>1537</v>
      </c>
      <c r="B645" t="s">
        <v>1538</v>
      </c>
      <c r="C645" t="s">
        <v>23209</v>
      </c>
      <c r="D645" s="3">
        <f>VLOOKUP(Table1[[#This Row],[CODE BARANG]],stock!$A:$C,3,)</f>
        <v>22</v>
      </c>
      <c r="E645" s="1">
        <v>12</v>
      </c>
      <c r="F645" s="1">
        <v>24</v>
      </c>
      <c r="G645" s="4">
        <f>Table1[[#This Row],[stock]]/Table1[[#This Row],[HASIL MIN]]</f>
        <v>1.8333333333333333</v>
      </c>
      <c r="H645" s="4">
        <f>Table1[[#This Row],[stock]]/Table1[[#This Row],[HASIL MAX]]</f>
        <v>0.91666666666666663</v>
      </c>
      <c r="I645" s="4"/>
      <c r="J645" s="4"/>
    </row>
    <row r="646" spans="1:10" x14ac:dyDescent="0.25">
      <c r="A646" s="48" t="s">
        <v>1665</v>
      </c>
      <c r="B646" t="s">
        <v>1666</v>
      </c>
      <c r="C646" t="s">
        <v>23209</v>
      </c>
      <c r="D646" s="3">
        <f>VLOOKUP(Table1[[#This Row],[CODE BARANG]],stock!$A:$C,3,)</f>
        <v>11</v>
      </c>
      <c r="E646" s="1">
        <v>8</v>
      </c>
      <c r="F646" s="1">
        <v>12</v>
      </c>
      <c r="G646" s="4">
        <f>Table1[[#This Row],[stock]]/Table1[[#This Row],[HASIL MIN]]</f>
        <v>1.375</v>
      </c>
      <c r="H646" s="4">
        <f>Table1[[#This Row],[stock]]/Table1[[#This Row],[HASIL MAX]]</f>
        <v>0.91666666666666663</v>
      </c>
      <c r="I646" s="4"/>
      <c r="J646" s="4"/>
    </row>
    <row r="647" spans="1:10" x14ac:dyDescent="0.25">
      <c r="A647" s="48" t="s">
        <v>890</v>
      </c>
      <c r="B647" t="s">
        <v>891</v>
      </c>
      <c r="C647" t="s">
        <v>23208</v>
      </c>
      <c r="D647" s="3">
        <f>VLOOKUP(Table1[[#This Row],[CODE BARANG]],stock!$A:$C,3,)</f>
        <v>220</v>
      </c>
      <c r="E647" s="1">
        <v>144</v>
      </c>
      <c r="F647" s="1">
        <v>240</v>
      </c>
      <c r="G647" s="4">
        <f>Table1[[#This Row],[stock]]/Table1[[#This Row],[HASIL MIN]]</f>
        <v>1.5277777777777777</v>
      </c>
      <c r="H647" s="4">
        <f>Table1[[#This Row],[stock]]/Table1[[#This Row],[HASIL MAX]]</f>
        <v>0.91666666666666663</v>
      </c>
      <c r="I647" s="4"/>
      <c r="J647" s="4"/>
    </row>
    <row r="648" spans="1:10" x14ac:dyDescent="0.25">
      <c r="A648" s="48" t="s">
        <v>641</v>
      </c>
      <c r="B648" t="s">
        <v>642</v>
      </c>
      <c r="C648" t="s">
        <v>23214</v>
      </c>
      <c r="D648" s="3">
        <f>VLOOKUP(Table1[[#This Row],[CODE BARANG]],stock!$A:$C,3,)</f>
        <v>33</v>
      </c>
      <c r="E648" s="1">
        <v>24</v>
      </c>
      <c r="F648" s="1">
        <v>36</v>
      </c>
      <c r="G648" s="4">
        <f>Table1[[#This Row],[stock]]/Table1[[#This Row],[HASIL MIN]]</f>
        <v>1.375</v>
      </c>
      <c r="H648" s="4">
        <f>Table1[[#This Row],[stock]]/Table1[[#This Row],[HASIL MAX]]</f>
        <v>0.91666666666666663</v>
      </c>
      <c r="I648" s="4"/>
      <c r="J648" s="4"/>
    </row>
    <row r="649" spans="1:10" x14ac:dyDescent="0.25">
      <c r="A649" s="48" t="s">
        <v>1990</v>
      </c>
      <c r="B649" t="s">
        <v>1991</v>
      </c>
      <c r="C649" t="s">
        <v>23209</v>
      </c>
      <c r="D649" s="3">
        <f>VLOOKUP(Table1[[#This Row],[CODE BARANG]],stock!$A:$C,3,)</f>
        <v>22</v>
      </c>
      <c r="E649" s="1">
        <v>12</v>
      </c>
      <c r="F649" s="1">
        <v>24</v>
      </c>
      <c r="G649" s="4">
        <f>Table1[[#This Row],[stock]]/Table1[[#This Row],[HASIL MIN]]</f>
        <v>1.8333333333333333</v>
      </c>
      <c r="H649" s="4">
        <f>Table1[[#This Row],[stock]]/Table1[[#This Row],[HASIL MAX]]</f>
        <v>0.91666666666666663</v>
      </c>
      <c r="I649" s="4"/>
      <c r="J649" s="4"/>
    </row>
    <row r="650" spans="1:10" x14ac:dyDescent="0.25">
      <c r="A650" s="48" t="s">
        <v>1653</v>
      </c>
      <c r="B650" t="s">
        <v>1654</v>
      </c>
      <c r="C650" t="s">
        <v>439</v>
      </c>
      <c r="D650" s="3">
        <f>VLOOKUP(Table1[[#This Row],[CODE BARANG]],stock!$A:$C,3,)</f>
        <v>22</v>
      </c>
      <c r="E650" s="1">
        <v>12</v>
      </c>
      <c r="F650" s="1">
        <v>24</v>
      </c>
      <c r="G650" s="4">
        <f>Table1[[#This Row],[stock]]/Table1[[#This Row],[HASIL MIN]]</f>
        <v>1.8333333333333333</v>
      </c>
      <c r="H650" s="4">
        <f>Table1[[#This Row],[stock]]/Table1[[#This Row],[HASIL MAX]]</f>
        <v>0.91666666666666663</v>
      </c>
      <c r="I650" s="4"/>
      <c r="J650" s="4"/>
    </row>
    <row r="651" spans="1:10" x14ac:dyDescent="0.25">
      <c r="A651" s="48" t="s">
        <v>1884</v>
      </c>
      <c r="B651" t="s">
        <v>1885</v>
      </c>
      <c r="C651" t="s">
        <v>23212</v>
      </c>
      <c r="D651" s="3">
        <f>VLOOKUP(Table1[[#This Row],[CODE BARANG]],stock!$A:$C,3,)</f>
        <v>220</v>
      </c>
      <c r="E651" s="1">
        <v>120</v>
      </c>
      <c r="F651" s="1">
        <v>240</v>
      </c>
      <c r="G651" s="4">
        <f>Table1[[#This Row],[stock]]/Table1[[#This Row],[HASIL MIN]]</f>
        <v>1.8333333333333333</v>
      </c>
      <c r="H651" s="4">
        <f>Table1[[#This Row],[stock]]/Table1[[#This Row],[HASIL MAX]]</f>
        <v>0.91666666666666663</v>
      </c>
      <c r="I651" s="4"/>
      <c r="J651" s="4"/>
    </row>
    <row r="652" spans="1:10" x14ac:dyDescent="0.25">
      <c r="A652" s="48" t="s">
        <v>1849</v>
      </c>
      <c r="B652" t="s">
        <v>1850</v>
      </c>
      <c r="C652" t="s">
        <v>23216</v>
      </c>
      <c r="D652" s="3">
        <f>VLOOKUP(Table1[[#This Row],[CODE BARANG]],stock!$A:$C,3,)</f>
        <v>11</v>
      </c>
      <c r="E652" s="1">
        <v>6</v>
      </c>
      <c r="F652" s="1">
        <v>12</v>
      </c>
      <c r="G652" s="4">
        <f>Table1[[#This Row],[stock]]/Table1[[#This Row],[HASIL MIN]]</f>
        <v>1.8333333333333333</v>
      </c>
      <c r="H652" s="4">
        <f>Table1[[#This Row],[stock]]/Table1[[#This Row],[HASIL MAX]]</f>
        <v>0.91666666666666663</v>
      </c>
      <c r="I652" s="4"/>
      <c r="J652" s="4"/>
    </row>
    <row r="653" spans="1:10" x14ac:dyDescent="0.25">
      <c r="A653" s="48" t="s">
        <v>1279</v>
      </c>
      <c r="B653" t="s">
        <v>1280</v>
      </c>
      <c r="C653" t="s">
        <v>23209</v>
      </c>
      <c r="D653" s="3">
        <f>VLOOKUP(Table1[[#This Row],[CODE BARANG]],stock!$A:$C,3,)</f>
        <v>22</v>
      </c>
      <c r="E653" s="1">
        <v>16</v>
      </c>
      <c r="F653" s="1">
        <v>24</v>
      </c>
      <c r="G653" s="4">
        <f>Table1[[#This Row],[stock]]/Table1[[#This Row],[HASIL MIN]]</f>
        <v>1.375</v>
      </c>
      <c r="H653" s="4">
        <f>Table1[[#This Row],[stock]]/Table1[[#This Row],[HASIL MAX]]</f>
        <v>0.91666666666666663</v>
      </c>
      <c r="I653" s="4"/>
      <c r="J653" s="4"/>
    </row>
    <row r="654" spans="1:10" x14ac:dyDescent="0.25">
      <c r="A654" s="48" t="s">
        <v>1295</v>
      </c>
      <c r="B654" t="s">
        <v>1296</v>
      </c>
      <c r="C654" t="s">
        <v>23208</v>
      </c>
      <c r="D654" s="3">
        <f>VLOOKUP(Table1[[#This Row],[CODE BARANG]],stock!$A:$C,3,)</f>
        <v>44</v>
      </c>
      <c r="E654" s="1">
        <v>24</v>
      </c>
      <c r="F654" s="1">
        <v>48</v>
      </c>
      <c r="G654" s="4">
        <f>Table1[[#This Row],[stock]]/Table1[[#This Row],[HASIL MIN]]</f>
        <v>1.8333333333333333</v>
      </c>
      <c r="H654" s="4">
        <f>Table1[[#This Row],[stock]]/Table1[[#This Row],[HASIL MAX]]</f>
        <v>0.91666666666666663</v>
      </c>
      <c r="I654" s="4"/>
      <c r="J654" s="4"/>
    </row>
    <row r="655" spans="1:10" x14ac:dyDescent="0.25">
      <c r="A655" s="48" t="s">
        <v>1045</v>
      </c>
      <c r="B655" t="s">
        <v>1046</v>
      </c>
      <c r="C655" t="s">
        <v>23210</v>
      </c>
      <c r="D655" s="3">
        <f>VLOOKUP(Table1[[#This Row],[CODE BARANG]],stock!$A:$C,3,)</f>
        <v>185</v>
      </c>
      <c r="E655" s="1">
        <v>100</v>
      </c>
      <c r="F655" s="1">
        <v>200</v>
      </c>
      <c r="G655" s="4">
        <f>Table1[[#This Row],[stock]]/Table1[[#This Row],[HASIL MIN]]</f>
        <v>1.85</v>
      </c>
      <c r="H655" s="4">
        <f>Table1[[#This Row],[stock]]/Table1[[#This Row],[HASIL MAX]]</f>
        <v>0.92500000000000004</v>
      </c>
      <c r="I655" s="4"/>
      <c r="J655" s="4"/>
    </row>
    <row r="656" spans="1:10" x14ac:dyDescent="0.25">
      <c r="A656" s="48" t="s">
        <v>15076</v>
      </c>
      <c r="B656" t="s">
        <v>15077</v>
      </c>
      <c r="C656" t="s">
        <v>23214</v>
      </c>
      <c r="D656" s="3">
        <f>VLOOKUP(Table1[[#This Row],[CODE BARANG]],stock!$A:$C,3,)</f>
        <v>67</v>
      </c>
      <c r="E656" s="1">
        <v>40</v>
      </c>
      <c r="F656" s="1">
        <v>72</v>
      </c>
      <c r="G656" s="4">
        <f>Table1[[#This Row],[stock]]/Table1[[#This Row],[HASIL MIN]]</f>
        <v>1.675</v>
      </c>
      <c r="H656" s="4">
        <f>Table1[[#This Row],[stock]]/Table1[[#This Row],[HASIL MAX]]</f>
        <v>0.93055555555555558</v>
      </c>
      <c r="I656" s="4"/>
      <c r="J656" s="4"/>
    </row>
    <row r="657" spans="1:10" x14ac:dyDescent="0.25">
      <c r="A657" s="48" t="s">
        <v>1267</v>
      </c>
      <c r="B657" t="s">
        <v>1268</v>
      </c>
      <c r="C657" t="s">
        <v>23209</v>
      </c>
      <c r="D657" s="3">
        <f>VLOOKUP(Table1[[#This Row],[CODE BARANG]],stock!$A:$C,3,)</f>
        <v>28</v>
      </c>
      <c r="E657" s="1">
        <v>18</v>
      </c>
      <c r="F657" s="1">
        <v>30</v>
      </c>
      <c r="G657" s="4">
        <f>Table1[[#This Row],[stock]]/Table1[[#This Row],[HASIL MIN]]</f>
        <v>1.5555555555555556</v>
      </c>
      <c r="H657" s="4">
        <f>Table1[[#This Row],[stock]]/Table1[[#This Row],[HASIL MAX]]</f>
        <v>0.93333333333333335</v>
      </c>
      <c r="I657" s="4"/>
      <c r="J657" s="4"/>
    </row>
    <row r="658" spans="1:10" x14ac:dyDescent="0.25">
      <c r="A658" s="48" t="s">
        <v>107</v>
      </c>
      <c r="B658" t="s">
        <v>108</v>
      </c>
      <c r="C658" t="s">
        <v>23211</v>
      </c>
      <c r="D658" s="3">
        <f>VLOOKUP(Table1[[#This Row],[CODE BARANG]],stock!$A:$C,3,)</f>
        <v>28</v>
      </c>
      <c r="E658" s="1">
        <v>15</v>
      </c>
      <c r="F658" s="1">
        <v>30</v>
      </c>
      <c r="G658" s="4">
        <f>Table1[[#This Row],[stock]]/Table1[[#This Row],[HASIL MIN]]</f>
        <v>1.8666666666666667</v>
      </c>
      <c r="H658" s="4">
        <f>Table1[[#This Row],[stock]]/Table1[[#This Row],[HASIL MAX]]</f>
        <v>0.93333333333333335</v>
      </c>
      <c r="I658" s="4"/>
      <c r="J658" s="4"/>
    </row>
    <row r="659" spans="1:10" x14ac:dyDescent="0.25">
      <c r="A659" s="48" t="s">
        <v>33</v>
      </c>
      <c r="B659" t="s">
        <v>34</v>
      </c>
      <c r="C659" t="s">
        <v>23209</v>
      </c>
      <c r="D659" s="3">
        <f>VLOOKUP(Table1[[#This Row],[CODE BARANG]],stock!$A:$C,3,)</f>
        <v>468</v>
      </c>
      <c r="E659" s="1">
        <v>200</v>
      </c>
      <c r="F659" s="1">
        <v>500</v>
      </c>
      <c r="G659" s="4">
        <f>Table1[[#This Row],[stock]]/Table1[[#This Row],[HASIL MIN]]</f>
        <v>2.34</v>
      </c>
      <c r="H659" s="4">
        <f>Table1[[#This Row],[stock]]/Table1[[#This Row],[HASIL MAX]]</f>
        <v>0.93600000000000005</v>
      </c>
      <c r="I659" s="4"/>
      <c r="J659" s="4"/>
    </row>
    <row r="660" spans="1:10" x14ac:dyDescent="0.25">
      <c r="A660" s="48" t="s">
        <v>1319</v>
      </c>
      <c r="B660" t="s">
        <v>1320</v>
      </c>
      <c r="C660" t="s">
        <v>23209</v>
      </c>
      <c r="D660" s="3">
        <f>VLOOKUP(Table1[[#This Row],[CODE BARANG]],stock!$A:$C,3,)</f>
        <v>15</v>
      </c>
      <c r="E660" s="1">
        <v>8</v>
      </c>
      <c r="F660" s="1">
        <v>16</v>
      </c>
      <c r="G660" s="4">
        <f>Table1[[#This Row],[stock]]/Table1[[#This Row],[HASIL MIN]]</f>
        <v>1.875</v>
      </c>
      <c r="H660" s="4">
        <f>Table1[[#This Row],[stock]]/Table1[[#This Row],[HASIL MAX]]</f>
        <v>0.9375</v>
      </c>
      <c r="I660" s="4"/>
      <c r="J660" s="4"/>
    </row>
    <row r="661" spans="1:10" x14ac:dyDescent="0.25">
      <c r="A661" s="48" t="s">
        <v>1541</v>
      </c>
      <c r="B661" t="s">
        <v>1542</v>
      </c>
      <c r="C661" t="s">
        <v>442</v>
      </c>
      <c r="D661" s="3">
        <f>VLOOKUP(Table1[[#This Row],[CODE BARANG]],stock!$A:$C,3,)</f>
        <v>45</v>
      </c>
      <c r="E661" s="1">
        <v>24</v>
      </c>
      <c r="F661" s="1">
        <v>48</v>
      </c>
      <c r="G661" s="4">
        <f>Table1[[#This Row],[stock]]/Table1[[#This Row],[HASIL MIN]]</f>
        <v>1.875</v>
      </c>
      <c r="H661" s="4">
        <f>Table1[[#This Row],[stock]]/Table1[[#This Row],[HASIL MAX]]</f>
        <v>0.9375</v>
      </c>
      <c r="I661" s="4"/>
      <c r="J661" s="4"/>
    </row>
    <row r="662" spans="1:10" x14ac:dyDescent="0.25">
      <c r="A662" s="48" t="s">
        <v>1890</v>
      </c>
      <c r="B662" t="s">
        <v>1891</v>
      </c>
      <c r="C662" t="s">
        <v>23209</v>
      </c>
      <c r="D662" s="3">
        <f>VLOOKUP(Table1[[#This Row],[CODE BARANG]],stock!$A:$C,3,)</f>
        <v>15</v>
      </c>
      <c r="E662" s="1">
        <v>8</v>
      </c>
      <c r="F662" s="1">
        <v>16</v>
      </c>
      <c r="G662" s="4">
        <f>Table1[[#This Row],[stock]]/Table1[[#This Row],[HASIL MIN]]</f>
        <v>1.875</v>
      </c>
      <c r="H662" s="4">
        <f>Table1[[#This Row],[stock]]/Table1[[#This Row],[HASIL MAX]]</f>
        <v>0.9375</v>
      </c>
      <c r="I662" s="4"/>
      <c r="J662" s="4"/>
    </row>
    <row r="663" spans="1:10" x14ac:dyDescent="0.25">
      <c r="A663" s="48" t="s">
        <v>9982</v>
      </c>
      <c r="B663" t="s">
        <v>9983</v>
      </c>
      <c r="C663" t="s">
        <v>23218</v>
      </c>
      <c r="D663" s="3">
        <f>VLOOKUP(Table1[[#This Row],[CODE BARANG]],stock!$A:$C,3,)</f>
        <v>45</v>
      </c>
      <c r="E663" s="1">
        <v>24</v>
      </c>
      <c r="F663" s="1">
        <v>48</v>
      </c>
      <c r="G663" s="4">
        <f>Table1[[#This Row],[stock]]/Table1[[#This Row],[HASIL MIN]]</f>
        <v>1.875</v>
      </c>
      <c r="H663" s="4">
        <f>Table1[[#This Row],[stock]]/Table1[[#This Row],[HASIL MAX]]</f>
        <v>0.9375</v>
      </c>
      <c r="I663" s="4"/>
      <c r="J663" s="4"/>
    </row>
    <row r="664" spans="1:10" x14ac:dyDescent="0.25">
      <c r="A664" s="48" t="s">
        <v>1325</v>
      </c>
      <c r="B664" t="s">
        <v>1326</v>
      </c>
      <c r="C664" t="s">
        <v>442</v>
      </c>
      <c r="D664" s="3">
        <f>VLOOKUP(Table1[[#This Row],[CODE BARANG]],stock!$A:$C,3,)</f>
        <v>169</v>
      </c>
      <c r="E664" s="1">
        <v>100</v>
      </c>
      <c r="F664" s="1">
        <v>180</v>
      </c>
      <c r="G664" s="4">
        <f>Table1[[#This Row],[stock]]/Table1[[#This Row],[HASIL MIN]]</f>
        <v>1.69</v>
      </c>
      <c r="H664" s="4">
        <f>Table1[[#This Row],[stock]]/Table1[[#This Row],[HASIL MAX]]</f>
        <v>0.93888888888888888</v>
      </c>
      <c r="I664" s="4"/>
      <c r="J664" s="4"/>
    </row>
    <row r="665" spans="1:10" x14ac:dyDescent="0.25">
      <c r="A665" s="48" t="s">
        <v>443</v>
      </c>
      <c r="B665" t="s">
        <v>444</v>
      </c>
      <c r="C665" t="s">
        <v>23208</v>
      </c>
      <c r="D665" s="3">
        <f>VLOOKUP(Table1[[#This Row],[CODE BARANG]],stock!$A:$C,3,)</f>
        <v>282</v>
      </c>
      <c r="E665" s="1">
        <v>100</v>
      </c>
      <c r="F665" s="1">
        <v>300</v>
      </c>
      <c r="G665" s="4">
        <f>Table1[[#This Row],[stock]]/Table1[[#This Row],[HASIL MIN]]</f>
        <v>2.82</v>
      </c>
      <c r="H665" s="4">
        <f>Table1[[#This Row],[stock]]/Table1[[#This Row],[HASIL MAX]]</f>
        <v>0.94</v>
      </c>
      <c r="I665" s="4"/>
      <c r="J665" s="4"/>
    </row>
    <row r="666" spans="1:10" x14ac:dyDescent="0.25">
      <c r="A666" s="48" t="s">
        <v>852</v>
      </c>
      <c r="B666" t="s">
        <v>853</v>
      </c>
      <c r="C666" t="s">
        <v>912</v>
      </c>
      <c r="D666" s="3">
        <f>VLOOKUP(Table1[[#This Row],[CODE BARANG]],stock!$A:$C,3,)</f>
        <v>17</v>
      </c>
      <c r="E666" s="1">
        <v>12</v>
      </c>
      <c r="F666" s="1">
        <v>18</v>
      </c>
      <c r="G666" s="4">
        <f>Table1[[#This Row],[stock]]/Table1[[#This Row],[HASIL MIN]]</f>
        <v>1.4166666666666667</v>
      </c>
      <c r="H666" s="4">
        <f>Table1[[#This Row],[stock]]/Table1[[#This Row],[HASIL MAX]]</f>
        <v>0.94444444444444442</v>
      </c>
      <c r="I666" s="4"/>
      <c r="J666" s="4"/>
    </row>
    <row r="667" spans="1:10" x14ac:dyDescent="0.25">
      <c r="A667" s="48" t="s">
        <v>1287</v>
      </c>
      <c r="B667" t="s">
        <v>1288</v>
      </c>
      <c r="C667" t="s">
        <v>23209</v>
      </c>
      <c r="D667" s="3">
        <f>VLOOKUP(Table1[[#This Row],[CODE BARANG]],stock!$A:$C,3,)</f>
        <v>34</v>
      </c>
      <c r="E667" s="1">
        <v>16</v>
      </c>
      <c r="F667" s="1">
        <v>36</v>
      </c>
      <c r="G667" s="4">
        <f>Table1[[#This Row],[stock]]/Table1[[#This Row],[HASIL MIN]]</f>
        <v>2.125</v>
      </c>
      <c r="H667" s="4">
        <f>Table1[[#This Row],[stock]]/Table1[[#This Row],[HASIL MAX]]</f>
        <v>0.94444444444444442</v>
      </c>
      <c r="I667" s="4"/>
      <c r="J667" s="4"/>
    </row>
    <row r="668" spans="1:10" x14ac:dyDescent="0.25">
      <c r="A668" s="48" t="s">
        <v>1339</v>
      </c>
      <c r="B668" t="s">
        <v>1340</v>
      </c>
      <c r="C668" t="s">
        <v>23212</v>
      </c>
      <c r="D668" s="3">
        <f>VLOOKUP(Table1[[#This Row],[CODE BARANG]],stock!$A:$C,3,)</f>
        <v>114</v>
      </c>
      <c r="E668" s="1">
        <v>60</v>
      </c>
      <c r="F668" s="1">
        <v>120</v>
      </c>
      <c r="G668" s="4">
        <f>Table1[[#This Row],[stock]]/Table1[[#This Row],[HASIL MIN]]</f>
        <v>1.9</v>
      </c>
      <c r="H668" s="4">
        <f>Table1[[#This Row],[stock]]/Table1[[#This Row],[HASIL MAX]]</f>
        <v>0.95</v>
      </c>
      <c r="I668" s="4"/>
      <c r="J668" s="4"/>
    </row>
    <row r="669" spans="1:10" x14ac:dyDescent="0.25">
      <c r="A669" s="48" t="s">
        <v>1401</v>
      </c>
      <c r="B669" t="s">
        <v>1402</v>
      </c>
      <c r="C669" t="s">
        <v>23210</v>
      </c>
      <c r="D669" s="3">
        <f>VLOOKUP(Table1[[#This Row],[CODE BARANG]],stock!$A:$C,3,)</f>
        <v>399</v>
      </c>
      <c r="E669" s="1">
        <v>240</v>
      </c>
      <c r="F669" s="1">
        <v>420</v>
      </c>
      <c r="G669" s="4">
        <f>Table1[[#This Row],[stock]]/Table1[[#This Row],[HASIL MIN]]</f>
        <v>1.6625000000000001</v>
      </c>
      <c r="H669" s="4">
        <f>Table1[[#This Row],[stock]]/Table1[[#This Row],[HASIL MAX]]</f>
        <v>0.95</v>
      </c>
      <c r="I669" s="4"/>
      <c r="J669" s="4"/>
    </row>
    <row r="670" spans="1:10" x14ac:dyDescent="0.25">
      <c r="A670" s="48" t="s">
        <v>22351</v>
      </c>
      <c r="B670" t="s">
        <v>1899</v>
      </c>
      <c r="C670" t="s">
        <v>442</v>
      </c>
      <c r="D670" s="3">
        <f>VLOOKUP(Table1[[#This Row],[CODE BARANG]],stock!$A:$C,3,)</f>
        <v>23</v>
      </c>
      <c r="E670" s="1">
        <v>12</v>
      </c>
      <c r="F670" s="1">
        <v>24</v>
      </c>
      <c r="G670" s="4">
        <f>Table1[[#This Row],[stock]]/Table1[[#This Row],[HASIL MIN]]</f>
        <v>1.9166666666666667</v>
      </c>
      <c r="H670" s="4">
        <f>Table1[[#This Row],[stock]]/Table1[[#This Row],[HASIL MAX]]</f>
        <v>0.95833333333333337</v>
      </c>
      <c r="I670" s="4"/>
      <c r="J670" s="4"/>
    </row>
    <row r="671" spans="1:10" x14ac:dyDescent="0.25">
      <c r="A671" s="48" t="s">
        <v>13673</v>
      </c>
      <c r="B671" t="s">
        <v>13674</v>
      </c>
      <c r="C671" t="s">
        <v>1859</v>
      </c>
      <c r="D671" s="3">
        <f>VLOOKUP(Table1[[#This Row],[CODE BARANG]],stock!$A:$C,3,)</f>
        <v>23</v>
      </c>
      <c r="E671" s="1">
        <v>8</v>
      </c>
      <c r="F671" s="1">
        <v>24</v>
      </c>
      <c r="G671" s="4">
        <f>Table1[[#This Row],[stock]]/Table1[[#This Row],[HASIL MIN]]</f>
        <v>2.875</v>
      </c>
      <c r="H671" s="4">
        <f>Table1[[#This Row],[stock]]/Table1[[#This Row],[HASIL MAX]]</f>
        <v>0.95833333333333337</v>
      </c>
      <c r="I671" s="4"/>
      <c r="J671" s="4"/>
    </row>
    <row r="672" spans="1:10" x14ac:dyDescent="0.25">
      <c r="A672" s="48" t="s">
        <v>263</v>
      </c>
      <c r="B672" t="s">
        <v>264</v>
      </c>
      <c r="C672" t="s">
        <v>442</v>
      </c>
      <c r="D672" s="3">
        <f>VLOOKUP(Table1[[#This Row],[CODE BARANG]],stock!$A:$C,3,)</f>
        <v>23</v>
      </c>
      <c r="E672" s="1">
        <v>12</v>
      </c>
      <c r="F672" s="1">
        <v>24</v>
      </c>
      <c r="G672" s="4">
        <f>Table1[[#This Row],[stock]]/Table1[[#This Row],[HASIL MIN]]</f>
        <v>1.9166666666666667</v>
      </c>
      <c r="H672" s="4">
        <f>Table1[[#This Row],[stock]]/Table1[[#This Row],[HASIL MAX]]</f>
        <v>0.95833333333333337</v>
      </c>
      <c r="I672" s="4"/>
      <c r="J672" s="4"/>
    </row>
    <row r="673" spans="1:10" x14ac:dyDescent="0.25">
      <c r="A673" s="48" t="s">
        <v>1569</v>
      </c>
      <c r="B673" t="s">
        <v>1570</v>
      </c>
      <c r="C673" t="s">
        <v>1859</v>
      </c>
      <c r="D673" s="3">
        <f>VLOOKUP(Table1[[#This Row],[CODE BARANG]],stock!$A:$C,3,)</f>
        <v>23</v>
      </c>
      <c r="E673" s="1">
        <v>14</v>
      </c>
      <c r="F673" s="1">
        <v>24</v>
      </c>
      <c r="G673" s="4">
        <f>Table1[[#This Row],[stock]]/Table1[[#This Row],[HASIL MIN]]</f>
        <v>1.6428571428571428</v>
      </c>
      <c r="H673" s="4">
        <f>Table1[[#This Row],[stock]]/Table1[[#This Row],[HASIL MAX]]</f>
        <v>0.95833333333333337</v>
      </c>
      <c r="I673" s="4"/>
      <c r="J673" s="4"/>
    </row>
    <row r="674" spans="1:10" x14ac:dyDescent="0.25">
      <c r="A674" s="48" t="s">
        <v>8491</v>
      </c>
      <c r="B674" t="s">
        <v>8492</v>
      </c>
      <c r="C674" t="s">
        <v>23214</v>
      </c>
      <c r="D674" s="3">
        <f>VLOOKUP(Table1[[#This Row],[CODE BARANG]],stock!$A:$C,3,)</f>
        <v>23</v>
      </c>
      <c r="E674" s="1">
        <v>12</v>
      </c>
      <c r="F674" s="1">
        <v>24</v>
      </c>
      <c r="G674" s="4">
        <f>Table1[[#This Row],[stock]]/Table1[[#This Row],[HASIL MIN]]</f>
        <v>1.9166666666666667</v>
      </c>
      <c r="H674" s="4">
        <f>Table1[[#This Row],[stock]]/Table1[[#This Row],[HASIL MAX]]</f>
        <v>0.95833333333333337</v>
      </c>
      <c r="I674" s="4"/>
      <c r="J674" s="4"/>
    </row>
    <row r="675" spans="1:10" x14ac:dyDescent="0.25">
      <c r="A675" s="48" t="s">
        <v>1413</v>
      </c>
      <c r="B675" t="s">
        <v>1414</v>
      </c>
      <c r="C675" t="s">
        <v>442</v>
      </c>
      <c r="D675" s="3">
        <f>VLOOKUP(Table1[[#This Row],[CODE BARANG]],stock!$A:$C,3,)</f>
        <v>46</v>
      </c>
      <c r="E675" s="1">
        <v>24</v>
      </c>
      <c r="F675" s="1">
        <v>48</v>
      </c>
      <c r="G675" s="4">
        <f>Table1[[#This Row],[stock]]/Table1[[#This Row],[HASIL MIN]]</f>
        <v>1.9166666666666667</v>
      </c>
      <c r="H675" s="4">
        <f>Table1[[#This Row],[stock]]/Table1[[#This Row],[HASIL MAX]]</f>
        <v>0.95833333333333337</v>
      </c>
      <c r="I675" s="4"/>
      <c r="J675" s="4"/>
    </row>
    <row r="676" spans="1:10" x14ac:dyDescent="0.25">
      <c r="A676" s="48" t="s">
        <v>967</v>
      </c>
      <c r="B676" t="s">
        <v>968</v>
      </c>
      <c r="C676" t="s">
        <v>23216</v>
      </c>
      <c r="D676" s="3">
        <f>VLOOKUP(Table1[[#This Row],[CODE BARANG]],stock!$A:$C,3,)</f>
        <v>23</v>
      </c>
      <c r="E676" s="1">
        <v>12</v>
      </c>
      <c r="F676" s="1">
        <v>24</v>
      </c>
      <c r="G676" s="4">
        <f>Table1[[#This Row],[stock]]/Table1[[#This Row],[HASIL MIN]]</f>
        <v>1.9166666666666667</v>
      </c>
      <c r="H676" s="4">
        <f>Table1[[#This Row],[stock]]/Table1[[#This Row],[HASIL MAX]]</f>
        <v>0.95833333333333337</v>
      </c>
      <c r="I676" s="4"/>
      <c r="J676" s="4"/>
    </row>
    <row r="677" spans="1:10" x14ac:dyDescent="0.25">
      <c r="A677" s="48" t="s">
        <v>1361</v>
      </c>
      <c r="B677" t="s">
        <v>1362</v>
      </c>
      <c r="C677" t="s">
        <v>23214</v>
      </c>
      <c r="D677" s="3">
        <f>VLOOKUP(Table1[[#This Row],[CODE BARANG]],stock!$A:$C,3,)</f>
        <v>46</v>
      </c>
      <c r="E677" s="1">
        <v>24</v>
      </c>
      <c r="F677" s="1">
        <v>48</v>
      </c>
      <c r="G677" s="4">
        <f>Table1[[#This Row],[stock]]/Table1[[#This Row],[HASIL MIN]]</f>
        <v>1.9166666666666667</v>
      </c>
      <c r="H677" s="4">
        <f>Table1[[#This Row],[stock]]/Table1[[#This Row],[HASIL MAX]]</f>
        <v>0.95833333333333337</v>
      </c>
      <c r="I677" s="4"/>
      <c r="J677" s="4"/>
    </row>
    <row r="678" spans="1:10" x14ac:dyDescent="0.25">
      <c r="A678" s="48" t="s">
        <v>297</v>
      </c>
      <c r="B678" t="s">
        <v>298</v>
      </c>
      <c r="C678" t="s">
        <v>23217</v>
      </c>
      <c r="D678" s="3">
        <f>VLOOKUP(Table1[[#This Row],[CODE BARANG]],stock!$A:$C,3,)</f>
        <v>278</v>
      </c>
      <c r="E678" s="1">
        <v>144</v>
      </c>
      <c r="F678" s="1">
        <v>288</v>
      </c>
      <c r="G678" s="4">
        <f>Table1[[#This Row],[stock]]/Table1[[#This Row],[HASIL MIN]]</f>
        <v>1.9305555555555556</v>
      </c>
      <c r="H678" s="4">
        <f>Table1[[#This Row],[stock]]/Table1[[#This Row],[HASIL MAX]]</f>
        <v>0.96527777777777779</v>
      </c>
      <c r="I678" s="4"/>
      <c r="J678" s="4"/>
    </row>
    <row r="679" spans="1:10" x14ac:dyDescent="0.25">
      <c r="A679" s="48" t="s">
        <v>1105</v>
      </c>
      <c r="B679" t="s">
        <v>1106</v>
      </c>
      <c r="C679" t="s">
        <v>23209</v>
      </c>
      <c r="D679" s="3">
        <f>VLOOKUP(Table1[[#This Row],[CODE BARANG]],stock!$A:$C,3,)</f>
        <v>58</v>
      </c>
      <c r="E679" s="1">
        <v>24</v>
      </c>
      <c r="F679" s="1">
        <v>60</v>
      </c>
      <c r="G679" s="4">
        <f>Table1[[#This Row],[stock]]/Table1[[#This Row],[HASIL MIN]]</f>
        <v>2.4166666666666665</v>
      </c>
      <c r="H679" s="4">
        <f>Table1[[#This Row],[stock]]/Table1[[#This Row],[HASIL MAX]]</f>
        <v>0.96666666666666667</v>
      </c>
      <c r="I679" s="4"/>
      <c r="J679" s="4"/>
    </row>
    <row r="680" spans="1:10" x14ac:dyDescent="0.25">
      <c r="A680" s="48" t="s">
        <v>1581</v>
      </c>
      <c r="B680" t="s">
        <v>1582</v>
      </c>
      <c r="C680" t="s">
        <v>23209</v>
      </c>
      <c r="D680" s="3">
        <f>VLOOKUP(Table1[[#This Row],[CODE BARANG]],stock!$A:$C,3,)</f>
        <v>35</v>
      </c>
      <c r="E680" s="1">
        <v>24</v>
      </c>
      <c r="F680" s="1">
        <v>36</v>
      </c>
      <c r="G680" s="4">
        <f>Table1[[#This Row],[stock]]/Table1[[#This Row],[HASIL MIN]]</f>
        <v>1.4583333333333333</v>
      </c>
      <c r="H680" s="4">
        <f>Table1[[#This Row],[stock]]/Table1[[#This Row],[HASIL MAX]]</f>
        <v>0.97222222222222221</v>
      </c>
      <c r="I680" s="4"/>
      <c r="J680" s="4"/>
    </row>
    <row r="681" spans="1:10" x14ac:dyDescent="0.25">
      <c r="A681" s="48" t="s">
        <v>481</v>
      </c>
      <c r="B681" t="s">
        <v>482</v>
      </c>
      <c r="C681" t="s">
        <v>23207</v>
      </c>
      <c r="D681" s="3">
        <f>VLOOKUP(Table1[[#This Row],[CODE BARANG]],stock!$A:$C,3,)</f>
        <v>70</v>
      </c>
      <c r="E681" s="1">
        <v>36</v>
      </c>
      <c r="F681" s="1">
        <v>72</v>
      </c>
      <c r="G681" s="4">
        <f>Table1[[#This Row],[stock]]/Table1[[#This Row],[HASIL MIN]]</f>
        <v>1.9444444444444444</v>
      </c>
      <c r="H681" s="4">
        <f>Table1[[#This Row],[stock]]/Table1[[#This Row],[HASIL MAX]]</f>
        <v>0.97222222222222221</v>
      </c>
      <c r="I681" s="4"/>
      <c r="J681" s="4"/>
    </row>
    <row r="682" spans="1:10" x14ac:dyDescent="0.25">
      <c r="A682" s="48" t="s">
        <v>1515</v>
      </c>
      <c r="B682" t="s">
        <v>1516</v>
      </c>
      <c r="C682" t="s">
        <v>23209</v>
      </c>
      <c r="D682" s="3">
        <f>VLOOKUP(Table1[[#This Row],[CODE BARANG]],stock!$A:$C,3,)</f>
        <v>35</v>
      </c>
      <c r="E682" s="1">
        <v>16</v>
      </c>
      <c r="F682" s="1">
        <v>36</v>
      </c>
      <c r="G682" s="4">
        <f>Table1[[#This Row],[stock]]/Table1[[#This Row],[HASIL MIN]]</f>
        <v>2.1875</v>
      </c>
      <c r="H682" s="4">
        <f>Table1[[#This Row],[stock]]/Table1[[#This Row],[HASIL MAX]]</f>
        <v>0.97222222222222221</v>
      </c>
      <c r="I682" s="4"/>
      <c r="J682" s="4"/>
    </row>
    <row r="683" spans="1:10" x14ac:dyDescent="0.25">
      <c r="A683" s="48" t="s">
        <v>1399</v>
      </c>
      <c r="B683" t="s">
        <v>1400</v>
      </c>
      <c r="C683" t="s">
        <v>23214</v>
      </c>
      <c r="D683" s="3">
        <f>VLOOKUP(Table1[[#This Row],[CODE BARANG]],stock!$A:$C,3,)</f>
        <v>293</v>
      </c>
      <c r="E683" s="1">
        <v>200</v>
      </c>
      <c r="F683" s="1">
        <v>300</v>
      </c>
      <c r="G683" s="4">
        <f>Table1[[#This Row],[stock]]/Table1[[#This Row],[HASIL MIN]]</f>
        <v>1.4650000000000001</v>
      </c>
      <c r="H683" s="4">
        <f>Table1[[#This Row],[stock]]/Table1[[#This Row],[HASIL MAX]]</f>
        <v>0.97666666666666668</v>
      </c>
      <c r="I683" s="4"/>
      <c r="J683" s="4"/>
    </row>
    <row r="684" spans="1:10" x14ac:dyDescent="0.25">
      <c r="A684" s="48" t="s">
        <v>1755</v>
      </c>
      <c r="B684" t="s">
        <v>1756</v>
      </c>
      <c r="C684" t="s">
        <v>23217</v>
      </c>
      <c r="D684" s="3">
        <f>VLOOKUP(Table1[[#This Row],[CODE BARANG]],stock!$A:$C,3,)</f>
        <v>141</v>
      </c>
      <c r="E684" s="1">
        <v>72</v>
      </c>
      <c r="F684" s="1">
        <v>144</v>
      </c>
      <c r="G684" s="4">
        <f>Table1[[#This Row],[stock]]/Table1[[#This Row],[HASIL MIN]]</f>
        <v>1.9583333333333333</v>
      </c>
      <c r="H684" s="4">
        <f>Table1[[#This Row],[stock]]/Table1[[#This Row],[HASIL MAX]]</f>
        <v>0.97916666666666663</v>
      </c>
      <c r="I684" s="4"/>
      <c r="J684" s="4"/>
    </row>
    <row r="685" spans="1:10" x14ac:dyDescent="0.25">
      <c r="A685" s="48" t="s">
        <v>1037</v>
      </c>
      <c r="B685" t="s">
        <v>1038</v>
      </c>
      <c r="C685" t="s">
        <v>23214</v>
      </c>
      <c r="D685" s="3">
        <f>VLOOKUP(Table1[[#This Row],[CODE BARANG]],stock!$A:$C,3,)</f>
        <v>98</v>
      </c>
      <c r="E685" s="1">
        <v>60</v>
      </c>
      <c r="F685" s="1">
        <v>100</v>
      </c>
      <c r="G685" s="4">
        <f>Table1[[#This Row],[stock]]/Table1[[#This Row],[HASIL MIN]]</f>
        <v>1.6333333333333333</v>
      </c>
      <c r="H685" s="4">
        <f>Table1[[#This Row],[stock]]/Table1[[#This Row],[HASIL MAX]]</f>
        <v>0.98</v>
      </c>
      <c r="I685" s="4"/>
      <c r="J685" s="4"/>
    </row>
    <row r="686" spans="1:10" x14ac:dyDescent="0.25">
      <c r="A686" s="48" t="s">
        <v>854</v>
      </c>
      <c r="B686" t="s">
        <v>855</v>
      </c>
      <c r="C686" t="s">
        <v>23214</v>
      </c>
      <c r="D686" s="3">
        <f>VLOOKUP(Table1[[#This Row],[CODE BARANG]],stock!$A:$C,3,)</f>
        <v>59</v>
      </c>
      <c r="E686" s="1">
        <v>40</v>
      </c>
      <c r="F686" s="1">
        <v>60</v>
      </c>
      <c r="G686" s="4">
        <f>Table1[[#This Row],[stock]]/Table1[[#This Row],[HASIL MIN]]</f>
        <v>1.4750000000000001</v>
      </c>
      <c r="H686" s="4">
        <f>Table1[[#This Row],[stock]]/Table1[[#This Row],[HASIL MAX]]</f>
        <v>0.98333333333333328</v>
      </c>
      <c r="I686" s="4"/>
      <c r="J686" s="4"/>
    </row>
    <row r="687" spans="1:10" x14ac:dyDescent="0.25">
      <c r="A687" s="48" t="s">
        <v>9317</v>
      </c>
      <c r="B687" t="s">
        <v>9318</v>
      </c>
      <c r="C687" t="s">
        <v>439</v>
      </c>
      <c r="D687" s="3">
        <f>VLOOKUP(Table1[[#This Row],[CODE BARANG]],stock!$A:$C,3,)</f>
        <v>59</v>
      </c>
      <c r="E687" s="1">
        <v>36</v>
      </c>
      <c r="F687" s="1">
        <v>60</v>
      </c>
      <c r="G687" s="4">
        <f>Table1[[#This Row],[stock]]/Table1[[#This Row],[HASIL MIN]]</f>
        <v>1.6388888888888888</v>
      </c>
      <c r="H687" s="4">
        <f>Table1[[#This Row],[stock]]/Table1[[#This Row],[HASIL MAX]]</f>
        <v>0.98333333333333328</v>
      </c>
      <c r="I687" s="4"/>
      <c r="J687" s="4"/>
    </row>
    <row r="688" spans="1:10" x14ac:dyDescent="0.25">
      <c r="A688" s="48" t="s">
        <v>864</v>
      </c>
      <c r="B688" t="s">
        <v>865</v>
      </c>
      <c r="C688" t="s">
        <v>23209</v>
      </c>
      <c r="D688" s="3">
        <f>VLOOKUP(Table1[[#This Row],[CODE BARANG]],stock!$A:$C,3,)</f>
        <v>126</v>
      </c>
      <c r="E688" s="1">
        <v>64</v>
      </c>
      <c r="F688" s="1">
        <v>128</v>
      </c>
      <c r="G688" s="4">
        <f>Table1[[#This Row],[stock]]/Table1[[#This Row],[HASIL MIN]]</f>
        <v>1.96875</v>
      </c>
      <c r="H688" s="4">
        <f>Table1[[#This Row],[stock]]/Table1[[#This Row],[HASIL MAX]]</f>
        <v>0.984375</v>
      </c>
      <c r="I688" s="4"/>
      <c r="J688" s="4"/>
    </row>
    <row r="689" spans="1:10" x14ac:dyDescent="0.25">
      <c r="A689" s="48" t="s">
        <v>559</v>
      </c>
      <c r="B689" t="s">
        <v>560</v>
      </c>
      <c r="C689" t="s">
        <v>23214</v>
      </c>
      <c r="D689" s="3">
        <f>VLOOKUP(Table1[[#This Row],[CODE BARANG]],stock!$A:$C,3,)</f>
        <v>111</v>
      </c>
      <c r="E689" s="1">
        <v>56</v>
      </c>
      <c r="F689" s="1">
        <v>112</v>
      </c>
      <c r="G689" s="4">
        <f>Table1[[#This Row],[stock]]/Table1[[#This Row],[HASIL MIN]]</f>
        <v>1.9821428571428572</v>
      </c>
      <c r="H689" s="4">
        <f>Table1[[#This Row],[stock]]/Table1[[#This Row],[HASIL MAX]]</f>
        <v>0.9910714285714286</v>
      </c>
      <c r="I689" s="4"/>
      <c r="J689" s="4"/>
    </row>
    <row r="690" spans="1:10" x14ac:dyDescent="0.25">
      <c r="A690" s="48" t="s">
        <v>1135</v>
      </c>
      <c r="B690" t="s">
        <v>1136</v>
      </c>
      <c r="C690" t="s">
        <v>23207</v>
      </c>
      <c r="D690" s="3">
        <f>VLOOKUP(Table1[[#This Row],[CODE BARANG]],stock!$A:$C,3,)</f>
        <v>6</v>
      </c>
      <c r="E690" s="1">
        <v>4</v>
      </c>
      <c r="F690" s="1">
        <v>6</v>
      </c>
      <c r="G690" s="4">
        <f>Table1[[#This Row],[stock]]/Table1[[#This Row],[HASIL MIN]]</f>
        <v>1.5</v>
      </c>
      <c r="H690" s="4">
        <f>Table1[[#This Row],[stock]]/Table1[[#This Row],[HASIL MAX]]</f>
        <v>1</v>
      </c>
      <c r="I690" s="4"/>
      <c r="J690" s="4"/>
    </row>
    <row r="691" spans="1:10" x14ac:dyDescent="0.25">
      <c r="A691" s="48" t="s">
        <v>1179</v>
      </c>
      <c r="B691" t="s">
        <v>1180</v>
      </c>
      <c r="C691" t="s">
        <v>912</v>
      </c>
      <c r="D691" s="3">
        <f>VLOOKUP(Table1[[#This Row],[CODE BARANG]],stock!$A:$C,3,)</f>
        <v>2</v>
      </c>
      <c r="E691" s="1">
        <v>1</v>
      </c>
      <c r="F691" s="1">
        <v>2</v>
      </c>
      <c r="G691" s="4">
        <f>Table1[[#This Row],[stock]]/Table1[[#This Row],[HASIL MIN]]</f>
        <v>2</v>
      </c>
      <c r="H691" s="4">
        <f>Table1[[#This Row],[stock]]/Table1[[#This Row],[HASIL MAX]]</f>
        <v>1</v>
      </c>
      <c r="I691" s="4"/>
      <c r="J691" s="4"/>
    </row>
    <row r="692" spans="1:10" x14ac:dyDescent="0.25">
      <c r="A692" s="48" t="s">
        <v>451</v>
      </c>
      <c r="B692" t="s">
        <v>452</v>
      </c>
      <c r="C692" t="s">
        <v>23216</v>
      </c>
      <c r="D692" s="3">
        <f>VLOOKUP(Table1[[#This Row],[CODE BARANG]],stock!$A:$C,3,)</f>
        <v>6</v>
      </c>
      <c r="E692" s="1">
        <v>3</v>
      </c>
      <c r="F692" s="1">
        <v>6</v>
      </c>
      <c r="G692" s="4">
        <f>Table1[[#This Row],[stock]]/Table1[[#This Row],[HASIL MIN]]</f>
        <v>2</v>
      </c>
      <c r="H692" s="4">
        <f>Table1[[#This Row],[stock]]/Table1[[#This Row],[HASIL MAX]]</f>
        <v>1</v>
      </c>
      <c r="I692" s="4"/>
      <c r="J692" s="4"/>
    </row>
    <row r="693" spans="1:10" x14ac:dyDescent="0.25">
      <c r="A693" s="48" t="s">
        <v>16162</v>
      </c>
      <c r="B693" t="s">
        <v>16163</v>
      </c>
      <c r="C693" t="s">
        <v>442</v>
      </c>
      <c r="D693" s="3">
        <f>VLOOKUP(Table1[[#This Row],[CODE BARANG]],stock!$A:$C,3,)</f>
        <v>12</v>
      </c>
      <c r="E693" s="1">
        <v>6</v>
      </c>
      <c r="F693" s="1">
        <v>12</v>
      </c>
      <c r="G693" s="4">
        <f>Table1[[#This Row],[stock]]/Table1[[#This Row],[HASIL MIN]]</f>
        <v>2</v>
      </c>
      <c r="H693" s="4">
        <f>Table1[[#This Row],[stock]]/Table1[[#This Row],[HASIL MAX]]</f>
        <v>1</v>
      </c>
      <c r="I693" s="4"/>
      <c r="J693" s="4"/>
    </row>
    <row r="694" spans="1:10" x14ac:dyDescent="0.25">
      <c r="A694" s="48" t="s">
        <v>395</v>
      </c>
      <c r="B694" t="s">
        <v>396</v>
      </c>
      <c r="C694" t="s">
        <v>439</v>
      </c>
      <c r="D694" s="3">
        <f>VLOOKUP(Table1[[#This Row],[CODE BARANG]],stock!$A:$C,3,)</f>
        <v>10</v>
      </c>
      <c r="E694" s="1">
        <v>6</v>
      </c>
      <c r="F694" s="1">
        <v>10</v>
      </c>
      <c r="G694" s="4">
        <f>Table1[[#This Row],[stock]]/Table1[[#This Row],[HASIL MIN]]</f>
        <v>1.6666666666666667</v>
      </c>
      <c r="H694" s="4">
        <f>Table1[[#This Row],[stock]]/Table1[[#This Row],[HASIL MAX]]</f>
        <v>1</v>
      </c>
      <c r="I694" s="4"/>
      <c r="J694" s="4"/>
    </row>
    <row r="695" spans="1:10" x14ac:dyDescent="0.25">
      <c r="A695" s="48" t="s">
        <v>18348</v>
      </c>
      <c r="B695" t="s">
        <v>22028</v>
      </c>
      <c r="C695" t="s">
        <v>23216</v>
      </c>
      <c r="D695" s="3">
        <f>VLOOKUP(Table1[[#This Row],[CODE BARANG]],stock!$A:$C,3,)</f>
        <v>12</v>
      </c>
      <c r="E695" s="1">
        <v>5</v>
      </c>
      <c r="F695" s="1">
        <v>12</v>
      </c>
      <c r="G695" s="4">
        <f>Table1[[#This Row],[stock]]/Table1[[#This Row],[HASIL MIN]]</f>
        <v>2.4</v>
      </c>
      <c r="H695" s="4">
        <f>Table1[[#This Row],[stock]]/Table1[[#This Row],[HASIL MAX]]</f>
        <v>1</v>
      </c>
      <c r="I695" s="4"/>
      <c r="J695" s="4"/>
    </row>
    <row r="696" spans="1:10" x14ac:dyDescent="0.25">
      <c r="A696" s="48" t="s">
        <v>1009</v>
      </c>
      <c r="B696" t="s">
        <v>1010</v>
      </c>
      <c r="C696" t="s">
        <v>442</v>
      </c>
      <c r="D696" s="3">
        <f>VLOOKUP(Table1[[#This Row],[CODE BARANG]],stock!$A:$C,3,)</f>
        <v>36</v>
      </c>
      <c r="E696" s="1">
        <v>20</v>
      </c>
      <c r="F696" s="1">
        <v>36</v>
      </c>
      <c r="G696" s="4">
        <f>Table1[[#This Row],[stock]]/Table1[[#This Row],[HASIL MIN]]</f>
        <v>1.8</v>
      </c>
      <c r="H696" s="4">
        <f>Table1[[#This Row],[stock]]/Table1[[#This Row],[HASIL MAX]]</f>
        <v>1</v>
      </c>
      <c r="I696" s="4"/>
      <c r="J696" s="4"/>
    </row>
    <row r="697" spans="1:10" x14ac:dyDescent="0.25">
      <c r="A697" s="48" t="s">
        <v>467</v>
      </c>
      <c r="B697" t="s">
        <v>468</v>
      </c>
      <c r="C697" t="s">
        <v>23211</v>
      </c>
      <c r="D697" s="3">
        <f>VLOOKUP(Table1[[#This Row],[CODE BARANG]],stock!$A:$C,3,)</f>
        <v>6</v>
      </c>
      <c r="E697" s="1">
        <v>4</v>
      </c>
      <c r="F697" s="1">
        <v>6</v>
      </c>
      <c r="G697" s="4">
        <f>Table1[[#This Row],[stock]]/Table1[[#This Row],[HASIL MIN]]</f>
        <v>1.5</v>
      </c>
      <c r="H697" s="4">
        <f>Table1[[#This Row],[stock]]/Table1[[#This Row],[HASIL MAX]]</f>
        <v>1</v>
      </c>
      <c r="I697" s="4"/>
      <c r="J697" s="4"/>
    </row>
    <row r="698" spans="1:10" x14ac:dyDescent="0.25">
      <c r="A698" s="48" t="s">
        <v>93</v>
      </c>
      <c r="B698" t="s">
        <v>94</v>
      </c>
      <c r="C698" t="s">
        <v>23215</v>
      </c>
      <c r="D698" s="3">
        <f>VLOOKUP(Table1[[#This Row],[CODE BARANG]],stock!$A:$C,3,)</f>
        <v>4</v>
      </c>
      <c r="E698" s="1">
        <v>2</v>
      </c>
      <c r="F698" s="1">
        <v>4</v>
      </c>
      <c r="G698" s="4">
        <f>Table1[[#This Row],[stock]]/Table1[[#This Row],[HASIL MIN]]</f>
        <v>2</v>
      </c>
      <c r="H698" s="4">
        <f>Table1[[#This Row],[stock]]/Table1[[#This Row],[HASIL MAX]]</f>
        <v>1</v>
      </c>
      <c r="I698" s="4"/>
      <c r="J698" s="4"/>
    </row>
    <row r="699" spans="1:10" x14ac:dyDescent="0.25">
      <c r="A699" s="48" t="s">
        <v>1711</v>
      </c>
      <c r="B699" t="s">
        <v>1712</v>
      </c>
      <c r="C699" t="s">
        <v>23207</v>
      </c>
      <c r="D699" s="3">
        <f>VLOOKUP(Table1[[#This Row],[CODE BARANG]],stock!$A:$C,3,)</f>
        <v>12</v>
      </c>
      <c r="E699" s="1">
        <v>8</v>
      </c>
      <c r="F699" s="1">
        <v>12</v>
      </c>
      <c r="G699" s="4">
        <f>Table1[[#This Row],[stock]]/Table1[[#This Row],[HASIL MIN]]</f>
        <v>1.5</v>
      </c>
      <c r="H699" s="4">
        <f>Table1[[#This Row],[stock]]/Table1[[#This Row],[HASIL MAX]]</f>
        <v>1</v>
      </c>
      <c r="I699" s="4"/>
      <c r="J699" s="4"/>
    </row>
    <row r="700" spans="1:10" x14ac:dyDescent="0.25">
      <c r="A700" s="48" t="s">
        <v>13502</v>
      </c>
      <c r="B700" t="s">
        <v>13503</v>
      </c>
      <c r="C700" t="s">
        <v>23207</v>
      </c>
      <c r="D700" s="3">
        <f>VLOOKUP(Table1[[#This Row],[CODE BARANG]],stock!$A:$C,3,)</f>
        <v>6</v>
      </c>
      <c r="E700" s="1">
        <v>4</v>
      </c>
      <c r="F700" s="1">
        <v>6</v>
      </c>
      <c r="G700" s="4">
        <f>Table1[[#This Row],[stock]]/Table1[[#This Row],[HASIL MIN]]</f>
        <v>1.5</v>
      </c>
      <c r="H700" s="4">
        <f>Table1[[#This Row],[stock]]/Table1[[#This Row],[HASIL MAX]]</f>
        <v>1</v>
      </c>
      <c r="I700" s="4"/>
      <c r="J700" s="4"/>
    </row>
    <row r="701" spans="1:10" x14ac:dyDescent="0.25">
      <c r="A701" s="48" t="s">
        <v>1469</v>
      </c>
      <c r="B701" t="s">
        <v>1470</v>
      </c>
      <c r="C701" t="s">
        <v>23211</v>
      </c>
      <c r="D701" s="3">
        <f>VLOOKUP(Table1[[#This Row],[CODE BARANG]],stock!$A:$C,3,)</f>
        <v>3</v>
      </c>
      <c r="E701" s="1">
        <v>1</v>
      </c>
      <c r="F701" s="1">
        <v>3</v>
      </c>
      <c r="G701" s="4">
        <f>Table1[[#This Row],[stock]]/Table1[[#This Row],[HASIL MIN]]</f>
        <v>3</v>
      </c>
      <c r="H701" s="4">
        <f>Table1[[#This Row],[stock]]/Table1[[#This Row],[HASIL MAX]]</f>
        <v>1</v>
      </c>
      <c r="I701" s="4"/>
      <c r="J701" s="4"/>
    </row>
    <row r="702" spans="1:10" x14ac:dyDescent="0.25">
      <c r="A702" s="48" t="s">
        <v>1769</v>
      </c>
      <c r="B702" t="s">
        <v>1770</v>
      </c>
      <c r="C702" t="s">
        <v>23209</v>
      </c>
      <c r="D702" s="3">
        <f>VLOOKUP(Table1[[#This Row],[CODE BARANG]],stock!$A:$C,3,)</f>
        <v>4</v>
      </c>
      <c r="E702" s="1">
        <v>2</v>
      </c>
      <c r="F702" s="1">
        <v>4</v>
      </c>
      <c r="G702" s="4">
        <f>Table1[[#This Row],[stock]]/Table1[[#This Row],[HASIL MIN]]</f>
        <v>2</v>
      </c>
      <c r="H702" s="4">
        <f>Table1[[#This Row],[stock]]/Table1[[#This Row],[HASIL MAX]]</f>
        <v>1</v>
      </c>
      <c r="I702" s="4"/>
      <c r="J702" s="4"/>
    </row>
    <row r="703" spans="1:10" x14ac:dyDescent="0.25">
      <c r="A703" s="48" t="s">
        <v>1535</v>
      </c>
      <c r="B703" t="s">
        <v>1536</v>
      </c>
      <c r="C703" t="s">
        <v>23207</v>
      </c>
      <c r="D703" s="3">
        <f>VLOOKUP(Table1[[#This Row],[CODE BARANG]],stock!$A:$C,3,)</f>
        <v>4</v>
      </c>
      <c r="E703" s="1">
        <v>2</v>
      </c>
      <c r="F703" s="1">
        <v>4</v>
      </c>
      <c r="G703" s="4">
        <f>Table1[[#This Row],[stock]]/Table1[[#This Row],[HASIL MIN]]</f>
        <v>2</v>
      </c>
      <c r="H703" s="4">
        <f>Table1[[#This Row],[stock]]/Table1[[#This Row],[HASIL MAX]]</f>
        <v>1</v>
      </c>
      <c r="I703" s="4"/>
      <c r="J703" s="4"/>
    </row>
    <row r="704" spans="1:10" x14ac:dyDescent="0.25">
      <c r="A704" s="48" t="s">
        <v>1663</v>
      </c>
      <c r="B704" t="s">
        <v>1664</v>
      </c>
      <c r="C704" t="s">
        <v>23214</v>
      </c>
      <c r="D704" s="3">
        <f>VLOOKUP(Table1[[#This Row],[CODE BARANG]],stock!$A:$C,3,)</f>
        <v>3</v>
      </c>
      <c r="E704" s="1">
        <v>2</v>
      </c>
      <c r="F704" s="1">
        <v>3</v>
      </c>
      <c r="G704" s="4">
        <f>Table1[[#This Row],[stock]]/Table1[[#This Row],[HASIL MIN]]</f>
        <v>1.5</v>
      </c>
      <c r="H704" s="4">
        <f>Table1[[#This Row],[stock]]/Table1[[#This Row],[HASIL MAX]]</f>
        <v>1</v>
      </c>
      <c r="I704" s="4"/>
      <c r="J704" s="4"/>
    </row>
    <row r="705" spans="1:10" x14ac:dyDescent="0.25">
      <c r="A705" s="48" t="s">
        <v>75</v>
      </c>
      <c r="B705" t="s">
        <v>76</v>
      </c>
      <c r="C705" t="s">
        <v>439</v>
      </c>
      <c r="D705" s="3">
        <f>VLOOKUP(Table1[[#This Row],[CODE BARANG]],stock!$A:$C,3,)</f>
        <v>2</v>
      </c>
      <c r="E705" s="1">
        <v>1</v>
      </c>
      <c r="F705" s="1">
        <v>2</v>
      </c>
      <c r="G705" s="4">
        <f>Table1[[#This Row],[stock]]/Table1[[#This Row],[HASIL MIN]]</f>
        <v>2</v>
      </c>
      <c r="H705" s="4">
        <f>Table1[[#This Row],[stock]]/Table1[[#This Row],[HASIL MAX]]</f>
        <v>1</v>
      </c>
      <c r="I705" s="4"/>
      <c r="J705" s="4"/>
    </row>
    <row r="706" spans="1:10" x14ac:dyDescent="0.25">
      <c r="A706" s="48" t="s">
        <v>1607</v>
      </c>
      <c r="B706" t="s">
        <v>1608</v>
      </c>
      <c r="C706" t="s">
        <v>23209</v>
      </c>
      <c r="D706" s="3">
        <f>VLOOKUP(Table1[[#This Row],[CODE BARANG]],stock!$A:$C,3,)</f>
        <v>18</v>
      </c>
      <c r="E706" s="1">
        <v>12</v>
      </c>
      <c r="F706" s="1">
        <v>18</v>
      </c>
      <c r="G706" s="4">
        <f>Table1[[#This Row],[stock]]/Table1[[#This Row],[HASIL MIN]]</f>
        <v>1.5</v>
      </c>
      <c r="H706" s="4">
        <f>Table1[[#This Row],[stock]]/Table1[[#This Row],[HASIL MAX]]</f>
        <v>1</v>
      </c>
      <c r="I706" s="4"/>
      <c r="J706" s="4"/>
    </row>
    <row r="707" spans="1:10" x14ac:dyDescent="0.25">
      <c r="A707" s="48" t="s">
        <v>155</v>
      </c>
      <c r="B707" t="s">
        <v>156</v>
      </c>
      <c r="C707" t="s">
        <v>23219</v>
      </c>
      <c r="D707" s="3">
        <f>VLOOKUP(Table1[[#This Row],[CODE BARANG]],stock!$A:$C,3,)</f>
        <v>1</v>
      </c>
      <c r="E707" s="1">
        <v>1</v>
      </c>
      <c r="F707" s="1">
        <v>1</v>
      </c>
      <c r="G707" s="4">
        <f>Table1[[#This Row],[stock]]/Table1[[#This Row],[HASIL MIN]]</f>
        <v>1</v>
      </c>
      <c r="H707" s="4">
        <f>Table1[[#This Row],[stock]]/Table1[[#This Row],[HASIL MAX]]</f>
        <v>1</v>
      </c>
      <c r="I707" s="4"/>
      <c r="J707" s="4"/>
    </row>
    <row r="708" spans="1:10" x14ac:dyDescent="0.25">
      <c r="A708" s="48" t="s">
        <v>627</v>
      </c>
      <c r="B708" t="s">
        <v>628</v>
      </c>
      <c r="C708" t="s">
        <v>442</v>
      </c>
      <c r="D708" s="3">
        <f>VLOOKUP(Table1[[#This Row],[CODE BARANG]],stock!$A:$C,3,)</f>
        <v>12</v>
      </c>
      <c r="E708" s="1">
        <v>10</v>
      </c>
      <c r="F708" s="1">
        <v>12</v>
      </c>
      <c r="G708" s="4">
        <f>Table1[[#This Row],[stock]]/Table1[[#This Row],[HASIL MIN]]</f>
        <v>1.2</v>
      </c>
      <c r="H708" s="4">
        <f>Table1[[#This Row],[stock]]/Table1[[#This Row],[HASIL MAX]]</f>
        <v>1</v>
      </c>
      <c r="I708" s="4"/>
      <c r="J708" s="4"/>
    </row>
    <row r="709" spans="1:10" x14ac:dyDescent="0.25">
      <c r="A709" s="48" t="s">
        <v>1815</v>
      </c>
      <c r="B709" t="s">
        <v>1816</v>
      </c>
      <c r="C709" t="s">
        <v>912</v>
      </c>
      <c r="D709" s="3">
        <f>VLOOKUP(Table1[[#This Row],[CODE BARANG]],stock!$A:$C,3,)</f>
        <v>30</v>
      </c>
      <c r="E709" s="1">
        <v>12</v>
      </c>
      <c r="F709" s="1">
        <v>30</v>
      </c>
      <c r="G709" s="4">
        <f>Table1[[#This Row],[stock]]/Table1[[#This Row],[HASIL MIN]]</f>
        <v>2.5</v>
      </c>
      <c r="H709" s="4">
        <f>Table1[[#This Row],[stock]]/Table1[[#This Row],[HASIL MAX]]</f>
        <v>1</v>
      </c>
      <c r="I709" s="4"/>
      <c r="J709" s="4"/>
    </row>
    <row r="710" spans="1:10" x14ac:dyDescent="0.25">
      <c r="A710" s="48" t="s">
        <v>1779</v>
      </c>
      <c r="B710" t="s">
        <v>1780</v>
      </c>
      <c r="C710" t="s">
        <v>23209</v>
      </c>
      <c r="D710" s="3">
        <f>VLOOKUP(Table1[[#This Row],[CODE BARANG]],stock!$A:$C,3,)</f>
        <v>4</v>
      </c>
      <c r="E710" s="1">
        <v>2</v>
      </c>
      <c r="F710" s="1">
        <v>4</v>
      </c>
      <c r="G710" s="4">
        <f>Table1[[#This Row],[stock]]/Table1[[#This Row],[HASIL MIN]]</f>
        <v>2</v>
      </c>
      <c r="H710" s="4">
        <f>Table1[[#This Row],[stock]]/Table1[[#This Row],[HASIL MAX]]</f>
        <v>1</v>
      </c>
      <c r="I710" s="4"/>
      <c r="J710" s="4"/>
    </row>
    <row r="711" spans="1:10" x14ac:dyDescent="0.25">
      <c r="A711" s="48" t="s">
        <v>769</v>
      </c>
      <c r="B711" t="s">
        <v>770</v>
      </c>
      <c r="C711" t="s">
        <v>23211</v>
      </c>
      <c r="D711" s="3">
        <f>VLOOKUP(Table1[[#This Row],[CODE BARANG]],stock!$A:$C,3,)</f>
        <v>2</v>
      </c>
      <c r="E711" s="1">
        <v>1</v>
      </c>
      <c r="F711" s="1">
        <v>2</v>
      </c>
      <c r="G711" s="4">
        <f>Table1[[#This Row],[stock]]/Table1[[#This Row],[HASIL MIN]]</f>
        <v>2</v>
      </c>
      <c r="H711" s="4">
        <f>Table1[[#This Row],[stock]]/Table1[[#This Row],[HASIL MAX]]</f>
        <v>1</v>
      </c>
      <c r="I711" s="4"/>
      <c r="J711" s="4"/>
    </row>
    <row r="712" spans="1:10" x14ac:dyDescent="0.25">
      <c r="A712" s="48" t="s">
        <v>203</v>
      </c>
      <c r="B712" t="s">
        <v>204</v>
      </c>
      <c r="C712" t="s">
        <v>23211</v>
      </c>
      <c r="D712" s="3">
        <f>VLOOKUP(Table1[[#This Row],[CODE BARANG]],stock!$A:$C,3,)</f>
        <v>3</v>
      </c>
      <c r="E712" s="1">
        <v>2</v>
      </c>
      <c r="F712" s="1">
        <v>3</v>
      </c>
      <c r="G712" s="4">
        <f>Table1[[#This Row],[stock]]/Table1[[#This Row],[HASIL MIN]]</f>
        <v>1.5</v>
      </c>
      <c r="H712" s="4">
        <f>Table1[[#This Row],[stock]]/Table1[[#This Row],[HASIL MAX]]</f>
        <v>1</v>
      </c>
      <c r="I712" s="4"/>
      <c r="J712" s="4"/>
    </row>
    <row r="713" spans="1:10" x14ac:dyDescent="0.25">
      <c r="A713" s="48" t="s">
        <v>1359</v>
      </c>
      <c r="B713" t="s">
        <v>1360</v>
      </c>
      <c r="C713" t="s">
        <v>23214</v>
      </c>
      <c r="D713" s="3">
        <f>VLOOKUP(Table1[[#This Row],[CODE BARANG]],stock!$A:$C,3,)</f>
        <v>20</v>
      </c>
      <c r="E713" s="1">
        <v>12</v>
      </c>
      <c r="F713" s="1">
        <v>20</v>
      </c>
      <c r="G713" s="4">
        <f>Table1[[#This Row],[stock]]/Table1[[#This Row],[HASIL MIN]]</f>
        <v>1.6666666666666667</v>
      </c>
      <c r="H713" s="4">
        <f>Table1[[#This Row],[stock]]/Table1[[#This Row],[HASIL MAX]]</f>
        <v>1</v>
      </c>
      <c r="I713" s="4"/>
      <c r="J713" s="4"/>
    </row>
    <row r="714" spans="1:10" x14ac:dyDescent="0.25">
      <c r="A714" s="48" t="s">
        <v>3000</v>
      </c>
      <c r="B714" t="s">
        <v>3001</v>
      </c>
      <c r="C714" t="s">
        <v>23214</v>
      </c>
      <c r="D714" s="3">
        <f>VLOOKUP(Table1[[#This Row],[CODE BARANG]],stock!$A:$C,3,)</f>
        <v>6</v>
      </c>
      <c r="E714" s="1">
        <v>3</v>
      </c>
      <c r="F714" s="1">
        <v>6</v>
      </c>
      <c r="G714" s="4">
        <f>Table1[[#This Row],[stock]]/Table1[[#This Row],[HASIL MIN]]</f>
        <v>2</v>
      </c>
      <c r="H714" s="4">
        <f>Table1[[#This Row],[stock]]/Table1[[#This Row],[HASIL MAX]]</f>
        <v>1</v>
      </c>
      <c r="I714" s="4"/>
      <c r="J714" s="4"/>
    </row>
    <row r="715" spans="1:10" x14ac:dyDescent="0.25">
      <c r="A715" s="48" t="s">
        <v>525</v>
      </c>
      <c r="B715" t="s">
        <v>526</v>
      </c>
      <c r="C715" t="s">
        <v>23215</v>
      </c>
      <c r="D715" s="3">
        <f>VLOOKUP(Table1[[#This Row],[CODE BARANG]],stock!$A:$C,3,)</f>
        <v>8</v>
      </c>
      <c r="E715" s="1">
        <v>6</v>
      </c>
      <c r="F715" s="1">
        <v>8</v>
      </c>
      <c r="G715" s="4">
        <f>Table1[[#This Row],[stock]]/Table1[[#This Row],[HASIL MIN]]</f>
        <v>1.3333333333333333</v>
      </c>
      <c r="H715" s="4">
        <f>Table1[[#This Row],[stock]]/Table1[[#This Row],[HASIL MAX]]</f>
        <v>1</v>
      </c>
      <c r="I715" s="4"/>
      <c r="J715" s="4"/>
    </row>
    <row r="716" spans="1:10" x14ac:dyDescent="0.25">
      <c r="A716" s="48" t="s">
        <v>423</v>
      </c>
      <c r="B716" t="s">
        <v>424</v>
      </c>
      <c r="C716" t="s">
        <v>23214</v>
      </c>
      <c r="D716" s="3">
        <f>VLOOKUP(Table1[[#This Row],[CODE BARANG]],stock!$A:$C,3,)</f>
        <v>12</v>
      </c>
      <c r="E716" s="1">
        <v>6</v>
      </c>
      <c r="F716" s="1">
        <v>12</v>
      </c>
      <c r="G716" s="4">
        <f>Table1[[#This Row],[stock]]/Table1[[#This Row],[HASIL MIN]]</f>
        <v>2</v>
      </c>
      <c r="H716" s="4">
        <f>Table1[[#This Row],[stock]]/Table1[[#This Row],[HASIL MAX]]</f>
        <v>1</v>
      </c>
      <c r="I716" s="4"/>
      <c r="J716" s="4"/>
    </row>
    <row r="717" spans="1:10" x14ac:dyDescent="0.25">
      <c r="A717" s="48" t="s">
        <v>9742</v>
      </c>
      <c r="B717" t="s">
        <v>9743</v>
      </c>
      <c r="C717" t="s">
        <v>23214</v>
      </c>
      <c r="D717" s="3">
        <f>VLOOKUP(Table1[[#This Row],[CODE BARANG]],stock!$A:$C,3,)</f>
        <v>12</v>
      </c>
      <c r="E717" s="1">
        <v>4</v>
      </c>
      <c r="F717" s="1">
        <v>12</v>
      </c>
      <c r="G717" s="4">
        <f>Table1[[#This Row],[stock]]/Table1[[#This Row],[HASIL MIN]]</f>
        <v>3</v>
      </c>
      <c r="H717" s="4">
        <f>Table1[[#This Row],[stock]]/Table1[[#This Row],[HASIL MAX]]</f>
        <v>1</v>
      </c>
      <c r="I717" s="4"/>
      <c r="J717" s="4"/>
    </row>
    <row r="718" spans="1:10" x14ac:dyDescent="0.25">
      <c r="A718" s="48" t="s">
        <v>14246</v>
      </c>
      <c r="B718" t="s">
        <v>14247</v>
      </c>
      <c r="C718" t="s">
        <v>23215</v>
      </c>
      <c r="D718" s="3">
        <f>VLOOKUP(Table1[[#This Row],[CODE BARANG]],stock!$A:$C,3,)</f>
        <v>2</v>
      </c>
      <c r="E718" s="1">
        <v>1</v>
      </c>
      <c r="F718" s="1">
        <v>2</v>
      </c>
      <c r="G718" s="4">
        <f>Table1[[#This Row],[stock]]/Table1[[#This Row],[HASIL MIN]]</f>
        <v>2</v>
      </c>
      <c r="H718" s="4">
        <f>Table1[[#This Row],[stock]]/Table1[[#This Row],[HASIL MAX]]</f>
        <v>1</v>
      </c>
      <c r="I718" s="4"/>
      <c r="J718" s="4"/>
    </row>
    <row r="719" spans="1:10" x14ac:dyDescent="0.25">
      <c r="A719" s="48" t="s">
        <v>18866</v>
      </c>
      <c r="B719" t="s">
        <v>18867</v>
      </c>
      <c r="C719" t="s">
        <v>23214</v>
      </c>
      <c r="D719" s="3">
        <f>VLOOKUP(Table1[[#This Row],[CODE BARANG]],stock!$A:$C,3,)</f>
        <v>24</v>
      </c>
      <c r="E719" s="1">
        <v>10</v>
      </c>
      <c r="F719" s="1">
        <v>24</v>
      </c>
      <c r="G719" s="4">
        <f>Table1[[#This Row],[stock]]/Table1[[#This Row],[HASIL MIN]]</f>
        <v>2.4</v>
      </c>
      <c r="H719" s="4">
        <f>Table1[[#This Row],[stock]]/Table1[[#This Row],[HASIL MAX]]</f>
        <v>1</v>
      </c>
      <c r="I719" s="4"/>
      <c r="J719" s="4"/>
    </row>
    <row r="720" spans="1:10" x14ac:dyDescent="0.25">
      <c r="A720" s="48" t="s">
        <v>6741</v>
      </c>
      <c r="B720" t="s">
        <v>6742</v>
      </c>
      <c r="C720" t="s">
        <v>23207</v>
      </c>
      <c r="D720" s="3">
        <f>VLOOKUP(Table1[[#This Row],[CODE BARANG]],stock!$A:$C,3,)</f>
        <v>5</v>
      </c>
      <c r="E720" s="1">
        <v>3</v>
      </c>
      <c r="F720" s="1">
        <v>5</v>
      </c>
      <c r="G720" s="4">
        <f>Table1[[#This Row],[stock]]/Table1[[#This Row],[HASIL MIN]]</f>
        <v>1.6666666666666667</v>
      </c>
      <c r="H720" s="4">
        <f>Table1[[#This Row],[stock]]/Table1[[#This Row],[HASIL MAX]]</f>
        <v>1</v>
      </c>
      <c r="I720" s="4"/>
      <c r="J720" s="4"/>
    </row>
    <row r="721" spans="1:10" x14ac:dyDescent="0.25">
      <c r="A721" s="48" t="s">
        <v>1231</v>
      </c>
      <c r="B721" t="s">
        <v>1232</v>
      </c>
      <c r="C721" t="s">
        <v>442</v>
      </c>
      <c r="D721" s="3">
        <f>VLOOKUP(Table1[[#This Row],[CODE BARANG]],stock!$A:$C,3,)</f>
        <v>60</v>
      </c>
      <c r="E721" s="1">
        <v>40</v>
      </c>
      <c r="F721" s="1">
        <v>60</v>
      </c>
      <c r="G721" s="4">
        <f>Table1[[#This Row],[stock]]/Table1[[#This Row],[HASIL MIN]]</f>
        <v>1.5</v>
      </c>
      <c r="H721" s="4">
        <f>Table1[[#This Row],[stock]]/Table1[[#This Row],[HASIL MAX]]</f>
        <v>1</v>
      </c>
      <c r="I721" s="4"/>
      <c r="J721" s="4"/>
    </row>
    <row r="722" spans="1:10" x14ac:dyDescent="0.25">
      <c r="A722" s="48" t="s">
        <v>103</v>
      </c>
      <c r="B722" t="s">
        <v>104</v>
      </c>
      <c r="C722" t="s">
        <v>23214</v>
      </c>
      <c r="D722" s="3">
        <f>VLOOKUP(Table1[[#This Row],[CODE BARANG]],stock!$A:$C,3,)</f>
        <v>60</v>
      </c>
      <c r="E722" s="1">
        <v>40</v>
      </c>
      <c r="F722" s="1">
        <v>60</v>
      </c>
      <c r="G722" s="4">
        <f>Table1[[#This Row],[stock]]/Table1[[#This Row],[HASIL MIN]]</f>
        <v>1.5</v>
      </c>
      <c r="H722" s="4">
        <f>Table1[[#This Row],[stock]]/Table1[[#This Row],[HASIL MAX]]</f>
        <v>1</v>
      </c>
      <c r="I722" s="4"/>
      <c r="J722" s="4"/>
    </row>
    <row r="723" spans="1:10" x14ac:dyDescent="0.25">
      <c r="A723" s="48" t="s">
        <v>971</v>
      </c>
      <c r="B723" t="s">
        <v>972</v>
      </c>
      <c r="C723" t="s">
        <v>23207</v>
      </c>
      <c r="D723" s="3">
        <f>VLOOKUP(Table1[[#This Row],[CODE BARANG]],stock!$A:$C,3,)</f>
        <v>24</v>
      </c>
      <c r="E723" s="1">
        <v>12</v>
      </c>
      <c r="F723" s="1">
        <v>24</v>
      </c>
      <c r="G723" s="4">
        <f>Table1[[#This Row],[stock]]/Table1[[#This Row],[HASIL MIN]]</f>
        <v>2</v>
      </c>
      <c r="H723" s="4">
        <f>Table1[[#This Row],[stock]]/Table1[[#This Row],[HASIL MAX]]</f>
        <v>1</v>
      </c>
      <c r="I723" s="4"/>
      <c r="J723" s="4"/>
    </row>
    <row r="724" spans="1:10" x14ac:dyDescent="0.25">
      <c r="A724" s="48" t="s">
        <v>844</v>
      </c>
      <c r="B724" t="s">
        <v>845</v>
      </c>
      <c r="C724" t="s">
        <v>23215</v>
      </c>
      <c r="D724" s="3">
        <f>VLOOKUP(Table1[[#This Row],[CODE BARANG]],stock!$A:$C,3,)</f>
        <v>8</v>
      </c>
      <c r="E724" s="1">
        <v>4</v>
      </c>
      <c r="F724" s="1">
        <v>8</v>
      </c>
      <c r="G724" s="4">
        <f>Table1[[#This Row],[stock]]/Table1[[#This Row],[HASIL MIN]]</f>
        <v>2</v>
      </c>
      <c r="H724" s="4">
        <f>Table1[[#This Row],[stock]]/Table1[[#This Row],[HASIL MAX]]</f>
        <v>1</v>
      </c>
      <c r="I724" s="4"/>
      <c r="J724" s="4"/>
    </row>
    <row r="725" spans="1:10" x14ac:dyDescent="0.25">
      <c r="A725" s="48" t="s">
        <v>497</v>
      </c>
      <c r="B725" t="s">
        <v>498</v>
      </c>
      <c r="C725" t="s">
        <v>439</v>
      </c>
      <c r="D725" s="3">
        <f>VLOOKUP(Table1[[#This Row],[CODE BARANG]],stock!$A:$C,3,)</f>
        <v>6</v>
      </c>
      <c r="E725" s="1">
        <v>4</v>
      </c>
      <c r="F725" s="1">
        <v>6</v>
      </c>
      <c r="G725" s="4">
        <f>Table1[[#This Row],[stock]]/Table1[[#This Row],[HASIL MIN]]</f>
        <v>1.5</v>
      </c>
      <c r="H725" s="4">
        <f>Table1[[#This Row],[stock]]/Table1[[#This Row],[HASIL MAX]]</f>
        <v>1</v>
      </c>
      <c r="I725" s="4"/>
      <c r="J725" s="4"/>
    </row>
    <row r="726" spans="1:10" x14ac:dyDescent="0.25">
      <c r="A726" s="48" t="s">
        <v>8421</v>
      </c>
      <c r="B726" t="s">
        <v>8422</v>
      </c>
      <c r="C726" t="s">
        <v>23209</v>
      </c>
      <c r="D726" s="3">
        <f>VLOOKUP(Table1[[#This Row],[CODE BARANG]],stock!$A:$C,3,)</f>
        <v>6</v>
      </c>
      <c r="E726" s="1">
        <v>2</v>
      </c>
      <c r="F726" s="1">
        <v>6</v>
      </c>
      <c r="G726" s="4">
        <f>Table1[[#This Row],[stock]]/Table1[[#This Row],[HASIL MIN]]</f>
        <v>3</v>
      </c>
      <c r="H726" s="4">
        <f>Table1[[#This Row],[stock]]/Table1[[#This Row],[HASIL MAX]]</f>
        <v>1</v>
      </c>
      <c r="I726" s="4"/>
      <c r="J726" s="4"/>
    </row>
    <row r="727" spans="1:10" x14ac:dyDescent="0.25">
      <c r="A727" s="48" t="s">
        <v>1423</v>
      </c>
      <c r="B727" t="s">
        <v>1424</v>
      </c>
      <c r="C727" t="s">
        <v>23207</v>
      </c>
      <c r="D727" s="3">
        <f>VLOOKUP(Table1[[#This Row],[CODE BARANG]],stock!$A:$C,3,)</f>
        <v>36</v>
      </c>
      <c r="E727" s="1">
        <v>24</v>
      </c>
      <c r="F727" s="1">
        <v>36</v>
      </c>
      <c r="G727" s="4">
        <f>Table1[[#This Row],[stock]]/Table1[[#This Row],[HASIL MIN]]</f>
        <v>1.5</v>
      </c>
      <c r="H727" s="4">
        <f>Table1[[#This Row],[stock]]/Table1[[#This Row],[HASIL MAX]]</f>
        <v>1</v>
      </c>
      <c r="I727" s="4"/>
      <c r="J727" s="4"/>
    </row>
    <row r="728" spans="1:10" x14ac:dyDescent="0.25">
      <c r="A728" s="48" t="s">
        <v>8473</v>
      </c>
      <c r="B728" t="s">
        <v>8474</v>
      </c>
      <c r="C728" t="s">
        <v>439</v>
      </c>
      <c r="D728" s="3">
        <f>VLOOKUP(Table1[[#This Row],[CODE BARANG]],stock!$A:$C,3,)</f>
        <v>4</v>
      </c>
      <c r="E728" s="1">
        <v>2</v>
      </c>
      <c r="F728" s="1">
        <v>4</v>
      </c>
      <c r="G728" s="4">
        <f>Table1[[#This Row],[stock]]/Table1[[#This Row],[HASIL MIN]]</f>
        <v>2</v>
      </c>
      <c r="H728" s="4">
        <f>Table1[[#This Row],[stock]]/Table1[[#This Row],[HASIL MAX]]</f>
        <v>1</v>
      </c>
      <c r="I728" s="4"/>
      <c r="J728" s="4"/>
    </row>
    <row r="729" spans="1:10" x14ac:dyDescent="0.25">
      <c r="A729" s="48" t="s">
        <v>7003</v>
      </c>
      <c r="B729" t="s">
        <v>7004</v>
      </c>
      <c r="C729" t="s">
        <v>23207</v>
      </c>
      <c r="D729" s="3">
        <f>VLOOKUP(Table1[[#This Row],[CODE BARANG]],stock!$A:$C,3,)</f>
        <v>6</v>
      </c>
      <c r="E729" s="1">
        <v>2</v>
      </c>
      <c r="F729" s="1">
        <v>6</v>
      </c>
      <c r="G729" s="4">
        <f>Table1[[#This Row],[stock]]/Table1[[#This Row],[HASIL MIN]]</f>
        <v>3</v>
      </c>
      <c r="H729" s="4">
        <f>Table1[[#This Row],[stock]]/Table1[[#This Row],[HASIL MAX]]</f>
        <v>1</v>
      </c>
      <c r="I729" s="4"/>
      <c r="J729" s="4"/>
    </row>
    <row r="730" spans="1:10" x14ac:dyDescent="0.25">
      <c r="A730" s="48" t="s">
        <v>507</v>
      </c>
      <c r="B730" t="s">
        <v>508</v>
      </c>
      <c r="C730" t="s">
        <v>23209</v>
      </c>
      <c r="D730" s="3">
        <f>VLOOKUP(Table1[[#This Row],[CODE BARANG]],stock!$A:$C,3,)</f>
        <v>12</v>
      </c>
      <c r="E730" s="1">
        <v>10</v>
      </c>
      <c r="F730" s="1">
        <v>12</v>
      </c>
      <c r="G730" s="4">
        <f>Table1[[#This Row],[stock]]/Table1[[#This Row],[HASIL MIN]]</f>
        <v>1.2</v>
      </c>
      <c r="H730" s="4">
        <f>Table1[[#This Row],[stock]]/Table1[[#This Row],[HASIL MAX]]</f>
        <v>1</v>
      </c>
      <c r="I730" s="4"/>
      <c r="J730" s="4"/>
    </row>
    <row r="731" spans="1:10" x14ac:dyDescent="0.25">
      <c r="A731" s="48" t="s">
        <v>9646</v>
      </c>
      <c r="B731" t="s">
        <v>9647</v>
      </c>
      <c r="C731" t="s">
        <v>442</v>
      </c>
      <c r="D731" s="3">
        <f>VLOOKUP(Table1[[#This Row],[CODE BARANG]],stock!$A:$C,3,)</f>
        <v>3</v>
      </c>
      <c r="E731" s="1">
        <v>2</v>
      </c>
      <c r="F731" s="1">
        <v>3</v>
      </c>
      <c r="G731" s="4">
        <f>Table1[[#This Row],[stock]]/Table1[[#This Row],[HASIL MIN]]</f>
        <v>1.5</v>
      </c>
      <c r="H731" s="4">
        <f>Table1[[#This Row],[stock]]/Table1[[#This Row],[HASIL MAX]]</f>
        <v>1</v>
      </c>
      <c r="I731" s="4"/>
      <c r="J731" s="4"/>
    </row>
    <row r="732" spans="1:10" x14ac:dyDescent="0.25">
      <c r="A732" s="48" t="s">
        <v>1473</v>
      </c>
      <c r="B732" t="s">
        <v>1474</v>
      </c>
      <c r="C732" t="s">
        <v>23209</v>
      </c>
      <c r="D732" s="3">
        <f>VLOOKUP(Table1[[#This Row],[CODE BARANG]],stock!$A:$C,3,)</f>
        <v>12</v>
      </c>
      <c r="E732" s="1">
        <v>8</v>
      </c>
      <c r="F732" s="1">
        <v>12</v>
      </c>
      <c r="G732" s="4">
        <f>Table1[[#This Row],[stock]]/Table1[[#This Row],[HASIL MIN]]</f>
        <v>1.5</v>
      </c>
      <c r="H732" s="4">
        <f>Table1[[#This Row],[stock]]/Table1[[#This Row],[HASIL MAX]]</f>
        <v>1</v>
      </c>
      <c r="I732" s="4"/>
      <c r="J732" s="4"/>
    </row>
    <row r="733" spans="1:10" x14ac:dyDescent="0.25">
      <c r="A733" s="48" t="s">
        <v>1982</v>
      </c>
      <c r="B733" t="s">
        <v>1983</v>
      </c>
      <c r="C733" t="s">
        <v>23211</v>
      </c>
      <c r="D733" s="3">
        <f>VLOOKUP(Table1[[#This Row],[CODE BARANG]],stock!$A:$C,3,)</f>
        <v>18</v>
      </c>
      <c r="E733" s="1">
        <v>6</v>
      </c>
      <c r="F733" s="1">
        <v>18</v>
      </c>
      <c r="G733" s="4">
        <f>Table1[[#This Row],[stock]]/Table1[[#This Row],[HASIL MIN]]</f>
        <v>3</v>
      </c>
      <c r="H733" s="4">
        <f>Table1[[#This Row],[stock]]/Table1[[#This Row],[HASIL MAX]]</f>
        <v>1</v>
      </c>
      <c r="I733" s="4"/>
      <c r="J733" s="4"/>
    </row>
    <row r="734" spans="1:10" x14ac:dyDescent="0.25">
      <c r="A734" s="48" t="s">
        <v>9</v>
      </c>
      <c r="B734" t="s">
        <v>10</v>
      </c>
      <c r="C734" t="s">
        <v>23211</v>
      </c>
      <c r="D734" s="3">
        <f>VLOOKUP(Table1[[#This Row],[CODE BARANG]],stock!$A:$C,3,)</f>
        <v>10</v>
      </c>
      <c r="E734" s="1">
        <v>5</v>
      </c>
      <c r="F734" s="1">
        <v>10</v>
      </c>
      <c r="G734" s="4">
        <f>Table1[[#This Row],[stock]]/Table1[[#This Row],[HASIL MIN]]</f>
        <v>2</v>
      </c>
      <c r="H734" s="4">
        <f>Table1[[#This Row],[stock]]/Table1[[#This Row],[HASIL MAX]]</f>
        <v>1</v>
      </c>
      <c r="I734" s="4"/>
      <c r="J734" s="4"/>
    </row>
    <row r="735" spans="1:10" x14ac:dyDescent="0.25">
      <c r="A735" s="48" t="s">
        <v>701</v>
      </c>
      <c r="B735" t="s">
        <v>702</v>
      </c>
      <c r="C735" t="s">
        <v>442</v>
      </c>
      <c r="D735" s="3">
        <f>VLOOKUP(Table1[[#This Row],[CODE BARANG]],stock!$A:$C,3,)</f>
        <v>4</v>
      </c>
      <c r="E735" s="1">
        <v>2</v>
      </c>
      <c r="F735" s="1">
        <v>4</v>
      </c>
      <c r="G735" s="4">
        <f>Table1[[#This Row],[stock]]/Table1[[#This Row],[HASIL MIN]]</f>
        <v>2</v>
      </c>
      <c r="H735" s="4">
        <f>Table1[[#This Row],[stock]]/Table1[[#This Row],[HASIL MAX]]</f>
        <v>1</v>
      </c>
      <c r="I735" s="4"/>
      <c r="J735" s="4"/>
    </row>
    <row r="736" spans="1:10" x14ac:dyDescent="0.25">
      <c r="A736" s="48" t="s">
        <v>4527</v>
      </c>
      <c r="B736" t="s">
        <v>22239</v>
      </c>
      <c r="C736" t="s">
        <v>23214</v>
      </c>
      <c r="D736" s="3">
        <f>VLOOKUP(Table1[[#This Row],[CODE BARANG]],stock!$A:$C,3,)</f>
        <v>500</v>
      </c>
      <c r="E736" s="1">
        <v>200</v>
      </c>
      <c r="F736" s="1">
        <v>500</v>
      </c>
      <c r="G736" s="4">
        <f>Table1[[#This Row],[stock]]/Table1[[#This Row],[HASIL MIN]]</f>
        <v>2.5</v>
      </c>
      <c r="H736" s="4">
        <f>Table1[[#This Row],[stock]]/Table1[[#This Row],[HASIL MAX]]</f>
        <v>1</v>
      </c>
      <c r="I736" s="4"/>
      <c r="J736" s="4"/>
    </row>
    <row r="737" spans="1:10" x14ac:dyDescent="0.25">
      <c r="A737" s="48" t="s">
        <v>2951</v>
      </c>
      <c r="B737" t="s">
        <v>2952</v>
      </c>
      <c r="C737" t="s">
        <v>23207</v>
      </c>
      <c r="D737" s="3">
        <f>VLOOKUP(Table1[[#This Row],[CODE BARANG]],stock!$A:$C,3,)</f>
        <v>10</v>
      </c>
      <c r="E737" s="1">
        <v>4</v>
      </c>
      <c r="F737" s="1">
        <v>10</v>
      </c>
      <c r="G737" s="4">
        <f>Table1[[#This Row],[stock]]/Table1[[#This Row],[HASIL MIN]]</f>
        <v>2.5</v>
      </c>
      <c r="H737" s="4">
        <f>Table1[[#This Row],[stock]]/Table1[[#This Row],[HASIL MAX]]</f>
        <v>1</v>
      </c>
      <c r="I737" s="4"/>
      <c r="J737" s="4"/>
    </row>
    <row r="738" spans="1:10" x14ac:dyDescent="0.25">
      <c r="A738" s="48" t="s">
        <v>25</v>
      </c>
      <c r="B738" t="s">
        <v>26</v>
      </c>
      <c r="C738" t="s">
        <v>23209</v>
      </c>
      <c r="D738" s="3">
        <f>VLOOKUP(Table1[[#This Row],[CODE BARANG]],stock!$A:$C,3,)</f>
        <v>20</v>
      </c>
      <c r="E738" s="1">
        <v>10</v>
      </c>
      <c r="F738" s="1">
        <v>20</v>
      </c>
      <c r="G738" s="4">
        <f>Table1[[#This Row],[stock]]/Table1[[#This Row],[HASIL MIN]]</f>
        <v>2</v>
      </c>
      <c r="H738" s="4">
        <f>Table1[[#This Row],[stock]]/Table1[[#This Row],[HASIL MAX]]</f>
        <v>1</v>
      </c>
      <c r="I738" s="4"/>
      <c r="J738" s="4"/>
    </row>
    <row r="739" spans="1:10" x14ac:dyDescent="0.25">
      <c r="A739" s="48" t="s">
        <v>721</v>
      </c>
      <c r="B739" t="s">
        <v>722</v>
      </c>
      <c r="C739" t="s">
        <v>23211</v>
      </c>
      <c r="D739" s="3">
        <f>VLOOKUP(Table1[[#This Row],[CODE BARANG]],stock!$A:$C,3,)</f>
        <v>4</v>
      </c>
      <c r="E739" s="1">
        <v>2</v>
      </c>
      <c r="F739" s="1">
        <v>4</v>
      </c>
      <c r="G739" s="4">
        <f>Table1[[#This Row],[stock]]/Table1[[#This Row],[HASIL MIN]]</f>
        <v>2</v>
      </c>
      <c r="H739" s="4">
        <f>Table1[[#This Row],[stock]]/Table1[[#This Row],[HASIL MAX]]</f>
        <v>1</v>
      </c>
      <c r="I739" s="4"/>
      <c r="J739" s="4"/>
    </row>
    <row r="740" spans="1:10" x14ac:dyDescent="0.25">
      <c r="A740" s="48" t="s">
        <v>7356</v>
      </c>
      <c r="B740" t="s">
        <v>7357</v>
      </c>
      <c r="C740" t="s">
        <v>23209</v>
      </c>
      <c r="D740" s="3">
        <f>VLOOKUP(Table1[[#This Row],[CODE BARANG]],stock!$A:$C,3,)</f>
        <v>4</v>
      </c>
      <c r="E740" s="1">
        <v>2</v>
      </c>
      <c r="F740" s="1">
        <v>4</v>
      </c>
      <c r="G740" s="4">
        <f>Table1[[#This Row],[stock]]/Table1[[#This Row],[HASIL MIN]]</f>
        <v>2</v>
      </c>
      <c r="H740" s="4">
        <f>Table1[[#This Row],[stock]]/Table1[[#This Row],[HASIL MAX]]</f>
        <v>1</v>
      </c>
      <c r="I740" s="4"/>
      <c r="J740" s="4"/>
    </row>
    <row r="741" spans="1:10" x14ac:dyDescent="0.25">
      <c r="A741" s="48" t="s">
        <v>2602</v>
      </c>
      <c r="B741" t="s">
        <v>2603</v>
      </c>
      <c r="C741" t="s">
        <v>23212</v>
      </c>
      <c r="D741" s="3">
        <f>VLOOKUP(Table1[[#This Row],[CODE BARANG]],stock!$A:$C,3,)</f>
        <v>100</v>
      </c>
      <c r="E741" s="1">
        <v>50</v>
      </c>
      <c r="F741" s="1">
        <v>100</v>
      </c>
      <c r="G741" s="4">
        <f>Table1[[#This Row],[stock]]/Table1[[#This Row],[HASIL MIN]]</f>
        <v>2</v>
      </c>
      <c r="H741" s="4">
        <f>Table1[[#This Row],[stock]]/Table1[[#This Row],[HASIL MAX]]</f>
        <v>1</v>
      </c>
      <c r="I741" s="4"/>
      <c r="J741" s="4"/>
    </row>
    <row r="742" spans="1:10" x14ac:dyDescent="0.25">
      <c r="A742" s="48" t="s">
        <v>1517</v>
      </c>
      <c r="B742" t="s">
        <v>1518</v>
      </c>
      <c r="C742" t="s">
        <v>23207</v>
      </c>
      <c r="D742" s="3">
        <f>VLOOKUP(Table1[[#This Row],[CODE BARANG]],stock!$A:$C,3,)</f>
        <v>36</v>
      </c>
      <c r="E742" s="1">
        <v>24</v>
      </c>
      <c r="F742" s="1">
        <v>36</v>
      </c>
      <c r="G742" s="4">
        <f>Table1[[#This Row],[stock]]/Table1[[#This Row],[HASIL MIN]]</f>
        <v>1.5</v>
      </c>
      <c r="H742" s="4">
        <f>Table1[[#This Row],[stock]]/Table1[[#This Row],[HASIL MAX]]</f>
        <v>1</v>
      </c>
      <c r="I742" s="4"/>
      <c r="J742" s="4"/>
    </row>
    <row r="743" spans="1:10" ht="15.75" customHeight="1" x14ac:dyDescent="0.25">
      <c r="A743" s="48" t="s">
        <v>1185</v>
      </c>
      <c r="B743" t="s">
        <v>1186</v>
      </c>
      <c r="C743" t="s">
        <v>23215</v>
      </c>
      <c r="D743" s="3">
        <f>VLOOKUP(Table1[[#This Row],[CODE BARANG]],stock!$A:$C,3,)</f>
        <v>60</v>
      </c>
      <c r="E743" s="1">
        <v>24</v>
      </c>
      <c r="F743" s="1">
        <v>60</v>
      </c>
      <c r="G743" s="4">
        <f>Table1[[#This Row],[stock]]/Table1[[#This Row],[HASIL MIN]]</f>
        <v>2.5</v>
      </c>
      <c r="H743" s="4">
        <f>Table1[[#This Row],[stock]]/Table1[[#This Row],[HASIL MAX]]</f>
        <v>1</v>
      </c>
      <c r="I743" s="4"/>
      <c r="J743" s="4"/>
    </row>
    <row r="744" spans="1:10" x14ac:dyDescent="0.25">
      <c r="A744" s="48" t="s">
        <v>449</v>
      </c>
      <c r="B744" t="s">
        <v>450</v>
      </c>
      <c r="C744" t="s">
        <v>23216</v>
      </c>
      <c r="D744" s="3">
        <f>VLOOKUP(Table1[[#This Row],[CODE BARANG]],stock!$A:$C,3,)</f>
        <v>72</v>
      </c>
      <c r="E744" s="1">
        <v>36</v>
      </c>
      <c r="F744" s="1">
        <v>72</v>
      </c>
      <c r="G744" s="4">
        <f>Table1[[#This Row],[stock]]/Table1[[#This Row],[HASIL MIN]]</f>
        <v>2</v>
      </c>
      <c r="H744" s="4">
        <f>Table1[[#This Row],[stock]]/Table1[[#This Row],[HASIL MAX]]</f>
        <v>1</v>
      </c>
      <c r="I744" s="4"/>
      <c r="J744" s="4"/>
    </row>
    <row r="745" spans="1:10" x14ac:dyDescent="0.25">
      <c r="A745" s="48" t="s">
        <v>113</v>
      </c>
      <c r="B745" t="s">
        <v>114</v>
      </c>
      <c r="C745" t="s">
        <v>23209</v>
      </c>
      <c r="D745" s="3">
        <f>VLOOKUP(Table1[[#This Row],[CODE BARANG]],stock!$A:$C,3,)</f>
        <v>10</v>
      </c>
      <c r="E745" s="1">
        <v>6</v>
      </c>
      <c r="F745" s="1">
        <v>10</v>
      </c>
      <c r="G745" s="4">
        <f>Table1[[#This Row],[stock]]/Table1[[#This Row],[HASIL MIN]]</f>
        <v>1.6666666666666667</v>
      </c>
      <c r="H745" s="4">
        <f>Table1[[#This Row],[stock]]/Table1[[#This Row],[HASIL MAX]]</f>
        <v>1</v>
      </c>
      <c r="I745" s="4"/>
      <c r="J745" s="4"/>
    </row>
    <row r="746" spans="1:10" x14ac:dyDescent="0.25">
      <c r="A746" s="48" t="s">
        <v>1994</v>
      </c>
      <c r="B746" t="s">
        <v>1995</v>
      </c>
      <c r="C746" t="s">
        <v>23209</v>
      </c>
      <c r="D746" s="3">
        <f>VLOOKUP(Table1[[#This Row],[CODE BARANG]],stock!$A:$C,3,)</f>
        <v>24</v>
      </c>
      <c r="E746" s="1">
        <v>12</v>
      </c>
      <c r="F746" s="1">
        <v>24</v>
      </c>
      <c r="G746" s="4">
        <f>Table1[[#This Row],[stock]]/Table1[[#This Row],[HASIL MIN]]</f>
        <v>2</v>
      </c>
      <c r="H746" s="4">
        <f>Table1[[#This Row],[stock]]/Table1[[#This Row],[HASIL MAX]]</f>
        <v>1</v>
      </c>
      <c r="I746" s="4"/>
      <c r="J746" s="4"/>
    </row>
    <row r="747" spans="1:10" x14ac:dyDescent="0.25">
      <c r="A747" s="48" t="s">
        <v>1960</v>
      </c>
      <c r="B747" t="s">
        <v>1961</v>
      </c>
      <c r="C747" t="s">
        <v>23216</v>
      </c>
      <c r="D747" s="3">
        <f>VLOOKUP(Table1[[#This Row],[CODE BARANG]],stock!$A:$C,3,)</f>
        <v>24</v>
      </c>
      <c r="E747" s="1">
        <v>12</v>
      </c>
      <c r="F747" s="1">
        <v>24</v>
      </c>
      <c r="G747" s="4">
        <f>Table1[[#This Row],[stock]]/Table1[[#This Row],[HASIL MIN]]</f>
        <v>2</v>
      </c>
      <c r="H747" s="4">
        <f>Table1[[#This Row],[stock]]/Table1[[#This Row],[HASIL MAX]]</f>
        <v>1</v>
      </c>
      <c r="I747" s="4"/>
      <c r="J747" s="4"/>
    </row>
    <row r="748" spans="1:10" x14ac:dyDescent="0.25">
      <c r="A748" s="48" t="s">
        <v>607</v>
      </c>
      <c r="B748" t="s">
        <v>608</v>
      </c>
      <c r="C748" t="s">
        <v>23214</v>
      </c>
      <c r="D748" s="3">
        <f>VLOOKUP(Table1[[#This Row],[CODE BARANG]],stock!$A:$C,3,)</f>
        <v>174</v>
      </c>
      <c r="E748" s="1">
        <v>56</v>
      </c>
      <c r="F748" s="1">
        <v>172</v>
      </c>
      <c r="G748" s="4">
        <f>Table1[[#This Row],[stock]]/Table1[[#This Row],[HASIL MIN]]</f>
        <v>3.1071428571428572</v>
      </c>
      <c r="H748" s="4">
        <f>Table1[[#This Row],[stock]]/Table1[[#This Row],[HASIL MAX]]</f>
        <v>1.0116279069767442</v>
      </c>
      <c r="I748" s="4"/>
      <c r="J748" s="4"/>
    </row>
    <row r="749" spans="1:10" x14ac:dyDescent="0.25">
      <c r="A749" s="48" t="s">
        <v>19283</v>
      </c>
      <c r="B749" t="s">
        <v>22022</v>
      </c>
      <c r="C749" t="s">
        <v>23209</v>
      </c>
      <c r="D749" s="3">
        <f>VLOOKUP(Table1[[#This Row],[CODE BARANG]],stock!$A:$C,3,)</f>
        <v>73</v>
      </c>
      <c r="E749" s="1">
        <v>24</v>
      </c>
      <c r="F749" s="1">
        <v>72</v>
      </c>
      <c r="G749" s="4">
        <f>Table1[[#This Row],[stock]]/Table1[[#This Row],[HASIL MIN]]</f>
        <v>3.0416666666666665</v>
      </c>
      <c r="H749" s="4">
        <f>Table1[[#This Row],[stock]]/Table1[[#This Row],[HASIL MAX]]</f>
        <v>1.0138888888888888</v>
      </c>
      <c r="I749" s="4"/>
      <c r="J749" s="4"/>
    </row>
    <row r="750" spans="1:10" x14ac:dyDescent="0.25">
      <c r="A750" s="48" t="s">
        <v>601</v>
      </c>
      <c r="B750" t="s">
        <v>602</v>
      </c>
      <c r="C750" t="s">
        <v>442</v>
      </c>
      <c r="D750" s="3">
        <f>VLOOKUP(Table1[[#This Row],[CODE BARANG]],stock!$A:$C,3,)</f>
        <v>203</v>
      </c>
      <c r="E750" s="1">
        <v>100</v>
      </c>
      <c r="F750" s="1">
        <v>200</v>
      </c>
      <c r="G750" s="4">
        <f>Table1[[#This Row],[stock]]/Table1[[#This Row],[HASIL MIN]]</f>
        <v>2.0299999999999998</v>
      </c>
      <c r="H750" s="4">
        <f>Table1[[#This Row],[stock]]/Table1[[#This Row],[HASIL MAX]]</f>
        <v>1.0149999999999999</v>
      </c>
      <c r="I750" s="4"/>
      <c r="J750" s="4"/>
    </row>
    <row r="751" spans="1:10" x14ac:dyDescent="0.25">
      <c r="A751" s="48" t="s">
        <v>1767</v>
      </c>
      <c r="B751" t="s">
        <v>1768</v>
      </c>
      <c r="C751" t="s">
        <v>23207</v>
      </c>
      <c r="D751" s="3">
        <f>VLOOKUP(Table1[[#This Row],[CODE BARANG]],stock!$A:$C,3,)</f>
        <v>203</v>
      </c>
      <c r="E751" s="1">
        <v>120</v>
      </c>
      <c r="F751" s="1">
        <v>200</v>
      </c>
      <c r="G751" s="4">
        <f>Table1[[#This Row],[stock]]/Table1[[#This Row],[HASIL MIN]]</f>
        <v>1.6916666666666667</v>
      </c>
      <c r="H751" s="4">
        <f>Table1[[#This Row],[stock]]/Table1[[#This Row],[HASIL MAX]]</f>
        <v>1.0149999999999999</v>
      </c>
      <c r="I751" s="4"/>
      <c r="J751" s="4"/>
    </row>
    <row r="752" spans="1:10" x14ac:dyDescent="0.25">
      <c r="A752" s="48" t="s">
        <v>1247</v>
      </c>
      <c r="B752" t="s">
        <v>1248</v>
      </c>
      <c r="C752" t="s">
        <v>23212</v>
      </c>
      <c r="D752" s="3">
        <f>VLOOKUP(Table1[[#This Row],[CODE BARANG]],stock!$A:$C,3,)</f>
        <v>61</v>
      </c>
      <c r="E752" s="1">
        <v>36</v>
      </c>
      <c r="F752" s="1">
        <v>60</v>
      </c>
      <c r="G752" s="4">
        <f>Table1[[#This Row],[stock]]/Table1[[#This Row],[HASIL MIN]]</f>
        <v>1.6944444444444444</v>
      </c>
      <c r="H752" s="4">
        <f>Table1[[#This Row],[stock]]/Table1[[#This Row],[HASIL MAX]]</f>
        <v>1.0166666666666666</v>
      </c>
      <c r="I752" s="4"/>
      <c r="J752" s="4"/>
    </row>
    <row r="753" spans="1:10" x14ac:dyDescent="0.25">
      <c r="A753" s="48" t="s">
        <v>1749</v>
      </c>
      <c r="B753" t="s">
        <v>1750</v>
      </c>
      <c r="C753" t="s">
        <v>23215</v>
      </c>
      <c r="D753" s="3">
        <f>VLOOKUP(Table1[[#This Row],[CODE BARANG]],stock!$A:$C,3,)</f>
        <v>49</v>
      </c>
      <c r="E753" s="1">
        <v>36</v>
      </c>
      <c r="F753" s="1">
        <v>48</v>
      </c>
      <c r="G753" s="4">
        <f>Table1[[#This Row],[stock]]/Table1[[#This Row],[HASIL MIN]]</f>
        <v>1.3611111111111112</v>
      </c>
      <c r="H753" s="4">
        <f>Table1[[#This Row],[stock]]/Table1[[#This Row],[HASIL MAX]]</f>
        <v>1.0208333333333333</v>
      </c>
      <c r="I753" s="4"/>
      <c r="J753" s="4"/>
    </row>
    <row r="754" spans="1:10" x14ac:dyDescent="0.25">
      <c r="A754" s="48" t="s">
        <v>613</v>
      </c>
      <c r="B754" t="s">
        <v>614</v>
      </c>
      <c r="C754" t="s">
        <v>23214</v>
      </c>
      <c r="D754" s="3">
        <f>VLOOKUP(Table1[[#This Row],[CODE BARANG]],stock!$A:$C,3,)</f>
        <v>41</v>
      </c>
      <c r="E754" s="1">
        <v>20</v>
      </c>
      <c r="F754" s="1">
        <v>40</v>
      </c>
      <c r="G754" s="4">
        <f>Table1[[#This Row],[stock]]/Table1[[#This Row],[HASIL MIN]]</f>
        <v>2.0499999999999998</v>
      </c>
      <c r="H754" s="4">
        <f>Table1[[#This Row],[stock]]/Table1[[#This Row],[HASIL MAX]]</f>
        <v>1.0249999999999999</v>
      </c>
      <c r="I754" s="4"/>
      <c r="J754" s="4"/>
    </row>
    <row r="755" spans="1:10" x14ac:dyDescent="0.25">
      <c r="A755" s="48" t="s">
        <v>31</v>
      </c>
      <c r="B755" t="s">
        <v>32</v>
      </c>
      <c r="C755" t="s">
        <v>442</v>
      </c>
      <c r="D755" s="3">
        <f>VLOOKUP(Table1[[#This Row],[CODE BARANG]],stock!$A:$C,3,)</f>
        <v>37</v>
      </c>
      <c r="E755" s="1">
        <v>24</v>
      </c>
      <c r="F755" s="1">
        <v>36</v>
      </c>
      <c r="G755" s="4">
        <f>Table1[[#This Row],[stock]]/Table1[[#This Row],[HASIL MIN]]</f>
        <v>1.5416666666666667</v>
      </c>
      <c r="H755" s="4">
        <f>Table1[[#This Row],[stock]]/Table1[[#This Row],[HASIL MAX]]</f>
        <v>1.0277777777777777</v>
      </c>
      <c r="I755" s="4"/>
      <c r="J755" s="4"/>
    </row>
    <row r="756" spans="1:10" x14ac:dyDescent="0.25">
      <c r="A756" s="48" t="s">
        <v>963</v>
      </c>
      <c r="B756" t="s">
        <v>964</v>
      </c>
      <c r="C756" t="s">
        <v>23211</v>
      </c>
      <c r="D756" s="3">
        <f>VLOOKUP(Table1[[#This Row],[CODE BARANG]],stock!$A:$C,3,)</f>
        <v>620</v>
      </c>
      <c r="E756" s="1">
        <v>300</v>
      </c>
      <c r="F756" s="1">
        <v>600</v>
      </c>
      <c r="G756" s="4">
        <f>Table1[[#This Row],[stock]]/Table1[[#This Row],[HASIL MIN]]</f>
        <v>2.0666666666666669</v>
      </c>
      <c r="H756" s="4">
        <f>Table1[[#This Row],[stock]]/Table1[[#This Row],[HASIL MAX]]</f>
        <v>1.0333333333333334</v>
      </c>
      <c r="I756" s="4"/>
      <c r="J756" s="4"/>
    </row>
    <row r="757" spans="1:10" x14ac:dyDescent="0.25">
      <c r="A757" s="48" t="s">
        <v>1649</v>
      </c>
      <c r="B757" t="s">
        <v>1650</v>
      </c>
      <c r="C757" t="s">
        <v>23217</v>
      </c>
      <c r="D757" s="3">
        <f>VLOOKUP(Table1[[#This Row],[CODE BARANG]],stock!$A:$C,3,)</f>
        <v>149</v>
      </c>
      <c r="E757" s="1">
        <v>72</v>
      </c>
      <c r="F757" s="1">
        <v>144</v>
      </c>
      <c r="G757" s="4">
        <f>Table1[[#This Row],[stock]]/Table1[[#This Row],[HASIL MIN]]</f>
        <v>2.0694444444444446</v>
      </c>
      <c r="H757" s="4">
        <f>Table1[[#This Row],[stock]]/Table1[[#This Row],[HASIL MAX]]</f>
        <v>1.0347222222222223</v>
      </c>
      <c r="I757" s="4"/>
      <c r="J757" s="4"/>
    </row>
    <row r="758" spans="1:10" x14ac:dyDescent="0.25">
      <c r="A758" s="48" t="s">
        <v>1451</v>
      </c>
      <c r="B758" t="s">
        <v>1452</v>
      </c>
      <c r="C758" t="s">
        <v>23214</v>
      </c>
      <c r="D758" s="3">
        <f>VLOOKUP(Table1[[#This Row],[CODE BARANG]],stock!$A:$C,3,)</f>
        <v>104</v>
      </c>
      <c r="E758" s="1">
        <v>60</v>
      </c>
      <c r="F758" s="1">
        <v>100</v>
      </c>
      <c r="G758" s="4">
        <f>Table1[[#This Row],[stock]]/Table1[[#This Row],[HASIL MIN]]</f>
        <v>1.7333333333333334</v>
      </c>
      <c r="H758" s="4">
        <f>Table1[[#This Row],[stock]]/Table1[[#This Row],[HASIL MAX]]</f>
        <v>1.04</v>
      </c>
      <c r="I758" s="4"/>
      <c r="J758" s="4"/>
    </row>
    <row r="759" spans="1:10" x14ac:dyDescent="0.25">
      <c r="A759" s="48" t="s">
        <v>1083</v>
      </c>
      <c r="B759" t="s">
        <v>1084</v>
      </c>
      <c r="C759" t="s">
        <v>912</v>
      </c>
      <c r="D759" s="3">
        <f>VLOOKUP(Table1[[#This Row],[CODE BARANG]],stock!$A:$C,3,)</f>
        <v>25</v>
      </c>
      <c r="E759" s="1">
        <v>12</v>
      </c>
      <c r="F759" s="1">
        <v>24</v>
      </c>
      <c r="G759" s="4">
        <f>Table1[[#This Row],[stock]]/Table1[[#This Row],[HASIL MIN]]</f>
        <v>2.0833333333333335</v>
      </c>
      <c r="H759" s="4">
        <f>Table1[[#This Row],[stock]]/Table1[[#This Row],[HASIL MAX]]</f>
        <v>1.0416666666666667</v>
      </c>
      <c r="I759" s="4"/>
      <c r="J759" s="4"/>
    </row>
    <row r="760" spans="1:10" x14ac:dyDescent="0.25">
      <c r="A760" s="48" t="s">
        <v>1785</v>
      </c>
      <c r="B760" t="s">
        <v>1786</v>
      </c>
      <c r="C760" t="s">
        <v>442</v>
      </c>
      <c r="D760" s="3">
        <f>VLOOKUP(Table1[[#This Row],[CODE BARANG]],stock!$A:$C,3,)</f>
        <v>25</v>
      </c>
      <c r="E760" s="1">
        <v>12</v>
      </c>
      <c r="F760" s="1">
        <v>24</v>
      </c>
      <c r="G760" s="4">
        <f>Table1[[#This Row],[stock]]/Table1[[#This Row],[HASIL MIN]]</f>
        <v>2.0833333333333335</v>
      </c>
      <c r="H760" s="4">
        <f>Table1[[#This Row],[stock]]/Table1[[#This Row],[HASIL MAX]]</f>
        <v>1.0416666666666667</v>
      </c>
      <c r="I760" s="4"/>
      <c r="J760" s="4"/>
    </row>
    <row r="761" spans="1:10" x14ac:dyDescent="0.25">
      <c r="A761" s="48" t="s">
        <v>941</v>
      </c>
      <c r="B761" t="s">
        <v>942</v>
      </c>
      <c r="C761" t="s">
        <v>23214</v>
      </c>
      <c r="D761" s="3">
        <f>VLOOKUP(Table1[[#This Row],[CODE BARANG]],stock!$A:$C,3,)</f>
        <v>25</v>
      </c>
      <c r="E761" s="1">
        <v>12</v>
      </c>
      <c r="F761" s="1">
        <v>24</v>
      </c>
      <c r="G761" s="4">
        <f>Table1[[#This Row],[stock]]/Table1[[#This Row],[HASIL MIN]]</f>
        <v>2.0833333333333335</v>
      </c>
      <c r="H761" s="4">
        <f>Table1[[#This Row],[stock]]/Table1[[#This Row],[HASIL MAX]]</f>
        <v>1.0416666666666667</v>
      </c>
      <c r="I761" s="4"/>
      <c r="J761" s="4"/>
    </row>
    <row r="762" spans="1:10" x14ac:dyDescent="0.25">
      <c r="A762" s="48" t="s">
        <v>1870</v>
      </c>
      <c r="B762" t="s">
        <v>1871</v>
      </c>
      <c r="C762" t="s">
        <v>23207</v>
      </c>
      <c r="D762" s="3">
        <f>VLOOKUP(Table1[[#This Row],[CODE BARANG]],stock!$A:$C,3,)</f>
        <v>25</v>
      </c>
      <c r="E762" s="1">
        <v>12</v>
      </c>
      <c r="F762" s="1">
        <v>24</v>
      </c>
      <c r="G762" s="4">
        <f>Table1[[#This Row],[stock]]/Table1[[#This Row],[HASIL MIN]]</f>
        <v>2.0833333333333335</v>
      </c>
      <c r="H762" s="4">
        <f>Table1[[#This Row],[stock]]/Table1[[#This Row],[HASIL MAX]]</f>
        <v>1.0416666666666667</v>
      </c>
      <c r="I762" s="4"/>
      <c r="J762" s="4"/>
    </row>
    <row r="763" spans="1:10" x14ac:dyDescent="0.25">
      <c r="A763" s="48" t="s">
        <v>831</v>
      </c>
      <c r="B763" t="s">
        <v>832</v>
      </c>
      <c r="C763" t="s">
        <v>442</v>
      </c>
      <c r="D763" s="3">
        <f>VLOOKUP(Table1[[#This Row],[CODE BARANG]],stock!$A:$C,3,)</f>
        <v>42</v>
      </c>
      <c r="E763" s="1">
        <v>24</v>
      </c>
      <c r="F763" s="1">
        <v>40</v>
      </c>
      <c r="G763" s="4">
        <f>Table1[[#This Row],[stock]]/Table1[[#This Row],[HASIL MIN]]</f>
        <v>1.75</v>
      </c>
      <c r="H763" s="4">
        <f>Table1[[#This Row],[stock]]/Table1[[#This Row],[HASIL MAX]]</f>
        <v>1.05</v>
      </c>
      <c r="I763" s="4"/>
      <c r="J763" s="4"/>
    </row>
    <row r="764" spans="1:10" x14ac:dyDescent="0.25">
      <c r="A764" s="48" t="s">
        <v>657</v>
      </c>
      <c r="B764" t="s">
        <v>658</v>
      </c>
      <c r="C764" t="s">
        <v>442</v>
      </c>
      <c r="D764" s="3">
        <f>VLOOKUP(Table1[[#This Row],[CODE BARANG]],stock!$A:$C,3,)</f>
        <v>63</v>
      </c>
      <c r="E764" s="1">
        <v>36</v>
      </c>
      <c r="F764" s="1">
        <v>60</v>
      </c>
      <c r="G764" s="4">
        <f>Table1[[#This Row],[stock]]/Table1[[#This Row],[HASIL MIN]]</f>
        <v>1.75</v>
      </c>
      <c r="H764" s="4">
        <f>Table1[[#This Row],[stock]]/Table1[[#This Row],[HASIL MAX]]</f>
        <v>1.05</v>
      </c>
      <c r="I764" s="4"/>
      <c r="J764" s="4"/>
    </row>
    <row r="765" spans="1:10" x14ac:dyDescent="0.25">
      <c r="A765" s="48" t="s">
        <v>1429</v>
      </c>
      <c r="B765" t="s">
        <v>1430</v>
      </c>
      <c r="C765" t="s">
        <v>23214</v>
      </c>
      <c r="D765" s="3">
        <f>VLOOKUP(Table1[[#This Row],[CODE BARANG]],stock!$A:$C,3,)</f>
        <v>21</v>
      </c>
      <c r="E765" s="1">
        <v>12</v>
      </c>
      <c r="F765" s="1">
        <v>20</v>
      </c>
      <c r="G765" s="4">
        <f>Table1[[#This Row],[stock]]/Table1[[#This Row],[HASIL MIN]]</f>
        <v>1.75</v>
      </c>
      <c r="H765" s="4">
        <f>Table1[[#This Row],[stock]]/Table1[[#This Row],[HASIL MAX]]</f>
        <v>1.05</v>
      </c>
      <c r="I765" s="4"/>
      <c r="J765" s="4"/>
    </row>
    <row r="766" spans="1:10" x14ac:dyDescent="0.25">
      <c r="A766" s="48" t="s">
        <v>1643</v>
      </c>
      <c r="B766" t="s">
        <v>1644</v>
      </c>
      <c r="C766" t="s">
        <v>23217</v>
      </c>
      <c r="D766" s="3">
        <f>VLOOKUP(Table1[[#This Row],[CODE BARANG]],stock!$A:$C,3,)</f>
        <v>152</v>
      </c>
      <c r="E766" s="1">
        <v>72</v>
      </c>
      <c r="F766" s="1">
        <v>144</v>
      </c>
      <c r="G766" s="4">
        <f>Table1[[#This Row],[stock]]/Table1[[#This Row],[HASIL MIN]]</f>
        <v>2.1111111111111112</v>
      </c>
      <c r="H766" s="4">
        <f>Table1[[#This Row],[stock]]/Table1[[#This Row],[HASIL MAX]]</f>
        <v>1.0555555555555556</v>
      </c>
      <c r="I766" s="4"/>
      <c r="J766" s="4"/>
    </row>
    <row r="767" spans="1:10" x14ac:dyDescent="0.25">
      <c r="A767" s="48" t="s">
        <v>1335</v>
      </c>
      <c r="B767" t="s">
        <v>1336</v>
      </c>
      <c r="C767" t="s">
        <v>23212</v>
      </c>
      <c r="D767" s="3">
        <f>VLOOKUP(Table1[[#This Row],[CODE BARANG]],stock!$A:$C,3,)</f>
        <v>38</v>
      </c>
      <c r="E767" s="1">
        <v>12</v>
      </c>
      <c r="F767" s="1">
        <v>36</v>
      </c>
      <c r="G767" s="4">
        <f>Table1[[#This Row],[stock]]/Table1[[#This Row],[HASIL MIN]]</f>
        <v>3.1666666666666665</v>
      </c>
      <c r="H767" s="4">
        <f>Table1[[#This Row],[stock]]/Table1[[#This Row],[HASIL MAX]]</f>
        <v>1.0555555555555556</v>
      </c>
      <c r="I767" s="4"/>
      <c r="J767" s="4"/>
    </row>
    <row r="768" spans="1:10" x14ac:dyDescent="0.25">
      <c r="A768" s="48" t="s">
        <v>18876</v>
      </c>
      <c r="B768" t="s">
        <v>18877</v>
      </c>
      <c r="C768" t="s">
        <v>442</v>
      </c>
      <c r="D768" s="3">
        <f>VLOOKUP(Table1[[#This Row],[CODE BARANG]],stock!$A:$C,3,)</f>
        <v>212</v>
      </c>
      <c r="E768" s="1">
        <v>100</v>
      </c>
      <c r="F768" s="1">
        <v>200</v>
      </c>
      <c r="G768" s="4">
        <f>Table1[[#This Row],[stock]]/Table1[[#This Row],[HASIL MIN]]</f>
        <v>2.12</v>
      </c>
      <c r="H768" s="4">
        <f>Table1[[#This Row],[stock]]/Table1[[#This Row],[HASIL MAX]]</f>
        <v>1.06</v>
      </c>
      <c r="I768" s="4"/>
      <c r="J768" s="4"/>
    </row>
    <row r="769" spans="1:10" x14ac:dyDescent="0.25">
      <c r="A769" s="48" t="s">
        <v>1427</v>
      </c>
      <c r="B769" t="s">
        <v>1428</v>
      </c>
      <c r="C769" t="s">
        <v>23216</v>
      </c>
      <c r="D769" s="3">
        <f>VLOOKUP(Table1[[#This Row],[CODE BARANG]],stock!$A:$C,3,)</f>
        <v>51</v>
      </c>
      <c r="E769" s="1">
        <v>24</v>
      </c>
      <c r="F769" s="1">
        <v>48</v>
      </c>
      <c r="G769" s="4">
        <f>Table1[[#This Row],[stock]]/Table1[[#This Row],[HASIL MIN]]</f>
        <v>2.125</v>
      </c>
      <c r="H769" s="4">
        <f>Table1[[#This Row],[stock]]/Table1[[#This Row],[HASIL MAX]]</f>
        <v>1.0625</v>
      </c>
      <c r="I769" s="4"/>
      <c r="J769" s="4"/>
    </row>
    <row r="770" spans="1:10" x14ac:dyDescent="0.25">
      <c r="A770" s="48" t="s">
        <v>1922</v>
      </c>
      <c r="B770" t="s">
        <v>1923</v>
      </c>
      <c r="C770" t="s">
        <v>23211</v>
      </c>
      <c r="D770" s="3">
        <f>VLOOKUP(Table1[[#This Row],[CODE BARANG]],stock!$A:$C,3,)</f>
        <v>51</v>
      </c>
      <c r="E770" s="1">
        <v>24</v>
      </c>
      <c r="F770" s="1">
        <v>48</v>
      </c>
      <c r="G770" s="4">
        <f>Table1[[#This Row],[stock]]/Table1[[#This Row],[HASIL MIN]]</f>
        <v>2.125</v>
      </c>
      <c r="H770" s="4">
        <f>Table1[[#This Row],[stock]]/Table1[[#This Row],[HASIL MAX]]</f>
        <v>1.0625</v>
      </c>
      <c r="I770" s="4"/>
      <c r="J770" s="4"/>
    </row>
    <row r="771" spans="1:10" x14ac:dyDescent="0.25">
      <c r="A771" s="48" t="s">
        <v>1499</v>
      </c>
      <c r="B771" t="s">
        <v>1500</v>
      </c>
      <c r="C771" t="s">
        <v>23212</v>
      </c>
      <c r="D771" s="3">
        <f>VLOOKUP(Table1[[#This Row],[CODE BARANG]],stock!$A:$C,3,)</f>
        <v>64</v>
      </c>
      <c r="E771" s="1">
        <v>36</v>
      </c>
      <c r="F771" s="1">
        <v>60</v>
      </c>
      <c r="G771" s="4">
        <f>Table1[[#This Row],[stock]]/Table1[[#This Row],[HASIL MIN]]</f>
        <v>1.7777777777777777</v>
      </c>
      <c r="H771" s="4">
        <f>Table1[[#This Row],[stock]]/Table1[[#This Row],[HASIL MAX]]</f>
        <v>1.0666666666666667</v>
      </c>
      <c r="I771" s="4"/>
      <c r="J771" s="4"/>
    </row>
    <row r="772" spans="1:10" x14ac:dyDescent="0.25">
      <c r="A772" s="48" t="s">
        <v>3265</v>
      </c>
      <c r="B772" t="s">
        <v>3266</v>
      </c>
      <c r="C772" t="s">
        <v>23214</v>
      </c>
      <c r="D772" s="3">
        <f>VLOOKUP(Table1[[#This Row],[CODE BARANG]],stock!$A:$C,3,)</f>
        <v>64</v>
      </c>
      <c r="E772" s="1">
        <v>30</v>
      </c>
      <c r="F772" s="1">
        <v>60</v>
      </c>
      <c r="G772" s="4">
        <f>Table1[[#This Row],[stock]]/Table1[[#This Row],[HASIL MIN]]</f>
        <v>2.1333333333333333</v>
      </c>
      <c r="H772" s="4">
        <f>Table1[[#This Row],[stock]]/Table1[[#This Row],[HASIL MAX]]</f>
        <v>1.0666666666666667</v>
      </c>
      <c r="I772" s="4"/>
      <c r="J772" s="4"/>
    </row>
    <row r="773" spans="1:10" x14ac:dyDescent="0.25">
      <c r="A773" s="48" t="s">
        <v>1017</v>
      </c>
      <c r="B773" t="s">
        <v>1018</v>
      </c>
      <c r="C773" t="s">
        <v>23209</v>
      </c>
      <c r="D773" s="3">
        <f>VLOOKUP(Table1[[#This Row],[CODE BARANG]],stock!$A:$C,3,)</f>
        <v>16</v>
      </c>
      <c r="E773" s="1">
        <v>12</v>
      </c>
      <c r="F773" s="1">
        <v>15</v>
      </c>
      <c r="G773" s="4">
        <f>Table1[[#This Row],[stock]]/Table1[[#This Row],[HASIL MIN]]</f>
        <v>1.3333333333333333</v>
      </c>
      <c r="H773" s="4">
        <f>Table1[[#This Row],[stock]]/Table1[[#This Row],[HASIL MAX]]</f>
        <v>1.0666666666666667</v>
      </c>
      <c r="I773" s="4"/>
      <c r="J773" s="4"/>
    </row>
    <row r="774" spans="1:10" x14ac:dyDescent="0.25">
      <c r="A774" s="48" t="s">
        <v>1577</v>
      </c>
      <c r="B774" t="s">
        <v>1578</v>
      </c>
      <c r="C774" t="s">
        <v>23214</v>
      </c>
      <c r="D774" s="3">
        <f>VLOOKUP(Table1[[#This Row],[CODE BARANG]],stock!$A:$C,3,)</f>
        <v>64</v>
      </c>
      <c r="E774" s="1">
        <v>20</v>
      </c>
      <c r="F774" s="1">
        <v>60</v>
      </c>
      <c r="G774" s="4">
        <f>Table1[[#This Row],[stock]]/Table1[[#This Row],[HASIL MIN]]</f>
        <v>3.2</v>
      </c>
      <c r="H774" s="4">
        <f>Table1[[#This Row],[stock]]/Table1[[#This Row],[HASIL MAX]]</f>
        <v>1.0666666666666667</v>
      </c>
      <c r="I774" s="4"/>
      <c r="J774" s="4"/>
    </row>
    <row r="775" spans="1:10" x14ac:dyDescent="0.25">
      <c r="A775" s="48" t="s">
        <v>1924</v>
      </c>
      <c r="B775" t="s">
        <v>1925</v>
      </c>
      <c r="C775" t="s">
        <v>23208</v>
      </c>
      <c r="D775" s="3">
        <f>VLOOKUP(Table1[[#This Row],[CODE BARANG]],stock!$A:$C,3,)</f>
        <v>103</v>
      </c>
      <c r="E775" s="1">
        <v>48</v>
      </c>
      <c r="F775" s="1">
        <v>96</v>
      </c>
      <c r="G775" s="4">
        <f>Table1[[#This Row],[stock]]/Table1[[#This Row],[HASIL MIN]]</f>
        <v>2.1458333333333335</v>
      </c>
      <c r="H775" s="4">
        <f>Table1[[#This Row],[stock]]/Table1[[#This Row],[HASIL MAX]]</f>
        <v>1.0729166666666667</v>
      </c>
      <c r="I775" s="4"/>
      <c r="J775" s="4"/>
    </row>
    <row r="776" spans="1:10" x14ac:dyDescent="0.25">
      <c r="A776" s="48" t="s">
        <v>561</v>
      </c>
      <c r="B776" t="s">
        <v>562</v>
      </c>
      <c r="C776" t="s">
        <v>23214</v>
      </c>
      <c r="D776" s="3">
        <f>VLOOKUP(Table1[[#This Row],[CODE BARANG]],stock!$A:$C,3,)</f>
        <v>129</v>
      </c>
      <c r="E776" s="1">
        <v>80</v>
      </c>
      <c r="F776" s="1">
        <v>120</v>
      </c>
      <c r="G776" s="4">
        <f>Table1[[#This Row],[stock]]/Table1[[#This Row],[HASIL MIN]]</f>
        <v>1.6125</v>
      </c>
      <c r="H776" s="4">
        <f>Table1[[#This Row],[stock]]/Table1[[#This Row],[HASIL MAX]]</f>
        <v>1.075</v>
      </c>
      <c r="I776" s="4"/>
      <c r="J776" s="4"/>
    </row>
    <row r="777" spans="1:10" x14ac:dyDescent="0.25">
      <c r="A777" s="48" t="s">
        <v>856</v>
      </c>
      <c r="B777" t="s">
        <v>857</v>
      </c>
      <c r="C777" t="s">
        <v>23214</v>
      </c>
      <c r="D777" s="3">
        <f>VLOOKUP(Table1[[#This Row],[CODE BARANG]],stock!$A:$C,3,)</f>
        <v>43</v>
      </c>
      <c r="E777" s="1">
        <v>20</v>
      </c>
      <c r="F777" s="1">
        <v>40</v>
      </c>
      <c r="G777" s="4">
        <f>Table1[[#This Row],[stock]]/Table1[[#This Row],[HASIL MIN]]</f>
        <v>2.15</v>
      </c>
      <c r="H777" s="4">
        <f>Table1[[#This Row],[stock]]/Table1[[#This Row],[HASIL MAX]]</f>
        <v>1.075</v>
      </c>
      <c r="I777" s="4"/>
      <c r="J777" s="4"/>
    </row>
    <row r="778" spans="1:10" x14ac:dyDescent="0.25">
      <c r="A778" s="48" t="s">
        <v>55</v>
      </c>
      <c r="B778" t="s">
        <v>56</v>
      </c>
      <c r="C778" t="s">
        <v>23209</v>
      </c>
      <c r="D778" s="3">
        <f>VLOOKUP(Table1[[#This Row],[CODE BARANG]],stock!$A:$C,3,)</f>
        <v>258</v>
      </c>
      <c r="E778" s="1">
        <v>96</v>
      </c>
      <c r="F778" s="1">
        <v>240</v>
      </c>
      <c r="G778" s="4">
        <f>Table1[[#This Row],[stock]]/Table1[[#This Row],[HASIL MIN]]</f>
        <v>2.6875</v>
      </c>
      <c r="H778" s="4">
        <f>Table1[[#This Row],[stock]]/Table1[[#This Row],[HASIL MAX]]</f>
        <v>1.075</v>
      </c>
      <c r="I778" s="4"/>
      <c r="J778" s="4"/>
    </row>
    <row r="779" spans="1:10" x14ac:dyDescent="0.25">
      <c r="A779" s="48" t="s">
        <v>687</v>
      </c>
      <c r="B779" t="s">
        <v>688</v>
      </c>
      <c r="C779" t="s">
        <v>23210</v>
      </c>
      <c r="D779" s="3">
        <f>VLOOKUP(Table1[[#This Row],[CODE BARANG]],stock!$A:$C,3,)</f>
        <v>108</v>
      </c>
      <c r="E779" s="1">
        <v>50</v>
      </c>
      <c r="F779" s="1">
        <v>100</v>
      </c>
      <c r="G779" s="4">
        <f>Table1[[#This Row],[stock]]/Table1[[#This Row],[HASIL MIN]]</f>
        <v>2.16</v>
      </c>
      <c r="H779" s="4">
        <f>Table1[[#This Row],[stock]]/Table1[[#This Row],[HASIL MAX]]</f>
        <v>1.08</v>
      </c>
      <c r="I779" s="4"/>
      <c r="J779" s="4"/>
    </row>
    <row r="780" spans="1:10" x14ac:dyDescent="0.25">
      <c r="A780" s="48" t="s">
        <v>3281</v>
      </c>
      <c r="B780" t="s">
        <v>3282</v>
      </c>
      <c r="C780" t="s">
        <v>23214</v>
      </c>
      <c r="D780" s="3">
        <f>VLOOKUP(Table1[[#This Row],[CODE BARANG]],stock!$A:$C,3,)</f>
        <v>26</v>
      </c>
      <c r="E780" s="1">
        <v>12</v>
      </c>
      <c r="F780" s="1">
        <v>24</v>
      </c>
      <c r="G780" s="4">
        <f>Table1[[#This Row],[stock]]/Table1[[#This Row],[HASIL MIN]]</f>
        <v>2.1666666666666665</v>
      </c>
      <c r="H780" s="4">
        <f>Table1[[#This Row],[stock]]/Table1[[#This Row],[HASIL MAX]]</f>
        <v>1.0833333333333333</v>
      </c>
      <c r="I780" s="4"/>
      <c r="J780" s="4"/>
    </row>
    <row r="781" spans="1:10" x14ac:dyDescent="0.25">
      <c r="A781" s="48" t="s">
        <v>229</v>
      </c>
      <c r="B781" t="s">
        <v>230</v>
      </c>
      <c r="C781" t="s">
        <v>23214</v>
      </c>
      <c r="D781" s="3">
        <f>VLOOKUP(Table1[[#This Row],[CODE BARANG]],stock!$A:$C,3,)</f>
        <v>13</v>
      </c>
      <c r="E781" s="1">
        <v>6</v>
      </c>
      <c r="F781" s="1">
        <v>12</v>
      </c>
      <c r="G781" s="4">
        <f>Table1[[#This Row],[stock]]/Table1[[#This Row],[HASIL MIN]]</f>
        <v>2.1666666666666665</v>
      </c>
      <c r="H781" s="4">
        <f>Table1[[#This Row],[stock]]/Table1[[#This Row],[HASIL MAX]]</f>
        <v>1.0833333333333333</v>
      </c>
      <c r="I781" s="4"/>
      <c r="J781" s="4"/>
    </row>
    <row r="782" spans="1:10" x14ac:dyDescent="0.25">
      <c r="A782" s="48" t="s">
        <v>1617</v>
      </c>
      <c r="B782" t="s">
        <v>1618</v>
      </c>
      <c r="C782" t="s">
        <v>23214</v>
      </c>
      <c r="D782" s="3">
        <f>VLOOKUP(Table1[[#This Row],[CODE BARANG]],stock!$A:$C,3,)</f>
        <v>13</v>
      </c>
      <c r="E782" s="1">
        <v>8</v>
      </c>
      <c r="F782" s="1">
        <v>12</v>
      </c>
      <c r="G782" s="4">
        <f>Table1[[#This Row],[stock]]/Table1[[#This Row],[HASIL MIN]]</f>
        <v>1.625</v>
      </c>
      <c r="H782" s="4">
        <f>Table1[[#This Row],[stock]]/Table1[[#This Row],[HASIL MAX]]</f>
        <v>1.0833333333333333</v>
      </c>
      <c r="I782" s="4"/>
      <c r="J782" s="4"/>
    </row>
    <row r="783" spans="1:10" x14ac:dyDescent="0.25">
      <c r="A783" s="48" t="s">
        <v>1920</v>
      </c>
      <c r="B783" t="s">
        <v>1921</v>
      </c>
      <c r="C783" t="s">
        <v>23209</v>
      </c>
      <c r="D783" s="3">
        <f>VLOOKUP(Table1[[#This Row],[CODE BARANG]],stock!$A:$C,3,)</f>
        <v>13</v>
      </c>
      <c r="E783" s="1">
        <v>6</v>
      </c>
      <c r="F783" s="1">
        <v>12</v>
      </c>
      <c r="G783" s="4">
        <f>Table1[[#This Row],[stock]]/Table1[[#This Row],[HASIL MIN]]</f>
        <v>2.1666666666666665</v>
      </c>
      <c r="H783" s="4">
        <f>Table1[[#This Row],[stock]]/Table1[[#This Row],[HASIL MAX]]</f>
        <v>1.0833333333333333</v>
      </c>
      <c r="I783" s="4"/>
      <c r="J783" s="4"/>
    </row>
    <row r="784" spans="1:10" x14ac:dyDescent="0.25">
      <c r="A784" s="48" t="s">
        <v>1934</v>
      </c>
      <c r="B784" t="s">
        <v>1935</v>
      </c>
      <c r="C784" t="s">
        <v>23209</v>
      </c>
      <c r="D784" s="3">
        <f>VLOOKUP(Table1[[#This Row],[CODE BARANG]],stock!$A:$C,3,)</f>
        <v>26</v>
      </c>
      <c r="E784" s="1">
        <v>12</v>
      </c>
      <c r="F784" s="1">
        <v>24</v>
      </c>
      <c r="G784" s="4">
        <f>Table1[[#This Row],[stock]]/Table1[[#This Row],[HASIL MIN]]</f>
        <v>2.1666666666666665</v>
      </c>
      <c r="H784" s="4">
        <f>Table1[[#This Row],[stock]]/Table1[[#This Row],[HASIL MAX]]</f>
        <v>1.0833333333333333</v>
      </c>
      <c r="I784" s="4"/>
      <c r="J784" s="4"/>
    </row>
    <row r="785" spans="1:10" x14ac:dyDescent="0.25">
      <c r="A785" s="48" t="s">
        <v>22357</v>
      </c>
      <c r="B785" t="s">
        <v>1284</v>
      </c>
      <c r="C785" t="s">
        <v>442</v>
      </c>
      <c r="D785" s="3">
        <f>VLOOKUP(Table1[[#This Row],[CODE BARANG]],stock!$A:$C,3,)</f>
        <v>26</v>
      </c>
      <c r="E785" s="1">
        <v>12</v>
      </c>
      <c r="F785" s="1">
        <v>24</v>
      </c>
      <c r="G785" s="4">
        <f>Table1[[#This Row],[stock]]/Table1[[#This Row],[HASIL MIN]]</f>
        <v>2.1666666666666665</v>
      </c>
      <c r="H785" s="4">
        <f>Table1[[#This Row],[stock]]/Table1[[#This Row],[HASIL MAX]]</f>
        <v>1.0833333333333333</v>
      </c>
      <c r="I785" s="4"/>
      <c r="J785" s="4"/>
    </row>
    <row r="786" spans="1:10" x14ac:dyDescent="0.25">
      <c r="A786" s="48" t="s">
        <v>7472</v>
      </c>
      <c r="B786" t="s">
        <v>7473</v>
      </c>
      <c r="C786" t="s">
        <v>23209</v>
      </c>
      <c r="D786" s="3">
        <f>VLOOKUP(Table1[[#This Row],[CODE BARANG]],stock!$A:$C,3,)</f>
        <v>26</v>
      </c>
      <c r="E786" s="1">
        <v>12</v>
      </c>
      <c r="F786" s="1">
        <v>24</v>
      </c>
      <c r="G786" s="4">
        <f>Table1[[#This Row],[stock]]/Table1[[#This Row],[HASIL MIN]]</f>
        <v>2.1666666666666665</v>
      </c>
      <c r="H786" s="4">
        <f>Table1[[#This Row],[stock]]/Table1[[#This Row],[HASIL MAX]]</f>
        <v>1.0833333333333333</v>
      </c>
      <c r="I786" s="4"/>
      <c r="J786" s="4"/>
    </row>
    <row r="787" spans="1:10" x14ac:dyDescent="0.25">
      <c r="A787" s="48" t="s">
        <v>995</v>
      </c>
      <c r="B787" t="s">
        <v>996</v>
      </c>
      <c r="C787" t="s">
        <v>439</v>
      </c>
      <c r="D787" s="3">
        <f>VLOOKUP(Table1[[#This Row],[CODE BARANG]],stock!$A:$C,3,)</f>
        <v>52</v>
      </c>
      <c r="E787" s="1">
        <v>24</v>
      </c>
      <c r="F787" s="1">
        <v>48</v>
      </c>
      <c r="G787" s="4">
        <f>Table1[[#This Row],[stock]]/Table1[[#This Row],[HASIL MIN]]</f>
        <v>2.1666666666666665</v>
      </c>
      <c r="H787" s="4">
        <f>Table1[[#This Row],[stock]]/Table1[[#This Row],[HASIL MAX]]</f>
        <v>1.0833333333333333</v>
      </c>
      <c r="I787" s="4"/>
      <c r="J787" s="4"/>
    </row>
    <row r="788" spans="1:10" x14ac:dyDescent="0.25">
      <c r="A788" s="48" t="s">
        <v>1393</v>
      </c>
      <c r="B788" t="s">
        <v>1394</v>
      </c>
      <c r="C788" t="s">
        <v>442</v>
      </c>
      <c r="D788" s="3">
        <f>VLOOKUP(Table1[[#This Row],[CODE BARANG]],stock!$A:$C,3,)</f>
        <v>26</v>
      </c>
      <c r="E788" s="1">
        <v>12</v>
      </c>
      <c r="F788" s="1">
        <v>24</v>
      </c>
      <c r="G788" s="4">
        <f>Table1[[#This Row],[stock]]/Table1[[#This Row],[HASIL MIN]]</f>
        <v>2.1666666666666665</v>
      </c>
      <c r="H788" s="4">
        <f>Table1[[#This Row],[stock]]/Table1[[#This Row],[HASIL MAX]]</f>
        <v>1.0833333333333333</v>
      </c>
      <c r="I788" s="4"/>
      <c r="J788" s="4"/>
    </row>
    <row r="789" spans="1:10" x14ac:dyDescent="0.25">
      <c r="A789" s="48" t="s">
        <v>1641</v>
      </c>
      <c r="B789" t="s">
        <v>1642</v>
      </c>
      <c r="C789" t="s">
        <v>23214</v>
      </c>
      <c r="D789" s="3">
        <f>VLOOKUP(Table1[[#This Row],[CODE BARANG]],stock!$A:$C,3,)</f>
        <v>65</v>
      </c>
      <c r="E789" s="1">
        <v>24</v>
      </c>
      <c r="F789" s="1">
        <v>60</v>
      </c>
      <c r="G789" s="4">
        <f>Table1[[#This Row],[stock]]/Table1[[#This Row],[HASIL MIN]]</f>
        <v>2.7083333333333335</v>
      </c>
      <c r="H789" s="4">
        <f>Table1[[#This Row],[stock]]/Table1[[#This Row],[HASIL MAX]]</f>
        <v>1.0833333333333333</v>
      </c>
      <c r="I789" s="4"/>
      <c r="J789" s="4"/>
    </row>
    <row r="790" spans="1:10" x14ac:dyDescent="0.25">
      <c r="A790" s="48" t="s">
        <v>1387</v>
      </c>
      <c r="B790" t="s">
        <v>1388</v>
      </c>
      <c r="C790" t="s">
        <v>23214</v>
      </c>
      <c r="D790" s="3">
        <f>VLOOKUP(Table1[[#This Row],[CODE BARANG]],stock!$A:$C,3,)</f>
        <v>65</v>
      </c>
      <c r="E790" s="1">
        <v>36</v>
      </c>
      <c r="F790" s="1">
        <v>60</v>
      </c>
      <c r="G790" s="4">
        <f>Table1[[#This Row],[stock]]/Table1[[#This Row],[HASIL MIN]]</f>
        <v>1.8055555555555556</v>
      </c>
      <c r="H790" s="4">
        <f>Table1[[#This Row],[stock]]/Table1[[#This Row],[HASIL MAX]]</f>
        <v>1.0833333333333333</v>
      </c>
      <c r="I790" s="4"/>
      <c r="J790" s="4"/>
    </row>
    <row r="791" spans="1:10" x14ac:dyDescent="0.25">
      <c r="A791" s="48" t="s">
        <v>797</v>
      </c>
      <c r="B791" t="s">
        <v>798</v>
      </c>
      <c r="C791" t="s">
        <v>442</v>
      </c>
      <c r="D791" s="3">
        <f>VLOOKUP(Table1[[#This Row],[CODE BARANG]],stock!$A:$C,3,)</f>
        <v>13</v>
      </c>
      <c r="E791" s="1">
        <v>6</v>
      </c>
      <c r="F791" s="1">
        <v>12</v>
      </c>
      <c r="G791" s="4">
        <f>Table1[[#This Row],[stock]]/Table1[[#This Row],[HASIL MIN]]</f>
        <v>2.1666666666666665</v>
      </c>
      <c r="H791" s="4">
        <f>Table1[[#This Row],[stock]]/Table1[[#This Row],[HASIL MAX]]</f>
        <v>1.0833333333333333</v>
      </c>
      <c r="I791" s="4"/>
      <c r="J791" s="4"/>
    </row>
    <row r="792" spans="1:10" x14ac:dyDescent="0.25">
      <c r="A792" s="48" t="s">
        <v>6712</v>
      </c>
      <c r="B792" t="s">
        <v>6713</v>
      </c>
      <c r="C792" t="s">
        <v>23209</v>
      </c>
      <c r="D792" s="3">
        <f>VLOOKUP(Table1[[#This Row],[CODE BARANG]],stock!$A:$C,3,)</f>
        <v>13</v>
      </c>
      <c r="E792" s="1">
        <v>6</v>
      </c>
      <c r="F792" s="1">
        <v>12</v>
      </c>
      <c r="G792" s="4">
        <f>Table1[[#This Row],[stock]]/Table1[[#This Row],[HASIL MIN]]</f>
        <v>2.1666666666666665</v>
      </c>
      <c r="H792" s="4">
        <f>Table1[[#This Row],[stock]]/Table1[[#This Row],[HASIL MAX]]</f>
        <v>1.0833333333333333</v>
      </c>
      <c r="I792" s="4"/>
      <c r="J792" s="4"/>
    </row>
    <row r="793" spans="1:10" x14ac:dyDescent="0.25">
      <c r="A793" s="48" t="s">
        <v>505</v>
      </c>
      <c r="B793" t="s">
        <v>506</v>
      </c>
      <c r="C793" t="s">
        <v>23214</v>
      </c>
      <c r="D793" s="3">
        <f>VLOOKUP(Table1[[#This Row],[CODE BARANG]],stock!$A:$C,3,)</f>
        <v>13</v>
      </c>
      <c r="E793" s="1">
        <v>8</v>
      </c>
      <c r="F793" s="1">
        <v>12</v>
      </c>
      <c r="G793" s="4">
        <f>Table1[[#This Row],[stock]]/Table1[[#This Row],[HASIL MIN]]</f>
        <v>1.625</v>
      </c>
      <c r="H793" s="4">
        <f>Table1[[#This Row],[stock]]/Table1[[#This Row],[HASIL MAX]]</f>
        <v>1.0833333333333333</v>
      </c>
      <c r="I793" s="4"/>
      <c r="J793" s="4"/>
    </row>
    <row r="794" spans="1:10" x14ac:dyDescent="0.25">
      <c r="A794" s="48" t="s">
        <v>1487</v>
      </c>
      <c r="B794" t="s">
        <v>1488</v>
      </c>
      <c r="C794" t="s">
        <v>23211</v>
      </c>
      <c r="D794" s="3">
        <f>VLOOKUP(Table1[[#This Row],[CODE BARANG]],stock!$A:$C,3,)</f>
        <v>26</v>
      </c>
      <c r="E794" s="1">
        <v>12</v>
      </c>
      <c r="F794" s="1">
        <v>24</v>
      </c>
      <c r="G794" s="4">
        <f>Table1[[#This Row],[stock]]/Table1[[#This Row],[HASIL MIN]]</f>
        <v>2.1666666666666665</v>
      </c>
      <c r="H794" s="4">
        <f>Table1[[#This Row],[stock]]/Table1[[#This Row],[HASIL MAX]]</f>
        <v>1.0833333333333333</v>
      </c>
      <c r="I794" s="4"/>
      <c r="J794" s="4"/>
    </row>
    <row r="795" spans="1:10" x14ac:dyDescent="0.25">
      <c r="A795" s="48" t="s">
        <v>259</v>
      </c>
      <c r="B795" t="s">
        <v>260</v>
      </c>
      <c r="C795" t="s">
        <v>23215</v>
      </c>
      <c r="D795" s="3">
        <f>VLOOKUP(Table1[[#This Row],[CODE BARANG]],stock!$A:$C,3,)</f>
        <v>13</v>
      </c>
      <c r="E795" s="1">
        <v>6</v>
      </c>
      <c r="F795" s="1">
        <v>12</v>
      </c>
      <c r="G795" s="4">
        <f>Table1[[#This Row],[stock]]/Table1[[#This Row],[HASIL MIN]]</f>
        <v>2.1666666666666665</v>
      </c>
      <c r="H795" s="4">
        <f>Table1[[#This Row],[stock]]/Table1[[#This Row],[HASIL MAX]]</f>
        <v>1.0833333333333333</v>
      </c>
      <c r="I795" s="4"/>
      <c r="J795" s="4"/>
    </row>
    <row r="796" spans="1:10" x14ac:dyDescent="0.25">
      <c r="A796" s="48" t="s">
        <v>669</v>
      </c>
      <c r="B796" t="s">
        <v>670</v>
      </c>
      <c r="C796" t="s">
        <v>23209</v>
      </c>
      <c r="D796" s="3">
        <f>VLOOKUP(Table1[[#This Row],[CODE BARANG]],stock!$A:$C,3,)</f>
        <v>26</v>
      </c>
      <c r="E796" s="1">
        <v>12</v>
      </c>
      <c r="F796" s="1">
        <v>24</v>
      </c>
      <c r="G796" s="4">
        <f>Table1[[#This Row],[stock]]/Table1[[#This Row],[HASIL MIN]]</f>
        <v>2.1666666666666665</v>
      </c>
      <c r="H796" s="4">
        <f>Table1[[#This Row],[stock]]/Table1[[#This Row],[HASIL MAX]]</f>
        <v>1.0833333333333333</v>
      </c>
      <c r="I796" s="4"/>
      <c r="J796" s="4"/>
    </row>
    <row r="797" spans="1:10" x14ac:dyDescent="0.25">
      <c r="A797" s="48" t="s">
        <v>1805</v>
      </c>
      <c r="B797" t="s">
        <v>1806</v>
      </c>
      <c r="C797" t="s">
        <v>439</v>
      </c>
      <c r="D797" s="3">
        <f>VLOOKUP(Table1[[#This Row],[CODE BARANG]],stock!$A:$C,3,)</f>
        <v>39</v>
      </c>
      <c r="E797" s="1">
        <v>12</v>
      </c>
      <c r="F797" s="1">
        <v>36</v>
      </c>
      <c r="G797" s="4">
        <f>Table1[[#This Row],[stock]]/Table1[[#This Row],[HASIL MIN]]</f>
        <v>3.25</v>
      </c>
      <c r="H797" s="4">
        <f>Table1[[#This Row],[stock]]/Table1[[#This Row],[HASIL MAX]]</f>
        <v>1.0833333333333333</v>
      </c>
      <c r="I797" s="4"/>
      <c r="J797" s="4"/>
    </row>
    <row r="798" spans="1:10" x14ac:dyDescent="0.25">
      <c r="A798" s="48" t="s">
        <v>1459</v>
      </c>
      <c r="B798" t="s">
        <v>1460</v>
      </c>
      <c r="C798" t="s">
        <v>23208</v>
      </c>
      <c r="D798" s="3">
        <f>VLOOKUP(Table1[[#This Row],[CODE BARANG]],stock!$A:$C,3,)</f>
        <v>13</v>
      </c>
      <c r="E798" s="1">
        <v>6</v>
      </c>
      <c r="F798" s="1">
        <v>12</v>
      </c>
      <c r="G798" s="4">
        <f>Table1[[#This Row],[stock]]/Table1[[#This Row],[HASIL MIN]]</f>
        <v>2.1666666666666665</v>
      </c>
      <c r="H798" s="4">
        <f>Table1[[#This Row],[stock]]/Table1[[#This Row],[HASIL MAX]]</f>
        <v>1.0833333333333333</v>
      </c>
      <c r="I798" s="4"/>
      <c r="J798" s="4"/>
    </row>
    <row r="799" spans="1:10" x14ac:dyDescent="0.25">
      <c r="A799" s="48" t="s">
        <v>1047</v>
      </c>
      <c r="B799" t="s">
        <v>1048</v>
      </c>
      <c r="C799" t="s">
        <v>23214</v>
      </c>
      <c r="D799" s="3">
        <f>VLOOKUP(Table1[[#This Row],[CODE BARANG]],stock!$A:$C,3,)</f>
        <v>109</v>
      </c>
      <c r="E799" s="1">
        <v>40</v>
      </c>
      <c r="F799" s="1">
        <v>100</v>
      </c>
      <c r="G799" s="4">
        <f>Table1[[#This Row],[stock]]/Table1[[#This Row],[HASIL MIN]]</f>
        <v>2.7250000000000001</v>
      </c>
      <c r="H799" s="4">
        <f>Table1[[#This Row],[stock]]/Table1[[#This Row],[HASIL MAX]]</f>
        <v>1.0900000000000001</v>
      </c>
      <c r="I799" s="4"/>
      <c r="J799" s="4"/>
    </row>
    <row r="800" spans="1:10" x14ac:dyDescent="0.25">
      <c r="A800" s="48" t="s">
        <v>1777</v>
      </c>
      <c r="B800" t="s">
        <v>1778</v>
      </c>
      <c r="C800" t="s">
        <v>23209</v>
      </c>
      <c r="D800" s="3">
        <f>VLOOKUP(Table1[[#This Row],[CODE BARANG]],stock!$A:$C,3,)</f>
        <v>105</v>
      </c>
      <c r="E800" s="1">
        <v>48</v>
      </c>
      <c r="F800" s="1">
        <v>96</v>
      </c>
      <c r="G800" s="4">
        <f>Table1[[#This Row],[stock]]/Table1[[#This Row],[HASIL MIN]]</f>
        <v>2.1875</v>
      </c>
      <c r="H800" s="4">
        <f>Table1[[#This Row],[stock]]/Table1[[#This Row],[HASIL MAX]]</f>
        <v>1.09375</v>
      </c>
      <c r="I800" s="4"/>
      <c r="J800" s="4"/>
    </row>
    <row r="801" spans="1:10" x14ac:dyDescent="0.25">
      <c r="A801" s="48" t="s">
        <v>1075</v>
      </c>
      <c r="B801" t="s">
        <v>1076</v>
      </c>
      <c r="C801" t="s">
        <v>442</v>
      </c>
      <c r="D801" s="3">
        <f>VLOOKUP(Table1[[#This Row],[CODE BARANG]],stock!$A:$C,3,)</f>
        <v>79</v>
      </c>
      <c r="E801" s="1">
        <v>48</v>
      </c>
      <c r="F801" s="1">
        <v>72</v>
      </c>
      <c r="G801" s="4">
        <f>Table1[[#This Row],[stock]]/Table1[[#This Row],[HASIL MIN]]</f>
        <v>1.6458333333333333</v>
      </c>
      <c r="H801" s="4">
        <f>Table1[[#This Row],[stock]]/Table1[[#This Row],[HASIL MAX]]</f>
        <v>1.0972222222222223</v>
      </c>
      <c r="I801" s="4"/>
      <c r="J801" s="4"/>
    </row>
    <row r="802" spans="1:10" x14ac:dyDescent="0.25">
      <c r="A802" s="48" t="s">
        <v>1685</v>
      </c>
      <c r="B802" t="s">
        <v>1686</v>
      </c>
      <c r="C802" t="s">
        <v>23209</v>
      </c>
      <c r="D802" s="3">
        <f>VLOOKUP(Table1[[#This Row],[CODE BARANG]],stock!$A:$C,3,)</f>
        <v>66</v>
      </c>
      <c r="E802" s="1">
        <v>24</v>
      </c>
      <c r="F802" s="1">
        <v>60</v>
      </c>
      <c r="G802" s="4">
        <f>Table1[[#This Row],[stock]]/Table1[[#This Row],[HASIL MIN]]</f>
        <v>2.75</v>
      </c>
      <c r="H802" s="4">
        <f>Table1[[#This Row],[stock]]/Table1[[#This Row],[HASIL MAX]]</f>
        <v>1.1000000000000001</v>
      </c>
      <c r="I802" s="4"/>
      <c r="J802" s="4"/>
    </row>
    <row r="803" spans="1:10" x14ac:dyDescent="0.25">
      <c r="A803" s="48" t="s">
        <v>2998</v>
      </c>
      <c r="B803" t="s">
        <v>2999</v>
      </c>
      <c r="C803" t="s">
        <v>23214</v>
      </c>
      <c r="D803" s="3">
        <f>VLOOKUP(Table1[[#This Row],[CODE BARANG]],stock!$A:$C,3,)</f>
        <v>11</v>
      </c>
      <c r="E803" s="1">
        <v>5</v>
      </c>
      <c r="F803" s="1">
        <v>10</v>
      </c>
      <c r="G803" s="4">
        <f>Table1[[#This Row],[stock]]/Table1[[#This Row],[HASIL MIN]]</f>
        <v>2.2000000000000002</v>
      </c>
      <c r="H803" s="4">
        <f>Table1[[#This Row],[stock]]/Table1[[#This Row],[HASIL MAX]]</f>
        <v>1.1000000000000001</v>
      </c>
      <c r="I803" s="4"/>
      <c r="J803" s="4"/>
    </row>
    <row r="804" spans="1:10" x14ac:dyDescent="0.25">
      <c r="A804" s="48" t="s">
        <v>683</v>
      </c>
      <c r="B804" t="s">
        <v>684</v>
      </c>
      <c r="C804" t="s">
        <v>23209</v>
      </c>
      <c r="D804" s="3">
        <f>VLOOKUP(Table1[[#This Row],[CODE BARANG]],stock!$A:$C,3,)</f>
        <v>44</v>
      </c>
      <c r="E804" s="1">
        <v>24</v>
      </c>
      <c r="F804" s="1">
        <v>40</v>
      </c>
      <c r="G804" s="4">
        <f>Table1[[#This Row],[stock]]/Table1[[#This Row],[HASIL MIN]]</f>
        <v>1.8333333333333333</v>
      </c>
      <c r="H804" s="4">
        <f>Table1[[#This Row],[stock]]/Table1[[#This Row],[HASIL MAX]]</f>
        <v>1.1000000000000001</v>
      </c>
      <c r="I804" s="4"/>
      <c r="J804" s="4"/>
    </row>
    <row r="805" spans="1:10" x14ac:dyDescent="0.25">
      <c r="A805" s="48" t="s">
        <v>3467</v>
      </c>
      <c r="B805" t="s">
        <v>3468</v>
      </c>
      <c r="C805" t="s">
        <v>442</v>
      </c>
      <c r="D805" s="3">
        <f>VLOOKUP(Table1[[#This Row],[CODE BARANG]],stock!$A:$C,3,)</f>
        <v>22</v>
      </c>
      <c r="E805" s="1">
        <v>10</v>
      </c>
      <c r="F805" s="1">
        <v>20</v>
      </c>
      <c r="G805" s="4">
        <f>Table1[[#This Row],[stock]]/Table1[[#This Row],[HASIL MIN]]</f>
        <v>2.2000000000000002</v>
      </c>
      <c r="H805" s="4">
        <f>Table1[[#This Row],[stock]]/Table1[[#This Row],[HASIL MAX]]</f>
        <v>1.1000000000000001</v>
      </c>
      <c r="I805" s="4"/>
      <c r="J805" s="4"/>
    </row>
    <row r="806" spans="1:10" x14ac:dyDescent="0.25">
      <c r="A806" s="48" t="s">
        <v>675</v>
      </c>
      <c r="B806" t="s">
        <v>676</v>
      </c>
      <c r="C806" t="s">
        <v>23210</v>
      </c>
      <c r="D806" s="3">
        <f>VLOOKUP(Table1[[#This Row],[CODE BARANG]],stock!$A:$C,3,)</f>
        <v>66</v>
      </c>
      <c r="E806" s="1">
        <v>40</v>
      </c>
      <c r="F806" s="1">
        <v>60</v>
      </c>
      <c r="G806" s="4">
        <f>Table1[[#This Row],[stock]]/Table1[[#This Row],[HASIL MIN]]</f>
        <v>1.65</v>
      </c>
      <c r="H806" s="4">
        <f>Table1[[#This Row],[stock]]/Table1[[#This Row],[HASIL MAX]]</f>
        <v>1.1000000000000001</v>
      </c>
      <c r="I806" s="4"/>
      <c r="J806" s="4"/>
    </row>
    <row r="807" spans="1:10" x14ac:dyDescent="0.25">
      <c r="A807" s="48" t="s">
        <v>1225</v>
      </c>
      <c r="B807" t="s">
        <v>1226</v>
      </c>
      <c r="C807" t="s">
        <v>23214</v>
      </c>
      <c r="D807" s="3">
        <f>VLOOKUP(Table1[[#This Row],[CODE BARANG]],stock!$A:$C,3,)</f>
        <v>66</v>
      </c>
      <c r="E807" s="1">
        <v>20</v>
      </c>
      <c r="F807" s="1">
        <v>60</v>
      </c>
      <c r="G807" s="4">
        <f>Table1[[#This Row],[stock]]/Table1[[#This Row],[HASIL MIN]]</f>
        <v>3.3</v>
      </c>
      <c r="H807" s="4">
        <f>Table1[[#This Row],[stock]]/Table1[[#This Row],[HASIL MAX]]</f>
        <v>1.1000000000000001</v>
      </c>
      <c r="I807" s="4"/>
      <c r="J807" s="4"/>
    </row>
    <row r="808" spans="1:10" x14ac:dyDescent="0.25">
      <c r="A808" s="48" t="s">
        <v>583</v>
      </c>
      <c r="B808" t="s">
        <v>584</v>
      </c>
      <c r="C808" t="s">
        <v>23219</v>
      </c>
      <c r="D808" s="3">
        <f>VLOOKUP(Table1[[#This Row],[CODE BARANG]],stock!$A:$C,3,)</f>
        <v>330</v>
      </c>
      <c r="E808" s="1">
        <v>150</v>
      </c>
      <c r="F808" s="1">
        <v>300</v>
      </c>
      <c r="G808" s="4">
        <f>Table1[[#This Row],[stock]]/Table1[[#This Row],[HASIL MIN]]</f>
        <v>2.2000000000000002</v>
      </c>
      <c r="H808" s="4">
        <f>Table1[[#This Row],[stock]]/Table1[[#This Row],[HASIL MAX]]</f>
        <v>1.1000000000000001</v>
      </c>
      <c r="I808" s="4"/>
      <c r="J808" s="4"/>
    </row>
    <row r="809" spans="1:10" x14ac:dyDescent="0.25">
      <c r="A809" s="48" t="s">
        <v>945</v>
      </c>
      <c r="B809" t="s">
        <v>946</v>
      </c>
      <c r="C809" t="s">
        <v>23216</v>
      </c>
      <c r="D809" s="3">
        <f>VLOOKUP(Table1[[#This Row],[CODE BARANG]],stock!$A:$C,3,)</f>
        <v>11</v>
      </c>
      <c r="E809" s="1">
        <v>6</v>
      </c>
      <c r="F809" s="1">
        <v>10</v>
      </c>
      <c r="G809" s="4">
        <f>Table1[[#This Row],[stock]]/Table1[[#This Row],[HASIL MIN]]</f>
        <v>1.8333333333333333</v>
      </c>
      <c r="H809" s="4">
        <f>Table1[[#This Row],[stock]]/Table1[[#This Row],[HASIL MAX]]</f>
        <v>1.1000000000000001</v>
      </c>
      <c r="I809" s="4"/>
      <c r="J809" s="4"/>
    </row>
    <row r="810" spans="1:10" x14ac:dyDescent="0.25">
      <c r="A810" s="48" t="s">
        <v>255</v>
      </c>
      <c r="B810" t="s">
        <v>256</v>
      </c>
      <c r="C810" t="s">
        <v>23214</v>
      </c>
      <c r="D810" s="3">
        <f>VLOOKUP(Table1[[#This Row],[CODE BARANG]],stock!$A:$C,3,)</f>
        <v>88</v>
      </c>
      <c r="E810" s="1">
        <v>40</v>
      </c>
      <c r="F810" s="1">
        <v>80</v>
      </c>
      <c r="G810" s="4">
        <f>Table1[[#This Row],[stock]]/Table1[[#This Row],[HASIL MIN]]</f>
        <v>2.2000000000000002</v>
      </c>
      <c r="H810" s="4">
        <f>Table1[[#This Row],[stock]]/Table1[[#This Row],[HASIL MAX]]</f>
        <v>1.1000000000000001</v>
      </c>
      <c r="I810" s="4"/>
      <c r="J810" s="4"/>
    </row>
    <row r="811" spans="1:10" x14ac:dyDescent="0.25">
      <c r="A811" s="48" t="s">
        <v>1813</v>
      </c>
      <c r="B811" t="s">
        <v>1814</v>
      </c>
      <c r="C811" t="s">
        <v>23218</v>
      </c>
      <c r="D811" s="3">
        <f>VLOOKUP(Table1[[#This Row],[CODE BARANG]],stock!$A:$C,3,)</f>
        <v>11</v>
      </c>
      <c r="E811" s="1">
        <v>6</v>
      </c>
      <c r="F811" s="1">
        <v>10</v>
      </c>
      <c r="G811" s="4">
        <f>Table1[[#This Row],[stock]]/Table1[[#This Row],[HASIL MIN]]</f>
        <v>1.8333333333333333</v>
      </c>
      <c r="H811" s="4">
        <f>Table1[[#This Row],[stock]]/Table1[[#This Row],[HASIL MAX]]</f>
        <v>1.1000000000000001</v>
      </c>
      <c r="I811" s="4"/>
      <c r="J811" s="4"/>
    </row>
    <row r="812" spans="1:10" x14ac:dyDescent="0.25">
      <c r="A812" s="48" t="s">
        <v>15078</v>
      </c>
      <c r="B812" t="s">
        <v>15079</v>
      </c>
      <c r="C812" t="s">
        <v>23214</v>
      </c>
      <c r="D812" s="3">
        <f>VLOOKUP(Table1[[#This Row],[CODE BARANG]],stock!$A:$C,3,)</f>
        <v>66</v>
      </c>
      <c r="E812" s="1">
        <v>30</v>
      </c>
      <c r="F812" s="1">
        <v>60</v>
      </c>
      <c r="G812" s="4">
        <f>Table1[[#This Row],[stock]]/Table1[[#This Row],[HASIL MIN]]</f>
        <v>2.2000000000000002</v>
      </c>
      <c r="H812" s="4">
        <f>Table1[[#This Row],[stock]]/Table1[[#This Row],[HASIL MAX]]</f>
        <v>1.1000000000000001</v>
      </c>
      <c r="I812" s="4"/>
      <c r="J812" s="4"/>
    </row>
    <row r="813" spans="1:10" x14ac:dyDescent="0.25">
      <c r="A813" s="48" t="s">
        <v>4186</v>
      </c>
      <c r="B813" t="s">
        <v>22229</v>
      </c>
      <c r="C813" t="s">
        <v>23214</v>
      </c>
      <c r="D813" s="3">
        <f>VLOOKUP(Table1[[#This Row],[CODE BARANG]],stock!$A:$C,3,)</f>
        <v>1101</v>
      </c>
      <c r="E813" s="1">
        <v>500</v>
      </c>
      <c r="F813" s="1">
        <v>1000</v>
      </c>
      <c r="G813" s="4">
        <f>Table1[[#This Row],[stock]]/Table1[[#This Row],[HASIL MIN]]</f>
        <v>2.202</v>
      </c>
      <c r="H813" s="4">
        <f>Table1[[#This Row],[stock]]/Table1[[#This Row],[HASIL MAX]]</f>
        <v>1.101</v>
      </c>
      <c r="I813" s="4"/>
      <c r="J813" s="4"/>
    </row>
    <row r="814" spans="1:10" x14ac:dyDescent="0.25">
      <c r="A814" s="48" t="s">
        <v>12111</v>
      </c>
      <c r="B814" t="s">
        <v>12112</v>
      </c>
      <c r="C814" t="s">
        <v>23208</v>
      </c>
      <c r="D814" s="3">
        <f>VLOOKUP(Table1[[#This Row],[CODE BARANG]],stock!$A:$C,3,)</f>
        <v>53</v>
      </c>
      <c r="E814" s="1">
        <v>16</v>
      </c>
      <c r="F814" s="1">
        <v>48</v>
      </c>
      <c r="G814" s="4">
        <f>Table1[[#This Row],[stock]]/Table1[[#This Row],[HASIL MIN]]</f>
        <v>3.3125</v>
      </c>
      <c r="H814" s="4">
        <f>Table1[[#This Row],[stock]]/Table1[[#This Row],[HASIL MAX]]</f>
        <v>1.1041666666666667</v>
      </c>
      <c r="I814" s="4"/>
      <c r="J814" s="4"/>
    </row>
    <row r="815" spans="1:10" x14ac:dyDescent="0.25">
      <c r="A815" s="48" t="s">
        <v>1309</v>
      </c>
      <c r="B815" t="s">
        <v>1310</v>
      </c>
      <c r="C815" t="s">
        <v>442</v>
      </c>
      <c r="D815" s="3">
        <f>VLOOKUP(Table1[[#This Row],[CODE BARANG]],stock!$A:$C,3,)</f>
        <v>111</v>
      </c>
      <c r="E815" s="1">
        <v>48</v>
      </c>
      <c r="F815" s="1">
        <v>100</v>
      </c>
      <c r="G815" s="4">
        <f>Table1[[#This Row],[stock]]/Table1[[#This Row],[HASIL MIN]]</f>
        <v>2.3125</v>
      </c>
      <c r="H815" s="4">
        <f>Table1[[#This Row],[stock]]/Table1[[#This Row],[HASIL MAX]]</f>
        <v>1.1100000000000001</v>
      </c>
      <c r="I815" s="4"/>
      <c r="J815" s="4"/>
    </row>
    <row r="816" spans="1:10" x14ac:dyDescent="0.25">
      <c r="A816" s="48" t="s">
        <v>671</v>
      </c>
      <c r="B816" t="s">
        <v>672</v>
      </c>
      <c r="C816" t="s">
        <v>442</v>
      </c>
      <c r="D816" s="3">
        <f>VLOOKUP(Table1[[#This Row],[CODE BARANG]],stock!$A:$C,3,)</f>
        <v>222</v>
      </c>
      <c r="E816" s="1">
        <v>72</v>
      </c>
      <c r="F816" s="1">
        <v>200</v>
      </c>
      <c r="G816" s="4">
        <f>Table1[[#This Row],[stock]]/Table1[[#This Row],[HASIL MIN]]</f>
        <v>3.0833333333333335</v>
      </c>
      <c r="H816" s="4">
        <f>Table1[[#This Row],[stock]]/Table1[[#This Row],[HASIL MAX]]</f>
        <v>1.1100000000000001</v>
      </c>
      <c r="I816" s="4"/>
      <c r="J816" s="4"/>
    </row>
    <row r="817" spans="1:10" x14ac:dyDescent="0.25">
      <c r="A817" s="48" t="s">
        <v>1411</v>
      </c>
      <c r="B817" t="s">
        <v>1412</v>
      </c>
      <c r="C817" t="s">
        <v>1859</v>
      </c>
      <c r="D817" s="3">
        <f>VLOOKUP(Table1[[#This Row],[CODE BARANG]],stock!$A:$C,3,)</f>
        <v>67</v>
      </c>
      <c r="E817" s="1">
        <v>48</v>
      </c>
      <c r="F817" s="1">
        <v>60</v>
      </c>
      <c r="G817" s="4">
        <f>Table1[[#This Row],[stock]]/Table1[[#This Row],[HASIL MIN]]</f>
        <v>1.3958333333333333</v>
      </c>
      <c r="H817" s="4">
        <f>Table1[[#This Row],[stock]]/Table1[[#This Row],[HASIL MAX]]</f>
        <v>1.1166666666666667</v>
      </c>
      <c r="I817" s="4"/>
      <c r="J817" s="4"/>
    </row>
    <row r="818" spans="1:10" x14ac:dyDescent="0.25">
      <c r="A818" s="48" t="s">
        <v>1882</v>
      </c>
      <c r="B818" t="s">
        <v>1883</v>
      </c>
      <c r="C818" t="s">
        <v>23217</v>
      </c>
      <c r="D818" s="3">
        <f>VLOOKUP(Table1[[#This Row],[CODE BARANG]],stock!$A:$C,3,)</f>
        <v>161</v>
      </c>
      <c r="E818" s="1">
        <v>72</v>
      </c>
      <c r="F818" s="1">
        <v>144</v>
      </c>
      <c r="G818" s="4">
        <f>Table1[[#This Row],[stock]]/Table1[[#This Row],[HASIL MIN]]</f>
        <v>2.2361111111111112</v>
      </c>
      <c r="H818" s="4">
        <f>Table1[[#This Row],[stock]]/Table1[[#This Row],[HASIL MAX]]</f>
        <v>1.1180555555555556</v>
      </c>
      <c r="I818" s="4"/>
      <c r="J818" s="4"/>
    </row>
    <row r="819" spans="1:10" x14ac:dyDescent="0.25">
      <c r="A819" s="48" t="s">
        <v>1505</v>
      </c>
      <c r="B819" t="s">
        <v>1506</v>
      </c>
      <c r="C819" t="s">
        <v>23217</v>
      </c>
      <c r="D819" s="3">
        <f>VLOOKUP(Table1[[#This Row],[CODE BARANG]],stock!$A:$C,3,)</f>
        <v>161</v>
      </c>
      <c r="E819" s="1">
        <v>60</v>
      </c>
      <c r="F819" s="1">
        <v>144</v>
      </c>
      <c r="G819" s="4">
        <f>Table1[[#This Row],[stock]]/Table1[[#This Row],[HASIL MIN]]</f>
        <v>2.6833333333333331</v>
      </c>
      <c r="H819" s="4">
        <f>Table1[[#This Row],[stock]]/Table1[[#This Row],[HASIL MAX]]</f>
        <v>1.1180555555555556</v>
      </c>
      <c r="I819" s="4"/>
      <c r="J819" s="4"/>
    </row>
    <row r="820" spans="1:10" x14ac:dyDescent="0.25">
      <c r="A820" s="48" t="s">
        <v>605</v>
      </c>
      <c r="B820" t="s">
        <v>606</v>
      </c>
      <c r="C820" t="s">
        <v>23211</v>
      </c>
      <c r="D820" s="3">
        <f>VLOOKUP(Table1[[#This Row],[CODE BARANG]],stock!$A:$C,3,)</f>
        <v>674</v>
      </c>
      <c r="E820" s="1">
        <v>300</v>
      </c>
      <c r="F820" s="1">
        <v>600</v>
      </c>
      <c r="G820" s="4">
        <f>Table1[[#This Row],[stock]]/Table1[[#This Row],[HASIL MIN]]</f>
        <v>2.2466666666666666</v>
      </c>
      <c r="H820" s="4">
        <f>Table1[[#This Row],[stock]]/Table1[[#This Row],[HASIL MAX]]</f>
        <v>1.1233333333333333</v>
      </c>
      <c r="I820" s="4"/>
      <c r="J820" s="4"/>
    </row>
    <row r="821" spans="1:10" x14ac:dyDescent="0.25">
      <c r="A821" s="48" t="s">
        <v>18397</v>
      </c>
      <c r="B821" t="s">
        <v>22031</v>
      </c>
      <c r="C821" t="s">
        <v>23216</v>
      </c>
      <c r="D821" s="3">
        <f>VLOOKUP(Table1[[#This Row],[CODE BARANG]],stock!$A:$C,3,)</f>
        <v>9</v>
      </c>
      <c r="E821" s="1">
        <v>5</v>
      </c>
      <c r="F821" s="1">
        <v>8</v>
      </c>
      <c r="G821" s="4">
        <f>Table1[[#This Row],[stock]]/Table1[[#This Row],[HASIL MIN]]</f>
        <v>1.8</v>
      </c>
      <c r="H821" s="4">
        <f>Table1[[#This Row],[stock]]/Table1[[#This Row],[HASIL MAX]]</f>
        <v>1.125</v>
      </c>
      <c r="I821" s="4"/>
      <c r="J821" s="4"/>
    </row>
    <row r="822" spans="1:10" x14ac:dyDescent="0.25">
      <c r="A822" s="48" t="s">
        <v>12216</v>
      </c>
      <c r="B822" t="s">
        <v>12217</v>
      </c>
      <c r="C822" t="s">
        <v>23207</v>
      </c>
      <c r="D822" s="3">
        <f>VLOOKUP(Table1[[#This Row],[CODE BARANG]],stock!$A:$C,3,)</f>
        <v>27</v>
      </c>
      <c r="E822" s="1">
        <v>12</v>
      </c>
      <c r="F822" s="1">
        <v>24</v>
      </c>
      <c r="G822" s="4">
        <f>Table1[[#This Row],[stock]]/Table1[[#This Row],[HASIL MIN]]</f>
        <v>2.25</v>
      </c>
      <c r="H822" s="4">
        <f>Table1[[#This Row],[stock]]/Table1[[#This Row],[HASIL MAX]]</f>
        <v>1.125</v>
      </c>
      <c r="I822" s="4"/>
      <c r="J822" s="4"/>
    </row>
    <row r="823" spans="1:10" x14ac:dyDescent="0.25">
      <c r="A823" s="48" t="s">
        <v>1249</v>
      </c>
      <c r="B823" t="s">
        <v>1250</v>
      </c>
      <c r="C823" t="s">
        <v>23215</v>
      </c>
      <c r="D823" s="3">
        <f>VLOOKUP(Table1[[#This Row],[CODE BARANG]],stock!$A:$C,3,)</f>
        <v>81</v>
      </c>
      <c r="E823" s="1">
        <v>36</v>
      </c>
      <c r="F823" s="1">
        <v>72</v>
      </c>
      <c r="G823" s="4">
        <f>Table1[[#This Row],[stock]]/Table1[[#This Row],[HASIL MIN]]</f>
        <v>2.25</v>
      </c>
      <c r="H823" s="4">
        <f>Table1[[#This Row],[stock]]/Table1[[#This Row],[HASIL MAX]]</f>
        <v>1.125</v>
      </c>
      <c r="I823" s="4"/>
      <c r="J823" s="4"/>
    </row>
    <row r="824" spans="1:10" x14ac:dyDescent="0.25">
      <c r="A824" s="48" t="s">
        <v>1059</v>
      </c>
      <c r="B824" t="s">
        <v>1060</v>
      </c>
      <c r="C824" t="s">
        <v>23214</v>
      </c>
      <c r="D824" s="3">
        <f>VLOOKUP(Table1[[#This Row],[CODE BARANG]],stock!$A:$C,3,)</f>
        <v>27</v>
      </c>
      <c r="E824" s="1">
        <v>12</v>
      </c>
      <c r="F824" s="1">
        <v>24</v>
      </c>
      <c r="G824" s="4">
        <f>Table1[[#This Row],[stock]]/Table1[[#This Row],[HASIL MIN]]</f>
        <v>2.25</v>
      </c>
      <c r="H824" s="4">
        <f>Table1[[#This Row],[stock]]/Table1[[#This Row],[HASIL MAX]]</f>
        <v>1.125</v>
      </c>
      <c r="I824" s="4"/>
      <c r="J824" s="4"/>
    </row>
    <row r="825" spans="1:10" x14ac:dyDescent="0.25">
      <c r="A825" s="48" t="s">
        <v>965</v>
      </c>
      <c r="B825" t="s">
        <v>966</v>
      </c>
      <c r="C825" t="s">
        <v>442</v>
      </c>
      <c r="D825" s="3">
        <f>VLOOKUP(Table1[[#This Row],[CODE BARANG]],stock!$A:$C,3,)</f>
        <v>68</v>
      </c>
      <c r="E825" s="1">
        <v>36</v>
      </c>
      <c r="F825" s="1">
        <v>60</v>
      </c>
      <c r="G825" s="4">
        <f>Table1[[#This Row],[stock]]/Table1[[#This Row],[HASIL MIN]]</f>
        <v>1.8888888888888888</v>
      </c>
      <c r="H825" s="4">
        <f>Table1[[#This Row],[stock]]/Table1[[#This Row],[HASIL MAX]]</f>
        <v>1.1333333333333333</v>
      </c>
      <c r="I825" s="4"/>
      <c r="J825" s="4"/>
    </row>
    <row r="826" spans="1:10" x14ac:dyDescent="0.25">
      <c r="A826" s="48" t="s">
        <v>133</v>
      </c>
      <c r="B826" t="s">
        <v>134</v>
      </c>
      <c r="C826" t="s">
        <v>23209</v>
      </c>
      <c r="D826" s="3">
        <f>VLOOKUP(Table1[[#This Row],[CODE BARANG]],stock!$A:$C,3,)</f>
        <v>109</v>
      </c>
      <c r="E826" s="1">
        <v>48</v>
      </c>
      <c r="F826" s="1">
        <v>96</v>
      </c>
      <c r="G826" s="4">
        <f>Table1[[#This Row],[stock]]/Table1[[#This Row],[HASIL MIN]]</f>
        <v>2.2708333333333335</v>
      </c>
      <c r="H826" s="4">
        <f>Table1[[#This Row],[stock]]/Table1[[#This Row],[HASIL MAX]]</f>
        <v>1.1354166666666667</v>
      </c>
      <c r="I826" s="4"/>
      <c r="J826" s="4"/>
    </row>
    <row r="827" spans="1:10" x14ac:dyDescent="0.25">
      <c r="A827" s="48" t="s">
        <v>1553</v>
      </c>
      <c r="B827" t="s">
        <v>1554</v>
      </c>
      <c r="C827" t="s">
        <v>23209</v>
      </c>
      <c r="D827" s="3">
        <f>VLOOKUP(Table1[[#This Row],[CODE BARANG]],stock!$A:$C,3,)</f>
        <v>92</v>
      </c>
      <c r="E827" s="1">
        <v>40</v>
      </c>
      <c r="F827" s="1">
        <v>80</v>
      </c>
      <c r="G827" s="4">
        <f>Table1[[#This Row],[stock]]/Table1[[#This Row],[HASIL MIN]]</f>
        <v>2.2999999999999998</v>
      </c>
      <c r="H827" s="4">
        <f>Table1[[#This Row],[stock]]/Table1[[#This Row],[HASIL MAX]]</f>
        <v>1.1499999999999999</v>
      </c>
      <c r="I827" s="4"/>
      <c r="J827" s="4"/>
    </row>
    <row r="828" spans="1:10" x14ac:dyDescent="0.25">
      <c r="A828" s="48" t="s">
        <v>4090</v>
      </c>
      <c r="B828" t="s">
        <v>4091</v>
      </c>
      <c r="C828" t="s">
        <v>23214</v>
      </c>
      <c r="D828" s="3">
        <f>VLOOKUP(Table1[[#This Row],[CODE BARANG]],stock!$A:$C,3,)</f>
        <v>231</v>
      </c>
      <c r="E828" s="1">
        <v>100</v>
      </c>
      <c r="F828" s="1">
        <v>200</v>
      </c>
      <c r="G828" s="4">
        <f>Table1[[#This Row],[stock]]/Table1[[#This Row],[HASIL MIN]]</f>
        <v>2.31</v>
      </c>
      <c r="H828" s="4">
        <f>Table1[[#This Row],[stock]]/Table1[[#This Row],[HASIL MAX]]</f>
        <v>1.155</v>
      </c>
      <c r="I828" s="4"/>
      <c r="J828" s="4"/>
    </row>
    <row r="829" spans="1:10" x14ac:dyDescent="0.25">
      <c r="A829" s="48" t="s">
        <v>876</v>
      </c>
      <c r="B829" t="s">
        <v>877</v>
      </c>
      <c r="C829" t="s">
        <v>23214</v>
      </c>
      <c r="D829" s="3">
        <f>VLOOKUP(Table1[[#This Row],[CODE BARANG]],stock!$A:$C,3,)</f>
        <v>232</v>
      </c>
      <c r="E829" s="1">
        <v>120</v>
      </c>
      <c r="F829" s="1">
        <v>200</v>
      </c>
      <c r="G829" s="4">
        <f>Table1[[#This Row],[stock]]/Table1[[#This Row],[HASIL MIN]]</f>
        <v>1.9333333333333333</v>
      </c>
      <c r="H829" s="4">
        <f>Table1[[#This Row],[stock]]/Table1[[#This Row],[HASIL MAX]]</f>
        <v>1.1599999999999999</v>
      </c>
      <c r="I829" s="4"/>
      <c r="J829" s="4"/>
    </row>
    <row r="830" spans="1:10" x14ac:dyDescent="0.25">
      <c r="A830" s="48" t="s">
        <v>19551</v>
      </c>
      <c r="B830" t="s">
        <v>19552</v>
      </c>
      <c r="C830" t="s">
        <v>23216</v>
      </c>
      <c r="D830" s="3">
        <f>VLOOKUP(Table1[[#This Row],[CODE BARANG]],stock!$A:$C,3,)</f>
        <v>84</v>
      </c>
      <c r="E830" s="1">
        <v>48</v>
      </c>
      <c r="F830" s="1">
        <v>72</v>
      </c>
      <c r="G830" s="4">
        <f>Table1[[#This Row],[stock]]/Table1[[#This Row],[HASIL MIN]]</f>
        <v>1.75</v>
      </c>
      <c r="H830" s="4">
        <f>Table1[[#This Row],[stock]]/Table1[[#This Row],[HASIL MAX]]</f>
        <v>1.1666666666666667</v>
      </c>
      <c r="I830" s="4"/>
      <c r="J830" s="4"/>
    </row>
    <row r="831" spans="1:10" x14ac:dyDescent="0.25">
      <c r="A831" s="48" t="s">
        <v>175</v>
      </c>
      <c r="B831" t="s">
        <v>176</v>
      </c>
      <c r="C831" t="s">
        <v>442</v>
      </c>
      <c r="D831" s="3">
        <f>VLOOKUP(Table1[[#This Row],[CODE BARANG]],stock!$A:$C,3,)</f>
        <v>7</v>
      </c>
      <c r="E831" s="1">
        <v>4</v>
      </c>
      <c r="F831" s="1">
        <v>6</v>
      </c>
      <c r="G831" s="4">
        <f>Table1[[#This Row],[stock]]/Table1[[#This Row],[HASIL MIN]]</f>
        <v>1.75</v>
      </c>
      <c r="H831" s="4">
        <f>Table1[[#This Row],[stock]]/Table1[[#This Row],[HASIL MAX]]</f>
        <v>1.1666666666666667</v>
      </c>
      <c r="I831" s="4"/>
      <c r="J831" s="4"/>
    </row>
    <row r="832" spans="1:10" x14ac:dyDescent="0.25">
      <c r="A832" s="48" t="s">
        <v>795</v>
      </c>
      <c r="B832" t="s">
        <v>796</v>
      </c>
      <c r="C832" t="s">
        <v>442</v>
      </c>
      <c r="D832" s="3">
        <f>VLOOKUP(Table1[[#This Row],[CODE BARANG]],stock!$A:$C,3,)</f>
        <v>7</v>
      </c>
      <c r="E832" s="1">
        <v>4</v>
      </c>
      <c r="F832" s="1">
        <v>6</v>
      </c>
      <c r="G832" s="4">
        <f>Table1[[#This Row],[stock]]/Table1[[#This Row],[HASIL MIN]]</f>
        <v>1.75</v>
      </c>
      <c r="H832" s="4">
        <f>Table1[[#This Row],[stock]]/Table1[[#This Row],[HASIL MAX]]</f>
        <v>1.1666666666666667</v>
      </c>
      <c r="I832" s="4"/>
      <c r="J832" s="4"/>
    </row>
    <row r="833" spans="1:16" x14ac:dyDescent="0.25">
      <c r="A833" s="48" t="s">
        <v>461</v>
      </c>
      <c r="B833" t="s">
        <v>462</v>
      </c>
      <c r="C833" t="s">
        <v>23212</v>
      </c>
      <c r="D833" s="3">
        <f>VLOOKUP(Table1[[#This Row],[CODE BARANG]],stock!$A:$C,3,)</f>
        <v>14</v>
      </c>
      <c r="E833" s="1">
        <v>8</v>
      </c>
      <c r="F833" s="1">
        <v>12</v>
      </c>
      <c r="G833" s="4">
        <f>Table1[[#This Row],[stock]]/Table1[[#This Row],[HASIL MIN]]</f>
        <v>1.75</v>
      </c>
      <c r="H833" s="4">
        <f>Table1[[#This Row],[stock]]/Table1[[#This Row],[HASIL MAX]]</f>
        <v>1.1666666666666667</v>
      </c>
      <c r="I833" s="4"/>
      <c r="J833" s="4"/>
    </row>
    <row r="834" spans="1:16" x14ac:dyDescent="0.25">
      <c r="A834" s="48" t="s">
        <v>1431</v>
      </c>
      <c r="B834" t="s">
        <v>1432</v>
      </c>
      <c r="C834" t="s">
        <v>23209</v>
      </c>
      <c r="D834" s="3">
        <f>VLOOKUP(Table1[[#This Row],[CODE BARANG]],stock!$A:$C,3,)</f>
        <v>7</v>
      </c>
      <c r="E834" s="1">
        <v>2</v>
      </c>
      <c r="F834" s="1">
        <v>6</v>
      </c>
      <c r="G834" s="4">
        <f>Table1[[#This Row],[stock]]/Table1[[#This Row],[HASIL MIN]]</f>
        <v>3.5</v>
      </c>
      <c r="H834" s="4">
        <f>Table1[[#This Row],[stock]]/Table1[[#This Row],[HASIL MAX]]</f>
        <v>1.1666666666666667</v>
      </c>
      <c r="I834" s="4"/>
      <c r="J834" s="4"/>
    </row>
    <row r="835" spans="1:16" x14ac:dyDescent="0.25">
      <c r="A835" s="48" t="s">
        <v>15116</v>
      </c>
      <c r="B835" t="s">
        <v>15117</v>
      </c>
      <c r="C835" t="s">
        <v>23214</v>
      </c>
      <c r="D835" s="3">
        <f>VLOOKUP(Table1[[#This Row],[CODE BARANG]],stock!$A:$C,3,)</f>
        <v>7</v>
      </c>
      <c r="E835" s="1">
        <v>2</v>
      </c>
      <c r="F835" s="1">
        <v>6</v>
      </c>
      <c r="G835" s="4">
        <f>Table1[[#This Row],[stock]]/Table1[[#This Row],[HASIL MIN]]</f>
        <v>3.5</v>
      </c>
      <c r="H835" s="4">
        <f>Table1[[#This Row],[stock]]/Table1[[#This Row],[HASIL MAX]]</f>
        <v>1.1666666666666667</v>
      </c>
      <c r="I835" s="4"/>
      <c r="J835" s="4"/>
    </row>
    <row r="836" spans="1:16" s="2" customFormat="1" x14ac:dyDescent="0.25">
      <c r="A836" s="48" t="s">
        <v>1611</v>
      </c>
      <c r="B836" t="s">
        <v>1612</v>
      </c>
      <c r="C836" t="s">
        <v>912</v>
      </c>
      <c r="D836" s="3">
        <f>VLOOKUP(Table1[[#This Row],[CODE BARANG]],stock!$A:$C,3,)</f>
        <v>7</v>
      </c>
      <c r="E836" s="1">
        <v>3</v>
      </c>
      <c r="F836" s="1">
        <v>6</v>
      </c>
      <c r="G836" s="4">
        <f>Table1[[#This Row],[stock]]/Table1[[#This Row],[HASIL MIN]]</f>
        <v>2.3333333333333335</v>
      </c>
      <c r="H836" s="4">
        <f>Table1[[#This Row],[stock]]/Table1[[#This Row],[HASIL MAX]]</f>
        <v>1.1666666666666667</v>
      </c>
      <c r="I836" s="4"/>
      <c r="J836" s="4"/>
      <c r="L836" s="53"/>
      <c r="M836" s="53"/>
      <c r="N836" s="53"/>
      <c r="O836" s="46"/>
      <c r="P836" s="46"/>
    </row>
    <row r="837" spans="1:16" x14ac:dyDescent="0.25">
      <c r="A837" s="48" t="s">
        <v>12333</v>
      </c>
      <c r="B837" t="s">
        <v>12334</v>
      </c>
      <c r="C837" t="s">
        <v>23207</v>
      </c>
      <c r="D837" s="3">
        <f>VLOOKUP(Table1[[#This Row],[CODE BARANG]],stock!$A:$C,3,)</f>
        <v>7</v>
      </c>
      <c r="E837" s="1">
        <v>3</v>
      </c>
      <c r="F837" s="1">
        <v>6</v>
      </c>
      <c r="G837" s="4">
        <f>Table1[[#This Row],[stock]]/Table1[[#This Row],[HASIL MIN]]</f>
        <v>2.3333333333333335</v>
      </c>
      <c r="H837" s="4">
        <f>Table1[[#This Row],[stock]]/Table1[[#This Row],[HASIL MAX]]</f>
        <v>1.1666666666666667</v>
      </c>
      <c r="I837" s="4"/>
      <c r="J837" s="4"/>
    </row>
    <row r="838" spans="1:16" x14ac:dyDescent="0.25">
      <c r="A838" s="48" t="s">
        <v>1809</v>
      </c>
      <c r="B838" t="s">
        <v>1810</v>
      </c>
      <c r="C838" t="s">
        <v>23209</v>
      </c>
      <c r="D838" s="3">
        <f>VLOOKUP(Table1[[#This Row],[CODE BARANG]],stock!$A:$C,3,)</f>
        <v>14</v>
      </c>
      <c r="E838" s="1">
        <v>6</v>
      </c>
      <c r="F838" s="1">
        <v>12</v>
      </c>
      <c r="G838" s="4">
        <f>Table1[[#This Row],[stock]]/Table1[[#This Row],[HASIL MIN]]</f>
        <v>2.3333333333333335</v>
      </c>
      <c r="H838" s="4">
        <f>Table1[[#This Row],[stock]]/Table1[[#This Row],[HASIL MAX]]</f>
        <v>1.1666666666666667</v>
      </c>
      <c r="I838" s="4"/>
      <c r="J838" s="4"/>
    </row>
    <row r="839" spans="1:16" x14ac:dyDescent="0.25">
      <c r="A839" s="48" t="s">
        <v>17012</v>
      </c>
      <c r="B839" t="s">
        <v>17013</v>
      </c>
      <c r="C839" t="s">
        <v>23214</v>
      </c>
      <c r="D839" s="3">
        <f>VLOOKUP(Table1[[#This Row],[CODE BARANG]],stock!$A:$C,3,)</f>
        <v>14</v>
      </c>
      <c r="E839" s="1">
        <v>9</v>
      </c>
      <c r="F839" s="1">
        <v>12</v>
      </c>
      <c r="G839" s="4">
        <f>Table1[[#This Row],[stock]]/Table1[[#This Row],[HASIL MIN]]</f>
        <v>1.5555555555555556</v>
      </c>
      <c r="H839" s="4">
        <f>Table1[[#This Row],[stock]]/Table1[[#This Row],[HASIL MAX]]</f>
        <v>1.1666666666666667</v>
      </c>
      <c r="I839" s="4"/>
      <c r="J839" s="4"/>
    </row>
    <row r="840" spans="1:16" x14ac:dyDescent="0.25">
      <c r="A840" s="48" t="s">
        <v>1539</v>
      </c>
      <c r="B840" t="s">
        <v>1540</v>
      </c>
      <c r="C840" t="s">
        <v>23211</v>
      </c>
      <c r="D840" s="3">
        <f>VLOOKUP(Table1[[#This Row],[CODE BARANG]],stock!$A:$C,3,)</f>
        <v>7</v>
      </c>
      <c r="E840" s="1">
        <v>3</v>
      </c>
      <c r="F840" s="1">
        <v>6</v>
      </c>
      <c r="G840" s="4">
        <f>Table1[[#This Row],[stock]]/Table1[[#This Row],[HASIL MIN]]</f>
        <v>2.3333333333333335</v>
      </c>
      <c r="H840" s="4">
        <f>Table1[[#This Row],[stock]]/Table1[[#This Row],[HASIL MAX]]</f>
        <v>1.1666666666666667</v>
      </c>
      <c r="I840" s="4"/>
      <c r="J840" s="4"/>
    </row>
    <row r="841" spans="1:16" x14ac:dyDescent="0.25">
      <c r="A841" s="48" t="s">
        <v>15181</v>
      </c>
      <c r="B841" t="s">
        <v>15182</v>
      </c>
      <c r="C841" t="s">
        <v>23209</v>
      </c>
      <c r="D841" s="3">
        <f>VLOOKUP(Table1[[#This Row],[CODE BARANG]],stock!$A:$C,3,)</f>
        <v>7</v>
      </c>
      <c r="E841" s="1">
        <v>2</v>
      </c>
      <c r="F841" s="1">
        <v>6</v>
      </c>
      <c r="G841" s="4">
        <f>Table1[[#This Row],[stock]]/Table1[[#This Row],[HASIL MIN]]</f>
        <v>3.5</v>
      </c>
      <c r="H841" s="4">
        <f>Table1[[#This Row],[stock]]/Table1[[#This Row],[HASIL MAX]]</f>
        <v>1.1666666666666667</v>
      </c>
      <c r="I841" s="4"/>
      <c r="J841" s="4"/>
    </row>
    <row r="842" spans="1:16" x14ac:dyDescent="0.25">
      <c r="A842" s="48" t="s">
        <v>13572</v>
      </c>
      <c r="B842" t="s">
        <v>13573</v>
      </c>
      <c r="C842" t="s">
        <v>23219</v>
      </c>
      <c r="D842" s="3">
        <f>VLOOKUP(Table1[[#This Row],[CODE BARANG]],stock!$A:$C,3,)</f>
        <v>14</v>
      </c>
      <c r="E842" s="1">
        <v>8</v>
      </c>
      <c r="F842" s="1">
        <v>12</v>
      </c>
      <c r="G842" s="4">
        <f>Table1[[#This Row],[stock]]/Table1[[#This Row],[HASIL MIN]]</f>
        <v>1.75</v>
      </c>
      <c r="H842" s="4">
        <f>Table1[[#This Row],[stock]]/Table1[[#This Row],[HASIL MAX]]</f>
        <v>1.1666666666666667</v>
      </c>
      <c r="I842" s="4"/>
      <c r="J842" s="4"/>
    </row>
    <row r="843" spans="1:16" x14ac:dyDescent="0.25">
      <c r="A843" s="48" t="s">
        <v>1831</v>
      </c>
      <c r="B843" t="s">
        <v>1832</v>
      </c>
      <c r="C843" t="s">
        <v>23212</v>
      </c>
      <c r="D843" s="3">
        <f>VLOOKUP(Table1[[#This Row],[CODE BARANG]],stock!$A:$C,3,)</f>
        <v>140</v>
      </c>
      <c r="E843" s="1">
        <v>60</v>
      </c>
      <c r="F843" s="1">
        <v>120</v>
      </c>
      <c r="G843" s="4">
        <f>Table1[[#This Row],[stock]]/Table1[[#This Row],[HASIL MIN]]</f>
        <v>2.3333333333333335</v>
      </c>
      <c r="H843" s="4">
        <f>Table1[[#This Row],[stock]]/Table1[[#This Row],[HASIL MAX]]</f>
        <v>1.1666666666666667</v>
      </c>
      <c r="I843" s="4"/>
      <c r="J843" s="4"/>
    </row>
    <row r="844" spans="1:16" x14ac:dyDescent="0.25">
      <c r="A844" s="48" t="s">
        <v>1357</v>
      </c>
      <c r="B844" t="s">
        <v>1358</v>
      </c>
      <c r="C844" t="s">
        <v>23216</v>
      </c>
      <c r="D844" s="3">
        <f>VLOOKUP(Table1[[#This Row],[CODE BARANG]],stock!$A:$C,3,)</f>
        <v>7</v>
      </c>
      <c r="E844" s="1">
        <v>4</v>
      </c>
      <c r="F844" s="1">
        <v>6</v>
      </c>
      <c r="G844" s="4">
        <f>Table1[[#This Row],[stock]]/Table1[[#This Row],[HASIL MIN]]</f>
        <v>1.75</v>
      </c>
      <c r="H844" s="4">
        <f>Table1[[#This Row],[stock]]/Table1[[#This Row],[HASIL MAX]]</f>
        <v>1.1666666666666667</v>
      </c>
      <c r="I844" s="4"/>
      <c r="J844" s="4"/>
    </row>
    <row r="845" spans="1:16" x14ac:dyDescent="0.25">
      <c r="A845" s="48" t="s">
        <v>1395</v>
      </c>
      <c r="B845" t="s">
        <v>1396</v>
      </c>
      <c r="C845" t="s">
        <v>23210</v>
      </c>
      <c r="D845" s="3">
        <f>VLOOKUP(Table1[[#This Row],[CODE BARANG]],stock!$A:$C,3,)</f>
        <v>117</v>
      </c>
      <c r="E845" s="1">
        <v>60</v>
      </c>
      <c r="F845" s="1">
        <v>100</v>
      </c>
      <c r="G845" s="4">
        <f>Table1[[#This Row],[stock]]/Table1[[#This Row],[HASIL MIN]]</f>
        <v>1.95</v>
      </c>
      <c r="H845" s="4">
        <f>Table1[[#This Row],[stock]]/Table1[[#This Row],[HASIL MAX]]</f>
        <v>1.17</v>
      </c>
      <c r="I845" s="4"/>
      <c r="J845" s="4"/>
    </row>
    <row r="846" spans="1:16" x14ac:dyDescent="0.25">
      <c r="A846" s="48" t="s">
        <v>749</v>
      </c>
      <c r="B846" t="s">
        <v>750</v>
      </c>
      <c r="C846" t="s">
        <v>23217</v>
      </c>
      <c r="D846" s="3">
        <f>VLOOKUP(Table1[[#This Row],[CODE BARANG]],stock!$A:$C,3,)</f>
        <v>340</v>
      </c>
      <c r="E846" s="1">
        <v>144</v>
      </c>
      <c r="F846" s="1">
        <v>288</v>
      </c>
      <c r="G846" s="4">
        <f>Table1[[#This Row],[stock]]/Table1[[#This Row],[HASIL MIN]]</f>
        <v>2.3611111111111112</v>
      </c>
      <c r="H846" s="4">
        <f>Table1[[#This Row],[stock]]/Table1[[#This Row],[HASIL MAX]]</f>
        <v>1.1805555555555556</v>
      </c>
      <c r="I846" s="4"/>
      <c r="J846" s="4"/>
    </row>
    <row r="847" spans="1:16" x14ac:dyDescent="0.25">
      <c r="A847" s="48" t="s">
        <v>251</v>
      </c>
      <c r="B847" t="s">
        <v>252</v>
      </c>
      <c r="C847" t="s">
        <v>23210</v>
      </c>
      <c r="D847" s="3">
        <f>VLOOKUP(Table1[[#This Row],[CODE BARANG]],stock!$A:$C,3,)</f>
        <v>85</v>
      </c>
      <c r="E847" s="1">
        <v>40</v>
      </c>
      <c r="F847" s="1">
        <v>72</v>
      </c>
      <c r="G847" s="4">
        <f>Table1[[#This Row],[stock]]/Table1[[#This Row],[HASIL MIN]]</f>
        <v>2.125</v>
      </c>
      <c r="H847" s="4">
        <f>Table1[[#This Row],[stock]]/Table1[[#This Row],[HASIL MAX]]</f>
        <v>1.1805555555555556</v>
      </c>
      <c r="I847" s="4"/>
      <c r="J847" s="4"/>
    </row>
    <row r="848" spans="1:16" x14ac:dyDescent="0.25">
      <c r="A848" s="54" t="s">
        <v>1847</v>
      </c>
      <c r="B848" s="55" t="s">
        <v>1848</v>
      </c>
      <c r="C848" s="55" t="s">
        <v>442</v>
      </c>
      <c r="D848" s="56">
        <f>VLOOKUP(Table1[[#This Row],[CODE BARANG]],stock!$A:$C,3,)</f>
        <v>213</v>
      </c>
      <c r="E848" s="56">
        <v>120</v>
      </c>
      <c r="F848" s="56">
        <v>180</v>
      </c>
      <c r="G848" s="4">
        <f>Table1[[#This Row],[stock]]/Table1[[#This Row],[HASIL MIN]]</f>
        <v>1.7749999999999999</v>
      </c>
      <c r="H848" s="4">
        <f>Table1[[#This Row],[stock]]/Table1[[#This Row],[HASIL MAX]]</f>
        <v>1.1833333333333333</v>
      </c>
      <c r="I848" s="4"/>
      <c r="J848" s="4"/>
    </row>
    <row r="849" spans="1:10" x14ac:dyDescent="0.25">
      <c r="A849" s="48" t="s">
        <v>919</v>
      </c>
      <c r="B849" t="s">
        <v>920</v>
      </c>
      <c r="C849" t="s">
        <v>23209</v>
      </c>
      <c r="D849" s="3">
        <f>VLOOKUP(Table1[[#This Row],[CODE BARANG]],stock!$A:$C,3,)</f>
        <v>19</v>
      </c>
      <c r="E849" s="1">
        <v>10</v>
      </c>
      <c r="F849" s="1">
        <v>16</v>
      </c>
      <c r="G849" s="4">
        <f>Table1[[#This Row],[stock]]/Table1[[#This Row],[HASIL MIN]]</f>
        <v>1.9</v>
      </c>
      <c r="H849" s="4">
        <f>Table1[[#This Row],[stock]]/Table1[[#This Row],[HASIL MAX]]</f>
        <v>1.1875</v>
      </c>
      <c r="I849" s="4"/>
      <c r="J849" s="4"/>
    </row>
    <row r="850" spans="1:10" x14ac:dyDescent="0.25">
      <c r="A850" s="48" t="s">
        <v>12941</v>
      </c>
      <c r="B850" t="s">
        <v>12942</v>
      </c>
      <c r="C850" t="s">
        <v>23208</v>
      </c>
      <c r="D850" s="3">
        <f>VLOOKUP(Table1[[#This Row],[CODE BARANG]],stock!$A:$C,3,)</f>
        <v>114</v>
      </c>
      <c r="E850" s="1">
        <v>48</v>
      </c>
      <c r="F850" s="1">
        <v>96</v>
      </c>
      <c r="G850" s="4">
        <f>Table1[[#This Row],[stock]]/Table1[[#This Row],[HASIL MIN]]</f>
        <v>2.375</v>
      </c>
      <c r="H850" s="4">
        <f>Table1[[#This Row],[stock]]/Table1[[#This Row],[HASIL MAX]]</f>
        <v>1.1875</v>
      </c>
      <c r="I850" s="4"/>
      <c r="J850" s="4"/>
    </row>
    <row r="851" spans="1:10" x14ac:dyDescent="0.25">
      <c r="A851" s="48" t="s">
        <v>7700</v>
      </c>
      <c r="B851" t="s">
        <v>7701</v>
      </c>
      <c r="C851" t="s">
        <v>23217</v>
      </c>
      <c r="D851" s="3">
        <f>VLOOKUP(Table1[[#This Row],[CODE BARANG]],stock!$A:$C,3,)</f>
        <v>19</v>
      </c>
      <c r="E851" s="1">
        <v>10</v>
      </c>
      <c r="F851" s="1">
        <v>16</v>
      </c>
      <c r="G851" s="4">
        <f>Table1[[#This Row],[stock]]/Table1[[#This Row],[HASIL MIN]]</f>
        <v>1.9</v>
      </c>
      <c r="H851" s="4">
        <f>Table1[[#This Row],[stock]]/Table1[[#This Row],[HASIL MAX]]</f>
        <v>1.1875</v>
      </c>
      <c r="I851" s="4"/>
      <c r="J851" s="4"/>
    </row>
    <row r="852" spans="1:10" x14ac:dyDescent="0.25">
      <c r="A852" s="48" t="s">
        <v>882</v>
      </c>
      <c r="B852" t="s">
        <v>883</v>
      </c>
      <c r="C852" t="s">
        <v>23214</v>
      </c>
      <c r="D852" s="3">
        <f>VLOOKUP(Table1[[#This Row],[CODE BARANG]],stock!$A:$C,3,)</f>
        <v>119</v>
      </c>
      <c r="E852" s="1">
        <v>60</v>
      </c>
      <c r="F852" s="1">
        <v>100</v>
      </c>
      <c r="G852" s="4">
        <f>Table1[[#This Row],[stock]]/Table1[[#This Row],[HASIL MIN]]</f>
        <v>1.9833333333333334</v>
      </c>
      <c r="H852" s="4">
        <f>Table1[[#This Row],[stock]]/Table1[[#This Row],[HASIL MAX]]</f>
        <v>1.19</v>
      </c>
      <c r="I852" s="4"/>
      <c r="J852" s="4"/>
    </row>
    <row r="853" spans="1:10" x14ac:dyDescent="0.25">
      <c r="A853" s="48" t="s">
        <v>1996</v>
      </c>
      <c r="B853" t="s">
        <v>1997</v>
      </c>
      <c r="C853" t="s">
        <v>23207</v>
      </c>
      <c r="D853" s="3">
        <f>VLOOKUP(Table1[[#This Row],[CODE BARANG]],stock!$A:$C,3,)</f>
        <v>115</v>
      </c>
      <c r="E853" s="1">
        <v>60</v>
      </c>
      <c r="F853" s="1">
        <v>96</v>
      </c>
      <c r="G853" s="4">
        <f>Table1[[#This Row],[stock]]/Table1[[#This Row],[HASIL MIN]]</f>
        <v>1.9166666666666667</v>
      </c>
      <c r="H853" s="4">
        <f>Table1[[#This Row],[stock]]/Table1[[#This Row],[HASIL MAX]]</f>
        <v>1.1979166666666667</v>
      </c>
      <c r="I853" s="4"/>
      <c r="J853" s="4"/>
    </row>
    <row r="854" spans="1:10" x14ac:dyDescent="0.25">
      <c r="A854" s="48" t="s">
        <v>1954</v>
      </c>
      <c r="B854" t="s">
        <v>1955</v>
      </c>
      <c r="C854" t="s">
        <v>23216</v>
      </c>
      <c r="D854" s="3">
        <f>VLOOKUP(Table1[[#This Row],[CODE BARANG]],stock!$A:$C,3,)</f>
        <v>12</v>
      </c>
      <c r="E854" s="1">
        <v>5</v>
      </c>
      <c r="F854" s="1">
        <v>10</v>
      </c>
      <c r="G854" s="4">
        <f>Table1[[#This Row],[stock]]/Table1[[#This Row],[HASIL MIN]]</f>
        <v>2.4</v>
      </c>
      <c r="H854" s="4">
        <f>Table1[[#This Row],[stock]]/Table1[[#This Row],[HASIL MAX]]</f>
        <v>1.2</v>
      </c>
      <c r="I854" s="4"/>
      <c r="J854" s="4"/>
    </row>
    <row r="855" spans="1:10" x14ac:dyDescent="0.25">
      <c r="A855" s="48" t="s">
        <v>1687</v>
      </c>
      <c r="B855" t="s">
        <v>1688</v>
      </c>
      <c r="C855" t="s">
        <v>23216</v>
      </c>
      <c r="D855" s="3">
        <f>VLOOKUP(Table1[[#This Row],[CODE BARANG]],stock!$A:$C,3,)</f>
        <v>12</v>
      </c>
      <c r="E855" s="1">
        <v>5</v>
      </c>
      <c r="F855" s="1">
        <v>10</v>
      </c>
      <c r="G855" s="4">
        <f>Table1[[#This Row],[stock]]/Table1[[#This Row],[HASIL MIN]]</f>
        <v>2.4</v>
      </c>
      <c r="H855" s="4">
        <f>Table1[[#This Row],[stock]]/Table1[[#This Row],[HASIL MAX]]</f>
        <v>1.2</v>
      </c>
      <c r="I855" s="4"/>
      <c r="J855" s="4"/>
    </row>
    <row r="856" spans="1:10" x14ac:dyDescent="0.25">
      <c r="A856" s="48" t="s">
        <v>731</v>
      </c>
      <c r="B856" t="s">
        <v>732</v>
      </c>
      <c r="C856" t="s">
        <v>23208</v>
      </c>
      <c r="D856" s="3">
        <f>VLOOKUP(Table1[[#This Row],[CODE BARANG]],stock!$A:$C,3,)</f>
        <v>12</v>
      </c>
      <c r="E856" s="1">
        <v>5</v>
      </c>
      <c r="F856" s="1">
        <v>10</v>
      </c>
      <c r="G856" s="4">
        <f>Table1[[#This Row],[stock]]/Table1[[#This Row],[HASIL MIN]]</f>
        <v>2.4</v>
      </c>
      <c r="H856" s="4">
        <f>Table1[[#This Row],[stock]]/Table1[[#This Row],[HASIL MAX]]</f>
        <v>1.2</v>
      </c>
      <c r="I856" s="4"/>
      <c r="J856" s="4"/>
    </row>
    <row r="857" spans="1:10" x14ac:dyDescent="0.25">
      <c r="A857" s="48" t="s">
        <v>1341</v>
      </c>
      <c r="B857" t="s">
        <v>1342</v>
      </c>
      <c r="C857" t="s">
        <v>23209</v>
      </c>
      <c r="D857" s="3">
        <f>VLOOKUP(Table1[[#This Row],[CODE BARANG]],stock!$A:$C,3,)</f>
        <v>96</v>
      </c>
      <c r="E857" s="1">
        <v>40</v>
      </c>
      <c r="F857" s="1">
        <v>80</v>
      </c>
      <c r="G857" s="4">
        <f>Table1[[#This Row],[stock]]/Table1[[#This Row],[HASIL MIN]]</f>
        <v>2.4</v>
      </c>
      <c r="H857" s="4">
        <f>Table1[[#This Row],[stock]]/Table1[[#This Row],[HASIL MAX]]</f>
        <v>1.2</v>
      </c>
      <c r="I857" s="4"/>
      <c r="J857" s="4"/>
    </row>
    <row r="858" spans="1:10" x14ac:dyDescent="0.25">
      <c r="A858" s="48" t="s">
        <v>4194</v>
      </c>
      <c r="B858" t="s">
        <v>22242</v>
      </c>
      <c r="C858" t="s">
        <v>23214</v>
      </c>
      <c r="D858" s="3">
        <f>VLOOKUP(Table1[[#This Row],[CODE BARANG]],stock!$A:$C,3,)</f>
        <v>600</v>
      </c>
      <c r="E858" s="1">
        <v>300</v>
      </c>
      <c r="F858" s="1">
        <v>500</v>
      </c>
      <c r="G858" s="4">
        <f>Table1[[#This Row],[stock]]/Table1[[#This Row],[HASIL MIN]]</f>
        <v>2</v>
      </c>
      <c r="H858" s="4">
        <f>Table1[[#This Row],[stock]]/Table1[[#This Row],[HASIL MAX]]</f>
        <v>1.2</v>
      </c>
      <c r="I858" s="4"/>
      <c r="J858" s="4"/>
    </row>
    <row r="859" spans="1:10" x14ac:dyDescent="0.25">
      <c r="A859" s="48" t="s">
        <v>4215</v>
      </c>
      <c r="B859" t="s">
        <v>20060</v>
      </c>
      <c r="C859" t="s">
        <v>23214</v>
      </c>
      <c r="D859" s="3">
        <f>VLOOKUP(Table1[[#This Row],[CODE BARANG]],stock!$A:$C,3,)</f>
        <v>602</v>
      </c>
      <c r="E859" s="1">
        <v>300</v>
      </c>
      <c r="F859" s="1">
        <v>500</v>
      </c>
      <c r="G859" s="4">
        <f>Table1[[#This Row],[stock]]/Table1[[#This Row],[HASIL MIN]]</f>
        <v>2.0066666666666668</v>
      </c>
      <c r="H859" s="4">
        <f>Table1[[#This Row],[stock]]/Table1[[#This Row],[HASIL MAX]]</f>
        <v>1.204</v>
      </c>
      <c r="I859" s="4"/>
      <c r="J859" s="4"/>
    </row>
    <row r="860" spans="1:10" x14ac:dyDescent="0.25">
      <c r="A860" s="48" t="s">
        <v>1311</v>
      </c>
      <c r="B860" t="s">
        <v>1312</v>
      </c>
      <c r="C860" t="s">
        <v>442</v>
      </c>
      <c r="D860" s="3">
        <f>VLOOKUP(Table1[[#This Row],[CODE BARANG]],stock!$A:$C,3,)</f>
        <v>29</v>
      </c>
      <c r="E860" s="1">
        <v>12</v>
      </c>
      <c r="F860" s="1">
        <v>24</v>
      </c>
      <c r="G860" s="4">
        <f>Table1[[#This Row],[stock]]/Table1[[#This Row],[HASIL MIN]]</f>
        <v>2.4166666666666665</v>
      </c>
      <c r="H860" s="4">
        <f>Table1[[#This Row],[stock]]/Table1[[#This Row],[HASIL MAX]]</f>
        <v>1.2083333333333333</v>
      </c>
      <c r="I860" s="4"/>
      <c r="J860" s="4"/>
    </row>
    <row r="861" spans="1:10" x14ac:dyDescent="0.25">
      <c r="A861" s="48" t="s">
        <v>435</v>
      </c>
      <c r="B861" t="s">
        <v>436</v>
      </c>
      <c r="C861" t="s">
        <v>439</v>
      </c>
      <c r="D861" s="3">
        <f>VLOOKUP(Table1[[#This Row],[CODE BARANG]],stock!$A:$C,3,)</f>
        <v>29</v>
      </c>
      <c r="E861" s="1">
        <v>12</v>
      </c>
      <c r="F861" s="1">
        <v>24</v>
      </c>
      <c r="G861" s="4">
        <f>Table1[[#This Row],[stock]]/Table1[[#This Row],[HASIL MIN]]</f>
        <v>2.4166666666666665</v>
      </c>
      <c r="H861" s="4">
        <f>Table1[[#This Row],[stock]]/Table1[[#This Row],[HASIL MAX]]</f>
        <v>1.2083333333333333</v>
      </c>
      <c r="I861" s="4"/>
      <c r="J861" s="4"/>
    </row>
    <row r="862" spans="1:10" x14ac:dyDescent="0.25">
      <c r="A862" s="48" t="s">
        <v>9412</v>
      </c>
      <c r="B862" t="s">
        <v>9413</v>
      </c>
      <c r="C862" t="s">
        <v>442</v>
      </c>
      <c r="D862" s="3">
        <f>VLOOKUP(Table1[[#This Row],[CODE BARANG]],stock!$A:$C,3,)</f>
        <v>29</v>
      </c>
      <c r="E862" s="1">
        <v>9</v>
      </c>
      <c r="F862" s="1">
        <v>24</v>
      </c>
      <c r="G862" s="4">
        <f>Table1[[#This Row],[stock]]/Table1[[#This Row],[HASIL MIN]]</f>
        <v>3.2222222222222223</v>
      </c>
      <c r="H862" s="4">
        <f>Table1[[#This Row],[stock]]/Table1[[#This Row],[HASIL MAX]]</f>
        <v>1.2083333333333333</v>
      </c>
      <c r="I862" s="4"/>
      <c r="J862" s="4"/>
    </row>
    <row r="863" spans="1:10" x14ac:dyDescent="0.25">
      <c r="A863" s="48" t="s">
        <v>1397</v>
      </c>
      <c r="B863" t="s">
        <v>1398</v>
      </c>
      <c r="C863" t="s">
        <v>23209</v>
      </c>
      <c r="D863" s="3">
        <f>VLOOKUP(Table1[[#This Row],[CODE BARANG]],stock!$A:$C,3,)</f>
        <v>29</v>
      </c>
      <c r="E863" s="1">
        <v>12</v>
      </c>
      <c r="F863" s="1">
        <v>24</v>
      </c>
      <c r="G863" s="4">
        <f>Table1[[#This Row],[stock]]/Table1[[#This Row],[HASIL MIN]]</f>
        <v>2.4166666666666665</v>
      </c>
      <c r="H863" s="4">
        <f>Table1[[#This Row],[stock]]/Table1[[#This Row],[HASIL MAX]]</f>
        <v>1.2083333333333333</v>
      </c>
      <c r="I863" s="4"/>
      <c r="J863" s="4"/>
    </row>
    <row r="864" spans="1:10" x14ac:dyDescent="0.25">
      <c r="A864" s="48" t="s">
        <v>1860</v>
      </c>
      <c r="B864" t="s">
        <v>1861</v>
      </c>
      <c r="C864" t="s">
        <v>23207</v>
      </c>
      <c r="D864" s="3">
        <f>VLOOKUP(Table1[[#This Row],[CODE BARANG]],stock!$A:$C,3,)</f>
        <v>58</v>
      </c>
      <c r="E864" s="1">
        <v>24</v>
      </c>
      <c r="F864" s="1">
        <v>48</v>
      </c>
      <c r="G864" s="4">
        <f>Table1[[#This Row],[stock]]/Table1[[#This Row],[HASIL MIN]]</f>
        <v>2.4166666666666665</v>
      </c>
      <c r="H864" s="4">
        <f>Table1[[#This Row],[stock]]/Table1[[#This Row],[HASIL MAX]]</f>
        <v>1.2083333333333333</v>
      </c>
      <c r="I864" s="4"/>
      <c r="J864" s="4"/>
    </row>
    <row r="865" spans="1:10" x14ac:dyDescent="0.25">
      <c r="A865" s="48" t="s">
        <v>3807</v>
      </c>
      <c r="B865" t="s">
        <v>3808</v>
      </c>
      <c r="C865" t="s">
        <v>23218</v>
      </c>
      <c r="D865" s="3">
        <f>VLOOKUP(Table1[[#This Row],[CODE BARANG]],stock!$A:$C,3,)</f>
        <v>29</v>
      </c>
      <c r="E865" s="1">
        <v>12</v>
      </c>
      <c r="F865" s="1">
        <v>24</v>
      </c>
      <c r="G865" s="4">
        <f>Table1[[#This Row],[stock]]/Table1[[#This Row],[HASIL MIN]]</f>
        <v>2.4166666666666665</v>
      </c>
      <c r="H865" s="4">
        <f>Table1[[#This Row],[stock]]/Table1[[#This Row],[HASIL MAX]]</f>
        <v>1.2083333333333333</v>
      </c>
      <c r="I865" s="4"/>
      <c r="J865" s="4"/>
    </row>
    <row r="866" spans="1:10" x14ac:dyDescent="0.25">
      <c r="A866" s="48" t="s">
        <v>1453</v>
      </c>
      <c r="B866" t="s">
        <v>1454</v>
      </c>
      <c r="C866" t="s">
        <v>23209</v>
      </c>
      <c r="D866" s="3">
        <f>VLOOKUP(Table1[[#This Row],[CODE BARANG]],stock!$A:$C,3,)</f>
        <v>146</v>
      </c>
      <c r="E866" s="1">
        <v>48</v>
      </c>
      <c r="F866" s="1">
        <v>120</v>
      </c>
      <c r="G866" s="4">
        <f>Table1[[#This Row],[stock]]/Table1[[#This Row],[HASIL MIN]]</f>
        <v>3.0416666666666665</v>
      </c>
      <c r="H866" s="4">
        <f>Table1[[#This Row],[stock]]/Table1[[#This Row],[HASIL MAX]]</f>
        <v>1.2166666666666666</v>
      </c>
      <c r="I866" s="4"/>
      <c r="J866" s="4"/>
    </row>
    <row r="867" spans="1:10" x14ac:dyDescent="0.25">
      <c r="A867" s="48" t="s">
        <v>4242</v>
      </c>
      <c r="B867" t="s">
        <v>22227</v>
      </c>
      <c r="C867" t="s">
        <v>23214</v>
      </c>
      <c r="D867" s="3">
        <f>VLOOKUP(Table1[[#This Row],[CODE BARANG]],stock!$A:$C,3,)</f>
        <v>612</v>
      </c>
      <c r="E867" s="1">
        <v>300</v>
      </c>
      <c r="F867" s="1">
        <v>500</v>
      </c>
      <c r="G867" s="4">
        <f>Table1[[#This Row],[stock]]/Table1[[#This Row],[HASIL MIN]]</f>
        <v>2.04</v>
      </c>
      <c r="H867" s="4">
        <f>Table1[[#This Row],[stock]]/Table1[[#This Row],[HASIL MAX]]</f>
        <v>1.224</v>
      </c>
      <c r="I867" s="4"/>
      <c r="J867" s="4"/>
    </row>
    <row r="868" spans="1:10" x14ac:dyDescent="0.25">
      <c r="A868" s="48" t="s">
        <v>811</v>
      </c>
      <c r="B868" t="s">
        <v>812</v>
      </c>
      <c r="C868" t="s">
        <v>23215</v>
      </c>
      <c r="D868" s="3">
        <f>VLOOKUP(Table1[[#This Row],[CODE BARANG]],stock!$A:$C,3,)</f>
        <v>118</v>
      </c>
      <c r="E868" s="1">
        <v>48</v>
      </c>
      <c r="F868" s="1">
        <v>96</v>
      </c>
      <c r="G868" s="4">
        <f>Table1[[#This Row],[stock]]/Table1[[#This Row],[HASIL MIN]]</f>
        <v>2.4583333333333335</v>
      </c>
      <c r="H868" s="4">
        <f>Table1[[#This Row],[stock]]/Table1[[#This Row],[HASIL MAX]]</f>
        <v>1.2291666666666667</v>
      </c>
      <c r="I868" s="4"/>
      <c r="J868" s="4"/>
    </row>
    <row r="869" spans="1:10" x14ac:dyDescent="0.25">
      <c r="A869" s="48" t="s">
        <v>1143</v>
      </c>
      <c r="B869" t="s">
        <v>1144</v>
      </c>
      <c r="C869" t="s">
        <v>439</v>
      </c>
      <c r="D869" s="3">
        <f>VLOOKUP(Table1[[#This Row],[CODE BARANG]],stock!$A:$C,3,)</f>
        <v>30</v>
      </c>
      <c r="E869" s="1">
        <v>12</v>
      </c>
      <c r="F869" s="1">
        <v>24</v>
      </c>
      <c r="G869" s="4">
        <f>Table1[[#This Row],[stock]]/Table1[[#This Row],[HASIL MIN]]</f>
        <v>2.5</v>
      </c>
      <c r="H869" s="4">
        <f>Table1[[#This Row],[stock]]/Table1[[#This Row],[HASIL MAX]]</f>
        <v>1.25</v>
      </c>
      <c r="I869" s="4"/>
      <c r="J869" s="4"/>
    </row>
    <row r="870" spans="1:10" x14ac:dyDescent="0.25">
      <c r="A870" s="48" t="s">
        <v>8101</v>
      </c>
      <c r="B870" t="s">
        <v>8102</v>
      </c>
      <c r="C870" t="s">
        <v>23213</v>
      </c>
      <c r="D870" s="3">
        <f>VLOOKUP(Table1[[#This Row],[CODE BARANG]],stock!$A:$C,3,)</f>
        <v>15</v>
      </c>
      <c r="E870" s="1">
        <v>6</v>
      </c>
      <c r="F870" s="1">
        <v>12</v>
      </c>
      <c r="G870" s="4">
        <f>Table1[[#This Row],[stock]]/Table1[[#This Row],[HASIL MIN]]</f>
        <v>2.5</v>
      </c>
      <c r="H870" s="4">
        <f>Table1[[#This Row],[stock]]/Table1[[#This Row],[HASIL MAX]]</f>
        <v>1.25</v>
      </c>
      <c r="I870" s="4"/>
      <c r="J870" s="4"/>
    </row>
    <row r="871" spans="1:10" x14ac:dyDescent="0.25">
      <c r="A871" s="48" t="s">
        <v>1902</v>
      </c>
      <c r="B871" t="s">
        <v>1903</v>
      </c>
      <c r="C871" t="s">
        <v>23211</v>
      </c>
      <c r="D871" s="3">
        <f>VLOOKUP(Table1[[#This Row],[CODE BARANG]],stock!$A:$C,3,)</f>
        <v>10</v>
      </c>
      <c r="E871" s="1">
        <v>5</v>
      </c>
      <c r="F871" s="1">
        <v>8</v>
      </c>
      <c r="G871" s="4">
        <f>Table1[[#This Row],[stock]]/Table1[[#This Row],[HASIL MIN]]</f>
        <v>2</v>
      </c>
      <c r="H871" s="4">
        <f>Table1[[#This Row],[stock]]/Table1[[#This Row],[HASIL MAX]]</f>
        <v>1.25</v>
      </c>
      <c r="I871" s="4"/>
      <c r="J871" s="4"/>
    </row>
    <row r="872" spans="1:10" x14ac:dyDescent="0.25">
      <c r="A872" s="48" t="s">
        <v>529</v>
      </c>
      <c r="B872" t="s">
        <v>530</v>
      </c>
      <c r="C872" t="s">
        <v>442</v>
      </c>
      <c r="D872" s="3">
        <f>VLOOKUP(Table1[[#This Row],[CODE BARANG]],stock!$A:$C,3,)</f>
        <v>10</v>
      </c>
      <c r="E872" s="1">
        <v>6</v>
      </c>
      <c r="F872" s="1">
        <v>8</v>
      </c>
      <c r="G872" s="4">
        <f>Table1[[#This Row],[stock]]/Table1[[#This Row],[HASIL MIN]]</f>
        <v>1.6666666666666667</v>
      </c>
      <c r="H872" s="4">
        <f>Table1[[#This Row],[stock]]/Table1[[#This Row],[HASIL MAX]]</f>
        <v>1.25</v>
      </c>
      <c r="I872" s="4"/>
      <c r="J872" s="4"/>
    </row>
    <row r="873" spans="1:10" x14ac:dyDescent="0.25">
      <c r="A873" s="48" t="s">
        <v>197</v>
      </c>
      <c r="B873" t="s">
        <v>198</v>
      </c>
      <c r="C873" t="s">
        <v>23209</v>
      </c>
      <c r="D873" s="3">
        <f>VLOOKUP(Table1[[#This Row],[CODE BARANG]],stock!$A:$C,3,)</f>
        <v>5</v>
      </c>
      <c r="E873" s="1">
        <v>2</v>
      </c>
      <c r="F873" s="1">
        <v>4</v>
      </c>
      <c r="G873" s="4">
        <f>Table1[[#This Row],[stock]]/Table1[[#This Row],[HASIL MIN]]</f>
        <v>2.5</v>
      </c>
      <c r="H873" s="4">
        <f>Table1[[#This Row],[stock]]/Table1[[#This Row],[HASIL MAX]]</f>
        <v>1.25</v>
      </c>
      <c r="I873" s="4"/>
      <c r="J873" s="4"/>
    </row>
    <row r="874" spans="1:10" x14ac:dyDescent="0.25">
      <c r="A874" s="48" t="s">
        <v>915</v>
      </c>
      <c r="B874" t="s">
        <v>916</v>
      </c>
      <c r="C874" t="s">
        <v>23216</v>
      </c>
      <c r="D874" s="3">
        <f>VLOOKUP(Table1[[#This Row],[CODE BARANG]],stock!$A:$C,3,)</f>
        <v>5</v>
      </c>
      <c r="E874" s="1">
        <v>2</v>
      </c>
      <c r="F874" s="1">
        <v>4</v>
      </c>
      <c r="G874" s="4">
        <f>Table1[[#This Row],[stock]]/Table1[[#This Row],[HASIL MIN]]</f>
        <v>2.5</v>
      </c>
      <c r="H874" s="4">
        <f>Table1[[#This Row],[stock]]/Table1[[#This Row],[HASIL MAX]]</f>
        <v>1.25</v>
      </c>
      <c r="I874" s="4"/>
      <c r="J874" s="4"/>
    </row>
    <row r="875" spans="1:10" x14ac:dyDescent="0.25">
      <c r="A875" s="48" t="s">
        <v>37</v>
      </c>
      <c r="B875" t="s">
        <v>38</v>
      </c>
      <c r="C875" t="s">
        <v>23211</v>
      </c>
      <c r="D875" s="3">
        <f>VLOOKUP(Table1[[#This Row],[CODE BARANG]],stock!$A:$C,3,)</f>
        <v>15</v>
      </c>
      <c r="E875" s="1">
        <v>6</v>
      </c>
      <c r="F875" s="1">
        <v>12</v>
      </c>
      <c r="G875" s="4">
        <f>Table1[[#This Row],[stock]]/Table1[[#This Row],[HASIL MIN]]</f>
        <v>2.5</v>
      </c>
      <c r="H875" s="4">
        <f>Table1[[#This Row],[stock]]/Table1[[#This Row],[HASIL MAX]]</f>
        <v>1.25</v>
      </c>
      <c r="I875" s="4"/>
      <c r="J875" s="4"/>
    </row>
    <row r="876" spans="1:10" x14ac:dyDescent="0.25">
      <c r="A876" s="48" t="s">
        <v>171</v>
      </c>
      <c r="B876" t="s">
        <v>172</v>
      </c>
      <c r="C876" t="s">
        <v>23209</v>
      </c>
      <c r="D876" s="3">
        <f>VLOOKUP(Table1[[#This Row],[CODE BARANG]],stock!$A:$C,3,)</f>
        <v>15</v>
      </c>
      <c r="E876" s="1">
        <v>8</v>
      </c>
      <c r="F876" s="1">
        <v>12</v>
      </c>
      <c r="G876" s="4">
        <f>Table1[[#This Row],[stock]]/Table1[[#This Row],[HASIL MIN]]</f>
        <v>1.875</v>
      </c>
      <c r="H876" s="4">
        <f>Table1[[#This Row],[stock]]/Table1[[#This Row],[HASIL MAX]]</f>
        <v>1.25</v>
      </c>
      <c r="I876" s="4"/>
      <c r="J876" s="4"/>
    </row>
    <row r="877" spans="1:10" x14ac:dyDescent="0.25">
      <c r="A877" s="48" t="s">
        <v>1163</v>
      </c>
      <c r="B877" t="s">
        <v>1164</v>
      </c>
      <c r="C877" t="s">
        <v>442</v>
      </c>
      <c r="D877" s="3">
        <f>VLOOKUP(Table1[[#This Row],[CODE BARANG]],stock!$A:$C,3,)</f>
        <v>10</v>
      </c>
      <c r="E877" s="1">
        <v>6</v>
      </c>
      <c r="F877" s="1">
        <v>8</v>
      </c>
      <c r="G877" s="4">
        <f>Table1[[#This Row],[stock]]/Table1[[#This Row],[HASIL MIN]]</f>
        <v>1.6666666666666667</v>
      </c>
      <c r="H877" s="4">
        <f>Table1[[#This Row],[stock]]/Table1[[#This Row],[HASIL MAX]]</f>
        <v>1.25</v>
      </c>
      <c r="I877" s="4"/>
      <c r="J877" s="4"/>
    </row>
    <row r="878" spans="1:10" x14ac:dyDescent="0.25">
      <c r="A878" s="48" t="s">
        <v>1950</v>
      </c>
      <c r="B878" t="s">
        <v>1951</v>
      </c>
      <c r="C878" t="s">
        <v>23211</v>
      </c>
      <c r="D878" s="3">
        <f>VLOOKUP(Table1[[#This Row],[CODE BARANG]],stock!$A:$C,3,)</f>
        <v>15</v>
      </c>
      <c r="E878" s="1">
        <v>8</v>
      </c>
      <c r="F878" s="1">
        <v>12</v>
      </c>
      <c r="G878" s="4">
        <f>Table1[[#This Row],[stock]]/Table1[[#This Row],[HASIL MIN]]</f>
        <v>1.875</v>
      </c>
      <c r="H878" s="4">
        <f>Table1[[#This Row],[stock]]/Table1[[#This Row],[HASIL MAX]]</f>
        <v>1.25</v>
      </c>
      <c r="I878" s="4"/>
      <c r="J878" s="4"/>
    </row>
    <row r="879" spans="1:10" x14ac:dyDescent="0.25">
      <c r="A879" s="48" t="s">
        <v>1525</v>
      </c>
      <c r="B879" t="s">
        <v>1526</v>
      </c>
      <c r="C879" t="s">
        <v>23216</v>
      </c>
      <c r="D879" s="3">
        <f>VLOOKUP(Table1[[#This Row],[CODE BARANG]],stock!$A:$C,3,)</f>
        <v>77</v>
      </c>
      <c r="E879" s="1">
        <v>48</v>
      </c>
      <c r="F879" s="1">
        <v>60</v>
      </c>
      <c r="G879" s="4">
        <f>Table1[[#This Row],[stock]]/Table1[[#This Row],[HASIL MIN]]</f>
        <v>1.6041666666666667</v>
      </c>
      <c r="H879" s="4">
        <f>Table1[[#This Row],[stock]]/Table1[[#This Row],[HASIL MAX]]</f>
        <v>1.2833333333333334</v>
      </c>
      <c r="I879" s="4"/>
      <c r="J879" s="4"/>
    </row>
    <row r="880" spans="1:10" x14ac:dyDescent="0.25">
      <c r="A880" s="48" t="s">
        <v>953</v>
      </c>
      <c r="B880" t="s">
        <v>954</v>
      </c>
      <c r="C880" t="s">
        <v>23209</v>
      </c>
      <c r="D880" s="3">
        <f>VLOOKUP(Table1[[#This Row],[CODE BARANG]],stock!$A:$C,3,)</f>
        <v>154</v>
      </c>
      <c r="E880" s="1">
        <v>72</v>
      </c>
      <c r="F880" s="1">
        <v>120</v>
      </c>
      <c r="G880" s="4">
        <f>Table1[[#This Row],[stock]]/Table1[[#This Row],[HASIL MIN]]</f>
        <v>2.1388888888888888</v>
      </c>
      <c r="H880" s="4">
        <f>Table1[[#This Row],[stock]]/Table1[[#This Row],[HASIL MAX]]</f>
        <v>1.2833333333333334</v>
      </c>
      <c r="I880" s="4"/>
      <c r="J880" s="4"/>
    </row>
    <row r="881" spans="1:10" x14ac:dyDescent="0.25">
      <c r="A881" s="48" t="s">
        <v>6714</v>
      </c>
      <c r="B881" t="s">
        <v>6715</v>
      </c>
      <c r="C881" t="s">
        <v>23209</v>
      </c>
      <c r="D881" s="3">
        <f>VLOOKUP(Table1[[#This Row],[CODE BARANG]],stock!$A:$C,3,)</f>
        <v>9</v>
      </c>
      <c r="E881" s="1">
        <v>4</v>
      </c>
      <c r="F881" s="1">
        <v>7</v>
      </c>
      <c r="G881" s="4">
        <f>Table1[[#This Row],[stock]]/Table1[[#This Row],[HASIL MIN]]</f>
        <v>2.25</v>
      </c>
      <c r="H881" s="4">
        <f>Table1[[#This Row],[stock]]/Table1[[#This Row],[HASIL MAX]]</f>
        <v>1.2857142857142858</v>
      </c>
      <c r="I881" s="4"/>
      <c r="J881" s="4"/>
    </row>
    <row r="882" spans="1:10" x14ac:dyDescent="0.25">
      <c r="A882" s="48" t="s">
        <v>1503</v>
      </c>
      <c r="B882" t="s">
        <v>1504</v>
      </c>
      <c r="C882" t="s">
        <v>23217</v>
      </c>
      <c r="D882" s="3">
        <f>VLOOKUP(Table1[[#This Row],[CODE BARANG]],stock!$A:$C,3,)</f>
        <v>371</v>
      </c>
      <c r="E882" s="1">
        <v>144</v>
      </c>
      <c r="F882" s="1">
        <v>288</v>
      </c>
      <c r="G882" s="4">
        <f>Table1[[#This Row],[stock]]/Table1[[#This Row],[HASIL MIN]]</f>
        <v>2.5763888888888888</v>
      </c>
      <c r="H882" s="4">
        <f>Table1[[#This Row],[stock]]/Table1[[#This Row],[HASIL MAX]]</f>
        <v>1.2881944444444444</v>
      </c>
      <c r="I882" s="4"/>
      <c r="J882" s="4"/>
    </row>
    <row r="883" spans="1:10" x14ac:dyDescent="0.25">
      <c r="A883" s="48" t="s">
        <v>1655</v>
      </c>
      <c r="B883" t="s">
        <v>1656</v>
      </c>
      <c r="C883" t="s">
        <v>23208</v>
      </c>
      <c r="D883" s="3">
        <f>VLOOKUP(Table1[[#This Row],[CODE BARANG]],stock!$A:$C,3,)</f>
        <v>62</v>
      </c>
      <c r="E883" s="1">
        <v>24</v>
      </c>
      <c r="F883" s="1">
        <v>48</v>
      </c>
      <c r="G883" s="4">
        <f>Table1[[#This Row],[stock]]/Table1[[#This Row],[HASIL MIN]]</f>
        <v>2.5833333333333335</v>
      </c>
      <c r="H883" s="4">
        <f>Table1[[#This Row],[stock]]/Table1[[#This Row],[HASIL MAX]]</f>
        <v>1.2916666666666667</v>
      </c>
      <c r="I883" s="4"/>
      <c r="J883" s="4"/>
    </row>
    <row r="884" spans="1:10" x14ac:dyDescent="0.25">
      <c r="A884" s="48" t="s">
        <v>479</v>
      </c>
      <c r="B884" t="s">
        <v>480</v>
      </c>
      <c r="C884" t="s">
        <v>23209</v>
      </c>
      <c r="D884" s="3">
        <f>VLOOKUP(Table1[[#This Row],[CODE BARANG]],stock!$A:$C,3,)</f>
        <v>104</v>
      </c>
      <c r="E884" s="1">
        <v>60</v>
      </c>
      <c r="F884" s="1">
        <v>80</v>
      </c>
      <c r="G884" s="4">
        <f>Table1[[#This Row],[stock]]/Table1[[#This Row],[HASIL MIN]]</f>
        <v>1.7333333333333334</v>
      </c>
      <c r="H884" s="4">
        <f>Table1[[#This Row],[stock]]/Table1[[#This Row],[HASIL MAX]]</f>
        <v>1.3</v>
      </c>
      <c r="I884" s="4"/>
      <c r="J884" s="4"/>
    </row>
    <row r="885" spans="1:10" x14ac:dyDescent="0.25">
      <c r="A885" s="48" t="s">
        <v>163</v>
      </c>
      <c r="B885" t="s">
        <v>164</v>
      </c>
      <c r="C885" t="s">
        <v>23214</v>
      </c>
      <c r="D885" s="3">
        <f>VLOOKUP(Table1[[#This Row],[CODE BARANG]],stock!$A:$C,3,)</f>
        <v>26</v>
      </c>
      <c r="E885" s="1">
        <v>12</v>
      </c>
      <c r="F885" s="1">
        <v>20</v>
      </c>
      <c r="G885" s="4">
        <f>Table1[[#This Row],[stock]]/Table1[[#This Row],[HASIL MIN]]</f>
        <v>2.1666666666666665</v>
      </c>
      <c r="H885" s="4">
        <f>Table1[[#This Row],[stock]]/Table1[[#This Row],[HASIL MAX]]</f>
        <v>1.3</v>
      </c>
      <c r="I885" s="4"/>
      <c r="J885" s="4"/>
    </row>
    <row r="886" spans="1:10" x14ac:dyDescent="0.25">
      <c r="A886" s="48" t="s">
        <v>793</v>
      </c>
      <c r="B886" t="s">
        <v>794</v>
      </c>
      <c r="C886" t="s">
        <v>23209</v>
      </c>
      <c r="D886" s="3">
        <f>VLOOKUP(Table1[[#This Row],[CODE BARANG]],stock!$A:$C,3,)</f>
        <v>13</v>
      </c>
      <c r="E886" s="1">
        <v>6</v>
      </c>
      <c r="F886" s="1">
        <v>10</v>
      </c>
      <c r="G886" s="4">
        <f>Table1[[#This Row],[stock]]/Table1[[#This Row],[HASIL MIN]]</f>
        <v>2.1666666666666665</v>
      </c>
      <c r="H886" s="4">
        <f>Table1[[#This Row],[stock]]/Table1[[#This Row],[HASIL MAX]]</f>
        <v>1.3</v>
      </c>
      <c r="I886" s="4"/>
      <c r="J886" s="4"/>
    </row>
    <row r="887" spans="1:10" x14ac:dyDescent="0.25">
      <c r="A887" s="48" t="s">
        <v>1521</v>
      </c>
      <c r="B887" t="s">
        <v>1522</v>
      </c>
      <c r="C887" t="s">
        <v>23209</v>
      </c>
      <c r="D887" s="3">
        <f>VLOOKUP(Table1[[#This Row],[CODE BARANG]],stock!$A:$C,3,)</f>
        <v>94</v>
      </c>
      <c r="E887" s="1">
        <v>24</v>
      </c>
      <c r="F887" s="1">
        <v>72</v>
      </c>
      <c r="G887" s="4">
        <f>Table1[[#This Row],[stock]]/Table1[[#This Row],[HASIL MIN]]</f>
        <v>3.9166666666666665</v>
      </c>
      <c r="H887" s="4">
        <f>Table1[[#This Row],[stock]]/Table1[[#This Row],[HASIL MAX]]</f>
        <v>1.3055555555555556</v>
      </c>
      <c r="I887" s="4"/>
      <c r="J887" s="4"/>
    </row>
    <row r="888" spans="1:10" x14ac:dyDescent="0.25">
      <c r="A888" s="48" t="s">
        <v>1964</v>
      </c>
      <c r="B888" t="s">
        <v>1965</v>
      </c>
      <c r="C888" t="s">
        <v>23209</v>
      </c>
      <c r="D888" s="3">
        <f>VLOOKUP(Table1[[#This Row],[CODE BARANG]],stock!$A:$C,3,)</f>
        <v>63</v>
      </c>
      <c r="E888" s="1">
        <v>24</v>
      </c>
      <c r="F888" s="1">
        <v>48</v>
      </c>
      <c r="G888" s="4">
        <f>Table1[[#This Row],[stock]]/Table1[[#This Row],[HASIL MIN]]</f>
        <v>2.625</v>
      </c>
      <c r="H888" s="4">
        <f>Table1[[#This Row],[stock]]/Table1[[#This Row],[HASIL MAX]]</f>
        <v>1.3125</v>
      </c>
      <c r="I888" s="4"/>
      <c r="J888" s="4"/>
    </row>
    <row r="889" spans="1:10" x14ac:dyDescent="0.25">
      <c r="A889" s="48" t="s">
        <v>12835</v>
      </c>
      <c r="B889" t="s">
        <v>12836</v>
      </c>
      <c r="C889" t="s">
        <v>23214</v>
      </c>
      <c r="D889" s="3">
        <f>VLOOKUP(Table1[[#This Row],[CODE BARANG]],stock!$A:$C,3,)</f>
        <v>21</v>
      </c>
      <c r="E889" s="1">
        <v>7</v>
      </c>
      <c r="F889" s="1">
        <v>16</v>
      </c>
      <c r="G889" s="4">
        <f>Table1[[#This Row],[stock]]/Table1[[#This Row],[HASIL MIN]]</f>
        <v>3</v>
      </c>
      <c r="H889" s="4">
        <f>Table1[[#This Row],[stock]]/Table1[[#This Row],[HASIL MAX]]</f>
        <v>1.3125</v>
      </c>
      <c r="I889" s="4"/>
      <c r="J889" s="4"/>
    </row>
    <row r="890" spans="1:10" x14ac:dyDescent="0.25">
      <c r="A890" s="48" t="s">
        <v>1998</v>
      </c>
      <c r="B890" t="s">
        <v>1999</v>
      </c>
      <c r="C890" t="s">
        <v>23209</v>
      </c>
      <c r="D890" s="3">
        <f>VLOOKUP(Table1[[#This Row],[CODE BARANG]],stock!$A:$C,3,)</f>
        <v>63</v>
      </c>
      <c r="E890" s="1">
        <v>24</v>
      </c>
      <c r="F890" s="1">
        <v>48</v>
      </c>
      <c r="G890" s="4">
        <f>Table1[[#This Row],[stock]]/Table1[[#This Row],[HASIL MIN]]</f>
        <v>2.625</v>
      </c>
      <c r="H890" s="4">
        <f>Table1[[#This Row],[stock]]/Table1[[#This Row],[HASIL MAX]]</f>
        <v>1.3125</v>
      </c>
      <c r="I890" s="4"/>
      <c r="J890" s="4"/>
    </row>
    <row r="891" spans="1:10" x14ac:dyDescent="0.25">
      <c r="A891" s="48" t="s">
        <v>1555</v>
      </c>
      <c r="B891" t="s">
        <v>1556</v>
      </c>
      <c r="C891" t="s">
        <v>23217</v>
      </c>
      <c r="D891" s="3">
        <f>VLOOKUP(Table1[[#This Row],[CODE BARANG]],stock!$A:$C,3,)</f>
        <v>384</v>
      </c>
      <c r="E891" s="1">
        <v>144</v>
      </c>
      <c r="F891" s="1">
        <v>288</v>
      </c>
      <c r="G891" s="4">
        <f>Table1[[#This Row],[stock]]/Table1[[#This Row],[HASIL MIN]]</f>
        <v>2.6666666666666665</v>
      </c>
      <c r="H891" s="4">
        <f>Table1[[#This Row],[stock]]/Table1[[#This Row],[HASIL MAX]]</f>
        <v>1.3333333333333333</v>
      </c>
      <c r="I891" s="4"/>
      <c r="J891" s="4"/>
    </row>
    <row r="892" spans="1:10" x14ac:dyDescent="0.25">
      <c r="A892" s="48" t="s">
        <v>459</v>
      </c>
      <c r="B892" t="s">
        <v>460</v>
      </c>
      <c r="C892" t="s">
        <v>23216</v>
      </c>
      <c r="D892" s="3">
        <f>VLOOKUP(Table1[[#This Row],[CODE BARANG]],stock!$A:$C,3,)</f>
        <v>8</v>
      </c>
      <c r="E892" s="1">
        <v>4</v>
      </c>
      <c r="F892" s="1">
        <v>6</v>
      </c>
      <c r="G892" s="4">
        <f>Table1[[#This Row],[stock]]/Table1[[#This Row],[HASIL MIN]]</f>
        <v>2</v>
      </c>
      <c r="H892" s="4">
        <f>Table1[[#This Row],[stock]]/Table1[[#This Row],[HASIL MAX]]</f>
        <v>1.3333333333333333</v>
      </c>
      <c r="I892" s="4"/>
      <c r="J892" s="4"/>
    </row>
    <row r="893" spans="1:10" x14ac:dyDescent="0.25">
      <c r="A893" s="48" t="s">
        <v>3233</v>
      </c>
      <c r="B893" t="s">
        <v>3234</v>
      </c>
      <c r="C893" t="s">
        <v>23213</v>
      </c>
      <c r="D893" s="3">
        <f>VLOOKUP(Table1[[#This Row],[CODE BARANG]],stock!$A:$C,3,)</f>
        <v>16</v>
      </c>
      <c r="E893" s="1">
        <v>6</v>
      </c>
      <c r="F893" s="1">
        <v>12</v>
      </c>
      <c r="G893" s="4">
        <f>Table1[[#This Row],[stock]]/Table1[[#This Row],[HASIL MIN]]</f>
        <v>2.6666666666666665</v>
      </c>
      <c r="H893" s="4">
        <f>Table1[[#This Row],[stock]]/Table1[[#This Row],[HASIL MAX]]</f>
        <v>1.3333333333333333</v>
      </c>
      <c r="I893" s="4"/>
      <c r="J893" s="4"/>
    </row>
    <row r="894" spans="1:10" x14ac:dyDescent="0.25">
      <c r="A894" s="48" t="s">
        <v>1597</v>
      </c>
      <c r="B894" t="s">
        <v>1598</v>
      </c>
      <c r="C894" t="s">
        <v>23209</v>
      </c>
      <c r="D894" s="3">
        <f>VLOOKUP(Table1[[#This Row],[CODE BARANG]],stock!$A:$C,3,)</f>
        <v>8</v>
      </c>
      <c r="E894" s="1">
        <v>4</v>
      </c>
      <c r="F894" s="1">
        <v>6</v>
      </c>
      <c r="G894" s="4">
        <f>Table1[[#This Row],[stock]]/Table1[[#This Row],[HASIL MIN]]</f>
        <v>2</v>
      </c>
      <c r="H894" s="4">
        <f>Table1[[#This Row],[stock]]/Table1[[#This Row],[HASIL MAX]]</f>
        <v>1.3333333333333333</v>
      </c>
      <c r="I894" s="4"/>
      <c r="J894" s="4"/>
    </row>
    <row r="895" spans="1:10" x14ac:dyDescent="0.25">
      <c r="A895" s="48" t="s">
        <v>417</v>
      </c>
      <c r="B895" t="s">
        <v>418</v>
      </c>
      <c r="C895" t="s">
        <v>1859</v>
      </c>
      <c r="D895" s="3">
        <f>VLOOKUP(Table1[[#This Row],[CODE BARANG]],stock!$A:$C,3,)</f>
        <v>16</v>
      </c>
      <c r="E895" s="1">
        <v>8</v>
      </c>
      <c r="F895" s="1">
        <v>12</v>
      </c>
      <c r="G895" s="4">
        <f>Table1[[#This Row],[stock]]/Table1[[#This Row],[HASIL MIN]]</f>
        <v>2</v>
      </c>
      <c r="H895" s="4">
        <f>Table1[[#This Row],[stock]]/Table1[[#This Row],[HASIL MAX]]</f>
        <v>1.3333333333333333</v>
      </c>
      <c r="I895" s="4"/>
      <c r="J895" s="4"/>
    </row>
    <row r="896" spans="1:10" x14ac:dyDescent="0.25">
      <c r="A896" s="48" t="s">
        <v>3</v>
      </c>
      <c r="B896" t="s">
        <v>4</v>
      </c>
      <c r="C896" t="s">
        <v>23209</v>
      </c>
      <c r="D896" s="3">
        <f>VLOOKUP(Table1[[#This Row],[CODE BARANG]],stock!$A:$C,3,)</f>
        <v>16</v>
      </c>
      <c r="E896" s="1">
        <v>6</v>
      </c>
      <c r="F896" s="1">
        <v>12</v>
      </c>
      <c r="G896" s="4">
        <f>Table1[[#This Row],[stock]]/Table1[[#This Row],[HASIL MIN]]</f>
        <v>2.6666666666666665</v>
      </c>
      <c r="H896" s="4">
        <f>Table1[[#This Row],[stock]]/Table1[[#This Row],[HASIL MAX]]</f>
        <v>1.3333333333333333</v>
      </c>
      <c r="I896" s="4"/>
      <c r="J896" s="4"/>
    </row>
    <row r="897" spans="1:10" x14ac:dyDescent="0.25">
      <c r="A897" s="48" t="s">
        <v>9428</v>
      </c>
      <c r="B897" t="s">
        <v>9429</v>
      </c>
      <c r="C897" t="s">
        <v>23209</v>
      </c>
      <c r="D897" s="3">
        <f>VLOOKUP(Table1[[#This Row],[CODE BARANG]],stock!$A:$C,3,)</f>
        <v>97</v>
      </c>
      <c r="E897" s="1">
        <v>48</v>
      </c>
      <c r="F897" s="1">
        <v>72</v>
      </c>
      <c r="G897" s="4">
        <f>Table1[[#This Row],[stock]]/Table1[[#This Row],[HASIL MIN]]</f>
        <v>2.0208333333333335</v>
      </c>
      <c r="H897" s="4">
        <f>Table1[[#This Row],[stock]]/Table1[[#This Row],[HASIL MAX]]</f>
        <v>1.3472222222222223</v>
      </c>
      <c r="I897" s="4"/>
      <c r="J897" s="4"/>
    </row>
    <row r="898" spans="1:10" x14ac:dyDescent="0.25">
      <c r="A898" s="48" t="s">
        <v>1003</v>
      </c>
      <c r="B898" t="s">
        <v>1004</v>
      </c>
      <c r="C898" t="s">
        <v>23214</v>
      </c>
      <c r="D898" s="3">
        <f>VLOOKUP(Table1[[#This Row],[CODE BARANG]],stock!$A:$C,3,)</f>
        <v>27</v>
      </c>
      <c r="E898" s="1">
        <v>12</v>
      </c>
      <c r="F898" s="1">
        <v>20</v>
      </c>
      <c r="G898" s="4">
        <f>Table1[[#This Row],[stock]]/Table1[[#This Row],[HASIL MIN]]</f>
        <v>2.25</v>
      </c>
      <c r="H898" s="4">
        <f>Table1[[#This Row],[stock]]/Table1[[#This Row],[HASIL MAX]]</f>
        <v>1.35</v>
      </c>
      <c r="I898" s="4"/>
      <c r="J898" s="4"/>
    </row>
    <row r="899" spans="1:10" x14ac:dyDescent="0.25">
      <c r="A899" s="48" t="s">
        <v>1209</v>
      </c>
      <c r="B899" t="s">
        <v>1210</v>
      </c>
      <c r="C899" t="s">
        <v>442</v>
      </c>
      <c r="D899" s="3">
        <f>VLOOKUP(Table1[[#This Row],[CODE BARANG]],stock!$A:$C,3,)</f>
        <v>19</v>
      </c>
      <c r="E899" s="1">
        <v>10</v>
      </c>
      <c r="F899" s="1">
        <v>14</v>
      </c>
      <c r="G899" s="4">
        <f>Table1[[#This Row],[stock]]/Table1[[#This Row],[HASIL MIN]]</f>
        <v>1.9</v>
      </c>
      <c r="H899" s="4">
        <f>Table1[[#This Row],[stock]]/Table1[[#This Row],[HASIL MAX]]</f>
        <v>1.3571428571428572</v>
      </c>
      <c r="I899" s="4"/>
      <c r="J899" s="4"/>
    </row>
    <row r="900" spans="1:10" x14ac:dyDescent="0.25">
      <c r="A900" s="48" t="s">
        <v>173</v>
      </c>
      <c r="B900" t="s">
        <v>174</v>
      </c>
      <c r="C900" t="s">
        <v>442</v>
      </c>
      <c r="D900" s="3">
        <f>VLOOKUP(Table1[[#This Row],[CODE BARANG]],stock!$A:$C,3,)</f>
        <v>99</v>
      </c>
      <c r="E900" s="1">
        <v>48</v>
      </c>
      <c r="F900" s="1">
        <v>72</v>
      </c>
      <c r="G900" s="4">
        <f>Table1[[#This Row],[stock]]/Table1[[#This Row],[HASIL MIN]]</f>
        <v>2.0625</v>
      </c>
      <c r="H900" s="4">
        <f>Table1[[#This Row],[stock]]/Table1[[#This Row],[HASIL MAX]]</f>
        <v>1.375</v>
      </c>
      <c r="I900" s="4"/>
      <c r="J900" s="4"/>
    </row>
    <row r="901" spans="1:10" x14ac:dyDescent="0.25">
      <c r="A901" s="48" t="s">
        <v>53</v>
      </c>
      <c r="B901" t="s">
        <v>54</v>
      </c>
      <c r="C901" t="s">
        <v>23209</v>
      </c>
      <c r="D901" s="3">
        <f>VLOOKUP(Table1[[#This Row],[CODE BARANG]],stock!$A:$C,3,)</f>
        <v>33</v>
      </c>
      <c r="E901" s="1">
        <v>12</v>
      </c>
      <c r="F901" s="1">
        <v>24</v>
      </c>
      <c r="G901" s="4">
        <f>Table1[[#This Row],[stock]]/Table1[[#This Row],[HASIL MIN]]</f>
        <v>2.75</v>
      </c>
      <c r="H901" s="4">
        <f>Table1[[#This Row],[stock]]/Table1[[#This Row],[HASIL MAX]]</f>
        <v>1.375</v>
      </c>
      <c r="I901" s="4"/>
      <c r="J901" s="4"/>
    </row>
    <row r="902" spans="1:10" x14ac:dyDescent="0.25">
      <c r="A902" s="48" t="s">
        <v>3076</v>
      </c>
      <c r="B902" t="s">
        <v>3077</v>
      </c>
      <c r="C902" t="s">
        <v>23214</v>
      </c>
      <c r="D902" s="3">
        <f>VLOOKUP(Table1[[#This Row],[CODE BARANG]],stock!$A:$C,3,)</f>
        <v>14</v>
      </c>
      <c r="E902" s="1">
        <v>6</v>
      </c>
      <c r="F902" s="1">
        <v>10</v>
      </c>
      <c r="G902" s="4">
        <f>Table1[[#This Row],[stock]]/Table1[[#This Row],[HASIL MIN]]</f>
        <v>2.3333333333333335</v>
      </c>
      <c r="H902" s="4">
        <f>Table1[[#This Row],[stock]]/Table1[[#This Row],[HASIL MAX]]</f>
        <v>1.4</v>
      </c>
      <c r="I902" s="4"/>
      <c r="J902" s="4"/>
    </row>
    <row r="903" spans="1:10" x14ac:dyDescent="0.25">
      <c r="A903" s="48" t="s">
        <v>633</v>
      </c>
      <c r="B903" t="s">
        <v>634</v>
      </c>
      <c r="C903" t="s">
        <v>23209</v>
      </c>
      <c r="D903" s="3">
        <f>VLOOKUP(Table1[[#This Row],[CODE BARANG]],stock!$A:$C,3,)</f>
        <v>135</v>
      </c>
      <c r="E903" s="1">
        <v>48</v>
      </c>
      <c r="F903" s="1">
        <v>96</v>
      </c>
      <c r="G903" s="4">
        <f>Table1[[#This Row],[stock]]/Table1[[#This Row],[HASIL MIN]]</f>
        <v>2.8125</v>
      </c>
      <c r="H903" s="4">
        <f>Table1[[#This Row],[stock]]/Table1[[#This Row],[HASIL MAX]]</f>
        <v>1.40625</v>
      </c>
      <c r="I903" s="4"/>
      <c r="J903" s="4"/>
    </row>
    <row r="904" spans="1:10" x14ac:dyDescent="0.25">
      <c r="A904" s="48" t="s">
        <v>22352</v>
      </c>
      <c r="B904" t="s">
        <v>1744</v>
      </c>
      <c r="C904" t="s">
        <v>442</v>
      </c>
      <c r="D904" s="3">
        <f>VLOOKUP(Table1[[#This Row],[CODE BARANG]],stock!$A:$C,3,)</f>
        <v>17</v>
      </c>
      <c r="E904" s="1">
        <v>6</v>
      </c>
      <c r="F904" s="1">
        <v>12</v>
      </c>
      <c r="G904" s="4">
        <f>Table1[[#This Row],[stock]]/Table1[[#This Row],[HASIL MIN]]</f>
        <v>2.8333333333333335</v>
      </c>
      <c r="H904" s="4">
        <f>Table1[[#This Row],[stock]]/Table1[[#This Row],[HASIL MAX]]</f>
        <v>1.4166666666666667</v>
      </c>
      <c r="I904" s="4"/>
      <c r="J904" s="4"/>
    </row>
    <row r="905" spans="1:10" x14ac:dyDescent="0.25">
      <c r="A905" s="48" t="s">
        <v>1405</v>
      </c>
      <c r="B905" t="s">
        <v>1406</v>
      </c>
      <c r="C905" t="s">
        <v>23212</v>
      </c>
      <c r="D905" s="3">
        <f>VLOOKUP(Table1[[#This Row],[CODE BARANG]],stock!$A:$C,3,)</f>
        <v>34</v>
      </c>
      <c r="E905" s="1">
        <v>12</v>
      </c>
      <c r="F905" s="1">
        <v>24</v>
      </c>
      <c r="G905" s="4">
        <f>Table1[[#This Row],[stock]]/Table1[[#This Row],[HASIL MIN]]</f>
        <v>2.8333333333333335</v>
      </c>
      <c r="H905" s="4">
        <f>Table1[[#This Row],[stock]]/Table1[[#This Row],[HASIL MAX]]</f>
        <v>1.4166666666666667</v>
      </c>
      <c r="I905" s="4"/>
      <c r="J905" s="4"/>
    </row>
    <row r="906" spans="1:10" x14ac:dyDescent="0.25">
      <c r="A906" s="48" t="s">
        <v>569</v>
      </c>
      <c r="B906" t="s">
        <v>570</v>
      </c>
      <c r="C906" t="s">
        <v>23217</v>
      </c>
      <c r="D906" s="3">
        <f>VLOOKUP(Table1[[#This Row],[CODE BARANG]],stock!$A:$C,3,)</f>
        <v>104</v>
      </c>
      <c r="E906" s="1">
        <v>36</v>
      </c>
      <c r="F906" s="1">
        <v>72</v>
      </c>
      <c r="G906" s="4">
        <f>Table1[[#This Row],[stock]]/Table1[[#This Row],[HASIL MIN]]</f>
        <v>2.8888888888888888</v>
      </c>
      <c r="H906" s="4">
        <f>Table1[[#This Row],[stock]]/Table1[[#This Row],[HASIL MAX]]</f>
        <v>1.4444444444444444</v>
      </c>
      <c r="I906" s="4"/>
      <c r="J906" s="4"/>
    </row>
    <row r="907" spans="1:10" x14ac:dyDescent="0.25">
      <c r="A907" s="48" t="s">
        <v>12670</v>
      </c>
      <c r="B907" t="s">
        <v>12671</v>
      </c>
      <c r="C907" t="s">
        <v>912</v>
      </c>
      <c r="D907" s="3">
        <f>VLOOKUP(Table1[[#This Row],[CODE BARANG]],stock!$A:$C,3,)</f>
        <v>26</v>
      </c>
      <c r="E907" s="1">
        <v>8</v>
      </c>
      <c r="F907" s="1">
        <v>18</v>
      </c>
      <c r="G907" s="4">
        <f>Table1[[#This Row],[stock]]/Table1[[#This Row],[HASIL MIN]]</f>
        <v>3.25</v>
      </c>
      <c r="H907" s="4">
        <f>Table1[[#This Row],[stock]]/Table1[[#This Row],[HASIL MAX]]</f>
        <v>1.4444444444444444</v>
      </c>
      <c r="I907" s="4"/>
      <c r="J907" s="4"/>
    </row>
    <row r="908" spans="1:10" x14ac:dyDescent="0.25">
      <c r="A908" s="48" t="s">
        <v>1845</v>
      </c>
      <c r="B908" t="s">
        <v>1846</v>
      </c>
      <c r="C908" t="s">
        <v>23214</v>
      </c>
      <c r="D908" s="3">
        <f>VLOOKUP(Table1[[#This Row],[CODE BARANG]],stock!$A:$C,3,)</f>
        <v>289</v>
      </c>
      <c r="E908" s="1">
        <v>100</v>
      </c>
      <c r="F908" s="1">
        <v>200</v>
      </c>
      <c r="G908" s="4">
        <f>Table1[[#This Row],[stock]]/Table1[[#This Row],[HASIL MIN]]</f>
        <v>2.89</v>
      </c>
      <c r="H908" s="4">
        <f>Table1[[#This Row],[stock]]/Table1[[#This Row],[HASIL MAX]]</f>
        <v>1.4450000000000001</v>
      </c>
      <c r="I908" s="4"/>
      <c r="J908" s="4"/>
    </row>
    <row r="909" spans="1:10" x14ac:dyDescent="0.25">
      <c r="A909" s="48" t="s">
        <v>391</v>
      </c>
      <c r="B909" t="s">
        <v>392</v>
      </c>
      <c r="C909" t="s">
        <v>23208</v>
      </c>
      <c r="D909" s="3">
        <f>VLOOKUP(Table1[[#This Row],[CODE BARANG]],stock!$A:$C,3,)</f>
        <v>139</v>
      </c>
      <c r="E909" s="1">
        <v>48</v>
      </c>
      <c r="F909" s="1">
        <v>96</v>
      </c>
      <c r="G909" s="4">
        <f>Table1[[#This Row],[stock]]/Table1[[#This Row],[HASIL MIN]]</f>
        <v>2.8958333333333335</v>
      </c>
      <c r="H909" s="4">
        <f>Table1[[#This Row],[stock]]/Table1[[#This Row],[HASIL MAX]]</f>
        <v>1.4479166666666667</v>
      </c>
      <c r="I909" s="4"/>
      <c r="J909" s="4"/>
    </row>
    <row r="910" spans="1:10" x14ac:dyDescent="0.25">
      <c r="A910" s="48" t="s">
        <v>9798</v>
      </c>
      <c r="B910" t="s">
        <v>9799</v>
      </c>
      <c r="C910" t="s">
        <v>23214</v>
      </c>
      <c r="D910" s="3">
        <f>VLOOKUP(Table1[[#This Row],[CODE BARANG]],stock!$A:$C,3,)</f>
        <v>29</v>
      </c>
      <c r="E910" s="1">
        <v>7</v>
      </c>
      <c r="F910" s="1">
        <v>20</v>
      </c>
      <c r="G910" s="4">
        <f>Table1[[#This Row],[stock]]/Table1[[#This Row],[HASIL MIN]]</f>
        <v>4.1428571428571432</v>
      </c>
      <c r="H910" s="4">
        <f>Table1[[#This Row],[stock]]/Table1[[#This Row],[HASIL MAX]]</f>
        <v>1.45</v>
      </c>
      <c r="I910" s="4"/>
      <c r="J910" s="4"/>
    </row>
    <row r="911" spans="1:10" x14ac:dyDescent="0.25">
      <c r="A911" s="48" t="s">
        <v>753</v>
      </c>
      <c r="B911" t="s">
        <v>754</v>
      </c>
      <c r="C911" t="s">
        <v>23210</v>
      </c>
      <c r="D911" s="3">
        <f>VLOOKUP(Table1[[#This Row],[CODE BARANG]],stock!$A:$C,3,)</f>
        <v>297</v>
      </c>
      <c r="E911" s="1">
        <v>100</v>
      </c>
      <c r="F911" s="1">
        <v>200</v>
      </c>
      <c r="G911" s="4">
        <f>Table1[[#This Row],[stock]]/Table1[[#This Row],[HASIL MIN]]</f>
        <v>2.97</v>
      </c>
      <c r="H911" s="4">
        <f>Table1[[#This Row],[stock]]/Table1[[#This Row],[HASIL MAX]]</f>
        <v>1.4850000000000001</v>
      </c>
      <c r="I911" s="4"/>
      <c r="J911" s="4"/>
    </row>
    <row r="912" spans="1:10" x14ac:dyDescent="0.25">
      <c r="A912" s="48" t="s">
        <v>1637</v>
      </c>
      <c r="B912" t="s">
        <v>1638</v>
      </c>
      <c r="C912" t="s">
        <v>23210</v>
      </c>
      <c r="D912" s="3">
        <f>VLOOKUP(Table1[[#This Row],[CODE BARANG]],stock!$A:$C,3,)</f>
        <v>238</v>
      </c>
      <c r="E912" s="1">
        <v>100</v>
      </c>
      <c r="F912" s="1">
        <v>160</v>
      </c>
      <c r="G912" s="4">
        <f>Table1[[#This Row],[stock]]/Table1[[#This Row],[HASIL MIN]]</f>
        <v>2.38</v>
      </c>
      <c r="H912" s="4">
        <f>Table1[[#This Row],[stock]]/Table1[[#This Row],[HASIL MAX]]</f>
        <v>1.4875</v>
      </c>
      <c r="I912" s="4"/>
      <c r="J912" s="4"/>
    </row>
    <row r="913" spans="1:10" x14ac:dyDescent="0.25">
      <c r="A913" s="48" t="s">
        <v>1747</v>
      </c>
      <c r="B913" t="s">
        <v>1748</v>
      </c>
      <c r="C913" t="s">
        <v>23209</v>
      </c>
      <c r="D913" s="3">
        <f>VLOOKUP(Table1[[#This Row],[CODE BARANG]],stock!$A:$C,3,)</f>
        <v>18</v>
      </c>
      <c r="E913" s="1">
        <v>4</v>
      </c>
      <c r="F913" s="1">
        <v>12</v>
      </c>
      <c r="G913" s="4">
        <f>Table1[[#This Row],[stock]]/Table1[[#This Row],[HASIL MIN]]</f>
        <v>4.5</v>
      </c>
      <c r="H913" s="4">
        <f>Table1[[#This Row],[stock]]/Table1[[#This Row],[HASIL MAX]]</f>
        <v>1.5</v>
      </c>
      <c r="I913" s="4"/>
      <c r="J913" s="4"/>
    </row>
    <row r="914" spans="1:10" x14ac:dyDescent="0.25">
      <c r="A914" s="48" t="s">
        <v>1623</v>
      </c>
      <c r="B914" t="s">
        <v>1624</v>
      </c>
      <c r="C914" t="s">
        <v>23209</v>
      </c>
      <c r="D914" s="3">
        <f>VLOOKUP(Table1[[#This Row],[CODE BARANG]],stock!$A:$C,3,)</f>
        <v>6</v>
      </c>
      <c r="E914" s="1">
        <v>2</v>
      </c>
      <c r="F914" s="1">
        <v>4</v>
      </c>
      <c r="G914" s="4">
        <f>Table1[[#This Row],[stock]]/Table1[[#This Row],[HASIL MIN]]</f>
        <v>3</v>
      </c>
      <c r="H914" s="4">
        <f>Table1[[#This Row],[stock]]/Table1[[#This Row],[HASIL MAX]]</f>
        <v>1.5</v>
      </c>
      <c r="I914" s="4"/>
      <c r="J914" s="4"/>
    </row>
    <row r="915" spans="1:10" x14ac:dyDescent="0.25">
      <c r="A915" s="48" t="s">
        <v>15241</v>
      </c>
      <c r="B915" t="s">
        <v>15242</v>
      </c>
      <c r="C915" t="s">
        <v>23209</v>
      </c>
      <c r="D915" s="3">
        <f>VLOOKUP(Table1[[#This Row],[CODE BARANG]],stock!$A:$C,3,)</f>
        <v>6</v>
      </c>
      <c r="E915" s="1">
        <v>2</v>
      </c>
      <c r="F915" s="1">
        <v>4</v>
      </c>
      <c r="G915" s="4">
        <f>Table1[[#This Row],[stock]]/Table1[[#This Row],[HASIL MIN]]</f>
        <v>3</v>
      </c>
      <c r="H915" s="4">
        <f>Table1[[#This Row],[stock]]/Table1[[#This Row],[HASIL MAX]]</f>
        <v>1.5</v>
      </c>
      <c r="I915" s="4"/>
      <c r="J915" s="4"/>
    </row>
    <row r="916" spans="1:10" x14ac:dyDescent="0.25">
      <c r="A916" s="48" t="s">
        <v>23</v>
      </c>
      <c r="B916" t="s">
        <v>24</v>
      </c>
      <c r="C916" t="s">
        <v>23211</v>
      </c>
      <c r="D916" s="3">
        <f>VLOOKUP(Table1[[#This Row],[CODE BARANG]],stock!$A:$C,3,)</f>
        <v>9</v>
      </c>
      <c r="E916" s="1">
        <v>4</v>
      </c>
      <c r="F916" s="1">
        <v>6</v>
      </c>
      <c r="G916" s="4">
        <f>Table1[[#This Row],[stock]]/Table1[[#This Row],[HASIL MIN]]</f>
        <v>2.25</v>
      </c>
      <c r="H916" s="4">
        <f>Table1[[#This Row],[stock]]/Table1[[#This Row],[HASIL MAX]]</f>
        <v>1.5</v>
      </c>
      <c r="I916" s="4"/>
      <c r="J916" s="4"/>
    </row>
    <row r="917" spans="1:10" x14ac:dyDescent="0.25">
      <c r="A917" s="48" t="s">
        <v>1693</v>
      </c>
      <c r="B917" t="s">
        <v>1694</v>
      </c>
      <c r="C917" t="s">
        <v>912</v>
      </c>
      <c r="D917" s="3">
        <f>VLOOKUP(Table1[[#This Row],[CODE BARANG]],stock!$A:$C,3,)</f>
        <v>6</v>
      </c>
      <c r="E917" s="1">
        <v>2</v>
      </c>
      <c r="F917" s="1">
        <v>4</v>
      </c>
      <c r="G917" s="4">
        <f>Table1[[#This Row],[stock]]/Table1[[#This Row],[HASIL MIN]]</f>
        <v>3</v>
      </c>
      <c r="H917" s="4">
        <f>Table1[[#This Row],[stock]]/Table1[[#This Row],[HASIL MAX]]</f>
        <v>1.5</v>
      </c>
      <c r="I917" s="4"/>
      <c r="J917" s="4"/>
    </row>
    <row r="918" spans="1:10" x14ac:dyDescent="0.25">
      <c r="A918" s="48" t="s">
        <v>543</v>
      </c>
      <c r="B918" t="s">
        <v>544</v>
      </c>
      <c r="C918" t="s">
        <v>23209</v>
      </c>
      <c r="D918" s="3">
        <f>VLOOKUP(Table1[[#This Row],[CODE BARANG]],stock!$A:$C,3,)</f>
        <v>3</v>
      </c>
      <c r="E918" s="1">
        <v>1</v>
      </c>
      <c r="F918" s="1">
        <v>2</v>
      </c>
      <c r="G918" s="4">
        <f>Table1[[#This Row],[stock]]/Table1[[#This Row],[HASIL MIN]]</f>
        <v>3</v>
      </c>
      <c r="H918" s="4">
        <f>Table1[[#This Row],[stock]]/Table1[[#This Row],[HASIL MAX]]</f>
        <v>1.5</v>
      </c>
      <c r="I918" s="4"/>
      <c r="J918" s="4"/>
    </row>
    <row r="919" spans="1:10" x14ac:dyDescent="0.25">
      <c r="A919" s="48" t="s">
        <v>787</v>
      </c>
      <c r="B919" t="s">
        <v>788</v>
      </c>
      <c r="C919" t="s">
        <v>23207</v>
      </c>
      <c r="D919" s="3">
        <f>VLOOKUP(Table1[[#This Row],[CODE BARANG]],stock!$A:$C,3,)</f>
        <v>24</v>
      </c>
      <c r="E919" s="1">
        <v>10</v>
      </c>
      <c r="F919" s="1">
        <v>16</v>
      </c>
      <c r="G919" s="4">
        <f>Table1[[#This Row],[stock]]/Table1[[#This Row],[HASIL MIN]]</f>
        <v>2.4</v>
      </c>
      <c r="H919" s="4">
        <f>Table1[[#This Row],[stock]]/Table1[[#This Row],[HASIL MAX]]</f>
        <v>1.5</v>
      </c>
      <c r="I919" s="4"/>
      <c r="J919" s="4"/>
    </row>
    <row r="920" spans="1:10" x14ac:dyDescent="0.25">
      <c r="A920" s="48" t="s">
        <v>193</v>
      </c>
      <c r="B920" t="s">
        <v>194</v>
      </c>
      <c r="C920" t="s">
        <v>23210</v>
      </c>
      <c r="D920" s="3">
        <f>VLOOKUP(Table1[[#This Row],[CODE BARANG]],stock!$A:$C,3,)</f>
        <v>23</v>
      </c>
      <c r="E920" s="1">
        <v>10</v>
      </c>
      <c r="F920" s="1">
        <v>15</v>
      </c>
      <c r="G920" s="4">
        <f>Table1[[#This Row],[stock]]/Table1[[#This Row],[HASIL MIN]]</f>
        <v>2.2999999999999998</v>
      </c>
      <c r="H920" s="4">
        <f>Table1[[#This Row],[stock]]/Table1[[#This Row],[HASIL MAX]]</f>
        <v>1.5333333333333334</v>
      </c>
      <c r="I920" s="4"/>
      <c r="J920" s="4"/>
    </row>
    <row r="921" spans="1:10" x14ac:dyDescent="0.25">
      <c r="A921" s="48" t="s">
        <v>1603</v>
      </c>
      <c r="B921" t="s">
        <v>1604</v>
      </c>
      <c r="C921" t="s">
        <v>23218</v>
      </c>
      <c r="D921" s="3">
        <f>VLOOKUP(Table1[[#This Row],[CODE BARANG]],stock!$A:$C,3,)</f>
        <v>23</v>
      </c>
      <c r="E921" s="1">
        <v>12</v>
      </c>
      <c r="F921" s="1">
        <v>15</v>
      </c>
      <c r="G921" s="4">
        <f>Table1[[#This Row],[stock]]/Table1[[#This Row],[HASIL MIN]]</f>
        <v>1.9166666666666667</v>
      </c>
      <c r="H921" s="4">
        <f>Table1[[#This Row],[stock]]/Table1[[#This Row],[HASIL MAX]]</f>
        <v>1.5333333333333334</v>
      </c>
      <c r="I921" s="4"/>
      <c r="J921" s="4"/>
    </row>
    <row r="922" spans="1:10" x14ac:dyDescent="0.25">
      <c r="A922" s="48" t="s">
        <v>379</v>
      </c>
      <c r="B922" t="s">
        <v>380</v>
      </c>
      <c r="C922" t="s">
        <v>1859</v>
      </c>
      <c r="D922" s="3">
        <f>VLOOKUP(Table1[[#This Row],[CODE BARANG]],stock!$A:$C,3,)</f>
        <v>37</v>
      </c>
      <c r="E922" s="1">
        <v>12</v>
      </c>
      <c r="F922" s="1">
        <v>24</v>
      </c>
      <c r="G922" s="4">
        <f>Table1[[#This Row],[stock]]/Table1[[#This Row],[HASIL MIN]]</f>
        <v>3.0833333333333335</v>
      </c>
      <c r="H922" s="4">
        <f>Table1[[#This Row],[stock]]/Table1[[#This Row],[HASIL MAX]]</f>
        <v>1.5416666666666667</v>
      </c>
      <c r="I922" s="4"/>
      <c r="J922" s="4"/>
    </row>
    <row r="923" spans="1:10" x14ac:dyDescent="0.25">
      <c r="A923" s="48" t="s">
        <v>87</v>
      </c>
      <c r="B923" t="s">
        <v>88</v>
      </c>
      <c r="C923" t="s">
        <v>23209</v>
      </c>
      <c r="D923" s="3">
        <f>VLOOKUP(Table1[[#This Row],[CODE BARANG]],stock!$A:$C,3,)</f>
        <v>94</v>
      </c>
      <c r="E923" s="1">
        <v>24</v>
      </c>
      <c r="F923" s="1">
        <v>60</v>
      </c>
      <c r="G923" s="4">
        <f>Table1[[#This Row],[stock]]/Table1[[#This Row],[HASIL MIN]]</f>
        <v>3.9166666666666665</v>
      </c>
      <c r="H923" s="4">
        <f>Table1[[#This Row],[stock]]/Table1[[#This Row],[HASIL MAX]]</f>
        <v>1.5666666666666667</v>
      </c>
      <c r="I923" s="4"/>
      <c r="J923" s="4"/>
    </row>
    <row r="924" spans="1:10" x14ac:dyDescent="0.25">
      <c r="A924" s="48" t="s">
        <v>1843</v>
      </c>
      <c r="B924" t="s">
        <v>1844</v>
      </c>
      <c r="C924" t="s">
        <v>23214</v>
      </c>
      <c r="D924" s="3">
        <f>VLOOKUP(Table1[[#This Row],[CODE BARANG]],stock!$A:$C,3,)</f>
        <v>377</v>
      </c>
      <c r="E924" s="1">
        <v>120</v>
      </c>
      <c r="F924" s="1">
        <v>240</v>
      </c>
      <c r="G924" s="4">
        <f>Table1[[#This Row],[stock]]/Table1[[#This Row],[HASIL MIN]]</f>
        <v>3.1416666666666666</v>
      </c>
      <c r="H924" s="4">
        <f>Table1[[#This Row],[stock]]/Table1[[#This Row],[HASIL MAX]]</f>
        <v>1.5708333333333333</v>
      </c>
      <c r="I924" s="4"/>
      <c r="J924" s="4"/>
    </row>
    <row r="925" spans="1:10" x14ac:dyDescent="0.25">
      <c r="A925" s="48" t="s">
        <v>1061</v>
      </c>
      <c r="B925" t="s">
        <v>1062</v>
      </c>
      <c r="C925" t="s">
        <v>23215</v>
      </c>
      <c r="D925" s="3">
        <f>VLOOKUP(Table1[[#This Row],[CODE BARANG]],stock!$A:$C,3,)</f>
        <v>19</v>
      </c>
      <c r="E925" s="1">
        <v>6</v>
      </c>
      <c r="F925" s="1">
        <v>12</v>
      </c>
      <c r="G925" s="4">
        <f>Table1[[#This Row],[stock]]/Table1[[#This Row],[HASIL MIN]]</f>
        <v>3.1666666666666665</v>
      </c>
      <c r="H925" s="4">
        <f>Table1[[#This Row],[stock]]/Table1[[#This Row],[HASIL MAX]]</f>
        <v>1.5833333333333333</v>
      </c>
      <c r="I925" s="4"/>
      <c r="J925" s="4"/>
    </row>
    <row r="926" spans="1:10" x14ac:dyDescent="0.25">
      <c r="A926" s="48" t="s">
        <v>1862</v>
      </c>
      <c r="B926" t="s">
        <v>1863</v>
      </c>
      <c r="C926" t="s">
        <v>439</v>
      </c>
      <c r="D926" s="3">
        <f>VLOOKUP(Table1[[#This Row],[CODE BARANG]],stock!$A:$C,3,)</f>
        <v>114</v>
      </c>
      <c r="E926" s="1">
        <v>36</v>
      </c>
      <c r="F926" s="1">
        <v>72</v>
      </c>
      <c r="G926" s="4">
        <f>Table1[[#This Row],[stock]]/Table1[[#This Row],[HASIL MIN]]</f>
        <v>3.1666666666666665</v>
      </c>
      <c r="H926" s="4">
        <f>Table1[[#This Row],[stock]]/Table1[[#This Row],[HASIL MAX]]</f>
        <v>1.5833333333333333</v>
      </c>
      <c r="I926" s="4"/>
      <c r="J926" s="4"/>
    </row>
    <row r="927" spans="1:10" x14ac:dyDescent="0.25">
      <c r="A927" s="48" t="s">
        <v>1906</v>
      </c>
      <c r="B927" t="s">
        <v>1907</v>
      </c>
      <c r="C927" t="s">
        <v>23215</v>
      </c>
      <c r="D927" s="3">
        <f>VLOOKUP(Table1[[#This Row],[CODE BARANG]],stock!$A:$C,3,)</f>
        <v>32</v>
      </c>
      <c r="E927" s="1">
        <v>12</v>
      </c>
      <c r="F927" s="1">
        <v>20</v>
      </c>
      <c r="G927" s="4">
        <f>Table1[[#This Row],[stock]]/Table1[[#This Row],[HASIL MIN]]</f>
        <v>2.6666666666666665</v>
      </c>
      <c r="H927" s="4">
        <f>Table1[[#This Row],[stock]]/Table1[[#This Row],[HASIL MAX]]</f>
        <v>1.6</v>
      </c>
      <c r="I927" s="4"/>
      <c r="J927" s="4"/>
    </row>
    <row r="928" spans="1:10" x14ac:dyDescent="0.25">
      <c r="A928" s="48" t="s">
        <v>1053</v>
      </c>
      <c r="B928" t="s">
        <v>1054</v>
      </c>
      <c r="C928" t="s">
        <v>23217</v>
      </c>
      <c r="D928" s="3">
        <f>VLOOKUP(Table1[[#This Row],[CODE BARANG]],stock!$A:$C,3,)</f>
        <v>116</v>
      </c>
      <c r="E928" s="1">
        <v>36</v>
      </c>
      <c r="F928" s="1">
        <v>72</v>
      </c>
      <c r="G928" s="4">
        <f>Table1[[#This Row],[stock]]/Table1[[#This Row],[HASIL MIN]]</f>
        <v>3.2222222222222223</v>
      </c>
      <c r="H928" s="4">
        <f>Table1[[#This Row],[stock]]/Table1[[#This Row],[HASIL MAX]]</f>
        <v>1.6111111111111112</v>
      </c>
      <c r="I928" s="4"/>
      <c r="J928" s="4"/>
    </row>
    <row r="929" spans="1:16" x14ac:dyDescent="0.25">
      <c r="A929" s="48" t="s">
        <v>1181</v>
      </c>
      <c r="B929" t="s">
        <v>1182</v>
      </c>
      <c r="C929" t="s">
        <v>23209</v>
      </c>
      <c r="D929" s="3">
        <f>VLOOKUP(Table1[[#This Row],[CODE BARANG]],stock!$A:$C,3,)</f>
        <v>13</v>
      </c>
      <c r="E929" s="1">
        <v>4</v>
      </c>
      <c r="F929" s="1">
        <v>8</v>
      </c>
      <c r="G929" s="4">
        <f>Table1[[#This Row],[stock]]/Table1[[#This Row],[HASIL MIN]]</f>
        <v>3.25</v>
      </c>
      <c r="H929" s="4">
        <f>Table1[[#This Row],[stock]]/Table1[[#This Row],[HASIL MAX]]</f>
        <v>1.625</v>
      </c>
      <c r="I929" s="4"/>
      <c r="J929" s="4"/>
    </row>
    <row r="930" spans="1:16" x14ac:dyDescent="0.25">
      <c r="A930" s="48" t="s">
        <v>1201</v>
      </c>
      <c r="B930" t="s">
        <v>1202</v>
      </c>
      <c r="C930" t="s">
        <v>23210</v>
      </c>
      <c r="D930" s="3">
        <f>VLOOKUP(Table1[[#This Row],[CODE BARANG]],stock!$A:$C,3,)</f>
        <v>394</v>
      </c>
      <c r="E930" s="1">
        <v>120</v>
      </c>
      <c r="F930" s="1">
        <v>240</v>
      </c>
      <c r="G930" s="4">
        <f>Table1[[#This Row],[stock]]/Table1[[#This Row],[HASIL MIN]]</f>
        <v>3.2833333333333332</v>
      </c>
      <c r="H930" s="4">
        <f>Table1[[#This Row],[stock]]/Table1[[#This Row],[HASIL MAX]]</f>
        <v>1.6416666666666666</v>
      </c>
      <c r="I930" s="4"/>
      <c r="J930" s="4"/>
    </row>
    <row r="931" spans="1:16" x14ac:dyDescent="0.25">
      <c r="A931" s="48" t="s">
        <v>1261</v>
      </c>
      <c r="B931" t="s">
        <v>1262</v>
      </c>
      <c r="C931" t="s">
        <v>23210</v>
      </c>
      <c r="D931" s="3">
        <f>VLOOKUP(Table1[[#This Row],[CODE BARANG]],stock!$A:$C,3,)</f>
        <v>99</v>
      </c>
      <c r="E931" s="1">
        <v>30</v>
      </c>
      <c r="F931" s="1">
        <v>60</v>
      </c>
      <c r="G931" s="4">
        <f>Table1[[#This Row],[stock]]/Table1[[#This Row],[HASIL MIN]]</f>
        <v>3.3</v>
      </c>
      <c r="H931" s="4">
        <f>Table1[[#This Row],[stock]]/Table1[[#This Row],[HASIL MAX]]</f>
        <v>1.65</v>
      </c>
      <c r="I931" s="4"/>
      <c r="J931" s="4"/>
    </row>
    <row r="932" spans="1:16" x14ac:dyDescent="0.25">
      <c r="A932" s="48" t="s">
        <v>1303</v>
      </c>
      <c r="B932" t="s">
        <v>1304</v>
      </c>
      <c r="C932" t="s">
        <v>23213</v>
      </c>
      <c r="D932" s="3">
        <f>VLOOKUP(Table1[[#This Row],[CODE BARANG]],stock!$A:$C,3,)</f>
        <v>40</v>
      </c>
      <c r="E932" s="1">
        <v>12</v>
      </c>
      <c r="F932" s="1">
        <v>24</v>
      </c>
      <c r="G932" s="4">
        <f>Table1[[#This Row],[stock]]/Table1[[#This Row],[HASIL MIN]]</f>
        <v>3.3333333333333335</v>
      </c>
      <c r="H932" s="4">
        <f>Table1[[#This Row],[stock]]/Table1[[#This Row],[HASIL MAX]]</f>
        <v>1.6666666666666667</v>
      </c>
      <c r="I932" s="4"/>
      <c r="J932" s="4"/>
    </row>
    <row r="933" spans="1:16" x14ac:dyDescent="0.25">
      <c r="A933" s="48" t="s">
        <v>1277</v>
      </c>
      <c r="B933" t="s">
        <v>1278</v>
      </c>
      <c r="C933" t="s">
        <v>23207</v>
      </c>
      <c r="D933" s="3">
        <f>VLOOKUP(Table1[[#This Row],[CODE BARANG]],stock!$A:$C,3,)</f>
        <v>10</v>
      </c>
      <c r="E933" s="1">
        <v>2</v>
      </c>
      <c r="F933" s="1">
        <v>6</v>
      </c>
      <c r="G933" s="4">
        <f>Table1[[#This Row],[stock]]/Table1[[#This Row],[HASIL MIN]]</f>
        <v>5</v>
      </c>
      <c r="H933" s="4">
        <f>Table1[[#This Row],[stock]]/Table1[[#This Row],[HASIL MAX]]</f>
        <v>1.6666666666666667</v>
      </c>
      <c r="I933" s="4"/>
      <c r="J933" s="4"/>
    </row>
    <row r="934" spans="1:16" x14ac:dyDescent="0.25">
      <c r="A934" s="48" t="s">
        <v>9538</v>
      </c>
      <c r="B934" t="s">
        <v>9539</v>
      </c>
      <c r="C934" t="s">
        <v>23214</v>
      </c>
      <c r="D934" s="3">
        <f>VLOOKUP(Table1[[#This Row],[CODE BARANG]],stock!$A:$C,3,)</f>
        <v>20</v>
      </c>
      <c r="E934" s="1">
        <v>5</v>
      </c>
      <c r="F934" s="1">
        <v>12</v>
      </c>
      <c r="G934" s="4">
        <f>Table1[[#This Row],[stock]]/Table1[[#This Row],[HASIL MIN]]</f>
        <v>4</v>
      </c>
      <c r="H934" s="4">
        <f>Table1[[#This Row],[stock]]/Table1[[#This Row],[HASIL MAX]]</f>
        <v>1.6666666666666667</v>
      </c>
      <c r="I934" s="4"/>
      <c r="J934" s="4"/>
    </row>
    <row r="935" spans="1:16" x14ac:dyDescent="0.25">
      <c r="A935" s="48" t="s">
        <v>125</v>
      </c>
      <c r="B935" t="s">
        <v>126</v>
      </c>
      <c r="C935" t="s">
        <v>23214</v>
      </c>
      <c r="D935" s="3">
        <f>VLOOKUP(Table1[[#This Row],[CODE BARANG]],stock!$A:$C,3,)</f>
        <v>10</v>
      </c>
      <c r="E935" s="1">
        <v>4</v>
      </c>
      <c r="F935" s="1">
        <v>6</v>
      </c>
      <c r="G935" s="4">
        <f>Table1[[#This Row],[stock]]/Table1[[#This Row],[HASIL MIN]]</f>
        <v>2.5</v>
      </c>
      <c r="H935" s="4">
        <f>Table1[[#This Row],[stock]]/Table1[[#This Row],[HASIL MAX]]</f>
        <v>1.6666666666666667</v>
      </c>
      <c r="I935" s="4"/>
      <c r="J935" s="4"/>
    </row>
    <row r="936" spans="1:16" x14ac:dyDescent="0.25">
      <c r="A936" s="48" t="s">
        <v>1697</v>
      </c>
      <c r="B936" t="s">
        <v>1698</v>
      </c>
      <c r="C936" t="s">
        <v>23214</v>
      </c>
      <c r="D936" s="3">
        <f>VLOOKUP(Table1[[#This Row],[CODE BARANG]],stock!$A:$C,3,)</f>
        <v>10</v>
      </c>
      <c r="E936" s="1">
        <v>4</v>
      </c>
      <c r="F936" s="1">
        <v>6</v>
      </c>
      <c r="G936" s="4">
        <f>Table1[[#This Row],[stock]]/Table1[[#This Row],[HASIL MIN]]</f>
        <v>2.5</v>
      </c>
      <c r="H936" s="4">
        <f>Table1[[#This Row],[stock]]/Table1[[#This Row],[HASIL MAX]]</f>
        <v>1.6666666666666667</v>
      </c>
      <c r="I936" s="4"/>
      <c r="J936" s="4"/>
    </row>
    <row r="937" spans="1:16" x14ac:dyDescent="0.25">
      <c r="A937" s="48" t="s">
        <v>1145</v>
      </c>
      <c r="B937" t="s">
        <v>1146</v>
      </c>
      <c r="C937" t="s">
        <v>23211</v>
      </c>
      <c r="D937" s="3">
        <f>VLOOKUP(Table1[[#This Row],[CODE BARANG]],stock!$A:$C,3,)</f>
        <v>10</v>
      </c>
      <c r="E937" s="1">
        <v>4</v>
      </c>
      <c r="F937" s="1">
        <v>6</v>
      </c>
      <c r="G937" s="4">
        <f>Table1[[#This Row],[stock]]/Table1[[#This Row],[HASIL MIN]]</f>
        <v>2.5</v>
      </c>
      <c r="H937" s="4">
        <f>Table1[[#This Row],[stock]]/Table1[[#This Row],[HASIL MAX]]</f>
        <v>1.6666666666666667</v>
      </c>
      <c r="I937" s="4"/>
      <c r="J937" s="4"/>
    </row>
    <row r="938" spans="1:16" x14ac:dyDescent="0.25">
      <c r="A938" s="48" t="s">
        <v>1739</v>
      </c>
      <c r="B938" t="s">
        <v>1740</v>
      </c>
      <c r="C938" t="s">
        <v>23218</v>
      </c>
      <c r="D938" s="3">
        <f>VLOOKUP(Table1[[#This Row],[CODE BARANG]],stock!$A:$C,3,)</f>
        <v>17</v>
      </c>
      <c r="E938" s="1">
        <v>6</v>
      </c>
      <c r="F938" s="1">
        <v>10</v>
      </c>
      <c r="G938" s="4">
        <f>Table1[[#This Row],[stock]]/Table1[[#This Row],[HASIL MIN]]</f>
        <v>2.8333333333333335</v>
      </c>
      <c r="H938" s="4">
        <f>Table1[[#This Row],[stock]]/Table1[[#This Row],[HASIL MAX]]</f>
        <v>1.7</v>
      </c>
      <c r="I938" s="4"/>
      <c r="J938" s="4"/>
    </row>
    <row r="939" spans="1:16" s="55" customFormat="1" x14ac:dyDescent="0.25">
      <c r="A939" s="48" t="s">
        <v>1703</v>
      </c>
      <c r="B939" t="s">
        <v>1704</v>
      </c>
      <c r="C939" t="s">
        <v>442</v>
      </c>
      <c r="D939" s="3">
        <f>VLOOKUP(Table1[[#This Row],[CODE BARANG]],stock!$A:$C,3,)</f>
        <v>125</v>
      </c>
      <c r="E939" s="1">
        <v>60</v>
      </c>
      <c r="F939" s="1">
        <v>72</v>
      </c>
      <c r="G939" s="4">
        <f>Table1[[#This Row],[stock]]/Table1[[#This Row],[HASIL MIN]]</f>
        <v>2.0833333333333335</v>
      </c>
      <c r="H939" s="4">
        <f>Table1[[#This Row],[stock]]/Table1[[#This Row],[HASIL MAX]]</f>
        <v>1.7361111111111112</v>
      </c>
      <c r="I939" s="57"/>
      <c r="J939" s="57"/>
      <c r="L939" s="58"/>
      <c r="M939" s="58"/>
      <c r="N939" s="58"/>
      <c r="O939" s="46"/>
      <c r="P939" s="46"/>
    </row>
    <row r="940" spans="1:16" x14ac:dyDescent="0.25">
      <c r="A940" s="48" t="s">
        <v>61</v>
      </c>
      <c r="B940" t="s">
        <v>62</v>
      </c>
      <c r="C940" t="s">
        <v>23211</v>
      </c>
      <c r="D940" s="3">
        <f>VLOOKUP(Table1[[#This Row],[CODE BARANG]],stock!$A:$C,3,)</f>
        <v>7</v>
      </c>
      <c r="E940" s="1">
        <v>2</v>
      </c>
      <c r="F940" s="1">
        <v>4</v>
      </c>
      <c r="G940" s="4">
        <f>Table1[[#This Row],[stock]]/Table1[[#This Row],[HASIL MIN]]</f>
        <v>3.5</v>
      </c>
      <c r="H940" s="4">
        <f>Table1[[#This Row],[stock]]/Table1[[#This Row],[HASIL MAX]]</f>
        <v>1.75</v>
      </c>
      <c r="I940" s="4"/>
      <c r="J940" s="4"/>
    </row>
    <row r="941" spans="1:16" x14ac:dyDescent="0.25">
      <c r="A941" s="48" t="s">
        <v>1563</v>
      </c>
      <c r="B941" t="s">
        <v>1564</v>
      </c>
      <c r="C941" t="s">
        <v>23209</v>
      </c>
      <c r="D941" s="3">
        <f>VLOOKUP(Table1[[#This Row],[CODE BARANG]],stock!$A:$C,3,)</f>
        <v>28</v>
      </c>
      <c r="E941" s="1">
        <v>12</v>
      </c>
      <c r="F941" s="1">
        <v>16</v>
      </c>
      <c r="G941" s="4">
        <f>Table1[[#This Row],[stock]]/Table1[[#This Row],[HASIL MIN]]</f>
        <v>2.3333333333333335</v>
      </c>
      <c r="H941" s="4">
        <f>Table1[[#This Row],[stock]]/Table1[[#This Row],[HASIL MAX]]</f>
        <v>1.75</v>
      </c>
      <c r="I941" s="4"/>
      <c r="J941" s="4"/>
    </row>
    <row r="942" spans="1:16" x14ac:dyDescent="0.25">
      <c r="A942" s="54" t="s">
        <v>541</v>
      </c>
      <c r="B942" s="55" t="s">
        <v>542</v>
      </c>
      <c r="C942" s="55" t="s">
        <v>23215</v>
      </c>
      <c r="D942" s="56">
        <f>VLOOKUP(Table1[[#This Row],[CODE BARANG]],stock!$A:$C,3,)</f>
        <v>42</v>
      </c>
      <c r="E942" s="56">
        <v>12</v>
      </c>
      <c r="F942" s="56">
        <v>24</v>
      </c>
      <c r="G942" s="57">
        <f>Table1[[#This Row],[stock]]/Table1[[#This Row],[HASIL MIN]]</f>
        <v>3.5</v>
      </c>
      <c r="H942" s="57">
        <f>Table1[[#This Row],[stock]]/Table1[[#This Row],[HASIL MAX]]</f>
        <v>1.75</v>
      </c>
      <c r="I942" s="4"/>
      <c r="J942" s="4"/>
    </row>
    <row r="943" spans="1:16" x14ac:dyDescent="0.25">
      <c r="A943" s="48" t="s">
        <v>2065</v>
      </c>
      <c r="B943" t="s">
        <v>2066</v>
      </c>
      <c r="C943" t="s">
        <v>442</v>
      </c>
      <c r="D943" s="3">
        <f>VLOOKUP(Table1[[#This Row],[CODE BARANG]],stock!$A:$C,3,)</f>
        <v>210</v>
      </c>
      <c r="E943" s="1">
        <v>63</v>
      </c>
      <c r="F943" s="1">
        <v>120</v>
      </c>
      <c r="G943" s="4">
        <f>Table1[[#This Row],[stock]]/Table1[[#This Row],[HASIL MIN]]</f>
        <v>3.3333333333333335</v>
      </c>
      <c r="H943" s="4">
        <f>Table1[[#This Row],[stock]]/Table1[[#This Row],[HASIL MAX]]</f>
        <v>1.75</v>
      </c>
      <c r="I943" s="4"/>
      <c r="J943" s="4"/>
    </row>
    <row r="944" spans="1:16" x14ac:dyDescent="0.25">
      <c r="A944" s="48" t="s">
        <v>1817</v>
      </c>
      <c r="B944" t="s">
        <v>1818</v>
      </c>
      <c r="C944" t="s">
        <v>23208</v>
      </c>
      <c r="D944" s="3">
        <f>VLOOKUP(Table1[[#This Row],[CODE BARANG]],stock!$A:$C,3,)</f>
        <v>66</v>
      </c>
      <c r="E944" s="1">
        <v>24</v>
      </c>
      <c r="F944" s="1">
        <v>36</v>
      </c>
      <c r="G944" s="4">
        <f>Table1[[#This Row],[stock]]/Table1[[#This Row],[HASIL MIN]]</f>
        <v>2.75</v>
      </c>
      <c r="H944" s="4">
        <f>Table1[[#This Row],[stock]]/Table1[[#This Row],[HASIL MAX]]</f>
        <v>1.8333333333333333</v>
      </c>
      <c r="I944" s="4"/>
      <c r="J944" s="4"/>
    </row>
    <row r="945" spans="1:10" x14ac:dyDescent="0.25">
      <c r="A945" s="48" t="s">
        <v>2149</v>
      </c>
      <c r="B945" t="s">
        <v>2150</v>
      </c>
      <c r="C945" t="s">
        <v>442</v>
      </c>
      <c r="D945" s="3">
        <f>VLOOKUP(Table1[[#This Row],[CODE BARANG]],stock!$A:$C,3,)</f>
        <v>22</v>
      </c>
      <c r="E945" s="1">
        <v>4</v>
      </c>
      <c r="F945" s="1">
        <v>12</v>
      </c>
      <c r="G945" s="4">
        <f>Table1[[#This Row],[stock]]/Table1[[#This Row],[HASIL MIN]]</f>
        <v>5.5</v>
      </c>
      <c r="H945" s="4">
        <f>Table1[[#This Row],[stock]]/Table1[[#This Row],[HASIL MAX]]</f>
        <v>1.8333333333333333</v>
      </c>
      <c r="I945" s="4"/>
      <c r="J945" s="4"/>
    </row>
    <row r="946" spans="1:10" x14ac:dyDescent="0.25">
      <c r="A946" s="48" t="s">
        <v>17</v>
      </c>
      <c r="B946" t="s">
        <v>18</v>
      </c>
      <c r="C946" t="s">
        <v>23208</v>
      </c>
      <c r="D946" s="3">
        <f>VLOOKUP(Table1[[#This Row],[CODE BARANG]],stock!$A:$C,3,)</f>
        <v>150</v>
      </c>
      <c r="E946" s="1">
        <v>40</v>
      </c>
      <c r="F946" s="1">
        <v>80</v>
      </c>
      <c r="G946" s="4">
        <f>Table1[[#This Row],[stock]]/Table1[[#This Row],[HASIL MIN]]</f>
        <v>3.75</v>
      </c>
      <c r="H946" s="4">
        <f>Table1[[#This Row],[stock]]/Table1[[#This Row],[HASIL MAX]]</f>
        <v>1.875</v>
      </c>
      <c r="I946" s="4"/>
      <c r="J946" s="4"/>
    </row>
    <row r="947" spans="1:10" x14ac:dyDescent="0.25">
      <c r="A947" s="48" t="s">
        <v>2578</v>
      </c>
      <c r="B947" t="s">
        <v>22345</v>
      </c>
      <c r="C947" t="s">
        <v>442</v>
      </c>
      <c r="D947" s="3">
        <f>VLOOKUP(Table1[[#This Row],[CODE BARANG]],stock!$A:$C,3,)</f>
        <v>45</v>
      </c>
      <c r="E947" s="1">
        <v>12</v>
      </c>
      <c r="F947" s="1">
        <v>24</v>
      </c>
      <c r="G947" s="4">
        <f>Table1[[#This Row],[stock]]/Table1[[#This Row],[HASIL MIN]]</f>
        <v>3.75</v>
      </c>
      <c r="H947" s="4">
        <f>Table1[[#This Row],[stock]]/Table1[[#This Row],[HASIL MAX]]</f>
        <v>1.875</v>
      </c>
      <c r="I947" s="4"/>
      <c r="J947" s="4"/>
    </row>
    <row r="948" spans="1:10" x14ac:dyDescent="0.25">
      <c r="A948" s="48" t="s">
        <v>1926</v>
      </c>
      <c r="B948" t="s">
        <v>1927</v>
      </c>
      <c r="C948" t="s">
        <v>439</v>
      </c>
      <c r="D948" s="3">
        <f>VLOOKUP(Table1[[#This Row],[CODE BARANG]],stock!$A:$C,3,)</f>
        <v>23</v>
      </c>
      <c r="E948" s="1">
        <v>4</v>
      </c>
      <c r="F948" s="1">
        <v>12</v>
      </c>
      <c r="G948" s="4">
        <f>Table1[[#This Row],[stock]]/Table1[[#This Row],[HASIL MIN]]</f>
        <v>5.75</v>
      </c>
      <c r="H948" s="4">
        <f>Table1[[#This Row],[stock]]/Table1[[#This Row],[HASIL MAX]]</f>
        <v>1.9166666666666667</v>
      </c>
      <c r="I948" s="4"/>
      <c r="J948" s="4"/>
    </row>
    <row r="949" spans="1:10" x14ac:dyDescent="0.25">
      <c r="A949" s="48" t="s">
        <v>1647</v>
      </c>
      <c r="B949" t="s">
        <v>1648</v>
      </c>
      <c r="C949" t="s">
        <v>23211</v>
      </c>
      <c r="D949" s="3">
        <f>VLOOKUP(Table1[[#This Row],[CODE BARANG]],stock!$A:$C,3,)</f>
        <v>23</v>
      </c>
      <c r="E949" s="1">
        <v>8</v>
      </c>
      <c r="F949" s="1">
        <v>12</v>
      </c>
      <c r="G949" s="4">
        <f>Table1[[#This Row],[stock]]/Table1[[#This Row],[HASIL MIN]]</f>
        <v>2.875</v>
      </c>
      <c r="H949" s="4">
        <f>Table1[[#This Row],[stock]]/Table1[[#This Row],[HASIL MAX]]</f>
        <v>1.9166666666666667</v>
      </c>
      <c r="I949" s="4"/>
      <c r="J949" s="4"/>
    </row>
    <row r="950" spans="1:10" x14ac:dyDescent="0.25">
      <c r="A950" s="48" t="s">
        <v>809</v>
      </c>
      <c r="B950" t="s">
        <v>810</v>
      </c>
      <c r="C950" t="s">
        <v>23208</v>
      </c>
      <c r="D950" s="3">
        <f>VLOOKUP(Table1[[#This Row],[CODE BARANG]],stock!$A:$C,3,)</f>
        <v>462</v>
      </c>
      <c r="E950" s="1">
        <v>120</v>
      </c>
      <c r="F950" s="1">
        <v>240</v>
      </c>
      <c r="G950" s="4">
        <f>Table1[[#This Row],[stock]]/Table1[[#This Row],[HASIL MIN]]</f>
        <v>3.85</v>
      </c>
      <c r="H950" s="4">
        <f>Table1[[#This Row],[stock]]/Table1[[#This Row],[HASIL MAX]]</f>
        <v>1.925</v>
      </c>
      <c r="I950" s="4"/>
      <c r="J950" s="4"/>
    </row>
    <row r="951" spans="1:10" x14ac:dyDescent="0.25">
      <c r="A951" s="48" t="s">
        <v>1559</v>
      </c>
      <c r="B951" t="s">
        <v>1560</v>
      </c>
      <c r="C951" t="s">
        <v>23209</v>
      </c>
      <c r="D951" s="3">
        <f>VLOOKUP(Table1[[#This Row],[CODE BARANG]],stock!$A:$C,3,)</f>
        <v>93</v>
      </c>
      <c r="E951" s="1">
        <v>24</v>
      </c>
      <c r="F951" s="1">
        <v>48</v>
      </c>
      <c r="G951" s="4">
        <f>Table1[[#This Row],[stock]]/Table1[[#This Row],[HASIL MIN]]</f>
        <v>3.875</v>
      </c>
      <c r="H951" s="4">
        <f>Table1[[#This Row],[stock]]/Table1[[#This Row],[HASIL MAX]]</f>
        <v>1.9375</v>
      </c>
      <c r="I951" s="4"/>
      <c r="J951" s="4"/>
    </row>
    <row r="952" spans="1:10" x14ac:dyDescent="0.25">
      <c r="A952" s="48" t="s">
        <v>870</v>
      </c>
      <c r="B952" t="s">
        <v>871</v>
      </c>
      <c r="C952" t="s">
        <v>23210</v>
      </c>
      <c r="D952" s="3">
        <f>VLOOKUP(Table1[[#This Row],[CODE BARANG]],stock!$A:$C,3,)</f>
        <v>197</v>
      </c>
      <c r="E952" s="1">
        <v>60</v>
      </c>
      <c r="F952" s="1">
        <v>100</v>
      </c>
      <c r="G952" s="4">
        <f>Table1[[#This Row],[stock]]/Table1[[#This Row],[HASIL MIN]]</f>
        <v>3.2833333333333332</v>
      </c>
      <c r="H952" s="4">
        <f>Table1[[#This Row],[stock]]/Table1[[#This Row],[HASIL MAX]]</f>
        <v>1.97</v>
      </c>
      <c r="I952" s="4"/>
      <c r="J952" s="4"/>
    </row>
    <row r="953" spans="1:10" x14ac:dyDescent="0.25">
      <c r="A953" s="48" t="s">
        <v>735</v>
      </c>
      <c r="B953" t="s">
        <v>736</v>
      </c>
      <c r="C953" t="s">
        <v>23212</v>
      </c>
      <c r="D953" s="3">
        <f>VLOOKUP(Table1[[#This Row],[CODE BARANG]],stock!$A:$C,3,)</f>
        <v>30</v>
      </c>
      <c r="E953" s="1">
        <v>10</v>
      </c>
      <c r="F953" s="1">
        <v>15</v>
      </c>
      <c r="G953" s="4">
        <f>Table1[[#This Row],[stock]]/Table1[[#This Row],[HASIL MIN]]</f>
        <v>3</v>
      </c>
      <c r="H953" s="4">
        <f>Table1[[#This Row],[stock]]/Table1[[#This Row],[HASIL MAX]]</f>
        <v>2</v>
      </c>
      <c r="I953" s="4"/>
      <c r="J953" s="4"/>
    </row>
    <row r="954" spans="1:10" x14ac:dyDescent="0.25">
      <c r="A954" s="48" t="s">
        <v>1139</v>
      </c>
      <c r="B954" t="s">
        <v>1140</v>
      </c>
      <c r="C954" t="s">
        <v>912</v>
      </c>
      <c r="D954" s="3">
        <f>VLOOKUP(Table1[[#This Row],[CODE BARANG]],stock!$A:$C,3,)</f>
        <v>12</v>
      </c>
      <c r="E954" s="1">
        <v>2</v>
      </c>
      <c r="F954" s="1">
        <v>6</v>
      </c>
      <c r="G954" s="4">
        <f>Table1[[#This Row],[stock]]/Table1[[#This Row],[HASIL MIN]]</f>
        <v>6</v>
      </c>
      <c r="H954" s="4">
        <f>Table1[[#This Row],[stock]]/Table1[[#This Row],[HASIL MAX]]</f>
        <v>2</v>
      </c>
      <c r="I954" s="4"/>
      <c r="J954" s="4"/>
    </row>
    <row r="955" spans="1:10" x14ac:dyDescent="0.25">
      <c r="A955" s="48" t="s">
        <v>359</v>
      </c>
      <c r="B955" t="s">
        <v>360</v>
      </c>
      <c r="C955" t="s">
        <v>23209</v>
      </c>
      <c r="D955" s="3">
        <f>VLOOKUP(Table1[[#This Row],[CODE BARANG]],stock!$A:$C,3,)</f>
        <v>24</v>
      </c>
      <c r="E955" s="1">
        <v>6</v>
      </c>
      <c r="F955" s="1">
        <v>12</v>
      </c>
      <c r="G955" s="4">
        <f>Table1[[#This Row],[stock]]/Table1[[#This Row],[HASIL MIN]]</f>
        <v>4</v>
      </c>
      <c r="H955" s="4">
        <f>Table1[[#This Row],[stock]]/Table1[[#This Row],[HASIL MAX]]</f>
        <v>2</v>
      </c>
      <c r="I955" s="4"/>
      <c r="J955" s="4"/>
    </row>
    <row r="956" spans="1:10" x14ac:dyDescent="0.25">
      <c r="A956" s="48" t="s">
        <v>1161</v>
      </c>
      <c r="B956" t="s">
        <v>1162</v>
      </c>
      <c r="C956" t="s">
        <v>23211</v>
      </c>
      <c r="D956" s="3">
        <f>VLOOKUP(Table1[[#This Row],[CODE BARANG]],stock!$A:$C,3,)</f>
        <v>4</v>
      </c>
      <c r="E956" s="1">
        <v>1</v>
      </c>
      <c r="F956" s="1">
        <v>2</v>
      </c>
      <c r="G956" s="4">
        <f>Table1[[#This Row],[stock]]/Table1[[#This Row],[HASIL MIN]]</f>
        <v>4</v>
      </c>
      <c r="H956" s="4">
        <f>Table1[[#This Row],[stock]]/Table1[[#This Row],[HASIL MAX]]</f>
        <v>2</v>
      </c>
      <c r="I956" s="4"/>
      <c r="J956" s="4"/>
    </row>
    <row r="957" spans="1:10" x14ac:dyDescent="0.25">
      <c r="A957" s="48" t="s">
        <v>17016</v>
      </c>
      <c r="B957" t="s">
        <v>17017</v>
      </c>
      <c r="C957" t="s">
        <v>23214</v>
      </c>
      <c r="D957" s="3">
        <f>VLOOKUP(Table1[[#This Row],[CODE BARANG]],stock!$A:$C,3,)</f>
        <v>24</v>
      </c>
      <c r="E957" s="1">
        <v>9</v>
      </c>
      <c r="F957" s="1">
        <v>12</v>
      </c>
      <c r="G957" s="4">
        <f>Table1[[#This Row],[stock]]/Table1[[#This Row],[HASIL MIN]]</f>
        <v>2.6666666666666665</v>
      </c>
      <c r="H957" s="4">
        <f>Table1[[#This Row],[stock]]/Table1[[#This Row],[HASIL MAX]]</f>
        <v>2</v>
      </c>
      <c r="I957" s="4"/>
      <c r="J957" s="4"/>
    </row>
    <row r="958" spans="1:10" x14ac:dyDescent="0.25">
      <c r="A958" s="48" t="s">
        <v>215</v>
      </c>
      <c r="B958" t="s">
        <v>216</v>
      </c>
      <c r="C958" t="s">
        <v>23214</v>
      </c>
      <c r="D958" s="3">
        <f>VLOOKUP(Table1[[#This Row],[CODE BARANG]],stock!$A:$C,3,)</f>
        <v>12</v>
      </c>
      <c r="E958" s="1">
        <v>4</v>
      </c>
      <c r="F958" s="1">
        <v>6</v>
      </c>
      <c r="G958" s="4">
        <f>Table1[[#This Row],[stock]]/Table1[[#This Row],[HASIL MIN]]</f>
        <v>3</v>
      </c>
      <c r="H958" s="4">
        <f>Table1[[#This Row],[stock]]/Table1[[#This Row],[HASIL MAX]]</f>
        <v>2</v>
      </c>
      <c r="I958" s="4"/>
      <c r="J958" s="4"/>
    </row>
    <row r="959" spans="1:10" x14ac:dyDescent="0.25">
      <c r="A959" s="48" t="s">
        <v>655</v>
      </c>
      <c r="B959" t="s">
        <v>656</v>
      </c>
      <c r="C959" t="s">
        <v>23214</v>
      </c>
      <c r="D959" s="3">
        <f>VLOOKUP(Table1[[#This Row],[CODE BARANG]],stock!$A:$C,3,)</f>
        <v>246</v>
      </c>
      <c r="E959" s="1">
        <v>60</v>
      </c>
      <c r="F959" s="1">
        <v>120</v>
      </c>
      <c r="G959" s="4">
        <f>Table1[[#This Row],[stock]]/Table1[[#This Row],[HASIL MIN]]</f>
        <v>4.0999999999999996</v>
      </c>
      <c r="H959" s="4">
        <f>Table1[[#This Row],[stock]]/Table1[[#This Row],[HASIL MAX]]</f>
        <v>2.0499999999999998</v>
      </c>
      <c r="I959" s="4"/>
      <c r="J959" s="4"/>
    </row>
    <row r="960" spans="1:10" x14ac:dyDescent="0.25">
      <c r="A960" s="48" t="s">
        <v>1671</v>
      </c>
      <c r="B960" t="s">
        <v>1672</v>
      </c>
      <c r="C960" t="s">
        <v>23215</v>
      </c>
      <c r="D960" s="3">
        <f>VLOOKUP(Table1[[#This Row],[CODE BARANG]],stock!$A:$C,3,)</f>
        <v>25</v>
      </c>
      <c r="E960" s="1">
        <v>6</v>
      </c>
      <c r="F960" s="1">
        <v>12</v>
      </c>
      <c r="G960" s="4">
        <f>Table1[[#This Row],[stock]]/Table1[[#This Row],[HASIL MIN]]</f>
        <v>4.166666666666667</v>
      </c>
      <c r="H960" s="4">
        <f>Table1[[#This Row],[stock]]/Table1[[#This Row],[HASIL MAX]]</f>
        <v>2.0833333333333335</v>
      </c>
      <c r="I960" s="4"/>
      <c r="J960" s="4"/>
    </row>
    <row r="961" spans="1:10" x14ac:dyDescent="0.25">
      <c r="A961" s="48" t="s">
        <v>521</v>
      </c>
      <c r="B961" t="s">
        <v>522</v>
      </c>
      <c r="C961" t="s">
        <v>23209</v>
      </c>
      <c r="D961" s="3">
        <f>VLOOKUP(Table1[[#This Row],[CODE BARANG]],stock!$A:$C,3,)</f>
        <v>43</v>
      </c>
      <c r="E961" s="1">
        <v>10</v>
      </c>
      <c r="F961" s="1">
        <v>20</v>
      </c>
      <c r="G961" s="4">
        <f>Table1[[#This Row],[stock]]/Table1[[#This Row],[HASIL MIN]]</f>
        <v>4.3</v>
      </c>
      <c r="H961" s="4">
        <f>Table1[[#This Row],[stock]]/Table1[[#This Row],[HASIL MAX]]</f>
        <v>2.15</v>
      </c>
      <c r="I961" s="4"/>
      <c r="J961" s="4"/>
    </row>
    <row r="962" spans="1:10" x14ac:dyDescent="0.25">
      <c r="A962" s="48" t="s">
        <v>13977</v>
      </c>
      <c r="B962" t="s">
        <v>13978</v>
      </c>
      <c r="C962" t="s">
        <v>23213</v>
      </c>
      <c r="D962" s="3">
        <f>VLOOKUP(Table1[[#This Row],[CODE BARANG]],stock!$A:$C,3,)</f>
        <v>26</v>
      </c>
      <c r="E962" s="1">
        <v>6</v>
      </c>
      <c r="F962" s="1">
        <v>12</v>
      </c>
      <c r="G962" s="4">
        <f>Table1[[#This Row],[stock]]/Table1[[#This Row],[HASIL MIN]]</f>
        <v>4.333333333333333</v>
      </c>
      <c r="H962" s="4">
        <f>Table1[[#This Row],[stock]]/Table1[[#This Row],[HASIL MAX]]</f>
        <v>2.1666666666666665</v>
      </c>
      <c r="I962" s="4"/>
      <c r="J962" s="4"/>
    </row>
    <row r="963" spans="1:10" x14ac:dyDescent="0.25">
      <c r="A963" s="48" t="s">
        <v>1874</v>
      </c>
      <c r="B963" t="s">
        <v>1875</v>
      </c>
      <c r="C963" t="s">
        <v>23209</v>
      </c>
      <c r="D963" s="3">
        <f>VLOOKUP(Table1[[#This Row],[CODE BARANG]],stock!$A:$C,3,)</f>
        <v>13</v>
      </c>
      <c r="E963" s="1">
        <v>4</v>
      </c>
      <c r="F963" s="1">
        <v>6</v>
      </c>
      <c r="G963" s="4">
        <f>Table1[[#This Row],[stock]]/Table1[[#This Row],[HASIL MIN]]</f>
        <v>3.25</v>
      </c>
      <c r="H963" s="4">
        <f>Table1[[#This Row],[stock]]/Table1[[#This Row],[HASIL MAX]]</f>
        <v>2.1666666666666665</v>
      </c>
      <c r="I963" s="4"/>
      <c r="J963" s="4"/>
    </row>
    <row r="964" spans="1:10" x14ac:dyDescent="0.25">
      <c r="A964" s="48" t="s">
        <v>12931</v>
      </c>
      <c r="B964" t="s">
        <v>12932</v>
      </c>
      <c r="C964" t="s">
        <v>23208</v>
      </c>
      <c r="D964" s="3">
        <f>VLOOKUP(Table1[[#This Row],[CODE BARANG]],stock!$A:$C,3,)</f>
        <v>104</v>
      </c>
      <c r="E964" s="1">
        <v>24</v>
      </c>
      <c r="F964" s="1">
        <v>48</v>
      </c>
      <c r="G964" s="4">
        <f>Table1[[#This Row],[stock]]/Table1[[#This Row],[HASIL MIN]]</f>
        <v>4.333333333333333</v>
      </c>
      <c r="H964" s="4">
        <f>Table1[[#This Row],[stock]]/Table1[[#This Row],[HASIL MAX]]</f>
        <v>2.1666666666666665</v>
      </c>
      <c r="I964" s="4"/>
      <c r="J964" s="4"/>
    </row>
    <row r="965" spans="1:10" x14ac:dyDescent="0.25">
      <c r="A965" s="48" t="s">
        <v>1049</v>
      </c>
      <c r="B965" t="s">
        <v>1050</v>
      </c>
      <c r="C965" t="s">
        <v>442</v>
      </c>
      <c r="D965" s="3">
        <f>VLOOKUP(Table1[[#This Row],[CODE BARANG]],stock!$A:$C,3,)</f>
        <v>221</v>
      </c>
      <c r="E965" s="1">
        <v>60</v>
      </c>
      <c r="F965" s="1">
        <v>100</v>
      </c>
      <c r="G965" s="4">
        <f>Table1[[#This Row],[stock]]/Table1[[#This Row],[HASIL MIN]]</f>
        <v>3.6833333333333331</v>
      </c>
      <c r="H965" s="4">
        <f>Table1[[#This Row],[stock]]/Table1[[#This Row],[HASIL MAX]]</f>
        <v>2.21</v>
      </c>
      <c r="I965" s="4"/>
      <c r="J965" s="4"/>
    </row>
    <row r="966" spans="1:10" x14ac:dyDescent="0.25">
      <c r="A966" s="48" t="s">
        <v>1886</v>
      </c>
      <c r="B966" t="s">
        <v>1887</v>
      </c>
      <c r="C966" t="s">
        <v>442</v>
      </c>
      <c r="D966" s="3">
        <f>VLOOKUP(Table1[[#This Row],[CODE BARANG]],stock!$A:$C,3,)</f>
        <v>27</v>
      </c>
      <c r="E966" s="1">
        <v>6</v>
      </c>
      <c r="F966" s="1">
        <v>12</v>
      </c>
      <c r="G966" s="4">
        <f>Table1[[#This Row],[stock]]/Table1[[#This Row],[HASIL MIN]]</f>
        <v>4.5</v>
      </c>
      <c r="H966" s="4">
        <f>Table1[[#This Row],[stock]]/Table1[[#This Row],[HASIL MAX]]</f>
        <v>2.25</v>
      </c>
      <c r="I966" s="4"/>
      <c r="J966" s="4"/>
    </row>
    <row r="967" spans="1:10" x14ac:dyDescent="0.25">
      <c r="A967" s="48" t="s">
        <v>1958</v>
      </c>
      <c r="B967" t="s">
        <v>1959</v>
      </c>
      <c r="C967" t="s">
        <v>23211</v>
      </c>
      <c r="D967" s="3">
        <f>VLOOKUP(Table1[[#This Row],[CODE BARANG]],stock!$A:$C,3,)</f>
        <v>27</v>
      </c>
      <c r="E967" s="1">
        <v>6</v>
      </c>
      <c r="F967" s="1">
        <v>12</v>
      </c>
      <c r="G967" s="4">
        <f>Table1[[#This Row],[stock]]/Table1[[#This Row],[HASIL MIN]]</f>
        <v>4.5</v>
      </c>
      <c r="H967" s="4">
        <f>Table1[[#This Row],[stock]]/Table1[[#This Row],[HASIL MAX]]</f>
        <v>2.25</v>
      </c>
      <c r="I967" s="4"/>
      <c r="J967" s="4"/>
    </row>
    <row r="968" spans="1:10" x14ac:dyDescent="0.25">
      <c r="A968" s="48" t="s">
        <v>1265</v>
      </c>
      <c r="B968" t="s">
        <v>1266</v>
      </c>
      <c r="C968" t="s">
        <v>23210</v>
      </c>
      <c r="D968" s="3">
        <f>VLOOKUP(Table1[[#This Row],[CODE BARANG]],stock!$A:$C,3,)</f>
        <v>34</v>
      </c>
      <c r="E968" s="1">
        <v>10</v>
      </c>
      <c r="F968" s="1">
        <v>15</v>
      </c>
      <c r="G968" s="4">
        <f>Table1[[#This Row],[stock]]/Table1[[#This Row],[HASIL MIN]]</f>
        <v>3.4</v>
      </c>
      <c r="H968" s="4">
        <f>Table1[[#This Row],[stock]]/Table1[[#This Row],[HASIL MAX]]</f>
        <v>2.2666666666666666</v>
      </c>
      <c r="I968" s="4"/>
      <c r="J968" s="4"/>
    </row>
    <row r="969" spans="1:10" x14ac:dyDescent="0.25">
      <c r="A969" s="48" t="s">
        <v>22349</v>
      </c>
      <c r="B969" t="s">
        <v>438</v>
      </c>
      <c r="C969" t="s">
        <v>439</v>
      </c>
      <c r="D969" s="3">
        <f>VLOOKUP(Table1[[#This Row],[CODE BARANG]],stock!$A:$C,3,)</f>
        <v>83</v>
      </c>
      <c r="E969" s="1">
        <v>12</v>
      </c>
      <c r="F969" s="1">
        <v>36</v>
      </c>
      <c r="G969" s="4">
        <f>Table1[[#This Row],[stock]]/Table1[[#This Row],[HASIL MIN]]</f>
        <v>6.916666666666667</v>
      </c>
      <c r="H969" s="4">
        <f>Table1[[#This Row],[stock]]/Table1[[#This Row],[HASIL MAX]]</f>
        <v>2.3055555555555554</v>
      </c>
      <c r="I969" s="4"/>
      <c r="J969" s="4"/>
    </row>
    <row r="970" spans="1:10" x14ac:dyDescent="0.25">
      <c r="A970" s="48" t="s">
        <v>22354</v>
      </c>
      <c r="B970" t="s">
        <v>1240</v>
      </c>
      <c r="C970" t="s">
        <v>442</v>
      </c>
      <c r="D970" s="3">
        <f>VLOOKUP(Table1[[#This Row],[CODE BARANG]],stock!$A:$C,3,)</f>
        <v>28</v>
      </c>
      <c r="E970" s="1">
        <v>6</v>
      </c>
      <c r="F970" s="1">
        <v>12</v>
      </c>
      <c r="G970" s="4">
        <f>Table1[[#This Row],[stock]]/Table1[[#This Row],[HASIL MIN]]</f>
        <v>4.666666666666667</v>
      </c>
      <c r="H970" s="4">
        <f>Table1[[#This Row],[stock]]/Table1[[#This Row],[HASIL MAX]]</f>
        <v>2.3333333333333335</v>
      </c>
      <c r="I970" s="4"/>
      <c r="J970" s="4"/>
    </row>
    <row r="971" spans="1:10" x14ac:dyDescent="0.25">
      <c r="A971" s="48" t="s">
        <v>1183</v>
      </c>
      <c r="B971" t="s">
        <v>1184</v>
      </c>
      <c r="C971" t="s">
        <v>23209</v>
      </c>
      <c r="D971" s="3">
        <f>VLOOKUP(Table1[[#This Row],[CODE BARANG]],stock!$A:$C,3,)</f>
        <v>168</v>
      </c>
      <c r="E971" s="1">
        <v>48</v>
      </c>
      <c r="F971" s="1">
        <v>72</v>
      </c>
      <c r="G971" s="4">
        <f>Table1[[#This Row],[stock]]/Table1[[#This Row],[HASIL MIN]]</f>
        <v>3.5</v>
      </c>
      <c r="H971" s="4">
        <f>Table1[[#This Row],[stock]]/Table1[[#This Row],[HASIL MAX]]</f>
        <v>2.3333333333333335</v>
      </c>
      <c r="I971" s="4"/>
      <c r="J971" s="4"/>
    </row>
    <row r="972" spans="1:10" x14ac:dyDescent="0.25">
      <c r="A972" s="48" t="s">
        <v>1379</v>
      </c>
      <c r="B972" t="s">
        <v>1380</v>
      </c>
      <c r="C972" t="s">
        <v>23209</v>
      </c>
      <c r="D972" s="3">
        <f>VLOOKUP(Table1[[#This Row],[CODE BARANG]],stock!$A:$C,3,)</f>
        <v>47</v>
      </c>
      <c r="E972" s="1">
        <v>12</v>
      </c>
      <c r="F972" s="1">
        <v>20</v>
      </c>
      <c r="G972" s="4">
        <f>Table1[[#This Row],[stock]]/Table1[[#This Row],[HASIL MIN]]</f>
        <v>3.9166666666666665</v>
      </c>
      <c r="H972" s="4">
        <f>Table1[[#This Row],[stock]]/Table1[[#This Row],[HASIL MAX]]</f>
        <v>2.35</v>
      </c>
      <c r="I972" s="4"/>
      <c r="J972" s="4"/>
    </row>
    <row r="973" spans="1:10" x14ac:dyDescent="0.25">
      <c r="A973" s="48" t="s">
        <v>1485</v>
      </c>
      <c r="B973" t="s">
        <v>1486</v>
      </c>
      <c r="C973" t="s">
        <v>23212</v>
      </c>
      <c r="D973" s="3">
        <f>VLOOKUP(Table1[[#This Row],[CODE BARANG]],stock!$A:$C,3,)</f>
        <v>596</v>
      </c>
      <c r="E973" s="1">
        <v>120</v>
      </c>
      <c r="F973" s="1">
        <v>240</v>
      </c>
      <c r="G973" s="4">
        <f>Table1[[#This Row],[stock]]/Table1[[#This Row],[HASIL MIN]]</f>
        <v>4.9666666666666668</v>
      </c>
      <c r="H973" s="4">
        <f>Table1[[#This Row],[stock]]/Table1[[#This Row],[HASIL MAX]]</f>
        <v>2.4833333333333334</v>
      </c>
      <c r="I973" s="4"/>
      <c r="J973" s="4"/>
    </row>
    <row r="974" spans="1:10" x14ac:dyDescent="0.25">
      <c r="A974" s="48" t="s">
        <v>1932</v>
      </c>
      <c r="B974" t="s">
        <v>1933</v>
      </c>
      <c r="C974" t="s">
        <v>23210</v>
      </c>
      <c r="D974" s="3">
        <f>VLOOKUP(Table1[[#This Row],[CODE BARANG]],stock!$A:$C,3,)</f>
        <v>15</v>
      </c>
      <c r="E974" s="1">
        <v>4</v>
      </c>
      <c r="F974" s="1">
        <v>6</v>
      </c>
      <c r="G974" s="4">
        <f>Table1[[#This Row],[stock]]/Table1[[#This Row],[HASIL MIN]]</f>
        <v>3.75</v>
      </c>
      <c r="H974" s="4">
        <f>Table1[[#This Row],[stock]]/Table1[[#This Row],[HASIL MAX]]</f>
        <v>2.5</v>
      </c>
      <c r="I974" s="4"/>
      <c r="J974" s="4"/>
    </row>
    <row r="975" spans="1:10" x14ac:dyDescent="0.25">
      <c r="A975" s="48" t="s">
        <v>1527</v>
      </c>
      <c r="B975" t="s">
        <v>1528</v>
      </c>
      <c r="C975" t="s">
        <v>23214</v>
      </c>
      <c r="D975" s="3">
        <f>VLOOKUP(Table1[[#This Row],[CODE BARANG]],stock!$A:$C,3,)</f>
        <v>100</v>
      </c>
      <c r="E975" s="1">
        <v>60</v>
      </c>
      <c r="F975" s="1">
        <v>40</v>
      </c>
      <c r="G975" s="4">
        <f>Table1[[#This Row],[stock]]/Table1[[#This Row],[HASIL MIN]]</f>
        <v>1.6666666666666667</v>
      </c>
      <c r="H975" s="4">
        <f>Table1[[#This Row],[stock]]/Table1[[#This Row],[HASIL MAX]]</f>
        <v>2.5</v>
      </c>
      <c r="I975" s="4"/>
      <c r="J975" s="4"/>
    </row>
    <row r="976" spans="1:10" x14ac:dyDescent="0.25">
      <c r="A976" s="48" t="s">
        <v>1223</v>
      </c>
      <c r="B976" t="s">
        <v>1224</v>
      </c>
      <c r="C976" t="s">
        <v>23210</v>
      </c>
      <c r="D976" s="3">
        <f>VLOOKUP(Table1[[#This Row],[CODE BARANG]],stock!$A:$C,3,)</f>
        <v>304</v>
      </c>
      <c r="E976" s="1">
        <v>60</v>
      </c>
      <c r="F976" s="1">
        <v>120</v>
      </c>
      <c r="G976" s="4">
        <f>Table1[[#This Row],[stock]]/Table1[[#This Row],[HASIL MIN]]</f>
        <v>5.0666666666666664</v>
      </c>
      <c r="H976" s="4">
        <f>Table1[[#This Row],[stock]]/Table1[[#This Row],[HASIL MAX]]</f>
        <v>2.5333333333333332</v>
      </c>
      <c r="I976" s="4"/>
      <c r="J976" s="4"/>
    </row>
    <row r="977" spans="1:10" x14ac:dyDescent="0.25">
      <c r="A977" s="48" t="s">
        <v>1501</v>
      </c>
      <c r="B977" t="s">
        <v>1502</v>
      </c>
      <c r="C977" t="s">
        <v>23210</v>
      </c>
      <c r="D977" s="3">
        <f>VLOOKUP(Table1[[#This Row],[CODE BARANG]],stock!$A:$C,3,)</f>
        <v>152</v>
      </c>
      <c r="E977" s="1">
        <v>20</v>
      </c>
      <c r="F977" s="1">
        <v>60</v>
      </c>
      <c r="G977" s="4">
        <f>Table1[[#This Row],[stock]]/Table1[[#This Row],[HASIL MIN]]</f>
        <v>7.6</v>
      </c>
      <c r="H977" s="4">
        <f>Table1[[#This Row],[stock]]/Table1[[#This Row],[HASIL MAX]]</f>
        <v>2.5333333333333332</v>
      </c>
      <c r="I977" s="4"/>
      <c r="J977" s="4"/>
    </row>
    <row r="978" spans="1:10" x14ac:dyDescent="0.25">
      <c r="A978" s="48" t="s">
        <v>1761</v>
      </c>
      <c r="B978" t="s">
        <v>1762</v>
      </c>
      <c r="C978" t="s">
        <v>23217</v>
      </c>
      <c r="D978" s="3">
        <f>VLOOKUP(Table1[[#This Row],[CODE BARANG]],stock!$A:$C,3,)</f>
        <v>305</v>
      </c>
      <c r="E978" s="1">
        <v>60</v>
      </c>
      <c r="F978" s="1">
        <v>120</v>
      </c>
      <c r="G978" s="4">
        <f>Table1[[#This Row],[stock]]/Table1[[#This Row],[HASIL MIN]]</f>
        <v>5.083333333333333</v>
      </c>
      <c r="H978" s="4">
        <f>Table1[[#This Row],[stock]]/Table1[[#This Row],[HASIL MAX]]</f>
        <v>2.5416666666666665</v>
      </c>
      <c r="I978" s="4"/>
      <c r="J978" s="4"/>
    </row>
    <row r="979" spans="1:10" x14ac:dyDescent="0.25">
      <c r="A979" s="48" t="s">
        <v>1033</v>
      </c>
      <c r="B979" t="s">
        <v>1034</v>
      </c>
      <c r="C979" t="s">
        <v>912</v>
      </c>
      <c r="D979" s="3">
        <f>VLOOKUP(Table1[[#This Row],[CODE BARANG]],stock!$A:$C,3,)</f>
        <v>31</v>
      </c>
      <c r="E979" s="1">
        <v>6</v>
      </c>
      <c r="F979" s="1">
        <v>12</v>
      </c>
      <c r="G979" s="4">
        <f>Table1[[#This Row],[stock]]/Table1[[#This Row],[HASIL MIN]]</f>
        <v>5.166666666666667</v>
      </c>
      <c r="H979" s="4">
        <f>Table1[[#This Row],[stock]]/Table1[[#This Row],[HASIL MAX]]</f>
        <v>2.5833333333333335</v>
      </c>
      <c r="I979" s="4"/>
      <c r="J979" s="4"/>
    </row>
    <row r="980" spans="1:10" x14ac:dyDescent="0.25">
      <c r="A980" s="48" t="s">
        <v>8481</v>
      </c>
      <c r="B980" t="s">
        <v>8482</v>
      </c>
      <c r="C980" t="s">
        <v>439</v>
      </c>
      <c r="D980" s="3">
        <f>VLOOKUP(Table1[[#This Row],[CODE BARANG]],stock!$A:$C,3,)</f>
        <v>16</v>
      </c>
      <c r="E980" s="1">
        <v>4</v>
      </c>
      <c r="F980" s="1">
        <v>6</v>
      </c>
      <c r="G980" s="4">
        <f>Table1[[#This Row],[stock]]/Table1[[#This Row],[HASIL MIN]]</f>
        <v>4</v>
      </c>
      <c r="H980" s="4">
        <f>Table1[[#This Row],[stock]]/Table1[[#This Row],[HASIL MAX]]</f>
        <v>2.6666666666666665</v>
      </c>
      <c r="I980" s="4"/>
      <c r="J980" s="4"/>
    </row>
    <row r="981" spans="1:10" x14ac:dyDescent="0.25">
      <c r="A981" s="48" t="s">
        <v>7659</v>
      </c>
      <c r="B981" t="s">
        <v>7660</v>
      </c>
      <c r="C981" t="s">
        <v>23212</v>
      </c>
      <c r="D981" s="3">
        <f>VLOOKUP(Table1[[#This Row],[CODE BARANG]],stock!$A:$C,3,)</f>
        <v>66</v>
      </c>
      <c r="E981" s="1">
        <v>17</v>
      </c>
      <c r="F981" s="1">
        <v>24</v>
      </c>
      <c r="G981" s="4">
        <f>Table1[[#This Row],[stock]]/Table1[[#This Row],[HASIL MIN]]</f>
        <v>3.8823529411764706</v>
      </c>
      <c r="H981" s="4">
        <f>Table1[[#This Row],[stock]]/Table1[[#This Row],[HASIL MAX]]</f>
        <v>2.75</v>
      </c>
      <c r="I981" s="4"/>
      <c r="J981" s="4"/>
    </row>
    <row r="982" spans="1:10" x14ac:dyDescent="0.25">
      <c r="A982" s="48" t="s">
        <v>1803</v>
      </c>
      <c r="B982" t="s">
        <v>1804</v>
      </c>
      <c r="C982" t="s">
        <v>23207</v>
      </c>
      <c r="D982" s="3">
        <f>VLOOKUP(Table1[[#This Row],[CODE BARANG]],stock!$A:$C,3,)</f>
        <v>11</v>
      </c>
      <c r="E982" s="1">
        <v>2</v>
      </c>
      <c r="F982" s="1">
        <v>4</v>
      </c>
      <c r="G982" s="4">
        <f>Table1[[#This Row],[stock]]/Table1[[#This Row],[HASIL MIN]]</f>
        <v>5.5</v>
      </c>
      <c r="H982" s="4">
        <f>Table1[[#This Row],[stock]]/Table1[[#This Row],[HASIL MAX]]</f>
        <v>2.75</v>
      </c>
      <c r="I982" s="4"/>
      <c r="J982" s="4"/>
    </row>
    <row r="983" spans="1:10" x14ac:dyDescent="0.25">
      <c r="A983" s="48" t="s">
        <v>935</v>
      </c>
      <c r="B983" t="s">
        <v>936</v>
      </c>
      <c r="C983" t="s">
        <v>23214</v>
      </c>
      <c r="D983" s="3">
        <f>VLOOKUP(Table1[[#This Row],[CODE BARANG]],stock!$A:$C,3,)</f>
        <v>17</v>
      </c>
      <c r="E983" s="1">
        <v>4</v>
      </c>
      <c r="F983" s="1">
        <v>6</v>
      </c>
      <c r="G983" s="4">
        <f>Table1[[#This Row],[stock]]/Table1[[#This Row],[HASIL MIN]]</f>
        <v>4.25</v>
      </c>
      <c r="H983" s="4">
        <f>Table1[[#This Row],[stock]]/Table1[[#This Row],[HASIL MAX]]</f>
        <v>2.8333333333333335</v>
      </c>
      <c r="I983" s="4"/>
      <c r="J983" s="4"/>
    </row>
    <row r="984" spans="1:10" x14ac:dyDescent="0.25">
      <c r="A984" s="48" t="s">
        <v>57</v>
      </c>
      <c r="B984" t="s">
        <v>58</v>
      </c>
      <c r="C984" t="s">
        <v>23208</v>
      </c>
      <c r="D984" s="3">
        <f>VLOOKUP(Table1[[#This Row],[CODE BARANG]],stock!$A:$C,3,)</f>
        <v>139</v>
      </c>
      <c r="E984" s="1">
        <v>24</v>
      </c>
      <c r="F984" s="1">
        <v>48</v>
      </c>
      <c r="G984" s="4">
        <f>Table1[[#This Row],[stock]]/Table1[[#This Row],[HASIL MIN]]</f>
        <v>5.791666666666667</v>
      </c>
      <c r="H984" s="4">
        <f>Table1[[#This Row],[stock]]/Table1[[#This Row],[HASIL MAX]]</f>
        <v>2.8958333333333335</v>
      </c>
      <c r="I984" s="4"/>
      <c r="J984" s="4"/>
    </row>
    <row r="985" spans="1:10" x14ac:dyDescent="0.25">
      <c r="A985" s="48" t="s">
        <v>1910</v>
      </c>
      <c r="B985" t="s">
        <v>1911</v>
      </c>
      <c r="C985" t="s">
        <v>23210</v>
      </c>
      <c r="D985" s="3">
        <f>VLOOKUP(Table1[[#This Row],[CODE BARANG]],stock!$A:$C,3,)</f>
        <v>116</v>
      </c>
      <c r="E985" s="1">
        <v>20</v>
      </c>
      <c r="F985" s="1">
        <v>40</v>
      </c>
      <c r="G985" s="4">
        <f>Table1[[#This Row],[stock]]/Table1[[#This Row],[HASIL MIN]]</f>
        <v>5.8</v>
      </c>
      <c r="H985" s="4">
        <f>Table1[[#This Row],[stock]]/Table1[[#This Row],[HASIL MAX]]</f>
        <v>2.9</v>
      </c>
      <c r="I985" s="4"/>
      <c r="J985" s="4"/>
    </row>
    <row r="986" spans="1:10" x14ac:dyDescent="0.25">
      <c r="A986" s="48" t="s">
        <v>1880</v>
      </c>
      <c r="B986" t="s">
        <v>1881</v>
      </c>
      <c r="C986" t="s">
        <v>23216</v>
      </c>
      <c r="D986" s="3">
        <f>VLOOKUP(Table1[[#This Row],[CODE BARANG]],stock!$A:$C,3,)</f>
        <v>6</v>
      </c>
      <c r="E986" s="1">
        <v>1</v>
      </c>
      <c r="F986" s="1">
        <v>2</v>
      </c>
      <c r="G986" s="4">
        <f>Table1[[#This Row],[stock]]/Table1[[#This Row],[HASIL MIN]]</f>
        <v>6</v>
      </c>
      <c r="H986" s="4">
        <f>Table1[[#This Row],[stock]]/Table1[[#This Row],[HASIL MAX]]</f>
        <v>3</v>
      </c>
      <c r="I986" s="4"/>
      <c r="J986" s="4"/>
    </row>
    <row r="987" spans="1:10" x14ac:dyDescent="0.25">
      <c r="A987" s="48" t="s">
        <v>923</v>
      </c>
      <c r="B987" t="s">
        <v>924</v>
      </c>
      <c r="C987" t="s">
        <v>23214</v>
      </c>
      <c r="D987" s="3">
        <f>VLOOKUP(Table1[[#This Row],[CODE BARANG]],stock!$A:$C,3,)</f>
        <v>18</v>
      </c>
      <c r="E987" s="1">
        <v>4</v>
      </c>
      <c r="F987" s="1">
        <v>6</v>
      </c>
      <c r="G987" s="4">
        <f>Table1[[#This Row],[stock]]/Table1[[#This Row],[HASIL MIN]]</f>
        <v>4.5</v>
      </c>
      <c r="H987" s="4">
        <f>Table1[[#This Row],[stock]]/Table1[[#This Row],[HASIL MAX]]</f>
        <v>3</v>
      </c>
      <c r="I987" s="4"/>
      <c r="J987" s="4"/>
    </row>
    <row r="988" spans="1:10" x14ac:dyDescent="0.25">
      <c r="A988" s="48" t="s">
        <v>1757</v>
      </c>
      <c r="B988" t="s">
        <v>1758</v>
      </c>
      <c r="C988" t="s">
        <v>23215</v>
      </c>
      <c r="D988" s="3">
        <f>VLOOKUP(Table1[[#This Row],[CODE BARANG]],stock!$A:$C,3,)</f>
        <v>18</v>
      </c>
      <c r="E988" s="1">
        <v>4</v>
      </c>
      <c r="F988" s="1">
        <v>6</v>
      </c>
      <c r="G988" s="4">
        <f>Table1[[#This Row],[stock]]/Table1[[#This Row],[HASIL MIN]]</f>
        <v>4.5</v>
      </c>
      <c r="H988" s="4">
        <f>Table1[[#This Row],[stock]]/Table1[[#This Row],[HASIL MAX]]</f>
        <v>3</v>
      </c>
      <c r="I988" s="4"/>
      <c r="J988" s="4"/>
    </row>
    <row r="989" spans="1:10" x14ac:dyDescent="0.25">
      <c r="A989" s="48" t="s">
        <v>791</v>
      </c>
      <c r="B989" t="s">
        <v>792</v>
      </c>
      <c r="C989" t="s">
        <v>23214</v>
      </c>
      <c r="D989" s="3">
        <f>VLOOKUP(Table1[[#This Row],[CODE BARANG]],stock!$A:$C,3,)</f>
        <v>18</v>
      </c>
      <c r="E989" s="1">
        <v>4</v>
      </c>
      <c r="F989" s="1">
        <v>6</v>
      </c>
      <c r="G989" s="4">
        <f>Table1[[#This Row],[stock]]/Table1[[#This Row],[HASIL MIN]]</f>
        <v>4.5</v>
      </c>
      <c r="H989" s="4">
        <f>Table1[[#This Row],[stock]]/Table1[[#This Row],[HASIL MAX]]</f>
        <v>3</v>
      </c>
      <c r="I989" s="4"/>
      <c r="J989" s="4"/>
    </row>
    <row r="990" spans="1:10" x14ac:dyDescent="0.25">
      <c r="A990" s="48" t="s">
        <v>1609</v>
      </c>
      <c r="B990" t="s">
        <v>1610</v>
      </c>
      <c r="C990" t="s">
        <v>23207</v>
      </c>
      <c r="D990" s="3">
        <f>VLOOKUP(Table1[[#This Row],[CODE BARANG]],stock!$A:$C,3,)</f>
        <v>6</v>
      </c>
      <c r="E990" s="1">
        <v>1</v>
      </c>
      <c r="F990" s="1">
        <v>2</v>
      </c>
      <c r="G990" s="4">
        <f>Table1[[#This Row],[stock]]/Table1[[#This Row],[HASIL MIN]]</f>
        <v>6</v>
      </c>
      <c r="H990" s="4">
        <f>Table1[[#This Row],[stock]]/Table1[[#This Row],[HASIL MAX]]</f>
        <v>3</v>
      </c>
      <c r="I990" s="4"/>
      <c r="J990" s="4"/>
    </row>
    <row r="991" spans="1:10" x14ac:dyDescent="0.25">
      <c r="A991" s="48" t="s">
        <v>1175</v>
      </c>
      <c r="B991" t="s">
        <v>1176</v>
      </c>
      <c r="C991" t="s">
        <v>23209</v>
      </c>
      <c r="D991" s="3">
        <f>VLOOKUP(Table1[[#This Row],[CODE BARANG]],stock!$A:$C,3,)</f>
        <v>61</v>
      </c>
      <c r="E991" s="1">
        <v>12</v>
      </c>
      <c r="F991" s="1">
        <v>20</v>
      </c>
      <c r="G991" s="4">
        <f>Table1[[#This Row],[stock]]/Table1[[#This Row],[HASIL MIN]]</f>
        <v>5.083333333333333</v>
      </c>
      <c r="H991" s="4">
        <f>Table1[[#This Row],[stock]]/Table1[[#This Row],[HASIL MAX]]</f>
        <v>3.05</v>
      </c>
      <c r="I991" s="4"/>
      <c r="J991" s="4"/>
    </row>
    <row r="992" spans="1:10" x14ac:dyDescent="0.25">
      <c r="A992" s="48" t="s">
        <v>19549</v>
      </c>
      <c r="B992" t="s">
        <v>19550</v>
      </c>
      <c r="C992" t="s">
        <v>23216</v>
      </c>
      <c r="D992" s="3">
        <f>VLOOKUP(Table1[[#This Row],[CODE BARANG]],stock!$A:$C,3,)</f>
        <v>20</v>
      </c>
      <c r="E992" s="1">
        <v>4</v>
      </c>
      <c r="F992" s="1">
        <v>6</v>
      </c>
      <c r="G992" s="4">
        <f>Table1[[#This Row],[stock]]/Table1[[#This Row],[HASIL MIN]]</f>
        <v>5</v>
      </c>
      <c r="H992" s="4">
        <f>Table1[[#This Row],[stock]]/Table1[[#This Row],[HASIL MAX]]</f>
        <v>3.3333333333333335</v>
      </c>
      <c r="I992" s="4"/>
      <c r="J992" s="4"/>
    </row>
    <row r="993" spans="1:10" x14ac:dyDescent="0.25">
      <c r="A993" s="48" t="s">
        <v>1851</v>
      </c>
      <c r="B993" t="s">
        <v>1852</v>
      </c>
      <c r="C993" t="s">
        <v>23209</v>
      </c>
      <c r="D993" s="3">
        <f>VLOOKUP(Table1[[#This Row],[CODE BARANG]],stock!$A:$C,3,)</f>
        <v>7</v>
      </c>
      <c r="E993" s="1">
        <v>1</v>
      </c>
      <c r="F993" s="1">
        <v>2</v>
      </c>
      <c r="G993" s="4">
        <f>Table1[[#This Row],[stock]]/Table1[[#This Row],[HASIL MIN]]</f>
        <v>7</v>
      </c>
      <c r="H993" s="4">
        <f>Table1[[#This Row],[stock]]/Table1[[#This Row],[HASIL MAX]]</f>
        <v>3.5</v>
      </c>
      <c r="I993" s="4"/>
      <c r="J993" s="4"/>
    </row>
    <row r="994" spans="1:10" x14ac:dyDescent="0.25">
      <c r="A994" s="48" t="s">
        <v>15179</v>
      </c>
      <c r="B994" t="s">
        <v>15180</v>
      </c>
      <c r="C994" t="s">
        <v>23209</v>
      </c>
      <c r="D994" s="3">
        <f>VLOOKUP(Table1[[#This Row],[CODE BARANG]],stock!$A:$C,3,)</f>
        <v>63</v>
      </c>
      <c r="E994" s="1">
        <v>12</v>
      </c>
      <c r="F994" s="1">
        <v>18</v>
      </c>
      <c r="G994" s="4">
        <f>Table1[[#This Row],[stock]]/Table1[[#This Row],[HASIL MIN]]</f>
        <v>5.25</v>
      </c>
      <c r="H994" s="4">
        <f>Table1[[#This Row],[stock]]/Table1[[#This Row],[HASIL MAX]]</f>
        <v>3.5</v>
      </c>
      <c r="I994" s="4"/>
      <c r="J994" s="4"/>
    </row>
    <row r="995" spans="1:10" x14ac:dyDescent="0.25">
      <c r="A995" s="48" t="s">
        <v>22355</v>
      </c>
      <c r="B995" t="s">
        <v>1546</v>
      </c>
      <c r="C995" t="s">
        <v>442</v>
      </c>
      <c r="D995" s="3">
        <f>VLOOKUP(Table1[[#This Row],[CODE BARANG]],stock!$A:$C,3,)</f>
        <v>15</v>
      </c>
      <c r="E995" s="1">
        <v>2</v>
      </c>
      <c r="F995" s="1">
        <v>4</v>
      </c>
      <c r="G995" s="4">
        <f>Table1[[#This Row],[stock]]/Table1[[#This Row],[HASIL MIN]]</f>
        <v>7.5</v>
      </c>
      <c r="H995" s="4">
        <f>Table1[[#This Row],[stock]]/Table1[[#This Row],[HASIL MAX]]</f>
        <v>3.75</v>
      </c>
      <c r="I995" s="4"/>
      <c r="J995" s="4"/>
    </row>
    <row r="996" spans="1:10" x14ac:dyDescent="0.25">
      <c r="A996" s="48" t="s">
        <v>5807</v>
      </c>
      <c r="B996" t="s">
        <v>22168</v>
      </c>
      <c r="C996" t="s">
        <v>23213</v>
      </c>
      <c r="D996" s="3">
        <f>VLOOKUP(Table1[[#This Row],[CODE BARANG]],stock!$A:$C,3,)</f>
        <v>33</v>
      </c>
      <c r="E996" s="1">
        <v>4</v>
      </c>
      <c r="F996" s="1">
        <v>8</v>
      </c>
      <c r="G996" s="4">
        <f>Table1[[#This Row],[stock]]/Table1[[#This Row],[HASIL MIN]]</f>
        <v>8.25</v>
      </c>
      <c r="H996" s="4">
        <f>Table1[[#This Row],[stock]]/Table1[[#This Row],[HASIL MAX]]</f>
        <v>4.125</v>
      </c>
      <c r="I996" s="4"/>
      <c r="J996" s="4"/>
    </row>
    <row r="997" spans="1:10" x14ac:dyDescent="0.25">
      <c r="A997" s="48" t="s">
        <v>1241</v>
      </c>
      <c r="B997" t="s">
        <v>1242</v>
      </c>
      <c r="C997" t="s">
        <v>23209</v>
      </c>
      <c r="D997" s="3">
        <f>VLOOKUP(Table1[[#This Row],[CODE BARANG]],stock!$A:$C,3,)</f>
        <v>110</v>
      </c>
      <c r="E997" s="1">
        <v>16</v>
      </c>
      <c r="F997" s="1">
        <v>24</v>
      </c>
      <c r="G997" s="4">
        <f>Table1[[#This Row],[stock]]/Table1[[#This Row],[HASIL MIN]]</f>
        <v>6.875</v>
      </c>
      <c r="H997" s="4">
        <f>Table1[[#This Row],[stock]]/Table1[[#This Row],[HASIL MAX]]</f>
        <v>4.583333333333333</v>
      </c>
      <c r="I997" s="4"/>
      <c r="J997" s="4"/>
    </row>
    <row r="998" spans="1:10" x14ac:dyDescent="0.25">
      <c r="A998" s="48" t="s">
        <v>7142</v>
      </c>
      <c r="B998" t="s">
        <v>7143</v>
      </c>
      <c r="C998" t="s">
        <v>23213</v>
      </c>
      <c r="D998" s="3">
        <f>VLOOKUP(Table1[[#This Row],[CODE BARANG]],stock!$A:$C,3,)</f>
        <v>89</v>
      </c>
      <c r="E998" s="1">
        <v>8</v>
      </c>
      <c r="F998" s="1">
        <v>16</v>
      </c>
      <c r="G998" s="4">
        <f>Table1[[#This Row],[stock]]/Table1[[#This Row],[HASIL MIN]]</f>
        <v>11.125</v>
      </c>
      <c r="H998" s="4">
        <f>Table1[[#This Row],[stock]]/Table1[[#This Row],[HASIL MAX]]</f>
        <v>5.5625</v>
      </c>
      <c r="I998" s="4"/>
      <c r="J998" s="4"/>
    </row>
    <row r="999" spans="1:10" x14ac:dyDescent="0.25">
      <c r="A999" s="48" t="s">
        <v>1986</v>
      </c>
      <c r="B999" t="s">
        <v>1987</v>
      </c>
      <c r="C999" t="s">
        <v>23211</v>
      </c>
      <c r="D999" s="3">
        <f>VLOOKUP(Table1[[#This Row],[CODE BARANG]],stock!$A:$C,3,)</f>
        <v>135</v>
      </c>
      <c r="E999" s="1">
        <v>12</v>
      </c>
      <c r="F999" s="1">
        <v>24</v>
      </c>
      <c r="G999" s="4">
        <f>Table1[[#This Row],[stock]]/Table1[[#This Row],[HASIL MIN]]</f>
        <v>11.25</v>
      </c>
      <c r="H999" s="4">
        <f>Table1[[#This Row],[stock]]/Table1[[#This Row],[HASIL MAX]]</f>
        <v>5.625</v>
      </c>
      <c r="I999" s="4"/>
      <c r="J999" s="4"/>
    </row>
    <row r="1000" spans="1:10" x14ac:dyDescent="0.25">
      <c r="A1000" s="48" t="s">
        <v>12988</v>
      </c>
      <c r="B1000" t="s">
        <v>12989</v>
      </c>
      <c r="C1000" t="s">
        <v>442</v>
      </c>
      <c r="D1000" s="3">
        <f>VLOOKUP(Table1[[#This Row],[CODE BARANG]],stock!$A:$C,3,)</f>
        <v>144</v>
      </c>
      <c r="E1000" s="1">
        <v>10</v>
      </c>
      <c r="F1000" s="1">
        <v>24</v>
      </c>
      <c r="G1000" s="4">
        <f>Table1[[#This Row],[stock]]/Table1[[#This Row],[HASIL MIN]]</f>
        <v>14.4</v>
      </c>
      <c r="H1000" s="4">
        <f>Table1[[#This Row],[stock]]/Table1[[#This Row],[HASIL MAX]]</f>
        <v>6</v>
      </c>
      <c r="I1000" s="4"/>
      <c r="J1000" s="4"/>
    </row>
    <row r="1001" spans="1:10" x14ac:dyDescent="0.25">
      <c r="A1001" s="48" t="s">
        <v>2004</v>
      </c>
      <c r="B1001" t="s">
        <v>2005</v>
      </c>
      <c r="C1001" t="s">
        <v>439</v>
      </c>
      <c r="D1001" s="3" t="str">
        <f>VLOOKUP(Table1[[#This Row],[CODE BARANG]],stock!$A:$C,3,)</f>
        <v>37.83</v>
      </c>
      <c r="E1001" s="1">
        <v>10</v>
      </c>
      <c r="F1001" s="1">
        <v>12</v>
      </c>
      <c r="G1001" s="4" t="e">
        <f>Table1[[#This Row],[stock]]/Table1[[#This Row],[HASIL MIN]]</f>
        <v>#VALUE!</v>
      </c>
      <c r="H1001" s="4" t="e">
        <f>Table1[[#This Row],[stock]]/Table1[[#This Row],[HASIL MAX]]</f>
        <v>#VALUE!</v>
      </c>
      <c r="I1001" s="4"/>
      <c r="J1001" s="4"/>
    </row>
  </sheetData>
  <mergeCells count="2">
    <mergeCell ref="K2:M2"/>
    <mergeCell ref="N2:P2"/>
  </mergeCells>
  <phoneticPr fontId="8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9" operator="containsText" id="{07C70615-90D6-4EEC-A05F-E2F3C0FDD90C}">
            <xm:f>NOT(ISERROR(SEARCH(#REF!,L1)))</xm:f>
            <xm:f>#REF!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ontainsText" priority="240" operator="containsText" id="{BEF93431-EE2D-4ECC-A94C-4EC18E59BCCB}">
            <xm:f>NOT(ISERROR(SEARCH(#REF!,L1)))</xm:f>
            <xm:f>#REF!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m:sqref>L1 L3:L1048576 O1 O3:O34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E4E4-0588-4905-A793-014C18EBC08C}">
  <dimension ref="A1:C9856"/>
  <sheetViews>
    <sheetView workbookViewId="0">
      <selection activeCell="A14" sqref="A14"/>
    </sheetView>
  </sheetViews>
  <sheetFormatPr defaultRowHeight="15" x14ac:dyDescent="0.25"/>
  <cols>
    <col min="1" max="1" width="17.28515625" bestFit="1" customWidth="1"/>
    <col min="2" max="2" width="55.28515625" bestFit="1" customWidth="1"/>
    <col min="3" max="3" width="7.7109375" style="1" bestFit="1" customWidth="1"/>
  </cols>
  <sheetData>
    <row r="1" spans="1:3" x14ac:dyDescent="0.25">
      <c r="A1" s="48" t="s">
        <v>19867</v>
      </c>
      <c r="B1" t="s">
        <v>19868</v>
      </c>
      <c r="C1" t="s">
        <v>23261</v>
      </c>
    </row>
    <row r="2" spans="1:3" x14ac:dyDescent="0.25">
      <c r="A2" s="48" t="s">
        <v>23050</v>
      </c>
      <c r="B2" t="s">
        <v>16078</v>
      </c>
      <c r="C2">
        <v>2</v>
      </c>
    </row>
    <row r="3" spans="1:3" x14ac:dyDescent="0.25">
      <c r="A3" s="48" t="s">
        <v>23051</v>
      </c>
      <c r="B3" t="s">
        <v>16082</v>
      </c>
      <c r="C3">
        <v>0</v>
      </c>
    </row>
    <row r="4" spans="1:3" x14ac:dyDescent="0.25">
      <c r="A4" s="48" t="s">
        <v>23052</v>
      </c>
      <c r="B4" t="s">
        <v>19869</v>
      </c>
      <c r="C4">
        <v>18</v>
      </c>
    </row>
    <row r="5" spans="1:3" x14ac:dyDescent="0.25">
      <c r="A5" s="48" t="s">
        <v>23053</v>
      </c>
      <c r="B5" t="s">
        <v>19870</v>
      </c>
      <c r="C5">
        <v>12</v>
      </c>
    </row>
    <row r="6" spans="1:3" x14ac:dyDescent="0.25">
      <c r="A6" s="48" t="s">
        <v>23054</v>
      </c>
      <c r="B6" t="s">
        <v>19871</v>
      </c>
      <c r="C6">
        <v>11</v>
      </c>
    </row>
    <row r="7" spans="1:3" x14ac:dyDescent="0.25">
      <c r="A7" s="48" t="s">
        <v>23055</v>
      </c>
      <c r="B7" t="s">
        <v>19872</v>
      </c>
      <c r="C7">
        <v>29</v>
      </c>
    </row>
    <row r="8" spans="1:3" x14ac:dyDescent="0.25">
      <c r="A8" s="48" t="s">
        <v>23056</v>
      </c>
      <c r="B8" t="s">
        <v>19873</v>
      </c>
      <c r="C8">
        <v>76</v>
      </c>
    </row>
    <row r="9" spans="1:3" x14ac:dyDescent="0.25">
      <c r="A9" s="48" t="s">
        <v>23057</v>
      </c>
      <c r="B9" t="s">
        <v>19874</v>
      </c>
      <c r="C9">
        <v>31</v>
      </c>
    </row>
    <row r="10" spans="1:3" x14ac:dyDescent="0.25">
      <c r="A10" s="48" t="s">
        <v>22346</v>
      </c>
      <c r="B10" t="s">
        <v>1646</v>
      </c>
      <c r="C10">
        <v>36</v>
      </c>
    </row>
    <row r="11" spans="1:3" x14ac:dyDescent="0.25">
      <c r="A11" s="48" t="s">
        <v>23058</v>
      </c>
      <c r="B11" t="s">
        <v>6913</v>
      </c>
      <c r="C11">
        <v>18</v>
      </c>
    </row>
    <row r="12" spans="1:3" x14ac:dyDescent="0.25">
      <c r="A12" s="48" t="s">
        <v>23059</v>
      </c>
      <c r="B12" t="s">
        <v>6304</v>
      </c>
      <c r="C12">
        <v>9</v>
      </c>
    </row>
    <row r="13" spans="1:3" x14ac:dyDescent="0.25">
      <c r="A13" s="48" t="s">
        <v>23060</v>
      </c>
      <c r="B13" t="s">
        <v>6322</v>
      </c>
      <c r="C13">
        <v>7</v>
      </c>
    </row>
    <row r="14" spans="1:3" x14ac:dyDescent="0.25">
      <c r="A14" s="48" t="s">
        <v>23061</v>
      </c>
      <c r="B14" t="s">
        <v>19875</v>
      </c>
      <c r="C14">
        <v>0</v>
      </c>
    </row>
    <row r="15" spans="1:3" x14ac:dyDescent="0.25">
      <c r="A15" s="48" t="s">
        <v>23062</v>
      </c>
      <c r="B15" t="s">
        <v>6669</v>
      </c>
      <c r="C15">
        <v>9</v>
      </c>
    </row>
    <row r="16" spans="1:3" x14ac:dyDescent="0.25">
      <c r="A16" s="48" t="s">
        <v>23063</v>
      </c>
      <c r="B16" t="s">
        <v>6667</v>
      </c>
      <c r="C16">
        <v>3</v>
      </c>
    </row>
    <row r="17" spans="1:3" x14ac:dyDescent="0.25">
      <c r="A17" s="48" t="s">
        <v>23064</v>
      </c>
      <c r="B17" t="s">
        <v>6671</v>
      </c>
      <c r="C17">
        <v>0</v>
      </c>
    </row>
    <row r="18" spans="1:3" x14ac:dyDescent="0.25">
      <c r="A18" s="48" t="s">
        <v>23065</v>
      </c>
      <c r="B18" t="s">
        <v>12429</v>
      </c>
      <c r="C18">
        <v>0</v>
      </c>
    </row>
    <row r="19" spans="1:3" x14ac:dyDescent="0.25">
      <c r="A19" s="48" t="s">
        <v>23066</v>
      </c>
      <c r="B19" t="s">
        <v>3896</v>
      </c>
      <c r="C19">
        <v>0</v>
      </c>
    </row>
    <row r="20" spans="1:3" x14ac:dyDescent="0.25">
      <c r="A20" s="48" t="s">
        <v>23067</v>
      </c>
      <c r="B20" t="s">
        <v>3870</v>
      </c>
      <c r="C20">
        <v>4</v>
      </c>
    </row>
    <row r="21" spans="1:3" x14ac:dyDescent="0.25">
      <c r="A21" s="48" t="s">
        <v>23068</v>
      </c>
      <c r="B21" t="s">
        <v>3908</v>
      </c>
      <c r="C21">
        <v>0</v>
      </c>
    </row>
    <row r="22" spans="1:3" x14ac:dyDescent="0.25">
      <c r="A22" s="48" t="s">
        <v>23069</v>
      </c>
      <c r="B22" t="s">
        <v>3904</v>
      </c>
      <c r="C22">
        <v>0</v>
      </c>
    </row>
    <row r="23" spans="1:3" x14ac:dyDescent="0.25">
      <c r="A23" s="48" t="s">
        <v>23070</v>
      </c>
      <c r="B23" t="s">
        <v>3892</v>
      </c>
      <c r="C23">
        <v>4</v>
      </c>
    </row>
    <row r="24" spans="1:3" x14ac:dyDescent="0.25">
      <c r="A24" s="48" t="s">
        <v>23071</v>
      </c>
      <c r="B24" t="s">
        <v>3920</v>
      </c>
      <c r="C24">
        <v>2</v>
      </c>
    </row>
    <row r="25" spans="1:3" x14ac:dyDescent="0.25">
      <c r="A25" s="48" t="s">
        <v>23072</v>
      </c>
      <c r="B25" t="s">
        <v>3878</v>
      </c>
      <c r="C25">
        <v>0</v>
      </c>
    </row>
    <row r="26" spans="1:3" x14ac:dyDescent="0.25">
      <c r="A26" s="48" t="s">
        <v>23073</v>
      </c>
      <c r="B26" t="s">
        <v>3884</v>
      </c>
      <c r="C26">
        <v>3</v>
      </c>
    </row>
    <row r="27" spans="1:3" x14ac:dyDescent="0.25">
      <c r="A27" s="48" t="s">
        <v>23074</v>
      </c>
      <c r="B27" t="s">
        <v>3888</v>
      </c>
      <c r="C27">
        <v>0</v>
      </c>
    </row>
    <row r="28" spans="1:3" x14ac:dyDescent="0.25">
      <c r="A28" s="48" t="s">
        <v>23075</v>
      </c>
      <c r="B28" t="s">
        <v>3930</v>
      </c>
      <c r="C28">
        <v>0</v>
      </c>
    </row>
    <row r="29" spans="1:3" x14ac:dyDescent="0.25">
      <c r="A29" s="48" t="s">
        <v>23076</v>
      </c>
      <c r="B29" t="s">
        <v>3868</v>
      </c>
      <c r="C29">
        <v>3</v>
      </c>
    </row>
    <row r="30" spans="1:3" x14ac:dyDescent="0.25">
      <c r="A30" s="48" t="s">
        <v>23077</v>
      </c>
      <c r="B30" t="s">
        <v>3894</v>
      </c>
      <c r="C30">
        <v>0</v>
      </c>
    </row>
    <row r="31" spans="1:3" x14ac:dyDescent="0.25">
      <c r="A31" s="48" t="s">
        <v>23078</v>
      </c>
      <c r="B31" t="s">
        <v>3922</v>
      </c>
      <c r="C31">
        <v>1</v>
      </c>
    </row>
    <row r="32" spans="1:3" x14ac:dyDescent="0.25">
      <c r="A32" s="48" t="s">
        <v>23079</v>
      </c>
      <c r="B32" t="s">
        <v>3882</v>
      </c>
      <c r="C32">
        <v>1</v>
      </c>
    </row>
    <row r="33" spans="1:3" x14ac:dyDescent="0.25">
      <c r="A33" s="48" t="s">
        <v>23080</v>
      </c>
      <c r="B33" t="s">
        <v>3914</v>
      </c>
      <c r="C33">
        <v>0</v>
      </c>
    </row>
    <row r="34" spans="1:3" x14ac:dyDescent="0.25">
      <c r="A34" s="48" t="s">
        <v>23081</v>
      </c>
      <c r="B34" t="s">
        <v>3886</v>
      </c>
      <c r="C34">
        <v>1</v>
      </c>
    </row>
    <row r="35" spans="1:3" x14ac:dyDescent="0.25">
      <c r="A35" s="48" t="s">
        <v>23082</v>
      </c>
      <c r="B35" t="s">
        <v>3876</v>
      </c>
      <c r="C35">
        <v>0</v>
      </c>
    </row>
    <row r="36" spans="1:3" x14ac:dyDescent="0.25">
      <c r="A36" s="48" t="s">
        <v>23083</v>
      </c>
      <c r="B36" t="s">
        <v>3902</v>
      </c>
      <c r="C36">
        <v>0</v>
      </c>
    </row>
    <row r="37" spans="1:3" x14ac:dyDescent="0.25">
      <c r="A37" s="48" t="s">
        <v>23084</v>
      </c>
      <c r="B37" t="s">
        <v>3880</v>
      </c>
      <c r="C37">
        <v>0</v>
      </c>
    </row>
    <row r="38" spans="1:3" x14ac:dyDescent="0.25">
      <c r="A38" s="48" t="s">
        <v>23085</v>
      </c>
      <c r="B38" t="s">
        <v>3898</v>
      </c>
      <c r="C38">
        <v>0</v>
      </c>
    </row>
    <row r="39" spans="1:3" x14ac:dyDescent="0.25">
      <c r="A39" s="48" t="s">
        <v>23086</v>
      </c>
      <c r="B39" t="s">
        <v>3910</v>
      </c>
      <c r="C39">
        <v>0</v>
      </c>
    </row>
    <row r="40" spans="1:3" x14ac:dyDescent="0.25">
      <c r="A40" s="48" t="s">
        <v>23087</v>
      </c>
      <c r="B40" t="s">
        <v>3872</v>
      </c>
      <c r="C40">
        <v>0</v>
      </c>
    </row>
    <row r="41" spans="1:3" x14ac:dyDescent="0.25">
      <c r="A41" s="48" t="s">
        <v>23088</v>
      </c>
      <c r="B41" t="s">
        <v>3912</v>
      </c>
      <c r="C41">
        <v>0</v>
      </c>
    </row>
    <row r="42" spans="1:3" x14ac:dyDescent="0.25">
      <c r="A42" s="48" t="s">
        <v>23089</v>
      </c>
      <c r="B42" t="s">
        <v>3890</v>
      </c>
      <c r="C42">
        <v>1</v>
      </c>
    </row>
    <row r="43" spans="1:3" x14ac:dyDescent="0.25">
      <c r="A43" s="48" t="s">
        <v>23090</v>
      </c>
      <c r="B43" t="s">
        <v>3906</v>
      </c>
      <c r="C43">
        <v>0</v>
      </c>
    </row>
    <row r="44" spans="1:3" x14ac:dyDescent="0.25">
      <c r="A44" s="48" t="s">
        <v>23091</v>
      </c>
      <c r="B44" t="s">
        <v>3874</v>
      </c>
      <c r="C44">
        <v>0</v>
      </c>
    </row>
    <row r="45" spans="1:3" x14ac:dyDescent="0.25">
      <c r="A45" s="48" t="s">
        <v>23092</v>
      </c>
      <c r="B45" t="s">
        <v>3924</v>
      </c>
      <c r="C45">
        <v>0</v>
      </c>
    </row>
    <row r="46" spans="1:3" x14ac:dyDescent="0.25">
      <c r="A46" s="48" t="s">
        <v>23093</v>
      </c>
      <c r="B46" t="s">
        <v>3900</v>
      </c>
      <c r="C46">
        <v>1</v>
      </c>
    </row>
    <row r="47" spans="1:3" x14ac:dyDescent="0.25">
      <c r="A47" s="48" t="s">
        <v>23094</v>
      </c>
      <c r="B47" t="s">
        <v>3926</v>
      </c>
      <c r="C47">
        <v>0</v>
      </c>
    </row>
    <row r="48" spans="1:3" x14ac:dyDescent="0.25">
      <c r="A48" s="48" t="s">
        <v>23095</v>
      </c>
      <c r="B48" t="s">
        <v>3918</v>
      </c>
      <c r="C48">
        <v>0</v>
      </c>
    </row>
    <row r="49" spans="1:3" x14ac:dyDescent="0.25">
      <c r="A49" s="48" t="s">
        <v>23096</v>
      </c>
      <c r="B49" t="s">
        <v>3928</v>
      </c>
      <c r="C49">
        <v>1</v>
      </c>
    </row>
    <row r="50" spans="1:3" x14ac:dyDescent="0.25">
      <c r="A50" s="48" t="s">
        <v>23097</v>
      </c>
      <c r="B50" t="s">
        <v>3916</v>
      </c>
      <c r="C50">
        <v>3</v>
      </c>
    </row>
    <row r="51" spans="1:3" x14ac:dyDescent="0.25">
      <c r="A51" s="48" t="s">
        <v>23098</v>
      </c>
      <c r="B51" t="s">
        <v>7721</v>
      </c>
      <c r="C51">
        <v>3</v>
      </c>
    </row>
    <row r="52" spans="1:3" x14ac:dyDescent="0.25">
      <c r="A52" s="48" t="s">
        <v>22347</v>
      </c>
      <c r="B52" t="s">
        <v>911</v>
      </c>
      <c r="C52">
        <v>3</v>
      </c>
    </row>
    <row r="53" spans="1:3" x14ac:dyDescent="0.25">
      <c r="A53" s="48" t="s">
        <v>23099</v>
      </c>
      <c r="B53" t="s">
        <v>13992</v>
      </c>
      <c r="C53">
        <v>18</v>
      </c>
    </row>
    <row r="54" spans="1:3" x14ac:dyDescent="0.25">
      <c r="A54" s="48" t="s">
        <v>23100</v>
      </c>
      <c r="B54" t="s">
        <v>19876</v>
      </c>
      <c r="C54">
        <v>4</v>
      </c>
    </row>
    <row r="55" spans="1:3" x14ac:dyDescent="0.25">
      <c r="A55" s="48" t="s">
        <v>23101</v>
      </c>
      <c r="B55" t="s">
        <v>13982</v>
      </c>
      <c r="C55">
        <v>5</v>
      </c>
    </row>
    <row r="56" spans="1:3" x14ac:dyDescent="0.25">
      <c r="A56" s="48" t="s">
        <v>23102</v>
      </c>
      <c r="B56" t="s">
        <v>3626</v>
      </c>
      <c r="C56">
        <v>5</v>
      </c>
    </row>
    <row r="57" spans="1:3" x14ac:dyDescent="0.25">
      <c r="A57" s="48" t="s">
        <v>23103</v>
      </c>
      <c r="B57" t="s">
        <v>3632</v>
      </c>
      <c r="C57">
        <v>0</v>
      </c>
    </row>
    <row r="58" spans="1:3" x14ac:dyDescent="0.25">
      <c r="A58" s="48" t="s">
        <v>23104</v>
      </c>
      <c r="B58" t="s">
        <v>3628</v>
      </c>
      <c r="C58">
        <v>0</v>
      </c>
    </row>
    <row r="59" spans="1:3" x14ac:dyDescent="0.25">
      <c r="A59" s="48" t="s">
        <v>23105</v>
      </c>
      <c r="B59" t="s">
        <v>3634</v>
      </c>
      <c r="C59">
        <v>1</v>
      </c>
    </row>
    <row r="60" spans="1:3" x14ac:dyDescent="0.25">
      <c r="A60" s="48" t="s">
        <v>23106</v>
      </c>
      <c r="B60" t="s">
        <v>3630</v>
      </c>
      <c r="C60">
        <v>1</v>
      </c>
    </row>
    <row r="61" spans="1:3" x14ac:dyDescent="0.25">
      <c r="A61" s="48" t="s">
        <v>22348</v>
      </c>
      <c r="B61" t="s">
        <v>1858</v>
      </c>
      <c r="C61">
        <v>8</v>
      </c>
    </row>
    <row r="62" spans="1:3" x14ac:dyDescent="0.25">
      <c r="A62" s="48" t="s">
        <v>22349</v>
      </c>
      <c r="B62" t="s">
        <v>438</v>
      </c>
      <c r="C62">
        <v>83</v>
      </c>
    </row>
    <row r="63" spans="1:3" x14ac:dyDescent="0.25">
      <c r="A63" s="48" t="s">
        <v>22350</v>
      </c>
      <c r="B63" t="s">
        <v>1334</v>
      </c>
      <c r="C63">
        <v>170</v>
      </c>
    </row>
    <row r="64" spans="1:3" x14ac:dyDescent="0.25">
      <c r="A64" s="48" t="s">
        <v>23107</v>
      </c>
      <c r="B64" t="s">
        <v>16076</v>
      </c>
      <c r="C64">
        <v>6</v>
      </c>
    </row>
    <row r="65" spans="1:3" x14ac:dyDescent="0.25">
      <c r="A65" s="48" t="s">
        <v>23108</v>
      </c>
      <c r="B65" t="s">
        <v>16080</v>
      </c>
      <c r="C65">
        <v>1</v>
      </c>
    </row>
    <row r="66" spans="1:3" x14ac:dyDescent="0.25">
      <c r="A66" s="48" t="s">
        <v>23109</v>
      </c>
      <c r="B66" t="s">
        <v>19877</v>
      </c>
      <c r="C66">
        <v>1</v>
      </c>
    </row>
    <row r="67" spans="1:3" x14ac:dyDescent="0.25">
      <c r="A67" s="48" t="s">
        <v>23110</v>
      </c>
      <c r="B67" t="s">
        <v>8617</v>
      </c>
      <c r="C67">
        <v>0</v>
      </c>
    </row>
    <row r="68" spans="1:3" x14ac:dyDescent="0.25">
      <c r="A68" s="48" t="s">
        <v>23111</v>
      </c>
      <c r="B68" t="s">
        <v>19878</v>
      </c>
      <c r="C68">
        <v>0</v>
      </c>
    </row>
    <row r="69" spans="1:3" x14ac:dyDescent="0.25">
      <c r="A69" s="48" t="s">
        <v>23112</v>
      </c>
      <c r="B69" t="s">
        <v>6725</v>
      </c>
      <c r="C69">
        <v>0</v>
      </c>
    </row>
    <row r="70" spans="1:3" x14ac:dyDescent="0.25">
      <c r="A70" s="48" t="s">
        <v>23113</v>
      </c>
      <c r="B70" t="s">
        <v>19879</v>
      </c>
      <c r="C70">
        <v>2</v>
      </c>
    </row>
    <row r="71" spans="1:3" x14ac:dyDescent="0.25">
      <c r="A71" s="48" t="s">
        <v>23114</v>
      </c>
      <c r="B71" t="s">
        <v>4583</v>
      </c>
      <c r="C71">
        <v>2</v>
      </c>
    </row>
    <row r="72" spans="1:3" x14ac:dyDescent="0.25">
      <c r="A72" s="48" t="s">
        <v>23115</v>
      </c>
      <c r="B72" t="s">
        <v>22916</v>
      </c>
      <c r="C72">
        <v>4</v>
      </c>
    </row>
    <row r="73" spans="1:3" x14ac:dyDescent="0.25">
      <c r="A73" s="48" t="s">
        <v>23116</v>
      </c>
      <c r="B73" t="s">
        <v>11197</v>
      </c>
      <c r="C73">
        <v>0</v>
      </c>
    </row>
    <row r="74" spans="1:3" x14ac:dyDescent="0.25">
      <c r="A74" s="48" t="s">
        <v>23117</v>
      </c>
      <c r="B74" t="s">
        <v>11171</v>
      </c>
      <c r="C74">
        <v>18</v>
      </c>
    </row>
    <row r="75" spans="1:3" x14ac:dyDescent="0.25">
      <c r="A75" s="48" t="s">
        <v>23118</v>
      </c>
      <c r="B75" t="s">
        <v>11199</v>
      </c>
      <c r="C75">
        <v>0</v>
      </c>
    </row>
    <row r="76" spans="1:3" x14ac:dyDescent="0.25">
      <c r="A76" s="48" t="s">
        <v>23119</v>
      </c>
      <c r="B76" t="s">
        <v>11165</v>
      </c>
      <c r="C76">
        <v>0</v>
      </c>
    </row>
    <row r="77" spans="1:3" x14ac:dyDescent="0.25">
      <c r="A77" s="48" t="s">
        <v>23120</v>
      </c>
      <c r="B77" t="s">
        <v>11163</v>
      </c>
      <c r="C77">
        <v>1</v>
      </c>
    </row>
    <row r="78" spans="1:3" x14ac:dyDescent="0.25">
      <c r="A78" s="48" t="s">
        <v>23121</v>
      </c>
      <c r="B78" t="s">
        <v>11159</v>
      </c>
      <c r="C78">
        <v>12</v>
      </c>
    </row>
    <row r="79" spans="1:3" x14ac:dyDescent="0.25">
      <c r="A79" s="48" t="s">
        <v>23122</v>
      </c>
      <c r="B79" t="s">
        <v>11161</v>
      </c>
      <c r="C79">
        <v>11</v>
      </c>
    </row>
    <row r="80" spans="1:3" x14ac:dyDescent="0.25">
      <c r="A80" s="48" t="s">
        <v>22351</v>
      </c>
      <c r="B80" t="s">
        <v>1899</v>
      </c>
      <c r="C80">
        <v>23</v>
      </c>
    </row>
    <row r="81" spans="1:3" x14ac:dyDescent="0.25">
      <c r="A81" s="48" t="s">
        <v>23123</v>
      </c>
      <c r="B81" t="s">
        <v>11157</v>
      </c>
      <c r="C81">
        <v>0</v>
      </c>
    </row>
    <row r="82" spans="1:3" x14ac:dyDescent="0.25">
      <c r="A82" s="48" t="s">
        <v>23124</v>
      </c>
      <c r="B82" t="s">
        <v>11195</v>
      </c>
      <c r="C82">
        <v>0</v>
      </c>
    </row>
    <row r="83" spans="1:3" x14ac:dyDescent="0.25">
      <c r="A83" s="48" t="s">
        <v>23125</v>
      </c>
      <c r="B83" t="s">
        <v>11185</v>
      </c>
      <c r="C83">
        <v>10</v>
      </c>
    </row>
    <row r="84" spans="1:3" x14ac:dyDescent="0.25">
      <c r="A84" s="48" t="s">
        <v>23126</v>
      </c>
      <c r="B84" t="s">
        <v>11153</v>
      </c>
      <c r="C84">
        <v>0</v>
      </c>
    </row>
    <row r="85" spans="1:3" x14ac:dyDescent="0.25">
      <c r="A85" s="48" t="s">
        <v>23127</v>
      </c>
      <c r="B85" t="s">
        <v>11169</v>
      </c>
      <c r="C85">
        <v>0</v>
      </c>
    </row>
    <row r="86" spans="1:3" x14ac:dyDescent="0.25">
      <c r="A86" s="48" t="s">
        <v>23128</v>
      </c>
      <c r="B86" t="s">
        <v>11155</v>
      </c>
      <c r="C86">
        <v>18</v>
      </c>
    </row>
    <row r="87" spans="1:3" x14ac:dyDescent="0.25">
      <c r="A87" s="48" t="s">
        <v>23129</v>
      </c>
      <c r="B87" t="s">
        <v>11989</v>
      </c>
      <c r="C87">
        <v>0</v>
      </c>
    </row>
    <row r="88" spans="1:3" x14ac:dyDescent="0.25">
      <c r="A88" s="48" t="s">
        <v>23130</v>
      </c>
      <c r="B88" t="s">
        <v>11985</v>
      </c>
      <c r="C88">
        <v>1</v>
      </c>
    </row>
    <row r="89" spans="1:3" x14ac:dyDescent="0.25">
      <c r="A89" s="48" t="s">
        <v>23131</v>
      </c>
      <c r="B89" t="s">
        <v>11987</v>
      </c>
      <c r="C89">
        <v>0</v>
      </c>
    </row>
    <row r="90" spans="1:3" x14ac:dyDescent="0.25">
      <c r="A90" s="48" t="s">
        <v>23132</v>
      </c>
      <c r="B90" t="s">
        <v>11190</v>
      </c>
      <c r="C90">
        <v>0</v>
      </c>
    </row>
    <row r="91" spans="1:3" x14ac:dyDescent="0.25">
      <c r="A91" s="48" t="s">
        <v>23133</v>
      </c>
      <c r="B91" t="s">
        <v>11179</v>
      </c>
      <c r="C91">
        <v>26</v>
      </c>
    </row>
    <row r="92" spans="1:3" x14ac:dyDescent="0.25">
      <c r="A92" s="48" t="s">
        <v>22352</v>
      </c>
      <c r="B92" t="s">
        <v>1744</v>
      </c>
      <c r="C92">
        <v>17</v>
      </c>
    </row>
    <row r="93" spans="1:3" x14ac:dyDescent="0.25">
      <c r="A93" s="48" t="s">
        <v>23134</v>
      </c>
      <c r="B93" t="s">
        <v>11188</v>
      </c>
      <c r="C93">
        <v>10</v>
      </c>
    </row>
    <row r="94" spans="1:3" x14ac:dyDescent="0.25">
      <c r="A94" s="48" t="s">
        <v>23135</v>
      </c>
      <c r="B94" t="s">
        <v>11192</v>
      </c>
      <c r="C94">
        <v>3</v>
      </c>
    </row>
    <row r="95" spans="1:3" x14ac:dyDescent="0.25">
      <c r="A95" s="48" t="s">
        <v>22353</v>
      </c>
      <c r="B95" t="s">
        <v>696</v>
      </c>
      <c r="C95">
        <v>12</v>
      </c>
    </row>
    <row r="96" spans="1:3" x14ac:dyDescent="0.25">
      <c r="A96" s="48" t="s">
        <v>22354</v>
      </c>
      <c r="B96" t="s">
        <v>1240</v>
      </c>
      <c r="C96">
        <v>28</v>
      </c>
    </row>
    <row r="97" spans="1:3" x14ac:dyDescent="0.25">
      <c r="A97" s="48" t="s">
        <v>23136</v>
      </c>
      <c r="B97" t="s">
        <v>11183</v>
      </c>
      <c r="C97">
        <v>13</v>
      </c>
    </row>
    <row r="98" spans="1:3" x14ac:dyDescent="0.25">
      <c r="A98" s="48" t="s">
        <v>23137</v>
      </c>
      <c r="B98" t="s">
        <v>11175</v>
      </c>
      <c r="C98">
        <v>8</v>
      </c>
    </row>
    <row r="99" spans="1:3" x14ac:dyDescent="0.25">
      <c r="A99" s="48" t="s">
        <v>23138</v>
      </c>
      <c r="B99" t="s">
        <v>11177</v>
      </c>
      <c r="C99">
        <v>0</v>
      </c>
    </row>
    <row r="100" spans="1:3" x14ac:dyDescent="0.25">
      <c r="A100" s="48" t="s">
        <v>22355</v>
      </c>
      <c r="B100" t="s">
        <v>1546</v>
      </c>
      <c r="C100">
        <v>15</v>
      </c>
    </row>
    <row r="101" spans="1:3" x14ac:dyDescent="0.25">
      <c r="A101" s="48" t="s">
        <v>23139</v>
      </c>
      <c r="B101" t="s">
        <v>11173</v>
      </c>
      <c r="C101">
        <v>4</v>
      </c>
    </row>
    <row r="102" spans="1:3" x14ac:dyDescent="0.25">
      <c r="A102" s="48" t="s">
        <v>23140</v>
      </c>
      <c r="B102" t="s">
        <v>19880</v>
      </c>
      <c r="C102">
        <v>5</v>
      </c>
    </row>
    <row r="103" spans="1:3" x14ac:dyDescent="0.25">
      <c r="A103" s="48" t="s">
        <v>23141</v>
      </c>
      <c r="B103" t="s">
        <v>19881</v>
      </c>
      <c r="C103">
        <v>0</v>
      </c>
    </row>
    <row r="104" spans="1:3" x14ac:dyDescent="0.25">
      <c r="A104" s="48" t="s">
        <v>23142</v>
      </c>
      <c r="B104" t="s">
        <v>8771</v>
      </c>
      <c r="C104">
        <v>51</v>
      </c>
    </row>
    <row r="105" spans="1:3" x14ac:dyDescent="0.25">
      <c r="A105" s="48" t="s">
        <v>23143</v>
      </c>
      <c r="B105" t="s">
        <v>10452</v>
      </c>
      <c r="C105">
        <v>18</v>
      </c>
    </row>
    <row r="106" spans="1:3" x14ac:dyDescent="0.25">
      <c r="A106" s="48" t="s">
        <v>23144</v>
      </c>
      <c r="B106" t="s">
        <v>8685</v>
      </c>
      <c r="C106">
        <v>24</v>
      </c>
    </row>
    <row r="107" spans="1:3" x14ac:dyDescent="0.25">
      <c r="A107" s="48" t="s">
        <v>23145</v>
      </c>
      <c r="B107" t="s">
        <v>8687</v>
      </c>
      <c r="C107">
        <v>18</v>
      </c>
    </row>
    <row r="108" spans="1:3" x14ac:dyDescent="0.25">
      <c r="A108" s="48" t="s">
        <v>23146</v>
      </c>
      <c r="B108" t="s">
        <v>8667</v>
      </c>
      <c r="C108">
        <v>0</v>
      </c>
    </row>
    <row r="109" spans="1:3" x14ac:dyDescent="0.25">
      <c r="A109" s="48" t="s">
        <v>23147</v>
      </c>
      <c r="B109" t="s">
        <v>8665</v>
      </c>
      <c r="C109">
        <v>14</v>
      </c>
    </row>
    <row r="110" spans="1:3" x14ac:dyDescent="0.25">
      <c r="A110" s="48" t="s">
        <v>23148</v>
      </c>
      <c r="B110" t="s">
        <v>8669</v>
      </c>
      <c r="C110">
        <v>1</v>
      </c>
    </row>
    <row r="111" spans="1:3" x14ac:dyDescent="0.25">
      <c r="A111" s="48" t="s">
        <v>23149</v>
      </c>
      <c r="B111" t="s">
        <v>19882</v>
      </c>
      <c r="C111">
        <v>16</v>
      </c>
    </row>
    <row r="112" spans="1:3" x14ac:dyDescent="0.25">
      <c r="A112" s="48" t="s">
        <v>23150</v>
      </c>
      <c r="B112" t="s">
        <v>19883</v>
      </c>
      <c r="C112">
        <v>54</v>
      </c>
    </row>
    <row r="113" spans="1:3" x14ac:dyDescent="0.25">
      <c r="A113" s="48" t="s">
        <v>23151</v>
      </c>
      <c r="B113" t="s">
        <v>19884</v>
      </c>
      <c r="C113">
        <v>0</v>
      </c>
    </row>
    <row r="114" spans="1:3" x14ac:dyDescent="0.25">
      <c r="A114" s="48" t="s">
        <v>23152</v>
      </c>
      <c r="B114" t="s">
        <v>8691</v>
      </c>
      <c r="C114">
        <v>3</v>
      </c>
    </row>
    <row r="115" spans="1:3" x14ac:dyDescent="0.25">
      <c r="A115" s="48" t="s">
        <v>23153</v>
      </c>
      <c r="B115" t="s">
        <v>8693</v>
      </c>
      <c r="C115">
        <v>16</v>
      </c>
    </row>
    <row r="116" spans="1:3" x14ac:dyDescent="0.25">
      <c r="A116" s="48" t="s">
        <v>23154</v>
      </c>
      <c r="B116" t="s">
        <v>8689</v>
      </c>
      <c r="C116">
        <v>9</v>
      </c>
    </row>
    <row r="117" spans="1:3" x14ac:dyDescent="0.25">
      <c r="A117" s="48" t="s">
        <v>23155</v>
      </c>
      <c r="B117" t="s">
        <v>8707</v>
      </c>
      <c r="C117">
        <v>1</v>
      </c>
    </row>
    <row r="118" spans="1:3" x14ac:dyDescent="0.25">
      <c r="A118" s="48" t="s">
        <v>23156</v>
      </c>
      <c r="B118" t="s">
        <v>8709</v>
      </c>
      <c r="C118">
        <v>7</v>
      </c>
    </row>
    <row r="119" spans="1:3" x14ac:dyDescent="0.25">
      <c r="A119" s="48" t="s">
        <v>23157</v>
      </c>
      <c r="B119" t="s">
        <v>19885</v>
      </c>
      <c r="C119">
        <v>0</v>
      </c>
    </row>
    <row r="120" spans="1:3" x14ac:dyDescent="0.25">
      <c r="A120" s="48" t="s">
        <v>23158</v>
      </c>
      <c r="B120" t="s">
        <v>15964</v>
      </c>
      <c r="C120">
        <v>0</v>
      </c>
    </row>
    <row r="121" spans="1:3" x14ac:dyDescent="0.25">
      <c r="A121" s="48" t="s">
        <v>23159</v>
      </c>
      <c r="B121" t="s">
        <v>19886</v>
      </c>
      <c r="C121">
        <v>0</v>
      </c>
    </row>
    <row r="122" spans="1:3" x14ac:dyDescent="0.25">
      <c r="A122" s="48" t="s">
        <v>23160</v>
      </c>
      <c r="B122" t="s">
        <v>19887</v>
      </c>
      <c r="C122">
        <v>17</v>
      </c>
    </row>
    <row r="123" spans="1:3" x14ac:dyDescent="0.25">
      <c r="A123" s="48" t="s">
        <v>23161</v>
      </c>
      <c r="B123" t="s">
        <v>8793</v>
      </c>
      <c r="C123">
        <v>25</v>
      </c>
    </row>
    <row r="124" spans="1:3" x14ac:dyDescent="0.25">
      <c r="A124" s="48" t="s">
        <v>23162</v>
      </c>
      <c r="B124" t="s">
        <v>8703</v>
      </c>
      <c r="C124">
        <v>8</v>
      </c>
    </row>
    <row r="125" spans="1:3" x14ac:dyDescent="0.25">
      <c r="A125" s="48" t="s">
        <v>23163</v>
      </c>
      <c r="B125" t="s">
        <v>8697</v>
      </c>
      <c r="C125">
        <v>3</v>
      </c>
    </row>
    <row r="126" spans="1:3" x14ac:dyDescent="0.25">
      <c r="A126" s="48" t="s">
        <v>23164</v>
      </c>
      <c r="B126" t="s">
        <v>19888</v>
      </c>
      <c r="C126">
        <v>9</v>
      </c>
    </row>
    <row r="127" spans="1:3" x14ac:dyDescent="0.25">
      <c r="A127" s="48" t="s">
        <v>23165</v>
      </c>
      <c r="B127" t="s">
        <v>8789</v>
      </c>
      <c r="C127">
        <v>7</v>
      </c>
    </row>
    <row r="128" spans="1:3" x14ac:dyDescent="0.25">
      <c r="A128" s="48" t="s">
        <v>23166</v>
      </c>
      <c r="B128" t="s">
        <v>8791</v>
      </c>
      <c r="C128">
        <v>8</v>
      </c>
    </row>
    <row r="129" spans="1:3" x14ac:dyDescent="0.25">
      <c r="A129" s="48" t="s">
        <v>23167</v>
      </c>
      <c r="B129" t="s">
        <v>8787</v>
      </c>
      <c r="C129">
        <v>3</v>
      </c>
    </row>
    <row r="130" spans="1:3" x14ac:dyDescent="0.25">
      <c r="A130" s="48" t="s">
        <v>23168</v>
      </c>
      <c r="B130" t="s">
        <v>8801</v>
      </c>
      <c r="C130">
        <v>8</v>
      </c>
    </row>
    <row r="131" spans="1:3" x14ac:dyDescent="0.25">
      <c r="A131" s="48" t="s">
        <v>23169</v>
      </c>
      <c r="B131" t="s">
        <v>19889</v>
      </c>
      <c r="C131">
        <v>20</v>
      </c>
    </row>
    <row r="132" spans="1:3" x14ac:dyDescent="0.25">
      <c r="A132" s="48" t="s">
        <v>23170</v>
      </c>
      <c r="B132" t="s">
        <v>8695</v>
      </c>
      <c r="C132">
        <v>21</v>
      </c>
    </row>
    <row r="133" spans="1:3" x14ac:dyDescent="0.25">
      <c r="A133" s="48" t="s">
        <v>23171</v>
      </c>
      <c r="B133" t="s">
        <v>8753</v>
      </c>
      <c r="C133">
        <v>22</v>
      </c>
    </row>
    <row r="134" spans="1:3" x14ac:dyDescent="0.25">
      <c r="A134" s="48" t="s">
        <v>23172</v>
      </c>
      <c r="B134" t="s">
        <v>8781</v>
      </c>
      <c r="C134">
        <v>9</v>
      </c>
    </row>
    <row r="135" spans="1:3" x14ac:dyDescent="0.25">
      <c r="A135" s="48" t="s">
        <v>23173</v>
      </c>
      <c r="B135" t="s">
        <v>8783</v>
      </c>
      <c r="C135">
        <v>0</v>
      </c>
    </row>
    <row r="136" spans="1:3" x14ac:dyDescent="0.25">
      <c r="A136" s="48" t="s">
        <v>23174</v>
      </c>
      <c r="B136" t="s">
        <v>8785</v>
      </c>
      <c r="C136">
        <v>20</v>
      </c>
    </row>
    <row r="137" spans="1:3" x14ac:dyDescent="0.25">
      <c r="A137" s="48" t="s">
        <v>23175</v>
      </c>
      <c r="B137" t="s">
        <v>8795</v>
      </c>
      <c r="C137">
        <v>9</v>
      </c>
    </row>
    <row r="138" spans="1:3" x14ac:dyDescent="0.25">
      <c r="A138" s="48" t="s">
        <v>23176</v>
      </c>
      <c r="B138" t="s">
        <v>8705</v>
      </c>
      <c r="C138">
        <v>7</v>
      </c>
    </row>
    <row r="139" spans="1:3" x14ac:dyDescent="0.25">
      <c r="A139" s="48" t="s">
        <v>23177</v>
      </c>
      <c r="B139" t="s">
        <v>8799</v>
      </c>
      <c r="C139">
        <v>22</v>
      </c>
    </row>
    <row r="140" spans="1:3" x14ac:dyDescent="0.25">
      <c r="A140" s="48" t="s">
        <v>23178</v>
      </c>
      <c r="B140" t="s">
        <v>8797</v>
      </c>
      <c r="C140">
        <v>4</v>
      </c>
    </row>
    <row r="141" spans="1:3" x14ac:dyDescent="0.25">
      <c r="A141" s="48" t="s">
        <v>23179</v>
      </c>
      <c r="B141" t="s">
        <v>8769</v>
      </c>
      <c r="C141">
        <v>9</v>
      </c>
    </row>
    <row r="142" spans="1:3" x14ac:dyDescent="0.25">
      <c r="A142" s="48" t="s">
        <v>23180</v>
      </c>
      <c r="B142" t="s">
        <v>8767</v>
      </c>
      <c r="C142">
        <v>38</v>
      </c>
    </row>
    <row r="143" spans="1:3" x14ac:dyDescent="0.25">
      <c r="A143" s="48" t="s">
        <v>22356</v>
      </c>
      <c r="B143" t="s">
        <v>441</v>
      </c>
      <c r="C143">
        <v>3</v>
      </c>
    </row>
    <row r="144" spans="1:3" x14ac:dyDescent="0.25">
      <c r="A144" s="48" t="s">
        <v>22357</v>
      </c>
      <c r="B144" t="s">
        <v>1284</v>
      </c>
      <c r="C144">
        <v>26</v>
      </c>
    </row>
    <row r="145" spans="1:3" x14ac:dyDescent="0.25">
      <c r="A145" s="48" t="s">
        <v>23181</v>
      </c>
      <c r="B145" t="s">
        <v>19890</v>
      </c>
      <c r="C145">
        <v>15</v>
      </c>
    </row>
    <row r="146" spans="1:3" x14ac:dyDescent="0.25">
      <c r="A146" s="48" t="s">
        <v>23182</v>
      </c>
      <c r="B146" t="s">
        <v>8773</v>
      </c>
      <c r="C146">
        <v>2</v>
      </c>
    </row>
    <row r="147" spans="1:3" x14ac:dyDescent="0.25">
      <c r="A147" s="48" t="s">
        <v>23183</v>
      </c>
      <c r="B147" t="s">
        <v>8775</v>
      </c>
      <c r="C147">
        <v>46</v>
      </c>
    </row>
    <row r="148" spans="1:3" x14ac:dyDescent="0.25">
      <c r="A148" s="48" t="s">
        <v>23184</v>
      </c>
      <c r="B148" t="s">
        <v>8777</v>
      </c>
      <c r="C148">
        <v>12</v>
      </c>
    </row>
    <row r="149" spans="1:3" x14ac:dyDescent="0.25">
      <c r="A149" s="48" t="s">
        <v>23185</v>
      </c>
      <c r="B149" t="s">
        <v>19891</v>
      </c>
      <c r="C149">
        <v>12</v>
      </c>
    </row>
    <row r="150" spans="1:3" x14ac:dyDescent="0.25">
      <c r="A150" s="48" t="s">
        <v>23186</v>
      </c>
      <c r="B150" t="s">
        <v>8779</v>
      </c>
      <c r="C150">
        <v>16</v>
      </c>
    </row>
    <row r="151" spans="1:3" x14ac:dyDescent="0.25">
      <c r="A151" s="48" t="s">
        <v>23187</v>
      </c>
      <c r="B151" t="s">
        <v>8763</v>
      </c>
      <c r="C151">
        <v>7</v>
      </c>
    </row>
    <row r="152" spans="1:3" x14ac:dyDescent="0.25">
      <c r="A152" s="48" t="s">
        <v>23188</v>
      </c>
      <c r="B152" t="s">
        <v>8755</v>
      </c>
      <c r="C152">
        <v>0</v>
      </c>
    </row>
    <row r="153" spans="1:3" x14ac:dyDescent="0.25">
      <c r="A153" s="48" t="s">
        <v>23189</v>
      </c>
      <c r="B153" t="s">
        <v>8758</v>
      </c>
      <c r="C153">
        <v>2</v>
      </c>
    </row>
    <row r="154" spans="1:3" x14ac:dyDescent="0.25">
      <c r="A154" s="48" t="s">
        <v>23190</v>
      </c>
      <c r="B154" t="s">
        <v>8760</v>
      </c>
      <c r="C154">
        <v>0</v>
      </c>
    </row>
    <row r="155" spans="1:3" x14ac:dyDescent="0.25">
      <c r="A155" s="48" t="s">
        <v>23191</v>
      </c>
      <c r="B155" t="s">
        <v>8755</v>
      </c>
      <c r="C155">
        <v>0</v>
      </c>
    </row>
    <row r="156" spans="1:3" x14ac:dyDescent="0.25">
      <c r="A156" s="48" t="s">
        <v>23192</v>
      </c>
      <c r="B156" t="s">
        <v>8765</v>
      </c>
      <c r="C156">
        <v>0</v>
      </c>
    </row>
    <row r="157" spans="1:3" x14ac:dyDescent="0.25">
      <c r="A157" s="48" t="s">
        <v>23193</v>
      </c>
      <c r="B157" t="s">
        <v>8760</v>
      </c>
      <c r="C157">
        <v>0</v>
      </c>
    </row>
    <row r="158" spans="1:3" x14ac:dyDescent="0.25">
      <c r="A158" s="48" t="s">
        <v>23194</v>
      </c>
      <c r="B158" t="s">
        <v>4405</v>
      </c>
      <c r="C158">
        <v>2</v>
      </c>
    </row>
    <row r="159" spans="1:3" x14ac:dyDescent="0.25">
      <c r="A159" s="48" t="s">
        <v>23195</v>
      </c>
      <c r="B159" t="s">
        <v>4415</v>
      </c>
      <c r="C159">
        <v>26</v>
      </c>
    </row>
    <row r="160" spans="1:3" x14ac:dyDescent="0.25">
      <c r="A160" s="48" t="s">
        <v>23196</v>
      </c>
      <c r="B160" t="s">
        <v>4437</v>
      </c>
      <c r="C160">
        <v>7</v>
      </c>
    </row>
    <row r="161" spans="1:3" x14ac:dyDescent="0.25">
      <c r="A161" s="48" t="s">
        <v>23197</v>
      </c>
      <c r="B161" t="s">
        <v>4440</v>
      </c>
      <c r="C161">
        <v>20</v>
      </c>
    </row>
    <row r="162" spans="1:3" x14ac:dyDescent="0.25">
      <c r="A162" s="48" t="s">
        <v>23198</v>
      </c>
      <c r="B162" t="s">
        <v>4419</v>
      </c>
      <c r="C162">
        <v>19</v>
      </c>
    </row>
    <row r="163" spans="1:3" x14ac:dyDescent="0.25">
      <c r="A163" s="48" t="s">
        <v>23199</v>
      </c>
      <c r="B163" t="s">
        <v>19892</v>
      </c>
      <c r="C163">
        <v>12</v>
      </c>
    </row>
    <row r="164" spans="1:3" x14ac:dyDescent="0.25">
      <c r="A164" s="48" t="s">
        <v>23200</v>
      </c>
      <c r="B164" t="s">
        <v>4417</v>
      </c>
      <c r="C164">
        <v>32</v>
      </c>
    </row>
    <row r="165" spans="1:3" x14ac:dyDescent="0.25">
      <c r="A165" s="48" t="s">
        <v>23201</v>
      </c>
      <c r="B165" t="s">
        <v>4291</v>
      </c>
      <c r="C165">
        <v>1</v>
      </c>
    </row>
    <row r="166" spans="1:3" x14ac:dyDescent="0.25">
      <c r="A166" s="48" t="s">
        <v>23202</v>
      </c>
      <c r="B166" t="s">
        <v>4297</v>
      </c>
      <c r="C166">
        <v>0</v>
      </c>
    </row>
    <row r="167" spans="1:3" x14ac:dyDescent="0.25">
      <c r="A167" s="48" t="s">
        <v>23203</v>
      </c>
      <c r="B167" t="s">
        <v>4293</v>
      </c>
      <c r="C167">
        <v>10</v>
      </c>
    </row>
    <row r="168" spans="1:3" x14ac:dyDescent="0.25">
      <c r="A168" s="48" t="s">
        <v>23204</v>
      </c>
      <c r="B168" t="s">
        <v>4295</v>
      </c>
      <c r="C168">
        <v>11</v>
      </c>
    </row>
    <row r="169" spans="1:3" x14ac:dyDescent="0.25">
      <c r="A169" s="48" t="s">
        <v>23205</v>
      </c>
      <c r="B169" t="s">
        <v>4281</v>
      </c>
      <c r="C169">
        <v>0</v>
      </c>
    </row>
    <row r="170" spans="1:3" x14ac:dyDescent="0.25">
      <c r="A170" s="48" t="s">
        <v>12563</v>
      </c>
      <c r="B170" t="s">
        <v>12564</v>
      </c>
      <c r="C170">
        <v>6</v>
      </c>
    </row>
    <row r="171" spans="1:3" x14ac:dyDescent="0.25">
      <c r="A171" s="48" t="s">
        <v>4659</v>
      </c>
      <c r="B171" t="s">
        <v>4660</v>
      </c>
      <c r="C171">
        <v>7</v>
      </c>
    </row>
    <row r="172" spans="1:3" x14ac:dyDescent="0.25">
      <c r="A172" s="48" t="s">
        <v>12565</v>
      </c>
      <c r="B172" t="s">
        <v>19893</v>
      </c>
      <c r="C172">
        <v>1</v>
      </c>
    </row>
    <row r="173" spans="1:3" x14ac:dyDescent="0.25">
      <c r="A173" s="48" t="s">
        <v>4667</v>
      </c>
      <c r="B173" t="s">
        <v>4668</v>
      </c>
      <c r="C173">
        <v>7</v>
      </c>
    </row>
    <row r="174" spans="1:3" x14ac:dyDescent="0.25">
      <c r="A174" s="48" t="s">
        <v>4673</v>
      </c>
      <c r="B174" t="s">
        <v>4674</v>
      </c>
      <c r="C174">
        <v>7</v>
      </c>
    </row>
    <row r="175" spans="1:3" x14ac:dyDescent="0.25">
      <c r="A175" s="48" t="s">
        <v>9008</v>
      </c>
      <c r="B175" t="s">
        <v>9009</v>
      </c>
      <c r="C175">
        <v>0</v>
      </c>
    </row>
    <row r="176" spans="1:3" x14ac:dyDescent="0.25">
      <c r="A176" s="48" t="s">
        <v>16814</v>
      </c>
      <c r="B176" t="s">
        <v>19894</v>
      </c>
      <c r="C176">
        <v>0</v>
      </c>
    </row>
    <row r="177" spans="1:3" x14ac:dyDescent="0.25">
      <c r="A177" s="48" t="s">
        <v>12559</v>
      </c>
      <c r="B177" t="s">
        <v>19895</v>
      </c>
      <c r="C177">
        <v>1</v>
      </c>
    </row>
    <row r="178" spans="1:3" x14ac:dyDescent="0.25">
      <c r="A178" s="48" t="s">
        <v>12561</v>
      </c>
      <c r="B178" t="s">
        <v>19896</v>
      </c>
      <c r="C178">
        <v>2</v>
      </c>
    </row>
    <row r="179" spans="1:3" x14ac:dyDescent="0.25">
      <c r="A179" s="48" t="s">
        <v>9384</v>
      </c>
      <c r="B179" t="s">
        <v>9385</v>
      </c>
      <c r="C179">
        <v>0</v>
      </c>
    </row>
    <row r="180" spans="1:3" x14ac:dyDescent="0.25">
      <c r="A180" s="48" t="s">
        <v>9355</v>
      </c>
      <c r="B180" t="s">
        <v>22389</v>
      </c>
      <c r="C180">
        <v>0</v>
      </c>
    </row>
    <row r="181" spans="1:3" x14ac:dyDescent="0.25">
      <c r="A181" s="48" t="s">
        <v>6323</v>
      </c>
      <c r="B181" t="s">
        <v>6324</v>
      </c>
      <c r="C181">
        <v>29</v>
      </c>
    </row>
    <row r="182" spans="1:3" x14ac:dyDescent="0.25">
      <c r="A182" s="48" t="s">
        <v>9388</v>
      </c>
      <c r="B182" t="s">
        <v>9389</v>
      </c>
      <c r="C182">
        <v>20</v>
      </c>
    </row>
    <row r="183" spans="1:3" x14ac:dyDescent="0.25">
      <c r="A183" s="48" t="s">
        <v>9345</v>
      </c>
      <c r="B183" t="s">
        <v>9346</v>
      </c>
      <c r="C183">
        <v>0</v>
      </c>
    </row>
    <row r="184" spans="1:3" x14ac:dyDescent="0.25">
      <c r="A184" s="48" t="s">
        <v>9347</v>
      </c>
      <c r="B184" t="s">
        <v>9348</v>
      </c>
      <c r="C184">
        <v>0</v>
      </c>
    </row>
    <row r="185" spans="1:3" x14ac:dyDescent="0.25">
      <c r="A185" s="48" t="s">
        <v>5155</v>
      </c>
      <c r="B185" t="s">
        <v>5156</v>
      </c>
      <c r="C185">
        <v>6</v>
      </c>
    </row>
    <row r="186" spans="1:3" x14ac:dyDescent="0.25">
      <c r="A186" s="48" t="s">
        <v>15865</v>
      </c>
      <c r="B186" t="s">
        <v>15866</v>
      </c>
      <c r="C186">
        <v>0</v>
      </c>
    </row>
    <row r="187" spans="1:3" x14ac:dyDescent="0.25">
      <c r="A187" s="48" t="s">
        <v>14465</v>
      </c>
      <c r="B187" t="s">
        <v>14466</v>
      </c>
      <c r="C187">
        <v>8</v>
      </c>
    </row>
    <row r="188" spans="1:3" x14ac:dyDescent="0.25">
      <c r="A188" s="48" t="s">
        <v>14110</v>
      </c>
      <c r="B188" t="s">
        <v>14111</v>
      </c>
      <c r="C188">
        <v>0</v>
      </c>
    </row>
    <row r="189" spans="1:3" x14ac:dyDescent="0.25">
      <c r="A189" s="48" t="s">
        <v>14104</v>
      </c>
      <c r="B189" t="s">
        <v>19897</v>
      </c>
      <c r="C189">
        <v>13</v>
      </c>
    </row>
    <row r="190" spans="1:3" x14ac:dyDescent="0.25">
      <c r="A190" s="48" t="s">
        <v>12589</v>
      </c>
      <c r="B190" t="s">
        <v>12590</v>
      </c>
      <c r="C190">
        <v>28</v>
      </c>
    </row>
    <row r="191" spans="1:3" x14ac:dyDescent="0.25">
      <c r="A191" s="48" t="s">
        <v>12581</v>
      </c>
      <c r="B191" t="s">
        <v>19898</v>
      </c>
      <c r="C191">
        <v>1</v>
      </c>
    </row>
    <row r="192" spans="1:3" x14ac:dyDescent="0.25">
      <c r="A192" s="48" t="s">
        <v>9032</v>
      </c>
      <c r="B192" t="s">
        <v>9033</v>
      </c>
      <c r="C192">
        <v>0</v>
      </c>
    </row>
    <row r="193" spans="1:3" x14ac:dyDescent="0.25">
      <c r="A193" s="48" t="s">
        <v>9351</v>
      </c>
      <c r="B193" t="s">
        <v>9352</v>
      </c>
      <c r="C193">
        <v>0</v>
      </c>
    </row>
    <row r="194" spans="1:3" x14ac:dyDescent="0.25">
      <c r="A194" s="48" t="s">
        <v>9358</v>
      </c>
      <c r="B194" t="s">
        <v>19899</v>
      </c>
      <c r="C194">
        <v>0</v>
      </c>
    </row>
    <row r="195" spans="1:3" x14ac:dyDescent="0.25">
      <c r="A195" s="48" t="s">
        <v>2618</v>
      </c>
      <c r="B195" t="s">
        <v>2619</v>
      </c>
      <c r="C195">
        <v>0</v>
      </c>
    </row>
    <row r="196" spans="1:3" x14ac:dyDescent="0.25">
      <c r="A196" s="48" t="s">
        <v>2614</v>
      </c>
      <c r="B196" t="s">
        <v>2615</v>
      </c>
      <c r="C196">
        <v>7</v>
      </c>
    </row>
    <row r="197" spans="1:3" x14ac:dyDescent="0.25">
      <c r="A197" s="48" t="s">
        <v>9012</v>
      </c>
      <c r="B197" t="s">
        <v>9013</v>
      </c>
      <c r="C197">
        <v>5</v>
      </c>
    </row>
    <row r="198" spans="1:3" x14ac:dyDescent="0.25">
      <c r="A198" s="48" t="s">
        <v>9010</v>
      </c>
      <c r="B198" t="s">
        <v>9011</v>
      </c>
      <c r="C198">
        <v>10</v>
      </c>
    </row>
    <row r="199" spans="1:3" x14ac:dyDescent="0.25">
      <c r="A199" s="48" t="s">
        <v>4671</v>
      </c>
      <c r="B199" t="s">
        <v>4672</v>
      </c>
      <c r="C199">
        <v>4</v>
      </c>
    </row>
    <row r="200" spans="1:3" x14ac:dyDescent="0.25">
      <c r="A200" s="48" t="s">
        <v>4669</v>
      </c>
      <c r="B200" t="s">
        <v>19900</v>
      </c>
      <c r="C200">
        <v>0</v>
      </c>
    </row>
    <row r="201" spans="1:3" x14ac:dyDescent="0.25">
      <c r="A201" s="48" t="s">
        <v>4665</v>
      </c>
      <c r="B201" t="s">
        <v>19901</v>
      </c>
      <c r="C201">
        <v>3</v>
      </c>
    </row>
    <row r="202" spans="1:3" x14ac:dyDescent="0.25">
      <c r="A202" s="48" t="s">
        <v>2941</v>
      </c>
      <c r="B202" t="s">
        <v>2942</v>
      </c>
      <c r="C202">
        <v>0</v>
      </c>
    </row>
    <row r="203" spans="1:3" x14ac:dyDescent="0.25">
      <c r="A203" s="48" t="s">
        <v>2945</v>
      </c>
      <c r="B203" t="s">
        <v>2946</v>
      </c>
      <c r="C203">
        <v>21</v>
      </c>
    </row>
    <row r="204" spans="1:3" x14ac:dyDescent="0.25">
      <c r="A204" s="48" t="s">
        <v>4661</v>
      </c>
      <c r="B204" t="s">
        <v>4662</v>
      </c>
      <c r="C204">
        <v>0</v>
      </c>
    </row>
    <row r="205" spans="1:3" x14ac:dyDescent="0.25">
      <c r="A205" s="48" t="s">
        <v>5151</v>
      </c>
      <c r="B205" t="s">
        <v>5152</v>
      </c>
      <c r="C205">
        <v>0</v>
      </c>
    </row>
    <row r="206" spans="1:3" x14ac:dyDescent="0.25">
      <c r="A206" s="48" t="s">
        <v>9026</v>
      </c>
      <c r="B206" t="s">
        <v>9027</v>
      </c>
      <c r="C206">
        <v>2</v>
      </c>
    </row>
    <row r="207" spans="1:3" x14ac:dyDescent="0.25">
      <c r="A207" s="48" t="s">
        <v>10289</v>
      </c>
      <c r="B207" t="s">
        <v>10290</v>
      </c>
      <c r="C207">
        <v>0</v>
      </c>
    </row>
    <row r="208" spans="1:3" x14ac:dyDescent="0.25">
      <c r="A208" s="48" t="s">
        <v>12571</v>
      </c>
      <c r="B208" t="s">
        <v>12572</v>
      </c>
      <c r="C208">
        <v>0</v>
      </c>
    </row>
    <row r="209" spans="1:3" x14ac:dyDescent="0.25">
      <c r="A209" s="48" t="s">
        <v>9581</v>
      </c>
      <c r="B209" t="s">
        <v>9582</v>
      </c>
      <c r="C209">
        <v>0</v>
      </c>
    </row>
    <row r="210" spans="1:3" x14ac:dyDescent="0.25">
      <c r="A210" s="48" t="s">
        <v>9571</v>
      </c>
      <c r="B210" t="s">
        <v>9572</v>
      </c>
      <c r="C210">
        <v>0</v>
      </c>
    </row>
    <row r="211" spans="1:3" x14ac:dyDescent="0.25">
      <c r="A211" s="48" t="s">
        <v>9585</v>
      </c>
      <c r="B211" t="s">
        <v>19902</v>
      </c>
      <c r="C211">
        <v>20</v>
      </c>
    </row>
    <row r="212" spans="1:3" x14ac:dyDescent="0.25">
      <c r="A212" s="48" t="s">
        <v>9575</v>
      </c>
      <c r="B212" t="s">
        <v>19903</v>
      </c>
      <c r="C212">
        <v>16</v>
      </c>
    </row>
    <row r="213" spans="1:3" x14ac:dyDescent="0.25">
      <c r="A213" s="48" t="s">
        <v>15867</v>
      </c>
      <c r="B213" t="s">
        <v>19904</v>
      </c>
      <c r="C213">
        <v>5</v>
      </c>
    </row>
    <row r="214" spans="1:3" x14ac:dyDescent="0.25">
      <c r="A214" s="48" t="s">
        <v>10293</v>
      </c>
      <c r="B214" t="s">
        <v>10294</v>
      </c>
      <c r="C214">
        <v>0</v>
      </c>
    </row>
    <row r="215" spans="1:3" x14ac:dyDescent="0.25">
      <c r="A215" s="48" t="s">
        <v>14469</v>
      </c>
      <c r="B215" t="s">
        <v>19905</v>
      </c>
      <c r="C215">
        <v>0</v>
      </c>
    </row>
    <row r="216" spans="1:3" x14ac:dyDescent="0.25">
      <c r="A216" s="48" t="s">
        <v>12575</v>
      </c>
      <c r="B216" t="s">
        <v>19906</v>
      </c>
      <c r="C216">
        <v>25</v>
      </c>
    </row>
    <row r="217" spans="1:3" x14ac:dyDescent="0.25">
      <c r="A217" s="48" t="s">
        <v>9577</v>
      </c>
      <c r="B217" t="s">
        <v>19907</v>
      </c>
      <c r="C217">
        <v>0</v>
      </c>
    </row>
    <row r="218" spans="1:3" x14ac:dyDescent="0.25">
      <c r="A218" s="48" t="s">
        <v>9583</v>
      </c>
      <c r="B218" t="s">
        <v>9584</v>
      </c>
      <c r="C218">
        <v>6</v>
      </c>
    </row>
    <row r="219" spans="1:3" x14ac:dyDescent="0.25">
      <c r="A219" s="48" t="s">
        <v>9579</v>
      </c>
      <c r="B219" t="s">
        <v>19908</v>
      </c>
      <c r="C219">
        <v>14</v>
      </c>
    </row>
    <row r="220" spans="1:3" x14ac:dyDescent="0.25">
      <c r="A220" s="48" t="s">
        <v>12583</v>
      </c>
      <c r="B220" t="s">
        <v>19909</v>
      </c>
      <c r="C220">
        <v>14</v>
      </c>
    </row>
    <row r="221" spans="1:3" x14ac:dyDescent="0.25">
      <c r="A221" s="48" t="s">
        <v>12585</v>
      </c>
      <c r="B221" t="s">
        <v>19910</v>
      </c>
      <c r="C221">
        <v>17</v>
      </c>
    </row>
    <row r="222" spans="1:3" x14ac:dyDescent="0.25">
      <c r="A222" s="48" t="s">
        <v>12587</v>
      </c>
      <c r="B222" t="s">
        <v>12588</v>
      </c>
      <c r="C222">
        <v>16</v>
      </c>
    </row>
    <row r="223" spans="1:3" x14ac:dyDescent="0.25">
      <c r="A223" s="48" t="s">
        <v>9343</v>
      </c>
      <c r="B223" t="s">
        <v>19911</v>
      </c>
      <c r="C223">
        <v>15</v>
      </c>
    </row>
    <row r="224" spans="1:3" x14ac:dyDescent="0.25">
      <c r="A224" s="48" t="s">
        <v>9349</v>
      </c>
      <c r="B224" t="s">
        <v>19912</v>
      </c>
      <c r="C224">
        <v>18</v>
      </c>
    </row>
    <row r="225" spans="1:3" x14ac:dyDescent="0.25">
      <c r="A225" s="48" t="s">
        <v>2624</v>
      </c>
      <c r="B225" t="s">
        <v>19913</v>
      </c>
      <c r="C225">
        <v>3</v>
      </c>
    </row>
    <row r="226" spans="1:3" x14ac:dyDescent="0.25">
      <c r="A226" s="48" t="s">
        <v>14112</v>
      </c>
      <c r="B226" t="s">
        <v>14113</v>
      </c>
      <c r="C226">
        <v>6</v>
      </c>
    </row>
    <row r="227" spans="1:3" x14ac:dyDescent="0.25">
      <c r="A227" s="48" t="s">
        <v>14467</v>
      </c>
      <c r="B227" t="s">
        <v>14468</v>
      </c>
      <c r="C227">
        <v>15</v>
      </c>
    </row>
    <row r="228" spans="1:3" x14ac:dyDescent="0.25">
      <c r="A228" s="48" t="s">
        <v>16628</v>
      </c>
      <c r="B228" t="s">
        <v>19914</v>
      </c>
      <c r="C228">
        <v>9</v>
      </c>
    </row>
    <row r="229" spans="1:3" x14ac:dyDescent="0.25">
      <c r="A229" s="48" t="s">
        <v>16634</v>
      </c>
      <c r="B229" t="s">
        <v>16635</v>
      </c>
      <c r="C229">
        <v>8</v>
      </c>
    </row>
    <row r="230" spans="1:3" x14ac:dyDescent="0.25">
      <c r="A230" s="48" t="s">
        <v>12579</v>
      </c>
      <c r="B230" t="s">
        <v>19915</v>
      </c>
      <c r="C230">
        <v>0</v>
      </c>
    </row>
    <row r="231" spans="1:3" x14ac:dyDescent="0.25">
      <c r="A231" s="48" t="s">
        <v>12577</v>
      </c>
      <c r="B231" t="s">
        <v>19916</v>
      </c>
      <c r="C231">
        <v>0</v>
      </c>
    </row>
    <row r="232" spans="1:3" x14ac:dyDescent="0.25">
      <c r="A232" s="48" t="s">
        <v>9567</v>
      </c>
      <c r="B232" t="s">
        <v>19917</v>
      </c>
      <c r="C232">
        <v>0</v>
      </c>
    </row>
    <row r="233" spans="1:3" x14ac:dyDescent="0.25">
      <c r="A233" s="48" t="s">
        <v>9573</v>
      </c>
      <c r="B233" t="s">
        <v>9574</v>
      </c>
      <c r="C233">
        <v>0</v>
      </c>
    </row>
    <row r="234" spans="1:3" x14ac:dyDescent="0.25">
      <c r="A234" s="48" t="s">
        <v>2610</v>
      </c>
      <c r="B234" t="s">
        <v>19918</v>
      </c>
      <c r="C234">
        <v>0</v>
      </c>
    </row>
    <row r="235" spans="1:3" x14ac:dyDescent="0.25">
      <c r="A235" s="48" t="s">
        <v>2612</v>
      </c>
      <c r="B235" t="s">
        <v>2613</v>
      </c>
      <c r="C235">
        <v>6</v>
      </c>
    </row>
    <row r="236" spans="1:3" x14ac:dyDescent="0.25">
      <c r="A236" s="48" t="s">
        <v>9006</v>
      </c>
      <c r="B236" t="s">
        <v>19919</v>
      </c>
      <c r="C236">
        <v>0</v>
      </c>
    </row>
    <row r="237" spans="1:3" x14ac:dyDescent="0.25">
      <c r="A237" s="48" t="s">
        <v>14116</v>
      </c>
      <c r="B237" t="s">
        <v>19920</v>
      </c>
      <c r="C237">
        <v>9</v>
      </c>
    </row>
    <row r="238" spans="1:3" x14ac:dyDescent="0.25">
      <c r="A238" s="48" t="s">
        <v>14114</v>
      </c>
      <c r="B238" t="s">
        <v>19921</v>
      </c>
      <c r="C238">
        <v>6</v>
      </c>
    </row>
    <row r="239" spans="1:3" x14ac:dyDescent="0.25">
      <c r="A239" s="48" t="s">
        <v>2622</v>
      </c>
      <c r="B239" t="s">
        <v>19922</v>
      </c>
      <c r="C239">
        <v>13</v>
      </c>
    </row>
    <row r="240" spans="1:3" x14ac:dyDescent="0.25">
      <c r="A240" s="48" t="s">
        <v>2620</v>
      </c>
      <c r="B240" t="s">
        <v>19923</v>
      </c>
      <c r="C240">
        <v>23</v>
      </c>
    </row>
    <row r="241" spans="1:3" x14ac:dyDescent="0.25">
      <c r="A241" s="48" t="s">
        <v>9565</v>
      </c>
      <c r="B241" t="s">
        <v>19924</v>
      </c>
      <c r="C241">
        <v>17</v>
      </c>
    </row>
    <row r="242" spans="1:3" x14ac:dyDescent="0.25">
      <c r="A242" s="48" t="s">
        <v>9563</v>
      </c>
      <c r="B242" t="s">
        <v>9564</v>
      </c>
      <c r="C242">
        <v>2</v>
      </c>
    </row>
    <row r="243" spans="1:3" x14ac:dyDescent="0.25">
      <c r="A243" s="48" t="s">
        <v>9589</v>
      </c>
      <c r="B243" t="s">
        <v>19925</v>
      </c>
      <c r="C243">
        <v>5</v>
      </c>
    </row>
    <row r="244" spans="1:3" x14ac:dyDescent="0.25">
      <c r="A244" s="48" t="s">
        <v>9587</v>
      </c>
      <c r="B244" t="s">
        <v>19926</v>
      </c>
      <c r="C244">
        <v>26</v>
      </c>
    </row>
    <row r="245" spans="1:3" x14ac:dyDescent="0.25">
      <c r="A245" s="48" t="s">
        <v>12107</v>
      </c>
      <c r="B245" t="s">
        <v>19927</v>
      </c>
      <c r="C245">
        <v>0</v>
      </c>
    </row>
    <row r="246" spans="1:3" x14ac:dyDescent="0.25">
      <c r="A246" s="48" t="s">
        <v>12109</v>
      </c>
      <c r="B246" t="s">
        <v>19928</v>
      </c>
      <c r="C246">
        <v>0</v>
      </c>
    </row>
    <row r="247" spans="1:3" x14ac:dyDescent="0.25">
      <c r="A247" s="48" t="s">
        <v>9382</v>
      </c>
      <c r="B247" t="s">
        <v>19929</v>
      </c>
      <c r="C247">
        <v>12</v>
      </c>
    </row>
    <row r="248" spans="1:3" x14ac:dyDescent="0.25">
      <c r="A248" s="48" t="s">
        <v>2939</v>
      </c>
      <c r="B248" t="s">
        <v>19930</v>
      </c>
      <c r="C248">
        <v>29</v>
      </c>
    </row>
    <row r="249" spans="1:3" x14ac:dyDescent="0.25">
      <c r="A249" s="48" t="s">
        <v>9030</v>
      </c>
      <c r="B249" t="s">
        <v>9031</v>
      </c>
      <c r="C249">
        <v>0</v>
      </c>
    </row>
    <row r="250" spans="1:3" x14ac:dyDescent="0.25">
      <c r="A250" s="48" t="s">
        <v>10291</v>
      </c>
      <c r="B250" t="s">
        <v>10292</v>
      </c>
      <c r="C250">
        <v>0</v>
      </c>
    </row>
    <row r="251" spans="1:3" x14ac:dyDescent="0.25">
      <c r="A251" s="48" t="s">
        <v>10297</v>
      </c>
      <c r="B251" t="s">
        <v>10298</v>
      </c>
      <c r="C251">
        <v>7</v>
      </c>
    </row>
    <row r="252" spans="1:3" x14ac:dyDescent="0.25">
      <c r="A252" s="48" t="s">
        <v>5149</v>
      </c>
      <c r="B252" t="s">
        <v>5150</v>
      </c>
      <c r="C252">
        <v>3</v>
      </c>
    </row>
    <row r="253" spans="1:3" x14ac:dyDescent="0.25">
      <c r="A253" s="48" t="s">
        <v>12573</v>
      </c>
      <c r="B253" t="s">
        <v>12574</v>
      </c>
      <c r="C253">
        <v>20</v>
      </c>
    </row>
    <row r="254" spans="1:3" x14ac:dyDescent="0.25">
      <c r="A254" s="48" t="s">
        <v>10295</v>
      </c>
      <c r="B254" t="s">
        <v>10296</v>
      </c>
      <c r="C254">
        <v>0</v>
      </c>
    </row>
    <row r="255" spans="1:3" x14ac:dyDescent="0.25">
      <c r="A255" s="48" t="s">
        <v>10287</v>
      </c>
      <c r="B255" t="s">
        <v>10288</v>
      </c>
      <c r="C255">
        <v>0</v>
      </c>
    </row>
    <row r="256" spans="1:3" x14ac:dyDescent="0.25">
      <c r="A256" s="48" t="s">
        <v>2943</v>
      </c>
      <c r="B256" t="s">
        <v>2944</v>
      </c>
      <c r="C256">
        <v>26</v>
      </c>
    </row>
    <row r="257" spans="1:3" x14ac:dyDescent="0.25">
      <c r="A257" s="48" t="s">
        <v>9386</v>
      </c>
      <c r="B257" t="s">
        <v>9387</v>
      </c>
      <c r="C257">
        <v>10</v>
      </c>
    </row>
    <row r="258" spans="1:3" x14ac:dyDescent="0.25">
      <c r="A258" s="48" t="s">
        <v>5641</v>
      </c>
      <c r="B258" t="s">
        <v>5642</v>
      </c>
      <c r="C258">
        <v>0</v>
      </c>
    </row>
    <row r="259" spans="1:3" x14ac:dyDescent="0.25">
      <c r="A259" s="48" t="s">
        <v>5645</v>
      </c>
      <c r="B259" t="s">
        <v>5646</v>
      </c>
      <c r="C259">
        <v>7</v>
      </c>
    </row>
    <row r="260" spans="1:3" x14ac:dyDescent="0.25">
      <c r="A260" s="48" t="s">
        <v>5647</v>
      </c>
      <c r="B260" t="s">
        <v>5648</v>
      </c>
      <c r="C260">
        <v>11</v>
      </c>
    </row>
    <row r="261" spans="1:3" x14ac:dyDescent="0.25">
      <c r="A261" s="48" t="s">
        <v>14102</v>
      </c>
      <c r="B261" t="s">
        <v>19931</v>
      </c>
      <c r="C261">
        <v>44</v>
      </c>
    </row>
    <row r="262" spans="1:3" x14ac:dyDescent="0.25">
      <c r="A262" s="48" t="s">
        <v>9028</v>
      </c>
      <c r="B262" t="s">
        <v>9029</v>
      </c>
      <c r="C262">
        <v>15</v>
      </c>
    </row>
    <row r="263" spans="1:3" x14ac:dyDescent="0.25">
      <c r="A263" s="48" t="s">
        <v>16650</v>
      </c>
      <c r="B263" t="s">
        <v>16651</v>
      </c>
      <c r="C263">
        <v>0</v>
      </c>
    </row>
    <row r="264" spans="1:3" x14ac:dyDescent="0.25">
      <c r="A264" s="48" t="s">
        <v>9814</v>
      </c>
      <c r="B264" t="s">
        <v>9815</v>
      </c>
      <c r="C264">
        <v>0</v>
      </c>
    </row>
    <row r="265" spans="1:3" x14ac:dyDescent="0.25">
      <c r="A265" s="48" t="s">
        <v>9356</v>
      </c>
      <c r="B265" t="s">
        <v>9357</v>
      </c>
      <c r="C265">
        <v>0</v>
      </c>
    </row>
    <row r="266" spans="1:3" x14ac:dyDescent="0.25">
      <c r="A266" s="48" t="s">
        <v>4629</v>
      </c>
      <c r="B266" t="s">
        <v>4630</v>
      </c>
      <c r="C266">
        <v>0</v>
      </c>
    </row>
    <row r="267" spans="1:3" x14ac:dyDescent="0.25">
      <c r="A267" s="48" t="s">
        <v>4677</v>
      </c>
      <c r="B267" t="s">
        <v>4678</v>
      </c>
      <c r="C267">
        <v>48</v>
      </c>
    </row>
    <row r="268" spans="1:3" x14ac:dyDescent="0.25">
      <c r="A268" s="48" t="s">
        <v>9396</v>
      </c>
      <c r="B268" t="s">
        <v>9397</v>
      </c>
      <c r="C268">
        <v>0</v>
      </c>
    </row>
    <row r="269" spans="1:3" x14ac:dyDescent="0.25">
      <c r="A269" s="48" t="s">
        <v>9398</v>
      </c>
      <c r="B269" t="s">
        <v>9399</v>
      </c>
      <c r="C269">
        <v>10</v>
      </c>
    </row>
    <row r="270" spans="1:3" x14ac:dyDescent="0.25">
      <c r="A270" s="48" t="s">
        <v>9022</v>
      </c>
      <c r="B270" t="s">
        <v>9023</v>
      </c>
      <c r="C270">
        <v>0</v>
      </c>
    </row>
    <row r="271" spans="1:3" x14ac:dyDescent="0.25">
      <c r="A271" s="48" t="s">
        <v>9018</v>
      </c>
      <c r="B271" t="s">
        <v>9019</v>
      </c>
      <c r="C271">
        <v>0</v>
      </c>
    </row>
    <row r="272" spans="1:3" x14ac:dyDescent="0.25">
      <c r="A272" s="48" t="s">
        <v>14407</v>
      </c>
      <c r="B272" t="s">
        <v>14408</v>
      </c>
      <c r="C272">
        <v>181</v>
      </c>
    </row>
    <row r="273" spans="1:3" x14ac:dyDescent="0.25">
      <c r="A273" s="48" t="s">
        <v>3227</v>
      </c>
      <c r="B273" t="s">
        <v>3228</v>
      </c>
      <c r="C273">
        <v>4</v>
      </c>
    </row>
    <row r="274" spans="1:3" x14ac:dyDescent="0.25">
      <c r="A274" s="48" t="s">
        <v>12620</v>
      </c>
      <c r="B274" t="s">
        <v>12621</v>
      </c>
      <c r="C274">
        <v>26</v>
      </c>
    </row>
    <row r="275" spans="1:3" x14ac:dyDescent="0.25">
      <c r="A275" s="48" t="s">
        <v>12618</v>
      </c>
      <c r="B275" t="s">
        <v>12619</v>
      </c>
      <c r="C275">
        <v>6</v>
      </c>
    </row>
    <row r="276" spans="1:3" x14ac:dyDescent="0.25">
      <c r="A276" s="48" t="s">
        <v>12616</v>
      </c>
      <c r="B276" t="s">
        <v>12617</v>
      </c>
      <c r="C276">
        <v>0</v>
      </c>
    </row>
    <row r="277" spans="1:3" x14ac:dyDescent="0.25">
      <c r="A277" s="48" t="s">
        <v>12622</v>
      </c>
      <c r="B277" t="s">
        <v>12623</v>
      </c>
      <c r="C277">
        <v>0</v>
      </c>
    </row>
    <row r="278" spans="1:3" x14ac:dyDescent="0.25">
      <c r="A278" s="48" t="s">
        <v>6105</v>
      </c>
      <c r="B278" t="s">
        <v>6106</v>
      </c>
      <c r="C278">
        <v>0</v>
      </c>
    </row>
    <row r="279" spans="1:3" x14ac:dyDescent="0.25">
      <c r="A279" s="48" t="s">
        <v>8359</v>
      </c>
      <c r="B279" t="s">
        <v>8360</v>
      </c>
      <c r="C279">
        <v>0</v>
      </c>
    </row>
    <row r="280" spans="1:3" x14ac:dyDescent="0.25">
      <c r="A280" s="48" t="s">
        <v>5161</v>
      </c>
      <c r="B280" t="s">
        <v>5162</v>
      </c>
      <c r="C280">
        <v>0</v>
      </c>
    </row>
    <row r="281" spans="1:3" x14ac:dyDescent="0.25">
      <c r="A281" s="48" t="s">
        <v>5157</v>
      </c>
      <c r="B281" t="s">
        <v>5158</v>
      </c>
      <c r="C281">
        <v>0</v>
      </c>
    </row>
    <row r="282" spans="1:3" x14ac:dyDescent="0.25">
      <c r="A282" s="48" t="s">
        <v>5163</v>
      </c>
      <c r="B282" t="s">
        <v>5164</v>
      </c>
      <c r="C282">
        <v>0</v>
      </c>
    </row>
    <row r="283" spans="1:3" x14ac:dyDescent="0.25">
      <c r="A283" s="48" t="s">
        <v>9394</v>
      </c>
      <c r="B283" t="s">
        <v>9395</v>
      </c>
      <c r="C283">
        <v>0</v>
      </c>
    </row>
    <row r="284" spans="1:3" x14ac:dyDescent="0.25">
      <c r="A284" s="48" t="s">
        <v>9132</v>
      </c>
      <c r="B284" t="s">
        <v>9133</v>
      </c>
      <c r="C284">
        <v>3</v>
      </c>
    </row>
    <row r="285" spans="1:3" x14ac:dyDescent="0.25">
      <c r="A285" s="48" t="s">
        <v>4653</v>
      </c>
      <c r="B285" t="s">
        <v>4654</v>
      </c>
      <c r="C285">
        <v>0</v>
      </c>
    </row>
    <row r="286" spans="1:3" x14ac:dyDescent="0.25">
      <c r="A286" s="48" t="s">
        <v>4655</v>
      </c>
      <c r="B286" t="s">
        <v>4656</v>
      </c>
      <c r="C286">
        <v>0</v>
      </c>
    </row>
    <row r="287" spans="1:3" x14ac:dyDescent="0.25">
      <c r="A287" s="48" t="s">
        <v>3225</v>
      </c>
      <c r="B287" t="s">
        <v>3226</v>
      </c>
      <c r="C287">
        <v>88</v>
      </c>
    </row>
    <row r="288" spans="1:3" x14ac:dyDescent="0.25">
      <c r="A288" s="48" t="s">
        <v>6142</v>
      </c>
      <c r="B288" t="s">
        <v>6143</v>
      </c>
      <c r="C288">
        <v>2</v>
      </c>
    </row>
    <row r="289" spans="1:3" x14ac:dyDescent="0.25">
      <c r="A289" s="48" t="s">
        <v>9426</v>
      </c>
      <c r="B289" t="s">
        <v>9427</v>
      </c>
      <c r="C289">
        <v>38</v>
      </c>
    </row>
    <row r="290" spans="1:3" x14ac:dyDescent="0.25">
      <c r="A290" s="48" t="s">
        <v>9263</v>
      </c>
      <c r="B290" t="s">
        <v>9264</v>
      </c>
      <c r="C290">
        <v>0</v>
      </c>
    </row>
    <row r="291" spans="1:3" x14ac:dyDescent="0.25">
      <c r="A291" s="48" t="s">
        <v>9261</v>
      </c>
      <c r="B291" t="s">
        <v>19932</v>
      </c>
      <c r="C291">
        <v>10</v>
      </c>
    </row>
    <row r="292" spans="1:3" x14ac:dyDescent="0.25">
      <c r="A292" s="48" t="s">
        <v>9265</v>
      </c>
      <c r="B292" t="s">
        <v>9266</v>
      </c>
      <c r="C292">
        <v>18</v>
      </c>
    </row>
    <row r="293" spans="1:3" x14ac:dyDescent="0.25">
      <c r="A293" s="48" t="s">
        <v>6930</v>
      </c>
      <c r="B293" t="s">
        <v>6931</v>
      </c>
      <c r="C293">
        <v>21</v>
      </c>
    </row>
    <row r="294" spans="1:3" x14ac:dyDescent="0.25">
      <c r="A294" s="48" t="s">
        <v>9222</v>
      </c>
      <c r="B294" t="s">
        <v>9223</v>
      </c>
      <c r="C294">
        <v>17</v>
      </c>
    </row>
    <row r="295" spans="1:3" x14ac:dyDescent="0.25">
      <c r="A295" s="48" t="s">
        <v>9226</v>
      </c>
      <c r="B295" t="s">
        <v>9227</v>
      </c>
      <c r="C295">
        <v>37</v>
      </c>
    </row>
    <row r="296" spans="1:3" x14ac:dyDescent="0.25">
      <c r="A296" s="48" t="s">
        <v>9224</v>
      </c>
      <c r="B296" t="s">
        <v>9225</v>
      </c>
      <c r="C296">
        <v>22</v>
      </c>
    </row>
    <row r="297" spans="1:3" x14ac:dyDescent="0.25">
      <c r="A297" s="48" t="s">
        <v>8211</v>
      </c>
      <c r="B297" t="s">
        <v>8212</v>
      </c>
      <c r="C297">
        <v>3</v>
      </c>
    </row>
    <row r="298" spans="1:3" x14ac:dyDescent="0.25">
      <c r="A298" s="48" t="s">
        <v>8215</v>
      </c>
      <c r="B298" t="s">
        <v>8216</v>
      </c>
      <c r="C298">
        <v>13</v>
      </c>
    </row>
    <row r="299" spans="1:3" x14ac:dyDescent="0.25">
      <c r="A299" s="48" t="s">
        <v>852</v>
      </c>
      <c r="B299" t="s">
        <v>853</v>
      </c>
      <c r="C299">
        <v>17</v>
      </c>
    </row>
    <row r="300" spans="1:3" x14ac:dyDescent="0.25">
      <c r="A300" s="48" t="s">
        <v>9076</v>
      </c>
      <c r="B300" t="s">
        <v>19933</v>
      </c>
      <c r="C300">
        <v>31</v>
      </c>
    </row>
    <row r="301" spans="1:3" x14ac:dyDescent="0.25">
      <c r="A301" s="48" t="s">
        <v>8213</v>
      </c>
      <c r="B301" t="s">
        <v>8214</v>
      </c>
      <c r="C301">
        <v>28</v>
      </c>
    </row>
    <row r="302" spans="1:3" x14ac:dyDescent="0.25">
      <c r="A302" s="48" t="s">
        <v>18065</v>
      </c>
      <c r="B302" t="s">
        <v>18066</v>
      </c>
      <c r="C302">
        <v>5</v>
      </c>
    </row>
    <row r="303" spans="1:3" x14ac:dyDescent="0.25">
      <c r="A303" s="48" t="s">
        <v>5923</v>
      </c>
      <c r="B303" t="s">
        <v>19934</v>
      </c>
      <c r="C303">
        <v>0</v>
      </c>
    </row>
    <row r="304" spans="1:3" x14ac:dyDescent="0.25">
      <c r="A304" s="48" t="s">
        <v>18063</v>
      </c>
      <c r="B304" t="s">
        <v>18064</v>
      </c>
      <c r="C304">
        <v>19</v>
      </c>
    </row>
    <row r="305" spans="1:3" x14ac:dyDescent="0.25">
      <c r="A305" s="48" t="s">
        <v>18069</v>
      </c>
      <c r="B305" t="s">
        <v>19935</v>
      </c>
      <c r="C305">
        <v>10</v>
      </c>
    </row>
    <row r="306" spans="1:3" x14ac:dyDescent="0.25">
      <c r="A306" s="48" t="s">
        <v>31</v>
      </c>
      <c r="B306" t="s">
        <v>32</v>
      </c>
      <c r="C306">
        <v>37</v>
      </c>
    </row>
    <row r="307" spans="1:3" x14ac:dyDescent="0.25">
      <c r="A307" s="48" t="s">
        <v>4715</v>
      </c>
      <c r="B307" t="s">
        <v>19936</v>
      </c>
      <c r="C307">
        <v>5</v>
      </c>
    </row>
    <row r="308" spans="1:3" x14ac:dyDescent="0.25">
      <c r="A308" s="48" t="s">
        <v>18896</v>
      </c>
      <c r="B308" t="s">
        <v>19937</v>
      </c>
      <c r="C308">
        <v>9</v>
      </c>
    </row>
    <row r="309" spans="1:3" x14ac:dyDescent="0.25">
      <c r="A309" s="48" t="s">
        <v>18894</v>
      </c>
      <c r="B309" t="s">
        <v>18895</v>
      </c>
      <c r="C309">
        <v>21</v>
      </c>
    </row>
    <row r="310" spans="1:3" x14ac:dyDescent="0.25">
      <c r="A310" s="48" t="s">
        <v>9559</v>
      </c>
      <c r="B310" t="s">
        <v>19938</v>
      </c>
      <c r="C310">
        <v>2</v>
      </c>
    </row>
    <row r="311" spans="1:3" x14ac:dyDescent="0.25">
      <c r="A311" s="48" t="s">
        <v>12696</v>
      </c>
      <c r="B311" t="s">
        <v>12697</v>
      </c>
      <c r="C311">
        <v>0</v>
      </c>
    </row>
    <row r="312" spans="1:3" x14ac:dyDescent="0.25">
      <c r="A312" s="48" t="s">
        <v>9242</v>
      </c>
      <c r="B312" t="s">
        <v>19939</v>
      </c>
      <c r="C312">
        <v>0</v>
      </c>
    </row>
    <row r="313" spans="1:3" x14ac:dyDescent="0.25">
      <c r="A313" s="48" t="s">
        <v>597</v>
      </c>
      <c r="B313" t="s">
        <v>598</v>
      </c>
      <c r="C313">
        <v>161</v>
      </c>
    </row>
    <row r="314" spans="1:3" x14ac:dyDescent="0.25">
      <c r="A314" s="48" t="s">
        <v>17981</v>
      </c>
      <c r="B314" t="s">
        <v>17982</v>
      </c>
      <c r="C314" t="s">
        <v>23254</v>
      </c>
    </row>
    <row r="315" spans="1:3" x14ac:dyDescent="0.25">
      <c r="A315" s="48" t="s">
        <v>16638</v>
      </c>
      <c r="B315" t="s">
        <v>19940</v>
      </c>
      <c r="C315">
        <v>0</v>
      </c>
    </row>
    <row r="316" spans="1:3" x14ac:dyDescent="0.25">
      <c r="A316" s="48" t="s">
        <v>12016</v>
      </c>
      <c r="B316" t="s">
        <v>12017</v>
      </c>
      <c r="C316">
        <v>44</v>
      </c>
    </row>
    <row r="317" spans="1:3" x14ac:dyDescent="0.25">
      <c r="A317" s="48" t="s">
        <v>15995</v>
      </c>
      <c r="B317" t="s">
        <v>19941</v>
      </c>
      <c r="C317">
        <v>28</v>
      </c>
    </row>
    <row r="318" spans="1:3" x14ac:dyDescent="0.25">
      <c r="A318" s="48" t="s">
        <v>16644</v>
      </c>
      <c r="B318" t="s">
        <v>16645</v>
      </c>
      <c r="C318">
        <v>6</v>
      </c>
    </row>
    <row r="319" spans="1:3" x14ac:dyDescent="0.25">
      <c r="A319" s="48" t="s">
        <v>2616</v>
      </c>
      <c r="B319" t="s">
        <v>19942</v>
      </c>
      <c r="C319">
        <v>11</v>
      </c>
    </row>
    <row r="320" spans="1:3" x14ac:dyDescent="0.25">
      <c r="A320" s="48" t="s">
        <v>943</v>
      </c>
      <c r="B320" t="s">
        <v>944</v>
      </c>
      <c r="C320">
        <v>39</v>
      </c>
    </row>
    <row r="321" spans="1:3" x14ac:dyDescent="0.25">
      <c r="A321" s="48" t="s">
        <v>14463</v>
      </c>
      <c r="B321" t="s">
        <v>19943</v>
      </c>
      <c r="C321">
        <v>14</v>
      </c>
    </row>
    <row r="322" spans="1:3" x14ac:dyDescent="0.25">
      <c r="A322" s="48" t="s">
        <v>9020</v>
      </c>
      <c r="B322" t="s">
        <v>9021</v>
      </c>
      <c r="C322">
        <v>0</v>
      </c>
    </row>
    <row r="323" spans="1:3" x14ac:dyDescent="0.25">
      <c r="A323" s="48" t="s">
        <v>18856</v>
      </c>
      <c r="B323" t="s">
        <v>19944</v>
      </c>
      <c r="C323">
        <v>6</v>
      </c>
    </row>
    <row r="324" spans="1:3" x14ac:dyDescent="0.25">
      <c r="A324" s="48" t="s">
        <v>8240</v>
      </c>
      <c r="B324" t="s">
        <v>8241</v>
      </c>
      <c r="C324">
        <v>0</v>
      </c>
    </row>
    <row r="325" spans="1:3" x14ac:dyDescent="0.25">
      <c r="A325" s="48" t="s">
        <v>8238</v>
      </c>
      <c r="B325" t="s">
        <v>19945</v>
      </c>
      <c r="C325">
        <v>0</v>
      </c>
    </row>
    <row r="326" spans="1:3" x14ac:dyDescent="0.25">
      <c r="A326" s="48" t="s">
        <v>9250</v>
      </c>
      <c r="B326" t="s">
        <v>9251</v>
      </c>
      <c r="C326">
        <v>7</v>
      </c>
    </row>
    <row r="327" spans="1:3" x14ac:dyDescent="0.25">
      <c r="A327" s="48" t="s">
        <v>12608</v>
      </c>
      <c r="B327" t="s">
        <v>19946</v>
      </c>
      <c r="C327">
        <v>5</v>
      </c>
    </row>
    <row r="328" spans="1:3" x14ac:dyDescent="0.25">
      <c r="A328" s="48" t="s">
        <v>12604</v>
      </c>
      <c r="B328" t="s">
        <v>19947</v>
      </c>
      <c r="C328">
        <v>6</v>
      </c>
    </row>
    <row r="329" spans="1:3" x14ac:dyDescent="0.25">
      <c r="A329" s="48" t="s">
        <v>2147</v>
      </c>
      <c r="B329" t="s">
        <v>2148</v>
      </c>
      <c r="C329">
        <v>27</v>
      </c>
    </row>
    <row r="330" spans="1:3" x14ac:dyDescent="0.25">
      <c r="A330" s="48" t="s">
        <v>9722</v>
      </c>
      <c r="B330" t="s">
        <v>9723</v>
      </c>
      <c r="C330">
        <v>0</v>
      </c>
    </row>
    <row r="331" spans="1:3" x14ac:dyDescent="0.25">
      <c r="A331" s="48" t="s">
        <v>1647</v>
      </c>
      <c r="B331" t="s">
        <v>1648</v>
      </c>
      <c r="C331">
        <v>23</v>
      </c>
    </row>
    <row r="332" spans="1:3" x14ac:dyDescent="0.25">
      <c r="A332" s="48" t="s">
        <v>1487</v>
      </c>
      <c r="B332" t="s">
        <v>1488</v>
      </c>
      <c r="C332">
        <v>26</v>
      </c>
    </row>
    <row r="333" spans="1:3" x14ac:dyDescent="0.25">
      <c r="A333" s="48" t="s">
        <v>317</v>
      </c>
      <c r="B333" t="s">
        <v>318</v>
      </c>
      <c r="C333">
        <v>14</v>
      </c>
    </row>
    <row r="334" spans="1:3" x14ac:dyDescent="0.25">
      <c r="A334" s="48" t="s">
        <v>12509</v>
      </c>
      <c r="B334" t="s">
        <v>19948</v>
      </c>
      <c r="C334">
        <v>34</v>
      </c>
    </row>
    <row r="335" spans="1:3" x14ac:dyDescent="0.25">
      <c r="A335" s="48" t="s">
        <v>14133</v>
      </c>
      <c r="B335" t="s">
        <v>14134</v>
      </c>
      <c r="C335">
        <v>9</v>
      </c>
    </row>
    <row r="336" spans="1:3" x14ac:dyDescent="0.25">
      <c r="A336" s="48" t="s">
        <v>2142</v>
      </c>
      <c r="B336" t="s">
        <v>2143</v>
      </c>
      <c r="C336">
        <v>23</v>
      </c>
    </row>
    <row r="337" spans="1:3" x14ac:dyDescent="0.25">
      <c r="A337" s="48" t="s">
        <v>14228</v>
      </c>
      <c r="B337" t="s">
        <v>19949</v>
      </c>
      <c r="C337">
        <v>10</v>
      </c>
    </row>
    <row r="338" spans="1:3" x14ac:dyDescent="0.25">
      <c r="A338" s="48" t="s">
        <v>6922</v>
      </c>
      <c r="B338" t="s">
        <v>19950</v>
      </c>
      <c r="C338">
        <v>8</v>
      </c>
    </row>
    <row r="339" spans="1:3" x14ac:dyDescent="0.25">
      <c r="A339" s="48" t="s">
        <v>9360</v>
      </c>
      <c r="B339" t="s">
        <v>19951</v>
      </c>
      <c r="C339">
        <v>0</v>
      </c>
    </row>
    <row r="340" spans="1:3" x14ac:dyDescent="0.25">
      <c r="A340" s="48" t="s">
        <v>9353</v>
      </c>
      <c r="B340" t="s">
        <v>19952</v>
      </c>
      <c r="C340">
        <v>0</v>
      </c>
    </row>
    <row r="341" spans="1:3" x14ac:dyDescent="0.25">
      <c r="A341" s="48" t="s">
        <v>12694</v>
      </c>
      <c r="B341" t="s">
        <v>19953</v>
      </c>
      <c r="C341">
        <v>20</v>
      </c>
    </row>
    <row r="342" spans="1:3" x14ac:dyDescent="0.25">
      <c r="A342" s="48" t="s">
        <v>8868</v>
      </c>
      <c r="B342" t="s">
        <v>19954</v>
      </c>
      <c r="C342">
        <v>0</v>
      </c>
    </row>
    <row r="343" spans="1:3" x14ac:dyDescent="0.25">
      <c r="A343" s="48" t="s">
        <v>3743</v>
      </c>
      <c r="B343" t="s">
        <v>19955</v>
      </c>
      <c r="C343">
        <v>0</v>
      </c>
    </row>
    <row r="344" spans="1:3" x14ac:dyDescent="0.25">
      <c r="A344" s="48" t="s">
        <v>9271</v>
      </c>
      <c r="B344" t="s">
        <v>19956</v>
      </c>
      <c r="C344">
        <v>0</v>
      </c>
    </row>
    <row r="345" spans="1:3" x14ac:dyDescent="0.25">
      <c r="A345" s="48" t="s">
        <v>9267</v>
      </c>
      <c r="B345" t="s">
        <v>9268</v>
      </c>
      <c r="C345">
        <v>0</v>
      </c>
    </row>
    <row r="346" spans="1:3" x14ac:dyDescent="0.25">
      <c r="A346" s="48" t="s">
        <v>9273</v>
      </c>
      <c r="B346" t="s">
        <v>19957</v>
      </c>
      <c r="C346">
        <v>0</v>
      </c>
    </row>
    <row r="347" spans="1:3" x14ac:dyDescent="0.25">
      <c r="A347" s="48" t="s">
        <v>3741</v>
      </c>
      <c r="B347" t="s">
        <v>3742</v>
      </c>
      <c r="C347">
        <v>14</v>
      </c>
    </row>
    <row r="348" spans="1:3" x14ac:dyDescent="0.25">
      <c r="A348" s="48" t="s">
        <v>3745</v>
      </c>
      <c r="B348" t="s">
        <v>3746</v>
      </c>
      <c r="C348">
        <v>16</v>
      </c>
    </row>
    <row r="349" spans="1:3" x14ac:dyDescent="0.25">
      <c r="A349" s="48" t="s">
        <v>3739</v>
      </c>
      <c r="B349" t="s">
        <v>19958</v>
      </c>
      <c r="C349">
        <v>8</v>
      </c>
    </row>
    <row r="350" spans="1:3" x14ac:dyDescent="0.25">
      <c r="A350" s="48" t="s">
        <v>8870</v>
      </c>
      <c r="B350" t="s">
        <v>19959</v>
      </c>
      <c r="C350">
        <v>17</v>
      </c>
    </row>
    <row r="351" spans="1:3" x14ac:dyDescent="0.25">
      <c r="A351" s="48" t="s">
        <v>3545</v>
      </c>
      <c r="B351" t="s">
        <v>19960</v>
      </c>
      <c r="C351">
        <v>14</v>
      </c>
    </row>
    <row r="352" spans="1:3" x14ac:dyDescent="0.25">
      <c r="A352" s="48" t="s">
        <v>898</v>
      </c>
      <c r="B352" t="s">
        <v>899</v>
      </c>
      <c r="C352">
        <v>1</v>
      </c>
    </row>
    <row r="353" spans="1:3" x14ac:dyDescent="0.25">
      <c r="A353" s="48" t="s">
        <v>121</v>
      </c>
      <c r="B353" t="s">
        <v>122</v>
      </c>
      <c r="C353">
        <v>0</v>
      </c>
    </row>
    <row r="354" spans="1:3" x14ac:dyDescent="0.25">
      <c r="A354" s="48" t="s">
        <v>10361</v>
      </c>
      <c r="B354" t="s">
        <v>19961</v>
      </c>
      <c r="C354">
        <v>1</v>
      </c>
    </row>
    <row r="355" spans="1:3" x14ac:dyDescent="0.25">
      <c r="A355" s="48" t="s">
        <v>9218</v>
      </c>
      <c r="B355" t="s">
        <v>9219</v>
      </c>
      <c r="C355">
        <v>0</v>
      </c>
    </row>
    <row r="356" spans="1:3" x14ac:dyDescent="0.25">
      <c r="A356" s="48" t="s">
        <v>9216</v>
      </c>
      <c r="B356" t="s">
        <v>9217</v>
      </c>
      <c r="C356">
        <v>0</v>
      </c>
    </row>
    <row r="357" spans="1:3" x14ac:dyDescent="0.25">
      <c r="A357" s="48" t="s">
        <v>18858</v>
      </c>
      <c r="B357" t="s">
        <v>19962</v>
      </c>
      <c r="C357">
        <v>23</v>
      </c>
    </row>
    <row r="358" spans="1:3" x14ac:dyDescent="0.25">
      <c r="A358" s="48" t="s">
        <v>9104</v>
      </c>
      <c r="B358" t="s">
        <v>9105</v>
      </c>
      <c r="C358">
        <v>0</v>
      </c>
    </row>
    <row r="359" spans="1:3" x14ac:dyDescent="0.25">
      <c r="A359" s="48" t="s">
        <v>9110</v>
      </c>
      <c r="B359" t="s">
        <v>9111</v>
      </c>
      <c r="C359">
        <v>0</v>
      </c>
    </row>
    <row r="360" spans="1:3" x14ac:dyDescent="0.25">
      <c r="A360" s="48" t="s">
        <v>9244</v>
      </c>
      <c r="B360" t="s">
        <v>9245</v>
      </c>
      <c r="C360">
        <v>0</v>
      </c>
    </row>
    <row r="361" spans="1:3" x14ac:dyDescent="0.25">
      <c r="A361" s="48" t="s">
        <v>9230</v>
      </c>
      <c r="B361" t="s">
        <v>9231</v>
      </c>
      <c r="C361">
        <v>6</v>
      </c>
    </row>
    <row r="362" spans="1:3" x14ac:dyDescent="0.25">
      <c r="A362" s="48" t="s">
        <v>9232</v>
      </c>
      <c r="B362" t="s">
        <v>9233</v>
      </c>
      <c r="C362">
        <v>11</v>
      </c>
    </row>
    <row r="363" spans="1:3" x14ac:dyDescent="0.25">
      <c r="A363" s="48" t="s">
        <v>9234</v>
      </c>
      <c r="B363" t="s">
        <v>9235</v>
      </c>
      <c r="C363">
        <v>12</v>
      </c>
    </row>
    <row r="364" spans="1:3" x14ac:dyDescent="0.25">
      <c r="A364" s="48" t="s">
        <v>8842</v>
      </c>
      <c r="B364" t="s">
        <v>8843</v>
      </c>
      <c r="C364">
        <v>1</v>
      </c>
    </row>
    <row r="365" spans="1:3" x14ac:dyDescent="0.25">
      <c r="A365" s="48" t="s">
        <v>9214</v>
      </c>
      <c r="B365" t="s">
        <v>9215</v>
      </c>
      <c r="C365">
        <v>0</v>
      </c>
    </row>
    <row r="366" spans="1:3" x14ac:dyDescent="0.25">
      <c r="A366" s="48" t="s">
        <v>687</v>
      </c>
      <c r="B366" t="s">
        <v>688</v>
      </c>
      <c r="C366">
        <v>108</v>
      </c>
    </row>
    <row r="367" spans="1:3" x14ac:dyDescent="0.25">
      <c r="A367" s="48" t="s">
        <v>9204</v>
      </c>
      <c r="B367" t="s">
        <v>9205</v>
      </c>
      <c r="C367">
        <v>0</v>
      </c>
    </row>
    <row r="368" spans="1:3" x14ac:dyDescent="0.25">
      <c r="A368" s="48" t="s">
        <v>9246</v>
      </c>
      <c r="B368" t="s">
        <v>9247</v>
      </c>
      <c r="C368">
        <v>5</v>
      </c>
    </row>
    <row r="369" spans="1:3" x14ac:dyDescent="0.25">
      <c r="A369" s="48" t="s">
        <v>11994</v>
      </c>
      <c r="B369" t="s">
        <v>19963</v>
      </c>
      <c r="C369">
        <v>0</v>
      </c>
    </row>
    <row r="370" spans="1:3" x14ac:dyDescent="0.25">
      <c r="A370" s="48" t="s">
        <v>12984</v>
      </c>
      <c r="B370" t="s">
        <v>12985</v>
      </c>
      <c r="C370">
        <v>24</v>
      </c>
    </row>
    <row r="371" spans="1:3" x14ac:dyDescent="0.25">
      <c r="A371" s="48" t="s">
        <v>8217</v>
      </c>
      <c r="B371" t="s">
        <v>8218</v>
      </c>
      <c r="C371">
        <v>2</v>
      </c>
    </row>
    <row r="372" spans="1:3" x14ac:dyDescent="0.25">
      <c r="A372" s="48" t="s">
        <v>2140</v>
      </c>
      <c r="B372" t="s">
        <v>2141</v>
      </c>
      <c r="C372">
        <v>16</v>
      </c>
    </row>
    <row r="373" spans="1:3" x14ac:dyDescent="0.25">
      <c r="A373" s="48" t="s">
        <v>347</v>
      </c>
      <c r="B373" t="s">
        <v>348</v>
      </c>
      <c r="C373">
        <v>12</v>
      </c>
    </row>
    <row r="374" spans="1:3" x14ac:dyDescent="0.25">
      <c r="A374" s="48" t="s">
        <v>9561</v>
      </c>
      <c r="B374" t="s">
        <v>9562</v>
      </c>
      <c r="C374">
        <v>0</v>
      </c>
    </row>
    <row r="375" spans="1:3" x14ac:dyDescent="0.25">
      <c r="A375" s="48" t="s">
        <v>9557</v>
      </c>
      <c r="B375" t="s">
        <v>9558</v>
      </c>
      <c r="C375">
        <v>4</v>
      </c>
    </row>
    <row r="376" spans="1:3" x14ac:dyDescent="0.25">
      <c r="A376" s="48" t="s">
        <v>2138</v>
      </c>
      <c r="B376" t="s">
        <v>2139</v>
      </c>
      <c r="C376">
        <v>36</v>
      </c>
    </row>
    <row r="377" spans="1:3" x14ac:dyDescent="0.25">
      <c r="A377" s="48" t="s">
        <v>105</v>
      </c>
      <c r="B377" t="s">
        <v>106</v>
      </c>
      <c r="C377">
        <v>1</v>
      </c>
    </row>
    <row r="378" spans="1:3" x14ac:dyDescent="0.25">
      <c r="A378" s="48" t="s">
        <v>18898</v>
      </c>
      <c r="B378" t="s">
        <v>18899</v>
      </c>
      <c r="C378">
        <v>0</v>
      </c>
    </row>
    <row r="379" spans="1:3" x14ac:dyDescent="0.25">
      <c r="A379" s="48" t="s">
        <v>10283</v>
      </c>
      <c r="B379" t="s">
        <v>19964</v>
      </c>
      <c r="C379">
        <v>7</v>
      </c>
    </row>
    <row r="380" spans="1:3" x14ac:dyDescent="0.25">
      <c r="A380" s="48" t="s">
        <v>18854</v>
      </c>
      <c r="B380" t="s">
        <v>18855</v>
      </c>
      <c r="C380">
        <v>6</v>
      </c>
    </row>
    <row r="381" spans="1:3" x14ac:dyDescent="0.25">
      <c r="A381" s="48" t="s">
        <v>16334</v>
      </c>
      <c r="B381" t="s">
        <v>16335</v>
      </c>
      <c r="C381">
        <v>9</v>
      </c>
    </row>
    <row r="382" spans="1:3" x14ac:dyDescent="0.25">
      <c r="A382" s="48" t="s">
        <v>16332</v>
      </c>
      <c r="B382" t="s">
        <v>16333</v>
      </c>
      <c r="C382">
        <v>15</v>
      </c>
    </row>
    <row r="383" spans="1:3" x14ac:dyDescent="0.25">
      <c r="A383" s="48" t="s">
        <v>485</v>
      </c>
      <c r="B383" t="s">
        <v>486</v>
      </c>
      <c r="C383">
        <v>45</v>
      </c>
    </row>
    <row r="384" spans="1:3" x14ac:dyDescent="0.25">
      <c r="A384" s="48" t="s">
        <v>509</v>
      </c>
      <c r="B384" t="s">
        <v>510</v>
      </c>
      <c r="C384">
        <v>47</v>
      </c>
    </row>
    <row r="385" spans="1:3" x14ac:dyDescent="0.25">
      <c r="A385" s="48" t="s">
        <v>11854</v>
      </c>
      <c r="B385" t="s">
        <v>11855</v>
      </c>
      <c r="C385">
        <v>0</v>
      </c>
    </row>
    <row r="386" spans="1:3" x14ac:dyDescent="0.25">
      <c r="A386" s="48" t="s">
        <v>1932</v>
      </c>
      <c r="B386" t="s">
        <v>1933</v>
      </c>
      <c r="C386">
        <v>15</v>
      </c>
    </row>
    <row r="387" spans="1:3" x14ac:dyDescent="0.25">
      <c r="A387" s="48" t="s">
        <v>8224</v>
      </c>
      <c r="B387" t="s">
        <v>8225</v>
      </c>
      <c r="C387">
        <v>8</v>
      </c>
    </row>
    <row r="388" spans="1:3" x14ac:dyDescent="0.25">
      <c r="A388" s="48" t="s">
        <v>2652</v>
      </c>
      <c r="B388" t="s">
        <v>2653</v>
      </c>
      <c r="C388">
        <v>0</v>
      </c>
    </row>
    <row r="389" spans="1:3" x14ac:dyDescent="0.25">
      <c r="A389" s="48" t="s">
        <v>9236</v>
      </c>
      <c r="B389" t="s">
        <v>9237</v>
      </c>
      <c r="C389">
        <v>0</v>
      </c>
    </row>
    <row r="390" spans="1:3" x14ac:dyDescent="0.25">
      <c r="A390" s="48" t="s">
        <v>10345</v>
      </c>
      <c r="B390" t="s">
        <v>10346</v>
      </c>
      <c r="C390">
        <v>0</v>
      </c>
    </row>
    <row r="391" spans="1:3" x14ac:dyDescent="0.25">
      <c r="A391" s="48" t="s">
        <v>10347</v>
      </c>
      <c r="B391" t="s">
        <v>10348</v>
      </c>
      <c r="C391">
        <v>0</v>
      </c>
    </row>
    <row r="392" spans="1:3" x14ac:dyDescent="0.25">
      <c r="A392" s="48" t="s">
        <v>189</v>
      </c>
      <c r="B392" t="s">
        <v>190</v>
      </c>
      <c r="C392">
        <v>0</v>
      </c>
    </row>
    <row r="393" spans="1:3" x14ac:dyDescent="0.25">
      <c r="A393" s="48" t="s">
        <v>10349</v>
      </c>
      <c r="B393" t="s">
        <v>10350</v>
      </c>
      <c r="C393">
        <v>0</v>
      </c>
    </row>
    <row r="394" spans="1:3" x14ac:dyDescent="0.25">
      <c r="A394" s="48" t="s">
        <v>19734</v>
      </c>
      <c r="B394" t="s">
        <v>19735</v>
      </c>
      <c r="C394">
        <v>0</v>
      </c>
    </row>
    <row r="395" spans="1:3" x14ac:dyDescent="0.25">
      <c r="A395" s="48" t="s">
        <v>19736</v>
      </c>
      <c r="B395" t="s">
        <v>19737</v>
      </c>
      <c r="C395">
        <v>0</v>
      </c>
    </row>
    <row r="396" spans="1:3" x14ac:dyDescent="0.25">
      <c r="A396" s="48" t="s">
        <v>12002</v>
      </c>
      <c r="B396" t="s">
        <v>12003</v>
      </c>
      <c r="C396">
        <v>0</v>
      </c>
    </row>
    <row r="397" spans="1:3" x14ac:dyDescent="0.25">
      <c r="A397" s="48" t="s">
        <v>16231</v>
      </c>
      <c r="B397" t="s">
        <v>16232</v>
      </c>
      <c r="C397">
        <v>0</v>
      </c>
    </row>
    <row r="398" spans="1:3" x14ac:dyDescent="0.25">
      <c r="A398" s="48" t="s">
        <v>12004</v>
      </c>
      <c r="B398" t="s">
        <v>12005</v>
      </c>
      <c r="C398">
        <v>0</v>
      </c>
    </row>
    <row r="399" spans="1:3" x14ac:dyDescent="0.25">
      <c r="A399" s="48" t="s">
        <v>18067</v>
      </c>
      <c r="B399" t="s">
        <v>19965</v>
      </c>
      <c r="C399">
        <v>0</v>
      </c>
    </row>
    <row r="400" spans="1:3" x14ac:dyDescent="0.25">
      <c r="A400" s="48" t="s">
        <v>9228</v>
      </c>
      <c r="B400" t="s">
        <v>9229</v>
      </c>
      <c r="C400">
        <v>0</v>
      </c>
    </row>
    <row r="401" spans="1:3" x14ac:dyDescent="0.25">
      <c r="A401" s="48" t="s">
        <v>8228</v>
      </c>
      <c r="B401" t="s">
        <v>8229</v>
      </c>
      <c r="C401">
        <v>0</v>
      </c>
    </row>
    <row r="402" spans="1:3" x14ac:dyDescent="0.25">
      <c r="A402" s="48" t="s">
        <v>7040</v>
      </c>
      <c r="B402" t="s">
        <v>7041</v>
      </c>
      <c r="C402">
        <v>0</v>
      </c>
    </row>
    <row r="403" spans="1:3" x14ac:dyDescent="0.25">
      <c r="A403" s="48" t="s">
        <v>10353</v>
      </c>
      <c r="B403" t="s">
        <v>10354</v>
      </c>
      <c r="C403">
        <v>0</v>
      </c>
    </row>
    <row r="404" spans="1:3" x14ac:dyDescent="0.25">
      <c r="A404" s="48" t="s">
        <v>10363</v>
      </c>
      <c r="B404" t="s">
        <v>10364</v>
      </c>
      <c r="C404">
        <v>0</v>
      </c>
    </row>
    <row r="405" spans="1:3" x14ac:dyDescent="0.25">
      <c r="A405" s="48" t="s">
        <v>221</v>
      </c>
      <c r="B405" t="s">
        <v>222</v>
      </c>
      <c r="C405">
        <v>6</v>
      </c>
    </row>
    <row r="406" spans="1:3" x14ac:dyDescent="0.25">
      <c r="A406" s="48" t="s">
        <v>1765</v>
      </c>
      <c r="B406" t="s">
        <v>1766</v>
      </c>
      <c r="C406">
        <v>19</v>
      </c>
    </row>
    <row r="407" spans="1:3" x14ac:dyDescent="0.25">
      <c r="A407" s="48" t="s">
        <v>1455</v>
      </c>
      <c r="B407" t="s">
        <v>1456</v>
      </c>
      <c r="C407">
        <v>12</v>
      </c>
    </row>
    <row r="408" spans="1:3" x14ac:dyDescent="0.25">
      <c r="A408" s="48" t="s">
        <v>2134</v>
      </c>
      <c r="B408" t="s">
        <v>2135</v>
      </c>
      <c r="C408">
        <v>11</v>
      </c>
    </row>
    <row r="409" spans="1:3" x14ac:dyDescent="0.25">
      <c r="A409" s="48" t="s">
        <v>2151</v>
      </c>
      <c r="B409" t="s">
        <v>2152</v>
      </c>
      <c r="C409">
        <v>4</v>
      </c>
    </row>
    <row r="410" spans="1:3" x14ac:dyDescent="0.25">
      <c r="A410" s="48" t="s">
        <v>2149</v>
      </c>
      <c r="B410" t="s">
        <v>2150</v>
      </c>
      <c r="C410">
        <v>22</v>
      </c>
    </row>
    <row r="411" spans="1:3" x14ac:dyDescent="0.25">
      <c r="A411" s="48" t="s">
        <v>23262</v>
      </c>
      <c r="B411" t="s">
        <v>23263</v>
      </c>
      <c r="C411">
        <v>0</v>
      </c>
    </row>
    <row r="412" spans="1:3" x14ac:dyDescent="0.25">
      <c r="A412" s="48" t="s">
        <v>12273</v>
      </c>
      <c r="B412" t="s">
        <v>12274</v>
      </c>
      <c r="C412">
        <v>7</v>
      </c>
    </row>
    <row r="413" spans="1:3" x14ac:dyDescent="0.25">
      <c r="A413" s="48" t="s">
        <v>16972</v>
      </c>
      <c r="B413" t="s">
        <v>16973</v>
      </c>
      <c r="C413">
        <v>0</v>
      </c>
    </row>
    <row r="414" spans="1:3" x14ac:dyDescent="0.25">
      <c r="A414" s="48" t="s">
        <v>9488</v>
      </c>
      <c r="B414" t="s">
        <v>9489</v>
      </c>
      <c r="C414">
        <v>0</v>
      </c>
    </row>
    <row r="415" spans="1:3" x14ac:dyDescent="0.25">
      <c r="A415" s="48" t="s">
        <v>10307</v>
      </c>
      <c r="B415" t="s">
        <v>10308</v>
      </c>
      <c r="C415">
        <v>3</v>
      </c>
    </row>
    <row r="416" spans="1:3" x14ac:dyDescent="0.25">
      <c r="A416" s="48" t="s">
        <v>8205</v>
      </c>
      <c r="B416" t="s">
        <v>8206</v>
      </c>
      <c r="C416">
        <v>44</v>
      </c>
    </row>
    <row r="417" spans="1:3" x14ac:dyDescent="0.25">
      <c r="A417" s="48" t="s">
        <v>16974</v>
      </c>
      <c r="B417" t="s">
        <v>16975</v>
      </c>
      <c r="C417">
        <v>9</v>
      </c>
    </row>
    <row r="418" spans="1:3" x14ac:dyDescent="0.25">
      <c r="A418" s="48" t="s">
        <v>2626</v>
      </c>
      <c r="B418" t="s">
        <v>2627</v>
      </c>
      <c r="C418">
        <v>0</v>
      </c>
    </row>
    <row r="419" spans="1:3" x14ac:dyDescent="0.25">
      <c r="A419" s="48" t="s">
        <v>2628</v>
      </c>
      <c r="B419" t="s">
        <v>2629</v>
      </c>
      <c r="C419">
        <v>15</v>
      </c>
    </row>
    <row r="420" spans="1:3" x14ac:dyDescent="0.25">
      <c r="A420" s="48" t="s">
        <v>6624</v>
      </c>
      <c r="B420" t="s">
        <v>6625</v>
      </c>
      <c r="C420">
        <v>0</v>
      </c>
    </row>
    <row r="421" spans="1:3" x14ac:dyDescent="0.25">
      <c r="A421" s="48" t="s">
        <v>6626</v>
      </c>
      <c r="B421" t="s">
        <v>6627</v>
      </c>
      <c r="C421">
        <v>11</v>
      </c>
    </row>
    <row r="422" spans="1:3" x14ac:dyDescent="0.25">
      <c r="A422" s="48" t="s">
        <v>4743</v>
      </c>
      <c r="B422" t="s">
        <v>4744</v>
      </c>
      <c r="C422">
        <v>0</v>
      </c>
    </row>
    <row r="423" spans="1:3" x14ac:dyDescent="0.25">
      <c r="A423" s="48" t="s">
        <v>4745</v>
      </c>
      <c r="B423" t="s">
        <v>4746</v>
      </c>
      <c r="C423">
        <v>13</v>
      </c>
    </row>
    <row r="424" spans="1:3" x14ac:dyDescent="0.25">
      <c r="A424" s="48" t="s">
        <v>4747</v>
      </c>
      <c r="B424" t="s">
        <v>4748</v>
      </c>
      <c r="C424">
        <v>0</v>
      </c>
    </row>
    <row r="425" spans="1:3" x14ac:dyDescent="0.25">
      <c r="A425" s="48" t="s">
        <v>4749</v>
      </c>
      <c r="B425" t="s">
        <v>4750</v>
      </c>
      <c r="C425">
        <v>29</v>
      </c>
    </row>
    <row r="426" spans="1:3" x14ac:dyDescent="0.25">
      <c r="A426" s="48" t="s">
        <v>9490</v>
      </c>
      <c r="B426" t="s">
        <v>9491</v>
      </c>
      <c r="C426">
        <v>11</v>
      </c>
    </row>
    <row r="427" spans="1:3" x14ac:dyDescent="0.25">
      <c r="A427" s="48" t="s">
        <v>10305</v>
      </c>
      <c r="B427" t="s">
        <v>10306</v>
      </c>
      <c r="C427">
        <v>0</v>
      </c>
    </row>
    <row r="428" spans="1:3" x14ac:dyDescent="0.25">
      <c r="A428" s="48" t="s">
        <v>12271</v>
      </c>
      <c r="B428" t="s">
        <v>12272</v>
      </c>
      <c r="C428">
        <v>0</v>
      </c>
    </row>
    <row r="429" spans="1:3" x14ac:dyDescent="0.25">
      <c r="A429" s="48" t="s">
        <v>6000</v>
      </c>
      <c r="B429" t="s">
        <v>19966</v>
      </c>
      <c r="C429">
        <v>0</v>
      </c>
    </row>
    <row r="430" spans="1:3" x14ac:dyDescent="0.25">
      <c r="A430" s="48" t="s">
        <v>6004</v>
      </c>
      <c r="B430" t="s">
        <v>6005</v>
      </c>
      <c r="C430">
        <v>0</v>
      </c>
    </row>
    <row r="431" spans="1:3" x14ac:dyDescent="0.25">
      <c r="A431" s="48" t="s">
        <v>4626</v>
      </c>
      <c r="B431" t="s">
        <v>4627</v>
      </c>
      <c r="C431">
        <v>17</v>
      </c>
    </row>
    <row r="432" spans="1:3" x14ac:dyDescent="0.25">
      <c r="A432" s="48" t="s">
        <v>9014</v>
      </c>
      <c r="B432" t="s">
        <v>9015</v>
      </c>
      <c r="C432">
        <v>0</v>
      </c>
    </row>
    <row r="433" spans="1:3" x14ac:dyDescent="0.25">
      <c r="A433" s="48" t="s">
        <v>23039</v>
      </c>
      <c r="B433" t="s">
        <v>23040</v>
      </c>
      <c r="C433">
        <v>14</v>
      </c>
    </row>
    <row r="434" spans="1:3" x14ac:dyDescent="0.25">
      <c r="A434" s="48" t="s">
        <v>12487</v>
      </c>
      <c r="B434" t="s">
        <v>12488</v>
      </c>
      <c r="C434">
        <v>0</v>
      </c>
    </row>
    <row r="435" spans="1:3" x14ac:dyDescent="0.25">
      <c r="A435" s="48" t="s">
        <v>12489</v>
      </c>
      <c r="B435" t="s">
        <v>12490</v>
      </c>
      <c r="C435">
        <v>14</v>
      </c>
    </row>
    <row r="436" spans="1:3" x14ac:dyDescent="0.25">
      <c r="A436" s="48" t="s">
        <v>3711</v>
      </c>
      <c r="B436" t="s">
        <v>3712</v>
      </c>
      <c r="C436">
        <v>0</v>
      </c>
    </row>
    <row r="437" spans="1:3" x14ac:dyDescent="0.25">
      <c r="A437" s="48" t="s">
        <v>3713</v>
      </c>
      <c r="B437" t="s">
        <v>3714</v>
      </c>
      <c r="C437">
        <v>9</v>
      </c>
    </row>
    <row r="438" spans="1:3" x14ac:dyDescent="0.25">
      <c r="A438" s="48" t="s">
        <v>8844</v>
      </c>
      <c r="B438" t="s">
        <v>8845</v>
      </c>
      <c r="C438">
        <v>0</v>
      </c>
    </row>
    <row r="439" spans="1:3" x14ac:dyDescent="0.25">
      <c r="A439" s="48" t="s">
        <v>8846</v>
      </c>
      <c r="B439" t="s">
        <v>8847</v>
      </c>
      <c r="C439">
        <v>5</v>
      </c>
    </row>
    <row r="440" spans="1:3" x14ac:dyDescent="0.25">
      <c r="A440" s="48" t="s">
        <v>18047</v>
      </c>
      <c r="B440" t="s">
        <v>18048</v>
      </c>
      <c r="C440">
        <v>0</v>
      </c>
    </row>
    <row r="441" spans="1:3" x14ac:dyDescent="0.25">
      <c r="A441" s="48" t="s">
        <v>18049</v>
      </c>
      <c r="B441" t="s">
        <v>18050</v>
      </c>
      <c r="C441">
        <v>12</v>
      </c>
    </row>
    <row r="442" spans="1:3" x14ac:dyDescent="0.25">
      <c r="A442" s="48" t="s">
        <v>4741</v>
      </c>
      <c r="B442" t="s">
        <v>4742</v>
      </c>
      <c r="C442">
        <v>12</v>
      </c>
    </row>
    <row r="443" spans="1:3" x14ac:dyDescent="0.25">
      <c r="A443" s="48" t="s">
        <v>3761</v>
      </c>
      <c r="B443" t="s">
        <v>3762</v>
      </c>
      <c r="C443">
        <v>0</v>
      </c>
    </row>
    <row r="444" spans="1:3" x14ac:dyDescent="0.25">
      <c r="A444" s="48" t="s">
        <v>3763</v>
      </c>
      <c r="B444" t="s">
        <v>3764</v>
      </c>
      <c r="C444">
        <v>13</v>
      </c>
    </row>
    <row r="445" spans="1:3" x14ac:dyDescent="0.25">
      <c r="A445" s="48" t="s">
        <v>23264</v>
      </c>
      <c r="B445" t="s">
        <v>23265</v>
      </c>
      <c r="C445">
        <v>0</v>
      </c>
    </row>
    <row r="446" spans="1:3" x14ac:dyDescent="0.25">
      <c r="A446" s="48" t="s">
        <v>23266</v>
      </c>
      <c r="B446" t="s">
        <v>23267</v>
      </c>
      <c r="C446">
        <v>0</v>
      </c>
    </row>
    <row r="447" spans="1:3" x14ac:dyDescent="0.25">
      <c r="A447" s="48" t="s">
        <v>23268</v>
      </c>
      <c r="B447" t="s">
        <v>23269</v>
      </c>
      <c r="C447">
        <v>0</v>
      </c>
    </row>
    <row r="448" spans="1:3" x14ac:dyDescent="0.25">
      <c r="A448" s="48" t="s">
        <v>8714</v>
      </c>
      <c r="B448" t="s">
        <v>8715</v>
      </c>
      <c r="C448">
        <v>45</v>
      </c>
    </row>
    <row r="449" spans="1:3" x14ac:dyDescent="0.25">
      <c r="A449" s="48" t="s">
        <v>19660</v>
      </c>
      <c r="B449" t="s">
        <v>19661</v>
      </c>
      <c r="C449">
        <v>0</v>
      </c>
    </row>
    <row r="450" spans="1:3" x14ac:dyDescent="0.25">
      <c r="A450" s="48" t="s">
        <v>7520</v>
      </c>
      <c r="B450" t="s">
        <v>7521</v>
      </c>
      <c r="C450">
        <v>1</v>
      </c>
    </row>
    <row r="451" spans="1:3" x14ac:dyDescent="0.25">
      <c r="A451" s="48" t="s">
        <v>12708</v>
      </c>
      <c r="B451" t="s">
        <v>12709</v>
      </c>
      <c r="C451">
        <v>7</v>
      </c>
    </row>
    <row r="452" spans="1:3" x14ac:dyDescent="0.25">
      <c r="A452" s="48" t="s">
        <v>1821</v>
      </c>
      <c r="B452" t="s">
        <v>1822</v>
      </c>
      <c r="C452">
        <v>2</v>
      </c>
    </row>
    <row r="453" spans="1:3" x14ac:dyDescent="0.25">
      <c r="A453" s="48" t="s">
        <v>599</v>
      </c>
      <c r="B453" t="s">
        <v>600</v>
      </c>
      <c r="C453">
        <v>1</v>
      </c>
    </row>
    <row r="454" spans="1:3" x14ac:dyDescent="0.25">
      <c r="A454" s="48" t="s">
        <v>4728</v>
      </c>
      <c r="B454" t="s">
        <v>4729</v>
      </c>
      <c r="C454">
        <v>7</v>
      </c>
    </row>
    <row r="455" spans="1:3" x14ac:dyDescent="0.25">
      <c r="A455" s="48" t="s">
        <v>5848</v>
      </c>
      <c r="B455" t="s">
        <v>5849</v>
      </c>
      <c r="C455">
        <v>0</v>
      </c>
    </row>
    <row r="456" spans="1:3" x14ac:dyDescent="0.25">
      <c r="A456" s="48" t="s">
        <v>5877</v>
      </c>
      <c r="B456" t="s">
        <v>19967</v>
      </c>
      <c r="C456">
        <v>7</v>
      </c>
    </row>
    <row r="457" spans="1:3" x14ac:dyDescent="0.25">
      <c r="A457" s="48" t="s">
        <v>345</v>
      </c>
      <c r="B457" t="s">
        <v>346</v>
      </c>
      <c r="C457">
        <v>7</v>
      </c>
    </row>
    <row r="458" spans="1:3" x14ac:dyDescent="0.25">
      <c r="A458" s="48" t="s">
        <v>15164</v>
      </c>
      <c r="B458" t="s">
        <v>15165</v>
      </c>
      <c r="C458">
        <v>2</v>
      </c>
    </row>
    <row r="459" spans="1:3" x14ac:dyDescent="0.25">
      <c r="A459" s="48" t="s">
        <v>5994</v>
      </c>
      <c r="B459" t="s">
        <v>5995</v>
      </c>
      <c r="C459">
        <v>2</v>
      </c>
    </row>
    <row r="460" spans="1:3" x14ac:dyDescent="0.25">
      <c r="A460" s="48" t="s">
        <v>1978</v>
      </c>
      <c r="B460" t="s">
        <v>1979</v>
      </c>
      <c r="C460">
        <v>27</v>
      </c>
    </row>
    <row r="461" spans="1:3" x14ac:dyDescent="0.25">
      <c r="A461" s="48" t="s">
        <v>12457</v>
      </c>
      <c r="B461" t="s">
        <v>12458</v>
      </c>
      <c r="C461">
        <v>0</v>
      </c>
    </row>
    <row r="462" spans="1:3" x14ac:dyDescent="0.25">
      <c r="A462" s="48" t="s">
        <v>18881</v>
      </c>
      <c r="B462" t="s">
        <v>18882</v>
      </c>
      <c r="C462">
        <v>4</v>
      </c>
    </row>
    <row r="463" spans="1:3" x14ac:dyDescent="0.25">
      <c r="A463" s="48" t="s">
        <v>18904</v>
      </c>
      <c r="B463" t="s">
        <v>18905</v>
      </c>
      <c r="C463">
        <v>2</v>
      </c>
    </row>
    <row r="464" spans="1:3" x14ac:dyDescent="0.25">
      <c r="A464" s="48" t="s">
        <v>12453</v>
      </c>
      <c r="B464" t="s">
        <v>12454</v>
      </c>
      <c r="C464">
        <v>0</v>
      </c>
    </row>
    <row r="465" spans="1:3" x14ac:dyDescent="0.25">
      <c r="A465" s="48" t="s">
        <v>10588</v>
      </c>
      <c r="B465" t="s">
        <v>10589</v>
      </c>
      <c r="C465">
        <v>13</v>
      </c>
    </row>
    <row r="466" spans="1:3" x14ac:dyDescent="0.25">
      <c r="A466" s="48" t="s">
        <v>17052</v>
      </c>
      <c r="B466" t="s">
        <v>19968</v>
      </c>
      <c r="C466">
        <v>10</v>
      </c>
    </row>
    <row r="467" spans="1:3" x14ac:dyDescent="0.25">
      <c r="A467" s="48" t="s">
        <v>17774</v>
      </c>
      <c r="B467" t="s">
        <v>17775</v>
      </c>
      <c r="C467">
        <v>34</v>
      </c>
    </row>
    <row r="468" spans="1:3" x14ac:dyDescent="0.25">
      <c r="A468" s="48" t="s">
        <v>12485</v>
      </c>
      <c r="B468" t="s">
        <v>12486</v>
      </c>
      <c r="C468">
        <v>24</v>
      </c>
    </row>
    <row r="469" spans="1:3" x14ac:dyDescent="0.25">
      <c r="A469" s="48" t="s">
        <v>747</v>
      </c>
      <c r="B469" t="s">
        <v>748</v>
      </c>
      <c r="C469">
        <v>40</v>
      </c>
    </row>
    <row r="470" spans="1:3" x14ac:dyDescent="0.25">
      <c r="A470" s="48" t="s">
        <v>12463</v>
      </c>
      <c r="B470" t="s">
        <v>12464</v>
      </c>
      <c r="C470">
        <v>0</v>
      </c>
    </row>
    <row r="471" spans="1:3" x14ac:dyDescent="0.25">
      <c r="A471" s="48" t="s">
        <v>17778</v>
      </c>
      <c r="B471" t="s">
        <v>17779</v>
      </c>
      <c r="C471">
        <v>33</v>
      </c>
    </row>
    <row r="472" spans="1:3" x14ac:dyDescent="0.25">
      <c r="A472" s="48" t="s">
        <v>13010</v>
      </c>
      <c r="B472" t="s">
        <v>13011</v>
      </c>
      <c r="C472">
        <v>12</v>
      </c>
    </row>
    <row r="473" spans="1:3" x14ac:dyDescent="0.25">
      <c r="A473" s="48" t="s">
        <v>13006</v>
      </c>
      <c r="B473" t="s">
        <v>13007</v>
      </c>
      <c r="C473">
        <v>8</v>
      </c>
    </row>
    <row r="474" spans="1:3" x14ac:dyDescent="0.25">
      <c r="A474" s="48" t="s">
        <v>13012</v>
      </c>
      <c r="B474" t="s">
        <v>13013</v>
      </c>
      <c r="C474">
        <v>21</v>
      </c>
    </row>
    <row r="475" spans="1:3" x14ac:dyDescent="0.25">
      <c r="A475" s="48" t="s">
        <v>13018</v>
      </c>
      <c r="B475" t="s">
        <v>13019</v>
      </c>
      <c r="C475">
        <v>10</v>
      </c>
    </row>
    <row r="476" spans="1:3" x14ac:dyDescent="0.25">
      <c r="A476" s="48" t="s">
        <v>13014</v>
      </c>
      <c r="B476" t="s">
        <v>13015</v>
      </c>
      <c r="C476">
        <v>14</v>
      </c>
    </row>
    <row r="477" spans="1:3" x14ac:dyDescent="0.25">
      <c r="A477" s="48" t="s">
        <v>13020</v>
      </c>
      <c r="B477" t="s">
        <v>13021</v>
      </c>
      <c r="C477">
        <v>22</v>
      </c>
    </row>
    <row r="478" spans="1:3" x14ac:dyDescent="0.25">
      <c r="A478" s="48" t="s">
        <v>13002</v>
      </c>
      <c r="B478" t="s">
        <v>13003</v>
      </c>
      <c r="C478">
        <v>7</v>
      </c>
    </row>
    <row r="479" spans="1:3" x14ac:dyDescent="0.25">
      <c r="A479" s="48" t="s">
        <v>12998</v>
      </c>
      <c r="B479" t="s">
        <v>12999</v>
      </c>
      <c r="C479">
        <v>15</v>
      </c>
    </row>
    <row r="480" spans="1:3" x14ac:dyDescent="0.25">
      <c r="A480" s="48" t="s">
        <v>13004</v>
      </c>
      <c r="B480" t="s">
        <v>13005</v>
      </c>
      <c r="C480">
        <v>16</v>
      </c>
    </row>
    <row r="481" spans="1:3" x14ac:dyDescent="0.25">
      <c r="A481" s="48" t="s">
        <v>13026</v>
      </c>
      <c r="B481" t="s">
        <v>13027</v>
      </c>
      <c r="C481">
        <v>3</v>
      </c>
    </row>
    <row r="482" spans="1:3" x14ac:dyDescent="0.25">
      <c r="A482" s="48" t="s">
        <v>13022</v>
      </c>
      <c r="B482" t="s">
        <v>13023</v>
      </c>
      <c r="C482">
        <v>16</v>
      </c>
    </row>
    <row r="483" spans="1:3" x14ac:dyDescent="0.25">
      <c r="A483" s="48" t="s">
        <v>13028</v>
      </c>
      <c r="B483" t="s">
        <v>13029</v>
      </c>
      <c r="C483">
        <v>19</v>
      </c>
    </row>
    <row r="484" spans="1:3" x14ac:dyDescent="0.25">
      <c r="A484" s="48" t="s">
        <v>13030</v>
      </c>
      <c r="B484" t="s">
        <v>13031</v>
      </c>
      <c r="C484">
        <v>0</v>
      </c>
    </row>
    <row r="485" spans="1:3" x14ac:dyDescent="0.25">
      <c r="A485" s="48" t="s">
        <v>15148</v>
      </c>
      <c r="B485" t="s">
        <v>15149</v>
      </c>
      <c r="C485">
        <v>8</v>
      </c>
    </row>
    <row r="486" spans="1:3" x14ac:dyDescent="0.25">
      <c r="A486" s="48" t="s">
        <v>15144</v>
      </c>
      <c r="B486" t="s">
        <v>15145</v>
      </c>
      <c r="C486">
        <v>30</v>
      </c>
    </row>
    <row r="487" spans="1:3" x14ac:dyDescent="0.25">
      <c r="A487" s="48" t="s">
        <v>15150</v>
      </c>
      <c r="B487" t="s">
        <v>15151</v>
      </c>
      <c r="C487">
        <v>40</v>
      </c>
    </row>
    <row r="488" spans="1:3" x14ac:dyDescent="0.25">
      <c r="A488" s="48" t="s">
        <v>15156</v>
      </c>
      <c r="B488" t="s">
        <v>15157</v>
      </c>
      <c r="C488">
        <v>15</v>
      </c>
    </row>
    <row r="489" spans="1:3" x14ac:dyDescent="0.25">
      <c r="A489" s="48" t="s">
        <v>15152</v>
      </c>
      <c r="B489" t="s">
        <v>15153</v>
      </c>
      <c r="C489">
        <v>20</v>
      </c>
    </row>
    <row r="490" spans="1:3" x14ac:dyDescent="0.25">
      <c r="A490" s="48" t="s">
        <v>15158</v>
      </c>
      <c r="B490" t="s">
        <v>15159</v>
      </c>
      <c r="C490">
        <v>23</v>
      </c>
    </row>
    <row r="491" spans="1:3" x14ac:dyDescent="0.25">
      <c r="A491" s="48" t="s">
        <v>1557</v>
      </c>
      <c r="B491" t="s">
        <v>1558</v>
      </c>
      <c r="C491">
        <v>40</v>
      </c>
    </row>
    <row r="492" spans="1:3" x14ac:dyDescent="0.25">
      <c r="A492" s="48" t="s">
        <v>683</v>
      </c>
      <c r="B492" t="s">
        <v>684</v>
      </c>
      <c r="C492">
        <v>44</v>
      </c>
    </row>
    <row r="493" spans="1:3" x14ac:dyDescent="0.25">
      <c r="A493" s="48" t="s">
        <v>13034</v>
      </c>
      <c r="B493" t="s">
        <v>13035</v>
      </c>
      <c r="C493">
        <v>14</v>
      </c>
    </row>
    <row r="494" spans="1:3" x14ac:dyDescent="0.25">
      <c r="A494" s="48" t="s">
        <v>7332</v>
      </c>
      <c r="B494" t="s">
        <v>7333</v>
      </c>
      <c r="C494">
        <v>14</v>
      </c>
    </row>
    <row r="495" spans="1:3" x14ac:dyDescent="0.25">
      <c r="A495" s="48" t="s">
        <v>1221</v>
      </c>
      <c r="B495" t="s">
        <v>1222</v>
      </c>
      <c r="C495">
        <v>20</v>
      </c>
    </row>
    <row r="496" spans="1:3" x14ac:dyDescent="0.25">
      <c r="A496" s="48" t="s">
        <v>13038</v>
      </c>
      <c r="B496" t="s">
        <v>13039</v>
      </c>
      <c r="C496">
        <v>0</v>
      </c>
    </row>
    <row r="497" spans="1:3" x14ac:dyDescent="0.25">
      <c r="A497" s="48" t="s">
        <v>13040</v>
      </c>
      <c r="B497" t="s">
        <v>13041</v>
      </c>
      <c r="C497">
        <v>14</v>
      </c>
    </row>
    <row r="498" spans="1:3" x14ac:dyDescent="0.25">
      <c r="A498" s="48" t="s">
        <v>16228</v>
      </c>
      <c r="B498" t="s">
        <v>16229</v>
      </c>
      <c r="C498">
        <v>16</v>
      </c>
    </row>
    <row r="499" spans="1:3" x14ac:dyDescent="0.25">
      <c r="A499" s="48" t="s">
        <v>1833</v>
      </c>
      <c r="B499" t="s">
        <v>1834</v>
      </c>
      <c r="C499">
        <v>25</v>
      </c>
    </row>
    <row r="500" spans="1:3" x14ac:dyDescent="0.25">
      <c r="A500" s="48" t="s">
        <v>16632</v>
      </c>
      <c r="B500" t="s">
        <v>16633</v>
      </c>
      <c r="C500">
        <v>1</v>
      </c>
    </row>
    <row r="501" spans="1:3" x14ac:dyDescent="0.25">
      <c r="A501" s="48" t="s">
        <v>7782</v>
      </c>
      <c r="B501" t="s">
        <v>7783</v>
      </c>
      <c r="C501">
        <v>23</v>
      </c>
    </row>
    <row r="502" spans="1:3" x14ac:dyDescent="0.25">
      <c r="A502" s="48" t="s">
        <v>16642</v>
      </c>
      <c r="B502" t="s">
        <v>16643</v>
      </c>
      <c r="C502">
        <v>0</v>
      </c>
    </row>
    <row r="503" spans="1:3" x14ac:dyDescent="0.25">
      <c r="A503" s="48" t="s">
        <v>1107</v>
      </c>
      <c r="B503" t="s">
        <v>1108</v>
      </c>
      <c r="C503">
        <v>6</v>
      </c>
    </row>
    <row r="504" spans="1:3" x14ac:dyDescent="0.25">
      <c r="A504" s="48" t="s">
        <v>17366</v>
      </c>
      <c r="B504" t="s">
        <v>17367</v>
      </c>
      <c r="C504">
        <v>12</v>
      </c>
    </row>
    <row r="505" spans="1:3" x14ac:dyDescent="0.25">
      <c r="A505" s="48" t="s">
        <v>1835</v>
      </c>
      <c r="B505" t="s">
        <v>1836</v>
      </c>
      <c r="C505">
        <v>7</v>
      </c>
    </row>
    <row r="506" spans="1:3" x14ac:dyDescent="0.25">
      <c r="A506" s="48" t="s">
        <v>17364</v>
      </c>
      <c r="B506" t="s">
        <v>17365</v>
      </c>
      <c r="C506">
        <v>16</v>
      </c>
    </row>
    <row r="507" spans="1:3" x14ac:dyDescent="0.25">
      <c r="A507" s="48" t="s">
        <v>385</v>
      </c>
      <c r="B507" t="s">
        <v>386</v>
      </c>
      <c r="C507">
        <v>9</v>
      </c>
    </row>
    <row r="508" spans="1:3" x14ac:dyDescent="0.25">
      <c r="A508" s="48" t="s">
        <v>7304</v>
      </c>
      <c r="B508" t="s">
        <v>7305</v>
      </c>
      <c r="C508">
        <v>11</v>
      </c>
    </row>
    <row r="509" spans="1:3" x14ac:dyDescent="0.25">
      <c r="A509" s="48" t="s">
        <v>7338</v>
      </c>
      <c r="B509" t="s">
        <v>7339</v>
      </c>
      <c r="C509">
        <v>13</v>
      </c>
    </row>
    <row r="510" spans="1:3" x14ac:dyDescent="0.25">
      <c r="A510" s="48" t="s">
        <v>7348</v>
      </c>
      <c r="B510" t="s">
        <v>7349</v>
      </c>
      <c r="C510">
        <v>0</v>
      </c>
    </row>
    <row r="511" spans="1:3" x14ac:dyDescent="0.25">
      <c r="A511" s="48" t="s">
        <v>717</v>
      </c>
      <c r="B511" t="s">
        <v>718</v>
      </c>
      <c r="C511">
        <v>13</v>
      </c>
    </row>
    <row r="512" spans="1:3" x14ac:dyDescent="0.25">
      <c r="A512" s="48" t="s">
        <v>7360</v>
      </c>
      <c r="B512" t="s">
        <v>19969</v>
      </c>
      <c r="C512">
        <v>1</v>
      </c>
    </row>
    <row r="513" spans="1:3" x14ac:dyDescent="0.25">
      <c r="A513" s="48" t="s">
        <v>7366</v>
      </c>
      <c r="B513" t="s">
        <v>7367</v>
      </c>
      <c r="C513">
        <v>1</v>
      </c>
    </row>
    <row r="514" spans="1:3" x14ac:dyDescent="0.25">
      <c r="A514" s="48" t="s">
        <v>7310</v>
      </c>
      <c r="B514" t="s">
        <v>7311</v>
      </c>
      <c r="C514">
        <v>31</v>
      </c>
    </row>
    <row r="515" spans="1:3" x14ac:dyDescent="0.25">
      <c r="A515" s="48" t="s">
        <v>7308</v>
      </c>
      <c r="B515" t="s">
        <v>19970</v>
      </c>
      <c r="C515">
        <v>27</v>
      </c>
    </row>
    <row r="516" spans="1:3" x14ac:dyDescent="0.25">
      <c r="A516" s="48" t="s">
        <v>7378</v>
      </c>
      <c r="B516" t="s">
        <v>19971</v>
      </c>
      <c r="C516">
        <v>33</v>
      </c>
    </row>
    <row r="517" spans="1:3" x14ac:dyDescent="0.25">
      <c r="A517" s="48" t="s">
        <v>7384</v>
      </c>
      <c r="B517" t="s">
        <v>7385</v>
      </c>
      <c r="C517">
        <v>79</v>
      </c>
    </row>
    <row r="518" spans="1:3" x14ac:dyDescent="0.25">
      <c r="A518" s="48" t="s">
        <v>1523</v>
      </c>
      <c r="B518" t="s">
        <v>1524</v>
      </c>
      <c r="C518">
        <v>14</v>
      </c>
    </row>
    <row r="519" spans="1:3" x14ac:dyDescent="0.25">
      <c r="A519" s="48" t="s">
        <v>7398</v>
      </c>
      <c r="B519" t="s">
        <v>7399</v>
      </c>
      <c r="C519">
        <v>7</v>
      </c>
    </row>
    <row r="520" spans="1:3" x14ac:dyDescent="0.25">
      <c r="A520" s="48" t="s">
        <v>7396</v>
      </c>
      <c r="B520" t="s">
        <v>7397</v>
      </c>
      <c r="C520">
        <v>0</v>
      </c>
    </row>
    <row r="521" spans="1:3" x14ac:dyDescent="0.25">
      <c r="A521" s="48" t="s">
        <v>16640</v>
      </c>
      <c r="B521" t="s">
        <v>16641</v>
      </c>
      <c r="C521">
        <v>4</v>
      </c>
    </row>
    <row r="522" spans="1:3" x14ac:dyDescent="0.25">
      <c r="A522" s="48" t="s">
        <v>1789</v>
      </c>
      <c r="B522" t="s">
        <v>1790</v>
      </c>
      <c r="C522">
        <v>24</v>
      </c>
    </row>
    <row r="523" spans="1:3" x14ac:dyDescent="0.25">
      <c r="A523" s="48" t="s">
        <v>4974</v>
      </c>
      <c r="B523" t="s">
        <v>4975</v>
      </c>
      <c r="C523">
        <v>17</v>
      </c>
    </row>
    <row r="524" spans="1:3" x14ac:dyDescent="0.25">
      <c r="A524" s="48" t="s">
        <v>8027</v>
      </c>
      <c r="B524" t="s">
        <v>8028</v>
      </c>
      <c r="C524">
        <v>1</v>
      </c>
    </row>
    <row r="525" spans="1:3" x14ac:dyDescent="0.25">
      <c r="A525" s="48" t="s">
        <v>8035</v>
      </c>
      <c r="B525" t="s">
        <v>8036</v>
      </c>
      <c r="C525">
        <v>63</v>
      </c>
    </row>
    <row r="526" spans="1:3" x14ac:dyDescent="0.25">
      <c r="A526" s="48" t="s">
        <v>8031</v>
      </c>
      <c r="B526" t="s">
        <v>8032</v>
      </c>
      <c r="C526">
        <v>45</v>
      </c>
    </row>
    <row r="527" spans="1:3" x14ac:dyDescent="0.25">
      <c r="A527" s="48" t="s">
        <v>8029</v>
      </c>
      <c r="B527" t="s">
        <v>8030</v>
      </c>
      <c r="C527">
        <v>45</v>
      </c>
    </row>
    <row r="528" spans="1:3" x14ac:dyDescent="0.25">
      <c r="A528" s="48" t="s">
        <v>8033</v>
      </c>
      <c r="B528" t="s">
        <v>8034</v>
      </c>
      <c r="C528">
        <v>74</v>
      </c>
    </row>
    <row r="529" spans="1:3" x14ac:dyDescent="0.25">
      <c r="A529" s="48" t="s">
        <v>675</v>
      </c>
      <c r="B529" t="s">
        <v>676</v>
      </c>
      <c r="C529">
        <v>66</v>
      </c>
    </row>
    <row r="530" spans="1:3" x14ac:dyDescent="0.25">
      <c r="A530" s="48" t="s">
        <v>1265</v>
      </c>
      <c r="B530" t="s">
        <v>19972</v>
      </c>
      <c r="C530">
        <v>34</v>
      </c>
    </row>
    <row r="531" spans="1:3" x14ac:dyDescent="0.25">
      <c r="A531" s="48" t="s">
        <v>699</v>
      </c>
      <c r="B531" t="s">
        <v>700</v>
      </c>
      <c r="C531">
        <v>22</v>
      </c>
    </row>
    <row r="532" spans="1:3" x14ac:dyDescent="0.25">
      <c r="A532" s="48" t="s">
        <v>411</v>
      </c>
      <c r="B532" t="s">
        <v>412</v>
      </c>
      <c r="C532">
        <v>25</v>
      </c>
    </row>
    <row r="533" spans="1:3" x14ac:dyDescent="0.25">
      <c r="A533" s="48" t="s">
        <v>7346</v>
      </c>
      <c r="B533" t="s">
        <v>7347</v>
      </c>
      <c r="C533">
        <v>1</v>
      </c>
    </row>
    <row r="534" spans="1:3" x14ac:dyDescent="0.25">
      <c r="A534" s="48" t="s">
        <v>733</v>
      </c>
      <c r="B534" t="s">
        <v>734</v>
      </c>
      <c r="C534">
        <v>7</v>
      </c>
    </row>
    <row r="535" spans="1:3" x14ac:dyDescent="0.25">
      <c r="A535" s="48" t="s">
        <v>6015</v>
      </c>
      <c r="B535" t="s">
        <v>19973</v>
      </c>
      <c r="C535">
        <v>0</v>
      </c>
    </row>
    <row r="536" spans="1:3" x14ac:dyDescent="0.25">
      <c r="A536" s="48" t="s">
        <v>16622</v>
      </c>
      <c r="B536" t="s">
        <v>16623</v>
      </c>
      <c r="C536">
        <v>1</v>
      </c>
    </row>
    <row r="537" spans="1:3" x14ac:dyDescent="0.25">
      <c r="A537" s="48" t="s">
        <v>6047</v>
      </c>
      <c r="B537" t="s">
        <v>19974</v>
      </c>
      <c r="C537">
        <v>4</v>
      </c>
    </row>
    <row r="538" spans="1:3" x14ac:dyDescent="0.25">
      <c r="A538" s="48" t="s">
        <v>19789</v>
      </c>
      <c r="B538" t="s">
        <v>19790</v>
      </c>
      <c r="C538">
        <v>6</v>
      </c>
    </row>
    <row r="539" spans="1:3" x14ac:dyDescent="0.25">
      <c r="A539" s="48" t="s">
        <v>17054</v>
      </c>
      <c r="B539" t="s">
        <v>17055</v>
      </c>
      <c r="C539">
        <v>22</v>
      </c>
    </row>
    <row r="540" spans="1:3" x14ac:dyDescent="0.25">
      <c r="A540" s="48" t="s">
        <v>6007</v>
      </c>
      <c r="B540" t="s">
        <v>6008</v>
      </c>
      <c r="C540">
        <v>12</v>
      </c>
    </row>
    <row r="541" spans="1:3" x14ac:dyDescent="0.25">
      <c r="A541" s="48" t="s">
        <v>1269</v>
      </c>
      <c r="B541" t="s">
        <v>1270</v>
      </c>
      <c r="C541">
        <v>0</v>
      </c>
    </row>
    <row r="542" spans="1:3" x14ac:dyDescent="0.25">
      <c r="A542" s="48" t="s">
        <v>1463</v>
      </c>
      <c r="B542" t="s">
        <v>1464</v>
      </c>
      <c r="C542">
        <v>13</v>
      </c>
    </row>
    <row r="543" spans="1:3" x14ac:dyDescent="0.25">
      <c r="A543" s="48" t="s">
        <v>16226</v>
      </c>
      <c r="B543" t="s">
        <v>16227</v>
      </c>
      <c r="C543">
        <v>8</v>
      </c>
    </row>
    <row r="544" spans="1:3" x14ac:dyDescent="0.25">
      <c r="A544" s="48" t="s">
        <v>5881</v>
      </c>
      <c r="B544" t="s">
        <v>5882</v>
      </c>
      <c r="C544">
        <v>3</v>
      </c>
    </row>
    <row r="545" spans="1:3" x14ac:dyDescent="0.25">
      <c r="A545" s="48" t="s">
        <v>727</v>
      </c>
      <c r="B545" t="s">
        <v>728</v>
      </c>
      <c r="C545">
        <v>37</v>
      </c>
    </row>
    <row r="546" spans="1:3" x14ac:dyDescent="0.25">
      <c r="A546" s="48" t="s">
        <v>823</v>
      </c>
      <c r="B546" t="s">
        <v>824</v>
      </c>
      <c r="C546">
        <v>9</v>
      </c>
    </row>
    <row r="547" spans="1:3" x14ac:dyDescent="0.25">
      <c r="A547" s="48" t="s">
        <v>3751</v>
      </c>
      <c r="B547" t="s">
        <v>3752</v>
      </c>
      <c r="C547">
        <v>12</v>
      </c>
    </row>
    <row r="548" spans="1:3" x14ac:dyDescent="0.25">
      <c r="A548" s="48" t="s">
        <v>7418</v>
      </c>
      <c r="B548" t="s">
        <v>7419</v>
      </c>
      <c r="C548">
        <v>20</v>
      </c>
    </row>
    <row r="549" spans="1:3" x14ac:dyDescent="0.25">
      <c r="A549" s="48" t="s">
        <v>4730</v>
      </c>
      <c r="B549" t="s">
        <v>4731</v>
      </c>
      <c r="C549">
        <v>14</v>
      </c>
    </row>
    <row r="550" spans="1:3" x14ac:dyDescent="0.25">
      <c r="A550" s="48" t="s">
        <v>5850</v>
      </c>
      <c r="B550" t="s">
        <v>5851</v>
      </c>
      <c r="C550">
        <v>0</v>
      </c>
    </row>
    <row r="551" spans="1:3" x14ac:dyDescent="0.25">
      <c r="A551" s="48" t="s">
        <v>5885</v>
      </c>
      <c r="B551" t="s">
        <v>5886</v>
      </c>
      <c r="C551">
        <v>10</v>
      </c>
    </row>
    <row r="552" spans="1:3" x14ac:dyDescent="0.25">
      <c r="A552" s="48" t="s">
        <v>17330</v>
      </c>
      <c r="B552" t="s">
        <v>17331</v>
      </c>
      <c r="C552">
        <v>6</v>
      </c>
    </row>
    <row r="553" spans="1:3" x14ac:dyDescent="0.25">
      <c r="A553" s="48" t="s">
        <v>15168</v>
      </c>
      <c r="B553" t="s">
        <v>15169</v>
      </c>
      <c r="C553">
        <v>16</v>
      </c>
    </row>
    <row r="554" spans="1:3" x14ac:dyDescent="0.25">
      <c r="A554" s="48" t="s">
        <v>6011</v>
      </c>
      <c r="B554" t="s">
        <v>6012</v>
      </c>
      <c r="C554">
        <v>1</v>
      </c>
    </row>
    <row r="555" spans="1:3" x14ac:dyDescent="0.25">
      <c r="A555" s="48" t="s">
        <v>6017</v>
      </c>
      <c r="B555" t="s">
        <v>6018</v>
      </c>
      <c r="C555">
        <v>20</v>
      </c>
    </row>
    <row r="556" spans="1:3" x14ac:dyDescent="0.25">
      <c r="A556" s="48" t="s">
        <v>6023</v>
      </c>
      <c r="B556" t="s">
        <v>6024</v>
      </c>
      <c r="C556">
        <v>0</v>
      </c>
    </row>
    <row r="557" spans="1:3" x14ac:dyDescent="0.25">
      <c r="A557" s="48" t="s">
        <v>6051</v>
      </c>
      <c r="B557" t="s">
        <v>6052</v>
      </c>
      <c r="C557">
        <v>7</v>
      </c>
    </row>
    <row r="558" spans="1:3" x14ac:dyDescent="0.25">
      <c r="A558" s="48" t="s">
        <v>9730</v>
      </c>
      <c r="B558" t="s">
        <v>9731</v>
      </c>
      <c r="C558">
        <v>0</v>
      </c>
    </row>
    <row r="559" spans="1:3" x14ac:dyDescent="0.25">
      <c r="A559" s="48" t="s">
        <v>6038</v>
      </c>
      <c r="B559" t="s">
        <v>6037</v>
      </c>
      <c r="C559">
        <v>2</v>
      </c>
    </row>
    <row r="560" spans="1:3" x14ac:dyDescent="0.25">
      <c r="A560" s="48" t="s">
        <v>6029</v>
      </c>
      <c r="B560" t="s">
        <v>6030</v>
      </c>
      <c r="C560">
        <v>18</v>
      </c>
    </row>
    <row r="561" spans="1:3" x14ac:dyDescent="0.25">
      <c r="A561" s="48" t="s">
        <v>14232</v>
      </c>
      <c r="B561" t="s">
        <v>14233</v>
      </c>
      <c r="C561">
        <v>5</v>
      </c>
    </row>
    <row r="562" spans="1:3" x14ac:dyDescent="0.25">
      <c r="A562" s="48" t="s">
        <v>361</v>
      </c>
      <c r="B562" t="s">
        <v>362</v>
      </c>
      <c r="C562">
        <v>4</v>
      </c>
    </row>
    <row r="563" spans="1:3" x14ac:dyDescent="0.25">
      <c r="A563" s="48" t="s">
        <v>7786</v>
      </c>
      <c r="B563" t="s">
        <v>7787</v>
      </c>
      <c r="C563">
        <v>20</v>
      </c>
    </row>
    <row r="564" spans="1:3" x14ac:dyDescent="0.25">
      <c r="A564" s="48" t="s">
        <v>14118</v>
      </c>
      <c r="B564" t="s">
        <v>14119</v>
      </c>
      <c r="C564">
        <v>17</v>
      </c>
    </row>
    <row r="565" spans="1:3" x14ac:dyDescent="0.25">
      <c r="A565" s="48" t="s">
        <v>18933</v>
      </c>
      <c r="B565" t="s">
        <v>18934</v>
      </c>
      <c r="C565">
        <v>13</v>
      </c>
    </row>
    <row r="566" spans="1:3" x14ac:dyDescent="0.25">
      <c r="A566" s="48" t="s">
        <v>18929</v>
      </c>
      <c r="B566" t="s">
        <v>18930</v>
      </c>
      <c r="C566">
        <v>11</v>
      </c>
    </row>
    <row r="567" spans="1:3" x14ac:dyDescent="0.25">
      <c r="A567" s="48" t="s">
        <v>1757</v>
      </c>
      <c r="B567" t="s">
        <v>1758</v>
      </c>
      <c r="C567">
        <v>18</v>
      </c>
    </row>
    <row r="568" spans="1:3" x14ac:dyDescent="0.25">
      <c r="A568" s="48" t="s">
        <v>17776</v>
      </c>
      <c r="B568" t="s">
        <v>17777</v>
      </c>
      <c r="C568">
        <v>13</v>
      </c>
    </row>
    <row r="569" spans="1:3" x14ac:dyDescent="0.25">
      <c r="A569" s="48" t="s">
        <v>9728</v>
      </c>
      <c r="B569" t="s">
        <v>9729</v>
      </c>
      <c r="C569">
        <v>0</v>
      </c>
    </row>
    <row r="570" spans="1:3" x14ac:dyDescent="0.25">
      <c r="A570" s="48" t="s">
        <v>659</v>
      </c>
      <c r="B570" t="s">
        <v>660</v>
      </c>
      <c r="C570">
        <v>11</v>
      </c>
    </row>
    <row r="571" spans="1:3" x14ac:dyDescent="0.25">
      <c r="A571" s="48" t="s">
        <v>999</v>
      </c>
      <c r="B571" t="s">
        <v>1000</v>
      </c>
      <c r="C571">
        <v>0</v>
      </c>
    </row>
    <row r="572" spans="1:3" x14ac:dyDescent="0.25">
      <c r="A572" s="48" t="s">
        <v>9248</v>
      </c>
      <c r="B572" t="s">
        <v>19975</v>
      </c>
      <c r="C572">
        <v>0</v>
      </c>
    </row>
    <row r="573" spans="1:3" x14ac:dyDescent="0.25">
      <c r="A573" s="48" t="s">
        <v>7096</v>
      </c>
      <c r="B573" t="s">
        <v>19976</v>
      </c>
      <c r="C573">
        <v>14</v>
      </c>
    </row>
    <row r="574" spans="1:3" x14ac:dyDescent="0.25">
      <c r="A574" s="48" t="s">
        <v>3426</v>
      </c>
      <c r="B574" t="s">
        <v>3427</v>
      </c>
      <c r="C574">
        <v>1</v>
      </c>
    </row>
    <row r="575" spans="1:3" x14ac:dyDescent="0.25">
      <c r="A575" s="48" t="s">
        <v>6077</v>
      </c>
      <c r="B575" t="s">
        <v>19977</v>
      </c>
      <c r="C575">
        <v>10</v>
      </c>
    </row>
    <row r="576" spans="1:3" x14ac:dyDescent="0.25">
      <c r="A576" s="48" t="s">
        <v>1990</v>
      </c>
      <c r="B576" t="s">
        <v>1991</v>
      </c>
      <c r="C576">
        <v>22</v>
      </c>
    </row>
    <row r="577" spans="1:3" x14ac:dyDescent="0.25">
      <c r="A577" s="48" t="s">
        <v>1998</v>
      </c>
      <c r="B577" t="s">
        <v>1999</v>
      </c>
      <c r="C577">
        <v>63</v>
      </c>
    </row>
    <row r="578" spans="1:3" x14ac:dyDescent="0.25">
      <c r="A578" s="48" t="s">
        <v>8391</v>
      </c>
      <c r="B578" t="s">
        <v>8392</v>
      </c>
      <c r="C578">
        <v>15</v>
      </c>
    </row>
    <row r="579" spans="1:3" x14ac:dyDescent="0.25">
      <c r="A579" s="48" t="s">
        <v>12459</v>
      </c>
      <c r="B579" t="s">
        <v>12460</v>
      </c>
      <c r="C579">
        <v>0</v>
      </c>
    </row>
    <row r="580" spans="1:3" x14ac:dyDescent="0.25">
      <c r="A580" s="48" t="s">
        <v>13887</v>
      </c>
      <c r="B580" t="s">
        <v>13888</v>
      </c>
      <c r="C580">
        <v>0</v>
      </c>
    </row>
    <row r="581" spans="1:3" x14ac:dyDescent="0.25">
      <c r="A581" s="48" t="s">
        <v>13893</v>
      </c>
      <c r="B581" t="s">
        <v>13894</v>
      </c>
      <c r="C581">
        <v>0</v>
      </c>
    </row>
    <row r="582" spans="1:3" x14ac:dyDescent="0.25">
      <c r="A582" s="48" t="s">
        <v>13891</v>
      </c>
      <c r="B582" t="s">
        <v>13892</v>
      </c>
      <c r="C582">
        <v>0</v>
      </c>
    </row>
    <row r="583" spans="1:3" x14ac:dyDescent="0.25">
      <c r="A583" s="48" t="s">
        <v>13889</v>
      </c>
      <c r="B583" t="s">
        <v>13890</v>
      </c>
      <c r="C583">
        <v>0</v>
      </c>
    </row>
    <row r="584" spans="1:3" x14ac:dyDescent="0.25">
      <c r="A584" s="48" t="s">
        <v>13901</v>
      </c>
      <c r="B584" t="s">
        <v>13902</v>
      </c>
      <c r="C584">
        <v>0</v>
      </c>
    </row>
    <row r="585" spans="1:3" x14ac:dyDescent="0.25">
      <c r="A585" s="48" t="s">
        <v>13903</v>
      </c>
      <c r="B585" t="s">
        <v>13904</v>
      </c>
      <c r="C585">
        <v>0</v>
      </c>
    </row>
    <row r="586" spans="1:3" x14ac:dyDescent="0.25">
      <c r="A586" s="48" t="s">
        <v>13905</v>
      </c>
      <c r="B586" t="s">
        <v>13906</v>
      </c>
      <c r="C586">
        <v>0</v>
      </c>
    </row>
    <row r="587" spans="1:3" x14ac:dyDescent="0.25">
      <c r="A587" s="48" t="s">
        <v>13913</v>
      </c>
      <c r="B587" t="s">
        <v>13914</v>
      </c>
      <c r="C587">
        <v>1</v>
      </c>
    </row>
    <row r="588" spans="1:3" x14ac:dyDescent="0.25">
      <c r="A588" s="48" t="s">
        <v>13917</v>
      </c>
      <c r="B588" t="s">
        <v>13918</v>
      </c>
      <c r="C588">
        <v>0</v>
      </c>
    </row>
    <row r="589" spans="1:3" x14ac:dyDescent="0.25">
      <c r="A589" s="48" t="s">
        <v>13897</v>
      </c>
      <c r="B589" t="s">
        <v>13898</v>
      </c>
      <c r="C589">
        <v>0</v>
      </c>
    </row>
    <row r="590" spans="1:3" x14ac:dyDescent="0.25">
      <c r="A590" s="48" t="s">
        <v>13911</v>
      </c>
      <c r="B590" t="s">
        <v>13912</v>
      </c>
      <c r="C590">
        <v>0</v>
      </c>
    </row>
    <row r="591" spans="1:3" x14ac:dyDescent="0.25">
      <c r="A591" s="48" t="s">
        <v>89</v>
      </c>
      <c r="B591" t="s">
        <v>90</v>
      </c>
      <c r="C591">
        <v>0</v>
      </c>
    </row>
    <row r="592" spans="1:3" x14ac:dyDescent="0.25">
      <c r="A592" s="48" t="s">
        <v>7</v>
      </c>
      <c r="B592" t="s">
        <v>8</v>
      </c>
      <c r="C592">
        <v>0</v>
      </c>
    </row>
    <row r="593" spans="1:3" x14ac:dyDescent="0.25">
      <c r="A593" s="48" t="s">
        <v>10127</v>
      </c>
      <c r="B593" t="s">
        <v>10128</v>
      </c>
      <c r="C593">
        <v>2</v>
      </c>
    </row>
    <row r="594" spans="1:3" x14ac:dyDescent="0.25">
      <c r="A594" s="48" t="s">
        <v>10535</v>
      </c>
      <c r="B594" t="s">
        <v>10536</v>
      </c>
      <c r="C594">
        <v>0</v>
      </c>
    </row>
    <row r="595" spans="1:3" x14ac:dyDescent="0.25">
      <c r="A595" s="48" t="s">
        <v>133</v>
      </c>
      <c r="B595" t="s">
        <v>134</v>
      </c>
      <c r="C595">
        <v>109</v>
      </c>
    </row>
    <row r="596" spans="1:3" x14ac:dyDescent="0.25">
      <c r="A596" s="48" t="s">
        <v>8393</v>
      </c>
      <c r="B596" t="s">
        <v>8394</v>
      </c>
      <c r="C596">
        <v>14</v>
      </c>
    </row>
    <row r="597" spans="1:3" x14ac:dyDescent="0.25">
      <c r="A597" s="48" t="s">
        <v>8395</v>
      </c>
      <c r="B597" t="s">
        <v>8396</v>
      </c>
      <c r="C597">
        <v>25</v>
      </c>
    </row>
    <row r="598" spans="1:3" x14ac:dyDescent="0.25">
      <c r="A598" s="48" t="s">
        <v>14473</v>
      </c>
      <c r="B598" t="s">
        <v>14474</v>
      </c>
      <c r="C598">
        <v>218</v>
      </c>
    </row>
    <row r="599" spans="1:3" x14ac:dyDescent="0.25">
      <c r="A599" s="48" t="s">
        <v>16806</v>
      </c>
      <c r="B599" t="s">
        <v>19978</v>
      </c>
      <c r="C599">
        <v>3</v>
      </c>
    </row>
    <row r="600" spans="1:3" x14ac:dyDescent="0.25">
      <c r="A600" s="48" t="s">
        <v>25</v>
      </c>
      <c r="B600" t="s">
        <v>26</v>
      </c>
      <c r="C600">
        <v>20</v>
      </c>
    </row>
    <row r="601" spans="1:3" x14ac:dyDescent="0.25">
      <c r="A601" s="48" t="s">
        <v>14244</v>
      </c>
      <c r="B601" t="s">
        <v>14245</v>
      </c>
      <c r="C601">
        <v>11</v>
      </c>
    </row>
    <row r="602" spans="1:3" x14ac:dyDescent="0.25">
      <c r="A602" s="48" t="s">
        <v>8409</v>
      </c>
      <c r="B602" t="s">
        <v>8410</v>
      </c>
      <c r="C602">
        <v>0</v>
      </c>
    </row>
    <row r="603" spans="1:3" x14ac:dyDescent="0.25">
      <c r="A603" s="48" t="s">
        <v>8417</v>
      </c>
      <c r="B603" t="s">
        <v>8418</v>
      </c>
      <c r="C603">
        <v>0</v>
      </c>
    </row>
    <row r="604" spans="1:3" x14ac:dyDescent="0.25">
      <c r="A604" s="48" t="s">
        <v>7784</v>
      </c>
      <c r="B604" t="s">
        <v>19979</v>
      </c>
      <c r="C604">
        <v>19</v>
      </c>
    </row>
    <row r="605" spans="1:3" x14ac:dyDescent="0.25">
      <c r="A605" s="48" t="s">
        <v>7774</v>
      </c>
      <c r="B605" t="s">
        <v>7775</v>
      </c>
      <c r="C605">
        <v>8</v>
      </c>
    </row>
    <row r="606" spans="1:3" x14ac:dyDescent="0.25">
      <c r="A606" s="48" t="s">
        <v>11992</v>
      </c>
      <c r="B606" t="s">
        <v>19980</v>
      </c>
      <c r="C606">
        <v>7</v>
      </c>
    </row>
    <row r="607" spans="1:3" x14ac:dyDescent="0.25">
      <c r="A607" s="48" t="s">
        <v>1737</v>
      </c>
      <c r="B607" t="s">
        <v>1738</v>
      </c>
      <c r="C607">
        <v>5</v>
      </c>
    </row>
    <row r="608" spans="1:3" x14ac:dyDescent="0.25">
      <c r="A608" s="48" t="s">
        <v>17208</v>
      </c>
      <c r="B608" t="s">
        <v>19981</v>
      </c>
      <c r="C608">
        <v>18</v>
      </c>
    </row>
    <row r="609" spans="1:3" x14ac:dyDescent="0.25">
      <c r="A609" s="48" t="s">
        <v>11990</v>
      </c>
      <c r="B609" t="s">
        <v>19982</v>
      </c>
      <c r="C609">
        <v>15</v>
      </c>
    </row>
    <row r="610" spans="1:3" x14ac:dyDescent="0.25">
      <c r="A610" s="48" t="s">
        <v>137</v>
      </c>
      <c r="B610" t="s">
        <v>138</v>
      </c>
      <c r="C610">
        <v>18</v>
      </c>
    </row>
    <row r="611" spans="1:3" x14ac:dyDescent="0.25">
      <c r="A611" s="48" t="s">
        <v>17050</v>
      </c>
      <c r="B611" t="s">
        <v>19983</v>
      </c>
      <c r="C611">
        <v>9</v>
      </c>
    </row>
    <row r="612" spans="1:3" x14ac:dyDescent="0.25">
      <c r="A612" s="48" t="s">
        <v>9724</v>
      </c>
      <c r="B612" t="s">
        <v>19984</v>
      </c>
      <c r="C612">
        <v>0</v>
      </c>
    </row>
    <row r="613" spans="1:3" x14ac:dyDescent="0.25">
      <c r="A613" s="48" t="s">
        <v>12029</v>
      </c>
      <c r="B613" t="s">
        <v>12030</v>
      </c>
      <c r="C613">
        <v>13</v>
      </c>
    </row>
    <row r="614" spans="1:3" x14ac:dyDescent="0.25">
      <c r="A614" s="48" t="s">
        <v>18902</v>
      </c>
      <c r="B614" t="s">
        <v>19985</v>
      </c>
      <c r="C614">
        <v>20</v>
      </c>
    </row>
    <row r="615" spans="1:3" x14ac:dyDescent="0.25">
      <c r="A615" s="48" t="s">
        <v>3424</v>
      </c>
      <c r="B615" t="s">
        <v>3425</v>
      </c>
      <c r="C615">
        <v>0</v>
      </c>
    </row>
    <row r="616" spans="1:3" x14ac:dyDescent="0.25">
      <c r="A616" s="48" t="s">
        <v>3428</v>
      </c>
      <c r="B616" t="s">
        <v>3429</v>
      </c>
      <c r="C616">
        <v>17</v>
      </c>
    </row>
    <row r="617" spans="1:3" x14ac:dyDescent="0.25">
      <c r="A617" s="48" t="s">
        <v>1379</v>
      </c>
      <c r="B617" t="s">
        <v>1380</v>
      </c>
      <c r="C617">
        <v>47</v>
      </c>
    </row>
    <row r="618" spans="1:3" x14ac:dyDescent="0.25">
      <c r="A618" s="48" t="s">
        <v>741</v>
      </c>
      <c r="B618" t="s">
        <v>742</v>
      </c>
      <c r="C618">
        <v>22</v>
      </c>
    </row>
    <row r="619" spans="1:3" x14ac:dyDescent="0.25">
      <c r="A619" s="48" t="s">
        <v>3747</v>
      </c>
      <c r="B619" t="s">
        <v>19986</v>
      </c>
      <c r="C619">
        <v>4</v>
      </c>
    </row>
    <row r="620" spans="1:3" x14ac:dyDescent="0.25">
      <c r="A620" s="48" t="s">
        <v>3749</v>
      </c>
      <c r="B620" t="s">
        <v>19987</v>
      </c>
      <c r="C620">
        <v>3</v>
      </c>
    </row>
    <row r="621" spans="1:3" x14ac:dyDescent="0.25">
      <c r="A621" s="48" t="s">
        <v>14242</v>
      </c>
      <c r="B621" t="s">
        <v>19988</v>
      </c>
      <c r="C621">
        <v>3</v>
      </c>
    </row>
    <row r="622" spans="1:3" x14ac:dyDescent="0.25">
      <c r="A622" s="48" t="s">
        <v>14248</v>
      </c>
      <c r="B622" t="s">
        <v>14249</v>
      </c>
      <c r="C622">
        <v>5</v>
      </c>
    </row>
    <row r="623" spans="1:3" x14ac:dyDescent="0.25">
      <c r="A623" s="48" t="s">
        <v>7772</v>
      </c>
      <c r="B623" t="s">
        <v>7773</v>
      </c>
      <c r="C623">
        <v>15</v>
      </c>
    </row>
    <row r="624" spans="1:3" x14ac:dyDescent="0.25">
      <c r="A624" s="48" t="s">
        <v>7776</v>
      </c>
      <c r="B624" t="s">
        <v>7777</v>
      </c>
      <c r="C624">
        <v>18</v>
      </c>
    </row>
    <row r="625" spans="1:3" x14ac:dyDescent="0.25">
      <c r="A625" s="48" t="s">
        <v>807</v>
      </c>
      <c r="B625" t="s">
        <v>808</v>
      </c>
      <c r="C625">
        <v>14</v>
      </c>
    </row>
    <row r="626" spans="1:3" x14ac:dyDescent="0.25">
      <c r="A626" s="48" t="s">
        <v>8415</v>
      </c>
      <c r="B626" t="s">
        <v>8416</v>
      </c>
      <c r="C626">
        <v>0</v>
      </c>
    </row>
    <row r="627" spans="1:3" x14ac:dyDescent="0.25">
      <c r="A627" s="48" t="s">
        <v>8419</v>
      </c>
      <c r="B627" t="s">
        <v>8420</v>
      </c>
      <c r="C627">
        <v>0</v>
      </c>
    </row>
    <row r="628" spans="1:3" x14ac:dyDescent="0.25">
      <c r="A628" s="48" t="s">
        <v>8411</v>
      </c>
      <c r="B628" t="s">
        <v>8412</v>
      </c>
      <c r="C628">
        <v>1</v>
      </c>
    </row>
    <row r="629" spans="1:3" x14ac:dyDescent="0.25">
      <c r="A629" s="48" t="s">
        <v>8413</v>
      </c>
      <c r="B629" t="s">
        <v>8414</v>
      </c>
      <c r="C629">
        <v>0</v>
      </c>
    </row>
    <row r="630" spans="1:3" x14ac:dyDescent="0.25">
      <c r="A630" s="48" t="s">
        <v>17210</v>
      </c>
      <c r="B630" t="s">
        <v>17211</v>
      </c>
      <c r="C630">
        <v>15</v>
      </c>
    </row>
    <row r="631" spans="1:3" x14ac:dyDescent="0.25">
      <c r="A631" s="48" t="s">
        <v>19787</v>
      </c>
      <c r="B631" t="s">
        <v>19989</v>
      </c>
      <c r="C631">
        <v>1</v>
      </c>
    </row>
    <row r="632" spans="1:3" x14ac:dyDescent="0.25">
      <c r="A632" s="48" t="s">
        <v>6034</v>
      </c>
      <c r="B632" t="s">
        <v>19990</v>
      </c>
      <c r="C632">
        <v>18</v>
      </c>
    </row>
    <row r="633" spans="1:3" x14ac:dyDescent="0.25">
      <c r="A633" s="48" t="s">
        <v>6027</v>
      </c>
      <c r="B633" t="s">
        <v>19991</v>
      </c>
      <c r="C633">
        <v>28</v>
      </c>
    </row>
    <row r="634" spans="1:3" x14ac:dyDescent="0.25">
      <c r="A634" s="48" t="s">
        <v>6021</v>
      </c>
      <c r="B634" t="s">
        <v>19992</v>
      </c>
      <c r="C634">
        <v>0</v>
      </c>
    </row>
    <row r="635" spans="1:3" x14ac:dyDescent="0.25">
      <c r="A635" s="48" t="s">
        <v>7297</v>
      </c>
      <c r="B635" t="s">
        <v>7298</v>
      </c>
      <c r="C635">
        <v>9</v>
      </c>
    </row>
    <row r="636" spans="1:3" x14ac:dyDescent="0.25">
      <c r="A636" s="48" t="s">
        <v>14009</v>
      </c>
      <c r="B636" t="s">
        <v>14010</v>
      </c>
      <c r="C636">
        <v>2</v>
      </c>
    </row>
    <row r="637" spans="1:3" x14ac:dyDescent="0.25">
      <c r="A637" s="48" t="s">
        <v>14005</v>
      </c>
      <c r="B637" t="s">
        <v>14006</v>
      </c>
      <c r="C637">
        <v>9</v>
      </c>
    </row>
    <row r="638" spans="1:3" x14ac:dyDescent="0.25">
      <c r="A638" s="48" t="s">
        <v>15166</v>
      </c>
      <c r="B638" t="s">
        <v>19993</v>
      </c>
      <c r="C638">
        <v>6</v>
      </c>
    </row>
    <row r="639" spans="1:3" x14ac:dyDescent="0.25">
      <c r="A639" s="48" t="s">
        <v>1071</v>
      </c>
      <c r="B639" t="s">
        <v>1072</v>
      </c>
      <c r="C639">
        <v>18</v>
      </c>
    </row>
    <row r="640" spans="1:3" x14ac:dyDescent="0.25">
      <c r="A640" s="48" t="s">
        <v>4972</v>
      </c>
      <c r="B640" t="s">
        <v>4973</v>
      </c>
      <c r="C640">
        <v>25</v>
      </c>
    </row>
    <row r="641" spans="1:3" x14ac:dyDescent="0.25">
      <c r="A641" s="48" t="s">
        <v>16620</v>
      </c>
      <c r="B641" t="s">
        <v>16621</v>
      </c>
      <c r="C641">
        <v>0</v>
      </c>
    </row>
    <row r="642" spans="1:3" x14ac:dyDescent="0.25">
      <c r="A642" s="48" t="s">
        <v>5854</v>
      </c>
      <c r="B642" t="s">
        <v>5855</v>
      </c>
      <c r="C642">
        <v>0</v>
      </c>
    </row>
    <row r="643" spans="1:3" x14ac:dyDescent="0.25">
      <c r="A643" s="48" t="s">
        <v>5852</v>
      </c>
      <c r="B643" t="s">
        <v>5853</v>
      </c>
      <c r="C643">
        <v>1</v>
      </c>
    </row>
    <row r="644" spans="1:3" x14ac:dyDescent="0.25">
      <c r="A644" s="48" t="s">
        <v>19544</v>
      </c>
      <c r="B644" t="s">
        <v>19545</v>
      </c>
      <c r="C644">
        <v>0</v>
      </c>
    </row>
    <row r="645" spans="1:3" x14ac:dyDescent="0.25">
      <c r="A645" s="48" t="s">
        <v>19547</v>
      </c>
      <c r="B645" t="s">
        <v>19548</v>
      </c>
      <c r="C645">
        <v>0</v>
      </c>
    </row>
    <row r="646" spans="1:3" x14ac:dyDescent="0.25">
      <c r="A646" s="48" t="s">
        <v>5883</v>
      </c>
      <c r="B646" t="s">
        <v>5884</v>
      </c>
      <c r="C646">
        <v>0</v>
      </c>
    </row>
    <row r="647" spans="1:3" x14ac:dyDescent="0.25">
      <c r="A647" s="48" t="s">
        <v>17334</v>
      </c>
      <c r="B647" t="s">
        <v>17335</v>
      </c>
      <c r="C647">
        <v>18</v>
      </c>
    </row>
    <row r="648" spans="1:3" x14ac:dyDescent="0.25">
      <c r="A648" s="48" t="s">
        <v>17332</v>
      </c>
      <c r="B648" t="s">
        <v>17333</v>
      </c>
      <c r="C648">
        <v>1</v>
      </c>
    </row>
    <row r="649" spans="1:3" x14ac:dyDescent="0.25">
      <c r="A649" s="48" t="s">
        <v>12522</v>
      </c>
      <c r="B649" t="s">
        <v>12523</v>
      </c>
      <c r="C649">
        <v>47</v>
      </c>
    </row>
    <row r="650" spans="1:3" x14ac:dyDescent="0.25">
      <c r="A650" s="48" t="s">
        <v>12497</v>
      </c>
      <c r="B650" t="s">
        <v>12498</v>
      </c>
      <c r="C650">
        <v>7</v>
      </c>
    </row>
    <row r="651" spans="1:3" x14ac:dyDescent="0.25">
      <c r="A651" s="48" t="s">
        <v>12493</v>
      </c>
      <c r="B651" t="s">
        <v>12494</v>
      </c>
      <c r="C651">
        <v>0</v>
      </c>
    </row>
    <row r="652" spans="1:3" x14ac:dyDescent="0.25">
      <c r="A652" s="48" t="s">
        <v>7249</v>
      </c>
      <c r="B652" t="s">
        <v>7250</v>
      </c>
      <c r="C652">
        <v>57</v>
      </c>
    </row>
    <row r="653" spans="1:3" x14ac:dyDescent="0.25">
      <c r="A653" s="48" t="s">
        <v>12503</v>
      </c>
      <c r="B653" t="s">
        <v>12504</v>
      </c>
      <c r="C653">
        <v>17</v>
      </c>
    </row>
    <row r="654" spans="1:3" x14ac:dyDescent="0.25">
      <c r="A654" s="48" t="s">
        <v>12541</v>
      </c>
      <c r="B654" t="s">
        <v>12542</v>
      </c>
      <c r="C654">
        <v>5</v>
      </c>
    </row>
    <row r="655" spans="1:3" x14ac:dyDescent="0.25">
      <c r="A655" s="48" t="s">
        <v>12526</v>
      </c>
      <c r="B655" t="s">
        <v>12527</v>
      </c>
      <c r="C655">
        <v>0</v>
      </c>
    </row>
    <row r="656" spans="1:3" x14ac:dyDescent="0.25">
      <c r="A656" s="48" t="s">
        <v>12507</v>
      </c>
      <c r="B656" t="s">
        <v>12508</v>
      </c>
      <c r="C656">
        <v>21</v>
      </c>
    </row>
    <row r="657" spans="1:3" x14ac:dyDescent="0.25">
      <c r="A657" s="48" t="s">
        <v>12518</v>
      </c>
      <c r="B657" t="s">
        <v>12519</v>
      </c>
      <c r="C657">
        <v>6</v>
      </c>
    </row>
    <row r="658" spans="1:3" x14ac:dyDescent="0.25">
      <c r="A658" s="48" t="s">
        <v>12530</v>
      </c>
      <c r="B658" t="s">
        <v>12531</v>
      </c>
      <c r="C658">
        <v>0</v>
      </c>
    </row>
    <row r="659" spans="1:3" x14ac:dyDescent="0.25">
      <c r="A659" s="48" t="s">
        <v>12534</v>
      </c>
      <c r="B659" t="s">
        <v>12535</v>
      </c>
      <c r="C659">
        <v>0</v>
      </c>
    </row>
    <row r="660" spans="1:3" x14ac:dyDescent="0.25">
      <c r="A660" s="48" t="s">
        <v>12547</v>
      </c>
      <c r="B660" t="s">
        <v>12548</v>
      </c>
      <c r="C660">
        <v>2</v>
      </c>
    </row>
    <row r="661" spans="1:3" x14ac:dyDescent="0.25">
      <c r="A661" s="48" t="s">
        <v>7214</v>
      </c>
      <c r="B661" t="s">
        <v>7215</v>
      </c>
      <c r="C661">
        <v>43</v>
      </c>
    </row>
    <row r="662" spans="1:3" x14ac:dyDescent="0.25">
      <c r="A662" s="48" t="s">
        <v>7253</v>
      </c>
      <c r="B662" t="s">
        <v>7254</v>
      </c>
      <c r="C662">
        <v>0</v>
      </c>
    </row>
    <row r="663" spans="1:3" x14ac:dyDescent="0.25">
      <c r="A663" s="48" t="s">
        <v>7238</v>
      </c>
      <c r="B663" t="s">
        <v>7239</v>
      </c>
      <c r="C663">
        <v>0</v>
      </c>
    </row>
    <row r="664" spans="1:3" x14ac:dyDescent="0.25">
      <c r="A664" s="48" t="s">
        <v>7251</v>
      </c>
      <c r="B664" t="s">
        <v>7252</v>
      </c>
      <c r="C664">
        <v>0</v>
      </c>
    </row>
    <row r="665" spans="1:3" x14ac:dyDescent="0.25">
      <c r="A665" s="48" t="s">
        <v>7259</v>
      </c>
      <c r="B665" t="s">
        <v>7260</v>
      </c>
      <c r="C665">
        <v>0</v>
      </c>
    </row>
    <row r="666" spans="1:3" x14ac:dyDescent="0.25">
      <c r="A666" s="48" t="s">
        <v>7222</v>
      </c>
      <c r="B666" t="s">
        <v>7223</v>
      </c>
      <c r="C666">
        <v>37</v>
      </c>
    </row>
    <row r="667" spans="1:3" x14ac:dyDescent="0.25">
      <c r="A667" s="48" t="s">
        <v>7226</v>
      </c>
      <c r="B667" t="s">
        <v>7227</v>
      </c>
      <c r="C667">
        <v>2</v>
      </c>
    </row>
    <row r="668" spans="1:3" x14ac:dyDescent="0.25">
      <c r="A668" s="48" t="s">
        <v>7241</v>
      </c>
      <c r="B668" t="s">
        <v>7242</v>
      </c>
      <c r="C668">
        <v>0</v>
      </c>
    </row>
    <row r="669" spans="1:3" x14ac:dyDescent="0.25">
      <c r="A669" s="48" t="s">
        <v>3556</v>
      </c>
      <c r="B669" t="s">
        <v>19994</v>
      </c>
      <c r="C669">
        <v>16</v>
      </c>
    </row>
    <row r="670" spans="1:3" x14ac:dyDescent="0.25">
      <c r="A670" s="48" t="s">
        <v>355</v>
      </c>
      <c r="B670" t="s">
        <v>356</v>
      </c>
      <c r="C670">
        <v>0</v>
      </c>
    </row>
    <row r="671" spans="1:3" x14ac:dyDescent="0.25">
      <c r="A671" s="48" t="s">
        <v>7265</v>
      </c>
      <c r="B671" t="s">
        <v>7266</v>
      </c>
      <c r="C671">
        <v>0</v>
      </c>
    </row>
    <row r="672" spans="1:3" x14ac:dyDescent="0.25">
      <c r="A672" s="48" t="s">
        <v>6152</v>
      </c>
      <c r="B672" t="s">
        <v>6153</v>
      </c>
      <c r="C672">
        <v>13</v>
      </c>
    </row>
    <row r="673" spans="1:3" x14ac:dyDescent="0.25">
      <c r="A673" s="48" t="s">
        <v>6148</v>
      </c>
      <c r="B673" t="s">
        <v>6149</v>
      </c>
      <c r="C673">
        <v>0</v>
      </c>
    </row>
    <row r="674" spans="1:3" x14ac:dyDescent="0.25">
      <c r="A674" s="48" t="s">
        <v>14120</v>
      </c>
      <c r="B674" t="s">
        <v>14121</v>
      </c>
      <c r="C674">
        <v>15</v>
      </c>
    </row>
    <row r="675" spans="1:3" x14ac:dyDescent="0.25">
      <c r="A675" s="48" t="s">
        <v>3715</v>
      </c>
      <c r="B675" t="s">
        <v>19995</v>
      </c>
      <c r="C675">
        <v>0</v>
      </c>
    </row>
    <row r="676" spans="1:3" x14ac:dyDescent="0.25">
      <c r="A676" s="48" t="s">
        <v>6875</v>
      </c>
      <c r="B676" t="s">
        <v>6876</v>
      </c>
      <c r="C676">
        <v>0</v>
      </c>
    </row>
    <row r="677" spans="1:3" x14ac:dyDescent="0.25">
      <c r="A677" s="48" t="s">
        <v>6881</v>
      </c>
      <c r="B677" t="s">
        <v>6882</v>
      </c>
      <c r="C677">
        <v>0</v>
      </c>
    </row>
    <row r="678" spans="1:3" x14ac:dyDescent="0.25">
      <c r="A678" s="48" t="s">
        <v>1669</v>
      </c>
      <c r="B678" t="s">
        <v>1670</v>
      </c>
      <c r="C678">
        <v>1</v>
      </c>
    </row>
    <row r="679" spans="1:3" x14ac:dyDescent="0.25">
      <c r="A679" s="48" t="s">
        <v>1017</v>
      </c>
      <c r="B679" t="s">
        <v>1018</v>
      </c>
      <c r="C679">
        <v>16</v>
      </c>
    </row>
    <row r="680" spans="1:3" x14ac:dyDescent="0.25">
      <c r="A680" s="48" t="s">
        <v>19268</v>
      </c>
      <c r="B680" t="s">
        <v>19269</v>
      </c>
      <c r="C680">
        <v>27</v>
      </c>
    </row>
    <row r="681" spans="1:3" x14ac:dyDescent="0.25">
      <c r="A681" s="48" t="s">
        <v>171</v>
      </c>
      <c r="B681" t="s">
        <v>172</v>
      </c>
      <c r="C681">
        <v>15</v>
      </c>
    </row>
    <row r="682" spans="1:3" x14ac:dyDescent="0.25">
      <c r="A682" s="48" t="s">
        <v>8838</v>
      </c>
      <c r="B682" t="s">
        <v>8839</v>
      </c>
      <c r="C682">
        <v>12</v>
      </c>
    </row>
    <row r="683" spans="1:3" x14ac:dyDescent="0.25">
      <c r="A683" s="48" t="s">
        <v>8840</v>
      </c>
      <c r="B683" t="s">
        <v>8841</v>
      </c>
      <c r="C683">
        <v>49</v>
      </c>
    </row>
    <row r="684" spans="1:3" x14ac:dyDescent="0.25">
      <c r="A684" s="48" t="s">
        <v>8836</v>
      </c>
      <c r="B684" t="s">
        <v>8837</v>
      </c>
      <c r="C684">
        <v>26</v>
      </c>
    </row>
    <row r="685" spans="1:3" x14ac:dyDescent="0.25">
      <c r="A685" s="48" t="s">
        <v>2973</v>
      </c>
      <c r="B685" t="s">
        <v>19996</v>
      </c>
      <c r="C685">
        <v>11</v>
      </c>
    </row>
    <row r="686" spans="1:3" x14ac:dyDescent="0.25">
      <c r="A686" s="48" t="s">
        <v>2977</v>
      </c>
      <c r="B686" t="s">
        <v>2978</v>
      </c>
      <c r="C686">
        <v>13</v>
      </c>
    </row>
    <row r="687" spans="1:3" x14ac:dyDescent="0.25">
      <c r="A687" s="48" t="s">
        <v>7088</v>
      </c>
      <c r="B687" t="s">
        <v>19997</v>
      </c>
      <c r="C687">
        <v>4</v>
      </c>
    </row>
    <row r="688" spans="1:3" x14ac:dyDescent="0.25">
      <c r="A688" s="48" t="s">
        <v>757</v>
      </c>
      <c r="B688" t="s">
        <v>758</v>
      </c>
      <c r="C688">
        <v>13</v>
      </c>
    </row>
    <row r="689" spans="1:3" x14ac:dyDescent="0.25">
      <c r="A689" s="48" t="s">
        <v>1185</v>
      </c>
      <c r="B689" t="s">
        <v>1186</v>
      </c>
      <c r="C689">
        <v>60</v>
      </c>
    </row>
    <row r="690" spans="1:3" x14ac:dyDescent="0.25">
      <c r="A690" s="48" t="s">
        <v>1970</v>
      </c>
      <c r="B690" t="s">
        <v>1971</v>
      </c>
      <c r="C690">
        <v>54</v>
      </c>
    </row>
    <row r="691" spans="1:3" x14ac:dyDescent="0.25">
      <c r="A691" s="48" t="s">
        <v>7086</v>
      </c>
      <c r="B691" t="s">
        <v>19998</v>
      </c>
      <c r="C691">
        <v>0</v>
      </c>
    </row>
    <row r="692" spans="1:3" x14ac:dyDescent="0.25">
      <c r="A692" s="48" t="s">
        <v>5931</v>
      </c>
      <c r="B692" t="s">
        <v>19999</v>
      </c>
      <c r="C692">
        <v>4</v>
      </c>
    </row>
    <row r="693" spans="1:3" x14ac:dyDescent="0.25">
      <c r="A693" s="48" t="s">
        <v>5933</v>
      </c>
      <c r="B693" t="s">
        <v>5934</v>
      </c>
      <c r="C693">
        <v>17</v>
      </c>
    </row>
    <row r="694" spans="1:3" x14ac:dyDescent="0.25">
      <c r="A694" s="48" t="s">
        <v>5927</v>
      </c>
      <c r="B694" t="s">
        <v>20000</v>
      </c>
      <c r="C694">
        <v>12</v>
      </c>
    </row>
    <row r="695" spans="1:3" x14ac:dyDescent="0.25">
      <c r="A695" s="48" t="s">
        <v>10383</v>
      </c>
      <c r="B695" t="s">
        <v>20001</v>
      </c>
      <c r="C695">
        <v>7</v>
      </c>
    </row>
    <row r="696" spans="1:3" x14ac:dyDescent="0.25">
      <c r="A696" s="48" t="s">
        <v>1950</v>
      </c>
      <c r="B696" t="s">
        <v>1951</v>
      </c>
      <c r="C696">
        <v>15</v>
      </c>
    </row>
    <row r="697" spans="1:3" x14ac:dyDescent="0.25">
      <c r="A697" s="48" t="s">
        <v>1922</v>
      </c>
      <c r="B697" t="s">
        <v>1923</v>
      </c>
      <c r="C697">
        <v>51</v>
      </c>
    </row>
    <row r="698" spans="1:3" x14ac:dyDescent="0.25">
      <c r="A698" s="48" t="s">
        <v>951</v>
      </c>
      <c r="B698" t="s">
        <v>952</v>
      </c>
      <c r="C698">
        <v>20</v>
      </c>
    </row>
    <row r="699" spans="1:3" x14ac:dyDescent="0.25">
      <c r="A699" s="48" t="s">
        <v>16630</v>
      </c>
      <c r="B699" t="s">
        <v>20002</v>
      </c>
      <c r="C699">
        <v>0</v>
      </c>
    </row>
    <row r="700" spans="1:3" x14ac:dyDescent="0.25">
      <c r="A700" s="48" t="s">
        <v>10375</v>
      </c>
      <c r="B700" t="s">
        <v>20003</v>
      </c>
      <c r="C700">
        <v>3</v>
      </c>
    </row>
    <row r="701" spans="1:3" x14ac:dyDescent="0.25">
      <c r="A701" s="48" t="s">
        <v>107</v>
      </c>
      <c r="B701" t="s">
        <v>108</v>
      </c>
      <c r="C701">
        <v>28</v>
      </c>
    </row>
    <row r="702" spans="1:3" x14ac:dyDescent="0.25">
      <c r="A702" s="48" t="s">
        <v>6620</v>
      </c>
      <c r="B702" t="s">
        <v>20004</v>
      </c>
      <c r="C702">
        <v>18</v>
      </c>
    </row>
    <row r="703" spans="1:3" x14ac:dyDescent="0.25">
      <c r="A703" s="48" t="s">
        <v>15921</v>
      </c>
      <c r="B703" t="s">
        <v>20005</v>
      </c>
      <c r="C703">
        <v>9</v>
      </c>
    </row>
    <row r="704" spans="1:3" x14ac:dyDescent="0.25">
      <c r="A704" s="48" t="s">
        <v>17839</v>
      </c>
      <c r="B704" t="s">
        <v>20006</v>
      </c>
      <c r="C704">
        <v>45</v>
      </c>
    </row>
    <row r="705" spans="1:3" x14ac:dyDescent="0.25">
      <c r="A705" s="48" t="s">
        <v>6230</v>
      </c>
      <c r="B705" t="s">
        <v>6231</v>
      </c>
      <c r="C705">
        <v>4</v>
      </c>
    </row>
    <row r="706" spans="1:3" x14ac:dyDescent="0.25">
      <c r="A706" s="48" t="s">
        <v>6228</v>
      </c>
      <c r="B706" t="s">
        <v>20007</v>
      </c>
      <c r="C706">
        <v>8</v>
      </c>
    </row>
    <row r="707" spans="1:3" x14ac:dyDescent="0.25">
      <c r="A707" s="48" t="s">
        <v>6224</v>
      </c>
      <c r="B707" t="s">
        <v>6225</v>
      </c>
      <c r="C707">
        <v>4</v>
      </c>
    </row>
    <row r="708" spans="1:3" x14ac:dyDescent="0.25">
      <c r="A708" s="48" t="s">
        <v>6220</v>
      </c>
      <c r="B708" t="s">
        <v>20008</v>
      </c>
      <c r="C708">
        <v>18</v>
      </c>
    </row>
    <row r="709" spans="1:3" x14ac:dyDescent="0.25">
      <c r="A709" s="48" t="s">
        <v>6236</v>
      </c>
      <c r="B709" t="s">
        <v>6237</v>
      </c>
      <c r="C709">
        <v>3</v>
      </c>
    </row>
    <row r="710" spans="1:3" x14ac:dyDescent="0.25">
      <c r="A710" s="48" t="s">
        <v>6206</v>
      </c>
      <c r="B710" t="s">
        <v>6207</v>
      </c>
      <c r="C710">
        <v>2</v>
      </c>
    </row>
    <row r="711" spans="1:3" x14ac:dyDescent="0.25">
      <c r="A711" s="48" t="s">
        <v>6234</v>
      </c>
      <c r="B711" t="s">
        <v>20009</v>
      </c>
      <c r="C711">
        <v>16</v>
      </c>
    </row>
    <row r="712" spans="1:3" x14ac:dyDescent="0.25">
      <c r="A712" s="48" t="s">
        <v>6202</v>
      </c>
      <c r="B712" t="s">
        <v>20010</v>
      </c>
      <c r="C712">
        <v>21</v>
      </c>
    </row>
    <row r="713" spans="1:3" x14ac:dyDescent="0.25">
      <c r="A713" s="48" t="s">
        <v>1627</v>
      </c>
      <c r="B713" t="s">
        <v>1628</v>
      </c>
      <c r="C713">
        <v>5</v>
      </c>
    </row>
    <row r="714" spans="1:3" x14ac:dyDescent="0.25">
      <c r="A714" s="48" t="s">
        <v>846</v>
      </c>
      <c r="B714" t="s">
        <v>847</v>
      </c>
      <c r="C714">
        <v>21</v>
      </c>
    </row>
    <row r="715" spans="1:3" x14ac:dyDescent="0.25">
      <c r="A715" s="48" t="s">
        <v>7195</v>
      </c>
      <c r="B715" t="s">
        <v>20011</v>
      </c>
      <c r="C715">
        <v>8</v>
      </c>
    </row>
    <row r="716" spans="1:3" x14ac:dyDescent="0.25">
      <c r="A716" s="48" t="s">
        <v>7190</v>
      </c>
      <c r="B716" t="s">
        <v>20012</v>
      </c>
      <c r="C716">
        <v>0</v>
      </c>
    </row>
    <row r="717" spans="1:3" x14ac:dyDescent="0.25">
      <c r="A717" s="48" t="s">
        <v>2004</v>
      </c>
      <c r="B717" t="s">
        <v>2005</v>
      </c>
      <c r="C717" t="s">
        <v>23274</v>
      </c>
    </row>
    <row r="718" spans="1:3" x14ac:dyDescent="0.25">
      <c r="A718" s="48" t="s">
        <v>15917</v>
      </c>
      <c r="B718" t="s">
        <v>20013</v>
      </c>
      <c r="C718">
        <v>4</v>
      </c>
    </row>
    <row r="719" spans="1:3" x14ac:dyDescent="0.25">
      <c r="A719" s="48" t="s">
        <v>47</v>
      </c>
      <c r="B719" t="s">
        <v>48</v>
      </c>
      <c r="C719">
        <v>22</v>
      </c>
    </row>
    <row r="720" spans="1:3" x14ac:dyDescent="0.25">
      <c r="A720" s="48" t="s">
        <v>3479</v>
      </c>
      <c r="B720" t="s">
        <v>3480</v>
      </c>
      <c r="C720">
        <v>46</v>
      </c>
    </row>
    <row r="721" spans="1:3" x14ac:dyDescent="0.25">
      <c r="A721" s="48" t="s">
        <v>7192</v>
      </c>
      <c r="B721" t="s">
        <v>20014</v>
      </c>
      <c r="C721">
        <v>0</v>
      </c>
    </row>
    <row r="722" spans="1:3" x14ac:dyDescent="0.25">
      <c r="A722" s="48" t="s">
        <v>6618</v>
      </c>
      <c r="B722" t="s">
        <v>20015</v>
      </c>
      <c r="C722">
        <v>52</v>
      </c>
    </row>
    <row r="723" spans="1:3" x14ac:dyDescent="0.25">
      <c r="A723" s="48" t="s">
        <v>6622</v>
      </c>
      <c r="B723" t="s">
        <v>6623</v>
      </c>
      <c r="C723">
        <v>16</v>
      </c>
    </row>
    <row r="724" spans="1:3" x14ac:dyDescent="0.25">
      <c r="A724" s="48" t="s">
        <v>13997</v>
      </c>
      <c r="B724" t="s">
        <v>20016</v>
      </c>
      <c r="C724">
        <v>1</v>
      </c>
    </row>
    <row r="725" spans="1:3" x14ac:dyDescent="0.25">
      <c r="A725" s="48" t="s">
        <v>2975</v>
      </c>
      <c r="B725" t="s">
        <v>20017</v>
      </c>
      <c r="C725">
        <v>3</v>
      </c>
    </row>
    <row r="726" spans="1:3" x14ac:dyDescent="0.25">
      <c r="A726" s="48" t="s">
        <v>7090</v>
      </c>
      <c r="B726" t="s">
        <v>20018</v>
      </c>
      <c r="C726">
        <v>8</v>
      </c>
    </row>
    <row r="727" spans="1:3" x14ac:dyDescent="0.25">
      <c r="A727" s="48" t="s">
        <v>10381</v>
      </c>
      <c r="B727" t="s">
        <v>10382</v>
      </c>
      <c r="C727">
        <v>3</v>
      </c>
    </row>
    <row r="728" spans="1:3" x14ac:dyDescent="0.25">
      <c r="A728" s="48" t="s">
        <v>7230</v>
      </c>
      <c r="B728" t="s">
        <v>7231</v>
      </c>
      <c r="C728">
        <v>38</v>
      </c>
    </row>
    <row r="729" spans="1:3" x14ac:dyDescent="0.25">
      <c r="A729" s="48" t="s">
        <v>7263</v>
      </c>
      <c r="B729" t="s">
        <v>20019</v>
      </c>
      <c r="C729">
        <v>4</v>
      </c>
    </row>
    <row r="730" spans="1:3" x14ac:dyDescent="0.25">
      <c r="A730" s="48" t="s">
        <v>7245</v>
      </c>
      <c r="B730" t="s">
        <v>20020</v>
      </c>
      <c r="C730">
        <v>9</v>
      </c>
    </row>
    <row r="731" spans="1:3" x14ac:dyDescent="0.25">
      <c r="A731" s="48" t="s">
        <v>18911</v>
      </c>
      <c r="B731" t="s">
        <v>20021</v>
      </c>
      <c r="C731">
        <v>1</v>
      </c>
    </row>
    <row r="732" spans="1:3" x14ac:dyDescent="0.25">
      <c r="A732" s="48" t="s">
        <v>18909</v>
      </c>
      <c r="B732" t="s">
        <v>20022</v>
      </c>
      <c r="C732">
        <v>3</v>
      </c>
    </row>
    <row r="733" spans="1:3" x14ac:dyDescent="0.25">
      <c r="A733" s="48" t="s">
        <v>17370</v>
      </c>
      <c r="B733" t="s">
        <v>20023</v>
      </c>
      <c r="C733">
        <v>0</v>
      </c>
    </row>
    <row r="734" spans="1:3" x14ac:dyDescent="0.25">
      <c r="A734" s="48" t="s">
        <v>7370</v>
      </c>
      <c r="B734" t="s">
        <v>7371</v>
      </c>
      <c r="C734">
        <v>15</v>
      </c>
    </row>
    <row r="735" spans="1:3" x14ac:dyDescent="0.25">
      <c r="A735" s="48" t="s">
        <v>7342</v>
      </c>
      <c r="B735" t="s">
        <v>7343</v>
      </c>
      <c r="C735">
        <v>31</v>
      </c>
    </row>
    <row r="736" spans="1:3" x14ac:dyDescent="0.25">
      <c r="A736" s="48" t="s">
        <v>2144</v>
      </c>
      <c r="B736" t="s">
        <v>2145</v>
      </c>
      <c r="C736">
        <v>0</v>
      </c>
    </row>
    <row r="737" spans="1:3" x14ac:dyDescent="0.25">
      <c r="A737" s="48" t="s">
        <v>17372</v>
      </c>
      <c r="B737" t="s">
        <v>17373</v>
      </c>
      <c r="C737">
        <v>0</v>
      </c>
    </row>
    <row r="738" spans="1:3" x14ac:dyDescent="0.25">
      <c r="A738" s="48" t="s">
        <v>14230</v>
      </c>
      <c r="B738" t="s">
        <v>14231</v>
      </c>
      <c r="C738">
        <v>16</v>
      </c>
    </row>
    <row r="739" spans="1:3" x14ac:dyDescent="0.25">
      <c r="A739" s="48" t="s">
        <v>1825</v>
      </c>
      <c r="B739" t="s">
        <v>1826</v>
      </c>
      <c r="C739">
        <v>16</v>
      </c>
    </row>
    <row r="740" spans="1:3" x14ac:dyDescent="0.25">
      <c r="A740" s="48" t="s">
        <v>6920</v>
      </c>
      <c r="B740" t="s">
        <v>6921</v>
      </c>
      <c r="C740">
        <v>0</v>
      </c>
    </row>
    <row r="741" spans="1:3" x14ac:dyDescent="0.25">
      <c r="A741" s="48" t="s">
        <v>6924</v>
      </c>
      <c r="B741" t="s">
        <v>6925</v>
      </c>
      <c r="C741">
        <v>3</v>
      </c>
    </row>
    <row r="742" spans="1:3" x14ac:dyDescent="0.25">
      <c r="A742" s="48" t="s">
        <v>7400</v>
      </c>
      <c r="B742" t="s">
        <v>7401</v>
      </c>
      <c r="C742">
        <v>2</v>
      </c>
    </row>
    <row r="743" spans="1:3" x14ac:dyDescent="0.25">
      <c r="A743" s="48" t="s">
        <v>7402</v>
      </c>
      <c r="B743" t="s">
        <v>7403</v>
      </c>
      <c r="C743">
        <v>15</v>
      </c>
    </row>
    <row r="744" spans="1:3" x14ac:dyDescent="0.25">
      <c r="A744" s="48" t="s">
        <v>2961</v>
      </c>
      <c r="B744" t="s">
        <v>2962</v>
      </c>
      <c r="C744">
        <v>14</v>
      </c>
    </row>
    <row r="745" spans="1:3" x14ac:dyDescent="0.25">
      <c r="A745" s="48" t="s">
        <v>2957</v>
      </c>
      <c r="B745" t="s">
        <v>2958</v>
      </c>
      <c r="C745">
        <v>18</v>
      </c>
    </row>
    <row r="746" spans="1:3" x14ac:dyDescent="0.25">
      <c r="A746" s="48" t="s">
        <v>7682</v>
      </c>
      <c r="B746" t="s">
        <v>7683</v>
      </c>
      <c r="C746">
        <v>1</v>
      </c>
    </row>
    <row r="747" spans="1:3" x14ac:dyDescent="0.25">
      <c r="A747" s="48" t="s">
        <v>9718</v>
      </c>
      <c r="B747" t="s">
        <v>9719</v>
      </c>
      <c r="C747">
        <v>8</v>
      </c>
    </row>
    <row r="748" spans="1:3" x14ac:dyDescent="0.25">
      <c r="A748" s="48" t="s">
        <v>9714</v>
      </c>
      <c r="B748" t="s">
        <v>9715</v>
      </c>
      <c r="C748">
        <v>2</v>
      </c>
    </row>
    <row r="749" spans="1:3" x14ac:dyDescent="0.25">
      <c r="A749" s="48" t="s">
        <v>9720</v>
      </c>
      <c r="B749" t="s">
        <v>9721</v>
      </c>
      <c r="C749">
        <v>2</v>
      </c>
    </row>
    <row r="750" spans="1:3" x14ac:dyDescent="0.25">
      <c r="A750" s="48" t="s">
        <v>19316</v>
      </c>
      <c r="B750" t="s">
        <v>19317</v>
      </c>
      <c r="C750">
        <v>2</v>
      </c>
    </row>
    <row r="751" spans="1:3" x14ac:dyDescent="0.25">
      <c r="A751" s="48" t="s">
        <v>1952</v>
      </c>
      <c r="B751" t="s">
        <v>1953</v>
      </c>
      <c r="C751">
        <v>7</v>
      </c>
    </row>
    <row r="752" spans="1:3" x14ac:dyDescent="0.25">
      <c r="A752" s="48" t="s">
        <v>507</v>
      </c>
      <c r="B752" t="s">
        <v>508</v>
      </c>
      <c r="C752">
        <v>12</v>
      </c>
    </row>
    <row r="753" spans="1:3" x14ac:dyDescent="0.25">
      <c r="A753" s="48" t="s">
        <v>4717</v>
      </c>
      <c r="B753" t="s">
        <v>4718</v>
      </c>
      <c r="C753">
        <v>12</v>
      </c>
    </row>
    <row r="754" spans="1:3" x14ac:dyDescent="0.25">
      <c r="A754" s="48" t="s">
        <v>15160</v>
      </c>
      <c r="B754" t="s">
        <v>15161</v>
      </c>
      <c r="C754">
        <v>0</v>
      </c>
    </row>
    <row r="755" spans="1:3" x14ac:dyDescent="0.25">
      <c r="A755" s="48" t="s">
        <v>7200</v>
      </c>
      <c r="B755" t="s">
        <v>7201</v>
      </c>
      <c r="C755">
        <v>12</v>
      </c>
    </row>
    <row r="756" spans="1:3" x14ac:dyDescent="0.25">
      <c r="A756" s="48" t="s">
        <v>7426</v>
      </c>
      <c r="B756" t="s">
        <v>7427</v>
      </c>
      <c r="C756">
        <v>12</v>
      </c>
    </row>
    <row r="757" spans="1:3" x14ac:dyDescent="0.25">
      <c r="A757" s="48" t="s">
        <v>639</v>
      </c>
      <c r="B757" t="s">
        <v>640</v>
      </c>
      <c r="C757">
        <v>0</v>
      </c>
    </row>
    <row r="758" spans="1:3" x14ac:dyDescent="0.25">
      <c r="A758" s="48" t="s">
        <v>803</v>
      </c>
      <c r="B758" t="s">
        <v>804</v>
      </c>
      <c r="C758">
        <v>20</v>
      </c>
    </row>
    <row r="759" spans="1:3" x14ac:dyDescent="0.25">
      <c r="A759" s="48" t="s">
        <v>837</v>
      </c>
      <c r="B759" t="s">
        <v>838</v>
      </c>
      <c r="C759">
        <v>30</v>
      </c>
    </row>
    <row r="760" spans="1:3" x14ac:dyDescent="0.25">
      <c r="A760" s="48" t="s">
        <v>3125</v>
      </c>
      <c r="B760" t="s">
        <v>3126</v>
      </c>
      <c r="C760">
        <v>0</v>
      </c>
    </row>
    <row r="761" spans="1:3" x14ac:dyDescent="0.25">
      <c r="A761" s="48" t="s">
        <v>3563</v>
      </c>
      <c r="B761" t="s">
        <v>3564</v>
      </c>
      <c r="C761">
        <v>0</v>
      </c>
    </row>
    <row r="762" spans="1:3" x14ac:dyDescent="0.25">
      <c r="A762" s="48" t="s">
        <v>7198</v>
      </c>
      <c r="B762" t="s">
        <v>7199</v>
      </c>
      <c r="C762">
        <v>2</v>
      </c>
    </row>
    <row r="763" spans="1:3" x14ac:dyDescent="0.25">
      <c r="A763" s="48" t="s">
        <v>7216</v>
      </c>
      <c r="B763" t="s">
        <v>7217</v>
      </c>
      <c r="C763">
        <v>0</v>
      </c>
    </row>
    <row r="764" spans="1:3" x14ac:dyDescent="0.25">
      <c r="A764" s="48" t="s">
        <v>3559</v>
      </c>
      <c r="B764" t="s">
        <v>3560</v>
      </c>
      <c r="C764">
        <v>11</v>
      </c>
    </row>
    <row r="765" spans="1:3" x14ac:dyDescent="0.25">
      <c r="A765" s="48" t="s">
        <v>915</v>
      </c>
      <c r="B765" t="s">
        <v>916</v>
      </c>
      <c r="C765">
        <v>5</v>
      </c>
    </row>
    <row r="766" spans="1:3" x14ac:dyDescent="0.25">
      <c r="A766" s="48" t="s">
        <v>1367</v>
      </c>
      <c r="B766" t="s">
        <v>1368</v>
      </c>
      <c r="C766">
        <v>0</v>
      </c>
    </row>
    <row r="767" spans="1:3" x14ac:dyDescent="0.25">
      <c r="A767" s="48" t="s">
        <v>19270</v>
      </c>
      <c r="B767" t="s">
        <v>19271</v>
      </c>
      <c r="C767">
        <v>3</v>
      </c>
    </row>
    <row r="768" spans="1:3" x14ac:dyDescent="0.25">
      <c r="A768" s="48" t="s">
        <v>1874</v>
      </c>
      <c r="B768" t="s">
        <v>1875</v>
      </c>
      <c r="C768">
        <v>13</v>
      </c>
    </row>
    <row r="769" spans="1:3" x14ac:dyDescent="0.25">
      <c r="A769" s="48" t="s">
        <v>14007</v>
      </c>
      <c r="B769" t="s">
        <v>20024</v>
      </c>
      <c r="C769">
        <v>0</v>
      </c>
    </row>
    <row r="770" spans="1:3" x14ac:dyDescent="0.25">
      <c r="A770" s="48" t="s">
        <v>3554</v>
      </c>
      <c r="B770" t="s">
        <v>20025</v>
      </c>
      <c r="C770">
        <v>9</v>
      </c>
    </row>
    <row r="771" spans="1:3" x14ac:dyDescent="0.25">
      <c r="A771" s="48" t="s">
        <v>15925</v>
      </c>
      <c r="B771" t="s">
        <v>15926</v>
      </c>
      <c r="C771">
        <v>0</v>
      </c>
    </row>
    <row r="772" spans="1:3" x14ac:dyDescent="0.25">
      <c r="A772" s="48" t="s">
        <v>15923</v>
      </c>
      <c r="B772" t="s">
        <v>15924</v>
      </c>
      <c r="C772">
        <v>2</v>
      </c>
    </row>
    <row r="773" spans="1:3" x14ac:dyDescent="0.25">
      <c r="A773" s="48" t="s">
        <v>2955</v>
      </c>
      <c r="B773" t="s">
        <v>2956</v>
      </c>
      <c r="C773">
        <v>18</v>
      </c>
    </row>
    <row r="774" spans="1:3" x14ac:dyDescent="0.25">
      <c r="A774" s="48" t="s">
        <v>1994</v>
      </c>
      <c r="B774" t="s">
        <v>1995</v>
      </c>
      <c r="C774">
        <v>24</v>
      </c>
    </row>
    <row r="775" spans="1:3" x14ac:dyDescent="0.25">
      <c r="A775" s="48" t="s">
        <v>12032</v>
      </c>
      <c r="B775" t="s">
        <v>20026</v>
      </c>
      <c r="C775">
        <v>0</v>
      </c>
    </row>
    <row r="776" spans="1:3" x14ac:dyDescent="0.25">
      <c r="A776" s="48" t="s">
        <v>9468</v>
      </c>
      <c r="B776" t="s">
        <v>9469</v>
      </c>
      <c r="C776">
        <v>1</v>
      </c>
    </row>
    <row r="777" spans="1:3" x14ac:dyDescent="0.25">
      <c r="A777" s="48" t="s">
        <v>9466</v>
      </c>
      <c r="B777" t="s">
        <v>9467</v>
      </c>
      <c r="C777">
        <v>90</v>
      </c>
    </row>
    <row r="778" spans="1:3" x14ac:dyDescent="0.25">
      <c r="A778" s="48" t="s">
        <v>1974</v>
      </c>
      <c r="B778" t="s">
        <v>1975</v>
      </c>
      <c r="C778">
        <v>15</v>
      </c>
    </row>
    <row r="779" spans="1:3" x14ac:dyDescent="0.25">
      <c r="A779" s="48" t="s">
        <v>12461</v>
      </c>
      <c r="B779" t="s">
        <v>12462</v>
      </c>
      <c r="C779">
        <v>0</v>
      </c>
    </row>
    <row r="780" spans="1:3" x14ac:dyDescent="0.25">
      <c r="A780" s="48" t="s">
        <v>9712</v>
      </c>
      <c r="B780" t="s">
        <v>9713</v>
      </c>
      <c r="C780">
        <v>3</v>
      </c>
    </row>
    <row r="781" spans="1:3" x14ac:dyDescent="0.25">
      <c r="A781" s="48" t="s">
        <v>1171</v>
      </c>
      <c r="B781" t="s">
        <v>1172</v>
      </c>
      <c r="C781">
        <v>42</v>
      </c>
    </row>
    <row r="782" spans="1:3" x14ac:dyDescent="0.25">
      <c r="A782" s="48" t="s">
        <v>7368</v>
      </c>
      <c r="B782" t="s">
        <v>20027</v>
      </c>
      <c r="C782">
        <v>7</v>
      </c>
    </row>
    <row r="783" spans="1:3" x14ac:dyDescent="0.25">
      <c r="A783" s="48" t="s">
        <v>18883</v>
      </c>
      <c r="B783" t="s">
        <v>20028</v>
      </c>
      <c r="C783">
        <v>30</v>
      </c>
    </row>
    <row r="784" spans="1:3" x14ac:dyDescent="0.25">
      <c r="A784" s="48" t="s">
        <v>7788</v>
      </c>
      <c r="B784" t="s">
        <v>20029</v>
      </c>
      <c r="C784">
        <v>4</v>
      </c>
    </row>
    <row r="785" spans="1:3" x14ac:dyDescent="0.25">
      <c r="A785" s="48" t="s">
        <v>1389</v>
      </c>
      <c r="B785" t="s">
        <v>1390</v>
      </c>
      <c r="C785">
        <v>11</v>
      </c>
    </row>
    <row r="786" spans="1:3" x14ac:dyDescent="0.25">
      <c r="A786" s="48" t="s">
        <v>14129</v>
      </c>
      <c r="B786" t="s">
        <v>14130</v>
      </c>
      <c r="C786">
        <v>21</v>
      </c>
    </row>
    <row r="787" spans="1:3" x14ac:dyDescent="0.25">
      <c r="A787" s="48" t="s">
        <v>3134</v>
      </c>
      <c r="B787" t="s">
        <v>3135</v>
      </c>
      <c r="C787">
        <v>0</v>
      </c>
    </row>
    <row r="788" spans="1:3" x14ac:dyDescent="0.25">
      <c r="A788" s="48" t="s">
        <v>15911</v>
      </c>
      <c r="B788" t="s">
        <v>15912</v>
      </c>
      <c r="C788">
        <v>3</v>
      </c>
    </row>
    <row r="789" spans="1:3" x14ac:dyDescent="0.25">
      <c r="A789" s="48" t="s">
        <v>21</v>
      </c>
      <c r="B789" t="s">
        <v>22</v>
      </c>
      <c r="C789">
        <v>0</v>
      </c>
    </row>
    <row r="790" spans="1:3" x14ac:dyDescent="0.25">
      <c r="A790" s="48" t="s">
        <v>349</v>
      </c>
      <c r="B790" t="s">
        <v>350</v>
      </c>
      <c r="C790">
        <v>2</v>
      </c>
    </row>
    <row r="791" spans="1:3" x14ac:dyDescent="0.25">
      <c r="A791" s="48" t="s">
        <v>1173</v>
      </c>
      <c r="B791" t="s">
        <v>1174</v>
      </c>
      <c r="C791">
        <v>5</v>
      </c>
    </row>
    <row r="792" spans="1:3" x14ac:dyDescent="0.25">
      <c r="A792" s="48" t="s">
        <v>7446</v>
      </c>
      <c r="B792" t="s">
        <v>20030</v>
      </c>
      <c r="C792">
        <v>2</v>
      </c>
    </row>
    <row r="793" spans="1:3" x14ac:dyDescent="0.25">
      <c r="A793" s="48" t="s">
        <v>7450</v>
      </c>
      <c r="B793" t="s">
        <v>20031</v>
      </c>
      <c r="C793">
        <v>4</v>
      </c>
    </row>
    <row r="794" spans="1:3" x14ac:dyDescent="0.25">
      <c r="A794" s="48" t="s">
        <v>15</v>
      </c>
      <c r="B794" t="s">
        <v>16</v>
      </c>
      <c r="C794">
        <v>0</v>
      </c>
    </row>
    <row r="795" spans="1:3" x14ac:dyDescent="0.25">
      <c r="A795" s="48" t="s">
        <v>1595</v>
      </c>
      <c r="B795" t="s">
        <v>1596</v>
      </c>
      <c r="C795">
        <v>7</v>
      </c>
    </row>
    <row r="796" spans="1:3" x14ac:dyDescent="0.25">
      <c r="A796" s="48" t="s">
        <v>14246</v>
      </c>
      <c r="B796" t="s">
        <v>14247</v>
      </c>
      <c r="C796">
        <v>2</v>
      </c>
    </row>
    <row r="797" spans="1:3" x14ac:dyDescent="0.25">
      <c r="A797" s="48" t="s">
        <v>14151</v>
      </c>
      <c r="B797" t="s">
        <v>14152</v>
      </c>
      <c r="C797">
        <v>14</v>
      </c>
    </row>
    <row r="798" spans="1:3" x14ac:dyDescent="0.25">
      <c r="A798" s="48" t="s">
        <v>14147</v>
      </c>
      <c r="B798" t="s">
        <v>14148</v>
      </c>
      <c r="C798">
        <v>2</v>
      </c>
    </row>
    <row r="799" spans="1:3" x14ac:dyDescent="0.25">
      <c r="A799" s="48" t="s">
        <v>14153</v>
      </c>
      <c r="B799" t="s">
        <v>14154</v>
      </c>
      <c r="C799">
        <v>1</v>
      </c>
    </row>
    <row r="800" spans="1:3" x14ac:dyDescent="0.25">
      <c r="A800" s="48" t="s">
        <v>14173</v>
      </c>
      <c r="B800" t="s">
        <v>20032</v>
      </c>
      <c r="C800">
        <v>2</v>
      </c>
    </row>
    <row r="801" spans="1:3" x14ac:dyDescent="0.25">
      <c r="A801" s="48" t="s">
        <v>14171</v>
      </c>
      <c r="B801" t="s">
        <v>20033</v>
      </c>
      <c r="C801">
        <v>2</v>
      </c>
    </row>
    <row r="802" spans="1:3" x14ac:dyDescent="0.25">
      <c r="A802" s="48" t="s">
        <v>14175</v>
      </c>
      <c r="B802" t="s">
        <v>14176</v>
      </c>
      <c r="C802">
        <v>4</v>
      </c>
    </row>
    <row r="803" spans="1:3" x14ac:dyDescent="0.25">
      <c r="A803" s="48" t="s">
        <v>6204</v>
      </c>
      <c r="B803" t="s">
        <v>20034</v>
      </c>
      <c r="C803">
        <v>0</v>
      </c>
    </row>
    <row r="804" spans="1:3" x14ac:dyDescent="0.25">
      <c r="A804" s="48" t="s">
        <v>6222</v>
      </c>
      <c r="B804" t="s">
        <v>20035</v>
      </c>
      <c r="C804">
        <v>1</v>
      </c>
    </row>
    <row r="805" spans="1:3" x14ac:dyDescent="0.25">
      <c r="A805" s="48" t="s">
        <v>6232</v>
      </c>
      <c r="B805" t="s">
        <v>20036</v>
      </c>
      <c r="C805">
        <v>3</v>
      </c>
    </row>
    <row r="806" spans="1:3" x14ac:dyDescent="0.25">
      <c r="A806" s="48" t="s">
        <v>6226</v>
      </c>
      <c r="B806" t="s">
        <v>6227</v>
      </c>
      <c r="C806">
        <v>3</v>
      </c>
    </row>
    <row r="807" spans="1:3" x14ac:dyDescent="0.25">
      <c r="A807" s="48" t="s">
        <v>6210</v>
      </c>
      <c r="B807" t="s">
        <v>20037</v>
      </c>
      <c r="C807">
        <v>4</v>
      </c>
    </row>
    <row r="808" spans="1:3" x14ac:dyDescent="0.25">
      <c r="A808" s="48" t="s">
        <v>6196</v>
      </c>
      <c r="B808" t="s">
        <v>20038</v>
      </c>
      <c r="C808">
        <v>4</v>
      </c>
    </row>
    <row r="809" spans="1:3" x14ac:dyDescent="0.25">
      <c r="A809" s="48" t="s">
        <v>6216</v>
      </c>
      <c r="B809" t="s">
        <v>20039</v>
      </c>
      <c r="C809">
        <v>4</v>
      </c>
    </row>
    <row r="810" spans="1:3" x14ac:dyDescent="0.25">
      <c r="A810" s="48" t="s">
        <v>6192</v>
      </c>
      <c r="B810" t="s">
        <v>20040</v>
      </c>
      <c r="C810">
        <v>3</v>
      </c>
    </row>
    <row r="811" spans="1:3" x14ac:dyDescent="0.25">
      <c r="A811" s="48" t="s">
        <v>1237</v>
      </c>
      <c r="B811" t="s">
        <v>1238</v>
      </c>
      <c r="C811">
        <v>10</v>
      </c>
    </row>
    <row r="812" spans="1:3" x14ac:dyDescent="0.25">
      <c r="A812" s="48" t="s">
        <v>9240</v>
      </c>
      <c r="B812" t="s">
        <v>9241</v>
      </c>
      <c r="C812">
        <v>0</v>
      </c>
    </row>
    <row r="813" spans="1:3" x14ac:dyDescent="0.25">
      <c r="A813" s="48" t="s">
        <v>9238</v>
      </c>
      <c r="B813" t="s">
        <v>9239</v>
      </c>
      <c r="C813">
        <v>0</v>
      </c>
    </row>
    <row r="814" spans="1:3" x14ac:dyDescent="0.25">
      <c r="A814" s="48" t="s">
        <v>1747</v>
      </c>
      <c r="B814" t="s">
        <v>1748</v>
      </c>
      <c r="C814">
        <v>18</v>
      </c>
    </row>
    <row r="815" spans="1:3" x14ac:dyDescent="0.25">
      <c r="A815" s="48" t="s">
        <v>7208</v>
      </c>
      <c r="B815" t="s">
        <v>7209</v>
      </c>
      <c r="C815">
        <v>15</v>
      </c>
    </row>
    <row r="816" spans="1:3" x14ac:dyDescent="0.25">
      <c r="A816" s="48" t="s">
        <v>7778</v>
      </c>
      <c r="B816" t="s">
        <v>7779</v>
      </c>
      <c r="C816">
        <v>1</v>
      </c>
    </row>
    <row r="817" spans="1:3" x14ac:dyDescent="0.25">
      <c r="A817" s="48" t="s">
        <v>7206</v>
      </c>
      <c r="B817" t="s">
        <v>7207</v>
      </c>
      <c r="C817">
        <v>17</v>
      </c>
    </row>
    <row r="818" spans="1:3" x14ac:dyDescent="0.25">
      <c r="A818" s="48" t="s">
        <v>8421</v>
      </c>
      <c r="B818" t="s">
        <v>8422</v>
      </c>
      <c r="C818">
        <v>6</v>
      </c>
    </row>
    <row r="819" spans="1:3" x14ac:dyDescent="0.25">
      <c r="A819" s="48" t="s">
        <v>7281</v>
      </c>
      <c r="B819" t="s">
        <v>7282</v>
      </c>
      <c r="C819">
        <v>10</v>
      </c>
    </row>
    <row r="820" spans="1:3" x14ac:dyDescent="0.25">
      <c r="A820" s="48" t="s">
        <v>769</v>
      </c>
      <c r="B820" t="s">
        <v>770</v>
      </c>
      <c r="C820">
        <v>2</v>
      </c>
    </row>
    <row r="821" spans="1:3" x14ac:dyDescent="0.25">
      <c r="A821" s="48" t="s">
        <v>5879</v>
      </c>
      <c r="B821" t="s">
        <v>20041</v>
      </c>
      <c r="C821">
        <v>1</v>
      </c>
    </row>
    <row r="822" spans="1:3" x14ac:dyDescent="0.25">
      <c r="A822" s="48" t="s">
        <v>15146</v>
      </c>
      <c r="B822" t="s">
        <v>15147</v>
      </c>
      <c r="C822">
        <v>4</v>
      </c>
    </row>
    <row r="823" spans="1:3" x14ac:dyDescent="0.25">
      <c r="A823" s="48" t="s">
        <v>15154</v>
      </c>
      <c r="B823" t="s">
        <v>15155</v>
      </c>
      <c r="C823">
        <v>3</v>
      </c>
    </row>
    <row r="824" spans="1:3" x14ac:dyDescent="0.25">
      <c r="A824" s="48" t="s">
        <v>93</v>
      </c>
      <c r="B824" t="s">
        <v>94</v>
      </c>
      <c r="C824">
        <v>4</v>
      </c>
    </row>
    <row r="825" spans="1:3" x14ac:dyDescent="0.25">
      <c r="A825" s="48" t="s">
        <v>12549</v>
      </c>
      <c r="B825" t="s">
        <v>12550</v>
      </c>
      <c r="C825">
        <v>0</v>
      </c>
    </row>
    <row r="826" spans="1:3" x14ac:dyDescent="0.25">
      <c r="A826" s="48" t="s">
        <v>7686</v>
      </c>
      <c r="B826" t="s">
        <v>7687</v>
      </c>
      <c r="C826">
        <v>0</v>
      </c>
    </row>
    <row r="827" spans="1:3" x14ac:dyDescent="0.25">
      <c r="A827" s="48" t="s">
        <v>12455</v>
      </c>
      <c r="B827" t="s">
        <v>12456</v>
      </c>
      <c r="C827">
        <v>0</v>
      </c>
    </row>
    <row r="828" spans="1:3" x14ac:dyDescent="0.25">
      <c r="A828" s="48" t="s">
        <v>4726</v>
      </c>
      <c r="B828" t="s">
        <v>4727</v>
      </c>
      <c r="C828">
        <v>0</v>
      </c>
    </row>
    <row r="829" spans="1:3" x14ac:dyDescent="0.25">
      <c r="A829" s="48" t="s">
        <v>4724</v>
      </c>
      <c r="B829" t="s">
        <v>4725</v>
      </c>
      <c r="C829">
        <v>12</v>
      </c>
    </row>
    <row r="830" spans="1:3" x14ac:dyDescent="0.25">
      <c r="A830" s="48" t="s">
        <v>7430</v>
      </c>
      <c r="B830" t="s">
        <v>20042</v>
      </c>
      <c r="C830">
        <v>0</v>
      </c>
    </row>
    <row r="831" spans="1:3" x14ac:dyDescent="0.25">
      <c r="A831" s="48" t="s">
        <v>5929</v>
      </c>
      <c r="B831" t="s">
        <v>20043</v>
      </c>
      <c r="C831">
        <v>0</v>
      </c>
    </row>
    <row r="832" spans="1:3" x14ac:dyDescent="0.25">
      <c r="A832" s="48" t="s">
        <v>906</v>
      </c>
      <c r="B832" t="s">
        <v>907</v>
      </c>
      <c r="C832">
        <v>8</v>
      </c>
    </row>
    <row r="833" spans="1:3" x14ac:dyDescent="0.25">
      <c r="A833" s="48" t="s">
        <v>1343</v>
      </c>
      <c r="B833" t="s">
        <v>1344</v>
      </c>
      <c r="C833">
        <v>3</v>
      </c>
    </row>
    <row r="834" spans="1:3" x14ac:dyDescent="0.25">
      <c r="A834" s="48" t="s">
        <v>929</v>
      </c>
      <c r="B834" t="s">
        <v>930</v>
      </c>
      <c r="C834">
        <v>2</v>
      </c>
    </row>
    <row r="835" spans="1:3" x14ac:dyDescent="0.25">
      <c r="A835" s="48" t="s">
        <v>83</v>
      </c>
      <c r="B835" t="s">
        <v>84</v>
      </c>
      <c r="C835">
        <v>3</v>
      </c>
    </row>
    <row r="836" spans="1:3" x14ac:dyDescent="0.25">
      <c r="A836" s="48" t="s">
        <v>4966</v>
      </c>
      <c r="B836" t="s">
        <v>4967</v>
      </c>
      <c r="C836">
        <v>17</v>
      </c>
    </row>
    <row r="837" spans="1:3" x14ac:dyDescent="0.25">
      <c r="A837" s="48" t="s">
        <v>4964</v>
      </c>
      <c r="B837" t="s">
        <v>4965</v>
      </c>
      <c r="C837">
        <v>8</v>
      </c>
    </row>
    <row r="838" spans="1:3" x14ac:dyDescent="0.25">
      <c r="A838" s="48" t="s">
        <v>1837</v>
      </c>
      <c r="B838" t="s">
        <v>1838</v>
      </c>
      <c r="C838">
        <v>0</v>
      </c>
    </row>
    <row r="839" spans="1:3" x14ac:dyDescent="0.25">
      <c r="A839" s="48" t="s">
        <v>1699</v>
      </c>
      <c r="B839" t="s">
        <v>1700</v>
      </c>
      <c r="C839">
        <v>6</v>
      </c>
    </row>
    <row r="840" spans="1:3" x14ac:dyDescent="0.25">
      <c r="A840" s="48" t="s">
        <v>6150</v>
      </c>
      <c r="B840" t="s">
        <v>6151</v>
      </c>
      <c r="C840">
        <v>0</v>
      </c>
    </row>
    <row r="841" spans="1:3" x14ac:dyDescent="0.25">
      <c r="A841" s="48" t="s">
        <v>6056</v>
      </c>
      <c r="B841" t="s">
        <v>6057</v>
      </c>
      <c r="C841">
        <v>3</v>
      </c>
    </row>
    <row r="842" spans="1:3" x14ac:dyDescent="0.25">
      <c r="A842" s="48" t="s">
        <v>3430</v>
      </c>
      <c r="B842" t="s">
        <v>3431</v>
      </c>
      <c r="C842">
        <v>0</v>
      </c>
    </row>
    <row r="843" spans="1:3" x14ac:dyDescent="0.25">
      <c r="A843" s="48" t="s">
        <v>19320</v>
      </c>
      <c r="B843" t="s">
        <v>19321</v>
      </c>
      <c r="C843">
        <v>0</v>
      </c>
    </row>
    <row r="844" spans="1:3" x14ac:dyDescent="0.25">
      <c r="A844" s="48" t="s">
        <v>14187</v>
      </c>
      <c r="B844" t="s">
        <v>14188</v>
      </c>
      <c r="C844">
        <v>0</v>
      </c>
    </row>
    <row r="845" spans="1:3" x14ac:dyDescent="0.25">
      <c r="A845" s="48" t="s">
        <v>15997</v>
      </c>
      <c r="B845" t="s">
        <v>15998</v>
      </c>
      <c r="C845">
        <v>12</v>
      </c>
    </row>
    <row r="846" spans="1:3" x14ac:dyDescent="0.25">
      <c r="A846" s="48" t="s">
        <v>3567</v>
      </c>
      <c r="B846" t="s">
        <v>3568</v>
      </c>
      <c r="C846">
        <v>0</v>
      </c>
    </row>
    <row r="847" spans="1:3" x14ac:dyDescent="0.25">
      <c r="A847" s="48" t="s">
        <v>225</v>
      </c>
      <c r="B847" t="s">
        <v>226</v>
      </c>
      <c r="C847">
        <v>1</v>
      </c>
    </row>
    <row r="848" spans="1:3" x14ac:dyDescent="0.25">
      <c r="A848" s="48" t="s">
        <v>1980</v>
      </c>
      <c r="B848" t="s">
        <v>1981</v>
      </c>
      <c r="C848">
        <v>9</v>
      </c>
    </row>
    <row r="849" spans="1:3" x14ac:dyDescent="0.25">
      <c r="A849" s="48" t="s">
        <v>13702</v>
      </c>
      <c r="B849" t="s">
        <v>13703</v>
      </c>
      <c r="C849">
        <v>3</v>
      </c>
    </row>
    <row r="850" spans="1:3" x14ac:dyDescent="0.25">
      <c r="A850" s="48" t="s">
        <v>7460</v>
      </c>
      <c r="B850" t="s">
        <v>7461</v>
      </c>
      <c r="C850">
        <v>38</v>
      </c>
    </row>
    <row r="851" spans="1:3" x14ac:dyDescent="0.25">
      <c r="A851" s="48" t="s">
        <v>19251</v>
      </c>
      <c r="B851" t="s">
        <v>19252</v>
      </c>
      <c r="C851">
        <v>1</v>
      </c>
    </row>
    <row r="852" spans="1:3" x14ac:dyDescent="0.25">
      <c r="A852" s="48" t="s">
        <v>19259</v>
      </c>
      <c r="B852" t="s">
        <v>19260</v>
      </c>
      <c r="C852">
        <v>1</v>
      </c>
    </row>
    <row r="853" spans="1:3" x14ac:dyDescent="0.25">
      <c r="A853" s="48" t="s">
        <v>19253</v>
      </c>
      <c r="B853" t="s">
        <v>19254</v>
      </c>
      <c r="C853">
        <v>11</v>
      </c>
    </row>
    <row r="854" spans="1:3" x14ac:dyDescent="0.25">
      <c r="A854" s="48" t="s">
        <v>19255</v>
      </c>
      <c r="B854" t="s">
        <v>19256</v>
      </c>
      <c r="C854">
        <v>1</v>
      </c>
    </row>
    <row r="855" spans="1:3" x14ac:dyDescent="0.25">
      <c r="A855" s="48" t="s">
        <v>5990</v>
      </c>
      <c r="B855" t="s">
        <v>5991</v>
      </c>
      <c r="C855">
        <v>0</v>
      </c>
    </row>
    <row r="856" spans="1:3" x14ac:dyDescent="0.25">
      <c r="A856" s="48" t="s">
        <v>13008</v>
      </c>
      <c r="B856" t="s">
        <v>13009</v>
      </c>
      <c r="C856">
        <v>2</v>
      </c>
    </row>
    <row r="857" spans="1:3" x14ac:dyDescent="0.25">
      <c r="A857" s="48" t="s">
        <v>13000</v>
      </c>
      <c r="B857" t="s">
        <v>13001</v>
      </c>
      <c r="C857">
        <v>2</v>
      </c>
    </row>
    <row r="858" spans="1:3" x14ac:dyDescent="0.25">
      <c r="A858" s="48" t="s">
        <v>13024</v>
      </c>
      <c r="B858" t="s">
        <v>13025</v>
      </c>
      <c r="C858">
        <v>2</v>
      </c>
    </row>
    <row r="859" spans="1:3" x14ac:dyDescent="0.25">
      <c r="A859" s="48" t="s">
        <v>5988</v>
      </c>
      <c r="B859" t="s">
        <v>5989</v>
      </c>
      <c r="C859">
        <v>0</v>
      </c>
    </row>
    <row r="860" spans="1:3" x14ac:dyDescent="0.25">
      <c r="A860" s="48" t="s">
        <v>8407</v>
      </c>
      <c r="B860" t="s">
        <v>8408</v>
      </c>
      <c r="C860">
        <v>1</v>
      </c>
    </row>
    <row r="861" spans="1:3" x14ac:dyDescent="0.25">
      <c r="A861" s="48" t="s">
        <v>13016</v>
      </c>
      <c r="B861" t="s">
        <v>13017</v>
      </c>
      <c r="C861">
        <v>2</v>
      </c>
    </row>
    <row r="862" spans="1:3" x14ac:dyDescent="0.25">
      <c r="A862" s="48" t="s">
        <v>6952</v>
      </c>
      <c r="B862" t="s">
        <v>6953</v>
      </c>
      <c r="C862">
        <v>0</v>
      </c>
    </row>
    <row r="863" spans="1:3" x14ac:dyDescent="0.25">
      <c r="A863" s="48" t="s">
        <v>6954</v>
      </c>
      <c r="B863" t="s">
        <v>6955</v>
      </c>
      <c r="C863">
        <v>0</v>
      </c>
    </row>
    <row r="864" spans="1:3" x14ac:dyDescent="0.25">
      <c r="A864" s="48" t="s">
        <v>6950</v>
      </c>
      <c r="B864" t="s">
        <v>6951</v>
      </c>
      <c r="C864">
        <v>0</v>
      </c>
    </row>
    <row r="865" spans="1:3" x14ac:dyDescent="0.25">
      <c r="A865" s="48" t="s">
        <v>3757</v>
      </c>
      <c r="B865" t="s">
        <v>3758</v>
      </c>
      <c r="C865">
        <v>0</v>
      </c>
    </row>
    <row r="866" spans="1:3" x14ac:dyDescent="0.25">
      <c r="A866" s="48" t="s">
        <v>3759</v>
      </c>
      <c r="B866" t="s">
        <v>3760</v>
      </c>
      <c r="C866">
        <v>11</v>
      </c>
    </row>
    <row r="867" spans="1:3" x14ac:dyDescent="0.25">
      <c r="A867" s="48" t="s">
        <v>3755</v>
      </c>
      <c r="B867" t="s">
        <v>3756</v>
      </c>
      <c r="C867">
        <v>7</v>
      </c>
    </row>
    <row r="868" spans="1:3" x14ac:dyDescent="0.25">
      <c r="A868" s="48" t="s">
        <v>3767</v>
      </c>
      <c r="B868" t="s">
        <v>3768</v>
      </c>
      <c r="C868">
        <v>0</v>
      </c>
    </row>
    <row r="869" spans="1:3" x14ac:dyDescent="0.25">
      <c r="A869" s="48" t="s">
        <v>3769</v>
      </c>
      <c r="B869" t="s">
        <v>3770</v>
      </c>
      <c r="C869">
        <v>6</v>
      </c>
    </row>
    <row r="870" spans="1:3" x14ac:dyDescent="0.25">
      <c r="A870" s="48" t="s">
        <v>3765</v>
      </c>
      <c r="B870" t="s">
        <v>3766</v>
      </c>
      <c r="C870">
        <v>9</v>
      </c>
    </row>
    <row r="871" spans="1:3" x14ac:dyDescent="0.25">
      <c r="A871" s="48" t="s">
        <v>19643</v>
      </c>
      <c r="B871" t="s">
        <v>19644</v>
      </c>
      <c r="C871">
        <v>0</v>
      </c>
    </row>
    <row r="872" spans="1:3" x14ac:dyDescent="0.25">
      <c r="A872" s="48" t="s">
        <v>19645</v>
      </c>
      <c r="B872" t="s">
        <v>19646</v>
      </c>
      <c r="C872">
        <v>5</v>
      </c>
    </row>
    <row r="873" spans="1:3" x14ac:dyDescent="0.25">
      <c r="A873" s="48" t="s">
        <v>19641</v>
      </c>
      <c r="B873" t="s">
        <v>19642</v>
      </c>
      <c r="C873">
        <v>7</v>
      </c>
    </row>
    <row r="874" spans="1:3" x14ac:dyDescent="0.25">
      <c r="A874" s="48" t="s">
        <v>5868</v>
      </c>
      <c r="B874" t="s">
        <v>5869</v>
      </c>
      <c r="C874">
        <v>0</v>
      </c>
    </row>
    <row r="875" spans="1:3" x14ac:dyDescent="0.25">
      <c r="A875" s="48" t="s">
        <v>5870</v>
      </c>
      <c r="B875" t="s">
        <v>5871</v>
      </c>
      <c r="C875">
        <v>14</v>
      </c>
    </row>
    <row r="876" spans="1:3" x14ac:dyDescent="0.25">
      <c r="A876" s="48" t="s">
        <v>5866</v>
      </c>
      <c r="B876" t="s">
        <v>5867</v>
      </c>
      <c r="C876">
        <v>4</v>
      </c>
    </row>
    <row r="877" spans="1:3" x14ac:dyDescent="0.25">
      <c r="A877" s="48" t="s">
        <v>9255</v>
      </c>
      <c r="B877" t="s">
        <v>9256</v>
      </c>
      <c r="C877">
        <v>0</v>
      </c>
    </row>
    <row r="878" spans="1:3" x14ac:dyDescent="0.25">
      <c r="A878" s="48" t="s">
        <v>9253</v>
      </c>
      <c r="B878" t="s">
        <v>9254</v>
      </c>
      <c r="C878">
        <v>8</v>
      </c>
    </row>
    <row r="879" spans="1:3" x14ac:dyDescent="0.25">
      <c r="A879" s="48" t="s">
        <v>667</v>
      </c>
      <c r="B879" t="s">
        <v>668</v>
      </c>
      <c r="C879">
        <v>3</v>
      </c>
    </row>
    <row r="880" spans="1:3" x14ac:dyDescent="0.25">
      <c r="A880" s="48" t="s">
        <v>3569</v>
      </c>
      <c r="B880" t="s">
        <v>3570</v>
      </c>
      <c r="C880">
        <v>0</v>
      </c>
    </row>
    <row r="881" spans="1:3" x14ac:dyDescent="0.25">
      <c r="A881" s="48" t="s">
        <v>227</v>
      </c>
      <c r="B881" t="s">
        <v>228</v>
      </c>
      <c r="C881">
        <v>0</v>
      </c>
    </row>
    <row r="882" spans="1:3" x14ac:dyDescent="0.25">
      <c r="A882" s="48" t="s">
        <v>7350</v>
      </c>
      <c r="B882" t="s">
        <v>7351</v>
      </c>
      <c r="C882">
        <v>1</v>
      </c>
    </row>
    <row r="883" spans="1:3" x14ac:dyDescent="0.25">
      <c r="A883" s="48" t="s">
        <v>7354</v>
      </c>
      <c r="B883" t="s">
        <v>7355</v>
      </c>
      <c r="C883">
        <v>4</v>
      </c>
    </row>
    <row r="884" spans="1:3" x14ac:dyDescent="0.25">
      <c r="A884" s="48" t="s">
        <v>18913</v>
      </c>
      <c r="B884" t="s">
        <v>18914</v>
      </c>
      <c r="C884">
        <v>0</v>
      </c>
    </row>
    <row r="885" spans="1:3" x14ac:dyDescent="0.25">
      <c r="A885" s="48" t="s">
        <v>10387</v>
      </c>
      <c r="B885" t="s">
        <v>10388</v>
      </c>
      <c r="C885">
        <v>12</v>
      </c>
    </row>
    <row r="886" spans="1:3" x14ac:dyDescent="0.25">
      <c r="A886" s="48" t="s">
        <v>1711</v>
      </c>
      <c r="B886" t="s">
        <v>1712</v>
      </c>
      <c r="C886">
        <v>12</v>
      </c>
    </row>
    <row r="887" spans="1:3" x14ac:dyDescent="0.25">
      <c r="A887" s="48" t="s">
        <v>10487</v>
      </c>
      <c r="B887" t="s">
        <v>10488</v>
      </c>
      <c r="C887">
        <v>2</v>
      </c>
    </row>
    <row r="888" spans="1:3" x14ac:dyDescent="0.25">
      <c r="A888" s="48" t="s">
        <v>10467</v>
      </c>
      <c r="B888" t="s">
        <v>10468</v>
      </c>
      <c r="C888">
        <v>7</v>
      </c>
    </row>
    <row r="889" spans="1:3" x14ac:dyDescent="0.25">
      <c r="A889" s="48" t="s">
        <v>10465</v>
      </c>
      <c r="B889" t="s">
        <v>10466</v>
      </c>
      <c r="C889">
        <v>2</v>
      </c>
    </row>
    <row r="890" spans="1:3" x14ac:dyDescent="0.25">
      <c r="A890" s="48" t="s">
        <v>7285</v>
      </c>
      <c r="B890" t="s">
        <v>7286</v>
      </c>
      <c r="C890">
        <v>19</v>
      </c>
    </row>
    <row r="891" spans="1:3" x14ac:dyDescent="0.25">
      <c r="A891" s="48" t="s">
        <v>13696</v>
      </c>
      <c r="B891" t="s">
        <v>13697</v>
      </c>
      <c r="C891">
        <v>0</v>
      </c>
    </row>
    <row r="892" spans="1:3" x14ac:dyDescent="0.25">
      <c r="A892" s="48" t="s">
        <v>3753</v>
      </c>
      <c r="B892" t="s">
        <v>3754</v>
      </c>
      <c r="C892">
        <v>1</v>
      </c>
    </row>
    <row r="893" spans="1:3" x14ac:dyDescent="0.25">
      <c r="A893" s="48" t="s">
        <v>13576</v>
      </c>
      <c r="B893" t="s">
        <v>13577</v>
      </c>
      <c r="C893">
        <v>17</v>
      </c>
    </row>
    <row r="894" spans="1:3" x14ac:dyDescent="0.25">
      <c r="A894" s="48" t="s">
        <v>18886</v>
      </c>
      <c r="B894" t="s">
        <v>18887</v>
      </c>
      <c r="C894">
        <v>3</v>
      </c>
    </row>
    <row r="895" spans="1:3" x14ac:dyDescent="0.25">
      <c r="A895" s="48" t="s">
        <v>12626</v>
      </c>
      <c r="B895" t="s">
        <v>12627</v>
      </c>
      <c r="C895">
        <v>0</v>
      </c>
    </row>
    <row r="896" spans="1:3" x14ac:dyDescent="0.25">
      <c r="A896" s="48" t="s">
        <v>9486</v>
      </c>
      <c r="B896" t="s">
        <v>9487</v>
      </c>
      <c r="C896">
        <v>3</v>
      </c>
    </row>
    <row r="897" spans="1:3" x14ac:dyDescent="0.25">
      <c r="A897" s="48" t="s">
        <v>251</v>
      </c>
      <c r="B897" t="s">
        <v>252</v>
      </c>
      <c r="C897">
        <v>85</v>
      </c>
    </row>
    <row r="898" spans="1:3" x14ac:dyDescent="0.25">
      <c r="A898" s="48" t="s">
        <v>14556</v>
      </c>
      <c r="B898" t="s">
        <v>14557</v>
      </c>
      <c r="C898">
        <v>18</v>
      </c>
    </row>
    <row r="899" spans="1:3" x14ac:dyDescent="0.25">
      <c r="A899" s="48" t="s">
        <v>819</v>
      </c>
      <c r="B899" t="s">
        <v>820</v>
      </c>
      <c r="C899">
        <v>26</v>
      </c>
    </row>
    <row r="900" spans="1:3" x14ac:dyDescent="0.25">
      <c r="A900" s="48" t="s">
        <v>848</v>
      </c>
      <c r="B900" t="s">
        <v>849</v>
      </c>
      <c r="C900">
        <v>5</v>
      </c>
    </row>
    <row r="901" spans="1:3" x14ac:dyDescent="0.25">
      <c r="A901" s="48" t="s">
        <v>14560</v>
      </c>
      <c r="B901" t="s">
        <v>14561</v>
      </c>
      <c r="C901">
        <v>11</v>
      </c>
    </row>
    <row r="902" spans="1:3" x14ac:dyDescent="0.25">
      <c r="A902" s="48" t="s">
        <v>731</v>
      </c>
      <c r="B902" t="s">
        <v>732</v>
      </c>
      <c r="C902">
        <v>12</v>
      </c>
    </row>
    <row r="903" spans="1:3" x14ac:dyDescent="0.25">
      <c r="A903" s="48" t="s">
        <v>17847</v>
      </c>
      <c r="B903" t="s">
        <v>17848</v>
      </c>
      <c r="C903">
        <v>0</v>
      </c>
    </row>
    <row r="904" spans="1:3" x14ac:dyDescent="0.25">
      <c r="A904" s="48" t="s">
        <v>13698</v>
      </c>
      <c r="B904" t="s">
        <v>13699</v>
      </c>
      <c r="C904">
        <v>0</v>
      </c>
    </row>
    <row r="905" spans="1:3" x14ac:dyDescent="0.25">
      <c r="A905" s="48" t="s">
        <v>13700</v>
      </c>
      <c r="B905" t="s">
        <v>13701</v>
      </c>
      <c r="C905">
        <v>2</v>
      </c>
    </row>
    <row r="906" spans="1:3" x14ac:dyDescent="0.25">
      <c r="A906" s="48" t="s">
        <v>643</v>
      </c>
      <c r="B906" t="s">
        <v>644</v>
      </c>
      <c r="C906">
        <v>55</v>
      </c>
    </row>
    <row r="907" spans="1:3" x14ac:dyDescent="0.25">
      <c r="A907" s="48" t="s">
        <v>7328</v>
      </c>
      <c r="B907" t="s">
        <v>7329</v>
      </c>
      <c r="C907">
        <v>7</v>
      </c>
    </row>
    <row r="908" spans="1:3" x14ac:dyDescent="0.25">
      <c r="A908" s="48" t="s">
        <v>1481</v>
      </c>
      <c r="B908" t="s">
        <v>1482</v>
      </c>
      <c r="C908">
        <v>0</v>
      </c>
    </row>
    <row r="909" spans="1:3" x14ac:dyDescent="0.25">
      <c r="A909" s="48" t="s">
        <v>17861</v>
      </c>
      <c r="B909" t="s">
        <v>17862</v>
      </c>
      <c r="C909">
        <v>0</v>
      </c>
    </row>
    <row r="910" spans="1:3" x14ac:dyDescent="0.25">
      <c r="A910" s="48" t="s">
        <v>6054</v>
      </c>
      <c r="B910" t="s">
        <v>6055</v>
      </c>
      <c r="C910">
        <v>5</v>
      </c>
    </row>
    <row r="911" spans="1:3" x14ac:dyDescent="0.25">
      <c r="A911" s="48" t="s">
        <v>117</v>
      </c>
      <c r="B911" t="s">
        <v>118</v>
      </c>
      <c r="C911">
        <v>0</v>
      </c>
    </row>
    <row r="912" spans="1:3" x14ac:dyDescent="0.25">
      <c r="A912" s="48" t="s">
        <v>1327</v>
      </c>
      <c r="B912" t="s">
        <v>1328</v>
      </c>
      <c r="C912">
        <v>0</v>
      </c>
    </row>
    <row r="913" spans="1:3" x14ac:dyDescent="0.25">
      <c r="A913" s="48" t="s">
        <v>651</v>
      </c>
      <c r="B913" t="s">
        <v>652</v>
      </c>
      <c r="C913">
        <v>3</v>
      </c>
    </row>
    <row r="914" spans="1:3" x14ac:dyDescent="0.25">
      <c r="A914" s="48" t="s">
        <v>37</v>
      </c>
      <c r="B914" t="s">
        <v>38</v>
      </c>
      <c r="C914">
        <v>15</v>
      </c>
    </row>
    <row r="915" spans="1:3" x14ac:dyDescent="0.25">
      <c r="A915" s="48" t="s">
        <v>18923</v>
      </c>
      <c r="B915" t="s">
        <v>18924</v>
      </c>
      <c r="C915">
        <v>0</v>
      </c>
    </row>
    <row r="916" spans="1:3" x14ac:dyDescent="0.25">
      <c r="A916" s="48" t="s">
        <v>2967</v>
      </c>
      <c r="B916" t="s">
        <v>2968</v>
      </c>
      <c r="C916">
        <v>0</v>
      </c>
    </row>
    <row r="917" spans="1:3" x14ac:dyDescent="0.25">
      <c r="A917" s="48" t="s">
        <v>2963</v>
      </c>
      <c r="B917" t="s">
        <v>2964</v>
      </c>
      <c r="C917">
        <v>0</v>
      </c>
    </row>
    <row r="918" spans="1:3" x14ac:dyDescent="0.25">
      <c r="A918" s="48" t="s">
        <v>2969</v>
      </c>
      <c r="B918" t="s">
        <v>2970</v>
      </c>
      <c r="C918">
        <v>0</v>
      </c>
    </row>
    <row r="919" spans="1:3" x14ac:dyDescent="0.25">
      <c r="A919" s="48" t="s">
        <v>2965</v>
      </c>
      <c r="B919" t="s">
        <v>2966</v>
      </c>
      <c r="C919">
        <v>0</v>
      </c>
    </row>
    <row r="920" spans="1:3" x14ac:dyDescent="0.25">
      <c r="A920" s="48" t="s">
        <v>3571</v>
      </c>
      <c r="B920" t="s">
        <v>3572</v>
      </c>
      <c r="C920">
        <v>3</v>
      </c>
    </row>
    <row r="921" spans="1:3" x14ac:dyDescent="0.25">
      <c r="A921" s="48" t="s">
        <v>119</v>
      </c>
      <c r="B921" t="s">
        <v>120</v>
      </c>
      <c r="C921">
        <v>2</v>
      </c>
    </row>
    <row r="922" spans="1:3" x14ac:dyDescent="0.25">
      <c r="A922" s="48" t="s">
        <v>19702</v>
      </c>
      <c r="B922" t="s">
        <v>20044</v>
      </c>
      <c r="C922">
        <v>0</v>
      </c>
    </row>
    <row r="923" spans="1:3" x14ac:dyDescent="0.25">
      <c r="A923" s="48" t="s">
        <v>9909</v>
      </c>
      <c r="B923" t="s">
        <v>20045</v>
      </c>
      <c r="C923">
        <v>0</v>
      </c>
    </row>
    <row r="924" spans="1:3" x14ac:dyDescent="0.25">
      <c r="A924" s="48" t="s">
        <v>9899</v>
      </c>
      <c r="B924" t="s">
        <v>20046</v>
      </c>
      <c r="C924">
        <v>0</v>
      </c>
    </row>
    <row r="925" spans="1:3" x14ac:dyDescent="0.25">
      <c r="A925" s="48" t="s">
        <v>14529</v>
      </c>
      <c r="B925" t="s">
        <v>20047</v>
      </c>
      <c r="C925">
        <v>0</v>
      </c>
    </row>
    <row r="926" spans="1:3" x14ac:dyDescent="0.25">
      <c r="A926" s="48" t="s">
        <v>16758</v>
      </c>
      <c r="B926" t="s">
        <v>20048</v>
      </c>
      <c r="C926">
        <v>8</v>
      </c>
    </row>
    <row r="927" spans="1:3" x14ac:dyDescent="0.25">
      <c r="A927" s="48" t="s">
        <v>16760</v>
      </c>
      <c r="B927" t="s">
        <v>20049</v>
      </c>
      <c r="C927">
        <v>0</v>
      </c>
    </row>
    <row r="928" spans="1:3" x14ac:dyDescent="0.25">
      <c r="A928" s="48" t="s">
        <v>5659</v>
      </c>
      <c r="B928" t="s">
        <v>5660</v>
      </c>
      <c r="C928">
        <v>5</v>
      </c>
    </row>
    <row r="929" spans="1:3" x14ac:dyDescent="0.25">
      <c r="A929" s="48" t="s">
        <v>4968</v>
      </c>
      <c r="B929" t="s">
        <v>4969</v>
      </c>
      <c r="C929">
        <v>2</v>
      </c>
    </row>
    <row r="930" spans="1:3" x14ac:dyDescent="0.25">
      <c r="A930" s="48" t="s">
        <v>10379</v>
      </c>
      <c r="B930" t="s">
        <v>10380</v>
      </c>
      <c r="C930">
        <v>2</v>
      </c>
    </row>
    <row r="931" spans="1:3" x14ac:dyDescent="0.25">
      <c r="A931" s="48" t="s">
        <v>10377</v>
      </c>
      <c r="B931" t="s">
        <v>10378</v>
      </c>
      <c r="C931">
        <v>6</v>
      </c>
    </row>
    <row r="932" spans="1:3" x14ac:dyDescent="0.25">
      <c r="A932" s="48" t="s">
        <v>729</v>
      </c>
      <c r="B932" t="s">
        <v>730</v>
      </c>
      <c r="C932">
        <v>2</v>
      </c>
    </row>
    <row r="933" spans="1:3" x14ac:dyDescent="0.25">
      <c r="A933" s="48" t="s">
        <v>6714</v>
      </c>
      <c r="B933" t="s">
        <v>6715</v>
      </c>
      <c r="C933">
        <v>9</v>
      </c>
    </row>
    <row r="934" spans="1:3" x14ac:dyDescent="0.25">
      <c r="A934" s="48" t="s">
        <v>9220</v>
      </c>
      <c r="B934" t="s">
        <v>9221</v>
      </c>
      <c r="C934">
        <v>7</v>
      </c>
    </row>
    <row r="935" spans="1:3" x14ac:dyDescent="0.25">
      <c r="A935" s="48" t="s">
        <v>10385</v>
      </c>
      <c r="B935" t="s">
        <v>10386</v>
      </c>
      <c r="C935">
        <v>10</v>
      </c>
    </row>
    <row r="936" spans="1:3" x14ac:dyDescent="0.25">
      <c r="A936" s="48" t="s">
        <v>10479</v>
      </c>
      <c r="B936" t="s">
        <v>10480</v>
      </c>
      <c r="C936">
        <v>3</v>
      </c>
    </row>
    <row r="937" spans="1:3" x14ac:dyDescent="0.25">
      <c r="A937" s="48" t="s">
        <v>4697</v>
      </c>
      <c r="B937" t="s">
        <v>4698</v>
      </c>
      <c r="C937">
        <v>0</v>
      </c>
    </row>
    <row r="938" spans="1:3" x14ac:dyDescent="0.25">
      <c r="A938" s="48" t="s">
        <v>5976</v>
      </c>
      <c r="B938" t="s">
        <v>5977</v>
      </c>
      <c r="C938">
        <v>6</v>
      </c>
    </row>
    <row r="939" spans="1:3" x14ac:dyDescent="0.25">
      <c r="A939" s="48" t="s">
        <v>5980</v>
      </c>
      <c r="B939" t="s">
        <v>5981</v>
      </c>
      <c r="C939">
        <v>11</v>
      </c>
    </row>
    <row r="940" spans="1:3" x14ac:dyDescent="0.25">
      <c r="A940" s="48" t="s">
        <v>5974</v>
      </c>
      <c r="B940" t="s">
        <v>5975</v>
      </c>
      <c r="C940">
        <v>25</v>
      </c>
    </row>
    <row r="941" spans="1:3" x14ac:dyDescent="0.25">
      <c r="A941" s="48" t="s">
        <v>9088</v>
      </c>
      <c r="B941" t="s">
        <v>9089</v>
      </c>
      <c r="C941">
        <v>0</v>
      </c>
    </row>
    <row r="942" spans="1:3" x14ac:dyDescent="0.25">
      <c r="A942" s="48" t="s">
        <v>9090</v>
      </c>
      <c r="B942" t="s">
        <v>9091</v>
      </c>
      <c r="C942">
        <v>0</v>
      </c>
    </row>
    <row r="943" spans="1:3" x14ac:dyDescent="0.25">
      <c r="A943" s="48" t="s">
        <v>81</v>
      </c>
      <c r="B943" t="s">
        <v>82</v>
      </c>
      <c r="C943">
        <v>0</v>
      </c>
    </row>
    <row r="944" spans="1:3" x14ac:dyDescent="0.25">
      <c r="A944" s="48" t="s">
        <v>17368</v>
      </c>
      <c r="B944" t="s">
        <v>17369</v>
      </c>
      <c r="C944">
        <v>0</v>
      </c>
    </row>
    <row r="945" spans="1:3" x14ac:dyDescent="0.25">
      <c r="A945" s="48" t="s">
        <v>8207</v>
      </c>
      <c r="B945" t="s">
        <v>8208</v>
      </c>
      <c r="C945">
        <v>0</v>
      </c>
    </row>
    <row r="946" spans="1:3" x14ac:dyDescent="0.25">
      <c r="A946" s="48" t="s">
        <v>8222</v>
      </c>
      <c r="B946" t="s">
        <v>8223</v>
      </c>
      <c r="C946">
        <v>0</v>
      </c>
    </row>
    <row r="947" spans="1:3" x14ac:dyDescent="0.25">
      <c r="A947" s="48" t="s">
        <v>193</v>
      </c>
      <c r="B947" t="s">
        <v>194</v>
      </c>
      <c r="C947">
        <v>23</v>
      </c>
    </row>
    <row r="948" spans="1:3" x14ac:dyDescent="0.25">
      <c r="A948" s="48" t="s">
        <v>9716</v>
      </c>
      <c r="B948" t="s">
        <v>9717</v>
      </c>
      <c r="C948">
        <v>0</v>
      </c>
    </row>
    <row r="949" spans="1:3" x14ac:dyDescent="0.25">
      <c r="A949" s="48" t="s">
        <v>3639</v>
      </c>
      <c r="B949" t="s">
        <v>3640</v>
      </c>
      <c r="C949">
        <v>10</v>
      </c>
    </row>
    <row r="950" spans="1:3" x14ac:dyDescent="0.25">
      <c r="A950" s="48" t="s">
        <v>3643</v>
      </c>
      <c r="B950" t="s">
        <v>3644</v>
      </c>
      <c r="C950">
        <v>6</v>
      </c>
    </row>
    <row r="951" spans="1:3" x14ac:dyDescent="0.25">
      <c r="A951" s="48" t="s">
        <v>513</v>
      </c>
      <c r="B951" t="s">
        <v>514</v>
      </c>
      <c r="C951">
        <v>5</v>
      </c>
    </row>
    <row r="952" spans="1:3" x14ac:dyDescent="0.25">
      <c r="A952" s="48" t="s">
        <v>1277</v>
      </c>
      <c r="B952" t="s">
        <v>1278</v>
      </c>
      <c r="C952">
        <v>10</v>
      </c>
    </row>
    <row r="953" spans="1:3" x14ac:dyDescent="0.25">
      <c r="A953" s="48" t="s">
        <v>1621</v>
      </c>
      <c r="B953" t="s">
        <v>1622</v>
      </c>
      <c r="C953">
        <v>0</v>
      </c>
    </row>
    <row r="954" spans="1:3" x14ac:dyDescent="0.25">
      <c r="A954" s="48" t="s">
        <v>3645</v>
      </c>
      <c r="B954" t="s">
        <v>3646</v>
      </c>
      <c r="C954">
        <v>7</v>
      </c>
    </row>
    <row r="955" spans="1:3" x14ac:dyDescent="0.25">
      <c r="A955" s="48" t="s">
        <v>900</v>
      </c>
      <c r="B955" t="s">
        <v>901</v>
      </c>
      <c r="C955">
        <v>5</v>
      </c>
    </row>
    <row r="956" spans="1:3" x14ac:dyDescent="0.25">
      <c r="A956" s="48" t="s">
        <v>3649</v>
      </c>
      <c r="B956" t="s">
        <v>3650</v>
      </c>
      <c r="C956">
        <v>4</v>
      </c>
    </row>
    <row r="957" spans="1:3" x14ac:dyDescent="0.25">
      <c r="A957" s="48" t="s">
        <v>3651</v>
      </c>
      <c r="B957" t="s">
        <v>3652</v>
      </c>
      <c r="C957">
        <v>0</v>
      </c>
    </row>
    <row r="958" spans="1:3" x14ac:dyDescent="0.25">
      <c r="A958" s="48" t="s">
        <v>3653</v>
      </c>
      <c r="B958" t="s">
        <v>3654</v>
      </c>
      <c r="C958">
        <v>0</v>
      </c>
    </row>
    <row r="959" spans="1:3" x14ac:dyDescent="0.25">
      <c r="A959" s="48" t="s">
        <v>3655</v>
      </c>
      <c r="B959" t="s">
        <v>3656</v>
      </c>
      <c r="C959">
        <v>2</v>
      </c>
    </row>
    <row r="960" spans="1:3" x14ac:dyDescent="0.25">
      <c r="A960" s="48" t="s">
        <v>293</v>
      </c>
      <c r="B960" t="s">
        <v>294</v>
      </c>
      <c r="C960">
        <v>0</v>
      </c>
    </row>
    <row r="961" spans="1:3" x14ac:dyDescent="0.25">
      <c r="A961" s="48" t="s">
        <v>3657</v>
      </c>
      <c r="B961" t="s">
        <v>3658</v>
      </c>
      <c r="C961">
        <v>20</v>
      </c>
    </row>
    <row r="962" spans="1:3" x14ac:dyDescent="0.25">
      <c r="A962" s="48" t="s">
        <v>3659</v>
      </c>
      <c r="B962" t="s">
        <v>3660</v>
      </c>
      <c r="C962">
        <v>1</v>
      </c>
    </row>
    <row r="963" spans="1:3" x14ac:dyDescent="0.25">
      <c r="A963" s="48" t="s">
        <v>3661</v>
      </c>
      <c r="B963" t="s">
        <v>3662</v>
      </c>
      <c r="C963">
        <v>0</v>
      </c>
    </row>
    <row r="964" spans="1:3" x14ac:dyDescent="0.25">
      <c r="A964" s="48" t="s">
        <v>3663</v>
      </c>
      <c r="B964" t="s">
        <v>3664</v>
      </c>
      <c r="C964">
        <v>2</v>
      </c>
    </row>
    <row r="965" spans="1:3" x14ac:dyDescent="0.25">
      <c r="A965" s="48" t="s">
        <v>7434</v>
      </c>
      <c r="B965" t="s">
        <v>7435</v>
      </c>
      <c r="C965">
        <v>4</v>
      </c>
    </row>
    <row r="966" spans="1:3" x14ac:dyDescent="0.25">
      <c r="A966" s="48" t="s">
        <v>3641</v>
      </c>
      <c r="B966" t="s">
        <v>3642</v>
      </c>
      <c r="C966">
        <v>27</v>
      </c>
    </row>
    <row r="967" spans="1:3" x14ac:dyDescent="0.25">
      <c r="A967" s="48" t="s">
        <v>3647</v>
      </c>
      <c r="B967" t="s">
        <v>3648</v>
      </c>
      <c r="C967">
        <v>6</v>
      </c>
    </row>
    <row r="968" spans="1:3" x14ac:dyDescent="0.25">
      <c r="A968" s="48" t="s">
        <v>5046</v>
      </c>
      <c r="B968" t="s">
        <v>5047</v>
      </c>
      <c r="C968">
        <v>0</v>
      </c>
    </row>
    <row r="969" spans="1:3" x14ac:dyDescent="0.25">
      <c r="A969" s="48" t="s">
        <v>5050</v>
      </c>
      <c r="B969" t="s">
        <v>5051</v>
      </c>
      <c r="C969">
        <v>0</v>
      </c>
    </row>
    <row r="970" spans="1:3" x14ac:dyDescent="0.25">
      <c r="A970" s="48" t="s">
        <v>5048</v>
      </c>
      <c r="B970" t="s">
        <v>5049</v>
      </c>
      <c r="C970">
        <v>0</v>
      </c>
    </row>
    <row r="971" spans="1:3" x14ac:dyDescent="0.25">
      <c r="A971" s="48" t="s">
        <v>19263</v>
      </c>
      <c r="B971" t="s">
        <v>19264</v>
      </c>
      <c r="C971">
        <v>0</v>
      </c>
    </row>
    <row r="972" spans="1:3" x14ac:dyDescent="0.25">
      <c r="A972" s="48" t="s">
        <v>19265</v>
      </c>
      <c r="B972" t="s">
        <v>19266</v>
      </c>
      <c r="C972">
        <v>0</v>
      </c>
    </row>
    <row r="973" spans="1:3" x14ac:dyDescent="0.25">
      <c r="A973" s="48" t="s">
        <v>19261</v>
      </c>
      <c r="B973" t="s">
        <v>19262</v>
      </c>
      <c r="C973">
        <v>0</v>
      </c>
    </row>
    <row r="974" spans="1:3" x14ac:dyDescent="0.25">
      <c r="A974" s="48" t="s">
        <v>6157</v>
      </c>
      <c r="B974" t="s">
        <v>6158</v>
      </c>
      <c r="C974">
        <v>0</v>
      </c>
    </row>
    <row r="975" spans="1:3" x14ac:dyDescent="0.25">
      <c r="A975" s="48" t="s">
        <v>1257</v>
      </c>
      <c r="B975" t="s">
        <v>1258</v>
      </c>
      <c r="C975">
        <v>82</v>
      </c>
    </row>
    <row r="976" spans="1:3" x14ac:dyDescent="0.25">
      <c r="A976" s="48" t="s">
        <v>961</v>
      </c>
      <c r="B976" t="s">
        <v>962</v>
      </c>
      <c r="C976">
        <v>82</v>
      </c>
    </row>
    <row r="977" spans="1:3" x14ac:dyDescent="0.25">
      <c r="A977" s="48" t="s">
        <v>12512</v>
      </c>
      <c r="B977" t="s">
        <v>12513</v>
      </c>
      <c r="C977">
        <v>0</v>
      </c>
    </row>
    <row r="978" spans="1:3" x14ac:dyDescent="0.25">
      <c r="A978" s="48" t="s">
        <v>4614</v>
      </c>
      <c r="B978" t="s">
        <v>4615</v>
      </c>
      <c r="C978">
        <v>0</v>
      </c>
    </row>
    <row r="979" spans="1:3" x14ac:dyDescent="0.25">
      <c r="A979" s="48" t="s">
        <v>19275</v>
      </c>
      <c r="B979" t="s">
        <v>19276</v>
      </c>
      <c r="C979">
        <v>0</v>
      </c>
    </row>
    <row r="980" spans="1:3" x14ac:dyDescent="0.25">
      <c r="A980" s="48" t="s">
        <v>1956</v>
      </c>
      <c r="B980" t="s">
        <v>1957</v>
      </c>
      <c r="C980">
        <v>5</v>
      </c>
    </row>
    <row r="981" spans="1:3" x14ac:dyDescent="0.25">
      <c r="A981" s="48" t="s">
        <v>17268</v>
      </c>
      <c r="B981" t="s">
        <v>17269</v>
      </c>
      <c r="C981">
        <v>0</v>
      </c>
    </row>
    <row r="982" spans="1:3" x14ac:dyDescent="0.25">
      <c r="A982" s="48" t="s">
        <v>17278</v>
      </c>
      <c r="B982" t="s">
        <v>20050</v>
      </c>
      <c r="C982">
        <v>0</v>
      </c>
    </row>
    <row r="983" spans="1:3" x14ac:dyDescent="0.25">
      <c r="A983" s="48" t="s">
        <v>17280</v>
      </c>
      <c r="B983" t="s">
        <v>17281</v>
      </c>
      <c r="C983">
        <v>0</v>
      </c>
    </row>
    <row r="984" spans="1:3" x14ac:dyDescent="0.25">
      <c r="A984" s="48" t="s">
        <v>17282</v>
      </c>
      <c r="B984" t="s">
        <v>17283</v>
      </c>
      <c r="C984">
        <v>0</v>
      </c>
    </row>
    <row r="985" spans="1:3" x14ac:dyDescent="0.25">
      <c r="A985" s="48" t="s">
        <v>17284</v>
      </c>
      <c r="B985" t="s">
        <v>17285</v>
      </c>
      <c r="C985">
        <v>0</v>
      </c>
    </row>
    <row r="986" spans="1:3" x14ac:dyDescent="0.25">
      <c r="A986" s="48" t="s">
        <v>17286</v>
      </c>
      <c r="B986" t="s">
        <v>17287</v>
      </c>
      <c r="C986">
        <v>0</v>
      </c>
    </row>
    <row r="987" spans="1:3" x14ac:dyDescent="0.25">
      <c r="A987" s="48" t="s">
        <v>17288</v>
      </c>
      <c r="B987" t="s">
        <v>17289</v>
      </c>
      <c r="C987">
        <v>0</v>
      </c>
    </row>
    <row r="988" spans="1:3" x14ac:dyDescent="0.25">
      <c r="A988" s="48" t="s">
        <v>17304</v>
      </c>
      <c r="B988" t="s">
        <v>17305</v>
      </c>
      <c r="C988">
        <v>0</v>
      </c>
    </row>
    <row r="989" spans="1:3" x14ac:dyDescent="0.25">
      <c r="A989" s="48" t="s">
        <v>17306</v>
      </c>
      <c r="B989" t="s">
        <v>20051</v>
      </c>
      <c r="C989">
        <v>0</v>
      </c>
    </row>
    <row r="990" spans="1:3" x14ac:dyDescent="0.25">
      <c r="A990" s="48" t="s">
        <v>17376</v>
      </c>
      <c r="B990" t="s">
        <v>20052</v>
      </c>
      <c r="C990">
        <v>0</v>
      </c>
    </row>
    <row r="991" spans="1:3" x14ac:dyDescent="0.25">
      <c r="A991" s="48" t="s">
        <v>17378</v>
      </c>
      <c r="B991" t="s">
        <v>17379</v>
      </c>
      <c r="C991">
        <v>0</v>
      </c>
    </row>
    <row r="992" spans="1:3" x14ac:dyDescent="0.25">
      <c r="A992" s="48" t="s">
        <v>17296</v>
      </c>
      <c r="B992" t="s">
        <v>17297</v>
      </c>
      <c r="C992">
        <v>0</v>
      </c>
    </row>
    <row r="993" spans="1:3" x14ac:dyDescent="0.25">
      <c r="A993" s="48" t="s">
        <v>17298</v>
      </c>
      <c r="B993" t="s">
        <v>20053</v>
      </c>
      <c r="C993">
        <v>0</v>
      </c>
    </row>
    <row r="994" spans="1:3" x14ac:dyDescent="0.25">
      <c r="A994" s="48" t="s">
        <v>17300</v>
      </c>
      <c r="B994" t="s">
        <v>17301</v>
      </c>
      <c r="C994">
        <v>1</v>
      </c>
    </row>
    <row r="995" spans="1:3" x14ac:dyDescent="0.25">
      <c r="A995" s="48" t="s">
        <v>17380</v>
      </c>
      <c r="B995" t="s">
        <v>17381</v>
      </c>
      <c r="C995">
        <v>0</v>
      </c>
    </row>
    <row r="996" spans="1:3" x14ac:dyDescent="0.25">
      <c r="A996" s="48" t="s">
        <v>17382</v>
      </c>
      <c r="B996" t="s">
        <v>17383</v>
      </c>
      <c r="C996">
        <v>0</v>
      </c>
    </row>
    <row r="997" spans="1:3" x14ac:dyDescent="0.25">
      <c r="A997" s="48" t="s">
        <v>17384</v>
      </c>
      <c r="B997" t="s">
        <v>17385</v>
      </c>
      <c r="C997">
        <v>0</v>
      </c>
    </row>
    <row r="998" spans="1:3" x14ac:dyDescent="0.25">
      <c r="A998" s="48" t="s">
        <v>17390</v>
      </c>
      <c r="B998" t="s">
        <v>17391</v>
      </c>
      <c r="C998">
        <v>0</v>
      </c>
    </row>
    <row r="999" spans="1:3" x14ac:dyDescent="0.25">
      <c r="A999" s="48" t="s">
        <v>17392</v>
      </c>
      <c r="B999" t="s">
        <v>17393</v>
      </c>
      <c r="C999">
        <v>0</v>
      </c>
    </row>
    <row r="1000" spans="1:3" x14ac:dyDescent="0.25">
      <c r="A1000" s="48" t="s">
        <v>17314</v>
      </c>
      <c r="B1000" t="s">
        <v>17315</v>
      </c>
      <c r="C1000">
        <v>0</v>
      </c>
    </row>
    <row r="1001" spans="1:3" x14ac:dyDescent="0.25">
      <c r="A1001" s="48" t="s">
        <v>17302</v>
      </c>
      <c r="B1001" t="s">
        <v>17303</v>
      </c>
      <c r="C1001">
        <v>0</v>
      </c>
    </row>
    <row r="1002" spans="1:3" x14ac:dyDescent="0.25">
      <c r="A1002" s="48" t="s">
        <v>7794</v>
      </c>
      <c r="B1002" t="s">
        <v>7795</v>
      </c>
      <c r="C1002">
        <v>0</v>
      </c>
    </row>
    <row r="1003" spans="1:3" x14ac:dyDescent="0.25">
      <c r="A1003" s="48" t="s">
        <v>7573</v>
      </c>
      <c r="B1003" t="s">
        <v>7574</v>
      </c>
      <c r="C1003">
        <v>0</v>
      </c>
    </row>
    <row r="1004" spans="1:3" x14ac:dyDescent="0.25">
      <c r="A1004" s="48" t="s">
        <v>7790</v>
      </c>
      <c r="B1004" t="s">
        <v>7791</v>
      </c>
      <c r="C1004">
        <v>0</v>
      </c>
    </row>
    <row r="1005" spans="1:3" x14ac:dyDescent="0.25">
      <c r="A1005" s="48" t="s">
        <v>7575</v>
      </c>
      <c r="B1005" t="s">
        <v>7576</v>
      </c>
      <c r="C1005">
        <v>0</v>
      </c>
    </row>
    <row r="1006" spans="1:3" x14ac:dyDescent="0.25">
      <c r="A1006" s="48" t="s">
        <v>7792</v>
      </c>
      <c r="B1006" t="s">
        <v>7793</v>
      </c>
      <c r="C1006">
        <v>8</v>
      </c>
    </row>
    <row r="1007" spans="1:3" x14ac:dyDescent="0.25">
      <c r="A1007" s="48" t="s">
        <v>7577</v>
      </c>
      <c r="B1007" t="s">
        <v>7578</v>
      </c>
      <c r="C1007">
        <v>0</v>
      </c>
    </row>
    <row r="1008" spans="1:3" x14ac:dyDescent="0.25">
      <c r="A1008" s="48" t="s">
        <v>277</v>
      </c>
      <c r="B1008" t="s">
        <v>278</v>
      </c>
      <c r="C1008">
        <v>0</v>
      </c>
    </row>
    <row r="1009" spans="1:3" x14ac:dyDescent="0.25">
      <c r="A1009" s="48" t="s">
        <v>5846</v>
      </c>
      <c r="B1009" t="s">
        <v>5847</v>
      </c>
      <c r="C1009">
        <v>0</v>
      </c>
    </row>
    <row r="1010" spans="1:3" x14ac:dyDescent="0.25">
      <c r="A1010" s="48" t="s">
        <v>5856</v>
      </c>
      <c r="B1010" t="s">
        <v>5857</v>
      </c>
      <c r="C1010">
        <v>0</v>
      </c>
    </row>
    <row r="1011" spans="1:3" x14ac:dyDescent="0.25">
      <c r="A1011" s="48" t="s">
        <v>3473</v>
      </c>
      <c r="B1011" t="s">
        <v>3474</v>
      </c>
      <c r="C1011">
        <v>0</v>
      </c>
    </row>
    <row r="1012" spans="1:3" x14ac:dyDescent="0.25">
      <c r="A1012" s="48" t="s">
        <v>13032</v>
      </c>
      <c r="B1012" t="s">
        <v>13033</v>
      </c>
      <c r="C1012">
        <v>0</v>
      </c>
    </row>
    <row r="1013" spans="1:3" x14ac:dyDescent="0.25">
      <c r="A1013" s="48" t="s">
        <v>7770</v>
      </c>
      <c r="B1013" t="s">
        <v>7771</v>
      </c>
      <c r="C1013">
        <v>0</v>
      </c>
    </row>
    <row r="1014" spans="1:3" x14ac:dyDescent="0.25">
      <c r="A1014" s="48" t="s">
        <v>10491</v>
      </c>
      <c r="B1014" t="s">
        <v>10492</v>
      </c>
      <c r="C1014">
        <v>1</v>
      </c>
    </row>
    <row r="1015" spans="1:3" x14ac:dyDescent="0.25">
      <c r="A1015" s="48" t="s">
        <v>10558</v>
      </c>
      <c r="B1015" t="s">
        <v>10559</v>
      </c>
      <c r="C1015">
        <v>3</v>
      </c>
    </row>
    <row r="1016" spans="1:3" x14ac:dyDescent="0.25">
      <c r="A1016" s="48" t="s">
        <v>10499</v>
      </c>
      <c r="B1016" t="s">
        <v>10500</v>
      </c>
      <c r="C1016">
        <v>0</v>
      </c>
    </row>
    <row r="1017" spans="1:3" x14ac:dyDescent="0.25">
      <c r="A1017" s="48" t="s">
        <v>17388</v>
      </c>
      <c r="B1017" t="s">
        <v>17389</v>
      </c>
      <c r="C1017">
        <v>0</v>
      </c>
    </row>
    <row r="1018" spans="1:3" x14ac:dyDescent="0.25">
      <c r="A1018" s="48" t="s">
        <v>17386</v>
      </c>
      <c r="B1018" t="s">
        <v>20054</v>
      </c>
      <c r="C1018">
        <v>0</v>
      </c>
    </row>
    <row r="1019" spans="1:3" x14ac:dyDescent="0.25">
      <c r="A1019" s="48" t="s">
        <v>10542</v>
      </c>
      <c r="B1019" t="s">
        <v>10543</v>
      </c>
      <c r="C1019">
        <v>0</v>
      </c>
    </row>
    <row r="1020" spans="1:3" x14ac:dyDescent="0.25">
      <c r="A1020" s="48" t="s">
        <v>10507</v>
      </c>
      <c r="B1020" t="s">
        <v>10508</v>
      </c>
      <c r="C1020">
        <v>3</v>
      </c>
    </row>
    <row r="1021" spans="1:3" x14ac:dyDescent="0.25">
      <c r="A1021" s="48" t="s">
        <v>10548</v>
      </c>
      <c r="B1021" t="s">
        <v>10549</v>
      </c>
      <c r="C1021">
        <v>0</v>
      </c>
    </row>
    <row r="1022" spans="1:3" x14ac:dyDescent="0.25">
      <c r="A1022" s="48" t="s">
        <v>902</v>
      </c>
      <c r="B1022" t="s">
        <v>903</v>
      </c>
      <c r="C1022">
        <v>3</v>
      </c>
    </row>
    <row r="1023" spans="1:3" x14ac:dyDescent="0.25">
      <c r="A1023" s="48" t="s">
        <v>10501</v>
      </c>
      <c r="B1023" t="s">
        <v>10502</v>
      </c>
      <c r="C1023">
        <v>0</v>
      </c>
    </row>
    <row r="1024" spans="1:3" x14ac:dyDescent="0.25">
      <c r="A1024" s="48" t="s">
        <v>10544</v>
      </c>
      <c r="B1024" t="s">
        <v>10545</v>
      </c>
      <c r="C1024">
        <v>0</v>
      </c>
    </row>
    <row r="1025" spans="1:3" x14ac:dyDescent="0.25">
      <c r="A1025" s="48" t="s">
        <v>10540</v>
      </c>
      <c r="B1025" t="s">
        <v>10541</v>
      </c>
      <c r="C1025">
        <v>0</v>
      </c>
    </row>
    <row r="1026" spans="1:3" x14ac:dyDescent="0.25">
      <c r="A1026" s="48" t="s">
        <v>10556</v>
      </c>
      <c r="B1026" t="s">
        <v>10557</v>
      </c>
      <c r="C1026">
        <v>0</v>
      </c>
    </row>
    <row r="1027" spans="1:3" x14ac:dyDescent="0.25">
      <c r="A1027" s="48" t="s">
        <v>10497</v>
      </c>
      <c r="B1027" t="s">
        <v>10498</v>
      </c>
      <c r="C1027">
        <v>0</v>
      </c>
    </row>
    <row r="1028" spans="1:3" x14ac:dyDescent="0.25">
      <c r="A1028" s="48" t="s">
        <v>10489</v>
      </c>
      <c r="B1028" t="s">
        <v>10490</v>
      </c>
      <c r="C1028">
        <v>0</v>
      </c>
    </row>
    <row r="1029" spans="1:3" x14ac:dyDescent="0.25">
      <c r="A1029" s="48" t="s">
        <v>10505</v>
      </c>
      <c r="B1029" t="s">
        <v>10506</v>
      </c>
      <c r="C1029">
        <v>6</v>
      </c>
    </row>
    <row r="1030" spans="1:3" x14ac:dyDescent="0.25">
      <c r="A1030" s="48" t="s">
        <v>10552</v>
      </c>
      <c r="B1030" t="s">
        <v>10553</v>
      </c>
      <c r="C1030">
        <v>0</v>
      </c>
    </row>
    <row r="1031" spans="1:3" x14ac:dyDescent="0.25">
      <c r="A1031" s="48" t="s">
        <v>18892</v>
      </c>
      <c r="B1031" t="s">
        <v>18893</v>
      </c>
      <c r="C1031">
        <v>0</v>
      </c>
    </row>
    <row r="1032" spans="1:3" x14ac:dyDescent="0.25">
      <c r="A1032" s="48" t="s">
        <v>10495</v>
      </c>
      <c r="B1032" t="s">
        <v>10496</v>
      </c>
      <c r="C1032">
        <v>11</v>
      </c>
    </row>
    <row r="1033" spans="1:3" x14ac:dyDescent="0.25">
      <c r="A1033" s="48" t="s">
        <v>10503</v>
      </c>
      <c r="B1033" t="s">
        <v>10504</v>
      </c>
      <c r="C1033">
        <v>0</v>
      </c>
    </row>
    <row r="1034" spans="1:3" x14ac:dyDescent="0.25">
      <c r="A1034" s="48" t="s">
        <v>10509</v>
      </c>
      <c r="B1034" t="s">
        <v>10510</v>
      </c>
      <c r="C1034">
        <v>7</v>
      </c>
    </row>
    <row r="1035" spans="1:3" x14ac:dyDescent="0.25">
      <c r="A1035" s="48" t="s">
        <v>10546</v>
      </c>
      <c r="B1035" t="s">
        <v>10547</v>
      </c>
      <c r="C1035">
        <v>0</v>
      </c>
    </row>
    <row r="1036" spans="1:3" x14ac:dyDescent="0.25">
      <c r="A1036" s="48" t="s">
        <v>10550</v>
      </c>
      <c r="B1036" t="s">
        <v>10551</v>
      </c>
      <c r="C1036">
        <v>0</v>
      </c>
    </row>
    <row r="1037" spans="1:3" x14ac:dyDescent="0.25">
      <c r="A1037" s="48" t="s">
        <v>10560</v>
      </c>
      <c r="B1037" t="s">
        <v>10561</v>
      </c>
      <c r="C1037">
        <v>2</v>
      </c>
    </row>
    <row r="1038" spans="1:3" x14ac:dyDescent="0.25">
      <c r="A1038" s="48" t="s">
        <v>2971</v>
      </c>
      <c r="B1038" t="s">
        <v>2972</v>
      </c>
      <c r="C1038">
        <v>0</v>
      </c>
    </row>
    <row r="1039" spans="1:3" x14ac:dyDescent="0.25">
      <c r="A1039" s="48" t="s">
        <v>18081</v>
      </c>
      <c r="B1039" t="s">
        <v>18082</v>
      </c>
      <c r="C1039">
        <v>1</v>
      </c>
    </row>
    <row r="1040" spans="1:3" x14ac:dyDescent="0.25">
      <c r="A1040" s="48" t="s">
        <v>10511</v>
      </c>
      <c r="B1040" t="s">
        <v>10512</v>
      </c>
      <c r="C1040">
        <v>2</v>
      </c>
    </row>
    <row r="1041" spans="1:3" x14ac:dyDescent="0.25">
      <c r="A1041" s="48" t="s">
        <v>10493</v>
      </c>
      <c r="B1041" t="s">
        <v>10494</v>
      </c>
      <c r="C1041">
        <v>1</v>
      </c>
    </row>
    <row r="1042" spans="1:3" x14ac:dyDescent="0.25">
      <c r="A1042" s="48" t="s">
        <v>10554</v>
      </c>
      <c r="B1042" t="s">
        <v>10555</v>
      </c>
      <c r="C1042">
        <v>0</v>
      </c>
    </row>
    <row r="1043" spans="1:3" x14ac:dyDescent="0.25">
      <c r="A1043" s="48" t="s">
        <v>17308</v>
      </c>
      <c r="B1043" t="s">
        <v>20055</v>
      </c>
      <c r="C1043">
        <v>0</v>
      </c>
    </row>
    <row r="1044" spans="1:3" x14ac:dyDescent="0.25">
      <c r="A1044" s="48" t="s">
        <v>7376</v>
      </c>
      <c r="B1044" t="s">
        <v>7377</v>
      </c>
      <c r="C1044">
        <v>0</v>
      </c>
    </row>
    <row r="1045" spans="1:3" x14ac:dyDescent="0.25">
      <c r="A1045" s="48" t="s">
        <v>18927</v>
      </c>
      <c r="B1045" t="s">
        <v>18928</v>
      </c>
      <c r="C1045">
        <v>0</v>
      </c>
    </row>
    <row r="1046" spans="1:3" x14ac:dyDescent="0.25">
      <c r="A1046" s="48" t="s">
        <v>19647</v>
      </c>
      <c r="B1046" t="s">
        <v>19648</v>
      </c>
      <c r="C1046">
        <v>0</v>
      </c>
    </row>
    <row r="1047" spans="1:3" x14ac:dyDescent="0.25">
      <c r="A1047" s="48" t="s">
        <v>9470</v>
      </c>
      <c r="B1047" t="s">
        <v>9471</v>
      </c>
      <c r="C1047">
        <v>0</v>
      </c>
    </row>
    <row r="1048" spans="1:3" x14ac:dyDescent="0.25">
      <c r="A1048" s="48" t="s">
        <v>19243</v>
      </c>
      <c r="B1048" t="s">
        <v>19244</v>
      </c>
      <c r="C1048">
        <v>20</v>
      </c>
    </row>
    <row r="1049" spans="1:3" x14ac:dyDescent="0.25">
      <c r="A1049" s="48" t="s">
        <v>19247</v>
      </c>
      <c r="B1049" t="s">
        <v>19248</v>
      </c>
      <c r="C1049">
        <v>10</v>
      </c>
    </row>
    <row r="1050" spans="1:3" x14ac:dyDescent="0.25">
      <c r="A1050" s="48" t="s">
        <v>10471</v>
      </c>
      <c r="B1050" t="s">
        <v>10472</v>
      </c>
      <c r="C1050">
        <v>0</v>
      </c>
    </row>
    <row r="1051" spans="1:3" x14ac:dyDescent="0.25">
      <c r="A1051" s="48" t="s">
        <v>10473</v>
      </c>
      <c r="B1051" t="s">
        <v>10474</v>
      </c>
      <c r="C1051">
        <v>11</v>
      </c>
    </row>
    <row r="1052" spans="1:3" x14ac:dyDescent="0.25">
      <c r="A1052" s="48" t="s">
        <v>16220</v>
      </c>
      <c r="B1052" t="s">
        <v>16221</v>
      </c>
      <c r="C1052">
        <v>0</v>
      </c>
    </row>
    <row r="1053" spans="1:3" x14ac:dyDescent="0.25">
      <c r="A1053" s="48" t="s">
        <v>5998</v>
      </c>
      <c r="B1053" t="s">
        <v>5999</v>
      </c>
      <c r="C1053">
        <v>0</v>
      </c>
    </row>
    <row r="1054" spans="1:3" x14ac:dyDescent="0.25">
      <c r="A1054" s="48" t="s">
        <v>17348</v>
      </c>
      <c r="B1054" t="s">
        <v>17349</v>
      </c>
      <c r="C1054">
        <v>1</v>
      </c>
    </row>
    <row r="1055" spans="1:3" x14ac:dyDescent="0.25">
      <c r="A1055" s="48" t="s">
        <v>12690</v>
      </c>
      <c r="B1055" t="s">
        <v>12691</v>
      </c>
      <c r="C1055">
        <v>12</v>
      </c>
    </row>
    <row r="1056" spans="1:3" x14ac:dyDescent="0.25">
      <c r="A1056" s="48" t="s">
        <v>12692</v>
      </c>
      <c r="B1056" t="s">
        <v>12693</v>
      </c>
      <c r="C1056">
        <v>23</v>
      </c>
    </row>
    <row r="1057" spans="1:3" x14ac:dyDescent="0.25">
      <c r="A1057" s="48" t="s">
        <v>14163</v>
      </c>
      <c r="B1057" t="s">
        <v>14164</v>
      </c>
      <c r="C1057">
        <v>3</v>
      </c>
    </row>
    <row r="1058" spans="1:3" x14ac:dyDescent="0.25">
      <c r="A1058" s="48" t="s">
        <v>14161</v>
      </c>
      <c r="B1058" t="s">
        <v>14162</v>
      </c>
      <c r="C1058">
        <v>1</v>
      </c>
    </row>
    <row r="1059" spans="1:3" x14ac:dyDescent="0.25">
      <c r="A1059" s="48" t="s">
        <v>14181</v>
      </c>
      <c r="B1059" t="s">
        <v>14182</v>
      </c>
      <c r="C1059">
        <v>3</v>
      </c>
    </row>
    <row r="1060" spans="1:3" x14ac:dyDescent="0.25">
      <c r="A1060" s="48" t="s">
        <v>14179</v>
      </c>
      <c r="B1060" t="s">
        <v>14180</v>
      </c>
      <c r="C1060">
        <v>1</v>
      </c>
    </row>
    <row r="1061" spans="1:3" x14ac:dyDescent="0.25">
      <c r="A1061" s="48" t="s">
        <v>5036</v>
      </c>
      <c r="B1061" t="s">
        <v>5037</v>
      </c>
      <c r="C1061" t="s">
        <v>23255</v>
      </c>
    </row>
    <row r="1062" spans="1:3" x14ac:dyDescent="0.25">
      <c r="A1062" s="48" t="s">
        <v>1349</v>
      </c>
      <c r="B1062" t="s">
        <v>1350</v>
      </c>
      <c r="C1062">
        <v>2</v>
      </c>
    </row>
    <row r="1063" spans="1:3" x14ac:dyDescent="0.25">
      <c r="A1063" s="48" t="s">
        <v>860</v>
      </c>
      <c r="B1063" t="s">
        <v>861</v>
      </c>
      <c r="C1063">
        <v>19</v>
      </c>
    </row>
    <row r="1064" spans="1:3" x14ac:dyDescent="0.25">
      <c r="A1064" s="48" t="s">
        <v>5034</v>
      </c>
      <c r="B1064" t="s">
        <v>5035</v>
      </c>
      <c r="C1064">
        <v>6</v>
      </c>
    </row>
    <row r="1065" spans="1:3" x14ac:dyDescent="0.25">
      <c r="A1065" s="48" t="s">
        <v>14169</v>
      </c>
      <c r="B1065" t="s">
        <v>14170</v>
      </c>
      <c r="C1065">
        <v>2</v>
      </c>
    </row>
    <row r="1066" spans="1:3" x14ac:dyDescent="0.25">
      <c r="A1066" s="48" t="s">
        <v>14165</v>
      </c>
      <c r="B1066" t="s">
        <v>14166</v>
      </c>
      <c r="C1066">
        <v>0</v>
      </c>
    </row>
    <row r="1067" spans="1:3" x14ac:dyDescent="0.25">
      <c r="A1067" s="48" t="s">
        <v>167</v>
      </c>
      <c r="B1067" t="s">
        <v>168</v>
      </c>
      <c r="C1067">
        <v>1</v>
      </c>
    </row>
    <row r="1068" spans="1:3" x14ac:dyDescent="0.25">
      <c r="A1068" s="48" t="s">
        <v>1027</v>
      </c>
      <c r="B1068" t="s">
        <v>1028</v>
      </c>
      <c r="C1068">
        <v>5</v>
      </c>
    </row>
    <row r="1069" spans="1:3" x14ac:dyDescent="0.25">
      <c r="A1069" s="48" t="s">
        <v>419</v>
      </c>
      <c r="B1069" t="s">
        <v>420</v>
      </c>
      <c r="C1069">
        <v>22</v>
      </c>
    </row>
    <row r="1070" spans="1:3" x14ac:dyDescent="0.25">
      <c r="A1070" s="48" t="s">
        <v>17326</v>
      </c>
      <c r="B1070" t="s">
        <v>17327</v>
      </c>
      <c r="C1070">
        <v>0</v>
      </c>
    </row>
    <row r="1071" spans="1:3" x14ac:dyDescent="0.25">
      <c r="A1071" s="48" t="s">
        <v>2980</v>
      </c>
      <c r="B1071" t="s">
        <v>2981</v>
      </c>
      <c r="C1071">
        <v>0</v>
      </c>
    </row>
    <row r="1072" spans="1:3" x14ac:dyDescent="0.25">
      <c r="A1072" s="48" t="s">
        <v>1966</v>
      </c>
      <c r="B1072" t="s">
        <v>1967</v>
      </c>
      <c r="C1072">
        <v>24</v>
      </c>
    </row>
    <row r="1073" spans="1:3" x14ac:dyDescent="0.25">
      <c r="A1073" s="48" t="s">
        <v>14195</v>
      </c>
      <c r="B1073" t="s">
        <v>14196</v>
      </c>
      <c r="C1073">
        <v>23</v>
      </c>
    </row>
    <row r="1074" spans="1:3" x14ac:dyDescent="0.25">
      <c r="A1074" s="48" t="s">
        <v>14193</v>
      </c>
      <c r="B1074" t="s">
        <v>14194</v>
      </c>
      <c r="C1074">
        <v>36</v>
      </c>
    </row>
    <row r="1075" spans="1:3" x14ac:dyDescent="0.25">
      <c r="A1075" s="48" t="s">
        <v>6716</v>
      </c>
      <c r="B1075" t="s">
        <v>6717</v>
      </c>
      <c r="C1075">
        <v>0</v>
      </c>
    </row>
    <row r="1076" spans="1:3" x14ac:dyDescent="0.25">
      <c r="A1076" s="48" t="s">
        <v>6718</v>
      </c>
      <c r="B1076" t="s">
        <v>6719</v>
      </c>
      <c r="C1076">
        <v>0</v>
      </c>
    </row>
    <row r="1077" spans="1:3" x14ac:dyDescent="0.25">
      <c r="A1077" s="48" t="s">
        <v>6710</v>
      </c>
      <c r="B1077" t="s">
        <v>6711</v>
      </c>
      <c r="C1077">
        <v>8</v>
      </c>
    </row>
    <row r="1078" spans="1:3" x14ac:dyDescent="0.25">
      <c r="A1078" s="48" t="s">
        <v>3577</v>
      </c>
      <c r="B1078" t="s">
        <v>3578</v>
      </c>
      <c r="C1078">
        <v>0</v>
      </c>
    </row>
    <row r="1079" spans="1:3" x14ac:dyDescent="0.25">
      <c r="A1079" s="48" t="s">
        <v>13708</v>
      </c>
      <c r="B1079" t="s">
        <v>13709</v>
      </c>
      <c r="C1079">
        <v>6</v>
      </c>
    </row>
    <row r="1080" spans="1:3" x14ac:dyDescent="0.25">
      <c r="A1080" s="48" t="s">
        <v>19281</v>
      </c>
      <c r="B1080" t="s">
        <v>19282</v>
      </c>
      <c r="C1080">
        <v>0</v>
      </c>
    </row>
    <row r="1081" spans="1:3" x14ac:dyDescent="0.25">
      <c r="A1081" s="48" t="s">
        <v>13895</v>
      </c>
      <c r="B1081" t="s">
        <v>13896</v>
      </c>
      <c r="C1081">
        <v>0</v>
      </c>
    </row>
    <row r="1082" spans="1:3" x14ac:dyDescent="0.25">
      <c r="A1082" s="48" t="s">
        <v>7092</v>
      </c>
      <c r="B1082" t="s">
        <v>7093</v>
      </c>
      <c r="C1082">
        <v>0</v>
      </c>
    </row>
    <row r="1083" spans="1:3" x14ac:dyDescent="0.25">
      <c r="A1083" s="48" t="s">
        <v>1117</v>
      </c>
      <c r="B1083" t="s">
        <v>1118</v>
      </c>
      <c r="C1083">
        <v>2</v>
      </c>
    </row>
    <row r="1084" spans="1:3" x14ac:dyDescent="0.25">
      <c r="A1084" s="48" t="s">
        <v>14157</v>
      </c>
      <c r="B1084" t="s">
        <v>14158</v>
      </c>
      <c r="C1084">
        <v>8</v>
      </c>
    </row>
    <row r="1085" spans="1:3" x14ac:dyDescent="0.25">
      <c r="A1085" s="48" t="s">
        <v>14159</v>
      </c>
      <c r="B1085" t="s">
        <v>14160</v>
      </c>
      <c r="C1085">
        <v>29</v>
      </c>
    </row>
    <row r="1086" spans="1:3" x14ac:dyDescent="0.25">
      <c r="A1086" s="48" t="s">
        <v>14185</v>
      </c>
      <c r="B1086" t="s">
        <v>14186</v>
      </c>
      <c r="C1086">
        <v>0</v>
      </c>
    </row>
    <row r="1087" spans="1:3" x14ac:dyDescent="0.25">
      <c r="A1087" s="48" t="s">
        <v>872</v>
      </c>
      <c r="B1087" t="s">
        <v>873</v>
      </c>
      <c r="C1087">
        <v>17</v>
      </c>
    </row>
    <row r="1088" spans="1:3" x14ac:dyDescent="0.25">
      <c r="A1088" s="48" t="s">
        <v>6712</v>
      </c>
      <c r="B1088" t="s">
        <v>6713</v>
      </c>
      <c r="C1088">
        <v>13</v>
      </c>
    </row>
    <row r="1089" spans="1:3" x14ac:dyDescent="0.25">
      <c r="A1089" s="48" t="s">
        <v>2010</v>
      </c>
      <c r="B1089" t="s">
        <v>2011</v>
      </c>
      <c r="C1089">
        <v>1</v>
      </c>
    </row>
    <row r="1090" spans="1:3" x14ac:dyDescent="0.25">
      <c r="A1090" s="48" t="s">
        <v>7714</v>
      </c>
      <c r="B1090" t="s">
        <v>7715</v>
      </c>
      <c r="C1090">
        <v>0</v>
      </c>
    </row>
    <row r="1091" spans="1:3" x14ac:dyDescent="0.25">
      <c r="A1091" s="48" t="s">
        <v>3102</v>
      </c>
      <c r="B1091" t="s">
        <v>3103</v>
      </c>
      <c r="C1091">
        <v>1</v>
      </c>
    </row>
    <row r="1092" spans="1:3" x14ac:dyDescent="0.25">
      <c r="A1092" s="48" t="s">
        <v>7094</v>
      </c>
      <c r="B1092" t="s">
        <v>7095</v>
      </c>
      <c r="C1092">
        <v>0</v>
      </c>
    </row>
    <row r="1093" spans="1:3" x14ac:dyDescent="0.25">
      <c r="A1093" s="48" t="s">
        <v>2725</v>
      </c>
      <c r="B1093" t="s">
        <v>2726</v>
      </c>
      <c r="C1093">
        <v>0</v>
      </c>
    </row>
    <row r="1094" spans="1:3" x14ac:dyDescent="0.25">
      <c r="A1094" s="48" t="s">
        <v>2727</v>
      </c>
      <c r="B1094" t="s">
        <v>2728</v>
      </c>
      <c r="C1094">
        <v>0</v>
      </c>
    </row>
    <row r="1095" spans="1:3" x14ac:dyDescent="0.25">
      <c r="A1095" s="48" t="s">
        <v>413</v>
      </c>
      <c r="B1095" t="s">
        <v>414</v>
      </c>
      <c r="C1095">
        <v>10</v>
      </c>
    </row>
    <row r="1096" spans="1:3" x14ac:dyDescent="0.25">
      <c r="A1096" s="48" t="s">
        <v>12994</v>
      </c>
      <c r="B1096" t="s">
        <v>12995</v>
      </c>
      <c r="C1096">
        <v>12</v>
      </c>
    </row>
    <row r="1097" spans="1:3" x14ac:dyDescent="0.25">
      <c r="A1097" s="48" t="s">
        <v>7639</v>
      </c>
      <c r="B1097" t="s">
        <v>7640</v>
      </c>
      <c r="C1097">
        <v>0</v>
      </c>
    </row>
    <row r="1098" spans="1:3" x14ac:dyDescent="0.25">
      <c r="A1098" s="48" t="s">
        <v>12147</v>
      </c>
      <c r="B1098" t="s">
        <v>12148</v>
      </c>
      <c r="C1098">
        <v>19</v>
      </c>
    </row>
    <row r="1099" spans="1:3" x14ac:dyDescent="0.25">
      <c r="A1099" s="48" t="s">
        <v>12149</v>
      </c>
      <c r="B1099" t="s">
        <v>12150</v>
      </c>
      <c r="C1099">
        <v>0</v>
      </c>
    </row>
    <row r="1100" spans="1:3" x14ac:dyDescent="0.25">
      <c r="A1100" s="48" t="s">
        <v>725</v>
      </c>
      <c r="B1100" t="s">
        <v>726</v>
      </c>
      <c r="C1100">
        <v>17</v>
      </c>
    </row>
    <row r="1101" spans="1:3" x14ac:dyDescent="0.25">
      <c r="A1101" s="48" t="s">
        <v>7627</v>
      </c>
      <c r="B1101" t="s">
        <v>7628</v>
      </c>
      <c r="C1101">
        <v>4</v>
      </c>
    </row>
    <row r="1102" spans="1:3" x14ac:dyDescent="0.25">
      <c r="A1102" s="48" t="s">
        <v>5919</v>
      </c>
      <c r="B1102" t="s">
        <v>5920</v>
      </c>
      <c r="C1102">
        <v>6</v>
      </c>
    </row>
    <row r="1103" spans="1:3" x14ac:dyDescent="0.25">
      <c r="A1103" s="48" t="s">
        <v>5921</v>
      </c>
      <c r="B1103" t="s">
        <v>5922</v>
      </c>
      <c r="C1103">
        <v>9</v>
      </c>
    </row>
    <row r="1104" spans="1:3" x14ac:dyDescent="0.25">
      <c r="A1104" s="48" t="s">
        <v>913</v>
      </c>
      <c r="B1104" t="s">
        <v>914</v>
      </c>
      <c r="C1104">
        <v>2</v>
      </c>
    </row>
    <row r="1105" spans="1:3" x14ac:dyDescent="0.25">
      <c r="A1105" s="48" t="s">
        <v>7641</v>
      </c>
      <c r="B1105" t="s">
        <v>7642</v>
      </c>
      <c r="C1105">
        <v>31</v>
      </c>
    </row>
    <row r="1106" spans="1:3" x14ac:dyDescent="0.25">
      <c r="A1106" s="48" t="s">
        <v>7637</v>
      </c>
      <c r="B1106" t="s">
        <v>7638</v>
      </c>
      <c r="C1106">
        <v>12</v>
      </c>
    </row>
    <row r="1107" spans="1:3" x14ac:dyDescent="0.25">
      <c r="A1107" s="48" t="s">
        <v>19773</v>
      </c>
      <c r="B1107" t="s">
        <v>19774</v>
      </c>
      <c r="C1107">
        <v>19</v>
      </c>
    </row>
    <row r="1108" spans="1:3" x14ac:dyDescent="0.25">
      <c r="A1108" s="48" t="s">
        <v>19775</v>
      </c>
      <c r="B1108" t="s">
        <v>19776</v>
      </c>
      <c r="C1108">
        <v>22</v>
      </c>
    </row>
    <row r="1109" spans="1:3" x14ac:dyDescent="0.25">
      <c r="A1109" s="48" t="s">
        <v>4707</v>
      </c>
      <c r="B1109" t="s">
        <v>4708</v>
      </c>
      <c r="C1109">
        <v>0</v>
      </c>
    </row>
    <row r="1110" spans="1:3" x14ac:dyDescent="0.25">
      <c r="A1110" s="48" t="s">
        <v>4703</v>
      </c>
      <c r="B1110" t="s">
        <v>4704</v>
      </c>
      <c r="C1110">
        <v>0</v>
      </c>
    </row>
    <row r="1111" spans="1:3" x14ac:dyDescent="0.25">
      <c r="A1111" s="48" t="s">
        <v>4709</v>
      </c>
      <c r="B1111" t="s">
        <v>4710</v>
      </c>
      <c r="C1111">
        <v>0</v>
      </c>
    </row>
    <row r="1112" spans="1:3" x14ac:dyDescent="0.25">
      <c r="A1112" s="48" t="s">
        <v>1473</v>
      </c>
      <c r="B1112" t="s">
        <v>1474</v>
      </c>
      <c r="C1112">
        <v>12</v>
      </c>
    </row>
    <row r="1113" spans="1:3" x14ac:dyDescent="0.25">
      <c r="A1113" s="48" t="s">
        <v>23221</v>
      </c>
      <c r="B1113" t="s">
        <v>23222</v>
      </c>
      <c r="C1113">
        <v>0</v>
      </c>
    </row>
    <row r="1114" spans="1:3" x14ac:dyDescent="0.25">
      <c r="A1114" s="48" t="s">
        <v>8209</v>
      </c>
      <c r="B1114" t="s">
        <v>8210</v>
      </c>
      <c r="C1114">
        <v>0</v>
      </c>
    </row>
    <row r="1115" spans="1:3" x14ac:dyDescent="0.25">
      <c r="A1115" s="48" t="s">
        <v>16085</v>
      </c>
      <c r="B1115" t="s">
        <v>16086</v>
      </c>
      <c r="C1115">
        <v>0</v>
      </c>
    </row>
    <row r="1116" spans="1:3" x14ac:dyDescent="0.25">
      <c r="A1116" s="48" t="s">
        <v>16089</v>
      </c>
      <c r="B1116" t="s">
        <v>16090</v>
      </c>
      <c r="C1116">
        <v>2</v>
      </c>
    </row>
    <row r="1117" spans="1:3" x14ac:dyDescent="0.25">
      <c r="A1117" s="48" t="s">
        <v>16087</v>
      </c>
      <c r="B1117" t="s">
        <v>16088</v>
      </c>
      <c r="C1117">
        <v>7</v>
      </c>
    </row>
    <row r="1118" spans="1:3" x14ac:dyDescent="0.25">
      <c r="A1118" s="48" t="s">
        <v>12614</v>
      </c>
      <c r="B1118" t="s">
        <v>12615</v>
      </c>
      <c r="C1118">
        <v>0</v>
      </c>
    </row>
    <row r="1119" spans="1:3" x14ac:dyDescent="0.25">
      <c r="A1119" s="48" t="s">
        <v>19639</v>
      </c>
      <c r="B1119" t="s">
        <v>19640</v>
      </c>
      <c r="C1119">
        <v>0</v>
      </c>
    </row>
    <row r="1120" spans="1:3" x14ac:dyDescent="0.25">
      <c r="A1120" s="48" t="s">
        <v>8037</v>
      </c>
      <c r="B1120" t="s">
        <v>8038</v>
      </c>
      <c r="C1120">
        <v>3</v>
      </c>
    </row>
    <row r="1121" spans="1:3" x14ac:dyDescent="0.25">
      <c r="A1121" s="48" t="s">
        <v>7330</v>
      </c>
      <c r="B1121" t="s">
        <v>7331</v>
      </c>
      <c r="C1121">
        <v>8</v>
      </c>
    </row>
    <row r="1122" spans="1:3" x14ac:dyDescent="0.25">
      <c r="A1122" s="48" t="s">
        <v>445</v>
      </c>
      <c r="B1122" t="s">
        <v>446</v>
      </c>
      <c r="C1122">
        <v>0</v>
      </c>
    </row>
    <row r="1123" spans="1:3" x14ac:dyDescent="0.25">
      <c r="A1123" s="48" t="s">
        <v>7488</v>
      </c>
      <c r="B1123" t="s">
        <v>7489</v>
      </c>
      <c r="C1123">
        <v>0</v>
      </c>
    </row>
    <row r="1124" spans="1:3" x14ac:dyDescent="0.25">
      <c r="A1124" s="48" t="s">
        <v>5978</v>
      </c>
      <c r="B1124" t="s">
        <v>5979</v>
      </c>
      <c r="C1124">
        <v>0</v>
      </c>
    </row>
    <row r="1125" spans="1:3" x14ac:dyDescent="0.25">
      <c r="A1125" s="48" t="s">
        <v>12059</v>
      </c>
      <c r="B1125" t="s">
        <v>12060</v>
      </c>
      <c r="C1125">
        <v>0</v>
      </c>
    </row>
    <row r="1126" spans="1:3" x14ac:dyDescent="0.25">
      <c r="A1126" s="48" t="s">
        <v>13915</v>
      </c>
      <c r="B1126" t="s">
        <v>13916</v>
      </c>
      <c r="C1126">
        <v>0</v>
      </c>
    </row>
    <row r="1127" spans="1:3" x14ac:dyDescent="0.25">
      <c r="A1127" s="48" t="s">
        <v>12224</v>
      </c>
      <c r="B1127" t="s">
        <v>12225</v>
      </c>
      <c r="C1127">
        <v>0</v>
      </c>
    </row>
    <row r="1128" spans="1:3" x14ac:dyDescent="0.25">
      <c r="A1128" s="48" t="s">
        <v>12624</v>
      </c>
      <c r="B1128" t="s">
        <v>12625</v>
      </c>
      <c r="C1128">
        <v>0</v>
      </c>
    </row>
    <row r="1129" spans="1:3" x14ac:dyDescent="0.25">
      <c r="A1129" s="48" t="s">
        <v>13036</v>
      </c>
      <c r="B1129" t="s">
        <v>13037</v>
      </c>
      <c r="C1129">
        <v>6</v>
      </c>
    </row>
    <row r="1130" spans="1:3" x14ac:dyDescent="0.25">
      <c r="A1130" s="48" t="s">
        <v>17394</v>
      </c>
      <c r="B1130" t="s">
        <v>17395</v>
      </c>
      <c r="C1130">
        <v>0</v>
      </c>
    </row>
    <row r="1131" spans="1:3" x14ac:dyDescent="0.25">
      <c r="A1131" s="48" t="s">
        <v>17316</v>
      </c>
      <c r="B1131" t="s">
        <v>17317</v>
      </c>
      <c r="C1131">
        <v>0</v>
      </c>
    </row>
    <row r="1132" spans="1:3" x14ac:dyDescent="0.25">
      <c r="A1132" s="48" t="s">
        <v>17322</v>
      </c>
      <c r="B1132" t="s">
        <v>20056</v>
      </c>
      <c r="C1132">
        <v>0</v>
      </c>
    </row>
    <row r="1133" spans="1:3" x14ac:dyDescent="0.25">
      <c r="A1133" s="48" t="s">
        <v>17290</v>
      </c>
      <c r="B1133" t="s">
        <v>17291</v>
      </c>
      <c r="C1133">
        <v>0</v>
      </c>
    </row>
    <row r="1134" spans="1:3" x14ac:dyDescent="0.25">
      <c r="A1134" s="48" t="s">
        <v>17396</v>
      </c>
      <c r="B1134" t="s">
        <v>17397</v>
      </c>
      <c r="C1134">
        <v>0</v>
      </c>
    </row>
    <row r="1135" spans="1:3" x14ac:dyDescent="0.25">
      <c r="A1135" s="48" t="s">
        <v>17318</v>
      </c>
      <c r="B1135" t="s">
        <v>17319</v>
      </c>
      <c r="C1135">
        <v>0</v>
      </c>
    </row>
    <row r="1136" spans="1:3" x14ac:dyDescent="0.25">
      <c r="A1136" s="48" t="s">
        <v>17324</v>
      </c>
      <c r="B1136" t="s">
        <v>17325</v>
      </c>
      <c r="C1136">
        <v>0</v>
      </c>
    </row>
    <row r="1137" spans="1:3" x14ac:dyDescent="0.25">
      <c r="A1137" s="48" t="s">
        <v>17320</v>
      </c>
      <c r="B1137" t="s">
        <v>17321</v>
      </c>
      <c r="C1137">
        <v>0</v>
      </c>
    </row>
    <row r="1138" spans="1:3" x14ac:dyDescent="0.25">
      <c r="A1138" s="48" t="s">
        <v>17328</v>
      </c>
      <c r="B1138" t="s">
        <v>17329</v>
      </c>
      <c r="C1138">
        <v>0</v>
      </c>
    </row>
    <row r="1139" spans="1:3" x14ac:dyDescent="0.25">
      <c r="A1139" s="48" t="s">
        <v>1876</v>
      </c>
      <c r="B1139" t="s">
        <v>1877</v>
      </c>
      <c r="C1139">
        <v>5</v>
      </c>
    </row>
    <row r="1140" spans="1:3" x14ac:dyDescent="0.25">
      <c r="A1140" s="48" t="s">
        <v>15851</v>
      </c>
      <c r="B1140" t="s">
        <v>15852</v>
      </c>
      <c r="C1140">
        <v>0</v>
      </c>
    </row>
    <row r="1141" spans="1:3" x14ac:dyDescent="0.25">
      <c r="A1141" s="48" t="s">
        <v>15853</v>
      </c>
      <c r="B1141" t="s">
        <v>15854</v>
      </c>
      <c r="C1141">
        <v>0</v>
      </c>
    </row>
    <row r="1142" spans="1:3" x14ac:dyDescent="0.25">
      <c r="A1142" s="48" t="s">
        <v>3386</v>
      </c>
      <c r="B1142" t="s">
        <v>3387</v>
      </c>
      <c r="C1142">
        <v>10</v>
      </c>
    </row>
    <row r="1143" spans="1:3" x14ac:dyDescent="0.25">
      <c r="A1143" s="48" t="s">
        <v>19279</v>
      </c>
      <c r="B1143" t="s">
        <v>19280</v>
      </c>
      <c r="C1143">
        <v>0</v>
      </c>
    </row>
    <row r="1144" spans="1:3" x14ac:dyDescent="0.25">
      <c r="A1144" s="48" t="s">
        <v>14449</v>
      </c>
      <c r="B1144" t="s">
        <v>14450</v>
      </c>
      <c r="C1144">
        <v>3</v>
      </c>
    </row>
    <row r="1145" spans="1:3" x14ac:dyDescent="0.25">
      <c r="A1145" s="48" t="s">
        <v>3179</v>
      </c>
      <c r="B1145" t="s">
        <v>3180</v>
      </c>
      <c r="C1145">
        <v>0</v>
      </c>
    </row>
    <row r="1146" spans="1:3" x14ac:dyDescent="0.25">
      <c r="A1146" s="48" t="s">
        <v>3173</v>
      </c>
      <c r="B1146" t="s">
        <v>3174</v>
      </c>
      <c r="C1146">
        <v>0</v>
      </c>
    </row>
    <row r="1147" spans="1:3" x14ac:dyDescent="0.25">
      <c r="A1147" s="48" t="s">
        <v>3373</v>
      </c>
      <c r="B1147" t="s">
        <v>3374</v>
      </c>
      <c r="C1147">
        <v>0</v>
      </c>
    </row>
    <row r="1148" spans="1:3" x14ac:dyDescent="0.25">
      <c r="A1148" s="48" t="s">
        <v>3390</v>
      </c>
      <c r="B1148" t="s">
        <v>3391</v>
      </c>
      <c r="C1148">
        <v>13</v>
      </c>
    </row>
    <row r="1149" spans="1:3" x14ac:dyDescent="0.25">
      <c r="A1149" s="48" t="s">
        <v>14234</v>
      </c>
      <c r="B1149" t="s">
        <v>14235</v>
      </c>
      <c r="C1149">
        <v>0</v>
      </c>
    </row>
    <row r="1150" spans="1:3" x14ac:dyDescent="0.25">
      <c r="A1150" s="48" t="s">
        <v>10562</v>
      </c>
      <c r="B1150" t="s">
        <v>10563</v>
      </c>
      <c r="C1150">
        <v>0</v>
      </c>
    </row>
    <row r="1151" spans="1:3" x14ac:dyDescent="0.25">
      <c r="A1151" s="48" t="s">
        <v>997</v>
      </c>
      <c r="B1151" t="s">
        <v>998</v>
      </c>
      <c r="C1151">
        <v>0</v>
      </c>
    </row>
    <row r="1152" spans="1:3" x14ac:dyDescent="0.25">
      <c r="A1152" s="48" t="s">
        <v>3396</v>
      </c>
      <c r="B1152" t="s">
        <v>3397</v>
      </c>
      <c r="C1152">
        <v>8</v>
      </c>
    </row>
    <row r="1153" spans="1:3" x14ac:dyDescent="0.25">
      <c r="A1153" s="48" t="s">
        <v>1609</v>
      </c>
      <c r="B1153" t="s">
        <v>1610</v>
      </c>
      <c r="C1153">
        <v>6</v>
      </c>
    </row>
    <row r="1154" spans="1:3" x14ac:dyDescent="0.25">
      <c r="A1154" s="48" t="s">
        <v>14197</v>
      </c>
      <c r="B1154" t="s">
        <v>14198</v>
      </c>
      <c r="C1154">
        <v>1</v>
      </c>
    </row>
    <row r="1155" spans="1:3" x14ac:dyDescent="0.25">
      <c r="A1155" s="48" t="s">
        <v>19651</v>
      </c>
      <c r="B1155" t="s">
        <v>19652</v>
      </c>
      <c r="C1155">
        <v>0</v>
      </c>
    </row>
    <row r="1156" spans="1:3" x14ac:dyDescent="0.25">
      <c r="A1156" s="48" t="s">
        <v>19649</v>
      </c>
      <c r="B1156" t="s">
        <v>19650</v>
      </c>
      <c r="C1156">
        <v>2</v>
      </c>
    </row>
    <row r="1157" spans="1:3" x14ac:dyDescent="0.25">
      <c r="A1157" s="48" t="s">
        <v>6956</v>
      </c>
      <c r="B1157" t="s">
        <v>6957</v>
      </c>
      <c r="C1157">
        <v>0</v>
      </c>
    </row>
    <row r="1158" spans="1:3" x14ac:dyDescent="0.25">
      <c r="A1158" s="48" t="s">
        <v>19312</v>
      </c>
      <c r="B1158" t="s">
        <v>19313</v>
      </c>
      <c r="C1158">
        <v>0</v>
      </c>
    </row>
    <row r="1159" spans="1:3" x14ac:dyDescent="0.25">
      <c r="A1159" s="48" t="s">
        <v>19310</v>
      </c>
      <c r="B1159" t="s">
        <v>19311</v>
      </c>
      <c r="C1159">
        <v>17</v>
      </c>
    </row>
    <row r="1160" spans="1:3" x14ac:dyDescent="0.25">
      <c r="A1160" s="48" t="s">
        <v>7490</v>
      </c>
      <c r="B1160" t="s">
        <v>7491</v>
      </c>
      <c r="C1160" t="s">
        <v>23256</v>
      </c>
    </row>
    <row r="1161" spans="1:3" x14ac:dyDescent="0.25">
      <c r="A1161" s="48" t="s">
        <v>13704</v>
      </c>
      <c r="B1161" t="s">
        <v>13705</v>
      </c>
      <c r="C1161">
        <v>1</v>
      </c>
    </row>
    <row r="1162" spans="1:3" x14ac:dyDescent="0.25">
      <c r="A1162" s="48" t="s">
        <v>7780</v>
      </c>
      <c r="B1162" t="s">
        <v>7781</v>
      </c>
      <c r="C1162">
        <v>1</v>
      </c>
    </row>
    <row r="1163" spans="1:3" x14ac:dyDescent="0.25">
      <c r="A1163" s="48" t="s">
        <v>19849</v>
      </c>
      <c r="B1163" t="s">
        <v>19850</v>
      </c>
      <c r="C1163">
        <v>0</v>
      </c>
    </row>
    <row r="1164" spans="1:3" x14ac:dyDescent="0.25">
      <c r="A1164" s="48" t="s">
        <v>12996</v>
      </c>
      <c r="B1164" t="s">
        <v>12997</v>
      </c>
      <c r="C1164">
        <v>0</v>
      </c>
    </row>
    <row r="1165" spans="1:3" x14ac:dyDescent="0.25">
      <c r="A1165" s="48" t="s">
        <v>8055</v>
      </c>
      <c r="B1165" t="s">
        <v>8056</v>
      </c>
      <c r="C1165">
        <v>0</v>
      </c>
    </row>
    <row r="1166" spans="1:3" x14ac:dyDescent="0.25">
      <c r="A1166" s="48" t="s">
        <v>6738</v>
      </c>
      <c r="B1166" t="s">
        <v>6739</v>
      </c>
      <c r="C1166">
        <v>0</v>
      </c>
    </row>
    <row r="1167" spans="1:3" x14ac:dyDescent="0.25">
      <c r="A1167" s="48" t="s">
        <v>735</v>
      </c>
      <c r="B1167" t="s">
        <v>736</v>
      </c>
      <c r="C1167">
        <v>30</v>
      </c>
    </row>
    <row r="1168" spans="1:3" x14ac:dyDescent="0.25">
      <c r="A1168" s="48" t="s">
        <v>9726</v>
      </c>
      <c r="B1168" t="s">
        <v>9727</v>
      </c>
      <c r="C1168">
        <v>0</v>
      </c>
    </row>
    <row r="1169" spans="1:3" x14ac:dyDescent="0.25">
      <c r="A1169" s="48" t="s">
        <v>17825</v>
      </c>
      <c r="B1169" t="s">
        <v>17826</v>
      </c>
      <c r="C1169">
        <v>0</v>
      </c>
    </row>
    <row r="1170" spans="1:3" x14ac:dyDescent="0.25">
      <c r="A1170" s="48" t="s">
        <v>4590</v>
      </c>
      <c r="B1170" t="s">
        <v>4591</v>
      </c>
      <c r="C1170">
        <v>0</v>
      </c>
    </row>
    <row r="1171" spans="1:3" x14ac:dyDescent="0.25">
      <c r="A1171" s="48" t="s">
        <v>3367</v>
      </c>
      <c r="B1171" t="s">
        <v>3368</v>
      </c>
      <c r="C1171">
        <v>0</v>
      </c>
    </row>
    <row r="1172" spans="1:3" x14ac:dyDescent="0.25">
      <c r="A1172" s="48" t="s">
        <v>10564</v>
      </c>
      <c r="B1172" t="s">
        <v>10565</v>
      </c>
      <c r="C1172">
        <v>0</v>
      </c>
    </row>
    <row r="1173" spans="1:3" x14ac:dyDescent="0.25">
      <c r="A1173" s="48" t="s">
        <v>4592</v>
      </c>
      <c r="B1173" t="s">
        <v>4593</v>
      </c>
      <c r="C1173">
        <v>0</v>
      </c>
    </row>
    <row r="1174" spans="1:3" x14ac:dyDescent="0.25">
      <c r="A1174" s="48" t="s">
        <v>9936</v>
      </c>
      <c r="B1174" t="s">
        <v>9937</v>
      </c>
      <c r="C1174">
        <v>0</v>
      </c>
    </row>
    <row r="1175" spans="1:3" x14ac:dyDescent="0.25">
      <c r="A1175" s="48" t="s">
        <v>6039</v>
      </c>
      <c r="B1175" t="s">
        <v>6040</v>
      </c>
      <c r="C1175">
        <v>0</v>
      </c>
    </row>
    <row r="1176" spans="1:3" x14ac:dyDescent="0.25">
      <c r="A1176" s="48" t="s">
        <v>6041</v>
      </c>
      <c r="B1176" t="s">
        <v>6042</v>
      </c>
      <c r="C1176">
        <v>0</v>
      </c>
    </row>
    <row r="1177" spans="1:3" x14ac:dyDescent="0.25">
      <c r="A1177" s="48" t="s">
        <v>3377</v>
      </c>
      <c r="B1177" t="s">
        <v>3378</v>
      </c>
      <c r="C1177">
        <v>6</v>
      </c>
    </row>
    <row r="1178" spans="1:3" x14ac:dyDescent="0.25">
      <c r="A1178" s="48" t="s">
        <v>3375</v>
      </c>
      <c r="B1178" t="s">
        <v>3376</v>
      </c>
      <c r="C1178">
        <v>0</v>
      </c>
    </row>
    <row r="1179" spans="1:3" x14ac:dyDescent="0.25">
      <c r="A1179" s="48" t="s">
        <v>1960</v>
      </c>
      <c r="B1179" t="s">
        <v>1961</v>
      </c>
      <c r="C1179">
        <v>24</v>
      </c>
    </row>
    <row r="1180" spans="1:3" x14ac:dyDescent="0.25">
      <c r="A1180" s="48" t="s">
        <v>3565</v>
      </c>
      <c r="B1180" t="s">
        <v>3566</v>
      </c>
      <c r="C1180">
        <v>9</v>
      </c>
    </row>
    <row r="1181" spans="1:3" x14ac:dyDescent="0.25">
      <c r="A1181" s="48" t="s">
        <v>7736</v>
      </c>
      <c r="B1181" t="s">
        <v>7737</v>
      </c>
      <c r="C1181">
        <v>0</v>
      </c>
    </row>
    <row r="1182" spans="1:3" x14ac:dyDescent="0.25">
      <c r="A1182" s="48" t="s">
        <v>6116</v>
      </c>
      <c r="B1182" t="s">
        <v>6117</v>
      </c>
      <c r="C1182">
        <v>0</v>
      </c>
    </row>
    <row r="1183" spans="1:3" x14ac:dyDescent="0.25">
      <c r="A1183" s="48" t="s">
        <v>17274</v>
      </c>
      <c r="B1183" t="s">
        <v>17275</v>
      </c>
      <c r="C1183">
        <v>0</v>
      </c>
    </row>
    <row r="1184" spans="1:3" x14ac:dyDescent="0.25">
      <c r="A1184" s="48" t="s">
        <v>17276</v>
      </c>
      <c r="B1184" t="s">
        <v>17277</v>
      </c>
      <c r="C1184">
        <v>0</v>
      </c>
    </row>
    <row r="1185" spans="1:3" x14ac:dyDescent="0.25">
      <c r="A1185" s="48" t="s">
        <v>17270</v>
      </c>
      <c r="B1185" t="s">
        <v>17271</v>
      </c>
      <c r="C1185">
        <v>0</v>
      </c>
    </row>
    <row r="1186" spans="1:3" x14ac:dyDescent="0.25">
      <c r="A1186" s="48" t="s">
        <v>17272</v>
      </c>
      <c r="B1186" t="s">
        <v>17273</v>
      </c>
      <c r="C1186">
        <v>0</v>
      </c>
    </row>
    <row r="1187" spans="1:3" x14ac:dyDescent="0.25">
      <c r="A1187" s="48" t="s">
        <v>17292</v>
      </c>
      <c r="B1187" t="s">
        <v>17293</v>
      </c>
      <c r="C1187">
        <v>0</v>
      </c>
    </row>
    <row r="1188" spans="1:3" x14ac:dyDescent="0.25">
      <c r="A1188" s="48" t="s">
        <v>17294</v>
      </c>
      <c r="B1188" t="s">
        <v>17295</v>
      </c>
      <c r="C1188">
        <v>0</v>
      </c>
    </row>
    <row r="1189" spans="1:3" x14ac:dyDescent="0.25">
      <c r="A1189" s="48" t="s">
        <v>7009</v>
      </c>
      <c r="B1189" t="s">
        <v>7010</v>
      </c>
      <c r="C1189">
        <v>0</v>
      </c>
    </row>
    <row r="1190" spans="1:3" x14ac:dyDescent="0.25">
      <c r="A1190" s="48" t="s">
        <v>7007</v>
      </c>
      <c r="B1190" t="s">
        <v>7008</v>
      </c>
      <c r="C1190">
        <v>0</v>
      </c>
    </row>
    <row r="1191" spans="1:3" x14ac:dyDescent="0.25">
      <c r="A1191" s="48" t="s">
        <v>761</v>
      </c>
      <c r="B1191" t="s">
        <v>762</v>
      </c>
      <c r="C1191">
        <v>0</v>
      </c>
    </row>
    <row r="1192" spans="1:3" x14ac:dyDescent="0.25">
      <c r="A1192" s="48" t="s">
        <v>6115</v>
      </c>
      <c r="B1192" t="s">
        <v>6114</v>
      </c>
      <c r="C1192">
        <v>0</v>
      </c>
    </row>
    <row r="1193" spans="1:3" x14ac:dyDescent="0.25">
      <c r="A1193" s="48" t="s">
        <v>8722</v>
      </c>
      <c r="B1193" t="s">
        <v>8723</v>
      </c>
      <c r="C1193">
        <v>6</v>
      </c>
    </row>
    <row r="1194" spans="1:3" x14ac:dyDescent="0.25">
      <c r="A1194" s="48" t="s">
        <v>870</v>
      </c>
      <c r="B1194" t="s">
        <v>871</v>
      </c>
      <c r="C1194">
        <v>197</v>
      </c>
    </row>
    <row r="1195" spans="1:3" x14ac:dyDescent="0.25">
      <c r="A1195" s="48" t="s">
        <v>3369</v>
      </c>
      <c r="B1195" t="s">
        <v>3370</v>
      </c>
      <c r="C1195">
        <v>0</v>
      </c>
    </row>
    <row r="1196" spans="1:3" x14ac:dyDescent="0.25">
      <c r="A1196" s="48" t="s">
        <v>22955</v>
      </c>
      <c r="B1196" t="s">
        <v>22956</v>
      </c>
      <c r="C1196">
        <v>0</v>
      </c>
    </row>
    <row r="1197" spans="1:3" x14ac:dyDescent="0.25">
      <c r="A1197" s="48" t="s">
        <v>7563</v>
      </c>
      <c r="B1197" t="s">
        <v>7564</v>
      </c>
      <c r="C1197">
        <v>0</v>
      </c>
    </row>
    <row r="1198" spans="1:3" x14ac:dyDescent="0.25">
      <c r="A1198" s="48" t="s">
        <v>8660</v>
      </c>
      <c r="B1198" t="s">
        <v>8661</v>
      </c>
      <c r="C1198">
        <v>0</v>
      </c>
    </row>
    <row r="1199" spans="1:3" x14ac:dyDescent="0.25">
      <c r="A1199" s="48" t="s">
        <v>9257</v>
      </c>
      <c r="B1199" t="s">
        <v>9258</v>
      </c>
      <c r="C1199">
        <v>0</v>
      </c>
    </row>
    <row r="1200" spans="1:3" x14ac:dyDescent="0.25">
      <c r="A1200" s="48" t="s">
        <v>4705</v>
      </c>
      <c r="B1200" t="s">
        <v>4706</v>
      </c>
      <c r="C1200">
        <v>0</v>
      </c>
    </row>
    <row r="1201" spans="1:3" x14ac:dyDescent="0.25">
      <c r="A1201" s="48" t="s">
        <v>4711</v>
      </c>
      <c r="B1201" t="s">
        <v>4712</v>
      </c>
      <c r="C1201">
        <v>0</v>
      </c>
    </row>
    <row r="1202" spans="1:3" x14ac:dyDescent="0.25">
      <c r="A1202" s="48" t="s">
        <v>19829</v>
      </c>
      <c r="B1202" t="s">
        <v>19830</v>
      </c>
      <c r="C1202">
        <v>10</v>
      </c>
    </row>
    <row r="1203" spans="1:3" x14ac:dyDescent="0.25">
      <c r="A1203" s="48" t="s">
        <v>3177</v>
      </c>
      <c r="B1203" t="s">
        <v>3178</v>
      </c>
      <c r="C1203">
        <v>0</v>
      </c>
    </row>
    <row r="1204" spans="1:3" x14ac:dyDescent="0.25">
      <c r="A1204" s="48" t="s">
        <v>4584</v>
      </c>
      <c r="B1204" t="s">
        <v>4585</v>
      </c>
      <c r="C1204">
        <v>11</v>
      </c>
    </row>
    <row r="1205" spans="1:3" x14ac:dyDescent="0.25">
      <c r="A1205" s="48" t="s">
        <v>4588</v>
      </c>
      <c r="B1205" t="s">
        <v>4589</v>
      </c>
      <c r="C1205">
        <v>4</v>
      </c>
    </row>
    <row r="1206" spans="1:3" x14ac:dyDescent="0.25">
      <c r="A1206" s="48" t="s">
        <v>9978</v>
      </c>
      <c r="B1206" t="s">
        <v>9979</v>
      </c>
      <c r="C1206">
        <v>0</v>
      </c>
    </row>
    <row r="1207" spans="1:3" x14ac:dyDescent="0.25">
      <c r="A1207" s="48" t="s">
        <v>14447</v>
      </c>
      <c r="B1207" t="s">
        <v>14448</v>
      </c>
      <c r="C1207">
        <v>0</v>
      </c>
    </row>
    <row r="1208" spans="1:3" x14ac:dyDescent="0.25">
      <c r="A1208" s="48" t="s">
        <v>2729</v>
      </c>
      <c r="B1208" t="s">
        <v>2730</v>
      </c>
      <c r="C1208">
        <v>8</v>
      </c>
    </row>
    <row r="1209" spans="1:3" x14ac:dyDescent="0.25">
      <c r="A1209" s="48" t="s">
        <v>12992</v>
      </c>
      <c r="B1209" t="s">
        <v>12993</v>
      </c>
      <c r="C1209">
        <v>0</v>
      </c>
    </row>
    <row r="1210" spans="1:3" x14ac:dyDescent="0.25">
      <c r="A1210" s="48" t="s">
        <v>16818</v>
      </c>
      <c r="B1210" t="s">
        <v>16819</v>
      </c>
      <c r="C1210">
        <v>1</v>
      </c>
    </row>
    <row r="1211" spans="1:3" x14ac:dyDescent="0.25">
      <c r="A1211" s="48" t="s">
        <v>16816</v>
      </c>
      <c r="B1211" t="s">
        <v>16817</v>
      </c>
      <c r="C1211">
        <v>1</v>
      </c>
    </row>
    <row r="1212" spans="1:3" x14ac:dyDescent="0.25">
      <c r="A1212" s="48" t="s">
        <v>16606</v>
      </c>
      <c r="B1212" t="s">
        <v>16607</v>
      </c>
      <c r="C1212">
        <v>22</v>
      </c>
    </row>
    <row r="1213" spans="1:3" x14ac:dyDescent="0.25">
      <c r="A1213" s="48" t="s">
        <v>6071</v>
      </c>
      <c r="B1213" t="s">
        <v>6072</v>
      </c>
      <c r="C1213">
        <v>0</v>
      </c>
    </row>
    <row r="1214" spans="1:3" x14ac:dyDescent="0.25">
      <c r="A1214" s="48" t="s">
        <v>10133</v>
      </c>
      <c r="B1214" t="s">
        <v>10134</v>
      </c>
      <c r="C1214">
        <v>0</v>
      </c>
    </row>
    <row r="1215" spans="1:3" x14ac:dyDescent="0.25">
      <c r="A1215" s="48" t="s">
        <v>10131</v>
      </c>
      <c r="B1215" t="s">
        <v>10132</v>
      </c>
      <c r="C1215">
        <v>0</v>
      </c>
    </row>
    <row r="1216" spans="1:3" x14ac:dyDescent="0.25">
      <c r="A1216" s="48" t="s">
        <v>7522</v>
      </c>
      <c r="B1216" t="s">
        <v>7523</v>
      </c>
      <c r="C1216">
        <v>0</v>
      </c>
    </row>
    <row r="1217" spans="1:3" x14ac:dyDescent="0.25">
      <c r="A1217" s="48" t="s">
        <v>5038</v>
      </c>
      <c r="B1217" t="s">
        <v>5039</v>
      </c>
      <c r="C1217">
        <v>0</v>
      </c>
    </row>
    <row r="1218" spans="1:3" x14ac:dyDescent="0.25">
      <c r="A1218" s="48" t="s">
        <v>13899</v>
      </c>
      <c r="B1218" t="s">
        <v>13900</v>
      </c>
      <c r="C1218">
        <v>4</v>
      </c>
    </row>
    <row r="1219" spans="1:3" x14ac:dyDescent="0.25">
      <c r="A1219" s="48" t="s">
        <v>10129</v>
      </c>
      <c r="B1219" t="s">
        <v>10130</v>
      </c>
      <c r="C1219">
        <v>0</v>
      </c>
    </row>
    <row r="1220" spans="1:3" x14ac:dyDescent="0.25">
      <c r="A1220" s="48" t="s">
        <v>14223</v>
      </c>
      <c r="B1220" t="s">
        <v>14224</v>
      </c>
      <c r="C1220">
        <v>0</v>
      </c>
    </row>
    <row r="1221" spans="1:3" x14ac:dyDescent="0.25">
      <c r="A1221" s="48" t="s">
        <v>19795</v>
      </c>
      <c r="B1221" t="s">
        <v>19796</v>
      </c>
      <c r="C1221">
        <v>0</v>
      </c>
    </row>
    <row r="1222" spans="1:3" x14ac:dyDescent="0.25">
      <c r="A1222" s="48" t="s">
        <v>19797</v>
      </c>
      <c r="B1222" t="s">
        <v>19798</v>
      </c>
      <c r="C1222">
        <v>1</v>
      </c>
    </row>
    <row r="1223" spans="1:3" x14ac:dyDescent="0.25">
      <c r="A1223" s="48" t="s">
        <v>10590</v>
      </c>
      <c r="B1223" t="s">
        <v>10591</v>
      </c>
      <c r="C1223">
        <v>0</v>
      </c>
    </row>
    <row r="1224" spans="1:3" x14ac:dyDescent="0.25">
      <c r="A1224" s="48" t="s">
        <v>13695</v>
      </c>
      <c r="B1224" t="s">
        <v>13694</v>
      </c>
      <c r="C1224">
        <v>0</v>
      </c>
    </row>
    <row r="1225" spans="1:3" x14ac:dyDescent="0.25">
      <c r="A1225" s="48" t="s">
        <v>19532</v>
      </c>
      <c r="B1225" t="s">
        <v>19533</v>
      </c>
      <c r="C1225">
        <v>0</v>
      </c>
    </row>
    <row r="1226" spans="1:3" x14ac:dyDescent="0.25">
      <c r="A1226" s="48" t="s">
        <v>6079</v>
      </c>
      <c r="B1226" t="s">
        <v>6080</v>
      </c>
      <c r="C1226">
        <v>0</v>
      </c>
    </row>
    <row r="1227" spans="1:3" x14ac:dyDescent="0.25">
      <c r="A1227" s="48" t="s">
        <v>9259</v>
      </c>
      <c r="B1227" t="s">
        <v>9260</v>
      </c>
      <c r="C1227">
        <v>0</v>
      </c>
    </row>
    <row r="1228" spans="1:3" x14ac:dyDescent="0.25">
      <c r="A1228" s="48" t="s">
        <v>9042</v>
      </c>
      <c r="B1228" t="s">
        <v>9043</v>
      </c>
      <c r="C1228">
        <v>22</v>
      </c>
    </row>
    <row r="1229" spans="1:3" x14ac:dyDescent="0.25">
      <c r="A1229" s="48" t="s">
        <v>5032</v>
      </c>
      <c r="B1229" t="s">
        <v>5033</v>
      </c>
      <c r="C1229">
        <v>0</v>
      </c>
    </row>
    <row r="1230" spans="1:3" x14ac:dyDescent="0.25">
      <c r="A1230" s="48" t="s">
        <v>5042</v>
      </c>
      <c r="B1230" t="s">
        <v>5043</v>
      </c>
      <c r="C1230">
        <v>2</v>
      </c>
    </row>
    <row r="1231" spans="1:3" x14ac:dyDescent="0.25">
      <c r="A1231" s="48" t="s">
        <v>6722</v>
      </c>
      <c r="B1231" t="s">
        <v>6723</v>
      </c>
      <c r="C1231">
        <v>0</v>
      </c>
    </row>
    <row r="1232" spans="1:3" x14ac:dyDescent="0.25">
      <c r="A1232" s="48" t="s">
        <v>15855</v>
      </c>
      <c r="B1232" t="s">
        <v>20057</v>
      </c>
      <c r="C1232">
        <v>0</v>
      </c>
    </row>
    <row r="1233" spans="1:3" x14ac:dyDescent="0.25">
      <c r="A1233" s="48" t="s">
        <v>4756</v>
      </c>
      <c r="B1233" t="s">
        <v>4757</v>
      </c>
      <c r="C1233">
        <v>0</v>
      </c>
    </row>
    <row r="1234" spans="1:3" x14ac:dyDescent="0.25">
      <c r="A1234" s="48" t="s">
        <v>3418</v>
      </c>
      <c r="B1234" t="s">
        <v>3419</v>
      </c>
      <c r="C1234">
        <v>0</v>
      </c>
    </row>
    <row r="1235" spans="1:3" x14ac:dyDescent="0.25">
      <c r="A1235" s="48" t="s">
        <v>1407</v>
      </c>
      <c r="B1235" t="s">
        <v>1408</v>
      </c>
      <c r="C1235">
        <v>11</v>
      </c>
    </row>
    <row r="1236" spans="1:3" x14ac:dyDescent="0.25">
      <c r="A1236" s="48" t="s">
        <v>1839</v>
      </c>
      <c r="B1236" t="s">
        <v>1840</v>
      </c>
      <c r="C1236">
        <v>22</v>
      </c>
    </row>
    <row r="1237" spans="1:3" x14ac:dyDescent="0.25">
      <c r="A1237" s="48" t="s">
        <v>3392</v>
      </c>
      <c r="B1237" t="s">
        <v>3393</v>
      </c>
      <c r="C1237">
        <v>0</v>
      </c>
    </row>
    <row r="1238" spans="1:3" x14ac:dyDescent="0.25">
      <c r="A1238" s="48" t="s">
        <v>17995</v>
      </c>
      <c r="B1238" t="s">
        <v>17996</v>
      </c>
      <c r="C1238">
        <v>0</v>
      </c>
    </row>
    <row r="1239" spans="1:3" x14ac:dyDescent="0.25">
      <c r="A1239" s="48" t="s">
        <v>3857</v>
      </c>
      <c r="B1239" t="s">
        <v>3858</v>
      </c>
      <c r="C1239">
        <v>4</v>
      </c>
    </row>
    <row r="1240" spans="1:3" x14ac:dyDescent="0.25">
      <c r="A1240" s="48" t="s">
        <v>16646</v>
      </c>
      <c r="B1240" t="s">
        <v>16647</v>
      </c>
      <c r="C1240">
        <v>0</v>
      </c>
    </row>
    <row r="1241" spans="1:3" x14ac:dyDescent="0.25">
      <c r="A1241" s="48" t="s">
        <v>1353</v>
      </c>
      <c r="B1241" t="s">
        <v>1354</v>
      </c>
      <c r="C1241">
        <v>3</v>
      </c>
    </row>
    <row r="1242" spans="1:3" x14ac:dyDescent="0.25">
      <c r="A1242" s="48" t="s">
        <v>241</v>
      </c>
      <c r="B1242" t="s">
        <v>242</v>
      </c>
      <c r="C1242">
        <v>0</v>
      </c>
    </row>
    <row r="1243" spans="1:3" x14ac:dyDescent="0.25">
      <c r="A1243" s="48" t="s">
        <v>773</v>
      </c>
      <c r="B1243" t="s">
        <v>774</v>
      </c>
      <c r="C1243">
        <v>10</v>
      </c>
    </row>
    <row r="1244" spans="1:3" x14ac:dyDescent="0.25">
      <c r="A1244" s="48" t="s">
        <v>19301</v>
      </c>
      <c r="B1244" t="s">
        <v>19302</v>
      </c>
      <c r="C1244">
        <v>0</v>
      </c>
    </row>
    <row r="1245" spans="1:3" x14ac:dyDescent="0.25">
      <c r="A1245" s="48" t="s">
        <v>5937</v>
      </c>
      <c r="B1245" t="s">
        <v>5938</v>
      </c>
      <c r="C1245">
        <v>9</v>
      </c>
    </row>
    <row r="1246" spans="1:3" x14ac:dyDescent="0.25">
      <c r="A1246" s="48" t="s">
        <v>5941</v>
      </c>
      <c r="B1246" t="s">
        <v>5942</v>
      </c>
      <c r="C1246">
        <v>20</v>
      </c>
    </row>
    <row r="1247" spans="1:3" x14ac:dyDescent="0.25">
      <c r="A1247" s="48" t="s">
        <v>9196</v>
      </c>
      <c r="B1247" t="s">
        <v>9197</v>
      </c>
      <c r="C1247">
        <v>0</v>
      </c>
    </row>
    <row r="1248" spans="1:3" x14ac:dyDescent="0.25">
      <c r="A1248" s="48" t="s">
        <v>3412</v>
      </c>
      <c r="B1248" t="s">
        <v>3413</v>
      </c>
      <c r="C1248">
        <v>5</v>
      </c>
    </row>
    <row r="1249" spans="1:3" x14ac:dyDescent="0.25">
      <c r="A1249" s="48" t="s">
        <v>16015</v>
      </c>
      <c r="B1249" t="s">
        <v>16016</v>
      </c>
      <c r="C1249">
        <v>0</v>
      </c>
    </row>
    <row r="1250" spans="1:3" x14ac:dyDescent="0.25">
      <c r="A1250" s="48" t="s">
        <v>707</v>
      </c>
      <c r="B1250" t="s">
        <v>708</v>
      </c>
      <c r="C1250">
        <v>16</v>
      </c>
    </row>
    <row r="1251" spans="1:3" x14ac:dyDescent="0.25">
      <c r="A1251" s="48" t="s">
        <v>12483</v>
      </c>
      <c r="B1251" t="s">
        <v>12484</v>
      </c>
      <c r="C1251">
        <v>27</v>
      </c>
    </row>
    <row r="1252" spans="1:3" x14ac:dyDescent="0.25">
      <c r="A1252" s="48" t="s">
        <v>7102</v>
      </c>
      <c r="B1252" t="s">
        <v>7103</v>
      </c>
      <c r="C1252">
        <v>1</v>
      </c>
    </row>
    <row r="1253" spans="1:3" x14ac:dyDescent="0.25">
      <c r="A1253" s="48" t="s">
        <v>7100</v>
      </c>
      <c r="B1253" t="s">
        <v>7101</v>
      </c>
      <c r="C1253">
        <v>0</v>
      </c>
    </row>
    <row r="1254" spans="1:3" x14ac:dyDescent="0.25">
      <c r="A1254" s="48" t="s">
        <v>7098</v>
      </c>
      <c r="B1254" t="s">
        <v>7099</v>
      </c>
      <c r="C1254">
        <v>0</v>
      </c>
    </row>
    <row r="1255" spans="1:3" x14ac:dyDescent="0.25">
      <c r="A1255" s="48" t="s">
        <v>7104</v>
      </c>
      <c r="B1255" t="s">
        <v>7105</v>
      </c>
      <c r="C1255">
        <v>5</v>
      </c>
    </row>
    <row r="1256" spans="1:3" x14ac:dyDescent="0.25">
      <c r="A1256" s="48" t="s">
        <v>3853</v>
      </c>
      <c r="B1256" t="s">
        <v>3854</v>
      </c>
      <c r="C1256">
        <v>12</v>
      </c>
    </row>
    <row r="1257" spans="1:3" x14ac:dyDescent="0.25">
      <c r="A1257" s="48" t="s">
        <v>16304</v>
      </c>
      <c r="B1257" t="s">
        <v>16305</v>
      </c>
      <c r="C1257">
        <v>0</v>
      </c>
    </row>
    <row r="1258" spans="1:3" x14ac:dyDescent="0.25">
      <c r="A1258" s="48" t="s">
        <v>16302</v>
      </c>
      <c r="B1258" t="s">
        <v>16303</v>
      </c>
      <c r="C1258">
        <v>6</v>
      </c>
    </row>
    <row r="1259" spans="1:3" x14ac:dyDescent="0.25">
      <c r="A1259" s="48" t="s">
        <v>6642</v>
      </c>
      <c r="B1259" t="s">
        <v>6643</v>
      </c>
      <c r="C1259">
        <v>16</v>
      </c>
    </row>
    <row r="1260" spans="1:3" x14ac:dyDescent="0.25">
      <c r="A1260" s="48" t="s">
        <v>7633</v>
      </c>
      <c r="B1260" t="s">
        <v>7634</v>
      </c>
      <c r="C1260">
        <v>8</v>
      </c>
    </row>
    <row r="1261" spans="1:3" x14ac:dyDescent="0.25">
      <c r="A1261" s="48" t="s">
        <v>7629</v>
      </c>
      <c r="B1261" t="s">
        <v>7630</v>
      </c>
      <c r="C1261">
        <v>9</v>
      </c>
    </row>
    <row r="1262" spans="1:3" x14ac:dyDescent="0.25">
      <c r="A1262" s="48" t="s">
        <v>7700</v>
      </c>
      <c r="B1262" t="s">
        <v>7701</v>
      </c>
      <c r="C1262">
        <v>19</v>
      </c>
    </row>
    <row r="1263" spans="1:3" x14ac:dyDescent="0.25">
      <c r="A1263" s="48" t="s">
        <v>7698</v>
      </c>
      <c r="B1263" t="s">
        <v>7699</v>
      </c>
      <c r="C1263">
        <v>0</v>
      </c>
    </row>
    <row r="1264" spans="1:3" x14ac:dyDescent="0.25">
      <c r="A1264" s="48" t="s">
        <v>16157</v>
      </c>
      <c r="B1264" t="s">
        <v>16158</v>
      </c>
      <c r="C1264">
        <v>4</v>
      </c>
    </row>
    <row r="1265" spans="1:3" x14ac:dyDescent="0.25">
      <c r="A1265" s="48" t="s">
        <v>16153</v>
      </c>
      <c r="B1265" t="s">
        <v>16154</v>
      </c>
      <c r="C1265">
        <v>0</v>
      </c>
    </row>
    <row r="1266" spans="1:3" x14ac:dyDescent="0.25">
      <c r="A1266" s="48" t="s">
        <v>7234</v>
      </c>
      <c r="B1266" t="s">
        <v>7235</v>
      </c>
      <c r="C1266">
        <v>0</v>
      </c>
    </row>
    <row r="1267" spans="1:3" x14ac:dyDescent="0.25">
      <c r="A1267" s="48" t="s">
        <v>5992</v>
      </c>
      <c r="B1267" t="s">
        <v>5993</v>
      </c>
      <c r="C1267">
        <v>8</v>
      </c>
    </row>
    <row r="1268" spans="1:3" x14ac:dyDescent="0.25">
      <c r="A1268" s="48" t="s">
        <v>553</v>
      </c>
      <c r="B1268" t="s">
        <v>554</v>
      </c>
      <c r="C1268">
        <v>10580</v>
      </c>
    </row>
    <row r="1269" spans="1:3" x14ac:dyDescent="0.25">
      <c r="A1269" s="48" t="s">
        <v>3485</v>
      </c>
      <c r="B1269" t="s">
        <v>3486</v>
      </c>
      <c r="C1269">
        <v>4</v>
      </c>
    </row>
    <row r="1270" spans="1:3" x14ac:dyDescent="0.25">
      <c r="A1270" s="48" t="s">
        <v>3483</v>
      </c>
      <c r="B1270" t="s">
        <v>3484</v>
      </c>
      <c r="C1270">
        <v>4</v>
      </c>
    </row>
    <row r="1271" spans="1:3" x14ac:dyDescent="0.25">
      <c r="A1271" s="48" t="s">
        <v>7672</v>
      </c>
      <c r="B1271" t="s">
        <v>7673</v>
      </c>
      <c r="C1271">
        <v>0</v>
      </c>
    </row>
    <row r="1272" spans="1:3" x14ac:dyDescent="0.25">
      <c r="A1272" s="48" t="s">
        <v>9605</v>
      </c>
      <c r="B1272" t="s">
        <v>9606</v>
      </c>
      <c r="C1272">
        <v>2</v>
      </c>
    </row>
    <row r="1273" spans="1:3" x14ac:dyDescent="0.25">
      <c r="A1273" s="48" t="s">
        <v>9626</v>
      </c>
      <c r="B1273" t="s">
        <v>9627</v>
      </c>
      <c r="C1273">
        <v>7</v>
      </c>
    </row>
    <row r="1274" spans="1:3" x14ac:dyDescent="0.25">
      <c r="A1274" s="48" t="s">
        <v>10539</v>
      </c>
      <c r="B1274" t="s">
        <v>10538</v>
      </c>
      <c r="C1274">
        <v>0</v>
      </c>
    </row>
    <row r="1275" spans="1:3" x14ac:dyDescent="0.25">
      <c r="A1275" s="48" t="s">
        <v>13522</v>
      </c>
      <c r="B1275" t="s">
        <v>13523</v>
      </c>
      <c r="C1275">
        <v>0</v>
      </c>
    </row>
    <row r="1276" spans="1:3" x14ac:dyDescent="0.25">
      <c r="A1276" s="48" t="s">
        <v>9269</v>
      </c>
      <c r="B1276" t="s">
        <v>9270</v>
      </c>
      <c r="C1276">
        <v>0</v>
      </c>
    </row>
    <row r="1277" spans="1:3" x14ac:dyDescent="0.25">
      <c r="A1277" s="48" t="s">
        <v>6171</v>
      </c>
      <c r="B1277" t="s">
        <v>6172</v>
      </c>
      <c r="C1277">
        <v>6</v>
      </c>
    </row>
    <row r="1278" spans="1:3" x14ac:dyDescent="0.25">
      <c r="A1278" s="48" t="s">
        <v>6173</v>
      </c>
      <c r="B1278" t="s">
        <v>6174</v>
      </c>
      <c r="C1278">
        <v>5</v>
      </c>
    </row>
    <row r="1279" spans="1:3" x14ac:dyDescent="0.25">
      <c r="A1279" s="48" t="s">
        <v>23223</v>
      </c>
      <c r="B1279" t="s">
        <v>1070</v>
      </c>
      <c r="C1279">
        <v>0</v>
      </c>
    </row>
    <row r="1280" spans="1:3" x14ac:dyDescent="0.25">
      <c r="A1280" s="48" t="s">
        <v>14692</v>
      </c>
      <c r="B1280" t="s">
        <v>14693</v>
      </c>
      <c r="C1280">
        <v>0</v>
      </c>
    </row>
    <row r="1281" spans="1:3" x14ac:dyDescent="0.25">
      <c r="A1281" s="48" t="s">
        <v>6339</v>
      </c>
      <c r="B1281" t="s">
        <v>6340</v>
      </c>
      <c r="C1281">
        <v>14</v>
      </c>
    </row>
    <row r="1282" spans="1:3" x14ac:dyDescent="0.25">
      <c r="A1282" s="48" t="s">
        <v>6373</v>
      </c>
      <c r="B1282" t="s">
        <v>6374</v>
      </c>
      <c r="C1282">
        <v>15</v>
      </c>
    </row>
    <row r="1283" spans="1:3" x14ac:dyDescent="0.25">
      <c r="A1283" s="48" t="s">
        <v>6507</v>
      </c>
      <c r="B1283" t="s">
        <v>20058</v>
      </c>
      <c r="C1283">
        <v>46</v>
      </c>
    </row>
    <row r="1284" spans="1:3" x14ac:dyDescent="0.25">
      <c r="A1284" s="48" t="s">
        <v>6331</v>
      </c>
      <c r="B1284" t="s">
        <v>6332</v>
      </c>
      <c r="C1284">
        <v>39</v>
      </c>
    </row>
    <row r="1285" spans="1:3" x14ac:dyDescent="0.25">
      <c r="A1285" s="48" t="s">
        <v>6505</v>
      </c>
      <c r="B1285" t="s">
        <v>20059</v>
      </c>
      <c r="C1285">
        <v>25</v>
      </c>
    </row>
    <row r="1286" spans="1:3" x14ac:dyDescent="0.25">
      <c r="A1286" s="48" t="s">
        <v>6329</v>
      </c>
      <c r="B1286" t="s">
        <v>6330</v>
      </c>
      <c r="C1286">
        <v>83</v>
      </c>
    </row>
    <row r="1287" spans="1:3" x14ac:dyDescent="0.25">
      <c r="A1287" s="48" t="s">
        <v>14614</v>
      </c>
      <c r="B1287" t="s">
        <v>14615</v>
      </c>
      <c r="C1287">
        <v>0</v>
      </c>
    </row>
    <row r="1288" spans="1:3" x14ac:dyDescent="0.25">
      <c r="A1288" s="48" t="s">
        <v>12097</v>
      </c>
      <c r="B1288" t="s">
        <v>12098</v>
      </c>
      <c r="C1288">
        <v>0</v>
      </c>
    </row>
    <row r="1289" spans="1:3" x14ac:dyDescent="0.25">
      <c r="A1289" s="48" t="s">
        <v>16692</v>
      </c>
      <c r="B1289" t="s">
        <v>16693</v>
      </c>
      <c r="C1289">
        <v>0</v>
      </c>
    </row>
    <row r="1290" spans="1:3" x14ac:dyDescent="0.25">
      <c r="A1290" s="48" t="s">
        <v>12825</v>
      </c>
      <c r="B1290" t="s">
        <v>12826</v>
      </c>
      <c r="C1290">
        <v>117</v>
      </c>
    </row>
    <row r="1291" spans="1:3" x14ac:dyDescent="0.25">
      <c r="A1291" s="48" t="s">
        <v>16688</v>
      </c>
      <c r="B1291" t="s">
        <v>16689</v>
      </c>
      <c r="C1291">
        <v>0</v>
      </c>
    </row>
    <row r="1292" spans="1:3" x14ac:dyDescent="0.25">
      <c r="A1292" s="48" t="s">
        <v>7833</v>
      </c>
      <c r="B1292" t="s">
        <v>7834</v>
      </c>
      <c r="C1292">
        <v>0</v>
      </c>
    </row>
    <row r="1293" spans="1:3" x14ac:dyDescent="0.25">
      <c r="A1293" s="48" t="s">
        <v>6337</v>
      </c>
      <c r="B1293" t="s">
        <v>6338</v>
      </c>
      <c r="C1293">
        <v>3</v>
      </c>
    </row>
    <row r="1294" spans="1:3" x14ac:dyDescent="0.25">
      <c r="A1294" s="48" t="s">
        <v>6515</v>
      </c>
      <c r="B1294" t="s">
        <v>6516</v>
      </c>
      <c r="C1294">
        <v>0</v>
      </c>
    </row>
    <row r="1295" spans="1:3" x14ac:dyDescent="0.25">
      <c r="A1295" s="48" t="s">
        <v>1399</v>
      </c>
      <c r="B1295" t="s">
        <v>1400</v>
      </c>
      <c r="C1295">
        <v>293</v>
      </c>
    </row>
    <row r="1296" spans="1:3" x14ac:dyDescent="0.25">
      <c r="A1296" s="48" t="s">
        <v>16496</v>
      </c>
      <c r="B1296" t="s">
        <v>16497</v>
      </c>
      <c r="C1296">
        <v>0</v>
      </c>
    </row>
    <row r="1297" spans="1:3" x14ac:dyDescent="0.25">
      <c r="A1297" s="48" t="s">
        <v>6381</v>
      </c>
      <c r="B1297" t="s">
        <v>6382</v>
      </c>
      <c r="C1297">
        <v>0</v>
      </c>
    </row>
    <row r="1298" spans="1:3" x14ac:dyDescent="0.25">
      <c r="A1298" s="48" t="s">
        <v>6385</v>
      </c>
      <c r="B1298" t="s">
        <v>6386</v>
      </c>
      <c r="C1298">
        <v>28</v>
      </c>
    </row>
    <row r="1299" spans="1:3" x14ac:dyDescent="0.25">
      <c r="A1299" s="48" t="s">
        <v>12765</v>
      </c>
      <c r="B1299" t="s">
        <v>12766</v>
      </c>
      <c r="C1299">
        <v>0</v>
      </c>
    </row>
    <row r="1300" spans="1:3" x14ac:dyDescent="0.25">
      <c r="A1300" s="48" t="s">
        <v>6404</v>
      </c>
      <c r="B1300" t="s">
        <v>6405</v>
      </c>
      <c r="C1300">
        <v>0</v>
      </c>
    </row>
    <row r="1301" spans="1:3" x14ac:dyDescent="0.25">
      <c r="A1301" s="48" t="s">
        <v>4390</v>
      </c>
      <c r="B1301" t="s">
        <v>4391</v>
      </c>
      <c r="C1301">
        <v>0</v>
      </c>
    </row>
    <row r="1302" spans="1:3" x14ac:dyDescent="0.25">
      <c r="A1302" s="48" t="s">
        <v>6498</v>
      </c>
      <c r="B1302" t="s">
        <v>6499</v>
      </c>
      <c r="C1302">
        <v>0</v>
      </c>
    </row>
    <row r="1303" spans="1:3" x14ac:dyDescent="0.25">
      <c r="A1303" s="48" t="s">
        <v>4215</v>
      </c>
      <c r="B1303" t="s">
        <v>20060</v>
      </c>
      <c r="C1303">
        <v>602</v>
      </c>
    </row>
    <row r="1304" spans="1:3" x14ac:dyDescent="0.25">
      <c r="A1304" s="48" t="s">
        <v>3034</v>
      </c>
      <c r="B1304" t="s">
        <v>3035</v>
      </c>
      <c r="C1304">
        <v>0</v>
      </c>
    </row>
    <row r="1305" spans="1:3" x14ac:dyDescent="0.25">
      <c r="A1305" s="48" t="s">
        <v>6478</v>
      </c>
      <c r="B1305" t="s">
        <v>6479</v>
      </c>
      <c r="C1305">
        <v>0</v>
      </c>
    </row>
    <row r="1306" spans="1:3" x14ac:dyDescent="0.25">
      <c r="A1306" s="48" t="s">
        <v>6480</v>
      </c>
      <c r="B1306" t="s">
        <v>6481</v>
      </c>
      <c r="C1306">
        <v>3</v>
      </c>
    </row>
    <row r="1307" spans="1:3" x14ac:dyDescent="0.25">
      <c r="A1307" s="48" t="s">
        <v>6494</v>
      </c>
      <c r="B1307" t="s">
        <v>6495</v>
      </c>
      <c r="C1307">
        <v>0</v>
      </c>
    </row>
    <row r="1308" spans="1:3" x14ac:dyDescent="0.25">
      <c r="A1308" s="48" t="s">
        <v>6428</v>
      </c>
      <c r="B1308" t="s">
        <v>6429</v>
      </c>
      <c r="C1308">
        <v>1</v>
      </c>
    </row>
    <row r="1309" spans="1:3" x14ac:dyDescent="0.25">
      <c r="A1309" s="48" t="s">
        <v>6418</v>
      </c>
      <c r="B1309" t="s">
        <v>6419</v>
      </c>
      <c r="C1309">
        <v>110</v>
      </c>
    </row>
    <row r="1310" spans="1:3" x14ac:dyDescent="0.25">
      <c r="A1310" s="48" t="s">
        <v>6424</v>
      </c>
      <c r="B1310" t="s">
        <v>6425</v>
      </c>
      <c r="C1310">
        <v>12</v>
      </c>
    </row>
    <row r="1311" spans="1:3" x14ac:dyDescent="0.25">
      <c r="A1311" s="48" t="s">
        <v>6426</v>
      </c>
      <c r="B1311" t="s">
        <v>6427</v>
      </c>
      <c r="C1311">
        <v>23</v>
      </c>
    </row>
    <row r="1312" spans="1:3" x14ac:dyDescent="0.25">
      <c r="A1312" s="48" t="s">
        <v>6496</v>
      </c>
      <c r="B1312" t="s">
        <v>6497</v>
      </c>
      <c r="C1312">
        <v>2</v>
      </c>
    </row>
    <row r="1313" spans="1:3" x14ac:dyDescent="0.25">
      <c r="A1313" s="48" t="s">
        <v>6383</v>
      </c>
      <c r="B1313" t="s">
        <v>20061</v>
      </c>
      <c r="C1313">
        <v>44</v>
      </c>
    </row>
    <row r="1314" spans="1:3" x14ac:dyDescent="0.25">
      <c r="A1314" s="48" t="s">
        <v>79</v>
      </c>
      <c r="B1314" t="s">
        <v>80</v>
      </c>
      <c r="C1314">
        <v>100</v>
      </c>
    </row>
    <row r="1315" spans="1:3" x14ac:dyDescent="0.25">
      <c r="A1315" s="48" t="s">
        <v>6476</v>
      </c>
      <c r="B1315" t="s">
        <v>6477</v>
      </c>
      <c r="C1315">
        <v>7</v>
      </c>
    </row>
    <row r="1316" spans="1:3" x14ac:dyDescent="0.25">
      <c r="A1316" s="48" t="s">
        <v>6482</v>
      </c>
      <c r="B1316" t="s">
        <v>20062</v>
      </c>
      <c r="C1316">
        <v>0</v>
      </c>
    </row>
    <row r="1317" spans="1:3" x14ac:dyDescent="0.25">
      <c r="A1317" s="48" t="s">
        <v>2002</v>
      </c>
      <c r="B1317" t="s">
        <v>2003</v>
      </c>
      <c r="C1317">
        <v>164</v>
      </c>
    </row>
    <row r="1318" spans="1:3" x14ac:dyDescent="0.25">
      <c r="A1318" s="48" t="s">
        <v>7841</v>
      </c>
      <c r="B1318" t="s">
        <v>7842</v>
      </c>
      <c r="C1318">
        <v>24</v>
      </c>
    </row>
    <row r="1319" spans="1:3" x14ac:dyDescent="0.25">
      <c r="A1319" s="48" t="s">
        <v>12775</v>
      </c>
      <c r="B1319" t="s">
        <v>12776</v>
      </c>
      <c r="C1319">
        <v>0</v>
      </c>
    </row>
    <row r="1320" spans="1:3" x14ac:dyDescent="0.25">
      <c r="A1320" s="48" t="s">
        <v>12801</v>
      </c>
      <c r="B1320" t="s">
        <v>12802</v>
      </c>
      <c r="C1320">
        <v>0</v>
      </c>
    </row>
    <row r="1321" spans="1:3" x14ac:dyDescent="0.25">
      <c r="A1321" s="48" t="s">
        <v>14610</v>
      </c>
      <c r="B1321" t="s">
        <v>14611</v>
      </c>
      <c r="C1321">
        <v>0</v>
      </c>
    </row>
    <row r="1322" spans="1:3" x14ac:dyDescent="0.25">
      <c r="A1322" s="48" t="s">
        <v>16494</v>
      </c>
      <c r="B1322" t="s">
        <v>16495</v>
      </c>
      <c r="C1322">
        <v>0</v>
      </c>
    </row>
    <row r="1323" spans="1:3" x14ac:dyDescent="0.25">
      <c r="A1323" s="48" t="s">
        <v>16492</v>
      </c>
      <c r="B1323" t="s">
        <v>16493</v>
      </c>
      <c r="C1323">
        <v>0</v>
      </c>
    </row>
    <row r="1324" spans="1:3" x14ac:dyDescent="0.25">
      <c r="A1324" s="48" t="s">
        <v>16498</v>
      </c>
      <c r="B1324" t="s">
        <v>20063</v>
      </c>
      <c r="C1324">
        <v>0</v>
      </c>
    </row>
    <row r="1325" spans="1:3" x14ac:dyDescent="0.25">
      <c r="A1325" s="48" t="s">
        <v>16502</v>
      </c>
      <c r="B1325" t="s">
        <v>16503</v>
      </c>
      <c r="C1325">
        <v>0</v>
      </c>
    </row>
    <row r="1326" spans="1:3" x14ac:dyDescent="0.25">
      <c r="A1326" s="48" t="s">
        <v>12791</v>
      </c>
      <c r="B1326" t="s">
        <v>12792</v>
      </c>
      <c r="C1326">
        <v>0</v>
      </c>
    </row>
    <row r="1327" spans="1:3" x14ac:dyDescent="0.25">
      <c r="A1327" s="48" t="s">
        <v>16670</v>
      </c>
      <c r="B1327" t="s">
        <v>16671</v>
      </c>
      <c r="C1327">
        <v>0</v>
      </c>
    </row>
    <row r="1328" spans="1:3" x14ac:dyDescent="0.25">
      <c r="A1328" s="48" t="s">
        <v>16684</v>
      </c>
      <c r="B1328" t="s">
        <v>16685</v>
      </c>
      <c r="C1328">
        <v>0</v>
      </c>
    </row>
    <row r="1329" spans="1:3" x14ac:dyDescent="0.25">
      <c r="A1329" s="48" t="s">
        <v>16696</v>
      </c>
      <c r="B1329" t="s">
        <v>16697</v>
      </c>
      <c r="C1329">
        <v>0</v>
      </c>
    </row>
    <row r="1330" spans="1:3" x14ac:dyDescent="0.25">
      <c r="A1330" s="48" t="s">
        <v>13617</v>
      </c>
      <c r="B1330" t="s">
        <v>13618</v>
      </c>
      <c r="C1330">
        <v>0</v>
      </c>
    </row>
    <row r="1331" spans="1:3" x14ac:dyDescent="0.25">
      <c r="A1331" s="48" t="s">
        <v>16820</v>
      </c>
      <c r="B1331" t="s">
        <v>16821</v>
      </c>
      <c r="C1331">
        <v>1</v>
      </c>
    </row>
    <row r="1332" spans="1:3" x14ac:dyDescent="0.25">
      <c r="A1332" s="48" t="s">
        <v>15088</v>
      </c>
      <c r="B1332" t="s">
        <v>15089</v>
      </c>
      <c r="C1332">
        <v>0</v>
      </c>
    </row>
    <row r="1333" spans="1:3" x14ac:dyDescent="0.25">
      <c r="A1333" s="48" t="s">
        <v>3006</v>
      </c>
      <c r="B1333" t="s">
        <v>3007</v>
      </c>
      <c r="C1333">
        <v>0</v>
      </c>
    </row>
    <row r="1334" spans="1:3" x14ac:dyDescent="0.25">
      <c r="A1334" s="48" t="s">
        <v>4388</v>
      </c>
      <c r="B1334" t="s">
        <v>20064</v>
      </c>
      <c r="C1334">
        <v>0</v>
      </c>
    </row>
    <row r="1335" spans="1:3" x14ac:dyDescent="0.25">
      <c r="A1335" s="48" t="s">
        <v>12789</v>
      </c>
      <c r="B1335" t="s">
        <v>12790</v>
      </c>
      <c r="C1335">
        <v>0</v>
      </c>
    </row>
    <row r="1336" spans="1:3" x14ac:dyDescent="0.25">
      <c r="A1336" s="48" t="s">
        <v>16500</v>
      </c>
      <c r="B1336" t="s">
        <v>20065</v>
      </c>
      <c r="C1336">
        <v>0</v>
      </c>
    </row>
    <row r="1337" spans="1:3" x14ac:dyDescent="0.25">
      <c r="A1337" s="48" t="s">
        <v>1531</v>
      </c>
      <c r="B1337" t="s">
        <v>1532</v>
      </c>
      <c r="C1337">
        <v>121</v>
      </c>
    </row>
    <row r="1338" spans="1:3" x14ac:dyDescent="0.25">
      <c r="A1338" s="48" t="s">
        <v>421</v>
      </c>
      <c r="B1338" t="s">
        <v>422</v>
      </c>
      <c r="C1338">
        <v>700</v>
      </c>
    </row>
    <row r="1339" spans="1:3" x14ac:dyDescent="0.25">
      <c r="A1339" s="48" t="s">
        <v>12839</v>
      </c>
      <c r="B1339" t="s">
        <v>12840</v>
      </c>
      <c r="C1339">
        <v>6</v>
      </c>
    </row>
    <row r="1340" spans="1:3" x14ac:dyDescent="0.25">
      <c r="A1340" s="48" t="s">
        <v>12841</v>
      </c>
      <c r="B1340" t="s">
        <v>20066</v>
      </c>
      <c r="C1340">
        <v>13</v>
      </c>
    </row>
    <row r="1341" spans="1:3" x14ac:dyDescent="0.25">
      <c r="A1341" s="48" t="s">
        <v>12843</v>
      </c>
      <c r="B1341" t="s">
        <v>20067</v>
      </c>
      <c r="C1341">
        <v>19</v>
      </c>
    </row>
    <row r="1342" spans="1:3" x14ac:dyDescent="0.25">
      <c r="A1342" s="48" t="s">
        <v>12845</v>
      </c>
      <c r="B1342" t="s">
        <v>20068</v>
      </c>
      <c r="C1342">
        <v>0</v>
      </c>
    </row>
    <row r="1343" spans="1:3" x14ac:dyDescent="0.25">
      <c r="A1343" s="48" t="s">
        <v>12847</v>
      </c>
      <c r="B1343" t="s">
        <v>20069</v>
      </c>
      <c r="C1343">
        <v>40</v>
      </c>
    </row>
    <row r="1344" spans="1:3" x14ac:dyDescent="0.25">
      <c r="A1344" s="48" t="s">
        <v>12849</v>
      </c>
      <c r="B1344" t="s">
        <v>20070</v>
      </c>
      <c r="C1344">
        <v>16</v>
      </c>
    </row>
    <row r="1345" spans="1:3" x14ac:dyDescent="0.25">
      <c r="A1345" s="48" t="s">
        <v>1435</v>
      </c>
      <c r="B1345" t="s">
        <v>1436</v>
      </c>
      <c r="C1345">
        <v>16</v>
      </c>
    </row>
    <row r="1346" spans="1:3" x14ac:dyDescent="0.25">
      <c r="A1346" s="48" t="s">
        <v>6377</v>
      </c>
      <c r="B1346" t="s">
        <v>20071</v>
      </c>
      <c r="C1346">
        <v>46</v>
      </c>
    </row>
    <row r="1347" spans="1:3" x14ac:dyDescent="0.25">
      <c r="A1347" s="48" t="s">
        <v>6387</v>
      </c>
      <c r="B1347" t="s">
        <v>20072</v>
      </c>
      <c r="C1347">
        <v>59</v>
      </c>
    </row>
    <row r="1348" spans="1:3" x14ac:dyDescent="0.25">
      <c r="A1348" s="48" t="s">
        <v>1675</v>
      </c>
      <c r="B1348" t="s">
        <v>1676</v>
      </c>
      <c r="C1348">
        <v>23</v>
      </c>
    </row>
    <row r="1349" spans="1:3" x14ac:dyDescent="0.25">
      <c r="A1349" s="48" t="s">
        <v>6394</v>
      </c>
      <c r="B1349" t="s">
        <v>20073</v>
      </c>
      <c r="C1349">
        <v>50</v>
      </c>
    </row>
    <row r="1350" spans="1:3" x14ac:dyDescent="0.25">
      <c r="A1350" s="48" t="s">
        <v>6398</v>
      </c>
      <c r="B1350" t="s">
        <v>20074</v>
      </c>
      <c r="C1350">
        <v>25</v>
      </c>
    </row>
    <row r="1351" spans="1:3" x14ac:dyDescent="0.25">
      <c r="A1351" s="48" t="s">
        <v>6402</v>
      </c>
      <c r="B1351" t="s">
        <v>20075</v>
      </c>
      <c r="C1351">
        <v>0</v>
      </c>
    </row>
    <row r="1352" spans="1:3" x14ac:dyDescent="0.25">
      <c r="A1352" s="48" t="s">
        <v>6492</v>
      </c>
      <c r="B1352" t="s">
        <v>6493</v>
      </c>
      <c r="C1352">
        <v>0</v>
      </c>
    </row>
    <row r="1353" spans="1:3" x14ac:dyDescent="0.25">
      <c r="A1353" s="48" t="s">
        <v>14612</v>
      </c>
      <c r="B1353" t="s">
        <v>20076</v>
      </c>
      <c r="C1353">
        <v>0</v>
      </c>
    </row>
    <row r="1354" spans="1:3" x14ac:dyDescent="0.25">
      <c r="A1354" s="48" t="s">
        <v>14616</v>
      </c>
      <c r="B1354" t="s">
        <v>14617</v>
      </c>
      <c r="C1354">
        <v>0</v>
      </c>
    </row>
    <row r="1355" spans="1:3" x14ac:dyDescent="0.25">
      <c r="A1355" s="48" t="s">
        <v>12099</v>
      </c>
      <c r="B1355" t="s">
        <v>12100</v>
      </c>
      <c r="C1355">
        <v>0</v>
      </c>
    </row>
    <row r="1356" spans="1:3" x14ac:dyDescent="0.25">
      <c r="A1356" s="48" t="s">
        <v>12095</v>
      </c>
      <c r="B1356" t="s">
        <v>20077</v>
      </c>
      <c r="C1356">
        <v>0</v>
      </c>
    </row>
    <row r="1357" spans="1:3" x14ac:dyDescent="0.25">
      <c r="A1357" s="48" t="s">
        <v>12827</v>
      </c>
      <c r="B1357" t="s">
        <v>20078</v>
      </c>
      <c r="C1357">
        <v>0</v>
      </c>
    </row>
    <row r="1358" spans="1:3" x14ac:dyDescent="0.25">
      <c r="A1358" s="48" t="s">
        <v>12823</v>
      </c>
      <c r="B1358" t="s">
        <v>12824</v>
      </c>
      <c r="C1358">
        <v>157</v>
      </c>
    </row>
    <row r="1359" spans="1:3" x14ac:dyDescent="0.25">
      <c r="A1359" s="48" t="s">
        <v>12819</v>
      </c>
      <c r="B1359" t="s">
        <v>12820</v>
      </c>
      <c r="C1359">
        <v>0</v>
      </c>
    </row>
    <row r="1360" spans="1:3" x14ac:dyDescent="0.25">
      <c r="A1360" s="48" t="s">
        <v>13651</v>
      </c>
      <c r="B1360" t="s">
        <v>13652</v>
      </c>
      <c r="C1360">
        <v>7</v>
      </c>
    </row>
    <row r="1361" spans="1:3" x14ac:dyDescent="0.25">
      <c r="A1361" s="48" t="s">
        <v>17917</v>
      </c>
      <c r="B1361" t="s">
        <v>20079</v>
      </c>
      <c r="C1361">
        <v>0</v>
      </c>
    </row>
    <row r="1362" spans="1:3" x14ac:dyDescent="0.25">
      <c r="A1362" s="48" t="s">
        <v>17919</v>
      </c>
      <c r="B1362" t="s">
        <v>20080</v>
      </c>
      <c r="C1362">
        <v>0</v>
      </c>
    </row>
    <row r="1363" spans="1:3" x14ac:dyDescent="0.25">
      <c r="A1363" s="48" t="s">
        <v>17923</v>
      </c>
      <c r="B1363" t="s">
        <v>20081</v>
      </c>
      <c r="C1363">
        <v>0</v>
      </c>
    </row>
    <row r="1364" spans="1:3" x14ac:dyDescent="0.25">
      <c r="A1364" s="48" t="s">
        <v>17927</v>
      </c>
      <c r="B1364" t="s">
        <v>20082</v>
      </c>
      <c r="C1364">
        <v>0</v>
      </c>
    </row>
    <row r="1365" spans="1:3" x14ac:dyDescent="0.25">
      <c r="A1365" s="48" t="s">
        <v>17931</v>
      </c>
      <c r="B1365" t="s">
        <v>20083</v>
      </c>
      <c r="C1365">
        <v>0</v>
      </c>
    </row>
    <row r="1366" spans="1:3" x14ac:dyDescent="0.25">
      <c r="A1366" s="48" t="s">
        <v>17933</v>
      </c>
      <c r="B1366" t="s">
        <v>20084</v>
      </c>
      <c r="C1366">
        <v>0</v>
      </c>
    </row>
    <row r="1367" spans="1:3" x14ac:dyDescent="0.25">
      <c r="A1367" s="48" t="s">
        <v>17935</v>
      </c>
      <c r="B1367" t="s">
        <v>20085</v>
      </c>
      <c r="C1367">
        <v>0</v>
      </c>
    </row>
    <row r="1368" spans="1:3" x14ac:dyDescent="0.25">
      <c r="A1368" s="48" t="s">
        <v>17937</v>
      </c>
      <c r="B1368" t="s">
        <v>20086</v>
      </c>
      <c r="C1368">
        <v>1</v>
      </c>
    </row>
    <row r="1369" spans="1:3" x14ac:dyDescent="0.25">
      <c r="A1369" s="48" t="s">
        <v>17939</v>
      </c>
      <c r="B1369" t="s">
        <v>20087</v>
      </c>
      <c r="C1369">
        <v>0</v>
      </c>
    </row>
    <row r="1370" spans="1:3" x14ac:dyDescent="0.25">
      <c r="A1370" s="48" t="s">
        <v>17941</v>
      </c>
      <c r="B1370" t="s">
        <v>20088</v>
      </c>
      <c r="C1370">
        <v>0</v>
      </c>
    </row>
    <row r="1371" spans="1:3" x14ac:dyDescent="0.25">
      <c r="A1371" s="48" t="s">
        <v>3046</v>
      </c>
      <c r="B1371" t="s">
        <v>3047</v>
      </c>
      <c r="C1371">
        <v>2</v>
      </c>
    </row>
    <row r="1372" spans="1:3" x14ac:dyDescent="0.25">
      <c r="A1372" s="48" t="s">
        <v>14322</v>
      </c>
      <c r="B1372" t="s">
        <v>14323</v>
      </c>
      <c r="C1372">
        <v>0</v>
      </c>
    </row>
    <row r="1373" spans="1:3" x14ac:dyDescent="0.25">
      <c r="A1373" s="48" t="s">
        <v>19033</v>
      </c>
      <c r="B1373" t="s">
        <v>20089</v>
      </c>
      <c r="C1373">
        <v>0</v>
      </c>
    </row>
    <row r="1374" spans="1:3" x14ac:dyDescent="0.25">
      <c r="A1374" s="48" t="s">
        <v>19036</v>
      </c>
      <c r="B1374" t="s">
        <v>19037</v>
      </c>
      <c r="C1374">
        <v>0</v>
      </c>
    </row>
    <row r="1375" spans="1:3" x14ac:dyDescent="0.25">
      <c r="A1375" s="48" t="s">
        <v>13655</v>
      </c>
      <c r="B1375" t="s">
        <v>20090</v>
      </c>
      <c r="C1375">
        <v>0</v>
      </c>
    </row>
    <row r="1376" spans="1:3" x14ac:dyDescent="0.25">
      <c r="A1376" s="48" t="s">
        <v>13653</v>
      </c>
      <c r="B1376" t="s">
        <v>13654</v>
      </c>
      <c r="C1376">
        <v>10</v>
      </c>
    </row>
    <row r="1377" spans="1:3" x14ac:dyDescent="0.25">
      <c r="A1377" s="48" t="s">
        <v>19031</v>
      </c>
      <c r="B1377" t="s">
        <v>20091</v>
      </c>
      <c r="C1377">
        <v>0</v>
      </c>
    </row>
    <row r="1378" spans="1:3" x14ac:dyDescent="0.25">
      <c r="A1378" s="48" t="s">
        <v>16592</v>
      </c>
      <c r="B1378" t="s">
        <v>16593</v>
      </c>
      <c r="C1378">
        <v>0</v>
      </c>
    </row>
    <row r="1379" spans="1:3" x14ac:dyDescent="0.25">
      <c r="A1379" s="48" t="s">
        <v>12763</v>
      </c>
      <c r="B1379" t="s">
        <v>12764</v>
      </c>
      <c r="C1379">
        <v>0</v>
      </c>
    </row>
    <row r="1380" spans="1:3" x14ac:dyDescent="0.25">
      <c r="A1380" s="48" t="s">
        <v>14704</v>
      </c>
      <c r="B1380" t="s">
        <v>14705</v>
      </c>
      <c r="C1380">
        <v>0</v>
      </c>
    </row>
    <row r="1381" spans="1:3" x14ac:dyDescent="0.25">
      <c r="A1381" s="48" t="s">
        <v>7728</v>
      </c>
      <c r="B1381" t="s">
        <v>20092</v>
      </c>
      <c r="C1381">
        <v>0</v>
      </c>
    </row>
    <row r="1382" spans="1:3" x14ac:dyDescent="0.25">
      <c r="A1382" s="48" t="s">
        <v>16504</v>
      </c>
      <c r="B1382" t="s">
        <v>16505</v>
      </c>
      <c r="C1382">
        <v>0</v>
      </c>
    </row>
    <row r="1383" spans="1:3" x14ac:dyDescent="0.25">
      <c r="A1383" s="48" t="s">
        <v>6392</v>
      </c>
      <c r="B1383" t="s">
        <v>6393</v>
      </c>
      <c r="C1383">
        <v>4</v>
      </c>
    </row>
    <row r="1384" spans="1:3" x14ac:dyDescent="0.25">
      <c r="A1384" s="48" t="s">
        <v>6389</v>
      </c>
      <c r="B1384" t="s">
        <v>6390</v>
      </c>
      <c r="C1384">
        <v>64</v>
      </c>
    </row>
    <row r="1385" spans="1:3" x14ac:dyDescent="0.25">
      <c r="A1385" s="48" t="s">
        <v>6396</v>
      </c>
      <c r="B1385" t="s">
        <v>6397</v>
      </c>
      <c r="C1385">
        <v>24</v>
      </c>
    </row>
    <row r="1386" spans="1:3" x14ac:dyDescent="0.25">
      <c r="A1386" s="48" t="s">
        <v>6400</v>
      </c>
      <c r="B1386" t="s">
        <v>6401</v>
      </c>
      <c r="C1386">
        <v>1</v>
      </c>
    </row>
    <row r="1387" spans="1:3" x14ac:dyDescent="0.25">
      <c r="A1387" s="48" t="s">
        <v>6379</v>
      </c>
      <c r="B1387" t="s">
        <v>6380</v>
      </c>
      <c r="C1387">
        <v>34</v>
      </c>
    </row>
    <row r="1388" spans="1:3" x14ac:dyDescent="0.25">
      <c r="A1388" s="48" t="s">
        <v>2813</v>
      </c>
      <c r="B1388" t="s">
        <v>2814</v>
      </c>
      <c r="C1388">
        <v>0</v>
      </c>
    </row>
    <row r="1389" spans="1:3" x14ac:dyDescent="0.25">
      <c r="A1389" s="48" t="s">
        <v>4503</v>
      </c>
      <c r="B1389" t="s">
        <v>4504</v>
      </c>
      <c r="C1389">
        <v>0</v>
      </c>
    </row>
    <row r="1390" spans="1:3" x14ac:dyDescent="0.25">
      <c r="A1390" s="48" t="s">
        <v>4505</v>
      </c>
      <c r="B1390" t="s">
        <v>4506</v>
      </c>
      <c r="C1390">
        <v>0</v>
      </c>
    </row>
    <row r="1391" spans="1:3" x14ac:dyDescent="0.25">
      <c r="A1391" s="48" t="s">
        <v>7845</v>
      </c>
      <c r="B1391" t="s">
        <v>7846</v>
      </c>
      <c r="C1391">
        <v>78</v>
      </c>
    </row>
    <row r="1392" spans="1:3" x14ac:dyDescent="0.25">
      <c r="A1392" s="48" t="s">
        <v>16700</v>
      </c>
      <c r="B1392" t="s">
        <v>16701</v>
      </c>
      <c r="C1392">
        <v>0</v>
      </c>
    </row>
    <row r="1393" spans="1:3" x14ac:dyDescent="0.25">
      <c r="A1393" s="48" t="s">
        <v>16804</v>
      </c>
      <c r="B1393" t="s">
        <v>16805</v>
      </c>
      <c r="C1393">
        <v>3</v>
      </c>
    </row>
    <row r="1394" spans="1:3" x14ac:dyDescent="0.25">
      <c r="A1394" s="48" t="s">
        <v>2861</v>
      </c>
      <c r="B1394" t="s">
        <v>2862</v>
      </c>
      <c r="C1394">
        <v>151</v>
      </c>
    </row>
    <row r="1395" spans="1:3" x14ac:dyDescent="0.25">
      <c r="A1395" s="48" t="s">
        <v>2761</v>
      </c>
      <c r="B1395" t="s">
        <v>20093</v>
      </c>
      <c r="C1395">
        <v>77</v>
      </c>
    </row>
    <row r="1396" spans="1:3" x14ac:dyDescent="0.25">
      <c r="A1396" s="48" t="s">
        <v>2829</v>
      </c>
      <c r="B1396" t="s">
        <v>20094</v>
      </c>
      <c r="C1396">
        <v>52</v>
      </c>
    </row>
    <row r="1397" spans="1:3" x14ac:dyDescent="0.25">
      <c r="A1397" s="48" t="s">
        <v>12831</v>
      </c>
      <c r="B1397" t="s">
        <v>12832</v>
      </c>
      <c r="C1397">
        <v>0</v>
      </c>
    </row>
    <row r="1398" spans="1:3" x14ac:dyDescent="0.25">
      <c r="A1398" s="48" t="s">
        <v>12821</v>
      </c>
      <c r="B1398" t="s">
        <v>12822</v>
      </c>
      <c r="C1398">
        <v>129</v>
      </c>
    </row>
    <row r="1399" spans="1:3" x14ac:dyDescent="0.25">
      <c r="A1399" s="48" t="s">
        <v>9370</v>
      </c>
      <c r="B1399" t="s">
        <v>9371</v>
      </c>
      <c r="C1399">
        <v>26</v>
      </c>
    </row>
    <row r="1400" spans="1:3" x14ac:dyDescent="0.25">
      <c r="A1400" s="48" t="s">
        <v>9368</v>
      </c>
      <c r="B1400" t="s">
        <v>9369</v>
      </c>
      <c r="C1400">
        <v>26</v>
      </c>
    </row>
    <row r="1401" spans="1:3" x14ac:dyDescent="0.25">
      <c r="A1401" s="48" t="s">
        <v>6486</v>
      </c>
      <c r="B1401" t="s">
        <v>20095</v>
      </c>
      <c r="C1401">
        <v>100</v>
      </c>
    </row>
    <row r="1402" spans="1:3" x14ac:dyDescent="0.25">
      <c r="A1402" s="48" t="s">
        <v>16660</v>
      </c>
      <c r="B1402" t="s">
        <v>20096</v>
      </c>
      <c r="C1402">
        <v>0</v>
      </c>
    </row>
    <row r="1403" spans="1:3" x14ac:dyDescent="0.25">
      <c r="A1403" s="48" t="s">
        <v>4443</v>
      </c>
      <c r="B1403" t="s">
        <v>20097</v>
      </c>
      <c r="C1403">
        <v>0</v>
      </c>
    </row>
    <row r="1404" spans="1:3" x14ac:dyDescent="0.25">
      <c r="A1404" s="48" t="s">
        <v>16414</v>
      </c>
      <c r="B1404" t="s">
        <v>16415</v>
      </c>
      <c r="C1404">
        <v>0</v>
      </c>
    </row>
    <row r="1405" spans="1:3" x14ac:dyDescent="0.25">
      <c r="A1405" s="48" t="s">
        <v>5741</v>
      </c>
      <c r="B1405" t="s">
        <v>5742</v>
      </c>
      <c r="C1405">
        <v>0</v>
      </c>
    </row>
    <row r="1406" spans="1:3" x14ac:dyDescent="0.25">
      <c r="A1406" s="48" t="s">
        <v>5685</v>
      </c>
      <c r="B1406" t="s">
        <v>5686</v>
      </c>
      <c r="C1406">
        <v>0</v>
      </c>
    </row>
    <row r="1407" spans="1:3" x14ac:dyDescent="0.25">
      <c r="A1407" s="48" t="s">
        <v>1099</v>
      </c>
      <c r="B1407" t="s">
        <v>1100</v>
      </c>
      <c r="C1407">
        <v>1399</v>
      </c>
    </row>
    <row r="1408" spans="1:3" x14ac:dyDescent="0.25">
      <c r="A1408" s="48" t="s">
        <v>16662</v>
      </c>
      <c r="B1408" t="s">
        <v>20098</v>
      </c>
      <c r="C1408">
        <v>3</v>
      </c>
    </row>
    <row r="1409" spans="1:3" x14ac:dyDescent="0.25">
      <c r="A1409" s="48" t="s">
        <v>16666</v>
      </c>
      <c r="B1409" t="s">
        <v>16667</v>
      </c>
      <c r="C1409">
        <v>8</v>
      </c>
    </row>
    <row r="1410" spans="1:3" x14ac:dyDescent="0.25">
      <c r="A1410" s="48" t="s">
        <v>16664</v>
      </c>
      <c r="B1410" t="s">
        <v>20099</v>
      </c>
      <c r="C1410">
        <v>0</v>
      </c>
    </row>
    <row r="1411" spans="1:3" x14ac:dyDescent="0.25">
      <c r="A1411" s="48" t="s">
        <v>13587</v>
      </c>
      <c r="B1411" t="s">
        <v>13588</v>
      </c>
      <c r="C1411">
        <v>0</v>
      </c>
    </row>
    <row r="1412" spans="1:3" x14ac:dyDescent="0.25">
      <c r="A1412" s="48" t="s">
        <v>13581</v>
      </c>
      <c r="B1412" t="s">
        <v>13582</v>
      </c>
      <c r="C1412">
        <v>0</v>
      </c>
    </row>
    <row r="1413" spans="1:3" x14ac:dyDescent="0.25">
      <c r="A1413" s="48" t="s">
        <v>13589</v>
      </c>
      <c r="B1413" t="s">
        <v>13590</v>
      </c>
      <c r="C1413">
        <v>0</v>
      </c>
    </row>
    <row r="1414" spans="1:3" x14ac:dyDescent="0.25">
      <c r="A1414" s="48" t="s">
        <v>14618</v>
      </c>
      <c r="B1414" t="s">
        <v>20100</v>
      </c>
      <c r="C1414">
        <v>0</v>
      </c>
    </row>
    <row r="1415" spans="1:3" x14ac:dyDescent="0.25">
      <c r="A1415" s="48" t="s">
        <v>5030</v>
      </c>
      <c r="B1415" t="s">
        <v>5031</v>
      </c>
      <c r="C1415">
        <v>0</v>
      </c>
    </row>
    <row r="1416" spans="1:3" x14ac:dyDescent="0.25">
      <c r="A1416" s="48" t="s">
        <v>2292</v>
      </c>
      <c r="B1416" t="s">
        <v>2293</v>
      </c>
      <c r="C1416">
        <v>63</v>
      </c>
    </row>
    <row r="1417" spans="1:3" x14ac:dyDescent="0.25">
      <c r="A1417" s="48" t="s">
        <v>14586</v>
      </c>
      <c r="B1417" t="s">
        <v>20101</v>
      </c>
      <c r="C1417">
        <v>0</v>
      </c>
    </row>
    <row r="1418" spans="1:3" x14ac:dyDescent="0.25">
      <c r="A1418" s="48" t="s">
        <v>9543</v>
      </c>
      <c r="B1418" t="s">
        <v>9544</v>
      </c>
      <c r="C1418">
        <v>0</v>
      </c>
    </row>
    <row r="1419" spans="1:3" x14ac:dyDescent="0.25">
      <c r="A1419" s="48" t="s">
        <v>6462</v>
      </c>
      <c r="B1419" t="s">
        <v>6463</v>
      </c>
      <c r="C1419">
        <v>0</v>
      </c>
    </row>
    <row r="1420" spans="1:3" x14ac:dyDescent="0.25">
      <c r="A1420" s="48" t="s">
        <v>2899</v>
      </c>
      <c r="B1420" t="s">
        <v>20102</v>
      </c>
      <c r="C1420">
        <v>90</v>
      </c>
    </row>
    <row r="1421" spans="1:3" x14ac:dyDescent="0.25">
      <c r="A1421" s="48" t="s">
        <v>2911</v>
      </c>
      <c r="B1421" t="s">
        <v>20103</v>
      </c>
      <c r="C1421">
        <v>87</v>
      </c>
    </row>
    <row r="1422" spans="1:3" x14ac:dyDescent="0.25">
      <c r="A1422" s="48" t="s">
        <v>2901</v>
      </c>
      <c r="B1422" t="s">
        <v>2902</v>
      </c>
      <c r="C1422">
        <v>73</v>
      </c>
    </row>
    <row r="1423" spans="1:3" x14ac:dyDescent="0.25">
      <c r="A1423" s="48" t="s">
        <v>2903</v>
      </c>
      <c r="B1423" t="s">
        <v>20104</v>
      </c>
      <c r="C1423">
        <v>61</v>
      </c>
    </row>
    <row r="1424" spans="1:3" x14ac:dyDescent="0.25">
      <c r="A1424" s="48" t="s">
        <v>2915</v>
      </c>
      <c r="B1424" t="s">
        <v>20105</v>
      </c>
      <c r="C1424">
        <v>63</v>
      </c>
    </row>
    <row r="1425" spans="1:3" x14ac:dyDescent="0.25">
      <c r="A1425" s="48" t="s">
        <v>2917</v>
      </c>
      <c r="B1425" t="s">
        <v>20106</v>
      </c>
      <c r="C1425">
        <v>119</v>
      </c>
    </row>
    <row r="1426" spans="1:3" x14ac:dyDescent="0.25">
      <c r="A1426" s="48" t="s">
        <v>2921</v>
      </c>
      <c r="B1426" t="s">
        <v>20107</v>
      </c>
      <c r="C1426">
        <v>80</v>
      </c>
    </row>
    <row r="1427" spans="1:3" x14ac:dyDescent="0.25">
      <c r="A1427" s="48" t="s">
        <v>2897</v>
      </c>
      <c r="B1427" t="s">
        <v>20108</v>
      </c>
      <c r="C1427">
        <v>64</v>
      </c>
    </row>
    <row r="1428" spans="1:3" x14ac:dyDescent="0.25">
      <c r="A1428" s="48" t="s">
        <v>2927</v>
      </c>
      <c r="B1428" t="s">
        <v>20109</v>
      </c>
      <c r="C1428">
        <v>95</v>
      </c>
    </row>
    <row r="1429" spans="1:3" x14ac:dyDescent="0.25">
      <c r="A1429" s="48" t="s">
        <v>3040</v>
      </c>
      <c r="B1429" t="s">
        <v>3041</v>
      </c>
      <c r="C1429">
        <v>2</v>
      </c>
    </row>
    <row r="1430" spans="1:3" x14ac:dyDescent="0.25">
      <c r="A1430" s="48" t="s">
        <v>3056</v>
      </c>
      <c r="B1430" t="s">
        <v>3057</v>
      </c>
      <c r="C1430">
        <v>117</v>
      </c>
    </row>
    <row r="1431" spans="1:3" x14ac:dyDescent="0.25">
      <c r="A1431" s="48" t="s">
        <v>3066</v>
      </c>
      <c r="B1431" t="s">
        <v>3067</v>
      </c>
      <c r="C1431">
        <v>55</v>
      </c>
    </row>
    <row r="1432" spans="1:3" x14ac:dyDescent="0.25">
      <c r="A1432" s="48" t="s">
        <v>1059</v>
      </c>
      <c r="B1432" t="s">
        <v>1060</v>
      </c>
      <c r="C1432">
        <v>27</v>
      </c>
    </row>
    <row r="1433" spans="1:3" x14ac:dyDescent="0.25">
      <c r="A1433" s="48" t="s">
        <v>1617</v>
      </c>
      <c r="B1433" t="s">
        <v>1618</v>
      </c>
      <c r="C1433">
        <v>13</v>
      </c>
    </row>
    <row r="1434" spans="1:3" x14ac:dyDescent="0.25">
      <c r="A1434" s="48" t="s">
        <v>1361</v>
      </c>
      <c r="B1434" t="s">
        <v>1362</v>
      </c>
      <c r="C1434">
        <v>46</v>
      </c>
    </row>
    <row r="1435" spans="1:3" x14ac:dyDescent="0.25">
      <c r="A1435" s="48" t="s">
        <v>7730</v>
      </c>
      <c r="B1435" t="s">
        <v>20110</v>
      </c>
      <c r="C1435">
        <v>0</v>
      </c>
    </row>
    <row r="1436" spans="1:3" x14ac:dyDescent="0.25">
      <c r="A1436" s="48" t="s">
        <v>7732</v>
      </c>
      <c r="B1436" t="s">
        <v>7733</v>
      </c>
      <c r="C1436">
        <v>0</v>
      </c>
    </row>
    <row r="1437" spans="1:3" x14ac:dyDescent="0.25">
      <c r="A1437" s="48" t="s">
        <v>12835</v>
      </c>
      <c r="B1437" t="s">
        <v>12836</v>
      </c>
      <c r="C1437">
        <v>21</v>
      </c>
    </row>
    <row r="1438" spans="1:3" x14ac:dyDescent="0.25">
      <c r="A1438" s="48" t="s">
        <v>987</v>
      </c>
      <c r="B1438" t="s">
        <v>988</v>
      </c>
      <c r="C1438">
        <v>39</v>
      </c>
    </row>
    <row r="1439" spans="1:3" x14ac:dyDescent="0.25">
      <c r="A1439" s="48" t="s">
        <v>7726</v>
      </c>
      <c r="B1439" t="s">
        <v>20111</v>
      </c>
      <c r="C1439">
        <v>0</v>
      </c>
    </row>
    <row r="1440" spans="1:3" x14ac:dyDescent="0.25">
      <c r="A1440" s="48" t="s">
        <v>12837</v>
      </c>
      <c r="B1440" t="s">
        <v>12838</v>
      </c>
      <c r="C1440">
        <v>10</v>
      </c>
    </row>
    <row r="1441" spans="1:3" x14ac:dyDescent="0.25">
      <c r="A1441" s="48" t="s">
        <v>2996</v>
      </c>
      <c r="B1441" t="s">
        <v>2997</v>
      </c>
      <c r="C1441">
        <v>0</v>
      </c>
    </row>
    <row r="1442" spans="1:3" x14ac:dyDescent="0.25">
      <c r="A1442" s="48" t="s">
        <v>3038</v>
      </c>
      <c r="B1442" t="s">
        <v>3039</v>
      </c>
      <c r="C1442">
        <v>0</v>
      </c>
    </row>
    <row r="1443" spans="1:3" x14ac:dyDescent="0.25">
      <c r="A1443" s="48" t="s">
        <v>3078</v>
      </c>
      <c r="B1443" t="s">
        <v>3079</v>
      </c>
      <c r="C1443">
        <v>8</v>
      </c>
    </row>
    <row r="1444" spans="1:3" x14ac:dyDescent="0.25">
      <c r="A1444" s="48" t="s">
        <v>3100</v>
      </c>
      <c r="B1444" t="s">
        <v>3101</v>
      </c>
      <c r="C1444">
        <v>0</v>
      </c>
    </row>
    <row r="1445" spans="1:3" x14ac:dyDescent="0.25">
      <c r="A1445" s="48" t="s">
        <v>3084</v>
      </c>
      <c r="B1445" t="s">
        <v>3085</v>
      </c>
      <c r="C1445">
        <v>0</v>
      </c>
    </row>
    <row r="1446" spans="1:3" x14ac:dyDescent="0.25">
      <c r="A1446" s="48" t="s">
        <v>3088</v>
      </c>
      <c r="B1446" t="s">
        <v>3089</v>
      </c>
      <c r="C1446">
        <v>1</v>
      </c>
    </row>
    <row r="1447" spans="1:3" x14ac:dyDescent="0.25">
      <c r="A1447" s="48" t="s">
        <v>3072</v>
      </c>
      <c r="B1447" t="s">
        <v>20112</v>
      </c>
      <c r="C1447">
        <v>0</v>
      </c>
    </row>
    <row r="1448" spans="1:3" x14ac:dyDescent="0.25">
      <c r="A1448" s="48" t="s">
        <v>2992</v>
      </c>
      <c r="B1448" t="s">
        <v>2993</v>
      </c>
      <c r="C1448">
        <v>10</v>
      </c>
    </row>
    <row r="1449" spans="1:3" x14ac:dyDescent="0.25">
      <c r="A1449" s="48" t="s">
        <v>3002</v>
      </c>
      <c r="B1449" t="s">
        <v>20113</v>
      </c>
      <c r="C1449">
        <v>0</v>
      </c>
    </row>
    <row r="1450" spans="1:3" x14ac:dyDescent="0.25">
      <c r="A1450" s="48" t="s">
        <v>1667</v>
      </c>
      <c r="B1450" t="s">
        <v>1668</v>
      </c>
      <c r="C1450">
        <v>33</v>
      </c>
    </row>
    <row r="1451" spans="1:3" x14ac:dyDescent="0.25">
      <c r="A1451" s="48" t="s">
        <v>7939</v>
      </c>
      <c r="B1451" t="s">
        <v>20114</v>
      </c>
      <c r="C1451">
        <v>0</v>
      </c>
    </row>
    <row r="1452" spans="1:3" x14ac:dyDescent="0.25">
      <c r="A1452" s="48" t="s">
        <v>12817</v>
      </c>
      <c r="B1452" t="s">
        <v>20115</v>
      </c>
      <c r="C1452">
        <v>0</v>
      </c>
    </row>
    <row r="1453" spans="1:3" x14ac:dyDescent="0.25">
      <c r="A1453" s="48" t="s">
        <v>17921</v>
      </c>
      <c r="B1453" t="s">
        <v>17922</v>
      </c>
      <c r="C1453">
        <v>0</v>
      </c>
    </row>
    <row r="1454" spans="1:3" x14ac:dyDescent="0.25">
      <c r="A1454" s="48" t="s">
        <v>13607</v>
      </c>
      <c r="B1454" t="s">
        <v>13608</v>
      </c>
      <c r="C1454">
        <v>0</v>
      </c>
    </row>
    <row r="1455" spans="1:3" x14ac:dyDescent="0.25">
      <c r="A1455" s="48" t="s">
        <v>13585</v>
      </c>
      <c r="B1455" t="s">
        <v>13586</v>
      </c>
      <c r="C1455">
        <v>0</v>
      </c>
    </row>
    <row r="1456" spans="1:3" x14ac:dyDescent="0.25">
      <c r="A1456" s="48" t="s">
        <v>13605</v>
      </c>
      <c r="B1456" t="s">
        <v>13606</v>
      </c>
      <c r="C1456">
        <v>0</v>
      </c>
    </row>
    <row r="1457" spans="1:3" x14ac:dyDescent="0.25">
      <c r="A1457" s="48" t="s">
        <v>18111</v>
      </c>
      <c r="B1457" t="s">
        <v>20116</v>
      </c>
      <c r="C1457">
        <v>0</v>
      </c>
    </row>
    <row r="1458" spans="1:3" x14ac:dyDescent="0.25">
      <c r="A1458" s="48" t="s">
        <v>2552</v>
      </c>
      <c r="B1458" t="s">
        <v>2553</v>
      </c>
      <c r="C1458">
        <v>0</v>
      </c>
    </row>
    <row r="1459" spans="1:3" x14ac:dyDescent="0.25">
      <c r="A1459" s="48" t="s">
        <v>2390</v>
      </c>
      <c r="B1459" t="s">
        <v>2391</v>
      </c>
      <c r="C1459">
        <v>20</v>
      </c>
    </row>
    <row r="1460" spans="1:3" x14ac:dyDescent="0.25">
      <c r="A1460" s="48" t="s">
        <v>2548</v>
      </c>
      <c r="B1460" t="s">
        <v>2549</v>
      </c>
      <c r="C1460">
        <v>0</v>
      </c>
    </row>
    <row r="1461" spans="1:3" x14ac:dyDescent="0.25">
      <c r="A1461" s="48" t="s">
        <v>2550</v>
      </c>
      <c r="B1461" t="s">
        <v>2551</v>
      </c>
      <c r="C1461">
        <v>5</v>
      </c>
    </row>
    <row r="1462" spans="1:3" x14ac:dyDescent="0.25">
      <c r="A1462" s="48" t="s">
        <v>2558</v>
      </c>
      <c r="B1462" t="s">
        <v>2559</v>
      </c>
      <c r="C1462">
        <v>1</v>
      </c>
    </row>
    <row r="1463" spans="1:3" x14ac:dyDescent="0.25">
      <c r="A1463" s="48" t="s">
        <v>2414</v>
      </c>
      <c r="B1463" t="s">
        <v>2415</v>
      </c>
      <c r="C1463">
        <v>0</v>
      </c>
    </row>
    <row r="1464" spans="1:3" x14ac:dyDescent="0.25">
      <c r="A1464" s="48" t="s">
        <v>2396</v>
      </c>
      <c r="B1464" t="s">
        <v>2397</v>
      </c>
      <c r="C1464">
        <v>20</v>
      </c>
    </row>
    <row r="1465" spans="1:3" x14ac:dyDescent="0.25">
      <c r="A1465" s="48" t="s">
        <v>2450</v>
      </c>
      <c r="B1465" t="s">
        <v>2451</v>
      </c>
      <c r="C1465">
        <v>15</v>
      </c>
    </row>
    <row r="1466" spans="1:3" x14ac:dyDescent="0.25">
      <c r="A1466" s="48" t="s">
        <v>2384</v>
      </c>
      <c r="B1466" t="s">
        <v>2385</v>
      </c>
      <c r="C1466">
        <v>12</v>
      </c>
    </row>
    <row r="1467" spans="1:3" x14ac:dyDescent="0.25">
      <c r="A1467" s="48" t="s">
        <v>2408</v>
      </c>
      <c r="B1467" t="s">
        <v>2409</v>
      </c>
      <c r="C1467">
        <v>20</v>
      </c>
    </row>
    <row r="1468" spans="1:3" x14ac:dyDescent="0.25">
      <c r="A1468" s="48" t="s">
        <v>2386</v>
      </c>
      <c r="B1468" t="s">
        <v>2387</v>
      </c>
      <c r="C1468">
        <v>14</v>
      </c>
    </row>
    <row r="1469" spans="1:3" x14ac:dyDescent="0.25">
      <c r="A1469" s="48" t="s">
        <v>2905</v>
      </c>
      <c r="B1469" t="s">
        <v>20117</v>
      </c>
      <c r="C1469">
        <v>70</v>
      </c>
    </row>
    <row r="1470" spans="1:3" x14ac:dyDescent="0.25">
      <c r="A1470" s="48" t="s">
        <v>7684</v>
      </c>
      <c r="B1470" t="s">
        <v>20118</v>
      </c>
      <c r="C1470">
        <v>0</v>
      </c>
    </row>
    <row r="1471" spans="1:3" x14ac:dyDescent="0.25">
      <c r="A1471" s="48" t="s">
        <v>6484</v>
      </c>
      <c r="B1471" t="s">
        <v>6485</v>
      </c>
      <c r="C1471">
        <v>25</v>
      </c>
    </row>
    <row r="1472" spans="1:3" x14ac:dyDescent="0.25">
      <c r="A1472" s="48" t="s">
        <v>7963</v>
      </c>
      <c r="B1472" t="s">
        <v>7964</v>
      </c>
      <c r="C1472">
        <v>0</v>
      </c>
    </row>
    <row r="1473" spans="1:3" x14ac:dyDescent="0.25">
      <c r="A1473" s="48" t="s">
        <v>19458</v>
      </c>
      <c r="B1473" t="s">
        <v>19459</v>
      </c>
      <c r="C1473">
        <v>12</v>
      </c>
    </row>
    <row r="1474" spans="1:3" x14ac:dyDescent="0.25">
      <c r="A1474" s="48" t="s">
        <v>14296</v>
      </c>
      <c r="B1474" t="s">
        <v>14297</v>
      </c>
      <c r="C1474">
        <v>0</v>
      </c>
    </row>
    <row r="1475" spans="1:3" x14ac:dyDescent="0.25">
      <c r="A1475" s="48" t="s">
        <v>4679</v>
      </c>
      <c r="B1475" t="s">
        <v>20119</v>
      </c>
      <c r="C1475">
        <v>0</v>
      </c>
    </row>
    <row r="1476" spans="1:3" x14ac:dyDescent="0.25">
      <c r="A1476" s="48" t="s">
        <v>2412</v>
      </c>
      <c r="B1476" t="s">
        <v>2413</v>
      </c>
      <c r="C1476">
        <v>0</v>
      </c>
    </row>
    <row r="1477" spans="1:3" x14ac:dyDescent="0.25">
      <c r="A1477" s="48" t="s">
        <v>3094</v>
      </c>
      <c r="B1477" t="s">
        <v>3095</v>
      </c>
      <c r="C1477">
        <v>10</v>
      </c>
    </row>
    <row r="1478" spans="1:3" x14ac:dyDescent="0.25">
      <c r="A1478" s="48" t="s">
        <v>12612</v>
      </c>
      <c r="B1478" t="s">
        <v>20120</v>
      </c>
      <c r="C1478">
        <v>0</v>
      </c>
    </row>
    <row r="1479" spans="1:3" x14ac:dyDescent="0.25">
      <c r="A1479" s="48" t="s">
        <v>18528</v>
      </c>
      <c r="B1479" t="s">
        <v>18529</v>
      </c>
      <c r="C1479">
        <v>2</v>
      </c>
    </row>
    <row r="1480" spans="1:3" x14ac:dyDescent="0.25">
      <c r="A1480" s="48" t="s">
        <v>589</v>
      </c>
      <c r="B1480" t="s">
        <v>590</v>
      </c>
      <c r="C1480">
        <v>1</v>
      </c>
    </row>
    <row r="1481" spans="1:3" x14ac:dyDescent="0.25">
      <c r="A1481" s="48" t="s">
        <v>12747</v>
      </c>
      <c r="B1481" t="s">
        <v>20121</v>
      </c>
      <c r="C1481">
        <v>1243</v>
      </c>
    </row>
    <row r="1482" spans="1:3" x14ac:dyDescent="0.25">
      <c r="A1482" s="48" t="s">
        <v>9569</v>
      </c>
      <c r="B1482" t="s">
        <v>20122</v>
      </c>
      <c r="C1482">
        <v>0</v>
      </c>
    </row>
    <row r="1483" spans="1:3" x14ac:dyDescent="0.25">
      <c r="A1483" s="48" t="s">
        <v>9024</v>
      </c>
      <c r="B1483" t="s">
        <v>20123</v>
      </c>
      <c r="C1483">
        <v>4</v>
      </c>
    </row>
    <row r="1484" spans="1:3" x14ac:dyDescent="0.25">
      <c r="A1484" s="48" t="s">
        <v>4631</v>
      </c>
      <c r="B1484" t="s">
        <v>20124</v>
      </c>
      <c r="C1484">
        <v>0</v>
      </c>
    </row>
    <row r="1485" spans="1:3" x14ac:dyDescent="0.25">
      <c r="A1485" s="48" t="s">
        <v>12569</v>
      </c>
      <c r="B1485" t="s">
        <v>20125</v>
      </c>
      <c r="C1485">
        <v>54</v>
      </c>
    </row>
    <row r="1486" spans="1:3" x14ac:dyDescent="0.25">
      <c r="A1486" s="48" t="s">
        <v>9016</v>
      </c>
      <c r="B1486" t="s">
        <v>20126</v>
      </c>
      <c r="C1486">
        <v>0</v>
      </c>
    </row>
    <row r="1487" spans="1:3" x14ac:dyDescent="0.25">
      <c r="A1487" s="48" t="s">
        <v>5147</v>
      </c>
      <c r="B1487" t="s">
        <v>20127</v>
      </c>
      <c r="C1487">
        <v>0</v>
      </c>
    </row>
    <row r="1488" spans="1:3" x14ac:dyDescent="0.25">
      <c r="A1488" s="48" t="s">
        <v>5153</v>
      </c>
      <c r="B1488" t="s">
        <v>5154</v>
      </c>
      <c r="C1488">
        <v>12</v>
      </c>
    </row>
    <row r="1489" spans="1:3" x14ac:dyDescent="0.25">
      <c r="A1489" s="48" t="s">
        <v>18071</v>
      </c>
      <c r="B1489" t="s">
        <v>18072</v>
      </c>
      <c r="C1489">
        <v>11</v>
      </c>
    </row>
    <row r="1490" spans="1:3" x14ac:dyDescent="0.25">
      <c r="A1490" s="48" t="s">
        <v>14108</v>
      </c>
      <c r="B1490" t="s">
        <v>20128</v>
      </c>
      <c r="C1490">
        <v>24</v>
      </c>
    </row>
    <row r="1491" spans="1:3" x14ac:dyDescent="0.25">
      <c r="A1491" s="48" t="s">
        <v>14106</v>
      </c>
      <c r="B1491" t="s">
        <v>20129</v>
      </c>
      <c r="C1491">
        <v>0</v>
      </c>
    </row>
    <row r="1492" spans="1:3" x14ac:dyDescent="0.25">
      <c r="A1492" s="48" t="s">
        <v>12567</v>
      </c>
      <c r="B1492" t="s">
        <v>12568</v>
      </c>
      <c r="C1492">
        <v>0</v>
      </c>
    </row>
    <row r="1493" spans="1:3" x14ac:dyDescent="0.25">
      <c r="A1493" s="48" t="s">
        <v>3487</v>
      </c>
      <c r="B1493" t="s">
        <v>3488</v>
      </c>
      <c r="C1493">
        <v>0</v>
      </c>
    </row>
    <row r="1494" spans="1:3" x14ac:dyDescent="0.25">
      <c r="A1494" s="48" t="s">
        <v>7462</v>
      </c>
      <c r="B1494" t="s">
        <v>7463</v>
      </c>
      <c r="C1494">
        <v>0</v>
      </c>
    </row>
    <row r="1495" spans="1:3" x14ac:dyDescent="0.25">
      <c r="A1495" s="48" t="s">
        <v>12857</v>
      </c>
      <c r="B1495" t="s">
        <v>12858</v>
      </c>
      <c r="C1495">
        <v>0</v>
      </c>
    </row>
    <row r="1496" spans="1:3" x14ac:dyDescent="0.25">
      <c r="A1496" s="48" t="s">
        <v>2923</v>
      </c>
      <c r="B1496" t="s">
        <v>2924</v>
      </c>
      <c r="C1496">
        <v>142</v>
      </c>
    </row>
    <row r="1497" spans="1:3" x14ac:dyDescent="0.25">
      <c r="A1497" s="48" t="s">
        <v>1801</v>
      </c>
      <c r="B1497" t="s">
        <v>1802</v>
      </c>
      <c r="C1497">
        <v>0</v>
      </c>
    </row>
    <row r="1498" spans="1:3" x14ac:dyDescent="0.25">
      <c r="A1498" s="48" t="s">
        <v>14290</v>
      </c>
      <c r="B1498" t="s">
        <v>14291</v>
      </c>
      <c r="C1498">
        <v>0</v>
      </c>
    </row>
    <row r="1499" spans="1:3" x14ac:dyDescent="0.25">
      <c r="A1499" s="48" t="s">
        <v>7696</v>
      </c>
      <c r="B1499" t="s">
        <v>7697</v>
      </c>
      <c r="C1499">
        <v>0</v>
      </c>
    </row>
    <row r="1500" spans="1:3" x14ac:dyDescent="0.25">
      <c r="A1500" s="48" t="s">
        <v>14304</v>
      </c>
      <c r="B1500" t="s">
        <v>14305</v>
      </c>
      <c r="C1500">
        <v>0</v>
      </c>
    </row>
    <row r="1501" spans="1:3" x14ac:dyDescent="0.25">
      <c r="A1501" s="48" t="s">
        <v>12925</v>
      </c>
      <c r="B1501" t="s">
        <v>12926</v>
      </c>
      <c r="C1501">
        <v>0</v>
      </c>
    </row>
    <row r="1502" spans="1:3" x14ac:dyDescent="0.25">
      <c r="A1502" s="48" t="s">
        <v>14401</v>
      </c>
      <c r="B1502" t="s">
        <v>20130</v>
      </c>
      <c r="C1502">
        <v>0</v>
      </c>
    </row>
    <row r="1503" spans="1:3" x14ac:dyDescent="0.25">
      <c r="A1503" s="48" t="s">
        <v>6169</v>
      </c>
      <c r="B1503" t="s">
        <v>20131</v>
      </c>
      <c r="C1503">
        <v>0</v>
      </c>
    </row>
    <row r="1504" spans="1:3" x14ac:dyDescent="0.25">
      <c r="A1504" s="48" t="s">
        <v>6529</v>
      </c>
      <c r="B1504" t="s">
        <v>6530</v>
      </c>
      <c r="C1504">
        <v>0</v>
      </c>
    </row>
    <row r="1505" spans="1:3" x14ac:dyDescent="0.25">
      <c r="A1505" s="48" t="s">
        <v>14399</v>
      </c>
      <c r="B1505" t="s">
        <v>14400</v>
      </c>
      <c r="C1505">
        <v>0</v>
      </c>
    </row>
    <row r="1506" spans="1:3" x14ac:dyDescent="0.25">
      <c r="A1506" s="48" t="s">
        <v>6531</v>
      </c>
      <c r="B1506" t="s">
        <v>6532</v>
      </c>
      <c r="C1506">
        <v>0</v>
      </c>
    </row>
    <row r="1507" spans="1:3" x14ac:dyDescent="0.25">
      <c r="A1507" s="48" t="s">
        <v>6513</v>
      </c>
      <c r="B1507" t="s">
        <v>6514</v>
      </c>
      <c r="C1507">
        <v>0</v>
      </c>
    </row>
    <row r="1508" spans="1:3" x14ac:dyDescent="0.25">
      <c r="A1508" s="48" t="s">
        <v>18530</v>
      </c>
      <c r="B1508" t="s">
        <v>20132</v>
      </c>
      <c r="C1508">
        <v>0</v>
      </c>
    </row>
    <row r="1509" spans="1:3" x14ac:dyDescent="0.25">
      <c r="A1509" s="48" t="s">
        <v>894</v>
      </c>
      <c r="B1509" t="s">
        <v>895</v>
      </c>
      <c r="C1509">
        <v>20</v>
      </c>
    </row>
    <row r="1510" spans="1:3" x14ac:dyDescent="0.25">
      <c r="A1510" s="48" t="s">
        <v>18522</v>
      </c>
      <c r="B1510" t="s">
        <v>18523</v>
      </c>
      <c r="C1510">
        <v>0</v>
      </c>
    </row>
    <row r="1511" spans="1:3" x14ac:dyDescent="0.25">
      <c r="A1511" s="48" t="s">
        <v>1383</v>
      </c>
      <c r="B1511" t="s">
        <v>1384</v>
      </c>
      <c r="C1511">
        <v>282</v>
      </c>
    </row>
    <row r="1512" spans="1:3" x14ac:dyDescent="0.25">
      <c r="A1512" s="48" t="s">
        <v>6500</v>
      </c>
      <c r="B1512" t="s">
        <v>20133</v>
      </c>
      <c r="C1512">
        <v>0</v>
      </c>
    </row>
    <row r="1513" spans="1:3" x14ac:dyDescent="0.25">
      <c r="A1513" s="48" t="s">
        <v>11124</v>
      </c>
      <c r="B1513" t="s">
        <v>20134</v>
      </c>
      <c r="C1513">
        <v>0</v>
      </c>
    </row>
    <row r="1514" spans="1:3" x14ac:dyDescent="0.25">
      <c r="A1514" s="48" t="s">
        <v>3371</v>
      </c>
      <c r="B1514" t="s">
        <v>3372</v>
      </c>
      <c r="C1514">
        <v>5</v>
      </c>
    </row>
    <row r="1515" spans="1:3" x14ac:dyDescent="0.25">
      <c r="A1515" s="48" t="s">
        <v>17768</v>
      </c>
      <c r="B1515" t="s">
        <v>17769</v>
      </c>
      <c r="C1515">
        <v>0</v>
      </c>
    </row>
    <row r="1516" spans="1:3" x14ac:dyDescent="0.25">
      <c r="A1516" s="48" t="s">
        <v>17770</v>
      </c>
      <c r="B1516" t="s">
        <v>17771</v>
      </c>
      <c r="C1516">
        <v>0</v>
      </c>
    </row>
    <row r="1517" spans="1:3" x14ac:dyDescent="0.25">
      <c r="A1517" s="48" t="s">
        <v>6525</v>
      </c>
      <c r="B1517" t="s">
        <v>20135</v>
      </c>
      <c r="C1517">
        <v>0</v>
      </c>
    </row>
    <row r="1518" spans="1:3" x14ac:dyDescent="0.25">
      <c r="A1518" s="48" t="s">
        <v>6527</v>
      </c>
      <c r="B1518" t="s">
        <v>6528</v>
      </c>
      <c r="C1518">
        <v>0</v>
      </c>
    </row>
    <row r="1519" spans="1:3" x14ac:dyDescent="0.25">
      <c r="A1519" s="48" t="s">
        <v>11356</v>
      </c>
      <c r="B1519" t="s">
        <v>11357</v>
      </c>
      <c r="C1519">
        <v>0</v>
      </c>
    </row>
    <row r="1520" spans="1:3" x14ac:dyDescent="0.25">
      <c r="A1520" s="48" t="s">
        <v>11234</v>
      </c>
      <c r="B1520" t="s">
        <v>20136</v>
      </c>
      <c r="C1520">
        <v>6</v>
      </c>
    </row>
    <row r="1521" spans="1:3" x14ac:dyDescent="0.25">
      <c r="A1521" s="48" t="s">
        <v>4596</v>
      </c>
      <c r="B1521" t="s">
        <v>20137</v>
      </c>
      <c r="C1521">
        <v>0</v>
      </c>
    </row>
    <row r="1522" spans="1:3" x14ac:dyDescent="0.25">
      <c r="A1522" s="48" t="s">
        <v>18921</v>
      </c>
      <c r="B1522" t="s">
        <v>20138</v>
      </c>
      <c r="C1522">
        <v>0</v>
      </c>
    </row>
    <row r="1523" spans="1:3" x14ac:dyDescent="0.25">
      <c r="A1523" s="48" t="s">
        <v>18919</v>
      </c>
      <c r="B1523" t="s">
        <v>20139</v>
      </c>
      <c r="C1523">
        <v>0</v>
      </c>
    </row>
    <row r="1524" spans="1:3" x14ac:dyDescent="0.25">
      <c r="A1524" s="48" t="s">
        <v>4713</v>
      </c>
      <c r="B1524" t="s">
        <v>20140</v>
      </c>
      <c r="C1524">
        <v>3</v>
      </c>
    </row>
    <row r="1525" spans="1:3" x14ac:dyDescent="0.25">
      <c r="A1525" s="48" t="s">
        <v>15909</v>
      </c>
      <c r="B1525" t="s">
        <v>20141</v>
      </c>
      <c r="C1525">
        <v>0</v>
      </c>
    </row>
    <row r="1526" spans="1:3" x14ac:dyDescent="0.25">
      <c r="A1526" s="48" t="s">
        <v>15907</v>
      </c>
      <c r="B1526" t="s">
        <v>20142</v>
      </c>
      <c r="C1526">
        <v>10</v>
      </c>
    </row>
    <row r="1527" spans="1:3" x14ac:dyDescent="0.25">
      <c r="A1527" s="48" t="s">
        <v>13194</v>
      </c>
      <c r="B1527" t="s">
        <v>13195</v>
      </c>
      <c r="C1527">
        <v>0</v>
      </c>
    </row>
    <row r="1528" spans="1:3" x14ac:dyDescent="0.25">
      <c r="A1528" s="48" t="s">
        <v>13198</v>
      </c>
      <c r="B1528" t="s">
        <v>13199</v>
      </c>
      <c r="C1528">
        <v>2</v>
      </c>
    </row>
    <row r="1529" spans="1:3" x14ac:dyDescent="0.25">
      <c r="A1529" s="48" t="s">
        <v>13200</v>
      </c>
      <c r="B1529" t="s">
        <v>13201</v>
      </c>
      <c r="C1529">
        <v>0</v>
      </c>
    </row>
    <row r="1530" spans="1:3" x14ac:dyDescent="0.25">
      <c r="A1530" s="48" t="s">
        <v>13208</v>
      </c>
      <c r="B1530" t="s">
        <v>13209</v>
      </c>
      <c r="C1530">
        <v>0</v>
      </c>
    </row>
    <row r="1531" spans="1:3" x14ac:dyDescent="0.25">
      <c r="A1531" s="48" t="s">
        <v>13216</v>
      </c>
      <c r="B1531" t="s">
        <v>13217</v>
      </c>
      <c r="C1531">
        <v>0</v>
      </c>
    </row>
    <row r="1532" spans="1:3" x14ac:dyDescent="0.25">
      <c r="A1532" s="48" t="s">
        <v>13218</v>
      </c>
      <c r="B1532" t="s">
        <v>13219</v>
      </c>
      <c r="C1532">
        <v>1</v>
      </c>
    </row>
    <row r="1533" spans="1:3" x14ac:dyDescent="0.25">
      <c r="A1533" s="48" t="s">
        <v>13222</v>
      </c>
      <c r="B1533" t="s">
        <v>13223</v>
      </c>
      <c r="C1533">
        <v>0</v>
      </c>
    </row>
    <row r="1534" spans="1:3" x14ac:dyDescent="0.25">
      <c r="A1534" s="48" t="s">
        <v>13232</v>
      </c>
      <c r="B1534" t="s">
        <v>13233</v>
      </c>
      <c r="C1534">
        <v>0</v>
      </c>
    </row>
    <row r="1535" spans="1:3" x14ac:dyDescent="0.25">
      <c r="A1535" s="48" t="s">
        <v>13234</v>
      </c>
      <c r="B1535" t="s">
        <v>13235</v>
      </c>
      <c r="C1535">
        <v>4</v>
      </c>
    </row>
    <row r="1536" spans="1:3" x14ac:dyDescent="0.25">
      <c r="A1536" s="48" t="s">
        <v>13236</v>
      </c>
      <c r="B1536" t="s">
        <v>13237</v>
      </c>
      <c r="C1536">
        <v>0</v>
      </c>
    </row>
    <row r="1537" spans="1:3" x14ac:dyDescent="0.25">
      <c r="A1537" s="48" t="s">
        <v>13248</v>
      </c>
      <c r="B1537" t="s">
        <v>13249</v>
      </c>
      <c r="C1537">
        <v>0</v>
      </c>
    </row>
    <row r="1538" spans="1:3" x14ac:dyDescent="0.25">
      <c r="A1538" s="48" t="s">
        <v>13254</v>
      </c>
      <c r="B1538" t="s">
        <v>13255</v>
      </c>
      <c r="C1538">
        <v>0</v>
      </c>
    </row>
    <row r="1539" spans="1:3" x14ac:dyDescent="0.25">
      <c r="A1539" s="48" t="s">
        <v>13268</v>
      </c>
      <c r="B1539" t="s">
        <v>13269</v>
      </c>
      <c r="C1539">
        <v>0</v>
      </c>
    </row>
    <row r="1540" spans="1:3" x14ac:dyDescent="0.25">
      <c r="A1540" s="48" t="s">
        <v>17484</v>
      </c>
      <c r="B1540" t="s">
        <v>20143</v>
      </c>
      <c r="C1540">
        <v>0</v>
      </c>
    </row>
    <row r="1541" spans="1:3" x14ac:dyDescent="0.25">
      <c r="A1541" s="48" t="s">
        <v>15245</v>
      </c>
      <c r="B1541" t="s">
        <v>20144</v>
      </c>
      <c r="C1541">
        <v>0</v>
      </c>
    </row>
    <row r="1542" spans="1:3" x14ac:dyDescent="0.25">
      <c r="A1542" s="48" t="s">
        <v>15243</v>
      </c>
      <c r="B1542" t="s">
        <v>15244</v>
      </c>
      <c r="C1542">
        <v>2</v>
      </c>
    </row>
    <row r="1543" spans="1:3" x14ac:dyDescent="0.25">
      <c r="A1543" s="48" t="s">
        <v>17488</v>
      </c>
      <c r="B1543" t="s">
        <v>20145</v>
      </c>
      <c r="C1543">
        <v>0</v>
      </c>
    </row>
    <row r="1544" spans="1:3" x14ac:dyDescent="0.25">
      <c r="A1544" s="48" t="s">
        <v>13066</v>
      </c>
      <c r="B1544" t="s">
        <v>13067</v>
      </c>
      <c r="C1544">
        <v>0</v>
      </c>
    </row>
    <row r="1545" spans="1:3" x14ac:dyDescent="0.25">
      <c r="A1545" s="48" t="s">
        <v>13076</v>
      </c>
      <c r="B1545" t="s">
        <v>13077</v>
      </c>
      <c r="C1545">
        <v>0</v>
      </c>
    </row>
    <row r="1546" spans="1:3" x14ac:dyDescent="0.25">
      <c r="A1546" s="48" t="s">
        <v>13086</v>
      </c>
      <c r="B1546" t="s">
        <v>13087</v>
      </c>
      <c r="C1546">
        <v>3</v>
      </c>
    </row>
    <row r="1547" spans="1:3" x14ac:dyDescent="0.25">
      <c r="A1547" s="48" t="s">
        <v>13104</v>
      </c>
      <c r="B1547" t="s">
        <v>13105</v>
      </c>
      <c r="C1547">
        <v>0</v>
      </c>
    </row>
    <row r="1548" spans="1:3" x14ac:dyDescent="0.25">
      <c r="A1548" s="48" t="s">
        <v>13202</v>
      </c>
      <c r="B1548" t="s">
        <v>13203</v>
      </c>
      <c r="C1548">
        <v>0</v>
      </c>
    </row>
    <row r="1549" spans="1:3" x14ac:dyDescent="0.25">
      <c r="A1549" s="48" t="s">
        <v>13190</v>
      </c>
      <c r="B1549" t="s">
        <v>13191</v>
      </c>
      <c r="C1549">
        <v>1</v>
      </c>
    </row>
    <row r="1550" spans="1:3" x14ac:dyDescent="0.25">
      <c r="A1550" s="48" t="s">
        <v>13220</v>
      </c>
      <c r="B1550" t="s">
        <v>13221</v>
      </c>
      <c r="C1550">
        <v>0</v>
      </c>
    </row>
    <row r="1551" spans="1:3" x14ac:dyDescent="0.25">
      <c r="A1551" s="48" t="s">
        <v>13252</v>
      </c>
      <c r="B1551" t="s">
        <v>13253</v>
      </c>
      <c r="C1551">
        <v>0</v>
      </c>
    </row>
    <row r="1552" spans="1:3" x14ac:dyDescent="0.25">
      <c r="A1552" s="48" t="s">
        <v>13258</v>
      </c>
      <c r="B1552" t="s">
        <v>13259</v>
      </c>
      <c r="C1552">
        <v>1</v>
      </c>
    </row>
    <row r="1553" spans="1:3" x14ac:dyDescent="0.25">
      <c r="A1553" s="48" t="s">
        <v>13264</v>
      </c>
      <c r="B1553" t="s">
        <v>13265</v>
      </c>
      <c r="C1553">
        <v>0</v>
      </c>
    </row>
    <row r="1554" spans="1:3" x14ac:dyDescent="0.25">
      <c r="A1554" s="48" t="s">
        <v>17490</v>
      </c>
      <c r="B1554" t="s">
        <v>20146</v>
      </c>
      <c r="C1554">
        <v>0</v>
      </c>
    </row>
    <row r="1555" spans="1:3" x14ac:dyDescent="0.25">
      <c r="A1555" s="48" t="s">
        <v>17498</v>
      </c>
      <c r="B1555" t="s">
        <v>20147</v>
      </c>
      <c r="C1555">
        <v>0</v>
      </c>
    </row>
    <row r="1556" spans="1:3" x14ac:dyDescent="0.25">
      <c r="A1556" s="48" t="s">
        <v>13062</v>
      </c>
      <c r="B1556" t="s">
        <v>13063</v>
      </c>
      <c r="C1556">
        <v>8</v>
      </c>
    </row>
    <row r="1557" spans="1:3" x14ac:dyDescent="0.25">
      <c r="A1557" s="48" t="s">
        <v>13064</v>
      </c>
      <c r="B1557" t="s">
        <v>13065</v>
      </c>
      <c r="C1557">
        <v>10</v>
      </c>
    </row>
    <row r="1558" spans="1:3" x14ac:dyDescent="0.25">
      <c r="A1558" s="48" t="s">
        <v>13072</v>
      </c>
      <c r="B1558" t="s">
        <v>13073</v>
      </c>
      <c r="C1558">
        <v>1</v>
      </c>
    </row>
    <row r="1559" spans="1:3" x14ac:dyDescent="0.25">
      <c r="A1559" s="48" t="s">
        <v>13078</v>
      </c>
      <c r="B1559" t="s">
        <v>13079</v>
      </c>
      <c r="C1559">
        <v>4</v>
      </c>
    </row>
    <row r="1560" spans="1:3" x14ac:dyDescent="0.25">
      <c r="A1560" s="48" t="s">
        <v>13080</v>
      </c>
      <c r="B1560" t="s">
        <v>13081</v>
      </c>
      <c r="C1560">
        <v>2</v>
      </c>
    </row>
    <row r="1561" spans="1:3" x14ac:dyDescent="0.25">
      <c r="A1561" s="48" t="s">
        <v>13106</v>
      </c>
      <c r="B1561" t="s">
        <v>13107</v>
      </c>
      <c r="C1561">
        <v>0</v>
      </c>
    </row>
    <row r="1562" spans="1:3" x14ac:dyDescent="0.25">
      <c r="A1562" s="48" t="s">
        <v>13114</v>
      </c>
      <c r="B1562" t="s">
        <v>13115</v>
      </c>
      <c r="C1562">
        <v>0</v>
      </c>
    </row>
    <row r="1563" spans="1:3" x14ac:dyDescent="0.25">
      <c r="A1563" s="48" t="s">
        <v>13204</v>
      </c>
      <c r="B1563" t="s">
        <v>13205</v>
      </c>
      <c r="C1563">
        <v>0</v>
      </c>
    </row>
    <row r="1564" spans="1:3" x14ac:dyDescent="0.25">
      <c r="A1564" s="48" t="s">
        <v>13206</v>
      </c>
      <c r="B1564" t="s">
        <v>13207</v>
      </c>
      <c r="C1564">
        <v>0</v>
      </c>
    </row>
    <row r="1565" spans="1:3" x14ac:dyDescent="0.25">
      <c r="A1565" s="48" t="s">
        <v>13210</v>
      </c>
      <c r="B1565" t="s">
        <v>13211</v>
      </c>
      <c r="C1565">
        <v>0</v>
      </c>
    </row>
    <row r="1566" spans="1:3" x14ac:dyDescent="0.25">
      <c r="A1566" s="48" t="s">
        <v>13212</v>
      </c>
      <c r="B1566" t="s">
        <v>13213</v>
      </c>
      <c r="C1566">
        <v>0</v>
      </c>
    </row>
    <row r="1567" spans="1:3" x14ac:dyDescent="0.25">
      <c r="A1567" s="48" t="s">
        <v>13226</v>
      </c>
      <c r="B1567" t="s">
        <v>13227</v>
      </c>
      <c r="C1567">
        <v>0</v>
      </c>
    </row>
    <row r="1568" spans="1:3" x14ac:dyDescent="0.25">
      <c r="A1568" s="48" t="s">
        <v>13228</v>
      </c>
      <c r="B1568" t="s">
        <v>13229</v>
      </c>
      <c r="C1568">
        <v>0</v>
      </c>
    </row>
    <row r="1569" spans="1:3" x14ac:dyDescent="0.25">
      <c r="A1569" s="48" t="s">
        <v>13230</v>
      </c>
      <c r="B1569" t="s">
        <v>13231</v>
      </c>
      <c r="C1569">
        <v>0</v>
      </c>
    </row>
    <row r="1570" spans="1:3" x14ac:dyDescent="0.25">
      <c r="A1570" s="48" t="s">
        <v>13238</v>
      </c>
      <c r="B1570" t="s">
        <v>13239</v>
      </c>
      <c r="C1570">
        <v>0</v>
      </c>
    </row>
    <row r="1571" spans="1:3" x14ac:dyDescent="0.25">
      <c r="A1571" s="48" t="s">
        <v>13240</v>
      </c>
      <c r="B1571" t="s">
        <v>13241</v>
      </c>
      <c r="C1571">
        <v>0</v>
      </c>
    </row>
    <row r="1572" spans="1:3" x14ac:dyDescent="0.25">
      <c r="A1572" s="48" t="s">
        <v>13242</v>
      </c>
      <c r="B1572" t="s">
        <v>13243</v>
      </c>
      <c r="C1572">
        <v>0</v>
      </c>
    </row>
    <row r="1573" spans="1:3" x14ac:dyDescent="0.25">
      <c r="A1573" s="48" t="s">
        <v>13246</v>
      </c>
      <c r="B1573" t="s">
        <v>13247</v>
      </c>
      <c r="C1573">
        <v>1</v>
      </c>
    </row>
    <row r="1574" spans="1:3" x14ac:dyDescent="0.25">
      <c r="A1574" s="48" t="s">
        <v>13256</v>
      </c>
      <c r="B1574" t="s">
        <v>13257</v>
      </c>
      <c r="C1574">
        <v>0</v>
      </c>
    </row>
    <row r="1575" spans="1:3" x14ac:dyDescent="0.25">
      <c r="A1575" s="48" t="s">
        <v>13250</v>
      </c>
      <c r="B1575" t="s">
        <v>13251</v>
      </c>
      <c r="C1575">
        <v>0</v>
      </c>
    </row>
    <row r="1576" spans="1:3" x14ac:dyDescent="0.25">
      <c r="A1576" s="48" t="s">
        <v>13260</v>
      </c>
      <c r="B1576" t="s">
        <v>13261</v>
      </c>
      <c r="C1576">
        <v>0</v>
      </c>
    </row>
    <row r="1577" spans="1:3" x14ac:dyDescent="0.25">
      <c r="A1577" s="48" t="s">
        <v>13262</v>
      </c>
      <c r="B1577" t="s">
        <v>13263</v>
      </c>
      <c r="C1577">
        <v>0</v>
      </c>
    </row>
    <row r="1578" spans="1:3" x14ac:dyDescent="0.25">
      <c r="A1578" s="48" t="s">
        <v>13266</v>
      </c>
      <c r="B1578" t="s">
        <v>13267</v>
      </c>
      <c r="C1578">
        <v>0</v>
      </c>
    </row>
    <row r="1579" spans="1:3" x14ac:dyDescent="0.25">
      <c r="A1579" s="48" t="s">
        <v>13060</v>
      </c>
      <c r="B1579" t="s">
        <v>13061</v>
      </c>
      <c r="C1579">
        <v>0</v>
      </c>
    </row>
    <row r="1580" spans="1:3" x14ac:dyDescent="0.25">
      <c r="A1580" s="48" t="s">
        <v>13058</v>
      </c>
      <c r="B1580" t="s">
        <v>13059</v>
      </c>
      <c r="C1580">
        <v>5</v>
      </c>
    </row>
    <row r="1581" spans="1:3" x14ac:dyDescent="0.25">
      <c r="A1581" s="48" t="s">
        <v>13068</v>
      </c>
      <c r="B1581" t="s">
        <v>13069</v>
      </c>
      <c r="C1581">
        <v>0</v>
      </c>
    </row>
    <row r="1582" spans="1:3" x14ac:dyDescent="0.25">
      <c r="A1582" s="48" t="s">
        <v>13070</v>
      </c>
      <c r="B1582" t="s">
        <v>13071</v>
      </c>
      <c r="C1582">
        <v>0</v>
      </c>
    </row>
    <row r="1583" spans="1:3" x14ac:dyDescent="0.25">
      <c r="A1583" s="48" t="s">
        <v>13090</v>
      </c>
      <c r="B1583" t="s">
        <v>13091</v>
      </c>
      <c r="C1583">
        <v>0</v>
      </c>
    </row>
    <row r="1584" spans="1:3" x14ac:dyDescent="0.25">
      <c r="A1584" s="48" t="s">
        <v>13140</v>
      </c>
      <c r="B1584" t="s">
        <v>13141</v>
      </c>
      <c r="C1584">
        <v>16</v>
      </c>
    </row>
    <row r="1585" spans="1:3" x14ac:dyDescent="0.25">
      <c r="A1585" s="48" t="s">
        <v>13154</v>
      </c>
      <c r="B1585" t="s">
        <v>13155</v>
      </c>
      <c r="C1585">
        <v>0</v>
      </c>
    </row>
    <row r="1586" spans="1:3" x14ac:dyDescent="0.25">
      <c r="A1586" s="48" t="s">
        <v>13162</v>
      </c>
      <c r="B1586" t="s">
        <v>13163</v>
      </c>
      <c r="C1586">
        <v>2</v>
      </c>
    </row>
    <row r="1587" spans="1:3" x14ac:dyDescent="0.25">
      <c r="A1587" s="48" t="s">
        <v>13172</v>
      </c>
      <c r="B1587" t="s">
        <v>13173</v>
      </c>
      <c r="C1587">
        <v>0</v>
      </c>
    </row>
    <row r="1588" spans="1:3" x14ac:dyDescent="0.25">
      <c r="A1588" s="48" t="s">
        <v>13180</v>
      </c>
      <c r="B1588" t="s">
        <v>13181</v>
      </c>
      <c r="C1588">
        <v>0</v>
      </c>
    </row>
    <row r="1589" spans="1:3" x14ac:dyDescent="0.25">
      <c r="A1589" s="48" t="s">
        <v>17446</v>
      </c>
      <c r="B1589" t="s">
        <v>20148</v>
      </c>
      <c r="C1589">
        <v>0</v>
      </c>
    </row>
    <row r="1590" spans="1:3" x14ac:dyDescent="0.25">
      <c r="A1590" s="48" t="s">
        <v>17871</v>
      </c>
      <c r="B1590" t="s">
        <v>20149</v>
      </c>
      <c r="C1590">
        <v>0</v>
      </c>
    </row>
    <row r="1591" spans="1:3" x14ac:dyDescent="0.25">
      <c r="A1591" s="48" t="s">
        <v>14240</v>
      </c>
      <c r="B1591" t="s">
        <v>20150</v>
      </c>
      <c r="C1591">
        <v>11</v>
      </c>
    </row>
    <row r="1592" spans="1:3" x14ac:dyDescent="0.25">
      <c r="A1592" s="48" t="s">
        <v>781</v>
      </c>
      <c r="B1592" t="s">
        <v>782</v>
      </c>
      <c r="C1592">
        <v>6</v>
      </c>
    </row>
    <row r="1593" spans="1:3" x14ac:dyDescent="0.25">
      <c r="A1593" s="48" t="s">
        <v>199</v>
      </c>
      <c r="B1593" t="s">
        <v>200</v>
      </c>
      <c r="C1593">
        <v>5</v>
      </c>
    </row>
    <row r="1594" spans="1:3" x14ac:dyDescent="0.25">
      <c r="A1594" s="48" t="s">
        <v>919</v>
      </c>
      <c r="B1594" t="s">
        <v>920</v>
      </c>
      <c r="C1594">
        <v>19</v>
      </c>
    </row>
    <row r="1595" spans="1:3" x14ac:dyDescent="0.25">
      <c r="A1595" s="48" t="s">
        <v>3382</v>
      </c>
      <c r="B1595" t="s">
        <v>3383</v>
      </c>
      <c r="C1595">
        <v>15</v>
      </c>
    </row>
    <row r="1596" spans="1:3" x14ac:dyDescent="0.25">
      <c r="A1596" s="48" t="s">
        <v>3380</v>
      </c>
      <c r="B1596" t="s">
        <v>20151</v>
      </c>
      <c r="C1596">
        <v>20</v>
      </c>
    </row>
    <row r="1597" spans="1:3" x14ac:dyDescent="0.25">
      <c r="A1597" s="48" t="s">
        <v>3384</v>
      </c>
      <c r="B1597" t="s">
        <v>3385</v>
      </c>
      <c r="C1597">
        <v>34</v>
      </c>
    </row>
    <row r="1598" spans="1:3" x14ac:dyDescent="0.25">
      <c r="A1598" s="48" t="s">
        <v>39</v>
      </c>
      <c r="B1598" t="s">
        <v>40</v>
      </c>
      <c r="C1598">
        <v>33</v>
      </c>
    </row>
    <row r="1599" spans="1:3" x14ac:dyDescent="0.25">
      <c r="A1599" s="48" t="s">
        <v>5891</v>
      </c>
      <c r="B1599" t="s">
        <v>5892</v>
      </c>
      <c r="C1599">
        <v>2</v>
      </c>
    </row>
    <row r="1600" spans="1:3" x14ac:dyDescent="0.25">
      <c r="A1600" s="48" t="s">
        <v>5889</v>
      </c>
      <c r="B1600" t="s">
        <v>20152</v>
      </c>
      <c r="C1600">
        <v>8</v>
      </c>
    </row>
    <row r="1601" spans="1:3" x14ac:dyDescent="0.25">
      <c r="A1601" s="48" t="s">
        <v>7314</v>
      </c>
      <c r="B1601" t="s">
        <v>7315</v>
      </c>
      <c r="C1601">
        <v>41</v>
      </c>
    </row>
    <row r="1602" spans="1:3" x14ac:dyDescent="0.25">
      <c r="A1602" s="48" t="s">
        <v>7316</v>
      </c>
      <c r="B1602" t="s">
        <v>7317</v>
      </c>
      <c r="C1602">
        <v>14</v>
      </c>
    </row>
    <row r="1603" spans="1:3" x14ac:dyDescent="0.25">
      <c r="A1603" s="48" t="s">
        <v>85</v>
      </c>
      <c r="B1603" t="s">
        <v>86</v>
      </c>
      <c r="C1603">
        <v>35</v>
      </c>
    </row>
    <row r="1604" spans="1:3" x14ac:dyDescent="0.25">
      <c r="A1604" s="48" t="s">
        <v>71</v>
      </c>
      <c r="B1604" t="s">
        <v>72</v>
      </c>
      <c r="C1604">
        <v>23</v>
      </c>
    </row>
    <row r="1605" spans="1:3" x14ac:dyDescent="0.25">
      <c r="A1605" s="48" t="s">
        <v>5972</v>
      </c>
      <c r="B1605" t="s">
        <v>5973</v>
      </c>
      <c r="C1605">
        <v>0</v>
      </c>
    </row>
    <row r="1606" spans="1:3" x14ac:dyDescent="0.25">
      <c r="A1606" s="48" t="s">
        <v>3551</v>
      </c>
      <c r="B1606" t="s">
        <v>20153</v>
      </c>
      <c r="C1606">
        <v>13</v>
      </c>
    </row>
    <row r="1607" spans="1:3" x14ac:dyDescent="0.25">
      <c r="A1607" s="48" t="s">
        <v>17076</v>
      </c>
      <c r="B1607" t="s">
        <v>17077</v>
      </c>
      <c r="C1607">
        <v>18</v>
      </c>
    </row>
    <row r="1608" spans="1:3" x14ac:dyDescent="0.25">
      <c r="A1608" s="48" t="s">
        <v>17074</v>
      </c>
      <c r="B1608" t="s">
        <v>17075</v>
      </c>
      <c r="C1608">
        <v>4</v>
      </c>
    </row>
    <row r="1609" spans="1:3" x14ac:dyDescent="0.25">
      <c r="A1609" s="48" t="s">
        <v>669</v>
      </c>
      <c r="B1609" t="s">
        <v>670</v>
      </c>
      <c r="C1609">
        <v>26</v>
      </c>
    </row>
    <row r="1610" spans="1:3" x14ac:dyDescent="0.25">
      <c r="A1610" s="48" t="s">
        <v>311</v>
      </c>
      <c r="B1610" t="s">
        <v>312</v>
      </c>
      <c r="C1610">
        <v>0</v>
      </c>
    </row>
    <row r="1611" spans="1:3" x14ac:dyDescent="0.25">
      <c r="A1611" s="48" t="s">
        <v>6208</v>
      </c>
      <c r="B1611" t="s">
        <v>20154</v>
      </c>
      <c r="C1611">
        <v>17</v>
      </c>
    </row>
    <row r="1612" spans="1:3" x14ac:dyDescent="0.25">
      <c r="A1612" s="48" t="s">
        <v>6212</v>
      </c>
      <c r="B1612" t="s">
        <v>6213</v>
      </c>
      <c r="C1612">
        <v>6</v>
      </c>
    </row>
    <row r="1613" spans="1:3" x14ac:dyDescent="0.25">
      <c r="A1613" s="48" t="s">
        <v>6198</v>
      </c>
      <c r="B1613" t="s">
        <v>20155</v>
      </c>
      <c r="C1613">
        <v>31</v>
      </c>
    </row>
    <row r="1614" spans="1:3" x14ac:dyDescent="0.25">
      <c r="A1614" s="48" t="s">
        <v>6200</v>
      </c>
      <c r="B1614" t="s">
        <v>6201</v>
      </c>
      <c r="C1614">
        <v>8</v>
      </c>
    </row>
    <row r="1615" spans="1:3" x14ac:dyDescent="0.25">
      <c r="A1615" s="48" t="s">
        <v>8179</v>
      </c>
      <c r="B1615" t="s">
        <v>20156</v>
      </c>
      <c r="C1615">
        <v>0</v>
      </c>
    </row>
    <row r="1616" spans="1:3" x14ac:dyDescent="0.25">
      <c r="A1616" s="48" t="s">
        <v>1715</v>
      </c>
      <c r="B1616" t="s">
        <v>1716</v>
      </c>
      <c r="C1616">
        <v>9</v>
      </c>
    </row>
    <row r="1617" spans="1:3" x14ac:dyDescent="0.25">
      <c r="A1617" s="48" t="s">
        <v>7394</v>
      </c>
      <c r="B1617" t="s">
        <v>7395</v>
      </c>
      <c r="C1617">
        <v>12</v>
      </c>
    </row>
    <row r="1618" spans="1:3" x14ac:dyDescent="0.25">
      <c r="A1618" s="48" t="s">
        <v>7388</v>
      </c>
      <c r="B1618" t="s">
        <v>20157</v>
      </c>
      <c r="C1618">
        <v>1</v>
      </c>
    </row>
    <row r="1619" spans="1:3" x14ac:dyDescent="0.25">
      <c r="A1619" s="48" t="s">
        <v>7448</v>
      </c>
      <c r="B1619" t="s">
        <v>7449</v>
      </c>
      <c r="C1619">
        <v>0</v>
      </c>
    </row>
    <row r="1620" spans="1:3" x14ac:dyDescent="0.25">
      <c r="A1620" s="48" t="s">
        <v>7444</v>
      </c>
      <c r="B1620" t="s">
        <v>7445</v>
      </c>
      <c r="C1620">
        <v>70</v>
      </c>
    </row>
    <row r="1621" spans="1:3" x14ac:dyDescent="0.25">
      <c r="A1621" s="48" t="s">
        <v>7428</v>
      </c>
      <c r="B1621" t="s">
        <v>7429</v>
      </c>
      <c r="C1621">
        <v>6</v>
      </c>
    </row>
    <row r="1622" spans="1:3" x14ac:dyDescent="0.25">
      <c r="A1622" s="48" t="s">
        <v>7436</v>
      </c>
      <c r="B1622" t="s">
        <v>7437</v>
      </c>
      <c r="C1622">
        <v>33</v>
      </c>
    </row>
    <row r="1623" spans="1:3" x14ac:dyDescent="0.25">
      <c r="A1623" s="48" t="s">
        <v>7452</v>
      </c>
      <c r="B1623" t="s">
        <v>7453</v>
      </c>
      <c r="C1623">
        <v>16</v>
      </c>
    </row>
    <row r="1624" spans="1:3" x14ac:dyDescent="0.25">
      <c r="A1624" s="48" t="s">
        <v>7422</v>
      </c>
      <c r="B1624" t="s">
        <v>7423</v>
      </c>
      <c r="C1624">
        <v>18</v>
      </c>
    </row>
    <row r="1625" spans="1:3" x14ac:dyDescent="0.25">
      <c r="A1625" s="48" t="s">
        <v>7432</v>
      </c>
      <c r="B1625" t="s">
        <v>7433</v>
      </c>
      <c r="C1625">
        <v>13</v>
      </c>
    </row>
    <row r="1626" spans="1:3" x14ac:dyDescent="0.25">
      <c r="A1626" s="48" t="s">
        <v>7456</v>
      </c>
      <c r="B1626" t="s">
        <v>7457</v>
      </c>
      <c r="C1626">
        <v>12</v>
      </c>
    </row>
    <row r="1627" spans="1:3" x14ac:dyDescent="0.25">
      <c r="A1627" s="48" t="s">
        <v>7440</v>
      </c>
      <c r="B1627" t="s">
        <v>7441</v>
      </c>
      <c r="C1627">
        <v>1</v>
      </c>
    </row>
    <row r="1628" spans="1:3" x14ac:dyDescent="0.25">
      <c r="A1628" s="48" t="s">
        <v>7412</v>
      </c>
      <c r="B1628" t="s">
        <v>7413</v>
      </c>
      <c r="C1628">
        <v>13</v>
      </c>
    </row>
    <row r="1629" spans="1:3" x14ac:dyDescent="0.25">
      <c r="A1629" s="48" t="s">
        <v>8597</v>
      </c>
      <c r="B1629" t="s">
        <v>8598</v>
      </c>
      <c r="C1629">
        <v>1</v>
      </c>
    </row>
    <row r="1630" spans="1:3" x14ac:dyDescent="0.25">
      <c r="A1630" s="48" t="s">
        <v>8612</v>
      </c>
      <c r="B1630" t="s">
        <v>20158</v>
      </c>
      <c r="C1630">
        <v>26</v>
      </c>
    </row>
    <row r="1631" spans="1:3" x14ac:dyDescent="0.25">
      <c r="A1631" s="48" t="s">
        <v>8608</v>
      </c>
      <c r="B1631" t="s">
        <v>20159</v>
      </c>
      <c r="C1631">
        <v>9</v>
      </c>
    </row>
    <row r="1632" spans="1:3" x14ac:dyDescent="0.25">
      <c r="A1632" s="48" t="s">
        <v>8614</v>
      </c>
      <c r="B1632" t="s">
        <v>8615</v>
      </c>
      <c r="C1632">
        <v>17</v>
      </c>
    </row>
    <row r="1633" spans="1:3" x14ac:dyDescent="0.25">
      <c r="A1633" s="48" t="s">
        <v>8599</v>
      </c>
      <c r="B1633" t="s">
        <v>8600</v>
      </c>
      <c r="C1633">
        <v>24</v>
      </c>
    </row>
    <row r="1634" spans="1:3" x14ac:dyDescent="0.25">
      <c r="A1634" s="48" t="s">
        <v>8595</v>
      </c>
      <c r="B1634" t="s">
        <v>20160</v>
      </c>
      <c r="C1634">
        <v>15</v>
      </c>
    </row>
    <row r="1635" spans="1:3" x14ac:dyDescent="0.25">
      <c r="A1635" s="48" t="s">
        <v>6218</v>
      </c>
      <c r="B1635" t="s">
        <v>6219</v>
      </c>
      <c r="C1635">
        <v>8</v>
      </c>
    </row>
    <row r="1636" spans="1:3" x14ac:dyDescent="0.25">
      <c r="A1636" s="48" t="s">
        <v>6214</v>
      </c>
      <c r="B1636" t="s">
        <v>20161</v>
      </c>
      <c r="C1636">
        <v>12</v>
      </c>
    </row>
    <row r="1637" spans="1:3" x14ac:dyDescent="0.25">
      <c r="A1637" s="48" t="s">
        <v>7267</v>
      </c>
      <c r="B1637" t="s">
        <v>7268</v>
      </c>
      <c r="C1637">
        <v>0</v>
      </c>
    </row>
    <row r="1638" spans="1:3" x14ac:dyDescent="0.25">
      <c r="A1638" s="48" t="s">
        <v>6194</v>
      </c>
      <c r="B1638" t="s">
        <v>6195</v>
      </c>
      <c r="C1638">
        <v>12</v>
      </c>
    </row>
    <row r="1639" spans="1:3" x14ac:dyDescent="0.25">
      <c r="A1639" s="48" t="s">
        <v>19308</v>
      </c>
      <c r="B1639" t="s">
        <v>19309</v>
      </c>
      <c r="C1639">
        <v>10</v>
      </c>
    </row>
    <row r="1640" spans="1:3" x14ac:dyDescent="0.25">
      <c r="A1640" s="48" t="s">
        <v>19306</v>
      </c>
      <c r="B1640" t="s">
        <v>20162</v>
      </c>
      <c r="C1640">
        <v>11</v>
      </c>
    </row>
    <row r="1641" spans="1:3" x14ac:dyDescent="0.25">
      <c r="A1641" s="48" t="s">
        <v>19314</v>
      </c>
      <c r="B1641" t="s">
        <v>20163</v>
      </c>
      <c r="C1641">
        <v>11</v>
      </c>
    </row>
    <row r="1642" spans="1:3" x14ac:dyDescent="0.25">
      <c r="A1642" s="48" t="s">
        <v>19318</v>
      </c>
      <c r="B1642" t="s">
        <v>19319</v>
      </c>
      <c r="C1642">
        <v>13</v>
      </c>
    </row>
    <row r="1643" spans="1:3" x14ac:dyDescent="0.25">
      <c r="A1643" s="48" t="s">
        <v>19285</v>
      </c>
      <c r="B1643" t="s">
        <v>20164</v>
      </c>
      <c r="C1643">
        <v>6</v>
      </c>
    </row>
    <row r="1644" spans="1:3" x14ac:dyDescent="0.25">
      <c r="A1644" s="48" t="s">
        <v>19287</v>
      </c>
      <c r="B1644" t="s">
        <v>19288</v>
      </c>
      <c r="C1644">
        <v>1</v>
      </c>
    </row>
    <row r="1645" spans="1:3" x14ac:dyDescent="0.25">
      <c r="A1645" s="48" t="s">
        <v>547</v>
      </c>
      <c r="B1645" t="s">
        <v>548</v>
      </c>
      <c r="C1645">
        <v>5</v>
      </c>
    </row>
    <row r="1646" spans="1:3" x14ac:dyDescent="0.25">
      <c r="A1646" s="48" t="s">
        <v>7340</v>
      </c>
      <c r="B1646" t="s">
        <v>20165</v>
      </c>
      <c r="C1646">
        <v>28</v>
      </c>
    </row>
    <row r="1647" spans="1:3" x14ac:dyDescent="0.25">
      <c r="A1647" s="48" t="s">
        <v>1687</v>
      </c>
      <c r="B1647" t="s">
        <v>1688</v>
      </c>
      <c r="C1647">
        <v>12</v>
      </c>
    </row>
    <row r="1648" spans="1:3" x14ac:dyDescent="0.25">
      <c r="A1648" s="48" t="s">
        <v>3548</v>
      </c>
      <c r="B1648" t="s">
        <v>3549</v>
      </c>
      <c r="C1648">
        <v>6</v>
      </c>
    </row>
    <row r="1649" spans="1:3" x14ac:dyDescent="0.25">
      <c r="A1649" s="48" t="s">
        <v>6190</v>
      </c>
      <c r="B1649" t="s">
        <v>20166</v>
      </c>
      <c r="C1649">
        <v>26</v>
      </c>
    </row>
    <row r="1650" spans="1:3" x14ac:dyDescent="0.25">
      <c r="A1650" s="48" t="s">
        <v>7202</v>
      </c>
      <c r="B1650" t="s">
        <v>7203</v>
      </c>
      <c r="C1650">
        <v>5</v>
      </c>
    </row>
    <row r="1651" spans="1:3" x14ac:dyDescent="0.25">
      <c r="A1651" s="48" t="s">
        <v>1597</v>
      </c>
      <c r="B1651" t="s">
        <v>1598</v>
      </c>
      <c r="C1651">
        <v>8</v>
      </c>
    </row>
    <row r="1652" spans="1:3" x14ac:dyDescent="0.25">
      <c r="A1652" s="48" t="s">
        <v>7283</v>
      </c>
      <c r="B1652" t="s">
        <v>7284</v>
      </c>
      <c r="C1652">
        <v>6</v>
      </c>
    </row>
    <row r="1653" spans="1:3" x14ac:dyDescent="0.25">
      <c r="A1653" s="48" t="s">
        <v>7458</v>
      </c>
      <c r="B1653" t="s">
        <v>7459</v>
      </c>
      <c r="C1653">
        <v>4</v>
      </c>
    </row>
    <row r="1654" spans="1:3" x14ac:dyDescent="0.25">
      <c r="A1654" s="48" t="s">
        <v>7438</v>
      </c>
      <c r="B1654" t="s">
        <v>7439</v>
      </c>
      <c r="C1654">
        <v>1</v>
      </c>
    </row>
    <row r="1655" spans="1:3" x14ac:dyDescent="0.25">
      <c r="A1655" s="48" t="s">
        <v>381</v>
      </c>
      <c r="B1655" t="s">
        <v>382</v>
      </c>
      <c r="C1655">
        <v>0</v>
      </c>
    </row>
    <row r="1656" spans="1:3" x14ac:dyDescent="0.25">
      <c r="A1656" s="48" t="s">
        <v>4962</v>
      </c>
      <c r="B1656" t="s">
        <v>4963</v>
      </c>
      <c r="C1656">
        <v>25</v>
      </c>
    </row>
    <row r="1657" spans="1:3" x14ac:dyDescent="0.25">
      <c r="A1657" s="48" t="s">
        <v>4960</v>
      </c>
      <c r="B1657" t="s">
        <v>4961</v>
      </c>
      <c r="C1657">
        <v>24</v>
      </c>
    </row>
    <row r="1658" spans="1:3" x14ac:dyDescent="0.25">
      <c r="A1658" s="48" t="s">
        <v>18939</v>
      </c>
      <c r="B1658" t="s">
        <v>18940</v>
      </c>
      <c r="C1658">
        <v>4</v>
      </c>
    </row>
    <row r="1659" spans="1:3" x14ac:dyDescent="0.25">
      <c r="A1659" s="48" t="s">
        <v>1213</v>
      </c>
      <c r="B1659" t="s">
        <v>1214</v>
      </c>
      <c r="C1659">
        <v>9</v>
      </c>
    </row>
    <row r="1660" spans="1:3" x14ac:dyDescent="0.25">
      <c r="A1660" s="48" t="s">
        <v>16668</v>
      </c>
      <c r="B1660" t="s">
        <v>20167</v>
      </c>
      <c r="C1660">
        <v>0</v>
      </c>
    </row>
    <row r="1661" spans="1:3" x14ac:dyDescent="0.25">
      <c r="A1661" s="48" t="s">
        <v>6371</v>
      </c>
      <c r="B1661" t="s">
        <v>6372</v>
      </c>
      <c r="C1661">
        <v>67</v>
      </c>
    </row>
    <row r="1662" spans="1:3" x14ac:dyDescent="0.25">
      <c r="A1662" s="48" t="s">
        <v>17354</v>
      </c>
      <c r="B1662" t="s">
        <v>17355</v>
      </c>
      <c r="C1662">
        <v>0</v>
      </c>
    </row>
    <row r="1663" spans="1:3" x14ac:dyDescent="0.25">
      <c r="A1663" s="48" t="s">
        <v>17358</v>
      </c>
      <c r="B1663" t="s">
        <v>17359</v>
      </c>
      <c r="C1663">
        <v>0</v>
      </c>
    </row>
    <row r="1664" spans="1:3" x14ac:dyDescent="0.25">
      <c r="A1664" s="48" t="s">
        <v>17360</v>
      </c>
      <c r="B1664" t="s">
        <v>17361</v>
      </c>
      <c r="C1664">
        <v>0</v>
      </c>
    </row>
    <row r="1665" spans="1:3" x14ac:dyDescent="0.25">
      <c r="A1665" s="48" t="s">
        <v>17362</v>
      </c>
      <c r="B1665" t="s">
        <v>17363</v>
      </c>
      <c r="C1665">
        <v>0</v>
      </c>
    </row>
    <row r="1666" spans="1:3" x14ac:dyDescent="0.25">
      <c r="A1666" s="48" t="s">
        <v>17356</v>
      </c>
      <c r="B1666" t="s">
        <v>17357</v>
      </c>
      <c r="C1666">
        <v>0</v>
      </c>
    </row>
    <row r="1667" spans="1:3" x14ac:dyDescent="0.25">
      <c r="A1667" s="48" t="s">
        <v>11372</v>
      </c>
      <c r="B1667" t="s">
        <v>11373</v>
      </c>
      <c r="C1667">
        <v>0</v>
      </c>
    </row>
    <row r="1668" spans="1:3" x14ac:dyDescent="0.25">
      <c r="A1668" s="48" t="s">
        <v>9484</v>
      </c>
      <c r="B1668" t="s">
        <v>9485</v>
      </c>
      <c r="C1668">
        <v>0</v>
      </c>
    </row>
    <row r="1669" spans="1:3" x14ac:dyDescent="0.25">
      <c r="A1669" s="48" t="s">
        <v>9482</v>
      </c>
      <c r="B1669" t="s">
        <v>9483</v>
      </c>
      <c r="C1669">
        <v>0</v>
      </c>
    </row>
    <row r="1670" spans="1:3" x14ac:dyDescent="0.25">
      <c r="A1670" s="48" t="s">
        <v>11410</v>
      </c>
      <c r="B1670" t="s">
        <v>11411</v>
      </c>
      <c r="C1670">
        <v>0</v>
      </c>
    </row>
    <row r="1671" spans="1:3" x14ac:dyDescent="0.25">
      <c r="A1671" s="48" t="s">
        <v>11396</v>
      </c>
      <c r="B1671" t="s">
        <v>11397</v>
      </c>
      <c r="C1671">
        <v>0</v>
      </c>
    </row>
    <row r="1672" spans="1:3" x14ac:dyDescent="0.25">
      <c r="A1672" s="48" t="s">
        <v>11508</v>
      </c>
      <c r="B1672" t="s">
        <v>11509</v>
      </c>
      <c r="C1672">
        <v>4</v>
      </c>
    </row>
    <row r="1673" spans="1:3" x14ac:dyDescent="0.25">
      <c r="A1673" s="48" t="s">
        <v>11354</v>
      </c>
      <c r="B1673" t="s">
        <v>11355</v>
      </c>
      <c r="C1673">
        <v>0</v>
      </c>
    </row>
    <row r="1674" spans="1:3" x14ac:dyDescent="0.25">
      <c r="A1674" s="48" t="s">
        <v>11370</v>
      </c>
      <c r="B1674" t="s">
        <v>11371</v>
      </c>
      <c r="C1674">
        <v>0</v>
      </c>
    </row>
    <row r="1675" spans="1:3" x14ac:dyDescent="0.25">
      <c r="A1675" s="48" t="s">
        <v>6883</v>
      </c>
      <c r="B1675" t="s">
        <v>6884</v>
      </c>
      <c r="C1675">
        <v>0</v>
      </c>
    </row>
    <row r="1676" spans="1:3" x14ac:dyDescent="0.25">
      <c r="A1676" s="48" t="s">
        <v>6412</v>
      </c>
      <c r="B1676" t="s">
        <v>20168</v>
      </c>
      <c r="C1676">
        <v>0</v>
      </c>
    </row>
    <row r="1677" spans="1:3" x14ac:dyDescent="0.25">
      <c r="A1677" s="48" t="s">
        <v>6408</v>
      </c>
      <c r="B1677" t="s">
        <v>6409</v>
      </c>
      <c r="C1677">
        <v>20</v>
      </c>
    </row>
    <row r="1678" spans="1:3" x14ac:dyDescent="0.25">
      <c r="A1678" s="48" t="s">
        <v>6410</v>
      </c>
      <c r="B1678" t="s">
        <v>6411</v>
      </c>
      <c r="C1678">
        <v>19</v>
      </c>
    </row>
    <row r="1679" spans="1:3" x14ac:dyDescent="0.25">
      <c r="A1679" s="48" t="s">
        <v>6406</v>
      </c>
      <c r="B1679" t="s">
        <v>20169</v>
      </c>
      <c r="C1679">
        <v>5</v>
      </c>
    </row>
    <row r="1680" spans="1:3" x14ac:dyDescent="0.25">
      <c r="A1680" s="48" t="s">
        <v>6002</v>
      </c>
      <c r="B1680" t="s">
        <v>20170</v>
      </c>
      <c r="C1680">
        <v>3</v>
      </c>
    </row>
    <row r="1681" spans="1:3" x14ac:dyDescent="0.25">
      <c r="A1681" s="48" t="s">
        <v>11340</v>
      </c>
      <c r="B1681" t="s">
        <v>11341</v>
      </c>
      <c r="C1681">
        <v>0</v>
      </c>
    </row>
    <row r="1682" spans="1:3" x14ac:dyDescent="0.25">
      <c r="A1682" s="48" t="s">
        <v>11358</v>
      </c>
      <c r="B1682" t="s">
        <v>11359</v>
      </c>
      <c r="C1682">
        <v>0</v>
      </c>
    </row>
    <row r="1683" spans="1:3" x14ac:dyDescent="0.25">
      <c r="A1683" s="48" t="s">
        <v>11772</v>
      </c>
      <c r="B1683" t="s">
        <v>20171</v>
      </c>
      <c r="C1683">
        <v>8</v>
      </c>
    </row>
    <row r="1684" spans="1:3" x14ac:dyDescent="0.25">
      <c r="A1684" s="48" t="s">
        <v>11342</v>
      </c>
      <c r="B1684" t="s">
        <v>11343</v>
      </c>
      <c r="C1684">
        <v>0</v>
      </c>
    </row>
    <row r="1685" spans="1:3" x14ac:dyDescent="0.25">
      <c r="A1685" s="48" t="s">
        <v>11360</v>
      </c>
      <c r="B1685" t="s">
        <v>11361</v>
      </c>
      <c r="C1685">
        <v>0</v>
      </c>
    </row>
    <row r="1686" spans="1:3" x14ac:dyDescent="0.25">
      <c r="A1686" s="48" t="s">
        <v>11774</v>
      </c>
      <c r="B1686" t="s">
        <v>20172</v>
      </c>
      <c r="C1686">
        <v>5</v>
      </c>
    </row>
    <row r="1687" spans="1:3" x14ac:dyDescent="0.25">
      <c r="A1687" s="48" t="s">
        <v>11776</v>
      </c>
      <c r="B1687" t="s">
        <v>20173</v>
      </c>
      <c r="C1687">
        <v>9</v>
      </c>
    </row>
    <row r="1688" spans="1:3" x14ac:dyDescent="0.25">
      <c r="A1688" s="48" t="s">
        <v>11530</v>
      </c>
      <c r="B1688" t="s">
        <v>11531</v>
      </c>
      <c r="C1688">
        <v>3</v>
      </c>
    </row>
    <row r="1689" spans="1:3" x14ac:dyDescent="0.25">
      <c r="A1689" s="48" t="s">
        <v>11532</v>
      </c>
      <c r="B1689" t="s">
        <v>11533</v>
      </c>
      <c r="C1689">
        <v>3</v>
      </c>
    </row>
    <row r="1690" spans="1:3" x14ac:dyDescent="0.25">
      <c r="A1690" s="48" t="s">
        <v>11526</v>
      </c>
      <c r="B1690" t="s">
        <v>20174</v>
      </c>
      <c r="C1690">
        <v>3</v>
      </c>
    </row>
    <row r="1691" spans="1:3" x14ac:dyDescent="0.25">
      <c r="A1691" s="48" t="s">
        <v>11534</v>
      </c>
      <c r="B1691" t="s">
        <v>11535</v>
      </c>
      <c r="C1691">
        <v>10</v>
      </c>
    </row>
    <row r="1692" spans="1:3" x14ac:dyDescent="0.25">
      <c r="A1692" s="48" t="s">
        <v>11528</v>
      </c>
      <c r="B1692" t="s">
        <v>11529</v>
      </c>
      <c r="C1692">
        <v>9</v>
      </c>
    </row>
    <row r="1693" spans="1:3" x14ac:dyDescent="0.25">
      <c r="A1693" s="48" t="s">
        <v>11446</v>
      </c>
      <c r="B1693" t="s">
        <v>11447</v>
      </c>
      <c r="C1693">
        <v>2</v>
      </c>
    </row>
    <row r="1694" spans="1:3" x14ac:dyDescent="0.25">
      <c r="A1694" s="48" t="s">
        <v>5651</v>
      </c>
      <c r="B1694" t="s">
        <v>5652</v>
      </c>
      <c r="C1694">
        <v>0</v>
      </c>
    </row>
    <row r="1695" spans="1:3" x14ac:dyDescent="0.25">
      <c r="A1695" s="48" t="s">
        <v>2741</v>
      </c>
      <c r="B1695" t="s">
        <v>20175</v>
      </c>
      <c r="C1695">
        <v>51</v>
      </c>
    </row>
    <row r="1696" spans="1:3" x14ac:dyDescent="0.25">
      <c r="A1696" s="48" t="s">
        <v>2743</v>
      </c>
      <c r="B1696" t="s">
        <v>2744</v>
      </c>
      <c r="C1696">
        <v>45</v>
      </c>
    </row>
    <row r="1697" spans="1:3" x14ac:dyDescent="0.25">
      <c r="A1697" s="48" t="s">
        <v>2745</v>
      </c>
      <c r="B1697" t="s">
        <v>2746</v>
      </c>
      <c r="C1697">
        <v>20</v>
      </c>
    </row>
    <row r="1698" spans="1:3" x14ac:dyDescent="0.25">
      <c r="A1698" s="48" t="s">
        <v>2747</v>
      </c>
      <c r="B1698" t="s">
        <v>2748</v>
      </c>
      <c r="C1698">
        <v>49</v>
      </c>
    </row>
    <row r="1699" spans="1:3" x14ac:dyDescent="0.25">
      <c r="A1699" s="48" t="s">
        <v>2749</v>
      </c>
      <c r="B1699" t="s">
        <v>2750</v>
      </c>
      <c r="C1699">
        <v>67</v>
      </c>
    </row>
    <row r="1700" spans="1:3" x14ac:dyDescent="0.25">
      <c r="A1700" s="48" t="s">
        <v>2751</v>
      </c>
      <c r="B1700" t="s">
        <v>2752</v>
      </c>
      <c r="C1700">
        <v>0</v>
      </c>
    </row>
    <row r="1701" spans="1:3" x14ac:dyDescent="0.25">
      <c r="A1701" s="48" t="s">
        <v>7754</v>
      </c>
      <c r="B1701" t="s">
        <v>7755</v>
      </c>
      <c r="C1701">
        <v>0</v>
      </c>
    </row>
    <row r="1702" spans="1:3" x14ac:dyDescent="0.25">
      <c r="A1702" s="48" t="s">
        <v>12313</v>
      </c>
      <c r="B1702" t="s">
        <v>12314</v>
      </c>
      <c r="C1702">
        <v>29</v>
      </c>
    </row>
    <row r="1703" spans="1:3" x14ac:dyDescent="0.25">
      <c r="A1703" s="48" t="s">
        <v>17470</v>
      </c>
      <c r="B1703" t="s">
        <v>20176</v>
      </c>
      <c r="C1703">
        <v>0</v>
      </c>
    </row>
    <row r="1704" spans="1:3" x14ac:dyDescent="0.25">
      <c r="A1704" s="48" t="s">
        <v>17570</v>
      </c>
      <c r="B1704" t="s">
        <v>20177</v>
      </c>
      <c r="C1704">
        <v>15</v>
      </c>
    </row>
    <row r="1705" spans="1:3" x14ac:dyDescent="0.25">
      <c r="A1705" s="48" t="s">
        <v>11444</v>
      </c>
      <c r="B1705" t="s">
        <v>20178</v>
      </c>
      <c r="C1705">
        <v>0</v>
      </c>
    </row>
    <row r="1706" spans="1:3" x14ac:dyDescent="0.25">
      <c r="A1706" s="48" t="s">
        <v>11442</v>
      </c>
      <c r="B1706" t="s">
        <v>20179</v>
      </c>
      <c r="C1706">
        <v>3</v>
      </c>
    </row>
    <row r="1707" spans="1:3" x14ac:dyDescent="0.25">
      <c r="A1707" s="48" t="s">
        <v>11674</v>
      </c>
      <c r="B1707" t="s">
        <v>11675</v>
      </c>
      <c r="C1707">
        <v>31</v>
      </c>
    </row>
    <row r="1708" spans="1:3" x14ac:dyDescent="0.25">
      <c r="A1708" s="48" t="s">
        <v>11676</v>
      </c>
      <c r="B1708" t="s">
        <v>11677</v>
      </c>
      <c r="C1708">
        <v>9</v>
      </c>
    </row>
    <row r="1709" spans="1:3" x14ac:dyDescent="0.25">
      <c r="A1709" s="48" t="s">
        <v>11678</v>
      </c>
      <c r="B1709" t="s">
        <v>11679</v>
      </c>
      <c r="C1709">
        <v>14</v>
      </c>
    </row>
    <row r="1710" spans="1:3" x14ac:dyDescent="0.25">
      <c r="A1710" s="48" t="s">
        <v>11680</v>
      </c>
      <c r="B1710" t="s">
        <v>11681</v>
      </c>
      <c r="C1710">
        <v>13</v>
      </c>
    </row>
    <row r="1711" spans="1:3" x14ac:dyDescent="0.25">
      <c r="A1711" s="48" t="s">
        <v>11682</v>
      </c>
      <c r="B1711" t="s">
        <v>11683</v>
      </c>
      <c r="C1711">
        <v>9</v>
      </c>
    </row>
    <row r="1712" spans="1:3" x14ac:dyDescent="0.25">
      <c r="A1712" s="48" t="s">
        <v>11684</v>
      </c>
      <c r="B1712" t="s">
        <v>11685</v>
      </c>
      <c r="C1712">
        <v>31</v>
      </c>
    </row>
    <row r="1713" spans="1:3" x14ac:dyDescent="0.25">
      <c r="A1713" s="48" t="s">
        <v>11714</v>
      </c>
      <c r="B1713" t="s">
        <v>11715</v>
      </c>
      <c r="C1713">
        <v>11</v>
      </c>
    </row>
    <row r="1714" spans="1:3" x14ac:dyDescent="0.25">
      <c r="A1714" s="48" t="s">
        <v>11722</v>
      </c>
      <c r="B1714" t="s">
        <v>11723</v>
      </c>
      <c r="C1714">
        <v>3</v>
      </c>
    </row>
    <row r="1715" spans="1:3" x14ac:dyDescent="0.25">
      <c r="A1715" s="48" t="s">
        <v>11658</v>
      </c>
      <c r="B1715" t="s">
        <v>11659</v>
      </c>
      <c r="C1715">
        <v>0</v>
      </c>
    </row>
    <row r="1716" spans="1:3" x14ac:dyDescent="0.25">
      <c r="A1716" s="48" t="s">
        <v>11660</v>
      </c>
      <c r="B1716" t="s">
        <v>11661</v>
      </c>
      <c r="C1716">
        <v>15</v>
      </c>
    </row>
    <row r="1717" spans="1:3" x14ac:dyDescent="0.25">
      <c r="A1717" s="48" t="s">
        <v>11672</v>
      </c>
      <c r="B1717" t="s">
        <v>11673</v>
      </c>
      <c r="C1717">
        <v>31</v>
      </c>
    </row>
    <row r="1718" spans="1:3" x14ac:dyDescent="0.25">
      <c r="A1718" s="48" t="s">
        <v>11666</v>
      </c>
      <c r="B1718" t="s">
        <v>11667</v>
      </c>
      <c r="C1718">
        <v>18</v>
      </c>
    </row>
    <row r="1719" spans="1:3" x14ac:dyDescent="0.25">
      <c r="A1719" s="48" t="s">
        <v>14491</v>
      </c>
      <c r="B1719" t="s">
        <v>20180</v>
      </c>
      <c r="C1719">
        <v>11</v>
      </c>
    </row>
    <row r="1720" spans="1:3" x14ac:dyDescent="0.25">
      <c r="A1720" s="48" t="s">
        <v>11384</v>
      </c>
      <c r="B1720" t="s">
        <v>11385</v>
      </c>
      <c r="C1720">
        <v>49</v>
      </c>
    </row>
    <row r="1721" spans="1:3" x14ac:dyDescent="0.25">
      <c r="A1721" s="48" t="s">
        <v>11376</v>
      </c>
      <c r="B1721" t="s">
        <v>11377</v>
      </c>
      <c r="C1721">
        <v>24</v>
      </c>
    </row>
    <row r="1722" spans="1:3" x14ac:dyDescent="0.25">
      <c r="A1722" s="48" t="s">
        <v>11392</v>
      </c>
      <c r="B1722" t="s">
        <v>11393</v>
      </c>
      <c r="C1722">
        <v>11</v>
      </c>
    </row>
    <row r="1723" spans="1:3" x14ac:dyDescent="0.25">
      <c r="A1723" s="48" t="s">
        <v>11388</v>
      </c>
      <c r="B1723" t="s">
        <v>11389</v>
      </c>
      <c r="C1723">
        <v>0</v>
      </c>
    </row>
    <row r="1724" spans="1:3" x14ac:dyDescent="0.25">
      <c r="A1724" s="48" t="s">
        <v>5615</v>
      </c>
      <c r="B1724" t="s">
        <v>20181</v>
      </c>
      <c r="C1724">
        <v>6</v>
      </c>
    </row>
    <row r="1725" spans="1:3" x14ac:dyDescent="0.25">
      <c r="A1725" s="48" t="s">
        <v>5653</v>
      </c>
      <c r="B1725" t="s">
        <v>20182</v>
      </c>
      <c r="C1725">
        <v>13</v>
      </c>
    </row>
    <row r="1726" spans="1:3" x14ac:dyDescent="0.25">
      <c r="A1726" s="48" t="s">
        <v>3052</v>
      </c>
      <c r="B1726" t="s">
        <v>3053</v>
      </c>
      <c r="C1726">
        <v>20</v>
      </c>
    </row>
    <row r="1727" spans="1:3" x14ac:dyDescent="0.25">
      <c r="A1727" s="48" t="s">
        <v>11790</v>
      </c>
      <c r="B1727" t="s">
        <v>11791</v>
      </c>
      <c r="C1727">
        <v>29</v>
      </c>
    </row>
    <row r="1728" spans="1:3" x14ac:dyDescent="0.25">
      <c r="A1728" s="48" t="s">
        <v>11792</v>
      </c>
      <c r="B1728" t="s">
        <v>11793</v>
      </c>
      <c r="C1728">
        <v>13</v>
      </c>
    </row>
    <row r="1729" spans="1:3" x14ac:dyDescent="0.25">
      <c r="A1729" s="48" t="s">
        <v>11794</v>
      </c>
      <c r="B1729" t="s">
        <v>11795</v>
      </c>
      <c r="C1729">
        <v>12</v>
      </c>
    </row>
    <row r="1730" spans="1:3" x14ac:dyDescent="0.25">
      <c r="A1730" s="48" t="s">
        <v>11752</v>
      </c>
      <c r="B1730" t="s">
        <v>11753</v>
      </c>
      <c r="C1730">
        <v>9</v>
      </c>
    </row>
    <row r="1731" spans="1:3" x14ac:dyDescent="0.25">
      <c r="A1731" s="48" t="s">
        <v>11400</v>
      </c>
      <c r="B1731" t="s">
        <v>20183</v>
      </c>
      <c r="C1731">
        <v>0</v>
      </c>
    </row>
    <row r="1732" spans="1:3" x14ac:dyDescent="0.25">
      <c r="A1732" s="48" t="s">
        <v>5643</v>
      </c>
      <c r="B1732" t="s">
        <v>5644</v>
      </c>
      <c r="C1732">
        <v>1</v>
      </c>
    </row>
    <row r="1733" spans="1:3" x14ac:dyDescent="0.25">
      <c r="A1733" s="48" t="s">
        <v>5617</v>
      </c>
      <c r="B1733" t="s">
        <v>5618</v>
      </c>
      <c r="C1733">
        <v>3</v>
      </c>
    </row>
    <row r="1734" spans="1:3" x14ac:dyDescent="0.25">
      <c r="A1734" s="48" t="s">
        <v>9541</v>
      </c>
      <c r="B1734" t="s">
        <v>9542</v>
      </c>
      <c r="C1734">
        <v>0</v>
      </c>
    </row>
    <row r="1735" spans="1:3" x14ac:dyDescent="0.25">
      <c r="A1735" s="48" t="s">
        <v>5665</v>
      </c>
      <c r="B1735" t="s">
        <v>20184</v>
      </c>
      <c r="C1735">
        <v>0</v>
      </c>
    </row>
    <row r="1736" spans="1:3" x14ac:dyDescent="0.25">
      <c r="A1736" s="48" t="s">
        <v>5667</v>
      </c>
      <c r="B1736" t="s">
        <v>5668</v>
      </c>
      <c r="C1736">
        <v>0</v>
      </c>
    </row>
    <row r="1737" spans="1:3" x14ac:dyDescent="0.25">
      <c r="A1737" s="48" t="s">
        <v>5669</v>
      </c>
      <c r="B1737" t="s">
        <v>5670</v>
      </c>
      <c r="C1737">
        <v>0</v>
      </c>
    </row>
    <row r="1738" spans="1:3" x14ac:dyDescent="0.25">
      <c r="A1738" s="48" t="s">
        <v>5671</v>
      </c>
      <c r="B1738" t="s">
        <v>20185</v>
      </c>
      <c r="C1738">
        <v>0</v>
      </c>
    </row>
    <row r="1739" spans="1:3" x14ac:dyDescent="0.25">
      <c r="A1739" s="48" t="s">
        <v>5673</v>
      </c>
      <c r="B1739" t="s">
        <v>5674</v>
      </c>
      <c r="C1739">
        <v>0</v>
      </c>
    </row>
    <row r="1740" spans="1:3" x14ac:dyDescent="0.25">
      <c r="A1740" s="48" t="s">
        <v>14312</v>
      </c>
      <c r="B1740" t="s">
        <v>14313</v>
      </c>
      <c r="C1740">
        <v>4</v>
      </c>
    </row>
    <row r="1741" spans="1:3" x14ac:dyDescent="0.25">
      <c r="A1741" s="48" t="s">
        <v>19040</v>
      </c>
      <c r="B1741" t="s">
        <v>19041</v>
      </c>
      <c r="C1741">
        <v>0</v>
      </c>
    </row>
    <row r="1742" spans="1:3" x14ac:dyDescent="0.25">
      <c r="A1742" s="48" t="s">
        <v>5719</v>
      </c>
      <c r="B1742" t="s">
        <v>20186</v>
      </c>
      <c r="C1742">
        <v>0</v>
      </c>
    </row>
    <row r="1743" spans="1:3" x14ac:dyDescent="0.25">
      <c r="A1743" s="48" t="s">
        <v>5717</v>
      </c>
      <c r="B1743" t="s">
        <v>20187</v>
      </c>
      <c r="C1743">
        <v>0</v>
      </c>
    </row>
    <row r="1744" spans="1:3" x14ac:dyDescent="0.25">
      <c r="A1744" s="48" t="s">
        <v>5657</v>
      </c>
      <c r="B1744" t="s">
        <v>5658</v>
      </c>
      <c r="C1744">
        <v>3</v>
      </c>
    </row>
    <row r="1745" spans="1:3" x14ac:dyDescent="0.25">
      <c r="A1745" s="48" t="s">
        <v>5733</v>
      </c>
      <c r="B1745" t="s">
        <v>5734</v>
      </c>
      <c r="C1745">
        <v>0</v>
      </c>
    </row>
    <row r="1746" spans="1:3" x14ac:dyDescent="0.25">
      <c r="A1746" s="48" t="s">
        <v>5729</v>
      </c>
      <c r="B1746" t="s">
        <v>5730</v>
      </c>
      <c r="C1746">
        <v>0</v>
      </c>
    </row>
    <row r="1747" spans="1:3" x14ac:dyDescent="0.25">
      <c r="A1747" s="48" t="s">
        <v>5727</v>
      </c>
      <c r="B1747" t="s">
        <v>5728</v>
      </c>
      <c r="C1747">
        <v>0</v>
      </c>
    </row>
    <row r="1748" spans="1:3" x14ac:dyDescent="0.25">
      <c r="A1748" s="48" t="s">
        <v>5725</v>
      </c>
      <c r="B1748" t="s">
        <v>5726</v>
      </c>
      <c r="C1748">
        <v>4</v>
      </c>
    </row>
    <row r="1749" spans="1:3" x14ac:dyDescent="0.25">
      <c r="A1749" s="48" t="s">
        <v>5731</v>
      </c>
      <c r="B1749" t="s">
        <v>5732</v>
      </c>
      <c r="C1749">
        <v>0</v>
      </c>
    </row>
    <row r="1750" spans="1:3" x14ac:dyDescent="0.25">
      <c r="A1750" s="48" t="s">
        <v>12465</v>
      </c>
      <c r="B1750" t="s">
        <v>20188</v>
      </c>
      <c r="C1750">
        <v>0</v>
      </c>
    </row>
    <row r="1751" spans="1:3" x14ac:dyDescent="0.25">
      <c r="A1751" s="48" t="s">
        <v>5319</v>
      </c>
      <c r="B1751" t="s">
        <v>20189</v>
      </c>
      <c r="C1751">
        <v>0</v>
      </c>
    </row>
    <row r="1752" spans="1:3" x14ac:dyDescent="0.25">
      <c r="A1752" s="48" t="s">
        <v>5323</v>
      </c>
      <c r="B1752" t="s">
        <v>20190</v>
      </c>
      <c r="C1752">
        <v>0</v>
      </c>
    </row>
    <row r="1753" spans="1:3" x14ac:dyDescent="0.25">
      <c r="A1753" s="48" t="s">
        <v>5313</v>
      </c>
      <c r="B1753" t="s">
        <v>20191</v>
      </c>
      <c r="C1753">
        <v>0</v>
      </c>
    </row>
    <row r="1754" spans="1:3" x14ac:dyDescent="0.25">
      <c r="A1754" s="48" t="s">
        <v>5321</v>
      </c>
      <c r="B1754" t="s">
        <v>5322</v>
      </c>
      <c r="C1754">
        <v>0</v>
      </c>
    </row>
    <row r="1755" spans="1:3" x14ac:dyDescent="0.25">
      <c r="A1755" s="48" t="s">
        <v>11978</v>
      </c>
      <c r="B1755" t="s">
        <v>20192</v>
      </c>
      <c r="C1755">
        <v>2</v>
      </c>
    </row>
    <row r="1756" spans="1:3" x14ac:dyDescent="0.25">
      <c r="A1756" s="48" t="s">
        <v>8469</v>
      </c>
      <c r="B1756" t="s">
        <v>20193</v>
      </c>
      <c r="C1756">
        <v>1</v>
      </c>
    </row>
    <row r="1757" spans="1:3" x14ac:dyDescent="0.25">
      <c r="A1757" s="48" t="s">
        <v>17004</v>
      </c>
      <c r="B1757" t="s">
        <v>20194</v>
      </c>
      <c r="C1757">
        <v>5</v>
      </c>
    </row>
    <row r="1758" spans="1:3" x14ac:dyDescent="0.25">
      <c r="A1758" s="48" t="s">
        <v>16984</v>
      </c>
      <c r="B1758" t="s">
        <v>20195</v>
      </c>
      <c r="C1758">
        <v>1</v>
      </c>
    </row>
    <row r="1759" spans="1:3" x14ac:dyDescent="0.25">
      <c r="A1759" s="48" t="s">
        <v>17000</v>
      </c>
      <c r="B1759" t="s">
        <v>20196</v>
      </c>
      <c r="C1759">
        <v>1</v>
      </c>
    </row>
    <row r="1760" spans="1:3" x14ac:dyDescent="0.25">
      <c r="A1760" s="48" t="s">
        <v>14658</v>
      </c>
      <c r="B1760" t="s">
        <v>20197</v>
      </c>
      <c r="C1760">
        <v>0</v>
      </c>
    </row>
    <row r="1761" spans="1:3" x14ac:dyDescent="0.25">
      <c r="A1761" s="48" t="s">
        <v>14656</v>
      </c>
      <c r="B1761" t="s">
        <v>22900</v>
      </c>
      <c r="C1761">
        <v>3</v>
      </c>
    </row>
    <row r="1762" spans="1:3" x14ac:dyDescent="0.25">
      <c r="A1762" s="48" t="s">
        <v>8369</v>
      </c>
      <c r="B1762" t="s">
        <v>20198</v>
      </c>
      <c r="C1762">
        <v>0</v>
      </c>
    </row>
    <row r="1763" spans="1:3" x14ac:dyDescent="0.25">
      <c r="A1763" s="48" t="s">
        <v>8367</v>
      </c>
      <c r="B1763" t="s">
        <v>20199</v>
      </c>
      <c r="C1763">
        <v>0</v>
      </c>
    </row>
    <row r="1764" spans="1:3" x14ac:dyDescent="0.25">
      <c r="A1764" s="48" t="s">
        <v>13609</v>
      </c>
      <c r="B1764" t="s">
        <v>13610</v>
      </c>
      <c r="C1764">
        <v>0</v>
      </c>
    </row>
    <row r="1765" spans="1:3" x14ac:dyDescent="0.25">
      <c r="A1765" s="48" t="s">
        <v>11472</v>
      </c>
      <c r="B1765" t="s">
        <v>11473</v>
      </c>
      <c r="C1765">
        <v>0</v>
      </c>
    </row>
    <row r="1766" spans="1:3" x14ac:dyDescent="0.25">
      <c r="A1766" s="48" t="s">
        <v>11470</v>
      </c>
      <c r="B1766" t="s">
        <v>11471</v>
      </c>
      <c r="C1766">
        <v>0</v>
      </c>
    </row>
    <row r="1767" spans="1:3" x14ac:dyDescent="0.25">
      <c r="A1767" s="48" t="s">
        <v>5735</v>
      </c>
      <c r="B1767" t="s">
        <v>5736</v>
      </c>
      <c r="C1767">
        <v>16</v>
      </c>
    </row>
    <row r="1768" spans="1:3" x14ac:dyDescent="0.25">
      <c r="A1768" s="48" t="s">
        <v>5737</v>
      </c>
      <c r="B1768" t="s">
        <v>5738</v>
      </c>
      <c r="C1768">
        <v>43</v>
      </c>
    </row>
    <row r="1769" spans="1:3" x14ac:dyDescent="0.25">
      <c r="A1769" s="48" t="s">
        <v>11452</v>
      </c>
      <c r="B1769" t="s">
        <v>11453</v>
      </c>
      <c r="C1769">
        <v>7</v>
      </c>
    </row>
    <row r="1770" spans="1:3" x14ac:dyDescent="0.25">
      <c r="A1770" s="48" t="s">
        <v>5713</v>
      </c>
      <c r="B1770" t="s">
        <v>5714</v>
      </c>
      <c r="C1770">
        <v>0</v>
      </c>
    </row>
    <row r="1771" spans="1:3" x14ac:dyDescent="0.25">
      <c r="A1771" s="48" t="s">
        <v>11488</v>
      </c>
      <c r="B1771" t="s">
        <v>11489</v>
      </c>
      <c r="C1771">
        <v>1</v>
      </c>
    </row>
    <row r="1772" spans="1:3" x14ac:dyDescent="0.25">
      <c r="A1772" s="48" t="s">
        <v>11726</v>
      </c>
      <c r="B1772" t="s">
        <v>11727</v>
      </c>
      <c r="C1772">
        <v>31</v>
      </c>
    </row>
    <row r="1773" spans="1:3" x14ac:dyDescent="0.25">
      <c r="A1773" s="48" t="s">
        <v>11482</v>
      </c>
      <c r="B1773" t="s">
        <v>11483</v>
      </c>
      <c r="C1773">
        <v>0</v>
      </c>
    </row>
    <row r="1774" spans="1:3" x14ac:dyDescent="0.25">
      <c r="A1774" s="48" t="s">
        <v>11480</v>
      </c>
      <c r="B1774" t="s">
        <v>11481</v>
      </c>
      <c r="C1774">
        <v>0</v>
      </c>
    </row>
    <row r="1775" spans="1:3" x14ac:dyDescent="0.25">
      <c r="A1775" s="48" t="s">
        <v>5687</v>
      </c>
      <c r="B1775" t="s">
        <v>5688</v>
      </c>
      <c r="C1775">
        <v>2</v>
      </c>
    </row>
    <row r="1776" spans="1:3" x14ac:dyDescent="0.25">
      <c r="A1776" s="48" t="s">
        <v>5689</v>
      </c>
      <c r="B1776" t="s">
        <v>5690</v>
      </c>
      <c r="C1776">
        <v>0</v>
      </c>
    </row>
    <row r="1777" spans="1:3" x14ac:dyDescent="0.25">
      <c r="A1777" s="48" t="s">
        <v>11380</v>
      </c>
      <c r="B1777" t="s">
        <v>11381</v>
      </c>
      <c r="C1777">
        <v>54</v>
      </c>
    </row>
    <row r="1778" spans="1:3" x14ac:dyDescent="0.25">
      <c r="A1778" s="48" t="s">
        <v>4594</v>
      </c>
      <c r="B1778" t="s">
        <v>20200</v>
      </c>
      <c r="C1778">
        <v>0</v>
      </c>
    </row>
    <row r="1779" spans="1:3" x14ac:dyDescent="0.25">
      <c r="A1779" s="48" t="s">
        <v>15030</v>
      </c>
      <c r="B1779" t="s">
        <v>15031</v>
      </c>
      <c r="C1779">
        <v>20</v>
      </c>
    </row>
    <row r="1780" spans="1:3" x14ac:dyDescent="0.25">
      <c r="A1780" s="48" t="s">
        <v>18931</v>
      </c>
      <c r="B1780" t="s">
        <v>18932</v>
      </c>
      <c r="C1780">
        <v>33</v>
      </c>
    </row>
    <row r="1781" spans="1:3" x14ac:dyDescent="0.25">
      <c r="A1781" s="48" t="s">
        <v>14632</v>
      </c>
      <c r="B1781" t="s">
        <v>14633</v>
      </c>
      <c r="C1781">
        <v>2</v>
      </c>
    </row>
    <row r="1782" spans="1:3" x14ac:dyDescent="0.25">
      <c r="A1782" s="48" t="s">
        <v>14630</v>
      </c>
      <c r="B1782" t="s">
        <v>14631</v>
      </c>
      <c r="C1782">
        <v>6</v>
      </c>
    </row>
    <row r="1783" spans="1:3" x14ac:dyDescent="0.25">
      <c r="A1783" s="48" t="s">
        <v>15084</v>
      </c>
      <c r="B1783" t="s">
        <v>20201</v>
      </c>
      <c r="C1783">
        <v>8</v>
      </c>
    </row>
    <row r="1784" spans="1:3" x14ac:dyDescent="0.25">
      <c r="A1784" s="48" t="s">
        <v>6509</v>
      </c>
      <c r="B1784" t="s">
        <v>6510</v>
      </c>
      <c r="C1784">
        <v>32</v>
      </c>
    </row>
    <row r="1785" spans="1:3" x14ac:dyDescent="0.25">
      <c r="A1785" s="48" t="s">
        <v>6432</v>
      </c>
      <c r="B1785" t="s">
        <v>20202</v>
      </c>
      <c r="C1785">
        <v>18</v>
      </c>
    </row>
    <row r="1786" spans="1:3" x14ac:dyDescent="0.25">
      <c r="A1786" s="48" t="s">
        <v>10626</v>
      </c>
      <c r="B1786" t="s">
        <v>10627</v>
      </c>
      <c r="C1786">
        <v>12</v>
      </c>
    </row>
    <row r="1787" spans="1:3" x14ac:dyDescent="0.25">
      <c r="A1787" s="48" t="s">
        <v>10644</v>
      </c>
      <c r="B1787" t="s">
        <v>10645</v>
      </c>
      <c r="C1787">
        <v>0</v>
      </c>
    </row>
    <row r="1788" spans="1:3" x14ac:dyDescent="0.25">
      <c r="A1788" s="48" t="s">
        <v>10662</v>
      </c>
      <c r="B1788" t="s">
        <v>10663</v>
      </c>
      <c r="C1788">
        <v>0</v>
      </c>
    </row>
    <row r="1789" spans="1:3" x14ac:dyDescent="0.25">
      <c r="A1789" s="48" t="s">
        <v>10682</v>
      </c>
      <c r="B1789" t="s">
        <v>10683</v>
      </c>
      <c r="C1789">
        <v>0</v>
      </c>
    </row>
    <row r="1790" spans="1:3" x14ac:dyDescent="0.25">
      <c r="A1790" s="48" t="s">
        <v>10702</v>
      </c>
      <c r="B1790" t="s">
        <v>10703</v>
      </c>
      <c r="C1790">
        <v>0</v>
      </c>
    </row>
    <row r="1791" spans="1:3" x14ac:dyDescent="0.25">
      <c r="A1791" s="48" t="s">
        <v>10722</v>
      </c>
      <c r="B1791" t="s">
        <v>10723</v>
      </c>
      <c r="C1791">
        <v>0</v>
      </c>
    </row>
    <row r="1792" spans="1:3" x14ac:dyDescent="0.25">
      <c r="A1792" s="48" t="s">
        <v>10740</v>
      </c>
      <c r="B1792" t="s">
        <v>10741</v>
      </c>
      <c r="C1792">
        <v>0</v>
      </c>
    </row>
    <row r="1793" spans="1:3" x14ac:dyDescent="0.25">
      <c r="A1793" s="48" t="s">
        <v>10760</v>
      </c>
      <c r="B1793" t="s">
        <v>10761</v>
      </c>
      <c r="C1793">
        <v>0</v>
      </c>
    </row>
    <row r="1794" spans="1:3" x14ac:dyDescent="0.25">
      <c r="A1794" s="48" t="s">
        <v>10778</v>
      </c>
      <c r="B1794" t="s">
        <v>10779</v>
      </c>
      <c r="C1794">
        <v>0</v>
      </c>
    </row>
    <row r="1795" spans="1:3" x14ac:dyDescent="0.25">
      <c r="A1795" s="48" t="s">
        <v>10796</v>
      </c>
      <c r="B1795" t="s">
        <v>10797</v>
      </c>
      <c r="C1795">
        <v>15</v>
      </c>
    </row>
    <row r="1796" spans="1:3" x14ac:dyDescent="0.25">
      <c r="A1796" s="48" t="s">
        <v>14415</v>
      </c>
      <c r="B1796" t="s">
        <v>14416</v>
      </c>
      <c r="C1796">
        <v>0</v>
      </c>
    </row>
    <row r="1797" spans="1:3" x14ac:dyDescent="0.25">
      <c r="A1797" s="48" t="s">
        <v>5483</v>
      </c>
      <c r="B1797" t="s">
        <v>5484</v>
      </c>
      <c r="C1797">
        <v>0</v>
      </c>
    </row>
    <row r="1798" spans="1:3" x14ac:dyDescent="0.25">
      <c r="A1798" s="48" t="s">
        <v>5555</v>
      </c>
      <c r="B1798" t="s">
        <v>5556</v>
      </c>
      <c r="C1798">
        <v>0</v>
      </c>
    </row>
    <row r="1799" spans="1:3" x14ac:dyDescent="0.25">
      <c r="A1799" s="48" t="s">
        <v>5581</v>
      </c>
      <c r="B1799" t="s">
        <v>5582</v>
      </c>
      <c r="C1799">
        <v>0</v>
      </c>
    </row>
    <row r="1800" spans="1:3" x14ac:dyDescent="0.25">
      <c r="A1800" s="48" t="s">
        <v>5575</v>
      </c>
      <c r="B1800" t="s">
        <v>5576</v>
      </c>
      <c r="C1800">
        <v>0</v>
      </c>
    </row>
    <row r="1801" spans="1:3" x14ac:dyDescent="0.25">
      <c r="A1801" s="48" t="s">
        <v>5559</v>
      </c>
      <c r="B1801" t="s">
        <v>5560</v>
      </c>
      <c r="C1801">
        <v>6</v>
      </c>
    </row>
    <row r="1802" spans="1:3" x14ac:dyDescent="0.25">
      <c r="A1802" s="48" t="s">
        <v>11742</v>
      </c>
      <c r="B1802" t="s">
        <v>11743</v>
      </c>
      <c r="C1802">
        <v>0</v>
      </c>
    </row>
    <row r="1803" spans="1:3" x14ac:dyDescent="0.25">
      <c r="A1803" s="48" t="s">
        <v>5623</v>
      </c>
      <c r="B1803" t="s">
        <v>5624</v>
      </c>
      <c r="C1803">
        <v>36</v>
      </c>
    </row>
    <row r="1804" spans="1:3" x14ac:dyDescent="0.25">
      <c r="A1804" s="48" t="s">
        <v>5621</v>
      </c>
      <c r="B1804" t="s">
        <v>5622</v>
      </c>
      <c r="C1804">
        <v>29</v>
      </c>
    </row>
    <row r="1805" spans="1:3" x14ac:dyDescent="0.25">
      <c r="A1805" s="48" t="s">
        <v>10263</v>
      </c>
      <c r="B1805" t="s">
        <v>10264</v>
      </c>
      <c r="C1805">
        <v>0</v>
      </c>
    </row>
    <row r="1806" spans="1:3" x14ac:dyDescent="0.25">
      <c r="A1806" s="48" t="s">
        <v>10261</v>
      </c>
      <c r="B1806" t="s">
        <v>10262</v>
      </c>
      <c r="C1806">
        <v>0</v>
      </c>
    </row>
    <row r="1807" spans="1:3" x14ac:dyDescent="0.25">
      <c r="A1807" s="48" t="s">
        <v>10259</v>
      </c>
      <c r="B1807" t="s">
        <v>10260</v>
      </c>
      <c r="C1807">
        <v>0</v>
      </c>
    </row>
    <row r="1808" spans="1:3" x14ac:dyDescent="0.25">
      <c r="A1808" s="48" t="s">
        <v>11502</v>
      </c>
      <c r="B1808" t="s">
        <v>11503</v>
      </c>
      <c r="C1808">
        <v>0</v>
      </c>
    </row>
    <row r="1809" spans="1:3" x14ac:dyDescent="0.25">
      <c r="A1809" s="48" t="s">
        <v>12853</v>
      </c>
      <c r="B1809" t="s">
        <v>12854</v>
      </c>
      <c r="C1809">
        <v>2</v>
      </c>
    </row>
    <row r="1810" spans="1:3" x14ac:dyDescent="0.25">
      <c r="A1810" s="48" t="s">
        <v>17732</v>
      </c>
      <c r="B1810" t="s">
        <v>17733</v>
      </c>
      <c r="C1810">
        <v>0</v>
      </c>
    </row>
    <row r="1811" spans="1:3" x14ac:dyDescent="0.25">
      <c r="A1811" s="48" t="s">
        <v>17730</v>
      </c>
      <c r="B1811" t="s">
        <v>17731</v>
      </c>
      <c r="C1811">
        <v>0</v>
      </c>
    </row>
    <row r="1812" spans="1:3" x14ac:dyDescent="0.25">
      <c r="A1812" s="48" t="s">
        <v>13738</v>
      </c>
      <c r="B1812" t="s">
        <v>13739</v>
      </c>
      <c r="C1812">
        <v>0</v>
      </c>
    </row>
    <row r="1813" spans="1:3" x14ac:dyDescent="0.25">
      <c r="A1813" s="48" t="s">
        <v>14387</v>
      </c>
      <c r="B1813" t="s">
        <v>14388</v>
      </c>
      <c r="C1813">
        <v>33</v>
      </c>
    </row>
    <row r="1814" spans="1:3" x14ac:dyDescent="0.25">
      <c r="A1814" s="48" t="s">
        <v>14365</v>
      </c>
      <c r="B1814" t="s">
        <v>14366</v>
      </c>
      <c r="C1814">
        <v>10</v>
      </c>
    </row>
    <row r="1815" spans="1:3" x14ac:dyDescent="0.25">
      <c r="A1815" s="48" t="s">
        <v>2811</v>
      </c>
      <c r="B1815" t="s">
        <v>2812</v>
      </c>
      <c r="C1815">
        <v>0</v>
      </c>
    </row>
    <row r="1816" spans="1:3" x14ac:dyDescent="0.25">
      <c r="A1816" s="48" t="s">
        <v>2839</v>
      </c>
      <c r="B1816" t="s">
        <v>2840</v>
      </c>
      <c r="C1816">
        <v>31</v>
      </c>
    </row>
    <row r="1817" spans="1:3" x14ac:dyDescent="0.25">
      <c r="A1817" s="48" t="s">
        <v>2791</v>
      </c>
      <c r="B1817" t="s">
        <v>2792</v>
      </c>
      <c r="C1817">
        <v>127</v>
      </c>
    </row>
    <row r="1818" spans="1:3" x14ac:dyDescent="0.25">
      <c r="A1818" s="48" t="s">
        <v>2869</v>
      </c>
      <c r="B1818" t="s">
        <v>2870</v>
      </c>
      <c r="C1818">
        <v>0</v>
      </c>
    </row>
    <row r="1819" spans="1:3" x14ac:dyDescent="0.25">
      <c r="A1819" s="48" t="s">
        <v>2867</v>
      </c>
      <c r="B1819" t="s">
        <v>2868</v>
      </c>
      <c r="C1819">
        <v>0</v>
      </c>
    </row>
    <row r="1820" spans="1:3" x14ac:dyDescent="0.25">
      <c r="A1820" s="48" t="s">
        <v>2875</v>
      </c>
      <c r="B1820" t="s">
        <v>2876</v>
      </c>
      <c r="C1820">
        <v>10</v>
      </c>
    </row>
    <row r="1821" spans="1:3" x14ac:dyDescent="0.25">
      <c r="A1821" s="48" t="s">
        <v>2781</v>
      </c>
      <c r="B1821" t="s">
        <v>2782</v>
      </c>
      <c r="C1821">
        <v>0</v>
      </c>
    </row>
    <row r="1822" spans="1:3" x14ac:dyDescent="0.25">
      <c r="A1822" s="48" t="s">
        <v>6488</v>
      </c>
      <c r="B1822" t="s">
        <v>6489</v>
      </c>
      <c r="C1822">
        <v>0</v>
      </c>
    </row>
    <row r="1823" spans="1:3" x14ac:dyDescent="0.25">
      <c r="A1823" s="48" t="s">
        <v>14974</v>
      </c>
      <c r="B1823" t="s">
        <v>14975</v>
      </c>
      <c r="C1823">
        <v>5</v>
      </c>
    </row>
    <row r="1824" spans="1:3" x14ac:dyDescent="0.25">
      <c r="A1824" s="48" t="s">
        <v>2871</v>
      </c>
      <c r="B1824" t="s">
        <v>2872</v>
      </c>
      <c r="C1824">
        <v>3</v>
      </c>
    </row>
    <row r="1825" spans="1:3" x14ac:dyDescent="0.25">
      <c r="A1825" s="48" t="s">
        <v>2833</v>
      </c>
      <c r="B1825" t="s">
        <v>2834</v>
      </c>
      <c r="C1825">
        <v>141</v>
      </c>
    </row>
    <row r="1826" spans="1:3" x14ac:dyDescent="0.25">
      <c r="A1826" s="48" t="s">
        <v>4451</v>
      </c>
      <c r="B1826" t="s">
        <v>4452</v>
      </c>
      <c r="C1826">
        <v>9</v>
      </c>
    </row>
    <row r="1827" spans="1:3" x14ac:dyDescent="0.25">
      <c r="A1827" s="48" t="s">
        <v>4449</v>
      </c>
      <c r="B1827" t="s">
        <v>4450</v>
      </c>
      <c r="C1827">
        <v>0</v>
      </c>
    </row>
    <row r="1828" spans="1:3" x14ac:dyDescent="0.25">
      <c r="A1828" s="48" t="s">
        <v>6490</v>
      </c>
      <c r="B1828" t="s">
        <v>6491</v>
      </c>
      <c r="C1828">
        <v>9</v>
      </c>
    </row>
    <row r="1829" spans="1:3" x14ac:dyDescent="0.25">
      <c r="A1829" s="48" t="s">
        <v>5601</v>
      </c>
      <c r="B1829" t="s">
        <v>5602</v>
      </c>
      <c r="C1829">
        <v>81</v>
      </c>
    </row>
    <row r="1830" spans="1:3" x14ac:dyDescent="0.25">
      <c r="A1830" s="48" t="s">
        <v>5605</v>
      </c>
      <c r="B1830" t="s">
        <v>5606</v>
      </c>
      <c r="C1830">
        <v>96</v>
      </c>
    </row>
    <row r="1831" spans="1:3" x14ac:dyDescent="0.25">
      <c r="A1831" s="48" t="s">
        <v>5603</v>
      </c>
      <c r="B1831" t="s">
        <v>5604</v>
      </c>
      <c r="C1831">
        <v>30</v>
      </c>
    </row>
    <row r="1832" spans="1:3" x14ac:dyDescent="0.25">
      <c r="A1832" s="48" t="s">
        <v>11700</v>
      </c>
      <c r="B1832" t="s">
        <v>11701</v>
      </c>
      <c r="C1832">
        <v>0</v>
      </c>
    </row>
    <row r="1833" spans="1:3" x14ac:dyDescent="0.25">
      <c r="A1833" s="48" t="s">
        <v>11702</v>
      </c>
      <c r="B1833" t="s">
        <v>11703</v>
      </c>
      <c r="C1833">
        <v>0</v>
      </c>
    </row>
    <row r="1834" spans="1:3" x14ac:dyDescent="0.25">
      <c r="A1834" s="48" t="s">
        <v>11704</v>
      </c>
      <c r="B1834" t="s">
        <v>11705</v>
      </c>
      <c r="C1834">
        <v>0</v>
      </c>
    </row>
    <row r="1835" spans="1:3" x14ac:dyDescent="0.25">
      <c r="A1835" s="48" t="s">
        <v>11706</v>
      </c>
      <c r="B1835" t="s">
        <v>11707</v>
      </c>
      <c r="C1835">
        <v>0</v>
      </c>
    </row>
    <row r="1836" spans="1:3" x14ac:dyDescent="0.25">
      <c r="A1836" s="48" t="s">
        <v>11708</v>
      </c>
      <c r="B1836" t="s">
        <v>11709</v>
      </c>
      <c r="C1836">
        <v>0</v>
      </c>
    </row>
    <row r="1837" spans="1:3" x14ac:dyDescent="0.25">
      <c r="A1837" s="48" t="s">
        <v>15859</v>
      </c>
      <c r="B1837" t="s">
        <v>20203</v>
      </c>
      <c r="C1837">
        <v>0</v>
      </c>
    </row>
    <row r="1838" spans="1:3" x14ac:dyDescent="0.25">
      <c r="A1838" s="48" t="s">
        <v>2691</v>
      </c>
      <c r="B1838" t="s">
        <v>20204</v>
      </c>
      <c r="C1838">
        <v>0</v>
      </c>
    </row>
    <row r="1839" spans="1:3" x14ac:dyDescent="0.25">
      <c r="A1839" s="48" t="s">
        <v>16003</v>
      </c>
      <c r="B1839" t="s">
        <v>20205</v>
      </c>
      <c r="C1839">
        <v>1</v>
      </c>
    </row>
    <row r="1840" spans="1:3" x14ac:dyDescent="0.25">
      <c r="A1840" s="48" t="s">
        <v>7766</v>
      </c>
      <c r="B1840" t="s">
        <v>20206</v>
      </c>
      <c r="C1840">
        <v>0</v>
      </c>
    </row>
    <row r="1841" spans="1:3" x14ac:dyDescent="0.25">
      <c r="A1841" s="48" t="s">
        <v>14638</v>
      </c>
      <c r="B1841" t="s">
        <v>20207</v>
      </c>
      <c r="C1841">
        <v>0</v>
      </c>
    </row>
    <row r="1842" spans="1:3" x14ac:dyDescent="0.25">
      <c r="A1842" s="48" t="s">
        <v>8822</v>
      </c>
      <c r="B1842" t="s">
        <v>20208</v>
      </c>
      <c r="C1842">
        <v>0</v>
      </c>
    </row>
    <row r="1843" spans="1:3" x14ac:dyDescent="0.25">
      <c r="A1843" s="48" t="s">
        <v>3481</v>
      </c>
      <c r="B1843" t="s">
        <v>20209</v>
      </c>
      <c r="C1843">
        <v>0</v>
      </c>
    </row>
    <row r="1844" spans="1:3" x14ac:dyDescent="0.25">
      <c r="A1844" s="48" t="s">
        <v>11120</v>
      </c>
      <c r="B1844" t="s">
        <v>20210</v>
      </c>
      <c r="C1844">
        <v>0</v>
      </c>
    </row>
    <row r="1845" spans="1:3" x14ac:dyDescent="0.25">
      <c r="A1845" s="48" t="s">
        <v>11122</v>
      </c>
      <c r="B1845" t="s">
        <v>20211</v>
      </c>
      <c r="C1845">
        <v>0</v>
      </c>
    </row>
    <row r="1846" spans="1:3" x14ac:dyDescent="0.25">
      <c r="A1846" s="48" t="s">
        <v>12091</v>
      </c>
      <c r="B1846" t="s">
        <v>20212</v>
      </c>
      <c r="C1846">
        <v>0</v>
      </c>
    </row>
    <row r="1847" spans="1:3" x14ac:dyDescent="0.25">
      <c r="A1847" s="48" t="s">
        <v>12087</v>
      </c>
      <c r="B1847" t="s">
        <v>20213</v>
      </c>
      <c r="C1847">
        <v>3</v>
      </c>
    </row>
    <row r="1848" spans="1:3" x14ac:dyDescent="0.25">
      <c r="A1848" s="48" t="s">
        <v>12083</v>
      </c>
      <c r="B1848" t="s">
        <v>20214</v>
      </c>
      <c r="C1848">
        <v>2</v>
      </c>
    </row>
    <row r="1849" spans="1:3" x14ac:dyDescent="0.25">
      <c r="A1849" s="48" t="s">
        <v>12704</v>
      </c>
      <c r="B1849" t="s">
        <v>20215</v>
      </c>
      <c r="C1849">
        <v>0</v>
      </c>
    </row>
    <row r="1850" spans="1:3" x14ac:dyDescent="0.25">
      <c r="A1850" s="48" t="s">
        <v>17833</v>
      </c>
      <c r="B1850" t="s">
        <v>20216</v>
      </c>
      <c r="C1850">
        <v>0</v>
      </c>
    </row>
    <row r="1851" spans="1:3" x14ac:dyDescent="0.25">
      <c r="A1851" s="48" t="s">
        <v>11214</v>
      </c>
      <c r="B1851" t="s">
        <v>20217</v>
      </c>
      <c r="C1851">
        <v>0</v>
      </c>
    </row>
    <row r="1852" spans="1:3" x14ac:dyDescent="0.25">
      <c r="A1852" s="48" t="s">
        <v>11212</v>
      </c>
      <c r="B1852" t="s">
        <v>20218</v>
      </c>
      <c r="C1852">
        <v>0</v>
      </c>
    </row>
    <row r="1853" spans="1:3" x14ac:dyDescent="0.25">
      <c r="A1853" s="48" t="s">
        <v>15947</v>
      </c>
      <c r="B1853" t="s">
        <v>20219</v>
      </c>
      <c r="C1853">
        <v>0</v>
      </c>
    </row>
    <row r="1854" spans="1:3" x14ac:dyDescent="0.25">
      <c r="A1854" s="48" t="s">
        <v>16742</v>
      </c>
      <c r="B1854" t="s">
        <v>20220</v>
      </c>
      <c r="C1854">
        <v>0</v>
      </c>
    </row>
    <row r="1855" spans="1:3" x14ac:dyDescent="0.25">
      <c r="A1855" s="48" t="s">
        <v>8385</v>
      </c>
      <c r="B1855" t="s">
        <v>20221</v>
      </c>
      <c r="C1855">
        <v>0</v>
      </c>
    </row>
    <row r="1856" spans="1:3" x14ac:dyDescent="0.25">
      <c r="A1856" s="48" t="s">
        <v>17983</v>
      </c>
      <c r="B1856" t="s">
        <v>20222</v>
      </c>
      <c r="C1856">
        <v>0</v>
      </c>
    </row>
    <row r="1857" spans="1:3" x14ac:dyDescent="0.25">
      <c r="A1857" s="48" t="s">
        <v>5024</v>
      </c>
      <c r="B1857" t="s">
        <v>20223</v>
      </c>
      <c r="C1857">
        <v>0</v>
      </c>
    </row>
    <row r="1858" spans="1:3" x14ac:dyDescent="0.25">
      <c r="A1858" s="48" t="s">
        <v>8990</v>
      </c>
      <c r="B1858" t="s">
        <v>20224</v>
      </c>
      <c r="C1858">
        <v>0</v>
      </c>
    </row>
    <row r="1859" spans="1:3" x14ac:dyDescent="0.25">
      <c r="A1859" s="48" t="s">
        <v>14515</v>
      </c>
      <c r="B1859" t="s">
        <v>20225</v>
      </c>
      <c r="C1859">
        <v>0</v>
      </c>
    </row>
    <row r="1860" spans="1:3" x14ac:dyDescent="0.25">
      <c r="A1860" s="48" t="s">
        <v>19498</v>
      </c>
      <c r="B1860" t="s">
        <v>20226</v>
      </c>
      <c r="C1860">
        <v>3</v>
      </c>
    </row>
    <row r="1861" spans="1:3" x14ac:dyDescent="0.25">
      <c r="A1861" s="48" t="s">
        <v>16826</v>
      </c>
      <c r="B1861" t="s">
        <v>20227</v>
      </c>
      <c r="C1861">
        <v>0</v>
      </c>
    </row>
    <row r="1862" spans="1:3" x14ac:dyDescent="0.25">
      <c r="A1862" s="48" t="s">
        <v>7973</v>
      </c>
      <c r="B1862" t="s">
        <v>20228</v>
      </c>
      <c r="C1862">
        <v>0</v>
      </c>
    </row>
    <row r="1863" spans="1:3" x14ac:dyDescent="0.25">
      <c r="A1863" s="48" t="s">
        <v>2895</v>
      </c>
      <c r="B1863" t="s">
        <v>20229</v>
      </c>
      <c r="C1863">
        <v>13</v>
      </c>
    </row>
    <row r="1864" spans="1:3" x14ac:dyDescent="0.25">
      <c r="A1864" s="48" t="s">
        <v>15933</v>
      </c>
      <c r="B1864" t="s">
        <v>20230</v>
      </c>
      <c r="C1864">
        <v>0</v>
      </c>
    </row>
    <row r="1865" spans="1:3" x14ac:dyDescent="0.25">
      <c r="A1865" s="48" t="s">
        <v>15937</v>
      </c>
      <c r="B1865" t="s">
        <v>20231</v>
      </c>
      <c r="C1865">
        <v>0</v>
      </c>
    </row>
    <row r="1866" spans="1:3" x14ac:dyDescent="0.25">
      <c r="A1866" s="48" t="s">
        <v>15943</v>
      </c>
      <c r="B1866" t="s">
        <v>20232</v>
      </c>
      <c r="C1866">
        <v>0</v>
      </c>
    </row>
    <row r="1867" spans="1:3" x14ac:dyDescent="0.25">
      <c r="A1867" s="48" t="s">
        <v>16798</v>
      </c>
      <c r="B1867" t="s">
        <v>20233</v>
      </c>
      <c r="C1867">
        <v>0</v>
      </c>
    </row>
    <row r="1868" spans="1:3" x14ac:dyDescent="0.25">
      <c r="A1868" s="48" t="s">
        <v>14738</v>
      </c>
      <c r="B1868" t="s">
        <v>20234</v>
      </c>
      <c r="C1868">
        <v>0</v>
      </c>
    </row>
    <row r="1869" spans="1:3" x14ac:dyDescent="0.25">
      <c r="A1869" s="48" t="s">
        <v>14716</v>
      </c>
      <c r="B1869" t="s">
        <v>20235</v>
      </c>
      <c r="C1869">
        <v>0</v>
      </c>
    </row>
    <row r="1870" spans="1:3" x14ac:dyDescent="0.25">
      <c r="A1870" s="48" t="s">
        <v>14718</v>
      </c>
      <c r="B1870" t="s">
        <v>20236</v>
      </c>
      <c r="C1870">
        <v>0</v>
      </c>
    </row>
    <row r="1871" spans="1:3" x14ac:dyDescent="0.25">
      <c r="A1871" s="48" t="s">
        <v>18504</v>
      </c>
      <c r="B1871" t="s">
        <v>18505</v>
      </c>
      <c r="C1871">
        <v>3</v>
      </c>
    </row>
    <row r="1872" spans="1:3" x14ac:dyDescent="0.25">
      <c r="A1872" s="48" t="s">
        <v>2739</v>
      </c>
      <c r="B1872" t="s">
        <v>2740</v>
      </c>
      <c r="C1872">
        <v>38</v>
      </c>
    </row>
    <row r="1873" spans="1:3" x14ac:dyDescent="0.25">
      <c r="A1873" s="48" t="s">
        <v>2753</v>
      </c>
      <c r="B1873" t="s">
        <v>2754</v>
      </c>
      <c r="C1873">
        <v>1</v>
      </c>
    </row>
    <row r="1874" spans="1:3" x14ac:dyDescent="0.25">
      <c r="A1874" s="48" t="s">
        <v>2755</v>
      </c>
      <c r="B1874" t="s">
        <v>2756</v>
      </c>
      <c r="C1874">
        <v>1</v>
      </c>
    </row>
    <row r="1875" spans="1:3" x14ac:dyDescent="0.25">
      <c r="A1875" s="48" t="s">
        <v>3016</v>
      </c>
      <c r="B1875" t="s">
        <v>3017</v>
      </c>
      <c r="C1875">
        <v>0</v>
      </c>
    </row>
    <row r="1876" spans="1:3" x14ac:dyDescent="0.25">
      <c r="A1876" s="48" t="s">
        <v>12761</v>
      </c>
      <c r="B1876" t="s">
        <v>12762</v>
      </c>
      <c r="C1876">
        <v>0</v>
      </c>
    </row>
    <row r="1877" spans="1:3" x14ac:dyDescent="0.25">
      <c r="A1877" s="48" t="s">
        <v>2919</v>
      </c>
      <c r="B1877" t="s">
        <v>2920</v>
      </c>
      <c r="C1877">
        <v>6</v>
      </c>
    </row>
    <row r="1878" spans="1:3" x14ac:dyDescent="0.25">
      <c r="A1878" s="48" t="s">
        <v>4406</v>
      </c>
      <c r="B1878" t="s">
        <v>4407</v>
      </c>
      <c r="C1878">
        <v>30</v>
      </c>
    </row>
    <row r="1879" spans="1:3" x14ac:dyDescent="0.25">
      <c r="A1879" s="48" t="s">
        <v>4428</v>
      </c>
      <c r="B1879" t="s">
        <v>4429</v>
      </c>
      <c r="C1879">
        <v>28</v>
      </c>
    </row>
    <row r="1880" spans="1:3" x14ac:dyDescent="0.25">
      <c r="A1880" s="48" t="s">
        <v>4408</v>
      </c>
      <c r="B1880" t="s">
        <v>4409</v>
      </c>
      <c r="C1880">
        <v>30</v>
      </c>
    </row>
    <row r="1881" spans="1:3" x14ac:dyDescent="0.25">
      <c r="A1881" s="48" t="s">
        <v>4430</v>
      </c>
      <c r="B1881" t="s">
        <v>4431</v>
      </c>
      <c r="C1881">
        <v>23</v>
      </c>
    </row>
    <row r="1882" spans="1:3" x14ac:dyDescent="0.25">
      <c r="A1882" s="48" t="s">
        <v>2773</v>
      </c>
      <c r="B1882" t="s">
        <v>20237</v>
      </c>
      <c r="C1882">
        <v>50</v>
      </c>
    </row>
    <row r="1883" spans="1:3" x14ac:dyDescent="0.25">
      <c r="A1883" s="48" t="s">
        <v>11236</v>
      </c>
      <c r="B1883" t="s">
        <v>11237</v>
      </c>
      <c r="C1883">
        <v>8</v>
      </c>
    </row>
    <row r="1884" spans="1:3" x14ac:dyDescent="0.25">
      <c r="A1884" s="48" t="s">
        <v>11724</v>
      </c>
      <c r="B1884" t="s">
        <v>11725</v>
      </c>
      <c r="C1884">
        <v>17</v>
      </c>
    </row>
    <row r="1885" spans="1:3" x14ac:dyDescent="0.25">
      <c r="A1885" s="48" t="s">
        <v>11510</v>
      </c>
      <c r="B1885" t="s">
        <v>11511</v>
      </c>
      <c r="C1885">
        <v>0</v>
      </c>
    </row>
    <row r="1886" spans="1:3" x14ac:dyDescent="0.25">
      <c r="A1886" s="48" t="s">
        <v>11514</v>
      </c>
      <c r="B1886" t="s">
        <v>11515</v>
      </c>
      <c r="C1886">
        <v>0</v>
      </c>
    </row>
    <row r="1887" spans="1:3" x14ac:dyDescent="0.25">
      <c r="A1887" s="48" t="s">
        <v>11516</v>
      </c>
      <c r="B1887" t="s">
        <v>11517</v>
      </c>
      <c r="C1887">
        <v>0</v>
      </c>
    </row>
    <row r="1888" spans="1:3" x14ac:dyDescent="0.25">
      <c r="A1888" s="48" t="s">
        <v>11746</v>
      </c>
      <c r="B1888" t="s">
        <v>11747</v>
      </c>
      <c r="C1888">
        <v>0</v>
      </c>
    </row>
    <row r="1889" spans="1:3" x14ac:dyDescent="0.25">
      <c r="A1889" s="48" t="s">
        <v>6085</v>
      </c>
      <c r="B1889" t="s">
        <v>6086</v>
      </c>
      <c r="C1889">
        <v>2</v>
      </c>
    </row>
    <row r="1890" spans="1:3" x14ac:dyDescent="0.25">
      <c r="A1890" s="48" t="s">
        <v>6089</v>
      </c>
      <c r="B1890" t="s">
        <v>6090</v>
      </c>
      <c r="C1890">
        <v>0</v>
      </c>
    </row>
    <row r="1891" spans="1:3" x14ac:dyDescent="0.25">
      <c r="A1891" s="48" t="s">
        <v>689</v>
      </c>
      <c r="B1891" t="s">
        <v>690</v>
      </c>
      <c r="C1891">
        <v>1</v>
      </c>
    </row>
    <row r="1892" spans="1:3" x14ac:dyDescent="0.25">
      <c r="A1892" s="48" t="s">
        <v>17975</v>
      </c>
      <c r="B1892" t="s">
        <v>17976</v>
      </c>
      <c r="C1892">
        <v>0</v>
      </c>
    </row>
    <row r="1893" spans="1:3" x14ac:dyDescent="0.25">
      <c r="A1893" s="48" t="s">
        <v>5703</v>
      </c>
      <c r="B1893" t="s">
        <v>5704</v>
      </c>
      <c r="C1893">
        <v>6</v>
      </c>
    </row>
    <row r="1894" spans="1:3" x14ac:dyDescent="0.25">
      <c r="A1894" s="48" t="s">
        <v>14984</v>
      </c>
      <c r="B1894" t="s">
        <v>14985</v>
      </c>
      <c r="C1894">
        <v>8</v>
      </c>
    </row>
    <row r="1895" spans="1:3" x14ac:dyDescent="0.25">
      <c r="A1895" s="48" t="s">
        <v>4154</v>
      </c>
      <c r="B1895" t="s">
        <v>4155</v>
      </c>
      <c r="C1895">
        <v>0</v>
      </c>
    </row>
    <row r="1896" spans="1:3" x14ac:dyDescent="0.25">
      <c r="A1896" s="48" t="s">
        <v>11522</v>
      </c>
      <c r="B1896" t="s">
        <v>11523</v>
      </c>
      <c r="C1896">
        <v>0</v>
      </c>
    </row>
    <row r="1897" spans="1:3" x14ac:dyDescent="0.25">
      <c r="A1897" s="48" t="s">
        <v>11520</v>
      </c>
      <c r="B1897" t="s">
        <v>11521</v>
      </c>
      <c r="C1897">
        <v>1</v>
      </c>
    </row>
    <row r="1898" spans="1:3" x14ac:dyDescent="0.25">
      <c r="A1898" s="48" t="s">
        <v>11524</v>
      </c>
      <c r="B1898" t="s">
        <v>11525</v>
      </c>
      <c r="C1898">
        <v>17</v>
      </c>
    </row>
    <row r="1899" spans="1:3" x14ac:dyDescent="0.25">
      <c r="A1899" s="48" t="s">
        <v>18941</v>
      </c>
      <c r="B1899" t="s">
        <v>20238</v>
      </c>
      <c r="C1899">
        <v>0</v>
      </c>
    </row>
    <row r="1900" spans="1:3" x14ac:dyDescent="0.25">
      <c r="A1900" s="48" t="s">
        <v>11830</v>
      </c>
      <c r="B1900" t="s">
        <v>20239</v>
      </c>
      <c r="C1900">
        <v>2</v>
      </c>
    </row>
    <row r="1901" spans="1:3" x14ac:dyDescent="0.25">
      <c r="A1901" s="48" t="s">
        <v>17512</v>
      </c>
      <c r="B1901" t="s">
        <v>20240</v>
      </c>
      <c r="C1901">
        <v>0</v>
      </c>
    </row>
    <row r="1902" spans="1:3" x14ac:dyDescent="0.25">
      <c r="A1902" s="48" t="s">
        <v>11824</v>
      </c>
      <c r="B1902" t="s">
        <v>20241</v>
      </c>
      <c r="C1902">
        <v>1</v>
      </c>
    </row>
    <row r="1903" spans="1:3" x14ac:dyDescent="0.25">
      <c r="A1903" s="48" t="s">
        <v>17474</v>
      </c>
      <c r="B1903" t="s">
        <v>20242</v>
      </c>
      <c r="C1903">
        <v>0</v>
      </c>
    </row>
    <row r="1904" spans="1:3" x14ac:dyDescent="0.25">
      <c r="A1904" s="48" t="s">
        <v>5057</v>
      </c>
      <c r="B1904" t="s">
        <v>20243</v>
      </c>
      <c r="C1904">
        <v>0</v>
      </c>
    </row>
    <row r="1905" spans="1:3" x14ac:dyDescent="0.25">
      <c r="A1905" s="48" t="s">
        <v>2707</v>
      </c>
      <c r="B1905" t="s">
        <v>20244</v>
      </c>
      <c r="C1905">
        <v>0</v>
      </c>
    </row>
    <row r="1906" spans="1:3" x14ac:dyDescent="0.25">
      <c r="A1906" s="48" t="s">
        <v>16752</v>
      </c>
      <c r="B1906" t="s">
        <v>20245</v>
      </c>
      <c r="C1906">
        <v>4</v>
      </c>
    </row>
    <row r="1907" spans="1:3" x14ac:dyDescent="0.25">
      <c r="A1907" s="48" t="s">
        <v>8429</v>
      </c>
      <c r="B1907" t="s">
        <v>20246</v>
      </c>
      <c r="C1907">
        <v>0</v>
      </c>
    </row>
    <row r="1908" spans="1:3" x14ac:dyDescent="0.25">
      <c r="A1908" s="48" t="s">
        <v>2705</v>
      </c>
      <c r="B1908" t="s">
        <v>20247</v>
      </c>
      <c r="C1908">
        <v>0</v>
      </c>
    </row>
    <row r="1909" spans="1:3" x14ac:dyDescent="0.25">
      <c r="A1909" s="48" t="s">
        <v>2673</v>
      </c>
      <c r="B1909" t="s">
        <v>20248</v>
      </c>
      <c r="C1909">
        <v>0</v>
      </c>
    </row>
    <row r="1910" spans="1:3" x14ac:dyDescent="0.25">
      <c r="A1910" s="48" t="s">
        <v>19444</v>
      </c>
      <c r="B1910" t="s">
        <v>20249</v>
      </c>
      <c r="C1910">
        <v>0</v>
      </c>
    </row>
    <row r="1911" spans="1:3" x14ac:dyDescent="0.25">
      <c r="A1911" s="48" t="s">
        <v>10229</v>
      </c>
      <c r="B1911" t="s">
        <v>20250</v>
      </c>
      <c r="C1911">
        <v>0</v>
      </c>
    </row>
    <row r="1912" spans="1:3" x14ac:dyDescent="0.25">
      <c r="A1912" s="48" t="s">
        <v>17096</v>
      </c>
      <c r="B1912" t="s">
        <v>20251</v>
      </c>
      <c r="C1912">
        <v>0</v>
      </c>
    </row>
    <row r="1913" spans="1:3" x14ac:dyDescent="0.25">
      <c r="A1913" s="48" t="s">
        <v>11818</v>
      </c>
      <c r="B1913" t="s">
        <v>20252</v>
      </c>
      <c r="C1913">
        <v>0</v>
      </c>
    </row>
    <row r="1914" spans="1:3" x14ac:dyDescent="0.25">
      <c r="A1914" s="48" t="s">
        <v>11816</v>
      </c>
      <c r="B1914" t="s">
        <v>20253</v>
      </c>
      <c r="C1914">
        <v>2</v>
      </c>
    </row>
    <row r="1915" spans="1:3" x14ac:dyDescent="0.25">
      <c r="A1915" s="48" t="s">
        <v>17524</v>
      </c>
      <c r="B1915" t="s">
        <v>20254</v>
      </c>
      <c r="C1915">
        <v>19</v>
      </c>
    </row>
    <row r="1916" spans="1:3" x14ac:dyDescent="0.25">
      <c r="A1916" s="48" t="s">
        <v>17522</v>
      </c>
      <c r="B1916" t="s">
        <v>20255</v>
      </c>
      <c r="C1916">
        <v>0</v>
      </c>
    </row>
    <row r="1917" spans="1:3" x14ac:dyDescent="0.25">
      <c r="A1917" s="48" t="s">
        <v>13452</v>
      </c>
      <c r="B1917" t="s">
        <v>20256</v>
      </c>
      <c r="C1917">
        <v>0</v>
      </c>
    </row>
    <row r="1918" spans="1:3" x14ac:dyDescent="0.25">
      <c r="A1918" s="48" t="s">
        <v>13448</v>
      </c>
      <c r="B1918" t="s">
        <v>20257</v>
      </c>
      <c r="C1918">
        <v>0</v>
      </c>
    </row>
    <row r="1919" spans="1:3" x14ac:dyDescent="0.25">
      <c r="A1919" s="48" t="s">
        <v>11118</v>
      </c>
      <c r="B1919" t="s">
        <v>20258</v>
      </c>
      <c r="C1919">
        <v>0</v>
      </c>
    </row>
    <row r="1920" spans="1:3" x14ac:dyDescent="0.25">
      <c r="A1920" s="48" t="s">
        <v>3080</v>
      </c>
      <c r="B1920" t="s">
        <v>3081</v>
      </c>
      <c r="C1920">
        <v>15</v>
      </c>
    </row>
    <row r="1921" spans="1:3" x14ac:dyDescent="0.25">
      <c r="A1921" s="48" t="s">
        <v>19514</v>
      </c>
      <c r="B1921" t="s">
        <v>20259</v>
      </c>
      <c r="C1921">
        <v>1</v>
      </c>
    </row>
    <row r="1922" spans="1:3" x14ac:dyDescent="0.25">
      <c r="A1922" s="48" t="s">
        <v>16926</v>
      </c>
      <c r="B1922" t="s">
        <v>20260</v>
      </c>
      <c r="C1922">
        <v>1</v>
      </c>
    </row>
    <row r="1923" spans="1:3" x14ac:dyDescent="0.25">
      <c r="A1923" s="48" t="s">
        <v>13450</v>
      </c>
      <c r="B1923" t="s">
        <v>20261</v>
      </c>
      <c r="C1923">
        <v>0</v>
      </c>
    </row>
    <row r="1924" spans="1:3" x14ac:dyDescent="0.25">
      <c r="A1924" s="48" t="s">
        <v>13098</v>
      </c>
      <c r="B1924" t="s">
        <v>13099</v>
      </c>
      <c r="C1924">
        <v>3</v>
      </c>
    </row>
    <row r="1925" spans="1:3" x14ac:dyDescent="0.25">
      <c r="A1925" s="48" t="s">
        <v>13082</v>
      </c>
      <c r="B1925" t="s">
        <v>13083</v>
      </c>
      <c r="C1925">
        <v>0</v>
      </c>
    </row>
    <row r="1926" spans="1:3" x14ac:dyDescent="0.25">
      <c r="A1926" s="48" t="s">
        <v>13084</v>
      </c>
      <c r="B1926" t="s">
        <v>13085</v>
      </c>
      <c r="C1926">
        <v>0</v>
      </c>
    </row>
    <row r="1927" spans="1:3" x14ac:dyDescent="0.25">
      <c r="A1927" s="48" t="s">
        <v>16354</v>
      </c>
      <c r="B1927" t="s">
        <v>16355</v>
      </c>
      <c r="C1927">
        <v>0</v>
      </c>
    </row>
    <row r="1928" spans="1:3" x14ac:dyDescent="0.25">
      <c r="A1928" s="48" t="s">
        <v>18199</v>
      </c>
      <c r="B1928" t="s">
        <v>18200</v>
      </c>
      <c r="C1928">
        <v>0</v>
      </c>
    </row>
    <row r="1929" spans="1:3" x14ac:dyDescent="0.25">
      <c r="A1929" s="48" t="s">
        <v>15375</v>
      </c>
      <c r="B1929" t="s">
        <v>15376</v>
      </c>
      <c r="C1929">
        <v>0</v>
      </c>
    </row>
    <row r="1930" spans="1:3" x14ac:dyDescent="0.25">
      <c r="A1930" s="48" t="s">
        <v>11322</v>
      </c>
      <c r="B1930" t="s">
        <v>22876</v>
      </c>
      <c r="C1930">
        <v>7</v>
      </c>
    </row>
    <row r="1931" spans="1:3" x14ac:dyDescent="0.25">
      <c r="A1931" s="48" t="s">
        <v>11306</v>
      </c>
      <c r="B1931" t="s">
        <v>22877</v>
      </c>
      <c r="C1931">
        <v>0</v>
      </c>
    </row>
    <row r="1932" spans="1:3" x14ac:dyDescent="0.25">
      <c r="A1932" s="48" t="s">
        <v>11312</v>
      </c>
      <c r="B1932" t="s">
        <v>22878</v>
      </c>
      <c r="C1932">
        <v>0</v>
      </c>
    </row>
    <row r="1933" spans="1:3" x14ac:dyDescent="0.25">
      <c r="A1933" s="48" t="s">
        <v>11292</v>
      </c>
      <c r="B1933" t="s">
        <v>22879</v>
      </c>
      <c r="C1933">
        <v>0</v>
      </c>
    </row>
    <row r="1934" spans="1:3" x14ac:dyDescent="0.25">
      <c r="A1934" s="48" t="s">
        <v>11300</v>
      </c>
      <c r="B1934" t="s">
        <v>22880</v>
      </c>
      <c r="C1934">
        <v>0</v>
      </c>
    </row>
    <row r="1935" spans="1:3" x14ac:dyDescent="0.25">
      <c r="A1935" s="48" t="s">
        <v>11296</v>
      </c>
      <c r="B1935" t="s">
        <v>22881</v>
      </c>
      <c r="C1935">
        <v>0</v>
      </c>
    </row>
    <row r="1936" spans="1:3" x14ac:dyDescent="0.25">
      <c r="A1936" s="48" t="s">
        <v>10814</v>
      </c>
      <c r="B1936" t="s">
        <v>10815</v>
      </c>
      <c r="C1936">
        <v>0</v>
      </c>
    </row>
    <row r="1937" spans="1:3" x14ac:dyDescent="0.25">
      <c r="A1937" s="48" t="s">
        <v>6420</v>
      </c>
      <c r="B1937" t="s">
        <v>6421</v>
      </c>
      <c r="C1937">
        <v>21</v>
      </c>
    </row>
    <row r="1938" spans="1:3" x14ac:dyDescent="0.25">
      <c r="A1938" s="48" t="s">
        <v>14332</v>
      </c>
      <c r="B1938" t="s">
        <v>14333</v>
      </c>
      <c r="C1938">
        <v>0</v>
      </c>
    </row>
    <row r="1939" spans="1:3" x14ac:dyDescent="0.25">
      <c r="A1939" s="48" t="s">
        <v>2913</v>
      </c>
      <c r="B1939" t="s">
        <v>2914</v>
      </c>
      <c r="C1939">
        <v>53</v>
      </c>
    </row>
    <row r="1940" spans="1:3" x14ac:dyDescent="0.25">
      <c r="A1940" s="48" t="s">
        <v>9279</v>
      </c>
      <c r="B1940" t="s">
        <v>20262</v>
      </c>
      <c r="C1940">
        <v>2</v>
      </c>
    </row>
    <row r="1941" spans="1:3" x14ac:dyDescent="0.25">
      <c r="A1941" s="48" t="s">
        <v>11222</v>
      </c>
      <c r="B1941" t="s">
        <v>20263</v>
      </c>
      <c r="C1941">
        <v>4</v>
      </c>
    </row>
    <row r="1942" spans="1:3" x14ac:dyDescent="0.25">
      <c r="A1942" s="48" t="s">
        <v>13056</v>
      </c>
      <c r="B1942" t="s">
        <v>13057</v>
      </c>
      <c r="C1942">
        <v>0</v>
      </c>
    </row>
    <row r="1943" spans="1:3" x14ac:dyDescent="0.25">
      <c r="A1943" s="48" t="s">
        <v>2522</v>
      </c>
      <c r="B1943" t="s">
        <v>2523</v>
      </c>
      <c r="C1943">
        <v>20</v>
      </c>
    </row>
    <row r="1944" spans="1:3" x14ac:dyDescent="0.25">
      <c r="A1944" s="48" t="s">
        <v>2524</v>
      </c>
      <c r="B1944" t="s">
        <v>2525</v>
      </c>
      <c r="C1944">
        <v>5</v>
      </c>
    </row>
    <row r="1945" spans="1:3" x14ac:dyDescent="0.25">
      <c r="A1945" s="48" t="s">
        <v>2526</v>
      </c>
      <c r="B1945" t="s">
        <v>2527</v>
      </c>
      <c r="C1945">
        <v>21</v>
      </c>
    </row>
    <row r="1946" spans="1:3" x14ac:dyDescent="0.25">
      <c r="A1946" s="48" t="s">
        <v>2528</v>
      </c>
      <c r="B1946" t="s">
        <v>2529</v>
      </c>
      <c r="C1946">
        <v>13</v>
      </c>
    </row>
    <row r="1947" spans="1:3" x14ac:dyDescent="0.25">
      <c r="A1947" s="48" t="s">
        <v>16358</v>
      </c>
      <c r="B1947" t="s">
        <v>16359</v>
      </c>
      <c r="C1947">
        <v>0</v>
      </c>
    </row>
    <row r="1948" spans="1:3" x14ac:dyDescent="0.25">
      <c r="A1948" s="48" t="s">
        <v>5649</v>
      </c>
      <c r="B1948" t="s">
        <v>5650</v>
      </c>
      <c r="C1948">
        <v>9</v>
      </c>
    </row>
    <row r="1949" spans="1:3" x14ac:dyDescent="0.25">
      <c r="A1949" s="48" t="s">
        <v>5367</v>
      </c>
      <c r="B1949" t="s">
        <v>5368</v>
      </c>
      <c r="C1949">
        <v>0</v>
      </c>
    </row>
    <row r="1950" spans="1:3" x14ac:dyDescent="0.25">
      <c r="A1950" s="48" t="s">
        <v>5371</v>
      </c>
      <c r="B1950" t="s">
        <v>5372</v>
      </c>
      <c r="C1950">
        <v>0</v>
      </c>
    </row>
    <row r="1951" spans="1:3" x14ac:dyDescent="0.25">
      <c r="A1951" s="48" t="s">
        <v>5375</v>
      </c>
      <c r="B1951" t="s">
        <v>5376</v>
      </c>
      <c r="C1951">
        <v>1</v>
      </c>
    </row>
    <row r="1952" spans="1:3" x14ac:dyDescent="0.25">
      <c r="A1952" s="48" t="s">
        <v>5379</v>
      </c>
      <c r="B1952" t="s">
        <v>5380</v>
      </c>
      <c r="C1952">
        <v>0</v>
      </c>
    </row>
    <row r="1953" spans="1:3" x14ac:dyDescent="0.25">
      <c r="A1953" s="48" t="s">
        <v>11780</v>
      </c>
      <c r="B1953" t="s">
        <v>11781</v>
      </c>
      <c r="C1953">
        <v>8</v>
      </c>
    </row>
    <row r="1954" spans="1:3" x14ac:dyDescent="0.25">
      <c r="A1954" s="48" t="s">
        <v>11778</v>
      </c>
      <c r="B1954" t="s">
        <v>11779</v>
      </c>
      <c r="C1954">
        <v>11</v>
      </c>
    </row>
    <row r="1955" spans="1:3" x14ac:dyDescent="0.25">
      <c r="A1955" s="48" t="s">
        <v>11240</v>
      </c>
      <c r="B1955" t="s">
        <v>11241</v>
      </c>
      <c r="C1955">
        <v>5</v>
      </c>
    </row>
    <row r="1956" spans="1:3" x14ac:dyDescent="0.25">
      <c r="A1956" s="48" t="s">
        <v>11242</v>
      </c>
      <c r="B1956" t="s">
        <v>11243</v>
      </c>
      <c r="C1956">
        <v>7</v>
      </c>
    </row>
    <row r="1957" spans="1:3" x14ac:dyDescent="0.25">
      <c r="A1957" s="48" t="s">
        <v>11244</v>
      </c>
      <c r="B1957" t="s">
        <v>11245</v>
      </c>
      <c r="C1957">
        <v>8</v>
      </c>
    </row>
    <row r="1958" spans="1:3" x14ac:dyDescent="0.25">
      <c r="A1958" s="48" t="s">
        <v>11246</v>
      </c>
      <c r="B1958" t="s">
        <v>11247</v>
      </c>
      <c r="C1958">
        <v>7</v>
      </c>
    </row>
    <row r="1959" spans="1:3" x14ac:dyDescent="0.25">
      <c r="A1959" s="48" t="s">
        <v>11248</v>
      </c>
      <c r="B1959" t="s">
        <v>11249</v>
      </c>
      <c r="C1959">
        <v>5</v>
      </c>
    </row>
    <row r="1960" spans="1:3" x14ac:dyDescent="0.25">
      <c r="A1960" s="48" t="s">
        <v>11250</v>
      </c>
      <c r="B1960" t="s">
        <v>11251</v>
      </c>
      <c r="C1960">
        <v>5</v>
      </c>
    </row>
    <row r="1961" spans="1:3" x14ac:dyDescent="0.25">
      <c r="A1961" s="48" t="s">
        <v>11238</v>
      </c>
      <c r="B1961" t="s">
        <v>11239</v>
      </c>
      <c r="C1961">
        <v>8</v>
      </c>
    </row>
    <row r="1962" spans="1:3" x14ac:dyDescent="0.25">
      <c r="A1962" s="48" t="s">
        <v>9532</v>
      </c>
      <c r="B1962" t="s">
        <v>20264</v>
      </c>
      <c r="C1962">
        <v>0</v>
      </c>
    </row>
    <row r="1963" spans="1:3" x14ac:dyDescent="0.25">
      <c r="A1963" s="48" t="s">
        <v>16858</v>
      </c>
      <c r="B1963" t="s">
        <v>16859</v>
      </c>
      <c r="C1963">
        <v>0</v>
      </c>
    </row>
    <row r="1964" spans="1:3" x14ac:dyDescent="0.25">
      <c r="A1964" s="48" t="s">
        <v>16862</v>
      </c>
      <c r="B1964" t="s">
        <v>16863</v>
      </c>
      <c r="C1964">
        <v>0</v>
      </c>
    </row>
    <row r="1965" spans="1:3" x14ac:dyDescent="0.25">
      <c r="A1965" s="48" t="s">
        <v>16864</v>
      </c>
      <c r="B1965" t="s">
        <v>16865</v>
      </c>
      <c r="C1965">
        <v>0</v>
      </c>
    </row>
    <row r="1966" spans="1:3" x14ac:dyDescent="0.25">
      <c r="A1966" s="48" t="s">
        <v>15731</v>
      </c>
      <c r="B1966" t="s">
        <v>15732</v>
      </c>
      <c r="C1966">
        <v>0</v>
      </c>
    </row>
    <row r="1967" spans="1:3" x14ac:dyDescent="0.25">
      <c r="A1967" s="48" t="s">
        <v>4699</v>
      </c>
      <c r="B1967" t="s">
        <v>20265</v>
      </c>
      <c r="C1967">
        <v>0</v>
      </c>
    </row>
    <row r="1968" spans="1:3" x14ac:dyDescent="0.25">
      <c r="A1968" s="48" t="s">
        <v>18165</v>
      </c>
      <c r="B1968" t="s">
        <v>20266</v>
      </c>
      <c r="C1968">
        <v>0</v>
      </c>
    </row>
    <row r="1969" spans="1:3" x14ac:dyDescent="0.25">
      <c r="A1969" s="48" t="s">
        <v>8517</v>
      </c>
      <c r="B1969" t="s">
        <v>20267</v>
      </c>
      <c r="C1969">
        <v>0</v>
      </c>
    </row>
    <row r="1970" spans="1:3" x14ac:dyDescent="0.25">
      <c r="A1970" s="48" t="s">
        <v>8511</v>
      </c>
      <c r="B1970" t="s">
        <v>20268</v>
      </c>
      <c r="C1970">
        <v>0</v>
      </c>
    </row>
    <row r="1971" spans="1:3" x14ac:dyDescent="0.25">
      <c r="A1971" s="48" t="s">
        <v>11220</v>
      </c>
      <c r="B1971" t="s">
        <v>20269</v>
      </c>
      <c r="C1971">
        <v>0</v>
      </c>
    </row>
    <row r="1972" spans="1:3" x14ac:dyDescent="0.25">
      <c r="A1972" s="48" t="s">
        <v>8730</v>
      </c>
      <c r="B1972" t="s">
        <v>20270</v>
      </c>
      <c r="C1972">
        <v>0</v>
      </c>
    </row>
    <row r="1973" spans="1:3" x14ac:dyDescent="0.25">
      <c r="A1973" s="48" t="s">
        <v>12133</v>
      </c>
      <c r="B1973" t="s">
        <v>20271</v>
      </c>
      <c r="C1973">
        <v>0</v>
      </c>
    </row>
    <row r="1974" spans="1:3" x14ac:dyDescent="0.25">
      <c r="A1974" s="48" t="s">
        <v>15941</v>
      </c>
      <c r="B1974" t="s">
        <v>20272</v>
      </c>
      <c r="C1974">
        <v>0</v>
      </c>
    </row>
    <row r="1975" spans="1:3" x14ac:dyDescent="0.25">
      <c r="A1975" s="48" t="s">
        <v>15939</v>
      </c>
      <c r="B1975" t="s">
        <v>20273</v>
      </c>
      <c r="C1975">
        <v>0</v>
      </c>
    </row>
    <row r="1976" spans="1:3" x14ac:dyDescent="0.25">
      <c r="A1976" s="48" t="s">
        <v>7756</v>
      </c>
      <c r="B1976" t="s">
        <v>20274</v>
      </c>
      <c r="C1976">
        <v>0</v>
      </c>
    </row>
    <row r="1977" spans="1:3" x14ac:dyDescent="0.25">
      <c r="A1977" s="48" t="s">
        <v>17831</v>
      </c>
      <c r="B1977" t="s">
        <v>20275</v>
      </c>
      <c r="C1977">
        <v>0</v>
      </c>
    </row>
    <row r="1978" spans="1:3" x14ac:dyDescent="0.25">
      <c r="A1978" s="48" t="s">
        <v>3865</v>
      </c>
      <c r="B1978" t="s">
        <v>20276</v>
      </c>
      <c r="C1978">
        <v>5</v>
      </c>
    </row>
    <row r="1979" spans="1:3" x14ac:dyDescent="0.25">
      <c r="A1979" s="48" t="s">
        <v>10257</v>
      </c>
      <c r="B1979" t="s">
        <v>20277</v>
      </c>
      <c r="C1979">
        <v>0</v>
      </c>
    </row>
    <row r="1980" spans="1:3" x14ac:dyDescent="0.25">
      <c r="A1980" s="48" t="s">
        <v>11216</v>
      </c>
      <c r="B1980" t="s">
        <v>20278</v>
      </c>
      <c r="C1980">
        <v>0</v>
      </c>
    </row>
    <row r="1981" spans="1:3" x14ac:dyDescent="0.25">
      <c r="A1981" s="48" t="s">
        <v>17835</v>
      </c>
      <c r="B1981" t="s">
        <v>20279</v>
      </c>
      <c r="C1981">
        <v>0</v>
      </c>
    </row>
    <row r="1982" spans="1:3" x14ac:dyDescent="0.25">
      <c r="A1982" s="48" t="s">
        <v>17310</v>
      </c>
      <c r="B1982" t="s">
        <v>20280</v>
      </c>
      <c r="C1982">
        <v>10</v>
      </c>
    </row>
    <row r="1983" spans="1:3" x14ac:dyDescent="0.25">
      <c r="A1983" s="48" t="s">
        <v>17829</v>
      </c>
      <c r="B1983" t="s">
        <v>20281</v>
      </c>
      <c r="C1983">
        <v>0</v>
      </c>
    </row>
    <row r="1984" spans="1:3" x14ac:dyDescent="0.25">
      <c r="A1984" s="48" t="s">
        <v>12700</v>
      </c>
      <c r="B1984" t="s">
        <v>20282</v>
      </c>
      <c r="C1984">
        <v>0</v>
      </c>
    </row>
    <row r="1985" spans="1:3" x14ac:dyDescent="0.25">
      <c r="A1985" s="48" t="s">
        <v>18237</v>
      </c>
      <c r="B1985" t="s">
        <v>20283</v>
      </c>
      <c r="C1985">
        <v>1</v>
      </c>
    </row>
    <row r="1986" spans="1:3" x14ac:dyDescent="0.25">
      <c r="A1986" s="48" t="s">
        <v>16001</v>
      </c>
      <c r="B1986" t="s">
        <v>20284</v>
      </c>
      <c r="C1986">
        <v>3</v>
      </c>
    </row>
    <row r="1987" spans="1:3" x14ac:dyDescent="0.25">
      <c r="A1987" s="48" t="s">
        <v>5311</v>
      </c>
      <c r="B1987" t="s">
        <v>20285</v>
      </c>
      <c r="C1987">
        <v>0</v>
      </c>
    </row>
    <row r="1988" spans="1:3" x14ac:dyDescent="0.25">
      <c r="A1988" s="48" t="s">
        <v>12702</v>
      </c>
      <c r="B1988" t="s">
        <v>20286</v>
      </c>
      <c r="C1988">
        <v>0</v>
      </c>
    </row>
    <row r="1989" spans="1:3" x14ac:dyDescent="0.25">
      <c r="A1989" s="48" t="s">
        <v>15999</v>
      </c>
      <c r="B1989" t="s">
        <v>20287</v>
      </c>
      <c r="C1989">
        <v>0</v>
      </c>
    </row>
    <row r="1990" spans="1:3" x14ac:dyDescent="0.25">
      <c r="A1990" s="48" t="s">
        <v>14527</v>
      </c>
      <c r="B1990" t="s">
        <v>20288</v>
      </c>
      <c r="C1990">
        <v>0</v>
      </c>
    </row>
    <row r="1991" spans="1:3" x14ac:dyDescent="0.25">
      <c r="A1991" s="48" t="s">
        <v>6591</v>
      </c>
      <c r="B1991" t="s">
        <v>20289</v>
      </c>
      <c r="C1991">
        <v>6</v>
      </c>
    </row>
    <row r="1992" spans="1:3" x14ac:dyDescent="0.25">
      <c r="A1992" s="48" t="s">
        <v>8459</v>
      </c>
      <c r="B1992" t="s">
        <v>20290</v>
      </c>
      <c r="C1992">
        <v>0</v>
      </c>
    </row>
    <row r="1993" spans="1:3" x14ac:dyDescent="0.25">
      <c r="A1993" s="48" t="s">
        <v>13074</v>
      </c>
      <c r="B1993" t="s">
        <v>13075</v>
      </c>
      <c r="C1993">
        <v>0</v>
      </c>
    </row>
    <row r="1994" spans="1:3" x14ac:dyDescent="0.25">
      <c r="A1994" s="48" t="s">
        <v>13100</v>
      </c>
      <c r="B1994" t="s">
        <v>13101</v>
      </c>
      <c r="C1994">
        <v>0</v>
      </c>
    </row>
    <row r="1995" spans="1:3" x14ac:dyDescent="0.25">
      <c r="A1995" s="48" t="s">
        <v>13112</v>
      </c>
      <c r="B1995" t="s">
        <v>13113</v>
      </c>
      <c r="C1995">
        <v>0</v>
      </c>
    </row>
    <row r="1996" spans="1:3" x14ac:dyDescent="0.25">
      <c r="A1996" s="48" t="s">
        <v>13116</v>
      </c>
      <c r="B1996" t="s">
        <v>13117</v>
      </c>
      <c r="C1996">
        <v>0</v>
      </c>
    </row>
    <row r="1997" spans="1:3" x14ac:dyDescent="0.25">
      <c r="A1997" s="48" t="s">
        <v>13118</v>
      </c>
      <c r="B1997" t="s">
        <v>13119</v>
      </c>
      <c r="C1997">
        <v>0</v>
      </c>
    </row>
    <row r="1998" spans="1:3" x14ac:dyDescent="0.25">
      <c r="A1998" s="48" t="s">
        <v>13110</v>
      </c>
      <c r="B1998" t="s">
        <v>13111</v>
      </c>
      <c r="C1998">
        <v>0</v>
      </c>
    </row>
    <row r="1999" spans="1:3" x14ac:dyDescent="0.25">
      <c r="A1999" s="48" t="s">
        <v>18534</v>
      </c>
      <c r="B1999" t="s">
        <v>18535</v>
      </c>
      <c r="C1999">
        <v>4</v>
      </c>
    </row>
    <row r="2000" spans="1:3" x14ac:dyDescent="0.25">
      <c r="A2000" s="48" t="s">
        <v>7291</v>
      </c>
      <c r="B2000" t="s">
        <v>7292</v>
      </c>
      <c r="C2000">
        <v>3</v>
      </c>
    </row>
    <row r="2001" spans="1:3" x14ac:dyDescent="0.25">
      <c r="A2001" s="48" t="s">
        <v>7289</v>
      </c>
      <c r="B2001" t="s">
        <v>7290</v>
      </c>
      <c r="C2001">
        <v>10</v>
      </c>
    </row>
    <row r="2002" spans="1:3" x14ac:dyDescent="0.25">
      <c r="A2002" s="48" t="s">
        <v>14700</v>
      </c>
      <c r="B2002" t="s">
        <v>14701</v>
      </c>
      <c r="C2002">
        <v>0</v>
      </c>
    </row>
    <row r="2003" spans="1:3" x14ac:dyDescent="0.25">
      <c r="A2003" s="48" t="s">
        <v>7724</v>
      </c>
      <c r="B2003" t="s">
        <v>7725</v>
      </c>
      <c r="C2003">
        <v>5</v>
      </c>
    </row>
    <row r="2004" spans="1:3" x14ac:dyDescent="0.25">
      <c r="A2004" s="48" t="s">
        <v>7293</v>
      </c>
      <c r="B2004" t="s">
        <v>7294</v>
      </c>
      <c r="C2004">
        <v>10</v>
      </c>
    </row>
    <row r="2005" spans="1:3" x14ac:dyDescent="0.25">
      <c r="A2005" s="48" t="s">
        <v>11350</v>
      </c>
      <c r="B2005" t="s">
        <v>11351</v>
      </c>
      <c r="C2005">
        <v>0</v>
      </c>
    </row>
    <row r="2006" spans="1:3" x14ac:dyDescent="0.25">
      <c r="A2006" s="48" t="s">
        <v>11344</v>
      </c>
      <c r="B2006" t="s">
        <v>11345</v>
      </c>
      <c r="C2006">
        <v>0</v>
      </c>
    </row>
    <row r="2007" spans="1:3" x14ac:dyDescent="0.25">
      <c r="A2007" s="48" t="s">
        <v>11730</v>
      </c>
      <c r="B2007" t="s">
        <v>11731</v>
      </c>
      <c r="C2007">
        <v>11</v>
      </c>
    </row>
    <row r="2008" spans="1:3" x14ac:dyDescent="0.25">
      <c r="A2008" s="48" t="s">
        <v>11732</v>
      </c>
      <c r="B2008" t="s">
        <v>11733</v>
      </c>
      <c r="C2008">
        <v>7</v>
      </c>
    </row>
    <row r="2009" spans="1:3" x14ac:dyDescent="0.25">
      <c r="A2009" s="48" t="s">
        <v>2767</v>
      </c>
      <c r="B2009" t="s">
        <v>2768</v>
      </c>
      <c r="C2009">
        <v>50</v>
      </c>
    </row>
    <row r="2010" spans="1:3" x14ac:dyDescent="0.25">
      <c r="A2010" s="48" t="s">
        <v>6375</v>
      </c>
      <c r="B2010" t="s">
        <v>6376</v>
      </c>
      <c r="C2010">
        <v>26</v>
      </c>
    </row>
    <row r="2011" spans="1:3" x14ac:dyDescent="0.25">
      <c r="A2011" s="48" t="s">
        <v>14549</v>
      </c>
      <c r="B2011" t="s">
        <v>14550</v>
      </c>
      <c r="C2011">
        <v>0</v>
      </c>
    </row>
    <row r="2012" spans="1:3" x14ac:dyDescent="0.25">
      <c r="A2012" s="48" t="s">
        <v>7676</v>
      </c>
      <c r="B2012" t="s">
        <v>7677</v>
      </c>
      <c r="C2012">
        <v>0</v>
      </c>
    </row>
    <row r="2013" spans="1:3" x14ac:dyDescent="0.25">
      <c r="A2013" s="48" t="s">
        <v>14256</v>
      </c>
      <c r="B2013" t="s">
        <v>14257</v>
      </c>
      <c r="C2013">
        <v>0</v>
      </c>
    </row>
    <row r="2014" spans="1:3" x14ac:dyDescent="0.25">
      <c r="A2014" s="48" t="s">
        <v>17042</v>
      </c>
      <c r="B2014" t="s">
        <v>20291</v>
      </c>
      <c r="C2014">
        <v>0</v>
      </c>
    </row>
    <row r="2015" spans="1:3" x14ac:dyDescent="0.25">
      <c r="A2015" s="48" t="s">
        <v>12277</v>
      </c>
      <c r="B2015" t="s">
        <v>20292</v>
      </c>
      <c r="C2015">
        <v>0</v>
      </c>
    </row>
    <row r="2016" spans="1:3" x14ac:dyDescent="0.25">
      <c r="A2016" s="48" t="s">
        <v>2988</v>
      </c>
      <c r="B2016" t="s">
        <v>2989</v>
      </c>
      <c r="C2016">
        <v>0</v>
      </c>
    </row>
    <row r="2017" spans="1:3" x14ac:dyDescent="0.25">
      <c r="A2017" s="48" t="s">
        <v>5141</v>
      </c>
      <c r="B2017" t="s">
        <v>5142</v>
      </c>
      <c r="C2017">
        <v>0</v>
      </c>
    </row>
    <row r="2018" spans="1:3" x14ac:dyDescent="0.25">
      <c r="A2018" s="48" t="s">
        <v>14838</v>
      </c>
      <c r="B2018" t="s">
        <v>14839</v>
      </c>
      <c r="C2018">
        <v>0</v>
      </c>
    </row>
    <row r="2019" spans="1:3" x14ac:dyDescent="0.25">
      <c r="A2019" s="48" t="s">
        <v>14830</v>
      </c>
      <c r="B2019" t="s">
        <v>14831</v>
      </c>
      <c r="C2019">
        <v>0</v>
      </c>
    </row>
    <row r="2020" spans="1:3" x14ac:dyDescent="0.25">
      <c r="A2020" s="48" t="s">
        <v>14702</v>
      </c>
      <c r="B2020" t="s">
        <v>14703</v>
      </c>
      <c r="C2020">
        <v>0</v>
      </c>
    </row>
    <row r="2021" spans="1:3" x14ac:dyDescent="0.25">
      <c r="A2021" s="48" t="s">
        <v>16212</v>
      </c>
      <c r="B2021" t="s">
        <v>16213</v>
      </c>
      <c r="C2021">
        <v>11</v>
      </c>
    </row>
    <row r="2022" spans="1:3" x14ac:dyDescent="0.25">
      <c r="A2022" s="48" t="s">
        <v>6519</v>
      </c>
      <c r="B2022" t="s">
        <v>6520</v>
      </c>
      <c r="C2022">
        <v>0</v>
      </c>
    </row>
    <row r="2023" spans="1:3" x14ac:dyDescent="0.25">
      <c r="A2023" s="48" t="s">
        <v>11590</v>
      </c>
      <c r="B2023" t="s">
        <v>11591</v>
      </c>
      <c r="C2023">
        <v>0</v>
      </c>
    </row>
    <row r="2024" spans="1:3" x14ac:dyDescent="0.25">
      <c r="A2024" s="48" t="s">
        <v>10273</v>
      </c>
      <c r="B2024" t="s">
        <v>10274</v>
      </c>
      <c r="C2024">
        <v>0</v>
      </c>
    </row>
    <row r="2025" spans="1:3" x14ac:dyDescent="0.25">
      <c r="A2025" s="48" t="s">
        <v>10275</v>
      </c>
      <c r="B2025" t="s">
        <v>10276</v>
      </c>
      <c r="C2025">
        <v>0</v>
      </c>
    </row>
    <row r="2026" spans="1:3" x14ac:dyDescent="0.25">
      <c r="A2026" s="48" t="s">
        <v>10269</v>
      </c>
      <c r="B2026" t="s">
        <v>10270</v>
      </c>
      <c r="C2026">
        <v>0</v>
      </c>
    </row>
    <row r="2027" spans="1:3" x14ac:dyDescent="0.25">
      <c r="A2027" s="48" t="s">
        <v>15090</v>
      </c>
      <c r="B2027" t="s">
        <v>20293</v>
      </c>
      <c r="C2027">
        <v>17</v>
      </c>
    </row>
    <row r="2028" spans="1:3" x14ac:dyDescent="0.25">
      <c r="A2028" s="48" t="s">
        <v>2763</v>
      </c>
      <c r="B2028" t="s">
        <v>2764</v>
      </c>
      <c r="C2028">
        <v>0</v>
      </c>
    </row>
    <row r="2029" spans="1:3" x14ac:dyDescent="0.25">
      <c r="A2029" s="48" t="s">
        <v>2777</v>
      </c>
      <c r="B2029" t="s">
        <v>2778</v>
      </c>
      <c r="C2029">
        <v>91</v>
      </c>
    </row>
    <row r="2030" spans="1:3" x14ac:dyDescent="0.25">
      <c r="A2030" s="48" t="s">
        <v>2799</v>
      </c>
      <c r="B2030" t="s">
        <v>2800</v>
      </c>
      <c r="C2030">
        <v>6</v>
      </c>
    </row>
    <row r="2031" spans="1:3" x14ac:dyDescent="0.25">
      <c r="A2031" s="48" t="s">
        <v>2845</v>
      </c>
      <c r="B2031" t="s">
        <v>2846</v>
      </c>
      <c r="C2031">
        <v>1</v>
      </c>
    </row>
    <row r="2032" spans="1:3" x14ac:dyDescent="0.25">
      <c r="A2032" s="48" t="s">
        <v>2865</v>
      </c>
      <c r="B2032" t="s">
        <v>2866</v>
      </c>
      <c r="C2032">
        <v>24</v>
      </c>
    </row>
    <row r="2033" spans="1:3" x14ac:dyDescent="0.25">
      <c r="A2033" s="48" t="s">
        <v>4489</v>
      </c>
      <c r="B2033" t="s">
        <v>4490</v>
      </c>
      <c r="C2033">
        <v>0</v>
      </c>
    </row>
    <row r="2034" spans="1:3" x14ac:dyDescent="0.25">
      <c r="A2034" s="48" t="s">
        <v>4122</v>
      </c>
      <c r="B2034" t="s">
        <v>4123</v>
      </c>
      <c r="C2034">
        <v>0</v>
      </c>
    </row>
    <row r="2035" spans="1:3" x14ac:dyDescent="0.25">
      <c r="A2035" s="48" t="s">
        <v>4120</v>
      </c>
      <c r="B2035" t="s">
        <v>4121</v>
      </c>
      <c r="C2035">
        <v>30</v>
      </c>
    </row>
    <row r="2036" spans="1:3" x14ac:dyDescent="0.25">
      <c r="A2036" s="48" t="s">
        <v>14393</v>
      </c>
      <c r="B2036" t="s">
        <v>14394</v>
      </c>
      <c r="C2036">
        <v>3</v>
      </c>
    </row>
    <row r="2037" spans="1:3" x14ac:dyDescent="0.25">
      <c r="A2037" s="48" t="s">
        <v>2817</v>
      </c>
      <c r="B2037" t="s">
        <v>2818</v>
      </c>
      <c r="C2037">
        <v>5</v>
      </c>
    </row>
    <row r="2038" spans="1:3" x14ac:dyDescent="0.25">
      <c r="A2038" s="48" t="s">
        <v>4453</v>
      </c>
      <c r="B2038" t="s">
        <v>4454</v>
      </c>
      <c r="C2038">
        <v>10</v>
      </c>
    </row>
    <row r="2039" spans="1:3" x14ac:dyDescent="0.25">
      <c r="A2039" s="48" t="s">
        <v>4447</v>
      </c>
      <c r="B2039" t="s">
        <v>4448</v>
      </c>
      <c r="C2039">
        <v>11</v>
      </c>
    </row>
    <row r="2040" spans="1:3" x14ac:dyDescent="0.25">
      <c r="A2040" s="48" t="s">
        <v>2863</v>
      </c>
      <c r="B2040" t="s">
        <v>2864</v>
      </c>
      <c r="C2040">
        <v>120</v>
      </c>
    </row>
    <row r="2041" spans="1:3" x14ac:dyDescent="0.25">
      <c r="A2041" s="48" t="s">
        <v>3096</v>
      </c>
      <c r="B2041" t="s">
        <v>3097</v>
      </c>
      <c r="C2041">
        <v>0</v>
      </c>
    </row>
    <row r="2042" spans="1:3" x14ac:dyDescent="0.25">
      <c r="A2042" s="48" t="s">
        <v>10277</v>
      </c>
      <c r="B2042" t="s">
        <v>10278</v>
      </c>
      <c r="C2042">
        <v>0</v>
      </c>
    </row>
    <row r="2043" spans="1:3" x14ac:dyDescent="0.25">
      <c r="A2043" s="48" t="s">
        <v>16596</v>
      </c>
      <c r="B2043" t="s">
        <v>16597</v>
      </c>
      <c r="C2043">
        <v>0</v>
      </c>
    </row>
    <row r="2044" spans="1:3" x14ac:dyDescent="0.25">
      <c r="A2044" s="48" t="s">
        <v>19038</v>
      </c>
      <c r="B2044" t="s">
        <v>19039</v>
      </c>
      <c r="C2044">
        <v>32</v>
      </c>
    </row>
    <row r="2045" spans="1:3" x14ac:dyDescent="0.25">
      <c r="A2045" s="48" t="s">
        <v>19042</v>
      </c>
      <c r="B2045" t="s">
        <v>19043</v>
      </c>
      <c r="C2045">
        <v>9</v>
      </c>
    </row>
    <row r="2046" spans="1:3" x14ac:dyDescent="0.25">
      <c r="A2046" s="48" t="s">
        <v>18191</v>
      </c>
      <c r="B2046" t="s">
        <v>18192</v>
      </c>
      <c r="C2046">
        <v>0</v>
      </c>
    </row>
    <row r="2047" spans="1:3" x14ac:dyDescent="0.25">
      <c r="A2047" s="48" t="s">
        <v>18183</v>
      </c>
      <c r="B2047" t="s">
        <v>18184</v>
      </c>
      <c r="C2047">
        <v>1</v>
      </c>
    </row>
    <row r="2048" spans="1:3" x14ac:dyDescent="0.25">
      <c r="A2048" s="48" t="s">
        <v>17913</v>
      </c>
      <c r="B2048" t="s">
        <v>17914</v>
      </c>
      <c r="C2048">
        <v>0</v>
      </c>
    </row>
    <row r="2049" spans="1:3" x14ac:dyDescent="0.25">
      <c r="A2049" s="48" t="s">
        <v>10271</v>
      </c>
      <c r="B2049" t="s">
        <v>10272</v>
      </c>
      <c r="C2049">
        <v>0</v>
      </c>
    </row>
    <row r="2050" spans="1:3" x14ac:dyDescent="0.25">
      <c r="A2050" s="48" t="s">
        <v>6450</v>
      </c>
      <c r="B2050" t="s">
        <v>6451</v>
      </c>
      <c r="C2050">
        <v>0</v>
      </c>
    </row>
    <row r="2051" spans="1:3" x14ac:dyDescent="0.25">
      <c r="A2051" s="48" t="s">
        <v>6452</v>
      </c>
      <c r="B2051" t="s">
        <v>6453</v>
      </c>
      <c r="C2051">
        <v>10</v>
      </c>
    </row>
    <row r="2052" spans="1:3" x14ac:dyDescent="0.25">
      <c r="A2052" s="48" t="s">
        <v>5505</v>
      </c>
      <c r="B2052" t="s">
        <v>5506</v>
      </c>
      <c r="C2052">
        <v>1</v>
      </c>
    </row>
    <row r="2053" spans="1:3" x14ac:dyDescent="0.25">
      <c r="A2053" s="48" t="s">
        <v>5473</v>
      </c>
      <c r="B2053" t="s">
        <v>5474</v>
      </c>
      <c r="C2053">
        <v>2</v>
      </c>
    </row>
    <row r="2054" spans="1:3" x14ac:dyDescent="0.25">
      <c r="A2054" s="48" t="s">
        <v>5563</v>
      </c>
      <c r="B2054" t="s">
        <v>5564</v>
      </c>
      <c r="C2054">
        <v>0</v>
      </c>
    </row>
    <row r="2055" spans="1:3" x14ac:dyDescent="0.25">
      <c r="A2055" s="48" t="s">
        <v>12777</v>
      </c>
      <c r="B2055" t="s">
        <v>12778</v>
      </c>
      <c r="C2055">
        <v>0</v>
      </c>
    </row>
    <row r="2056" spans="1:3" x14ac:dyDescent="0.25">
      <c r="A2056" s="48" t="s">
        <v>7750</v>
      </c>
      <c r="B2056" t="s">
        <v>20294</v>
      </c>
      <c r="C2056">
        <v>0</v>
      </c>
    </row>
    <row r="2057" spans="1:3" x14ac:dyDescent="0.25">
      <c r="A2057" s="48" t="s">
        <v>10255</v>
      </c>
      <c r="B2057" t="s">
        <v>10256</v>
      </c>
      <c r="C2057">
        <v>0</v>
      </c>
    </row>
    <row r="2058" spans="1:3" x14ac:dyDescent="0.25">
      <c r="A2058" s="48" t="s">
        <v>17466</v>
      </c>
      <c r="B2058" t="s">
        <v>17467</v>
      </c>
      <c r="C2058">
        <v>0</v>
      </c>
    </row>
    <row r="2059" spans="1:3" x14ac:dyDescent="0.25">
      <c r="A2059" s="48" t="s">
        <v>16590</v>
      </c>
      <c r="B2059" t="s">
        <v>16591</v>
      </c>
      <c r="C2059">
        <v>0</v>
      </c>
    </row>
    <row r="2060" spans="1:3" x14ac:dyDescent="0.25">
      <c r="A2060" s="48" t="s">
        <v>4412</v>
      </c>
      <c r="B2060" t="s">
        <v>4413</v>
      </c>
      <c r="C2060">
        <v>11</v>
      </c>
    </row>
    <row r="2061" spans="1:3" x14ac:dyDescent="0.25">
      <c r="A2061" s="48" t="s">
        <v>4434</v>
      </c>
      <c r="B2061" t="s">
        <v>4435</v>
      </c>
      <c r="C2061">
        <v>11</v>
      </c>
    </row>
    <row r="2062" spans="1:3" x14ac:dyDescent="0.25">
      <c r="A2062" s="48" t="s">
        <v>4422</v>
      </c>
      <c r="B2062" t="s">
        <v>4423</v>
      </c>
      <c r="C2062">
        <v>41</v>
      </c>
    </row>
    <row r="2063" spans="1:3" x14ac:dyDescent="0.25">
      <c r="A2063" s="48" t="s">
        <v>4420</v>
      </c>
      <c r="B2063" t="s">
        <v>4421</v>
      </c>
      <c r="C2063">
        <v>38</v>
      </c>
    </row>
    <row r="2064" spans="1:3" x14ac:dyDescent="0.25">
      <c r="A2064" s="48" t="s">
        <v>2819</v>
      </c>
      <c r="B2064" t="s">
        <v>2820</v>
      </c>
      <c r="C2064">
        <v>41</v>
      </c>
    </row>
    <row r="2065" spans="1:3" x14ac:dyDescent="0.25">
      <c r="A2065" s="48" t="s">
        <v>2855</v>
      </c>
      <c r="B2065" t="s">
        <v>2856</v>
      </c>
      <c r="C2065">
        <v>0</v>
      </c>
    </row>
    <row r="2066" spans="1:3" x14ac:dyDescent="0.25">
      <c r="A2066" s="48" t="s">
        <v>2857</v>
      </c>
      <c r="B2066" t="s">
        <v>2858</v>
      </c>
      <c r="C2066">
        <v>0</v>
      </c>
    </row>
    <row r="2067" spans="1:3" x14ac:dyDescent="0.25">
      <c r="A2067" s="48" t="s">
        <v>2873</v>
      </c>
      <c r="B2067" t="s">
        <v>2874</v>
      </c>
      <c r="C2067">
        <v>29</v>
      </c>
    </row>
    <row r="2068" spans="1:3" x14ac:dyDescent="0.25">
      <c r="A2068" s="48" t="s">
        <v>11602</v>
      </c>
      <c r="B2068" t="s">
        <v>11603</v>
      </c>
      <c r="C2068">
        <v>0</v>
      </c>
    </row>
    <row r="2069" spans="1:3" x14ac:dyDescent="0.25">
      <c r="A2069" s="48" t="s">
        <v>11608</v>
      </c>
      <c r="B2069" t="s">
        <v>11609</v>
      </c>
      <c r="C2069">
        <v>6</v>
      </c>
    </row>
    <row r="2070" spans="1:3" x14ac:dyDescent="0.25">
      <c r="A2070" s="48" t="s">
        <v>11600</v>
      </c>
      <c r="B2070" t="s">
        <v>11601</v>
      </c>
      <c r="C2070">
        <v>0</v>
      </c>
    </row>
    <row r="2071" spans="1:3" x14ac:dyDescent="0.25">
      <c r="A2071" s="48" t="s">
        <v>11572</v>
      </c>
      <c r="B2071" t="s">
        <v>22935</v>
      </c>
      <c r="C2071">
        <v>0</v>
      </c>
    </row>
    <row r="2072" spans="1:3" x14ac:dyDescent="0.25">
      <c r="A2072" s="48" t="s">
        <v>11582</v>
      </c>
      <c r="B2072" t="s">
        <v>11583</v>
      </c>
      <c r="C2072">
        <v>0</v>
      </c>
    </row>
    <row r="2073" spans="1:3" x14ac:dyDescent="0.25">
      <c r="A2073" s="48" t="s">
        <v>11588</v>
      </c>
      <c r="B2073" t="s">
        <v>11589</v>
      </c>
      <c r="C2073">
        <v>0</v>
      </c>
    </row>
    <row r="2074" spans="1:3" x14ac:dyDescent="0.25">
      <c r="A2074" s="48" t="s">
        <v>11592</v>
      </c>
      <c r="B2074" t="s">
        <v>11593</v>
      </c>
      <c r="C2074">
        <v>0</v>
      </c>
    </row>
    <row r="2075" spans="1:3" x14ac:dyDescent="0.25">
      <c r="A2075" s="48" t="s">
        <v>11574</v>
      </c>
      <c r="B2075" t="s">
        <v>11575</v>
      </c>
      <c r="C2075">
        <v>0</v>
      </c>
    </row>
    <row r="2076" spans="1:3" x14ac:dyDescent="0.25">
      <c r="A2076" s="48" t="s">
        <v>11578</v>
      </c>
      <c r="B2076" t="s">
        <v>11579</v>
      </c>
      <c r="C2076">
        <v>0</v>
      </c>
    </row>
    <row r="2077" spans="1:3" x14ac:dyDescent="0.25">
      <c r="A2077" s="48" t="s">
        <v>11584</v>
      </c>
      <c r="B2077" t="s">
        <v>11585</v>
      </c>
      <c r="C2077">
        <v>0</v>
      </c>
    </row>
    <row r="2078" spans="1:3" x14ac:dyDescent="0.25">
      <c r="A2078" s="48" t="s">
        <v>11594</v>
      </c>
      <c r="B2078" t="s">
        <v>11595</v>
      </c>
      <c r="C2078">
        <v>0</v>
      </c>
    </row>
    <row r="2079" spans="1:3" x14ac:dyDescent="0.25">
      <c r="A2079" s="48" t="s">
        <v>11612</v>
      </c>
      <c r="B2079" t="s">
        <v>11613</v>
      </c>
      <c r="C2079">
        <v>5</v>
      </c>
    </row>
    <row r="2080" spans="1:3" x14ac:dyDescent="0.25">
      <c r="A2080" s="48" t="s">
        <v>11298</v>
      </c>
      <c r="B2080" t="s">
        <v>22882</v>
      </c>
      <c r="C2080">
        <v>2</v>
      </c>
    </row>
    <row r="2081" spans="1:3" x14ac:dyDescent="0.25">
      <c r="A2081" s="48" t="s">
        <v>11304</v>
      </c>
      <c r="B2081" t="s">
        <v>22883</v>
      </c>
      <c r="C2081">
        <v>2</v>
      </c>
    </row>
    <row r="2082" spans="1:3" x14ac:dyDescent="0.25">
      <c r="A2082" s="48" t="s">
        <v>11310</v>
      </c>
      <c r="B2082" t="s">
        <v>22884</v>
      </c>
      <c r="C2082">
        <v>1</v>
      </c>
    </row>
    <row r="2083" spans="1:3" x14ac:dyDescent="0.25">
      <c r="A2083" s="48" t="s">
        <v>11294</v>
      </c>
      <c r="B2083" t="s">
        <v>22885</v>
      </c>
      <c r="C2083">
        <v>0</v>
      </c>
    </row>
    <row r="2084" spans="1:3" x14ac:dyDescent="0.25">
      <c r="A2084" s="48" t="s">
        <v>18037</v>
      </c>
      <c r="B2084" t="s">
        <v>18038</v>
      </c>
      <c r="C2084">
        <v>8</v>
      </c>
    </row>
    <row r="2085" spans="1:3" x14ac:dyDescent="0.25">
      <c r="A2085" s="48" t="s">
        <v>11512</v>
      </c>
      <c r="B2085" t="s">
        <v>11513</v>
      </c>
      <c r="C2085">
        <v>0</v>
      </c>
    </row>
    <row r="2086" spans="1:3" x14ac:dyDescent="0.25">
      <c r="A2086" s="48" t="s">
        <v>11256</v>
      </c>
      <c r="B2086" t="s">
        <v>22936</v>
      </c>
      <c r="C2086">
        <v>0</v>
      </c>
    </row>
    <row r="2087" spans="1:3" x14ac:dyDescent="0.25">
      <c r="A2087" s="48" t="s">
        <v>11260</v>
      </c>
      <c r="B2087" t="s">
        <v>22937</v>
      </c>
      <c r="C2087">
        <v>0</v>
      </c>
    </row>
    <row r="2088" spans="1:3" x14ac:dyDescent="0.25">
      <c r="A2088" s="48" t="s">
        <v>11264</v>
      </c>
      <c r="B2088" t="s">
        <v>22938</v>
      </c>
      <c r="C2088">
        <v>0</v>
      </c>
    </row>
    <row r="2089" spans="1:3" x14ac:dyDescent="0.25">
      <c r="A2089" s="48" t="s">
        <v>11268</v>
      </c>
      <c r="B2089" t="s">
        <v>22939</v>
      </c>
      <c r="C2089">
        <v>1</v>
      </c>
    </row>
    <row r="2090" spans="1:3" x14ac:dyDescent="0.25">
      <c r="A2090" s="48" t="s">
        <v>11254</v>
      </c>
      <c r="B2090" t="s">
        <v>22940</v>
      </c>
      <c r="C2090">
        <v>3</v>
      </c>
    </row>
    <row r="2091" spans="1:3" x14ac:dyDescent="0.25">
      <c r="A2091" s="48" t="s">
        <v>11258</v>
      </c>
      <c r="B2091" t="s">
        <v>22941</v>
      </c>
      <c r="C2091">
        <v>1</v>
      </c>
    </row>
    <row r="2092" spans="1:3" x14ac:dyDescent="0.25">
      <c r="A2092" s="48" t="s">
        <v>11262</v>
      </c>
      <c r="B2092" t="s">
        <v>22942</v>
      </c>
      <c r="C2092">
        <v>0</v>
      </c>
    </row>
    <row r="2093" spans="1:3" x14ac:dyDescent="0.25">
      <c r="A2093" s="48" t="s">
        <v>11266</v>
      </c>
      <c r="B2093" t="s">
        <v>22943</v>
      </c>
      <c r="C2093">
        <v>0</v>
      </c>
    </row>
    <row r="2094" spans="1:3" x14ac:dyDescent="0.25">
      <c r="A2094" s="48" t="s">
        <v>11270</v>
      </c>
      <c r="B2094" t="s">
        <v>22944</v>
      </c>
      <c r="C2094">
        <v>1</v>
      </c>
    </row>
    <row r="2095" spans="1:3" x14ac:dyDescent="0.25">
      <c r="A2095" s="48" t="s">
        <v>16348</v>
      </c>
      <c r="B2095" t="s">
        <v>16349</v>
      </c>
      <c r="C2095">
        <v>0</v>
      </c>
    </row>
    <row r="2096" spans="1:3" x14ac:dyDescent="0.25">
      <c r="A2096" s="48" t="s">
        <v>6177</v>
      </c>
      <c r="B2096" t="s">
        <v>6178</v>
      </c>
      <c r="C2096">
        <v>0</v>
      </c>
    </row>
    <row r="2097" spans="1:3" x14ac:dyDescent="0.25">
      <c r="A2097" s="48" t="s">
        <v>15733</v>
      </c>
      <c r="B2097" t="s">
        <v>15734</v>
      </c>
      <c r="C2097">
        <v>0</v>
      </c>
    </row>
    <row r="2098" spans="1:3" x14ac:dyDescent="0.25">
      <c r="A2098" s="48" t="s">
        <v>2689</v>
      </c>
      <c r="B2098" t="s">
        <v>20295</v>
      </c>
      <c r="C2098">
        <v>4</v>
      </c>
    </row>
    <row r="2099" spans="1:3" x14ac:dyDescent="0.25">
      <c r="A2099" s="48" t="s">
        <v>10780</v>
      </c>
      <c r="B2099" t="s">
        <v>20296</v>
      </c>
      <c r="C2099">
        <v>0</v>
      </c>
    </row>
    <row r="2100" spans="1:3" x14ac:dyDescent="0.25">
      <c r="A2100" s="48" t="s">
        <v>10628</v>
      </c>
      <c r="B2100" t="s">
        <v>20297</v>
      </c>
      <c r="C2100">
        <v>0</v>
      </c>
    </row>
    <row r="2101" spans="1:3" x14ac:dyDescent="0.25">
      <c r="A2101" s="48" t="s">
        <v>10646</v>
      </c>
      <c r="B2101" t="s">
        <v>20298</v>
      </c>
      <c r="C2101">
        <v>0</v>
      </c>
    </row>
    <row r="2102" spans="1:3" x14ac:dyDescent="0.25">
      <c r="A2102" s="48" t="s">
        <v>10664</v>
      </c>
      <c r="B2102" t="s">
        <v>20299</v>
      </c>
      <c r="C2102">
        <v>0</v>
      </c>
    </row>
    <row r="2103" spans="1:3" x14ac:dyDescent="0.25">
      <c r="A2103" s="48" t="s">
        <v>10684</v>
      </c>
      <c r="B2103" t="s">
        <v>20300</v>
      </c>
      <c r="C2103">
        <v>0</v>
      </c>
    </row>
    <row r="2104" spans="1:3" x14ac:dyDescent="0.25">
      <c r="A2104" s="48" t="s">
        <v>10704</v>
      </c>
      <c r="B2104" t="s">
        <v>20301</v>
      </c>
      <c r="C2104">
        <v>0</v>
      </c>
    </row>
    <row r="2105" spans="1:3" x14ac:dyDescent="0.25">
      <c r="A2105" s="48" t="s">
        <v>10724</v>
      </c>
      <c r="B2105" t="s">
        <v>20302</v>
      </c>
      <c r="C2105">
        <v>0</v>
      </c>
    </row>
    <row r="2106" spans="1:3" x14ac:dyDescent="0.25">
      <c r="A2106" s="48" t="s">
        <v>10742</v>
      </c>
      <c r="B2106" t="s">
        <v>20303</v>
      </c>
      <c r="C2106">
        <v>0</v>
      </c>
    </row>
    <row r="2107" spans="1:3" x14ac:dyDescent="0.25">
      <c r="A2107" s="48" t="s">
        <v>10762</v>
      </c>
      <c r="B2107" t="s">
        <v>20304</v>
      </c>
      <c r="C2107">
        <v>0</v>
      </c>
    </row>
    <row r="2108" spans="1:3" x14ac:dyDescent="0.25">
      <c r="A2108" s="48" t="s">
        <v>10798</v>
      </c>
      <c r="B2108" t="s">
        <v>20305</v>
      </c>
      <c r="C2108">
        <v>0</v>
      </c>
    </row>
    <row r="2109" spans="1:3" x14ac:dyDescent="0.25">
      <c r="A2109" s="48" t="s">
        <v>11826</v>
      </c>
      <c r="B2109" t="s">
        <v>20306</v>
      </c>
      <c r="C2109">
        <v>0</v>
      </c>
    </row>
    <row r="2110" spans="1:3" x14ac:dyDescent="0.25">
      <c r="A2110" s="48" t="s">
        <v>16796</v>
      </c>
      <c r="B2110" t="s">
        <v>20307</v>
      </c>
      <c r="C2110">
        <v>0</v>
      </c>
    </row>
    <row r="2111" spans="1:3" x14ac:dyDescent="0.25">
      <c r="A2111" s="48" t="s">
        <v>3537</v>
      </c>
      <c r="B2111" t="s">
        <v>20308</v>
      </c>
      <c r="C2111">
        <v>4</v>
      </c>
    </row>
    <row r="2112" spans="1:3" x14ac:dyDescent="0.25">
      <c r="A2112" s="48" t="s">
        <v>3539</v>
      </c>
      <c r="B2112" t="s">
        <v>20309</v>
      </c>
      <c r="C2112">
        <v>2</v>
      </c>
    </row>
    <row r="2113" spans="1:3" x14ac:dyDescent="0.25">
      <c r="A2113" s="48" t="s">
        <v>3535</v>
      </c>
      <c r="B2113" t="s">
        <v>20310</v>
      </c>
      <c r="C2113">
        <v>4</v>
      </c>
    </row>
    <row r="2114" spans="1:3" x14ac:dyDescent="0.25">
      <c r="A2114" s="48" t="s">
        <v>3541</v>
      </c>
      <c r="B2114" t="s">
        <v>20311</v>
      </c>
      <c r="C2114">
        <v>7</v>
      </c>
    </row>
    <row r="2115" spans="1:3" x14ac:dyDescent="0.25">
      <c r="A2115" s="48" t="s">
        <v>3142</v>
      </c>
      <c r="B2115" t="s">
        <v>20312</v>
      </c>
      <c r="C2115">
        <v>0</v>
      </c>
    </row>
    <row r="2116" spans="1:3" x14ac:dyDescent="0.25">
      <c r="A2116" s="48" t="s">
        <v>3144</v>
      </c>
      <c r="B2116" t="s">
        <v>20313</v>
      </c>
      <c r="C2116">
        <v>0</v>
      </c>
    </row>
    <row r="2117" spans="1:3" x14ac:dyDescent="0.25">
      <c r="A2117" s="48" t="s">
        <v>7977</v>
      </c>
      <c r="B2117" t="s">
        <v>20314</v>
      </c>
      <c r="C2117">
        <v>0</v>
      </c>
    </row>
    <row r="2118" spans="1:3" x14ac:dyDescent="0.25">
      <c r="A2118" s="48" t="s">
        <v>17424</v>
      </c>
      <c r="B2118" t="s">
        <v>20315</v>
      </c>
      <c r="C2118">
        <v>0</v>
      </c>
    </row>
    <row r="2119" spans="1:3" x14ac:dyDescent="0.25">
      <c r="A2119" s="48" t="s">
        <v>17464</v>
      </c>
      <c r="B2119" t="s">
        <v>20316</v>
      </c>
      <c r="C2119">
        <v>31</v>
      </c>
    </row>
    <row r="2120" spans="1:3" x14ac:dyDescent="0.25">
      <c r="A2120" s="48" t="s">
        <v>12105</v>
      </c>
      <c r="B2120" t="s">
        <v>20317</v>
      </c>
      <c r="C2120">
        <v>0</v>
      </c>
    </row>
    <row r="2121" spans="1:3" x14ac:dyDescent="0.25">
      <c r="A2121" s="48" t="s">
        <v>16994</v>
      </c>
      <c r="B2121" t="s">
        <v>20318</v>
      </c>
      <c r="C2121">
        <v>0</v>
      </c>
    </row>
    <row r="2122" spans="1:3" x14ac:dyDescent="0.25">
      <c r="A2122" s="48" t="s">
        <v>12473</v>
      </c>
      <c r="B2122" t="s">
        <v>12474</v>
      </c>
      <c r="C2122">
        <v>5</v>
      </c>
    </row>
    <row r="2123" spans="1:3" x14ac:dyDescent="0.25">
      <c r="A2123" s="48" t="s">
        <v>10215</v>
      </c>
      <c r="B2123" t="s">
        <v>20319</v>
      </c>
      <c r="C2123">
        <v>37</v>
      </c>
    </row>
    <row r="2124" spans="1:3" x14ac:dyDescent="0.25">
      <c r="A2124" s="48" t="s">
        <v>10217</v>
      </c>
      <c r="B2124" t="s">
        <v>20320</v>
      </c>
      <c r="C2124">
        <v>63</v>
      </c>
    </row>
    <row r="2125" spans="1:3" x14ac:dyDescent="0.25">
      <c r="A2125" s="48" t="s">
        <v>10197</v>
      </c>
      <c r="B2125" t="s">
        <v>20321</v>
      </c>
      <c r="C2125">
        <v>57</v>
      </c>
    </row>
    <row r="2126" spans="1:3" x14ac:dyDescent="0.25">
      <c r="A2126" s="48" t="s">
        <v>10195</v>
      </c>
      <c r="B2126" t="s">
        <v>20322</v>
      </c>
      <c r="C2126">
        <v>1</v>
      </c>
    </row>
    <row r="2127" spans="1:3" x14ac:dyDescent="0.25">
      <c r="A2127" s="48" t="s">
        <v>10193</v>
      </c>
      <c r="B2127" t="s">
        <v>20323</v>
      </c>
      <c r="C2127">
        <v>80</v>
      </c>
    </row>
    <row r="2128" spans="1:3" x14ac:dyDescent="0.25">
      <c r="A2128" s="48" t="s">
        <v>16788</v>
      </c>
      <c r="B2128" t="s">
        <v>20324</v>
      </c>
      <c r="C2128">
        <v>0</v>
      </c>
    </row>
    <row r="2129" spans="1:3" x14ac:dyDescent="0.25">
      <c r="A2129" s="48" t="s">
        <v>17190</v>
      </c>
      <c r="B2129" t="s">
        <v>20325</v>
      </c>
      <c r="C2129">
        <v>0</v>
      </c>
    </row>
    <row r="2130" spans="1:3" x14ac:dyDescent="0.25">
      <c r="A2130" s="48" t="s">
        <v>16786</v>
      </c>
      <c r="B2130" t="s">
        <v>20326</v>
      </c>
      <c r="C2130">
        <v>0</v>
      </c>
    </row>
    <row r="2131" spans="1:3" x14ac:dyDescent="0.25">
      <c r="A2131" s="48" t="s">
        <v>7979</v>
      </c>
      <c r="B2131" t="s">
        <v>20327</v>
      </c>
      <c r="C2131">
        <v>1</v>
      </c>
    </row>
    <row r="2132" spans="1:3" x14ac:dyDescent="0.25">
      <c r="A2132" s="48" t="s">
        <v>18167</v>
      </c>
      <c r="B2132" t="s">
        <v>20328</v>
      </c>
      <c r="C2132">
        <v>0</v>
      </c>
    </row>
    <row r="2133" spans="1:3" x14ac:dyDescent="0.25">
      <c r="A2133" s="48" t="s">
        <v>17528</v>
      </c>
      <c r="B2133" t="s">
        <v>20329</v>
      </c>
      <c r="C2133">
        <v>0</v>
      </c>
    </row>
    <row r="2134" spans="1:3" x14ac:dyDescent="0.25">
      <c r="A2134" s="48" t="s">
        <v>17088</v>
      </c>
      <c r="B2134" t="s">
        <v>20330</v>
      </c>
      <c r="C2134">
        <v>0</v>
      </c>
    </row>
    <row r="2135" spans="1:3" x14ac:dyDescent="0.25">
      <c r="A2135" s="48" t="s">
        <v>11808</v>
      </c>
      <c r="B2135" t="s">
        <v>20331</v>
      </c>
      <c r="C2135">
        <v>0</v>
      </c>
    </row>
    <row r="2136" spans="1:3" x14ac:dyDescent="0.25">
      <c r="A2136" s="48" t="s">
        <v>11810</v>
      </c>
      <c r="B2136" t="s">
        <v>20332</v>
      </c>
      <c r="C2136">
        <v>9</v>
      </c>
    </row>
    <row r="2137" spans="1:3" x14ac:dyDescent="0.25">
      <c r="A2137" s="48" t="s">
        <v>5629</v>
      </c>
      <c r="B2137" t="s">
        <v>20333</v>
      </c>
      <c r="C2137">
        <v>3</v>
      </c>
    </row>
    <row r="2138" spans="1:3" x14ac:dyDescent="0.25">
      <c r="A2138" s="48" t="s">
        <v>5439</v>
      </c>
      <c r="B2138" t="s">
        <v>20334</v>
      </c>
      <c r="C2138">
        <v>0</v>
      </c>
    </row>
    <row r="2139" spans="1:3" x14ac:dyDescent="0.25">
      <c r="A2139" s="48" t="s">
        <v>16988</v>
      </c>
      <c r="B2139" t="s">
        <v>20335</v>
      </c>
      <c r="C2139">
        <v>0</v>
      </c>
    </row>
    <row r="2140" spans="1:3" x14ac:dyDescent="0.25">
      <c r="A2140" s="48" t="s">
        <v>16912</v>
      </c>
      <c r="B2140" t="s">
        <v>20336</v>
      </c>
      <c r="C2140">
        <v>0</v>
      </c>
    </row>
    <row r="2141" spans="1:3" x14ac:dyDescent="0.25">
      <c r="A2141" s="48" t="s">
        <v>13270</v>
      </c>
      <c r="B2141" t="s">
        <v>13271</v>
      </c>
      <c r="C2141">
        <v>0</v>
      </c>
    </row>
    <row r="2142" spans="1:3" x14ac:dyDescent="0.25">
      <c r="A2142" s="48" t="s">
        <v>13272</v>
      </c>
      <c r="B2142" t="s">
        <v>13273</v>
      </c>
      <c r="C2142">
        <v>0</v>
      </c>
    </row>
    <row r="2143" spans="1:3" x14ac:dyDescent="0.25">
      <c r="A2143" s="48" t="s">
        <v>13276</v>
      </c>
      <c r="B2143" t="s">
        <v>13277</v>
      </c>
      <c r="C2143">
        <v>0</v>
      </c>
    </row>
    <row r="2144" spans="1:3" x14ac:dyDescent="0.25">
      <c r="A2144" s="48" t="s">
        <v>13278</v>
      </c>
      <c r="B2144" t="s">
        <v>13279</v>
      </c>
      <c r="C2144">
        <v>0</v>
      </c>
    </row>
    <row r="2145" spans="1:3" x14ac:dyDescent="0.25">
      <c r="A2145" s="48" t="s">
        <v>22957</v>
      </c>
      <c r="B2145" t="s">
        <v>22958</v>
      </c>
      <c r="C2145">
        <v>0</v>
      </c>
    </row>
    <row r="2146" spans="1:3" x14ac:dyDescent="0.25">
      <c r="A2146" s="48" t="s">
        <v>2925</v>
      </c>
      <c r="B2146" t="s">
        <v>2926</v>
      </c>
      <c r="C2146">
        <v>123</v>
      </c>
    </row>
    <row r="2147" spans="1:3" x14ac:dyDescent="0.25">
      <c r="A2147" s="48" t="s">
        <v>15106</v>
      </c>
      <c r="B2147" t="s">
        <v>15107</v>
      </c>
      <c r="C2147">
        <v>24</v>
      </c>
    </row>
    <row r="2148" spans="1:3" x14ac:dyDescent="0.25">
      <c r="A2148" s="48" t="s">
        <v>18532</v>
      </c>
      <c r="B2148" t="s">
        <v>18533</v>
      </c>
      <c r="C2148">
        <v>2</v>
      </c>
    </row>
    <row r="2149" spans="1:3" x14ac:dyDescent="0.25">
      <c r="A2149" s="48" t="s">
        <v>18516</v>
      </c>
      <c r="B2149" t="s">
        <v>18517</v>
      </c>
      <c r="C2149">
        <v>5</v>
      </c>
    </row>
    <row r="2150" spans="1:3" x14ac:dyDescent="0.25">
      <c r="A2150" s="48" t="s">
        <v>18514</v>
      </c>
      <c r="B2150" t="s">
        <v>18515</v>
      </c>
      <c r="C2150">
        <v>3</v>
      </c>
    </row>
    <row r="2151" spans="1:3" x14ac:dyDescent="0.25">
      <c r="A2151" s="48" t="s">
        <v>5441</v>
      </c>
      <c r="B2151" t="s">
        <v>5442</v>
      </c>
      <c r="C2151">
        <v>0</v>
      </c>
    </row>
    <row r="2152" spans="1:3" x14ac:dyDescent="0.25">
      <c r="A2152" s="48" t="s">
        <v>5543</v>
      </c>
      <c r="B2152" t="s">
        <v>5544</v>
      </c>
      <c r="C2152">
        <v>7</v>
      </c>
    </row>
    <row r="2153" spans="1:3" x14ac:dyDescent="0.25">
      <c r="A2153" s="48" t="s">
        <v>10267</v>
      </c>
      <c r="B2153" t="s">
        <v>10268</v>
      </c>
      <c r="C2153">
        <v>0</v>
      </c>
    </row>
    <row r="2154" spans="1:3" x14ac:dyDescent="0.25">
      <c r="A2154" s="48" t="s">
        <v>10265</v>
      </c>
      <c r="B2154" t="s">
        <v>10266</v>
      </c>
      <c r="C2154">
        <v>0</v>
      </c>
    </row>
    <row r="2155" spans="1:3" x14ac:dyDescent="0.25">
      <c r="A2155" s="48" t="s">
        <v>16850</v>
      </c>
      <c r="B2155" t="s">
        <v>16851</v>
      </c>
      <c r="C2155">
        <v>4</v>
      </c>
    </row>
    <row r="2156" spans="1:3" x14ac:dyDescent="0.25">
      <c r="A2156" s="48" t="s">
        <v>16852</v>
      </c>
      <c r="B2156" t="s">
        <v>16853</v>
      </c>
      <c r="C2156">
        <v>0</v>
      </c>
    </row>
    <row r="2157" spans="1:3" x14ac:dyDescent="0.25">
      <c r="A2157" s="48" t="s">
        <v>16854</v>
      </c>
      <c r="B2157" t="s">
        <v>16855</v>
      </c>
      <c r="C2157">
        <v>7</v>
      </c>
    </row>
    <row r="2158" spans="1:3" x14ac:dyDescent="0.25">
      <c r="A2158" s="48" t="s">
        <v>16848</v>
      </c>
      <c r="B2158" t="s">
        <v>16849</v>
      </c>
      <c r="C2158">
        <v>3</v>
      </c>
    </row>
    <row r="2159" spans="1:3" x14ac:dyDescent="0.25">
      <c r="A2159" s="48" t="s">
        <v>12427</v>
      </c>
      <c r="B2159" t="s">
        <v>12426</v>
      </c>
      <c r="C2159">
        <v>8</v>
      </c>
    </row>
    <row r="2160" spans="1:3" x14ac:dyDescent="0.25">
      <c r="A2160" s="48" t="s">
        <v>12430</v>
      </c>
      <c r="B2160" t="s">
        <v>12429</v>
      </c>
      <c r="C2160">
        <v>16</v>
      </c>
    </row>
    <row r="2161" spans="1:3" x14ac:dyDescent="0.25">
      <c r="A2161" s="48" t="s">
        <v>13088</v>
      </c>
      <c r="B2161" t="s">
        <v>13089</v>
      </c>
      <c r="C2161">
        <v>0</v>
      </c>
    </row>
    <row r="2162" spans="1:3" x14ac:dyDescent="0.25">
      <c r="A2162" s="48" t="s">
        <v>13092</v>
      </c>
      <c r="B2162" t="s">
        <v>13093</v>
      </c>
      <c r="C2162">
        <v>10</v>
      </c>
    </row>
    <row r="2163" spans="1:3" x14ac:dyDescent="0.25">
      <c r="A2163" s="48" t="s">
        <v>13096</v>
      </c>
      <c r="B2163" t="s">
        <v>13097</v>
      </c>
      <c r="C2163">
        <v>6</v>
      </c>
    </row>
    <row r="2164" spans="1:3" x14ac:dyDescent="0.25">
      <c r="A2164" s="48" t="s">
        <v>2711</v>
      </c>
      <c r="B2164" t="s">
        <v>20337</v>
      </c>
      <c r="C2164">
        <v>0</v>
      </c>
    </row>
    <row r="2165" spans="1:3" x14ac:dyDescent="0.25">
      <c r="A2165" s="48" t="s">
        <v>2721</v>
      </c>
      <c r="B2165" t="s">
        <v>20338</v>
      </c>
      <c r="C2165">
        <v>0</v>
      </c>
    </row>
    <row r="2166" spans="1:3" x14ac:dyDescent="0.25">
      <c r="A2166" s="48" t="s">
        <v>17889</v>
      </c>
      <c r="B2166" t="s">
        <v>17890</v>
      </c>
      <c r="C2166">
        <v>0</v>
      </c>
    </row>
    <row r="2167" spans="1:3" x14ac:dyDescent="0.25">
      <c r="A2167" s="48" t="s">
        <v>19228</v>
      </c>
      <c r="B2167" t="s">
        <v>20339</v>
      </c>
      <c r="C2167">
        <v>17</v>
      </c>
    </row>
    <row r="2168" spans="1:3" x14ac:dyDescent="0.25">
      <c r="A2168" s="48" t="s">
        <v>19232</v>
      </c>
      <c r="B2168" t="s">
        <v>20340</v>
      </c>
      <c r="C2168">
        <v>13</v>
      </c>
    </row>
    <row r="2169" spans="1:3" x14ac:dyDescent="0.25">
      <c r="A2169" s="48" t="s">
        <v>19472</v>
      </c>
      <c r="B2169" t="s">
        <v>19473</v>
      </c>
      <c r="C2169">
        <v>0</v>
      </c>
    </row>
    <row r="2170" spans="1:3" x14ac:dyDescent="0.25">
      <c r="A2170" s="48" t="s">
        <v>12281</v>
      </c>
      <c r="B2170" t="s">
        <v>20341</v>
      </c>
      <c r="C2170">
        <v>0</v>
      </c>
    </row>
    <row r="2171" spans="1:3" x14ac:dyDescent="0.25">
      <c r="A2171" s="48" t="s">
        <v>13274</v>
      </c>
      <c r="B2171" t="s">
        <v>13275</v>
      </c>
      <c r="C2171">
        <v>0</v>
      </c>
    </row>
    <row r="2172" spans="1:3" x14ac:dyDescent="0.25">
      <c r="A2172" s="48" t="s">
        <v>13094</v>
      </c>
      <c r="B2172" t="s">
        <v>13095</v>
      </c>
      <c r="C2172">
        <v>0</v>
      </c>
    </row>
    <row r="2173" spans="1:3" x14ac:dyDescent="0.25">
      <c r="A2173" s="48" t="s">
        <v>19476</v>
      </c>
      <c r="B2173" t="s">
        <v>19477</v>
      </c>
      <c r="C2173">
        <v>0</v>
      </c>
    </row>
    <row r="2174" spans="1:3" x14ac:dyDescent="0.25">
      <c r="A2174" s="48" t="s">
        <v>17859</v>
      </c>
      <c r="B2174" t="s">
        <v>17860</v>
      </c>
      <c r="C2174">
        <v>0</v>
      </c>
    </row>
    <row r="2175" spans="1:3" x14ac:dyDescent="0.25">
      <c r="A2175" s="48" t="s">
        <v>5407</v>
      </c>
      <c r="B2175" t="s">
        <v>5408</v>
      </c>
      <c r="C2175">
        <v>0</v>
      </c>
    </row>
    <row r="2176" spans="1:3" x14ac:dyDescent="0.25">
      <c r="A2176" s="48" t="s">
        <v>5395</v>
      </c>
      <c r="B2176" t="s">
        <v>5396</v>
      </c>
      <c r="C2176">
        <v>0</v>
      </c>
    </row>
    <row r="2177" spans="1:3" x14ac:dyDescent="0.25">
      <c r="A2177" s="48" t="s">
        <v>5389</v>
      </c>
      <c r="B2177" t="s">
        <v>5390</v>
      </c>
      <c r="C2177">
        <v>0</v>
      </c>
    </row>
    <row r="2178" spans="1:3" x14ac:dyDescent="0.25">
      <c r="A2178" s="48" t="s">
        <v>5397</v>
      </c>
      <c r="B2178" t="s">
        <v>5398</v>
      </c>
      <c r="C2178">
        <v>4</v>
      </c>
    </row>
    <row r="2179" spans="1:3" x14ac:dyDescent="0.25">
      <c r="A2179" s="48" t="s">
        <v>5391</v>
      </c>
      <c r="B2179" t="s">
        <v>5392</v>
      </c>
      <c r="C2179">
        <v>0</v>
      </c>
    </row>
    <row r="2180" spans="1:3" x14ac:dyDescent="0.25">
      <c r="A2180" s="48" t="s">
        <v>19432</v>
      </c>
      <c r="B2180" t="s">
        <v>19433</v>
      </c>
      <c r="C2180">
        <v>0</v>
      </c>
    </row>
    <row r="2181" spans="1:3" x14ac:dyDescent="0.25">
      <c r="A2181" s="48" t="s">
        <v>19434</v>
      </c>
      <c r="B2181" t="s">
        <v>19435</v>
      </c>
      <c r="C2181">
        <v>0</v>
      </c>
    </row>
    <row r="2182" spans="1:3" x14ac:dyDescent="0.25">
      <c r="A2182" s="48" t="s">
        <v>19436</v>
      </c>
      <c r="B2182" t="s">
        <v>19437</v>
      </c>
      <c r="C2182">
        <v>6</v>
      </c>
    </row>
    <row r="2183" spans="1:3" x14ac:dyDescent="0.25">
      <c r="A2183" s="48" t="s">
        <v>11416</v>
      </c>
      <c r="B2183" t="s">
        <v>11417</v>
      </c>
      <c r="C2183">
        <v>0</v>
      </c>
    </row>
    <row r="2184" spans="1:3" x14ac:dyDescent="0.25">
      <c r="A2184" s="48" t="s">
        <v>11402</v>
      </c>
      <c r="B2184" t="s">
        <v>11403</v>
      </c>
      <c r="C2184">
        <v>0</v>
      </c>
    </row>
    <row r="2185" spans="1:3" x14ac:dyDescent="0.25">
      <c r="A2185" s="48" t="s">
        <v>11398</v>
      </c>
      <c r="B2185" t="s">
        <v>11399</v>
      </c>
      <c r="C2185">
        <v>0</v>
      </c>
    </row>
    <row r="2186" spans="1:3" x14ac:dyDescent="0.25">
      <c r="A2186" s="48" t="s">
        <v>19438</v>
      </c>
      <c r="B2186" t="s">
        <v>19439</v>
      </c>
      <c r="C2186">
        <v>17</v>
      </c>
    </row>
    <row r="2187" spans="1:3" x14ac:dyDescent="0.25">
      <c r="A2187" s="48" t="s">
        <v>19440</v>
      </c>
      <c r="B2187" t="s">
        <v>19441</v>
      </c>
      <c r="C2187">
        <v>11</v>
      </c>
    </row>
    <row r="2188" spans="1:3" x14ac:dyDescent="0.25">
      <c r="A2188" s="48" t="s">
        <v>19442</v>
      </c>
      <c r="B2188" t="s">
        <v>19443</v>
      </c>
      <c r="C2188">
        <v>16</v>
      </c>
    </row>
    <row r="2189" spans="1:3" x14ac:dyDescent="0.25">
      <c r="A2189" s="48" t="s">
        <v>13677</v>
      </c>
      <c r="B2189" t="s">
        <v>13678</v>
      </c>
      <c r="C2189">
        <v>53</v>
      </c>
    </row>
    <row r="2190" spans="1:3" x14ac:dyDescent="0.25">
      <c r="A2190" s="48" t="s">
        <v>12783</v>
      </c>
      <c r="B2190" t="s">
        <v>20342</v>
      </c>
      <c r="C2190">
        <v>8</v>
      </c>
    </row>
    <row r="2191" spans="1:3" x14ac:dyDescent="0.25">
      <c r="A2191" s="48" t="s">
        <v>10207</v>
      </c>
      <c r="B2191" t="s">
        <v>20343</v>
      </c>
      <c r="C2191">
        <v>0</v>
      </c>
    </row>
    <row r="2192" spans="1:3" x14ac:dyDescent="0.25">
      <c r="A2192" s="48" t="s">
        <v>10205</v>
      </c>
      <c r="B2192" t="s">
        <v>20344</v>
      </c>
      <c r="C2192">
        <v>0</v>
      </c>
    </row>
    <row r="2193" spans="1:3" x14ac:dyDescent="0.25">
      <c r="A2193" s="48" t="s">
        <v>11562</v>
      </c>
      <c r="B2193" t="s">
        <v>11563</v>
      </c>
      <c r="C2193">
        <v>0</v>
      </c>
    </row>
    <row r="2194" spans="1:3" x14ac:dyDescent="0.25">
      <c r="A2194" s="48" t="s">
        <v>11556</v>
      </c>
      <c r="B2194" t="s">
        <v>11557</v>
      </c>
      <c r="C2194">
        <v>0</v>
      </c>
    </row>
    <row r="2195" spans="1:3" x14ac:dyDescent="0.25">
      <c r="A2195" s="48" t="s">
        <v>11366</v>
      </c>
      <c r="B2195" t="s">
        <v>11367</v>
      </c>
      <c r="C2195">
        <v>0</v>
      </c>
    </row>
    <row r="2196" spans="1:3" x14ac:dyDescent="0.25">
      <c r="A2196" s="48" t="s">
        <v>11346</v>
      </c>
      <c r="B2196" t="s">
        <v>11347</v>
      </c>
      <c r="C2196">
        <v>0</v>
      </c>
    </row>
    <row r="2197" spans="1:3" x14ac:dyDescent="0.25">
      <c r="A2197" s="48" t="s">
        <v>7146</v>
      </c>
      <c r="B2197" t="s">
        <v>20345</v>
      </c>
      <c r="C2197">
        <v>0</v>
      </c>
    </row>
    <row r="2198" spans="1:3" x14ac:dyDescent="0.25">
      <c r="A2198" s="48" t="s">
        <v>7144</v>
      </c>
      <c r="B2198" t="s">
        <v>20346</v>
      </c>
      <c r="C2198">
        <v>0</v>
      </c>
    </row>
    <row r="2199" spans="1:3" x14ac:dyDescent="0.25">
      <c r="A2199" s="48" t="s">
        <v>4410</v>
      </c>
      <c r="B2199" t="s">
        <v>4411</v>
      </c>
      <c r="C2199">
        <v>11</v>
      </c>
    </row>
    <row r="2200" spans="1:3" x14ac:dyDescent="0.25">
      <c r="A2200" s="48" t="s">
        <v>4432</v>
      </c>
      <c r="B2200" t="s">
        <v>4433</v>
      </c>
      <c r="C2200">
        <v>4</v>
      </c>
    </row>
    <row r="2201" spans="1:3" x14ac:dyDescent="0.25">
      <c r="A2201" s="48" t="s">
        <v>5095</v>
      </c>
      <c r="B2201" t="s">
        <v>5096</v>
      </c>
      <c r="C2201">
        <v>4</v>
      </c>
    </row>
    <row r="2202" spans="1:3" x14ac:dyDescent="0.25">
      <c r="A2202" s="48" t="s">
        <v>11364</v>
      </c>
      <c r="B2202" t="s">
        <v>11365</v>
      </c>
      <c r="C2202">
        <v>0</v>
      </c>
    </row>
    <row r="2203" spans="1:3" x14ac:dyDescent="0.25">
      <c r="A2203" s="48" t="s">
        <v>11348</v>
      </c>
      <c r="B2203" t="s">
        <v>11349</v>
      </c>
      <c r="C2203">
        <v>0</v>
      </c>
    </row>
    <row r="2204" spans="1:3" x14ac:dyDescent="0.25">
      <c r="A2204" s="48" t="s">
        <v>5511</v>
      </c>
      <c r="B2204" t="s">
        <v>5512</v>
      </c>
      <c r="C2204">
        <v>0</v>
      </c>
    </row>
    <row r="2205" spans="1:3" x14ac:dyDescent="0.25">
      <c r="A2205" s="48" t="s">
        <v>9901</v>
      </c>
      <c r="B2205" t="s">
        <v>20347</v>
      </c>
      <c r="C2205">
        <v>0</v>
      </c>
    </row>
    <row r="2206" spans="1:3" x14ac:dyDescent="0.25">
      <c r="A2206" s="48" t="s">
        <v>5361</v>
      </c>
      <c r="B2206" t="s">
        <v>5362</v>
      </c>
      <c r="C2206">
        <v>0</v>
      </c>
    </row>
    <row r="2207" spans="1:3" x14ac:dyDescent="0.25">
      <c r="A2207" s="48" t="s">
        <v>6087</v>
      </c>
      <c r="B2207" t="s">
        <v>6088</v>
      </c>
      <c r="C2207">
        <v>8</v>
      </c>
    </row>
    <row r="2208" spans="1:3" x14ac:dyDescent="0.25">
      <c r="A2208" s="48" t="s">
        <v>16828</v>
      </c>
      <c r="B2208" t="s">
        <v>16829</v>
      </c>
      <c r="C2208">
        <v>12</v>
      </c>
    </row>
    <row r="2209" spans="1:3" x14ac:dyDescent="0.25">
      <c r="A2209" s="48" t="s">
        <v>18205</v>
      </c>
      <c r="B2209" t="s">
        <v>18206</v>
      </c>
      <c r="C2209">
        <v>0</v>
      </c>
    </row>
    <row r="2210" spans="1:3" x14ac:dyDescent="0.25">
      <c r="A2210" s="48" t="s">
        <v>3775</v>
      </c>
      <c r="B2210" t="s">
        <v>3776</v>
      </c>
      <c r="C2210">
        <v>0</v>
      </c>
    </row>
    <row r="2211" spans="1:3" x14ac:dyDescent="0.25">
      <c r="A2211" s="48" t="s">
        <v>5655</v>
      </c>
      <c r="B2211" t="s">
        <v>5656</v>
      </c>
      <c r="C2211">
        <v>54</v>
      </c>
    </row>
    <row r="2212" spans="1:3" x14ac:dyDescent="0.25">
      <c r="A2212" s="48" t="s">
        <v>5591</v>
      </c>
      <c r="B2212" t="s">
        <v>5592</v>
      </c>
      <c r="C2212">
        <v>0</v>
      </c>
    </row>
    <row r="2213" spans="1:3" x14ac:dyDescent="0.25">
      <c r="A2213" s="48" t="s">
        <v>5589</v>
      </c>
      <c r="B2213" t="s">
        <v>5590</v>
      </c>
      <c r="C2213">
        <v>1</v>
      </c>
    </row>
    <row r="2214" spans="1:3" x14ac:dyDescent="0.25">
      <c r="A2214" s="48" t="s">
        <v>2982</v>
      </c>
      <c r="B2214" t="s">
        <v>2983</v>
      </c>
      <c r="C2214">
        <v>0</v>
      </c>
    </row>
    <row r="2215" spans="1:3" x14ac:dyDescent="0.25">
      <c r="A2215" s="48" t="s">
        <v>14090</v>
      </c>
      <c r="B2215" t="s">
        <v>20348</v>
      </c>
      <c r="C2215">
        <v>3</v>
      </c>
    </row>
    <row r="2216" spans="1:3" x14ac:dyDescent="0.25">
      <c r="A2216" s="48" t="s">
        <v>11428</v>
      </c>
      <c r="B2216" t="s">
        <v>11429</v>
      </c>
      <c r="C2216">
        <v>0</v>
      </c>
    </row>
    <row r="2217" spans="1:3" x14ac:dyDescent="0.25">
      <c r="A2217" s="48" t="s">
        <v>11430</v>
      </c>
      <c r="B2217" t="s">
        <v>20349</v>
      </c>
      <c r="C2217">
        <v>0</v>
      </c>
    </row>
    <row r="2218" spans="1:3" x14ac:dyDescent="0.25">
      <c r="A2218" s="48" t="s">
        <v>11432</v>
      </c>
      <c r="B2218" t="s">
        <v>11433</v>
      </c>
      <c r="C2218">
        <v>1</v>
      </c>
    </row>
    <row r="2219" spans="1:3" x14ac:dyDescent="0.25">
      <c r="A2219" s="48" t="s">
        <v>5497</v>
      </c>
      <c r="B2219" t="s">
        <v>5498</v>
      </c>
      <c r="C2219">
        <v>8</v>
      </c>
    </row>
    <row r="2220" spans="1:3" x14ac:dyDescent="0.25">
      <c r="A2220" s="48" t="s">
        <v>14088</v>
      </c>
      <c r="B2220" t="s">
        <v>14089</v>
      </c>
      <c r="C2220">
        <v>2</v>
      </c>
    </row>
    <row r="2221" spans="1:3" x14ac:dyDescent="0.25">
      <c r="A2221" s="48" t="s">
        <v>2374</v>
      </c>
      <c r="B2221" t="s">
        <v>2375</v>
      </c>
      <c r="C2221">
        <v>24</v>
      </c>
    </row>
    <row r="2222" spans="1:3" x14ac:dyDescent="0.25">
      <c r="A2222" s="48" t="s">
        <v>2404</v>
      </c>
      <c r="B2222" t="s">
        <v>2405</v>
      </c>
      <c r="C2222">
        <v>0</v>
      </c>
    </row>
    <row r="2223" spans="1:3" x14ac:dyDescent="0.25">
      <c r="A2223" s="48" t="s">
        <v>2382</v>
      </c>
      <c r="B2223" t="s">
        <v>2383</v>
      </c>
      <c r="C2223">
        <v>21</v>
      </c>
    </row>
    <row r="2224" spans="1:3" x14ac:dyDescent="0.25">
      <c r="A2224" s="48" t="s">
        <v>2514</v>
      </c>
      <c r="B2224" t="s">
        <v>2515</v>
      </c>
      <c r="C2224">
        <v>4</v>
      </c>
    </row>
    <row r="2225" spans="1:3" x14ac:dyDescent="0.25">
      <c r="A2225" s="48" t="s">
        <v>2516</v>
      </c>
      <c r="B2225" t="s">
        <v>2517</v>
      </c>
      <c r="C2225">
        <v>4</v>
      </c>
    </row>
    <row r="2226" spans="1:3" x14ac:dyDescent="0.25">
      <c r="A2226" s="48" t="s">
        <v>2504</v>
      </c>
      <c r="B2226" t="s">
        <v>2505</v>
      </c>
      <c r="C2226">
        <v>0</v>
      </c>
    </row>
    <row r="2227" spans="1:3" x14ac:dyDescent="0.25">
      <c r="A2227" s="48" t="s">
        <v>2508</v>
      </c>
      <c r="B2227" t="s">
        <v>2509</v>
      </c>
      <c r="C2227">
        <v>0</v>
      </c>
    </row>
    <row r="2228" spans="1:3" x14ac:dyDescent="0.25">
      <c r="A2228" s="48" t="s">
        <v>2510</v>
      </c>
      <c r="B2228" t="s">
        <v>2511</v>
      </c>
      <c r="C2228">
        <v>0</v>
      </c>
    </row>
    <row r="2229" spans="1:3" x14ac:dyDescent="0.25">
      <c r="A2229" s="48" t="s">
        <v>2506</v>
      </c>
      <c r="B2229" t="s">
        <v>2507</v>
      </c>
      <c r="C2229">
        <v>0</v>
      </c>
    </row>
    <row r="2230" spans="1:3" x14ac:dyDescent="0.25">
      <c r="A2230" s="48" t="s">
        <v>19007</v>
      </c>
      <c r="B2230" t="s">
        <v>19008</v>
      </c>
      <c r="C2230">
        <v>0</v>
      </c>
    </row>
    <row r="2231" spans="1:3" x14ac:dyDescent="0.25">
      <c r="A2231" s="48" t="s">
        <v>14221</v>
      </c>
      <c r="B2231" t="s">
        <v>14222</v>
      </c>
      <c r="C2231">
        <v>5</v>
      </c>
    </row>
    <row r="2232" spans="1:3" x14ac:dyDescent="0.25">
      <c r="A2232" s="48" t="s">
        <v>4445</v>
      </c>
      <c r="B2232" t="s">
        <v>4446</v>
      </c>
      <c r="C2232">
        <v>26</v>
      </c>
    </row>
    <row r="2233" spans="1:3" x14ac:dyDescent="0.25">
      <c r="A2233" s="48" t="s">
        <v>18203</v>
      </c>
      <c r="B2233" t="s">
        <v>18204</v>
      </c>
      <c r="C2233">
        <v>0</v>
      </c>
    </row>
    <row r="2234" spans="1:3" x14ac:dyDescent="0.25">
      <c r="A2234" s="48" t="s">
        <v>7166</v>
      </c>
      <c r="B2234" t="s">
        <v>7167</v>
      </c>
      <c r="C2234">
        <v>12</v>
      </c>
    </row>
    <row r="2235" spans="1:3" x14ac:dyDescent="0.25">
      <c r="A2235" s="48" t="s">
        <v>7168</v>
      </c>
      <c r="B2235" t="s">
        <v>7169</v>
      </c>
      <c r="C2235">
        <v>10</v>
      </c>
    </row>
    <row r="2236" spans="1:3" x14ac:dyDescent="0.25">
      <c r="A2236" s="48" t="s">
        <v>16510</v>
      </c>
      <c r="B2236" t="s">
        <v>16511</v>
      </c>
      <c r="C2236">
        <v>0</v>
      </c>
    </row>
    <row r="2237" spans="1:3" x14ac:dyDescent="0.25">
      <c r="A2237" s="48" t="s">
        <v>6093</v>
      </c>
      <c r="B2237" t="s">
        <v>6094</v>
      </c>
      <c r="C2237">
        <v>12</v>
      </c>
    </row>
    <row r="2238" spans="1:3" x14ac:dyDescent="0.25">
      <c r="A2238" s="48" t="s">
        <v>11460</v>
      </c>
      <c r="B2238" t="s">
        <v>11461</v>
      </c>
      <c r="C2238">
        <v>5</v>
      </c>
    </row>
    <row r="2239" spans="1:3" x14ac:dyDescent="0.25">
      <c r="A2239" s="48" t="s">
        <v>11464</v>
      </c>
      <c r="B2239" t="s">
        <v>11465</v>
      </c>
      <c r="C2239">
        <v>7</v>
      </c>
    </row>
    <row r="2240" spans="1:3" x14ac:dyDescent="0.25">
      <c r="A2240" s="48" t="s">
        <v>11736</v>
      </c>
      <c r="B2240" t="s">
        <v>11737</v>
      </c>
      <c r="C2240">
        <v>0</v>
      </c>
    </row>
    <row r="2241" spans="1:3" x14ac:dyDescent="0.25">
      <c r="A2241" s="48" t="s">
        <v>7150</v>
      </c>
      <c r="B2241" t="s">
        <v>7151</v>
      </c>
      <c r="C2241">
        <v>14</v>
      </c>
    </row>
    <row r="2242" spans="1:3" x14ac:dyDescent="0.25">
      <c r="A2242" s="48" t="s">
        <v>7148</v>
      </c>
      <c r="B2242" t="s">
        <v>7149</v>
      </c>
      <c r="C2242">
        <v>0</v>
      </c>
    </row>
    <row r="2243" spans="1:3" x14ac:dyDescent="0.25">
      <c r="A2243" s="48" t="s">
        <v>10209</v>
      </c>
      <c r="B2243" t="s">
        <v>20350</v>
      </c>
      <c r="C2243">
        <v>0</v>
      </c>
    </row>
    <row r="2244" spans="1:3" x14ac:dyDescent="0.25">
      <c r="A2244" s="48" t="s">
        <v>17186</v>
      </c>
      <c r="B2244" t="s">
        <v>20351</v>
      </c>
      <c r="C2244">
        <v>9</v>
      </c>
    </row>
    <row r="2245" spans="1:3" x14ac:dyDescent="0.25">
      <c r="A2245" s="48" t="s">
        <v>17214</v>
      </c>
      <c r="B2245" t="s">
        <v>20352</v>
      </c>
      <c r="C2245">
        <v>0</v>
      </c>
    </row>
    <row r="2246" spans="1:3" x14ac:dyDescent="0.25">
      <c r="A2246" s="48" t="s">
        <v>19712</v>
      </c>
      <c r="B2246" t="s">
        <v>20353</v>
      </c>
      <c r="C2246">
        <v>0</v>
      </c>
    </row>
    <row r="2247" spans="1:3" x14ac:dyDescent="0.25">
      <c r="A2247" s="48" t="s">
        <v>14509</v>
      </c>
      <c r="B2247" t="s">
        <v>20354</v>
      </c>
      <c r="C2247">
        <v>0</v>
      </c>
    </row>
    <row r="2248" spans="1:3" x14ac:dyDescent="0.25">
      <c r="A2248" s="48" t="s">
        <v>10233</v>
      </c>
      <c r="B2248" t="s">
        <v>20355</v>
      </c>
      <c r="C2248">
        <v>0</v>
      </c>
    </row>
    <row r="2249" spans="1:3" x14ac:dyDescent="0.25">
      <c r="A2249" s="48" t="s">
        <v>17172</v>
      </c>
      <c r="B2249" t="s">
        <v>20356</v>
      </c>
      <c r="C2249">
        <v>0</v>
      </c>
    </row>
    <row r="2250" spans="1:3" x14ac:dyDescent="0.25">
      <c r="A2250" s="48" t="s">
        <v>10225</v>
      </c>
      <c r="B2250" t="s">
        <v>20357</v>
      </c>
      <c r="C2250">
        <v>0</v>
      </c>
    </row>
    <row r="2251" spans="1:3" x14ac:dyDescent="0.25">
      <c r="A2251" s="48" t="s">
        <v>10235</v>
      </c>
      <c r="B2251" t="s">
        <v>20358</v>
      </c>
      <c r="C2251">
        <v>0</v>
      </c>
    </row>
    <row r="2252" spans="1:3" x14ac:dyDescent="0.25">
      <c r="A2252" s="48" t="s">
        <v>14553</v>
      </c>
      <c r="B2252" t="s">
        <v>14554</v>
      </c>
      <c r="C2252">
        <v>0</v>
      </c>
    </row>
    <row r="2253" spans="1:3" x14ac:dyDescent="0.25">
      <c r="A2253" s="48" t="s">
        <v>6333</v>
      </c>
      <c r="B2253" t="s">
        <v>6334</v>
      </c>
      <c r="C2253">
        <v>0</v>
      </c>
    </row>
    <row r="2254" spans="1:3" x14ac:dyDescent="0.25">
      <c r="A2254" s="48" t="s">
        <v>6335</v>
      </c>
      <c r="B2254" t="s">
        <v>6336</v>
      </c>
      <c r="C2254">
        <v>0</v>
      </c>
    </row>
    <row r="2255" spans="1:3" x14ac:dyDescent="0.25">
      <c r="A2255" s="48" t="s">
        <v>4519</v>
      </c>
      <c r="B2255" t="s">
        <v>4520</v>
      </c>
      <c r="C2255">
        <v>0</v>
      </c>
    </row>
    <row r="2256" spans="1:3" x14ac:dyDescent="0.25">
      <c r="A2256" s="48" t="s">
        <v>4525</v>
      </c>
      <c r="B2256" t="s">
        <v>4526</v>
      </c>
      <c r="C2256">
        <v>0</v>
      </c>
    </row>
    <row r="2257" spans="1:3" x14ac:dyDescent="0.25">
      <c r="A2257" s="48" t="s">
        <v>4529</v>
      </c>
      <c r="B2257" t="s">
        <v>4530</v>
      </c>
      <c r="C2257">
        <v>0</v>
      </c>
    </row>
    <row r="2258" spans="1:3" x14ac:dyDescent="0.25">
      <c r="A2258" s="48" t="s">
        <v>181</v>
      </c>
      <c r="B2258" t="s">
        <v>182</v>
      </c>
      <c r="C2258">
        <v>24</v>
      </c>
    </row>
    <row r="2259" spans="1:3" x14ac:dyDescent="0.25">
      <c r="A2259" s="48" t="s">
        <v>4041</v>
      </c>
      <c r="B2259" t="s">
        <v>4042</v>
      </c>
      <c r="C2259">
        <v>0</v>
      </c>
    </row>
    <row r="2260" spans="1:3" x14ac:dyDescent="0.25">
      <c r="A2260" s="48" t="s">
        <v>13603</v>
      </c>
      <c r="B2260" t="s">
        <v>13604</v>
      </c>
      <c r="C2260">
        <v>0</v>
      </c>
    </row>
    <row r="2261" spans="1:3" x14ac:dyDescent="0.25">
      <c r="A2261" s="48" t="s">
        <v>13583</v>
      </c>
      <c r="B2261" t="s">
        <v>13584</v>
      </c>
      <c r="C2261">
        <v>0</v>
      </c>
    </row>
    <row r="2262" spans="1:3" x14ac:dyDescent="0.25">
      <c r="A2262" s="48" t="s">
        <v>1187</v>
      </c>
      <c r="B2262" t="s">
        <v>1188</v>
      </c>
      <c r="C2262">
        <v>90</v>
      </c>
    </row>
    <row r="2263" spans="1:3" x14ac:dyDescent="0.25">
      <c r="A2263" s="48" t="s">
        <v>4990</v>
      </c>
      <c r="B2263" t="s">
        <v>4991</v>
      </c>
      <c r="C2263">
        <v>0</v>
      </c>
    </row>
    <row r="2264" spans="1:3" x14ac:dyDescent="0.25">
      <c r="A2264" s="48" t="s">
        <v>11740</v>
      </c>
      <c r="B2264" t="s">
        <v>11741</v>
      </c>
      <c r="C2264">
        <v>0</v>
      </c>
    </row>
    <row r="2265" spans="1:3" x14ac:dyDescent="0.25">
      <c r="A2265" s="48" t="s">
        <v>11744</v>
      </c>
      <c r="B2265" t="s">
        <v>11745</v>
      </c>
      <c r="C2265">
        <v>0</v>
      </c>
    </row>
    <row r="2266" spans="1:3" x14ac:dyDescent="0.25">
      <c r="A2266" s="48" t="s">
        <v>11558</v>
      </c>
      <c r="B2266" t="s">
        <v>11559</v>
      </c>
      <c r="C2266">
        <v>0</v>
      </c>
    </row>
    <row r="2267" spans="1:3" x14ac:dyDescent="0.25">
      <c r="A2267" s="48" t="s">
        <v>11710</v>
      </c>
      <c r="B2267" t="s">
        <v>11711</v>
      </c>
      <c r="C2267">
        <v>7</v>
      </c>
    </row>
    <row r="2268" spans="1:3" x14ac:dyDescent="0.25">
      <c r="A2268" s="48" t="s">
        <v>11290</v>
      </c>
      <c r="B2268" t="s">
        <v>22886</v>
      </c>
      <c r="C2268">
        <v>0</v>
      </c>
    </row>
    <row r="2269" spans="1:3" x14ac:dyDescent="0.25">
      <c r="A2269" s="48" t="s">
        <v>11320</v>
      </c>
      <c r="B2269" t="s">
        <v>22887</v>
      </c>
      <c r="C2269">
        <v>10</v>
      </c>
    </row>
    <row r="2270" spans="1:3" x14ac:dyDescent="0.25">
      <c r="A2270" s="48" t="s">
        <v>11576</v>
      </c>
      <c r="B2270" t="s">
        <v>11577</v>
      </c>
      <c r="C2270">
        <v>0</v>
      </c>
    </row>
    <row r="2271" spans="1:3" x14ac:dyDescent="0.25">
      <c r="A2271" s="48" t="s">
        <v>11606</v>
      </c>
      <c r="B2271" t="s">
        <v>11607</v>
      </c>
      <c r="C2271">
        <v>0</v>
      </c>
    </row>
    <row r="2272" spans="1:3" x14ac:dyDescent="0.25">
      <c r="A2272" s="48" t="s">
        <v>11610</v>
      </c>
      <c r="B2272" t="s">
        <v>11611</v>
      </c>
      <c r="C2272">
        <v>0</v>
      </c>
    </row>
    <row r="2273" spans="1:3" x14ac:dyDescent="0.25">
      <c r="A2273" s="48" t="s">
        <v>11404</v>
      </c>
      <c r="B2273" t="s">
        <v>11405</v>
      </c>
      <c r="C2273">
        <v>1</v>
      </c>
    </row>
    <row r="2274" spans="1:3" x14ac:dyDescent="0.25">
      <c r="A2274" s="48" t="s">
        <v>11276</v>
      </c>
      <c r="B2274" t="s">
        <v>22945</v>
      </c>
      <c r="C2274">
        <v>6</v>
      </c>
    </row>
    <row r="2275" spans="1:3" x14ac:dyDescent="0.25">
      <c r="A2275" s="48" t="s">
        <v>11252</v>
      </c>
      <c r="B2275" t="s">
        <v>22946</v>
      </c>
      <c r="C2275">
        <v>0</v>
      </c>
    </row>
    <row r="2276" spans="1:3" x14ac:dyDescent="0.25">
      <c r="A2276" s="48" t="s">
        <v>11274</v>
      </c>
      <c r="B2276" t="s">
        <v>22947</v>
      </c>
      <c r="C2276">
        <v>12</v>
      </c>
    </row>
    <row r="2277" spans="1:3" x14ac:dyDescent="0.25">
      <c r="A2277" s="48" t="s">
        <v>3107</v>
      </c>
      <c r="B2277" t="s">
        <v>20359</v>
      </c>
      <c r="C2277">
        <v>2</v>
      </c>
    </row>
    <row r="2278" spans="1:3" x14ac:dyDescent="0.25">
      <c r="A2278" s="48" t="s">
        <v>12301</v>
      </c>
      <c r="B2278" t="s">
        <v>12302</v>
      </c>
      <c r="C2278">
        <v>0</v>
      </c>
    </row>
    <row r="2279" spans="1:3" x14ac:dyDescent="0.25">
      <c r="A2279" s="48" t="s">
        <v>12279</v>
      </c>
      <c r="B2279" t="s">
        <v>20360</v>
      </c>
      <c r="C2279">
        <v>0</v>
      </c>
    </row>
    <row r="2280" spans="1:3" x14ac:dyDescent="0.25">
      <c r="A2280" s="48" t="s">
        <v>4946</v>
      </c>
      <c r="B2280" t="s">
        <v>20361</v>
      </c>
      <c r="C2280">
        <v>0</v>
      </c>
    </row>
    <row r="2281" spans="1:3" x14ac:dyDescent="0.25">
      <c r="A2281" s="48" t="s">
        <v>17518</v>
      </c>
      <c r="B2281" t="s">
        <v>20362</v>
      </c>
      <c r="C2281">
        <v>0</v>
      </c>
    </row>
    <row r="2282" spans="1:3" x14ac:dyDescent="0.25">
      <c r="A2282" s="48" t="s">
        <v>12287</v>
      </c>
      <c r="B2282" t="s">
        <v>20363</v>
      </c>
      <c r="C2282">
        <v>0</v>
      </c>
    </row>
    <row r="2283" spans="1:3" x14ac:dyDescent="0.25">
      <c r="A2283" s="48" t="s">
        <v>12283</v>
      </c>
      <c r="B2283" t="s">
        <v>20364</v>
      </c>
      <c r="C2283">
        <v>1</v>
      </c>
    </row>
    <row r="2284" spans="1:3" x14ac:dyDescent="0.25">
      <c r="A2284" s="48" t="s">
        <v>4944</v>
      </c>
      <c r="B2284" t="s">
        <v>20365</v>
      </c>
      <c r="C2284">
        <v>0</v>
      </c>
    </row>
    <row r="2285" spans="1:3" x14ac:dyDescent="0.25">
      <c r="A2285" s="48" t="s">
        <v>17514</v>
      </c>
      <c r="B2285" t="s">
        <v>20366</v>
      </c>
      <c r="C2285">
        <v>2</v>
      </c>
    </row>
    <row r="2286" spans="1:3" x14ac:dyDescent="0.25">
      <c r="A2286" s="48" t="s">
        <v>17504</v>
      </c>
      <c r="B2286" t="s">
        <v>20367</v>
      </c>
      <c r="C2286">
        <v>0</v>
      </c>
    </row>
    <row r="2287" spans="1:3" x14ac:dyDescent="0.25">
      <c r="A2287" s="48" t="s">
        <v>12289</v>
      </c>
      <c r="B2287" t="s">
        <v>20368</v>
      </c>
      <c r="C2287">
        <v>0</v>
      </c>
    </row>
    <row r="2288" spans="1:3" x14ac:dyDescent="0.25">
      <c r="A2288" s="48" t="s">
        <v>12291</v>
      </c>
      <c r="B2288" t="s">
        <v>20369</v>
      </c>
      <c r="C2288">
        <v>0</v>
      </c>
    </row>
    <row r="2289" spans="1:3" x14ac:dyDescent="0.25">
      <c r="A2289" s="48" t="s">
        <v>12293</v>
      </c>
      <c r="B2289" t="s">
        <v>20370</v>
      </c>
      <c r="C2289">
        <v>0</v>
      </c>
    </row>
    <row r="2290" spans="1:3" x14ac:dyDescent="0.25">
      <c r="A2290" s="48" t="s">
        <v>11314</v>
      </c>
      <c r="B2290" t="s">
        <v>22888</v>
      </c>
      <c r="C2290">
        <v>6</v>
      </c>
    </row>
    <row r="2291" spans="1:3" x14ac:dyDescent="0.25">
      <c r="A2291" s="48" t="s">
        <v>11302</v>
      </c>
      <c r="B2291" t="s">
        <v>22889</v>
      </c>
      <c r="C2291">
        <v>0</v>
      </c>
    </row>
    <row r="2292" spans="1:3" x14ac:dyDescent="0.25">
      <c r="A2292" s="48" t="s">
        <v>11288</v>
      </c>
      <c r="B2292" t="s">
        <v>22948</v>
      </c>
      <c r="C2292">
        <v>8</v>
      </c>
    </row>
    <row r="2293" spans="1:3" x14ac:dyDescent="0.25">
      <c r="A2293" s="48" t="s">
        <v>11280</v>
      </c>
      <c r="B2293" t="s">
        <v>22949</v>
      </c>
      <c r="C2293">
        <v>8</v>
      </c>
    </row>
    <row r="2294" spans="1:3" x14ac:dyDescent="0.25">
      <c r="A2294" s="48" t="s">
        <v>11286</v>
      </c>
      <c r="B2294" t="s">
        <v>22950</v>
      </c>
      <c r="C2294">
        <v>5</v>
      </c>
    </row>
    <row r="2295" spans="1:3" x14ac:dyDescent="0.25">
      <c r="A2295" s="48" t="s">
        <v>11330</v>
      </c>
      <c r="B2295" t="s">
        <v>22890</v>
      </c>
      <c r="C2295">
        <v>8</v>
      </c>
    </row>
    <row r="2296" spans="1:3" x14ac:dyDescent="0.25">
      <c r="A2296" s="48" t="s">
        <v>11326</v>
      </c>
      <c r="B2296" t="s">
        <v>22891</v>
      </c>
      <c r="C2296">
        <v>9</v>
      </c>
    </row>
    <row r="2297" spans="1:3" x14ac:dyDescent="0.25">
      <c r="A2297" s="48" t="s">
        <v>11328</v>
      </c>
      <c r="B2297" t="s">
        <v>22892</v>
      </c>
      <c r="C2297">
        <v>8</v>
      </c>
    </row>
    <row r="2298" spans="1:3" x14ac:dyDescent="0.25">
      <c r="A2298" s="48" t="s">
        <v>11324</v>
      </c>
      <c r="B2298" t="s">
        <v>22893</v>
      </c>
      <c r="C2298">
        <v>9</v>
      </c>
    </row>
    <row r="2299" spans="1:3" x14ac:dyDescent="0.25">
      <c r="A2299" s="48" t="s">
        <v>11316</v>
      </c>
      <c r="B2299" t="s">
        <v>22894</v>
      </c>
      <c r="C2299">
        <v>5</v>
      </c>
    </row>
    <row r="2300" spans="1:3" x14ac:dyDescent="0.25">
      <c r="A2300" s="48" t="s">
        <v>11748</v>
      </c>
      <c r="B2300" t="s">
        <v>11749</v>
      </c>
      <c r="C2300">
        <v>1</v>
      </c>
    </row>
    <row r="2301" spans="1:3" x14ac:dyDescent="0.25">
      <c r="A2301" s="48" t="s">
        <v>11440</v>
      </c>
      <c r="B2301" t="s">
        <v>11441</v>
      </c>
      <c r="C2301">
        <v>9</v>
      </c>
    </row>
    <row r="2302" spans="1:3" x14ac:dyDescent="0.25">
      <c r="A2302" s="48" t="s">
        <v>11568</v>
      </c>
      <c r="B2302" t="s">
        <v>11569</v>
      </c>
      <c r="C2302">
        <v>0</v>
      </c>
    </row>
    <row r="2303" spans="1:3" x14ac:dyDescent="0.25">
      <c r="A2303" s="48" t="s">
        <v>8992</v>
      </c>
      <c r="B2303" t="s">
        <v>8993</v>
      </c>
      <c r="C2303">
        <v>0</v>
      </c>
    </row>
    <row r="2304" spans="1:3" x14ac:dyDescent="0.25">
      <c r="A2304" s="48" t="s">
        <v>3420</v>
      </c>
      <c r="B2304" t="s">
        <v>20371</v>
      </c>
      <c r="C2304">
        <v>0</v>
      </c>
    </row>
    <row r="2305" spans="1:3" x14ac:dyDescent="0.25">
      <c r="A2305" s="48" t="s">
        <v>5305</v>
      </c>
      <c r="B2305" t="s">
        <v>5306</v>
      </c>
      <c r="C2305">
        <v>0</v>
      </c>
    </row>
    <row r="2306" spans="1:3" x14ac:dyDescent="0.25">
      <c r="A2306" s="48" t="s">
        <v>16412</v>
      </c>
      <c r="B2306" t="s">
        <v>20372</v>
      </c>
      <c r="C2306">
        <v>0</v>
      </c>
    </row>
    <row r="2307" spans="1:3" x14ac:dyDescent="0.25">
      <c r="A2307" s="48" t="s">
        <v>16386</v>
      </c>
      <c r="B2307" t="s">
        <v>20373</v>
      </c>
      <c r="C2307">
        <v>0</v>
      </c>
    </row>
    <row r="2308" spans="1:3" x14ac:dyDescent="0.25">
      <c r="A2308" s="48" t="s">
        <v>14734</v>
      </c>
      <c r="B2308" t="s">
        <v>20374</v>
      </c>
      <c r="C2308">
        <v>2</v>
      </c>
    </row>
    <row r="2309" spans="1:3" x14ac:dyDescent="0.25">
      <c r="A2309" s="48" t="s">
        <v>16722</v>
      </c>
      <c r="B2309" t="s">
        <v>20375</v>
      </c>
      <c r="C2309">
        <v>0</v>
      </c>
    </row>
    <row r="2310" spans="1:3" x14ac:dyDescent="0.25">
      <c r="A2310" s="48" t="s">
        <v>17002</v>
      </c>
      <c r="B2310" t="s">
        <v>20376</v>
      </c>
      <c r="C2310">
        <v>6</v>
      </c>
    </row>
    <row r="2311" spans="1:3" x14ac:dyDescent="0.25">
      <c r="A2311" s="48" t="s">
        <v>19700</v>
      </c>
      <c r="B2311" t="s">
        <v>20377</v>
      </c>
      <c r="C2311">
        <v>0</v>
      </c>
    </row>
    <row r="2312" spans="1:3" x14ac:dyDescent="0.25">
      <c r="A2312" s="48" t="s">
        <v>19694</v>
      </c>
      <c r="B2312" t="s">
        <v>20378</v>
      </c>
      <c r="C2312">
        <v>0</v>
      </c>
    </row>
    <row r="2313" spans="1:3" x14ac:dyDescent="0.25">
      <c r="A2313" s="48" t="s">
        <v>19696</v>
      </c>
      <c r="B2313" t="s">
        <v>20379</v>
      </c>
      <c r="C2313">
        <v>0</v>
      </c>
    </row>
    <row r="2314" spans="1:3" x14ac:dyDescent="0.25">
      <c r="A2314" s="48" t="s">
        <v>19704</v>
      </c>
      <c r="B2314" t="s">
        <v>20380</v>
      </c>
      <c r="C2314">
        <v>0</v>
      </c>
    </row>
    <row r="2315" spans="1:3" x14ac:dyDescent="0.25">
      <c r="A2315" s="48" t="s">
        <v>17180</v>
      </c>
      <c r="B2315" t="s">
        <v>20381</v>
      </c>
      <c r="C2315">
        <v>0</v>
      </c>
    </row>
    <row r="2316" spans="1:3" x14ac:dyDescent="0.25">
      <c r="A2316" s="48" t="s">
        <v>17084</v>
      </c>
      <c r="B2316" t="s">
        <v>20382</v>
      </c>
      <c r="C2316">
        <v>0</v>
      </c>
    </row>
    <row r="2317" spans="1:3" x14ac:dyDescent="0.25">
      <c r="A2317" s="48" t="s">
        <v>9818</v>
      </c>
      <c r="B2317" t="s">
        <v>20383</v>
      </c>
      <c r="C2317">
        <v>0</v>
      </c>
    </row>
    <row r="2318" spans="1:3" x14ac:dyDescent="0.25">
      <c r="A2318" s="48" t="s">
        <v>9816</v>
      </c>
      <c r="B2318" t="s">
        <v>20384</v>
      </c>
      <c r="C2318">
        <v>0</v>
      </c>
    </row>
    <row r="2319" spans="1:3" x14ac:dyDescent="0.25">
      <c r="A2319" s="48" t="s">
        <v>14714</v>
      </c>
      <c r="B2319" t="s">
        <v>20385</v>
      </c>
      <c r="C2319">
        <v>0</v>
      </c>
    </row>
    <row r="2320" spans="1:3" x14ac:dyDescent="0.25">
      <c r="A2320" s="48" t="s">
        <v>17092</v>
      </c>
      <c r="B2320" t="s">
        <v>20386</v>
      </c>
      <c r="C2320">
        <v>0</v>
      </c>
    </row>
    <row r="2321" spans="1:3" x14ac:dyDescent="0.25">
      <c r="A2321" s="48" t="s">
        <v>10642</v>
      </c>
      <c r="B2321" t="s">
        <v>20387</v>
      </c>
      <c r="C2321">
        <v>17</v>
      </c>
    </row>
    <row r="2322" spans="1:3" x14ac:dyDescent="0.25">
      <c r="A2322" s="48" t="s">
        <v>10758</v>
      </c>
      <c r="B2322" t="s">
        <v>20388</v>
      </c>
      <c r="C2322">
        <v>5</v>
      </c>
    </row>
    <row r="2323" spans="1:3" x14ac:dyDescent="0.25">
      <c r="A2323" s="48" t="s">
        <v>10680</v>
      </c>
      <c r="B2323" t="s">
        <v>20389</v>
      </c>
      <c r="C2323">
        <v>0</v>
      </c>
    </row>
    <row r="2324" spans="1:3" x14ac:dyDescent="0.25">
      <c r="A2324" s="48" t="s">
        <v>10794</v>
      </c>
      <c r="B2324" t="s">
        <v>20390</v>
      </c>
      <c r="C2324">
        <v>8</v>
      </c>
    </row>
    <row r="2325" spans="1:3" x14ac:dyDescent="0.25">
      <c r="A2325" s="48" t="s">
        <v>10700</v>
      </c>
      <c r="B2325" t="s">
        <v>20391</v>
      </c>
      <c r="C2325">
        <v>0</v>
      </c>
    </row>
    <row r="2326" spans="1:3" x14ac:dyDescent="0.25">
      <c r="A2326" s="48" t="s">
        <v>14507</v>
      </c>
      <c r="B2326" t="s">
        <v>20392</v>
      </c>
      <c r="C2326">
        <v>0</v>
      </c>
    </row>
    <row r="2327" spans="1:3" x14ac:dyDescent="0.25">
      <c r="A2327" s="48" t="s">
        <v>14505</v>
      </c>
      <c r="B2327" t="s">
        <v>20393</v>
      </c>
      <c r="C2327">
        <v>0</v>
      </c>
    </row>
    <row r="2328" spans="1:3" x14ac:dyDescent="0.25">
      <c r="A2328" s="48" t="s">
        <v>14503</v>
      </c>
      <c r="B2328" t="s">
        <v>20394</v>
      </c>
      <c r="C2328">
        <v>0</v>
      </c>
    </row>
    <row r="2329" spans="1:3" x14ac:dyDescent="0.25">
      <c r="A2329" s="48" t="s">
        <v>10660</v>
      </c>
      <c r="B2329" t="s">
        <v>20395</v>
      </c>
      <c r="C2329">
        <v>0</v>
      </c>
    </row>
    <row r="2330" spans="1:3" x14ac:dyDescent="0.25">
      <c r="A2330" s="48" t="s">
        <v>10720</v>
      </c>
      <c r="B2330" t="s">
        <v>20396</v>
      </c>
      <c r="C2330">
        <v>0</v>
      </c>
    </row>
    <row r="2331" spans="1:3" x14ac:dyDescent="0.25">
      <c r="A2331" s="48" t="s">
        <v>10738</v>
      </c>
      <c r="B2331" t="s">
        <v>20397</v>
      </c>
      <c r="C2331">
        <v>6</v>
      </c>
    </row>
    <row r="2332" spans="1:3" x14ac:dyDescent="0.25">
      <c r="A2332" s="48" t="s">
        <v>10776</v>
      </c>
      <c r="B2332" t="s">
        <v>20398</v>
      </c>
      <c r="C2332">
        <v>19</v>
      </c>
    </row>
    <row r="2333" spans="1:3" x14ac:dyDescent="0.25">
      <c r="A2333" s="48" t="s">
        <v>10812</v>
      </c>
      <c r="B2333" t="s">
        <v>20399</v>
      </c>
      <c r="C2333">
        <v>17</v>
      </c>
    </row>
    <row r="2334" spans="1:3" x14ac:dyDescent="0.25">
      <c r="A2334" s="48" t="s">
        <v>17082</v>
      </c>
      <c r="B2334" t="s">
        <v>20400</v>
      </c>
      <c r="C2334">
        <v>0</v>
      </c>
    </row>
    <row r="2335" spans="1:3" x14ac:dyDescent="0.25">
      <c r="A2335" s="48" t="s">
        <v>16550</v>
      </c>
      <c r="B2335" t="s">
        <v>20401</v>
      </c>
      <c r="C2335">
        <v>0</v>
      </c>
    </row>
    <row r="2336" spans="1:3" x14ac:dyDescent="0.25">
      <c r="A2336" s="48" t="s">
        <v>8021</v>
      </c>
      <c r="B2336" t="s">
        <v>20402</v>
      </c>
      <c r="C2336">
        <v>0</v>
      </c>
    </row>
    <row r="2337" spans="1:3" x14ac:dyDescent="0.25">
      <c r="A2337" s="48" t="s">
        <v>9824</v>
      </c>
      <c r="B2337" t="s">
        <v>20403</v>
      </c>
      <c r="C2337">
        <v>0</v>
      </c>
    </row>
    <row r="2338" spans="1:3" x14ac:dyDescent="0.25">
      <c r="A2338" s="48" t="s">
        <v>9826</v>
      </c>
      <c r="B2338" t="s">
        <v>20404</v>
      </c>
      <c r="C2338">
        <v>3</v>
      </c>
    </row>
    <row r="2339" spans="1:3" x14ac:dyDescent="0.25">
      <c r="A2339" s="48" t="s">
        <v>10636</v>
      </c>
      <c r="B2339" t="s">
        <v>20405</v>
      </c>
      <c r="C2339">
        <v>15</v>
      </c>
    </row>
    <row r="2340" spans="1:3" x14ac:dyDescent="0.25">
      <c r="A2340" s="48" t="s">
        <v>10652</v>
      </c>
      <c r="B2340" t="s">
        <v>20406</v>
      </c>
      <c r="C2340">
        <v>6</v>
      </c>
    </row>
    <row r="2341" spans="1:3" x14ac:dyDescent="0.25">
      <c r="A2341" s="48" t="s">
        <v>10672</v>
      </c>
      <c r="B2341" t="s">
        <v>20407</v>
      </c>
      <c r="C2341">
        <v>14</v>
      </c>
    </row>
    <row r="2342" spans="1:3" x14ac:dyDescent="0.25">
      <c r="A2342" s="48" t="s">
        <v>10692</v>
      </c>
      <c r="B2342" t="s">
        <v>20408</v>
      </c>
      <c r="C2342">
        <v>0</v>
      </c>
    </row>
    <row r="2343" spans="1:3" x14ac:dyDescent="0.25">
      <c r="A2343" s="48" t="s">
        <v>10712</v>
      </c>
      <c r="B2343" t="s">
        <v>20409</v>
      </c>
      <c r="C2343">
        <v>0</v>
      </c>
    </row>
    <row r="2344" spans="1:3" x14ac:dyDescent="0.25">
      <c r="A2344" s="48" t="s">
        <v>10732</v>
      </c>
      <c r="B2344" t="s">
        <v>20410</v>
      </c>
      <c r="C2344">
        <v>0</v>
      </c>
    </row>
    <row r="2345" spans="1:3" x14ac:dyDescent="0.25">
      <c r="A2345" s="48" t="s">
        <v>10750</v>
      </c>
      <c r="B2345" t="s">
        <v>20411</v>
      </c>
      <c r="C2345">
        <v>3</v>
      </c>
    </row>
    <row r="2346" spans="1:3" x14ac:dyDescent="0.25">
      <c r="A2346" s="48" t="s">
        <v>10770</v>
      </c>
      <c r="B2346" t="s">
        <v>20412</v>
      </c>
      <c r="C2346">
        <v>0</v>
      </c>
    </row>
    <row r="2347" spans="1:3" x14ac:dyDescent="0.25">
      <c r="A2347" s="48" t="s">
        <v>17508</v>
      </c>
      <c r="B2347" t="s">
        <v>20413</v>
      </c>
      <c r="C2347">
        <v>0</v>
      </c>
    </row>
    <row r="2348" spans="1:3" x14ac:dyDescent="0.25">
      <c r="A2348" s="48" t="s">
        <v>2685</v>
      </c>
      <c r="B2348" t="s">
        <v>20414</v>
      </c>
      <c r="C2348">
        <v>0</v>
      </c>
    </row>
    <row r="2349" spans="1:3" x14ac:dyDescent="0.25">
      <c r="A2349" s="48" t="s">
        <v>2683</v>
      </c>
      <c r="B2349" t="s">
        <v>20415</v>
      </c>
      <c r="C2349">
        <v>0</v>
      </c>
    </row>
    <row r="2350" spans="1:3" x14ac:dyDescent="0.25">
      <c r="A2350" s="48" t="s">
        <v>14698</v>
      </c>
      <c r="B2350" t="s">
        <v>20416</v>
      </c>
      <c r="C2350">
        <v>0</v>
      </c>
    </row>
    <row r="2351" spans="1:3" x14ac:dyDescent="0.25">
      <c r="A2351" s="48" t="s">
        <v>14724</v>
      </c>
      <c r="B2351" t="s">
        <v>20417</v>
      </c>
      <c r="C2351">
        <v>0</v>
      </c>
    </row>
    <row r="2352" spans="1:3" x14ac:dyDescent="0.25">
      <c r="A2352" s="48" t="s">
        <v>14640</v>
      </c>
      <c r="B2352" t="s">
        <v>20418</v>
      </c>
      <c r="C2352">
        <v>5</v>
      </c>
    </row>
    <row r="2353" spans="1:3" x14ac:dyDescent="0.25">
      <c r="A2353" s="48" t="s">
        <v>14740</v>
      </c>
      <c r="B2353" t="s">
        <v>20419</v>
      </c>
      <c r="C2353">
        <v>0</v>
      </c>
    </row>
    <row r="2354" spans="1:3" x14ac:dyDescent="0.25">
      <c r="A2354" s="48" t="s">
        <v>14732</v>
      </c>
      <c r="B2354" t="s">
        <v>20420</v>
      </c>
      <c r="C2354">
        <v>0</v>
      </c>
    </row>
    <row r="2355" spans="1:3" x14ac:dyDescent="0.25">
      <c r="A2355" s="48" t="s">
        <v>15247</v>
      </c>
      <c r="B2355" t="s">
        <v>15248</v>
      </c>
      <c r="C2355">
        <v>0</v>
      </c>
    </row>
    <row r="2356" spans="1:3" x14ac:dyDescent="0.25">
      <c r="A2356" s="48" t="s">
        <v>15249</v>
      </c>
      <c r="B2356" t="s">
        <v>15250</v>
      </c>
      <c r="C2356">
        <v>0</v>
      </c>
    </row>
    <row r="2357" spans="1:3" x14ac:dyDescent="0.25">
      <c r="A2357" s="48" t="s">
        <v>15251</v>
      </c>
      <c r="B2357" t="s">
        <v>15252</v>
      </c>
      <c r="C2357">
        <v>0</v>
      </c>
    </row>
    <row r="2358" spans="1:3" x14ac:dyDescent="0.25">
      <c r="A2358" s="48" t="s">
        <v>15253</v>
      </c>
      <c r="B2358" t="s">
        <v>15254</v>
      </c>
      <c r="C2358">
        <v>0</v>
      </c>
    </row>
    <row r="2359" spans="1:3" x14ac:dyDescent="0.25">
      <c r="A2359" s="48" t="s">
        <v>15255</v>
      </c>
      <c r="B2359" t="s">
        <v>15256</v>
      </c>
      <c r="C2359">
        <v>0</v>
      </c>
    </row>
    <row r="2360" spans="1:3" x14ac:dyDescent="0.25">
      <c r="A2360" s="48" t="s">
        <v>15257</v>
      </c>
      <c r="B2360" t="s">
        <v>15258</v>
      </c>
      <c r="C2360">
        <v>0</v>
      </c>
    </row>
    <row r="2361" spans="1:3" x14ac:dyDescent="0.25">
      <c r="A2361" s="48" t="s">
        <v>15259</v>
      </c>
      <c r="B2361" t="s">
        <v>15260</v>
      </c>
      <c r="C2361">
        <v>0</v>
      </c>
    </row>
    <row r="2362" spans="1:3" x14ac:dyDescent="0.25">
      <c r="A2362" s="48" t="s">
        <v>15261</v>
      </c>
      <c r="B2362" t="s">
        <v>15262</v>
      </c>
      <c r="C2362">
        <v>0</v>
      </c>
    </row>
    <row r="2363" spans="1:3" x14ac:dyDescent="0.25">
      <c r="A2363" s="48" t="s">
        <v>15265</v>
      </c>
      <c r="B2363" t="s">
        <v>15266</v>
      </c>
      <c r="C2363">
        <v>0</v>
      </c>
    </row>
    <row r="2364" spans="1:3" x14ac:dyDescent="0.25">
      <c r="A2364" s="48" t="s">
        <v>15267</v>
      </c>
      <c r="B2364" t="s">
        <v>15268</v>
      </c>
      <c r="C2364">
        <v>0</v>
      </c>
    </row>
    <row r="2365" spans="1:3" x14ac:dyDescent="0.25">
      <c r="A2365" s="48" t="s">
        <v>15277</v>
      </c>
      <c r="B2365" t="s">
        <v>15278</v>
      </c>
      <c r="C2365">
        <v>0</v>
      </c>
    </row>
    <row r="2366" spans="1:3" x14ac:dyDescent="0.25">
      <c r="A2366" s="48" t="s">
        <v>15279</v>
      </c>
      <c r="B2366" t="s">
        <v>15280</v>
      </c>
      <c r="C2366">
        <v>0</v>
      </c>
    </row>
    <row r="2367" spans="1:3" x14ac:dyDescent="0.25">
      <c r="A2367" s="48" t="s">
        <v>15281</v>
      </c>
      <c r="B2367" t="s">
        <v>15282</v>
      </c>
      <c r="C2367">
        <v>0</v>
      </c>
    </row>
    <row r="2368" spans="1:3" x14ac:dyDescent="0.25">
      <c r="A2368" s="48" t="s">
        <v>15287</v>
      </c>
      <c r="B2368" t="s">
        <v>15288</v>
      </c>
      <c r="C2368">
        <v>0</v>
      </c>
    </row>
    <row r="2369" spans="1:3" x14ac:dyDescent="0.25">
      <c r="A2369" s="48" t="s">
        <v>15289</v>
      </c>
      <c r="B2369" t="s">
        <v>15290</v>
      </c>
      <c r="C2369">
        <v>0</v>
      </c>
    </row>
    <row r="2370" spans="1:3" x14ac:dyDescent="0.25">
      <c r="A2370" s="48" t="s">
        <v>15291</v>
      </c>
      <c r="B2370" t="s">
        <v>15292</v>
      </c>
      <c r="C2370">
        <v>0</v>
      </c>
    </row>
    <row r="2371" spans="1:3" x14ac:dyDescent="0.25">
      <c r="A2371" s="48" t="s">
        <v>15297</v>
      </c>
      <c r="B2371" t="s">
        <v>15298</v>
      </c>
      <c r="C2371">
        <v>0</v>
      </c>
    </row>
    <row r="2372" spans="1:3" x14ac:dyDescent="0.25">
      <c r="A2372" s="48" t="s">
        <v>15301</v>
      </c>
      <c r="B2372" t="s">
        <v>15302</v>
      </c>
      <c r="C2372">
        <v>0</v>
      </c>
    </row>
    <row r="2373" spans="1:3" x14ac:dyDescent="0.25">
      <c r="A2373" s="48" t="s">
        <v>15303</v>
      </c>
      <c r="B2373" t="s">
        <v>15304</v>
      </c>
      <c r="C2373">
        <v>0</v>
      </c>
    </row>
    <row r="2374" spans="1:3" x14ac:dyDescent="0.25">
      <c r="A2374" s="48" t="s">
        <v>15305</v>
      </c>
      <c r="B2374" t="s">
        <v>15306</v>
      </c>
      <c r="C2374">
        <v>0</v>
      </c>
    </row>
    <row r="2375" spans="1:3" x14ac:dyDescent="0.25">
      <c r="A2375" s="48" t="s">
        <v>15307</v>
      </c>
      <c r="B2375" t="s">
        <v>15308</v>
      </c>
      <c r="C2375">
        <v>0</v>
      </c>
    </row>
    <row r="2376" spans="1:3" x14ac:dyDescent="0.25">
      <c r="A2376" s="48" t="s">
        <v>15311</v>
      </c>
      <c r="B2376" t="s">
        <v>15312</v>
      </c>
      <c r="C2376">
        <v>0</v>
      </c>
    </row>
    <row r="2377" spans="1:3" x14ac:dyDescent="0.25">
      <c r="A2377" s="48" t="s">
        <v>15315</v>
      </c>
      <c r="B2377" t="s">
        <v>15316</v>
      </c>
      <c r="C2377">
        <v>0</v>
      </c>
    </row>
    <row r="2378" spans="1:3" x14ac:dyDescent="0.25">
      <c r="A2378" s="48" t="s">
        <v>15317</v>
      </c>
      <c r="B2378" t="s">
        <v>15318</v>
      </c>
      <c r="C2378">
        <v>0</v>
      </c>
    </row>
    <row r="2379" spans="1:3" x14ac:dyDescent="0.25">
      <c r="A2379" s="48" t="s">
        <v>15319</v>
      </c>
      <c r="B2379" t="s">
        <v>15320</v>
      </c>
      <c r="C2379">
        <v>0</v>
      </c>
    </row>
    <row r="2380" spans="1:3" x14ac:dyDescent="0.25">
      <c r="A2380" s="48" t="s">
        <v>15321</v>
      </c>
      <c r="B2380" t="s">
        <v>15322</v>
      </c>
      <c r="C2380">
        <v>0</v>
      </c>
    </row>
    <row r="2381" spans="1:3" x14ac:dyDescent="0.25">
      <c r="A2381" s="48" t="s">
        <v>15327</v>
      </c>
      <c r="B2381" t="s">
        <v>15328</v>
      </c>
      <c r="C2381">
        <v>3</v>
      </c>
    </row>
    <row r="2382" spans="1:3" x14ac:dyDescent="0.25">
      <c r="A2382" s="48" t="s">
        <v>15329</v>
      </c>
      <c r="B2382" t="s">
        <v>15330</v>
      </c>
      <c r="C2382">
        <v>0</v>
      </c>
    </row>
    <row r="2383" spans="1:3" x14ac:dyDescent="0.25">
      <c r="A2383" s="48" t="s">
        <v>15335</v>
      </c>
      <c r="B2383" t="s">
        <v>15336</v>
      </c>
      <c r="C2383">
        <v>0</v>
      </c>
    </row>
    <row r="2384" spans="1:3" x14ac:dyDescent="0.25">
      <c r="A2384" s="48" t="s">
        <v>10788</v>
      </c>
      <c r="B2384" t="s">
        <v>20421</v>
      </c>
      <c r="C2384">
        <v>7</v>
      </c>
    </row>
    <row r="2385" spans="1:3" x14ac:dyDescent="0.25">
      <c r="A2385" s="48" t="s">
        <v>10806</v>
      </c>
      <c r="B2385" t="s">
        <v>20422</v>
      </c>
      <c r="C2385">
        <v>4</v>
      </c>
    </row>
    <row r="2386" spans="1:3" x14ac:dyDescent="0.25">
      <c r="A2386" s="48" t="s">
        <v>16986</v>
      </c>
      <c r="B2386" t="s">
        <v>20423</v>
      </c>
      <c r="C2386">
        <v>0</v>
      </c>
    </row>
    <row r="2387" spans="1:3" x14ac:dyDescent="0.25">
      <c r="A2387" s="48" t="s">
        <v>16740</v>
      </c>
      <c r="B2387" t="s">
        <v>20424</v>
      </c>
      <c r="C2387">
        <v>0</v>
      </c>
    </row>
    <row r="2388" spans="1:3" x14ac:dyDescent="0.25">
      <c r="A2388" s="48" t="s">
        <v>2687</v>
      </c>
      <c r="B2388" t="s">
        <v>20425</v>
      </c>
      <c r="C2388">
        <v>13</v>
      </c>
    </row>
    <row r="2389" spans="1:3" x14ac:dyDescent="0.25">
      <c r="A2389" s="48" t="s">
        <v>4534</v>
      </c>
      <c r="B2389" t="s">
        <v>4535</v>
      </c>
      <c r="C2389">
        <v>0</v>
      </c>
    </row>
    <row r="2390" spans="1:3" x14ac:dyDescent="0.25">
      <c r="A2390" s="48" t="s">
        <v>12449</v>
      </c>
      <c r="B2390" t="s">
        <v>12450</v>
      </c>
      <c r="C2390">
        <v>0</v>
      </c>
    </row>
    <row r="2391" spans="1:3" x14ac:dyDescent="0.25">
      <c r="A2391" s="48" t="s">
        <v>11418</v>
      </c>
      <c r="B2391" t="s">
        <v>11419</v>
      </c>
      <c r="C2391">
        <v>2</v>
      </c>
    </row>
    <row r="2392" spans="1:3" x14ac:dyDescent="0.25">
      <c r="A2392" s="48" t="s">
        <v>17236</v>
      </c>
      <c r="B2392" t="s">
        <v>17237</v>
      </c>
      <c r="C2392">
        <v>1</v>
      </c>
    </row>
    <row r="2393" spans="1:3" x14ac:dyDescent="0.25">
      <c r="A2393" s="48" t="s">
        <v>17252</v>
      </c>
      <c r="B2393" t="s">
        <v>20426</v>
      </c>
      <c r="C2393">
        <v>0</v>
      </c>
    </row>
    <row r="2394" spans="1:3" x14ac:dyDescent="0.25">
      <c r="A2394" s="48" t="s">
        <v>12303</v>
      </c>
      <c r="B2394" t="s">
        <v>12304</v>
      </c>
      <c r="C2394">
        <v>4</v>
      </c>
    </row>
    <row r="2395" spans="1:3" x14ac:dyDescent="0.25">
      <c r="A2395" s="48" t="s">
        <v>12311</v>
      </c>
      <c r="B2395" t="s">
        <v>12312</v>
      </c>
      <c r="C2395">
        <v>12</v>
      </c>
    </row>
    <row r="2396" spans="1:3" x14ac:dyDescent="0.25">
      <c r="A2396" s="48" t="s">
        <v>5455</v>
      </c>
      <c r="B2396" t="s">
        <v>5456</v>
      </c>
      <c r="C2396">
        <v>8</v>
      </c>
    </row>
    <row r="2397" spans="1:3" x14ac:dyDescent="0.25">
      <c r="A2397" s="48" t="s">
        <v>7454</v>
      </c>
      <c r="B2397" t="s">
        <v>7455</v>
      </c>
      <c r="C2397">
        <v>1</v>
      </c>
    </row>
    <row r="2398" spans="1:3" x14ac:dyDescent="0.25">
      <c r="A2398" s="48" t="s">
        <v>11734</v>
      </c>
      <c r="B2398" t="s">
        <v>11735</v>
      </c>
      <c r="C2398">
        <v>0</v>
      </c>
    </row>
    <row r="2399" spans="1:3" x14ac:dyDescent="0.25">
      <c r="A2399" s="48" t="s">
        <v>11686</v>
      </c>
      <c r="B2399" t="s">
        <v>11687</v>
      </c>
      <c r="C2399">
        <v>32</v>
      </c>
    </row>
    <row r="2400" spans="1:3" x14ac:dyDescent="0.25">
      <c r="A2400" s="48" t="s">
        <v>457</v>
      </c>
      <c r="B2400" t="s">
        <v>458</v>
      </c>
      <c r="C2400">
        <v>2</v>
      </c>
    </row>
    <row r="2401" spans="1:3" x14ac:dyDescent="0.25">
      <c r="A2401" s="48" t="s">
        <v>289</v>
      </c>
      <c r="B2401" t="s">
        <v>290</v>
      </c>
      <c r="C2401">
        <v>33</v>
      </c>
    </row>
    <row r="2402" spans="1:3" x14ac:dyDescent="0.25">
      <c r="A2402" s="48" t="s">
        <v>647</v>
      </c>
      <c r="B2402" t="s">
        <v>648</v>
      </c>
      <c r="C2402">
        <v>20</v>
      </c>
    </row>
    <row r="2403" spans="1:3" x14ac:dyDescent="0.25">
      <c r="A2403" s="48" t="s">
        <v>3062</v>
      </c>
      <c r="B2403" t="s">
        <v>3063</v>
      </c>
      <c r="C2403">
        <v>19</v>
      </c>
    </row>
    <row r="2404" spans="1:3" x14ac:dyDescent="0.25">
      <c r="A2404" s="48" t="s">
        <v>5547</v>
      </c>
      <c r="B2404" t="s">
        <v>5548</v>
      </c>
      <c r="C2404">
        <v>0</v>
      </c>
    </row>
    <row r="2405" spans="1:3" x14ac:dyDescent="0.25">
      <c r="A2405" s="48" t="s">
        <v>5489</v>
      </c>
      <c r="B2405" t="s">
        <v>5490</v>
      </c>
      <c r="C2405">
        <v>0</v>
      </c>
    </row>
    <row r="2406" spans="1:3" x14ac:dyDescent="0.25">
      <c r="A2406" s="48" t="s">
        <v>211</v>
      </c>
      <c r="B2406" t="s">
        <v>212</v>
      </c>
      <c r="C2406">
        <v>18</v>
      </c>
    </row>
    <row r="2407" spans="1:3" x14ac:dyDescent="0.25">
      <c r="A2407" s="48" t="s">
        <v>5363</v>
      </c>
      <c r="B2407" t="s">
        <v>5364</v>
      </c>
      <c r="C2407">
        <v>3</v>
      </c>
    </row>
    <row r="2408" spans="1:3" x14ac:dyDescent="0.25">
      <c r="A2408" s="48" t="s">
        <v>5403</v>
      </c>
      <c r="B2408" t="s">
        <v>5404</v>
      </c>
      <c r="C2408">
        <v>0</v>
      </c>
    </row>
    <row r="2409" spans="1:3" x14ac:dyDescent="0.25">
      <c r="A2409" s="48" t="s">
        <v>11518</v>
      </c>
      <c r="B2409" t="s">
        <v>11519</v>
      </c>
      <c r="C2409">
        <v>8</v>
      </c>
    </row>
    <row r="2410" spans="1:3" x14ac:dyDescent="0.25">
      <c r="A2410" s="48" t="s">
        <v>11828</v>
      </c>
      <c r="B2410" t="s">
        <v>20427</v>
      </c>
      <c r="C2410">
        <v>1</v>
      </c>
    </row>
    <row r="2411" spans="1:3" x14ac:dyDescent="0.25">
      <c r="A2411" s="48" t="s">
        <v>11566</v>
      </c>
      <c r="B2411" t="s">
        <v>11567</v>
      </c>
      <c r="C2411">
        <v>0</v>
      </c>
    </row>
    <row r="2412" spans="1:3" x14ac:dyDescent="0.25">
      <c r="A2412" s="48" t="s">
        <v>19710</v>
      </c>
      <c r="B2412" t="s">
        <v>19711</v>
      </c>
      <c r="C2412">
        <v>0</v>
      </c>
    </row>
    <row r="2413" spans="1:3" x14ac:dyDescent="0.25">
      <c r="A2413" s="48" t="s">
        <v>16392</v>
      </c>
      <c r="B2413" t="s">
        <v>16393</v>
      </c>
      <c r="C2413">
        <v>0</v>
      </c>
    </row>
    <row r="2414" spans="1:3" x14ac:dyDescent="0.25">
      <c r="A2414" s="48" t="s">
        <v>11690</v>
      </c>
      <c r="B2414" t="s">
        <v>11691</v>
      </c>
      <c r="C2414">
        <v>0</v>
      </c>
    </row>
    <row r="2415" spans="1:3" x14ac:dyDescent="0.25">
      <c r="A2415" s="48" t="s">
        <v>11496</v>
      </c>
      <c r="B2415" t="s">
        <v>11497</v>
      </c>
      <c r="C2415">
        <v>10</v>
      </c>
    </row>
    <row r="2416" spans="1:3" x14ac:dyDescent="0.25">
      <c r="A2416" s="48" t="s">
        <v>11490</v>
      </c>
      <c r="B2416" t="s">
        <v>11491</v>
      </c>
      <c r="C2416">
        <v>0</v>
      </c>
    </row>
    <row r="2417" spans="1:3" x14ac:dyDescent="0.25">
      <c r="A2417" s="48" t="s">
        <v>11494</v>
      </c>
      <c r="B2417" t="s">
        <v>11495</v>
      </c>
      <c r="C2417">
        <v>6</v>
      </c>
    </row>
    <row r="2418" spans="1:3" x14ac:dyDescent="0.25">
      <c r="A2418" s="48" t="s">
        <v>856</v>
      </c>
      <c r="B2418" t="s">
        <v>857</v>
      </c>
      <c r="C2418">
        <v>43</v>
      </c>
    </row>
    <row r="2419" spans="1:3" x14ac:dyDescent="0.25">
      <c r="A2419" s="48" t="s">
        <v>655</v>
      </c>
      <c r="B2419" t="s">
        <v>656</v>
      </c>
      <c r="C2419">
        <v>246</v>
      </c>
    </row>
    <row r="2420" spans="1:3" x14ac:dyDescent="0.25">
      <c r="A2420" s="48" t="s">
        <v>14361</v>
      </c>
      <c r="B2420" t="s">
        <v>14362</v>
      </c>
      <c r="C2420">
        <v>39</v>
      </c>
    </row>
    <row r="2421" spans="1:3" x14ac:dyDescent="0.25">
      <c r="A2421" s="48" t="s">
        <v>14367</v>
      </c>
      <c r="B2421" t="s">
        <v>14368</v>
      </c>
      <c r="C2421">
        <v>20</v>
      </c>
    </row>
    <row r="2422" spans="1:3" x14ac:dyDescent="0.25">
      <c r="A2422" s="48" t="s">
        <v>14369</v>
      </c>
      <c r="B2422" t="s">
        <v>14370</v>
      </c>
      <c r="C2422">
        <v>10</v>
      </c>
    </row>
    <row r="2423" spans="1:3" x14ac:dyDescent="0.25">
      <c r="A2423" s="48" t="s">
        <v>14371</v>
      </c>
      <c r="B2423" t="s">
        <v>14372</v>
      </c>
      <c r="C2423">
        <v>21</v>
      </c>
    </row>
    <row r="2424" spans="1:3" x14ac:dyDescent="0.25">
      <c r="A2424" s="48" t="s">
        <v>14379</v>
      </c>
      <c r="B2424" t="s">
        <v>14380</v>
      </c>
      <c r="C2424">
        <v>9</v>
      </c>
    </row>
    <row r="2425" spans="1:3" x14ac:dyDescent="0.25">
      <c r="A2425" s="48" t="s">
        <v>14381</v>
      </c>
      <c r="B2425" t="s">
        <v>14382</v>
      </c>
      <c r="C2425">
        <v>26</v>
      </c>
    </row>
    <row r="2426" spans="1:3" x14ac:dyDescent="0.25">
      <c r="A2426" s="48" t="s">
        <v>14383</v>
      </c>
      <c r="B2426" t="s">
        <v>14384</v>
      </c>
      <c r="C2426">
        <v>10</v>
      </c>
    </row>
    <row r="2427" spans="1:3" x14ac:dyDescent="0.25">
      <c r="A2427" s="48" t="s">
        <v>9547</v>
      </c>
      <c r="B2427" t="s">
        <v>9548</v>
      </c>
      <c r="C2427">
        <v>40</v>
      </c>
    </row>
    <row r="2428" spans="1:3" x14ac:dyDescent="0.25">
      <c r="A2428" s="48" t="s">
        <v>9549</v>
      </c>
      <c r="B2428" t="s">
        <v>9550</v>
      </c>
      <c r="C2428">
        <v>60</v>
      </c>
    </row>
    <row r="2429" spans="1:3" x14ac:dyDescent="0.25">
      <c r="A2429" s="48" t="s">
        <v>14363</v>
      </c>
      <c r="B2429" t="s">
        <v>14364</v>
      </c>
      <c r="C2429">
        <v>19</v>
      </c>
    </row>
    <row r="2430" spans="1:3" x14ac:dyDescent="0.25">
      <c r="A2430" s="48" t="s">
        <v>5531</v>
      </c>
      <c r="B2430" t="s">
        <v>5532</v>
      </c>
      <c r="C2430">
        <v>10</v>
      </c>
    </row>
    <row r="2431" spans="1:3" x14ac:dyDescent="0.25">
      <c r="A2431" s="48" t="s">
        <v>11458</v>
      </c>
      <c r="B2431" t="s">
        <v>11459</v>
      </c>
      <c r="C2431">
        <v>5</v>
      </c>
    </row>
    <row r="2432" spans="1:3" x14ac:dyDescent="0.25">
      <c r="A2432" s="48" t="s">
        <v>11462</v>
      </c>
      <c r="B2432" t="s">
        <v>11463</v>
      </c>
      <c r="C2432">
        <v>7</v>
      </c>
    </row>
    <row r="2433" spans="1:3" x14ac:dyDescent="0.25">
      <c r="A2433" s="48" t="s">
        <v>11614</v>
      </c>
      <c r="B2433" t="s">
        <v>11615</v>
      </c>
      <c r="C2433">
        <v>6</v>
      </c>
    </row>
    <row r="2434" spans="1:3" x14ac:dyDescent="0.25">
      <c r="A2434" s="48" t="s">
        <v>11616</v>
      </c>
      <c r="B2434" t="s">
        <v>11617</v>
      </c>
      <c r="C2434">
        <v>7</v>
      </c>
    </row>
    <row r="2435" spans="1:3" x14ac:dyDescent="0.25">
      <c r="A2435" s="48" t="s">
        <v>11618</v>
      </c>
      <c r="B2435" t="s">
        <v>11619</v>
      </c>
      <c r="C2435">
        <v>9</v>
      </c>
    </row>
    <row r="2436" spans="1:3" x14ac:dyDescent="0.25">
      <c r="A2436" s="48" t="s">
        <v>11620</v>
      </c>
      <c r="B2436" t="s">
        <v>11621</v>
      </c>
      <c r="C2436">
        <v>1</v>
      </c>
    </row>
    <row r="2437" spans="1:3" x14ac:dyDescent="0.25">
      <c r="A2437" s="48" t="s">
        <v>11622</v>
      </c>
      <c r="B2437" t="s">
        <v>11623</v>
      </c>
      <c r="C2437">
        <v>5</v>
      </c>
    </row>
    <row r="2438" spans="1:3" x14ac:dyDescent="0.25">
      <c r="A2438" s="48" t="s">
        <v>14852</v>
      </c>
      <c r="B2438" t="s">
        <v>14853</v>
      </c>
      <c r="C2438">
        <v>0</v>
      </c>
    </row>
    <row r="2439" spans="1:3" x14ac:dyDescent="0.25">
      <c r="A2439" s="48" t="s">
        <v>14832</v>
      </c>
      <c r="B2439" t="s">
        <v>14833</v>
      </c>
      <c r="C2439">
        <v>0</v>
      </c>
    </row>
    <row r="2440" spans="1:3" x14ac:dyDescent="0.25">
      <c r="A2440" s="48" t="s">
        <v>14840</v>
      </c>
      <c r="B2440" t="s">
        <v>14841</v>
      </c>
      <c r="C2440">
        <v>13</v>
      </c>
    </row>
    <row r="2441" spans="1:3" x14ac:dyDescent="0.25">
      <c r="A2441" s="48" t="s">
        <v>14854</v>
      </c>
      <c r="B2441" t="s">
        <v>14855</v>
      </c>
      <c r="C2441">
        <v>1</v>
      </c>
    </row>
    <row r="2442" spans="1:3" x14ac:dyDescent="0.25">
      <c r="A2442" s="48" t="s">
        <v>14828</v>
      </c>
      <c r="B2442" t="s">
        <v>14829</v>
      </c>
      <c r="C2442">
        <v>0</v>
      </c>
    </row>
    <row r="2443" spans="1:3" x14ac:dyDescent="0.25">
      <c r="A2443" s="48" t="s">
        <v>14842</v>
      </c>
      <c r="B2443" t="s">
        <v>14843</v>
      </c>
      <c r="C2443">
        <v>0</v>
      </c>
    </row>
    <row r="2444" spans="1:3" x14ac:dyDescent="0.25">
      <c r="A2444" s="48" t="s">
        <v>14850</v>
      </c>
      <c r="B2444" t="s">
        <v>14851</v>
      </c>
      <c r="C2444">
        <v>8</v>
      </c>
    </row>
    <row r="2445" spans="1:3" x14ac:dyDescent="0.25">
      <c r="A2445" s="48" t="s">
        <v>14848</v>
      </c>
      <c r="B2445" t="s">
        <v>14849</v>
      </c>
      <c r="C2445">
        <v>0</v>
      </c>
    </row>
    <row r="2446" spans="1:3" x14ac:dyDescent="0.25">
      <c r="A2446" s="48" t="s">
        <v>11492</v>
      </c>
      <c r="B2446" t="s">
        <v>11493</v>
      </c>
      <c r="C2446">
        <v>1</v>
      </c>
    </row>
    <row r="2447" spans="1:3" x14ac:dyDescent="0.25">
      <c r="A2447" s="48" t="s">
        <v>11406</v>
      </c>
      <c r="B2447" t="s">
        <v>11407</v>
      </c>
      <c r="C2447">
        <v>0</v>
      </c>
    </row>
    <row r="2448" spans="1:3" x14ac:dyDescent="0.25">
      <c r="A2448" s="48" t="s">
        <v>11412</v>
      </c>
      <c r="B2448" t="s">
        <v>11413</v>
      </c>
      <c r="C2448">
        <v>0</v>
      </c>
    </row>
    <row r="2449" spans="1:3" x14ac:dyDescent="0.25">
      <c r="A2449" s="48" t="s">
        <v>18239</v>
      </c>
      <c r="B2449" t="s">
        <v>20428</v>
      </c>
      <c r="C2449">
        <v>0</v>
      </c>
    </row>
    <row r="2450" spans="1:3" x14ac:dyDescent="0.25">
      <c r="A2450" s="48" t="s">
        <v>18241</v>
      </c>
      <c r="B2450" t="s">
        <v>20429</v>
      </c>
      <c r="C2450">
        <v>4</v>
      </c>
    </row>
    <row r="2451" spans="1:3" x14ac:dyDescent="0.25">
      <c r="A2451" s="48" t="s">
        <v>8447</v>
      </c>
      <c r="B2451" t="s">
        <v>20430</v>
      </c>
      <c r="C2451">
        <v>0</v>
      </c>
    </row>
    <row r="2452" spans="1:3" x14ac:dyDescent="0.25">
      <c r="A2452" s="48" t="s">
        <v>8449</v>
      </c>
      <c r="B2452" t="s">
        <v>20431</v>
      </c>
      <c r="C2452">
        <v>0</v>
      </c>
    </row>
    <row r="2453" spans="1:3" x14ac:dyDescent="0.25">
      <c r="A2453" s="48" t="s">
        <v>8443</v>
      </c>
      <c r="B2453" t="s">
        <v>20432</v>
      </c>
      <c r="C2453">
        <v>0</v>
      </c>
    </row>
    <row r="2454" spans="1:3" x14ac:dyDescent="0.25">
      <c r="A2454" s="48" t="s">
        <v>8445</v>
      </c>
      <c r="B2454" t="s">
        <v>8446</v>
      </c>
      <c r="C2454">
        <v>0</v>
      </c>
    </row>
    <row r="2455" spans="1:3" x14ac:dyDescent="0.25">
      <c r="A2455" s="48" t="s">
        <v>8435</v>
      </c>
      <c r="B2455" t="s">
        <v>20433</v>
      </c>
      <c r="C2455">
        <v>0</v>
      </c>
    </row>
    <row r="2456" spans="1:3" x14ac:dyDescent="0.25">
      <c r="A2456" s="48" t="s">
        <v>8437</v>
      </c>
      <c r="B2456" t="s">
        <v>20434</v>
      </c>
      <c r="C2456">
        <v>0</v>
      </c>
    </row>
    <row r="2457" spans="1:3" x14ac:dyDescent="0.25">
      <c r="A2457" s="48" t="s">
        <v>8439</v>
      </c>
      <c r="B2457" t="s">
        <v>20435</v>
      </c>
      <c r="C2457">
        <v>0</v>
      </c>
    </row>
    <row r="2458" spans="1:3" x14ac:dyDescent="0.25">
      <c r="A2458" s="48" t="s">
        <v>8441</v>
      </c>
      <c r="B2458" t="s">
        <v>20436</v>
      </c>
      <c r="C2458">
        <v>13</v>
      </c>
    </row>
    <row r="2459" spans="1:3" x14ac:dyDescent="0.25">
      <c r="A2459" s="48" t="s">
        <v>19394</v>
      </c>
      <c r="B2459" t="s">
        <v>20437</v>
      </c>
      <c r="C2459">
        <v>0</v>
      </c>
    </row>
    <row r="2460" spans="1:3" x14ac:dyDescent="0.25">
      <c r="A2460" s="48" t="s">
        <v>19396</v>
      </c>
      <c r="B2460" t="s">
        <v>20438</v>
      </c>
      <c r="C2460">
        <v>0</v>
      </c>
    </row>
    <row r="2461" spans="1:3" x14ac:dyDescent="0.25">
      <c r="A2461" s="48" t="s">
        <v>16998</v>
      </c>
      <c r="B2461" t="s">
        <v>20439</v>
      </c>
      <c r="C2461">
        <v>0</v>
      </c>
    </row>
    <row r="2462" spans="1:3" x14ac:dyDescent="0.25">
      <c r="A2462" s="48" t="s">
        <v>16992</v>
      </c>
      <c r="B2462" t="s">
        <v>20440</v>
      </c>
      <c r="C2462">
        <v>0</v>
      </c>
    </row>
    <row r="2463" spans="1:3" x14ac:dyDescent="0.25">
      <c r="A2463" s="48" t="s">
        <v>8423</v>
      </c>
      <c r="B2463" t="s">
        <v>20441</v>
      </c>
      <c r="C2463">
        <v>0</v>
      </c>
    </row>
    <row r="2464" spans="1:3" x14ac:dyDescent="0.25">
      <c r="A2464" s="48" t="s">
        <v>8425</v>
      </c>
      <c r="B2464" t="s">
        <v>20442</v>
      </c>
      <c r="C2464">
        <v>0</v>
      </c>
    </row>
    <row r="2465" spans="1:3" x14ac:dyDescent="0.25">
      <c r="A2465" s="48" t="s">
        <v>8465</v>
      </c>
      <c r="B2465" t="s">
        <v>20443</v>
      </c>
      <c r="C2465">
        <v>0</v>
      </c>
    </row>
    <row r="2466" spans="1:3" x14ac:dyDescent="0.25">
      <c r="A2466" s="48" t="s">
        <v>8467</v>
      </c>
      <c r="B2466" t="s">
        <v>20444</v>
      </c>
      <c r="C2466">
        <v>24</v>
      </c>
    </row>
    <row r="2467" spans="1:3" x14ac:dyDescent="0.25">
      <c r="A2467" s="48" t="s">
        <v>19670</v>
      </c>
      <c r="B2467" t="s">
        <v>20445</v>
      </c>
      <c r="C2467">
        <v>1</v>
      </c>
    </row>
    <row r="2468" spans="1:3" x14ac:dyDescent="0.25">
      <c r="A2468" s="48" t="s">
        <v>19684</v>
      </c>
      <c r="B2468" t="s">
        <v>20446</v>
      </c>
      <c r="C2468">
        <v>0</v>
      </c>
    </row>
    <row r="2469" spans="1:3" x14ac:dyDescent="0.25">
      <c r="A2469" s="48" t="s">
        <v>19678</v>
      </c>
      <c r="B2469" t="s">
        <v>20447</v>
      </c>
      <c r="C2469">
        <v>0</v>
      </c>
    </row>
    <row r="2470" spans="1:3" x14ac:dyDescent="0.25">
      <c r="A2470" s="48" t="s">
        <v>19680</v>
      </c>
      <c r="B2470" t="s">
        <v>20448</v>
      </c>
      <c r="C2470">
        <v>0</v>
      </c>
    </row>
    <row r="2471" spans="1:3" x14ac:dyDescent="0.25">
      <c r="A2471" s="48" t="s">
        <v>19682</v>
      </c>
      <c r="B2471" t="s">
        <v>20449</v>
      </c>
      <c r="C2471">
        <v>0</v>
      </c>
    </row>
    <row r="2472" spans="1:3" x14ac:dyDescent="0.25">
      <c r="A2472" s="48" t="s">
        <v>14712</v>
      </c>
      <c r="B2472" t="s">
        <v>20450</v>
      </c>
      <c r="C2472">
        <v>0</v>
      </c>
    </row>
    <row r="2473" spans="1:3" x14ac:dyDescent="0.25">
      <c r="A2473" s="48" t="s">
        <v>14710</v>
      </c>
      <c r="B2473" t="s">
        <v>20451</v>
      </c>
      <c r="C2473">
        <v>0</v>
      </c>
    </row>
    <row r="2474" spans="1:3" x14ac:dyDescent="0.25">
      <c r="A2474" s="48" t="s">
        <v>14696</v>
      </c>
      <c r="B2474" t="s">
        <v>20452</v>
      </c>
      <c r="C2474">
        <v>0</v>
      </c>
    </row>
    <row r="2475" spans="1:3" x14ac:dyDescent="0.25">
      <c r="A2475" s="48" t="s">
        <v>12077</v>
      </c>
      <c r="B2475" t="s">
        <v>20453</v>
      </c>
      <c r="C2475">
        <v>2</v>
      </c>
    </row>
    <row r="2476" spans="1:3" x14ac:dyDescent="0.25">
      <c r="A2476" s="48" t="s">
        <v>12081</v>
      </c>
      <c r="B2476" t="s">
        <v>20454</v>
      </c>
      <c r="C2476">
        <v>3</v>
      </c>
    </row>
    <row r="2477" spans="1:3" x14ac:dyDescent="0.25">
      <c r="A2477" s="48" t="s">
        <v>14720</v>
      </c>
      <c r="B2477" t="s">
        <v>20455</v>
      </c>
      <c r="C2477">
        <v>0</v>
      </c>
    </row>
    <row r="2478" spans="1:3" x14ac:dyDescent="0.25">
      <c r="A2478" s="48" t="s">
        <v>14722</v>
      </c>
      <c r="B2478" t="s">
        <v>20456</v>
      </c>
      <c r="C2478">
        <v>0</v>
      </c>
    </row>
    <row r="2479" spans="1:3" x14ac:dyDescent="0.25">
      <c r="A2479" s="48" t="s">
        <v>16556</v>
      </c>
      <c r="B2479" t="s">
        <v>20457</v>
      </c>
      <c r="C2479">
        <v>4</v>
      </c>
    </row>
    <row r="2480" spans="1:3" x14ac:dyDescent="0.25">
      <c r="A2480" s="48" t="s">
        <v>16554</v>
      </c>
      <c r="B2480" t="s">
        <v>20458</v>
      </c>
      <c r="C2480">
        <v>5</v>
      </c>
    </row>
    <row r="2481" spans="1:3" x14ac:dyDescent="0.25">
      <c r="A2481" s="48" t="s">
        <v>16774</v>
      </c>
      <c r="B2481" t="s">
        <v>20459</v>
      </c>
      <c r="C2481">
        <v>1</v>
      </c>
    </row>
    <row r="2482" spans="1:3" x14ac:dyDescent="0.25">
      <c r="A2482" s="48" t="s">
        <v>14746</v>
      </c>
      <c r="B2482" t="s">
        <v>20460</v>
      </c>
      <c r="C2482">
        <v>0</v>
      </c>
    </row>
    <row r="2483" spans="1:3" x14ac:dyDescent="0.25">
      <c r="A2483" s="48" t="s">
        <v>10199</v>
      </c>
      <c r="B2483" t="s">
        <v>20461</v>
      </c>
      <c r="C2483">
        <v>14</v>
      </c>
    </row>
    <row r="2484" spans="1:3" x14ac:dyDescent="0.25">
      <c r="A2484" s="48" t="s">
        <v>16982</v>
      </c>
      <c r="B2484" t="s">
        <v>20462</v>
      </c>
      <c r="C2484">
        <v>0</v>
      </c>
    </row>
    <row r="2485" spans="1:3" x14ac:dyDescent="0.25">
      <c r="A2485" s="48" t="s">
        <v>4912</v>
      </c>
      <c r="B2485" t="s">
        <v>20463</v>
      </c>
      <c r="C2485">
        <v>0</v>
      </c>
    </row>
    <row r="2486" spans="1:3" x14ac:dyDescent="0.25">
      <c r="A2486" s="48" t="s">
        <v>11688</v>
      </c>
      <c r="B2486" t="s">
        <v>20464</v>
      </c>
      <c r="C2486">
        <v>0</v>
      </c>
    </row>
    <row r="2487" spans="1:3" x14ac:dyDescent="0.25">
      <c r="A2487" s="48" t="s">
        <v>14770</v>
      </c>
      <c r="B2487" t="s">
        <v>20465</v>
      </c>
      <c r="C2487">
        <v>0</v>
      </c>
    </row>
    <row r="2488" spans="1:3" x14ac:dyDescent="0.25">
      <c r="A2488" s="48" t="s">
        <v>16378</v>
      </c>
      <c r="B2488" t="s">
        <v>20466</v>
      </c>
      <c r="C2488">
        <v>0</v>
      </c>
    </row>
    <row r="2489" spans="1:3" x14ac:dyDescent="0.25">
      <c r="A2489" s="48" t="s">
        <v>16105</v>
      </c>
      <c r="B2489" t="s">
        <v>20467</v>
      </c>
      <c r="C2489">
        <v>0</v>
      </c>
    </row>
    <row r="2490" spans="1:3" x14ac:dyDescent="0.25">
      <c r="A2490" s="48" t="s">
        <v>16918</v>
      </c>
      <c r="B2490" t="s">
        <v>20468</v>
      </c>
      <c r="C2490">
        <v>0</v>
      </c>
    </row>
    <row r="2491" spans="1:3" x14ac:dyDescent="0.25">
      <c r="A2491" s="48" t="s">
        <v>5327</v>
      </c>
      <c r="B2491" t="s">
        <v>20469</v>
      </c>
      <c r="C2491">
        <v>8</v>
      </c>
    </row>
    <row r="2492" spans="1:3" x14ac:dyDescent="0.25">
      <c r="A2492" s="48" t="s">
        <v>9734</v>
      </c>
      <c r="B2492" t="s">
        <v>20470</v>
      </c>
      <c r="C2492">
        <v>0</v>
      </c>
    </row>
    <row r="2493" spans="1:3" x14ac:dyDescent="0.25">
      <c r="A2493" s="48" t="s">
        <v>9736</v>
      </c>
      <c r="B2493" t="s">
        <v>20471</v>
      </c>
      <c r="C2493">
        <v>0</v>
      </c>
    </row>
    <row r="2494" spans="1:3" x14ac:dyDescent="0.25">
      <c r="A2494" s="48" t="s">
        <v>14742</v>
      </c>
      <c r="B2494" t="s">
        <v>20472</v>
      </c>
      <c r="C2494">
        <v>0</v>
      </c>
    </row>
    <row r="2495" spans="1:3" x14ac:dyDescent="0.25">
      <c r="A2495" s="48" t="s">
        <v>663</v>
      </c>
      <c r="B2495" t="s">
        <v>664</v>
      </c>
      <c r="C2495">
        <v>6</v>
      </c>
    </row>
    <row r="2496" spans="1:3" x14ac:dyDescent="0.25">
      <c r="A2496" s="48" t="s">
        <v>10249</v>
      </c>
      <c r="B2496" t="s">
        <v>20473</v>
      </c>
      <c r="C2496">
        <v>0</v>
      </c>
    </row>
    <row r="2497" spans="1:3" x14ac:dyDescent="0.25">
      <c r="A2497" s="48" t="s">
        <v>15611</v>
      </c>
      <c r="B2497" t="s">
        <v>20474</v>
      </c>
      <c r="C2497">
        <v>0</v>
      </c>
    </row>
    <row r="2498" spans="1:3" x14ac:dyDescent="0.25">
      <c r="A2498" s="48" t="s">
        <v>14736</v>
      </c>
      <c r="B2498" t="s">
        <v>20475</v>
      </c>
      <c r="C2498">
        <v>0</v>
      </c>
    </row>
    <row r="2499" spans="1:3" x14ac:dyDescent="0.25">
      <c r="A2499" s="48" t="s">
        <v>8023</v>
      </c>
      <c r="B2499" t="s">
        <v>20476</v>
      </c>
      <c r="C2499">
        <v>0</v>
      </c>
    </row>
    <row r="2500" spans="1:3" x14ac:dyDescent="0.25">
      <c r="A2500" s="48" t="s">
        <v>17548</v>
      </c>
      <c r="B2500" t="s">
        <v>20477</v>
      </c>
      <c r="C2500">
        <v>0</v>
      </c>
    </row>
    <row r="2501" spans="1:3" x14ac:dyDescent="0.25">
      <c r="A2501" s="48" t="s">
        <v>19688</v>
      </c>
      <c r="B2501" t="s">
        <v>20478</v>
      </c>
      <c r="C2501">
        <v>0</v>
      </c>
    </row>
    <row r="2502" spans="1:3" x14ac:dyDescent="0.25">
      <c r="A2502" s="48" t="s">
        <v>14768</v>
      </c>
      <c r="B2502" t="s">
        <v>20479</v>
      </c>
      <c r="C2502">
        <v>0</v>
      </c>
    </row>
    <row r="2503" spans="1:3" x14ac:dyDescent="0.25">
      <c r="A2503" s="48" t="s">
        <v>10211</v>
      </c>
      <c r="B2503" t="s">
        <v>20480</v>
      </c>
      <c r="C2503">
        <v>1</v>
      </c>
    </row>
    <row r="2504" spans="1:3" x14ac:dyDescent="0.25">
      <c r="A2504" s="48" t="s">
        <v>10187</v>
      </c>
      <c r="B2504" t="s">
        <v>20481</v>
      </c>
      <c r="C2504">
        <v>1</v>
      </c>
    </row>
    <row r="2505" spans="1:3" x14ac:dyDescent="0.25">
      <c r="A2505" s="48" t="s">
        <v>10167</v>
      </c>
      <c r="B2505" t="s">
        <v>20482</v>
      </c>
      <c r="C2505">
        <v>0</v>
      </c>
    </row>
    <row r="2506" spans="1:3" x14ac:dyDescent="0.25">
      <c r="A2506" s="48" t="s">
        <v>10165</v>
      </c>
      <c r="B2506" t="s">
        <v>20483</v>
      </c>
      <c r="C2506">
        <v>0</v>
      </c>
    </row>
    <row r="2507" spans="1:3" x14ac:dyDescent="0.25">
      <c r="A2507" s="48" t="s">
        <v>14409</v>
      </c>
      <c r="B2507" t="s">
        <v>20484</v>
      </c>
      <c r="C2507">
        <v>0</v>
      </c>
    </row>
    <row r="2508" spans="1:3" x14ac:dyDescent="0.25">
      <c r="A2508" s="48" t="s">
        <v>11694</v>
      </c>
      <c r="B2508" t="s">
        <v>20485</v>
      </c>
      <c r="C2508">
        <v>2</v>
      </c>
    </row>
    <row r="2509" spans="1:3" x14ac:dyDescent="0.25">
      <c r="A2509" s="48" t="s">
        <v>16928</v>
      </c>
      <c r="B2509" t="s">
        <v>20486</v>
      </c>
      <c r="C2509">
        <v>0</v>
      </c>
    </row>
    <row r="2510" spans="1:3" x14ac:dyDescent="0.25">
      <c r="A2510" s="48" t="s">
        <v>17478</v>
      </c>
      <c r="B2510" t="s">
        <v>20487</v>
      </c>
      <c r="C2510">
        <v>0</v>
      </c>
    </row>
    <row r="2511" spans="1:3" x14ac:dyDescent="0.25">
      <c r="A2511" s="48" t="s">
        <v>15263</v>
      </c>
      <c r="B2511" t="s">
        <v>15264</v>
      </c>
      <c r="C2511">
        <v>0</v>
      </c>
    </row>
    <row r="2512" spans="1:3" x14ac:dyDescent="0.25">
      <c r="A2512" s="48" t="s">
        <v>15269</v>
      </c>
      <c r="B2512" t="s">
        <v>20488</v>
      </c>
      <c r="C2512">
        <v>0</v>
      </c>
    </row>
    <row r="2513" spans="1:3" x14ac:dyDescent="0.25">
      <c r="A2513" s="48" t="s">
        <v>15271</v>
      </c>
      <c r="B2513" t="s">
        <v>15272</v>
      </c>
      <c r="C2513">
        <v>0</v>
      </c>
    </row>
    <row r="2514" spans="1:3" x14ac:dyDescent="0.25">
      <c r="A2514" s="48" t="s">
        <v>15273</v>
      </c>
      <c r="B2514" t="s">
        <v>20489</v>
      </c>
      <c r="C2514">
        <v>0</v>
      </c>
    </row>
    <row r="2515" spans="1:3" x14ac:dyDescent="0.25">
      <c r="A2515" s="48" t="s">
        <v>15275</v>
      </c>
      <c r="B2515" t="s">
        <v>15276</v>
      </c>
      <c r="C2515">
        <v>0</v>
      </c>
    </row>
    <row r="2516" spans="1:3" x14ac:dyDescent="0.25">
      <c r="A2516" s="48" t="s">
        <v>15283</v>
      </c>
      <c r="B2516" t="s">
        <v>15284</v>
      </c>
      <c r="C2516">
        <v>0</v>
      </c>
    </row>
    <row r="2517" spans="1:3" x14ac:dyDescent="0.25">
      <c r="A2517" s="48" t="s">
        <v>15285</v>
      </c>
      <c r="B2517" t="s">
        <v>15286</v>
      </c>
      <c r="C2517">
        <v>0</v>
      </c>
    </row>
    <row r="2518" spans="1:3" x14ac:dyDescent="0.25">
      <c r="A2518" s="48" t="s">
        <v>15293</v>
      </c>
      <c r="B2518" t="s">
        <v>20490</v>
      </c>
      <c r="C2518">
        <v>0</v>
      </c>
    </row>
    <row r="2519" spans="1:3" x14ac:dyDescent="0.25">
      <c r="A2519" s="48" t="s">
        <v>15295</v>
      </c>
      <c r="B2519" t="s">
        <v>15296</v>
      </c>
      <c r="C2519">
        <v>0</v>
      </c>
    </row>
    <row r="2520" spans="1:3" x14ac:dyDescent="0.25">
      <c r="A2520" s="48" t="s">
        <v>15299</v>
      </c>
      <c r="B2520" t="s">
        <v>15300</v>
      </c>
      <c r="C2520">
        <v>0</v>
      </c>
    </row>
    <row r="2521" spans="1:3" x14ac:dyDescent="0.25">
      <c r="A2521" s="48" t="s">
        <v>8025</v>
      </c>
      <c r="B2521" t="s">
        <v>20491</v>
      </c>
      <c r="C2521">
        <v>0</v>
      </c>
    </row>
    <row r="2522" spans="1:3" x14ac:dyDescent="0.25">
      <c r="A2522" s="48" t="s">
        <v>15309</v>
      </c>
      <c r="B2522" t="s">
        <v>15310</v>
      </c>
      <c r="C2522">
        <v>0</v>
      </c>
    </row>
    <row r="2523" spans="1:3" x14ac:dyDescent="0.25">
      <c r="A2523" s="48" t="s">
        <v>15313</v>
      </c>
      <c r="B2523" t="s">
        <v>20492</v>
      </c>
      <c r="C2523">
        <v>0</v>
      </c>
    </row>
    <row r="2524" spans="1:3" x14ac:dyDescent="0.25">
      <c r="A2524" s="48" t="s">
        <v>15323</v>
      </c>
      <c r="B2524" t="s">
        <v>15324</v>
      </c>
      <c r="C2524">
        <v>0</v>
      </c>
    </row>
    <row r="2525" spans="1:3" x14ac:dyDescent="0.25">
      <c r="A2525" s="48" t="s">
        <v>15325</v>
      </c>
      <c r="B2525" t="s">
        <v>15326</v>
      </c>
      <c r="C2525">
        <v>0</v>
      </c>
    </row>
    <row r="2526" spans="1:3" x14ac:dyDescent="0.25">
      <c r="A2526" s="48" t="s">
        <v>15331</v>
      </c>
      <c r="B2526" t="s">
        <v>15332</v>
      </c>
      <c r="C2526">
        <v>0</v>
      </c>
    </row>
    <row r="2527" spans="1:3" x14ac:dyDescent="0.25">
      <c r="A2527" s="48" t="s">
        <v>15333</v>
      </c>
      <c r="B2527" t="s">
        <v>20493</v>
      </c>
      <c r="C2527">
        <v>0</v>
      </c>
    </row>
    <row r="2528" spans="1:3" x14ac:dyDescent="0.25">
      <c r="A2528" s="48" t="s">
        <v>15337</v>
      </c>
      <c r="B2528" t="s">
        <v>15338</v>
      </c>
      <c r="C2528">
        <v>0</v>
      </c>
    </row>
    <row r="2529" spans="1:3" x14ac:dyDescent="0.25">
      <c r="A2529" s="48" t="s">
        <v>15339</v>
      </c>
      <c r="B2529" t="s">
        <v>15340</v>
      </c>
      <c r="C2529">
        <v>0</v>
      </c>
    </row>
    <row r="2530" spans="1:3" x14ac:dyDescent="0.25">
      <c r="A2530" s="48" t="s">
        <v>17516</v>
      </c>
      <c r="B2530" t="s">
        <v>20494</v>
      </c>
      <c r="C2530">
        <v>3</v>
      </c>
    </row>
    <row r="2531" spans="1:3" x14ac:dyDescent="0.25">
      <c r="A2531" s="48" t="s">
        <v>11812</v>
      </c>
      <c r="B2531" t="s">
        <v>20495</v>
      </c>
      <c r="C2531">
        <v>0</v>
      </c>
    </row>
    <row r="2532" spans="1:3" x14ac:dyDescent="0.25">
      <c r="A2532" s="48" t="s">
        <v>16914</v>
      </c>
      <c r="B2532" t="s">
        <v>20496</v>
      </c>
      <c r="C2532">
        <v>0</v>
      </c>
    </row>
    <row r="2533" spans="1:3" x14ac:dyDescent="0.25">
      <c r="A2533" s="48" t="s">
        <v>8013</v>
      </c>
      <c r="B2533" t="s">
        <v>20497</v>
      </c>
      <c r="C2533">
        <v>0</v>
      </c>
    </row>
    <row r="2534" spans="1:3" x14ac:dyDescent="0.25">
      <c r="A2534" s="48" t="s">
        <v>9903</v>
      </c>
      <c r="B2534" t="s">
        <v>20498</v>
      </c>
      <c r="C2534">
        <v>0</v>
      </c>
    </row>
    <row r="2535" spans="1:3" x14ac:dyDescent="0.25">
      <c r="A2535" s="48" t="s">
        <v>9905</v>
      </c>
      <c r="B2535" t="s">
        <v>20499</v>
      </c>
      <c r="C2535">
        <v>0</v>
      </c>
    </row>
    <row r="2536" spans="1:3" x14ac:dyDescent="0.25">
      <c r="A2536" s="48" t="s">
        <v>9907</v>
      </c>
      <c r="B2536" t="s">
        <v>20500</v>
      </c>
      <c r="C2536">
        <v>0</v>
      </c>
    </row>
    <row r="2537" spans="1:3" x14ac:dyDescent="0.25">
      <c r="A2537" s="48" t="s">
        <v>17220</v>
      </c>
      <c r="B2537" t="s">
        <v>17221</v>
      </c>
      <c r="C2537">
        <v>0</v>
      </c>
    </row>
    <row r="2538" spans="1:3" x14ac:dyDescent="0.25">
      <c r="A2538" s="48" t="s">
        <v>17218</v>
      </c>
      <c r="B2538" t="s">
        <v>17219</v>
      </c>
      <c r="C2538">
        <v>0</v>
      </c>
    </row>
    <row r="2539" spans="1:3" x14ac:dyDescent="0.25">
      <c r="A2539" s="48" t="s">
        <v>10239</v>
      </c>
      <c r="B2539" t="s">
        <v>10240</v>
      </c>
      <c r="C2539">
        <v>0</v>
      </c>
    </row>
    <row r="2540" spans="1:3" x14ac:dyDescent="0.25">
      <c r="A2540" s="48" t="s">
        <v>10237</v>
      </c>
      <c r="B2540" t="s">
        <v>10238</v>
      </c>
      <c r="C2540">
        <v>0</v>
      </c>
    </row>
    <row r="2541" spans="1:3" x14ac:dyDescent="0.25">
      <c r="A2541" s="48" t="s">
        <v>10183</v>
      </c>
      <c r="B2541" t="s">
        <v>10184</v>
      </c>
      <c r="C2541">
        <v>0</v>
      </c>
    </row>
    <row r="2542" spans="1:3" x14ac:dyDescent="0.25">
      <c r="A2542" s="48" t="s">
        <v>10181</v>
      </c>
      <c r="B2542" t="s">
        <v>10182</v>
      </c>
      <c r="C2542">
        <v>0</v>
      </c>
    </row>
    <row r="2543" spans="1:3" x14ac:dyDescent="0.25">
      <c r="A2543" s="48" t="s">
        <v>16526</v>
      </c>
      <c r="B2543" t="s">
        <v>20501</v>
      </c>
      <c r="C2543">
        <v>0</v>
      </c>
    </row>
    <row r="2544" spans="1:3" x14ac:dyDescent="0.25">
      <c r="A2544" s="48" t="s">
        <v>11834</v>
      </c>
      <c r="B2544" t="s">
        <v>11835</v>
      </c>
      <c r="C2544">
        <v>3</v>
      </c>
    </row>
    <row r="2545" spans="1:3" x14ac:dyDescent="0.25">
      <c r="A2545" s="48" t="s">
        <v>11454</v>
      </c>
      <c r="B2545" t="s">
        <v>11455</v>
      </c>
      <c r="C2545">
        <v>0</v>
      </c>
    </row>
    <row r="2546" spans="1:3" x14ac:dyDescent="0.25">
      <c r="A2546" s="48" t="s">
        <v>17216</v>
      </c>
      <c r="B2546" t="s">
        <v>17217</v>
      </c>
      <c r="C2546">
        <v>0</v>
      </c>
    </row>
    <row r="2547" spans="1:3" x14ac:dyDescent="0.25">
      <c r="A2547" s="48" t="s">
        <v>17248</v>
      </c>
      <c r="B2547" t="s">
        <v>17249</v>
      </c>
      <c r="C2547">
        <v>2</v>
      </c>
    </row>
    <row r="2548" spans="1:3" x14ac:dyDescent="0.25">
      <c r="A2548" s="48" t="s">
        <v>17250</v>
      </c>
      <c r="B2548" t="s">
        <v>17251</v>
      </c>
      <c r="C2548">
        <v>0</v>
      </c>
    </row>
    <row r="2549" spans="1:3" x14ac:dyDescent="0.25">
      <c r="A2549" s="48" t="s">
        <v>6636</v>
      </c>
      <c r="B2549" t="s">
        <v>6637</v>
      </c>
      <c r="C2549">
        <v>0</v>
      </c>
    </row>
    <row r="2550" spans="1:3" x14ac:dyDescent="0.25">
      <c r="A2550" s="48" t="s">
        <v>10231</v>
      </c>
      <c r="B2550" t="s">
        <v>10232</v>
      </c>
      <c r="C2550">
        <v>0</v>
      </c>
    </row>
    <row r="2551" spans="1:3" x14ac:dyDescent="0.25">
      <c r="A2551" s="48" t="s">
        <v>9822</v>
      </c>
      <c r="B2551" t="s">
        <v>9823</v>
      </c>
      <c r="C2551">
        <v>0</v>
      </c>
    </row>
    <row r="2552" spans="1:3" x14ac:dyDescent="0.25">
      <c r="A2552" s="48" t="s">
        <v>18544</v>
      </c>
      <c r="B2552" t="s">
        <v>18545</v>
      </c>
      <c r="C2552">
        <v>1</v>
      </c>
    </row>
    <row r="2553" spans="1:3" x14ac:dyDescent="0.25">
      <c r="A2553" s="48" t="s">
        <v>18562</v>
      </c>
      <c r="B2553" t="s">
        <v>18563</v>
      </c>
      <c r="C2553">
        <v>5</v>
      </c>
    </row>
    <row r="2554" spans="1:3" x14ac:dyDescent="0.25">
      <c r="A2554" s="48" t="s">
        <v>631</v>
      </c>
      <c r="B2554" t="s">
        <v>632</v>
      </c>
      <c r="C2554">
        <v>2</v>
      </c>
    </row>
    <row r="2555" spans="1:3" x14ac:dyDescent="0.25">
      <c r="A2555" s="48" t="s">
        <v>1067</v>
      </c>
      <c r="B2555" t="s">
        <v>1068</v>
      </c>
      <c r="C2555">
        <v>9</v>
      </c>
    </row>
    <row r="2556" spans="1:3" x14ac:dyDescent="0.25">
      <c r="A2556" s="48" t="s">
        <v>1663</v>
      </c>
      <c r="B2556" t="s">
        <v>1664</v>
      </c>
      <c r="C2556">
        <v>3</v>
      </c>
    </row>
    <row r="2557" spans="1:3" x14ac:dyDescent="0.25">
      <c r="A2557" s="48" t="s">
        <v>18564</v>
      </c>
      <c r="B2557" t="s">
        <v>18565</v>
      </c>
      <c r="C2557">
        <v>3</v>
      </c>
    </row>
    <row r="2558" spans="1:3" x14ac:dyDescent="0.25">
      <c r="A2558" s="48" t="s">
        <v>18558</v>
      </c>
      <c r="B2558" t="s">
        <v>18559</v>
      </c>
      <c r="C2558">
        <v>1</v>
      </c>
    </row>
    <row r="2559" spans="1:3" x14ac:dyDescent="0.25">
      <c r="A2559" s="48" t="s">
        <v>18560</v>
      </c>
      <c r="B2559" t="s">
        <v>18561</v>
      </c>
      <c r="C2559">
        <v>6</v>
      </c>
    </row>
    <row r="2560" spans="1:3" x14ac:dyDescent="0.25">
      <c r="A2560" s="48" t="s">
        <v>629</v>
      </c>
      <c r="B2560" t="s">
        <v>630</v>
      </c>
      <c r="C2560">
        <v>2</v>
      </c>
    </row>
    <row r="2561" spans="1:3" x14ac:dyDescent="0.25">
      <c r="A2561" s="48" t="s">
        <v>18506</v>
      </c>
      <c r="B2561" t="s">
        <v>18507</v>
      </c>
      <c r="C2561">
        <v>3</v>
      </c>
    </row>
    <row r="2562" spans="1:3" x14ac:dyDescent="0.25">
      <c r="A2562" s="48" t="s">
        <v>13599</v>
      </c>
      <c r="B2562" t="s">
        <v>13600</v>
      </c>
      <c r="C2562">
        <v>0</v>
      </c>
    </row>
    <row r="2563" spans="1:3" x14ac:dyDescent="0.25">
      <c r="A2563" s="48" t="s">
        <v>5089</v>
      </c>
      <c r="B2563" t="s">
        <v>5090</v>
      </c>
      <c r="C2563">
        <v>0</v>
      </c>
    </row>
    <row r="2564" spans="1:3" x14ac:dyDescent="0.25">
      <c r="A2564" s="48" t="s">
        <v>5091</v>
      </c>
      <c r="B2564" t="s">
        <v>5092</v>
      </c>
      <c r="C2564">
        <v>0</v>
      </c>
    </row>
    <row r="2565" spans="1:3" x14ac:dyDescent="0.25">
      <c r="A2565" s="48" t="s">
        <v>4424</v>
      </c>
      <c r="B2565" t="s">
        <v>4425</v>
      </c>
      <c r="C2565">
        <v>0</v>
      </c>
    </row>
    <row r="2566" spans="1:3" x14ac:dyDescent="0.25">
      <c r="A2566" s="48" t="s">
        <v>4426</v>
      </c>
      <c r="B2566" t="s">
        <v>4427</v>
      </c>
      <c r="C2566">
        <v>0</v>
      </c>
    </row>
    <row r="2567" spans="1:3" x14ac:dyDescent="0.25">
      <c r="A2567" s="48" t="s">
        <v>2757</v>
      </c>
      <c r="B2567" t="s">
        <v>2758</v>
      </c>
      <c r="C2567">
        <v>2</v>
      </c>
    </row>
    <row r="2568" spans="1:3" x14ac:dyDescent="0.25">
      <c r="A2568" s="48" t="s">
        <v>129</v>
      </c>
      <c r="B2568" t="s">
        <v>130</v>
      </c>
      <c r="C2568">
        <v>16</v>
      </c>
    </row>
    <row r="2569" spans="1:3" x14ac:dyDescent="0.25">
      <c r="A2569" s="48" t="s">
        <v>333</v>
      </c>
      <c r="B2569" t="s">
        <v>334</v>
      </c>
      <c r="C2569">
        <v>10</v>
      </c>
    </row>
    <row r="2570" spans="1:3" x14ac:dyDescent="0.25">
      <c r="A2570" s="48" t="s">
        <v>255</v>
      </c>
      <c r="B2570" t="s">
        <v>256</v>
      </c>
      <c r="C2570">
        <v>88</v>
      </c>
    </row>
    <row r="2571" spans="1:3" x14ac:dyDescent="0.25">
      <c r="A2571" s="48" t="s">
        <v>18153</v>
      </c>
      <c r="B2571" t="s">
        <v>18154</v>
      </c>
      <c r="C2571">
        <v>0</v>
      </c>
    </row>
    <row r="2572" spans="1:3" x14ac:dyDescent="0.25">
      <c r="A2572" s="48" t="s">
        <v>18157</v>
      </c>
      <c r="B2572" t="s">
        <v>18158</v>
      </c>
      <c r="C2572">
        <v>0</v>
      </c>
    </row>
    <row r="2573" spans="1:3" x14ac:dyDescent="0.25">
      <c r="A2573" s="48" t="s">
        <v>18159</v>
      </c>
      <c r="B2573" t="s">
        <v>18160</v>
      </c>
      <c r="C2573">
        <v>18</v>
      </c>
    </row>
    <row r="2574" spans="1:3" x14ac:dyDescent="0.25">
      <c r="A2574" s="48" t="s">
        <v>18161</v>
      </c>
      <c r="B2574" t="s">
        <v>18162</v>
      </c>
      <c r="C2574">
        <v>0</v>
      </c>
    </row>
    <row r="2575" spans="1:3" x14ac:dyDescent="0.25">
      <c r="A2575" s="48" t="s">
        <v>1149</v>
      </c>
      <c r="B2575" t="s">
        <v>1150</v>
      </c>
      <c r="C2575">
        <v>14</v>
      </c>
    </row>
    <row r="2576" spans="1:3" x14ac:dyDescent="0.25">
      <c r="A2576" s="48" t="s">
        <v>19588</v>
      </c>
      <c r="B2576" t="s">
        <v>19589</v>
      </c>
      <c r="C2576">
        <v>12</v>
      </c>
    </row>
    <row r="2577" spans="1:3" x14ac:dyDescent="0.25">
      <c r="A2577" s="48" t="s">
        <v>18155</v>
      </c>
      <c r="B2577" t="s">
        <v>18156</v>
      </c>
      <c r="C2577">
        <v>0</v>
      </c>
    </row>
    <row r="2578" spans="1:3" x14ac:dyDescent="0.25">
      <c r="A2578" s="48" t="s">
        <v>16273</v>
      </c>
      <c r="B2578" t="s">
        <v>20502</v>
      </c>
      <c r="C2578">
        <v>0</v>
      </c>
    </row>
    <row r="2579" spans="1:3" x14ac:dyDescent="0.25">
      <c r="A2579" s="48" t="s">
        <v>719</v>
      </c>
      <c r="B2579" t="s">
        <v>720</v>
      </c>
      <c r="C2579">
        <v>2</v>
      </c>
    </row>
    <row r="2580" spans="1:3" x14ac:dyDescent="0.25">
      <c r="A2580" s="48" t="s">
        <v>11712</v>
      </c>
      <c r="B2580" t="s">
        <v>11713</v>
      </c>
      <c r="C2580">
        <v>0</v>
      </c>
    </row>
    <row r="2581" spans="1:3" x14ac:dyDescent="0.25">
      <c r="A2581" s="48" t="s">
        <v>11604</v>
      </c>
      <c r="B2581" t="s">
        <v>11605</v>
      </c>
      <c r="C2581">
        <v>7</v>
      </c>
    </row>
    <row r="2582" spans="1:3" x14ac:dyDescent="0.25">
      <c r="A2582" s="48" t="s">
        <v>18536</v>
      </c>
      <c r="B2582" t="s">
        <v>18537</v>
      </c>
      <c r="C2582">
        <v>3</v>
      </c>
    </row>
    <row r="2583" spans="1:3" x14ac:dyDescent="0.25">
      <c r="A2583" s="48" t="s">
        <v>18512</v>
      </c>
      <c r="B2583" t="s">
        <v>18513</v>
      </c>
      <c r="C2583">
        <v>1</v>
      </c>
    </row>
    <row r="2584" spans="1:3" x14ac:dyDescent="0.25">
      <c r="A2584" s="48" t="s">
        <v>18526</v>
      </c>
      <c r="B2584" t="s">
        <v>18527</v>
      </c>
      <c r="C2584">
        <v>2</v>
      </c>
    </row>
    <row r="2585" spans="1:3" x14ac:dyDescent="0.25">
      <c r="A2585" s="48" t="s">
        <v>6167</v>
      </c>
      <c r="B2585" t="s">
        <v>6168</v>
      </c>
      <c r="C2585">
        <v>0</v>
      </c>
    </row>
    <row r="2586" spans="1:3" x14ac:dyDescent="0.25">
      <c r="A2586" s="48" t="s">
        <v>637</v>
      </c>
      <c r="B2586" t="s">
        <v>638</v>
      </c>
      <c r="C2586">
        <v>32</v>
      </c>
    </row>
    <row r="2587" spans="1:3" x14ac:dyDescent="0.25">
      <c r="A2587" s="48" t="s">
        <v>123</v>
      </c>
      <c r="B2587" t="s">
        <v>124</v>
      </c>
      <c r="C2587">
        <v>15</v>
      </c>
    </row>
    <row r="2588" spans="1:3" x14ac:dyDescent="0.25">
      <c r="A2588" s="48" t="s">
        <v>11332</v>
      </c>
      <c r="B2588" t="s">
        <v>22895</v>
      </c>
      <c r="C2588">
        <v>0</v>
      </c>
    </row>
    <row r="2589" spans="1:3" x14ac:dyDescent="0.25">
      <c r="A2589" s="48" t="s">
        <v>11788</v>
      </c>
      <c r="B2589" t="s">
        <v>11789</v>
      </c>
      <c r="C2589">
        <v>0</v>
      </c>
    </row>
    <row r="2590" spans="1:3" x14ac:dyDescent="0.25">
      <c r="A2590" s="48" t="s">
        <v>12829</v>
      </c>
      <c r="B2590" t="s">
        <v>12830</v>
      </c>
      <c r="C2590">
        <v>0</v>
      </c>
    </row>
    <row r="2591" spans="1:3" x14ac:dyDescent="0.25">
      <c r="A2591" s="48" t="s">
        <v>11560</v>
      </c>
      <c r="B2591" t="s">
        <v>11561</v>
      </c>
      <c r="C2591">
        <v>10</v>
      </c>
    </row>
    <row r="2592" spans="1:3" x14ac:dyDescent="0.25">
      <c r="A2592" s="48" t="s">
        <v>17226</v>
      </c>
      <c r="B2592" t="s">
        <v>20503</v>
      </c>
      <c r="C2592">
        <v>0</v>
      </c>
    </row>
    <row r="2593" spans="1:3" x14ac:dyDescent="0.25">
      <c r="A2593" s="48" t="s">
        <v>6248</v>
      </c>
      <c r="B2593" t="s">
        <v>6249</v>
      </c>
      <c r="C2593">
        <v>12</v>
      </c>
    </row>
    <row r="2594" spans="1:3" x14ac:dyDescent="0.25">
      <c r="A2594" s="48" t="s">
        <v>6266</v>
      </c>
      <c r="B2594" t="s">
        <v>6265</v>
      </c>
      <c r="C2594">
        <v>12</v>
      </c>
    </row>
    <row r="2595" spans="1:3" x14ac:dyDescent="0.25">
      <c r="A2595" s="48" t="s">
        <v>19857</v>
      </c>
      <c r="B2595" t="s">
        <v>19858</v>
      </c>
      <c r="C2595">
        <v>4</v>
      </c>
    </row>
    <row r="2596" spans="1:3" x14ac:dyDescent="0.25">
      <c r="A2596" s="48" t="s">
        <v>11114</v>
      </c>
      <c r="B2596" t="s">
        <v>11115</v>
      </c>
      <c r="C2596">
        <v>0</v>
      </c>
    </row>
    <row r="2597" spans="1:3" x14ac:dyDescent="0.25">
      <c r="A2597" s="48" t="s">
        <v>7949</v>
      </c>
      <c r="B2597" t="s">
        <v>20504</v>
      </c>
      <c r="C2597">
        <v>0</v>
      </c>
    </row>
    <row r="2598" spans="1:3" x14ac:dyDescent="0.25">
      <c r="A2598" s="48" t="s">
        <v>13454</v>
      </c>
      <c r="B2598" t="s">
        <v>20505</v>
      </c>
      <c r="C2598">
        <v>0</v>
      </c>
    </row>
    <row r="2599" spans="1:3" x14ac:dyDescent="0.25">
      <c r="A2599" s="48" t="s">
        <v>19668</v>
      </c>
      <c r="B2599" t="s">
        <v>20506</v>
      </c>
      <c r="C2599">
        <v>0</v>
      </c>
    </row>
    <row r="2600" spans="1:3" x14ac:dyDescent="0.25">
      <c r="A2600" s="48" t="s">
        <v>8015</v>
      </c>
      <c r="B2600" t="s">
        <v>20507</v>
      </c>
      <c r="C2600">
        <v>0</v>
      </c>
    </row>
    <row r="2601" spans="1:3" x14ac:dyDescent="0.25">
      <c r="A2601" s="48" t="s">
        <v>9275</v>
      </c>
      <c r="B2601" t="s">
        <v>20508</v>
      </c>
      <c r="C2601">
        <v>0</v>
      </c>
    </row>
    <row r="2602" spans="1:3" x14ac:dyDescent="0.25">
      <c r="A2602" s="48" t="s">
        <v>10189</v>
      </c>
      <c r="B2602" t="s">
        <v>20509</v>
      </c>
      <c r="C2602">
        <v>13</v>
      </c>
    </row>
    <row r="2603" spans="1:3" x14ac:dyDescent="0.25">
      <c r="A2603" s="48" t="s">
        <v>17080</v>
      </c>
      <c r="B2603" t="s">
        <v>20510</v>
      </c>
      <c r="C2603">
        <v>0</v>
      </c>
    </row>
    <row r="2604" spans="1:3" x14ac:dyDescent="0.25">
      <c r="A2604" s="48" t="s">
        <v>13280</v>
      </c>
      <c r="B2604" t="s">
        <v>13281</v>
      </c>
      <c r="C2604">
        <v>0</v>
      </c>
    </row>
    <row r="2605" spans="1:3" x14ac:dyDescent="0.25">
      <c r="A2605" s="48" t="s">
        <v>12295</v>
      </c>
      <c r="B2605" t="s">
        <v>20511</v>
      </c>
      <c r="C2605">
        <v>0</v>
      </c>
    </row>
    <row r="2606" spans="1:3" x14ac:dyDescent="0.25">
      <c r="A2606" s="48" t="s">
        <v>15945</v>
      </c>
      <c r="B2606" t="s">
        <v>20512</v>
      </c>
      <c r="C2606">
        <v>0</v>
      </c>
    </row>
    <row r="2607" spans="1:3" x14ac:dyDescent="0.25">
      <c r="A2607" s="48" t="s">
        <v>17078</v>
      </c>
      <c r="B2607" t="s">
        <v>20513</v>
      </c>
      <c r="C2607">
        <v>0</v>
      </c>
    </row>
    <row r="2608" spans="1:3" x14ac:dyDescent="0.25">
      <c r="A2608" s="48" t="s">
        <v>17462</v>
      </c>
      <c r="B2608" t="s">
        <v>20514</v>
      </c>
      <c r="C2608">
        <v>0</v>
      </c>
    </row>
    <row r="2609" spans="1:3" x14ac:dyDescent="0.25">
      <c r="A2609" s="48" t="s">
        <v>14143</v>
      </c>
      <c r="B2609" t="s">
        <v>20515</v>
      </c>
      <c r="C2609">
        <v>0</v>
      </c>
    </row>
    <row r="2610" spans="1:3" x14ac:dyDescent="0.25">
      <c r="A2610" s="48" t="s">
        <v>13446</v>
      </c>
      <c r="B2610" t="s">
        <v>20516</v>
      </c>
      <c r="C2610">
        <v>0</v>
      </c>
    </row>
    <row r="2611" spans="1:3" x14ac:dyDescent="0.25">
      <c r="A2611" s="48" t="s">
        <v>14537</v>
      </c>
      <c r="B2611" t="s">
        <v>20517</v>
      </c>
      <c r="C2611">
        <v>0</v>
      </c>
    </row>
    <row r="2612" spans="1:3" x14ac:dyDescent="0.25">
      <c r="A2612" s="48" t="s">
        <v>16782</v>
      </c>
      <c r="B2612" t="s">
        <v>20518</v>
      </c>
      <c r="C2612">
        <v>7</v>
      </c>
    </row>
    <row r="2613" spans="1:3" x14ac:dyDescent="0.25">
      <c r="A2613" s="48" t="s">
        <v>17142</v>
      </c>
      <c r="B2613" t="s">
        <v>20519</v>
      </c>
      <c r="C2613">
        <v>2</v>
      </c>
    </row>
    <row r="2614" spans="1:3" x14ac:dyDescent="0.25">
      <c r="A2614" s="48" t="s">
        <v>14694</v>
      </c>
      <c r="B2614" t="s">
        <v>20520</v>
      </c>
      <c r="C2614">
        <v>0</v>
      </c>
    </row>
    <row r="2615" spans="1:3" x14ac:dyDescent="0.25">
      <c r="A2615" s="48" t="s">
        <v>16532</v>
      </c>
      <c r="B2615" t="s">
        <v>20521</v>
      </c>
      <c r="C2615">
        <v>0</v>
      </c>
    </row>
    <row r="2616" spans="1:3" x14ac:dyDescent="0.25">
      <c r="A2616" s="48" t="s">
        <v>17086</v>
      </c>
      <c r="B2616" t="s">
        <v>20522</v>
      </c>
      <c r="C2616">
        <v>0</v>
      </c>
    </row>
    <row r="2617" spans="1:3" x14ac:dyDescent="0.25">
      <c r="A2617" s="48" t="s">
        <v>16388</v>
      </c>
      <c r="B2617" t="s">
        <v>20523</v>
      </c>
      <c r="C2617">
        <v>0</v>
      </c>
    </row>
    <row r="2618" spans="1:3" x14ac:dyDescent="0.25">
      <c r="A2618" s="48" t="s">
        <v>17140</v>
      </c>
      <c r="B2618" t="s">
        <v>20524</v>
      </c>
      <c r="C2618">
        <v>0</v>
      </c>
    </row>
    <row r="2619" spans="1:3" x14ac:dyDescent="0.25">
      <c r="A2619" s="48" t="s">
        <v>12467</v>
      </c>
      <c r="B2619" t="s">
        <v>20525</v>
      </c>
      <c r="C2619">
        <v>4</v>
      </c>
    </row>
    <row r="2620" spans="1:3" x14ac:dyDescent="0.25">
      <c r="A2620" s="48" t="s">
        <v>12469</v>
      </c>
      <c r="B2620" t="s">
        <v>20526</v>
      </c>
      <c r="C2620">
        <v>0</v>
      </c>
    </row>
    <row r="2621" spans="1:3" x14ac:dyDescent="0.25">
      <c r="A2621" s="48" t="s">
        <v>12131</v>
      </c>
      <c r="B2621" t="s">
        <v>20527</v>
      </c>
      <c r="C2621">
        <v>12</v>
      </c>
    </row>
    <row r="2622" spans="1:3" x14ac:dyDescent="0.25">
      <c r="A2622" s="48" t="s">
        <v>12125</v>
      </c>
      <c r="B2622" t="s">
        <v>20528</v>
      </c>
      <c r="C2622">
        <v>0</v>
      </c>
    </row>
    <row r="2623" spans="1:3" x14ac:dyDescent="0.25">
      <c r="A2623" s="48" t="s">
        <v>12123</v>
      </c>
      <c r="B2623" t="s">
        <v>20529</v>
      </c>
      <c r="C2623">
        <v>0</v>
      </c>
    </row>
    <row r="2624" spans="1:3" x14ac:dyDescent="0.25">
      <c r="A2624" s="48" t="s">
        <v>19553</v>
      </c>
      <c r="B2624" t="s">
        <v>20530</v>
      </c>
      <c r="C2624">
        <v>0</v>
      </c>
    </row>
    <row r="2625" spans="1:3" x14ac:dyDescent="0.25">
      <c r="A2625" s="48" t="s">
        <v>11218</v>
      </c>
      <c r="B2625" t="s">
        <v>20531</v>
      </c>
      <c r="C2625">
        <v>0</v>
      </c>
    </row>
    <row r="2626" spans="1:3" x14ac:dyDescent="0.25">
      <c r="A2626" s="48" t="s">
        <v>15935</v>
      </c>
      <c r="B2626" t="s">
        <v>20532</v>
      </c>
      <c r="C2626">
        <v>0</v>
      </c>
    </row>
    <row r="2627" spans="1:3" x14ac:dyDescent="0.25">
      <c r="A2627" s="48" t="s">
        <v>11628</v>
      </c>
      <c r="B2627" t="s">
        <v>20533</v>
      </c>
      <c r="C2627">
        <v>0</v>
      </c>
    </row>
    <row r="2628" spans="1:3" x14ac:dyDescent="0.25">
      <c r="A2628" s="48" t="s">
        <v>17542</v>
      </c>
      <c r="B2628" t="s">
        <v>20534</v>
      </c>
      <c r="C2628">
        <v>1</v>
      </c>
    </row>
    <row r="2629" spans="1:3" x14ac:dyDescent="0.25">
      <c r="A2629" s="48" t="s">
        <v>3432</v>
      </c>
      <c r="B2629" t="s">
        <v>20535</v>
      </c>
      <c r="C2629">
        <v>0</v>
      </c>
    </row>
    <row r="2630" spans="1:3" x14ac:dyDescent="0.25">
      <c r="A2630" s="48" t="s">
        <v>18089</v>
      </c>
      <c r="B2630" t="s">
        <v>20536</v>
      </c>
      <c r="C2630">
        <v>0</v>
      </c>
    </row>
    <row r="2631" spans="1:3" x14ac:dyDescent="0.25">
      <c r="A2631" s="48" t="s">
        <v>16516</v>
      </c>
      <c r="B2631" t="s">
        <v>16517</v>
      </c>
      <c r="C2631">
        <v>0</v>
      </c>
    </row>
    <row r="2632" spans="1:3" x14ac:dyDescent="0.25">
      <c r="A2632" s="48" t="s">
        <v>16518</v>
      </c>
      <c r="B2632" t="s">
        <v>20537</v>
      </c>
      <c r="C2632">
        <v>0</v>
      </c>
    </row>
    <row r="2633" spans="1:3" x14ac:dyDescent="0.25">
      <c r="A2633" s="48" t="s">
        <v>16538</v>
      </c>
      <c r="B2633" t="s">
        <v>16539</v>
      </c>
      <c r="C2633">
        <v>0</v>
      </c>
    </row>
    <row r="2634" spans="1:3" x14ac:dyDescent="0.25">
      <c r="A2634" s="48" t="s">
        <v>14766</v>
      </c>
      <c r="B2634" t="s">
        <v>20538</v>
      </c>
      <c r="C2634">
        <v>0</v>
      </c>
    </row>
    <row r="2635" spans="1:3" x14ac:dyDescent="0.25">
      <c r="A2635" s="48" t="s">
        <v>17222</v>
      </c>
      <c r="B2635" t="s">
        <v>20539</v>
      </c>
      <c r="C2635">
        <v>3</v>
      </c>
    </row>
    <row r="2636" spans="1:3" x14ac:dyDescent="0.25">
      <c r="A2636" s="48" t="s">
        <v>10185</v>
      </c>
      <c r="B2636" t="s">
        <v>20540</v>
      </c>
      <c r="C2636">
        <v>0</v>
      </c>
    </row>
    <row r="2637" spans="1:3" x14ac:dyDescent="0.25">
      <c r="A2637" s="48" t="s">
        <v>17046</v>
      </c>
      <c r="B2637" t="s">
        <v>20541</v>
      </c>
      <c r="C2637">
        <v>2</v>
      </c>
    </row>
    <row r="2638" spans="1:3" x14ac:dyDescent="0.25">
      <c r="A2638" s="48" t="s">
        <v>17044</v>
      </c>
      <c r="B2638" t="s">
        <v>20542</v>
      </c>
      <c r="C2638">
        <v>2</v>
      </c>
    </row>
    <row r="2639" spans="1:3" x14ac:dyDescent="0.25">
      <c r="A2639" s="48" t="s">
        <v>16101</v>
      </c>
      <c r="B2639" t="s">
        <v>20543</v>
      </c>
      <c r="C2639">
        <v>0</v>
      </c>
    </row>
    <row r="2640" spans="1:3" x14ac:dyDescent="0.25">
      <c r="A2640" s="48" t="s">
        <v>16103</v>
      </c>
      <c r="B2640" t="s">
        <v>20544</v>
      </c>
      <c r="C2640">
        <v>0</v>
      </c>
    </row>
    <row r="2641" spans="1:3" x14ac:dyDescent="0.25">
      <c r="A2641" s="48" t="s">
        <v>16540</v>
      </c>
      <c r="B2641" t="s">
        <v>20545</v>
      </c>
      <c r="C2641">
        <v>8</v>
      </c>
    </row>
    <row r="2642" spans="1:3" x14ac:dyDescent="0.25">
      <c r="A2642" s="48" t="s">
        <v>16574</v>
      </c>
      <c r="B2642" t="s">
        <v>20546</v>
      </c>
      <c r="C2642">
        <v>0</v>
      </c>
    </row>
    <row r="2643" spans="1:3" x14ac:dyDescent="0.25">
      <c r="A2643" s="48" t="s">
        <v>11102</v>
      </c>
      <c r="B2643" t="s">
        <v>20547</v>
      </c>
      <c r="C2643">
        <v>0</v>
      </c>
    </row>
    <row r="2644" spans="1:3" x14ac:dyDescent="0.25">
      <c r="A2644" s="48" t="s">
        <v>11098</v>
      </c>
      <c r="B2644" t="s">
        <v>20548</v>
      </c>
      <c r="C2644">
        <v>0</v>
      </c>
    </row>
    <row r="2645" spans="1:3" x14ac:dyDescent="0.25">
      <c r="A2645" s="48" t="s">
        <v>11474</v>
      </c>
      <c r="B2645" t="s">
        <v>20549</v>
      </c>
      <c r="C2645">
        <v>0</v>
      </c>
    </row>
    <row r="2646" spans="1:3" x14ac:dyDescent="0.25">
      <c r="A2646" s="48" t="s">
        <v>11654</v>
      </c>
      <c r="B2646" t="s">
        <v>20550</v>
      </c>
      <c r="C2646">
        <v>0</v>
      </c>
    </row>
    <row r="2647" spans="1:3" x14ac:dyDescent="0.25">
      <c r="A2647" s="48" t="s">
        <v>11652</v>
      </c>
      <c r="B2647" t="s">
        <v>20551</v>
      </c>
      <c r="C2647">
        <v>2</v>
      </c>
    </row>
    <row r="2648" spans="1:3" x14ac:dyDescent="0.25">
      <c r="A2648" s="48" t="s">
        <v>11632</v>
      </c>
      <c r="B2648" t="s">
        <v>20552</v>
      </c>
      <c r="C2648">
        <v>0</v>
      </c>
    </row>
    <row r="2649" spans="1:3" x14ac:dyDescent="0.25">
      <c r="A2649" s="48" t="s">
        <v>11630</v>
      </c>
      <c r="B2649" t="s">
        <v>20553</v>
      </c>
      <c r="C2649">
        <v>0</v>
      </c>
    </row>
    <row r="2650" spans="1:3" x14ac:dyDescent="0.25">
      <c r="A2650" s="48" t="s">
        <v>11476</v>
      </c>
      <c r="B2650" t="s">
        <v>20554</v>
      </c>
      <c r="C2650">
        <v>1</v>
      </c>
    </row>
    <row r="2651" spans="1:3" x14ac:dyDescent="0.25">
      <c r="A2651" s="48" t="s">
        <v>11466</v>
      </c>
      <c r="B2651" t="s">
        <v>20555</v>
      </c>
      <c r="C2651">
        <v>0</v>
      </c>
    </row>
    <row r="2652" spans="1:3" x14ac:dyDescent="0.25">
      <c r="A2652" s="48" t="s">
        <v>11546</v>
      </c>
      <c r="B2652" t="s">
        <v>20556</v>
      </c>
      <c r="C2652">
        <v>0</v>
      </c>
    </row>
    <row r="2653" spans="1:3" x14ac:dyDescent="0.25">
      <c r="A2653" s="48" t="s">
        <v>11456</v>
      </c>
      <c r="B2653" t="s">
        <v>20557</v>
      </c>
      <c r="C2653">
        <v>0</v>
      </c>
    </row>
    <row r="2654" spans="1:3" x14ac:dyDescent="0.25">
      <c r="A2654" s="48" t="s">
        <v>11500</v>
      </c>
      <c r="B2654" t="s">
        <v>20558</v>
      </c>
      <c r="C2654">
        <v>0</v>
      </c>
    </row>
    <row r="2655" spans="1:3" x14ac:dyDescent="0.25">
      <c r="A2655" s="48" t="s">
        <v>11208</v>
      </c>
      <c r="B2655" t="s">
        <v>20559</v>
      </c>
      <c r="C2655">
        <v>0</v>
      </c>
    </row>
    <row r="2656" spans="1:3" x14ac:dyDescent="0.25">
      <c r="A2656" s="48" t="s">
        <v>11536</v>
      </c>
      <c r="B2656" t="s">
        <v>20560</v>
      </c>
      <c r="C2656">
        <v>0</v>
      </c>
    </row>
    <row r="2657" spans="1:3" x14ac:dyDescent="0.25">
      <c r="A2657" s="48" t="s">
        <v>7154</v>
      </c>
      <c r="B2657" t="s">
        <v>20561</v>
      </c>
      <c r="C2657">
        <v>0</v>
      </c>
    </row>
    <row r="2658" spans="1:3" x14ac:dyDescent="0.25">
      <c r="A2658" s="48" t="s">
        <v>4956</v>
      </c>
      <c r="B2658" t="s">
        <v>20562</v>
      </c>
      <c r="C2658">
        <v>1</v>
      </c>
    </row>
    <row r="2659" spans="1:3" x14ac:dyDescent="0.25">
      <c r="A2659" s="48" t="s">
        <v>17772</v>
      </c>
      <c r="B2659" t="s">
        <v>20563</v>
      </c>
      <c r="C2659">
        <v>0</v>
      </c>
    </row>
    <row r="2660" spans="1:3" x14ac:dyDescent="0.25">
      <c r="A2660" s="48" t="s">
        <v>4938</v>
      </c>
      <c r="B2660" t="s">
        <v>20564</v>
      </c>
      <c r="C2660">
        <v>0</v>
      </c>
    </row>
    <row r="2661" spans="1:3" x14ac:dyDescent="0.25">
      <c r="A2661" s="48" t="s">
        <v>4932</v>
      </c>
      <c r="B2661" t="s">
        <v>20565</v>
      </c>
      <c r="C2661">
        <v>0</v>
      </c>
    </row>
    <row r="2662" spans="1:3" x14ac:dyDescent="0.25">
      <c r="A2662" s="48" t="s">
        <v>14652</v>
      </c>
      <c r="B2662" t="s">
        <v>20566</v>
      </c>
      <c r="C2662">
        <v>0</v>
      </c>
    </row>
    <row r="2663" spans="1:3" x14ac:dyDescent="0.25">
      <c r="A2663" s="48" t="s">
        <v>8230</v>
      </c>
      <c r="B2663" t="s">
        <v>20567</v>
      </c>
      <c r="C2663">
        <v>0</v>
      </c>
    </row>
    <row r="2664" spans="1:3" x14ac:dyDescent="0.25">
      <c r="A2664" s="48" t="s">
        <v>14487</v>
      </c>
      <c r="B2664" t="s">
        <v>14488</v>
      </c>
      <c r="C2664">
        <v>0</v>
      </c>
    </row>
    <row r="2665" spans="1:3" x14ac:dyDescent="0.25">
      <c r="A2665" s="48" t="s">
        <v>14489</v>
      </c>
      <c r="B2665" t="s">
        <v>14490</v>
      </c>
      <c r="C2665">
        <v>0</v>
      </c>
    </row>
    <row r="2666" spans="1:3" x14ac:dyDescent="0.25">
      <c r="A2666" s="48" t="s">
        <v>12909</v>
      </c>
      <c r="B2666" t="s">
        <v>20568</v>
      </c>
      <c r="C2666">
        <v>0</v>
      </c>
    </row>
    <row r="2667" spans="1:3" x14ac:dyDescent="0.25">
      <c r="A2667" s="48" t="s">
        <v>12911</v>
      </c>
      <c r="B2667" t="s">
        <v>20569</v>
      </c>
      <c r="C2667">
        <v>0</v>
      </c>
    </row>
    <row r="2668" spans="1:3" x14ac:dyDescent="0.25">
      <c r="A2668" s="48" t="s">
        <v>5133</v>
      </c>
      <c r="B2668" t="s">
        <v>20570</v>
      </c>
      <c r="C2668">
        <v>0</v>
      </c>
    </row>
    <row r="2669" spans="1:3" x14ac:dyDescent="0.25">
      <c r="A2669" s="48" t="s">
        <v>5135</v>
      </c>
      <c r="B2669" t="s">
        <v>20571</v>
      </c>
      <c r="C2669">
        <v>0</v>
      </c>
    </row>
    <row r="2670" spans="1:3" x14ac:dyDescent="0.25">
      <c r="A2670" s="48" t="s">
        <v>5661</v>
      </c>
      <c r="B2670" t="s">
        <v>20572</v>
      </c>
      <c r="C2670">
        <v>0</v>
      </c>
    </row>
    <row r="2671" spans="1:3" x14ac:dyDescent="0.25">
      <c r="A2671" s="48" t="s">
        <v>5465</v>
      </c>
      <c r="B2671" t="s">
        <v>20573</v>
      </c>
      <c r="C2671">
        <v>0</v>
      </c>
    </row>
    <row r="2672" spans="1:3" x14ac:dyDescent="0.25">
      <c r="A2672" s="48" t="s">
        <v>5463</v>
      </c>
      <c r="B2672" t="s">
        <v>20574</v>
      </c>
      <c r="C2672">
        <v>2</v>
      </c>
    </row>
    <row r="2673" spans="1:3" x14ac:dyDescent="0.25">
      <c r="A2673" s="48" t="s">
        <v>5467</v>
      </c>
      <c r="B2673" t="s">
        <v>20575</v>
      </c>
      <c r="C2673">
        <v>0</v>
      </c>
    </row>
    <row r="2674" spans="1:3" x14ac:dyDescent="0.25">
      <c r="A2674" s="48" t="s">
        <v>5461</v>
      </c>
      <c r="B2674" t="s">
        <v>20576</v>
      </c>
      <c r="C2674">
        <v>1</v>
      </c>
    </row>
    <row r="2675" spans="1:3" x14ac:dyDescent="0.25">
      <c r="A2675" s="48" t="s">
        <v>6122</v>
      </c>
      <c r="B2675" t="s">
        <v>20577</v>
      </c>
      <c r="C2675">
        <v>0</v>
      </c>
    </row>
    <row r="2676" spans="1:3" x14ac:dyDescent="0.25">
      <c r="A2676" s="48" t="s">
        <v>6128</v>
      </c>
      <c r="B2676" t="s">
        <v>20578</v>
      </c>
      <c r="C2676">
        <v>0</v>
      </c>
    </row>
    <row r="2677" spans="1:3" x14ac:dyDescent="0.25">
      <c r="A2677" s="48" t="s">
        <v>12929</v>
      </c>
      <c r="B2677" t="s">
        <v>20579</v>
      </c>
      <c r="C2677">
        <v>0</v>
      </c>
    </row>
    <row r="2678" spans="1:3" x14ac:dyDescent="0.25">
      <c r="A2678" s="48" t="s">
        <v>17632</v>
      </c>
      <c r="B2678" t="s">
        <v>20580</v>
      </c>
      <c r="C2678">
        <v>0</v>
      </c>
    </row>
    <row r="2679" spans="1:3" x14ac:dyDescent="0.25">
      <c r="A2679" s="48" t="s">
        <v>17646</v>
      </c>
      <c r="B2679" t="s">
        <v>20581</v>
      </c>
      <c r="C2679">
        <v>0</v>
      </c>
    </row>
    <row r="2680" spans="1:3" x14ac:dyDescent="0.25">
      <c r="A2680" s="48" t="s">
        <v>16962</v>
      </c>
      <c r="B2680" t="s">
        <v>20582</v>
      </c>
      <c r="C2680">
        <v>4</v>
      </c>
    </row>
    <row r="2681" spans="1:3" x14ac:dyDescent="0.25">
      <c r="A2681" s="48" t="s">
        <v>16960</v>
      </c>
      <c r="B2681" t="s">
        <v>20583</v>
      </c>
      <c r="C2681">
        <v>0</v>
      </c>
    </row>
    <row r="2682" spans="1:3" x14ac:dyDescent="0.25">
      <c r="A2682" s="48" t="s">
        <v>19666</v>
      </c>
      <c r="B2682" t="s">
        <v>20584</v>
      </c>
      <c r="C2682">
        <v>0</v>
      </c>
    </row>
    <row r="2683" spans="1:3" x14ac:dyDescent="0.25">
      <c r="A2683" s="48" t="s">
        <v>8624</v>
      </c>
      <c r="B2683" t="s">
        <v>20585</v>
      </c>
      <c r="C2683">
        <v>0</v>
      </c>
    </row>
    <row r="2684" spans="1:3" x14ac:dyDescent="0.25">
      <c r="A2684" s="48" t="s">
        <v>8622</v>
      </c>
      <c r="B2684" t="s">
        <v>20586</v>
      </c>
      <c r="C2684">
        <v>0</v>
      </c>
    </row>
    <row r="2685" spans="1:3" x14ac:dyDescent="0.25">
      <c r="A2685" s="48" t="s">
        <v>7804</v>
      </c>
      <c r="B2685" t="s">
        <v>20587</v>
      </c>
      <c r="C2685">
        <v>0</v>
      </c>
    </row>
    <row r="2686" spans="1:3" x14ac:dyDescent="0.25">
      <c r="A2686" s="48" t="s">
        <v>3345</v>
      </c>
      <c r="B2686" t="s">
        <v>20588</v>
      </c>
      <c r="C2686">
        <v>0</v>
      </c>
    </row>
    <row r="2687" spans="1:3" x14ac:dyDescent="0.25">
      <c r="A2687" s="48" t="s">
        <v>19664</v>
      </c>
      <c r="B2687" t="s">
        <v>20589</v>
      </c>
      <c r="C2687">
        <v>0</v>
      </c>
    </row>
    <row r="2688" spans="1:3" x14ac:dyDescent="0.25">
      <c r="A2688" s="48" t="s">
        <v>9281</v>
      </c>
      <c r="B2688" t="s">
        <v>9282</v>
      </c>
      <c r="C2688">
        <v>0</v>
      </c>
    </row>
    <row r="2689" spans="1:3" x14ac:dyDescent="0.25">
      <c r="A2689" s="48" t="s">
        <v>12628</v>
      </c>
      <c r="B2689" t="s">
        <v>12629</v>
      </c>
      <c r="C2689">
        <v>0</v>
      </c>
    </row>
    <row r="2690" spans="1:3" x14ac:dyDescent="0.25">
      <c r="A2690" s="48" t="s">
        <v>5293</v>
      </c>
      <c r="B2690" t="s">
        <v>5294</v>
      </c>
      <c r="C2690">
        <v>0</v>
      </c>
    </row>
    <row r="2691" spans="1:3" x14ac:dyDescent="0.25">
      <c r="A2691" s="48" t="s">
        <v>5307</v>
      </c>
      <c r="B2691" t="s">
        <v>5308</v>
      </c>
      <c r="C2691">
        <v>0</v>
      </c>
    </row>
    <row r="2692" spans="1:3" x14ac:dyDescent="0.25">
      <c r="A2692" s="48" t="s">
        <v>5285</v>
      </c>
      <c r="B2692" t="s">
        <v>20590</v>
      </c>
      <c r="C2692">
        <v>0</v>
      </c>
    </row>
    <row r="2693" spans="1:3" x14ac:dyDescent="0.25">
      <c r="A2693" s="48" t="s">
        <v>9738</v>
      </c>
      <c r="B2693" t="s">
        <v>20591</v>
      </c>
      <c r="C2693">
        <v>5</v>
      </c>
    </row>
    <row r="2694" spans="1:3" x14ac:dyDescent="0.25">
      <c r="A2694" s="48" t="s">
        <v>5705</v>
      </c>
      <c r="B2694" t="s">
        <v>5706</v>
      </c>
      <c r="C2694">
        <v>48</v>
      </c>
    </row>
    <row r="2695" spans="1:3" x14ac:dyDescent="0.25">
      <c r="A2695" s="48" t="s">
        <v>8349</v>
      </c>
      <c r="B2695" t="s">
        <v>8350</v>
      </c>
      <c r="C2695">
        <v>72</v>
      </c>
    </row>
    <row r="2696" spans="1:3" x14ac:dyDescent="0.25">
      <c r="A2696" s="48" t="s">
        <v>11282</v>
      </c>
      <c r="B2696" t="s">
        <v>22951</v>
      </c>
      <c r="C2696">
        <v>9</v>
      </c>
    </row>
    <row r="2697" spans="1:3" x14ac:dyDescent="0.25">
      <c r="A2697" s="48" t="s">
        <v>16558</v>
      </c>
      <c r="B2697" t="s">
        <v>16559</v>
      </c>
      <c r="C2697">
        <v>7</v>
      </c>
    </row>
    <row r="2698" spans="1:3" x14ac:dyDescent="0.25">
      <c r="A2698" s="48" t="s">
        <v>14336</v>
      </c>
      <c r="B2698" t="s">
        <v>14337</v>
      </c>
      <c r="C2698">
        <v>0</v>
      </c>
    </row>
    <row r="2699" spans="1:3" x14ac:dyDescent="0.25">
      <c r="A2699" s="48" t="s">
        <v>19044</v>
      </c>
      <c r="B2699" t="s">
        <v>19045</v>
      </c>
      <c r="C2699">
        <v>13</v>
      </c>
    </row>
    <row r="2700" spans="1:3" x14ac:dyDescent="0.25">
      <c r="A2700" s="48" t="s">
        <v>17246</v>
      </c>
      <c r="B2700" t="s">
        <v>17247</v>
      </c>
      <c r="C2700">
        <v>0</v>
      </c>
    </row>
    <row r="2701" spans="1:3" x14ac:dyDescent="0.25">
      <c r="A2701" s="48" t="s">
        <v>14419</v>
      </c>
      <c r="B2701" t="s">
        <v>14420</v>
      </c>
      <c r="C2701">
        <v>0</v>
      </c>
    </row>
    <row r="2702" spans="1:3" x14ac:dyDescent="0.25">
      <c r="A2702" s="48" t="s">
        <v>16654</v>
      </c>
      <c r="B2702" t="s">
        <v>16655</v>
      </c>
      <c r="C2702">
        <v>0</v>
      </c>
    </row>
    <row r="2703" spans="1:3" x14ac:dyDescent="0.25">
      <c r="A2703" s="48" t="s">
        <v>4477</v>
      </c>
      <c r="B2703" t="s">
        <v>23019</v>
      </c>
      <c r="C2703">
        <v>90</v>
      </c>
    </row>
    <row r="2704" spans="1:3" x14ac:dyDescent="0.25">
      <c r="A2704" s="48" t="s">
        <v>4471</v>
      </c>
      <c r="B2704" t="s">
        <v>23020</v>
      </c>
      <c r="C2704">
        <v>0</v>
      </c>
    </row>
    <row r="2705" spans="1:3" x14ac:dyDescent="0.25">
      <c r="A2705" s="48" t="s">
        <v>4463</v>
      </c>
      <c r="B2705" t="s">
        <v>23021</v>
      </c>
      <c r="C2705">
        <v>150</v>
      </c>
    </row>
    <row r="2706" spans="1:3" x14ac:dyDescent="0.25">
      <c r="A2706" s="48" t="s">
        <v>4461</v>
      </c>
      <c r="B2706" t="s">
        <v>23022</v>
      </c>
      <c r="C2706">
        <v>0</v>
      </c>
    </row>
    <row r="2707" spans="1:3" x14ac:dyDescent="0.25">
      <c r="A2707" s="48" t="s">
        <v>11850</v>
      </c>
      <c r="B2707" t="s">
        <v>11851</v>
      </c>
      <c r="C2707">
        <v>1</v>
      </c>
    </row>
    <row r="2708" spans="1:3" x14ac:dyDescent="0.25">
      <c r="A2708" s="48" t="s">
        <v>5571</v>
      </c>
      <c r="B2708" t="s">
        <v>5572</v>
      </c>
      <c r="C2708">
        <v>0</v>
      </c>
    </row>
    <row r="2709" spans="1:3" x14ac:dyDescent="0.25">
      <c r="A2709" s="48" t="s">
        <v>5515</v>
      </c>
      <c r="B2709" t="s">
        <v>5516</v>
      </c>
      <c r="C2709">
        <v>3</v>
      </c>
    </row>
    <row r="2710" spans="1:3" x14ac:dyDescent="0.25">
      <c r="A2710" s="48" t="s">
        <v>5537</v>
      </c>
      <c r="B2710" t="s">
        <v>5538</v>
      </c>
      <c r="C2710">
        <v>0</v>
      </c>
    </row>
    <row r="2711" spans="1:3" x14ac:dyDescent="0.25">
      <c r="A2711" s="48" t="s">
        <v>11848</v>
      </c>
      <c r="B2711" t="s">
        <v>11849</v>
      </c>
      <c r="C2711">
        <v>501</v>
      </c>
    </row>
    <row r="2712" spans="1:3" x14ac:dyDescent="0.25">
      <c r="A2712" s="48" t="s">
        <v>1011</v>
      </c>
      <c r="B2712" t="s">
        <v>1012</v>
      </c>
      <c r="C2712">
        <v>43</v>
      </c>
    </row>
    <row r="2713" spans="1:3" x14ac:dyDescent="0.25">
      <c r="A2713" s="48" t="s">
        <v>18556</v>
      </c>
      <c r="B2713" t="s">
        <v>18557</v>
      </c>
      <c r="C2713">
        <v>7</v>
      </c>
    </row>
    <row r="2714" spans="1:3" x14ac:dyDescent="0.25">
      <c r="A2714" s="48" t="s">
        <v>18546</v>
      </c>
      <c r="B2714" t="s">
        <v>18547</v>
      </c>
      <c r="C2714">
        <v>2</v>
      </c>
    </row>
    <row r="2715" spans="1:3" x14ac:dyDescent="0.25">
      <c r="A2715" s="48" t="s">
        <v>9480</v>
      </c>
      <c r="B2715" t="s">
        <v>9481</v>
      </c>
      <c r="C2715">
        <v>0</v>
      </c>
    </row>
    <row r="2716" spans="1:3" x14ac:dyDescent="0.25">
      <c r="A2716" s="48" t="s">
        <v>5365</v>
      </c>
      <c r="B2716" t="s">
        <v>5366</v>
      </c>
      <c r="C2716">
        <v>9</v>
      </c>
    </row>
    <row r="2717" spans="1:3" x14ac:dyDescent="0.25">
      <c r="A2717" s="48" t="s">
        <v>11668</v>
      </c>
      <c r="B2717" t="s">
        <v>11669</v>
      </c>
      <c r="C2717">
        <v>31</v>
      </c>
    </row>
    <row r="2718" spans="1:3" x14ac:dyDescent="0.25">
      <c r="A2718" s="48" t="s">
        <v>11670</v>
      </c>
      <c r="B2718" t="s">
        <v>11671</v>
      </c>
      <c r="C2718">
        <v>11</v>
      </c>
    </row>
    <row r="2719" spans="1:3" x14ac:dyDescent="0.25">
      <c r="A2719" s="48" t="s">
        <v>5411</v>
      </c>
      <c r="B2719" t="s">
        <v>5412</v>
      </c>
      <c r="C2719">
        <v>1</v>
      </c>
    </row>
    <row r="2720" spans="1:3" x14ac:dyDescent="0.25">
      <c r="A2720" s="48" t="s">
        <v>5417</v>
      </c>
      <c r="B2720" t="s">
        <v>5418</v>
      </c>
      <c r="C2720">
        <v>3</v>
      </c>
    </row>
    <row r="2721" spans="1:3" x14ac:dyDescent="0.25">
      <c r="A2721" s="48" t="s">
        <v>5423</v>
      </c>
      <c r="B2721" t="s">
        <v>5424</v>
      </c>
      <c r="C2721">
        <v>14</v>
      </c>
    </row>
    <row r="2722" spans="1:3" x14ac:dyDescent="0.25">
      <c r="A2722" s="48" t="s">
        <v>6523</v>
      </c>
      <c r="B2722" t="s">
        <v>6524</v>
      </c>
      <c r="C2722">
        <v>0</v>
      </c>
    </row>
    <row r="2723" spans="1:3" x14ac:dyDescent="0.25">
      <c r="A2723" s="48" t="s">
        <v>18548</v>
      </c>
      <c r="B2723" t="s">
        <v>18549</v>
      </c>
      <c r="C2723">
        <v>4</v>
      </c>
    </row>
    <row r="2724" spans="1:3" x14ac:dyDescent="0.25">
      <c r="A2724" s="48" t="s">
        <v>18570</v>
      </c>
      <c r="B2724" t="s">
        <v>18571</v>
      </c>
      <c r="C2724">
        <v>3</v>
      </c>
    </row>
    <row r="2725" spans="1:3" x14ac:dyDescent="0.25">
      <c r="A2725" s="48" t="s">
        <v>5399</v>
      </c>
      <c r="B2725" t="s">
        <v>5400</v>
      </c>
      <c r="C2725">
        <v>2</v>
      </c>
    </row>
    <row r="2726" spans="1:3" x14ac:dyDescent="0.25">
      <c r="A2726" s="48" t="s">
        <v>5501</v>
      </c>
      <c r="B2726" t="s">
        <v>5502</v>
      </c>
      <c r="C2726">
        <v>9</v>
      </c>
    </row>
    <row r="2727" spans="1:3" x14ac:dyDescent="0.25">
      <c r="A2727" s="48" t="s">
        <v>5525</v>
      </c>
      <c r="B2727" t="s">
        <v>5526</v>
      </c>
      <c r="C2727">
        <v>0</v>
      </c>
    </row>
    <row r="2728" spans="1:3" x14ac:dyDescent="0.25">
      <c r="A2728" s="48" t="s">
        <v>5521</v>
      </c>
      <c r="B2728" t="s">
        <v>5522</v>
      </c>
      <c r="C2728">
        <v>0</v>
      </c>
    </row>
    <row r="2729" spans="1:3" x14ac:dyDescent="0.25">
      <c r="A2729" s="48" t="s">
        <v>19354</v>
      </c>
      <c r="B2729" t="s">
        <v>20592</v>
      </c>
      <c r="C2729">
        <v>0</v>
      </c>
    </row>
    <row r="2730" spans="1:3" x14ac:dyDescent="0.25">
      <c r="A2730" s="48" t="s">
        <v>19356</v>
      </c>
      <c r="B2730" t="s">
        <v>20593</v>
      </c>
      <c r="C2730">
        <v>0</v>
      </c>
    </row>
    <row r="2731" spans="1:3" x14ac:dyDescent="0.25">
      <c r="A2731" s="48" t="s">
        <v>19358</v>
      </c>
      <c r="B2731" t="s">
        <v>20594</v>
      </c>
      <c r="C2731">
        <v>0</v>
      </c>
    </row>
    <row r="2732" spans="1:3" x14ac:dyDescent="0.25">
      <c r="A2732" s="48" t="s">
        <v>19360</v>
      </c>
      <c r="B2732" t="s">
        <v>20595</v>
      </c>
      <c r="C2732">
        <v>0</v>
      </c>
    </row>
    <row r="2733" spans="1:3" x14ac:dyDescent="0.25">
      <c r="A2733" s="48" t="s">
        <v>19334</v>
      </c>
      <c r="B2733" t="s">
        <v>20596</v>
      </c>
      <c r="C2733">
        <v>0</v>
      </c>
    </row>
    <row r="2734" spans="1:3" x14ac:dyDescent="0.25">
      <c r="A2734" s="48" t="s">
        <v>19336</v>
      </c>
      <c r="B2734" t="s">
        <v>20597</v>
      </c>
      <c r="C2734">
        <v>4</v>
      </c>
    </row>
    <row r="2735" spans="1:3" x14ac:dyDescent="0.25">
      <c r="A2735" s="48" t="s">
        <v>19382</v>
      </c>
      <c r="B2735" t="s">
        <v>20598</v>
      </c>
      <c r="C2735">
        <v>0</v>
      </c>
    </row>
    <row r="2736" spans="1:3" x14ac:dyDescent="0.25">
      <c r="A2736" s="48" t="s">
        <v>19384</v>
      </c>
      <c r="B2736" t="s">
        <v>20599</v>
      </c>
      <c r="C2736">
        <v>6</v>
      </c>
    </row>
    <row r="2737" spans="1:3" x14ac:dyDescent="0.25">
      <c r="A2737" s="48" t="s">
        <v>19330</v>
      </c>
      <c r="B2737" t="s">
        <v>20600</v>
      </c>
      <c r="C2737">
        <v>0</v>
      </c>
    </row>
    <row r="2738" spans="1:3" x14ac:dyDescent="0.25">
      <c r="A2738" s="48" t="s">
        <v>19332</v>
      </c>
      <c r="B2738" t="s">
        <v>20601</v>
      </c>
      <c r="C2738">
        <v>32</v>
      </c>
    </row>
    <row r="2739" spans="1:3" x14ac:dyDescent="0.25">
      <c r="A2739" s="48" t="s">
        <v>19338</v>
      </c>
      <c r="B2739" t="s">
        <v>20602</v>
      </c>
      <c r="C2739">
        <v>0</v>
      </c>
    </row>
    <row r="2740" spans="1:3" x14ac:dyDescent="0.25">
      <c r="A2740" s="48" t="s">
        <v>19340</v>
      </c>
      <c r="B2740" t="s">
        <v>20603</v>
      </c>
      <c r="C2740">
        <v>13</v>
      </c>
    </row>
    <row r="2741" spans="1:3" x14ac:dyDescent="0.25">
      <c r="A2741" s="48" t="s">
        <v>19386</v>
      </c>
      <c r="B2741" t="s">
        <v>20604</v>
      </c>
      <c r="C2741">
        <v>0</v>
      </c>
    </row>
    <row r="2742" spans="1:3" x14ac:dyDescent="0.25">
      <c r="A2742" s="48" t="s">
        <v>19388</v>
      </c>
      <c r="B2742" t="s">
        <v>20605</v>
      </c>
      <c r="C2742">
        <v>0</v>
      </c>
    </row>
    <row r="2743" spans="1:3" x14ac:dyDescent="0.25">
      <c r="A2743" s="48" t="s">
        <v>19390</v>
      </c>
      <c r="B2743" t="s">
        <v>20606</v>
      </c>
      <c r="C2743">
        <v>0</v>
      </c>
    </row>
    <row r="2744" spans="1:3" x14ac:dyDescent="0.25">
      <c r="A2744" s="48" t="s">
        <v>19392</v>
      </c>
      <c r="B2744" t="s">
        <v>20607</v>
      </c>
      <c r="C2744">
        <v>3</v>
      </c>
    </row>
    <row r="2745" spans="1:3" x14ac:dyDescent="0.25">
      <c r="A2745" s="48" t="s">
        <v>14622</v>
      </c>
      <c r="B2745" t="s">
        <v>20608</v>
      </c>
      <c r="C2745">
        <v>8</v>
      </c>
    </row>
    <row r="2746" spans="1:3" x14ac:dyDescent="0.25">
      <c r="A2746" s="48" t="s">
        <v>14634</v>
      </c>
      <c r="B2746" t="s">
        <v>14635</v>
      </c>
      <c r="C2746">
        <v>0</v>
      </c>
    </row>
    <row r="2747" spans="1:3" x14ac:dyDescent="0.25">
      <c r="A2747" s="48" t="s">
        <v>14425</v>
      </c>
      <c r="B2747" t="s">
        <v>14426</v>
      </c>
      <c r="C2747">
        <v>7</v>
      </c>
    </row>
    <row r="2748" spans="1:3" x14ac:dyDescent="0.25">
      <c r="A2748" s="48" t="s">
        <v>14427</v>
      </c>
      <c r="B2748" t="s">
        <v>14428</v>
      </c>
      <c r="C2748">
        <v>9</v>
      </c>
    </row>
    <row r="2749" spans="1:3" x14ac:dyDescent="0.25">
      <c r="A2749" s="48" t="s">
        <v>17907</v>
      </c>
      <c r="B2749" t="s">
        <v>17908</v>
      </c>
      <c r="C2749">
        <v>3</v>
      </c>
    </row>
    <row r="2750" spans="1:3" x14ac:dyDescent="0.25">
      <c r="A2750" s="48" t="s">
        <v>17909</v>
      </c>
      <c r="B2750" t="s">
        <v>17910</v>
      </c>
      <c r="C2750">
        <v>0</v>
      </c>
    </row>
    <row r="2751" spans="1:3" x14ac:dyDescent="0.25">
      <c r="A2751" s="48" t="s">
        <v>18540</v>
      </c>
      <c r="B2751" t="s">
        <v>18541</v>
      </c>
      <c r="C2751">
        <v>9</v>
      </c>
    </row>
    <row r="2752" spans="1:3" x14ac:dyDescent="0.25">
      <c r="A2752" s="48" t="s">
        <v>18554</v>
      </c>
      <c r="B2752" t="s">
        <v>18555</v>
      </c>
      <c r="C2752">
        <v>3</v>
      </c>
    </row>
    <row r="2753" spans="1:3" x14ac:dyDescent="0.25">
      <c r="A2753" s="48" t="s">
        <v>16710</v>
      </c>
      <c r="B2753" t="s">
        <v>20609</v>
      </c>
      <c r="C2753">
        <v>0</v>
      </c>
    </row>
    <row r="2754" spans="1:3" x14ac:dyDescent="0.25">
      <c r="A2754" s="48" t="s">
        <v>6472</v>
      </c>
      <c r="B2754" t="s">
        <v>6473</v>
      </c>
      <c r="C2754">
        <v>41</v>
      </c>
    </row>
    <row r="2755" spans="1:3" x14ac:dyDescent="0.25">
      <c r="A2755" s="48" t="s">
        <v>12895</v>
      </c>
      <c r="B2755" t="s">
        <v>12896</v>
      </c>
      <c r="C2755">
        <v>0</v>
      </c>
    </row>
    <row r="2756" spans="1:3" x14ac:dyDescent="0.25">
      <c r="A2756" s="48" t="s">
        <v>18568</v>
      </c>
      <c r="B2756" t="s">
        <v>18569</v>
      </c>
      <c r="C2756">
        <v>3</v>
      </c>
    </row>
    <row r="2757" spans="1:3" x14ac:dyDescent="0.25">
      <c r="A2757" s="48" t="s">
        <v>18576</v>
      </c>
      <c r="B2757" t="s">
        <v>18577</v>
      </c>
      <c r="C2757">
        <v>4</v>
      </c>
    </row>
    <row r="2758" spans="1:3" x14ac:dyDescent="0.25">
      <c r="A2758" s="48" t="s">
        <v>12769</v>
      </c>
      <c r="B2758" t="s">
        <v>12770</v>
      </c>
      <c r="C2758">
        <v>0</v>
      </c>
    </row>
    <row r="2759" spans="1:3" x14ac:dyDescent="0.25">
      <c r="A2759" s="48" t="s">
        <v>18550</v>
      </c>
      <c r="B2759" t="s">
        <v>18551</v>
      </c>
      <c r="C2759">
        <v>3</v>
      </c>
    </row>
    <row r="2760" spans="1:3" x14ac:dyDescent="0.25">
      <c r="A2760" s="48" t="s">
        <v>11720</v>
      </c>
      <c r="B2760" t="s">
        <v>11721</v>
      </c>
      <c r="C2760">
        <v>0</v>
      </c>
    </row>
    <row r="2761" spans="1:3" x14ac:dyDescent="0.25">
      <c r="A2761" s="48" t="s">
        <v>11756</v>
      </c>
      <c r="B2761" t="s">
        <v>11757</v>
      </c>
      <c r="C2761">
        <v>0</v>
      </c>
    </row>
    <row r="2762" spans="1:3" x14ac:dyDescent="0.25">
      <c r="A2762" s="48" t="s">
        <v>11758</v>
      </c>
      <c r="B2762" t="s">
        <v>11759</v>
      </c>
      <c r="C2762">
        <v>10</v>
      </c>
    </row>
    <row r="2763" spans="1:3" x14ac:dyDescent="0.25">
      <c r="A2763" s="48" t="s">
        <v>11760</v>
      </c>
      <c r="B2763" t="s">
        <v>11761</v>
      </c>
      <c r="C2763">
        <v>0</v>
      </c>
    </row>
    <row r="2764" spans="1:3" x14ac:dyDescent="0.25">
      <c r="A2764" s="48" t="s">
        <v>11762</v>
      </c>
      <c r="B2764" t="s">
        <v>11763</v>
      </c>
      <c r="C2764">
        <v>0</v>
      </c>
    </row>
    <row r="2765" spans="1:3" x14ac:dyDescent="0.25">
      <c r="A2765" s="48" t="s">
        <v>11764</v>
      </c>
      <c r="B2765" t="s">
        <v>11765</v>
      </c>
      <c r="C2765">
        <v>0</v>
      </c>
    </row>
    <row r="2766" spans="1:3" x14ac:dyDescent="0.25">
      <c r="A2766" s="48" t="s">
        <v>11766</v>
      </c>
      <c r="B2766" t="s">
        <v>11767</v>
      </c>
      <c r="C2766">
        <v>6</v>
      </c>
    </row>
    <row r="2767" spans="1:3" x14ac:dyDescent="0.25">
      <c r="A2767" s="48" t="s">
        <v>11768</v>
      </c>
      <c r="B2767" t="s">
        <v>11769</v>
      </c>
      <c r="C2767">
        <v>0</v>
      </c>
    </row>
    <row r="2768" spans="1:3" x14ac:dyDescent="0.25">
      <c r="A2768" s="48" t="s">
        <v>11770</v>
      </c>
      <c r="B2768" t="s">
        <v>11771</v>
      </c>
      <c r="C2768">
        <v>9</v>
      </c>
    </row>
    <row r="2769" spans="1:3" x14ac:dyDescent="0.25">
      <c r="A2769" s="48" t="s">
        <v>11718</v>
      </c>
      <c r="B2769" t="s">
        <v>11719</v>
      </c>
      <c r="C2769">
        <v>0</v>
      </c>
    </row>
    <row r="2770" spans="1:3" x14ac:dyDescent="0.25">
      <c r="A2770" s="48" t="s">
        <v>5996</v>
      </c>
      <c r="B2770" t="s">
        <v>5997</v>
      </c>
      <c r="C2770">
        <v>0</v>
      </c>
    </row>
    <row r="2771" spans="1:3" x14ac:dyDescent="0.25">
      <c r="A2771" s="48" t="s">
        <v>16594</v>
      </c>
      <c r="B2771" t="s">
        <v>16595</v>
      </c>
      <c r="C2771">
        <v>0</v>
      </c>
    </row>
    <row r="2772" spans="1:3" x14ac:dyDescent="0.25">
      <c r="A2772" s="48" t="s">
        <v>12807</v>
      </c>
      <c r="B2772" t="s">
        <v>12808</v>
      </c>
      <c r="C2772">
        <v>0</v>
      </c>
    </row>
    <row r="2773" spans="1:3" x14ac:dyDescent="0.25">
      <c r="A2773" s="48" t="s">
        <v>13102</v>
      </c>
      <c r="B2773" t="s">
        <v>13103</v>
      </c>
      <c r="C2773">
        <v>0</v>
      </c>
    </row>
    <row r="2774" spans="1:3" x14ac:dyDescent="0.25">
      <c r="A2774" s="48" t="s">
        <v>13108</v>
      </c>
      <c r="B2774" t="s">
        <v>13109</v>
      </c>
      <c r="C2774">
        <v>0</v>
      </c>
    </row>
    <row r="2775" spans="1:3" x14ac:dyDescent="0.25">
      <c r="A2775" s="48" t="s">
        <v>13126</v>
      </c>
      <c r="B2775" t="s">
        <v>13127</v>
      </c>
      <c r="C2775">
        <v>4</v>
      </c>
    </row>
    <row r="2776" spans="1:3" x14ac:dyDescent="0.25">
      <c r="A2776" s="48" t="s">
        <v>13128</v>
      </c>
      <c r="B2776" t="s">
        <v>13129</v>
      </c>
      <c r="C2776">
        <v>0</v>
      </c>
    </row>
    <row r="2777" spans="1:3" x14ac:dyDescent="0.25">
      <c r="A2777" s="48" t="s">
        <v>13132</v>
      </c>
      <c r="B2777" t="s">
        <v>13133</v>
      </c>
      <c r="C2777">
        <v>0</v>
      </c>
    </row>
    <row r="2778" spans="1:3" x14ac:dyDescent="0.25">
      <c r="A2778" s="48" t="s">
        <v>13138</v>
      </c>
      <c r="B2778" t="s">
        <v>13139</v>
      </c>
      <c r="C2778">
        <v>1</v>
      </c>
    </row>
    <row r="2779" spans="1:3" x14ac:dyDescent="0.25">
      <c r="A2779" s="48" t="s">
        <v>13142</v>
      </c>
      <c r="B2779" t="s">
        <v>13143</v>
      </c>
      <c r="C2779">
        <v>5</v>
      </c>
    </row>
    <row r="2780" spans="1:3" x14ac:dyDescent="0.25">
      <c r="A2780" s="48" t="s">
        <v>13146</v>
      </c>
      <c r="B2780" t="s">
        <v>13147</v>
      </c>
      <c r="C2780">
        <v>1</v>
      </c>
    </row>
    <row r="2781" spans="1:3" x14ac:dyDescent="0.25">
      <c r="A2781" s="48" t="s">
        <v>13148</v>
      </c>
      <c r="B2781" t="s">
        <v>13149</v>
      </c>
      <c r="C2781">
        <v>0</v>
      </c>
    </row>
    <row r="2782" spans="1:3" x14ac:dyDescent="0.25">
      <c r="A2782" s="48" t="s">
        <v>13150</v>
      </c>
      <c r="B2782" t="s">
        <v>13151</v>
      </c>
      <c r="C2782">
        <v>0</v>
      </c>
    </row>
    <row r="2783" spans="1:3" x14ac:dyDescent="0.25">
      <c r="A2783" s="48" t="s">
        <v>13152</v>
      </c>
      <c r="B2783" t="s">
        <v>13153</v>
      </c>
      <c r="C2783">
        <v>0</v>
      </c>
    </row>
    <row r="2784" spans="1:3" x14ac:dyDescent="0.25">
      <c r="A2784" s="48" t="s">
        <v>13144</v>
      </c>
      <c r="B2784" t="s">
        <v>13145</v>
      </c>
      <c r="C2784">
        <v>9</v>
      </c>
    </row>
    <row r="2785" spans="1:3" x14ac:dyDescent="0.25">
      <c r="A2785" s="48" t="s">
        <v>13156</v>
      </c>
      <c r="B2785" t="s">
        <v>13157</v>
      </c>
      <c r="C2785">
        <v>0</v>
      </c>
    </row>
    <row r="2786" spans="1:3" x14ac:dyDescent="0.25">
      <c r="A2786" s="48" t="s">
        <v>13120</v>
      </c>
      <c r="B2786" t="s">
        <v>13121</v>
      </c>
      <c r="C2786">
        <v>0</v>
      </c>
    </row>
    <row r="2787" spans="1:3" x14ac:dyDescent="0.25">
      <c r="A2787" s="48" t="s">
        <v>13134</v>
      </c>
      <c r="B2787" t="s">
        <v>13135</v>
      </c>
      <c r="C2787">
        <v>16</v>
      </c>
    </row>
    <row r="2788" spans="1:3" x14ac:dyDescent="0.25">
      <c r="A2788" s="48" t="s">
        <v>13124</v>
      </c>
      <c r="B2788" t="s">
        <v>13125</v>
      </c>
      <c r="C2788">
        <v>0</v>
      </c>
    </row>
    <row r="2789" spans="1:3" x14ac:dyDescent="0.25">
      <c r="A2789" s="48" t="s">
        <v>13136</v>
      </c>
      <c r="B2789" t="s">
        <v>13137</v>
      </c>
      <c r="C2789">
        <v>0</v>
      </c>
    </row>
    <row r="2790" spans="1:3" x14ac:dyDescent="0.25">
      <c r="A2790" s="48" t="s">
        <v>13244</v>
      </c>
      <c r="B2790" t="s">
        <v>13245</v>
      </c>
      <c r="C2790">
        <v>0</v>
      </c>
    </row>
    <row r="2791" spans="1:3" x14ac:dyDescent="0.25">
      <c r="A2791" s="48" t="s">
        <v>13214</v>
      </c>
      <c r="B2791" t="s">
        <v>13215</v>
      </c>
      <c r="C2791">
        <v>0</v>
      </c>
    </row>
    <row r="2792" spans="1:3" x14ac:dyDescent="0.25">
      <c r="A2792" s="48" t="s">
        <v>13122</v>
      </c>
      <c r="B2792" t="s">
        <v>13123</v>
      </c>
      <c r="C2792">
        <v>3</v>
      </c>
    </row>
    <row r="2793" spans="1:3" x14ac:dyDescent="0.25">
      <c r="A2793" s="48" t="s">
        <v>13196</v>
      </c>
      <c r="B2793" t="s">
        <v>13197</v>
      </c>
      <c r="C2793">
        <v>0</v>
      </c>
    </row>
    <row r="2794" spans="1:3" x14ac:dyDescent="0.25">
      <c r="A2794" s="48" t="s">
        <v>13224</v>
      </c>
      <c r="B2794" t="s">
        <v>13225</v>
      </c>
      <c r="C2794">
        <v>0</v>
      </c>
    </row>
    <row r="2795" spans="1:3" x14ac:dyDescent="0.25">
      <c r="A2795" s="48" t="s">
        <v>13130</v>
      </c>
      <c r="B2795" t="s">
        <v>13131</v>
      </c>
      <c r="C2795">
        <v>0</v>
      </c>
    </row>
    <row r="2796" spans="1:3" x14ac:dyDescent="0.25">
      <c r="A2796" s="48" t="s">
        <v>5475</v>
      </c>
      <c r="B2796" t="s">
        <v>5476</v>
      </c>
      <c r="C2796">
        <v>3</v>
      </c>
    </row>
    <row r="2797" spans="1:3" x14ac:dyDescent="0.25">
      <c r="A2797" s="48" t="s">
        <v>5485</v>
      </c>
      <c r="B2797" t="s">
        <v>5486</v>
      </c>
      <c r="C2797">
        <v>0</v>
      </c>
    </row>
    <row r="2798" spans="1:3" x14ac:dyDescent="0.25">
      <c r="A2798" s="48" t="s">
        <v>5491</v>
      </c>
      <c r="B2798" t="s">
        <v>5492</v>
      </c>
      <c r="C2798">
        <v>0</v>
      </c>
    </row>
    <row r="2799" spans="1:3" x14ac:dyDescent="0.25">
      <c r="A2799" s="48" t="s">
        <v>5499</v>
      </c>
      <c r="B2799" t="s">
        <v>5500</v>
      </c>
      <c r="C2799">
        <v>2</v>
      </c>
    </row>
    <row r="2800" spans="1:3" x14ac:dyDescent="0.25">
      <c r="A2800" s="48" t="s">
        <v>5503</v>
      </c>
      <c r="B2800" t="s">
        <v>5504</v>
      </c>
      <c r="C2800">
        <v>1</v>
      </c>
    </row>
    <row r="2801" spans="1:3" x14ac:dyDescent="0.25">
      <c r="A2801" s="48" t="s">
        <v>5507</v>
      </c>
      <c r="B2801" t="s">
        <v>5508</v>
      </c>
      <c r="C2801">
        <v>1</v>
      </c>
    </row>
    <row r="2802" spans="1:3" x14ac:dyDescent="0.25">
      <c r="A2802" s="48" t="s">
        <v>5513</v>
      </c>
      <c r="B2802" t="s">
        <v>5514</v>
      </c>
      <c r="C2802">
        <v>0</v>
      </c>
    </row>
    <row r="2803" spans="1:3" x14ac:dyDescent="0.25">
      <c r="A2803" s="48" t="s">
        <v>5517</v>
      </c>
      <c r="B2803" t="s">
        <v>5518</v>
      </c>
      <c r="C2803">
        <v>0</v>
      </c>
    </row>
    <row r="2804" spans="1:3" x14ac:dyDescent="0.25">
      <c r="A2804" s="48" t="s">
        <v>5523</v>
      </c>
      <c r="B2804" t="s">
        <v>5524</v>
      </c>
      <c r="C2804">
        <v>0</v>
      </c>
    </row>
    <row r="2805" spans="1:3" x14ac:dyDescent="0.25">
      <c r="A2805" s="48" t="s">
        <v>5527</v>
      </c>
      <c r="B2805" t="s">
        <v>5528</v>
      </c>
      <c r="C2805">
        <v>1</v>
      </c>
    </row>
    <row r="2806" spans="1:3" x14ac:dyDescent="0.25">
      <c r="A2806" s="48" t="s">
        <v>5533</v>
      </c>
      <c r="B2806" t="s">
        <v>5534</v>
      </c>
      <c r="C2806">
        <v>1</v>
      </c>
    </row>
    <row r="2807" spans="1:3" x14ac:dyDescent="0.25">
      <c r="A2807" s="48" t="s">
        <v>5539</v>
      </c>
      <c r="B2807" t="s">
        <v>5540</v>
      </c>
      <c r="C2807">
        <v>1</v>
      </c>
    </row>
    <row r="2808" spans="1:3" x14ac:dyDescent="0.25">
      <c r="A2808" s="48" t="s">
        <v>5545</v>
      </c>
      <c r="B2808" t="s">
        <v>5546</v>
      </c>
      <c r="C2808">
        <v>0</v>
      </c>
    </row>
    <row r="2809" spans="1:3" x14ac:dyDescent="0.25">
      <c r="A2809" s="48" t="s">
        <v>5549</v>
      </c>
      <c r="B2809" t="s">
        <v>5550</v>
      </c>
      <c r="C2809">
        <v>1</v>
      </c>
    </row>
    <row r="2810" spans="1:3" x14ac:dyDescent="0.25">
      <c r="A2810" s="48" t="s">
        <v>5557</v>
      </c>
      <c r="B2810" t="s">
        <v>5558</v>
      </c>
      <c r="C2810">
        <v>1</v>
      </c>
    </row>
    <row r="2811" spans="1:3" x14ac:dyDescent="0.25">
      <c r="A2811" s="48" t="s">
        <v>5561</v>
      </c>
      <c r="B2811" t="s">
        <v>5562</v>
      </c>
      <c r="C2811">
        <v>0</v>
      </c>
    </row>
    <row r="2812" spans="1:3" x14ac:dyDescent="0.25">
      <c r="A2812" s="48" t="s">
        <v>5565</v>
      </c>
      <c r="B2812" t="s">
        <v>5566</v>
      </c>
      <c r="C2812">
        <v>1</v>
      </c>
    </row>
    <row r="2813" spans="1:3" x14ac:dyDescent="0.25">
      <c r="A2813" s="48" t="s">
        <v>5573</v>
      </c>
      <c r="B2813" t="s">
        <v>5574</v>
      </c>
      <c r="C2813">
        <v>1</v>
      </c>
    </row>
    <row r="2814" spans="1:3" x14ac:dyDescent="0.25">
      <c r="A2814" s="48" t="s">
        <v>5577</v>
      </c>
      <c r="B2814" t="s">
        <v>5578</v>
      </c>
      <c r="C2814">
        <v>1</v>
      </c>
    </row>
    <row r="2815" spans="1:3" x14ac:dyDescent="0.25">
      <c r="A2815" s="48" t="s">
        <v>5583</v>
      </c>
      <c r="B2815" t="s">
        <v>5584</v>
      </c>
      <c r="C2815">
        <v>1</v>
      </c>
    </row>
    <row r="2816" spans="1:3" x14ac:dyDescent="0.25">
      <c r="A2816" s="48" t="s">
        <v>5413</v>
      </c>
      <c r="B2816" t="s">
        <v>5414</v>
      </c>
      <c r="C2816">
        <v>0</v>
      </c>
    </row>
    <row r="2817" spans="1:3" x14ac:dyDescent="0.25">
      <c r="A2817" s="48" t="s">
        <v>5419</v>
      </c>
      <c r="B2817" t="s">
        <v>5420</v>
      </c>
      <c r="C2817">
        <v>3</v>
      </c>
    </row>
    <row r="2818" spans="1:3" x14ac:dyDescent="0.25">
      <c r="A2818" s="48" t="s">
        <v>5425</v>
      </c>
      <c r="B2818" t="s">
        <v>5426</v>
      </c>
      <c r="C2818">
        <v>2</v>
      </c>
    </row>
    <row r="2819" spans="1:3" x14ac:dyDescent="0.25">
      <c r="A2819" s="48" t="s">
        <v>6944</v>
      </c>
      <c r="B2819" t="s">
        <v>20610</v>
      </c>
      <c r="C2819">
        <v>0</v>
      </c>
    </row>
    <row r="2820" spans="1:3" x14ac:dyDescent="0.25">
      <c r="A2820" s="48" t="s">
        <v>4996</v>
      </c>
      <c r="B2820" t="s">
        <v>4997</v>
      </c>
      <c r="C2820">
        <v>0</v>
      </c>
    </row>
    <row r="2821" spans="1:3" x14ac:dyDescent="0.25">
      <c r="A2821" s="48" t="s">
        <v>15711</v>
      </c>
      <c r="B2821" t="s">
        <v>20611</v>
      </c>
      <c r="C2821">
        <v>0</v>
      </c>
    </row>
    <row r="2822" spans="1:3" x14ac:dyDescent="0.25">
      <c r="A2822" s="48" t="s">
        <v>6638</v>
      </c>
      <c r="B2822" t="s">
        <v>6639</v>
      </c>
      <c r="C2822">
        <v>0</v>
      </c>
    </row>
    <row r="2823" spans="1:3" x14ac:dyDescent="0.25">
      <c r="A2823" s="48" t="s">
        <v>8824</v>
      </c>
      <c r="B2823" t="s">
        <v>20612</v>
      </c>
      <c r="C2823">
        <v>0</v>
      </c>
    </row>
    <row r="2824" spans="1:3" x14ac:dyDescent="0.25">
      <c r="A2824" s="48" t="s">
        <v>17843</v>
      </c>
      <c r="B2824" t="s">
        <v>20613</v>
      </c>
      <c r="C2824">
        <v>0</v>
      </c>
    </row>
    <row r="2825" spans="1:3" x14ac:dyDescent="0.25">
      <c r="A2825" s="48" t="s">
        <v>17408</v>
      </c>
      <c r="B2825" t="s">
        <v>17409</v>
      </c>
      <c r="C2825">
        <v>7</v>
      </c>
    </row>
    <row r="2826" spans="1:3" x14ac:dyDescent="0.25">
      <c r="A2826" s="48" t="s">
        <v>17412</v>
      </c>
      <c r="B2826" t="s">
        <v>17413</v>
      </c>
      <c r="C2826">
        <v>0</v>
      </c>
    </row>
    <row r="2827" spans="1:3" x14ac:dyDescent="0.25">
      <c r="A2827" s="48" t="s">
        <v>11378</v>
      </c>
      <c r="B2827" t="s">
        <v>11379</v>
      </c>
      <c r="C2827">
        <v>1</v>
      </c>
    </row>
    <row r="2828" spans="1:3" x14ac:dyDescent="0.25">
      <c r="A2828" s="48" t="s">
        <v>11382</v>
      </c>
      <c r="B2828" t="s">
        <v>11383</v>
      </c>
      <c r="C2828">
        <v>2</v>
      </c>
    </row>
    <row r="2829" spans="1:3" x14ac:dyDescent="0.25">
      <c r="A2829" s="48" t="s">
        <v>11386</v>
      </c>
      <c r="B2829" t="s">
        <v>11387</v>
      </c>
      <c r="C2829">
        <v>3</v>
      </c>
    </row>
    <row r="2830" spans="1:3" x14ac:dyDescent="0.25">
      <c r="A2830" s="48" t="s">
        <v>11390</v>
      </c>
      <c r="B2830" t="s">
        <v>11391</v>
      </c>
      <c r="C2830">
        <v>0</v>
      </c>
    </row>
    <row r="2831" spans="1:3" x14ac:dyDescent="0.25">
      <c r="A2831" s="48" t="s">
        <v>11394</v>
      </c>
      <c r="B2831" t="s">
        <v>11395</v>
      </c>
      <c r="C2831">
        <v>7</v>
      </c>
    </row>
    <row r="2832" spans="1:3" x14ac:dyDescent="0.25">
      <c r="A2832" s="48" t="s">
        <v>5675</v>
      </c>
      <c r="B2832" t="s">
        <v>5676</v>
      </c>
      <c r="C2832">
        <v>1</v>
      </c>
    </row>
    <row r="2833" spans="1:3" x14ac:dyDescent="0.25">
      <c r="A2833" s="48" t="s">
        <v>5677</v>
      </c>
      <c r="B2833" t="s">
        <v>5678</v>
      </c>
      <c r="C2833">
        <v>0</v>
      </c>
    </row>
    <row r="2834" spans="1:3" x14ac:dyDescent="0.25">
      <c r="A2834" s="48" t="s">
        <v>5679</v>
      </c>
      <c r="B2834" t="s">
        <v>5680</v>
      </c>
      <c r="C2834">
        <v>0</v>
      </c>
    </row>
    <row r="2835" spans="1:3" x14ac:dyDescent="0.25">
      <c r="A2835" s="48" t="s">
        <v>5681</v>
      </c>
      <c r="B2835" t="s">
        <v>5682</v>
      </c>
      <c r="C2835">
        <v>0</v>
      </c>
    </row>
    <row r="2836" spans="1:3" x14ac:dyDescent="0.25">
      <c r="A2836" s="48" t="s">
        <v>5683</v>
      </c>
      <c r="B2836" t="s">
        <v>5684</v>
      </c>
      <c r="C2836">
        <v>0</v>
      </c>
    </row>
    <row r="2837" spans="1:3" x14ac:dyDescent="0.25">
      <c r="A2837" s="48" t="s">
        <v>15094</v>
      </c>
      <c r="B2837" t="s">
        <v>15095</v>
      </c>
      <c r="C2837">
        <v>21</v>
      </c>
    </row>
    <row r="2838" spans="1:3" x14ac:dyDescent="0.25">
      <c r="A2838" s="48" t="s">
        <v>15096</v>
      </c>
      <c r="B2838" t="s">
        <v>15097</v>
      </c>
      <c r="C2838">
        <v>6</v>
      </c>
    </row>
    <row r="2839" spans="1:3" x14ac:dyDescent="0.25">
      <c r="A2839" s="48" t="s">
        <v>7919</v>
      </c>
      <c r="B2839" t="s">
        <v>7920</v>
      </c>
      <c r="C2839">
        <v>0</v>
      </c>
    </row>
    <row r="2840" spans="1:3" x14ac:dyDescent="0.25">
      <c r="A2840" s="48" t="s">
        <v>7921</v>
      </c>
      <c r="B2840" t="s">
        <v>7922</v>
      </c>
      <c r="C2840">
        <v>23</v>
      </c>
    </row>
    <row r="2841" spans="1:3" x14ac:dyDescent="0.25">
      <c r="A2841" s="48" t="s">
        <v>14098</v>
      </c>
      <c r="B2841" t="s">
        <v>20614</v>
      </c>
      <c r="C2841">
        <v>0</v>
      </c>
    </row>
    <row r="2842" spans="1:3" x14ac:dyDescent="0.25">
      <c r="A2842" s="48" t="s">
        <v>16546</v>
      </c>
      <c r="B2842" t="s">
        <v>20615</v>
      </c>
      <c r="C2842">
        <v>0</v>
      </c>
    </row>
    <row r="2843" spans="1:3" x14ac:dyDescent="0.25">
      <c r="A2843" s="48" t="s">
        <v>16724</v>
      </c>
      <c r="B2843" t="s">
        <v>20616</v>
      </c>
      <c r="C2843">
        <v>0</v>
      </c>
    </row>
    <row r="2844" spans="1:3" x14ac:dyDescent="0.25">
      <c r="A2844" s="48" t="s">
        <v>4465</v>
      </c>
      <c r="B2844" t="s">
        <v>23023</v>
      </c>
      <c r="C2844">
        <v>4</v>
      </c>
    </row>
    <row r="2845" spans="1:3" x14ac:dyDescent="0.25">
      <c r="A2845" s="48" t="s">
        <v>4455</v>
      </c>
      <c r="B2845" t="s">
        <v>23024</v>
      </c>
      <c r="C2845">
        <v>135</v>
      </c>
    </row>
    <row r="2846" spans="1:3" x14ac:dyDescent="0.25">
      <c r="A2846" s="48" t="s">
        <v>4473</v>
      </c>
      <c r="B2846" t="s">
        <v>23025</v>
      </c>
      <c r="C2846">
        <v>126</v>
      </c>
    </row>
    <row r="2847" spans="1:3" x14ac:dyDescent="0.25">
      <c r="A2847" s="48" t="s">
        <v>4469</v>
      </c>
      <c r="B2847" t="s">
        <v>23026</v>
      </c>
      <c r="C2847">
        <v>111</v>
      </c>
    </row>
    <row r="2848" spans="1:3" x14ac:dyDescent="0.25">
      <c r="A2848" s="48" t="s">
        <v>4457</v>
      </c>
      <c r="B2848" t="s">
        <v>23027</v>
      </c>
      <c r="C2848">
        <v>118</v>
      </c>
    </row>
    <row r="2849" spans="1:3" x14ac:dyDescent="0.25">
      <c r="A2849" s="48" t="s">
        <v>4475</v>
      </c>
      <c r="B2849" t="s">
        <v>23028</v>
      </c>
      <c r="C2849">
        <v>55</v>
      </c>
    </row>
    <row r="2850" spans="1:3" x14ac:dyDescent="0.25">
      <c r="A2850" s="48" t="s">
        <v>4459</v>
      </c>
      <c r="B2850" t="s">
        <v>23029</v>
      </c>
      <c r="C2850">
        <v>126</v>
      </c>
    </row>
    <row r="2851" spans="1:3" x14ac:dyDescent="0.25">
      <c r="A2851" s="48" t="s">
        <v>4092</v>
      </c>
      <c r="B2851" t="s">
        <v>4093</v>
      </c>
      <c r="C2851">
        <v>0</v>
      </c>
    </row>
    <row r="2852" spans="1:3" x14ac:dyDescent="0.25">
      <c r="A2852" s="48" t="s">
        <v>4124</v>
      </c>
      <c r="B2852" t="s">
        <v>4125</v>
      </c>
      <c r="C2852">
        <v>59</v>
      </c>
    </row>
    <row r="2853" spans="1:3" x14ac:dyDescent="0.25">
      <c r="A2853" s="48" t="s">
        <v>4479</v>
      </c>
      <c r="B2853" t="s">
        <v>23035</v>
      </c>
      <c r="C2853">
        <v>0</v>
      </c>
    </row>
    <row r="2854" spans="1:3" x14ac:dyDescent="0.25">
      <c r="A2854" s="48" t="s">
        <v>4481</v>
      </c>
      <c r="B2854" t="s">
        <v>23036</v>
      </c>
      <c r="C2854">
        <v>100</v>
      </c>
    </row>
    <row r="2855" spans="1:3" x14ac:dyDescent="0.25">
      <c r="A2855" s="48" t="s">
        <v>4491</v>
      </c>
      <c r="B2855" t="s">
        <v>4492</v>
      </c>
      <c r="C2855">
        <v>183</v>
      </c>
    </row>
    <row r="2856" spans="1:3" x14ac:dyDescent="0.25">
      <c r="A2856" s="48" t="s">
        <v>15100</v>
      </c>
      <c r="B2856" t="s">
        <v>15101</v>
      </c>
      <c r="C2856">
        <v>0</v>
      </c>
    </row>
    <row r="2857" spans="1:3" x14ac:dyDescent="0.25">
      <c r="A2857" s="48" t="s">
        <v>15102</v>
      </c>
      <c r="B2857" t="s">
        <v>15103</v>
      </c>
      <c r="C2857">
        <v>8</v>
      </c>
    </row>
    <row r="2858" spans="1:3" x14ac:dyDescent="0.25">
      <c r="A2858" s="48" t="s">
        <v>15104</v>
      </c>
      <c r="B2858" t="s">
        <v>15105</v>
      </c>
      <c r="C2858">
        <v>7</v>
      </c>
    </row>
    <row r="2859" spans="1:3" x14ac:dyDescent="0.25">
      <c r="A2859" s="48" t="s">
        <v>15108</v>
      </c>
      <c r="B2859" t="s">
        <v>15109</v>
      </c>
      <c r="C2859">
        <v>2</v>
      </c>
    </row>
    <row r="2860" spans="1:3" x14ac:dyDescent="0.25">
      <c r="A2860" s="48" t="s">
        <v>15112</v>
      </c>
      <c r="B2860" t="s">
        <v>15113</v>
      </c>
      <c r="C2860">
        <v>9</v>
      </c>
    </row>
    <row r="2861" spans="1:3" x14ac:dyDescent="0.25">
      <c r="A2861" s="48" t="s">
        <v>14344</v>
      </c>
      <c r="B2861" t="s">
        <v>20617</v>
      </c>
      <c r="C2861">
        <v>0</v>
      </c>
    </row>
    <row r="2862" spans="1:3" x14ac:dyDescent="0.25">
      <c r="A2862" s="48" t="s">
        <v>1968</v>
      </c>
      <c r="B2862" t="s">
        <v>1969</v>
      </c>
      <c r="C2862">
        <v>19</v>
      </c>
    </row>
    <row r="2863" spans="1:3" x14ac:dyDescent="0.25">
      <c r="A2863" s="48" t="s">
        <v>12439</v>
      </c>
      <c r="B2863" t="s">
        <v>20618</v>
      </c>
      <c r="C2863">
        <v>26</v>
      </c>
    </row>
    <row r="2864" spans="1:3" x14ac:dyDescent="0.25">
      <c r="A2864" s="48" t="s">
        <v>18602</v>
      </c>
      <c r="B2864" t="s">
        <v>18603</v>
      </c>
      <c r="C2864">
        <v>0</v>
      </c>
    </row>
    <row r="2865" spans="1:3" x14ac:dyDescent="0.25">
      <c r="A2865" s="48" t="s">
        <v>18600</v>
      </c>
      <c r="B2865" t="s">
        <v>18601</v>
      </c>
      <c r="C2865">
        <v>0</v>
      </c>
    </row>
    <row r="2866" spans="1:3" x14ac:dyDescent="0.25">
      <c r="A2866" s="48" t="s">
        <v>18608</v>
      </c>
      <c r="B2866" t="s">
        <v>18609</v>
      </c>
      <c r="C2866">
        <v>0</v>
      </c>
    </row>
    <row r="2867" spans="1:3" x14ac:dyDescent="0.25">
      <c r="A2867" s="48" t="s">
        <v>18606</v>
      </c>
      <c r="B2867" t="s">
        <v>18607</v>
      </c>
      <c r="C2867">
        <v>0</v>
      </c>
    </row>
    <row r="2868" spans="1:3" x14ac:dyDescent="0.25">
      <c r="A2868" s="48" t="s">
        <v>18622</v>
      </c>
      <c r="B2868" t="s">
        <v>18623</v>
      </c>
      <c r="C2868">
        <v>43</v>
      </c>
    </row>
    <row r="2869" spans="1:3" x14ac:dyDescent="0.25">
      <c r="A2869" s="48" t="s">
        <v>18616</v>
      </c>
      <c r="B2869" t="s">
        <v>18617</v>
      </c>
      <c r="C2869">
        <v>2</v>
      </c>
    </row>
    <row r="2870" spans="1:3" x14ac:dyDescent="0.25">
      <c r="A2870" s="48" t="s">
        <v>14551</v>
      </c>
      <c r="B2870" t="s">
        <v>20619</v>
      </c>
      <c r="C2870">
        <v>0</v>
      </c>
    </row>
    <row r="2871" spans="1:3" x14ac:dyDescent="0.25">
      <c r="A2871" s="48" t="s">
        <v>377</v>
      </c>
      <c r="B2871" t="s">
        <v>378</v>
      </c>
      <c r="C2871">
        <v>0</v>
      </c>
    </row>
    <row r="2872" spans="1:3" x14ac:dyDescent="0.25">
      <c r="A2872" s="48" t="s">
        <v>12443</v>
      </c>
      <c r="B2872" t="s">
        <v>20620</v>
      </c>
      <c r="C2872">
        <v>19</v>
      </c>
    </row>
    <row r="2873" spans="1:3" x14ac:dyDescent="0.25">
      <c r="A2873" s="48" t="s">
        <v>12435</v>
      </c>
      <c r="B2873" t="s">
        <v>20621</v>
      </c>
      <c r="C2873">
        <v>1</v>
      </c>
    </row>
    <row r="2874" spans="1:3" x14ac:dyDescent="0.25">
      <c r="A2874" s="48" t="s">
        <v>18618</v>
      </c>
      <c r="B2874" t="s">
        <v>18619</v>
      </c>
      <c r="C2874">
        <v>48</v>
      </c>
    </row>
    <row r="2875" spans="1:3" x14ac:dyDescent="0.25">
      <c r="A2875" s="48" t="s">
        <v>18624</v>
      </c>
      <c r="B2875" t="s">
        <v>18625</v>
      </c>
      <c r="C2875">
        <v>3</v>
      </c>
    </row>
    <row r="2876" spans="1:3" x14ac:dyDescent="0.25">
      <c r="A2876" s="48" t="s">
        <v>16542</v>
      </c>
      <c r="B2876" t="s">
        <v>20622</v>
      </c>
      <c r="C2876">
        <v>3</v>
      </c>
    </row>
    <row r="2877" spans="1:3" x14ac:dyDescent="0.25">
      <c r="A2877" s="48" t="s">
        <v>16562</v>
      </c>
      <c r="B2877" t="s">
        <v>20623</v>
      </c>
      <c r="C2877">
        <v>12</v>
      </c>
    </row>
    <row r="2878" spans="1:3" x14ac:dyDescent="0.25">
      <c r="A2878" s="48" t="s">
        <v>16560</v>
      </c>
      <c r="B2878" t="s">
        <v>20624</v>
      </c>
      <c r="C2878">
        <v>12</v>
      </c>
    </row>
    <row r="2879" spans="1:3" x14ac:dyDescent="0.25">
      <c r="A2879" s="48" t="s">
        <v>16564</v>
      </c>
      <c r="B2879" t="s">
        <v>20625</v>
      </c>
      <c r="C2879">
        <v>0</v>
      </c>
    </row>
    <row r="2880" spans="1:3" x14ac:dyDescent="0.25">
      <c r="A2880" s="48" t="s">
        <v>6502</v>
      </c>
      <c r="B2880" t="s">
        <v>20626</v>
      </c>
      <c r="C2880">
        <v>0</v>
      </c>
    </row>
    <row r="2881" spans="1:3" x14ac:dyDescent="0.25">
      <c r="A2881" s="48" t="s">
        <v>4822</v>
      </c>
      <c r="B2881" t="s">
        <v>4823</v>
      </c>
      <c r="C2881">
        <v>0</v>
      </c>
    </row>
    <row r="2882" spans="1:3" x14ac:dyDescent="0.25">
      <c r="A2882" s="48" t="s">
        <v>4820</v>
      </c>
      <c r="B2882" t="s">
        <v>4821</v>
      </c>
      <c r="C2882">
        <v>0</v>
      </c>
    </row>
    <row r="2883" spans="1:3" x14ac:dyDescent="0.25">
      <c r="A2883" s="48" t="s">
        <v>15082</v>
      </c>
      <c r="B2883" t="s">
        <v>15083</v>
      </c>
      <c r="C2883">
        <v>0</v>
      </c>
    </row>
    <row r="2884" spans="1:3" x14ac:dyDescent="0.25">
      <c r="A2884" s="48" t="s">
        <v>163</v>
      </c>
      <c r="B2884" t="s">
        <v>164</v>
      </c>
      <c r="C2884">
        <v>26</v>
      </c>
    </row>
    <row r="2885" spans="1:3" x14ac:dyDescent="0.25">
      <c r="A2885" s="48" t="s">
        <v>1723</v>
      </c>
      <c r="B2885" t="s">
        <v>1724</v>
      </c>
      <c r="C2885">
        <v>10</v>
      </c>
    </row>
    <row r="2886" spans="1:3" x14ac:dyDescent="0.25">
      <c r="A2886" s="48" t="s">
        <v>937</v>
      </c>
      <c r="B2886" t="s">
        <v>938</v>
      </c>
      <c r="C2886">
        <v>16</v>
      </c>
    </row>
    <row r="2887" spans="1:3" x14ac:dyDescent="0.25">
      <c r="A2887" s="48" t="s">
        <v>4467</v>
      </c>
      <c r="B2887" t="s">
        <v>23030</v>
      </c>
      <c r="C2887">
        <v>165</v>
      </c>
    </row>
    <row r="2888" spans="1:3" x14ac:dyDescent="0.25">
      <c r="A2888" s="48" t="s">
        <v>4088</v>
      </c>
      <c r="B2888" t="s">
        <v>4089</v>
      </c>
      <c r="C2888">
        <v>142</v>
      </c>
    </row>
    <row r="2889" spans="1:3" x14ac:dyDescent="0.25">
      <c r="A2889" s="48" t="s">
        <v>19597</v>
      </c>
      <c r="B2889" t="s">
        <v>19598</v>
      </c>
      <c r="C2889">
        <v>45</v>
      </c>
    </row>
    <row r="2890" spans="1:3" x14ac:dyDescent="0.25">
      <c r="A2890" s="48" t="s">
        <v>19021</v>
      </c>
      <c r="B2890" t="s">
        <v>19022</v>
      </c>
      <c r="C2890">
        <v>0</v>
      </c>
    </row>
    <row r="2891" spans="1:3" x14ac:dyDescent="0.25">
      <c r="A2891" s="48" t="s">
        <v>4090</v>
      </c>
      <c r="B2891" t="s">
        <v>4091</v>
      </c>
      <c r="C2891">
        <v>231</v>
      </c>
    </row>
    <row r="2892" spans="1:3" x14ac:dyDescent="0.25">
      <c r="A2892" s="48" t="s">
        <v>4394</v>
      </c>
      <c r="B2892" t="s">
        <v>23031</v>
      </c>
      <c r="C2892">
        <v>253</v>
      </c>
    </row>
    <row r="2893" spans="1:3" x14ac:dyDescent="0.25">
      <c r="A2893" s="48" t="s">
        <v>4392</v>
      </c>
      <c r="B2893" t="s">
        <v>23032</v>
      </c>
      <c r="C2893">
        <v>407</v>
      </c>
    </row>
    <row r="2894" spans="1:3" x14ac:dyDescent="0.25">
      <c r="A2894" s="48" t="s">
        <v>904</v>
      </c>
      <c r="B2894" t="s">
        <v>905</v>
      </c>
      <c r="C2894">
        <v>3</v>
      </c>
    </row>
    <row r="2895" spans="1:3" x14ac:dyDescent="0.25">
      <c r="A2895" s="48" t="s">
        <v>8455</v>
      </c>
      <c r="B2895" t="s">
        <v>20627</v>
      </c>
      <c r="C2895">
        <v>0</v>
      </c>
    </row>
    <row r="2896" spans="1:3" x14ac:dyDescent="0.25">
      <c r="A2896" s="48" t="s">
        <v>7975</v>
      </c>
      <c r="B2896" t="s">
        <v>20628</v>
      </c>
      <c r="C2896">
        <v>0</v>
      </c>
    </row>
    <row r="2897" spans="1:3" x14ac:dyDescent="0.25">
      <c r="A2897" s="48" t="s">
        <v>19346</v>
      </c>
      <c r="B2897" t="s">
        <v>20629</v>
      </c>
      <c r="C2897">
        <v>0</v>
      </c>
    </row>
    <row r="2898" spans="1:3" x14ac:dyDescent="0.25">
      <c r="A2898" s="48" t="s">
        <v>19342</v>
      </c>
      <c r="B2898" t="s">
        <v>20630</v>
      </c>
      <c r="C2898">
        <v>0</v>
      </c>
    </row>
    <row r="2899" spans="1:3" x14ac:dyDescent="0.25">
      <c r="A2899" s="48" t="s">
        <v>19350</v>
      </c>
      <c r="B2899" t="s">
        <v>20631</v>
      </c>
      <c r="C2899">
        <v>0</v>
      </c>
    </row>
    <row r="2900" spans="1:3" x14ac:dyDescent="0.25">
      <c r="A2900" s="48" t="s">
        <v>19370</v>
      </c>
      <c r="B2900" t="s">
        <v>20632</v>
      </c>
      <c r="C2900">
        <v>0</v>
      </c>
    </row>
    <row r="2901" spans="1:3" x14ac:dyDescent="0.25">
      <c r="A2901" s="48" t="s">
        <v>19398</v>
      </c>
      <c r="B2901" t="s">
        <v>20633</v>
      </c>
      <c r="C2901">
        <v>0</v>
      </c>
    </row>
    <row r="2902" spans="1:3" x14ac:dyDescent="0.25">
      <c r="A2902" s="48" t="s">
        <v>19348</v>
      </c>
      <c r="B2902" t="s">
        <v>20634</v>
      </c>
      <c r="C2902">
        <v>4</v>
      </c>
    </row>
    <row r="2903" spans="1:3" x14ac:dyDescent="0.25">
      <c r="A2903" s="48" t="s">
        <v>19344</v>
      </c>
      <c r="B2903" t="s">
        <v>20635</v>
      </c>
      <c r="C2903">
        <v>2</v>
      </c>
    </row>
    <row r="2904" spans="1:3" x14ac:dyDescent="0.25">
      <c r="A2904" s="48" t="s">
        <v>19352</v>
      </c>
      <c r="B2904" t="s">
        <v>20636</v>
      </c>
      <c r="C2904">
        <v>0</v>
      </c>
    </row>
    <row r="2905" spans="1:3" x14ac:dyDescent="0.25">
      <c r="A2905" s="48" t="s">
        <v>19362</v>
      </c>
      <c r="B2905" t="s">
        <v>20637</v>
      </c>
      <c r="C2905">
        <v>0</v>
      </c>
    </row>
    <row r="2906" spans="1:3" x14ac:dyDescent="0.25">
      <c r="A2906" s="48" t="s">
        <v>19366</v>
      </c>
      <c r="B2906" t="s">
        <v>20638</v>
      </c>
      <c r="C2906">
        <v>0</v>
      </c>
    </row>
    <row r="2907" spans="1:3" x14ac:dyDescent="0.25">
      <c r="A2907" s="48" t="s">
        <v>19368</v>
      </c>
      <c r="B2907" t="s">
        <v>20639</v>
      </c>
      <c r="C2907">
        <v>0</v>
      </c>
    </row>
    <row r="2908" spans="1:3" x14ac:dyDescent="0.25">
      <c r="A2908" s="48" t="s">
        <v>12075</v>
      </c>
      <c r="B2908" t="s">
        <v>20640</v>
      </c>
      <c r="C2908">
        <v>3</v>
      </c>
    </row>
    <row r="2909" spans="1:3" x14ac:dyDescent="0.25">
      <c r="A2909" s="48" t="s">
        <v>14726</v>
      </c>
      <c r="B2909" t="s">
        <v>20641</v>
      </c>
      <c r="C2909">
        <v>0</v>
      </c>
    </row>
    <row r="2910" spans="1:3" x14ac:dyDescent="0.25">
      <c r="A2910" s="48" t="s">
        <v>14728</v>
      </c>
      <c r="B2910" t="s">
        <v>22901</v>
      </c>
      <c r="C2910">
        <v>0</v>
      </c>
    </row>
    <row r="2911" spans="1:3" x14ac:dyDescent="0.25">
      <c r="A2911" s="48" t="s">
        <v>14730</v>
      </c>
      <c r="B2911" t="s">
        <v>20642</v>
      </c>
      <c r="C2911">
        <v>0</v>
      </c>
    </row>
    <row r="2912" spans="1:3" x14ac:dyDescent="0.25">
      <c r="A2912" s="48" t="s">
        <v>14485</v>
      </c>
      <c r="B2912" t="s">
        <v>20643</v>
      </c>
      <c r="C2912">
        <v>0</v>
      </c>
    </row>
    <row r="2913" spans="1:3" x14ac:dyDescent="0.25">
      <c r="A2913" s="48" t="s">
        <v>14856</v>
      </c>
      <c r="B2913" t="s">
        <v>20644</v>
      </c>
      <c r="C2913">
        <v>5</v>
      </c>
    </row>
    <row r="2914" spans="1:3" x14ac:dyDescent="0.25">
      <c r="A2914" s="48" t="s">
        <v>2675</v>
      </c>
      <c r="B2914" t="s">
        <v>20645</v>
      </c>
      <c r="C2914">
        <v>0</v>
      </c>
    </row>
    <row r="2915" spans="1:3" x14ac:dyDescent="0.25">
      <c r="A2915" s="48" t="s">
        <v>2677</v>
      </c>
      <c r="B2915" t="s">
        <v>20646</v>
      </c>
      <c r="C2915">
        <v>0</v>
      </c>
    </row>
    <row r="2916" spans="1:3" x14ac:dyDescent="0.25">
      <c r="A2916" s="48" t="s">
        <v>10163</v>
      </c>
      <c r="B2916" t="s">
        <v>20647</v>
      </c>
      <c r="C2916">
        <v>1</v>
      </c>
    </row>
    <row r="2917" spans="1:3" x14ac:dyDescent="0.25">
      <c r="A2917" s="48" t="s">
        <v>17098</v>
      </c>
      <c r="B2917" t="s">
        <v>20648</v>
      </c>
      <c r="C2917">
        <v>0</v>
      </c>
    </row>
    <row r="2918" spans="1:3" x14ac:dyDescent="0.25">
      <c r="A2918" s="48" t="s">
        <v>17100</v>
      </c>
      <c r="B2918" t="s">
        <v>20649</v>
      </c>
      <c r="C2918">
        <v>0</v>
      </c>
    </row>
    <row r="2919" spans="1:3" x14ac:dyDescent="0.25">
      <c r="A2919" s="48" t="s">
        <v>19470</v>
      </c>
      <c r="B2919" t="s">
        <v>19471</v>
      </c>
      <c r="C2919">
        <v>1</v>
      </c>
    </row>
    <row r="2920" spans="1:3" x14ac:dyDescent="0.25">
      <c r="A2920" s="48" t="s">
        <v>12129</v>
      </c>
      <c r="B2920" t="s">
        <v>20650</v>
      </c>
      <c r="C2920">
        <v>0</v>
      </c>
    </row>
    <row r="2921" spans="1:3" x14ac:dyDescent="0.25">
      <c r="A2921" s="48" t="s">
        <v>12127</v>
      </c>
      <c r="B2921" t="s">
        <v>20651</v>
      </c>
      <c r="C2921">
        <v>0</v>
      </c>
    </row>
    <row r="2922" spans="1:3" x14ac:dyDescent="0.25">
      <c r="A2922" s="48" t="s">
        <v>8427</v>
      </c>
      <c r="B2922" t="s">
        <v>20652</v>
      </c>
      <c r="C2922">
        <v>0</v>
      </c>
    </row>
    <row r="2923" spans="1:3" x14ac:dyDescent="0.25">
      <c r="A2923" s="48" t="s">
        <v>11750</v>
      </c>
      <c r="B2923" t="s">
        <v>20653</v>
      </c>
      <c r="C2923">
        <v>0</v>
      </c>
    </row>
    <row r="2924" spans="1:3" x14ac:dyDescent="0.25">
      <c r="A2924" s="48" t="s">
        <v>12085</v>
      </c>
      <c r="B2924" t="s">
        <v>20654</v>
      </c>
      <c r="C2924">
        <v>1</v>
      </c>
    </row>
    <row r="2925" spans="1:3" x14ac:dyDescent="0.25">
      <c r="A2925" s="48" t="s">
        <v>12089</v>
      </c>
      <c r="B2925" t="s">
        <v>20655</v>
      </c>
      <c r="C2925">
        <v>0</v>
      </c>
    </row>
    <row r="2926" spans="1:3" x14ac:dyDescent="0.25">
      <c r="A2926" s="48" t="s">
        <v>12093</v>
      </c>
      <c r="B2926" t="s">
        <v>20656</v>
      </c>
      <c r="C2926">
        <v>5</v>
      </c>
    </row>
    <row r="2927" spans="1:3" x14ac:dyDescent="0.25">
      <c r="A2927" s="48" t="s">
        <v>12079</v>
      </c>
      <c r="B2927" t="s">
        <v>20657</v>
      </c>
      <c r="C2927">
        <v>0</v>
      </c>
    </row>
    <row r="2928" spans="1:3" x14ac:dyDescent="0.25">
      <c r="A2928" s="48" t="s">
        <v>8451</v>
      </c>
      <c r="B2928" t="s">
        <v>20658</v>
      </c>
      <c r="C2928">
        <v>0</v>
      </c>
    </row>
    <row r="2929" spans="1:3" x14ac:dyDescent="0.25">
      <c r="A2929" s="48" t="s">
        <v>19698</v>
      </c>
      <c r="B2929" t="s">
        <v>20659</v>
      </c>
      <c r="C2929">
        <v>0</v>
      </c>
    </row>
    <row r="2930" spans="1:3" x14ac:dyDescent="0.25">
      <c r="A2930" s="48" t="s">
        <v>12479</v>
      </c>
      <c r="B2930" t="s">
        <v>20660</v>
      </c>
      <c r="C2930">
        <v>0</v>
      </c>
    </row>
    <row r="2931" spans="1:3" x14ac:dyDescent="0.25">
      <c r="A2931" s="48" t="s">
        <v>8453</v>
      </c>
      <c r="B2931" t="s">
        <v>20661</v>
      </c>
      <c r="C2931">
        <v>1</v>
      </c>
    </row>
    <row r="2932" spans="1:3" x14ac:dyDescent="0.25">
      <c r="A2932" s="48" t="s">
        <v>19374</v>
      </c>
      <c r="B2932" t="s">
        <v>20662</v>
      </c>
      <c r="C2932">
        <v>0</v>
      </c>
    </row>
    <row r="2933" spans="1:3" x14ac:dyDescent="0.25">
      <c r="A2933" s="48" t="s">
        <v>19400</v>
      </c>
      <c r="B2933" t="s">
        <v>20663</v>
      </c>
      <c r="C2933">
        <v>0</v>
      </c>
    </row>
    <row r="2934" spans="1:3" x14ac:dyDescent="0.25">
      <c r="A2934" s="48" t="s">
        <v>19376</v>
      </c>
      <c r="B2934" t="s">
        <v>20664</v>
      </c>
      <c r="C2934">
        <v>0</v>
      </c>
    </row>
    <row r="2935" spans="1:3" x14ac:dyDescent="0.25">
      <c r="A2935" s="48" t="s">
        <v>19378</v>
      </c>
      <c r="B2935" t="s">
        <v>20665</v>
      </c>
      <c r="C2935">
        <v>0</v>
      </c>
    </row>
    <row r="2936" spans="1:3" x14ac:dyDescent="0.25">
      <c r="A2936" s="48" t="s">
        <v>19372</v>
      </c>
      <c r="B2936" t="s">
        <v>20666</v>
      </c>
      <c r="C2936">
        <v>0</v>
      </c>
    </row>
    <row r="2937" spans="1:3" x14ac:dyDescent="0.25">
      <c r="A2937" s="48" t="s">
        <v>4130</v>
      </c>
      <c r="B2937" t="s">
        <v>4131</v>
      </c>
      <c r="C2937">
        <v>15</v>
      </c>
    </row>
    <row r="2938" spans="1:3" x14ac:dyDescent="0.25">
      <c r="A2938" s="48" t="s">
        <v>5791</v>
      </c>
      <c r="B2938" t="s">
        <v>5792</v>
      </c>
      <c r="C2938">
        <v>0</v>
      </c>
    </row>
    <row r="2939" spans="1:3" x14ac:dyDescent="0.25">
      <c r="A2939" s="48" t="s">
        <v>5793</v>
      </c>
      <c r="B2939" t="s">
        <v>5794</v>
      </c>
      <c r="C2939">
        <v>0</v>
      </c>
    </row>
    <row r="2940" spans="1:3" x14ac:dyDescent="0.25">
      <c r="A2940" s="48" t="s">
        <v>19380</v>
      </c>
      <c r="B2940" t="s">
        <v>20667</v>
      </c>
      <c r="C2940">
        <v>0</v>
      </c>
    </row>
    <row r="2941" spans="1:3" x14ac:dyDescent="0.25">
      <c r="A2941" s="48" t="s">
        <v>19364</v>
      </c>
      <c r="B2941" t="s">
        <v>20668</v>
      </c>
      <c r="C2941">
        <v>0</v>
      </c>
    </row>
    <row r="2942" spans="1:3" x14ac:dyDescent="0.25">
      <c r="A2942" s="48" t="s">
        <v>7702</v>
      </c>
      <c r="B2942" t="s">
        <v>7703</v>
      </c>
      <c r="C2942">
        <v>0</v>
      </c>
    </row>
    <row r="2943" spans="1:3" x14ac:dyDescent="0.25">
      <c r="A2943" s="48" t="s">
        <v>7704</v>
      </c>
      <c r="B2943" t="s">
        <v>7705</v>
      </c>
      <c r="C2943">
        <v>0</v>
      </c>
    </row>
    <row r="2944" spans="1:3" x14ac:dyDescent="0.25">
      <c r="A2944" s="48" t="s">
        <v>7706</v>
      </c>
      <c r="B2944" t="s">
        <v>7707</v>
      </c>
      <c r="C2944">
        <v>0</v>
      </c>
    </row>
    <row r="2945" spans="1:3" x14ac:dyDescent="0.25">
      <c r="A2945" s="48" t="s">
        <v>7708</v>
      </c>
      <c r="B2945" t="s">
        <v>7709</v>
      </c>
      <c r="C2945">
        <v>8</v>
      </c>
    </row>
    <row r="2946" spans="1:3" x14ac:dyDescent="0.25">
      <c r="A2946" s="48" t="s">
        <v>5767</v>
      </c>
      <c r="B2946" t="s">
        <v>5768</v>
      </c>
      <c r="C2946">
        <v>0</v>
      </c>
    </row>
    <row r="2947" spans="1:3" x14ac:dyDescent="0.25">
      <c r="A2947" s="48" t="s">
        <v>5751</v>
      </c>
      <c r="B2947" t="s">
        <v>20669</v>
      </c>
      <c r="C2947">
        <v>0</v>
      </c>
    </row>
    <row r="2948" spans="1:3" x14ac:dyDescent="0.25">
      <c r="A2948" s="48" t="s">
        <v>5763</v>
      </c>
      <c r="B2948" t="s">
        <v>20670</v>
      </c>
      <c r="C2948">
        <v>0</v>
      </c>
    </row>
    <row r="2949" spans="1:3" x14ac:dyDescent="0.25">
      <c r="A2949" s="48" t="s">
        <v>5747</v>
      </c>
      <c r="B2949" t="s">
        <v>20671</v>
      </c>
      <c r="C2949">
        <v>0</v>
      </c>
    </row>
    <row r="2950" spans="1:3" x14ac:dyDescent="0.25">
      <c r="A2950" s="48" t="s">
        <v>5749</v>
      </c>
      <c r="B2950" t="s">
        <v>20672</v>
      </c>
      <c r="C2950">
        <v>0</v>
      </c>
    </row>
    <row r="2951" spans="1:3" x14ac:dyDescent="0.25">
      <c r="A2951" s="48" t="s">
        <v>5785</v>
      </c>
      <c r="B2951" t="s">
        <v>5786</v>
      </c>
      <c r="C2951">
        <v>0</v>
      </c>
    </row>
    <row r="2952" spans="1:3" x14ac:dyDescent="0.25">
      <c r="A2952" s="48" t="s">
        <v>5757</v>
      </c>
      <c r="B2952" t="s">
        <v>5758</v>
      </c>
      <c r="C2952">
        <v>0</v>
      </c>
    </row>
    <row r="2953" spans="1:3" x14ac:dyDescent="0.25">
      <c r="A2953" s="48" t="s">
        <v>5787</v>
      </c>
      <c r="B2953" t="s">
        <v>5788</v>
      </c>
      <c r="C2953">
        <v>0</v>
      </c>
    </row>
    <row r="2954" spans="1:3" x14ac:dyDescent="0.25">
      <c r="A2954" s="48" t="s">
        <v>5755</v>
      </c>
      <c r="B2954" t="s">
        <v>5756</v>
      </c>
      <c r="C2954">
        <v>0</v>
      </c>
    </row>
    <row r="2955" spans="1:3" x14ac:dyDescent="0.25">
      <c r="A2955" s="48" t="s">
        <v>7843</v>
      </c>
      <c r="B2955" t="s">
        <v>7844</v>
      </c>
      <c r="C2955">
        <v>21</v>
      </c>
    </row>
    <row r="2956" spans="1:3" x14ac:dyDescent="0.25">
      <c r="A2956" s="48" t="s">
        <v>5059</v>
      </c>
      <c r="B2956" t="s">
        <v>20673</v>
      </c>
      <c r="C2956">
        <v>4</v>
      </c>
    </row>
    <row r="2957" spans="1:3" x14ac:dyDescent="0.25">
      <c r="A2957" s="48" t="s">
        <v>14628</v>
      </c>
      <c r="B2957" t="s">
        <v>14629</v>
      </c>
      <c r="C2957">
        <v>0</v>
      </c>
    </row>
    <row r="2958" spans="1:3" x14ac:dyDescent="0.25">
      <c r="A2958" s="48" t="s">
        <v>275</v>
      </c>
      <c r="B2958" t="s">
        <v>276</v>
      </c>
      <c r="C2958">
        <v>50</v>
      </c>
    </row>
    <row r="2959" spans="1:3" x14ac:dyDescent="0.25">
      <c r="A2959" s="48" t="s">
        <v>11104</v>
      </c>
      <c r="B2959" t="s">
        <v>20674</v>
      </c>
      <c r="C2959">
        <v>6</v>
      </c>
    </row>
    <row r="2960" spans="1:3" x14ac:dyDescent="0.25">
      <c r="A2960" s="48" t="s">
        <v>18612</v>
      </c>
      <c r="B2960" t="s">
        <v>18613</v>
      </c>
      <c r="C2960">
        <v>121</v>
      </c>
    </row>
    <row r="2961" spans="1:3" x14ac:dyDescent="0.25">
      <c r="A2961" s="48" t="s">
        <v>18614</v>
      </c>
      <c r="B2961" t="s">
        <v>18615</v>
      </c>
      <c r="C2961">
        <v>27</v>
      </c>
    </row>
    <row r="2962" spans="1:3" x14ac:dyDescent="0.25">
      <c r="A2962" s="48" t="s">
        <v>18628</v>
      </c>
      <c r="B2962" t="s">
        <v>18629</v>
      </c>
      <c r="C2962">
        <v>0</v>
      </c>
    </row>
    <row r="2963" spans="1:3" x14ac:dyDescent="0.25">
      <c r="A2963" s="48" t="s">
        <v>12305</v>
      </c>
      <c r="B2963" t="s">
        <v>12306</v>
      </c>
      <c r="C2963">
        <v>15</v>
      </c>
    </row>
    <row r="2964" spans="1:3" x14ac:dyDescent="0.25">
      <c r="A2964" s="48" t="s">
        <v>12897</v>
      </c>
      <c r="B2964" t="s">
        <v>12898</v>
      </c>
      <c r="C2964">
        <v>0</v>
      </c>
    </row>
    <row r="2965" spans="1:3" x14ac:dyDescent="0.25">
      <c r="A2965" s="48" t="s">
        <v>12899</v>
      </c>
      <c r="B2965" t="s">
        <v>12900</v>
      </c>
      <c r="C2965">
        <v>0</v>
      </c>
    </row>
    <row r="2966" spans="1:3" x14ac:dyDescent="0.25">
      <c r="A2966" s="48" t="s">
        <v>12903</v>
      </c>
      <c r="B2966" t="s">
        <v>12904</v>
      </c>
      <c r="C2966">
        <v>6</v>
      </c>
    </row>
    <row r="2967" spans="1:3" x14ac:dyDescent="0.25">
      <c r="A2967" s="48" t="s">
        <v>12905</v>
      </c>
      <c r="B2967" t="s">
        <v>12906</v>
      </c>
      <c r="C2967">
        <v>0</v>
      </c>
    </row>
    <row r="2968" spans="1:3" x14ac:dyDescent="0.25">
      <c r="A2968" s="48" t="s">
        <v>19591</v>
      </c>
      <c r="B2968" t="s">
        <v>19592</v>
      </c>
      <c r="C2968">
        <v>22</v>
      </c>
    </row>
    <row r="2969" spans="1:3" x14ac:dyDescent="0.25">
      <c r="A2969" s="48" t="s">
        <v>17244</v>
      </c>
      <c r="B2969" t="s">
        <v>20675</v>
      </c>
      <c r="C2969">
        <v>0</v>
      </c>
    </row>
    <row r="2970" spans="1:3" x14ac:dyDescent="0.25">
      <c r="A2970" s="48" t="s">
        <v>12433</v>
      </c>
      <c r="B2970" t="s">
        <v>20676</v>
      </c>
      <c r="C2970">
        <v>14</v>
      </c>
    </row>
    <row r="2971" spans="1:3" x14ac:dyDescent="0.25">
      <c r="A2971" s="48" t="s">
        <v>16512</v>
      </c>
      <c r="B2971" t="s">
        <v>20677</v>
      </c>
      <c r="C2971">
        <v>12</v>
      </c>
    </row>
    <row r="2972" spans="1:3" x14ac:dyDescent="0.25">
      <c r="A2972" s="48" t="s">
        <v>6946</v>
      </c>
      <c r="B2972" t="s">
        <v>20678</v>
      </c>
      <c r="C2972">
        <v>1</v>
      </c>
    </row>
    <row r="2973" spans="1:3" x14ac:dyDescent="0.25">
      <c r="A2973" s="48" t="s">
        <v>16536</v>
      </c>
      <c r="B2973" t="s">
        <v>20679</v>
      </c>
      <c r="C2973">
        <v>0</v>
      </c>
    </row>
    <row r="2974" spans="1:3" x14ac:dyDescent="0.25">
      <c r="A2974" s="48" t="s">
        <v>4954</v>
      </c>
      <c r="B2974" t="s">
        <v>20680</v>
      </c>
      <c r="C2974">
        <v>5</v>
      </c>
    </row>
    <row r="2975" spans="1:3" x14ac:dyDescent="0.25">
      <c r="A2975" s="48" t="s">
        <v>4958</v>
      </c>
      <c r="B2975" t="s">
        <v>20681</v>
      </c>
      <c r="C2975">
        <v>5</v>
      </c>
    </row>
    <row r="2976" spans="1:3" x14ac:dyDescent="0.25">
      <c r="A2976" s="48" t="s">
        <v>8652</v>
      </c>
      <c r="B2976" t="s">
        <v>20682</v>
      </c>
      <c r="C2976">
        <v>0</v>
      </c>
    </row>
    <row r="2977" spans="1:3" x14ac:dyDescent="0.25">
      <c r="A2977" s="48" t="s">
        <v>8654</v>
      </c>
      <c r="B2977" t="s">
        <v>20683</v>
      </c>
      <c r="C2977">
        <v>0</v>
      </c>
    </row>
    <row r="2978" spans="1:3" x14ac:dyDescent="0.25">
      <c r="A2978" s="48" t="s">
        <v>8656</v>
      </c>
      <c r="B2978" t="s">
        <v>20684</v>
      </c>
      <c r="C2978">
        <v>7</v>
      </c>
    </row>
    <row r="2979" spans="1:3" x14ac:dyDescent="0.25">
      <c r="A2979" s="48" t="s">
        <v>8658</v>
      </c>
      <c r="B2979" t="s">
        <v>20685</v>
      </c>
      <c r="C2979">
        <v>11</v>
      </c>
    </row>
    <row r="2980" spans="1:3" x14ac:dyDescent="0.25">
      <c r="A2980" s="48" t="s">
        <v>17432</v>
      </c>
      <c r="B2980" t="s">
        <v>17433</v>
      </c>
      <c r="C2980">
        <v>5</v>
      </c>
    </row>
    <row r="2981" spans="1:3" x14ac:dyDescent="0.25">
      <c r="A2981" s="48" t="s">
        <v>17426</v>
      </c>
      <c r="B2981" t="s">
        <v>17427</v>
      </c>
      <c r="C2981">
        <v>0</v>
      </c>
    </row>
    <row r="2982" spans="1:3" x14ac:dyDescent="0.25">
      <c r="A2982" s="48" t="s">
        <v>17428</v>
      </c>
      <c r="B2982" t="s">
        <v>17429</v>
      </c>
      <c r="C2982">
        <v>0</v>
      </c>
    </row>
    <row r="2983" spans="1:3" x14ac:dyDescent="0.25">
      <c r="A2983" s="48" t="s">
        <v>17456</v>
      </c>
      <c r="B2983" t="s">
        <v>17457</v>
      </c>
      <c r="C2983">
        <v>5</v>
      </c>
    </row>
    <row r="2984" spans="1:3" x14ac:dyDescent="0.25">
      <c r="A2984" s="48" t="s">
        <v>17430</v>
      </c>
      <c r="B2984" t="s">
        <v>17431</v>
      </c>
      <c r="C2984">
        <v>0</v>
      </c>
    </row>
    <row r="2985" spans="1:3" x14ac:dyDescent="0.25">
      <c r="A2985" s="48" t="s">
        <v>17416</v>
      </c>
      <c r="B2985" t="s">
        <v>17417</v>
      </c>
      <c r="C2985">
        <v>1</v>
      </c>
    </row>
    <row r="2986" spans="1:3" x14ac:dyDescent="0.25">
      <c r="A2986" s="48" t="s">
        <v>17398</v>
      </c>
      <c r="B2986" t="s">
        <v>17399</v>
      </c>
      <c r="C2986">
        <v>0</v>
      </c>
    </row>
    <row r="2987" spans="1:3" x14ac:dyDescent="0.25">
      <c r="A2987" s="48" t="s">
        <v>17404</v>
      </c>
      <c r="B2987" t="s">
        <v>17405</v>
      </c>
      <c r="C2987">
        <v>0</v>
      </c>
    </row>
    <row r="2988" spans="1:3" x14ac:dyDescent="0.25">
      <c r="A2988" s="48" t="s">
        <v>17414</v>
      </c>
      <c r="B2988" t="s">
        <v>17415</v>
      </c>
      <c r="C2988">
        <v>0</v>
      </c>
    </row>
    <row r="2989" spans="1:3" x14ac:dyDescent="0.25">
      <c r="A2989" s="48" t="s">
        <v>17402</v>
      </c>
      <c r="B2989" t="s">
        <v>17403</v>
      </c>
      <c r="C2989">
        <v>0</v>
      </c>
    </row>
    <row r="2990" spans="1:3" x14ac:dyDescent="0.25">
      <c r="A2990" s="48" t="s">
        <v>17434</v>
      </c>
      <c r="B2990" t="s">
        <v>17435</v>
      </c>
      <c r="C2990">
        <v>0</v>
      </c>
    </row>
    <row r="2991" spans="1:3" x14ac:dyDescent="0.25">
      <c r="A2991" s="48" t="s">
        <v>17454</v>
      </c>
      <c r="B2991" t="s">
        <v>17455</v>
      </c>
      <c r="C2991">
        <v>15</v>
      </c>
    </row>
    <row r="2992" spans="1:3" x14ac:dyDescent="0.25">
      <c r="A2992" s="48" t="s">
        <v>17420</v>
      </c>
      <c r="B2992" t="s">
        <v>17421</v>
      </c>
      <c r="C2992">
        <v>0</v>
      </c>
    </row>
    <row r="2993" spans="1:3" x14ac:dyDescent="0.25">
      <c r="A2993" s="48" t="s">
        <v>17436</v>
      </c>
      <c r="B2993" t="s">
        <v>17437</v>
      </c>
      <c r="C2993">
        <v>0</v>
      </c>
    </row>
    <row r="2994" spans="1:3" x14ac:dyDescent="0.25">
      <c r="A2994" s="48" t="s">
        <v>17406</v>
      </c>
      <c r="B2994" t="s">
        <v>17407</v>
      </c>
      <c r="C2994">
        <v>0</v>
      </c>
    </row>
    <row r="2995" spans="1:3" x14ac:dyDescent="0.25">
      <c r="A2995" s="48" t="s">
        <v>17438</v>
      </c>
      <c r="B2995" t="s">
        <v>17439</v>
      </c>
      <c r="C2995">
        <v>0</v>
      </c>
    </row>
    <row r="2996" spans="1:3" x14ac:dyDescent="0.25">
      <c r="A2996" s="48" t="s">
        <v>17422</v>
      </c>
      <c r="B2996" t="s">
        <v>17423</v>
      </c>
      <c r="C2996">
        <v>3</v>
      </c>
    </row>
    <row r="2997" spans="1:3" x14ac:dyDescent="0.25">
      <c r="A2997" s="48" t="s">
        <v>17400</v>
      </c>
      <c r="B2997" t="s">
        <v>17401</v>
      </c>
      <c r="C2997">
        <v>0</v>
      </c>
    </row>
    <row r="2998" spans="1:3" x14ac:dyDescent="0.25">
      <c r="A2998" s="48" t="s">
        <v>17418</v>
      </c>
      <c r="B2998" t="s">
        <v>17419</v>
      </c>
      <c r="C2998">
        <v>0</v>
      </c>
    </row>
    <row r="2999" spans="1:3" x14ac:dyDescent="0.25">
      <c r="A2999" s="48" t="s">
        <v>17410</v>
      </c>
      <c r="B2999" t="s">
        <v>17411</v>
      </c>
      <c r="C2999">
        <v>0</v>
      </c>
    </row>
    <row r="3000" spans="1:3" x14ac:dyDescent="0.25">
      <c r="A3000" s="48" t="s">
        <v>17458</v>
      </c>
      <c r="B3000" t="s">
        <v>17459</v>
      </c>
      <c r="C3000">
        <v>5</v>
      </c>
    </row>
    <row r="3001" spans="1:3" x14ac:dyDescent="0.25">
      <c r="A3001" s="48" t="s">
        <v>17444</v>
      </c>
      <c r="B3001" t="s">
        <v>17445</v>
      </c>
      <c r="C3001">
        <v>0</v>
      </c>
    </row>
    <row r="3002" spans="1:3" x14ac:dyDescent="0.25">
      <c r="A3002" s="48" t="s">
        <v>10299</v>
      </c>
      <c r="B3002" t="s">
        <v>10300</v>
      </c>
      <c r="C3002">
        <v>0</v>
      </c>
    </row>
    <row r="3003" spans="1:3" x14ac:dyDescent="0.25">
      <c r="A3003" s="48" t="s">
        <v>17350</v>
      </c>
      <c r="B3003" t="s">
        <v>20686</v>
      </c>
      <c r="C3003">
        <v>0</v>
      </c>
    </row>
    <row r="3004" spans="1:3" x14ac:dyDescent="0.25">
      <c r="A3004" s="48" t="s">
        <v>159</v>
      </c>
      <c r="B3004" t="s">
        <v>160</v>
      </c>
      <c r="C3004">
        <v>58</v>
      </c>
    </row>
    <row r="3005" spans="1:3" x14ac:dyDescent="0.25">
      <c r="A3005" s="48" t="s">
        <v>19582</v>
      </c>
      <c r="B3005" t="s">
        <v>19583</v>
      </c>
      <c r="C3005">
        <v>10</v>
      </c>
    </row>
    <row r="3006" spans="1:3" x14ac:dyDescent="0.25">
      <c r="A3006" s="48" t="s">
        <v>19586</v>
      </c>
      <c r="B3006" t="s">
        <v>19587</v>
      </c>
      <c r="C3006">
        <v>3</v>
      </c>
    </row>
    <row r="3007" spans="1:3" x14ac:dyDescent="0.25">
      <c r="A3007" s="48" t="s">
        <v>17344</v>
      </c>
      <c r="B3007" t="s">
        <v>20687</v>
      </c>
      <c r="C3007">
        <v>1</v>
      </c>
    </row>
    <row r="3008" spans="1:3" x14ac:dyDescent="0.25">
      <c r="A3008" s="48" t="s">
        <v>17342</v>
      </c>
      <c r="B3008" t="s">
        <v>20688</v>
      </c>
      <c r="C3008">
        <v>0</v>
      </c>
    </row>
    <row r="3009" spans="1:3" x14ac:dyDescent="0.25">
      <c r="A3009" s="48" t="s">
        <v>2783</v>
      </c>
      <c r="B3009" t="s">
        <v>2784</v>
      </c>
      <c r="C3009">
        <v>5</v>
      </c>
    </row>
    <row r="3010" spans="1:3" x14ac:dyDescent="0.25">
      <c r="A3010" s="48" t="s">
        <v>2775</v>
      </c>
      <c r="B3010" t="s">
        <v>2776</v>
      </c>
      <c r="C3010">
        <v>100</v>
      </c>
    </row>
    <row r="3011" spans="1:3" x14ac:dyDescent="0.25">
      <c r="A3011" s="48" t="s">
        <v>2793</v>
      </c>
      <c r="B3011" t="s">
        <v>2794</v>
      </c>
      <c r="C3011">
        <v>11</v>
      </c>
    </row>
    <row r="3012" spans="1:3" x14ac:dyDescent="0.25">
      <c r="A3012" s="48" t="s">
        <v>2841</v>
      </c>
      <c r="B3012" t="s">
        <v>2842</v>
      </c>
      <c r="C3012">
        <v>132</v>
      </c>
    </row>
    <row r="3013" spans="1:3" x14ac:dyDescent="0.25">
      <c r="A3013" s="48" t="s">
        <v>14302</v>
      </c>
      <c r="B3013" t="s">
        <v>14303</v>
      </c>
      <c r="C3013">
        <v>0</v>
      </c>
    </row>
    <row r="3014" spans="1:3" x14ac:dyDescent="0.25">
      <c r="A3014" s="48" t="s">
        <v>14326</v>
      </c>
      <c r="B3014" t="s">
        <v>14327</v>
      </c>
      <c r="C3014">
        <v>0</v>
      </c>
    </row>
    <row r="3015" spans="1:3" x14ac:dyDescent="0.25">
      <c r="A3015" s="48" t="s">
        <v>4398</v>
      </c>
      <c r="B3015" t="s">
        <v>23033</v>
      </c>
      <c r="C3015">
        <v>0</v>
      </c>
    </row>
    <row r="3016" spans="1:3" x14ac:dyDescent="0.25">
      <c r="A3016" s="48" t="s">
        <v>18604</v>
      </c>
      <c r="B3016" t="s">
        <v>18605</v>
      </c>
      <c r="C3016">
        <v>21</v>
      </c>
    </row>
    <row r="3017" spans="1:3" x14ac:dyDescent="0.25">
      <c r="A3017" s="48" t="s">
        <v>3987</v>
      </c>
      <c r="B3017" t="s">
        <v>3988</v>
      </c>
      <c r="C3017">
        <v>0</v>
      </c>
    </row>
    <row r="3018" spans="1:3" x14ac:dyDescent="0.25">
      <c r="A3018" s="48" t="s">
        <v>3985</v>
      </c>
      <c r="B3018" t="s">
        <v>3986</v>
      </c>
      <c r="C3018">
        <v>0</v>
      </c>
    </row>
    <row r="3019" spans="1:3" x14ac:dyDescent="0.25">
      <c r="A3019" s="48" t="s">
        <v>3983</v>
      </c>
      <c r="B3019" t="s">
        <v>3984</v>
      </c>
      <c r="C3019">
        <v>0</v>
      </c>
    </row>
    <row r="3020" spans="1:3" x14ac:dyDescent="0.25">
      <c r="A3020" s="48" t="s">
        <v>3989</v>
      </c>
      <c r="B3020" t="s">
        <v>3990</v>
      </c>
      <c r="C3020">
        <v>0</v>
      </c>
    </row>
    <row r="3021" spans="1:3" x14ac:dyDescent="0.25">
      <c r="A3021" s="48" t="s">
        <v>4854</v>
      </c>
      <c r="B3021" t="s">
        <v>4855</v>
      </c>
      <c r="C3021">
        <v>0</v>
      </c>
    </row>
    <row r="3022" spans="1:3" x14ac:dyDescent="0.25">
      <c r="A3022" s="48" t="s">
        <v>4870</v>
      </c>
      <c r="B3022" t="s">
        <v>4871</v>
      </c>
      <c r="C3022">
        <v>0</v>
      </c>
    </row>
    <row r="3023" spans="1:3" x14ac:dyDescent="0.25">
      <c r="A3023" s="48" t="s">
        <v>4852</v>
      </c>
      <c r="B3023" t="s">
        <v>4853</v>
      </c>
      <c r="C3023">
        <v>0</v>
      </c>
    </row>
    <row r="3024" spans="1:3" x14ac:dyDescent="0.25">
      <c r="A3024" s="48" t="s">
        <v>4868</v>
      </c>
      <c r="B3024" t="s">
        <v>4869</v>
      </c>
      <c r="C3024">
        <v>41</v>
      </c>
    </row>
    <row r="3025" spans="1:3" x14ac:dyDescent="0.25">
      <c r="A3025" s="48" t="s">
        <v>4864</v>
      </c>
      <c r="B3025" t="s">
        <v>4865</v>
      </c>
      <c r="C3025">
        <v>28</v>
      </c>
    </row>
    <row r="3026" spans="1:3" x14ac:dyDescent="0.25">
      <c r="A3026" s="48" t="s">
        <v>4884</v>
      </c>
      <c r="B3026" t="s">
        <v>4885</v>
      </c>
      <c r="C3026">
        <v>8</v>
      </c>
    </row>
    <row r="3027" spans="1:3" x14ac:dyDescent="0.25">
      <c r="A3027" s="48" t="s">
        <v>4860</v>
      </c>
      <c r="B3027" t="s">
        <v>4861</v>
      </c>
      <c r="C3027">
        <v>13</v>
      </c>
    </row>
    <row r="3028" spans="1:3" x14ac:dyDescent="0.25">
      <c r="A3028" s="48" t="s">
        <v>4872</v>
      </c>
      <c r="B3028" t="s">
        <v>4873</v>
      </c>
      <c r="C3028">
        <v>15</v>
      </c>
    </row>
    <row r="3029" spans="1:3" x14ac:dyDescent="0.25">
      <c r="A3029" s="48" t="s">
        <v>4874</v>
      </c>
      <c r="B3029" t="s">
        <v>4875</v>
      </c>
      <c r="C3029">
        <v>30</v>
      </c>
    </row>
    <row r="3030" spans="1:3" x14ac:dyDescent="0.25">
      <c r="A3030" s="48" t="s">
        <v>4880</v>
      </c>
      <c r="B3030" t="s">
        <v>4881</v>
      </c>
      <c r="C3030">
        <v>8</v>
      </c>
    </row>
    <row r="3031" spans="1:3" x14ac:dyDescent="0.25">
      <c r="A3031" s="48" t="s">
        <v>4876</v>
      </c>
      <c r="B3031" t="s">
        <v>4877</v>
      </c>
      <c r="C3031">
        <v>41</v>
      </c>
    </row>
    <row r="3032" spans="1:3" x14ac:dyDescent="0.25">
      <c r="A3032" s="48" t="s">
        <v>4878</v>
      </c>
      <c r="B3032" t="s">
        <v>4879</v>
      </c>
      <c r="C3032">
        <v>11</v>
      </c>
    </row>
    <row r="3033" spans="1:3" x14ac:dyDescent="0.25">
      <c r="A3033" s="48" t="s">
        <v>4858</v>
      </c>
      <c r="B3033" t="s">
        <v>4859</v>
      </c>
      <c r="C3033">
        <v>13</v>
      </c>
    </row>
    <row r="3034" spans="1:3" x14ac:dyDescent="0.25">
      <c r="A3034" s="48" t="s">
        <v>4856</v>
      </c>
      <c r="B3034" t="s">
        <v>4857</v>
      </c>
      <c r="C3034">
        <v>0</v>
      </c>
    </row>
    <row r="3035" spans="1:3" x14ac:dyDescent="0.25">
      <c r="A3035" s="48" t="s">
        <v>4850</v>
      </c>
      <c r="B3035" t="s">
        <v>4851</v>
      </c>
      <c r="C3035">
        <v>37</v>
      </c>
    </row>
    <row r="3036" spans="1:3" x14ac:dyDescent="0.25">
      <c r="A3036" s="48" t="s">
        <v>4882</v>
      </c>
      <c r="B3036" t="s">
        <v>4883</v>
      </c>
      <c r="C3036">
        <v>0</v>
      </c>
    </row>
    <row r="3037" spans="1:3" x14ac:dyDescent="0.25">
      <c r="A3037" s="48" t="s">
        <v>19504</v>
      </c>
      <c r="B3037" t="s">
        <v>19505</v>
      </c>
      <c r="C3037">
        <v>0</v>
      </c>
    </row>
    <row r="3038" spans="1:3" x14ac:dyDescent="0.25">
      <c r="A3038" s="48" t="s">
        <v>7995</v>
      </c>
      <c r="B3038" t="s">
        <v>7996</v>
      </c>
      <c r="C3038">
        <v>0</v>
      </c>
    </row>
    <row r="3039" spans="1:3" x14ac:dyDescent="0.25">
      <c r="A3039" s="48" t="s">
        <v>4866</v>
      </c>
      <c r="B3039" t="s">
        <v>4867</v>
      </c>
      <c r="C3039">
        <v>0</v>
      </c>
    </row>
    <row r="3040" spans="1:3" x14ac:dyDescent="0.25">
      <c r="A3040" s="48" t="s">
        <v>4862</v>
      </c>
      <c r="B3040" t="s">
        <v>4863</v>
      </c>
      <c r="C3040">
        <v>1</v>
      </c>
    </row>
    <row r="3041" spans="1:3" x14ac:dyDescent="0.25">
      <c r="A3041" s="48" t="s">
        <v>7160</v>
      </c>
      <c r="B3041" t="s">
        <v>20689</v>
      </c>
      <c r="C3041">
        <v>0</v>
      </c>
    </row>
    <row r="3042" spans="1:3" x14ac:dyDescent="0.25">
      <c r="A3042" s="48" t="s">
        <v>7162</v>
      </c>
      <c r="B3042" t="s">
        <v>20690</v>
      </c>
      <c r="C3042">
        <v>4</v>
      </c>
    </row>
    <row r="3043" spans="1:3" x14ac:dyDescent="0.25">
      <c r="A3043" s="48" t="s">
        <v>7164</v>
      </c>
      <c r="B3043" t="s">
        <v>20691</v>
      </c>
      <c r="C3043">
        <v>5</v>
      </c>
    </row>
    <row r="3044" spans="1:3" x14ac:dyDescent="0.25">
      <c r="A3044" s="48" t="s">
        <v>16686</v>
      </c>
      <c r="B3044" t="s">
        <v>16687</v>
      </c>
      <c r="C3044">
        <v>0</v>
      </c>
    </row>
    <row r="3045" spans="1:3" x14ac:dyDescent="0.25">
      <c r="A3045" s="48" t="s">
        <v>155</v>
      </c>
      <c r="B3045" t="s">
        <v>156</v>
      </c>
      <c r="C3045">
        <v>1</v>
      </c>
    </row>
    <row r="3046" spans="1:3" x14ac:dyDescent="0.25">
      <c r="A3046" s="48" t="s">
        <v>281</v>
      </c>
      <c r="B3046" t="s">
        <v>282</v>
      </c>
      <c r="C3046">
        <v>1</v>
      </c>
    </row>
    <row r="3047" spans="1:3" x14ac:dyDescent="0.25">
      <c r="A3047" s="48" t="s">
        <v>14074</v>
      </c>
      <c r="B3047" t="s">
        <v>14075</v>
      </c>
      <c r="C3047">
        <v>2</v>
      </c>
    </row>
    <row r="3048" spans="1:3" x14ac:dyDescent="0.25">
      <c r="A3048" s="48" t="s">
        <v>14072</v>
      </c>
      <c r="B3048" t="s">
        <v>14073</v>
      </c>
      <c r="C3048">
        <v>1</v>
      </c>
    </row>
    <row r="3049" spans="1:3" x14ac:dyDescent="0.25">
      <c r="A3049" s="48" t="s">
        <v>353</v>
      </c>
      <c r="B3049" t="s">
        <v>354</v>
      </c>
      <c r="C3049">
        <v>1</v>
      </c>
    </row>
    <row r="3050" spans="1:3" x14ac:dyDescent="0.25">
      <c r="A3050" s="48" t="s">
        <v>14078</v>
      </c>
      <c r="B3050" t="s">
        <v>14079</v>
      </c>
      <c r="C3050">
        <v>0</v>
      </c>
    </row>
    <row r="3051" spans="1:3" x14ac:dyDescent="0.25">
      <c r="A3051" s="48" t="s">
        <v>401</v>
      </c>
      <c r="B3051" t="s">
        <v>402</v>
      </c>
      <c r="C3051">
        <v>0</v>
      </c>
    </row>
    <row r="3052" spans="1:3" x14ac:dyDescent="0.25">
      <c r="A3052" s="48" t="s">
        <v>14076</v>
      </c>
      <c r="B3052" t="s">
        <v>14077</v>
      </c>
      <c r="C3052">
        <v>0</v>
      </c>
    </row>
    <row r="3053" spans="1:3" x14ac:dyDescent="0.25">
      <c r="A3053" s="48" t="s">
        <v>908</v>
      </c>
      <c r="B3053" t="s">
        <v>909</v>
      </c>
      <c r="C3053">
        <v>1</v>
      </c>
    </row>
    <row r="3054" spans="1:3" x14ac:dyDescent="0.25">
      <c r="A3054" s="48" t="s">
        <v>14082</v>
      </c>
      <c r="B3054" t="s">
        <v>14083</v>
      </c>
      <c r="C3054">
        <v>2</v>
      </c>
    </row>
    <row r="3055" spans="1:3" x14ac:dyDescent="0.25">
      <c r="A3055" s="48" t="s">
        <v>14080</v>
      </c>
      <c r="B3055" t="s">
        <v>14081</v>
      </c>
      <c r="C3055">
        <v>0</v>
      </c>
    </row>
    <row r="3056" spans="1:3" x14ac:dyDescent="0.25">
      <c r="A3056" s="48" t="s">
        <v>14066</v>
      </c>
      <c r="B3056" t="s">
        <v>14067</v>
      </c>
      <c r="C3056">
        <v>0</v>
      </c>
    </row>
    <row r="3057" spans="1:3" x14ac:dyDescent="0.25">
      <c r="A3057" s="48" t="s">
        <v>2959</v>
      </c>
      <c r="B3057" t="s">
        <v>2960</v>
      </c>
      <c r="C3057">
        <v>1</v>
      </c>
    </row>
    <row r="3058" spans="1:3" x14ac:dyDescent="0.25">
      <c r="A3058" s="48" t="s">
        <v>18566</v>
      </c>
      <c r="B3058" t="s">
        <v>18567</v>
      </c>
      <c r="C3058">
        <v>4</v>
      </c>
    </row>
    <row r="3059" spans="1:3" x14ac:dyDescent="0.25">
      <c r="A3059" s="48" t="s">
        <v>16384</v>
      </c>
      <c r="B3059" t="s">
        <v>16385</v>
      </c>
      <c r="C3059">
        <v>0</v>
      </c>
    </row>
    <row r="3060" spans="1:3" x14ac:dyDescent="0.25">
      <c r="A3060" s="48" t="s">
        <v>12451</v>
      </c>
      <c r="B3060" t="s">
        <v>12452</v>
      </c>
      <c r="C3060">
        <v>0</v>
      </c>
    </row>
    <row r="3061" spans="1:3" x14ac:dyDescent="0.25">
      <c r="A3061" s="48" t="s">
        <v>371</v>
      </c>
      <c r="B3061" t="s">
        <v>372</v>
      </c>
      <c r="C3061">
        <v>2</v>
      </c>
    </row>
    <row r="3062" spans="1:3" x14ac:dyDescent="0.25">
      <c r="A3062" s="48" t="s">
        <v>3010</v>
      </c>
      <c r="B3062" t="s">
        <v>3011</v>
      </c>
      <c r="C3062">
        <v>0</v>
      </c>
    </row>
    <row r="3063" spans="1:3" x14ac:dyDescent="0.25">
      <c r="A3063" s="48" t="s">
        <v>12781</v>
      </c>
      <c r="B3063" t="s">
        <v>12782</v>
      </c>
      <c r="C3063">
        <v>0</v>
      </c>
    </row>
    <row r="3064" spans="1:3" x14ac:dyDescent="0.25">
      <c r="A3064" s="48" t="s">
        <v>12785</v>
      </c>
      <c r="B3064" t="s">
        <v>12786</v>
      </c>
      <c r="C3064">
        <v>0</v>
      </c>
    </row>
    <row r="3065" spans="1:3" x14ac:dyDescent="0.25">
      <c r="A3065" s="48" t="s">
        <v>12787</v>
      </c>
      <c r="B3065" t="s">
        <v>12788</v>
      </c>
      <c r="C3065">
        <v>1</v>
      </c>
    </row>
    <row r="3066" spans="1:3" x14ac:dyDescent="0.25">
      <c r="A3066" s="48" t="s">
        <v>12793</v>
      </c>
      <c r="B3066" t="s">
        <v>12794</v>
      </c>
      <c r="C3066">
        <v>0</v>
      </c>
    </row>
    <row r="3067" spans="1:3" x14ac:dyDescent="0.25">
      <c r="A3067" s="48" t="s">
        <v>12803</v>
      </c>
      <c r="B3067" t="s">
        <v>12804</v>
      </c>
      <c r="C3067">
        <v>0</v>
      </c>
    </row>
    <row r="3068" spans="1:3" x14ac:dyDescent="0.25">
      <c r="A3068" s="48" t="s">
        <v>6936</v>
      </c>
      <c r="B3068" t="s">
        <v>20692</v>
      </c>
      <c r="C3068">
        <v>18</v>
      </c>
    </row>
    <row r="3069" spans="1:3" x14ac:dyDescent="0.25">
      <c r="A3069" s="48" t="s">
        <v>8513</v>
      </c>
      <c r="B3069" t="s">
        <v>20693</v>
      </c>
      <c r="C3069">
        <v>1</v>
      </c>
    </row>
    <row r="3070" spans="1:3" x14ac:dyDescent="0.25">
      <c r="A3070" s="48" t="s">
        <v>8509</v>
      </c>
      <c r="B3070" t="s">
        <v>20694</v>
      </c>
      <c r="C3070">
        <v>3</v>
      </c>
    </row>
    <row r="3071" spans="1:3" x14ac:dyDescent="0.25">
      <c r="A3071" s="48" t="s">
        <v>8507</v>
      </c>
      <c r="B3071" t="s">
        <v>20695</v>
      </c>
      <c r="C3071">
        <v>0</v>
      </c>
    </row>
    <row r="3072" spans="1:3" x14ac:dyDescent="0.25">
      <c r="A3072" s="48" t="s">
        <v>7748</v>
      </c>
      <c r="B3072" t="s">
        <v>20696</v>
      </c>
      <c r="C3072">
        <v>0</v>
      </c>
    </row>
    <row r="3073" spans="1:3" x14ac:dyDescent="0.25">
      <c r="A3073" s="48" t="s">
        <v>12698</v>
      </c>
      <c r="B3073" t="s">
        <v>20697</v>
      </c>
      <c r="C3073">
        <v>0</v>
      </c>
    </row>
    <row r="3074" spans="1:3" x14ac:dyDescent="0.25">
      <c r="A3074" s="48" t="s">
        <v>17168</v>
      </c>
      <c r="B3074" t="s">
        <v>20698</v>
      </c>
      <c r="C3074">
        <v>0</v>
      </c>
    </row>
    <row r="3075" spans="1:3" x14ac:dyDescent="0.25">
      <c r="A3075" s="48" t="s">
        <v>9516</v>
      </c>
      <c r="B3075" t="s">
        <v>20699</v>
      </c>
      <c r="C3075">
        <v>0</v>
      </c>
    </row>
    <row r="3076" spans="1:3" x14ac:dyDescent="0.25">
      <c r="A3076" s="48" t="s">
        <v>9518</v>
      </c>
      <c r="B3076" t="s">
        <v>20700</v>
      </c>
      <c r="C3076">
        <v>0</v>
      </c>
    </row>
    <row r="3077" spans="1:3" x14ac:dyDescent="0.25">
      <c r="A3077" s="48" t="s">
        <v>9508</v>
      </c>
      <c r="B3077" t="s">
        <v>20701</v>
      </c>
      <c r="C3077">
        <v>0</v>
      </c>
    </row>
    <row r="3078" spans="1:3" x14ac:dyDescent="0.25">
      <c r="A3078" s="48" t="s">
        <v>17338</v>
      </c>
      <c r="B3078" t="s">
        <v>20702</v>
      </c>
      <c r="C3078">
        <v>0</v>
      </c>
    </row>
    <row r="3079" spans="1:3" x14ac:dyDescent="0.25">
      <c r="A3079" s="48" t="s">
        <v>11554</v>
      </c>
      <c r="B3079" t="s">
        <v>20703</v>
      </c>
      <c r="C3079">
        <v>0</v>
      </c>
    </row>
    <row r="3080" spans="1:3" x14ac:dyDescent="0.25">
      <c r="A3080" s="48" t="s">
        <v>11426</v>
      </c>
      <c r="B3080" t="s">
        <v>20704</v>
      </c>
      <c r="C3080">
        <v>0</v>
      </c>
    </row>
    <row r="3081" spans="1:3" x14ac:dyDescent="0.25">
      <c r="A3081" s="48" t="s">
        <v>11552</v>
      </c>
      <c r="B3081" t="s">
        <v>20705</v>
      </c>
      <c r="C3081">
        <v>1</v>
      </c>
    </row>
    <row r="3082" spans="1:3" x14ac:dyDescent="0.25">
      <c r="A3082" s="48" t="s">
        <v>9510</v>
      </c>
      <c r="B3082" t="s">
        <v>20706</v>
      </c>
      <c r="C3082">
        <v>0</v>
      </c>
    </row>
    <row r="3083" spans="1:3" x14ac:dyDescent="0.25">
      <c r="A3083" s="48" t="s">
        <v>9520</v>
      </c>
      <c r="B3083" t="s">
        <v>20707</v>
      </c>
      <c r="C3083">
        <v>0</v>
      </c>
    </row>
    <row r="3084" spans="1:3" x14ac:dyDescent="0.25">
      <c r="A3084" s="48" t="s">
        <v>11814</v>
      </c>
      <c r="B3084" t="s">
        <v>20708</v>
      </c>
      <c r="C3084">
        <v>0</v>
      </c>
    </row>
    <row r="3085" spans="1:3" x14ac:dyDescent="0.25">
      <c r="A3085" s="48" t="s">
        <v>17130</v>
      </c>
      <c r="B3085" t="s">
        <v>20709</v>
      </c>
      <c r="C3085">
        <v>0</v>
      </c>
    </row>
    <row r="3086" spans="1:3" x14ac:dyDescent="0.25">
      <c r="A3086" s="48" t="s">
        <v>19410</v>
      </c>
      <c r="B3086" t="s">
        <v>20710</v>
      </c>
      <c r="C3086">
        <v>0</v>
      </c>
    </row>
    <row r="3087" spans="1:3" x14ac:dyDescent="0.25">
      <c r="A3087" s="48" t="s">
        <v>19326</v>
      </c>
      <c r="B3087" t="s">
        <v>20711</v>
      </c>
      <c r="C3087">
        <v>0</v>
      </c>
    </row>
    <row r="3088" spans="1:3" x14ac:dyDescent="0.25">
      <c r="A3088" s="48" t="s">
        <v>19328</v>
      </c>
      <c r="B3088" t="s">
        <v>20712</v>
      </c>
      <c r="C3088">
        <v>0</v>
      </c>
    </row>
    <row r="3089" spans="1:3" x14ac:dyDescent="0.25">
      <c r="A3089" s="48" t="s">
        <v>11876</v>
      </c>
      <c r="B3089" t="s">
        <v>11877</v>
      </c>
      <c r="C3089">
        <v>0</v>
      </c>
    </row>
    <row r="3090" spans="1:3" x14ac:dyDescent="0.25">
      <c r="A3090" s="48" t="s">
        <v>11878</v>
      </c>
      <c r="B3090" t="s">
        <v>20713</v>
      </c>
      <c r="C3090">
        <v>0</v>
      </c>
    </row>
    <row r="3091" spans="1:3" x14ac:dyDescent="0.25">
      <c r="A3091" s="48" t="s">
        <v>12795</v>
      </c>
      <c r="B3091" t="s">
        <v>12796</v>
      </c>
      <c r="C3091">
        <v>15</v>
      </c>
    </row>
    <row r="3092" spans="1:3" x14ac:dyDescent="0.25">
      <c r="A3092" s="48" t="s">
        <v>4114</v>
      </c>
      <c r="B3092" t="s">
        <v>20714</v>
      </c>
      <c r="C3092">
        <v>0</v>
      </c>
    </row>
    <row r="3093" spans="1:3" x14ac:dyDescent="0.25">
      <c r="A3093" s="48" t="s">
        <v>4116</v>
      </c>
      <c r="B3093" t="s">
        <v>20715</v>
      </c>
      <c r="C3093">
        <v>0</v>
      </c>
    </row>
    <row r="3094" spans="1:3" x14ac:dyDescent="0.25">
      <c r="A3094" s="48" t="s">
        <v>4118</v>
      </c>
      <c r="B3094" t="s">
        <v>20716</v>
      </c>
      <c r="C3094">
        <v>53</v>
      </c>
    </row>
    <row r="3095" spans="1:3" x14ac:dyDescent="0.25">
      <c r="A3095" s="48" t="s">
        <v>4102</v>
      </c>
      <c r="B3095" t="s">
        <v>20717</v>
      </c>
      <c r="C3095">
        <v>0</v>
      </c>
    </row>
    <row r="3096" spans="1:3" x14ac:dyDescent="0.25">
      <c r="A3096" s="48" t="s">
        <v>4104</v>
      </c>
      <c r="B3096" t="s">
        <v>20718</v>
      </c>
      <c r="C3096">
        <v>0</v>
      </c>
    </row>
    <row r="3097" spans="1:3" x14ac:dyDescent="0.25">
      <c r="A3097" s="48" t="s">
        <v>4106</v>
      </c>
      <c r="B3097" t="s">
        <v>20719</v>
      </c>
      <c r="C3097">
        <v>0</v>
      </c>
    </row>
    <row r="3098" spans="1:3" x14ac:dyDescent="0.25">
      <c r="A3098" s="48" t="s">
        <v>12445</v>
      </c>
      <c r="B3098" t="s">
        <v>20720</v>
      </c>
      <c r="C3098">
        <v>19</v>
      </c>
    </row>
    <row r="3099" spans="1:3" x14ac:dyDescent="0.25">
      <c r="A3099" s="48" t="s">
        <v>12437</v>
      </c>
      <c r="B3099" t="s">
        <v>20721</v>
      </c>
      <c r="C3099">
        <v>0</v>
      </c>
    </row>
    <row r="3100" spans="1:3" x14ac:dyDescent="0.25">
      <c r="A3100" s="48" t="s">
        <v>4760</v>
      </c>
      <c r="B3100" t="s">
        <v>4761</v>
      </c>
      <c r="C3100">
        <v>0</v>
      </c>
    </row>
    <row r="3101" spans="1:3" x14ac:dyDescent="0.25">
      <c r="A3101" s="48" t="s">
        <v>4758</v>
      </c>
      <c r="B3101" t="s">
        <v>4759</v>
      </c>
      <c r="C3101">
        <v>0</v>
      </c>
    </row>
    <row r="3102" spans="1:3" x14ac:dyDescent="0.25">
      <c r="A3102" s="48" t="s">
        <v>4108</v>
      </c>
      <c r="B3102" t="s">
        <v>20722</v>
      </c>
      <c r="C3102">
        <v>0</v>
      </c>
    </row>
    <row r="3103" spans="1:3" x14ac:dyDescent="0.25">
      <c r="A3103" s="48" t="s">
        <v>4110</v>
      </c>
      <c r="B3103" t="s">
        <v>20723</v>
      </c>
      <c r="C3103">
        <v>0</v>
      </c>
    </row>
    <row r="3104" spans="1:3" x14ac:dyDescent="0.25">
      <c r="A3104" s="48" t="s">
        <v>14588</v>
      </c>
      <c r="B3104" t="s">
        <v>14589</v>
      </c>
      <c r="C3104">
        <v>0</v>
      </c>
    </row>
    <row r="3105" spans="1:3" x14ac:dyDescent="0.25">
      <c r="A3105" s="48" t="s">
        <v>18538</v>
      </c>
      <c r="B3105" t="s">
        <v>18539</v>
      </c>
      <c r="C3105">
        <v>0</v>
      </c>
    </row>
    <row r="3106" spans="1:3" x14ac:dyDescent="0.25">
      <c r="A3106" s="48" t="s">
        <v>12855</v>
      </c>
      <c r="B3106" t="s">
        <v>12856</v>
      </c>
      <c r="C3106">
        <v>48</v>
      </c>
    </row>
    <row r="3107" spans="1:3" x14ac:dyDescent="0.25">
      <c r="A3107" s="48" t="s">
        <v>16716</v>
      </c>
      <c r="B3107" t="s">
        <v>20724</v>
      </c>
      <c r="C3107">
        <v>0</v>
      </c>
    </row>
    <row r="3108" spans="1:3" x14ac:dyDescent="0.25">
      <c r="A3108" s="48" t="s">
        <v>17166</v>
      </c>
      <c r="B3108" t="s">
        <v>20725</v>
      </c>
      <c r="C3108">
        <v>0</v>
      </c>
    </row>
    <row r="3109" spans="1:3" x14ac:dyDescent="0.25">
      <c r="A3109" s="48" t="s">
        <v>16718</v>
      </c>
      <c r="B3109" t="s">
        <v>20726</v>
      </c>
      <c r="C3109">
        <v>0</v>
      </c>
    </row>
    <row r="3110" spans="1:3" x14ac:dyDescent="0.25">
      <c r="A3110" s="48" t="s">
        <v>17162</v>
      </c>
      <c r="B3110" t="s">
        <v>20727</v>
      </c>
      <c r="C3110">
        <v>0</v>
      </c>
    </row>
    <row r="3111" spans="1:3" x14ac:dyDescent="0.25">
      <c r="A3111" s="48" t="s">
        <v>19230</v>
      </c>
      <c r="B3111" t="s">
        <v>20728</v>
      </c>
      <c r="C3111">
        <v>0</v>
      </c>
    </row>
    <row r="3112" spans="1:3" x14ac:dyDescent="0.25">
      <c r="A3112" s="48" t="s">
        <v>19234</v>
      </c>
      <c r="B3112" t="s">
        <v>20729</v>
      </c>
      <c r="C3112">
        <v>0</v>
      </c>
    </row>
    <row r="3113" spans="1:3" x14ac:dyDescent="0.25">
      <c r="A3113" s="48" t="s">
        <v>12706</v>
      </c>
      <c r="B3113" t="s">
        <v>20730</v>
      </c>
      <c r="C3113">
        <v>0</v>
      </c>
    </row>
    <row r="3114" spans="1:3" x14ac:dyDescent="0.25">
      <c r="A3114" s="48" t="s">
        <v>19054</v>
      </c>
      <c r="B3114" t="s">
        <v>20731</v>
      </c>
      <c r="C3114">
        <v>0</v>
      </c>
    </row>
    <row r="3115" spans="1:3" x14ac:dyDescent="0.25">
      <c r="A3115" s="48" t="s">
        <v>19200</v>
      </c>
      <c r="B3115" t="s">
        <v>20732</v>
      </c>
      <c r="C3115">
        <v>0</v>
      </c>
    </row>
    <row r="3116" spans="1:3" x14ac:dyDescent="0.25">
      <c r="A3116" s="48" t="s">
        <v>19204</v>
      </c>
      <c r="B3116" t="s">
        <v>20733</v>
      </c>
      <c r="C3116">
        <v>0</v>
      </c>
    </row>
    <row r="3117" spans="1:3" x14ac:dyDescent="0.25">
      <c r="A3117" s="48" t="s">
        <v>19208</v>
      </c>
      <c r="B3117" t="s">
        <v>20734</v>
      </c>
      <c r="C3117">
        <v>0</v>
      </c>
    </row>
    <row r="3118" spans="1:3" x14ac:dyDescent="0.25">
      <c r="A3118" s="48" t="s">
        <v>19212</v>
      </c>
      <c r="B3118" t="s">
        <v>20735</v>
      </c>
      <c r="C3118">
        <v>0</v>
      </c>
    </row>
    <row r="3119" spans="1:3" x14ac:dyDescent="0.25">
      <c r="A3119" s="48" t="s">
        <v>19196</v>
      </c>
      <c r="B3119" t="s">
        <v>20736</v>
      </c>
      <c r="C3119">
        <v>0</v>
      </c>
    </row>
    <row r="3120" spans="1:3" x14ac:dyDescent="0.25">
      <c r="A3120" s="48" t="s">
        <v>19146</v>
      </c>
      <c r="B3120" t="s">
        <v>20737</v>
      </c>
      <c r="C3120">
        <v>0</v>
      </c>
    </row>
    <row r="3121" spans="1:3" x14ac:dyDescent="0.25">
      <c r="A3121" s="48" t="s">
        <v>19148</v>
      </c>
      <c r="B3121" t="s">
        <v>20738</v>
      </c>
      <c r="C3121">
        <v>0</v>
      </c>
    </row>
    <row r="3122" spans="1:3" x14ac:dyDescent="0.25">
      <c r="A3122" s="48" t="s">
        <v>19150</v>
      </c>
      <c r="B3122" t="s">
        <v>20739</v>
      </c>
      <c r="C3122">
        <v>0</v>
      </c>
    </row>
    <row r="3123" spans="1:3" x14ac:dyDescent="0.25">
      <c r="A3123" s="48" t="s">
        <v>19152</v>
      </c>
      <c r="B3123" t="s">
        <v>20740</v>
      </c>
      <c r="C3123">
        <v>0</v>
      </c>
    </row>
    <row r="3124" spans="1:3" x14ac:dyDescent="0.25">
      <c r="A3124" s="48" t="s">
        <v>19142</v>
      </c>
      <c r="B3124" t="s">
        <v>20741</v>
      </c>
      <c r="C3124">
        <v>0</v>
      </c>
    </row>
    <row r="3125" spans="1:3" x14ac:dyDescent="0.25">
      <c r="A3125" s="48" t="s">
        <v>19706</v>
      </c>
      <c r="B3125" t="s">
        <v>20742</v>
      </c>
      <c r="C3125">
        <v>0</v>
      </c>
    </row>
    <row r="3126" spans="1:3" x14ac:dyDescent="0.25">
      <c r="A3126" s="48" t="s">
        <v>14535</v>
      </c>
      <c r="B3126" t="s">
        <v>20743</v>
      </c>
      <c r="C3126">
        <v>0</v>
      </c>
    </row>
    <row r="3127" spans="1:3" x14ac:dyDescent="0.25">
      <c r="A3127" s="48" t="s">
        <v>10191</v>
      </c>
      <c r="B3127" t="s">
        <v>20744</v>
      </c>
      <c r="C3127">
        <v>50</v>
      </c>
    </row>
    <row r="3128" spans="1:3" x14ac:dyDescent="0.25">
      <c r="A3128" s="48" t="s">
        <v>5343</v>
      </c>
      <c r="B3128" t="s">
        <v>20745</v>
      </c>
      <c r="C3128">
        <v>0</v>
      </c>
    </row>
    <row r="3129" spans="1:3" x14ac:dyDescent="0.25">
      <c r="A3129" s="48" t="s">
        <v>5349</v>
      </c>
      <c r="B3129" t="s">
        <v>20746</v>
      </c>
      <c r="C3129">
        <v>0</v>
      </c>
    </row>
    <row r="3130" spans="1:3" x14ac:dyDescent="0.25">
      <c r="A3130" s="48" t="s">
        <v>5341</v>
      </c>
      <c r="B3130" t="s">
        <v>5342</v>
      </c>
      <c r="C3130">
        <v>0</v>
      </c>
    </row>
    <row r="3131" spans="1:3" x14ac:dyDescent="0.25">
      <c r="A3131" s="48" t="s">
        <v>5347</v>
      </c>
      <c r="B3131" t="s">
        <v>20747</v>
      </c>
      <c r="C3131">
        <v>0</v>
      </c>
    </row>
    <row r="3132" spans="1:3" x14ac:dyDescent="0.25">
      <c r="A3132" s="48" t="s">
        <v>2632</v>
      </c>
      <c r="B3132" t="s">
        <v>20748</v>
      </c>
      <c r="C3132">
        <v>7</v>
      </c>
    </row>
    <row r="3133" spans="1:3" x14ac:dyDescent="0.25">
      <c r="A3133" s="48" t="s">
        <v>11692</v>
      </c>
      <c r="B3133" t="s">
        <v>20749</v>
      </c>
      <c r="C3133">
        <v>0</v>
      </c>
    </row>
    <row r="3134" spans="1:3" x14ac:dyDescent="0.25">
      <c r="A3134" s="48" t="s">
        <v>19674</v>
      </c>
      <c r="B3134" t="s">
        <v>20750</v>
      </c>
      <c r="C3134">
        <v>0</v>
      </c>
    </row>
    <row r="3135" spans="1:3" x14ac:dyDescent="0.25">
      <c r="A3135" s="48" t="s">
        <v>14748</v>
      </c>
      <c r="B3135" t="s">
        <v>20751</v>
      </c>
      <c r="C3135">
        <v>0</v>
      </c>
    </row>
    <row r="3136" spans="1:3" x14ac:dyDescent="0.25">
      <c r="A3136" s="48" t="s">
        <v>14672</v>
      </c>
      <c r="B3136" t="s">
        <v>20752</v>
      </c>
      <c r="C3136">
        <v>0</v>
      </c>
    </row>
    <row r="3137" spans="1:3" x14ac:dyDescent="0.25">
      <c r="A3137" s="48" t="s">
        <v>14670</v>
      </c>
      <c r="B3137" t="s">
        <v>20753</v>
      </c>
      <c r="C3137">
        <v>2</v>
      </c>
    </row>
    <row r="3138" spans="1:3" x14ac:dyDescent="0.25">
      <c r="A3138" s="48" t="s">
        <v>14666</v>
      </c>
      <c r="B3138" t="s">
        <v>20754</v>
      </c>
      <c r="C3138">
        <v>0</v>
      </c>
    </row>
    <row r="3139" spans="1:3" x14ac:dyDescent="0.25">
      <c r="A3139" s="48" t="s">
        <v>14668</v>
      </c>
      <c r="B3139" t="s">
        <v>20755</v>
      </c>
      <c r="C3139">
        <v>4</v>
      </c>
    </row>
    <row r="3140" spans="1:3" x14ac:dyDescent="0.25">
      <c r="A3140" s="48" t="s">
        <v>7943</v>
      </c>
      <c r="B3140" t="s">
        <v>20756</v>
      </c>
      <c r="C3140">
        <v>0</v>
      </c>
    </row>
    <row r="3141" spans="1:3" x14ac:dyDescent="0.25">
      <c r="A3141" s="48" t="s">
        <v>9524</v>
      </c>
      <c r="B3141" t="s">
        <v>20757</v>
      </c>
      <c r="C3141">
        <v>0</v>
      </c>
    </row>
    <row r="3142" spans="1:3" x14ac:dyDescent="0.25">
      <c r="A3142" s="48" t="s">
        <v>9526</v>
      </c>
      <c r="B3142" t="s">
        <v>20758</v>
      </c>
      <c r="C3142">
        <v>0</v>
      </c>
    </row>
    <row r="3143" spans="1:3" x14ac:dyDescent="0.25">
      <c r="A3143" s="48" t="s">
        <v>17136</v>
      </c>
      <c r="B3143" t="s">
        <v>20759</v>
      </c>
      <c r="C3143">
        <v>0</v>
      </c>
    </row>
    <row r="3144" spans="1:3" x14ac:dyDescent="0.25">
      <c r="A3144" s="48" t="s">
        <v>8183</v>
      </c>
      <c r="B3144" t="s">
        <v>20760</v>
      </c>
      <c r="C3144">
        <v>5</v>
      </c>
    </row>
    <row r="3145" spans="1:3" x14ac:dyDescent="0.25">
      <c r="A3145" s="48" t="s">
        <v>17138</v>
      </c>
      <c r="B3145" t="s">
        <v>20761</v>
      </c>
      <c r="C3145">
        <v>0</v>
      </c>
    </row>
    <row r="3146" spans="1:3" x14ac:dyDescent="0.25">
      <c r="A3146" s="48" t="s">
        <v>5169</v>
      </c>
      <c r="B3146" t="s">
        <v>20762</v>
      </c>
      <c r="C3146">
        <v>0</v>
      </c>
    </row>
    <row r="3147" spans="1:3" x14ac:dyDescent="0.25">
      <c r="A3147" s="48" t="s">
        <v>16996</v>
      </c>
      <c r="B3147" t="s">
        <v>20763</v>
      </c>
      <c r="C3147">
        <v>0</v>
      </c>
    </row>
    <row r="3148" spans="1:3" x14ac:dyDescent="0.25">
      <c r="A3148" s="48" t="s">
        <v>8181</v>
      </c>
      <c r="B3148" t="s">
        <v>20764</v>
      </c>
      <c r="C3148">
        <v>0</v>
      </c>
    </row>
    <row r="3149" spans="1:3" x14ac:dyDescent="0.25">
      <c r="A3149" s="48" t="s">
        <v>9528</v>
      </c>
      <c r="B3149" t="s">
        <v>20765</v>
      </c>
      <c r="C3149">
        <v>0</v>
      </c>
    </row>
    <row r="3150" spans="1:3" x14ac:dyDescent="0.25">
      <c r="A3150" s="48" t="s">
        <v>7827</v>
      </c>
      <c r="B3150" t="s">
        <v>20766</v>
      </c>
      <c r="C3150">
        <v>7</v>
      </c>
    </row>
    <row r="3151" spans="1:3" x14ac:dyDescent="0.25">
      <c r="A3151" s="48" t="s">
        <v>17132</v>
      </c>
      <c r="B3151" t="s">
        <v>20767</v>
      </c>
      <c r="C3151">
        <v>0</v>
      </c>
    </row>
    <row r="3152" spans="1:3" x14ac:dyDescent="0.25">
      <c r="A3152" s="48" t="s">
        <v>8011</v>
      </c>
      <c r="B3152" t="s">
        <v>20768</v>
      </c>
      <c r="C3152">
        <v>0</v>
      </c>
    </row>
    <row r="3153" spans="1:3" x14ac:dyDescent="0.25">
      <c r="A3153" s="48" t="s">
        <v>8005</v>
      </c>
      <c r="B3153" t="s">
        <v>20769</v>
      </c>
      <c r="C3153">
        <v>0</v>
      </c>
    </row>
    <row r="3154" spans="1:3" x14ac:dyDescent="0.25">
      <c r="A3154" s="48" t="s">
        <v>8003</v>
      </c>
      <c r="B3154" t="s">
        <v>20770</v>
      </c>
      <c r="C3154">
        <v>0</v>
      </c>
    </row>
    <row r="3155" spans="1:3" x14ac:dyDescent="0.25">
      <c r="A3155" s="48" t="s">
        <v>8007</v>
      </c>
      <c r="B3155" t="s">
        <v>20771</v>
      </c>
      <c r="C3155">
        <v>0</v>
      </c>
    </row>
    <row r="3156" spans="1:3" x14ac:dyDescent="0.25">
      <c r="A3156" s="48" t="s">
        <v>8009</v>
      </c>
      <c r="B3156" t="s">
        <v>20772</v>
      </c>
      <c r="C3156">
        <v>0</v>
      </c>
    </row>
    <row r="3157" spans="1:3" x14ac:dyDescent="0.25">
      <c r="A3157" s="48" t="s">
        <v>19676</v>
      </c>
      <c r="B3157" t="s">
        <v>20773</v>
      </c>
      <c r="C3157">
        <v>0</v>
      </c>
    </row>
    <row r="3158" spans="1:3" x14ac:dyDescent="0.25">
      <c r="A3158" s="48" t="s">
        <v>19124</v>
      </c>
      <c r="B3158" t="s">
        <v>20774</v>
      </c>
      <c r="C3158">
        <v>0</v>
      </c>
    </row>
    <row r="3159" spans="1:3" x14ac:dyDescent="0.25">
      <c r="A3159" s="48" t="s">
        <v>19132</v>
      </c>
      <c r="B3159" t="s">
        <v>20775</v>
      </c>
      <c r="C3159">
        <v>0</v>
      </c>
    </row>
    <row r="3160" spans="1:3" x14ac:dyDescent="0.25">
      <c r="A3160" s="48" t="s">
        <v>19134</v>
      </c>
      <c r="B3160" t="s">
        <v>20776</v>
      </c>
      <c r="C3160">
        <v>0</v>
      </c>
    </row>
    <row r="3161" spans="1:3" x14ac:dyDescent="0.25">
      <c r="A3161" s="48" t="s">
        <v>19126</v>
      </c>
      <c r="B3161" t="s">
        <v>20777</v>
      </c>
      <c r="C3161">
        <v>0</v>
      </c>
    </row>
    <row r="3162" spans="1:3" x14ac:dyDescent="0.25">
      <c r="A3162" s="48" t="s">
        <v>19138</v>
      </c>
      <c r="B3162" t="s">
        <v>20778</v>
      </c>
      <c r="C3162">
        <v>0</v>
      </c>
    </row>
    <row r="3163" spans="1:3" x14ac:dyDescent="0.25">
      <c r="A3163" s="48" t="s">
        <v>19120</v>
      </c>
      <c r="B3163" t="s">
        <v>20779</v>
      </c>
      <c r="C3163">
        <v>0</v>
      </c>
    </row>
    <row r="3164" spans="1:3" x14ac:dyDescent="0.25">
      <c r="A3164" s="48" t="s">
        <v>19180</v>
      </c>
      <c r="B3164" t="s">
        <v>20780</v>
      </c>
      <c r="C3164">
        <v>0</v>
      </c>
    </row>
    <row r="3165" spans="1:3" x14ac:dyDescent="0.25">
      <c r="A3165" s="48" t="s">
        <v>19182</v>
      </c>
      <c r="B3165" t="s">
        <v>20781</v>
      </c>
      <c r="C3165">
        <v>0</v>
      </c>
    </row>
    <row r="3166" spans="1:3" x14ac:dyDescent="0.25">
      <c r="A3166" s="48" t="s">
        <v>19176</v>
      </c>
      <c r="B3166" t="s">
        <v>20782</v>
      </c>
      <c r="C3166">
        <v>0</v>
      </c>
    </row>
    <row r="3167" spans="1:3" x14ac:dyDescent="0.25">
      <c r="A3167" s="48" t="s">
        <v>19188</v>
      </c>
      <c r="B3167" t="s">
        <v>20783</v>
      </c>
      <c r="C3167">
        <v>0</v>
      </c>
    </row>
    <row r="3168" spans="1:3" x14ac:dyDescent="0.25">
      <c r="A3168" s="48" t="s">
        <v>19192</v>
      </c>
      <c r="B3168" t="s">
        <v>20784</v>
      </c>
      <c r="C3168">
        <v>0</v>
      </c>
    </row>
    <row r="3169" spans="1:3" x14ac:dyDescent="0.25">
      <c r="A3169" s="48" t="s">
        <v>19156</v>
      </c>
      <c r="B3169" t="s">
        <v>20785</v>
      </c>
      <c r="C3169">
        <v>0</v>
      </c>
    </row>
    <row r="3170" spans="1:3" x14ac:dyDescent="0.25">
      <c r="A3170" s="48" t="s">
        <v>19160</v>
      </c>
      <c r="B3170" t="s">
        <v>20786</v>
      </c>
      <c r="C3170">
        <v>0</v>
      </c>
    </row>
    <row r="3171" spans="1:3" x14ac:dyDescent="0.25">
      <c r="A3171" s="48" t="s">
        <v>8457</v>
      </c>
      <c r="B3171" t="s">
        <v>20787</v>
      </c>
      <c r="C3171">
        <v>0</v>
      </c>
    </row>
    <row r="3172" spans="1:3" x14ac:dyDescent="0.25">
      <c r="A3172" s="48" t="s">
        <v>19070</v>
      </c>
      <c r="B3172" t="s">
        <v>20788</v>
      </c>
      <c r="C3172">
        <v>0</v>
      </c>
    </row>
    <row r="3173" spans="1:3" x14ac:dyDescent="0.25">
      <c r="A3173" s="48" t="s">
        <v>19074</v>
      </c>
      <c r="B3173" t="s">
        <v>20789</v>
      </c>
      <c r="C3173">
        <v>0</v>
      </c>
    </row>
    <row r="3174" spans="1:3" x14ac:dyDescent="0.25">
      <c r="A3174" s="48" t="s">
        <v>19078</v>
      </c>
      <c r="B3174" t="s">
        <v>20790</v>
      </c>
      <c r="C3174">
        <v>0</v>
      </c>
    </row>
    <row r="3175" spans="1:3" x14ac:dyDescent="0.25">
      <c r="A3175" s="48" t="s">
        <v>19066</v>
      </c>
      <c r="B3175" t="s">
        <v>20791</v>
      </c>
      <c r="C3175">
        <v>0</v>
      </c>
    </row>
    <row r="3176" spans="1:3" x14ac:dyDescent="0.25">
      <c r="A3176" s="48" t="s">
        <v>19088</v>
      </c>
      <c r="B3176" t="s">
        <v>20792</v>
      </c>
      <c r="C3176">
        <v>0</v>
      </c>
    </row>
    <row r="3177" spans="1:3" x14ac:dyDescent="0.25">
      <c r="A3177" s="48" t="s">
        <v>19090</v>
      </c>
      <c r="B3177" t="s">
        <v>20793</v>
      </c>
      <c r="C3177">
        <v>0</v>
      </c>
    </row>
    <row r="3178" spans="1:3" x14ac:dyDescent="0.25">
      <c r="A3178" s="48" t="s">
        <v>19094</v>
      </c>
      <c r="B3178" t="s">
        <v>20794</v>
      </c>
      <c r="C3178">
        <v>0</v>
      </c>
    </row>
    <row r="3179" spans="1:3" x14ac:dyDescent="0.25">
      <c r="A3179" s="48" t="s">
        <v>19098</v>
      </c>
      <c r="B3179" t="s">
        <v>20795</v>
      </c>
      <c r="C3179">
        <v>0</v>
      </c>
    </row>
    <row r="3180" spans="1:3" x14ac:dyDescent="0.25">
      <c r="A3180" s="48" t="s">
        <v>19084</v>
      </c>
      <c r="B3180" t="s">
        <v>20796</v>
      </c>
      <c r="C3180">
        <v>0</v>
      </c>
    </row>
    <row r="3181" spans="1:3" x14ac:dyDescent="0.25">
      <c r="A3181" s="48" t="s">
        <v>19172</v>
      </c>
      <c r="B3181" t="s">
        <v>20797</v>
      </c>
      <c r="C3181">
        <v>0</v>
      </c>
    </row>
    <row r="3182" spans="1:3" x14ac:dyDescent="0.25">
      <c r="A3182" s="48" t="s">
        <v>19168</v>
      </c>
      <c r="B3182" t="s">
        <v>20798</v>
      </c>
      <c r="C3182">
        <v>0</v>
      </c>
    </row>
    <row r="3183" spans="1:3" x14ac:dyDescent="0.25">
      <c r="A3183" s="48" t="s">
        <v>19164</v>
      </c>
      <c r="B3183" t="s">
        <v>20799</v>
      </c>
      <c r="C3183">
        <v>0</v>
      </c>
    </row>
    <row r="3184" spans="1:3" x14ac:dyDescent="0.25">
      <c r="A3184" s="48" t="s">
        <v>18578</v>
      </c>
      <c r="B3184" t="s">
        <v>18579</v>
      </c>
      <c r="C3184">
        <v>3</v>
      </c>
    </row>
    <row r="3185" spans="1:3" x14ac:dyDescent="0.25">
      <c r="A3185" s="48" t="s">
        <v>1229</v>
      </c>
      <c r="B3185" t="s">
        <v>1230</v>
      </c>
      <c r="C3185">
        <v>3</v>
      </c>
    </row>
    <row r="3186" spans="1:3" x14ac:dyDescent="0.25">
      <c r="A3186" s="48" t="s">
        <v>7758</v>
      </c>
      <c r="B3186" t="s">
        <v>20800</v>
      </c>
      <c r="C3186">
        <v>0</v>
      </c>
    </row>
    <row r="3187" spans="1:3" x14ac:dyDescent="0.25">
      <c r="A3187" s="48" t="s">
        <v>6934</v>
      </c>
      <c r="B3187" t="s">
        <v>20801</v>
      </c>
      <c r="C3187">
        <v>0</v>
      </c>
    </row>
    <row r="3188" spans="1:3" x14ac:dyDescent="0.25">
      <c r="A3188" s="48" t="s">
        <v>7760</v>
      </c>
      <c r="B3188" t="s">
        <v>20802</v>
      </c>
      <c r="C3188">
        <v>0</v>
      </c>
    </row>
    <row r="3189" spans="1:3" x14ac:dyDescent="0.25">
      <c r="A3189" s="48" t="s">
        <v>8515</v>
      </c>
      <c r="B3189" t="s">
        <v>20803</v>
      </c>
      <c r="C3189">
        <v>0</v>
      </c>
    </row>
    <row r="3190" spans="1:3" x14ac:dyDescent="0.25">
      <c r="A3190" s="48" t="s">
        <v>19408</v>
      </c>
      <c r="B3190" t="s">
        <v>20804</v>
      </c>
      <c r="C3190">
        <v>0</v>
      </c>
    </row>
    <row r="3191" spans="1:3" x14ac:dyDescent="0.25">
      <c r="A3191" s="48" t="s">
        <v>19048</v>
      </c>
      <c r="B3191" t="s">
        <v>20805</v>
      </c>
      <c r="C3191">
        <v>0</v>
      </c>
    </row>
    <row r="3192" spans="1:3" x14ac:dyDescent="0.25">
      <c r="A3192" s="48" t="s">
        <v>6474</v>
      </c>
      <c r="B3192" t="s">
        <v>6475</v>
      </c>
      <c r="C3192">
        <v>6</v>
      </c>
    </row>
    <row r="3193" spans="1:3" x14ac:dyDescent="0.25">
      <c r="A3193" s="48" t="s">
        <v>19226</v>
      </c>
      <c r="B3193" t="s">
        <v>20806</v>
      </c>
      <c r="C3193">
        <v>0</v>
      </c>
    </row>
    <row r="3194" spans="1:3" x14ac:dyDescent="0.25">
      <c r="A3194" s="48" t="s">
        <v>12797</v>
      </c>
      <c r="B3194" t="s">
        <v>12798</v>
      </c>
      <c r="C3194">
        <v>13</v>
      </c>
    </row>
    <row r="3195" spans="1:3" x14ac:dyDescent="0.25">
      <c r="A3195" s="48" t="s">
        <v>19224</v>
      </c>
      <c r="B3195" t="s">
        <v>20807</v>
      </c>
      <c r="C3195">
        <v>0</v>
      </c>
    </row>
    <row r="3196" spans="1:3" x14ac:dyDescent="0.25">
      <c r="A3196" s="48" t="s">
        <v>19056</v>
      </c>
      <c r="B3196" t="s">
        <v>20808</v>
      </c>
      <c r="C3196">
        <v>0</v>
      </c>
    </row>
    <row r="3197" spans="1:3" x14ac:dyDescent="0.25">
      <c r="A3197" s="48" t="s">
        <v>7835</v>
      </c>
      <c r="B3197" t="s">
        <v>7836</v>
      </c>
      <c r="C3197">
        <v>12</v>
      </c>
    </row>
    <row r="3198" spans="1:3" x14ac:dyDescent="0.25">
      <c r="A3198" s="48" t="s">
        <v>16810</v>
      </c>
      <c r="B3198" t="s">
        <v>16811</v>
      </c>
      <c r="C3198">
        <v>0</v>
      </c>
    </row>
    <row r="3199" spans="1:3" x14ac:dyDescent="0.25">
      <c r="A3199" s="48" t="s">
        <v>16812</v>
      </c>
      <c r="B3199" t="s">
        <v>16813</v>
      </c>
      <c r="C3199">
        <v>0</v>
      </c>
    </row>
    <row r="3200" spans="1:3" x14ac:dyDescent="0.25">
      <c r="A3200" s="48" t="s">
        <v>18758</v>
      </c>
      <c r="B3200" t="s">
        <v>20809</v>
      </c>
      <c r="C3200">
        <v>25</v>
      </c>
    </row>
    <row r="3201" spans="1:3" x14ac:dyDescent="0.25">
      <c r="A3201" s="48" t="s">
        <v>18760</v>
      </c>
      <c r="B3201" t="s">
        <v>20810</v>
      </c>
      <c r="C3201">
        <v>0</v>
      </c>
    </row>
    <row r="3202" spans="1:3" x14ac:dyDescent="0.25">
      <c r="A3202" s="48" t="s">
        <v>18754</v>
      </c>
      <c r="B3202" t="s">
        <v>20811</v>
      </c>
      <c r="C3202">
        <v>25</v>
      </c>
    </row>
    <row r="3203" spans="1:3" x14ac:dyDescent="0.25">
      <c r="A3203" s="48" t="s">
        <v>18756</v>
      </c>
      <c r="B3203" t="s">
        <v>20812</v>
      </c>
      <c r="C3203">
        <v>0</v>
      </c>
    </row>
    <row r="3204" spans="1:3" x14ac:dyDescent="0.25">
      <c r="A3204" s="48" t="s">
        <v>7837</v>
      </c>
      <c r="B3204" t="s">
        <v>7838</v>
      </c>
      <c r="C3204">
        <v>46</v>
      </c>
    </row>
    <row r="3205" spans="1:3" x14ac:dyDescent="0.25">
      <c r="A3205" s="48" t="s">
        <v>4264</v>
      </c>
      <c r="B3205" t="s">
        <v>20813</v>
      </c>
      <c r="C3205">
        <v>0</v>
      </c>
    </row>
    <row r="3206" spans="1:3" x14ac:dyDescent="0.25">
      <c r="A3206" s="48" t="s">
        <v>4278</v>
      </c>
      <c r="B3206" t="s">
        <v>4279</v>
      </c>
      <c r="C3206">
        <v>0</v>
      </c>
    </row>
    <row r="3207" spans="1:3" x14ac:dyDescent="0.25">
      <c r="A3207" s="48" t="s">
        <v>17440</v>
      </c>
      <c r="B3207" t="s">
        <v>17441</v>
      </c>
      <c r="C3207">
        <v>2</v>
      </c>
    </row>
    <row r="3208" spans="1:3" x14ac:dyDescent="0.25">
      <c r="A3208" s="48" t="s">
        <v>5079</v>
      </c>
      <c r="B3208" t="s">
        <v>5080</v>
      </c>
      <c r="C3208">
        <v>0</v>
      </c>
    </row>
    <row r="3209" spans="1:3" x14ac:dyDescent="0.25">
      <c r="A3209" s="48" t="s">
        <v>5085</v>
      </c>
      <c r="B3209" t="s">
        <v>5086</v>
      </c>
      <c r="C3209">
        <v>0</v>
      </c>
    </row>
    <row r="3210" spans="1:3" x14ac:dyDescent="0.25">
      <c r="A3210" s="48" t="s">
        <v>5083</v>
      </c>
      <c r="B3210" t="s">
        <v>5084</v>
      </c>
      <c r="C3210">
        <v>0</v>
      </c>
    </row>
    <row r="3211" spans="1:3" x14ac:dyDescent="0.25">
      <c r="A3211" s="48" t="s">
        <v>5087</v>
      </c>
      <c r="B3211" t="s">
        <v>5088</v>
      </c>
      <c r="C3211">
        <v>5</v>
      </c>
    </row>
    <row r="3212" spans="1:3" x14ac:dyDescent="0.25">
      <c r="A3212" s="48" t="s">
        <v>5077</v>
      </c>
      <c r="B3212" t="s">
        <v>5078</v>
      </c>
      <c r="C3212">
        <v>0</v>
      </c>
    </row>
    <row r="3213" spans="1:3" x14ac:dyDescent="0.25">
      <c r="A3213" s="48" t="s">
        <v>5093</v>
      </c>
      <c r="B3213" t="s">
        <v>5094</v>
      </c>
      <c r="C3213">
        <v>11</v>
      </c>
    </row>
    <row r="3214" spans="1:3" x14ac:dyDescent="0.25">
      <c r="A3214" s="48" t="s">
        <v>18830</v>
      </c>
      <c r="B3214" t="s">
        <v>18831</v>
      </c>
      <c r="C3214">
        <v>0</v>
      </c>
    </row>
    <row r="3215" spans="1:3" x14ac:dyDescent="0.25">
      <c r="A3215" s="48" t="s">
        <v>9538</v>
      </c>
      <c r="B3215" t="s">
        <v>9539</v>
      </c>
      <c r="C3215">
        <v>20</v>
      </c>
    </row>
    <row r="3216" spans="1:3" x14ac:dyDescent="0.25">
      <c r="A3216" s="48" t="s">
        <v>4380</v>
      </c>
      <c r="B3216" t="s">
        <v>4381</v>
      </c>
      <c r="C3216">
        <v>0</v>
      </c>
    </row>
    <row r="3217" spans="1:3" x14ac:dyDescent="0.25">
      <c r="A3217" s="48" t="s">
        <v>4382</v>
      </c>
      <c r="B3217" t="s">
        <v>4383</v>
      </c>
      <c r="C3217">
        <v>0</v>
      </c>
    </row>
    <row r="3218" spans="1:3" x14ac:dyDescent="0.25">
      <c r="A3218" s="48" t="s">
        <v>4282</v>
      </c>
      <c r="B3218" t="s">
        <v>4283</v>
      </c>
      <c r="C3218">
        <v>0</v>
      </c>
    </row>
    <row r="3219" spans="1:3" x14ac:dyDescent="0.25">
      <c r="A3219" s="48" t="s">
        <v>6440</v>
      </c>
      <c r="B3219" t="s">
        <v>6441</v>
      </c>
      <c r="C3219">
        <v>0</v>
      </c>
    </row>
    <row r="3220" spans="1:3" x14ac:dyDescent="0.25">
      <c r="A3220" s="48" t="s">
        <v>6444</v>
      </c>
      <c r="B3220" t="s">
        <v>6445</v>
      </c>
      <c r="C3220">
        <v>0</v>
      </c>
    </row>
    <row r="3221" spans="1:3" x14ac:dyDescent="0.25">
      <c r="A3221" s="48" t="s">
        <v>6448</v>
      </c>
      <c r="B3221" t="s">
        <v>6449</v>
      </c>
      <c r="C3221">
        <v>0</v>
      </c>
    </row>
    <row r="3222" spans="1:3" x14ac:dyDescent="0.25">
      <c r="A3222" s="48" t="s">
        <v>6436</v>
      </c>
      <c r="B3222" t="s">
        <v>6437</v>
      </c>
      <c r="C3222">
        <v>0</v>
      </c>
    </row>
    <row r="3223" spans="1:3" x14ac:dyDescent="0.25">
      <c r="A3223" s="48" t="s">
        <v>16404</v>
      </c>
      <c r="B3223" t="s">
        <v>16405</v>
      </c>
      <c r="C3223">
        <v>0</v>
      </c>
    </row>
    <row r="3224" spans="1:3" x14ac:dyDescent="0.25">
      <c r="A3224" s="48" t="s">
        <v>16408</v>
      </c>
      <c r="B3224" t="s">
        <v>16409</v>
      </c>
      <c r="C3224">
        <v>0</v>
      </c>
    </row>
    <row r="3225" spans="1:3" x14ac:dyDescent="0.25">
      <c r="A3225" s="48" t="s">
        <v>6434</v>
      </c>
      <c r="B3225" t="s">
        <v>6435</v>
      </c>
      <c r="C3225">
        <v>0</v>
      </c>
    </row>
    <row r="3226" spans="1:3" x14ac:dyDescent="0.25">
      <c r="A3226" s="48" t="s">
        <v>6446</v>
      </c>
      <c r="B3226" t="s">
        <v>6447</v>
      </c>
      <c r="C3226">
        <v>0</v>
      </c>
    </row>
    <row r="3227" spans="1:3" x14ac:dyDescent="0.25">
      <c r="A3227" s="48" t="s">
        <v>6442</v>
      </c>
      <c r="B3227" t="s">
        <v>6443</v>
      </c>
      <c r="C3227">
        <v>0</v>
      </c>
    </row>
    <row r="3228" spans="1:3" x14ac:dyDescent="0.25">
      <c r="A3228" s="48" t="s">
        <v>6438</v>
      </c>
      <c r="B3228" t="s">
        <v>6439</v>
      </c>
      <c r="C3228">
        <v>0</v>
      </c>
    </row>
    <row r="3229" spans="1:3" x14ac:dyDescent="0.25">
      <c r="A3229" s="48" t="s">
        <v>4362</v>
      </c>
      <c r="B3229" t="s">
        <v>4363</v>
      </c>
      <c r="C3229">
        <v>0</v>
      </c>
    </row>
    <row r="3230" spans="1:3" x14ac:dyDescent="0.25">
      <c r="A3230" s="48" t="s">
        <v>4370</v>
      </c>
      <c r="B3230" t="s">
        <v>4371</v>
      </c>
      <c r="C3230">
        <v>0</v>
      </c>
    </row>
    <row r="3231" spans="1:3" x14ac:dyDescent="0.25">
      <c r="A3231" s="48" t="s">
        <v>4376</v>
      </c>
      <c r="B3231" t="s">
        <v>4377</v>
      </c>
      <c r="C3231">
        <v>0</v>
      </c>
    </row>
    <row r="3232" spans="1:3" x14ac:dyDescent="0.25">
      <c r="A3232" s="48" t="s">
        <v>4368</v>
      </c>
      <c r="B3232" t="s">
        <v>4369</v>
      </c>
      <c r="C3232">
        <v>0</v>
      </c>
    </row>
    <row r="3233" spans="1:3" x14ac:dyDescent="0.25">
      <c r="A3233" s="48" t="s">
        <v>14294</v>
      </c>
      <c r="B3233" t="s">
        <v>14295</v>
      </c>
      <c r="C3233">
        <v>0</v>
      </c>
    </row>
    <row r="3234" spans="1:3" x14ac:dyDescent="0.25">
      <c r="A3234" s="48" t="s">
        <v>8357</v>
      </c>
      <c r="B3234" t="s">
        <v>8358</v>
      </c>
      <c r="C3234">
        <v>0</v>
      </c>
    </row>
    <row r="3235" spans="1:3" x14ac:dyDescent="0.25">
      <c r="A3235" s="48" t="s">
        <v>8351</v>
      </c>
      <c r="B3235" t="s">
        <v>8352</v>
      </c>
      <c r="C3235">
        <v>215</v>
      </c>
    </row>
    <row r="3236" spans="1:3" x14ac:dyDescent="0.25">
      <c r="A3236" s="48" t="s">
        <v>9530</v>
      </c>
      <c r="B3236" t="s">
        <v>20814</v>
      </c>
      <c r="C3236">
        <v>8</v>
      </c>
    </row>
    <row r="3237" spans="1:3" x14ac:dyDescent="0.25">
      <c r="A3237" s="48" t="s">
        <v>18193</v>
      </c>
      <c r="B3237" t="s">
        <v>18194</v>
      </c>
      <c r="C3237">
        <v>0</v>
      </c>
    </row>
    <row r="3238" spans="1:3" x14ac:dyDescent="0.25">
      <c r="A3238" s="48" t="s">
        <v>16402</v>
      </c>
      <c r="B3238" t="s">
        <v>16403</v>
      </c>
      <c r="C3238">
        <v>0</v>
      </c>
    </row>
    <row r="3239" spans="1:3" x14ac:dyDescent="0.25">
      <c r="A3239" s="48" t="s">
        <v>4174</v>
      </c>
      <c r="B3239" t="s">
        <v>4175</v>
      </c>
      <c r="C3239">
        <v>114</v>
      </c>
    </row>
    <row r="3240" spans="1:3" x14ac:dyDescent="0.25">
      <c r="A3240" s="48" t="s">
        <v>4286</v>
      </c>
      <c r="B3240" t="s">
        <v>4287</v>
      </c>
      <c r="C3240">
        <v>0</v>
      </c>
    </row>
    <row r="3241" spans="1:3" x14ac:dyDescent="0.25">
      <c r="A3241" s="48" t="s">
        <v>8355</v>
      </c>
      <c r="B3241" t="s">
        <v>8356</v>
      </c>
      <c r="C3241">
        <v>29</v>
      </c>
    </row>
    <row r="3242" spans="1:3" x14ac:dyDescent="0.25">
      <c r="A3242" s="48" t="s">
        <v>8353</v>
      </c>
      <c r="B3242" t="s">
        <v>8354</v>
      </c>
      <c r="C3242">
        <v>100</v>
      </c>
    </row>
    <row r="3243" spans="1:3" x14ac:dyDescent="0.25">
      <c r="A3243" s="48" t="s">
        <v>3773</v>
      </c>
      <c r="B3243" t="s">
        <v>3774</v>
      </c>
      <c r="C3243">
        <v>0</v>
      </c>
    </row>
    <row r="3244" spans="1:3" x14ac:dyDescent="0.25">
      <c r="A3244" s="48" t="s">
        <v>18520</v>
      </c>
      <c r="B3244" t="s">
        <v>18521</v>
      </c>
      <c r="C3244">
        <v>16</v>
      </c>
    </row>
    <row r="3245" spans="1:3" x14ac:dyDescent="0.25">
      <c r="A3245" s="48" t="s">
        <v>7839</v>
      </c>
      <c r="B3245" t="s">
        <v>7840</v>
      </c>
      <c r="C3245">
        <v>19</v>
      </c>
    </row>
    <row r="3246" spans="1:3" x14ac:dyDescent="0.25">
      <c r="A3246" s="48" t="s">
        <v>4826</v>
      </c>
      <c r="B3246" t="s">
        <v>4827</v>
      </c>
      <c r="C3246">
        <v>0</v>
      </c>
    </row>
    <row r="3247" spans="1:3" x14ac:dyDescent="0.25">
      <c r="A3247" s="48" t="s">
        <v>4942</v>
      </c>
      <c r="B3247" t="s">
        <v>20815</v>
      </c>
      <c r="C3247">
        <v>5</v>
      </c>
    </row>
    <row r="3248" spans="1:3" x14ac:dyDescent="0.25">
      <c r="A3248" s="48" t="s">
        <v>18610</v>
      </c>
      <c r="B3248" t="s">
        <v>18611</v>
      </c>
      <c r="C3248">
        <v>0</v>
      </c>
    </row>
    <row r="3249" spans="1:3" x14ac:dyDescent="0.25">
      <c r="A3249" s="48" t="s">
        <v>18626</v>
      </c>
      <c r="B3249" t="s">
        <v>18627</v>
      </c>
      <c r="C3249">
        <v>2</v>
      </c>
    </row>
    <row r="3250" spans="1:3" x14ac:dyDescent="0.25">
      <c r="A3250" s="48" t="s">
        <v>4072</v>
      </c>
      <c r="B3250" t="s">
        <v>20816</v>
      </c>
      <c r="C3250">
        <v>21</v>
      </c>
    </row>
    <row r="3251" spans="1:3" x14ac:dyDescent="0.25">
      <c r="A3251" s="48" t="s">
        <v>4066</v>
      </c>
      <c r="B3251" t="s">
        <v>20817</v>
      </c>
      <c r="C3251">
        <v>13</v>
      </c>
    </row>
    <row r="3252" spans="1:3" x14ac:dyDescent="0.25">
      <c r="A3252" s="48" t="s">
        <v>4068</v>
      </c>
      <c r="B3252" t="s">
        <v>20818</v>
      </c>
      <c r="C3252">
        <v>1</v>
      </c>
    </row>
    <row r="3253" spans="1:3" x14ac:dyDescent="0.25">
      <c r="A3253" s="48" t="s">
        <v>4070</v>
      </c>
      <c r="B3253" t="s">
        <v>20819</v>
      </c>
      <c r="C3253">
        <v>29</v>
      </c>
    </row>
    <row r="3254" spans="1:3" x14ac:dyDescent="0.25">
      <c r="A3254" s="48" t="s">
        <v>4074</v>
      </c>
      <c r="B3254" t="s">
        <v>20820</v>
      </c>
      <c r="C3254">
        <v>17</v>
      </c>
    </row>
    <row r="3255" spans="1:3" x14ac:dyDescent="0.25">
      <c r="A3255" s="48" t="s">
        <v>4062</v>
      </c>
      <c r="B3255" t="s">
        <v>20821</v>
      </c>
      <c r="C3255">
        <v>0</v>
      </c>
    </row>
    <row r="3256" spans="1:3" x14ac:dyDescent="0.25">
      <c r="A3256" s="48" t="s">
        <v>4064</v>
      </c>
      <c r="B3256" t="s">
        <v>20822</v>
      </c>
      <c r="C3256">
        <v>0</v>
      </c>
    </row>
    <row r="3257" spans="1:3" x14ac:dyDescent="0.25">
      <c r="A3257" s="48" t="s">
        <v>14346</v>
      </c>
      <c r="B3257" t="s">
        <v>20823</v>
      </c>
      <c r="C3257">
        <v>2</v>
      </c>
    </row>
    <row r="3258" spans="1:3" x14ac:dyDescent="0.25">
      <c r="A3258" s="48" t="s">
        <v>14348</v>
      </c>
      <c r="B3258" t="s">
        <v>20824</v>
      </c>
      <c r="C3258">
        <v>26</v>
      </c>
    </row>
    <row r="3259" spans="1:3" x14ac:dyDescent="0.25">
      <c r="A3259" s="48" t="s">
        <v>6460</v>
      </c>
      <c r="B3259" t="s">
        <v>6461</v>
      </c>
      <c r="C3259">
        <v>10</v>
      </c>
    </row>
    <row r="3260" spans="1:3" x14ac:dyDescent="0.25">
      <c r="A3260" s="48" t="s">
        <v>6454</v>
      </c>
      <c r="B3260" t="s">
        <v>6455</v>
      </c>
      <c r="C3260">
        <v>0</v>
      </c>
    </row>
    <row r="3261" spans="1:3" x14ac:dyDescent="0.25">
      <c r="A3261" s="48" t="s">
        <v>6359</v>
      </c>
      <c r="B3261" t="s">
        <v>6360</v>
      </c>
      <c r="C3261">
        <v>0</v>
      </c>
    </row>
    <row r="3262" spans="1:3" x14ac:dyDescent="0.25">
      <c r="A3262" s="48" t="s">
        <v>4184</v>
      </c>
      <c r="B3262" t="s">
        <v>20825</v>
      </c>
      <c r="C3262">
        <v>377</v>
      </c>
    </row>
    <row r="3263" spans="1:3" x14ac:dyDescent="0.25">
      <c r="A3263" s="48" t="s">
        <v>5935</v>
      </c>
      <c r="B3263" t="s">
        <v>5936</v>
      </c>
      <c r="C3263">
        <v>0</v>
      </c>
    </row>
    <row r="3264" spans="1:3" x14ac:dyDescent="0.25">
      <c r="A3264" s="48" t="s">
        <v>5625</v>
      </c>
      <c r="B3264" t="s">
        <v>5626</v>
      </c>
      <c r="C3264">
        <v>0</v>
      </c>
    </row>
    <row r="3265" spans="1:3" x14ac:dyDescent="0.25">
      <c r="A3265" s="48" t="s">
        <v>16390</v>
      </c>
      <c r="B3265" t="s">
        <v>16391</v>
      </c>
      <c r="C3265">
        <v>0</v>
      </c>
    </row>
    <row r="3266" spans="1:3" x14ac:dyDescent="0.25">
      <c r="A3266" s="48" t="s">
        <v>13458</v>
      </c>
      <c r="B3266" t="s">
        <v>13459</v>
      </c>
      <c r="C3266">
        <v>0</v>
      </c>
    </row>
    <row r="3267" spans="1:3" x14ac:dyDescent="0.25">
      <c r="A3267" s="48" t="s">
        <v>14758</v>
      </c>
      <c r="B3267" t="s">
        <v>14759</v>
      </c>
      <c r="C3267">
        <v>23</v>
      </c>
    </row>
    <row r="3268" spans="1:3" x14ac:dyDescent="0.25">
      <c r="A3268" s="48" t="s">
        <v>14517</v>
      </c>
      <c r="B3268" t="s">
        <v>14518</v>
      </c>
      <c r="C3268">
        <v>0</v>
      </c>
    </row>
    <row r="3269" spans="1:3" x14ac:dyDescent="0.25">
      <c r="A3269" s="48" t="s">
        <v>12851</v>
      </c>
      <c r="B3269" t="s">
        <v>12852</v>
      </c>
      <c r="C3269">
        <v>0</v>
      </c>
    </row>
    <row r="3270" spans="1:3" x14ac:dyDescent="0.25">
      <c r="A3270" s="48" t="s">
        <v>3044</v>
      </c>
      <c r="B3270" t="s">
        <v>3045</v>
      </c>
      <c r="C3270">
        <v>0</v>
      </c>
    </row>
    <row r="3271" spans="1:3" x14ac:dyDescent="0.25">
      <c r="A3271" s="48" t="s">
        <v>18542</v>
      </c>
      <c r="B3271" t="s">
        <v>18543</v>
      </c>
      <c r="C3271">
        <v>7</v>
      </c>
    </row>
    <row r="3272" spans="1:3" x14ac:dyDescent="0.25">
      <c r="A3272" s="48" t="s">
        <v>4128</v>
      </c>
      <c r="B3272" t="s">
        <v>4129</v>
      </c>
      <c r="C3272">
        <v>0</v>
      </c>
    </row>
    <row r="3273" spans="1:3" x14ac:dyDescent="0.25">
      <c r="A3273" s="48" t="s">
        <v>13168</v>
      </c>
      <c r="B3273" t="s">
        <v>13169</v>
      </c>
      <c r="C3273">
        <v>5</v>
      </c>
    </row>
    <row r="3274" spans="1:3" x14ac:dyDescent="0.25">
      <c r="A3274" s="48" t="s">
        <v>13160</v>
      </c>
      <c r="B3274" t="s">
        <v>13161</v>
      </c>
      <c r="C3274">
        <v>10</v>
      </c>
    </row>
    <row r="3275" spans="1:3" x14ac:dyDescent="0.25">
      <c r="A3275" s="48" t="s">
        <v>13178</v>
      </c>
      <c r="B3275" t="s">
        <v>20826</v>
      </c>
      <c r="C3275">
        <v>0</v>
      </c>
    </row>
    <row r="3276" spans="1:3" x14ac:dyDescent="0.25">
      <c r="A3276" s="48" t="s">
        <v>13188</v>
      </c>
      <c r="B3276" t="s">
        <v>20827</v>
      </c>
      <c r="C3276">
        <v>0</v>
      </c>
    </row>
    <row r="3277" spans="1:3" x14ac:dyDescent="0.25">
      <c r="A3277" s="48" t="s">
        <v>13186</v>
      </c>
      <c r="B3277" t="s">
        <v>13187</v>
      </c>
      <c r="C3277">
        <v>2</v>
      </c>
    </row>
    <row r="3278" spans="1:3" x14ac:dyDescent="0.25">
      <c r="A3278" s="48" t="s">
        <v>13164</v>
      </c>
      <c r="B3278" t="s">
        <v>13165</v>
      </c>
      <c r="C3278">
        <v>0</v>
      </c>
    </row>
    <row r="3279" spans="1:3" x14ac:dyDescent="0.25">
      <c r="A3279" s="48" t="s">
        <v>13166</v>
      </c>
      <c r="B3279" t="s">
        <v>13167</v>
      </c>
      <c r="C3279">
        <v>13</v>
      </c>
    </row>
    <row r="3280" spans="1:3" x14ac:dyDescent="0.25">
      <c r="A3280" s="48" t="s">
        <v>13170</v>
      </c>
      <c r="B3280" t="s">
        <v>13171</v>
      </c>
      <c r="C3280">
        <v>0</v>
      </c>
    </row>
    <row r="3281" spans="1:3" x14ac:dyDescent="0.25">
      <c r="A3281" s="48" t="s">
        <v>13174</v>
      </c>
      <c r="B3281" t="s">
        <v>13175</v>
      </c>
      <c r="C3281">
        <v>0</v>
      </c>
    </row>
    <row r="3282" spans="1:3" x14ac:dyDescent="0.25">
      <c r="A3282" s="48" t="s">
        <v>13184</v>
      </c>
      <c r="B3282" t="s">
        <v>13185</v>
      </c>
      <c r="C3282">
        <v>0</v>
      </c>
    </row>
    <row r="3283" spans="1:3" x14ac:dyDescent="0.25">
      <c r="A3283" s="48" t="s">
        <v>13182</v>
      </c>
      <c r="B3283" t="s">
        <v>13183</v>
      </c>
      <c r="C3283">
        <v>0</v>
      </c>
    </row>
    <row r="3284" spans="1:3" x14ac:dyDescent="0.25">
      <c r="A3284" s="48" t="s">
        <v>19220</v>
      </c>
      <c r="B3284" t="s">
        <v>20828</v>
      </c>
      <c r="C3284">
        <v>0</v>
      </c>
    </row>
    <row r="3285" spans="1:3" x14ac:dyDescent="0.25">
      <c r="A3285" s="48" t="s">
        <v>19222</v>
      </c>
      <c r="B3285" t="s">
        <v>20829</v>
      </c>
      <c r="C3285">
        <v>11</v>
      </c>
    </row>
    <row r="3286" spans="1:3" x14ac:dyDescent="0.25">
      <c r="A3286" s="48" t="s">
        <v>19058</v>
      </c>
      <c r="B3286" t="s">
        <v>20830</v>
      </c>
      <c r="C3286">
        <v>0</v>
      </c>
    </row>
    <row r="3287" spans="1:3" x14ac:dyDescent="0.25">
      <c r="A3287" s="48" t="s">
        <v>19060</v>
      </c>
      <c r="B3287" t="s">
        <v>20831</v>
      </c>
      <c r="C3287">
        <v>6</v>
      </c>
    </row>
    <row r="3288" spans="1:3" x14ac:dyDescent="0.25">
      <c r="A3288" s="48" t="s">
        <v>2679</v>
      </c>
      <c r="B3288" t="s">
        <v>20832</v>
      </c>
      <c r="C3288">
        <v>0</v>
      </c>
    </row>
    <row r="3289" spans="1:3" x14ac:dyDescent="0.25">
      <c r="A3289" s="48" t="s">
        <v>2693</v>
      </c>
      <c r="B3289" t="s">
        <v>20833</v>
      </c>
      <c r="C3289">
        <v>0</v>
      </c>
    </row>
    <row r="3290" spans="1:3" x14ac:dyDescent="0.25">
      <c r="A3290" s="48" t="s">
        <v>8361</v>
      </c>
      <c r="B3290" t="s">
        <v>20834</v>
      </c>
      <c r="C3290">
        <v>0</v>
      </c>
    </row>
    <row r="3291" spans="1:3" x14ac:dyDescent="0.25">
      <c r="A3291" s="48" t="s">
        <v>13192</v>
      </c>
      <c r="B3291" t="s">
        <v>13193</v>
      </c>
      <c r="C3291">
        <v>2</v>
      </c>
    </row>
    <row r="3292" spans="1:3" x14ac:dyDescent="0.25">
      <c r="A3292" s="48" t="s">
        <v>4693</v>
      </c>
      <c r="B3292" t="s">
        <v>20835</v>
      </c>
      <c r="C3292">
        <v>9</v>
      </c>
    </row>
    <row r="3293" spans="1:3" x14ac:dyDescent="0.25">
      <c r="A3293" s="48" t="s">
        <v>10656</v>
      </c>
      <c r="B3293" t="s">
        <v>20836</v>
      </c>
      <c r="C3293">
        <v>0</v>
      </c>
    </row>
    <row r="3294" spans="1:3" x14ac:dyDescent="0.25">
      <c r="A3294" s="48" t="s">
        <v>16200</v>
      </c>
      <c r="B3294" t="s">
        <v>20837</v>
      </c>
      <c r="C3294">
        <v>0</v>
      </c>
    </row>
    <row r="3295" spans="1:3" x14ac:dyDescent="0.25">
      <c r="A3295" s="48" t="s">
        <v>19214</v>
      </c>
      <c r="B3295" t="s">
        <v>20838</v>
      </c>
      <c r="C3295">
        <v>0</v>
      </c>
    </row>
    <row r="3296" spans="1:3" x14ac:dyDescent="0.25">
      <c r="A3296" s="48" t="s">
        <v>8716</v>
      </c>
      <c r="B3296" t="s">
        <v>20839</v>
      </c>
      <c r="C3296">
        <v>0</v>
      </c>
    </row>
    <row r="3297" spans="1:3" x14ac:dyDescent="0.25">
      <c r="A3297" s="48" t="s">
        <v>3365</v>
      </c>
      <c r="B3297" t="s">
        <v>20840</v>
      </c>
      <c r="C3297">
        <v>0</v>
      </c>
    </row>
    <row r="3298" spans="1:3" x14ac:dyDescent="0.25">
      <c r="A3298" s="48" t="s">
        <v>12115</v>
      </c>
      <c r="B3298" t="s">
        <v>20841</v>
      </c>
      <c r="C3298">
        <v>0</v>
      </c>
    </row>
    <row r="3299" spans="1:3" x14ac:dyDescent="0.25">
      <c r="A3299" s="48" t="s">
        <v>12121</v>
      </c>
      <c r="B3299" t="s">
        <v>20842</v>
      </c>
      <c r="C3299">
        <v>0</v>
      </c>
    </row>
    <row r="3300" spans="1:3" x14ac:dyDescent="0.25">
      <c r="A3300" s="48" t="s">
        <v>12119</v>
      </c>
      <c r="B3300" t="s">
        <v>20843</v>
      </c>
      <c r="C3300">
        <v>0</v>
      </c>
    </row>
    <row r="3301" spans="1:3" x14ac:dyDescent="0.25">
      <c r="A3301" s="48" t="s">
        <v>12477</v>
      </c>
      <c r="B3301" t="s">
        <v>20844</v>
      </c>
      <c r="C3301">
        <v>0</v>
      </c>
    </row>
    <row r="3302" spans="1:3" x14ac:dyDescent="0.25">
      <c r="A3302" s="48" t="s">
        <v>6134</v>
      </c>
      <c r="B3302" t="s">
        <v>20845</v>
      </c>
      <c r="C3302">
        <v>0</v>
      </c>
    </row>
    <row r="3303" spans="1:3" x14ac:dyDescent="0.25">
      <c r="A3303" s="48" t="s">
        <v>16206</v>
      </c>
      <c r="B3303" t="s">
        <v>20846</v>
      </c>
      <c r="C3303">
        <v>4</v>
      </c>
    </row>
    <row r="3304" spans="1:3" x14ac:dyDescent="0.25">
      <c r="A3304" s="48" t="s">
        <v>19506</v>
      </c>
      <c r="B3304" t="s">
        <v>20847</v>
      </c>
      <c r="C3304">
        <v>24</v>
      </c>
    </row>
    <row r="3305" spans="1:3" x14ac:dyDescent="0.25">
      <c r="A3305" s="48" t="s">
        <v>15931</v>
      </c>
      <c r="B3305" t="s">
        <v>20848</v>
      </c>
      <c r="C3305">
        <v>0</v>
      </c>
    </row>
    <row r="3306" spans="1:3" x14ac:dyDescent="0.25">
      <c r="A3306" s="48" t="s">
        <v>7746</v>
      </c>
      <c r="B3306" t="s">
        <v>20849</v>
      </c>
      <c r="C3306">
        <v>9</v>
      </c>
    </row>
    <row r="3307" spans="1:3" x14ac:dyDescent="0.25">
      <c r="A3307" s="48" t="s">
        <v>8519</v>
      </c>
      <c r="B3307" t="s">
        <v>20850</v>
      </c>
      <c r="C3307">
        <v>0</v>
      </c>
    </row>
    <row r="3308" spans="1:3" x14ac:dyDescent="0.25">
      <c r="A3308" s="48" t="s">
        <v>10730</v>
      </c>
      <c r="B3308" t="s">
        <v>20851</v>
      </c>
      <c r="C3308">
        <v>0</v>
      </c>
    </row>
    <row r="3309" spans="1:3" x14ac:dyDescent="0.25">
      <c r="A3309" s="48" t="s">
        <v>10736</v>
      </c>
      <c r="B3309" t="s">
        <v>20852</v>
      </c>
      <c r="C3309">
        <v>0</v>
      </c>
    </row>
    <row r="3310" spans="1:3" x14ac:dyDescent="0.25">
      <c r="A3310" s="48" t="s">
        <v>10728</v>
      </c>
      <c r="B3310" t="s">
        <v>20853</v>
      </c>
      <c r="C3310">
        <v>5</v>
      </c>
    </row>
    <row r="3311" spans="1:3" x14ac:dyDescent="0.25">
      <c r="A3311" s="48" t="s">
        <v>2681</v>
      </c>
      <c r="B3311" t="s">
        <v>20854</v>
      </c>
      <c r="C3311">
        <v>11</v>
      </c>
    </row>
    <row r="3312" spans="1:3" x14ac:dyDescent="0.25">
      <c r="A3312" s="48" t="s">
        <v>2703</v>
      </c>
      <c r="B3312" t="s">
        <v>20855</v>
      </c>
      <c r="C3312">
        <v>0</v>
      </c>
    </row>
    <row r="3313" spans="1:3" x14ac:dyDescent="0.25">
      <c r="A3313" s="48" t="s">
        <v>2697</v>
      </c>
      <c r="B3313" t="s">
        <v>20856</v>
      </c>
      <c r="C3313">
        <v>0</v>
      </c>
    </row>
    <row r="3314" spans="1:3" x14ac:dyDescent="0.25">
      <c r="A3314" s="48" t="s">
        <v>2699</v>
      </c>
      <c r="B3314" t="s">
        <v>20857</v>
      </c>
      <c r="C3314">
        <v>0</v>
      </c>
    </row>
    <row r="3315" spans="1:3" x14ac:dyDescent="0.25">
      <c r="A3315" s="48" t="s">
        <v>2695</v>
      </c>
      <c r="B3315" t="s">
        <v>20858</v>
      </c>
      <c r="C3315">
        <v>0</v>
      </c>
    </row>
    <row r="3316" spans="1:3" x14ac:dyDescent="0.25">
      <c r="A3316" s="48" t="s">
        <v>2701</v>
      </c>
      <c r="B3316" t="s">
        <v>20859</v>
      </c>
      <c r="C3316">
        <v>0</v>
      </c>
    </row>
    <row r="3317" spans="1:3" x14ac:dyDescent="0.25">
      <c r="A3317" s="48" t="s">
        <v>8431</v>
      </c>
      <c r="B3317" t="s">
        <v>20860</v>
      </c>
      <c r="C3317">
        <v>0</v>
      </c>
    </row>
    <row r="3318" spans="1:3" x14ac:dyDescent="0.25">
      <c r="A3318" s="48" t="s">
        <v>4908</v>
      </c>
      <c r="B3318" t="s">
        <v>20861</v>
      </c>
      <c r="C3318">
        <v>0</v>
      </c>
    </row>
    <row r="3319" spans="1:3" x14ac:dyDescent="0.25">
      <c r="A3319" s="48" t="s">
        <v>4906</v>
      </c>
      <c r="B3319" t="s">
        <v>20862</v>
      </c>
      <c r="C3319">
        <v>0</v>
      </c>
    </row>
    <row r="3320" spans="1:3" x14ac:dyDescent="0.25">
      <c r="A3320" s="48" t="s">
        <v>4900</v>
      </c>
      <c r="B3320" t="s">
        <v>20863</v>
      </c>
      <c r="C3320">
        <v>0</v>
      </c>
    </row>
    <row r="3321" spans="1:3" x14ac:dyDescent="0.25">
      <c r="A3321" s="48" t="s">
        <v>4902</v>
      </c>
      <c r="B3321" t="s">
        <v>20864</v>
      </c>
      <c r="C3321">
        <v>0</v>
      </c>
    </row>
    <row r="3322" spans="1:3" x14ac:dyDescent="0.25">
      <c r="A3322" s="48" t="s">
        <v>10640</v>
      </c>
      <c r="B3322" t="s">
        <v>20865</v>
      </c>
      <c r="C3322">
        <v>0</v>
      </c>
    </row>
    <row r="3323" spans="1:3" x14ac:dyDescent="0.25">
      <c r="A3323" s="48" t="s">
        <v>10786</v>
      </c>
      <c r="B3323" t="s">
        <v>20866</v>
      </c>
      <c r="C3323">
        <v>0</v>
      </c>
    </row>
    <row r="3324" spans="1:3" x14ac:dyDescent="0.25">
      <c r="A3324" s="48" t="s">
        <v>10792</v>
      </c>
      <c r="B3324" t="s">
        <v>20867</v>
      </c>
      <c r="C3324">
        <v>1</v>
      </c>
    </row>
    <row r="3325" spans="1:3" x14ac:dyDescent="0.25">
      <c r="A3325" s="48" t="s">
        <v>10756</v>
      </c>
      <c r="B3325" t="s">
        <v>20868</v>
      </c>
      <c r="C3325">
        <v>0</v>
      </c>
    </row>
    <row r="3326" spans="1:3" x14ac:dyDescent="0.25">
      <c r="A3326" s="48" t="s">
        <v>10748</v>
      </c>
      <c r="B3326" t="s">
        <v>20869</v>
      </c>
      <c r="C3326">
        <v>0</v>
      </c>
    </row>
    <row r="3327" spans="1:3" x14ac:dyDescent="0.25">
      <c r="A3327" s="48" t="s">
        <v>10774</v>
      </c>
      <c r="B3327" t="s">
        <v>20870</v>
      </c>
      <c r="C3327">
        <v>17</v>
      </c>
    </row>
    <row r="3328" spans="1:3" x14ac:dyDescent="0.25">
      <c r="A3328" s="48" t="s">
        <v>10768</v>
      </c>
      <c r="B3328" t="s">
        <v>20871</v>
      </c>
      <c r="C3328">
        <v>1</v>
      </c>
    </row>
    <row r="3329" spans="1:3" x14ac:dyDescent="0.25">
      <c r="A3329" s="48" t="s">
        <v>10634</v>
      </c>
      <c r="B3329" t="s">
        <v>20872</v>
      </c>
      <c r="C3329">
        <v>0</v>
      </c>
    </row>
    <row r="3330" spans="1:3" x14ac:dyDescent="0.25">
      <c r="A3330" s="48" t="s">
        <v>10784</v>
      </c>
      <c r="B3330" t="s">
        <v>20873</v>
      </c>
      <c r="C3330">
        <v>0</v>
      </c>
    </row>
    <row r="3331" spans="1:3" x14ac:dyDescent="0.25">
      <c r="A3331" s="48" t="s">
        <v>10766</v>
      </c>
      <c r="B3331" t="s">
        <v>20874</v>
      </c>
      <c r="C3331">
        <v>11</v>
      </c>
    </row>
    <row r="3332" spans="1:3" x14ac:dyDescent="0.25">
      <c r="A3332" s="48" t="s">
        <v>10746</v>
      </c>
      <c r="B3332" t="s">
        <v>20875</v>
      </c>
      <c r="C3332">
        <v>20</v>
      </c>
    </row>
    <row r="3333" spans="1:3" x14ac:dyDescent="0.25">
      <c r="A3333" s="48" t="s">
        <v>10802</v>
      </c>
      <c r="B3333" t="s">
        <v>20876</v>
      </c>
      <c r="C3333">
        <v>0</v>
      </c>
    </row>
    <row r="3334" spans="1:3" x14ac:dyDescent="0.25">
      <c r="A3334" s="48" t="s">
        <v>10632</v>
      </c>
      <c r="B3334" t="s">
        <v>20877</v>
      </c>
      <c r="C3334">
        <v>14</v>
      </c>
    </row>
    <row r="3335" spans="1:3" x14ac:dyDescent="0.25">
      <c r="A3335" s="48" t="s">
        <v>10650</v>
      </c>
      <c r="B3335" t="s">
        <v>20878</v>
      </c>
      <c r="C3335">
        <v>0</v>
      </c>
    </row>
    <row r="3336" spans="1:3" x14ac:dyDescent="0.25">
      <c r="A3336" s="48" t="s">
        <v>10668</v>
      </c>
      <c r="B3336" t="s">
        <v>20879</v>
      </c>
      <c r="C3336">
        <v>0</v>
      </c>
    </row>
    <row r="3337" spans="1:3" x14ac:dyDescent="0.25">
      <c r="A3337" s="48" t="s">
        <v>10772</v>
      </c>
      <c r="B3337" t="s">
        <v>20880</v>
      </c>
      <c r="C3337">
        <v>7</v>
      </c>
    </row>
    <row r="3338" spans="1:3" x14ac:dyDescent="0.25">
      <c r="A3338" s="48" t="s">
        <v>10674</v>
      </c>
      <c r="B3338" t="s">
        <v>20881</v>
      </c>
      <c r="C3338">
        <v>0</v>
      </c>
    </row>
    <row r="3339" spans="1:3" x14ac:dyDescent="0.25">
      <c r="A3339" s="48" t="s">
        <v>18824</v>
      </c>
      <c r="B3339" t="s">
        <v>20882</v>
      </c>
      <c r="C3339">
        <v>3</v>
      </c>
    </row>
    <row r="3340" spans="1:3" x14ac:dyDescent="0.25">
      <c r="A3340" s="48" t="s">
        <v>18822</v>
      </c>
      <c r="B3340" t="s">
        <v>20883</v>
      </c>
      <c r="C3340">
        <v>0</v>
      </c>
    </row>
    <row r="3341" spans="1:3" x14ac:dyDescent="0.25">
      <c r="A3341" s="48" t="s">
        <v>2935</v>
      </c>
      <c r="B3341" t="s">
        <v>20884</v>
      </c>
      <c r="C3341">
        <v>6</v>
      </c>
    </row>
    <row r="3342" spans="1:3" x14ac:dyDescent="0.25">
      <c r="A3342" s="48" t="s">
        <v>2667</v>
      </c>
      <c r="B3342" t="s">
        <v>2668</v>
      </c>
      <c r="C3342">
        <v>0</v>
      </c>
    </row>
    <row r="3343" spans="1:3" x14ac:dyDescent="0.25">
      <c r="A3343" s="48" t="s">
        <v>2723</v>
      </c>
      <c r="B3343" t="s">
        <v>20885</v>
      </c>
      <c r="C3343">
        <v>0</v>
      </c>
    </row>
    <row r="3344" spans="1:3" x14ac:dyDescent="0.25">
      <c r="A3344" s="48" t="s">
        <v>10950</v>
      </c>
      <c r="B3344" t="s">
        <v>20886</v>
      </c>
      <c r="C3344">
        <v>0</v>
      </c>
    </row>
    <row r="3345" spans="1:3" x14ac:dyDescent="0.25">
      <c r="A3345" s="48" t="s">
        <v>10744</v>
      </c>
      <c r="B3345" t="s">
        <v>20887</v>
      </c>
      <c r="C3345">
        <v>0</v>
      </c>
    </row>
    <row r="3346" spans="1:3" x14ac:dyDescent="0.25">
      <c r="A3346" s="48" t="s">
        <v>10764</v>
      </c>
      <c r="B3346" t="s">
        <v>20888</v>
      </c>
      <c r="C3346">
        <v>1</v>
      </c>
    </row>
    <row r="3347" spans="1:3" x14ac:dyDescent="0.25">
      <c r="A3347" s="48" t="s">
        <v>10714</v>
      </c>
      <c r="B3347" t="s">
        <v>20889</v>
      </c>
      <c r="C3347">
        <v>0</v>
      </c>
    </row>
    <row r="3348" spans="1:3" x14ac:dyDescent="0.25">
      <c r="A3348" s="48" t="s">
        <v>10694</v>
      </c>
      <c r="B3348" t="s">
        <v>20890</v>
      </c>
      <c r="C3348">
        <v>0</v>
      </c>
    </row>
    <row r="3349" spans="1:3" x14ac:dyDescent="0.25">
      <c r="A3349" s="48" t="s">
        <v>10686</v>
      </c>
      <c r="B3349" t="s">
        <v>20891</v>
      </c>
      <c r="C3349">
        <v>0</v>
      </c>
    </row>
    <row r="3350" spans="1:3" x14ac:dyDescent="0.25">
      <c r="A3350" s="48" t="s">
        <v>10782</v>
      </c>
      <c r="B3350" t="s">
        <v>20892</v>
      </c>
      <c r="C3350">
        <v>0</v>
      </c>
    </row>
    <row r="3351" spans="1:3" x14ac:dyDescent="0.25">
      <c r="A3351" s="48" t="s">
        <v>10800</v>
      </c>
      <c r="B3351" t="s">
        <v>20893</v>
      </c>
      <c r="C3351">
        <v>6</v>
      </c>
    </row>
    <row r="3352" spans="1:3" x14ac:dyDescent="0.25">
      <c r="A3352" s="48" t="s">
        <v>10706</v>
      </c>
      <c r="B3352" t="s">
        <v>20894</v>
      </c>
      <c r="C3352">
        <v>0</v>
      </c>
    </row>
    <row r="3353" spans="1:3" x14ac:dyDescent="0.25">
      <c r="A3353" s="48" t="s">
        <v>10630</v>
      </c>
      <c r="B3353" t="s">
        <v>20895</v>
      </c>
      <c r="C3353">
        <v>10</v>
      </c>
    </row>
    <row r="3354" spans="1:3" x14ac:dyDescent="0.25">
      <c r="A3354" s="48" t="s">
        <v>10790</v>
      </c>
      <c r="B3354" t="s">
        <v>20896</v>
      </c>
      <c r="C3354">
        <v>0</v>
      </c>
    </row>
    <row r="3355" spans="1:3" x14ac:dyDescent="0.25">
      <c r="A3355" s="48" t="s">
        <v>10734</v>
      </c>
      <c r="B3355" t="s">
        <v>20897</v>
      </c>
      <c r="C3355">
        <v>0</v>
      </c>
    </row>
    <row r="3356" spans="1:3" x14ac:dyDescent="0.25">
      <c r="A3356" s="48" t="s">
        <v>10752</v>
      </c>
      <c r="B3356" t="s">
        <v>20898</v>
      </c>
      <c r="C3356">
        <v>0</v>
      </c>
    </row>
    <row r="3357" spans="1:3" x14ac:dyDescent="0.25">
      <c r="A3357" s="48" t="s">
        <v>10638</v>
      </c>
      <c r="B3357" t="s">
        <v>20899</v>
      </c>
      <c r="C3357">
        <v>13</v>
      </c>
    </row>
    <row r="3358" spans="1:3" x14ac:dyDescent="0.25">
      <c r="A3358" s="48" t="s">
        <v>10808</v>
      </c>
      <c r="B3358" t="s">
        <v>20900</v>
      </c>
      <c r="C3358">
        <v>0</v>
      </c>
    </row>
    <row r="3359" spans="1:3" x14ac:dyDescent="0.25">
      <c r="A3359" s="48" t="s">
        <v>10726</v>
      </c>
      <c r="B3359" t="s">
        <v>20901</v>
      </c>
      <c r="C3359">
        <v>7</v>
      </c>
    </row>
    <row r="3360" spans="1:3" x14ac:dyDescent="0.25">
      <c r="A3360" s="48" t="s">
        <v>10648</v>
      </c>
      <c r="B3360" t="s">
        <v>20902</v>
      </c>
      <c r="C3360">
        <v>0</v>
      </c>
    </row>
    <row r="3361" spans="1:3" x14ac:dyDescent="0.25">
      <c r="A3361" s="48" t="s">
        <v>11000</v>
      </c>
      <c r="B3361" t="s">
        <v>20903</v>
      </c>
      <c r="C3361">
        <v>0</v>
      </c>
    </row>
    <row r="3362" spans="1:3" x14ac:dyDescent="0.25">
      <c r="A3362" s="48" t="s">
        <v>11010</v>
      </c>
      <c r="B3362" t="s">
        <v>20904</v>
      </c>
      <c r="C3362">
        <v>0</v>
      </c>
    </row>
    <row r="3363" spans="1:3" x14ac:dyDescent="0.25">
      <c r="A3363" s="48" t="s">
        <v>6136</v>
      </c>
      <c r="B3363" t="s">
        <v>20905</v>
      </c>
      <c r="C3363">
        <v>0</v>
      </c>
    </row>
    <row r="3364" spans="1:3" x14ac:dyDescent="0.25">
      <c r="A3364" s="48" t="s">
        <v>8872</v>
      </c>
      <c r="B3364" t="s">
        <v>20906</v>
      </c>
      <c r="C3364">
        <v>0</v>
      </c>
    </row>
    <row r="3365" spans="1:3" x14ac:dyDescent="0.25">
      <c r="A3365" s="48" t="s">
        <v>10974</v>
      </c>
      <c r="B3365" t="s">
        <v>20907</v>
      </c>
      <c r="C3365">
        <v>0</v>
      </c>
    </row>
    <row r="3366" spans="1:3" x14ac:dyDescent="0.25">
      <c r="A3366" s="48" t="s">
        <v>10992</v>
      </c>
      <c r="B3366" t="s">
        <v>20908</v>
      </c>
      <c r="C3366">
        <v>0</v>
      </c>
    </row>
    <row r="3367" spans="1:3" x14ac:dyDescent="0.25">
      <c r="A3367" s="48" t="s">
        <v>10710</v>
      </c>
      <c r="B3367" t="s">
        <v>20909</v>
      </c>
      <c r="C3367">
        <v>0</v>
      </c>
    </row>
    <row r="3368" spans="1:3" x14ac:dyDescent="0.25">
      <c r="A3368" s="48" t="s">
        <v>10718</v>
      </c>
      <c r="B3368" t="s">
        <v>20910</v>
      </c>
      <c r="C3368">
        <v>0</v>
      </c>
    </row>
    <row r="3369" spans="1:3" x14ac:dyDescent="0.25">
      <c r="A3369" s="48" t="s">
        <v>10810</v>
      </c>
      <c r="B3369" t="s">
        <v>20911</v>
      </c>
      <c r="C3369">
        <v>0</v>
      </c>
    </row>
    <row r="3370" spans="1:3" x14ac:dyDescent="0.25">
      <c r="A3370" s="48" t="s">
        <v>10804</v>
      </c>
      <c r="B3370" t="s">
        <v>20912</v>
      </c>
      <c r="C3370">
        <v>0</v>
      </c>
    </row>
    <row r="3371" spans="1:3" x14ac:dyDescent="0.25">
      <c r="A3371" s="48" t="s">
        <v>11822</v>
      </c>
      <c r="B3371" t="s">
        <v>20913</v>
      </c>
      <c r="C3371">
        <v>0</v>
      </c>
    </row>
    <row r="3372" spans="1:3" x14ac:dyDescent="0.25">
      <c r="A3372" s="48" t="s">
        <v>11820</v>
      </c>
      <c r="B3372" t="s">
        <v>20914</v>
      </c>
      <c r="C3372">
        <v>0</v>
      </c>
    </row>
    <row r="3373" spans="1:3" x14ac:dyDescent="0.25">
      <c r="A3373" s="48" t="s">
        <v>13176</v>
      </c>
      <c r="B3373" t="s">
        <v>13177</v>
      </c>
      <c r="C3373">
        <v>0</v>
      </c>
    </row>
    <row r="3374" spans="1:3" x14ac:dyDescent="0.25">
      <c r="A3374" s="48" t="s">
        <v>8848</v>
      </c>
      <c r="B3374" t="s">
        <v>20915</v>
      </c>
      <c r="C3374">
        <v>0</v>
      </c>
    </row>
    <row r="3375" spans="1:3" x14ac:dyDescent="0.25">
      <c r="A3375" s="48" t="s">
        <v>17700</v>
      </c>
      <c r="B3375" t="s">
        <v>20916</v>
      </c>
      <c r="C3375">
        <v>3</v>
      </c>
    </row>
    <row r="3376" spans="1:3" x14ac:dyDescent="0.25">
      <c r="A3376" s="48" t="s">
        <v>17718</v>
      </c>
      <c r="B3376" t="s">
        <v>20917</v>
      </c>
      <c r="C3376">
        <v>0</v>
      </c>
    </row>
    <row r="3377" spans="1:3" x14ac:dyDescent="0.25">
      <c r="A3377" s="48" t="s">
        <v>18734</v>
      </c>
      <c r="B3377" t="s">
        <v>20918</v>
      </c>
      <c r="C3377">
        <v>0</v>
      </c>
    </row>
    <row r="3378" spans="1:3" x14ac:dyDescent="0.25">
      <c r="A3378" s="48" t="s">
        <v>18674</v>
      </c>
      <c r="B3378" t="s">
        <v>20919</v>
      </c>
      <c r="C3378">
        <v>0</v>
      </c>
    </row>
    <row r="3379" spans="1:3" x14ac:dyDescent="0.25">
      <c r="A3379" s="48" t="s">
        <v>18728</v>
      </c>
      <c r="B3379" t="s">
        <v>20920</v>
      </c>
      <c r="C3379">
        <v>0</v>
      </c>
    </row>
    <row r="3380" spans="1:3" x14ac:dyDescent="0.25">
      <c r="A3380" s="48" t="s">
        <v>18676</v>
      </c>
      <c r="B3380" t="s">
        <v>20921</v>
      </c>
      <c r="C3380">
        <v>1</v>
      </c>
    </row>
    <row r="3381" spans="1:3" x14ac:dyDescent="0.25">
      <c r="A3381" s="48" t="s">
        <v>18710</v>
      </c>
      <c r="B3381" t="s">
        <v>20922</v>
      </c>
      <c r="C3381">
        <v>0</v>
      </c>
    </row>
    <row r="3382" spans="1:3" x14ac:dyDescent="0.25">
      <c r="A3382" s="48" t="s">
        <v>18712</v>
      </c>
      <c r="B3382" t="s">
        <v>20923</v>
      </c>
      <c r="C3382">
        <v>0</v>
      </c>
    </row>
    <row r="3383" spans="1:3" x14ac:dyDescent="0.25">
      <c r="A3383" s="48" t="s">
        <v>18668</v>
      </c>
      <c r="B3383" t="s">
        <v>20924</v>
      </c>
      <c r="C3383">
        <v>0</v>
      </c>
    </row>
    <row r="3384" spans="1:3" x14ac:dyDescent="0.25">
      <c r="A3384" s="48" t="s">
        <v>18738</v>
      </c>
      <c r="B3384" t="s">
        <v>20925</v>
      </c>
      <c r="C3384">
        <v>0</v>
      </c>
    </row>
    <row r="3385" spans="1:3" x14ac:dyDescent="0.25">
      <c r="A3385" s="48" t="s">
        <v>18714</v>
      </c>
      <c r="B3385" t="s">
        <v>20926</v>
      </c>
      <c r="C3385">
        <v>0</v>
      </c>
    </row>
    <row r="3386" spans="1:3" x14ac:dyDescent="0.25">
      <c r="A3386" s="48" t="s">
        <v>18688</v>
      </c>
      <c r="B3386" t="s">
        <v>20927</v>
      </c>
      <c r="C3386">
        <v>5</v>
      </c>
    </row>
    <row r="3387" spans="1:3" x14ac:dyDescent="0.25">
      <c r="A3387" s="48" t="s">
        <v>18726</v>
      </c>
      <c r="B3387" t="s">
        <v>20928</v>
      </c>
      <c r="C3387">
        <v>9</v>
      </c>
    </row>
    <row r="3388" spans="1:3" x14ac:dyDescent="0.25">
      <c r="A3388" s="48" t="s">
        <v>18684</v>
      </c>
      <c r="B3388" t="s">
        <v>20929</v>
      </c>
      <c r="C3388">
        <v>0</v>
      </c>
    </row>
    <row r="3389" spans="1:3" x14ac:dyDescent="0.25">
      <c r="A3389" s="48" t="s">
        <v>18672</v>
      </c>
      <c r="B3389" t="s">
        <v>20930</v>
      </c>
      <c r="C3389">
        <v>0</v>
      </c>
    </row>
    <row r="3390" spans="1:3" x14ac:dyDescent="0.25">
      <c r="A3390" s="48" t="s">
        <v>18686</v>
      </c>
      <c r="B3390" t="s">
        <v>20931</v>
      </c>
      <c r="C3390">
        <v>0</v>
      </c>
    </row>
    <row r="3391" spans="1:3" x14ac:dyDescent="0.25">
      <c r="A3391" s="48" t="s">
        <v>18716</v>
      </c>
      <c r="B3391" t="s">
        <v>20932</v>
      </c>
      <c r="C3391">
        <v>9</v>
      </c>
    </row>
    <row r="3392" spans="1:3" x14ac:dyDescent="0.25">
      <c r="A3392" s="48" t="s">
        <v>18700</v>
      </c>
      <c r="B3392" t="s">
        <v>20933</v>
      </c>
      <c r="C3392">
        <v>0</v>
      </c>
    </row>
    <row r="3393" spans="1:3" x14ac:dyDescent="0.25">
      <c r="A3393" s="48" t="s">
        <v>18748</v>
      </c>
      <c r="B3393" t="s">
        <v>20934</v>
      </c>
      <c r="C3393">
        <v>0</v>
      </c>
    </row>
    <row r="3394" spans="1:3" x14ac:dyDescent="0.25">
      <c r="A3394" s="48" t="s">
        <v>18744</v>
      </c>
      <c r="B3394" t="s">
        <v>20935</v>
      </c>
      <c r="C3394">
        <v>0</v>
      </c>
    </row>
    <row r="3395" spans="1:3" x14ac:dyDescent="0.25">
      <c r="A3395" s="48" t="s">
        <v>18742</v>
      </c>
      <c r="B3395" t="s">
        <v>20936</v>
      </c>
      <c r="C3395">
        <v>0</v>
      </c>
    </row>
    <row r="3396" spans="1:3" x14ac:dyDescent="0.25">
      <c r="A3396" s="48" t="s">
        <v>18706</v>
      </c>
      <c r="B3396" t="s">
        <v>20937</v>
      </c>
      <c r="C3396">
        <v>0</v>
      </c>
    </row>
    <row r="3397" spans="1:3" x14ac:dyDescent="0.25">
      <c r="A3397" s="48" t="s">
        <v>18698</v>
      </c>
      <c r="B3397" t="s">
        <v>20938</v>
      </c>
      <c r="C3397">
        <v>0</v>
      </c>
    </row>
    <row r="3398" spans="1:3" x14ac:dyDescent="0.25">
      <c r="A3398" s="48" t="s">
        <v>18820</v>
      </c>
      <c r="B3398" t="s">
        <v>20939</v>
      </c>
      <c r="C3398">
        <v>0</v>
      </c>
    </row>
    <row r="3399" spans="1:3" x14ac:dyDescent="0.25">
      <c r="A3399" s="48" t="s">
        <v>10666</v>
      </c>
      <c r="B3399" t="s">
        <v>20940</v>
      </c>
      <c r="C3399">
        <v>0</v>
      </c>
    </row>
    <row r="3400" spans="1:3" x14ac:dyDescent="0.25">
      <c r="A3400" s="48" t="s">
        <v>19216</v>
      </c>
      <c r="B3400" t="s">
        <v>20941</v>
      </c>
      <c r="C3400">
        <v>0</v>
      </c>
    </row>
    <row r="3401" spans="1:3" x14ac:dyDescent="0.25">
      <c r="A3401" s="48" t="s">
        <v>19218</v>
      </c>
      <c r="B3401" t="s">
        <v>20942</v>
      </c>
      <c r="C3401">
        <v>5</v>
      </c>
    </row>
    <row r="3402" spans="1:3" x14ac:dyDescent="0.25">
      <c r="A3402" s="48" t="s">
        <v>3343</v>
      </c>
      <c r="B3402" t="s">
        <v>20943</v>
      </c>
      <c r="C3402">
        <v>0</v>
      </c>
    </row>
    <row r="3403" spans="1:3" x14ac:dyDescent="0.25">
      <c r="A3403" s="48" t="s">
        <v>8387</v>
      </c>
      <c r="B3403" t="s">
        <v>20944</v>
      </c>
      <c r="C3403">
        <v>0</v>
      </c>
    </row>
    <row r="3404" spans="1:3" x14ac:dyDescent="0.25">
      <c r="A3404" s="48" t="s">
        <v>10872</v>
      </c>
      <c r="B3404" t="s">
        <v>20945</v>
      </c>
      <c r="C3404">
        <v>0</v>
      </c>
    </row>
    <row r="3405" spans="1:3" x14ac:dyDescent="0.25">
      <c r="A3405" s="48" t="s">
        <v>11422</v>
      </c>
      <c r="B3405" t="s">
        <v>20946</v>
      </c>
      <c r="C3405">
        <v>0</v>
      </c>
    </row>
    <row r="3406" spans="1:3" x14ac:dyDescent="0.25">
      <c r="A3406" s="48" t="s">
        <v>11424</v>
      </c>
      <c r="B3406" t="s">
        <v>20947</v>
      </c>
      <c r="C3406">
        <v>0</v>
      </c>
    </row>
    <row r="3407" spans="1:3" x14ac:dyDescent="0.25">
      <c r="A3407" s="48" t="s">
        <v>10688</v>
      </c>
      <c r="B3407" t="s">
        <v>20948</v>
      </c>
      <c r="C3407">
        <v>0</v>
      </c>
    </row>
    <row r="3408" spans="1:3" x14ac:dyDescent="0.25">
      <c r="A3408" s="48" t="s">
        <v>2931</v>
      </c>
      <c r="B3408" t="s">
        <v>20949</v>
      </c>
      <c r="C3408">
        <v>0</v>
      </c>
    </row>
    <row r="3409" spans="1:3" x14ac:dyDescent="0.25">
      <c r="A3409" s="48" t="s">
        <v>2933</v>
      </c>
      <c r="B3409" t="s">
        <v>20950</v>
      </c>
      <c r="C3409">
        <v>0</v>
      </c>
    </row>
    <row r="3410" spans="1:3" x14ac:dyDescent="0.25">
      <c r="A3410" s="48" t="s">
        <v>2929</v>
      </c>
      <c r="B3410" t="s">
        <v>20951</v>
      </c>
      <c r="C3410">
        <v>1</v>
      </c>
    </row>
    <row r="3411" spans="1:3" x14ac:dyDescent="0.25">
      <c r="A3411" s="48" t="s">
        <v>2907</v>
      </c>
      <c r="B3411" t="s">
        <v>20952</v>
      </c>
      <c r="C3411">
        <v>12</v>
      </c>
    </row>
    <row r="3412" spans="1:3" x14ac:dyDescent="0.25">
      <c r="A3412" s="48" t="s">
        <v>2909</v>
      </c>
      <c r="B3412" t="s">
        <v>20953</v>
      </c>
      <c r="C3412">
        <v>15</v>
      </c>
    </row>
    <row r="3413" spans="1:3" x14ac:dyDescent="0.25">
      <c r="A3413" s="48" t="s">
        <v>18937</v>
      </c>
      <c r="B3413" t="s">
        <v>20954</v>
      </c>
      <c r="C3413">
        <v>0</v>
      </c>
    </row>
    <row r="3414" spans="1:3" x14ac:dyDescent="0.25">
      <c r="A3414" s="48" t="s">
        <v>10820</v>
      </c>
      <c r="B3414" t="s">
        <v>20955</v>
      </c>
      <c r="C3414">
        <v>0</v>
      </c>
    </row>
    <row r="3415" spans="1:3" x14ac:dyDescent="0.25">
      <c r="A3415" s="48" t="s">
        <v>4898</v>
      </c>
      <c r="B3415" t="s">
        <v>20956</v>
      </c>
      <c r="C3415">
        <v>1</v>
      </c>
    </row>
    <row r="3416" spans="1:3" x14ac:dyDescent="0.25">
      <c r="A3416" s="48" t="s">
        <v>10874</v>
      </c>
      <c r="B3416" t="s">
        <v>20957</v>
      </c>
      <c r="C3416">
        <v>0</v>
      </c>
    </row>
    <row r="3417" spans="1:3" x14ac:dyDescent="0.25">
      <c r="A3417" s="48" t="s">
        <v>10932</v>
      </c>
      <c r="B3417" t="s">
        <v>20958</v>
      </c>
      <c r="C3417">
        <v>0</v>
      </c>
    </row>
    <row r="3418" spans="1:3" x14ac:dyDescent="0.25">
      <c r="A3418" s="48" t="s">
        <v>10876</v>
      </c>
      <c r="B3418" t="s">
        <v>20959</v>
      </c>
      <c r="C3418">
        <v>4</v>
      </c>
    </row>
    <row r="3419" spans="1:3" x14ac:dyDescent="0.25">
      <c r="A3419" s="48" t="s">
        <v>10934</v>
      </c>
      <c r="B3419" t="s">
        <v>20960</v>
      </c>
      <c r="C3419">
        <v>2</v>
      </c>
    </row>
    <row r="3420" spans="1:3" x14ac:dyDescent="0.25">
      <c r="A3420" s="48" t="s">
        <v>10878</v>
      </c>
      <c r="B3420" t="s">
        <v>20961</v>
      </c>
      <c r="C3420">
        <v>0</v>
      </c>
    </row>
    <row r="3421" spans="1:3" x14ac:dyDescent="0.25">
      <c r="A3421" s="48" t="s">
        <v>10936</v>
      </c>
      <c r="B3421" t="s">
        <v>20962</v>
      </c>
      <c r="C3421">
        <v>0</v>
      </c>
    </row>
    <row r="3422" spans="1:3" x14ac:dyDescent="0.25">
      <c r="A3422" s="48" t="s">
        <v>10880</v>
      </c>
      <c r="B3422" t="s">
        <v>20963</v>
      </c>
      <c r="C3422">
        <v>0</v>
      </c>
    </row>
    <row r="3423" spans="1:3" x14ac:dyDescent="0.25">
      <c r="A3423" s="48" t="s">
        <v>10938</v>
      </c>
      <c r="B3423" t="s">
        <v>20964</v>
      </c>
      <c r="C3423">
        <v>0</v>
      </c>
    </row>
    <row r="3424" spans="1:3" x14ac:dyDescent="0.25">
      <c r="A3424" s="48" t="s">
        <v>10882</v>
      </c>
      <c r="B3424" t="s">
        <v>20965</v>
      </c>
      <c r="C3424">
        <v>2</v>
      </c>
    </row>
    <row r="3425" spans="1:3" x14ac:dyDescent="0.25">
      <c r="A3425" s="48" t="s">
        <v>10940</v>
      </c>
      <c r="B3425" t="s">
        <v>20966</v>
      </c>
      <c r="C3425">
        <v>6</v>
      </c>
    </row>
    <row r="3426" spans="1:3" x14ac:dyDescent="0.25">
      <c r="A3426" s="48" t="s">
        <v>10884</v>
      </c>
      <c r="B3426" t="s">
        <v>20967</v>
      </c>
      <c r="C3426">
        <v>0</v>
      </c>
    </row>
    <row r="3427" spans="1:3" x14ac:dyDescent="0.25">
      <c r="A3427" s="48" t="s">
        <v>10942</v>
      </c>
      <c r="B3427" t="s">
        <v>20968</v>
      </c>
      <c r="C3427">
        <v>0</v>
      </c>
    </row>
    <row r="3428" spans="1:3" x14ac:dyDescent="0.25">
      <c r="A3428" s="48" t="s">
        <v>10886</v>
      </c>
      <c r="B3428" t="s">
        <v>20969</v>
      </c>
      <c r="C3428">
        <v>0</v>
      </c>
    </row>
    <row r="3429" spans="1:3" x14ac:dyDescent="0.25">
      <c r="A3429" s="48" t="s">
        <v>10944</v>
      </c>
      <c r="B3429" t="s">
        <v>20970</v>
      </c>
      <c r="C3429">
        <v>0</v>
      </c>
    </row>
    <row r="3430" spans="1:3" x14ac:dyDescent="0.25">
      <c r="A3430" s="48" t="s">
        <v>10888</v>
      </c>
      <c r="B3430" t="s">
        <v>20971</v>
      </c>
      <c r="C3430">
        <v>0</v>
      </c>
    </row>
    <row r="3431" spans="1:3" x14ac:dyDescent="0.25">
      <c r="A3431" s="48" t="s">
        <v>10946</v>
      </c>
      <c r="B3431" t="s">
        <v>20972</v>
      </c>
      <c r="C3431">
        <v>0</v>
      </c>
    </row>
    <row r="3432" spans="1:3" x14ac:dyDescent="0.25">
      <c r="A3432" s="48" t="s">
        <v>17592</v>
      </c>
      <c r="B3432" t="s">
        <v>20973</v>
      </c>
      <c r="C3432">
        <v>19</v>
      </c>
    </row>
    <row r="3433" spans="1:3" x14ac:dyDescent="0.25">
      <c r="A3433" s="48" t="s">
        <v>17598</v>
      </c>
      <c r="B3433" t="s">
        <v>20974</v>
      </c>
      <c r="C3433">
        <v>45</v>
      </c>
    </row>
    <row r="3434" spans="1:3" x14ac:dyDescent="0.25">
      <c r="A3434" s="48" t="s">
        <v>17594</v>
      </c>
      <c r="B3434" t="s">
        <v>20975</v>
      </c>
      <c r="C3434">
        <v>12</v>
      </c>
    </row>
    <row r="3435" spans="1:3" x14ac:dyDescent="0.25">
      <c r="A3435" s="48" t="s">
        <v>11836</v>
      </c>
      <c r="B3435" t="s">
        <v>20976</v>
      </c>
      <c r="C3435">
        <v>0</v>
      </c>
    </row>
    <row r="3436" spans="1:3" x14ac:dyDescent="0.25">
      <c r="A3436" s="48" t="s">
        <v>11838</v>
      </c>
      <c r="B3436" t="s">
        <v>20977</v>
      </c>
      <c r="C3436">
        <v>0</v>
      </c>
    </row>
    <row r="3437" spans="1:3" x14ac:dyDescent="0.25">
      <c r="A3437" s="48" t="s">
        <v>11840</v>
      </c>
      <c r="B3437" t="s">
        <v>11841</v>
      </c>
      <c r="C3437">
        <v>1</v>
      </c>
    </row>
    <row r="3438" spans="1:3" x14ac:dyDescent="0.25">
      <c r="A3438" s="48" t="s">
        <v>10930</v>
      </c>
      <c r="B3438" t="s">
        <v>20978</v>
      </c>
      <c r="C3438">
        <v>8</v>
      </c>
    </row>
    <row r="3439" spans="1:3" x14ac:dyDescent="0.25">
      <c r="A3439" s="48" t="s">
        <v>17596</v>
      </c>
      <c r="B3439" t="s">
        <v>20979</v>
      </c>
      <c r="C3439">
        <v>0</v>
      </c>
    </row>
    <row r="3440" spans="1:3" x14ac:dyDescent="0.25">
      <c r="A3440" s="48" t="s">
        <v>7847</v>
      </c>
      <c r="B3440" t="s">
        <v>7848</v>
      </c>
      <c r="C3440">
        <v>1</v>
      </c>
    </row>
    <row r="3441" spans="1:3" x14ac:dyDescent="0.25">
      <c r="A3441" s="48" t="s">
        <v>7851</v>
      </c>
      <c r="B3441" t="s">
        <v>7852</v>
      </c>
      <c r="C3441">
        <v>0</v>
      </c>
    </row>
    <row r="3442" spans="1:3" x14ac:dyDescent="0.25">
      <c r="A3442" s="48" t="s">
        <v>113</v>
      </c>
      <c r="B3442" t="s">
        <v>114</v>
      </c>
      <c r="C3442">
        <v>10</v>
      </c>
    </row>
    <row r="3443" spans="1:3" x14ac:dyDescent="0.25">
      <c r="A3443" s="48" t="s">
        <v>8365</v>
      </c>
      <c r="B3443" t="s">
        <v>20980</v>
      </c>
      <c r="C3443">
        <v>0</v>
      </c>
    </row>
    <row r="3444" spans="1:3" x14ac:dyDescent="0.25">
      <c r="A3444" s="48" t="s">
        <v>8363</v>
      </c>
      <c r="B3444" t="s">
        <v>20981</v>
      </c>
      <c r="C3444">
        <v>0</v>
      </c>
    </row>
    <row r="3445" spans="1:3" x14ac:dyDescent="0.25">
      <c r="A3445" s="48" t="s">
        <v>8371</v>
      </c>
      <c r="B3445" t="s">
        <v>20982</v>
      </c>
      <c r="C3445">
        <v>0</v>
      </c>
    </row>
    <row r="3446" spans="1:3" x14ac:dyDescent="0.25">
      <c r="A3446" s="48" t="s">
        <v>10658</v>
      </c>
      <c r="B3446" t="s">
        <v>20983</v>
      </c>
      <c r="C3446">
        <v>0</v>
      </c>
    </row>
    <row r="3447" spans="1:3" x14ac:dyDescent="0.25">
      <c r="A3447" s="48" t="s">
        <v>10670</v>
      </c>
      <c r="B3447" t="s">
        <v>20984</v>
      </c>
      <c r="C3447">
        <v>0</v>
      </c>
    </row>
    <row r="3448" spans="1:3" x14ac:dyDescent="0.25">
      <c r="A3448" s="48" t="s">
        <v>10678</v>
      </c>
      <c r="B3448" t="s">
        <v>20985</v>
      </c>
      <c r="C3448">
        <v>6</v>
      </c>
    </row>
    <row r="3449" spans="1:3" x14ac:dyDescent="0.25">
      <c r="A3449" s="48" t="s">
        <v>10698</v>
      </c>
      <c r="B3449" t="s">
        <v>20986</v>
      </c>
      <c r="C3449">
        <v>0</v>
      </c>
    </row>
    <row r="3450" spans="1:3" x14ac:dyDescent="0.25">
      <c r="A3450" s="48" t="s">
        <v>10690</v>
      </c>
      <c r="B3450" t="s">
        <v>20987</v>
      </c>
      <c r="C3450">
        <v>0</v>
      </c>
    </row>
    <row r="3451" spans="1:3" x14ac:dyDescent="0.25">
      <c r="A3451" s="48" t="s">
        <v>10654</v>
      </c>
      <c r="B3451" t="s">
        <v>20988</v>
      </c>
      <c r="C3451">
        <v>0</v>
      </c>
    </row>
    <row r="3452" spans="1:3" x14ac:dyDescent="0.25">
      <c r="A3452" s="48" t="s">
        <v>11800</v>
      </c>
      <c r="B3452" t="s">
        <v>20989</v>
      </c>
      <c r="C3452">
        <v>0</v>
      </c>
    </row>
    <row r="3453" spans="1:3" x14ac:dyDescent="0.25">
      <c r="A3453" s="48" t="s">
        <v>11802</v>
      </c>
      <c r="B3453" t="s">
        <v>20990</v>
      </c>
      <c r="C3453">
        <v>0</v>
      </c>
    </row>
    <row r="3454" spans="1:3" x14ac:dyDescent="0.25">
      <c r="A3454" s="48" t="s">
        <v>11796</v>
      </c>
      <c r="B3454" t="s">
        <v>20991</v>
      </c>
      <c r="C3454">
        <v>0</v>
      </c>
    </row>
    <row r="3455" spans="1:3" x14ac:dyDescent="0.25">
      <c r="A3455" s="48" t="s">
        <v>11804</v>
      </c>
      <c r="B3455" t="s">
        <v>20992</v>
      </c>
      <c r="C3455">
        <v>0</v>
      </c>
    </row>
    <row r="3456" spans="1:3" x14ac:dyDescent="0.25">
      <c r="A3456" s="48" t="s">
        <v>11798</v>
      </c>
      <c r="B3456" t="s">
        <v>20993</v>
      </c>
      <c r="C3456">
        <v>0</v>
      </c>
    </row>
    <row r="3457" spans="1:3" x14ac:dyDescent="0.25">
      <c r="A3457" s="48" t="s">
        <v>17062</v>
      </c>
      <c r="B3457" t="s">
        <v>17063</v>
      </c>
      <c r="C3457">
        <v>0</v>
      </c>
    </row>
    <row r="3458" spans="1:3" x14ac:dyDescent="0.25">
      <c r="A3458" s="48" t="s">
        <v>17058</v>
      </c>
      <c r="B3458" t="s">
        <v>17059</v>
      </c>
      <c r="C3458">
        <v>0</v>
      </c>
    </row>
    <row r="3459" spans="1:3" x14ac:dyDescent="0.25">
      <c r="A3459" s="48" t="s">
        <v>3453</v>
      </c>
      <c r="B3459" t="s">
        <v>20994</v>
      </c>
      <c r="C3459">
        <v>0</v>
      </c>
    </row>
    <row r="3460" spans="1:3" x14ac:dyDescent="0.25">
      <c r="A3460" s="48" t="s">
        <v>3443</v>
      </c>
      <c r="B3460" t="s">
        <v>20995</v>
      </c>
      <c r="C3460">
        <v>0</v>
      </c>
    </row>
    <row r="3461" spans="1:3" x14ac:dyDescent="0.25">
      <c r="A3461" s="48" t="s">
        <v>3441</v>
      </c>
      <c r="B3461" t="s">
        <v>20996</v>
      </c>
      <c r="C3461">
        <v>0</v>
      </c>
    </row>
    <row r="3462" spans="1:3" x14ac:dyDescent="0.25">
      <c r="A3462" s="48" t="s">
        <v>17885</v>
      </c>
      <c r="B3462" t="s">
        <v>17886</v>
      </c>
      <c r="C3462">
        <v>0</v>
      </c>
    </row>
    <row r="3463" spans="1:3" x14ac:dyDescent="0.25">
      <c r="A3463" s="48" t="s">
        <v>3447</v>
      </c>
      <c r="B3463" t="s">
        <v>20997</v>
      </c>
      <c r="C3463">
        <v>0</v>
      </c>
    </row>
    <row r="3464" spans="1:3" x14ac:dyDescent="0.25">
      <c r="A3464" s="48" t="s">
        <v>17883</v>
      </c>
      <c r="B3464" t="s">
        <v>17884</v>
      </c>
      <c r="C3464">
        <v>0</v>
      </c>
    </row>
    <row r="3465" spans="1:3" x14ac:dyDescent="0.25">
      <c r="A3465" s="48" t="s">
        <v>3445</v>
      </c>
      <c r="B3465" t="s">
        <v>20998</v>
      </c>
      <c r="C3465">
        <v>0</v>
      </c>
    </row>
    <row r="3466" spans="1:3" x14ac:dyDescent="0.25">
      <c r="A3466" s="48" t="s">
        <v>11806</v>
      </c>
      <c r="B3466" t="s">
        <v>20999</v>
      </c>
      <c r="C3466">
        <v>0</v>
      </c>
    </row>
    <row r="3467" spans="1:3" x14ac:dyDescent="0.25">
      <c r="A3467" s="48" t="s">
        <v>5129</v>
      </c>
      <c r="B3467" t="s">
        <v>5130</v>
      </c>
      <c r="C3467">
        <v>0</v>
      </c>
    </row>
    <row r="3468" spans="1:3" x14ac:dyDescent="0.25">
      <c r="A3468" s="48" t="s">
        <v>7678</v>
      </c>
      <c r="B3468" t="s">
        <v>7679</v>
      </c>
      <c r="C3468">
        <v>0</v>
      </c>
    </row>
    <row r="3469" spans="1:3" x14ac:dyDescent="0.25">
      <c r="A3469" s="48" t="s">
        <v>10251</v>
      </c>
      <c r="B3469" t="s">
        <v>21000</v>
      </c>
      <c r="C3469">
        <v>0</v>
      </c>
    </row>
    <row r="3470" spans="1:3" x14ac:dyDescent="0.25">
      <c r="A3470" s="48" t="s">
        <v>14662</v>
      </c>
      <c r="B3470" t="s">
        <v>21001</v>
      </c>
      <c r="C3470">
        <v>0</v>
      </c>
    </row>
    <row r="3471" spans="1:3" x14ac:dyDescent="0.25">
      <c r="A3471" s="48" t="s">
        <v>9522</v>
      </c>
      <c r="B3471" t="s">
        <v>21002</v>
      </c>
      <c r="C3471">
        <v>0</v>
      </c>
    </row>
    <row r="3472" spans="1:3" x14ac:dyDescent="0.25">
      <c r="A3472" s="48" t="s">
        <v>14539</v>
      </c>
      <c r="B3472" t="s">
        <v>21003</v>
      </c>
      <c r="C3472">
        <v>0</v>
      </c>
    </row>
    <row r="3473" spans="1:3" x14ac:dyDescent="0.25">
      <c r="A3473" s="48" t="s">
        <v>14543</v>
      </c>
      <c r="B3473" t="s">
        <v>21004</v>
      </c>
      <c r="C3473">
        <v>0</v>
      </c>
    </row>
    <row r="3474" spans="1:3" x14ac:dyDescent="0.25">
      <c r="A3474" s="48" t="s">
        <v>14541</v>
      </c>
      <c r="B3474" t="s">
        <v>21005</v>
      </c>
      <c r="C3474">
        <v>0</v>
      </c>
    </row>
    <row r="3475" spans="1:3" x14ac:dyDescent="0.25">
      <c r="A3475" s="48" t="s">
        <v>4076</v>
      </c>
      <c r="B3475" t="s">
        <v>22902</v>
      </c>
      <c r="C3475">
        <v>0</v>
      </c>
    </row>
    <row r="3476" spans="1:3" x14ac:dyDescent="0.25">
      <c r="A3476" s="48" t="s">
        <v>16730</v>
      </c>
      <c r="B3476" t="s">
        <v>21006</v>
      </c>
      <c r="C3476">
        <v>0</v>
      </c>
    </row>
    <row r="3477" spans="1:3" x14ac:dyDescent="0.25">
      <c r="A3477" s="48" t="s">
        <v>16734</v>
      </c>
      <c r="B3477" t="s">
        <v>21007</v>
      </c>
      <c r="C3477">
        <v>0</v>
      </c>
    </row>
    <row r="3478" spans="1:3" x14ac:dyDescent="0.25">
      <c r="A3478" s="48" t="s">
        <v>16732</v>
      </c>
      <c r="B3478" t="s">
        <v>21008</v>
      </c>
      <c r="C3478">
        <v>0</v>
      </c>
    </row>
    <row r="3479" spans="1:3" x14ac:dyDescent="0.25">
      <c r="A3479" s="48" t="s">
        <v>16728</v>
      </c>
      <c r="B3479" t="s">
        <v>21009</v>
      </c>
      <c r="C3479">
        <v>0</v>
      </c>
    </row>
    <row r="3480" spans="1:3" x14ac:dyDescent="0.25">
      <c r="A3480" s="48" t="s">
        <v>16738</v>
      </c>
      <c r="B3480" t="s">
        <v>21010</v>
      </c>
      <c r="C3480">
        <v>1</v>
      </c>
    </row>
    <row r="3481" spans="1:3" x14ac:dyDescent="0.25">
      <c r="A3481" s="48" t="s">
        <v>16726</v>
      </c>
      <c r="B3481" t="s">
        <v>21011</v>
      </c>
      <c r="C3481">
        <v>0</v>
      </c>
    </row>
    <row r="3482" spans="1:3" x14ac:dyDescent="0.25">
      <c r="A3482" s="48" t="s">
        <v>16652</v>
      </c>
      <c r="B3482" t="s">
        <v>21012</v>
      </c>
      <c r="C3482">
        <v>1</v>
      </c>
    </row>
    <row r="3483" spans="1:3" x14ac:dyDescent="0.25">
      <c r="A3483" s="48" t="s">
        <v>14499</v>
      </c>
      <c r="B3483" t="s">
        <v>21013</v>
      </c>
      <c r="C3483">
        <v>0</v>
      </c>
    </row>
    <row r="3484" spans="1:3" x14ac:dyDescent="0.25">
      <c r="A3484" s="48" t="s">
        <v>4894</v>
      </c>
      <c r="B3484" t="s">
        <v>21014</v>
      </c>
      <c r="C3484">
        <v>0</v>
      </c>
    </row>
    <row r="3485" spans="1:3" x14ac:dyDescent="0.25">
      <c r="A3485" s="48" t="s">
        <v>4910</v>
      </c>
      <c r="B3485" t="s">
        <v>21015</v>
      </c>
      <c r="C3485">
        <v>0</v>
      </c>
    </row>
    <row r="3486" spans="1:3" x14ac:dyDescent="0.25">
      <c r="A3486" s="48" t="s">
        <v>4896</v>
      </c>
      <c r="B3486" t="s">
        <v>21016</v>
      </c>
      <c r="C3486">
        <v>0</v>
      </c>
    </row>
    <row r="3487" spans="1:3" x14ac:dyDescent="0.25">
      <c r="A3487" s="48" t="s">
        <v>16830</v>
      </c>
      <c r="B3487" t="s">
        <v>21017</v>
      </c>
      <c r="C3487">
        <v>0</v>
      </c>
    </row>
    <row r="3488" spans="1:3" x14ac:dyDescent="0.25">
      <c r="A3488" s="48" t="s">
        <v>14320</v>
      </c>
      <c r="B3488" t="s">
        <v>14321</v>
      </c>
      <c r="C3488">
        <v>0</v>
      </c>
    </row>
    <row r="3489" spans="1:3" x14ac:dyDescent="0.25">
      <c r="A3489" s="48" t="s">
        <v>18620</v>
      </c>
      <c r="B3489" t="s">
        <v>18621</v>
      </c>
      <c r="C3489">
        <v>71</v>
      </c>
    </row>
    <row r="3490" spans="1:3" x14ac:dyDescent="0.25">
      <c r="A3490" s="48" t="s">
        <v>16780</v>
      </c>
      <c r="B3490" t="s">
        <v>21018</v>
      </c>
      <c r="C3490">
        <v>0</v>
      </c>
    </row>
    <row r="3491" spans="1:3" x14ac:dyDescent="0.25">
      <c r="A3491" s="48" t="s">
        <v>17468</v>
      </c>
      <c r="B3491" t="s">
        <v>21019</v>
      </c>
      <c r="C3491">
        <v>0</v>
      </c>
    </row>
    <row r="3492" spans="1:3" x14ac:dyDescent="0.25">
      <c r="A3492" s="48" t="s">
        <v>7981</v>
      </c>
      <c r="B3492" t="s">
        <v>21020</v>
      </c>
      <c r="C3492">
        <v>2</v>
      </c>
    </row>
    <row r="3493" spans="1:3" x14ac:dyDescent="0.25">
      <c r="A3493" s="48" t="s">
        <v>14531</v>
      </c>
      <c r="B3493" t="s">
        <v>21021</v>
      </c>
      <c r="C3493">
        <v>0</v>
      </c>
    </row>
    <row r="3494" spans="1:3" x14ac:dyDescent="0.25">
      <c r="A3494" s="48" t="s">
        <v>14525</v>
      </c>
      <c r="B3494" t="s">
        <v>21022</v>
      </c>
      <c r="C3494">
        <v>0</v>
      </c>
    </row>
    <row r="3495" spans="1:3" x14ac:dyDescent="0.25">
      <c r="A3495" s="48" t="s">
        <v>16198</v>
      </c>
      <c r="B3495" t="s">
        <v>21023</v>
      </c>
      <c r="C3495">
        <v>0</v>
      </c>
    </row>
    <row r="3496" spans="1:3" x14ac:dyDescent="0.25">
      <c r="A3496" s="48" t="s">
        <v>15124</v>
      </c>
      <c r="B3496" t="s">
        <v>15125</v>
      </c>
      <c r="C3496">
        <v>0</v>
      </c>
    </row>
    <row r="3497" spans="1:3" x14ac:dyDescent="0.25">
      <c r="A3497" s="48" t="s">
        <v>15114</v>
      </c>
      <c r="B3497" t="s">
        <v>15115</v>
      </c>
      <c r="C3497">
        <v>8</v>
      </c>
    </row>
    <row r="3498" spans="1:3" x14ac:dyDescent="0.25">
      <c r="A3498" s="48" t="s">
        <v>15116</v>
      </c>
      <c r="B3498" t="s">
        <v>15117</v>
      </c>
      <c r="C3498">
        <v>7</v>
      </c>
    </row>
    <row r="3499" spans="1:3" x14ac:dyDescent="0.25">
      <c r="A3499" s="48" t="s">
        <v>15118</v>
      </c>
      <c r="B3499" t="s">
        <v>15119</v>
      </c>
      <c r="C3499">
        <v>11</v>
      </c>
    </row>
    <row r="3500" spans="1:3" x14ac:dyDescent="0.25">
      <c r="A3500" s="48" t="s">
        <v>15122</v>
      </c>
      <c r="B3500" t="s">
        <v>15123</v>
      </c>
      <c r="C3500">
        <v>20</v>
      </c>
    </row>
    <row r="3501" spans="1:3" x14ac:dyDescent="0.25">
      <c r="A3501" s="48" t="s">
        <v>103</v>
      </c>
      <c r="B3501" t="s">
        <v>104</v>
      </c>
      <c r="C3501">
        <v>60</v>
      </c>
    </row>
    <row r="3502" spans="1:3" x14ac:dyDescent="0.25">
      <c r="A3502" s="48" t="s">
        <v>1271</v>
      </c>
      <c r="B3502" t="s">
        <v>1272</v>
      </c>
      <c r="C3502">
        <v>15</v>
      </c>
    </row>
    <row r="3503" spans="1:3" x14ac:dyDescent="0.25">
      <c r="A3503" s="48" t="s">
        <v>18704</v>
      </c>
      <c r="B3503" t="s">
        <v>21024</v>
      </c>
      <c r="C3503">
        <v>0</v>
      </c>
    </row>
    <row r="3504" spans="1:3" x14ac:dyDescent="0.25">
      <c r="A3504" s="48" t="s">
        <v>18812</v>
      </c>
      <c r="B3504" t="s">
        <v>21025</v>
      </c>
      <c r="C3504">
        <v>8</v>
      </c>
    </row>
    <row r="3505" spans="1:3" x14ac:dyDescent="0.25">
      <c r="A3505" s="48" t="s">
        <v>15126</v>
      </c>
      <c r="B3505" t="s">
        <v>15127</v>
      </c>
      <c r="C3505">
        <v>0</v>
      </c>
    </row>
    <row r="3506" spans="1:3" x14ac:dyDescent="0.25">
      <c r="A3506" s="48" t="s">
        <v>18816</v>
      </c>
      <c r="B3506" t="s">
        <v>21026</v>
      </c>
      <c r="C3506">
        <v>7</v>
      </c>
    </row>
    <row r="3507" spans="1:3" x14ac:dyDescent="0.25">
      <c r="A3507" s="48" t="s">
        <v>18818</v>
      </c>
      <c r="B3507" t="s">
        <v>21027</v>
      </c>
      <c r="C3507">
        <v>0</v>
      </c>
    </row>
    <row r="3508" spans="1:3" x14ac:dyDescent="0.25">
      <c r="A3508" s="48" t="s">
        <v>18832</v>
      </c>
      <c r="B3508" t="s">
        <v>21028</v>
      </c>
      <c r="C3508">
        <v>10</v>
      </c>
    </row>
    <row r="3509" spans="1:3" x14ac:dyDescent="0.25">
      <c r="A3509" s="48" t="s">
        <v>18678</v>
      </c>
      <c r="B3509" t="s">
        <v>21029</v>
      </c>
      <c r="C3509">
        <v>0</v>
      </c>
    </row>
    <row r="3510" spans="1:3" x14ac:dyDescent="0.25">
      <c r="A3510" s="48" t="s">
        <v>19450</v>
      </c>
      <c r="B3510" t="s">
        <v>21030</v>
      </c>
      <c r="C3510">
        <v>0</v>
      </c>
    </row>
    <row r="3511" spans="1:3" x14ac:dyDescent="0.25">
      <c r="A3511" s="48" t="s">
        <v>15128</v>
      </c>
      <c r="B3511" t="s">
        <v>15129</v>
      </c>
      <c r="C3511">
        <v>5</v>
      </c>
    </row>
    <row r="3512" spans="1:3" x14ac:dyDescent="0.25">
      <c r="A3512" s="48" t="s">
        <v>561</v>
      </c>
      <c r="B3512" t="s">
        <v>562</v>
      </c>
      <c r="C3512">
        <v>129</v>
      </c>
    </row>
    <row r="3513" spans="1:3" x14ac:dyDescent="0.25">
      <c r="A3513" s="48" t="s">
        <v>18127</v>
      </c>
      <c r="B3513" t="s">
        <v>18128</v>
      </c>
      <c r="C3513">
        <v>6</v>
      </c>
    </row>
    <row r="3514" spans="1:3" x14ac:dyDescent="0.25">
      <c r="A3514" s="48" t="s">
        <v>15138</v>
      </c>
      <c r="B3514" t="s">
        <v>15139</v>
      </c>
      <c r="C3514">
        <v>6</v>
      </c>
    </row>
    <row r="3515" spans="1:3" x14ac:dyDescent="0.25">
      <c r="A3515" s="48" t="s">
        <v>7853</v>
      </c>
      <c r="B3515" t="s">
        <v>7854</v>
      </c>
      <c r="C3515">
        <v>43</v>
      </c>
    </row>
    <row r="3516" spans="1:3" x14ac:dyDescent="0.25">
      <c r="A3516" s="48" t="s">
        <v>5309</v>
      </c>
      <c r="B3516" t="s">
        <v>5310</v>
      </c>
      <c r="C3516">
        <v>0</v>
      </c>
    </row>
    <row r="3517" spans="1:3" x14ac:dyDescent="0.25">
      <c r="A3517" s="48" t="s">
        <v>5209</v>
      </c>
      <c r="B3517" t="s">
        <v>5210</v>
      </c>
      <c r="C3517">
        <v>0</v>
      </c>
    </row>
    <row r="3518" spans="1:3" x14ac:dyDescent="0.25">
      <c r="A3518" s="48" t="s">
        <v>16808</v>
      </c>
      <c r="B3518" t="s">
        <v>16809</v>
      </c>
      <c r="C3518">
        <v>5</v>
      </c>
    </row>
    <row r="3519" spans="1:3" x14ac:dyDescent="0.25">
      <c r="A3519" s="48" t="s">
        <v>16712</v>
      </c>
      <c r="B3519" t="s">
        <v>16713</v>
      </c>
      <c r="C3519">
        <v>0</v>
      </c>
    </row>
    <row r="3520" spans="1:3" x14ac:dyDescent="0.25">
      <c r="A3520" s="48" t="s">
        <v>15140</v>
      </c>
      <c r="B3520" t="s">
        <v>15141</v>
      </c>
      <c r="C3520">
        <v>16</v>
      </c>
    </row>
    <row r="3521" spans="1:3" x14ac:dyDescent="0.25">
      <c r="A3521" s="48" t="s">
        <v>16704</v>
      </c>
      <c r="B3521" t="s">
        <v>16705</v>
      </c>
      <c r="C3521">
        <v>27</v>
      </c>
    </row>
    <row r="3522" spans="1:3" x14ac:dyDescent="0.25">
      <c r="A3522" s="48" t="s">
        <v>791</v>
      </c>
      <c r="B3522" t="s">
        <v>792</v>
      </c>
      <c r="C3522">
        <v>18</v>
      </c>
    </row>
    <row r="3523" spans="1:3" x14ac:dyDescent="0.25">
      <c r="A3523" s="48" t="s">
        <v>1697</v>
      </c>
      <c r="B3523" t="s">
        <v>1698</v>
      </c>
      <c r="C3523">
        <v>10</v>
      </c>
    </row>
    <row r="3524" spans="1:3" x14ac:dyDescent="0.25">
      <c r="A3524" s="48" t="s">
        <v>923</v>
      </c>
      <c r="B3524" t="s">
        <v>924</v>
      </c>
      <c r="C3524">
        <v>18</v>
      </c>
    </row>
    <row r="3525" spans="1:3" x14ac:dyDescent="0.25">
      <c r="A3525" s="48" t="s">
        <v>215</v>
      </c>
      <c r="B3525" t="s">
        <v>216</v>
      </c>
      <c r="C3525">
        <v>12</v>
      </c>
    </row>
    <row r="3526" spans="1:3" x14ac:dyDescent="0.25">
      <c r="A3526" s="48" t="s">
        <v>935</v>
      </c>
      <c r="B3526" t="s">
        <v>936</v>
      </c>
      <c r="C3526">
        <v>17</v>
      </c>
    </row>
    <row r="3527" spans="1:3" x14ac:dyDescent="0.25">
      <c r="A3527" s="48" t="s">
        <v>125</v>
      </c>
      <c r="B3527" t="s">
        <v>126</v>
      </c>
      <c r="C3527">
        <v>10</v>
      </c>
    </row>
    <row r="3528" spans="1:3" x14ac:dyDescent="0.25">
      <c r="A3528" s="48" t="s">
        <v>16694</v>
      </c>
      <c r="B3528" t="s">
        <v>16695</v>
      </c>
      <c r="C3528">
        <v>0</v>
      </c>
    </row>
    <row r="3529" spans="1:3" x14ac:dyDescent="0.25">
      <c r="A3529" s="48" t="s">
        <v>15142</v>
      </c>
      <c r="B3529" t="s">
        <v>15143</v>
      </c>
      <c r="C3529">
        <v>8</v>
      </c>
    </row>
    <row r="3530" spans="1:3" x14ac:dyDescent="0.25">
      <c r="A3530" s="48" t="s">
        <v>8994</v>
      </c>
      <c r="B3530" t="s">
        <v>8995</v>
      </c>
      <c r="C3530">
        <v>0</v>
      </c>
    </row>
    <row r="3531" spans="1:3" x14ac:dyDescent="0.25">
      <c r="A3531" s="48" t="s">
        <v>12315</v>
      </c>
      <c r="B3531" t="s">
        <v>12316</v>
      </c>
      <c r="C3531">
        <v>0</v>
      </c>
    </row>
    <row r="3532" spans="1:3" x14ac:dyDescent="0.25">
      <c r="A3532" s="48" t="s">
        <v>14417</v>
      </c>
      <c r="B3532" t="s">
        <v>14418</v>
      </c>
      <c r="C3532">
        <v>2</v>
      </c>
    </row>
    <row r="3533" spans="1:3" x14ac:dyDescent="0.25">
      <c r="A3533" s="48" t="s">
        <v>5339</v>
      </c>
      <c r="B3533" t="s">
        <v>5340</v>
      </c>
      <c r="C3533">
        <v>0</v>
      </c>
    </row>
    <row r="3534" spans="1:3" x14ac:dyDescent="0.25">
      <c r="A3534" s="48" t="s">
        <v>14413</v>
      </c>
      <c r="B3534" t="s">
        <v>14414</v>
      </c>
      <c r="C3534">
        <v>0</v>
      </c>
    </row>
    <row r="3535" spans="1:3" x14ac:dyDescent="0.25">
      <c r="A3535" s="48" t="s">
        <v>5145</v>
      </c>
      <c r="B3535" t="s">
        <v>5146</v>
      </c>
      <c r="C3535">
        <v>0</v>
      </c>
    </row>
    <row r="3536" spans="1:3" x14ac:dyDescent="0.25">
      <c r="A3536" s="48" t="s">
        <v>18508</v>
      </c>
      <c r="B3536" t="s">
        <v>18509</v>
      </c>
      <c r="C3536">
        <v>2</v>
      </c>
    </row>
    <row r="3537" spans="1:3" x14ac:dyDescent="0.25">
      <c r="A3537" s="48" t="s">
        <v>8996</v>
      </c>
      <c r="B3537" t="s">
        <v>21031</v>
      </c>
      <c r="C3537">
        <v>0</v>
      </c>
    </row>
    <row r="3538" spans="1:3" x14ac:dyDescent="0.25">
      <c r="A3538" s="48" t="s">
        <v>9000</v>
      </c>
      <c r="B3538" t="s">
        <v>21032</v>
      </c>
      <c r="C3538">
        <v>0</v>
      </c>
    </row>
    <row r="3539" spans="1:3" x14ac:dyDescent="0.25">
      <c r="A3539" s="48" t="s">
        <v>9002</v>
      </c>
      <c r="B3539" t="s">
        <v>21033</v>
      </c>
      <c r="C3539">
        <v>0</v>
      </c>
    </row>
    <row r="3540" spans="1:3" x14ac:dyDescent="0.25">
      <c r="A3540" s="48" t="s">
        <v>8998</v>
      </c>
      <c r="B3540" t="s">
        <v>21034</v>
      </c>
      <c r="C3540">
        <v>0</v>
      </c>
    </row>
    <row r="3541" spans="1:3" x14ac:dyDescent="0.25">
      <c r="A3541" s="48" t="s">
        <v>4764</v>
      </c>
      <c r="B3541" t="s">
        <v>4765</v>
      </c>
      <c r="C3541">
        <v>0</v>
      </c>
    </row>
    <row r="3542" spans="1:3" x14ac:dyDescent="0.25">
      <c r="A3542" s="48" t="s">
        <v>4766</v>
      </c>
      <c r="B3542" t="s">
        <v>4767</v>
      </c>
      <c r="C3542">
        <v>0</v>
      </c>
    </row>
    <row r="3543" spans="1:3" x14ac:dyDescent="0.25">
      <c r="A3543" s="48" t="s">
        <v>4768</v>
      </c>
      <c r="B3543" t="s">
        <v>4769</v>
      </c>
      <c r="C3543">
        <v>0</v>
      </c>
    </row>
    <row r="3544" spans="1:3" x14ac:dyDescent="0.25">
      <c r="A3544" s="48" t="s">
        <v>4770</v>
      </c>
      <c r="B3544" t="s">
        <v>4771</v>
      </c>
      <c r="C3544">
        <v>0</v>
      </c>
    </row>
    <row r="3545" spans="1:3" x14ac:dyDescent="0.25">
      <c r="A3545" s="48" t="s">
        <v>19015</v>
      </c>
      <c r="B3545" t="s">
        <v>19016</v>
      </c>
      <c r="C3545">
        <v>6</v>
      </c>
    </row>
    <row r="3546" spans="1:3" x14ac:dyDescent="0.25">
      <c r="A3546" s="48" t="s">
        <v>5055</v>
      </c>
      <c r="B3546" t="s">
        <v>21035</v>
      </c>
      <c r="C3546">
        <v>0</v>
      </c>
    </row>
    <row r="3547" spans="1:3" x14ac:dyDescent="0.25">
      <c r="A3547" s="48" t="s">
        <v>16682</v>
      </c>
      <c r="B3547" t="s">
        <v>21036</v>
      </c>
      <c r="C3547">
        <v>0</v>
      </c>
    </row>
    <row r="3548" spans="1:3" x14ac:dyDescent="0.25">
      <c r="A3548" s="48" t="s">
        <v>5777</v>
      </c>
      <c r="B3548" t="s">
        <v>21037</v>
      </c>
      <c r="C3548">
        <v>0</v>
      </c>
    </row>
    <row r="3549" spans="1:3" x14ac:dyDescent="0.25">
      <c r="A3549" s="48" t="s">
        <v>17845</v>
      </c>
      <c r="B3549" t="s">
        <v>21038</v>
      </c>
      <c r="C3549">
        <v>0</v>
      </c>
    </row>
    <row r="3550" spans="1:3" x14ac:dyDescent="0.25">
      <c r="A3550" s="48" t="s">
        <v>5753</v>
      </c>
      <c r="B3550" t="s">
        <v>21039</v>
      </c>
      <c r="C3550">
        <v>0</v>
      </c>
    </row>
    <row r="3551" spans="1:3" x14ac:dyDescent="0.25">
      <c r="A3551" s="48" t="s">
        <v>5759</v>
      </c>
      <c r="B3551" t="s">
        <v>21040</v>
      </c>
      <c r="C3551">
        <v>0</v>
      </c>
    </row>
    <row r="3552" spans="1:3" x14ac:dyDescent="0.25">
      <c r="A3552" s="48" t="s">
        <v>3068</v>
      </c>
      <c r="B3552" t="s">
        <v>3069</v>
      </c>
      <c r="C3552">
        <v>0</v>
      </c>
    </row>
    <row r="3553" spans="1:3" x14ac:dyDescent="0.25">
      <c r="A3553" s="48" t="s">
        <v>18123</v>
      </c>
      <c r="B3553" t="s">
        <v>21041</v>
      </c>
      <c r="C3553">
        <v>2</v>
      </c>
    </row>
    <row r="3554" spans="1:3" x14ac:dyDescent="0.25">
      <c r="A3554" s="48" t="s">
        <v>8232</v>
      </c>
      <c r="B3554" t="s">
        <v>21042</v>
      </c>
      <c r="C3554">
        <v>0</v>
      </c>
    </row>
    <row r="3555" spans="1:3" x14ac:dyDescent="0.25">
      <c r="A3555" s="48" t="s">
        <v>17905</v>
      </c>
      <c r="B3555" t="s">
        <v>17906</v>
      </c>
      <c r="C3555">
        <v>0</v>
      </c>
    </row>
    <row r="3556" spans="1:3" x14ac:dyDescent="0.25">
      <c r="A3556" s="48" t="s">
        <v>3050</v>
      </c>
      <c r="B3556" t="s">
        <v>3051</v>
      </c>
      <c r="C3556">
        <v>0</v>
      </c>
    </row>
    <row r="3557" spans="1:3" x14ac:dyDescent="0.25">
      <c r="A3557" s="48" t="s">
        <v>14479</v>
      </c>
      <c r="B3557" t="s">
        <v>14480</v>
      </c>
      <c r="C3557">
        <v>0</v>
      </c>
    </row>
    <row r="3558" spans="1:3" x14ac:dyDescent="0.25">
      <c r="A3558" s="48" t="s">
        <v>17911</v>
      </c>
      <c r="B3558" t="s">
        <v>17912</v>
      </c>
      <c r="C3558">
        <v>0</v>
      </c>
    </row>
    <row r="3559" spans="1:3" x14ac:dyDescent="0.25">
      <c r="A3559" s="48" t="s">
        <v>5567</v>
      </c>
      <c r="B3559" t="s">
        <v>5568</v>
      </c>
      <c r="C3559">
        <v>13</v>
      </c>
    </row>
    <row r="3560" spans="1:3" x14ac:dyDescent="0.25">
      <c r="A3560" s="48" t="s">
        <v>5569</v>
      </c>
      <c r="B3560" t="s">
        <v>5570</v>
      </c>
      <c r="C3560">
        <v>1</v>
      </c>
    </row>
    <row r="3561" spans="1:3" x14ac:dyDescent="0.25">
      <c r="A3561" s="48" t="s">
        <v>9740</v>
      </c>
      <c r="B3561" t="s">
        <v>9741</v>
      </c>
      <c r="C3561">
        <v>0</v>
      </c>
    </row>
    <row r="3562" spans="1:3" x14ac:dyDescent="0.25">
      <c r="A3562" s="48" t="s">
        <v>9744</v>
      </c>
      <c r="B3562" t="s">
        <v>9745</v>
      </c>
      <c r="C3562">
        <v>0</v>
      </c>
    </row>
    <row r="3563" spans="1:3" x14ac:dyDescent="0.25">
      <c r="A3563" s="48" t="s">
        <v>11438</v>
      </c>
      <c r="B3563" t="s">
        <v>21043</v>
      </c>
      <c r="C3563">
        <v>0</v>
      </c>
    </row>
    <row r="3564" spans="1:3" x14ac:dyDescent="0.25">
      <c r="A3564" s="48" t="s">
        <v>15615</v>
      </c>
      <c r="B3564" t="s">
        <v>15616</v>
      </c>
      <c r="C3564">
        <v>0</v>
      </c>
    </row>
    <row r="3565" spans="1:3" x14ac:dyDescent="0.25">
      <c r="A3565" s="48" t="s">
        <v>15617</v>
      </c>
      <c r="B3565" t="s">
        <v>15618</v>
      </c>
      <c r="C3565">
        <v>0</v>
      </c>
    </row>
    <row r="3566" spans="1:3" x14ac:dyDescent="0.25">
      <c r="A3566" s="48" t="s">
        <v>4056</v>
      </c>
      <c r="B3566" t="s">
        <v>21044</v>
      </c>
      <c r="C3566">
        <v>9</v>
      </c>
    </row>
    <row r="3567" spans="1:3" x14ac:dyDescent="0.25">
      <c r="A3567" s="48" t="s">
        <v>2984</v>
      </c>
      <c r="B3567" t="s">
        <v>2985</v>
      </c>
      <c r="C3567">
        <v>0</v>
      </c>
    </row>
    <row r="3568" spans="1:3" x14ac:dyDescent="0.25">
      <c r="A3568" s="48" t="s">
        <v>16410</v>
      </c>
      <c r="B3568" t="s">
        <v>21045</v>
      </c>
      <c r="C3568">
        <v>0</v>
      </c>
    </row>
    <row r="3569" spans="1:3" x14ac:dyDescent="0.25">
      <c r="A3569" s="48" t="s">
        <v>11112</v>
      </c>
      <c r="B3569" t="s">
        <v>21046</v>
      </c>
      <c r="C3569">
        <v>0</v>
      </c>
    </row>
    <row r="3570" spans="1:3" x14ac:dyDescent="0.25">
      <c r="A3570" s="48" t="s">
        <v>11108</v>
      </c>
      <c r="B3570" t="s">
        <v>21047</v>
      </c>
      <c r="C3570">
        <v>0</v>
      </c>
    </row>
    <row r="3571" spans="1:3" x14ac:dyDescent="0.25">
      <c r="A3571" s="48" t="s">
        <v>11106</v>
      </c>
      <c r="B3571" t="s">
        <v>21048</v>
      </c>
      <c r="C3571">
        <v>0</v>
      </c>
    </row>
    <row r="3572" spans="1:3" x14ac:dyDescent="0.25">
      <c r="A3572" s="48" t="s">
        <v>11110</v>
      </c>
      <c r="B3572" t="s">
        <v>21049</v>
      </c>
      <c r="C3572">
        <v>0</v>
      </c>
    </row>
    <row r="3573" spans="1:3" x14ac:dyDescent="0.25">
      <c r="A3573" s="48" t="s">
        <v>14453</v>
      </c>
      <c r="B3573" t="s">
        <v>21050</v>
      </c>
      <c r="C3573">
        <v>0</v>
      </c>
    </row>
    <row r="3574" spans="1:3" x14ac:dyDescent="0.25">
      <c r="A3574" s="48" t="s">
        <v>5459</v>
      </c>
      <c r="B3574" t="s">
        <v>21051</v>
      </c>
      <c r="C3574">
        <v>0</v>
      </c>
    </row>
    <row r="3575" spans="1:3" x14ac:dyDescent="0.25">
      <c r="A3575" s="48" t="s">
        <v>5117</v>
      </c>
      <c r="B3575" t="s">
        <v>21052</v>
      </c>
      <c r="C3575">
        <v>0</v>
      </c>
    </row>
    <row r="3576" spans="1:3" x14ac:dyDescent="0.25">
      <c r="A3576" s="48" t="s">
        <v>16860</v>
      </c>
      <c r="B3576" t="s">
        <v>21053</v>
      </c>
      <c r="C3576">
        <v>0</v>
      </c>
    </row>
    <row r="3577" spans="1:3" x14ac:dyDescent="0.25">
      <c r="A3577" s="48" t="s">
        <v>14209</v>
      </c>
      <c r="B3577" t="s">
        <v>21054</v>
      </c>
      <c r="C3577">
        <v>0</v>
      </c>
    </row>
    <row r="3578" spans="1:3" x14ac:dyDescent="0.25">
      <c r="A3578" s="48" t="s">
        <v>6101</v>
      </c>
      <c r="B3578" t="s">
        <v>21055</v>
      </c>
      <c r="C3578">
        <v>0</v>
      </c>
    </row>
    <row r="3579" spans="1:3" x14ac:dyDescent="0.25">
      <c r="A3579" s="48" t="s">
        <v>14205</v>
      </c>
      <c r="B3579" t="s">
        <v>21056</v>
      </c>
      <c r="C3579">
        <v>0</v>
      </c>
    </row>
    <row r="3580" spans="1:3" x14ac:dyDescent="0.25">
      <c r="A3580" s="48" t="s">
        <v>14092</v>
      </c>
      <c r="B3580" t="s">
        <v>21057</v>
      </c>
      <c r="C3580">
        <v>0</v>
      </c>
    </row>
    <row r="3581" spans="1:3" x14ac:dyDescent="0.25">
      <c r="A3581" s="48" t="s">
        <v>14211</v>
      </c>
      <c r="B3581" t="s">
        <v>14212</v>
      </c>
      <c r="C3581">
        <v>0</v>
      </c>
    </row>
    <row r="3582" spans="1:3" x14ac:dyDescent="0.25">
      <c r="A3582" s="48" t="s">
        <v>19023</v>
      </c>
      <c r="B3582" t="s">
        <v>19024</v>
      </c>
      <c r="C3582">
        <v>0</v>
      </c>
    </row>
    <row r="3583" spans="1:3" x14ac:dyDescent="0.25">
      <c r="A3583" s="48" t="s">
        <v>19692</v>
      </c>
      <c r="B3583" t="s">
        <v>21058</v>
      </c>
      <c r="C3583">
        <v>0</v>
      </c>
    </row>
    <row r="3584" spans="1:3" x14ac:dyDescent="0.25">
      <c r="A3584" s="48" t="s">
        <v>19690</v>
      </c>
      <c r="B3584" t="s">
        <v>21059</v>
      </c>
      <c r="C3584">
        <v>0</v>
      </c>
    </row>
    <row r="3585" spans="1:3" x14ac:dyDescent="0.25">
      <c r="A3585" s="48" t="s">
        <v>11100</v>
      </c>
      <c r="B3585" t="s">
        <v>21060</v>
      </c>
      <c r="C3585">
        <v>0</v>
      </c>
    </row>
    <row r="3586" spans="1:3" x14ac:dyDescent="0.25">
      <c r="A3586" s="48" t="s">
        <v>16566</v>
      </c>
      <c r="B3586" t="s">
        <v>21061</v>
      </c>
      <c r="C3586">
        <v>0</v>
      </c>
    </row>
    <row r="3587" spans="1:3" x14ac:dyDescent="0.25">
      <c r="A3587" s="48" t="s">
        <v>19011</v>
      </c>
      <c r="B3587" t="s">
        <v>19012</v>
      </c>
      <c r="C3587">
        <v>0</v>
      </c>
    </row>
    <row r="3588" spans="1:3" x14ac:dyDescent="0.25">
      <c r="A3588" s="48" t="s">
        <v>11540</v>
      </c>
      <c r="B3588" t="s">
        <v>21062</v>
      </c>
      <c r="C3588">
        <v>0</v>
      </c>
    </row>
    <row r="3589" spans="1:3" x14ac:dyDescent="0.25">
      <c r="A3589" s="48" t="s">
        <v>6099</v>
      </c>
      <c r="B3589" t="s">
        <v>21063</v>
      </c>
      <c r="C3589">
        <v>0</v>
      </c>
    </row>
    <row r="3590" spans="1:3" x14ac:dyDescent="0.25">
      <c r="A3590" s="48" t="s">
        <v>11544</v>
      </c>
      <c r="B3590" t="s">
        <v>21064</v>
      </c>
      <c r="C3590">
        <v>0</v>
      </c>
    </row>
    <row r="3591" spans="1:3" x14ac:dyDescent="0.25">
      <c r="A3591" s="48" t="s">
        <v>4054</v>
      </c>
      <c r="B3591" t="s">
        <v>21065</v>
      </c>
      <c r="C3591">
        <v>0</v>
      </c>
    </row>
    <row r="3592" spans="1:3" x14ac:dyDescent="0.25">
      <c r="A3592" s="48" t="s">
        <v>8830</v>
      </c>
      <c r="B3592" t="s">
        <v>21066</v>
      </c>
      <c r="C3592">
        <v>7</v>
      </c>
    </row>
    <row r="3593" spans="1:3" x14ac:dyDescent="0.25">
      <c r="A3593" s="48" t="s">
        <v>8826</v>
      </c>
      <c r="B3593" t="s">
        <v>21067</v>
      </c>
      <c r="C3593">
        <v>6</v>
      </c>
    </row>
    <row r="3594" spans="1:3" x14ac:dyDescent="0.25">
      <c r="A3594" s="48" t="s">
        <v>8828</v>
      </c>
      <c r="B3594" t="s">
        <v>21068</v>
      </c>
      <c r="C3594">
        <v>18</v>
      </c>
    </row>
    <row r="3595" spans="1:3" x14ac:dyDescent="0.25">
      <c r="A3595" s="48" t="s">
        <v>12285</v>
      </c>
      <c r="B3595" t="s">
        <v>21069</v>
      </c>
      <c r="C3595">
        <v>0</v>
      </c>
    </row>
    <row r="3596" spans="1:3" x14ac:dyDescent="0.25">
      <c r="A3596" s="48" t="s">
        <v>4681</v>
      </c>
      <c r="B3596" t="s">
        <v>21070</v>
      </c>
      <c r="C3596">
        <v>0</v>
      </c>
    </row>
    <row r="3597" spans="1:3" x14ac:dyDescent="0.25">
      <c r="A3597" s="48" t="s">
        <v>19017</v>
      </c>
      <c r="B3597" t="s">
        <v>19018</v>
      </c>
      <c r="C3597">
        <v>10</v>
      </c>
    </row>
    <row r="3598" spans="1:3" x14ac:dyDescent="0.25">
      <c r="A3598" s="48" t="s">
        <v>6126</v>
      </c>
      <c r="B3598" t="s">
        <v>6127</v>
      </c>
      <c r="C3598">
        <v>0</v>
      </c>
    </row>
    <row r="3599" spans="1:3" x14ac:dyDescent="0.25">
      <c r="A3599" s="48" t="s">
        <v>11728</v>
      </c>
      <c r="B3599" t="s">
        <v>21071</v>
      </c>
      <c r="C3599">
        <v>0</v>
      </c>
    </row>
    <row r="3600" spans="1:3" x14ac:dyDescent="0.25">
      <c r="A3600" s="48" t="s">
        <v>11716</v>
      </c>
      <c r="B3600" t="s">
        <v>11717</v>
      </c>
      <c r="C3600">
        <v>3</v>
      </c>
    </row>
    <row r="3601" spans="1:3" x14ac:dyDescent="0.25">
      <c r="A3601" s="48" t="s">
        <v>16930</v>
      </c>
      <c r="B3601" t="s">
        <v>21072</v>
      </c>
      <c r="C3601">
        <v>0</v>
      </c>
    </row>
    <row r="3602" spans="1:3" x14ac:dyDescent="0.25">
      <c r="A3602" s="48" t="s">
        <v>11580</v>
      </c>
      <c r="B3602" t="s">
        <v>11581</v>
      </c>
      <c r="C3602">
        <v>0</v>
      </c>
    </row>
    <row r="3603" spans="1:3" x14ac:dyDescent="0.25">
      <c r="A3603" s="48" t="s">
        <v>11586</v>
      </c>
      <c r="B3603" t="s">
        <v>11587</v>
      </c>
      <c r="C3603">
        <v>0</v>
      </c>
    </row>
    <row r="3604" spans="1:3" x14ac:dyDescent="0.25">
      <c r="A3604" s="48" t="s">
        <v>3042</v>
      </c>
      <c r="B3604" t="s">
        <v>3043</v>
      </c>
      <c r="C3604">
        <v>0</v>
      </c>
    </row>
    <row r="3605" spans="1:3" x14ac:dyDescent="0.25">
      <c r="A3605" s="48" t="s">
        <v>4438</v>
      </c>
      <c r="B3605" t="s">
        <v>4437</v>
      </c>
      <c r="C3605">
        <v>6</v>
      </c>
    </row>
    <row r="3606" spans="1:3" x14ac:dyDescent="0.25">
      <c r="A3606" s="48" t="s">
        <v>2843</v>
      </c>
      <c r="B3606" t="s">
        <v>2844</v>
      </c>
      <c r="C3606">
        <v>12</v>
      </c>
    </row>
    <row r="3607" spans="1:3" x14ac:dyDescent="0.25">
      <c r="A3607" s="48" t="s">
        <v>2853</v>
      </c>
      <c r="B3607" t="s">
        <v>2854</v>
      </c>
      <c r="C3607">
        <v>10</v>
      </c>
    </row>
    <row r="3608" spans="1:3" x14ac:dyDescent="0.25">
      <c r="A3608" s="48" t="s">
        <v>2787</v>
      </c>
      <c r="B3608" t="s">
        <v>2788</v>
      </c>
      <c r="C3608">
        <v>1</v>
      </c>
    </row>
    <row r="3609" spans="1:3" x14ac:dyDescent="0.25">
      <c r="A3609" s="48" t="s">
        <v>2837</v>
      </c>
      <c r="B3609" t="s">
        <v>2838</v>
      </c>
      <c r="C3609">
        <v>0</v>
      </c>
    </row>
    <row r="3610" spans="1:3" x14ac:dyDescent="0.25">
      <c r="A3610" s="48" t="s">
        <v>2797</v>
      </c>
      <c r="B3610" t="s">
        <v>2798</v>
      </c>
      <c r="C3610">
        <v>7</v>
      </c>
    </row>
    <row r="3611" spans="1:3" x14ac:dyDescent="0.25">
      <c r="A3611" s="48" t="s">
        <v>2851</v>
      </c>
      <c r="B3611" t="s">
        <v>2852</v>
      </c>
      <c r="C3611">
        <v>11</v>
      </c>
    </row>
    <row r="3612" spans="1:3" x14ac:dyDescent="0.25">
      <c r="A3612" s="48" t="s">
        <v>2821</v>
      </c>
      <c r="B3612" t="s">
        <v>2822</v>
      </c>
      <c r="C3612">
        <v>10</v>
      </c>
    </row>
    <row r="3613" spans="1:3" x14ac:dyDescent="0.25">
      <c r="A3613" s="48" t="s">
        <v>2815</v>
      </c>
      <c r="B3613" t="s">
        <v>2816</v>
      </c>
      <c r="C3613">
        <v>19</v>
      </c>
    </row>
    <row r="3614" spans="1:3" x14ac:dyDescent="0.25">
      <c r="A3614" s="48" t="s">
        <v>3090</v>
      </c>
      <c r="B3614" t="s">
        <v>3091</v>
      </c>
      <c r="C3614">
        <v>0</v>
      </c>
    </row>
    <row r="3615" spans="1:3" x14ac:dyDescent="0.25">
      <c r="A3615" s="48" t="s">
        <v>2859</v>
      </c>
      <c r="B3615" t="s">
        <v>2860</v>
      </c>
      <c r="C3615">
        <v>24</v>
      </c>
    </row>
    <row r="3616" spans="1:3" x14ac:dyDescent="0.25">
      <c r="A3616" s="48" t="s">
        <v>19416</v>
      </c>
      <c r="B3616" t="s">
        <v>19417</v>
      </c>
      <c r="C3616">
        <v>17</v>
      </c>
    </row>
    <row r="3617" spans="1:3" x14ac:dyDescent="0.25">
      <c r="A3617" s="48" t="s">
        <v>2805</v>
      </c>
      <c r="B3617" t="s">
        <v>2806</v>
      </c>
      <c r="C3617">
        <v>20</v>
      </c>
    </row>
    <row r="3618" spans="1:3" x14ac:dyDescent="0.25">
      <c r="A3618" s="48" t="s">
        <v>2801</v>
      </c>
      <c r="B3618" t="s">
        <v>2802</v>
      </c>
      <c r="C3618">
        <v>10</v>
      </c>
    </row>
    <row r="3619" spans="1:3" x14ac:dyDescent="0.25">
      <c r="A3619" s="48" t="s">
        <v>2795</v>
      </c>
      <c r="B3619" t="s">
        <v>2796</v>
      </c>
      <c r="C3619">
        <v>12</v>
      </c>
    </row>
    <row r="3620" spans="1:3" x14ac:dyDescent="0.25">
      <c r="A3620" s="48" t="s">
        <v>2807</v>
      </c>
      <c r="B3620" t="s">
        <v>2808</v>
      </c>
      <c r="C3620">
        <v>6</v>
      </c>
    </row>
    <row r="3621" spans="1:3" x14ac:dyDescent="0.25">
      <c r="A3621" s="48" t="s">
        <v>2809</v>
      </c>
      <c r="B3621" t="s">
        <v>2810</v>
      </c>
      <c r="C3621">
        <v>5</v>
      </c>
    </row>
    <row r="3622" spans="1:3" x14ac:dyDescent="0.25">
      <c r="A3622" s="48" t="s">
        <v>2849</v>
      </c>
      <c r="B3622" t="s">
        <v>2850</v>
      </c>
      <c r="C3622">
        <v>0</v>
      </c>
    </row>
    <row r="3623" spans="1:3" x14ac:dyDescent="0.25">
      <c r="A3623" s="48" t="s">
        <v>2803</v>
      </c>
      <c r="B3623" t="s">
        <v>2804</v>
      </c>
      <c r="C3623">
        <v>12</v>
      </c>
    </row>
    <row r="3624" spans="1:3" x14ac:dyDescent="0.25">
      <c r="A3624" s="48" t="s">
        <v>14389</v>
      </c>
      <c r="B3624" t="s">
        <v>14390</v>
      </c>
      <c r="C3624">
        <v>0</v>
      </c>
    </row>
    <row r="3625" spans="1:3" x14ac:dyDescent="0.25">
      <c r="A3625" s="48" t="s">
        <v>14391</v>
      </c>
      <c r="B3625" t="s">
        <v>14392</v>
      </c>
      <c r="C3625">
        <v>0</v>
      </c>
    </row>
    <row r="3626" spans="1:3" x14ac:dyDescent="0.25">
      <c r="A3626" s="48" t="s">
        <v>2847</v>
      </c>
      <c r="B3626" t="s">
        <v>2848</v>
      </c>
      <c r="C3626">
        <v>9</v>
      </c>
    </row>
    <row r="3627" spans="1:3" x14ac:dyDescent="0.25">
      <c r="A3627" s="48" t="s">
        <v>2827</v>
      </c>
      <c r="B3627" t="s">
        <v>2828</v>
      </c>
      <c r="C3627">
        <v>51</v>
      </c>
    </row>
    <row r="3628" spans="1:3" x14ac:dyDescent="0.25">
      <c r="A3628" s="48" t="s">
        <v>2835</v>
      </c>
      <c r="B3628" t="s">
        <v>2836</v>
      </c>
      <c r="C3628">
        <v>111</v>
      </c>
    </row>
    <row r="3629" spans="1:3" x14ac:dyDescent="0.25">
      <c r="A3629" s="48" t="s">
        <v>2823</v>
      </c>
      <c r="B3629" t="s">
        <v>2824</v>
      </c>
      <c r="C3629">
        <v>42</v>
      </c>
    </row>
    <row r="3630" spans="1:3" x14ac:dyDescent="0.25">
      <c r="A3630" s="48" t="s">
        <v>2889</v>
      </c>
      <c r="B3630" t="s">
        <v>2890</v>
      </c>
      <c r="C3630">
        <v>46</v>
      </c>
    </row>
    <row r="3631" spans="1:3" x14ac:dyDescent="0.25">
      <c r="A3631" s="48" t="s">
        <v>2771</v>
      </c>
      <c r="B3631" t="s">
        <v>2772</v>
      </c>
      <c r="C3631">
        <v>175</v>
      </c>
    </row>
    <row r="3632" spans="1:3" x14ac:dyDescent="0.25">
      <c r="A3632" s="48" t="s">
        <v>2785</v>
      </c>
      <c r="B3632" t="s">
        <v>2786</v>
      </c>
      <c r="C3632">
        <v>0</v>
      </c>
    </row>
    <row r="3633" spans="1:3" x14ac:dyDescent="0.25">
      <c r="A3633" s="48" t="s">
        <v>2789</v>
      </c>
      <c r="B3633" t="s">
        <v>2790</v>
      </c>
      <c r="C3633">
        <v>0</v>
      </c>
    </row>
    <row r="3634" spans="1:3" x14ac:dyDescent="0.25">
      <c r="A3634" s="48" t="s">
        <v>16802</v>
      </c>
      <c r="B3634" t="s">
        <v>16803</v>
      </c>
      <c r="C3634">
        <v>56</v>
      </c>
    </row>
    <row r="3635" spans="1:3" x14ac:dyDescent="0.25">
      <c r="A3635" s="48" t="s">
        <v>279</v>
      </c>
      <c r="B3635" t="s">
        <v>280</v>
      </c>
      <c r="C3635">
        <v>31</v>
      </c>
    </row>
    <row r="3636" spans="1:3" x14ac:dyDescent="0.25">
      <c r="A3636" s="48" t="s">
        <v>3012</v>
      </c>
      <c r="B3636" t="s">
        <v>3013</v>
      </c>
      <c r="C3636">
        <v>0</v>
      </c>
    </row>
    <row r="3637" spans="1:3" x14ac:dyDescent="0.25">
      <c r="A3637" s="48" t="s">
        <v>16800</v>
      </c>
      <c r="B3637" t="s">
        <v>16801</v>
      </c>
      <c r="C3637">
        <v>100</v>
      </c>
    </row>
    <row r="3638" spans="1:3" x14ac:dyDescent="0.25">
      <c r="A3638" s="48" t="s">
        <v>9750</v>
      </c>
      <c r="B3638" t="s">
        <v>9751</v>
      </c>
      <c r="C3638">
        <v>13</v>
      </c>
    </row>
    <row r="3639" spans="1:3" x14ac:dyDescent="0.25">
      <c r="A3639" s="48" t="s">
        <v>9748</v>
      </c>
      <c r="B3639" t="s">
        <v>9749</v>
      </c>
      <c r="C3639">
        <v>129</v>
      </c>
    </row>
    <row r="3640" spans="1:3" x14ac:dyDescent="0.25">
      <c r="A3640" s="48" t="s">
        <v>5783</v>
      </c>
      <c r="B3640" t="s">
        <v>5784</v>
      </c>
      <c r="C3640">
        <v>0</v>
      </c>
    </row>
    <row r="3641" spans="1:3" x14ac:dyDescent="0.25">
      <c r="A3641" s="48" t="s">
        <v>5775</v>
      </c>
      <c r="B3641" t="s">
        <v>5776</v>
      </c>
      <c r="C3641">
        <v>18</v>
      </c>
    </row>
    <row r="3642" spans="1:3" x14ac:dyDescent="0.25">
      <c r="A3642" s="48" t="s">
        <v>5773</v>
      </c>
      <c r="B3642" t="s">
        <v>5774</v>
      </c>
      <c r="C3642">
        <v>0</v>
      </c>
    </row>
    <row r="3643" spans="1:3" x14ac:dyDescent="0.25">
      <c r="A3643" s="48" t="s">
        <v>9796</v>
      </c>
      <c r="B3643" t="s">
        <v>9797</v>
      </c>
      <c r="C3643">
        <v>27</v>
      </c>
    </row>
    <row r="3644" spans="1:3" x14ac:dyDescent="0.25">
      <c r="A3644" s="48" t="s">
        <v>5781</v>
      </c>
      <c r="B3644" t="s">
        <v>5782</v>
      </c>
      <c r="C3644">
        <v>0</v>
      </c>
    </row>
    <row r="3645" spans="1:3" x14ac:dyDescent="0.25">
      <c r="A3645" s="48" t="s">
        <v>5779</v>
      </c>
      <c r="B3645" t="s">
        <v>5780</v>
      </c>
      <c r="C3645">
        <v>0</v>
      </c>
    </row>
    <row r="3646" spans="1:3" x14ac:dyDescent="0.25">
      <c r="A3646" s="48" t="s">
        <v>13679</v>
      </c>
      <c r="B3646" t="s">
        <v>13680</v>
      </c>
      <c r="C3646">
        <v>3</v>
      </c>
    </row>
    <row r="3647" spans="1:3" x14ac:dyDescent="0.25">
      <c r="A3647" s="48" t="s">
        <v>13675</v>
      </c>
      <c r="B3647" t="s">
        <v>13676</v>
      </c>
      <c r="C3647">
        <v>12</v>
      </c>
    </row>
    <row r="3648" spans="1:3" x14ac:dyDescent="0.25">
      <c r="A3648" s="48" t="s">
        <v>12773</v>
      </c>
      <c r="B3648" t="s">
        <v>12774</v>
      </c>
      <c r="C3648">
        <v>0</v>
      </c>
    </row>
    <row r="3649" spans="1:3" x14ac:dyDescent="0.25">
      <c r="A3649" s="48" t="s">
        <v>613</v>
      </c>
      <c r="B3649" t="s">
        <v>614</v>
      </c>
      <c r="C3649">
        <v>41</v>
      </c>
    </row>
    <row r="3650" spans="1:3" x14ac:dyDescent="0.25">
      <c r="A3650" s="48" t="s">
        <v>5769</v>
      </c>
      <c r="B3650" t="s">
        <v>5770</v>
      </c>
      <c r="C3650">
        <v>0</v>
      </c>
    </row>
    <row r="3651" spans="1:3" x14ac:dyDescent="0.25">
      <c r="A3651" s="48" t="s">
        <v>5743</v>
      </c>
      <c r="B3651" t="s">
        <v>5744</v>
      </c>
      <c r="C3651">
        <v>0</v>
      </c>
    </row>
    <row r="3652" spans="1:3" x14ac:dyDescent="0.25">
      <c r="A3652" s="48" t="s">
        <v>5771</v>
      </c>
      <c r="B3652" t="s">
        <v>5772</v>
      </c>
      <c r="C3652">
        <v>0</v>
      </c>
    </row>
    <row r="3653" spans="1:3" x14ac:dyDescent="0.25">
      <c r="A3653" s="48" t="s">
        <v>5761</v>
      </c>
      <c r="B3653" t="s">
        <v>5762</v>
      </c>
      <c r="C3653">
        <v>0</v>
      </c>
    </row>
    <row r="3654" spans="1:3" x14ac:dyDescent="0.25">
      <c r="A3654" s="48" t="s">
        <v>18207</v>
      </c>
      <c r="B3654" t="s">
        <v>18208</v>
      </c>
      <c r="C3654">
        <v>0</v>
      </c>
    </row>
    <row r="3655" spans="1:3" x14ac:dyDescent="0.25">
      <c r="A3655" s="48" t="s">
        <v>14068</v>
      </c>
      <c r="B3655" t="s">
        <v>14069</v>
      </c>
      <c r="C3655">
        <v>1</v>
      </c>
    </row>
    <row r="3656" spans="1:3" x14ac:dyDescent="0.25">
      <c r="A3656" s="48" t="s">
        <v>14070</v>
      </c>
      <c r="B3656" t="s">
        <v>14071</v>
      </c>
      <c r="C3656">
        <v>0</v>
      </c>
    </row>
    <row r="3657" spans="1:3" x14ac:dyDescent="0.25">
      <c r="A3657" s="48" t="s">
        <v>14084</v>
      </c>
      <c r="B3657" t="s">
        <v>14085</v>
      </c>
      <c r="C3657">
        <v>0</v>
      </c>
    </row>
    <row r="3658" spans="1:3" x14ac:dyDescent="0.25">
      <c r="A3658" s="48" t="s">
        <v>14086</v>
      </c>
      <c r="B3658" t="s">
        <v>14087</v>
      </c>
      <c r="C3658">
        <v>0</v>
      </c>
    </row>
    <row r="3659" spans="1:3" x14ac:dyDescent="0.25">
      <c r="A3659" s="48" t="s">
        <v>9754</v>
      </c>
      <c r="B3659" t="s">
        <v>9755</v>
      </c>
      <c r="C3659">
        <v>20</v>
      </c>
    </row>
    <row r="3660" spans="1:3" x14ac:dyDescent="0.25">
      <c r="A3660" s="48" t="s">
        <v>22358</v>
      </c>
      <c r="B3660" t="s">
        <v>21073</v>
      </c>
      <c r="C3660">
        <v>0</v>
      </c>
    </row>
    <row r="3661" spans="1:3" x14ac:dyDescent="0.25">
      <c r="A3661" s="48" t="s">
        <v>5481</v>
      </c>
      <c r="B3661" t="s">
        <v>5482</v>
      </c>
      <c r="C3661">
        <v>0</v>
      </c>
    </row>
    <row r="3662" spans="1:3" x14ac:dyDescent="0.25">
      <c r="A3662" s="48" t="s">
        <v>12275</v>
      </c>
      <c r="B3662" t="s">
        <v>12276</v>
      </c>
      <c r="C3662">
        <v>0</v>
      </c>
    </row>
    <row r="3663" spans="1:3" x14ac:dyDescent="0.25">
      <c r="A3663" s="48" t="s">
        <v>19426</v>
      </c>
      <c r="B3663" t="s">
        <v>19427</v>
      </c>
      <c r="C3663">
        <v>12</v>
      </c>
    </row>
    <row r="3664" spans="1:3" x14ac:dyDescent="0.25">
      <c r="A3664" s="48" t="s">
        <v>19424</v>
      </c>
      <c r="B3664" t="s">
        <v>19425</v>
      </c>
      <c r="C3664">
        <v>19</v>
      </c>
    </row>
    <row r="3665" spans="1:3" x14ac:dyDescent="0.25">
      <c r="A3665" s="48" t="s">
        <v>19422</v>
      </c>
      <c r="B3665" t="s">
        <v>19423</v>
      </c>
      <c r="C3665">
        <v>5</v>
      </c>
    </row>
    <row r="3666" spans="1:3" x14ac:dyDescent="0.25">
      <c r="A3666" s="48" t="s">
        <v>19420</v>
      </c>
      <c r="B3666" t="s">
        <v>19421</v>
      </c>
      <c r="C3666">
        <v>11</v>
      </c>
    </row>
    <row r="3667" spans="1:3" x14ac:dyDescent="0.25">
      <c r="A3667" s="48" t="s">
        <v>19418</v>
      </c>
      <c r="B3667" t="s">
        <v>19419</v>
      </c>
      <c r="C3667">
        <v>20</v>
      </c>
    </row>
    <row r="3668" spans="1:3" x14ac:dyDescent="0.25">
      <c r="A3668" s="48" t="s">
        <v>711</v>
      </c>
      <c r="B3668" t="s">
        <v>712</v>
      </c>
      <c r="C3668">
        <v>23</v>
      </c>
    </row>
    <row r="3669" spans="1:3" x14ac:dyDescent="0.25">
      <c r="A3669" s="48" t="s">
        <v>11504</v>
      </c>
      <c r="B3669" t="s">
        <v>11505</v>
      </c>
      <c r="C3669">
        <v>0</v>
      </c>
    </row>
    <row r="3670" spans="1:3" x14ac:dyDescent="0.25">
      <c r="A3670" s="48" t="s">
        <v>16674</v>
      </c>
      <c r="B3670" t="s">
        <v>16675</v>
      </c>
      <c r="C3670">
        <v>47</v>
      </c>
    </row>
    <row r="3671" spans="1:3" x14ac:dyDescent="0.25">
      <c r="A3671" s="48" t="s">
        <v>4930</v>
      </c>
      <c r="B3671" t="s">
        <v>4931</v>
      </c>
      <c r="C3671">
        <v>0</v>
      </c>
    </row>
    <row r="3672" spans="1:3" x14ac:dyDescent="0.25">
      <c r="A3672" s="48" t="s">
        <v>5619</v>
      </c>
      <c r="B3672" t="s">
        <v>5620</v>
      </c>
      <c r="C3672">
        <v>9</v>
      </c>
    </row>
    <row r="3673" spans="1:3" x14ac:dyDescent="0.25">
      <c r="A3673" s="48" t="s">
        <v>9810</v>
      </c>
      <c r="B3673" t="s">
        <v>9811</v>
      </c>
      <c r="C3673">
        <v>16</v>
      </c>
    </row>
    <row r="3674" spans="1:3" x14ac:dyDescent="0.25">
      <c r="A3674" s="48" t="s">
        <v>12779</v>
      </c>
      <c r="B3674" t="s">
        <v>12780</v>
      </c>
      <c r="C3674">
        <v>0</v>
      </c>
    </row>
    <row r="3675" spans="1:3" x14ac:dyDescent="0.25">
      <c r="A3675" s="48" t="s">
        <v>3394</v>
      </c>
      <c r="B3675" t="s">
        <v>3395</v>
      </c>
      <c r="C3675">
        <v>0</v>
      </c>
    </row>
    <row r="3676" spans="1:3" x14ac:dyDescent="0.25">
      <c r="A3676" s="48" t="s">
        <v>3058</v>
      </c>
      <c r="B3676" t="s">
        <v>3059</v>
      </c>
      <c r="C3676">
        <v>2</v>
      </c>
    </row>
    <row r="3677" spans="1:3" x14ac:dyDescent="0.25">
      <c r="A3677" s="48" t="s">
        <v>665</v>
      </c>
      <c r="B3677" t="s">
        <v>666</v>
      </c>
      <c r="C3677">
        <v>1</v>
      </c>
    </row>
    <row r="3678" spans="1:3" x14ac:dyDescent="0.25">
      <c r="A3678" s="48" t="s">
        <v>12799</v>
      </c>
      <c r="B3678" t="s">
        <v>12800</v>
      </c>
      <c r="C3678">
        <v>0</v>
      </c>
    </row>
    <row r="3679" spans="1:3" x14ac:dyDescent="0.25">
      <c r="A3679" s="48" t="s">
        <v>9804</v>
      </c>
      <c r="B3679" t="s">
        <v>9805</v>
      </c>
      <c r="C3679">
        <v>18</v>
      </c>
    </row>
    <row r="3680" spans="1:3" x14ac:dyDescent="0.25">
      <c r="A3680" s="48" t="s">
        <v>12811</v>
      </c>
      <c r="B3680" t="s">
        <v>12812</v>
      </c>
      <c r="C3680">
        <v>16</v>
      </c>
    </row>
    <row r="3681" spans="1:3" x14ac:dyDescent="0.25">
      <c r="A3681" s="48" t="s">
        <v>11506</v>
      </c>
      <c r="B3681" t="s">
        <v>11507</v>
      </c>
      <c r="C3681">
        <v>1</v>
      </c>
    </row>
    <row r="3682" spans="1:3" x14ac:dyDescent="0.25">
      <c r="A3682" s="48" t="s">
        <v>3111</v>
      </c>
      <c r="B3682" t="s">
        <v>21074</v>
      </c>
      <c r="C3682">
        <v>0</v>
      </c>
    </row>
    <row r="3683" spans="1:3" x14ac:dyDescent="0.25">
      <c r="A3683" s="48" t="s">
        <v>12809</v>
      </c>
      <c r="B3683" t="s">
        <v>12810</v>
      </c>
      <c r="C3683">
        <v>0</v>
      </c>
    </row>
    <row r="3684" spans="1:3" x14ac:dyDescent="0.25">
      <c r="A3684" s="48" t="s">
        <v>12813</v>
      </c>
      <c r="B3684" t="s">
        <v>12814</v>
      </c>
      <c r="C3684">
        <v>17</v>
      </c>
    </row>
    <row r="3685" spans="1:3" x14ac:dyDescent="0.25">
      <c r="A3685" s="48" t="s">
        <v>19672</v>
      </c>
      <c r="B3685" t="s">
        <v>21075</v>
      </c>
      <c r="C3685">
        <v>0</v>
      </c>
    </row>
    <row r="3686" spans="1:3" x14ac:dyDescent="0.25">
      <c r="A3686" s="48" t="s">
        <v>5479</v>
      </c>
      <c r="B3686" t="s">
        <v>5480</v>
      </c>
      <c r="C3686">
        <v>0</v>
      </c>
    </row>
    <row r="3687" spans="1:3" x14ac:dyDescent="0.25">
      <c r="A3687" s="48" t="s">
        <v>18598</v>
      </c>
      <c r="B3687" t="s">
        <v>18599</v>
      </c>
      <c r="C3687">
        <v>3</v>
      </c>
    </row>
    <row r="3688" spans="1:3" x14ac:dyDescent="0.25">
      <c r="A3688" s="48" t="s">
        <v>9172</v>
      </c>
      <c r="B3688" t="s">
        <v>9173</v>
      </c>
      <c r="C3688">
        <v>6</v>
      </c>
    </row>
    <row r="3689" spans="1:3" x14ac:dyDescent="0.25">
      <c r="A3689" s="48" t="s">
        <v>9808</v>
      </c>
      <c r="B3689" t="s">
        <v>9809</v>
      </c>
      <c r="C3689">
        <v>9</v>
      </c>
    </row>
    <row r="3690" spans="1:3" x14ac:dyDescent="0.25">
      <c r="A3690" s="48" t="s">
        <v>11738</v>
      </c>
      <c r="B3690" t="s">
        <v>11739</v>
      </c>
      <c r="C3690">
        <v>0</v>
      </c>
    </row>
    <row r="3691" spans="1:3" x14ac:dyDescent="0.25">
      <c r="A3691" s="48" t="s">
        <v>19428</v>
      </c>
      <c r="B3691" t="s">
        <v>19429</v>
      </c>
      <c r="C3691">
        <v>10</v>
      </c>
    </row>
    <row r="3692" spans="1:3" x14ac:dyDescent="0.25">
      <c r="A3692" s="48" t="s">
        <v>9792</v>
      </c>
      <c r="B3692" t="s">
        <v>9793</v>
      </c>
      <c r="C3692">
        <v>20</v>
      </c>
    </row>
    <row r="3693" spans="1:3" x14ac:dyDescent="0.25">
      <c r="A3693" s="48" t="s">
        <v>8586</v>
      </c>
      <c r="B3693" t="s">
        <v>8587</v>
      </c>
      <c r="C3693">
        <v>0</v>
      </c>
    </row>
    <row r="3694" spans="1:3" x14ac:dyDescent="0.25">
      <c r="A3694" s="48" t="s">
        <v>8335</v>
      </c>
      <c r="B3694" t="s">
        <v>8336</v>
      </c>
      <c r="C3694">
        <v>0</v>
      </c>
    </row>
    <row r="3695" spans="1:3" x14ac:dyDescent="0.25">
      <c r="A3695" s="48" t="s">
        <v>8341</v>
      </c>
      <c r="B3695" t="s">
        <v>8342</v>
      </c>
      <c r="C3695">
        <v>0</v>
      </c>
    </row>
    <row r="3696" spans="1:3" x14ac:dyDescent="0.25">
      <c r="A3696" s="48" t="s">
        <v>8327</v>
      </c>
      <c r="B3696" t="s">
        <v>8328</v>
      </c>
      <c r="C3696">
        <v>0</v>
      </c>
    </row>
    <row r="3697" spans="1:3" x14ac:dyDescent="0.25">
      <c r="A3697" s="48" t="s">
        <v>9806</v>
      </c>
      <c r="B3697" t="s">
        <v>9807</v>
      </c>
      <c r="C3697">
        <v>8</v>
      </c>
    </row>
    <row r="3698" spans="1:3" x14ac:dyDescent="0.25">
      <c r="A3698" s="48" t="s">
        <v>8339</v>
      </c>
      <c r="B3698" t="s">
        <v>8340</v>
      </c>
      <c r="C3698">
        <v>0</v>
      </c>
    </row>
    <row r="3699" spans="1:3" x14ac:dyDescent="0.25">
      <c r="A3699" s="48" t="s">
        <v>8345</v>
      </c>
      <c r="B3699" t="s">
        <v>21076</v>
      </c>
      <c r="C3699">
        <v>5</v>
      </c>
    </row>
    <row r="3700" spans="1:3" x14ac:dyDescent="0.25">
      <c r="A3700" s="48" t="s">
        <v>8337</v>
      </c>
      <c r="B3700" t="s">
        <v>8338</v>
      </c>
      <c r="C3700">
        <v>0</v>
      </c>
    </row>
    <row r="3701" spans="1:3" x14ac:dyDescent="0.25">
      <c r="A3701" s="48" t="s">
        <v>8325</v>
      </c>
      <c r="B3701" t="s">
        <v>8326</v>
      </c>
      <c r="C3701">
        <v>0</v>
      </c>
    </row>
    <row r="3702" spans="1:3" x14ac:dyDescent="0.25">
      <c r="A3702" s="48" t="s">
        <v>8333</v>
      </c>
      <c r="B3702" t="s">
        <v>8334</v>
      </c>
      <c r="C3702">
        <v>0</v>
      </c>
    </row>
    <row r="3703" spans="1:3" x14ac:dyDescent="0.25">
      <c r="A3703" s="48" t="s">
        <v>8329</v>
      </c>
      <c r="B3703" t="s">
        <v>8330</v>
      </c>
      <c r="C3703">
        <v>0</v>
      </c>
    </row>
    <row r="3704" spans="1:3" x14ac:dyDescent="0.25">
      <c r="A3704" s="48" t="s">
        <v>8331</v>
      </c>
      <c r="B3704" t="s">
        <v>8332</v>
      </c>
      <c r="C3704">
        <v>0</v>
      </c>
    </row>
    <row r="3705" spans="1:3" x14ac:dyDescent="0.25">
      <c r="A3705" s="48" t="s">
        <v>8343</v>
      </c>
      <c r="B3705" t="s">
        <v>8344</v>
      </c>
      <c r="C3705">
        <v>0</v>
      </c>
    </row>
    <row r="3706" spans="1:3" x14ac:dyDescent="0.25">
      <c r="A3706" s="48" t="s">
        <v>17736</v>
      </c>
      <c r="B3706" t="s">
        <v>17737</v>
      </c>
      <c r="C3706">
        <v>20</v>
      </c>
    </row>
    <row r="3707" spans="1:3" x14ac:dyDescent="0.25">
      <c r="A3707" s="48" t="s">
        <v>9802</v>
      </c>
      <c r="B3707" t="s">
        <v>9803</v>
      </c>
      <c r="C3707">
        <v>7</v>
      </c>
    </row>
    <row r="3708" spans="1:3" x14ac:dyDescent="0.25">
      <c r="A3708" s="48" t="s">
        <v>17738</v>
      </c>
      <c r="B3708" t="s">
        <v>17739</v>
      </c>
      <c r="C3708">
        <v>0</v>
      </c>
    </row>
    <row r="3709" spans="1:3" x14ac:dyDescent="0.25">
      <c r="A3709" s="48" t="s">
        <v>17740</v>
      </c>
      <c r="B3709" t="s">
        <v>17741</v>
      </c>
      <c r="C3709">
        <v>0</v>
      </c>
    </row>
    <row r="3710" spans="1:3" x14ac:dyDescent="0.25">
      <c r="A3710" s="48" t="s">
        <v>17742</v>
      </c>
      <c r="B3710" t="s">
        <v>17743</v>
      </c>
      <c r="C3710">
        <v>0</v>
      </c>
    </row>
    <row r="3711" spans="1:3" x14ac:dyDescent="0.25">
      <c r="A3711" s="48" t="s">
        <v>151</v>
      </c>
      <c r="B3711" t="s">
        <v>152</v>
      </c>
      <c r="C3711">
        <v>3</v>
      </c>
    </row>
    <row r="3712" spans="1:3" x14ac:dyDescent="0.25">
      <c r="A3712" s="48" t="s">
        <v>11486</v>
      </c>
      <c r="B3712" t="s">
        <v>11487</v>
      </c>
      <c r="C3712">
        <v>8</v>
      </c>
    </row>
    <row r="3713" spans="1:3" x14ac:dyDescent="0.25">
      <c r="A3713" s="48" t="s">
        <v>8532</v>
      </c>
      <c r="B3713" t="s">
        <v>21077</v>
      </c>
      <c r="C3713">
        <v>0</v>
      </c>
    </row>
    <row r="3714" spans="1:3" x14ac:dyDescent="0.25">
      <c r="A3714" s="48" t="s">
        <v>19474</v>
      </c>
      <c r="B3714" t="s">
        <v>19475</v>
      </c>
      <c r="C3714">
        <v>0</v>
      </c>
    </row>
    <row r="3715" spans="1:3" x14ac:dyDescent="0.25">
      <c r="A3715" s="48" t="s">
        <v>833</v>
      </c>
      <c r="B3715" t="s">
        <v>834</v>
      </c>
      <c r="C3715">
        <v>20</v>
      </c>
    </row>
    <row r="3716" spans="1:3" x14ac:dyDescent="0.25">
      <c r="A3716" s="48" t="s">
        <v>16778</v>
      </c>
      <c r="B3716" t="s">
        <v>21078</v>
      </c>
      <c r="C3716">
        <v>0</v>
      </c>
    </row>
    <row r="3717" spans="1:3" x14ac:dyDescent="0.25">
      <c r="A3717" s="48" t="s">
        <v>14868</v>
      </c>
      <c r="B3717" t="s">
        <v>21079</v>
      </c>
      <c r="C3717">
        <v>0</v>
      </c>
    </row>
    <row r="3718" spans="1:3" x14ac:dyDescent="0.25">
      <c r="A3718" s="48" t="s">
        <v>14872</v>
      </c>
      <c r="B3718" t="s">
        <v>21080</v>
      </c>
      <c r="C3718">
        <v>0</v>
      </c>
    </row>
    <row r="3719" spans="1:3" x14ac:dyDescent="0.25">
      <c r="A3719" s="48" t="s">
        <v>14882</v>
      </c>
      <c r="B3719" t="s">
        <v>21081</v>
      </c>
      <c r="C3719">
        <v>0</v>
      </c>
    </row>
    <row r="3720" spans="1:3" x14ac:dyDescent="0.25">
      <c r="A3720" s="48" t="s">
        <v>14884</v>
      </c>
      <c r="B3720" t="s">
        <v>21082</v>
      </c>
      <c r="C3720">
        <v>0</v>
      </c>
    </row>
    <row r="3721" spans="1:3" x14ac:dyDescent="0.25">
      <c r="A3721" s="48" t="s">
        <v>14886</v>
      </c>
      <c r="B3721" t="s">
        <v>21083</v>
      </c>
      <c r="C3721">
        <v>0</v>
      </c>
    </row>
    <row r="3722" spans="1:3" x14ac:dyDescent="0.25">
      <c r="A3722" s="48" t="s">
        <v>10241</v>
      </c>
      <c r="B3722" t="s">
        <v>21084</v>
      </c>
      <c r="C3722">
        <v>0</v>
      </c>
    </row>
    <row r="3723" spans="1:3" x14ac:dyDescent="0.25">
      <c r="A3723" s="48" t="s">
        <v>10243</v>
      </c>
      <c r="B3723" t="s">
        <v>21085</v>
      </c>
      <c r="C3723">
        <v>0</v>
      </c>
    </row>
    <row r="3724" spans="1:3" x14ac:dyDescent="0.25">
      <c r="A3724" s="48" t="s">
        <v>14888</v>
      </c>
      <c r="B3724" t="s">
        <v>21086</v>
      </c>
      <c r="C3724">
        <v>0</v>
      </c>
    </row>
    <row r="3725" spans="1:3" x14ac:dyDescent="0.25">
      <c r="A3725" s="48" t="s">
        <v>14890</v>
      </c>
      <c r="B3725" t="s">
        <v>21087</v>
      </c>
      <c r="C3725">
        <v>0</v>
      </c>
    </row>
    <row r="3726" spans="1:3" x14ac:dyDescent="0.25">
      <c r="A3726" s="48" t="s">
        <v>9752</v>
      </c>
      <c r="B3726" t="s">
        <v>9753</v>
      </c>
      <c r="C3726">
        <v>1</v>
      </c>
    </row>
    <row r="3727" spans="1:3" x14ac:dyDescent="0.25">
      <c r="A3727" s="48" t="s">
        <v>14880</v>
      </c>
      <c r="B3727" t="s">
        <v>21088</v>
      </c>
      <c r="C3727">
        <v>0</v>
      </c>
    </row>
    <row r="3728" spans="1:3" x14ac:dyDescent="0.25">
      <c r="A3728" s="48" t="s">
        <v>10928</v>
      </c>
      <c r="B3728" t="s">
        <v>21089</v>
      </c>
      <c r="C3728">
        <v>0</v>
      </c>
    </row>
    <row r="3729" spans="1:3" x14ac:dyDescent="0.25">
      <c r="A3729" s="48" t="s">
        <v>15056</v>
      </c>
      <c r="B3729" t="s">
        <v>21090</v>
      </c>
      <c r="C3729">
        <v>6</v>
      </c>
    </row>
    <row r="3730" spans="1:3" x14ac:dyDescent="0.25">
      <c r="A3730" s="48" t="s">
        <v>15054</v>
      </c>
      <c r="B3730" t="s">
        <v>21091</v>
      </c>
      <c r="C3730">
        <v>6</v>
      </c>
    </row>
    <row r="3731" spans="1:3" x14ac:dyDescent="0.25">
      <c r="A3731" s="48" t="s">
        <v>14916</v>
      </c>
      <c r="B3731" t="s">
        <v>21092</v>
      </c>
      <c r="C3731">
        <v>0</v>
      </c>
    </row>
    <row r="3732" spans="1:3" x14ac:dyDescent="0.25">
      <c r="A3732" s="48" t="s">
        <v>14878</v>
      </c>
      <c r="B3732" t="s">
        <v>21093</v>
      </c>
      <c r="C3732">
        <v>0</v>
      </c>
    </row>
    <row r="3733" spans="1:3" x14ac:dyDescent="0.25">
      <c r="A3733" s="48" t="s">
        <v>14870</v>
      </c>
      <c r="B3733" t="s">
        <v>21094</v>
      </c>
      <c r="C3733">
        <v>0</v>
      </c>
    </row>
    <row r="3734" spans="1:3" x14ac:dyDescent="0.25">
      <c r="A3734" s="48" t="s">
        <v>12913</v>
      </c>
      <c r="B3734" t="s">
        <v>12914</v>
      </c>
      <c r="C3734">
        <v>0</v>
      </c>
    </row>
    <row r="3735" spans="1:3" x14ac:dyDescent="0.25">
      <c r="A3735" s="48" t="s">
        <v>341</v>
      </c>
      <c r="B3735" t="s">
        <v>342</v>
      </c>
      <c r="C3735">
        <v>20</v>
      </c>
    </row>
    <row r="3736" spans="1:3" x14ac:dyDescent="0.25">
      <c r="A3736" s="48" t="s">
        <v>18572</v>
      </c>
      <c r="B3736" t="s">
        <v>18573</v>
      </c>
      <c r="C3736">
        <v>2</v>
      </c>
    </row>
    <row r="3737" spans="1:3" x14ac:dyDescent="0.25">
      <c r="A3737" s="48" t="s">
        <v>18552</v>
      </c>
      <c r="B3737" t="s">
        <v>18553</v>
      </c>
      <c r="C3737">
        <v>8</v>
      </c>
    </row>
    <row r="3738" spans="1:3" x14ac:dyDescent="0.25">
      <c r="A3738" s="48" t="s">
        <v>18231</v>
      </c>
      <c r="B3738" t="s">
        <v>22917</v>
      </c>
      <c r="C3738">
        <v>0</v>
      </c>
    </row>
    <row r="3739" spans="1:3" x14ac:dyDescent="0.25">
      <c r="A3739" s="48" t="s">
        <v>609</v>
      </c>
      <c r="B3739" t="s">
        <v>610</v>
      </c>
      <c r="C3739">
        <v>18</v>
      </c>
    </row>
    <row r="3740" spans="1:3" x14ac:dyDescent="0.25">
      <c r="A3740" s="48" t="s">
        <v>205</v>
      </c>
      <c r="B3740" t="s">
        <v>206</v>
      </c>
      <c r="C3740">
        <v>41</v>
      </c>
    </row>
    <row r="3741" spans="1:3" x14ac:dyDescent="0.25">
      <c r="A3741" s="48" t="s">
        <v>11570</v>
      </c>
      <c r="B3741" t="s">
        <v>11571</v>
      </c>
      <c r="C3741">
        <v>0</v>
      </c>
    </row>
    <row r="3742" spans="1:3" x14ac:dyDescent="0.25">
      <c r="A3742" s="48" t="s">
        <v>9512</v>
      </c>
      <c r="B3742" t="s">
        <v>9513</v>
      </c>
      <c r="C3742">
        <v>0</v>
      </c>
    </row>
    <row r="3743" spans="1:3" x14ac:dyDescent="0.25">
      <c r="A3743" s="48" t="s">
        <v>14511</v>
      </c>
      <c r="B3743" t="s">
        <v>21095</v>
      </c>
      <c r="C3743">
        <v>1</v>
      </c>
    </row>
    <row r="3744" spans="1:3" x14ac:dyDescent="0.25">
      <c r="A3744" s="48" t="s">
        <v>9742</v>
      </c>
      <c r="B3744" t="s">
        <v>9743</v>
      </c>
      <c r="C3744">
        <v>12</v>
      </c>
    </row>
    <row r="3745" spans="1:3" x14ac:dyDescent="0.25">
      <c r="A3745" s="48" t="s">
        <v>3422</v>
      </c>
      <c r="B3745" t="s">
        <v>21096</v>
      </c>
      <c r="C3745">
        <v>0</v>
      </c>
    </row>
    <row r="3746" spans="1:3" x14ac:dyDescent="0.25">
      <c r="A3746" s="48" t="s">
        <v>14874</v>
      </c>
      <c r="B3746" t="s">
        <v>21097</v>
      </c>
      <c r="C3746">
        <v>0</v>
      </c>
    </row>
    <row r="3747" spans="1:3" x14ac:dyDescent="0.25">
      <c r="A3747" s="48" t="s">
        <v>12481</v>
      </c>
      <c r="B3747" t="s">
        <v>21098</v>
      </c>
      <c r="C3747">
        <v>0</v>
      </c>
    </row>
    <row r="3748" spans="1:3" x14ac:dyDescent="0.25">
      <c r="A3748" s="48" t="s">
        <v>16990</v>
      </c>
      <c r="B3748" t="s">
        <v>21099</v>
      </c>
      <c r="C3748">
        <v>0</v>
      </c>
    </row>
    <row r="3749" spans="1:3" x14ac:dyDescent="0.25">
      <c r="A3749" s="48" t="s">
        <v>14411</v>
      </c>
      <c r="B3749" t="s">
        <v>21100</v>
      </c>
      <c r="C3749">
        <v>0</v>
      </c>
    </row>
    <row r="3750" spans="1:3" x14ac:dyDescent="0.25">
      <c r="A3750" s="48" t="s">
        <v>12867</v>
      </c>
      <c r="B3750" t="s">
        <v>21101</v>
      </c>
      <c r="C3750">
        <v>0</v>
      </c>
    </row>
    <row r="3751" spans="1:3" x14ac:dyDescent="0.25">
      <c r="A3751" s="48" t="s">
        <v>12883</v>
      </c>
      <c r="B3751" t="s">
        <v>12884</v>
      </c>
      <c r="C3751">
        <v>3</v>
      </c>
    </row>
    <row r="3752" spans="1:3" x14ac:dyDescent="0.25">
      <c r="A3752" s="48" t="s">
        <v>12861</v>
      </c>
      <c r="B3752" t="s">
        <v>12862</v>
      </c>
      <c r="C3752">
        <v>0</v>
      </c>
    </row>
    <row r="3753" spans="1:3" x14ac:dyDescent="0.25">
      <c r="A3753" s="48" t="s">
        <v>12879</v>
      </c>
      <c r="B3753" t="s">
        <v>12880</v>
      </c>
      <c r="C3753">
        <v>3</v>
      </c>
    </row>
    <row r="3754" spans="1:3" x14ac:dyDescent="0.25">
      <c r="A3754" s="48" t="s">
        <v>12863</v>
      </c>
      <c r="B3754" t="s">
        <v>12864</v>
      </c>
      <c r="C3754">
        <v>0</v>
      </c>
    </row>
    <row r="3755" spans="1:3" x14ac:dyDescent="0.25">
      <c r="A3755" s="48" t="s">
        <v>801</v>
      </c>
      <c r="B3755" t="s">
        <v>802</v>
      </c>
      <c r="C3755">
        <v>41</v>
      </c>
    </row>
    <row r="3756" spans="1:3" x14ac:dyDescent="0.25">
      <c r="A3756" s="48" t="s">
        <v>12865</v>
      </c>
      <c r="B3756" t="s">
        <v>12866</v>
      </c>
      <c r="C3756">
        <v>0</v>
      </c>
    </row>
    <row r="3757" spans="1:3" x14ac:dyDescent="0.25">
      <c r="A3757" s="48" t="s">
        <v>12873</v>
      </c>
      <c r="B3757" t="s">
        <v>12874</v>
      </c>
      <c r="C3757">
        <v>0</v>
      </c>
    </row>
    <row r="3758" spans="1:3" x14ac:dyDescent="0.25">
      <c r="A3758" s="48" t="s">
        <v>12875</v>
      </c>
      <c r="B3758" t="s">
        <v>12876</v>
      </c>
      <c r="C3758">
        <v>0</v>
      </c>
    </row>
    <row r="3759" spans="1:3" x14ac:dyDescent="0.25">
      <c r="A3759" s="48" t="s">
        <v>12859</v>
      </c>
      <c r="B3759" t="s">
        <v>12860</v>
      </c>
      <c r="C3759">
        <v>3</v>
      </c>
    </row>
    <row r="3760" spans="1:3" x14ac:dyDescent="0.25">
      <c r="A3760" s="48" t="s">
        <v>12877</v>
      </c>
      <c r="B3760" t="s">
        <v>12878</v>
      </c>
      <c r="C3760">
        <v>16</v>
      </c>
    </row>
    <row r="3761" spans="1:3" x14ac:dyDescent="0.25">
      <c r="A3761" s="48" t="s">
        <v>12869</v>
      </c>
      <c r="B3761" t="s">
        <v>12870</v>
      </c>
      <c r="C3761">
        <v>20</v>
      </c>
    </row>
    <row r="3762" spans="1:3" x14ac:dyDescent="0.25">
      <c r="A3762" s="48" t="s">
        <v>12881</v>
      </c>
      <c r="B3762" t="s">
        <v>12882</v>
      </c>
      <c r="C3762">
        <v>3</v>
      </c>
    </row>
    <row r="3763" spans="1:3" x14ac:dyDescent="0.25">
      <c r="A3763" s="48" t="s">
        <v>4284</v>
      </c>
      <c r="B3763" t="s">
        <v>4285</v>
      </c>
      <c r="C3763">
        <v>0</v>
      </c>
    </row>
    <row r="3764" spans="1:3" x14ac:dyDescent="0.25">
      <c r="A3764" s="48" t="s">
        <v>7849</v>
      </c>
      <c r="B3764" t="s">
        <v>7850</v>
      </c>
      <c r="C3764">
        <v>19</v>
      </c>
    </row>
    <row r="3765" spans="1:3" x14ac:dyDescent="0.25">
      <c r="A3765" s="48" t="s">
        <v>14802</v>
      </c>
      <c r="B3765" t="s">
        <v>14803</v>
      </c>
      <c r="C3765">
        <v>0</v>
      </c>
    </row>
    <row r="3766" spans="1:3" x14ac:dyDescent="0.25">
      <c r="A3766" s="48" t="s">
        <v>14808</v>
      </c>
      <c r="B3766" t="s">
        <v>14809</v>
      </c>
      <c r="C3766">
        <v>26</v>
      </c>
    </row>
    <row r="3767" spans="1:3" x14ac:dyDescent="0.25">
      <c r="A3767" s="48" t="s">
        <v>14784</v>
      </c>
      <c r="B3767" t="s">
        <v>14785</v>
      </c>
      <c r="C3767">
        <v>2</v>
      </c>
    </row>
    <row r="3768" spans="1:3" x14ac:dyDescent="0.25">
      <c r="A3768" s="48" t="s">
        <v>14804</v>
      </c>
      <c r="B3768" t="s">
        <v>14805</v>
      </c>
      <c r="C3768">
        <v>5</v>
      </c>
    </row>
    <row r="3769" spans="1:3" x14ac:dyDescent="0.25">
      <c r="A3769" s="48" t="s">
        <v>14780</v>
      </c>
      <c r="B3769" t="s">
        <v>14781</v>
      </c>
      <c r="C3769">
        <v>0</v>
      </c>
    </row>
    <row r="3770" spans="1:3" x14ac:dyDescent="0.25">
      <c r="A3770" s="48" t="s">
        <v>14796</v>
      </c>
      <c r="B3770" t="s">
        <v>14797</v>
      </c>
      <c r="C3770">
        <v>2</v>
      </c>
    </row>
    <row r="3771" spans="1:3" x14ac:dyDescent="0.25">
      <c r="A3771" s="48" t="s">
        <v>14790</v>
      </c>
      <c r="B3771" t="s">
        <v>14791</v>
      </c>
      <c r="C3771">
        <v>0</v>
      </c>
    </row>
    <row r="3772" spans="1:3" x14ac:dyDescent="0.25">
      <c r="A3772" s="48" t="s">
        <v>14792</v>
      </c>
      <c r="B3772" t="s">
        <v>14793</v>
      </c>
      <c r="C3772">
        <v>1</v>
      </c>
    </row>
    <row r="3773" spans="1:3" x14ac:dyDescent="0.25">
      <c r="A3773" s="48" t="s">
        <v>14806</v>
      </c>
      <c r="B3773" t="s">
        <v>14807</v>
      </c>
      <c r="C3773">
        <v>11</v>
      </c>
    </row>
    <row r="3774" spans="1:3" x14ac:dyDescent="0.25">
      <c r="A3774" s="48" t="s">
        <v>14782</v>
      </c>
      <c r="B3774" t="s">
        <v>14783</v>
      </c>
      <c r="C3774">
        <v>6</v>
      </c>
    </row>
    <row r="3775" spans="1:3" x14ac:dyDescent="0.25">
      <c r="A3775" s="48" t="s">
        <v>14788</v>
      </c>
      <c r="B3775" t="s">
        <v>14789</v>
      </c>
      <c r="C3775">
        <v>6</v>
      </c>
    </row>
    <row r="3776" spans="1:3" x14ac:dyDescent="0.25">
      <c r="A3776" s="48" t="s">
        <v>14786</v>
      </c>
      <c r="B3776" t="s">
        <v>14787</v>
      </c>
      <c r="C3776">
        <v>5</v>
      </c>
    </row>
    <row r="3777" spans="1:3" x14ac:dyDescent="0.25">
      <c r="A3777" s="48" t="s">
        <v>14794</v>
      </c>
      <c r="B3777" t="s">
        <v>14795</v>
      </c>
      <c r="C3777">
        <v>1</v>
      </c>
    </row>
    <row r="3778" spans="1:3" x14ac:dyDescent="0.25">
      <c r="A3778" s="48" t="s">
        <v>14810</v>
      </c>
      <c r="B3778" t="s">
        <v>14811</v>
      </c>
      <c r="C3778">
        <v>0</v>
      </c>
    </row>
    <row r="3779" spans="1:3" x14ac:dyDescent="0.25">
      <c r="A3779" s="48" t="s">
        <v>14812</v>
      </c>
      <c r="B3779" t="s">
        <v>14813</v>
      </c>
      <c r="C3779">
        <v>0</v>
      </c>
    </row>
    <row r="3780" spans="1:3" x14ac:dyDescent="0.25">
      <c r="A3780" s="48" t="s">
        <v>14774</v>
      </c>
      <c r="B3780" t="s">
        <v>14775</v>
      </c>
      <c r="C3780">
        <v>0</v>
      </c>
    </row>
    <row r="3781" spans="1:3" x14ac:dyDescent="0.25">
      <c r="A3781" s="48" t="s">
        <v>14776</v>
      </c>
      <c r="B3781" t="s">
        <v>14777</v>
      </c>
      <c r="C3781">
        <v>0</v>
      </c>
    </row>
    <row r="3782" spans="1:3" x14ac:dyDescent="0.25">
      <c r="A3782" s="48" t="s">
        <v>18225</v>
      </c>
      <c r="B3782" t="s">
        <v>18226</v>
      </c>
      <c r="C3782">
        <v>6</v>
      </c>
    </row>
    <row r="3783" spans="1:3" x14ac:dyDescent="0.25">
      <c r="A3783" s="48" t="s">
        <v>14826</v>
      </c>
      <c r="B3783" t="s">
        <v>14827</v>
      </c>
      <c r="C3783">
        <v>5</v>
      </c>
    </row>
    <row r="3784" spans="1:3" x14ac:dyDescent="0.25">
      <c r="A3784" s="48" t="s">
        <v>14824</v>
      </c>
      <c r="B3784" t="s">
        <v>14825</v>
      </c>
      <c r="C3784">
        <v>35</v>
      </c>
    </row>
    <row r="3785" spans="1:3" x14ac:dyDescent="0.25">
      <c r="A3785" s="48" t="s">
        <v>237</v>
      </c>
      <c r="B3785" t="s">
        <v>238</v>
      </c>
      <c r="C3785">
        <v>18</v>
      </c>
    </row>
    <row r="3786" spans="1:3" x14ac:dyDescent="0.25">
      <c r="A3786" s="48" t="s">
        <v>14846</v>
      </c>
      <c r="B3786" t="s">
        <v>14847</v>
      </c>
      <c r="C3786">
        <v>15</v>
      </c>
    </row>
    <row r="3787" spans="1:3" x14ac:dyDescent="0.25">
      <c r="A3787" s="48" t="s">
        <v>14800</v>
      </c>
      <c r="B3787" t="s">
        <v>14801</v>
      </c>
      <c r="C3787">
        <v>1</v>
      </c>
    </row>
    <row r="3788" spans="1:3" x14ac:dyDescent="0.25">
      <c r="A3788" s="48" t="s">
        <v>14375</v>
      </c>
      <c r="B3788" t="s">
        <v>14376</v>
      </c>
      <c r="C3788">
        <v>13</v>
      </c>
    </row>
    <row r="3789" spans="1:3" x14ac:dyDescent="0.25">
      <c r="A3789" s="48" t="s">
        <v>9545</v>
      </c>
      <c r="B3789" t="s">
        <v>9546</v>
      </c>
      <c r="C3789">
        <v>323</v>
      </c>
    </row>
    <row r="3790" spans="1:3" x14ac:dyDescent="0.25">
      <c r="A3790" s="48" t="s">
        <v>14377</v>
      </c>
      <c r="B3790" t="s">
        <v>14378</v>
      </c>
      <c r="C3790">
        <v>8</v>
      </c>
    </row>
    <row r="3791" spans="1:3" x14ac:dyDescent="0.25">
      <c r="A3791" s="48" t="s">
        <v>14373</v>
      </c>
      <c r="B3791" t="s">
        <v>14374</v>
      </c>
      <c r="C3791">
        <v>11</v>
      </c>
    </row>
    <row r="3792" spans="1:3" x14ac:dyDescent="0.25">
      <c r="A3792" s="48" t="s">
        <v>14385</v>
      </c>
      <c r="B3792" t="s">
        <v>14386</v>
      </c>
      <c r="C3792">
        <v>5</v>
      </c>
    </row>
    <row r="3793" spans="1:3" x14ac:dyDescent="0.25">
      <c r="A3793" s="48" t="s">
        <v>10333</v>
      </c>
      <c r="B3793" t="s">
        <v>21102</v>
      </c>
      <c r="C3793">
        <v>0</v>
      </c>
    </row>
    <row r="3794" spans="1:3" x14ac:dyDescent="0.25">
      <c r="A3794" s="48" t="s">
        <v>10331</v>
      </c>
      <c r="B3794" t="s">
        <v>21103</v>
      </c>
      <c r="C3794">
        <v>0</v>
      </c>
    </row>
    <row r="3795" spans="1:3" x14ac:dyDescent="0.25">
      <c r="A3795" s="48" t="s">
        <v>10343</v>
      </c>
      <c r="B3795" t="s">
        <v>21104</v>
      </c>
      <c r="C3795">
        <v>0</v>
      </c>
    </row>
    <row r="3796" spans="1:3" x14ac:dyDescent="0.25">
      <c r="A3796" s="48" t="s">
        <v>223</v>
      </c>
      <c r="B3796" t="s">
        <v>224</v>
      </c>
      <c r="C3796">
        <v>2</v>
      </c>
    </row>
    <row r="3797" spans="1:3" x14ac:dyDescent="0.25">
      <c r="A3797" s="48" t="s">
        <v>10323</v>
      </c>
      <c r="B3797" t="s">
        <v>21105</v>
      </c>
      <c r="C3797">
        <v>24</v>
      </c>
    </row>
    <row r="3798" spans="1:3" x14ac:dyDescent="0.25">
      <c r="A3798" s="48" t="s">
        <v>2709</v>
      </c>
      <c r="B3798" t="s">
        <v>21106</v>
      </c>
      <c r="C3798">
        <v>0</v>
      </c>
    </row>
    <row r="3799" spans="1:3" x14ac:dyDescent="0.25">
      <c r="A3799" s="48" t="s">
        <v>17991</v>
      </c>
      <c r="B3799" t="s">
        <v>21107</v>
      </c>
      <c r="C3799">
        <v>0</v>
      </c>
    </row>
    <row r="3800" spans="1:3" x14ac:dyDescent="0.25">
      <c r="A3800" s="48" t="s">
        <v>17993</v>
      </c>
      <c r="B3800" t="s">
        <v>21108</v>
      </c>
      <c r="C3800">
        <v>0</v>
      </c>
    </row>
    <row r="3801" spans="1:3" x14ac:dyDescent="0.25">
      <c r="A3801" s="48" t="s">
        <v>2719</v>
      </c>
      <c r="B3801" t="s">
        <v>21109</v>
      </c>
      <c r="C3801">
        <v>0</v>
      </c>
    </row>
    <row r="3802" spans="1:3" x14ac:dyDescent="0.25">
      <c r="A3802" s="48" t="s">
        <v>8534</v>
      </c>
      <c r="B3802" t="s">
        <v>21110</v>
      </c>
      <c r="C3802">
        <v>0</v>
      </c>
    </row>
    <row r="3803" spans="1:3" x14ac:dyDescent="0.25">
      <c r="A3803" s="48" t="s">
        <v>593</v>
      </c>
      <c r="B3803" t="s">
        <v>594</v>
      </c>
      <c r="C3803">
        <v>51</v>
      </c>
    </row>
    <row r="3804" spans="1:3" x14ac:dyDescent="0.25">
      <c r="A3804" s="48" t="s">
        <v>8530</v>
      </c>
      <c r="B3804" t="s">
        <v>21111</v>
      </c>
      <c r="C3804">
        <v>0</v>
      </c>
    </row>
    <row r="3805" spans="1:3" x14ac:dyDescent="0.25">
      <c r="A3805" s="48" t="s">
        <v>8524</v>
      </c>
      <c r="B3805" t="s">
        <v>21112</v>
      </c>
      <c r="C3805">
        <v>0</v>
      </c>
    </row>
    <row r="3806" spans="1:3" x14ac:dyDescent="0.25">
      <c r="A3806" s="48" t="s">
        <v>9772</v>
      </c>
      <c r="B3806" t="s">
        <v>9773</v>
      </c>
      <c r="C3806">
        <v>9</v>
      </c>
    </row>
    <row r="3807" spans="1:3" x14ac:dyDescent="0.25">
      <c r="A3807" s="48" t="s">
        <v>9770</v>
      </c>
      <c r="B3807" t="s">
        <v>9771</v>
      </c>
      <c r="C3807">
        <v>16</v>
      </c>
    </row>
    <row r="3808" spans="1:3" x14ac:dyDescent="0.25">
      <c r="A3808" s="48" t="s">
        <v>10321</v>
      </c>
      <c r="B3808" t="s">
        <v>21113</v>
      </c>
      <c r="C3808">
        <v>1</v>
      </c>
    </row>
    <row r="3809" spans="1:3" x14ac:dyDescent="0.25">
      <c r="A3809" s="48" t="s">
        <v>10325</v>
      </c>
      <c r="B3809" t="s">
        <v>21114</v>
      </c>
      <c r="C3809">
        <v>0</v>
      </c>
    </row>
    <row r="3810" spans="1:3" x14ac:dyDescent="0.25">
      <c r="A3810" s="48" t="s">
        <v>10315</v>
      </c>
      <c r="B3810" t="s">
        <v>21115</v>
      </c>
      <c r="C3810">
        <v>0</v>
      </c>
    </row>
    <row r="3811" spans="1:3" x14ac:dyDescent="0.25">
      <c r="A3811" s="48" t="s">
        <v>3851</v>
      </c>
      <c r="B3811" t="s">
        <v>21116</v>
      </c>
      <c r="C3811">
        <v>0</v>
      </c>
    </row>
    <row r="3812" spans="1:3" x14ac:dyDescent="0.25">
      <c r="A3812" s="48" t="s">
        <v>10327</v>
      </c>
      <c r="B3812" t="s">
        <v>21117</v>
      </c>
      <c r="C3812">
        <v>0</v>
      </c>
    </row>
    <row r="3813" spans="1:3" x14ac:dyDescent="0.25">
      <c r="A3813" s="48" t="s">
        <v>2669</v>
      </c>
      <c r="B3813" t="s">
        <v>21118</v>
      </c>
      <c r="C3813">
        <v>0</v>
      </c>
    </row>
    <row r="3814" spans="1:3" x14ac:dyDescent="0.25">
      <c r="A3814" s="48" t="s">
        <v>10313</v>
      </c>
      <c r="B3814" t="s">
        <v>21119</v>
      </c>
      <c r="C3814">
        <v>0</v>
      </c>
    </row>
    <row r="3815" spans="1:3" x14ac:dyDescent="0.25">
      <c r="A3815" s="48" t="s">
        <v>10329</v>
      </c>
      <c r="B3815" t="s">
        <v>21120</v>
      </c>
      <c r="C3815">
        <v>0</v>
      </c>
    </row>
    <row r="3816" spans="1:3" x14ac:dyDescent="0.25">
      <c r="A3816" s="48" t="s">
        <v>8041</v>
      </c>
      <c r="B3816" t="s">
        <v>21121</v>
      </c>
      <c r="C3816">
        <v>0</v>
      </c>
    </row>
    <row r="3817" spans="1:3" x14ac:dyDescent="0.25">
      <c r="A3817" s="48" t="s">
        <v>9768</v>
      </c>
      <c r="B3817" t="s">
        <v>9769</v>
      </c>
      <c r="C3817">
        <v>16</v>
      </c>
    </row>
    <row r="3818" spans="1:3" x14ac:dyDescent="0.25">
      <c r="A3818" s="48" t="s">
        <v>10319</v>
      </c>
      <c r="B3818" t="s">
        <v>21122</v>
      </c>
      <c r="C3818">
        <v>0</v>
      </c>
    </row>
    <row r="3819" spans="1:3" x14ac:dyDescent="0.25">
      <c r="A3819" s="48" t="s">
        <v>3849</v>
      </c>
      <c r="B3819" t="s">
        <v>21123</v>
      </c>
      <c r="C3819">
        <v>2</v>
      </c>
    </row>
    <row r="3820" spans="1:3" x14ac:dyDescent="0.25">
      <c r="A3820" s="48" t="s">
        <v>2671</v>
      </c>
      <c r="B3820" t="s">
        <v>21124</v>
      </c>
      <c r="C3820">
        <v>0</v>
      </c>
    </row>
    <row r="3821" spans="1:3" x14ac:dyDescent="0.25">
      <c r="A3821" s="48" t="s">
        <v>1359</v>
      </c>
      <c r="B3821" t="s">
        <v>1360</v>
      </c>
      <c r="C3821">
        <v>20</v>
      </c>
    </row>
    <row r="3822" spans="1:3" x14ac:dyDescent="0.25">
      <c r="A3822" s="48" t="s">
        <v>16690</v>
      </c>
      <c r="B3822" t="s">
        <v>16691</v>
      </c>
      <c r="C3822">
        <v>0</v>
      </c>
    </row>
    <row r="3823" spans="1:3" x14ac:dyDescent="0.25">
      <c r="A3823" s="48" t="s">
        <v>5745</v>
      </c>
      <c r="B3823" t="s">
        <v>5746</v>
      </c>
      <c r="C3823">
        <v>0</v>
      </c>
    </row>
    <row r="3824" spans="1:3" x14ac:dyDescent="0.25">
      <c r="A3824" s="48" t="s">
        <v>5765</v>
      </c>
      <c r="B3824" t="s">
        <v>5766</v>
      </c>
      <c r="C3824">
        <v>0</v>
      </c>
    </row>
    <row r="3825" spans="1:3" x14ac:dyDescent="0.25">
      <c r="A3825" s="48" t="s">
        <v>11484</v>
      </c>
      <c r="B3825" t="s">
        <v>11485</v>
      </c>
      <c r="C3825">
        <v>3</v>
      </c>
    </row>
    <row r="3826" spans="1:3" x14ac:dyDescent="0.25">
      <c r="A3826" s="48" t="s">
        <v>11624</v>
      </c>
      <c r="B3826" t="s">
        <v>11625</v>
      </c>
      <c r="C3826">
        <v>9</v>
      </c>
    </row>
    <row r="3827" spans="1:3" x14ac:dyDescent="0.25">
      <c r="A3827" s="48" t="s">
        <v>11626</v>
      </c>
      <c r="B3827" t="s">
        <v>11627</v>
      </c>
      <c r="C3827">
        <v>7</v>
      </c>
    </row>
    <row r="3828" spans="1:3" x14ac:dyDescent="0.25">
      <c r="A3828" s="48" t="s">
        <v>11434</v>
      </c>
      <c r="B3828" t="s">
        <v>11435</v>
      </c>
      <c r="C3828">
        <v>7</v>
      </c>
    </row>
    <row r="3829" spans="1:3" x14ac:dyDescent="0.25">
      <c r="A3829" s="48" t="s">
        <v>9756</v>
      </c>
      <c r="B3829" t="s">
        <v>9757</v>
      </c>
      <c r="C3829">
        <v>33</v>
      </c>
    </row>
    <row r="3830" spans="1:3" x14ac:dyDescent="0.25">
      <c r="A3830" s="48" t="s">
        <v>11436</v>
      </c>
      <c r="B3830" t="s">
        <v>11437</v>
      </c>
      <c r="C3830">
        <v>8</v>
      </c>
    </row>
    <row r="3831" spans="1:3" x14ac:dyDescent="0.25">
      <c r="A3831" s="48" t="s">
        <v>11368</v>
      </c>
      <c r="B3831" t="s">
        <v>11369</v>
      </c>
      <c r="C3831">
        <v>0</v>
      </c>
    </row>
    <row r="3832" spans="1:3" x14ac:dyDescent="0.25">
      <c r="A3832" s="48" t="s">
        <v>11362</v>
      </c>
      <c r="B3832" t="s">
        <v>11363</v>
      </c>
      <c r="C3832">
        <v>0</v>
      </c>
    </row>
    <row r="3833" spans="1:3" x14ac:dyDescent="0.25">
      <c r="A3833" s="48" t="s">
        <v>11352</v>
      </c>
      <c r="B3833" t="s">
        <v>11353</v>
      </c>
      <c r="C3833">
        <v>0</v>
      </c>
    </row>
    <row r="3834" spans="1:3" x14ac:dyDescent="0.25">
      <c r="A3834" s="48" t="s">
        <v>11338</v>
      </c>
      <c r="B3834" t="s">
        <v>11339</v>
      </c>
      <c r="C3834">
        <v>0</v>
      </c>
    </row>
    <row r="3835" spans="1:3" x14ac:dyDescent="0.25">
      <c r="A3835" s="48" t="s">
        <v>11336</v>
      </c>
      <c r="B3835" t="s">
        <v>11337</v>
      </c>
      <c r="C3835">
        <v>0</v>
      </c>
    </row>
    <row r="3836" spans="1:3" x14ac:dyDescent="0.25">
      <c r="A3836" s="48" t="s">
        <v>11468</v>
      </c>
      <c r="B3836" t="s">
        <v>11469</v>
      </c>
      <c r="C3836">
        <v>0</v>
      </c>
    </row>
    <row r="3837" spans="1:3" x14ac:dyDescent="0.25">
      <c r="A3837" s="48" t="s">
        <v>16083</v>
      </c>
      <c r="B3837" t="s">
        <v>16084</v>
      </c>
      <c r="C3837">
        <v>24</v>
      </c>
    </row>
    <row r="3838" spans="1:3" x14ac:dyDescent="0.25">
      <c r="A3838" s="48" t="s">
        <v>9760</v>
      </c>
      <c r="B3838" t="s">
        <v>9761</v>
      </c>
      <c r="C3838">
        <v>20</v>
      </c>
    </row>
    <row r="3839" spans="1:3" x14ac:dyDescent="0.25">
      <c r="A3839" s="48" t="s">
        <v>5075</v>
      </c>
      <c r="B3839" t="s">
        <v>5076</v>
      </c>
      <c r="C3839">
        <v>2</v>
      </c>
    </row>
    <row r="3840" spans="1:3" x14ac:dyDescent="0.25">
      <c r="A3840" s="48" t="s">
        <v>11318</v>
      </c>
      <c r="B3840" t="s">
        <v>22896</v>
      </c>
      <c r="C3840">
        <v>0</v>
      </c>
    </row>
    <row r="3841" spans="1:3" x14ac:dyDescent="0.25">
      <c r="A3841" s="48" t="s">
        <v>11334</v>
      </c>
      <c r="B3841" t="s">
        <v>11335</v>
      </c>
      <c r="C3841">
        <v>0</v>
      </c>
    </row>
    <row r="3842" spans="1:3" x14ac:dyDescent="0.25">
      <c r="A3842" s="48" t="s">
        <v>11450</v>
      </c>
      <c r="B3842" t="s">
        <v>11451</v>
      </c>
      <c r="C3842">
        <v>8</v>
      </c>
    </row>
    <row r="3843" spans="1:3" x14ac:dyDescent="0.25">
      <c r="A3843" s="48" t="s">
        <v>11448</v>
      </c>
      <c r="B3843" t="s">
        <v>11449</v>
      </c>
      <c r="C3843">
        <v>6</v>
      </c>
    </row>
    <row r="3844" spans="1:3" x14ac:dyDescent="0.25">
      <c r="A3844" s="48" t="s">
        <v>11408</v>
      </c>
      <c r="B3844" t="s">
        <v>11409</v>
      </c>
      <c r="C3844">
        <v>0</v>
      </c>
    </row>
    <row r="3845" spans="1:3" x14ac:dyDescent="0.25">
      <c r="A3845" s="48" t="s">
        <v>10203</v>
      </c>
      <c r="B3845" t="s">
        <v>10204</v>
      </c>
      <c r="C3845">
        <v>0</v>
      </c>
    </row>
    <row r="3846" spans="1:3" x14ac:dyDescent="0.25">
      <c r="A3846" s="48" t="s">
        <v>10201</v>
      </c>
      <c r="B3846" t="s">
        <v>10202</v>
      </c>
      <c r="C3846">
        <v>0</v>
      </c>
    </row>
    <row r="3847" spans="1:3" x14ac:dyDescent="0.25">
      <c r="A3847" s="48" t="s">
        <v>14264</v>
      </c>
      <c r="B3847" t="s">
        <v>14265</v>
      </c>
      <c r="C3847">
        <v>12</v>
      </c>
    </row>
    <row r="3848" spans="1:3" x14ac:dyDescent="0.25">
      <c r="A3848" s="48" t="s">
        <v>11976</v>
      </c>
      <c r="B3848" t="s">
        <v>11977</v>
      </c>
      <c r="C3848">
        <v>0</v>
      </c>
    </row>
    <row r="3849" spans="1:3" x14ac:dyDescent="0.25">
      <c r="A3849" s="48" t="s">
        <v>14260</v>
      </c>
      <c r="B3849" t="s">
        <v>14261</v>
      </c>
      <c r="C3849">
        <v>0</v>
      </c>
    </row>
    <row r="3850" spans="1:3" x14ac:dyDescent="0.25">
      <c r="A3850" s="48" t="s">
        <v>14258</v>
      </c>
      <c r="B3850" t="s">
        <v>14259</v>
      </c>
      <c r="C3850">
        <v>0</v>
      </c>
    </row>
    <row r="3851" spans="1:3" x14ac:dyDescent="0.25">
      <c r="A3851" s="48" t="s">
        <v>14266</v>
      </c>
      <c r="B3851" t="s">
        <v>14267</v>
      </c>
      <c r="C3851">
        <v>0</v>
      </c>
    </row>
    <row r="3852" spans="1:3" x14ac:dyDescent="0.25">
      <c r="A3852" s="48" t="s">
        <v>14262</v>
      </c>
      <c r="B3852" t="s">
        <v>14263</v>
      </c>
      <c r="C3852">
        <v>15</v>
      </c>
    </row>
    <row r="3853" spans="1:3" x14ac:dyDescent="0.25">
      <c r="A3853" s="48" t="s">
        <v>5415</v>
      </c>
      <c r="B3853" t="s">
        <v>5416</v>
      </c>
      <c r="C3853">
        <v>0</v>
      </c>
    </row>
    <row r="3854" spans="1:3" x14ac:dyDescent="0.25">
      <c r="A3854" s="48" t="s">
        <v>6533</v>
      </c>
      <c r="B3854" t="s">
        <v>6534</v>
      </c>
      <c r="C3854">
        <v>0</v>
      </c>
    </row>
    <row r="3855" spans="1:3" x14ac:dyDescent="0.25">
      <c r="A3855" s="48" t="s">
        <v>5427</v>
      </c>
      <c r="B3855" t="s">
        <v>5428</v>
      </c>
      <c r="C3855">
        <v>0</v>
      </c>
    </row>
    <row r="3856" spans="1:3" x14ac:dyDescent="0.25">
      <c r="A3856" s="48" t="s">
        <v>5387</v>
      </c>
      <c r="B3856" t="s">
        <v>5388</v>
      </c>
      <c r="C3856">
        <v>0</v>
      </c>
    </row>
    <row r="3857" spans="1:3" x14ac:dyDescent="0.25">
      <c r="A3857" s="48" t="s">
        <v>14284</v>
      </c>
      <c r="B3857" t="s">
        <v>14285</v>
      </c>
      <c r="C3857">
        <v>8</v>
      </c>
    </row>
    <row r="3858" spans="1:3" x14ac:dyDescent="0.25">
      <c r="A3858" s="48" t="s">
        <v>5421</v>
      </c>
      <c r="B3858" t="s">
        <v>5422</v>
      </c>
      <c r="C3858">
        <v>0</v>
      </c>
    </row>
    <row r="3859" spans="1:3" x14ac:dyDescent="0.25">
      <c r="A3859" s="48" t="s">
        <v>19406</v>
      </c>
      <c r="B3859" t="s">
        <v>19407</v>
      </c>
      <c r="C3859">
        <v>0</v>
      </c>
    </row>
    <row r="3860" spans="1:3" x14ac:dyDescent="0.25">
      <c r="A3860" s="48" t="s">
        <v>5477</v>
      </c>
      <c r="B3860" t="s">
        <v>5478</v>
      </c>
      <c r="C3860">
        <v>0</v>
      </c>
    </row>
    <row r="3861" spans="1:3" x14ac:dyDescent="0.25">
      <c r="A3861" s="48" t="s">
        <v>5487</v>
      </c>
      <c r="B3861" t="s">
        <v>5488</v>
      </c>
      <c r="C3861">
        <v>0</v>
      </c>
    </row>
    <row r="3862" spans="1:3" x14ac:dyDescent="0.25">
      <c r="A3862" s="48" t="s">
        <v>11596</v>
      </c>
      <c r="B3862" t="s">
        <v>11597</v>
      </c>
      <c r="C3862">
        <v>1</v>
      </c>
    </row>
    <row r="3863" spans="1:3" x14ac:dyDescent="0.25">
      <c r="A3863" s="48" t="s">
        <v>11284</v>
      </c>
      <c r="B3863" t="s">
        <v>22952</v>
      </c>
      <c r="C3863">
        <v>9</v>
      </c>
    </row>
    <row r="3864" spans="1:3" x14ac:dyDescent="0.25">
      <c r="A3864" s="48" t="s">
        <v>11278</v>
      </c>
      <c r="B3864" t="s">
        <v>22953</v>
      </c>
      <c r="C3864">
        <v>10</v>
      </c>
    </row>
    <row r="3865" spans="1:3" x14ac:dyDescent="0.25">
      <c r="A3865" s="48" t="s">
        <v>11272</v>
      </c>
      <c r="B3865" t="s">
        <v>22954</v>
      </c>
      <c r="C3865">
        <v>6</v>
      </c>
    </row>
    <row r="3866" spans="1:3" x14ac:dyDescent="0.25">
      <c r="A3866" s="48" t="s">
        <v>11308</v>
      </c>
      <c r="B3866" t="s">
        <v>22897</v>
      </c>
      <c r="C3866">
        <v>3</v>
      </c>
    </row>
    <row r="3867" spans="1:3" x14ac:dyDescent="0.25">
      <c r="A3867" s="48" t="s">
        <v>4521</v>
      </c>
      <c r="B3867" t="s">
        <v>4522</v>
      </c>
      <c r="C3867">
        <v>581</v>
      </c>
    </row>
    <row r="3868" spans="1:3" x14ac:dyDescent="0.25">
      <c r="A3868" s="48" t="s">
        <v>5203</v>
      </c>
      <c r="B3868" t="s">
        <v>21125</v>
      </c>
      <c r="C3868">
        <v>0</v>
      </c>
    </row>
    <row r="3869" spans="1:3" x14ac:dyDescent="0.25">
      <c r="A3869" s="48" t="s">
        <v>5241</v>
      </c>
      <c r="B3869" t="s">
        <v>5242</v>
      </c>
      <c r="C3869">
        <v>0</v>
      </c>
    </row>
    <row r="3870" spans="1:3" x14ac:dyDescent="0.25">
      <c r="A3870" s="48" t="s">
        <v>5599</v>
      </c>
      <c r="B3870" t="s">
        <v>5600</v>
      </c>
      <c r="C3870">
        <v>0</v>
      </c>
    </row>
    <row r="3871" spans="1:3" x14ac:dyDescent="0.25">
      <c r="A3871" s="48" t="s">
        <v>5195</v>
      </c>
      <c r="B3871" t="s">
        <v>21126</v>
      </c>
      <c r="C3871">
        <v>0</v>
      </c>
    </row>
    <row r="3872" spans="1:3" x14ac:dyDescent="0.25">
      <c r="A3872" s="48" t="s">
        <v>5225</v>
      </c>
      <c r="B3872" t="s">
        <v>21127</v>
      </c>
      <c r="C3872">
        <v>0</v>
      </c>
    </row>
    <row r="3873" spans="1:3" x14ac:dyDescent="0.25">
      <c r="A3873" s="48" t="s">
        <v>5245</v>
      </c>
      <c r="B3873" t="s">
        <v>21128</v>
      </c>
      <c r="C3873">
        <v>0</v>
      </c>
    </row>
    <row r="3874" spans="1:3" x14ac:dyDescent="0.25">
      <c r="A3874" s="48" t="s">
        <v>5297</v>
      </c>
      <c r="B3874" t="s">
        <v>21129</v>
      </c>
      <c r="C3874">
        <v>0</v>
      </c>
    </row>
    <row r="3875" spans="1:3" x14ac:dyDescent="0.25">
      <c r="A3875" s="48" t="s">
        <v>5207</v>
      </c>
      <c r="B3875" t="s">
        <v>21130</v>
      </c>
      <c r="C3875">
        <v>0</v>
      </c>
    </row>
    <row r="3876" spans="1:3" x14ac:dyDescent="0.25">
      <c r="A3876" s="48" t="s">
        <v>5303</v>
      </c>
      <c r="B3876" t="s">
        <v>21131</v>
      </c>
      <c r="C3876">
        <v>0</v>
      </c>
    </row>
    <row r="3877" spans="1:3" x14ac:dyDescent="0.25">
      <c r="A3877" s="48" t="s">
        <v>5271</v>
      </c>
      <c r="B3877" t="s">
        <v>21132</v>
      </c>
      <c r="C3877">
        <v>24</v>
      </c>
    </row>
    <row r="3878" spans="1:3" x14ac:dyDescent="0.25">
      <c r="A3878" s="48" t="s">
        <v>5199</v>
      </c>
      <c r="B3878" t="s">
        <v>21133</v>
      </c>
      <c r="C3878">
        <v>0</v>
      </c>
    </row>
    <row r="3879" spans="1:3" x14ac:dyDescent="0.25">
      <c r="A3879" s="48" t="s">
        <v>5213</v>
      </c>
      <c r="B3879" t="s">
        <v>21134</v>
      </c>
      <c r="C3879">
        <v>0</v>
      </c>
    </row>
    <row r="3880" spans="1:3" x14ac:dyDescent="0.25">
      <c r="A3880" s="48" t="s">
        <v>14608</v>
      </c>
      <c r="B3880" t="s">
        <v>14609</v>
      </c>
      <c r="C3880">
        <v>0</v>
      </c>
    </row>
    <row r="3881" spans="1:3" x14ac:dyDescent="0.25">
      <c r="A3881" s="48" t="s">
        <v>8383</v>
      </c>
      <c r="B3881" t="s">
        <v>21135</v>
      </c>
      <c r="C3881">
        <v>0</v>
      </c>
    </row>
    <row r="3882" spans="1:3" x14ac:dyDescent="0.25">
      <c r="A3882" s="48" t="s">
        <v>14606</v>
      </c>
      <c r="B3882" t="s">
        <v>14607</v>
      </c>
      <c r="C3882">
        <v>0</v>
      </c>
    </row>
    <row r="3883" spans="1:3" x14ac:dyDescent="0.25">
      <c r="A3883" s="48" t="s">
        <v>4804</v>
      </c>
      <c r="B3883" t="s">
        <v>4805</v>
      </c>
      <c r="C3883">
        <v>0</v>
      </c>
    </row>
    <row r="3884" spans="1:3" x14ac:dyDescent="0.25">
      <c r="A3884" s="48" t="s">
        <v>6357</v>
      </c>
      <c r="B3884" t="s">
        <v>6358</v>
      </c>
      <c r="C3884">
        <v>0</v>
      </c>
    </row>
    <row r="3885" spans="1:3" x14ac:dyDescent="0.25">
      <c r="A3885" s="48" t="s">
        <v>6361</v>
      </c>
      <c r="B3885" t="s">
        <v>6362</v>
      </c>
      <c r="C3885">
        <v>4</v>
      </c>
    </row>
    <row r="3886" spans="1:3" x14ac:dyDescent="0.25">
      <c r="A3886" s="48" t="s">
        <v>4762</v>
      </c>
      <c r="B3886" t="s">
        <v>4763</v>
      </c>
      <c r="C3886">
        <v>0</v>
      </c>
    </row>
    <row r="3887" spans="1:3" x14ac:dyDescent="0.25">
      <c r="A3887" s="48" t="s">
        <v>17056</v>
      </c>
      <c r="B3887" t="s">
        <v>17057</v>
      </c>
      <c r="C3887">
        <v>3</v>
      </c>
    </row>
    <row r="3888" spans="1:3" x14ac:dyDescent="0.25">
      <c r="A3888" s="48" t="s">
        <v>829</v>
      </c>
      <c r="B3888" t="s">
        <v>830</v>
      </c>
      <c r="C3888">
        <v>50</v>
      </c>
    </row>
    <row r="3889" spans="1:3" x14ac:dyDescent="0.25">
      <c r="A3889" s="48" t="s">
        <v>16588</v>
      </c>
      <c r="B3889" t="s">
        <v>16589</v>
      </c>
      <c r="C3889">
        <v>24</v>
      </c>
    </row>
    <row r="3890" spans="1:3" x14ac:dyDescent="0.25">
      <c r="A3890" s="48" t="s">
        <v>367</v>
      </c>
      <c r="B3890" t="s">
        <v>368</v>
      </c>
      <c r="C3890">
        <v>47</v>
      </c>
    </row>
    <row r="3891" spans="1:3" x14ac:dyDescent="0.25">
      <c r="A3891" s="48" t="s">
        <v>18195</v>
      </c>
      <c r="B3891" t="s">
        <v>18196</v>
      </c>
      <c r="C3891">
        <v>0</v>
      </c>
    </row>
    <row r="3892" spans="1:3" x14ac:dyDescent="0.25">
      <c r="A3892" s="48" t="s">
        <v>17676</v>
      </c>
      <c r="B3892" t="s">
        <v>21136</v>
      </c>
      <c r="C3892">
        <v>0</v>
      </c>
    </row>
    <row r="3893" spans="1:3" x14ac:dyDescent="0.25">
      <c r="A3893" s="48" t="s">
        <v>17684</v>
      </c>
      <c r="B3893" t="s">
        <v>21137</v>
      </c>
      <c r="C3893">
        <v>0</v>
      </c>
    </row>
    <row r="3894" spans="1:3" x14ac:dyDescent="0.25">
      <c r="A3894" s="48" t="s">
        <v>17724</v>
      </c>
      <c r="B3894" t="s">
        <v>21138</v>
      </c>
      <c r="C3894">
        <v>0</v>
      </c>
    </row>
    <row r="3895" spans="1:3" x14ac:dyDescent="0.25">
      <c r="A3895" s="48" t="s">
        <v>17696</v>
      </c>
      <c r="B3895" t="s">
        <v>21139</v>
      </c>
      <c r="C3895">
        <v>1</v>
      </c>
    </row>
    <row r="3896" spans="1:3" x14ac:dyDescent="0.25">
      <c r="A3896" s="48" t="s">
        <v>11204</v>
      </c>
      <c r="B3896" t="s">
        <v>11205</v>
      </c>
      <c r="C3896">
        <v>31</v>
      </c>
    </row>
    <row r="3897" spans="1:3" x14ac:dyDescent="0.25">
      <c r="A3897" s="48" t="s">
        <v>17678</v>
      </c>
      <c r="B3897" t="s">
        <v>21140</v>
      </c>
      <c r="C3897">
        <v>0</v>
      </c>
    </row>
    <row r="3898" spans="1:3" x14ac:dyDescent="0.25">
      <c r="A3898" s="48" t="s">
        <v>17680</v>
      </c>
      <c r="B3898" t="s">
        <v>21141</v>
      </c>
      <c r="C3898">
        <v>33</v>
      </c>
    </row>
    <row r="3899" spans="1:3" x14ac:dyDescent="0.25">
      <c r="A3899" s="48" t="s">
        <v>17682</v>
      </c>
      <c r="B3899" t="s">
        <v>21142</v>
      </c>
      <c r="C3899">
        <v>2</v>
      </c>
    </row>
    <row r="3900" spans="1:3" x14ac:dyDescent="0.25">
      <c r="A3900" s="48" t="s">
        <v>17590</v>
      </c>
      <c r="B3900" t="s">
        <v>17591</v>
      </c>
      <c r="C3900">
        <v>0</v>
      </c>
    </row>
    <row r="3901" spans="1:3" x14ac:dyDescent="0.25">
      <c r="A3901" s="48" t="s">
        <v>17588</v>
      </c>
      <c r="B3901" t="s">
        <v>17589</v>
      </c>
      <c r="C3901">
        <v>0</v>
      </c>
    </row>
    <row r="3902" spans="1:3" x14ac:dyDescent="0.25">
      <c r="A3902" s="48" t="s">
        <v>17586</v>
      </c>
      <c r="B3902" t="s">
        <v>17587</v>
      </c>
      <c r="C3902">
        <v>5</v>
      </c>
    </row>
    <row r="3903" spans="1:3" x14ac:dyDescent="0.25">
      <c r="A3903" s="48" t="s">
        <v>17622</v>
      </c>
      <c r="B3903" t="s">
        <v>21143</v>
      </c>
      <c r="C3903">
        <v>0</v>
      </c>
    </row>
    <row r="3904" spans="1:3" x14ac:dyDescent="0.25">
      <c r="A3904" s="48" t="s">
        <v>17692</v>
      </c>
      <c r="B3904" t="s">
        <v>21144</v>
      </c>
      <c r="C3904">
        <v>2</v>
      </c>
    </row>
    <row r="3905" spans="1:3" x14ac:dyDescent="0.25">
      <c r="A3905" s="48" t="s">
        <v>11200</v>
      </c>
      <c r="B3905" t="s">
        <v>11201</v>
      </c>
      <c r="C3905">
        <v>0</v>
      </c>
    </row>
    <row r="3906" spans="1:3" x14ac:dyDescent="0.25">
      <c r="A3906" s="48" t="s">
        <v>12893</v>
      </c>
      <c r="B3906" t="s">
        <v>12894</v>
      </c>
      <c r="C3906">
        <v>0</v>
      </c>
    </row>
    <row r="3907" spans="1:3" x14ac:dyDescent="0.25">
      <c r="A3907" s="48" t="s">
        <v>12889</v>
      </c>
      <c r="B3907" t="s">
        <v>12890</v>
      </c>
      <c r="C3907">
        <v>0</v>
      </c>
    </row>
    <row r="3908" spans="1:3" x14ac:dyDescent="0.25">
      <c r="A3908" s="48" t="s">
        <v>12891</v>
      </c>
      <c r="B3908" t="s">
        <v>12892</v>
      </c>
      <c r="C3908">
        <v>0</v>
      </c>
    </row>
    <row r="3909" spans="1:3" x14ac:dyDescent="0.25">
      <c r="A3909" s="48" t="s">
        <v>23224</v>
      </c>
      <c r="B3909" t="s">
        <v>23225</v>
      </c>
      <c r="C3909">
        <v>0</v>
      </c>
    </row>
    <row r="3910" spans="1:3" x14ac:dyDescent="0.25">
      <c r="A3910" s="48" t="s">
        <v>4229</v>
      </c>
      <c r="B3910" t="s">
        <v>4230</v>
      </c>
      <c r="C3910">
        <v>0</v>
      </c>
    </row>
    <row r="3911" spans="1:3" x14ac:dyDescent="0.25">
      <c r="A3911" s="48" t="s">
        <v>17688</v>
      </c>
      <c r="B3911" t="s">
        <v>21145</v>
      </c>
      <c r="C3911">
        <v>1</v>
      </c>
    </row>
    <row r="3912" spans="1:3" x14ac:dyDescent="0.25">
      <c r="A3912" s="48" t="s">
        <v>17686</v>
      </c>
      <c r="B3912" t="s">
        <v>21146</v>
      </c>
      <c r="C3912">
        <v>7</v>
      </c>
    </row>
    <row r="3913" spans="1:3" x14ac:dyDescent="0.25">
      <c r="A3913" s="48" t="s">
        <v>11202</v>
      </c>
      <c r="B3913" t="s">
        <v>11203</v>
      </c>
      <c r="C3913">
        <v>0</v>
      </c>
    </row>
    <row r="3914" spans="1:3" x14ac:dyDescent="0.25">
      <c r="A3914" s="48" t="s">
        <v>17710</v>
      </c>
      <c r="B3914" t="s">
        <v>21147</v>
      </c>
      <c r="C3914">
        <v>0</v>
      </c>
    </row>
    <row r="3915" spans="1:3" x14ac:dyDescent="0.25">
      <c r="A3915" s="48" t="s">
        <v>5255</v>
      </c>
      <c r="B3915" t="s">
        <v>5256</v>
      </c>
      <c r="C3915">
        <v>0</v>
      </c>
    </row>
    <row r="3916" spans="1:3" x14ac:dyDescent="0.25">
      <c r="A3916" s="48" t="s">
        <v>5283</v>
      </c>
      <c r="B3916" t="s">
        <v>21148</v>
      </c>
      <c r="C3916">
        <v>1</v>
      </c>
    </row>
    <row r="3917" spans="1:3" x14ac:dyDescent="0.25">
      <c r="A3917" s="48" t="s">
        <v>10708</v>
      </c>
      <c r="B3917" t="s">
        <v>21149</v>
      </c>
      <c r="C3917">
        <v>0</v>
      </c>
    </row>
    <row r="3918" spans="1:3" x14ac:dyDescent="0.25">
      <c r="A3918" s="48" t="s">
        <v>16572</v>
      </c>
      <c r="B3918" t="s">
        <v>21150</v>
      </c>
      <c r="C3918">
        <v>0</v>
      </c>
    </row>
    <row r="3919" spans="1:3" x14ac:dyDescent="0.25">
      <c r="A3919" s="48" t="s">
        <v>4914</v>
      </c>
      <c r="B3919" t="s">
        <v>21151</v>
      </c>
      <c r="C3919">
        <v>9</v>
      </c>
    </row>
    <row r="3920" spans="1:3" x14ac:dyDescent="0.25">
      <c r="A3920" s="48" t="s">
        <v>4916</v>
      </c>
      <c r="B3920" t="s">
        <v>21152</v>
      </c>
      <c r="C3920">
        <v>0</v>
      </c>
    </row>
    <row r="3921" spans="1:3" x14ac:dyDescent="0.25">
      <c r="A3921" s="48" t="s">
        <v>4918</v>
      </c>
      <c r="B3921" t="s">
        <v>21153</v>
      </c>
      <c r="C3921">
        <v>7</v>
      </c>
    </row>
    <row r="3922" spans="1:3" x14ac:dyDescent="0.25">
      <c r="A3922" s="48" t="s">
        <v>16570</v>
      </c>
      <c r="B3922" t="s">
        <v>21154</v>
      </c>
      <c r="C3922">
        <v>0</v>
      </c>
    </row>
    <row r="3923" spans="1:3" x14ac:dyDescent="0.25">
      <c r="A3923" s="48" t="s">
        <v>4814</v>
      </c>
      <c r="B3923" t="s">
        <v>4815</v>
      </c>
      <c r="C3923">
        <v>35</v>
      </c>
    </row>
    <row r="3924" spans="1:3" x14ac:dyDescent="0.25">
      <c r="A3924" s="48" t="s">
        <v>4904</v>
      </c>
      <c r="B3924" t="s">
        <v>21155</v>
      </c>
      <c r="C3924">
        <v>0</v>
      </c>
    </row>
    <row r="3925" spans="1:3" x14ac:dyDescent="0.25">
      <c r="A3925" s="48" t="s">
        <v>4886</v>
      </c>
      <c r="B3925" t="s">
        <v>21156</v>
      </c>
      <c r="C3925">
        <v>0</v>
      </c>
    </row>
    <row r="3926" spans="1:3" x14ac:dyDescent="0.25">
      <c r="A3926" s="48" t="s">
        <v>12309</v>
      </c>
      <c r="B3926" t="s">
        <v>21157</v>
      </c>
      <c r="C3926">
        <v>0</v>
      </c>
    </row>
    <row r="3927" spans="1:3" x14ac:dyDescent="0.25">
      <c r="A3927" s="48" t="s">
        <v>17576</v>
      </c>
      <c r="B3927" t="s">
        <v>17577</v>
      </c>
      <c r="C3927">
        <v>3</v>
      </c>
    </row>
    <row r="3928" spans="1:3" x14ac:dyDescent="0.25">
      <c r="A3928" s="48" t="s">
        <v>17582</v>
      </c>
      <c r="B3928" t="s">
        <v>17583</v>
      </c>
      <c r="C3928">
        <v>0</v>
      </c>
    </row>
    <row r="3929" spans="1:3" x14ac:dyDescent="0.25">
      <c r="A3929" s="48" t="s">
        <v>17578</v>
      </c>
      <c r="B3929" t="s">
        <v>17579</v>
      </c>
      <c r="C3929">
        <v>0</v>
      </c>
    </row>
    <row r="3930" spans="1:3" x14ac:dyDescent="0.25">
      <c r="A3930" s="48" t="s">
        <v>17584</v>
      </c>
      <c r="B3930" t="s">
        <v>17585</v>
      </c>
      <c r="C3930">
        <v>0</v>
      </c>
    </row>
    <row r="3931" spans="1:3" x14ac:dyDescent="0.25">
      <c r="A3931" s="48" t="s">
        <v>17156</v>
      </c>
      <c r="B3931" t="s">
        <v>21158</v>
      </c>
      <c r="C3931">
        <v>0</v>
      </c>
    </row>
    <row r="3932" spans="1:3" x14ac:dyDescent="0.25">
      <c r="A3932" s="48" t="s">
        <v>6521</v>
      </c>
      <c r="B3932" t="s">
        <v>6522</v>
      </c>
      <c r="C3932">
        <v>0</v>
      </c>
    </row>
    <row r="3933" spans="1:3" x14ac:dyDescent="0.25">
      <c r="A3933" s="48" t="s">
        <v>17694</v>
      </c>
      <c r="B3933" t="s">
        <v>21159</v>
      </c>
      <c r="C3933">
        <v>0</v>
      </c>
    </row>
    <row r="3934" spans="1:3" x14ac:dyDescent="0.25">
      <c r="A3934" s="48" t="s">
        <v>5277</v>
      </c>
      <c r="B3934" t="s">
        <v>21160</v>
      </c>
      <c r="C3934">
        <v>0</v>
      </c>
    </row>
    <row r="3935" spans="1:3" x14ac:dyDescent="0.25">
      <c r="A3935" s="48" t="s">
        <v>5219</v>
      </c>
      <c r="B3935" t="s">
        <v>21161</v>
      </c>
      <c r="C3935">
        <v>0</v>
      </c>
    </row>
    <row r="3936" spans="1:3" x14ac:dyDescent="0.25">
      <c r="A3936" s="48" t="s">
        <v>5289</v>
      </c>
      <c r="B3936" t="s">
        <v>21162</v>
      </c>
      <c r="C3936">
        <v>0</v>
      </c>
    </row>
    <row r="3937" spans="1:3" x14ac:dyDescent="0.25">
      <c r="A3937" s="48" t="s">
        <v>5231</v>
      </c>
      <c r="B3937" t="s">
        <v>21163</v>
      </c>
      <c r="C3937">
        <v>0</v>
      </c>
    </row>
    <row r="3938" spans="1:3" x14ac:dyDescent="0.25">
      <c r="A3938" s="48" t="s">
        <v>15120</v>
      </c>
      <c r="B3938" t="s">
        <v>15121</v>
      </c>
      <c r="C3938">
        <v>12</v>
      </c>
    </row>
    <row r="3939" spans="1:3" x14ac:dyDescent="0.25">
      <c r="A3939" s="48" t="s">
        <v>18834</v>
      </c>
      <c r="B3939" t="s">
        <v>21164</v>
      </c>
      <c r="C3939">
        <v>0</v>
      </c>
    </row>
    <row r="3940" spans="1:3" x14ac:dyDescent="0.25">
      <c r="A3940" s="48" t="s">
        <v>10926</v>
      </c>
      <c r="B3940" t="s">
        <v>21165</v>
      </c>
      <c r="C3940">
        <v>0</v>
      </c>
    </row>
    <row r="3941" spans="1:3" x14ac:dyDescent="0.25">
      <c r="A3941" s="48" t="s">
        <v>18814</v>
      </c>
      <c r="B3941" t="s">
        <v>21166</v>
      </c>
      <c r="C3941">
        <v>4</v>
      </c>
    </row>
    <row r="3942" spans="1:3" x14ac:dyDescent="0.25">
      <c r="A3942" s="48" t="s">
        <v>14493</v>
      </c>
      <c r="B3942" t="s">
        <v>21167</v>
      </c>
      <c r="C3942">
        <v>8</v>
      </c>
    </row>
    <row r="3943" spans="1:3" x14ac:dyDescent="0.25">
      <c r="A3943" s="48" t="s">
        <v>18664</v>
      </c>
      <c r="B3943" t="s">
        <v>21168</v>
      </c>
      <c r="C3943">
        <v>0</v>
      </c>
    </row>
    <row r="3944" spans="1:3" x14ac:dyDescent="0.25">
      <c r="A3944" s="48" t="s">
        <v>18810</v>
      </c>
      <c r="B3944" t="s">
        <v>21169</v>
      </c>
      <c r="C3944">
        <v>0</v>
      </c>
    </row>
    <row r="3945" spans="1:3" x14ac:dyDescent="0.25">
      <c r="A3945" s="48" t="s">
        <v>18640</v>
      </c>
      <c r="B3945" t="s">
        <v>21170</v>
      </c>
      <c r="C3945">
        <v>0</v>
      </c>
    </row>
    <row r="3946" spans="1:3" x14ac:dyDescent="0.25">
      <c r="A3946" s="48" t="s">
        <v>10317</v>
      </c>
      <c r="B3946" t="s">
        <v>21171</v>
      </c>
      <c r="C3946">
        <v>0</v>
      </c>
    </row>
    <row r="3947" spans="1:3" x14ac:dyDescent="0.25">
      <c r="A3947" s="48" t="s">
        <v>11210</v>
      </c>
      <c r="B3947" t="s">
        <v>21172</v>
      </c>
      <c r="C3947">
        <v>2</v>
      </c>
    </row>
    <row r="3948" spans="1:3" x14ac:dyDescent="0.25">
      <c r="A3948" s="48" t="s">
        <v>16736</v>
      </c>
      <c r="B3948" t="s">
        <v>21173</v>
      </c>
      <c r="C3948">
        <v>1</v>
      </c>
    </row>
    <row r="3949" spans="1:3" x14ac:dyDescent="0.25">
      <c r="A3949" s="48" t="s">
        <v>16300</v>
      </c>
      <c r="B3949" t="s">
        <v>21174</v>
      </c>
      <c r="C3949">
        <v>0</v>
      </c>
    </row>
    <row r="3950" spans="1:3" x14ac:dyDescent="0.25">
      <c r="A3950" s="48" t="s">
        <v>6885</v>
      </c>
      <c r="B3950" t="s">
        <v>21175</v>
      </c>
      <c r="C3950">
        <v>0</v>
      </c>
    </row>
    <row r="3951" spans="1:3" x14ac:dyDescent="0.25">
      <c r="A3951" s="48" t="s">
        <v>4794</v>
      </c>
      <c r="B3951" t="s">
        <v>4795</v>
      </c>
      <c r="C3951">
        <v>0</v>
      </c>
    </row>
    <row r="3952" spans="1:3" x14ac:dyDescent="0.25">
      <c r="A3952" s="48" t="s">
        <v>4796</v>
      </c>
      <c r="B3952" t="s">
        <v>4797</v>
      </c>
      <c r="C3952">
        <v>1</v>
      </c>
    </row>
    <row r="3953" spans="1:3" x14ac:dyDescent="0.25">
      <c r="A3953" s="48" t="s">
        <v>4798</v>
      </c>
      <c r="B3953" t="s">
        <v>4799</v>
      </c>
      <c r="C3953">
        <v>0</v>
      </c>
    </row>
    <row r="3954" spans="1:3" x14ac:dyDescent="0.25">
      <c r="A3954" s="48" t="s">
        <v>4800</v>
      </c>
      <c r="B3954" t="s">
        <v>4801</v>
      </c>
      <c r="C3954">
        <v>0</v>
      </c>
    </row>
    <row r="3955" spans="1:3" x14ac:dyDescent="0.25">
      <c r="A3955" s="48" t="s">
        <v>4802</v>
      </c>
      <c r="B3955" t="s">
        <v>4803</v>
      </c>
      <c r="C3955">
        <v>0</v>
      </c>
    </row>
    <row r="3956" spans="1:3" x14ac:dyDescent="0.25">
      <c r="A3956" s="48" t="s">
        <v>4806</v>
      </c>
      <c r="B3956" t="s">
        <v>4807</v>
      </c>
      <c r="C3956">
        <v>0</v>
      </c>
    </row>
    <row r="3957" spans="1:3" x14ac:dyDescent="0.25">
      <c r="A3957" s="48" t="s">
        <v>4808</v>
      </c>
      <c r="B3957" t="s">
        <v>4809</v>
      </c>
      <c r="C3957">
        <v>5</v>
      </c>
    </row>
    <row r="3958" spans="1:3" x14ac:dyDescent="0.25">
      <c r="A3958" s="48" t="s">
        <v>14395</v>
      </c>
      <c r="B3958" t="s">
        <v>21176</v>
      </c>
      <c r="C3958">
        <v>0</v>
      </c>
    </row>
    <row r="3959" spans="1:3" x14ac:dyDescent="0.25">
      <c r="A3959" s="48" t="s">
        <v>14403</v>
      </c>
      <c r="B3959" t="s">
        <v>21177</v>
      </c>
      <c r="C3959">
        <v>0</v>
      </c>
    </row>
    <row r="3960" spans="1:3" x14ac:dyDescent="0.25">
      <c r="A3960" s="48" t="s">
        <v>14397</v>
      </c>
      <c r="B3960" t="s">
        <v>21178</v>
      </c>
      <c r="C3960">
        <v>0</v>
      </c>
    </row>
    <row r="3961" spans="1:3" x14ac:dyDescent="0.25">
      <c r="A3961" s="48" t="s">
        <v>14405</v>
      </c>
      <c r="B3961" t="s">
        <v>21179</v>
      </c>
      <c r="C3961">
        <v>0</v>
      </c>
    </row>
    <row r="3962" spans="1:3" x14ac:dyDescent="0.25">
      <c r="A3962" s="48" t="s">
        <v>19086</v>
      </c>
      <c r="B3962" t="s">
        <v>21180</v>
      </c>
      <c r="C3962">
        <v>0</v>
      </c>
    </row>
    <row r="3963" spans="1:3" x14ac:dyDescent="0.25">
      <c r="A3963" s="48" t="s">
        <v>5139</v>
      </c>
      <c r="B3963" t="s">
        <v>21181</v>
      </c>
      <c r="C3963">
        <v>0</v>
      </c>
    </row>
    <row r="3964" spans="1:3" x14ac:dyDescent="0.25">
      <c r="A3964" s="48" t="s">
        <v>5121</v>
      </c>
      <c r="B3964" t="s">
        <v>21182</v>
      </c>
      <c r="C3964">
        <v>0</v>
      </c>
    </row>
    <row r="3965" spans="1:3" x14ac:dyDescent="0.25">
      <c r="A3965" s="48" t="s">
        <v>5131</v>
      </c>
      <c r="B3965" t="s">
        <v>21183</v>
      </c>
      <c r="C3965">
        <v>0</v>
      </c>
    </row>
    <row r="3966" spans="1:3" x14ac:dyDescent="0.25">
      <c r="A3966" s="48" t="s">
        <v>5127</v>
      </c>
      <c r="B3966" t="s">
        <v>21184</v>
      </c>
      <c r="C3966">
        <v>0</v>
      </c>
    </row>
    <row r="3967" spans="1:3" x14ac:dyDescent="0.25">
      <c r="A3967" s="48" t="s">
        <v>5125</v>
      </c>
      <c r="B3967" t="s">
        <v>21185</v>
      </c>
      <c r="C3967">
        <v>0</v>
      </c>
    </row>
    <row r="3968" spans="1:3" x14ac:dyDescent="0.25">
      <c r="A3968" s="48" t="s">
        <v>16406</v>
      </c>
      <c r="B3968" t="s">
        <v>21186</v>
      </c>
      <c r="C3968">
        <v>0</v>
      </c>
    </row>
    <row r="3969" spans="1:3" x14ac:dyDescent="0.25">
      <c r="A3969" s="48" t="s">
        <v>16656</v>
      </c>
      <c r="B3969" t="s">
        <v>16657</v>
      </c>
      <c r="C3969">
        <v>0</v>
      </c>
    </row>
    <row r="3970" spans="1:3" x14ac:dyDescent="0.25">
      <c r="A3970" s="48" t="s">
        <v>16658</v>
      </c>
      <c r="B3970" t="s">
        <v>16659</v>
      </c>
      <c r="C3970">
        <v>0</v>
      </c>
    </row>
    <row r="3971" spans="1:3" x14ac:dyDescent="0.25">
      <c r="A3971" s="48" t="s">
        <v>16772</v>
      </c>
      <c r="B3971" t="s">
        <v>16773</v>
      </c>
      <c r="C3971">
        <v>0</v>
      </c>
    </row>
    <row r="3972" spans="1:3" x14ac:dyDescent="0.25">
      <c r="A3972" s="48" t="s">
        <v>19076</v>
      </c>
      <c r="B3972" t="s">
        <v>21187</v>
      </c>
      <c r="C3972">
        <v>5</v>
      </c>
    </row>
    <row r="3973" spans="1:3" x14ac:dyDescent="0.25">
      <c r="A3973" s="48" t="s">
        <v>19166</v>
      </c>
      <c r="B3973" t="s">
        <v>21188</v>
      </c>
      <c r="C3973">
        <v>6</v>
      </c>
    </row>
    <row r="3974" spans="1:3" x14ac:dyDescent="0.25">
      <c r="A3974" s="48" t="s">
        <v>5369</v>
      </c>
      <c r="B3974" t="s">
        <v>5370</v>
      </c>
      <c r="C3974">
        <v>0</v>
      </c>
    </row>
    <row r="3975" spans="1:3" x14ac:dyDescent="0.25">
      <c r="A3975" s="48" t="s">
        <v>19072</v>
      </c>
      <c r="B3975" t="s">
        <v>21189</v>
      </c>
      <c r="C3975">
        <v>20</v>
      </c>
    </row>
    <row r="3976" spans="1:3" x14ac:dyDescent="0.25">
      <c r="A3976" s="48" t="s">
        <v>19210</v>
      </c>
      <c r="B3976" t="s">
        <v>21190</v>
      </c>
      <c r="C3976">
        <v>19</v>
      </c>
    </row>
    <row r="3977" spans="1:3" x14ac:dyDescent="0.25">
      <c r="A3977" s="48" t="s">
        <v>10838</v>
      </c>
      <c r="B3977" t="s">
        <v>21191</v>
      </c>
      <c r="C3977">
        <v>0</v>
      </c>
    </row>
    <row r="3978" spans="1:3" x14ac:dyDescent="0.25">
      <c r="A3978" s="48" t="s">
        <v>10890</v>
      </c>
      <c r="B3978" t="s">
        <v>21192</v>
      </c>
      <c r="C3978">
        <v>0</v>
      </c>
    </row>
    <row r="3979" spans="1:3" x14ac:dyDescent="0.25">
      <c r="A3979" s="48" t="s">
        <v>10948</v>
      </c>
      <c r="B3979" t="s">
        <v>21193</v>
      </c>
      <c r="C3979">
        <v>3</v>
      </c>
    </row>
    <row r="3980" spans="1:3" x14ac:dyDescent="0.25">
      <c r="A3980" s="48" t="s">
        <v>10828</v>
      </c>
      <c r="B3980" t="s">
        <v>21194</v>
      </c>
      <c r="C3980">
        <v>0</v>
      </c>
    </row>
    <row r="3981" spans="1:3" x14ac:dyDescent="0.25">
      <c r="A3981" s="48" t="s">
        <v>5373</v>
      </c>
      <c r="B3981" t="s">
        <v>5374</v>
      </c>
      <c r="C3981">
        <v>0</v>
      </c>
    </row>
    <row r="3982" spans="1:3" x14ac:dyDescent="0.25">
      <c r="A3982" s="48" t="s">
        <v>10824</v>
      </c>
      <c r="B3982" t="s">
        <v>21195</v>
      </c>
      <c r="C3982">
        <v>3</v>
      </c>
    </row>
    <row r="3983" spans="1:3" x14ac:dyDescent="0.25">
      <c r="A3983" s="48" t="s">
        <v>10830</v>
      </c>
      <c r="B3983" t="s">
        <v>21196</v>
      </c>
      <c r="C3983">
        <v>0</v>
      </c>
    </row>
    <row r="3984" spans="1:3" x14ac:dyDescent="0.25">
      <c r="A3984" s="48" t="s">
        <v>10836</v>
      </c>
      <c r="B3984" t="s">
        <v>21197</v>
      </c>
      <c r="C3984">
        <v>0</v>
      </c>
    </row>
    <row r="3985" spans="1:3" x14ac:dyDescent="0.25">
      <c r="A3985" s="48" t="s">
        <v>10832</v>
      </c>
      <c r="B3985" t="s">
        <v>21198</v>
      </c>
      <c r="C3985">
        <v>0</v>
      </c>
    </row>
    <row r="3986" spans="1:3" x14ac:dyDescent="0.25">
      <c r="A3986" s="48" t="s">
        <v>10826</v>
      </c>
      <c r="B3986" t="s">
        <v>21199</v>
      </c>
      <c r="C3986">
        <v>0</v>
      </c>
    </row>
    <row r="3987" spans="1:3" x14ac:dyDescent="0.25">
      <c r="A3987" s="48" t="s">
        <v>5949</v>
      </c>
      <c r="B3987" t="s">
        <v>21200</v>
      </c>
      <c r="C3987">
        <v>0</v>
      </c>
    </row>
    <row r="3988" spans="1:3" x14ac:dyDescent="0.25">
      <c r="A3988" s="48" t="s">
        <v>10834</v>
      </c>
      <c r="B3988" t="s">
        <v>21201</v>
      </c>
      <c r="C3988">
        <v>0</v>
      </c>
    </row>
    <row r="3989" spans="1:3" x14ac:dyDescent="0.25">
      <c r="A3989" s="48" t="s">
        <v>5951</v>
      </c>
      <c r="B3989" t="s">
        <v>21202</v>
      </c>
      <c r="C3989">
        <v>4</v>
      </c>
    </row>
    <row r="3990" spans="1:3" x14ac:dyDescent="0.25">
      <c r="A3990" s="48" t="s">
        <v>10822</v>
      </c>
      <c r="B3990" t="s">
        <v>21203</v>
      </c>
      <c r="C3990">
        <v>0</v>
      </c>
    </row>
    <row r="3991" spans="1:3" x14ac:dyDescent="0.25">
      <c r="A3991" s="48" t="s">
        <v>5947</v>
      </c>
      <c r="B3991" t="s">
        <v>21204</v>
      </c>
      <c r="C3991">
        <v>1</v>
      </c>
    </row>
    <row r="3992" spans="1:3" x14ac:dyDescent="0.25">
      <c r="A3992" s="48" t="s">
        <v>5377</v>
      </c>
      <c r="B3992" t="s">
        <v>5378</v>
      </c>
      <c r="C3992">
        <v>1</v>
      </c>
    </row>
    <row r="3993" spans="1:3" x14ac:dyDescent="0.25">
      <c r="A3993" s="48" t="s">
        <v>10848</v>
      </c>
      <c r="B3993" t="s">
        <v>21205</v>
      </c>
      <c r="C3993">
        <v>0</v>
      </c>
    </row>
    <row r="3994" spans="1:3" x14ac:dyDescent="0.25">
      <c r="A3994" s="48" t="s">
        <v>11014</v>
      </c>
      <c r="B3994" t="s">
        <v>21206</v>
      </c>
      <c r="C3994">
        <v>0</v>
      </c>
    </row>
    <row r="3995" spans="1:3" x14ac:dyDescent="0.25">
      <c r="A3995" s="48" t="s">
        <v>5945</v>
      </c>
      <c r="B3995" t="s">
        <v>21207</v>
      </c>
      <c r="C3995">
        <v>1</v>
      </c>
    </row>
    <row r="3996" spans="1:3" x14ac:dyDescent="0.25">
      <c r="A3996" s="48" t="s">
        <v>19740</v>
      </c>
      <c r="B3996" t="s">
        <v>21208</v>
      </c>
      <c r="C3996">
        <v>0</v>
      </c>
    </row>
    <row r="3997" spans="1:3" x14ac:dyDescent="0.25">
      <c r="A3997" s="48" t="s">
        <v>10850</v>
      </c>
      <c r="B3997" t="s">
        <v>21209</v>
      </c>
      <c r="C3997">
        <v>0</v>
      </c>
    </row>
    <row r="3998" spans="1:3" x14ac:dyDescent="0.25">
      <c r="A3998" s="48" t="s">
        <v>10846</v>
      </c>
      <c r="B3998" t="s">
        <v>21210</v>
      </c>
      <c r="C3998">
        <v>4</v>
      </c>
    </row>
    <row r="3999" spans="1:3" x14ac:dyDescent="0.25">
      <c r="A3999" s="48" t="s">
        <v>10858</v>
      </c>
      <c r="B3999" t="s">
        <v>21211</v>
      </c>
      <c r="C3999">
        <v>0</v>
      </c>
    </row>
    <row r="4000" spans="1:3" x14ac:dyDescent="0.25">
      <c r="A4000" s="48" t="s">
        <v>10852</v>
      </c>
      <c r="B4000" t="s">
        <v>21212</v>
      </c>
      <c r="C4000">
        <v>0</v>
      </c>
    </row>
    <row r="4001" spans="1:3" x14ac:dyDescent="0.25">
      <c r="A4001" s="48" t="s">
        <v>10856</v>
      </c>
      <c r="B4001" t="s">
        <v>21213</v>
      </c>
      <c r="C4001">
        <v>0</v>
      </c>
    </row>
    <row r="4002" spans="1:3" x14ac:dyDescent="0.25">
      <c r="A4002" s="48" t="s">
        <v>10996</v>
      </c>
      <c r="B4002" t="s">
        <v>21214</v>
      </c>
      <c r="C4002">
        <v>0</v>
      </c>
    </row>
    <row r="4003" spans="1:3" x14ac:dyDescent="0.25">
      <c r="A4003" s="48" t="s">
        <v>5381</v>
      </c>
      <c r="B4003" t="s">
        <v>5382</v>
      </c>
      <c r="C4003">
        <v>0</v>
      </c>
    </row>
    <row r="4004" spans="1:3" x14ac:dyDescent="0.25">
      <c r="A4004" s="48" t="s">
        <v>10994</v>
      </c>
      <c r="B4004" t="s">
        <v>21215</v>
      </c>
      <c r="C4004">
        <v>0</v>
      </c>
    </row>
    <row r="4005" spans="1:3" x14ac:dyDescent="0.25">
      <c r="A4005" s="48" t="s">
        <v>19170</v>
      </c>
      <c r="B4005" t="s">
        <v>21216</v>
      </c>
      <c r="C4005">
        <v>0</v>
      </c>
    </row>
    <row r="4006" spans="1:3" x14ac:dyDescent="0.25">
      <c r="A4006" s="48" t="s">
        <v>19190</v>
      </c>
      <c r="B4006" t="s">
        <v>21217</v>
      </c>
      <c r="C4006">
        <v>9</v>
      </c>
    </row>
    <row r="4007" spans="1:3" x14ac:dyDescent="0.25">
      <c r="A4007" s="48" t="s">
        <v>19144</v>
      </c>
      <c r="B4007" t="s">
        <v>21218</v>
      </c>
      <c r="C4007">
        <v>0</v>
      </c>
    </row>
    <row r="4008" spans="1:3" x14ac:dyDescent="0.25">
      <c r="A4008" s="48" t="s">
        <v>19198</v>
      </c>
      <c r="B4008" t="s">
        <v>21219</v>
      </c>
      <c r="C4008">
        <v>0</v>
      </c>
    </row>
    <row r="4009" spans="1:3" x14ac:dyDescent="0.25">
      <c r="A4009" s="48" t="s">
        <v>19158</v>
      </c>
      <c r="B4009" t="s">
        <v>21220</v>
      </c>
      <c r="C4009">
        <v>0</v>
      </c>
    </row>
    <row r="4010" spans="1:3" x14ac:dyDescent="0.25">
      <c r="A4010" s="48" t="s">
        <v>16966</v>
      </c>
      <c r="B4010" t="s">
        <v>21221</v>
      </c>
      <c r="C4010">
        <v>0</v>
      </c>
    </row>
    <row r="4011" spans="1:3" x14ac:dyDescent="0.25">
      <c r="A4011" s="48" t="s">
        <v>16964</v>
      </c>
      <c r="B4011" t="s">
        <v>21222</v>
      </c>
      <c r="C4011">
        <v>0</v>
      </c>
    </row>
    <row r="4012" spans="1:3" x14ac:dyDescent="0.25">
      <c r="A4012" s="48" t="s">
        <v>7829</v>
      </c>
      <c r="B4012" t="s">
        <v>21223</v>
      </c>
      <c r="C4012">
        <v>0</v>
      </c>
    </row>
    <row r="4013" spans="1:3" x14ac:dyDescent="0.25">
      <c r="A4013" s="48" t="s">
        <v>16678</v>
      </c>
      <c r="B4013" t="s">
        <v>21224</v>
      </c>
      <c r="C4013">
        <v>0</v>
      </c>
    </row>
    <row r="4014" spans="1:3" x14ac:dyDescent="0.25">
      <c r="A4014" s="48" t="s">
        <v>11656</v>
      </c>
      <c r="B4014" t="s">
        <v>11657</v>
      </c>
      <c r="C4014">
        <v>6</v>
      </c>
    </row>
    <row r="4015" spans="1:3" x14ac:dyDescent="0.25">
      <c r="A4015" s="48" t="s">
        <v>18129</v>
      </c>
      <c r="B4015" t="s">
        <v>18130</v>
      </c>
      <c r="C4015">
        <v>4</v>
      </c>
    </row>
    <row r="4016" spans="1:3" x14ac:dyDescent="0.25">
      <c r="A4016" s="48" t="s">
        <v>18131</v>
      </c>
      <c r="B4016" t="s">
        <v>18132</v>
      </c>
      <c r="C4016">
        <v>54</v>
      </c>
    </row>
    <row r="4017" spans="1:3" x14ac:dyDescent="0.25">
      <c r="A4017" s="48" t="s">
        <v>18141</v>
      </c>
      <c r="B4017" t="s">
        <v>18142</v>
      </c>
      <c r="C4017">
        <v>35</v>
      </c>
    </row>
    <row r="4018" spans="1:3" x14ac:dyDescent="0.25">
      <c r="A4018" s="48" t="s">
        <v>18139</v>
      </c>
      <c r="B4018" t="s">
        <v>18140</v>
      </c>
      <c r="C4018">
        <v>18</v>
      </c>
    </row>
    <row r="4019" spans="1:3" x14ac:dyDescent="0.25">
      <c r="A4019" s="48" t="s">
        <v>2825</v>
      </c>
      <c r="B4019" t="s">
        <v>2826</v>
      </c>
      <c r="C4019">
        <v>113</v>
      </c>
    </row>
    <row r="4020" spans="1:3" x14ac:dyDescent="0.25">
      <c r="A4020" s="48" t="s">
        <v>2879</v>
      </c>
      <c r="B4020" t="s">
        <v>2880</v>
      </c>
      <c r="C4020">
        <v>0</v>
      </c>
    </row>
    <row r="4021" spans="1:3" x14ac:dyDescent="0.25">
      <c r="A4021" s="48" t="s">
        <v>2881</v>
      </c>
      <c r="B4021" t="s">
        <v>2882</v>
      </c>
      <c r="C4021">
        <v>94</v>
      </c>
    </row>
    <row r="4022" spans="1:3" x14ac:dyDescent="0.25">
      <c r="A4022" s="48" t="s">
        <v>2883</v>
      </c>
      <c r="B4022" t="s">
        <v>2884</v>
      </c>
      <c r="C4022">
        <v>4</v>
      </c>
    </row>
    <row r="4023" spans="1:3" x14ac:dyDescent="0.25">
      <c r="A4023" s="48" t="s">
        <v>2885</v>
      </c>
      <c r="B4023" t="s">
        <v>2886</v>
      </c>
      <c r="C4023">
        <v>0</v>
      </c>
    </row>
    <row r="4024" spans="1:3" x14ac:dyDescent="0.25">
      <c r="A4024" s="48" t="s">
        <v>11664</v>
      </c>
      <c r="B4024" t="s">
        <v>11665</v>
      </c>
      <c r="C4024">
        <v>7</v>
      </c>
    </row>
    <row r="4025" spans="1:3" x14ac:dyDescent="0.25">
      <c r="A4025" s="48" t="s">
        <v>2887</v>
      </c>
      <c r="B4025" t="s">
        <v>2888</v>
      </c>
      <c r="C4025">
        <v>0</v>
      </c>
    </row>
    <row r="4026" spans="1:3" x14ac:dyDescent="0.25">
      <c r="A4026" s="48" t="s">
        <v>415</v>
      </c>
      <c r="B4026" t="s">
        <v>416</v>
      </c>
      <c r="C4026">
        <v>0</v>
      </c>
    </row>
    <row r="4027" spans="1:3" x14ac:dyDescent="0.25">
      <c r="A4027" s="48" t="s">
        <v>315</v>
      </c>
      <c r="B4027" t="s">
        <v>316</v>
      </c>
      <c r="C4027">
        <v>20</v>
      </c>
    </row>
    <row r="4028" spans="1:3" x14ac:dyDescent="0.25">
      <c r="A4028" s="48" t="s">
        <v>4126</v>
      </c>
      <c r="B4028" t="s">
        <v>4127</v>
      </c>
      <c r="C4028">
        <v>0</v>
      </c>
    </row>
    <row r="4029" spans="1:3" x14ac:dyDescent="0.25">
      <c r="A4029" s="48" t="s">
        <v>9798</v>
      </c>
      <c r="B4029" t="s">
        <v>9799</v>
      </c>
      <c r="C4029">
        <v>29</v>
      </c>
    </row>
    <row r="4030" spans="1:3" x14ac:dyDescent="0.25">
      <c r="A4030" s="48" t="s">
        <v>9758</v>
      </c>
      <c r="B4030" t="s">
        <v>9759</v>
      </c>
      <c r="C4030">
        <v>1</v>
      </c>
    </row>
    <row r="4031" spans="1:3" x14ac:dyDescent="0.25">
      <c r="A4031" s="48" t="s">
        <v>4166</v>
      </c>
      <c r="B4031" t="s">
        <v>4167</v>
      </c>
      <c r="C4031">
        <v>0</v>
      </c>
    </row>
    <row r="4032" spans="1:3" x14ac:dyDescent="0.25">
      <c r="A4032" s="48" t="s">
        <v>4160</v>
      </c>
      <c r="B4032" t="s">
        <v>4161</v>
      </c>
      <c r="C4032">
        <v>701</v>
      </c>
    </row>
    <row r="4033" spans="1:3" x14ac:dyDescent="0.25">
      <c r="A4033" s="48" t="s">
        <v>19102</v>
      </c>
      <c r="B4033" t="s">
        <v>21225</v>
      </c>
      <c r="C4033">
        <v>14</v>
      </c>
    </row>
    <row r="4034" spans="1:3" x14ac:dyDescent="0.25">
      <c r="A4034" s="48" t="s">
        <v>11662</v>
      </c>
      <c r="B4034" t="s">
        <v>11663</v>
      </c>
      <c r="C4034">
        <v>7</v>
      </c>
    </row>
    <row r="4035" spans="1:3" x14ac:dyDescent="0.25">
      <c r="A4035" s="48" t="s">
        <v>19194</v>
      </c>
      <c r="B4035" t="s">
        <v>21226</v>
      </c>
      <c r="C4035">
        <v>19</v>
      </c>
    </row>
    <row r="4036" spans="1:3" x14ac:dyDescent="0.25">
      <c r="A4036" s="48" t="s">
        <v>19108</v>
      </c>
      <c r="B4036" t="s">
        <v>21227</v>
      </c>
      <c r="C4036">
        <v>9</v>
      </c>
    </row>
    <row r="4037" spans="1:3" x14ac:dyDescent="0.25">
      <c r="A4037" s="48" t="s">
        <v>19174</v>
      </c>
      <c r="B4037" t="s">
        <v>21228</v>
      </c>
      <c r="C4037">
        <v>20</v>
      </c>
    </row>
    <row r="4038" spans="1:3" x14ac:dyDescent="0.25">
      <c r="A4038" s="48" t="s">
        <v>19110</v>
      </c>
      <c r="B4038" t="s">
        <v>21229</v>
      </c>
      <c r="C4038">
        <v>0</v>
      </c>
    </row>
    <row r="4039" spans="1:3" x14ac:dyDescent="0.25">
      <c r="A4039" s="48" t="s">
        <v>19106</v>
      </c>
      <c r="B4039" t="s">
        <v>21230</v>
      </c>
      <c r="C4039">
        <v>5</v>
      </c>
    </row>
    <row r="4040" spans="1:3" x14ac:dyDescent="0.25">
      <c r="A4040" s="48" t="s">
        <v>19140</v>
      </c>
      <c r="B4040" t="s">
        <v>21231</v>
      </c>
      <c r="C4040">
        <v>0</v>
      </c>
    </row>
    <row r="4041" spans="1:3" x14ac:dyDescent="0.25">
      <c r="A4041" s="48" t="s">
        <v>19092</v>
      </c>
      <c r="B4041" t="s">
        <v>21232</v>
      </c>
      <c r="C4041">
        <v>0</v>
      </c>
    </row>
    <row r="4042" spans="1:3" x14ac:dyDescent="0.25">
      <c r="A4042" s="48" t="s">
        <v>19202</v>
      </c>
      <c r="B4042" t="s">
        <v>21233</v>
      </c>
      <c r="C4042">
        <v>0</v>
      </c>
    </row>
    <row r="4043" spans="1:3" x14ac:dyDescent="0.25">
      <c r="A4043" s="48" t="s">
        <v>19206</v>
      </c>
      <c r="B4043" t="s">
        <v>21234</v>
      </c>
      <c r="C4043">
        <v>8</v>
      </c>
    </row>
    <row r="4044" spans="1:3" x14ac:dyDescent="0.25">
      <c r="A4044" s="48" t="s">
        <v>19118</v>
      </c>
      <c r="B4044" t="s">
        <v>21235</v>
      </c>
      <c r="C4044">
        <v>0</v>
      </c>
    </row>
    <row r="4045" spans="1:3" x14ac:dyDescent="0.25">
      <c r="A4045" s="48" t="s">
        <v>19414</v>
      </c>
      <c r="B4045" t="s">
        <v>19415</v>
      </c>
      <c r="C4045">
        <v>10</v>
      </c>
    </row>
    <row r="4046" spans="1:3" x14ac:dyDescent="0.25">
      <c r="A4046" s="48" t="s">
        <v>581</v>
      </c>
      <c r="B4046" t="s">
        <v>582</v>
      </c>
      <c r="C4046">
        <v>87</v>
      </c>
    </row>
    <row r="4047" spans="1:3" x14ac:dyDescent="0.25">
      <c r="A4047" s="48" t="s">
        <v>16398</v>
      </c>
      <c r="B4047" t="s">
        <v>21236</v>
      </c>
      <c r="C4047">
        <v>0</v>
      </c>
    </row>
    <row r="4048" spans="1:3" x14ac:dyDescent="0.25">
      <c r="A4048" s="48" t="s">
        <v>4792</v>
      </c>
      <c r="B4048" t="s">
        <v>4793</v>
      </c>
      <c r="C4048">
        <v>0</v>
      </c>
    </row>
    <row r="4049" spans="1:3" x14ac:dyDescent="0.25">
      <c r="A4049" s="48" t="s">
        <v>4790</v>
      </c>
      <c r="B4049" t="s">
        <v>4791</v>
      </c>
      <c r="C4049">
        <v>3</v>
      </c>
    </row>
    <row r="4050" spans="1:3" x14ac:dyDescent="0.25">
      <c r="A4050" s="48" t="s">
        <v>6821</v>
      </c>
      <c r="B4050" t="s">
        <v>6822</v>
      </c>
      <c r="C4050">
        <v>0</v>
      </c>
    </row>
    <row r="4051" spans="1:3" x14ac:dyDescent="0.25">
      <c r="A4051" s="48" t="s">
        <v>6823</v>
      </c>
      <c r="B4051" t="s">
        <v>6824</v>
      </c>
      <c r="C4051">
        <v>0</v>
      </c>
    </row>
    <row r="4052" spans="1:3" x14ac:dyDescent="0.25">
      <c r="A4052" s="48" t="s">
        <v>3028</v>
      </c>
      <c r="B4052" t="s">
        <v>3029</v>
      </c>
      <c r="C4052">
        <v>0</v>
      </c>
    </row>
    <row r="4053" spans="1:3" x14ac:dyDescent="0.25">
      <c r="A4053" s="48" t="s">
        <v>3020</v>
      </c>
      <c r="B4053" t="s">
        <v>3021</v>
      </c>
      <c r="C4053">
        <v>0</v>
      </c>
    </row>
    <row r="4054" spans="1:3" x14ac:dyDescent="0.25">
      <c r="A4054" s="48" t="s">
        <v>19430</v>
      </c>
      <c r="B4054" t="s">
        <v>19431</v>
      </c>
      <c r="C4054">
        <v>22</v>
      </c>
    </row>
    <row r="4055" spans="1:3" x14ac:dyDescent="0.25">
      <c r="A4055" s="48" t="s">
        <v>3018</v>
      </c>
      <c r="B4055" t="s">
        <v>3019</v>
      </c>
      <c r="C4055">
        <v>0</v>
      </c>
    </row>
    <row r="4056" spans="1:3" x14ac:dyDescent="0.25">
      <c r="A4056" s="48" t="s">
        <v>4298</v>
      </c>
      <c r="B4056" t="s">
        <v>4299</v>
      </c>
      <c r="C4056">
        <v>51</v>
      </c>
    </row>
    <row r="4057" spans="1:3" x14ac:dyDescent="0.25">
      <c r="A4057" s="48" t="s">
        <v>3030</v>
      </c>
      <c r="B4057" t="s">
        <v>3031</v>
      </c>
      <c r="C4057">
        <v>0</v>
      </c>
    </row>
    <row r="4058" spans="1:3" x14ac:dyDescent="0.25">
      <c r="A4058" s="48" t="s">
        <v>15058</v>
      </c>
      <c r="B4058" t="s">
        <v>15059</v>
      </c>
      <c r="C4058">
        <v>20</v>
      </c>
    </row>
    <row r="4059" spans="1:3" x14ac:dyDescent="0.25">
      <c r="A4059" s="48" t="s">
        <v>19412</v>
      </c>
      <c r="B4059" t="s">
        <v>19413</v>
      </c>
      <c r="C4059">
        <v>11</v>
      </c>
    </row>
    <row r="4060" spans="1:3" x14ac:dyDescent="0.25">
      <c r="A4060" s="48" t="s">
        <v>4400</v>
      </c>
      <c r="B4060" t="s">
        <v>4401</v>
      </c>
      <c r="C4060">
        <v>0</v>
      </c>
    </row>
    <row r="4061" spans="1:3" x14ac:dyDescent="0.25">
      <c r="A4061" s="48" t="s">
        <v>3024</v>
      </c>
      <c r="B4061" t="s">
        <v>3025</v>
      </c>
      <c r="C4061">
        <v>0</v>
      </c>
    </row>
    <row r="4062" spans="1:3" x14ac:dyDescent="0.25">
      <c r="A4062" s="48" t="s">
        <v>3026</v>
      </c>
      <c r="B4062" t="s">
        <v>3027</v>
      </c>
      <c r="C4062">
        <v>0</v>
      </c>
    </row>
    <row r="4063" spans="1:3" x14ac:dyDescent="0.25">
      <c r="A4063" s="48" t="s">
        <v>18945</v>
      </c>
      <c r="B4063" t="s">
        <v>18946</v>
      </c>
      <c r="C4063">
        <v>7</v>
      </c>
    </row>
    <row r="4064" spans="1:3" x14ac:dyDescent="0.25">
      <c r="A4064" s="48" t="s">
        <v>6819</v>
      </c>
      <c r="B4064" t="s">
        <v>6820</v>
      </c>
      <c r="C4064">
        <v>0</v>
      </c>
    </row>
    <row r="4065" spans="1:3" x14ac:dyDescent="0.25">
      <c r="A4065" s="48" t="s">
        <v>6825</v>
      </c>
      <c r="B4065" t="s">
        <v>6826</v>
      </c>
      <c r="C4065">
        <v>0</v>
      </c>
    </row>
    <row r="4066" spans="1:3" x14ac:dyDescent="0.25">
      <c r="A4066" s="48" t="s">
        <v>18943</v>
      </c>
      <c r="B4066" t="s">
        <v>18944</v>
      </c>
      <c r="C4066">
        <v>0</v>
      </c>
    </row>
    <row r="4067" spans="1:3" x14ac:dyDescent="0.25">
      <c r="A4067" s="48" t="s">
        <v>5383</v>
      </c>
      <c r="B4067" t="s">
        <v>5384</v>
      </c>
      <c r="C4067">
        <v>11</v>
      </c>
    </row>
    <row r="4068" spans="1:3" x14ac:dyDescent="0.25">
      <c r="A4068" s="48" t="s">
        <v>12815</v>
      </c>
      <c r="B4068" t="s">
        <v>12816</v>
      </c>
      <c r="C4068">
        <v>0</v>
      </c>
    </row>
    <row r="4069" spans="1:3" x14ac:dyDescent="0.25">
      <c r="A4069" s="48" t="s">
        <v>19112</v>
      </c>
      <c r="B4069" t="s">
        <v>21237</v>
      </c>
      <c r="C4069">
        <v>18</v>
      </c>
    </row>
    <row r="4070" spans="1:3" x14ac:dyDescent="0.25">
      <c r="A4070" s="48" t="s">
        <v>19064</v>
      </c>
      <c r="B4070" t="s">
        <v>21238</v>
      </c>
      <c r="C4070">
        <v>19</v>
      </c>
    </row>
    <row r="4071" spans="1:3" x14ac:dyDescent="0.25">
      <c r="A4071" s="48" t="s">
        <v>19100</v>
      </c>
      <c r="B4071" t="s">
        <v>21239</v>
      </c>
      <c r="C4071">
        <v>7</v>
      </c>
    </row>
    <row r="4072" spans="1:3" x14ac:dyDescent="0.25">
      <c r="A4072" s="48" t="s">
        <v>19096</v>
      </c>
      <c r="B4072" t="s">
        <v>21240</v>
      </c>
      <c r="C4072">
        <v>20</v>
      </c>
    </row>
    <row r="4073" spans="1:3" x14ac:dyDescent="0.25">
      <c r="A4073" s="48" t="s">
        <v>19062</v>
      </c>
      <c r="B4073" t="s">
        <v>21241</v>
      </c>
      <c r="C4073">
        <v>31</v>
      </c>
    </row>
    <row r="4074" spans="1:3" x14ac:dyDescent="0.25">
      <c r="A4074" s="48" t="s">
        <v>19082</v>
      </c>
      <c r="B4074" t="s">
        <v>21242</v>
      </c>
      <c r="C4074">
        <v>24</v>
      </c>
    </row>
    <row r="4075" spans="1:3" x14ac:dyDescent="0.25">
      <c r="A4075" s="48" t="s">
        <v>12771</v>
      </c>
      <c r="B4075" t="s">
        <v>12772</v>
      </c>
      <c r="C4075">
        <v>0</v>
      </c>
    </row>
    <row r="4076" spans="1:3" x14ac:dyDescent="0.25">
      <c r="A4076" s="48" t="s">
        <v>19114</v>
      </c>
      <c r="B4076" t="s">
        <v>21243</v>
      </c>
      <c r="C4076">
        <v>0</v>
      </c>
    </row>
    <row r="4077" spans="1:3" x14ac:dyDescent="0.25">
      <c r="A4077" s="48" t="s">
        <v>19184</v>
      </c>
      <c r="B4077" t="s">
        <v>21244</v>
      </c>
      <c r="C4077">
        <v>0</v>
      </c>
    </row>
    <row r="4078" spans="1:3" x14ac:dyDescent="0.25">
      <c r="A4078" s="48" t="s">
        <v>19178</v>
      </c>
      <c r="B4078" t="s">
        <v>21245</v>
      </c>
      <c r="C4078">
        <v>0</v>
      </c>
    </row>
    <row r="4079" spans="1:3" x14ac:dyDescent="0.25">
      <c r="A4079" s="48" t="s">
        <v>10137</v>
      </c>
      <c r="B4079" t="s">
        <v>10138</v>
      </c>
      <c r="C4079">
        <v>0</v>
      </c>
    </row>
    <row r="4080" spans="1:3" x14ac:dyDescent="0.25">
      <c r="A4080" s="48" t="s">
        <v>10135</v>
      </c>
      <c r="B4080" t="s">
        <v>10136</v>
      </c>
      <c r="C4080">
        <v>0</v>
      </c>
    </row>
    <row r="4081" spans="1:3" x14ac:dyDescent="0.25">
      <c r="A4081" s="48" t="s">
        <v>17134</v>
      </c>
      <c r="B4081" t="s">
        <v>17135</v>
      </c>
      <c r="C4081">
        <v>0</v>
      </c>
    </row>
    <row r="4082" spans="1:3" x14ac:dyDescent="0.25">
      <c r="A4082" s="48" t="s">
        <v>17102</v>
      </c>
      <c r="B4082" t="s">
        <v>21246</v>
      </c>
      <c r="C4082">
        <v>0</v>
      </c>
    </row>
    <row r="4083" spans="1:3" x14ac:dyDescent="0.25">
      <c r="A4083" s="48" t="s">
        <v>17238</v>
      </c>
      <c r="B4083" t="s">
        <v>21247</v>
      </c>
      <c r="C4083">
        <v>0</v>
      </c>
    </row>
    <row r="4084" spans="1:3" x14ac:dyDescent="0.25">
      <c r="A4084" s="48" t="s">
        <v>16720</v>
      </c>
      <c r="B4084" t="s">
        <v>16721</v>
      </c>
      <c r="C4084">
        <v>0</v>
      </c>
    </row>
    <row r="4085" spans="1:3" x14ac:dyDescent="0.25">
      <c r="A4085" s="48" t="s">
        <v>2937</v>
      </c>
      <c r="B4085" t="s">
        <v>21248</v>
      </c>
      <c r="C4085">
        <v>0</v>
      </c>
    </row>
    <row r="4086" spans="1:3" x14ac:dyDescent="0.25">
      <c r="A4086" s="48" t="s">
        <v>16680</v>
      </c>
      <c r="B4086" t="s">
        <v>16681</v>
      </c>
      <c r="C4086">
        <v>0</v>
      </c>
    </row>
    <row r="4087" spans="1:3" x14ac:dyDescent="0.25">
      <c r="A4087" s="48" t="s">
        <v>19104</v>
      </c>
      <c r="B4087" t="s">
        <v>21249</v>
      </c>
      <c r="C4087">
        <v>14</v>
      </c>
    </row>
    <row r="4088" spans="1:3" x14ac:dyDescent="0.25">
      <c r="A4088" s="48" t="s">
        <v>19116</v>
      </c>
      <c r="B4088" t="s">
        <v>21250</v>
      </c>
      <c r="C4088">
        <v>7</v>
      </c>
    </row>
    <row r="4089" spans="1:3" x14ac:dyDescent="0.25">
      <c r="A4089" s="48" t="s">
        <v>4208</v>
      </c>
      <c r="B4089" t="s">
        <v>4209</v>
      </c>
      <c r="C4089">
        <v>2</v>
      </c>
    </row>
    <row r="4090" spans="1:3" x14ac:dyDescent="0.25">
      <c r="A4090" s="48" t="s">
        <v>13659</v>
      </c>
      <c r="B4090" t="s">
        <v>13660</v>
      </c>
      <c r="C4090">
        <v>0</v>
      </c>
    </row>
    <row r="4091" spans="1:3" x14ac:dyDescent="0.25">
      <c r="A4091" s="48" t="s">
        <v>291</v>
      </c>
      <c r="B4091" t="s">
        <v>292</v>
      </c>
      <c r="C4091">
        <v>64</v>
      </c>
    </row>
    <row r="4092" spans="1:3" x14ac:dyDescent="0.25">
      <c r="A4092" s="48" t="s">
        <v>19154</v>
      </c>
      <c r="B4092" t="s">
        <v>21251</v>
      </c>
      <c r="C4092">
        <v>0</v>
      </c>
    </row>
    <row r="4093" spans="1:3" x14ac:dyDescent="0.25">
      <c r="A4093" s="48" t="s">
        <v>19122</v>
      </c>
      <c r="B4093" t="s">
        <v>21252</v>
      </c>
      <c r="C4093">
        <v>1</v>
      </c>
    </row>
    <row r="4094" spans="1:3" x14ac:dyDescent="0.25">
      <c r="A4094" s="48" t="s">
        <v>19136</v>
      </c>
      <c r="B4094" t="s">
        <v>21253</v>
      </c>
      <c r="C4094">
        <v>13</v>
      </c>
    </row>
    <row r="4095" spans="1:3" x14ac:dyDescent="0.25">
      <c r="A4095" s="48" t="s">
        <v>19128</v>
      </c>
      <c r="B4095" t="s">
        <v>21254</v>
      </c>
      <c r="C4095">
        <v>12</v>
      </c>
    </row>
    <row r="4096" spans="1:3" x14ac:dyDescent="0.25">
      <c r="A4096" s="48" t="s">
        <v>19186</v>
      </c>
      <c r="B4096" t="s">
        <v>21255</v>
      </c>
      <c r="C4096">
        <v>0</v>
      </c>
    </row>
    <row r="4097" spans="1:3" x14ac:dyDescent="0.25">
      <c r="A4097" s="48" t="s">
        <v>19130</v>
      </c>
      <c r="B4097" t="s">
        <v>21256</v>
      </c>
      <c r="C4097">
        <v>6</v>
      </c>
    </row>
    <row r="4098" spans="1:3" x14ac:dyDescent="0.25">
      <c r="A4098" s="48" t="s">
        <v>19068</v>
      </c>
      <c r="B4098" t="s">
        <v>21257</v>
      </c>
      <c r="C4098">
        <v>22</v>
      </c>
    </row>
    <row r="4099" spans="1:3" x14ac:dyDescent="0.25">
      <c r="A4099" s="48" t="s">
        <v>19162</v>
      </c>
      <c r="B4099" t="s">
        <v>21258</v>
      </c>
      <c r="C4099">
        <v>0</v>
      </c>
    </row>
    <row r="4100" spans="1:3" x14ac:dyDescent="0.25">
      <c r="A4100" s="48" t="s">
        <v>6817</v>
      </c>
      <c r="B4100" t="s">
        <v>6818</v>
      </c>
      <c r="C4100">
        <v>0</v>
      </c>
    </row>
    <row r="4101" spans="1:3" x14ac:dyDescent="0.25">
      <c r="A4101" s="48" t="s">
        <v>681</v>
      </c>
      <c r="B4101" t="s">
        <v>682</v>
      </c>
      <c r="C4101">
        <v>37</v>
      </c>
    </row>
    <row r="4102" spans="1:3" x14ac:dyDescent="0.25">
      <c r="A4102" s="48" t="s">
        <v>6827</v>
      </c>
      <c r="B4102" t="s">
        <v>6828</v>
      </c>
      <c r="C4102">
        <v>0</v>
      </c>
    </row>
    <row r="4103" spans="1:3" x14ac:dyDescent="0.25">
      <c r="A4103" s="48" t="s">
        <v>4152</v>
      </c>
      <c r="B4103" t="s">
        <v>4153</v>
      </c>
      <c r="C4103">
        <v>0</v>
      </c>
    </row>
    <row r="4104" spans="1:3" x14ac:dyDescent="0.25">
      <c r="A4104" s="48" t="s">
        <v>4202</v>
      </c>
      <c r="B4104" t="s">
        <v>4203</v>
      </c>
      <c r="C4104">
        <v>100</v>
      </c>
    </row>
    <row r="4105" spans="1:3" x14ac:dyDescent="0.25">
      <c r="A4105" s="48" t="s">
        <v>4140</v>
      </c>
      <c r="B4105" t="s">
        <v>4141</v>
      </c>
      <c r="C4105">
        <v>435</v>
      </c>
    </row>
    <row r="4106" spans="1:3" x14ac:dyDescent="0.25">
      <c r="A4106" s="48" t="s">
        <v>4190</v>
      </c>
      <c r="B4106" t="s">
        <v>4191</v>
      </c>
      <c r="C4106">
        <v>500</v>
      </c>
    </row>
    <row r="4107" spans="1:3" x14ac:dyDescent="0.25">
      <c r="A4107" s="48" t="s">
        <v>4192</v>
      </c>
      <c r="B4107" t="s">
        <v>4193</v>
      </c>
      <c r="C4107">
        <v>600</v>
      </c>
    </row>
    <row r="4108" spans="1:3" x14ac:dyDescent="0.25">
      <c r="A4108" s="48" t="s">
        <v>4142</v>
      </c>
      <c r="B4108" t="s">
        <v>4143</v>
      </c>
      <c r="C4108">
        <v>347</v>
      </c>
    </row>
    <row r="4109" spans="1:3" x14ac:dyDescent="0.25">
      <c r="A4109" s="48" t="s">
        <v>18135</v>
      </c>
      <c r="B4109" t="s">
        <v>18136</v>
      </c>
      <c r="C4109">
        <v>24</v>
      </c>
    </row>
    <row r="4110" spans="1:3" x14ac:dyDescent="0.25">
      <c r="A4110" s="48" t="s">
        <v>18149</v>
      </c>
      <c r="B4110" t="s">
        <v>18150</v>
      </c>
      <c r="C4110">
        <v>0</v>
      </c>
    </row>
    <row r="4111" spans="1:3" x14ac:dyDescent="0.25">
      <c r="A4111" s="48" t="s">
        <v>18151</v>
      </c>
      <c r="B4111" t="s">
        <v>18152</v>
      </c>
      <c r="C4111">
        <v>0</v>
      </c>
    </row>
    <row r="4112" spans="1:3" x14ac:dyDescent="0.25">
      <c r="A4112" s="48" t="s">
        <v>14338</v>
      </c>
      <c r="B4112" t="s">
        <v>14339</v>
      </c>
      <c r="C4112">
        <v>4</v>
      </c>
    </row>
    <row r="4113" spans="1:3" x14ac:dyDescent="0.25">
      <c r="A4113" s="48" t="s">
        <v>14314</v>
      </c>
      <c r="B4113" t="s">
        <v>14315</v>
      </c>
      <c r="C4113">
        <v>3</v>
      </c>
    </row>
    <row r="4114" spans="1:3" x14ac:dyDescent="0.25">
      <c r="A4114" s="48" t="s">
        <v>14306</v>
      </c>
      <c r="B4114" t="s">
        <v>14307</v>
      </c>
      <c r="C4114">
        <v>1</v>
      </c>
    </row>
    <row r="4115" spans="1:3" x14ac:dyDescent="0.25">
      <c r="A4115" s="48" t="s">
        <v>14328</v>
      </c>
      <c r="B4115" t="s">
        <v>14329</v>
      </c>
      <c r="C4115">
        <v>5</v>
      </c>
    </row>
    <row r="4116" spans="1:3" x14ac:dyDescent="0.25">
      <c r="A4116" s="48" t="s">
        <v>18229</v>
      </c>
      <c r="B4116" t="s">
        <v>22918</v>
      </c>
      <c r="C4116">
        <v>0</v>
      </c>
    </row>
    <row r="4117" spans="1:3" x14ac:dyDescent="0.25">
      <c r="A4117" s="48" t="s">
        <v>18137</v>
      </c>
      <c r="B4117" t="s">
        <v>18138</v>
      </c>
      <c r="C4117">
        <v>15</v>
      </c>
    </row>
    <row r="4118" spans="1:3" x14ac:dyDescent="0.25">
      <c r="A4118" s="48" t="s">
        <v>2893</v>
      </c>
      <c r="B4118" t="s">
        <v>2894</v>
      </c>
      <c r="C4118">
        <v>25</v>
      </c>
    </row>
    <row r="4119" spans="1:3" x14ac:dyDescent="0.25">
      <c r="A4119" s="48" t="s">
        <v>6165</v>
      </c>
      <c r="B4119" t="s">
        <v>6166</v>
      </c>
      <c r="C4119">
        <v>0</v>
      </c>
    </row>
    <row r="4120" spans="1:3" x14ac:dyDescent="0.25">
      <c r="A4120" s="48" t="s">
        <v>9800</v>
      </c>
      <c r="B4120" t="s">
        <v>9801</v>
      </c>
      <c r="C4120">
        <v>84</v>
      </c>
    </row>
    <row r="4121" spans="1:3" x14ac:dyDescent="0.25">
      <c r="A4121" s="48" t="s">
        <v>9794</v>
      </c>
      <c r="B4121" t="s">
        <v>9795</v>
      </c>
      <c r="C4121">
        <v>11</v>
      </c>
    </row>
    <row r="4122" spans="1:3" x14ac:dyDescent="0.25">
      <c r="A4122" s="48" t="s">
        <v>18680</v>
      </c>
      <c r="B4122" t="s">
        <v>21259</v>
      </c>
      <c r="C4122">
        <v>0</v>
      </c>
    </row>
    <row r="4123" spans="1:3" x14ac:dyDescent="0.25">
      <c r="A4123" s="48" t="s">
        <v>18690</v>
      </c>
      <c r="B4123" t="s">
        <v>21260</v>
      </c>
      <c r="C4123">
        <v>0</v>
      </c>
    </row>
    <row r="4124" spans="1:3" x14ac:dyDescent="0.25">
      <c r="A4124" s="48" t="s">
        <v>18692</v>
      </c>
      <c r="B4124" t="s">
        <v>21261</v>
      </c>
      <c r="C4124">
        <v>0</v>
      </c>
    </row>
    <row r="4125" spans="1:3" x14ac:dyDescent="0.25">
      <c r="A4125" s="48" t="s">
        <v>8471</v>
      </c>
      <c r="B4125" t="s">
        <v>8472</v>
      </c>
      <c r="C4125">
        <v>0</v>
      </c>
    </row>
    <row r="4126" spans="1:3" x14ac:dyDescent="0.25">
      <c r="A4126" s="48" t="s">
        <v>7752</v>
      </c>
      <c r="B4126" t="s">
        <v>21262</v>
      </c>
      <c r="C4126">
        <v>1</v>
      </c>
    </row>
    <row r="4127" spans="1:3" x14ac:dyDescent="0.25">
      <c r="A4127" s="48" t="s">
        <v>18133</v>
      </c>
      <c r="B4127" t="s">
        <v>18134</v>
      </c>
      <c r="C4127">
        <v>4</v>
      </c>
    </row>
    <row r="4128" spans="1:3" x14ac:dyDescent="0.25">
      <c r="A4128" s="48" t="s">
        <v>8628</v>
      </c>
      <c r="B4128" t="s">
        <v>21263</v>
      </c>
      <c r="C4128">
        <v>0</v>
      </c>
    </row>
    <row r="4129" spans="1:3" x14ac:dyDescent="0.25">
      <c r="A4129" s="48" t="s">
        <v>4641</v>
      </c>
      <c r="B4129" t="s">
        <v>21264</v>
      </c>
      <c r="C4129">
        <v>7</v>
      </c>
    </row>
    <row r="4130" spans="1:3" x14ac:dyDescent="0.25">
      <c r="A4130" s="48" t="s">
        <v>4639</v>
      </c>
      <c r="B4130" t="s">
        <v>21265</v>
      </c>
      <c r="C4130">
        <v>0</v>
      </c>
    </row>
    <row r="4131" spans="1:3" x14ac:dyDescent="0.25">
      <c r="A4131" s="48" t="s">
        <v>8039</v>
      </c>
      <c r="B4131" t="s">
        <v>21266</v>
      </c>
      <c r="C4131">
        <v>5</v>
      </c>
    </row>
    <row r="4132" spans="1:3" x14ac:dyDescent="0.25">
      <c r="A4132" s="48" t="s">
        <v>3361</v>
      </c>
      <c r="B4132" t="s">
        <v>21267</v>
      </c>
      <c r="C4132">
        <v>0</v>
      </c>
    </row>
    <row r="4133" spans="1:3" x14ac:dyDescent="0.25">
      <c r="A4133" s="48" t="s">
        <v>3363</v>
      </c>
      <c r="B4133" t="s">
        <v>21268</v>
      </c>
      <c r="C4133">
        <v>0</v>
      </c>
    </row>
    <row r="4134" spans="1:3" x14ac:dyDescent="0.25">
      <c r="A4134" s="48" t="s">
        <v>3148</v>
      </c>
      <c r="B4134" t="s">
        <v>21269</v>
      </c>
      <c r="C4134">
        <v>0</v>
      </c>
    </row>
    <row r="4135" spans="1:3" x14ac:dyDescent="0.25">
      <c r="A4135" s="48" t="s">
        <v>4637</v>
      </c>
      <c r="B4135" t="s">
        <v>22903</v>
      </c>
      <c r="C4135">
        <v>2</v>
      </c>
    </row>
    <row r="4136" spans="1:3" x14ac:dyDescent="0.25">
      <c r="A4136" s="48" t="s">
        <v>4647</v>
      </c>
      <c r="B4136" t="s">
        <v>21270</v>
      </c>
      <c r="C4136">
        <v>0</v>
      </c>
    </row>
    <row r="4137" spans="1:3" x14ac:dyDescent="0.25">
      <c r="A4137" s="48" t="s">
        <v>433</v>
      </c>
      <c r="B4137" t="s">
        <v>434</v>
      </c>
      <c r="C4137">
        <v>0</v>
      </c>
    </row>
    <row r="4138" spans="1:3" x14ac:dyDescent="0.25">
      <c r="A4138" s="48" t="s">
        <v>8632</v>
      </c>
      <c r="B4138" t="s">
        <v>21271</v>
      </c>
      <c r="C4138">
        <v>0</v>
      </c>
    </row>
    <row r="4139" spans="1:3" x14ac:dyDescent="0.25">
      <c r="A4139" s="48" t="s">
        <v>8638</v>
      </c>
      <c r="B4139" t="s">
        <v>21272</v>
      </c>
      <c r="C4139">
        <v>0</v>
      </c>
    </row>
    <row r="4140" spans="1:3" x14ac:dyDescent="0.25">
      <c r="A4140" s="48" t="s">
        <v>8634</v>
      </c>
      <c r="B4140" t="s">
        <v>21273</v>
      </c>
      <c r="C4140">
        <v>0</v>
      </c>
    </row>
    <row r="4141" spans="1:3" x14ac:dyDescent="0.25">
      <c r="A4141" s="48" t="s">
        <v>8636</v>
      </c>
      <c r="B4141" t="s">
        <v>21274</v>
      </c>
      <c r="C4141">
        <v>0</v>
      </c>
    </row>
    <row r="4142" spans="1:3" x14ac:dyDescent="0.25">
      <c r="A4142" s="48" t="s">
        <v>8630</v>
      </c>
      <c r="B4142" t="s">
        <v>21275</v>
      </c>
      <c r="C4142">
        <v>0</v>
      </c>
    </row>
    <row r="4143" spans="1:3" x14ac:dyDescent="0.25">
      <c r="A4143" s="48" t="s">
        <v>4635</v>
      </c>
      <c r="B4143" t="s">
        <v>21276</v>
      </c>
      <c r="C4143">
        <v>0</v>
      </c>
    </row>
    <row r="4144" spans="1:3" x14ac:dyDescent="0.25">
      <c r="A4144" s="48" t="s">
        <v>4643</v>
      </c>
      <c r="B4144" t="s">
        <v>21277</v>
      </c>
      <c r="C4144">
        <v>0</v>
      </c>
    </row>
    <row r="4145" spans="1:3" x14ac:dyDescent="0.25">
      <c r="A4145" s="48" t="s">
        <v>4645</v>
      </c>
      <c r="B4145" t="s">
        <v>21278</v>
      </c>
      <c r="C4145">
        <v>0</v>
      </c>
    </row>
    <row r="4146" spans="1:3" x14ac:dyDescent="0.25">
      <c r="A4146" s="48" t="s">
        <v>17340</v>
      </c>
      <c r="B4146" t="s">
        <v>21279</v>
      </c>
      <c r="C4146">
        <v>0</v>
      </c>
    </row>
    <row r="4147" spans="1:3" x14ac:dyDescent="0.25">
      <c r="A4147" s="48" t="s">
        <v>12593</v>
      </c>
      <c r="B4147" t="s">
        <v>21280</v>
      </c>
      <c r="C4147">
        <v>0</v>
      </c>
    </row>
    <row r="4148" spans="1:3" x14ac:dyDescent="0.25">
      <c r="A4148" s="48" t="s">
        <v>257</v>
      </c>
      <c r="B4148" t="s">
        <v>258</v>
      </c>
      <c r="C4148">
        <v>31</v>
      </c>
    </row>
    <row r="4149" spans="1:3" x14ac:dyDescent="0.25">
      <c r="A4149" s="48" t="s">
        <v>4266</v>
      </c>
      <c r="B4149" t="s">
        <v>4267</v>
      </c>
      <c r="C4149">
        <v>0</v>
      </c>
    </row>
    <row r="4150" spans="1:3" x14ac:dyDescent="0.25">
      <c r="A4150" s="48" t="s">
        <v>4268</v>
      </c>
      <c r="B4150" t="s">
        <v>4269</v>
      </c>
      <c r="C4150">
        <v>0</v>
      </c>
    </row>
    <row r="4151" spans="1:3" x14ac:dyDescent="0.25">
      <c r="A4151" s="48" t="s">
        <v>6889</v>
      </c>
      <c r="B4151" t="s">
        <v>6890</v>
      </c>
      <c r="C4151">
        <v>0</v>
      </c>
    </row>
    <row r="4152" spans="1:3" x14ac:dyDescent="0.25">
      <c r="A4152" s="48" t="s">
        <v>12927</v>
      </c>
      <c r="B4152" t="s">
        <v>12928</v>
      </c>
      <c r="C4152">
        <v>0</v>
      </c>
    </row>
    <row r="4153" spans="1:3" x14ac:dyDescent="0.25">
      <c r="A4153" s="48" t="s">
        <v>19034</v>
      </c>
      <c r="B4153" t="s">
        <v>19035</v>
      </c>
      <c r="C4153">
        <v>17</v>
      </c>
    </row>
    <row r="4154" spans="1:3" x14ac:dyDescent="0.25">
      <c r="A4154" s="48" t="s">
        <v>323</v>
      </c>
      <c r="B4154" t="s">
        <v>324</v>
      </c>
      <c r="C4154">
        <v>14</v>
      </c>
    </row>
    <row r="4155" spans="1:3" x14ac:dyDescent="0.25">
      <c r="A4155" s="48" t="s">
        <v>17714</v>
      </c>
      <c r="B4155" t="s">
        <v>21281</v>
      </c>
      <c r="C4155">
        <v>2</v>
      </c>
    </row>
    <row r="4156" spans="1:3" x14ac:dyDescent="0.25">
      <c r="A4156" s="48" t="s">
        <v>17722</v>
      </c>
      <c r="B4156" t="s">
        <v>17723</v>
      </c>
      <c r="C4156">
        <v>33</v>
      </c>
    </row>
    <row r="4157" spans="1:3" x14ac:dyDescent="0.25">
      <c r="A4157" s="48" t="s">
        <v>17712</v>
      </c>
      <c r="B4157" t="s">
        <v>21282</v>
      </c>
      <c r="C4157">
        <v>0</v>
      </c>
    </row>
    <row r="4158" spans="1:3" x14ac:dyDescent="0.25">
      <c r="A4158" s="48" t="s">
        <v>12307</v>
      </c>
      <c r="B4158" t="s">
        <v>12308</v>
      </c>
      <c r="C4158">
        <v>0</v>
      </c>
    </row>
    <row r="4159" spans="1:3" x14ac:dyDescent="0.25">
      <c r="A4159" s="48" t="s">
        <v>19593</v>
      </c>
      <c r="B4159" t="s">
        <v>19594</v>
      </c>
      <c r="C4159">
        <v>12</v>
      </c>
    </row>
    <row r="4160" spans="1:3" x14ac:dyDescent="0.25">
      <c r="A4160" s="48" t="s">
        <v>19595</v>
      </c>
      <c r="B4160" t="s">
        <v>19596</v>
      </c>
      <c r="C4160">
        <v>2</v>
      </c>
    </row>
    <row r="4161" spans="1:3" x14ac:dyDescent="0.25">
      <c r="A4161" s="48" t="s">
        <v>17708</v>
      </c>
      <c r="B4161" t="s">
        <v>21283</v>
      </c>
      <c r="C4161">
        <v>4</v>
      </c>
    </row>
    <row r="4162" spans="1:3" x14ac:dyDescent="0.25">
      <c r="A4162" s="48" t="s">
        <v>4384</v>
      </c>
      <c r="B4162" t="s">
        <v>4385</v>
      </c>
      <c r="C4162">
        <v>0</v>
      </c>
    </row>
    <row r="4163" spans="1:3" x14ac:dyDescent="0.25">
      <c r="A4163" s="48" t="s">
        <v>409</v>
      </c>
      <c r="B4163" t="s">
        <v>410</v>
      </c>
      <c r="C4163">
        <v>1</v>
      </c>
    </row>
    <row r="4164" spans="1:3" x14ac:dyDescent="0.25">
      <c r="A4164" s="48" t="s">
        <v>4386</v>
      </c>
      <c r="B4164" t="s">
        <v>4387</v>
      </c>
      <c r="C4164">
        <v>30</v>
      </c>
    </row>
    <row r="4165" spans="1:3" x14ac:dyDescent="0.25">
      <c r="A4165" s="48" t="s">
        <v>14596</v>
      </c>
      <c r="B4165" t="s">
        <v>14597</v>
      </c>
      <c r="C4165">
        <v>0</v>
      </c>
    </row>
    <row r="4166" spans="1:3" x14ac:dyDescent="0.25">
      <c r="A4166" s="48" t="s">
        <v>2530</v>
      </c>
      <c r="B4166" t="s">
        <v>2531</v>
      </c>
      <c r="C4166">
        <v>12</v>
      </c>
    </row>
    <row r="4167" spans="1:3" x14ac:dyDescent="0.25">
      <c r="A4167" s="48" t="s">
        <v>18143</v>
      </c>
      <c r="B4167" t="s">
        <v>18144</v>
      </c>
      <c r="C4167">
        <v>11</v>
      </c>
    </row>
    <row r="4168" spans="1:3" x14ac:dyDescent="0.25">
      <c r="A4168" s="48" t="s">
        <v>373</v>
      </c>
      <c r="B4168" t="s">
        <v>374</v>
      </c>
      <c r="C4168">
        <v>26</v>
      </c>
    </row>
    <row r="4169" spans="1:3" x14ac:dyDescent="0.25">
      <c r="A4169" s="48" t="s">
        <v>91</v>
      </c>
      <c r="B4169" t="s">
        <v>92</v>
      </c>
      <c r="C4169">
        <v>0</v>
      </c>
    </row>
    <row r="4170" spans="1:3" x14ac:dyDescent="0.25">
      <c r="A4170" s="48" t="s">
        <v>16093</v>
      </c>
      <c r="B4170" t="s">
        <v>21284</v>
      </c>
      <c r="C4170">
        <v>0</v>
      </c>
    </row>
    <row r="4171" spans="1:3" x14ac:dyDescent="0.25">
      <c r="A4171" s="48" t="s">
        <v>3451</v>
      </c>
      <c r="B4171" t="s">
        <v>3452</v>
      </c>
      <c r="C4171">
        <v>0</v>
      </c>
    </row>
    <row r="4172" spans="1:3" x14ac:dyDescent="0.25">
      <c r="A4172" s="48" t="s">
        <v>18233</v>
      </c>
      <c r="B4172" t="s">
        <v>18234</v>
      </c>
      <c r="C4172">
        <v>0</v>
      </c>
    </row>
    <row r="4173" spans="1:3" x14ac:dyDescent="0.25">
      <c r="A4173" s="48" t="s">
        <v>4998</v>
      </c>
      <c r="B4173" t="s">
        <v>4999</v>
      </c>
      <c r="C4173">
        <v>2</v>
      </c>
    </row>
    <row r="4174" spans="1:3" x14ac:dyDescent="0.25">
      <c r="A4174" s="48" t="s">
        <v>69</v>
      </c>
      <c r="B4174" t="s">
        <v>70</v>
      </c>
      <c r="C4174">
        <v>51</v>
      </c>
    </row>
    <row r="4175" spans="1:3" x14ac:dyDescent="0.25">
      <c r="A4175" s="48" t="s">
        <v>17154</v>
      </c>
      <c r="B4175" t="s">
        <v>17155</v>
      </c>
      <c r="C4175">
        <v>0</v>
      </c>
    </row>
    <row r="4176" spans="1:3" x14ac:dyDescent="0.25">
      <c r="A4176" s="48" t="s">
        <v>3695</v>
      </c>
      <c r="B4176" t="s">
        <v>3696</v>
      </c>
      <c r="C4176">
        <v>6</v>
      </c>
    </row>
    <row r="4177" spans="1:3" x14ac:dyDescent="0.25">
      <c r="A4177" s="48" t="s">
        <v>5911</v>
      </c>
      <c r="B4177" t="s">
        <v>21285</v>
      </c>
      <c r="C4177">
        <v>0</v>
      </c>
    </row>
    <row r="4178" spans="1:3" x14ac:dyDescent="0.25">
      <c r="A4178" s="48" t="s">
        <v>12299</v>
      </c>
      <c r="B4178" t="s">
        <v>21286</v>
      </c>
      <c r="C4178">
        <v>0</v>
      </c>
    </row>
    <row r="4179" spans="1:3" x14ac:dyDescent="0.25">
      <c r="A4179" s="48" t="s">
        <v>14866</v>
      </c>
      <c r="B4179" t="s">
        <v>21287</v>
      </c>
      <c r="C4179">
        <v>0</v>
      </c>
    </row>
    <row r="4180" spans="1:3" x14ac:dyDescent="0.25">
      <c r="A4180" s="48" t="s">
        <v>5221</v>
      </c>
      <c r="B4180" t="s">
        <v>5222</v>
      </c>
      <c r="C4180">
        <v>0</v>
      </c>
    </row>
    <row r="4181" spans="1:3" x14ac:dyDescent="0.25">
      <c r="A4181" s="48" t="s">
        <v>5449</v>
      </c>
      <c r="B4181" t="s">
        <v>5450</v>
      </c>
      <c r="C4181">
        <v>0</v>
      </c>
    </row>
    <row r="4182" spans="1:3" x14ac:dyDescent="0.25">
      <c r="A4182" s="48" t="s">
        <v>309</v>
      </c>
      <c r="B4182" t="s">
        <v>310</v>
      </c>
      <c r="C4182">
        <v>54</v>
      </c>
    </row>
    <row r="4183" spans="1:3" x14ac:dyDescent="0.25">
      <c r="A4183" s="48" t="s">
        <v>5447</v>
      </c>
      <c r="B4183" t="s">
        <v>5448</v>
      </c>
      <c r="C4183">
        <v>0</v>
      </c>
    </row>
    <row r="4184" spans="1:3" x14ac:dyDescent="0.25">
      <c r="A4184" s="48" t="s">
        <v>18171</v>
      </c>
      <c r="B4184" t="s">
        <v>18172</v>
      </c>
      <c r="C4184">
        <v>0</v>
      </c>
    </row>
    <row r="4185" spans="1:3" x14ac:dyDescent="0.25">
      <c r="A4185" s="48" t="s">
        <v>18197</v>
      </c>
      <c r="B4185" t="s">
        <v>18198</v>
      </c>
      <c r="C4185">
        <v>0</v>
      </c>
    </row>
    <row r="4186" spans="1:3" x14ac:dyDescent="0.25">
      <c r="A4186" s="48" t="s">
        <v>16856</v>
      </c>
      <c r="B4186" t="s">
        <v>16857</v>
      </c>
      <c r="C4186">
        <v>4</v>
      </c>
    </row>
    <row r="4187" spans="1:3" x14ac:dyDescent="0.25">
      <c r="A4187" s="48" t="s">
        <v>16121</v>
      </c>
      <c r="B4187" t="s">
        <v>16122</v>
      </c>
      <c r="C4187">
        <v>0</v>
      </c>
    </row>
    <row r="4188" spans="1:3" x14ac:dyDescent="0.25">
      <c r="A4188" s="48" t="s">
        <v>16764</v>
      </c>
      <c r="B4188" t="s">
        <v>16765</v>
      </c>
      <c r="C4188">
        <v>0</v>
      </c>
    </row>
    <row r="4189" spans="1:3" x14ac:dyDescent="0.25">
      <c r="A4189" s="48" t="s">
        <v>19009</v>
      </c>
      <c r="B4189" t="s">
        <v>19010</v>
      </c>
      <c r="C4189">
        <v>0</v>
      </c>
    </row>
    <row r="4190" spans="1:3" x14ac:dyDescent="0.25">
      <c r="A4190" s="48" t="s">
        <v>16768</v>
      </c>
      <c r="B4190" t="s">
        <v>16769</v>
      </c>
      <c r="C4190">
        <v>0</v>
      </c>
    </row>
    <row r="4191" spans="1:3" x14ac:dyDescent="0.25">
      <c r="A4191" s="48" t="s">
        <v>16750</v>
      </c>
      <c r="B4191" t="s">
        <v>16751</v>
      </c>
      <c r="C4191">
        <v>0</v>
      </c>
    </row>
    <row r="4192" spans="1:3" x14ac:dyDescent="0.25">
      <c r="A4192" s="48" t="s">
        <v>16754</v>
      </c>
      <c r="B4192" t="s">
        <v>16755</v>
      </c>
      <c r="C4192">
        <v>0</v>
      </c>
    </row>
    <row r="4193" spans="1:3" x14ac:dyDescent="0.25">
      <c r="A4193" s="48" t="s">
        <v>8001</v>
      </c>
      <c r="B4193" t="s">
        <v>8002</v>
      </c>
      <c r="C4193">
        <v>0</v>
      </c>
    </row>
    <row r="4194" spans="1:3" x14ac:dyDescent="0.25">
      <c r="A4194" s="48" t="s">
        <v>7999</v>
      </c>
      <c r="B4194" t="s">
        <v>8000</v>
      </c>
      <c r="C4194">
        <v>0</v>
      </c>
    </row>
    <row r="4195" spans="1:3" x14ac:dyDescent="0.25">
      <c r="A4195" s="48" t="s">
        <v>16792</v>
      </c>
      <c r="B4195" t="s">
        <v>16793</v>
      </c>
      <c r="C4195">
        <v>0</v>
      </c>
    </row>
    <row r="4196" spans="1:3" x14ac:dyDescent="0.25">
      <c r="A4196" s="48" t="s">
        <v>16520</v>
      </c>
      <c r="B4196" t="s">
        <v>21288</v>
      </c>
      <c r="C4196">
        <v>0</v>
      </c>
    </row>
    <row r="4197" spans="1:3" x14ac:dyDescent="0.25">
      <c r="A4197" s="48" t="s">
        <v>18772</v>
      </c>
      <c r="B4197" t="s">
        <v>21289</v>
      </c>
      <c r="C4197">
        <v>1</v>
      </c>
    </row>
    <row r="4198" spans="1:3" x14ac:dyDescent="0.25">
      <c r="A4198" s="48" t="s">
        <v>18666</v>
      </c>
      <c r="B4198" t="s">
        <v>21290</v>
      </c>
      <c r="C4198">
        <v>0</v>
      </c>
    </row>
    <row r="4199" spans="1:3" x14ac:dyDescent="0.25">
      <c r="A4199" s="48" t="s">
        <v>18798</v>
      </c>
      <c r="B4199" t="s">
        <v>21291</v>
      </c>
      <c r="C4199">
        <v>0</v>
      </c>
    </row>
    <row r="4200" spans="1:3" x14ac:dyDescent="0.25">
      <c r="A4200" s="48" t="s">
        <v>19025</v>
      </c>
      <c r="B4200" t="s">
        <v>19026</v>
      </c>
      <c r="C4200">
        <v>0</v>
      </c>
    </row>
    <row r="4201" spans="1:3" x14ac:dyDescent="0.25">
      <c r="A4201" s="48" t="s">
        <v>18650</v>
      </c>
      <c r="B4201" t="s">
        <v>21292</v>
      </c>
      <c r="C4201">
        <v>0</v>
      </c>
    </row>
    <row r="4202" spans="1:3" x14ac:dyDescent="0.25">
      <c r="A4202" s="48" t="s">
        <v>18796</v>
      </c>
      <c r="B4202" t="s">
        <v>21293</v>
      </c>
      <c r="C4202">
        <v>7</v>
      </c>
    </row>
    <row r="4203" spans="1:3" x14ac:dyDescent="0.25">
      <c r="A4203" s="48" t="s">
        <v>18804</v>
      </c>
      <c r="B4203" t="s">
        <v>21294</v>
      </c>
      <c r="C4203">
        <v>0</v>
      </c>
    </row>
    <row r="4204" spans="1:3" x14ac:dyDescent="0.25">
      <c r="A4204" s="48" t="s">
        <v>18642</v>
      </c>
      <c r="B4204" t="s">
        <v>21295</v>
      </c>
      <c r="C4204">
        <v>0</v>
      </c>
    </row>
    <row r="4205" spans="1:3" x14ac:dyDescent="0.25">
      <c r="A4205" s="48" t="s">
        <v>18730</v>
      </c>
      <c r="B4205" t="s">
        <v>21296</v>
      </c>
      <c r="C4205">
        <v>0</v>
      </c>
    </row>
    <row r="4206" spans="1:3" x14ac:dyDescent="0.25">
      <c r="A4206" s="48" t="s">
        <v>16522</v>
      </c>
      <c r="B4206" t="s">
        <v>21297</v>
      </c>
      <c r="C4206">
        <v>0</v>
      </c>
    </row>
    <row r="4207" spans="1:3" x14ac:dyDescent="0.25">
      <c r="A4207" s="48" t="s">
        <v>18776</v>
      </c>
      <c r="B4207" t="s">
        <v>21298</v>
      </c>
      <c r="C4207">
        <v>1</v>
      </c>
    </row>
    <row r="4208" spans="1:3" x14ac:dyDescent="0.25">
      <c r="A4208" s="48" t="s">
        <v>18782</v>
      </c>
      <c r="B4208" t="s">
        <v>21299</v>
      </c>
      <c r="C4208">
        <v>0</v>
      </c>
    </row>
    <row r="4209" spans="1:3" x14ac:dyDescent="0.25">
      <c r="A4209" s="48" t="s">
        <v>18780</v>
      </c>
      <c r="B4209" t="s">
        <v>21300</v>
      </c>
      <c r="C4209">
        <v>0</v>
      </c>
    </row>
    <row r="4210" spans="1:3" x14ac:dyDescent="0.25">
      <c r="A4210" s="48" t="s">
        <v>18778</v>
      </c>
      <c r="B4210" t="s">
        <v>21301</v>
      </c>
      <c r="C4210">
        <v>0</v>
      </c>
    </row>
    <row r="4211" spans="1:3" x14ac:dyDescent="0.25">
      <c r="A4211" s="48" t="s">
        <v>8389</v>
      </c>
      <c r="B4211" t="s">
        <v>21302</v>
      </c>
      <c r="C4211">
        <v>9</v>
      </c>
    </row>
    <row r="4212" spans="1:3" x14ac:dyDescent="0.25">
      <c r="A4212" s="48" t="s">
        <v>8397</v>
      </c>
      <c r="B4212" t="s">
        <v>21303</v>
      </c>
      <c r="C4212">
        <v>0</v>
      </c>
    </row>
    <row r="4213" spans="1:3" x14ac:dyDescent="0.25">
      <c r="A4213" s="48" t="s">
        <v>18654</v>
      </c>
      <c r="B4213" t="s">
        <v>21304</v>
      </c>
      <c r="C4213">
        <v>0</v>
      </c>
    </row>
    <row r="4214" spans="1:3" x14ac:dyDescent="0.25">
      <c r="A4214" s="48" t="s">
        <v>18656</v>
      </c>
      <c r="B4214" t="s">
        <v>21305</v>
      </c>
      <c r="C4214">
        <v>8</v>
      </c>
    </row>
    <row r="4215" spans="1:3" x14ac:dyDescent="0.25">
      <c r="A4215" s="48" t="s">
        <v>18652</v>
      </c>
      <c r="B4215" t="s">
        <v>21306</v>
      </c>
      <c r="C4215">
        <v>1</v>
      </c>
    </row>
    <row r="4216" spans="1:3" x14ac:dyDescent="0.25">
      <c r="A4216" s="48" t="s">
        <v>19046</v>
      </c>
      <c r="B4216" t="s">
        <v>21307</v>
      </c>
      <c r="C4216">
        <v>0</v>
      </c>
    </row>
    <row r="4217" spans="1:3" x14ac:dyDescent="0.25">
      <c r="A4217" s="48" t="s">
        <v>8401</v>
      </c>
      <c r="B4217" t="s">
        <v>21308</v>
      </c>
      <c r="C4217">
        <v>0</v>
      </c>
    </row>
    <row r="4218" spans="1:3" x14ac:dyDescent="0.25">
      <c r="A4218" s="48" t="s">
        <v>18770</v>
      </c>
      <c r="B4218" t="s">
        <v>21309</v>
      </c>
      <c r="C4218">
        <v>0</v>
      </c>
    </row>
    <row r="4219" spans="1:3" x14ac:dyDescent="0.25">
      <c r="A4219" s="48" t="s">
        <v>18732</v>
      </c>
      <c r="B4219" t="s">
        <v>21310</v>
      </c>
      <c r="C4219">
        <v>0</v>
      </c>
    </row>
    <row r="4220" spans="1:3" x14ac:dyDescent="0.25">
      <c r="A4220" s="48" t="s">
        <v>18648</v>
      </c>
      <c r="B4220" t="s">
        <v>21311</v>
      </c>
      <c r="C4220">
        <v>0</v>
      </c>
    </row>
    <row r="4221" spans="1:3" x14ac:dyDescent="0.25">
      <c r="A4221" s="48" t="s">
        <v>18644</v>
      </c>
      <c r="B4221" t="s">
        <v>21312</v>
      </c>
      <c r="C4221">
        <v>0</v>
      </c>
    </row>
    <row r="4222" spans="1:3" x14ac:dyDescent="0.25">
      <c r="A4222" s="48" t="s">
        <v>16706</v>
      </c>
      <c r="B4222" t="s">
        <v>16707</v>
      </c>
      <c r="C4222">
        <v>122</v>
      </c>
    </row>
    <row r="4223" spans="1:3" x14ac:dyDescent="0.25">
      <c r="A4223" s="48" t="s">
        <v>18802</v>
      </c>
      <c r="B4223" t="s">
        <v>21313</v>
      </c>
      <c r="C4223">
        <v>0</v>
      </c>
    </row>
    <row r="4224" spans="1:3" x14ac:dyDescent="0.25">
      <c r="A4224" s="48" t="s">
        <v>18806</v>
      </c>
      <c r="B4224" t="s">
        <v>21314</v>
      </c>
      <c r="C4224">
        <v>0</v>
      </c>
    </row>
    <row r="4225" spans="1:3" x14ac:dyDescent="0.25">
      <c r="A4225" s="48" t="s">
        <v>18800</v>
      </c>
      <c r="B4225" t="s">
        <v>21315</v>
      </c>
      <c r="C4225">
        <v>0</v>
      </c>
    </row>
    <row r="4226" spans="1:3" x14ac:dyDescent="0.25">
      <c r="A4226" s="48" t="s">
        <v>18794</v>
      </c>
      <c r="B4226" t="s">
        <v>21316</v>
      </c>
      <c r="C4226">
        <v>0</v>
      </c>
    </row>
    <row r="4227" spans="1:3" x14ac:dyDescent="0.25">
      <c r="A4227" s="48" t="s">
        <v>18788</v>
      </c>
      <c r="B4227" t="s">
        <v>21317</v>
      </c>
      <c r="C4227">
        <v>0</v>
      </c>
    </row>
    <row r="4228" spans="1:3" x14ac:dyDescent="0.25">
      <c r="A4228" s="48" t="s">
        <v>18784</v>
      </c>
      <c r="B4228" t="s">
        <v>21318</v>
      </c>
      <c r="C4228">
        <v>6</v>
      </c>
    </row>
    <row r="4229" spans="1:3" x14ac:dyDescent="0.25">
      <c r="A4229" s="48" t="s">
        <v>18786</v>
      </c>
      <c r="B4229" t="s">
        <v>21319</v>
      </c>
      <c r="C4229">
        <v>0</v>
      </c>
    </row>
    <row r="4230" spans="1:3" x14ac:dyDescent="0.25">
      <c r="A4230" s="48" t="s">
        <v>2269</v>
      </c>
      <c r="B4230" t="s">
        <v>21320</v>
      </c>
      <c r="C4230">
        <v>0</v>
      </c>
    </row>
    <row r="4231" spans="1:3" x14ac:dyDescent="0.25">
      <c r="A4231" s="48" t="s">
        <v>16524</v>
      </c>
      <c r="B4231" t="s">
        <v>21321</v>
      </c>
      <c r="C4231">
        <v>0</v>
      </c>
    </row>
    <row r="4232" spans="1:3" x14ac:dyDescent="0.25">
      <c r="A4232" s="48" t="s">
        <v>19861</v>
      </c>
      <c r="B4232" t="s">
        <v>19862</v>
      </c>
      <c r="C4232">
        <v>0</v>
      </c>
    </row>
    <row r="4233" spans="1:3" x14ac:dyDescent="0.25">
      <c r="A4233" s="48" t="s">
        <v>5635</v>
      </c>
      <c r="B4233" t="s">
        <v>5636</v>
      </c>
      <c r="C4233">
        <v>0</v>
      </c>
    </row>
    <row r="4234" spans="1:3" x14ac:dyDescent="0.25">
      <c r="A4234" s="48" t="s">
        <v>6138</v>
      </c>
      <c r="B4234" t="s">
        <v>21322</v>
      </c>
      <c r="C4234">
        <v>0</v>
      </c>
    </row>
    <row r="4235" spans="1:3" x14ac:dyDescent="0.25">
      <c r="A4235" s="48" t="s">
        <v>12751</v>
      </c>
      <c r="B4235" t="s">
        <v>21323</v>
      </c>
      <c r="C4235">
        <v>0</v>
      </c>
    </row>
    <row r="4236" spans="1:3" x14ac:dyDescent="0.25">
      <c r="A4236" s="48" t="s">
        <v>12759</v>
      </c>
      <c r="B4236" t="s">
        <v>21324</v>
      </c>
      <c r="C4236">
        <v>0</v>
      </c>
    </row>
    <row r="4237" spans="1:3" x14ac:dyDescent="0.25">
      <c r="A4237" s="48" t="s">
        <v>12757</v>
      </c>
      <c r="B4237" t="s">
        <v>21325</v>
      </c>
      <c r="C4237">
        <v>1</v>
      </c>
    </row>
    <row r="4238" spans="1:3" x14ac:dyDescent="0.25">
      <c r="A4238" s="48" t="s">
        <v>7084</v>
      </c>
      <c r="B4238" t="s">
        <v>7085</v>
      </c>
      <c r="C4238">
        <v>4</v>
      </c>
    </row>
    <row r="4239" spans="1:3" x14ac:dyDescent="0.25">
      <c r="A4239" s="48" t="s">
        <v>7082</v>
      </c>
      <c r="B4239" t="s">
        <v>7083</v>
      </c>
      <c r="C4239">
        <v>3</v>
      </c>
    </row>
    <row r="4240" spans="1:3" x14ac:dyDescent="0.25">
      <c r="A4240" s="48" t="s">
        <v>2502</v>
      </c>
      <c r="B4240" t="s">
        <v>2503</v>
      </c>
      <c r="C4240">
        <v>0</v>
      </c>
    </row>
    <row r="4241" spans="1:3" x14ac:dyDescent="0.25">
      <c r="A4241" s="48" t="s">
        <v>16372</v>
      </c>
      <c r="B4241" t="s">
        <v>21326</v>
      </c>
      <c r="C4241">
        <v>4</v>
      </c>
    </row>
    <row r="4242" spans="1:3" x14ac:dyDescent="0.25">
      <c r="A4242" s="48" t="s">
        <v>16125</v>
      </c>
      <c r="B4242" t="s">
        <v>16126</v>
      </c>
      <c r="C4242">
        <v>0</v>
      </c>
    </row>
    <row r="4243" spans="1:3" x14ac:dyDescent="0.25">
      <c r="A4243" s="48" t="s">
        <v>6430</v>
      </c>
      <c r="B4243" t="s">
        <v>6431</v>
      </c>
      <c r="C4243">
        <v>0</v>
      </c>
    </row>
    <row r="4244" spans="1:3" x14ac:dyDescent="0.25">
      <c r="A4244" s="48" t="s">
        <v>9782</v>
      </c>
      <c r="B4244" t="s">
        <v>9783</v>
      </c>
      <c r="C4244">
        <v>6</v>
      </c>
    </row>
    <row r="4245" spans="1:3" x14ac:dyDescent="0.25">
      <c r="A4245" s="48" t="s">
        <v>9790</v>
      </c>
      <c r="B4245" t="s">
        <v>9791</v>
      </c>
      <c r="C4245">
        <v>11</v>
      </c>
    </row>
    <row r="4246" spans="1:3" x14ac:dyDescent="0.25">
      <c r="A4246" s="48" t="s">
        <v>9786</v>
      </c>
      <c r="B4246" t="s">
        <v>9787</v>
      </c>
      <c r="C4246">
        <v>3</v>
      </c>
    </row>
    <row r="4247" spans="1:3" x14ac:dyDescent="0.25">
      <c r="A4247" s="48" t="s">
        <v>9784</v>
      </c>
      <c r="B4247" t="s">
        <v>9785</v>
      </c>
      <c r="C4247">
        <v>9</v>
      </c>
    </row>
    <row r="4248" spans="1:3" x14ac:dyDescent="0.25">
      <c r="A4248" s="48" t="s">
        <v>9788</v>
      </c>
      <c r="B4248" t="s">
        <v>9789</v>
      </c>
      <c r="C4248">
        <v>8</v>
      </c>
    </row>
    <row r="4249" spans="1:3" x14ac:dyDescent="0.25">
      <c r="A4249" s="48" t="s">
        <v>709</v>
      </c>
      <c r="B4249" t="s">
        <v>710</v>
      </c>
      <c r="C4249">
        <v>18</v>
      </c>
    </row>
    <row r="4250" spans="1:3" x14ac:dyDescent="0.25">
      <c r="A4250" s="48" t="s">
        <v>9766</v>
      </c>
      <c r="B4250" t="s">
        <v>9767</v>
      </c>
      <c r="C4250">
        <v>16</v>
      </c>
    </row>
    <row r="4251" spans="1:3" x14ac:dyDescent="0.25">
      <c r="A4251" s="48" t="s">
        <v>531</v>
      </c>
      <c r="B4251" t="s">
        <v>532</v>
      </c>
      <c r="C4251">
        <v>0</v>
      </c>
    </row>
    <row r="4252" spans="1:3" x14ac:dyDescent="0.25">
      <c r="A4252" s="48" t="s">
        <v>9774</v>
      </c>
      <c r="B4252" t="s">
        <v>9775</v>
      </c>
      <c r="C4252">
        <v>1</v>
      </c>
    </row>
    <row r="4253" spans="1:3" x14ac:dyDescent="0.25">
      <c r="A4253" s="48" t="s">
        <v>9762</v>
      </c>
      <c r="B4253" t="s">
        <v>9763</v>
      </c>
      <c r="C4253">
        <v>4</v>
      </c>
    </row>
    <row r="4254" spans="1:3" x14ac:dyDescent="0.25">
      <c r="A4254" s="48" t="s">
        <v>9764</v>
      </c>
      <c r="B4254" t="s">
        <v>9765</v>
      </c>
      <c r="C4254">
        <v>6</v>
      </c>
    </row>
    <row r="4255" spans="1:3" x14ac:dyDescent="0.25">
      <c r="A4255" s="48" t="s">
        <v>5509</v>
      </c>
      <c r="B4255" t="s">
        <v>5510</v>
      </c>
      <c r="C4255">
        <v>0</v>
      </c>
    </row>
    <row r="4256" spans="1:3" x14ac:dyDescent="0.25">
      <c r="A4256" s="48" t="s">
        <v>5535</v>
      </c>
      <c r="B4256" t="s">
        <v>5536</v>
      </c>
      <c r="C4256">
        <v>0</v>
      </c>
    </row>
    <row r="4257" spans="1:3" x14ac:dyDescent="0.25">
      <c r="A4257" s="48" t="s">
        <v>5541</v>
      </c>
      <c r="B4257" t="s">
        <v>5542</v>
      </c>
      <c r="C4257">
        <v>0</v>
      </c>
    </row>
    <row r="4258" spans="1:3" x14ac:dyDescent="0.25">
      <c r="A4258" s="48" t="s">
        <v>5579</v>
      </c>
      <c r="B4258" t="s">
        <v>5580</v>
      </c>
      <c r="C4258">
        <v>0</v>
      </c>
    </row>
    <row r="4259" spans="1:3" x14ac:dyDescent="0.25">
      <c r="A4259" s="48" t="s">
        <v>5197</v>
      </c>
      <c r="B4259" t="s">
        <v>21327</v>
      </c>
      <c r="C4259">
        <v>0</v>
      </c>
    </row>
    <row r="4260" spans="1:3" x14ac:dyDescent="0.25">
      <c r="A4260" s="48" t="s">
        <v>5205</v>
      </c>
      <c r="B4260" t="s">
        <v>21328</v>
      </c>
      <c r="C4260">
        <v>0</v>
      </c>
    </row>
    <row r="4261" spans="1:3" x14ac:dyDescent="0.25">
      <c r="A4261" s="48" t="s">
        <v>5211</v>
      </c>
      <c r="B4261" t="s">
        <v>21329</v>
      </c>
      <c r="C4261">
        <v>0</v>
      </c>
    </row>
    <row r="4262" spans="1:3" x14ac:dyDescent="0.25">
      <c r="A4262" s="48" t="s">
        <v>5217</v>
      </c>
      <c r="B4262" t="s">
        <v>21330</v>
      </c>
      <c r="C4262">
        <v>0</v>
      </c>
    </row>
    <row r="4263" spans="1:3" x14ac:dyDescent="0.25">
      <c r="A4263" s="48" t="s">
        <v>5223</v>
      </c>
      <c r="B4263" t="s">
        <v>21331</v>
      </c>
      <c r="C4263">
        <v>0</v>
      </c>
    </row>
    <row r="4264" spans="1:3" x14ac:dyDescent="0.25">
      <c r="A4264" s="48" t="s">
        <v>5229</v>
      </c>
      <c r="B4264" t="s">
        <v>21332</v>
      </c>
      <c r="C4264">
        <v>0</v>
      </c>
    </row>
    <row r="4265" spans="1:3" x14ac:dyDescent="0.25">
      <c r="A4265" s="48" t="s">
        <v>5243</v>
      </c>
      <c r="B4265" t="s">
        <v>5244</v>
      </c>
      <c r="C4265">
        <v>0</v>
      </c>
    </row>
    <row r="4266" spans="1:3" x14ac:dyDescent="0.25">
      <c r="A4266" s="48" t="s">
        <v>5269</v>
      </c>
      <c r="B4266" t="s">
        <v>21333</v>
      </c>
      <c r="C4266">
        <v>0</v>
      </c>
    </row>
    <row r="4267" spans="1:3" x14ac:dyDescent="0.25">
      <c r="A4267" s="48" t="s">
        <v>5275</v>
      </c>
      <c r="B4267" t="s">
        <v>21334</v>
      </c>
      <c r="C4267">
        <v>0</v>
      </c>
    </row>
    <row r="4268" spans="1:3" x14ac:dyDescent="0.25">
      <c r="A4268" s="48" t="s">
        <v>5281</v>
      </c>
      <c r="B4268" t="s">
        <v>21335</v>
      </c>
      <c r="C4268">
        <v>0</v>
      </c>
    </row>
    <row r="4269" spans="1:3" x14ac:dyDescent="0.25">
      <c r="A4269" s="48" t="s">
        <v>5287</v>
      </c>
      <c r="B4269" t="s">
        <v>21336</v>
      </c>
      <c r="C4269">
        <v>0</v>
      </c>
    </row>
    <row r="4270" spans="1:3" x14ac:dyDescent="0.25">
      <c r="A4270" s="48" t="s">
        <v>5295</v>
      </c>
      <c r="B4270" t="s">
        <v>21337</v>
      </c>
      <c r="C4270">
        <v>0</v>
      </c>
    </row>
    <row r="4271" spans="1:3" x14ac:dyDescent="0.25">
      <c r="A4271" s="48" t="s">
        <v>5301</v>
      </c>
      <c r="B4271" t="s">
        <v>21338</v>
      </c>
      <c r="C4271">
        <v>0</v>
      </c>
    </row>
    <row r="4272" spans="1:3" x14ac:dyDescent="0.25">
      <c r="A4272" s="48" t="s">
        <v>8646</v>
      </c>
      <c r="B4272" t="s">
        <v>21339</v>
      </c>
      <c r="C4272">
        <v>0</v>
      </c>
    </row>
    <row r="4273" spans="1:3" x14ac:dyDescent="0.25">
      <c r="A4273" s="48" t="s">
        <v>14664</v>
      </c>
      <c r="B4273" t="s">
        <v>21340</v>
      </c>
      <c r="C4273">
        <v>0</v>
      </c>
    </row>
    <row r="4274" spans="1:3" x14ac:dyDescent="0.25">
      <c r="A4274" s="48" t="s">
        <v>18670</v>
      </c>
      <c r="B4274" t="s">
        <v>21341</v>
      </c>
      <c r="C4274">
        <v>0</v>
      </c>
    </row>
    <row r="4275" spans="1:3" x14ac:dyDescent="0.25">
      <c r="A4275" s="48" t="s">
        <v>2715</v>
      </c>
      <c r="B4275" t="s">
        <v>21342</v>
      </c>
      <c r="C4275">
        <v>0</v>
      </c>
    </row>
    <row r="4276" spans="1:3" x14ac:dyDescent="0.25">
      <c r="A4276" s="48" t="s">
        <v>2717</v>
      </c>
      <c r="B4276" t="s">
        <v>21343</v>
      </c>
      <c r="C4276">
        <v>0</v>
      </c>
    </row>
    <row r="4277" spans="1:3" x14ac:dyDescent="0.25">
      <c r="A4277" s="48" t="s">
        <v>2713</v>
      </c>
      <c r="B4277" t="s">
        <v>21344</v>
      </c>
      <c r="C4277">
        <v>0</v>
      </c>
    </row>
    <row r="4278" spans="1:3" x14ac:dyDescent="0.25">
      <c r="A4278" s="48" t="s">
        <v>17674</v>
      </c>
      <c r="B4278" t="s">
        <v>21345</v>
      </c>
      <c r="C4278">
        <v>2</v>
      </c>
    </row>
    <row r="4279" spans="1:3" x14ac:dyDescent="0.25">
      <c r="A4279" s="48" t="s">
        <v>5265</v>
      </c>
      <c r="B4279" t="s">
        <v>5266</v>
      </c>
      <c r="C4279">
        <v>0</v>
      </c>
    </row>
    <row r="4280" spans="1:3" x14ac:dyDescent="0.25">
      <c r="A4280" s="48" t="s">
        <v>5249</v>
      </c>
      <c r="B4280" t="s">
        <v>21346</v>
      </c>
      <c r="C4280">
        <v>0</v>
      </c>
    </row>
    <row r="4281" spans="1:3" x14ac:dyDescent="0.25">
      <c r="A4281" s="48" t="s">
        <v>5253</v>
      </c>
      <c r="B4281" t="s">
        <v>21347</v>
      </c>
      <c r="C4281">
        <v>4</v>
      </c>
    </row>
    <row r="4282" spans="1:3" x14ac:dyDescent="0.25">
      <c r="A4282" s="48" t="s">
        <v>5251</v>
      </c>
      <c r="B4282" t="s">
        <v>5252</v>
      </c>
      <c r="C4282">
        <v>0</v>
      </c>
    </row>
    <row r="4283" spans="1:3" x14ac:dyDescent="0.25">
      <c r="A4283" s="48" t="s">
        <v>5239</v>
      </c>
      <c r="B4283" t="s">
        <v>21348</v>
      </c>
      <c r="C4283">
        <v>0</v>
      </c>
    </row>
    <row r="4284" spans="1:3" x14ac:dyDescent="0.25">
      <c r="A4284" s="48" t="s">
        <v>17234</v>
      </c>
      <c r="B4284" t="s">
        <v>21349</v>
      </c>
      <c r="C4284">
        <v>2</v>
      </c>
    </row>
    <row r="4285" spans="1:3" x14ac:dyDescent="0.25">
      <c r="A4285" s="48" t="s">
        <v>14219</v>
      </c>
      <c r="B4285" t="s">
        <v>21350</v>
      </c>
      <c r="C4285">
        <v>0</v>
      </c>
    </row>
    <row r="4286" spans="1:3" x14ac:dyDescent="0.25">
      <c r="A4286" s="48" t="s">
        <v>18850</v>
      </c>
      <c r="B4286" t="s">
        <v>21351</v>
      </c>
      <c r="C4286">
        <v>0</v>
      </c>
    </row>
    <row r="4287" spans="1:3" x14ac:dyDescent="0.25">
      <c r="A4287" s="48" t="s">
        <v>14201</v>
      </c>
      <c r="B4287" t="s">
        <v>21352</v>
      </c>
      <c r="C4287">
        <v>0</v>
      </c>
    </row>
    <row r="4288" spans="1:3" x14ac:dyDescent="0.25">
      <c r="A4288" s="48" t="s">
        <v>14203</v>
      </c>
      <c r="B4288" t="s">
        <v>21353</v>
      </c>
      <c r="C4288">
        <v>0</v>
      </c>
    </row>
    <row r="4289" spans="1:3" x14ac:dyDescent="0.25">
      <c r="A4289" s="48" t="s">
        <v>12980</v>
      </c>
      <c r="B4289" t="s">
        <v>21354</v>
      </c>
      <c r="C4289">
        <v>0</v>
      </c>
    </row>
    <row r="4290" spans="1:3" x14ac:dyDescent="0.25">
      <c r="A4290" s="48" t="s">
        <v>14217</v>
      </c>
      <c r="B4290" t="s">
        <v>21355</v>
      </c>
      <c r="C4290">
        <v>0</v>
      </c>
    </row>
    <row r="4291" spans="1:3" x14ac:dyDescent="0.25">
      <c r="A4291" s="48" t="s">
        <v>5943</v>
      </c>
      <c r="B4291" t="s">
        <v>21356</v>
      </c>
      <c r="C4291">
        <v>0</v>
      </c>
    </row>
    <row r="4292" spans="1:3" x14ac:dyDescent="0.25">
      <c r="A4292" s="48" t="s">
        <v>4687</v>
      </c>
      <c r="B4292" t="s">
        <v>21357</v>
      </c>
      <c r="C4292">
        <v>8</v>
      </c>
    </row>
    <row r="4293" spans="1:3" x14ac:dyDescent="0.25">
      <c r="A4293" s="48" t="s">
        <v>12153</v>
      </c>
      <c r="B4293" t="s">
        <v>21358</v>
      </c>
      <c r="C4293">
        <v>1</v>
      </c>
    </row>
    <row r="4294" spans="1:3" x14ac:dyDescent="0.25">
      <c r="A4294" s="48" t="s">
        <v>14604</v>
      </c>
      <c r="B4294" t="s">
        <v>21359</v>
      </c>
      <c r="C4294">
        <v>0</v>
      </c>
    </row>
    <row r="4295" spans="1:3" x14ac:dyDescent="0.25">
      <c r="A4295" s="48" t="s">
        <v>5435</v>
      </c>
      <c r="B4295" t="s">
        <v>21360</v>
      </c>
      <c r="C4295">
        <v>0</v>
      </c>
    </row>
    <row r="4296" spans="1:3" x14ac:dyDescent="0.25">
      <c r="A4296" s="48" t="s">
        <v>5437</v>
      </c>
      <c r="B4296" t="s">
        <v>21361</v>
      </c>
      <c r="C4296">
        <v>0</v>
      </c>
    </row>
    <row r="4297" spans="1:3" x14ac:dyDescent="0.25">
      <c r="A4297" s="48" t="s">
        <v>5429</v>
      </c>
      <c r="B4297" t="s">
        <v>21362</v>
      </c>
      <c r="C4297">
        <v>0</v>
      </c>
    </row>
    <row r="4298" spans="1:3" x14ac:dyDescent="0.25">
      <c r="A4298" s="48" t="s">
        <v>5431</v>
      </c>
      <c r="B4298" t="s">
        <v>21363</v>
      </c>
      <c r="C4298">
        <v>0</v>
      </c>
    </row>
    <row r="4299" spans="1:3" x14ac:dyDescent="0.25">
      <c r="A4299" s="48" t="s">
        <v>5433</v>
      </c>
      <c r="B4299" t="s">
        <v>21364</v>
      </c>
      <c r="C4299">
        <v>0</v>
      </c>
    </row>
    <row r="4300" spans="1:3" x14ac:dyDescent="0.25">
      <c r="A4300" s="48" t="s">
        <v>7158</v>
      </c>
      <c r="B4300" t="s">
        <v>21365</v>
      </c>
      <c r="C4300">
        <v>0</v>
      </c>
    </row>
    <row r="4301" spans="1:3" x14ac:dyDescent="0.25">
      <c r="A4301" s="48" t="s">
        <v>6565</v>
      </c>
      <c r="B4301" t="s">
        <v>21366</v>
      </c>
      <c r="C4301">
        <v>0</v>
      </c>
    </row>
    <row r="4302" spans="1:3" x14ac:dyDescent="0.25">
      <c r="A4302" s="48" t="s">
        <v>16362</v>
      </c>
      <c r="B4302" t="s">
        <v>21367</v>
      </c>
      <c r="C4302">
        <v>0</v>
      </c>
    </row>
    <row r="4303" spans="1:3" x14ac:dyDescent="0.25">
      <c r="A4303" s="48" t="s">
        <v>7798</v>
      </c>
      <c r="B4303" t="s">
        <v>21368</v>
      </c>
      <c r="C4303">
        <v>0</v>
      </c>
    </row>
    <row r="4304" spans="1:3" x14ac:dyDescent="0.25">
      <c r="A4304" s="48" t="s">
        <v>5004</v>
      </c>
      <c r="B4304" t="s">
        <v>21369</v>
      </c>
      <c r="C4304">
        <v>7</v>
      </c>
    </row>
    <row r="4305" spans="1:3" x14ac:dyDescent="0.25">
      <c r="A4305" s="48" t="s">
        <v>4683</v>
      </c>
      <c r="B4305" t="s">
        <v>21370</v>
      </c>
      <c r="C4305">
        <v>0</v>
      </c>
    </row>
    <row r="4306" spans="1:3" x14ac:dyDescent="0.25">
      <c r="A4306" s="48" t="s">
        <v>4691</v>
      </c>
      <c r="B4306" t="s">
        <v>21371</v>
      </c>
      <c r="C4306">
        <v>0</v>
      </c>
    </row>
    <row r="4307" spans="1:3" x14ac:dyDescent="0.25">
      <c r="A4307" s="48" t="s">
        <v>16352</v>
      </c>
      <c r="B4307" t="s">
        <v>21372</v>
      </c>
      <c r="C4307">
        <v>0</v>
      </c>
    </row>
    <row r="4308" spans="1:3" x14ac:dyDescent="0.25">
      <c r="A4308" s="48" t="s">
        <v>5006</v>
      </c>
      <c r="B4308" t="s">
        <v>21373</v>
      </c>
      <c r="C4308">
        <v>6</v>
      </c>
    </row>
    <row r="4309" spans="1:3" x14ac:dyDescent="0.25">
      <c r="A4309" s="48" t="s">
        <v>16350</v>
      </c>
      <c r="B4309" t="s">
        <v>21374</v>
      </c>
      <c r="C4309">
        <v>0</v>
      </c>
    </row>
    <row r="4310" spans="1:3" x14ac:dyDescent="0.25">
      <c r="A4310" s="48" t="s">
        <v>4976</v>
      </c>
      <c r="B4310" t="s">
        <v>21375</v>
      </c>
      <c r="C4310">
        <v>0</v>
      </c>
    </row>
    <row r="4311" spans="1:3" x14ac:dyDescent="0.25">
      <c r="A4311" s="48" t="s">
        <v>4978</v>
      </c>
      <c r="B4311" t="s">
        <v>21376</v>
      </c>
      <c r="C4311">
        <v>0</v>
      </c>
    </row>
    <row r="4312" spans="1:3" x14ac:dyDescent="0.25">
      <c r="A4312" s="48" t="s">
        <v>5020</v>
      </c>
      <c r="B4312" t="s">
        <v>21377</v>
      </c>
      <c r="C4312">
        <v>0</v>
      </c>
    </row>
    <row r="4313" spans="1:3" x14ac:dyDescent="0.25">
      <c r="A4313" s="48" t="s">
        <v>14706</v>
      </c>
      <c r="B4313" t="s">
        <v>21378</v>
      </c>
      <c r="C4313">
        <v>0</v>
      </c>
    </row>
    <row r="4314" spans="1:3" x14ac:dyDescent="0.25">
      <c r="A4314" s="48" t="s">
        <v>18808</v>
      </c>
      <c r="B4314" t="s">
        <v>21379</v>
      </c>
      <c r="C4314">
        <v>0</v>
      </c>
    </row>
    <row r="4315" spans="1:3" x14ac:dyDescent="0.25">
      <c r="A4315" s="48" t="s">
        <v>9036</v>
      </c>
      <c r="B4315" t="s">
        <v>21380</v>
      </c>
      <c r="C4315">
        <v>3</v>
      </c>
    </row>
    <row r="4316" spans="1:3" x14ac:dyDescent="0.25">
      <c r="A4316" s="48" t="s">
        <v>11642</v>
      </c>
      <c r="B4316" t="s">
        <v>21381</v>
      </c>
      <c r="C4316">
        <v>1</v>
      </c>
    </row>
    <row r="4317" spans="1:3" x14ac:dyDescent="0.25">
      <c r="A4317" s="48" t="s">
        <v>7800</v>
      </c>
      <c r="B4317" t="s">
        <v>21382</v>
      </c>
      <c r="C4317">
        <v>2</v>
      </c>
    </row>
    <row r="4318" spans="1:3" x14ac:dyDescent="0.25">
      <c r="A4318" s="48" t="s">
        <v>7152</v>
      </c>
      <c r="B4318" t="s">
        <v>21383</v>
      </c>
      <c r="C4318">
        <v>7</v>
      </c>
    </row>
    <row r="4319" spans="1:3" x14ac:dyDescent="0.25">
      <c r="A4319" s="48" t="s">
        <v>6581</v>
      </c>
      <c r="B4319" t="s">
        <v>21384</v>
      </c>
      <c r="C4319">
        <v>0</v>
      </c>
    </row>
    <row r="4320" spans="1:3" x14ac:dyDescent="0.25">
      <c r="A4320" s="48" t="s">
        <v>6549</v>
      </c>
      <c r="B4320" t="s">
        <v>21385</v>
      </c>
      <c r="C4320">
        <v>3</v>
      </c>
    </row>
    <row r="4321" spans="1:3" x14ac:dyDescent="0.25">
      <c r="A4321" s="48" t="s">
        <v>6585</v>
      </c>
      <c r="B4321" t="s">
        <v>21386</v>
      </c>
      <c r="C4321">
        <v>0</v>
      </c>
    </row>
    <row r="4322" spans="1:3" x14ac:dyDescent="0.25">
      <c r="A4322" s="48" t="s">
        <v>6545</v>
      </c>
      <c r="B4322" t="s">
        <v>21387</v>
      </c>
      <c r="C4322">
        <v>5</v>
      </c>
    </row>
    <row r="4323" spans="1:3" x14ac:dyDescent="0.25">
      <c r="A4323" s="48" t="s">
        <v>6537</v>
      </c>
      <c r="B4323" t="s">
        <v>21388</v>
      </c>
      <c r="C4323">
        <v>0</v>
      </c>
    </row>
    <row r="4324" spans="1:3" x14ac:dyDescent="0.25">
      <c r="A4324" s="48" t="s">
        <v>6557</v>
      </c>
      <c r="B4324" t="s">
        <v>21389</v>
      </c>
      <c r="C4324">
        <v>0</v>
      </c>
    </row>
    <row r="4325" spans="1:3" x14ac:dyDescent="0.25">
      <c r="A4325" s="48" t="s">
        <v>6541</v>
      </c>
      <c r="B4325" t="s">
        <v>21390</v>
      </c>
      <c r="C4325">
        <v>0</v>
      </c>
    </row>
    <row r="4326" spans="1:3" x14ac:dyDescent="0.25">
      <c r="A4326" s="48" t="s">
        <v>6577</v>
      </c>
      <c r="B4326" t="s">
        <v>21391</v>
      </c>
      <c r="C4326">
        <v>4</v>
      </c>
    </row>
    <row r="4327" spans="1:3" x14ac:dyDescent="0.25">
      <c r="A4327" s="48" t="s">
        <v>6553</v>
      </c>
      <c r="B4327" t="s">
        <v>21392</v>
      </c>
      <c r="C4327">
        <v>0</v>
      </c>
    </row>
    <row r="4328" spans="1:3" x14ac:dyDescent="0.25">
      <c r="A4328" s="48" t="s">
        <v>6561</v>
      </c>
      <c r="B4328" t="s">
        <v>21393</v>
      </c>
      <c r="C4328">
        <v>0</v>
      </c>
    </row>
    <row r="4329" spans="1:3" x14ac:dyDescent="0.25">
      <c r="A4329" s="48" t="s">
        <v>6573</v>
      </c>
      <c r="B4329" t="s">
        <v>21394</v>
      </c>
      <c r="C4329">
        <v>0</v>
      </c>
    </row>
    <row r="4330" spans="1:3" x14ac:dyDescent="0.25">
      <c r="A4330" s="48" t="s">
        <v>6569</v>
      </c>
      <c r="B4330" t="s">
        <v>21395</v>
      </c>
      <c r="C4330">
        <v>0</v>
      </c>
    </row>
    <row r="4331" spans="1:3" x14ac:dyDescent="0.25">
      <c r="A4331" s="48" t="s">
        <v>16906</v>
      </c>
      <c r="B4331" t="s">
        <v>21396</v>
      </c>
      <c r="C4331">
        <v>0</v>
      </c>
    </row>
    <row r="4332" spans="1:3" x14ac:dyDescent="0.25">
      <c r="A4332" s="48" t="s">
        <v>14199</v>
      </c>
      <c r="B4332" t="s">
        <v>21397</v>
      </c>
      <c r="C4332">
        <v>0</v>
      </c>
    </row>
    <row r="4333" spans="1:3" x14ac:dyDescent="0.25">
      <c r="A4333" s="48" t="s">
        <v>6159</v>
      </c>
      <c r="B4333" t="s">
        <v>21398</v>
      </c>
      <c r="C4333">
        <v>1</v>
      </c>
    </row>
    <row r="4334" spans="1:3" x14ac:dyDescent="0.25">
      <c r="A4334" s="48" t="s">
        <v>14250</v>
      </c>
      <c r="B4334" t="s">
        <v>14251</v>
      </c>
      <c r="C4334">
        <v>0</v>
      </c>
    </row>
    <row r="4335" spans="1:3" x14ac:dyDescent="0.25">
      <c r="A4335" s="48" t="s">
        <v>6124</v>
      </c>
      <c r="B4335" t="s">
        <v>21399</v>
      </c>
      <c r="C4335">
        <v>0</v>
      </c>
    </row>
    <row r="4336" spans="1:3" x14ac:dyDescent="0.25">
      <c r="A4336" s="48" t="s">
        <v>7156</v>
      </c>
      <c r="B4336" t="s">
        <v>21400</v>
      </c>
      <c r="C4336">
        <v>0</v>
      </c>
    </row>
    <row r="4337" spans="1:3" x14ac:dyDescent="0.25">
      <c r="A4337" s="48" t="s">
        <v>17262</v>
      </c>
      <c r="B4337" t="s">
        <v>21401</v>
      </c>
      <c r="C4337">
        <v>4</v>
      </c>
    </row>
    <row r="4338" spans="1:3" x14ac:dyDescent="0.25">
      <c r="A4338" s="48" t="s">
        <v>17264</v>
      </c>
      <c r="B4338" t="s">
        <v>21402</v>
      </c>
      <c r="C4338">
        <v>0</v>
      </c>
    </row>
    <row r="4339" spans="1:3" x14ac:dyDescent="0.25">
      <c r="A4339" s="48" t="s">
        <v>18658</v>
      </c>
      <c r="B4339" t="s">
        <v>21403</v>
      </c>
      <c r="C4339">
        <v>0</v>
      </c>
    </row>
    <row r="4340" spans="1:3" x14ac:dyDescent="0.25">
      <c r="A4340" s="48" t="s">
        <v>4685</v>
      </c>
      <c r="B4340" t="s">
        <v>21404</v>
      </c>
      <c r="C4340">
        <v>0</v>
      </c>
    </row>
    <row r="4341" spans="1:3" x14ac:dyDescent="0.25">
      <c r="A4341" s="48" t="s">
        <v>5345</v>
      </c>
      <c r="B4341" t="s">
        <v>5346</v>
      </c>
      <c r="C4341">
        <v>4</v>
      </c>
    </row>
    <row r="4342" spans="1:3" x14ac:dyDescent="0.25">
      <c r="A4342" s="48" t="s">
        <v>17969</v>
      </c>
      <c r="B4342" t="s">
        <v>21405</v>
      </c>
      <c r="C4342">
        <v>8</v>
      </c>
    </row>
    <row r="4343" spans="1:3" x14ac:dyDescent="0.25">
      <c r="A4343" s="48" t="s">
        <v>17971</v>
      </c>
      <c r="B4343" t="s">
        <v>21406</v>
      </c>
      <c r="C4343">
        <v>0</v>
      </c>
    </row>
    <row r="4344" spans="1:3" x14ac:dyDescent="0.25">
      <c r="A4344" s="48" t="s">
        <v>17977</v>
      </c>
      <c r="B4344" t="s">
        <v>21407</v>
      </c>
      <c r="C4344">
        <v>11</v>
      </c>
    </row>
    <row r="4345" spans="1:3" x14ac:dyDescent="0.25">
      <c r="A4345" s="48" t="s">
        <v>17979</v>
      </c>
      <c r="B4345" t="s">
        <v>21408</v>
      </c>
      <c r="C4345">
        <v>0</v>
      </c>
    </row>
    <row r="4346" spans="1:3" x14ac:dyDescent="0.25">
      <c r="A4346" s="48" t="s">
        <v>17965</v>
      </c>
      <c r="B4346" t="s">
        <v>21409</v>
      </c>
      <c r="C4346">
        <v>0</v>
      </c>
    </row>
    <row r="4347" spans="1:3" x14ac:dyDescent="0.25">
      <c r="A4347" s="48" t="s">
        <v>17967</v>
      </c>
      <c r="B4347" t="s">
        <v>21410</v>
      </c>
      <c r="C4347">
        <v>0</v>
      </c>
    </row>
    <row r="4348" spans="1:3" x14ac:dyDescent="0.25">
      <c r="A4348" s="48" t="s">
        <v>10173</v>
      </c>
      <c r="B4348" t="s">
        <v>21411</v>
      </c>
      <c r="C4348">
        <v>12</v>
      </c>
    </row>
    <row r="4349" spans="1:3" x14ac:dyDescent="0.25">
      <c r="A4349" s="48" t="s">
        <v>10177</v>
      </c>
      <c r="B4349" t="s">
        <v>21412</v>
      </c>
      <c r="C4349">
        <v>20</v>
      </c>
    </row>
    <row r="4350" spans="1:3" x14ac:dyDescent="0.25">
      <c r="A4350" s="48" t="s">
        <v>12901</v>
      </c>
      <c r="B4350" t="s">
        <v>12902</v>
      </c>
      <c r="C4350">
        <v>0</v>
      </c>
    </row>
    <row r="4351" spans="1:3" x14ac:dyDescent="0.25">
      <c r="A4351" s="48" t="s">
        <v>6579</v>
      </c>
      <c r="B4351" t="s">
        <v>21413</v>
      </c>
      <c r="C4351">
        <v>0</v>
      </c>
    </row>
    <row r="4352" spans="1:3" x14ac:dyDescent="0.25">
      <c r="A4352" s="48" t="s">
        <v>6547</v>
      </c>
      <c r="B4352" t="s">
        <v>21414</v>
      </c>
      <c r="C4352">
        <v>0</v>
      </c>
    </row>
    <row r="4353" spans="1:3" x14ac:dyDescent="0.25">
      <c r="A4353" s="48" t="s">
        <v>6583</v>
      </c>
      <c r="B4353" t="s">
        <v>21415</v>
      </c>
      <c r="C4353">
        <v>0</v>
      </c>
    </row>
    <row r="4354" spans="1:3" x14ac:dyDescent="0.25">
      <c r="A4354" s="48" t="s">
        <v>6543</v>
      </c>
      <c r="B4354" t="s">
        <v>21416</v>
      </c>
      <c r="C4354">
        <v>3</v>
      </c>
    </row>
    <row r="4355" spans="1:3" x14ac:dyDescent="0.25">
      <c r="A4355" s="48" t="s">
        <v>6535</v>
      </c>
      <c r="B4355" t="s">
        <v>21417</v>
      </c>
      <c r="C4355">
        <v>3</v>
      </c>
    </row>
    <row r="4356" spans="1:3" x14ac:dyDescent="0.25">
      <c r="A4356" s="48" t="s">
        <v>6555</v>
      </c>
      <c r="B4356" t="s">
        <v>21418</v>
      </c>
      <c r="C4356">
        <v>0</v>
      </c>
    </row>
    <row r="4357" spans="1:3" x14ac:dyDescent="0.25">
      <c r="A4357" s="48" t="s">
        <v>6539</v>
      </c>
      <c r="B4357" t="s">
        <v>21419</v>
      </c>
      <c r="C4357">
        <v>4</v>
      </c>
    </row>
    <row r="4358" spans="1:3" x14ac:dyDescent="0.25">
      <c r="A4358" s="48" t="s">
        <v>6575</v>
      </c>
      <c r="B4358" t="s">
        <v>21420</v>
      </c>
      <c r="C4358">
        <v>0</v>
      </c>
    </row>
    <row r="4359" spans="1:3" x14ac:dyDescent="0.25">
      <c r="A4359" s="48" t="s">
        <v>6551</v>
      </c>
      <c r="B4359" t="s">
        <v>21421</v>
      </c>
      <c r="C4359">
        <v>0</v>
      </c>
    </row>
    <row r="4360" spans="1:3" x14ac:dyDescent="0.25">
      <c r="A4360" s="48" t="s">
        <v>6559</v>
      </c>
      <c r="B4360" t="s">
        <v>21422</v>
      </c>
      <c r="C4360">
        <v>3</v>
      </c>
    </row>
    <row r="4361" spans="1:3" x14ac:dyDescent="0.25">
      <c r="A4361" s="48" t="s">
        <v>6571</v>
      </c>
      <c r="B4361" t="s">
        <v>21423</v>
      </c>
      <c r="C4361">
        <v>0</v>
      </c>
    </row>
    <row r="4362" spans="1:3" x14ac:dyDescent="0.25">
      <c r="A4362" s="48" t="s">
        <v>6567</v>
      </c>
      <c r="B4362" t="s">
        <v>21424</v>
      </c>
      <c r="C4362">
        <v>0</v>
      </c>
    </row>
    <row r="4363" spans="1:3" x14ac:dyDescent="0.25">
      <c r="A4363" s="48" t="s">
        <v>6563</v>
      </c>
      <c r="B4363" t="s">
        <v>21425</v>
      </c>
      <c r="C4363">
        <v>0</v>
      </c>
    </row>
    <row r="4364" spans="1:3" x14ac:dyDescent="0.25">
      <c r="A4364" s="48" t="s">
        <v>2388</v>
      </c>
      <c r="B4364" t="s">
        <v>2389</v>
      </c>
      <c r="C4364">
        <v>0</v>
      </c>
    </row>
    <row r="4365" spans="1:3" x14ac:dyDescent="0.25">
      <c r="A4365" s="48" t="s">
        <v>2486</v>
      </c>
      <c r="B4365" t="s">
        <v>2487</v>
      </c>
      <c r="C4365">
        <v>0</v>
      </c>
    </row>
    <row r="4366" spans="1:3" x14ac:dyDescent="0.25">
      <c r="A4366" s="48" t="s">
        <v>2410</v>
      </c>
      <c r="B4366" t="s">
        <v>2411</v>
      </c>
      <c r="C4366">
        <v>24</v>
      </c>
    </row>
    <row r="4367" spans="1:3" x14ac:dyDescent="0.25">
      <c r="A4367" s="48" t="s">
        <v>8405</v>
      </c>
      <c r="B4367" t="s">
        <v>21426</v>
      </c>
      <c r="C4367">
        <v>0</v>
      </c>
    </row>
    <row r="4368" spans="1:3" x14ac:dyDescent="0.25">
      <c r="A4368" s="48" t="s">
        <v>7941</v>
      </c>
      <c r="B4368" t="s">
        <v>21427</v>
      </c>
      <c r="C4368">
        <v>0</v>
      </c>
    </row>
    <row r="4369" spans="1:3" x14ac:dyDescent="0.25">
      <c r="A4369" s="48" t="s">
        <v>8403</v>
      </c>
      <c r="B4369" t="s">
        <v>21428</v>
      </c>
      <c r="C4369">
        <v>0</v>
      </c>
    </row>
    <row r="4370" spans="1:3" x14ac:dyDescent="0.25">
      <c r="A4370" s="48" t="s">
        <v>10341</v>
      </c>
      <c r="B4370" t="s">
        <v>21429</v>
      </c>
      <c r="C4370">
        <v>0</v>
      </c>
    </row>
    <row r="4371" spans="1:3" x14ac:dyDescent="0.25">
      <c r="A4371" s="48" t="s">
        <v>7997</v>
      </c>
      <c r="B4371" t="s">
        <v>21430</v>
      </c>
      <c r="C4371">
        <v>0</v>
      </c>
    </row>
    <row r="4372" spans="1:3" x14ac:dyDescent="0.25">
      <c r="A4372" s="48" t="s">
        <v>5335</v>
      </c>
      <c r="B4372" t="s">
        <v>21431</v>
      </c>
      <c r="C4372">
        <v>5</v>
      </c>
    </row>
    <row r="4373" spans="1:3" x14ac:dyDescent="0.25">
      <c r="A4373" s="48" t="s">
        <v>18702</v>
      </c>
      <c r="B4373" t="s">
        <v>21432</v>
      </c>
      <c r="C4373">
        <v>0</v>
      </c>
    </row>
    <row r="4374" spans="1:3" x14ac:dyDescent="0.25">
      <c r="A4374" s="48" t="s">
        <v>18696</v>
      </c>
      <c r="B4374" t="s">
        <v>21433</v>
      </c>
      <c r="C4374">
        <v>21</v>
      </c>
    </row>
    <row r="4375" spans="1:3" x14ac:dyDescent="0.25">
      <c r="A4375" s="48" t="s">
        <v>18750</v>
      </c>
      <c r="B4375" t="s">
        <v>21434</v>
      </c>
      <c r="C4375">
        <v>3</v>
      </c>
    </row>
    <row r="4376" spans="1:3" x14ac:dyDescent="0.25">
      <c r="A4376" s="48" t="s">
        <v>16534</v>
      </c>
      <c r="B4376" t="s">
        <v>21435</v>
      </c>
      <c r="C4376">
        <v>0</v>
      </c>
    </row>
    <row r="4377" spans="1:3" x14ac:dyDescent="0.25">
      <c r="A4377" s="48" t="s">
        <v>8433</v>
      </c>
      <c r="B4377" t="s">
        <v>21436</v>
      </c>
      <c r="C4377">
        <v>0</v>
      </c>
    </row>
    <row r="4378" spans="1:3" x14ac:dyDescent="0.25">
      <c r="A4378" s="48" t="s">
        <v>3331</v>
      </c>
      <c r="B4378" t="s">
        <v>21437</v>
      </c>
      <c r="C4378">
        <v>4</v>
      </c>
    </row>
    <row r="4379" spans="1:3" x14ac:dyDescent="0.25">
      <c r="A4379" s="48" t="s">
        <v>3333</v>
      </c>
      <c r="B4379" t="s">
        <v>21438</v>
      </c>
      <c r="C4379">
        <v>0</v>
      </c>
    </row>
    <row r="4380" spans="1:3" x14ac:dyDescent="0.25">
      <c r="A4380" s="48" t="s">
        <v>5333</v>
      </c>
      <c r="B4380" t="s">
        <v>21439</v>
      </c>
      <c r="C4380">
        <v>0</v>
      </c>
    </row>
    <row r="4381" spans="1:3" x14ac:dyDescent="0.25">
      <c r="A4381" s="48" t="s">
        <v>10367</v>
      </c>
      <c r="B4381" t="s">
        <v>21440</v>
      </c>
      <c r="C4381">
        <v>0</v>
      </c>
    </row>
    <row r="4382" spans="1:3" x14ac:dyDescent="0.25">
      <c r="A4382" s="48" t="s">
        <v>18774</v>
      </c>
      <c r="B4382" t="s">
        <v>21441</v>
      </c>
      <c r="C4382">
        <v>0</v>
      </c>
    </row>
    <row r="4383" spans="1:3" x14ac:dyDescent="0.25">
      <c r="A4383" s="48" t="s">
        <v>18660</v>
      </c>
      <c r="B4383" t="s">
        <v>21442</v>
      </c>
      <c r="C4383">
        <v>0</v>
      </c>
    </row>
    <row r="4384" spans="1:3" x14ac:dyDescent="0.25">
      <c r="A4384" s="48" t="s">
        <v>5329</v>
      </c>
      <c r="B4384" t="s">
        <v>21443</v>
      </c>
      <c r="C4384">
        <v>0</v>
      </c>
    </row>
    <row r="4385" spans="1:3" x14ac:dyDescent="0.25">
      <c r="A4385" s="48" t="s">
        <v>8399</v>
      </c>
      <c r="B4385" t="s">
        <v>21444</v>
      </c>
      <c r="C4385">
        <v>0</v>
      </c>
    </row>
    <row r="4386" spans="1:3" x14ac:dyDescent="0.25">
      <c r="A4386" s="48" t="s">
        <v>5913</v>
      </c>
      <c r="B4386" t="s">
        <v>21445</v>
      </c>
      <c r="C4386">
        <v>0</v>
      </c>
    </row>
    <row r="4387" spans="1:3" x14ac:dyDescent="0.25">
      <c r="A4387" s="48" t="s">
        <v>5331</v>
      </c>
      <c r="B4387" t="s">
        <v>21446</v>
      </c>
      <c r="C4387">
        <v>6</v>
      </c>
    </row>
    <row r="4388" spans="1:3" x14ac:dyDescent="0.25">
      <c r="A4388" s="48" t="s">
        <v>19742</v>
      </c>
      <c r="B4388" t="s">
        <v>21447</v>
      </c>
      <c r="C4388">
        <v>0</v>
      </c>
    </row>
    <row r="4389" spans="1:3" x14ac:dyDescent="0.25">
      <c r="A4389" s="48" t="s">
        <v>9514</v>
      </c>
      <c r="B4389" t="s">
        <v>9515</v>
      </c>
      <c r="C4389">
        <v>0</v>
      </c>
    </row>
    <row r="4390" spans="1:3" x14ac:dyDescent="0.25">
      <c r="A4390" s="48" t="s">
        <v>5637</v>
      </c>
      <c r="B4390" t="s">
        <v>5638</v>
      </c>
      <c r="C4390">
        <v>0</v>
      </c>
    </row>
    <row r="4391" spans="1:3" x14ac:dyDescent="0.25">
      <c r="A4391" s="48" t="s">
        <v>16115</v>
      </c>
      <c r="B4391" t="s">
        <v>16116</v>
      </c>
      <c r="C4391">
        <v>0</v>
      </c>
    </row>
    <row r="4392" spans="1:3" x14ac:dyDescent="0.25">
      <c r="A4392" s="48" t="s">
        <v>14521</v>
      </c>
      <c r="B4392" t="s">
        <v>14522</v>
      </c>
      <c r="C4392">
        <v>0</v>
      </c>
    </row>
    <row r="4393" spans="1:3" x14ac:dyDescent="0.25">
      <c r="A4393" s="48" t="s">
        <v>14519</v>
      </c>
      <c r="B4393" t="s">
        <v>14520</v>
      </c>
      <c r="C4393">
        <v>0</v>
      </c>
    </row>
    <row r="4394" spans="1:3" x14ac:dyDescent="0.25">
      <c r="A4394" s="48" t="s">
        <v>14523</v>
      </c>
      <c r="B4394" t="s">
        <v>14524</v>
      </c>
      <c r="C4394">
        <v>0</v>
      </c>
    </row>
    <row r="4395" spans="1:3" x14ac:dyDescent="0.25">
      <c r="A4395" s="48" t="s">
        <v>10221</v>
      </c>
      <c r="B4395" t="s">
        <v>10222</v>
      </c>
      <c r="C4395">
        <v>0</v>
      </c>
    </row>
    <row r="4396" spans="1:3" x14ac:dyDescent="0.25">
      <c r="A4396" s="48" t="s">
        <v>16117</v>
      </c>
      <c r="B4396" t="s">
        <v>16118</v>
      </c>
      <c r="C4396">
        <v>0</v>
      </c>
    </row>
    <row r="4397" spans="1:3" x14ac:dyDescent="0.25">
      <c r="A4397" s="48" t="s">
        <v>16119</v>
      </c>
      <c r="B4397" t="s">
        <v>16120</v>
      </c>
      <c r="C4397">
        <v>3</v>
      </c>
    </row>
    <row r="4398" spans="1:3" x14ac:dyDescent="0.25">
      <c r="A4398" s="48" t="s">
        <v>16127</v>
      </c>
      <c r="B4398" t="s">
        <v>16128</v>
      </c>
      <c r="C4398">
        <v>0</v>
      </c>
    </row>
    <row r="4399" spans="1:3" x14ac:dyDescent="0.25">
      <c r="A4399" s="48" t="s">
        <v>16131</v>
      </c>
      <c r="B4399" t="s">
        <v>16132</v>
      </c>
      <c r="C4399">
        <v>0</v>
      </c>
    </row>
    <row r="4400" spans="1:3" x14ac:dyDescent="0.25">
      <c r="A4400" s="48" t="s">
        <v>16133</v>
      </c>
      <c r="B4400" t="s">
        <v>16134</v>
      </c>
      <c r="C4400">
        <v>0</v>
      </c>
    </row>
    <row r="4401" spans="1:3" x14ac:dyDescent="0.25">
      <c r="A4401" s="48" t="s">
        <v>3353</v>
      </c>
      <c r="B4401" t="s">
        <v>3354</v>
      </c>
      <c r="C4401">
        <v>6</v>
      </c>
    </row>
    <row r="4402" spans="1:3" x14ac:dyDescent="0.25">
      <c r="A4402" s="48" t="s">
        <v>3355</v>
      </c>
      <c r="B4402" t="s">
        <v>3356</v>
      </c>
      <c r="C4402">
        <v>8</v>
      </c>
    </row>
    <row r="4403" spans="1:3" x14ac:dyDescent="0.25">
      <c r="A4403" s="48" t="s">
        <v>3357</v>
      </c>
      <c r="B4403" t="s">
        <v>3358</v>
      </c>
      <c r="C4403">
        <v>8</v>
      </c>
    </row>
    <row r="4404" spans="1:3" x14ac:dyDescent="0.25">
      <c r="A4404" s="48" t="s">
        <v>5961</v>
      </c>
      <c r="B4404" t="s">
        <v>5962</v>
      </c>
      <c r="C4404">
        <v>0</v>
      </c>
    </row>
    <row r="4405" spans="1:3" x14ac:dyDescent="0.25">
      <c r="A4405" s="48" t="s">
        <v>5963</v>
      </c>
      <c r="B4405" t="s">
        <v>5964</v>
      </c>
      <c r="C4405">
        <v>0</v>
      </c>
    </row>
    <row r="4406" spans="1:3" x14ac:dyDescent="0.25">
      <c r="A4406" s="48" t="s">
        <v>5957</v>
      </c>
      <c r="B4406" t="s">
        <v>5958</v>
      </c>
      <c r="C4406">
        <v>0</v>
      </c>
    </row>
    <row r="4407" spans="1:3" x14ac:dyDescent="0.25">
      <c r="A4407" s="48" t="s">
        <v>5959</v>
      </c>
      <c r="B4407" t="s">
        <v>5960</v>
      </c>
      <c r="C4407">
        <v>0</v>
      </c>
    </row>
    <row r="4408" spans="1:3" x14ac:dyDescent="0.25">
      <c r="A4408" s="48" t="s">
        <v>17124</v>
      </c>
      <c r="B4408" t="s">
        <v>21448</v>
      </c>
      <c r="C4408">
        <v>0</v>
      </c>
    </row>
    <row r="4409" spans="1:3" x14ac:dyDescent="0.25">
      <c r="A4409" s="48" t="s">
        <v>17116</v>
      </c>
      <c r="B4409" t="s">
        <v>21449</v>
      </c>
      <c r="C4409">
        <v>0</v>
      </c>
    </row>
    <row r="4410" spans="1:3" x14ac:dyDescent="0.25">
      <c r="A4410" s="48" t="s">
        <v>17126</v>
      </c>
      <c r="B4410" t="s">
        <v>21450</v>
      </c>
      <c r="C4410">
        <v>0</v>
      </c>
    </row>
    <row r="4411" spans="1:3" x14ac:dyDescent="0.25">
      <c r="A4411" s="48" t="s">
        <v>17122</v>
      </c>
      <c r="B4411" t="s">
        <v>21451</v>
      </c>
      <c r="C4411">
        <v>0</v>
      </c>
    </row>
    <row r="4412" spans="1:3" x14ac:dyDescent="0.25">
      <c r="A4412" s="48" t="s">
        <v>17118</v>
      </c>
      <c r="B4412" t="s">
        <v>21452</v>
      </c>
      <c r="C4412">
        <v>0</v>
      </c>
    </row>
    <row r="4413" spans="1:3" x14ac:dyDescent="0.25">
      <c r="A4413" s="48" t="s">
        <v>17128</v>
      </c>
      <c r="B4413" t="s">
        <v>21453</v>
      </c>
      <c r="C4413">
        <v>0</v>
      </c>
    </row>
    <row r="4414" spans="1:3" x14ac:dyDescent="0.25">
      <c r="A4414" s="48" t="s">
        <v>17108</v>
      </c>
      <c r="B4414" t="s">
        <v>21454</v>
      </c>
      <c r="C4414">
        <v>0</v>
      </c>
    </row>
    <row r="4415" spans="1:3" x14ac:dyDescent="0.25">
      <c r="A4415" s="48" t="s">
        <v>17120</v>
      </c>
      <c r="B4415" t="s">
        <v>21455</v>
      </c>
      <c r="C4415">
        <v>0</v>
      </c>
    </row>
    <row r="4416" spans="1:3" x14ac:dyDescent="0.25">
      <c r="A4416" s="48" t="s">
        <v>17104</v>
      </c>
      <c r="B4416" t="s">
        <v>21456</v>
      </c>
      <c r="C4416">
        <v>0</v>
      </c>
    </row>
    <row r="4417" spans="1:3" x14ac:dyDescent="0.25">
      <c r="A4417" s="48" t="s">
        <v>17110</v>
      </c>
      <c r="B4417" t="s">
        <v>21457</v>
      </c>
      <c r="C4417">
        <v>0</v>
      </c>
    </row>
    <row r="4418" spans="1:3" x14ac:dyDescent="0.25">
      <c r="A4418" s="48" t="s">
        <v>17106</v>
      </c>
      <c r="B4418" t="s">
        <v>21458</v>
      </c>
      <c r="C4418">
        <v>0</v>
      </c>
    </row>
    <row r="4419" spans="1:3" x14ac:dyDescent="0.25">
      <c r="A4419" s="48" t="s">
        <v>17112</v>
      </c>
      <c r="B4419" t="s">
        <v>21459</v>
      </c>
      <c r="C4419">
        <v>0</v>
      </c>
    </row>
    <row r="4420" spans="1:3" x14ac:dyDescent="0.25">
      <c r="A4420" s="48" t="s">
        <v>8834</v>
      </c>
      <c r="B4420" t="s">
        <v>21460</v>
      </c>
      <c r="C4420">
        <v>0</v>
      </c>
    </row>
    <row r="4421" spans="1:3" x14ac:dyDescent="0.25">
      <c r="A4421" s="48" t="s">
        <v>17114</v>
      </c>
      <c r="B4421" t="s">
        <v>21461</v>
      </c>
      <c r="C4421">
        <v>0</v>
      </c>
    </row>
    <row r="4422" spans="1:3" x14ac:dyDescent="0.25">
      <c r="A4422" s="48" t="s">
        <v>8832</v>
      </c>
      <c r="B4422" t="s">
        <v>21462</v>
      </c>
      <c r="C4422">
        <v>5</v>
      </c>
    </row>
    <row r="4423" spans="1:3" x14ac:dyDescent="0.25">
      <c r="A4423" s="48" t="s">
        <v>5469</v>
      </c>
      <c r="B4423" t="s">
        <v>5470</v>
      </c>
      <c r="C4423">
        <v>0</v>
      </c>
    </row>
    <row r="4424" spans="1:3" x14ac:dyDescent="0.25">
      <c r="A4424" s="48" t="s">
        <v>5443</v>
      </c>
      <c r="B4424" t="s">
        <v>21463</v>
      </c>
      <c r="C4424">
        <v>2</v>
      </c>
    </row>
    <row r="4425" spans="1:3" x14ac:dyDescent="0.25">
      <c r="A4425" s="48" t="s">
        <v>17734</v>
      </c>
      <c r="B4425" t="s">
        <v>17735</v>
      </c>
      <c r="C4425">
        <v>0</v>
      </c>
    </row>
    <row r="4426" spans="1:3" x14ac:dyDescent="0.25">
      <c r="A4426" s="48" t="s">
        <v>10335</v>
      </c>
      <c r="B4426" t="s">
        <v>21464</v>
      </c>
      <c r="C4426">
        <v>0</v>
      </c>
    </row>
    <row r="4427" spans="1:3" x14ac:dyDescent="0.25">
      <c r="A4427" s="48" t="s">
        <v>10337</v>
      </c>
      <c r="B4427" t="s">
        <v>21465</v>
      </c>
      <c r="C4427">
        <v>0</v>
      </c>
    </row>
    <row r="4428" spans="1:3" x14ac:dyDescent="0.25">
      <c r="A4428" s="48" t="s">
        <v>10339</v>
      </c>
      <c r="B4428" t="s">
        <v>21466</v>
      </c>
      <c r="C4428">
        <v>0</v>
      </c>
    </row>
    <row r="4429" spans="1:3" x14ac:dyDescent="0.25">
      <c r="A4429" s="48" t="s">
        <v>14674</v>
      </c>
      <c r="B4429" t="s">
        <v>21467</v>
      </c>
      <c r="C4429">
        <v>0</v>
      </c>
    </row>
    <row r="4430" spans="1:3" x14ac:dyDescent="0.25">
      <c r="A4430" s="48" t="s">
        <v>17164</v>
      </c>
      <c r="B4430" t="s">
        <v>17165</v>
      </c>
      <c r="C4430">
        <v>0</v>
      </c>
    </row>
    <row r="4431" spans="1:3" x14ac:dyDescent="0.25">
      <c r="A4431" s="48" t="s">
        <v>14678</v>
      </c>
      <c r="B4431" t="s">
        <v>21468</v>
      </c>
      <c r="C4431">
        <v>0</v>
      </c>
    </row>
    <row r="4432" spans="1:3" x14ac:dyDescent="0.25">
      <c r="A4432" s="48" t="s">
        <v>17170</v>
      </c>
      <c r="B4432" t="s">
        <v>21469</v>
      </c>
      <c r="C4432">
        <v>0</v>
      </c>
    </row>
    <row r="4433" spans="1:3" x14ac:dyDescent="0.25">
      <c r="A4433" s="48" t="s">
        <v>17240</v>
      </c>
      <c r="B4433" t="s">
        <v>21470</v>
      </c>
      <c r="C4433">
        <v>0</v>
      </c>
    </row>
    <row r="4434" spans="1:3" x14ac:dyDescent="0.25">
      <c r="A4434" s="48" t="s">
        <v>4288</v>
      </c>
      <c r="B4434" t="s">
        <v>4289</v>
      </c>
      <c r="C4434">
        <v>0</v>
      </c>
    </row>
    <row r="4435" spans="1:3" x14ac:dyDescent="0.25">
      <c r="A4435" s="48" t="s">
        <v>10285</v>
      </c>
      <c r="B4435" t="s">
        <v>21471</v>
      </c>
      <c r="C4435">
        <v>23</v>
      </c>
    </row>
    <row r="4436" spans="1:3" x14ac:dyDescent="0.25">
      <c r="A4436" s="48" t="s">
        <v>12885</v>
      </c>
      <c r="B4436" t="s">
        <v>12886</v>
      </c>
      <c r="C4436">
        <v>0</v>
      </c>
    </row>
    <row r="4437" spans="1:3" x14ac:dyDescent="0.25">
      <c r="A4437" s="48" t="s">
        <v>4487</v>
      </c>
      <c r="B4437" t="s">
        <v>4488</v>
      </c>
      <c r="C4437">
        <v>211</v>
      </c>
    </row>
    <row r="4438" spans="1:3" x14ac:dyDescent="0.25">
      <c r="A4438" s="48" t="s">
        <v>4485</v>
      </c>
      <c r="B4438" t="s">
        <v>4486</v>
      </c>
      <c r="C4438">
        <v>110</v>
      </c>
    </row>
    <row r="4439" spans="1:3" x14ac:dyDescent="0.25">
      <c r="A4439" s="48" t="s">
        <v>7913</v>
      </c>
      <c r="B4439" t="s">
        <v>7914</v>
      </c>
      <c r="C4439">
        <v>0</v>
      </c>
    </row>
    <row r="4440" spans="1:3" x14ac:dyDescent="0.25">
      <c r="A4440" s="48" t="s">
        <v>9551</v>
      </c>
      <c r="B4440" t="s">
        <v>9552</v>
      </c>
      <c r="C4440">
        <v>19</v>
      </c>
    </row>
    <row r="4441" spans="1:3" x14ac:dyDescent="0.25">
      <c r="A4441" s="48" t="s">
        <v>9553</v>
      </c>
      <c r="B4441" t="s">
        <v>9554</v>
      </c>
      <c r="C4441">
        <v>0</v>
      </c>
    </row>
    <row r="4442" spans="1:3" x14ac:dyDescent="0.25">
      <c r="A4442" s="48" t="s">
        <v>16586</v>
      </c>
      <c r="B4442" t="s">
        <v>16587</v>
      </c>
      <c r="C4442">
        <v>0</v>
      </c>
    </row>
    <row r="4443" spans="1:3" x14ac:dyDescent="0.25">
      <c r="A4443" s="48" t="s">
        <v>16584</v>
      </c>
      <c r="B4443" t="s">
        <v>16585</v>
      </c>
      <c r="C4443">
        <v>0</v>
      </c>
    </row>
    <row r="4444" spans="1:3" x14ac:dyDescent="0.25">
      <c r="A4444" s="48" t="s">
        <v>16604</v>
      </c>
      <c r="B4444" t="s">
        <v>16605</v>
      </c>
      <c r="C4444">
        <v>28</v>
      </c>
    </row>
    <row r="4445" spans="1:3" x14ac:dyDescent="0.25">
      <c r="A4445" s="48" t="s">
        <v>4200</v>
      </c>
      <c r="B4445" t="s">
        <v>4201</v>
      </c>
      <c r="C4445">
        <v>0</v>
      </c>
    </row>
    <row r="4446" spans="1:3" x14ac:dyDescent="0.25">
      <c r="A4446" s="48" t="s">
        <v>5385</v>
      </c>
      <c r="B4446" t="s">
        <v>5386</v>
      </c>
      <c r="C4446">
        <v>16</v>
      </c>
    </row>
    <row r="4447" spans="1:3" x14ac:dyDescent="0.25">
      <c r="A4447" s="48" t="s">
        <v>5553</v>
      </c>
      <c r="B4447" t="s">
        <v>5554</v>
      </c>
      <c r="C4447">
        <v>0</v>
      </c>
    </row>
    <row r="4448" spans="1:3" x14ac:dyDescent="0.25">
      <c r="A4448" s="48" t="s">
        <v>5551</v>
      </c>
      <c r="B4448" t="s">
        <v>5552</v>
      </c>
      <c r="C4448">
        <v>3</v>
      </c>
    </row>
    <row r="4449" spans="1:3" x14ac:dyDescent="0.25">
      <c r="A4449" s="48" t="s">
        <v>2556</v>
      </c>
      <c r="B4449" t="s">
        <v>2557</v>
      </c>
      <c r="C4449">
        <v>0</v>
      </c>
    </row>
    <row r="4450" spans="1:3" x14ac:dyDescent="0.25">
      <c r="A4450" s="48" t="s">
        <v>2554</v>
      </c>
      <c r="B4450" t="s">
        <v>2555</v>
      </c>
      <c r="C4450">
        <v>6</v>
      </c>
    </row>
    <row r="4451" spans="1:3" x14ac:dyDescent="0.25">
      <c r="A4451" s="48" t="s">
        <v>16356</v>
      </c>
      <c r="B4451" t="s">
        <v>16357</v>
      </c>
      <c r="C4451">
        <v>0</v>
      </c>
    </row>
    <row r="4452" spans="1:3" x14ac:dyDescent="0.25">
      <c r="A4452" s="48" t="s">
        <v>8542</v>
      </c>
      <c r="B4452" t="s">
        <v>21472</v>
      </c>
      <c r="C4452">
        <v>0</v>
      </c>
    </row>
    <row r="4453" spans="1:3" x14ac:dyDescent="0.25">
      <c r="A4453" s="48" t="s">
        <v>17668</v>
      </c>
      <c r="B4453" t="s">
        <v>21473</v>
      </c>
      <c r="C4453">
        <v>0</v>
      </c>
    </row>
    <row r="4454" spans="1:3" x14ac:dyDescent="0.25">
      <c r="A4454" s="48" t="s">
        <v>17666</v>
      </c>
      <c r="B4454" t="s">
        <v>21474</v>
      </c>
      <c r="C4454">
        <v>0</v>
      </c>
    </row>
    <row r="4455" spans="1:3" x14ac:dyDescent="0.25">
      <c r="A4455" s="48" t="s">
        <v>16129</v>
      </c>
      <c r="B4455" t="s">
        <v>16130</v>
      </c>
      <c r="C4455">
        <v>0</v>
      </c>
    </row>
    <row r="4456" spans="1:3" x14ac:dyDescent="0.25">
      <c r="A4456" s="48" t="s">
        <v>17580</v>
      </c>
      <c r="B4456" t="s">
        <v>17581</v>
      </c>
      <c r="C4456">
        <v>11</v>
      </c>
    </row>
    <row r="4457" spans="1:3" x14ac:dyDescent="0.25">
      <c r="A4457" s="48" t="s">
        <v>8544</v>
      </c>
      <c r="B4457" t="s">
        <v>21475</v>
      </c>
      <c r="C4457">
        <v>0</v>
      </c>
    </row>
    <row r="4458" spans="1:3" x14ac:dyDescent="0.25">
      <c r="A4458" s="48" t="s">
        <v>8538</v>
      </c>
      <c r="B4458" t="s">
        <v>21476</v>
      </c>
      <c r="C4458">
        <v>0</v>
      </c>
    </row>
    <row r="4459" spans="1:3" x14ac:dyDescent="0.25">
      <c r="A4459" s="48" t="s">
        <v>8536</v>
      </c>
      <c r="B4459" t="s">
        <v>21477</v>
      </c>
      <c r="C4459">
        <v>0</v>
      </c>
    </row>
    <row r="4460" spans="1:3" x14ac:dyDescent="0.25">
      <c r="A4460" s="48" t="s">
        <v>8540</v>
      </c>
      <c r="B4460" t="s">
        <v>21478</v>
      </c>
      <c r="C4460">
        <v>0</v>
      </c>
    </row>
    <row r="4461" spans="1:3" x14ac:dyDescent="0.25">
      <c r="A4461" s="48" t="s">
        <v>5445</v>
      </c>
      <c r="B4461" t="s">
        <v>5446</v>
      </c>
      <c r="C4461">
        <v>0</v>
      </c>
    </row>
    <row r="4462" spans="1:3" x14ac:dyDescent="0.25">
      <c r="A4462" s="48" t="s">
        <v>5000</v>
      </c>
      <c r="B4462" t="s">
        <v>5001</v>
      </c>
      <c r="C4462">
        <v>0</v>
      </c>
    </row>
    <row r="4463" spans="1:3" x14ac:dyDescent="0.25">
      <c r="A4463" s="48" t="s">
        <v>17702</v>
      </c>
      <c r="B4463" t="s">
        <v>21479</v>
      </c>
      <c r="C4463">
        <v>3</v>
      </c>
    </row>
    <row r="4464" spans="1:3" x14ac:dyDescent="0.25">
      <c r="A4464" s="48" t="s">
        <v>17690</v>
      </c>
      <c r="B4464" t="s">
        <v>21480</v>
      </c>
      <c r="C4464">
        <v>0</v>
      </c>
    </row>
    <row r="4465" spans="1:3" x14ac:dyDescent="0.25">
      <c r="A4465" s="48" t="s">
        <v>9812</v>
      </c>
      <c r="B4465" t="s">
        <v>9813</v>
      </c>
      <c r="C4465">
        <v>36</v>
      </c>
    </row>
    <row r="4466" spans="1:3" x14ac:dyDescent="0.25">
      <c r="A4466" s="48" t="s">
        <v>5405</v>
      </c>
      <c r="B4466" t="s">
        <v>5406</v>
      </c>
      <c r="C4466">
        <v>0</v>
      </c>
    </row>
    <row r="4467" spans="1:3" x14ac:dyDescent="0.25">
      <c r="A4467" s="48" t="s">
        <v>5401</v>
      </c>
      <c r="B4467" t="s">
        <v>5402</v>
      </c>
      <c r="C4467">
        <v>0</v>
      </c>
    </row>
    <row r="4468" spans="1:3" x14ac:dyDescent="0.25">
      <c r="A4468" s="48" t="s">
        <v>5393</v>
      </c>
      <c r="B4468" t="s">
        <v>5394</v>
      </c>
      <c r="C4468">
        <v>0</v>
      </c>
    </row>
    <row r="4469" spans="1:3" x14ac:dyDescent="0.25">
      <c r="A4469" s="48" t="s">
        <v>14350</v>
      </c>
      <c r="B4469" t="s">
        <v>21481</v>
      </c>
      <c r="C4469">
        <v>0</v>
      </c>
    </row>
    <row r="4470" spans="1:3" x14ac:dyDescent="0.25">
      <c r="A4470" s="48" t="s">
        <v>6363</v>
      </c>
      <c r="B4470" t="s">
        <v>6364</v>
      </c>
      <c r="C4470">
        <v>0</v>
      </c>
    </row>
    <row r="4471" spans="1:3" x14ac:dyDescent="0.25">
      <c r="A4471" s="48" t="s">
        <v>6511</v>
      </c>
      <c r="B4471" t="s">
        <v>21482</v>
      </c>
      <c r="C4471">
        <v>0</v>
      </c>
    </row>
    <row r="4472" spans="1:3" x14ac:dyDescent="0.25">
      <c r="A4472" s="48" t="s">
        <v>4950</v>
      </c>
      <c r="B4472" t="s">
        <v>21483</v>
      </c>
      <c r="C4472">
        <v>0</v>
      </c>
    </row>
    <row r="4473" spans="1:3" x14ac:dyDescent="0.25">
      <c r="A4473" s="48" t="s">
        <v>4952</v>
      </c>
      <c r="B4473" t="s">
        <v>21484</v>
      </c>
      <c r="C4473">
        <v>0</v>
      </c>
    </row>
    <row r="4474" spans="1:3" x14ac:dyDescent="0.25">
      <c r="A4474" s="48" t="s">
        <v>4948</v>
      </c>
      <c r="B4474" t="s">
        <v>21485</v>
      </c>
      <c r="C4474">
        <v>0</v>
      </c>
    </row>
    <row r="4475" spans="1:3" x14ac:dyDescent="0.25">
      <c r="A4475" s="48" t="s">
        <v>6091</v>
      </c>
      <c r="B4475" t="s">
        <v>21486</v>
      </c>
      <c r="C4475">
        <v>0</v>
      </c>
    </row>
    <row r="4476" spans="1:3" x14ac:dyDescent="0.25">
      <c r="A4476" s="48" t="s">
        <v>8170</v>
      </c>
      <c r="B4476" t="s">
        <v>8171</v>
      </c>
      <c r="C4476">
        <v>14</v>
      </c>
    </row>
    <row r="4477" spans="1:3" x14ac:dyDescent="0.25">
      <c r="A4477" s="48" t="s">
        <v>8166</v>
      </c>
      <c r="B4477" t="s">
        <v>8167</v>
      </c>
      <c r="C4477">
        <v>4</v>
      </c>
    </row>
    <row r="4478" spans="1:3" x14ac:dyDescent="0.25">
      <c r="A4478" s="48" t="s">
        <v>8168</v>
      </c>
      <c r="B4478" t="s">
        <v>8169</v>
      </c>
      <c r="C4478">
        <v>0</v>
      </c>
    </row>
    <row r="4479" spans="1:3" x14ac:dyDescent="0.25">
      <c r="A4479" s="48" t="s">
        <v>19027</v>
      </c>
      <c r="B4479" t="s">
        <v>19028</v>
      </c>
      <c r="C4479">
        <v>0</v>
      </c>
    </row>
    <row r="4480" spans="1:3" x14ac:dyDescent="0.25">
      <c r="A4480" s="48" t="s">
        <v>16598</v>
      </c>
      <c r="B4480" t="s">
        <v>16599</v>
      </c>
      <c r="C4480">
        <v>0</v>
      </c>
    </row>
    <row r="4481" spans="1:3" x14ac:dyDescent="0.25">
      <c r="A4481" s="48" t="s">
        <v>14636</v>
      </c>
      <c r="B4481" t="s">
        <v>14637</v>
      </c>
      <c r="C4481">
        <v>1</v>
      </c>
    </row>
    <row r="4482" spans="1:3" x14ac:dyDescent="0.25">
      <c r="A4482" s="48" t="s">
        <v>19580</v>
      </c>
      <c r="B4482" t="s">
        <v>19581</v>
      </c>
      <c r="C4482">
        <v>12</v>
      </c>
    </row>
    <row r="4483" spans="1:3" x14ac:dyDescent="0.25">
      <c r="A4483" s="48" t="s">
        <v>17662</v>
      </c>
      <c r="B4483" t="s">
        <v>17663</v>
      </c>
      <c r="C4483">
        <v>0</v>
      </c>
    </row>
    <row r="4484" spans="1:3" x14ac:dyDescent="0.25">
      <c r="A4484" s="48" t="s">
        <v>16576</v>
      </c>
      <c r="B4484" t="s">
        <v>16577</v>
      </c>
      <c r="C4484">
        <v>0</v>
      </c>
    </row>
    <row r="4485" spans="1:3" x14ac:dyDescent="0.25">
      <c r="A4485" s="48" t="s">
        <v>16380</v>
      </c>
      <c r="B4485" t="s">
        <v>16381</v>
      </c>
      <c r="C4485">
        <v>0</v>
      </c>
    </row>
    <row r="4486" spans="1:3" x14ac:dyDescent="0.25">
      <c r="A4486" s="48" t="s">
        <v>18125</v>
      </c>
      <c r="B4486" t="s">
        <v>18126</v>
      </c>
      <c r="C4486">
        <v>21</v>
      </c>
    </row>
    <row r="4487" spans="1:3" x14ac:dyDescent="0.25">
      <c r="A4487" s="48" t="s">
        <v>18147</v>
      </c>
      <c r="B4487" t="s">
        <v>18148</v>
      </c>
      <c r="C4487">
        <v>0</v>
      </c>
    </row>
    <row r="4488" spans="1:3" x14ac:dyDescent="0.25">
      <c r="A4488" s="48" t="s">
        <v>19236</v>
      </c>
      <c r="B4488" t="s">
        <v>21487</v>
      </c>
      <c r="C4488">
        <v>1</v>
      </c>
    </row>
    <row r="4489" spans="1:3" x14ac:dyDescent="0.25">
      <c r="A4489" s="48" t="s">
        <v>19238</v>
      </c>
      <c r="B4489" t="s">
        <v>21488</v>
      </c>
      <c r="C4489">
        <v>0</v>
      </c>
    </row>
    <row r="4490" spans="1:3" x14ac:dyDescent="0.25">
      <c r="A4490" s="48" t="s">
        <v>18828</v>
      </c>
      <c r="B4490" t="s">
        <v>21489</v>
      </c>
      <c r="C4490">
        <v>0</v>
      </c>
    </row>
    <row r="4491" spans="1:3" x14ac:dyDescent="0.25">
      <c r="A4491" s="48" t="s">
        <v>18838</v>
      </c>
      <c r="B4491" t="s">
        <v>21490</v>
      </c>
      <c r="C4491">
        <v>0</v>
      </c>
    </row>
    <row r="4492" spans="1:3" x14ac:dyDescent="0.25">
      <c r="A4492" s="48" t="s">
        <v>18826</v>
      </c>
      <c r="B4492" t="s">
        <v>21491</v>
      </c>
      <c r="C4492">
        <v>0</v>
      </c>
    </row>
    <row r="4493" spans="1:3" x14ac:dyDescent="0.25">
      <c r="A4493" s="48" t="s">
        <v>18836</v>
      </c>
      <c r="B4493" t="s">
        <v>21492</v>
      </c>
      <c r="C4493">
        <v>0</v>
      </c>
    </row>
    <row r="4494" spans="1:3" x14ac:dyDescent="0.25">
      <c r="A4494" s="48" t="s">
        <v>19584</v>
      </c>
      <c r="B4494" t="s">
        <v>19585</v>
      </c>
      <c r="C4494">
        <v>11</v>
      </c>
    </row>
    <row r="4495" spans="1:3" x14ac:dyDescent="0.25">
      <c r="A4495" s="48" t="s">
        <v>15130</v>
      </c>
      <c r="B4495" t="s">
        <v>15131</v>
      </c>
      <c r="C4495">
        <v>14</v>
      </c>
    </row>
    <row r="4496" spans="1:3" x14ac:dyDescent="0.25">
      <c r="A4496" s="48" t="s">
        <v>15132</v>
      </c>
      <c r="B4496" t="s">
        <v>15133</v>
      </c>
      <c r="C4496">
        <v>0</v>
      </c>
    </row>
    <row r="4497" spans="1:3" x14ac:dyDescent="0.25">
      <c r="A4497" s="48" t="s">
        <v>15134</v>
      </c>
      <c r="B4497" t="s">
        <v>15135</v>
      </c>
      <c r="C4497">
        <v>8</v>
      </c>
    </row>
    <row r="4498" spans="1:3" x14ac:dyDescent="0.25">
      <c r="A4498" s="48" t="s">
        <v>15136</v>
      </c>
      <c r="B4498" t="s">
        <v>15137</v>
      </c>
      <c r="C4498">
        <v>0</v>
      </c>
    </row>
    <row r="4499" spans="1:3" x14ac:dyDescent="0.25">
      <c r="A4499" s="48" t="s">
        <v>15098</v>
      </c>
      <c r="B4499" t="s">
        <v>15099</v>
      </c>
      <c r="C4499">
        <v>6</v>
      </c>
    </row>
    <row r="4500" spans="1:3" x14ac:dyDescent="0.25">
      <c r="A4500" s="48" t="s">
        <v>15092</v>
      </c>
      <c r="B4500" t="s">
        <v>15093</v>
      </c>
      <c r="C4500">
        <v>4</v>
      </c>
    </row>
    <row r="4501" spans="1:3" x14ac:dyDescent="0.25">
      <c r="A4501" s="48" t="s">
        <v>15110</v>
      </c>
      <c r="B4501" t="s">
        <v>15111</v>
      </c>
      <c r="C4501">
        <v>5</v>
      </c>
    </row>
    <row r="4502" spans="1:3" x14ac:dyDescent="0.25">
      <c r="A4502" s="48" t="s">
        <v>13657</v>
      </c>
      <c r="B4502" t="s">
        <v>13658</v>
      </c>
      <c r="C4502">
        <v>0</v>
      </c>
    </row>
    <row r="4503" spans="1:3" x14ac:dyDescent="0.25">
      <c r="A4503" s="48" t="s">
        <v>4164</v>
      </c>
      <c r="B4503" t="s">
        <v>4165</v>
      </c>
      <c r="C4503">
        <v>1900</v>
      </c>
    </row>
    <row r="4504" spans="1:3" x14ac:dyDescent="0.25">
      <c r="A4504" s="48" t="s">
        <v>4212</v>
      </c>
      <c r="B4504" t="s">
        <v>4213</v>
      </c>
      <c r="C4504">
        <v>416</v>
      </c>
    </row>
    <row r="4505" spans="1:3" x14ac:dyDescent="0.25">
      <c r="A4505" s="48" t="s">
        <v>4206</v>
      </c>
      <c r="B4505" t="s">
        <v>4207</v>
      </c>
      <c r="C4505">
        <v>751</v>
      </c>
    </row>
    <row r="4506" spans="1:3" x14ac:dyDescent="0.25">
      <c r="A4506" s="48" t="s">
        <v>4158</v>
      </c>
      <c r="B4506" t="s">
        <v>4159</v>
      </c>
      <c r="C4506">
        <v>700</v>
      </c>
    </row>
    <row r="4507" spans="1:3" x14ac:dyDescent="0.25">
      <c r="A4507" s="48" t="s">
        <v>17150</v>
      </c>
      <c r="B4507" t="s">
        <v>21493</v>
      </c>
      <c r="C4507">
        <v>0</v>
      </c>
    </row>
    <row r="4508" spans="1:3" x14ac:dyDescent="0.25">
      <c r="A4508" s="48" t="s">
        <v>12475</v>
      </c>
      <c r="B4508" t="s">
        <v>12476</v>
      </c>
      <c r="C4508">
        <v>2</v>
      </c>
    </row>
    <row r="4509" spans="1:3" x14ac:dyDescent="0.25">
      <c r="A4509" s="48" t="s">
        <v>5453</v>
      </c>
      <c r="B4509" t="s">
        <v>5454</v>
      </c>
      <c r="C4509">
        <v>0</v>
      </c>
    </row>
    <row r="4510" spans="1:3" x14ac:dyDescent="0.25">
      <c r="A4510" s="48" t="s">
        <v>5259</v>
      </c>
      <c r="B4510" t="s">
        <v>5260</v>
      </c>
      <c r="C4510">
        <v>0</v>
      </c>
    </row>
    <row r="4511" spans="1:3" x14ac:dyDescent="0.25">
      <c r="A4511" s="48" t="s">
        <v>5261</v>
      </c>
      <c r="B4511" t="s">
        <v>5262</v>
      </c>
      <c r="C4511">
        <v>0</v>
      </c>
    </row>
    <row r="4512" spans="1:3" x14ac:dyDescent="0.25">
      <c r="A4512" s="48" t="s">
        <v>5263</v>
      </c>
      <c r="B4512" t="s">
        <v>5264</v>
      </c>
      <c r="C4512">
        <v>4</v>
      </c>
    </row>
    <row r="4513" spans="1:3" x14ac:dyDescent="0.25">
      <c r="A4513" s="48" t="s">
        <v>5257</v>
      </c>
      <c r="B4513" t="s">
        <v>5258</v>
      </c>
      <c r="C4513">
        <v>0</v>
      </c>
    </row>
    <row r="4514" spans="1:3" x14ac:dyDescent="0.25">
      <c r="A4514" s="48" t="s">
        <v>5451</v>
      </c>
      <c r="B4514" t="s">
        <v>5452</v>
      </c>
      <c r="C4514">
        <v>0</v>
      </c>
    </row>
    <row r="4515" spans="1:3" x14ac:dyDescent="0.25">
      <c r="A4515" s="48" t="s">
        <v>18201</v>
      </c>
      <c r="B4515" t="s">
        <v>18202</v>
      </c>
      <c r="C4515">
        <v>0</v>
      </c>
    </row>
    <row r="4516" spans="1:3" x14ac:dyDescent="0.25">
      <c r="A4516" s="48" t="s">
        <v>18213</v>
      </c>
      <c r="B4516" t="s">
        <v>18214</v>
      </c>
      <c r="C4516">
        <v>0</v>
      </c>
    </row>
    <row r="4517" spans="1:3" x14ac:dyDescent="0.25">
      <c r="A4517" s="48" t="s">
        <v>4348</v>
      </c>
      <c r="B4517" t="s">
        <v>21494</v>
      </c>
      <c r="C4517">
        <v>0</v>
      </c>
    </row>
    <row r="4518" spans="1:3" x14ac:dyDescent="0.25">
      <c r="A4518" s="48" t="s">
        <v>4356</v>
      </c>
      <c r="B4518" t="s">
        <v>21495</v>
      </c>
      <c r="C4518">
        <v>0</v>
      </c>
    </row>
    <row r="4519" spans="1:3" x14ac:dyDescent="0.25">
      <c r="A4519" s="48" t="s">
        <v>4358</v>
      </c>
      <c r="B4519" t="s">
        <v>21496</v>
      </c>
      <c r="C4519">
        <v>0</v>
      </c>
    </row>
    <row r="4520" spans="1:3" x14ac:dyDescent="0.25">
      <c r="A4520" s="48" t="s">
        <v>4350</v>
      </c>
      <c r="B4520" t="s">
        <v>21497</v>
      </c>
      <c r="C4520">
        <v>0</v>
      </c>
    </row>
    <row r="4521" spans="1:3" x14ac:dyDescent="0.25">
      <c r="A4521" s="48" t="s">
        <v>4352</v>
      </c>
      <c r="B4521" t="s">
        <v>21498</v>
      </c>
      <c r="C4521">
        <v>0</v>
      </c>
    </row>
    <row r="4522" spans="1:3" x14ac:dyDescent="0.25">
      <c r="A4522" s="48" t="s">
        <v>4354</v>
      </c>
      <c r="B4522" t="s">
        <v>21499</v>
      </c>
      <c r="C4522">
        <v>0</v>
      </c>
    </row>
    <row r="4523" spans="1:3" x14ac:dyDescent="0.25">
      <c r="A4523" s="48" t="s">
        <v>4360</v>
      </c>
      <c r="B4523" t="s">
        <v>21500</v>
      </c>
      <c r="C4523">
        <v>0</v>
      </c>
    </row>
    <row r="4524" spans="1:3" x14ac:dyDescent="0.25">
      <c r="A4524" s="48" t="s">
        <v>4100</v>
      </c>
      <c r="B4524" t="s">
        <v>21501</v>
      </c>
      <c r="C4524">
        <v>0</v>
      </c>
    </row>
    <row r="4525" spans="1:3" x14ac:dyDescent="0.25">
      <c r="A4525" s="48" t="s">
        <v>4098</v>
      </c>
      <c r="B4525" t="s">
        <v>21502</v>
      </c>
      <c r="C4525">
        <v>0</v>
      </c>
    </row>
    <row r="4526" spans="1:3" x14ac:dyDescent="0.25">
      <c r="A4526" s="48" t="s">
        <v>4112</v>
      </c>
      <c r="B4526" t="s">
        <v>21503</v>
      </c>
      <c r="C4526">
        <v>13</v>
      </c>
    </row>
    <row r="4527" spans="1:3" x14ac:dyDescent="0.25">
      <c r="A4527" s="48" t="s">
        <v>4096</v>
      </c>
      <c r="B4527" t="s">
        <v>21504</v>
      </c>
      <c r="C4527">
        <v>50</v>
      </c>
    </row>
    <row r="4528" spans="1:3" x14ac:dyDescent="0.25">
      <c r="A4528" s="48" t="s">
        <v>4094</v>
      </c>
      <c r="B4528" t="s">
        <v>21505</v>
      </c>
      <c r="C4528">
        <v>0</v>
      </c>
    </row>
    <row r="4529" spans="1:3" x14ac:dyDescent="0.25">
      <c r="A4529" s="48" t="s">
        <v>4326</v>
      </c>
      <c r="B4529" t="s">
        <v>21506</v>
      </c>
      <c r="C4529">
        <v>0</v>
      </c>
    </row>
    <row r="4530" spans="1:3" x14ac:dyDescent="0.25">
      <c r="A4530" s="48" t="s">
        <v>4310</v>
      </c>
      <c r="B4530" t="s">
        <v>21507</v>
      </c>
      <c r="C4530">
        <v>1</v>
      </c>
    </row>
    <row r="4531" spans="1:3" x14ac:dyDescent="0.25">
      <c r="A4531" s="48" t="s">
        <v>4320</v>
      </c>
      <c r="B4531" t="s">
        <v>21508</v>
      </c>
      <c r="C4531">
        <v>0</v>
      </c>
    </row>
    <row r="4532" spans="1:3" x14ac:dyDescent="0.25">
      <c r="A4532" s="48" t="s">
        <v>4324</v>
      </c>
      <c r="B4532" t="s">
        <v>21509</v>
      </c>
      <c r="C4532">
        <v>0</v>
      </c>
    </row>
    <row r="4533" spans="1:3" x14ac:dyDescent="0.25">
      <c r="A4533" s="48" t="s">
        <v>4322</v>
      </c>
      <c r="B4533" t="s">
        <v>21510</v>
      </c>
      <c r="C4533">
        <v>0</v>
      </c>
    </row>
    <row r="4534" spans="1:3" x14ac:dyDescent="0.25">
      <c r="A4534" s="48" t="s">
        <v>4330</v>
      </c>
      <c r="B4534" t="s">
        <v>21511</v>
      </c>
      <c r="C4534">
        <v>0</v>
      </c>
    </row>
    <row r="4535" spans="1:3" x14ac:dyDescent="0.25">
      <c r="A4535" s="48" t="s">
        <v>4318</v>
      </c>
      <c r="B4535" t="s">
        <v>21512</v>
      </c>
      <c r="C4535">
        <v>0</v>
      </c>
    </row>
    <row r="4536" spans="1:3" x14ac:dyDescent="0.25">
      <c r="A4536" s="48" t="s">
        <v>4346</v>
      </c>
      <c r="B4536" t="s">
        <v>21513</v>
      </c>
      <c r="C4536">
        <v>0</v>
      </c>
    </row>
    <row r="4537" spans="1:3" x14ac:dyDescent="0.25">
      <c r="A4537" s="48" t="s">
        <v>4314</v>
      </c>
      <c r="B4537" t="s">
        <v>21514</v>
      </c>
      <c r="C4537">
        <v>0</v>
      </c>
    </row>
    <row r="4538" spans="1:3" x14ac:dyDescent="0.25">
      <c r="A4538" s="48" t="s">
        <v>4300</v>
      </c>
      <c r="B4538" t="s">
        <v>21515</v>
      </c>
      <c r="C4538">
        <v>1</v>
      </c>
    </row>
    <row r="4539" spans="1:3" x14ac:dyDescent="0.25">
      <c r="A4539" s="48" t="s">
        <v>4332</v>
      </c>
      <c r="B4539" t="s">
        <v>4333</v>
      </c>
      <c r="C4539">
        <v>0</v>
      </c>
    </row>
    <row r="4540" spans="1:3" x14ac:dyDescent="0.25">
      <c r="A4540" s="48" t="s">
        <v>4312</v>
      </c>
      <c r="B4540" t="s">
        <v>21516</v>
      </c>
      <c r="C4540">
        <v>0</v>
      </c>
    </row>
    <row r="4541" spans="1:3" x14ac:dyDescent="0.25">
      <c r="A4541" s="48" t="s">
        <v>4304</v>
      </c>
      <c r="B4541" t="s">
        <v>21517</v>
      </c>
      <c r="C4541">
        <v>0</v>
      </c>
    </row>
    <row r="4542" spans="1:3" x14ac:dyDescent="0.25">
      <c r="A4542" s="48" t="s">
        <v>4302</v>
      </c>
      <c r="B4542" t="s">
        <v>21518</v>
      </c>
      <c r="C4542">
        <v>0</v>
      </c>
    </row>
    <row r="4543" spans="1:3" x14ac:dyDescent="0.25">
      <c r="A4543" s="48" t="s">
        <v>4328</v>
      </c>
      <c r="B4543" t="s">
        <v>21519</v>
      </c>
      <c r="C4543">
        <v>0</v>
      </c>
    </row>
    <row r="4544" spans="1:3" x14ac:dyDescent="0.25">
      <c r="A4544" s="48" t="s">
        <v>4316</v>
      </c>
      <c r="B4544" t="s">
        <v>21520</v>
      </c>
      <c r="C4544">
        <v>0</v>
      </c>
    </row>
    <row r="4545" spans="1:3" x14ac:dyDescent="0.25">
      <c r="A4545" s="48" t="s">
        <v>4308</v>
      </c>
      <c r="B4545" t="s">
        <v>21521</v>
      </c>
      <c r="C4545">
        <v>0</v>
      </c>
    </row>
    <row r="4546" spans="1:3" x14ac:dyDescent="0.25">
      <c r="A4546" s="48" t="s">
        <v>4306</v>
      </c>
      <c r="B4546" t="s">
        <v>21522</v>
      </c>
      <c r="C4546">
        <v>0</v>
      </c>
    </row>
    <row r="4547" spans="1:3" x14ac:dyDescent="0.25">
      <c r="A4547" s="48" t="s">
        <v>4334</v>
      </c>
      <c r="B4547" t="s">
        <v>21523</v>
      </c>
      <c r="C4547">
        <v>0</v>
      </c>
    </row>
    <row r="4548" spans="1:3" x14ac:dyDescent="0.25">
      <c r="A4548" s="48" t="s">
        <v>4336</v>
      </c>
      <c r="B4548" t="s">
        <v>21524</v>
      </c>
      <c r="C4548">
        <v>0</v>
      </c>
    </row>
    <row r="4549" spans="1:3" x14ac:dyDescent="0.25">
      <c r="A4549" s="48" t="s">
        <v>4340</v>
      </c>
      <c r="B4549" t="s">
        <v>21525</v>
      </c>
      <c r="C4549">
        <v>3</v>
      </c>
    </row>
    <row r="4550" spans="1:3" x14ac:dyDescent="0.25">
      <c r="A4550" s="48" t="s">
        <v>4344</v>
      </c>
      <c r="B4550" t="s">
        <v>21526</v>
      </c>
      <c r="C4550">
        <v>6</v>
      </c>
    </row>
    <row r="4551" spans="1:3" x14ac:dyDescent="0.25">
      <c r="A4551" s="48" t="s">
        <v>4342</v>
      </c>
      <c r="B4551" t="s">
        <v>21527</v>
      </c>
      <c r="C4551">
        <v>4</v>
      </c>
    </row>
    <row r="4552" spans="1:3" x14ac:dyDescent="0.25">
      <c r="A4552" s="48" t="s">
        <v>4338</v>
      </c>
      <c r="B4552" t="s">
        <v>21528</v>
      </c>
      <c r="C4552">
        <v>0</v>
      </c>
    </row>
    <row r="4553" spans="1:3" x14ac:dyDescent="0.25">
      <c r="A4553" s="48" t="s">
        <v>12749</v>
      </c>
      <c r="B4553" t="s">
        <v>21529</v>
      </c>
      <c r="C4553">
        <v>0</v>
      </c>
    </row>
    <row r="4554" spans="1:3" x14ac:dyDescent="0.25">
      <c r="A4554" s="48" t="s">
        <v>12753</v>
      </c>
      <c r="B4554" t="s">
        <v>22904</v>
      </c>
      <c r="C4554">
        <v>0</v>
      </c>
    </row>
    <row r="4555" spans="1:3" x14ac:dyDescent="0.25">
      <c r="A4555" s="48" t="s">
        <v>12755</v>
      </c>
      <c r="B4555" t="s">
        <v>21530</v>
      </c>
      <c r="C4555">
        <v>0</v>
      </c>
    </row>
    <row r="4556" spans="1:3" x14ac:dyDescent="0.25">
      <c r="A4556" s="48" t="s">
        <v>17040</v>
      </c>
      <c r="B4556" t="s">
        <v>21531</v>
      </c>
      <c r="C4556">
        <v>4</v>
      </c>
    </row>
    <row r="4557" spans="1:3" x14ac:dyDescent="0.25">
      <c r="A4557" s="48" t="s">
        <v>10371</v>
      </c>
      <c r="B4557" t="s">
        <v>21532</v>
      </c>
      <c r="C4557">
        <v>0</v>
      </c>
    </row>
    <row r="4558" spans="1:3" x14ac:dyDescent="0.25">
      <c r="A4558" s="48" t="s">
        <v>5909</v>
      </c>
      <c r="B4558" t="s">
        <v>21533</v>
      </c>
      <c r="C4558">
        <v>0</v>
      </c>
    </row>
    <row r="4559" spans="1:3" x14ac:dyDescent="0.25">
      <c r="A4559" s="48" t="s">
        <v>10369</v>
      </c>
      <c r="B4559" t="s">
        <v>21534</v>
      </c>
      <c r="C4559">
        <v>0</v>
      </c>
    </row>
    <row r="4560" spans="1:3" x14ac:dyDescent="0.25">
      <c r="A4560" s="48" t="s">
        <v>3947</v>
      </c>
      <c r="B4560" t="s">
        <v>21535</v>
      </c>
      <c r="C4560">
        <v>0</v>
      </c>
    </row>
    <row r="4561" spans="1:3" x14ac:dyDescent="0.25">
      <c r="A4561" s="48" t="s">
        <v>3945</v>
      </c>
      <c r="B4561" t="s">
        <v>21536</v>
      </c>
      <c r="C4561">
        <v>0</v>
      </c>
    </row>
    <row r="4562" spans="1:3" x14ac:dyDescent="0.25">
      <c r="A4562" s="48" t="s">
        <v>18790</v>
      </c>
      <c r="B4562" t="s">
        <v>21537</v>
      </c>
      <c r="C4562">
        <v>0</v>
      </c>
    </row>
    <row r="4563" spans="1:3" x14ac:dyDescent="0.25">
      <c r="A4563" s="48" t="s">
        <v>3943</v>
      </c>
      <c r="B4563" t="s">
        <v>21538</v>
      </c>
      <c r="C4563">
        <v>1</v>
      </c>
    </row>
    <row r="4564" spans="1:3" x14ac:dyDescent="0.25">
      <c r="A4564" s="48" t="s">
        <v>3941</v>
      </c>
      <c r="B4564" t="s">
        <v>21539</v>
      </c>
      <c r="C4564">
        <v>0</v>
      </c>
    </row>
    <row r="4565" spans="1:3" x14ac:dyDescent="0.25">
      <c r="A4565" s="48" t="s">
        <v>3935</v>
      </c>
      <c r="B4565" t="s">
        <v>21540</v>
      </c>
      <c r="C4565">
        <v>0</v>
      </c>
    </row>
    <row r="4566" spans="1:3" x14ac:dyDescent="0.25">
      <c r="A4566" s="48" t="s">
        <v>3937</v>
      </c>
      <c r="B4566" t="s">
        <v>21541</v>
      </c>
      <c r="C4566">
        <v>0</v>
      </c>
    </row>
    <row r="4567" spans="1:3" x14ac:dyDescent="0.25">
      <c r="A4567" s="48" t="s">
        <v>3939</v>
      </c>
      <c r="B4567" t="s">
        <v>21542</v>
      </c>
      <c r="C4567">
        <v>0</v>
      </c>
    </row>
    <row r="4568" spans="1:3" x14ac:dyDescent="0.25">
      <c r="A4568" s="48" t="s">
        <v>3933</v>
      </c>
      <c r="B4568" t="s">
        <v>21543</v>
      </c>
      <c r="C4568">
        <v>0</v>
      </c>
    </row>
    <row r="4569" spans="1:3" x14ac:dyDescent="0.25">
      <c r="A4569" s="48" t="s">
        <v>3931</v>
      </c>
      <c r="B4569" t="s">
        <v>21544</v>
      </c>
      <c r="C4569">
        <v>0</v>
      </c>
    </row>
    <row r="4570" spans="1:3" x14ac:dyDescent="0.25">
      <c r="A4570" s="48" t="s">
        <v>18752</v>
      </c>
      <c r="B4570" t="s">
        <v>21545</v>
      </c>
      <c r="C4570">
        <v>0</v>
      </c>
    </row>
    <row r="4571" spans="1:3" x14ac:dyDescent="0.25">
      <c r="A4571" s="48" t="s">
        <v>18766</v>
      </c>
      <c r="B4571" t="s">
        <v>21546</v>
      </c>
      <c r="C4571">
        <v>0</v>
      </c>
    </row>
    <row r="4572" spans="1:3" x14ac:dyDescent="0.25">
      <c r="A4572" s="48" t="s">
        <v>18768</v>
      </c>
      <c r="B4572" t="s">
        <v>21547</v>
      </c>
      <c r="C4572">
        <v>0</v>
      </c>
    </row>
    <row r="4573" spans="1:3" x14ac:dyDescent="0.25">
      <c r="A4573" s="48" t="s">
        <v>18762</v>
      </c>
      <c r="B4573" t="s">
        <v>21548</v>
      </c>
      <c r="C4573">
        <v>0</v>
      </c>
    </row>
    <row r="4574" spans="1:3" x14ac:dyDescent="0.25">
      <c r="A4574" s="48" t="s">
        <v>18764</v>
      </c>
      <c r="B4574" t="s">
        <v>21549</v>
      </c>
      <c r="C4574">
        <v>0</v>
      </c>
    </row>
    <row r="4575" spans="1:3" x14ac:dyDescent="0.25">
      <c r="A4575" s="48" t="s">
        <v>3953</v>
      </c>
      <c r="B4575" t="s">
        <v>21550</v>
      </c>
      <c r="C4575">
        <v>0</v>
      </c>
    </row>
    <row r="4576" spans="1:3" x14ac:dyDescent="0.25">
      <c r="A4576" s="48" t="s">
        <v>3949</v>
      </c>
      <c r="B4576" t="s">
        <v>21551</v>
      </c>
      <c r="C4576">
        <v>0</v>
      </c>
    </row>
    <row r="4577" spans="1:3" x14ac:dyDescent="0.25">
      <c r="A4577" s="48" t="s">
        <v>3951</v>
      </c>
      <c r="B4577" t="s">
        <v>21552</v>
      </c>
      <c r="C4577">
        <v>0</v>
      </c>
    </row>
    <row r="4578" spans="1:3" x14ac:dyDescent="0.25">
      <c r="A4578" s="48" t="s">
        <v>3955</v>
      </c>
      <c r="B4578" t="s">
        <v>21553</v>
      </c>
      <c r="C4578">
        <v>0</v>
      </c>
    </row>
    <row r="4579" spans="1:3" x14ac:dyDescent="0.25">
      <c r="A4579" s="48" t="s">
        <v>6140</v>
      </c>
      <c r="B4579" t="s">
        <v>21554</v>
      </c>
      <c r="C4579">
        <v>0</v>
      </c>
    </row>
    <row r="4580" spans="1:3" x14ac:dyDescent="0.25">
      <c r="A4580" s="48" t="s">
        <v>7885</v>
      </c>
      <c r="B4580" t="s">
        <v>7886</v>
      </c>
      <c r="C4580">
        <v>0</v>
      </c>
    </row>
    <row r="4581" spans="1:3" x14ac:dyDescent="0.25">
      <c r="A4581" s="48" t="s">
        <v>7881</v>
      </c>
      <c r="B4581" t="s">
        <v>7882</v>
      </c>
      <c r="C4581">
        <v>0</v>
      </c>
    </row>
    <row r="4582" spans="1:3" x14ac:dyDescent="0.25">
      <c r="A4582" s="48" t="s">
        <v>7917</v>
      </c>
      <c r="B4582" t="s">
        <v>7918</v>
      </c>
      <c r="C4582">
        <v>0</v>
      </c>
    </row>
    <row r="4583" spans="1:3" x14ac:dyDescent="0.25">
      <c r="A4583" s="48" t="s">
        <v>4231</v>
      </c>
      <c r="B4583" t="s">
        <v>4232</v>
      </c>
      <c r="C4583">
        <v>0</v>
      </c>
    </row>
    <row r="4584" spans="1:3" x14ac:dyDescent="0.25">
      <c r="A4584" s="48" t="s">
        <v>4250</v>
      </c>
      <c r="B4584" t="s">
        <v>4251</v>
      </c>
      <c r="C4584">
        <v>0</v>
      </c>
    </row>
    <row r="4585" spans="1:3" x14ac:dyDescent="0.25">
      <c r="A4585" s="48" t="s">
        <v>12887</v>
      </c>
      <c r="B4585" t="s">
        <v>12888</v>
      </c>
      <c r="C4585">
        <v>16</v>
      </c>
    </row>
    <row r="4586" spans="1:3" x14ac:dyDescent="0.25">
      <c r="A4586" s="48" t="s">
        <v>12767</v>
      </c>
      <c r="B4586" t="s">
        <v>12768</v>
      </c>
      <c r="C4586">
        <v>5</v>
      </c>
    </row>
    <row r="4587" spans="1:3" x14ac:dyDescent="0.25">
      <c r="A4587" s="48" t="s">
        <v>363</v>
      </c>
      <c r="B4587" t="s">
        <v>364</v>
      </c>
      <c r="C4587">
        <v>1</v>
      </c>
    </row>
    <row r="4588" spans="1:3" x14ac:dyDescent="0.25">
      <c r="A4588" s="48" t="s">
        <v>3701</v>
      </c>
      <c r="B4588" t="s">
        <v>3702</v>
      </c>
      <c r="C4588">
        <v>7</v>
      </c>
    </row>
    <row r="4589" spans="1:3" x14ac:dyDescent="0.25">
      <c r="A4589" s="48" t="s">
        <v>18720</v>
      </c>
      <c r="B4589" t="s">
        <v>21555</v>
      </c>
      <c r="C4589">
        <v>8</v>
      </c>
    </row>
    <row r="4590" spans="1:3" x14ac:dyDescent="0.25">
      <c r="A4590" s="48" t="s">
        <v>18724</v>
      </c>
      <c r="B4590" t="s">
        <v>21556</v>
      </c>
      <c r="C4590">
        <v>0</v>
      </c>
    </row>
    <row r="4591" spans="1:3" x14ac:dyDescent="0.25">
      <c r="A4591" s="48" t="s">
        <v>18694</v>
      </c>
      <c r="B4591" t="s">
        <v>21557</v>
      </c>
      <c r="C4591">
        <v>0</v>
      </c>
    </row>
    <row r="4592" spans="1:3" x14ac:dyDescent="0.25">
      <c r="A4592" s="48" t="s">
        <v>18718</v>
      </c>
      <c r="B4592" t="s">
        <v>21558</v>
      </c>
      <c r="C4592">
        <v>4</v>
      </c>
    </row>
    <row r="4593" spans="1:3" x14ac:dyDescent="0.25">
      <c r="A4593" s="48" t="s">
        <v>18722</v>
      </c>
      <c r="B4593" t="s">
        <v>21559</v>
      </c>
      <c r="C4593">
        <v>0</v>
      </c>
    </row>
    <row r="4594" spans="1:3" x14ac:dyDescent="0.25">
      <c r="A4594" s="48" t="s">
        <v>10980</v>
      </c>
      <c r="B4594" t="s">
        <v>21560</v>
      </c>
      <c r="C4594">
        <v>0</v>
      </c>
    </row>
    <row r="4595" spans="1:3" x14ac:dyDescent="0.25">
      <c r="A4595" s="48" t="s">
        <v>10988</v>
      </c>
      <c r="B4595" t="s">
        <v>21561</v>
      </c>
      <c r="C4595">
        <v>0</v>
      </c>
    </row>
    <row r="4596" spans="1:3" x14ac:dyDescent="0.25">
      <c r="A4596" s="48" t="s">
        <v>10984</v>
      </c>
      <c r="B4596" t="s">
        <v>21562</v>
      </c>
      <c r="C4596">
        <v>0</v>
      </c>
    </row>
    <row r="4597" spans="1:3" x14ac:dyDescent="0.25">
      <c r="A4597" s="48" t="s">
        <v>10978</v>
      </c>
      <c r="B4597" t="s">
        <v>21563</v>
      </c>
      <c r="C4597">
        <v>0</v>
      </c>
    </row>
    <row r="4598" spans="1:3" x14ac:dyDescent="0.25">
      <c r="A4598" s="48" t="s">
        <v>10972</v>
      </c>
      <c r="B4598" t="s">
        <v>21564</v>
      </c>
      <c r="C4598">
        <v>0</v>
      </c>
    </row>
    <row r="4599" spans="1:3" x14ac:dyDescent="0.25">
      <c r="A4599" s="48" t="s">
        <v>10982</v>
      </c>
      <c r="B4599" t="s">
        <v>21565</v>
      </c>
      <c r="C4599">
        <v>0</v>
      </c>
    </row>
    <row r="4600" spans="1:3" x14ac:dyDescent="0.25">
      <c r="A4600" s="48" t="s">
        <v>10986</v>
      </c>
      <c r="B4600" t="s">
        <v>21566</v>
      </c>
      <c r="C4600">
        <v>0</v>
      </c>
    </row>
    <row r="4601" spans="1:3" x14ac:dyDescent="0.25">
      <c r="A4601" s="48" t="s">
        <v>10864</v>
      </c>
      <c r="B4601" t="s">
        <v>21567</v>
      </c>
      <c r="C4601">
        <v>5</v>
      </c>
    </row>
    <row r="4602" spans="1:3" x14ac:dyDescent="0.25">
      <c r="A4602" s="48" t="s">
        <v>10862</v>
      </c>
      <c r="B4602" t="s">
        <v>21568</v>
      </c>
      <c r="C4602">
        <v>6</v>
      </c>
    </row>
    <row r="4603" spans="1:3" x14ac:dyDescent="0.25">
      <c r="A4603" s="48" t="s">
        <v>3861</v>
      </c>
      <c r="B4603" t="s">
        <v>21569</v>
      </c>
      <c r="C4603">
        <v>0</v>
      </c>
    </row>
    <row r="4604" spans="1:3" x14ac:dyDescent="0.25">
      <c r="A4604" s="48" t="s">
        <v>15927</v>
      </c>
      <c r="B4604" t="s">
        <v>21570</v>
      </c>
      <c r="C4604">
        <v>0</v>
      </c>
    </row>
    <row r="4605" spans="1:3" x14ac:dyDescent="0.25">
      <c r="A4605" s="48" t="s">
        <v>15929</v>
      </c>
      <c r="B4605" t="s">
        <v>21571</v>
      </c>
      <c r="C4605">
        <v>0</v>
      </c>
    </row>
    <row r="4606" spans="1:3" x14ac:dyDescent="0.25">
      <c r="A4606" s="48" t="s">
        <v>19744</v>
      </c>
      <c r="B4606" t="s">
        <v>19745</v>
      </c>
      <c r="C4606">
        <v>0</v>
      </c>
    </row>
    <row r="4607" spans="1:3" x14ac:dyDescent="0.25">
      <c r="A4607" s="48" t="s">
        <v>19746</v>
      </c>
      <c r="B4607" t="s">
        <v>19747</v>
      </c>
      <c r="C4607">
        <v>0</v>
      </c>
    </row>
    <row r="4608" spans="1:3" x14ac:dyDescent="0.25">
      <c r="A4608" s="48" t="s">
        <v>19402</v>
      </c>
      <c r="B4608" t="s">
        <v>21572</v>
      </c>
      <c r="C4608">
        <v>0</v>
      </c>
    </row>
    <row r="4609" spans="1:3" x14ac:dyDescent="0.25">
      <c r="A4609" s="48" t="s">
        <v>19404</v>
      </c>
      <c r="B4609" t="s">
        <v>21573</v>
      </c>
      <c r="C4609">
        <v>0</v>
      </c>
    </row>
    <row r="4610" spans="1:3" x14ac:dyDescent="0.25">
      <c r="A4610" s="48" t="s">
        <v>18792</v>
      </c>
      <c r="B4610" t="s">
        <v>21574</v>
      </c>
      <c r="C4610">
        <v>0</v>
      </c>
    </row>
    <row r="4611" spans="1:3" x14ac:dyDescent="0.25">
      <c r="A4611" s="48" t="s">
        <v>18999</v>
      </c>
      <c r="B4611" t="s">
        <v>21575</v>
      </c>
      <c r="C4611">
        <v>0</v>
      </c>
    </row>
    <row r="4612" spans="1:3" x14ac:dyDescent="0.25">
      <c r="A4612" s="48" t="s">
        <v>19001</v>
      </c>
      <c r="B4612" t="s">
        <v>21576</v>
      </c>
      <c r="C4612">
        <v>0</v>
      </c>
    </row>
    <row r="4613" spans="1:3" x14ac:dyDescent="0.25">
      <c r="A4613" s="48" t="s">
        <v>19748</v>
      </c>
      <c r="B4613" t="s">
        <v>19749</v>
      </c>
      <c r="C4613">
        <v>0</v>
      </c>
    </row>
    <row r="4614" spans="1:3" x14ac:dyDescent="0.25">
      <c r="A4614" s="48" t="s">
        <v>19080</v>
      </c>
      <c r="B4614" t="s">
        <v>21577</v>
      </c>
      <c r="C4614">
        <v>0</v>
      </c>
    </row>
    <row r="4615" spans="1:3" x14ac:dyDescent="0.25">
      <c r="A4615" s="48" t="s">
        <v>7764</v>
      </c>
      <c r="B4615" t="s">
        <v>21578</v>
      </c>
      <c r="C4615">
        <v>0</v>
      </c>
    </row>
    <row r="4616" spans="1:3" x14ac:dyDescent="0.25">
      <c r="A4616" s="48" t="s">
        <v>16210</v>
      </c>
      <c r="B4616" t="s">
        <v>16211</v>
      </c>
      <c r="C4616">
        <v>0</v>
      </c>
    </row>
    <row r="4617" spans="1:3" x14ac:dyDescent="0.25">
      <c r="A4617" s="48" t="s">
        <v>17881</v>
      </c>
      <c r="B4617" t="s">
        <v>17882</v>
      </c>
      <c r="C4617">
        <v>0</v>
      </c>
    </row>
    <row r="4618" spans="1:3" x14ac:dyDescent="0.25">
      <c r="A4618" s="48" t="s">
        <v>18163</v>
      </c>
      <c r="B4618" t="s">
        <v>21579</v>
      </c>
      <c r="C4618">
        <v>0</v>
      </c>
    </row>
    <row r="4619" spans="1:3" x14ac:dyDescent="0.25">
      <c r="A4619" s="48" t="s">
        <v>7112</v>
      </c>
      <c r="B4619" t="s">
        <v>7113</v>
      </c>
      <c r="C4619">
        <v>0</v>
      </c>
    </row>
    <row r="4620" spans="1:3" x14ac:dyDescent="0.25">
      <c r="A4620" s="48" t="s">
        <v>8244</v>
      </c>
      <c r="B4620" t="s">
        <v>8245</v>
      </c>
      <c r="C4620">
        <v>0</v>
      </c>
    </row>
    <row r="4621" spans="1:3" x14ac:dyDescent="0.25">
      <c r="A4621" s="48" t="s">
        <v>8242</v>
      </c>
      <c r="B4621" t="s">
        <v>8243</v>
      </c>
      <c r="C4621">
        <v>1</v>
      </c>
    </row>
    <row r="4622" spans="1:3" x14ac:dyDescent="0.25">
      <c r="A4622" s="48" t="s">
        <v>7106</v>
      </c>
      <c r="B4622" t="s">
        <v>7107</v>
      </c>
      <c r="C4622">
        <v>0</v>
      </c>
    </row>
    <row r="4623" spans="1:3" x14ac:dyDescent="0.25">
      <c r="A4623" s="48" t="s">
        <v>7108</v>
      </c>
      <c r="B4623" t="s">
        <v>7109</v>
      </c>
      <c r="C4623">
        <v>0</v>
      </c>
    </row>
    <row r="4624" spans="1:3" x14ac:dyDescent="0.25">
      <c r="A4624" s="48" t="s">
        <v>7110</v>
      </c>
      <c r="B4624" t="s">
        <v>7111</v>
      </c>
      <c r="C4624">
        <v>0</v>
      </c>
    </row>
    <row r="4625" spans="1:3" x14ac:dyDescent="0.25">
      <c r="A4625" s="48" t="s">
        <v>17879</v>
      </c>
      <c r="B4625" t="s">
        <v>17880</v>
      </c>
      <c r="C4625">
        <v>1</v>
      </c>
    </row>
    <row r="4626" spans="1:3" x14ac:dyDescent="0.25">
      <c r="A4626" s="48" t="s">
        <v>5862</v>
      </c>
      <c r="B4626" t="s">
        <v>21580</v>
      </c>
      <c r="C4626">
        <v>0</v>
      </c>
    </row>
    <row r="4627" spans="1:3" x14ac:dyDescent="0.25">
      <c r="A4627" s="48" t="s">
        <v>5858</v>
      </c>
      <c r="B4627" t="s">
        <v>21581</v>
      </c>
      <c r="C4627">
        <v>0</v>
      </c>
    </row>
    <row r="4628" spans="1:3" x14ac:dyDescent="0.25">
      <c r="A4628" s="48" t="s">
        <v>5860</v>
      </c>
      <c r="B4628" t="s">
        <v>21582</v>
      </c>
      <c r="C4628">
        <v>0</v>
      </c>
    </row>
    <row r="4629" spans="1:3" x14ac:dyDescent="0.25">
      <c r="A4629" s="48" t="s">
        <v>5864</v>
      </c>
      <c r="B4629" t="s">
        <v>21583</v>
      </c>
      <c r="C4629">
        <v>0</v>
      </c>
    </row>
    <row r="4630" spans="1:3" x14ac:dyDescent="0.25">
      <c r="A4630" s="48" t="s">
        <v>18492</v>
      </c>
      <c r="B4630" t="s">
        <v>18493</v>
      </c>
      <c r="C4630">
        <v>9</v>
      </c>
    </row>
    <row r="4631" spans="1:3" x14ac:dyDescent="0.25">
      <c r="A4631" s="48" t="s">
        <v>18494</v>
      </c>
      <c r="B4631" t="s">
        <v>18495</v>
      </c>
      <c r="C4631">
        <v>2</v>
      </c>
    </row>
    <row r="4632" spans="1:3" x14ac:dyDescent="0.25">
      <c r="A4632" s="48" t="s">
        <v>18496</v>
      </c>
      <c r="B4632" t="s">
        <v>18497</v>
      </c>
      <c r="C4632">
        <v>5</v>
      </c>
    </row>
    <row r="4633" spans="1:3" x14ac:dyDescent="0.25">
      <c r="A4633" s="48" t="s">
        <v>18498</v>
      </c>
      <c r="B4633" t="s">
        <v>18499</v>
      </c>
      <c r="C4633">
        <v>2</v>
      </c>
    </row>
    <row r="4634" spans="1:3" x14ac:dyDescent="0.25">
      <c r="A4634" s="48" t="s">
        <v>15076</v>
      </c>
      <c r="B4634" t="s">
        <v>15077</v>
      </c>
      <c r="C4634">
        <v>67</v>
      </c>
    </row>
    <row r="4635" spans="1:3" x14ac:dyDescent="0.25">
      <c r="A4635" s="48" t="s">
        <v>321</v>
      </c>
      <c r="B4635" t="s">
        <v>322</v>
      </c>
      <c r="C4635">
        <v>18</v>
      </c>
    </row>
    <row r="4636" spans="1:3" x14ac:dyDescent="0.25">
      <c r="A4636" s="48" t="s">
        <v>15078</v>
      </c>
      <c r="B4636" t="s">
        <v>15079</v>
      </c>
      <c r="C4636">
        <v>66</v>
      </c>
    </row>
    <row r="4637" spans="1:3" x14ac:dyDescent="0.25">
      <c r="A4637" s="48" t="s">
        <v>4499</v>
      </c>
      <c r="B4637" t="s">
        <v>4500</v>
      </c>
      <c r="C4637">
        <v>0</v>
      </c>
    </row>
    <row r="4638" spans="1:3" x14ac:dyDescent="0.25">
      <c r="A4638" s="48" t="s">
        <v>18596</v>
      </c>
      <c r="B4638" t="s">
        <v>18597</v>
      </c>
      <c r="C4638">
        <v>1</v>
      </c>
    </row>
    <row r="4639" spans="1:3" x14ac:dyDescent="0.25">
      <c r="A4639" s="48" t="s">
        <v>15002</v>
      </c>
      <c r="B4639" t="s">
        <v>15003</v>
      </c>
      <c r="C4639">
        <v>3</v>
      </c>
    </row>
    <row r="4640" spans="1:3" x14ac:dyDescent="0.25">
      <c r="A4640" s="48" t="s">
        <v>14994</v>
      </c>
      <c r="B4640" t="s">
        <v>14995</v>
      </c>
      <c r="C4640">
        <v>36</v>
      </c>
    </row>
    <row r="4641" spans="1:3" x14ac:dyDescent="0.25">
      <c r="A4641" s="48" t="s">
        <v>23045</v>
      </c>
      <c r="B4641" t="s">
        <v>23046</v>
      </c>
      <c r="C4641">
        <v>34</v>
      </c>
    </row>
    <row r="4642" spans="1:3" x14ac:dyDescent="0.25">
      <c r="A4642" s="48" t="s">
        <v>4624</v>
      </c>
      <c r="B4642" t="s">
        <v>4625</v>
      </c>
      <c r="C4642">
        <v>0</v>
      </c>
    </row>
    <row r="4643" spans="1:3" x14ac:dyDescent="0.25">
      <c r="A4643" s="48" t="s">
        <v>6895</v>
      </c>
      <c r="B4643" t="s">
        <v>6896</v>
      </c>
      <c r="C4643">
        <v>0</v>
      </c>
    </row>
    <row r="4644" spans="1:3" x14ac:dyDescent="0.25">
      <c r="A4644" s="48" t="s">
        <v>6893</v>
      </c>
      <c r="B4644" t="s">
        <v>6894</v>
      </c>
      <c r="C4644">
        <v>0</v>
      </c>
    </row>
    <row r="4645" spans="1:3" x14ac:dyDescent="0.25">
      <c r="A4645" s="48" t="s">
        <v>6891</v>
      </c>
      <c r="B4645" t="s">
        <v>6892</v>
      </c>
      <c r="C4645">
        <v>2</v>
      </c>
    </row>
    <row r="4646" spans="1:3" x14ac:dyDescent="0.25">
      <c r="A4646" s="48" t="s">
        <v>5044</v>
      </c>
      <c r="B4646" t="s">
        <v>5045</v>
      </c>
      <c r="C4646">
        <v>4</v>
      </c>
    </row>
    <row r="4647" spans="1:3" x14ac:dyDescent="0.25">
      <c r="A4647" s="48" t="s">
        <v>5040</v>
      </c>
      <c r="B4647" t="s">
        <v>5041</v>
      </c>
      <c r="C4647">
        <v>0</v>
      </c>
    </row>
    <row r="4648" spans="1:3" x14ac:dyDescent="0.25">
      <c r="A4648" s="48" t="s">
        <v>14858</v>
      </c>
      <c r="B4648" t="s">
        <v>14859</v>
      </c>
      <c r="C4648">
        <v>0</v>
      </c>
    </row>
    <row r="4649" spans="1:3" x14ac:dyDescent="0.25">
      <c r="A4649" s="48" t="s">
        <v>15010</v>
      </c>
      <c r="B4649" t="s">
        <v>15011</v>
      </c>
      <c r="C4649">
        <v>5</v>
      </c>
    </row>
    <row r="4650" spans="1:3" x14ac:dyDescent="0.25">
      <c r="A4650" s="48" t="s">
        <v>15008</v>
      </c>
      <c r="B4650" t="s">
        <v>15009</v>
      </c>
      <c r="C4650">
        <v>5</v>
      </c>
    </row>
    <row r="4651" spans="1:3" x14ac:dyDescent="0.25">
      <c r="A4651" s="48" t="s">
        <v>18484</v>
      </c>
      <c r="B4651" t="s">
        <v>18485</v>
      </c>
      <c r="C4651">
        <v>0</v>
      </c>
    </row>
    <row r="4652" spans="1:3" x14ac:dyDescent="0.25">
      <c r="A4652" s="48" t="s">
        <v>18488</v>
      </c>
      <c r="B4652" t="s">
        <v>18489</v>
      </c>
      <c r="C4652">
        <v>0</v>
      </c>
    </row>
    <row r="4653" spans="1:3" x14ac:dyDescent="0.25">
      <c r="A4653" s="48" t="s">
        <v>18490</v>
      </c>
      <c r="B4653" t="s">
        <v>18491</v>
      </c>
      <c r="C4653">
        <v>0</v>
      </c>
    </row>
    <row r="4654" spans="1:3" x14ac:dyDescent="0.25">
      <c r="A4654" s="48" t="s">
        <v>18486</v>
      </c>
      <c r="B4654" t="s">
        <v>18487</v>
      </c>
      <c r="C4654">
        <v>0</v>
      </c>
    </row>
    <row r="4655" spans="1:3" x14ac:dyDescent="0.25">
      <c r="A4655" s="48" t="s">
        <v>18482</v>
      </c>
      <c r="B4655" t="s">
        <v>18483</v>
      </c>
      <c r="C4655">
        <v>0</v>
      </c>
    </row>
    <row r="4656" spans="1:3" x14ac:dyDescent="0.25">
      <c r="A4656" s="48" t="s">
        <v>4030</v>
      </c>
      <c r="B4656" t="s">
        <v>4031</v>
      </c>
      <c r="C4656">
        <v>0</v>
      </c>
    </row>
    <row r="4657" spans="1:3" x14ac:dyDescent="0.25">
      <c r="A4657" s="48" t="s">
        <v>4025</v>
      </c>
      <c r="B4657" t="s">
        <v>4026</v>
      </c>
      <c r="C4657">
        <v>124</v>
      </c>
    </row>
    <row r="4658" spans="1:3" x14ac:dyDescent="0.25">
      <c r="A4658" s="48" t="s">
        <v>9780</v>
      </c>
      <c r="B4658" t="s">
        <v>9781</v>
      </c>
      <c r="C4658">
        <v>0</v>
      </c>
    </row>
    <row r="4659" spans="1:3" x14ac:dyDescent="0.25">
      <c r="A4659" s="48" t="s">
        <v>18574</v>
      </c>
      <c r="B4659" t="s">
        <v>18575</v>
      </c>
      <c r="C4659">
        <v>2</v>
      </c>
    </row>
    <row r="4660" spans="1:3" x14ac:dyDescent="0.25">
      <c r="A4660" s="48" t="s">
        <v>14650</v>
      </c>
      <c r="B4660" t="s">
        <v>14651</v>
      </c>
      <c r="C4660">
        <v>8</v>
      </c>
    </row>
    <row r="4661" spans="1:3" x14ac:dyDescent="0.25">
      <c r="A4661" s="48" t="s">
        <v>8234</v>
      </c>
      <c r="B4661" t="s">
        <v>8235</v>
      </c>
      <c r="C4661">
        <v>0</v>
      </c>
    </row>
    <row r="4662" spans="1:3" x14ac:dyDescent="0.25">
      <c r="A4662" s="48" t="s">
        <v>49</v>
      </c>
      <c r="B4662" t="s">
        <v>50</v>
      </c>
      <c r="C4662">
        <v>0</v>
      </c>
    </row>
    <row r="4663" spans="1:3" x14ac:dyDescent="0.25">
      <c r="A4663" s="48" t="s">
        <v>15004</v>
      </c>
      <c r="B4663" t="s">
        <v>15005</v>
      </c>
      <c r="C4663">
        <v>0</v>
      </c>
    </row>
    <row r="4664" spans="1:3" x14ac:dyDescent="0.25">
      <c r="A4664" s="48" t="s">
        <v>16360</v>
      </c>
      <c r="B4664" t="s">
        <v>16361</v>
      </c>
      <c r="C4664">
        <v>0</v>
      </c>
    </row>
    <row r="4665" spans="1:3" x14ac:dyDescent="0.25">
      <c r="A4665" s="48" t="s">
        <v>7927</v>
      </c>
      <c r="B4665" t="s">
        <v>7928</v>
      </c>
      <c r="C4665">
        <v>8</v>
      </c>
    </row>
    <row r="4666" spans="1:3" x14ac:dyDescent="0.25">
      <c r="A4666" s="48" t="s">
        <v>1673</v>
      </c>
      <c r="B4666" t="s">
        <v>1674</v>
      </c>
      <c r="C4666">
        <v>16</v>
      </c>
    </row>
    <row r="4667" spans="1:3" x14ac:dyDescent="0.25">
      <c r="A4667" s="48" t="s">
        <v>3771</v>
      </c>
      <c r="B4667" t="s">
        <v>3772</v>
      </c>
      <c r="C4667">
        <v>0</v>
      </c>
    </row>
    <row r="4668" spans="1:3" x14ac:dyDescent="0.25">
      <c r="A4668" s="48" t="s">
        <v>19605</v>
      </c>
      <c r="B4668" t="s">
        <v>19606</v>
      </c>
      <c r="C4668">
        <v>0</v>
      </c>
    </row>
    <row r="4669" spans="1:3" x14ac:dyDescent="0.25">
      <c r="A4669" s="48" t="s">
        <v>19603</v>
      </c>
      <c r="B4669" t="s">
        <v>19604</v>
      </c>
      <c r="C4669">
        <v>21</v>
      </c>
    </row>
    <row r="4670" spans="1:3" x14ac:dyDescent="0.25">
      <c r="A4670" s="48" t="s">
        <v>19611</v>
      </c>
      <c r="B4670" t="s">
        <v>19612</v>
      </c>
      <c r="C4670">
        <v>0</v>
      </c>
    </row>
    <row r="4671" spans="1:3" x14ac:dyDescent="0.25">
      <c r="A4671" s="48" t="s">
        <v>11786</v>
      </c>
      <c r="B4671" t="s">
        <v>11787</v>
      </c>
      <c r="C4671">
        <v>0</v>
      </c>
    </row>
    <row r="4672" spans="1:3" x14ac:dyDescent="0.25">
      <c r="A4672" s="48" t="s">
        <v>11784</v>
      </c>
      <c r="B4672" t="s">
        <v>11785</v>
      </c>
      <c r="C4672">
        <v>0</v>
      </c>
    </row>
    <row r="4673" spans="1:3" x14ac:dyDescent="0.25">
      <c r="A4673" s="48" t="s">
        <v>11782</v>
      </c>
      <c r="B4673" t="s">
        <v>11783</v>
      </c>
      <c r="C4673">
        <v>0</v>
      </c>
    </row>
    <row r="4674" spans="1:3" x14ac:dyDescent="0.25">
      <c r="A4674" s="48" t="s">
        <v>17748</v>
      </c>
      <c r="B4674" t="s">
        <v>21584</v>
      </c>
      <c r="C4674">
        <v>0</v>
      </c>
    </row>
    <row r="4675" spans="1:3" x14ac:dyDescent="0.25">
      <c r="A4675" s="48" t="s">
        <v>17746</v>
      </c>
      <c r="B4675" t="s">
        <v>21585</v>
      </c>
      <c r="C4675">
        <v>0</v>
      </c>
    </row>
    <row r="4676" spans="1:3" x14ac:dyDescent="0.25">
      <c r="A4676" s="48" t="s">
        <v>17750</v>
      </c>
      <c r="B4676" t="s">
        <v>21586</v>
      </c>
      <c r="C4676">
        <v>0</v>
      </c>
    </row>
    <row r="4677" spans="1:3" x14ac:dyDescent="0.25">
      <c r="A4677" s="48" t="s">
        <v>10175</v>
      </c>
      <c r="B4677" t="s">
        <v>21587</v>
      </c>
      <c r="C4677">
        <v>20</v>
      </c>
    </row>
    <row r="4678" spans="1:3" x14ac:dyDescent="0.25">
      <c r="A4678" s="48" t="s">
        <v>10171</v>
      </c>
      <c r="B4678" t="s">
        <v>21588</v>
      </c>
      <c r="C4678">
        <v>47</v>
      </c>
    </row>
    <row r="4679" spans="1:3" x14ac:dyDescent="0.25">
      <c r="A4679" s="48" t="s">
        <v>14252</v>
      </c>
      <c r="B4679" t="s">
        <v>14253</v>
      </c>
      <c r="C4679">
        <v>0</v>
      </c>
    </row>
    <row r="4680" spans="1:3" x14ac:dyDescent="0.25">
      <c r="A4680" s="48" t="s">
        <v>14254</v>
      </c>
      <c r="B4680" t="s">
        <v>14255</v>
      </c>
      <c r="C4680">
        <v>0</v>
      </c>
    </row>
    <row r="4681" spans="1:3" x14ac:dyDescent="0.25">
      <c r="A4681" s="48" t="s">
        <v>17636</v>
      </c>
      <c r="B4681" t="s">
        <v>21589</v>
      </c>
      <c r="C4681">
        <v>3</v>
      </c>
    </row>
    <row r="4682" spans="1:3" x14ac:dyDescent="0.25">
      <c r="A4682" s="48" t="s">
        <v>17648</v>
      </c>
      <c r="B4682" t="s">
        <v>21590</v>
      </c>
      <c r="C4682">
        <v>10</v>
      </c>
    </row>
    <row r="4683" spans="1:3" x14ac:dyDescent="0.25">
      <c r="A4683" s="48" t="s">
        <v>17650</v>
      </c>
      <c r="B4683" t="s">
        <v>21591</v>
      </c>
      <c r="C4683">
        <v>0</v>
      </c>
    </row>
    <row r="4684" spans="1:3" x14ac:dyDescent="0.25">
      <c r="A4684" s="48" t="s">
        <v>17634</v>
      </c>
      <c r="B4684" t="s">
        <v>21592</v>
      </c>
      <c r="C4684">
        <v>13</v>
      </c>
    </row>
    <row r="4685" spans="1:3" x14ac:dyDescent="0.25">
      <c r="A4685" s="48" t="s">
        <v>17644</v>
      </c>
      <c r="B4685" t="s">
        <v>21593</v>
      </c>
      <c r="C4685">
        <v>0</v>
      </c>
    </row>
    <row r="4686" spans="1:3" x14ac:dyDescent="0.25">
      <c r="A4686" s="48" t="s">
        <v>17640</v>
      </c>
      <c r="B4686" t="s">
        <v>21594</v>
      </c>
      <c r="C4686">
        <v>14</v>
      </c>
    </row>
    <row r="4687" spans="1:3" x14ac:dyDescent="0.25">
      <c r="A4687" s="48" t="s">
        <v>17638</v>
      </c>
      <c r="B4687" t="s">
        <v>21595</v>
      </c>
      <c r="C4687">
        <v>0</v>
      </c>
    </row>
    <row r="4688" spans="1:3" x14ac:dyDescent="0.25">
      <c r="A4688" s="48" t="s">
        <v>17642</v>
      </c>
      <c r="B4688" t="s">
        <v>21596</v>
      </c>
      <c r="C4688">
        <v>0</v>
      </c>
    </row>
    <row r="4689" spans="1:3" x14ac:dyDescent="0.25">
      <c r="A4689" s="48" t="s">
        <v>17728</v>
      </c>
      <c r="B4689" t="s">
        <v>21597</v>
      </c>
      <c r="C4689">
        <v>8</v>
      </c>
    </row>
    <row r="4690" spans="1:3" x14ac:dyDescent="0.25">
      <c r="A4690" s="48" t="s">
        <v>3847</v>
      </c>
      <c r="B4690" t="s">
        <v>3848</v>
      </c>
      <c r="C4690">
        <v>36</v>
      </c>
    </row>
    <row r="4691" spans="1:3" x14ac:dyDescent="0.25">
      <c r="A4691" s="48" t="s">
        <v>3845</v>
      </c>
      <c r="B4691" t="s">
        <v>22905</v>
      </c>
      <c r="C4691">
        <v>0</v>
      </c>
    </row>
    <row r="4692" spans="1:3" x14ac:dyDescent="0.25">
      <c r="A4692" s="48" t="s">
        <v>13286</v>
      </c>
      <c r="B4692" t="s">
        <v>13287</v>
      </c>
      <c r="C4692">
        <v>0</v>
      </c>
    </row>
    <row r="4693" spans="1:3" x14ac:dyDescent="0.25">
      <c r="A4693" s="48" t="s">
        <v>13296</v>
      </c>
      <c r="B4693" t="s">
        <v>13297</v>
      </c>
      <c r="C4693">
        <v>0</v>
      </c>
    </row>
    <row r="4694" spans="1:3" x14ac:dyDescent="0.25">
      <c r="A4694" s="48" t="s">
        <v>13298</v>
      </c>
      <c r="B4694" t="s">
        <v>13299</v>
      </c>
      <c r="C4694">
        <v>0</v>
      </c>
    </row>
    <row r="4695" spans="1:3" x14ac:dyDescent="0.25">
      <c r="A4695" s="48" t="s">
        <v>3839</v>
      </c>
      <c r="B4695" t="s">
        <v>3840</v>
      </c>
      <c r="C4695">
        <v>21</v>
      </c>
    </row>
    <row r="4696" spans="1:3" x14ac:dyDescent="0.25">
      <c r="A4696" s="48" t="s">
        <v>3827</v>
      </c>
      <c r="B4696" t="s">
        <v>21598</v>
      </c>
      <c r="C4696">
        <v>0</v>
      </c>
    </row>
    <row r="4697" spans="1:3" x14ac:dyDescent="0.25">
      <c r="A4697" s="48" t="s">
        <v>3843</v>
      </c>
      <c r="B4697" t="s">
        <v>3844</v>
      </c>
      <c r="C4697">
        <v>21</v>
      </c>
    </row>
    <row r="4698" spans="1:3" x14ac:dyDescent="0.25">
      <c r="A4698" s="48" t="s">
        <v>3841</v>
      </c>
      <c r="B4698" t="s">
        <v>3842</v>
      </c>
      <c r="C4698">
        <v>0</v>
      </c>
    </row>
    <row r="4699" spans="1:3" x14ac:dyDescent="0.25">
      <c r="A4699" s="48" t="s">
        <v>3821</v>
      </c>
      <c r="B4699" t="s">
        <v>3822</v>
      </c>
      <c r="C4699">
        <v>0</v>
      </c>
    </row>
    <row r="4700" spans="1:3" x14ac:dyDescent="0.25">
      <c r="A4700" s="48" t="s">
        <v>3837</v>
      </c>
      <c r="B4700" t="s">
        <v>3838</v>
      </c>
      <c r="C4700">
        <v>0</v>
      </c>
    </row>
    <row r="4701" spans="1:3" x14ac:dyDescent="0.25">
      <c r="A4701" s="48" t="s">
        <v>3811</v>
      </c>
      <c r="B4701" t="s">
        <v>3812</v>
      </c>
      <c r="C4701">
        <v>46</v>
      </c>
    </row>
    <row r="4702" spans="1:3" x14ac:dyDescent="0.25">
      <c r="A4702" s="48" t="s">
        <v>3813</v>
      </c>
      <c r="B4702" t="s">
        <v>3814</v>
      </c>
      <c r="C4702">
        <v>0</v>
      </c>
    </row>
    <row r="4703" spans="1:3" x14ac:dyDescent="0.25">
      <c r="A4703" s="48" t="s">
        <v>3829</v>
      </c>
      <c r="B4703" t="s">
        <v>3830</v>
      </c>
      <c r="C4703">
        <v>0</v>
      </c>
    </row>
    <row r="4704" spans="1:3" x14ac:dyDescent="0.25">
      <c r="A4704" s="48" t="s">
        <v>3817</v>
      </c>
      <c r="B4704" t="s">
        <v>3818</v>
      </c>
      <c r="C4704">
        <v>1</v>
      </c>
    </row>
    <row r="4705" spans="1:3" x14ac:dyDescent="0.25">
      <c r="A4705" s="48" t="s">
        <v>3819</v>
      </c>
      <c r="B4705" t="s">
        <v>3820</v>
      </c>
      <c r="C4705">
        <v>0</v>
      </c>
    </row>
    <row r="4706" spans="1:3" x14ac:dyDescent="0.25">
      <c r="A4706" s="48" t="s">
        <v>17670</v>
      </c>
      <c r="B4706" t="s">
        <v>21599</v>
      </c>
      <c r="C4706">
        <v>0</v>
      </c>
    </row>
    <row r="4707" spans="1:3" x14ac:dyDescent="0.25">
      <c r="A4707" s="48" t="s">
        <v>3815</v>
      </c>
      <c r="B4707" t="s">
        <v>3816</v>
      </c>
      <c r="C4707">
        <v>1</v>
      </c>
    </row>
    <row r="4708" spans="1:3" x14ac:dyDescent="0.25">
      <c r="A4708" s="48" t="s">
        <v>3831</v>
      </c>
      <c r="B4708" t="s">
        <v>3832</v>
      </c>
      <c r="C4708">
        <v>1</v>
      </c>
    </row>
    <row r="4709" spans="1:3" x14ac:dyDescent="0.25">
      <c r="A4709" s="48" t="s">
        <v>17620</v>
      </c>
      <c r="B4709" t="s">
        <v>21600</v>
      </c>
      <c r="C4709">
        <v>0</v>
      </c>
    </row>
    <row r="4710" spans="1:3" x14ac:dyDescent="0.25">
      <c r="A4710" s="48" t="s">
        <v>17706</v>
      </c>
      <c r="B4710" t="s">
        <v>21601</v>
      </c>
      <c r="C4710">
        <v>0</v>
      </c>
    </row>
    <row r="4711" spans="1:3" x14ac:dyDescent="0.25">
      <c r="A4711" s="48" t="s">
        <v>17720</v>
      </c>
      <c r="B4711" t="s">
        <v>21602</v>
      </c>
      <c r="C4711">
        <v>0</v>
      </c>
    </row>
    <row r="4712" spans="1:3" x14ac:dyDescent="0.25">
      <c r="A4712" s="48" t="s">
        <v>17698</v>
      </c>
      <c r="B4712" t="s">
        <v>21603</v>
      </c>
      <c r="C4712">
        <v>0</v>
      </c>
    </row>
    <row r="4713" spans="1:3" x14ac:dyDescent="0.25">
      <c r="A4713" s="48" t="s">
        <v>16924</v>
      </c>
      <c r="B4713" t="s">
        <v>21604</v>
      </c>
      <c r="C4713">
        <v>0</v>
      </c>
    </row>
    <row r="4714" spans="1:3" x14ac:dyDescent="0.25">
      <c r="A4714" s="48" t="s">
        <v>13284</v>
      </c>
      <c r="B4714" t="s">
        <v>13285</v>
      </c>
      <c r="C4714">
        <v>0</v>
      </c>
    </row>
    <row r="4715" spans="1:3" x14ac:dyDescent="0.25">
      <c r="A4715" s="48" t="s">
        <v>17574</v>
      </c>
      <c r="B4715" t="s">
        <v>21605</v>
      </c>
      <c r="C4715">
        <v>0</v>
      </c>
    </row>
    <row r="4716" spans="1:3" x14ac:dyDescent="0.25">
      <c r="A4716" s="48" t="s">
        <v>13288</v>
      </c>
      <c r="B4716" t="s">
        <v>13289</v>
      </c>
      <c r="C4716">
        <v>0</v>
      </c>
    </row>
    <row r="4717" spans="1:3" x14ac:dyDescent="0.25">
      <c r="A4717" s="48" t="s">
        <v>3823</v>
      </c>
      <c r="B4717" t="s">
        <v>3824</v>
      </c>
      <c r="C4717">
        <v>9</v>
      </c>
    </row>
    <row r="4718" spans="1:3" x14ac:dyDescent="0.25">
      <c r="A4718" s="48" t="s">
        <v>10892</v>
      </c>
      <c r="B4718" t="s">
        <v>21606</v>
      </c>
      <c r="C4718">
        <v>0</v>
      </c>
    </row>
    <row r="4719" spans="1:3" x14ac:dyDescent="0.25">
      <c r="A4719" s="48" t="s">
        <v>13290</v>
      </c>
      <c r="B4719" t="s">
        <v>13291</v>
      </c>
      <c r="C4719">
        <v>0</v>
      </c>
    </row>
    <row r="4720" spans="1:3" x14ac:dyDescent="0.25">
      <c r="A4720" s="48" t="s">
        <v>10894</v>
      </c>
      <c r="B4720" t="s">
        <v>21607</v>
      </c>
      <c r="C4720">
        <v>0</v>
      </c>
    </row>
    <row r="4721" spans="1:3" x14ac:dyDescent="0.25">
      <c r="A4721" s="48" t="s">
        <v>10896</v>
      </c>
      <c r="B4721" t="s">
        <v>21608</v>
      </c>
      <c r="C4721">
        <v>0</v>
      </c>
    </row>
    <row r="4722" spans="1:3" x14ac:dyDescent="0.25">
      <c r="A4722" s="48" t="s">
        <v>10898</v>
      </c>
      <c r="B4722" t="s">
        <v>21609</v>
      </c>
      <c r="C4722">
        <v>0</v>
      </c>
    </row>
    <row r="4723" spans="1:3" x14ac:dyDescent="0.25">
      <c r="A4723" s="48" t="s">
        <v>10900</v>
      </c>
      <c r="B4723" t="s">
        <v>21610</v>
      </c>
      <c r="C4723">
        <v>0</v>
      </c>
    </row>
    <row r="4724" spans="1:3" x14ac:dyDescent="0.25">
      <c r="A4724" s="48" t="s">
        <v>10902</v>
      </c>
      <c r="B4724" t="s">
        <v>21611</v>
      </c>
      <c r="C4724">
        <v>1</v>
      </c>
    </row>
    <row r="4725" spans="1:3" x14ac:dyDescent="0.25">
      <c r="A4725" s="48" t="s">
        <v>10904</v>
      </c>
      <c r="B4725" t="s">
        <v>21612</v>
      </c>
      <c r="C4725">
        <v>0</v>
      </c>
    </row>
    <row r="4726" spans="1:3" x14ac:dyDescent="0.25">
      <c r="A4726" s="48" t="s">
        <v>10906</v>
      </c>
      <c r="B4726" t="s">
        <v>21613</v>
      </c>
      <c r="C4726">
        <v>0</v>
      </c>
    </row>
    <row r="4727" spans="1:3" x14ac:dyDescent="0.25">
      <c r="A4727" s="48" t="s">
        <v>10908</v>
      </c>
      <c r="B4727" t="s">
        <v>21614</v>
      </c>
      <c r="C4727">
        <v>0</v>
      </c>
    </row>
    <row r="4728" spans="1:3" x14ac:dyDescent="0.25">
      <c r="A4728" s="48" t="s">
        <v>10910</v>
      </c>
      <c r="B4728" t="s">
        <v>21615</v>
      </c>
      <c r="C4728">
        <v>2</v>
      </c>
    </row>
    <row r="4729" spans="1:3" x14ac:dyDescent="0.25">
      <c r="A4729" s="48" t="s">
        <v>13300</v>
      </c>
      <c r="B4729" t="s">
        <v>13301</v>
      </c>
      <c r="C4729">
        <v>0</v>
      </c>
    </row>
    <row r="4730" spans="1:3" x14ac:dyDescent="0.25">
      <c r="A4730" s="48" t="s">
        <v>16920</v>
      </c>
      <c r="B4730" t="s">
        <v>21616</v>
      </c>
      <c r="C4730">
        <v>0</v>
      </c>
    </row>
    <row r="4731" spans="1:3" x14ac:dyDescent="0.25">
      <c r="A4731" s="48" t="s">
        <v>18646</v>
      </c>
      <c r="B4731" t="s">
        <v>21617</v>
      </c>
      <c r="C4731">
        <v>0</v>
      </c>
    </row>
    <row r="4732" spans="1:3" x14ac:dyDescent="0.25">
      <c r="A4732" s="48" t="s">
        <v>13282</v>
      </c>
      <c r="B4732" t="s">
        <v>13283</v>
      </c>
      <c r="C4732">
        <v>0</v>
      </c>
    </row>
    <row r="4733" spans="1:3" x14ac:dyDescent="0.25">
      <c r="A4733" s="48" t="s">
        <v>13292</v>
      </c>
      <c r="B4733" t="s">
        <v>13293</v>
      </c>
      <c r="C4733">
        <v>0</v>
      </c>
    </row>
    <row r="4734" spans="1:3" x14ac:dyDescent="0.25">
      <c r="A4734" s="48" t="s">
        <v>4078</v>
      </c>
      <c r="B4734" t="s">
        <v>4079</v>
      </c>
      <c r="C4734">
        <v>0</v>
      </c>
    </row>
    <row r="4735" spans="1:3" x14ac:dyDescent="0.25">
      <c r="A4735" s="48" t="s">
        <v>10914</v>
      </c>
      <c r="B4735" t="s">
        <v>21618</v>
      </c>
      <c r="C4735">
        <v>0</v>
      </c>
    </row>
    <row r="4736" spans="1:3" x14ac:dyDescent="0.25">
      <c r="A4736" s="48" t="s">
        <v>10916</v>
      </c>
      <c r="B4736" t="s">
        <v>21619</v>
      </c>
      <c r="C4736">
        <v>0</v>
      </c>
    </row>
    <row r="4737" spans="1:3" x14ac:dyDescent="0.25">
      <c r="A4737" s="48" t="s">
        <v>10918</v>
      </c>
      <c r="B4737" t="s">
        <v>21620</v>
      </c>
      <c r="C4737">
        <v>0</v>
      </c>
    </row>
    <row r="4738" spans="1:3" x14ac:dyDescent="0.25">
      <c r="A4738" s="48" t="s">
        <v>10912</v>
      </c>
      <c r="B4738" t="s">
        <v>21621</v>
      </c>
      <c r="C4738">
        <v>0</v>
      </c>
    </row>
    <row r="4739" spans="1:3" x14ac:dyDescent="0.25">
      <c r="A4739" s="48" t="s">
        <v>10924</v>
      </c>
      <c r="B4739" t="s">
        <v>21622</v>
      </c>
      <c r="C4739">
        <v>0</v>
      </c>
    </row>
    <row r="4740" spans="1:3" x14ac:dyDescent="0.25">
      <c r="A4740" s="48" t="s">
        <v>10866</v>
      </c>
      <c r="B4740" t="s">
        <v>21623</v>
      </c>
      <c r="C4740">
        <v>0</v>
      </c>
    </row>
    <row r="4741" spans="1:3" x14ac:dyDescent="0.25">
      <c r="A4741" s="48" t="s">
        <v>2271</v>
      </c>
      <c r="B4741" t="s">
        <v>21624</v>
      </c>
      <c r="C4741">
        <v>0</v>
      </c>
    </row>
    <row r="4742" spans="1:3" x14ac:dyDescent="0.25">
      <c r="A4742" s="48" t="s">
        <v>2272</v>
      </c>
      <c r="B4742" t="s">
        <v>21625</v>
      </c>
      <c r="C4742">
        <v>0</v>
      </c>
    </row>
    <row r="4743" spans="1:3" x14ac:dyDescent="0.25">
      <c r="A4743" s="48" t="s">
        <v>13302</v>
      </c>
      <c r="B4743" t="s">
        <v>13303</v>
      </c>
      <c r="C4743">
        <v>0</v>
      </c>
    </row>
    <row r="4744" spans="1:3" x14ac:dyDescent="0.25">
      <c r="A4744" s="48" t="s">
        <v>11012</v>
      </c>
      <c r="B4744" t="s">
        <v>21626</v>
      </c>
      <c r="C4744">
        <v>0</v>
      </c>
    </row>
    <row r="4745" spans="1:3" x14ac:dyDescent="0.25">
      <c r="A4745" s="48" t="s">
        <v>13294</v>
      </c>
      <c r="B4745" t="s">
        <v>13295</v>
      </c>
      <c r="C4745">
        <v>0</v>
      </c>
    </row>
    <row r="4746" spans="1:3" x14ac:dyDescent="0.25">
      <c r="A4746" s="48" t="s">
        <v>3825</v>
      </c>
      <c r="B4746" t="s">
        <v>3826</v>
      </c>
      <c r="C4746">
        <v>10</v>
      </c>
    </row>
    <row r="4747" spans="1:3" x14ac:dyDescent="0.25">
      <c r="A4747" s="48" t="s">
        <v>10311</v>
      </c>
      <c r="B4747" t="s">
        <v>21627</v>
      </c>
      <c r="C4747">
        <v>0</v>
      </c>
    </row>
    <row r="4748" spans="1:3" x14ac:dyDescent="0.25">
      <c r="A4748" s="48" t="s">
        <v>8546</v>
      </c>
      <c r="B4748" t="s">
        <v>21628</v>
      </c>
      <c r="C4748">
        <v>0</v>
      </c>
    </row>
    <row r="4749" spans="1:3" x14ac:dyDescent="0.25">
      <c r="A4749" s="48" t="s">
        <v>8550</v>
      </c>
      <c r="B4749" t="s">
        <v>21629</v>
      </c>
      <c r="C4749">
        <v>0</v>
      </c>
    </row>
    <row r="4750" spans="1:3" x14ac:dyDescent="0.25">
      <c r="A4750" s="48" t="s">
        <v>8548</v>
      </c>
      <c r="B4750" t="s">
        <v>21630</v>
      </c>
      <c r="C4750">
        <v>0</v>
      </c>
    </row>
    <row r="4751" spans="1:3" x14ac:dyDescent="0.25">
      <c r="A4751" s="48" t="s">
        <v>5137</v>
      </c>
      <c r="B4751" t="s">
        <v>5138</v>
      </c>
      <c r="C4751">
        <v>0</v>
      </c>
    </row>
    <row r="4752" spans="1:3" x14ac:dyDescent="0.25">
      <c r="A4752" s="48" t="s">
        <v>5123</v>
      </c>
      <c r="B4752" t="s">
        <v>5124</v>
      </c>
      <c r="C4752">
        <v>0</v>
      </c>
    </row>
    <row r="4753" spans="1:3" x14ac:dyDescent="0.25">
      <c r="A4753" s="48" t="s">
        <v>17658</v>
      </c>
      <c r="B4753" t="s">
        <v>21631</v>
      </c>
      <c r="C4753">
        <v>0</v>
      </c>
    </row>
    <row r="4754" spans="1:3" x14ac:dyDescent="0.25">
      <c r="A4754" s="48" t="s">
        <v>5143</v>
      </c>
      <c r="B4754" t="s">
        <v>5144</v>
      </c>
      <c r="C4754">
        <v>0</v>
      </c>
    </row>
    <row r="4755" spans="1:3" x14ac:dyDescent="0.25">
      <c r="A4755" s="48" t="s">
        <v>17628</v>
      </c>
      <c r="B4755" t="s">
        <v>21632</v>
      </c>
      <c r="C4755">
        <v>0</v>
      </c>
    </row>
    <row r="4756" spans="1:3" x14ac:dyDescent="0.25">
      <c r="A4756" s="48" t="s">
        <v>17656</v>
      </c>
      <c r="B4756" t="s">
        <v>17657</v>
      </c>
      <c r="C4756">
        <v>0</v>
      </c>
    </row>
    <row r="4757" spans="1:3" x14ac:dyDescent="0.25">
      <c r="A4757" s="48" t="s">
        <v>17626</v>
      </c>
      <c r="B4757" t="s">
        <v>21633</v>
      </c>
      <c r="C4757">
        <v>0</v>
      </c>
    </row>
    <row r="4758" spans="1:3" x14ac:dyDescent="0.25">
      <c r="A4758" s="48" t="s">
        <v>17654</v>
      </c>
      <c r="B4758" t="s">
        <v>17655</v>
      </c>
      <c r="C4758">
        <v>1</v>
      </c>
    </row>
    <row r="4759" spans="1:3" x14ac:dyDescent="0.25">
      <c r="A4759" s="48" t="s">
        <v>17624</v>
      </c>
      <c r="B4759" t="s">
        <v>21634</v>
      </c>
      <c r="C4759">
        <v>10</v>
      </c>
    </row>
    <row r="4760" spans="1:3" x14ac:dyDescent="0.25">
      <c r="A4760" s="48" t="s">
        <v>17704</v>
      </c>
      <c r="B4760" t="s">
        <v>21635</v>
      </c>
      <c r="C4760">
        <v>0</v>
      </c>
    </row>
    <row r="4761" spans="1:3" x14ac:dyDescent="0.25">
      <c r="A4761" s="48" t="s">
        <v>17716</v>
      </c>
      <c r="B4761" t="s">
        <v>21636</v>
      </c>
      <c r="C4761">
        <v>4</v>
      </c>
    </row>
    <row r="4762" spans="1:3" x14ac:dyDescent="0.25">
      <c r="A4762" s="48" t="s">
        <v>17152</v>
      </c>
      <c r="B4762" t="s">
        <v>17153</v>
      </c>
      <c r="C4762">
        <v>0</v>
      </c>
    </row>
    <row r="4763" spans="1:3" x14ac:dyDescent="0.25">
      <c r="A4763" s="48" t="s">
        <v>17925</v>
      </c>
      <c r="B4763" t="s">
        <v>21637</v>
      </c>
      <c r="C4763">
        <v>0</v>
      </c>
    </row>
    <row r="4764" spans="1:3" x14ac:dyDescent="0.25">
      <c r="A4764" s="48" t="s">
        <v>17672</v>
      </c>
      <c r="B4764" t="s">
        <v>21638</v>
      </c>
      <c r="C4764">
        <v>0</v>
      </c>
    </row>
    <row r="4765" spans="1:3" x14ac:dyDescent="0.25">
      <c r="A4765" s="48" t="s">
        <v>17630</v>
      </c>
      <c r="B4765" t="s">
        <v>21639</v>
      </c>
      <c r="C4765">
        <v>0</v>
      </c>
    </row>
    <row r="4766" spans="1:3" x14ac:dyDescent="0.25">
      <c r="A4766" s="48" t="s">
        <v>17929</v>
      </c>
      <c r="B4766" t="s">
        <v>17930</v>
      </c>
      <c r="C4766">
        <v>0</v>
      </c>
    </row>
    <row r="4767" spans="1:3" x14ac:dyDescent="0.25">
      <c r="A4767" s="48" t="s">
        <v>17903</v>
      </c>
      <c r="B4767" t="s">
        <v>17904</v>
      </c>
      <c r="C4767">
        <v>0</v>
      </c>
    </row>
    <row r="4768" spans="1:3" x14ac:dyDescent="0.25">
      <c r="A4768" s="48" t="s">
        <v>4824</v>
      </c>
      <c r="B4768" t="s">
        <v>4825</v>
      </c>
      <c r="C4768">
        <v>0</v>
      </c>
    </row>
    <row r="4769" spans="1:3" x14ac:dyDescent="0.25">
      <c r="A4769" s="48" t="s">
        <v>4237</v>
      </c>
      <c r="B4769" t="s">
        <v>4238</v>
      </c>
      <c r="C4769">
        <v>200</v>
      </c>
    </row>
    <row r="4770" spans="1:3" x14ac:dyDescent="0.25">
      <c r="A4770" s="48" t="s">
        <v>4235</v>
      </c>
      <c r="B4770" t="s">
        <v>4236</v>
      </c>
      <c r="C4770">
        <v>100</v>
      </c>
    </row>
    <row r="4771" spans="1:3" x14ac:dyDescent="0.25">
      <c r="A4771" s="48" t="s">
        <v>4239</v>
      </c>
      <c r="B4771" t="s">
        <v>4240</v>
      </c>
      <c r="C4771">
        <v>300</v>
      </c>
    </row>
    <row r="4772" spans="1:3" x14ac:dyDescent="0.25">
      <c r="A4772" s="48" t="s">
        <v>16916</v>
      </c>
      <c r="B4772" t="s">
        <v>21640</v>
      </c>
      <c r="C4772">
        <v>0</v>
      </c>
    </row>
    <row r="4773" spans="1:3" x14ac:dyDescent="0.25">
      <c r="A4773" s="48" t="s">
        <v>13158</v>
      </c>
      <c r="B4773" t="s">
        <v>13159</v>
      </c>
      <c r="C4773">
        <v>0</v>
      </c>
    </row>
    <row r="4774" spans="1:3" x14ac:dyDescent="0.25">
      <c r="A4774" s="48" t="s">
        <v>14046</v>
      </c>
      <c r="B4774" t="s">
        <v>14047</v>
      </c>
      <c r="C4774">
        <v>8</v>
      </c>
    </row>
    <row r="4775" spans="1:3" x14ac:dyDescent="0.25">
      <c r="A4775" s="48" t="s">
        <v>5409</v>
      </c>
      <c r="B4775" t="s">
        <v>5410</v>
      </c>
      <c r="C4775">
        <v>14</v>
      </c>
    </row>
    <row r="4776" spans="1:3" x14ac:dyDescent="0.25">
      <c r="A4776" s="48" t="s">
        <v>12915</v>
      </c>
      <c r="B4776" t="s">
        <v>12916</v>
      </c>
      <c r="C4776">
        <v>10</v>
      </c>
    </row>
    <row r="4777" spans="1:3" x14ac:dyDescent="0.25">
      <c r="A4777" s="48" t="s">
        <v>7474</v>
      </c>
      <c r="B4777" t="s">
        <v>7475</v>
      </c>
      <c r="C4777">
        <v>26</v>
      </c>
    </row>
    <row r="4778" spans="1:3" x14ac:dyDescent="0.25">
      <c r="A4778" s="48" t="s">
        <v>2765</v>
      </c>
      <c r="B4778" t="s">
        <v>2766</v>
      </c>
      <c r="C4778">
        <v>54</v>
      </c>
    </row>
    <row r="4779" spans="1:3" x14ac:dyDescent="0.25">
      <c r="A4779" s="48" t="s">
        <v>6905</v>
      </c>
      <c r="B4779" t="s">
        <v>6906</v>
      </c>
      <c r="C4779">
        <v>3</v>
      </c>
    </row>
    <row r="4780" spans="1:3" x14ac:dyDescent="0.25">
      <c r="A4780" s="48" t="s">
        <v>2779</v>
      </c>
      <c r="B4780" t="s">
        <v>2780</v>
      </c>
      <c r="C4780">
        <v>26</v>
      </c>
    </row>
    <row r="4781" spans="1:3" x14ac:dyDescent="0.25">
      <c r="A4781" s="48" t="s">
        <v>2831</v>
      </c>
      <c r="B4781" t="s">
        <v>2832</v>
      </c>
      <c r="C4781">
        <v>49</v>
      </c>
    </row>
    <row r="4782" spans="1:3" x14ac:dyDescent="0.25">
      <c r="A4782" s="48" t="s">
        <v>14820</v>
      </c>
      <c r="B4782" t="s">
        <v>14821</v>
      </c>
      <c r="C4782">
        <v>0</v>
      </c>
    </row>
    <row r="4783" spans="1:3" x14ac:dyDescent="0.25">
      <c r="A4783" s="48" t="s">
        <v>14822</v>
      </c>
      <c r="B4783" t="s">
        <v>14823</v>
      </c>
      <c r="C4783">
        <v>0</v>
      </c>
    </row>
    <row r="4784" spans="1:3" x14ac:dyDescent="0.25">
      <c r="A4784" s="48" t="s">
        <v>14816</v>
      </c>
      <c r="B4784" t="s">
        <v>14817</v>
      </c>
      <c r="C4784">
        <v>8</v>
      </c>
    </row>
    <row r="4785" spans="1:3" x14ac:dyDescent="0.25">
      <c r="A4785" s="48" t="s">
        <v>8059</v>
      </c>
      <c r="B4785" t="s">
        <v>8060</v>
      </c>
      <c r="C4785">
        <v>0</v>
      </c>
    </row>
    <row r="4786" spans="1:3" x14ac:dyDescent="0.25">
      <c r="A4786" s="48" t="s">
        <v>8067</v>
      </c>
      <c r="B4786" t="s">
        <v>8068</v>
      </c>
      <c r="C4786">
        <v>0</v>
      </c>
    </row>
    <row r="4787" spans="1:3" x14ac:dyDescent="0.25">
      <c r="A4787" s="48" t="s">
        <v>14270</v>
      </c>
      <c r="B4787" t="s">
        <v>14271</v>
      </c>
      <c r="C4787">
        <v>0</v>
      </c>
    </row>
    <row r="4788" spans="1:3" x14ac:dyDescent="0.25">
      <c r="A4788" s="48" t="s">
        <v>14278</v>
      </c>
      <c r="B4788" t="s">
        <v>14279</v>
      </c>
      <c r="C4788">
        <v>0</v>
      </c>
    </row>
    <row r="4789" spans="1:3" x14ac:dyDescent="0.25">
      <c r="A4789" s="48" t="s">
        <v>14274</v>
      </c>
      <c r="B4789" t="s">
        <v>14275</v>
      </c>
      <c r="C4789">
        <v>0</v>
      </c>
    </row>
    <row r="4790" spans="1:3" x14ac:dyDescent="0.25">
      <c r="A4790" s="48" t="s">
        <v>8063</v>
      </c>
      <c r="B4790" t="s">
        <v>8064</v>
      </c>
      <c r="C4790">
        <v>0</v>
      </c>
    </row>
    <row r="4791" spans="1:3" x14ac:dyDescent="0.25">
      <c r="A4791" s="48" t="s">
        <v>8061</v>
      </c>
      <c r="B4791" t="s">
        <v>8062</v>
      </c>
      <c r="C4791">
        <v>0</v>
      </c>
    </row>
    <row r="4792" spans="1:3" x14ac:dyDescent="0.25">
      <c r="A4792" s="48" t="s">
        <v>14282</v>
      </c>
      <c r="B4792" t="s">
        <v>14283</v>
      </c>
      <c r="C4792">
        <v>0</v>
      </c>
    </row>
    <row r="4793" spans="1:3" x14ac:dyDescent="0.25">
      <c r="A4793" s="48" t="s">
        <v>3138</v>
      </c>
      <c r="B4793" t="s">
        <v>3139</v>
      </c>
      <c r="C4793">
        <v>0</v>
      </c>
    </row>
    <row r="4794" spans="1:3" x14ac:dyDescent="0.25">
      <c r="A4794" s="48" t="s">
        <v>17600</v>
      </c>
      <c r="B4794" t="s">
        <v>21641</v>
      </c>
      <c r="C4794">
        <v>0</v>
      </c>
    </row>
    <row r="4795" spans="1:3" x14ac:dyDescent="0.25">
      <c r="A4795" s="48" t="s">
        <v>17652</v>
      </c>
      <c r="B4795" t="s">
        <v>21642</v>
      </c>
      <c r="C4795">
        <v>0</v>
      </c>
    </row>
    <row r="4796" spans="1:3" x14ac:dyDescent="0.25">
      <c r="A4796" s="48" t="s">
        <v>17726</v>
      </c>
      <c r="B4796" t="s">
        <v>21643</v>
      </c>
      <c r="C4796">
        <v>0</v>
      </c>
    </row>
    <row r="4797" spans="1:3" x14ac:dyDescent="0.25">
      <c r="A4797" s="48" t="s">
        <v>17664</v>
      </c>
      <c r="B4797" t="s">
        <v>21644</v>
      </c>
      <c r="C4797">
        <v>0</v>
      </c>
    </row>
    <row r="4798" spans="1:3" x14ac:dyDescent="0.25">
      <c r="A4798" s="48" t="s">
        <v>17660</v>
      </c>
      <c r="B4798" t="s">
        <v>21645</v>
      </c>
      <c r="C4798">
        <v>1</v>
      </c>
    </row>
    <row r="4799" spans="1:3" x14ac:dyDescent="0.25">
      <c r="A4799" s="48" t="s">
        <v>3449</v>
      </c>
      <c r="B4799" t="s">
        <v>21646</v>
      </c>
      <c r="C4799">
        <v>0</v>
      </c>
    </row>
    <row r="4800" spans="1:3" x14ac:dyDescent="0.25">
      <c r="A4800" s="48" t="s">
        <v>10976</v>
      </c>
      <c r="B4800" t="s">
        <v>21647</v>
      </c>
      <c r="C4800">
        <v>0</v>
      </c>
    </row>
    <row r="4801" spans="1:3" x14ac:dyDescent="0.25">
      <c r="A4801" s="48" t="s">
        <v>19050</v>
      </c>
      <c r="B4801" t="s">
        <v>21648</v>
      </c>
      <c r="C4801">
        <v>0</v>
      </c>
    </row>
    <row r="4802" spans="1:3" x14ac:dyDescent="0.25">
      <c r="A4802" s="48" t="s">
        <v>19052</v>
      </c>
      <c r="B4802" t="s">
        <v>21649</v>
      </c>
      <c r="C4802">
        <v>0</v>
      </c>
    </row>
    <row r="4803" spans="1:3" x14ac:dyDescent="0.25">
      <c r="A4803" s="48" t="s">
        <v>8718</v>
      </c>
      <c r="B4803" t="s">
        <v>21650</v>
      </c>
      <c r="C4803">
        <v>2</v>
      </c>
    </row>
    <row r="4804" spans="1:3" x14ac:dyDescent="0.25">
      <c r="A4804" s="48" t="s">
        <v>5838</v>
      </c>
      <c r="B4804" t="s">
        <v>5839</v>
      </c>
      <c r="C4804">
        <v>4</v>
      </c>
    </row>
    <row r="4805" spans="1:3" x14ac:dyDescent="0.25">
      <c r="A4805" s="48" t="s">
        <v>5840</v>
      </c>
      <c r="B4805" t="s">
        <v>5841</v>
      </c>
      <c r="C4805">
        <v>0</v>
      </c>
    </row>
    <row r="4806" spans="1:3" x14ac:dyDescent="0.25">
      <c r="A4806" s="48" t="s">
        <v>3703</v>
      </c>
      <c r="B4806" t="s">
        <v>3704</v>
      </c>
      <c r="C4806">
        <v>0</v>
      </c>
    </row>
    <row r="4807" spans="1:3" x14ac:dyDescent="0.25">
      <c r="A4807" s="48" t="s">
        <v>8057</v>
      </c>
      <c r="B4807" t="s">
        <v>8058</v>
      </c>
      <c r="C4807">
        <v>0</v>
      </c>
    </row>
    <row r="4808" spans="1:3" x14ac:dyDescent="0.25">
      <c r="A4808" s="48" t="s">
        <v>8065</v>
      </c>
      <c r="B4808" t="s">
        <v>8066</v>
      </c>
      <c r="C4808">
        <v>0</v>
      </c>
    </row>
    <row r="4809" spans="1:3" x14ac:dyDescent="0.25">
      <c r="A4809" s="48" t="s">
        <v>14268</v>
      </c>
      <c r="B4809" t="s">
        <v>14269</v>
      </c>
      <c r="C4809">
        <v>0</v>
      </c>
    </row>
    <row r="4810" spans="1:3" x14ac:dyDescent="0.25">
      <c r="A4810" s="48" t="s">
        <v>14272</v>
      </c>
      <c r="B4810" t="s">
        <v>14273</v>
      </c>
      <c r="C4810">
        <v>0</v>
      </c>
    </row>
    <row r="4811" spans="1:3" x14ac:dyDescent="0.25">
      <c r="A4811" s="48" t="s">
        <v>14276</v>
      </c>
      <c r="B4811" t="s">
        <v>14277</v>
      </c>
      <c r="C4811">
        <v>0</v>
      </c>
    </row>
    <row r="4812" spans="1:3" x14ac:dyDescent="0.25">
      <c r="A4812" s="48" t="s">
        <v>14280</v>
      </c>
      <c r="B4812" t="s">
        <v>14281</v>
      </c>
      <c r="C4812">
        <v>0</v>
      </c>
    </row>
    <row r="4813" spans="1:3" x14ac:dyDescent="0.25">
      <c r="A4813" s="48" t="s">
        <v>4172</v>
      </c>
      <c r="B4813" t="s">
        <v>4173</v>
      </c>
      <c r="C4813">
        <v>592</v>
      </c>
    </row>
    <row r="4814" spans="1:3" x14ac:dyDescent="0.25">
      <c r="A4814" s="48" t="s">
        <v>14836</v>
      </c>
      <c r="B4814" t="s">
        <v>14837</v>
      </c>
      <c r="C4814">
        <v>20</v>
      </c>
    </row>
    <row r="4815" spans="1:3" x14ac:dyDescent="0.25">
      <c r="A4815" s="48" t="s">
        <v>14834</v>
      </c>
      <c r="B4815" t="s">
        <v>14835</v>
      </c>
      <c r="C4815">
        <v>0</v>
      </c>
    </row>
    <row r="4816" spans="1:3" x14ac:dyDescent="0.25">
      <c r="A4816" s="48" t="s">
        <v>14844</v>
      </c>
      <c r="B4816" t="s">
        <v>14845</v>
      </c>
      <c r="C4816">
        <v>0</v>
      </c>
    </row>
    <row r="4817" spans="1:3" x14ac:dyDescent="0.25">
      <c r="A4817" s="48" t="s">
        <v>14818</v>
      </c>
      <c r="B4817" t="s">
        <v>14819</v>
      </c>
      <c r="C4817">
        <v>13</v>
      </c>
    </row>
    <row r="4818" spans="1:3" x14ac:dyDescent="0.25">
      <c r="A4818" s="48" t="s">
        <v>14680</v>
      </c>
      <c r="B4818" t="s">
        <v>21651</v>
      </c>
      <c r="C4818">
        <v>0</v>
      </c>
    </row>
    <row r="4819" spans="1:3" x14ac:dyDescent="0.25">
      <c r="A4819" s="48" t="s">
        <v>5081</v>
      </c>
      <c r="B4819" t="s">
        <v>5082</v>
      </c>
      <c r="C4819">
        <v>0</v>
      </c>
    </row>
    <row r="4820" spans="1:3" x14ac:dyDescent="0.25">
      <c r="A4820" s="48" t="s">
        <v>14798</v>
      </c>
      <c r="B4820" t="s">
        <v>14799</v>
      </c>
      <c r="C4820">
        <v>3</v>
      </c>
    </row>
    <row r="4821" spans="1:3" x14ac:dyDescent="0.25">
      <c r="A4821" s="48" t="s">
        <v>4244</v>
      </c>
      <c r="B4821" t="s">
        <v>4245</v>
      </c>
      <c r="C4821">
        <v>301</v>
      </c>
    </row>
    <row r="4822" spans="1:3" x14ac:dyDescent="0.25">
      <c r="A4822" s="48" t="s">
        <v>3140</v>
      </c>
      <c r="B4822" t="s">
        <v>3141</v>
      </c>
      <c r="C4822">
        <v>0</v>
      </c>
    </row>
    <row r="4823" spans="1:3" x14ac:dyDescent="0.25">
      <c r="A4823" s="48" t="s">
        <v>17254</v>
      </c>
      <c r="B4823" t="s">
        <v>21652</v>
      </c>
      <c r="C4823">
        <v>0</v>
      </c>
    </row>
    <row r="4824" spans="1:3" x14ac:dyDescent="0.25">
      <c r="A4824" s="48" t="s">
        <v>14648</v>
      </c>
      <c r="B4824" t="s">
        <v>14649</v>
      </c>
      <c r="C4824">
        <v>0</v>
      </c>
    </row>
    <row r="4825" spans="1:3" x14ac:dyDescent="0.25">
      <c r="A4825" s="48" t="s">
        <v>8528</v>
      </c>
      <c r="B4825" t="s">
        <v>8529</v>
      </c>
      <c r="C4825">
        <v>0</v>
      </c>
    </row>
    <row r="4826" spans="1:3" x14ac:dyDescent="0.25">
      <c r="A4826" s="48" t="s">
        <v>8526</v>
      </c>
      <c r="B4826" t="s">
        <v>8527</v>
      </c>
      <c r="C4826">
        <v>0</v>
      </c>
    </row>
    <row r="4827" spans="1:3" x14ac:dyDescent="0.25">
      <c r="A4827" s="48" t="s">
        <v>17256</v>
      </c>
      <c r="B4827" t="s">
        <v>21653</v>
      </c>
      <c r="C4827">
        <v>0</v>
      </c>
    </row>
    <row r="4828" spans="1:3" x14ac:dyDescent="0.25">
      <c r="A4828" s="48" t="s">
        <v>17606</v>
      </c>
      <c r="B4828" t="s">
        <v>17607</v>
      </c>
      <c r="C4828">
        <v>0</v>
      </c>
    </row>
    <row r="4829" spans="1:3" x14ac:dyDescent="0.25">
      <c r="A4829" s="48" t="s">
        <v>17618</v>
      </c>
      <c r="B4829" t="s">
        <v>17619</v>
      </c>
      <c r="C4829">
        <v>0</v>
      </c>
    </row>
    <row r="4830" spans="1:3" x14ac:dyDescent="0.25">
      <c r="A4830" s="48" t="s">
        <v>14778</v>
      </c>
      <c r="B4830" t="s">
        <v>14779</v>
      </c>
      <c r="C4830">
        <v>0</v>
      </c>
    </row>
    <row r="4831" spans="1:3" x14ac:dyDescent="0.25">
      <c r="A4831" s="48" t="s">
        <v>14814</v>
      </c>
      <c r="B4831" t="s">
        <v>14815</v>
      </c>
      <c r="C4831">
        <v>0</v>
      </c>
    </row>
    <row r="4832" spans="1:3" x14ac:dyDescent="0.25">
      <c r="A4832" s="48" t="s">
        <v>17744</v>
      </c>
      <c r="B4832" t="s">
        <v>17745</v>
      </c>
      <c r="C4832">
        <v>0</v>
      </c>
    </row>
    <row r="4833" spans="1:3" x14ac:dyDescent="0.25">
      <c r="A4833" s="48" t="s">
        <v>17758</v>
      </c>
      <c r="B4833" t="s">
        <v>21654</v>
      </c>
      <c r="C4833">
        <v>0</v>
      </c>
    </row>
    <row r="4834" spans="1:3" x14ac:dyDescent="0.25">
      <c r="A4834" s="48" t="s">
        <v>17754</v>
      </c>
      <c r="B4834" t="s">
        <v>21655</v>
      </c>
      <c r="C4834">
        <v>0</v>
      </c>
    </row>
    <row r="4835" spans="1:3" x14ac:dyDescent="0.25">
      <c r="A4835" s="48" t="s">
        <v>17752</v>
      </c>
      <c r="B4835" t="s">
        <v>21656</v>
      </c>
      <c r="C4835">
        <v>0</v>
      </c>
    </row>
    <row r="4836" spans="1:3" x14ac:dyDescent="0.25">
      <c r="A4836" s="48" t="s">
        <v>17756</v>
      </c>
      <c r="B4836" t="s">
        <v>21657</v>
      </c>
      <c r="C4836">
        <v>0</v>
      </c>
    </row>
    <row r="4837" spans="1:3" x14ac:dyDescent="0.25">
      <c r="A4837" s="48" t="s">
        <v>17766</v>
      </c>
      <c r="B4837" t="s">
        <v>21658</v>
      </c>
      <c r="C4837">
        <v>0</v>
      </c>
    </row>
    <row r="4838" spans="1:3" x14ac:dyDescent="0.25">
      <c r="A4838" s="48" t="s">
        <v>17762</v>
      </c>
      <c r="B4838" t="s">
        <v>21659</v>
      </c>
      <c r="C4838">
        <v>0</v>
      </c>
    </row>
    <row r="4839" spans="1:3" x14ac:dyDescent="0.25">
      <c r="A4839" s="48" t="s">
        <v>17764</v>
      </c>
      <c r="B4839" t="s">
        <v>21660</v>
      </c>
      <c r="C4839">
        <v>0</v>
      </c>
    </row>
    <row r="4840" spans="1:3" x14ac:dyDescent="0.25">
      <c r="A4840" s="48" t="s">
        <v>17760</v>
      </c>
      <c r="B4840" t="s">
        <v>21661</v>
      </c>
      <c r="C4840">
        <v>0</v>
      </c>
    </row>
    <row r="4841" spans="1:3" x14ac:dyDescent="0.25">
      <c r="A4841" s="48" t="s">
        <v>16123</v>
      </c>
      <c r="B4841" t="s">
        <v>16124</v>
      </c>
      <c r="C4841">
        <v>0</v>
      </c>
    </row>
    <row r="4842" spans="1:3" x14ac:dyDescent="0.25">
      <c r="A4842" s="48" t="s">
        <v>5337</v>
      </c>
      <c r="B4842" t="s">
        <v>21662</v>
      </c>
      <c r="C4842">
        <v>0</v>
      </c>
    </row>
    <row r="4843" spans="1:3" x14ac:dyDescent="0.25">
      <c r="A4843" s="48" t="s">
        <v>12364</v>
      </c>
      <c r="B4843" t="s">
        <v>12365</v>
      </c>
      <c r="C4843">
        <v>0</v>
      </c>
    </row>
    <row r="4844" spans="1:3" x14ac:dyDescent="0.25">
      <c r="A4844" s="48" t="s">
        <v>17242</v>
      </c>
      <c r="B4844" t="s">
        <v>21663</v>
      </c>
      <c r="C4844">
        <v>0</v>
      </c>
    </row>
    <row r="4845" spans="1:3" x14ac:dyDescent="0.25">
      <c r="A4845" s="48" t="s">
        <v>17158</v>
      </c>
      <c r="B4845" t="s">
        <v>21664</v>
      </c>
      <c r="C4845">
        <v>0</v>
      </c>
    </row>
    <row r="4846" spans="1:3" x14ac:dyDescent="0.25">
      <c r="A4846" s="48" t="s">
        <v>17160</v>
      </c>
      <c r="B4846" t="s">
        <v>21665</v>
      </c>
      <c r="C4846">
        <v>0</v>
      </c>
    </row>
    <row r="4847" spans="1:3" x14ac:dyDescent="0.25">
      <c r="A4847" s="48" t="s">
        <v>12366</v>
      </c>
      <c r="B4847" t="s">
        <v>12367</v>
      </c>
      <c r="C4847">
        <v>0</v>
      </c>
    </row>
    <row r="4848" spans="1:3" x14ac:dyDescent="0.25">
      <c r="A4848" s="48" t="s">
        <v>14676</v>
      </c>
      <c r="B4848" t="s">
        <v>21666</v>
      </c>
      <c r="C4848">
        <v>0</v>
      </c>
    </row>
    <row r="4849" spans="1:3" x14ac:dyDescent="0.25">
      <c r="A4849" s="48" t="s">
        <v>12368</v>
      </c>
      <c r="B4849" t="s">
        <v>12369</v>
      </c>
      <c r="C4849">
        <v>0</v>
      </c>
    </row>
    <row r="4850" spans="1:3" x14ac:dyDescent="0.25">
      <c r="A4850" s="48" t="s">
        <v>18634</v>
      </c>
      <c r="B4850" t="s">
        <v>21667</v>
      </c>
      <c r="C4850">
        <v>0</v>
      </c>
    </row>
    <row r="4851" spans="1:3" x14ac:dyDescent="0.25">
      <c r="A4851" s="48" t="s">
        <v>12370</v>
      </c>
      <c r="B4851" t="s">
        <v>12371</v>
      </c>
      <c r="C4851">
        <v>0</v>
      </c>
    </row>
    <row r="4852" spans="1:3" x14ac:dyDescent="0.25">
      <c r="A4852" s="48" t="s">
        <v>13456</v>
      </c>
      <c r="B4852" t="s">
        <v>13457</v>
      </c>
      <c r="C4852">
        <v>5</v>
      </c>
    </row>
    <row r="4853" spans="1:3" x14ac:dyDescent="0.25">
      <c r="A4853" s="48" t="s">
        <v>12372</v>
      </c>
      <c r="B4853" t="s">
        <v>12373</v>
      </c>
      <c r="C4853">
        <v>0</v>
      </c>
    </row>
    <row r="4854" spans="1:3" x14ac:dyDescent="0.25">
      <c r="A4854" s="48" t="s">
        <v>12374</v>
      </c>
      <c r="B4854" t="s">
        <v>12375</v>
      </c>
      <c r="C4854">
        <v>0</v>
      </c>
    </row>
    <row r="4855" spans="1:3" x14ac:dyDescent="0.25">
      <c r="A4855" s="48" t="s">
        <v>17608</v>
      </c>
      <c r="B4855" t="s">
        <v>17609</v>
      </c>
      <c r="C4855">
        <v>0</v>
      </c>
    </row>
    <row r="4856" spans="1:3" x14ac:dyDescent="0.25">
      <c r="A4856" s="48" t="s">
        <v>17614</v>
      </c>
      <c r="B4856" t="s">
        <v>17615</v>
      </c>
      <c r="C4856">
        <v>0</v>
      </c>
    </row>
    <row r="4857" spans="1:3" x14ac:dyDescent="0.25">
      <c r="A4857" s="48" t="s">
        <v>17610</v>
      </c>
      <c r="B4857" t="s">
        <v>17611</v>
      </c>
      <c r="C4857">
        <v>0</v>
      </c>
    </row>
    <row r="4858" spans="1:3" x14ac:dyDescent="0.25">
      <c r="A4858" s="48" t="s">
        <v>17612</v>
      </c>
      <c r="B4858" t="s">
        <v>17613</v>
      </c>
      <c r="C4858">
        <v>0</v>
      </c>
    </row>
    <row r="4859" spans="1:3" x14ac:dyDescent="0.25">
      <c r="A4859" s="48" t="s">
        <v>17616</v>
      </c>
      <c r="B4859" t="s">
        <v>17617</v>
      </c>
      <c r="C4859">
        <v>0</v>
      </c>
    </row>
    <row r="4860" spans="1:3" x14ac:dyDescent="0.25">
      <c r="A4860" s="48" t="s">
        <v>17602</v>
      </c>
      <c r="B4860" t="s">
        <v>17603</v>
      </c>
      <c r="C4860">
        <v>0</v>
      </c>
    </row>
    <row r="4861" spans="1:3" x14ac:dyDescent="0.25">
      <c r="A4861" s="48" t="s">
        <v>17604</v>
      </c>
      <c r="B4861" t="s">
        <v>17605</v>
      </c>
      <c r="C4861">
        <v>0</v>
      </c>
    </row>
    <row r="4862" spans="1:3" x14ac:dyDescent="0.25">
      <c r="A4862" s="48" t="s">
        <v>5471</v>
      </c>
      <c r="B4862" t="s">
        <v>21668</v>
      </c>
      <c r="C4862">
        <v>3</v>
      </c>
    </row>
    <row r="4863" spans="1:3" x14ac:dyDescent="0.25">
      <c r="A4863" s="48" t="s">
        <v>7983</v>
      </c>
      <c r="B4863" t="s">
        <v>21669</v>
      </c>
      <c r="C4863">
        <v>0</v>
      </c>
    </row>
    <row r="4864" spans="1:3" x14ac:dyDescent="0.25">
      <c r="A4864" s="48" t="s">
        <v>7985</v>
      </c>
      <c r="B4864" t="s">
        <v>21670</v>
      </c>
      <c r="C4864">
        <v>2</v>
      </c>
    </row>
    <row r="4865" spans="1:3" x14ac:dyDescent="0.25">
      <c r="A4865" s="48" t="s">
        <v>17500</v>
      </c>
      <c r="B4865" t="s">
        <v>21671</v>
      </c>
      <c r="C4865">
        <v>0</v>
      </c>
    </row>
    <row r="4866" spans="1:3" x14ac:dyDescent="0.25">
      <c r="A4866" s="48" t="s">
        <v>16578</v>
      </c>
      <c r="B4866" t="s">
        <v>21672</v>
      </c>
      <c r="C4866">
        <v>0</v>
      </c>
    </row>
    <row r="4867" spans="1:3" x14ac:dyDescent="0.25">
      <c r="A4867" s="48" t="s">
        <v>16514</v>
      </c>
      <c r="B4867" t="s">
        <v>21673</v>
      </c>
      <c r="C4867">
        <v>0</v>
      </c>
    </row>
    <row r="4868" spans="1:3" x14ac:dyDescent="0.25">
      <c r="A4868" s="48" t="s">
        <v>18638</v>
      </c>
      <c r="B4868" t="s">
        <v>21674</v>
      </c>
      <c r="C4868">
        <v>0</v>
      </c>
    </row>
    <row r="4869" spans="1:3" x14ac:dyDescent="0.25">
      <c r="A4869" s="48" t="s">
        <v>18662</v>
      </c>
      <c r="B4869" t="s">
        <v>21675</v>
      </c>
      <c r="C4869">
        <v>0</v>
      </c>
    </row>
    <row r="4870" spans="1:3" x14ac:dyDescent="0.25">
      <c r="A4870" s="48" t="s">
        <v>16366</v>
      </c>
      <c r="B4870" t="s">
        <v>16367</v>
      </c>
      <c r="C4870">
        <v>0</v>
      </c>
    </row>
    <row r="4871" spans="1:3" x14ac:dyDescent="0.25">
      <c r="A4871" s="48" t="s">
        <v>16364</v>
      </c>
      <c r="B4871" t="s">
        <v>16365</v>
      </c>
      <c r="C4871">
        <v>0</v>
      </c>
    </row>
    <row r="4872" spans="1:3" x14ac:dyDescent="0.25">
      <c r="A4872" s="48" t="s">
        <v>16370</v>
      </c>
      <c r="B4872" t="s">
        <v>16371</v>
      </c>
      <c r="C4872">
        <v>0</v>
      </c>
    </row>
    <row r="4873" spans="1:3" x14ac:dyDescent="0.25">
      <c r="A4873" s="48" t="s">
        <v>16368</v>
      </c>
      <c r="B4873" t="s">
        <v>16369</v>
      </c>
      <c r="C4873">
        <v>0</v>
      </c>
    </row>
    <row r="4874" spans="1:3" x14ac:dyDescent="0.25">
      <c r="A4874" s="48" t="s">
        <v>2891</v>
      </c>
      <c r="B4874" t="s">
        <v>2892</v>
      </c>
      <c r="C4874">
        <v>0</v>
      </c>
    </row>
    <row r="4875" spans="1:3" x14ac:dyDescent="0.25">
      <c r="A4875" s="48" t="s">
        <v>16708</v>
      </c>
      <c r="B4875" t="s">
        <v>21676</v>
      </c>
      <c r="C4875">
        <v>0</v>
      </c>
    </row>
    <row r="4876" spans="1:3" x14ac:dyDescent="0.25">
      <c r="A4876" s="48" t="s">
        <v>14756</v>
      </c>
      <c r="B4876" t="s">
        <v>14757</v>
      </c>
      <c r="C4876">
        <v>0</v>
      </c>
    </row>
    <row r="4877" spans="1:3" x14ac:dyDescent="0.25">
      <c r="A4877" s="48" t="s">
        <v>14754</v>
      </c>
      <c r="B4877" t="s">
        <v>14755</v>
      </c>
      <c r="C4877">
        <v>0</v>
      </c>
    </row>
    <row r="4878" spans="1:3" x14ac:dyDescent="0.25">
      <c r="A4878" s="48" t="s">
        <v>5593</v>
      </c>
      <c r="B4878" t="s">
        <v>21677</v>
      </c>
      <c r="C4878">
        <v>0</v>
      </c>
    </row>
    <row r="4879" spans="1:3" x14ac:dyDescent="0.25">
      <c r="A4879" s="48" t="s">
        <v>5597</v>
      </c>
      <c r="B4879" t="s">
        <v>5598</v>
      </c>
      <c r="C4879">
        <v>0</v>
      </c>
    </row>
    <row r="4880" spans="1:3" x14ac:dyDescent="0.25">
      <c r="A4880" s="48" t="s">
        <v>5595</v>
      </c>
      <c r="B4880" t="s">
        <v>5596</v>
      </c>
      <c r="C4880">
        <v>0</v>
      </c>
    </row>
    <row r="4881" spans="1:3" x14ac:dyDescent="0.25">
      <c r="A4881" s="48" t="s">
        <v>14752</v>
      </c>
      <c r="B4881" t="s">
        <v>14753</v>
      </c>
      <c r="C4881">
        <v>0</v>
      </c>
    </row>
    <row r="4882" spans="1:3" x14ac:dyDescent="0.25">
      <c r="A4882" s="48" t="s">
        <v>4934</v>
      </c>
      <c r="B4882" t="s">
        <v>21678</v>
      </c>
      <c r="C4882">
        <v>0</v>
      </c>
    </row>
    <row r="4883" spans="1:3" x14ac:dyDescent="0.25">
      <c r="A4883" s="48" t="s">
        <v>6595</v>
      </c>
      <c r="B4883" t="s">
        <v>21679</v>
      </c>
      <c r="C4883">
        <v>0</v>
      </c>
    </row>
    <row r="4884" spans="1:3" x14ac:dyDescent="0.25">
      <c r="A4884" s="48" t="s">
        <v>9746</v>
      </c>
      <c r="B4884" t="s">
        <v>9747</v>
      </c>
      <c r="C4884">
        <v>24</v>
      </c>
    </row>
    <row r="4885" spans="1:3" x14ac:dyDescent="0.25">
      <c r="A4885" s="48" t="s">
        <v>7955</v>
      </c>
      <c r="B4885" t="s">
        <v>7956</v>
      </c>
      <c r="C4885">
        <v>0</v>
      </c>
    </row>
    <row r="4886" spans="1:3" x14ac:dyDescent="0.25">
      <c r="A4886" s="48" t="s">
        <v>3339</v>
      </c>
      <c r="B4886" t="s">
        <v>3340</v>
      </c>
      <c r="C4886">
        <v>0</v>
      </c>
    </row>
    <row r="4887" spans="1:3" x14ac:dyDescent="0.25">
      <c r="A4887" s="48" t="s">
        <v>3293</v>
      </c>
      <c r="B4887" t="s">
        <v>3294</v>
      </c>
      <c r="C4887">
        <v>42</v>
      </c>
    </row>
    <row r="4888" spans="1:3" x14ac:dyDescent="0.25">
      <c r="A4888" s="48" t="s">
        <v>5495</v>
      </c>
      <c r="B4888" t="s">
        <v>5496</v>
      </c>
      <c r="C4888">
        <v>0</v>
      </c>
    </row>
    <row r="4889" spans="1:3" x14ac:dyDescent="0.25">
      <c r="A4889" s="48" t="s">
        <v>5493</v>
      </c>
      <c r="B4889" t="s">
        <v>5494</v>
      </c>
      <c r="C4889">
        <v>6</v>
      </c>
    </row>
    <row r="4890" spans="1:3" x14ac:dyDescent="0.25">
      <c r="A4890" s="48" t="s">
        <v>4396</v>
      </c>
      <c r="B4890" t="s">
        <v>23034</v>
      </c>
      <c r="C4890">
        <v>168</v>
      </c>
    </row>
    <row r="4891" spans="1:3" x14ac:dyDescent="0.25">
      <c r="A4891" s="48" t="s">
        <v>19599</v>
      </c>
      <c r="B4891" t="s">
        <v>19600</v>
      </c>
      <c r="C4891">
        <v>46</v>
      </c>
    </row>
    <row r="4892" spans="1:3" x14ac:dyDescent="0.25">
      <c r="A4892" s="48" t="s">
        <v>3146</v>
      </c>
      <c r="B4892" t="s">
        <v>21680</v>
      </c>
      <c r="C4892">
        <v>0</v>
      </c>
    </row>
    <row r="4893" spans="1:3" x14ac:dyDescent="0.25">
      <c r="A4893" s="48" t="s">
        <v>14286</v>
      </c>
      <c r="B4893" t="s">
        <v>14287</v>
      </c>
      <c r="C4893">
        <v>12</v>
      </c>
    </row>
    <row r="4894" spans="1:3" x14ac:dyDescent="0.25">
      <c r="A4894" s="48" t="s">
        <v>14292</v>
      </c>
      <c r="B4894" t="s">
        <v>14293</v>
      </c>
      <c r="C4894">
        <v>0</v>
      </c>
    </row>
    <row r="4895" spans="1:3" x14ac:dyDescent="0.25">
      <c r="A4895" s="48" t="s">
        <v>6466</v>
      </c>
      <c r="B4895" t="s">
        <v>21681</v>
      </c>
      <c r="C4895">
        <v>15</v>
      </c>
    </row>
    <row r="4896" spans="1:3" x14ac:dyDescent="0.25">
      <c r="A4896" s="48" t="s">
        <v>6470</v>
      </c>
      <c r="B4896" t="s">
        <v>21682</v>
      </c>
      <c r="C4896">
        <v>0</v>
      </c>
    </row>
    <row r="4897" spans="1:3" x14ac:dyDescent="0.25">
      <c r="A4897" s="48" t="s">
        <v>6464</v>
      </c>
      <c r="B4897" t="s">
        <v>21683</v>
      </c>
      <c r="C4897">
        <v>0</v>
      </c>
    </row>
    <row r="4898" spans="1:3" x14ac:dyDescent="0.25">
      <c r="A4898" s="48" t="s">
        <v>6468</v>
      </c>
      <c r="B4898" t="s">
        <v>21684</v>
      </c>
      <c r="C4898">
        <v>9</v>
      </c>
    </row>
    <row r="4899" spans="1:3" x14ac:dyDescent="0.25">
      <c r="A4899" s="48" t="s">
        <v>14574</v>
      </c>
      <c r="B4899" t="s">
        <v>14575</v>
      </c>
      <c r="C4899">
        <v>0</v>
      </c>
    </row>
    <row r="4900" spans="1:3" x14ac:dyDescent="0.25">
      <c r="A4900" s="48" t="s">
        <v>7967</v>
      </c>
      <c r="B4900" t="s">
        <v>21685</v>
      </c>
      <c r="C4900">
        <v>0</v>
      </c>
    </row>
    <row r="4901" spans="1:3" x14ac:dyDescent="0.25">
      <c r="A4901" s="48" t="s">
        <v>7688</v>
      </c>
      <c r="B4901" t="s">
        <v>21686</v>
      </c>
      <c r="C4901">
        <v>0</v>
      </c>
    </row>
    <row r="4902" spans="1:3" x14ac:dyDescent="0.25">
      <c r="A4902" s="48" t="s">
        <v>7692</v>
      </c>
      <c r="B4902" t="s">
        <v>21687</v>
      </c>
      <c r="C4902">
        <v>0</v>
      </c>
    </row>
    <row r="4903" spans="1:3" x14ac:dyDescent="0.25">
      <c r="A4903" s="48" t="s">
        <v>7690</v>
      </c>
      <c r="B4903" t="s">
        <v>21688</v>
      </c>
      <c r="C4903">
        <v>0</v>
      </c>
    </row>
    <row r="4904" spans="1:3" x14ac:dyDescent="0.25">
      <c r="A4904" s="48" t="s">
        <v>7694</v>
      </c>
      <c r="B4904" t="s">
        <v>21689</v>
      </c>
      <c r="C4904">
        <v>0</v>
      </c>
    </row>
    <row r="4905" spans="1:3" x14ac:dyDescent="0.25">
      <c r="A4905" s="48" t="s">
        <v>16714</v>
      </c>
      <c r="B4905" t="s">
        <v>16715</v>
      </c>
      <c r="C4905">
        <v>491</v>
      </c>
    </row>
    <row r="4906" spans="1:3" x14ac:dyDescent="0.25">
      <c r="A4906" s="48" t="s">
        <v>12101</v>
      </c>
      <c r="B4906" t="s">
        <v>12102</v>
      </c>
      <c r="C4906">
        <v>13</v>
      </c>
    </row>
    <row r="4907" spans="1:3" x14ac:dyDescent="0.25">
      <c r="A4907" s="48" t="s">
        <v>19029</v>
      </c>
      <c r="B4907" t="s">
        <v>19030</v>
      </c>
      <c r="C4907">
        <v>0</v>
      </c>
    </row>
    <row r="4908" spans="1:3" x14ac:dyDescent="0.25">
      <c r="A4908" s="48" t="s">
        <v>18227</v>
      </c>
      <c r="B4908" t="s">
        <v>18228</v>
      </c>
      <c r="C4908">
        <v>77</v>
      </c>
    </row>
    <row r="4909" spans="1:3" x14ac:dyDescent="0.25">
      <c r="A4909" s="48" t="s">
        <v>7875</v>
      </c>
      <c r="B4909" t="s">
        <v>7876</v>
      </c>
      <c r="C4909">
        <v>0</v>
      </c>
    </row>
    <row r="4910" spans="1:3" x14ac:dyDescent="0.25">
      <c r="A4910" s="48" t="s">
        <v>19655</v>
      </c>
      <c r="B4910" t="s">
        <v>19656</v>
      </c>
      <c r="C4910">
        <v>1</v>
      </c>
    </row>
    <row r="4911" spans="1:3" x14ac:dyDescent="0.25">
      <c r="A4911" s="48" t="s">
        <v>5701</v>
      </c>
      <c r="B4911" t="s">
        <v>5702</v>
      </c>
      <c r="C4911">
        <v>0</v>
      </c>
    </row>
    <row r="4912" spans="1:3" x14ac:dyDescent="0.25">
      <c r="A4912" s="48" t="s">
        <v>18682</v>
      </c>
      <c r="B4912" t="s">
        <v>21690</v>
      </c>
      <c r="C4912">
        <v>1</v>
      </c>
    </row>
    <row r="4913" spans="1:3" x14ac:dyDescent="0.25">
      <c r="A4913" s="48" t="s">
        <v>18708</v>
      </c>
      <c r="B4913" t="s">
        <v>21691</v>
      </c>
      <c r="C4913">
        <v>0</v>
      </c>
    </row>
    <row r="4914" spans="1:3" x14ac:dyDescent="0.25">
      <c r="A4914" s="48" t="s">
        <v>18736</v>
      </c>
      <c r="B4914" t="s">
        <v>21692</v>
      </c>
      <c r="C4914">
        <v>3</v>
      </c>
    </row>
    <row r="4915" spans="1:3" x14ac:dyDescent="0.25">
      <c r="A4915" s="48" t="s">
        <v>18746</v>
      </c>
      <c r="B4915" t="s">
        <v>21693</v>
      </c>
      <c r="C4915">
        <v>4</v>
      </c>
    </row>
    <row r="4916" spans="1:3" x14ac:dyDescent="0.25">
      <c r="A4916" s="48" t="s">
        <v>18740</v>
      </c>
      <c r="B4916" t="s">
        <v>21694</v>
      </c>
      <c r="C4916">
        <v>0</v>
      </c>
    </row>
    <row r="4917" spans="1:3" x14ac:dyDescent="0.25">
      <c r="A4917" s="48" t="s">
        <v>4922</v>
      </c>
      <c r="B4917" t="s">
        <v>21695</v>
      </c>
      <c r="C4917">
        <v>0</v>
      </c>
    </row>
    <row r="4918" spans="1:3" x14ac:dyDescent="0.25">
      <c r="A4918" s="48" t="s">
        <v>10696</v>
      </c>
      <c r="B4918" t="s">
        <v>21696</v>
      </c>
      <c r="C4918">
        <v>0</v>
      </c>
    </row>
    <row r="4919" spans="1:3" x14ac:dyDescent="0.25">
      <c r="A4919" s="48" t="s">
        <v>10754</v>
      </c>
      <c r="B4919" t="s">
        <v>21697</v>
      </c>
      <c r="C4919">
        <v>0</v>
      </c>
    </row>
    <row r="4920" spans="1:3" x14ac:dyDescent="0.25">
      <c r="A4920" s="48" t="s">
        <v>10676</v>
      </c>
      <c r="B4920" t="s">
        <v>21698</v>
      </c>
      <c r="C4920">
        <v>0</v>
      </c>
    </row>
    <row r="4921" spans="1:3" x14ac:dyDescent="0.25">
      <c r="A4921" s="48" t="s">
        <v>4924</v>
      </c>
      <c r="B4921" t="s">
        <v>21699</v>
      </c>
      <c r="C4921">
        <v>0</v>
      </c>
    </row>
    <row r="4922" spans="1:3" x14ac:dyDescent="0.25">
      <c r="A4922" s="48" t="s">
        <v>10716</v>
      </c>
      <c r="B4922" t="s">
        <v>21700</v>
      </c>
      <c r="C4922">
        <v>0</v>
      </c>
    </row>
    <row r="4923" spans="1:3" x14ac:dyDescent="0.25">
      <c r="A4923" s="48" t="s">
        <v>12297</v>
      </c>
      <c r="B4923" t="s">
        <v>21701</v>
      </c>
      <c r="C4923">
        <v>0</v>
      </c>
    </row>
    <row r="4924" spans="1:3" x14ac:dyDescent="0.25">
      <c r="A4924" s="48" t="s">
        <v>3833</v>
      </c>
      <c r="B4924" t="s">
        <v>21702</v>
      </c>
      <c r="C4924">
        <v>0</v>
      </c>
    </row>
    <row r="4925" spans="1:3" x14ac:dyDescent="0.25">
      <c r="A4925" s="48" t="s">
        <v>3835</v>
      </c>
      <c r="B4925" t="s">
        <v>3836</v>
      </c>
      <c r="C4925">
        <v>0</v>
      </c>
    </row>
    <row r="4926" spans="1:3" x14ac:dyDescent="0.25">
      <c r="A4926" s="48" t="s">
        <v>3619</v>
      </c>
      <c r="B4926" t="s">
        <v>3620</v>
      </c>
      <c r="C4926">
        <v>0</v>
      </c>
    </row>
    <row r="4927" spans="1:3" x14ac:dyDescent="0.25">
      <c r="A4927" s="48" t="s">
        <v>3617</v>
      </c>
      <c r="B4927" t="s">
        <v>3618</v>
      </c>
      <c r="C4927">
        <v>0</v>
      </c>
    </row>
    <row r="4928" spans="1:3" x14ac:dyDescent="0.25">
      <c r="A4928" s="48" t="s">
        <v>3623</v>
      </c>
      <c r="B4928" t="s">
        <v>3624</v>
      </c>
      <c r="C4928">
        <v>0</v>
      </c>
    </row>
    <row r="4929" spans="1:3" x14ac:dyDescent="0.25">
      <c r="A4929" s="48" t="s">
        <v>3621</v>
      </c>
      <c r="B4929" t="s">
        <v>3622</v>
      </c>
      <c r="C4929">
        <v>0</v>
      </c>
    </row>
    <row r="4930" spans="1:3" x14ac:dyDescent="0.25">
      <c r="A4930" s="48" t="s">
        <v>3615</v>
      </c>
      <c r="B4930" t="s">
        <v>3616</v>
      </c>
      <c r="C4930">
        <v>0</v>
      </c>
    </row>
    <row r="4931" spans="1:3" x14ac:dyDescent="0.25">
      <c r="A4931" s="48" t="s">
        <v>3613</v>
      </c>
      <c r="B4931" t="s">
        <v>3614</v>
      </c>
      <c r="C4931">
        <v>0</v>
      </c>
    </row>
    <row r="4932" spans="1:3" x14ac:dyDescent="0.25">
      <c r="A4932" s="48" t="s">
        <v>3611</v>
      </c>
      <c r="B4932" t="s">
        <v>3612</v>
      </c>
      <c r="C4932">
        <v>0</v>
      </c>
    </row>
    <row r="4933" spans="1:3" x14ac:dyDescent="0.25">
      <c r="A4933" s="48" t="s">
        <v>3609</v>
      </c>
      <c r="B4933" t="s">
        <v>3610</v>
      </c>
      <c r="C4933">
        <v>0</v>
      </c>
    </row>
    <row r="4934" spans="1:3" x14ac:dyDescent="0.25">
      <c r="A4934" s="48" t="s">
        <v>3607</v>
      </c>
      <c r="B4934" t="s">
        <v>3608</v>
      </c>
      <c r="C4934">
        <v>0</v>
      </c>
    </row>
    <row r="4935" spans="1:3" x14ac:dyDescent="0.25">
      <c r="A4935" s="48" t="s">
        <v>3605</v>
      </c>
      <c r="B4935" t="s">
        <v>3606</v>
      </c>
      <c r="C4935">
        <v>0</v>
      </c>
    </row>
    <row r="4936" spans="1:3" x14ac:dyDescent="0.25">
      <c r="A4936" s="48" t="s">
        <v>4132</v>
      </c>
      <c r="B4936" t="s">
        <v>4133</v>
      </c>
      <c r="C4936">
        <v>0</v>
      </c>
    </row>
    <row r="4937" spans="1:3" x14ac:dyDescent="0.25">
      <c r="A4937" s="48" t="s">
        <v>4507</v>
      </c>
      <c r="B4937" t="s">
        <v>4508</v>
      </c>
      <c r="C4937">
        <v>101</v>
      </c>
    </row>
    <row r="4938" spans="1:3" x14ac:dyDescent="0.25">
      <c r="A4938" s="48" t="s">
        <v>4695</v>
      </c>
      <c r="B4938" t="s">
        <v>21703</v>
      </c>
      <c r="C4938">
        <v>0</v>
      </c>
    </row>
    <row r="4939" spans="1:3" x14ac:dyDescent="0.25">
      <c r="A4939" s="48" t="s">
        <v>5353</v>
      </c>
      <c r="B4939" t="s">
        <v>5354</v>
      </c>
      <c r="C4939">
        <v>0</v>
      </c>
    </row>
    <row r="4940" spans="1:3" x14ac:dyDescent="0.25">
      <c r="A4940" s="48" t="s">
        <v>5355</v>
      </c>
      <c r="B4940" t="s">
        <v>5356</v>
      </c>
      <c r="C4940">
        <v>0</v>
      </c>
    </row>
    <row r="4941" spans="1:3" x14ac:dyDescent="0.25">
      <c r="A4941" s="48" t="s">
        <v>5357</v>
      </c>
      <c r="B4941" t="s">
        <v>5358</v>
      </c>
      <c r="C4941">
        <v>0</v>
      </c>
    </row>
    <row r="4942" spans="1:3" x14ac:dyDescent="0.25">
      <c r="A4942" s="48" t="s">
        <v>5359</v>
      </c>
      <c r="B4942" t="s">
        <v>5360</v>
      </c>
      <c r="C4942">
        <v>0</v>
      </c>
    </row>
    <row r="4943" spans="1:3" x14ac:dyDescent="0.25">
      <c r="A4943" s="48" t="s">
        <v>5351</v>
      </c>
      <c r="B4943" t="s">
        <v>5352</v>
      </c>
      <c r="C4943">
        <v>0</v>
      </c>
    </row>
    <row r="4944" spans="1:3" x14ac:dyDescent="0.25">
      <c r="A4944" s="48" t="s">
        <v>5723</v>
      </c>
      <c r="B4944" t="s">
        <v>5724</v>
      </c>
      <c r="C4944">
        <v>0</v>
      </c>
    </row>
    <row r="4945" spans="1:3" x14ac:dyDescent="0.25">
      <c r="A4945" s="48" t="s">
        <v>4810</v>
      </c>
      <c r="B4945" t="s">
        <v>4811</v>
      </c>
      <c r="C4945">
        <v>2</v>
      </c>
    </row>
    <row r="4946" spans="1:3" x14ac:dyDescent="0.25">
      <c r="A4946" s="48" t="s">
        <v>4812</v>
      </c>
      <c r="B4946" t="s">
        <v>4813</v>
      </c>
      <c r="C4946">
        <v>0</v>
      </c>
    </row>
    <row r="4947" spans="1:3" x14ac:dyDescent="0.25">
      <c r="A4947" s="48" t="s">
        <v>4816</v>
      </c>
      <c r="B4947" t="s">
        <v>4817</v>
      </c>
      <c r="C4947">
        <v>5</v>
      </c>
    </row>
    <row r="4948" spans="1:3" x14ac:dyDescent="0.25">
      <c r="A4948" s="48" t="s">
        <v>4818</v>
      </c>
      <c r="B4948" t="s">
        <v>4819</v>
      </c>
      <c r="C4948">
        <v>1</v>
      </c>
    </row>
    <row r="4949" spans="1:3" x14ac:dyDescent="0.25">
      <c r="A4949" s="48" t="s">
        <v>4772</v>
      </c>
      <c r="B4949" t="s">
        <v>4773</v>
      </c>
      <c r="C4949">
        <v>0</v>
      </c>
    </row>
    <row r="4950" spans="1:3" x14ac:dyDescent="0.25">
      <c r="A4950" s="48" t="s">
        <v>4774</v>
      </c>
      <c r="B4950" t="s">
        <v>4775</v>
      </c>
      <c r="C4950">
        <v>0</v>
      </c>
    </row>
    <row r="4951" spans="1:3" x14ac:dyDescent="0.25">
      <c r="A4951" s="48" t="s">
        <v>4776</v>
      </c>
      <c r="B4951" t="s">
        <v>4777</v>
      </c>
      <c r="C4951">
        <v>50</v>
      </c>
    </row>
    <row r="4952" spans="1:3" x14ac:dyDescent="0.25">
      <c r="A4952" s="48" t="s">
        <v>4778</v>
      </c>
      <c r="B4952" t="s">
        <v>4779</v>
      </c>
      <c r="C4952">
        <v>14</v>
      </c>
    </row>
    <row r="4953" spans="1:3" x14ac:dyDescent="0.25">
      <c r="A4953" s="48" t="s">
        <v>4780</v>
      </c>
      <c r="B4953" t="s">
        <v>4781</v>
      </c>
      <c r="C4953">
        <v>0</v>
      </c>
    </row>
    <row r="4954" spans="1:3" x14ac:dyDescent="0.25">
      <c r="A4954" s="48" t="s">
        <v>4782</v>
      </c>
      <c r="B4954" t="s">
        <v>4783</v>
      </c>
      <c r="C4954">
        <v>17</v>
      </c>
    </row>
    <row r="4955" spans="1:3" x14ac:dyDescent="0.25">
      <c r="A4955" s="48" t="s">
        <v>4784</v>
      </c>
      <c r="B4955" t="s">
        <v>4785</v>
      </c>
      <c r="C4955">
        <v>17</v>
      </c>
    </row>
    <row r="4956" spans="1:3" x14ac:dyDescent="0.25">
      <c r="A4956" s="48" t="s">
        <v>4788</v>
      </c>
      <c r="B4956" t="s">
        <v>4789</v>
      </c>
      <c r="C4956">
        <v>0</v>
      </c>
    </row>
    <row r="4957" spans="1:3" x14ac:dyDescent="0.25">
      <c r="A4957" s="48" t="s">
        <v>4786</v>
      </c>
      <c r="B4957" t="s">
        <v>4787</v>
      </c>
      <c r="C4957">
        <v>0</v>
      </c>
    </row>
    <row r="4958" spans="1:3" x14ac:dyDescent="0.25">
      <c r="A4958" s="48" t="s">
        <v>3351</v>
      </c>
      <c r="B4958" t="s">
        <v>21704</v>
      </c>
      <c r="C4958">
        <v>9</v>
      </c>
    </row>
    <row r="4959" spans="1:3" x14ac:dyDescent="0.25">
      <c r="A4959" s="48" t="s">
        <v>17442</v>
      </c>
      <c r="B4959" t="s">
        <v>17443</v>
      </c>
      <c r="C4959">
        <v>0</v>
      </c>
    </row>
    <row r="4960" spans="1:3" x14ac:dyDescent="0.25">
      <c r="A4960" s="48" t="s">
        <v>14288</v>
      </c>
      <c r="B4960" t="s">
        <v>14289</v>
      </c>
      <c r="C4960">
        <v>0</v>
      </c>
    </row>
    <row r="4961" spans="1:3" x14ac:dyDescent="0.25">
      <c r="A4961" s="48" t="s">
        <v>16904</v>
      </c>
      <c r="B4961" t="s">
        <v>21705</v>
      </c>
      <c r="C4961">
        <v>0</v>
      </c>
    </row>
    <row r="4962" spans="1:3" x14ac:dyDescent="0.25">
      <c r="A4962" s="48" t="s">
        <v>5627</v>
      </c>
      <c r="B4962" t="s">
        <v>5628</v>
      </c>
      <c r="C4962">
        <v>52</v>
      </c>
    </row>
    <row r="4963" spans="1:3" x14ac:dyDescent="0.25">
      <c r="A4963" s="48" t="s">
        <v>11004</v>
      </c>
      <c r="B4963" t="s">
        <v>21706</v>
      </c>
      <c r="C4963">
        <v>0</v>
      </c>
    </row>
    <row r="4964" spans="1:3" x14ac:dyDescent="0.25">
      <c r="A4964" s="48" t="s">
        <v>16394</v>
      </c>
      <c r="B4964" t="s">
        <v>16395</v>
      </c>
      <c r="C4964">
        <v>0</v>
      </c>
    </row>
    <row r="4965" spans="1:3" x14ac:dyDescent="0.25">
      <c r="A4965" s="48" t="s">
        <v>16400</v>
      </c>
      <c r="B4965" t="s">
        <v>16401</v>
      </c>
      <c r="C4965">
        <v>0</v>
      </c>
    </row>
    <row r="4966" spans="1:3" x14ac:dyDescent="0.25">
      <c r="A4966" s="48" t="s">
        <v>3022</v>
      </c>
      <c r="B4966" t="s">
        <v>3023</v>
      </c>
      <c r="C4966">
        <v>0</v>
      </c>
    </row>
    <row r="4967" spans="1:3" x14ac:dyDescent="0.25">
      <c r="A4967" s="48" t="s">
        <v>3032</v>
      </c>
      <c r="B4967" t="s">
        <v>3033</v>
      </c>
      <c r="C4967">
        <v>0</v>
      </c>
    </row>
    <row r="4968" spans="1:3" x14ac:dyDescent="0.25">
      <c r="A4968" s="48" t="s">
        <v>6325</v>
      </c>
      <c r="B4968" t="s">
        <v>6326</v>
      </c>
      <c r="C4968">
        <v>47</v>
      </c>
    </row>
    <row r="4969" spans="1:3" x14ac:dyDescent="0.25">
      <c r="A4969" s="48" t="s">
        <v>6327</v>
      </c>
      <c r="B4969" t="s">
        <v>6328</v>
      </c>
      <c r="C4969">
        <v>20</v>
      </c>
    </row>
    <row r="4970" spans="1:3" x14ac:dyDescent="0.25">
      <c r="A4970" s="48" t="s">
        <v>6422</v>
      </c>
      <c r="B4970" t="s">
        <v>6423</v>
      </c>
      <c r="C4970">
        <v>24</v>
      </c>
    </row>
    <row r="4971" spans="1:3" x14ac:dyDescent="0.25">
      <c r="A4971" s="48" t="s">
        <v>6416</v>
      </c>
      <c r="B4971" t="s">
        <v>6417</v>
      </c>
      <c r="C4971">
        <v>0</v>
      </c>
    </row>
    <row r="4972" spans="1:3" x14ac:dyDescent="0.25">
      <c r="A4972" s="48" t="s">
        <v>6414</v>
      </c>
      <c r="B4972" t="s">
        <v>6415</v>
      </c>
      <c r="C4972">
        <v>0</v>
      </c>
    </row>
    <row r="4973" spans="1:3" x14ac:dyDescent="0.25">
      <c r="A4973" s="48" t="s">
        <v>4483</v>
      </c>
      <c r="B4973" t="s">
        <v>23037</v>
      </c>
      <c r="C4973">
        <v>0</v>
      </c>
    </row>
    <row r="4974" spans="1:3" x14ac:dyDescent="0.25">
      <c r="A4974" s="48" t="s">
        <v>4080</v>
      </c>
      <c r="B4974" t="s">
        <v>4081</v>
      </c>
      <c r="C4974">
        <v>0</v>
      </c>
    </row>
    <row r="4975" spans="1:3" x14ac:dyDescent="0.25">
      <c r="A4975" s="48" t="s">
        <v>14898</v>
      </c>
      <c r="B4975" t="s">
        <v>14899</v>
      </c>
      <c r="C4975">
        <v>10</v>
      </c>
    </row>
    <row r="4976" spans="1:3" x14ac:dyDescent="0.25">
      <c r="A4976" s="48" t="s">
        <v>14900</v>
      </c>
      <c r="B4976" t="s">
        <v>14901</v>
      </c>
      <c r="C4976">
        <v>9</v>
      </c>
    </row>
    <row r="4977" spans="1:3" x14ac:dyDescent="0.25">
      <c r="A4977" s="48" t="s">
        <v>14902</v>
      </c>
      <c r="B4977" t="s">
        <v>14903</v>
      </c>
      <c r="C4977">
        <v>1</v>
      </c>
    </row>
    <row r="4978" spans="1:3" x14ac:dyDescent="0.25">
      <c r="A4978" s="48" t="s">
        <v>14896</v>
      </c>
      <c r="B4978" t="s">
        <v>14897</v>
      </c>
      <c r="C4978">
        <v>0</v>
      </c>
    </row>
    <row r="4979" spans="1:3" x14ac:dyDescent="0.25">
      <c r="A4979" s="48" t="s">
        <v>18051</v>
      </c>
      <c r="B4979" t="s">
        <v>18052</v>
      </c>
      <c r="C4979">
        <v>41</v>
      </c>
    </row>
    <row r="4980" spans="1:3" x14ac:dyDescent="0.25">
      <c r="A4980" s="48" t="s">
        <v>18057</v>
      </c>
      <c r="B4980" t="s">
        <v>18058</v>
      </c>
      <c r="C4980">
        <v>0</v>
      </c>
    </row>
    <row r="4981" spans="1:3" x14ac:dyDescent="0.25">
      <c r="A4981" s="48" t="s">
        <v>18053</v>
      </c>
      <c r="B4981" t="s">
        <v>18054</v>
      </c>
      <c r="C4981">
        <v>5</v>
      </c>
    </row>
    <row r="4982" spans="1:3" x14ac:dyDescent="0.25">
      <c r="A4982" s="48" t="s">
        <v>18055</v>
      </c>
      <c r="B4982" t="s">
        <v>18056</v>
      </c>
      <c r="C4982">
        <v>19</v>
      </c>
    </row>
    <row r="4983" spans="1:3" x14ac:dyDescent="0.25">
      <c r="A4983" s="48" t="s">
        <v>9277</v>
      </c>
      <c r="B4983" t="s">
        <v>21707</v>
      </c>
      <c r="C4983">
        <v>7</v>
      </c>
    </row>
    <row r="4984" spans="1:3" x14ac:dyDescent="0.25">
      <c r="A4984" s="48" t="s">
        <v>16530</v>
      </c>
      <c r="B4984" t="s">
        <v>16531</v>
      </c>
      <c r="C4984">
        <v>0</v>
      </c>
    </row>
    <row r="4985" spans="1:3" x14ac:dyDescent="0.25">
      <c r="A4985" s="48" t="s">
        <v>16702</v>
      </c>
      <c r="B4985" t="s">
        <v>16703</v>
      </c>
      <c r="C4985">
        <v>0</v>
      </c>
    </row>
    <row r="4986" spans="1:3" x14ac:dyDescent="0.25">
      <c r="A4986" s="48" t="s">
        <v>9534</v>
      </c>
      <c r="B4986" t="s">
        <v>21708</v>
      </c>
      <c r="C4986">
        <v>0</v>
      </c>
    </row>
    <row r="4987" spans="1:3" x14ac:dyDescent="0.25">
      <c r="A4987" s="48" t="s">
        <v>19466</v>
      </c>
      <c r="B4987" t="s">
        <v>19467</v>
      </c>
      <c r="C4987">
        <v>16</v>
      </c>
    </row>
    <row r="4988" spans="1:3" x14ac:dyDescent="0.25">
      <c r="A4988" s="48" t="s">
        <v>7883</v>
      </c>
      <c r="B4988" t="s">
        <v>7884</v>
      </c>
      <c r="C4988">
        <v>100</v>
      </c>
    </row>
    <row r="4989" spans="1:3" x14ac:dyDescent="0.25">
      <c r="A4989" s="48" t="s">
        <v>9778</v>
      </c>
      <c r="B4989" t="s">
        <v>9779</v>
      </c>
      <c r="C4989">
        <v>0</v>
      </c>
    </row>
    <row r="4990" spans="1:3" x14ac:dyDescent="0.25">
      <c r="A4990" s="48" t="s">
        <v>9776</v>
      </c>
      <c r="B4990" t="s">
        <v>9777</v>
      </c>
      <c r="C4990">
        <v>0</v>
      </c>
    </row>
    <row r="4991" spans="1:3" x14ac:dyDescent="0.25">
      <c r="A4991" s="48" t="s">
        <v>4402</v>
      </c>
      <c r="B4991" t="s">
        <v>4403</v>
      </c>
      <c r="C4991">
        <v>0</v>
      </c>
    </row>
    <row r="4992" spans="1:3" x14ac:dyDescent="0.25">
      <c r="A4992" s="48" t="s">
        <v>11598</v>
      </c>
      <c r="B4992" t="s">
        <v>11599</v>
      </c>
      <c r="C4992">
        <v>0</v>
      </c>
    </row>
    <row r="4993" spans="1:3" x14ac:dyDescent="0.25">
      <c r="A4993" s="48" t="s">
        <v>18145</v>
      </c>
      <c r="B4993" t="s">
        <v>18146</v>
      </c>
      <c r="C4993">
        <v>8</v>
      </c>
    </row>
    <row r="4994" spans="1:3" x14ac:dyDescent="0.25">
      <c r="A4994" s="48" t="s">
        <v>917</v>
      </c>
      <c r="B4994" t="s">
        <v>918</v>
      </c>
      <c r="C4994">
        <v>9</v>
      </c>
    </row>
    <row r="4995" spans="1:3" x14ac:dyDescent="0.25">
      <c r="A4995" s="48" t="s">
        <v>2008</v>
      </c>
      <c r="B4995" t="s">
        <v>2009</v>
      </c>
      <c r="C4995">
        <v>0</v>
      </c>
    </row>
    <row r="4996" spans="1:3" x14ac:dyDescent="0.25">
      <c r="A4996" s="48" t="s">
        <v>18189</v>
      </c>
      <c r="B4996" t="s">
        <v>18190</v>
      </c>
      <c r="C4996">
        <v>0</v>
      </c>
    </row>
    <row r="4997" spans="1:3" x14ac:dyDescent="0.25">
      <c r="A4997" s="48" t="s">
        <v>18187</v>
      </c>
      <c r="B4997" t="s">
        <v>18188</v>
      </c>
      <c r="C4997">
        <v>0</v>
      </c>
    </row>
    <row r="4998" spans="1:3" x14ac:dyDescent="0.25">
      <c r="A4998" s="48" t="s">
        <v>18185</v>
      </c>
      <c r="B4998" t="s">
        <v>18186</v>
      </c>
      <c r="C4998">
        <v>0</v>
      </c>
    </row>
    <row r="4999" spans="1:3" x14ac:dyDescent="0.25">
      <c r="A4999" s="48" t="s">
        <v>10213</v>
      </c>
      <c r="B4999" t="s">
        <v>10214</v>
      </c>
      <c r="C4999">
        <v>0</v>
      </c>
    </row>
    <row r="5000" spans="1:3" x14ac:dyDescent="0.25">
      <c r="A5000" s="48" t="s">
        <v>4233</v>
      </c>
      <c r="B5000" t="s">
        <v>4234</v>
      </c>
      <c r="C5000">
        <v>0</v>
      </c>
    </row>
    <row r="5001" spans="1:3" x14ac:dyDescent="0.25">
      <c r="A5001" s="48" t="s">
        <v>22919</v>
      </c>
      <c r="B5001" t="s">
        <v>22920</v>
      </c>
      <c r="C5001">
        <v>37</v>
      </c>
    </row>
    <row r="5002" spans="1:3" x14ac:dyDescent="0.25">
      <c r="A5002" s="48" t="s">
        <v>23226</v>
      </c>
      <c r="B5002" t="s">
        <v>23227</v>
      </c>
      <c r="C5002">
        <v>0</v>
      </c>
    </row>
    <row r="5003" spans="1:3" x14ac:dyDescent="0.25">
      <c r="A5003" s="48" t="s">
        <v>23228</v>
      </c>
      <c r="B5003" t="s">
        <v>23229</v>
      </c>
      <c r="C5003">
        <v>0</v>
      </c>
    </row>
    <row r="5004" spans="1:3" x14ac:dyDescent="0.25">
      <c r="A5004" s="48" t="s">
        <v>22959</v>
      </c>
      <c r="B5004" t="s">
        <v>22960</v>
      </c>
      <c r="C5004">
        <v>5</v>
      </c>
    </row>
    <row r="5005" spans="1:3" x14ac:dyDescent="0.25">
      <c r="A5005" s="48" t="s">
        <v>14477</v>
      </c>
      <c r="B5005" t="s">
        <v>14478</v>
      </c>
      <c r="C5005">
        <v>11</v>
      </c>
    </row>
    <row r="5006" spans="1:3" x14ac:dyDescent="0.25">
      <c r="A5006" s="48" t="s">
        <v>14475</v>
      </c>
      <c r="B5006" t="s">
        <v>14476</v>
      </c>
      <c r="C5006">
        <v>26</v>
      </c>
    </row>
    <row r="5007" spans="1:3" x14ac:dyDescent="0.25">
      <c r="A5007" s="48" t="s">
        <v>18890</v>
      </c>
      <c r="B5007" t="s">
        <v>18891</v>
      </c>
      <c r="C5007">
        <v>65</v>
      </c>
    </row>
    <row r="5008" spans="1:3" x14ac:dyDescent="0.25">
      <c r="A5008" s="48" t="s">
        <v>17869</v>
      </c>
      <c r="B5008" t="s">
        <v>17870</v>
      </c>
      <c r="C5008">
        <v>0</v>
      </c>
    </row>
    <row r="5009" spans="1:3" x14ac:dyDescent="0.25">
      <c r="A5009" s="48" t="s">
        <v>17855</v>
      </c>
      <c r="B5009" t="s">
        <v>17856</v>
      </c>
      <c r="C5009">
        <v>0</v>
      </c>
    </row>
    <row r="5010" spans="1:3" x14ac:dyDescent="0.25">
      <c r="A5010" s="48" t="s">
        <v>1251</v>
      </c>
      <c r="B5010" t="s">
        <v>1252</v>
      </c>
      <c r="C5010">
        <v>37</v>
      </c>
    </row>
    <row r="5011" spans="1:3" x14ac:dyDescent="0.25">
      <c r="A5011" s="48" t="s">
        <v>6369</v>
      </c>
      <c r="B5011" t="s">
        <v>6370</v>
      </c>
      <c r="C5011">
        <v>33</v>
      </c>
    </row>
    <row r="5012" spans="1:3" x14ac:dyDescent="0.25">
      <c r="A5012" s="48" t="s">
        <v>1211</v>
      </c>
      <c r="B5012" t="s">
        <v>1212</v>
      </c>
      <c r="C5012">
        <v>2</v>
      </c>
    </row>
    <row r="5013" spans="1:3" x14ac:dyDescent="0.25">
      <c r="A5013" s="48" t="s">
        <v>14558</v>
      </c>
      <c r="B5013" t="s">
        <v>14559</v>
      </c>
      <c r="C5013">
        <v>0</v>
      </c>
    </row>
    <row r="5014" spans="1:3" x14ac:dyDescent="0.25">
      <c r="A5014" s="48" t="s">
        <v>16204</v>
      </c>
      <c r="B5014" t="s">
        <v>16205</v>
      </c>
      <c r="C5014">
        <v>7</v>
      </c>
    </row>
    <row r="5015" spans="1:3" x14ac:dyDescent="0.25">
      <c r="A5015" s="48" t="s">
        <v>16202</v>
      </c>
      <c r="B5015" t="s">
        <v>16203</v>
      </c>
      <c r="C5015">
        <v>13</v>
      </c>
    </row>
    <row r="5016" spans="1:3" x14ac:dyDescent="0.25">
      <c r="A5016" s="48" t="s">
        <v>13054</v>
      </c>
      <c r="B5016" t="s">
        <v>13055</v>
      </c>
      <c r="C5016">
        <v>5</v>
      </c>
    </row>
    <row r="5017" spans="1:3" x14ac:dyDescent="0.25">
      <c r="A5017" s="48" t="s">
        <v>1057</v>
      </c>
      <c r="B5017" t="s">
        <v>1058</v>
      </c>
      <c r="C5017">
        <v>36</v>
      </c>
    </row>
    <row r="5018" spans="1:3" x14ac:dyDescent="0.25">
      <c r="A5018" s="48" t="s">
        <v>499</v>
      </c>
      <c r="B5018" t="s">
        <v>500</v>
      </c>
      <c r="C5018">
        <v>41</v>
      </c>
    </row>
    <row r="5019" spans="1:3" x14ac:dyDescent="0.25">
      <c r="A5019" s="48" t="s">
        <v>1255</v>
      </c>
      <c r="B5019" t="s">
        <v>1256</v>
      </c>
      <c r="C5019">
        <v>13</v>
      </c>
    </row>
    <row r="5020" spans="1:3" x14ac:dyDescent="0.25">
      <c r="A5020" s="48" t="s">
        <v>423</v>
      </c>
      <c r="B5020" t="s">
        <v>424</v>
      </c>
      <c r="C5020">
        <v>12</v>
      </c>
    </row>
    <row r="5021" spans="1:3" x14ac:dyDescent="0.25">
      <c r="A5021" s="48" t="s">
        <v>3105</v>
      </c>
      <c r="B5021" t="s">
        <v>3106</v>
      </c>
      <c r="C5021">
        <v>0</v>
      </c>
    </row>
    <row r="5022" spans="1:3" x14ac:dyDescent="0.25">
      <c r="A5022" s="48" t="s">
        <v>18243</v>
      </c>
      <c r="B5022" t="s">
        <v>21709</v>
      </c>
      <c r="C5022">
        <v>0</v>
      </c>
    </row>
    <row r="5023" spans="1:3" x14ac:dyDescent="0.25">
      <c r="A5023" s="48" t="s">
        <v>16091</v>
      </c>
      <c r="B5023" t="s">
        <v>16092</v>
      </c>
      <c r="C5023">
        <v>28</v>
      </c>
    </row>
    <row r="5024" spans="1:3" x14ac:dyDescent="0.25">
      <c r="A5024" s="48" t="s">
        <v>229</v>
      </c>
      <c r="B5024" t="s">
        <v>230</v>
      </c>
      <c r="C5024">
        <v>13</v>
      </c>
    </row>
    <row r="5025" spans="1:3" x14ac:dyDescent="0.25">
      <c r="A5025" s="48" t="s">
        <v>1121</v>
      </c>
      <c r="B5025" t="s">
        <v>1122</v>
      </c>
      <c r="C5025">
        <v>20</v>
      </c>
    </row>
    <row r="5026" spans="1:3" x14ac:dyDescent="0.25">
      <c r="A5026" s="48" t="s">
        <v>16336</v>
      </c>
      <c r="B5026" t="s">
        <v>16337</v>
      </c>
      <c r="C5026">
        <v>0</v>
      </c>
    </row>
    <row r="5027" spans="1:3" x14ac:dyDescent="0.25">
      <c r="A5027" s="48" t="s">
        <v>16338</v>
      </c>
      <c r="B5027" t="s">
        <v>16339</v>
      </c>
      <c r="C5027">
        <v>0</v>
      </c>
    </row>
    <row r="5028" spans="1:3" x14ac:dyDescent="0.25">
      <c r="A5028" s="48" t="s">
        <v>882</v>
      </c>
      <c r="B5028" t="s">
        <v>883</v>
      </c>
      <c r="C5028">
        <v>119</v>
      </c>
    </row>
    <row r="5029" spans="1:3" x14ac:dyDescent="0.25">
      <c r="A5029" s="48" t="s">
        <v>1037</v>
      </c>
      <c r="B5029" t="s">
        <v>1038</v>
      </c>
      <c r="C5029">
        <v>98</v>
      </c>
    </row>
    <row r="5030" spans="1:3" x14ac:dyDescent="0.25">
      <c r="A5030" s="48" t="s">
        <v>1571</v>
      </c>
      <c r="B5030" t="s">
        <v>1572</v>
      </c>
      <c r="C5030">
        <v>52</v>
      </c>
    </row>
    <row r="5031" spans="1:3" x14ac:dyDescent="0.25">
      <c r="A5031" s="48" t="s">
        <v>3257</v>
      </c>
      <c r="B5031" t="s">
        <v>3258</v>
      </c>
      <c r="C5031">
        <v>69</v>
      </c>
    </row>
    <row r="5032" spans="1:3" x14ac:dyDescent="0.25">
      <c r="A5032" s="48" t="s">
        <v>3259</v>
      </c>
      <c r="B5032" t="s">
        <v>3260</v>
      </c>
      <c r="C5032">
        <v>84</v>
      </c>
    </row>
    <row r="5033" spans="1:3" x14ac:dyDescent="0.25">
      <c r="A5033" s="48" t="s">
        <v>3263</v>
      </c>
      <c r="B5033" t="s">
        <v>3264</v>
      </c>
      <c r="C5033">
        <v>23</v>
      </c>
    </row>
    <row r="5034" spans="1:3" x14ac:dyDescent="0.25">
      <c r="A5034" s="48" t="s">
        <v>3261</v>
      </c>
      <c r="B5034" t="s">
        <v>3262</v>
      </c>
      <c r="C5034">
        <v>76</v>
      </c>
    </row>
    <row r="5035" spans="1:3" x14ac:dyDescent="0.25">
      <c r="A5035" s="48" t="s">
        <v>1527</v>
      </c>
      <c r="B5035" t="s">
        <v>1528</v>
      </c>
      <c r="C5035">
        <v>100</v>
      </c>
    </row>
    <row r="5036" spans="1:3" x14ac:dyDescent="0.25">
      <c r="A5036" s="48" t="s">
        <v>641</v>
      </c>
      <c r="B5036" t="s">
        <v>642</v>
      </c>
      <c r="C5036">
        <v>33</v>
      </c>
    </row>
    <row r="5037" spans="1:3" x14ac:dyDescent="0.25">
      <c r="A5037" s="48" t="s">
        <v>1451</v>
      </c>
      <c r="B5037" t="s">
        <v>1452</v>
      </c>
      <c r="C5037">
        <v>104</v>
      </c>
    </row>
    <row r="5038" spans="1:3" x14ac:dyDescent="0.25">
      <c r="A5038" s="48" t="s">
        <v>3295</v>
      </c>
      <c r="B5038" t="s">
        <v>21710</v>
      </c>
      <c r="C5038">
        <v>0</v>
      </c>
    </row>
    <row r="5039" spans="1:3" x14ac:dyDescent="0.25">
      <c r="A5039" s="48" t="s">
        <v>3299</v>
      </c>
      <c r="B5039" t="s">
        <v>21711</v>
      </c>
      <c r="C5039">
        <v>10</v>
      </c>
    </row>
    <row r="5040" spans="1:3" x14ac:dyDescent="0.25">
      <c r="A5040" s="48" t="s">
        <v>3297</v>
      </c>
      <c r="B5040" t="s">
        <v>21712</v>
      </c>
      <c r="C5040">
        <v>27</v>
      </c>
    </row>
    <row r="5041" spans="1:3" x14ac:dyDescent="0.25">
      <c r="A5041" s="48" t="s">
        <v>3301</v>
      </c>
      <c r="B5041" t="s">
        <v>21713</v>
      </c>
      <c r="C5041">
        <v>19</v>
      </c>
    </row>
    <row r="5042" spans="1:3" x14ac:dyDescent="0.25">
      <c r="A5042" s="48" t="s">
        <v>3303</v>
      </c>
      <c r="B5042" t="s">
        <v>21714</v>
      </c>
      <c r="C5042">
        <v>4</v>
      </c>
    </row>
    <row r="5043" spans="1:3" x14ac:dyDescent="0.25">
      <c r="A5043" s="48" t="s">
        <v>3305</v>
      </c>
      <c r="B5043" t="s">
        <v>21715</v>
      </c>
      <c r="C5043">
        <v>6</v>
      </c>
    </row>
    <row r="5044" spans="1:3" x14ac:dyDescent="0.25">
      <c r="A5044" s="48" t="s">
        <v>3307</v>
      </c>
      <c r="B5044" t="s">
        <v>21716</v>
      </c>
      <c r="C5044">
        <v>11</v>
      </c>
    </row>
    <row r="5045" spans="1:3" x14ac:dyDescent="0.25">
      <c r="A5045" s="48" t="s">
        <v>3309</v>
      </c>
      <c r="B5045" t="s">
        <v>21717</v>
      </c>
      <c r="C5045">
        <v>3</v>
      </c>
    </row>
    <row r="5046" spans="1:3" x14ac:dyDescent="0.25">
      <c r="A5046" s="48" t="s">
        <v>3311</v>
      </c>
      <c r="B5046" t="s">
        <v>3312</v>
      </c>
      <c r="C5046">
        <v>19</v>
      </c>
    </row>
    <row r="5047" spans="1:3" x14ac:dyDescent="0.25">
      <c r="A5047" s="48" t="s">
        <v>3313</v>
      </c>
      <c r="B5047" t="s">
        <v>3314</v>
      </c>
      <c r="C5047">
        <v>15</v>
      </c>
    </row>
    <row r="5048" spans="1:3" x14ac:dyDescent="0.25">
      <c r="A5048" s="48" t="s">
        <v>3315</v>
      </c>
      <c r="B5048" t="s">
        <v>3316</v>
      </c>
      <c r="C5048">
        <v>14</v>
      </c>
    </row>
    <row r="5049" spans="1:3" x14ac:dyDescent="0.25">
      <c r="A5049" s="48" t="s">
        <v>3317</v>
      </c>
      <c r="B5049" t="s">
        <v>3318</v>
      </c>
      <c r="C5049">
        <v>8</v>
      </c>
    </row>
    <row r="5050" spans="1:3" x14ac:dyDescent="0.25">
      <c r="A5050" s="48" t="s">
        <v>3319</v>
      </c>
      <c r="B5050" t="s">
        <v>3320</v>
      </c>
      <c r="C5050">
        <v>11</v>
      </c>
    </row>
    <row r="5051" spans="1:3" x14ac:dyDescent="0.25">
      <c r="A5051" s="48" t="s">
        <v>3321</v>
      </c>
      <c r="B5051" t="s">
        <v>21718</v>
      </c>
      <c r="C5051">
        <v>14</v>
      </c>
    </row>
    <row r="5052" spans="1:3" x14ac:dyDescent="0.25">
      <c r="A5052" s="48" t="s">
        <v>15641</v>
      </c>
      <c r="B5052" t="s">
        <v>15642</v>
      </c>
      <c r="C5052">
        <v>9</v>
      </c>
    </row>
    <row r="5053" spans="1:3" x14ac:dyDescent="0.25">
      <c r="A5053" s="48" t="s">
        <v>15645</v>
      </c>
      <c r="B5053" t="s">
        <v>15646</v>
      </c>
      <c r="C5053">
        <v>11</v>
      </c>
    </row>
    <row r="5054" spans="1:3" x14ac:dyDescent="0.25">
      <c r="A5054" s="48" t="s">
        <v>15647</v>
      </c>
      <c r="B5054" t="s">
        <v>15648</v>
      </c>
      <c r="C5054">
        <v>7</v>
      </c>
    </row>
    <row r="5055" spans="1:3" x14ac:dyDescent="0.25">
      <c r="A5055" s="48" t="s">
        <v>15651</v>
      </c>
      <c r="B5055" t="s">
        <v>15652</v>
      </c>
      <c r="C5055">
        <v>0</v>
      </c>
    </row>
    <row r="5056" spans="1:3" x14ac:dyDescent="0.25">
      <c r="A5056" s="48" t="s">
        <v>15653</v>
      </c>
      <c r="B5056" t="s">
        <v>15654</v>
      </c>
      <c r="C5056">
        <v>0</v>
      </c>
    </row>
    <row r="5057" spans="1:3" x14ac:dyDescent="0.25">
      <c r="A5057" s="48" t="s">
        <v>15655</v>
      </c>
      <c r="B5057" t="s">
        <v>15656</v>
      </c>
      <c r="C5057">
        <v>10</v>
      </c>
    </row>
    <row r="5058" spans="1:3" x14ac:dyDescent="0.25">
      <c r="A5058" s="48" t="s">
        <v>15657</v>
      </c>
      <c r="B5058" t="s">
        <v>15658</v>
      </c>
      <c r="C5058">
        <v>5</v>
      </c>
    </row>
    <row r="5059" spans="1:3" x14ac:dyDescent="0.25">
      <c r="A5059" s="48" t="s">
        <v>15659</v>
      </c>
      <c r="B5059" t="s">
        <v>15660</v>
      </c>
      <c r="C5059">
        <v>17</v>
      </c>
    </row>
    <row r="5060" spans="1:3" x14ac:dyDescent="0.25">
      <c r="A5060" s="48" t="s">
        <v>15663</v>
      </c>
      <c r="B5060" t="s">
        <v>15664</v>
      </c>
      <c r="C5060">
        <v>7</v>
      </c>
    </row>
    <row r="5061" spans="1:3" x14ac:dyDescent="0.25">
      <c r="A5061" s="48" t="s">
        <v>15661</v>
      </c>
      <c r="B5061" t="s">
        <v>15662</v>
      </c>
      <c r="C5061">
        <v>5</v>
      </c>
    </row>
    <row r="5062" spans="1:3" x14ac:dyDescent="0.25">
      <c r="A5062" s="48" t="s">
        <v>15667</v>
      </c>
      <c r="B5062" t="s">
        <v>15668</v>
      </c>
      <c r="C5062">
        <v>15</v>
      </c>
    </row>
    <row r="5063" spans="1:3" x14ac:dyDescent="0.25">
      <c r="A5063" s="48" t="s">
        <v>15669</v>
      </c>
      <c r="B5063" t="s">
        <v>15670</v>
      </c>
      <c r="C5063">
        <v>15</v>
      </c>
    </row>
    <row r="5064" spans="1:3" x14ac:dyDescent="0.25">
      <c r="A5064" s="48" t="s">
        <v>15671</v>
      </c>
      <c r="B5064" t="s">
        <v>15672</v>
      </c>
      <c r="C5064">
        <v>13</v>
      </c>
    </row>
    <row r="5065" spans="1:3" x14ac:dyDescent="0.25">
      <c r="A5065" s="48" t="s">
        <v>15673</v>
      </c>
      <c r="B5065" t="s">
        <v>15674</v>
      </c>
      <c r="C5065">
        <v>12</v>
      </c>
    </row>
    <row r="5066" spans="1:3" x14ac:dyDescent="0.25">
      <c r="A5066" s="48" t="s">
        <v>15677</v>
      </c>
      <c r="B5066" t="s">
        <v>15678</v>
      </c>
      <c r="C5066">
        <v>11</v>
      </c>
    </row>
    <row r="5067" spans="1:3" x14ac:dyDescent="0.25">
      <c r="A5067" s="48" t="s">
        <v>15687</v>
      </c>
      <c r="B5067" t="s">
        <v>15688</v>
      </c>
      <c r="C5067">
        <v>60</v>
      </c>
    </row>
    <row r="5068" spans="1:3" x14ac:dyDescent="0.25">
      <c r="A5068" s="48" t="s">
        <v>15689</v>
      </c>
      <c r="B5068" t="s">
        <v>15690</v>
      </c>
      <c r="C5068">
        <v>23</v>
      </c>
    </row>
    <row r="5069" spans="1:3" x14ac:dyDescent="0.25">
      <c r="A5069" s="48" t="s">
        <v>15693</v>
      </c>
      <c r="B5069" t="s">
        <v>15694</v>
      </c>
      <c r="C5069">
        <v>26</v>
      </c>
    </row>
    <row r="5070" spans="1:3" x14ac:dyDescent="0.25">
      <c r="A5070" s="48" t="s">
        <v>15695</v>
      </c>
      <c r="B5070" t="s">
        <v>15696</v>
      </c>
      <c r="C5070">
        <v>0</v>
      </c>
    </row>
    <row r="5071" spans="1:3" x14ac:dyDescent="0.25">
      <c r="A5071" s="48" t="s">
        <v>15697</v>
      </c>
      <c r="B5071" t="s">
        <v>15698</v>
      </c>
      <c r="C5071">
        <v>17</v>
      </c>
    </row>
    <row r="5072" spans="1:3" x14ac:dyDescent="0.25">
      <c r="A5072" s="48" t="s">
        <v>15701</v>
      </c>
      <c r="B5072" t="s">
        <v>15702</v>
      </c>
      <c r="C5072">
        <v>20</v>
      </c>
    </row>
    <row r="5073" spans="1:3" x14ac:dyDescent="0.25">
      <c r="A5073" s="48" t="s">
        <v>15703</v>
      </c>
      <c r="B5073" t="s">
        <v>15704</v>
      </c>
      <c r="C5073">
        <v>17</v>
      </c>
    </row>
    <row r="5074" spans="1:3" x14ac:dyDescent="0.25">
      <c r="A5074" s="48" t="s">
        <v>15707</v>
      </c>
      <c r="B5074" t="s">
        <v>15708</v>
      </c>
      <c r="C5074">
        <v>12</v>
      </c>
    </row>
    <row r="5075" spans="1:3" x14ac:dyDescent="0.25">
      <c r="A5075" s="48" t="s">
        <v>15691</v>
      </c>
      <c r="B5075" t="s">
        <v>15692</v>
      </c>
      <c r="C5075">
        <v>7</v>
      </c>
    </row>
    <row r="5076" spans="1:3" x14ac:dyDescent="0.25">
      <c r="A5076" s="48" t="s">
        <v>1701</v>
      </c>
      <c r="B5076" t="s">
        <v>1702</v>
      </c>
      <c r="C5076">
        <v>10</v>
      </c>
    </row>
    <row r="5077" spans="1:3" x14ac:dyDescent="0.25">
      <c r="A5077" s="48" t="s">
        <v>1651</v>
      </c>
      <c r="B5077" t="s">
        <v>1652</v>
      </c>
      <c r="C5077">
        <v>27</v>
      </c>
    </row>
    <row r="5078" spans="1:3" x14ac:dyDescent="0.25">
      <c r="A5078" s="48" t="s">
        <v>1641</v>
      </c>
      <c r="B5078" t="s">
        <v>1642</v>
      </c>
      <c r="C5078">
        <v>65</v>
      </c>
    </row>
    <row r="5079" spans="1:3" x14ac:dyDescent="0.25">
      <c r="A5079" s="48" t="s">
        <v>1387</v>
      </c>
      <c r="B5079" t="s">
        <v>1388</v>
      </c>
      <c r="C5079">
        <v>65</v>
      </c>
    </row>
    <row r="5080" spans="1:3" x14ac:dyDescent="0.25">
      <c r="A5080" s="48" t="s">
        <v>1035</v>
      </c>
      <c r="B5080" t="s">
        <v>1036</v>
      </c>
      <c r="C5080">
        <v>19</v>
      </c>
    </row>
    <row r="5081" spans="1:3" x14ac:dyDescent="0.25">
      <c r="A5081" s="48" t="s">
        <v>14594</v>
      </c>
      <c r="B5081" t="s">
        <v>21719</v>
      </c>
      <c r="C5081">
        <v>0</v>
      </c>
    </row>
    <row r="5082" spans="1:3" x14ac:dyDescent="0.25">
      <c r="A5082" s="48" t="s">
        <v>14906</v>
      </c>
      <c r="B5082" t="s">
        <v>14907</v>
      </c>
      <c r="C5082">
        <v>25</v>
      </c>
    </row>
    <row r="5083" spans="1:3" x14ac:dyDescent="0.25">
      <c r="A5083" s="48" t="s">
        <v>14912</v>
      </c>
      <c r="B5083" t="s">
        <v>14913</v>
      </c>
      <c r="C5083">
        <v>102</v>
      </c>
    </row>
    <row r="5084" spans="1:3" x14ac:dyDescent="0.25">
      <c r="A5084" s="48" t="s">
        <v>14908</v>
      </c>
      <c r="B5084" t="s">
        <v>14909</v>
      </c>
      <c r="C5084">
        <v>0</v>
      </c>
    </row>
    <row r="5085" spans="1:3" x14ac:dyDescent="0.25">
      <c r="A5085" s="48" t="s">
        <v>14904</v>
      </c>
      <c r="B5085" t="s">
        <v>14905</v>
      </c>
      <c r="C5085">
        <v>46</v>
      </c>
    </row>
    <row r="5086" spans="1:3" x14ac:dyDescent="0.25">
      <c r="A5086" s="48" t="s">
        <v>16822</v>
      </c>
      <c r="B5086" t="s">
        <v>21720</v>
      </c>
      <c r="C5086">
        <v>33</v>
      </c>
    </row>
    <row r="5087" spans="1:3" x14ac:dyDescent="0.25">
      <c r="A5087" s="48" t="s">
        <v>8493</v>
      </c>
      <c r="B5087" t="s">
        <v>8494</v>
      </c>
      <c r="C5087">
        <v>10</v>
      </c>
    </row>
    <row r="5088" spans="1:3" x14ac:dyDescent="0.25">
      <c r="A5088" s="48" t="s">
        <v>8495</v>
      </c>
      <c r="B5088" t="s">
        <v>8496</v>
      </c>
      <c r="C5088">
        <v>7</v>
      </c>
    </row>
    <row r="5089" spans="1:3" x14ac:dyDescent="0.25">
      <c r="A5089" s="48" t="s">
        <v>8497</v>
      </c>
      <c r="B5089" t="s">
        <v>8498</v>
      </c>
      <c r="C5089">
        <v>52</v>
      </c>
    </row>
    <row r="5090" spans="1:3" x14ac:dyDescent="0.25">
      <c r="A5090" s="48" t="s">
        <v>8499</v>
      </c>
      <c r="B5090" t="s">
        <v>8500</v>
      </c>
      <c r="C5090">
        <v>28</v>
      </c>
    </row>
    <row r="5091" spans="1:3" x14ac:dyDescent="0.25">
      <c r="A5091" s="48" t="s">
        <v>8501</v>
      </c>
      <c r="B5091" t="s">
        <v>8502</v>
      </c>
      <c r="C5091">
        <v>12</v>
      </c>
    </row>
    <row r="5092" spans="1:3" x14ac:dyDescent="0.25">
      <c r="A5092" s="48" t="s">
        <v>8503</v>
      </c>
      <c r="B5092" t="s">
        <v>8504</v>
      </c>
      <c r="C5092">
        <v>39</v>
      </c>
    </row>
    <row r="5093" spans="1:3" x14ac:dyDescent="0.25">
      <c r="A5093" s="48" t="s">
        <v>17554</v>
      </c>
      <c r="B5093" t="s">
        <v>17555</v>
      </c>
      <c r="C5093">
        <v>0</v>
      </c>
    </row>
    <row r="5094" spans="1:3" x14ac:dyDescent="0.25">
      <c r="A5094" s="48" t="s">
        <v>17552</v>
      </c>
      <c r="B5094" t="s">
        <v>17553</v>
      </c>
      <c r="C5094">
        <v>10</v>
      </c>
    </row>
    <row r="5095" spans="1:3" x14ac:dyDescent="0.25">
      <c r="A5095" s="48" t="s">
        <v>15699</v>
      </c>
      <c r="B5095" t="s">
        <v>15700</v>
      </c>
      <c r="C5095">
        <v>22</v>
      </c>
    </row>
    <row r="5096" spans="1:3" x14ac:dyDescent="0.25">
      <c r="A5096" s="48" t="s">
        <v>15705</v>
      </c>
      <c r="B5096" t="s">
        <v>15706</v>
      </c>
      <c r="C5096">
        <v>27</v>
      </c>
    </row>
    <row r="5097" spans="1:3" x14ac:dyDescent="0.25">
      <c r="A5097" s="48" t="s">
        <v>8491</v>
      </c>
      <c r="B5097" t="s">
        <v>8492</v>
      </c>
      <c r="C5097">
        <v>23</v>
      </c>
    </row>
    <row r="5098" spans="1:3" x14ac:dyDescent="0.25">
      <c r="A5098" s="48" t="s">
        <v>15052</v>
      </c>
      <c r="B5098" t="s">
        <v>15053</v>
      </c>
      <c r="C5098">
        <v>0</v>
      </c>
    </row>
    <row r="5099" spans="1:3" x14ac:dyDescent="0.25">
      <c r="A5099" s="48" t="s">
        <v>15028</v>
      </c>
      <c r="B5099" t="s">
        <v>15029</v>
      </c>
      <c r="C5099">
        <v>14</v>
      </c>
    </row>
    <row r="5100" spans="1:3" x14ac:dyDescent="0.25">
      <c r="A5100" s="48" t="s">
        <v>12907</v>
      </c>
      <c r="B5100" t="s">
        <v>12908</v>
      </c>
      <c r="C5100">
        <v>0</v>
      </c>
    </row>
    <row r="5101" spans="1:3" x14ac:dyDescent="0.25">
      <c r="A5101" s="48" t="s">
        <v>14592</v>
      </c>
      <c r="B5101" t="s">
        <v>14593</v>
      </c>
      <c r="C5101">
        <v>16</v>
      </c>
    </row>
    <row r="5102" spans="1:3" x14ac:dyDescent="0.25">
      <c r="A5102" s="48" t="s">
        <v>17018</v>
      </c>
      <c r="B5102" t="s">
        <v>17019</v>
      </c>
      <c r="C5102">
        <v>11</v>
      </c>
    </row>
    <row r="5103" spans="1:3" x14ac:dyDescent="0.25">
      <c r="A5103" s="48" t="s">
        <v>15635</v>
      </c>
      <c r="B5103" t="s">
        <v>15636</v>
      </c>
      <c r="C5103">
        <v>0</v>
      </c>
    </row>
    <row r="5104" spans="1:3" x14ac:dyDescent="0.25">
      <c r="A5104" s="48" t="s">
        <v>3265</v>
      </c>
      <c r="B5104" t="s">
        <v>3266</v>
      </c>
      <c r="C5104">
        <v>64</v>
      </c>
    </row>
    <row r="5105" spans="1:3" x14ac:dyDescent="0.25">
      <c r="A5105" s="48" t="s">
        <v>3237</v>
      </c>
      <c r="B5105" t="s">
        <v>3238</v>
      </c>
      <c r="C5105">
        <v>48</v>
      </c>
    </row>
    <row r="5106" spans="1:3" x14ac:dyDescent="0.25">
      <c r="A5106" s="48" t="s">
        <v>3239</v>
      </c>
      <c r="B5106" t="s">
        <v>3240</v>
      </c>
      <c r="C5106">
        <v>63</v>
      </c>
    </row>
    <row r="5107" spans="1:3" x14ac:dyDescent="0.25">
      <c r="A5107" s="48" t="s">
        <v>3241</v>
      </c>
      <c r="B5107" t="s">
        <v>3242</v>
      </c>
      <c r="C5107">
        <v>18</v>
      </c>
    </row>
    <row r="5108" spans="1:3" x14ac:dyDescent="0.25">
      <c r="A5108" s="48" t="s">
        <v>876</v>
      </c>
      <c r="B5108" t="s">
        <v>877</v>
      </c>
      <c r="C5108">
        <v>232</v>
      </c>
    </row>
    <row r="5109" spans="1:3" x14ac:dyDescent="0.25">
      <c r="A5109" s="48" t="s">
        <v>3247</v>
      </c>
      <c r="B5109" t="s">
        <v>3248</v>
      </c>
      <c r="C5109">
        <v>21</v>
      </c>
    </row>
    <row r="5110" spans="1:3" x14ac:dyDescent="0.25">
      <c r="A5110" s="48" t="s">
        <v>3249</v>
      </c>
      <c r="B5110" t="s">
        <v>3250</v>
      </c>
      <c r="C5110">
        <v>34</v>
      </c>
    </row>
    <row r="5111" spans="1:3" x14ac:dyDescent="0.25">
      <c r="A5111" s="48" t="s">
        <v>3251</v>
      </c>
      <c r="B5111" t="s">
        <v>3252</v>
      </c>
      <c r="C5111">
        <v>0</v>
      </c>
    </row>
    <row r="5112" spans="1:3" x14ac:dyDescent="0.25">
      <c r="A5112" s="48" t="s">
        <v>3253</v>
      </c>
      <c r="B5112" t="s">
        <v>3254</v>
      </c>
      <c r="C5112">
        <v>0</v>
      </c>
    </row>
    <row r="5113" spans="1:3" x14ac:dyDescent="0.25">
      <c r="A5113" s="48" t="s">
        <v>3255</v>
      </c>
      <c r="B5113" t="s">
        <v>3256</v>
      </c>
      <c r="C5113">
        <v>29</v>
      </c>
    </row>
    <row r="5114" spans="1:3" x14ac:dyDescent="0.25">
      <c r="A5114" s="48" t="s">
        <v>3267</v>
      </c>
      <c r="B5114" t="s">
        <v>3268</v>
      </c>
      <c r="C5114">
        <v>6</v>
      </c>
    </row>
    <row r="5115" spans="1:3" x14ac:dyDescent="0.25">
      <c r="A5115" s="48" t="s">
        <v>3323</v>
      </c>
      <c r="B5115" t="s">
        <v>3324</v>
      </c>
      <c r="C5115">
        <v>6</v>
      </c>
    </row>
    <row r="5116" spans="1:3" x14ac:dyDescent="0.25">
      <c r="A5116" s="48" t="s">
        <v>15665</v>
      </c>
      <c r="B5116" t="s">
        <v>15666</v>
      </c>
      <c r="C5116">
        <v>10</v>
      </c>
    </row>
    <row r="5117" spans="1:3" x14ac:dyDescent="0.25">
      <c r="A5117" s="48" t="s">
        <v>15681</v>
      </c>
      <c r="B5117" t="s">
        <v>15682</v>
      </c>
      <c r="C5117">
        <v>13</v>
      </c>
    </row>
    <row r="5118" spans="1:3" x14ac:dyDescent="0.25">
      <c r="A5118" s="48" t="s">
        <v>15683</v>
      </c>
      <c r="B5118" t="s">
        <v>15684</v>
      </c>
      <c r="C5118">
        <v>34</v>
      </c>
    </row>
    <row r="5119" spans="1:3" x14ac:dyDescent="0.25">
      <c r="A5119" s="48" t="s">
        <v>15685</v>
      </c>
      <c r="B5119" t="s">
        <v>15686</v>
      </c>
      <c r="C5119">
        <v>14</v>
      </c>
    </row>
    <row r="5120" spans="1:3" x14ac:dyDescent="0.25">
      <c r="A5120" s="48" t="s">
        <v>14580</v>
      </c>
      <c r="B5120" t="s">
        <v>14581</v>
      </c>
      <c r="C5120">
        <v>0</v>
      </c>
    </row>
    <row r="5121" spans="1:3" x14ac:dyDescent="0.25">
      <c r="A5121" s="48" t="s">
        <v>15619</v>
      </c>
      <c r="B5121" t="s">
        <v>15620</v>
      </c>
      <c r="C5121">
        <v>3</v>
      </c>
    </row>
    <row r="5122" spans="1:3" x14ac:dyDescent="0.25">
      <c r="A5122" s="48" t="s">
        <v>15625</v>
      </c>
      <c r="B5122" t="s">
        <v>15626</v>
      </c>
      <c r="C5122">
        <v>0</v>
      </c>
    </row>
    <row r="5123" spans="1:3" x14ac:dyDescent="0.25">
      <c r="A5123" s="48" t="s">
        <v>15627</v>
      </c>
      <c r="B5123" t="s">
        <v>15628</v>
      </c>
      <c r="C5123">
        <v>0</v>
      </c>
    </row>
    <row r="5124" spans="1:3" x14ac:dyDescent="0.25">
      <c r="A5124" s="48" t="s">
        <v>15629</v>
      </c>
      <c r="B5124" t="s">
        <v>15630</v>
      </c>
      <c r="C5124">
        <v>0</v>
      </c>
    </row>
    <row r="5125" spans="1:3" x14ac:dyDescent="0.25">
      <c r="A5125" s="48" t="s">
        <v>15633</v>
      </c>
      <c r="B5125" t="s">
        <v>15634</v>
      </c>
      <c r="C5125">
        <v>0</v>
      </c>
    </row>
    <row r="5126" spans="1:3" x14ac:dyDescent="0.25">
      <c r="A5126" s="48" t="s">
        <v>16908</v>
      </c>
      <c r="B5126" t="s">
        <v>16909</v>
      </c>
      <c r="C5126">
        <v>0</v>
      </c>
    </row>
    <row r="5127" spans="1:3" x14ac:dyDescent="0.25">
      <c r="A5127" s="48" t="s">
        <v>16910</v>
      </c>
      <c r="B5127" t="s">
        <v>16911</v>
      </c>
      <c r="C5127">
        <v>64</v>
      </c>
    </row>
    <row r="5128" spans="1:3" x14ac:dyDescent="0.25">
      <c r="A5128" s="48" t="s">
        <v>15679</v>
      </c>
      <c r="B5128" t="s">
        <v>15680</v>
      </c>
      <c r="C5128">
        <v>4</v>
      </c>
    </row>
    <row r="5129" spans="1:3" x14ac:dyDescent="0.25">
      <c r="A5129" s="48" t="s">
        <v>15623</v>
      </c>
      <c r="B5129" t="s">
        <v>15624</v>
      </c>
      <c r="C5129">
        <v>0</v>
      </c>
    </row>
    <row r="5130" spans="1:3" x14ac:dyDescent="0.25">
      <c r="A5130" s="48" t="s">
        <v>15649</v>
      </c>
      <c r="B5130" t="s">
        <v>15650</v>
      </c>
      <c r="C5130">
        <v>13</v>
      </c>
    </row>
    <row r="5131" spans="1:3" x14ac:dyDescent="0.25">
      <c r="A5131" s="48" t="s">
        <v>15675</v>
      </c>
      <c r="B5131" t="s">
        <v>15676</v>
      </c>
      <c r="C5131">
        <v>7</v>
      </c>
    </row>
    <row r="5132" spans="1:3" x14ac:dyDescent="0.25">
      <c r="A5132" s="48" t="s">
        <v>17945</v>
      </c>
      <c r="B5132" t="s">
        <v>17946</v>
      </c>
      <c r="C5132">
        <v>101</v>
      </c>
    </row>
    <row r="5133" spans="1:3" x14ac:dyDescent="0.25">
      <c r="A5133" s="48" t="s">
        <v>17947</v>
      </c>
      <c r="B5133" t="s">
        <v>17948</v>
      </c>
      <c r="C5133">
        <v>13</v>
      </c>
    </row>
    <row r="5134" spans="1:3" x14ac:dyDescent="0.25">
      <c r="A5134" s="48" t="s">
        <v>17949</v>
      </c>
      <c r="B5134" t="s">
        <v>17950</v>
      </c>
      <c r="C5134">
        <v>9</v>
      </c>
    </row>
    <row r="5135" spans="1:3" x14ac:dyDescent="0.25">
      <c r="A5135" s="48" t="s">
        <v>17953</v>
      </c>
      <c r="B5135" t="s">
        <v>17954</v>
      </c>
      <c r="C5135">
        <v>12</v>
      </c>
    </row>
    <row r="5136" spans="1:3" x14ac:dyDescent="0.25">
      <c r="A5136" s="48" t="s">
        <v>17955</v>
      </c>
      <c r="B5136" t="s">
        <v>17956</v>
      </c>
      <c r="C5136">
        <v>25</v>
      </c>
    </row>
    <row r="5137" spans="1:3" x14ac:dyDescent="0.25">
      <c r="A5137" s="48" t="s">
        <v>17957</v>
      </c>
      <c r="B5137" t="s">
        <v>17958</v>
      </c>
      <c r="C5137">
        <v>18</v>
      </c>
    </row>
    <row r="5138" spans="1:3" x14ac:dyDescent="0.25">
      <c r="A5138" s="48" t="s">
        <v>17959</v>
      </c>
      <c r="B5138" t="s">
        <v>17960</v>
      </c>
      <c r="C5138">
        <v>14</v>
      </c>
    </row>
    <row r="5139" spans="1:3" x14ac:dyDescent="0.25">
      <c r="A5139" s="48" t="s">
        <v>17961</v>
      </c>
      <c r="B5139" t="s">
        <v>17962</v>
      </c>
      <c r="C5139">
        <v>11</v>
      </c>
    </row>
    <row r="5140" spans="1:3" x14ac:dyDescent="0.25">
      <c r="A5140" s="48" t="s">
        <v>17951</v>
      </c>
      <c r="B5140" t="s">
        <v>17952</v>
      </c>
      <c r="C5140">
        <v>10</v>
      </c>
    </row>
    <row r="5141" spans="1:3" x14ac:dyDescent="0.25">
      <c r="A5141" s="48" t="s">
        <v>15631</v>
      </c>
      <c r="B5141" t="s">
        <v>15632</v>
      </c>
      <c r="C5141">
        <v>0</v>
      </c>
    </row>
    <row r="5142" spans="1:3" x14ac:dyDescent="0.25">
      <c r="A5142" s="48" t="s">
        <v>16824</v>
      </c>
      <c r="B5142" t="s">
        <v>16825</v>
      </c>
      <c r="C5142">
        <v>0</v>
      </c>
    </row>
    <row r="5143" spans="1:3" x14ac:dyDescent="0.25">
      <c r="A5143" s="48" t="s">
        <v>17963</v>
      </c>
      <c r="B5143" t="s">
        <v>17964</v>
      </c>
      <c r="C5143">
        <v>6</v>
      </c>
    </row>
    <row r="5144" spans="1:3" x14ac:dyDescent="0.25">
      <c r="A5144" s="48" t="s">
        <v>15621</v>
      </c>
      <c r="B5144" t="s">
        <v>15622</v>
      </c>
      <c r="C5144">
        <v>2</v>
      </c>
    </row>
    <row r="5145" spans="1:3" x14ac:dyDescent="0.25">
      <c r="A5145" s="48" t="s">
        <v>3291</v>
      </c>
      <c r="B5145" t="s">
        <v>3292</v>
      </c>
      <c r="C5145">
        <v>15</v>
      </c>
    </row>
    <row r="5146" spans="1:3" x14ac:dyDescent="0.25">
      <c r="A5146" s="48" t="s">
        <v>3289</v>
      </c>
      <c r="B5146" t="s">
        <v>3290</v>
      </c>
      <c r="C5146">
        <v>25</v>
      </c>
    </row>
    <row r="5147" spans="1:3" x14ac:dyDescent="0.25">
      <c r="A5147" s="48" t="s">
        <v>3283</v>
      </c>
      <c r="B5147" t="s">
        <v>3284</v>
      </c>
      <c r="C5147">
        <v>54</v>
      </c>
    </row>
    <row r="5148" spans="1:3" x14ac:dyDescent="0.25">
      <c r="A5148" s="48" t="s">
        <v>3287</v>
      </c>
      <c r="B5148" t="s">
        <v>3288</v>
      </c>
      <c r="C5148">
        <v>0</v>
      </c>
    </row>
    <row r="5149" spans="1:3" x14ac:dyDescent="0.25">
      <c r="A5149" s="48" t="s">
        <v>3285</v>
      </c>
      <c r="B5149" t="s">
        <v>3286</v>
      </c>
      <c r="C5149">
        <v>34</v>
      </c>
    </row>
    <row r="5150" spans="1:3" x14ac:dyDescent="0.25">
      <c r="A5150" s="48" t="s">
        <v>15637</v>
      </c>
      <c r="B5150" t="s">
        <v>15638</v>
      </c>
      <c r="C5150">
        <v>0</v>
      </c>
    </row>
    <row r="5151" spans="1:3" x14ac:dyDescent="0.25">
      <c r="A5151" s="48" t="s">
        <v>15639</v>
      </c>
      <c r="B5151" t="s">
        <v>15640</v>
      </c>
      <c r="C5151">
        <v>0</v>
      </c>
    </row>
    <row r="5152" spans="1:3" x14ac:dyDescent="0.25">
      <c r="A5152" s="48" t="s">
        <v>15066</v>
      </c>
      <c r="B5152" t="s">
        <v>15067</v>
      </c>
      <c r="C5152">
        <v>15</v>
      </c>
    </row>
    <row r="5153" spans="1:3" x14ac:dyDescent="0.25">
      <c r="A5153" s="48" t="s">
        <v>15068</v>
      </c>
      <c r="B5153" t="s">
        <v>15069</v>
      </c>
      <c r="C5153">
        <v>5</v>
      </c>
    </row>
    <row r="5154" spans="1:3" x14ac:dyDescent="0.25">
      <c r="A5154" s="48" t="s">
        <v>3275</v>
      </c>
      <c r="B5154" t="s">
        <v>3276</v>
      </c>
      <c r="C5154">
        <v>4</v>
      </c>
    </row>
    <row r="5155" spans="1:3" x14ac:dyDescent="0.25">
      <c r="A5155" s="48" t="s">
        <v>3277</v>
      </c>
      <c r="B5155" t="s">
        <v>3278</v>
      </c>
      <c r="C5155">
        <v>12</v>
      </c>
    </row>
    <row r="5156" spans="1:3" x14ac:dyDescent="0.25">
      <c r="A5156" s="48" t="s">
        <v>3279</v>
      </c>
      <c r="B5156" t="s">
        <v>3280</v>
      </c>
      <c r="C5156">
        <v>39</v>
      </c>
    </row>
    <row r="5157" spans="1:3" x14ac:dyDescent="0.25">
      <c r="A5157" s="48" t="s">
        <v>3281</v>
      </c>
      <c r="B5157" t="s">
        <v>3282</v>
      </c>
      <c r="C5157">
        <v>26</v>
      </c>
    </row>
    <row r="5158" spans="1:3" x14ac:dyDescent="0.25">
      <c r="A5158" s="48" t="s">
        <v>3269</v>
      </c>
      <c r="B5158" t="s">
        <v>3270</v>
      </c>
      <c r="C5158">
        <v>0</v>
      </c>
    </row>
    <row r="5159" spans="1:3" x14ac:dyDescent="0.25">
      <c r="A5159" s="48" t="s">
        <v>3273</v>
      </c>
      <c r="B5159" t="s">
        <v>3274</v>
      </c>
      <c r="C5159">
        <v>28</v>
      </c>
    </row>
    <row r="5160" spans="1:3" x14ac:dyDescent="0.25">
      <c r="A5160" s="48" t="s">
        <v>3243</v>
      </c>
      <c r="B5160" t="s">
        <v>3244</v>
      </c>
      <c r="C5160">
        <v>30</v>
      </c>
    </row>
    <row r="5161" spans="1:3" x14ac:dyDescent="0.25">
      <c r="A5161" s="48" t="s">
        <v>3245</v>
      </c>
      <c r="B5161" t="s">
        <v>3246</v>
      </c>
      <c r="C5161">
        <v>35</v>
      </c>
    </row>
    <row r="5162" spans="1:3" x14ac:dyDescent="0.25">
      <c r="A5162" s="48" t="s">
        <v>13722</v>
      </c>
      <c r="B5162" t="s">
        <v>13723</v>
      </c>
      <c r="C5162">
        <v>0</v>
      </c>
    </row>
    <row r="5163" spans="1:3" x14ac:dyDescent="0.25">
      <c r="A5163" s="48" t="s">
        <v>13730</v>
      </c>
      <c r="B5163" t="s">
        <v>13731</v>
      </c>
      <c r="C5163">
        <v>2</v>
      </c>
    </row>
    <row r="5164" spans="1:3" x14ac:dyDescent="0.25">
      <c r="A5164" s="48" t="s">
        <v>3271</v>
      </c>
      <c r="B5164" t="s">
        <v>3272</v>
      </c>
      <c r="C5164">
        <v>40</v>
      </c>
    </row>
    <row r="5165" spans="1:3" x14ac:dyDescent="0.25">
      <c r="A5165" s="48" t="s">
        <v>11150</v>
      </c>
      <c r="B5165" t="s">
        <v>11151</v>
      </c>
      <c r="C5165">
        <v>0</v>
      </c>
    </row>
    <row r="5166" spans="1:3" x14ac:dyDescent="0.25">
      <c r="A5166" s="48" t="s">
        <v>1003</v>
      </c>
      <c r="B5166" t="s">
        <v>1004</v>
      </c>
      <c r="C5166">
        <v>27</v>
      </c>
    </row>
    <row r="5167" spans="1:3" x14ac:dyDescent="0.25">
      <c r="A5167" s="48" t="s">
        <v>18107</v>
      </c>
      <c r="B5167" t="s">
        <v>18108</v>
      </c>
      <c r="C5167">
        <v>3</v>
      </c>
    </row>
    <row r="5168" spans="1:3" x14ac:dyDescent="0.25">
      <c r="A5168" s="48" t="s">
        <v>18103</v>
      </c>
      <c r="B5168" t="s">
        <v>18104</v>
      </c>
      <c r="C5168">
        <v>6</v>
      </c>
    </row>
    <row r="5169" spans="1:3" x14ac:dyDescent="0.25">
      <c r="A5169" s="48" t="s">
        <v>17006</v>
      </c>
      <c r="B5169" t="s">
        <v>17007</v>
      </c>
      <c r="C5169">
        <v>4</v>
      </c>
    </row>
    <row r="5170" spans="1:3" x14ac:dyDescent="0.25">
      <c r="A5170" s="48" t="s">
        <v>17010</v>
      </c>
      <c r="B5170" t="s">
        <v>17011</v>
      </c>
      <c r="C5170">
        <v>6</v>
      </c>
    </row>
    <row r="5171" spans="1:3" x14ac:dyDescent="0.25">
      <c r="A5171" s="48" t="s">
        <v>17012</v>
      </c>
      <c r="B5171" t="s">
        <v>17013</v>
      </c>
      <c r="C5171">
        <v>14</v>
      </c>
    </row>
    <row r="5172" spans="1:3" x14ac:dyDescent="0.25">
      <c r="A5172" s="48" t="s">
        <v>17014</v>
      </c>
      <c r="B5172" t="s">
        <v>17015</v>
      </c>
      <c r="C5172">
        <v>6</v>
      </c>
    </row>
    <row r="5173" spans="1:3" x14ac:dyDescent="0.25">
      <c r="A5173" s="48" t="s">
        <v>17016</v>
      </c>
      <c r="B5173" t="s">
        <v>17017</v>
      </c>
      <c r="C5173">
        <v>24</v>
      </c>
    </row>
    <row r="5174" spans="1:3" x14ac:dyDescent="0.25">
      <c r="A5174" s="48" t="s">
        <v>14922</v>
      </c>
      <c r="B5174" t="s">
        <v>14923</v>
      </c>
      <c r="C5174">
        <v>8</v>
      </c>
    </row>
    <row r="5175" spans="1:3" x14ac:dyDescent="0.25">
      <c r="A5175" s="48" t="s">
        <v>14926</v>
      </c>
      <c r="B5175" t="s">
        <v>14927</v>
      </c>
      <c r="C5175">
        <v>6</v>
      </c>
    </row>
    <row r="5176" spans="1:3" x14ac:dyDescent="0.25">
      <c r="A5176" s="48" t="s">
        <v>14932</v>
      </c>
      <c r="B5176" t="s">
        <v>14933</v>
      </c>
      <c r="C5176">
        <v>6</v>
      </c>
    </row>
    <row r="5177" spans="1:3" x14ac:dyDescent="0.25">
      <c r="A5177" s="48" t="s">
        <v>14942</v>
      </c>
      <c r="B5177" t="s">
        <v>14943</v>
      </c>
      <c r="C5177">
        <v>6</v>
      </c>
    </row>
    <row r="5178" spans="1:3" x14ac:dyDescent="0.25">
      <c r="A5178" s="48" t="s">
        <v>14960</v>
      </c>
      <c r="B5178" t="s">
        <v>14961</v>
      </c>
      <c r="C5178">
        <v>1</v>
      </c>
    </row>
    <row r="5179" spans="1:3" x14ac:dyDescent="0.25">
      <c r="A5179" s="48" t="s">
        <v>14938</v>
      </c>
      <c r="B5179" t="s">
        <v>14939</v>
      </c>
      <c r="C5179">
        <v>2</v>
      </c>
    </row>
    <row r="5180" spans="1:3" x14ac:dyDescent="0.25">
      <c r="A5180" s="48" t="s">
        <v>14948</v>
      </c>
      <c r="B5180" t="s">
        <v>14949</v>
      </c>
      <c r="C5180">
        <v>13</v>
      </c>
    </row>
    <row r="5181" spans="1:3" x14ac:dyDescent="0.25">
      <c r="A5181" s="48" t="s">
        <v>14968</v>
      </c>
      <c r="B5181" t="s">
        <v>14969</v>
      </c>
      <c r="C5181">
        <v>4</v>
      </c>
    </row>
    <row r="5182" spans="1:3" x14ac:dyDescent="0.25">
      <c r="A5182" s="48" t="s">
        <v>14964</v>
      </c>
      <c r="B5182" t="s">
        <v>14965</v>
      </c>
      <c r="C5182">
        <v>5</v>
      </c>
    </row>
    <row r="5183" spans="1:3" x14ac:dyDescent="0.25">
      <c r="A5183" s="48" t="s">
        <v>14952</v>
      </c>
      <c r="B5183" t="s">
        <v>14953</v>
      </c>
      <c r="C5183">
        <v>2</v>
      </c>
    </row>
    <row r="5184" spans="1:3" x14ac:dyDescent="0.25">
      <c r="A5184" s="48" t="s">
        <v>17020</v>
      </c>
      <c r="B5184" t="s">
        <v>17021</v>
      </c>
      <c r="C5184">
        <v>3</v>
      </c>
    </row>
    <row r="5185" spans="1:3" x14ac:dyDescent="0.25">
      <c r="A5185" s="48" t="s">
        <v>17024</v>
      </c>
      <c r="B5185" t="s">
        <v>17025</v>
      </c>
      <c r="C5185">
        <v>3</v>
      </c>
    </row>
    <row r="5186" spans="1:3" x14ac:dyDescent="0.25">
      <c r="A5186" s="48" t="s">
        <v>17026</v>
      </c>
      <c r="B5186" t="s">
        <v>17027</v>
      </c>
      <c r="C5186">
        <v>31</v>
      </c>
    </row>
    <row r="5187" spans="1:3" x14ac:dyDescent="0.25">
      <c r="A5187" s="48" t="s">
        <v>17030</v>
      </c>
      <c r="B5187" t="s">
        <v>21721</v>
      </c>
      <c r="C5187">
        <v>4</v>
      </c>
    </row>
    <row r="5188" spans="1:3" x14ac:dyDescent="0.25">
      <c r="A5188" s="48" t="s">
        <v>17556</v>
      </c>
      <c r="B5188" t="s">
        <v>17557</v>
      </c>
      <c r="C5188">
        <v>0</v>
      </c>
    </row>
    <row r="5189" spans="1:3" x14ac:dyDescent="0.25">
      <c r="A5189" s="48" t="s">
        <v>17558</v>
      </c>
      <c r="B5189" t="s">
        <v>17559</v>
      </c>
      <c r="C5189">
        <v>9</v>
      </c>
    </row>
    <row r="5190" spans="1:3" x14ac:dyDescent="0.25">
      <c r="A5190" s="48" t="s">
        <v>817</v>
      </c>
      <c r="B5190" t="s">
        <v>818</v>
      </c>
      <c r="C5190">
        <v>0</v>
      </c>
    </row>
    <row r="5191" spans="1:3" x14ac:dyDescent="0.25">
      <c r="A5191" s="48" t="s">
        <v>1639</v>
      </c>
      <c r="B5191" t="s">
        <v>1640</v>
      </c>
      <c r="C5191">
        <v>2</v>
      </c>
    </row>
    <row r="5192" spans="1:3" x14ac:dyDescent="0.25">
      <c r="A5192" s="48" t="s">
        <v>17022</v>
      </c>
      <c r="B5192" t="s">
        <v>17023</v>
      </c>
      <c r="C5192">
        <v>7</v>
      </c>
    </row>
    <row r="5193" spans="1:3" x14ac:dyDescent="0.25">
      <c r="A5193" s="48" t="s">
        <v>17028</v>
      </c>
      <c r="B5193" t="s">
        <v>17029</v>
      </c>
      <c r="C5193">
        <v>3</v>
      </c>
    </row>
    <row r="5194" spans="1:3" x14ac:dyDescent="0.25">
      <c r="A5194" s="48" t="s">
        <v>17032</v>
      </c>
      <c r="B5194" t="s">
        <v>17033</v>
      </c>
      <c r="C5194">
        <v>6</v>
      </c>
    </row>
    <row r="5195" spans="1:3" x14ac:dyDescent="0.25">
      <c r="A5195" s="48" t="s">
        <v>17036</v>
      </c>
      <c r="B5195" t="s">
        <v>17037</v>
      </c>
      <c r="C5195">
        <v>14</v>
      </c>
    </row>
    <row r="5196" spans="1:3" x14ac:dyDescent="0.25">
      <c r="A5196" s="48" t="s">
        <v>17038</v>
      </c>
      <c r="B5196" t="s">
        <v>17039</v>
      </c>
      <c r="C5196">
        <v>12</v>
      </c>
    </row>
    <row r="5197" spans="1:3" x14ac:dyDescent="0.25">
      <c r="A5197" s="48" t="s">
        <v>14892</v>
      </c>
      <c r="B5197" t="s">
        <v>14893</v>
      </c>
      <c r="C5197">
        <v>0</v>
      </c>
    </row>
    <row r="5198" spans="1:3" x14ac:dyDescent="0.25">
      <c r="A5198" s="48" t="s">
        <v>14894</v>
      </c>
      <c r="B5198" t="s">
        <v>14895</v>
      </c>
      <c r="C5198">
        <v>0</v>
      </c>
    </row>
    <row r="5199" spans="1:3" x14ac:dyDescent="0.25">
      <c r="A5199" s="48" t="s">
        <v>14914</v>
      </c>
      <c r="B5199" t="s">
        <v>14915</v>
      </c>
      <c r="C5199">
        <v>0</v>
      </c>
    </row>
    <row r="5200" spans="1:3" x14ac:dyDescent="0.25">
      <c r="A5200" s="48" t="s">
        <v>14930</v>
      </c>
      <c r="B5200" t="s">
        <v>14931</v>
      </c>
      <c r="C5200">
        <v>0</v>
      </c>
    </row>
    <row r="5201" spans="1:3" x14ac:dyDescent="0.25">
      <c r="A5201" s="48" t="s">
        <v>14936</v>
      </c>
      <c r="B5201" t="s">
        <v>14937</v>
      </c>
      <c r="C5201">
        <v>0</v>
      </c>
    </row>
    <row r="5202" spans="1:3" x14ac:dyDescent="0.25">
      <c r="A5202" s="48" t="s">
        <v>14946</v>
      </c>
      <c r="B5202" t="s">
        <v>14947</v>
      </c>
      <c r="C5202">
        <v>7</v>
      </c>
    </row>
    <row r="5203" spans="1:3" x14ac:dyDescent="0.25">
      <c r="A5203" s="48" t="s">
        <v>14956</v>
      </c>
      <c r="B5203" t="s">
        <v>14957</v>
      </c>
      <c r="C5203">
        <v>20</v>
      </c>
    </row>
    <row r="5204" spans="1:3" x14ac:dyDescent="0.25">
      <c r="A5204" s="48" t="s">
        <v>14950</v>
      </c>
      <c r="B5204" t="s">
        <v>14951</v>
      </c>
      <c r="C5204">
        <v>8</v>
      </c>
    </row>
    <row r="5205" spans="1:3" x14ac:dyDescent="0.25">
      <c r="A5205" s="48" t="s">
        <v>14940</v>
      </c>
      <c r="B5205" t="s">
        <v>14941</v>
      </c>
      <c r="C5205">
        <v>8</v>
      </c>
    </row>
    <row r="5206" spans="1:3" x14ac:dyDescent="0.25">
      <c r="A5206" s="48" t="s">
        <v>14970</v>
      </c>
      <c r="B5206" t="s">
        <v>14971</v>
      </c>
      <c r="C5206">
        <v>0</v>
      </c>
    </row>
    <row r="5207" spans="1:3" x14ac:dyDescent="0.25">
      <c r="A5207" s="48" t="s">
        <v>14972</v>
      </c>
      <c r="B5207" t="s">
        <v>14973</v>
      </c>
      <c r="C5207">
        <v>5</v>
      </c>
    </row>
    <row r="5208" spans="1:3" x14ac:dyDescent="0.25">
      <c r="A5208" s="48" t="s">
        <v>14976</v>
      </c>
      <c r="B5208" t="s">
        <v>14977</v>
      </c>
      <c r="C5208">
        <v>4</v>
      </c>
    </row>
    <row r="5209" spans="1:3" x14ac:dyDescent="0.25">
      <c r="A5209" s="48" t="s">
        <v>14978</v>
      </c>
      <c r="B5209" t="s">
        <v>14979</v>
      </c>
      <c r="C5209">
        <v>9</v>
      </c>
    </row>
    <row r="5210" spans="1:3" x14ac:dyDescent="0.25">
      <c r="A5210" s="48" t="s">
        <v>14980</v>
      </c>
      <c r="B5210" t="s">
        <v>14981</v>
      </c>
      <c r="C5210">
        <v>41</v>
      </c>
    </row>
    <row r="5211" spans="1:3" x14ac:dyDescent="0.25">
      <c r="A5211" s="48" t="s">
        <v>14982</v>
      </c>
      <c r="B5211" t="s">
        <v>14983</v>
      </c>
      <c r="C5211">
        <v>4</v>
      </c>
    </row>
    <row r="5212" spans="1:3" x14ac:dyDescent="0.25">
      <c r="A5212" s="48" t="s">
        <v>14986</v>
      </c>
      <c r="B5212" t="s">
        <v>14987</v>
      </c>
      <c r="C5212">
        <v>1</v>
      </c>
    </row>
    <row r="5213" spans="1:3" x14ac:dyDescent="0.25">
      <c r="A5213" s="48" t="s">
        <v>14990</v>
      </c>
      <c r="B5213" t="s">
        <v>14991</v>
      </c>
      <c r="C5213">
        <v>14</v>
      </c>
    </row>
    <row r="5214" spans="1:3" x14ac:dyDescent="0.25">
      <c r="A5214" s="48" t="s">
        <v>14992</v>
      </c>
      <c r="B5214" t="s">
        <v>14993</v>
      </c>
      <c r="C5214">
        <v>39</v>
      </c>
    </row>
    <row r="5215" spans="1:3" x14ac:dyDescent="0.25">
      <c r="A5215" s="48" t="s">
        <v>14954</v>
      </c>
      <c r="B5215" t="s">
        <v>14955</v>
      </c>
      <c r="C5215">
        <v>1</v>
      </c>
    </row>
    <row r="5216" spans="1:3" x14ac:dyDescent="0.25">
      <c r="A5216" s="48" t="s">
        <v>15086</v>
      </c>
      <c r="B5216" t="s">
        <v>15087</v>
      </c>
      <c r="C5216">
        <v>0</v>
      </c>
    </row>
    <row r="5217" spans="1:3" x14ac:dyDescent="0.25">
      <c r="A5217" s="48" t="s">
        <v>14910</v>
      </c>
      <c r="B5217" t="s">
        <v>14911</v>
      </c>
      <c r="C5217">
        <v>1</v>
      </c>
    </row>
    <row r="5218" spans="1:3" x14ac:dyDescent="0.25">
      <c r="A5218" s="48" t="s">
        <v>17008</v>
      </c>
      <c r="B5218" t="s">
        <v>17009</v>
      </c>
      <c r="C5218">
        <v>5</v>
      </c>
    </row>
    <row r="5219" spans="1:3" x14ac:dyDescent="0.25">
      <c r="A5219" s="48" t="s">
        <v>17034</v>
      </c>
      <c r="B5219" t="s">
        <v>17035</v>
      </c>
      <c r="C5219">
        <v>9</v>
      </c>
    </row>
    <row r="5220" spans="1:3" x14ac:dyDescent="0.25">
      <c r="A5220" s="48" t="s">
        <v>12103</v>
      </c>
      <c r="B5220" t="s">
        <v>12104</v>
      </c>
      <c r="C5220">
        <v>0</v>
      </c>
    </row>
    <row r="5221" spans="1:3" x14ac:dyDescent="0.25">
      <c r="A5221" s="48" t="s">
        <v>17560</v>
      </c>
      <c r="B5221" t="s">
        <v>17561</v>
      </c>
      <c r="C5221">
        <v>0</v>
      </c>
    </row>
    <row r="5222" spans="1:3" x14ac:dyDescent="0.25">
      <c r="A5222" s="48" t="s">
        <v>583</v>
      </c>
      <c r="B5222" t="s">
        <v>584</v>
      </c>
      <c r="C5222">
        <v>330</v>
      </c>
    </row>
    <row r="5223" spans="1:3" x14ac:dyDescent="0.25">
      <c r="A5223" s="48" t="s">
        <v>14988</v>
      </c>
      <c r="B5223" t="s">
        <v>14989</v>
      </c>
      <c r="C5223">
        <v>4</v>
      </c>
    </row>
    <row r="5224" spans="1:3" x14ac:dyDescent="0.25">
      <c r="A5224" s="48" t="s">
        <v>14958</v>
      </c>
      <c r="B5224" t="s">
        <v>14959</v>
      </c>
      <c r="C5224">
        <v>0</v>
      </c>
    </row>
    <row r="5225" spans="1:3" x14ac:dyDescent="0.25">
      <c r="A5225" s="48" t="s">
        <v>14920</v>
      </c>
      <c r="B5225" t="s">
        <v>14921</v>
      </c>
      <c r="C5225">
        <v>2</v>
      </c>
    </row>
    <row r="5226" spans="1:3" x14ac:dyDescent="0.25">
      <c r="A5226" s="48" t="s">
        <v>14962</v>
      </c>
      <c r="B5226" t="s">
        <v>14963</v>
      </c>
      <c r="C5226">
        <v>11</v>
      </c>
    </row>
    <row r="5227" spans="1:3" x14ac:dyDescent="0.25">
      <c r="A5227" s="48" t="s">
        <v>14966</v>
      </c>
      <c r="B5227" t="s">
        <v>14967</v>
      </c>
      <c r="C5227">
        <v>9</v>
      </c>
    </row>
    <row r="5228" spans="1:3" x14ac:dyDescent="0.25">
      <c r="A5228" s="48" t="s">
        <v>14924</v>
      </c>
      <c r="B5228" t="s">
        <v>14925</v>
      </c>
      <c r="C5228">
        <v>0</v>
      </c>
    </row>
    <row r="5229" spans="1:3" x14ac:dyDescent="0.25">
      <c r="A5229" s="48" t="s">
        <v>14928</v>
      </c>
      <c r="B5229" t="s">
        <v>14929</v>
      </c>
      <c r="C5229">
        <v>1</v>
      </c>
    </row>
    <row r="5230" spans="1:3" x14ac:dyDescent="0.25">
      <c r="A5230" s="48" t="s">
        <v>14934</v>
      </c>
      <c r="B5230" t="s">
        <v>14935</v>
      </c>
      <c r="C5230">
        <v>9</v>
      </c>
    </row>
    <row r="5231" spans="1:3" x14ac:dyDescent="0.25">
      <c r="A5231" s="48" t="s">
        <v>14944</v>
      </c>
      <c r="B5231" t="s">
        <v>14945</v>
      </c>
      <c r="C5231">
        <v>8</v>
      </c>
    </row>
    <row r="5232" spans="1:3" x14ac:dyDescent="0.25">
      <c r="A5232" s="48" t="s">
        <v>14918</v>
      </c>
      <c r="B5232" t="s">
        <v>14919</v>
      </c>
      <c r="C5232">
        <v>12</v>
      </c>
    </row>
    <row r="5233" spans="1:3" x14ac:dyDescent="0.25">
      <c r="A5233" s="48" t="s">
        <v>18105</v>
      </c>
      <c r="B5233" t="s">
        <v>18106</v>
      </c>
      <c r="C5233">
        <v>6</v>
      </c>
    </row>
    <row r="5234" spans="1:3" x14ac:dyDescent="0.25">
      <c r="A5234" s="48" t="s">
        <v>15006</v>
      </c>
      <c r="B5234" t="s">
        <v>15007</v>
      </c>
      <c r="C5234">
        <v>0</v>
      </c>
    </row>
    <row r="5235" spans="1:3" x14ac:dyDescent="0.25">
      <c r="A5235" s="48" t="s">
        <v>15000</v>
      </c>
      <c r="B5235" t="s">
        <v>15001</v>
      </c>
      <c r="C5235">
        <v>1</v>
      </c>
    </row>
    <row r="5236" spans="1:3" x14ac:dyDescent="0.25">
      <c r="A5236" s="48" t="s">
        <v>14996</v>
      </c>
      <c r="B5236" t="s">
        <v>14997</v>
      </c>
      <c r="C5236">
        <v>3</v>
      </c>
    </row>
    <row r="5237" spans="1:3" x14ac:dyDescent="0.25">
      <c r="A5237" s="48" t="s">
        <v>14998</v>
      </c>
      <c r="B5237" t="s">
        <v>14999</v>
      </c>
      <c r="C5237">
        <v>2</v>
      </c>
    </row>
    <row r="5238" spans="1:3" x14ac:dyDescent="0.25">
      <c r="A5238" s="48" t="s">
        <v>18109</v>
      </c>
      <c r="B5238" t="s">
        <v>18110</v>
      </c>
      <c r="C5238">
        <v>5</v>
      </c>
    </row>
    <row r="5239" spans="1:3" x14ac:dyDescent="0.25">
      <c r="A5239" s="48" t="s">
        <v>15038</v>
      </c>
      <c r="B5239" t="s">
        <v>15039</v>
      </c>
      <c r="C5239">
        <v>16</v>
      </c>
    </row>
    <row r="5240" spans="1:3" x14ac:dyDescent="0.25">
      <c r="A5240" s="48" t="s">
        <v>15026</v>
      </c>
      <c r="B5240" t="s">
        <v>15027</v>
      </c>
      <c r="C5240">
        <v>12</v>
      </c>
    </row>
    <row r="5241" spans="1:3" x14ac:dyDescent="0.25">
      <c r="A5241" s="48" t="s">
        <v>15046</v>
      </c>
      <c r="B5241" t="s">
        <v>15047</v>
      </c>
      <c r="C5241">
        <v>3</v>
      </c>
    </row>
    <row r="5242" spans="1:3" x14ac:dyDescent="0.25">
      <c r="A5242" s="48" t="s">
        <v>15050</v>
      </c>
      <c r="B5242" t="s">
        <v>15051</v>
      </c>
      <c r="C5242">
        <v>6</v>
      </c>
    </row>
    <row r="5243" spans="1:3" x14ac:dyDescent="0.25">
      <c r="A5243" s="48" t="s">
        <v>15042</v>
      </c>
      <c r="B5243" t="s">
        <v>15043</v>
      </c>
      <c r="C5243">
        <v>10</v>
      </c>
    </row>
    <row r="5244" spans="1:3" x14ac:dyDescent="0.25">
      <c r="A5244" s="48" t="s">
        <v>15034</v>
      </c>
      <c r="B5244" t="s">
        <v>15035</v>
      </c>
      <c r="C5244">
        <v>3</v>
      </c>
    </row>
    <row r="5245" spans="1:3" x14ac:dyDescent="0.25">
      <c r="A5245" s="48" t="s">
        <v>15024</v>
      </c>
      <c r="B5245" t="s">
        <v>15025</v>
      </c>
      <c r="C5245">
        <v>14</v>
      </c>
    </row>
    <row r="5246" spans="1:3" x14ac:dyDescent="0.25">
      <c r="A5246" s="48" t="s">
        <v>15032</v>
      </c>
      <c r="B5246" t="s">
        <v>15033</v>
      </c>
      <c r="C5246">
        <v>1</v>
      </c>
    </row>
    <row r="5247" spans="1:3" x14ac:dyDescent="0.25">
      <c r="A5247" s="48" t="s">
        <v>15036</v>
      </c>
      <c r="B5247" t="s">
        <v>15037</v>
      </c>
      <c r="C5247">
        <v>13</v>
      </c>
    </row>
    <row r="5248" spans="1:3" x14ac:dyDescent="0.25">
      <c r="A5248" s="48" t="s">
        <v>15040</v>
      </c>
      <c r="B5248" t="s">
        <v>15041</v>
      </c>
      <c r="C5248">
        <v>15</v>
      </c>
    </row>
    <row r="5249" spans="1:3" x14ac:dyDescent="0.25">
      <c r="A5249" s="48" t="s">
        <v>15044</v>
      </c>
      <c r="B5249" t="s">
        <v>15045</v>
      </c>
      <c r="C5249">
        <v>12</v>
      </c>
    </row>
    <row r="5250" spans="1:3" x14ac:dyDescent="0.25">
      <c r="A5250" s="48" t="s">
        <v>15048</v>
      </c>
      <c r="B5250" t="s">
        <v>15049</v>
      </c>
      <c r="C5250">
        <v>0</v>
      </c>
    </row>
    <row r="5251" spans="1:3" x14ac:dyDescent="0.25">
      <c r="A5251" s="48" t="s">
        <v>15014</v>
      </c>
      <c r="B5251" t="s">
        <v>15015</v>
      </c>
      <c r="C5251">
        <v>8</v>
      </c>
    </row>
    <row r="5252" spans="1:3" x14ac:dyDescent="0.25">
      <c r="A5252" s="48" t="s">
        <v>15018</v>
      </c>
      <c r="B5252" t="s">
        <v>15019</v>
      </c>
      <c r="C5252">
        <v>6</v>
      </c>
    </row>
    <row r="5253" spans="1:3" x14ac:dyDescent="0.25">
      <c r="A5253" s="48" t="s">
        <v>15022</v>
      </c>
      <c r="B5253" t="s">
        <v>15023</v>
      </c>
      <c r="C5253">
        <v>5</v>
      </c>
    </row>
    <row r="5254" spans="1:3" x14ac:dyDescent="0.25">
      <c r="A5254" s="48" t="s">
        <v>15012</v>
      </c>
      <c r="B5254" t="s">
        <v>15013</v>
      </c>
      <c r="C5254">
        <v>11</v>
      </c>
    </row>
    <row r="5255" spans="1:3" x14ac:dyDescent="0.25">
      <c r="A5255" s="48" t="s">
        <v>15016</v>
      </c>
      <c r="B5255" t="s">
        <v>15017</v>
      </c>
      <c r="C5255">
        <v>3</v>
      </c>
    </row>
    <row r="5256" spans="1:3" x14ac:dyDescent="0.25">
      <c r="A5256" s="48" t="s">
        <v>15020</v>
      </c>
      <c r="B5256" t="s">
        <v>15021</v>
      </c>
      <c r="C5256">
        <v>0</v>
      </c>
    </row>
    <row r="5257" spans="1:3" x14ac:dyDescent="0.25">
      <c r="A5257" s="48" t="s">
        <v>16382</v>
      </c>
      <c r="B5257" t="s">
        <v>16383</v>
      </c>
      <c r="C5257">
        <v>173</v>
      </c>
    </row>
    <row r="5258" spans="1:3" x14ac:dyDescent="0.25">
      <c r="A5258" s="48" t="s">
        <v>15072</v>
      </c>
      <c r="B5258" t="s">
        <v>15073</v>
      </c>
      <c r="C5258">
        <v>27</v>
      </c>
    </row>
    <row r="5259" spans="1:3" x14ac:dyDescent="0.25">
      <c r="A5259" s="48" t="s">
        <v>15074</v>
      </c>
      <c r="B5259" t="s">
        <v>15075</v>
      </c>
      <c r="C5259">
        <v>6</v>
      </c>
    </row>
    <row r="5260" spans="1:3" x14ac:dyDescent="0.25">
      <c r="A5260" s="48" t="s">
        <v>1493</v>
      </c>
      <c r="B5260" t="s">
        <v>1494</v>
      </c>
      <c r="C5260">
        <v>18</v>
      </c>
    </row>
    <row r="5261" spans="1:3" x14ac:dyDescent="0.25">
      <c r="A5261" s="48" t="s">
        <v>1577</v>
      </c>
      <c r="B5261" t="s">
        <v>1578</v>
      </c>
      <c r="C5261">
        <v>64</v>
      </c>
    </row>
    <row r="5262" spans="1:3" x14ac:dyDescent="0.25">
      <c r="A5262" s="48" t="s">
        <v>1047</v>
      </c>
      <c r="B5262" t="s">
        <v>1048</v>
      </c>
      <c r="C5262">
        <v>109</v>
      </c>
    </row>
    <row r="5263" spans="1:3" x14ac:dyDescent="0.25">
      <c r="A5263" s="48" t="s">
        <v>7987</v>
      </c>
      <c r="B5263" t="s">
        <v>21722</v>
      </c>
      <c r="C5263">
        <v>42</v>
      </c>
    </row>
    <row r="5264" spans="1:3" x14ac:dyDescent="0.25">
      <c r="A5264" s="48" t="s">
        <v>19456</v>
      </c>
      <c r="B5264" t="s">
        <v>21723</v>
      </c>
      <c r="C5264">
        <v>0</v>
      </c>
    </row>
    <row r="5265" spans="1:3" x14ac:dyDescent="0.25">
      <c r="A5265" s="48" t="s">
        <v>7951</v>
      </c>
      <c r="B5265" t="s">
        <v>7952</v>
      </c>
      <c r="C5265">
        <v>0</v>
      </c>
    </row>
    <row r="5266" spans="1:3" x14ac:dyDescent="0.25">
      <c r="A5266" s="48" t="s">
        <v>7965</v>
      </c>
      <c r="B5266" t="s">
        <v>7966</v>
      </c>
      <c r="C5266">
        <v>20</v>
      </c>
    </row>
    <row r="5267" spans="1:3" x14ac:dyDescent="0.25">
      <c r="A5267" s="48" t="s">
        <v>1845</v>
      </c>
      <c r="B5267" t="s">
        <v>1846</v>
      </c>
      <c r="C5267">
        <v>289</v>
      </c>
    </row>
    <row r="5268" spans="1:3" x14ac:dyDescent="0.25">
      <c r="A5268" s="48" t="s">
        <v>19454</v>
      </c>
      <c r="B5268" t="s">
        <v>19455</v>
      </c>
      <c r="C5268">
        <v>198</v>
      </c>
    </row>
    <row r="5269" spans="1:3" x14ac:dyDescent="0.25">
      <c r="A5269" s="48" t="s">
        <v>19464</v>
      </c>
      <c r="B5269" t="s">
        <v>19465</v>
      </c>
      <c r="C5269">
        <v>0</v>
      </c>
    </row>
    <row r="5270" spans="1:3" x14ac:dyDescent="0.25">
      <c r="A5270" s="48" t="s">
        <v>14582</v>
      </c>
      <c r="B5270" t="s">
        <v>14583</v>
      </c>
      <c r="C5270">
        <v>53</v>
      </c>
    </row>
    <row r="5271" spans="1:3" x14ac:dyDescent="0.25">
      <c r="A5271" s="48" t="s">
        <v>14590</v>
      </c>
      <c r="B5271" t="s">
        <v>14591</v>
      </c>
      <c r="C5271">
        <v>32</v>
      </c>
    </row>
    <row r="5272" spans="1:3" x14ac:dyDescent="0.25">
      <c r="A5272" s="48" t="s">
        <v>15643</v>
      </c>
      <c r="B5272" t="s">
        <v>15644</v>
      </c>
      <c r="C5272">
        <v>5</v>
      </c>
    </row>
    <row r="5273" spans="1:3" x14ac:dyDescent="0.25">
      <c r="A5273" s="48" t="s">
        <v>14547</v>
      </c>
      <c r="B5273" t="s">
        <v>22921</v>
      </c>
      <c r="C5273">
        <v>4</v>
      </c>
    </row>
    <row r="5274" spans="1:3" x14ac:dyDescent="0.25">
      <c r="A5274" s="48" t="s">
        <v>14545</v>
      </c>
      <c r="B5274" t="s">
        <v>22922</v>
      </c>
      <c r="C5274">
        <v>31</v>
      </c>
    </row>
    <row r="5275" spans="1:3" x14ac:dyDescent="0.25">
      <c r="A5275" s="48" t="s">
        <v>14584</v>
      </c>
      <c r="B5275" t="s">
        <v>14585</v>
      </c>
      <c r="C5275">
        <v>24</v>
      </c>
    </row>
    <row r="5276" spans="1:3" x14ac:dyDescent="0.25">
      <c r="A5276" s="48" t="s">
        <v>4005</v>
      </c>
      <c r="B5276" t="s">
        <v>4006</v>
      </c>
      <c r="C5276">
        <v>44</v>
      </c>
    </row>
    <row r="5277" spans="1:3" x14ac:dyDescent="0.25">
      <c r="A5277" s="48" t="s">
        <v>453</v>
      </c>
      <c r="B5277" t="s">
        <v>454</v>
      </c>
      <c r="C5277">
        <v>13</v>
      </c>
    </row>
    <row r="5278" spans="1:3" x14ac:dyDescent="0.25">
      <c r="A5278" s="48" t="s">
        <v>6517</v>
      </c>
      <c r="B5278" t="s">
        <v>21724</v>
      </c>
      <c r="C5278">
        <v>0</v>
      </c>
    </row>
    <row r="5279" spans="1:3" x14ac:dyDescent="0.25">
      <c r="A5279" s="48" t="s">
        <v>4007</v>
      </c>
      <c r="B5279" t="s">
        <v>4008</v>
      </c>
      <c r="C5279">
        <v>0</v>
      </c>
    </row>
    <row r="5280" spans="1:3" x14ac:dyDescent="0.25">
      <c r="A5280" s="48" t="s">
        <v>7891</v>
      </c>
      <c r="B5280" t="s">
        <v>7892</v>
      </c>
      <c r="C5280">
        <v>0</v>
      </c>
    </row>
    <row r="5281" spans="1:3" x14ac:dyDescent="0.25">
      <c r="A5281" s="48" t="s">
        <v>7901</v>
      </c>
      <c r="B5281" t="s">
        <v>7902</v>
      </c>
      <c r="C5281">
        <v>0</v>
      </c>
    </row>
    <row r="5282" spans="1:3" x14ac:dyDescent="0.25">
      <c r="A5282" s="48" t="s">
        <v>14572</v>
      </c>
      <c r="B5282" t="s">
        <v>21725</v>
      </c>
      <c r="C5282">
        <v>74</v>
      </c>
    </row>
    <row r="5283" spans="1:3" x14ac:dyDescent="0.25">
      <c r="A5283" s="48" t="s">
        <v>7937</v>
      </c>
      <c r="B5283" t="s">
        <v>7938</v>
      </c>
      <c r="C5283">
        <v>0</v>
      </c>
    </row>
    <row r="5284" spans="1:3" x14ac:dyDescent="0.25">
      <c r="A5284" s="48" t="s">
        <v>7064</v>
      </c>
      <c r="B5284" t="s">
        <v>7065</v>
      </c>
      <c r="C5284">
        <v>0</v>
      </c>
    </row>
    <row r="5285" spans="1:3" x14ac:dyDescent="0.25">
      <c r="A5285" s="48" t="s">
        <v>7068</v>
      </c>
      <c r="B5285" t="s">
        <v>7069</v>
      </c>
      <c r="C5285">
        <v>0</v>
      </c>
    </row>
    <row r="5286" spans="1:3" x14ac:dyDescent="0.25">
      <c r="A5286" s="48" t="s">
        <v>7080</v>
      </c>
      <c r="B5286" t="s">
        <v>7081</v>
      </c>
      <c r="C5286">
        <v>0</v>
      </c>
    </row>
    <row r="5287" spans="1:3" x14ac:dyDescent="0.25">
      <c r="A5287" s="48" t="s">
        <v>7897</v>
      </c>
      <c r="B5287" t="s">
        <v>7898</v>
      </c>
      <c r="C5287">
        <v>16</v>
      </c>
    </row>
    <row r="5288" spans="1:3" x14ac:dyDescent="0.25">
      <c r="A5288" s="48" t="s">
        <v>4015</v>
      </c>
      <c r="B5288" t="s">
        <v>4016</v>
      </c>
      <c r="C5288">
        <v>2</v>
      </c>
    </row>
    <row r="5289" spans="1:3" x14ac:dyDescent="0.25">
      <c r="A5289" s="48" t="s">
        <v>4023</v>
      </c>
      <c r="B5289" t="s">
        <v>4024</v>
      </c>
      <c r="C5289">
        <v>0</v>
      </c>
    </row>
    <row r="5290" spans="1:3" x14ac:dyDescent="0.25">
      <c r="A5290" s="48" t="s">
        <v>4035</v>
      </c>
      <c r="B5290" t="s">
        <v>4036</v>
      </c>
      <c r="C5290">
        <v>70</v>
      </c>
    </row>
    <row r="5291" spans="1:3" x14ac:dyDescent="0.25">
      <c r="A5291" s="48" t="s">
        <v>4037</v>
      </c>
      <c r="B5291" t="s">
        <v>4038</v>
      </c>
      <c r="C5291">
        <v>305</v>
      </c>
    </row>
    <row r="5292" spans="1:3" x14ac:dyDescent="0.25">
      <c r="A5292" s="48" t="s">
        <v>6365</v>
      </c>
      <c r="B5292" t="s">
        <v>6366</v>
      </c>
      <c r="C5292">
        <v>0</v>
      </c>
    </row>
    <row r="5293" spans="1:3" x14ac:dyDescent="0.25">
      <c r="A5293" s="48" t="s">
        <v>6347</v>
      </c>
      <c r="B5293" t="s">
        <v>6348</v>
      </c>
      <c r="C5293">
        <v>0</v>
      </c>
    </row>
    <row r="5294" spans="1:3" x14ac:dyDescent="0.25">
      <c r="A5294" s="48" t="s">
        <v>7905</v>
      </c>
      <c r="B5294" t="s">
        <v>7906</v>
      </c>
      <c r="C5294">
        <v>13</v>
      </c>
    </row>
    <row r="5295" spans="1:3" x14ac:dyDescent="0.25">
      <c r="A5295" s="48" t="s">
        <v>6353</v>
      </c>
      <c r="B5295" t="s">
        <v>6354</v>
      </c>
      <c r="C5295">
        <v>20</v>
      </c>
    </row>
    <row r="5296" spans="1:3" x14ac:dyDescent="0.25">
      <c r="A5296" s="48" t="s">
        <v>6343</v>
      </c>
      <c r="B5296" t="s">
        <v>6344</v>
      </c>
      <c r="C5296">
        <v>0</v>
      </c>
    </row>
    <row r="5297" spans="1:3" x14ac:dyDescent="0.25">
      <c r="A5297" s="48" t="s">
        <v>6458</v>
      </c>
      <c r="B5297" t="s">
        <v>6459</v>
      </c>
      <c r="C5297">
        <v>0</v>
      </c>
    </row>
    <row r="5298" spans="1:3" x14ac:dyDescent="0.25">
      <c r="A5298" s="48" t="s">
        <v>615</v>
      </c>
      <c r="B5298" t="s">
        <v>616</v>
      </c>
      <c r="C5298">
        <v>1</v>
      </c>
    </row>
    <row r="5299" spans="1:3" x14ac:dyDescent="0.25">
      <c r="A5299" s="48" t="s">
        <v>14876</v>
      </c>
      <c r="B5299" t="s">
        <v>14877</v>
      </c>
      <c r="C5299">
        <v>0</v>
      </c>
    </row>
    <row r="5300" spans="1:3" x14ac:dyDescent="0.25">
      <c r="A5300" s="48" t="s">
        <v>18510</v>
      </c>
      <c r="B5300" t="s">
        <v>18511</v>
      </c>
      <c r="C5300">
        <v>0</v>
      </c>
    </row>
    <row r="5301" spans="1:3" x14ac:dyDescent="0.25">
      <c r="A5301" s="48" t="s">
        <v>18524</v>
      </c>
      <c r="B5301" t="s">
        <v>18525</v>
      </c>
      <c r="C5301">
        <v>0</v>
      </c>
    </row>
    <row r="5302" spans="1:3" x14ac:dyDescent="0.25">
      <c r="A5302" s="48" t="s">
        <v>6345</v>
      </c>
      <c r="B5302" t="s">
        <v>6346</v>
      </c>
      <c r="C5302">
        <v>0</v>
      </c>
    </row>
    <row r="5303" spans="1:3" x14ac:dyDescent="0.25">
      <c r="A5303" s="48" t="s">
        <v>6349</v>
      </c>
      <c r="B5303" t="s">
        <v>6350</v>
      </c>
      <c r="C5303">
        <v>0</v>
      </c>
    </row>
    <row r="5304" spans="1:3" x14ac:dyDescent="0.25">
      <c r="A5304" s="48" t="s">
        <v>6456</v>
      </c>
      <c r="B5304" t="s">
        <v>6457</v>
      </c>
      <c r="C5304">
        <v>0</v>
      </c>
    </row>
    <row r="5305" spans="1:3" x14ac:dyDescent="0.25">
      <c r="A5305" s="48" t="s">
        <v>6355</v>
      </c>
      <c r="B5305" t="s">
        <v>6356</v>
      </c>
      <c r="C5305">
        <v>0</v>
      </c>
    </row>
    <row r="5306" spans="1:3" x14ac:dyDescent="0.25">
      <c r="A5306" s="48" t="s">
        <v>6367</v>
      </c>
      <c r="B5306" t="s">
        <v>6368</v>
      </c>
      <c r="C5306">
        <v>0</v>
      </c>
    </row>
    <row r="5307" spans="1:3" x14ac:dyDescent="0.25">
      <c r="A5307" s="48" t="s">
        <v>1843</v>
      </c>
      <c r="B5307" t="s">
        <v>1844</v>
      </c>
      <c r="C5307">
        <v>377</v>
      </c>
    </row>
    <row r="5308" spans="1:3" x14ac:dyDescent="0.25">
      <c r="A5308" s="48" t="s">
        <v>65</v>
      </c>
      <c r="B5308" t="s">
        <v>66</v>
      </c>
      <c r="C5308">
        <v>238</v>
      </c>
    </row>
    <row r="5309" spans="1:3" x14ac:dyDescent="0.25">
      <c r="A5309" s="48" t="s">
        <v>14578</v>
      </c>
      <c r="B5309" t="s">
        <v>14579</v>
      </c>
      <c r="C5309">
        <v>0</v>
      </c>
    </row>
    <row r="5310" spans="1:3" x14ac:dyDescent="0.25">
      <c r="A5310" s="48" t="s">
        <v>559</v>
      </c>
      <c r="B5310" t="s">
        <v>560</v>
      </c>
      <c r="C5310">
        <v>111</v>
      </c>
    </row>
    <row r="5311" spans="1:3" x14ac:dyDescent="0.25">
      <c r="A5311" s="48" t="s">
        <v>4044</v>
      </c>
      <c r="B5311" t="s">
        <v>4045</v>
      </c>
      <c r="C5311">
        <v>0</v>
      </c>
    </row>
    <row r="5312" spans="1:3" x14ac:dyDescent="0.25">
      <c r="A5312" s="48" t="s">
        <v>7909</v>
      </c>
      <c r="B5312" t="s">
        <v>21726</v>
      </c>
      <c r="C5312">
        <v>10</v>
      </c>
    </row>
    <row r="5313" spans="1:3" x14ac:dyDescent="0.25">
      <c r="A5313" s="48" t="s">
        <v>7044</v>
      </c>
      <c r="B5313" t="s">
        <v>7045</v>
      </c>
      <c r="C5313">
        <v>0</v>
      </c>
    </row>
    <row r="5314" spans="1:3" x14ac:dyDescent="0.25">
      <c r="A5314" s="48" t="s">
        <v>7052</v>
      </c>
      <c r="B5314" t="s">
        <v>7053</v>
      </c>
      <c r="C5314">
        <v>0</v>
      </c>
    </row>
    <row r="5315" spans="1:3" x14ac:dyDescent="0.25">
      <c r="A5315" s="48" t="s">
        <v>7056</v>
      </c>
      <c r="B5315" t="s">
        <v>7057</v>
      </c>
      <c r="C5315">
        <v>0</v>
      </c>
    </row>
    <row r="5316" spans="1:3" x14ac:dyDescent="0.25">
      <c r="A5316" s="48" t="s">
        <v>7060</v>
      </c>
      <c r="B5316" t="s">
        <v>7061</v>
      </c>
      <c r="C5316">
        <v>0</v>
      </c>
    </row>
    <row r="5317" spans="1:3" x14ac:dyDescent="0.25">
      <c r="A5317" s="48" t="s">
        <v>7042</v>
      </c>
      <c r="B5317" t="s">
        <v>7043</v>
      </c>
      <c r="C5317">
        <v>0</v>
      </c>
    </row>
    <row r="5318" spans="1:3" x14ac:dyDescent="0.25">
      <c r="A5318" s="48" t="s">
        <v>7050</v>
      </c>
      <c r="B5318" t="s">
        <v>7051</v>
      </c>
      <c r="C5318">
        <v>0</v>
      </c>
    </row>
    <row r="5319" spans="1:3" x14ac:dyDescent="0.25">
      <c r="A5319" s="48" t="s">
        <v>7054</v>
      </c>
      <c r="B5319" t="s">
        <v>7055</v>
      </c>
      <c r="C5319">
        <v>0</v>
      </c>
    </row>
    <row r="5320" spans="1:3" x14ac:dyDescent="0.25">
      <c r="A5320" s="48" t="s">
        <v>7058</v>
      </c>
      <c r="B5320" t="s">
        <v>7059</v>
      </c>
      <c r="C5320">
        <v>0</v>
      </c>
    </row>
    <row r="5321" spans="1:3" x14ac:dyDescent="0.25">
      <c r="A5321" s="48" t="s">
        <v>7062</v>
      </c>
      <c r="B5321" t="s">
        <v>7063</v>
      </c>
      <c r="C5321">
        <v>0</v>
      </c>
    </row>
    <row r="5322" spans="1:3" x14ac:dyDescent="0.25">
      <c r="A5322" s="48" t="s">
        <v>7066</v>
      </c>
      <c r="B5322" t="s">
        <v>7067</v>
      </c>
      <c r="C5322">
        <v>0</v>
      </c>
    </row>
    <row r="5323" spans="1:3" x14ac:dyDescent="0.25">
      <c r="A5323" s="48" t="s">
        <v>7078</v>
      </c>
      <c r="B5323" t="s">
        <v>7079</v>
      </c>
      <c r="C5323">
        <v>0</v>
      </c>
    </row>
    <row r="5324" spans="1:3" x14ac:dyDescent="0.25">
      <c r="A5324" s="48" t="s">
        <v>7925</v>
      </c>
      <c r="B5324" t="s">
        <v>7926</v>
      </c>
      <c r="C5324">
        <v>9</v>
      </c>
    </row>
    <row r="5325" spans="1:3" x14ac:dyDescent="0.25">
      <c r="A5325" s="48" t="s">
        <v>7873</v>
      </c>
      <c r="B5325" t="s">
        <v>7874</v>
      </c>
      <c r="C5325">
        <v>0</v>
      </c>
    </row>
    <row r="5326" spans="1:3" x14ac:dyDescent="0.25">
      <c r="A5326" s="48" t="s">
        <v>6351</v>
      </c>
      <c r="B5326" t="s">
        <v>21727</v>
      </c>
      <c r="C5326">
        <v>8</v>
      </c>
    </row>
    <row r="5327" spans="1:3" x14ac:dyDescent="0.25">
      <c r="A5327" s="48" t="s">
        <v>677</v>
      </c>
      <c r="B5327" t="s">
        <v>678</v>
      </c>
      <c r="C5327">
        <v>1</v>
      </c>
    </row>
    <row r="5328" spans="1:3" x14ac:dyDescent="0.25">
      <c r="A5328" s="48" t="s">
        <v>7915</v>
      </c>
      <c r="B5328" t="s">
        <v>7916</v>
      </c>
      <c r="C5328">
        <v>31</v>
      </c>
    </row>
    <row r="5329" spans="1:3" x14ac:dyDescent="0.25">
      <c r="A5329" s="48" t="s">
        <v>12923</v>
      </c>
      <c r="B5329" t="s">
        <v>12924</v>
      </c>
      <c r="C5329">
        <v>0</v>
      </c>
    </row>
    <row r="5330" spans="1:3" x14ac:dyDescent="0.25">
      <c r="A5330" s="48" t="s">
        <v>12921</v>
      </c>
      <c r="B5330" t="s">
        <v>12922</v>
      </c>
      <c r="C5330">
        <v>0</v>
      </c>
    </row>
    <row r="5331" spans="1:3" x14ac:dyDescent="0.25">
      <c r="A5331" s="48" t="s">
        <v>7048</v>
      </c>
      <c r="B5331" t="s">
        <v>7049</v>
      </c>
      <c r="C5331">
        <v>0</v>
      </c>
    </row>
    <row r="5332" spans="1:3" x14ac:dyDescent="0.25">
      <c r="A5332" s="48" t="s">
        <v>7072</v>
      </c>
      <c r="B5332" t="s">
        <v>7073</v>
      </c>
      <c r="C5332">
        <v>0</v>
      </c>
    </row>
    <row r="5333" spans="1:3" x14ac:dyDescent="0.25">
      <c r="A5333" s="48" t="s">
        <v>7076</v>
      </c>
      <c r="B5333" t="s">
        <v>7077</v>
      </c>
      <c r="C5333">
        <v>0</v>
      </c>
    </row>
    <row r="5334" spans="1:3" x14ac:dyDescent="0.25">
      <c r="A5334" s="48" t="s">
        <v>7046</v>
      </c>
      <c r="B5334" t="s">
        <v>7047</v>
      </c>
      <c r="C5334">
        <v>0</v>
      </c>
    </row>
    <row r="5335" spans="1:3" x14ac:dyDescent="0.25">
      <c r="A5335" s="48" t="s">
        <v>7070</v>
      </c>
      <c r="B5335" t="s">
        <v>7071</v>
      </c>
      <c r="C5335">
        <v>0</v>
      </c>
    </row>
    <row r="5336" spans="1:3" x14ac:dyDescent="0.25">
      <c r="A5336" s="48" t="s">
        <v>7074</v>
      </c>
      <c r="B5336" t="s">
        <v>7075</v>
      </c>
      <c r="C5336">
        <v>0</v>
      </c>
    </row>
    <row r="5337" spans="1:3" x14ac:dyDescent="0.25">
      <c r="A5337" s="48" t="s">
        <v>19601</v>
      </c>
      <c r="B5337" t="s">
        <v>19602</v>
      </c>
      <c r="C5337">
        <v>15</v>
      </c>
    </row>
    <row r="5338" spans="1:3" x14ac:dyDescent="0.25">
      <c r="A5338" s="48" t="s">
        <v>607</v>
      </c>
      <c r="B5338" t="s">
        <v>608</v>
      </c>
      <c r="C5338">
        <v>174</v>
      </c>
    </row>
    <row r="5339" spans="1:3" x14ac:dyDescent="0.25">
      <c r="A5339" s="48" t="s">
        <v>4013</v>
      </c>
      <c r="B5339" t="s">
        <v>21728</v>
      </c>
      <c r="C5339">
        <v>35</v>
      </c>
    </row>
    <row r="5340" spans="1:3" x14ac:dyDescent="0.25">
      <c r="A5340" s="48" t="s">
        <v>14576</v>
      </c>
      <c r="B5340" t="s">
        <v>14577</v>
      </c>
      <c r="C5340">
        <v>0</v>
      </c>
    </row>
    <row r="5341" spans="1:3" x14ac:dyDescent="0.25">
      <c r="A5341" s="48" t="s">
        <v>14570</v>
      </c>
      <c r="B5341" t="s">
        <v>21729</v>
      </c>
      <c r="C5341">
        <v>7</v>
      </c>
    </row>
    <row r="5342" spans="1:3" x14ac:dyDescent="0.25">
      <c r="A5342" s="48" t="s">
        <v>4052</v>
      </c>
      <c r="B5342" t="s">
        <v>4053</v>
      </c>
      <c r="C5342">
        <v>0</v>
      </c>
    </row>
    <row r="5343" spans="1:3" x14ac:dyDescent="0.25">
      <c r="A5343" s="48" t="s">
        <v>7953</v>
      </c>
      <c r="B5343" t="s">
        <v>7954</v>
      </c>
      <c r="C5343">
        <v>0</v>
      </c>
    </row>
    <row r="5344" spans="1:3" x14ac:dyDescent="0.25">
      <c r="A5344" s="48" t="s">
        <v>7969</v>
      </c>
      <c r="B5344" t="s">
        <v>21730</v>
      </c>
      <c r="C5344">
        <v>0</v>
      </c>
    </row>
    <row r="5345" spans="1:3" x14ac:dyDescent="0.25">
      <c r="A5345" s="48" t="s">
        <v>7911</v>
      </c>
      <c r="B5345" t="s">
        <v>7912</v>
      </c>
      <c r="C5345">
        <v>20</v>
      </c>
    </row>
    <row r="5346" spans="1:3" x14ac:dyDescent="0.25">
      <c r="A5346" s="48" t="s">
        <v>7869</v>
      </c>
      <c r="B5346" t="s">
        <v>7870</v>
      </c>
      <c r="C5346">
        <v>32</v>
      </c>
    </row>
    <row r="5347" spans="1:3" x14ac:dyDescent="0.25">
      <c r="A5347" s="48" t="s">
        <v>7879</v>
      </c>
      <c r="B5347" t="s">
        <v>7880</v>
      </c>
      <c r="C5347">
        <v>58</v>
      </c>
    </row>
    <row r="5348" spans="1:3" x14ac:dyDescent="0.25">
      <c r="A5348" s="48" t="s">
        <v>7903</v>
      </c>
      <c r="B5348" t="s">
        <v>7904</v>
      </c>
      <c r="C5348">
        <v>66</v>
      </c>
    </row>
    <row r="5349" spans="1:3" x14ac:dyDescent="0.25">
      <c r="A5349" s="48" t="s">
        <v>7893</v>
      </c>
      <c r="B5349" t="s">
        <v>7894</v>
      </c>
      <c r="C5349">
        <v>19</v>
      </c>
    </row>
    <row r="5350" spans="1:3" x14ac:dyDescent="0.25">
      <c r="A5350" s="48" t="s">
        <v>4039</v>
      </c>
      <c r="B5350" t="s">
        <v>4040</v>
      </c>
      <c r="C5350">
        <v>0</v>
      </c>
    </row>
    <row r="5351" spans="1:3" x14ac:dyDescent="0.25">
      <c r="A5351" s="48" t="s">
        <v>7863</v>
      </c>
      <c r="B5351" t="s">
        <v>7864</v>
      </c>
      <c r="C5351">
        <v>0</v>
      </c>
    </row>
    <row r="5352" spans="1:3" x14ac:dyDescent="0.25">
      <c r="A5352" s="48" t="s">
        <v>19460</v>
      </c>
      <c r="B5352" t="s">
        <v>19461</v>
      </c>
      <c r="C5352">
        <v>16</v>
      </c>
    </row>
    <row r="5353" spans="1:3" x14ac:dyDescent="0.25">
      <c r="A5353" s="48" t="s">
        <v>7867</v>
      </c>
      <c r="B5353" t="s">
        <v>7868</v>
      </c>
      <c r="C5353">
        <v>0</v>
      </c>
    </row>
    <row r="5354" spans="1:3" x14ac:dyDescent="0.25">
      <c r="A5354" s="48" t="s">
        <v>7957</v>
      </c>
      <c r="B5354" t="s">
        <v>7958</v>
      </c>
      <c r="C5354">
        <v>0</v>
      </c>
    </row>
    <row r="5355" spans="1:3" x14ac:dyDescent="0.25">
      <c r="A5355" s="48" t="s">
        <v>16672</v>
      </c>
      <c r="B5355" t="s">
        <v>16673</v>
      </c>
      <c r="C5355">
        <v>57</v>
      </c>
    </row>
    <row r="5356" spans="1:3" x14ac:dyDescent="0.25">
      <c r="A5356" s="48" t="s">
        <v>649</v>
      </c>
      <c r="B5356" t="s">
        <v>650</v>
      </c>
      <c r="C5356">
        <v>32</v>
      </c>
    </row>
    <row r="5357" spans="1:3" x14ac:dyDescent="0.25">
      <c r="A5357" s="48" t="s">
        <v>7991</v>
      </c>
      <c r="B5357" t="s">
        <v>7992</v>
      </c>
      <c r="C5357">
        <v>3</v>
      </c>
    </row>
    <row r="5358" spans="1:3" x14ac:dyDescent="0.25">
      <c r="A5358" s="48" t="s">
        <v>14352</v>
      </c>
      <c r="B5358" t="s">
        <v>14353</v>
      </c>
      <c r="C5358">
        <v>0</v>
      </c>
    </row>
    <row r="5359" spans="1:3" x14ac:dyDescent="0.25">
      <c r="A5359" s="48" t="s">
        <v>14357</v>
      </c>
      <c r="B5359" t="s">
        <v>14358</v>
      </c>
      <c r="C5359">
        <v>8</v>
      </c>
    </row>
    <row r="5360" spans="1:3" x14ac:dyDescent="0.25">
      <c r="A5360" s="48" t="s">
        <v>7877</v>
      </c>
      <c r="B5360" t="s">
        <v>7878</v>
      </c>
      <c r="C5360">
        <v>0</v>
      </c>
    </row>
    <row r="5361" spans="1:3" x14ac:dyDescent="0.25">
      <c r="A5361" s="48" t="s">
        <v>7933</v>
      </c>
      <c r="B5361" t="s">
        <v>7934</v>
      </c>
      <c r="C5361">
        <v>0</v>
      </c>
    </row>
    <row r="5362" spans="1:3" x14ac:dyDescent="0.25">
      <c r="A5362" s="48" t="s">
        <v>7923</v>
      </c>
      <c r="B5362" t="s">
        <v>7924</v>
      </c>
      <c r="C5362">
        <v>39</v>
      </c>
    </row>
    <row r="5363" spans="1:3" x14ac:dyDescent="0.25">
      <c r="A5363" s="48" t="s">
        <v>7899</v>
      </c>
      <c r="B5363" t="s">
        <v>7900</v>
      </c>
      <c r="C5363">
        <v>0</v>
      </c>
    </row>
    <row r="5364" spans="1:3" x14ac:dyDescent="0.25">
      <c r="A5364" s="48" t="s">
        <v>4032</v>
      </c>
      <c r="B5364" t="s">
        <v>4033</v>
      </c>
      <c r="C5364">
        <v>0</v>
      </c>
    </row>
    <row r="5365" spans="1:3" x14ac:dyDescent="0.25">
      <c r="A5365" s="48" t="s">
        <v>4019</v>
      </c>
      <c r="B5365" t="s">
        <v>21731</v>
      </c>
      <c r="C5365">
        <v>0</v>
      </c>
    </row>
    <row r="5366" spans="1:3" x14ac:dyDescent="0.25">
      <c r="A5366" s="48" t="s">
        <v>4021</v>
      </c>
      <c r="B5366" t="s">
        <v>21732</v>
      </c>
      <c r="C5366">
        <v>0</v>
      </c>
    </row>
    <row r="5367" spans="1:3" x14ac:dyDescent="0.25">
      <c r="A5367" s="48" t="s">
        <v>4027</v>
      </c>
      <c r="B5367" t="s">
        <v>4028</v>
      </c>
      <c r="C5367">
        <v>0</v>
      </c>
    </row>
    <row r="5368" spans="1:3" x14ac:dyDescent="0.25">
      <c r="A5368" s="48" t="s">
        <v>4009</v>
      </c>
      <c r="B5368" t="s">
        <v>4010</v>
      </c>
      <c r="C5368">
        <v>0</v>
      </c>
    </row>
    <row r="5369" spans="1:3" x14ac:dyDescent="0.25">
      <c r="A5369" s="48" t="s">
        <v>4011</v>
      </c>
      <c r="B5369" t="s">
        <v>4012</v>
      </c>
      <c r="C5369">
        <v>0</v>
      </c>
    </row>
    <row r="5370" spans="1:3" x14ac:dyDescent="0.25">
      <c r="A5370" s="48" t="s">
        <v>1225</v>
      </c>
      <c r="B5370" t="s">
        <v>1226</v>
      </c>
      <c r="C5370">
        <v>66</v>
      </c>
    </row>
    <row r="5371" spans="1:3" x14ac:dyDescent="0.25">
      <c r="A5371" s="48" t="s">
        <v>7889</v>
      </c>
      <c r="B5371" t="s">
        <v>7890</v>
      </c>
      <c r="C5371">
        <v>20</v>
      </c>
    </row>
    <row r="5372" spans="1:3" x14ac:dyDescent="0.25">
      <c r="A5372" s="48" t="s">
        <v>7907</v>
      </c>
      <c r="B5372" t="s">
        <v>7908</v>
      </c>
      <c r="C5372">
        <v>0</v>
      </c>
    </row>
    <row r="5373" spans="1:3" x14ac:dyDescent="0.25">
      <c r="A5373" s="48" t="s">
        <v>19452</v>
      </c>
      <c r="B5373" t="s">
        <v>19453</v>
      </c>
      <c r="C5373">
        <v>0</v>
      </c>
    </row>
    <row r="5374" spans="1:3" x14ac:dyDescent="0.25">
      <c r="A5374" s="48" t="s">
        <v>7929</v>
      </c>
      <c r="B5374" t="s">
        <v>7930</v>
      </c>
      <c r="C5374">
        <v>0</v>
      </c>
    </row>
    <row r="5375" spans="1:3" x14ac:dyDescent="0.25">
      <c r="A5375" s="48" t="s">
        <v>7895</v>
      </c>
      <c r="B5375" t="s">
        <v>7896</v>
      </c>
      <c r="C5375">
        <v>7</v>
      </c>
    </row>
    <row r="5376" spans="1:3" x14ac:dyDescent="0.25">
      <c r="A5376" s="48" t="s">
        <v>7989</v>
      </c>
      <c r="B5376" t="s">
        <v>7990</v>
      </c>
      <c r="C5376">
        <v>73</v>
      </c>
    </row>
    <row r="5377" spans="1:3" x14ac:dyDescent="0.25">
      <c r="A5377" s="48" t="s">
        <v>7865</v>
      </c>
      <c r="B5377" t="s">
        <v>7866</v>
      </c>
      <c r="C5377">
        <v>23</v>
      </c>
    </row>
    <row r="5378" spans="1:3" x14ac:dyDescent="0.25">
      <c r="A5378" s="48" t="s">
        <v>7887</v>
      </c>
      <c r="B5378" t="s">
        <v>7888</v>
      </c>
      <c r="C5378">
        <v>51</v>
      </c>
    </row>
    <row r="5379" spans="1:3" x14ac:dyDescent="0.25">
      <c r="A5379" s="48" t="s">
        <v>7871</v>
      </c>
      <c r="B5379" t="s">
        <v>7872</v>
      </c>
      <c r="C5379">
        <v>0</v>
      </c>
    </row>
    <row r="5380" spans="1:3" x14ac:dyDescent="0.25">
      <c r="A5380" s="48" t="s">
        <v>12871</v>
      </c>
      <c r="B5380" t="s">
        <v>12872</v>
      </c>
      <c r="C5380">
        <v>0</v>
      </c>
    </row>
    <row r="5381" spans="1:3" x14ac:dyDescent="0.25">
      <c r="A5381" s="48" t="s">
        <v>12917</v>
      </c>
      <c r="B5381" t="s">
        <v>12918</v>
      </c>
      <c r="C5381">
        <v>0</v>
      </c>
    </row>
    <row r="5382" spans="1:3" x14ac:dyDescent="0.25">
      <c r="A5382" s="48" t="s">
        <v>12919</v>
      </c>
      <c r="B5382" t="s">
        <v>12920</v>
      </c>
      <c r="C5382">
        <v>0</v>
      </c>
    </row>
    <row r="5383" spans="1:3" x14ac:dyDescent="0.25">
      <c r="A5383" s="48" t="s">
        <v>14568</v>
      </c>
      <c r="B5383" t="s">
        <v>14569</v>
      </c>
      <c r="C5383">
        <v>100</v>
      </c>
    </row>
    <row r="5384" spans="1:3" x14ac:dyDescent="0.25">
      <c r="A5384" s="48" t="s">
        <v>7935</v>
      </c>
      <c r="B5384" t="s">
        <v>7936</v>
      </c>
      <c r="C5384">
        <v>20</v>
      </c>
    </row>
    <row r="5385" spans="1:3" x14ac:dyDescent="0.25">
      <c r="A5385" s="48" t="s">
        <v>22914</v>
      </c>
      <c r="B5385" t="s">
        <v>22915</v>
      </c>
      <c r="C5385">
        <v>25</v>
      </c>
    </row>
    <row r="5386" spans="1:3" x14ac:dyDescent="0.25">
      <c r="A5386" s="48" t="s">
        <v>17566</v>
      </c>
      <c r="B5386" t="s">
        <v>21733</v>
      </c>
      <c r="C5386">
        <v>0</v>
      </c>
    </row>
    <row r="5387" spans="1:3" x14ac:dyDescent="0.25">
      <c r="A5387" s="48" t="s">
        <v>10614</v>
      </c>
      <c r="B5387" t="s">
        <v>10615</v>
      </c>
      <c r="C5387">
        <v>48</v>
      </c>
    </row>
    <row r="5388" spans="1:3" x14ac:dyDescent="0.25">
      <c r="A5388" s="48" t="s">
        <v>10620</v>
      </c>
      <c r="B5388" t="s">
        <v>10621</v>
      </c>
      <c r="C5388">
        <v>18</v>
      </c>
    </row>
    <row r="5389" spans="1:3" x14ac:dyDescent="0.25">
      <c r="A5389" s="48" t="s">
        <v>19448</v>
      </c>
      <c r="B5389" t="s">
        <v>19449</v>
      </c>
      <c r="C5389">
        <v>0</v>
      </c>
    </row>
    <row r="5390" spans="1:3" x14ac:dyDescent="0.25">
      <c r="A5390" s="48" t="s">
        <v>17572</v>
      </c>
      <c r="B5390" t="s">
        <v>17573</v>
      </c>
      <c r="C5390">
        <v>9</v>
      </c>
    </row>
    <row r="5391" spans="1:3" x14ac:dyDescent="0.25">
      <c r="A5391" s="48" t="s">
        <v>10962</v>
      </c>
      <c r="B5391" t="s">
        <v>21734</v>
      </c>
      <c r="C5391">
        <v>95</v>
      </c>
    </row>
    <row r="5392" spans="1:3" x14ac:dyDescent="0.25">
      <c r="A5392" s="48" t="s">
        <v>10958</v>
      </c>
      <c r="B5392" t="s">
        <v>10959</v>
      </c>
      <c r="C5392">
        <v>9</v>
      </c>
    </row>
    <row r="5393" spans="1:3" x14ac:dyDescent="0.25">
      <c r="A5393" s="48" t="s">
        <v>10970</v>
      </c>
      <c r="B5393" t="s">
        <v>10971</v>
      </c>
      <c r="C5393">
        <v>14</v>
      </c>
    </row>
    <row r="5394" spans="1:3" x14ac:dyDescent="0.25">
      <c r="A5394" s="48" t="s">
        <v>10964</v>
      </c>
      <c r="B5394" t="s">
        <v>10965</v>
      </c>
      <c r="C5394">
        <v>59</v>
      </c>
    </row>
    <row r="5395" spans="1:3" x14ac:dyDescent="0.25">
      <c r="A5395" s="48" t="s">
        <v>10952</v>
      </c>
      <c r="B5395" t="s">
        <v>10953</v>
      </c>
      <c r="C5395">
        <v>43</v>
      </c>
    </row>
    <row r="5396" spans="1:3" x14ac:dyDescent="0.25">
      <c r="A5396" s="48" t="s">
        <v>11414</v>
      </c>
      <c r="B5396" t="s">
        <v>11415</v>
      </c>
      <c r="C5396">
        <v>0</v>
      </c>
    </row>
    <row r="5397" spans="1:3" x14ac:dyDescent="0.25">
      <c r="A5397" s="48" t="s">
        <v>17782</v>
      </c>
      <c r="B5397" t="s">
        <v>17783</v>
      </c>
      <c r="C5397">
        <v>0</v>
      </c>
    </row>
    <row r="5398" spans="1:3" x14ac:dyDescent="0.25">
      <c r="A5398" s="48" t="s">
        <v>3477</v>
      </c>
      <c r="B5398" t="s">
        <v>21735</v>
      </c>
      <c r="C5398">
        <v>0</v>
      </c>
    </row>
    <row r="5399" spans="1:3" x14ac:dyDescent="0.25">
      <c r="A5399" s="48" t="s">
        <v>17312</v>
      </c>
      <c r="B5399" t="s">
        <v>21736</v>
      </c>
      <c r="C5399">
        <v>12</v>
      </c>
    </row>
    <row r="5400" spans="1:3" x14ac:dyDescent="0.25">
      <c r="A5400" s="48" t="s">
        <v>12117</v>
      </c>
      <c r="B5400" t="s">
        <v>21737</v>
      </c>
      <c r="C5400">
        <v>12</v>
      </c>
    </row>
    <row r="5401" spans="1:3" x14ac:dyDescent="0.25">
      <c r="A5401" s="48" t="s">
        <v>17568</v>
      </c>
      <c r="B5401" t="s">
        <v>17569</v>
      </c>
      <c r="C5401">
        <v>0</v>
      </c>
    </row>
    <row r="5402" spans="1:3" x14ac:dyDescent="0.25">
      <c r="A5402" s="48" t="s">
        <v>12135</v>
      </c>
      <c r="B5402" t="s">
        <v>21738</v>
      </c>
      <c r="C5402">
        <v>2</v>
      </c>
    </row>
    <row r="5403" spans="1:3" x14ac:dyDescent="0.25">
      <c r="A5403" s="48" t="s">
        <v>12137</v>
      </c>
      <c r="B5403" t="s">
        <v>21739</v>
      </c>
      <c r="C5403">
        <v>1</v>
      </c>
    </row>
    <row r="5404" spans="1:3" x14ac:dyDescent="0.25">
      <c r="A5404" s="48" t="s">
        <v>5607</v>
      </c>
      <c r="B5404" t="s">
        <v>21740</v>
      </c>
      <c r="C5404">
        <v>0</v>
      </c>
    </row>
    <row r="5405" spans="1:3" x14ac:dyDescent="0.25">
      <c r="A5405" s="48" t="s">
        <v>5609</v>
      </c>
      <c r="B5405" t="s">
        <v>21741</v>
      </c>
      <c r="C5405">
        <v>0</v>
      </c>
    </row>
    <row r="5406" spans="1:3" x14ac:dyDescent="0.25">
      <c r="A5406" s="48" t="s">
        <v>5611</v>
      </c>
      <c r="B5406" t="s">
        <v>21742</v>
      </c>
      <c r="C5406">
        <v>11</v>
      </c>
    </row>
    <row r="5407" spans="1:3" x14ac:dyDescent="0.25">
      <c r="A5407" s="48" t="s">
        <v>5613</v>
      </c>
      <c r="B5407" t="s">
        <v>21743</v>
      </c>
      <c r="C5407">
        <v>9</v>
      </c>
    </row>
    <row r="5408" spans="1:3" x14ac:dyDescent="0.25">
      <c r="A5408" s="48" t="s">
        <v>12113</v>
      </c>
      <c r="B5408" t="s">
        <v>21744</v>
      </c>
      <c r="C5408">
        <v>0</v>
      </c>
    </row>
    <row r="5409" spans="1:3" x14ac:dyDescent="0.25">
      <c r="A5409" s="48" t="s">
        <v>7959</v>
      </c>
      <c r="B5409" t="s">
        <v>7960</v>
      </c>
      <c r="C5409">
        <v>49</v>
      </c>
    </row>
    <row r="5410" spans="1:3" x14ac:dyDescent="0.25">
      <c r="A5410" s="48" t="s">
        <v>7971</v>
      </c>
      <c r="B5410" t="s">
        <v>7972</v>
      </c>
      <c r="C5410">
        <v>0</v>
      </c>
    </row>
    <row r="5411" spans="1:3" x14ac:dyDescent="0.25">
      <c r="A5411" s="48" t="s">
        <v>10968</v>
      </c>
      <c r="B5411" t="s">
        <v>10969</v>
      </c>
      <c r="C5411">
        <v>24</v>
      </c>
    </row>
    <row r="5412" spans="1:3" x14ac:dyDescent="0.25">
      <c r="A5412" s="48" t="s">
        <v>10960</v>
      </c>
      <c r="B5412" t="s">
        <v>10961</v>
      </c>
      <c r="C5412">
        <v>7</v>
      </c>
    </row>
    <row r="5413" spans="1:3" x14ac:dyDescent="0.25">
      <c r="A5413" s="48" t="s">
        <v>10966</v>
      </c>
      <c r="B5413" t="s">
        <v>10967</v>
      </c>
      <c r="C5413">
        <v>17</v>
      </c>
    </row>
    <row r="5414" spans="1:3" x14ac:dyDescent="0.25">
      <c r="A5414" s="48" t="s">
        <v>1131</v>
      </c>
      <c r="B5414" t="s">
        <v>1132</v>
      </c>
      <c r="C5414">
        <v>148</v>
      </c>
    </row>
    <row r="5415" spans="1:3" x14ac:dyDescent="0.25">
      <c r="A5415" s="48" t="s">
        <v>10618</v>
      </c>
      <c r="B5415" t="s">
        <v>21745</v>
      </c>
      <c r="C5415">
        <v>61</v>
      </c>
    </row>
    <row r="5416" spans="1:3" x14ac:dyDescent="0.25">
      <c r="A5416" s="48" t="s">
        <v>10954</v>
      </c>
      <c r="B5416" t="s">
        <v>10955</v>
      </c>
      <c r="C5416">
        <v>12</v>
      </c>
    </row>
    <row r="5417" spans="1:3" x14ac:dyDescent="0.25">
      <c r="A5417" s="48" t="s">
        <v>7931</v>
      </c>
      <c r="B5417" t="s">
        <v>7932</v>
      </c>
      <c r="C5417">
        <v>4</v>
      </c>
    </row>
    <row r="5418" spans="1:3" x14ac:dyDescent="0.25">
      <c r="A5418" s="48" t="s">
        <v>19446</v>
      </c>
      <c r="B5418" t="s">
        <v>19447</v>
      </c>
      <c r="C5418">
        <v>0</v>
      </c>
    </row>
    <row r="5419" spans="1:3" x14ac:dyDescent="0.25">
      <c r="A5419" s="48" t="s">
        <v>10956</v>
      </c>
      <c r="B5419" t="s">
        <v>10957</v>
      </c>
      <c r="C5419">
        <v>31</v>
      </c>
    </row>
    <row r="5420" spans="1:3" x14ac:dyDescent="0.25">
      <c r="A5420" s="48" t="s">
        <v>4017</v>
      </c>
      <c r="B5420" t="s">
        <v>4018</v>
      </c>
      <c r="C5420">
        <v>560</v>
      </c>
    </row>
    <row r="5421" spans="1:3" x14ac:dyDescent="0.25">
      <c r="A5421" s="48" t="s">
        <v>854</v>
      </c>
      <c r="B5421" t="s">
        <v>855</v>
      </c>
      <c r="C5421">
        <v>59</v>
      </c>
    </row>
    <row r="5422" spans="1:3" x14ac:dyDescent="0.25">
      <c r="A5422" s="48" t="s">
        <v>17827</v>
      </c>
      <c r="B5422" t="s">
        <v>17828</v>
      </c>
      <c r="C5422">
        <v>0</v>
      </c>
    </row>
    <row r="5423" spans="1:3" x14ac:dyDescent="0.25">
      <c r="A5423" s="48" t="s">
        <v>931</v>
      </c>
      <c r="B5423" t="s">
        <v>932</v>
      </c>
      <c r="C5423">
        <v>5</v>
      </c>
    </row>
    <row r="5424" spans="1:3" x14ac:dyDescent="0.25">
      <c r="A5424" s="48" t="s">
        <v>779</v>
      </c>
      <c r="B5424" t="s">
        <v>780</v>
      </c>
      <c r="C5424">
        <v>1</v>
      </c>
    </row>
    <row r="5425" spans="1:3" x14ac:dyDescent="0.25">
      <c r="A5425" s="48" t="s">
        <v>9064</v>
      </c>
      <c r="B5425" t="s">
        <v>9065</v>
      </c>
      <c r="C5425">
        <v>10</v>
      </c>
    </row>
    <row r="5426" spans="1:3" x14ac:dyDescent="0.25">
      <c r="A5426" s="48" t="s">
        <v>9066</v>
      </c>
      <c r="B5426" t="s">
        <v>9067</v>
      </c>
      <c r="C5426">
        <v>1</v>
      </c>
    </row>
    <row r="5427" spans="1:3" x14ac:dyDescent="0.25">
      <c r="A5427" s="48" t="s">
        <v>9116</v>
      </c>
      <c r="B5427" t="s">
        <v>9117</v>
      </c>
      <c r="C5427">
        <v>0</v>
      </c>
    </row>
    <row r="5428" spans="1:3" x14ac:dyDescent="0.25">
      <c r="A5428" s="48" t="s">
        <v>9114</v>
      </c>
      <c r="B5428" t="s">
        <v>9115</v>
      </c>
      <c r="C5428">
        <v>4</v>
      </c>
    </row>
    <row r="5429" spans="1:3" x14ac:dyDescent="0.25">
      <c r="A5429" s="48" t="s">
        <v>9044</v>
      </c>
      <c r="B5429" t="s">
        <v>9045</v>
      </c>
      <c r="C5429">
        <v>7</v>
      </c>
    </row>
    <row r="5430" spans="1:3" x14ac:dyDescent="0.25">
      <c r="A5430" s="48" t="s">
        <v>9102</v>
      </c>
      <c r="B5430" t="s">
        <v>9103</v>
      </c>
      <c r="C5430">
        <v>0</v>
      </c>
    </row>
    <row r="5431" spans="1:3" x14ac:dyDescent="0.25">
      <c r="A5431" s="48" t="s">
        <v>9108</v>
      </c>
      <c r="B5431" t="s">
        <v>9109</v>
      </c>
      <c r="C5431">
        <v>12</v>
      </c>
    </row>
    <row r="5432" spans="1:3" x14ac:dyDescent="0.25">
      <c r="A5432" s="48" t="s">
        <v>9054</v>
      </c>
      <c r="B5432" t="s">
        <v>9055</v>
      </c>
      <c r="C5432">
        <v>0</v>
      </c>
    </row>
    <row r="5433" spans="1:3" x14ac:dyDescent="0.25">
      <c r="A5433" s="48" t="s">
        <v>9100</v>
      </c>
      <c r="B5433" t="s">
        <v>21746</v>
      </c>
      <c r="C5433">
        <v>1</v>
      </c>
    </row>
    <row r="5434" spans="1:3" x14ac:dyDescent="0.25">
      <c r="A5434" s="48" t="s">
        <v>9188</v>
      </c>
      <c r="B5434" t="s">
        <v>9189</v>
      </c>
      <c r="C5434">
        <v>6</v>
      </c>
    </row>
    <row r="5435" spans="1:3" x14ac:dyDescent="0.25">
      <c r="A5435" s="48" t="s">
        <v>9180</v>
      </c>
      <c r="B5435" t="s">
        <v>9181</v>
      </c>
      <c r="C5435">
        <v>5</v>
      </c>
    </row>
    <row r="5436" spans="1:3" x14ac:dyDescent="0.25">
      <c r="A5436" s="48" t="s">
        <v>9124</v>
      </c>
      <c r="B5436" t="s">
        <v>9125</v>
      </c>
      <c r="C5436">
        <v>7</v>
      </c>
    </row>
    <row r="5437" spans="1:3" x14ac:dyDescent="0.25">
      <c r="A5437" s="48" t="s">
        <v>9058</v>
      </c>
      <c r="B5437" t="s">
        <v>9059</v>
      </c>
      <c r="C5437">
        <v>12</v>
      </c>
    </row>
    <row r="5438" spans="1:3" x14ac:dyDescent="0.25">
      <c r="A5438" s="48" t="s">
        <v>9094</v>
      </c>
      <c r="B5438" t="s">
        <v>9095</v>
      </c>
      <c r="C5438">
        <v>0</v>
      </c>
    </row>
    <row r="5439" spans="1:3" x14ac:dyDescent="0.25">
      <c r="A5439" s="48" t="s">
        <v>9166</v>
      </c>
      <c r="B5439" t="s">
        <v>9167</v>
      </c>
      <c r="C5439">
        <v>12</v>
      </c>
    </row>
    <row r="5440" spans="1:3" x14ac:dyDescent="0.25">
      <c r="A5440" s="48" t="s">
        <v>12025</v>
      </c>
      <c r="B5440" t="s">
        <v>12026</v>
      </c>
      <c r="C5440">
        <v>20</v>
      </c>
    </row>
    <row r="5441" spans="1:3" x14ac:dyDescent="0.25">
      <c r="A5441" s="48" t="s">
        <v>12021</v>
      </c>
      <c r="B5441" t="s">
        <v>12022</v>
      </c>
      <c r="C5441">
        <v>13</v>
      </c>
    </row>
    <row r="5442" spans="1:3" x14ac:dyDescent="0.25">
      <c r="A5442" s="48" t="s">
        <v>12023</v>
      </c>
      <c r="B5442" t="s">
        <v>12024</v>
      </c>
      <c r="C5442">
        <v>8</v>
      </c>
    </row>
    <row r="5443" spans="1:3" x14ac:dyDescent="0.25">
      <c r="A5443" s="48" t="s">
        <v>9106</v>
      </c>
      <c r="B5443" t="s">
        <v>9107</v>
      </c>
      <c r="C5443">
        <v>6</v>
      </c>
    </row>
    <row r="5444" spans="1:3" x14ac:dyDescent="0.25">
      <c r="A5444" s="48" t="s">
        <v>9202</v>
      </c>
      <c r="B5444" t="s">
        <v>9203</v>
      </c>
      <c r="C5444">
        <v>2</v>
      </c>
    </row>
    <row r="5445" spans="1:3" x14ac:dyDescent="0.25">
      <c r="A5445" s="48" t="s">
        <v>9200</v>
      </c>
      <c r="B5445" t="s">
        <v>9201</v>
      </c>
      <c r="C5445">
        <v>0</v>
      </c>
    </row>
    <row r="5446" spans="1:3" x14ac:dyDescent="0.25">
      <c r="A5446" s="48" t="s">
        <v>9070</v>
      </c>
      <c r="B5446" t="s">
        <v>9071</v>
      </c>
      <c r="C5446">
        <v>1</v>
      </c>
    </row>
    <row r="5447" spans="1:3" x14ac:dyDescent="0.25">
      <c r="A5447" s="48" t="s">
        <v>9068</v>
      </c>
      <c r="B5447" t="s">
        <v>9069</v>
      </c>
      <c r="C5447">
        <v>10</v>
      </c>
    </row>
    <row r="5448" spans="1:3" x14ac:dyDescent="0.25">
      <c r="A5448" s="48" t="s">
        <v>9112</v>
      </c>
      <c r="B5448" t="s">
        <v>9113</v>
      </c>
      <c r="C5448">
        <v>11</v>
      </c>
    </row>
    <row r="5449" spans="1:3" x14ac:dyDescent="0.25">
      <c r="A5449" s="48" t="s">
        <v>9126</v>
      </c>
      <c r="B5449" t="s">
        <v>9127</v>
      </c>
      <c r="C5449">
        <v>1</v>
      </c>
    </row>
    <row r="5450" spans="1:3" x14ac:dyDescent="0.25">
      <c r="A5450" s="48" t="s">
        <v>9056</v>
      </c>
      <c r="B5450" t="s">
        <v>9057</v>
      </c>
      <c r="C5450">
        <v>0</v>
      </c>
    </row>
    <row r="5451" spans="1:3" x14ac:dyDescent="0.25">
      <c r="A5451" s="48" t="s">
        <v>9160</v>
      </c>
      <c r="B5451" t="s">
        <v>9161</v>
      </c>
      <c r="C5451">
        <v>1</v>
      </c>
    </row>
    <row r="5452" spans="1:3" x14ac:dyDescent="0.25">
      <c r="A5452" s="48" t="s">
        <v>9182</v>
      </c>
      <c r="B5452" t="s">
        <v>9183</v>
      </c>
      <c r="C5452">
        <v>2</v>
      </c>
    </row>
    <row r="5453" spans="1:3" x14ac:dyDescent="0.25">
      <c r="A5453" s="48" t="s">
        <v>9190</v>
      </c>
      <c r="B5453" t="s">
        <v>9191</v>
      </c>
      <c r="C5453">
        <v>2</v>
      </c>
    </row>
    <row r="5454" spans="1:3" x14ac:dyDescent="0.25">
      <c r="A5454" s="48" t="s">
        <v>9162</v>
      </c>
      <c r="B5454" t="s">
        <v>9163</v>
      </c>
      <c r="C5454">
        <v>5</v>
      </c>
    </row>
    <row r="5455" spans="1:3" x14ac:dyDescent="0.25">
      <c r="A5455" s="48" t="s">
        <v>9158</v>
      </c>
      <c r="B5455" t="s">
        <v>9159</v>
      </c>
      <c r="C5455">
        <v>1</v>
      </c>
    </row>
    <row r="5456" spans="1:3" x14ac:dyDescent="0.25">
      <c r="A5456" s="48" t="s">
        <v>9154</v>
      </c>
      <c r="B5456" t="s">
        <v>9155</v>
      </c>
      <c r="C5456">
        <v>9</v>
      </c>
    </row>
    <row r="5457" spans="1:3" x14ac:dyDescent="0.25">
      <c r="A5457" s="48" t="s">
        <v>9074</v>
      </c>
      <c r="B5457" t="s">
        <v>9075</v>
      </c>
      <c r="C5457">
        <v>1</v>
      </c>
    </row>
    <row r="5458" spans="1:3" x14ac:dyDescent="0.25">
      <c r="A5458" s="48" t="s">
        <v>9072</v>
      </c>
      <c r="B5458" t="s">
        <v>9073</v>
      </c>
      <c r="C5458">
        <v>8</v>
      </c>
    </row>
    <row r="5459" spans="1:3" x14ac:dyDescent="0.25">
      <c r="A5459" s="48" t="s">
        <v>9052</v>
      </c>
      <c r="B5459" t="s">
        <v>9053</v>
      </c>
      <c r="C5459">
        <v>0</v>
      </c>
    </row>
    <row r="5460" spans="1:3" x14ac:dyDescent="0.25">
      <c r="A5460" s="48" t="s">
        <v>9092</v>
      </c>
      <c r="B5460" t="s">
        <v>9093</v>
      </c>
      <c r="C5460">
        <v>0</v>
      </c>
    </row>
    <row r="5461" spans="1:3" x14ac:dyDescent="0.25">
      <c r="A5461" s="48" t="s">
        <v>9122</v>
      </c>
      <c r="B5461" t="s">
        <v>9123</v>
      </c>
      <c r="C5461">
        <v>0</v>
      </c>
    </row>
    <row r="5462" spans="1:3" x14ac:dyDescent="0.25">
      <c r="A5462" s="48" t="s">
        <v>9050</v>
      </c>
      <c r="B5462" t="s">
        <v>9051</v>
      </c>
      <c r="C5462">
        <v>0</v>
      </c>
    </row>
    <row r="5463" spans="1:3" x14ac:dyDescent="0.25">
      <c r="A5463" s="48" t="s">
        <v>9080</v>
      </c>
      <c r="B5463" t="s">
        <v>9081</v>
      </c>
      <c r="C5463">
        <v>29</v>
      </c>
    </row>
    <row r="5464" spans="1:3" x14ac:dyDescent="0.25">
      <c r="A5464" s="48" t="s">
        <v>9082</v>
      </c>
      <c r="B5464" t="s">
        <v>9083</v>
      </c>
      <c r="C5464">
        <v>19</v>
      </c>
    </row>
    <row r="5465" spans="1:3" x14ac:dyDescent="0.25">
      <c r="A5465" s="48" t="s">
        <v>9084</v>
      </c>
      <c r="B5465" t="s">
        <v>9085</v>
      </c>
      <c r="C5465">
        <v>20</v>
      </c>
    </row>
    <row r="5466" spans="1:3" x14ac:dyDescent="0.25">
      <c r="A5466" s="48" t="s">
        <v>9164</v>
      </c>
      <c r="B5466" t="s">
        <v>9165</v>
      </c>
      <c r="C5466">
        <v>1</v>
      </c>
    </row>
    <row r="5467" spans="1:3" x14ac:dyDescent="0.25">
      <c r="A5467" s="48" t="s">
        <v>9178</v>
      </c>
      <c r="B5467" t="s">
        <v>9179</v>
      </c>
      <c r="C5467">
        <v>1</v>
      </c>
    </row>
    <row r="5468" spans="1:3" x14ac:dyDescent="0.25">
      <c r="A5468" s="48" t="s">
        <v>9176</v>
      </c>
      <c r="B5468" t="s">
        <v>9177</v>
      </c>
      <c r="C5468">
        <v>10</v>
      </c>
    </row>
    <row r="5469" spans="1:3" x14ac:dyDescent="0.25">
      <c r="A5469" s="48" t="s">
        <v>9146</v>
      </c>
      <c r="B5469" t="s">
        <v>9147</v>
      </c>
      <c r="C5469">
        <v>1</v>
      </c>
    </row>
    <row r="5470" spans="1:3" x14ac:dyDescent="0.25">
      <c r="A5470" s="48" t="s">
        <v>9134</v>
      </c>
      <c r="B5470" t="s">
        <v>9135</v>
      </c>
      <c r="C5470">
        <v>1</v>
      </c>
    </row>
    <row r="5471" spans="1:3" x14ac:dyDescent="0.25">
      <c r="A5471" s="48" t="s">
        <v>9186</v>
      </c>
      <c r="B5471" t="s">
        <v>9187</v>
      </c>
      <c r="C5471">
        <v>1</v>
      </c>
    </row>
    <row r="5472" spans="1:3" x14ac:dyDescent="0.25">
      <c r="A5472" s="48" t="s">
        <v>9170</v>
      </c>
      <c r="B5472" t="s">
        <v>9171</v>
      </c>
      <c r="C5472">
        <v>1</v>
      </c>
    </row>
    <row r="5473" spans="1:3" x14ac:dyDescent="0.25">
      <c r="A5473" s="48" t="s">
        <v>9062</v>
      </c>
      <c r="B5473" t="s">
        <v>9063</v>
      </c>
      <c r="C5473">
        <v>0</v>
      </c>
    </row>
    <row r="5474" spans="1:3" x14ac:dyDescent="0.25">
      <c r="A5474" s="48" t="s">
        <v>9138</v>
      </c>
      <c r="B5474" t="s">
        <v>9139</v>
      </c>
      <c r="C5474">
        <v>0</v>
      </c>
    </row>
    <row r="5475" spans="1:3" x14ac:dyDescent="0.25">
      <c r="A5475" s="48" t="s">
        <v>9136</v>
      </c>
      <c r="B5475" t="s">
        <v>9137</v>
      </c>
      <c r="C5475">
        <v>8</v>
      </c>
    </row>
    <row r="5476" spans="1:3" x14ac:dyDescent="0.25">
      <c r="A5476" s="48" t="s">
        <v>9130</v>
      </c>
      <c r="B5476" t="s">
        <v>9131</v>
      </c>
      <c r="C5476">
        <v>0</v>
      </c>
    </row>
    <row r="5477" spans="1:3" x14ac:dyDescent="0.25">
      <c r="A5477" s="48" t="s">
        <v>9168</v>
      </c>
      <c r="B5477" t="s">
        <v>9169</v>
      </c>
      <c r="C5477">
        <v>21</v>
      </c>
    </row>
    <row r="5478" spans="1:3" x14ac:dyDescent="0.25">
      <c r="A5478" s="48" t="s">
        <v>9184</v>
      </c>
      <c r="B5478" t="s">
        <v>9185</v>
      </c>
      <c r="C5478">
        <v>10</v>
      </c>
    </row>
    <row r="5479" spans="1:3" x14ac:dyDescent="0.25">
      <c r="A5479" s="48" t="s">
        <v>9174</v>
      </c>
      <c r="B5479" t="s">
        <v>9175</v>
      </c>
      <c r="C5479">
        <v>0</v>
      </c>
    </row>
    <row r="5480" spans="1:3" x14ac:dyDescent="0.25">
      <c r="A5480" s="48" t="s">
        <v>9060</v>
      </c>
      <c r="B5480" t="s">
        <v>9061</v>
      </c>
      <c r="C5480">
        <v>10</v>
      </c>
    </row>
    <row r="5481" spans="1:3" x14ac:dyDescent="0.25">
      <c r="A5481" s="48" t="s">
        <v>9120</v>
      </c>
      <c r="B5481" t="s">
        <v>9121</v>
      </c>
      <c r="C5481">
        <v>0</v>
      </c>
    </row>
    <row r="5482" spans="1:3" x14ac:dyDescent="0.25">
      <c r="A5482" s="48" t="s">
        <v>9128</v>
      </c>
      <c r="B5482" t="s">
        <v>9129</v>
      </c>
      <c r="C5482">
        <v>0</v>
      </c>
    </row>
    <row r="5483" spans="1:3" x14ac:dyDescent="0.25">
      <c r="A5483" s="48" t="s">
        <v>9152</v>
      </c>
      <c r="B5483" t="s">
        <v>9153</v>
      </c>
      <c r="C5483">
        <v>0</v>
      </c>
    </row>
    <row r="5484" spans="1:3" x14ac:dyDescent="0.25">
      <c r="A5484" s="48" t="s">
        <v>9150</v>
      </c>
      <c r="B5484" t="s">
        <v>9151</v>
      </c>
      <c r="C5484">
        <v>0</v>
      </c>
    </row>
    <row r="5485" spans="1:3" x14ac:dyDescent="0.25">
      <c r="A5485" s="48" t="s">
        <v>23012</v>
      </c>
      <c r="B5485" t="s">
        <v>23013</v>
      </c>
      <c r="C5485">
        <v>0</v>
      </c>
    </row>
    <row r="5486" spans="1:3" x14ac:dyDescent="0.25">
      <c r="A5486" s="48" t="s">
        <v>827</v>
      </c>
      <c r="B5486" t="s">
        <v>828</v>
      </c>
      <c r="C5486">
        <v>13</v>
      </c>
    </row>
    <row r="5487" spans="1:3" x14ac:dyDescent="0.25">
      <c r="A5487" s="48" t="s">
        <v>591</v>
      </c>
      <c r="B5487" t="s">
        <v>592</v>
      </c>
      <c r="C5487">
        <v>1</v>
      </c>
    </row>
    <row r="5488" spans="1:3" x14ac:dyDescent="0.25">
      <c r="A5488" s="48" t="s">
        <v>18582</v>
      </c>
      <c r="B5488" t="s">
        <v>18583</v>
      </c>
      <c r="C5488">
        <v>2</v>
      </c>
    </row>
    <row r="5489" spans="1:3" x14ac:dyDescent="0.25">
      <c r="A5489" s="48" t="s">
        <v>18586</v>
      </c>
      <c r="B5489" t="s">
        <v>18587</v>
      </c>
      <c r="C5489">
        <v>4</v>
      </c>
    </row>
    <row r="5490" spans="1:3" x14ac:dyDescent="0.25">
      <c r="A5490" s="48" t="s">
        <v>18588</v>
      </c>
      <c r="B5490" t="s">
        <v>18589</v>
      </c>
      <c r="C5490">
        <v>0</v>
      </c>
    </row>
    <row r="5491" spans="1:3" x14ac:dyDescent="0.25">
      <c r="A5491" s="48" t="s">
        <v>1079</v>
      </c>
      <c r="B5491" t="s">
        <v>1080</v>
      </c>
      <c r="C5491">
        <v>9</v>
      </c>
    </row>
    <row r="5492" spans="1:3" x14ac:dyDescent="0.25">
      <c r="A5492" s="48" t="s">
        <v>18590</v>
      </c>
      <c r="B5492" t="s">
        <v>18591</v>
      </c>
      <c r="C5492">
        <v>5</v>
      </c>
    </row>
    <row r="5493" spans="1:3" x14ac:dyDescent="0.25">
      <c r="A5493" s="48" t="s">
        <v>18592</v>
      </c>
      <c r="B5493" t="s">
        <v>18593</v>
      </c>
      <c r="C5493">
        <v>5</v>
      </c>
    </row>
    <row r="5494" spans="1:3" x14ac:dyDescent="0.25">
      <c r="A5494" s="48" t="s">
        <v>18580</v>
      </c>
      <c r="B5494" t="s">
        <v>18581</v>
      </c>
      <c r="C5494">
        <v>3</v>
      </c>
    </row>
    <row r="5495" spans="1:3" x14ac:dyDescent="0.25">
      <c r="A5495" s="48" t="s">
        <v>18584</v>
      </c>
      <c r="B5495" t="s">
        <v>18585</v>
      </c>
      <c r="C5495">
        <v>7</v>
      </c>
    </row>
    <row r="5496" spans="1:3" x14ac:dyDescent="0.25">
      <c r="A5496" s="48" t="s">
        <v>18518</v>
      </c>
      <c r="B5496" t="s">
        <v>18519</v>
      </c>
      <c r="C5496">
        <v>4</v>
      </c>
    </row>
    <row r="5497" spans="1:3" x14ac:dyDescent="0.25">
      <c r="A5497" s="48" t="s">
        <v>18500</v>
      </c>
      <c r="B5497" t="s">
        <v>18501</v>
      </c>
      <c r="C5497">
        <v>0</v>
      </c>
    </row>
    <row r="5498" spans="1:3" x14ac:dyDescent="0.25">
      <c r="A5498" s="48" t="s">
        <v>18502</v>
      </c>
      <c r="B5498" t="s">
        <v>18503</v>
      </c>
      <c r="C5498">
        <v>4</v>
      </c>
    </row>
    <row r="5499" spans="1:3" x14ac:dyDescent="0.25">
      <c r="A5499" s="48" t="s">
        <v>18594</v>
      </c>
      <c r="B5499" t="s">
        <v>18595</v>
      </c>
      <c r="C5499">
        <v>11</v>
      </c>
    </row>
    <row r="5500" spans="1:3" x14ac:dyDescent="0.25">
      <c r="A5500" s="48" t="s">
        <v>7170</v>
      </c>
      <c r="B5500" t="s">
        <v>7171</v>
      </c>
      <c r="C5500">
        <v>53</v>
      </c>
    </row>
    <row r="5501" spans="1:3" x14ac:dyDescent="0.25">
      <c r="A5501" s="48" t="s">
        <v>3136</v>
      </c>
      <c r="B5501" t="s">
        <v>3137</v>
      </c>
      <c r="C5501">
        <v>2</v>
      </c>
    </row>
    <row r="5502" spans="1:3" x14ac:dyDescent="0.25">
      <c r="A5502" s="48" t="s">
        <v>3127</v>
      </c>
      <c r="B5502" t="s">
        <v>3128</v>
      </c>
      <c r="C5502">
        <v>33</v>
      </c>
    </row>
    <row r="5503" spans="1:3" x14ac:dyDescent="0.25">
      <c r="A5503" s="48" t="s">
        <v>7132</v>
      </c>
      <c r="B5503" t="s">
        <v>7133</v>
      </c>
      <c r="C5503">
        <v>0</v>
      </c>
    </row>
    <row r="5504" spans="1:3" x14ac:dyDescent="0.25">
      <c r="A5504" s="48" t="s">
        <v>7130</v>
      </c>
      <c r="B5504" t="s">
        <v>7131</v>
      </c>
      <c r="C5504">
        <v>11</v>
      </c>
    </row>
    <row r="5505" spans="1:3" x14ac:dyDescent="0.25">
      <c r="A5505" s="48" t="s">
        <v>2947</v>
      </c>
      <c r="B5505" t="s">
        <v>2948</v>
      </c>
      <c r="C5505">
        <v>0</v>
      </c>
    </row>
    <row r="5506" spans="1:3" x14ac:dyDescent="0.25">
      <c r="A5506" s="48" t="s">
        <v>10303</v>
      </c>
      <c r="B5506" t="s">
        <v>10304</v>
      </c>
      <c r="C5506">
        <v>0</v>
      </c>
    </row>
    <row r="5507" spans="1:3" x14ac:dyDescent="0.25">
      <c r="A5507" s="48" t="s">
        <v>12591</v>
      </c>
      <c r="B5507" t="s">
        <v>12592</v>
      </c>
      <c r="C5507">
        <v>169</v>
      </c>
    </row>
    <row r="5508" spans="1:3" x14ac:dyDescent="0.25">
      <c r="A5508" s="48" t="s">
        <v>10301</v>
      </c>
      <c r="B5508" t="s">
        <v>10302</v>
      </c>
      <c r="C5508">
        <v>0</v>
      </c>
    </row>
    <row r="5509" spans="1:3" x14ac:dyDescent="0.25">
      <c r="A5509" s="48" t="s">
        <v>6914</v>
      </c>
      <c r="B5509" t="s">
        <v>6915</v>
      </c>
      <c r="C5509">
        <v>32</v>
      </c>
    </row>
    <row r="5510" spans="1:3" x14ac:dyDescent="0.25">
      <c r="A5510" s="48" t="s">
        <v>5887</v>
      </c>
      <c r="B5510" t="s">
        <v>5888</v>
      </c>
      <c r="C5510">
        <v>18</v>
      </c>
    </row>
    <row r="5511" spans="1:3" x14ac:dyDescent="0.25">
      <c r="A5511" s="48" t="s">
        <v>17206</v>
      </c>
      <c r="B5511" t="s">
        <v>17207</v>
      </c>
      <c r="C5511">
        <v>14</v>
      </c>
    </row>
    <row r="5512" spans="1:3" x14ac:dyDescent="0.25">
      <c r="A5512" s="48" t="s">
        <v>7945</v>
      </c>
      <c r="B5512" t="s">
        <v>21747</v>
      </c>
      <c r="C5512">
        <v>0</v>
      </c>
    </row>
    <row r="5513" spans="1:3" x14ac:dyDescent="0.25">
      <c r="A5513" s="48" t="s">
        <v>4136</v>
      </c>
      <c r="B5513" t="s">
        <v>4137</v>
      </c>
      <c r="C5513">
        <v>2</v>
      </c>
    </row>
    <row r="5514" spans="1:3" x14ac:dyDescent="0.25">
      <c r="A5514" s="48" t="s">
        <v>16508</v>
      </c>
      <c r="B5514" t="s">
        <v>21748</v>
      </c>
      <c r="C5514">
        <v>0</v>
      </c>
    </row>
    <row r="5515" spans="1:3" x14ac:dyDescent="0.25">
      <c r="A5515" s="48" t="s">
        <v>16506</v>
      </c>
      <c r="B5515" t="s">
        <v>21749</v>
      </c>
      <c r="C5515">
        <v>0</v>
      </c>
    </row>
    <row r="5516" spans="1:3" x14ac:dyDescent="0.25">
      <c r="A5516" s="48" t="s">
        <v>17260</v>
      </c>
      <c r="B5516" t="s">
        <v>17261</v>
      </c>
      <c r="C5516">
        <v>0</v>
      </c>
    </row>
    <row r="5517" spans="1:3" x14ac:dyDescent="0.25">
      <c r="A5517" s="48" t="s">
        <v>18085</v>
      </c>
      <c r="B5517" t="s">
        <v>21750</v>
      </c>
      <c r="C5517">
        <v>0</v>
      </c>
    </row>
    <row r="5518" spans="1:3" x14ac:dyDescent="0.25">
      <c r="A5518" s="48" t="s">
        <v>18087</v>
      </c>
      <c r="B5518" t="s">
        <v>21751</v>
      </c>
      <c r="C5518">
        <v>1</v>
      </c>
    </row>
    <row r="5519" spans="1:3" x14ac:dyDescent="0.25">
      <c r="A5519" s="48" t="s">
        <v>307</v>
      </c>
      <c r="B5519" t="s">
        <v>308</v>
      </c>
      <c r="C5519">
        <v>0</v>
      </c>
    </row>
    <row r="5520" spans="1:3" x14ac:dyDescent="0.25">
      <c r="A5520" s="48" t="s">
        <v>15861</v>
      </c>
      <c r="B5520" t="s">
        <v>21752</v>
      </c>
      <c r="C5520">
        <v>0</v>
      </c>
    </row>
    <row r="5521" spans="1:3" x14ac:dyDescent="0.25">
      <c r="A5521" s="48" t="s">
        <v>14646</v>
      </c>
      <c r="B5521" t="s">
        <v>14647</v>
      </c>
      <c r="C5521">
        <v>0</v>
      </c>
    </row>
    <row r="5522" spans="1:3" x14ac:dyDescent="0.25">
      <c r="A5522" s="48" t="s">
        <v>4848</v>
      </c>
      <c r="B5522" t="s">
        <v>4849</v>
      </c>
      <c r="C5522">
        <v>0</v>
      </c>
    </row>
    <row r="5523" spans="1:3" x14ac:dyDescent="0.25">
      <c r="A5523" s="48" t="s">
        <v>7796</v>
      </c>
      <c r="B5523" t="s">
        <v>21753</v>
      </c>
      <c r="C5523">
        <v>0</v>
      </c>
    </row>
    <row r="5524" spans="1:3" x14ac:dyDescent="0.25">
      <c r="A5524" s="48" t="s">
        <v>18636</v>
      </c>
      <c r="B5524" t="s">
        <v>18637</v>
      </c>
      <c r="C5524">
        <v>0</v>
      </c>
    </row>
    <row r="5525" spans="1:3" x14ac:dyDescent="0.25">
      <c r="A5525" s="48" t="s">
        <v>4509</v>
      </c>
      <c r="B5525" t="s">
        <v>4510</v>
      </c>
      <c r="C5525">
        <v>0</v>
      </c>
    </row>
    <row r="5526" spans="1:3" x14ac:dyDescent="0.25">
      <c r="A5526" s="48" t="s">
        <v>17973</v>
      </c>
      <c r="B5526" t="s">
        <v>21754</v>
      </c>
      <c r="C5526">
        <v>0</v>
      </c>
    </row>
    <row r="5527" spans="1:3" x14ac:dyDescent="0.25">
      <c r="A5527" s="48" t="s">
        <v>17915</v>
      </c>
      <c r="B5527" t="s">
        <v>21755</v>
      </c>
      <c r="C5527">
        <v>0</v>
      </c>
    </row>
    <row r="5528" spans="1:3" x14ac:dyDescent="0.25">
      <c r="A5528" s="48" t="s">
        <v>4511</v>
      </c>
      <c r="B5528" t="s">
        <v>4512</v>
      </c>
      <c r="C5528">
        <v>1</v>
      </c>
    </row>
    <row r="5529" spans="1:3" x14ac:dyDescent="0.25">
      <c r="A5529" s="48" t="s">
        <v>4513</v>
      </c>
      <c r="B5529" t="s">
        <v>4514</v>
      </c>
      <c r="C5529">
        <v>0</v>
      </c>
    </row>
    <row r="5530" spans="1:3" x14ac:dyDescent="0.25">
      <c r="A5530" s="48" t="s">
        <v>4374</v>
      </c>
      <c r="B5530" t="s">
        <v>4375</v>
      </c>
      <c r="C5530">
        <v>0</v>
      </c>
    </row>
    <row r="5531" spans="1:3" x14ac:dyDescent="0.25">
      <c r="A5531" s="48" t="s">
        <v>4364</v>
      </c>
      <c r="B5531" t="s">
        <v>4365</v>
      </c>
      <c r="C5531">
        <v>0</v>
      </c>
    </row>
    <row r="5532" spans="1:3" x14ac:dyDescent="0.25">
      <c r="A5532" s="48" t="s">
        <v>4366</v>
      </c>
      <c r="B5532" t="s">
        <v>4367</v>
      </c>
      <c r="C5532">
        <v>0</v>
      </c>
    </row>
    <row r="5533" spans="1:3" x14ac:dyDescent="0.25">
      <c r="A5533" s="48" t="s">
        <v>4372</v>
      </c>
      <c r="B5533" t="s">
        <v>4373</v>
      </c>
      <c r="C5533">
        <v>0</v>
      </c>
    </row>
    <row r="5534" spans="1:3" x14ac:dyDescent="0.25">
      <c r="A5534" s="48" t="s">
        <v>4378</v>
      </c>
      <c r="B5534" t="s">
        <v>4379</v>
      </c>
      <c r="C5534">
        <v>0</v>
      </c>
    </row>
    <row r="5535" spans="1:3" x14ac:dyDescent="0.25">
      <c r="A5535" s="48" t="s">
        <v>19633</v>
      </c>
      <c r="B5535" t="s">
        <v>19634</v>
      </c>
      <c r="C5535">
        <v>9</v>
      </c>
    </row>
    <row r="5536" spans="1:3" x14ac:dyDescent="0.25">
      <c r="A5536" s="48" t="s">
        <v>19625</v>
      </c>
      <c r="B5536" t="s">
        <v>19626</v>
      </c>
      <c r="C5536">
        <v>9</v>
      </c>
    </row>
    <row r="5537" spans="1:3" x14ac:dyDescent="0.25">
      <c r="A5537" s="48" t="s">
        <v>19613</v>
      </c>
      <c r="B5537" t="s">
        <v>21756</v>
      </c>
      <c r="C5537">
        <v>20</v>
      </c>
    </row>
    <row r="5538" spans="1:3" x14ac:dyDescent="0.25">
      <c r="A5538" s="48" t="s">
        <v>19623</v>
      </c>
      <c r="B5538" t="s">
        <v>19624</v>
      </c>
      <c r="C5538">
        <v>30</v>
      </c>
    </row>
    <row r="5539" spans="1:3" x14ac:dyDescent="0.25">
      <c r="A5539" s="48" t="s">
        <v>19635</v>
      </c>
      <c r="B5539" t="s">
        <v>19636</v>
      </c>
      <c r="C5539">
        <v>19</v>
      </c>
    </row>
    <row r="5540" spans="1:3" x14ac:dyDescent="0.25">
      <c r="A5540" s="48" t="s">
        <v>19615</v>
      </c>
      <c r="B5540" t="s">
        <v>19616</v>
      </c>
      <c r="C5540">
        <v>25</v>
      </c>
    </row>
    <row r="5541" spans="1:3" x14ac:dyDescent="0.25">
      <c r="A5541" s="48" t="s">
        <v>19631</v>
      </c>
      <c r="B5541" t="s">
        <v>19632</v>
      </c>
      <c r="C5541">
        <v>16</v>
      </c>
    </row>
    <row r="5542" spans="1:3" x14ac:dyDescent="0.25">
      <c r="A5542" s="48" t="s">
        <v>19637</v>
      </c>
      <c r="B5542" t="s">
        <v>19638</v>
      </c>
      <c r="C5542">
        <v>5</v>
      </c>
    </row>
    <row r="5543" spans="1:3" x14ac:dyDescent="0.25">
      <c r="A5543" s="48" t="s">
        <v>19627</v>
      </c>
      <c r="B5543" t="s">
        <v>19628</v>
      </c>
      <c r="C5543">
        <v>5</v>
      </c>
    </row>
    <row r="5544" spans="1:3" x14ac:dyDescent="0.25">
      <c r="A5544" s="48" t="s">
        <v>19621</v>
      </c>
      <c r="B5544" t="s">
        <v>19622</v>
      </c>
      <c r="C5544">
        <v>12</v>
      </c>
    </row>
    <row r="5545" spans="1:3" x14ac:dyDescent="0.25">
      <c r="A5545" s="48" t="s">
        <v>19617</v>
      </c>
      <c r="B5545" t="s">
        <v>19618</v>
      </c>
      <c r="C5545">
        <v>27</v>
      </c>
    </row>
    <row r="5546" spans="1:3" x14ac:dyDescent="0.25">
      <c r="A5546" s="48" t="s">
        <v>19629</v>
      </c>
      <c r="B5546" t="s">
        <v>19630</v>
      </c>
      <c r="C5546">
        <v>17</v>
      </c>
    </row>
    <row r="5547" spans="1:3" x14ac:dyDescent="0.25">
      <c r="A5547" s="48" t="s">
        <v>19619</v>
      </c>
      <c r="B5547" t="s">
        <v>21757</v>
      </c>
      <c r="C5547">
        <v>4</v>
      </c>
    </row>
    <row r="5548" spans="1:3" x14ac:dyDescent="0.25">
      <c r="A5548" s="48" t="s">
        <v>16602</v>
      </c>
      <c r="B5548" t="s">
        <v>16603</v>
      </c>
      <c r="C5548">
        <v>0</v>
      </c>
    </row>
    <row r="5549" spans="1:3" x14ac:dyDescent="0.25">
      <c r="A5549" s="48" t="s">
        <v>16600</v>
      </c>
      <c r="B5549" t="s">
        <v>16601</v>
      </c>
      <c r="C5549">
        <v>0</v>
      </c>
    </row>
    <row r="5550" spans="1:3" x14ac:dyDescent="0.25">
      <c r="A5550" s="48" t="s">
        <v>23</v>
      </c>
      <c r="B5550" t="s">
        <v>24</v>
      </c>
      <c r="C5550">
        <v>9</v>
      </c>
    </row>
    <row r="5551" spans="1:3" x14ac:dyDescent="0.25">
      <c r="A5551" s="48" t="s">
        <v>467</v>
      </c>
      <c r="B5551" t="s">
        <v>468</v>
      </c>
      <c r="C5551">
        <v>6</v>
      </c>
    </row>
    <row r="5552" spans="1:3" x14ac:dyDescent="0.25">
      <c r="A5552" s="48" t="s">
        <v>1369</v>
      </c>
      <c r="B5552" t="s">
        <v>1370</v>
      </c>
      <c r="C5552">
        <v>3</v>
      </c>
    </row>
    <row r="5553" spans="1:3" x14ac:dyDescent="0.25">
      <c r="A5553" s="48" t="s">
        <v>14177</v>
      </c>
      <c r="B5553" t="s">
        <v>14178</v>
      </c>
      <c r="C5553">
        <v>0</v>
      </c>
    </row>
    <row r="5554" spans="1:3" x14ac:dyDescent="0.25">
      <c r="A5554" s="48" t="s">
        <v>14155</v>
      </c>
      <c r="B5554" t="s">
        <v>14156</v>
      </c>
      <c r="C5554">
        <v>0</v>
      </c>
    </row>
    <row r="5555" spans="1:3" x14ac:dyDescent="0.25">
      <c r="A5555" s="48" t="s">
        <v>1145</v>
      </c>
      <c r="B5555" t="s">
        <v>1146</v>
      </c>
      <c r="C5555">
        <v>10</v>
      </c>
    </row>
    <row r="5556" spans="1:3" x14ac:dyDescent="0.25">
      <c r="A5556" s="48" t="s">
        <v>14183</v>
      </c>
      <c r="B5556" t="s">
        <v>14184</v>
      </c>
      <c r="C5556">
        <v>1</v>
      </c>
    </row>
    <row r="5557" spans="1:3" x14ac:dyDescent="0.25">
      <c r="A5557" s="48" t="s">
        <v>14189</v>
      </c>
      <c r="B5557" t="s">
        <v>14190</v>
      </c>
      <c r="C5557">
        <v>2</v>
      </c>
    </row>
    <row r="5558" spans="1:3" x14ac:dyDescent="0.25">
      <c r="A5558" s="48" t="s">
        <v>157</v>
      </c>
      <c r="B5558" t="s">
        <v>158</v>
      </c>
      <c r="C5558">
        <v>1</v>
      </c>
    </row>
    <row r="5559" spans="1:3" x14ac:dyDescent="0.25">
      <c r="A5559" s="48" t="s">
        <v>1007</v>
      </c>
      <c r="B5559" t="s">
        <v>1008</v>
      </c>
      <c r="C5559">
        <v>4</v>
      </c>
    </row>
    <row r="5560" spans="1:3" x14ac:dyDescent="0.25">
      <c r="A5560" s="48" t="s">
        <v>14149</v>
      </c>
      <c r="B5560" t="s">
        <v>14150</v>
      </c>
      <c r="C5560">
        <v>4</v>
      </c>
    </row>
    <row r="5561" spans="1:3" x14ac:dyDescent="0.25">
      <c r="A5561" s="48" t="s">
        <v>1599</v>
      </c>
      <c r="B5561" t="s">
        <v>1600</v>
      </c>
      <c r="C5561">
        <v>2</v>
      </c>
    </row>
    <row r="5562" spans="1:3" x14ac:dyDescent="0.25">
      <c r="A5562" s="48" t="s">
        <v>947</v>
      </c>
      <c r="B5562" t="s">
        <v>948</v>
      </c>
      <c r="C5562">
        <v>4</v>
      </c>
    </row>
    <row r="5563" spans="1:3" x14ac:dyDescent="0.25">
      <c r="A5563" s="48" t="s">
        <v>14167</v>
      </c>
      <c r="B5563" t="s">
        <v>14168</v>
      </c>
      <c r="C5563">
        <v>6</v>
      </c>
    </row>
    <row r="5564" spans="1:3" x14ac:dyDescent="0.25">
      <c r="A5564" s="48" t="s">
        <v>75</v>
      </c>
      <c r="B5564" t="s">
        <v>76</v>
      </c>
      <c r="C5564">
        <v>2</v>
      </c>
    </row>
    <row r="5565" spans="1:3" x14ac:dyDescent="0.25">
      <c r="A5565" s="48" t="s">
        <v>10123</v>
      </c>
      <c r="B5565" t="s">
        <v>10124</v>
      </c>
      <c r="C5565">
        <v>0</v>
      </c>
    </row>
    <row r="5566" spans="1:3" x14ac:dyDescent="0.25">
      <c r="A5566" s="48" t="s">
        <v>17448</v>
      </c>
      <c r="B5566" t="s">
        <v>21758</v>
      </c>
      <c r="C5566">
        <v>0</v>
      </c>
    </row>
    <row r="5567" spans="1:3" x14ac:dyDescent="0.25">
      <c r="A5567" s="48" t="s">
        <v>17780</v>
      </c>
      <c r="B5567" t="s">
        <v>17781</v>
      </c>
      <c r="C5567">
        <v>0</v>
      </c>
    </row>
    <row r="5568" spans="1:3" x14ac:dyDescent="0.25">
      <c r="A5568" s="48" t="s">
        <v>14744</v>
      </c>
      <c r="B5568" t="s">
        <v>21759</v>
      </c>
      <c r="C5568">
        <v>0</v>
      </c>
    </row>
    <row r="5569" spans="1:3" x14ac:dyDescent="0.25">
      <c r="A5569" s="48" t="s">
        <v>10920</v>
      </c>
      <c r="B5569" t="s">
        <v>10921</v>
      </c>
      <c r="C5569">
        <v>0</v>
      </c>
    </row>
    <row r="5570" spans="1:3" x14ac:dyDescent="0.25">
      <c r="A5570" s="48" t="s">
        <v>601</v>
      </c>
      <c r="B5570" t="s">
        <v>602</v>
      </c>
      <c r="C5570">
        <v>203</v>
      </c>
    </row>
    <row r="5571" spans="1:3" x14ac:dyDescent="0.25">
      <c r="A5571" s="48" t="s">
        <v>3855</v>
      </c>
      <c r="B5571" t="s">
        <v>3856</v>
      </c>
      <c r="C5571">
        <v>0</v>
      </c>
    </row>
    <row r="5572" spans="1:3" x14ac:dyDescent="0.25">
      <c r="A5572" s="48" t="s">
        <v>7176</v>
      </c>
      <c r="B5572" t="s">
        <v>7177</v>
      </c>
      <c r="C5572">
        <v>9</v>
      </c>
    </row>
    <row r="5573" spans="1:3" x14ac:dyDescent="0.25">
      <c r="A5573" s="48" t="s">
        <v>13500</v>
      </c>
      <c r="B5573" t="s">
        <v>13501</v>
      </c>
      <c r="C5573">
        <v>6</v>
      </c>
    </row>
    <row r="5574" spans="1:3" x14ac:dyDescent="0.25">
      <c r="A5574" s="48" t="s">
        <v>13468</v>
      </c>
      <c r="B5574" t="s">
        <v>21760</v>
      </c>
      <c r="C5574">
        <v>3</v>
      </c>
    </row>
    <row r="5575" spans="1:3" x14ac:dyDescent="0.25">
      <c r="A5575" s="48" t="s">
        <v>13496</v>
      </c>
      <c r="B5575" t="s">
        <v>13497</v>
      </c>
      <c r="C5575">
        <v>1</v>
      </c>
    </row>
    <row r="5576" spans="1:3" x14ac:dyDescent="0.25">
      <c r="A5576" s="48" t="s">
        <v>13506</v>
      </c>
      <c r="B5576" t="s">
        <v>13507</v>
      </c>
      <c r="C5576">
        <v>7</v>
      </c>
    </row>
    <row r="5577" spans="1:3" x14ac:dyDescent="0.25">
      <c r="A5577" s="48" t="s">
        <v>13504</v>
      </c>
      <c r="B5577" t="s">
        <v>13505</v>
      </c>
      <c r="C5577">
        <v>0</v>
      </c>
    </row>
    <row r="5578" spans="1:3" x14ac:dyDescent="0.25">
      <c r="A5578" s="48" t="s">
        <v>13474</v>
      </c>
      <c r="B5578" t="s">
        <v>13475</v>
      </c>
      <c r="C5578">
        <v>11</v>
      </c>
    </row>
    <row r="5579" spans="1:3" x14ac:dyDescent="0.25">
      <c r="A5579" s="48" t="s">
        <v>13464</v>
      </c>
      <c r="B5579" t="s">
        <v>13465</v>
      </c>
      <c r="C5579">
        <v>4</v>
      </c>
    </row>
    <row r="5580" spans="1:3" x14ac:dyDescent="0.25">
      <c r="A5580" s="48" t="s">
        <v>13466</v>
      </c>
      <c r="B5580" t="s">
        <v>13467</v>
      </c>
      <c r="C5580">
        <v>1</v>
      </c>
    </row>
    <row r="5581" spans="1:3" x14ac:dyDescent="0.25">
      <c r="A5581" s="48" t="s">
        <v>13472</v>
      </c>
      <c r="B5581" t="s">
        <v>13473</v>
      </c>
      <c r="C5581">
        <v>0</v>
      </c>
    </row>
    <row r="5582" spans="1:3" x14ac:dyDescent="0.25">
      <c r="A5582" s="48" t="s">
        <v>13488</v>
      </c>
      <c r="B5582" t="s">
        <v>13489</v>
      </c>
      <c r="C5582">
        <v>4</v>
      </c>
    </row>
    <row r="5583" spans="1:3" x14ac:dyDescent="0.25">
      <c r="A5583" s="48" t="s">
        <v>13482</v>
      </c>
      <c r="B5583" t="s">
        <v>13483</v>
      </c>
      <c r="C5583">
        <v>7</v>
      </c>
    </row>
    <row r="5584" spans="1:3" x14ac:dyDescent="0.25">
      <c r="A5584" s="48" t="s">
        <v>13478</v>
      </c>
      <c r="B5584" t="s">
        <v>13479</v>
      </c>
      <c r="C5584">
        <v>2</v>
      </c>
    </row>
    <row r="5585" spans="1:3" x14ac:dyDescent="0.25">
      <c r="A5585" s="48" t="s">
        <v>13480</v>
      </c>
      <c r="B5585" t="s">
        <v>13481</v>
      </c>
      <c r="C5585">
        <v>1</v>
      </c>
    </row>
    <row r="5586" spans="1:3" x14ac:dyDescent="0.25">
      <c r="A5586" s="48" t="s">
        <v>13494</v>
      </c>
      <c r="B5586" t="s">
        <v>13495</v>
      </c>
      <c r="C5586">
        <v>1</v>
      </c>
    </row>
    <row r="5587" spans="1:3" x14ac:dyDescent="0.25">
      <c r="A5587" s="48" t="s">
        <v>13476</v>
      </c>
      <c r="B5587" t="s">
        <v>13477</v>
      </c>
      <c r="C5587">
        <v>1</v>
      </c>
    </row>
    <row r="5588" spans="1:3" x14ac:dyDescent="0.25">
      <c r="A5588" s="48" t="s">
        <v>13462</v>
      </c>
      <c r="B5588" t="s">
        <v>13463</v>
      </c>
      <c r="C5588">
        <v>4</v>
      </c>
    </row>
    <row r="5589" spans="1:3" x14ac:dyDescent="0.25">
      <c r="A5589" s="48" t="s">
        <v>13492</v>
      </c>
      <c r="B5589" t="s">
        <v>13493</v>
      </c>
      <c r="C5589">
        <v>2</v>
      </c>
    </row>
    <row r="5590" spans="1:3" x14ac:dyDescent="0.25">
      <c r="A5590" s="48" t="s">
        <v>13484</v>
      </c>
      <c r="B5590" t="s">
        <v>13485</v>
      </c>
      <c r="C5590">
        <v>6</v>
      </c>
    </row>
    <row r="5591" spans="1:3" x14ac:dyDescent="0.25">
      <c r="A5591" s="48" t="s">
        <v>13502</v>
      </c>
      <c r="B5591" t="s">
        <v>13503</v>
      </c>
      <c r="C5591">
        <v>6</v>
      </c>
    </row>
    <row r="5592" spans="1:3" x14ac:dyDescent="0.25">
      <c r="A5592" s="48" t="s">
        <v>13470</v>
      </c>
      <c r="B5592" t="s">
        <v>13471</v>
      </c>
      <c r="C5592">
        <v>3</v>
      </c>
    </row>
    <row r="5593" spans="1:3" x14ac:dyDescent="0.25">
      <c r="A5593" s="48" t="s">
        <v>13498</v>
      </c>
      <c r="B5593" t="s">
        <v>13499</v>
      </c>
      <c r="C5593">
        <v>6</v>
      </c>
    </row>
    <row r="5594" spans="1:3" x14ac:dyDescent="0.25">
      <c r="A5594" s="48" t="s">
        <v>13486</v>
      </c>
      <c r="B5594" t="s">
        <v>21761</v>
      </c>
      <c r="C5594">
        <v>3</v>
      </c>
    </row>
    <row r="5595" spans="1:3" x14ac:dyDescent="0.25">
      <c r="A5595" s="48" t="s">
        <v>1135</v>
      </c>
      <c r="B5595" t="s">
        <v>1136</v>
      </c>
      <c r="C5595">
        <v>6</v>
      </c>
    </row>
    <row r="5596" spans="1:3" x14ac:dyDescent="0.25">
      <c r="A5596" s="48" t="s">
        <v>13490</v>
      </c>
      <c r="B5596" t="s">
        <v>13491</v>
      </c>
      <c r="C5596">
        <v>6</v>
      </c>
    </row>
    <row r="5597" spans="1:3" x14ac:dyDescent="0.25">
      <c r="A5597" s="48" t="s">
        <v>3491</v>
      </c>
      <c r="B5597" t="s">
        <v>3492</v>
      </c>
      <c r="C5597">
        <v>3</v>
      </c>
    </row>
    <row r="5598" spans="1:3" x14ac:dyDescent="0.25">
      <c r="A5598" s="48" t="s">
        <v>12141</v>
      </c>
      <c r="B5598" t="s">
        <v>12142</v>
      </c>
      <c r="C5598">
        <v>4</v>
      </c>
    </row>
    <row r="5599" spans="1:3" x14ac:dyDescent="0.25">
      <c r="A5599" s="48" t="s">
        <v>6109</v>
      </c>
      <c r="B5599" t="s">
        <v>6110</v>
      </c>
      <c r="C5599">
        <v>0</v>
      </c>
    </row>
    <row r="5600" spans="1:3" x14ac:dyDescent="0.25">
      <c r="A5600" s="48" t="s">
        <v>1914</v>
      </c>
      <c r="B5600" t="s">
        <v>1915</v>
      </c>
      <c r="C5600">
        <v>19</v>
      </c>
    </row>
    <row r="5601" spans="1:3" x14ac:dyDescent="0.25">
      <c r="A5601" s="48" t="s">
        <v>7174</v>
      </c>
      <c r="B5601" t="s">
        <v>7175</v>
      </c>
      <c r="C5601">
        <v>0</v>
      </c>
    </row>
    <row r="5602" spans="1:3" x14ac:dyDescent="0.25">
      <c r="A5602" s="48" t="s">
        <v>7188</v>
      </c>
      <c r="B5602" t="s">
        <v>7189</v>
      </c>
      <c r="C5602">
        <v>12</v>
      </c>
    </row>
    <row r="5603" spans="1:3" x14ac:dyDescent="0.25">
      <c r="A5603" s="48" t="s">
        <v>11998</v>
      </c>
      <c r="B5603" t="s">
        <v>11999</v>
      </c>
      <c r="C5603">
        <v>0</v>
      </c>
    </row>
    <row r="5604" spans="1:3" x14ac:dyDescent="0.25">
      <c r="A5604" s="48" t="s">
        <v>15727</v>
      </c>
      <c r="B5604" t="s">
        <v>15728</v>
      </c>
      <c r="C5604">
        <v>0</v>
      </c>
    </row>
    <row r="5605" spans="1:3" x14ac:dyDescent="0.25">
      <c r="A5605" s="48" t="s">
        <v>15729</v>
      </c>
      <c r="B5605" t="s">
        <v>15730</v>
      </c>
      <c r="C5605">
        <v>0</v>
      </c>
    </row>
    <row r="5606" spans="1:3" x14ac:dyDescent="0.25">
      <c r="A5606" s="48" t="s">
        <v>11420</v>
      </c>
      <c r="B5606" t="s">
        <v>21762</v>
      </c>
      <c r="C5606">
        <v>1</v>
      </c>
    </row>
    <row r="5607" spans="1:3" x14ac:dyDescent="0.25">
      <c r="A5607" s="48" t="s">
        <v>7178</v>
      </c>
      <c r="B5607" t="s">
        <v>21763</v>
      </c>
      <c r="C5607">
        <v>1</v>
      </c>
    </row>
    <row r="5608" spans="1:3" x14ac:dyDescent="0.25">
      <c r="A5608" s="48" t="s">
        <v>7182</v>
      </c>
      <c r="B5608" t="s">
        <v>7183</v>
      </c>
      <c r="C5608">
        <v>0</v>
      </c>
    </row>
    <row r="5609" spans="1:3" x14ac:dyDescent="0.25">
      <c r="A5609" s="48" t="s">
        <v>7180</v>
      </c>
      <c r="B5609" t="s">
        <v>7181</v>
      </c>
      <c r="C5609">
        <v>6</v>
      </c>
    </row>
    <row r="5610" spans="1:3" x14ac:dyDescent="0.25">
      <c r="A5610" s="48" t="s">
        <v>1775</v>
      </c>
      <c r="B5610" t="s">
        <v>1776</v>
      </c>
      <c r="C5610">
        <v>7</v>
      </c>
    </row>
    <row r="5611" spans="1:3" x14ac:dyDescent="0.25">
      <c r="A5611" s="48" t="s">
        <v>7186</v>
      </c>
      <c r="B5611" t="s">
        <v>7187</v>
      </c>
      <c r="C5611">
        <v>24</v>
      </c>
    </row>
    <row r="5612" spans="1:3" x14ac:dyDescent="0.25">
      <c r="A5612" s="48" t="s">
        <v>7172</v>
      </c>
      <c r="B5612" t="s">
        <v>7173</v>
      </c>
      <c r="C5612">
        <v>0</v>
      </c>
    </row>
    <row r="5613" spans="1:3" x14ac:dyDescent="0.25">
      <c r="A5613" s="48" t="s">
        <v>7184</v>
      </c>
      <c r="B5613" t="s">
        <v>7185</v>
      </c>
      <c r="C5613">
        <v>0</v>
      </c>
    </row>
    <row r="5614" spans="1:3" x14ac:dyDescent="0.25">
      <c r="A5614" s="48" t="s">
        <v>884</v>
      </c>
      <c r="B5614" t="s">
        <v>885</v>
      </c>
      <c r="C5614">
        <v>312</v>
      </c>
    </row>
    <row r="5615" spans="1:3" x14ac:dyDescent="0.25">
      <c r="A5615" s="48" t="s">
        <v>1549</v>
      </c>
      <c r="B5615" t="s">
        <v>1550</v>
      </c>
      <c r="C5615">
        <v>547</v>
      </c>
    </row>
    <row r="5616" spans="1:3" x14ac:dyDescent="0.25">
      <c r="A5616" s="48" t="s">
        <v>1061</v>
      </c>
      <c r="B5616" t="s">
        <v>1062</v>
      </c>
      <c r="C5616">
        <v>19</v>
      </c>
    </row>
    <row r="5617" spans="1:3" x14ac:dyDescent="0.25">
      <c r="A5617" s="48" t="s">
        <v>1787</v>
      </c>
      <c r="B5617" t="s">
        <v>1788</v>
      </c>
      <c r="C5617">
        <v>16</v>
      </c>
    </row>
    <row r="5618" spans="1:3" x14ac:dyDescent="0.25">
      <c r="A5618" s="48" t="s">
        <v>15986</v>
      </c>
      <c r="B5618" t="s">
        <v>15987</v>
      </c>
      <c r="C5618">
        <v>2</v>
      </c>
    </row>
    <row r="5619" spans="1:3" x14ac:dyDescent="0.25">
      <c r="A5619" s="48" t="s">
        <v>11896</v>
      </c>
      <c r="B5619" t="s">
        <v>11897</v>
      </c>
      <c r="C5619">
        <v>0</v>
      </c>
    </row>
    <row r="5620" spans="1:3" x14ac:dyDescent="0.25">
      <c r="A5620" s="48" t="s">
        <v>15349</v>
      </c>
      <c r="B5620" t="s">
        <v>21764</v>
      </c>
      <c r="C5620">
        <v>0</v>
      </c>
    </row>
    <row r="5621" spans="1:3" x14ac:dyDescent="0.25">
      <c r="A5621" s="48" t="s">
        <v>4936</v>
      </c>
      <c r="B5621" t="s">
        <v>21765</v>
      </c>
      <c r="C5621">
        <v>0</v>
      </c>
    </row>
    <row r="5622" spans="1:3" x14ac:dyDescent="0.25">
      <c r="A5622" s="48" t="s">
        <v>5187</v>
      </c>
      <c r="B5622" t="s">
        <v>5188</v>
      </c>
      <c r="C5622">
        <v>3</v>
      </c>
    </row>
    <row r="5623" spans="1:3" x14ac:dyDescent="0.25">
      <c r="A5623" s="48" t="s">
        <v>5171</v>
      </c>
      <c r="B5623" t="s">
        <v>21766</v>
      </c>
      <c r="C5623">
        <v>5</v>
      </c>
    </row>
    <row r="5624" spans="1:3" x14ac:dyDescent="0.25">
      <c r="A5624" s="48" t="s">
        <v>14483</v>
      </c>
      <c r="B5624" t="s">
        <v>21767</v>
      </c>
      <c r="C5624">
        <v>6</v>
      </c>
    </row>
    <row r="5625" spans="1:3" x14ac:dyDescent="0.25">
      <c r="A5625" s="48" t="s">
        <v>13732</v>
      </c>
      <c r="B5625" t="s">
        <v>21768</v>
      </c>
      <c r="C5625">
        <v>0</v>
      </c>
    </row>
    <row r="5626" spans="1:3" x14ac:dyDescent="0.25">
      <c r="A5626" s="48" t="s">
        <v>3388</v>
      </c>
      <c r="B5626" t="s">
        <v>3389</v>
      </c>
      <c r="C5626">
        <v>0</v>
      </c>
    </row>
    <row r="5627" spans="1:3" x14ac:dyDescent="0.25">
      <c r="A5627" s="48" t="s">
        <v>7718</v>
      </c>
      <c r="B5627" t="s">
        <v>7719</v>
      </c>
      <c r="C5627">
        <v>0</v>
      </c>
    </row>
    <row r="5628" spans="1:3" x14ac:dyDescent="0.25">
      <c r="A5628" s="48" t="s">
        <v>10612</v>
      </c>
      <c r="B5628" t="s">
        <v>10613</v>
      </c>
      <c r="C5628">
        <v>3</v>
      </c>
    </row>
    <row r="5629" spans="1:3" x14ac:dyDescent="0.25">
      <c r="A5629" s="48" t="s">
        <v>13921</v>
      </c>
      <c r="B5629" t="s">
        <v>13922</v>
      </c>
      <c r="C5629">
        <v>0</v>
      </c>
    </row>
    <row r="5630" spans="1:3" x14ac:dyDescent="0.25">
      <c r="A5630" s="48" t="s">
        <v>13919</v>
      </c>
      <c r="B5630" t="s">
        <v>13920</v>
      </c>
      <c r="C5630">
        <v>0</v>
      </c>
    </row>
    <row r="5631" spans="1:3" x14ac:dyDescent="0.25">
      <c r="A5631" s="48" t="s">
        <v>13925</v>
      </c>
      <c r="B5631" t="s">
        <v>13926</v>
      </c>
      <c r="C5631">
        <v>5</v>
      </c>
    </row>
    <row r="5632" spans="1:3" x14ac:dyDescent="0.25">
      <c r="A5632" s="48" t="s">
        <v>13923</v>
      </c>
      <c r="B5632" t="s">
        <v>13924</v>
      </c>
      <c r="C5632">
        <v>0</v>
      </c>
    </row>
    <row r="5633" spans="1:3" x14ac:dyDescent="0.25">
      <c r="A5633" s="48" t="s">
        <v>3183</v>
      </c>
      <c r="B5633" t="s">
        <v>3184</v>
      </c>
      <c r="C5633">
        <v>0</v>
      </c>
    </row>
    <row r="5634" spans="1:3" x14ac:dyDescent="0.25">
      <c r="A5634" s="48" t="s">
        <v>3175</v>
      </c>
      <c r="B5634" t="s">
        <v>3176</v>
      </c>
      <c r="C5634">
        <v>0</v>
      </c>
    </row>
    <row r="5635" spans="1:3" x14ac:dyDescent="0.25">
      <c r="A5635" s="48" t="s">
        <v>14598</v>
      </c>
      <c r="B5635" t="s">
        <v>14599</v>
      </c>
      <c r="C5635">
        <v>0</v>
      </c>
    </row>
    <row r="5636" spans="1:3" x14ac:dyDescent="0.25">
      <c r="A5636" s="48" t="s">
        <v>13572</v>
      </c>
      <c r="B5636" t="s">
        <v>13573</v>
      </c>
      <c r="C5636">
        <v>14</v>
      </c>
    </row>
    <row r="5637" spans="1:3" x14ac:dyDescent="0.25">
      <c r="A5637" s="48" t="s">
        <v>13574</v>
      </c>
      <c r="B5637" t="s">
        <v>22961</v>
      </c>
      <c r="C5637">
        <v>26</v>
      </c>
    </row>
    <row r="5638" spans="1:3" x14ac:dyDescent="0.25">
      <c r="A5638" s="48" t="s">
        <v>12425</v>
      </c>
      <c r="B5638" t="s">
        <v>12426</v>
      </c>
      <c r="C5638">
        <v>0</v>
      </c>
    </row>
    <row r="5639" spans="1:3" x14ac:dyDescent="0.25">
      <c r="A5639" s="48" t="s">
        <v>13712</v>
      </c>
      <c r="B5639" t="s">
        <v>21769</v>
      </c>
      <c r="C5639">
        <v>0</v>
      </c>
    </row>
    <row r="5640" spans="1:3" x14ac:dyDescent="0.25">
      <c r="A5640" s="48" t="s">
        <v>13710</v>
      </c>
      <c r="B5640" t="s">
        <v>21770</v>
      </c>
      <c r="C5640">
        <v>0</v>
      </c>
    </row>
    <row r="5641" spans="1:3" x14ac:dyDescent="0.25">
      <c r="A5641" s="48" t="s">
        <v>13716</v>
      </c>
      <c r="B5641" t="s">
        <v>13717</v>
      </c>
      <c r="C5641">
        <v>12</v>
      </c>
    </row>
    <row r="5642" spans="1:3" x14ac:dyDescent="0.25">
      <c r="A5642" s="48" t="s">
        <v>1419</v>
      </c>
      <c r="B5642" t="s">
        <v>1420</v>
      </c>
      <c r="C5642">
        <v>0</v>
      </c>
    </row>
    <row r="5643" spans="1:3" x14ac:dyDescent="0.25">
      <c r="A5643" s="48" t="s">
        <v>12970</v>
      </c>
      <c r="B5643" t="s">
        <v>12971</v>
      </c>
      <c r="C5643">
        <v>0</v>
      </c>
    </row>
    <row r="5644" spans="1:3" x14ac:dyDescent="0.25">
      <c r="A5644" s="48" t="s">
        <v>1870</v>
      </c>
      <c r="B5644" t="s">
        <v>1871</v>
      </c>
      <c r="C5644">
        <v>25</v>
      </c>
    </row>
    <row r="5645" spans="1:3" x14ac:dyDescent="0.25">
      <c r="A5645" s="48" t="s">
        <v>10121</v>
      </c>
      <c r="B5645" t="s">
        <v>10122</v>
      </c>
      <c r="C5645">
        <v>0</v>
      </c>
    </row>
    <row r="5646" spans="1:3" x14ac:dyDescent="0.25">
      <c r="A5646" s="48" t="s">
        <v>16922</v>
      </c>
      <c r="B5646" t="s">
        <v>21771</v>
      </c>
      <c r="C5646">
        <v>0</v>
      </c>
    </row>
    <row r="5647" spans="1:3" x14ac:dyDescent="0.25">
      <c r="A5647" s="48" t="s">
        <v>15961</v>
      </c>
      <c r="B5647" t="s">
        <v>15962</v>
      </c>
      <c r="C5647">
        <v>0</v>
      </c>
    </row>
    <row r="5648" spans="1:3" x14ac:dyDescent="0.25">
      <c r="A5648" s="48" t="s">
        <v>1633</v>
      </c>
      <c r="B5648" t="s">
        <v>1634</v>
      </c>
      <c r="C5648">
        <v>0</v>
      </c>
    </row>
    <row r="5649" spans="1:3" x14ac:dyDescent="0.25">
      <c r="A5649" s="48" t="s">
        <v>3999</v>
      </c>
      <c r="B5649" t="s">
        <v>21772</v>
      </c>
      <c r="C5649">
        <v>1</v>
      </c>
    </row>
    <row r="5650" spans="1:3" x14ac:dyDescent="0.25">
      <c r="A5650" s="48" t="s">
        <v>3997</v>
      </c>
      <c r="B5650" t="s">
        <v>21773</v>
      </c>
      <c r="C5650">
        <v>0</v>
      </c>
    </row>
    <row r="5651" spans="1:3" x14ac:dyDescent="0.25">
      <c r="A5651" s="48" t="s">
        <v>18215</v>
      </c>
      <c r="B5651" t="s">
        <v>18216</v>
      </c>
      <c r="C5651">
        <v>0</v>
      </c>
    </row>
    <row r="5652" spans="1:3" x14ac:dyDescent="0.25">
      <c r="A5652" s="48" t="s">
        <v>18219</v>
      </c>
      <c r="B5652" t="s">
        <v>18220</v>
      </c>
      <c r="C5652">
        <v>0</v>
      </c>
    </row>
    <row r="5653" spans="1:3" x14ac:dyDescent="0.25">
      <c r="A5653" s="48" t="s">
        <v>18217</v>
      </c>
      <c r="B5653" t="s">
        <v>18218</v>
      </c>
      <c r="C5653">
        <v>0</v>
      </c>
    </row>
    <row r="5654" spans="1:3" x14ac:dyDescent="0.25">
      <c r="A5654" s="48" t="s">
        <v>18221</v>
      </c>
      <c r="B5654" t="s">
        <v>18222</v>
      </c>
      <c r="C5654">
        <v>0</v>
      </c>
    </row>
    <row r="5655" spans="1:3" x14ac:dyDescent="0.25">
      <c r="A5655" s="48" t="s">
        <v>6589</v>
      </c>
      <c r="B5655" t="s">
        <v>21774</v>
      </c>
      <c r="C5655">
        <v>0</v>
      </c>
    </row>
    <row r="5656" spans="1:3" x14ac:dyDescent="0.25">
      <c r="A5656" s="48" t="s">
        <v>19659</v>
      </c>
      <c r="B5656" t="s">
        <v>19658</v>
      </c>
      <c r="C5656">
        <v>27</v>
      </c>
    </row>
    <row r="5657" spans="1:3" x14ac:dyDescent="0.25">
      <c r="A5657" s="48" t="s">
        <v>12248</v>
      </c>
      <c r="B5657" t="s">
        <v>12249</v>
      </c>
      <c r="C5657">
        <v>0</v>
      </c>
    </row>
    <row r="5658" spans="1:3" x14ac:dyDescent="0.25">
      <c r="A5658" s="48" t="s">
        <v>12246</v>
      </c>
      <c r="B5658" t="s">
        <v>12247</v>
      </c>
      <c r="C5658">
        <v>0</v>
      </c>
    </row>
    <row r="5659" spans="1:3" x14ac:dyDescent="0.25">
      <c r="A5659" s="48" t="s">
        <v>6146</v>
      </c>
      <c r="B5659" t="s">
        <v>6147</v>
      </c>
      <c r="C5659">
        <v>2</v>
      </c>
    </row>
    <row r="5660" spans="1:3" x14ac:dyDescent="0.25">
      <c r="A5660" s="48" t="s">
        <v>10600</v>
      </c>
      <c r="B5660" t="s">
        <v>21775</v>
      </c>
      <c r="C5660">
        <v>0</v>
      </c>
    </row>
    <row r="5661" spans="1:3" x14ac:dyDescent="0.25">
      <c r="A5661" s="48" t="s">
        <v>10602</v>
      </c>
      <c r="B5661" t="s">
        <v>21776</v>
      </c>
      <c r="C5661">
        <v>9</v>
      </c>
    </row>
    <row r="5662" spans="1:3" x14ac:dyDescent="0.25">
      <c r="A5662" s="48" t="s">
        <v>1992</v>
      </c>
      <c r="B5662" t="s">
        <v>1993</v>
      </c>
      <c r="C5662">
        <v>15</v>
      </c>
    </row>
    <row r="5663" spans="1:3" x14ac:dyDescent="0.25">
      <c r="A5663" s="48" t="s">
        <v>1888</v>
      </c>
      <c r="B5663" t="s">
        <v>1889</v>
      </c>
      <c r="C5663">
        <v>11</v>
      </c>
    </row>
    <row r="5664" spans="1:3" x14ac:dyDescent="0.25">
      <c r="A5664" s="48" t="s">
        <v>3561</v>
      </c>
      <c r="B5664" t="s">
        <v>3562</v>
      </c>
      <c r="C5664">
        <v>0</v>
      </c>
    </row>
    <row r="5665" spans="1:3" x14ac:dyDescent="0.25">
      <c r="A5665" s="48" t="s">
        <v>15359</v>
      </c>
      <c r="B5665" t="s">
        <v>21777</v>
      </c>
      <c r="C5665">
        <v>0</v>
      </c>
    </row>
    <row r="5666" spans="1:3" x14ac:dyDescent="0.25">
      <c r="A5666" s="48" t="s">
        <v>11230</v>
      </c>
      <c r="B5666" t="s">
        <v>11231</v>
      </c>
      <c r="C5666">
        <v>0</v>
      </c>
    </row>
    <row r="5667" spans="1:3" x14ac:dyDescent="0.25">
      <c r="A5667" s="48" t="s">
        <v>11228</v>
      </c>
      <c r="B5667" t="s">
        <v>22962</v>
      </c>
      <c r="C5667">
        <v>0</v>
      </c>
    </row>
    <row r="5668" spans="1:3" x14ac:dyDescent="0.25">
      <c r="A5668" s="48" t="s">
        <v>11232</v>
      </c>
      <c r="B5668" t="s">
        <v>22963</v>
      </c>
      <c r="C5668">
        <v>0</v>
      </c>
    </row>
    <row r="5669" spans="1:3" x14ac:dyDescent="0.25">
      <c r="A5669" s="48" t="s">
        <v>763</v>
      </c>
      <c r="B5669" t="s">
        <v>764</v>
      </c>
      <c r="C5669">
        <v>0</v>
      </c>
    </row>
    <row r="5670" spans="1:3" x14ac:dyDescent="0.25">
      <c r="A5670" s="48" t="s">
        <v>1183</v>
      </c>
      <c r="B5670" t="s">
        <v>1184</v>
      </c>
      <c r="C5670">
        <v>168</v>
      </c>
    </row>
    <row r="5671" spans="1:3" x14ac:dyDescent="0.25">
      <c r="A5671" s="48" t="s">
        <v>1771</v>
      </c>
      <c r="B5671" t="s">
        <v>1772</v>
      </c>
      <c r="C5671">
        <v>3</v>
      </c>
    </row>
    <row r="5672" spans="1:3" x14ac:dyDescent="0.25">
      <c r="A5672" s="48" t="s">
        <v>1912</v>
      </c>
      <c r="B5672" t="s">
        <v>1913</v>
      </c>
      <c r="C5672">
        <v>19</v>
      </c>
    </row>
    <row r="5673" spans="1:3" x14ac:dyDescent="0.25">
      <c r="A5673" s="48" t="s">
        <v>22964</v>
      </c>
      <c r="B5673" t="s">
        <v>22965</v>
      </c>
      <c r="C5673">
        <v>0</v>
      </c>
    </row>
    <row r="5674" spans="1:3" x14ac:dyDescent="0.25">
      <c r="A5674" s="48" t="s">
        <v>22966</v>
      </c>
      <c r="B5674" t="s">
        <v>22967</v>
      </c>
      <c r="C5674">
        <v>0</v>
      </c>
    </row>
    <row r="5675" spans="1:3" x14ac:dyDescent="0.25">
      <c r="A5675" s="48" t="s">
        <v>22968</v>
      </c>
      <c r="B5675" t="s">
        <v>22969</v>
      </c>
      <c r="C5675">
        <v>0</v>
      </c>
    </row>
    <row r="5676" spans="1:3" x14ac:dyDescent="0.25">
      <c r="A5676" s="48" t="s">
        <v>1105</v>
      </c>
      <c r="B5676" t="s">
        <v>1106</v>
      </c>
      <c r="C5676">
        <v>58</v>
      </c>
    </row>
    <row r="5677" spans="1:3" x14ac:dyDescent="0.25">
      <c r="A5677" s="48" t="s">
        <v>325</v>
      </c>
      <c r="B5677" t="s">
        <v>326</v>
      </c>
      <c r="C5677">
        <v>2</v>
      </c>
    </row>
    <row r="5678" spans="1:3" x14ac:dyDescent="0.25">
      <c r="A5678" s="48" t="s">
        <v>4980</v>
      </c>
      <c r="B5678" t="s">
        <v>4981</v>
      </c>
      <c r="C5678">
        <v>0</v>
      </c>
    </row>
    <row r="5679" spans="1:3" x14ac:dyDescent="0.25">
      <c r="A5679" s="48" t="s">
        <v>515</v>
      </c>
      <c r="B5679" t="s">
        <v>516</v>
      </c>
      <c r="C5679">
        <v>0</v>
      </c>
    </row>
    <row r="5680" spans="1:3" x14ac:dyDescent="0.25">
      <c r="A5680" s="48" t="s">
        <v>197</v>
      </c>
      <c r="B5680" t="s">
        <v>198</v>
      </c>
      <c r="C5680">
        <v>5</v>
      </c>
    </row>
    <row r="5681" spans="1:3" x14ac:dyDescent="0.25">
      <c r="A5681" s="48" t="s">
        <v>4994</v>
      </c>
      <c r="B5681" t="s">
        <v>21778</v>
      </c>
      <c r="C5681">
        <v>3</v>
      </c>
    </row>
    <row r="5682" spans="1:3" x14ac:dyDescent="0.25">
      <c r="A5682" s="48" t="s">
        <v>4988</v>
      </c>
      <c r="B5682" t="s">
        <v>4989</v>
      </c>
      <c r="C5682">
        <v>0</v>
      </c>
    </row>
    <row r="5683" spans="1:3" x14ac:dyDescent="0.25">
      <c r="A5683" s="48" t="s">
        <v>4986</v>
      </c>
      <c r="B5683" t="s">
        <v>4987</v>
      </c>
      <c r="C5683">
        <v>0</v>
      </c>
    </row>
    <row r="5684" spans="1:3" x14ac:dyDescent="0.25">
      <c r="A5684" s="48" t="s">
        <v>4983</v>
      </c>
      <c r="B5684" t="s">
        <v>4984</v>
      </c>
      <c r="C5684">
        <v>3</v>
      </c>
    </row>
    <row r="5685" spans="1:3" x14ac:dyDescent="0.25">
      <c r="A5685" s="48" t="s">
        <v>19526</v>
      </c>
      <c r="B5685" t="s">
        <v>19527</v>
      </c>
      <c r="C5685">
        <v>0</v>
      </c>
    </row>
    <row r="5686" spans="1:3" x14ac:dyDescent="0.25">
      <c r="A5686" s="48" t="s">
        <v>19540</v>
      </c>
      <c r="B5686" t="s">
        <v>19541</v>
      </c>
      <c r="C5686">
        <v>2</v>
      </c>
    </row>
    <row r="5687" spans="1:3" x14ac:dyDescent="0.25">
      <c r="A5687" s="48" t="s">
        <v>19534</v>
      </c>
      <c r="B5687" t="s">
        <v>19535</v>
      </c>
      <c r="C5687">
        <v>0</v>
      </c>
    </row>
    <row r="5688" spans="1:3" x14ac:dyDescent="0.25">
      <c r="A5688" s="48" t="s">
        <v>1653</v>
      </c>
      <c r="B5688" t="s">
        <v>1654</v>
      </c>
      <c r="C5688">
        <v>22</v>
      </c>
    </row>
    <row r="5689" spans="1:3" x14ac:dyDescent="0.25">
      <c r="A5689" s="48" t="s">
        <v>15905</v>
      </c>
      <c r="B5689" t="s">
        <v>15906</v>
      </c>
      <c r="C5689">
        <v>0</v>
      </c>
    </row>
    <row r="5690" spans="1:3" x14ac:dyDescent="0.25">
      <c r="A5690" s="48" t="s">
        <v>73</v>
      </c>
      <c r="B5690" t="s">
        <v>74</v>
      </c>
      <c r="C5690">
        <v>1</v>
      </c>
    </row>
    <row r="5691" spans="1:3" x14ac:dyDescent="0.25">
      <c r="A5691" s="48" t="s">
        <v>15965</v>
      </c>
      <c r="B5691" t="s">
        <v>15966</v>
      </c>
      <c r="C5691">
        <v>0</v>
      </c>
    </row>
    <row r="5692" spans="1:3" x14ac:dyDescent="0.25">
      <c r="A5692" s="48" t="s">
        <v>17887</v>
      </c>
      <c r="B5692" t="s">
        <v>17888</v>
      </c>
      <c r="C5692">
        <v>4</v>
      </c>
    </row>
    <row r="5693" spans="1:3" x14ac:dyDescent="0.25">
      <c r="A5693" s="48" t="s">
        <v>14495</v>
      </c>
      <c r="B5693" t="s">
        <v>21779</v>
      </c>
      <c r="C5693">
        <v>1</v>
      </c>
    </row>
    <row r="5694" spans="1:3" x14ac:dyDescent="0.25">
      <c r="A5694" s="48" t="s">
        <v>8988</v>
      </c>
      <c r="B5694" t="s">
        <v>21780</v>
      </c>
      <c r="C5694">
        <v>0</v>
      </c>
    </row>
    <row r="5695" spans="1:3" x14ac:dyDescent="0.25">
      <c r="A5695" s="48" t="s">
        <v>16746</v>
      </c>
      <c r="B5695" t="s">
        <v>21781</v>
      </c>
      <c r="C5695">
        <v>3</v>
      </c>
    </row>
    <row r="5696" spans="1:3" x14ac:dyDescent="0.25">
      <c r="A5696" s="48" t="s">
        <v>16748</v>
      </c>
      <c r="B5696" t="s">
        <v>21782</v>
      </c>
      <c r="C5696">
        <v>27</v>
      </c>
    </row>
    <row r="5697" spans="1:3" x14ac:dyDescent="0.25">
      <c r="A5697" s="48" t="s">
        <v>16744</v>
      </c>
      <c r="B5697" t="s">
        <v>21783</v>
      </c>
      <c r="C5697">
        <v>5</v>
      </c>
    </row>
    <row r="5698" spans="1:3" x14ac:dyDescent="0.25">
      <c r="A5698" s="48" t="s">
        <v>14451</v>
      </c>
      <c r="B5698" t="s">
        <v>21784</v>
      </c>
      <c r="C5698">
        <v>11</v>
      </c>
    </row>
    <row r="5699" spans="1:3" x14ac:dyDescent="0.25">
      <c r="A5699" s="48" t="s">
        <v>16113</v>
      </c>
      <c r="B5699" t="s">
        <v>16114</v>
      </c>
      <c r="C5699">
        <v>9</v>
      </c>
    </row>
    <row r="5700" spans="1:3" x14ac:dyDescent="0.25">
      <c r="A5700" s="48" t="s">
        <v>7825</v>
      </c>
      <c r="B5700" t="s">
        <v>21785</v>
      </c>
      <c r="C5700">
        <v>5</v>
      </c>
    </row>
    <row r="5701" spans="1:3" x14ac:dyDescent="0.25">
      <c r="A5701" s="48" t="s">
        <v>7831</v>
      </c>
      <c r="B5701" t="s">
        <v>7832</v>
      </c>
      <c r="C5701">
        <v>0</v>
      </c>
    </row>
    <row r="5702" spans="1:3" x14ac:dyDescent="0.25">
      <c r="A5702" s="48" t="s">
        <v>15425</v>
      </c>
      <c r="B5702" t="s">
        <v>21786</v>
      </c>
      <c r="C5702">
        <v>0</v>
      </c>
    </row>
    <row r="5703" spans="1:3" x14ac:dyDescent="0.25">
      <c r="A5703" s="48" t="s">
        <v>5639</v>
      </c>
      <c r="B5703" t="s">
        <v>5640</v>
      </c>
      <c r="C5703">
        <v>3</v>
      </c>
    </row>
    <row r="5704" spans="1:3" x14ac:dyDescent="0.25">
      <c r="A5704" s="48" t="s">
        <v>15421</v>
      </c>
      <c r="B5704" t="s">
        <v>15422</v>
      </c>
      <c r="C5704">
        <v>0</v>
      </c>
    </row>
    <row r="5705" spans="1:3" x14ac:dyDescent="0.25">
      <c r="A5705" s="48" t="s">
        <v>7947</v>
      </c>
      <c r="B5705" t="s">
        <v>21787</v>
      </c>
      <c r="C5705">
        <v>0</v>
      </c>
    </row>
    <row r="5706" spans="1:3" x14ac:dyDescent="0.25">
      <c r="A5706" s="48" t="s">
        <v>14421</v>
      </c>
      <c r="B5706" t="s">
        <v>21788</v>
      </c>
      <c r="C5706">
        <v>0</v>
      </c>
    </row>
    <row r="5707" spans="1:3" x14ac:dyDescent="0.25">
      <c r="A5707" s="48" t="s">
        <v>5739</v>
      </c>
      <c r="B5707" t="s">
        <v>5740</v>
      </c>
      <c r="C5707">
        <v>0</v>
      </c>
    </row>
    <row r="5708" spans="1:3" x14ac:dyDescent="0.25">
      <c r="A5708" s="48" t="s">
        <v>10351</v>
      </c>
      <c r="B5708" t="s">
        <v>10352</v>
      </c>
      <c r="C5708">
        <v>0</v>
      </c>
    </row>
    <row r="5709" spans="1:3" x14ac:dyDescent="0.25">
      <c r="A5709" s="48" t="s">
        <v>10365</v>
      </c>
      <c r="B5709" t="s">
        <v>10366</v>
      </c>
      <c r="C5709">
        <v>0</v>
      </c>
    </row>
    <row r="5710" spans="1:3" x14ac:dyDescent="0.25">
      <c r="A5710" s="48" t="s">
        <v>14145</v>
      </c>
      <c r="B5710" t="s">
        <v>14146</v>
      </c>
      <c r="C5710">
        <v>0</v>
      </c>
    </row>
    <row r="5711" spans="1:3" x14ac:dyDescent="0.25">
      <c r="A5711" s="48" t="s">
        <v>16528</v>
      </c>
      <c r="B5711" t="s">
        <v>21789</v>
      </c>
      <c r="C5711">
        <v>2</v>
      </c>
    </row>
    <row r="5712" spans="1:3" x14ac:dyDescent="0.25">
      <c r="A5712" s="48" t="s">
        <v>14660</v>
      </c>
      <c r="B5712" t="s">
        <v>21790</v>
      </c>
      <c r="C5712">
        <v>0</v>
      </c>
    </row>
    <row r="5713" spans="1:3" x14ac:dyDescent="0.25">
      <c r="A5713" s="48" t="s">
        <v>15355</v>
      </c>
      <c r="B5713" t="s">
        <v>21791</v>
      </c>
      <c r="C5713">
        <v>0</v>
      </c>
    </row>
    <row r="5714" spans="1:3" x14ac:dyDescent="0.25">
      <c r="A5714" s="48" t="s">
        <v>15351</v>
      </c>
      <c r="B5714" t="s">
        <v>21792</v>
      </c>
      <c r="C5714">
        <v>0</v>
      </c>
    </row>
    <row r="5715" spans="1:3" x14ac:dyDescent="0.25">
      <c r="A5715" s="48" t="s">
        <v>11890</v>
      </c>
      <c r="B5715" t="s">
        <v>11891</v>
      </c>
      <c r="C5715">
        <v>0</v>
      </c>
    </row>
    <row r="5716" spans="1:3" x14ac:dyDescent="0.25">
      <c r="A5716" s="48" t="s">
        <v>11892</v>
      </c>
      <c r="B5716" t="s">
        <v>11893</v>
      </c>
      <c r="C5716">
        <v>0</v>
      </c>
    </row>
    <row r="5717" spans="1:3" x14ac:dyDescent="0.25">
      <c r="A5717" s="48" t="s">
        <v>11886</v>
      </c>
      <c r="B5717" t="s">
        <v>11887</v>
      </c>
      <c r="C5717">
        <v>0</v>
      </c>
    </row>
    <row r="5718" spans="1:3" x14ac:dyDescent="0.25">
      <c r="A5718" s="48" t="s">
        <v>11888</v>
      </c>
      <c r="B5718" t="s">
        <v>11889</v>
      </c>
      <c r="C5718">
        <v>6</v>
      </c>
    </row>
    <row r="5719" spans="1:3" x14ac:dyDescent="0.25">
      <c r="A5719" s="48" t="s">
        <v>10357</v>
      </c>
      <c r="B5719" t="s">
        <v>10356</v>
      </c>
      <c r="C5719">
        <v>0</v>
      </c>
    </row>
    <row r="5720" spans="1:3" x14ac:dyDescent="0.25">
      <c r="A5720" s="48" t="s">
        <v>10358</v>
      </c>
      <c r="B5720" t="s">
        <v>10359</v>
      </c>
      <c r="C5720">
        <v>0</v>
      </c>
    </row>
    <row r="5721" spans="1:3" x14ac:dyDescent="0.25">
      <c r="A5721" s="48" t="s">
        <v>10355</v>
      </c>
      <c r="B5721" t="s">
        <v>10356</v>
      </c>
      <c r="C5721">
        <v>0</v>
      </c>
    </row>
    <row r="5722" spans="1:3" x14ac:dyDescent="0.25">
      <c r="A5722" s="48" t="s">
        <v>14533</v>
      </c>
      <c r="B5722" t="s">
        <v>21793</v>
      </c>
      <c r="C5722">
        <v>0</v>
      </c>
    </row>
    <row r="5723" spans="1:3" x14ac:dyDescent="0.25">
      <c r="A5723" s="48" t="s">
        <v>6163</v>
      </c>
      <c r="B5723" t="s">
        <v>6164</v>
      </c>
      <c r="C5723">
        <v>14</v>
      </c>
    </row>
    <row r="5724" spans="1:3" x14ac:dyDescent="0.25">
      <c r="A5724" s="48" t="s">
        <v>4926</v>
      </c>
      <c r="B5724" t="s">
        <v>21794</v>
      </c>
      <c r="C5724">
        <v>5</v>
      </c>
    </row>
    <row r="5725" spans="1:3" x14ac:dyDescent="0.25">
      <c r="A5725" s="48" t="s">
        <v>4920</v>
      </c>
      <c r="B5725" t="s">
        <v>21795</v>
      </c>
      <c r="C5725">
        <v>6</v>
      </c>
    </row>
    <row r="5726" spans="1:3" x14ac:dyDescent="0.25">
      <c r="A5726" s="48" t="s">
        <v>4928</v>
      </c>
      <c r="B5726" t="s">
        <v>21796</v>
      </c>
      <c r="C5726">
        <v>10</v>
      </c>
    </row>
    <row r="5727" spans="1:3" x14ac:dyDescent="0.25">
      <c r="A5727" s="48" t="s">
        <v>11006</v>
      </c>
      <c r="B5727" t="s">
        <v>21797</v>
      </c>
      <c r="C5727">
        <v>0</v>
      </c>
    </row>
    <row r="5728" spans="1:3" x14ac:dyDescent="0.25">
      <c r="A5728" s="48" t="s">
        <v>7821</v>
      </c>
      <c r="B5728" t="s">
        <v>21798</v>
      </c>
      <c r="C5728">
        <v>0</v>
      </c>
    </row>
    <row r="5729" spans="1:3" x14ac:dyDescent="0.25">
      <c r="A5729" s="48" t="s">
        <v>10840</v>
      </c>
      <c r="B5729" t="s">
        <v>21799</v>
      </c>
      <c r="C5729">
        <v>0</v>
      </c>
    </row>
    <row r="5730" spans="1:3" x14ac:dyDescent="0.25">
      <c r="A5730" s="48" t="s">
        <v>11002</v>
      </c>
      <c r="B5730" t="s">
        <v>21800</v>
      </c>
      <c r="C5730">
        <v>12</v>
      </c>
    </row>
    <row r="5731" spans="1:3" x14ac:dyDescent="0.25">
      <c r="A5731" s="48" t="s">
        <v>17450</v>
      </c>
      <c r="B5731" t="s">
        <v>21801</v>
      </c>
      <c r="C5731">
        <v>0</v>
      </c>
    </row>
    <row r="5732" spans="1:3" x14ac:dyDescent="0.25">
      <c r="A5732" s="48" t="s">
        <v>10227</v>
      </c>
      <c r="B5732" t="s">
        <v>21802</v>
      </c>
      <c r="C5732">
        <v>0</v>
      </c>
    </row>
    <row r="5733" spans="1:3" x14ac:dyDescent="0.25">
      <c r="A5733" s="48" t="s">
        <v>17224</v>
      </c>
      <c r="B5733" t="s">
        <v>21803</v>
      </c>
      <c r="C5733">
        <v>0</v>
      </c>
    </row>
    <row r="5734" spans="1:3" x14ac:dyDescent="0.25">
      <c r="A5734" s="48" t="s">
        <v>15419</v>
      </c>
      <c r="B5734" t="s">
        <v>15420</v>
      </c>
      <c r="C5734">
        <v>0</v>
      </c>
    </row>
    <row r="5735" spans="1:3" x14ac:dyDescent="0.25">
      <c r="A5735" s="48" t="s">
        <v>15347</v>
      </c>
      <c r="B5735" t="s">
        <v>21804</v>
      </c>
      <c r="C5735">
        <v>0</v>
      </c>
    </row>
    <row r="5736" spans="1:3" x14ac:dyDescent="0.25">
      <c r="A5736" s="48" t="s">
        <v>15353</v>
      </c>
      <c r="B5736" t="s">
        <v>21805</v>
      </c>
      <c r="C5736">
        <v>8</v>
      </c>
    </row>
    <row r="5737" spans="1:3" x14ac:dyDescent="0.25">
      <c r="A5737" s="48" t="s">
        <v>17494</v>
      </c>
      <c r="B5737" t="s">
        <v>21806</v>
      </c>
      <c r="C5737">
        <v>0</v>
      </c>
    </row>
    <row r="5738" spans="1:3" x14ac:dyDescent="0.25">
      <c r="A5738" s="48" t="s">
        <v>17506</v>
      </c>
      <c r="B5738" t="s">
        <v>21807</v>
      </c>
      <c r="C5738">
        <v>0</v>
      </c>
    </row>
    <row r="5739" spans="1:3" x14ac:dyDescent="0.25">
      <c r="A5739" s="48" t="s">
        <v>17486</v>
      </c>
      <c r="B5739" t="s">
        <v>21808</v>
      </c>
      <c r="C5739">
        <v>0</v>
      </c>
    </row>
    <row r="5740" spans="1:3" x14ac:dyDescent="0.25">
      <c r="A5740" s="48" t="s">
        <v>17452</v>
      </c>
      <c r="B5740" t="s">
        <v>22970</v>
      </c>
      <c r="C5740">
        <v>0</v>
      </c>
    </row>
    <row r="5741" spans="1:3" x14ac:dyDescent="0.25">
      <c r="A5741" s="48" t="s">
        <v>17184</v>
      </c>
      <c r="B5741" t="s">
        <v>21809</v>
      </c>
      <c r="C5741">
        <v>3</v>
      </c>
    </row>
    <row r="5742" spans="1:3" x14ac:dyDescent="0.25">
      <c r="A5742" s="48" t="s">
        <v>14481</v>
      </c>
      <c r="B5742" t="s">
        <v>21810</v>
      </c>
      <c r="C5742">
        <v>0</v>
      </c>
    </row>
    <row r="5743" spans="1:3" x14ac:dyDescent="0.25">
      <c r="A5743" s="48" t="s">
        <v>12051</v>
      </c>
      <c r="B5743" t="s">
        <v>12052</v>
      </c>
      <c r="C5743">
        <v>28</v>
      </c>
    </row>
    <row r="5744" spans="1:3" x14ac:dyDescent="0.25">
      <c r="A5744" s="48" t="s">
        <v>16762</v>
      </c>
      <c r="B5744" t="s">
        <v>21811</v>
      </c>
      <c r="C5744">
        <v>0</v>
      </c>
    </row>
    <row r="5745" spans="1:3" x14ac:dyDescent="0.25">
      <c r="A5745" s="48" t="s">
        <v>16756</v>
      </c>
      <c r="B5745" t="s">
        <v>21812</v>
      </c>
      <c r="C5745">
        <v>4</v>
      </c>
    </row>
    <row r="5746" spans="1:3" x14ac:dyDescent="0.25">
      <c r="A5746" s="48" t="s">
        <v>14862</v>
      </c>
      <c r="B5746" t="s">
        <v>21813</v>
      </c>
      <c r="C5746">
        <v>1</v>
      </c>
    </row>
    <row r="5747" spans="1:3" x14ac:dyDescent="0.25">
      <c r="A5747" s="48" t="s">
        <v>9034</v>
      </c>
      <c r="B5747" t="s">
        <v>21814</v>
      </c>
      <c r="C5747">
        <v>0</v>
      </c>
    </row>
    <row r="5748" spans="1:3" x14ac:dyDescent="0.25">
      <c r="A5748" s="48" t="s">
        <v>16784</v>
      </c>
      <c r="B5748" t="s">
        <v>21815</v>
      </c>
      <c r="C5748">
        <v>0</v>
      </c>
    </row>
    <row r="5749" spans="1:3" x14ac:dyDescent="0.25">
      <c r="A5749" s="48" t="s">
        <v>14042</v>
      </c>
      <c r="B5749" t="s">
        <v>14043</v>
      </c>
      <c r="C5749">
        <v>15</v>
      </c>
    </row>
    <row r="5750" spans="1:3" x14ac:dyDescent="0.25">
      <c r="A5750" s="48" t="s">
        <v>16624</v>
      </c>
      <c r="B5750" t="s">
        <v>21816</v>
      </c>
      <c r="C5750">
        <v>0</v>
      </c>
    </row>
    <row r="5751" spans="1:3" x14ac:dyDescent="0.25">
      <c r="A5751" s="48" t="s">
        <v>14644</v>
      </c>
      <c r="B5751" t="s">
        <v>21817</v>
      </c>
      <c r="C5751">
        <v>0</v>
      </c>
    </row>
    <row r="5752" spans="1:3" x14ac:dyDescent="0.25">
      <c r="A5752" s="48" t="s">
        <v>16766</v>
      </c>
      <c r="B5752" t="s">
        <v>21818</v>
      </c>
      <c r="C5752">
        <v>0</v>
      </c>
    </row>
    <row r="5753" spans="1:3" x14ac:dyDescent="0.25">
      <c r="A5753" s="48" t="s">
        <v>19569</v>
      </c>
      <c r="B5753" t="s">
        <v>22390</v>
      </c>
      <c r="C5753">
        <v>22</v>
      </c>
    </row>
    <row r="5754" spans="1:3" x14ac:dyDescent="0.25">
      <c r="A5754" s="48" t="s">
        <v>19572</v>
      </c>
      <c r="B5754" t="s">
        <v>22391</v>
      </c>
      <c r="C5754">
        <v>10</v>
      </c>
    </row>
    <row r="5755" spans="1:3" x14ac:dyDescent="0.25">
      <c r="A5755" s="48" t="s">
        <v>19573</v>
      </c>
      <c r="B5755" t="s">
        <v>22392</v>
      </c>
      <c r="C5755">
        <v>21</v>
      </c>
    </row>
    <row r="5756" spans="1:3" x14ac:dyDescent="0.25">
      <c r="A5756" s="48" t="s">
        <v>19565</v>
      </c>
      <c r="B5756" t="s">
        <v>22393</v>
      </c>
      <c r="C5756">
        <v>13</v>
      </c>
    </row>
    <row r="5757" spans="1:3" x14ac:dyDescent="0.25">
      <c r="A5757" s="48" t="s">
        <v>3475</v>
      </c>
      <c r="B5757" t="s">
        <v>21819</v>
      </c>
      <c r="C5757">
        <v>0</v>
      </c>
    </row>
    <row r="5758" spans="1:3" x14ac:dyDescent="0.25">
      <c r="A5758" s="48" t="s">
        <v>12047</v>
      </c>
      <c r="B5758" t="s">
        <v>12048</v>
      </c>
      <c r="C5758">
        <v>11</v>
      </c>
    </row>
    <row r="5759" spans="1:3" x14ac:dyDescent="0.25">
      <c r="A5759" s="48" t="s">
        <v>12049</v>
      </c>
      <c r="B5759" t="s">
        <v>12050</v>
      </c>
      <c r="C5759">
        <v>25</v>
      </c>
    </row>
    <row r="5760" spans="1:3" x14ac:dyDescent="0.25">
      <c r="A5760" s="48" t="s">
        <v>19724</v>
      </c>
      <c r="B5760" t="s">
        <v>19725</v>
      </c>
      <c r="C5760">
        <v>43</v>
      </c>
    </row>
    <row r="5761" spans="1:3" x14ac:dyDescent="0.25">
      <c r="A5761" s="48" t="s">
        <v>16552</v>
      </c>
      <c r="B5761" t="s">
        <v>21820</v>
      </c>
      <c r="C5761">
        <v>0</v>
      </c>
    </row>
    <row r="5762" spans="1:3" x14ac:dyDescent="0.25">
      <c r="A5762" s="48" t="s">
        <v>17496</v>
      </c>
      <c r="B5762" t="s">
        <v>21821</v>
      </c>
      <c r="C5762">
        <v>0</v>
      </c>
    </row>
    <row r="5763" spans="1:3" x14ac:dyDescent="0.25">
      <c r="A5763" s="48" t="s">
        <v>8019</v>
      </c>
      <c r="B5763" t="s">
        <v>21822</v>
      </c>
      <c r="C5763">
        <v>2</v>
      </c>
    </row>
    <row r="5764" spans="1:3" x14ac:dyDescent="0.25">
      <c r="A5764" s="48" t="s">
        <v>8017</v>
      </c>
      <c r="B5764" t="s">
        <v>21823</v>
      </c>
      <c r="C5764">
        <v>3</v>
      </c>
    </row>
    <row r="5765" spans="1:3" x14ac:dyDescent="0.25">
      <c r="A5765" s="48" t="s">
        <v>7823</v>
      </c>
      <c r="B5765" t="s">
        <v>7824</v>
      </c>
      <c r="C5765">
        <v>0</v>
      </c>
    </row>
    <row r="5766" spans="1:3" x14ac:dyDescent="0.25">
      <c r="A5766" s="48" t="s">
        <v>14501</v>
      </c>
      <c r="B5766" t="s">
        <v>21824</v>
      </c>
      <c r="C5766">
        <v>0</v>
      </c>
    </row>
    <row r="5767" spans="1:3" x14ac:dyDescent="0.25">
      <c r="A5767" s="48" t="s">
        <v>17174</v>
      </c>
      <c r="B5767" t="s">
        <v>21825</v>
      </c>
      <c r="C5767">
        <v>0</v>
      </c>
    </row>
    <row r="5768" spans="1:3" x14ac:dyDescent="0.25">
      <c r="A5768" s="48" t="s">
        <v>10247</v>
      </c>
      <c r="B5768" t="s">
        <v>21826</v>
      </c>
      <c r="C5768">
        <v>0</v>
      </c>
    </row>
    <row r="5769" spans="1:3" x14ac:dyDescent="0.25">
      <c r="A5769" s="48" t="s">
        <v>1906</v>
      </c>
      <c r="B5769" t="s">
        <v>1907</v>
      </c>
      <c r="C5769">
        <v>32</v>
      </c>
    </row>
    <row r="5770" spans="1:3" x14ac:dyDescent="0.25">
      <c r="A5770" s="48" t="s">
        <v>15967</v>
      </c>
      <c r="B5770" t="s">
        <v>21827</v>
      </c>
      <c r="C5770">
        <v>0</v>
      </c>
    </row>
    <row r="5771" spans="1:3" x14ac:dyDescent="0.25">
      <c r="A5771" s="48" t="s">
        <v>11478</v>
      </c>
      <c r="B5771" t="s">
        <v>21828</v>
      </c>
      <c r="C5771">
        <v>3</v>
      </c>
    </row>
    <row r="5772" spans="1:3" x14ac:dyDescent="0.25">
      <c r="A5772" s="48" t="s">
        <v>11942</v>
      </c>
      <c r="B5772" t="s">
        <v>11943</v>
      </c>
      <c r="C5772">
        <v>10</v>
      </c>
    </row>
    <row r="5773" spans="1:3" x14ac:dyDescent="0.25">
      <c r="A5773" s="48" t="s">
        <v>12431</v>
      </c>
      <c r="B5773" t="s">
        <v>21829</v>
      </c>
      <c r="C5773">
        <v>0</v>
      </c>
    </row>
    <row r="5774" spans="1:3" x14ac:dyDescent="0.25">
      <c r="A5774" s="48" t="s">
        <v>16107</v>
      </c>
      <c r="B5774" t="s">
        <v>21830</v>
      </c>
      <c r="C5774">
        <v>0</v>
      </c>
    </row>
    <row r="5775" spans="1:3" x14ac:dyDescent="0.25">
      <c r="A5775" s="48" t="s">
        <v>16109</v>
      </c>
      <c r="B5775" t="s">
        <v>21831</v>
      </c>
      <c r="C5775">
        <v>1</v>
      </c>
    </row>
    <row r="5776" spans="1:3" x14ac:dyDescent="0.25">
      <c r="A5776" s="48" t="s">
        <v>9422</v>
      </c>
      <c r="B5776" t="s">
        <v>9423</v>
      </c>
      <c r="C5776">
        <v>20</v>
      </c>
    </row>
    <row r="5777" spans="1:3" x14ac:dyDescent="0.25">
      <c r="A5777" s="48" t="s">
        <v>9424</v>
      </c>
      <c r="B5777" t="s">
        <v>9425</v>
      </c>
      <c r="C5777">
        <v>22</v>
      </c>
    </row>
    <row r="5778" spans="1:3" x14ac:dyDescent="0.25">
      <c r="A5778" s="48" t="s">
        <v>17176</v>
      </c>
      <c r="B5778" t="s">
        <v>21832</v>
      </c>
      <c r="C5778">
        <v>1</v>
      </c>
    </row>
    <row r="5779" spans="1:3" x14ac:dyDescent="0.25">
      <c r="A5779" s="48" t="s">
        <v>17492</v>
      </c>
      <c r="B5779" t="s">
        <v>21833</v>
      </c>
      <c r="C5779">
        <v>0</v>
      </c>
    </row>
    <row r="5780" spans="1:3" x14ac:dyDescent="0.25">
      <c r="A5780" s="48" t="s">
        <v>17182</v>
      </c>
      <c r="B5780" t="s">
        <v>21834</v>
      </c>
      <c r="C5780">
        <v>0</v>
      </c>
    </row>
    <row r="5781" spans="1:3" x14ac:dyDescent="0.25">
      <c r="A5781" s="48" t="s">
        <v>975</v>
      </c>
      <c r="B5781" t="s">
        <v>976</v>
      </c>
      <c r="C5781">
        <v>32</v>
      </c>
    </row>
    <row r="5782" spans="1:3" x14ac:dyDescent="0.25">
      <c r="A5782" s="48" t="s">
        <v>1679</v>
      </c>
      <c r="B5782" t="s">
        <v>1680</v>
      </c>
      <c r="C5782">
        <v>56</v>
      </c>
    </row>
    <row r="5783" spans="1:3" x14ac:dyDescent="0.25">
      <c r="A5783" s="48" t="s">
        <v>1413</v>
      </c>
      <c r="B5783" t="s">
        <v>1414</v>
      </c>
      <c r="C5783">
        <v>46</v>
      </c>
    </row>
    <row r="5784" spans="1:3" x14ac:dyDescent="0.25">
      <c r="A5784" s="48" t="s">
        <v>1707</v>
      </c>
      <c r="B5784" t="s">
        <v>1708</v>
      </c>
      <c r="C5784">
        <v>3</v>
      </c>
    </row>
    <row r="5785" spans="1:3" x14ac:dyDescent="0.25">
      <c r="A5785" s="48" t="s">
        <v>831</v>
      </c>
      <c r="B5785" t="s">
        <v>832</v>
      </c>
      <c r="C5785">
        <v>42</v>
      </c>
    </row>
    <row r="5786" spans="1:3" x14ac:dyDescent="0.25">
      <c r="A5786" s="48" t="s">
        <v>18876</v>
      </c>
      <c r="B5786" t="s">
        <v>18877</v>
      </c>
      <c r="C5786">
        <v>212</v>
      </c>
    </row>
    <row r="5787" spans="1:3" x14ac:dyDescent="0.25">
      <c r="A5787" s="48" t="s">
        <v>18872</v>
      </c>
      <c r="B5787" t="s">
        <v>18873</v>
      </c>
      <c r="C5787">
        <v>66</v>
      </c>
    </row>
    <row r="5788" spans="1:3" x14ac:dyDescent="0.25">
      <c r="A5788" s="48" t="s">
        <v>22971</v>
      </c>
      <c r="B5788" t="s">
        <v>22972</v>
      </c>
      <c r="C5788">
        <v>0</v>
      </c>
    </row>
    <row r="5789" spans="1:3" x14ac:dyDescent="0.25">
      <c r="A5789" s="48" t="s">
        <v>18179</v>
      </c>
      <c r="B5789" t="s">
        <v>18180</v>
      </c>
      <c r="C5789">
        <v>0</v>
      </c>
    </row>
    <row r="5790" spans="1:3" x14ac:dyDescent="0.25">
      <c r="A5790" s="48" t="s">
        <v>18175</v>
      </c>
      <c r="B5790" t="s">
        <v>18176</v>
      </c>
      <c r="C5790">
        <v>0</v>
      </c>
    </row>
    <row r="5791" spans="1:3" x14ac:dyDescent="0.25">
      <c r="A5791" s="48" t="s">
        <v>18181</v>
      </c>
      <c r="B5791" t="s">
        <v>18182</v>
      </c>
      <c r="C5791">
        <v>0</v>
      </c>
    </row>
    <row r="5792" spans="1:3" x14ac:dyDescent="0.25">
      <c r="A5792" s="48" t="s">
        <v>18177</v>
      </c>
      <c r="B5792" t="s">
        <v>18178</v>
      </c>
      <c r="C5792">
        <v>0</v>
      </c>
    </row>
    <row r="5793" spans="1:3" x14ac:dyDescent="0.25">
      <c r="A5793" s="48" t="s">
        <v>18173</v>
      </c>
      <c r="B5793" t="s">
        <v>18174</v>
      </c>
      <c r="C5793">
        <v>0</v>
      </c>
    </row>
    <row r="5794" spans="1:3" x14ac:dyDescent="0.25">
      <c r="A5794" s="48" t="s">
        <v>16980</v>
      </c>
      <c r="B5794" t="s">
        <v>16981</v>
      </c>
      <c r="C5794">
        <v>10</v>
      </c>
    </row>
    <row r="5795" spans="1:3" x14ac:dyDescent="0.25">
      <c r="A5795" s="48" t="s">
        <v>177</v>
      </c>
      <c r="B5795" t="s">
        <v>178</v>
      </c>
      <c r="C5795">
        <v>5</v>
      </c>
    </row>
    <row r="5796" spans="1:3" x14ac:dyDescent="0.25">
      <c r="A5796" s="48" t="s">
        <v>16978</v>
      </c>
      <c r="B5796" t="s">
        <v>16979</v>
      </c>
      <c r="C5796">
        <v>19</v>
      </c>
    </row>
    <row r="5797" spans="1:3" x14ac:dyDescent="0.25">
      <c r="A5797" s="48" t="s">
        <v>1920</v>
      </c>
      <c r="B5797" t="s">
        <v>1921</v>
      </c>
      <c r="C5797">
        <v>13</v>
      </c>
    </row>
    <row r="5798" spans="1:3" x14ac:dyDescent="0.25">
      <c r="A5798" s="48" t="s">
        <v>17987</v>
      </c>
      <c r="B5798" t="s">
        <v>21835</v>
      </c>
      <c r="C5798">
        <v>0</v>
      </c>
    </row>
    <row r="5799" spans="1:3" x14ac:dyDescent="0.25">
      <c r="A5799" s="48" t="s">
        <v>6593</v>
      </c>
      <c r="B5799" t="s">
        <v>21836</v>
      </c>
      <c r="C5799">
        <v>0</v>
      </c>
    </row>
    <row r="5800" spans="1:3" x14ac:dyDescent="0.25">
      <c r="A5800" s="48" t="s">
        <v>8236</v>
      </c>
      <c r="B5800" t="s">
        <v>21837</v>
      </c>
      <c r="C5800">
        <v>0</v>
      </c>
    </row>
    <row r="5801" spans="1:3" x14ac:dyDescent="0.25">
      <c r="A5801" s="48" t="s">
        <v>17482</v>
      </c>
      <c r="B5801" t="s">
        <v>22906</v>
      </c>
      <c r="C5801">
        <v>2</v>
      </c>
    </row>
    <row r="5802" spans="1:3" x14ac:dyDescent="0.25">
      <c r="A5802" s="48" t="s">
        <v>7993</v>
      </c>
      <c r="B5802" t="s">
        <v>21838</v>
      </c>
      <c r="C5802">
        <v>0</v>
      </c>
    </row>
    <row r="5803" spans="1:3" x14ac:dyDescent="0.25">
      <c r="A5803" s="48" t="s">
        <v>16770</v>
      </c>
      <c r="B5803" t="s">
        <v>21839</v>
      </c>
      <c r="C5803">
        <v>0</v>
      </c>
    </row>
    <row r="5804" spans="1:3" x14ac:dyDescent="0.25">
      <c r="A5804" s="48" t="s">
        <v>12139</v>
      </c>
      <c r="B5804" t="s">
        <v>12140</v>
      </c>
      <c r="C5804">
        <v>0</v>
      </c>
    </row>
    <row r="5805" spans="1:3" x14ac:dyDescent="0.25">
      <c r="A5805" s="48" t="s">
        <v>1541</v>
      </c>
      <c r="B5805" t="s">
        <v>1542</v>
      </c>
      <c r="C5805">
        <v>45</v>
      </c>
    </row>
    <row r="5806" spans="1:3" x14ac:dyDescent="0.25">
      <c r="A5806" s="48" t="s">
        <v>10219</v>
      </c>
      <c r="B5806" t="s">
        <v>21840</v>
      </c>
      <c r="C5806">
        <v>0</v>
      </c>
    </row>
    <row r="5807" spans="1:3" x14ac:dyDescent="0.25">
      <c r="A5807" s="48" t="s">
        <v>16396</v>
      </c>
      <c r="B5807" t="s">
        <v>16397</v>
      </c>
      <c r="C5807">
        <v>0</v>
      </c>
    </row>
    <row r="5808" spans="1:3" x14ac:dyDescent="0.25">
      <c r="A5808" s="48" t="s">
        <v>11008</v>
      </c>
      <c r="B5808" t="s">
        <v>21841</v>
      </c>
      <c r="C5808">
        <v>0</v>
      </c>
    </row>
    <row r="5809" spans="1:3" x14ac:dyDescent="0.25">
      <c r="A5809" s="48" t="s">
        <v>15613</v>
      </c>
      <c r="B5809" t="s">
        <v>21842</v>
      </c>
      <c r="C5809">
        <v>0</v>
      </c>
    </row>
    <row r="5810" spans="1:3" x14ac:dyDescent="0.25">
      <c r="A5810" s="48" t="s">
        <v>14050</v>
      </c>
      <c r="B5810" t="s">
        <v>14051</v>
      </c>
      <c r="C5810">
        <v>0</v>
      </c>
    </row>
    <row r="5811" spans="1:3" x14ac:dyDescent="0.25">
      <c r="A5811" s="48" t="s">
        <v>6095</v>
      </c>
      <c r="B5811" t="s">
        <v>21843</v>
      </c>
      <c r="C5811">
        <v>3</v>
      </c>
    </row>
    <row r="5812" spans="1:3" x14ac:dyDescent="0.25">
      <c r="A5812" s="48" t="s">
        <v>11548</v>
      </c>
      <c r="B5812" t="s">
        <v>21844</v>
      </c>
      <c r="C5812">
        <v>0</v>
      </c>
    </row>
    <row r="5813" spans="1:3" x14ac:dyDescent="0.25">
      <c r="A5813" s="48" t="s">
        <v>14207</v>
      </c>
      <c r="B5813" t="s">
        <v>21845</v>
      </c>
      <c r="C5813">
        <v>1</v>
      </c>
    </row>
    <row r="5814" spans="1:3" x14ac:dyDescent="0.25">
      <c r="A5814" s="48" t="s">
        <v>4689</v>
      </c>
      <c r="B5814" t="s">
        <v>21846</v>
      </c>
      <c r="C5814">
        <v>0</v>
      </c>
    </row>
    <row r="5815" spans="1:3" x14ac:dyDescent="0.25">
      <c r="A5815" s="48" t="s">
        <v>11634</v>
      </c>
      <c r="B5815" t="s">
        <v>21847</v>
      </c>
      <c r="C5815">
        <v>0</v>
      </c>
    </row>
    <row r="5816" spans="1:3" x14ac:dyDescent="0.25">
      <c r="A5816" s="48" t="s">
        <v>17562</v>
      </c>
      <c r="B5816" t="s">
        <v>21848</v>
      </c>
      <c r="C5816">
        <v>3</v>
      </c>
    </row>
    <row r="5817" spans="1:3" x14ac:dyDescent="0.25">
      <c r="A5817" s="48" t="s">
        <v>16568</v>
      </c>
      <c r="B5817" t="s">
        <v>21849</v>
      </c>
      <c r="C5817">
        <v>0</v>
      </c>
    </row>
    <row r="5818" spans="1:3" x14ac:dyDescent="0.25">
      <c r="A5818" s="48" t="s">
        <v>16548</v>
      </c>
      <c r="B5818" t="s">
        <v>21850</v>
      </c>
      <c r="C5818">
        <v>0</v>
      </c>
    </row>
    <row r="5819" spans="1:3" x14ac:dyDescent="0.25">
      <c r="A5819" s="48" t="s">
        <v>9828</v>
      </c>
      <c r="B5819" t="s">
        <v>21851</v>
      </c>
      <c r="C5819">
        <v>2</v>
      </c>
    </row>
    <row r="5820" spans="1:3" x14ac:dyDescent="0.25">
      <c r="A5820" s="48" t="s">
        <v>14642</v>
      </c>
      <c r="B5820" t="s">
        <v>21852</v>
      </c>
      <c r="C5820">
        <v>0</v>
      </c>
    </row>
    <row r="5821" spans="1:3" x14ac:dyDescent="0.25">
      <c r="A5821" s="48" t="s">
        <v>19575</v>
      </c>
      <c r="B5821" t="s">
        <v>22394</v>
      </c>
      <c r="C5821">
        <v>0</v>
      </c>
    </row>
    <row r="5822" spans="1:3" x14ac:dyDescent="0.25">
      <c r="A5822" s="48" t="s">
        <v>19567</v>
      </c>
      <c r="B5822" t="s">
        <v>22395</v>
      </c>
      <c r="C5822">
        <v>16</v>
      </c>
    </row>
    <row r="5823" spans="1:3" x14ac:dyDescent="0.25">
      <c r="A5823" s="48" t="s">
        <v>19570</v>
      </c>
      <c r="B5823" t="s">
        <v>22396</v>
      </c>
      <c r="C5823">
        <v>0</v>
      </c>
    </row>
    <row r="5824" spans="1:3" x14ac:dyDescent="0.25">
      <c r="A5824" s="48" t="s">
        <v>10870</v>
      </c>
      <c r="B5824" t="s">
        <v>21853</v>
      </c>
      <c r="C5824">
        <v>0</v>
      </c>
    </row>
    <row r="5825" spans="1:3" x14ac:dyDescent="0.25">
      <c r="A5825" s="48" t="s">
        <v>10868</v>
      </c>
      <c r="B5825" t="s">
        <v>21854</v>
      </c>
      <c r="C5825">
        <v>0</v>
      </c>
    </row>
    <row r="5826" spans="1:3" x14ac:dyDescent="0.25">
      <c r="A5826" s="48" t="s">
        <v>3635</v>
      </c>
      <c r="B5826" t="s">
        <v>3636</v>
      </c>
      <c r="C5826">
        <v>0</v>
      </c>
    </row>
    <row r="5827" spans="1:3" x14ac:dyDescent="0.25">
      <c r="A5827" s="48" t="s">
        <v>3637</v>
      </c>
      <c r="B5827" t="s">
        <v>3638</v>
      </c>
      <c r="C5827">
        <v>0</v>
      </c>
    </row>
    <row r="5828" spans="1:3" x14ac:dyDescent="0.25">
      <c r="A5828" s="48" t="s">
        <v>14238</v>
      </c>
      <c r="B5828" t="s">
        <v>14239</v>
      </c>
      <c r="C5828">
        <v>0</v>
      </c>
    </row>
    <row r="5829" spans="1:3" x14ac:dyDescent="0.25">
      <c r="A5829" s="48" t="s">
        <v>14236</v>
      </c>
      <c r="B5829" t="s">
        <v>14237</v>
      </c>
      <c r="C5829">
        <v>13</v>
      </c>
    </row>
    <row r="5830" spans="1:3" x14ac:dyDescent="0.25">
      <c r="A5830" s="48" t="s">
        <v>6132</v>
      </c>
      <c r="B5830" t="s">
        <v>21855</v>
      </c>
      <c r="C5830">
        <v>0</v>
      </c>
    </row>
    <row r="5831" spans="1:3" x14ac:dyDescent="0.25">
      <c r="A5831" s="48" t="s">
        <v>19726</v>
      </c>
      <c r="B5831" t="s">
        <v>19727</v>
      </c>
      <c r="C5831">
        <v>0</v>
      </c>
    </row>
    <row r="5832" spans="1:3" x14ac:dyDescent="0.25">
      <c r="A5832" s="48" t="s">
        <v>19714</v>
      </c>
      <c r="B5832" t="s">
        <v>21856</v>
      </c>
      <c r="C5832">
        <v>0</v>
      </c>
    </row>
    <row r="5833" spans="1:3" x14ac:dyDescent="0.25">
      <c r="A5833" s="48" t="s">
        <v>5317</v>
      </c>
      <c r="B5833" t="s">
        <v>21857</v>
      </c>
      <c r="C5833">
        <v>0</v>
      </c>
    </row>
    <row r="5834" spans="1:3" x14ac:dyDescent="0.25">
      <c r="A5834" s="48" t="s">
        <v>15857</v>
      </c>
      <c r="B5834" t="s">
        <v>21858</v>
      </c>
      <c r="C5834">
        <v>0</v>
      </c>
    </row>
    <row r="5835" spans="1:3" x14ac:dyDescent="0.25">
      <c r="A5835" s="48" t="s">
        <v>19718</v>
      </c>
      <c r="B5835" t="s">
        <v>19719</v>
      </c>
      <c r="C5835">
        <v>8</v>
      </c>
    </row>
    <row r="5836" spans="1:3" x14ac:dyDescent="0.25">
      <c r="A5836" s="48" t="s">
        <v>18223</v>
      </c>
      <c r="B5836" t="s">
        <v>21859</v>
      </c>
      <c r="C5836">
        <v>0</v>
      </c>
    </row>
    <row r="5837" spans="1:3" x14ac:dyDescent="0.25">
      <c r="A5837" s="48" t="s">
        <v>12317</v>
      </c>
      <c r="B5837" t="s">
        <v>12318</v>
      </c>
      <c r="C5837">
        <v>0</v>
      </c>
    </row>
    <row r="5838" spans="1:3" x14ac:dyDescent="0.25">
      <c r="A5838" s="48" t="s">
        <v>16099</v>
      </c>
      <c r="B5838" t="s">
        <v>16100</v>
      </c>
      <c r="C5838">
        <v>3</v>
      </c>
    </row>
    <row r="5839" spans="1:3" x14ac:dyDescent="0.25">
      <c r="A5839" s="48" t="s">
        <v>5721</v>
      </c>
      <c r="B5839" t="s">
        <v>21860</v>
      </c>
      <c r="C5839">
        <v>0</v>
      </c>
    </row>
    <row r="5840" spans="1:3" x14ac:dyDescent="0.25">
      <c r="A5840" s="48" t="s">
        <v>6130</v>
      </c>
      <c r="B5840" t="s">
        <v>21861</v>
      </c>
      <c r="C5840">
        <v>0</v>
      </c>
    </row>
    <row r="5841" spans="1:3" x14ac:dyDescent="0.25">
      <c r="A5841" s="48" t="s">
        <v>5325</v>
      </c>
      <c r="B5841" t="s">
        <v>21862</v>
      </c>
      <c r="C5841">
        <v>0</v>
      </c>
    </row>
    <row r="5842" spans="1:3" x14ac:dyDescent="0.25">
      <c r="A5842" s="48" t="s">
        <v>5119</v>
      </c>
      <c r="B5842" t="s">
        <v>21863</v>
      </c>
      <c r="C5842">
        <v>0</v>
      </c>
    </row>
    <row r="5843" spans="1:3" x14ac:dyDescent="0.25">
      <c r="A5843" s="48" t="s">
        <v>10606</v>
      </c>
      <c r="B5843" t="s">
        <v>21864</v>
      </c>
      <c r="C5843">
        <v>3</v>
      </c>
    </row>
    <row r="5844" spans="1:3" x14ac:dyDescent="0.25">
      <c r="A5844" s="48" t="s">
        <v>14762</v>
      </c>
      <c r="B5844" t="s">
        <v>21865</v>
      </c>
      <c r="C5844">
        <v>11</v>
      </c>
    </row>
    <row r="5845" spans="1:3" x14ac:dyDescent="0.25">
      <c r="A5845" s="48" t="s">
        <v>8522</v>
      </c>
      <c r="B5845" t="s">
        <v>8523</v>
      </c>
      <c r="C5845">
        <v>7</v>
      </c>
    </row>
    <row r="5846" spans="1:3" x14ac:dyDescent="0.25">
      <c r="A5846" s="48" t="s">
        <v>15361</v>
      </c>
      <c r="B5846" t="s">
        <v>21866</v>
      </c>
      <c r="C5846">
        <v>10</v>
      </c>
    </row>
    <row r="5847" spans="1:3" x14ac:dyDescent="0.25">
      <c r="A5847" s="48" t="s">
        <v>7762</v>
      </c>
      <c r="B5847" t="s">
        <v>21867</v>
      </c>
      <c r="C5847">
        <v>5</v>
      </c>
    </row>
    <row r="5848" spans="1:3" x14ac:dyDescent="0.25">
      <c r="A5848" s="48" t="s">
        <v>14423</v>
      </c>
      <c r="B5848" t="s">
        <v>14424</v>
      </c>
      <c r="C5848">
        <v>0</v>
      </c>
    </row>
    <row r="5849" spans="1:3" x14ac:dyDescent="0.25">
      <c r="A5849" s="48" t="s">
        <v>17526</v>
      </c>
      <c r="B5849" t="s">
        <v>21868</v>
      </c>
      <c r="C5849">
        <v>2</v>
      </c>
    </row>
    <row r="5850" spans="1:3" x14ac:dyDescent="0.25">
      <c r="A5850" s="48" t="s">
        <v>10616</v>
      </c>
      <c r="B5850" t="s">
        <v>10617</v>
      </c>
      <c r="C5850">
        <v>54</v>
      </c>
    </row>
    <row r="5851" spans="1:3" x14ac:dyDescent="0.25">
      <c r="A5851" s="48" t="s">
        <v>19716</v>
      </c>
      <c r="B5851" t="s">
        <v>19717</v>
      </c>
      <c r="C5851">
        <v>3</v>
      </c>
    </row>
    <row r="5852" spans="1:3" x14ac:dyDescent="0.25">
      <c r="A5852" s="48" t="s">
        <v>14864</v>
      </c>
      <c r="B5852" t="s">
        <v>21869</v>
      </c>
      <c r="C5852">
        <v>0</v>
      </c>
    </row>
    <row r="5853" spans="1:3" x14ac:dyDescent="0.25">
      <c r="A5853" s="48" t="s">
        <v>3455</v>
      </c>
      <c r="B5853" t="s">
        <v>21870</v>
      </c>
      <c r="C5853">
        <v>0</v>
      </c>
    </row>
    <row r="5854" spans="1:3" x14ac:dyDescent="0.25">
      <c r="A5854" s="48" t="s">
        <v>10604</v>
      </c>
      <c r="B5854" t="s">
        <v>10605</v>
      </c>
      <c r="C5854">
        <v>0</v>
      </c>
    </row>
    <row r="5855" spans="1:3" x14ac:dyDescent="0.25">
      <c r="A5855" s="48" t="s">
        <v>7674</v>
      </c>
      <c r="B5855" t="s">
        <v>7675</v>
      </c>
      <c r="C5855">
        <v>0</v>
      </c>
    </row>
    <row r="5856" spans="1:3" x14ac:dyDescent="0.25">
      <c r="A5856" s="48" t="s">
        <v>14100</v>
      </c>
      <c r="B5856" t="s">
        <v>21871</v>
      </c>
      <c r="C5856">
        <v>4</v>
      </c>
    </row>
    <row r="5857" spans="1:3" x14ac:dyDescent="0.25">
      <c r="A5857" s="48" t="s">
        <v>13995</v>
      </c>
      <c r="B5857" t="s">
        <v>21872</v>
      </c>
      <c r="C5857">
        <v>0</v>
      </c>
    </row>
    <row r="5858" spans="1:3" x14ac:dyDescent="0.25">
      <c r="A5858" s="48" t="s">
        <v>14513</v>
      </c>
      <c r="B5858" t="s">
        <v>21873</v>
      </c>
      <c r="C5858">
        <v>0</v>
      </c>
    </row>
    <row r="5859" spans="1:3" x14ac:dyDescent="0.25">
      <c r="A5859" s="48" t="s">
        <v>16794</v>
      </c>
      <c r="B5859" t="s">
        <v>21874</v>
      </c>
      <c r="C5859">
        <v>0</v>
      </c>
    </row>
    <row r="5860" spans="1:3" x14ac:dyDescent="0.25">
      <c r="A5860" s="48" t="s">
        <v>16790</v>
      </c>
      <c r="B5860" t="s">
        <v>21875</v>
      </c>
      <c r="C5860">
        <v>0</v>
      </c>
    </row>
    <row r="5861" spans="1:3" x14ac:dyDescent="0.25">
      <c r="A5861" s="48" t="s">
        <v>4890</v>
      </c>
      <c r="B5861" t="s">
        <v>21876</v>
      </c>
      <c r="C5861">
        <v>0</v>
      </c>
    </row>
    <row r="5862" spans="1:3" x14ac:dyDescent="0.25">
      <c r="A5862" s="48" t="s">
        <v>17146</v>
      </c>
      <c r="B5862" t="s">
        <v>21877</v>
      </c>
      <c r="C5862">
        <v>0</v>
      </c>
    </row>
    <row r="5863" spans="1:3" x14ac:dyDescent="0.25">
      <c r="A5863" s="48" t="s">
        <v>15357</v>
      </c>
      <c r="B5863" t="s">
        <v>21878</v>
      </c>
      <c r="C5863">
        <v>8</v>
      </c>
    </row>
    <row r="5864" spans="1:3" x14ac:dyDescent="0.25">
      <c r="A5864" s="48" t="s">
        <v>15992</v>
      </c>
      <c r="B5864" t="s">
        <v>15991</v>
      </c>
      <c r="C5864">
        <v>0</v>
      </c>
    </row>
    <row r="5865" spans="1:3" x14ac:dyDescent="0.25">
      <c r="A5865" s="48" t="s">
        <v>9732</v>
      </c>
      <c r="B5865" t="s">
        <v>21879</v>
      </c>
      <c r="C5865">
        <v>3</v>
      </c>
    </row>
    <row r="5866" spans="1:3" x14ac:dyDescent="0.25">
      <c r="A5866" s="48" t="s">
        <v>1926</v>
      </c>
      <c r="B5866" t="s">
        <v>1927</v>
      </c>
      <c r="C5866">
        <v>23</v>
      </c>
    </row>
    <row r="5867" spans="1:3" x14ac:dyDescent="0.25">
      <c r="A5867" s="48" t="s">
        <v>19756</v>
      </c>
      <c r="B5867" t="s">
        <v>19757</v>
      </c>
      <c r="C5867">
        <v>0</v>
      </c>
    </row>
    <row r="5868" spans="1:3" x14ac:dyDescent="0.25">
      <c r="A5868" s="48" t="s">
        <v>7857</v>
      </c>
      <c r="B5868" t="s">
        <v>7858</v>
      </c>
      <c r="C5868">
        <v>0</v>
      </c>
    </row>
    <row r="5869" spans="1:3" x14ac:dyDescent="0.25">
      <c r="A5869" s="48" t="s">
        <v>7859</v>
      </c>
      <c r="B5869" t="s">
        <v>7860</v>
      </c>
      <c r="C5869">
        <v>0</v>
      </c>
    </row>
    <row r="5870" spans="1:3" x14ac:dyDescent="0.25">
      <c r="A5870" s="48" t="s">
        <v>11564</v>
      </c>
      <c r="B5870" t="s">
        <v>21880</v>
      </c>
      <c r="C5870">
        <v>0</v>
      </c>
    </row>
    <row r="5871" spans="1:3" x14ac:dyDescent="0.25">
      <c r="A5871" s="48" t="s">
        <v>11638</v>
      </c>
      <c r="B5871" t="s">
        <v>21881</v>
      </c>
      <c r="C5871">
        <v>0</v>
      </c>
    </row>
    <row r="5872" spans="1:3" x14ac:dyDescent="0.25">
      <c r="A5872" s="48" t="s">
        <v>17985</v>
      </c>
      <c r="B5872" t="s">
        <v>21882</v>
      </c>
      <c r="C5872">
        <v>0</v>
      </c>
    </row>
    <row r="5873" spans="1:3" x14ac:dyDescent="0.25">
      <c r="A5873" s="48" t="s">
        <v>11696</v>
      </c>
      <c r="B5873" t="s">
        <v>21883</v>
      </c>
      <c r="C5873">
        <v>6</v>
      </c>
    </row>
    <row r="5874" spans="1:3" x14ac:dyDescent="0.25">
      <c r="A5874" s="48" t="s">
        <v>6341</v>
      </c>
      <c r="B5874" t="s">
        <v>21884</v>
      </c>
      <c r="C5874">
        <v>0</v>
      </c>
    </row>
    <row r="5875" spans="1:3" x14ac:dyDescent="0.25">
      <c r="A5875" s="48" t="s">
        <v>11698</v>
      </c>
      <c r="B5875" t="s">
        <v>21885</v>
      </c>
      <c r="C5875">
        <v>0</v>
      </c>
    </row>
    <row r="5876" spans="1:3" x14ac:dyDescent="0.25">
      <c r="A5876" s="48" t="s">
        <v>10592</v>
      </c>
      <c r="B5876" t="s">
        <v>10593</v>
      </c>
      <c r="C5876">
        <v>0</v>
      </c>
    </row>
    <row r="5877" spans="1:3" x14ac:dyDescent="0.25">
      <c r="A5877" s="48" t="s">
        <v>11844</v>
      </c>
      <c r="B5877" t="s">
        <v>21886</v>
      </c>
      <c r="C5877">
        <v>0</v>
      </c>
    </row>
    <row r="5878" spans="1:3" x14ac:dyDescent="0.25">
      <c r="A5878" s="48" t="s">
        <v>6097</v>
      </c>
      <c r="B5878" t="s">
        <v>21887</v>
      </c>
      <c r="C5878">
        <v>0</v>
      </c>
    </row>
    <row r="5879" spans="1:3" x14ac:dyDescent="0.25">
      <c r="A5879" s="48" t="s">
        <v>14215</v>
      </c>
      <c r="B5879" t="s">
        <v>21888</v>
      </c>
      <c r="C5879">
        <v>3</v>
      </c>
    </row>
    <row r="5880" spans="1:3" x14ac:dyDescent="0.25">
      <c r="A5880" s="48" t="s">
        <v>14213</v>
      </c>
      <c r="B5880" t="s">
        <v>21889</v>
      </c>
      <c r="C5880">
        <v>0</v>
      </c>
    </row>
    <row r="5881" spans="1:3" x14ac:dyDescent="0.25">
      <c r="A5881" s="48" t="s">
        <v>17212</v>
      </c>
      <c r="B5881" t="s">
        <v>21890</v>
      </c>
      <c r="C5881">
        <v>2</v>
      </c>
    </row>
    <row r="5882" spans="1:3" x14ac:dyDescent="0.25">
      <c r="A5882" s="48" t="s">
        <v>11636</v>
      </c>
      <c r="B5882" t="s">
        <v>21891</v>
      </c>
      <c r="C5882">
        <v>2</v>
      </c>
    </row>
    <row r="5883" spans="1:3" x14ac:dyDescent="0.25">
      <c r="A5883" s="48" t="s">
        <v>14760</v>
      </c>
      <c r="B5883" t="s">
        <v>14761</v>
      </c>
      <c r="C5883">
        <v>0</v>
      </c>
    </row>
    <row r="5884" spans="1:3" x14ac:dyDescent="0.25">
      <c r="A5884" s="48" t="s">
        <v>15863</v>
      </c>
      <c r="B5884" t="s">
        <v>15864</v>
      </c>
      <c r="C5884">
        <v>0</v>
      </c>
    </row>
    <row r="5885" spans="1:3" x14ac:dyDescent="0.25">
      <c r="A5885" s="48" t="s">
        <v>11650</v>
      </c>
      <c r="B5885" t="s">
        <v>21892</v>
      </c>
      <c r="C5885">
        <v>2</v>
      </c>
    </row>
    <row r="5886" spans="1:3" x14ac:dyDescent="0.25">
      <c r="A5886" s="48" t="s">
        <v>11640</v>
      </c>
      <c r="B5886" t="s">
        <v>21893</v>
      </c>
      <c r="C5886">
        <v>2</v>
      </c>
    </row>
    <row r="5887" spans="1:3" x14ac:dyDescent="0.25">
      <c r="A5887" s="48" t="s">
        <v>11374</v>
      </c>
      <c r="B5887" t="s">
        <v>21894</v>
      </c>
      <c r="C5887">
        <v>1</v>
      </c>
    </row>
    <row r="5888" spans="1:3" x14ac:dyDescent="0.25">
      <c r="A5888" s="48" t="s">
        <v>11538</v>
      </c>
      <c r="B5888" t="s">
        <v>21895</v>
      </c>
      <c r="C5888">
        <v>7</v>
      </c>
    </row>
    <row r="5889" spans="1:3" x14ac:dyDescent="0.25">
      <c r="A5889" s="48" t="s">
        <v>11542</v>
      </c>
      <c r="B5889" t="s">
        <v>21896</v>
      </c>
      <c r="C5889">
        <v>2</v>
      </c>
    </row>
    <row r="5890" spans="1:3" x14ac:dyDescent="0.25">
      <c r="A5890" s="48" t="s">
        <v>18245</v>
      </c>
      <c r="B5890" t="s">
        <v>21897</v>
      </c>
      <c r="C5890">
        <v>1</v>
      </c>
    </row>
    <row r="5891" spans="1:3" x14ac:dyDescent="0.25">
      <c r="A5891" s="48" t="s">
        <v>3347</v>
      </c>
      <c r="B5891" t="s">
        <v>21898</v>
      </c>
      <c r="C5891">
        <v>1</v>
      </c>
    </row>
    <row r="5892" spans="1:3" x14ac:dyDescent="0.25">
      <c r="A5892" s="48" t="s">
        <v>11842</v>
      </c>
      <c r="B5892" t="s">
        <v>21899</v>
      </c>
      <c r="C5892">
        <v>0</v>
      </c>
    </row>
    <row r="5893" spans="1:3" x14ac:dyDescent="0.25">
      <c r="A5893" s="48" t="s">
        <v>11832</v>
      </c>
      <c r="B5893" t="s">
        <v>21900</v>
      </c>
      <c r="C5893">
        <v>1</v>
      </c>
    </row>
    <row r="5894" spans="1:3" x14ac:dyDescent="0.25">
      <c r="A5894" s="48" t="s">
        <v>11550</v>
      </c>
      <c r="B5894" t="s">
        <v>21901</v>
      </c>
      <c r="C5894">
        <v>0</v>
      </c>
    </row>
    <row r="5895" spans="1:3" x14ac:dyDescent="0.25">
      <c r="A5895" s="48" t="s">
        <v>10860</v>
      </c>
      <c r="B5895" t="s">
        <v>21902</v>
      </c>
      <c r="C5895">
        <v>0</v>
      </c>
    </row>
    <row r="5896" spans="1:3" x14ac:dyDescent="0.25">
      <c r="A5896" s="48" t="s">
        <v>17480</v>
      </c>
      <c r="B5896" t="s">
        <v>21903</v>
      </c>
      <c r="C5896">
        <v>0</v>
      </c>
    </row>
    <row r="5897" spans="1:3" x14ac:dyDescent="0.25">
      <c r="A5897" s="48" t="s">
        <v>17546</v>
      </c>
      <c r="B5897" t="s">
        <v>17547</v>
      </c>
      <c r="C5897">
        <v>0</v>
      </c>
    </row>
    <row r="5898" spans="1:3" x14ac:dyDescent="0.25">
      <c r="A5898" s="48" t="s">
        <v>15363</v>
      </c>
      <c r="B5898" t="s">
        <v>21904</v>
      </c>
      <c r="C5898">
        <v>7</v>
      </c>
    </row>
    <row r="5899" spans="1:3" x14ac:dyDescent="0.25">
      <c r="A5899" s="48" t="s">
        <v>17460</v>
      </c>
      <c r="B5899" t="s">
        <v>21905</v>
      </c>
      <c r="C5899">
        <v>0</v>
      </c>
    </row>
    <row r="5900" spans="1:3" x14ac:dyDescent="0.25">
      <c r="A5900" s="48" t="s">
        <v>17090</v>
      </c>
      <c r="B5900" t="s">
        <v>21906</v>
      </c>
      <c r="C5900">
        <v>0</v>
      </c>
    </row>
    <row r="5901" spans="1:3" x14ac:dyDescent="0.25">
      <c r="A5901" s="48" t="s">
        <v>14708</v>
      </c>
      <c r="B5901" t="s">
        <v>21907</v>
      </c>
      <c r="C5901">
        <v>0</v>
      </c>
    </row>
    <row r="5902" spans="1:3" x14ac:dyDescent="0.25">
      <c r="A5902" s="48" t="s">
        <v>7116</v>
      </c>
      <c r="B5902" t="s">
        <v>7117</v>
      </c>
      <c r="C5902">
        <v>0</v>
      </c>
    </row>
    <row r="5903" spans="1:3" x14ac:dyDescent="0.25">
      <c r="A5903" s="48" t="s">
        <v>7114</v>
      </c>
      <c r="B5903" t="s">
        <v>7115</v>
      </c>
      <c r="C5903">
        <v>0</v>
      </c>
    </row>
    <row r="5904" spans="1:3" x14ac:dyDescent="0.25">
      <c r="A5904" s="48" t="s">
        <v>10253</v>
      </c>
      <c r="B5904" t="s">
        <v>21908</v>
      </c>
      <c r="C5904">
        <v>0</v>
      </c>
    </row>
    <row r="5905" spans="1:3" x14ac:dyDescent="0.25">
      <c r="A5905" s="48" t="s">
        <v>17178</v>
      </c>
      <c r="B5905" t="s">
        <v>21909</v>
      </c>
      <c r="C5905">
        <v>0</v>
      </c>
    </row>
    <row r="5906" spans="1:3" x14ac:dyDescent="0.25">
      <c r="A5906" s="48" t="s">
        <v>11644</v>
      </c>
      <c r="B5906" t="s">
        <v>21910</v>
      </c>
      <c r="C5906">
        <v>4</v>
      </c>
    </row>
    <row r="5907" spans="1:3" x14ac:dyDescent="0.25">
      <c r="A5907" s="48" t="s">
        <v>11646</v>
      </c>
      <c r="B5907" t="s">
        <v>21911</v>
      </c>
      <c r="C5907">
        <v>0</v>
      </c>
    </row>
    <row r="5908" spans="1:3" x14ac:dyDescent="0.25">
      <c r="A5908" s="48" t="s">
        <v>11648</v>
      </c>
      <c r="B5908" t="s">
        <v>21912</v>
      </c>
      <c r="C5908">
        <v>0</v>
      </c>
    </row>
    <row r="5909" spans="1:3" x14ac:dyDescent="0.25">
      <c r="A5909" s="48" t="s">
        <v>15423</v>
      </c>
      <c r="B5909" t="s">
        <v>21913</v>
      </c>
      <c r="C5909">
        <v>0</v>
      </c>
    </row>
    <row r="5910" spans="1:3" x14ac:dyDescent="0.25">
      <c r="A5910" s="48" t="s">
        <v>16544</v>
      </c>
      <c r="B5910" t="s">
        <v>21914</v>
      </c>
      <c r="C5910">
        <v>5</v>
      </c>
    </row>
    <row r="5911" spans="1:3" x14ac:dyDescent="0.25">
      <c r="A5911" s="48" t="s">
        <v>10245</v>
      </c>
      <c r="B5911" t="s">
        <v>21915</v>
      </c>
      <c r="C5911">
        <v>0</v>
      </c>
    </row>
    <row r="5912" spans="1:3" x14ac:dyDescent="0.25">
      <c r="A5912" s="48" t="s">
        <v>14764</v>
      </c>
      <c r="B5912" t="s">
        <v>21916</v>
      </c>
      <c r="C5912">
        <v>0</v>
      </c>
    </row>
    <row r="5913" spans="1:3" x14ac:dyDescent="0.25">
      <c r="A5913" s="48" t="s">
        <v>14654</v>
      </c>
      <c r="B5913" t="s">
        <v>14655</v>
      </c>
      <c r="C5913">
        <v>0</v>
      </c>
    </row>
    <row r="5914" spans="1:3" x14ac:dyDescent="0.25">
      <c r="A5914" s="48" t="s">
        <v>17188</v>
      </c>
      <c r="B5914" t="s">
        <v>21917</v>
      </c>
      <c r="C5914">
        <v>0</v>
      </c>
    </row>
    <row r="5915" spans="1:3" x14ac:dyDescent="0.25">
      <c r="A5915" s="48" t="s">
        <v>16776</v>
      </c>
      <c r="B5915" t="s">
        <v>21918</v>
      </c>
      <c r="C5915">
        <v>0</v>
      </c>
    </row>
    <row r="5916" spans="1:3" x14ac:dyDescent="0.25">
      <c r="A5916" s="48" t="s">
        <v>17901</v>
      </c>
      <c r="B5916" t="s">
        <v>17902</v>
      </c>
      <c r="C5916">
        <v>0</v>
      </c>
    </row>
    <row r="5917" spans="1:3" x14ac:dyDescent="0.25">
      <c r="A5917" s="48" t="s">
        <v>19708</v>
      </c>
      <c r="B5917" t="s">
        <v>21919</v>
      </c>
      <c r="C5917">
        <v>0</v>
      </c>
    </row>
    <row r="5918" spans="1:3" x14ac:dyDescent="0.25">
      <c r="A5918" s="48" t="s">
        <v>8347</v>
      </c>
      <c r="B5918" t="s">
        <v>21920</v>
      </c>
      <c r="C5918">
        <v>0</v>
      </c>
    </row>
    <row r="5919" spans="1:3" x14ac:dyDescent="0.25">
      <c r="A5919" s="48" t="s">
        <v>19557</v>
      </c>
      <c r="B5919" t="s">
        <v>21921</v>
      </c>
      <c r="C5919">
        <v>0</v>
      </c>
    </row>
    <row r="5920" spans="1:3" x14ac:dyDescent="0.25">
      <c r="A5920" s="48" t="s">
        <v>19555</v>
      </c>
      <c r="B5920" t="s">
        <v>21922</v>
      </c>
      <c r="C5920">
        <v>1</v>
      </c>
    </row>
    <row r="5921" spans="1:3" x14ac:dyDescent="0.25">
      <c r="A5921" s="48" t="s">
        <v>11754</v>
      </c>
      <c r="B5921" t="s">
        <v>21923</v>
      </c>
      <c r="C5921">
        <v>0</v>
      </c>
    </row>
    <row r="5922" spans="1:3" x14ac:dyDescent="0.25">
      <c r="A5922" s="48" t="s">
        <v>16145</v>
      </c>
      <c r="B5922" t="s">
        <v>21924</v>
      </c>
      <c r="C5922">
        <v>3</v>
      </c>
    </row>
    <row r="5923" spans="1:3" x14ac:dyDescent="0.25">
      <c r="A5923" s="48" t="s">
        <v>17502</v>
      </c>
      <c r="B5923" t="s">
        <v>21925</v>
      </c>
      <c r="C5923">
        <v>0</v>
      </c>
    </row>
    <row r="5924" spans="1:3" x14ac:dyDescent="0.25">
      <c r="A5924" s="48" t="s">
        <v>10818</v>
      </c>
      <c r="B5924" t="s">
        <v>21926</v>
      </c>
      <c r="C5924">
        <v>0</v>
      </c>
    </row>
    <row r="5925" spans="1:3" x14ac:dyDescent="0.25">
      <c r="A5925" s="48" t="s">
        <v>10990</v>
      </c>
      <c r="B5925" t="s">
        <v>21927</v>
      </c>
      <c r="C5925">
        <v>0</v>
      </c>
    </row>
    <row r="5926" spans="1:3" x14ac:dyDescent="0.25">
      <c r="A5926" s="48" t="s">
        <v>10854</v>
      </c>
      <c r="B5926" t="s">
        <v>21928</v>
      </c>
      <c r="C5926">
        <v>0</v>
      </c>
    </row>
    <row r="5927" spans="1:3" x14ac:dyDescent="0.25">
      <c r="A5927" s="48" t="s">
        <v>10816</v>
      </c>
      <c r="B5927" t="s">
        <v>21929</v>
      </c>
      <c r="C5927">
        <v>0</v>
      </c>
    </row>
    <row r="5928" spans="1:3" x14ac:dyDescent="0.25">
      <c r="A5928" s="48" t="s">
        <v>10998</v>
      </c>
      <c r="B5928" t="s">
        <v>21930</v>
      </c>
      <c r="C5928">
        <v>0</v>
      </c>
    </row>
    <row r="5929" spans="1:3" x14ac:dyDescent="0.25">
      <c r="A5929" s="48" t="s">
        <v>5167</v>
      </c>
      <c r="B5929" t="s">
        <v>21931</v>
      </c>
      <c r="C5929">
        <v>0</v>
      </c>
    </row>
    <row r="5930" spans="1:3" x14ac:dyDescent="0.25">
      <c r="A5930" s="48" t="s">
        <v>5165</v>
      </c>
      <c r="B5930" t="s">
        <v>21932</v>
      </c>
      <c r="C5930">
        <v>0</v>
      </c>
    </row>
    <row r="5931" spans="1:3" x14ac:dyDescent="0.25">
      <c r="A5931" s="48" t="s">
        <v>16676</v>
      </c>
      <c r="B5931" t="s">
        <v>21933</v>
      </c>
      <c r="C5931">
        <v>4</v>
      </c>
    </row>
    <row r="5932" spans="1:3" x14ac:dyDescent="0.25">
      <c r="A5932" s="48" t="s">
        <v>6161</v>
      </c>
      <c r="B5932" t="s">
        <v>6162</v>
      </c>
      <c r="C5932">
        <v>0</v>
      </c>
    </row>
    <row r="5933" spans="1:3" x14ac:dyDescent="0.25">
      <c r="A5933" s="48" t="s">
        <v>10169</v>
      </c>
      <c r="B5933" t="s">
        <v>21934</v>
      </c>
      <c r="C5933">
        <v>3</v>
      </c>
    </row>
    <row r="5934" spans="1:3" x14ac:dyDescent="0.25">
      <c r="A5934" s="48" t="s">
        <v>10179</v>
      </c>
      <c r="B5934" t="s">
        <v>21935</v>
      </c>
      <c r="C5934">
        <v>4</v>
      </c>
    </row>
    <row r="5935" spans="1:3" x14ac:dyDescent="0.25">
      <c r="A5935" s="48" t="s">
        <v>19686</v>
      </c>
      <c r="B5935" t="s">
        <v>21936</v>
      </c>
      <c r="C5935">
        <v>0</v>
      </c>
    </row>
    <row r="5936" spans="1:3" x14ac:dyDescent="0.25">
      <c r="A5936" s="48" t="s">
        <v>6587</v>
      </c>
      <c r="B5936" t="s">
        <v>6588</v>
      </c>
      <c r="C5936">
        <v>0</v>
      </c>
    </row>
    <row r="5937" spans="1:3" x14ac:dyDescent="0.25">
      <c r="A5937" s="48" t="s">
        <v>15984</v>
      </c>
      <c r="B5937" t="s">
        <v>15985</v>
      </c>
      <c r="C5937">
        <v>18</v>
      </c>
    </row>
    <row r="5938" spans="1:3" x14ac:dyDescent="0.25">
      <c r="A5938" s="48" t="s">
        <v>15993</v>
      </c>
      <c r="B5938" t="s">
        <v>21937</v>
      </c>
      <c r="C5938">
        <v>20</v>
      </c>
    </row>
    <row r="5939" spans="1:3" x14ac:dyDescent="0.25">
      <c r="A5939" s="48" t="s">
        <v>15973</v>
      </c>
      <c r="B5939" t="s">
        <v>15974</v>
      </c>
      <c r="C5939">
        <v>0</v>
      </c>
    </row>
    <row r="5940" spans="1:3" x14ac:dyDescent="0.25">
      <c r="A5940" s="48" t="s">
        <v>15975</v>
      </c>
      <c r="B5940" t="s">
        <v>15976</v>
      </c>
      <c r="C5940">
        <v>17</v>
      </c>
    </row>
    <row r="5941" spans="1:3" x14ac:dyDescent="0.25">
      <c r="A5941" s="48" t="s">
        <v>14860</v>
      </c>
      <c r="B5941" t="s">
        <v>14861</v>
      </c>
      <c r="C5941">
        <v>0</v>
      </c>
    </row>
    <row r="5942" spans="1:3" x14ac:dyDescent="0.25">
      <c r="A5942" s="48" t="s">
        <v>11880</v>
      </c>
      <c r="B5942" t="s">
        <v>21938</v>
      </c>
      <c r="C5942">
        <v>3</v>
      </c>
    </row>
    <row r="5943" spans="1:3" x14ac:dyDescent="0.25">
      <c r="A5943" s="48" t="s">
        <v>11882</v>
      </c>
      <c r="B5943" t="s">
        <v>11883</v>
      </c>
      <c r="C5943">
        <v>8</v>
      </c>
    </row>
    <row r="5944" spans="1:3" x14ac:dyDescent="0.25">
      <c r="A5944" s="48" t="s">
        <v>11872</v>
      </c>
      <c r="B5944" t="s">
        <v>21939</v>
      </c>
      <c r="C5944">
        <v>3</v>
      </c>
    </row>
    <row r="5945" spans="1:3" x14ac:dyDescent="0.25">
      <c r="A5945" s="48" t="s">
        <v>11874</v>
      </c>
      <c r="B5945" t="s">
        <v>21940</v>
      </c>
      <c r="C5945">
        <v>1</v>
      </c>
    </row>
    <row r="5946" spans="1:3" x14ac:dyDescent="0.25">
      <c r="A5946" s="48" t="s">
        <v>11870</v>
      </c>
      <c r="B5946" t="s">
        <v>21941</v>
      </c>
      <c r="C5946">
        <v>0</v>
      </c>
    </row>
    <row r="5947" spans="1:3" x14ac:dyDescent="0.25">
      <c r="A5947" s="48" t="s">
        <v>11868</v>
      </c>
      <c r="B5947" t="s">
        <v>21942</v>
      </c>
      <c r="C5947">
        <v>0</v>
      </c>
    </row>
    <row r="5948" spans="1:3" x14ac:dyDescent="0.25">
      <c r="A5948" s="48" t="s">
        <v>11866</v>
      </c>
      <c r="B5948" t="s">
        <v>21943</v>
      </c>
      <c r="C5948">
        <v>0</v>
      </c>
    </row>
    <row r="5949" spans="1:3" x14ac:dyDescent="0.25">
      <c r="A5949" s="48" t="s">
        <v>11864</v>
      </c>
      <c r="B5949" t="s">
        <v>21944</v>
      </c>
      <c r="C5949">
        <v>6</v>
      </c>
    </row>
    <row r="5950" spans="1:3" x14ac:dyDescent="0.25">
      <c r="A5950" s="48" t="s">
        <v>11860</v>
      </c>
      <c r="B5950" t="s">
        <v>21945</v>
      </c>
      <c r="C5950">
        <v>0</v>
      </c>
    </row>
    <row r="5951" spans="1:3" x14ac:dyDescent="0.25">
      <c r="A5951" s="48" t="s">
        <v>11862</v>
      </c>
      <c r="B5951" t="s">
        <v>21946</v>
      </c>
      <c r="C5951">
        <v>3</v>
      </c>
    </row>
    <row r="5952" spans="1:3" x14ac:dyDescent="0.25">
      <c r="A5952" s="48" t="s">
        <v>8323</v>
      </c>
      <c r="B5952" t="s">
        <v>21947</v>
      </c>
      <c r="C5952">
        <v>0</v>
      </c>
    </row>
    <row r="5953" spans="1:3" x14ac:dyDescent="0.25">
      <c r="A5953" s="48" t="s">
        <v>14497</v>
      </c>
      <c r="B5953" t="s">
        <v>14498</v>
      </c>
      <c r="C5953">
        <v>0</v>
      </c>
    </row>
    <row r="5954" spans="1:3" x14ac:dyDescent="0.25">
      <c r="A5954" s="48" t="s">
        <v>22973</v>
      </c>
      <c r="B5954" t="s">
        <v>3636</v>
      </c>
      <c r="C5954">
        <v>0</v>
      </c>
    </row>
    <row r="5955" spans="1:3" x14ac:dyDescent="0.25">
      <c r="A5955" s="48" t="s">
        <v>22974</v>
      </c>
      <c r="B5955" t="s">
        <v>3638</v>
      </c>
      <c r="C5955">
        <v>3</v>
      </c>
    </row>
    <row r="5956" spans="1:3" x14ac:dyDescent="0.25">
      <c r="A5956" s="48" t="s">
        <v>16330</v>
      </c>
      <c r="B5956" t="s">
        <v>16331</v>
      </c>
      <c r="C5956">
        <v>4</v>
      </c>
    </row>
    <row r="5957" spans="1:3" x14ac:dyDescent="0.25">
      <c r="A5957" s="48" t="s">
        <v>17476</v>
      </c>
      <c r="B5957" t="s">
        <v>22907</v>
      </c>
      <c r="C5957">
        <v>0</v>
      </c>
    </row>
    <row r="5958" spans="1:3" x14ac:dyDescent="0.25">
      <c r="A5958" s="48" t="s">
        <v>17510</v>
      </c>
      <c r="B5958" t="s">
        <v>21948</v>
      </c>
      <c r="C5958">
        <v>0</v>
      </c>
    </row>
    <row r="5959" spans="1:3" x14ac:dyDescent="0.25">
      <c r="A5959" s="48" t="s">
        <v>17520</v>
      </c>
      <c r="B5959" t="s">
        <v>21949</v>
      </c>
      <c r="C5959">
        <v>0</v>
      </c>
    </row>
    <row r="5960" spans="1:3" x14ac:dyDescent="0.25">
      <c r="A5960" s="48" t="s">
        <v>15609</v>
      </c>
      <c r="B5960" t="s">
        <v>21950</v>
      </c>
      <c r="C5960">
        <v>0</v>
      </c>
    </row>
    <row r="5961" spans="1:3" x14ac:dyDescent="0.25">
      <c r="A5961" s="48" t="s">
        <v>17148</v>
      </c>
      <c r="B5961" t="s">
        <v>21951</v>
      </c>
      <c r="C5961">
        <v>0</v>
      </c>
    </row>
    <row r="5962" spans="1:3" x14ac:dyDescent="0.25">
      <c r="A5962" s="48" t="s">
        <v>17144</v>
      </c>
      <c r="B5962" t="s">
        <v>21952</v>
      </c>
      <c r="C5962">
        <v>0</v>
      </c>
    </row>
    <row r="5963" spans="1:3" x14ac:dyDescent="0.25">
      <c r="A5963" s="48" t="s">
        <v>17094</v>
      </c>
      <c r="B5963" t="s">
        <v>21953</v>
      </c>
      <c r="C5963">
        <v>0</v>
      </c>
    </row>
    <row r="5964" spans="1:3" x14ac:dyDescent="0.25">
      <c r="A5964" s="48" t="s">
        <v>3349</v>
      </c>
      <c r="B5964" t="s">
        <v>3350</v>
      </c>
      <c r="C5964">
        <v>0</v>
      </c>
    </row>
    <row r="5965" spans="1:3" x14ac:dyDescent="0.25">
      <c r="A5965" s="48" t="s">
        <v>17943</v>
      </c>
      <c r="B5965" t="s">
        <v>21954</v>
      </c>
      <c r="C5965">
        <v>0</v>
      </c>
    </row>
    <row r="5966" spans="1:3" x14ac:dyDescent="0.25">
      <c r="A5966" s="48" t="s">
        <v>14096</v>
      </c>
      <c r="B5966" t="s">
        <v>21955</v>
      </c>
      <c r="C5966">
        <v>0</v>
      </c>
    </row>
    <row r="5967" spans="1:3" x14ac:dyDescent="0.25">
      <c r="A5967" s="48" t="s">
        <v>9820</v>
      </c>
      <c r="B5967" t="s">
        <v>21956</v>
      </c>
      <c r="C5967">
        <v>0</v>
      </c>
    </row>
    <row r="5968" spans="1:3" x14ac:dyDescent="0.25">
      <c r="A5968" s="48" t="s">
        <v>14750</v>
      </c>
      <c r="B5968" t="s">
        <v>21957</v>
      </c>
      <c r="C5968">
        <v>0</v>
      </c>
    </row>
    <row r="5969" spans="1:3" x14ac:dyDescent="0.25">
      <c r="A5969" s="48" t="s">
        <v>17258</v>
      </c>
      <c r="B5969" t="s">
        <v>17259</v>
      </c>
      <c r="C5969">
        <v>0</v>
      </c>
    </row>
    <row r="5970" spans="1:3" x14ac:dyDescent="0.25">
      <c r="A5970" s="48" t="s">
        <v>9148</v>
      </c>
      <c r="B5970" t="s">
        <v>9149</v>
      </c>
      <c r="C5970">
        <v>11</v>
      </c>
    </row>
    <row r="5971" spans="1:3" x14ac:dyDescent="0.25">
      <c r="A5971" s="48" t="s">
        <v>5315</v>
      </c>
      <c r="B5971" t="s">
        <v>21958</v>
      </c>
      <c r="C5971">
        <v>0</v>
      </c>
    </row>
    <row r="5972" spans="1:3" x14ac:dyDescent="0.25">
      <c r="A5972" s="48" t="s">
        <v>8860</v>
      </c>
      <c r="B5972" t="s">
        <v>8861</v>
      </c>
      <c r="C5972">
        <v>0</v>
      </c>
    </row>
    <row r="5973" spans="1:3" x14ac:dyDescent="0.25">
      <c r="A5973" s="48" t="s">
        <v>8854</v>
      </c>
      <c r="B5973" t="s">
        <v>8855</v>
      </c>
      <c r="C5973">
        <v>1</v>
      </c>
    </row>
    <row r="5974" spans="1:3" x14ac:dyDescent="0.25">
      <c r="A5974" s="48" t="s">
        <v>8866</v>
      </c>
      <c r="B5974" t="s">
        <v>8867</v>
      </c>
      <c r="C5974">
        <v>0</v>
      </c>
    </row>
    <row r="5975" spans="1:3" x14ac:dyDescent="0.25">
      <c r="A5975" s="48" t="s">
        <v>8858</v>
      </c>
      <c r="B5975" t="s">
        <v>8859</v>
      </c>
      <c r="C5975">
        <v>12</v>
      </c>
    </row>
    <row r="5976" spans="1:3" x14ac:dyDescent="0.25">
      <c r="A5976" s="48" t="s">
        <v>8856</v>
      </c>
      <c r="B5976" t="s">
        <v>8857</v>
      </c>
      <c r="C5976">
        <v>0</v>
      </c>
    </row>
    <row r="5977" spans="1:3" x14ac:dyDescent="0.25">
      <c r="A5977" s="48" t="s">
        <v>8852</v>
      </c>
      <c r="B5977" t="s">
        <v>8853</v>
      </c>
      <c r="C5977">
        <v>0</v>
      </c>
    </row>
    <row r="5978" spans="1:3" x14ac:dyDescent="0.25">
      <c r="A5978" s="48" t="s">
        <v>8864</v>
      </c>
      <c r="B5978" t="s">
        <v>8865</v>
      </c>
      <c r="C5978">
        <v>1</v>
      </c>
    </row>
    <row r="5979" spans="1:3" x14ac:dyDescent="0.25">
      <c r="A5979" s="48" t="s">
        <v>8850</v>
      </c>
      <c r="B5979" t="s">
        <v>8851</v>
      </c>
      <c r="C5979">
        <v>0</v>
      </c>
    </row>
    <row r="5980" spans="1:3" x14ac:dyDescent="0.25">
      <c r="A5980" s="48" t="s">
        <v>8862</v>
      </c>
      <c r="B5980" t="s">
        <v>8863</v>
      </c>
      <c r="C5980">
        <v>13</v>
      </c>
    </row>
    <row r="5981" spans="1:3" x14ac:dyDescent="0.25">
      <c r="A5981" s="48" t="s">
        <v>17472</v>
      </c>
      <c r="B5981" t="s">
        <v>17473</v>
      </c>
      <c r="C5981">
        <v>0</v>
      </c>
    </row>
    <row r="5982" spans="1:3" x14ac:dyDescent="0.25">
      <c r="A5982" s="48" t="s">
        <v>2039</v>
      </c>
      <c r="B5982" t="s">
        <v>2040</v>
      </c>
      <c r="C5982">
        <v>5</v>
      </c>
    </row>
    <row r="5983" spans="1:3" x14ac:dyDescent="0.25">
      <c r="A5983" s="48" t="s">
        <v>2035</v>
      </c>
      <c r="B5983" t="s">
        <v>21959</v>
      </c>
      <c r="C5983">
        <v>9</v>
      </c>
    </row>
    <row r="5984" spans="1:3" x14ac:dyDescent="0.25">
      <c r="A5984" s="48" t="s">
        <v>2031</v>
      </c>
      <c r="B5984" t="s">
        <v>2032</v>
      </c>
      <c r="C5984">
        <v>29</v>
      </c>
    </row>
    <row r="5985" spans="1:3" x14ac:dyDescent="0.25">
      <c r="A5985" s="48" t="s">
        <v>2021</v>
      </c>
      <c r="B5985" t="s">
        <v>2022</v>
      </c>
      <c r="C5985">
        <v>81</v>
      </c>
    </row>
    <row r="5986" spans="1:3" x14ac:dyDescent="0.25">
      <c r="A5986" s="48" t="s">
        <v>2041</v>
      </c>
      <c r="B5986" t="s">
        <v>2042</v>
      </c>
      <c r="C5986">
        <v>53</v>
      </c>
    </row>
    <row r="5987" spans="1:3" x14ac:dyDescent="0.25">
      <c r="A5987" s="48" t="s">
        <v>2043</v>
      </c>
      <c r="B5987" t="s">
        <v>2044</v>
      </c>
      <c r="C5987">
        <v>8</v>
      </c>
    </row>
    <row r="5988" spans="1:3" x14ac:dyDescent="0.25">
      <c r="A5988" s="48" t="s">
        <v>839</v>
      </c>
      <c r="B5988" t="s">
        <v>840</v>
      </c>
      <c r="C5988">
        <v>6</v>
      </c>
    </row>
    <row r="5989" spans="1:3" x14ac:dyDescent="0.25">
      <c r="A5989" s="48" t="s">
        <v>2045</v>
      </c>
      <c r="B5989" t="s">
        <v>2046</v>
      </c>
      <c r="C5989">
        <v>0</v>
      </c>
    </row>
    <row r="5990" spans="1:3" x14ac:dyDescent="0.25">
      <c r="A5990" s="48" t="s">
        <v>2047</v>
      </c>
      <c r="B5990" t="s">
        <v>2048</v>
      </c>
      <c r="C5990">
        <v>4</v>
      </c>
    </row>
    <row r="5991" spans="1:3" x14ac:dyDescent="0.25">
      <c r="A5991" s="48" t="s">
        <v>2025</v>
      </c>
      <c r="B5991" t="s">
        <v>2026</v>
      </c>
      <c r="C5991">
        <v>0</v>
      </c>
    </row>
    <row r="5992" spans="1:3" x14ac:dyDescent="0.25">
      <c r="A5992" s="48" t="s">
        <v>517</v>
      </c>
      <c r="B5992" t="s">
        <v>518</v>
      </c>
      <c r="C5992">
        <v>17</v>
      </c>
    </row>
    <row r="5993" spans="1:3" x14ac:dyDescent="0.25">
      <c r="A5993" s="48" t="s">
        <v>2023</v>
      </c>
      <c r="B5993" t="s">
        <v>21960</v>
      </c>
      <c r="C5993">
        <v>38</v>
      </c>
    </row>
    <row r="5994" spans="1:3" x14ac:dyDescent="0.25">
      <c r="A5994" s="48" t="s">
        <v>2051</v>
      </c>
      <c r="B5994" t="s">
        <v>2052</v>
      </c>
      <c r="C5994">
        <v>5</v>
      </c>
    </row>
    <row r="5995" spans="1:3" x14ac:dyDescent="0.25">
      <c r="A5995" s="48" t="s">
        <v>2059</v>
      </c>
      <c r="B5995" t="s">
        <v>2060</v>
      </c>
      <c r="C5995">
        <v>19</v>
      </c>
    </row>
    <row r="5996" spans="1:3" x14ac:dyDescent="0.25">
      <c r="A5996" s="48" t="s">
        <v>2055</v>
      </c>
      <c r="B5996" t="s">
        <v>2056</v>
      </c>
      <c r="C5996">
        <v>22</v>
      </c>
    </row>
    <row r="5997" spans="1:3" x14ac:dyDescent="0.25">
      <c r="A5997" s="48" t="s">
        <v>2014</v>
      </c>
      <c r="B5997" t="s">
        <v>2015</v>
      </c>
      <c r="C5997">
        <v>17</v>
      </c>
    </row>
    <row r="5998" spans="1:3" x14ac:dyDescent="0.25">
      <c r="A5998" s="48" t="s">
        <v>2057</v>
      </c>
      <c r="B5998" t="s">
        <v>2058</v>
      </c>
      <c r="C5998">
        <v>6</v>
      </c>
    </row>
    <row r="5999" spans="1:3" x14ac:dyDescent="0.25">
      <c r="A5999" s="48" t="s">
        <v>2086</v>
      </c>
      <c r="B5999" t="s">
        <v>2087</v>
      </c>
      <c r="C5999">
        <v>6</v>
      </c>
    </row>
    <row r="6000" spans="1:3" x14ac:dyDescent="0.25">
      <c r="A6000" s="48" t="s">
        <v>2053</v>
      </c>
      <c r="B6000" t="s">
        <v>2054</v>
      </c>
      <c r="C6000">
        <v>0</v>
      </c>
    </row>
    <row r="6001" spans="1:3" x14ac:dyDescent="0.25">
      <c r="A6001" s="48" t="s">
        <v>2074</v>
      </c>
      <c r="B6001" t="s">
        <v>21961</v>
      </c>
      <c r="C6001">
        <v>10</v>
      </c>
    </row>
    <row r="6002" spans="1:3" x14ac:dyDescent="0.25">
      <c r="A6002" s="48" t="s">
        <v>2067</v>
      </c>
      <c r="B6002" t="s">
        <v>21962</v>
      </c>
      <c r="C6002">
        <v>42</v>
      </c>
    </row>
    <row r="6003" spans="1:3" x14ac:dyDescent="0.25">
      <c r="A6003" s="48" t="s">
        <v>2078</v>
      </c>
      <c r="B6003" t="s">
        <v>2079</v>
      </c>
      <c r="C6003">
        <v>32</v>
      </c>
    </row>
    <row r="6004" spans="1:3" x14ac:dyDescent="0.25">
      <c r="A6004" s="48" t="s">
        <v>1317</v>
      </c>
      <c r="B6004" t="s">
        <v>1318</v>
      </c>
      <c r="C6004">
        <v>51</v>
      </c>
    </row>
    <row r="6005" spans="1:3" x14ac:dyDescent="0.25">
      <c r="A6005" s="48" t="s">
        <v>2090</v>
      </c>
      <c r="B6005" t="s">
        <v>21963</v>
      </c>
      <c r="C6005">
        <v>8</v>
      </c>
    </row>
    <row r="6006" spans="1:3" x14ac:dyDescent="0.25">
      <c r="A6006" s="48" t="s">
        <v>2088</v>
      </c>
      <c r="B6006" t="s">
        <v>2089</v>
      </c>
      <c r="C6006">
        <v>8</v>
      </c>
    </row>
    <row r="6007" spans="1:3" x14ac:dyDescent="0.25">
      <c r="A6007" s="48" t="s">
        <v>2068</v>
      </c>
      <c r="B6007" t="s">
        <v>21964</v>
      </c>
      <c r="C6007">
        <v>35</v>
      </c>
    </row>
    <row r="6008" spans="1:3" x14ac:dyDescent="0.25">
      <c r="A6008" s="48" t="s">
        <v>2070</v>
      </c>
      <c r="B6008" t="s">
        <v>21965</v>
      </c>
      <c r="C6008">
        <v>9</v>
      </c>
    </row>
    <row r="6009" spans="1:3" x14ac:dyDescent="0.25">
      <c r="A6009" s="48" t="s">
        <v>2076</v>
      </c>
      <c r="B6009" t="s">
        <v>2077</v>
      </c>
      <c r="C6009">
        <v>4</v>
      </c>
    </row>
    <row r="6010" spans="1:3" x14ac:dyDescent="0.25">
      <c r="A6010" s="48" t="s">
        <v>1345</v>
      </c>
      <c r="B6010" t="s">
        <v>1346</v>
      </c>
      <c r="C6010">
        <v>56</v>
      </c>
    </row>
    <row r="6011" spans="1:3" x14ac:dyDescent="0.25">
      <c r="A6011" s="48" t="s">
        <v>2061</v>
      </c>
      <c r="B6011" t="s">
        <v>2062</v>
      </c>
      <c r="C6011">
        <v>12</v>
      </c>
    </row>
    <row r="6012" spans="1:3" x14ac:dyDescent="0.25">
      <c r="A6012" s="48" t="s">
        <v>2016</v>
      </c>
      <c r="B6012" t="s">
        <v>2017</v>
      </c>
      <c r="C6012">
        <v>21</v>
      </c>
    </row>
    <row r="6013" spans="1:3" x14ac:dyDescent="0.25">
      <c r="A6013" s="48" t="s">
        <v>2063</v>
      </c>
      <c r="B6013" t="s">
        <v>2064</v>
      </c>
      <c r="C6013">
        <v>19</v>
      </c>
    </row>
    <row r="6014" spans="1:3" x14ac:dyDescent="0.25">
      <c r="A6014" s="48" t="s">
        <v>2018</v>
      </c>
      <c r="B6014" t="s">
        <v>2019</v>
      </c>
      <c r="C6014">
        <v>23</v>
      </c>
    </row>
    <row r="6015" spans="1:3" x14ac:dyDescent="0.25">
      <c r="A6015" s="48" t="s">
        <v>957</v>
      </c>
      <c r="B6015" t="s">
        <v>958</v>
      </c>
      <c r="C6015">
        <v>21</v>
      </c>
    </row>
    <row r="6016" spans="1:3" x14ac:dyDescent="0.25">
      <c r="A6016" s="48" t="s">
        <v>701</v>
      </c>
      <c r="B6016" t="s">
        <v>702</v>
      </c>
      <c r="C6016">
        <v>4</v>
      </c>
    </row>
    <row r="6017" spans="1:3" x14ac:dyDescent="0.25">
      <c r="A6017" s="48" t="s">
        <v>2114</v>
      </c>
      <c r="B6017" t="s">
        <v>2115</v>
      </c>
      <c r="C6017">
        <v>1</v>
      </c>
    </row>
    <row r="6018" spans="1:3" x14ac:dyDescent="0.25">
      <c r="A6018" s="48" t="s">
        <v>1677</v>
      </c>
      <c r="B6018" t="s">
        <v>1678</v>
      </c>
      <c r="C6018">
        <v>32</v>
      </c>
    </row>
    <row r="6019" spans="1:3" x14ac:dyDescent="0.25">
      <c r="A6019" s="48" t="s">
        <v>2110</v>
      </c>
      <c r="B6019" t="s">
        <v>2111</v>
      </c>
      <c r="C6019">
        <v>6</v>
      </c>
    </row>
    <row r="6020" spans="1:3" x14ac:dyDescent="0.25">
      <c r="A6020" s="48" t="s">
        <v>2116</v>
      </c>
      <c r="B6020" t="s">
        <v>21966</v>
      </c>
      <c r="C6020">
        <v>4</v>
      </c>
    </row>
    <row r="6021" spans="1:3" x14ac:dyDescent="0.25">
      <c r="A6021" s="48" t="s">
        <v>1209</v>
      </c>
      <c r="B6021" t="s">
        <v>1210</v>
      </c>
      <c r="C6021">
        <v>19</v>
      </c>
    </row>
    <row r="6022" spans="1:3" x14ac:dyDescent="0.25">
      <c r="A6022" s="48" t="s">
        <v>2112</v>
      </c>
      <c r="B6022" t="s">
        <v>2113</v>
      </c>
      <c r="C6022">
        <v>6</v>
      </c>
    </row>
    <row r="6023" spans="1:3" x14ac:dyDescent="0.25">
      <c r="A6023" s="48" t="s">
        <v>2108</v>
      </c>
      <c r="B6023" t="s">
        <v>2109</v>
      </c>
      <c r="C6023">
        <v>3</v>
      </c>
    </row>
    <row r="6024" spans="1:3" x14ac:dyDescent="0.25">
      <c r="A6024" s="48" t="s">
        <v>2029</v>
      </c>
      <c r="B6024" t="s">
        <v>2030</v>
      </c>
      <c r="C6024">
        <v>11</v>
      </c>
    </row>
    <row r="6025" spans="1:3" x14ac:dyDescent="0.25">
      <c r="A6025" s="48" t="s">
        <v>2000</v>
      </c>
      <c r="B6025" t="s">
        <v>2001</v>
      </c>
      <c r="C6025">
        <v>43</v>
      </c>
    </row>
    <row r="6026" spans="1:3" x14ac:dyDescent="0.25">
      <c r="A6026" s="48" t="s">
        <v>2122</v>
      </c>
      <c r="B6026" t="s">
        <v>2123</v>
      </c>
      <c r="C6026">
        <v>0</v>
      </c>
    </row>
    <row r="6027" spans="1:3" x14ac:dyDescent="0.25">
      <c r="A6027" s="48" t="s">
        <v>2128</v>
      </c>
      <c r="B6027" t="s">
        <v>2129</v>
      </c>
      <c r="C6027">
        <v>0</v>
      </c>
    </row>
    <row r="6028" spans="1:3" x14ac:dyDescent="0.25">
      <c r="A6028" s="48" t="s">
        <v>2124</v>
      </c>
      <c r="B6028" t="s">
        <v>2125</v>
      </c>
      <c r="C6028">
        <v>0</v>
      </c>
    </row>
    <row r="6029" spans="1:3" x14ac:dyDescent="0.25">
      <c r="A6029" s="48" t="s">
        <v>2130</v>
      </c>
      <c r="B6029" t="s">
        <v>2131</v>
      </c>
      <c r="C6029">
        <v>0</v>
      </c>
    </row>
    <row r="6030" spans="1:3" x14ac:dyDescent="0.25">
      <c r="A6030" s="48" t="s">
        <v>2126</v>
      </c>
      <c r="B6030" t="s">
        <v>2127</v>
      </c>
      <c r="C6030">
        <v>16</v>
      </c>
    </row>
    <row r="6031" spans="1:3" x14ac:dyDescent="0.25">
      <c r="A6031" s="48" t="s">
        <v>2118</v>
      </c>
      <c r="B6031" t="s">
        <v>2119</v>
      </c>
      <c r="C6031">
        <v>0</v>
      </c>
    </row>
    <row r="6032" spans="1:3" x14ac:dyDescent="0.25">
      <c r="A6032" s="48" t="s">
        <v>2120</v>
      </c>
      <c r="B6032" t="s">
        <v>2121</v>
      </c>
      <c r="C6032">
        <v>0</v>
      </c>
    </row>
    <row r="6033" spans="1:3" x14ac:dyDescent="0.25">
      <c r="A6033" s="48" t="s">
        <v>2098</v>
      </c>
      <c r="B6033" t="s">
        <v>2099</v>
      </c>
      <c r="C6033">
        <v>0</v>
      </c>
    </row>
    <row r="6034" spans="1:3" x14ac:dyDescent="0.25">
      <c r="A6034" s="48" t="s">
        <v>2100</v>
      </c>
      <c r="B6034" t="s">
        <v>2101</v>
      </c>
      <c r="C6034">
        <v>1</v>
      </c>
    </row>
    <row r="6035" spans="1:3" x14ac:dyDescent="0.25">
      <c r="A6035" s="48" t="s">
        <v>2102</v>
      </c>
      <c r="B6035" t="s">
        <v>2103</v>
      </c>
      <c r="C6035">
        <v>0</v>
      </c>
    </row>
    <row r="6036" spans="1:3" x14ac:dyDescent="0.25">
      <c r="A6036" s="48" t="s">
        <v>2104</v>
      </c>
      <c r="B6036" t="s">
        <v>2105</v>
      </c>
      <c r="C6036">
        <v>13</v>
      </c>
    </row>
    <row r="6037" spans="1:3" x14ac:dyDescent="0.25">
      <c r="A6037" s="48" t="s">
        <v>2094</v>
      </c>
      <c r="B6037" t="s">
        <v>2095</v>
      </c>
      <c r="C6037">
        <v>0</v>
      </c>
    </row>
    <row r="6038" spans="1:3" x14ac:dyDescent="0.25">
      <c r="A6038" s="48" t="s">
        <v>2096</v>
      </c>
      <c r="B6038" t="s">
        <v>2097</v>
      </c>
      <c r="C6038">
        <v>10</v>
      </c>
    </row>
    <row r="6039" spans="1:3" x14ac:dyDescent="0.25">
      <c r="A6039" s="48" t="s">
        <v>2132</v>
      </c>
      <c r="B6039" t="s">
        <v>21967</v>
      </c>
      <c r="C6039">
        <v>10</v>
      </c>
    </row>
    <row r="6040" spans="1:3" x14ac:dyDescent="0.25">
      <c r="A6040" s="48" t="s">
        <v>10568</v>
      </c>
      <c r="B6040" t="s">
        <v>21968</v>
      </c>
      <c r="C6040">
        <v>14</v>
      </c>
    </row>
    <row r="6041" spans="1:3" x14ac:dyDescent="0.25">
      <c r="A6041" s="48" t="s">
        <v>9140</v>
      </c>
      <c r="B6041" t="s">
        <v>9141</v>
      </c>
      <c r="C6041">
        <v>0</v>
      </c>
    </row>
    <row r="6042" spans="1:3" x14ac:dyDescent="0.25">
      <c r="A6042" s="48" t="s">
        <v>9194</v>
      </c>
      <c r="B6042" t="s">
        <v>9195</v>
      </c>
      <c r="C6042">
        <v>22</v>
      </c>
    </row>
    <row r="6043" spans="1:3" x14ac:dyDescent="0.25">
      <c r="A6043" s="48" t="s">
        <v>6879</v>
      </c>
      <c r="B6043" t="s">
        <v>21969</v>
      </c>
      <c r="C6043">
        <v>0</v>
      </c>
    </row>
    <row r="6044" spans="1:3" x14ac:dyDescent="0.25">
      <c r="A6044" s="48" t="s">
        <v>6877</v>
      </c>
      <c r="B6044" t="s">
        <v>21970</v>
      </c>
      <c r="C6044">
        <v>0</v>
      </c>
    </row>
    <row r="6045" spans="1:3" x14ac:dyDescent="0.25">
      <c r="A6045" s="48" t="s">
        <v>12143</v>
      </c>
      <c r="B6045" t="s">
        <v>12144</v>
      </c>
      <c r="C6045">
        <v>0</v>
      </c>
    </row>
    <row r="6046" spans="1:3" x14ac:dyDescent="0.25">
      <c r="A6046" s="48" t="s">
        <v>305</v>
      </c>
      <c r="B6046" t="s">
        <v>306</v>
      </c>
      <c r="C6046">
        <v>0</v>
      </c>
    </row>
    <row r="6047" spans="1:3" x14ac:dyDescent="0.25">
      <c r="A6047" s="48" t="s">
        <v>12165</v>
      </c>
      <c r="B6047" t="s">
        <v>12166</v>
      </c>
      <c r="C6047">
        <v>9</v>
      </c>
    </row>
    <row r="6048" spans="1:3" x14ac:dyDescent="0.25">
      <c r="A6048" s="48" t="s">
        <v>12177</v>
      </c>
      <c r="B6048" t="s">
        <v>21971</v>
      </c>
      <c r="C6048">
        <v>0</v>
      </c>
    </row>
    <row r="6049" spans="1:3" x14ac:dyDescent="0.25">
      <c r="A6049" s="48" t="s">
        <v>12173</v>
      </c>
      <c r="B6049" t="s">
        <v>21972</v>
      </c>
      <c r="C6049">
        <v>4</v>
      </c>
    </row>
    <row r="6050" spans="1:3" x14ac:dyDescent="0.25">
      <c r="A6050" s="48" t="s">
        <v>12169</v>
      </c>
      <c r="B6050" t="s">
        <v>21973</v>
      </c>
      <c r="C6050">
        <v>24</v>
      </c>
    </row>
    <row r="6051" spans="1:3" x14ac:dyDescent="0.25">
      <c r="A6051" s="48" t="s">
        <v>12181</v>
      </c>
      <c r="B6051" t="s">
        <v>12182</v>
      </c>
      <c r="C6051">
        <v>8</v>
      </c>
    </row>
    <row r="6052" spans="1:3" x14ac:dyDescent="0.25">
      <c r="A6052" s="48" t="s">
        <v>12179</v>
      </c>
      <c r="B6052" t="s">
        <v>12180</v>
      </c>
      <c r="C6052">
        <v>6</v>
      </c>
    </row>
    <row r="6053" spans="1:3" x14ac:dyDescent="0.25">
      <c r="A6053" s="48" t="s">
        <v>12161</v>
      </c>
      <c r="B6053" t="s">
        <v>12162</v>
      </c>
      <c r="C6053">
        <v>2</v>
      </c>
    </row>
    <row r="6054" spans="1:3" x14ac:dyDescent="0.25">
      <c r="A6054" s="48" t="s">
        <v>12185</v>
      </c>
      <c r="B6054" t="s">
        <v>12186</v>
      </c>
      <c r="C6054">
        <v>0</v>
      </c>
    </row>
    <row r="6055" spans="1:3" x14ac:dyDescent="0.25">
      <c r="A6055" s="48" t="s">
        <v>13566</v>
      </c>
      <c r="B6055" t="s">
        <v>21974</v>
      </c>
      <c r="C6055">
        <v>1</v>
      </c>
    </row>
    <row r="6056" spans="1:3" x14ac:dyDescent="0.25">
      <c r="A6056" s="48" t="s">
        <v>13568</v>
      </c>
      <c r="B6056" t="s">
        <v>21975</v>
      </c>
      <c r="C6056">
        <v>2</v>
      </c>
    </row>
    <row r="6057" spans="1:3" x14ac:dyDescent="0.25">
      <c r="A6057" s="48" t="s">
        <v>13570</v>
      </c>
      <c r="B6057" t="s">
        <v>21976</v>
      </c>
      <c r="C6057">
        <v>3</v>
      </c>
    </row>
    <row r="6058" spans="1:3" x14ac:dyDescent="0.25">
      <c r="A6058" s="48" t="s">
        <v>13560</v>
      </c>
      <c r="B6058" t="s">
        <v>21977</v>
      </c>
      <c r="C6058">
        <v>0</v>
      </c>
    </row>
    <row r="6059" spans="1:3" x14ac:dyDescent="0.25">
      <c r="A6059" s="48" t="s">
        <v>13564</v>
      </c>
      <c r="B6059" t="s">
        <v>21978</v>
      </c>
      <c r="C6059">
        <v>1</v>
      </c>
    </row>
    <row r="6060" spans="1:3" x14ac:dyDescent="0.25">
      <c r="A6060" s="48" t="s">
        <v>14624</v>
      </c>
      <c r="B6060" t="s">
        <v>21979</v>
      </c>
      <c r="C6060">
        <v>47</v>
      </c>
    </row>
    <row r="6061" spans="1:3" x14ac:dyDescent="0.25">
      <c r="A6061" s="48" t="s">
        <v>18963</v>
      </c>
      <c r="B6061" t="s">
        <v>18964</v>
      </c>
      <c r="C6061">
        <v>0</v>
      </c>
    </row>
    <row r="6062" spans="1:3" x14ac:dyDescent="0.25">
      <c r="A6062" s="48" t="s">
        <v>18959</v>
      </c>
      <c r="B6062" t="s">
        <v>18960</v>
      </c>
      <c r="C6062">
        <v>0</v>
      </c>
    </row>
    <row r="6063" spans="1:3" x14ac:dyDescent="0.25">
      <c r="A6063" s="48" t="s">
        <v>18961</v>
      </c>
      <c r="B6063" t="s">
        <v>18962</v>
      </c>
      <c r="C6063">
        <v>1</v>
      </c>
    </row>
    <row r="6064" spans="1:3" x14ac:dyDescent="0.25">
      <c r="A6064" s="48" t="s">
        <v>18987</v>
      </c>
      <c r="B6064" t="s">
        <v>18988</v>
      </c>
      <c r="C6064">
        <v>7</v>
      </c>
    </row>
    <row r="6065" spans="1:3" x14ac:dyDescent="0.25">
      <c r="A6065" s="48" t="s">
        <v>18995</v>
      </c>
      <c r="B6065" t="s">
        <v>18996</v>
      </c>
      <c r="C6065">
        <v>8</v>
      </c>
    </row>
    <row r="6066" spans="1:3" x14ac:dyDescent="0.25">
      <c r="A6066" s="48" t="s">
        <v>18951</v>
      </c>
      <c r="B6066" t="s">
        <v>18952</v>
      </c>
      <c r="C6066">
        <v>12</v>
      </c>
    </row>
    <row r="6067" spans="1:3" x14ac:dyDescent="0.25">
      <c r="A6067" s="48" t="s">
        <v>18949</v>
      </c>
      <c r="B6067" t="s">
        <v>18950</v>
      </c>
      <c r="C6067">
        <v>3</v>
      </c>
    </row>
    <row r="6068" spans="1:3" x14ac:dyDescent="0.25">
      <c r="A6068" s="48" t="s">
        <v>18957</v>
      </c>
      <c r="B6068" t="s">
        <v>18958</v>
      </c>
      <c r="C6068">
        <v>6</v>
      </c>
    </row>
    <row r="6069" spans="1:3" x14ac:dyDescent="0.25">
      <c r="A6069" s="48" t="s">
        <v>18955</v>
      </c>
      <c r="B6069" t="s">
        <v>18956</v>
      </c>
      <c r="C6069">
        <v>11</v>
      </c>
    </row>
    <row r="6070" spans="1:3" x14ac:dyDescent="0.25">
      <c r="A6070" s="48" t="s">
        <v>18979</v>
      </c>
      <c r="B6070" t="s">
        <v>18980</v>
      </c>
      <c r="C6070">
        <v>2</v>
      </c>
    </row>
    <row r="6071" spans="1:3" x14ac:dyDescent="0.25">
      <c r="A6071" s="48" t="s">
        <v>13809</v>
      </c>
      <c r="B6071" t="s">
        <v>21980</v>
      </c>
      <c r="C6071">
        <v>0</v>
      </c>
    </row>
    <row r="6072" spans="1:3" x14ac:dyDescent="0.25">
      <c r="A6072" s="48" t="s">
        <v>13829</v>
      </c>
      <c r="B6072" t="s">
        <v>21981</v>
      </c>
      <c r="C6072">
        <v>17</v>
      </c>
    </row>
    <row r="6073" spans="1:3" x14ac:dyDescent="0.25">
      <c r="A6073" s="48" t="s">
        <v>13879</v>
      </c>
      <c r="B6073" t="s">
        <v>13880</v>
      </c>
      <c r="C6073">
        <v>11</v>
      </c>
    </row>
    <row r="6074" spans="1:3" x14ac:dyDescent="0.25">
      <c r="A6074" s="48" t="s">
        <v>13849</v>
      </c>
      <c r="B6074" t="s">
        <v>13850</v>
      </c>
      <c r="C6074">
        <v>3</v>
      </c>
    </row>
    <row r="6075" spans="1:3" x14ac:dyDescent="0.25">
      <c r="A6075" s="48" t="s">
        <v>13881</v>
      </c>
      <c r="B6075" t="s">
        <v>13882</v>
      </c>
      <c r="C6075">
        <v>5</v>
      </c>
    </row>
    <row r="6076" spans="1:3" x14ac:dyDescent="0.25">
      <c r="A6076" s="48" t="s">
        <v>13841</v>
      </c>
      <c r="B6076" t="s">
        <v>13842</v>
      </c>
      <c r="C6076">
        <v>2</v>
      </c>
    </row>
    <row r="6077" spans="1:3" x14ac:dyDescent="0.25">
      <c r="A6077" s="48" t="s">
        <v>13835</v>
      </c>
      <c r="B6077" t="s">
        <v>13836</v>
      </c>
      <c r="C6077">
        <v>9</v>
      </c>
    </row>
    <row r="6078" spans="1:3" x14ac:dyDescent="0.25">
      <c r="A6078" s="48" t="s">
        <v>13877</v>
      </c>
      <c r="B6078" t="s">
        <v>21982</v>
      </c>
      <c r="C6078">
        <v>13</v>
      </c>
    </row>
    <row r="6079" spans="1:3" x14ac:dyDescent="0.25">
      <c r="A6079" s="48" t="s">
        <v>13811</v>
      </c>
      <c r="B6079" t="s">
        <v>21983</v>
      </c>
      <c r="C6079">
        <v>7</v>
      </c>
    </row>
    <row r="6080" spans="1:3" x14ac:dyDescent="0.25">
      <c r="A6080" s="48" t="s">
        <v>13839</v>
      </c>
      <c r="B6080" t="s">
        <v>13840</v>
      </c>
      <c r="C6080">
        <v>0</v>
      </c>
    </row>
    <row r="6081" spans="1:3" x14ac:dyDescent="0.25">
      <c r="A6081" s="48" t="s">
        <v>13853</v>
      </c>
      <c r="B6081" t="s">
        <v>13854</v>
      </c>
      <c r="C6081">
        <v>0</v>
      </c>
    </row>
    <row r="6082" spans="1:3" x14ac:dyDescent="0.25">
      <c r="A6082" s="48" t="s">
        <v>13843</v>
      </c>
      <c r="B6082" t="s">
        <v>13844</v>
      </c>
      <c r="C6082">
        <v>1</v>
      </c>
    </row>
    <row r="6083" spans="1:3" x14ac:dyDescent="0.25">
      <c r="A6083" s="48" t="s">
        <v>13845</v>
      </c>
      <c r="B6083" t="s">
        <v>13846</v>
      </c>
      <c r="C6083">
        <v>13</v>
      </c>
    </row>
    <row r="6084" spans="1:3" x14ac:dyDescent="0.25">
      <c r="A6084" s="48" t="s">
        <v>13857</v>
      </c>
      <c r="B6084" t="s">
        <v>13858</v>
      </c>
      <c r="C6084">
        <v>0</v>
      </c>
    </row>
    <row r="6085" spans="1:3" x14ac:dyDescent="0.25">
      <c r="A6085" s="48" t="s">
        <v>13883</v>
      </c>
      <c r="B6085" t="s">
        <v>13884</v>
      </c>
      <c r="C6085">
        <v>29</v>
      </c>
    </row>
    <row r="6086" spans="1:3" x14ac:dyDescent="0.25">
      <c r="A6086" s="48" t="s">
        <v>13807</v>
      </c>
      <c r="B6086" t="s">
        <v>13808</v>
      </c>
      <c r="C6086">
        <v>6</v>
      </c>
    </row>
    <row r="6087" spans="1:3" x14ac:dyDescent="0.25">
      <c r="A6087" s="48" t="s">
        <v>13817</v>
      </c>
      <c r="B6087" t="s">
        <v>13818</v>
      </c>
      <c r="C6087">
        <v>1</v>
      </c>
    </row>
    <row r="6088" spans="1:3" x14ac:dyDescent="0.25">
      <c r="A6088" s="48" t="s">
        <v>13869</v>
      </c>
      <c r="B6088" t="s">
        <v>13870</v>
      </c>
      <c r="C6088">
        <v>1</v>
      </c>
    </row>
    <row r="6089" spans="1:3" x14ac:dyDescent="0.25">
      <c r="A6089" s="48" t="s">
        <v>13865</v>
      </c>
      <c r="B6089" t="s">
        <v>13866</v>
      </c>
      <c r="C6089">
        <v>9</v>
      </c>
    </row>
    <row r="6090" spans="1:3" x14ac:dyDescent="0.25">
      <c r="A6090" s="48" t="s">
        <v>13863</v>
      </c>
      <c r="B6090" t="s">
        <v>13864</v>
      </c>
      <c r="C6090">
        <v>20</v>
      </c>
    </row>
    <row r="6091" spans="1:3" x14ac:dyDescent="0.25">
      <c r="A6091" s="48" t="s">
        <v>13861</v>
      </c>
      <c r="B6091" t="s">
        <v>13862</v>
      </c>
      <c r="C6091">
        <v>19</v>
      </c>
    </row>
    <row r="6092" spans="1:3" x14ac:dyDescent="0.25">
      <c r="A6092" s="48" t="s">
        <v>13827</v>
      </c>
      <c r="B6092" t="s">
        <v>13828</v>
      </c>
      <c r="C6092">
        <v>12</v>
      </c>
    </row>
    <row r="6093" spans="1:3" x14ac:dyDescent="0.25">
      <c r="A6093" s="48" t="s">
        <v>13837</v>
      </c>
      <c r="B6093" t="s">
        <v>13838</v>
      </c>
      <c r="C6093">
        <v>17</v>
      </c>
    </row>
    <row r="6094" spans="1:3" x14ac:dyDescent="0.25">
      <c r="A6094" s="48" t="s">
        <v>13867</v>
      </c>
      <c r="B6094" t="s">
        <v>13868</v>
      </c>
      <c r="C6094">
        <v>9</v>
      </c>
    </row>
    <row r="6095" spans="1:3" x14ac:dyDescent="0.25">
      <c r="A6095" s="48" t="s">
        <v>13871</v>
      </c>
      <c r="B6095" t="s">
        <v>13872</v>
      </c>
      <c r="C6095">
        <v>6</v>
      </c>
    </row>
    <row r="6096" spans="1:3" x14ac:dyDescent="0.25">
      <c r="A6096" s="48" t="s">
        <v>13825</v>
      </c>
      <c r="B6096" t="s">
        <v>13826</v>
      </c>
      <c r="C6096">
        <v>10</v>
      </c>
    </row>
    <row r="6097" spans="1:3" x14ac:dyDescent="0.25">
      <c r="A6097" s="48" t="s">
        <v>13875</v>
      </c>
      <c r="B6097" t="s">
        <v>13876</v>
      </c>
      <c r="C6097">
        <v>31</v>
      </c>
    </row>
    <row r="6098" spans="1:3" x14ac:dyDescent="0.25">
      <c r="A6098" s="48" t="s">
        <v>13873</v>
      </c>
      <c r="B6098" t="s">
        <v>13874</v>
      </c>
      <c r="C6098">
        <v>13</v>
      </c>
    </row>
    <row r="6099" spans="1:3" x14ac:dyDescent="0.25">
      <c r="A6099" s="48" t="s">
        <v>13819</v>
      </c>
      <c r="B6099" t="s">
        <v>13820</v>
      </c>
      <c r="C6099">
        <v>11</v>
      </c>
    </row>
    <row r="6100" spans="1:3" x14ac:dyDescent="0.25">
      <c r="A6100" s="48" t="s">
        <v>13859</v>
      </c>
      <c r="B6100" t="s">
        <v>13860</v>
      </c>
      <c r="C6100">
        <v>4</v>
      </c>
    </row>
    <row r="6101" spans="1:3" x14ac:dyDescent="0.25">
      <c r="A6101" s="48" t="s">
        <v>13847</v>
      </c>
      <c r="B6101" t="s">
        <v>13848</v>
      </c>
      <c r="C6101">
        <v>5</v>
      </c>
    </row>
    <row r="6102" spans="1:3" x14ac:dyDescent="0.25">
      <c r="A6102" s="48" t="s">
        <v>13851</v>
      </c>
      <c r="B6102" t="s">
        <v>13852</v>
      </c>
      <c r="C6102">
        <v>3</v>
      </c>
    </row>
    <row r="6103" spans="1:3" x14ac:dyDescent="0.25">
      <c r="A6103" s="48" t="s">
        <v>13813</v>
      </c>
      <c r="B6103" t="s">
        <v>13814</v>
      </c>
      <c r="C6103">
        <v>13</v>
      </c>
    </row>
    <row r="6104" spans="1:3" x14ac:dyDescent="0.25">
      <c r="A6104" s="48" t="s">
        <v>13855</v>
      </c>
      <c r="B6104" t="s">
        <v>13856</v>
      </c>
      <c r="C6104">
        <v>27</v>
      </c>
    </row>
    <row r="6105" spans="1:3" x14ac:dyDescent="0.25">
      <c r="A6105" s="48" t="s">
        <v>13831</v>
      </c>
      <c r="B6105" t="s">
        <v>13832</v>
      </c>
      <c r="C6105">
        <v>1</v>
      </c>
    </row>
    <row r="6106" spans="1:3" x14ac:dyDescent="0.25">
      <c r="A6106" s="48" t="s">
        <v>13833</v>
      </c>
      <c r="B6106" t="s">
        <v>13834</v>
      </c>
      <c r="C6106">
        <v>11</v>
      </c>
    </row>
    <row r="6107" spans="1:3" x14ac:dyDescent="0.25">
      <c r="A6107" s="48" t="s">
        <v>13815</v>
      </c>
      <c r="B6107" t="s">
        <v>21984</v>
      </c>
      <c r="C6107">
        <v>14</v>
      </c>
    </row>
    <row r="6108" spans="1:3" x14ac:dyDescent="0.25">
      <c r="A6108" s="48" t="s">
        <v>18977</v>
      </c>
      <c r="B6108" t="s">
        <v>18978</v>
      </c>
      <c r="C6108">
        <v>0</v>
      </c>
    </row>
    <row r="6109" spans="1:3" x14ac:dyDescent="0.25">
      <c r="A6109" s="48" t="s">
        <v>18969</v>
      </c>
      <c r="B6109" t="s">
        <v>18970</v>
      </c>
      <c r="C6109">
        <v>3</v>
      </c>
    </row>
    <row r="6110" spans="1:3" x14ac:dyDescent="0.25">
      <c r="A6110" s="48" t="s">
        <v>18989</v>
      </c>
      <c r="B6110" t="s">
        <v>18990</v>
      </c>
      <c r="C6110">
        <v>6</v>
      </c>
    </row>
    <row r="6111" spans="1:3" x14ac:dyDescent="0.25">
      <c r="A6111" s="48" t="s">
        <v>18971</v>
      </c>
      <c r="B6111" t="s">
        <v>18972</v>
      </c>
      <c r="C6111">
        <v>5</v>
      </c>
    </row>
    <row r="6112" spans="1:3" x14ac:dyDescent="0.25">
      <c r="A6112" s="48" t="s">
        <v>18991</v>
      </c>
      <c r="B6112" t="s">
        <v>18992</v>
      </c>
      <c r="C6112">
        <v>6</v>
      </c>
    </row>
    <row r="6113" spans="1:3" x14ac:dyDescent="0.25">
      <c r="A6113" s="48" t="s">
        <v>18967</v>
      </c>
      <c r="B6113" t="s">
        <v>18968</v>
      </c>
      <c r="C6113">
        <v>3</v>
      </c>
    </row>
    <row r="6114" spans="1:3" x14ac:dyDescent="0.25">
      <c r="A6114" s="48" t="s">
        <v>18975</v>
      </c>
      <c r="B6114" t="s">
        <v>18976</v>
      </c>
      <c r="C6114">
        <v>3</v>
      </c>
    </row>
    <row r="6115" spans="1:3" x14ac:dyDescent="0.25">
      <c r="A6115" s="48" t="s">
        <v>18983</v>
      </c>
      <c r="B6115" t="s">
        <v>18984</v>
      </c>
      <c r="C6115">
        <v>4</v>
      </c>
    </row>
    <row r="6116" spans="1:3" x14ac:dyDescent="0.25">
      <c r="A6116" s="48" t="s">
        <v>18981</v>
      </c>
      <c r="B6116" t="s">
        <v>18982</v>
      </c>
      <c r="C6116">
        <v>7</v>
      </c>
    </row>
    <row r="6117" spans="1:3" x14ac:dyDescent="0.25">
      <c r="A6117" s="48" t="s">
        <v>18997</v>
      </c>
      <c r="B6117" t="s">
        <v>18998</v>
      </c>
      <c r="C6117">
        <v>0</v>
      </c>
    </row>
    <row r="6118" spans="1:3" x14ac:dyDescent="0.25">
      <c r="A6118" s="48" t="s">
        <v>18985</v>
      </c>
      <c r="B6118" t="s">
        <v>18986</v>
      </c>
      <c r="C6118">
        <v>0</v>
      </c>
    </row>
    <row r="6119" spans="1:3" x14ac:dyDescent="0.25">
      <c r="A6119" s="48" t="s">
        <v>18953</v>
      </c>
      <c r="B6119" t="s">
        <v>18954</v>
      </c>
      <c r="C6119">
        <v>8</v>
      </c>
    </row>
    <row r="6120" spans="1:3" x14ac:dyDescent="0.25">
      <c r="A6120" s="48" t="s">
        <v>18973</v>
      </c>
      <c r="B6120" t="s">
        <v>18974</v>
      </c>
      <c r="C6120">
        <v>4</v>
      </c>
    </row>
    <row r="6121" spans="1:3" x14ac:dyDescent="0.25">
      <c r="A6121" s="48" t="s">
        <v>8566</v>
      </c>
      <c r="B6121" t="s">
        <v>8567</v>
      </c>
      <c r="C6121">
        <v>0</v>
      </c>
    </row>
    <row r="6122" spans="1:3" x14ac:dyDescent="0.25">
      <c r="A6122" s="48" t="s">
        <v>8558</v>
      </c>
      <c r="B6122" t="s">
        <v>8559</v>
      </c>
      <c r="C6122">
        <v>1</v>
      </c>
    </row>
    <row r="6123" spans="1:3" x14ac:dyDescent="0.25">
      <c r="A6123" s="48" t="s">
        <v>8564</v>
      </c>
      <c r="B6123" t="s">
        <v>8565</v>
      </c>
      <c r="C6123">
        <v>0</v>
      </c>
    </row>
    <row r="6124" spans="1:3" x14ac:dyDescent="0.25">
      <c r="A6124" s="48" t="s">
        <v>8554</v>
      </c>
      <c r="B6124" t="s">
        <v>8555</v>
      </c>
      <c r="C6124">
        <v>0</v>
      </c>
    </row>
    <row r="6125" spans="1:3" x14ac:dyDescent="0.25">
      <c r="A6125" s="48" t="s">
        <v>8572</v>
      </c>
      <c r="B6125" t="s">
        <v>8573</v>
      </c>
      <c r="C6125">
        <v>0</v>
      </c>
    </row>
    <row r="6126" spans="1:3" x14ac:dyDescent="0.25">
      <c r="A6126" s="48" t="s">
        <v>8574</v>
      </c>
      <c r="B6126" t="s">
        <v>8575</v>
      </c>
      <c r="C6126">
        <v>0</v>
      </c>
    </row>
    <row r="6127" spans="1:3" x14ac:dyDescent="0.25">
      <c r="A6127" s="48" t="s">
        <v>8560</v>
      </c>
      <c r="B6127" t="s">
        <v>8561</v>
      </c>
      <c r="C6127">
        <v>7</v>
      </c>
    </row>
    <row r="6128" spans="1:3" x14ac:dyDescent="0.25">
      <c r="A6128" s="48" t="s">
        <v>8578</v>
      </c>
      <c r="B6128" t="s">
        <v>8579</v>
      </c>
      <c r="C6128">
        <v>0</v>
      </c>
    </row>
    <row r="6129" spans="1:3" x14ac:dyDescent="0.25">
      <c r="A6129" s="48" t="s">
        <v>8562</v>
      </c>
      <c r="B6129" t="s">
        <v>8563</v>
      </c>
      <c r="C6129">
        <v>4</v>
      </c>
    </row>
    <row r="6130" spans="1:3" x14ac:dyDescent="0.25">
      <c r="A6130" s="48" t="s">
        <v>8570</v>
      </c>
      <c r="B6130" t="s">
        <v>8571</v>
      </c>
      <c r="C6130">
        <v>0</v>
      </c>
    </row>
    <row r="6131" spans="1:3" x14ac:dyDescent="0.25">
      <c r="A6131" s="48" t="s">
        <v>8580</v>
      </c>
      <c r="B6131" t="s">
        <v>8581</v>
      </c>
      <c r="C6131">
        <v>0</v>
      </c>
    </row>
    <row r="6132" spans="1:3" x14ac:dyDescent="0.25">
      <c r="A6132" s="48" t="s">
        <v>8576</v>
      </c>
      <c r="B6132" t="s">
        <v>8577</v>
      </c>
      <c r="C6132">
        <v>4</v>
      </c>
    </row>
    <row r="6133" spans="1:3" x14ac:dyDescent="0.25">
      <c r="A6133" s="48" t="s">
        <v>8568</v>
      </c>
      <c r="B6133" t="s">
        <v>8569</v>
      </c>
      <c r="C6133">
        <v>9</v>
      </c>
    </row>
    <row r="6134" spans="1:3" x14ac:dyDescent="0.25">
      <c r="A6134" s="48" t="s">
        <v>8556</v>
      </c>
      <c r="B6134" t="s">
        <v>8557</v>
      </c>
      <c r="C6134">
        <v>0</v>
      </c>
    </row>
    <row r="6135" spans="1:3" x14ac:dyDescent="0.25">
      <c r="A6135" s="48" t="s">
        <v>8485</v>
      </c>
      <c r="B6135" t="s">
        <v>8486</v>
      </c>
      <c r="C6135">
        <v>27</v>
      </c>
    </row>
    <row r="6136" spans="1:3" x14ac:dyDescent="0.25">
      <c r="A6136" s="48" t="s">
        <v>8483</v>
      </c>
      <c r="B6136" t="s">
        <v>8484</v>
      </c>
      <c r="C6136">
        <v>0</v>
      </c>
    </row>
    <row r="6137" spans="1:3" x14ac:dyDescent="0.25">
      <c r="A6137" s="48" t="s">
        <v>8477</v>
      </c>
      <c r="B6137" t="s">
        <v>8478</v>
      </c>
      <c r="C6137">
        <v>10</v>
      </c>
    </row>
    <row r="6138" spans="1:3" x14ac:dyDescent="0.25">
      <c r="A6138" s="48" t="s">
        <v>8475</v>
      </c>
      <c r="B6138" t="s">
        <v>8476</v>
      </c>
      <c r="C6138">
        <v>0</v>
      </c>
    </row>
    <row r="6139" spans="1:3" x14ac:dyDescent="0.25">
      <c r="A6139" s="48" t="s">
        <v>8463</v>
      </c>
      <c r="B6139" t="s">
        <v>8464</v>
      </c>
      <c r="C6139">
        <v>0</v>
      </c>
    </row>
    <row r="6140" spans="1:3" x14ac:dyDescent="0.25">
      <c r="A6140" s="48" t="s">
        <v>8473</v>
      </c>
      <c r="B6140" t="s">
        <v>8474</v>
      </c>
      <c r="C6140">
        <v>4</v>
      </c>
    </row>
    <row r="6141" spans="1:3" x14ac:dyDescent="0.25">
      <c r="A6141" s="48" t="s">
        <v>8481</v>
      </c>
      <c r="B6141" t="s">
        <v>8482</v>
      </c>
      <c r="C6141">
        <v>16</v>
      </c>
    </row>
    <row r="6142" spans="1:3" x14ac:dyDescent="0.25">
      <c r="A6142" s="48" t="s">
        <v>8479</v>
      </c>
      <c r="B6142" t="s">
        <v>8480</v>
      </c>
      <c r="C6142">
        <v>6</v>
      </c>
    </row>
    <row r="6143" spans="1:3" x14ac:dyDescent="0.25">
      <c r="A6143" s="48" t="s">
        <v>13823</v>
      </c>
      <c r="B6143" t="s">
        <v>13824</v>
      </c>
      <c r="C6143">
        <v>14</v>
      </c>
    </row>
    <row r="6144" spans="1:3" x14ac:dyDescent="0.25">
      <c r="A6144" s="48" t="s">
        <v>13821</v>
      </c>
      <c r="B6144" t="s">
        <v>13822</v>
      </c>
      <c r="C6144">
        <v>9</v>
      </c>
    </row>
    <row r="6145" spans="1:3" x14ac:dyDescent="0.25">
      <c r="A6145" s="48" t="s">
        <v>8461</v>
      </c>
      <c r="B6145" t="s">
        <v>8462</v>
      </c>
      <c r="C6145">
        <v>3</v>
      </c>
    </row>
    <row r="6146" spans="1:3" x14ac:dyDescent="0.25">
      <c r="A6146" s="48" t="s">
        <v>14094</v>
      </c>
      <c r="B6146" t="s">
        <v>14095</v>
      </c>
      <c r="C6146">
        <v>5</v>
      </c>
    </row>
    <row r="6147" spans="1:3" x14ac:dyDescent="0.25">
      <c r="A6147" s="48" t="s">
        <v>10594</v>
      </c>
      <c r="B6147" t="s">
        <v>10595</v>
      </c>
      <c r="C6147">
        <v>0</v>
      </c>
    </row>
    <row r="6148" spans="1:3" x14ac:dyDescent="0.25">
      <c r="A6148" s="48" t="s">
        <v>19722</v>
      </c>
      <c r="B6148" t="s">
        <v>19723</v>
      </c>
      <c r="C6148">
        <v>10</v>
      </c>
    </row>
    <row r="6149" spans="1:3" x14ac:dyDescent="0.25">
      <c r="A6149" s="48" t="s">
        <v>14017</v>
      </c>
      <c r="B6149" t="s">
        <v>14018</v>
      </c>
      <c r="C6149">
        <v>9</v>
      </c>
    </row>
    <row r="6150" spans="1:3" x14ac:dyDescent="0.25">
      <c r="A6150" s="48" t="s">
        <v>14037</v>
      </c>
      <c r="B6150" t="s">
        <v>14038</v>
      </c>
      <c r="C6150">
        <v>0</v>
      </c>
    </row>
    <row r="6151" spans="1:3" x14ac:dyDescent="0.25">
      <c r="A6151" s="48" t="s">
        <v>14015</v>
      </c>
      <c r="B6151" t="s">
        <v>14016</v>
      </c>
      <c r="C6151">
        <v>0</v>
      </c>
    </row>
    <row r="6152" spans="1:3" x14ac:dyDescent="0.25">
      <c r="A6152" s="48" t="s">
        <v>14011</v>
      </c>
      <c r="B6152" t="s">
        <v>14012</v>
      </c>
      <c r="C6152">
        <v>0</v>
      </c>
    </row>
    <row r="6153" spans="1:3" x14ac:dyDescent="0.25">
      <c r="A6153" s="48" t="s">
        <v>14019</v>
      </c>
      <c r="B6153" t="s">
        <v>14020</v>
      </c>
      <c r="C6153">
        <v>0</v>
      </c>
    </row>
    <row r="6154" spans="1:3" x14ac:dyDescent="0.25">
      <c r="A6154" s="48" t="s">
        <v>14044</v>
      </c>
      <c r="B6154" t="s">
        <v>14045</v>
      </c>
      <c r="C6154">
        <v>0</v>
      </c>
    </row>
    <row r="6155" spans="1:3" x14ac:dyDescent="0.25">
      <c r="A6155" s="48" t="s">
        <v>16095</v>
      </c>
      <c r="B6155" t="s">
        <v>16096</v>
      </c>
      <c r="C6155">
        <v>19</v>
      </c>
    </row>
    <row r="6156" spans="1:3" x14ac:dyDescent="0.25">
      <c r="A6156" s="48" t="s">
        <v>9439</v>
      </c>
      <c r="B6156" t="s">
        <v>21985</v>
      </c>
      <c r="C6156">
        <v>25</v>
      </c>
    </row>
    <row r="6157" spans="1:3" x14ac:dyDescent="0.25">
      <c r="A6157" s="48" t="s">
        <v>14027</v>
      </c>
      <c r="B6157" t="s">
        <v>14028</v>
      </c>
      <c r="C6157">
        <v>8</v>
      </c>
    </row>
    <row r="6158" spans="1:3" x14ac:dyDescent="0.25">
      <c r="A6158" s="48" t="s">
        <v>1890</v>
      </c>
      <c r="B6158" t="s">
        <v>1891</v>
      </c>
      <c r="C6158">
        <v>15</v>
      </c>
    </row>
    <row r="6159" spans="1:3" x14ac:dyDescent="0.25">
      <c r="A6159" s="48" t="s">
        <v>14021</v>
      </c>
      <c r="B6159" t="s">
        <v>14022</v>
      </c>
      <c r="C6159">
        <v>107</v>
      </c>
    </row>
    <row r="6160" spans="1:3" x14ac:dyDescent="0.25">
      <c r="A6160" s="48" t="s">
        <v>14025</v>
      </c>
      <c r="B6160" t="s">
        <v>14026</v>
      </c>
      <c r="C6160">
        <v>83</v>
      </c>
    </row>
    <row r="6161" spans="1:3" x14ac:dyDescent="0.25">
      <c r="A6161" s="48" t="s">
        <v>14035</v>
      </c>
      <c r="B6161" t="s">
        <v>14036</v>
      </c>
      <c r="C6161">
        <v>57</v>
      </c>
    </row>
    <row r="6162" spans="1:3" x14ac:dyDescent="0.25">
      <c r="A6162" s="48" t="s">
        <v>813</v>
      </c>
      <c r="B6162" t="s">
        <v>814</v>
      </c>
      <c r="C6162">
        <v>25</v>
      </c>
    </row>
    <row r="6163" spans="1:3" x14ac:dyDescent="0.25">
      <c r="A6163" s="48" t="s">
        <v>14001</v>
      </c>
      <c r="B6163" t="s">
        <v>14002</v>
      </c>
      <c r="C6163">
        <v>0</v>
      </c>
    </row>
    <row r="6164" spans="1:3" x14ac:dyDescent="0.25">
      <c r="A6164" s="48" t="s">
        <v>1341</v>
      </c>
      <c r="B6164" t="s">
        <v>1342</v>
      </c>
      <c r="C6164">
        <v>96</v>
      </c>
    </row>
    <row r="6165" spans="1:3" x14ac:dyDescent="0.25">
      <c r="A6165" s="48" t="s">
        <v>14029</v>
      </c>
      <c r="B6165" t="s">
        <v>14030</v>
      </c>
      <c r="C6165">
        <v>66</v>
      </c>
    </row>
    <row r="6166" spans="1:3" x14ac:dyDescent="0.25">
      <c r="A6166" s="48" t="s">
        <v>14013</v>
      </c>
      <c r="B6166" t="s">
        <v>14014</v>
      </c>
      <c r="C6166">
        <v>16</v>
      </c>
    </row>
    <row r="6167" spans="1:3" x14ac:dyDescent="0.25">
      <c r="A6167" s="48" t="s">
        <v>4754</v>
      </c>
      <c r="B6167" t="s">
        <v>4755</v>
      </c>
      <c r="C6167">
        <v>7</v>
      </c>
    </row>
    <row r="6168" spans="1:3" x14ac:dyDescent="0.25">
      <c r="A6168" s="48" t="s">
        <v>9441</v>
      </c>
      <c r="B6168" t="s">
        <v>9442</v>
      </c>
      <c r="C6168">
        <v>42</v>
      </c>
    </row>
    <row r="6169" spans="1:3" x14ac:dyDescent="0.25">
      <c r="A6169" s="48" t="s">
        <v>14039</v>
      </c>
      <c r="B6169" t="s">
        <v>14040</v>
      </c>
      <c r="C6169">
        <v>18</v>
      </c>
    </row>
    <row r="6170" spans="1:3" x14ac:dyDescent="0.25">
      <c r="A6170" s="48" t="s">
        <v>231</v>
      </c>
      <c r="B6170" t="s">
        <v>232</v>
      </c>
      <c r="C6170">
        <v>13</v>
      </c>
    </row>
    <row r="6171" spans="1:3" x14ac:dyDescent="0.25">
      <c r="A6171" s="48" t="s">
        <v>13999</v>
      </c>
      <c r="B6171" t="s">
        <v>14000</v>
      </c>
      <c r="C6171">
        <v>17</v>
      </c>
    </row>
    <row r="6172" spans="1:3" x14ac:dyDescent="0.25">
      <c r="A6172" s="48" t="s">
        <v>14031</v>
      </c>
      <c r="B6172" t="s">
        <v>14032</v>
      </c>
      <c r="C6172">
        <v>24</v>
      </c>
    </row>
    <row r="6173" spans="1:3" x14ac:dyDescent="0.25">
      <c r="A6173" s="48" t="s">
        <v>14023</v>
      </c>
      <c r="B6173" t="s">
        <v>14024</v>
      </c>
      <c r="C6173">
        <v>7</v>
      </c>
    </row>
    <row r="6174" spans="1:3" x14ac:dyDescent="0.25">
      <c r="A6174" s="48" t="s">
        <v>12354</v>
      </c>
      <c r="B6174" t="s">
        <v>12355</v>
      </c>
      <c r="C6174">
        <v>0</v>
      </c>
    </row>
    <row r="6175" spans="1:3" x14ac:dyDescent="0.25">
      <c r="A6175" s="48" t="s">
        <v>12356</v>
      </c>
      <c r="B6175" t="s">
        <v>12357</v>
      </c>
      <c r="C6175">
        <v>21</v>
      </c>
    </row>
    <row r="6176" spans="1:3" x14ac:dyDescent="0.25">
      <c r="A6176" s="48" t="s">
        <v>12346</v>
      </c>
      <c r="B6176" t="s">
        <v>12347</v>
      </c>
      <c r="C6176">
        <v>32</v>
      </c>
    </row>
    <row r="6177" spans="1:3" x14ac:dyDescent="0.25">
      <c r="A6177" s="48" t="s">
        <v>12348</v>
      </c>
      <c r="B6177" t="s">
        <v>12349</v>
      </c>
      <c r="C6177">
        <v>1</v>
      </c>
    </row>
    <row r="6178" spans="1:3" x14ac:dyDescent="0.25">
      <c r="A6178" s="48" t="s">
        <v>12350</v>
      </c>
      <c r="B6178" t="s">
        <v>12351</v>
      </c>
      <c r="C6178">
        <v>12</v>
      </c>
    </row>
    <row r="6179" spans="1:3" x14ac:dyDescent="0.25">
      <c r="A6179" s="48" t="s">
        <v>12352</v>
      </c>
      <c r="B6179" t="s">
        <v>12353</v>
      </c>
      <c r="C6179">
        <v>8</v>
      </c>
    </row>
    <row r="6180" spans="1:3" x14ac:dyDescent="0.25">
      <c r="A6180" s="48" t="s">
        <v>14772</v>
      </c>
      <c r="B6180" t="s">
        <v>21986</v>
      </c>
      <c r="C6180">
        <v>1</v>
      </c>
    </row>
    <row r="6181" spans="1:3" x14ac:dyDescent="0.25">
      <c r="A6181" s="48" t="s">
        <v>16868</v>
      </c>
      <c r="B6181" t="s">
        <v>16869</v>
      </c>
      <c r="C6181">
        <v>8</v>
      </c>
    </row>
    <row r="6182" spans="1:3" x14ac:dyDescent="0.25">
      <c r="A6182" s="48" t="s">
        <v>16880</v>
      </c>
      <c r="B6182" t="s">
        <v>16881</v>
      </c>
      <c r="C6182">
        <v>6</v>
      </c>
    </row>
    <row r="6183" spans="1:3" x14ac:dyDescent="0.25">
      <c r="A6183" s="48" t="s">
        <v>16876</v>
      </c>
      <c r="B6183" t="s">
        <v>16877</v>
      </c>
      <c r="C6183">
        <v>6</v>
      </c>
    </row>
    <row r="6184" spans="1:3" x14ac:dyDescent="0.25">
      <c r="A6184" s="48" t="s">
        <v>16870</v>
      </c>
      <c r="B6184" t="s">
        <v>16871</v>
      </c>
      <c r="C6184">
        <v>0</v>
      </c>
    </row>
    <row r="6185" spans="1:3" x14ac:dyDescent="0.25">
      <c r="A6185" s="48" t="s">
        <v>16888</v>
      </c>
      <c r="B6185" t="s">
        <v>16889</v>
      </c>
      <c r="C6185">
        <v>0</v>
      </c>
    </row>
    <row r="6186" spans="1:3" x14ac:dyDescent="0.25">
      <c r="A6186" s="48" t="s">
        <v>16886</v>
      </c>
      <c r="B6186" t="s">
        <v>16887</v>
      </c>
      <c r="C6186">
        <v>6</v>
      </c>
    </row>
    <row r="6187" spans="1:3" x14ac:dyDescent="0.25">
      <c r="A6187" s="48" t="s">
        <v>16878</v>
      </c>
      <c r="B6187" t="s">
        <v>16879</v>
      </c>
      <c r="C6187">
        <v>0</v>
      </c>
    </row>
    <row r="6188" spans="1:3" x14ac:dyDescent="0.25">
      <c r="A6188" s="48" t="s">
        <v>16872</v>
      </c>
      <c r="B6188" t="s">
        <v>16873</v>
      </c>
      <c r="C6188">
        <v>8</v>
      </c>
    </row>
    <row r="6189" spans="1:3" x14ac:dyDescent="0.25">
      <c r="A6189" s="48" t="s">
        <v>16882</v>
      </c>
      <c r="B6189" t="s">
        <v>16883</v>
      </c>
      <c r="C6189">
        <v>0</v>
      </c>
    </row>
    <row r="6190" spans="1:3" x14ac:dyDescent="0.25">
      <c r="A6190" s="48" t="s">
        <v>16874</v>
      </c>
      <c r="B6190" t="s">
        <v>16875</v>
      </c>
      <c r="C6190">
        <v>0</v>
      </c>
    </row>
    <row r="6191" spans="1:3" x14ac:dyDescent="0.25">
      <c r="A6191" s="48" t="s">
        <v>16884</v>
      </c>
      <c r="B6191" t="s">
        <v>16885</v>
      </c>
      <c r="C6191">
        <v>0</v>
      </c>
    </row>
    <row r="6192" spans="1:3" x14ac:dyDescent="0.25">
      <c r="A6192" s="48" t="s">
        <v>16866</v>
      </c>
      <c r="B6192" t="s">
        <v>16867</v>
      </c>
      <c r="C6192">
        <v>4</v>
      </c>
    </row>
    <row r="6193" spans="1:3" x14ac:dyDescent="0.25">
      <c r="A6193" s="48" t="s">
        <v>253</v>
      </c>
      <c r="B6193" t="s">
        <v>254</v>
      </c>
      <c r="C6193">
        <v>0</v>
      </c>
    </row>
    <row r="6194" spans="1:3" x14ac:dyDescent="0.25">
      <c r="A6194" s="48" t="s">
        <v>815</v>
      </c>
      <c r="B6194" t="s">
        <v>816</v>
      </c>
      <c r="C6194">
        <v>19</v>
      </c>
    </row>
    <row r="6195" spans="1:3" x14ac:dyDescent="0.25">
      <c r="A6195" s="48" t="s">
        <v>5969</v>
      </c>
      <c r="B6195" t="s">
        <v>21987</v>
      </c>
      <c r="C6195">
        <v>0</v>
      </c>
    </row>
    <row r="6196" spans="1:3" x14ac:dyDescent="0.25">
      <c r="A6196" s="48" t="s">
        <v>850</v>
      </c>
      <c r="B6196" t="s">
        <v>851</v>
      </c>
      <c r="C6196">
        <v>4</v>
      </c>
    </row>
    <row r="6197" spans="1:3" x14ac:dyDescent="0.25">
      <c r="A6197" s="48" t="s">
        <v>4892</v>
      </c>
      <c r="B6197" t="s">
        <v>21988</v>
      </c>
      <c r="C6197">
        <v>9</v>
      </c>
    </row>
    <row r="6198" spans="1:3" x14ac:dyDescent="0.25">
      <c r="A6198" s="48" t="s">
        <v>19578</v>
      </c>
      <c r="B6198" t="s">
        <v>19579</v>
      </c>
      <c r="C6198">
        <v>21</v>
      </c>
    </row>
    <row r="6199" spans="1:3" x14ac:dyDescent="0.25">
      <c r="A6199" s="48" t="s">
        <v>1023</v>
      </c>
      <c r="B6199" t="s">
        <v>1024</v>
      </c>
      <c r="C6199">
        <v>57</v>
      </c>
    </row>
    <row r="6200" spans="1:3" x14ac:dyDescent="0.25">
      <c r="A6200" s="48" t="s">
        <v>5982</v>
      </c>
      <c r="B6200" t="s">
        <v>5983</v>
      </c>
      <c r="C6200">
        <v>0</v>
      </c>
    </row>
    <row r="6201" spans="1:3" x14ac:dyDescent="0.25">
      <c r="A6201" s="48" t="s">
        <v>5984</v>
      </c>
      <c r="B6201" t="s">
        <v>5985</v>
      </c>
      <c r="C6201">
        <v>2</v>
      </c>
    </row>
    <row r="6202" spans="1:3" x14ac:dyDescent="0.25">
      <c r="A6202" s="48" t="s">
        <v>5986</v>
      </c>
      <c r="B6202" t="s">
        <v>5987</v>
      </c>
      <c r="C6202">
        <v>1</v>
      </c>
    </row>
    <row r="6203" spans="1:3" x14ac:dyDescent="0.25">
      <c r="A6203" s="48" t="s">
        <v>1241</v>
      </c>
      <c r="B6203" t="s">
        <v>1242</v>
      </c>
      <c r="C6203">
        <v>110</v>
      </c>
    </row>
    <row r="6204" spans="1:3" x14ac:dyDescent="0.25">
      <c r="A6204" s="48" t="s">
        <v>3</v>
      </c>
      <c r="B6204" t="s">
        <v>4</v>
      </c>
      <c r="C6204">
        <v>16</v>
      </c>
    </row>
    <row r="6205" spans="1:3" x14ac:dyDescent="0.25">
      <c r="A6205" s="48" t="s">
        <v>1299</v>
      </c>
      <c r="B6205" t="s">
        <v>1300</v>
      </c>
      <c r="C6205">
        <v>7</v>
      </c>
    </row>
    <row r="6206" spans="1:3" x14ac:dyDescent="0.25">
      <c r="A6206" s="48" t="s">
        <v>13746</v>
      </c>
      <c r="B6206" t="s">
        <v>13747</v>
      </c>
      <c r="C6206">
        <v>21</v>
      </c>
    </row>
    <row r="6207" spans="1:3" x14ac:dyDescent="0.25">
      <c r="A6207" s="48" t="s">
        <v>13744</v>
      </c>
      <c r="B6207" t="s">
        <v>13745</v>
      </c>
      <c r="C6207">
        <v>13</v>
      </c>
    </row>
    <row r="6208" spans="1:3" x14ac:dyDescent="0.25">
      <c r="A6208" s="48" t="s">
        <v>5915</v>
      </c>
      <c r="B6208" t="s">
        <v>5916</v>
      </c>
      <c r="C6208">
        <v>4</v>
      </c>
    </row>
    <row r="6209" spans="1:3" x14ac:dyDescent="0.25">
      <c r="A6209" s="48" t="s">
        <v>17784</v>
      </c>
      <c r="B6209" t="s">
        <v>17785</v>
      </c>
      <c r="C6209">
        <v>0</v>
      </c>
    </row>
    <row r="6210" spans="1:3" x14ac:dyDescent="0.25">
      <c r="A6210" s="48" t="s">
        <v>13983</v>
      </c>
      <c r="B6210" t="s">
        <v>13984</v>
      </c>
      <c r="C6210">
        <v>0</v>
      </c>
    </row>
    <row r="6211" spans="1:3" x14ac:dyDescent="0.25">
      <c r="A6211" s="48" t="s">
        <v>13985</v>
      </c>
      <c r="B6211" t="s">
        <v>21989</v>
      </c>
      <c r="C6211">
        <v>15</v>
      </c>
    </row>
    <row r="6212" spans="1:3" x14ac:dyDescent="0.25">
      <c r="A6212" s="48" t="s">
        <v>13987</v>
      </c>
      <c r="B6212" t="s">
        <v>13988</v>
      </c>
      <c r="C6212">
        <v>7</v>
      </c>
    </row>
    <row r="6213" spans="1:3" x14ac:dyDescent="0.25">
      <c r="A6213" s="48" t="s">
        <v>10223</v>
      </c>
      <c r="B6213" t="s">
        <v>21990</v>
      </c>
      <c r="C6213">
        <v>16</v>
      </c>
    </row>
    <row r="6214" spans="1:3" x14ac:dyDescent="0.25">
      <c r="A6214" s="48" t="s">
        <v>395</v>
      </c>
      <c r="B6214" t="s">
        <v>396</v>
      </c>
      <c r="C6214">
        <v>10</v>
      </c>
    </row>
    <row r="6215" spans="1:3" x14ac:dyDescent="0.25">
      <c r="A6215" s="48" t="s">
        <v>497</v>
      </c>
      <c r="B6215" t="s">
        <v>498</v>
      </c>
      <c r="C6215">
        <v>6</v>
      </c>
    </row>
    <row r="6216" spans="1:3" x14ac:dyDescent="0.25">
      <c r="A6216" s="48" t="s">
        <v>539</v>
      </c>
      <c r="B6216" t="s">
        <v>540</v>
      </c>
      <c r="C6216">
        <v>4</v>
      </c>
    </row>
    <row r="6217" spans="1:3" x14ac:dyDescent="0.25">
      <c r="A6217" s="48" t="s">
        <v>16890</v>
      </c>
      <c r="B6217" t="s">
        <v>16891</v>
      </c>
      <c r="C6217">
        <v>0</v>
      </c>
    </row>
    <row r="6218" spans="1:3" x14ac:dyDescent="0.25">
      <c r="A6218" s="48" t="s">
        <v>169</v>
      </c>
      <c r="B6218" t="s">
        <v>170</v>
      </c>
      <c r="C6218">
        <v>0</v>
      </c>
    </row>
    <row r="6219" spans="1:3" x14ac:dyDescent="0.25">
      <c r="A6219" s="48" t="s">
        <v>1109</v>
      </c>
      <c r="B6219" t="s">
        <v>1110</v>
      </c>
      <c r="C6219">
        <v>147</v>
      </c>
    </row>
    <row r="6220" spans="1:3" x14ac:dyDescent="0.25">
      <c r="A6220" s="48" t="s">
        <v>12610</v>
      </c>
      <c r="B6220" t="s">
        <v>12611</v>
      </c>
      <c r="C6220">
        <v>10</v>
      </c>
    </row>
    <row r="6221" spans="1:3" x14ac:dyDescent="0.25">
      <c r="A6221" s="48" t="s">
        <v>17550</v>
      </c>
      <c r="B6221" t="s">
        <v>21991</v>
      </c>
      <c r="C6221">
        <v>0</v>
      </c>
    </row>
    <row r="6222" spans="1:3" x14ac:dyDescent="0.25">
      <c r="A6222" s="48" t="s">
        <v>18947</v>
      </c>
      <c r="B6222" t="s">
        <v>18948</v>
      </c>
      <c r="C6222">
        <v>0</v>
      </c>
    </row>
    <row r="6223" spans="1:3" x14ac:dyDescent="0.25">
      <c r="A6223" s="48" t="s">
        <v>10842</v>
      </c>
      <c r="B6223" t="s">
        <v>10843</v>
      </c>
      <c r="C6223">
        <v>1</v>
      </c>
    </row>
    <row r="6224" spans="1:3" x14ac:dyDescent="0.25">
      <c r="A6224" s="48" t="s">
        <v>10844</v>
      </c>
      <c r="B6224" t="s">
        <v>10845</v>
      </c>
      <c r="C6224">
        <v>0</v>
      </c>
    </row>
    <row r="6225" spans="1:3" x14ac:dyDescent="0.25">
      <c r="A6225" s="48" t="s">
        <v>11116</v>
      </c>
      <c r="B6225" t="s">
        <v>11117</v>
      </c>
      <c r="C6225">
        <v>3</v>
      </c>
    </row>
    <row r="6226" spans="1:3" x14ac:dyDescent="0.25">
      <c r="A6226" s="48" t="s">
        <v>6111</v>
      </c>
      <c r="B6226" t="s">
        <v>6112</v>
      </c>
      <c r="C6226">
        <v>0</v>
      </c>
    </row>
    <row r="6227" spans="1:3" x14ac:dyDescent="0.25">
      <c r="A6227" s="48" t="s">
        <v>19859</v>
      </c>
      <c r="B6227" t="s">
        <v>19860</v>
      </c>
      <c r="C6227">
        <v>0</v>
      </c>
    </row>
    <row r="6228" spans="1:3" x14ac:dyDescent="0.25">
      <c r="A6228" s="48" t="s">
        <v>3995</v>
      </c>
      <c r="B6228" t="s">
        <v>3996</v>
      </c>
      <c r="C6228">
        <v>0</v>
      </c>
    </row>
    <row r="6229" spans="1:3" x14ac:dyDescent="0.25">
      <c r="A6229" s="48" t="s">
        <v>3993</v>
      </c>
      <c r="B6229" t="s">
        <v>3994</v>
      </c>
      <c r="C6229">
        <v>0</v>
      </c>
    </row>
    <row r="6230" spans="1:3" x14ac:dyDescent="0.25">
      <c r="A6230" s="48" t="s">
        <v>16196</v>
      </c>
      <c r="B6230" t="s">
        <v>16197</v>
      </c>
      <c r="C6230">
        <v>9</v>
      </c>
    </row>
    <row r="6231" spans="1:3" x14ac:dyDescent="0.25">
      <c r="A6231" s="48" t="s">
        <v>16194</v>
      </c>
      <c r="B6231" t="s">
        <v>16195</v>
      </c>
      <c r="C6231">
        <v>6</v>
      </c>
    </row>
    <row r="6232" spans="1:3" x14ac:dyDescent="0.25">
      <c r="A6232" s="48" t="s">
        <v>6634</v>
      </c>
      <c r="B6232" t="s">
        <v>6635</v>
      </c>
      <c r="C6232">
        <v>0</v>
      </c>
    </row>
    <row r="6233" spans="1:3" x14ac:dyDescent="0.25">
      <c r="A6233" s="48" t="s">
        <v>7768</v>
      </c>
      <c r="B6233" t="s">
        <v>21992</v>
      </c>
      <c r="C6233">
        <v>0</v>
      </c>
    </row>
    <row r="6234" spans="1:3" x14ac:dyDescent="0.25">
      <c r="A6234" s="48" t="s">
        <v>18211</v>
      </c>
      <c r="B6234" t="s">
        <v>18212</v>
      </c>
      <c r="C6234">
        <v>0</v>
      </c>
    </row>
    <row r="6235" spans="1:3" x14ac:dyDescent="0.25">
      <c r="A6235" s="48" t="s">
        <v>18209</v>
      </c>
      <c r="B6235" t="s">
        <v>18210</v>
      </c>
      <c r="C6235">
        <v>0</v>
      </c>
    </row>
    <row r="6236" spans="1:3" x14ac:dyDescent="0.25">
      <c r="A6236" s="48" t="s">
        <v>3185</v>
      </c>
      <c r="B6236" t="s">
        <v>21993</v>
      </c>
      <c r="C6236">
        <v>0</v>
      </c>
    </row>
    <row r="6237" spans="1:3" x14ac:dyDescent="0.25">
      <c r="A6237" s="48" t="s">
        <v>519</v>
      </c>
      <c r="B6237" t="s">
        <v>520</v>
      </c>
      <c r="C6237">
        <v>0</v>
      </c>
    </row>
    <row r="6238" spans="1:3" x14ac:dyDescent="0.25">
      <c r="A6238" s="48" t="s">
        <v>1039</v>
      </c>
      <c r="B6238" t="s">
        <v>1040</v>
      </c>
      <c r="C6238">
        <v>0</v>
      </c>
    </row>
    <row r="6239" spans="1:3" x14ac:dyDescent="0.25">
      <c r="A6239" s="48" t="s">
        <v>6757</v>
      </c>
      <c r="B6239" t="s">
        <v>6758</v>
      </c>
      <c r="C6239">
        <v>0</v>
      </c>
    </row>
    <row r="6240" spans="1:3" x14ac:dyDescent="0.25">
      <c r="A6240" s="48" t="s">
        <v>6773</v>
      </c>
      <c r="B6240" t="s">
        <v>6774</v>
      </c>
      <c r="C6240">
        <v>18</v>
      </c>
    </row>
    <row r="6241" spans="1:3" x14ac:dyDescent="0.25">
      <c r="A6241" s="48" t="s">
        <v>1433</v>
      </c>
      <c r="B6241" t="s">
        <v>1434</v>
      </c>
      <c r="C6241">
        <v>0</v>
      </c>
    </row>
    <row r="6242" spans="1:3" x14ac:dyDescent="0.25">
      <c r="A6242" s="48" t="s">
        <v>523</v>
      </c>
      <c r="B6242" t="s">
        <v>524</v>
      </c>
      <c r="C6242">
        <v>0</v>
      </c>
    </row>
    <row r="6243" spans="1:3" x14ac:dyDescent="0.25">
      <c r="A6243" s="48" t="s">
        <v>6749</v>
      </c>
      <c r="B6243" t="s">
        <v>6750</v>
      </c>
      <c r="C6243">
        <v>1</v>
      </c>
    </row>
    <row r="6244" spans="1:3" x14ac:dyDescent="0.25">
      <c r="A6244" s="48" t="s">
        <v>6759</v>
      </c>
      <c r="B6244" t="s">
        <v>6760</v>
      </c>
      <c r="C6244">
        <v>5</v>
      </c>
    </row>
    <row r="6245" spans="1:3" x14ac:dyDescent="0.25">
      <c r="A6245" s="48" t="s">
        <v>6728</v>
      </c>
      <c r="B6245" t="s">
        <v>6729</v>
      </c>
      <c r="C6245">
        <v>3</v>
      </c>
    </row>
    <row r="6246" spans="1:3" x14ac:dyDescent="0.25">
      <c r="A6246" s="48" t="s">
        <v>6747</v>
      </c>
      <c r="B6246" t="s">
        <v>6748</v>
      </c>
      <c r="C6246">
        <v>19</v>
      </c>
    </row>
    <row r="6247" spans="1:3" x14ac:dyDescent="0.25">
      <c r="A6247" s="48" t="s">
        <v>301</v>
      </c>
      <c r="B6247" t="s">
        <v>302</v>
      </c>
      <c r="C6247">
        <v>0</v>
      </c>
    </row>
    <row r="6248" spans="1:3" x14ac:dyDescent="0.25">
      <c r="A6248" s="48" t="s">
        <v>6730</v>
      </c>
      <c r="B6248" t="s">
        <v>6731</v>
      </c>
      <c r="C6248">
        <v>5</v>
      </c>
    </row>
    <row r="6249" spans="1:3" x14ac:dyDescent="0.25">
      <c r="A6249" s="48" t="s">
        <v>6791</v>
      </c>
      <c r="B6249" t="s">
        <v>6792</v>
      </c>
      <c r="C6249">
        <v>0</v>
      </c>
    </row>
    <row r="6250" spans="1:3" x14ac:dyDescent="0.25">
      <c r="A6250" s="48" t="s">
        <v>6779</v>
      </c>
      <c r="B6250" t="s">
        <v>6780</v>
      </c>
      <c r="C6250">
        <v>0</v>
      </c>
    </row>
    <row r="6251" spans="1:3" x14ac:dyDescent="0.25">
      <c r="A6251" s="48" t="s">
        <v>6755</v>
      </c>
      <c r="B6251" t="s">
        <v>6756</v>
      </c>
      <c r="C6251">
        <v>0</v>
      </c>
    </row>
    <row r="6252" spans="1:3" x14ac:dyDescent="0.25">
      <c r="A6252" s="48" t="s">
        <v>6743</v>
      </c>
      <c r="B6252" t="s">
        <v>6744</v>
      </c>
      <c r="C6252">
        <v>19</v>
      </c>
    </row>
    <row r="6253" spans="1:3" x14ac:dyDescent="0.25">
      <c r="A6253" s="48" t="s">
        <v>6726</v>
      </c>
      <c r="B6253" t="s">
        <v>6727</v>
      </c>
      <c r="C6253">
        <v>10</v>
      </c>
    </row>
    <row r="6254" spans="1:3" x14ac:dyDescent="0.25">
      <c r="A6254" s="48" t="s">
        <v>1535</v>
      </c>
      <c r="B6254" t="s">
        <v>1536</v>
      </c>
      <c r="C6254">
        <v>4</v>
      </c>
    </row>
    <row r="6255" spans="1:3" x14ac:dyDescent="0.25">
      <c r="A6255" s="48" t="s">
        <v>6803</v>
      </c>
      <c r="B6255" t="s">
        <v>6804</v>
      </c>
      <c r="C6255">
        <v>13</v>
      </c>
    </row>
    <row r="6256" spans="1:3" x14ac:dyDescent="0.25">
      <c r="A6256" s="48" t="s">
        <v>6763</v>
      </c>
      <c r="B6256" t="s">
        <v>6764</v>
      </c>
      <c r="C6256">
        <v>0</v>
      </c>
    </row>
    <row r="6257" spans="1:3" x14ac:dyDescent="0.25">
      <c r="A6257" s="48" t="s">
        <v>6799</v>
      </c>
      <c r="B6257" t="s">
        <v>6800</v>
      </c>
      <c r="C6257">
        <v>3</v>
      </c>
    </row>
    <row r="6258" spans="1:3" x14ac:dyDescent="0.25">
      <c r="A6258" s="48" t="s">
        <v>185</v>
      </c>
      <c r="B6258" t="s">
        <v>186</v>
      </c>
      <c r="C6258">
        <v>2</v>
      </c>
    </row>
    <row r="6259" spans="1:3" x14ac:dyDescent="0.25">
      <c r="A6259" s="48" t="s">
        <v>6736</v>
      </c>
      <c r="B6259" t="s">
        <v>6737</v>
      </c>
      <c r="C6259">
        <v>15</v>
      </c>
    </row>
    <row r="6260" spans="1:3" x14ac:dyDescent="0.25">
      <c r="A6260" s="48" t="s">
        <v>1363</v>
      </c>
      <c r="B6260" t="s">
        <v>1364</v>
      </c>
      <c r="C6260">
        <v>0</v>
      </c>
    </row>
    <row r="6261" spans="1:3" x14ac:dyDescent="0.25">
      <c r="A6261" s="48" t="s">
        <v>6741</v>
      </c>
      <c r="B6261" t="s">
        <v>6742</v>
      </c>
      <c r="C6261">
        <v>5</v>
      </c>
    </row>
    <row r="6262" spans="1:3" x14ac:dyDescent="0.25">
      <c r="A6262" s="48" t="s">
        <v>6787</v>
      </c>
      <c r="B6262" t="s">
        <v>6788</v>
      </c>
      <c r="C6262">
        <v>5</v>
      </c>
    </row>
    <row r="6263" spans="1:3" x14ac:dyDescent="0.25">
      <c r="A6263" s="48" t="s">
        <v>6769</v>
      </c>
      <c r="B6263" t="s">
        <v>6770</v>
      </c>
      <c r="C6263">
        <v>0</v>
      </c>
    </row>
    <row r="6264" spans="1:3" x14ac:dyDescent="0.25">
      <c r="A6264" s="48" t="s">
        <v>6765</v>
      </c>
      <c r="B6264" t="s">
        <v>6766</v>
      </c>
      <c r="C6264">
        <v>15</v>
      </c>
    </row>
    <row r="6265" spans="1:3" x14ac:dyDescent="0.25">
      <c r="A6265" s="48" t="s">
        <v>6751</v>
      </c>
      <c r="B6265" t="s">
        <v>6752</v>
      </c>
      <c r="C6265">
        <v>10</v>
      </c>
    </row>
    <row r="6266" spans="1:3" x14ac:dyDescent="0.25">
      <c r="A6266" s="48" t="s">
        <v>6801</v>
      </c>
      <c r="B6266" t="s">
        <v>6802</v>
      </c>
      <c r="C6266">
        <v>6</v>
      </c>
    </row>
    <row r="6267" spans="1:3" x14ac:dyDescent="0.25">
      <c r="A6267" s="48" t="s">
        <v>6740</v>
      </c>
      <c r="B6267" t="s">
        <v>6739</v>
      </c>
      <c r="C6267">
        <v>10</v>
      </c>
    </row>
    <row r="6268" spans="1:3" x14ac:dyDescent="0.25">
      <c r="A6268" s="48" t="s">
        <v>469</v>
      </c>
      <c r="B6268" t="s">
        <v>470</v>
      </c>
      <c r="C6268">
        <v>0</v>
      </c>
    </row>
    <row r="6269" spans="1:3" x14ac:dyDescent="0.25">
      <c r="A6269" s="48" t="s">
        <v>283</v>
      </c>
      <c r="B6269" t="s">
        <v>284</v>
      </c>
      <c r="C6269">
        <v>0</v>
      </c>
    </row>
    <row r="6270" spans="1:3" x14ac:dyDescent="0.25">
      <c r="A6270" s="48" t="s">
        <v>775</v>
      </c>
      <c r="B6270" t="s">
        <v>776</v>
      </c>
      <c r="C6270">
        <v>8</v>
      </c>
    </row>
    <row r="6271" spans="1:3" x14ac:dyDescent="0.25">
      <c r="A6271" s="48" t="s">
        <v>1081</v>
      </c>
      <c r="B6271" t="s">
        <v>1082</v>
      </c>
      <c r="C6271">
        <v>0</v>
      </c>
    </row>
    <row r="6272" spans="1:3" x14ac:dyDescent="0.25">
      <c r="A6272" s="48" t="s">
        <v>6795</v>
      </c>
      <c r="B6272" t="s">
        <v>6796</v>
      </c>
      <c r="C6272">
        <v>0</v>
      </c>
    </row>
    <row r="6273" spans="1:3" x14ac:dyDescent="0.25">
      <c r="A6273" s="48" t="s">
        <v>535</v>
      </c>
      <c r="B6273" t="s">
        <v>536</v>
      </c>
      <c r="C6273">
        <v>0</v>
      </c>
    </row>
    <row r="6274" spans="1:3" x14ac:dyDescent="0.25">
      <c r="A6274" s="48" t="s">
        <v>6732</v>
      </c>
      <c r="B6274" t="s">
        <v>6733</v>
      </c>
      <c r="C6274">
        <v>0</v>
      </c>
    </row>
    <row r="6275" spans="1:3" x14ac:dyDescent="0.25">
      <c r="A6275" s="48" t="s">
        <v>6789</v>
      </c>
      <c r="B6275" t="s">
        <v>6790</v>
      </c>
      <c r="C6275">
        <v>3</v>
      </c>
    </row>
    <row r="6276" spans="1:3" x14ac:dyDescent="0.25">
      <c r="A6276" s="48" t="s">
        <v>6785</v>
      </c>
      <c r="B6276" t="s">
        <v>6786</v>
      </c>
      <c r="C6276">
        <v>0</v>
      </c>
    </row>
    <row r="6277" spans="1:3" x14ac:dyDescent="0.25">
      <c r="A6277" s="48" t="s">
        <v>6793</v>
      </c>
      <c r="B6277" t="s">
        <v>6794</v>
      </c>
      <c r="C6277">
        <v>2</v>
      </c>
    </row>
    <row r="6278" spans="1:3" x14ac:dyDescent="0.25">
      <c r="A6278" s="48" t="s">
        <v>327</v>
      </c>
      <c r="B6278" t="s">
        <v>328</v>
      </c>
      <c r="C6278">
        <v>0</v>
      </c>
    </row>
    <row r="6279" spans="1:3" x14ac:dyDescent="0.25">
      <c r="A6279" s="48" t="s">
        <v>6781</v>
      </c>
      <c r="B6279" t="s">
        <v>6782</v>
      </c>
      <c r="C6279">
        <v>0</v>
      </c>
    </row>
    <row r="6280" spans="1:3" x14ac:dyDescent="0.25">
      <c r="A6280" s="48" t="s">
        <v>6761</v>
      </c>
      <c r="B6280" t="s">
        <v>6762</v>
      </c>
      <c r="C6280">
        <v>4</v>
      </c>
    </row>
    <row r="6281" spans="1:3" x14ac:dyDescent="0.25">
      <c r="A6281" s="48" t="s">
        <v>6753</v>
      </c>
      <c r="B6281" t="s">
        <v>6754</v>
      </c>
      <c r="C6281">
        <v>8</v>
      </c>
    </row>
    <row r="6282" spans="1:3" x14ac:dyDescent="0.25">
      <c r="A6282" s="48" t="s">
        <v>6775</v>
      </c>
      <c r="B6282" t="s">
        <v>6776</v>
      </c>
      <c r="C6282">
        <v>0</v>
      </c>
    </row>
    <row r="6283" spans="1:3" x14ac:dyDescent="0.25">
      <c r="A6283" s="48" t="s">
        <v>6783</v>
      </c>
      <c r="B6283" t="s">
        <v>6784</v>
      </c>
      <c r="C6283">
        <v>8</v>
      </c>
    </row>
    <row r="6284" spans="1:3" x14ac:dyDescent="0.25">
      <c r="A6284" s="48" t="s">
        <v>465</v>
      </c>
      <c r="B6284" t="s">
        <v>466</v>
      </c>
      <c r="C6284">
        <v>0</v>
      </c>
    </row>
    <row r="6285" spans="1:3" x14ac:dyDescent="0.25">
      <c r="A6285" s="48" t="s">
        <v>6771</v>
      </c>
      <c r="B6285" t="s">
        <v>6772</v>
      </c>
      <c r="C6285">
        <v>8</v>
      </c>
    </row>
    <row r="6286" spans="1:3" x14ac:dyDescent="0.25">
      <c r="A6286" s="48" t="s">
        <v>6797</v>
      </c>
      <c r="B6286" t="s">
        <v>6798</v>
      </c>
      <c r="C6286">
        <v>0</v>
      </c>
    </row>
    <row r="6287" spans="1:3" x14ac:dyDescent="0.25">
      <c r="A6287" s="48" t="s">
        <v>6767</v>
      </c>
      <c r="B6287" t="s">
        <v>6768</v>
      </c>
      <c r="C6287">
        <v>6</v>
      </c>
    </row>
    <row r="6288" spans="1:3" x14ac:dyDescent="0.25">
      <c r="A6288" s="48" t="s">
        <v>6734</v>
      </c>
      <c r="B6288" t="s">
        <v>6735</v>
      </c>
      <c r="C6288">
        <v>5</v>
      </c>
    </row>
    <row r="6289" spans="1:3" x14ac:dyDescent="0.25">
      <c r="A6289" s="48" t="s">
        <v>6777</v>
      </c>
      <c r="B6289" t="s">
        <v>6778</v>
      </c>
      <c r="C6289">
        <v>7</v>
      </c>
    </row>
    <row r="6290" spans="1:3" x14ac:dyDescent="0.25">
      <c r="A6290" s="48" t="s">
        <v>6745</v>
      </c>
      <c r="B6290" t="s">
        <v>6746</v>
      </c>
      <c r="C6290">
        <v>0</v>
      </c>
    </row>
    <row r="6291" spans="1:3" x14ac:dyDescent="0.25">
      <c r="A6291" s="48" t="s">
        <v>1803</v>
      </c>
      <c r="B6291" t="s">
        <v>1804</v>
      </c>
      <c r="C6291">
        <v>11</v>
      </c>
    </row>
    <row r="6292" spans="1:3" x14ac:dyDescent="0.25">
      <c r="A6292" s="48" t="s">
        <v>4701</v>
      </c>
      <c r="B6292" t="s">
        <v>4702</v>
      </c>
      <c r="C6292">
        <v>0</v>
      </c>
    </row>
    <row r="6293" spans="1:3" x14ac:dyDescent="0.25">
      <c r="A6293" s="48" t="s">
        <v>9492</v>
      </c>
      <c r="B6293" t="s">
        <v>9493</v>
      </c>
      <c r="C6293">
        <v>0</v>
      </c>
    </row>
    <row r="6294" spans="1:3" x14ac:dyDescent="0.25">
      <c r="A6294" s="48" t="s">
        <v>9496</v>
      </c>
      <c r="B6294" t="s">
        <v>9497</v>
      </c>
      <c r="C6294">
        <v>0</v>
      </c>
    </row>
    <row r="6295" spans="1:3" x14ac:dyDescent="0.25">
      <c r="A6295" s="48" t="s">
        <v>9494</v>
      </c>
      <c r="B6295" t="s">
        <v>9495</v>
      </c>
      <c r="C6295">
        <v>0</v>
      </c>
    </row>
    <row r="6296" spans="1:3" x14ac:dyDescent="0.25">
      <c r="A6296" s="48" t="s">
        <v>7496</v>
      </c>
      <c r="B6296" t="s">
        <v>7497</v>
      </c>
      <c r="C6296">
        <v>0</v>
      </c>
    </row>
    <row r="6297" spans="1:3" x14ac:dyDescent="0.25">
      <c r="A6297" s="48" t="s">
        <v>3169</v>
      </c>
      <c r="B6297" t="s">
        <v>3170</v>
      </c>
      <c r="C6297">
        <v>0</v>
      </c>
    </row>
    <row r="6298" spans="1:3" x14ac:dyDescent="0.25">
      <c r="A6298" s="48" t="s">
        <v>3171</v>
      </c>
      <c r="B6298" t="s">
        <v>3172</v>
      </c>
      <c r="C6298">
        <v>0</v>
      </c>
    </row>
    <row r="6299" spans="1:3" x14ac:dyDescent="0.25">
      <c r="A6299" s="48" t="s">
        <v>4732</v>
      </c>
      <c r="B6299" t="s">
        <v>4733</v>
      </c>
      <c r="C6299">
        <v>0</v>
      </c>
    </row>
    <row r="6300" spans="1:3" x14ac:dyDescent="0.25">
      <c r="A6300" s="48" t="s">
        <v>7516</v>
      </c>
      <c r="B6300" t="s">
        <v>7517</v>
      </c>
      <c r="C6300">
        <v>0</v>
      </c>
    </row>
    <row r="6301" spans="1:3" x14ac:dyDescent="0.25">
      <c r="A6301" s="48" t="s">
        <v>9433</v>
      </c>
      <c r="B6301" t="s">
        <v>9434</v>
      </c>
      <c r="C6301">
        <v>0</v>
      </c>
    </row>
    <row r="6302" spans="1:3" x14ac:dyDescent="0.25">
      <c r="A6302" s="48" t="s">
        <v>131</v>
      </c>
      <c r="B6302" t="s">
        <v>132</v>
      </c>
      <c r="C6302">
        <v>0</v>
      </c>
    </row>
    <row r="6303" spans="1:3" x14ac:dyDescent="0.25">
      <c r="A6303" s="48" t="s">
        <v>1069</v>
      </c>
      <c r="B6303" t="s">
        <v>1070</v>
      </c>
      <c r="C6303">
        <v>0</v>
      </c>
    </row>
    <row r="6304" spans="1:3" x14ac:dyDescent="0.25">
      <c r="A6304" s="48" t="s">
        <v>11</v>
      </c>
      <c r="B6304" t="s">
        <v>12</v>
      </c>
      <c r="C6304">
        <v>0</v>
      </c>
    </row>
    <row r="6305" spans="1:3" x14ac:dyDescent="0.25">
      <c r="A6305" s="48" t="s">
        <v>5</v>
      </c>
      <c r="B6305" t="s">
        <v>6</v>
      </c>
      <c r="C6305">
        <v>11</v>
      </c>
    </row>
    <row r="6306" spans="1:3" x14ac:dyDescent="0.25">
      <c r="A6306" s="48" t="s">
        <v>993</v>
      </c>
      <c r="B6306" t="s">
        <v>994</v>
      </c>
      <c r="C6306">
        <v>15</v>
      </c>
    </row>
    <row r="6307" spans="1:3" x14ac:dyDescent="0.25">
      <c r="A6307" s="48" t="s">
        <v>1085</v>
      </c>
      <c r="B6307" t="s">
        <v>1086</v>
      </c>
      <c r="C6307">
        <v>0</v>
      </c>
    </row>
    <row r="6308" spans="1:3" x14ac:dyDescent="0.25">
      <c r="A6308" s="48" t="s">
        <v>12012</v>
      </c>
      <c r="B6308" t="s">
        <v>12013</v>
      </c>
      <c r="C6308">
        <v>60</v>
      </c>
    </row>
    <row r="6309" spans="1:3" x14ac:dyDescent="0.25">
      <c r="A6309" s="48" t="s">
        <v>329</v>
      </c>
      <c r="B6309" t="s">
        <v>330</v>
      </c>
      <c r="C6309">
        <v>3</v>
      </c>
    </row>
    <row r="6310" spans="1:3" x14ac:dyDescent="0.25">
      <c r="A6310" s="48" t="s">
        <v>617</v>
      </c>
      <c r="B6310" t="s">
        <v>618</v>
      </c>
      <c r="C6310">
        <v>50</v>
      </c>
    </row>
    <row r="6311" spans="1:3" x14ac:dyDescent="0.25">
      <c r="A6311" s="48" t="s">
        <v>705</v>
      </c>
      <c r="B6311" t="s">
        <v>706</v>
      </c>
      <c r="C6311">
        <v>1</v>
      </c>
    </row>
    <row r="6312" spans="1:3" x14ac:dyDescent="0.25">
      <c r="A6312" s="48" t="s">
        <v>1509</v>
      </c>
      <c r="B6312" t="s">
        <v>1510</v>
      </c>
      <c r="C6312">
        <v>11</v>
      </c>
    </row>
    <row r="6313" spans="1:3" x14ac:dyDescent="0.25">
      <c r="A6313" s="48" t="s">
        <v>1551</v>
      </c>
      <c r="B6313" t="s">
        <v>1552</v>
      </c>
      <c r="C6313">
        <v>0</v>
      </c>
    </row>
    <row r="6314" spans="1:3" x14ac:dyDescent="0.25">
      <c r="A6314" s="48" t="s">
        <v>12986</v>
      </c>
      <c r="B6314" t="s">
        <v>12987</v>
      </c>
      <c r="C6314">
        <v>20</v>
      </c>
    </row>
    <row r="6315" spans="1:3" x14ac:dyDescent="0.25">
      <c r="A6315" s="48" t="s">
        <v>963</v>
      </c>
      <c r="B6315" t="s">
        <v>964</v>
      </c>
      <c r="C6315">
        <v>620</v>
      </c>
    </row>
    <row r="6316" spans="1:3" x14ac:dyDescent="0.25">
      <c r="A6316" s="48" t="s">
        <v>835</v>
      </c>
      <c r="B6316" t="s">
        <v>836</v>
      </c>
      <c r="C6316">
        <v>39</v>
      </c>
    </row>
    <row r="6317" spans="1:3" x14ac:dyDescent="0.25">
      <c r="A6317" s="48" t="s">
        <v>1575</v>
      </c>
      <c r="B6317" t="s">
        <v>1576</v>
      </c>
      <c r="C6317">
        <v>30</v>
      </c>
    </row>
    <row r="6318" spans="1:3" x14ac:dyDescent="0.25">
      <c r="A6318" s="48" t="s">
        <v>1928</v>
      </c>
      <c r="B6318" t="s">
        <v>1929</v>
      </c>
      <c r="C6318">
        <v>13</v>
      </c>
    </row>
    <row r="6319" spans="1:3" x14ac:dyDescent="0.25">
      <c r="A6319" s="48" t="s">
        <v>1944</v>
      </c>
      <c r="B6319" t="s">
        <v>1945</v>
      </c>
      <c r="C6319">
        <v>2</v>
      </c>
    </row>
    <row r="6320" spans="1:3" x14ac:dyDescent="0.25">
      <c r="A6320" s="48" t="s">
        <v>1439</v>
      </c>
      <c r="B6320" t="s">
        <v>1440</v>
      </c>
      <c r="C6320">
        <v>201</v>
      </c>
    </row>
    <row r="6321" spans="1:3" x14ac:dyDescent="0.25">
      <c r="A6321" s="48" t="s">
        <v>1719</v>
      </c>
      <c r="B6321" t="s">
        <v>1720</v>
      </c>
      <c r="C6321">
        <v>18</v>
      </c>
    </row>
    <row r="6322" spans="1:3" x14ac:dyDescent="0.25">
      <c r="A6322" s="48" t="s">
        <v>1982</v>
      </c>
      <c r="B6322" t="s">
        <v>1983</v>
      </c>
      <c r="C6322">
        <v>18</v>
      </c>
    </row>
    <row r="6323" spans="1:3" x14ac:dyDescent="0.25">
      <c r="A6323" s="48" t="s">
        <v>1902</v>
      </c>
      <c r="B6323" t="s">
        <v>1903</v>
      </c>
      <c r="C6323">
        <v>10</v>
      </c>
    </row>
    <row r="6324" spans="1:3" x14ac:dyDescent="0.25">
      <c r="A6324" s="48" t="s">
        <v>1693</v>
      </c>
      <c r="B6324" t="s">
        <v>1694</v>
      </c>
      <c r="C6324">
        <v>6</v>
      </c>
    </row>
    <row r="6325" spans="1:3" x14ac:dyDescent="0.25">
      <c r="A6325" s="48" t="s">
        <v>579</v>
      </c>
      <c r="B6325" t="s">
        <v>580</v>
      </c>
      <c r="C6325">
        <v>1</v>
      </c>
    </row>
    <row r="6326" spans="1:3" x14ac:dyDescent="0.25">
      <c r="A6326" s="48" t="s">
        <v>267</v>
      </c>
      <c r="B6326" t="s">
        <v>268</v>
      </c>
      <c r="C6326">
        <v>0</v>
      </c>
    </row>
    <row r="6327" spans="1:3" x14ac:dyDescent="0.25">
      <c r="A6327" s="48" t="s">
        <v>3859</v>
      </c>
      <c r="B6327" t="s">
        <v>3860</v>
      </c>
      <c r="C6327">
        <v>130</v>
      </c>
    </row>
    <row r="6328" spans="1:3" x14ac:dyDescent="0.25">
      <c r="A6328" s="48" t="s">
        <v>19750</v>
      </c>
      <c r="B6328" t="s">
        <v>19751</v>
      </c>
      <c r="C6328">
        <v>15</v>
      </c>
    </row>
    <row r="6329" spans="1:3" x14ac:dyDescent="0.25">
      <c r="A6329" s="48" t="s">
        <v>1862</v>
      </c>
      <c r="B6329" t="s">
        <v>1863</v>
      </c>
      <c r="C6329">
        <v>114</v>
      </c>
    </row>
    <row r="6330" spans="1:3" x14ac:dyDescent="0.25">
      <c r="A6330" s="48" t="s">
        <v>7494</v>
      </c>
      <c r="B6330" t="s">
        <v>7495</v>
      </c>
      <c r="C6330">
        <v>0</v>
      </c>
    </row>
    <row r="6331" spans="1:3" x14ac:dyDescent="0.25">
      <c r="A6331" s="48" t="s">
        <v>399</v>
      </c>
      <c r="B6331" t="s">
        <v>400</v>
      </c>
      <c r="C6331">
        <v>0</v>
      </c>
    </row>
    <row r="6332" spans="1:3" x14ac:dyDescent="0.25">
      <c r="A6332" s="48" t="s">
        <v>8045</v>
      </c>
      <c r="B6332" t="s">
        <v>8046</v>
      </c>
      <c r="C6332">
        <v>24</v>
      </c>
    </row>
    <row r="6333" spans="1:3" x14ac:dyDescent="0.25">
      <c r="A6333" s="48" t="s">
        <v>14056</v>
      </c>
      <c r="B6333" t="s">
        <v>14057</v>
      </c>
      <c r="C6333">
        <v>0</v>
      </c>
    </row>
    <row r="6334" spans="1:3" x14ac:dyDescent="0.25">
      <c r="A6334" s="48" t="s">
        <v>14062</v>
      </c>
      <c r="B6334" t="s">
        <v>14063</v>
      </c>
      <c r="C6334">
        <v>0</v>
      </c>
    </row>
    <row r="6335" spans="1:3" x14ac:dyDescent="0.25">
      <c r="A6335" s="48" t="s">
        <v>14058</v>
      </c>
      <c r="B6335" t="s">
        <v>14059</v>
      </c>
      <c r="C6335">
        <v>0</v>
      </c>
    </row>
    <row r="6336" spans="1:3" x14ac:dyDescent="0.25">
      <c r="A6336" s="48" t="s">
        <v>14054</v>
      </c>
      <c r="B6336" t="s">
        <v>14055</v>
      </c>
      <c r="C6336">
        <v>0</v>
      </c>
    </row>
    <row r="6337" spans="1:3" x14ac:dyDescent="0.25">
      <c r="A6337" s="48" t="s">
        <v>2951</v>
      </c>
      <c r="B6337" t="s">
        <v>2952</v>
      </c>
      <c r="C6337">
        <v>10</v>
      </c>
    </row>
    <row r="6338" spans="1:3" x14ac:dyDescent="0.25">
      <c r="A6338" s="48" t="s">
        <v>2953</v>
      </c>
      <c r="B6338" t="s">
        <v>2954</v>
      </c>
      <c r="C6338">
        <v>22</v>
      </c>
    </row>
    <row r="6339" spans="1:3" x14ac:dyDescent="0.25">
      <c r="A6339" s="48" t="s">
        <v>1823</v>
      </c>
      <c r="B6339" t="s">
        <v>1824</v>
      </c>
      <c r="C6339">
        <v>0</v>
      </c>
    </row>
    <row r="6340" spans="1:3" x14ac:dyDescent="0.25">
      <c r="A6340" s="48" t="s">
        <v>7655</v>
      </c>
      <c r="B6340" t="s">
        <v>7656</v>
      </c>
      <c r="C6340">
        <v>13</v>
      </c>
    </row>
    <row r="6341" spans="1:3" x14ac:dyDescent="0.25">
      <c r="A6341" s="48" t="s">
        <v>7657</v>
      </c>
      <c r="B6341" t="s">
        <v>7658</v>
      </c>
      <c r="C6341">
        <v>6</v>
      </c>
    </row>
    <row r="6342" spans="1:3" x14ac:dyDescent="0.25">
      <c r="A6342" s="48" t="s">
        <v>7651</v>
      </c>
      <c r="B6342" t="s">
        <v>7652</v>
      </c>
      <c r="C6342">
        <v>11</v>
      </c>
    </row>
    <row r="6343" spans="1:3" x14ac:dyDescent="0.25">
      <c r="A6343" s="48" t="s">
        <v>7653</v>
      </c>
      <c r="B6343" t="s">
        <v>7654</v>
      </c>
      <c r="C6343">
        <v>0</v>
      </c>
    </row>
    <row r="6344" spans="1:3" x14ac:dyDescent="0.25">
      <c r="A6344" s="48" t="s">
        <v>1063</v>
      </c>
      <c r="B6344" t="s">
        <v>1064</v>
      </c>
      <c r="C6344">
        <v>161</v>
      </c>
    </row>
    <row r="6345" spans="1:3" x14ac:dyDescent="0.25">
      <c r="A6345" s="48" t="s">
        <v>1767</v>
      </c>
      <c r="B6345" t="s">
        <v>1768</v>
      </c>
      <c r="C6345">
        <v>203</v>
      </c>
    </row>
    <row r="6346" spans="1:3" x14ac:dyDescent="0.25">
      <c r="A6346" s="48" t="s">
        <v>921</v>
      </c>
      <c r="B6346" t="s">
        <v>922</v>
      </c>
      <c r="C6346">
        <v>3</v>
      </c>
    </row>
    <row r="6347" spans="1:3" x14ac:dyDescent="0.25">
      <c r="A6347" s="48" t="s">
        <v>175</v>
      </c>
      <c r="B6347" t="s">
        <v>176</v>
      </c>
      <c r="C6347">
        <v>7</v>
      </c>
    </row>
    <row r="6348" spans="1:3" x14ac:dyDescent="0.25">
      <c r="A6348" s="48" t="s">
        <v>12065</v>
      </c>
      <c r="B6348" t="s">
        <v>12066</v>
      </c>
      <c r="C6348">
        <v>6</v>
      </c>
    </row>
    <row r="6349" spans="1:3" x14ac:dyDescent="0.25">
      <c r="A6349" s="48" t="s">
        <v>12063</v>
      </c>
      <c r="B6349" t="s">
        <v>21994</v>
      </c>
      <c r="C6349">
        <v>12</v>
      </c>
    </row>
    <row r="6350" spans="1:3" x14ac:dyDescent="0.25">
      <c r="A6350" s="48" t="s">
        <v>12071</v>
      </c>
      <c r="B6350" t="s">
        <v>12072</v>
      </c>
      <c r="C6350">
        <v>28</v>
      </c>
    </row>
    <row r="6351" spans="1:3" x14ac:dyDescent="0.25">
      <c r="A6351" s="48" t="s">
        <v>14457</v>
      </c>
      <c r="B6351" t="s">
        <v>14458</v>
      </c>
      <c r="C6351">
        <v>0</v>
      </c>
    </row>
    <row r="6352" spans="1:3" x14ac:dyDescent="0.25">
      <c r="A6352" s="48" t="s">
        <v>14455</v>
      </c>
      <c r="B6352" t="s">
        <v>21995</v>
      </c>
      <c r="C6352">
        <v>0</v>
      </c>
    </row>
    <row r="6353" spans="1:3" x14ac:dyDescent="0.25">
      <c r="A6353" s="48" t="s">
        <v>14461</v>
      </c>
      <c r="B6353" t="s">
        <v>14462</v>
      </c>
      <c r="C6353">
        <v>65</v>
      </c>
    </row>
    <row r="6354" spans="1:3" x14ac:dyDescent="0.25">
      <c r="A6354" s="48" t="s">
        <v>15385</v>
      </c>
      <c r="B6354" t="s">
        <v>15386</v>
      </c>
      <c r="C6354">
        <v>0</v>
      </c>
    </row>
    <row r="6355" spans="1:3" x14ac:dyDescent="0.25">
      <c r="A6355" s="48" t="s">
        <v>15387</v>
      </c>
      <c r="B6355" t="s">
        <v>15388</v>
      </c>
      <c r="C6355">
        <v>0</v>
      </c>
    </row>
    <row r="6356" spans="1:3" x14ac:dyDescent="0.25">
      <c r="A6356" s="48" t="s">
        <v>14459</v>
      </c>
      <c r="B6356" t="s">
        <v>14460</v>
      </c>
      <c r="C6356">
        <v>1</v>
      </c>
    </row>
    <row r="6357" spans="1:3" x14ac:dyDescent="0.25">
      <c r="A6357" s="48" t="s">
        <v>15735</v>
      </c>
      <c r="B6357" t="s">
        <v>15736</v>
      </c>
      <c r="C6357">
        <v>0</v>
      </c>
    </row>
    <row r="6358" spans="1:3" x14ac:dyDescent="0.25">
      <c r="A6358" s="48" t="s">
        <v>15737</v>
      </c>
      <c r="B6358" t="s">
        <v>15738</v>
      </c>
      <c r="C6358">
        <v>8</v>
      </c>
    </row>
    <row r="6359" spans="1:3" x14ac:dyDescent="0.25">
      <c r="A6359" s="48" t="s">
        <v>15397</v>
      </c>
      <c r="B6359" t="s">
        <v>15398</v>
      </c>
      <c r="C6359">
        <v>35</v>
      </c>
    </row>
    <row r="6360" spans="1:3" x14ac:dyDescent="0.25">
      <c r="A6360" s="48" t="s">
        <v>15395</v>
      </c>
      <c r="B6360" t="s">
        <v>15396</v>
      </c>
      <c r="C6360">
        <v>0</v>
      </c>
    </row>
    <row r="6361" spans="1:3" x14ac:dyDescent="0.25">
      <c r="A6361" s="48" t="s">
        <v>19522</v>
      </c>
      <c r="B6361" t="s">
        <v>19523</v>
      </c>
      <c r="C6361">
        <v>11</v>
      </c>
    </row>
    <row r="6362" spans="1:3" x14ac:dyDescent="0.25">
      <c r="A6362" s="48" t="s">
        <v>19520</v>
      </c>
      <c r="B6362" t="s">
        <v>19521</v>
      </c>
      <c r="C6362">
        <v>7</v>
      </c>
    </row>
    <row r="6363" spans="1:3" x14ac:dyDescent="0.25">
      <c r="A6363" s="48" t="s">
        <v>14682</v>
      </c>
      <c r="B6363" t="s">
        <v>14683</v>
      </c>
      <c r="C6363">
        <v>21</v>
      </c>
    </row>
    <row r="6364" spans="1:3" x14ac:dyDescent="0.25">
      <c r="A6364" s="48" t="s">
        <v>14684</v>
      </c>
      <c r="B6364" t="s">
        <v>14685</v>
      </c>
      <c r="C6364">
        <v>20</v>
      </c>
    </row>
    <row r="6365" spans="1:3" x14ac:dyDescent="0.25">
      <c r="A6365" s="48" t="s">
        <v>14686</v>
      </c>
      <c r="B6365" t="s">
        <v>14687</v>
      </c>
      <c r="C6365">
        <v>12</v>
      </c>
    </row>
    <row r="6366" spans="1:3" x14ac:dyDescent="0.25">
      <c r="A6366" s="48" t="s">
        <v>14688</v>
      </c>
      <c r="B6366" t="s">
        <v>14689</v>
      </c>
      <c r="C6366">
        <v>8</v>
      </c>
    </row>
    <row r="6367" spans="1:3" x14ac:dyDescent="0.25">
      <c r="A6367" s="48" t="s">
        <v>14690</v>
      </c>
      <c r="B6367" t="s">
        <v>14691</v>
      </c>
      <c r="C6367">
        <v>12</v>
      </c>
    </row>
    <row r="6368" spans="1:3" x14ac:dyDescent="0.25">
      <c r="A6368" s="48" t="s">
        <v>18121</v>
      </c>
      <c r="B6368" t="s">
        <v>18122</v>
      </c>
      <c r="C6368">
        <v>21</v>
      </c>
    </row>
    <row r="6369" spans="1:3" x14ac:dyDescent="0.25">
      <c r="A6369" s="48" t="s">
        <v>18117</v>
      </c>
      <c r="B6369" t="s">
        <v>18118</v>
      </c>
      <c r="C6369">
        <v>34</v>
      </c>
    </row>
    <row r="6370" spans="1:3" x14ac:dyDescent="0.25">
      <c r="A6370" s="48" t="s">
        <v>18115</v>
      </c>
      <c r="B6370" t="s">
        <v>18116</v>
      </c>
      <c r="C6370">
        <v>36</v>
      </c>
    </row>
    <row r="6371" spans="1:3" x14ac:dyDescent="0.25">
      <c r="A6371" s="48" t="s">
        <v>18113</v>
      </c>
      <c r="B6371" t="s">
        <v>18114</v>
      </c>
      <c r="C6371">
        <v>58</v>
      </c>
    </row>
    <row r="6372" spans="1:3" x14ac:dyDescent="0.25">
      <c r="A6372" s="48" t="s">
        <v>18119</v>
      </c>
      <c r="B6372" t="s">
        <v>18120</v>
      </c>
      <c r="C6372">
        <v>11</v>
      </c>
    </row>
    <row r="6373" spans="1:3" x14ac:dyDescent="0.25">
      <c r="A6373" s="48" t="s">
        <v>17544</v>
      </c>
      <c r="B6373" t="s">
        <v>17545</v>
      </c>
      <c r="C6373">
        <v>0</v>
      </c>
    </row>
    <row r="6374" spans="1:3" x14ac:dyDescent="0.25">
      <c r="A6374" s="48" t="s">
        <v>7738</v>
      </c>
      <c r="B6374" t="s">
        <v>7739</v>
      </c>
      <c r="C6374">
        <v>13</v>
      </c>
    </row>
    <row r="6375" spans="1:3" x14ac:dyDescent="0.25">
      <c r="A6375" s="48" t="s">
        <v>9472</v>
      </c>
      <c r="B6375" t="s">
        <v>9473</v>
      </c>
      <c r="C6375">
        <v>21</v>
      </c>
    </row>
    <row r="6376" spans="1:3" x14ac:dyDescent="0.25">
      <c r="A6376" s="48" t="s">
        <v>7742</v>
      </c>
      <c r="B6376" t="s">
        <v>21996</v>
      </c>
      <c r="C6376">
        <v>5</v>
      </c>
    </row>
    <row r="6377" spans="1:3" x14ac:dyDescent="0.25">
      <c r="A6377" s="48" t="s">
        <v>16059</v>
      </c>
      <c r="B6377" t="s">
        <v>16060</v>
      </c>
      <c r="C6377">
        <v>0</v>
      </c>
    </row>
    <row r="6378" spans="1:3" x14ac:dyDescent="0.25">
      <c r="A6378" s="48" t="s">
        <v>5965</v>
      </c>
      <c r="B6378" t="s">
        <v>5966</v>
      </c>
      <c r="C6378">
        <v>0</v>
      </c>
    </row>
    <row r="6379" spans="1:3" x14ac:dyDescent="0.25">
      <c r="A6379" s="48" t="s">
        <v>7740</v>
      </c>
      <c r="B6379" t="s">
        <v>7741</v>
      </c>
      <c r="C6379">
        <v>3</v>
      </c>
    </row>
    <row r="6380" spans="1:3" x14ac:dyDescent="0.25">
      <c r="A6380" s="48" t="s">
        <v>9476</v>
      </c>
      <c r="B6380" t="s">
        <v>9477</v>
      </c>
      <c r="C6380">
        <v>6</v>
      </c>
    </row>
    <row r="6381" spans="1:3" x14ac:dyDescent="0.25">
      <c r="A6381" s="48" t="s">
        <v>7744</v>
      </c>
      <c r="B6381" t="s">
        <v>21997</v>
      </c>
      <c r="C6381">
        <v>11</v>
      </c>
    </row>
    <row r="6382" spans="1:3" x14ac:dyDescent="0.25">
      <c r="A6382" s="48" t="s">
        <v>5967</v>
      </c>
      <c r="B6382" t="s">
        <v>21998</v>
      </c>
      <c r="C6382">
        <v>0</v>
      </c>
    </row>
    <row r="6383" spans="1:3" x14ac:dyDescent="0.25">
      <c r="A6383" s="48" t="s">
        <v>9474</v>
      </c>
      <c r="B6383" t="s">
        <v>9475</v>
      </c>
      <c r="C6383">
        <v>18</v>
      </c>
    </row>
    <row r="6384" spans="1:3" x14ac:dyDescent="0.25">
      <c r="A6384" s="48" t="s">
        <v>19720</v>
      </c>
      <c r="B6384" t="s">
        <v>19721</v>
      </c>
      <c r="C6384">
        <v>47</v>
      </c>
    </row>
    <row r="6385" spans="1:3" x14ac:dyDescent="0.25">
      <c r="A6385" s="48" t="s">
        <v>8043</v>
      </c>
      <c r="B6385" t="s">
        <v>8044</v>
      </c>
      <c r="C6385">
        <v>10</v>
      </c>
    </row>
    <row r="6386" spans="1:3" x14ac:dyDescent="0.25">
      <c r="A6386" s="48" t="s">
        <v>1860</v>
      </c>
      <c r="B6386" t="s">
        <v>1861</v>
      </c>
      <c r="C6386">
        <v>58</v>
      </c>
    </row>
    <row r="6387" spans="1:3" x14ac:dyDescent="0.25">
      <c r="A6387" s="48" t="s">
        <v>1896</v>
      </c>
      <c r="B6387" t="s">
        <v>1897</v>
      </c>
      <c r="C6387">
        <v>10</v>
      </c>
    </row>
    <row r="6388" spans="1:3" x14ac:dyDescent="0.25">
      <c r="A6388" s="48" t="s">
        <v>16233</v>
      </c>
      <c r="B6388" t="s">
        <v>16234</v>
      </c>
      <c r="C6388">
        <v>19</v>
      </c>
    </row>
    <row r="6389" spans="1:3" x14ac:dyDescent="0.25">
      <c r="A6389" s="48" t="s">
        <v>10922</v>
      </c>
      <c r="B6389" t="s">
        <v>21999</v>
      </c>
      <c r="C6389">
        <v>16</v>
      </c>
    </row>
    <row r="6390" spans="1:3" x14ac:dyDescent="0.25">
      <c r="A6390" s="48" t="s">
        <v>23270</v>
      </c>
      <c r="B6390" t="s">
        <v>23271</v>
      </c>
      <c r="C6390">
        <v>0</v>
      </c>
    </row>
    <row r="6391" spans="1:3" x14ac:dyDescent="0.25">
      <c r="A6391" s="48" t="s">
        <v>23272</v>
      </c>
      <c r="B6391" t="s">
        <v>23273</v>
      </c>
      <c r="C6391">
        <v>0</v>
      </c>
    </row>
    <row r="6392" spans="1:3" x14ac:dyDescent="0.25">
      <c r="A6392" s="48" t="s">
        <v>15369</v>
      </c>
      <c r="B6392" t="s">
        <v>15370</v>
      </c>
      <c r="C6392">
        <v>46</v>
      </c>
    </row>
    <row r="6393" spans="1:3" x14ac:dyDescent="0.25">
      <c r="A6393" s="48" t="s">
        <v>5014</v>
      </c>
      <c r="B6393" t="s">
        <v>5015</v>
      </c>
      <c r="C6393">
        <v>16</v>
      </c>
    </row>
    <row r="6394" spans="1:3" x14ac:dyDescent="0.25">
      <c r="A6394" s="48" t="s">
        <v>5012</v>
      </c>
      <c r="B6394" t="s">
        <v>5013</v>
      </c>
      <c r="C6394">
        <v>18</v>
      </c>
    </row>
    <row r="6395" spans="1:3" x14ac:dyDescent="0.25">
      <c r="A6395" s="48" t="s">
        <v>5008</v>
      </c>
      <c r="B6395" t="s">
        <v>5009</v>
      </c>
      <c r="C6395">
        <v>64</v>
      </c>
    </row>
    <row r="6396" spans="1:3" x14ac:dyDescent="0.25">
      <c r="A6396" s="48" t="s">
        <v>17202</v>
      </c>
      <c r="B6396" t="s">
        <v>17203</v>
      </c>
      <c r="C6396">
        <v>0</v>
      </c>
    </row>
    <row r="6397" spans="1:3" x14ac:dyDescent="0.25">
      <c r="A6397" s="48" t="s">
        <v>17192</v>
      </c>
      <c r="B6397" t="s">
        <v>17193</v>
      </c>
      <c r="C6397">
        <v>11</v>
      </c>
    </row>
    <row r="6398" spans="1:3" x14ac:dyDescent="0.25">
      <c r="A6398" s="48" t="s">
        <v>17198</v>
      </c>
      <c r="B6398" t="s">
        <v>17199</v>
      </c>
      <c r="C6398">
        <v>15</v>
      </c>
    </row>
    <row r="6399" spans="1:3" x14ac:dyDescent="0.25">
      <c r="A6399" s="48" t="s">
        <v>5010</v>
      </c>
      <c r="B6399" t="s">
        <v>5011</v>
      </c>
      <c r="C6399">
        <v>54</v>
      </c>
    </row>
    <row r="6400" spans="1:3" x14ac:dyDescent="0.25">
      <c r="A6400" s="48" t="s">
        <v>15367</v>
      </c>
      <c r="B6400" t="s">
        <v>15368</v>
      </c>
      <c r="C6400">
        <v>14</v>
      </c>
    </row>
    <row r="6401" spans="1:3" x14ac:dyDescent="0.25">
      <c r="A6401" s="48" t="s">
        <v>15371</v>
      </c>
      <c r="B6401" t="s">
        <v>22000</v>
      </c>
      <c r="C6401">
        <v>79</v>
      </c>
    </row>
    <row r="6402" spans="1:3" x14ac:dyDescent="0.25">
      <c r="A6402" s="48" t="s">
        <v>15365</v>
      </c>
      <c r="B6402" t="s">
        <v>15366</v>
      </c>
      <c r="C6402">
        <v>2</v>
      </c>
    </row>
    <row r="6403" spans="1:3" x14ac:dyDescent="0.25">
      <c r="A6403" s="48" t="s">
        <v>15373</v>
      </c>
      <c r="B6403" t="s">
        <v>15374</v>
      </c>
      <c r="C6403">
        <v>32</v>
      </c>
    </row>
    <row r="6404" spans="1:3" x14ac:dyDescent="0.25">
      <c r="A6404" s="48" t="s">
        <v>17200</v>
      </c>
      <c r="B6404" t="s">
        <v>17201</v>
      </c>
      <c r="C6404">
        <v>7</v>
      </c>
    </row>
    <row r="6405" spans="1:3" x14ac:dyDescent="0.25">
      <c r="A6405" s="48" t="s">
        <v>17194</v>
      </c>
      <c r="B6405" t="s">
        <v>17195</v>
      </c>
      <c r="C6405">
        <v>0</v>
      </c>
    </row>
    <row r="6406" spans="1:3" x14ac:dyDescent="0.25">
      <c r="A6406" s="48" t="s">
        <v>17196</v>
      </c>
      <c r="B6406" t="s">
        <v>17197</v>
      </c>
      <c r="C6406">
        <v>0</v>
      </c>
    </row>
    <row r="6407" spans="1:3" x14ac:dyDescent="0.25">
      <c r="A6407" s="48" t="s">
        <v>23230</v>
      </c>
      <c r="B6407" t="s">
        <v>23231</v>
      </c>
      <c r="C6407">
        <v>89</v>
      </c>
    </row>
    <row r="6408" spans="1:3" x14ac:dyDescent="0.25">
      <c r="A6408" s="48" t="s">
        <v>23232</v>
      </c>
      <c r="B6408" t="s">
        <v>23233</v>
      </c>
      <c r="C6408">
        <v>0</v>
      </c>
    </row>
    <row r="6409" spans="1:3" x14ac:dyDescent="0.25">
      <c r="A6409" s="48" t="s">
        <v>6682</v>
      </c>
      <c r="B6409" t="s">
        <v>6683</v>
      </c>
      <c r="C6409">
        <v>0</v>
      </c>
    </row>
    <row r="6410" spans="1:3" x14ac:dyDescent="0.25">
      <c r="A6410" s="48" t="s">
        <v>6708</v>
      </c>
      <c r="B6410" t="s">
        <v>6709</v>
      </c>
      <c r="C6410">
        <v>17</v>
      </c>
    </row>
    <row r="6411" spans="1:3" x14ac:dyDescent="0.25">
      <c r="A6411" s="48" t="s">
        <v>19478</v>
      </c>
      <c r="B6411" t="s">
        <v>19479</v>
      </c>
      <c r="C6411">
        <v>9</v>
      </c>
    </row>
    <row r="6412" spans="1:3" x14ac:dyDescent="0.25">
      <c r="A6412" s="48" t="s">
        <v>1864</v>
      </c>
      <c r="B6412" t="s">
        <v>1865</v>
      </c>
      <c r="C6412">
        <v>28</v>
      </c>
    </row>
    <row r="6413" spans="1:3" x14ac:dyDescent="0.25">
      <c r="A6413" s="48" t="s">
        <v>19482</v>
      </c>
      <c r="B6413" t="s">
        <v>19483</v>
      </c>
      <c r="C6413">
        <v>7</v>
      </c>
    </row>
    <row r="6414" spans="1:3" x14ac:dyDescent="0.25">
      <c r="A6414" s="48" t="s">
        <v>19480</v>
      </c>
      <c r="B6414" t="s">
        <v>19481</v>
      </c>
      <c r="C6414">
        <v>21</v>
      </c>
    </row>
    <row r="6415" spans="1:3" x14ac:dyDescent="0.25">
      <c r="A6415" s="48" t="s">
        <v>11096</v>
      </c>
      <c r="B6415" t="s">
        <v>11097</v>
      </c>
      <c r="C6415">
        <v>6</v>
      </c>
    </row>
    <row r="6416" spans="1:3" x14ac:dyDescent="0.25">
      <c r="A6416" s="48" t="s">
        <v>880</v>
      </c>
      <c r="B6416" t="s">
        <v>881</v>
      </c>
      <c r="C6416">
        <v>13</v>
      </c>
    </row>
    <row r="6417" spans="1:3" x14ac:dyDescent="0.25">
      <c r="A6417" s="48" t="s">
        <v>16208</v>
      </c>
      <c r="B6417" t="s">
        <v>16209</v>
      </c>
      <c r="C6417">
        <v>0</v>
      </c>
    </row>
    <row r="6418" spans="1:3" x14ac:dyDescent="0.25">
      <c r="A6418" s="48" t="s">
        <v>1569</v>
      </c>
      <c r="B6418" t="s">
        <v>1570</v>
      </c>
      <c r="C6418">
        <v>23</v>
      </c>
    </row>
    <row r="6419" spans="1:3" x14ac:dyDescent="0.25">
      <c r="A6419" s="48" t="s">
        <v>12939</v>
      </c>
      <c r="B6419" t="s">
        <v>12940</v>
      </c>
      <c r="C6419">
        <v>0</v>
      </c>
    </row>
    <row r="6420" spans="1:3" x14ac:dyDescent="0.25">
      <c r="A6420" s="48" t="s">
        <v>12933</v>
      </c>
      <c r="B6420" t="s">
        <v>12934</v>
      </c>
      <c r="C6420">
        <v>0</v>
      </c>
    </row>
    <row r="6421" spans="1:3" x14ac:dyDescent="0.25">
      <c r="A6421" s="48" t="s">
        <v>12937</v>
      </c>
      <c r="B6421" t="s">
        <v>12938</v>
      </c>
      <c r="C6421">
        <v>0</v>
      </c>
    </row>
    <row r="6422" spans="1:3" x14ac:dyDescent="0.25">
      <c r="A6422" s="48" t="s">
        <v>12935</v>
      </c>
      <c r="B6422" t="s">
        <v>12936</v>
      </c>
      <c r="C6422">
        <v>16</v>
      </c>
    </row>
    <row r="6423" spans="1:3" x14ac:dyDescent="0.25">
      <c r="A6423" s="48" t="s">
        <v>417</v>
      </c>
      <c r="B6423" t="s">
        <v>418</v>
      </c>
      <c r="C6423">
        <v>16</v>
      </c>
    </row>
    <row r="6424" spans="1:3" x14ac:dyDescent="0.25">
      <c r="A6424" s="48" t="s">
        <v>19277</v>
      </c>
      <c r="B6424" t="s">
        <v>19278</v>
      </c>
      <c r="C6424">
        <v>0</v>
      </c>
    </row>
    <row r="6425" spans="1:3" x14ac:dyDescent="0.25">
      <c r="A6425" s="48" t="s">
        <v>33</v>
      </c>
      <c r="B6425" t="s">
        <v>34</v>
      </c>
      <c r="C6425">
        <v>468</v>
      </c>
    </row>
    <row r="6426" spans="1:3" x14ac:dyDescent="0.25">
      <c r="A6426" s="48" t="s">
        <v>12069</v>
      </c>
      <c r="B6426" t="s">
        <v>12070</v>
      </c>
      <c r="C6426">
        <v>0</v>
      </c>
    </row>
    <row r="6427" spans="1:3" x14ac:dyDescent="0.25">
      <c r="A6427" s="48" t="s">
        <v>12067</v>
      </c>
      <c r="B6427" t="s">
        <v>12068</v>
      </c>
      <c r="C6427">
        <v>0</v>
      </c>
    </row>
    <row r="6428" spans="1:3" x14ac:dyDescent="0.25">
      <c r="A6428" s="48" t="s">
        <v>6628</v>
      </c>
      <c r="B6428" t="s">
        <v>6629</v>
      </c>
      <c r="C6428">
        <v>0</v>
      </c>
    </row>
    <row r="6429" spans="1:3" x14ac:dyDescent="0.25">
      <c r="A6429" s="48" t="s">
        <v>1831</v>
      </c>
      <c r="B6429" t="s">
        <v>1832</v>
      </c>
      <c r="C6429">
        <v>140</v>
      </c>
    </row>
    <row r="6430" spans="1:3" x14ac:dyDescent="0.25">
      <c r="A6430" s="48" t="s">
        <v>1894</v>
      </c>
      <c r="B6430" t="s">
        <v>1895</v>
      </c>
      <c r="C6430">
        <v>50</v>
      </c>
    </row>
    <row r="6431" spans="1:3" x14ac:dyDescent="0.25">
      <c r="A6431" s="48" t="s">
        <v>12018</v>
      </c>
      <c r="B6431" t="s">
        <v>12019</v>
      </c>
      <c r="C6431">
        <v>5</v>
      </c>
    </row>
    <row r="6432" spans="1:3" x14ac:dyDescent="0.25">
      <c r="A6432" s="48" t="s">
        <v>1731</v>
      </c>
      <c r="B6432" t="s">
        <v>1732</v>
      </c>
      <c r="C6432">
        <v>34</v>
      </c>
    </row>
    <row r="6433" spans="1:3" x14ac:dyDescent="0.25">
      <c r="A6433" s="48" t="s">
        <v>1219</v>
      </c>
      <c r="B6433" t="s">
        <v>1220</v>
      </c>
      <c r="C6433">
        <v>0</v>
      </c>
    </row>
    <row r="6434" spans="1:3" x14ac:dyDescent="0.25">
      <c r="A6434" s="48" t="s">
        <v>1735</v>
      </c>
      <c r="B6434" t="s">
        <v>1736</v>
      </c>
      <c r="C6434">
        <v>30</v>
      </c>
    </row>
    <row r="6435" spans="1:3" x14ac:dyDescent="0.25">
      <c r="A6435" s="48" t="s">
        <v>1437</v>
      </c>
      <c r="B6435" t="s">
        <v>1438</v>
      </c>
      <c r="C6435">
        <v>10</v>
      </c>
    </row>
    <row r="6436" spans="1:3" x14ac:dyDescent="0.25">
      <c r="A6436" s="48" t="s">
        <v>10459</v>
      </c>
      <c r="B6436" t="s">
        <v>10460</v>
      </c>
      <c r="C6436">
        <v>22</v>
      </c>
    </row>
    <row r="6437" spans="1:3" x14ac:dyDescent="0.25">
      <c r="A6437" s="48" t="s">
        <v>10437</v>
      </c>
      <c r="B6437" t="s">
        <v>10438</v>
      </c>
      <c r="C6437">
        <v>11</v>
      </c>
    </row>
    <row r="6438" spans="1:3" x14ac:dyDescent="0.25">
      <c r="A6438" s="48" t="s">
        <v>10445</v>
      </c>
      <c r="B6438" t="s">
        <v>10446</v>
      </c>
      <c r="C6438">
        <v>28</v>
      </c>
    </row>
    <row r="6439" spans="1:3" x14ac:dyDescent="0.25">
      <c r="A6439" s="48" t="s">
        <v>10453</v>
      </c>
      <c r="B6439" t="s">
        <v>10454</v>
      </c>
      <c r="C6439">
        <v>0</v>
      </c>
    </row>
    <row r="6440" spans="1:3" x14ac:dyDescent="0.25">
      <c r="A6440" s="48" t="s">
        <v>10439</v>
      </c>
      <c r="B6440" t="s">
        <v>10440</v>
      </c>
      <c r="C6440">
        <v>21</v>
      </c>
    </row>
    <row r="6441" spans="1:3" x14ac:dyDescent="0.25">
      <c r="A6441" s="48" t="s">
        <v>10431</v>
      </c>
      <c r="B6441" t="s">
        <v>10432</v>
      </c>
      <c r="C6441">
        <v>0</v>
      </c>
    </row>
    <row r="6442" spans="1:3" x14ac:dyDescent="0.25">
      <c r="A6442" s="48" t="s">
        <v>10433</v>
      </c>
      <c r="B6442" t="s">
        <v>10434</v>
      </c>
      <c r="C6442">
        <v>15</v>
      </c>
    </row>
    <row r="6443" spans="1:3" x14ac:dyDescent="0.25">
      <c r="A6443" s="48" t="s">
        <v>10449</v>
      </c>
      <c r="B6443" t="s">
        <v>10450</v>
      </c>
      <c r="C6443">
        <v>12</v>
      </c>
    </row>
    <row r="6444" spans="1:3" x14ac:dyDescent="0.25">
      <c r="A6444" s="48" t="s">
        <v>10461</v>
      </c>
      <c r="B6444" t="s">
        <v>10462</v>
      </c>
      <c r="C6444">
        <v>14</v>
      </c>
    </row>
    <row r="6445" spans="1:3" x14ac:dyDescent="0.25">
      <c r="A6445" s="48" t="s">
        <v>10435</v>
      </c>
      <c r="B6445" t="s">
        <v>10436</v>
      </c>
      <c r="C6445">
        <v>21</v>
      </c>
    </row>
    <row r="6446" spans="1:3" x14ac:dyDescent="0.25">
      <c r="A6446" s="48" t="s">
        <v>10441</v>
      </c>
      <c r="B6446" t="s">
        <v>10442</v>
      </c>
      <c r="C6446">
        <v>0</v>
      </c>
    </row>
    <row r="6447" spans="1:3" x14ac:dyDescent="0.25">
      <c r="A6447" s="48" t="s">
        <v>10443</v>
      </c>
      <c r="B6447" t="s">
        <v>10444</v>
      </c>
      <c r="C6447">
        <v>0</v>
      </c>
    </row>
    <row r="6448" spans="1:3" x14ac:dyDescent="0.25">
      <c r="A6448" s="48" t="s">
        <v>10457</v>
      </c>
      <c r="B6448" t="s">
        <v>10458</v>
      </c>
      <c r="C6448">
        <v>17</v>
      </c>
    </row>
    <row r="6449" spans="1:3" x14ac:dyDescent="0.25">
      <c r="A6449" s="48" t="s">
        <v>10455</v>
      </c>
      <c r="B6449" t="s">
        <v>10456</v>
      </c>
      <c r="C6449">
        <v>2</v>
      </c>
    </row>
    <row r="6450" spans="1:3" x14ac:dyDescent="0.25">
      <c r="A6450" s="48" t="s">
        <v>10447</v>
      </c>
      <c r="B6450" t="s">
        <v>10448</v>
      </c>
      <c r="C6450">
        <v>38</v>
      </c>
    </row>
    <row r="6451" spans="1:3" x14ac:dyDescent="0.25">
      <c r="A6451" s="48" t="s">
        <v>173</v>
      </c>
      <c r="B6451" t="s">
        <v>174</v>
      </c>
      <c r="C6451">
        <v>99</v>
      </c>
    </row>
    <row r="6452" spans="1:3" x14ac:dyDescent="0.25">
      <c r="A6452" s="48" t="s">
        <v>219</v>
      </c>
      <c r="B6452" t="s">
        <v>220</v>
      </c>
      <c r="C6452">
        <v>15</v>
      </c>
    </row>
    <row r="6453" spans="1:3" x14ac:dyDescent="0.25">
      <c r="A6453" s="48" t="s">
        <v>10429</v>
      </c>
      <c r="B6453" t="s">
        <v>10430</v>
      </c>
      <c r="C6453">
        <v>41</v>
      </c>
    </row>
    <row r="6454" spans="1:3" x14ac:dyDescent="0.25">
      <c r="A6454" s="48" t="s">
        <v>16838</v>
      </c>
      <c r="B6454" t="s">
        <v>16839</v>
      </c>
      <c r="C6454">
        <v>27</v>
      </c>
    </row>
    <row r="6455" spans="1:3" x14ac:dyDescent="0.25">
      <c r="A6455" s="48" t="s">
        <v>16834</v>
      </c>
      <c r="B6455" t="s">
        <v>22001</v>
      </c>
      <c r="C6455">
        <v>8</v>
      </c>
    </row>
    <row r="6456" spans="1:3" x14ac:dyDescent="0.25">
      <c r="A6456" s="48" t="s">
        <v>16836</v>
      </c>
      <c r="B6456" t="s">
        <v>22002</v>
      </c>
      <c r="C6456">
        <v>15</v>
      </c>
    </row>
    <row r="6457" spans="1:3" x14ac:dyDescent="0.25">
      <c r="A6457" s="48" t="s">
        <v>16844</v>
      </c>
      <c r="B6457" t="s">
        <v>22003</v>
      </c>
      <c r="C6457">
        <v>0</v>
      </c>
    </row>
    <row r="6458" spans="1:3" x14ac:dyDescent="0.25">
      <c r="A6458" s="48" t="s">
        <v>16842</v>
      </c>
      <c r="B6458" t="s">
        <v>22004</v>
      </c>
      <c r="C6458">
        <v>20</v>
      </c>
    </row>
    <row r="6459" spans="1:3" x14ac:dyDescent="0.25">
      <c r="A6459" s="48" t="s">
        <v>16840</v>
      </c>
      <c r="B6459" t="s">
        <v>22005</v>
      </c>
      <c r="C6459">
        <v>22</v>
      </c>
    </row>
    <row r="6460" spans="1:3" x14ac:dyDescent="0.25">
      <c r="A6460" s="48" t="s">
        <v>16846</v>
      </c>
      <c r="B6460" t="s">
        <v>22006</v>
      </c>
      <c r="C6460">
        <v>33</v>
      </c>
    </row>
    <row r="6461" spans="1:3" x14ac:dyDescent="0.25">
      <c r="A6461" s="48" t="s">
        <v>10566</v>
      </c>
      <c r="B6461" t="s">
        <v>10567</v>
      </c>
      <c r="C6461">
        <v>1</v>
      </c>
    </row>
    <row r="6462" spans="1:3" x14ac:dyDescent="0.25">
      <c r="A6462" s="48" t="s">
        <v>1619</v>
      </c>
      <c r="B6462" t="s">
        <v>1620</v>
      </c>
      <c r="C6462">
        <v>2</v>
      </c>
    </row>
    <row r="6463" spans="1:3" x14ac:dyDescent="0.25">
      <c r="A6463" s="48" t="s">
        <v>11940</v>
      </c>
      <c r="B6463" t="s">
        <v>11941</v>
      </c>
      <c r="C6463">
        <v>0</v>
      </c>
    </row>
    <row r="6464" spans="1:3" x14ac:dyDescent="0.25">
      <c r="A6464" s="48" t="s">
        <v>15977</v>
      </c>
      <c r="B6464" t="s">
        <v>15976</v>
      </c>
      <c r="C6464">
        <v>19</v>
      </c>
    </row>
    <row r="6465" spans="1:3" x14ac:dyDescent="0.25">
      <c r="A6465" s="48" t="s">
        <v>17048</v>
      </c>
      <c r="B6465" t="s">
        <v>17049</v>
      </c>
      <c r="C6465">
        <v>0</v>
      </c>
    </row>
    <row r="6466" spans="1:3" x14ac:dyDescent="0.25">
      <c r="A6466" s="48" t="s">
        <v>6179</v>
      </c>
      <c r="B6466" t="s">
        <v>6180</v>
      </c>
      <c r="C6466">
        <v>0</v>
      </c>
    </row>
    <row r="6467" spans="1:3" x14ac:dyDescent="0.25">
      <c r="A6467" s="48" t="s">
        <v>12471</v>
      </c>
      <c r="B6467" t="s">
        <v>12472</v>
      </c>
      <c r="C6467">
        <v>4</v>
      </c>
    </row>
    <row r="6468" spans="1:3" x14ac:dyDescent="0.25">
      <c r="A6468" s="48" t="s">
        <v>15379</v>
      </c>
      <c r="B6468" t="s">
        <v>15380</v>
      </c>
      <c r="C6468">
        <v>69</v>
      </c>
    </row>
    <row r="6469" spans="1:3" x14ac:dyDescent="0.25">
      <c r="A6469" s="48" t="s">
        <v>15403</v>
      </c>
      <c r="B6469" t="s">
        <v>15404</v>
      </c>
      <c r="C6469">
        <v>8</v>
      </c>
    </row>
    <row r="6470" spans="1:3" x14ac:dyDescent="0.25">
      <c r="A6470" s="48" t="s">
        <v>15383</v>
      </c>
      <c r="B6470" t="s">
        <v>15384</v>
      </c>
      <c r="C6470">
        <v>0</v>
      </c>
    </row>
    <row r="6471" spans="1:3" x14ac:dyDescent="0.25">
      <c r="A6471" s="48" t="s">
        <v>15393</v>
      </c>
      <c r="B6471" t="s">
        <v>15394</v>
      </c>
      <c r="C6471">
        <v>0</v>
      </c>
    </row>
    <row r="6472" spans="1:3" x14ac:dyDescent="0.25">
      <c r="A6472" s="48" t="s">
        <v>15399</v>
      </c>
      <c r="B6472" t="s">
        <v>15400</v>
      </c>
      <c r="C6472">
        <v>0</v>
      </c>
    </row>
    <row r="6473" spans="1:3" x14ac:dyDescent="0.25">
      <c r="A6473" s="48" t="s">
        <v>15377</v>
      </c>
      <c r="B6473" t="s">
        <v>15378</v>
      </c>
      <c r="C6473">
        <v>0</v>
      </c>
    </row>
    <row r="6474" spans="1:3" x14ac:dyDescent="0.25">
      <c r="A6474" s="48" t="s">
        <v>15401</v>
      </c>
      <c r="B6474" t="s">
        <v>15402</v>
      </c>
      <c r="C6474">
        <v>38</v>
      </c>
    </row>
    <row r="6475" spans="1:3" x14ac:dyDescent="0.25">
      <c r="A6475" s="48" t="s">
        <v>15381</v>
      </c>
      <c r="B6475" t="s">
        <v>15382</v>
      </c>
      <c r="C6475">
        <v>28</v>
      </c>
    </row>
    <row r="6476" spans="1:3" x14ac:dyDescent="0.25">
      <c r="A6476" s="48" t="s">
        <v>15389</v>
      </c>
      <c r="B6476" t="s">
        <v>15390</v>
      </c>
      <c r="C6476">
        <v>0</v>
      </c>
    </row>
    <row r="6477" spans="1:3" x14ac:dyDescent="0.25">
      <c r="A6477" s="48" t="s">
        <v>15391</v>
      </c>
      <c r="B6477" t="s">
        <v>15392</v>
      </c>
      <c r="C6477">
        <v>0</v>
      </c>
    </row>
    <row r="6478" spans="1:3" x14ac:dyDescent="0.25">
      <c r="A6478" s="48" t="s">
        <v>3667</v>
      </c>
      <c r="B6478" t="s">
        <v>3668</v>
      </c>
      <c r="C6478">
        <v>16</v>
      </c>
    </row>
    <row r="6479" spans="1:3" x14ac:dyDescent="0.25">
      <c r="A6479" s="48" t="s">
        <v>3669</v>
      </c>
      <c r="B6479" t="s">
        <v>3670</v>
      </c>
      <c r="C6479">
        <v>24</v>
      </c>
    </row>
    <row r="6480" spans="1:3" x14ac:dyDescent="0.25">
      <c r="A6480" s="48" t="s">
        <v>3689</v>
      </c>
      <c r="B6480" t="s">
        <v>3690</v>
      </c>
      <c r="C6480">
        <v>19</v>
      </c>
    </row>
    <row r="6481" spans="1:3" x14ac:dyDescent="0.25">
      <c r="A6481" s="48" t="s">
        <v>3683</v>
      </c>
      <c r="B6481" t="s">
        <v>3684</v>
      </c>
      <c r="C6481">
        <v>3</v>
      </c>
    </row>
    <row r="6482" spans="1:3" x14ac:dyDescent="0.25">
      <c r="A6482" s="48" t="s">
        <v>3685</v>
      </c>
      <c r="B6482" t="s">
        <v>3686</v>
      </c>
      <c r="C6482">
        <v>8</v>
      </c>
    </row>
    <row r="6483" spans="1:3" x14ac:dyDescent="0.25">
      <c r="A6483" s="48" t="s">
        <v>3691</v>
      </c>
      <c r="B6483" t="s">
        <v>3692</v>
      </c>
      <c r="C6483">
        <v>18</v>
      </c>
    </row>
    <row r="6484" spans="1:3" x14ac:dyDescent="0.25">
      <c r="A6484" s="48" t="s">
        <v>3693</v>
      </c>
      <c r="B6484" t="s">
        <v>3694</v>
      </c>
      <c r="C6484">
        <v>16</v>
      </c>
    </row>
    <row r="6485" spans="1:3" x14ac:dyDescent="0.25">
      <c r="A6485" s="48" t="s">
        <v>3697</v>
      </c>
      <c r="B6485" t="s">
        <v>3698</v>
      </c>
      <c r="C6485">
        <v>8</v>
      </c>
    </row>
    <row r="6486" spans="1:3" x14ac:dyDescent="0.25">
      <c r="A6486" s="48" t="s">
        <v>3699</v>
      </c>
      <c r="B6486" t="s">
        <v>3700</v>
      </c>
      <c r="C6486">
        <v>11</v>
      </c>
    </row>
    <row r="6487" spans="1:3" x14ac:dyDescent="0.25">
      <c r="A6487" s="48" t="s">
        <v>2986</v>
      </c>
      <c r="B6487" t="s">
        <v>2987</v>
      </c>
      <c r="C6487">
        <v>34</v>
      </c>
    </row>
    <row r="6488" spans="1:3" x14ac:dyDescent="0.25">
      <c r="A6488" s="48" t="s">
        <v>2990</v>
      </c>
      <c r="B6488" t="s">
        <v>2991</v>
      </c>
      <c r="C6488">
        <v>4</v>
      </c>
    </row>
    <row r="6489" spans="1:3" x14ac:dyDescent="0.25">
      <c r="A6489" s="48" t="s">
        <v>3665</v>
      </c>
      <c r="B6489" t="s">
        <v>3666</v>
      </c>
      <c r="C6489">
        <v>1</v>
      </c>
    </row>
    <row r="6490" spans="1:3" x14ac:dyDescent="0.25">
      <c r="A6490" s="48" t="s">
        <v>3000</v>
      </c>
      <c r="B6490" t="s">
        <v>3001</v>
      </c>
      <c r="C6490">
        <v>6</v>
      </c>
    </row>
    <row r="6491" spans="1:3" x14ac:dyDescent="0.25">
      <c r="A6491" s="48" t="s">
        <v>3014</v>
      </c>
      <c r="B6491" t="s">
        <v>3015</v>
      </c>
      <c r="C6491">
        <v>9</v>
      </c>
    </row>
    <row r="6492" spans="1:3" x14ac:dyDescent="0.25">
      <c r="A6492" s="48" t="s">
        <v>19019</v>
      </c>
      <c r="B6492" t="s">
        <v>22007</v>
      </c>
      <c r="C6492">
        <v>14</v>
      </c>
    </row>
    <row r="6493" spans="1:3" x14ac:dyDescent="0.25">
      <c r="A6493" s="48" t="s">
        <v>3671</v>
      </c>
      <c r="B6493" t="s">
        <v>3672</v>
      </c>
      <c r="C6493">
        <v>21</v>
      </c>
    </row>
    <row r="6494" spans="1:3" x14ac:dyDescent="0.25">
      <c r="A6494" s="48" t="s">
        <v>3673</v>
      </c>
      <c r="B6494" t="s">
        <v>3674</v>
      </c>
      <c r="C6494">
        <v>91</v>
      </c>
    </row>
    <row r="6495" spans="1:3" x14ac:dyDescent="0.25">
      <c r="A6495" s="48" t="s">
        <v>3675</v>
      </c>
      <c r="B6495" t="s">
        <v>3676</v>
      </c>
      <c r="C6495">
        <v>0</v>
      </c>
    </row>
    <row r="6496" spans="1:3" x14ac:dyDescent="0.25">
      <c r="A6496" s="48" t="s">
        <v>3677</v>
      </c>
      <c r="B6496" t="s">
        <v>3678</v>
      </c>
      <c r="C6496">
        <v>71</v>
      </c>
    </row>
    <row r="6497" spans="1:3" x14ac:dyDescent="0.25">
      <c r="A6497" s="48" t="s">
        <v>3679</v>
      </c>
      <c r="B6497" t="s">
        <v>3680</v>
      </c>
      <c r="C6497">
        <v>1</v>
      </c>
    </row>
    <row r="6498" spans="1:3" x14ac:dyDescent="0.25">
      <c r="A6498" s="48" t="s">
        <v>3054</v>
      </c>
      <c r="B6498" t="s">
        <v>3055</v>
      </c>
      <c r="C6498">
        <v>7</v>
      </c>
    </row>
    <row r="6499" spans="1:3" x14ac:dyDescent="0.25">
      <c r="A6499" s="48" t="s">
        <v>14354</v>
      </c>
      <c r="B6499" t="s">
        <v>14353</v>
      </c>
      <c r="C6499">
        <v>7</v>
      </c>
    </row>
    <row r="6500" spans="1:3" x14ac:dyDescent="0.25">
      <c r="A6500" s="48" t="s">
        <v>14355</v>
      </c>
      <c r="B6500" t="s">
        <v>14356</v>
      </c>
      <c r="C6500">
        <v>8</v>
      </c>
    </row>
    <row r="6501" spans="1:3" x14ac:dyDescent="0.25">
      <c r="A6501" s="48" t="s">
        <v>14359</v>
      </c>
      <c r="B6501" t="s">
        <v>14360</v>
      </c>
      <c r="C6501">
        <v>6</v>
      </c>
    </row>
    <row r="6502" spans="1:3" x14ac:dyDescent="0.25">
      <c r="A6502" s="48" t="s">
        <v>3060</v>
      </c>
      <c r="B6502" t="s">
        <v>3061</v>
      </c>
      <c r="C6502">
        <v>12</v>
      </c>
    </row>
    <row r="6503" spans="1:3" x14ac:dyDescent="0.25">
      <c r="A6503" s="48" t="s">
        <v>3064</v>
      </c>
      <c r="B6503" t="s">
        <v>3065</v>
      </c>
      <c r="C6503">
        <v>4</v>
      </c>
    </row>
    <row r="6504" spans="1:3" x14ac:dyDescent="0.25">
      <c r="A6504" s="48" t="s">
        <v>3070</v>
      </c>
      <c r="B6504" t="s">
        <v>3071</v>
      </c>
      <c r="C6504">
        <v>5</v>
      </c>
    </row>
    <row r="6505" spans="1:3" x14ac:dyDescent="0.25">
      <c r="A6505" s="48" t="s">
        <v>3074</v>
      </c>
      <c r="B6505" t="s">
        <v>3075</v>
      </c>
      <c r="C6505">
        <v>10</v>
      </c>
    </row>
    <row r="6506" spans="1:3" x14ac:dyDescent="0.25">
      <c r="A6506" s="48" t="s">
        <v>3681</v>
      </c>
      <c r="B6506" t="s">
        <v>3682</v>
      </c>
      <c r="C6506">
        <v>0</v>
      </c>
    </row>
    <row r="6507" spans="1:3" x14ac:dyDescent="0.25">
      <c r="A6507" s="48" t="s">
        <v>3092</v>
      </c>
      <c r="B6507" t="s">
        <v>3093</v>
      </c>
      <c r="C6507">
        <v>30</v>
      </c>
    </row>
    <row r="6508" spans="1:3" x14ac:dyDescent="0.25">
      <c r="A6508" s="48" t="s">
        <v>23234</v>
      </c>
      <c r="B6508" t="s">
        <v>23235</v>
      </c>
      <c r="C6508">
        <v>0</v>
      </c>
    </row>
    <row r="6509" spans="1:3" x14ac:dyDescent="0.25">
      <c r="A6509" s="48" t="s">
        <v>23236</v>
      </c>
      <c r="B6509" t="s">
        <v>23237</v>
      </c>
      <c r="C6509">
        <v>0</v>
      </c>
    </row>
    <row r="6510" spans="1:3" x14ac:dyDescent="0.25">
      <c r="A6510" s="48" t="s">
        <v>505</v>
      </c>
      <c r="B6510" t="s">
        <v>506</v>
      </c>
      <c r="C6510">
        <v>13</v>
      </c>
    </row>
    <row r="6511" spans="1:3" x14ac:dyDescent="0.25">
      <c r="A6511" s="48" t="s">
        <v>2998</v>
      </c>
      <c r="B6511" t="s">
        <v>2999</v>
      </c>
      <c r="C6511">
        <v>11</v>
      </c>
    </row>
    <row r="6512" spans="1:3" x14ac:dyDescent="0.25">
      <c r="A6512" s="48" t="s">
        <v>3004</v>
      </c>
      <c r="B6512" t="s">
        <v>3005</v>
      </c>
      <c r="C6512">
        <v>1</v>
      </c>
    </row>
    <row r="6513" spans="1:3" x14ac:dyDescent="0.25">
      <c r="A6513" s="48" t="s">
        <v>351</v>
      </c>
      <c r="B6513" t="s">
        <v>352</v>
      </c>
      <c r="C6513">
        <v>0</v>
      </c>
    </row>
    <row r="6514" spans="1:3" x14ac:dyDescent="0.25">
      <c r="A6514" s="48" t="s">
        <v>3048</v>
      </c>
      <c r="B6514" t="s">
        <v>3049</v>
      </c>
      <c r="C6514">
        <v>8</v>
      </c>
    </row>
    <row r="6515" spans="1:3" x14ac:dyDescent="0.25">
      <c r="A6515" s="48" t="s">
        <v>3036</v>
      </c>
      <c r="B6515" t="s">
        <v>3037</v>
      </c>
      <c r="C6515">
        <v>3</v>
      </c>
    </row>
    <row r="6516" spans="1:3" x14ac:dyDescent="0.25">
      <c r="A6516" s="48" t="s">
        <v>789</v>
      </c>
      <c r="B6516" t="s">
        <v>790</v>
      </c>
      <c r="C6516">
        <v>8</v>
      </c>
    </row>
    <row r="6517" spans="1:3" x14ac:dyDescent="0.25">
      <c r="A6517" s="48" t="s">
        <v>3076</v>
      </c>
      <c r="B6517" t="s">
        <v>3077</v>
      </c>
      <c r="C6517">
        <v>14</v>
      </c>
    </row>
    <row r="6518" spans="1:3" x14ac:dyDescent="0.25">
      <c r="A6518" s="48" t="s">
        <v>3082</v>
      </c>
      <c r="B6518" t="s">
        <v>3083</v>
      </c>
      <c r="C6518">
        <v>10</v>
      </c>
    </row>
    <row r="6519" spans="1:3" x14ac:dyDescent="0.25">
      <c r="A6519" s="48" t="s">
        <v>3086</v>
      </c>
      <c r="B6519" t="s">
        <v>3087</v>
      </c>
      <c r="C6519">
        <v>7</v>
      </c>
    </row>
    <row r="6520" spans="1:3" x14ac:dyDescent="0.25">
      <c r="A6520" s="48" t="s">
        <v>19005</v>
      </c>
      <c r="B6520" t="s">
        <v>19006</v>
      </c>
      <c r="C6520">
        <v>5</v>
      </c>
    </row>
    <row r="6521" spans="1:3" x14ac:dyDescent="0.25">
      <c r="A6521" s="48" t="s">
        <v>19013</v>
      </c>
      <c r="B6521" t="s">
        <v>19014</v>
      </c>
      <c r="C6521">
        <v>0</v>
      </c>
    </row>
    <row r="6522" spans="1:3" x14ac:dyDescent="0.25">
      <c r="A6522" s="48" t="s">
        <v>15199</v>
      </c>
      <c r="B6522" t="s">
        <v>15200</v>
      </c>
      <c r="C6522">
        <v>25</v>
      </c>
    </row>
    <row r="6523" spans="1:3" x14ac:dyDescent="0.25">
      <c r="A6523" s="48" t="s">
        <v>15194</v>
      </c>
      <c r="B6523" t="s">
        <v>15195</v>
      </c>
      <c r="C6523">
        <v>0</v>
      </c>
    </row>
    <row r="6524" spans="1:3" x14ac:dyDescent="0.25">
      <c r="A6524" s="48" t="s">
        <v>15197</v>
      </c>
      <c r="B6524" t="s">
        <v>15198</v>
      </c>
      <c r="C6524">
        <v>48</v>
      </c>
    </row>
    <row r="6525" spans="1:3" x14ac:dyDescent="0.25">
      <c r="A6525" s="48" t="s">
        <v>15190</v>
      </c>
      <c r="B6525" t="s">
        <v>15191</v>
      </c>
      <c r="C6525">
        <v>24</v>
      </c>
    </row>
    <row r="6526" spans="1:3" x14ac:dyDescent="0.25">
      <c r="A6526" s="48" t="s">
        <v>389</v>
      </c>
      <c r="B6526" t="s">
        <v>390</v>
      </c>
      <c r="C6526">
        <v>3</v>
      </c>
    </row>
    <row r="6527" spans="1:3" x14ac:dyDescent="0.25">
      <c r="A6527" s="48" t="s">
        <v>15179</v>
      </c>
      <c r="B6527" t="s">
        <v>15180</v>
      </c>
      <c r="C6527">
        <v>63</v>
      </c>
    </row>
    <row r="6528" spans="1:3" x14ac:dyDescent="0.25">
      <c r="A6528" s="48" t="s">
        <v>15239</v>
      </c>
      <c r="B6528" t="s">
        <v>15240</v>
      </c>
      <c r="C6528">
        <v>32</v>
      </c>
    </row>
    <row r="6529" spans="1:3" x14ac:dyDescent="0.25">
      <c r="A6529" s="48" t="s">
        <v>15231</v>
      </c>
      <c r="B6529" t="s">
        <v>15232</v>
      </c>
      <c r="C6529">
        <v>29</v>
      </c>
    </row>
    <row r="6530" spans="1:3" x14ac:dyDescent="0.25">
      <c r="A6530" s="48" t="s">
        <v>15203</v>
      </c>
      <c r="B6530" t="s">
        <v>15204</v>
      </c>
      <c r="C6530">
        <v>0</v>
      </c>
    </row>
    <row r="6531" spans="1:3" x14ac:dyDescent="0.25">
      <c r="A6531" s="48" t="s">
        <v>15223</v>
      </c>
      <c r="B6531" t="s">
        <v>15224</v>
      </c>
      <c r="C6531">
        <v>37</v>
      </c>
    </row>
    <row r="6532" spans="1:3" x14ac:dyDescent="0.25">
      <c r="A6532" s="48" t="s">
        <v>15209</v>
      </c>
      <c r="B6532" t="s">
        <v>15210</v>
      </c>
      <c r="C6532">
        <v>31</v>
      </c>
    </row>
    <row r="6533" spans="1:3" x14ac:dyDescent="0.25">
      <c r="A6533" s="48" t="s">
        <v>1809</v>
      </c>
      <c r="B6533" t="s">
        <v>1810</v>
      </c>
      <c r="C6533">
        <v>14</v>
      </c>
    </row>
    <row r="6534" spans="1:3" x14ac:dyDescent="0.25">
      <c r="A6534" s="48" t="s">
        <v>1773</v>
      </c>
      <c r="B6534" t="s">
        <v>1774</v>
      </c>
      <c r="C6534">
        <v>2</v>
      </c>
    </row>
    <row r="6535" spans="1:3" x14ac:dyDescent="0.25">
      <c r="A6535" s="48" t="s">
        <v>15183</v>
      </c>
      <c r="B6535" t="s">
        <v>15184</v>
      </c>
      <c r="C6535">
        <v>13</v>
      </c>
    </row>
    <row r="6536" spans="1:3" x14ac:dyDescent="0.25">
      <c r="A6536" s="48" t="s">
        <v>1529</v>
      </c>
      <c r="B6536" t="s">
        <v>1530</v>
      </c>
      <c r="C6536">
        <v>11</v>
      </c>
    </row>
    <row r="6537" spans="1:3" x14ac:dyDescent="0.25">
      <c r="A6537" s="48" t="s">
        <v>15185</v>
      </c>
      <c r="B6537" t="s">
        <v>15186</v>
      </c>
      <c r="C6537">
        <v>7</v>
      </c>
    </row>
    <row r="6538" spans="1:3" x14ac:dyDescent="0.25">
      <c r="A6538" s="48" t="s">
        <v>15187</v>
      </c>
      <c r="B6538" t="s">
        <v>15188</v>
      </c>
      <c r="C6538">
        <v>5</v>
      </c>
    </row>
    <row r="6539" spans="1:3" x14ac:dyDescent="0.25">
      <c r="A6539" s="48" t="s">
        <v>1779</v>
      </c>
      <c r="B6539" t="s">
        <v>1780</v>
      </c>
      <c r="C6539">
        <v>4</v>
      </c>
    </row>
    <row r="6540" spans="1:3" x14ac:dyDescent="0.25">
      <c r="A6540" s="48" t="s">
        <v>15181</v>
      </c>
      <c r="B6540" t="s">
        <v>15182</v>
      </c>
      <c r="C6540">
        <v>7</v>
      </c>
    </row>
    <row r="6541" spans="1:3" x14ac:dyDescent="0.25">
      <c r="A6541" s="48" t="s">
        <v>15241</v>
      </c>
      <c r="B6541" t="s">
        <v>15242</v>
      </c>
      <c r="C6541">
        <v>6</v>
      </c>
    </row>
    <row r="6542" spans="1:3" x14ac:dyDescent="0.25">
      <c r="A6542" s="48" t="s">
        <v>15233</v>
      </c>
      <c r="B6542" t="s">
        <v>15234</v>
      </c>
      <c r="C6542">
        <v>0</v>
      </c>
    </row>
    <row r="6543" spans="1:3" x14ac:dyDescent="0.25">
      <c r="A6543" s="48" t="s">
        <v>15205</v>
      </c>
      <c r="B6543" t="s">
        <v>15206</v>
      </c>
      <c r="C6543">
        <v>3</v>
      </c>
    </row>
    <row r="6544" spans="1:3" x14ac:dyDescent="0.25">
      <c r="A6544" s="48" t="s">
        <v>15225</v>
      </c>
      <c r="B6544" t="s">
        <v>15226</v>
      </c>
      <c r="C6544">
        <v>2</v>
      </c>
    </row>
    <row r="6545" spans="1:3" x14ac:dyDescent="0.25">
      <c r="A6545" s="48" t="s">
        <v>15211</v>
      </c>
      <c r="B6545" t="s">
        <v>15212</v>
      </c>
      <c r="C6545">
        <v>11</v>
      </c>
    </row>
    <row r="6546" spans="1:3" x14ac:dyDescent="0.25">
      <c r="A6546" s="48" t="s">
        <v>1878</v>
      </c>
      <c r="B6546" t="s">
        <v>1879</v>
      </c>
      <c r="C6546">
        <v>47</v>
      </c>
    </row>
    <row r="6547" spans="1:3" x14ac:dyDescent="0.25">
      <c r="A6547" s="48" t="s">
        <v>15192</v>
      </c>
      <c r="B6547" t="s">
        <v>15193</v>
      </c>
      <c r="C6547">
        <v>28</v>
      </c>
    </row>
    <row r="6548" spans="1:3" x14ac:dyDescent="0.25">
      <c r="A6548" s="48" t="s">
        <v>22975</v>
      </c>
      <c r="B6548" t="s">
        <v>15198</v>
      </c>
      <c r="C6548">
        <v>24</v>
      </c>
    </row>
    <row r="6549" spans="1:3" x14ac:dyDescent="0.25">
      <c r="A6549" s="48" t="s">
        <v>15196</v>
      </c>
      <c r="B6549" t="s">
        <v>15195</v>
      </c>
      <c r="C6549">
        <v>12</v>
      </c>
    </row>
    <row r="6550" spans="1:3" x14ac:dyDescent="0.25">
      <c r="A6550" s="48" t="s">
        <v>18407</v>
      </c>
      <c r="B6550" t="s">
        <v>18408</v>
      </c>
      <c r="C6550">
        <v>0</v>
      </c>
    </row>
    <row r="6551" spans="1:3" x14ac:dyDescent="0.25">
      <c r="A6551" s="48" t="s">
        <v>12741</v>
      </c>
      <c r="B6551" t="s">
        <v>12742</v>
      </c>
      <c r="C6551">
        <v>22</v>
      </c>
    </row>
    <row r="6552" spans="1:3" x14ac:dyDescent="0.25">
      <c r="A6552" s="48" t="s">
        <v>12743</v>
      </c>
      <c r="B6552" t="s">
        <v>12744</v>
      </c>
      <c r="C6552">
        <v>13</v>
      </c>
    </row>
    <row r="6553" spans="1:3" x14ac:dyDescent="0.25">
      <c r="A6553" s="48" t="s">
        <v>12745</v>
      </c>
      <c r="B6553" t="s">
        <v>12746</v>
      </c>
      <c r="C6553">
        <v>2</v>
      </c>
    </row>
    <row r="6554" spans="1:3" x14ac:dyDescent="0.25">
      <c r="A6554" s="48" t="s">
        <v>12739</v>
      </c>
      <c r="B6554" t="s">
        <v>12740</v>
      </c>
      <c r="C6554">
        <v>8</v>
      </c>
    </row>
    <row r="6555" spans="1:3" x14ac:dyDescent="0.25">
      <c r="A6555" s="48" t="s">
        <v>4204</v>
      </c>
      <c r="B6555" t="s">
        <v>4205</v>
      </c>
      <c r="C6555">
        <v>0</v>
      </c>
    </row>
    <row r="6556" spans="1:3" x14ac:dyDescent="0.25">
      <c r="A6556" s="48" t="s">
        <v>4210</v>
      </c>
      <c r="B6556" t="s">
        <v>4211</v>
      </c>
      <c r="C6556">
        <v>0</v>
      </c>
    </row>
    <row r="6557" spans="1:3" x14ac:dyDescent="0.25">
      <c r="A6557" s="48" t="s">
        <v>4270</v>
      </c>
      <c r="B6557" t="s">
        <v>4271</v>
      </c>
      <c r="C6557">
        <v>0</v>
      </c>
    </row>
    <row r="6558" spans="1:3" x14ac:dyDescent="0.25">
      <c r="A6558" s="48" t="s">
        <v>1443</v>
      </c>
      <c r="B6558" t="s">
        <v>1444</v>
      </c>
      <c r="C6558">
        <v>4</v>
      </c>
    </row>
    <row r="6559" spans="1:3" x14ac:dyDescent="0.25">
      <c r="A6559" s="48" t="s">
        <v>18326</v>
      </c>
      <c r="B6559" t="s">
        <v>18327</v>
      </c>
      <c r="C6559">
        <v>8</v>
      </c>
    </row>
    <row r="6560" spans="1:3" x14ac:dyDescent="0.25">
      <c r="A6560" s="48" t="s">
        <v>18264</v>
      </c>
      <c r="B6560" t="s">
        <v>18265</v>
      </c>
      <c r="C6560">
        <v>17</v>
      </c>
    </row>
    <row r="6561" spans="1:3" x14ac:dyDescent="0.25">
      <c r="A6561" s="48" t="s">
        <v>18376</v>
      </c>
      <c r="B6561" t="s">
        <v>18377</v>
      </c>
      <c r="C6561">
        <v>8</v>
      </c>
    </row>
    <row r="6562" spans="1:3" x14ac:dyDescent="0.25">
      <c r="A6562" s="48" t="s">
        <v>18272</v>
      </c>
      <c r="B6562" t="s">
        <v>18273</v>
      </c>
      <c r="C6562">
        <v>6</v>
      </c>
    </row>
    <row r="6563" spans="1:3" x14ac:dyDescent="0.25">
      <c r="A6563" s="48" t="s">
        <v>18274</v>
      </c>
      <c r="B6563" t="s">
        <v>18275</v>
      </c>
      <c r="C6563">
        <v>9</v>
      </c>
    </row>
    <row r="6564" spans="1:3" x14ac:dyDescent="0.25">
      <c r="A6564" s="48" t="s">
        <v>18402</v>
      </c>
      <c r="B6564" t="s">
        <v>18403</v>
      </c>
      <c r="C6564">
        <v>0</v>
      </c>
    </row>
    <row r="6565" spans="1:3" x14ac:dyDescent="0.25">
      <c r="A6565" s="48" t="s">
        <v>18404</v>
      </c>
      <c r="B6565" t="s">
        <v>18405</v>
      </c>
      <c r="C6565">
        <v>5</v>
      </c>
    </row>
    <row r="6566" spans="1:3" x14ac:dyDescent="0.25">
      <c r="A6566" s="48" t="s">
        <v>18406</v>
      </c>
      <c r="B6566" t="s">
        <v>18405</v>
      </c>
      <c r="C6566">
        <v>0</v>
      </c>
    </row>
    <row r="6567" spans="1:3" x14ac:dyDescent="0.25">
      <c r="A6567" s="48" t="s">
        <v>18346</v>
      </c>
      <c r="B6567" t="s">
        <v>18347</v>
      </c>
      <c r="C6567">
        <v>20</v>
      </c>
    </row>
    <row r="6568" spans="1:3" x14ac:dyDescent="0.25">
      <c r="A6568" s="48" t="s">
        <v>1938</v>
      </c>
      <c r="B6568" t="s">
        <v>1939</v>
      </c>
      <c r="C6568">
        <v>13</v>
      </c>
    </row>
    <row r="6569" spans="1:3" x14ac:dyDescent="0.25">
      <c r="A6569" s="48" t="s">
        <v>18362</v>
      </c>
      <c r="B6569" t="s">
        <v>22008</v>
      </c>
      <c r="C6569">
        <v>24</v>
      </c>
    </row>
    <row r="6570" spans="1:3" x14ac:dyDescent="0.25">
      <c r="A6570" s="48" t="s">
        <v>18364</v>
      </c>
      <c r="B6570" t="s">
        <v>18365</v>
      </c>
      <c r="C6570">
        <v>12</v>
      </c>
    </row>
    <row r="6571" spans="1:3" x14ac:dyDescent="0.25">
      <c r="A6571" s="48" t="s">
        <v>1153</v>
      </c>
      <c r="B6571" t="s">
        <v>1154</v>
      </c>
      <c r="C6571">
        <v>4</v>
      </c>
    </row>
    <row r="6572" spans="1:3" x14ac:dyDescent="0.25">
      <c r="A6572" s="48" t="s">
        <v>18354</v>
      </c>
      <c r="B6572" t="s">
        <v>18355</v>
      </c>
      <c r="C6572">
        <v>13</v>
      </c>
    </row>
    <row r="6573" spans="1:3" x14ac:dyDescent="0.25">
      <c r="A6573" s="48" t="s">
        <v>18356</v>
      </c>
      <c r="B6573" t="s">
        <v>22009</v>
      </c>
      <c r="C6573">
        <v>8</v>
      </c>
    </row>
    <row r="6574" spans="1:3" x14ac:dyDescent="0.25">
      <c r="A6574" s="48" t="s">
        <v>18358</v>
      </c>
      <c r="B6574" t="s">
        <v>22010</v>
      </c>
      <c r="C6574">
        <v>4</v>
      </c>
    </row>
    <row r="6575" spans="1:3" x14ac:dyDescent="0.25">
      <c r="A6575" s="48" t="s">
        <v>18260</v>
      </c>
      <c r="B6575" t="s">
        <v>18261</v>
      </c>
      <c r="C6575">
        <v>15</v>
      </c>
    </row>
    <row r="6576" spans="1:3" x14ac:dyDescent="0.25">
      <c r="A6576" s="48" t="s">
        <v>8592</v>
      </c>
      <c r="B6576" t="s">
        <v>8593</v>
      </c>
      <c r="C6576">
        <v>20</v>
      </c>
    </row>
    <row r="6577" spans="1:3" x14ac:dyDescent="0.25">
      <c r="A6577" s="48" t="s">
        <v>8590</v>
      </c>
      <c r="B6577" t="s">
        <v>8591</v>
      </c>
      <c r="C6577">
        <v>3</v>
      </c>
    </row>
    <row r="6578" spans="1:3" x14ac:dyDescent="0.25">
      <c r="A6578" s="48" t="s">
        <v>8603</v>
      </c>
      <c r="B6578" t="s">
        <v>8602</v>
      </c>
      <c r="C6578">
        <v>1</v>
      </c>
    </row>
    <row r="6579" spans="1:3" x14ac:dyDescent="0.25">
      <c r="A6579" s="48" t="s">
        <v>3457</v>
      </c>
      <c r="B6579" t="s">
        <v>3458</v>
      </c>
      <c r="C6579">
        <v>3</v>
      </c>
    </row>
    <row r="6580" spans="1:3" x14ac:dyDescent="0.25">
      <c r="A6580" s="48" t="s">
        <v>1815</v>
      </c>
      <c r="B6580" t="s">
        <v>1816</v>
      </c>
      <c r="C6580">
        <v>30</v>
      </c>
    </row>
    <row r="6581" spans="1:3" x14ac:dyDescent="0.25">
      <c r="A6581" s="48" t="s">
        <v>8601</v>
      </c>
      <c r="B6581" t="s">
        <v>8602</v>
      </c>
      <c r="C6581">
        <v>0</v>
      </c>
    </row>
    <row r="6582" spans="1:3" x14ac:dyDescent="0.25">
      <c r="A6582" s="48" t="s">
        <v>17540</v>
      </c>
      <c r="B6582" t="s">
        <v>17541</v>
      </c>
      <c r="C6582">
        <v>13</v>
      </c>
    </row>
    <row r="6583" spans="1:3" x14ac:dyDescent="0.25">
      <c r="A6583" s="48" t="s">
        <v>17530</v>
      </c>
      <c r="B6583" t="s">
        <v>22011</v>
      </c>
      <c r="C6583">
        <v>25</v>
      </c>
    </row>
    <row r="6584" spans="1:3" x14ac:dyDescent="0.25">
      <c r="A6584" s="48" t="s">
        <v>17538</v>
      </c>
      <c r="B6584" t="s">
        <v>17539</v>
      </c>
      <c r="C6584">
        <v>9</v>
      </c>
    </row>
    <row r="6585" spans="1:3" x14ac:dyDescent="0.25">
      <c r="A6585" s="48" t="s">
        <v>17536</v>
      </c>
      <c r="B6585" t="s">
        <v>17537</v>
      </c>
      <c r="C6585">
        <v>26</v>
      </c>
    </row>
    <row r="6586" spans="1:3" x14ac:dyDescent="0.25">
      <c r="A6586" s="48" t="s">
        <v>17532</v>
      </c>
      <c r="B6586" t="s">
        <v>17533</v>
      </c>
      <c r="C6586">
        <v>0</v>
      </c>
    </row>
    <row r="6587" spans="1:3" x14ac:dyDescent="0.25">
      <c r="A6587" s="48" t="s">
        <v>17534</v>
      </c>
      <c r="B6587" t="s">
        <v>17535</v>
      </c>
      <c r="C6587">
        <v>2</v>
      </c>
    </row>
    <row r="6588" spans="1:3" x14ac:dyDescent="0.25">
      <c r="A6588" s="48" t="s">
        <v>19538</v>
      </c>
      <c r="B6588" t="s">
        <v>19539</v>
      </c>
      <c r="C6588">
        <v>0</v>
      </c>
    </row>
    <row r="6589" spans="1:3" x14ac:dyDescent="0.25">
      <c r="A6589" s="48" t="s">
        <v>19528</v>
      </c>
      <c r="B6589" t="s">
        <v>19529</v>
      </c>
      <c r="C6589">
        <v>0</v>
      </c>
    </row>
    <row r="6590" spans="1:3" x14ac:dyDescent="0.25">
      <c r="A6590" s="48" t="s">
        <v>19530</v>
      </c>
      <c r="B6590" t="s">
        <v>19531</v>
      </c>
      <c r="C6590">
        <v>0</v>
      </c>
    </row>
    <row r="6591" spans="1:3" x14ac:dyDescent="0.25">
      <c r="A6591" s="48" t="s">
        <v>19536</v>
      </c>
      <c r="B6591" t="s">
        <v>19537</v>
      </c>
      <c r="C6591">
        <v>0</v>
      </c>
    </row>
    <row r="6592" spans="1:3" x14ac:dyDescent="0.25">
      <c r="A6592" s="48" t="s">
        <v>5177</v>
      </c>
      <c r="B6592" t="s">
        <v>22012</v>
      </c>
      <c r="C6592">
        <v>20</v>
      </c>
    </row>
    <row r="6593" spans="1:3" x14ac:dyDescent="0.25">
      <c r="A6593" s="48" t="s">
        <v>5181</v>
      </c>
      <c r="B6593" t="s">
        <v>22013</v>
      </c>
      <c r="C6593">
        <v>0</v>
      </c>
    </row>
    <row r="6594" spans="1:3" x14ac:dyDescent="0.25">
      <c r="A6594" s="48" t="s">
        <v>5175</v>
      </c>
      <c r="B6594" t="s">
        <v>22014</v>
      </c>
      <c r="C6594">
        <v>29</v>
      </c>
    </row>
    <row r="6595" spans="1:3" x14ac:dyDescent="0.25">
      <c r="A6595" s="48" t="s">
        <v>5179</v>
      </c>
      <c r="B6595" t="s">
        <v>22015</v>
      </c>
      <c r="C6595">
        <v>0</v>
      </c>
    </row>
    <row r="6596" spans="1:3" x14ac:dyDescent="0.25">
      <c r="A6596" s="48" t="s">
        <v>19295</v>
      </c>
      <c r="B6596" t="s">
        <v>19296</v>
      </c>
      <c r="C6596">
        <v>0</v>
      </c>
    </row>
    <row r="6597" spans="1:3" x14ac:dyDescent="0.25">
      <c r="A6597" s="48" t="s">
        <v>19297</v>
      </c>
      <c r="B6597" t="s">
        <v>19298</v>
      </c>
      <c r="C6597">
        <v>0</v>
      </c>
    </row>
    <row r="6598" spans="1:3" x14ac:dyDescent="0.25">
      <c r="A6598" s="48" t="s">
        <v>1291</v>
      </c>
      <c r="B6598" t="s">
        <v>1292</v>
      </c>
      <c r="C6598">
        <v>14</v>
      </c>
    </row>
    <row r="6599" spans="1:3" x14ac:dyDescent="0.25">
      <c r="A6599" s="48" t="s">
        <v>5185</v>
      </c>
      <c r="B6599" t="s">
        <v>22016</v>
      </c>
      <c r="C6599">
        <v>6</v>
      </c>
    </row>
    <row r="6600" spans="1:3" x14ac:dyDescent="0.25">
      <c r="A6600" s="48" t="s">
        <v>5183</v>
      </c>
      <c r="B6600" t="s">
        <v>22017</v>
      </c>
      <c r="C6600">
        <v>27</v>
      </c>
    </row>
    <row r="6601" spans="1:3" x14ac:dyDescent="0.25">
      <c r="A6601" s="48" t="s">
        <v>5173</v>
      </c>
      <c r="B6601" t="s">
        <v>5174</v>
      </c>
      <c r="C6601">
        <v>0</v>
      </c>
    </row>
    <row r="6602" spans="1:3" x14ac:dyDescent="0.25">
      <c r="A6602" s="48" t="s">
        <v>1601</v>
      </c>
      <c r="B6602" t="s">
        <v>1602</v>
      </c>
      <c r="C6602">
        <v>5</v>
      </c>
    </row>
    <row r="6603" spans="1:3" x14ac:dyDescent="0.25">
      <c r="A6603" s="48" t="s">
        <v>1587</v>
      </c>
      <c r="B6603" t="s">
        <v>1588</v>
      </c>
      <c r="C6603">
        <v>67</v>
      </c>
    </row>
    <row r="6604" spans="1:3" x14ac:dyDescent="0.25">
      <c r="A6604" s="48" t="s">
        <v>1467</v>
      </c>
      <c r="B6604" t="s">
        <v>1468</v>
      </c>
      <c r="C6604">
        <v>66</v>
      </c>
    </row>
    <row r="6605" spans="1:3" x14ac:dyDescent="0.25">
      <c r="A6605" s="48" t="s">
        <v>1727</v>
      </c>
      <c r="B6605" t="s">
        <v>1728</v>
      </c>
      <c r="C6605">
        <v>37</v>
      </c>
    </row>
    <row r="6606" spans="1:3" x14ac:dyDescent="0.25">
      <c r="A6606" s="48" t="s">
        <v>19738</v>
      </c>
      <c r="B6606" t="s">
        <v>19739</v>
      </c>
      <c r="C6606">
        <v>3</v>
      </c>
    </row>
    <row r="6607" spans="1:3" x14ac:dyDescent="0.25">
      <c r="A6607" s="48" t="s">
        <v>1357</v>
      </c>
      <c r="B6607" t="s">
        <v>1358</v>
      </c>
      <c r="C6607">
        <v>7</v>
      </c>
    </row>
    <row r="6608" spans="1:3" x14ac:dyDescent="0.25">
      <c r="A6608" s="48" t="s">
        <v>19245</v>
      </c>
      <c r="B6608" t="s">
        <v>19246</v>
      </c>
      <c r="C6608">
        <v>5</v>
      </c>
    </row>
    <row r="6609" spans="1:3" x14ac:dyDescent="0.25">
      <c r="A6609" s="48" t="s">
        <v>19257</v>
      </c>
      <c r="B6609" t="s">
        <v>22018</v>
      </c>
      <c r="C6609">
        <v>2</v>
      </c>
    </row>
    <row r="6610" spans="1:3" x14ac:dyDescent="0.25">
      <c r="A6610" s="48" t="s">
        <v>19249</v>
      </c>
      <c r="B6610" t="s">
        <v>19250</v>
      </c>
      <c r="C6610">
        <v>12</v>
      </c>
    </row>
    <row r="6611" spans="1:3" x14ac:dyDescent="0.25">
      <c r="A6611" s="48" t="s">
        <v>945</v>
      </c>
      <c r="B6611" t="s">
        <v>946</v>
      </c>
      <c r="C6611">
        <v>11</v>
      </c>
    </row>
    <row r="6612" spans="1:3" x14ac:dyDescent="0.25">
      <c r="A6612" s="48" t="s">
        <v>5872</v>
      </c>
      <c r="B6612" t="s">
        <v>5873</v>
      </c>
      <c r="C6612">
        <v>45</v>
      </c>
    </row>
    <row r="6613" spans="1:3" x14ac:dyDescent="0.25">
      <c r="A6613" s="48" t="s">
        <v>5797</v>
      </c>
      <c r="B6613" t="s">
        <v>5798</v>
      </c>
      <c r="C6613">
        <v>10</v>
      </c>
    </row>
    <row r="6614" spans="1:3" x14ac:dyDescent="0.25">
      <c r="A6614" s="48" t="s">
        <v>5801</v>
      </c>
      <c r="B6614" t="s">
        <v>22019</v>
      </c>
      <c r="C6614">
        <v>27</v>
      </c>
    </row>
    <row r="6615" spans="1:3" x14ac:dyDescent="0.25">
      <c r="A6615" s="48" t="s">
        <v>5799</v>
      </c>
      <c r="B6615" t="s">
        <v>22020</v>
      </c>
      <c r="C6615">
        <v>55</v>
      </c>
    </row>
    <row r="6616" spans="1:3" x14ac:dyDescent="0.25">
      <c r="A6616" s="48" t="s">
        <v>5874</v>
      </c>
      <c r="B6616" t="s">
        <v>5875</v>
      </c>
      <c r="C6616">
        <v>15</v>
      </c>
    </row>
    <row r="6617" spans="1:3" x14ac:dyDescent="0.25">
      <c r="A6617" s="48" t="s">
        <v>19468</v>
      </c>
      <c r="B6617" t="s">
        <v>19469</v>
      </c>
      <c r="C6617">
        <v>0</v>
      </c>
    </row>
    <row r="6618" spans="1:3" x14ac:dyDescent="0.25">
      <c r="A6618" s="48" t="s">
        <v>19304</v>
      </c>
      <c r="B6618" t="s">
        <v>22021</v>
      </c>
      <c r="C6618">
        <v>7</v>
      </c>
    </row>
    <row r="6619" spans="1:3" x14ac:dyDescent="0.25">
      <c r="A6619" s="48" t="s">
        <v>19283</v>
      </c>
      <c r="B6619" t="s">
        <v>22022</v>
      </c>
      <c r="C6619">
        <v>73</v>
      </c>
    </row>
    <row r="6620" spans="1:3" x14ac:dyDescent="0.25">
      <c r="A6620" s="48" t="s">
        <v>19324</v>
      </c>
      <c r="B6620" t="s">
        <v>22023</v>
      </c>
      <c r="C6620">
        <v>43</v>
      </c>
    </row>
    <row r="6621" spans="1:3" x14ac:dyDescent="0.25">
      <c r="A6621" s="48" t="s">
        <v>2049</v>
      </c>
      <c r="B6621" t="s">
        <v>2050</v>
      </c>
      <c r="C6621">
        <v>0</v>
      </c>
    </row>
    <row r="6622" spans="1:3" x14ac:dyDescent="0.25">
      <c r="A6622" s="48" t="s">
        <v>7500</v>
      </c>
      <c r="B6622" t="s">
        <v>7501</v>
      </c>
      <c r="C6622">
        <v>1</v>
      </c>
    </row>
    <row r="6623" spans="1:3" x14ac:dyDescent="0.25">
      <c r="A6623" s="48" t="s">
        <v>7498</v>
      </c>
      <c r="B6623" t="s">
        <v>7499</v>
      </c>
      <c r="C6623">
        <v>0</v>
      </c>
    </row>
    <row r="6624" spans="1:3" x14ac:dyDescent="0.25">
      <c r="A6624" s="48" t="s">
        <v>8133</v>
      </c>
      <c r="B6624" t="s">
        <v>8134</v>
      </c>
      <c r="C6624">
        <v>0</v>
      </c>
    </row>
    <row r="6625" spans="1:3" x14ac:dyDescent="0.25">
      <c r="A6625" s="48" t="s">
        <v>8137</v>
      </c>
      <c r="B6625" t="s">
        <v>8138</v>
      </c>
      <c r="C6625">
        <v>1</v>
      </c>
    </row>
    <row r="6626" spans="1:3" x14ac:dyDescent="0.25">
      <c r="A6626" s="48" t="s">
        <v>8135</v>
      </c>
      <c r="B6626" t="s">
        <v>8136</v>
      </c>
      <c r="C6626">
        <v>0</v>
      </c>
    </row>
    <row r="6627" spans="1:3" x14ac:dyDescent="0.25">
      <c r="A6627" s="48" t="s">
        <v>8149</v>
      </c>
      <c r="B6627" t="s">
        <v>8150</v>
      </c>
      <c r="C6627">
        <v>22</v>
      </c>
    </row>
    <row r="6628" spans="1:3" x14ac:dyDescent="0.25">
      <c r="A6628" s="48" t="s">
        <v>8147</v>
      </c>
      <c r="B6628" t="s">
        <v>8148</v>
      </c>
      <c r="C6628">
        <v>2</v>
      </c>
    </row>
    <row r="6629" spans="1:3" x14ac:dyDescent="0.25">
      <c r="A6629" s="48" t="s">
        <v>8145</v>
      </c>
      <c r="B6629" t="s">
        <v>8146</v>
      </c>
      <c r="C6629">
        <v>0</v>
      </c>
    </row>
    <row r="6630" spans="1:3" x14ac:dyDescent="0.25">
      <c r="A6630" s="48" t="s">
        <v>8141</v>
      </c>
      <c r="B6630" t="s">
        <v>8142</v>
      </c>
      <c r="C6630">
        <v>0</v>
      </c>
    </row>
    <row r="6631" spans="1:3" x14ac:dyDescent="0.25">
      <c r="A6631" s="48" t="s">
        <v>8119</v>
      </c>
      <c r="B6631" t="s">
        <v>8120</v>
      </c>
      <c r="C6631">
        <v>0</v>
      </c>
    </row>
    <row r="6632" spans="1:3" x14ac:dyDescent="0.25">
      <c r="A6632" s="48" t="s">
        <v>8139</v>
      </c>
      <c r="B6632" t="s">
        <v>8140</v>
      </c>
      <c r="C6632">
        <v>0</v>
      </c>
    </row>
    <row r="6633" spans="1:3" x14ac:dyDescent="0.25">
      <c r="A6633" s="48" t="s">
        <v>8109</v>
      </c>
      <c r="B6633" t="s">
        <v>8110</v>
      </c>
      <c r="C6633">
        <v>9</v>
      </c>
    </row>
    <row r="6634" spans="1:3" x14ac:dyDescent="0.25">
      <c r="A6634" s="48" t="s">
        <v>8111</v>
      </c>
      <c r="B6634" t="s">
        <v>8112</v>
      </c>
      <c r="C6634">
        <v>0</v>
      </c>
    </row>
    <row r="6635" spans="1:3" x14ac:dyDescent="0.25">
      <c r="A6635" s="48" t="s">
        <v>8113</v>
      </c>
      <c r="B6635" t="s">
        <v>8114</v>
      </c>
      <c r="C6635">
        <v>0</v>
      </c>
    </row>
    <row r="6636" spans="1:3" x14ac:dyDescent="0.25">
      <c r="A6636" s="48" t="s">
        <v>8121</v>
      </c>
      <c r="B6636" t="s">
        <v>8122</v>
      </c>
      <c r="C6636">
        <v>8</v>
      </c>
    </row>
    <row r="6637" spans="1:3" x14ac:dyDescent="0.25">
      <c r="A6637" s="48" t="s">
        <v>8115</v>
      </c>
      <c r="B6637" t="s">
        <v>8116</v>
      </c>
      <c r="C6637">
        <v>1</v>
      </c>
    </row>
    <row r="6638" spans="1:3" x14ac:dyDescent="0.25">
      <c r="A6638" s="48" t="s">
        <v>1013</v>
      </c>
      <c r="B6638" t="s">
        <v>1014</v>
      </c>
      <c r="C6638">
        <v>43</v>
      </c>
    </row>
    <row r="6639" spans="1:3" x14ac:dyDescent="0.25">
      <c r="A6639" s="48" t="s">
        <v>9333</v>
      </c>
      <c r="B6639" t="s">
        <v>9334</v>
      </c>
      <c r="C6639">
        <v>0</v>
      </c>
    </row>
    <row r="6640" spans="1:3" x14ac:dyDescent="0.25">
      <c r="A6640" s="48" t="s">
        <v>9321</v>
      </c>
      <c r="B6640" t="s">
        <v>9322</v>
      </c>
      <c r="C6640">
        <v>0</v>
      </c>
    </row>
    <row r="6641" spans="1:3" x14ac:dyDescent="0.25">
      <c r="A6641" s="48" t="s">
        <v>9335</v>
      </c>
      <c r="B6641" t="s">
        <v>9336</v>
      </c>
      <c r="C6641">
        <v>15</v>
      </c>
    </row>
    <row r="6642" spans="1:3" x14ac:dyDescent="0.25">
      <c r="A6642" s="48" t="s">
        <v>9329</v>
      </c>
      <c r="B6642" t="s">
        <v>9330</v>
      </c>
      <c r="C6642">
        <v>1</v>
      </c>
    </row>
    <row r="6643" spans="1:3" x14ac:dyDescent="0.25">
      <c r="A6643" s="48" t="s">
        <v>9331</v>
      </c>
      <c r="B6643" t="s">
        <v>9332</v>
      </c>
      <c r="C6643">
        <v>11</v>
      </c>
    </row>
    <row r="6644" spans="1:3" x14ac:dyDescent="0.25">
      <c r="A6644" s="48" t="s">
        <v>9341</v>
      </c>
      <c r="B6644" t="s">
        <v>9342</v>
      </c>
      <c r="C6644">
        <v>5</v>
      </c>
    </row>
    <row r="6645" spans="1:3" x14ac:dyDescent="0.25">
      <c r="A6645" s="48" t="s">
        <v>9323</v>
      </c>
      <c r="B6645" t="s">
        <v>9324</v>
      </c>
      <c r="C6645">
        <v>0</v>
      </c>
    </row>
    <row r="6646" spans="1:3" x14ac:dyDescent="0.25">
      <c r="A6646" s="48" t="s">
        <v>9325</v>
      </c>
      <c r="B6646" t="s">
        <v>9326</v>
      </c>
      <c r="C6646">
        <v>0</v>
      </c>
    </row>
    <row r="6647" spans="1:3" x14ac:dyDescent="0.25">
      <c r="A6647" s="48" t="s">
        <v>7722</v>
      </c>
      <c r="B6647" t="s">
        <v>7723</v>
      </c>
      <c r="C6647">
        <v>1</v>
      </c>
    </row>
    <row r="6648" spans="1:3" x14ac:dyDescent="0.25">
      <c r="A6648" s="48" t="s">
        <v>8151</v>
      </c>
      <c r="B6648" t="s">
        <v>8152</v>
      </c>
      <c r="C6648">
        <v>1</v>
      </c>
    </row>
    <row r="6649" spans="1:3" x14ac:dyDescent="0.25">
      <c r="A6649" s="48" t="s">
        <v>8125</v>
      </c>
      <c r="B6649" t="s">
        <v>8126</v>
      </c>
      <c r="C6649">
        <v>11</v>
      </c>
    </row>
    <row r="6650" spans="1:3" x14ac:dyDescent="0.25">
      <c r="A6650" s="48" t="s">
        <v>8143</v>
      </c>
      <c r="B6650" t="s">
        <v>8144</v>
      </c>
      <c r="C6650">
        <v>20</v>
      </c>
    </row>
    <row r="6651" spans="1:3" x14ac:dyDescent="0.25">
      <c r="A6651" s="48" t="s">
        <v>8123</v>
      </c>
      <c r="B6651" t="s">
        <v>8124</v>
      </c>
      <c r="C6651">
        <v>6</v>
      </c>
    </row>
    <row r="6652" spans="1:3" x14ac:dyDescent="0.25">
      <c r="A6652" s="48" t="s">
        <v>14564</v>
      </c>
      <c r="B6652" t="s">
        <v>14565</v>
      </c>
      <c r="C6652">
        <v>0</v>
      </c>
    </row>
    <row r="6653" spans="1:3" x14ac:dyDescent="0.25">
      <c r="A6653" s="48" t="s">
        <v>14566</v>
      </c>
      <c r="B6653" t="s">
        <v>14567</v>
      </c>
      <c r="C6653">
        <v>0</v>
      </c>
    </row>
    <row r="6654" spans="1:3" x14ac:dyDescent="0.25">
      <c r="A6654" s="48" t="s">
        <v>14562</v>
      </c>
      <c r="B6654" t="s">
        <v>14563</v>
      </c>
      <c r="C6654">
        <v>0</v>
      </c>
    </row>
    <row r="6655" spans="1:3" x14ac:dyDescent="0.25">
      <c r="A6655" s="48" t="s">
        <v>9337</v>
      </c>
      <c r="B6655" t="s">
        <v>23038</v>
      </c>
      <c r="C6655">
        <v>6</v>
      </c>
    </row>
    <row r="6656" spans="1:3" x14ac:dyDescent="0.25">
      <c r="A6656" s="48" t="s">
        <v>9327</v>
      </c>
      <c r="B6656" t="s">
        <v>9328</v>
      </c>
      <c r="C6656">
        <v>0</v>
      </c>
    </row>
    <row r="6657" spans="1:3" x14ac:dyDescent="0.25">
      <c r="A6657" s="48" t="s">
        <v>8127</v>
      </c>
      <c r="B6657" t="s">
        <v>8128</v>
      </c>
      <c r="C6657">
        <v>1</v>
      </c>
    </row>
    <row r="6658" spans="1:3" x14ac:dyDescent="0.25">
      <c r="A6658" s="48" t="s">
        <v>8153</v>
      </c>
      <c r="B6658" t="s">
        <v>8154</v>
      </c>
      <c r="C6658">
        <v>24</v>
      </c>
    </row>
    <row r="6659" spans="1:3" x14ac:dyDescent="0.25">
      <c r="A6659" s="48" t="s">
        <v>9319</v>
      </c>
      <c r="B6659" t="s">
        <v>9320</v>
      </c>
      <c r="C6659">
        <v>0</v>
      </c>
    </row>
    <row r="6660" spans="1:3" x14ac:dyDescent="0.25">
      <c r="A6660" s="48" t="s">
        <v>9339</v>
      </c>
      <c r="B6660" t="s">
        <v>9340</v>
      </c>
      <c r="C6660">
        <v>0</v>
      </c>
    </row>
    <row r="6661" spans="1:3" x14ac:dyDescent="0.25">
      <c r="A6661" s="48" t="s">
        <v>8131</v>
      </c>
      <c r="B6661" t="s">
        <v>8132</v>
      </c>
      <c r="C6661">
        <v>0</v>
      </c>
    </row>
    <row r="6662" spans="1:3" x14ac:dyDescent="0.25">
      <c r="A6662" s="48" t="s">
        <v>8129</v>
      </c>
      <c r="B6662" t="s">
        <v>8130</v>
      </c>
      <c r="C6662">
        <v>0</v>
      </c>
    </row>
    <row r="6663" spans="1:3" x14ac:dyDescent="0.25">
      <c r="A6663" s="48" t="s">
        <v>1395</v>
      </c>
      <c r="B6663" t="s">
        <v>1396</v>
      </c>
      <c r="C6663">
        <v>117</v>
      </c>
    </row>
    <row r="6664" spans="1:3" x14ac:dyDescent="0.25">
      <c r="A6664" s="48" t="s">
        <v>18906</v>
      </c>
      <c r="B6664" t="s">
        <v>18907</v>
      </c>
      <c r="C6664">
        <v>80</v>
      </c>
    </row>
    <row r="6665" spans="1:3" x14ac:dyDescent="0.25">
      <c r="A6665" s="48" t="s">
        <v>22976</v>
      </c>
      <c r="B6665" t="s">
        <v>22977</v>
      </c>
      <c r="C6665">
        <v>7</v>
      </c>
    </row>
    <row r="6666" spans="1:3" x14ac:dyDescent="0.25">
      <c r="A6666" s="48" t="s">
        <v>22978</v>
      </c>
      <c r="B6666" t="s">
        <v>22979</v>
      </c>
      <c r="C6666">
        <v>0</v>
      </c>
    </row>
    <row r="6667" spans="1:3" x14ac:dyDescent="0.25">
      <c r="A6667" s="48" t="s">
        <v>23047</v>
      </c>
      <c r="B6667" t="s">
        <v>22979</v>
      </c>
      <c r="C6667">
        <v>37</v>
      </c>
    </row>
    <row r="6668" spans="1:3" x14ac:dyDescent="0.25">
      <c r="A6668" s="48" t="s">
        <v>22980</v>
      </c>
      <c r="B6668" t="s">
        <v>22981</v>
      </c>
      <c r="C6668">
        <v>28</v>
      </c>
    </row>
    <row r="6669" spans="1:3" x14ac:dyDescent="0.25">
      <c r="A6669" s="48" t="s">
        <v>14626</v>
      </c>
      <c r="B6669" t="s">
        <v>14627</v>
      </c>
      <c r="C6669">
        <v>24</v>
      </c>
    </row>
    <row r="6670" spans="1:3" x14ac:dyDescent="0.25">
      <c r="A6670" s="48" t="s">
        <v>16612</v>
      </c>
      <c r="B6670" t="s">
        <v>16613</v>
      </c>
      <c r="C6670">
        <v>0</v>
      </c>
    </row>
    <row r="6671" spans="1:3" x14ac:dyDescent="0.25">
      <c r="A6671" s="48" t="s">
        <v>16618</v>
      </c>
      <c r="B6671" t="s">
        <v>16619</v>
      </c>
      <c r="C6671">
        <v>3</v>
      </c>
    </row>
    <row r="6672" spans="1:3" x14ac:dyDescent="0.25">
      <c r="A6672" s="48" t="s">
        <v>11224</v>
      </c>
      <c r="B6672" t="s">
        <v>11225</v>
      </c>
      <c r="C6672">
        <v>47</v>
      </c>
    </row>
    <row r="6673" spans="1:3" x14ac:dyDescent="0.25">
      <c r="A6673" s="48" t="s">
        <v>11226</v>
      </c>
      <c r="B6673" t="s">
        <v>11227</v>
      </c>
      <c r="C6673">
        <v>11</v>
      </c>
    </row>
    <row r="6674" spans="1:3" x14ac:dyDescent="0.25">
      <c r="A6674" s="48" t="s">
        <v>16614</v>
      </c>
      <c r="B6674" t="s">
        <v>16615</v>
      </c>
      <c r="C6674">
        <v>2</v>
      </c>
    </row>
    <row r="6675" spans="1:3" x14ac:dyDescent="0.25">
      <c r="A6675" s="48" t="s">
        <v>16616</v>
      </c>
      <c r="B6675" t="s">
        <v>16617</v>
      </c>
      <c r="C6675">
        <v>10</v>
      </c>
    </row>
    <row r="6676" spans="1:3" x14ac:dyDescent="0.25">
      <c r="A6676" s="48" t="s">
        <v>10119</v>
      </c>
      <c r="B6676" t="s">
        <v>10120</v>
      </c>
      <c r="C6676">
        <v>0</v>
      </c>
    </row>
    <row r="6677" spans="1:3" x14ac:dyDescent="0.25">
      <c r="A6677" s="48" t="s">
        <v>10115</v>
      </c>
      <c r="B6677" t="s">
        <v>10116</v>
      </c>
      <c r="C6677">
        <v>0</v>
      </c>
    </row>
    <row r="6678" spans="1:3" x14ac:dyDescent="0.25">
      <c r="A6678" s="48" t="s">
        <v>10117</v>
      </c>
      <c r="B6678" t="s">
        <v>10118</v>
      </c>
      <c r="C6678">
        <v>0</v>
      </c>
    </row>
    <row r="6679" spans="1:3" x14ac:dyDescent="0.25">
      <c r="A6679" s="48" t="s">
        <v>16424</v>
      </c>
      <c r="B6679" t="s">
        <v>22024</v>
      </c>
      <c r="C6679">
        <v>14</v>
      </c>
    </row>
    <row r="6680" spans="1:3" x14ac:dyDescent="0.25">
      <c r="A6680" s="48" t="s">
        <v>16418</v>
      </c>
      <c r="B6680" t="s">
        <v>16419</v>
      </c>
      <c r="C6680">
        <v>27</v>
      </c>
    </row>
    <row r="6681" spans="1:3" x14ac:dyDescent="0.25">
      <c r="A6681" s="48" t="s">
        <v>16416</v>
      </c>
      <c r="B6681" t="s">
        <v>16417</v>
      </c>
      <c r="C6681">
        <v>74</v>
      </c>
    </row>
    <row r="6682" spans="1:3" x14ac:dyDescent="0.25">
      <c r="A6682" s="48" t="s">
        <v>16420</v>
      </c>
      <c r="B6682" t="s">
        <v>16421</v>
      </c>
      <c r="C6682">
        <v>0</v>
      </c>
    </row>
    <row r="6683" spans="1:3" x14ac:dyDescent="0.25">
      <c r="A6683" s="48" t="s">
        <v>1605</v>
      </c>
      <c r="B6683" t="s">
        <v>1606</v>
      </c>
      <c r="C6683">
        <v>14</v>
      </c>
    </row>
    <row r="6684" spans="1:3" x14ac:dyDescent="0.25">
      <c r="A6684" s="48" t="s">
        <v>16422</v>
      </c>
      <c r="B6684" t="s">
        <v>16423</v>
      </c>
      <c r="C6684">
        <v>5</v>
      </c>
    </row>
    <row r="6685" spans="1:3" x14ac:dyDescent="0.25">
      <c r="A6685" s="48" t="s">
        <v>1485</v>
      </c>
      <c r="B6685" t="s">
        <v>1486</v>
      </c>
      <c r="C6685">
        <v>596</v>
      </c>
    </row>
    <row r="6686" spans="1:3" x14ac:dyDescent="0.25">
      <c r="A6686" s="48" t="s">
        <v>1866</v>
      </c>
      <c r="B6686" t="s">
        <v>1867</v>
      </c>
      <c r="C6686">
        <v>16</v>
      </c>
    </row>
    <row r="6687" spans="1:3" x14ac:dyDescent="0.25">
      <c r="A6687" s="48" t="s">
        <v>16450</v>
      </c>
      <c r="B6687" t="s">
        <v>16451</v>
      </c>
      <c r="C6687">
        <v>22</v>
      </c>
    </row>
    <row r="6688" spans="1:3" x14ac:dyDescent="0.25">
      <c r="A6688" s="48" t="s">
        <v>933</v>
      </c>
      <c r="B6688" t="s">
        <v>934</v>
      </c>
      <c r="C6688">
        <v>0</v>
      </c>
    </row>
    <row r="6689" spans="1:3" x14ac:dyDescent="0.25">
      <c r="A6689" s="48" t="s">
        <v>1161</v>
      </c>
      <c r="B6689" t="s">
        <v>1162</v>
      </c>
      <c r="C6689">
        <v>4</v>
      </c>
    </row>
    <row r="6690" spans="1:3" x14ac:dyDescent="0.25">
      <c r="A6690" s="48" t="s">
        <v>1539</v>
      </c>
      <c r="B6690" t="s">
        <v>1540</v>
      </c>
      <c r="C6690">
        <v>7</v>
      </c>
    </row>
    <row r="6691" spans="1:3" x14ac:dyDescent="0.25">
      <c r="A6691" s="48" t="s">
        <v>8606</v>
      </c>
      <c r="B6691" t="s">
        <v>8607</v>
      </c>
      <c r="C6691">
        <v>0</v>
      </c>
    </row>
    <row r="6692" spans="1:3" x14ac:dyDescent="0.25">
      <c r="A6692" s="48" t="s">
        <v>8604</v>
      </c>
      <c r="B6692" t="s">
        <v>8605</v>
      </c>
      <c r="C6692">
        <v>6</v>
      </c>
    </row>
    <row r="6693" spans="1:3" x14ac:dyDescent="0.25">
      <c r="A6693" s="48" t="s">
        <v>8610</v>
      </c>
      <c r="B6693" t="s">
        <v>8611</v>
      </c>
      <c r="C6693">
        <v>2</v>
      </c>
    </row>
    <row r="6694" spans="1:3" x14ac:dyDescent="0.25">
      <c r="A6694" s="48" t="s">
        <v>18292</v>
      </c>
      <c r="B6694" t="s">
        <v>22025</v>
      </c>
      <c r="C6694">
        <v>7</v>
      </c>
    </row>
    <row r="6695" spans="1:3" x14ac:dyDescent="0.25">
      <c r="A6695" s="48" t="s">
        <v>18284</v>
      </c>
      <c r="B6695" t="s">
        <v>22026</v>
      </c>
      <c r="C6695">
        <v>4</v>
      </c>
    </row>
    <row r="6696" spans="1:3" x14ac:dyDescent="0.25">
      <c r="A6696" s="48" t="s">
        <v>18286</v>
      </c>
      <c r="B6696" t="s">
        <v>18287</v>
      </c>
      <c r="C6696">
        <v>7</v>
      </c>
    </row>
    <row r="6697" spans="1:3" x14ac:dyDescent="0.25">
      <c r="A6697" s="48" t="s">
        <v>18288</v>
      </c>
      <c r="B6697" t="s">
        <v>18289</v>
      </c>
      <c r="C6697">
        <v>7</v>
      </c>
    </row>
    <row r="6698" spans="1:3" x14ac:dyDescent="0.25">
      <c r="A6698" s="48" t="s">
        <v>777</v>
      </c>
      <c r="B6698" t="s">
        <v>778</v>
      </c>
      <c r="C6698">
        <v>3</v>
      </c>
    </row>
    <row r="6699" spans="1:3" x14ac:dyDescent="0.25">
      <c r="A6699" s="48" t="s">
        <v>18336</v>
      </c>
      <c r="B6699" t="s">
        <v>22027</v>
      </c>
      <c r="C6699">
        <v>0</v>
      </c>
    </row>
    <row r="6700" spans="1:3" x14ac:dyDescent="0.25">
      <c r="A6700" s="48" t="s">
        <v>18332</v>
      </c>
      <c r="B6700" t="s">
        <v>18333</v>
      </c>
      <c r="C6700">
        <v>0</v>
      </c>
    </row>
    <row r="6701" spans="1:3" x14ac:dyDescent="0.25">
      <c r="A6701" s="48" t="s">
        <v>18330</v>
      </c>
      <c r="B6701" t="s">
        <v>18331</v>
      </c>
      <c r="C6701">
        <v>0</v>
      </c>
    </row>
    <row r="6702" spans="1:3" x14ac:dyDescent="0.25">
      <c r="A6702" s="48" t="s">
        <v>18312</v>
      </c>
      <c r="B6702" t="s">
        <v>18313</v>
      </c>
      <c r="C6702">
        <v>17</v>
      </c>
    </row>
    <row r="6703" spans="1:3" x14ac:dyDescent="0.25">
      <c r="A6703" s="48" t="s">
        <v>18318</v>
      </c>
      <c r="B6703" t="s">
        <v>18319</v>
      </c>
      <c r="C6703">
        <v>10</v>
      </c>
    </row>
    <row r="6704" spans="1:3" x14ac:dyDescent="0.25">
      <c r="A6704" s="48" t="s">
        <v>18316</v>
      </c>
      <c r="B6704" t="s">
        <v>18317</v>
      </c>
      <c r="C6704">
        <v>8</v>
      </c>
    </row>
    <row r="6705" spans="1:3" x14ac:dyDescent="0.25">
      <c r="A6705" s="48" t="s">
        <v>18342</v>
      </c>
      <c r="B6705" t="s">
        <v>18343</v>
      </c>
      <c r="C6705">
        <v>6</v>
      </c>
    </row>
    <row r="6706" spans="1:3" x14ac:dyDescent="0.25">
      <c r="A6706" s="48" t="s">
        <v>18348</v>
      </c>
      <c r="B6706" t="s">
        <v>22028</v>
      </c>
      <c r="C6706">
        <v>12</v>
      </c>
    </row>
    <row r="6707" spans="1:3" x14ac:dyDescent="0.25">
      <c r="A6707" s="48" t="s">
        <v>18350</v>
      </c>
      <c r="B6707" t="s">
        <v>22029</v>
      </c>
      <c r="C6707">
        <v>8</v>
      </c>
    </row>
    <row r="6708" spans="1:3" x14ac:dyDescent="0.25">
      <c r="A6708" s="48" t="s">
        <v>18352</v>
      </c>
      <c r="B6708" t="s">
        <v>18353</v>
      </c>
      <c r="C6708">
        <v>7</v>
      </c>
    </row>
    <row r="6709" spans="1:3" x14ac:dyDescent="0.25">
      <c r="A6709" s="48" t="s">
        <v>1946</v>
      </c>
      <c r="B6709" t="s">
        <v>1947</v>
      </c>
      <c r="C6709">
        <v>6</v>
      </c>
    </row>
    <row r="6710" spans="1:3" x14ac:dyDescent="0.25">
      <c r="A6710" s="48" t="s">
        <v>18368</v>
      </c>
      <c r="B6710" t="s">
        <v>22030</v>
      </c>
      <c r="C6710">
        <v>11</v>
      </c>
    </row>
    <row r="6711" spans="1:3" x14ac:dyDescent="0.25">
      <c r="A6711" s="48" t="s">
        <v>18372</v>
      </c>
      <c r="B6711" t="s">
        <v>18373</v>
      </c>
      <c r="C6711">
        <v>5</v>
      </c>
    </row>
    <row r="6712" spans="1:3" x14ac:dyDescent="0.25">
      <c r="A6712" s="48" t="s">
        <v>925</v>
      </c>
      <c r="B6712" t="s">
        <v>926</v>
      </c>
      <c r="C6712">
        <v>19</v>
      </c>
    </row>
    <row r="6713" spans="1:3" x14ac:dyDescent="0.25">
      <c r="A6713" s="48" t="s">
        <v>18397</v>
      </c>
      <c r="B6713" t="s">
        <v>22031</v>
      </c>
      <c r="C6713">
        <v>9</v>
      </c>
    </row>
    <row r="6714" spans="1:3" x14ac:dyDescent="0.25">
      <c r="A6714" s="48" t="s">
        <v>303</v>
      </c>
      <c r="B6714" t="s">
        <v>304</v>
      </c>
      <c r="C6714">
        <v>0</v>
      </c>
    </row>
    <row r="6715" spans="1:3" x14ac:dyDescent="0.25">
      <c r="A6715" s="48" t="s">
        <v>939</v>
      </c>
      <c r="B6715" t="s">
        <v>940</v>
      </c>
      <c r="C6715">
        <v>2</v>
      </c>
    </row>
    <row r="6716" spans="1:3" x14ac:dyDescent="0.25">
      <c r="A6716" s="48" t="s">
        <v>18278</v>
      </c>
      <c r="B6716" t="s">
        <v>18279</v>
      </c>
      <c r="C6716">
        <v>21</v>
      </c>
    </row>
    <row r="6717" spans="1:3" x14ac:dyDescent="0.25">
      <c r="A6717" s="48" t="s">
        <v>18280</v>
      </c>
      <c r="B6717" t="s">
        <v>18281</v>
      </c>
      <c r="C6717">
        <v>12</v>
      </c>
    </row>
    <row r="6718" spans="1:3" x14ac:dyDescent="0.25">
      <c r="A6718" s="48" t="s">
        <v>18282</v>
      </c>
      <c r="B6718" t="s">
        <v>18283</v>
      </c>
      <c r="C6718">
        <v>9</v>
      </c>
    </row>
    <row r="6719" spans="1:3" x14ac:dyDescent="0.25">
      <c r="A6719" s="48" t="s">
        <v>1827</v>
      </c>
      <c r="B6719" t="s">
        <v>1828</v>
      </c>
      <c r="C6719">
        <v>10</v>
      </c>
    </row>
    <row r="6720" spans="1:3" x14ac:dyDescent="0.25">
      <c r="A6720" s="48" t="s">
        <v>18392</v>
      </c>
      <c r="B6720" t="s">
        <v>18393</v>
      </c>
      <c r="C6720">
        <v>9</v>
      </c>
    </row>
    <row r="6721" spans="1:3" x14ac:dyDescent="0.25">
      <c r="A6721" s="48" t="s">
        <v>18394</v>
      </c>
      <c r="B6721" t="s">
        <v>18395</v>
      </c>
      <c r="C6721">
        <v>16</v>
      </c>
    </row>
    <row r="6722" spans="1:3" x14ac:dyDescent="0.25">
      <c r="A6722" s="48" t="s">
        <v>459</v>
      </c>
      <c r="B6722" t="s">
        <v>460</v>
      </c>
      <c r="C6722">
        <v>8</v>
      </c>
    </row>
    <row r="6723" spans="1:3" x14ac:dyDescent="0.25">
      <c r="A6723" s="48" t="s">
        <v>18384</v>
      </c>
      <c r="B6723" t="s">
        <v>18385</v>
      </c>
      <c r="C6723">
        <v>7</v>
      </c>
    </row>
    <row r="6724" spans="1:3" x14ac:dyDescent="0.25">
      <c r="A6724" s="48" t="s">
        <v>18340</v>
      </c>
      <c r="B6724" t="s">
        <v>18341</v>
      </c>
      <c r="C6724">
        <v>0</v>
      </c>
    </row>
    <row r="6725" spans="1:3" x14ac:dyDescent="0.25">
      <c r="A6725" s="48" t="s">
        <v>18386</v>
      </c>
      <c r="B6725" t="s">
        <v>22032</v>
      </c>
      <c r="C6725">
        <v>19</v>
      </c>
    </row>
    <row r="6726" spans="1:3" x14ac:dyDescent="0.25">
      <c r="A6726" s="48" t="s">
        <v>18254</v>
      </c>
      <c r="B6726" t="s">
        <v>18255</v>
      </c>
      <c r="C6726">
        <v>17</v>
      </c>
    </row>
    <row r="6727" spans="1:3" x14ac:dyDescent="0.25">
      <c r="A6727" s="48" t="s">
        <v>18294</v>
      </c>
      <c r="B6727" t="s">
        <v>18295</v>
      </c>
      <c r="C6727">
        <v>7</v>
      </c>
    </row>
    <row r="6728" spans="1:3" x14ac:dyDescent="0.25">
      <c r="A6728" s="48" t="s">
        <v>18256</v>
      </c>
      <c r="B6728" t="s">
        <v>18257</v>
      </c>
      <c r="C6728">
        <v>9</v>
      </c>
    </row>
    <row r="6729" spans="1:3" x14ac:dyDescent="0.25">
      <c r="A6729" s="48" t="s">
        <v>18308</v>
      </c>
      <c r="B6729" t="s">
        <v>18309</v>
      </c>
      <c r="C6729">
        <v>11</v>
      </c>
    </row>
    <row r="6730" spans="1:3" x14ac:dyDescent="0.25">
      <c r="A6730" s="48" t="s">
        <v>18310</v>
      </c>
      <c r="B6730" t="s">
        <v>18311</v>
      </c>
      <c r="C6730">
        <v>8</v>
      </c>
    </row>
    <row r="6731" spans="1:3" x14ac:dyDescent="0.25">
      <c r="A6731" s="48" t="s">
        <v>18344</v>
      </c>
      <c r="B6731" t="s">
        <v>18345</v>
      </c>
      <c r="C6731">
        <v>2</v>
      </c>
    </row>
    <row r="6732" spans="1:3" x14ac:dyDescent="0.25">
      <c r="A6732" s="48" t="s">
        <v>18328</v>
      </c>
      <c r="B6732" t="s">
        <v>18329</v>
      </c>
      <c r="C6732">
        <v>6</v>
      </c>
    </row>
    <row r="6733" spans="1:3" x14ac:dyDescent="0.25">
      <c r="A6733" s="48" t="s">
        <v>18399</v>
      </c>
      <c r="B6733" t="s">
        <v>18400</v>
      </c>
      <c r="C6733">
        <v>18</v>
      </c>
    </row>
    <row r="6734" spans="1:3" x14ac:dyDescent="0.25">
      <c r="A6734" s="48" t="s">
        <v>18370</v>
      </c>
      <c r="B6734" t="s">
        <v>18371</v>
      </c>
      <c r="C6734">
        <v>6</v>
      </c>
    </row>
    <row r="6735" spans="1:3" x14ac:dyDescent="0.25">
      <c r="A6735" s="48" t="s">
        <v>18268</v>
      </c>
      <c r="B6735" t="s">
        <v>18269</v>
      </c>
      <c r="C6735">
        <v>14</v>
      </c>
    </row>
    <row r="6736" spans="1:3" x14ac:dyDescent="0.25">
      <c r="A6736" s="48" t="s">
        <v>18382</v>
      </c>
      <c r="B6736" t="s">
        <v>18383</v>
      </c>
      <c r="C6736">
        <v>14</v>
      </c>
    </row>
    <row r="6737" spans="1:3" x14ac:dyDescent="0.25">
      <c r="A6737" s="48" t="s">
        <v>18388</v>
      </c>
      <c r="B6737" t="s">
        <v>18389</v>
      </c>
      <c r="C6737">
        <v>7</v>
      </c>
    </row>
    <row r="6738" spans="1:3" x14ac:dyDescent="0.25">
      <c r="A6738" s="48" t="s">
        <v>18302</v>
      </c>
      <c r="B6738" t="s">
        <v>18303</v>
      </c>
      <c r="C6738">
        <v>12</v>
      </c>
    </row>
    <row r="6739" spans="1:3" x14ac:dyDescent="0.25">
      <c r="A6739" s="48" t="s">
        <v>18314</v>
      </c>
      <c r="B6739" t="s">
        <v>18315</v>
      </c>
      <c r="C6739">
        <v>15</v>
      </c>
    </row>
    <row r="6740" spans="1:3" x14ac:dyDescent="0.25">
      <c r="A6740" s="48" t="s">
        <v>18270</v>
      </c>
      <c r="B6740" t="s">
        <v>18271</v>
      </c>
      <c r="C6740">
        <v>11</v>
      </c>
    </row>
    <row r="6741" spans="1:3" x14ac:dyDescent="0.25">
      <c r="A6741" s="48" t="s">
        <v>1799</v>
      </c>
      <c r="B6741" t="s">
        <v>1800</v>
      </c>
      <c r="C6741">
        <v>8</v>
      </c>
    </row>
    <row r="6742" spans="1:3" x14ac:dyDescent="0.25">
      <c r="A6742" s="48" t="s">
        <v>18266</v>
      </c>
      <c r="B6742" t="s">
        <v>18267</v>
      </c>
      <c r="C6742">
        <v>12</v>
      </c>
    </row>
    <row r="6743" spans="1:3" x14ac:dyDescent="0.25">
      <c r="A6743" s="48" t="s">
        <v>18374</v>
      </c>
      <c r="B6743" t="s">
        <v>18375</v>
      </c>
      <c r="C6743">
        <v>7</v>
      </c>
    </row>
    <row r="6744" spans="1:3" x14ac:dyDescent="0.25">
      <c r="A6744" s="48" t="s">
        <v>18290</v>
      </c>
      <c r="B6744" t="s">
        <v>22033</v>
      </c>
      <c r="C6744">
        <v>12</v>
      </c>
    </row>
    <row r="6745" spans="1:3" x14ac:dyDescent="0.25">
      <c r="A6745" s="48" t="s">
        <v>18334</v>
      </c>
      <c r="B6745" t="s">
        <v>18335</v>
      </c>
      <c r="C6745">
        <v>7</v>
      </c>
    </row>
    <row r="6746" spans="1:3" x14ac:dyDescent="0.25">
      <c r="A6746" s="48" t="s">
        <v>18366</v>
      </c>
      <c r="B6746" t="s">
        <v>18367</v>
      </c>
      <c r="C6746">
        <v>15</v>
      </c>
    </row>
    <row r="6747" spans="1:3" x14ac:dyDescent="0.25">
      <c r="A6747" s="48" t="s">
        <v>18276</v>
      </c>
      <c r="B6747" t="s">
        <v>18277</v>
      </c>
      <c r="C6747">
        <v>25</v>
      </c>
    </row>
    <row r="6748" spans="1:3" x14ac:dyDescent="0.25">
      <c r="A6748" s="48" t="s">
        <v>18360</v>
      </c>
      <c r="B6748" t="s">
        <v>18361</v>
      </c>
      <c r="C6748">
        <v>7</v>
      </c>
    </row>
    <row r="6749" spans="1:3" x14ac:dyDescent="0.25">
      <c r="A6749" s="48" t="s">
        <v>18322</v>
      </c>
      <c r="B6749" t="s">
        <v>18323</v>
      </c>
      <c r="C6749">
        <v>9</v>
      </c>
    </row>
    <row r="6750" spans="1:3" x14ac:dyDescent="0.25">
      <c r="A6750" s="48" t="s">
        <v>18324</v>
      </c>
      <c r="B6750" t="s">
        <v>18325</v>
      </c>
      <c r="C6750">
        <v>21</v>
      </c>
    </row>
    <row r="6751" spans="1:3" x14ac:dyDescent="0.25">
      <c r="A6751" s="48" t="s">
        <v>18304</v>
      </c>
      <c r="B6751" t="s">
        <v>18305</v>
      </c>
      <c r="C6751">
        <v>37</v>
      </c>
    </row>
    <row r="6752" spans="1:3" x14ac:dyDescent="0.25">
      <c r="A6752" s="48" t="s">
        <v>18306</v>
      </c>
      <c r="B6752" t="s">
        <v>18307</v>
      </c>
      <c r="C6752">
        <v>21</v>
      </c>
    </row>
    <row r="6753" spans="1:3" x14ac:dyDescent="0.25">
      <c r="A6753" s="48" t="s">
        <v>18296</v>
      </c>
      <c r="B6753" t="s">
        <v>18297</v>
      </c>
      <c r="C6753">
        <v>26</v>
      </c>
    </row>
    <row r="6754" spans="1:3" x14ac:dyDescent="0.25">
      <c r="A6754" s="48" t="s">
        <v>18298</v>
      </c>
      <c r="B6754" t="s">
        <v>18299</v>
      </c>
      <c r="C6754">
        <v>13</v>
      </c>
    </row>
    <row r="6755" spans="1:3" x14ac:dyDescent="0.25">
      <c r="A6755" s="48" t="s">
        <v>18300</v>
      </c>
      <c r="B6755" t="s">
        <v>18301</v>
      </c>
      <c r="C6755">
        <v>19</v>
      </c>
    </row>
    <row r="6756" spans="1:3" x14ac:dyDescent="0.25">
      <c r="A6756" s="48" t="s">
        <v>18320</v>
      </c>
      <c r="B6756" t="s">
        <v>18321</v>
      </c>
      <c r="C6756">
        <v>10</v>
      </c>
    </row>
    <row r="6757" spans="1:3" x14ac:dyDescent="0.25">
      <c r="A6757" s="48" t="s">
        <v>18258</v>
      </c>
      <c r="B6757" t="s">
        <v>18259</v>
      </c>
      <c r="C6757">
        <v>12</v>
      </c>
    </row>
    <row r="6758" spans="1:3" x14ac:dyDescent="0.25">
      <c r="A6758" s="48" t="s">
        <v>18390</v>
      </c>
      <c r="B6758" t="s">
        <v>18391</v>
      </c>
      <c r="C6758">
        <v>11</v>
      </c>
    </row>
    <row r="6759" spans="1:3" x14ac:dyDescent="0.25">
      <c r="A6759" s="48" t="s">
        <v>18262</v>
      </c>
      <c r="B6759" t="s">
        <v>18263</v>
      </c>
      <c r="C6759">
        <v>19</v>
      </c>
    </row>
    <row r="6760" spans="1:3" x14ac:dyDescent="0.25">
      <c r="A6760" s="48" t="s">
        <v>18338</v>
      </c>
      <c r="B6760" t="s">
        <v>18339</v>
      </c>
      <c r="C6760">
        <v>4</v>
      </c>
    </row>
    <row r="6761" spans="1:3" x14ac:dyDescent="0.25">
      <c r="A6761" s="48" t="s">
        <v>18378</v>
      </c>
      <c r="B6761" t="s">
        <v>18379</v>
      </c>
      <c r="C6761">
        <v>1</v>
      </c>
    </row>
    <row r="6762" spans="1:3" x14ac:dyDescent="0.25">
      <c r="A6762" s="48" t="s">
        <v>18380</v>
      </c>
      <c r="B6762" t="s">
        <v>18381</v>
      </c>
      <c r="C6762">
        <v>5</v>
      </c>
    </row>
    <row r="6763" spans="1:3" x14ac:dyDescent="0.25">
      <c r="A6763" s="48" t="s">
        <v>12718</v>
      </c>
      <c r="B6763" t="s">
        <v>12719</v>
      </c>
      <c r="C6763">
        <v>51</v>
      </c>
    </row>
    <row r="6764" spans="1:3" x14ac:dyDescent="0.25">
      <c r="A6764" s="48" t="s">
        <v>12712</v>
      </c>
      <c r="B6764" t="s">
        <v>12713</v>
      </c>
      <c r="C6764">
        <v>26</v>
      </c>
    </row>
    <row r="6765" spans="1:3" x14ac:dyDescent="0.25">
      <c r="A6765" s="48" t="s">
        <v>12722</v>
      </c>
      <c r="B6765" t="s">
        <v>12723</v>
      </c>
      <c r="C6765">
        <v>85</v>
      </c>
    </row>
    <row r="6766" spans="1:3" x14ac:dyDescent="0.25">
      <c r="A6766" s="48" t="s">
        <v>1281</v>
      </c>
      <c r="B6766" t="s">
        <v>1282</v>
      </c>
      <c r="C6766">
        <v>108</v>
      </c>
    </row>
    <row r="6767" spans="1:3" x14ac:dyDescent="0.25">
      <c r="A6767" s="48" t="s">
        <v>12724</v>
      </c>
      <c r="B6767" t="s">
        <v>12725</v>
      </c>
      <c r="C6767">
        <v>16</v>
      </c>
    </row>
    <row r="6768" spans="1:3" x14ac:dyDescent="0.25">
      <c r="A6768" s="48" t="s">
        <v>12720</v>
      </c>
      <c r="B6768" t="s">
        <v>12721</v>
      </c>
      <c r="C6768">
        <v>32</v>
      </c>
    </row>
    <row r="6769" spans="1:3" x14ac:dyDescent="0.25">
      <c r="A6769" s="48" t="s">
        <v>12714</v>
      </c>
      <c r="B6769" t="s">
        <v>12715</v>
      </c>
      <c r="C6769">
        <v>0</v>
      </c>
    </row>
    <row r="6770" spans="1:3" x14ac:dyDescent="0.25">
      <c r="A6770" s="48" t="s">
        <v>3725</v>
      </c>
      <c r="B6770" t="s">
        <v>3726</v>
      </c>
      <c r="C6770">
        <v>0</v>
      </c>
    </row>
    <row r="6771" spans="1:3" x14ac:dyDescent="0.25">
      <c r="A6771" s="48" t="s">
        <v>12710</v>
      </c>
      <c r="B6771" t="s">
        <v>12711</v>
      </c>
      <c r="C6771">
        <v>31</v>
      </c>
    </row>
    <row r="6772" spans="1:3" x14ac:dyDescent="0.25">
      <c r="A6772" s="48" t="s">
        <v>12716</v>
      </c>
      <c r="B6772" t="s">
        <v>12717</v>
      </c>
      <c r="C6772">
        <v>7</v>
      </c>
    </row>
    <row r="6773" spans="1:3" x14ac:dyDescent="0.25">
      <c r="A6773" s="48" t="s">
        <v>5273</v>
      </c>
      <c r="B6773" t="s">
        <v>5274</v>
      </c>
      <c r="C6773">
        <v>0</v>
      </c>
    </row>
    <row r="6774" spans="1:3" x14ac:dyDescent="0.25">
      <c r="A6774" s="48" t="s">
        <v>5235</v>
      </c>
      <c r="B6774" t="s">
        <v>5236</v>
      </c>
      <c r="C6774">
        <v>0</v>
      </c>
    </row>
    <row r="6775" spans="1:3" x14ac:dyDescent="0.25">
      <c r="A6775" s="48" t="s">
        <v>5291</v>
      </c>
      <c r="B6775" t="s">
        <v>5292</v>
      </c>
      <c r="C6775">
        <v>0</v>
      </c>
    </row>
    <row r="6776" spans="1:3" x14ac:dyDescent="0.25">
      <c r="A6776" s="48" t="s">
        <v>9096</v>
      </c>
      <c r="B6776" t="s">
        <v>22034</v>
      </c>
      <c r="C6776">
        <v>11</v>
      </c>
    </row>
    <row r="6777" spans="1:3" x14ac:dyDescent="0.25">
      <c r="A6777" s="48" t="s">
        <v>7649</v>
      </c>
      <c r="B6777" t="s">
        <v>7650</v>
      </c>
      <c r="C6777">
        <v>0</v>
      </c>
    </row>
    <row r="6778" spans="1:3" x14ac:dyDescent="0.25">
      <c r="A6778" s="48" t="s">
        <v>9192</v>
      </c>
      <c r="B6778" t="s">
        <v>22035</v>
      </c>
      <c r="C6778">
        <v>0</v>
      </c>
    </row>
    <row r="6779" spans="1:3" x14ac:dyDescent="0.25">
      <c r="A6779" s="48" t="s">
        <v>7667</v>
      </c>
      <c r="B6779" t="s">
        <v>7668</v>
      </c>
      <c r="C6779">
        <v>15</v>
      </c>
    </row>
    <row r="6780" spans="1:3" x14ac:dyDescent="0.25">
      <c r="A6780" s="48" t="s">
        <v>8618</v>
      </c>
      <c r="B6780" t="s">
        <v>8619</v>
      </c>
      <c r="C6780">
        <v>6</v>
      </c>
    </row>
    <row r="6781" spans="1:3" x14ac:dyDescent="0.25">
      <c r="A6781" s="48" t="s">
        <v>8620</v>
      </c>
      <c r="B6781" t="s">
        <v>8621</v>
      </c>
      <c r="C6781">
        <v>8</v>
      </c>
    </row>
    <row r="6782" spans="1:3" x14ac:dyDescent="0.25">
      <c r="A6782" s="48" t="s">
        <v>9038</v>
      </c>
      <c r="B6782" t="s">
        <v>22036</v>
      </c>
      <c r="C6782">
        <v>9</v>
      </c>
    </row>
    <row r="6783" spans="1:3" x14ac:dyDescent="0.25">
      <c r="A6783" s="48" t="s">
        <v>7665</v>
      </c>
      <c r="B6783" t="s">
        <v>7666</v>
      </c>
      <c r="C6783">
        <v>0</v>
      </c>
    </row>
    <row r="6784" spans="1:3" x14ac:dyDescent="0.25">
      <c r="A6784" s="48" t="s">
        <v>23238</v>
      </c>
      <c r="B6784" t="s">
        <v>23239</v>
      </c>
      <c r="C6784">
        <v>2</v>
      </c>
    </row>
    <row r="6785" spans="1:3" x14ac:dyDescent="0.25">
      <c r="A6785" s="48" t="s">
        <v>9048</v>
      </c>
      <c r="B6785" t="s">
        <v>9049</v>
      </c>
      <c r="C6785">
        <v>21</v>
      </c>
    </row>
    <row r="6786" spans="1:3" x14ac:dyDescent="0.25">
      <c r="A6786" s="48" t="s">
        <v>9046</v>
      </c>
      <c r="B6786" t="s">
        <v>9047</v>
      </c>
      <c r="C6786">
        <v>20</v>
      </c>
    </row>
    <row r="6787" spans="1:3" x14ac:dyDescent="0.25">
      <c r="A6787" s="48" t="s">
        <v>7661</v>
      </c>
      <c r="B6787" t="s">
        <v>7662</v>
      </c>
      <c r="C6787">
        <v>12</v>
      </c>
    </row>
    <row r="6788" spans="1:3" x14ac:dyDescent="0.25">
      <c r="A6788" s="48" t="s">
        <v>7663</v>
      </c>
      <c r="B6788" t="s">
        <v>7664</v>
      </c>
      <c r="C6788">
        <v>0</v>
      </c>
    </row>
    <row r="6789" spans="1:3" x14ac:dyDescent="0.25">
      <c r="A6789" s="48" t="s">
        <v>7659</v>
      </c>
      <c r="B6789" t="s">
        <v>7660</v>
      </c>
      <c r="C6789">
        <v>66</v>
      </c>
    </row>
    <row r="6790" spans="1:3" x14ac:dyDescent="0.25">
      <c r="A6790" s="48" t="s">
        <v>1405</v>
      </c>
      <c r="B6790" t="s">
        <v>1406</v>
      </c>
      <c r="C6790">
        <v>34</v>
      </c>
    </row>
    <row r="6791" spans="1:3" x14ac:dyDescent="0.25">
      <c r="A6791" s="48" t="s">
        <v>713</v>
      </c>
      <c r="B6791" t="s">
        <v>714</v>
      </c>
      <c r="C6791">
        <v>0</v>
      </c>
    </row>
    <row r="6792" spans="1:3" x14ac:dyDescent="0.25">
      <c r="A6792" s="48" t="s">
        <v>12953</v>
      </c>
      <c r="B6792" t="s">
        <v>12954</v>
      </c>
      <c r="C6792">
        <v>0</v>
      </c>
    </row>
    <row r="6793" spans="1:3" x14ac:dyDescent="0.25">
      <c r="A6793" s="48" t="s">
        <v>3337</v>
      </c>
      <c r="B6793" t="s">
        <v>3338</v>
      </c>
      <c r="C6793">
        <v>18</v>
      </c>
    </row>
    <row r="6794" spans="1:3" x14ac:dyDescent="0.25">
      <c r="A6794" s="48" t="s">
        <v>1721</v>
      </c>
      <c r="B6794" t="s">
        <v>1722</v>
      </c>
      <c r="C6794">
        <v>38</v>
      </c>
    </row>
    <row r="6795" spans="1:3" x14ac:dyDescent="0.25">
      <c r="A6795" s="48" t="s">
        <v>6916</v>
      </c>
      <c r="B6795" t="s">
        <v>6917</v>
      </c>
      <c r="C6795">
        <v>18</v>
      </c>
    </row>
    <row r="6796" spans="1:3" x14ac:dyDescent="0.25">
      <c r="A6796" s="48" t="s">
        <v>6918</v>
      </c>
      <c r="B6796" t="s">
        <v>6919</v>
      </c>
      <c r="C6796">
        <v>0</v>
      </c>
    </row>
    <row r="6797" spans="1:3" x14ac:dyDescent="0.25">
      <c r="A6797" s="48" t="s">
        <v>635</v>
      </c>
      <c r="B6797" t="s">
        <v>636</v>
      </c>
      <c r="C6797">
        <v>31</v>
      </c>
    </row>
    <row r="6798" spans="1:3" x14ac:dyDescent="0.25">
      <c r="A6798" s="48" t="s">
        <v>16151</v>
      </c>
      <c r="B6798" t="s">
        <v>16152</v>
      </c>
      <c r="C6798">
        <v>0</v>
      </c>
    </row>
    <row r="6799" spans="1:3" x14ac:dyDescent="0.25">
      <c r="A6799" s="48" t="s">
        <v>16147</v>
      </c>
      <c r="B6799" t="s">
        <v>16148</v>
      </c>
      <c r="C6799">
        <v>0</v>
      </c>
    </row>
    <row r="6800" spans="1:3" x14ac:dyDescent="0.25">
      <c r="A6800" s="48" t="s">
        <v>16149</v>
      </c>
      <c r="B6800" t="s">
        <v>16150</v>
      </c>
      <c r="C6800">
        <v>0</v>
      </c>
    </row>
    <row r="6801" spans="1:3" x14ac:dyDescent="0.25">
      <c r="A6801" s="48" t="s">
        <v>16832</v>
      </c>
      <c r="B6801" t="s">
        <v>16833</v>
      </c>
      <c r="C6801">
        <v>25</v>
      </c>
    </row>
    <row r="6802" spans="1:3" x14ac:dyDescent="0.25">
      <c r="A6802" s="48" t="s">
        <v>19542</v>
      </c>
      <c r="B6802" t="s">
        <v>19543</v>
      </c>
      <c r="C6802">
        <v>0</v>
      </c>
    </row>
    <row r="6803" spans="1:3" x14ac:dyDescent="0.25">
      <c r="A6803" s="48" t="s">
        <v>12642</v>
      </c>
      <c r="B6803" t="s">
        <v>12643</v>
      </c>
      <c r="C6803">
        <v>3</v>
      </c>
    </row>
    <row r="6804" spans="1:3" x14ac:dyDescent="0.25">
      <c r="A6804" s="48" t="s">
        <v>1083</v>
      </c>
      <c r="B6804" t="s">
        <v>1084</v>
      </c>
      <c r="C6804">
        <v>25</v>
      </c>
    </row>
    <row r="6805" spans="1:3" x14ac:dyDescent="0.25">
      <c r="A6805" s="48" t="s">
        <v>12640</v>
      </c>
      <c r="B6805" t="s">
        <v>12641</v>
      </c>
      <c r="C6805">
        <v>25</v>
      </c>
    </row>
    <row r="6806" spans="1:3" x14ac:dyDescent="0.25">
      <c r="A6806" s="48" t="s">
        <v>12646</v>
      </c>
      <c r="B6806" t="s">
        <v>12647</v>
      </c>
      <c r="C6806">
        <v>0</v>
      </c>
    </row>
    <row r="6807" spans="1:3" x14ac:dyDescent="0.25">
      <c r="A6807" s="48" t="s">
        <v>785</v>
      </c>
      <c r="B6807" t="s">
        <v>786</v>
      </c>
      <c r="C6807">
        <v>15</v>
      </c>
    </row>
    <row r="6808" spans="1:3" x14ac:dyDescent="0.25">
      <c r="A6808" s="48" t="s">
        <v>12644</v>
      </c>
      <c r="B6808" t="s">
        <v>12645</v>
      </c>
      <c r="C6808">
        <v>6</v>
      </c>
    </row>
    <row r="6809" spans="1:3" x14ac:dyDescent="0.25">
      <c r="A6809" s="48" t="s">
        <v>661</v>
      </c>
      <c r="B6809" t="s">
        <v>662</v>
      </c>
      <c r="C6809">
        <v>245</v>
      </c>
    </row>
    <row r="6810" spans="1:3" x14ac:dyDescent="0.25">
      <c r="A6810" s="48" t="s">
        <v>1489</v>
      </c>
      <c r="B6810" t="s">
        <v>1490</v>
      </c>
      <c r="C6810">
        <v>52</v>
      </c>
    </row>
    <row r="6811" spans="1:3" x14ac:dyDescent="0.25">
      <c r="A6811" s="48" t="s">
        <v>605</v>
      </c>
      <c r="B6811" t="s">
        <v>606</v>
      </c>
      <c r="C6811">
        <v>674</v>
      </c>
    </row>
    <row r="6812" spans="1:3" x14ac:dyDescent="0.25">
      <c r="A6812" s="48" t="s">
        <v>11944</v>
      </c>
      <c r="B6812" t="s">
        <v>11945</v>
      </c>
      <c r="C6812">
        <v>0</v>
      </c>
    </row>
    <row r="6813" spans="1:3" x14ac:dyDescent="0.25">
      <c r="A6813" s="48" t="s">
        <v>11946</v>
      </c>
      <c r="B6813" t="s">
        <v>11947</v>
      </c>
      <c r="C6813">
        <v>0</v>
      </c>
    </row>
    <row r="6814" spans="1:3" x14ac:dyDescent="0.25">
      <c r="A6814" s="48" t="s">
        <v>1193</v>
      </c>
      <c r="B6814" t="s">
        <v>1194</v>
      </c>
      <c r="C6814">
        <v>1</v>
      </c>
    </row>
    <row r="6815" spans="1:3" x14ac:dyDescent="0.25">
      <c r="A6815" s="48" t="s">
        <v>6612</v>
      </c>
      <c r="B6815" t="s">
        <v>6613</v>
      </c>
      <c r="C6815">
        <v>1</v>
      </c>
    </row>
    <row r="6816" spans="1:3" x14ac:dyDescent="0.25">
      <c r="A6816" s="48" t="s">
        <v>844</v>
      </c>
      <c r="B6816" t="s">
        <v>845</v>
      </c>
      <c r="C6816">
        <v>8</v>
      </c>
    </row>
    <row r="6817" spans="1:3" x14ac:dyDescent="0.25">
      <c r="A6817" s="48" t="s">
        <v>1015</v>
      </c>
      <c r="B6817" t="s">
        <v>1016</v>
      </c>
      <c r="C6817">
        <v>0</v>
      </c>
    </row>
    <row r="6818" spans="1:3" x14ac:dyDescent="0.25">
      <c r="A6818" s="48" t="s">
        <v>1517</v>
      </c>
      <c r="B6818" t="s">
        <v>1518</v>
      </c>
      <c r="C6818">
        <v>36</v>
      </c>
    </row>
    <row r="6819" spans="1:3" x14ac:dyDescent="0.25">
      <c r="A6819" s="48" t="s">
        <v>1681</v>
      </c>
      <c r="B6819" t="s">
        <v>1682</v>
      </c>
      <c r="C6819">
        <v>2</v>
      </c>
    </row>
    <row r="6820" spans="1:3" x14ac:dyDescent="0.25">
      <c r="A6820" s="48" t="s">
        <v>12966</v>
      </c>
      <c r="B6820" t="s">
        <v>12967</v>
      </c>
      <c r="C6820">
        <v>0</v>
      </c>
    </row>
    <row r="6821" spans="1:3" x14ac:dyDescent="0.25">
      <c r="A6821" s="48" t="s">
        <v>555</v>
      </c>
      <c r="B6821" t="s">
        <v>556</v>
      </c>
      <c r="C6821">
        <v>246</v>
      </c>
    </row>
    <row r="6822" spans="1:3" x14ac:dyDescent="0.25">
      <c r="A6822" s="48" t="s">
        <v>12968</v>
      </c>
      <c r="B6822" t="s">
        <v>12969</v>
      </c>
      <c r="C6822">
        <v>4</v>
      </c>
    </row>
    <row r="6823" spans="1:3" x14ac:dyDescent="0.25">
      <c r="A6823" s="48" t="s">
        <v>12962</v>
      </c>
      <c r="B6823" t="s">
        <v>12963</v>
      </c>
      <c r="C6823">
        <v>6</v>
      </c>
    </row>
    <row r="6824" spans="1:3" x14ac:dyDescent="0.25">
      <c r="A6824" s="48" t="s">
        <v>1519</v>
      </c>
      <c r="B6824" t="s">
        <v>1520</v>
      </c>
      <c r="C6824">
        <v>0</v>
      </c>
    </row>
    <row r="6825" spans="1:3" x14ac:dyDescent="0.25">
      <c r="A6825" s="48" t="s">
        <v>1091</v>
      </c>
      <c r="B6825" t="s">
        <v>1092</v>
      </c>
      <c r="C6825">
        <v>0</v>
      </c>
    </row>
    <row r="6826" spans="1:3" x14ac:dyDescent="0.25">
      <c r="A6826" s="48" t="s">
        <v>1751</v>
      </c>
      <c r="B6826" t="s">
        <v>1752</v>
      </c>
      <c r="C6826">
        <v>240</v>
      </c>
    </row>
    <row r="6827" spans="1:3" x14ac:dyDescent="0.25">
      <c r="A6827" s="48" t="s">
        <v>1567</v>
      </c>
      <c r="B6827" t="s">
        <v>1568</v>
      </c>
      <c r="C6827">
        <v>1</v>
      </c>
    </row>
    <row r="6828" spans="1:3" x14ac:dyDescent="0.25">
      <c r="A6828" s="48" t="s">
        <v>12964</v>
      </c>
      <c r="B6828" t="s">
        <v>12965</v>
      </c>
      <c r="C6828">
        <v>0</v>
      </c>
    </row>
    <row r="6829" spans="1:3" x14ac:dyDescent="0.25">
      <c r="A6829" s="48" t="s">
        <v>6610</v>
      </c>
      <c r="B6829" t="s">
        <v>6611</v>
      </c>
      <c r="C6829">
        <v>0</v>
      </c>
    </row>
    <row r="6830" spans="1:3" x14ac:dyDescent="0.25">
      <c r="A6830" s="48" t="s">
        <v>525</v>
      </c>
      <c r="B6830" t="s">
        <v>526</v>
      </c>
      <c r="C6830">
        <v>8</v>
      </c>
    </row>
    <row r="6831" spans="1:3" x14ac:dyDescent="0.25">
      <c r="A6831" s="48" t="s">
        <v>483</v>
      </c>
      <c r="B6831" t="s">
        <v>484</v>
      </c>
      <c r="C6831">
        <v>0</v>
      </c>
    </row>
    <row r="6832" spans="1:3" x14ac:dyDescent="0.25">
      <c r="A6832" s="48" t="s">
        <v>13714</v>
      </c>
      <c r="B6832" t="s">
        <v>13715</v>
      </c>
      <c r="C6832">
        <v>1</v>
      </c>
    </row>
    <row r="6833" spans="1:3" x14ac:dyDescent="0.25">
      <c r="A6833" s="48" t="s">
        <v>13693</v>
      </c>
      <c r="B6833" t="s">
        <v>13694</v>
      </c>
      <c r="C6833">
        <v>0</v>
      </c>
    </row>
    <row r="6834" spans="1:3" x14ac:dyDescent="0.25">
      <c r="A6834" s="48" t="s">
        <v>5053</v>
      </c>
      <c r="B6834" t="s">
        <v>5054</v>
      </c>
      <c r="C6834">
        <v>0</v>
      </c>
    </row>
    <row r="6835" spans="1:3" x14ac:dyDescent="0.25">
      <c r="A6835" s="48" t="s">
        <v>22924</v>
      </c>
      <c r="B6835" t="s">
        <v>22925</v>
      </c>
      <c r="C6835">
        <v>0</v>
      </c>
    </row>
    <row r="6836" spans="1:3" x14ac:dyDescent="0.25">
      <c r="A6836" s="48" t="s">
        <v>8810</v>
      </c>
      <c r="B6836" t="s">
        <v>22037</v>
      </c>
      <c r="C6836">
        <v>2</v>
      </c>
    </row>
    <row r="6837" spans="1:3" x14ac:dyDescent="0.25">
      <c r="A6837" s="48" t="s">
        <v>8804</v>
      </c>
      <c r="B6837" t="s">
        <v>8805</v>
      </c>
      <c r="C6837">
        <v>34</v>
      </c>
    </row>
    <row r="6838" spans="1:3" x14ac:dyDescent="0.25">
      <c r="A6838" s="48" t="s">
        <v>4722</v>
      </c>
      <c r="B6838" t="s">
        <v>4723</v>
      </c>
      <c r="C6838">
        <v>0</v>
      </c>
    </row>
    <row r="6839" spans="1:3" x14ac:dyDescent="0.25">
      <c r="A6839" s="48" t="s">
        <v>8814</v>
      </c>
      <c r="B6839" t="s">
        <v>8815</v>
      </c>
      <c r="C6839">
        <v>1</v>
      </c>
    </row>
    <row r="6840" spans="1:3" x14ac:dyDescent="0.25">
      <c r="A6840" s="48" t="s">
        <v>8816</v>
      </c>
      <c r="B6840" t="s">
        <v>8817</v>
      </c>
      <c r="C6840">
        <v>0</v>
      </c>
    </row>
    <row r="6841" spans="1:3" x14ac:dyDescent="0.25">
      <c r="A6841" s="48" t="s">
        <v>297</v>
      </c>
      <c r="B6841" t="s">
        <v>298</v>
      </c>
      <c r="C6841">
        <v>278</v>
      </c>
    </row>
    <row r="6842" spans="1:3" x14ac:dyDescent="0.25">
      <c r="A6842" s="48" t="s">
        <v>1761</v>
      </c>
      <c r="B6842" t="s">
        <v>1762</v>
      </c>
      <c r="C6842">
        <v>305</v>
      </c>
    </row>
    <row r="6843" spans="1:3" x14ac:dyDescent="0.25">
      <c r="A6843" s="48" t="s">
        <v>1884</v>
      </c>
      <c r="B6843" t="s">
        <v>1885</v>
      </c>
      <c r="C6843">
        <v>220</v>
      </c>
    </row>
    <row r="6844" spans="1:3" x14ac:dyDescent="0.25">
      <c r="A6844" s="48" t="s">
        <v>805</v>
      </c>
      <c r="B6844" t="s">
        <v>806</v>
      </c>
      <c r="C6844">
        <v>70</v>
      </c>
    </row>
    <row r="6845" spans="1:3" x14ac:dyDescent="0.25">
      <c r="A6845" s="48" t="s">
        <v>1227</v>
      </c>
      <c r="B6845" t="s">
        <v>1228</v>
      </c>
      <c r="C6845">
        <v>186</v>
      </c>
    </row>
    <row r="6846" spans="1:3" x14ac:dyDescent="0.25">
      <c r="A6846" s="48" t="s">
        <v>1499</v>
      </c>
      <c r="B6846" t="s">
        <v>1500</v>
      </c>
      <c r="C6846">
        <v>64</v>
      </c>
    </row>
    <row r="6847" spans="1:3" x14ac:dyDescent="0.25">
      <c r="A6847" s="48" t="s">
        <v>9365</v>
      </c>
      <c r="B6847" t="s">
        <v>22038</v>
      </c>
      <c r="C6847">
        <v>9</v>
      </c>
    </row>
    <row r="6848" spans="1:3" x14ac:dyDescent="0.25">
      <c r="A6848" s="48" t="s">
        <v>1339</v>
      </c>
      <c r="B6848" t="s">
        <v>1340</v>
      </c>
      <c r="C6848">
        <v>114</v>
      </c>
    </row>
    <row r="6849" spans="1:3" x14ac:dyDescent="0.25">
      <c r="A6849" s="48" t="s">
        <v>991</v>
      </c>
      <c r="B6849" t="s">
        <v>992</v>
      </c>
      <c r="C6849">
        <v>65</v>
      </c>
    </row>
    <row r="6850" spans="1:3" x14ac:dyDescent="0.25">
      <c r="A6850" s="48" t="s">
        <v>927</v>
      </c>
      <c r="B6850" t="s">
        <v>928</v>
      </c>
      <c r="C6850">
        <v>54</v>
      </c>
    </row>
    <row r="6851" spans="1:3" x14ac:dyDescent="0.25">
      <c r="A6851" s="48" t="s">
        <v>9363</v>
      </c>
      <c r="B6851" t="s">
        <v>22039</v>
      </c>
      <c r="C6851">
        <v>18</v>
      </c>
    </row>
    <row r="6852" spans="1:3" x14ac:dyDescent="0.25">
      <c r="A6852" s="48" t="s">
        <v>755</v>
      </c>
      <c r="B6852" t="s">
        <v>756</v>
      </c>
      <c r="C6852">
        <v>2</v>
      </c>
    </row>
    <row r="6853" spans="1:3" x14ac:dyDescent="0.25">
      <c r="A6853" s="48" t="s">
        <v>13685</v>
      </c>
      <c r="B6853" t="s">
        <v>13686</v>
      </c>
      <c r="C6853">
        <v>0</v>
      </c>
    </row>
    <row r="6854" spans="1:3" x14ac:dyDescent="0.25">
      <c r="A6854" s="48" t="s">
        <v>17786</v>
      </c>
      <c r="B6854" t="s">
        <v>22040</v>
      </c>
      <c r="C6854">
        <v>12</v>
      </c>
    </row>
    <row r="6855" spans="1:3" x14ac:dyDescent="0.25">
      <c r="A6855" s="48" t="s">
        <v>16011</v>
      </c>
      <c r="B6855" t="s">
        <v>16012</v>
      </c>
      <c r="C6855">
        <v>0</v>
      </c>
    </row>
    <row r="6856" spans="1:3" x14ac:dyDescent="0.25">
      <c r="A6856" s="48" t="s">
        <v>16009</v>
      </c>
      <c r="B6856" t="s">
        <v>16010</v>
      </c>
      <c r="C6856">
        <v>0</v>
      </c>
    </row>
    <row r="6857" spans="1:3" x14ac:dyDescent="0.25">
      <c r="A6857" s="48" t="s">
        <v>1513</v>
      </c>
      <c r="B6857" t="s">
        <v>1514</v>
      </c>
      <c r="C6857">
        <v>71</v>
      </c>
    </row>
    <row r="6858" spans="1:3" x14ac:dyDescent="0.25">
      <c r="A6858" s="48" t="s">
        <v>16007</v>
      </c>
      <c r="B6858" t="s">
        <v>16008</v>
      </c>
      <c r="C6858">
        <v>16</v>
      </c>
    </row>
    <row r="6859" spans="1:3" x14ac:dyDescent="0.25">
      <c r="A6859" s="48" t="s">
        <v>16013</v>
      </c>
      <c r="B6859" t="s">
        <v>16014</v>
      </c>
      <c r="C6859">
        <v>27</v>
      </c>
    </row>
    <row r="6860" spans="1:3" x14ac:dyDescent="0.25">
      <c r="A6860" s="48" t="s">
        <v>16005</v>
      </c>
      <c r="B6860" t="s">
        <v>16006</v>
      </c>
      <c r="C6860">
        <v>20</v>
      </c>
    </row>
    <row r="6861" spans="1:3" x14ac:dyDescent="0.25">
      <c r="A6861" s="48" t="s">
        <v>8724</v>
      </c>
      <c r="B6861" t="s">
        <v>22041</v>
      </c>
      <c r="C6861">
        <v>1</v>
      </c>
    </row>
    <row r="6862" spans="1:3" x14ac:dyDescent="0.25">
      <c r="A6862" s="48" t="s">
        <v>8720</v>
      </c>
      <c r="B6862" t="s">
        <v>8721</v>
      </c>
      <c r="C6862">
        <v>0</v>
      </c>
    </row>
    <row r="6863" spans="1:3" x14ac:dyDescent="0.25">
      <c r="A6863" s="48" t="s">
        <v>13683</v>
      </c>
      <c r="B6863" t="s">
        <v>13684</v>
      </c>
      <c r="C6863">
        <v>0</v>
      </c>
    </row>
    <row r="6864" spans="1:3" x14ac:dyDescent="0.25">
      <c r="A6864" s="48" t="s">
        <v>13691</v>
      </c>
      <c r="B6864" t="s">
        <v>13692</v>
      </c>
      <c r="C6864">
        <v>0</v>
      </c>
    </row>
    <row r="6865" spans="1:3" x14ac:dyDescent="0.25">
      <c r="A6865" s="48" t="s">
        <v>13689</v>
      </c>
      <c r="B6865" t="s">
        <v>13690</v>
      </c>
      <c r="C6865">
        <v>0</v>
      </c>
    </row>
    <row r="6866" spans="1:3" x14ac:dyDescent="0.25">
      <c r="A6866" s="48" t="s">
        <v>13687</v>
      </c>
      <c r="B6866" t="s">
        <v>13688</v>
      </c>
      <c r="C6866">
        <v>1</v>
      </c>
    </row>
    <row r="6867" spans="1:3" x14ac:dyDescent="0.25">
      <c r="A6867" s="48" t="s">
        <v>13681</v>
      </c>
      <c r="B6867" t="s">
        <v>22042</v>
      </c>
      <c r="C6867">
        <v>0</v>
      </c>
    </row>
    <row r="6868" spans="1:3" x14ac:dyDescent="0.25">
      <c r="A6868" s="48" t="s">
        <v>8726</v>
      </c>
      <c r="B6868" t="s">
        <v>22043</v>
      </c>
      <c r="C6868">
        <v>0</v>
      </c>
    </row>
    <row r="6869" spans="1:3" x14ac:dyDescent="0.25">
      <c r="A6869" s="48" t="s">
        <v>8728</v>
      </c>
      <c r="B6869" t="s">
        <v>22044</v>
      </c>
      <c r="C6869">
        <v>0</v>
      </c>
    </row>
    <row r="6870" spans="1:3" x14ac:dyDescent="0.25">
      <c r="A6870" s="48" t="s">
        <v>16478</v>
      </c>
      <c r="B6870" t="s">
        <v>22045</v>
      </c>
      <c r="C6870">
        <v>37</v>
      </c>
    </row>
    <row r="6871" spans="1:3" x14ac:dyDescent="0.25">
      <c r="A6871" s="48" t="s">
        <v>16476</v>
      </c>
      <c r="B6871" t="s">
        <v>22046</v>
      </c>
      <c r="C6871">
        <v>0</v>
      </c>
    </row>
    <row r="6872" spans="1:3" x14ac:dyDescent="0.25">
      <c r="A6872" s="48" t="s">
        <v>1177</v>
      </c>
      <c r="B6872" t="s">
        <v>1178</v>
      </c>
      <c r="C6872">
        <v>12</v>
      </c>
    </row>
    <row r="6873" spans="1:3" x14ac:dyDescent="0.25">
      <c r="A6873" s="48" t="s">
        <v>16452</v>
      </c>
      <c r="B6873" t="s">
        <v>16453</v>
      </c>
      <c r="C6873">
        <v>0</v>
      </c>
    </row>
    <row r="6874" spans="1:3" x14ac:dyDescent="0.25">
      <c r="A6874" s="48" t="s">
        <v>16444</v>
      </c>
      <c r="B6874" t="s">
        <v>16445</v>
      </c>
      <c r="C6874">
        <v>1</v>
      </c>
    </row>
    <row r="6875" spans="1:3" x14ac:dyDescent="0.25">
      <c r="A6875" s="48" t="s">
        <v>495</v>
      </c>
      <c r="B6875" t="s">
        <v>496</v>
      </c>
      <c r="C6875">
        <v>5</v>
      </c>
    </row>
    <row r="6876" spans="1:3" x14ac:dyDescent="0.25">
      <c r="A6876" s="48" t="s">
        <v>16446</v>
      </c>
      <c r="B6876" t="s">
        <v>16447</v>
      </c>
      <c r="C6876">
        <v>2</v>
      </c>
    </row>
    <row r="6877" spans="1:3" x14ac:dyDescent="0.25">
      <c r="A6877" s="48" t="s">
        <v>16448</v>
      </c>
      <c r="B6877" t="s">
        <v>22047</v>
      </c>
      <c r="C6877">
        <v>0</v>
      </c>
    </row>
    <row r="6878" spans="1:3" x14ac:dyDescent="0.25">
      <c r="A6878" s="48" t="s">
        <v>16442</v>
      </c>
      <c r="B6878" t="s">
        <v>22048</v>
      </c>
      <c r="C6878">
        <v>0</v>
      </c>
    </row>
    <row r="6879" spans="1:3" x14ac:dyDescent="0.25">
      <c r="A6879" s="48" t="s">
        <v>16458</v>
      </c>
      <c r="B6879" t="s">
        <v>22049</v>
      </c>
      <c r="C6879">
        <v>1</v>
      </c>
    </row>
    <row r="6880" spans="1:3" x14ac:dyDescent="0.25">
      <c r="A6880" s="48" t="s">
        <v>16456</v>
      </c>
      <c r="B6880" t="s">
        <v>16457</v>
      </c>
      <c r="C6880">
        <v>0</v>
      </c>
    </row>
    <row r="6881" spans="1:3" x14ac:dyDescent="0.25">
      <c r="A6881" s="48" t="s">
        <v>16438</v>
      </c>
      <c r="B6881" t="s">
        <v>16439</v>
      </c>
      <c r="C6881">
        <v>0</v>
      </c>
    </row>
    <row r="6882" spans="1:3" x14ac:dyDescent="0.25">
      <c r="A6882" s="48" t="s">
        <v>16462</v>
      </c>
      <c r="B6882" t="s">
        <v>16463</v>
      </c>
      <c r="C6882">
        <v>4</v>
      </c>
    </row>
    <row r="6883" spans="1:3" x14ac:dyDescent="0.25">
      <c r="A6883" s="48" t="s">
        <v>16428</v>
      </c>
      <c r="B6883" t="s">
        <v>16429</v>
      </c>
      <c r="C6883">
        <v>19</v>
      </c>
    </row>
    <row r="6884" spans="1:3" x14ac:dyDescent="0.25">
      <c r="A6884" s="48" t="s">
        <v>16454</v>
      </c>
      <c r="B6884" t="s">
        <v>16455</v>
      </c>
      <c r="C6884">
        <v>22</v>
      </c>
    </row>
    <row r="6885" spans="1:3" x14ac:dyDescent="0.25">
      <c r="A6885" s="48" t="s">
        <v>16426</v>
      </c>
      <c r="B6885" t="s">
        <v>16427</v>
      </c>
      <c r="C6885">
        <v>11</v>
      </c>
    </row>
    <row r="6886" spans="1:3" x14ac:dyDescent="0.25">
      <c r="A6886" s="48" t="s">
        <v>16464</v>
      </c>
      <c r="B6886" t="s">
        <v>16465</v>
      </c>
      <c r="C6886">
        <v>37</v>
      </c>
    </row>
    <row r="6887" spans="1:3" x14ac:dyDescent="0.25">
      <c r="A6887" s="48" t="s">
        <v>16434</v>
      </c>
      <c r="B6887" t="s">
        <v>16435</v>
      </c>
      <c r="C6887">
        <v>15</v>
      </c>
    </row>
    <row r="6888" spans="1:3" x14ac:dyDescent="0.25">
      <c r="A6888" s="48" t="s">
        <v>16436</v>
      </c>
      <c r="B6888" t="s">
        <v>16437</v>
      </c>
      <c r="C6888">
        <v>0</v>
      </c>
    </row>
    <row r="6889" spans="1:3" x14ac:dyDescent="0.25">
      <c r="A6889" s="48" t="s">
        <v>16430</v>
      </c>
      <c r="B6889" t="s">
        <v>16431</v>
      </c>
      <c r="C6889">
        <v>6</v>
      </c>
    </row>
    <row r="6890" spans="1:3" x14ac:dyDescent="0.25">
      <c r="A6890" s="48" t="s">
        <v>16440</v>
      </c>
      <c r="B6890" t="s">
        <v>16441</v>
      </c>
      <c r="C6890">
        <v>0</v>
      </c>
    </row>
    <row r="6891" spans="1:3" x14ac:dyDescent="0.25">
      <c r="A6891" s="48" t="s">
        <v>16468</v>
      </c>
      <c r="B6891" t="s">
        <v>22050</v>
      </c>
      <c r="C6891">
        <v>1</v>
      </c>
    </row>
    <row r="6892" spans="1:3" x14ac:dyDescent="0.25">
      <c r="A6892" s="48" t="s">
        <v>16472</v>
      </c>
      <c r="B6892" t="s">
        <v>16473</v>
      </c>
      <c r="C6892">
        <v>23</v>
      </c>
    </row>
    <row r="6893" spans="1:3" x14ac:dyDescent="0.25">
      <c r="A6893" s="48" t="s">
        <v>16460</v>
      </c>
      <c r="B6893" t="s">
        <v>22051</v>
      </c>
      <c r="C6893">
        <v>0</v>
      </c>
    </row>
    <row r="6894" spans="1:3" x14ac:dyDescent="0.25">
      <c r="A6894" s="48" t="s">
        <v>16432</v>
      </c>
      <c r="B6894" t="s">
        <v>16433</v>
      </c>
      <c r="C6894">
        <v>16</v>
      </c>
    </row>
    <row r="6895" spans="1:3" x14ac:dyDescent="0.25">
      <c r="A6895" s="48" t="s">
        <v>16470</v>
      </c>
      <c r="B6895" t="s">
        <v>16471</v>
      </c>
      <c r="C6895">
        <v>31</v>
      </c>
    </row>
    <row r="6896" spans="1:3" x14ac:dyDescent="0.25">
      <c r="A6896" s="48" t="s">
        <v>16474</v>
      </c>
      <c r="B6896" t="s">
        <v>16475</v>
      </c>
      <c r="C6896">
        <v>9</v>
      </c>
    </row>
    <row r="6897" spans="1:3" x14ac:dyDescent="0.25">
      <c r="A6897" s="48" t="s">
        <v>16466</v>
      </c>
      <c r="B6897" t="s">
        <v>16467</v>
      </c>
      <c r="C6897">
        <v>11</v>
      </c>
    </row>
    <row r="6898" spans="1:3" x14ac:dyDescent="0.25">
      <c r="A6898" s="48" t="s">
        <v>1077</v>
      </c>
      <c r="B6898" t="s">
        <v>1078</v>
      </c>
      <c r="C6898">
        <v>2</v>
      </c>
    </row>
    <row r="6899" spans="1:3" x14ac:dyDescent="0.25">
      <c r="A6899" s="48" t="s">
        <v>7539</v>
      </c>
      <c r="B6899" t="s">
        <v>22052</v>
      </c>
      <c r="C6899">
        <v>20</v>
      </c>
    </row>
    <row r="6900" spans="1:3" x14ac:dyDescent="0.25">
      <c r="A6900" s="48" t="s">
        <v>7524</v>
      </c>
      <c r="B6900" t="s">
        <v>22053</v>
      </c>
      <c r="C6900">
        <v>0</v>
      </c>
    </row>
    <row r="6901" spans="1:3" x14ac:dyDescent="0.25">
      <c r="A6901" s="48" t="s">
        <v>7569</v>
      </c>
      <c r="B6901" t="s">
        <v>22054</v>
      </c>
      <c r="C6901">
        <v>3</v>
      </c>
    </row>
    <row r="6902" spans="1:3" x14ac:dyDescent="0.25">
      <c r="A6902" s="48" t="s">
        <v>97</v>
      </c>
      <c r="B6902" t="s">
        <v>98</v>
      </c>
      <c r="C6902">
        <v>2</v>
      </c>
    </row>
    <row r="6903" spans="1:3" x14ac:dyDescent="0.25">
      <c r="A6903" s="48" t="s">
        <v>14052</v>
      </c>
      <c r="B6903" t="s">
        <v>14053</v>
      </c>
      <c r="C6903">
        <v>12</v>
      </c>
    </row>
    <row r="6904" spans="1:3" x14ac:dyDescent="0.25">
      <c r="A6904" s="48" t="s">
        <v>7561</v>
      </c>
      <c r="B6904" t="s">
        <v>7562</v>
      </c>
      <c r="C6904">
        <v>34</v>
      </c>
    </row>
    <row r="6905" spans="1:3" x14ac:dyDescent="0.25">
      <c r="A6905" s="48" t="s">
        <v>1295</v>
      </c>
      <c r="B6905" t="s">
        <v>1296</v>
      </c>
      <c r="C6905">
        <v>44</v>
      </c>
    </row>
    <row r="6906" spans="1:3" x14ac:dyDescent="0.25">
      <c r="A6906" s="48" t="s">
        <v>7547</v>
      </c>
      <c r="B6906" t="s">
        <v>7548</v>
      </c>
      <c r="C6906">
        <v>0</v>
      </c>
    </row>
    <row r="6907" spans="1:3" x14ac:dyDescent="0.25">
      <c r="A6907" s="48" t="s">
        <v>7553</v>
      </c>
      <c r="B6907" t="s">
        <v>7554</v>
      </c>
      <c r="C6907">
        <v>34</v>
      </c>
    </row>
    <row r="6908" spans="1:3" x14ac:dyDescent="0.25">
      <c r="A6908" s="48" t="s">
        <v>7531</v>
      </c>
      <c r="B6908" t="s">
        <v>22055</v>
      </c>
      <c r="C6908">
        <v>15</v>
      </c>
    </row>
    <row r="6909" spans="1:3" x14ac:dyDescent="0.25">
      <c r="A6909" s="48" t="s">
        <v>7540</v>
      </c>
      <c r="B6909" t="s">
        <v>7541</v>
      </c>
      <c r="C6909">
        <v>25</v>
      </c>
    </row>
    <row r="6910" spans="1:3" x14ac:dyDescent="0.25">
      <c r="A6910" s="48" t="s">
        <v>1793</v>
      </c>
      <c r="B6910" t="s">
        <v>1794</v>
      </c>
      <c r="C6910">
        <v>20</v>
      </c>
    </row>
    <row r="6911" spans="1:3" x14ac:dyDescent="0.25">
      <c r="A6911" s="48" t="s">
        <v>7526</v>
      </c>
      <c r="B6911" t="s">
        <v>7527</v>
      </c>
      <c r="C6911">
        <v>0</v>
      </c>
    </row>
    <row r="6912" spans="1:3" x14ac:dyDescent="0.25">
      <c r="A6912" s="48" t="s">
        <v>567</v>
      </c>
      <c r="B6912" t="s">
        <v>568</v>
      </c>
      <c r="C6912">
        <v>42</v>
      </c>
    </row>
    <row r="6913" spans="1:3" x14ac:dyDescent="0.25">
      <c r="A6913" s="48" t="s">
        <v>603</v>
      </c>
      <c r="B6913" t="s">
        <v>604</v>
      </c>
      <c r="C6913">
        <v>42</v>
      </c>
    </row>
    <row r="6914" spans="1:3" x14ac:dyDescent="0.25">
      <c r="A6914" s="48" t="s">
        <v>7555</v>
      </c>
      <c r="B6914" t="s">
        <v>22056</v>
      </c>
      <c r="C6914">
        <v>46</v>
      </c>
    </row>
    <row r="6915" spans="1:3" x14ac:dyDescent="0.25">
      <c r="A6915" s="48" t="s">
        <v>7533</v>
      </c>
      <c r="B6915" t="s">
        <v>22057</v>
      </c>
      <c r="C6915">
        <v>7</v>
      </c>
    </row>
    <row r="6916" spans="1:3" x14ac:dyDescent="0.25">
      <c r="A6916" s="48" t="s">
        <v>7543</v>
      </c>
      <c r="B6916" t="s">
        <v>7544</v>
      </c>
      <c r="C6916">
        <v>30</v>
      </c>
    </row>
    <row r="6917" spans="1:3" x14ac:dyDescent="0.25">
      <c r="A6917" s="48" t="s">
        <v>7567</v>
      </c>
      <c r="B6917" t="s">
        <v>7568</v>
      </c>
      <c r="C6917">
        <v>16</v>
      </c>
    </row>
    <row r="6918" spans="1:3" x14ac:dyDescent="0.25">
      <c r="A6918" s="48" t="s">
        <v>7535</v>
      </c>
      <c r="B6918" t="s">
        <v>7536</v>
      </c>
      <c r="C6918">
        <v>15</v>
      </c>
    </row>
    <row r="6919" spans="1:3" x14ac:dyDescent="0.25">
      <c r="A6919" s="48" t="s">
        <v>7559</v>
      </c>
      <c r="B6919" t="s">
        <v>7560</v>
      </c>
      <c r="C6919">
        <v>0</v>
      </c>
    </row>
    <row r="6920" spans="1:3" x14ac:dyDescent="0.25">
      <c r="A6920" s="48" t="s">
        <v>1041</v>
      </c>
      <c r="B6920" t="s">
        <v>1042</v>
      </c>
      <c r="C6920">
        <v>0</v>
      </c>
    </row>
    <row r="6921" spans="1:3" x14ac:dyDescent="0.25">
      <c r="A6921" s="48" t="s">
        <v>7492</v>
      </c>
      <c r="B6921" t="s">
        <v>7493</v>
      </c>
      <c r="C6921">
        <v>0</v>
      </c>
    </row>
    <row r="6922" spans="1:3" x14ac:dyDescent="0.25">
      <c r="A6922" s="48" t="s">
        <v>7545</v>
      </c>
      <c r="B6922" t="s">
        <v>7546</v>
      </c>
      <c r="C6922">
        <v>0</v>
      </c>
    </row>
    <row r="6923" spans="1:3" x14ac:dyDescent="0.25">
      <c r="A6923" s="48" t="s">
        <v>7557</v>
      </c>
      <c r="B6923" t="s">
        <v>7558</v>
      </c>
      <c r="C6923">
        <v>0</v>
      </c>
    </row>
    <row r="6924" spans="1:3" x14ac:dyDescent="0.25">
      <c r="A6924" s="48" t="s">
        <v>7537</v>
      </c>
      <c r="B6924" t="s">
        <v>7538</v>
      </c>
      <c r="C6924">
        <v>0</v>
      </c>
    </row>
    <row r="6925" spans="1:3" x14ac:dyDescent="0.25">
      <c r="A6925" s="48" t="s">
        <v>7551</v>
      </c>
      <c r="B6925" t="s">
        <v>7552</v>
      </c>
      <c r="C6925">
        <v>0</v>
      </c>
    </row>
    <row r="6926" spans="1:3" x14ac:dyDescent="0.25">
      <c r="A6926" s="48" t="s">
        <v>7529</v>
      </c>
      <c r="B6926" t="s">
        <v>7530</v>
      </c>
      <c r="C6926">
        <v>0</v>
      </c>
    </row>
    <row r="6927" spans="1:3" x14ac:dyDescent="0.25">
      <c r="A6927" s="48" t="s">
        <v>7565</v>
      </c>
      <c r="B6927" t="s">
        <v>7566</v>
      </c>
      <c r="C6927">
        <v>0</v>
      </c>
    </row>
    <row r="6928" spans="1:3" x14ac:dyDescent="0.25">
      <c r="A6928" s="48" t="s">
        <v>13724</v>
      </c>
      <c r="B6928" t="s">
        <v>13725</v>
      </c>
      <c r="C6928">
        <v>0</v>
      </c>
    </row>
    <row r="6929" spans="1:3" x14ac:dyDescent="0.25">
      <c r="A6929" s="48" t="s">
        <v>13726</v>
      </c>
      <c r="B6929" t="s">
        <v>13727</v>
      </c>
      <c r="C6929">
        <v>11</v>
      </c>
    </row>
    <row r="6930" spans="1:3" x14ac:dyDescent="0.25">
      <c r="A6930" s="48" t="s">
        <v>7506</v>
      </c>
      <c r="B6930" t="s">
        <v>22058</v>
      </c>
      <c r="C6930">
        <v>0</v>
      </c>
    </row>
    <row r="6931" spans="1:3" x14ac:dyDescent="0.25">
      <c r="A6931" s="48" t="s">
        <v>7508</v>
      </c>
      <c r="B6931" t="s">
        <v>22059</v>
      </c>
      <c r="C6931">
        <v>6</v>
      </c>
    </row>
    <row r="6932" spans="1:3" x14ac:dyDescent="0.25">
      <c r="A6932" s="48" t="s">
        <v>11128</v>
      </c>
      <c r="B6932" t="s">
        <v>11129</v>
      </c>
      <c r="C6932">
        <v>24</v>
      </c>
    </row>
    <row r="6933" spans="1:3" x14ac:dyDescent="0.25">
      <c r="A6933" s="48" t="s">
        <v>15607</v>
      </c>
      <c r="B6933" t="s">
        <v>22060</v>
      </c>
      <c r="C6933">
        <v>151</v>
      </c>
    </row>
    <row r="6934" spans="1:3" x14ac:dyDescent="0.25">
      <c r="A6934" s="48" t="s">
        <v>10281</v>
      </c>
      <c r="B6934" t="s">
        <v>22061</v>
      </c>
      <c r="C6934">
        <v>9</v>
      </c>
    </row>
    <row r="6935" spans="1:3" x14ac:dyDescent="0.25">
      <c r="A6935" s="48" t="s">
        <v>13728</v>
      </c>
      <c r="B6935" t="s">
        <v>13729</v>
      </c>
      <c r="C6935">
        <v>35</v>
      </c>
    </row>
    <row r="6936" spans="1:3" x14ac:dyDescent="0.25">
      <c r="A6936" s="48" t="s">
        <v>7504</v>
      </c>
      <c r="B6936" t="s">
        <v>22062</v>
      </c>
      <c r="C6936">
        <v>0</v>
      </c>
    </row>
    <row r="6937" spans="1:3" x14ac:dyDescent="0.25">
      <c r="A6937" s="48" t="s">
        <v>18630</v>
      </c>
      <c r="B6937" t="s">
        <v>18631</v>
      </c>
      <c r="C6937">
        <v>2</v>
      </c>
    </row>
    <row r="6938" spans="1:3" x14ac:dyDescent="0.25">
      <c r="A6938" s="48" t="s">
        <v>18632</v>
      </c>
      <c r="B6938" t="s">
        <v>18633</v>
      </c>
      <c r="C6938">
        <v>0</v>
      </c>
    </row>
    <row r="6939" spans="1:3" x14ac:dyDescent="0.25">
      <c r="A6939" s="48" t="s">
        <v>14033</v>
      </c>
      <c r="B6939" t="s">
        <v>14034</v>
      </c>
      <c r="C6939">
        <v>4</v>
      </c>
    </row>
    <row r="6940" spans="1:3" x14ac:dyDescent="0.25">
      <c r="A6940" s="48" t="s">
        <v>16097</v>
      </c>
      <c r="B6940" t="s">
        <v>16098</v>
      </c>
      <c r="C6940">
        <v>0</v>
      </c>
    </row>
    <row r="6941" spans="1:3" x14ac:dyDescent="0.25">
      <c r="A6941" s="48" t="s">
        <v>1233</v>
      </c>
      <c r="B6941" t="s">
        <v>1234</v>
      </c>
      <c r="C6941">
        <v>39</v>
      </c>
    </row>
    <row r="6942" spans="1:3" x14ac:dyDescent="0.25">
      <c r="A6942" s="48" t="s">
        <v>14003</v>
      </c>
      <c r="B6942" t="s">
        <v>22063</v>
      </c>
      <c r="C6942">
        <v>16</v>
      </c>
    </row>
    <row r="6943" spans="1:3" x14ac:dyDescent="0.25">
      <c r="A6943" s="48" t="s">
        <v>14060</v>
      </c>
      <c r="B6943" t="s">
        <v>14061</v>
      </c>
      <c r="C6943">
        <v>12</v>
      </c>
    </row>
    <row r="6944" spans="1:3" x14ac:dyDescent="0.25">
      <c r="A6944" s="48" t="s">
        <v>2660</v>
      </c>
      <c r="B6944" t="s">
        <v>2661</v>
      </c>
      <c r="C6944">
        <v>109</v>
      </c>
    </row>
    <row r="6945" spans="1:3" x14ac:dyDescent="0.25">
      <c r="A6945" s="48" t="s">
        <v>2654</v>
      </c>
      <c r="B6945" t="s">
        <v>2655</v>
      </c>
      <c r="C6945">
        <v>27</v>
      </c>
    </row>
    <row r="6946" spans="1:3" x14ac:dyDescent="0.25">
      <c r="A6946" s="48" t="s">
        <v>2658</v>
      </c>
      <c r="B6946" t="s">
        <v>2659</v>
      </c>
      <c r="C6946">
        <v>0</v>
      </c>
    </row>
    <row r="6947" spans="1:3" x14ac:dyDescent="0.25">
      <c r="A6947" s="48" t="s">
        <v>2664</v>
      </c>
      <c r="B6947" t="s">
        <v>2665</v>
      </c>
      <c r="C6947">
        <v>0</v>
      </c>
    </row>
    <row r="6948" spans="1:3" x14ac:dyDescent="0.25">
      <c r="A6948" s="48" t="s">
        <v>1245</v>
      </c>
      <c r="B6948" t="s">
        <v>1246</v>
      </c>
      <c r="C6948">
        <v>0</v>
      </c>
    </row>
    <row r="6949" spans="1:3" x14ac:dyDescent="0.25">
      <c r="A6949" s="48" t="s">
        <v>2656</v>
      </c>
      <c r="B6949" t="s">
        <v>2657</v>
      </c>
      <c r="C6949">
        <v>145</v>
      </c>
    </row>
    <row r="6950" spans="1:3" x14ac:dyDescent="0.25">
      <c r="A6950" s="48" t="s">
        <v>2662</v>
      </c>
      <c r="B6950" t="s">
        <v>2663</v>
      </c>
      <c r="C6950">
        <v>13</v>
      </c>
    </row>
    <row r="6951" spans="1:3" x14ac:dyDescent="0.25">
      <c r="A6951" s="48" t="s">
        <v>627</v>
      </c>
      <c r="B6951" t="s">
        <v>628</v>
      </c>
      <c r="C6951">
        <v>12</v>
      </c>
    </row>
    <row r="6952" spans="1:3" x14ac:dyDescent="0.25">
      <c r="A6952" s="48" t="s">
        <v>12256</v>
      </c>
      <c r="B6952" t="s">
        <v>12257</v>
      </c>
      <c r="C6952">
        <v>3</v>
      </c>
    </row>
    <row r="6953" spans="1:3" x14ac:dyDescent="0.25">
      <c r="A6953" s="48" t="s">
        <v>12252</v>
      </c>
      <c r="B6953" t="s">
        <v>12253</v>
      </c>
      <c r="C6953">
        <v>20</v>
      </c>
    </row>
    <row r="6954" spans="1:3" x14ac:dyDescent="0.25">
      <c r="A6954" s="48" t="s">
        <v>12266</v>
      </c>
      <c r="B6954" t="s">
        <v>12267</v>
      </c>
      <c r="C6954">
        <v>8</v>
      </c>
    </row>
    <row r="6955" spans="1:3" x14ac:dyDescent="0.25">
      <c r="A6955" s="48" t="s">
        <v>12250</v>
      </c>
      <c r="B6955" t="s">
        <v>22064</v>
      </c>
      <c r="C6955">
        <v>13</v>
      </c>
    </row>
    <row r="6956" spans="1:3" x14ac:dyDescent="0.25">
      <c r="A6956" s="48" t="s">
        <v>12262</v>
      </c>
      <c r="B6956" t="s">
        <v>22065</v>
      </c>
      <c r="C6956">
        <v>1</v>
      </c>
    </row>
    <row r="6957" spans="1:3" x14ac:dyDescent="0.25">
      <c r="A6957" s="48" t="s">
        <v>1872</v>
      </c>
      <c r="B6957" t="s">
        <v>1873</v>
      </c>
      <c r="C6957">
        <v>12</v>
      </c>
    </row>
    <row r="6958" spans="1:3" x14ac:dyDescent="0.25">
      <c r="A6958" s="48" t="s">
        <v>12264</v>
      </c>
      <c r="B6958" t="s">
        <v>12265</v>
      </c>
      <c r="C6958">
        <v>8</v>
      </c>
    </row>
    <row r="6959" spans="1:3" x14ac:dyDescent="0.25">
      <c r="A6959" s="48" t="s">
        <v>12254</v>
      </c>
      <c r="B6959" t="s">
        <v>12255</v>
      </c>
      <c r="C6959">
        <v>6</v>
      </c>
    </row>
    <row r="6960" spans="1:3" x14ac:dyDescent="0.25">
      <c r="A6960" s="48" t="s">
        <v>12268</v>
      </c>
      <c r="B6960" t="s">
        <v>12269</v>
      </c>
      <c r="C6960">
        <v>10</v>
      </c>
    </row>
    <row r="6961" spans="1:3" x14ac:dyDescent="0.25">
      <c r="A6961" s="48" t="s">
        <v>12260</v>
      </c>
      <c r="B6961" t="s">
        <v>12261</v>
      </c>
      <c r="C6961">
        <v>26</v>
      </c>
    </row>
    <row r="6962" spans="1:3" x14ac:dyDescent="0.25">
      <c r="A6962" s="48" t="s">
        <v>12258</v>
      </c>
      <c r="B6962" t="s">
        <v>12259</v>
      </c>
      <c r="C6962">
        <v>0</v>
      </c>
    </row>
    <row r="6963" spans="1:3" x14ac:dyDescent="0.25">
      <c r="A6963" s="48" t="s">
        <v>16248</v>
      </c>
      <c r="B6963" t="s">
        <v>16249</v>
      </c>
      <c r="C6963">
        <v>2</v>
      </c>
    </row>
    <row r="6964" spans="1:3" x14ac:dyDescent="0.25">
      <c r="A6964" s="48" t="s">
        <v>16250</v>
      </c>
      <c r="B6964" t="s">
        <v>16251</v>
      </c>
      <c r="C6964">
        <v>0</v>
      </c>
    </row>
    <row r="6965" spans="1:3" x14ac:dyDescent="0.25">
      <c r="A6965" s="48" t="s">
        <v>16262</v>
      </c>
      <c r="B6965" t="s">
        <v>16263</v>
      </c>
      <c r="C6965">
        <v>29</v>
      </c>
    </row>
    <row r="6966" spans="1:3" x14ac:dyDescent="0.25">
      <c r="A6966" s="48" t="s">
        <v>16258</v>
      </c>
      <c r="B6966" t="s">
        <v>22066</v>
      </c>
      <c r="C6966">
        <v>12</v>
      </c>
    </row>
    <row r="6967" spans="1:3" x14ac:dyDescent="0.25">
      <c r="A6967" s="48" t="s">
        <v>16244</v>
      </c>
      <c r="B6967" t="s">
        <v>22067</v>
      </c>
      <c r="C6967">
        <v>50</v>
      </c>
    </row>
    <row r="6968" spans="1:3" x14ac:dyDescent="0.25">
      <c r="A6968" s="48" t="s">
        <v>16240</v>
      </c>
      <c r="B6968" t="s">
        <v>22068</v>
      </c>
      <c r="C6968">
        <v>59</v>
      </c>
    </row>
    <row r="6969" spans="1:3" x14ac:dyDescent="0.25">
      <c r="A6969" s="48" t="s">
        <v>16238</v>
      </c>
      <c r="B6969" t="s">
        <v>22069</v>
      </c>
      <c r="C6969">
        <v>14</v>
      </c>
    </row>
    <row r="6970" spans="1:3" x14ac:dyDescent="0.25">
      <c r="A6970" s="48" t="s">
        <v>16236</v>
      </c>
      <c r="B6970" t="s">
        <v>22070</v>
      </c>
      <c r="C6970">
        <v>50</v>
      </c>
    </row>
    <row r="6971" spans="1:3" x14ac:dyDescent="0.25">
      <c r="A6971" s="48" t="s">
        <v>16246</v>
      </c>
      <c r="B6971" t="s">
        <v>22071</v>
      </c>
      <c r="C6971">
        <v>74</v>
      </c>
    </row>
    <row r="6972" spans="1:3" x14ac:dyDescent="0.25">
      <c r="A6972" s="48" t="s">
        <v>16256</v>
      </c>
      <c r="B6972" t="s">
        <v>22072</v>
      </c>
      <c r="C6972">
        <v>137</v>
      </c>
    </row>
    <row r="6973" spans="1:3" x14ac:dyDescent="0.25">
      <c r="A6973" s="48" t="s">
        <v>16260</v>
      </c>
      <c r="B6973" t="s">
        <v>16261</v>
      </c>
      <c r="C6973">
        <v>1</v>
      </c>
    </row>
    <row r="6974" spans="1:3" x14ac:dyDescent="0.25">
      <c r="A6974" s="48" t="s">
        <v>1199</v>
      </c>
      <c r="B6974" t="s">
        <v>1200</v>
      </c>
      <c r="C6974">
        <v>0</v>
      </c>
    </row>
    <row r="6975" spans="1:3" x14ac:dyDescent="0.25">
      <c r="A6975" s="48" t="s">
        <v>16310</v>
      </c>
      <c r="B6975" t="s">
        <v>16311</v>
      </c>
      <c r="C6975">
        <v>10</v>
      </c>
    </row>
    <row r="6976" spans="1:3" x14ac:dyDescent="0.25">
      <c r="A6976" s="48" t="s">
        <v>16324</v>
      </c>
      <c r="B6976" t="s">
        <v>16325</v>
      </c>
      <c r="C6976">
        <v>0</v>
      </c>
    </row>
    <row r="6977" spans="1:3" x14ac:dyDescent="0.25">
      <c r="A6977" s="48" t="s">
        <v>16306</v>
      </c>
      <c r="B6977" t="s">
        <v>22073</v>
      </c>
      <c r="C6977">
        <v>30</v>
      </c>
    </row>
    <row r="6978" spans="1:3" x14ac:dyDescent="0.25">
      <c r="A6978" s="48" t="s">
        <v>16316</v>
      </c>
      <c r="B6978" t="s">
        <v>22074</v>
      </c>
      <c r="C6978">
        <v>35</v>
      </c>
    </row>
    <row r="6979" spans="1:3" x14ac:dyDescent="0.25">
      <c r="A6979" s="48" t="s">
        <v>16314</v>
      </c>
      <c r="B6979" t="s">
        <v>22075</v>
      </c>
      <c r="C6979">
        <v>0</v>
      </c>
    </row>
    <row r="6980" spans="1:3" x14ac:dyDescent="0.25">
      <c r="A6980" s="48" t="s">
        <v>16322</v>
      </c>
      <c r="B6980" t="s">
        <v>16323</v>
      </c>
      <c r="C6980">
        <v>0</v>
      </c>
    </row>
    <row r="6981" spans="1:3" x14ac:dyDescent="0.25">
      <c r="A6981" s="48" t="s">
        <v>299</v>
      </c>
      <c r="B6981" t="s">
        <v>300</v>
      </c>
      <c r="C6981">
        <v>0</v>
      </c>
    </row>
    <row r="6982" spans="1:3" x14ac:dyDescent="0.25">
      <c r="A6982" s="48" t="s">
        <v>511</v>
      </c>
      <c r="B6982" t="s">
        <v>512</v>
      </c>
      <c r="C6982">
        <v>0</v>
      </c>
    </row>
    <row r="6983" spans="1:3" x14ac:dyDescent="0.25">
      <c r="A6983" s="48" t="s">
        <v>51</v>
      </c>
      <c r="B6983" t="s">
        <v>52</v>
      </c>
      <c r="C6983">
        <v>1</v>
      </c>
    </row>
    <row r="6984" spans="1:3" x14ac:dyDescent="0.25">
      <c r="A6984" s="48" t="s">
        <v>16318</v>
      </c>
      <c r="B6984" t="s">
        <v>22076</v>
      </c>
      <c r="C6984">
        <v>0</v>
      </c>
    </row>
    <row r="6985" spans="1:3" x14ac:dyDescent="0.25">
      <c r="A6985" s="48" t="s">
        <v>16320</v>
      </c>
      <c r="B6985" t="s">
        <v>22077</v>
      </c>
      <c r="C6985">
        <v>1</v>
      </c>
    </row>
    <row r="6986" spans="1:3" x14ac:dyDescent="0.25">
      <c r="A6986" s="48" t="s">
        <v>16326</v>
      </c>
      <c r="B6986" t="s">
        <v>22078</v>
      </c>
      <c r="C6986">
        <v>0</v>
      </c>
    </row>
    <row r="6987" spans="1:3" x14ac:dyDescent="0.25">
      <c r="A6987" s="48" t="s">
        <v>16308</v>
      </c>
      <c r="B6987" t="s">
        <v>16309</v>
      </c>
      <c r="C6987">
        <v>21</v>
      </c>
    </row>
    <row r="6988" spans="1:3" x14ac:dyDescent="0.25">
      <c r="A6988" s="48" t="s">
        <v>16312</v>
      </c>
      <c r="B6988" t="s">
        <v>16313</v>
      </c>
      <c r="C6988">
        <v>0</v>
      </c>
    </row>
    <row r="6989" spans="1:3" x14ac:dyDescent="0.25">
      <c r="A6989" s="48" t="s">
        <v>12339</v>
      </c>
      <c r="B6989" t="s">
        <v>22079</v>
      </c>
      <c r="C6989">
        <v>16</v>
      </c>
    </row>
    <row r="6990" spans="1:3" x14ac:dyDescent="0.25">
      <c r="A6990" s="48" t="s">
        <v>12341</v>
      </c>
      <c r="B6990" t="s">
        <v>22080</v>
      </c>
      <c r="C6990">
        <v>0</v>
      </c>
    </row>
    <row r="6991" spans="1:3" x14ac:dyDescent="0.25">
      <c r="A6991" s="48" t="s">
        <v>12343</v>
      </c>
      <c r="B6991" t="s">
        <v>12344</v>
      </c>
      <c r="C6991">
        <v>4</v>
      </c>
    </row>
    <row r="6992" spans="1:3" x14ac:dyDescent="0.25">
      <c r="A6992" s="48" t="s">
        <v>693</v>
      </c>
      <c r="B6992" t="s">
        <v>694</v>
      </c>
      <c r="C6992">
        <v>0</v>
      </c>
    </row>
    <row r="6993" spans="1:3" x14ac:dyDescent="0.25">
      <c r="A6993" s="48" t="s">
        <v>16252</v>
      </c>
      <c r="B6993" t="s">
        <v>22081</v>
      </c>
      <c r="C6993">
        <v>56</v>
      </c>
    </row>
    <row r="6994" spans="1:3" x14ac:dyDescent="0.25">
      <c r="A6994" s="48" t="s">
        <v>16254</v>
      </c>
      <c r="B6994" t="s">
        <v>22082</v>
      </c>
      <c r="C6994">
        <v>11</v>
      </c>
    </row>
    <row r="6995" spans="1:3" x14ac:dyDescent="0.25">
      <c r="A6995" s="48" t="s">
        <v>16242</v>
      </c>
      <c r="B6995" t="s">
        <v>22083</v>
      </c>
      <c r="C6995">
        <v>0</v>
      </c>
    </row>
    <row r="6996" spans="1:3" x14ac:dyDescent="0.25">
      <c r="A6996" s="48" t="s">
        <v>5903</v>
      </c>
      <c r="B6996" t="s">
        <v>5904</v>
      </c>
      <c r="C6996">
        <v>0</v>
      </c>
    </row>
    <row r="6997" spans="1:3" x14ac:dyDescent="0.25">
      <c r="A6997" s="48" t="s">
        <v>5901</v>
      </c>
      <c r="B6997" t="s">
        <v>5902</v>
      </c>
      <c r="C6997">
        <v>0</v>
      </c>
    </row>
    <row r="6998" spans="1:3" x14ac:dyDescent="0.25">
      <c r="A6998" s="48" t="s">
        <v>5899</v>
      </c>
      <c r="B6998" t="s">
        <v>5900</v>
      </c>
      <c r="C6998">
        <v>7</v>
      </c>
    </row>
    <row r="6999" spans="1:3" x14ac:dyDescent="0.25">
      <c r="A6999" s="48" t="s">
        <v>15441</v>
      </c>
      <c r="B6999" t="s">
        <v>22084</v>
      </c>
      <c r="C6999">
        <v>22</v>
      </c>
    </row>
    <row r="7000" spans="1:3" x14ac:dyDescent="0.25">
      <c r="A7000" s="48" t="s">
        <v>15437</v>
      </c>
      <c r="B7000" t="s">
        <v>22085</v>
      </c>
      <c r="C7000">
        <v>16</v>
      </c>
    </row>
    <row r="7001" spans="1:3" x14ac:dyDescent="0.25">
      <c r="A7001" s="48" t="s">
        <v>15553</v>
      </c>
      <c r="B7001" t="s">
        <v>15554</v>
      </c>
      <c r="C7001">
        <v>4</v>
      </c>
    </row>
    <row r="7002" spans="1:3" x14ac:dyDescent="0.25">
      <c r="A7002" s="48" t="s">
        <v>15427</v>
      </c>
      <c r="B7002" t="s">
        <v>15428</v>
      </c>
      <c r="C7002">
        <v>0</v>
      </c>
    </row>
    <row r="7003" spans="1:3" x14ac:dyDescent="0.25">
      <c r="A7003" s="48" t="s">
        <v>15559</v>
      </c>
      <c r="B7003" t="s">
        <v>22086</v>
      </c>
      <c r="C7003">
        <v>8</v>
      </c>
    </row>
    <row r="7004" spans="1:3" x14ac:dyDescent="0.25">
      <c r="A7004" s="48" t="s">
        <v>15435</v>
      </c>
      <c r="B7004" t="s">
        <v>22087</v>
      </c>
      <c r="C7004">
        <v>2</v>
      </c>
    </row>
    <row r="7005" spans="1:3" x14ac:dyDescent="0.25">
      <c r="A7005" s="48" t="s">
        <v>15433</v>
      </c>
      <c r="B7005" t="s">
        <v>22088</v>
      </c>
      <c r="C7005">
        <v>3</v>
      </c>
    </row>
    <row r="7006" spans="1:3" x14ac:dyDescent="0.25">
      <c r="A7006" s="48" t="s">
        <v>15439</v>
      </c>
      <c r="B7006" t="s">
        <v>22089</v>
      </c>
      <c r="C7006">
        <v>0</v>
      </c>
    </row>
    <row r="7007" spans="1:3" x14ac:dyDescent="0.25">
      <c r="A7007" s="48" t="s">
        <v>15431</v>
      </c>
      <c r="B7007" t="s">
        <v>15432</v>
      </c>
      <c r="C7007">
        <v>10</v>
      </c>
    </row>
    <row r="7008" spans="1:3" x14ac:dyDescent="0.25">
      <c r="A7008" s="48" t="s">
        <v>15449</v>
      </c>
      <c r="B7008" t="s">
        <v>15450</v>
      </c>
      <c r="C7008">
        <v>1</v>
      </c>
    </row>
    <row r="7009" spans="1:3" x14ac:dyDescent="0.25">
      <c r="A7009" s="48" t="s">
        <v>19518</v>
      </c>
      <c r="B7009" t="s">
        <v>19519</v>
      </c>
      <c r="C7009">
        <v>0</v>
      </c>
    </row>
    <row r="7010" spans="1:3" x14ac:dyDescent="0.25">
      <c r="A7010" s="48" t="s">
        <v>15519</v>
      </c>
      <c r="B7010" t="s">
        <v>15520</v>
      </c>
      <c r="C7010">
        <v>0</v>
      </c>
    </row>
    <row r="7011" spans="1:3" x14ac:dyDescent="0.25">
      <c r="A7011" s="48" t="s">
        <v>15511</v>
      </c>
      <c r="B7011" t="s">
        <v>22090</v>
      </c>
      <c r="C7011">
        <v>0</v>
      </c>
    </row>
    <row r="7012" spans="1:3" x14ac:dyDescent="0.25">
      <c r="A7012" s="48" t="s">
        <v>15509</v>
      </c>
      <c r="B7012" t="s">
        <v>15510</v>
      </c>
      <c r="C7012">
        <v>32</v>
      </c>
    </row>
    <row r="7013" spans="1:3" x14ac:dyDescent="0.25">
      <c r="A7013" s="48" t="s">
        <v>15517</v>
      </c>
      <c r="B7013" t="s">
        <v>15518</v>
      </c>
      <c r="C7013">
        <v>24</v>
      </c>
    </row>
    <row r="7014" spans="1:3" x14ac:dyDescent="0.25">
      <c r="A7014" s="48" t="s">
        <v>15475</v>
      </c>
      <c r="B7014" t="s">
        <v>15476</v>
      </c>
      <c r="C7014">
        <v>0</v>
      </c>
    </row>
    <row r="7015" spans="1:3" x14ac:dyDescent="0.25">
      <c r="A7015" s="48" t="s">
        <v>15477</v>
      </c>
      <c r="B7015" t="s">
        <v>22091</v>
      </c>
      <c r="C7015">
        <v>7</v>
      </c>
    </row>
    <row r="7016" spans="1:3" x14ac:dyDescent="0.25">
      <c r="A7016" s="48" t="s">
        <v>19516</v>
      </c>
      <c r="B7016" t="s">
        <v>22092</v>
      </c>
      <c r="C7016">
        <v>10</v>
      </c>
    </row>
    <row r="7017" spans="1:3" x14ac:dyDescent="0.25">
      <c r="A7017" s="48" t="s">
        <v>15469</v>
      </c>
      <c r="B7017" t="s">
        <v>15470</v>
      </c>
      <c r="C7017">
        <v>0</v>
      </c>
    </row>
    <row r="7018" spans="1:3" x14ac:dyDescent="0.25">
      <c r="A7018" s="48" t="s">
        <v>15551</v>
      </c>
      <c r="B7018" t="s">
        <v>15552</v>
      </c>
      <c r="C7018">
        <v>1</v>
      </c>
    </row>
    <row r="7019" spans="1:3" x14ac:dyDescent="0.25">
      <c r="A7019" s="48" t="s">
        <v>15513</v>
      </c>
      <c r="B7019" t="s">
        <v>15514</v>
      </c>
      <c r="C7019">
        <v>25</v>
      </c>
    </row>
    <row r="7020" spans="1:3" x14ac:dyDescent="0.25">
      <c r="A7020" s="48" t="s">
        <v>15515</v>
      </c>
      <c r="B7020" t="s">
        <v>15516</v>
      </c>
      <c r="C7020">
        <v>46</v>
      </c>
    </row>
    <row r="7021" spans="1:3" x14ac:dyDescent="0.25">
      <c r="A7021" s="48" t="s">
        <v>15481</v>
      </c>
      <c r="B7021" t="s">
        <v>15482</v>
      </c>
      <c r="C7021">
        <v>0</v>
      </c>
    </row>
    <row r="7022" spans="1:3" x14ac:dyDescent="0.25">
      <c r="A7022" s="48" t="s">
        <v>15479</v>
      </c>
      <c r="B7022" t="s">
        <v>15480</v>
      </c>
      <c r="C7022">
        <v>18</v>
      </c>
    </row>
    <row r="7023" spans="1:3" x14ac:dyDescent="0.25">
      <c r="A7023" s="48" t="s">
        <v>15429</v>
      </c>
      <c r="B7023" t="s">
        <v>22093</v>
      </c>
      <c r="C7023">
        <v>16</v>
      </c>
    </row>
    <row r="7024" spans="1:3" x14ac:dyDescent="0.25">
      <c r="A7024" s="48" t="s">
        <v>15471</v>
      </c>
      <c r="B7024" t="s">
        <v>15472</v>
      </c>
      <c r="C7024">
        <v>6</v>
      </c>
    </row>
    <row r="7025" spans="1:3" x14ac:dyDescent="0.25">
      <c r="A7025" s="48" t="s">
        <v>15521</v>
      </c>
      <c r="B7025" t="s">
        <v>15522</v>
      </c>
      <c r="C7025">
        <v>8</v>
      </c>
    </row>
    <row r="7026" spans="1:3" x14ac:dyDescent="0.25">
      <c r="A7026" s="48" t="s">
        <v>15525</v>
      </c>
      <c r="B7026" t="s">
        <v>15526</v>
      </c>
      <c r="C7026">
        <v>25</v>
      </c>
    </row>
    <row r="7027" spans="1:3" x14ac:dyDescent="0.25">
      <c r="A7027" s="48" t="s">
        <v>15523</v>
      </c>
      <c r="B7027" t="s">
        <v>15524</v>
      </c>
      <c r="C7027">
        <v>35</v>
      </c>
    </row>
    <row r="7028" spans="1:3" x14ac:dyDescent="0.25">
      <c r="A7028" s="48" t="s">
        <v>15529</v>
      </c>
      <c r="B7028" t="s">
        <v>15530</v>
      </c>
      <c r="C7028">
        <v>48</v>
      </c>
    </row>
    <row r="7029" spans="1:3" x14ac:dyDescent="0.25">
      <c r="A7029" s="48" t="s">
        <v>15527</v>
      </c>
      <c r="B7029" t="s">
        <v>15528</v>
      </c>
      <c r="C7029">
        <v>1</v>
      </c>
    </row>
    <row r="7030" spans="1:3" x14ac:dyDescent="0.25">
      <c r="A7030" s="48" t="s">
        <v>15465</v>
      </c>
      <c r="B7030" t="s">
        <v>22094</v>
      </c>
      <c r="C7030">
        <v>0</v>
      </c>
    </row>
    <row r="7031" spans="1:3" x14ac:dyDescent="0.25">
      <c r="A7031" s="48" t="s">
        <v>15459</v>
      </c>
      <c r="B7031" t="s">
        <v>22095</v>
      </c>
      <c r="C7031">
        <v>8</v>
      </c>
    </row>
    <row r="7032" spans="1:3" x14ac:dyDescent="0.25">
      <c r="A7032" s="48" t="s">
        <v>15451</v>
      </c>
      <c r="B7032" t="s">
        <v>22096</v>
      </c>
      <c r="C7032">
        <v>12</v>
      </c>
    </row>
    <row r="7033" spans="1:3" x14ac:dyDescent="0.25">
      <c r="A7033" s="48" t="s">
        <v>1759</v>
      </c>
      <c r="B7033" t="s">
        <v>1760</v>
      </c>
      <c r="C7033">
        <v>14</v>
      </c>
    </row>
    <row r="7034" spans="1:3" x14ac:dyDescent="0.25">
      <c r="A7034" s="48" t="s">
        <v>1029</v>
      </c>
      <c r="B7034" t="s">
        <v>1030</v>
      </c>
      <c r="C7034">
        <v>17</v>
      </c>
    </row>
    <row r="7035" spans="1:3" x14ac:dyDescent="0.25">
      <c r="A7035" s="48" t="s">
        <v>15531</v>
      </c>
      <c r="B7035" t="s">
        <v>15532</v>
      </c>
      <c r="C7035">
        <v>14</v>
      </c>
    </row>
    <row r="7036" spans="1:3" x14ac:dyDescent="0.25">
      <c r="A7036" s="48" t="s">
        <v>15533</v>
      </c>
      <c r="B7036" t="s">
        <v>15534</v>
      </c>
      <c r="C7036">
        <v>25</v>
      </c>
    </row>
    <row r="7037" spans="1:3" x14ac:dyDescent="0.25">
      <c r="A7037" s="48" t="s">
        <v>15535</v>
      </c>
      <c r="B7037" t="s">
        <v>15536</v>
      </c>
      <c r="C7037">
        <v>20</v>
      </c>
    </row>
    <row r="7038" spans="1:3" x14ac:dyDescent="0.25">
      <c r="A7038" s="48" t="s">
        <v>15537</v>
      </c>
      <c r="B7038" t="s">
        <v>15538</v>
      </c>
      <c r="C7038">
        <v>28</v>
      </c>
    </row>
    <row r="7039" spans="1:3" x14ac:dyDescent="0.25">
      <c r="A7039" s="48" t="s">
        <v>15467</v>
      </c>
      <c r="B7039" t="s">
        <v>15468</v>
      </c>
      <c r="C7039">
        <v>4</v>
      </c>
    </row>
    <row r="7040" spans="1:3" x14ac:dyDescent="0.25">
      <c r="A7040" s="48" t="s">
        <v>15461</v>
      </c>
      <c r="B7040" t="s">
        <v>15462</v>
      </c>
      <c r="C7040">
        <v>8</v>
      </c>
    </row>
    <row r="7041" spans="1:3" x14ac:dyDescent="0.25">
      <c r="A7041" s="48" t="s">
        <v>15455</v>
      </c>
      <c r="B7041" t="s">
        <v>15456</v>
      </c>
      <c r="C7041">
        <v>5</v>
      </c>
    </row>
    <row r="7042" spans="1:3" x14ac:dyDescent="0.25">
      <c r="A7042" s="48" t="s">
        <v>15545</v>
      </c>
      <c r="B7042" t="s">
        <v>15546</v>
      </c>
      <c r="C7042">
        <v>14</v>
      </c>
    </row>
    <row r="7043" spans="1:3" x14ac:dyDescent="0.25">
      <c r="A7043" s="48" t="s">
        <v>15549</v>
      </c>
      <c r="B7043" t="s">
        <v>15550</v>
      </c>
      <c r="C7043">
        <v>25</v>
      </c>
    </row>
    <row r="7044" spans="1:3" x14ac:dyDescent="0.25">
      <c r="A7044" s="48" t="s">
        <v>15547</v>
      </c>
      <c r="B7044" t="s">
        <v>15548</v>
      </c>
      <c r="C7044">
        <v>0</v>
      </c>
    </row>
    <row r="7045" spans="1:3" x14ac:dyDescent="0.25">
      <c r="A7045" s="48" t="s">
        <v>15988</v>
      </c>
      <c r="B7045" t="s">
        <v>15989</v>
      </c>
      <c r="C7045">
        <v>0</v>
      </c>
    </row>
    <row r="7046" spans="1:3" x14ac:dyDescent="0.25">
      <c r="A7046" s="48" t="s">
        <v>22982</v>
      </c>
      <c r="B7046" t="s">
        <v>22983</v>
      </c>
      <c r="C7046">
        <v>5</v>
      </c>
    </row>
    <row r="7047" spans="1:3" x14ac:dyDescent="0.25">
      <c r="A7047" s="48" t="s">
        <v>15473</v>
      </c>
      <c r="B7047" t="s">
        <v>15474</v>
      </c>
      <c r="C7047">
        <v>0</v>
      </c>
    </row>
    <row r="7048" spans="1:3" x14ac:dyDescent="0.25">
      <c r="A7048" s="48" t="s">
        <v>22984</v>
      </c>
      <c r="B7048" t="s">
        <v>22985</v>
      </c>
      <c r="C7048">
        <v>4</v>
      </c>
    </row>
    <row r="7049" spans="1:3" x14ac:dyDescent="0.25">
      <c r="A7049" s="48" t="s">
        <v>15555</v>
      </c>
      <c r="B7049" t="s">
        <v>15556</v>
      </c>
      <c r="C7049">
        <v>0</v>
      </c>
    </row>
    <row r="7050" spans="1:3" x14ac:dyDescent="0.25">
      <c r="A7050" s="48" t="s">
        <v>15557</v>
      </c>
      <c r="B7050" t="s">
        <v>15558</v>
      </c>
      <c r="C7050">
        <v>3</v>
      </c>
    </row>
    <row r="7051" spans="1:3" x14ac:dyDescent="0.25">
      <c r="A7051" s="48" t="s">
        <v>15463</v>
      </c>
      <c r="B7051" t="s">
        <v>22097</v>
      </c>
      <c r="C7051">
        <v>23</v>
      </c>
    </row>
    <row r="7052" spans="1:3" x14ac:dyDescent="0.25">
      <c r="A7052" s="48" t="s">
        <v>15453</v>
      </c>
      <c r="B7052" t="s">
        <v>22098</v>
      </c>
      <c r="C7052">
        <v>6</v>
      </c>
    </row>
    <row r="7053" spans="1:3" x14ac:dyDescent="0.25">
      <c r="A7053" s="48" t="s">
        <v>15457</v>
      </c>
      <c r="B7053" t="s">
        <v>22099</v>
      </c>
      <c r="C7053">
        <v>9</v>
      </c>
    </row>
    <row r="7054" spans="1:3" x14ac:dyDescent="0.25">
      <c r="A7054" s="48" t="s">
        <v>15543</v>
      </c>
      <c r="B7054" t="s">
        <v>22100</v>
      </c>
      <c r="C7054">
        <v>3</v>
      </c>
    </row>
    <row r="7055" spans="1:3" x14ac:dyDescent="0.25">
      <c r="A7055" s="48" t="s">
        <v>15539</v>
      </c>
      <c r="B7055" t="s">
        <v>15540</v>
      </c>
      <c r="C7055">
        <v>1</v>
      </c>
    </row>
    <row r="7056" spans="1:3" x14ac:dyDescent="0.25">
      <c r="A7056" s="48" t="s">
        <v>15541</v>
      </c>
      <c r="B7056" t="s">
        <v>15542</v>
      </c>
      <c r="C7056">
        <v>0</v>
      </c>
    </row>
    <row r="7057" spans="1:3" x14ac:dyDescent="0.25">
      <c r="A7057" s="48" t="s">
        <v>15487</v>
      </c>
      <c r="B7057" t="s">
        <v>15488</v>
      </c>
      <c r="C7057">
        <v>22</v>
      </c>
    </row>
    <row r="7058" spans="1:3" x14ac:dyDescent="0.25">
      <c r="A7058" s="48" t="s">
        <v>15497</v>
      </c>
      <c r="B7058" t="s">
        <v>15498</v>
      </c>
      <c r="C7058">
        <v>9</v>
      </c>
    </row>
    <row r="7059" spans="1:3" x14ac:dyDescent="0.25">
      <c r="A7059" s="48" t="s">
        <v>15489</v>
      </c>
      <c r="B7059" t="s">
        <v>15490</v>
      </c>
      <c r="C7059">
        <v>20</v>
      </c>
    </row>
    <row r="7060" spans="1:3" x14ac:dyDescent="0.25">
      <c r="A7060" s="48" t="s">
        <v>15503</v>
      </c>
      <c r="B7060" t="s">
        <v>15504</v>
      </c>
      <c r="C7060">
        <v>0</v>
      </c>
    </row>
    <row r="7061" spans="1:3" x14ac:dyDescent="0.25">
      <c r="A7061" s="48" t="s">
        <v>15507</v>
      </c>
      <c r="B7061" t="s">
        <v>15508</v>
      </c>
      <c r="C7061">
        <v>18</v>
      </c>
    </row>
    <row r="7062" spans="1:3" x14ac:dyDescent="0.25">
      <c r="A7062" s="48" t="s">
        <v>15499</v>
      </c>
      <c r="B7062" t="s">
        <v>15500</v>
      </c>
      <c r="C7062">
        <v>0</v>
      </c>
    </row>
    <row r="7063" spans="1:3" x14ac:dyDescent="0.25">
      <c r="A7063" s="48" t="s">
        <v>15505</v>
      </c>
      <c r="B7063" t="s">
        <v>15506</v>
      </c>
      <c r="C7063">
        <v>0</v>
      </c>
    </row>
    <row r="7064" spans="1:3" x14ac:dyDescent="0.25">
      <c r="A7064" s="48" t="s">
        <v>15501</v>
      </c>
      <c r="B7064" t="s">
        <v>15502</v>
      </c>
      <c r="C7064">
        <v>0</v>
      </c>
    </row>
    <row r="7065" spans="1:3" x14ac:dyDescent="0.25">
      <c r="A7065" s="48" t="s">
        <v>15491</v>
      </c>
      <c r="B7065" t="s">
        <v>15492</v>
      </c>
      <c r="C7065">
        <v>0</v>
      </c>
    </row>
    <row r="7066" spans="1:3" x14ac:dyDescent="0.25">
      <c r="A7066" s="48" t="s">
        <v>15493</v>
      </c>
      <c r="B7066" t="s">
        <v>15494</v>
      </c>
      <c r="C7066">
        <v>0</v>
      </c>
    </row>
    <row r="7067" spans="1:3" x14ac:dyDescent="0.25">
      <c r="A7067" s="48" t="s">
        <v>15483</v>
      </c>
      <c r="B7067" t="s">
        <v>15484</v>
      </c>
      <c r="C7067">
        <v>0</v>
      </c>
    </row>
    <row r="7068" spans="1:3" x14ac:dyDescent="0.25">
      <c r="A7068" s="48" t="s">
        <v>15495</v>
      </c>
      <c r="B7068" t="s">
        <v>15496</v>
      </c>
      <c r="C7068">
        <v>0</v>
      </c>
    </row>
    <row r="7069" spans="1:3" x14ac:dyDescent="0.25">
      <c r="A7069" s="48" t="s">
        <v>15485</v>
      </c>
      <c r="B7069" t="s">
        <v>15486</v>
      </c>
      <c r="C7069">
        <v>0</v>
      </c>
    </row>
    <row r="7070" spans="1:3" x14ac:dyDescent="0.25">
      <c r="A7070" s="48" t="s">
        <v>9500</v>
      </c>
      <c r="B7070" t="s">
        <v>9501</v>
      </c>
      <c r="C7070">
        <v>21</v>
      </c>
    </row>
    <row r="7071" spans="1:3" x14ac:dyDescent="0.25">
      <c r="A7071" s="48" t="s">
        <v>9502</v>
      </c>
      <c r="B7071" t="s">
        <v>9503</v>
      </c>
      <c r="C7071">
        <v>3</v>
      </c>
    </row>
    <row r="7072" spans="1:3" x14ac:dyDescent="0.25">
      <c r="A7072" s="48" t="s">
        <v>7819</v>
      </c>
      <c r="B7072" t="s">
        <v>7820</v>
      </c>
      <c r="C7072">
        <v>86</v>
      </c>
    </row>
    <row r="7073" spans="1:3" x14ac:dyDescent="0.25">
      <c r="A7073" s="48" t="s">
        <v>9504</v>
      </c>
      <c r="B7073" t="s">
        <v>9505</v>
      </c>
      <c r="C7073">
        <v>4</v>
      </c>
    </row>
    <row r="7074" spans="1:3" x14ac:dyDescent="0.25">
      <c r="A7074" s="48" t="s">
        <v>9506</v>
      </c>
      <c r="B7074" t="s">
        <v>22101</v>
      </c>
      <c r="C7074">
        <v>3</v>
      </c>
    </row>
    <row r="7075" spans="1:3" x14ac:dyDescent="0.25">
      <c r="A7075" s="48" t="s">
        <v>9498</v>
      </c>
      <c r="B7075" t="s">
        <v>9499</v>
      </c>
      <c r="C7075">
        <v>7</v>
      </c>
    </row>
    <row r="7076" spans="1:3" x14ac:dyDescent="0.25">
      <c r="A7076" s="48" t="s">
        <v>15835</v>
      </c>
      <c r="B7076" t="s">
        <v>15836</v>
      </c>
      <c r="C7076">
        <v>8</v>
      </c>
    </row>
    <row r="7077" spans="1:3" x14ac:dyDescent="0.25">
      <c r="A7077" s="48" t="s">
        <v>15837</v>
      </c>
      <c r="B7077" t="s">
        <v>15838</v>
      </c>
      <c r="C7077">
        <v>4</v>
      </c>
    </row>
    <row r="7078" spans="1:3" x14ac:dyDescent="0.25">
      <c r="A7078" s="48" t="s">
        <v>15831</v>
      </c>
      <c r="B7078" t="s">
        <v>15832</v>
      </c>
      <c r="C7078">
        <v>20</v>
      </c>
    </row>
    <row r="7079" spans="1:3" x14ac:dyDescent="0.25">
      <c r="A7079" s="48" t="s">
        <v>15833</v>
      </c>
      <c r="B7079" t="s">
        <v>15834</v>
      </c>
      <c r="C7079">
        <v>18</v>
      </c>
    </row>
    <row r="7080" spans="1:3" x14ac:dyDescent="0.25">
      <c r="A7080" s="48" t="s">
        <v>15765</v>
      </c>
      <c r="B7080" t="s">
        <v>15766</v>
      </c>
      <c r="C7080">
        <v>23</v>
      </c>
    </row>
    <row r="7081" spans="1:3" x14ac:dyDescent="0.25">
      <c r="A7081" s="48" t="s">
        <v>15763</v>
      </c>
      <c r="B7081" t="s">
        <v>15764</v>
      </c>
      <c r="C7081">
        <v>1</v>
      </c>
    </row>
    <row r="7082" spans="1:3" x14ac:dyDescent="0.25">
      <c r="A7082" s="48" t="s">
        <v>15757</v>
      </c>
      <c r="B7082" t="s">
        <v>15758</v>
      </c>
      <c r="C7082">
        <v>28</v>
      </c>
    </row>
    <row r="7083" spans="1:3" x14ac:dyDescent="0.25">
      <c r="A7083" s="48" t="s">
        <v>15759</v>
      </c>
      <c r="B7083" t="s">
        <v>15760</v>
      </c>
      <c r="C7083">
        <v>10</v>
      </c>
    </row>
    <row r="7084" spans="1:3" x14ac:dyDescent="0.25">
      <c r="A7084" s="48" t="s">
        <v>15761</v>
      </c>
      <c r="B7084" t="s">
        <v>15762</v>
      </c>
      <c r="C7084">
        <v>16</v>
      </c>
    </row>
    <row r="7085" spans="1:3" x14ac:dyDescent="0.25">
      <c r="A7085" s="48" t="s">
        <v>15769</v>
      </c>
      <c r="B7085" t="s">
        <v>15770</v>
      </c>
      <c r="C7085">
        <v>3</v>
      </c>
    </row>
    <row r="7086" spans="1:3" x14ac:dyDescent="0.25">
      <c r="A7086" s="48" t="s">
        <v>15771</v>
      </c>
      <c r="B7086" t="s">
        <v>15772</v>
      </c>
      <c r="C7086">
        <v>7</v>
      </c>
    </row>
    <row r="7087" spans="1:3" x14ac:dyDescent="0.25">
      <c r="A7087" s="48" t="s">
        <v>15819</v>
      </c>
      <c r="B7087" t="s">
        <v>15820</v>
      </c>
      <c r="C7087">
        <v>27</v>
      </c>
    </row>
    <row r="7088" spans="1:3" x14ac:dyDescent="0.25">
      <c r="A7088" s="48" t="s">
        <v>15821</v>
      </c>
      <c r="B7088" t="s">
        <v>15822</v>
      </c>
      <c r="C7088">
        <v>25</v>
      </c>
    </row>
    <row r="7089" spans="1:3" x14ac:dyDescent="0.25">
      <c r="A7089" s="48" t="s">
        <v>15803</v>
      </c>
      <c r="B7089" t="s">
        <v>15804</v>
      </c>
      <c r="C7089">
        <v>23</v>
      </c>
    </row>
    <row r="7090" spans="1:3" x14ac:dyDescent="0.25">
      <c r="A7090" s="48" t="s">
        <v>15805</v>
      </c>
      <c r="B7090" t="s">
        <v>15806</v>
      </c>
      <c r="C7090">
        <v>7</v>
      </c>
    </row>
    <row r="7091" spans="1:3" x14ac:dyDescent="0.25">
      <c r="A7091" s="48" t="s">
        <v>15787</v>
      </c>
      <c r="B7091" t="s">
        <v>15788</v>
      </c>
      <c r="C7091">
        <v>4</v>
      </c>
    </row>
    <row r="7092" spans="1:3" x14ac:dyDescent="0.25">
      <c r="A7092" s="48" t="s">
        <v>15799</v>
      </c>
      <c r="B7092" t="s">
        <v>15800</v>
      </c>
      <c r="C7092">
        <v>13</v>
      </c>
    </row>
    <row r="7093" spans="1:3" x14ac:dyDescent="0.25">
      <c r="A7093" s="48" t="s">
        <v>15801</v>
      </c>
      <c r="B7093" t="s">
        <v>15802</v>
      </c>
      <c r="C7093">
        <v>16</v>
      </c>
    </row>
    <row r="7094" spans="1:3" x14ac:dyDescent="0.25">
      <c r="A7094" s="48" t="s">
        <v>15789</v>
      </c>
      <c r="B7094" t="s">
        <v>15790</v>
      </c>
      <c r="C7094">
        <v>7</v>
      </c>
    </row>
    <row r="7095" spans="1:3" x14ac:dyDescent="0.25">
      <c r="A7095" s="48" t="s">
        <v>15791</v>
      </c>
      <c r="B7095" t="s">
        <v>15792</v>
      </c>
      <c r="C7095">
        <v>22</v>
      </c>
    </row>
    <row r="7096" spans="1:3" x14ac:dyDescent="0.25">
      <c r="A7096" s="48" t="s">
        <v>15775</v>
      </c>
      <c r="B7096" t="s">
        <v>15776</v>
      </c>
      <c r="C7096">
        <v>21</v>
      </c>
    </row>
    <row r="7097" spans="1:3" x14ac:dyDescent="0.25">
      <c r="A7097" s="48" t="s">
        <v>15767</v>
      </c>
      <c r="B7097" t="s">
        <v>15768</v>
      </c>
      <c r="C7097">
        <v>12</v>
      </c>
    </row>
    <row r="7098" spans="1:3" x14ac:dyDescent="0.25">
      <c r="A7098" s="48" t="s">
        <v>15773</v>
      </c>
      <c r="B7098" t="s">
        <v>15774</v>
      </c>
      <c r="C7098">
        <v>17</v>
      </c>
    </row>
    <row r="7099" spans="1:3" x14ac:dyDescent="0.25">
      <c r="A7099" s="48" t="s">
        <v>15793</v>
      </c>
      <c r="B7099" t="s">
        <v>15794</v>
      </c>
      <c r="C7099">
        <v>24</v>
      </c>
    </row>
    <row r="7100" spans="1:3" x14ac:dyDescent="0.25">
      <c r="A7100" s="48" t="s">
        <v>15795</v>
      </c>
      <c r="B7100" t="s">
        <v>15796</v>
      </c>
      <c r="C7100">
        <v>14</v>
      </c>
    </row>
    <row r="7101" spans="1:3" x14ac:dyDescent="0.25">
      <c r="A7101" s="48" t="s">
        <v>15781</v>
      </c>
      <c r="B7101" t="s">
        <v>15782</v>
      </c>
      <c r="C7101">
        <v>14</v>
      </c>
    </row>
    <row r="7102" spans="1:3" x14ac:dyDescent="0.25">
      <c r="A7102" s="48" t="s">
        <v>15783</v>
      </c>
      <c r="B7102" t="s">
        <v>15784</v>
      </c>
      <c r="C7102">
        <v>20</v>
      </c>
    </row>
    <row r="7103" spans="1:3" x14ac:dyDescent="0.25">
      <c r="A7103" s="48" t="s">
        <v>15839</v>
      </c>
      <c r="B7103" t="s">
        <v>15840</v>
      </c>
      <c r="C7103">
        <v>11</v>
      </c>
    </row>
    <row r="7104" spans="1:3" x14ac:dyDescent="0.25">
      <c r="A7104" s="48" t="s">
        <v>15827</v>
      </c>
      <c r="B7104" t="s">
        <v>15828</v>
      </c>
      <c r="C7104">
        <v>0</v>
      </c>
    </row>
    <row r="7105" spans="1:3" x14ac:dyDescent="0.25">
      <c r="A7105" s="48" t="s">
        <v>15829</v>
      </c>
      <c r="B7105" t="s">
        <v>15830</v>
      </c>
      <c r="C7105">
        <v>1</v>
      </c>
    </row>
    <row r="7106" spans="1:3" x14ac:dyDescent="0.25">
      <c r="A7106" s="48" t="s">
        <v>15817</v>
      </c>
      <c r="B7106" t="s">
        <v>15818</v>
      </c>
      <c r="C7106">
        <v>7</v>
      </c>
    </row>
    <row r="7107" spans="1:3" x14ac:dyDescent="0.25">
      <c r="A7107" s="48" t="s">
        <v>15755</v>
      </c>
      <c r="B7107" t="s">
        <v>15756</v>
      </c>
      <c r="C7107">
        <v>0</v>
      </c>
    </row>
    <row r="7108" spans="1:3" x14ac:dyDescent="0.25">
      <c r="A7108" s="48" t="s">
        <v>15777</v>
      </c>
      <c r="B7108" t="s">
        <v>15778</v>
      </c>
      <c r="C7108">
        <v>2</v>
      </c>
    </row>
    <row r="7109" spans="1:3" x14ac:dyDescent="0.25">
      <c r="A7109" s="48" t="s">
        <v>15779</v>
      </c>
      <c r="B7109" t="s">
        <v>15780</v>
      </c>
      <c r="C7109">
        <v>2</v>
      </c>
    </row>
    <row r="7110" spans="1:3" x14ac:dyDescent="0.25">
      <c r="A7110" s="48" t="s">
        <v>15825</v>
      </c>
      <c r="B7110" t="s">
        <v>15826</v>
      </c>
      <c r="C7110">
        <v>26</v>
      </c>
    </row>
    <row r="7111" spans="1:3" x14ac:dyDescent="0.25">
      <c r="A7111" s="48" t="s">
        <v>15823</v>
      </c>
      <c r="B7111" t="s">
        <v>15824</v>
      </c>
      <c r="C7111">
        <v>31</v>
      </c>
    </row>
    <row r="7112" spans="1:3" x14ac:dyDescent="0.25">
      <c r="A7112" s="48" t="s">
        <v>12606</v>
      </c>
      <c r="B7112" t="s">
        <v>12607</v>
      </c>
      <c r="C7112">
        <v>2</v>
      </c>
    </row>
    <row r="7113" spans="1:3" x14ac:dyDescent="0.25">
      <c r="A7113" s="48" t="s">
        <v>1151</v>
      </c>
      <c r="B7113" t="s">
        <v>1152</v>
      </c>
      <c r="C7113">
        <v>0</v>
      </c>
    </row>
    <row r="7114" spans="1:3" x14ac:dyDescent="0.25">
      <c r="A7114" s="48" t="s">
        <v>203</v>
      </c>
      <c r="B7114" t="s">
        <v>204</v>
      </c>
      <c r="C7114">
        <v>3</v>
      </c>
    </row>
    <row r="7115" spans="1:3" x14ac:dyDescent="0.25">
      <c r="A7115" s="48" t="s">
        <v>7670</v>
      </c>
      <c r="B7115" t="s">
        <v>7671</v>
      </c>
      <c r="C7115">
        <v>0</v>
      </c>
    </row>
    <row r="7116" spans="1:3" x14ac:dyDescent="0.25">
      <c r="A7116" s="48" t="s">
        <v>13579</v>
      </c>
      <c r="B7116" t="s">
        <v>13580</v>
      </c>
      <c r="C7116">
        <v>0</v>
      </c>
    </row>
    <row r="7117" spans="1:3" x14ac:dyDescent="0.25">
      <c r="A7117" s="48" t="s">
        <v>5917</v>
      </c>
      <c r="B7117" t="s">
        <v>5918</v>
      </c>
      <c r="C7117">
        <v>0</v>
      </c>
    </row>
    <row r="7118" spans="1:3" x14ac:dyDescent="0.25">
      <c r="A7118" s="48" t="s">
        <v>4586</v>
      </c>
      <c r="B7118" t="s">
        <v>4587</v>
      </c>
      <c r="C7118">
        <v>0</v>
      </c>
    </row>
    <row r="7119" spans="1:3" x14ac:dyDescent="0.25">
      <c r="A7119" s="48" t="s">
        <v>1215</v>
      </c>
      <c r="B7119" t="s">
        <v>1216</v>
      </c>
      <c r="C7119">
        <v>3</v>
      </c>
    </row>
    <row r="7120" spans="1:3" x14ac:dyDescent="0.25">
      <c r="A7120" s="48" t="s">
        <v>13520</v>
      </c>
      <c r="B7120" t="s">
        <v>13521</v>
      </c>
      <c r="C7120">
        <v>1</v>
      </c>
    </row>
    <row r="7121" spans="1:3" x14ac:dyDescent="0.25">
      <c r="A7121" s="48" t="s">
        <v>9</v>
      </c>
      <c r="B7121" t="s">
        <v>10</v>
      </c>
      <c r="C7121">
        <v>10</v>
      </c>
    </row>
    <row r="7122" spans="1:3" x14ac:dyDescent="0.25">
      <c r="A7122" s="48" t="s">
        <v>12648</v>
      </c>
      <c r="B7122" t="s">
        <v>12649</v>
      </c>
      <c r="C7122">
        <v>0</v>
      </c>
    </row>
    <row r="7123" spans="1:3" x14ac:dyDescent="0.25">
      <c r="A7123" s="48" t="s">
        <v>12650</v>
      </c>
      <c r="B7123" t="s">
        <v>12651</v>
      </c>
      <c r="C7123">
        <v>0</v>
      </c>
    </row>
    <row r="7124" spans="1:3" x14ac:dyDescent="0.25">
      <c r="A7124" s="48" t="s">
        <v>12656</v>
      </c>
      <c r="B7124" t="s">
        <v>12657</v>
      </c>
      <c r="C7124">
        <v>0</v>
      </c>
    </row>
    <row r="7125" spans="1:3" x14ac:dyDescent="0.25">
      <c r="A7125" s="48" t="s">
        <v>12660</v>
      </c>
      <c r="B7125" t="s">
        <v>12661</v>
      </c>
      <c r="C7125">
        <v>0</v>
      </c>
    </row>
    <row r="7126" spans="1:3" x14ac:dyDescent="0.25">
      <c r="A7126" s="48" t="s">
        <v>12662</v>
      </c>
      <c r="B7126" t="s">
        <v>12663</v>
      </c>
      <c r="C7126">
        <v>0</v>
      </c>
    </row>
    <row r="7127" spans="1:3" x14ac:dyDescent="0.25">
      <c r="A7127" s="48" t="s">
        <v>12658</v>
      </c>
      <c r="B7127" t="s">
        <v>12659</v>
      </c>
      <c r="C7127">
        <v>29</v>
      </c>
    </row>
    <row r="7128" spans="1:3" x14ac:dyDescent="0.25">
      <c r="A7128" s="48" t="s">
        <v>7625</v>
      </c>
      <c r="B7128" t="s">
        <v>7626</v>
      </c>
      <c r="C7128">
        <v>0</v>
      </c>
    </row>
    <row r="7129" spans="1:3" x14ac:dyDescent="0.25">
      <c r="A7129" s="48" t="s">
        <v>61</v>
      </c>
      <c r="B7129" t="s">
        <v>62</v>
      </c>
      <c r="C7129">
        <v>7</v>
      </c>
    </row>
    <row r="7130" spans="1:3" x14ac:dyDescent="0.25">
      <c r="A7130" s="48" t="s">
        <v>407</v>
      </c>
      <c r="B7130" t="s">
        <v>408</v>
      </c>
      <c r="C7130">
        <v>2</v>
      </c>
    </row>
    <row r="7131" spans="1:3" x14ac:dyDescent="0.25">
      <c r="A7131" s="48" t="s">
        <v>7631</v>
      </c>
      <c r="B7131" t="s">
        <v>7632</v>
      </c>
      <c r="C7131">
        <v>1</v>
      </c>
    </row>
    <row r="7132" spans="1:3" x14ac:dyDescent="0.25">
      <c r="A7132" s="48" t="s">
        <v>7635</v>
      </c>
      <c r="B7132" t="s">
        <v>7636</v>
      </c>
      <c r="C7132">
        <v>0</v>
      </c>
    </row>
    <row r="7133" spans="1:3" x14ac:dyDescent="0.25">
      <c r="A7133" s="48" t="s">
        <v>1689</v>
      </c>
      <c r="B7133" t="s">
        <v>1690</v>
      </c>
      <c r="C7133">
        <v>3</v>
      </c>
    </row>
    <row r="7134" spans="1:3" x14ac:dyDescent="0.25">
      <c r="A7134" s="48" t="s">
        <v>143</v>
      </c>
      <c r="B7134" t="s">
        <v>144</v>
      </c>
      <c r="C7134">
        <v>0</v>
      </c>
    </row>
    <row r="7135" spans="1:3" x14ac:dyDescent="0.25">
      <c r="A7135" s="48" t="s">
        <v>14191</v>
      </c>
      <c r="B7135" t="s">
        <v>14192</v>
      </c>
      <c r="C7135">
        <v>2</v>
      </c>
    </row>
    <row r="7136" spans="1:3" x14ac:dyDescent="0.25">
      <c r="A7136" s="48" t="s">
        <v>721</v>
      </c>
      <c r="B7136" t="s">
        <v>722</v>
      </c>
      <c r="C7136">
        <v>4</v>
      </c>
    </row>
    <row r="7137" spans="1:3" x14ac:dyDescent="0.25">
      <c r="A7137" s="48" t="s">
        <v>8051</v>
      </c>
      <c r="B7137" t="s">
        <v>22102</v>
      </c>
      <c r="C7137">
        <v>0</v>
      </c>
    </row>
    <row r="7138" spans="1:3" x14ac:dyDescent="0.25">
      <c r="A7138" s="48" t="s">
        <v>8048</v>
      </c>
      <c r="B7138" t="s">
        <v>22103</v>
      </c>
      <c r="C7138">
        <v>5</v>
      </c>
    </row>
    <row r="7139" spans="1:3" x14ac:dyDescent="0.25">
      <c r="A7139" s="48" t="s">
        <v>8053</v>
      </c>
      <c r="B7139" t="s">
        <v>8054</v>
      </c>
      <c r="C7139">
        <v>0</v>
      </c>
    </row>
    <row r="7140" spans="1:3" x14ac:dyDescent="0.25">
      <c r="A7140" s="48" t="s">
        <v>971</v>
      </c>
      <c r="B7140" t="s">
        <v>972</v>
      </c>
      <c r="C7140">
        <v>24</v>
      </c>
    </row>
    <row r="7141" spans="1:3" x14ac:dyDescent="0.25">
      <c r="A7141" s="48" t="s">
        <v>15417</v>
      </c>
      <c r="B7141" t="s">
        <v>22104</v>
      </c>
      <c r="C7141">
        <v>0</v>
      </c>
    </row>
    <row r="7142" spans="1:3" x14ac:dyDescent="0.25">
      <c r="A7142" s="48" t="s">
        <v>1331</v>
      </c>
      <c r="B7142" t="s">
        <v>1332</v>
      </c>
      <c r="C7142">
        <v>7</v>
      </c>
    </row>
    <row r="7143" spans="1:3" x14ac:dyDescent="0.25">
      <c r="A7143" s="48" t="s">
        <v>9414</v>
      </c>
      <c r="B7143" t="s">
        <v>9415</v>
      </c>
      <c r="C7143">
        <v>20</v>
      </c>
    </row>
    <row r="7144" spans="1:3" x14ac:dyDescent="0.25">
      <c r="A7144" s="48" t="s">
        <v>9412</v>
      </c>
      <c r="B7144" t="s">
        <v>9413</v>
      </c>
      <c r="C7144">
        <v>29</v>
      </c>
    </row>
    <row r="7145" spans="1:3" x14ac:dyDescent="0.25">
      <c r="A7145" s="48" t="s">
        <v>16482</v>
      </c>
      <c r="B7145" t="s">
        <v>16483</v>
      </c>
      <c r="C7145">
        <v>0</v>
      </c>
    </row>
    <row r="7146" spans="1:3" x14ac:dyDescent="0.25">
      <c r="A7146" s="48" t="s">
        <v>17266</v>
      </c>
      <c r="B7146" t="s">
        <v>17267</v>
      </c>
      <c r="C7146">
        <v>0</v>
      </c>
    </row>
    <row r="7147" spans="1:3" x14ac:dyDescent="0.25">
      <c r="A7147" s="48" t="s">
        <v>17064</v>
      </c>
      <c r="B7147" t="s">
        <v>22105</v>
      </c>
      <c r="C7147">
        <v>0</v>
      </c>
    </row>
    <row r="7148" spans="1:3" x14ac:dyDescent="0.25">
      <c r="A7148" s="48" t="s">
        <v>8203</v>
      </c>
      <c r="B7148" t="s">
        <v>22106</v>
      </c>
      <c r="C7148">
        <v>1</v>
      </c>
    </row>
    <row r="7149" spans="1:3" x14ac:dyDescent="0.25">
      <c r="A7149" s="48" t="s">
        <v>1355</v>
      </c>
      <c r="B7149" t="s">
        <v>1356</v>
      </c>
      <c r="C7149">
        <v>0</v>
      </c>
    </row>
    <row r="7150" spans="1:3" x14ac:dyDescent="0.25">
      <c r="A7150" s="48" t="s">
        <v>11894</v>
      </c>
      <c r="B7150" t="s">
        <v>11895</v>
      </c>
      <c r="C7150">
        <v>0</v>
      </c>
    </row>
    <row r="7151" spans="1:3" x14ac:dyDescent="0.25">
      <c r="A7151" s="48" t="s">
        <v>18095</v>
      </c>
      <c r="B7151" t="s">
        <v>18096</v>
      </c>
      <c r="C7151">
        <v>0</v>
      </c>
    </row>
    <row r="7152" spans="1:3" x14ac:dyDescent="0.25">
      <c r="A7152" s="48" t="s">
        <v>13627</v>
      </c>
      <c r="B7152" t="s">
        <v>13628</v>
      </c>
      <c r="C7152">
        <v>27</v>
      </c>
    </row>
    <row r="7153" spans="1:3" x14ac:dyDescent="0.25">
      <c r="A7153" s="48" t="s">
        <v>18097</v>
      </c>
      <c r="B7153" t="s">
        <v>18098</v>
      </c>
      <c r="C7153">
        <v>0</v>
      </c>
    </row>
    <row r="7154" spans="1:3" x14ac:dyDescent="0.25">
      <c r="A7154" s="48" t="s">
        <v>18099</v>
      </c>
      <c r="B7154" t="s">
        <v>18100</v>
      </c>
      <c r="C7154">
        <v>17</v>
      </c>
    </row>
    <row r="7155" spans="1:3" x14ac:dyDescent="0.25">
      <c r="A7155" s="48" t="s">
        <v>18093</v>
      </c>
      <c r="B7155" t="s">
        <v>18094</v>
      </c>
      <c r="C7155">
        <v>25</v>
      </c>
    </row>
    <row r="7156" spans="1:3" x14ac:dyDescent="0.25">
      <c r="A7156" s="48" t="s">
        <v>18091</v>
      </c>
      <c r="B7156" t="s">
        <v>18092</v>
      </c>
      <c r="C7156">
        <v>0</v>
      </c>
    </row>
    <row r="7157" spans="1:3" x14ac:dyDescent="0.25">
      <c r="A7157" s="48" t="s">
        <v>18101</v>
      </c>
      <c r="B7157" t="s">
        <v>18102</v>
      </c>
      <c r="C7157">
        <v>0</v>
      </c>
    </row>
    <row r="7158" spans="1:3" x14ac:dyDescent="0.25">
      <c r="A7158" s="48" t="s">
        <v>18235</v>
      </c>
      <c r="B7158" t="s">
        <v>18236</v>
      </c>
      <c r="C7158">
        <v>1</v>
      </c>
    </row>
    <row r="7159" spans="1:3" x14ac:dyDescent="0.25">
      <c r="A7159" s="48" t="s">
        <v>13623</v>
      </c>
      <c r="B7159" t="s">
        <v>13624</v>
      </c>
      <c r="C7159">
        <v>3</v>
      </c>
    </row>
    <row r="7160" spans="1:3" x14ac:dyDescent="0.25">
      <c r="A7160" s="48" t="s">
        <v>13625</v>
      </c>
      <c r="B7160" t="s">
        <v>13626</v>
      </c>
      <c r="C7160">
        <v>0</v>
      </c>
    </row>
    <row r="7161" spans="1:3" x14ac:dyDescent="0.25">
      <c r="A7161" s="48" t="s">
        <v>13621</v>
      </c>
      <c r="B7161" t="s">
        <v>13622</v>
      </c>
      <c r="C7161">
        <v>13</v>
      </c>
    </row>
    <row r="7162" spans="1:3" x14ac:dyDescent="0.25">
      <c r="A7162" s="48" t="s">
        <v>16626</v>
      </c>
      <c r="B7162" t="s">
        <v>22986</v>
      </c>
      <c r="C7162">
        <v>79</v>
      </c>
    </row>
    <row r="7163" spans="1:3" x14ac:dyDescent="0.25">
      <c r="A7163" s="48" t="s">
        <v>18035</v>
      </c>
      <c r="B7163" t="s">
        <v>18036</v>
      </c>
      <c r="C7163">
        <v>0</v>
      </c>
    </row>
    <row r="7164" spans="1:3" x14ac:dyDescent="0.25">
      <c r="A7164" s="48" t="s">
        <v>18033</v>
      </c>
      <c r="B7164" t="s">
        <v>18034</v>
      </c>
      <c r="C7164">
        <v>0</v>
      </c>
    </row>
    <row r="7165" spans="1:3" x14ac:dyDescent="0.25">
      <c r="A7165" s="48" t="s">
        <v>18029</v>
      </c>
      <c r="B7165" t="s">
        <v>18030</v>
      </c>
      <c r="C7165">
        <v>11</v>
      </c>
    </row>
    <row r="7166" spans="1:3" x14ac:dyDescent="0.25">
      <c r="A7166" s="48" t="s">
        <v>8373</v>
      </c>
      <c r="B7166" t="s">
        <v>8374</v>
      </c>
      <c r="C7166">
        <v>7</v>
      </c>
    </row>
    <row r="7167" spans="1:3" x14ac:dyDescent="0.25">
      <c r="A7167" s="48" t="s">
        <v>8377</v>
      </c>
      <c r="B7167" t="s">
        <v>8378</v>
      </c>
      <c r="C7167">
        <v>13</v>
      </c>
    </row>
    <row r="7168" spans="1:3" x14ac:dyDescent="0.25">
      <c r="A7168" s="48" t="s">
        <v>8381</v>
      </c>
      <c r="B7168" t="s">
        <v>8382</v>
      </c>
      <c r="C7168">
        <v>7</v>
      </c>
    </row>
    <row r="7169" spans="1:3" x14ac:dyDescent="0.25">
      <c r="A7169" s="48" t="s">
        <v>8379</v>
      </c>
      <c r="B7169" t="s">
        <v>8380</v>
      </c>
      <c r="C7169">
        <v>12</v>
      </c>
    </row>
    <row r="7170" spans="1:3" x14ac:dyDescent="0.25">
      <c r="A7170" s="48" t="s">
        <v>8375</v>
      </c>
      <c r="B7170" t="s">
        <v>8376</v>
      </c>
      <c r="C7170">
        <v>14</v>
      </c>
    </row>
    <row r="7171" spans="1:3" x14ac:dyDescent="0.25">
      <c r="A7171" s="48" t="s">
        <v>2646</v>
      </c>
      <c r="B7171" t="s">
        <v>2647</v>
      </c>
      <c r="C7171">
        <v>49</v>
      </c>
    </row>
    <row r="7172" spans="1:3" x14ac:dyDescent="0.25">
      <c r="A7172" s="48" t="s">
        <v>2650</v>
      </c>
      <c r="B7172" t="s">
        <v>2651</v>
      </c>
      <c r="C7172">
        <v>1</v>
      </c>
    </row>
    <row r="7173" spans="1:3" x14ac:dyDescent="0.25">
      <c r="A7173" s="48" t="s">
        <v>2644</v>
      </c>
      <c r="B7173" t="s">
        <v>2645</v>
      </c>
      <c r="C7173">
        <v>119</v>
      </c>
    </row>
    <row r="7174" spans="1:3" x14ac:dyDescent="0.25">
      <c r="A7174" s="48" t="s">
        <v>2648</v>
      </c>
      <c r="B7174" t="s">
        <v>2649</v>
      </c>
      <c r="C7174">
        <v>293</v>
      </c>
    </row>
    <row r="7175" spans="1:3" x14ac:dyDescent="0.25">
      <c r="A7175" s="48" t="s">
        <v>13797</v>
      </c>
      <c r="B7175" t="s">
        <v>13798</v>
      </c>
      <c r="C7175">
        <v>30</v>
      </c>
    </row>
    <row r="7176" spans="1:3" x14ac:dyDescent="0.25">
      <c r="A7176" s="48" t="s">
        <v>13793</v>
      </c>
      <c r="B7176" t="s">
        <v>13794</v>
      </c>
      <c r="C7176">
        <v>4</v>
      </c>
    </row>
    <row r="7177" spans="1:3" x14ac:dyDescent="0.25">
      <c r="A7177" s="48" t="s">
        <v>1579</v>
      </c>
      <c r="B7177" t="s">
        <v>1580</v>
      </c>
      <c r="C7177">
        <v>105</v>
      </c>
    </row>
    <row r="7178" spans="1:3" x14ac:dyDescent="0.25">
      <c r="A7178" s="48" t="s">
        <v>1445</v>
      </c>
      <c r="B7178" t="s">
        <v>1446</v>
      </c>
      <c r="C7178">
        <v>1</v>
      </c>
    </row>
    <row r="7179" spans="1:3" x14ac:dyDescent="0.25">
      <c r="A7179" s="48" t="s">
        <v>1051</v>
      </c>
      <c r="B7179" t="s">
        <v>1052</v>
      </c>
      <c r="C7179">
        <v>22</v>
      </c>
    </row>
    <row r="7180" spans="1:3" x14ac:dyDescent="0.25">
      <c r="A7180" s="48" t="s">
        <v>653</v>
      </c>
      <c r="B7180" t="s">
        <v>654</v>
      </c>
      <c r="C7180">
        <v>200</v>
      </c>
    </row>
    <row r="7181" spans="1:3" x14ac:dyDescent="0.25">
      <c r="A7181" s="48" t="s">
        <v>1555</v>
      </c>
      <c r="B7181" t="s">
        <v>1556</v>
      </c>
      <c r="C7181">
        <v>384</v>
      </c>
    </row>
    <row r="7182" spans="1:3" x14ac:dyDescent="0.25">
      <c r="A7182" s="48" t="s">
        <v>1505</v>
      </c>
      <c r="B7182" t="s">
        <v>1506</v>
      </c>
      <c r="C7182">
        <v>161</v>
      </c>
    </row>
    <row r="7183" spans="1:3" x14ac:dyDescent="0.25">
      <c r="A7183" s="48" t="s">
        <v>13777</v>
      </c>
      <c r="B7183" t="s">
        <v>13778</v>
      </c>
      <c r="C7183">
        <v>7</v>
      </c>
    </row>
    <row r="7184" spans="1:3" x14ac:dyDescent="0.25">
      <c r="A7184" s="48" t="s">
        <v>1649</v>
      </c>
      <c r="B7184" t="s">
        <v>1650</v>
      </c>
      <c r="C7184">
        <v>149</v>
      </c>
    </row>
    <row r="7185" spans="1:3" x14ac:dyDescent="0.25">
      <c r="A7185" s="48" t="s">
        <v>685</v>
      </c>
      <c r="B7185" t="s">
        <v>686</v>
      </c>
      <c r="C7185">
        <v>127</v>
      </c>
    </row>
    <row r="7186" spans="1:3" x14ac:dyDescent="0.25">
      <c r="A7186" s="48" t="s">
        <v>15571</v>
      </c>
      <c r="B7186" t="s">
        <v>15572</v>
      </c>
      <c r="C7186">
        <v>13</v>
      </c>
    </row>
    <row r="7187" spans="1:3" x14ac:dyDescent="0.25">
      <c r="A7187" s="48" t="s">
        <v>15591</v>
      </c>
      <c r="B7187" t="s">
        <v>15592</v>
      </c>
      <c r="C7187">
        <v>8</v>
      </c>
    </row>
    <row r="7188" spans="1:3" x14ac:dyDescent="0.25">
      <c r="A7188" s="48" t="s">
        <v>15587</v>
      </c>
      <c r="B7188" t="s">
        <v>15588</v>
      </c>
      <c r="C7188">
        <v>3</v>
      </c>
    </row>
    <row r="7189" spans="1:3" x14ac:dyDescent="0.25">
      <c r="A7189" s="48" t="s">
        <v>15575</v>
      </c>
      <c r="B7189" t="s">
        <v>15576</v>
      </c>
      <c r="C7189">
        <v>32</v>
      </c>
    </row>
    <row r="7190" spans="1:3" x14ac:dyDescent="0.25">
      <c r="A7190" s="48" t="s">
        <v>15585</v>
      </c>
      <c r="B7190" t="s">
        <v>15586</v>
      </c>
      <c r="C7190">
        <v>15</v>
      </c>
    </row>
    <row r="7191" spans="1:3" x14ac:dyDescent="0.25">
      <c r="A7191" s="48" t="s">
        <v>15577</v>
      </c>
      <c r="B7191" t="s">
        <v>15578</v>
      </c>
      <c r="C7191">
        <v>4</v>
      </c>
    </row>
    <row r="7192" spans="1:3" x14ac:dyDescent="0.25">
      <c r="A7192" s="48" t="s">
        <v>1415</v>
      </c>
      <c r="B7192" t="s">
        <v>1416</v>
      </c>
      <c r="C7192">
        <v>147</v>
      </c>
    </row>
    <row r="7193" spans="1:3" x14ac:dyDescent="0.25">
      <c r="A7193" s="48" t="s">
        <v>739</v>
      </c>
      <c r="B7193" t="s">
        <v>740</v>
      </c>
      <c r="C7193">
        <v>243</v>
      </c>
    </row>
    <row r="7194" spans="1:3" x14ac:dyDescent="0.25">
      <c r="A7194" s="48" t="s">
        <v>13781</v>
      </c>
      <c r="B7194" t="s">
        <v>13782</v>
      </c>
      <c r="C7194">
        <v>209</v>
      </c>
    </row>
    <row r="7195" spans="1:3" x14ac:dyDescent="0.25">
      <c r="A7195" s="48" t="s">
        <v>1447</v>
      </c>
      <c r="B7195" t="s">
        <v>1448</v>
      </c>
      <c r="C7195">
        <v>9</v>
      </c>
    </row>
    <row r="7196" spans="1:3" x14ac:dyDescent="0.25">
      <c r="A7196" s="48" t="s">
        <v>431</v>
      </c>
      <c r="B7196" t="s">
        <v>432</v>
      </c>
      <c r="C7196">
        <v>62</v>
      </c>
    </row>
    <row r="7197" spans="1:3" x14ac:dyDescent="0.25">
      <c r="A7197" s="48" t="s">
        <v>13753</v>
      </c>
      <c r="B7197" t="s">
        <v>13754</v>
      </c>
      <c r="C7197">
        <v>1</v>
      </c>
    </row>
    <row r="7198" spans="1:3" x14ac:dyDescent="0.25">
      <c r="A7198" s="48" t="s">
        <v>1449</v>
      </c>
      <c r="B7198" t="s">
        <v>1450</v>
      </c>
      <c r="C7198">
        <v>69</v>
      </c>
    </row>
    <row r="7199" spans="1:3" x14ac:dyDescent="0.25">
      <c r="A7199" s="48" t="s">
        <v>15599</v>
      </c>
      <c r="B7199" t="s">
        <v>15600</v>
      </c>
      <c r="C7199">
        <v>9</v>
      </c>
    </row>
    <row r="7200" spans="1:3" x14ac:dyDescent="0.25">
      <c r="A7200" s="48" t="s">
        <v>15581</v>
      </c>
      <c r="B7200" t="s">
        <v>15582</v>
      </c>
      <c r="C7200">
        <v>9</v>
      </c>
    </row>
    <row r="7201" spans="1:3" x14ac:dyDescent="0.25">
      <c r="A7201" s="48" t="s">
        <v>15569</v>
      </c>
      <c r="B7201" t="s">
        <v>15570</v>
      </c>
      <c r="C7201">
        <v>15</v>
      </c>
    </row>
    <row r="7202" spans="1:3" x14ac:dyDescent="0.25">
      <c r="A7202" s="48" t="s">
        <v>15605</v>
      </c>
      <c r="B7202" t="s">
        <v>15606</v>
      </c>
      <c r="C7202">
        <v>4</v>
      </c>
    </row>
    <row r="7203" spans="1:3" x14ac:dyDescent="0.25">
      <c r="A7203" s="48" t="s">
        <v>15561</v>
      </c>
      <c r="B7203" t="s">
        <v>22107</v>
      </c>
      <c r="C7203">
        <v>11</v>
      </c>
    </row>
    <row r="7204" spans="1:3" x14ac:dyDescent="0.25">
      <c r="A7204" s="48" t="s">
        <v>15583</v>
      </c>
      <c r="B7204" t="s">
        <v>15584</v>
      </c>
      <c r="C7204">
        <v>3</v>
      </c>
    </row>
    <row r="7205" spans="1:3" x14ac:dyDescent="0.25">
      <c r="A7205" s="48" t="s">
        <v>15565</v>
      </c>
      <c r="B7205" t="s">
        <v>15566</v>
      </c>
      <c r="C7205">
        <v>24</v>
      </c>
    </row>
    <row r="7206" spans="1:3" x14ac:dyDescent="0.25">
      <c r="A7206" s="48" t="s">
        <v>15589</v>
      </c>
      <c r="B7206" t="s">
        <v>15590</v>
      </c>
      <c r="C7206">
        <v>6</v>
      </c>
    </row>
    <row r="7207" spans="1:3" x14ac:dyDescent="0.25">
      <c r="A7207" s="48" t="s">
        <v>15563</v>
      </c>
      <c r="B7207" t="s">
        <v>15564</v>
      </c>
      <c r="C7207">
        <v>22</v>
      </c>
    </row>
    <row r="7208" spans="1:3" x14ac:dyDescent="0.25">
      <c r="A7208" s="48" t="s">
        <v>15593</v>
      </c>
      <c r="B7208" t="s">
        <v>15594</v>
      </c>
      <c r="C7208">
        <v>23</v>
      </c>
    </row>
    <row r="7209" spans="1:3" x14ac:dyDescent="0.25">
      <c r="A7209" s="48" t="s">
        <v>18470</v>
      </c>
      <c r="B7209" t="s">
        <v>18471</v>
      </c>
      <c r="C7209">
        <v>28</v>
      </c>
    </row>
    <row r="7210" spans="1:3" x14ac:dyDescent="0.25">
      <c r="A7210" s="48" t="s">
        <v>13761</v>
      </c>
      <c r="B7210" t="s">
        <v>13762</v>
      </c>
      <c r="C7210">
        <v>128</v>
      </c>
    </row>
    <row r="7211" spans="1:3" x14ac:dyDescent="0.25">
      <c r="A7211" s="48" t="s">
        <v>13775</v>
      </c>
      <c r="B7211" t="s">
        <v>13776</v>
      </c>
      <c r="C7211">
        <v>150</v>
      </c>
    </row>
    <row r="7212" spans="1:3" x14ac:dyDescent="0.25">
      <c r="A7212" s="48" t="s">
        <v>13773</v>
      </c>
      <c r="B7212" t="s">
        <v>13774</v>
      </c>
      <c r="C7212">
        <v>139</v>
      </c>
    </row>
    <row r="7213" spans="1:3" x14ac:dyDescent="0.25">
      <c r="A7213" s="48" t="s">
        <v>1103</v>
      </c>
      <c r="B7213" t="s">
        <v>1104</v>
      </c>
      <c r="C7213">
        <v>121</v>
      </c>
    </row>
    <row r="7214" spans="1:3" x14ac:dyDescent="0.25">
      <c r="A7214" s="48" t="s">
        <v>1882</v>
      </c>
      <c r="B7214" t="s">
        <v>1883</v>
      </c>
      <c r="C7214">
        <v>161</v>
      </c>
    </row>
    <row r="7215" spans="1:3" x14ac:dyDescent="0.25">
      <c r="A7215" s="48" t="s">
        <v>13771</v>
      </c>
      <c r="B7215" t="s">
        <v>13772</v>
      </c>
      <c r="C7215">
        <v>488</v>
      </c>
    </row>
    <row r="7216" spans="1:3" x14ac:dyDescent="0.25">
      <c r="A7216" s="48" t="s">
        <v>749</v>
      </c>
      <c r="B7216" t="s">
        <v>750</v>
      </c>
      <c r="C7216">
        <v>340</v>
      </c>
    </row>
    <row r="7217" spans="1:3" x14ac:dyDescent="0.25">
      <c r="A7217" s="48" t="s">
        <v>13767</v>
      </c>
      <c r="B7217" t="s">
        <v>13768</v>
      </c>
      <c r="C7217">
        <v>157</v>
      </c>
    </row>
    <row r="7218" spans="1:3" x14ac:dyDescent="0.25">
      <c r="A7218" s="48" t="s">
        <v>13765</v>
      </c>
      <c r="B7218" t="s">
        <v>13766</v>
      </c>
      <c r="C7218">
        <v>164</v>
      </c>
    </row>
    <row r="7219" spans="1:3" x14ac:dyDescent="0.25">
      <c r="A7219" s="48" t="s">
        <v>387</v>
      </c>
      <c r="B7219" t="s">
        <v>388</v>
      </c>
      <c r="C7219">
        <v>68</v>
      </c>
    </row>
    <row r="7220" spans="1:3" x14ac:dyDescent="0.25">
      <c r="A7220" s="48" t="s">
        <v>18474</v>
      </c>
      <c r="B7220" t="s">
        <v>18475</v>
      </c>
      <c r="C7220">
        <v>13</v>
      </c>
    </row>
    <row r="7221" spans="1:3" x14ac:dyDescent="0.25">
      <c r="A7221" s="48" t="s">
        <v>18472</v>
      </c>
      <c r="B7221" t="s">
        <v>18473</v>
      </c>
      <c r="C7221">
        <v>0</v>
      </c>
    </row>
    <row r="7222" spans="1:3" x14ac:dyDescent="0.25">
      <c r="A7222" s="48" t="s">
        <v>18480</v>
      </c>
      <c r="B7222" t="s">
        <v>18481</v>
      </c>
      <c r="C7222">
        <v>0</v>
      </c>
    </row>
    <row r="7223" spans="1:3" x14ac:dyDescent="0.25">
      <c r="A7223" s="48" t="s">
        <v>18027</v>
      </c>
      <c r="B7223" t="s">
        <v>18028</v>
      </c>
      <c r="C7223">
        <v>55</v>
      </c>
    </row>
    <row r="7224" spans="1:3" x14ac:dyDescent="0.25">
      <c r="A7224" s="48" t="s">
        <v>18031</v>
      </c>
      <c r="B7224" t="s">
        <v>18032</v>
      </c>
      <c r="C7224">
        <v>0</v>
      </c>
    </row>
    <row r="7225" spans="1:3" x14ac:dyDescent="0.25">
      <c r="A7225" s="48" t="s">
        <v>16952</v>
      </c>
      <c r="B7225" t="s">
        <v>16953</v>
      </c>
      <c r="C7225">
        <v>16</v>
      </c>
    </row>
    <row r="7226" spans="1:3" x14ac:dyDescent="0.25">
      <c r="A7226" s="48" t="s">
        <v>1643</v>
      </c>
      <c r="B7226" t="s">
        <v>1644</v>
      </c>
      <c r="C7226">
        <v>152</v>
      </c>
    </row>
    <row r="7227" spans="1:3" x14ac:dyDescent="0.25">
      <c r="A7227" s="48" t="s">
        <v>1755</v>
      </c>
      <c r="B7227" t="s">
        <v>1756</v>
      </c>
      <c r="C7227">
        <v>141</v>
      </c>
    </row>
    <row r="7228" spans="1:3" x14ac:dyDescent="0.25">
      <c r="A7228" s="48" t="s">
        <v>13769</v>
      </c>
      <c r="B7228" t="s">
        <v>13770</v>
      </c>
      <c r="C7228">
        <v>65</v>
      </c>
    </row>
    <row r="7229" spans="1:3" x14ac:dyDescent="0.25">
      <c r="A7229" s="48" t="s">
        <v>13763</v>
      </c>
      <c r="B7229" t="s">
        <v>13764</v>
      </c>
      <c r="C7229">
        <v>82</v>
      </c>
    </row>
    <row r="7230" spans="1:3" x14ac:dyDescent="0.25">
      <c r="A7230" s="48" t="s">
        <v>2642</v>
      </c>
      <c r="B7230" t="s">
        <v>2643</v>
      </c>
      <c r="C7230">
        <v>23</v>
      </c>
    </row>
    <row r="7231" spans="1:3" x14ac:dyDescent="0.25">
      <c r="A7231" s="48" t="s">
        <v>2638</v>
      </c>
      <c r="B7231" t="s">
        <v>2639</v>
      </c>
      <c r="C7231">
        <v>123</v>
      </c>
    </row>
    <row r="7232" spans="1:3" x14ac:dyDescent="0.25">
      <c r="A7232" s="48" t="s">
        <v>2636</v>
      </c>
      <c r="B7232" t="s">
        <v>2637</v>
      </c>
      <c r="C7232">
        <v>34</v>
      </c>
    </row>
    <row r="7233" spans="1:3" x14ac:dyDescent="0.25">
      <c r="A7233" s="48" t="s">
        <v>2634</v>
      </c>
      <c r="B7233" t="s">
        <v>22108</v>
      </c>
      <c r="C7233">
        <v>74</v>
      </c>
    </row>
    <row r="7234" spans="1:3" x14ac:dyDescent="0.25">
      <c r="A7234" s="48" t="s">
        <v>2640</v>
      </c>
      <c r="B7234" t="s">
        <v>2641</v>
      </c>
      <c r="C7234">
        <v>12</v>
      </c>
    </row>
    <row r="7235" spans="1:3" x14ac:dyDescent="0.25">
      <c r="A7235" s="48" t="s">
        <v>13795</v>
      </c>
      <c r="B7235" t="s">
        <v>13796</v>
      </c>
      <c r="C7235">
        <v>65</v>
      </c>
    </row>
    <row r="7236" spans="1:3" x14ac:dyDescent="0.25">
      <c r="A7236" s="48" t="s">
        <v>16934</v>
      </c>
      <c r="B7236" t="s">
        <v>16935</v>
      </c>
      <c r="C7236">
        <v>17</v>
      </c>
    </row>
    <row r="7237" spans="1:3" x14ac:dyDescent="0.25">
      <c r="A7237" s="48" t="s">
        <v>335</v>
      </c>
      <c r="B7237" t="s">
        <v>336</v>
      </c>
      <c r="C7237">
        <v>41</v>
      </c>
    </row>
    <row r="7238" spans="1:3" x14ac:dyDescent="0.25">
      <c r="A7238" s="48" t="s">
        <v>16940</v>
      </c>
      <c r="B7238" t="s">
        <v>16941</v>
      </c>
      <c r="C7238">
        <v>7</v>
      </c>
    </row>
    <row r="7239" spans="1:3" x14ac:dyDescent="0.25">
      <c r="A7239" s="48" t="s">
        <v>16944</v>
      </c>
      <c r="B7239" t="s">
        <v>16945</v>
      </c>
      <c r="C7239">
        <v>16</v>
      </c>
    </row>
    <row r="7240" spans="1:3" x14ac:dyDescent="0.25">
      <c r="A7240" s="48" t="s">
        <v>16942</v>
      </c>
      <c r="B7240" t="s">
        <v>16943</v>
      </c>
      <c r="C7240">
        <v>12</v>
      </c>
    </row>
    <row r="7241" spans="1:3" x14ac:dyDescent="0.25">
      <c r="A7241" s="48" t="s">
        <v>16958</v>
      </c>
      <c r="B7241" t="s">
        <v>16959</v>
      </c>
      <c r="C7241">
        <v>10</v>
      </c>
    </row>
    <row r="7242" spans="1:3" x14ac:dyDescent="0.25">
      <c r="A7242" s="48" t="s">
        <v>16956</v>
      </c>
      <c r="B7242" t="s">
        <v>16957</v>
      </c>
      <c r="C7242">
        <v>1</v>
      </c>
    </row>
    <row r="7243" spans="1:3" x14ac:dyDescent="0.25">
      <c r="A7243" s="48" t="s">
        <v>16938</v>
      </c>
      <c r="B7243" t="s">
        <v>16939</v>
      </c>
      <c r="C7243">
        <v>12</v>
      </c>
    </row>
    <row r="7244" spans="1:3" x14ac:dyDescent="0.25">
      <c r="A7244" s="48" t="s">
        <v>16954</v>
      </c>
      <c r="B7244" t="s">
        <v>16955</v>
      </c>
      <c r="C7244">
        <v>11</v>
      </c>
    </row>
    <row r="7245" spans="1:3" x14ac:dyDescent="0.25">
      <c r="A7245" s="48" t="s">
        <v>16950</v>
      </c>
      <c r="B7245" t="s">
        <v>16951</v>
      </c>
      <c r="C7245">
        <v>16</v>
      </c>
    </row>
    <row r="7246" spans="1:3" x14ac:dyDescent="0.25">
      <c r="A7246" s="48" t="s">
        <v>16948</v>
      </c>
      <c r="B7246" t="s">
        <v>16949</v>
      </c>
      <c r="C7246">
        <v>0</v>
      </c>
    </row>
    <row r="7247" spans="1:3" x14ac:dyDescent="0.25">
      <c r="A7247" s="48" t="s">
        <v>16932</v>
      </c>
      <c r="B7247" t="s">
        <v>16933</v>
      </c>
      <c r="C7247">
        <v>0</v>
      </c>
    </row>
    <row r="7248" spans="1:3" x14ac:dyDescent="0.25">
      <c r="A7248" s="48" t="s">
        <v>16946</v>
      </c>
      <c r="B7248" t="s">
        <v>16947</v>
      </c>
      <c r="C7248">
        <v>11</v>
      </c>
    </row>
    <row r="7249" spans="1:3" x14ac:dyDescent="0.25">
      <c r="A7249" s="48" t="s">
        <v>16936</v>
      </c>
      <c r="B7249" t="s">
        <v>16937</v>
      </c>
      <c r="C7249">
        <v>11</v>
      </c>
    </row>
    <row r="7250" spans="1:3" x14ac:dyDescent="0.25">
      <c r="A7250" s="48" t="s">
        <v>13785</v>
      </c>
      <c r="B7250" t="s">
        <v>13786</v>
      </c>
      <c r="C7250">
        <v>18</v>
      </c>
    </row>
    <row r="7251" spans="1:3" x14ac:dyDescent="0.25">
      <c r="A7251" s="48" t="s">
        <v>13787</v>
      </c>
      <c r="B7251" t="s">
        <v>13788</v>
      </c>
      <c r="C7251">
        <v>6</v>
      </c>
    </row>
    <row r="7252" spans="1:3" x14ac:dyDescent="0.25">
      <c r="A7252" s="48" t="s">
        <v>1053</v>
      </c>
      <c r="B7252" t="s">
        <v>1054</v>
      </c>
      <c r="C7252">
        <v>116</v>
      </c>
    </row>
    <row r="7253" spans="1:3" x14ac:dyDescent="0.25">
      <c r="A7253" s="48" t="s">
        <v>569</v>
      </c>
      <c r="B7253" t="s">
        <v>570</v>
      </c>
      <c r="C7253">
        <v>104</v>
      </c>
    </row>
    <row r="7254" spans="1:3" x14ac:dyDescent="0.25">
      <c r="A7254" s="48" t="s">
        <v>13799</v>
      </c>
      <c r="B7254" t="s">
        <v>13800</v>
      </c>
      <c r="C7254">
        <v>43</v>
      </c>
    </row>
    <row r="7255" spans="1:3" x14ac:dyDescent="0.25">
      <c r="A7255" s="48" t="s">
        <v>13789</v>
      </c>
      <c r="B7255" t="s">
        <v>13790</v>
      </c>
      <c r="C7255">
        <v>21</v>
      </c>
    </row>
    <row r="7256" spans="1:3" x14ac:dyDescent="0.25">
      <c r="A7256" s="48" t="s">
        <v>13791</v>
      </c>
      <c r="B7256" t="s">
        <v>13792</v>
      </c>
      <c r="C7256">
        <v>15</v>
      </c>
    </row>
    <row r="7257" spans="1:3" x14ac:dyDescent="0.25">
      <c r="A7257" s="48" t="s">
        <v>13801</v>
      </c>
      <c r="B7257" t="s">
        <v>13802</v>
      </c>
      <c r="C7257">
        <v>62</v>
      </c>
    </row>
    <row r="7258" spans="1:3" x14ac:dyDescent="0.25">
      <c r="A7258" s="48" t="s">
        <v>13783</v>
      </c>
      <c r="B7258" t="s">
        <v>13784</v>
      </c>
      <c r="C7258">
        <v>13</v>
      </c>
    </row>
    <row r="7259" spans="1:3" x14ac:dyDescent="0.25">
      <c r="A7259" s="48" t="s">
        <v>13757</v>
      </c>
      <c r="B7259" t="s">
        <v>13758</v>
      </c>
      <c r="C7259">
        <v>146</v>
      </c>
    </row>
    <row r="7260" spans="1:3" x14ac:dyDescent="0.25">
      <c r="A7260" s="48" t="s">
        <v>13755</v>
      </c>
      <c r="B7260" t="s">
        <v>13756</v>
      </c>
      <c r="C7260">
        <v>8</v>
      </c>
    </row>
    <row r="7261" spans="1:3" x14ac:dyDescent="0.25">
      <c r="A7261" s="48" t="s">
        <v>13759</v>
      </c>
      <c r="B7261" t="s">
        <v>13760</v>
      </c>
      <c r="C7261">
        <v>165</v>
      </c>
    </row>
    <row r="7262" spans="1:3" x14ac:dyDescent="0.25">
      <c r="A7262" s="48" t="s">
        <v>22987</v>
      </c>
      <c r="B7262" t="s">
        <v>22988</v>
      </c>
      <c r="C7262">
        <v>0</v>
      </c>
    </row>
    <row r="7263" spans="1:3" x14ac:dyDescent="0.25">
      <c r="A7263" s="48" t="s">
        <v>18476</v>
      </c>
      <c r="B7263" t="s">
        <v>18477</v>
      </c>
      <c r="C7263">
        <v>29</v>
      </c>
    </row>
    <row r="7264" spans="1:3" x14ac:dyDescent="0.25">
      <c r="A7264" s="48" t="s">
        <v>13805</v>
      </c>
      <c r="B7264" t="s">
        <v>13806</v>
      </c>
      <c r="C7264">
        <v>21</v>
      </c>
    </row>
    <row r="7265" spans="1:3" x14ac:dyDescent="0.25">
      <c r="A7265" s="48" t="s">
        <v>13803</v>
      </c>
      <c r="B7265" t="s">
        <v>13804</v>
      </c>
      <c r="C7265">
        <v>72</v>
      </c>
    </row>
    <row r="7266" spans="1:3" x14ac:dyDescent="0.25">
      <c r="A7266" s="48" t="s">
        <v>13635</v>
      </c>
      <c r="B7266" t="s">
        <v>13636</v>
      </c>
      <c r="C7266">
        <v>49</v>
      </c>
    </row>
    <row r="7267" spans="1:3" x14ac:dyDescent="0.25">
      <c r="A7267" s="48" t="s">
        <v>1685</v>
      </c>
      <c r="B7267" t="s">
        <v>1686</v>
      </c>
      <c r="C7267">
        <v>66</v>
      </c>
    </row>
    <row r="7268" spans="1:3" x14ac:dyDescent="0.25">
      <c r="A7268" s="48" t="s">
        <v>13779</v>
      </c>
      <c r="B7268" t="s">
        <v>13780</v>
      </c>
      <c r="C7268">
        <v>92</v>
      </c>
    </row>
    <row r="7269" spans="1:3" x14ac:dyDescent="0.25">
      <c r="A7269" s="48" t="s">
        <v>22933</v>
      </c>
      <c r="B7269" t="s">
        <v>22934</v>
      </c>
      <c r="C7269">
        <v>123</v>
      </c>
    </row>
    <row r="7270" spans="1:3" x14ac:dyDescent="0.25">
      <c r="A7270" s="48" t="s">
        <v>15597</v>
      </c>
      <c r="B7270" t="s">
        <v>15598</v>
      </c>
      <c r="C7270">
        <v>2</v>
      </c>
    </row>
    <row r="7271" spans="1:3" x14ac:dyDescent="0.25">
      <c r="A7271" s="48" t="s">
        <v>15573</v>
      </c>
      <c r="B7271" t="s">
        <v>15574</v>
      </c>
      <c r="C7271">
        <v>7</v>
      </c>
    </row>
    <row r="7272" spans="1:3" x14ac:dyDescent="0.25">
      <c r="A7272" s="48" t="s">
        <v>15567</v>
      </c>
      <c r="B7272" t="s">
        <v>15568</v>
      </c>
      <c r="C7272">
        <v>14</v>
      </c>
    </row>
    <row r="7273" spans="1:3" x14ac:dyDescent="0.25">
      <c r="A7273" s="48" t="s">
        <v>15579</v>
      </c>
      <c r="B7273" t="s">
        <v>22109</v>
      </c>
      <c r="C7273">
        <v>37</v>
      </c>
    </row>
    <row r="7274" spans="1:3" x14ac:dyDescent="0.25">
      <c r="A7274" s="48" t="s">
        <v>15601</v>
      </c>
      <c r="B7274" t="s">
        <v>15602</v>
      </c>
      <c r="C7274">
        <v>4</v>
      </c>
    </row>
    <row r="7275" spans="1:3" x14ac:dyDescent="0.25">
      <c r="A7275" s="48" t="s">
        <v>15603</v>
      </c>
      <c r="B7275" t="s">
        <v>15604</v>
      </c>
      <c r="C7275">
        <v>0</v>
      </c>
    </row>
    <row r="7276" spans="1:3" x14ac:dyDescent="0.25">
      <c r="A7276" s="48" t="s">
        <v>15595</v>
      </c>
      <c r="B7276" t="s">
        <v>22110</v>
      </c>
      <c r="C7276">
        <v>0</v>
      </c>
    </row>
    <row r="7277" spans="1:3" x14ac:dyDescent="0.25">
      <c r="A7277" s="48" t="s">
        <v>13748</v>
      </c>
      <c r="B7277" t="s">
        <v>13749</v>
      </c>
      <c r="C7277">
        <v>5</v>
      </c>
    </row>
    <row r="7278" spans="1:3" x14ac:dyDescent="0.25">
      <c r="A7278" s="48" t="s">
        <v>13750</v>
      </c>
      <c r="B7278" t="s">
        <v>13751</v>
      </c>
      <c r="C7278">
        <v>0</v>
      </c>
    </row>
    <row r="7279" spans="1:3" x14ac:dyDescent="0.25">
      <c r="A7279" s="48" t="s">
        <v>13885</v>
      </c>
      <c r="B7279" t="s">
        <v>13886</v>
      </c>
      <c r="C7279">
        <v>4</v>
      </c>
    </row>
    <row r="7280" spans="1:3" x14ac:dyDescent="0.25">
      <c r="A7280" s="48" t="s">
        <v>16976</v>
      </c>
      <c r="B7280" t="s">
        <v>16977</v>
      </c>
      <c r="C7280">
        <v>0</v>
      </c>
    </row>
    <row r="7281" spans="1:3" x14ac:dyDescent="0.25">
      <c r="A7281" s="48" t="s">
        <v>16328</v>
      </c>
      <c r="B7281" t="s">
        <v>16329</v>
      </c>
      <c r="C7281">
        <v>0</v>
      </c>
    </row>
    <row r="7282" spans="1:3" x14ac:dyDescent="0.25">
      <c r="A7282" s="48" t="s">
        <v>18431</v>
      </c>
      <c r="B7282" t="s">
        <v>18432</v>
      </c>
      <c r="C7282">
        <v>8</v>
      </c>
    </row>
    <row r="7283" spans="1:3" x14ac:dyDescent="0.25">
      <c r="A7283" s="48" t="s">
        <v>18433</v>
      </c>
      <c r="B7283" t="s">
        <v>22111</v>
      </c>
      <c r="C7283">
        <v>6</v>
      </c>
    </row>
    <row r="7284" spans="1:3" x14ac:dyDescent="0.25">
      <c r="A7284" s="48" t="s">
        <v>18441</v>
      </c>
      <c r="B7284" t="s">
        <v>22112</v>
      </c>
      <c r="C7284">
        <v>19</v>
      </c>
    </row>
    <row r="7285" spans="1:3" x14ac:dyDescent="0.25">
      <c r="A7285" s="48" t="s">
        <v>18464</v>
      </c>
      <c r="B7285" t="s">
        <v>18465</v>
      </c>
      <c r="C7285">
        <v>7</v>
      </c>
    </row>
    <row r="7286" spans="1:3" x14ac:dyDescent="0.25">
      <c r="A7286" s="48" t="s">
        <v>18425</v>
      </c>
      <c r="B7286" t="s">
        <v>18426</v>
      </c>
      <c r="C7286">
        <v>11</v>
      </c>
    </row>
    <row r="7287" spans="1:3" x14ac:dyDescent="0.25">
      <c r="A7287" s="48" t="s">
        <v>18423</v>
      </c>
      <c r="B7287" t="s">
        <v>18424</v>
      </c>
      <c r="C7287">
        <v>65</v>
      </c>
    </row>
    <row r="7288" spans="1:3" x14ac:dyDescent="0.25">
      <c r="A7288" s="48" t="s">
        <v>18449</v>
      </c>
      <c r="B7288" t="s">
        <v>18450</v>
      </c>
      <c r="C7288">
        <v>0</v>
      </c>
    </row>
    <row r="7289" spans="1:3" x14ac:dyDescent="0.25">
      <c r="A7289" s="48" t="s">
        <v>1125</v>
      </c>
      <c r="B7289" t="s">
        <v>1126</v>
      </c>
      <c r="C7289">
        <v>0</v>
      </c>
    </row>
    <row r="7290" spans="1:3" x14ac:dyDescent="0.25">
      <c r="A7290" s="48" t="s">
        <v>18445</v>
      </c>
      <c r="B7290" t="s">
        <v>18446</v>
      </c>
      <c r="C7290">
        <v>8</v>
      </c>
    </row>
    <row r="7291" spans="1:3" x14ac:dyDescent="0.25">
      <c r="A7291" s="48" t="s">
        <v>18443</v>
      </c>
      <c r="B7291" t="s">
        <v>18444</v>
      </c>
      <c r="C7291">
        <v>20</v>
      </c>
    </row>
    <row r="7292" spans="1:3" x14ac:dyDescent="0.25">
      <c r="A7292" s="48" t="s">
        <v>18427</v>
      </c>
      <c r="B7292" t="s">
        <v>18428</v>
      </c>
      <c r="C7292">
        <v>5</v>
      </c>
    </row>
    <row r="7293" spans="1:3" x14ac:dyDescent="0.25">
      <c r="A7293" s="48" t="s">
        <v>18437</v>
      </c>
      <c r="B7293" t="s">
        <v>22113</v>
      </c>
      <c r="C7293">
        <v>6</v>
      </c>
    </row>
    <row r="7294" spans="1:3" x14ac:dyDescent="0.25">
      <c r="A7294" s="48" t="s">
        <v>18435</v>
      </c>
      <c r="B7294" t="s">
        <v>18436</v>
      </c>
      <c r="C7294">
        <v>17</v>
      </c>
    </row>
    <row r="7295" spans="1:3" x14ac:dyDescent="0.25">
      <c r="A7295" s="48" t="s">
        <v>18419</v>
      </c>
      <c r="B7295" t="s">
        <v>18420</v>
      </c>
      <c r="C7295">
        <v>13</v>
      </c>
    </row>
    <row r="7296" spans="1:3" x14ac:dyDescent="0.25">
      <c r="A7296" s="48" t="s">
        <v>18421</v>
      </c>
      <c r="B7296" t="s">
        <v>18422</v>
      </c>
      <c r="C7296">
        <v>17</v>
      </c>
    </row>
    <row r="7297" spans="1:3" x14ac:dyDescent="0.25">
      <c r="A7297" s="48" t="s">
        <v>18417</v>
      </c>
      <c r="B7297" t="s">
        <v>18418</v>
      </c>
      <c r="C7297">
        <v>21</v>
      </c>
    </row>
    <row r="7298" spans="1:3" x14ac:dyDescent="0.25">
      <c r="A7298" s="48" t="s">
        <v>18415</v>
      </c>
      <c r="B7298" t="s">
        <v>18416</v>
      </c>
      <c r="C7298">
        <v>10</v>
      </c>
    </row>
    <row r="7299" spans="1:3" x14ac:dyDescent="0.25">
      <c r="A7299" s="48" t="s">
        <v>18447</v>
      </c>
      <c r="B7299" t="s">
        <v>18448</v>
      </c>
      <c r="C7299">
        <v>32</v>
      </c>
    </row>
    <row r="7300" spans="1:3" x14ac:dyDescent="0.25">
      <c r="A7300" s="48" t="s">
        <v>18429</v>
      </c>
      <c r="B7300" t="s">
        <v>18430</v>
      </c>
      <c r="C7300">
        <v>26</v>
      </c>
    </row>
    <row r="7301" spans="1:3" x14ac:dyDescent="0.25">
      <c r="A7301" s="48" t="s">
        <v>18439</v>
      </c>
      <c r="B7301" t="s">
        <v>18440</v>
      </c>
      <c r="C7301">
        <v>1</v>
      </c>
    </row>
    <row r="7302" spans="1:3" x14ac:dyDescent="0.25">
      <c r="A7302" s="48" t="s">
        <v>12686</v>
      </c>
      <c r="B7302" t="s">
        <v>12687</v>
      </c>
      <c r="C7302">
        <v>11</v>
      </c>
    </row>
    <row r="7303" spans="1:3" x14ac:dyDescent="0.25">
      <c r="A7303" s="48" t="s">
        <v>12688</v>
      </c>
      <c r="B7303" t="s">
        <v>12689</v>
      </c>
      <c r="C7303">
        <v>5</v>
      </c>
    </row>
    <row r="7304" spans="1:3" x14ac:dyDescent="0.25">
      <c r="A7304" s="48" t="s">
        <v>7710</v>
      </c>
      <c r="B7304" t="s">
        <v>22114</v>
      </c>
      <c r="C7304">
        <v>0</v>
      </c>
    </row>
    <row r="7305" spans="1:3" x14ac:dyDescent="0.25">
      <c r="A7305" s="48" t="s">
        <v>7712</v>
      </c>
      <c r="B7305" t="s">
        <v>7713</v>
      </c>
      <c r="C7305">
        <v>18</v>
      </c>
    </row>
    <row r="7306" spans="1:3" x14ac:dyDescent="0.25">
      <c r="A7306" s="48" t="s">
        <v>12337</v>
      </c>
      <c r="B7306" t="s">
        <v>12338</v>
      </c>
      <c r="C7306">
        <v>0</v>
      </c>
    </row>
    <row r="7307" spans="1:3" x14ac:dyDescent="0.25">
      <c r="A7307" s="48" t="s">
        <v>3527</v>
      </c>
      <c r="B7307" t="s">
        <v>3528</v>
      </c>
      <c r="C7307">
        <v>0</v>
      </c>
    </row>
    <row r="7308" spans="1:3" x14ac:dyDescent="0.25">
      <c r="A7308" s="48" t="s">
        <v>3529</v>
      </c>
      <c r="B7308" t="s">
        <v>3530</v>
      </c>
      <c r="C7308">
        <v>0</v>
      </c>
    </row>
    <row r="7309" spans="1:3" x14ac:dyDescent="0.25">
      <c r="A7309" s="48" t="s">
        <v>3533</v>
      </c>
      <c r="B7309" t="s">
        <v>3534</v>
      </c>
      <c r="C7309">
        <v>0</v>
      </c>
    </row>
    <row r="7310" spans="1:3" x14ac:dyDescent="0.25">
      <c r="A7310" s="48" t="s">
        <v>3531</v>
      </c>
      <c r="B7310" t="s">
        <v>3532</v>
      </c>
      <c r="C7310">
        <v>7</v>
      </c>
    </row>
    <row r="7311" spans="1:3" x14ac:dyDescent="0.25">
      <c r="A7311" s="48" t="s">
        <v>3523</v>
      </c>
      <c r="B7311" t="s">
        <v>3524</v>
      </c>
      <c r="C7311">
        <v>0</v>
      </c>
    </row>
    <row r="7312" spans="1:3" x14ac:dyDescent="0.25">
      <c r="A7312" s="48" t="s">
        <v>3525</v>
      </c>
      <c r="B7312" t="s">
        <v>3526</v>
      </c>
      <c r="C7312">
        <v>0</v>
      </c>
    </row>
    <row r="7313" spans="1:3" x14ac:dyDescent="0.25">
      <c r="A7313" s="48" t="s">
        <v>5895</v>
      </c>
      <c r="B7313" t="s">
        <v>5896</v>
      </c>
      <c r="C7313">
        <v>0</v>
      </c>
    </row>
    <row r="7314" spans="1:3" x14ac:dyDescent="0.25">
      <c r="A7314" s="48" t="s">
        <v>473</v>
      </c>
      <c r="B7314" t="s">
        <v>474</v>
      </c>
      <c r="C7314">
        <v>0</v>
      </c>
    </row>
    <row r="7315" spans="1:3" x14ac:dyDescent="0.25">
      <c r="A7315" s="48" t="s">
        <v>10485</v>
      </c>
      <c r="B7315" t="s">
        <v>10486</v>
      </c>
      <c r="C7315">
        <v>0</v>
      </c>
    </row>
    <row r="7316" spans="1:3" x14ac:dyDescent="0.25">
      <c r="A7316" s="48" t="s">
        <v>10481</v>
      </c>
      <c r="B7316" t="s">
        <v>10482</v>
      </c>
      <c r="C7316">
        <v>0</v>
      </c>
    </row>
    <row r="7317" spans="1:3" x14ac:dyDescent="0.25">
      <c r="A7317" s="48" t="s">
        <v>10483</v>
      </c>
      <c r="B7317" t="s">
        <v>10484</v>
      </c>
      <c r="C7317">
        <v>5</v>
      </c>
    </row>
    <row r="7318" spans="1:3" x14ac:dyDescent="0.25">
      <c r="A7318" s="48" t="s">
        <v>10475</v>
      </c>
      <c r="B7318" t="s">
        <v>10476</v>
      </c>
      <c r="C7318">
        <v>26</v>
      </c>
    </row>
    <row r="7319" spans="1:3" x14ac:dyDescent="0.25">
      <c r="A7319" s="48" t="s">
        <v>10477</v>
      </c>
      <c r="B7319" t="s">
        <v>10478</v>
      </c>
      <c r="C7319">
        <v>19</v>
      </c>
    </row>
    <row r="7320" spans="1:3" x14ac:dyDescent="0.25">
      <c r="A7320" s="48" t="s">
        <v>821</v>
      </c>
      <c r="B7320" t="s">
        <v>822</v>
      </c>
      <c r="C7320">
        <v>0</v>
      </c>
    </row>
    <row r="7321" spans="1:3" x14ac:dyDescent="0.25">
      <c r="A7321" s="48" t="s">
        <v>10463</v>
      </c>
      <c r="B7321" t="s">
        <v>10464</v>
      </c>
      <c r="C7321">
        <v>31</v>
      </c>
    </row>
    <row r="7322" spans="1:3" x14ac:dyDescent="0.25">
      <c r="A7322" s="48" t="s">
        <v>10469</v>
      </c>
      <c r="B7322" t="s">
        <v>10470</v>
      </c>
      <c r="C7322">
        <v>6</v>
      </c>
    </row>
    <row r="7323" spans="1:3" x14ac:dyDescent="0.25">
      <c r="A7323" s="48" t="s">
        <v>13718</v>
      </c>
      <c r="B7323" t="s">
        <v>13719</v>
      </c>
      <c r="C7323">
        <v>0</v>
      </c>
    </row>
    <row r="7324" spans="1:3" x14ac:dyDescent="0.25">
      <c r="A7324" s="48" t="s">
        <v>13720</v>
      </c>
      <c r="B7324" t="s">
        <v>13721</v>
      </c>
      <c r="C7324">
        <v>0</v>
      </c>
    </row>
    <row r="7325" spans="1:3" x14ac:dyDescent="0.25">
      <c r="A7325" s="48" t="s">
        <v>9911</v>
      </c>
      <c r="B7325" t="s">
        <v>9912</v>
      </c>
      <c r="C7325">
        <v>0</v>
      </c>
    </row>
    <row r="7326" spans="1:3" x14ac:dyDescent="0.25">
      <c r="A7326" s="48" t="s">
        <v>9960</v>
      </c>
      <c r="B7326" t="s">
        <v>22115</v>
      </c>
      <c r="C7326">
        <v>0</v>
      </c>
    </row>
    <row r="7327" spans="1:3" x14ac:dyDescent="0.25">
      <c r="A7327" s="48" t="s">
        <v>9958</v>
      </c>
      <c r="B7327" t="s">
        <v>22116</v>
      </c>
      <c r="C7327">
        <v>12</v>
      </c>
    </row>
    <row r="7328" spans="1:3" x14ac:dyDescent="0.25">
      <c r="A7328" s="48" t="s">
        <v>9956</v>
      </c>
      <c r="B7328" t="s">
        <v>9957</v>
      </c>
      <c r="C7328">
        <v>4</v>
      </c>
    </row>
    <row r="7329" spans="1:3" x14ac:dyDescent="0.25">
      <c r="A7329" s="48" t="s">
        <v>9962</v>
      </c>
      <c r="B7329" t="s">
        <v>9963</v>
      </c>
      <c r="C7329">
        <v>31</v>
      </c>
    </row>
    <row r="7330" spans="1:3" x14ac:dyDescent="0.25">
      <c r="A7330" s="48" t="s">
        <v>9926</v>
      </c>
      <c r="B7330" t="s">
        <v>22117</v>
      </c>
      <c r="C7330">
        <v>2</v>
      </c>
    </row>
    <row r="7331" spans="1:3" x14ac:dyDescent="0.25">
      <c r="A7331" s="48" t="s">
        <v>9928</v>
      </c>
      <c r="B7331" t="s">
        <v>22118</v>
      </c>
      <c r="C7331">
        <v>2</v>
      </c>
    </row>
    <row r="7332" spans="1:3" x14ac:dyDescent="0.25">
      <c r="A7332" s="48" t="s">
        <v>1477</v>
      </c>
      <c r="B7332" t="s">
        <v>1478</v>
      </c>
      <c r="C7332">
        <v>0</v>
      </c>
    </row>
    <row r="7333" spans="1:3" x14ac:dyDescent="0.25">
      <c r="A7333" s="48" t="s">
        <v>9922</v>
      </c>
      <c r="B7333" t="s">
        <v>9923</v>
      </c>
      <c r="C7333">
        <v>30</v>
      </c>
    </row>
    <row r="7334" spans="1:3" x14ac:dyDescent="0.25">
      <c r="A7334" s="48" t="s">
        <v>9932</v>
      </c>
      <c r="B7334" t="s">
        <v>9933</v>
      </c>
      <c r="C7334">
        <v>7</v>
      </c>
    </row>
    <row r="7335" spans="1:3" x14ac:dyDescent="0.25">
      <c r="A7335" s="48" t="s">
        <v>9930</v>
      </c>
      <c r="B7335" t="s">
        <v>9931</v>
      </c>
      <c r="C7335">
        <v>0</v>
      </c>
    </row>
    <row r="7336" spans="1:3" x14ac:dyDescent="0.25">
      <c r="A7336" s="48" t="s">
        <v>9934</v>
      </c>
      <c r="B7336" t="s">
        <v>9935</v>
      </c>
      <c r="C7336">
        <v>11</v>
      </c>
    </row>
    <row r="7337" spans="1:3" x14ac:dyDescent="0.25">
      <c r="A7337" s="48" t="s">
        <v>9968</v>
      </c>
      <c r="B7337" t="s">
        <v>9969</v>
      </c>
      <c r="C7337">
        <v>46</v>
      </c>
    </row>
    <row r="7338" spans="1:3" x14ac:dyDescent="0.25">
      <c r="A7338" s="48" t="s">
        <v>9976</v>
      </c>
      <c r="B7338" t="s">
        <v>9977</v>
      </c>
      <c r="C7338">
        <v>7</v>
      </c>
    </row>
    <row r="7339" spans="1:3" x14ac:dyDescent="0.25">
      <c r="A7339" s="48" t="s">
        <v>9946</v>
      </c>
      <c r="B7339" t="s">
        <v>9947</v>
      </c>
      <c r="C7339">
        <v>28</v>
      </c>
    </row>
    <row r="7340" spans="1:3" x14ac:dyDescent="0.25">
      <c r="A7340" s="48" t="s">
        <v>9952</v>
      </c>
      <c r="B7340" t="s">
        <v>9953</v>
      </c>
      <c r="C7340">
        <v>10</v>
      </c>
    </row>
    <row r="7341" spans="1:3" x14ac:dyDescent="0.25">
      <c r="A7341" s="48" t="s">
        <v>9948</v>
      </c>
      <c r="B7341" t="s">
        <v>9949</v>
      </c>
      <c r="C7341">
        <v>0</v>
      </c>
    </row>
    <row r="7342" spans="1:3" x14ac:dyDescent="0.25">
      <c r="A7342" s="48" t="s">
        <v>9950</v>
      </c>
      <c r="B7342" t="s">
        <v>9951</v>
      </c>
      <c r="C7342">
        <v>46</v>
      </c>
    </row>
    <row r="7343" spans="1:3" x14ac:dyDescent="0.25">
      <c r="A7343" s="48" t="s">
        <v>9954</v>
      </c>
      <c r="B7343" t="s">
        <v>9955</v>
      </c>
      <c r="C7343">
        <v>37</v>
      </c>
    </row>
    <row r="7344" spans="1:3" x14ac:dyDescent="0.25">
      <c r="A7344" s="48" t="s">
        <v>10101</v>
      </c>
      <c r="B7344" t="s">
        <v>10102</v>
      </c>
      <c r="C7344">
        <v>0</v>
      </c>
    </row>
    <row r="7345" spans="1:3" x14ac:dyDescent="0.25">
      <c r="A7345" s="48" t="s">
        <v>9916</v>
      </c>
      <c r="B7345" t="s">
        <v>9917</v>
      </c>
      <c r="C7345">
        <v>2</v>
      </c>
    </row>
    <row r="7346" spans="1:3" x14ac:dyDescent="0.25">
      <c r="A7346" s="48" t="s">
        <v>9918</v>
      </c>
      <c r="B7346" t="s">
        <v>9919</v>
      </c>
      <c r="C7346">
        <v>18</v>
      </c>
    </row>
    <row r="7347" spans="1:3" x14ac:dyDescent="0.25">
      <c r="A7347" s="48" t="s">
        <v>9980</v>
      </c>
      <c r="B7347" t="s">
        <v>22119</v>
      </c>
      <c r="C7347">
        <v>21</v>
      </c>
    </row>
    <row r="7348" spans="1:3" x14ac:dyDescent="0.25">
      <c r="A7348" s="48" t="s">
        <v>9982</v>
      </c>
      <c r="B7348" t="s">
        <v>9983</v>
      </c>
      <c r="C7348">
        <v>45</v>
      </c>
    </row>
    <row r="7349" spans="1:3" x14ac:dyDescent="0.25">
      <c r="A7349" s="48" t="s">
        <v>10097</v>
      </c>
      <c r="B7349" t="s">
        <v>10098</v>
      </c>
      <c r="C7349">
        <v>16</v>
      </c>
    </row>
    <row r="7350" spans="1:3" x14ac:dyDescent="0.25">
      <c r="A7350" s="48" t="s">
        <v>10099</v>
      </c>
      <c r="B7350" t="s">
        <v>10100</v>
      </c>
      <c r="C7350">
        <v>40</v>
      </c>
    </row>
    <row r="7351" spans="1:3" x14ac:dyDescent="0.25">
      <c r="A7351" s="48" t="s">
        <v>9970</v>
      </c>
      <c r="B7351" t="s">
        <v>9971</v>
      </c>
      <c r="C7351">
        <v>17</v>
      </c>
    </row>
    <row r="7352" spans="1:3" x14ac:dyDescent="0.25">
      <c r="A7352" s="48" t="s">
        <v>9920</v>
      </c>
      <c r="B7352" t="s">
        <v>22120</v>
      </c>
      <c r="C7352">
        <v>0</v>
      </c>
    </row>
    <row r="7353" spans="1:3" x14ac:dyDescent="0.25">
      <c r="A7353" s="48" t="s">
        <v>9938</v>
      </c>
      <c r="B7353" t="s">
        <v>22121</v>
      </c>
      <c r="C7353">
        <v>9</v>
      </c>
    </row>
    <row r="7354" spans="1:3" x14ac:dyDescent="0.25">
      <c r="A7354" s="48" t="s">
        <v>9964</v>
      </c>
      <c r="B7354" t="s">
        <v>22122</v>
      </c>
      <c r="C7354">
        <v>10</v>
      </c>
    </row>
    <row r="7355" spans="1:3" x14ac:dyDescent="0.25">
      <c r="A7355" s="48" t="s">
        <v>9966</v>
      </c>
      <c r="B7355" t="s">
        <v>9967</v>
      </c>
      <c r="C7355">
        <v>8</v>
      </c>
    </row>
    <row r="7356" spans="1:3" x14ac:dyDescent="0.25">
      <c r="A7356" s="48" t="s">
        <v>1591</v>
      </c>
      <c r="B7356" t="s">
        <v>1592</v>
      </c>
      <c r="C7356">
        <v>0</v>
      </c>
    </row>
    <row r="7357" spans="1:3" x14ac:dyDescent="0.25">
      <c r="A7357" s="48" t="s">
        <v>1275</v>
      </c>
      <c r="B7357" t="s">
        <v>1276</v>
      </c>
      <c r="C7357">
        <v>0</v>
      </c>
    </row>
    <row r="7358" spans="1:3" x14ac:dyDescent="0.25">
      <c r="A7358" s="48" t="s">
        <v>9914</v>
      </c>
      <c r="B7358" t="s">
        <v>9915</v>
      </c>
      <c r="C7358">
        <v>1</v>
      </c>
    </row>
    <row r="7359" spans="1:3" x14ac:dyDescent="0.25">
      <c r="A7359" s="48" t="s">
        <v>9942</v>
      </c>
      <c r="B7359" t="s">
        <v>9943</v>
      </c>
      <c r="C7359">
        <v>13</v>
      </c>
    </row>
    <row r="7360" spans="1:3" x14ac:dyDescent="0.25">
      <c r="A7360" s="48" t="s">
        <v>1749</v>
      </c>
      <c r="B7360" t="s">
        <v>1750</v>
      </c>
      <c r="C7360">
        <v>49</v>
      </c>
    </row>
    <row r="7361" spans="1:3" x14ac:dyDescent="0.25">
      <c r="A7361" s="48" t="s">
        <v>1497</v>
      </c>
      <c r="B7361" t="s">
        <v>1498</v>
      </c>
      <c r="C7361">
        <v>3</v>
      </c>
    </row>
    <row r="7362" spans="1:3" x14ac:dyDescent="0.25">
      <c r="A7362" s="48" t="s">
        <v>9944</v>
      </c>
      <c r="B7362" t="s">
        <v>9945</v>
      </c>
      <c r="C7362">
        <v>26</v>
      </c>
    </row>
    <row r="7363" spans="1:3" x14ac:dyDescent="0.25">
      <c r="A7363" s="48" t="s">
        <v>9924</v>
      </c>
      <c r="B7363" t="s">
        <v>22123</v>
      </c>
      <c r="C7363">
        <v>17</v>
      </c>
    </row>
    <row r="7364" spans="1:3" x14ac:dyDescent="0.25">
      <c r="A7364" s="48" t="s">
        <v>9940</v>
      </c>
      <c r="B7364" t="s">
        <v>22124</v>
      </c>
      <c r="C7364">
        <v>16</v>
      </c>
    </row>
    <row r="7365" spans="1:3" x14ac:dyDescent="0.25">
      <c r="A7365" s="48" t="s">
        <v>9972</v>
      </c>
      <c r="B7365" t="s">
        <v>9973</v>
      </c>
      <c r="C7365">
        <v>6</v>
      </c>
    </row>
    <row r="7366" spans="1:3" x14ac:dyDescent="0.25">
      <c r="A7366" s="48" t="s">
        <v>9974</v>
      </c>
      <c r="B7366" t="s">
        <v>22125</v>
      </c>
      <c r="C7366">
        <v>13</v>
      </c>
    </row>
    <row r="7367" spans="1:3" x14ac:dyDescent="0.25">
      <c r="A7367" s="48" t="s">
        <v>10106</v>
      </c>
      <c r="B7367" t="s">
        <v>22126</v>
      </c>
      <c r="C7367">
        <v>18</v>
      </c>
    </row>
    <row r="7368" spans="1:3" x14ac:dyDescent="0.25">
      <c r="A7368" s="48" t="s">
        <v>10108</v>
      </c>
      <c r="B7368" t="s">
        <v>22127</v>
      </c>
      <c r="C7368">
        <v>14</v>
      </c>
    </row>
    <row r="7369" spans="1:3" x14ac:dyDescent="0.25">
      <c r="A7369" s="48" t="s">
        <v>955</v>
      </c>
      <c r="B7369" t="s">
        <v>956</v>
      </c>
      <c r="C7369">
        <v>32</v>
      </c>
    </row>
    <row r="7370" spans="1:3" x14ac:dyDescent="0.25">
      <c r="A7370" s="48" t="s">
        <v>1249</v>
      </c>
      <c r="B7370" t="s">
        <v>1250</v>
      </c>
      <c r="C7370">
        <v>81</v>
      </c>
    </row>
    <row r="7371" spans="1:3" x14ac:dyDescent="0.25">
      <c r="A7371" s="48" t="s">
        <v>1351</v>
      </c>
      <c r="B7371" t="s">
        <v>1352</v>
      </c>
      <c r="C7371">
        <v>6</v>
      </c>
    </row>
    <row r="7372" spans="1:3" x14ac:dyDescent="0.25">
      <c r="A7372" s="48" t="s">
        <v>10111</v>
      </c>
      <c r="B7372" t="s">
        <v>10112</v>
      </c>
      <c r="C7372">
        <v>11</v>
      </c>
    </row>
    <row r="7373" spans="1:3" x14ac:dyDescent="0.25">
      <c r="A7373" s="48" t="s">
        <v>1729</v>
      </c>
      <c r="B7373" t="s">
        <v>1730</v>
      </c>
      <c r="C7373">
        <v>11</v>
      </c>
    </row>
    <row r="7374" spans="1:3" x14ac:dyDescent="0.25">
      <c r="A7374" s="48" t="s">
        <v>9994</v>
      </c>
      <c r="B7374" t="s">
        <v>9995</v>
      </c>
      <c r="C7374">
        <v>9</v>
      </c>
    </row>
    <row r="7375" spans="1:3" x14ac:dyDescent="0.25">
      <c r="A7375" s="48" t="s">
        <v>10046</v>
      </c>
      <c r="B7375" t="s">
        <v>10047</v>
      </c>
      <c r="C7375">
        <v>55</v>
      </c>
    </row>
    <row r="7376" spans="1:3" x14ac:dyDescent="0.25">
      <c r="A7376" s="48" t="s">
        <v>1525</v>
      </c>
      <c r="B7376" t="s">
        <v>1526</v>
      </c>
      <c r="C7376">
        <v>77</v>
      </c>
    </row>
    <row r="7377" spans="1:3" x14ac:dyDescent="0.25">
      <c r="A7377" s="48" t="s">
        <v>10044</v>
      </c>
      <c r="B7377" t="s">
        <v>10045</v>
      </c>
      <c r="C7377">
        <v>15</v>
      </c>
    </row>
    <row r="7378" spans="1:3" x14ac:dyDescent="0.25">
      <c r="A7378" s="48" t="s">
        <v>10005</v>
      </c>
      <c r="B7378" t="s">
        <v>10006</v>
      </c>
      <c r="C7378">
        <v>0</v>
      </c>
    </row>
    <row r="7379" spans="1:3" x14ac:dyDescent="0.25">
      <c r="A7379" s="48" t="s">
        <v>9984</v>
      </c>
      <c r="B7379" t="s">
        <v>9985</v>
      </c>
      <c r="C7379">
        <v>1</v>
      </c>
    </row>
    <row r="7380" spans="1:3" x14ac:dyDescent="0.25">
      <c r="A7380" s="48" t="s">
        <v>10001</v>
      </c>
      <c r="B7380" t="s">
        <v>10002</v>
      </c>
      <c r="C7380">
        <v>6</v>
      </c>
    </row>
    <row r="7381" spans="1:3" x14ac:dyDescent="0.25">
      <c r="A7381" s="48" t="s">
        <v>10017</v>
      </c>
      <c r="B7381" t="s">
        <v>10018</v>
      </c>
      <c r="C7381">
        <v>56</v>
      </c>
    </row>
    <row r="7382" spans="1:3" x14ac:dyDescent="0.25">
      <c r="A7382" s="48" t="s">
        <v>10003</v>
      </c>
      <c r="B7382" t="s">
        <v>10004</v>
      </c>
      <c r="C7382">
        <v>18</v>
      </c>
    </row>
    <row r="7383" spans="1:3" x14ac:dyDescent="0.25">
      <c r="A7383" s="48" t="s">
        <v>10009</v>
      </c>
      <c r="B7383" t="s">
        <v>10010</v>
      </c>
      <c r="C7383">
        <v>64</v>
      </c>
    </row>
    <row r="7384" spans="1:3" x14ac:dyDescent="0.25">
      <c r="A7384" s="48" t="s">
        <v>9986</v>
      </c>
      <c r="B7384" t="s">
        <v>9987</v>
      </c>
      <c r="C7384">
        <v>14</v>
      </c>
    </row>
    <row r="7385" spans="1:3" x14ac:dyDescent="0.25">
      <c r="A7385" s="48" t="s">
        <v>10013</v>
      </c>
      <c r="B7385" t="s">
        <v>10014</v>
      </c>
      <c r="C7385">
        <v>2</v>
      </c>
    </row>
    <row r="7386" spans="1:3" x14ac:dyDescent="0.25">
      <c r="A7386" s="48" t="s">
        <v>10015</v>
      </c>
      <c r="B7386" t="s">
        <v>10016</v>
      </c>
      <c r="C7386">
        <v>22</v>
      </c>
    </row>
    <row r="7387" spans="1:3" x14ac:dyDescent="0.25">
      <c r="A7387" s="48" t="s">
        <v>10027</v>
      </c>
      <c r="B7387" t="s">
        <v>10028</v>
      </c>
      <c r="C7387">
        <v>14</v>
      </c>
    </row>
    <row r="7388" spans="1:3" x14ac:dyDescent="0.25">
      <c r="A7388" s="48" t="s">
        <v>10029</v>
      </c>
      <c r="B7388" t="s">
        <v>10030</v>
      </c>
      <c r="C7388">
        <v>4</v>
      </c>
    </row>
    <row r="7389" spans="1:3" x14ac:dyDescent="0.25">
      <c r="A7389" s="48" t="s">
        <v>10035</v>
      </c>
      <c r="B7389" t="s">
        <v>10036</v>
      </c>
      <c r="C7389">
        <v>70</v>
      </c>
    </row>
    <row r="7390" spans="1:3" x14ac:dyDescent="0.25">
      <c r="A7390" s="48" t="s">
        <v>10037</v>
      </c>
      <c r="B7390" t="s">
        <v>10038</v>
      </c>
      <c r="C7390">
        <v>25</v>
      </c>
    </row>
    <row r="7391" spans="1:3" x14ac:dyDescent="0.25">
      <c r="A7391" s="48" t="s">
        <v>10031</v>
      </c>
      <c r="B7391" t="s">
        <v>10032</v>
      </c>
      <c r="C7391">
        <v>0</v>
      </c>
    </row>
    <row r="7392" spans="1:3" x14ac:dyDescent="0.25">
      <c r="A7392" s="48" t="s">
        <v>10033</v>
      </c>
      <c r="B7392" t="s">
        <v>10034</v>
      </c>
      <c r="C7392">
        <v>11</v>
      </c>
    </row>
    <row r="7393" spans="1:3" x14ac:dyDescent="0.25">
      <c r="A7393" s="48" t="s">
        <v>10039</v>
      </c>
      <c r="B7393" t="s">
        <v>10040</v>
      </c>
      <c r="C7393">
        <v>23</v>
      </c>
    </row>
    <row r="7394" spans="1:3" x14ac:dyDescent="0.25">
      <c r="A7394" s="48" t="s">
        <v>9999</v>
      </c>
      <c r="B7394" t="s">
        <v>10000</v>
      </c>
      <c r="C7394">
        <v>0</v>
      </c>
    </row>
    <row r="7395" spans="1:3" x14ac:dyDescent="0.25">
      <c r="A7395" s="48" t="s">
        <v>9997</v>
      </c>
      <c r="B7395" t="s">
        <v>9998</v>
      </c>
      <c r="C7395">
        <v>0</v>
      </c>
    </row>
    <row r="7396" spans="1:3" x14ac:dyDescent="0.25">
      <c r="A7396" s="48" t="s">
        <v>10021</v>
      </c>
      <c r="B7396" t="s">
        <v>10022</v>
      </c>
      <c r="C7396">
        <v>34</v>
      </c>
    </row>
    <row r="7397" spans="1:3" x14ac:dyDescent="0.25">
      <c r="A7397" s="48" t="s">
        <v>10023</v>
      </c>
      <c r="B7397" t="s">
        <v>10024</v>
      </c>
      <c r="C7397">
        <v>26</v>
      </c>
    </row>
    <row r="7398" spans="1:3" x14ac:dyDescent="0.25">
      <c r="A7398" s="48" t="s">
        <v>1323</v>
      </c>
      <c r="B7398" t="s">
        <v>1324</v>
      </c>
      <c r="C7398">
        <v>4</v>
      </c>
    </row>
    <row r="7399" spans="1:3" x14ac:dyDescent="0.25">
      <c r="A7399" s="48" t="s">
        <v>1661</v>
      </c>
      <c r="B7399" t="s">
        <v>1662</v>
      </c>
      <c r="C7399">
        <v>8</v>
      </c>
    </row>
    <row r="7400" spans="1:3" x14ac:dyDescent="0.25">
      <c r="A7400" s="48" t="s">
        <v>10041</v>
      </c>
      <c r="B7400" t="s">
        <v>10042</v>
      </c>
      <c r="C7400">
        <v>16</v>
      </c>
    </row>
    <row r="7401" spans="1:3" x14ac:dyDescent="0.25">
      <c r="A7401" s="48" t="s">
        <v>9992</v>
      </c>
      <c r="B7401" t="s">
        <v>9993</v>
      </c>
      <c r="C7401">
        <v>3</v>
      </c>
    </row>
    <row r="7402" spans="1:3" x14ac:dyDescent="0.25">
      <c r="A7402" s="48" t="s">
        <v>10007</v>
      </c>
      <c r="B7402" t="s">
        <v>10008</v>
      </c>
      <c r="C7402">
        <v>43</v>
      </c>
    </row>
    <row r="7403" spans="1:3" x14ac:dyDescent="0.25">
      <c r="A7403" s="48" t="s">
        <v>10011</v>
      </c>
      <c r="B7403" t="s">
        <v>10012</v>
      </c>
      <c r="C7403">
        <v>15</v>
      </c>
    </row>
    <row r="7404" spans="1:3" x14ac:dyDescent="0.25">
      <c r="A7404" s="48" t="s">
        <v>10025</v>
      </c>
      <c r="B7404" t="s">
        <v>10026</v>
      </c>
      <c r="C7404">
        <v>27</v>
      </c>
    </row>
    <row r="7405" spans="1:3" x14ac:dyDescent="0.25">
      <c r="A7405" s="48" t="s">
        <v>9990</v>
      </c>
      <c r="B7405" t="s">
        <v>9991</v>
      </c>
      <c r="C7405">
        <v>25</v>
      </c>
    </row>
    <row r="7406" spans="1:3" x14ac:dyDescent="0.25">
      <c r="A7406" s="48" t="s">
        <v>10019</v>
      </c>
      <c r="B7406" t="s">
        <v>10020</v>
      </c>
      <c r="C7406">
        <v>44</v>
      </c>
    </row>
    <row r="7407" spans="1:3" x14ac:dyDescent="0.25">
      <c r="A7407" s="48" t="s">
        <v>9988</v>
      </c>
      <c r="B7407" t="s">
        <v>9989</v>
      </c>
      <c r="C7407">
        <v>6</v>
      </c>
    </row>
    <row r="7408" spans="1:3" x14ac:dyDescent="0.25">
      <c r="A7408" s="48" t="s">
        <v>10087</v>
      </c>
      <c r="B7408" t="s">
        <v>10088</v>
      </c>
      <c r="C7408">
        <v>188</v>
      </c>
    </row>
    <row r="7409" spans="1:3" x14ac:dyDescent="0.25">
      <c r="A7409" s="48" t="s">
        <v>10081</v>
      </c>
      <c r="B7409" t="s">
        <v>22128</v>
      </c>
      <c r="C7409">
        <v>177</v>
      </c>
    </row>
    <row r="7410" spans="1:3" x14ac:dyDescent="0.25">
      <c r="A7410" s="48" t="s">
        <v>10085</v>
      </c>
      <c r="B7410" t="s">
        <v>22129</v>
      </c>
      <c r="C7410">
        <v>17</v>
      </c>
    </row>
    <row r="7411" spans="1:3" x14ac:dyDescent="0.25">
      <c r="A7411" s="48" t="s">
        <v>10075</v>
      </c>
      <c r="B7411" t="s">
        <v>10076</v>
      </c>
      <c r="C7411">
        <v>9</v>
      </c>
    </row>
    <row r="7412" spans="1:3" x14ac:dyDescent="0.25">
      <c r="A7412" s="48" t="s">
        <v>10073</v>
      </c>
      <c r="B7412" t="s">
        <v>10074</v>
      </c>
      <c r="C7412">
        <v>8</v>
      </c>
    </row>
    <row r="7413" spans="1:3" x14ac:dyDescent="0.25">
      <c r="A7413" s="48" t="s">
        <v>1427</v>
      </c>
      <c r="B7413" t="s">
        <v>1428</v>
      </c>
      <c r="C7413">
        <v>51</v>
      </c>
    </row>
    <row r="7414" spans="1:3" x14ac:dyDescent="0.25">
      <c r="A7414" s="48" t="s">
        <v>10071</v>
      </c>
      <c r="B7414" t="s">
        <v>10072</v>
      </c>
      <c r="C7414">
        <v>47</v>
      </c>
    </row>
    <row r="7415" spans="1:3" x14ac:dyDescent="0.25">
      <c r="A7415" s="48" t="s">
        <v>10089</v>
      </c>
      <c r="B7415" t="s">
        <v>22130</v>
      </c>
      <c r="C7415">
        <v>2</v>
      </c>
    </row>
    <row r="7416" spans="1:3" x14ac:dyDescent="0.25">
      <c r="A7416" s="48" t="s">
        <v>10093</v>
      </c>
      <c r="B7416" t="s">
        <v>10094</v>
      </c>
      <c r="C7416">
        <v>16</v>
      </c>
    </row>
    <row r="7417" spans="1:3" x14ac:dyDescent="0.25">
      <c r="A7417" s="48" t="s">
        <v>10058</v>
      </c>
      <c r="B7417" t="s">
        <v>10059</v>
      </c>
      <c r="C7417">
        <v>7</v>
      </c>
    </row>
    <row r="7418" spans="1:3" x14ac:dyDescent="0.25">
      <c r="A7418" s="48" t="s">
        <v>10062</v>
      </c>
      <c r="B7418" t="s">
        <v>10063</v>
      </c>
      <c r="C7418">
        <v>0</v>
      </c>
    </row>
    <row r="7419" spans="1:3" x14ac:dyDescent="0.25">
      <c r="A7419" s="48" t="s">
        <v>10054</v>
      </c>
      <c r="B7419" t="s">
        <v>22131</v>
      </c>
      <c r="C7419">
        <v>27</v>
      </c>
    </row>
    <row r="7420" spans="1:3" x14ac:dyDescent="0.25">
      <c r="A7420" s="48" t="s">
        <v>10067</v>
      </c>
      <c r="B7420" t="s">
        <v>10068</v>
      </c>
      <c r="C7420">
        <v>18</v>
      </c>
    </row>
    <row r="7421" spans="1:3" x14ac:dyDescent="0.25">
      <c r="A7421" s="48" t="s">
        <v>10079</v>
      </c>
      <c r="B7421" t="s">
        <v>10080</v>
      </c>
      <c r="C7421">
        <v>16</v>
      </c>
    </row>
    <row r="7422" spans="1:3" x14ac:dyDescent="0.25">
      <c r="A7422" s="48" t="s">
        <v>10048</v>
      </c>
      <c r="B7422" t="s">
        <v>10049</v>
      </c>
      <c r="C7422">
        <v>1</v>
      </c>
    </row>
    <row r="7423" spans="1:3" x14ac:dyDescent="0.25">
      <c r="A7423" s="48" t="s">
        <v>10050</v>
      </c>
      <c r="B7423" t="s">
        <v>10051</v>
      </c>
      <c r="C7423">
        <v>0</v>
      </c>
    </row>
    <row r="7424" spans="1:3" x14ac:dyDescent="0.25">
      <c r="A7424" s="48" t="s">
        <v>10052</v>
      </c>
      <c r="B7424" t="s">
        <v>10053</v>
      </c>
      <c r="C7424">
        <v>0</v>
      </c>
    </row>
    <row r="7425" spans="1:3" x14ac:dyDescent="0.25">
      <c r="A7425" s="48" t="s">
        <v>10056</v>
      </c>
      <c r="B7425" t="s">
        <v>10057</v>
      </c>
      <c r="C7425">
        <v>0</v>
      </c>
    </row>
    <row r="7426" spans="1:3" x14ac:dyDescent="0.25">
      <c r="A7426" s="48" t="s">
        <v>10060</v>
      </c>
      <c r="B7426" t="s">
        <v>10061</v>
      </c>
      <c r="C7426">
        <v>21</v>
      </c>
    </row>
    <row r="7427" spans="1:3" x14ac:dyDescent="0.25">
      <c r="A7427" s="48" t="s">
        <v>10064</v>
      </c>
      <c r="B7427" t="s">
        <v>10065</v>
      </c>
      <c r="C7427">
        <v>3</v>
      </c>
    </row>
    <row r="7428" spans="1:3" x14ac:dyDescent="0.25">
      <c r="A7428" s="48" t="s">
        <v>10069</v>
      </c>
      <c r="B7428" t="s">
        <v>10070</v>
      </c>
      <c r="C7428">
        <v>5</v>
      </c>
    </row>
    <row r="7429" spans="1:3" x14ac:dyDescent="0.25">
      <c r="A7429" s="48" t="s">
        <v>10077</v>
      </c>
      <c r="B7429" t="s">
        <v>10078</v>
      </c>
      <c r="C7429">
        <v>7</v>
      </c>
    </row>
    <row r="7430" spans="1:3" x14ac:dyDescent="0.25">
      <c r="A7430" s="48" t="s">
        <v>10083</v>
      </c>
      <c r="B7430" t="s">
        <v>10084</v>
      </c>
      <c r="C7430">
        <v>0</v>
      </c>
    </row>
    <row r="7431" spans="1:3" x14ac:dyDescent="0.25">
      <c r="A7431" s="48" t="s">
        <v>10091</v>
      </c>
      <c r="B7431" t="s">
        <v>10092</v>
      </c>
      <c r="C7431">
        <v>11</v>
      </c>
    </row>
    <row r="7432" spans="1:3" x14ac:dyDescent="0.25">
      <c r="A7432" s="48" t="s">
        <v>10095</v>
      </c>
      <c r="B7432" t="s">
        <v>10096</v>
      </c>
      <c r="C7432">
        <v>23</v>
      </c>
    </row>
    <row r="7433" spans="1:3" x14ac:dyDescent="0.25">
      <c r="A7433" s="48" t="s">
        <v>247</v>
      </c>
      <c r="B7433" t="s">
        <v>248</v>
      </c>
      <c r="C7433">
        <v>16</v>
      </c>
    </row>
    <row r="7434" spans="1:3" x14ac:dyDescent="0.25">
      <c r="A7434" s="48" t="s">
        <v>95</v>
      </c>
      <c r="B7434" t="s">
        <v>96</v>
      </c>
      <c r="C7434">
        <v>0</v>
      </c>
    </row>
    <row r="7435" spans="1:3" x14ac:dyDescent="0.25">
      <c r="A7435" s="48" t="s">
        <v>1087</v>
      </c>
      <c r="B7435" t="s">
        <v>1088</v>
      </c>
      <c r="C7435">
        <v>12</v>
      </c>
    </row>
    <row r="7436" spans="1:3" x14ac:dyDescent="0.25">
      <c r="A7436" s="48" t="s">
        <v>1377</v>
      </c>
      <c r="B7436" t="s">
        <v>1378</v>
      </c>
      <c r="C7436">
        <v>0</v>
      </c>
    </row>
    <row r="7437" spans="1:3" x14ac:dyDescent="0.25">
      <c r="A7437" s="48" t="s">
        <v>10113</v>
      </c>
      <c r="B7437" t="s">
        <v>10114</v>
      </c>
      <c r="C7437">
        <v>2</v>
      </c>
    </row>
    <row r="7438" spans="1:3" x14ac:dyDescent="0.25">
      <c r="A7438" s="48" t="s">
        <v>7017</v>
      </c>
      <c r="B7438" t="s">
        <v>7018</v>
      </c>
      <c r="C7438">
        <v>8</v>
      </c>
    </row>
    <row r="7439" spans="1:3" x14ac:dyDescent="0.25">
      <c r="A7439" s="48" t="s">
        <v>7026</v>
      </c>
      <c r="B7439" t="s">
        <v>22132</v>
      </c>
      <c r="C7439">
        <v>4</v>
      </c>
    </row>
    <row r="7440" spans="1:3" x14ac:dyDescent="0.25">
      <c r="A7440" s="48" t="s">
        <v>7015</v>
      </c>
      <c r="B7440" t="s">
        <v>7016</v>
      </c>
      <c r="C7440">
        <v>22</v>
      </c>
    </row>
    <row r="7441" spans="1:3" x14ac:dyDescent="0.25">
      <c r="A7441" s="48" t="s">
        <v>7022</v>
      </c>
      <c r="B7441" t="s">
        <v>7023</v>
      </c>
      <c r="C7441">
        <v>3</v>
      </c>
    </row>
    <row r="7442" spans="1:3" x14ac:dyDescent="0.25">
      <c r="A7442" s="48" t="s">
        <v>7020</v>
      </c>
      <c r="B7442" t="s">
        <v>7021</v>
      </c>
      <c r="C7442">
        <v>11</v>
      </c>
    </row>
    <row r="7443" spans="1:3" x14ac:dyDescent="0.25">
      <c r="A7443" s="48" t="s">
        <v>1329</v>
      </c>
      <c r="B7443" t="s">
        <v>1330</v>
      </c>
      <c r="C7443">
        <v>0</v>
      </c>
    </row>
    <row r="7444" spans="1:3" x14ac:dyDescent="0.25">
      <c r="A7444" s="48" t="s">
        <v>1461</v>
      </c>
      <c r="B7444" t="s">
        <v>1462</v>
      </c>
      <c r="C7444">
        <v>0</v>
      </c>
    </row>
    <row r="7445" spans="1:3" x14ac:dyDescent="0.25">
      <c r="A7445" s="48" t="s">
        <v>7024</v>
      </c>
      <c r="B7445" t="s">
        <v>7025</v>
      </c>
      <c r="C7445">
        <v>2</v>
      </c>
    </row>
    <row r="7446" spans="1:3" x14ac:dyDescent="0.25">
      <c r="A7446" s="48" t="s">
        <v>1197</v>
      </c>
      <c r="B7446" t="s">
        <v>1198</v>
      </c>
      <c r="C7446">
        <v>17</v>
      </c>
    </row>
    <row r="7447" spans="1:3" x14ac:dyDescent="0.25">
      <c r="A7447" s="48" t="s">
        <v>1465</v>
      </c>
      <c r="B7447" t="s">
        <v>1466</v>
      </c>
      <c r="C7447">
        <v>1</v>
      </c>
    </row>
    <row r="7448" spans="1:3" x14ac:dyDescent="0.25">
      <c r="A7448" s="48" t="s">
        <v>23275</v>
      </c>
      <c r="B7448" t="s">
        <v>23276</v>
      </c>
      <c r="C7448">
        <v>0</v>
      </c>
    </row>
    <row r="7449" spans="1:3" x14ac:dyDescent="0.25">
      <c r="A7449" s="48" t="s">
        <v>7038</v>
      </c>
      <c r="B7449" t="s">
        <v>22133</v>
      </c>
      <c r="C7449">
        <v>0</v>
      </c>
    </row>
    <row r="7450" spans="1:3" x14ac:dyDescent="0.25">
      <c r="A7450" s="48" t="s">
        <v>7028</v>
      </c>
      <c r="B7450" t="s">
        <v>7029</v>
      </c>
      <c r="C7450">
        <v>6</v>
      </c>
    </row>
    <row r="7451" spans="1:3" x14ac:dyDescent="0.25">
      <c r="A7451" s="48" t="s">
        <v>7034</v>
      </c>
      <c r="B7451" t="s">
        <v>7035</v>
      </c>
      <c r="C7451">
        <v>5</v>
      </c>
    </row>
    <row r="7452" spans="1:3" x14ac:dyDescent="0.25">
      <c r="A7452" s="48" t="s">
        <v>7032</v>
      </c>
      <c r="B7452" t="s">
        <v>7033</v>
      </c>
      <c r="C7452">
        <v>1</v>
      </c>
    </row>
    <row r="7453" spans="1:3" x14ac:dyDescent="0.25">
      <c r="A7453" s="48" t="s">
        <v>7030</v>
      </c>
      <c r="B7453" t="s">
        <v>22134</v>
      </c>
      <c r="C7453">
        <v>6</v>
      </c>
    </row>
    <row r="7454" spans="1:3" x14ac:dyDescent="0.25">
      <c r="A7454" s="48" t="s">
        <v>7036</v>
      </c>
      <c r="B7454" t="s">
        <v>22135</v>
      </c>
      <c r="C7454">
        <v>0</v>
      </c>
    </row>
    <row r="7455" spans="1:3" x14ac:dyDescent="0.25">
      <c r="A7455" s="48" t="s">
        <v>7011</v>
      </c>
      <c r="B7455" t="s">
        <v>7012</v>
      </c>
      <c r="C7455">
        <v>0</v>
      </c>
    </row>
    <row r="7456" spans="1:3" x14ac:dyDescent="0.25">
      <c r="A7456" s="48" t="s">
        <v>7013</v>
      </c>
      <c r="B7456" t="s">
        <v>7014</v>
      </c>
      <c r="C7456">
        <v>5</v>
      </c>
    </row>
    <row r="7457" spans="1:3" x14ac:dyDescent="0.25">
      <c r="A7457" s="48" t="s">
        <v>23277</v>
      </c>
      <c r="B7457" t="s">
        <v>23278</v>
      </c>
      <c r="C7457">
        <v>0</v>
      </c>
    </row>
    <row r="7458" spans="1:3" x14ac:dyDescent="0.25">
      <c r="A7458" s="48" t="s">
        <v>23279</v>
      </c>
      <c r="B7458" t="s">
        <v>23280</v>
      </c>
      <c r="C7458">
        <v>0</v>
      </c>
    </row>
    <row r="7459" spans="1:3" x14ac:dyDescent="0.25">
      <c r="A7459" s="48" t="s">
        <v>1705</v>
      </c>
      <c r="B7459" t="s">
        <v>1706</v>
      </c>
      <c r="C7459">
        <v>3</v>
      </c>
    </row>
    <row r="7460" spans="1:3" x14ac:dyDescent="0.25">
      <c r="A7460" s="48" t="s">
        <v>793</v>
      </c>
      <c r="B7460" t="s">
        <v>794</v>
      </c>
      <c r="C7460">
        <v>13</v>
      </c>
    </row>
    <row r="7461" spans="1:3" x14ac:dyDescent="0.25">
      <c r="A7461" s="48" t="s">
        <v>8246</v>
      </c>
      <c r="B7461" t="s">
        <v>22136</v>
      </c>
      <c r="C7461">
        <v>28</v>
      </c>
    </row>
    <row r="7462" spans="1:3" x14ac:dyDescent="0.25">
      <c r="A7462" s="48" t="s">
        <v>8248</v>
      </c>
      <c r="B7462" t="s">
        <v>22137</v>
      </c>
      <c r="C7462">
        <v>17</v>
      </c>
    </row>
    <row r="7463" spans="1:3" x14ac:dyDescent="0.25">
      <c r="A7463" s="48" t="s">
        <v>10576</v>
      </c>
      <c r="B7463" t="s">
        <v>22138</v>
      </c>
      <c r="C7463">
        <v>4</v>
      </c>
    </row>
    <row r="7464" spans="1:3" x14ac:dyDescent="0.25">
      <c r="A7464" s="48" t="s">
        <v>10580</v>
      </c>
      <c r="B7464" t="s">
        <v>22139</v>
      </c>
      <c r="C7464">
        <v>6</v>
      </c>
    </row>
    <row r="7465" spans="1:3" x14ac:dyDescent="0.25">
      <c r="A7465" s="48" t="s">
        <v>10582</v>
      </c>
      <c r="B7465" t="s">
        <v>22140</v>
      </c>
      <c r="C7465">
        <v>15</v>
      </c>
    </row>
    <row r="7466" spans="1:3" x14ac:dyDescent="0.25">
      <c r="A7466" s="48" t="s">
        <v>451</v>
      </c>
      <c r="B7466" t="s">
        <v>452</v>
      </c>
      <c r="C7466">
        <v>6</v>
      </c>
    </row>
    <row r="7467" spans="1:3" x14ac:dyDescent="0.25">
      <c r="A7467" s="48" t="s">
        <v>967</v>
      </c>
      <c r="B7467" t="s">
        <v>968</v>
      </c>
      <c r="C7467">
        <v>23</v>
      </c>
    </row>
    <row r="7468" spans="1:3" x14ac:dyDescent="0.25">
      <c r="A7468" s="48" t="s">
        <v>14131</v>
      </c>
      <c r="B7468" t="s">
        <v>14132</v>
      </c>
      <c r="C7468">
        <v>0</v>
      </c>
    </row>
    <row r="7469" spans="1:3" x14ac:dyDescent="0.25">
      <c r="A7469" s="48" t="s">
        <v>14122</v>
      </c>
      <c r="B7469" t="s">
        <v>14123</v>
      </c>
      <c r="C7469">
        <v>0</v>
      </c>
    </row>
    <row r="7470" spans="1:3" x14ac:dyDescent="0.25">
      <c r="A7470" s="48" t="s">
        <v>841</v>
      </c>
      <c r="B7470" t="s">
        <v>22397</v>
      </c>
      <c r="C7470">
        <v>20</v>
      </c>
    </row>
    <row r="7471" spans="1:3" x14ac:dyDescent="0.25">
      <c r="A7471" s="48" t="s">
        <v>19839</v>
      </c>
      <c r="B7471" t="s">
        <v>22141</v>
      </c>
      <c r="C7471">
        <v>0</v>
      </c>
    </row>
    <row r="7472" spans="1:3" x14ac:dyDescent="0.25">
      <c r="A7472" s="48" t="s">
        <v>19819</v>
      </c>
      <c r="B7472" t="s">
        <v>19820</v>
      </c>
      <c r="C7472">
        <v>0</v>
      </c>
    </row>
    <row r="7473" spans="1:3" x14ac:dyDescent="0.25">
      <c r="A7473" s="48" t="s">
        <v>19817</v>
      </c>
      <c r="B7473" t="s">
        <v>19818</v>
      </c>
      <c r="C7473">
        <v>32</v>
      </c>
    </row>
    <row r="7474" spans="1:3" x14ac:dyDescent="0.25">
      <c r="A7474" s="48" t="s">
        <v>19815</v>
      </c>
      <c r="B7474" t="s">
        <v>19816</v>
      </c>
      <c r="C7474">
        <v>41</v>
      </c>
    </row>
    <row r="7475" spans="1:3" x14ac:dyDescent="0.25">
      <c r="A7475" s="48" t="s">
        <v>19785</v>
      </c>
      <c r="B7475" t="s">
        <v>19786</v>
      </c>
      <c r="C7475">
        <v>0</v>
      </c>
    </row>
    <row r="7476" spans="1:3" x14ac:dyDescent="0.25">
      <c r="A7476" s="48" t="s">
        <v>19781</v>
      </c>
      <c r="B7476" t="s">
        <v>19782</v>
      </c>
      <c r="C7476">
        <v>0</v>
      </c>
    </row>
    <row r="7477" spans="1:3" x14ac:dyDescent="0.25">
      <c r="A7477" s="48" t="s">
        <v>19855</v>
      </c>
      <c r="B7477" t="s">
        <v>22142</v>
      </c>
      <c r="C7477">
        <v>0</v>
      </c>
    </row>
    <row r="7478" spans="1:3" x14ac:dyDescent="0.25">
      <c r="A7478" s="48" t="s">
        <v>10578</v>
      </c>
      <c r="B7478" t="s">
        <v>22143</v>
      </c>
      <c r="C7478">
        <v>0</v>
      </c>
    </row>
    <row r="7479" spans="1:3" x14ac:dyDescent="0.25">
      <c r="A7479" s="48" t="s">
        <v>10574</v>
      </c>
      <c r="B7479" t="s">
        <v>22144</v>
      </c>
      <c r="C7479">
        <v>6</v>
      </c>
    </row>
    <row r="7480" spans="1:3" x14ac:dyDescent="0.25">
      <c r="A7480" s="48" t="s">
        <v>145</v>
      </c>
      <c r="B7480" t="s">
        <v>19838</v>
      </c>
      <c r="C7480">
        <v>1</v>
      </c>
    </row>
    <row r="7481" spans="1:3" x14ac:dyDescent="0.25">
      <c r="A7481" s="48" t="s">
        <v>19777</v>
      </c>
      <c r="B7481" t="s">
        <v>19778</v>
      </c>
      <c r="C7481">
        <v>0</v>
      </c>
    </row>
    <row r="7482" spans="1:3" x14ac:dyDescent="0.25">
      <c r="A7482" s="48" t="s">
        <v>19791</v>
      </c>
      <c r="B7482" t="s">
        <v>19792</v>
      </c>
      <c r="C7482">
        <v>1</v>
      </c>
    </row>
    <row r="7483" spans="1:3" x14ac:dyDescent="0.25">
      <c r="A7483" s="48" t="s">
        <v>19779</v>
      </c>
      <c r="B7483" t="s">
        <v>22145</v>
      </c>
      <c r="C7483">
        <v>6</v>
      </c>
    </row>
    <row r="7484" spans="1:3" x14ac:dyDescent="0.25">
      <c r="A7484" s="48" t="s">
        <v>19783</v>
      </c>
      <c r="B7484" t="s">
        <v>19784</v>
      </c>
      <c r="C7484">
        <v>0</v>
      </c>
    </row>
    <row r="7485" spans="1:3" x14ac:dyDescent="0.25">
      <c r="A7485" s="48" t="s">
        <v>18840</v>
      </c>
      <c r="B7485" t="s">
        <v>18841</v>
      </c>
      <c r="C7485">
        <v>15</v>
      </c>
    </row>
    <row r="7486" spans="1:3" x14ac:dyDescent="0.25">
      <c r="A7486" s="48" t="s">
        <v>19825</v>
      </c>
      <c r="B7486" t="s">
        <v>22146</v>
      </c>
      <c r="C7486">
        <v>21</v>
      </c>
    </row>
    <row r="7487" spans="1:3" x14ac:dyDescent="0.25">
      <c r="A7487" s="48" t="s">
        <v>537</v>
      </c>
      <c r="B7487" t="s">
        <v>19837</v>
      </c>
      <c r="C7487">
        <v>22</v>
      </c>
    </row>
    <row r="7488" spans="1:3" x14ac:dyDescent="0.25">
      <c r="A7488" s="48" t="s">
        <v>14141</v>
      </c>
      <c r="B7488" t="s">
        <v>14142</v>
      </c>
      <c r="C7488">
        <v>0</v>
      </c>
    </row>
    <row r="7489" spans="1:3" x14ac:dyDescent="0.25">
      <c r="A7489" s="48" t="s">
        <v>14139</v>
      </c>
      <c r="B7489" t="s">
        <v>14140</v>
      </c>
      <c r="C7489">
        <v>0</v>
      </c>
    </row>
    <row r="7490" spans="1:3" x14ac:dyDescent="0.25">
      <c r="A7490" s="48" t="s">
        <v>14135</v>
      </c>
      <c r="B7490" t="s">
        <v>14136</v>
      </c>
      <c r="C7490">
        <v>0</v>
      </c>
    </row>
    <row r="7491" spans="1:3" x14ac:dyDescent="0.25">
      <c r="A7491" s="48" t="s">
        <v>7680</v>
      </c>
      <c r="B7491" t="s">
        <v>7681</v>
      </c>
      <c r="C7491">
        <v>0</v>
      </c>
    </row>
    <row r="7492" spans="1:3" x14ac:dyDescent="0.25">
      <c r="A7492" s="48" t="s">
        <v>259</v>
      </c>
      <c r="B7492" t="s">
        <v>260</v>
      </c>
      <c r="C7492">
        <v>13</v>
      </c>
    </row>
    <row r="7493" spans="1:3" x14ac:dyDescent="0.25">
      <c r="A7493" s="48" t="s">
        <v>19841</v>
      </c>
      <c r="B7493" t="s">
        <v>19842</v>
      </c>
      <c r="C7493">
        <v>17</v>
      </c>
    </row>
    <row r="7494" spans="1:3" x14ac:dyDescent="0.25">
      <c r="A7494" s="48" t="s">
        <v>14137</v>
      </c>
      <c r="B7494" t="s">
        <v>14138</v>
      </c>
      <c r="C7494">
        <v>0</v>
      </c>
    </row>
    <row r="7495" spans="1:3" x14ac:dyDescent="0.25">
      <c r="A7495" s="48" t="s">
        <v>18842</v>
      </c>
      <c r="B7495" t="s">
        <v>18843</v>
      </c>
      <c r="C7495">
        <v>0</v>
      </c>
    </row>
    <row r="7496" spans="1:3" x14ac:dyDescent="0.25">
      <c r="A7496" s="48" t="s">
        <v>18846</v>
      </c>
      <c r="B7496" t="s">
        <v>18847</v>
      </c>
      <c r="C7496">
        <v>0</v>
      </c>
    </row>
    <row r="7497" spans="1:3" x14ac:dyDescent="0.25">
      <c r="A7497" s="48" t="s">
        <v>18848</v>
      </c>
      <c r="B7497" t="s">
        <v>18849</v>
      </c>
      <c r="C7497">
        <v>0</v>
      </c>
    </row>
    <row r="7498" spans="1:3" x14ac:dyDescent="0.25">
      <c r="A7498" s="48" t="s">
        <v>19851</v>
      </c>
      <c r="B7498" t="s">
        <v>19852</v>
      </c>
      <c r="C7498">
        <v>0</v>
      </c>
    </row>
    <row r="7499" spans="1:3" x14ac:dyDescent="0.25">
      <c r="A7499" s="48" t="s">
        <v>19827</v>
      </c>
      <c r="B7499" t="s">
        <v>19828</v>
      </c>
      <c r="C7499">
        <v>2</v>
      </c>
    </row>
    <row r="7500" spans="1:3" x14ac:dyDescent="0.25">
      <c r="A7500" s="48" t="s">
        <v>14124</v>
      </c>
      <c r="B7500" t="s">
        <v>14125</v>
      </c>
      <c r="C7500">
        <v>0</v>
      </c>
    </row>
    <row r="7501" spans="1:3" x14ac:dyDescent="0.25">
      <c r="A7501" s="48" t="s">
        <v>1115</v>
      </c>
      <c r="B7501" t="s">
        <v>1116</v>
      </c>
      <c r="C7501">
        <v>26</v>
      </c>
    </row>
    <row r="7502" spans="1:3" x14ac:dyDescent="0.25">
      <c r="A7502" s="48" t="s">
        <v>6632</v>
      </c>
      <c r="B7502" t="s">
        <v>6633</v>
      </c>
      <c r="C7502">
        <v>0</v>
      </c>
    </row>
    <row r="7503" spans="1:3" x14ac:dyDescent="0.25">
      <c r="A7503" s="48" t="s">
        <v>19803</v>
      </c>
      <c r="B7503" t="s">
        <v>19804</v>
      </c>
      <c r="C7503">
        <v>8</v>
      </c>
    </row>
    <row r="7504" spans="1:3" x14ac:dyDescent="0.25">
      <c r="A7504" s="48" t="s">
        <v>19813</v>
      </c>
      <c r="B7504" t="s">
        <v>19814</v>
      </c>
      <c r="C7504">
        <v>0</v>
      </c>
    </row>
    <row r="7505" spans="1:3" x14ac:dyDescent="0.25">
      <c r="A7505" s="48" t="s">
        <v>19847</v>
      </c>
      <c r="B7505" t="s">
        <v>19848</v>
      </c>
      <c r="C7505">
        <v>0</v>
      </c>
    </row>
    <row r="7506" spans="1:3" x14ac:dyDescent="0.25">
      <c r="A7506" s="48" t="s">
        <v>19809</v>
      </c>
      <c r="B7506" t="s">
        <v>19810</v>
      </c>
      <c r="C7506">
        <v>0</v>
      </c>
    </row>
    <row r="7507" spans="1:3" x14ac:dyDescent="0.25">
      <c r="A7507" s="48" t="s">
        <v>19801</v>
      </c>
      <c r="B7507" t="s">
        <v>19802</v>
      </c>
      <c r="C7507">
        <v>5</v>
      </c>
    </row>
    <row r="7508" spans="1:3" x14ac:dyDescent="0.25">
      <c r="A7508" s="48" t="s">
        <v>10584</v>
      </c>
      <c r="B7508" t="s">
        <v>10585</v>
      </c>
      <c r="C7508">
        <v>0</v>
      </c>
    </row>
    <row r="7509" spans="1:3" x14ac:dyDescent="0.25">
      <c r="A7509" s="48" t="s">
        <v>449</v>
      </c>
      <c r="B7509" t="s">
        <v>450</v>
      </c>
      <c r="C7509">
        <v>72</v>
      </c>
    </row>
    <row r="7510" spans="1:3" x14ac:dyDescent="0.25">
      <c r="A7510" s="48" t="s">
        <v>18844</v>
      </c>
      <c r="B7510" t="s">
        <v>18845</v>
      </c>
      <c r="C7510">
        <v>0</v>
      </c>
    </row>
    <row r="7511" spans="1:3" x14ac:dyDescent="0.25">
      <c r="A7511" s="48" t="s">
        <v>19833</v>
      </c>
      <c r="B7511" t="s">
        <v>19834</v>
      </c>
      <c r="C7511">
        <v>0</v>
      </c>
    </row>
    <row r="7512" spans="1:3" x14ac:dyDescent="0.25">
      <c r="A7512" s="48" t="s">
        <v>19821</v>
      </c>
      <c r="B7512" t="s">
        <v>19822</v>
      </c>
      <c r="C7512">
        <v>0</v>
      </c>
    </row>
    <row r="7513" spans="1:3" x14ac:dyDescent="0.25">
      <c r="A7513" s="48" t="s">
        <v>19823</v>
      </c>
      <c r="B7513" t="s">
        <v>19824</v>
      </c>
      <c r="C7513">
        <v>0</v>
      </c>
    </row>
    <row r="7514" spans="1:3" x14ac:dyDescent="0.25">
      <c r="A7514" s="48" t="s">
        <v>19853</v>
      </c>
      <c r="B7514" t="s">
        <v>19854</v>
      </c>
      <c r="C7514">
        <v>26</v>
      </c>
    </row>
    <row r="7515" spans="1:3" x14ac:dyDescent="0.25">
      <c r="A7515" s="48" t="s">
        <v>19811</v>
      </c>
      <c r="B7515" t="s">
        <v>19812</v>
      </c>
      <c r="C7515">
        <v>18</v>
      </c>
    </row>
    <row r="7516" spans="1:3" x14ac:dyDescent="0.25">
      <c r="A7516" s="48" t="s">
        <v>19845</v>
      </c>
      <c r="B7516" t="s">
        <v>19846</v>
      </c>
      <c r="C7516">
        <v>6</v>
      </c>
    </row>
    <row r="7517" spans="1:3" x14ac:dyDescent="0.25">
      <c r="A7517" s="48" t="s">
        <v>3335</v>
      </c>
      <c r="B7517" t="s">
        <v>3336</v>
      </c>
      <c r="C7517">
        <v>42</v>
      </c>
    </row>
    <row r="7518" spans="1:3" x14ac:dyDescent="0.25">
      <c r="A7518" s="48" t="s">
        <v>19843</v>
      </c>
      <c r="B7518" t="s">
        <v>19844</v>
      </c>
      <c r="C7518">
        <v>0</v>
      </c>
    </row>
    <row r="7519" spans="1:3" x14ac:dyDescent="0.25">
      <c r="A7519" s="48" t="s">
        <v>14126</v>
      </c>
      <c r="B7519" t="s">
        <v>14127</v>
      </c>
      <c r="C7519">
        <v>0</v>
      </c>
    </row>
    <row r="7520" spans="1:3" x14ac:dyDescent="0.25">
      <c r="A7520" s="48" t="s">
        <v>19805</v>
      </c>
      <c r="B7520" t="s">
        <v>19806</v>
      </c>
      <c r="C7520">
        <v>0</v>
      </c>
    </row>
    <row r="7521" spans="1:3" x14ac:dyDescent="0.25">
      <c r="A7521" s="48" t="s">
        <v>19831</v>
      </c>
      <c r="B7521" t="s">
        <v>19832</v>
      </c>
      <c r="C7521">
        <v>7</v>
      </c>
    </row>
    <row r="7522" spans="1:3" x14ac:dyDescent="0.25">
      <c r="A7522" s="48" t="s">
        <v>19799</v>
      </c>
      <c r="B7522" t="s">
        <v>19800</v>
      </c>
      <c r="C7522">
        <v>0</v>
      </c>
    </row>
    <row r="7523" spans="1:3" x14ac:dyDescent="0.25">
      <c r="A7523" s="48" t="s">
        <v>19793</v>
      </c>
      <c r="B7523" t="s">
        <v>19794</v>
      </c>
      <c r="C7523">
        <v>0</v>
      </c>
    </row>
    <row r="7524" spans="1:3" x14ac:dyDescent="0.25">
      <c r="A7524" s="48" t="s">
        <v>19807</v>
      </c>
      <c r="B7524" t="s">
        <v>19808</v>
      </c>
      <c r="C7524">
        <v>0</v>
      </c>
    </row>
    <row r="7525" spans="1:3" x14ac:dyDescent="0.25">
      <c r="A7525" s="48" t="s">
        <v>59</v>
      </c>
      <c r="B7525" t="s">
        <v>60</v>
      </c>
      <c r="C7525">
        <v>26</v>
      </c>
    </row>
    <row r="7526" spans="1:3" x14ac:dyDescent="0.25">
      <c r="A7526" s="48" t="s">
        <v>8258</v>
      </c>
      <c r="B7526" t="s">
        <v>8259</v>
      </c>
      <c r="C7526">
        <v>0</v>
      </c>
    </row>
    <row r="7527" spans="1:3" x14ac:dyDescent="0.25">
      <c r="A7527" s="48" t="s">
        <v>679</v>
      </c>
      <c r="B7527" t="s">
        <v>680</v>
      </c>
      <c r="C7527">
        <v>17</v>
      </c>
    </row>
    <row r="7528" spans="1:3" x14ac:dyDescent="0.25">
      <c r="A7528" s="48" t="s">
        <v>8272</v>
      </c>
      <c r="B7528" t="s">
        <v>22147</v>
      </c>
      <c r="C7528">
        <v>0</v>
      </c>
    </row>
    <row r="7529" spans="1:3" x14ac:dyDescent="0.25">
      <c r="A7529" s="48" t="s">
        <v>1337</v>
      </c>
      <c r="B7529" t="s">
        <v>1338</v>
      </c>
      <c r="C7529">
        <v>9</v>
      </c>
    </row>
    <row r="7530" spans="1:3" x14ac:dyDescent="0.25">
      <c r="A7530" s="48" t="s">
        <v>8275</v>
      </c>
      <c r="B7530" t="s">
        <v>22148</v>
      </c>
      <c r="C7530">
        <v>0</v>
      </c>
    </row>
    <row r="7531" spans="1:3" x14ac:dyDescent="0.25">
      <c r="A7531" s="48" t="s">
        <v>8283</v>
      </c>
      <c r="B7531" t="s">
        <v>22149</v>
      </c>
      <c r="C7531">
        <v>27</v>
      </c>
    </row>
    <row r="7532" spans="1:3" x14ac:dyDescent="0.25">
      <c r="A7532" s="48" t="s">
        <v>1453</v>
      </c>
      <c r="B7532" t="s">
        <v>1454</v>
      </c>
      <c r="C7532">
        <v>146</v>
      </c>
    </row>
    <row r="7533" spans="1:3" x14ac:dyDescent="0.25">
      <c r="A7533" s="48" t="s">
        <v>313</v>
      </c>
      <c r="B7533" t="s">
        <v>314</v>
      </c>
      <c r="C7533">
        <v>4</v>
      </c>
    </row>
    <row r="7534" spans="1:3" x14ac:dyDescent="0.25">
      <c r="A7534" s="48" t="s">
        <v>1573</v>
      </c>
      <c r="B7534" t="s">
        <v>1574</v>
      </c>
      <c r="C7534">
        <v>19</v>
      </c>
    </row>
    <row r="7535" spans="1:3" x14ac:dyDescent="0.25">
      <c r="A7535" s="48" t="s">
        <v>8262</v>
      </c>
      <c r="B7535" t="s">
        <v>8263</v>
      </c>
      <c r="C7535">
        <v>41</v>
      </c>
    </row>
    <row r="7536" spans="1:3" x14ac:dyDescent="0.25">
      <c r="A7536" s="48" t="s">
        <v>8264</v>
      </c>
      <c r="B7536" t="s">
        <v>8265</v>
      </c>
      <c r="C7536">
        <v>38</v>
      </c>
    </row>
    <row r="7537" spans="1:3" x14ac:dyDescent="0.25">
      <c r="A7537" s="48" t="s">
        <v>8260</v>
      </c>
      <c r="B7537" t="s">
        <v>8261</v>
      </c>
      <c r="C7537">
        <v>0</v>
      </c>
    </row>
    <row r="7538" spans="1:3" x14ac:dyDescent="0.25">
      <c r="A7538" s="48" t="s">
        <v>8266</v>
      </c>
      <c r="B7538" t="s">
        <v>8267</v>
      </c>
      <c r="C7538">
        <v>23</v>
      </c>
    </row>
    <row r="7539" spans="1:3" x14ac:dyDescent="0.25">
      <c r="A7539" s="48" t="s">
        <v>6082</v>
      </c>
      <c r="B7539" t="s">
        <v>22150</v>
      </c>
      <c r="C7539">
        <v>23</v>
      </c>
    </row>
    <row r="7540" spans="1:3" x14ac:dyDescent="0.25">
      <c r="A7540" s="48" t="s">
        <v>1073</v>
      </c>
      <c r="B7540" t="s">
        <v>1074</v>
      </c>
      <c r="C7540">
        <v>45</v>
      </c>
    </row>
    <row r="7541" spans="1:3" x14ac:dyDescent="0.25">
      <c r="A7541" s="48" t="s">
        <v>8270</v>
      </c>
      <c r="B7541" t="s">
        <v>8271</v>
      </c>
      <c r="C7541">
        <v>0</v>
      </c>
    </row>
    <row r="7542" spans="1:3" x14ac:dyDescent="0.25">
      <c r="A7542" s="48" t="s">
        <v>1285</v>
      </c>
      <c r="B7542" t="s">
        <v>1286</v>
      </c>
      <c r="C7542">
        <v>67</v>
      </c>
    </row>
    <row r="7543" spans="1:3" x14ac:dyDescent="0.25">
      <c r="A7543" s="48" t="s">
        <v>1819</v>
      </c>
      <c r="B7543" t="s">
        <v>1820</v>
      </c>
      <c r="C7543">
        <v>24</v>
      </c>
    </row>
    <row r="7544" spans="1:3" x14ac:dyDescent="0.25">
      <c r="A7544" s="48" t="s">
        <v>1293</v>
      </c>
      <c r="B7544" t="s">
        <v>1294</v>
      </c>
      <c r="C7544">
        <v>73</v>
      </c>
    </row>
    <row r="7545" spans="1:3" x14ac:dyDescent="0.25">
      <c r="A7545" s="48" t="s">
        <v>99</v>
      </c>
      <c r="B7545" t="s">
        <v>100</v>
      </c>
      <c r="C7545">
        <v>0</v>
      </c>
    </row>
    <row r="7546" spans="1:3" x14ac:dyDescent="0.25">
      <c r="A7546" s="48" t="s">
        <v>77</v>
      </c>
      <c r="B7546" t="s">
        <v>78</v>
      </c>
      <c r="C7546">
        <v>19</v>
      </c>
    </row>
    <row r="7547" spans="1:3" x14ac:dyDescent="0.25">
      <c r="A7547" s="48" t="s">
        <v>1191</v>
      </c>
      <c r="B7547" t="s">
        <v>1192</v>
      </c>
      <c r="C7547">
        <v>14</v>
      </c>
    </row>
    <row r="7548" spans="1:3" x14ac:dyDescent="0.25">
      <c r="A7548" s="48" t="s">
        <v>8253</v>
      </c>
      <c r="B7548" t="s">
        <v>22151</v>
      </c>
      <c r="C7548">
        <v>22</v>
      </c>
    </row>
    <row r="7549" spans="1:3" x14ac:dyDescent="0.25">
      <c r="A7549" s="48" t="s">
        <v>8251</v>
      </c>
      <c r="B7549" t="s">
        <v>22152</v>
      </c>
      <c r="C7549">
        <v>6</v>
      </c>
    </row>
    <row r="7550" spans="1:3" x14ac:dyDescent="0.25">
      <c r="A7550" s="48" t="s">
        <v>6065</v>
      </c>
      <c r="B7550" t="s">
        <v>22153</v>
      </c>
      <c r="C7550">
        <v>1</v>
      </c>
    </row>
    <row r="7551" spans="1:3" x14ac:dyDescent="0.25">
      <c r="A7551" s="48" t="s">
        <v>6063</v>
      </c>
      <c r="B7551" t="s">
        <v>22154</v>
      </c>
      <c r="C7551">
        <v>29</v>
      </c>
    </row>
    <row r="7552" spans="1:3" x14ac:dyDescent="0.25">
      <c r="A7552" s="48" t="s">
        <v>405</v>
      </c>
      <c r="B7552" t="s">
        <v>406</v>
      </c>
      <c r="C7552">
        <v>14</v>
      </c>
    </row>
    <row r="7553" spans="1:3" x14ac:dyDescent="0.25">
      <c r="A7553" s="48" t="s">
        <v>1691</v>
      </c>
      <c r="B7553" t="s">
        <v>1692</v>
      </c>
      <c r="C7553">
        <v>0</v>
      </c>
    </row>
    <row r="7554" spans="1:3" x14ac:dyDescent="0.25">
      <c r="A7554" s="48" t="s">
        <v>45</v>
      </c>
      <c r="B7554" t="s">
        <v>46</v>
      </c>
      <c r="C7554">
        <v>35</v>
      </c>
    </row>
    <row r="7555" spans="1:3" x14ac:dyDescent="0.25">
      <c r="A7555" s="48" t="s">
        <v>8255</v>
      </c>
      <c r="B7555" t="s">
        <v>8256</v>
      </c>
      <c r="C7555">
        <v>0</v>
      </c>
    </row>
    <row r="7556" spans="1:3" x14ac:dyDescent="0.25">
      <c r="A7556" s="48" t="s">
        <v>979</v>
      </c>
      <c r="B7556" t="s">
        <v>980</v>
      </c>
      <c r="C7556">
        <v>51</v>
      </c>
    </row>
    <row r="7557" spans="1:3" x14ac:dyDescent="0.25">
      <c r="A7557" s="48" t="s">
        <v>1263</v>
      </c>
      <c r="B7557" t="s">
        <v>1264</v>
      </c>
      <c r="C7557">
        <v>94</v>
      </c>
    </row>
    <row r="7558" spans="1:3" x14ac:dyDescent="0.25">
      <c r="A7558" s="48" t="s">
        <v>1043</v>
      </c>
      <c r="B7558" t="s">
        <v>1044</v>
      </c>
      <c r="C7558">
        <v>19</v>
      </c>
    </row>
    <row r="7559" spans="1:3" x14ac:dyDescent="0.25">
      <c r="A7559" s="48" t="s">
        <v>6069</v>
      </c>
      <c r="B7559" t="s">
        <v>22155</v>
      </c>
      <c r="C7559">
        <v>10</v>
      </c>
    </row>
    <row r="7560" spans="1:3" x14ac:dyDescent="0.25">
      <c r="A7560" s="48" t="s">
        <v>8279</v>
      </c>
      <c r="B7560" t="s">
        <v>22156</v>
      </c>
      <c r="C7560">
        <v>24</v>
      </c>
    </row>
    <row r="7561" spans="1:3" x14ac:dyDescent="0.25">
      <c r="A7561" s="48" t="s">
        <v>8277</v>
      </c>
      <c r="B7561" t="s">
        <v>8278</v>
      </c>
      <c r="C7561">
        <v>20</v>
      </c>
    </row>
    <row r="7562" spans="1:3" x14ac:dyDescent="0.25">
      <c r="A7562" s="48" t="s">
        <v>868</v>
      </c>
      <c r="B7562" t="s">
        <v>869</v>
      </c>
      <c r="C7562">
        <v>2</v>
      </c>
    </row>
    <row r="7563" spans="1:3" x14ac:dyDescent="0.25">
      <c r="A7563" s="48" t="s">
        <v>1763</v>
      </c>
      <c r="B7563" t="s">
        <v>1764</v>
      </c>
      <c r="C7563">
        <v>2</v>
      </c>
    </row>
    <row r="7564" spans="1:3" x14ac:dyDescent="0.25">
      <c r="A7564" s="48" t="s">
        <v>153</v>
      </c>
      <c r="B7564" t="s">
        <v>154</v>
      </c>
      <c r="C7564">
        <v>24</v>
      </c>
    </row>
    <row r="7565" spans="1:3" x14ac:dyDescent="0.25">
      <c r="A7565" s="48" t="s">
        <v>87</v>
      </c>
      <c r="B7565" t="s">
        <v>88</v>
      </c>
      <c r="C7565">
        <v>94</v>
      </c>
    </row>
    <row r="7566" spans="1:3" x14ac:dyDescent="0.25">
      <c r="A7566" s="48" t="s">
        <v>6009</v>
      </c>
      <c r="B7566" t="s">
        <v>6010</v>
      </c>
      <c r="C7566">
        <v>7</v>
      </c>
    </row>
    <row r="7567" spans="1:3" x14ac:dyDescent="0.25">
      <c r="A7567" s="48" t="s">
        <v>6025</v>
      </c>
      <c r="B7567" t="s">
        <v>6026</v>
      </c>
      <c r="C7567">
        <v>0</v>
      </c>
    </row>
    <row r="7568" spans="1:3" x14ac:dyDescent="0.25">
      <c r="A7568" s="48" t="s">
        <v>6032</v>
      </c>
      <c r="B7568" t="s">
        <v>6033</v>
      </c>
      <c r="C7568">
        <v>0</v>
      </c>
    </row>
    <row r="7569" spans="1:3" x14ac:dyDescent="0.25">
      <c r="A7569" s="48" t="s">
        <v>1417</v>
      </c>
      <c r="B7569" t="s">
        <v>1418</v>
      </c>
      <c r="C7569">
        <v>10</v>
      </c>
    </row>
    <row r="7570" spans="1:3" x14ac:dyDescent="0.25">
      <c r="A7570" s="48" t="s">
        <v>6049</v>
      </c>
      <c r="B7570" t="s">
        <v>6050</v>
      </c>
      <c r="C7570">
        <v>13</v>
      </c>
    </row>
    <row r="7571" spans="1:3" x14ac:dyDescent="0.25">
      <c r="A7571" s="48" t="s">
        <v>6013</v>
      </c>
      <c r="B7571" t="s">
        <v>6014</v>
      </c>
      <c r="C7571">
        <v>0</v>
      </c>
    </row>
    <row r="7572" spans="1:3" x14ac:dyDescent="0.25">
      <c r="A7572" s="48" t="s">
        <v>1347</v>
      </c>
      <c r="B7572" t="s">
        <v>1348</v>
      </c>
      <c r="C7572">
        <v>6</v>
      </c>
    </row>
    <row r="7573" spans="1:3" x14ac:dyDescent="0.25">
      <c r="A7573" s="48" t="s">
        <v>1769</v>
      </c>
      <c r="B7573" t="s">
        <v>1770</v>
      </c>
      <c r="C7573">
        <v>4</v>
      </c>
    </row>
    <row r="7574" spans="1:3" x14ac:dyDescent="0.25">
      <c r="A7574" s="48" t="s">
        <v>1811</v>
      </c>
      <c r="B7574" t="s">
        <v>1812</v>
      </c>
      <c r="C7574">
        <v>0</v>
      </c>
    </row>
    <row r="7575" spans="1:3" x14ac:dyDescent="0.25">
      <c r="A7575" s="48" t="s">
        <v>1942</v>
      </c>
      <c r="B7575" t="s">
        <v>1943</v>
      </c>
      <c r="C7575">
        <v>0</v>
      </c>
    </row>
    <row r="7576" spans="1:3" x14ac:dyDescent="0.25">
      <c r="A7576" s="48" t="s">
        <v>1683</v>
      </c>
      <c r="B7576" t="s">
        <v>1684</v>
      </c>
      <c r="C7576">
        <v>1</v>
      </c>
    </row>
    <row r="7577" spans="1:3" x14ac:dyDescent="0.25">
      <c r="A7577" s="48" t="s">
        <v>1021</v>
      </c>
      <c r="B7577" t="s">
        <v>1022</v>
      </c>
      <c r="C7577">
        <v>5</v>
      </c>
    </row>
    <row r="7578" spans="1:3" x14ac:dyDescent="0.25">
      <c r="A7578" s="48" t="s">
        <v>1657</v>
      </c>
      <c r="B7578" t="s">
        <v>1658</v>
      </c>
      <c r="C7578">
        <v>0</v>
      </c>
    </row>
    <row r="7579" spans="1:3" x14ac:dyDescent="0.25">
      <c r="A7579" s="48" t="s">
        <v>1217</v>
      </c>
      <c r="B7579" t="s">
        <v>1218</v>
      </c>
      <c r="C7579">
        <v>7</v>
      </c>
    </row>
    <row r="7580" spans="1:3" x14ac:dyDescent="0.25">
      <c r="A7580" s="48" t="s">
        <v>10519</v>
      </c>
      <c r="B7580" t="s">
        <v>10520</v>
      </c>
      <c r="C7580">
        <v>6</v>
      </c>
    </row>
    <row r="7581" spans="1:3" x14ac:dyDescent="0.25">
      <c r="A7581" s="48" t="s">
        <v>10529</v>
      </c>
      <c r="B7581" t="s">
        <v>10530</v>
      </c>
      <c r="C7581">
        <v>0</v>
      </c>
    </row>
    <row r="7582" spans="1:3" x14ac:dyDescent="0.25">
      <c r="A7582" s="48" t="s">
        <v>10515</v>
      </c>
      <c r="B7582" t="s">
        <v>10516</v>
      </c>
      <c r="C7582">
        <v>0</v>
      </c>
    </row>
    <row r="7583" spans="1:3" x14ac:dyDescent="0.25">
      <c r="A7583" s="48" t="s">
        <v>10523</v>
      </c>
      <c r="B7583" t="s">
        <v>10524</v>
      </c>
      <c r="C7583">
        <v>3</v>
      </c>
    </row>
    <row r="7584" spans="1:3" x14ac:dyDescent="0.25">
      <c r="A7584" s="48" t="s">
        <v>10513</v>
      </c>
      <c r="B7584" t="s">
        <v>10514</v>
      </c>
      <c r="C7584">
        <v>0</v>
      </c>
    </row>
    <row r="7585" spans="1:3" x14ac:dyDescent="0.25">
      <c r="A7585" s="48" t="s">
        <v>10525</v>
      </c>
      <c r="B7585" t="s">
        <v>10526</v>
      </c>
      <c r="C7585">
        <v>0</v>
      </c>
    </row>
    <row r="7586" spans="1:3" x14ac:dyDescent="0.25">
      <c r="A7586" s="48" t="s">
        <v>1543</v>
      </c>
      <c r="B7586" t="s">
        <v>1544</v>
      </c>
      <c r="C7586">
        <v>12</v>
      </c>
    </row>
    <row r="7587" spans="1:3" x14ac:dyDescent="0.25">
      <c r="A7587" s="48" t="s">
        <v>1713</v>
      </c>
      <c r="B7587" t="s">
        <v>1714</v>
      </c>
      <c r="C7587">
        <v>5</v>
      </c>
    </row>
    <row r="7588" spans="1:3" x14ac:dyDescent="0.25">
      <c r="A7588" s="48" t="s">
        <v>1659</v>
      </c>
      <c r="B7588" t="s">
        <v>1660</v>
      </c>
      <c r="C7588">
        <v>8</v>
      </c>
    </row>
    <row r="7589" spans="1:3" x14ac:dyDescent="0.25">
      <c r="A7589" s="48" t="s">
        <v>1954</v>
      </c>
      <c r="B7589" t="s">
        <v>1955</v>
      </c>
      <c r="C7589">
        <v>12</v>
      </c>
    </row>
    <row r="7590" spans="1:3" x14ac:dyDescent="0.25">
      <c r="A7590" s="48" t="s">
        <v>1849</v>
      </c>
      <c r="B7590" t="s">
        <v>1850</v>
      </c>
      <c r="C7590">
        <v>11</v>
      </c>
    </row>
    <row r="7591" spans="1:3" x14ac:dyDescent="0.25">
      <c r="A7591" s="48" t="s">
        <v>703</v>
      </c>
      <c r="B7591" t="s">
        <v>704</v>
      </c>
      <c r="C7591">
        <v>9</v>
      </c>
    </row>
    <row r="7592" spans="1:3" x14ac:dyDescent="0.25">
      <c r="A7592" s="48" t="s">
        <v>5893</v>
      </c>
      <c r="B7592" t="s">
        <v>5894</v>
      </c>
      <c r="C7592">
        <v>3</v>
      </c>
    </row>
    <row r="7593" spans="1:3" x14ac:dyDescent="0.25">
      <c r="A7593" s="48" t="s">
        <v>6058</v>
      </c>
      <c r="B7593" t="s">
        <v>6059</v>
      </c>
      <c r="C7593">
        <v>1</v>
      </c>
    </row>
    <row r="7594" spans="1:3" x14ac:dyDescent="0.25">
      <c r="A7594" s="48" t="s">
        <v>1717</v>
      </c>
      <c r="B7594" t="s">
        <v>1718</v>
      </c>
      <c r="C7594">
        <v>3</v>
      </c>
    </row>
    <row r="7595" spans="1:3" x14ac:dyDescent="0.25">
      <c r="A7595" s="48" t="s">
        <v>6019</v>
      </c>
      <c r="B7595" t="s">
        <v>6020</v>
      </c>
      <c r="C7595">
        <v>9</v>
      </c>
    </row>
    <row r="7596" spans="1:3" x14ac:dyDescent="0.25">
      <c r="A7596" s="48" t="s">
        <v>6036</v>
      </c>
      <c r="B7596" t="s">
        <v>6037</v>
      </c>
      <c r="C7596">
        <v>24</v>
      </c>
    </row>
    <row r="7597" spans="1:3" x14ac:dyDescent="0.25">
      <c r="A7597" s="48" t="s">
        <v>1475</v>
      </c>
      <c r="B7597" t="s">
        <v>1476</v>
      </c>
      <c r="C7597">
        <v>16</v>
      </c>
    </row>
    <row r="7598" spans="1:3" x14ac:dyDescent="0.25">
      <c r="A7598" s="48" t="s">
        <v>1777</v>
      </c>
      <c r="B7598" t="s">
        <v>1778</v>
      </c>
      <c r="C7598">
        <v>105</v>
      </c>
    </row>
    <row r="7599" spans="1:3" x14ac:dyDescent="0.25">
      <c r="A7599" s="48" t="s">
        <v>1521</v>
      </c>
      <c r="B7599" t="s">
        <v>1522</v>
      </c>
      <c r="C7599">
        <v>94</v>
      </c>
    </row>
    <row r="7600" spans="1:3" x14ac:dyDescent="0.25">
      <c r="A7600" s="48" t="s">
        <v>1253</v>
      </c>
      <c r="B7600" t="s">
        <v>1254</v>
      </c>
      <c r="C7600">
        <v>15</v>
      </c>
    </row>
    <row r="7601" spans="1:3" x14ac:dyDescent="0.25">
      <c r="A7601" s="48" t="s">
        <v>10531</v>
      </c>
      <c r="B7601" t="s">
        <v>10532</v>
      </c>
      <c r="C7601">
        <v>0</v>
      </c>
    </row>
    <row r="7602" spans="1:3" x14ac:dyDescent="0.25">
      <c r="A7602" s="48" t="s">
        <v>10521</v>
      </c>
      <c r="B7602" t="s">
        <v>10522</v>
      </c>
      <c r="C7602">
        <v>0</v>
      </c>
    </row>
    <row r="7603" spans="1:3" x14ac:dyDescent="0.25">
      <c r="A7603" s="48" t="s">
        <v>8268</v>
      </c>
      <c r="B7603" t="s">
        <v>8269</v>
      </c>
      <c r="C7603">
        <v>9</v>
      </c>
    </row>
    <row r="7604" spans="1:3" x14ac:dyDescent="0.25">
      <c r="A7604" s="48" t="s">
        <v>1880</v>
      </c>
      <c r="B7604" t="s">
        <v>1881</v>
      </c>
      <c r="C7604">
        <v>6</v>
      </c>
    </row>
    <row r="7605" spans="1:3" x14ac:dyDescent="0.25">
      <c r="A7605" s="48" t="s">
        <v>6043</v>
      </c>
      <c r="B7605" t="s">
        <v>6044</v>
      </c>
      <c r="C7605">
        <v>0</v>
      </c>
    </row>
    <row r="7606" spans="1:3" x14ac:dyDescent="0.25">
      <c r="A7606" s="48" t="s">
        <v>6045</v>
      </c>
      <c r="B7606" t="s">
        <v>6046</v>
      </c>
      <c r="C7606">
        <v>0</v>
      </c>
    </row>
    <row r="7607" spans="1:3" x14ac:dyDescent="0.25">
      <c r="A7607" s="48" t="s">
        <v>1491</v>
      </c>
      <c r="B7607" t="s">
        <v>1492</v>
      </c>
      <c r="C7607">
        <v>36</v>
      </c>
    </row>
    <row r="7608" spans="1:3" x14ac:dyDescent="0.25">
      <c r="A7608" s="48" t="s">
        <v>7808</v>
      </c>
      <c r="B7608" t="s">
        <v>7809</v>
      </c>
      <c r="C7608">
        <v>9</v>
      </c>
    </row>
    <row r="7609" spans="1:3" x14ac:dyDescent="0.25">
      <c r="A7609" s="48" t="s">
        <v>7810</v>
      </c>
      <c r="B7609" t="s">
        <v>7811</v>
      </c>
      <c r="C7609">
        <v>22</v>
      </c>
    </row>
    <row r="7610" spans="1:3" x14ac:dyDescent="0.25">
      <c r="A7610" s="48" t="s">
        <v>6053</v>
      </c>
      <c r="B7610" t="s">
        <v>6052</v>
      </c>
      <c r="C7610">
        <v>9</v>
      </c>
    </row>
    <row r="7611" spans="1:3" x14ac:dyDescent="0.25">
      <c r="A7611" s="48" t="s">
        <v>6031</v>
      </c>
      <c r="B7611" t="s">
        <v>6030</v>
      </c>
      <c r="C7611">
        <v>4</v>
      </c>
    </row>
    <row r="7612" spans="1:3" x14ac:dyDescent="0.25">
      <c r="A7612" s="48" t="s">
        <v>6075</v>
      </c>
      <c r="B7612" t="s">
        <v>6076</v>
      </c>
      <c r="C7612">
        <v>0</v>
      </c>
    </row>
    <row r="7613" spans="1:3" x14ac:dyDescent="0.25">
      <c r="A7613" s="48" t="s">
        <v>8281</v>
      </c>
      <c r="B7613" t="s">
        <v>8282</v>
      </c>
      <c r="C7613">
        <v>13</v>
      </c>
    </row>
    <row r="7614" spans="1:3" x14ac:dyDescent="0.25">
      <c r="A7614" s="48" t="s">
        <v>10533</v>
      </c>
      <c r="B7614" t="s">
        <v>10534</v>
      </c>
      <c r="C7614">
        <v>0</v>
      </c>
    </row>
    <row r="7615" spans="1:3" x14ac:dyDescent="0.25">
      <c r="A7615" s="48" t="s">
        <v>10527</v>
      </c>
      <c r="B7615" t="s">
        <v>10528</v>
      </c>
      <c r="C7615">
        <v>0</v>
      </c>
    </row>
    <row r="7616" spans="1:3" x14ac:dyDescent="0.25">
      <c r="A7616" s="48" t="s">
        <v>10537</v>
      </c>
      <c r="B7616" t="s">
        <v>10538</v>
      </c>
      <c r="C7616">
        <v>0</v>
      </c>
    </row>
    <row r="7617" spans="1:3" x14ac:dyDescent="0.25">
      <c r="A7617" s="48" t="s">
        <v>10517</v>
      </c>
      <c r="B7617" t="s">
        <v>10518</v>
      </c>
      <c r="C7617">
        <v>0</v>
      </c>
    </row>
    <row r="7618" spans="1:3" x14ac:dyDescent="0.25">
      <c r="A7618" s="48" t="s">
        <v>6061</v>
      </c>
      <c r="B7618" t="s">
        <v>6062</v>
      </c>
      <c r="C7618">
        <v>0</v>
      </c>
    </row>
    <row r="7619" spans="1:3" x14ac:dyDescent="0.25">
      <c r="A7619" s="48" t="s">
        <v>7806</v>
      </c>
      <c r="B7619" t="s">
        <v>7807</v>
      </c>
      <c r="C7619">
        <v>0</v>
      </c>
    </row>
    <row r="7620" spans="1:3" x14ac:dyDescent="0.25">
      <c r="A7620" s="48" t="s">
        <v>19754</v>
      </c>
      <c r="B7620" t="s">
        <v>19755</v>
      </c>
      <c r="C7620">
        <v>0</v>
      </c>
    </row>
    <row r="7621" spans="1:3" x14ac:dyDescent="0.25">
      <c r="A7621" s="48" t="s">
        <v>19752</v>
      </c>
      <c r="B7621" t="s">
        <v>19753</v>
      </c>
      <c r="C7621">
        <v>0</v>
      </c>
    </row>
    <row r="7622" spans="1:3" x14ac:dyDescent="0.25">
      <c r="A7622" s="48" t="s">
        <v>8802</v>
      </c>
      <c r="B7622" t="s">
        <v>8803</v>
      </c>
      <c r="C7622">
        <v>0</v>
      </c>
    </row>
    <row r="7623" spans="1:3" x14ac:dyDescent="0.25">
      <c r="A7623" s="48" t="s">
        <v>8812</v>
      </c>
      <c r="B7623" t="s">
        <v>8813</v>
      </c>
      <c r="C7623">
        <v>0</v>
      </c>
    </row>
    <row r="7624" spans="1:3" x14ac:dyDescent="0.25">
      <c r="A7624" s="48" t="s">
        <v>8808</v>
      </c>
      <c r="B7624" t="s">
        <v>8809</v>
      </c>
      <c r="C7624">
        <v>9</v>
      </c>
    </row>
    <row r="7625" spans="1:3" x14ac:dyDescent="0.25">
      <c r="A7625" s="48" t="s">
        <v>1297</v>
      </c>
      <c r="B7625" t="s">
        <v>1298</v>
      </c>
      <c r="C7625">
        <v>85</v>
      </c>
    </row>
    <row r="7626" spans="1:3" x14ac:dyDescent="0.25">
      <c r="A7626" s="48" t="s">
        <v>585</v>
      </c>
      <c r="B7626" t="s">
        <v>586</v>
      </c>
      <c r="C7626">
        <v>0</v>
      </c>
    </row>
    <row r="7627" spans="1:3" x14ac:dyDescent="0.25">
      <c r="A7627" s="48" t="s">
        <v>8806</v>
      </c>
      <c r="B7627" t="s">
        <v>8807</v>
      </c>
      <c r="C7627">
        <v>7</v>
      </c>
    </row>
    <row r="7628" spans="1:3" x14ac:dyDescent="0.25">
      <c r="A7628" s="48" t="s">
        <v>18169</v>
      </c>
      <c r="B7628" t="s">
        <v>18170</v>
      </c>
      <c r="C7628">
        <v>10</v>
      </c>
    </row>
    <row r="7629" spans="1:3" x14ac:dyDescent="0.25">
      <c r="A7629" s="48" t="s">
        <v>557</v>
      </c>
      <c r="B7629" t="s">
        <v>558</v>
      </c>
      <c r="C7629">
        <v>1</v>
      </c>
    </row>
    <row r="7630" spans="1:3" x14ac:dyDescent="0.25">
      <c r="A7630" s="48" t="s">
        <v>621</v>
      </c>
      <c r="B7630" t="s">
        <v>622</v>
      </c>
      <c r="C7630">
        <v>0</v>
      </c>
    </row>
    <row r="7631" spans="1:3" x14ac:dyDescent="0.25">
      <c r="A7631" s="48" t="s">
        <v>16894</v>
      </c>
      <c r="B7631" t="s">
        <v>16895</v>
      </c>
      <c r="C7631">
        <v>8</v>
      </c>
    </row>
    <row r="7632" spans="1:3" x14ac:dyDescent="0.25">
      <c r="A7632" s="48" t="s">
        <v>16896</v>
      </c>
      <c r="B7632" t="s">
        <v>16897</v>
      </c>
      <c r="C7632">
        <v>0</v>
      </c>
    </row>
    <row r="7633" spans="1:3" x14ac:dyDescent="0.25">
      <c r="A7633" s="48" t="s">
        <v>16892</v>
      </c>
      <c r="B7633" t="s">
        <v>16893</v>
      </c>
      <c r="C7633">
        <v>0</v>
      </c>
    </row>
    <row r="7634" spans="1:3" x14ac:dyDescent="0.25">
      <c r="A7634" s="48" t="s">
        <v>16898</v>
      </c>
      <c r="B7634" t="s">
        <v>16899</v>
      </c>
      <c r="C7634">
        <v>0</v>
      </c>
    </row>
    <row r="7635" spans="1:3" x14ac:dyDescent="0.25">
      <c r="A7635" s="48" t="s">
        <v>8299</v>
      </c>
      <c r="B7635" t="s">
        <v>8300</v>
      </c>
      <c r="C7635">
        <v>4</v>
      </c>
    </row>
    <row r="7636" spans="1:3" x14ac:dyDescent="0.25">
      <c r="A7636" s="48" t="s">
        <v>7118</v>
      </c>
      <c r="B7636" t="s">
        <v>7119</v>
      </c>
      <c r="C7636">
        <v>2</v>
      </c>
    </row>
    <row r="7637" spans="1:3" x14ac:dyDescent="0.25">
      <c r="A7637" s="48" t="s">
        <v>7124</v>
      </c>
      <c r="B7637" t="s">
        <v>7125</v>
      </c>
      <c r="C7637">
        <v>9</v>
      </c>
    </row>
    <row r="7638" spans="1:3" x14ac:dyDescent="0.25">
      <c r="A7638" s="48" t="s">
        <v>7122</v>
      </c>
      <c r="B7638" t="s">
        <v>7123</v>
      </c>
      <c r="C7638">
        <v>1</v>
      </c>
    </row>
    <row r="7639" spans="1:3" x14ac:dyDescent="0.25">
      <c r="A7639" s="48" t="s">
        <v>7120</v>
      </c>
      <c r="B7639" t="s">
        <v>7121</v>
      </c>
      <c r="C7639">
        <v>3</v>
      </c>
    </row>
    <row r="7640" spans="1:3" x14ac:dyDescent="0.25">
      <c r="A7640" s="48" t="s">
        <v>6926</v>
      </c>
      <c r="B7640" t="s">
        <v>6927</v>
      </c>
      <c r="C7640">
        <v>21</v>
      </c>
    </row>
    <row r="7641" spans="1:3" x14ac:dyDescent="0.25">
      <c r="A7641" s="48" t="s">
        <v>6932</v>
      </c>
      <c r="B7641" t="s">
        <v>6933</v>
      </c>
      <c r="C7641">
        <v>28</v>
      </c>
    </row>
    <row r="7642" spans="1:3" x14ac:dyDescent="0.25">
      <c r="A7642" s="48" t="s">
        <v>1625</v>
      </c>
      <c r="B7642" t="s">
        <v>1626</v>
      </c>
      <c r="C7642">
        <v>0</v>
      </c>
    </row>
    <row r="7643" spans="1:3" x14ac:dyDescent="0.25">
      <c r="A7643" s="48" t="s">
        <v>1563</v>
      </c>
      <c r="B7643" t="s">
        <v>1564</v>
      </c>
      <c r="C7643">
        <v>28</v>
      </c>
    </row>
    <row r="7644" spans="1:3" x14ac:dyDescent="0.25">
      <c r="A7644" s="48" t="s">
        <v>521</v>
      </c>
      <c r="B7644" t="s">
        <v>522</v>
      </c>
      <c r="C7644">
        <v>43</v>
      </c>
    </row>
    <row r="7645" spans="1:3" x14ac:dyDescent="0.25">
      <c r="A7645" s="48" t="s">
        <v>6928</v>
      </c>
      <c r="B7645" t="s">
        <v>22157</v>
      </c>
      <c r="C7645">
        <v>15</v>
      </c>
    </row>
    <row r="7646" spans="1:3" x14ac:dyDescent="0.25">
      <c r="A7646" s="48" t="s">
        <v>8289</v>
      </c>
      <c r="B7646" t="s">
        <v>8290</v>
      </c>
      <c r="C7646">
        <v>0</v>
      </c>
    </row>
    <row r="7647" spans="1:3" x14ac:dyDescent="0.25">
      <c r="A7647" s="48" t="s">
        <v>8317</v>
      </c>
      <c r="B7647" t="s">
        <v>8318</v>
      </c>
      <c r="C7647">
        <v>0</v>
      </c>
    </row>
    <row r="7648" spans="1:3" x14ac:dyDescent="0.25">
      <c r="A7648" s="48" t="s">
        <v>8301</v>
      </c>
      <c r="B7648" t="s">
        <v>8302</v>
      </c>
      <c r="C7648">
        <v>0</v>
      </c>
    </row>
    <row r="7649" spans="1:3" x14ac:dyDescent="0.25">
      <c r="A7649" s="48" t="s">
        <v>8319</v>
      </c>
      <c r="B7649" t="s">
        <v>8320</v>
      </c>
      <c r="C7649">
        <v>11</v>
      </c>
    </row>
    <row r="7650" spans="1:3" x14ac:dyDescent="0.25">
      <c r="A7650" s="48" t="s">
        <v>8295</v>
      </c>
      <c r="B7650" t="s">
        <v>8296</v>
      </c>
      <c r="C7650">
        <v>9</v>
      </c>
    </row>
    <row r="7651" spans="1:3" x14ac:dyDescent="0.25">
      <c r="A7651" s="48" t="s">
        <v>8287</v>
      </c>
      <c r="B7651" t="s">
        <v>8288</v>
      </c>
      <c r="C7651">
        <v>8</v>
      </c>
    </row>
    <row r="7652" spans="1:3" x14ac:dyDescent="0.25">
      <c r="A7652" s="48" t="s">
        <v>8291</v>
      </c>
      <c r="B7652" t="s">
        <v>8292</v>
      </c>
      <c r="C7652">
        <v>5</v>
      </c>
    </row>
    <row r="7653" spans="1:3" x14ac:dyDescent="0.25">
      <c r="A7653" s="48" t="s">
        <v>8303</v>
      </c>
      <c r="B7653" t="s">
        <v>8304</v>
      </c>
      <c r="C7653">
        <v>7</v>
      </c>
    </row>
    <row r="7654" spans="1:3" x14ac:dyDescent="0.25">
      <c r="A7654" s="48" t="s">
        <v>8305</v>
      </c>
      <c r="B7654" t="s">
        <v>8306</v>
      </c>
      <c r="C7654">
        <v>3</v>
      </c>
    </row>
    <row r="7655" spans="1:3" x14ac:dyDescent="0.25">
      <c r="A7655" s="48" t="s">
        <v>8315</v>
      </c>
      <c r="B7655" t="s">
        <v>8316</v>
      </c>
      <c r="C7655">
        <v>3</v>
      </c>
    </row>
    <row r="7656" spans="1:3" x14ac:dyDescent="0.25">
      <c r="A7656" s="48" t="s">
        <v>8307</v>
      </c>
      <c r="B7656" t="s">
        <v>8308</v>
      </c>
      <c r="C7656">
        <v>0</v>
      </c>
    </row>
    <row r="7657" spans="1:3" x14ac:dyDescent="0.25">
      <c r="A7657" s="48" t="s">
        <v>8309</v>
      </c>
      <c r="B7657" t="s">
        <v>8310</v>
      </c>
      <c r="C7657">
        <v>6</v>
      </c>
    </row>
    <row r="7658" spans="1:3" x14ac:dyDescent="0.25">
      <c r="A7658" s="48" t="s">
        <v>8311</v>
      </c>
      <c r="B7658" t="s">
        <v>8312</v>
      </c>
      <c r="C7658">
        <v>0</v>
      </c>
    </row>
    <row r="7659" spans="1:3" x14ac:dyDescent="0.25">
      <c r="A7659" s="48" t="s">
        <v>8293</v>
      </c>
      <c r="B7659" t="s">
        <v>8294</v>
      </c>
      <c r="C7659">
        <v>0</v>
      </c>
    </row>
    <row r="7660" spans="1:3" x14ac:dyDescent="0.25">
      <c r="A7660" s="48" t="s">
        <v>12244</v>
      </c>
      <c r="B7660" t="s">
        <v>12245</v>
      </c>
      <c r="C7660">
        <v>0</v>
      </c>
    </row>
    <row r="7661" spans="1:3" x14ac:dyDescent="0.25">
      <c r="A7661" s="48" t="s">
        <v>12226</v>
      </c>
      <c r="B7661" t="s">
        <v>12227</v>
      </c>
      <c r="C7661">
        <v>0</v>
      </c>
    </row>
    <row r="7662" spans="1:3" x14ac:dyDescent="0.25">
      <c r="A7662" s="48" t="s">
        <v>12228</v>
      </c>
      <c r="B7662" t="s">
        <v>12229</v>
      </c>
      <c r="C7662">
        <v>2</v>
      </c>
    </row>
    <row r="7663" spans="1:3" x14ac:dyDescent="0.25">
      <c r="A7663" s="48" t="s">
        <v>4735</v>
      </c>
      <c r="B7663" t="s">
        <v>4736</v>
      </c>
      <c r="C7663">
        <v>0</v>
      </c>
    </row>
    <row r="7664" spans="1:3" x14ac:dyDescent="0.25">
      <c r="A7664" s="48" t="s">
        <v>63</v>
      </c>
      <c r="B7664" t="s">
        <v>64</v>
      </c>
      <c r="C7664">
        <v>13</v>
      </c>
    </row>
    <row r="7665" spans="1:3" x14ac:dyDescent="0.25">
      <c r="A7665" s="48" t="s">
        <v>1165</v>
      </c>
      <c r="B7665" t="s">
        <v>1166</v>
      </c>
      <c r="C7665">
        <v>0</v>
      </c>
    </row>
    <row r="7666" spans="1:3" x14ac:dyDescent="0.25">
      <c r="A7666" s="48" t="s">
        <v>149</v>
      </c>
      <c r="B7666" t="s">
        <v>150</v>
      </c>
      <c r="C7666">
        <v>0</v>
      </c>
    </row>
    <row r="7667" spans="1:3" x14ac:dyDescent="0.25">
      <c r="A7667" s="48" t="s">
        <v>4737</v>
      </c>
      <c r="B7667" t="s">
        <v>4738</v>
      </c>
      <c r="C7667">
        <v>108</v>
      </c>
    </row>
    <row r="7668" spans="1:3" x14ac:dyDescent="0.25">
      <c r="A7668" s="48" t="s">
        <v>16155</v>
      </c>
      <c r="B7668" t="s">
        <v>16156</v>
      </c>
      <c r="C7668">
        <v>0</v>
      </c>
    </row>
    <row r="7669" spans="1:3" x14ac:dyDescent="0.25">
      <c r="A7669" s="48" t="s">
        <v>8297</v>
      </c>
      <c r="B7669" t="s">
        <v>8298</v>
      </c>
      <c r="C7669">
        <v>1</v>
      </c>
    </row>
    <row r="7670" spans="1:3" x14ac:dyDescent="0.25">
      <c r="A7670" s="48" t="s">
        <v>8313</v>
      </c>
      <c r="B7670" t="s">
        <v>8314</v>
      </c>
      <c r="C7670">
        <v>28</v>
      </c>
    </row>
    <row r="7671" spans="1:3" x14ac:dyDescent="0.25">
      <c r="A7671" s="48" t="s">
        <v>13907</v>
      </c>
      <c r="B7671" t="s">
        <v>13908</v>
      </c>
      <c r="C7671">
        <v>0</v>
      </c>
    </row>
    <row r="7672" spans="1:3" x14ac:dyDescent="0.25">
      <c r="A7672" s="48" t="s">
        <v>13909</v>
      </c>
      <c r="B7672" t="s">
        <v>13910</v>
      </c>
      <c r="C7672">
        <v>0</v>
      </c>
    </row>
    <row r="7673" spans="1:3" x14ac:dyDescent="0.25">
      <c r="A7673" s="48" t="s">
        <v>1733</v>
      </c>
      <c r="B7673" t="s">
        <v>1734</v>
      </c>
      <c r="C7673">
        <v>36</v>
      </c>
    </row>
    <row r="7674" spans="1:3" x14ac:dyDescent="0.25">
      <c r="A7674" s="48" t="s">
        <v>14429</v>
      </c>
      <c r="B7674" t="s">
        <v>14430</v>
      </c>
      <c r="C7674">
        <v>4</v>
      </c>
    </row>
    <row r="7675" spans="1:3" x14ac:dyDescent="0.25">
      <c r="A7675" s="48" t="s">
        <v>14435</v>
      </c>
      <c r="B7675" t="s">
        <v>14436</v>
      </c>
      <c r="C7675">
        <v>1</v>
      </c>
    </row>
    <row r="7676" spans="1:3" x14ac:dyDescent="0.25">
      <c r="A7676" s="48" t="s">
        <v>14437</v>
      </c>
      <c r="B7676" t="s">
        <v>14438</v>
      </c>
      <c r="C7676">
        <v>0</v>
      </c>
    </row>
    <row r="7677" spans="1:3" x14ac:dyDescent="0.25">
      <c r="A7677" s="48" t="s">
        <v>11140</v>
      </c>
      <c r="B7677" t="s">
        <v>11141</v>
      </c>
      <c r="C7677">
        <v>18</v>
      </c>
    </row>
    <row r="7678" spans="1:3" x14ac:dyDescent="0.25">
      <c r="A7678" s="48" t="s">
        <v>14443</v>
      </c>
      <c r="B7678" t="s">
        <v>14444</v>
      </c>
      <c r="C7678">
        <v>80</v>
      </c>
    </row>
    <row r="7679" spans="1:3" x14ac:dyDescent="0.25">
      <c r="A7679" s="48" t="s">
        <v>11126</v>
      </c>
      <c r="B7679" t="s">
        <v>11127</v>
      </c>
      <c r="C7679">
        <v>3</v>
      </c>
    </row>
    <row r="7680" spans="1:3" x14ac:dyDescent="0.25">
      <c r="A7680" s="48" t="s">
        <v>14431</v>
      </c>
      <c r="B7680" t="s">
        <v>14432</v>
      </c>
      <c r="C7680">
        <v>0</v>
      </c>
    </row>
    <row r="7681" spans="1:3" x14ac:dyDescent="0.25">
      <c r="A7681" s="48" t="s">
        <v>11142</v>
      </c>
      <c r="B7681" t="s">
        <v>11143</v>
      </c>
      <c r="C7681">
        <v>14</v>
      </c>
    </row>
    <row r="7682" spans="1:3" x14ac:dyDescent="0.25">
      <c r="A7682" s="48" t="s">
        <v>11132</v>
      </c>
      <c r="B7682" t="s">
        <v>11133</v>
      </c>
      <c r="C7682">
        <v>14</v>
      </c>
    </row>
    <row r="7683" spans="1:3" x14ac:dyDescent="0.25">
      <c r="A7683" s="48" t="s">
        <v>11138</v>
      </c>
      <c r="B7683" t="s">
        <v>11139</v>
      </c>
      <c r="C7683">
        <v>11</v>
      </c>
    </row>
    <row r="7684" spans="1:3" x14ac:dyDescent="0.25">
      <c r="A7684" s="48" t="s">
        <v>11136</v>
      </c>
      <c r="B7684" t="s">
        <v>11137</v>
      </c>
      <c r="C7684">
        <v>69</v>
      </c>
    </row>
    <row r="7685" spans="1:3" x14ac:dyDescent="0.25">
      <c r="A7685" s="48" t="s">
        <v>11144</v>
      </c>
      <c r="B7685" t="s">
        <v>11145</v>
      </c>
      <c r="C7685">
        <v>0</v>
      </c>
    </row>
    <row r="7686" spans="1:3" x14ac:dyDescent="0.25">
      <c r="A7686" s="48" t="s">
        <v>11146</v>
      </c>
      <c r="B7686" t="s">
        <v>11147</v>
      </c>
      <c r="C7686">
        <v>23</v>
      </c>
    </row>
    <row r="7687" spans="1:3" x14ac:dyDescent="0.25">
      <c r="A7687" s="48" t="s">
        <v>14441</v>
      </c>
      <c r="B7687" t="s">
        <v>14442</v>
      </c>
      <c r="C7687">
        <v>8</v>
      </c>
    </row>
    <row r="7688" spans="1:3" x14ac:dyDescent="0.25">
      <c r="A7688" s="48" t="s">
        <v>14439</v>
      </c>
      <c r="B7688" t="s">
        <v>14440</v>
      </c>
      <c r="C7688">
        <v>18</v>
      </c>
    </row>
    <row r="7689" spans="1:3" x14ac:dyDescent="0.25">
      <c r="A7689" s="48" t="s">
        <v>11148</v>
      </c>
      <c r="B7689" t="s">
        <v>11149</v>
      </c>
      <c r="C7689">
        <v>9</v>
      </c>
    </row>
    <row r="7690" spans="1:3" x14ac:dyDescent="0.25">
      <c r="A7690" s="48" t="s">
        <v>11134</v>
      </c>
      <c r="B7690" t="s">
        <v>11135</v>
      </c>
      <c r="C7690">
        <v>24</v>
      </c>
    </row>
    <row r="7691" spans="1:3" x14ac:dyDescent="0.25">
      <c r="A7691" s="48" t="s">
        <v>11130</v>
      </c>
      <c r="B7691" t="s">
        <v>11131</v>
      </c>
      <c r="C7691">
        <v>13</v>
      </c>
    </row>
    <row r="7692" spans="1:3" x14ac:dyDescent="0.25">
      <c r="A7692" s="48" t="s">
        <v>3543</v>
      </c>
      <c r="B7692" t="s">
        <v>3544</v>
      </c>
      <c r="C7692">
        <v>0</v>
      </c>
    </row>
    <row r="7693" spans="1:3" x14ac:dyDescent="0.25">
      <c r="A7693" s="48" t="s">
        <v>17997</v>
      </c>
      <c r="B7693" t="s">
        <v>17998</v>
      </c>
      <c r="C7693">
        <v>0</v>
      </c>
    </row>
    <row r="7694" spans="1:3" x14ac:dyDescent="0.25">
      <c r="A7694" s="48" t="s">
        <v>18860</v>
      </c>
      <c r="B7694" t="s">
        <v>22158</v>
      </c>
      <c r="C7694">
        <v>16</v>
      </c>
    </row>
    <row r="7695" spans="1:3" x14ac:dyDescent="0.25">
      <c r="A7695" s="48" t="s">
        <v>18862</v>
      </c>
      <c r="B7695" t="s">
        <v>22159</v>
      </c>
      <c r="C7695">
        <v>30</v>
      </c>
    </row>
    <row r="7696" spans="1:3" x14ac:dyDescent="0.25">
      <c r="A7696" s="48" t="s">
        <v>18864</v>
      </c>
      <c r="B7696" t="s">
        <v>18865</v>
      </c>
      <c r="C7696">
        <v>17</v>
      </c>
    </row>
    <row r="7697" spans="1:3" x14ac:dyDescent="0.25">
      <c r="A7697" s="48" t="s">
        <v>941</v>
      </c>
      <c r="B7697" t="s">
        <v>942</v>
      </c>
      <c r="C7697">
        <v>25</v>
      </c>
    </row>
    <row r="7698" spans="1:3" x14ac:dyDescent="0.25">
      <c r="A7698" s="48" t="s">
        <v>18866</v>
      </c>
      <c r="B7698" t="s">
        <v>18867</v>
      </c>
      <c r="C7698">
        <v>24</v>
      </c>
    </row>
    <row r="7699" spans="1:3" x14ac:dyDescent="0.25">
      <c r="A7699" s="48" t="s">
        <v>18868</v>
      </c>
      <c r="B7699" t="s">
        <v>18869</v>
      </c>
      <c r="C7699">
        <v>23</v>
      </c>
    </row>
    <row r="7700" spans="1:3" x14ac:dyDescent="0.25">
      <c r="A7700" s="48" t="s">
        <v>18870</v>
      </c>
      <c r="B7700" t="s">
        <v>18871</v>
      </c>
      <c r="C7700">
        <v>0</v>
      </c>
    </row>
    <row r="7701" spans="1:3" x14ac:dyDescent="0.25">
      <c r="A7701" s="48" t="s">
        <v>487</v>
      </c>
      <c r="B7701" t="s">
        <v>488</v>
      </c>
      <c r="C7701">
        <v>4</v>
      </c>
    </row>
    <row r="7702" spans="1:3" x14ac:dyDescent="0.25">
      <c r="A7702" s="48" t="s">
        <v>1908</v>
      </c>
      <c r="B7702" t="s">
        <v>1909</v>
      </c>
      <c r="C7702">
        <v>4</v>
      </c>
    </row>
    <row r="7703" spans="1:3" x14ac:dyDescent="0.25">
      <c r="A7703" s="48" t="s">
        <v>12630</v>
      </c>
      <c r="B7703" t="s">
        <v>22160</v>
      </c>
      <c r="C7703">
        <v>0</v>
      </c>
    </row>
    <row r="7704" spans="1:3" x14ac:dyDescent="0.25">
      <c r="A7704" s="48" t="s">
        <v>12634</v>
      </c>
      <c r="B7704" t="s">
        <v>12635</v>
      </c>
      <c r="C7704">
        <v>0</v>
      </c>
    </row>
    <row r="7705" spans="1:3" x14ac:dyDescent="0.25">
      <c r="A7705" s="48" t="s">
        <v>12632</v>
      </c>
      <c r="B7705" t="s">
        <v>12633</v>
      </c>
      <c r="C7705">
        <v>0</v>
      </c>
    </row>
    <row r="7706" spans="1:3" x14ac:dyDescent="0.25">
      <c r="A7706" s="48" t="s">
        <v>12636</v>
      </c>
      <c r="B7706" t="s">
        <v>12637</v>
      </c>
      <c r="C7706">
        <v>7</v>
      </c>
    </row>
    <row r="7707" spans="1:3" x14ac:dyDescent="0.25">
      <c r="A7707" s="48" t="s">
        <v>12638</v>
      </c>
      <c r="B7707" t="s">
        <v>22161</v>
      </c>
      <c r="C7707">
        <v>1</v>
      </c>
    </row>
    <row r="7708" spans="1:3" x14ac:dyDescent="0.25">
      <c r="A7708" s="48" t="s">
        <v>811</v>
      </c>
      <c r="B7708" t="s">
        <v>812</v>
      </c>
      <c r="C7708">
        <v>118</v>
      </c>
    </row>
    <row r="7709" spans="1:3" x14ac:dyDescent="0.25">
      <c r="A7709" s="48" t="s">
        <v>1031</v>
      </c>
      <c r="B7709" t="s">
        <v>1032</v>
      </c>
      <c r="C7709">
        <v>15</v>
      </c>
    </row>
    <row r="7710" spans="1:3" x14ac:dyDescent="0.25">
      <c r="A7710" s="48" t="s">
        <v>541</v>
      </c>
      <c r="B7710" t="s">
        <v>542</v>
      </c>
      <c r="C7710">
        <v>42</v>
      </c>
    </row>
    <row r="7711" spans="1:3" x14ac:dyDescent="0.25">
      <c r="A7711" s="48" t="s">
        <v>17806</v>
      </c>
      <c r="B7711" t="s">
        <v>17807</v>
      </c>
      <c r="C7711">
        <v>0</v>
      </c>
    </row>
    <row r="7712" spans="1:3" x14ac:dyDescent="0.25">
      <c r="A7712" s="48" t="s">
        <v>17808</v>
      </c>
      <c r="B7712" t="s">
        <v>17809</v>
      </c>
      <c r="C7712">
        <v>0</v>
      </c>
    </row>
    <row r="7713" spans="1:3" x14ac:dyDescent="0.25">
      <c r="A7713" s="48" t="s">
        <v>825</v>
      </c>
      <c r="B7713" t="s">
        <v>826</v>
      </c>
      <c r="C7713">
        <v>70</v>
      </c>
    </row>
    <row r="7714" spans="1:3" x14ac:dyDescent="0.25">
      <c r="A7714" s="48" t="s">
        <v>5925</v>
      </c>
      <c r="B7714" t="s">
        <v>5926</v>
      </c>
      <c r="C7714">
        <v>17</v>
      </c>
    </row>
    <row r="7715" spans="1:3" x14ac:dyDescent="0.25">
      <c r="A7715" s="48" t="s">
        <v>1910</v>
      </c>
      <c r="B7715" t="s">
        <v>1911</v>
      </c>
      <c r="C7715">
        <v>116</v>
      </c>
    </row>
    <row r="7716" spans="1:3" x14ac:dyDescent="0.25">
      <c r="A7716" s="48" t="s">
        <v>753</v>
      </c>
      <c r="B7716" t="s">
        <v>754</v>
      </c>
      <c r="C7716">
        <v>297</v>
      </c>
    </row>
    <row r="7717" spans="1:3" x14ac:dyDescent="0.25">
      <c r="A7717" s="48" t="s">
        <v>1201</v>
      </c>
      <c r="B7717" t="s">
        <v>1202</v>
      </c>
      <c r="C7717">
        <v>394</v>
      </c>
    </row>
    <row r="7718" spans="1:3" x14ac:dyDescent="0.25">
      <c r="A7718" s="48" t="s">
        <v>12672</v>
      </c>
      <c r="B7718" t="s">
        <v>12673</v>
      </c>
      <c r="C7718">
        <v>18</v>
      </c>
    </row>
    <row r="7719" spans="1:3" x14ac:dyDescent="0.25">
      <c r="A7719" s="48" t="s">
        <v>1807</v>
      </c>
      <c r="B7719" t="s">
        <v>1808</v>
      </c>
      <c r="C7719">
        <v>23</v>
      </c>
    </row>
    <row r="7720" spans="1:3" x14ac:dyDescent="0.25">
      <c r="A7720" s="48" t="s">
        <v>12674</v>
      </c>
      <c r="B7720" t="s">
        <v>12675</v>
      </c>
      <c r="C7720">
        <v>3</v>
      </c>
    </row>
    <row r="7721" spans="1:3" x14ac:dyDescent="0.25">
      <c r="A7721" s="48" t="s">
        <v>3721</v>
      </c>
      <c r="B7721" t="s">
        <v>3722</v>
      </c>
      <c r="C7721">
        <v>0</v>
      </c>
    </row>
    <row r="7722" spans="1:3" x14ac:dyDescent="0.25">
      <c r="A7722" s="48" t="s">
        <v>23043</v>
      </c>
      <c r="B7722" t="s">
        <v>23044</v>
      </c>
      <c r="C7722">
        <v>24</v>
      </c>
    </row>
    <row r="7723" spans="1:3" x14ac:dyDescent="0.25">
      <c r="A7723" s="48" t="s">
        <v>3719</v>
      </c>
      <c r="B7723" t="s">
        <v>3720</v>
      </c>
      <c r="C7723">
        <v>1</v>
      </c>
    </row>
    <row r="7724" spans="1:3" x14ac:dyDescent="0.25">
      <c r="A7724" s="48" t="s">
        <v>3723</v>
      </c>
      <c r="B7724" t="s">
        <v>3724</v>
      </c>
      <c r="C7724">
        <v>0</v>
      </c>
    </row>
    <row r="7725" spans="1:3" x14ac:dyDescent="0.25">
      <c r="A7725" s="48" t="s">
        <v>1045</v>
      </c>
      <c r="B7725" t="s">
        <v>1046</v>
      </c>
      <c r="C7725">
        <v>185</v>
      </c>
    </row>
    <row r="7726" spans="1:3" x14ac:dyDescent="0.25">
      <c r="A7726" s="48" t="s">
        <v>12682</v>
      </c>
      <c r="B7726" t="s">
        <v>12683</v>
      </c>
      <c r="C7726">
        <v>0</v>
      </c>
    </row>
    <row r="7727" spans="1:3" x14ac:dyDescent="0.25">
      <c r="A7727" s="48" t="s">
        <v>1033</v>
      </c>
      <c r="B7727" t="s">
        <v>1034</v>
      </c>
      <c r="C7727">
        <v>31</v>
      </c>
    </row>
    <row r="7728" spans="1:3" x14ac:dyDescent="0.25">
      <c r="A7728" s="48" t="s">
        <v>12684</v>
      </c>
      <c r="B7728" t="s">
        <v>12685</v>
      </c>
      <c r="C7728">
        <v>0</v>
      </c>
    </row>
    <row r="7729" spans="1:3" x14ac:dyDescent="0.25">
      <c r="A7729" s="48" t="s">
        <v>6640</v>
      </c>
      <c r="B7729" t="s">
        <v>6641</v>
      </c>
      <c r="C7729">
        <v>22</v>
      </c>
    </row>
    <row r="7730" spans="1:3" x14ac:dyDescent="0.25">
      <c r="A7730" s="48" t="s">
        <v>1195</v>
      </c>
      <c r="B7730" t="s">
        <v>1196</v>
      </c>
      <c r="C7730">
        <v>394</v>
      </c>
    </row>
    <row r="7731" spans="1:3" x14ac:dyDescent="0.25">
      <c r="A7731" s="48" t="s">
        <v>443</v>
      </c>
      <c r="B7731" t="s">
        <v>444</v>
      </c>
      <c r="C7731">
        <v>282</v>
      </c>
    </row>
    <row r="7732" spans="1:3" x14ac:dyDescent="0.25">
      <c r="A7732" s="48" t="s">
        <v>13613</v>
      </c>
      <c r="B7732" t="s">
        <v>13614</v>
      </c>
      <c r="C7732">
        <v>0</v>
      </c>
    </row>
    <row r="7733" spans="1:3" x14ac:dyDescent="0.25">
      <c r="A7733" s="48" t="s">
        <v>13615</v>
      </c>
      <c r="B7733" t="s">
        <v>13616</v>
      </c>
      <c r="C7733">
        <v>0</v>
      </c>
    </row>
    <row r="7734" spans="1:3" x14ac:dyDescent="0.25">
      <c r="A7734" s="48" t="s">
        <v>16139</v>
      </c>
      <c r="B7734" t="s">
        <v>16140</v>
      </c>
      <c r="C7734">
        <v>7</v>
      </c>
    </row>
    <row r="7735" spans="1:3" x14ac:dyDescent="0.25">
      <c r="A7735" s="48" t="s">
        <v>16137</v>
      </c>
      <c r="B7735" t="s">
        <v>16138</v>
      </c>
      <c r="C7735">
        <v>62</v>
      </c>
    </row>
    <row r="7736" spans="1:3" x14ac:dyDescent="0.25">
      <c r="A7736" s="48" t="s">
        <v>16135</v>
      </c>
      <c r="B7736" t="s">
        <v>16136</v>
      </c>
      <c r="C7736">
        <v>1</v>
      </c>
    </row>
    <row r="7737" spans="1:3" x14ac:dyDescent="0.25">
      <c r="A7737" s="48" t="s">
        <v>479</v>
      </c>
      <c r="B7737" t="s">
        <v>480</v>
      </c>
      <c r="C7737">
        <v>104</v>
      </c>
    </row>
    <row r="7738" spans="1:3" x14ac:dyDescent="0.25">
      <c r="A7738" s="48" t="s">
        <v>285</v>
      </c>
      <c r="B7738" t="s">
        <v>286</v>
      </c>
      <c r="C7738">
        <v>29</v>
      </c>
    </row>
    <row r="7739" spans="1:3" x14ac:dyDescent="0.25">
      <c r="A7739" s="48" t="s">
        <v>12008</v>
      </c>
      <c r="B7739" t="s">
        <v>12009</v>
      </c>
      <c r="C7739">
        <v>7</v>
      </c>
    </row>
    <row r="7740" spans="1:3" x14ac:dyDescent="0.25">
      <c r="A7740" s="48" t="s">
        <v>491</v>
      </c>
      <c r="B7740" t="s">
        <v>492</v>
      </c>
      <c r="C7740">
        <v>42</v>
      </c>
    </row>
    <row r="7741" spans="1:3" x14ac:dyDescent="0.25">
      <c r="A7741" s="48" t="s">
        <v>12006</v>
      </c>
      <c r="B7741" t="s">
        <v>12007</v>
      </c>
      <c r="C7741">
        <v>1</v>
      </c>
    </row>
    <row r="7742" spans="1:3" x14ac:dyDescent="0.25">
      <c r="A7742" s="48" t="s">
        <v>4156</v>
      </c>
      <c r="B7742" t="s">
        <v>4157</v>
      </c>
      <c r="C7742">
        <v>0</v>
      </c>
    </row>
    <row r="7743" spans="1:3" x14ac:dyDescent="0.25">
      <c r="A7743" s="48" t="s">
        <v>4162</v>
      </c>
      <c r="B7743" t="s">
        <v>4163</v>
      </c>
      <c r="C7743">
        <v>0</v>
      </c>
    </row>
    <row r="7744" spans="1:3" x14ac:dyDescent="0.25">
      <c r="A7744" s="48" t="s">
        <v>13993</v>
      </c>
      <c r="B7744" t="s">
        <v>13994</v>
      </c>
      <c r="C7744">
        <v>0</v>
      </c>
    </row>
    <row r="7745" spans="1:3" x14ac:dyDescent="0.25">
      <c r="A7745" s="48" t="s">
        <v>12735</v>
      </c>
      <c r="B7745" t="s">
        <v>12736</v>
      </c>
      <c r="C7745">
        <v>11</v>
      </c>
    </row>
    <row r="7746" spans="1:3" x14ac:dyDescent="0.25">
      <c r="A7746" s="48" t="s">
        <v>12733</v>
      </c>
      <c r="B7746" t="s">
        <v>12734</v>
      </c>
      <c r="C7746">
        <v>7</v>
      </c>
    </row>
    <row r="7747" spans="1:3" x14ac:dyDescent="0.25">
      <c r="A7747" s="48" t="s">
        <v>15405</v>
      </c>
      <c r="B7747" t="s">
        <v>15406</v>
      </c>
      <c r="C7747">
        <v>6</v>
      </c>
    </row>
    <row r="7748" spans="1:3" x14ac:dyDescent="0.25">
      <c r="A7748" s="48" t="s">
        <v>673</v>
      </c>
      <c r="B7748" t="s">
        <v>674</v>
      </c>
      <c r="C7748">
        <v>36</v>
      </c>
    </row>
    <row r="7749" spans="1:3" x14ac:dyDescent="0.25">
      <c r="A7749" s="48" t="s">
        <v>15409</v>
      </c>
      <c r="B7749" t="s">
        <v>15410</v>
      </c>
      <c r="C7749">
        <v>0</v>
      </c>
    </row>
    <row r="7750" spans="1:3" x14ac:dyDescent="0.25">
      <c r="A7750" s="48" t="s">
        <v>15411</v>
      </c>
      <c r="B7750" t="s">
        <v>15412</v>
      </c>
      <c r="C7750">
        <v>15</v>
      </c>
    </row>
    <row r="7751" spans="1:3" x14ac:dyDescent="0.25">
      <c r="A7751" s="48" t="s">
        <v>15413</v>
      </c>
      <c r="B7751" t="s">
        <v>15414</v>
      </c>
      <c r="C7751">
        <v>10</v>
      </c>
    </row>
    <row r="7752" spans="1:3" x14ac:dyDescent="0.25">
      <c r="A7752" s="48" t="s">
        <v>15407</v>
      </c>
      <c r="B7752" t="s">
        <v>15408</v>
      </c>
      <c r="C7752">
        <v>11</v>
      </c>
    </row>
    <row r="7753" spans="1:3" x14ac:dyDescent="0.25">
      <c r="A7753" s="48" t="s">
        <v>15873</v>
      </c>
      <c r="B7753" t="s">
        <v>15874</v>
      </c>
      <c r="C7753">
        <v>0</v>
      </c>
    </row>
    <row r="7754" spans="1:3" x14ac:dyDescent="0.25">
      <c r="A7754" s="48" t="s">
        <v>15869</v>
      </c>
      <c r="B7754" t="s">
        <v>15870</v>
      </c>
      <c r="C7754">
        <v>27</v>
      </c>
    </row>
    <row r="7755" spans="1:3" x14ac:dyDescent="0.25">
      <c r="A7755" s="48" t="s">
        <v>13510</v>
      </c>
      <c r="B7755" t="s">
        <v>13511</v>
      </c>
      <c r="C7755">
        <v>25</v>
      </c>
    </row>
    <row r="7756" spans="1:3" x14ac:dyDescent="0.25">
      <c r="A7756" s="48" t="s">
        <v>16902</v>
      </c>
      <c r="B7756" t="s">
        <v>16903</v>
      </c>
      <c r="C7756">
        <v>0</v>
      </c>
    </row>
    <row r="7757" spans="1:3" x14ac:dyDescent="0.25">
      <c r="A7757" s="48" t="s">
        <v>13512</v>
      </c>
      <c r="B7757" t="s">
        <v>13513</v>
      </c>
      <c r="C7757">
        <v>8</v>
      </c>
    </row>
    <row r="7758" spans="1:3" x14ac:dyDescent="0.25">
      <c r="A7758" s="48" t="s">
        <v>13514</v>
      </c>
      <c r="B7758" t="s">
        <v>13515</v>
      </c>
      <c r="C7758">
        <v>0</v>
      </c>
    </row>
    <row r="7759" spans="1:3" x14ac:dyDescent="0.25">
      <c r="A7759" s="48" t="s">
        <v>13508</v>
      </c>
      <c r="B7759" t="s">
        <v>13509</v>
      </c>
      <c r="C7759">
        <v>25</v>
      </c>
    </row>
    <row r="7760" spans="1:3" x14ac:dyDescent="0.25">
      <c r="A7760" s="48" t="s">
        <v>16900</v>
      </c>
      <c r="B7760" t="s">
        <v>16901</v>
      </c>
      <c r="C7760">
        <v>3</v>
      </c>
    </row>
    <row r="7761" spans="1:3" x14ac:dyDescent="0.25">
      <c r="A7761" s="48" t="s">
        <v>15871</v>
      </c>
      <c r="B7761" t="s">
        <v>15872</v>
      </c>
      <c r="C7761">
        <v>1</v>
      </c>
    </row>
    <row r="7762" spans="1:3" x14ac:dyDescent="0.25">
      <c r="A7762" s="48" t="s">
        <v>13518</v>
      </c>
      <c r="B7762" t="s">
        <v>13519</v>
      </c>
      <c r="C7762">
        <v>21</v>
      </c>
    </row>
    <row r="7763" spans="1:3" x14ac:dyDescent="0.25">
      <c r="A7763" s="48" t="s">
        <v>13516</v>
      </c>
      <c r="B7763" t="s">
        <v>22162</v>
      </c>
      <c r="C7763">
        <v>29</v>
      </c>
    </row>
    <row r="7764" spans="1:3" x14ac:dyDescent="0.25">
      <c r="A7764" s="48" t="s">
        <v>16968</v>
      </c>
      <c r="B7764" t="s">
        <v>16969</v>
      </c>
      <c r="C7764">
        <v>0</v>
      </c>
    </row>
    <row r="7765" spans="1:3" x14ac:dyDescent="0.25">
      <c r="A7765" s="48" t="s">
        <v>16970</v>
      </c>
      <c r="B7765" t="s">
        <v>16971</v>
      </c>
      <c r="C7765">
        <v>0</v>
      </c>
    </row>
    <row r="7766" spans="1:3" x14ac:dyDescent="0.25">
      <c r="A7766" s="48" t="s">
        <v>1425</v>
      </c>
      <c r="B7766" t="s">
        <v>1426</v>
      </c>
      <c r="C7766">
        <v>30</v>
      </c>
    </row>
    <row r="7767" spans="1:3" x14ac:dyDescent="0.25">
      <c r="A7767" s="48" t="s">
        <v>9301</v>
      </c>
      <c r="B7767" t="s">
        <v>9302</v>
      </c>
      <c r="C7767">
        <v>36</v>
      </c>
    </row>
    <row r="7768" spans="1:3" x14ac:dyDescent="0.25">
      <c r="A7768" s="48" t="s">
        <v>1189</v>
      </c>
      <c r="B7768" t="s">
        <v>1190</v>
      </c>
      <c r="C7768">
        <v>19</v>
      </c>
    </row>
    <row r="7769" spans="1:3" x14ac:dyDescent="0.25">
      <c r="A7769" s="48" t="s">
        <v>9299</v>
      </c>
      <c r="B7769" t="s">
        <v>9300</v>
      </c>
      <c r="C7769">
        <v>1</v>
      </c>
    </row>
    <row r="7770" spans="1:3" x14ac:dyDescent="0.25">
      <c r="A7770" s="48" t="s">
        <v>9317</v>
      </c>
      <c r="B7770" t="s">
        <v>9318</v>
      </c>
      <c r="C7770">
        <v>59</v>
      </c>
    </row>
    <row r="7771" spans="1:3" x14ac:dyDescent="0.25">
      <c r="A7771" s="48" t="s">
        <v>9311</v>
      </c>
      <c r="B7771" t="s">
        <v>9312</v>
      </c>
      <c r="C7771">
        <v>49</v>
      </c>
    </row>
    <row r="7772" spans="1:3" x14ac:dyDescent="0.25">
      <c r="A7772" s="48" t="s">
        <v>9313</v>
      </c>
      <c r="B7772" t="s">
        <v>9314</v>
      </c>
      <c r="C7772">
        <v>58</v>
      </c>
    </row>
    <row r="7773" spans="1:3" x14ac:dyDescent="0.25">
      <c r="A7773" s="48" t="s">
        <v>9315</v>
      </c>
      <c r="B7773" t="s">
        <v>9316</v>
      </c>
      <c r="C7773">
        <v>127</v>
      </c>
    </row>
    <row r="7774" spans="1:3" x14ac:dyDescent="0.25">
      <c r="A7774" s="48" t="s">
        <v>9285</v>
      </c>
      <c r="B7774" t="s">
        <v>9286</v>
      </c>
      <c r="C7774">
        <v>0</v>
      </c>
    </row>
    <row r="7775" spans="1:3" x14ac:dyDescent="0.25">
      <c r="A7775" s="48" t="s">
        <v>12073</v>
      </c>
      <c r="B7775" t="s">
        <v>12074</v>
      </c>
      <c r="C7775">
        <v>45</v>
      </c>
    </row>
    <row r="7776" spans="1:3" x14ac:dyDescent="0.25">
      <c r="A7776" s="48" t="s">
        <v>1157</v>
      </c>
      <c r="B7776" t="s">
        <v>1158</v>
      </c>
      <c r="C7776">
        <v>1</v>
      </c>
    </row>
    <row r="7777" spans="1:3" x14ac:dyDescent="0.25">
      <c r="A7777" s="48" t="s">
        <v>9297</v>
      </c>
      <c r="B7777" t="s">
        <v>9298</v>
      </c>
      <c r="C7777">
        <v>2</v>
      </c>
    </row>
    <row r="7778" spans="1:3" x14ac:dyDescent="0.25">
      <c r="A7778" s="48" t="s">
        <v>9295</v>
      </c>
      <c r="B7778" t="s">
        <v>9296</v>
      </c>
      <c r="C7778">
        <v>15</v>
      </c>
    </row>
    <row r="7779" spans="1:3" x14ac:dyDescent="0.25">
      <c r="A7779" s="48" t="s">
        <v>9291</v>
      </c>
      <c r="B7779" t="s">
        <v>9292</v>
      </c>
      <c r="C7779">
        <v>10</v>
      </c>
    </row>
    <row r="7780" spans="1:3" x14ac:dyDescent="0.25">
      <c r="A7780" s="48" t="s">
        <v>625</v>
      </c>
      <c r="B7780" t="s">
        <v>626</v>
      </c>
      <c r="C7780">
        <v>46</v>
      </c>
    </row>
    <row r="7781" spans="1:3" x14ac:dyDescent="0.25">
      <c r="A7781" s="48" t="s">
        <v>1309</v>
      </c>
      <c r="B7781" t="s">
        <v>1310</v>
      </c>
      <c r="C7781">
        <v>111</v>
      </c>
    </row>
    <row r="7782" spans="1:3" x14ac:dyDescent="0.25">
      <c r="A7782" s="48" t="s">
        <v>8160</v>
      </c>
      <c r="B7782" t="s">
        <v>8161</v>
      </c>
      <c r="C7782">
        <v>0</v>
      </c>
    </row>
    <row r="7783" spans="1:3" x14ac:dyDescent="0.25">
      <c r="A7783" s="48" t="s">
        <v>339</v>
      </c>
      <c r="B7783" t="s">
        <v>340</v>
      </c>
      <c r="C7783">
        <v>0</v>
      </c>
    </row>
    <row r="7784" spans="1:3" x14ac:dyDescent="0.25">
      <c r="A7784" s="48" t="s">
        <v>8162</v>
      </c>
      <c r="B7784" t="s">
        <v>8163</v>
      </c>
      <c r="C7784">
        <v>0</v>
      </c>
    </row>
    <row r="7785" spans="1:3" x14ac:dyDescent="0.25">
      <c r="A7785" s="48" t="s">
        <v>8164</v>
      </c>
      <c r="B7785" t="s">
        <v>8165</v>
      </c>
      <c r="C7785">
        <v>0</v>
      </c>
    </row>
    <row r="7786" spans="1:3" x14ac:dyDescent="0.25">
      <c r="A7786" s="48" t="s">
        <v>9283</v>
      </c>
      <c r="B7786" t="s">
        <v>9284</v>
      </c>
      <c r="C7786">
        <v>0</v>
      </c>
    </row>
    <row r="7787" spans="1:3" x14ac:dyDescent="0.25">
      <c r="A7787" s="48" t="s">
        <v>9287</v>
      </c>
      <c r="B7787" t="s">
        <v>9288</v>
      </c>
      <c r="C7787">
        <v>9</v>
      </c>
    </row>
    <row r="7788" spans="1:3" x14ac:dyDescent="0.25">
      <c r="A7788" s="48" t="s">
        <v>9309</v>
      </c>
      <c r="B7788" t="s">
        <v>9310</v>
      </c>
      <c r="C7788">
        <v>51</v>
      </c>
    </row>
    <row r="7789" spans="1:3" x14ac:dyDescent="0.25">
      <c r="A7789" s="48" t="s">
        <v>9307</v>
      </c>
      <c r="B7789" t="s">
        <v>9308</v>
      </c>
      <c r="C7789">
        <v>2</v>
      </c>
    </row>
    <row r="7790" spans="1:3" x14ac:dyDescent="0.25">
      <c r="A7790" s="48" t="s">
        <v>9305</v>
      </c>
      <c r="B7790" t="s">
        <v>9306</v>
      </c>
      <c r="C7790">
        <v>12</v>
      </c>
    </row>
    <row r="7791" spans="1:3" x14ac:dyDescent="0.25">
      <c r="A7791" s="48" t="s">
        <v>245</v>
      </c>
      <c r="B7791" t="s">
        <v>246</v>
      </c>
      <c r="C7791">
        <v>2</v>
      </c>
    </row>
    <row r="7792" spans="1:3" x14ac:dyDescent="0.25">
      <c r="A7792" s="48" t="s">
        <v>8157</v>
      </c>
      <c r="B7792" t="s">
        <v>8158</v>
      </c>
      <c r="C7792">
        <v>0</v>
      </c>
    </row>
    <row r="7793" spans="1:3" x14ac:dyDescent="0.25">
      <c r="A7793" s="48" t="s">
        <v>9303</v>
      </c>
      <c r="B7793" t="s">
        <v>9304</v>
      </c>
      <c r="C7793">
        <v>160</v>
      </c>
    </row>
    <row r="7794" spans="1:3" x14ac:dyDescent="0.25">
      <c r="A7794" s="48" t="s">
        <v>9289</v>
      </c>
      <c r="B7794" t="s">
        <v>9290</v>
      </c>
      <c r="C7794">
        <v>0</v>
      </c>
    </row>
    <row r="7795" spans="1:3" x14ac:dyDescent="0.25">
      <c r="A7795" s="48" t="s">
        <v>9293</v>
      </c>
      <c r="B7795" t="s">
        <v>9294</v>
      </c>
      <c r="C7795">
        <v>11</v>
      </c>
    </row>
    <row r="7796" spans="1:3" x14ac:dyDescent="0.25">
      <c r="A7796" s="48" t="s">
        <v>5809</v>
      </c>
      <c r="B7796" t="s">
        <v>5810</v>
      </c>
      <c r="C7796">
        <v>10</v>
      </c>
    </row>
    <row r="7797" spans="1:3" x14ac:dyDescent="0.25">
      <c r="A7797" s="48" t="s">
        <v>13973</v>
      </c>
      <c r="B7797" t="s">
        <v>22163</v>
      </c>
      <c r="C7797">
        <v>10</v>
      </c>
    </row>
    <row r="7798" spans="1:3" x14ac:dyDescent="0.25">
      <c r="A7798" s="48" t="s">
        <v>2735</v>
      </c>
      <c r="B7798" t="s">
        <v>22164</v>
      </c>
      <c r="C7798">
        <v>10</v>
      </c>
    </row>
    <row r="7799" spans="1:3" x14ac:dyDescent="0.25">
      <c r="A7799" s="48" t="s">
        <v>2733</v>
      </c>
      <c r="B7799" t="s">
        <v>22165</v>
      </c>
      <c r="C7799">
        <v>0</v>
      </c>
    </row>
    <row r="7800" spans="1:3" x14ac:dyDescent="0.25">
      <c r="A7800" s="48" t="s">
        <v>7603</v>
      </c>
      <c r="B7800" t="s">
        <v>7604</v>
      </c>
      <c r="C7800">
        <v>6</v>
      </c>
    </row>
    <row r="7801" spans="1:3" x14ac:dyDescent="0.25">
      <c r="A7801" s="48" t="s">
        <v>5811</v>
      </c>
      <c r="B7801" t="s">
        <v>22166</v>
      </c>
      <c r="C7801">
        <v>17</v>
      </c>
    </row>
    <row r="7802" spans="1:3" x14ac:dyDescent="0.25">
      <c r="A7802" s="48" t="s">
        <v>7623</v>
      </c>
      <c r="B7802" t="s">
        <v>7624</v>
      </c>
      <c r="C7802">
        <v>5</v>
      </c>
    </row>
    <row r="7803" spans="1:3" x14ac:dyDescent="0.25">
      <c r="A7803" s="48" t="s">
        <v>7619</v>
      </c>
      <c r="B7803" t="s">
        <v>7620</v>
      </c>
      <c r="C7803">
        <v>0</v>
      </c>
    </row>
    <row r="7804" spans="1:3" x14ac:dyDescent="0.25">
      <c r="A7804" s="48" t="s">
        <v>7621</v>
      </c>
      <c r="B7804" t="s">
        <v>7622</v>
      </c>
      <c r="C7804">
        <v>11</v>
      </c>
    </row>
    <row r="7805" spans="1:3" x14ac:dyDescent="0.25">
      <c r="A7805" s="48" t="s">
        <v>7617</v>
      </c>
      <c r="B7805" t="s">
        <v>7618</v>
      </c>
      <c r="C7805">
        <v>8</v>
      </c>
    </row>
    <row r="7806" spans="1:3" x14ac:dyDescent="0.25">
      <c r="A7806" s="48" t="s">
        <v>7615</v>
      </c>
      <c r="B7806" t="s">
        <v>7616</v>
      </c>
      <c r="C7806">
        <v>0</v>
      </c>
    </row>
    <row r="7807" spans="1:3" x14ac:dyDescent="0.25">
      <c r="A7807" s="48" t="s">
        <v>3235</v>
      </c>
      <c r="B7807" t="s">
        <v>3236</v>
      </c>
      <c r="C7807">
        <v>24</v>
      </c>
    </row>
    <row r="7808" spans="1:3" x14ac:dyDescent="0.25">
      <c r="A7808" s="48" t="s">
        <v>3233</v>
      </c>
      <c r="B7808" t="s">
        <v>3234</v>
      </c>
      <c r="C7808">
        <v>16</v>
      </c>
    </row>
    <row r="7809" spans="1:3" x14ac:dyDescent="0.25">
      <c r="A7809" s="48" t="s">
        <v>7591</v>
      </c>
      <c r="B7809" t="s">
        <v>7592</v>
      </c>
      <c r="C7809">
        <v>4</v>
      </c>
    </row>
    <row r="7810" spans="1:3" x14ac:dyDescent="0.25">
      <c r="A7810" s="48" t="s">
        <v>2731</v>
      </c>
      <c r="B7810" t="s">
        <v>2732</v>
      </c>
      <c r="C7810">
        <v>0</v>
      </c>
    </row>
    <row r="7811" spans="1:3" x14ac:dyDescent="0.25">
      <c r="A7811" s="48" t="s">
        <v>13979</v>
      </c>
      <c r="B7811" t="s">
        <v>13980</v>
      </c>
      <c r="C7811">
        <v>18</v>
      </c>
    </row>
    <row r="7812" spans="1:3" x14ac:dyDescent="0.25">
      <c r="A7812" s="48" t="s">
        <v>13977</v>
      </c>
      <c r="B7812" t="s">
        <v>13978</v>
      </c>
      <c r="C7812">
        <v>26</v>
      </c>
    </row>
    <row r="7813" spans="1:3" x14ac:dyDescent="0.25">
      <c r="A7813" s="48" t="s">
        <v>13975</v>
      </c>
      <c r="B7813" t="s">
        <v>13976</v>
      </c>
      <c r="C7813">
        <v>19</v>
      </c>
    </row>
    <row r="7814" spans="1:3" x14ac:dyDescent="0.25">
      <c r="A7814" s="48" t="s">
        <v>1303</v>
      </c>
      <c r="B7814" t="s">
        <v>1304</v>
      </c>
      <c r="C7814">
        <v>40</v>
      </c>
    </row>
    <row r="7815" spans="1:3" x14ac:dyDescent="0.25">
      <c r="A7815" s="48" t="s">
        <v>3231</v>
      </c>
      <c r="B7815" t="s">
        <v>3232</v>
      </c>
      <c r="C7815">
        <v>8</v>
      </c>
    </row>
    <row r="7816" spans="1:3" x14ac:dyDescent="0.25">
      <c r="A7816" s="48" t="s">
        <v>5821</v>
      </c>
      <c r="B7816" t="s">
        <v>5822</v>
      </c>
      <c r="C7816">
        <v>13</v>
      </c>
    </row>
    <row r="7817" spans="1:3" x14ac:dyDescent="0.25">
      <c r="A7817" s="48" t="s">
        <v>7589</v>
      </c>
      <c r="B7817" t="s">
        <v>7590</v>
      </c>
      <c r="C7817">
        <v>9</v>
      </c>
    </row>
    <row r="7818" spans="1:3" x14ac:dyDescent="0.25">
      <c r="A7818" s="48" t="s">
        <v>5823</v>
      </c>
      <c r="B7818" t="s">
        <v>5824</v>
      </c>
      <c r="C7818">
        <v>0</v>
      </c>
    </row>
    <row r="7819" spans="1:3" x14ac:dyDescent="0.25">
      <c r="A7819" s="48" t="s">
        <v>7587</v>
      </c>
      <c r="B7819" t="s">
        <v>7588</v>
      </c>
      <c r="C7819">
        <v>7</v>
      </c>
    </row>
    <row r="7820" spans="1:3" x14ac:dyDescent="0.25">
      <c r="A7820" s="48" t="s">
        <v>7599</v>
      </c>
      <c r="B7820" t="s">
        <v>7600</v>
      </c>
      <c r="C7820">
        <v>5</v>
      </c>
    </row>
    <row r="7821" spans="1:3" x14ac:dyDescent="0.25">
      <c r="A7821" s="48" t="s">
        <v>7597</v>
      </c>
      <c r="B7821" t="s">
        <v>7598</v>
      </c>
      <c r="C7821">
        <v>2</v>
      </c>
    </row>
    <row r="7822" spans="1:3" x14ac:dyDescent="0.25">
      <c r="A7822" s="48" t="s">
        <v>7595</v>
      </c>
      <c r="B7822" t="s">
        <v>7596</v>
      </c>
      <c r="C7822">
        <v>8</v>
      </c>
    </row>
    <row r="7823" spans="1:3" x14ac:dyDescent="0.25">
      <c r="A7823" s="48" t="s">
        <v>5817</v>
      </c>
      <c r="B7823" t="s">
        <v>5818</v>
      </c>
      <c r="C7823">
        <v>8</v>
      </c>
    </row>
    <row r="7824" spans="1:3" x14ac:dyDescent="0.25">
      <c r="A7824" s="48" t="s">
        <v>5819</v>
      </c>
      <c r="B7824" t="s">
        <v>5820</v>
      </c>
      <c r="C7824">
        <v>1</v>
      </c>
    </row>
    <row r="7825" spans="1:3" x14ac:dyDescent="0.25">
      <c r="A7825" s="48" t="s">
        <v>5815</v>
      </c>
      <c r="B7825" t="s">
        <v>5816</v>
      </c>
      <c r="C7825">
        <v>16</v>
      </c>
    </row>
    <row r="7826" spans="1:3" x14ac:dyDescent="0.25">
      <c r="A7826" s="48" t="s">
        <v>5805</v>
      </c>
      <c r="B7826" t="s">
        <v>5806</v>
      </c>
      <c r="C7826">
        <v>0</v>
      </c>
    </row>
    <row r="7827" spans="1:3" x14ac:dyDescent="0.25">
      <c r="A7827" s="48" t="s">
        <v>5813</v>
      </c>
      <c r="B7827" t="s">
        <v>5814</v>
      </c>
      <c r="C7827">
        <v>18</v>
      </c>
    </row>
    <row r="7828" spans="1:3" x14ac:dyDescent="0.25">
      <c r="A7828" s="48" t="s">
        <v>7611</v>
      </c>
      <c r="B7828" t="s">
        <v>7612</v>
      </c>
      <c r="C7828">
        <v>12</v>
      </c>
    </row>
    <row r="7829" spans="1:3" x14ac:dyDescent="0.25">
      <c r="A7829" s="48" t="s">
        <v>7607</v>
      </c>
      <c r="B7829" t="s">
        <v>7608</v>
      </c>
      <c r="C7829">
        <v>0</v>
      </c>
    </row>
    <row r="7830" spans="1:3" x14ac:dyDescent="0.25">
      <c r="A7830" s="48" t="s">
        <v>5807</v>
      </c>
      <c r="B7830" t="s">
        <v>22168</v>
      </c>
      <c r="C7830">
        <v>33</v>
      </c>
    </row>
    <row r="7831" spans="1:3" x14ac:dyDescent="0.25">
      <c r="A7831" s="48" t="s">
        <v>7605</v>
      </c>
      <c r="B7831" t="s">
        <v>22169</v>
      </c>
      <c r="C7831">
        <v>2</v>
      </c>
    </row>
    <row r="7832" spans="1:3" x14ac:dyDescent="0.25">
      <c r="A7832" s="48" t="s">
        <v>7593</v>
      </c>
      <c r="B7832" t="s">
        <v>7594</v>
      </c>
      <c r="C7832">
        <v>0</v>
      </c>
    </row>
    <row r="7833" spans="1:3" x14ac:dyDescent="0.25">
      <c r="A7833" s="48" t="s">
        <v>7601</v>
      </c>
      <c r="B7833" t="s">
        <v>22170</v>
      </c>
      <c r="C7833">
        <v>0</v>
      </c>
    </row>
    <row r="7834" spans="1:3" x14ac:dyDescent="0.25">
      <c r="A7834" s="48" t="s">
        <v>5825</v>
      </c>
      <c r="B7834" t="s">
        <v>5826</v>
      </c>
      <c r="C7834">
        <v>10</v>
      </c>
    </row>
    <row r="7835" spans="1:3" x14ac:dyDescent="0.25">
      <c r="A7835" s="48" t="s">
        <v>5827</v>
      </c>
      <c r="B7835" t="s">
        <v>22171</v>
      </c>
      <c r="C7835">
        <v>0</v>
      </c>
    </row>
    <row r="7836" spans="1:3" x14ac:dyDescent="0.25">
      <c r="A7836" s="48" t="s">
        <v>5829</v>
      </c>
      <c r="B7836" t="s">
        <v>22172</v>
      </c>
      <c r="C7836">
        <v>4</v>
      </c>
    </row>
    <row r="7837" spans="1:3" x14ac:dyDescent="0.25">
      <c r="A7837" s="48" t="s">
        <v>16055</v>
      </c>
      <c r="B7837" t="s">
        <v>22173</v>
      </c>
      <c r="C7837">
        <v>17</v>
      </c>
    </row>
    <row r="7838" spans="1:3" x14ac:dyDescent="0.25">
      <c r="A7838" s="48" t="s">
        <v>16057</v>
      </c>
      <c r="B7838" t="s">
        <v>16058</v>
      </c>
      <c r="C7838">
        <v>22</v>
      </c>
    </row>
    <row r="7839" spans="1:3" x14ac:dyDescent="0.25">
      <c r="A7839" s="48" t="s">
        <v>7817</v>
      </c>
      <c r="B7839" t="s">
        <v>7818</v>
      </c>
      <c r="C7839">
        <v>0</v>
      </c>
    </row>
    <row r="7840" spans="1:3" x14ac:dyDescent="0.25">
      <c r="A7840" s="48" t="s">
        <v>2737</v>
      </c>
      <c r="B7840" t="s">
        <v>2738</v>
      </c>
      <c r="C7840">
        <v>0</v>
      </c>
    </row>
    <row r="7841" spans="1:3" x14ac:dyDescent="0.25">
      <c r="A7841" s="48" t="s">
        <v>575</v>
      </c>
      <c r="B7841" t="s">
        <v>576</v>
      </c>
      <c r="C7841">
        <v>13</v>
      </c>
    </row>
    <row r="7842" spans="1:3" x14ac:dyDescent="0.25">
      <c r="A7842" s="48" t="s">
        <v>1001</v>
      </c>
      <c r="B7842" t="s">
        <v>1002</v>
      </c>
      <c r="C7842">
        <v>54</v>
      </c>
    </row>
    <row r="7843" spans="1:3" x14ac:dyDescent="0.25">
      <c r="A7843" s="48" t="s">
        <v>1976</v>
      </c>
      <c r="B7843" t="s">
        <v>1977</v>
      </c>
      <c r="C7843">
        <v>16</v>
      </c>
    </row>
    <row r="7844" spans="1:3" x14ac:dyDescent="0.25">
      <c r="A7844" s="48" t="s">
        <v>1261</v>
      </c>
      <c r="B7844" t="s">
        <v>1262</v>
      </c>
      <c r="C7844">
        <v>99</v>
      </c>
    </row>
    <row r="7845" spans="1:3" x14ac:dyDescent="0.25">
      <c r="A7845" s="48" t="s">
        <v>878</v>
      </c>
      <c r="B7845" t="s">
        <v>879</v>
      </c>
      <c r="C7845">
        <v>330</v>
      </c>
    </row>
    <row r="7846" spans="1:3" x14ac:dyDescent="0.25">
      <c r="A7846" s="48" t="s">
        <v>886</v>
      </c>
      <c r="B7846" t="s">
        <v>887</v>
      </c>
      <c r="C7846">
        <v>415</v>
      </c>
    </row>
    <row r="7847" spans="1:3" x14ac:dyDescent="0.25">
      <c r="A7847" s="48" t="s">
        <v>1507</v>
      </c>
      <c r="B7847" t="s">
        <v>1508</v>
      </c>
      <c r="C7847">
        <v>488</v>
      </c>
    </row>
    <row r="7848" spans="1:3" x14ac:dyDescent="0.25">
      <c r="A7848" s="48" t="s">
        <v>1089</v>
      </c>
      <c r="B7848" t="s">
        <v>1090</v>
      </c>
      <c r="C7848">
        <v>42</v>
      </c>
    </row>
    <row r="7849" spans="1:3" x14ac:dyDescent="0.25">
      <c r="A7849" s="48" t="s">
        <v>1401</v>
      </c>
      <c r="B7849" t="s">
        <v>1402</v>
      </c>
      <c r="C7849">
        <v>399</v>
      </c>
    </row>
    <row r="7850" spans="1:3" x14ac:dyDescent="0.25">
      <c r="A7850" s="48" t="s">
        <v>737</v>
      </c>
      <c r="B7850" t="s">
        <v>738</v>
      </c>
      <c r="C7850">
        <v>321</v>
      </c>
    </row>
    <row r="7851" spans="1:3" x14ac:dyDescent="0.25">
      <c r="A7851" s="48" t="s">
        <v>15843</v>
      </c>
      <c r="B7851" t="s">
        <v>15844</v>
      </c>
      <c r="C7851">
        <v>9</v>
      </c>
    </row>
    <row r="7852" spans="1:3" x14ac:dyDescent="0.25">
      <c r="A7852" s="48" t="s">
        <v>15841</v>
      </c>
      <c r="B7852" t="s">
        <v>15842</v>
      </c>
      <c r="C7852">
        <v>10</v>
      </c>
    </row>
    <row r="7853" spans="1:3" x14ac:dyDescent="0.25">
      <c r="A7853" s="48" t="s">
        <v>273</v>
      </c>
      <c r="B7853" t="s">
        <v>274</v>
      </c>
      <c r="C7853">
        <v>0</v>
      </c>
    </row>
    <row r="7854" spans="1:3" x14ac:dyDescent="0.25">
      <c r="A7854" s="48" t="s">
        <v>41</v>
      </c>
      <c r="B7854" t="s">
        <v>42</v>
      </c>
      <c r="C7854">
        <v>0</v>
      </c>
    </row>
    <row r="7855" spans="1:3" x14ac:dyDescent="0.25">
      <c r="A7855" s="48" t="s">
        <v>8176</v>
      </c>
      <c r="B7855" t="s">
        <v>8177</v>
      </c>
      <c r="C7855">
        <v>9</v>
      </c>
    </row>
    <row r="7856" spans="1:3" x14ac:dyDescent="0.25">
      <c r="A7856" s="48" t="s">
        <v>4001</v>
      </c>
      <c r="B7856" t="s">
        <v>22174</v>
      </c>
      <c r="C7856">
        <v>8</v>
      </c>
    </row>
    <row r="7857" spans="1:3" x14ac:dyDescent="0.25">
      <c r="A7857" s="48" t="s">
        <v>4003</v>
      </c>
      <c r="B7857" t="s">
        <v>22175</v>
      </c>
      <c r="C7857">
        <v>1</v>
      </c>
    </row>
    <row r="7858" spans="1:3" x14ac:dyDescent="0.25">
      <c r="A7858" s="48" t="s">
        <v>15849</v>
      </c>
      <c r="B7858" t="s">
        <v>15850</v>
      </c>
      <c r="C7858">
        <v>23</v>
      </c>
    </row>
    <row r="7859" spans="1:3" x14ac:dyDescent="0.25">
      <c r="A7859" s="48" t="s">
        <v>19767</v>
      </c>
      <c r="B7859" t="s">
        <v>19768</v>
      </c>
      <c r="C7859">
        <v>1</v>
      </c>
    </row>
    <row r="7860" spans="1:3" x14ac:dyDescent="0.25">
      <c r="A7860" s="48" t="s">
        <v>19771</v>
      </c>
      <c r="B7860" t="s">
        <v>19772</v>
      </c>
      <c r="C7860">
        <v>0</v>
      </c>
    </row>
    <row r="7861" spans="1:3" x14ac:dyDescent="0.25">
      <c r="A7861" s="48" t="s">
        <v>19769</v>
      </c>
      <c r="B7861" t="s">
        <v>19770</v>
      </c>
      <c r="C7861">
        <v>0</v>
      </c>
    </row>
    <row r="7862" spans="1:3" x14ac:dyDescent="0.25">
      <c r="A7862" s="48" t="s">
        <v>759</v>
      </c>
      <c r="B7862" t="s">
        <v>760</v>
      </c>
      <c r="C7862">
        <v>0</v>
      </c>
    </row>
    <row r="7863" spans="1:3" x14ac:dyDescent="0.25">
      <c r="A7863" s="48" t="s">
        <v>435</v>
      </c>
      <c r="B7863" t="s">
        <v>436</v>
      </c>
      <c r="C7863">
        <v>29</v>
      </c>
    </row>
    <row r="7864" spans="1:3" x14ac:dyDescent="0.25">
      <c r="A7864" s="48" t="s">
        <v>1273</v>
      </c>
      <c r="B7864" t="s">
        <v>1274</v>
      </c>
      <c r="C7864">
        <v>0</v>
      </c>
    </row>
    <row r="7865" spans="1:3" x14ac:dyDescent="0.25">
      <c r="A7865" s="48" t="s">
        <v>8199</v>
      </c>
      <c r="B7865" t="s">
        <v>8200</v>
      </c>
      <c r="C7865">
        <v>0</v>
      </c>
    </row>
    <row r="7866" spans="1:3" x14ac:dyDescent="0.25">
      <c r="A7866" s="48" t="s">
        <v>8196</v>
      </c>
      <c r="B7866" t="s">
        <v>8197</v>
      </c>
      <c r="C7866">
        <v>0</v>
      </c>
    </row>
    <row r="7867" spans="1:3" x14ac:dyDescent="0.25">
      <c r="A7867" s="48" t="s">
        <v>8194</v>
      </c>
      <c r="B7867" t="s">
        <v>8195</v>
      </c>
      <c r="C7867">
        <v>0</v>
      </c>
    </row>
    <row r="7868" spans="1:3" x14ac:dyDescent="0.25">
      <c r="A7868" s="48" t="s">
        <v>8189</v>
      </c>
      <c r="B7868" t="s">
        <v>22176</v>
      </c>
      <c r="C7868">
        <v>0</v>
      </c>
    </row>
    <row r="7869" spans="1:3" x14ac:dyDescent="0.25">
      <c r="A7869" s="48" t="s">
        <v>8201</v>
      </c>
      <c r="B7869" t="s">
        <v>8202</v>
      </c>
      <c r="C7869">
        <v>0</v>
      </c>
    </row>
    <row r="7870" spans="1:3" x14ac:dyDescent="0.25">
      <c r="A7870" s="48" t="s">
        <v>8192</v>
      </c>
      <c r="B7870" t="s">
        <v>8193</v>
      </c>
      <c r="C7870">
        <v>0</v>
      </c>
    </row>
    <row r="7871" spans="1:3" x14ac:dyDescent="0.25">
      <c r="A7871" s="48" t="s">
        <v>503</v>
      </c>
      <c r="B7871" t="s">
        <v>504</v>
      </c>
      <c r="C7871">
        <v>52</v>
      </c>
    </row>
    <row r="7872" spans="1:3" x14ac:dyDescent="0.25">
      <c r="A7872" s="48" t="s">
        <v>8187</v>
      </c>
      <c r="B7872" t="s">
        <v>8188</v>
      </c>
      <c r="C7872">
        <v>0</v>
      </c>
    </row>
    <row r="7873" spans="1:3" x14ac:dyDescent="0.25">
      <c r="A7873" s="48" t="s">
        <v>6897</v>
      </c>
      <c r="B7873" t="s">
        <v>6898</v>
      </c>
      <c r="C7873">
        <v>0</v>
      </c>
    </row>
    <row r="7874" spans="1:3" x14ac:dyDescent="0.25">
      <c r="A7874" s="48" t="s">
        <v>6899</v>
      </c>
      <c r="B7874" t="s">
        <v>22177</v>
      </c>
      <c r="C7874">
        <v>12</v>
      </c>
    </row>
    <row r="7875" spans="1:3" x14ac:dyDescent="0.25">
      <c r="A7875" s="48" t="s">
        <v>6901</v>
      </c>
      <c r="B7875" t="s">
        <v>22178</v>
      </c>
      <c r="C7875">
        <v>0</v>
      </c>
    </row>
    <row r="7876" spans="1:3" x14ac:dyDescent="0.25">
      <c r="A7876" s="48" t="s">
        <v>17800</v>
      </c>
      <c r="B7876" t="s">
        <v>17801</v>
      </c>
      <c r="C7876">
        <v>0</v>
      </c>
    </row>
    <row r="7877" spans="1:3" x14ac:dyDescent="0.25">
      <c r="A7877" s="48" t="s">
        <v>17804</v>
      </c>
      <c r="B7877" t="s">
        <v>17805</v>
      </c>
      <c r="C7877">
        <v>0</v>
      </c>
    </row>
    <row r="7878" spans="1:3" x14ac:dyDescent="0.25">
      <c r="A7878" s="48" t="s">
        <v>17802</v>
      </c>
      <c r="B7878" t="s">
        <v>17803</v>
      </c>
      <c r="C7878">
        <v>0</v>
      </c>
    </row>
    <row r="7879" spans="1:3" x14ac:dyDescent="0.25">
      <c r="A7879" s="48" t="s">
        <v>383</v>
      </c>
      <c r="B7879" t="s">
        <v>384</v>
      </c>
      <c r="C7879">
        <v>16</v>
      </c>
    </row>
    <row r="7880" spans="1:3" x14ac:dyDescent="0.25">
      <c r="A7880" s="48" t="s">
        <v>565</v>
      </c>
      <c r="B7880" t="s">
        <v>566</v>
      </c>
      <c r="C7880">
        <v>103</v>
      </c>
    </row>
    <row r="7881" spans="1:3" x14ac:dyDescent="0.25">
      <c r="A7881" s="48" t="s">
        <v>22989</v>
      </c>
      <c r="B7881" t="s">
        <v>22990</v>
      </c>
      <c r="C7881">
        <v>0</v>
      </c>
    </row>
    <row r="7882" spans="1:3" x14ac:dyDescent="0.25">
      <c r="A7882" s="48" t="s">
        <v>22991</v>
      </c>
      <c r="B7882" t="s">
        <v>22992</v>
      </c>
      <c r="C7882">
        <v>2</v>
      </c>
    </row>
    <row r="7883" spans="1:3" x14ac:dyDescent="0.25">
      <c r="A7883" s="48" t="s">
        <v>22993</v>
      </c>
      <c r="B7883" t="s">
        <v>22994</v>
      </c>
      <c r="C7883">
        <v>2</v>
      </c>
    </row>
    <row r="7884" spans="1:3" x14ac:dyDescent="0.25">
      <c r="A7884" s="48" t="s">
        <v>22995</v>
      </c>
      <c r="B7884" t="s">
        <v>22996</v>
      </c>
      <c r="C7884">
        <v>2</v>
      </c>
    </row>
    <row r="7885" spans="1:3" x14ac:dyDescent="0.25">
      <c r="A7885" s="48" t="s">
        <v>22997</v>
      </c>
      <c r="B7885" t="s">
        <v>22998</v>
      </c>
      <c r="C7885">
        <v>3</v>
      </c>
    </row>
    <row r="7886" spans="1:3" x14ac:dyDescent="0.25">
      <c r="A7886" s="48" t="s">
        <v>5836</v>
      </c>
      <c r="B7886" t="s">
        <v>5837</v>
      </c>
      <c r="C7886">
        <v>0</v>
      </c>
    </row>
    <row r="7887" spans="1:3" x14ac:dyDescent="0.25">
      <c r="A7887" s="48" t="s">
        <v>5834</v>
      </c>
      <c r="B7887" t="s">
        <v>5835</v>
      </c>
      <c r="C7887">
        <v>0</v>
      </c>
    </row>
    <row r="7888" spans="1:3" x14ac:dyDescent="0.25">
      <c r="A7888" s="48" t="s">
        <v>359</v>
      </c>
      <c r="B7888" t="s">
        <v>360</v>
      </c>
      <c r="C7888">
        <v>24</v>
      </c>
    </row>
    <row r="7889" spans="1:3" x14ac:dyDescent="0.25">
      <c r="A7889" s="48" t="s">
        <v>9431</v>
      </c>
      <c r="B7889" t="s">
        <v>22179</v>
      </c>
      <c r="C7889">
        <v>0</v>
      </c>
    </row>
    <row r="7890" spans="1:3" x14ac:dyDescent="0.25">
      <c r="A7890" s="48" t="s">
        <v>5832</v>
      </c>
      <c r="B7890" t="s">
        <v>5833</v>
      </c>
      <c r="C7890">
        <v>4</v>
      </c>
    </row>
    <row r="7891" spans="1:3" x14ac:dyDescent="0.25">
      <c r="A7891" s="48" t="s">
        <v>6608</v>
      </c>
      <c r="B7891" t="s">
        <v>6609</v>
      </c>
      <c r="C7891">
        <v>0</v>
      </c>
    </row>
    <row r="7892" spans="1:3" x14ac:dyDescent="0.25">
      <c r="A7892" s="48" t="s">
        <v>809</v>
      </c>
      <c r="B7892" t="s">
        <v>810</v>
      </c>
      <c r="C7892">
        <v>462</v>
      </c>
    </row>
    <row r="7893" spans="1:3" x14ac:dyDescent="0.25">
      <c r="A7893" s="48" t="s">
        <v>17899</v>
      </c>
      <c r="B7893" t="s">
        <v>17900</v>
      </c>
      <c r="C7893">
        <v>9</v>
      </c>
    </row>
    <row r="7894" spans="1:3" x14ac:dyDescent="0.25">
      <c r="A7894" s="48" t="s">
        <v>22926</v>
      </c>
      <c r="B7894" t="s">
        <v>22927</v>
      </c>
      <c r="C7894">
        <v>0</v>
      </c>
    </row>
    <row r="7895" spans="1:3" x14ac:dyDescent="0.25">
      <c r="A7895" s="48" t="s">
        <v>7126</v>
      </c>
      <c r="B7895" t="s">
        <v>7127</v>
      </c>
      <c r="C7895">
        <v>0</v>
      </c>
    </row>
    <row r="7896" spans="1:3" x14ac:dyDescent="0.25">
      <c r="A7896" s="48" t="s">
        <v>8097</v>
      </c>
      <c r="B7896" t="s">
        <v>8098</v>
      </c>
      <c r="C7896">
        <v>6</v>
      </c>
    </row>
    <row r="7897" spans="1:3" x14ac:dyDescent="0.25">
      <c r="A7897" s="48" t="s">
        <v>8077</v>
      </c>
      <c r="B7897" t="s">
        <v>8078</v>
      </c>
      <c r="C7897">
        <v>1</v>
      </c>
    </row>
    <row r="7898" spans="1:3" x14ac:dyDescent="0.25">
      <c r="A7898" s="48" t="s">
        <v>8101</v>
      </c>
      <c r="B7898" t="s">
        <v>8102</v>
      </c>
      <c r="C7898">
        <v>15</v>
      </c>
    </row>
    <row r="7899" spans="1:3" x14ac:dyDescent="0.25">
      <c r="A7899" s="48" t="s">
        <v>8089</v>
      </c>
      <c r="B7899" t="s">
        <v>8090</v>
      </c>
      <c r="C7899">
        <v>0</v>
      </c>
    </row>
    <row r="7900" spans="1:3" x14ac:dyDescent="0.25">
      <c r="A7900" s="48" t="s">
        <v>8093</v>
      </c>
      <c r="B7900" t="s">
        <v>8094</v>
      </c>
      <c r="C7900">
        <v>5</v>
      </c>
    </row>
    <row r="7901" spans="1:3" x14ac:dyDescent="0.25">
      <c r="A7901" s="48" t="s">
        <v>8085</v>
      </c>
      <c r="B7901" t="s">
        <v>8086</v>
      </c>
      <c r="C7901">
        <v>5</v>
      </c>
    </row>
    <row r="7902" spans="1:3" x14ac:dyDescent="0.25">
      <c r="A7902" s="48" t="s">
        <v>8099</v>
      </c>
      <c r="B7902" t="s">
        <v>8100</v>
      </c>
      <c r="C7902">
        <v>6</v>
      </c>
    </row>
    <row r="7903" spans="1:3" x14ac:dyDescent="0.25">
      <c r="A7903" s="48" t="s">
        <v>8079</v>
      </c>
      <c r="B7903" t="s">
        <v>8080</v>
      </c>
      <c r="C7903">
        <v>12</v>
      </c>
    </row>
    <row r="7904" spans="1:3" x14ac:dyDescent="0.25">
      <c r="A7904" s="48" t="s">
        <v>8103</v>
      </c>
      <c r="B7904" t="s">
        <v>8104</v>
      </c>
      <c r="C7904">
        <v>16</v>
      </c>
    </row>
    <row r="7905" spans="1:3" x14ac:dyDescent="0.25">
      <c r="A7905" s="48" t="s">
        <v>8091</v>
      </c>
      <c r="B7905" t="s">
        <v>8092</v>
      </c>
      <c r="C7905">
        <v>7</v>
      </c>
    </row>
    <row r="7906" spans="1:3" x14ac:dyDescent="0.25">
      <c r="A7906" s="48" t="s">
        <v>8095</v>
      </c>
      <c r="B7906" t="s">
        <v>8096</v>
      </c>
      <c r="C7906">
        <v>2</v>
      </c>
    </row>
    <row r="7907" spans="1:3" x14ac:dyDescent="0.25">
      <c r="A7907" s="48" t="s">
        <v>8087</v>
      </c>
      <c r="B7907" t="s">
        <v>8088</v>
      </c>
      <c r="C7907">
        <v>4</v>
      </c>
    </row>
    <row r="7908" spans="1:3" x14ac:dyDescent="0.25">
      <c r="A7908" s="48" t="s">
        <v>8081</v>
      </c>
      <c r="B7908" t="s">
        <v>8082</v>
      </c>
      <c r="C7908">
        <v>3</v>
      </c>
    </row>
    <row r="7909" spans="1:3" x14ac:dyDescent="0.25">
      <c r="A7909" s="48" t="s">
        <v>8083</v>
      </c>
      <c r="B7909" t="s">
        <v>8084</v>
      </c>
      <c r="C7909">
        <v>2</v>
      </c>
    </row>
    <row r="7910" spans="1:3" x14ac:dyDescent="0.25">
      <c r="A7910" s="48" t="s">
        <v>8107</v>
      </c>
      <c r="B7910" t="s">
        <v>8108</v>
      </c>
      <c r="C7910">
        <v>6</v>
      </c>
    </row>
    <row r="7911" spans="1:3" x14ac:dyDescent="0.25">
      <c r="A7911" s="48" t="s">
        <v>799</v>
      </c>
      <c r="B7911" t="s">
        <v>800</v>
      </c>
      <c r="C7911">
        <v>0</v>
      </c>
    </row>
    <row r="7912" spans="1:3" x14ac:dyDescent="0.25">
      <c r="A7912" s="48" t="s">
        <v>7140</v>
      </c>
      <c r="B7912" t="s">
        <v>22180</v>
      </c>
      <c r="C7912">
        <v>8</v>
      </c>
    </row>
    <row r="7913" spans="1:3" x14ac:dyDescent="0.25">
      <c r="A7913" s="48" t="s">
        <v>1629</v>
      </c>
      <c r="B7913" t="s">
        <v>22928</v>
      </c>
      <c r="C7913">
        <v>5</v>
      </c>
    </row>
    <row r="7914" spans="1:3" x14ac:dyDescent="0.25">
      <c r="A7914" s="48" t="s">
        <v>7134</v>
      </c>
      <c r="B7914" t="s">
        <v>7135</v>
      </c>
      <c r="C7914">
        <v>6</v>
      </c>
    </row>
    <row r="7915" spans="1:3" x14ac:dyDescent="0.25">
      <c r="A7915" s="48" t="s">
        <v>7136</v>
      </c>
      <c r="B7915" t="s">
        <v>7137</v>
      </c>
      <c r="C7915">
        <v>12</v>
      </c>
    </row>
    <row r="7916" spans="1:3" x14ac:dyDescent="0.25">
      <c r="A7916" s="48" t="s">
        <v>7128</v>
      </c>
      <c r="B7916" t="s">
        <v>22181</v>
      </c>
      <c r="C7916">
        <v>0</v>
      </c>
    </row>
    <row r="7917" spans="1:3" x14ac:dyDescent="0.25">
      <c r="A7917" s="48" t="s">
        <v>23240</v>
      </c>
      <c r="B7917" t="s">
        <v>23241</v>
      </c>
      <c r="C7917">
        <v>0</v>
      </c>
    </row>
    <row r="7918" spans="1:3" x14ac:dyDescent="0.25">
      <c r="A7918" s="48" t="s">
        <v>7142</v>
      </c>
      <c r="B7918" t="s">
        <v>7143</v>
      </c>
      <c r="C7918">
        <v>89</v>
      </c>
    </row>
    <row r="7919" spans="1:3" x14ac:dyDescent="0.25">
      <c r="A7919" s="48" t="s">
        <v>13647</v>
      </c>
      <c r="B7919" t="s">
        <v>13648</v>
      </c>
      <c r="C7919">
        <v>0</v>
      </c>
    </row>
    <row r="7920" spans="1:3" x14ac:dyDescent="0.25">
      <c r="A7920" s="48" t="s">
        <v>13649</v>
      </c>
      <c r="B7920" t="s">
        <v>13650</v>
      </c>
      <c r="C7920">
        <v>11</v>
      </c>
    </row>
    <row r="7921" spans="1:3" x14ac:dyDescent="0.25">
      <c r="A7921" s="48" t="s">
        <v>13643</v>
      </c>
      <c r="B7921" t="s">
        <v>13644</v>
      </c>
      <c r="C7921">
        <v>4</v>
      </c>
    </row>
    <row r="7922" spans="1:3" x14ac:dyDescent="0.25">
      <c r="A7922" s="48" t="s">
        <v>13645</v>
      </c>
      <c r="B7922" t="s">
        <v>13646</v>
      </c>
      <c r="C7922">
        <v>0</v>
      </c>
    </row>
    <row r="7923" spans="1:3" x14ac:dyDescent="0.25">
      <c r="A7923" s="48" t="s">
        <v>1904</v>
      </c>
      <c r="B7923" t="s">
        <v>1905</v>
      </c>
      <c r="C7923">
        <v>0</v>
      </c>
    </row>
    <row r="7924" spans="1:3" x14ac:dyDescent="0.25">
      <c r="A7924" s="48" t="s">
        <v>8105</v>
      </c>
      <c r="B7924" t="s">
        <v>8106</v>
      </c>
      <c r="C7924">
        <v>0</v>
      </c>
    </row>
    <row r="7925" spans="1:3" x14ac:dyDescent="0.25">
      <c r="A7925" s="48" t="s">
        <v>12678</v>
      </c>
      <c r="B7925" t="s">
        <v>12679</v>
      </c>
      <c r="C7925">
        <v>0</v>
      </c>
    </row>
    <row r="7926" spans="1:3" x14ac:dyDescent="0.25">
      <c r="A7926" s="48" t="s">
        <v>12676</v>
      </c>
      <c r="B7926" t="s">
        <v>12677</v>
      </c>
      <c r="C7926">
        <v>0</v>
      </c>
    </row>
    <row r="7927" spans="1:3" x14ac:dyDescent="0.25">
      <c r="A7927" s="48" t="s">
        <v>12680</v>
      </c>
      <c r="B7927" t="s">
        <v>12681</v>
      </c>
      <c r="C7927">
        <v>0</v>
      </c>
    </row>
    <row r="7928" spans="1:3" x14ac:dyDescent="0.25">
      <c r="A7928" s="48" t="s">
        <v>12652</v>
      </c>
      <c r="B7928" t="s">
        <v>12653</v>
      </c>
      <c r="C7928">
        <v>16</v>
      </c>
    </row>
    <row r="7929" spans="1:3" x14ac:dyDescent="0.25">
      <c r="A7929" s="48" t="s">
        <v>1565</v>
      </c>
      <c r="B7929" t="s">
        <v>1566</v>
      </c>
      <c r="C7929">
        <v>25</v>
      </c>
    </row>
    <row r="7930" spans="1:3" x14ac:dyDescent="0.25">
      <c r="A7930" s="48" t="s">
        <v>1381</v>
      </c>
      <c r="B7930" t="s">
        <v>1382</v>
      </c>
      <c r="C7930">
        <v>180</v>
      </c>
    </row>
    <row r="7931" spans="1:3" x14ac:dyDescent="0.25">
      <c r="A7931" s="48" t="s">
        <v>16297</v>
      </c>
      <c r="B7931" t="s">
        <v>16298</v>
      </c>
      <c r="C7931">
        <v>0</v>
      </c>
    </row>
    <row r="7932" spans="1:3" x14ac:dyDescent="0.25">
      <c r="A7932" s="48" t="s">
        <v>9710</v>
      </c>
      <c r="B7932" t="s">
        <v>9711</v>
      </c>
      <c r="C7932">
        <v>4</v>
      </c>
    </row>
    <row r="7933" spans="1:3" x14ac:dyDescent="0.25">
      <c r="A7933" s="48" t="s">
        <v>9708</v>
      </c>
      <c r="B7933" t="s">
        <v>9709</v>
      </c>
      <c r="C7933">
        <v>12</v>
      </c>
    </row>
    <row r="7934" spans="1:3" x14ac:dyDescent="0.25">
      <c r="A7934" s="48" t="s">
        <v>9692</v>
      </c>
      <c r="B7934" t="s">
        <v>9693</v>
      </c>
      <c r="C7934">
        <v>17</v>
      </c>
    </row>
    <row r="7935" spans="1:3" x14ac:dyDescent="0.25">
      <c r="A7935" s="48" t="s">
        <v>9694</v>
      </c>
      <c r="B7935" t="s">
        <v>9695</v>
      </c>
      <c r="C7935">
        <v>25</v>
      </c>
    </row>
    <row r="7936" spans="1:3" x14ac:dyDescent="0.25">
      <c r="A7936" s="48" t="s">
        <v>9696</v>
      </c>
      <c r="B7936" t="s">
        <v>9697</v>
      </c>
      <c r="C7936">
        <v>26</v>
      </c>
    </row>
    <row r="7937" spans="1:3" x14ac:dyDescent="0.25">
      <c r="A7937" s="48" t="s">
        <v>9698</v>
      </c>
      <c r="B7937" t="s">
        <v>9699</v>
      </c>
      <c r="C7937">
        <v>5</v>
      </c>
    </row>
    <row r="7938" spans="1:3" x14ac:dyDescent="0.25">
      <c r="A7938" s="48" t="s">
        <v>9704</v>
      </c>
      <c r="B7938" t="s">
        <v>9705</v>
      </c>
      <c r="C7938">
        <v>20</v>
      </c>
    </row>
    <row r="7939" spans="1:3" x14ac:dyDescent="0.25">
      <c r="A7939" s="48" t="s">
        <v>9706</v>
      </c>
      <c r="B7939" t="s">
        <v>9707</v>
      </c>
      <c r="C7939">
        <v>17</v>
      </c>
    </row>
    <row r="7940" spans="1:3" x14ac:dyDescent="0.25">
      <c r="A7940" s="48" t="s">
        <v>9700</v>
      </c>
      <c r="B7940" t="s">
        <v>9701</v>
      </c>
      <c r="C7940">
        <v>24</v>
      </c>
    </row>
    <row r="7941" spans="1:3" x14ac:dyDescent="0.25">
      <c r="A7941" s="48" t="s">
        <v>9702</v>
      </c>
      <c r="B7941" t="s">
        <v>9703</v>
      </c>
      <c r="C7941">
        <v>12</v>
      </c>
    </row>
    <row r="7942" spans="1:3" x14ac:dyDescent="0.25">
      <c r="A7942" s="48" t="s">
        <v>3579</v>
      </c>
      <c r="B7942" t="s">
        <v>3580</v>
      </c>
      <c r="C7942">
        <v>0</v>
      </c>
    </row>
    <row r="7943" spans="1:3" x14ac:dyDescent="0.25">
      <c r="A7943" s="48" t="s">
        <v>3575</v>
      </c>
      <c r="B7943" t="s">
        <v>3576</v>
      </c>
      <c r="C7943">
        <v>0</v>
      </c>
    </row>
    <row r="7944" spans="1:3" x14ac:dyDescent="0.25">
      <c r="A7944" s="48" t="s">
        <v>2136</v>
      </c>
      <c r="B7944" t="s">
        <v>2137</v>
      </c>
      <c r="C7944">
        <v>0</v>
      </c>
    </row>
    <row r="7945" spans="1:3" x14ac:dyDescent="0.25">
      <c r="A7945" s="48" t="s">
        <v>12976</v>
      </c>
      <c r="B7945" t="s">
        <v>12977</v>
      </c>
      <c r="C7945">
        <v>3</v>
      </c>
    </row>
    <row r="7946" spans="1:3" x14ac:dyDescent="0.25">
      <c r="A7946" s="48" t="s">
        <v>12974</v>
      </c>
      <c r="B7946" t="s">
        <v>12975</v>
      </c>
      <c r="C7946">
        <v>24</v>
      </c>
    </row>
    <row r="7947" spans="1:3" x14ac:dyDescent="0.25">
      <c r="A7947" s="48" t="s">
        <v>1886</v>
      </c>
      <c r="B7947" t="s">
        <v>1887</v>
      </c>
      <c r="C7947">
        <v>27</v>
      </c>
    </row>
    <row r="7948" spans="1:3" x14ac:dyDescent="0.25">
      <c r="A7948" s="48" t="s">
        <v>12972</v>
      </c>
      <c r="B7948" t="s">
        <v>12973</v>
      </c>
      <c r="C7948">
        <v>18</v>
      </c>
    </row>
    <row r="7949" spans="1:3" x14ac:dyDescent="0.25">
      <c r="A7949" s="48" t="s">
        <v>12978</v>
      </c>
      <c r="B7949" t="s">
        <v>12979</v>
      </c>
      <c r="C7949">
        <v>7</v>
      </c>
    </row>
    <row r="7950" spans="1:3" x14ac:dyDescent="0.25">
      <c r="A7950" s="48" t="s">
        <v>16270</v>
      </c>
      <c r="B7950" t="s">
        <v>16271</v>
      </c>
      <c r="C7950">
        <v>0</v>
      </c>
    </row>
    <row r="7951" spans="1:3" x14ac:dyDescent="0.25">
      <c r="A7951" s="48" t="s">
        <v>16267</v>
      </c>
      <c r="B7951" t="s">
        <v>16268</v>
      </c>
      <c r="C7951">
        <v>0</v>
      </c>
    </row>
    <row r="7952" spans="1:3" x14ac:dyDescent="0.25">
      <c r="A7952" s="48" t="s">
        <v>17812</v>
      </c>
      <c r="B7952" t="s">
        <v>17813</v>
      </c>
      <c r="C7952">
        <v>0</v>
      </c>
    </row>
    <row r="7953" spans="1:3" x14ac:dyDescent="0.25">
      <c r="A7953" s="48" t="s">
        <v>17814</v>
      </c>
      <c r="B7953" t="s">
        <v>17815</v>
      </c>
      <c r="C7953">
        <v>0</v>
      </c>
    </row>
    <row r="7954" spans="1:3" x14ac:dyDescent="0.25">
      <c r="A7954" s="48" t="s">
        <v>17810</v>
      </c>
      <c r="B7954" t="s">
        <v>17811</v>
      </c>
      <c r="C7954">
        <v>0</v>
      </c>
    </row>
    <row r="7955" spans="1:3" x14ac:dyDescent="0.25">
      <c r="A7955" s="48" t="s">
        <v>17816</v>
      </c>
      <c r="B7955" t="s">
        <v>17817</v>
      </c>
      <c r="C7955">
        <v>0</v>
      </c>
    </row>
    <row r="7956" spans="1:3" x14ac:dyDescent="0.25">
      <c r="A7956" s="48" t="s">
        <v>9448</v>
      </c>
      <c r="B7956" t="s">
        <v>9449</v>
      </c>
      <c r="C7956">
        <v>0</v>
      </c>
    </row>
    <row r="7957" spans="1:3" x14ac:dyDescent="0.25">
      <c r="A7957" s="48" t="s">
        <v>9450</v>
      </c>
      <c r="B7957" t="s">
        <v>9451</v>
      </c>
      <c r="C7957">
        <v>55</v>
      </c>
    </row>
    <row r="7958" spans="1:3" x14ac:dyDescent="0.25">
      <c r="A7958" s="48" t="s">
        <v>9452</v>
      </c>
      <c r="B7958" t="s">
        <v>9453</v>
      </c>
      <c r="C7958">
        <v>24</v>
      </c>
    </row>
    <row r="7959" spans="1:3" x14ac:dyDescent="0.25">
      <c r="A7959" s="48" t="s">
        <v>1585</v>
      </c>
      <c r="B7959" t="s">
        <v>1586</v>
      </c>
      <c r="C7959">
        <v>2</v>
      </c>
    </row>
    <row r="7960" spans="1:3" x14ac:dyDescent="0.25">
      <c r="A7960" s="48" t="s">
        <v>5939</v>
      </c>
      <c r="B7960" t="s">
        <v>5940</v>
      </c>
      <c r="C7960">
        <v>0</v>
      </c>
    </row>
    <row r="7961" spans="1:3" x14ac:dyDescent="0.25">
      <c r="A7961" s="48" t="s">
        <v>16045</v>
      </c>
      <c r="B7961" t="s">
        <v>16046</v>
      </c>
      <c r="C7961">
        <v>40</v>
      </c>
    </row>
    <row r="7962" spans="1:3" x14ac:dyDescent="0.25">
      <c r="A7962" s="48" t="s">
        <v>16019</v>
      </c>
      <c r="B7962" t="s">
        <v>16020</v>
      </c>
      <c r="C7962">
        <v>10</v>
      </c>
    </row>
    <row r="7963" spans="1:3" x14ac:dyDescent="0.25">
      <c r="A7963" s="48" t="s">
        <v>1113</v>
      </c>
      <c r="B7963" t="s">
        <v>1114</v>
      </c>
      <c r="C7963">
        <v>18</v>
      </c>
    </row>
    <row r="7964" spans="1:3" x14ac:dyDescent="0.25">
      <c r="A7964" s="48" t="s">
        <v>16025</v>
      </c>
      <c r="B7964" t="s">
        <v>16026</v>
      </c>
      <c r="C7964">
        <v>36</v>
      </c>
    </row>
    <row r="7965" spans="1:3" x14ac:dyDescent="0.25">
      <c r="A7965" s="48" t="s">
        <v>16041</v>
      </c>
      <c r="B7965" t="s">
        <v>16042</v>
      </c>
      <c r="C7965">
        <v>20</v>
      </c>
    </row>
    <row r="7966" spans="1:3" x14ac:dyDescent="0.25">
      <c r="A7966" s="48" t="s">
        <v>16053</v>
      </c>
      <c r="B7966" t="s">
        <v>16054</v>
      </c>
      <c r="C7966">
        <v>62</v>
      </c>
    </row>
    <row r="7967" spans="1:3" x14ac:dyDescent="0.25">
      <c r="A7967" s="48" t="s">
        <v>16027</v>
      </c>
      <c r="B7967" t="s">
        <v>16028</v>
      </c>
      <c r="C7967">
        <v>12</v>
      </c>
    </row>
    <row r="7968" spans="1:3" x14ac:dyDescent="0.25">
      <c r="A7968" s="48" t="s">
        <v>16021</v>
      </c>
      <c r="B7968" t="s">
        <v>22182</v>
      </c>
      <c r="C7968">
        <v>35</v>
      </c>
    </row>
    <row r="7969" spans="1:3" x14ac:dyDescent="0.25">
      <c r="A7969" s="48" t="s">
        <v>16043</v>
      </c>
      <c r="B7969" t="s">
        <v>16044</v>
      </c>
      <c r="C7969">
        <v>0</v>
      </c>
    </row>
    <row r="7970" spans="1:3" x14ac:dyDescent="0.25">
      <c r="A7970" s="48" t="s">
        <v>16039</v>
      </c>
      <c r="B7970" t="s">
        <v>16040</v>
      </c>
      <c r="C7970">
        <v>11</v>
      </c>
    </row>
    <row r="7971" spans="1:3" x14ac:dyDescent="0.25">
      <c r="A7971" s="48" t="s">
        <v>16017</v>
      </c>
      <c r="B7971" t="s">
        <v>16018</v>
      </c>
      <c r="C7971">
        <v>4</v>
      </c>
    </row>
    <row r="7972" spans="1:3" x14ac:dyDescent="0.25">
      <c r="A7972" s="48" t="s">
        <v>16047</v>
      </c>
      <c r="B7972" t="s">
        <v>16048</v>
      </c>
      <c r="C7972">
        <v>12</v>
      </c>
    </row>
    <row r="7973" spans="1:3" x14ac:dyDescent="0.25">
      <c r="A7973" s="48" t="s">
        <v>16031</v>
      </c>
      <c r="B7973" t="s">
        <v>16032</v>
      </c>
      <c r="C7973">
        <v>55</v>
      </c>
    </row>
    <row r="7974" spans="1:3" x14ac:dyDescent="0.25">
      <c r="A7974" s="48" t="s">
        <v>16051</v>
      </c>
      <c r="B7974" t="s">
        <v>16052</v>
      </c>
      <c r="C7974">
        <v>0</v>
      </c>
    </row>
    <row r="7975" spans="1:3" x14ac:dyDescent="0.25">
      <c r="A7975" s="48" t="s">
        <v>16035</v>
      </c>
      <c r="B7975" t="s">
        <v>16036</v>
      </c>
      <c r="C7975">
        <v>3</v>
      </c>
    </row>
    <row r="7976" spans="1:3" x14ac:dyDescent="0.25">
      <c r="A7976" s="48" t="s">
        <v>16037</v>
      </c>
      <c r="B7976" t="s">
        <v>16038</v>
      </c>
      <c r="C7976">
        <v>2</v>
      </c>
    </row>
    <row r="7977" spans="1:3" x14ac:dyDescent="0.25">
      <c r="A7977" s="48" t="s">
        <v>16033</v>
      </c>
      <c r="B7977" t="s">
        <v>16034</v>
      </c>
      <c r="C7977">
        <v>66</v>
      </c>
    </row>
    <row r="7978" spans="1:3" x14ac:dyDescent="0.25">
      <c r="A7978" s="48" t="s">
        <v>16023</v>
      </c>
      <c r="B7978" t="s">
        <v>16024</v>
      </c>
      <c r="C7978">
        <v>84</v>
      </c>
    </row>
    <row r="7979" spans="1:3" x14ac:dyDescent="0.25">
      <c r="A7979" s="48" t="s">
        <v>16029</v>
      </c>
      <c r="B7979" t="s">
        <v>16030</v>
      </c>
      <c r="C7979">
        <v>43</v>
      </c>
    </row>
    <row r="7980" spans="1:3" x14ac:dyDescent="0.25">
      <c r="A7980" s="48" t="s">
        <v>16049</v>
      </c>
      <c r="B7980" t="s">
        <v>16050</v>
      </c>
      <c r="C7980">
        <v>6</v>
      </c>
    </row>
    <row r="7981" spans="1:3" x14ac:dyDescent="0.25">
      <c r="A7981" s="48" t="s">
        <v>5633</v>
      </c>
      <c r="B7981" t="s">
        <v>5634</v>
      </c>
      <c r="C7981">
        <v>0</v>
      </c>
    </row>
    <row r="7982" spans="1:3" x14ac:dyDescent="0.25">
      <c r="A7982" s="48" t="s">
        <v>6597</v>
      </c>
      <c r="B7982" t="s">
        <v>6598</v>
      </c>
      <c r="C7982">
        <v>11</v>
      </c>
    </row>
    <row r="7983" spans="1:3" x14ac:dyDescent="0.25">
      <c r="A7983" s="48" t="s">
        <v>13</v>
      </c>
      <c r="B7983" t="s">
        <v>14</v>
      </c>
      <c r="C7983">
        <v>62</v>
      </c>
    </row>
    <row r="7984" spans="1:3" x14ac:dyDescent="0.25">
      <c r="A7984" s="48" t="s">
        <v>239</v>
      </c>
      <c r="B7984" t="s">
        <v>240</v>
      </c>
      <c r="C7984">
        <v>23</v>
      </c>
    </row>
    <row r="7985" spans="1:3" x14ac:dyDescent="0.25">
      <c r="A7985" s="48" t="s">
        <v>17</v>
      </c>
      <c r="B7985" t="s">
        <v>18</v>
      </c>
      <c r="C7985">
        <v>150</v>
      </c>
    </row>
    <row r="7986" spans="1:3" x14ac:dyDescent="0.25">
      <c r="A7986" s="48" t="s">
        <v>18879</v>
      </c>
      <c r="B7986" t="s">
        <v>18880</v>
      </c>
      <c r="C7986">
        <v>0</v>
      </c>
    </row>
    <row r="7987" spans="1:3" x14ac:dyDescent="0.25">
      <c r="A7987" s="48" t="s">
        <v>19496</v>
      </c>
      <c r="B7987" t="s">
        <v>19497</v>
      </c>
      <c r="C7987">
        <v>0</v>
      </c>
    </row>
    <row r="7988" spans="1:3" x14ac:dyDescent="0.25">
      <c r="A7988" s="48" t="s">
        <v>3519</v>
      </c>
      <c r="B7988" t="s">
        <v>3520</v>
      </c>
      <c r="C7988">
        <v>0</v>
      </c>
    </row>
    <row r="7989" spans="1:3" x14ac:dyDescent="0.25">
      <c r="A7989" s="48" t="s">
        <v>23048</v>
      </c>
      <c r="B7989" t="s">
        <v>23049</v>
      </c>
      <c r="C7989">
        <v>0</v>
      </c>
    </row>
    <row r="7990" spans="1:3" x14ac:dyDescent="0.25">
      <c r="A7990" s="48" t="s">
        <v>3505</v>
      </c>
      <c r="B7990" t="s">
        <v>3506</v>
      </c>
      <c r="C7990">
        <v>0</v>
      </c>
    </row>
    <row r="7991" spans="1:3" x14ac:dyDescent="0.25">
      <c r="A7991" s="48" t="s">
        <v>18021</v>
      </c>
      <c r="B7991" t="s">
        <v>18022</v>
      </c>
      <c r="C7991">
        <v>30</v>
      </c>
    </row>
    <row r="7992" spans="1:3" x14ac:dyDescent="0.25">
      <c r="A7992" s="48" t="s">
        <v>18023</v>
      </c>
      <c r="B7992" t="s">
        <v>18024</v>
      </c>
      <c r="C7992">
        <v>21</v>
      </c>
    </row>
    <row r="7993" spans="1:3" x14ac:dyDescent="0.25">
      <c r="A7993" s="48" t="s">
        <v>18025</v>
      </c>
      <c r="B7993" t="s">
        <v>18026</v>
      </c>
      <c r="C7993">
        <v>15</v>
      </c>
    </row>
    <row r="7994" spans="1:3" x14ac:dyDescent="0.25">
      <c r="A7994" s="48" t="s">
        <v>11858</v>
      </c>
      <c r="B7994" t="s">
        <v>11859</v>
      </c>
      <c r="C7994">
        <v>0</v>
      </c>
    </row>
    <row r="7995" spans="1:3" x14ac:dyDescent="0.25">
      <c r="A7995" s="48" t="s">
        <v>11856</v>
      </c>
      <c r="B7995" t="s">
        <v>11857</v>
      </c>
      <c r="C7995">
        <v>0</v>
      </c>
    </row>
    <row r="7996" spans="1:3" x14ac:dyDescent="0.25">
      <c r="A7996" s="48" t="s">
        <v>22908</v>
      </c>
      <c r="B7996" t="s">
        <v>22909</v>
      </c>
      <c r="C7996">
        <v>56</v>
      </c>
    </row>
    <row r="7997" spans="1:3" x14ac:dyDescent="0.25">
      <c r="A7997" s="48" t="s">
        <v>22910</v>
      </c>
      <c r="B7997" t="s">
        <v>22911</v>
      </c>
      <c r="C7997">
        <v>54</v>
      </c>
    </row>
    <row r="7998" spans="1:3" x14ac:dyDescent="0.25">
      <c r="A7998" s="48" t="s">
        <v>6614</v>
      </c>
      <c r="B7998" t="s">
        <v>6615</v>
      </c>
      <c r="C7998">
        <v>0</v>
      </c>
    </row>
    <row r="7999" spans="1:3" x14ac:dyDescent="0.25">
      <c r="A7999" s="48" t="s">
        <v>6616</v>
      </c>
      <c r="B7999" t="s">
        <v>6617</v>
      </c>
      <c r="C7999">
        <v>0</v>
      </c>
    </row>
    <row r="8000" spans="1:3" x14ac:dyDescent="0.25">
      <c r="A8000" s="48" t="s">
        <v>19761</v>
      </c>
      <c r="B8000" t="s">
        <v>19762</v>
      </c>
      <c r="C8000">
        <v>41</v>
      </c>
    </row>
    <row r="8001" spans="1:3" x14ac:dyDescent="0.25">
      <c r="A8001" s="48" t="s">
        <v>19765</v>
      </c>
      <c r="B8001" t="s">
        <v>19766</v>
      </c>
      <c r="C8001">
        <v>16</v>
      </c>
    </row>
    <row r="8002" spans="1:3" x14ac:dyDescent="0.25">
      <c r="A8002" s="48" t="s">
        <v>8588</v>
      </c>
      <c r="B8002" t="s">
        <v>8589</v>
      </c>
      <c r="C8002">
        <v>18</v>
      </c>
    </row>
    <row r="8003" spans="1:3" x14ac:dyDescent="0.25">
      <c r="A8003" s="48" t="s">
        <v>6242</v>
      </c>
      <c r="B8003" t="s">
        <v>6243</v>
      </c>
      <c r="C8003">
        <v>34</v>
      </c>
    </row>
    <row r="8004" spans="1:3" x14ac:dyDescent="0.25">
      <c r="A8004" s="48" t="s">
        <v>6250</v>
      </c>
      <c r="B8004" t="s">
        <v>6251</v>
      </c>
      <c r="C8004">
        <v>12</v>
      </c>
    </row>
    <row r="8005" spans="1:3" x14ac:dyDescent="0.25">
      <c r="A8005" s="48" t="s">
        <v>6254</v>
      </c>
      <c r="B8005" t="s">
        <v>6255</v>
      </c>
      <c r="C8005">
        <v>0</v>
      </c>
    </row>
    <row r="8006" spans="1:3" x14ac:dyDescent="0.25">
      <c r="A8006" s="48" t="s">
        <v>6258</v>
      </c>
      <c r="B8006" t="s">
        <v>6259</v>
      </c>
      <c r="C8006">
        <v>12</v>
      </c>
    </row>
    <row r="8007" spans="1:3" x14ac:dyDescent="0.25">
      <c r="A8007" s="48" t="s">
        <v>6262</v>
      </c>
      <c r="B8007" t="s">
        <v>6263</v>
      </c>
      <c r="C8007">
        <v>0</v>
      </c>
    </row>
    <row r="8008" spans="1:3" x14ac:dyDescent="0.25">
      <c r="A8008" s="48" t="s">
        <v>6264</v>
      </c>
      <c r="B8008" t="s">
        <v>6265</v>
      </c>
      <c r="C8008">
        <v>0</v>
      </c>
    </row>
    <row r="8009" spans="1:3" x14ac:dyDescent="0.25">
      <c r="A8009" s="48" t="s">
        <v>6269</v>
      </c>
      <c r="B8009" t="s">
        <v>6270</v>
      </c>
      <c r="C8009">
        <v>15</v>
      </c>
    </row>
    <row r="8010" spans="1:3" x14ac:dyDescent="0.25">
      <c r="A8010" s="48" t="s">
        <v>6275</v>
      </c>
      <c r="B8010" t="s">
        <v>6276</v>
      </c>
      <c r="C8010">
        <v>0</v>
      </c>
    </row>
    <row r="8011" spans="1:3" x14ac:dyDescent="0.25">
      <c r="A8011" s="48" t="s">
        <v>6281</v>
      </c>
      <c r="B8011" t="s">
        <v>6282</v>
      </c>
      <c r="C8011">
        <v>0</v>
      </c>
    </row>
    <row r="8012" spans="1:3" x14ac:dyDescent="0.25">
      <c r="A8012" s="48" t="s">
        <v>6289</v>
      </c>
      <c r="B8012" t="s">
        <v>6290</v>
      </c>
      <c r="C8012">
        <v>16</v>
      </c>
    </row>
    <row r="8013" spans="1:3" x14ac:dyDescent="0.25">
      <c r="A8013" s="48" t="s">
        <v>6293</v>
      </c>
      <c r="B8013" t="s">
        <v>6294</v>
      </c>
      <c r="C8013">
        <v>0</v>
      </c>
    </row>
    <row r="8014" spans="1:3" x14ac:dyDescent="0.25">
      <c r="A8014" s="48" t="s">
        <v>6271</v>
      </c>
      <c r="B8014" t="s">
        <v>6272</v>
      </c>
      <c r="C8014">
        <v>12</v>
      </c>
    </row>
    <row r="8015" spans="1:3" x14ac:dyDescent="0.25">
      <c r="A8015" s="48" t="s">
        <v>6285</v>
      </c>
      <c r="B8015" t="s">
        <v>6286</v>
      </c>
      <c r="C8015">
        <v>0</v>
      </c>
    </row>
    <row r="8016" spans="1:3" x14ac:dyDescent="0.25">
      <c r="A8016" s="48" t="s">
        <v>6246</v>
      </c>
      <c r="B8016" t="s">
        <v>6247</v>
      </c>
      <c r="C8016">
        <v>12</v>
      </c>
    </row>
    <row r="8017" spans="1:3" x14ac:dyDescent="0.25">
      <c r="A8017" s="48" t="s">
        <v>6240</v>
      </c>
      <c r="B8017" t="s">
        <v>6241</v>
      </c>
      <c r="C8017">
        <v>16</v>
      </c>
    </row>
    <row r="8018" spans="1:3" x14ac:dyDescent="0.25">
      <c r="A8018" s="48" t="s">
        <v>6244</v>
      </c>
      <c r="B8018" t="s">
        <v>22183</v>
      </c>
      <c r="C8018">
        <v>1</v>
      </c>
    </row>
    <row r="8019" spans="1:3" x14ac:dyDescent="0.25">
      <c r="A8019" s="48" t="s">
        <v>6252</v>
      </c>
      <c r="B8019" t="s">
        <v>6253</v>
      </c>
      <c r="C8019">
        <v>24</v>
      </c>
    </row>
    <row r="8020" spans="1:3" x14ac:dyDescent="0.25">
      <c r="A8020" s="48" t="s">
        <v>6256</v>
      </c>
      <c r="B8020" t="s">
        <v>6257</v>
      </c>
      <c r="C8020">
        <v>0</v>
      </c>
    </row>
    <row r="8021" spans="1:3" x14ac:dyDescent="0.25">
      <c r="A8021" s="48" t="s">
        <v>6260</v>
      </c>
      <c r="B8021" t="s">
        <v>6261</v>
      </c>
      <c r="C8021">
        <v>12</v>
      </c>
    </row>
    <row r="8022" spans="1:3" x14ac:dyDescent="0.25">
      <c r="A8022" s="48" t="s">
        <v>6267</v>
      </c>
      <c r="B8022" t="s">
        <v>6268</v>
      </c>
      <c r="C8022">
        <v>12</v>
      </c>
    </row>
    <row r="8023" spans="1:3" x14ac:dyDescent="0.25">
      <c r="A8023" s="48" t="s">
        <v>6277</v>
      </c>
      <c r="B8023" t="s">
        <v>6278</v>
      </c>
      <c r="C8023">
        <v>5</v>
      </c>
    </row>
    <row r="8024" spans="1:3" x14ac:dyDescent="0.25">
      <c r="A8024" s="48" t="s">
        <v>6283</v>
      </c>
      <c r="B8024" t="s">
        <v>6284</v>
      </c>
      <c r="C8024">
        <v>0</v>
      </c>
    </row>
    <row r="8025" spans="1:3" x14ac:dyDescent="0.25">
      <c r="A8025" s="48" t="s">
        <v>6291</v>
      </c>
      <c r="B8025" t="s">
        <v>6292</v>
      </c>
      <c r="C8025">
        <v>0</v>
      </c>
    </row>
    <row r="8026" spans="1:3" x14ac:dyDescent="0.25">
      <c r="A8026" s="48" t="s">
        <v>6295</v>
      </c>
      <c r="B8026" t="s">
        <v>6296</v>
      </c>
      <c r="C8026">
        <v>5</v>
      </c>
    </row>
    <row r="8027" spans="1:3" x14ac:dyDescent="0.25">
      <c r="A8027" s="48" t="s">
        <v>6273</v>
      </c>
      <c r="B8027" t="s">
        <v>6274</v>
      </c>
      <c r="C8027">
        <v>3</v>
      </c>
    </row>
    <row r="8028" spans="1:3" x14ac:dyDescent="0.25">
      <c r="A8028" s="48" t="s">
        <v>6287</v>
      </c>
      <c r="B8028" t="s">
        <v>6288</v>
      </c>
      <c r="C8028">
        <v>0</v>
      </c>
    </row>
    <row r="8029" spans="1:3" x14ac:dyDescent="0.25">
      <c r="A8029" s="48" t="s">
        <v>17070</v>
      </c>
      <c r="B8029" t="s">
        <v>17071</v>
      </c>
      <c r="C8029">
        <v>12</v>
      </c>
    </row>
    <row r="8030" spans="1:3" x14ac:dyDescent="0.25">
      <c r="A8030" s="48" t="s">
        <v>17068</v>
      </c>
      <c r="B8030" t="s">
        <v>17069</v>
      </c>
      <c r="C8030">
        <v>12</v>
      </c>
    </row>
    <row r="8031" spans="1:3" x14ac:dyDescent="0.25">
      <c r="A8031" s="48" t="s">
        <v>17072</v>
      </c>
      <c r="B8031" t="s">
        <v>17073</v>
      </c>
      <c r="C8031">
        <v>11</v>
      </c>
    </row>
    <row r="8032" spans="1:3" x14ac:dyDescent="0.25">
      <c r="A8032" s="48" t="s">
        <v>17066</v>
      </c>
      <c r="B8032" t="s">
        <v>17067</v>
      </c>
      <c r="C8032">
        <v>4</v>
      </c>
    </row>
    <row r="8033" spans="1:3" x14ac:dyDescent="0.25">
      <c r="A8033" s="48" t="s">
        <v>6279</v>
      </c>
      <c r="B8033" t="s">
        <v>6280</v>
      </c>
      <c r="C8033">
        <v>0</v>
      </c>
    </row>
    <row r="8034" spans="1:3" x14ac:dyDescent="0.25">
      <c r="A8034" s="48" t="s">
        <v>6238</v>
      </c>
      <c r="B8034" t="s">
        <v>6239</v>
      </c>
      <c r="C8034">
        <v>10</v>
      </c>
    </row>
    <row r="8035" spans="1:3" x14ac:dyDescent="0.25">
      <c r="A8035" s="48" t="s">
        <v>6887</v>
      </c>
      <c r="B8035" t="s">
        <v>6888</v>
      </c>
      <c r="C8035">
        <v>0</v>
      </c>
    </row>
    <row r="8036" spans="1:3" x14ac:dyDescent="0.25">
      <c r="A8036" s="48" t="s">
        <v>1469</v>
      </c>
      <c r="B8036" t="s">
        <v>1470</v>
      </c>
      <c r="C8036">
        <v>3</v>
      </c>
    </row>
    <row r="8037" spans="1:3" x14ac:dyDescent="0.25">
      <c r="A8037" s="48" t="s">
        <v>271</v>
      </c>
      <c r="B8037" t="s">
        <v>272</v>
      </c>
      <c r="C8037">
        <v>2</v>
      </c>
    </row>
    <row r="8038" spans="1:3" x14ac:dyDescent="0.25">
      <c r="A8038" s="48" t="s">
        <v>1247</v>
      </c>
      <c r="B8038" t="s">
        <v>1248</v>
      </c>
      <c r="C8038">
        <v>61</v>
      </c>
    </row>
    <row r="8039" spans="1:3" x14ac:dyDescent="0.25">
      <c r="A8039" s="48" t="s">
        <v>7813</v>
      </c>
      <c r="B8039" t="s">
        <v>22184</v>
      </c>
      <c r="C8039">
        <v>28</v>
      </c>
    </row>
    <row r="8040" spans="1:3" x14ac:dyDescent="0.25">
      <c r="A8040" s="48" t="s">
        <v>3217</v>
      </c>
      <c r="B8040" t="s">
        <v>3218</v>
      </c>
      <c r="C8040">
        <v>8</v>
      </c>
    </row>
    <row r="8041" spans="1:3" x14ac:dyDescent="0.25">
      <c r="A8041" s="48" t="s">
        <v>3219</v>
      </c>
      <c r="B8041" t="s">
        <v>3220</v>
      </c>
      <c r="C8041">
        <v>8</v>
      </c>
    </row>
    <row r="8042" spans="1:3" x14ac:dyDescent="0.25">
      <c r="A8042" s="48" t="s">
        <v>3221</v>
      </c>
      <c r="B8042" t="s">
        <v>3222</v>
      </c>
      <c r="C8042">
        <v>8</v>
      </c>
    </row>
    <row r="8043" spans="1:3" x14ac:dyDescent="0.25">
      <c r="A8043" s="48" t="s">
        <v>3223</v>
      </c>
      <c r="B8043" t="s">
        <v>3224</v>
      </c>
      <c r="C8043">
        <v>3</v>
      </c>
    </row>
    <row r="8044" spans="1:3" x14ac:dyDescent="0.25">
      <c r="A8044" s="48" t="s">
        <v>745</v>
      </c>
      <c r="B8044" t="s">
        <v>746</v>
      </c>
      <c r="C8044">
        <v>7</v>
      </c>
    </row>
    <row r="8045" spans="1:3" x14ac:dyDescent="0.25">
      <c r="A8045" s="48" t="s">
        <v>743</v>
      </c>
      <c r="B8045" t="s">
        <v>744</v>
      </c>
      <c r="C8045">
        <v>3</v>
      </c>
    </row>
    <row r="8046" spans="1:3" x14ac:dyDescent="0.25">
      <c r="A8046" s="48" t="s">
        <v>6720</v>
      </c>
      <c r="B8046" t="s">
        <v>6721</v>
      </c>
      <c r="C8046">
        <v>1</v>
      </c>
    </row>
    <row r="8047" spans="1:3" x14ac:dyDescent="0.25">
      <c r="A8047" s="48" t="s">
        <v>9078</v>
      </c>
      <c r="B8047" t="s">
        <v>9079</v>
      </c>
      <c r="C8047">
        <v>42</v>
      </c>
    </row>
    <row r="8048" spans="1:3" x14ac:dyDescent="0.25">
      <c r="A8048" s="48" t="s">
        <v>12360</v>
      </c>
      <c r="B8048" t="s">
        <v>22185</v>
      </c>
      <c r="C8048">
        <v>5</v>
      </c>
    </row>
    <row r="8049" spans="1:3" x14ac:dyDescent="0.25">
      <c r="A8049" s="48" t="s">
        <v>12362</v>
      </c>
      <c r="B8049" t="s">
        <v>12363</v>
      </c>
      <c r="C8049">
        <v>0</v>
      </c>
    </row>
    <row r="8050" spans="1:3" x14ac:dyDescent="0.25">
      <c r="A8050" s="48" t="s">
        <v>9456</v>
      </c>
      <c r="B8050" t="s">
        <v>9457</v>
      </c>
      <c r="C8050">
        <v>39</v>
      </c>
    </row>
    <row r="8051" spans="1:3" x14ac:dyDescent="0.25">
      <c r="A8051" s="48" t="s">
        <v>319</v>
      </c>
      <c r="B8051" t="s">
        <v>320</v>
      </c>
      <c r="C8051">
        <v>0</v>
      </c>
    </row>
    <row r="8052" spans="1:3" x14ac:dyDescent="0.25">
      <c r="A8052" s="48" t="s">
        <v>1441</v>
      </c>
      <c r="B8052" t="s">
        <v>1442</v>
      </c>
      <c r="C8052">
        <v>0</v>
      </c>
    </row>
    <row r="8053" spans="1:3" x14ac:dyDescent="0.25">
      <c r="A8053" s="48" t="s">
        <v>9454</v>
      </c>
      <c r="B8053" t="s">
        <v>9455</v>
      </c>
      <c r="C8053">
        <v>4</v>
      </c>
    </row>
    <row r="8054" spans="1:3" x14ac:dyDescent="0.25">
      <c r="A8054" s="48" t="s">
        <v>11852</v>
      </c>
      <c r="B8054" t="s">
        <v>11853</v>
      </c>
      <c r="C8054">
        <v>0</v>
      </c>
    </row>
    <row r="8055" spans="1:3" x14ac:dyDescent="0.25">
      <c r="A8055" s="48" t="s">
        <v>6644</v>
      </c>
      <c r="B8055" t="s">
        <v>6645</v>
      </c>
      <c r="C8055">
        <v>0</v>
      </c>
    </row>
    <row r="8056" spans="1:3" x14ac:dyDescent="0.25">
      <c r="A8056" s="48" t="s">
        <v>11948</v>
      </c>
      <c r="B8056" t="s">
        <v>11949</v>
      </c>
      <c r="C8056">
        <v>2</v>
      </c>
    </row>
    <row r="8057" spans="1:3" x14ac:dyDescent="0.25">
      <c r="A8057" s="48" t="s">
        <v>6646</v>
      </c>
      <c r="B8057" t="s">
        <v>6647</v>
      </c>
      <c r="C8057">
        <v>0</v>
      </c>
    </row>
    <row r="8058" spans="1:3" x14ac:dyDescent="0.25">
      <c r="A8058" s="48" t="s">
        <v>16216</v>
      </c>
      <c r="B8058" t="s">
        <v>16217</v>
      </c>
      <c r="C8058">
        <v>0</v>
      </c>
    </row>
    <row r="8059" spans="1:3" x14ac:dyDescent="0.25">
      <c r="A8059" s="48" t="s">
        <v>16218</v>
      </c>
      <c r="B8059" t="s">
        <v>16219</v>
      </c>
      <c r="C8059">
        <v>0</v>
      </c>
    </row>
    <row r="8060" spans="1:3" x14ac:dyDescent="0.25">
      <c r="A8060" s="48" t="s">
        <v>16214</v>
      </c>
      <c r="B8060" t="s">
        <v>16215</v>
      </c>
      <c r="C8060">
        <v>0</v>
      </c>
    </row>
    <row r="8061" spans="1:3" x14ac:dyDescent="0.25">
      <c r="A8061" s="48" t="s">
        <v>12666</v>
      </c>
      <c r="B8061" t="s">
        <v>12667</v>
      </c>
      <c r="C8061">
        <v>0</v>
      </c>
    </row>
    <row r="8062" spans="1:3" x14ac:dyDescent="0.25">
      <c r="A8062" s="48" t="s">
        <v>12664</v>
      </c>
      <c r="B8062" t="s">
        <v>12665</v>
      </c>
      <c r="C8062">
        <v>0</v>
      </c>
    </row>
    <row r="8063" spans="1:3" x14ac:dyDescent="0.25">
      <c r="A8063" s="48" t="s">
        <v>16272</v>
      </c>
      <c r="B8063" t="s">
        <v>16271</v>
      </c>
      <c r="C8063">
        <v>1</v>
      </c>
    </row>
    <row r="8064" spans="1:3" x14ac:dyDescent="0.25">
      <c r="A8064" s="48" t="s">
        <v>16269</v>
      </c>
      <c r="B8064" t="s">
        <v>16268</v>
      </c>
      <c r="C8064">
        <v>0</v>
      </c>
    </row>
    <row r="8065" spans="1:3" x14ac:dyDescent="0.25">
      <c r="A8065" s="48" t="s">
        <v>1817</v>
      </c>
      <c r="B8065" t="s">
        <v>1818</v>
      </c>
      <c r="C8065">
        <v>66</v>
      </c>
    </row>
    <row r="8066" spans="1:3" x14ac:dyDescent="0.25">
      <c r="A8066" s="48" t="s">
        <v>10586</v>
      </c>
      <c r="B8066" t="s">
        <v>10587</v>
      </c>
      <c r="C8066">
        <v>20</v>
      </c>
    </row>
    <row r="8067" spans="1:3" x14ac:dyDescent="0.25">
      <c r="A8067" s="48" t="s">
        <v>8226</v>
      </c>
      <c r="B8067" t="s">
        <v>8227</v>
      </c>
      <c r="C8067">
        <v>0</v>
      </c>
    </row>
    <row r="8068" spans="1:3" x14ac:dyDescent="0.25">
      <c r="A8068" s="48" t="s">
        <v>1205</v>
      </c>
      <c r="B8068" t="s">
        <v>1206</v>
      </c>
      <c r="C8068">
        <v>0</v>
      </c>
    </row>
    <row r="8069" spans="1:3" x14ac:dyDescent="0.25">
      <c r="A8069" s="48" t="s">
        <v>1279</v>
      </c>
      <c r="B8069" t="s">
        <v>1280</v>
      </c>
      <c r="C8069">
        <v>22</v>
      </c>
    </row>
    <row r="8070" spans="1:3" x14ac:dyDescent="0.25">
      <c r="A8070" s="48" t="s">
        <v>19</v>
      </c>
      <c r="B8070" t="s">
        <v>20</v>
      </c>
      <c r="C8070">
        <v>10</v>
      </c>
    </row>
    <row r="8071" spans="1:3" x14ac:dyDescent="0.25">
      <c r="A8071" s="48" t="s">
        <v>217</v>
      </c>
      <c r="B8071" t="s">
        <v>218</v>
      </c>
      <c r="C8071">
        <v>0</v>
      </c>
    </row>
    <row r="8072" spans="1:3" x14ac:dyDescent="0.25">
      <c r="A8072" s="48" t="s">
        <v>19299</v>
      </c>
      <c r="B8072" t="s">
        <v>19300</v>
      </c>
      <c r="C8072">
        <v>0</v>
      </c>
    </row>
    <row r="8073" spans="1:3" x14ac:dyDescent="0.25">
      <c r="A8073" s="48" t="s">
        <v>19291</v>
      </c>
      <c r="B8073" t="s">
        <v>19292</v>
      </c>
      <c r="C8073">
        <v>0</v>
      </c>
    </row>
    <row r="8074" spans="1:3" x14ac:dyDescent="0.25">
      <c r="A8074" s="48" t="s">
        <v>19293</v>
      </c>
      <c r="B8074" t="s">
        <v>19294</v>
      </c>
      <c r="C8074">
        <v>0</v>
      </c>
    </row>
    <row r="8075" spans="1:3" x14ac:dyDescent="0.25">
      <c r="A8075" s="48" t="s">
        <v>19289</v>
      </c>
      <c r="B8075" t="s">
        <v>19290</v>
      </c>
      <c r="C8075">
        <v>0</v>
      </c>
    </row>
    <row r="8076" spans="1:3" x14ac:dyDescent="0.25">
      <c r="A8076" s="48" t="s">
        <v>1930</v>
      </c>
      <c r="B8076" t="s">
        <v>1931</v>
      </c>
      <c r="C8076">
        <v>37</v>
      </c>
    </row>
    <row r="8077" spans="1:3" x14ac:dyDescent="0.25">
      <c r="A8077" s="48" t="s">
        <v>1181</v>
      </c>
      <c r="B8077" t="s">
        <v>1182</v>
      </c>
      <c r="C8077">
        <v>13</v>
      </c>
    </row>
    <row r="8078" spans="1:3" x14ac:dyDescent="0.25">
      <c r="A8078" s="48" t="s">
        <v>1916</v>
      </c>
      <c r="B8078" t="s">
        <v>1917</v>
      </c>
      <c r="C8078">
        <v>15</v>
      </c>
    </row>
    <row r="8079" spans="1:3" x14ac:dyDescent="0.25">
      <c r="A8079" s="48" t="s">
        <v>1537</v>
      </c>
      <c r="B8079" t="s">
        <v>1538</v>
      </c>
      <c r="C8079">
        <v>22</v>
      </c>
    </row>
    <row r="8080" spans="1:3" x14ac:dyDescent="0.25">
      <c r="A8080" s="48" t="s">
        <v>2033</v>
      </c>
      <c r="B8080" t="s">
        <v>2034</v>
      </c>
      <c r="C8080">
        <v>349</v>
      </c>
    </row>
    <row r="8081" spans="1:3" x14ac:dyDescent="0.25">
      <c r="A8081" s="48" t="s">
        <v>2065</v>
      </c>
      <c r="B8081" t="s">
        <v>2066</v>
      </c>
      <c r="C8081">
        <v>210</v>
      </c>
    </row>
    <row r="8082" spans="1:3" x14ac:dyDescent="0.25">
      <c r="A8082" s="48" t="s">
        <v>8505</v>
      </c>
      <c r="B8082" t="s">
        <v>8506</v>
      </c>
      <c r="C8082">
        <v>0</v>
      </c>
    </row>
    <row r="8083" spans="1:3" x14ac:dyDescent="0.25">
      <c r="A8083" s="48" t="s">
        <v>2084</v>
      </c>
      <c r="B8083" t="s">
        <v>2085</v>
      </c>
      <c r="C8083">
        <v>0</v>
      </c>
    </row>
    <row r="8084" spans="1:3" x14ac:dyDescent="0.25">
      <c r="A8084" s="48" t="s">
        <v>2080</v>
      </c>
      <c r="B8084" t="s">
        <v>2081</v>
      </c>
      <c r="C8084">
        <v>0</v>
      </c>
    </row>
    <row r="8085" spans="1:3" x14ac:dyDescent="0.25">
      <c r="A8085" s="48" t="s">
        <v>2082</v>
      </c>
      <c r="B8085" t="s">
        <v>2083</v>
      </c>
      <c r="C8085">
        <v>0</v>
      </c>
    </row>
    <row r="8086" spans="1:3" x14ac:dyDescent="0.25">
      <c r="A8086" s="48" t="s">
        <v>2072</v>
      </c>
      <c r="B8086" t="s">
        <v>2073</v>
      </c>
      <c r="C8086">
        <v>0</v>
      </c>
    </row>
    <row r="8087" spans="1:3" x14ac:dyDescent="0.25">
      <c r="A8087" s="48" t="s">
        <v>2092</v>
      </c>
      <c r="B8087" t="s">
        <v>2093</v>
      </c>
      <c r="C8087">
        <v>8</v>
      </c>
    </row>
    <row r="8088" spans="1:3" x14ac:dyDescent="0.25">
      <c r="A8088" s="48" t="s">
        <v>2037</v>
      </c>
      <c r="B8088" t="s">
        <v>2038</v>
      </c>
      <c r="C8088">
        <v>20</v>
      </c>
    </row>
    <row r="8089" spans="1:3" x14ac:dyDescent="0.25">
      <c r="A8089" s="48" t="s">
        <v>2027</v>
      </c>
      <c r="B8089" t="s">
        <v>2028</v>
      </c>
      <c r="C8089">
        <v>7</v>
      </c>
    </row>
    <row r="8090" spans="1:3" x14ac:dyDescent="0.25">
      <c r="A8090" s="48" t="s">
        <v>2106</v>
      </c>
      <c r="B8090" t="s">
        <v>2107</v>
      </c>
      <c r="C8090">
        <v>36</v>
      </c>
    </row>
    <row r="8091" spans="1:3" x14ac:dyDescent="0.25">
      <c r="A8091" s="48" t="s">
        <v>17374</v>
      </c>
      <c r="B8091" t="s">
        <v>17375</v>
      </c>
      <c r="C8091">
        <v>23</v>
      </c>
    </row>
    <row r="8092" spans="1:3" x14ac:dyDescent="0.25">
      <c r="A8092" s="48" t="s">
        <v>15980</v>
      </c>
      <c r="B8092" t="s">
        <v>22186</v>
      </c>
      <c r="C8092">
        <v>17</v>
      </c>
    </row>
    <row r="8093" spans="1:3" x14ac:dyDescent="0.25">
      <c r="A8093" s="48" t="s">
        <v>15978</v>
      </c>
      <c r="B8093" t="s">
        <v>15979</v>
      </c>
      <c r="C8093">
        <v>57</v>
      </c>
    </row>
    <row r="8094" spans="1:3" x14ac:dyDescent="0.25">
      <c r="A8094" s="48" t="s">
        <v>17346</v>
      </c>
      <c r="B8094" t="s">
        <v>17347</v>
      </c>
      <c r="C8094">
        <v>2</v>
      </c>
    </row>
    <row r="8095" spans="1:3" x14ac:dyDescent="0.25">
      <c r="A8095" s="48" t="s">
        <v>1671</v>
      </c>
      <c r="B8095" t="s">
        <v>1672</v>
      </c>
      <c r="C8095">
        <v>25</v>
      </c>
    </row>
    <row r="8096" spans="1:3" x14ac:dyDescent="0.25">
      <c r="A8096" s="48" t="s">
        <v>8710</v>
      </c>
      <c r="B8096" t="s">
        <v>8711</v>
      </c>
      <c r="C8096">
        <v>4</v>
      </c>
    </row>
    <row r="8097" spans="1:3" x14ac:dyDescent="0.25">
      <c r="A8097" s="48" t="s">
        <v>892</v>
      </c>
      <c r="B8097" t="s">
        <v>893</v>
      </c>
      <c r="C8097">
        <v>1</v>
      </c>
    </row>
    <row r="8098" spans="1:3" x14ac:dyDescent="0.25">
      <c r="A8098" s="48" t="s">
        <v>1533</v>
      </c>
      <c r="B8098" t="s">
        <v>1534</v>
      </c>
      <c r="C8098">
        <v>11</v>
      </c>
    </row>
    <row r="8099" spans="1:3" x14ac:dyDescent="0.25">
      <c r="A8099" s="48" t="s">
        <v>17336</v>
      </c>
      <c r="B8099" t="s">
        <v>17337</v>
      </c>
      <c r="C8099">
        <v>0</v>
      </c>
    </row>
    <row r="8100" spans="1:3" x14ac:dyDescent="0.25">
      <c r="A8100" s="48" t="s">
        <v>12319</v>
      </c>
      <c r="B8100" t="s">
        <v>12320</v>
      </c>
      <c r="C8100">
        <v>41</v>
      </c>
    </row>
    <row r="8101" spans="1:3" x14ac:dyDescent="0.25">
      <c r="A8101" s="48" t="s">
        <v>12027</v>
      </c>
      <c r="B8101" t="s">
        <v>12028</v>
      </c>
      <c r="C8101">
        <v>5</v>
      </c>
    </row>
    <row r="8102" spans="1:3" x14ac:dyDescent="0.25">
      <c r="A8102" s="48" t="s">
        <v>1753</v>
      </c>
      <c r="B8102" t="s">
        <v>1754</v>
      </c>
      <c r="C8102">
        <v>23</v>
      </c>
    </row>
    <row r="8103" spans="1:3" x14ac:dyDescent="0.25">
      <c r="A8103" s="48" t="s">
        <v>8069</v>
      </c>
      <c r="B8103" t="s">
        <v>8070</v>
      </c>
      <c r="C8103">
        <v>0</v>
      </c>
    </row>
    <row r="8104" spans="1:3" x14ac:dyDescent="0.25">
      <c r="A8104" s="48" t="s">
        <v>8071</v>
      </c>
      <c r="B8104" t="s">
        <v>8072</v>
      </c>
      <c r="C8104">
        <v>2</v>
      </c>
    </row>
    <row r="8105" spans="1:3" x14ac:dyDescent="0.25">
      <c r="A8105" s="48" t="s">
        <v>9004</v>
      </c>
      <c r="B8105" t="s">
        <v>9005</v>
      </c>
      <c r="C8105">
        <v>0</v>
      </c>
    </row>
    <row r="8106" spans="1:3" x14ac:dyDescent="0.25">
      <c r="A8106" s="48" t="s">
        <v>3325</v>
      </c>
      <c r="B8106" t="s">
        <v>3326</v>
      </c>
      <c r="C8106">
        <v>1</v>
      </c>
    </row>
    <row r="8107" spans="1:3" x14ac:dyDescent="0.25">
      <c r="A8107" s="48" t="s">
        <v>3327</v>
      </c>
      <c r="B8107" t="s">
        <v>3328</v>
      </c>
      <c r="C8107">
        <v>0</v>
      </c>
    </row>
    <row r="8108" spans="1:3" x14ac:dyDescent="0.25">
      <c r="A8108" s="48" t="s">
        <v>3329</v>
      </c>
      <c r="B8108" t="s">
        <v>3330</v>
      </c>
      <c r="C8108">
        <v>10</v>
      </c>
    </row>
    <row r="8109" spans="1:3" x14ac:dyDescent="0.25">
      <c r="A8109" s="48" t="s">
        <v>12000</v>
      </c>
      <c r="B8109" t="s">
        <v>22187</v>
      </c>
      <c r="C8109">
        <v>0</v>
      </c>
    </row>
    <row r="8110" spans="1:3" x14ac:dyDescent="0.25">
      <c r="A8110" s="48" t="s">
        <v>13416</v>
      </c>
      <c r="B8110" t="s">
        <v>13417</v>
      </c>
      <c r="C8110">
        <v>19</v>
      </c>
    </row>
    <row r="8111" spans="1:3" x14ac:dyDescent="0.25">
      <c r="A8111" s="48" t="s">
        <v>13424</v>
      </c>
      <c r="B8111" t="s">
        <v>13425</v>
      </c>
      <c r="C8111">
        <v>37</v>
      </c>
    </row>
    <row r="8112" spans="1:3" x14ac:dyDescent="0.25">
      <c r="A8112" s="48" t="s">
        <v>12043</v>
      </c>
      <c r="B8112" t="s">
        <v>12044</v>
      </c>
      <c r="C8112">
        <v>51</v>
      </c>
    </row>
    <row r="8113" spans="1:3" x14ac:dyDescent="0.25">
      <c r="A8113" s="48" t="s">
        <v>13430</v>
      </c>
      <c r="B8113" t="s">
        <v>22188</v>
      </c>
      <c r="C8113">
        <v>21</v>
      </c>
    </row>
    <row r="8114" spans="1:3" x14ac:dyDescent="0.25">
      <c r="A8114" s="48" t="s">
        <v>13426</v>
      </c>
      <c r="B8114" t="s">
        <v>13427</v>
      </c>
      <c r="C8114">
        <v>37</v>
      </c>
    </row>
    <row r="8115" spans="1:3" x14ac:dyDescent="0.25">
      <c r="A8115" s="48" t="s">
        <v>13428</v>
      </c>
      <c r="B8115" t="s">
        <v>13429</v>
      </c>
      <c r="C8115">
        <v>40</v>
      </c>
    </row>
    <row r="8116" spans="1:3" x14ac:dyDescent="0.25">
      <c r="A8116" s="48" t="s">
        <v>13440</v>
      </c>
      <c r="B8116" t="s">
        <v>13441</v>
      </c>
      <c r="C8116">
        <v>49</v>
      </c>
    </row>
    <row r="8117" spans="1:3" x14ac:dyDescent="0.25">
      <c r="A8117" s="48" t="s">
        <v>13442</v>
      </c>
      <c r="B8117" t="s">
        <v>13443</v>
      </c>
      <c r="C8117">
        <v>22</v>
      </c>
    </row>
    <row r="8118" spans="1:3" x14ac:dyDescent="0.25">
      <c r="A8118" s="48" t="s">
        <v>12041</v>
      </c>
      <c r="B8118" t="s">
        <v>12042</v>
      </c>
      <c r="C8118">
        <v>99</v>
      </c>
    </row>
    <row r="8119" spans="1:3" x14ac:dyDescent="0.25">
      <c r="A8119" s="48" t="s">
        <v>13420</v>
      </c>
      <c r="B8119" t="s">
        <v>13421</v>
      </c>
      <c r="C8119">
        <v>21</v>
      </c>
    </row>
    <row r="8120" spans="1:3" x14ac:dyDescent="0.25">
      <c r="A8120" s="48" t="s">
        <v>13418</v>
      </c>
      <c r="B8120" t="s">
        <v>22189</v>
      </c>
      <c r="C8120">
        <v>15</v>
      </c>
    </row>
    <row r="8121" spans="1:3" x14ac:dyDescent="0.25">
      <c r="A8121" s="48" t="s">
        <v>13422</v>
      </c>
      <c r="B8121" t="s">
        <v>22190</v>
      </c>
      <c r="C8121">
        <v>0</v>
      </c>
    </row>
    <row r="8122" spans="1:3" x14ac:dyDescent="0.25">
      <c r="A8122" s="48" t="s">
        <v>13410</v>
      </c>
      <c r="B8122" t="s">
        <v>13411</v>
      </c>
      <c r="C8122">
        <v>0</v>
      </c>
    </row>
    <row r="8123" spans="1:3" x14ac:dyDescent="0.25">
      <c r="A8123" s="48" t="s">
        <v>13432</v>
      </c>
      <c r="B8123" t="s">
        <v>22191</v>
      </c>
      <c r="C8123">
        <v>9</v>
      </c>
    </row>
    <row r="8124" spans="1:3" x14ac:dyDescent="0.25">
      <c r="A8124" s="48" t="s">
        <v>13436</v>
      </c>
      <c r="B8124" t="s">
        <v>22192</v>
      </c>
      <c r="C8124">
        <v>41</v>
      </c>
    </row>
    <row r="8125" spans="1:3" x14ac:dyDescent="0.25">
      <c r="A8125" s="48" t="s">
        <v>12045</v>
      </c>
      <c r="B8125" t="s">
        <v>12046</v>
      </c>
      <c r="C8125">
        <v>89</v>
      </c>
    </row>
    <row r="8126" spans="1:3" x14ac:dyDescent="0.25">
      <c r="A8126" s="48" t="s">
        <v>13438</v>
      </c>
      <c r="B8126" t="s">
        <v>22193</v>
      </c>
      <c r="C8126">
        <v>28</v>
      </c>
    </row>
    <row r="8127" spans="1:3" x14ac:dyDescent="0.25">
      <c r="A8127" s="48" t="s">
        <v>13406</v>
      </c>
      <c r="B8127" t="s">
        <v>22194</v>
      </c>
      <c r="C8127">
        <v>8</v>
      </c>
    </row>
    <row r="8128" spans="1:3" x14ac:dyDescent="0.25">
      <c r="A8128" s="48" t="s">
        <v>13408</v>
      </c>
      <c r="B8128" t="s">
        <v>22195</v>
      </c>
      <c r="C8128">
        <v>2</v>
      </c>
    </row>
    <row r="8129" spans="1:3" x14ac:dyDescent="0.25">
      <c r="A8129" s="48" t="s">
        <v>13304</v>
      </c>
      <c r="B8129" t="s">
        <v>13305</v>
      </c>
      <c r="C8129">
        <v>33</v>
      </c>
    </row>
    <row r="8130" spans="1:3" x14ac:dyDescent="0.25">
      <c r="A8130" s="48" t="s">
        <v>13306</v>
      </c>
      <c r="B8130" t="s">
        <v>13307</v>
      </c>
      <c r="C8130">
        <v>43</v>
      </c>
    </row>
    <row r="8131" spans="1:3" x14ac:dyDescent="0.25">
      <c r="A8131" s="48" t="s">
        <v>13412</v>
      </c>
      <c r="B8131" t="s">
        <v>13413</v>
      </c>
      <c r="C8131">
        <v>11</v>
      </c>
    </row>
    <row r="8132" spans="1:3" x14ac:dyDescent="0.25">
      <c r="A8132" s="48" t="s">
        <v>265</v>
      </c>
      <c r="B8132" t="s">
        <v>266</v>
      </c>
      <c r="C8132">
        <v>5</v>
      </c>
    </row>
    <row r="8133" spans="1:3" x14ac:dyDescent="0.25">
      <c r="A8133" s="48" t="s">
        <v>13434</v>
      </c>
      <c r="B8133" t="s">
        <v>13435</v>
      </c>
      <c r="C8133">
        <v>0</v>
      </c>
    </row>
    <row r="8134" spans="1:3" x14ac:dyDescent="0.25">
      <c r="A8134" s="48" t="s">
        <v>13391</v>
      </c>
      <c r="B8134" t="s">
        <v>13392</v>
      </c>
      <c r="C8134">
        <v>20</v>
      </c>
    </row>
    <row r="8135" spans="1:3" x14ac:dyDescent="0.25">
      <c r="A8135" s="48" t="s">
        <v>13385</v>
      </c>
      <c r="B8135" t="s">
        <v>13386</v>
      </c>
      <c r="C8135">
        <v>11</v>
      </c>
    </row>
    <row r="8136" spans="1:3" x14ac:dyDescent="0.25">
      <c r="A8136" s="48" t="s">
        <v>13387</v>
      </c>
      <c r="B8136" t="s">
        <v>13388</v>
      </c>
      <c r="C8136">
        <v>0</v>
      </c>
    </row>
    <row r="8137" spans="1:3" x14ac:dyDescent="0.25">
      <c r="A8137" s="48" t="s">
        <v>13414</v>
      </c>
      <c r="B8137" t="s">
        <v>13415</v>
      </c>
      <c r="C8137">
        <v>15</v>
      </c>
    </row>
    <row r="8138" spans="1:3" x14ac:dyDescent="0.25">
      <c r="A8138" s="48" t="s">
        <v>13318</v>
      </c>
      <c r="B8138" t="s">
        <v>13319</v>
      </c>
      <c r="C8138">
        <v>6</v>
      </c>
    </row>
    <row r="8139" spans="1:3" x14ac:dyDescent="0.25">
      <c r="A8139" s="48" t="s">
        <v>13320</v>
      </c>
      <c r="B8139" t="s">
        <v>13321</v>
      </c>
      <c r="C8139">
        <v>0</v>
      </c>
    </row>
    <row r="8140" spans="1:3" x14ac:dyDescent="0.25">
      <c r="A8140" s="48" t="s">
        <v>13314</v>
      </c>
      <c r="B8140" t="s">
        <v>13315</v>
      </c>
      <c r="C8140">
        <v>26</v>
      </c>
    </row>
    <row r="8141" spans="1:3" x14ac:dyDescent="0.25">
      <c r="A8141" s="48" t="s">
        <v>13316</v>
      </c>
      <c r="B8141" t="s">
        <v>13317</v>
      </c>
      <c r="C8141">
        <v>10</v>
      </c>
    </row>
    <row r="8142" spans="1:3" x14ac:dyDescent="0.25">
      <c r="A8142" s="48" t="s">
        <v>13322</v>
      </c>
      <c r="B8142" t="s">
        <v>13323</v>
      </c>
      <c r="C8142">
        <v>15</v>
      </c>
    </row>
    <row r="8143" spans="1:3" x14ac:dyDescent="0.25">
      <c r="A8143" s="48" t="s">
        <v>13324</v>
      </c>
      <c r="B8143" t="s">
        <v>13325</v>
      </c>
      <c r="C8143">
        <v>8</v>
      </c>
    </row>
    <row r="8144" spans="1:3" x14ac:dyDescent="0.25">
      <c r="A8144" s="48" t="s">
        <v>13326</v>
      </c>
      <c r="B8144" t="s">
        <v>13327</v>
      </c>
      <c r="C8144">
        <v>10</v>
      </c>
    </row>
    <row r="8145" spans="1:3" x14ac:dyDescent="0.25">
      <c r="A8145" s="48" t="s">
        <v>13328</v>
      </c>
      <c r="B8145" t="s">
        <v>13329</v>
      </c>
      <c r="C8145">
        <v>10</v>
      </c>
    </row>
    <row r="8146" spans="1:3" x14ac:dyDescent="0.25">
      <c r="A8146" s="48" t="s">
        <v>13340</v>
      </c>
      <c r="B8146" t="s">
        <v>13341</v>
      </c>
      <c r="C8146">
        <v>9</v>
      </c>
    </row>
    <row r="8147" spans="1:3" x14ac:dyDescent="0.25">
      <c r="A8147" s="48" t="s">
        <v>13342</v>
      </c>
      <c r="B8147" t="s">
        <v>13343</v>
      </c>
      <c r="C8147">
        <v>8</v>
      </c>
    </row>
    <row r="8148" spans="1:3" x14ac:dyDescent="0.25">
      <c r="A8148" s="48" t="s">
        <v>13336</v>
      </c>
      <c r="B8148" t="s">
        <v>13337</v>
      </c>
      <c r="C8148">
        <v>9</v>
      </c>
    </row>
    <row r="8149" spans="1:3" x14ac:dyDescent="0.25">
      <c r="A8149" s="48" t="s">
        <v>13338</v>
      </c>
      <c r="B8149" t="s">
        <v>13339</v>
      </c>
      <c r="C8149">
        <v>12</v>
      </c>
    </row>
    <row r="8150" spans="1:3" x14ac:dyDescent="0.25">
      <c r="A8150" s="48" t="s">
        <v>13310</v>
      </c>
      <c r="B8150" t="s">
        <v>13311</v>
      </c>
      <c r="C8150">
        <v>16</v>
      </c>
    </row>
    <row r="8151" spans="1:3" x14ac:dyDescent="0.25">
      <c r="A8151" s="48" t="s">
        <v>13334</v>
      </c>
      <c r="B8151" t="s">
        <v>13335</v>
      </c>
      <c r="C8151">
        <v>0</v>
      </c>
    </row>
    <row r="8152" spans="1:3" x14ac:dyDescent="0.25">
      <c r="A8152" s="48" t="s">
        <v>13312</v>
      </c>
      <c r="B8152" t="s">
        <v>13313</v>
      </c>
      <c r="C8152">
        <v>6</v>
      </c>
    </row>
    <row r="8153" spans="1:3" x14ac:dyDescent="0.25">
      <c r="A8153" s="48" t="s">
        <v>1169</v>
      </c>
      <c r="B8153" t="s">
        <v>1170</v>
      </c>
      <c r="C8153">
        <v>1</v>
      </c>
    </row>
    <row r="8154" spans="1:3" x14ac:dyDescent="0.25">
      <c r="A8154" s="48" t="s">
        <v>1393</v>
      </c>
      <c r="B8154" t="s">
        <v>1394</v>
      </c>
      <c r="C8154">
        <v>26</v>
      </c>
    </row>
    <row r="8155" spans="1:3" x14ac:dyDescent="0.25">
      <c r="A8155" s="48" t="s">
        <v>13330</v>
      </c>
      <c r="B8155" t="s">
        <v>13331</v>
      </c>
      <c r="C8155">
        <v>10</v>
      </c>
    </row>
    <row r="8156" spans="1:3" x14ac:dyDescent="0.25">
      <c r="A8156" s="48" t="s">
        <v>13332</v>
      </c>
      <c r="B8156" t="s">
        <v>13333</v>
      </c>
      <c r="C8156">
        <v>11</v>
      </c>
    </row>
    <row r="8157" spans="1:3" x14ac:dyDescent="0.25">
      <c r="A8157" s="48" t="s">
        <v>13346</v>
      </c>
      <c r="B8157" t="s">
        <v>13347</v>
      </c>
      <c r="C8157">
        <v>6</v>
      </c>
    </row>
    <row r="8158" spans="1:3" x14ac:dyDescent="0.25">
      <c r="A8158" s="48" t="s">
        <v>13372</v>
      </c>
      <c r="B8158" t="s">
        <v>13373</v>
      </c>
      <c r="C8158">
        <v>3</v>
      </c>
    </row>
    <row r="8159" spans="1:3" x14ac:dyDescent="0.25">
      <c r="A8159" s="48" t="s">
        <v>13444</v>
      </c>
      <c r="B8159" t="s">
        <v>13445</v>
      </c>
      <c r="C8159">
        <v>0</v>
      </c>
    </row>
    <row r="8160" spans="1:3" x14ac:dyDescent="0.25">
      <c r="A8160" s="48" t="s">
        <v>13358</v>
      </c>
      <c r="B8160" t="s">
        <v>13359</v>
      </c>
      <c r="C8160">
        <v>0</v>
      </c>
    </row>
    <row r="8161" spans="1:3" x14ac:dyDescent="0.25">
      <c r="A8161" s="48" t="s">
        <v>13397</v>
      </c>
      <c r="B8161" t="s">
        <v>13398</v>
      </c>
      <c r="C8161">
        <v>0</v>
      </c>
    </row>
    <row r="8162" spans="1:3" x14ac:dyDescent="0.25">
      <c r="A8162" s="48" t="s">
        <v>13354</v>
      </c>
      <c r="B8162" t="s">
        <v>13355</v>
      </c>
      <c r="C8162">
        <v>20</v>
      </c>
    </row>
    <row r="8163" spans="1:3" x14ac:dyDescent="0.25">
      <c r="A8163" s="48" t="s">
        <v>13356</v>
      </c>
      <c r="B8163" t="s">
        <v>13357</v>
      </c>
      <c r="C8163">
        <v>5</v>
      </c>
    </row>
    <row r="8164" spans="1:3" x14ac:dyDescent="0.25">
      <c r="A8164" s="48" t="s">
        <v>13352</v>
      </c>
      <c r="B8164" t="s">
        <v>13353</v>
      </c>
      <c r="C8164">
        <v>0</v>
      </c>
    </row>
    <row r="8165" spans="1:3" x14ac:dyDescent="0.25">
      <c r="A8165" s="48" t="s">
        <v>13348</v>
      </c>
      <c r="B8165" t="s">
        <v>13349</v>
      </c>
      <c r="C8165">
        <v>0</v>
      </c>
    </row>
    <row r="8166" spans="1:3" x14ac:dyDescent="0.25">
      <c r="A8166" s="48" t="s">
        <v>13350</v>
      </c>
      <c r="B8166" t="s">
        <v>13351</v>
      </c>
      <c r="C8166">
        <v>0</v>
      </c>
    </row>
    <row r="8167" spans="1:3" x14ac:dyDescent="0.25">
      <c r="A8167" s="48" t="s">
        <v>13344</v>
      </c>
      <c r="B8167" t="s">
        <v>13345</v>
      </c>
      <c r="C8167">
        <v>11</v>
      </c>
    </row>
    <row r="8168" spans="1:3" x14ac:dyDescent="0.25">
      <c r="A8168" s="48" t="s">
        <v>1025</v>
      </c>
      <c r="B8168" t="s">
        <v>1026</v>
      </c>
      <c r="C8168">
        <v>1</v>
      </c>
    </row>
    <row r="8169" spans="1:3" x14ac:dyDescent="0.25">
      <c r="A8169" s="48" t="s">
        <v>795</v>
      </c>
      <c r="B8169" t="s">
        <v>796</v>
      </c>
      <c r="C8169">
        <v>7</v>
      </c>
    </row>
    <row r="8170" spans="1:3" x14ac:dyDescent="0.25">
      <c r="A8170" s="48" t="s">
        <v>13393</v>
      </c>
      <c r="B8170" t="s">
        <v>13394</v>
      </c>
      <c r="C8170">
        <v>0</v>
      </c>
    </row>
    <row r="8171" spans="1:3" x14ac:dyDescent="0.25">
      <c r="A8171" s="48" t="s">
        <v>13395</v>
      </c>
      <c r="B8171" t="s">
        <v>13396</v>
      </c>
      <c r="C8171">
        <v>20</v>
      </c>
    </row>
    <row r="8172" spans="1:3" x14ac:dyDescent="0.25">
      <c r="A8172" s="48" t="s">
        <v>862</v>
      </c>
      <c r="B8172" t="s">
        <v>863</v>
      </c>
      <c r="C8172">
        <v>12</v>
      </c>
    </row>
    <row r="8173" spans="1:3" x14ac:dyDescent="0.25">
      <c r="A8173" s="48" t="s">
        <v>13389</v>
      </c>
      <c r="B8173" t="s">
        <v>13390</v>
      </c>
      <c r="C8173">
        <v>12</v>
      </c>
    </row>
    <row r="8174" spans="1:3" x14ac:dyDescent="0.25">
      <c r="A8174" s="48" t="s">
        <v>12037</v>
      </c>
      <c r="B8174" t="s">
        <v>12038</v>
      </c>
      <c r="C8174">
        <v>0</v>
      </c>
    </row>
    <row r="8175" spans="1:3" x14ac:dyDescent="0.25">
      <c r="A8175" s="48" t="s">
        <v>12039</v>
      </c>
      <c r="B8175" t="s">
        <v>12040</v>
      </c>
      <c r="C8175">
        <v>4</v>
      </c>
    </row>
    <row r="8176" spans="1:3" x14ac:dyDescent="0.25">
      <c r="A8176" s="48" t="s">
        <v>12035</v>
      </c>
      <c r="B8176" t="s">
        <v>12036</v>
      </c>
      <c r="C8176">
        <v>0</v>
      </c>
    </row>
    <row r="8177" spans="1:3" x14ac:dyDescent="0.25">
      <c r="A8177" s="48" t="s">
        <v>13366</v>
      </c>
      <c r="B8177" t="s">
        <v>13367</v>
      </c>
      <c r="C8177">
        <v>15</v>
      </c>
    </row>
    <row r="8178" spans="1:3" x14ac:dyDescent="0.25">
      <c r="A8178" s="48" t="s">
        <v>1111</v>
      </c>
      <c r="B8178" t="s">
        <v>1112</v>
      </c>
      <c r="C8178">
        <v>7</v>
      </c>
    </row>
    <row r="8179" spans="1:3" x14ac:dyDescent="0.25">
      <c r="A8179" s="48" t="s">
        <v>13370</v>
      </c>
      <c r="B8179" t="s">
        <v>13371</v>
      </c>
      <c r="C8179">
        <v>6</v>
      </c>
    </row>
    <row r="8180" spans="1:3" x14ac:dyDescent="0.25">
      <c r="A8180" s="48" t="s">
        <v>13364</v>
      </c>
      <c r="B8180" t="s">
        <v>13365</v>
      </c>
      <c r="C8180">
        <v>5</v>
      </c>
    </row>
    <row r="8181" spans="1:3" x14ac:dyDescent="0.25">
      <c r="A8181" s="48" t="s">
        <v>13360</v>
      </c>
      <c r="B8181" t="s">
        <v>13361</v>
      </c>
      <c r="C8181">
        <v>25</v>
      </c>
    </row>
    <row r="8182" spans="1:3" x14ac:dyDescent="0.25">
      <c r="A8182" s="48" t="s">
        <v>13362</v>
      </c>
      <c r="B8182" t="s">
        <v>13363</v>
      </c>
      <c r="C8182">
        <v>17</v>
      </c>
    </row>
    <row r="8183" spans="1:3" x14ac:dyDescent="0.25">
      <c r="A8183" s="48" t="s">
        <v>13368</v>
      </c>
      <c r="B8183" t="s">
        <v>13369</v>
      </c>
      <c r="C8183">
        <v>24</v>
      </c>
    </row>
    <row r="8184" spans="1:3" x14ac:dyDescent="0.25">
      <c r="A8184" s="48" t="s">
        <v>13404</v>
      </c>
      <c r="B8184" t="s">
        <v>13405</v>
      </c>
      <c r="C8184">
        <v>14</v>
      </c>
    </row>
    <row r="8185" spans="1:3" x14ac:dyDescent="0.25">
      <c r="A8185" s="48" t="s">
        <v>13402</v>
      </c>
      <c r="B8185" t="s">
        <v>13403</v>
      </c>
      <c r="C8185">
        <v>35</v>
      </c>
    </row>
    <row r="8186" spans="1:3" x14ac:dyDescent="0.25">
      <c r="A8186" s="48" t="s">
        <v>13400</v>
      </c>
      <c r="B8186" t="s">
        <v>13401</v>
      </c>
      <c r="C8186">
        <v>42</v>
      </c>
    </row>
    <row r="8187" spans="1:3" x14ac:dyDescent="0.25">
      <c r="A8187" s="48" t="s">
        <v>1095</v>
      </c>
      <c r="B8187" t="s">
        <v>1096</v>
      </c>
      <c r="C8187">
        <v>18</v>
      </c>
    </row>
    <row r="8188" spans="1:3" x14ac:dyDescent="0.25">
      <c r="A8188" s="48" t="s">
        <v>375</v>
      </c>
      <c r="B8188" t="s">
        <v>376</v>
      </c>
      <c r="C8188">
        <v>40</v>
      </c>
    </row>
    <row r="8189" spans="1:3" x14ac:dyDescent="0.25">
      <c r="A8189" s="48" t="s">
        <v>12737</v>
      </c>
      <c r="B8189" t="s">
        <v>12738</v>
      </c>
      <c r="C8189">
        <v>32</v>
      </c>
    </row>
    <row r="8190" spans="1:3" x14ac:dyDescent="0.25">
      <c r="A8190" s="48" t="s">
        <v>13611</v>
      </c>
      <c r="B8190" t="s">
        <v>22196</v>
      </c>
      <c r="C8190">
        <v>7</v>
      </c>
    </row>
    <row r="8191" spans="1:3" x14ac:dyDescent="0.25">
      <c r="A8191" s="48" t="s">
        <v>13595</v>
      </c>
      <c r="B8191" t="s">
        <v>22197</v>
      </c>
      <c r="C8191">
        <v>0</v>
      </c>
    </row>
    <row r="8192" spans="1:3" x14ac:dyDescent="0.25">
      <c r="A8192" s="48" t="s">
        <v>13591</v>
      </c>
      <c r="B8192" t="s">
        <v>13592</v>
      </c>
      <c r="C8192">
        <v>57</v>
      </c>
    </row>
    <row r="8193" spans="1:3" x14ac:dyDescent="0.25">
      <c r="A8193" s="48" t="s">
        <v>13593</v>
      </c>
      <c r="B8193" t="s">
        <v>22198</v>
      </c>
      <c r="C8193">
        <v>58</v>
      </c>
    </row>
    <row r="8194" spans="1:3" x14ac:dyDescent="0.25">
      <c r="A8194" s="48" t="s">
        <v>13601</v>
      </c>
      <c r="B8194" t="s">
        <v>22199</v>
      </c>
      <c r="C8194">
        <v>78</v>
      </c>
    </row>
    <row r="8195" spans="1:3" x14ac:dyDescent="0.25">
      <c r="A8195" s="48" t="s">
        <v>23041</v>
      </c>
      <c r="B8195" t="s">
        <v>23042</v>
      </c>
      <c r="C8195">
        <v>36</v>
      </c>
    </row>
    <row r="8196" spans="1:3" x14ac:dyDescent="0.25">
      <c r="A8196" s="48" t="s">
        <v>5237</v>
      </c>
      <c r="B8196" t="s">
        <v>22200</v>
      </c>
      <c r="C8196">
        <v>0</v>
      </c>
    </row>
    <row r="8197" spans="1:3" x14ac:dyDescent="0.25">
      <c r="A8197" s="48" t="s">
        <v>5247</v>
      </c>
      <c r="B8197" t="s">
        <v>5248</v>
      </c>
      <c r="C8197">
        <v>0</v>
      </c>
    </row>
    <row r="8198" spans="1:3" x14ac:dyDescent="0.25">
      <c r="A8198" s="48" t="s">
        <v>5193</v>
      </c>
      <c r="B8198" t="s">
        <v>5194</v>
      </c>
      <c r="C8198">
        <v>0</v>
      </c>
    </row>
    <row r="8199" spans="1:3" x14ac:dyDescent="0.25">
      <c r="A8199" s="48" t="s">
        <v>5191</v>
      </c>
      <c r="B8199" t="s">
        <v>5192</v>
      </c>
      <c r="C8199">
        <v>0</v>
      </c>
    </row>
    <row r="8200" spans="1:3" x14ac:dyDescent="0.25">
      <c r="A8200" s="48" t="s">
        <v>5233</v>
      </c>
      <c r="B8200" t="s">
        <v>5234</v>
      </c>
      <c r="C8200">
        <v>0</v>
      </c>
    </row>
    <row r="8201" spans="1:3" x14ac:dyDescent="0.25">
      <c r="A8201" s="48" t="s">
        <v>5299</v>
      </c>
      <c r="B8201" t="s">
        <v>5300</v>
      </c>
      <c r="C8201">
        <v>0</v>
      </c>
    </row>
    <row r="8202" spans="1:3" x14ac:dyDescent="0.25">
      <c r="A8202" s="48" t="s">
        <v>5201</v>
      </c>
      <c r="B8202" t="s">
        <v>5202</v>
      </c>
      <c r="C8202">
        <v>0</v>
      </c>
    </row>
    <row r="8203" spans="1:3" x14ac:dyDescent="0.25">
      <c r="A8203" s="48" t="s">
        <v>5279</v>
      </c>
      <c r="B8203" t="s">
        <v>5280</v>
      </c>
      <c r="C8203">
        <v>0</v>
      </c>
    </row>
    <row r="8204" spans="1:3" x14ac:dyDescent="0.25">
      <c r="A8204" s="48" t="s">
        <v>7478</v>
      </c>
      <c r="B8204" t="s">
        <v>7479</v>
      </c>
      <c r="C8204">
        <v>0</v>
      </c>
    </row>
    <row r="8205" spans="1:3" x14ac:dyDescent="0.25">
      <c r="A8205" s="48" t="s">
        <v>7485</v>
      </c>
      <c r="B8205" t="s">
        <v>7486</v>
      </c>
      <c r="C8205">
        <v>0</v>
      </c>
    </row>
    <row r="8206" spans="1:3" x14ac:dyDescent="0.25">
      <c r="A8206" s="48" t="s">
        <v>7482</v>
      </c>
      <c r="B8206" t="s">
        <v>7483</v>
      </c>
      <c r="C8206">
        <v>0</v>
      </c>
    </row>
    <row r="8207" spans="1:3" x14ac:dyDescent="0.25">
      <c r="A8207" s="48" t="s">
        <v>7480</v>
      </c>
      <c r="B8207" t="s">
        <v>7481</v>
      </c>
      <c r="C8207">
        <v>7</v>
      </c>
    </row>
    <row r="8208" spans="1:3" x14ac:dyDescent="0.25">
      <c r="A8208" s="48" t="s">
        <v>7484</v>
      </c>
      <c r="B8208" t="s">
        <v>7483</v>
      </c>
      <c r="C8208">
        <v>0</v>
      </c>
    </row>
    <row r="8209" spans="1:3" x14ac:dyDescent="0.25">
      <c r="A8209" s="48" t="s">
        <v>7476</v>
      </c>
      <c r="B8209" t="s">
        <v>22201</v>
      </c>
      <c r="C8209">
        <v>8</v>
      </c>
    </row>
    <row r="8210" spans="1:3" x14ac:dyDescent="0.25">
      <c r="A8210" s="48" t="s">
        <v>7487</v>
      </c>
      <c r="B8210" t="s">
        <v>7486</v>
      </c>
      <c r="C8210">
        <v>0</v>
      </c>
    </row>
    <row r="8211" spans="1:3" x14ac:dyDescent="0.25">
      <c r="A8211" s="48" t="s">
        <v>3521</v>
      </c>
      <c r="B8211" t="s">
        <v>3522</v>
      </c>
      <c r="C8211">
        <v>0</v>
      </c>
    </row>
    <row r="8212" spans="1:3" x14ac:dyDescent="0.25">
      <c r="A8212" s="48" t="s">
        <v>3497</v>
      </c>
      <c r="B8212" t="s">
        <v>3498</v>
      </c>
      <c r="C8212">
        <v>0</v>
      </c>
    </row>
    <row r="8213" spans="1:3" x14ac:dyDescent="0.25">
      <c r="A8213" s="48" t="s">
        <v>3495</v>
      </c>
      <c r="B8213" t="s">
        <v>3496</v>
      </c>
      <c r="C8213">
        <v>0</v>
      </c>
    </row>
    <row r="8214" spans="1:3" x14ac:dyDescent="0.25">
      <c r="A8214" s="48" t="s">
        <v>3507</v>
      </c>
      <c r="B8214" t="s">
        <v>3508</v>
      </c>
      <c r="C8214">
        <v>0</v>
      </c>
    </row>
    <row r="8215" spans="1:3" x14ac:dyDescent="0.25">
      <c r="A8215" s="48" t="s">
        <v>19494</v>
      </c>
      <c r="B8215" t="s">
        <v>19495</v>
      </c>
      <c r="C8215">
        <v>0</v>
      </c>
    </row>
    <row r="8216" spans="1:3" x14ac:dyDescent="0.25">
      <c r="A8216" s="48" t="s">
        <v>19486</v>
      </c>
      <c r="B8216" t="s">
        <v>19487</v>
      </c>
      <c r="C8216">
        <v>0</v>
      </c>
    </row>
    <row r="8217" spans="1:3" x14ac:dyDescent="0.25">
      <c r="A8217" s="48" t="s">
        <v>19490</v>
      </c>
      <c r="B8217" t="s">
        <v>19491</v>
      </c>
      <c r="C8217">
        <v>3</v>
      </c>
    </row>
    <row r="8218" spans="1:3" x14ac:dyDescent="0.25">
      <c r="A8218" s="48" t="s">
        <v>19492</v>
      </c>
      <c r="B8218" t="s">
        <v>19493</v>
      </c>
      <c r="C8218">
        <v>0</v>
      </c>
    </row>
    <row r="8219" spans="1:3" x14ac:dyDescent="0.25">
      <c r="A8219" s="48" t="s">
        <v>19488</v>
      </c>
      <c r="B8219" t="s">
        <v>19489</v>
      </c>
      <c r="C8219">
        <v>0</v>
      </c>
    </row>
    <row r="8220" spans="1:3" x14ac:dyDescent="0.25">
      <c r="A8220" s="48" t="s">
        <v>18073</v>
      </c>
      <c r="B8220" t="s">
        <v>18074</v>
      </c>
      <c r="C8220">
        <v>32</v>
      </c>
    </row>
    <row r="8221" spans="1:3" x14ac:dyDescent="0.25">
      <c r="A8221" s="48" t="s">
        <v>18075</v>
      </c>
      <c r="B8221" t="s">
        <v>18076</v>
      </c>
      <c r="C8221">
        <v>24</v>
      </c>
    </row>
    <row r="8222" spans="1:3" x14ac:dyDescent="0.25">
      <c r="A8222" s="48" t="s">
        <v>9891</v>
      </c>
      <c r="B8222" t="s">
        <v>22202</v>
      </c>
      <c r="C8222">
        <v>0</v>
      </c>
    </row>
    <row r="8223" spans="1:3" x14ac:dyDescent="0.25">
      <c r="A8223" s="48" t="s">
        <v>9897</v>
      </c>
      <c r="B8223" t="s">
        <v>9898</v>
      </c>
      <c r="C8223">
        <v>0</v>
      </c>
    </row>
    <row r="8224" spans="1:3" x14ac:dyDescent="0.25">
      <c r="A8224" s="48" t="s">
        <v>9877</v>
      </c>
      <c r="B8224" t="s">
        <v>9878</v>
      </c>
      <c r="C8224">
        <v>2</v>
      </c>
    </row>
    <row r="8225" spans="1:3" x14ac:dyDescent="0.25">
      <c r="A8225" s="48" t="s">
        <v>9879</v>
      </c>
      <c r="B8225" t="s">
        <v>9880</v>
      </c>
      <c r="C8225">
        <v>0</v>
      </c>
    </row>
    <row r="8226" spans="1:3" x14ac:dyDescent="0.25">
      <c r="A8226" s="48" t="s">
        <v>9881</v>
      </c>
      <c r="B8226" t="s">
        <v>9882</v>
      </c>
      <c r="C8226">
        <v>0</v>
      </c>
    </row>
    <row r="8227" spans="1:3" x14ac:dyDescent="0.25">
      <c r="A8227" s="48" t="s">
        <v>9887</v>
      </c>
      <c r="B8227" t="s">
        <v>9888</v>
      </c>
      <c r="C8227">
        <v>23</v>
      </c>
    </row>
    <row r="8228" spans="1:3" x14ac:dyDescent="0.25">
      <c r="A8228" s="48" t="s">
        <v>9869</v>
      </c>
      <c r="B8228" t="s">
        <v>9870</v>
      </c>
      <c r="C8228">
        <v>0</v>
      </c>
    </row>
    <row r="8229" spans="1:3" x14ac:dyDescent="0.25">
      <c r="A8229" s="48" t="s">
        <v>9859</v>
      </c>
      <c r="B8229" t="s">
        <v>9860</v>
      </c>
      <c r="C8229">
        <v>6</v>
      </c>
    </row>
    <row r="8230" spans="1:3" x14ac:dyDescent="0.25">
      <c r="A8230" s="48" t="s">
        <v>9871</v>
      </c>
      <c r="B8230" t="s">
        <v>9872</v>
      </c>
      <c r="C8230">
        <v>119</v>
      </c>
    </row>
    <row r="8231" spans="1:3" x14ac:dyDescent="0.25">
      <c r="A8231" s="48" t="s">
        <v>9867</v>
      </c>
      <c r="B8231" t="s">
        <v>9868</v>
      </c>
      <c r="C8231">
        <v>0</v>
      </c>
    </row>
    <row r="8232" spans="1:3" x14ac:dyDescent="0.25">
      <c r="A8232" s="48" t="s">
        <v>9873</v>
      </c>
      <c r="B8232" t="s">
        <v>9874</v>
      </c>
      <c r="C8232">
        <v>41</v>
      </c>
    </row>
    <row r="8233" spans="1:3" x14ac:dyDescent="0.25">
      <c r="A8233" s="48" t="s">
        <v>9875</v>
      </c>
      <c r="B8233" t="s">
        <v>9876</v>
      </c>
      <c r="C8233">
        <v>14</v>
      </c>
    </row>
    <row r="8234" spans="1:3" x14ac:dyDescent="0.25">
      <c r="A8234" s="48" t="s">
        <v>9895</v>
      </c>
      <c r="B8234" t="s">
        <v>9896</v>
      </c>
      <c r="C8234">
        <v>61</v>
      </c>
    </row>
    <row r="8235" spans="1:3" x14ac:dyDescent="0.25">
      <c r="A8235" s="48" t="s">
        <v>9893</v>
      </c>
      <c r="B8235" t="s">
        <v>9894</v>
      </c>
      <c r="C8235">
        <v>24</v>
      </c>
    </row>
    <row r="8236" spans="1:3" x14ac:dyDescent="0.25">
      <c r="A8236" s="48" t="s">
        <v>9885</v>
      </c>
      <c r="B8236" t="s">
        <v>9886</v>
      </c>
      <c r="C8236">
        <v>117</v>
      </c>
    </row>
    <row r="8237" spans="1:3" x14ac:dyDescent="0.25">
      <c r="A8237" s="48" t="s">
        <v>1207</v>
      </c>
      <c r="B8237" t="s">
        <v>1208</v>
      </c>
      <c r="C8237">
        <v>18</v>
      </c>
    </row>
    <row r="8238" spans="1:3" x14ac:dyDescent="0.25">
      <c r="A8238" s="48" t="s">
        <v>9883</v>
      </c>
      <c r="B8238" t="s">
        <v>9884</v>
      </c>
      <c r="C8238">
        <v>7</v>
      </c>
    </row>
    <row r="8239" spans="1:3" x14ac:dyDescent="0.25">
      <c r="A8239" s="48" t="s">
        <v>9889</v>
      </c>
      <c r="B8239" t="s">
        <v>9890</v>
      </c>
      <c r="C8239">
        <v>0</v>
      </c>
    </row>
    <row r="8240" spans="1:3" x14ac:dyDescent="0.25">
      <c r="A8240" s="48" t="s">
        <v>3979</v>
      </c>
      <c r="B8240" t="s">
        <v>3980</v>
      </c>
      <c r="C8240">
        <v>11</v>
      </c>
    </row>
    <row r="8241" spans="1:3" x14ac:dyDescent="0.25">
      <c r="A8241" s="48" t="s">
        <v>9861</v>
      </c>
      <c r="B8241" t="s">
        <v>9862</v>
      </c>
      <c r="C8241">
        <v>88</v>
      </c>
    </row>
    <row r="8242" spans="1:3" x14ac:dyDescent="0.25">
      <c r="A8242" s="48" t="s">
        <v>9851</v>
      </c>
      <c r="B8242" t="s">
        <v>9852</v>
      </c>
      <c r="C8242">
        <v>35</v>
      </c>
    </row>
    <row r="8243" spans="1:3" x14ac:dyDescent="0.25">
      <c r="A8243" s="48" t="s">
        <v>9853</v>
      </c>
      <c r="B8243" t="s">
        <v>9854</v>
      </c>
      <c r="C8243">
        <v>0</v>
      </c>
    </row>
    <row r="8244" spans="1:3" x14ac:dyDescent="0.25">
      <c r="A8244" s="48" t="s">
        <v>9855</v>
      </c>
      <c r="B8244" t="s">
        <v>9856</v>
      </c>
      <c r="C8244">
        <v>0</v>
      </c>
    </row>
    <row r="8245" spans="1:3" x14ac:dyDescent="0.25">
      <c r="A8245" s="48" t="s">
        <v>9857</v>
      </c>
      <c r="B8245" t="s">
        <v>9858</v>
      </c>
      <c r="C8245">
        <v>0</v>
      </c>
    </row>
    <row r="8246" spans="1:3" x14ac:dyDescent="0.25">
      <c r="A8246" s="48" t="s">
        <v>3965</v>
      </c>
      <c r="B8246" t="s">
        <v>3966</v>
      </c>
      <c r="C8246">
        <v>40</v>
      </c>
    </row>
    <row r="8247" spans="1:3" x14ac:dyDescent="0.25">
      <c r="A8247" s="48" t="s">
        <v>3967</v>
      </c>
      <c r="B8247" t="s">
        <v>3968</v>
      </c>
      <c r="C8247">
        <v>38</v>
      </c>
    </row>
    <row r="8248" spans="1:3" x14ac:dyDescent="0.25">
      <c r="A8248" s="48" t="s">
        <v>3971</v>
      </c>
      <c r="B8248" t="s">
        <v>3972</v>
      </c>
      <c r="C8248">
        <v>28</v>
      </c>
    </row>
    <row r="8249" spans="1:3" x14ac:dyDescent="0.25">
      <c r="A8249" s="48" t="s">
        <v>3973</v>
      </c>
      <c r="B8249" t="s">
        <v>3974</v>
      </c>
      <c r="C8249">
        <v>3</v>
      </c>
    </row>
    <row r="8250" spans="1:3" x14ac:dyDescent="0.25">
      <c r="A8250" s="48" t="s">
        <v>3981</v>
      </c>
      <c r="B8250" t="s">
        <v>3982</v>
      </c>
      <c r="C8250">
        <v>0</v>
      </c>
    </row>
    <row r="8251" spans="1:3" x14ac:dyDescent="0.25">
      <c r="A8251" s="48" t="s">
        <v>3975</v>
      </c>
      <c r="B8251" t="s">
        <v>3976</v>
      </c>
      <c r="C8251">
        <v>0</v>
      </c>
    </row>
    <row r="8252" spans="1:3" x14ac:dyDescent="0.25">
      <c r="A8252" s="48" t="s">
        <v>3959</v>
      </c>
      <c r="B8252" t="s">
        <v>3960</v>
      </c>
      <c r="C8252">
        <v>14</v>
      </c>
    </row>
    <row r="8253" spans="1:3" x14ac:dyDescent="0.25">
      <c r="A8253" s="48" t="s">
        <v>3961</v>
      </c>
      <c r="B8253" t="s">
        <v>3962</v>
      </c>
      <c r="C8253">
        <v>11</v>
      </c>
    </row>
    <row r="8254" spans="1:3" x14ac:dyDescent="0.25">
      <c r="A8254" s="48" t="s">
        <v>3963</v>
      </c>
      <c r="B8254" t="s">
        <v>3964</v>
      </c>
      <c r="C8254">
        <v>7</v>
      </c>
    </row>
    <row r="8255" spans="1:3" x14ac:dyDescent="0.25">
      <c r="A8255" s="48" t="s">
        <v>3977</v>
      </c>
      <c r="B8255" t="s">
        <v>3978</v>
      </c>
      <c r="C8255">
        <v>10</v>
      </c>
    </row>
    <row r="8256" spans="1:3" x14ac:dyDescent="0.25">
      <c r="A8256" s="48" t="s">
        <v>3969</v>
      </c>
      <c r="B8256" t="s">
        <v>22203</v>
      </c>
      <c r="C8256">
        <v>0</v>
      </c>
    </row>
    <row r="8257" spans="1:3" x14ac:dyDescent="0.25">
      <c r="A8257" s="48" t="s">
        <v>16648</v>
      </c>
      <c r="B8257" t="s">
        <v>16649</v>
      </c>
      <c r="C8257">
        <v>26</v>
      </c>
    </row>
    <row r="8258" spans="1:3" x14ac:dyDescent="0.25">
      <c r="A8258" s="48" t="s">
        <v>9865</v>
      </c>
      <c r="B8258" t="s">
        <v>9866</v>
      </c>
      <c r="C8258">
        <v>6</v>
      </c>
    </row>
    <row r="8259" spans="1:3" x14ac:dyDescent="0.25">
      <c r="A8259" s="48" t="s">
        <v>9863</v>
      </c>
      <c r="B8259" t="s">
        <v>9864</v>
      </c>
      <c r="C8259">
        <v>0</v>
      </c>
    </row>
    <row r="8260" spans="1:3" x14ac:dyDescent="0.25">
      <c r="A8260" s="48" t="s">
        <v>13536</v>
      </c>
      <c r="B8260" t="s">
        <v>13537</v>
      </c>
      <c r="C8260">
        <v>9</v>
      </c>
    </row>
    <row r="8261" spans="1:3" x14ac:dyDescent="0.25">
      <c r="A8261" s="48" t="s">
        <v>13534</v>
      </c>
      <c r="B8261" t="s">
        <v>22204</v>
      </c>
      <c r="C8261">
        <v>17</v>
      </c>
    </row>
    <row r="8262" spans="1:3" x14ac:dyDescent="0.25">
      <c r="A8262" s="48" t="s">
        <v>13532</v>
      </c>
      <c r="B8262" t="s">
        <v>22205</v>
      </c>
      <c r="C8262">
        <v>10</v>
      </c>
    </row>
    <row r="8263" spans="1:3" x14ac:dyDescent="0.25">
      <c r="A8263" s="48" t="s">
        <v>13550</v>
      </c>
      <c r="B8263" t="s">
        <v>22206</v>
      </c>
      <c r="C8263">
        <v>13</v>
      </c>
    </row>
    <row r="8264" spans="1:3" x14ac:dyDescent="0.25">
      <c r="A8264" s="48" t="s">
        <v>13548</v>
      </c>
      <c r="B8264" t="s">
        <v>22207</v>
      </c>
      <c r="C8264">
        <v>8</v>
      </c>
    </row>
    <row r="8265" spans="1:3" x14ac:dyDescent="0.25">
      <c r="A8265" s="48" t="s">
        <v>13546</v>
      </c>
      <c r="B8265" t="s">
        <v>13547</v>
      </c>
      <c r="C8265">
        <v>4</v>
      </c>
    </row>
    <row r="8266" spans="1:3" x14ac:dyDescent="0.25">
      <c r="A8266" s="48" t="s">
        <v>13552</v>
      </c>
      <c r="B8266" t="s">
        <v>13553</v>
      </c>
      <c r="C8266">
        <v>8</v>
      </c>
    </row>
    <row r="8267" spans="1:3" x14ac:dyDescent="0.25">
      <c r="A8267" s="48" t="s">
        <v>13556</v>
      </c>
      <c r="B8267" t="s">
        <v>22208</v>
      </c>
      <c r="C8267">
        <v>0</v>
      </c>
    </row>
    <row r="8268" spans="1:3" x14ac:dyDescent="0.25">
      <c r="A8268" s="48" t="s">
        <v>13554</v>
      </c>
      <c r="B8268" t="s">
        <v>22209</v>
      </c>
      <c r="C8268">
        <v>4</v>
      </c>
    </row>
    <row r="8269" spans="1:3" x14ac:dyDescent="0.25">
      <c r="A8269" s="48" t="s">
        <v>13544</v>
      </c>
      <c r="B8269" t="s">
        <v>22210</v>
      </c>
      <c r="C8269">
        <v>11</v>
      </c>
    </row>
    <row r="8270" spans="1:3" x14ac:dyDescent="0.25">
      <c r="A8270" s="48" t="s">
        <v>13542</v>
      </c>
      <c r="B8270" t="s">
        <v>22211</v>
      </c>
      <c r="C8270">
        <v>0</v>
      </c>
    </row>
    <row r="8271" spans="1:3" x14ac:dyDescent="0.25">
      <c r="A8271" s="48" t="s">
        <v>13540</v>
      </c>
      <c r="B8271" t="s">
        <v>22212</v>
      </c>
      <c r="C8271">
        <v>7</v>
      </c>
    </row>
    <row r="8272" spans="1:3" x14ac:dyDescent="0.25">
      <c r="A8272" s="48" t="s">
        <v>13538</v>
      </c>
      <c r="B8272" t="s">
        <v>13539</v>
      </c>
      <c r="C8272">
        <v>5</v>
      </c>
    </row>
    <row r="8273" spans="1:3" x14ac:dyDescent="0.25">
      <c r="A8273" s="48" t="s">
        <v>13528</v>
      </c>
      <c r="B8273" t="s">
        <v>22213</v>
      </c>
      <c r="C8273">
        <v>18</v>
      </c>
    </row>
    <row r="8274" spans="1:3" x14ac:dyDescent="0.25">
      <c r="A8274" s="48" t="s">
        <v>13526</v>
      </c>
      <c r="B8274" t="s">
        <v>22214</v>
      </c>
      <c r="C8274">
        <v>18</v>
      </c>
    </row>
    <row r="8275" spans="1:3" x14ac:dyDescent="0.25">
      <c r="A8275" s="48" t="s">
        <v>13524</v>
      </c>
      <c r="B8275" t="s">
        <v>13525</v>
      </c>
      <c r="C8275">
        <v>5</v>
      </c>
    </row>
    <row r="8276" spans="1:3" x14ac:dyDescent="0.25">
      <c r="A8276" s="48" t="s">
        <v>13530</v>
      </c>
      <c r="B8276" t="s">
        <v>13531</v>
      </c>
      <c r="C8276">
        <v>3</v>
      </c>
    </row>
    <row r="8277" spans="1:3" x14ac:dyDescent="0.25">
      <c r="A8277" s="48" t="s">
        <v>10598</v>
      </c>
      <c r="B8277" t="s">
        <v>10599</v>
      </c>
      <c r="C8277">
        <v>144</v>
      </c>
    </row>
    <row r="8278" spans="1:3" x14ac:dyDescent="0.25">
      <c r="A8278" s="48" t="s">
        <v>10596</v>
      </c>
      <c r="B8278" t="s">
        <v>10597</v>
      </c>
      <c r="C8278">
        <v>0</v>
      </c>
    </row>
    <row r="8279" spans="1:3" x14ac:dyDescent="0.25">
      <c r="A8279" s="48" t="s">
        <v>22898</v>
      </c>
      <c r="B8279" t="s">
        <v>22899</v>
      </c>
      <c r="C8279">
        <v>0</v>
      </c>
    </row>
    <row r="8280" spans="1:3" x14ac:dyDescent="0.25">
      <c r="A8280" s="48" t="s">
        <v>17999</v>
      </c>
      <c r="B8280" t="s">
        <v>18000</v>
      </c>
      <c r="C8280">
        <v>0</v>
      </c>
    </row>
    <row r="8281" spans="1:3" x14ac:dyDescent="0.25">
      <c r="A8281" s="48" t="s">
        <v>5529</v>
      </c>
      <c r="B8281" t="s">
        <v>5530</v>
      </c>
      <c r="C8281">
        <v>3</v>
      </c>
    </row>
    <row r="8282" spans="1:3" x14ac:dyDescent="0.25">
      <c r="A8282" s="48" t="s">
        <v>5519</v>
      </c>
      <c r="B8282" t="s">
        <v>5520</v>
      </c>
      <c r="C8282">
        <v>0</v>
      </c>
    </row>
    <row r="8283" spans="1:3" x14ac:dyDescent="0.25">
      <c r="A8283" s="48" t="s">
        <v>8818</v>
      </c>
      <c r="B8283" t="s">
        <v>8819</v>
      </c>
      <c r="C8283">
        <v>0</v>
      </c>
    </row>
    <row r="8284" spans="1:3" x14ac:dyDescent="0.25">
      <c r="A8284" s="48" t="s">
        <v>8820</v>
      </c>
      <c r="B8284" t="s">
        <v>8821</v>
      </c>
      <c r="C8284">
        <v>0</v>
      </c>
    </row>
    <row r="8285" spans="1:3" x14ac:dyDescent="0.25">
      <c r="A8285" s="48" t="s">
        <v>379</v>
      </c>
      <c r="B8285" t="s">
        <v>380</v>
      </c>
      <c r="C8285">
        <v>37</v>
      </c>
    </row>
    <row r="8286" spans="1:3" x14ac:dyDescent="0.25">
      <c r="A8286" s="48" t="s">
        <v>645</v>
      </c>
      <c r="B8286" t="s">
        <v>646</v>
      </c>
      <c r="C8286">
        <v>6</v>
      </c>
    </row>
    <row r="8287" spans="1:3" x14ac:dyDescent="0.25">
      <c r="A8287" s="48" t="s">
        <v>13661</v>
      </c>
      <c r="B8287" t="s">
        <v>22215</v>
      </c>
      <c r="C8287">
        <v>15</v>
      </c>
    </row>
    <row r="8288" spans="1:3" x14ac:dyDescent="0.25">
      <c r="A8288" s="48" t="s">
        <v>1411</v>
      </c>
      <c r="B8288" t="s">
        <v>1412</v>
      </c>
      <c r="C8288">
        <v>67</v>
      </c>
    </row>
    <row r="8289" spans="1:3" x14ac:dyDescent="0.25">
      <c r="A8289" s="48" t="s">
        <v>1159</v>
      </c>
      <c r="B8289" t="s">
        <v>1160</v>
      </c>
      <c r="C8289">
        <v>15</v>
      </c>
    </row>
    <row r="8290" spans="1:3" x14ac:dyDescent="0.25">
      <c r="A8290" s="48" t="s">
        <v>13671</v>
      </c>
      <c r="B8290" t="s">
        <v>13672</v>
      </c>
      <c r="C8290">
        <v>0</v>
      </c>
    </row>
    <row r="8291" spans="1:3" x14ac:dyDescent="0.25">
      <c r="A8291" s="48" t="s">
        <v>13673</v>
      </c>
      <c r="B8291" t="s">
        <v>13674</v>
      </c>
      <c r="C8291">
        <v>23</v>
      </c>
    </row>
    <row r="8292" spans="1:3" x14ac:dyDescent="0.25">
      <c r="A8292" s="48" t="s">
        <v>13665</v>
      </c>
      <c r="B8292" t="s">
        <v>13666</v>
      </c>
      <c r="C8292">
        <v>0</v>
      </c>
    </row>
    <row r="8293" spans="1:3" x14ac:dyDescent="0.25">
      <c r="A8293" s="48" t="s">
        <v>13669</v>
      </c>
      <c r="B8293" t="s">
        <v>13670</v>
      </c>
      <c r="C8293">
        <v>0</v>
      </c>
    </row>
    <row r="8294" spans="1:3" x14ac:dyDescent="0.25">
      <c r="A8294" s="48" t="s">
        <v>13663</v>
      </c>
      <c r="B8294" t="s">
        <v>13664</v>
      </c>
      <c r="C8294">
        <v>0</v>
      </c>
    </row>
    <row r="8295" spans="1:3" x14ac:dyDescent="0.25">
      <c r="A8295" s="48" t="s">
        <v>13667</v>
      </c>
      <c r="B8295" t="s">
        <v>13668</v>
      </c>
      <c r="C8295">
        <v>10</v>
      </c>
    </row>
    <row r="8296" spans="1:3" x14ac:dyDescent="0.25">
      <c r="A8296" s="48" t="s">
        <v>9098</v>
      </c>
      <c r="B8296" t="s">
        <v>9099</v>
      </c>
      <c r="C8296">
        <v>18</v>
      </c>
    </row>
    <row r="8297" spans="1:3" x14ac:dyDescent="0.25">
      <c r="A8297" s="48" t="s">
        <v>9142</v>
      </c>
      <c r="B8297" t="s">
        <v>22216</v>
      </c>
      <c r="C8297">
        <v>9</v>
      </c>
    </row>
    <row r="8298" spans="1:3" x14ac:dyDescent="0.25">
      <c r="A8298" s="48" t="s">
        <v>9040</v>
      </c>
      <c r="B8298" t="s">
        <v>9041</v>
      </c>
      <c r="C8298">
        <v>30</v>
      </c>
    </row>
    <row r="8299" spans="1:3" x14ac:dyDescent="0.25">
      <c r="A8299" s="48" t="s">
        <v>9086</v>
      </c>
      <c r="B8299" t="s">
        <v>9087</v>
      </c>
      <c r="C8299">
        <v>0</v>
      </c>
    </row>
    <row r="8300" spans="1:3" x14ac:dyDescent="0.25">
      <c r="A8300" s="48" t="s">
        <v>9144</v>
      </c>
      <c r="B8300" t="s">
        <v>9145</v>
      </c>
      <c r="C8300">
        <v>0</v>
      </c>
    </row>
    <row r="8301" spans="1:3" x14ac:dyDescent="0.25">
      <c r="A8301" s="48" t="s">
        <v>18252</v>
      </c>
      <c r="B8301" t="s">
        <v>18253</v>
      </c>
      <c r="C8301">
        <v>4</v>
      </c>
    </row>
    <row r="8302" spans="1:3" x14ac:dyDescent="0.25">
      <c r="A8302" s="48" t="s">
        <v>18246</v>
      </c>
      <c r="B8302" t="s">
        <v>18247</v>
      </c>
      <c r="C8302">
        <v>5</v>
      </c>
    </row>
    <row r="8303" spans="1:3" x14ac:dyDescent="0.25">
      <c r="A8303" s="48" t="s">
        <v>18248</v>
      </c>
      <c r="B8303" t="s">
        <v>18249</v>
      </c>
      <c r="C8303">
        <v>3</v>
      </c>
    </row>
    <row r="8304" spans="1:3" x14ac:dyDescent="0.25">
      <c r="A8304" s="48" t="s">
        <v>18250</v>
      </c>
      <c r="B8304" t="s">
        <v>18251</v>
      </c>
      <c r="C8304">
        <v>1</v>
      </c>
    </row>
    <row r="8305" spans="1:3" x14ac:dyDescent="0.25">
      <c r="A8305" s="48" t="s">
        <v>3717</v>
      </c>
      <c r="B8305" t="s">
        <v>3718</v>
      </c>
      <c r="C8305">
        <v>15</v>
      </c>
    </row>
    <row r="8306" spans="1:3" x14ac:dyDescent="0.25">
      <c r="A8306" s="48" t="s">
        <v>11016</v>
      </c>
      <c r="B8306" t="s">
        <v>11017</v>
      </c>
      <c r="C8306">
        <v>1</v>
      </c>
    </row>
    <row r="8307" spans="1:3" x14ac:dyDescent="0.25">
      <c r="A8307" s="48" t="s">
        <v>11018</v>
      </c>
      <c r="B8307" t="s">
        <v>11019</v>
      </c>
      <c r="C8307">
        <v>12</v>
      </c>
    </row>
    <row r="8308" spans="1:3" x14ac:dyDescent="0.25">
      <c r="A8308" s="48" t="s">
        <v>11020</v>
      </c>
      <c r="B8308" t="s">
        <v>11021</v>
      </c>
      <c r="C8308">
        <v>18</v>
      </c>
    </row>
    <row r="8309" spans="1:3" x14ac:dyDescent="0.25">
      <c r="A8309" s="48" t="s">
        <v>11024</v>
      </c>
      <c r="B8309" t="s">
        <v>11025</v>
      </c>
      <c r="C8309">
        <v>32</v>
      </c>
    </row>
    <row r="8310" spans="1:3" x14ac:dyDescent="0.25">
      <c r="A8310" s="48" t="s">
        <v>11026</v>
      </c>
      <c r="B8310" t="s">
        <v>11027</v>
      </c>
      <c r="C8310">
        <v>0</v>
      </c>
    </row>
    <row r="8311" spans="1:3" x14ac:dyDescent="0.25">
      <c r="A8311" s="48" t="s">
        <v>11028</v>
      </c>
      <c r="B8311" t="s">
        <v>11029</v>
      </c>
      <c r="C8311">
        <v>14</v>
      </c>
    </row>
    <row r="8312" spans="1:3" x14ac:dyDescent="0.25">
      <c r="A8312" s="48" t="s">
        <v>11030</v>
      </c>
      <c r="B8312" t="s">
        <v>11031</v>
      </c>
      <c r="C8312">
        <v>32</v>
      </c>
    </row>
    <row r="8313" spans="1:3" x14ac:dyDescent="0.25">
      <c r="A8313" s="48" t="s">
        <v>11022</v>
      </c>
      <c r="B8313" t="s">
        <v>22217</v>
      </c>
      <c r="C8313">
        <v>6</v>
      </c>
    </row>
    <row r="8314" spans="1:3" x14ac:dyDescent="0.25">
      <c r="A8314" s="48" t="s">
        <v>11968</v>
      </c>
      <c r="B8314" t="s">
        <v>11969</v>
      </c>
      <c r="C8314">
        <v>5</v>
      </c>
    </row>
    <row r="8315" spans="1:3" x14ac:dyDescent="0.25">
      <c r="A8315" s="48" t="s">
        <v>11950</v>
      </c>
      <c r="B8315" t="s">
        <v>11951</v>
      </c>
      <c r="C8315">
        <v>10</v>
      </c>
    </row>
    <row r="8316" spans="1:3" x14ac:dyDescent="0.25">
      <c r="A8316" s="48" t="s">
        <v>11952</v>
      </c>
      <c r="B8316" t="s">
        <v>11953</v>
      </c>
      <c r="C8316">
        <v>4</v>
      </c>
    </row>
    <row r="8317" spans="1:3" x14ac:dyDescent="0.25">
      <c r="A8317" s="48" t="s">
        <v>11974</v>
      </c>
      <c r="B8317" t="s">
        <v>11975</v>
      </c>
      <c r="C8317">
        <v>5</v>
      </c>
    </row>
    <row r="8318" spans="1:3" x14ac:dyDescent="0.25">
      <c r="A8318" s="48" t="s">
        <v>11970</v>
      </c>
      <c r="B8318" t="s">
        <v>11971</v>
      </c>
      <c r="C8318">
        <v>4</v>
      </c>
    </row>
    <row r="8319" spans="1:3" x14ac:dyDescent="0.25">
      <c r="A8319" s="48" t="s">
        <v>11956</v>
      </c>
      <c r="B8319" t="s">
        <v>11957</v>
      </c>
      <c r="C8319">
        <v>19</v>
      </c>
    </row>
    <row r="8320" spans="1:3" x14ac:dyDescent="0.25">
      <c r="A8320" s="48" t="s">
        <v>11960</v>
      </c>
      <c r="B8320" t="s">
        <v>11961</v>
      </c>
      <c r="C8320">
        <v>7</v>
      </c>
    </row>
    <row r="8321" spans="1:3" x14ac:dyDescent="0.25">
      <c r="A8321" s="48" t="s">
        <v>11962</v>
      </c>
      <c r="B8321" t="s">
        <v>11963</v>
      </c>
      <c r="C8321">
        <v>4</v>
      </c>
    </row>
    <row r="8322" spans="1:3" x14ac:dyDescent="0.25">
      <c r="A8322" s="48" t="s">
        <v>11972</v>
      </c>
      <c r="B8322" t="s">
        <v>11973</v>
      </c>
      <c r="C8322">
        <v>3</v>
      </c>
    </row>
    <row r="8323" spans="1:3" x14ac:dyDescent="0.25">
      <c r="A8323" s="48" t="s">
        <v>11966</v>
      </c>
      <c r="B8323" t="s">
        <v>11967</v>
      </c>
      <c r="C8323">
        <v>5</v>
      </c>
    </row>
    <row r="8324" spans="1:3" x14ac:dyDescent="0.25">
      <c r="A8324" s="48" t="s">
        <v>11954</v>
      </c>
      <c r="B8324" t="s">
        <v>11955</v>
      </c>
      <c r="C8324">
        <v>8</v>
      </c>
    </row>
    <row r="8325" spans="1:3" x14ac:dyDescent="0.25">
      <c r="A8325" s="48" t="s">
        <v>11050</v>
      </c>
      <c r="B8325" t="s">
        <v>11051</v>
      </c>
      <c r="C8325">
        <v>0</v>
      </c>
    </row>
    <row r="8326" spans="1:3" x14ac:dyDescent="0.25">
      <c r="A8326" s="48" t="s">
        <v>11056</v>
      </c>
      <c r="B8326" t="s">
        <v>11057</v>
      </c>
      <c r="C8326">
        <v>0</v>
      </c>
    </row>
    <row r="8327" spans="1:3" x14ac:dyDescent="0.25">
      <c r="A8327" s="48" t="s">
        <v>11060</v>
      </c>
      <c r="B8327" t="s">
        <v>11061</v>
      </c>
      <c r="C8327">
        <v>31</v>
      </c>
    </row>
    <row r="8328" spans="1:3" x14ac:dyDescent="0.25">
      <c r="A8328" s="48" t="s">
        <v>11058</v>
      </c>
      <c r="B8328" t="s">
        <v>11059</v>
      </c>
      <c r="C8328">
        <v>0</v>
      </c>
    </row>
    <row r="8329" spans="1:3" x14ac:dyDescent="0.25">
      <c r="A8329" s="48" t="s">
        <v>11054</v>
      </c>
      <c r="B8329" t="s">
        <v>11055</v>
      </c>
      <c r="C8329">
        <v>18</v>
      </c>
    </row>
    <row r="8330" spans="1:3" x14ac:dyDescent="0.25">
      <c r="A8330" s="48" t="s">
        <v>11046</v>
      </c>
      <c r="B8330" t="s">
        <v>11047</v>
      </c>
      <c r="C8330">
        <v>25</v>
      </c>
    </row>
    <row r="8331" spans="1:3" x14ac:dyDescent="0.25">
      <c r="A8331" s="48" t="s">
        <v>11066</v>
      </c>
      <c r="B8331" t="s">
        <v>11067</v>
      </c>
      <c r="C8331">
        <v>15</v>
      </c>
    </row>
    <row r="8332" spans="1:3" x14ac:dyDescent="0.25">
      <c r="A8332" s="48" t="s">
        <v>11032</v>
      </c>
      <c r="B8332" t="s">
        <v>11033</v>
      </c>
      <c r="C8332">
        <v>0</v>
      </c>
    </row>
    <row r="8333" spans="1:3" x14ac:dyDescent="0.25">
      <c r="A8333" s="48" t="s">
        <v>11034</v>
      </c>
      <c r="B8333" t="s">
        <v>11035</v>
      </c>
      <c r="C8333">
        <v>1</v>
      </c>
    </row>
    <row r="8334" spans="1:3" x14ac:dyDescent="0.25">
      <c r="A8334" s="48" t="s">
        <v>11036</v>
      </c>
      <c r="B8334" t="s">
        <v>11037</v>
      </c>
      <c r="C8334">
        <v>0</v>
      </c>
    </row>
    <row r="8335" spans="1:3" x14ac:dyDescent="0.25">
      <c r="A8335" s="48" t="s">
        <v>11038</v>
      </c>
      <c r="B8335" t="s">
        <v>11039</v>
      </c>
      <c r="C8335">
        <v>1</v>
      </c>
    </row>
    <row r="8336" spans="1:3" x14ac:dyDescent="0.25">
      <c r="A8336" s="48" t="s">
        <v>11040</v>
      </c>
      <c r="B8336" t="s">
        <v>11041</v>
      </c>
      <c r="C8336">
        <v>6</v>
      </c>
    </row>
    <row r="8337" spans="1:3" x14ac:dyDescent="0.25">
      <c r="A8337" s="48" t="s">
        <v>11042</v>
      </c>
      <c r="B8337" t="s">
        <v>11043</v>
      </c>
      <c r="C8337">
        <v>0</v>
      </c>
    </row>
    <row r="8338" spans="1:3" x14ac:dyDescent="0.25">
      <c r="A8338" s="48" t="s">
        <v>11958</v>
      </c>
      <c r="B8338" t="s">
        <v>11959</v>
      </c>
      <c r="C8338">
        <v>4</v>
      </c>
    </row>
    <row r="8339" spans="1:3" x14ac:dyDescent="0.25">
      <c r="A8339" s="48" t="s">
        <v>11964</v>
      </c>
      <c r="B8339" t="s">
        <v>11965</v>
      </c>
      <c r="C8339">
        <v>6</v>
      </c>
    </row>
    <row r="8340" spans="1:3" x14ac:dyDescent="0.25">
      <c r="A8340" s="48" t="s">
        <v>11048</v>
      </c>
      <c r="B8340" t="s">
        <v>11049</v>
      </c>
      <c r="C8340">
        <v>30</v>
      </c>
    </row>
    <row r="8341" spans="1:3" x14ac:dyDescent="0.25">
      <c r="A8341" s="48" t="s">
        <v>11044</v>
      </c>
      <c r="B8341" t="s">
        <v>11045</v>
      </c>
      <c r="C8341">
        <v>29</v>
      </c>
    </row>
    <row r="8342" spans="1:3" x14ac:dyDescent="0.25">
      <c r="A8342" s="48" t="s">
        <v>11052</v>
      </c>
      <c r="B8342" t="s">
        <v>11053</v>
      </c>
      <c r="C8342">
        <v>34</v>
      </c>
    </row>
    <row r="8343" spans="1:3" x14ac:dyDescent="0.25">
      <c r="A8343" s="48" t="s">
        <v>11062</v>
      </c>
      <c r="B8343" t="s">
        <v>11063</v>
      </c>
      <c r="C8343">
        <v>18</v>
      </c>
    </row>
    <row r="8344" spans="1:3" x14ac:dyDescent="0.25">
      <c r="A8344" s="48" t="s">
        <v>11064</v>
      </c>
      <c r="B8344" t="s">
        <v>11065</v>
      </c>
      <c r="C8344">
        <v>0</v>
      </c>
    </row>
    <row r="8345" spans="1:3" x14ac:dyDescent="0.25">
      <c r="A8345" s="48" t="s">
        <v>3195</v>
      </c>
      <c r="B8345" t="s">
        <v>3196</v>
      </c>
      <c r="C8345">
        <v>20</v>
      </c>
    </row>
    <row r="8346" spans="1:3" x14ac:dyDescent="0.25">
      <c r="A8346" s="48" t="s">
        <v>12358</v>
      </c>
      <c r="B8346" t="s">
        <v>22218</v>
      </c>
      <c r="C8346">
        <v>0</v>
      </c>
    </row>
    <row r="8347" spans="1:3" x14ac:dyDescent="0.25">
      <c r="A8347" s="48" t="s">
        <v>2630</v>
      </c>
      <c r="B8347" t="s">
        <v>2631</v>
      </c>
      <c r="C8347">
        <v>0</v>
      </c>
    </row>
    <row r="8348" spans="1:3" x14ac:dyDescent="0.25">
      <c r="A8348" s="48" t="s">
        <v>9392</v>
      </c>
      <c r="B8348" t="s">
        <v>9393</v>
      </c>
      <c r="C8348">
        <v>0</v>
      </c>
    </row>
    <row r="8349" spans="1:3" x14ac:dyDescent="0.25">
      <c r="A8349" s="48" t="s">
        <v>16277</v>
      </c>
      <c r="B8349" t="s">
        <v>16278</v>
      </c>
      <c r="C8349">
        <v>21</v>
      </c>
    </row>
    <row r="8350" spans="1:3" x14ac:dyDescent="0.25">
      <c r="A8350" s="48" t="s">
        <v>7815</v>
      </c>
      <c r="B8350" t="s">
        <v>22219</v>
      </c>
      <c r="C8350">
        <v>37</v>
      </c>
    </row>
    <row r="8351" spans="1:3" x14ac:dyDescent="0.25">
      <c r="A8351" s="48" t="s">
        <v>5189</v>
      </c>
      <c r="B8351" t="s">
        <v>5190</v>
      </c>
      <c r="C8351">
        <v>18</v>
      </c>
    </row>
    <row r="8352" spans="1:3" x14ac:dyDescent="0.25">
      <c r="A8352" s="48" t="s">
        <v>3729</v>
      </c>
      <c r="B8352" t="s">
        <v>3730</v>
      </c>
      <c r="C8352">
        <v>6</v>
      </c>
    </row>
    <row r="8353" spans="1:3" x14ac:dyDescent="0.25">
      <c r="A8353" s="48" t="s">
        <v>9478</v>
      </c>
      <c r="B8353" t="s">
        <v>9479</v>
      </c>
      <c r="C8353">
        <v>1</v>
      </c>
    </row>
    <row r="8354" spans="1:3" x14ac:dyDescent="0.25">
      <c r="A8354" s="48" t="s">
        <v>8712</v>
      </c>
      <c r="B8354" t="s">
        <v>8713</v>
      </c>
      <c r="C8354">
        <v>0</v>
      </c>
    </row>
    <row r="8355" spans="1:3" x14ac:dyDescent="0.25">
      <c r="A8355" s="48" t="s">
        <v>11846</v>
      </c>
      <c r="B8355" t="s">
        <v>11847</v>
      </c>
      <c r="C8355">
        <v>15</v>
      </c>
    </row>
    <row r="8356" spans="1:3" x14ac:dyDescent="0.25">
      <c r="A8356" s="48" t="s">
        <v>4556</v>
      </c>
      <c r="B8356" t="s">
        <v>4557</v>
      </c>
      <c r="C8356">
        <v>118</v>
      </c>
    </row>
    <row r="8357" spans="1:3" x14ac:dyDescent="0.25">
      <c r="A8357" s="48" t="s">
        <v>4558</v>
      </c>
      <c r="B8357" t="s">
        <v>4559</v>
      </c>
      <c r="C8357">
        <v>0</v>
      </c>
    </row>
    <row r="8358" spans="1:3" x14ac:dyDescent="0.25">
      <c r="A8358" s="48" t="s">
        <v>4560</v>
      </c>
      <c r="B8358" t="s">
        <v>4561</v>
      </c>
      <c r="C8358">
        <v>23</v>
      </c>
    </row>
    <row r="8359" spans="1:3" x14ac:dyDescent="0.25">
      <c r="A8359" s="48" t="s">
        <v>4562</v>
      </c>
      <c r="B8359" t="s">
        <v>22220</v>
      </c>
      <c r="C8359">
        <v>101</v>
      </c>
    </row>
    <row r="8360" spans="1:3" x14ac:dyDescent="0.25">
      <c r="A8360" s="48" t="s">
        <v>4564</v>
      </c>
      <c r="B8360" t="s">
        <v>22221</v>
      </c>
      <c r="C8360">
        <v>171</v>
      </c>
    </row>
    <row r="8361" spans="1:3" x14ac:dyDescent="0.25">
      <c r="A8361" s="48" t="s">
        <v>4568</v>
      </c>
      <c r="B8361" t="s">
        <v>4569</v>
      </c>
      <c r="C8361">
        <v>183</v>
      </c>
    </row>
    <row r="8362" spans="1:3" x14ac:dyDescent="0.25">
      <c r="A8362" s="48" t="s">
        <v>4570</v>
      </c>
      <c r="B8362" t="s">
        <v>4571</v>
      </c>
      <c r="C8362">
        <v>60</v>
      </c>
    </row>
    <row r="8363" spans="1:3" x14ac:dyDescent="0.25">
      <c r="A8363" s="48" t="s">
        <v>4572</v>
      </c>
      <c r="B8363" t="s">
        <v>4573</v>
      </c>
      <c r="C8363">
        <v>86</v>
      </c>
    </row>
    <row r="8364" spans="1:3" x14ac:dyDescent="0.25">
      <c r="A8364" s="48" t="s">
        <v>4578</v>
      </c>
      <c r="B8364" t="s">
        <v>4579</v>
      </c>
      <c r="C8364">
        <v>60</v>
      </c>
    </row>
    <row r="8365" spans="1:3" x14ac:dyDescent="0.25">
      <c r="A8365" s="48" t="s">
        <v>4580</v>
      </c>
      <c r="B8365" t="s">
        <v>4581</v>
      </c>
      <c r="C8365">
        <v>43</v>
      </c>
    </row>
    <row r="8366" spans="1:3" x14ac:dyDescent="0.25">
      <c r="A8366" s="48" t="s">
        <v>4138</v>
      </c>
      <c r="B8366" t="s">
        <v>4139</v>
      </c>
      <c r="C8366">
        <v>0</v>
      </c>
    </row>
    <row r="8367" spans="1:3" x14ac:dyDescent="0.25">
      <c r="A8367" s="48" t="s">
        <v>4188</v>
      </c>
      <c r="B8367" t="s">
        <v>22222</v>
      </c>
      <c r="C8367">
        <v>184</v>
      </c>
    </row>
    <row r="8368" spans="1:3" x14ac:dyDescent="0.25">
      <c r="A8368" s="48" t="s">
        <v>4170</v>
      </c>
      <c r="B8368" t="s">
        <v>22223</v>
      </c>
      <c r="C8368">
        <v>680</v>
      </c>
    </row>
    <row r="8369" spans="1:3" x14ac:dyDescent="0.25">
      <c r="A8369" s="48" t="s">
        <v>4217</v>
      </c>
      <c r="B8369" t="s">
        <v>22224</v>
      </c>
      <c r="C8369">
        <v>1021</v>
      </c>
    </row>
    <row r="8370" spans="1:3" x14ac:dyDescent="0.25">
      <c r="A8370" s="48" t="s">
        <v>4221</v>
      </c>
      <c r="B8370" t="s">
        <v>22225</v>
      </c>
      <c r="C8370">
        <v>441</v>
      </c>
    </row>
    <row r="8371" spans="1:3" x14ac:dyDescent="0.25">
      <c r="A8371" s="48" t="s">
        <v>4225</v>
      </c>
      <c r="B8371" t="s">
        <v>22226</v>
      </c>
      <c r="C8371">
        <v>501</v>
      </c>
    </row>
    <row r="8372" spans="1:3" x14ac:dyDescent="0.25">
      <c r="A8372" s="48" t="s">
        <v>4242</v>
      </c>
      <c r="B8372" t="s">
        <v>22227</v>
      </c>
      <c r="C8372">
        <v>612</v>
      </c>
    </row>
    <row r="8373" spans="1:3" x14ac:dyDescent="0.25">
      <c r="A8373" s="48" t="s">
        <v>4252</v>
      </c>
      <c r="B8373" t="s">
        <v>22228</v>
      </c>
      <c r="C8373">
        <v>302</v>
      </c>
    </row>
    <row r="8374" spans="1:3" x14ac:dyDescent="0.25">
      <c r="A8374" s="48" t="s">
        <v>4186</v>
      </c>
      <c r="B8374" t="s">
        <v>22229</v>
      </c>
      <c r="C8374">
        <v>1101</v>
      </c>
    </row>
    <row r="8375" spans="1:3" x14ac:dyDescent="0.25">
      <c r="A8375" s="48" t="s">
        <v>4148</v>
      </c>
      <c r="B8375" t="s">
        <v>4149</v>
      </c>
      <c r="C8375">
        <v>600</v>
      </c>
    </row>
    <row r="8376" spans="1:3" x14ac:dyDescent="0.25">
      <c r="A8376" s="48" t="s">
        <v>4198</v>
      </c>
      <c r="B8376" t="s">
        <v>22230</v>
      </c>
      <c r="C8376">
        <v>311</v>
      </c>
    </row>
    <row r="8377" spans="1:3" x14ac:dyDescent="0.25">
      <c r="A8377" s="48" t="s">
        <v>4219</v>
      </c>
      <c r="B8377" t="s">
        <v>22231</v>
      </c>
      <c r="C8377">
        <v>590</v>
      </c>
    </row>
    <row r="8378" spans="1:3" x14ac:dyDescent="0.25">
      <c r="A8378" s="48" t="s">
        <v>4223</v>
      </c>
      <c r="B8378" t="s">
        <v>22232</v>
      </c>
      <c r="C8378">
        <v>308</v>
      </c>
    </row>
    <row r="8379" spans="1:3" x14ac:dyDescent="0.25">
      <c r="A8379" s="48" t="s">
        <v>4227</v>
      </c>
      <c r="B8379" t="s">
        <v>22233</v>
      </c>
      <c r="C8379">
        <v>304</v>
      </c>
    </row>
    <row r="8380" spans="1:3" x14ac:dyDescent="0.25">
      <c r="A8380" s="48" t="s">
        <v>4248</v>
      </c>
      <c r="B8380" t="s">
        <v>22234</v>
      </c>
      <c r="C8380">
        <v>567</v>
      </c>
    </row>
    <row r="8381" spans="1:3" x14ac:dyDescent="0.25">
      <c r="A8381" s="48" t="s">
        <v>4258</v>
      </c>
      <c r="B8381" t="s">
        <v>22235</v>
      </c>
      <c r="C8381">
        <v>135</v>
      </c>
    </row>
    <row r="8382" spans="1:3" x14ac:dyDescent="0.25">
      <c r="A8382" s="48" t="s">
        <v>4262</v>
      </c>
      <c r="B8382" t="s">
        <v>22236</v>
      </c>
      <c r="C8382">
        <v>164</v>
      </c>
    </row>
    <row r="8383" spans="1:3" x14ac:dyDescent="0.25">
      <c r="A8383" s="48" t="s">
        <v>4538</v>
      </c>
      <c r="B8383" t="s">
        <v>22237</v>
      </c>
      <c r="C8383">
        <v>197</v>
      </c>
    </row>
    <row r="8384" spans="1:3" x14ac:dyDescent="0.25">
      <c r="A8384" s="48" t="s">
        <v>4536</v>
      </c>
      <c r="B8384" t="s">
        <v>22238</v>
      </c>
      <c r="C8384">
        <v>145</v>
      </c>
    </row>
    <row r="8385" spans="1:3" x14ac:dyDescent="0.25">
      <c r="A8385" s="48" t="s">
        <v>1289</v>
      </c>
      <c r="B8385" t="s">
        <v>1290</v>
      </c>
      <c r="C8385">
        <v>21</v>
      </c>
    </row>
    <row r="8386" spans="1:3" x14ac:dyDescent="0.25">
      <c r="A8386" s="48" t="s">
        <v>4527</v>
      </c>
      <c r="B8386" t="s">
        <v>22239</v>
      </c>
      <c r="C8386">
        <v>500</v>
      </c>
    </row>
    <row r="8387" spans="1:3" x14ac:dyDescent="0.25">
      <c r="A8387" s="48" t="s">
        <v>4523</v>
      </c>
      <c r="B8387" t="s">
        <v>22240</v>
      </c>
      <c r="C8387">
        <v>0</v>
      </c>
    </row>
    <row r="8388" spans="1:3" x14ac:dyDescent="0.25">
      <c r="A8388" s="48" t="s">
        <v>4517</v>
      </c>
      <c r="B8388" t="s">
        <v>4518</v>
      </c>
      <c r="C8388">
        <v>0</v>
      </c>
    </row>
    <row r="8389" spans="1:3" x14ac:dyDescent="0.25">
      <c r="A8389" s="48" t="s">
        <v>4144</v>
      </c>
      <c r="B8389" t="s">
        <v>22241</v>
      </c>
      <c r="C8389">
        <v>705</v>
      </c>
    </row>
    <row r="8390" spans="1:3" x14ac:dyDescent="0.25">
      <c r="A8390" s="48" t="s">
        <v>4194</v>
      </c>
      <c r="B8390" t="s">
        <v>22242</v>
      </c>
      <c r="C8390">
        <v>600</v>
      </c>
    </row>
    <row r="8391" spans="1:3" x14ac:dyDescent="0.25">
      <c r="A8391" s="48" t="s">
        <v>4531</v>
      </c>
      <c r="B8391" t="s">
        <v>4532</v>
      </c>
      <c r="C8391">
        <v>141</v>
      </c>
    </row>
    <row r="8392" spans="1:3" x14ac:dyDescent="0.25">
      <c r="A8392" s="48" t="s">
        <v>4146</v>
      </c>
      <c r="B8392" t="s">
        <v>22243</v>
      </c>
      <c r="C8392">
        <v>619</v>
      </c>
    </row>
    <row r="8393" spans="1:3" x14ac:dyDescent="0.25">
      <c r="A8393" s="48" t="s">
        <v>4196</v>
      </c>
      <c r="B8393" t="s">
        <v>22244</v>
      </c>
      <c r="C8393">
        <v>516</v>
      </c>
    </row>
    <row r="8394" spans="1:3" x14ac:dyDescent="0.25">
      <c r="A8394" s="48" t="s">
        <v>4515</v>
      </c>
      <c r="B8394" t="s">
        <v>4516</v>
      </c>
      <c r="C8394">
        <v>300</v>
      </c>
    </row>
    <row r="8395" spans="1:3" x14ac:dyDescent="0.25">
      <c r="A8395" s="48" t="s">
        <v>4540</v>
      </c>
      <c r="B8395" t="s">
        <v>4541</v>
      </c>
      <c r="C8395">
        <v>41</v>
      </c>
    </row>
    <row r="8396" spans="1:3" x14ac:dyDescent="0.25">
      <c r="A8396" s="48" t="s">
        <v>4542</v>
      </c>
      <c r="B8396" t="s">
        <v>4543</v>
      </c>
      <c r="C8396">
        <v>86</v>
      </c>
    </row>
    <row r="8397" spans="1:3" x14ac:dyDescent="0.25">
      <c r="A8397" s="48" t="s">
        <v>4544</v>
      </c>
      <c r="B8397" t="s">
        <v>4545</v>
      </c>
      <c r="C8397">
        <v>49</v>
      </c>
    </row>
    <row r="8398" spans="1:3" x14ac:dyDescent="0.25">
      <c r="A8398" s="48" t="s">
        <v>4546</v>
      </c>
      <c r="B8398" t="s">
        <v>4547</v>
      </c>
      <c r="C8398">
        <v>268</v>
      </c>
    </row>
    <row r="8399" spans="1:3" x14ac:dyDescent="0.25">
      <c r="A8399" s="48" t="s">
        <v>4548</v>
      </c>
      <c r="B8399" t="s">
        <v>4549</v>
      </c>
      <c r="C8399">
        <v>83</v>
      </c>
    </row>
    <row r="8400" spans="1:3" x14ac:dyDescent="0.25">
      <c r="A8400" s="48" t="s">
        <v>4550</v>
      </c>
      <c r="B8400" t="s">
        <v>4551</v>
      </c>
      <c r="C8400">
        <v>126</v>
      </c>
    </row>
    <row r="8401" spans="1:3" x14ac:dyDescent="0.25">
      <c r="A8401" s="48" t="s">
        <v>4552</v>
      </c>
      <c r="B8401" t="s">
        <v>4553</v>
      </c>
      <c r="C8401">
        <v>89</v>
      </c>
    </row>
    <row r="8402" spans="1:3" x14ac:dyDescent="0.25">
      <c r="A8402" s="48" t="s">
        <v>4554</v>
      </c>
      <c r="B8402" t="s">
        <v>4555</v>
      </c>
      <c r="C8402">
        <v>97</v>
      </c>
    </row>
    <row r="8403" spans="1:3" x14ac:dyDescent="0.25">
      <c r="A8403" s="48" t="s">
        <v>4260</v>
      </c>
      <c r="B8403" t="s">
        <v>22245</v>
      </c>
      <c r="C8403">
        <v>229</v>
      </c>
    </row>
    <row r="8404" spans="1:3" x14ac:dyDescent="0.25">
      <c r="A8404" s="48" t="s">
        <v>4256</v>
      </c>
      <c r="B8404" t="s">
        <v>4257</v>
      </c>
      <c r="C8404">
        <v>52</v>
      </c>
    </row>
    <row r="8405" spans="1:3" x14ac:dyDescent="0.25">
      <c r="A8405" s="48" t="s">
        <v>4254</v>
      </c>
      <c r="B8405" t="s">
        <v>22246</v>
      </c>
      <c r="C8405">
        <v>5</v>
      </c>
    </row>
    <row r="8406" spans="1:3" x14ac:dyDescent="0.25">
      <c r="A8406" s="48" t="s">
        <v>4576</v>
      </c>
      <c r="B8406" t="s">
        <v>4577</v>
      </c>
      <c r="C8406">
        <v>137</v>
      </c>
    </row>
    <row r="8407" spans="1:3" x14ac:dyDescent="0.25">
      <c r="A8407" s="48" t="s">
        <v>4086</v>
      </c>
      <c r="B8407" t="s">
        <v>4087</v>
      </c>
      <c r="C8407">
        <v>156</v>
      </c>
    </row>
    <row r="8408" spans="1:3" x14ac:dyDescent="0.25">
      <c r="A8408" s="48" t="s">
        <v>4574</v>
      </c>
      <c r="B8408" t="s">
        <v>4575</v>
      </c>
      <c r="C8408">
        <v>50</v>
      </c>
    </row>
    <row r="8409" spans="1:3" x14ac:dyDescent="0.25">
      <c r="A8409" s="48" t="s">
        <v>4566</v>
      </c>
      <c r="B8409" t="s">
        <v>4567</v>
      </c>
      <c r="C8409">
        <v>155</v>
      </c>
    </row>
    <row r="8410" spans="1:3" x14ac:dyDescent="0.25">
      <c r="A8410" s="48" t="s">
        <v>4084</v>
      </c>
      <c r="B8410" t="s">
        <v>4085</v>
      </c>
      <c r="C8410">
        <v>115</v>
      </c>
    </row>
    <row r="8411" spans="1:3" x14ac:dyDescent="0.25">
      <c r="A8411" s="48" t="s">
        <v>4082</v>
      </c>
      <c r="B8411" t="s">
        <v>4083</v>
      </c>
      <c r="C8411">
        <v>504</v>
      </c>
    </row>
    <row r="8412" spans="1:3" x14ac:dyDescent="0.25">
      <c r="A8412" s="48" t="s">
        <v>4168</v>
      </c>
      <c r="B8412" t="s">
        <v>22247</v>
      </c>
      <c r="C8412">
        <v>758</v>
      </c>
    </row>
    <row r="8413" spans="1:3" x14ac:dyDescent="0.25">
      <c r="A8413" s="48" t="s">
        <v>4497</v>
      </c>
      <c r="B8413" t="s">
        <v>4498</v>
      </c>
      <c r="C8413">
        <v>195</v>
      </c>
    </row>
    <row r="8414" spans="1:3" x14ac:dyDescent="0.25">
      <c r="A8414" s="48" t="s">
        <v>4274</v>
      </c>
      <c r="B8414" t="s">
        <v>4275</v>
      </c>
      <c r="C8414">
        <v>334</v>
      </c>
    </row>
    <row r="8415" spans="1:3" x14ac:dyDescent="0.25">
      <c r="A8415" s="48" t="s">
        <v>4495</v>
      </c>
      <c r="B8415" t="s">
        <v>4496</v>
      </c>
      <c r="C8415">
        <v>235</v>
      </c>
    </row>
    <row r="8416" spans="1:3" x14ac:dyDescent="0.25">
      <c r="A8416" s="48" t="s">
        <v>4493</v>
      </c>
      <c r="B8416" t="s">
        <v>4494</v>
      </c>
      <c r="C8416">
        <v>198</v>
      </c>
    </row>
    <row r="8417" spans="1:3" x14ac:dyDescent="0.25">
      <c r="A8417" s="48" t="s">
        <v>4501</v>
      </c>
      <c r="B8417" t="s">
        <v>4502</v>
      </c>
      <c r="C8417">
        <v>0</v>
      </c>
    </row>
    <row r="8418" spans="1:3" x14ac:dyDescent="0.25">
      <c r="A8418" s="48" t="s">
        <v>4276</v>
      </c>
      <c r="B8418" t="s">
        <v>4277</v>
      </c>
      <c r="C8418">
        <v>267</v>
      </c>
    </row>
    <row r="8419" spans="1:3" x14ac:dyDescent="0.25">
      <c r="A8419" s="48" t="s">
        <v>4272</v>
      </c>
      <c r="B8419" t="s">
        <v>4273</v>
      </c>
      <c r="C8419">
        <v>775</v>
      </c>
    </row>
    <row r="8420" spans="1:3" x14ac:dyDescent="0.25">
      <c r="A8420" s="48" t="s">
        <v>4182</v>
      </c>
      <c r="B8420" t="s">
        <v>4183</v>
      </c>
      <c r="C8420">
        <v>0</v>
      </c>
    </row>
    <row r="8421" spans="1:3" x14ac:dyDescent="0.25">
      <c r="A8421" s="48" t="s">
        <v>4150</v>
      </c>
      <c r="B8421" t="s">
        <v>4151</v>
      </c>
      <c r="C8421">
        <v>446</v>
      </c>
    </row>
    <row r="8422" spans="1:3" x14ac:dyDescent="0.25">
      <c r="A8422" s="48" t="s">
        <v>9670</v>
      </c>
      <c r="B8422" t="s">
        <v>9671</v>
      </c>
      <c r="C8422">
        <v>0</v>
      </c>
    </row>
    <row r="8423" spans="1:3" x14ac:dyDescent="0.25">
      <c r="A8423" s="48" t="s">
        <v>9672</v>
      </c>
      <c r="B8423" t="s">
        <v>9673</v>
      </c>
      <c r="C8423">
        <v>0</v>
      </c>
    </row>
    <row r="8424" spans="1:3" x14ac:dyDescent="0.25">
      <c r="A8424" s="48" t="s">
        <v>9640</v>
      </c>
      <c r="B8424" t="s">
        <v>9641</v>
      </c>
      <c r="C8424">
        <v>0</v>
      </c>
    </row>
    <row r="8425" spans="1:3" x14ac:dyDescent="0.25">
      <c r="A8425" s="48" t="s">
        <v>9642</v>
      </c>
      <c r="B8425" t="s">
        <v>9643</v>
      </c>
      <c r="C8425">
        <v>3</v>
      </c>
    </row>
    <row r="8426" spans="1:3" x14ac:dyDescent="0.25">
      <c r="A8426" s="48" t="s">
        <v>9644</v>
      </c>
      <c r="B8426" t="s">
        <v>9645</v>
      </c>
      <c r="C8426">
        <v>2</v>
      </c>
    </row>
    <row r="8427" spans="1:3" x14ac:dyDescent="0.25">
      <c r="A8427" s="48" t="s">
        <v>9646</v>
      </c>
      <c r="B8427" t="s">
        <v>9647</v>
      </c>
      <c r="C8427">
        <v>3</v>
      </c>
    </row>
    <row r="8428" spans="1:3" x14ac:dyDescent="0.25">
      <c r="A8428" s="48" t="s">
        <v>9636</v>
      </c>
      <c r="B8428" t="s">
        <v>9637</v>
      </c>
      <c r="C8428">
        <v>2</v>
      </c>
    </row>
    <row r="8429" spans="1:3" x14ac:dyDescent="0.25">
      <c r="A8429" s="48" t="s">
        <v>9660</v>
      </c>
      <c r="B8429" t="s">
        <v>22248</v>
      </c>
      <c r="C8429">
        <v>13</v>
      </c>
    </row>
    <row r="8430" spans="1:3" x14ac:dyDescent="0.25">
      <c r="A8430" s="48" t="s">
        <v>9648</v>
      </c>
      <c r="B8430" t="s">
        <v>9649</v>
      </c>
      <c r="C8430">
        <v>11</v>
      </c>
    </row>
    <row r="8431" spans="1:3" x14ac:dyDescent="0.25">
      <c r="A8431" s="48" t="s">
        <v>9662</v>
      </c>
      <c r="B8431" t="s">
        <v>22249</v>
      </c>
      <c r="C8431">
        <v>13</v>
      </c>
    </row>
    <row r="8432" spans="1:3" x14ac:dyDescent="0.25">
      <c r="A8432" s="48" t="s">
        <v>9634</v>
      </c>
      <c r="B8432" t="s">
        <v>9635</v>
      </c>
      <c r="C8432">
        <v>0</v>
      </c>
    </row>
    <row r="8433" spans="1:3" x14ac:dyDescent="0.25">
      <c r="A8433" s="48" t="s">
        <v>9658</v>
      </c>
      <c r="B8433" t="s">
        <v>9659</v>
      </c>
      <c r="C8433">
        <v>9</v>
      </c>
    </row>
    <row r="8434" spans="1:3" x14ac:dyDescent="0.25">
      <c r="A8434" s="48" t="s">
        <v>9664</v>
      </c>
      <c r="B8434" t="s">
        <v>22250</v>
      </c>
      <c r="C8434">
        <v>0</v>
      </c>
    </row>
    <row r="8435" spans="1:3" x14ac:dyDescent="0.25">
      <c r="A8435" s="48" t="s">
        <v>9668</v>
      </c>
      <c r="B8435" t="s">
        <v>9669</v>
      </c>
      <c r="C8435">
        <v>0</v>
      </c>
    </row>
    <row r="8436" spans="1:3" x14ac:dyDescent="0.25">
      <c r="A8436" s="48" t="s">
        <v>9654</v>
      </c>
      <c r="B8436" t="s">
        <v>22251</v>
      </c>
      <c r="C8436">
        <v>2</v>
      </c>
    </row>
    <row r="8437" spans="1:3" x14ac:dyDescent="0.25">
      <c r="A8437" s="48" t="s">
        <v>9652</v>
      </c>
      <c r="B8437" t="s">
        <v>9653</v>
      </c>
      <c r="C8437">
        <v>11</v>
      </c>
    </row>
    <row r="8438" spans="1:3" x14ac:dyDescent="0.25">
      <c r="A8438" s="48" t="s">
        <v>9656</v>
      </c>
      <c r="B8438" t="s">
        <v>9657</v>
      </c>
      <c r="C8438">
        <v>5</v>
      </c>
    </row>
    <row r="8439" spans="1:3" x14ac:dyDescent="0.25">
      <c r="A8439" s="48" t="s">
        <v>9676</v>
      </c>
      <c r="B8439" t="s">
        <v>9677</v>
      </c>
      <c r="C8439">
        <v>0</v>
      </c>
    </row>
    <row r="8440" spans="1:3" x14ac:dyDescent="0.25">
      <c r="A8440" s="48" t="s">
        <v>9674</v>
      </c>
      <c r="B8440" t="s">
        <v>9675</v>
      </c>
      <c r="C8440">
        <v>0</v>
      </c>
    </row>
    <row r="8441" spans="1:3" x14ac:dyDescent="0.25">
      <c r="A8441" s="48" t="s">
        <v>9650</v>
      </c>
      <c r="B8441" t="s">
        <v>9651</v>
      </c>
      <c r="C8441">
        <v>7</v>
      </c>
    </row>
    <row r="8442" spans="1:3" x14ac:dyDescent="0.25">
      <c r="A8442" s="48" t="s">
        <v>9638</v>
      </c>
      <c r="B8442" t="s">
        <v>9639</v>
      </c>
      <c r="C8442">
        <v>4</v>
      </c>
    </row>
    <row r="8443" spans="1:3" x14ac:dyDescent="0.25">
      <c r="A8443" s="48" t="s">
        <v>9682</v>
      </c>
      <c r="B8443" t="s">
        <v>9683</v>
      </c>
      <c r="C8443">
        <v>0</v>
      </c>
    </row>
    <row r="8444" spans="1:3" x14ac:dyDescent="0.25">
      <c r="A8444" s="48" t="s">
        <v>9678</v>
      </c>
      <c r="B8444" t="s">
        <v>9679</v>
      </c>
      <c r="C8444">
        <v>11</v>
      </c>
    </row>
    <row r="8445" spans="1:3" x14ac:dyDescent="0.25">
      <c r="A8445" s="48" t="s">
        <v>9680</v>
      </c>
      <c r="B8445" t="s">
        <v>9681</v>
      </c>
      <c r="C8445">
        <v>3</v>
      </c>
    </row>
    <row r="8446" spans="1:3" x14ac:dyDescent="0.25">
      <c r="A8446" s="48" t="s">
        <v>9666</v>
      </c>
      <c r="B8446" t="s">
        <v>9667</v>
      </c>
      <c r="C8446">
        <v>28</v>
      </c>
    </row>
    <row r="8447" spans="1:3" x14ac:dyDescent="0.25">
      <c r="A8447" s="48" t="s">
        <v>3434</v>
      </c>
      <c r="B8447" t="s">
        <v>22252</v>
      </c>
      <c r="C8447">
        <v>0</v>
      </c>
    </row>
    <row r="8448" spans="1:3" x14ac:dyDescent="0.25">
      <c r="A8448" s="48" t="s">
        <v>3436</v>
      </c>
      <c r="B8448" t="s">
        <v>22253</v>
      </c>
      <c r="C8448">
        <v>0</v>
      </c>
    </row>
    <row r="8449" spans="1:3" x14ac:dyDescent="0.25">
      <c r="A8449" s="48" t="s">
        <v>6903</v>
      </c>
      <c r="B8449" t="s">
        <v>6904</v>
      </c>
      <c r="C8449">
        <v>0</v>
      </c>
    </row>
    <row r="8450" spans="1:3" x14ac:dyDescent="0.25">
      <c r="A8450" s="48" t="s">
        <v>3733</v>
      </c>
      <c r="B8450" t="s">
        <v>3734</v>
      </c>
      <c r="C8450">
        <v>0</v>
      </c>
    </row>
    <row r="8451" spans="1:3" x14ac:dyDescent="0.25">
      <c r="A8451" s="48" t="s">
        <v>3731</v>
      </c>
      <c r="B8451" t="s">
        <v>3732</v>
      </c>
      <c r="C8451">
        <v>0</v>
      </c>
    </row>
    <row r="8452" spans="1:3" x14ac:dyDescent="0.25">
      <c r="A8452" s="48" t="s">
        <v>1695</v>
      </c>
      <c r="B8452" t="s">
        <v>1696</v>
      </c>
      <c r="C8452">
        <v>11</v>
      </c>
    </row>
    <row r="8453" spans="1:3" x14ac:dyDescent="0.25">
      <c r="A8453" s="48" t="s">
        <v>12955</v>
      </c>
      <c r="B8453" t="s">
        <v>12956</v>
      </c>
      <c r="C8453">
        <v>0</v>
      </c>
    </row>
    <row r="8454" spans="1:3" x14ac:dyDescent="0.25">
      <c r="A8454" s="48" t="s">
        <v>12957</v>
      </c>
      <c r="B8454" t="s">
        <v>12958</v>
      </c>
      <c r="C8454">
        <v>0</v>
      </c>
    </row>
    <row r="8455" spans="1:3" x14ac:dyDescent="0.25">
      <c r="A8455" s="48" t="s">
        <v>6805</v>
      </c>
      <c r="B8455" t="s">
        <v>6806</v>
      </c>
      <c r="C8455">
        <v>0</v>
      </c>
    </row>
    <row r="8456" spans="1:3" x14ac:dyDescent="0.25">
      <c r="A8456" s="48" t="s">
        <v>6811</v>
      </c>
      <c r="B8456" t="s">
        <v>6812</v>
      </c>
      <c r="C8456">
        <v>0</v>
      </c>
    </row>
    <row r="8457" spans="1:3" x14ac:dyDescent="0.25">
      <c r="A8457" s="48" t="s">
        <v>6809</v>
      </c>
      <c r="B8457" t="s">
        <v>6810</v>
      </c>
      <c r="C8457">
        <v>0</v>
      </c>
    </row>
    <row r="8458" spans="1:3" x14ac:dyDescent="0.25">
      <c r="A8458" s="48" t="s">
        <v>6807</v>
      </c>
      <c r="B8458" t="s">
        <v>6808</v>
      </c>
      <c r="C8458">
        <v>0</v>
      </c>
    </row>
    <row r="8459" spans="1:3" x14ac:dyDescent="0.25">
      <c r="A8459" s="48" t="s">
        <v>6815</v>
      </c>
      <c r="B8459" t="s">
        <v>6816</v>
      </c>
      <c r="C8459">
        <v>0</v>
      </c>
    </row>
    <row r="8460" spans="1:3" x14ac:dyDescent="0.25">
      <c r="A8460" s="48" t="s">
        <v>6813</v>
      </c>
      <c r="B8460" t="s">
        <v>6814</v>
      </c>
      <c r="C8460">
        <v>0</v>
      </c>
    </row>
    <row r="8461" spans="1:3" x14ac:dyDescent="0.25">
      <c r="A8461" s="48" t="s">
        <v>12189</v>
      </c>
      <c r="B8461" t="s">
        <v>12190</v>
      </c>
      <c r="C8461">
        <v>0</v>
      </c>
    </row>
    <row r="8462" spans="1:3" x14ac:dyDescent="0.25">
      <c r="A8462" s="48" t="s">
        <v>12159</v>
      </c>
      <c r="B8462" t="s">
        <v>12160</v>
      </c>
      <c r="C8462">
        <v>0</v>
      </c>
    </row>
    <row r="8463" spans="1:3" x14ac:dyDescent="0.25">
      <c r="A8463" s="48" t="s">
        <v>12155</v>
      </c>
      <c r="B8463" t="s">
        <v>22254</v>
      </c>
      <c r="C8463">
        <v>0</v>
      </c>
    </row>
    <row r="8464" spans="1:3" x14ac:dyDescent="0.25">
      <c r="A8464" s="48" t="s">
        <v>12187</v>
      </c>
      <c r="B8464" t="s">
        <v>22255</v>
      </c>
      <c r="C8464">
        <v>0</v>
      </c>
    </row>
    <row r="8465" spans="1:3" x14ac:dyDescent="0.25">
      <c r="A8465" s="48" t="s">
        <v>12157</v>
      </c>
      <c r="B8465" t="s">
        <v>22256</v>
      </c>
      <c r="C8465">
        <v>0</v>
      </c>
    </row>
    <row r="8466" spans="1:3" x14ac:dyDescent="0.25">
      <c r="A8466" s="48" t="s">
        <v>12175</v>
      </c>
      <c r="B8466" t="s">
        <v>22257</v>
      </c>
      <c r="C8466">
        <v>11</v>
      </c>
    </row>
    <row r="8467" spans="1:3" x14ac:dyDescent="0.25">
      <c r="A8467" s="48" t="s">
        <v>13558</v>
      </c>
      <c r="B8467" t="s">
        <v>22258</v>
      </c>
      <c r="C8467">
        <v>1</v>
      </c>
    </row>
    <row r="8468" spans="1:3" x14ac:dyDescent="0.25">
      <c r="A8468" s="48" t="s">
        <v>12163</v>
      </c>
      <c r="B8468" t="s">
        <v>12164</v>
      </c>
      <c r="C8468">
        <v>7</v>
      </c>
    </row>
    <row r="8469" spans="1:3" x14ac:dyDescent="0.25">
      <c r="A8469" s="48" t="s">
        <v>12171</v>
      </c>
      <c r="B8469" t="s">
        <v>12172</v>
      </c>
      <c r="C8469">
        <v>4</v>
      </c>
    </row>
    <row r="8470" spans="1:3" x14ac:dyDescent="0.25">
      <c r="A8470" s="48" t="s">
        <v>12183</v>
      </c>
      <c r="B8470" t="s">
        <v>12184</v>
      </c>
      <c r="C8470">
        <v>0</v>
      </c>
    </row>
    <row r="8471" spans="1:3" x14ac:dyDescent="0.25">
      <c r="A8471" s="48" t="s">
        <v>12167</v>
      </c>
      <c r="B8471" t="s">
        <v>12168</v>
      </c>
      <c r="C8471">
        <v>8</v>
      </c>
    </row>
    <row r="8472" spans="1:3" x14ac:dyDescent="0.25">
      <c r="A8472" s="48" t="s">
        <v>13562</v>
      </c>
      <c r="B8472" t="s">
        <v>22259</v>
      </c>
      <c r="C8472">
        <v>6</v>
      </c>
    </row>
    <row r="8473" spans="1:3" x14ac:dyDescent="0.25">
      <c r="A8473" s="48" t="s">
        <v>1141</v>
      </c>
      <c r="B8473" t="s">
        <v>1142</v>
      </c>
      <c r="C8473">
        <v>3</v>
      </c>
    </row>
    <row r="8474" spans="1:3" x14ac:dyDescent="0.25">
      <c r="A8474" s="48" t="s">
        <v>545</v>
      </c>
      <c r="B8474" t="s">
        <v>546</v>
      </c>
      <c r="C8474">
        <v>15</v>
      </c>
    </row>
    <row r="8475" spans="1:3" x14ac:dyDescent="0.25">
      <c r="A8475" s="48" t="s">
        <v>7232</v>
      </c>
      <c r="B8475" t="s">
        <v>7233</v>
      </c>
      <c r="C8475">
        <v>11</v>
      </c>
    </row>
    <row r="8476" spans="1:3" x14ac:dyDescent="0.25">
      <c r="A8476" s="48" t="s">
        <v>1797</v>
      </c>
      <c r="B8476" t="s">
        <v>1798</v>
      </c>
      <c r="C8476">
        <v>11</v>
      </c>
    </row>
    <row r="8477" spans="1:3" x14ac:dyDescent="0.25">
      <c r="A8477" s="48" t="s">
        <v>7228</v>
      </c>
      <c r="B8477" t="s">
        <v>22260</v>
      </c>
      <c r="C8477">
        <v>20</v>
      </c>
    </row>
    <row r="8478" spans="1:3" x14ac:dyDescent="0.25">
      <c r="A8478" s="48" t="s">
        <v>842</v>
      </c>
      <c r="B8478" t="s">
        <v>843</v>
      </c>
      <c r="C8478">
        <v>3</v>
      </c>
    </row>
    <row r="8479" spans="1:3" x14ac:dyDescent="0.25">
      <c r="A8479" s="48" t="s">
        <v>7243</v>
      </c>
      <c r="B8479" t="s">
        <v>22261</v>
      </c>
      <c r="C8479">
        <v>5</v>
      </c>
    </row>
    <row r="8480" spans="1:3" x14ac:dyDescent="0.25">
      <c r="A8480" s="48" t="s">
        <v>7257</v>
      </c>
      <c r="B8480" t="s">
        <v>22262</v>
      </c>
      <c r="C8480">
        <v>0</v>
      </c>
    </row>
    <row r="8481" spans="1:3" x14ac:dyDescent="0.25">
      <c r="A8481" s="48" t="s">
        <v>7224</v>
      </c>
      <c r="B8481" t="s">
        <v>22263</v>
      </c>
      <c r="C8481">
        <v>4</v>
      </c>
    </row>
    <row r="8482" spans="1:3" x14ac:dyDescent="0.25">
      <c r="A8482" s="48" t="s">
        <v>7295</v>
      </c>
      <c r="B8482" t="s">
        <v>7296</v>
      </c>
      <c r="C8482">
        <v>2</v>
      </c>
    </row>
    <row r="8483" spans="1:3" x14ac:dyDescent="0.25">
      <c r="A8483" s="48" t="s">
        <v>7236</v>
      </c>
      <c r="B8483" t="s">
        <v>22264</v>
      </c>
      <c r="C8483">
        <v>1</v>
      </c>
    </row>
    <row r="8484" spans="1:3" x14ac:dyDescent="0.25">
      <c r="A8484" s="48" t="s">
        <v>27</v>
      </c>
      <c r="B8484" t="s">
        <v>28</v>
      </c>
      <c r="C8484">
        <v>2</v>
      </c>
    </row>
    <row r="8485" spans="1:3" x14ac:dyDescent="0.25">
      <c r="A8485" s="48" t="s">
        <v>1471</v>
      </c>
      <c r="B8485" t="s">
        <v>1472</v>
      </c>
      <c r="C8485">
        <v>1</v>
      </c>
    </row>
    <row r="8486" spans="1:3" x14ac:dyDescent="0.25">
      <c r="A8486" s="48" t="s">
        <v>501</v>
      </c>
      <c r="B8486" t="s">
        <v>502</v>
      </c>
      <c r="C8486">
        <v>5</v>
      </c>
    </row>
    <row r="8487" spans="1:3" x14ac:dyDescent="0.25">
      <c r="A8487" s="48" t="s">
        <v>1005</v>
      </c>
      <c r="B8487" t="s">
        <v>1006</v>
      </c>
      <c r="C8487">
        <v>9</v>
      </c>
    </row>
    <row r="8488" spans="1:3" x14ac:dyDescent="0.25">
      <c r="A8488" s="48" t="s">
        <v>771</v>
      </c>
      <c r="B8488" t="s">
        <v>772</v>
      </c>
      <c r="C8488">
        <v>1</v>
      </c>
    </row>
    <row r="8489" spans="1:3" x14ac:dyDescent="0.25">
      <c r="A8489" s="48" t="s">
        <v>183</v>
      </c>
      <c r="B8489" t="s">
        <v>184</v>
      </c>
      <c r="C8489">
        <v>6</v>
      </c>
    </row>
    <row r="8490" spans="1:3" x14ac:dyDescent="0.25">
      <c r="A8490" s="48" t="s">
        <v>7204</v>
      </c>
      <c r="B8490" t="s">
        <v>7205</v>
      </c>
      <c r="C8490">
        <v>0</v>
      </c>
    </row>
    <row r="8491" spans="1:3" x14ac:dyDescent="0.25">
      <c r="A8491" s="48" t="s">
        <v>7247</v>
      </c>
      <c r="B8491" t="s">
        <v>22265</v>
      </c>
      <c r="C8491">
        <v>9</v>
      </c>
    </row>
    <row r="8492" spans="1:3" x14ac:dyDescent="0.25">
      <c r="A8492" s="48" t="s">
        <v>7212</v>
      </c>
      <c r="B8492" t="s">
        <v>22266</v>
      </c>
      <c r="C8492">
        <v>4</v>
      </c>
    </row>
    <row r="8493" spans="1:3" x14ac:dyDescent="0.25">
      <c r="A8493" s="48" t="s">
        <v>7220</v>
      </c>
      <c r="B8493" t="s">
        <v>22267</v>
      </c>
      <c r="C8493">
        <v>0</v>
      </c>
    </row>
    <row r="8494" spans="1:3" x14ac:dyDescent="0.25">
      <c r="A8494" s="48" t="s">
        <v>7255</v>
      </c>
      <c r="B8494" t="s">
        <v>22268</v>
      </c>
      <c r="C8494">
        <v>9</v>
      </c>
    </row>
    <row r="8495" spans="1:3" x14ac:dyDescent="0.25">
      <c r="A8495" s="48" t="s">
        <v>7279</v>
      </c>
      <c r="B8495" t="s">
        <v>7280</v>
      </c>
      <c r="C8495">
        <v>4</v>
      </c>
    </row>
    <row r="8496" spans="1:3" x14ac:dyDescent="0.25">
      <c r="A8496" s="48" t="s">
        <v>7261</v>
      </c>
      <c r="B8496" t="s">
        <v>22269</v>
      </c>
      <c r="C8496">
        <v>7</v>
      </c>
    </row>
    <row r="8497" spans="1:3" x14ac:dyDescent="0.25">
      <c r="A8497" s="48" t="s">
        <v>43</v>
      </c>
      <c r="B8497" t="s">
        <v>44</v>
      </c>
      <c r="C8497">
        <v>0</v>
      </c>
    </row>
    <row r="8498" spans="1:3" x14ac:dyDescent="0.25">
      <c r="A8498" s="48" t="s">
        <v>35</v>
      </c>
      <c r="B8498" t="s">
        <v>36</v>
      </c>
      <c r="C8498">
        <v>4</v>
      </c>
    </row>
    <row r="8499" spans="1:3" x14ac:dyDescent="0.25">
      <c r="A8499" s="48" t="s">
        <v>549</v>
      </c>
      <c r="B8499" t="s">
        <v>550</v>
      </c>
      <c r="C8499">
        <v>6</v>
      </c>
    </row>
    <row r="8500" spans="1:3" x14ac:dyDescent="0.25">
      <c r="A8500" s="48" t="s">
        <v>7269</v>
      </c>
      <c r="B8500" t="s">
        <v>7270</v>
      </c>
      <c r="C8500">
        <v>10</v>
      </c>
    </row>
    <row r="8501" spans="1:3" x14ac:dyDescent="0.25">
      <c r="A8501" s="48" t="s">
        <v>7277</v>
      </c>
      <c r="B8501" t="s">
        <v>7278</v>
      </c>
      <c r="C8501">
        <v>4</v>
      </c>
    </row>
    <row r="8502" spans="1:3" x14ac:dyDescent="0.25">
      <c r="A8502" s="48" t="s">
        <v>7218</v>
      </c>
      <c r="B8502" t="s">
        <v>7219</v>
      </c>
      <c r="C8502">
        <v>0</v>
      </c>
    </row>
    <row r="8503" spans="1:3" x14ac:dyDescent="0.25">
      <c r="A8503" s="48" t="s">
        <v>7273</v>
      </c>
      <c r="B8503" t="s">
        <v>7274</v>
      </c>
      <c r="C8503">
        <v>0</v>
      </c>
    </row>
    <row r="8504" spans="1:3" x14ac:dyDescent="0.25">
      <c r="A8504" s="48" t="s">
        <v>1147</v>
      </c>
      <c r="B8504" t="s">
        <v>1148</v>
      </c>
      <c r="C8504">
        <v>9</v>
      </c>
    </row>
    <row r="8505" spans="1:3" x14ac:dyDescent="0.25">
      <c r="A8505" s="48" t="s">
        <v>7210</v>
      </c>
      <c r="B8505" t="s">
        <v>7211</v>
      </c>
      <c r="C8505">
        <v>2</v>
      </c>
    </row>
    <row r="8506" spans="1:3" x14ac:dyDescent="0.25">
      <c r="A8506" s="48" t="s">
        <v>53</v>
      </c>
      <c r="B8506" t="s">
        <v>54</v>
      </c>
      <c r="C8506">
        <v>33</v>
      </c>
    </row>
    <row r="8507" spans="1:3" x14ac:dyDescent="0.25">
      <c r="A8507" s="48" t="s">
        <v>969</v>
      </c>
      <c r="B8507" t="s">
        <v>970</v>
      </c>
      <c r="C8507">
        <v>32</v>
      </c>
    </row>
    <row r="8508" spans="1:3" x14ac:dyDescent="0.25">
      <c r="A8508" s="48" t="s">
        <v>213</v>
      </c>
      <c r="B8508" t="s">
        <v>214</v>
      </c>
      <c r="C8508">
        <v>22</v>
      </c>
    </row>
    <row r="8509" spans="1:3" x14ac:dyDescent="0.25">
      <c r="A8509" s="48" t="s">
        <v>1397</v>
      </c>
      <c r="B8509" t="s">
        <v>1398</v>
      </c>
      <c r="C8509">
        <v>29</v>
      </c>
    </row>
    <row r="8510" spans="1:3" x14ac:dyDescent="0.25">
      <c r="A8510" s="48" t="s">
        <v>3400</v>
      </c>
      <c r="B8510" t="s">
        <v>3401</v>
      </c>
      <c r="C8510">
        <v>10</v>
      </c>
    </row>
    <row r="8511" spans="1:3" x14ac:dyDescent="0.25">
      <c r="A8511" s="48" t="s">
        <v>3402</v>
      </c>
      <c r="B8511" t="s">
        <v>3403</v>
      </c>
      <c r="C8511">
        <v>4</v>
      </c>
    </row>
    <row r="8512" spans="1:3" x14ac:dyDescent="0.25">
      <c r="A8512" s="48" t="s">
        <v>7392</v>
      </c>
      <c r="B8512" t="s">
        <v>7393</v>
      </c>
      <c r="C8512">
        <v>19</v>
      </c>
    </row>
    <row r="8513" spans="1:3" x14ac:dyDescent="0.25">
      <c r="A8513" s="48" t="s">
        <v>7416</v>
      </c>
      <c r="B8513" t="s">
        <v>7417</v>
      </c>
      <c r="C8513">
        <v>34</v>
      </c>
    </row>
    <row r="8514" spans="1:3" x14ac:dyDescent="0.25">
      <c r="A8514" s="48" t="s">
        <v>7382</v>
      </c>
      <c r="B8514" t="s">
        <v>7383</v>
      </c>
      <c r="C8514">
        <v>5</v>
      </c>
    </row>
    <row r="8515" spans="1:3" x14ac:dyDescent="0.25">
      <c r="A8515" s="48" t="s">
        <v>7364</v>
      </c>
      <c r="B8515" t="s">
        <v>7365</v>
      </c>
      <c r="C8515">
        <v>13</v>
      </c>
    </row>
    <row r="8516" spans="1:3" x14ac:dyDescent="0.25">
      <c r="A8516" s="48" t="s">
        <v>7302</v>
      </c>
      <c r="B8516" t="s">
        <v>7303</v>
      </c>
      <c r="C8516">
        <v>52</v>
      </c>
    </row>
    <row r="8517" spans="1:3" x14ac:dyDescent="0.25">
      <c r="A8517" s="48" t="s">
        <v>15173</v>
      </c>
      <c r="B8517" t="s">
        <v>15174</v>
      </c>
      <c r="C8517">
        <v>43</v>
      </c>
    </row>
    <row r="8518" spans="1:3" x14ac:dyDescent="0.25">
      <c r="A8518" s="48" t="s">
        <v>7408</v>
      </c>
      <c r="B8518" t="s">
        <v>7409</v>
      </c>
      <c r="C8518">
        <v>41</v>
      </c>
    </row>
    <row r="8519" spans="1:3" x14ac:dyDescent="0.25">
      <c r="A8519" s="48" t="s">
        <v>715</v>
      </c>
      <c r="B8519" t="s">
        <v>716</v>
      </c>
      <c r="C8519">
        <v>3</v>
      </c>
    </row>
    <row r="8520" spans="1:3" x14ac:dyDescent="0.25">
      <c r="A8520" s="48" t="s">
        <v>7406</v>
      </c>
      <c r="B8520" t="s">
        <v>7407</v>
      </c>
      <c r="C8520">
        <v>3</v>
      </c>
    </row>
    <row r="8521" spans="1:3" x14ac:dyDescent="0.25">
      <c r="A8521" s="48" t="s">
        <v>7358</v>
      </c>
      <c r="B8521" t="s">
        <v>7359</v>
      </c>
      <c r="C8521">
        <v>5</v>
      </c>
    </row>
    <row r="8522" spans="1:3" x14ac:dyDescent="0.25">
      <c r="A8522" s="48" t="s">
        <v>7324</v>
      </c>
      <c r="B8522" t="s">
        <v>7325</v>
      </c>
      <c r="C8522">
        <v>2</v>
      </c>
    </row>
    <row r="8523" spans="1:3" x14ac:dyDescent="0.25">
      <c r="A8523" s="48" t="s">
        <v>1235</v>
      </c>
      <c r="B8523" t="s">
        <v>1236</v>
      </c>
      <c r="C8523">
        <v>0</v>
      </c>
    </row>
    <row r="8524" spans="1:3" x14ac:dyDescent="0.25">
      <c r="A8524" s="48" t="s">
        <v>858</v>
      </c>
      <c r="B8524" t="s">
        <v>859</v>
      </c>
      <c r="C8524">
        <v>7</v>
      </c>
    </row>
    <row r="8525" spans="1:3" x14ac:dyDescent="0.25">
      <c r="A8525" s="48" t="s">
        <v>7326</v>
      </c>
      <c r="B8525" t="s">
        <v>7327</v>
      </c>
      <c r="C8525">
        <v>0</v>
      </c>
    </row>
    <row r="8526" spans="1:3" x14ac:dyDescent="0.25">
      <c r="A8526" s="48" t="s">
        <v>7352</v>
      </c>
      <c r="B8526" t="s">
        <v>7353</v>
      </c>
      <c r="C8526">
        <v>16</v>
      </c>
    </row>
    <row r="8527" spans="1:3" x14ac:dyDescent="0.25">
      <c r="A8527" s="48" t="s">
        <v>7414</v>
      </c>
      <c r="B8527" t="s">
        <v>7415</v>
      </c>
      <c r="C8527">
        <v>6</v>
      </c>
    </row>
    <row r="8528" spans="1:3" x14ac:dyDescent="0.25">
      <c r="A8528" s="48" t="s">
        <v>7410</v>
      </c>
      <c r="B8528" t="s">
        <v>7411</v>
      </c>
      <c r="C8528">
        <v>21</v>
      </c>
    </row>
    <row r="8529" spans="1:3" x14ac:dyDescent="0.25">
      <c r="A8529" s="48" t="s">
        <v>7380</v>
      </c>
      <c r="B8529" t="s">
        <v>7381</v>
      </c>
      <c r="C8529">
        <v>15</v>
      </c>
    </row>
    <row r="8530" spans="1:3" x14ac:dyDescent="0.25">
      <c r="A8530" s="48" t="s">
        <v>7390</v>
      </c>
      <c r="B8530" t="s">
        <v>7391</v>
      </c>
      <c r="C8530">
        <v>2</v>
      </c>
    </row>
    <row r="8531" spans="1:3" x14ac:dyDescent="0.25">
      <c r="A8531" s="48" t="s">
        <v>261</v>
      </c>
      <c r="B8531" t="s">
        <v>262</v>
      </c>
      <c r="C8531">
        <v>0</v>
      </c>
    </row>
    <row r="8532" spans="1:3" x14ac:dyDescent="0.25">
      <c r="A8532" s="48" t="s">
        <v>15170</v>
      </c>
      <c r="B8532" t="s">
        <v>22270</v>
      </c>
      <c r="C8532">
        <v>11</v>
      </c>
    </row>
    <row r="8533" spans="1:3" x14ac:dyDescent="0.25">
      <c r="A8533" s="48" t="s">
        <v>15189</v>
      </c>
      <c r="B8533" t="s">
        <v>22271</v>
      </c>
      <c r="C8533">
        <v>4</v>
      </c>
    </row>
    <row r="8534" spans="1:3" x14ac:dyDescent="0.25">
      <c r="A8534" s="48" t="s">
        <v>23242</v>
      </c>
      <c r="B8534" t="s">
        <v>23243</v>
      </c>
      <c r="C8534">
        <v>0</v>
      </c>
    </row>
    <row r="8535" spans="1:3" x14ac:dyDescent="0.25">
      <c r="A8535" s="48" t="s">
        <v>23244</v>
      </c>
      <c r="B8535" t="s">
        <v>23245</v>
      </c>
      <c r="C8535">
        <v>0</v>
      </c>
    </row>
    <row r="8536" spans="1:3" x14ac:dyDescent="0.25">
      <c r="A8536" s="48" t="s">
        <v>22999</v>
      </c>
      <c r="B8536" t="s">
        <v>23000</v>
      </c>
      <c r="C8536">
        <v>11</v>
      </c>
    </row>
    <row r="8537" spans="1:3" x14ac:dyDescent="0.25">
      <c r="A8537" s="48" t="s">
        <v>15213</v>
      </c>
      <c r="B8537" t="s">
        <v>15214</v>
      </c>
      <c r="C8537">
        <v>8</v>
      </c>
    </row>
    <row r="8538" spans="1:3" x14ac:dyDescent="0.25">
      <c r="A8538" s="48" t="s">
        <v>7362</v>
      </c>
      <c r="B8538" t="s">
        <v>7363</v>
      </c>
      <c r="C8538">
        <v>7</v>
      </c>
    </row>
    <row r="8539" spans="1:3" x14ac:dyDescent="0.25">
      <c r="A8539" s="48" t="s">
        <v>7299</v>
      </c>
      <c r="B8539" t="s">
        <v>22272</v>
      </c>
      <c r="C8539">
        <v>0</v>
      </c>
    </row>
    <row r="8540" spans="1:3" x14ac:dyDescent="0.25">
      <c r="A8540" s="48" t="s">
        <v>7318</v>
      </c>
      <c r="B8540" t="s">
        <v>7319</v>
      </c>
      <c r="C8540">
        <v>2</v>
      </c>
    </row>
    <row r="8541" spans="1:3" x14ac:dyDescent="0.25">
      <c r="A8541" s="48" t="s">
        <v>7320</v>
      </c>
      <c r="B8541" t="s">
        <v>7321</v>
      </c>
      <c r="C8541">
        <v>12</v>
      </c>
    </row>
    <row r="8542" spans="1:3" x14ac:dyDescent="0.25">
      <c r="A8542" s="48" t="s">
        <v>7336</v>
      </c>
      <c r="B8542" t="s">
        <v>7337</v>
      </c>
      <c r="C8542">
        <v>70</v>
      </c>
    </row>
    <row r="8543" spans="1:3" x14ac:dyDescent="0.25">
      <c r="A8543" s="48" t="s">
        <v>7334</v>
      </c>
      <c r="B8543" t="s">
        <v>7335</v>
      </c>
      <c r="C8543">
        <v>0</v>
      </c>
    </row>
    <row r="8544" spans="1:3" x14ac:dyDescent="0.25">
      <c r="A8544" s="48" t="s">
        <v>15175</v>
      </c>
      <c r="B8544" t="s">
        <v>15176</v>
      </c>
      <c r="C8544">
        <v>0</v>
      </c>
    </row>
    <row r="8545" spans="1:3" x14ac:dyDescent="0.25">
      <c r="A8545" s="48" t="s">
        <v>15235</v>
      </c>
      <c r="B8545" t="s">
        <v>15236</v>
      </c>
      <c r="C8545">
        <v>0</v>
      </c>
    </row>
    <row r="8546" spans="1:3" x14ac:dyDescent="0.25">
      <c r="A8546" s="48" t="s">
        <v>15227</v>
      </c>
      <c r="B8546" t="s">
        <v>15228</v>
      </c>
      <c r="C8546">
        <v>0</v>
      </c>
    </row>
    <row r="8547" spans="1:3" x14ac:dyDescent="0.25">
      <c r="A8547" s="48" t="s">
        <v>15207</v>
      </c>
      <c r="B8547" t="s">
        <v>15208</v>
      </c>
      <c r="C8547">
        <v>0</v>
      </c>
    </row>
    <row r="8548" spans="1:3" x14ac:dyDescent="0.25">
      <c r="A8548" s="48" t="s">
        <v>15219</v>
      </c>
      <c r="B8548" t="s">
        <v>15220</v>
      </c>
      <c r="C8548">
        <v>0</v>
      </c>
    </row>
    <row r="8549" spans="1:3" x14ac:dyDescent="0.25">
      <c r="A8549" s="48" t="s">
        <v>15215</v>
      </c>
      <c r="B8549" t="s">
        <v>15216</v>
      </c>
      <c r="C8549">
        <v>0</v>
      </c>
    </row>
    <row r="8550" spans="1:3" x14ac:dyDescent="0.25">
      <c r="A8550" s="48" t="s">
        <v>3404</v>
      </c>
      <c r="B8550" t="s">
        <v>3405</v>
      </c>
      <c r="C8550">
        <v>21</v>
      </c>
    </row>
    <row r="8551" spans="1:3" x14ac:dyDescent="0.25">
      <c r="A8551" s="48" t="s">
        <v>3406</v>
      </c>
      <c r="B8551" t="s">
        <v>3407</v>
      </c>
      <c r="C8551">
        <v>14</v>
      </c>
    </row>
    <row r="8552" spans="1:3" x14ac:dyDescent="0.25">
      <c r="A8552" s="48" t="s">
        <v>3408</v>
      </c>
      <c r="B8552" t="s">
        <v>3409</v>
      </c>
      <c r="C8552">
        <v>9</v>
      </c>
    </row>
    <row r="8553" spans="1:3" x14ac:dyDescent="0.25">
      <c r="A8553" s="48" t="s">
        <v>3410</v>
      </c>
      <c r="B8553" t="s">
        <v>3411</v>
      </c>
      <c r="C8553">
        <v>4</v>
      </c>
    </row>
    <row r="8554" spans="1:3" x14ac:dyDescent="0.25">
      <c r="A8554" s="48" t="s">
        <v>7356</v>
      </c>
      <c r="B8554" t="s">
        <v>7357</v>
      </c>
      <c r="C8554">
        <v>4</v>
      </c>
    </row>
    <row r="8555" spans="1:3" x14ac:dyDescent="0.25">
      <c r="A8555" s="48" t="s">
        <v>1851</v>
      </c>
      <c r="B8555" t="s">
        <v>1852</v>
      </c>
      <c r="C8555">
        <v>7</v>
      </c>
    </row>
    <row r="8556" spans="1:3" x14ac:dyDescent="0.25">
      <c r="A8556" s="48" t="s">
        <v>7275</v>
      </c>
      <c r="B8556" t="s">
        <v>7276</v>
      </c>
      <c r="C8556">
        <v>6</v>
      </c>
    </row>
    <row r="8557" spans="1:3" x14ac:dyDescent="0.25">
      <c r="A8557" s="48" t="s">
        <v>1795</v>
      </c>
      <c r="B8557" t="s">
        <v>1796</v>
      </c>
      <c r="C8557">
        <v>0</v>
      </c>
    </row>
    <row r="8558" spans="1:3" x14ac:dyDescent="0.25">
      <c r="A8558" s="48" t="s">
        <v>7386</v>
      </c>
      <c r="B8558" t="s">
        <v>7387</v>
      </c>
      <c r="C8558">
        <v>7</v>
      </c>
    </row>
    <row r="8559" spans="1:3" x14ac:dyDescent="0.25">
      <c r="A8559" s="48" t="s">
        <v>7420</v>
      </c>
      <c r="B8559" t="s">
        <v>7421</v>
      </c>
      <c r="C8559">
        <v>0</v>
      </c>
    </row>
    <row r="8560" spans="1:3" x14ac:dyDescent="0.25">
      <c r="A8560" s="48" t="s">
        <v>7271</v>
      </c>
      <c r="B8560" t="s">
        <v>7272</v>
      </c>
      <c r="C8560">
        <v>0</v>
      </c>
    </row>
    <row r="8561" spans="1:3" x14ac:dyDescent="0.25">
      <c r="A8561" s="48" t="s">
        <v>7287</v>
      </c>
      <c r="B8561" t="s">
        <v>7288</v>
      </c>
      <c r="C8561">
        <v>0</v>
      </c>
    </row>
    <row r="8562" spans="1:3" x14ac:dyDescent="0.25">
      <c r="A8562" s="48" t="s">
        <v>767</v>
      </c>
      <c r="B8562" t="s">
        <v>768</v>
      </c>
      <c r="C8562">
        <v>0</v>
      </c>
    </row>
    <row r="8563" spans="1:3" x14ac:dyDescent="0.25">
      <c r="A8563" s="48" t="s">
        <v>7372</v>
      </c>
      <c r="B8563" t="s">
        <v>7373</v>
      </c>
      <c r="C8563">
        <v>2</v>
      </c>
    </row>
    <row r="8564" spans="1:3" x14ac:dyDescent="0.25">
      <c r="A8564" s="48" t="s">
        <v>7312</v>
      </c>
      <c r="B8564" t="s">
        <v>7313</v>
      </c>
      <c r="C8564">
        <v>0</v>
      </c>
    </row>
    <row r="8565" spans="1:3" x14ac:dyDescent="0.25">
      <c r="A8565" s="48" t="s">
        <v>7322</v>
      </c>
      <c r="B8565" t="s">
        <v>7323</v>
      </c>
      <c r="C8565">
        <v>4</v>
      </c>
    </row>
    <row r="8566" spans="1:3" x14ac:dyDescent="0.25">
      <c r="A8566" s="48" t="s">
        <v>543</v>
      </c>
      <c r="B8566" t="s">
        <v>544</v>
      </c>
      <c r="C8566">
        <v>3</v>
      </c>
    </row>
    <row r="8567" spans="1:3" x14ac:dyDescent="0.25">
      <c r="A8567" s="48" t="s">
        <v>7344</v>
      </c>
      <c r="B8567" t="s">
        <v>7345</v>
      </c>
      <c r="C8567">
        <v>5</v>
      </c>
    </row>
    <row r="8568" spans="1:3" x14ac:dyDescent="0.25">
      <c r="A8568" s="48" t="s">
        <v>7306</v>
      </c>
      <c r="B8568" t="s">
        <v>7307</v>
      </c>
      <c r="C8568">
        <v>7</v>
      </c>
    </row>
    <row r="8569" spans="1:3" x14ac:dyDescent="0.25">
      <c r="A8569" s="48" t="s">
        <v>7404</v>
      </c>
      <c r="B8569" t="s">
        <v>7405</v>
      </c>
      <c r="C8569">
        <v>1</v>
      </c>
    </row>
    <row r="8570" spans="1:3" x14ac:dyDescent="0.25">
      <c r="A8570" s="48" t="s">
        <v>3416</v>
      </c>
      <c r="B8570" t="s">
        <v>3417</v>
      </c>
      <c r="C8570">
        <v>12</v>
      </c>
    </row>
    <row r="8571" spans="1:3" x14ac:dyDescent="0.25">
      <c r="A8571" s="48" t="s">
        <v>3414</v>
      </c>
      <c r="B8571" t="s">
        <v>3415</v>
      </c>
      <c r="C8571">
        <v>16</v>
      </c>
    </row>
    <row r="8572" spans="1:3" x14ac:dyDescent="0.25">
      <c r="A8572" s="48" t="s">
        <v>15162</v>
      </c>
      <c r="B8572" t="s">
        <v>15163</v>
      </c>
      <c r="C8572">
        <v>94</v>
      </c>
    </row>
    <row r="8573" spans="1:3" x14ac:dyDescent="0.25">
      <c r="A8573" s="48" t="s">
        <v>7374</v>
      </c>
      <c r="B8573" t="s">
        <v>7375</v>
      </c>
      <c r="C8573">
        <v>1</v>
      </c>
    </row>
    <row r="8574" spans="1:3" x14ac:dyDescent="0.25">
      <c r="A8574" s="48" t="s">
        <v>7424</v>
      </c>
      <c r="B8574" t="s">
        <v>7425</v>
      </c>
      <c r="C8574">
        <v>1</v>
      </c>
    </row>
    <row r="8575" spans="1:3" x14ac:dyDescent="0.25">
      <c r="A8575" s="48" t="s">
        <v>7442</v>
      </c>
      <c r="B8575" t="s">
        <v>7443</v>
      </c>
      <c r="C8575">
        <v>2</v>
      </c>
    </row>
    <row r="8576" spans="1:3" x14ac:dyDescent="0.25">
      <c r="A8576" s="48" t="s">
        <v>15177</v>
      </c>
      <c r="B8576" t="s">
        <v>15178</v>
      </c>
      <c r="C8576">
        <v>0</v>
      </c>
    </row>
    <row r="8577" spans="1:3" x14ac:dyDescent="0.25">
      <c r="A8577" s="48" t="s">
        <v>15217</v>
      </c>
      <c r="B8577" t="s">
        <v>15218</v>
      </c>
      <c r="C8577">
        <v>4</v>
      </c>
    </row>
    <row r="8578" spans="1:3" x14ac:dyDescent="0.25">
      <c r="A8578" s="48" t="s">
        <v>15201</v>
      </c>
      <c r="B8578" t="s">
        <v>15202</v>
      </c>
      <c r="C8578">
        <v>0</v>
      </c>
    </row>
    <row r="8579" spans="1:3" x14ac:dyDescent="0.25">
      <c r="A8579" s="48" t="s">
        <v>15221</v>
      </c>
      <c r="B8579" t="s">
        <v>15222</v>
      </c>
      <c r="C8579">
        <v>1</v>
      </c>
    </row>
    <row r="8580" spans="1:3" x14ac:dyDescent="0.25">
      <c r="A8580" s="48" t="s">
        <v>15229</v>
      </c>
      <c r="B8580" t="s">
        <v>15230</v>
      </c>
      <c r="C8580">
        <v>0</v>
      </c>
    </row>
    <row r="8581" spans="1:3" x14ac:dyDescent="0.25">
      <c r="A8581" s="48" t="s">
        <v>981</v>
      </c>
      <c r="B8581" t="s">
        <v>982</v>
      </c>
      <c r="C8581">
        <v>19</v>
      </c>
    </row>
    <row r="8582" spans="1:3" x14ac:dyDescent="0.25">
      <c r="A8582" s="48" t="s">
        <v>783</v>
      </c>
      <c r="B8582" t="s">
        <v>784</v>
      </c>
      <c r="C8582">
        <v>0</v>
      </c>
    </row>
    <row r="8583" spans="1:3" x14ac:dyDescent="0.25">
      <c r="A8583" s="48" t="s">
        <v>1841</v>
      </c>
      <c r="B8583" t="s">
        <v>1842</v>
      </c>
      <c r="C8583">
        <v>1</v>
      </c>
    </row>
    <row r="8584" spans="1:3" x14ac:dyDescent="0.25">
      <c r="A8584" s="48" t="s">
        <v>1371</v>
      </c>
      <c r="B8584" t="s">
        <v>1372</v>
      </c>
      <c r="C8584">
        <v>0</v>
      </c>
    </row>
    <row r="8585" spans="1:3" x14ac:dyDescent="0.25">
      <c r="A8585" s="48" t="s">
        <v>1853</v>
      </c>
      <c r="B8585" t="s">
        <v>1854</v>
      </c>
      <c r="C8585">
        <v>3</v>
      </c>
    </row>
    <row r="8586" spans="1:3" x14ac:dyDescent="0.25">
      <c r="A8586" s="48" t="s">
        <v>1623</v>
      </c>
      <c r="B8586" t="s">
        <v>1624</v>
      </c>
      <c r="C8586">
        <v>6</v>
      </c>
    </row>
    <row r="8587" spans="1:3" x14ac:dyDescent="0.25">
      <c r="A8587" s="48" t="s">
        <v>455</v>
      </c>
      <c r="B8587" t="s">
        <v>456</v>
      </c>
      <c r="C8587">
        <v>29</v>
      </c>
    </row>
    <row r="8588" spans="1:3" x14ac:dyDescent="0.25">
      <c r="A8588" s="48" t="s">
        <v>1305</v>
      </c>
      <c r="B8588" t="s">
        <v>1306</v>
      </c>
      <c r="C8588">
        <v>16</v>
      </c>
    </row>
    <row r="8589" spans="1:3" x14ac:dyDescent="0.25">
      <c r="A8589" s="48" t="s">
        <v>587</v>
      </c>
      <c r="B8589" t="s">
        <v>588</v>
      </c>
      <c r="C8589">
        <v>49</v>
      </c>
    </row>
    <row r="8590" spans="1:3" x14ac:dyDescent="0.25">
      <c r="A8590" s="48" t="s">
        <v>147</v>
      </c>
      <c r="B8590" t="s">
        <v>148</v>
      </c>
      <c r="C8590">
        <v>25</v>
      </c>
    </row>
    <row r="8591" spans="1:3" x14ac:dyDescent="0.25">
      <c r="A8591" s="48" t="s">
        <v>1607</v>
      </c>
      <c r="B8591" t="s">
        <v>1608</v>
      </c>
      <c r="C8591">
        <v>18</v>
      </c>
    </row>
    <row r="8592" spans="1:3" x14ac:dyDescent="0.25">
      <c r="A8592" s="48" t="s">
        <v>1267</v>
      </c>
      <c r="B8592" t="s">
        <v>1268</v>
      </c>
      <c r="C8592">
        <v>28</v>
      </c>
    </row>
    <row r="8593" spans="1:3" x14ac:dyDescent="0.25">
      <c r="A8593" s="48" t="s">
        <v>15237</v>
      </c>
      <c r="B8593" t="s">
        <v>15238</v>
      </c>
      <c r="C8593">
        <v>0</v>
      </c>
    </row>
    <row r="8594" spans="1:3" x14ac:dyDescent="0.25">
      <c r="A8594" s="48" t="s">
        <v>7301</v>
      </c>
      <c r="B8594" t="s">
        <v>22272</v>
      </c>
      <c r="C8594">
        <v>12</v>
      </c>
    </row>
    <row r="8595" spans="1:3" x14ac:dyDescent="0.25">
      <c r="A8595" s="48" t="s">
        <v>18041</v>
      </c>
      <c r="B8595" t="s">
        <v>18042</v>
      </c>
      <c r="C8595">
        <v>0</v>
      </c>
    </row>
    <row r="8596" spans="1:3" x14ac:dyDescent="0.25">
      <c r="A8596" s="48" t="s">
        <v>5111</v>
      </c>
      <c r="B8596" t="s">
        <v>5112</v>
      </c>
      <c r="C8596">
        <v>0</v>
      </c>
    </row>
    <row r="8597" spans="1:3" x14ac:dyDescent="0.25">
      <c r="A8597" s="48" t="s">
        <v>5101</v>
      </c>
      <c r="B8597" t="s">
        <v>5102</v>
      </c>
      <c r="C8597">
        <v>0</v>
      </c>
    </row>
    <row r="8598" spans="1:3" x14ac:dyDescent="0.25">
      <c r="A8598" s="48" t="s">
        <v>5103</v>
      </c>
      <c r="B8598" t="s">
        <v>5104</v>
      </c>
      <c r="C8598">
        <v>0</v>
      </c>
    </row>
    <row r="8599" spans="1:3" x14ac:dyDescent="0.25">
      <c r="A8599" s="48" t="s">
        <v>22360</v>
      </c>
      <c r="B8599" t="s">
        <v>22273</v>
      </c>
      <c r="C8599">
        <v>1</v>
      </c>
    </row>
    <row r="8600" spans="1:3" x14ac:dyDescent="0.25">
      <c r="A8600" s="48" t="s">
        <v>5113</v>
      </c>
      <c r="B8600" t="s">
        <v>5114</v>
      </c>
      <c r="C8600">
        <v>1</v>
      </c>
    </row>
    <row r="8601" spans="1:3" x14ac:dyDescent="0.25">
      <c r="A8601" s="48" t="s">
        <v>5105</v>
      </c>
      <c r="B8601" t="s">
        <v>5106</v>
      </c>
      <c r="C8601">
        <v>6</v>
      </c>
    </row>
    <row r="8602" spans="1:3" x14ac:dyDescent="0.25">
      <c r="A8602" s="48" t="s">
        <v>5109</v>
      </c>
      <c r="B8602" t="s">
        <v>5110</v>
      </c>
      <c r="C8602">
        <v>1</v>
      </c>
    </row>
    <row r="8603" spans="1:3" x14ac:dyDescent="0.25">
      <c r="A8603" s="48" t="s">
        <v>5107</v>
      </c>
      <c r="B8603" t="s">
        <v>5108</v>
      </c>
      <c r="C8603">
        <v>0</v>
      </c>
    </row>
    <row r="8604" spans="1:3" x14ac:dyDescent="0.25">
      <c r="A8604" s="48" t="s">
        <v>5115</v>
      </c>
      <c r="B8604" t="s">
        <v>5116</v>
      </c>
      <c r="C8604">
        <v>0</v>
      </c>
    </row>
    <row r="8605" spans="1:3" x14ac:dyDescent="0.25">
      <c r="A8605" s="48" t="s">
        <v>8920</v>
      </c>
      <c r="B8605" t="s">
        <v>8921</v>
      </c>
      <c r="C8605">
        <v>16</v>
      </c>
    </row>
    <row r="8606" spans="1:3" x14ac:dyDescent="0.25">
      <c r="A8606" s="48" t="s">
        <v>8962</v>
      </c>
      <c r="B8606" t="s">
        <v>22274</v>
      </c>
      <c r="C8606">
        <v>16</v>
      </c>
    </row>
    <row r="8607" spans="1:3" x14ac:dyDescent="0.25">
      <c r="A8607" s="48" t="s">
        <v>8918</v>
      </c>
      <c r="B8607" t="s">
        <v>8919</v>
      </c>
      <c r="C8607">
        <v>0</v>
      </c>
    </row>
    <row r="8608" spans="1:3" x14ac:dyDescent="0.25">
      <c r="A8608" s="48" t="s">
        <v>8880</v>
      </c>
      <c r="B8608" t="s">
        <v>8881</v>
      </c>
      <c r="C8608">
        <v>6</v>
      </c>
    </row>
    <row r="8609" spans="1:3" x14ac:dyDescent="0.25">
      <c r="A8609" s="48" t="s">
        <v>8942</v>
      </c>
      <c r="B8609" t="s">
        <v>8943</v>
      </c>
      <c r="C8609">
        <v>11</v>
      </c>
    </row>
    <row r="8610" spans="1:3" x14ac:dyDescent="0.25">
      <c r="A8610" s="48" t="s">
        <v>8960</v>
      </c>
      <c r="B8610" t="s">
        <v>22275</v>
      </c>
      <c r="C8610">
        <v>12</v>
      </c>
    </row>
    <row r="8611" spans="1:3" x14ac:dyDescent="0.25">
      <c r="A8611" s="48" t="s">
        <v>8884</v>
      </c>
      <c r="B8611" t="s">
        <v>22276</v>
      </c>
      <c r="C8611">
        <v>14</v>
      </c>
    </row>
    <row r="8612" spans="1:3" x14ac:dyDescent="0.25">
      <c r="A8612" s="48" t="s">
        <v>8908</v>
      </c>
      <c r="B8612" t="s">
        <v>8909</v>
      </c>
      <c r="C8612">
        <v>5</v>
      </c>
    </row>
    <row r="8613" spans="1:3" x14ac:dyDescent="0.25">
      <c r="A8613" s="48" t="s">
        <v>8906</v>
      </c>
      <c r="B8613" t="s">
        <v>8907</v>
      </c>
      <c r="C8613">
        <v>9</v>
      </c>
    </row>
    <row r="8614" spans="1:3" x14ac:dyDescent="0.25">
      <c r="A8614" s="48" t="s">
        <v>8966</v>
      </c>
      <c r="B8614" t="s">
        <v>22277</v>
      </c>
      <c r="C8614">
        <v>0</v>
      </c>
    </row>
    <row r="8615" spans="1:3" x14ac:dyDescent="0.25">
      <c r="A8615" s="48" t="s">
        <v>8968</v>
      </c>
      <c r="B8615" t="s">
        <v>22278</v>
      </c>
      <c r="C8615">
        <v>14</v>
      </c>
    </row>
    <row r="8616" spans="1:3" x14ac:dyDescent="0.25">
      <c r="A8616" s="48" t="s">
        <v>8978</v>
      </c>
      <c r="B8616" t="s">
        <v>22279</v>
      </c>
      <c r="C8616">
        <v>14</v>
      </c>
    </row>
    <row r="8617" spans="1:3" x14ac:dyDescent="0.25">
      <c r="A8617" s="48" t="s">
        <v>8886</v>
      </c>
      <c r="B8617" t="s">
        <v>8887</v>
      </c>
      <c r="C8617">
        <v>26</v>
      </c>
    </row>
    <row r="8618" spans="1:3" x14ac:dyDescent="0.25">
      <c r="A8618" s="48" t="s">
        <v>8910</v>
      </c>
      <c r="B8618" t="s">
        <v>8911</v>
      </c>
      <c r="C8618">
        <v>10</v>
      </c>
    </row>
    <row r="8619" spans="1:3" x14ac:dyDescent="0.25">
      <c r="A8619" s="48" t="s">
        <v>8980</v>
      </c>
      <c r="B8619" t="s">
        <v>8981</v>
      </c>
      <c r="C8619">
        <v>11</v>
      </c>
    </row>
    <row r="8620" spans="1:3" x14ac:dyDescent="0.25">
      <c r="A8620" s="48" t="s">
        <v>8922</v>
      </c>
      <c r="B8620" t="s">
        <v>8923</v>
      </c>
      <c r="C8620">
        <v>5</v>
      </c>
    </row>
    <row r="8621" spans="1:3" x14ac:dyDescent="0.25">
      <c r="A8621" s="48" t="s">
        <v>8914</v>
      </c>
      <c r="B8621" t="s">
        <v>8915</v>
      </c>
      <c r="C8621">
        <v>10</v>
      </c>
    </row>
    <row r="8622" spans="1:3" x14ac:dyDescent="0.25">
      <c r="A8622" s="48" t="s">
        <v>8984</v>
      </c>
      <c r="B8622" t="s">
        <v>8985</v>
      </c>
      <c r="C8622">
        <v>12</v>
      </c>
    </row>
    <row r="8623" spans="1:3" x14ac:dyDescent="0.25">
      <c r="A8623" s="48" t="s">
        <v>8904</v>
      </c>
      <c r="B8623" t="s">
        <v>8905</v>
      </c>
      <c r="C8623">
        <v>29</v>
      </c>
    </row>
    <row r="8624" spans="1:3" x14ac:dyDescent="0.25">
      <c r="A8624" s="48" t="s">
        <v>8950</v>
      </c>
      <c r="B8624" t="s">
        <v>8951</v>
      </c>
      <c r="C8624">
        <v>8</v>
      </c>
    </row>
    <row r="8625" spans="1:3" x14ac:dyDescent="0.25">
      <c r="A8625" s="48" t="s">
        <v>8894</v>
      </c>
      <c r="B8625" t="s">
        <v>8895</v>
      </c>
      <c r="C8625">
        <v>0</v>
      </c>
    </row>
    <row r="8626" spans="1:3" x14ac:dyDescent="0.25">
      <c r="A8626" s="48" t="s">
        <v>8982</v>
      </c>
      <c r="B8626" t="s">
        <v>8983</v>
      </c>
      <c r="C8626">
        <v>6</v>
      </c>
    </row>
    <row r="8627" spans="1:3" x14ac:dyDescent="0.25">
      <c r="A8627" s="48" t="s">
        <v>8890</v>
      </c>
      <c r="B8627" t="s">
        <v>8891</v>
      </c>
      <c r="C8627">
        <v>5</v>
      </c>
    </row>
    <row r="8628" spans="1:3" x14ac:dyDescent="0.25">
      <c r="A8628" s="48" t="s">
        <v>8902</v>
      </c>
      <c r="B8628" t="s">
        <v>8903</v>
      </c>
      <c r="C8628">
        <v>0</v>
      </c>
    </row>
    <row r="8629" spans="1:3" x14ac:dyDescent="0.25">
      <c r="A8629" s="48" t="s">
        <v>8888</v>
      </c>
      <c r="B8629" t="s">
        <v>8889</v>
      </c>
      <c r="C8629">
        <v>3</v>
      </c>
    </row>
    <row r="8630" spans="1:3" x14ac:dyDescent="0.25">
      <c r="A8630" s="48" t="s">
        <v>8944</v>
      </c>
      <c r="B8630" t="s">
        <v>8945</v>
      </c>
      <c r="C8630">
        <v>0</v>
      </c>
    </row>
    <row r="8631" spans="1:3" x14ac:dyDescent="0.25">
      <c r="A8631" s="48" t="s">
        <v>8952</v>
      </c>
      <c r="B8631" t="s">
        <v>8953</v>
      </c>
      <c r="C8631">
        <v>8</v>
      </c>
    </row>
    <row r="8632" spans="1:3" x14ac:dyDescent="0.25">
      <c r="A8632" s="48" t="s">
        <v>8954</v>
      </c>
      <c r="B8632" t="s">
        <v>8955</v>
      </c>
      <c r="C8632">
        <v>0</v>
      </c>
    </row>
    <row r="8633" spans="1:3" x14ac:dyDescent="0.25">
      <c r="A8633" s="48" t="s">
        <v>8916</v>
      </c>
      <c r="B8633" t="s">
        <v>8917</v>
      </c>
      <c r="C8633">
        <v>3</v>
      </c>
    </row>
    <row r="8634" spans="1:3" x14ac:dyDescent="0.25">
      <c r="A8634" s="48" t="s">
        <v>8974</v>
      </c>
      <c r="B8634" t="s">
        <v>8975</v>
      </c>
      <c r="C8634">
        <v>3</v>
      </c>
    </row>
    <row r="8635" spans="1:3" x14ac:dyDescent="0.25">
      <c r="A8635" s="48" t="s">
        <v>8926</v>
      </c>
      <c r="B8635" t="s">
        <v>8927</v>
      </c>
      <c r="C8635">
        <v>5</v>
      </c>
    </row>
    <row r="8636" spans="1:3" x14ac:dyDescent="0.25">
      <c r="A8636" s="48" t="s">
        <v>8928</v>
      </c>
      <c r="B8636" t="s">
        <v>8929</v>
      </c>
      <c r="C8636">
        <v>8</v>
      </c>
    </row>
    <row r="8637" spans="1:3" x14ac:dyDescent="0.25">
      <c r="A8637" s="48" t="s">
        <v>8930</v>
      </c>
      <c r="B8637" t="s">
        <v>8931</v>
      </c>
      <c r="C8637">
        <v>24</v>
      </c>
    </row>
    <row r="8638" spans="1:3" x14ac:dyDescent="0.25">
      <c r="A8638" s="48" t="s">
        <v>8936</v>
      </c>
      <c r="B8638" t="s">
        <v>8937</v>
      </c>
      <c r="C8638">
        <v>16</v>
      </c>
    </row>
    <row r="8639" spans="1:3" x14ac:dyDescent="0.25">
      <c r="A8639" s="48" t="s">
        <v>8932</v>
      </c>
      <c r="B8639" t="s">
        <v>8933</v>
      </c>
      <c r="C8639">
        <v>31</v>
      </c>
    </row>
    <row r="8640" spans="1:3" x14ac:dyDescent="0.25">
      <c r="A8640" s="48" t="s">
        <v>8948</v>
      </c>
      <c r="B8640" t="s">
        <v>8949</v>
      </c>
      <c r="C8640">
        <v>10</v>
      </c>
    </row>
    <row r="8641" spans="1:3" x14ac:dyDescent="0.25">
      <c r="A8641" s="48" t="s">
        <v>8946</v>
      </c>
      <c r="B8641" t="s">
        <v>8947</v>
      </c>
      <c r="C8641">
        <v>8</v>
      </c>
    </row>
    <row r="8642" spans="1:3" x14ac:dyDescent="0.25">
      <c r="A8642" s="48" t="s">
        <v>8956</v>
      </c>
      <c r="B8642" t="s">
        <v>8957</v>
      </c>
      <c r="C8642">
        <v>18</v>
      </c>
    </row>
    <row r="8643" spans="1:3" x14ac:dyDescent="0.25">
      <c r="A8643" s="48" t="s">
        <v>8896</v>
      </c>
      <c r="B8643" t="s">
        <v>8897</v>
      </c>
      <c r="C8643">
        <v>14</v>
      </c>
    </row>
    <row r="8644" spans="1:3" x14ac:dyDescent="0.25">
      <c r="A8644" s="48" t="s">
        <v>8938</v>
      </c>
      <c r="B8644" t="s">
        <v>8939</v>
      </c>
      <c r="C8644">
        <v>33</v>
      </c>
    </row>
    <row r="8645" spans="1:3" x14ac:dyDescent="0.25">
      <c r="A8645" s="48" t="s">
        <v>8934</v>
      </c>
      <c r="B8645" t="s">
        <v>8935</v>
      </c>
      <c r="C8645">
        <v>14</v>
      </c>
    </row>
    <row r="8646" spans="1:3" x14ac:dyDescent="0.25">
      <c r="A8646" s="48" t="s">
        <v>8924</v>
      </c>
      <c r="B8646" t="s">
        <v>8925</v>
      </c>
      <c r="C8646">
        <v>15</v>
      </c>
    </row>
    <row r="8647" spans="1:3" x14ac:dyDescent="0.25">
      <c r="A8647" s="48" t="s">
        <v>8898</v>
      </c>
      <c r="B8647" t="s">
        <v>8899</v>
      </c>
      <c r="C8647">
        <v>46</v>
      </c>
    </row>
    <row r="8648" spans="1:3" x14ac:dyDescent="0.25">
      <c r="A8648" s="48" t="s">
        <v>8892</v>
      </c>
      <c r="B8648" t="s">
        <v>8893</v>
      </c>
      <c r="C8648">
        <v>15</v>
      </c>
    </row>
    <row r="8649" spans="1:3" x14ac:dyDescent="0.25">
      <c r="A8649" s="48" t="s">
        <v>8972</v>
      </c>
      <c r="B8649" t="s">
        <v>8973</v>
      </c>
      <c r="C8649">
        <v>12</v>
      </c>
    </row>
    <row r="8650" spans="1:3" x14ac:dyDescent="0.25">
      <c r="A8650" s="48" t="s">
        <v>8970</v>
      </c>
      <c r="B8650" t="s">
        <v>8971</v>
      </c>
      <c r="C8650">
        <v>8</v>
      </c>
    </row>
    <row r="8651" spans="1:3" x14ac:dyDescent="0.25">
      <c r="A8651" s="48" t="s">
        <v>8912</v>
      </c>
      <c r="B8651" t="s">
        <v>8913</v>
      </c>
      <c r="C8651">
        <v>7</v>
      </c>
    </row>
    <row r="8652" spans="1:3" x14ac:dyDescent="0.25">
      <c r="A8652" s="48" t="s">
        <v>8964</v>
      </c>
      <c r="B8652" t="s">
        <v>8965</v>
      </c>
      <c r="C8652">
        <v>2</v>
      </c>
    </row>
    <row r="8653" spans="1:3" x14ac:dyDescent="0.25">
      <c r="A8653" s="48" t="s">
        <v>8940</v>
      </c>
      <c r="B8653" t="s">
        <v>8941</v>
      </c>
      <c r="C8653">
        <v>3</v>
      </c>
    </row>
    <row r="8654" spans="1:3" x14ac:dyDescent="0.25">
      <c r="A8654" s="48" t="s">
        <v>8958</v>
      </c>
      <c r="B8654" t="s">
        <v>8959</v>
      </c>
      <c r="C8654">
        <v>3</v>
      </c>
    </row>
    <row r="8655" spans="1:3" x14ac:dyDescent="0.25">
      <c r="A8655" s="48" t="s">
        <v>8882</v>
      </c>
      <c r="B8655" t="s">
        <v>8883</v>
      </c>
      <c r="C8655">
        <v>2</v>
      </c>
    </row>
    <row r="8656" spans="1:3" x14ac:dyDescent="0.25">
      <c r="A8656" s="48" t="s">
        <v>8878</v>
      </c>
      <c r="B8656" t="s">
        <v>8879</v>
      </c>
      <c r="C8656">
        <v>10</v>
      </c>
    </row>
    <row r="8657" spans="1:3" x14ac:dyDescent="0.25">
      <c r="A8657" s="48" t="s">
        <v>8900</v>
      </c>
      <c r="B8657" t="s">
        <v>22280</v>
      </c>
      <c r="C8657">
        <v>10</v>
      </c>
    </row>
    <row r="8658" spans="1:3" x14ac:dyDescent="0.25">
      <c r="A8658" s="48" t="s">
        <v>8976</v>
      </c>
      <c r="B8658" t="s">
        <v>8977</v>
      </c>
      <c r="C8658">
        <v>31</v>
      </c>
    </row>
    <row r="8659" spans="1:3" x14ac:dyDescent="0.25">
      <c r="A8659" s="48" t="s">
        <v>1287</v>
      </c>
      <c r="B8659" t="s">
        <v>1288</v>
      </c>
      <c r="C8659">
        <v>34</v>
      </c>
    </row>
    <row r="8660" spans="1:3" x14ac:dyDescent="0.25">
      <c r="A8660" s="48" t="s">
        <v>425</v>
      </c>
      <c r="B8660" t="s">
        <v>426</v>
      </c>
      <c r="C8660">
        <v>154</v>
      </c>
    </row>
    <row r="8661" spans="1:3" x14ac:dyDescent="0.25">
      <c r="A8661" s="48" t="s">
        <v>633</v>
      </c>
      <c r="B8661" t="s">
        <v>634</v>
      </c>
      <c r="C8661">
        <v>135</v>
      </c>
    </row>
    <row r="8662" spans="1:3" x14ac:dyDescent="0.25">
      <c r="A8662" s="48" t="s">
        <v>1553</v>
      </c>
      <c r="B8662" t="s">
        <v>1554</v>
      </c>
      <c r="C8662">
        <v>92</v>
      </c>
    </row>
    <row r="8663" spans="1:3" x14ac:dyDescent="0.25">
      <c r="A8663" s="48" t="s">
        <v>953</v>
      </c>
      <c r="B8663" t="s">
        <v>954</v>
      </c>
      <c r="C8663">
        <v>154</v>
      </c>
    </row>
    <row r="8664" spans="1:3" x14ac:dyDescent="0.25">
      <c r="A8664" s="48" t="s">
        <v>1511</v>
      </c>
      <c r="B8664" t="s">
        <v>1512</v>
      </c>
      <c r="C8664">
        <v>209</v>
      </c>
    </row>
    <row r="8665" spans="1:3" x14ac:dyDescent="0.25">
      <c r="A8665" s="48" t="s">
        <v>1321</v>
      </c>
      <c r="B8665" t="s">
        <v>1322</v>
      </c>
      <c r="C8665">
        <v>221</v>
      </c>
    </row>
    <row r="8666" spans="1:3" x14ac:dyDescent="0.25">
      <c r="A8666" s="48" t="s">
        <v>1515</v>
      </c>
      <c r="B8666" t="s">
        <v>1516</v>
      </c>
      <c r="C8666">
        <v>35</v>
      </c>
    </row>
    <row r="8667" spans="1:3" x14ac:dyDescent="0.25">
      <c r="A8667" s="48" t="s">
        <v>697</v>
      </c>
      <c r="B8667" t="s">
        <v>698</v>
      </c>
      <c r="C8667">
        <v>30</v>
      </c>
    </row>
    <row r="8668" spans="1:3" x14ac:dyDescent="0.25">
      <c r="A8668" s="48" t="s">
        <v>139</v>
      </c>
      <c r="B8668" t="s">
        <v>140</v>
      </c>
      <c r="C8668">
        <v>0</v>
      </c>
    </row>
    <row r="8669" spans="1:3" x14ac:dyDescent="0.25">
      <c r="A8669" s="48" t="s">
        <v>55</v>
      </c>
      <c r="B8669" t="s">
        <v>56</v>
      </c>
      <c r="C8669">
        <v>258</v>
      </c>
    </row>
    <row r="8670" spans="1:3" x14ac:dyDescent="0.25">
      <c r="A8670" s="48" t="s">
        <v>864</v>
      </c>
      <c r="B8670" t="s">
        <v>865</v>
      </c>
      <c r="C8670">
        <v>126</v>
      </c>
    </row>
    <row r="8671" spans="1:3" x14ac:dyDescent="0.25">
      <c r="A8671" s="48" t="s">
        <v>9458</v>
      </c>
      <c r="B8671" t="s">
        <v>9459</v>
      </c>
      <c r="C8671">
        <v>4</v>
      </c>
    </row>
    <row r="8672" spans="1:3" x14ac:dyDescent="0.25">
      <c r="A8672" s="48" t="s">
        <v>67</v>
      </c>
      <c r="B8672" t="s">
        <v>68</v>
      </c>
      <c r="C8672">
        <v>0</v>
      </c>
    </row>
    <row r="8673" spans="1:3" x14ac:dyDescent="0.25">
      <c r="A8673" s="48" t="s">
        <v>15747</v>
      </c>
      <c r="B8673" t="s">
        <v>15748</v>
      </c>
      <c r="C8673">
        <v>21</v>
      </c>
    </row>
    <row r="8674" spans="1:3" x14ac:dyDescent="0.25">
      <c r="A8674" s="48" t="s">
        <v>9460</v>
      </c>
      <c r="B8674" t="s">
        <v>9461</v>
      </c>
      <c r="C8674">
        <v>6</v>
      </c>
    </row>
    <row r="8675" spans="1:3" x14ac:dyDescent="0.25">
      <c r="A8675" s="48" t="s">
        <v>1259</v>
      </c>
      <c r="B8675" t="s">
        <v>1260</v>
      </c>
      <c r="C8675">
        <v>1</v>
      </c>
    </row>
    <row r="8676" spans="1:3" x14ac:dyDescent="0.25">
      <c r="A8676" s="48" t="s">
        <v>23014</v>
      </c>
      <c r="B8676" t="s">
        <v>23015</v>
      </c>
      <c r="C8676">
        <v>1</v>
      </c>
    </row>
    <row r="8677" spans="1:3" x14ac:dyDescent="0.25">
      <c r="A8677" s="48" t="s">
        <v>12145</v>
      </c>
      <c r="B8677" t="s">
        <v>23016</v>
      </c>
      <c r="C8677">
        <v>2</v>
      </c>
    </row>
    <row r="8678" spans="1:3" x14ac:dyDescent="0.25">
      <c r="A8678" s="48" t="s">
        <v>8185</v>
      </c>
      <c r="B8678" t="s">
        <v>8186</v>
      </c>
      <c r="C8678">
        <v>14</v>
      </c>
    </row>
    <row r="8679" spans="1:3" x14ac:dyDescent="0.25">
      <c r="A8679" s="48" t="s">
        <v>397</v>
      </c>
      <c r="B8679" t="s">
        <v>398</v>
      </c>
      <c r="C8679">
        <v>9</v>
      </c>
    </row>
    <row r="8680" spans="1:3" x14ac:dyDescent="0.25">
      <c r="A8680" s="48" t="s">
        <v>209</v>
      </c>
      <c r="B8680" t="s">
        <v>210</v>
      </c>
      <c r="C8680">
        <v>0</v>
      </c>
    </row>
    <row r="8681" spans="1:3" x14ac:dyDescent="0.25">
      <c r="A8681" s="48" t="s">
        <v>14048</v>
      </c>
      <c r="B8681" t="s">
        <v>14049</v>
      </c>
      <c r="C8681">
        <v>0</v>
      </c>
    </row>
    <row r="8682" spans="1:3" x14ac:dyDescent="0.25">
      <c r="A8682" s="48" t="s">
        <v>3341</v>
      </c>
      <c r="B8682" t="s">
        <v>3342</v>
      </c>
      <c r="C8682">
        <v>0</v>
      </c>
    </row>
    <row r="8683" spans="1:3" x14ac:dyDescent="0.25">
      <c r="A8683" s="48" t="s">
        <v>12335</v>
      </c>
      <c r="B8683" t="s">
        <v>12336</v>
      </c>
      <c r="C8683">
        <v>0</v>
      </c>
    </row>
    <row r="8684" spans="1:3" x14ac:dyDescent="0.25">
      <c r="A8684" s="48" t="s">
        <v>3581</v>
      </c>
      <c r="B8684" t="s">
        <v>3582</v>
      </c>
      <c r="C8684">
        <v>0</v>
      </c>
    </row>
    <row r="8685" spans="1:3" x14ac:dyDescent="0.25">
      <c r="A8685" s="48" t="s">
        <v>18059</v>
      </c>
      <c r="B8685" t="s">
        <v>18060</v>
      </c>
      <c r="C8685">
        <v>50</v>
      </c>
    </row>
    <row r="8686" spans="1:3" x14ac:dyDescent="0.25">
      <c r="A8686" s="48" t="s">
        <v>6829</v>
      </c>
      <c r="B8686" t="s">
        <v>6830</v>
      </c>
      <c r="C8686">
        <v>9</v>
      </c>
    </row>
    <row r="8687" spans="1:3" x14ac:dyDescent="0.25">
      <c r="A8687" s="48" t="s">
        <v>16608</v>
      </c>
      <c r="B8687" t="s">
        <v>16609</v>
      </c>
      <c r="C8687">
        <v>9</v>
      </c>
    </row>
    <row r="8688" spans="1:3" x14ac:dyDescent="0.25">
      <c r="A8688" s="48" t="s">
        <v>8172</v>
      </c>
      <c r="B8688" t="s">
        <v>8173</v>
      </c>
      <c r="C8688">
        <v>0</v>
      </c>
    </row>
    <row r="8689" spans="1:3" x14ac:dyDescent="0.25">
      <c r="A8689" s="48" t="s">
        <v>8174</v>
      </c>
      <c r="B8689" t="s">
        <v>8175</v>
      </c>
      <c r="C8689">
        <v>1</v>
      </c>
    </row>
    <row r="8690" spans="1:3" x14ac:dyDescent="0.25">
      <c r="A8690" s="48" t="s">
        <v>18079</v>
      </c>
      <c r="B8690" t="s">
        <v>18080</v>
      </c>
      <c r="C8690">
        <v>5</v>
      </c>
    </row>
    <row r="8691" spans="1:3" x14ac:dyDescent="0.25">
      <c r="A8691" s="48" t="s">
        <v>5215</v>
      </c>
      <c r="B8691" t="s">
        <v>5216</v>
      </c>
      <c r="C8691">
        <v>0</v>
      </c>
    </row>
    <row r="8692" spans="1:3" x14ac:dyDescent="0.25">
      <c r="A8692" s="48" t="s">
        <v>15955</v>
      </c>
      <c r="B8692" t="s">
        <v>15956</v>
      </c>
      <c r="C8692">
        <v>2</v>
      </c>
    </row>
    <row r="8693" spans="1:3" x14ac:dyDescent="0.25">
      <c r="A8693" s="48" t="s">
        <v>9156</v>
      </c>
      <c r="B8693" t="s">
        <v>9157</v>
      </c>
      <c r="C8693">
        <v>5</v>
      </c>
    </row>
    <row r="8694" spans="1:3" x14ac:dyDescent="0.25">
      <c r="A8694" s="48" t="s">
        <v>15785</v>
      </c>
      <c r="B8694" t="s">
        <v>15786</v>
      </c>
      <c r="C8694">
        <v>24</v>
      </c>
    </row>
    <row r="8695" spans="1:3" x14ac:dyDescent="0.25">
      <c r="A8695" s="48" t="s">
        <v>15847</v>
      </c>
      <c r="B8695" t="s">
        <v>15848</v>
      </c>
      <c r="C8695">
        <v>7</v>
      </c>
    </row>
    <row r="8696" spans="1:3" x14ac:dyDescent="0.25">
      <c r="A8696" s="48" t="s">
        <v>15797</v>
      </c>
      <c r="B8696" t="s">
        <v>15798</v>
      </c>
      <c r="C8696">
        <v>0</v>
      </c>
    </row>
    <row r="8697" spans="1:3" x14ac:dyDescent="0.25">
      <c r="A8697" s="48" t="s">
        <v>15815</v>
      </c>
      <c r="B8697" t="s">
        <v>15816</v>
      </c>
      <c r="C8697">
        <v>2</v>
      </c>
    </row>
    <row r="8698" spans="1:3" x14ac:dyDescent="0.25">
      <c r="A8698" s="48" t="s">
        <v>15811</v>
      </c>
      <c r="B8698" t="s">
        <v>15812</v>
      </c>
      <c r="C8698">
        <v>3</v>
      </c>
    </row>
    <row r="8699" spans="1:3" x14ac:dyDescent="0.25">
      <c r="A8699" s="48" t="s">
        <v>15809</v>
      </c>
      <c r="B8699" t="s">
        <v>15810</v>
      </c>
      <c r="C8699">
        <v>0</v>
      </c>
    </row>
    <row r="8700" spans="1:3" x14ac:dyDescent="0.25">
      <c r="A8700" s="48" t="s">
        <v>15751</v>
      </c>
      <c r="B8700" t="s">
        <v>15752</v>
      </c>
      <c r="C8700">
        <v>20</v>
      </c>
    </row>
    <row r="8701" spans="1:3" x14ac:dyDescent="0.25">
      <c r="A8701" s="48" t="s">
        <v>15753</v>
      </c>
      <c r="B8701" t="s">
        <v>15754</v>
      </c>
      <c r="C8701">
        <v>21</v>
      </c>
    </row>
    <row r="8702" spans="1:3" x14ac:dyDescent="0.25">
      <c r="A8702" s="48" t="s">
        <v>15813</v>
      </c>
      <c r="B8702" t="s">
        <v>15814</v>
      </c>
      <c r="C8702">
        <v>0</v>
      </c>
    </row>
    <row r="8703" spans="1:3" x14ac:dyDescent="0.25">
      <c r="A8703" s="48" t="s">
        <v>15749</v>
      </c>
      <c r="B8703" t="s">
        <v>15750</v>
      </c>
      <c r="C8703">
        <v>26</v>
      </c>
    </row>
    <row r="8704" spans="1:3" x14ac:dyDescent="0.25">
      <c r="A8704" s="48" t="s">
        <v>15845</v>
      </c>
      <c r="B8704" t="s">
        <v>15846</v>
      </c>
      <c r="C8704">
        <v>7</v>
      </c>
    </row>
    <row r="8705" spans="1:3" x14ac:dyDescent="0.25">
      <c r="A8705" s="48" t="s">
        <v>15807</v>
      </c>
      <c r="B8705" t="s">
        <v>15808</v>
      </c>
      <c r="C8705">
        <v>6</v>
      </c>
    </row>
    <row r="8706" spans="1:3" x14ac:dyDescent="0.25">
      <c r="A8706" s="48" t="s">
        <v>10572</v>
      </c>
      <c r="B8706" t="s">
        <v>10573</v>
      </c>
      <c r="C8706">
        <v>0</v>
      </c>
    </row>
    <row r="8707" spans="1:3" x14ac:dyDescent="0.25">
      <c r="A8707" s="48" t="s">
        <v>10570</v>
      </c>
      <c r="B8707" t="s">
        <v>10571</v>
      </c>
      <c r="C8707">
        <v>0</v>
      </c>
    </row>
    <row r="8708" spans="1:3" x14ac:dyDescent="0.25">
      <c r="A8708" s="48" t="s">
        <v>3398</v>
      </c>
      <c r="B8708" t="s">
        <v>3399</v>
      </c>
      <c r="C8708">
        <v>0</v>
      </c>
    </row>
    <row r="8709" spans="1:3" x14ac:dyDescent="0.25">
      <c r="A8709" s="48" t="s">
        <v>8650</v>
      </c>
      <c r="B8709" t="s">
        <v>8651</v>
      </c>
      <c r="C8709">
        <v>0</v>
      </c>
    </row>
    <row r="8710" spans="1:3" x14ac:dyDescent="0.25">
      <c r="A8710" s="48" t="s">
        <v>8648</v>
      </c>
      <c r="B8710" t="s">
        <v>8649</v>
      </c>
      <c r="C8710">
        <v>2</v>
      </c>
    </row>
    <row r="8711" spans="1:3" x14ac:dyDescent="0.25">
      <c r="A8711" s="48" t="s">
        <v>3601</v>
      </c>
      <c r="B8711" t="s">
        <v>3602</v>
      </c>
      <c r="C8711">
        <v>0</v>
      </c>
    </row>
    <row r="8712" spans="1:3" x14ac:dyDescent="0.25">
      <c r="A8712" s="48" t="s">
        <v>3595</v>
      </c>
      <c r="B8712" t="s">
        <v>3596</v>
      </c>
      <c r="C8712">
        <v>0</v>
      </c>
    </row>
    <row r="8713" spans="1:3" x14ac:dyDescent="0.25">
      <c r="A8713" s="48" t="s">
        <v>3597</v>
      </c>
      <c r="B8713" t="s">
        <v>3598</v>
      </c>
      <c r="C8713">
        <v>0</v>
      </c>
    </row>
    <row r="8714" spans="1:3" x14ac:dyDescent="0.25">
      <c r="A8714" s="48" t="s">
        <v>3603</v>
      </c>
      <c r="B8714" t="s">
        <v>3604</v>
      </c>
      <c r="C8714">
        <v>0</v>
      </c>
    </row>
    <row r="8715" spans="1:3" x14ac:dyDescent="0.25">
      <c r="A8715" s="48" t="s">
        <v>15717</v>
      </c>
      <c r="B8715" t="s">
        <v>15718</v>
      </c>
      <c r="C8715">
        <v>11</v>
      </c>
    </row>
    <row r="8716" spans="1:3" x14ac:dyDescent="0.25">
      <c r="A8716" s="48" t="s">
        <v>15719</v>
      </c>
      <c r="B8716" t="s">
        <v>15720</v>
      </c>
      <c r="C8716">
        <v>35</v>
      </c>
    </row>
    <row r="8717" spans="1:3" x14ac:dyDescent="0.25">
      <c r="A8717" s="48" t="s">
        <v>15715</v>
      </c>
      <c r="B8717" t="s">
        <v>15716</v>
      </c>
      <c r="C8717">
        <v>0</v>
      </c>
    </row>
    <row r="8718" spans="1:3" x14ac:dyDescent="0.25">
      <c r="A8718" s="48" t="s">
        <v>15721</v>
      </c>
      <c r="B8718" t="s">
        <v>15722</v>
      </c>
      <c r="C8718">
        <v>1</v>
      </c>
    </row>
    <row r="8719" spans="1:3" x14ac:dyDescent="0.25">
      <c r="A8719" s="48" t="s">
        <v>6315</v>
      </c>
      <c r="B8719" t="s">
        <v>6316</v>
      </c>
      <c r="C8719">
        <v>60</v>
      </c>
    </row>
    <row r="8720" spans="1:3" x14ac:dyDescent="0.25">
      <c r="A8720" s="48" t="s">
        <v>6317</v>
      </c>
      <c r="B8720" t="s">
        <v>6318</v>
      </c>
      <c r="C8720">
        <v>6</v>
      </c>
    </row>
    <row r="8721" spans="1:3" x14ac:dyDescent="0.25">
      <c r="A8721" s="48" t="s">
        <v>6319</v>
      </c>
      <c r="B8721" t="s">
        <v>6320</v>
      </c>
      <c r="C8721">
        <v>5</v>
      </c>
    </row>
    <row r="8722" spans="1:3" x14ac:dyDescent="0.25">
      <c r="A8722" s="48" t="s">
        <v>15723</v>
      </c>
      <c r="B8722" t="s">
        <v>15724</v>
      </c>
      <c r="C8722">
        <v>0</v>
      </c>
    </row>
    <row r="8723" spans="1:3" x14ac:dyDescent="0.25">
      <c r="A8723" s="48" t="s">
        <v>15725</v>
      </c>
      <c r="B8723" t="s">
        <v>15726</v>
      </c>
      <c r="C8723">
        <v>0</v>
      </c>
    </row>
    <row r="8724" spans="1:3" x14ac:dyDescent="0.25">
      <c r="A8724" s="48" t="s">
        <v>15713</v>
      </c>
      <c r="B8724" t="s">
        <v>15714</v>
      </c>
      <c r="C8724">
        <v>7</v>
      </c>
    </row>
    <row r="8725" spans="1:3" x14ac:dyDescent="0.25">
      <c r="A8725" s="48" t="s">
        <v>9208</v>
      </c>
      <c r="B8725" t="s">
        <v>9209</v>
      </c>
      <c r="C8725">
        <v>13</v>
      </c>
    </row>
    <row r="8726" spans="1:3" x14ac:dyDescent="0.25">
      <c r="A8726" s="48" t="s">
        <v>9206</v>
      </c>
      <c r="B8726" t="s">
        <v>9207</v>
      </c>
      <c r="C8726">
        <v>7</v>
      </c>
    </row>
    <row r="8727" spans="1:3" x14ac:dyDescent="0.25">
      <c r="A8727" s="48" t="s">
        <v>12730</v>
      </c>
      <c r="B8727" t="s">
        <v>12731</v>
      </c>
      <c r="C8727">
        <v>50</v>
      </c>
    </row>
    <row r="8728" spans="1:3" x14ac:dyDescent="0.25">
      <c r="A8728" s="48" t="s">
        <v>12726</v>
      </c>
      <c r="B8728" t="s">
        <v>22281</v>
      </c>
      <c r="C8728">
        <v>0</v>
      </c>
    </row>
    <row r="8729" spans="1:3" x14ac:dyDescent="0.25">
      <c r="A8729" s="48" t="s">
        <v>12728</v>
      </c>
      <c r="B8729" t="s">
        <v>12729</v>
      </c>
      <c r="C8729">
        <v>31</v>
      </c>
    </row>
    <row r="8730" spans="1:3" x14ac:dyDescent="0.25">
      <c r="A8730" s="48" t="s">
        <v>1847</v>
      </c>
      <c r="B8730" t="s">
        <v>1848</v>
      </c>
      <c r="C8730">
        <v>213</v>
      </c>
    </row>
    <row r="8731" spans="1:3" x14ac:dyDescent="0.25">
      <c r="A8731" s="48" t="s">
        <v>12421</v>
      </c>
      <c r="B8731" t="s">
        <v>12422</v>
      </c>
      <c r="C8731">
        <v>30</v>
      </c>
    </row>
    <row r="8732" spans="1:3" x14ac:dyDescent="0.25">
      <c r="A8732" s="48" t="s">
        <v>12423</v>
      </c>
      <c r="B8732" t="s">
        <v>12424</v>
      </c>
      <c r="C8732">
        <v>0</v>
      </c>
    </row>
    <row r="8733" spans="1:3" x14ac:dyDescent="0.25">
      <c r="A8733" s="48" t="s">
        <v>12386</v>
      </c>
      <c r="B8733" t="s">
        <v>12387</v>
      </c>
      <c r="C8733">
        <v>0</v>
      </c>
    </row>
    <row r="8734" spans="1:3" x14ac:dyDescent="0.25">
      <c r="A8734" s="48" t="s">
        <v>475</v>
      </c>
      <c r="B8734" t="s">
        <v>476</v>
      </c>
      <c r="C8734">
        <v>137</v>
      </c>
    </row>
    <row r="8735" spans="1:3" x14ac:dyDescent="0.25">
      <c r="A8735" s="48" t="s">
        <v>195</v>
      </c>
      <c r="B8735" t="s">
        <v>196</v>
      </c>
      <c r="C8735">
        <v>0</v>
      </c>
    </row>
    <row r="8736" spans="1:3" x14ac:dyDescent="0.25">
      <c r="A8736" s="48" t="s">
        <v>1137</v>
      </c>
      <c r="B8736" t="s">
        <v>1138</v>
      </c>
      <c r="C8736">
        <v>170</v>
      </c>
    </row>
    <row r="8737" spans="1:3" x14ac:dyDescent="0.25">
      <c r="A8737" s="48" t="s">
        <v>12416</v>
      </c>
      <c r="B8737" t="s">
        <v>12417</v>
      </c>
      <c r="C8737">
        <v>5</v>
      </c>
    </row>
    <row r="8738" spans="1:3" x14ac:dyDescent="0.25">
      <c r="A8738" s="48" t="s">
        <v>12398</v>
      </c>
      <c r="B8738" t="s">
        <v>12399</v>
      </c>
      <c r="C8738">
        <v>0</v>
      </c>
    </row>
    <row r="8739" spans="1:3" x14ac:dyDescent="0.25">
      <c r="A8739" s="48" t="s">
        <v>888</v>
      </c>
      <c r="B8739" t="s">
        <v>889</v>
      </c>
      <c r="C8739">
        <v>39</v>
      </c>
    </row>
    <row r="8740" spans="1:3" x14ac:dyDescent="0.25">
      <c r="A8740" s="48" t="s">
        <v>965</v>
      </c>
      <c r="B8740" t="s">
        <v>966</v>
      </c>
      <c r="C8740">
        <v>68</v>
      </c>
    </row>
    <row r="8741" spans="1:3" x14ac:dyDescent="0.25">
      <c r="A8741" s="48" t="s">
        <v>1097</v>
      </c>
      <c r="B8741" t="s">
        <v>1098</v>
      </c>
      <c r="C8741">
        <v>28</v>
      </c>
    </row>
    <row r="8742" spans="1:3" x14ac:dyDescent="0.25">
      <c r="A8742" s="48" t="s">
        <v>12412</v>
      </c>
      <c r="B8742" t="s">
        <v>12413</v>
      </c>
      <c r="C8742">
        <v>38</v>
      </c>
    </row>
    <row r="8743" spans="1:3" x14ac:dyDescent="0.25">
      <c r="A8743" s="48" t="s">
        <v>12384</v>
      </c>
      <c r="B8743" t="s">
        <v>12385</v>
      </c>
      <c r="C8743">
        <v>14</v>
      </c>
    </row>
    <row r="8744" spans="1:3" x14ac:dyDescent="0.25">
      <c r="A8744" s="48" t="s">
        <v>573</v>
      </c>
      <c r="B8744" t="s">
        <v>574</v>
      </c>
      <c r="C8744">
        <v>47</v>
      </c>
    </row>
    <row r="8745" spans="1:3" x14ac:dyDescent="0.25">
      <c r="A8745" s="48" t="s">
        <v>269</v>
      </c>
      <c r="B8745" t="s">
        <v>270</v>
      </c>
      <c r="C8745">
        <v>5</v>
      </c>
    </row>
    <row r="8746" spans="1:3" x14ac:dyDescent="0.25">
      <c r="A8746" s="48" t="s">
        <v>12388</v>
      </c>
      <c r="B8746" t="s">
        <v>12389</v>
      </c>
      <c r="C8746">
        <v>31</v>
      </c>
    </row>
    <row r="8747" spans="1:3" x14ac:dyDescent="0.25">
      <c r="A8747" s="48" t="s">
        <v>973</v>
      </c>
      <c r="B8747" t="s">
        <v>974</v>
      </c>
      <c r="C8747">
        <v>9</v>
      </c>
    </row>
    <row r="8748" spans="1:3" x14ac:dyDescent="0.25">
      <c r="A8748" s="48" t="s">
        <v>12396</v>
      </c>
      <c r="B8748" t="s">
        <v>12397</v>
      </c>
      <c r="C8748">
        <v>54</v>
      </c>
    </row>
    <row r="8749" spans="1:3" x14ac:dyDescent="0.25">
      <c r="A8749" s="48" t="s">
        <v>12392</v>
      </c>
      <c r="B8749" t="s">
        <v>12393</v>
      </c>
      <c r="C8749">
        <v>0</v>
      </c>
    </row>
    <row r="8750" spans="1:3" x14ac:dyDescent="0.25">
      <c r="A8750" s="48" t="s">
        <v>12414</v>
      </c>
      <c r="B8750" t="s">
        <v>12415</v>
      </c>
      <c r="C8750">
        <v>21</v>
      </c>
    </row>
    <row r="8751" spans="1:3" x14ac:dyDescent="0.25">
      <c r="A8751" s="48" t="s">
        <v>12404</v>
      </c>
      <c r="B8751" t="s">
        <v>12405</v>
      </c>
      <c r="C8751">
        <v>40</v>
      </c>
    </row>
    <row r="8752" spans="1:3" x14ac:dyDescent="0.25">
      <c r="A8752" s="48" t="s">
        <v>12408</v>
      </c>
      <c r="B8752" t="s">
        <v>12409</v>
      </c>
      <c r="C8752">
        <v>0</v>
      </c>
    </row>
    <row r="8753" spans="1:3" x14ac:dyDescent="0.25">
      <c r="A8753" s="48" t="s">
        <v>12378</v>
      </c>
      <c r="B8753" t="s">
        <v>12379</v>
      </c>
      <c r="C8753">
        <v>18</v>
      </c>
    </row>
    <row r="8754" spans="1:3" x14ac:dyDescent="0.25">
      <c r="A8754" s="48" t="s">
        <v>12376</v>
      </c>
      <c r="B8754" t="s">
        <v>12377</v>
      </c>
      <c r="C8754">
        <v>11</v>
      </c>
    </row>
    <row r="8755" spans="1:3" x14ac:dyDescent="0.25">
      <c r="A8755" s="48" t="s">
        <v>12394</v>
      </c>
      <c r="B8755" t="s">
        <v>12395</v>
      </c>
      <c r="C8755">
        <v>14</v>
      </c>
    </row>
    <row r="8756" spans="1:3" x14ac:dyDescent="0.25">
      <c r="A8756" s="48" t="s">
        <v>12380</v>
      </c>
      <c r="B8756" t="s">
        <v>12381</v>
      </c>
      <c r="C8756">
        <v>51</v>
      </c>
    </row>
    <row r="8757" spans="1:3" x14ac:dyDescent="0.25">
      <c r="A8757" s="48" t="s">
        <v>12406</v>
      </c>
      <c r="B8757" t="s">
        <v>12407</v>
      </c>
      <c r="C8757">
        <v>0</v>
      </c>
    </row>
    <row r="8758" spans="1:3" x14ac:dyDescent="0.25">
      <c r="A8758" s="48" t="s">
        <v>12418</v>
      </c>
      <c r="B8758" t="s">
        <v>12419</v>
      </c>
      <c r="C8758">
        <v>34</v>
      </c>
    </row>
    <row r="8759" spans="1:3" x14ac:dyDescent="0.25">
      <c r="A8759" s="48" t="s">
        <v>12390</v>
      </c>
      <c r="B8759" t="s">
        <v>12391</v>
      </c>
      <c r="C8759">
        <v>11</v>
      </c>
    </row>
    <row r="8760" spans="1:3" x14ac:dyDescent="0.25">
      <c r="A8760" s="48" t="s">
        <v>12410</v>
      </c>
      <c r="B8760" t="s">
        <v>12411</v>
      </c>
      <c r="C8760">
        <v>2</v>
      </c>
    </row>
    <row r="8761" spans="1:3" x14ac:dyDescent="0.25">
      <c r="A8761" s="48" t="s">
        <v>1123</v>
      </c>
      <c r="B8761" t="s">
        <v>1124</v>
      </c>
      <c r="C8761">
        <v>99</v>
      </c>
    </row>
    <row r="8762" spans="1:3" x14ac:dyDescent="0.25">
      <c r="A8762" s="48" t="s">
        <v>12402</v>
      </c>
      <c r="B8762" t="s">
        <v>12403</v>
      </c>
      <c r="C8762">
        <v>20</v>
      </c>
    </row>
    <row r="8763" spans="1:3" x14ac:dyDescent="0.25">
      <c r="A8763" s="48" t="s">
        <v>12382</v>
      </c>
      <c r="B8763" t="s">
        <v>12383</v>
      </c>
      <c r="C8763">
        <v>26</v>
      </c>
    </row>
    <row r="8764" spans="1:3" x14ac:dyDescent="0.25">
      <c r="A8764" s="48" t="s">
        <v>12400</v>
      </c>
      <c r="B8764" t="s">
        <v>12401</v>
      </c>
      <c r="C8764">
        <v>3</v>
      </c>
    </row>
    <row r="8765" spans="1:3" x14ac:dyDescent="0.25">
      <c r="A8765" s="48" t="s">
        <v>9118</v>
      </c>
      <c r="B8765" t="s">
        <v>22282</v>
      </c>
      <c r="C8765">
        <v>27</v>
      </c>
    </row>
    <row r="8766" spans="1:3" x14ac:dyDescent="0.25">
      <c r="A8766" s="48" t="s">
        <v>1603</v>
      </c>
      <c r="B8766" t="s">
        <v>1604</v>
      </c>
      <c r="C8766">
        <v>23</v>
      </c>
    </row>
    <row r="8767" spans="1:3" x14ac:dyDescent="0.25">
      <c r="A8767" s="48" t="s">
        <v>4633</v>
      </c>
      <c r="B8767" t="s">
        <v>22283</v>
      </c>
      <c r="C8767">
        <v>4</v>
      </c>
    </row>
    <row r="8768" spans="1:3" x14ac:dyDescent="0.25">
      <c r="A8768" s="48" t="s">
        <v>12151</v>
      </c>
      <c r="B8768" t="s">
        <v>12152</v>
      </c>
      <c r="C8768">
        <v>44</v>
      </c>
    </row>
    <row r="8769" spans="1:3" x14ac:dyDescent="0.25">
      <c r="A8769" s="48" t="s">
        <v>5897</v>
      </c>
      <c r="B8769" t="s">
        <v>5898</v>
      </c>
      <c r="C8769">
        <v>30</v>
      </c>
    </row>
    <row r="8770" spans="1:3" x14ac:dyDescent="0.25">
      <c r="A8770" s="48" t="s">
        <v>15889</v>
      </c>
      <c r="B8770" t="s">
        <v>15890</v>
      </c>
      <c r="C8770">
        <v>0</v>
      </c>
    </row>
    <row r="8771" spans="1:3" x14ac:dyDescent="0.25">
      <c r="A8771" s="48" t="s">
        <v>15887</v>
      </c>
      <c r="B8771" t="s">
        <v>15888</v>
      </c>
      <c r="C8771">
        <v>3</v>
      </c>
    </row>
    <row r="8772" spans="1:3" x14ac:dyDescent="0.25">
      <c r="A8772" s="48" t="s">
        <v>15893</v>
      </c>
      <c r="B8772" t="s">
        <v>15894</v>
      </c>
      <c r="C8772">
        <v>0</v>
      </c>
    </row>
    <row r="8773" spans="1:3" x14ac:dyDescent="0.25">
      <c r="A8773" s="48" t="s">
        <v>15897</v>
      </c>
      <c r="B8773" t="s">
        <v>15898</v>
      </c>
      <c r="C8773">
        <v>1</v>
      </c>
    </row>
    <row r="8774" spans="1:3" x14ac:dyDescent="0.25">
      <c r="A8774" s="48" t="s">
        <v>15901</v>
      </c>
      <c r="B8774" t="s">
        <v>15902</v>
      </c>
      <c r="C8774">
        <v>1</v>
      </c>
    </row>
    <row r="8775" spans="1:3" x14ac:dyDescent="0.25">
      <c r="A8775" s="48" t="s">
        <v>19835</v>
      </c>
      <c r="B8775" t="s">
        <v>19836</v>
      </c>
      <c r="C8775">
        <v>0</v>
      </c>
    </row>
    <row r="8776" spans="1:3" x14ac:dyDescent="0.25">
      <c r="A8776" s="48" t="s">
        <v>15883</v>
      </c>
      <c r="B8776" t="s">
        <v>15884</v>
      </c>
      <c r="C8776">
        <v>0</v>
      </c>
    </row>
    <row r="8777" spans="1:3" x14ac:dyDescent="0.25">
      <c r="A8777" s="48" t="s">
        <v>15903</v>
      </c>
      <c r="B8777" t="s">
        <v>15904</v>
      </c>
      <c r="C8777">
        <v>0</v>
      </c>
    </row>
    <row r="8778" spans="1:3" x14ac:dyDescent="0.25">
      <c r="A8778" s="48" t="s">
        <v>15915</v>
      </c>
      <c r="B8778" t="s">
        <v>15916</v>
      </c>
      <c r="C8778">
        <v>4</v>
      </c>
    </row>
    <row r="8779" spans="1:3" x14ac:dyDescent="0.25">
      <c r="A8779" s="48" t="s">
        <v>15877</v>
      </c>
      <c r="B8779" t="s">
        <v>22284</v>
      </c>
      <c r="C8779">
        <v>0</v>
      </c>
    </row>
    <row r="8780" spans="1:3" x14ac:dyDescent="0.25">
      <c r="A8780" s="48" t="s">
        <v>15879</v>
      </c>
      <c r="B8780" t="s">
        <v>15880</v>
      </c>
      <c r="C8780">
        <v>0</v>
      </c>
    </row>
    <row r="8781" spans="1:3" x14ac:dyDescent="0.25">
      <c r="A8781" s="48" t="s">
        <v>1019</v>
      </c>
      <c r="B8781" t="s">
        <v>1020</v>
      </c>
      <c r="C8781">
        <v>8</v>
      </c>
    </row>
    <row r="8782" spans="1:3" x14ac:dyDescent="0.25">
      <c r="A8782" s="48" t="s">
        <v>15913</v>
      </c>
      <c r="B8782" t="s">
        <v>22285</v>
      </c>
      <c r="C8782">
        <v>18</v>
      </c>
    </row>
    <row r="8783" spans="1:3" x14ac:dyDescent="0.25">
      <c r="A8783" s="48" t="s">
        <v>15875</v>
      </c>
      <c r="B8783" t="s">
        <v>22286</v>
      </c>
      <c r="C8783">
        <v>0</v>
      </c>
    </row>
    <row r="8784" spans="1:3" x14ac:dyDescent="0.25">
      <c r="A8784" s="48" t="s">
        <v>5026</v>
      </c>
      <c r="B8784" t="s">
        <v>5027</v>
      </c>
      <c r="C8784">
        <v>0</v>
      </c>
    </row>
    <row r="8785" spans="1:3" x14ac:dyDescent="0.25">
      <c r="A8785" s="48" t="s">
        <v>15919</v>
      </c>
      <c r="B8785" t="s">
        <v>15920</v>
      </c>
      <c r="C8785">
        <v>0</v>
      </c>
    </row>
    <row r="8786" spans="1:3" x14ac:dyDescent="0.25">
      <c r="A8786" s="48" t="s">
        <v>15899</v>
      </c>
      <c r="B8786" t="s">
        <v>22287</v>
      </c>
      <c r="C8786">
        <v>0</v>
      </c>
    </row>
    <row r="8787" spans="1:3" x14ac:dyDescent="0.25">
      <c r="A8787" s="48" t="s">
        <v>15891</v>
      </c>
      <c r="B8787" t="s">
        <v>15892</v>
      </c>
      <c r="C8787">
        <v>2</v>
      </c>
    </row>
    <row r="8788" spans="1:3" x14ac:dyDescent="0.25">
      <c r="A8788" s="48" t="s">
        <v>15895</v>
      </c>
      <c r="B8788" t="s">
        <v>22288</v>
      </c>
      <c r="C8788">
        <v>16</v>
      </c>
    </row>
    <row r="8789" spans="1:3" x14ac:dyDescent="0.25">
      <c r="A8789" s="48" t="s">
        <v>15881</v>
      </c>
      <c r="B8789" t="s">
        <v>22289</v>
      </c>
      <c r="C8789">
        <v>3</v>
      </c>
    </row>
    <row r="8790" spans="1:3" x14ac:dyDescent="0.25">
      <c r="A8790" s="48" t="s">
        <v>5028</v>
      </c>
      <c r="B8790" t="s">
        <v>5029</v>
      </c>
      <c r="C8790">
        <v>0</v>
      </c>
    </row>
    <row r="8791" spans="1:3" x14ac:dyDescent="0.25">
      <c r="A8791" s="48" t="s">
        <v>15885</v>
      </c>
      <c r="B8791" t="s">
        <v>15886</v>
      </c>
      <c r="C8791">
        <v>0</v>
      </c>
    </row>
    <row r="8792" spans="1:3" x14ac:dyDescent="0.25">
      <c r="A8792" s="48" t="s">
        <v>17798</v>
      </c>
      <c r="B8792" t="s">
        <v>17799</v>
      </c>
      <c r="C8792">
        <v>0</v>
      </c>
    </row>
    <row r="8793" spans="1:3" x14ac:dyDescent="0.25">
      <c r="A8793" s="48" t="s">
        <v>17790</v>
      </c>
      <c r="B8793" t="s">
        <v>17791</v>
      </c>
      <c r="C8793">
        <v>0</v>
      </c>
    </row>
    <row r="8794" spans="1:3" x14ac:dyDescent="0.25">
      <c r="A8794" s="48" t="s">
        <v>17788</v>
      </c>
      <c r="B8794" t="s">
        <v>17789</v>
      </c>
      <c r="C8794">
        <v>0</v>
      </c>
    </row>
    <row r="8795" spans="1:3" x14ac:dyDescent="0.25">
      <c r="A8795" s="48" t="s">
        <v>17792</v>
      </c>
      <c r="B8795" t="s">
        <v>17793</v>
      </c>
      <c r="C8795">
        <v>4</v>
      </c>
    </row>
    <row r="8796" spans="1:3" x14ac:dyDescent="0.25">
      <c r="A8796" s="48" t="s">
        <v>17796</v>
      </c>
      <c r="B8796" t="s">
        <v>17797</v>
      </c>
      <c r="C8796">
        <v>0</v>
      </c>
    </row>
    <row r="8797" spans="1:3" x14ac:dyDescent="0.25">
      <c r="A8797" s="48" t="s">
        <v>17794</v>
      </c>
      <c r="B8797" t="s">
        <v>17795</v>
      </c>
      <c r="C8797">
        <v>3</v>
      </c>
    </row>
    <row r="8798" spans="1:3" x14ac:dyDescent="0.25">
      <c r="A8798" s="48" t="s">
        <v>9416</v>
      </c>
      <c r="B8798" t="s">
        <v>9417</v>
      </c>
      <c r="C8798">
        <v>40</v>
      </c>
    </row>
    <row r="8799" spans="1:3" x14ac:dyDescent="0.25">
      <c r="A8799" s="48" t="s">
        <v>16484</v>
      </c>
      <c r="B8799" t="s">
        <v>16485</v>
      </c>
      <c r="C8799">
        <v>12</v>
      </c>
    </row>
    <row r="8800" spans="1:3" x14ac:dyDescent="0.25">
      <c r="A8800" s="48" t="s">
        <v>9400</v>
      </c>
      <c r="B8800" t="s">
        <v>9401</v>
      </c>
      <c r="C8800">
        <v>73</v>
      </c>
    </row>
    <row r="8801" spans="1:3" x14ac:dyDescent="0.25">
      <c r="A8801" s="48" t="s">
        <v>6313</v>
      </c>
      <c r="B8801" t="s">
        <v>6314</v>
      </c>
      <c r="C8801">
        <v>9</v>
      </c>
    </row>
    <row r="8802" spans="1:3" x14ac:dyDescent="0.25">
      <c r="A8802" s="48" t="s">
        <v>12988</v>
      </c>
      <c r="B8802" t="s">
        <v>12989</v>
      </c>
      <c r="C8802">
        <v>144</v>
      </c>
    </row>
    <row r="8803" spans="1:3" x14ac:dyDescent="0.25">
      <c r="A8803" s="48" t="s">
        <v>12990</v>
      </c>
      <c r="B8803" t="s">
        <v>12991</v>
      </c>
      <c r="C8803">
        <v>0</v>
      </c>
    </row>
    <row r="8804" spans="1:3" x14ac:dyDescent="0.25">
      <c r="A8804" s="48" t="s">
        <v>16488</v>
      </c>
      <c r="B8804" t="s">
        <v>16489</v>
      </c>
      <c r="C8804">
        <v>6</v>
      </c>
    </row>
    <row r="8805" spans="1:3" x14ac:dyDescent="0.25">
      <c r="A8805" s="48" t="s">
        <v>16486</v>
      </c>
      <c r="B8805" t="s">
        <v>16487</v>
      </c>
      <c r="C8805">
        <v>8</v>
      </c>
    </row>
    <row r="8806" spans="1:3" x14ac:dyDescent="0.25">
      <c r="A8806" s="48" t="s">
        <v>9418</v>
      </c>
      <c r="B8806" t="s">
        <v>9419</v>
      </c>
      <c r="C8806">
        <v>12</v>
      </c>
    </row>
    <row r="8807" spans="1:3" x14ac:dyDescent="0.25">
      <c r="A8807" s="48" t="s">
        <v>16490</v>
      </c>
      <c r="B8807" t="s">
        <v>16491</v>
      </c>
      <c r="C8807">
        <v>0</v>
      </c>
    </row>
    <row r="8808" spans="1:3" x14ac:dyDescent="0.25">
      <c r="A8808" s="48" t="s">
        <v>9402</v>
      </c>
      <c r="B8808" t="s">
        <v>9403</v>
      </c>
      <c r="C8808">
        <v>26</v>
      </c>
    </row>
    <row r="8809" spans="1:3" x14ac:dyDescent="0.25">
      <c r="A8809" s="48" t="s">
        <v>1785</v>
      </c>
      <c r="B8809" t="s">
        <v>1786</v>
      </c>
      <c r="C8809">
        <v>25</v>
      </c>
    </row>
    <row r="8810" spans="1:3" x14ac:dyDescent="0.25">
      <c r="A8810" s="48" t="s">
        <v>9420</v>
      </c>
      <c r="B8810" t="s">
        <v>9421</v>
      </c>
      <c r="C8810">
        <v>28</v>
      </c>
    </row>
    <row r="8811" spans="1:3" x14ac:dyDescent="0.25">
      <c r="A8811" s="48" t="s">
        <v>9404</v>
      </c>
      <c r="B8811" t="s">
        <v>9405</v>
      </c>
      <c r="C8811">
        <v>0</v>
      </c>
    </row>
    <row r="8812" spans="1:3" x14ac:dyDescent="0.25">
      <c r="A8812" s="48" t="s">
        <v>6311</v>
      </c>
      <c r="B8812" t="s">
        <v>6312</v>
      </c>
      <c r="C8812">
        <v>21</v>
      </c>
    </row>
    <row r="8813" spans="1:3" x14ac:dyDescent="0.25">
      <c r="A8813" s="48" t="s">
        <v>9406</v>
      </c>
      <c r="B8813" t="s">
        <v>9407</v>
      </c>
      <c r="C8813">
        <v>12</v>
      </c>
    </row>
    <row r="8814" spans="1:3" x14ac:dyDescent="0.25">
      <c r="A8814" s="48" t="s">
        <v>9408</v>
      </c>
      <c r="B8814" t="s">
        <v>9409</v>
      </c>
      <c r="C8814">
        <v>0</v>
      </c>
    </row>
    <row r="8815" spans="1:3" x14ac:dyDescent="0.25">
      <c r="A8815" s="48" t="s">
        <v>9410</v>
      </c>
      <c r="B8815" t="s">
        <v>9411</v>
      </c>
      <c r="C8815">
        <v>0</v>
      </c>
    </row>
    <row r="8816" spans="1:3" x14ac:dyDescent="0.25">
      <c r="A8816" s="48" t="s">
        <v>1391</v>
      </c>
      <c r="B8816" t="s">
        <v>1392</v>
      </c>
      <c r="C8816">
        <v>27</v>
      </c>
    </row>
    <row r="8817" spans="1:3" x14ac:dyDescent="0.25">
      <c r="A8817" s="48" t="s">
        <v>896</v>
      </c>
      <c r="B8817" t="s">
        <v>897</v>
      </c>
      <c r="C8817">
        <v>16</v>
      </c>
    </row>
    <row r="8818" spans="1:3" x14ac:dyDescent="0.25">
      <c r="A8818" s="48" t="s">
        <v>1431</v>
      </c>
      <c r="B8818" t="s">
        <v>1432</v>
      </c>
      <c r="C8818">
        <v>7</v>
      </c>
    </row>
    <row r="8819" spans="1:3" x14ac:dyDescent="0.25">
      <c r="A8819" s="48" t="s">
        <v>16582</v>
      </c>
      <c r="B8819" t="s">
        <v>22290</v>
      </c>
      <c r="C8819">
        <v>22</v>
      </c>
    </row>
    <row r="8820" spans="1:3" x14ac:dyDescent="0.25">
      <c r="A8820" s="48" t="s">
        <v>16580</v>
      </c>
      <c r="B8820" t="s">
        <v>16581</v>
      </c>
      <c r="C8820">
        <v>15</v>
      </c>
    </row>
    <row r="8821" spans="1:3" x14ac:dyDescent="0.25">
      <c r="A8821" s="48" t="s">
        <v>12536</v>
      </c>
      <c r="B8821" t="s">
        <v>22291</v>
      </c>
      <c r="C8821">
        <v>7</v>
      </c>
    </row>
    <row r="8822" spans="1:3" x14ac:dyDescent="0.25">
      <c r="A8822" s="48" t="s">
        <v>12528</v>
      </c>
      <c r="B8822" t="s">
        <v>22292</v>
      </c>
      <c r="C8822">
        <v>1</v>
      </c>
    </row>
    <row r="8823" spans="1:3" x14ac:dyDescent="0.25">
      <c r="A8823" s="48" t="s">
        <v>12524</v>
      </c>
      <c r="B8823" t="s">
        <v>22293</v>
      </c>
      <c r="C8823">
        <v>0</v>
      </c>
    </row>
    <row r="8824" spans="1:3" x14ac:dyDescent="0.25">
      <c r="A8824" s="48" t="s">
        <v>12516</v>
      </c>
      <c r="B8824" t="s">
        <v>12517</v>
      </c>
      <c r="C8824">
        <v>12</v>
      </c>
    </row>
    <row r="8825" spans="1:3" x14ac:dyDescent="0.25">
      <c r="A8825" s="48" t="s">
        <v>12501</v>
      </c>
      <c r="B8825" t="s">
        <v>12502</v>
      </c>
      <c r="C8825">
        <v>7</v>
      </c>
    </row>
    <row r="8826" spans="1:3" x14ac:dyDescent="0.25">
      <c r="A8826" s="48" t="s">
        <v>12545</v>
      </c>
      <c r="B8826" t="s">
        <v>22294</v>
      </c>
      <c r="C8826">
        <v>9</v>
      </c>
    </row>
    <row r="8827" spans="1:3" x14ac:dyDescent="0.25">
      <c r="A8827" s="48" t="s">
        <v>12520</v>
      </c>
      <c r="B8827" t="s">
        <v>12521</v>
      </c>
      <c r="C8827">
        <v>10</v>
      </c>
    </row>
    <row r="8828" spans="1:3" x14ac:dyDescent="0.25">
      <c r="A8828" s="48" t="s">
        <v>1547</v>
      </c>
      <c r="B8828" t="s">
        <v>1548</v>
      </c>
      <c r="C8828">
        <v>11</v>
      </c>
    </row>
    <row r="8829" spans="1:3" x14ac:dyDescent="0.25">
      <c r="A8829" s="48" t="s">
        <v>12505</v>
      </c>
      <c r="B8829" t="s">
        <v>22295</v>
      </c>
      <c r="C8829">
        <v>12</v>
      </c>
    </row>
    <row r="8830" spans="1:3" x14ac:dyDescent="0.25">
      <c r="A8830" s="48" t="s">
        <v>1665</v>
      </c>
      <c r="B8830" t="s">
        <v>1666</v>
      </c>
      <c r="C8830">
        <v>11</v>
      </c>
    </row>
    <row r="8831" spans="1:3" x14ac:dyDescent="0.25">
      <c r="A8831" s="48" t="s">
        <v>723</v>
      </c>
      <c r="B8831" t="s">
        <v>724</v>
      </c>
      <c r="C8831">
        <v>17</v>
      </c>
    </row>
    <row r="8832" spans="1:3" x14ac:dyDescent="0.25">
      <c r="A8832" s="48" t="s">
        <v>12491</v>
      </c>
      <c r="B8832" t="s">
        <v>22296</v>
      </c>
      <c r="C8832">
        <v>12</v>
      </c>
    </row>
    <row r="8833" spans="1:3" x14ac:dyDescent="0.25">
      <c r="A8833" s="48" t="s">
        <v>12514</v>
      </c>
      <c r="B8833" t="s">
        <v>12515</v>
      </c>
      <c r="C8833">
        <v>5</v>
      </c>
    </row>
    <row r="8834" spans="1:3" x14ac:dyDescent="0.25">
      <c r="A8834" s="48" t="s">
        <v>7643</v>
      </c>
      <c r="B8834" t="s">
        <v>7644</v>
      </c>
      <c r="C8834">
        <v>0</v>
      </c>
    </row>
    <row r="8835" spans="1:3" x14ac:dyDescent="0.25">
      <c r="A8835" s="48" t="s">
        <v>12495</v>
      </c>
      <c r="B8835" t="s">
        <v>22297</v>
      </c>
      <c r="C8835">
        <v>10</v>
      </c>
    </row>
    <row r="8836" spans="1:3" x14ac:dyDescent="0.25">
      <c r="A8836" s="48" t="s">
        <v>12601</v>
      </c>
      <c r="B8836" t="s">
        <v>12602</v>
      </c>
      <c r="C8836">
        <v>4</v>
      </c>
    </row>
    <row r="8837" spans="1:3" x14ac:dyDescent="0.25">
      <c r="A8837" s="48" t="s">
        <v>12597</v>
      </c>
      <c r="B8837" t="s">
        <v>12598</v>
      </c>
      <c r="C8837">
        <v>12</v>
      </c>
    </row>
    <row r="8838" spans="1:3" x14ac:dyDescent="0.25">
      <c r="A8838" s="48" t="s">
        <v>12599</v>
      </c>
      <c r="B8838" t="s">
        <v>22298</v>
      </c>
      <c r="C8838">
        <v>17</v>
      </c>
    </row>
    <row r="8839" spans="1:3" x14ac:dyDescent="0.25">
      <c r="A8839" s="48" t="s">
        <v>1175</v>
      </c>
      <c r="B8839" t="s">
        <v>1176</v>
      </c>
      <c r="C8839">
        <v>61</v>
      </c>
    </row>
    <row r="8840" spans="1:3" x14ac:dyDescent="0.25">
      <c r="A8840" s="48" t="s">
        <v>12595</v>
      </c>
      <c r="B8840" t="s">
        <v>22299</v>
      </c>
      <c r="C8840">
        <v>0</v>
      </c>
    </row>
    <row r="8841" spans="1:3" x14ac:dyDescent="0.25">
      <c r="A8841" s="48" t="s">
        <v>141</v>
      </c>
      <c r="B8841" t="s">
        <v>142</v>
      </c>
      <c r="C8841">
        <v>0</v>
      </c>
    </row>
    <row r="8842" spans="1:3" x14ac:dyDescent="0.25">
      <c r="A8842" s="48" t="s">
        <v>23001</v>
      </c>
      <c r="B8842" t="s">
        <v>23002</v>
      </c>
      <c r="C8842">
        <v>0</v>
      </c>
    </row>
    <row r="8843" spans="1:3" x14ac:dyDescent="0.25">
      <c r="A8843" s="48" t="s">
        <v>949</v>
      </c>
      <c r="B8843" t="s">
        <v>950</v>
      </c>
      <c r="C8843">
        <v>0</v>
      </c>
    </row>
    <row r="8844" spans="1:3" x14ac:dyDescent="0.25">
      <c r="A8844" s="48" t="s">
        <v>12532</v>
      </c>
      <c r="B8844" t="s">
        <v>12533</v>
      </c>
      <c r="C8844">
        <v>24</v>
      </c>
    </row>
    <row r="8845" spans="1:3" x14ac:dyDescent="0.25">
      <c r="A8845" s="48" t="s">
        <v>12499</v>
      </c>
      <c r="B8845" t="s">
        <v>12500</v>
      </c>
      <c r="C8845">
        <v>0</v>
      </c>
    </row>
    <row r="8846" spans="1:3" x14ac:dyDescent="0.25">
      <c r="A8846" s="48" t="s">
        <v>12538</v>
      </c>
      <c r="B8846" t="s">
        <v>12539</v>
      </c>
      <c r="C8846">
        <v>0</v>
      </c>
    </row>
    <row r="8847" spans="1:3" x14ac:dyDescent="0.25">
      <c r="A8847" s="48" t="s">
        <v>12543</v>
      </c>
      <c r="B8847" t="s">
        <v>12544</v>
      </c>
      <c r="C8847">
        <v>0</v>
      </c>
    </row>
    <row r="8848" spans="1:3" x14ac:dyDescent="0.25">
      <c r="A8848" s="48" t="s">
        <v>9428</v>
      </c>
      <c r="B8848" t="s">
        <v>9429</v>
      </c>
      <c r="C8848">
        <v>97</v>
      </c>
    </row>
    <row r="8849" spans="1:3" x14ac:dyDescent="0.25">
      <c r="A8849" s="48" t="s">
        <v>1049</v>
      </c>
      <c r="B8849" t="s">
        <v>1050</v>
      </c>
      <c r="C8849">
        <v>221</v>
      </c>
    </row>
    <row r="8850" spans="1:3" x14ac:dyDescent="0.25">
      <c r="A8850" s="48" t="s">
        <v>3155</v>
      </c>
      <c r="B8850" t="s">
        <v>22300</v>
      </c>
      <c r="C8850">
        <v>19</v>
      </c>
    </row>
    <row r="8851" spans="1:3" x14ac:dyDescent="0.25">
      <c r="A8851" s="48" t="s">
        <v>3159</v>
      </c>
      <c r="B8851" t="s">
        <v>3160</v>
      </c>
      <c r="C8851">
        <v>61</v>
      </c>
    </row>
    <row r="8852" spans="1:3" x14ac:dyDescent="0.25">
      <c r="A8852" s="48" t="s">
        <v>3165</v>
      </c>
      <c r="B8852" t="s">
        <v>22301</v>
      </c>
      <c r="C8852">
        <v>42</v>
      </c>
    </row>
    <row r="8853" spans="1:3" x14ac:dyDescent="0.25">
      <c r="A8853" s="48" t="s">
        <v>3150</v>
      </c>
      <c r="B8853" t="s">
        <v>22302</v>
      </c>
      <c r="C8853">
        <v>0</v>
      </c>
    </row>
    <row r="8854" spans="1:3" x14ac:dyDescent="0.25">
      <c r="A8854" s="48" t="s">
        <v>3163</v>
      </c>
      <c r="B8854" t="s">
        <v>22303</v>
      </c>
      <c r="C8854">
        <v>0</v>
      </c>
    </row>
    <row r="8855" spans="1:3" x14ac:dyDescent="0.25">
      <c r="A8855" s="48" t="s">
        <v>3161</v>
      </c>
      <c r="B8855" t="s">
        <v>22304</v>
      </c>
      <c r="C8855">
        <v>0</v>
      </c>
    </row>
    <row r="8856" spans="1:3" x14ac:dyDescent="0.25">
      <c r="A8856" s="48" t="s">
        <v>3157</v>
      </c>
      <c r="B8856" t="s">
        <v>3158</v>
      </c>
      <c r="C8856">
        <v>10</v>
      </c>
    </row>
    <row r="8857" spans="1:3" x14ac:dyDescent="0.25">
      <c r="A8857" s="48" t="s">
        <v>1403</v>
      </c>
      <c r="B8857" t="s">
        <v>1404</v>
      </c>
      <c r="C8857">
        <v>2</v>
      </c>
    </row>
    <row r="8858" spans="1:3" x14ac:dyDescent="0.25">
      <c r="A8858" s="48" t="s">
        <v>3153</v>
      </c>
      <c r="B8858" t="s">
        <v>3154</v>
      </c>
      <c r="C8858">
        <v>0</v>
      </c>
    </row>
    <row r="8859" spans="1:3" x14ac:dyDescent="0.25">
      <c r="A8859" s="48" t="s">
        <v>3167</v>
      </c>
      <c r="B8859" t="s">
        <v>22305</v>
      </c>
      <c r="C8859">
        <v>0</v>
      </c>
    </row>
    <row r="8860" spans="1:3" x14ac:dyDescent="0.25">
      <c r="A8860" s="48" t="s">
        <v>19510</v>
      </c>
      <c r="B8860" t="s">
        <v>19511</v>
      </c>
      <c r="C8860">
        <v>0</v>
      </c>
    </row>
    <row r="8861" spans="1:3" x14ac:dyDescent="0.25">
      <c r="A8861" s="48" t="s">
        <v>23246</v>
      </c>
      <c r="B8861" t="s">
        <v>23247</v>
      </c>
      <c r="C8861">
        <v>0</v>
      </c>
    </row>
    <row r="8862" spans="1:3" x14ac:dyDescent="0.25">
      <c r="A8862" s="48" t="s">
        <v>3807</v>
      </c>
      <c r="B8862" t="s">
        <v>3808</v>
      </c>
      <c r="C8862">
        <v>29</v>
      </c>
    </row>
    <row r="8863" spans="1:3" x14ac:dyDescent="0.25">
      <c r="A8863" s="48" t="s">
        <v>3809</v>
      </c>
      <c r="B8863" t="s">
        <v>3810</v>
      </c>
      <c r="C8863">
        <v>141</v>
      </c>
    </row>
    <row r="8864" spans="1:3" x14ac:dyDescent="0.25">
      <c r="A8864" s="48" t="s">
        <v>2257</v>
      </c>
      <c r="B8864" t="s">
        <v>2258</v>
      </c>
      <c r="C8864">
        <v>123</v>
      </c>
    </row>
    <row r="8865" spans="1:3" x14ac:dyDescent="0.25">
      <c r="A8865" s="48" t="s">
        <v>2259</v>
      </c>
      <c r="B8865" t="s">
        <v>22306</v>
      </c>
      <c r="C8865">
        <v>0</v>
      </c>
    </row>
    <row r="8866" spans="1:3" x14ac:dyDescent="0.25">
      <c r="A8866" s="48" t="s">
        <v>2215</v>
      </c>
      <c r="B8866" t="s">
        <v>2216</v>
      </c>
      <c r="C8866">
        <v>118</v>
      </c>
    </row>
    <row r="8867" spans="1:3" x14ac:dyDescent="0.25">
      <c r="A8867" s="48" t="s">
        <v>2155</v>
      </c>
      <c r="B8867" t="s">
        <v>2156</v>
      </c>
      <c r="C8867">
        <v>38</v>
      </c>
    </row>
    <row r="8868" spans="1:3" x14ac:dyDescent="0.25">
      <c r="A8868" s="48" t="s">
        <v>2221</v>
      </c>
      <c r="B8868" t="s">
        <v>2222</v>
      </c>
      <c r="C8868">
        <v>17</v>
      </c>
    </row>
    <row r="8869" spans="1:3" x14ac:dyDescent="0.25">
      <c r="A8869" s="48" t="s">
        <v>14471</v>
      </c>
      <c r="B8869" t="s">
        <v>14472</v>
      </c>
      <c r="C8869">
        <v>78</v>
      </c>
    </row>
    <row r="8870" spans="1:3" x14ac:dyDescent="0.25">
      <c r="A8870" s="48" t="s">
        <v>2231</v>
      </c>
      <c r="B8870" t="s">
        <v>22307</v>
      </c>
      <c r="C8870">
        <v>59</v>
      </c>
    </row>
    <row r="8871" spans="1:3" x14ac:dyDescent="0.25">
      <c r="A8871" s="48" t="s">
        <v>2187</v>
      </c>
      <c r="B8871" t="s">
        <v>22308</v>
      </c>
      <c r="C8871">
        <v>23</v>
      </c>
    </row>
    <row r="8872" spans="1:3" x14ac:dyDescent="0.25">
      <c r="A8872" s="48" t="s">
        <v>2175</v>
      </c>
      <c r="B8872" t="s">
        <v>2176</v>
      </c>
      <c r="C8872">
        <v>1</v>
      </c>
    </row>
    <row r="8873" spans="1:3" x14ac:dyDescent="0.25">
      <c r="A8873" s="48" t="s">
        <v>10373</v>
      </c>
      <c r="B8873" t="s">
        <v>22309</v>
      </c>
      <c r="C8873">
        <v>59</v>
      </c>
    </row>
    <row r="8874" spans="1:3" x14ac:dyDescent="0.25">
      <c r="A8874" s="48" t="s">
        <v>12982</v>
      </c>
      <c r="B8874" t="s">
        <v>12983</v>
      </c>
      <c r="C8874">
        <v>184</v>
      </c>
    </row>
    <row r="8875" spans="1:3" x14ac:dyDescent="0.25">
      <c r="A8875" s="48" t="s">
        <v>1739</v>
      </c>
      <c r="B8875" t="s">
        <v>1740</v>
      </c>
      <c r="C8875">
        <v>17</v>
      </c>
    </row>
    <row r="8876" spans="1:3" x14ac:dyDescent="0.25">
      <c r="A8876" s="48" t="s">
        <v>1373</v>
      </c>
      <c r="B8876" t="s">
        <v>1374</v>
      </c>
      <c r="C8876">
        <v>1</v>
      </c>
    </row>
    <row r="8877" spans="1:3" x14ac:dyDescent="0.25">
      <c r="A8877" s="48" t="s">
        <v>17877</v>
      </c>
      <c r="B8877" t="s">
        <v>17878</v>
      </c>
      <c r="C8877">
        <v>56</v>
      </c>
    </row>
    <row r="8878" spans="1:3" x14ac:dyDescent="0.25">
      <c r="A8878" s="48" t="s">
        <v>2193</v>
      </c>
      <c r="B8878" t="s">
        <v>2194</v>
      </c>
      <c r="C8878">
        <v>9</v>
      </c>
    </row>
    <row r="8879" spans="1:3" x14ac:dyDescent="0.25">
      <c r="A8879" s="48" t="s">
        <v>2177</v>
      </c>
      <c r="B8879" t="s">
        <v>2178</v>
      </c>
      <c r="C8879">
        <v>2</v>
      </c>
    </row>
    <row r="8880" spans="1:3" x14ac:dyDescent="0.25">
      <c r="A8880" s="48" t="s">
        <v>22912</v>
      </c>
      <c r="B8880" t="s">
        <v>22913</v>
      </c>
      <c r="C8880">
        <v>4</v>
      </c>
    </row>
    <row r="8881" spans="1:3" x14ac:dyDescent="0.25">
      <c r="A8881" s="48" t="s">
        <v>2183</v>
      </c>
      <c r="B8881" t="s">
        <v>2184</v>
      </c>
      <c r="C8881">
        <v>16</v>
      </c>
    </row>
    <row r="8882" spans="1:3" x14ac:dyDescent="0.25">
      <c r="A8882" s="48" t="s">
        <v>4663</v>
      </c>
      <c r="B8882" t="s">
        <v>4664</v>
      </c>
      <c r="C8882">
        <v>36</v>
      </c>
    </row>
    <row r="8883" spans="1:3" x14ac:dyDescent="0.25">
      <c r="A8883" s="48" t="s">
        <v>4675</v>
      </c>
      <c r="B8883" t="s">
        <v>4676</v>
      </c>
      <c r="C8883">
        <v>186</v>
      </c>
    </row>
    <row r="8884" spans="1:3" x14ac:dyDescent="0.25">
      <c r="A8884" s="48" t="s">
        <v>5159</v>
      </c>
      <c r="B8884" t="s">
        <v>5160</v>
      </c>
      <c r="C8884">
        <v>4</v>
      </c>
    </row>
    <row r="8885" spans="1:3" x14ac:dyDescent="0.25">
      <c r="A8885" s="48" t="s">
        <v>2223</v>
      </c>
      <c r="B8885" t="s">
        <v>2224</v>
      </c>
      <c r="C8885">
        <v>1</v>
      </c>
    </row>
    <row r="8886" spans="1:3" x14ac:dyDescent="0.25">
      <c r="A8886" s="48" t="s">
        <v>2237</v>
      </c>
      <c r="B8886" t="s">
        <v>2238</v>
      </c>
      <c r="C8886">
        <v>0</v>
      </c>
    </row>
    <row r="8887" spans="1:3" x14ac:dyDescent="0.25">
      <c r="A8887" s="48" t="s">
        <v>2241</v>
      </c>
      <c r="B8887" t="s">
        <v>2242</v>
      </c>
      <c r="C8887">
        <v>0</v>
      </c>
    </row>
    <row r="8888" spans="1:3" x14ac:dyDescent="0.25">
      <c r="A8888" s="48" t="s">
        <v>2243</v>
      </c>
      <c r="B8888" t="s">
        <v>2244</v>
      </c>
      <c r="C8888">
        <v>3</v>
      </c>
    </row>
    <row r="8889" spans="1:3" x14ac:dyDescent="0.25">
      <c r="A8889" s="48" t="s">
        <v>1813</v>
      </c>
      <c r="B8889" t="s">
        <v>1814</v>
      </c>
      <c r="C8889">
        <v>11</v>
      </c>
    </row>
    <row r="8890" spans="1:3" x14ac:dyDescent="0.25">
      <c r="A8890" s="48" t="s">
        <v>2159</v>
      </c>
      <c r="B8890" t="s">
        <v>2160</v>
      </c>
      <c r="C8890">
        <v>12</v>
      </c>
    </row>
    <row r="8891" spans="1:3" x14ac:dyDescent="0.25">
      <c r="A8891" s="48" t="s">
        <v>2265</v>
      </c>
      <c r="B8891" t="s">
        <v>2266</v>
      </c>
      <c r="C8891">
        <v>4</v>
      </c>
    </row>
    <row r="8892" spans="1:3" x14ac:dyDescent="0.25">
      <c r="A8892" s="48" t="s">
        <v>19576</v>
      </c>
      <c r="B8892" t="s">
        <v>19577</v>
      </c>
      <c r="C8892">
        <v>0</v>
      </c>
    </row>
    <row r="8893" spans="1:3" x14ac:dyDescent="0.25">
      <c r="A8893" s="48" t="s">
        <v>4657</v>
      </c>
      <c r="B8893" t="s">
        <v>4658</v>
      </c>
      <c r="C8893">
        <v>15</v>
      </c>
    </row>
    <row r="8894" spans="1:3" x14ac:dyDescent="0.25">
      <c r="A8894" s="48" t="s">
        <v>12010</v>
      </c>
      <c r="B8894" t="s">
        <v>12011</v>
      </c>
      <c r="C8894">
        <v>0</v>
      </c>
    </row>
    <row r="8895" spans="1:3" x14ac:dyDescent="0.25">
      <c r="A8895" s="48" t="s">
        <v>343</v>
      </c>
      <c r="B8895" t="s">
        <v>344</v>
      </c>
      <c r="C8895">
        <v>9</v>
      </c>
    </row>
    <row r="8896" spans="1:3" x14ac:dyDescent="0.25">
      <c r="A8896" s="48" t="s">
        <v>2169</v>
      </c>
      <c r="B8896" t="s">
        <v>2170</v>
      </c>
      <c r="C8896">
        <v>25</v>
      </c>
    </row>
    <row r="8897" spans="1:3" x14ac:dyDescent="0.25">
      <c r="A8897" s="48" t="s">
        <v>2191</v>
      </c>
      <c r="B8897" t="s">
        <v>2192</v>
      </c>
      <c r="C8897">
        <v>74</v>
      </c>
    </row>
    <row r="8898" spans="1:3" x14ac:dyDescent="0.25">
      <c r="A8898" s="48" t="s">
        <v>2229</v>
      </c>
      <c r="B8898" t="s">
        <v>2230</v>
      </c>
      <c r="C8898">
        <v>36</v>
      </c>
    </row>
    <row r="8899" spans="1:3" x14ac:dyDescent="0.25">
      <c r="A8899" s="48" t="s">
        <v>2171</v>
      </c>
      <c r="B8899" t="s">
        <v>2172</v>
      </c>
      <c r="C8899">
        <v>1</v>
      </c>
    </row>
    <row r="8900" spans="1:3" x14ac:dyDescent="0.25">
      <c r="A8900" s="48" t="s">
        <v>2173</v>
      </c>
      <c r="B8900" t="s">
        <v>2174</v>
      </c>
      <c r="C8900">
        <v>2</v>
      </c>
    </row>
    <row r="8901" spans="1:3" x14ac:dyDescent="0.25">
      <c r="A8901" s="48" t="s">
        <v>3805</v>
      </c>
      <c r="B8901" t="s">
        <v>3806</v>
      </c>
      <c r="C8901">
        <v>1</v>
      </c>
    </row>
    <row r="8902" spans="1:3" x14ac:dyDescent="0.25">
      <c r="A8902" s="48" t="s">
        <v>2165</v>
      </c>
      <c r="B8902" t="s">
        <v>2166</v>
      </c>
      <c r="C8902">
        <v>93</v>
      </c>
    </row>
    <row r="8903" spans="1:3" x14ac:dyDescent="0.25">
      <c r="A8903" s="48" t="s">
        <v>2235</v>
      </c>
      <c r="B8903" t="s">
        <v>2236</v>
      </c>
      <c r="C8903">
        <v>167</v>
      </c>
    </row>
    <row r="8904" spans="1:3" x14ac:dyDescent="0.25">
      <c r="A8904" s="48" t="s">
        <v>2227</v>
      </c>
      <c r="B8904" t="s">
        <v>2228</v>
      </c>
      <c r="C8904">
        <v>1</v>
      </c>
    </row>
    <row r="8905" spans="1:3" x14ac:dyDescent="0.25">
      <c r="A8905" s="48" t="s">
        <v>2153</v>
      </c>
      <c r="B8905" t="s">
        <v>2154</v>
      </c>
      <c r="C8905">
        <v>12</v>
      </c>
    </row>
    <row r="8906" spans="1:3" x14ac:dyDescent="0.25">
      <c r="A8906" s="48" t="s">
        <v>2249</v>
      </c>
      <c r="B8906" t="s">
        <v>2250</v>
      </c>
      <c r="C8906">
        <v>31</v>
      </c>
    </row>
    <row r="8907" spans="1:3" x14ac:dyDescent="0.25">
      <c r="A8907" s="48" t="s">
        <v>2253</v>
      </c>
      <c r="B8907" t="s">
        <v>2254</v>
      </c>
      <c r="C8907">
        <v>12</v>
      </c>
    </row>
    <row r="8908" spans="1:3" x14ac:dyDescent="0.25">
      <c r="A8908" s="48" t="s">
        <v>2219</v>
      </c>
      <c r="B8908" t="s">
        <v>2220</v>
      </c>
      <c r="C8908">
        <v>0</v>
      </c>
    </row>
    <row r="8909" spans="1:3" x14ac:dyDescent="0.25">
      <c r="A8909" s="48" t="s">
        <v>2197</v>
      </c>
      <c r="B8909" t="s">
        <v>2198</v>
      </c>
      <c r="C8909">
        <v>1</v>
      </c>
    </row>
    <row r="8910" spans="1:3" x14ac:dyDescent="0.25">
      <c r="A8910" s="48" t="s">
        <v>2213</v>
      </c>
      <c r="B8910" t="s">
        <v>2214</v>
      </c>
      <c r="C8910">
        <v>15</v>
      </c>
    </row>
    <row r="8911" spans="1:3" x14ac:dyDescent="0.25">
      <c r="A8911" s="48" t="s">
        <v>2251</v>
      </c>
      <c r="B8911" t="s">
        <v>2252</v>
      </c>
      <c r="C8911">
        <v>12</v>
      </c>
    </row>
    <row r="8912" spans="1:3" x14ac:dyDescent="0.25">
      <c r="A8912" s="48" t="s">
        <v>2255</v>
      </c>
      <c r="B8912" t="s">
        <v>2256</v>
      </c>
      <c r="C8912">
        <v>15</v>
      </c>
    </row>
    <row r="8913" spans="1:3" x14ac:dyDescent="0.25">
      <c r="A8913" s="48" t="s">
        <v>2239</v>
      </c>
      <c r="B8913" t="s">
        <v>2240</v>
      </c>
      <c r="C8913">
        <v>6</v>
      </c>
    </row>
    <row r="8914" spans="1:3" x14ac:dyDescent="0.25">
      <c r="A8914" s="48" t="s">
        <v>2233</v>
      </c>
      <c r="B8914" t="s">
        <v>2234</v>
      </c>
      <c r="C8914">
        <v>0</v>
      </c>
    </row>
    <row r="8915" spans="1:3" x14ac:dyDescent="0.25">
      <c r="A8915" s="48" t="s">
        <v>2263</v>
      </c>
      <c r="B8915" t="s">
        <v>2264</v>
      </c>
      <c r="C8915">
        <v>6</v>
      </c>
    </row>
    <row r="8916" spans="1:3" x14ac:dyDescent="0.25">
      <c r="A8916" s="48" t="s">
        <v>2217</v>
      </c>
      <c r="B8916" t="s">
        <v>2218</v>
      </c>
      <c r="C8916">
        <v>5</v>
      </c>
    </row>
    <row r="8917" spans="1:3" x14ac:dyDescent="0.25">
      <c r="A8917" s="48" t="s">
        <v>2225</v>
      </c>
      <c r="B8917" t="s">
        <v>2226</v>
      </c>
      <c r="C8917">
        <v>0</v>
      </c>
    </row>
    <row r="8918" spans="1:3" x14ac:dyDescent="0.25">
      <c r="A8918" s="48" t="s">
        <v>2199</v>
      </c>
      <c r="B8918" t="s">
        <v>2200</v>
      </c>
      <c r="C8918">
        <v>3</v>
      </c>
    </row>
    <row r="8919" spans="1:3" x14ac:dyDescent="0.25">
      <c r="A8919" s="48" t="s">
        <v>2157</v>
      </c>
      <c r="B8919" t="s">
        <v>2158</v>
      </c>
      <c r="C8919">
        <v>0</v>
      </c>
    </row>
    <row r="8920" spans="1:3" x14ac:dyDescent="0.25">
      <c r="A8920" s="48" t="s">
        <v>2163</v>
      </c>
      <c r="B8920" t="s">
        <v>2164</v>
      </c>
      <c r="C8920">
        <v>18</v>
      </c>
    </row>
    <row r="8921" spans="1:3" x14ac:dyDescent="0.25">
      <c r="A8921" s="48" t="s">
        <v>2167</v>
      </c>
      <c r="B8921" t="s">
        <v>2168</v>
      </c>
      <c r="C8921">
        <v>0</v>
      </c>
    </row>
    <row r="8922" spans="1:3" x14ac:dyDescent="0.25">
      <c r="A8922" s="48" t="s">
        <v>2195</v>
      </c>
      <c r="B8922" t="s">
        <v>2196</v>
      </c>
      <c r="C8922">
        <v>25</v>
      </c>
    </row>
    <row r="8923" spans="1:3" x14ac:dyDescent="0.25">
      <c r="A8923" s="48" t="s">
        <v>2181</v>
      </c>
      <c r="B8923" t="s">
        <v>2182</v>
      </c>
      <c r="C8923">
        <v>9</v>
      </c>
    </row>
    <row r="8924" spans="1:3" x14ac:dyDescent="0.25">
      <c r="A8924" s="48" t="s">
        <v>2185</v>
      </c>
      <c r="B8924" t="s">
        <v>2186</v>
      </c>
      <c r="C8924">
        <v>12</v>
      </c>
    </row>
    <row r="8925" spans="1:3" x14ac:dyDescent="0.25">
      <c r="A8925" s="48" t="s">
        <v>2189</v>
      </c>
      <c r="B8925" t="s">
        <v>2190</v>
      </c>
      <c r="C8925">
        <v>6</v>
      </c>
    </row>
    <row r="8926" spans="1:3" x14ac:dyDescent="0.25">
      <c r="A8926" s="48" t="s">
        <v>23003</v>
      </c>
      <c r="B8926" t="s">
        <v>23004</v>
      </c>
      <c r="C8926">
        <v>2</v>
      </c>
    </row>
    <row r="8927" spans="1:3" x14ac:dyDescent="0.25">
      <c r="A8927" s="48" t="s">
        <v>2161</v>
      </c>
      <c r="B8927" t="s">
        <v>2162</v>
      </c>
      <c r="C8927">
        <v>134</v>
      </c>
    </row>
    <row r="8928" spans="1:3" x14ac:dyDescent="0.25">
      <c r="A8928" s="48" t="s">
        <v>2179</v>
      </c>
      <c r="B8928" t="s">
        <v>2180</v>
      </c>
      <c r="C8928">
        <v>209</v>
      </c>
    </row>
    <row r="8929" spans="1:3" x14ac:dyDescent="0.25">
      <c r="A8929" s="48" t="s">
        <v>2267</v>
      </c>
      <c r="B8929" t="s">
        <v>2268</v>
      </c>
      <c r="C8929">
        <v>47</v>
      </c>
    </row>
    <row r="8930" spans="1:3" x14ac:dyDescent="0.25">
      <c r="A8930" s="48" t="s">
        <v>2211</v>
      </c>
      <c r="B8930" t="s">
        <v>2212</v>
      </c>
      <c r="C8930">
        <v>0</v>
      </c>
    </row>
    <row r="8931" spans="1:3" x14ac:dyDescent="0.25">
      <c r="A8931" s="48" t="s">
        <v>2205</v>
      </c>
      <c r="B8931" t="s">
        <v>2206</v>
      </c>
      <c r="C8931">
        <v>0</v>
      </c>
    </row>
    <row r="8932" spans="1:3" x14ac:dyDescent="0.25">
      <c r="A8932" s="48" t="s">
        <v>2207</v>
      </c>
      <c r="B8932" t="s">
        <v>2208</v>
      </c>
      <c r="C8932">
        <v>10</v>
      </c>
    </row>
    <row r="8933" spans="1:3" x14ac:dyDescent="0.25">
      <c r="A8933" s="48" t="s">
        <v>2245</v>
      </c>
      <c r="B8933" t="s">
        <v>2246</v>
      </c>
      <c r="C8933">
        <v>2</v>
      </c>
    </row>
    <row r="8934" spans="1:3" x14ac:dyDescent="0.25">
      <c r="A8934" s="48" t="s">
        <v>9555</v>
      </c>
      <c r="B8934" t="s">
        <v>9556</v>
      </c>
      <c r="C8934">
        <v>1</v>
      </c>
    </row>
    <row r="8935" spans="1:3" x14ac:dyDescent="0.25">
      <c r="A8935" s="48" t="s">
        <v>9198</v>
      </c>
      <c r="B8935" t="s">
        <v>9199</v>
      </c>
      <c r="C8935">
        <v>0</v>
      </c>
    </row>
    <row r="8936" spans="1:3" x14ac:dyDescent="0.25">
      <c r="A8936" s="48" t="s">
        <v>2201</v>
      </c>
      <c r="B8936" t="s">
        <v>2202</v>
      </c>
      <c r="C8936">
        <v>4</v>
      </c>
    </row>
    <row r="8937" spans="1:3" x14ac:dyDescent="0.25">
      <c r="A8937" s="48" t="s">
        <v>2261</v>
      </c>
      <c r="B8937" t="s">
        <v>2262</v>
      </c>
      <c r="C8937">
        <v>11</v>
      </c>
    </row>
    <row r="8938" spans="1:3" x14ac:dyDescent="0.25">
      <c r="A8938" s="48" t="s">
        <v>2203</v>
      </c>
      <c r="B8938" t="s">
        <v>2204</v>
      </c>
      <c r="C8938">
        <v>11</v>
      </c>
    </row>
    <row r="8939" spans="1:3" x14ac:dyDescent="0.25">
      <c r="A8939" s="48" t="s">
        <v>2247</v>
      </c>
      <c r="B8939" t="s">
        <v>2248</v>
      </c>
      <c r="C8939">
        <v>1</v>
      </c>
    </row>
    <row r="8940" spans="1:3" x14ac:dyDescent="0.25">
      <c r="A8940" s="48" t="s">
        <v>2209</v>
      </c>
      <c r="B8940" t="s">
        <v>2210</v>
      </c>
      <c r="C8940">
        <v>9</v>
      </c>
    </row>
    <row r="8941" spans="1:3" x14ac:dyDescent="0.25">
      <c r="A8941" s="48" t="s">
        <v>691</v>
      </c>
      <c r="B8941" t="s">
        <v>692</v>
      </c>
      <c r="C8941">
        <v>106</v>
      </c>
    </row>
    <row r="8942" spans="1:3" x14ac:dyDescent="0.25">
      <c r="A8942" s="48" t="s">
        <v>23248</v>
      </c>
      <c r="B8942" t="s">
        <v>23249</v>
      </c>
      <c r="C8942">
        <v>0</v>
      </c>
    </row>
    <row r="8943" spans="1:3" x14ac:dyDescent="0.25">
      <c r="A8943" s="48" t="s">
        <v>18061</v>
      </c>
      <c r="B8943" t="s">
        <v>18062</v>
      </c>
      <c r="C8943">
        <v>0</v>
      </c>
    </row>
    <row r="8944" spans="1:3" x14ac:dyDescent="0.25">
      <c r="A8944" s="48" t="s">
        <v>23250</v>
      </c>
      <c r="B8944" t="s">
        <v>23251</v>
      </c>
      <c r="C8944">
        <v>0</v>
      </c>
    </row>
    <row r="8945" spans="1:3" x14ac:dyDescent="0.25">
      <c r="A8945" s="48" t="s">
        <v>1065</v>
      </c>
      <c r="B8945" t="s">
        <v>1066</v>
      </c>
      <c r="C8945">
        <v>26</v>
      </c>
    </row>
    <row r="8946" spans="1:3" x14ac:dyDescent="0.25">
      <c r="A8946" s="48" t="s">
        <v>263</v>
      </c>
      <c r="B8946" t="s">
        <v>264</v>
      </c>
      <c r="C8946">
        <v>23</v>
      </c>
    </row>
    <row r="8947" spans="1:3" x14ac:dyDescent="0.25">
      <c r="A8947" s="48" t="s">
        <v>1315</v>
      </c>
      <c r="B8947" t="s">
        <v>1316</v>
      </c>
      <c r="C8947">
        <v>20</v>
      </c>
    </row>
    <row r="8948" spans="1:3" x14ac:dyDescent="0.25">
      <c r="A8948" s="48" t="s">
        <v>4046</v>
      </c>
      <c r="B8948" t="s">
        <v>4047</v>
      </c>
      <c r="C8948">
        <v>0</v>
      </c>
    </row>
    <row r="8949" spans="1:3" x14ac:dyDescent="0.25">
      <c r="A8949" s="48" t="s">
        <v>4048</v>
      </c>
      <c r="B8949" t="s">
        <v>4049</v>
      </c>
      <c r="C8949">
        <v>0</v>
      </c>
    </row>
    <row r="8950" spans="1:3" x14ac:dyDescent="0.25">
      <c r="A8950" s="48" t="s">
        <v>5631</v>
      </c>
      <c r="B8950" t="s">
        <v>5632</v>
      </c>
      <c r="C8950">
        <v>0</v>
      </c>
    </row>
    <row r="8951" spans="1:3" x14ac:dyDescent="0.25">
      <c r="A8951" s="48" t="s">
        <v>8487</v>
      </c>
      <c r="B8951" t="s">
        <v>8488</v>
      </c>
      <c r="C8951">
        <v>0</v>
      </c>
    </row>
    <row r="8952" spans="1:3" x14ac:dyDescent="0.25">
      <c r="A8952" s="48" t="s">
        <v>8489</v>
      </c>
      <c r="B8952" t="s">
        <v>8490</v>
      </c>
      <c r="C8952">
        <v>0</v>
      </c>
    </row>
    <row r="8953" spans="1:3" x14ac:dyDescent="0.25">
      <c r="A8953" s="48" t="s">
        <v>11206</v>
      </c>
      <c r="B8953" t="s">
        <v>11207</v>
      </c>
      <c r="C8953">
        <v>0</v>
      </c>
    </row>
    <row r="8954" spans="1:3" x14ac:dyDescent="0.25">
      <c r="A8954" s="48" t="s">
        <v>10389</v>
      </c>
      <c r="B8954" t="s">
        <v>10390</v>
      </c>
      <c r="C8954">
        <v>2</v>
      </c>
    </row>
    <row r="8955" spans="1:3" x14ac:dyDescent="0.25">
      <c r="A8955" s="48" t="s">
        <v>10399</v>
      </c>
      <c r="B8955" t="s">
        <v>10400</v>
      </c>
      <c r="C8955">
        <v>1</v>
      </c>
    </row>
    <row r="8956" spans="1:3" x14ac:dyDescent="0.25">
      <c r="A8956" s="48" t="s">
        <v>10403</v>
      </c>
      <c r="B8956" t="s">
        <v>10404</v>
      </c>
      <c r="C8956">
        <v>3</v>
      </c>
    </row>
    <row r="8957" spans="1:3" x14ac:dyDescent="0.25">
      <c r="A8957" s="48" t="s">
        <v>10405</v>
      </c>
      <c r="B8957" t="s">
        <v>10406</v>
      </c>
      <c r="C8957">
        <v>3</v>
      </c>
    </row>
    <row r="8958" spans="1:3" x14ac:dyDescent="0.25">
      <c r="A8958" s="48" t="s">
        <v>10397</v>
      </c>
      <c r="B8958" t="s">
        <v>10398</v>
      </c>
      <c r="C8958">
        <v>0</v>
      </c>
    </row>
    <row r="8959" spans="1:3" x14ac:dyDescent="0.25">
      <c r="A8959" s="48" t="s">
        <v>10391</v>
      </c>
      <c r="B8959" t="s">
        <v>10392</v>
      </c>
      <c r="C8959">
        <v>10</v>
      </c>
    </row>
    <row r="8960" spans="1:3" x14ac:dyDescent="0.25">
      <c r="A8960" s="48" t="s">
        <v>10395</v>
      </c>
      <c r="B8960" t="s">
        <v>10396</v>
      </c>
      <c r="C8960">
        <v>3</v>
      </c>
    </row>
    <row r="8961" spans="1:3" x14ac:dyDescent="0.25">
      <c r="A8961" s="48" t="s">
        <v>10401</v>
      </c>
      <c r="B8961" t="s">
        <v>10402</v>
      </c>
      <c r="C8961">
        <v>7</v>
      </c>
    </row>
    <row r="8962" spans="1:3" x14ac:dyDescent="0.25">
      <c r="A8962" s="48" t="s">
        <v>10393</v>
      </c>
      <c r="B8962" t="s">
        <v>10394</v>
      </c>
      <c r="C8962">
        <v>1</v>
      </c>
    </row>
    <row r="8963" spans="1:3" x14ac:dyDescent="0.25">
      <c r="A8963" s="48" t="s">
        <v>3957</v>
      </c>
      <c r="B8963" t="s">
        <v>3958</v>
      </c>
      <c r="C8963">
        <v>0</v>
      </c>
    </row>
    <row r="8964" spans="1:3" x14ac:dyDescent="0.25">
      <c r="A8964" s="48" t="s">
        <v>8876</v>
      </c>
      <c r="B8964" t="s">
        <v>8877</v>
      </c>
      <c r="C8964">
        <v>1</v>
      </c>
    </row>
    <row r="8965" spans="1:3" x14ac:dyDescent="0.25">
      <c r="A8965" s="48" t="s">
        <v>8321</v>
      </c>
      <c r="B8965" t="s">
        <v>8322</v>
      </c>
      <c r="C8965">
        <v>0</v>
      </c>
    </row>
    <row r="8966" spans="1:3" x14ac:dyDescent="0.25">
      <c r="A8966" s="48" t="s">
        <v>8075</v>
      </c>
      <c r="B8966" t="s">
        <v>8076</v>
      </c>
      <c r="C8966">
        <v>0</v>
      </c>
    </row>
    <row r="8967" spans="1:3" x14ac:dyDescent="0.25">
      <c r="A8967" s="48" t="s">
        <v>9210</v>
      </c>
      <c r="B8967" t="s">
        <v>9211</v>
      </c>
      <c r="C8967">
        <v>0</v>
      </c>
    </row>
    <row r="8968" spans="1:3" x14ac:dyDescent="0.25">
      <c r="A8968" s="48" t="s">
        <v>9212</v>
      </c>
      <c r="B8968" t="s">
        <v>9213</v>
      </c>
      <c r="C8968">
        <v>16</v>
      </c>
    </row>
    <row r="8969" spans="1:3" x14ac:dyDescent="0.25">
      <c r="A8969" s="48" t="s">
        <v>18083</v>
      </c>
      <c r="B8969" t="s">
        <v>18084</v>
      </c>
      <c r="C8969">
        <v>4</v>
      </c>
    </row>
    <row r="8970" spans="1:3" x14ac:dyDescent="0.25">
      <c r="A8970" s="48" t="s">
        <v>7502</v>
      </c>
      <c r="B8970" t="s">
        <v>7503</v>
      </c>
      <c r="C8970">
        <v>0</v>
      </c>
    </row>
    <row r="8971" spans="1:3" x14ac:dyDescent="0.25">
      <c r="A8971" s="48" t="s">
        <v>4739</v>
      </c>
      <c r="B8971" t="s">
        <v>4740</v>
      </c>
      <c r="C8971">
        <v>3</v>
      </c>
    </row>
    <row r="8972" spans="1:3" x14ac:dyDescent="0.25">
      <c r="A8972" s="48" t="s">
        <v>18043</v>
      </c>
      <c r="B8972" t="s">
        <v>18044</v>
      </c>
      <c r="C8972">
        <v>0</v>
      </c>
    </row>
    <row r="8973" spans="1:3" x14ac:dyDescent="0.25">
      <c r="A8973" s="48" t="s">
        <v>19551</v>
      </c>
      <c r="B8973" t="s">
        <v>19552</v>
      </c>
      <c r="C8973">
        <v>84</v>
      </c>
    </row>
    <row r="8974" spans="1:3" x14ac:dyDescent="0.25">
      <c r="A8974" s="48" t="s">
        <v>19549</v>
      </c>
      <c r="B8974" t="s">
        <v>19550</v>
      </c>
      <c r="C8974">
        <v>20</v>
      </c>
    </row>
    <row r="8975" spans="1:3" x14ac:dyDescent="0.25">
      <c r="A8975" s="48" t="s">
        <v>3438</v>
      </c>
      <c r="B8975" t="s">
        <v>22310</v>
      </c>
      <c r="C8975">
        <v>48</v>
      </c>
    </row>
    <row r="8976" spans="1:3" x14ac:dyDescent="0.25">
      <c r="A8976" s="48" t="s">
        <v>17060</v>
      </c>
      <c r="B8976" t="s">
        <v>17061</v>
      </c>
      <c r="C8976">
        <v>9</v>
      </c>
    </row>
    <row r="8977" spans="1:3" x14ac:dyDescent="0.25">
      <c r="A8977" s="48" t="s">
        <v>9595</v>
      </c>
      <c r="B8977" t="s">
        <v>9596</v>
      </c>
      <c r="C8977">
        <v>25</v>
      </c>
    </row>
    <row r="8978" spans="1:3" x14ac:dyDescent="0.25">
      <c r="A8978" s="48" t="s">
        <v>9601</v>
      </c>
      <c r="B8978" t="s">
        <v>9602</v>
      </c>
      <c r="C8978">
        <v>0</v>
      </c>
    </row>
    <row r="8979" spans="1:3" x14ac:dyDescent="0.25">
      <c r="A8979" s="48" t="s">
        <v>9597</v>
      </c>
      <c r="B8979" t="s">
        <v>9598</v>
      </c>
      <c r="C8979">
        <v>2</v>
      </c>
    </row>
    <row r="8980" spans="1:3" x14ac:dyDescent="0.25">
      <c r="A8980" s="48" t="s">
        <v>9599</v>
      </c>
      <c r="B8980" t="s">
        <v>9600</v>
      </c>
      <c r="C8980">
        <v>17</v>
      </c>
    </row>
    <row r="8981" spans="1:3" x14ac:dyDescent="0.25">
      <c r="A8981" s="48" t="s">
        <v>9593</v>
      </c>
      <c r="B8981" t="s">
        <v>9594</v>
      </c>
      <c r="C8981">
        <v>0</v>
      </c>
    </row>
    <row r="8982" spans="1:3" x14ac:dyDescent="0.25">
      <c r="A8982" s="48" t="s">
        <v>9603</v>
      </c>
      <c r="B8982" t="s">
        <v>9604</v>
      </c>
      <c r="C8982">
        <v>1</v>
      </c>
    </row>
    <row r="8983" spans="1:3" x14ac:dyDescent="0.25">
      <c r="A8983" s="48" t="s">
        <v>9607</v>
      </c>
      <c r="B8983" t="s">
        <v>9608</v>
      </c>
      <c r="C8983">
        <v>21</v>
      </c>
    </row>
    <row r="8984" spans="1:3" x14ac:dyDescent="0.25">
      <c r="A8984" s="48" t="s">
        <v>9630</v>
      </c>
      <c r="B8984" t="s">
        <v>9631</v>
      </c>
      <c r="C8984">
        <v>13</v>
      </c>
    </row>
    <row r="8985" spans="1:3" x14ac:dyDescent="0.25">
      <c r="A8985" s="48" t="s">
        <v>9591</v>
      </c>
      <c r="B8985" t="s">
        <v>9592</v>
      </c>
      <c r="C8985">
        <v>17</v>
      </c>
    </row>
    <row r="8986" spans="1:3" x14ac:dyDescent="0.25">
      <c r="A8986" s="48" t="s">
        <v>9624</v>
      </c>
      <c r="B8986" t="s">
        <v>9625</v>
      </c>
      <c r="C8986">
        <v>12</v>
      </c>
    </row>
    <row r="8987" spans="1:3" x14ac:dyDescent="0.25">
      <c r="A8987" s="48" t="s">
        <v>9616</v>
      </c>
      <c r="B8987" t="s">
        <v>9617</v>
      </c>
      <c r="C8987">
        <v>11</v>
      </c>
    </row>
    <row r="8988" spans="1:3" x14ac:dyDescent="0.25">
      <c r="A8988" s="48" t="s">
        <v>9611</v>
      </c>
      <c r="B8988" t="s">
        <v>9612</v>
      </c>
      <c r="C8988">
        <v>1</v>
      </c>
    </row>
    <row r="8989" spans="1:3" x14ac:dyDescent="0.25">
      <c r="A8989" s="48" t="s">
        <v>9613</v>
      </c>
      <c r="B8989" t="s">
        <v>9614</v>
      </c>
      <c r="C8989">
        <v>0</v>
      </c>
    </row>
    <row r="8990" spans="1:3" x14ac:dyDescent="0.25">
      <c r="A8990" s="48" t="s">
        <v>9609</v>
      </c>
      <c r="B8990" t="s">
        <v>9610</v>
      </c>
      <c r="C8990">
        <v>21</v>
      </c>
    </row>
    <row r="8991" spans="1:3" x14ac:dyDescent="0.25">
      <c r="A8991" s="48" t="s">
        <v>9622</v>
      </c>
      <c r="B8991" t="s">
        <v>9623</v>
      </c>
      <c r="C8991">
        <v>16</v>
      </c>
    </row>
    <row r="8992" spans="1:3" x14ac:dyDescent="0.25">
      <c r="A8992" s="48" t="s">
        <v>1479</v>
      </c>
      <c r="B8992" t="s">
        <v>1480</v>
      </c>
      <c r="C8992">
        <v>1</v>
      </c>
    </row>
    <row r="8993" spans="1:3" x14ac:dyDescent="0.25">
      <c r="A8993" s="48" t="s">
        <v>9615</v>
      </c>
      <c r="B8993" t="s">
        <v>1480</v>
      </c>
      <c r="C8993">
        <v>6</v>
      </c>
    </row>
    <row r="8994" spans="1:3" x14ac:dyDescent="0.25">
      <c r="A8994" s="48" t="s">
        <v>9618</v>
      </c>
      <c r="B8994" t="s">
        <v>9619</v>
      </c>
      <c r="C8994">
        <v>7</v>
      </c>
    </row>
    <row r="8995" spans="1:3" x14ac:dyDescent="0.25">
      <c r="A8995" s="48" t="s">
        <v>9628</v>
      </c>
      <c r="B8995" t="s">
        <v>9629</v>
      </c>
      <c r="C8995">
        <v>0</v>
      </c>
    </row>
    <row r="8996" spans="1:3" x14ac:dyDescent="0.25">
      <c r="A8996" s="48" t="s">
        <v>9632</v>
      </c>
      <c r="B8996" t="s">
        <v>9633</v>
      </c>
      <c r="C8996">
        <v>22</v>
      </c>
    </row>
    <row r="8997" spans="1:3" x14ac:dyDescent="0.25">
      <c r="A8997" s="48" t="s">
        <v>9620</v>
      </c>
      <c r="B8997" t="s">
        <v>9621</v>
      </c>
      <c r="C8997">
        <v>5</v>
      </c>
    </row>
    <row r="8998" spans="1:3" x14ac:dyDescent="0.25">
      <c r="A8998" s="48" t="s">
        <v>19730</v>
      </c>
      <c r="B8998" t="s">
        <v>19731</v>
      </c>
      <c r="C8998">
        <v>0</v>
      </c>
    </row>
    <row r="8999" spans="1:3" x14ac:dyDescent="0.25">
      <c r="A8999" s="48" t="s">
        <v>13629</v>
      </c>
      <c r="B8999" t="s">
        <v>13630</v>
      </c>
      <c r="C8999">
        <v>0</v>
      </c>
    </row>
    <row r="9000" spans="1:3" x14ac:dyDescent="0.25">
      <c r="A9000" s="48" t="s">
        <v>18466</v>
      </c>
      <c r="B9000" t="s">
        <v>18467</v>
      </c>
      <c r="C9000">
        <v>12</v>
      </c>
    </row>
    <row r="9001" spans="1:3" x14ac:dyDescent="0.25">
      <c r="A9001" s="48" t="s">
        <v>18462</v>
      </c>
      <c r="B9001" t="s">
        <v>18463</v>
      </c>
      <c r="C9001">
        <v>7</v>
      </c>
    </row>
    <row r="9002" spans="1:3" x14ac:dyDescent="0.25">
      <c r="A9002" s="48" t="s">
        <v>18468</v>
      </c>
      <c r="B9002" t="s">
        <v>18469</v>
      </c>
      <c r="C9002">
        <v>22</v>
      </c>
    </row>
    <row r="9003" spans="1:3" x14ac:dyDescent="0.25">
      <c r="A9003" s="48" t="s">
        <v>18460</v>
      </c>
      <c r="B9003" t="s">
        <v>18461</v>
      </c>
      <c r="C9003">
        <v>0</v>
      </c>
    </row>
    <row r="9004" spans="1:3" x14ac:dyDescent="0.25">
      <c r="A9004" s="48" t="s">
        <v>18458</v>
      </c>
      <c r="B9004" t="s">
        <v>18459</v>
      </c>
      <c r="C9004">
        <v>24</v>
      </c>
    </row>
    <row r="9005" spans="1:3" x14ac:dyDescent="0.25">
      <c r="A9005" s="48" t="s">
        <v>18456</v>
      </c>
      <c r="B9005" t="s">
        <v>18457</v>
      </c>
      <c r="C9005">
        <v>16</v>
      </c>
    </row>
    <row r="9006" spans="1:3" x14ac:dyDescent="0.25">
      <c r="A9006" s="48" t="s">
        <v>18454</v>
      </c>
      <c r="B9006" t="s">
        <v>18455</v>
      </c>
      <c r="C9006">
        <v>9</v>
      </c>
    </row>
    <row r="9007" spans="1:3" x14ac:dyDescent="0.25">
      <c r="A9007" s="48" t="s">
        <v>18452</v>
      </c>
      <c r="B9007" t="s">
        <v>18453</v>
      </c>
      <c r="C9007">
        <v>0</v>
      </c>
    </row>
    <row r="9008" spans="1:3" x14ac:dyDescent="0.25">
      <c r="A9008" s="48" t="s">
        <v>11884</v>
      </c>
      <c r="B9008" t="s">
        <v>11885</v>
      </c>
      <c r="C9008">
        <v>0</v>
      </c>
    </row>
    <row r="9009" spans="1:3" x14ac:dyDescent="0.25">
      <c r="A9009" s="48" t="s">
        <v>1637</v>
      </c>
      <c r="B9009" t="s">
        <v>1638</v>
      </c>
      <c r="C9009">
        <v>238</v>
      </c>
    </row>
    <row r="9010" spans="1:3" x14ac:dyDescent="0.25">
      <c r="A9010" s="48" t="s">
        <v>1223</v>
      </c>
      <c r="B9010" t="s">
        <v>1224</v>
      </c>
      <c r="C9010">
        <v>304</v>
      </c>
    </row>
    <row r="9011" spans="1:3" x14ac:dyDescent="0.25">
      <c r="A9011" s="48" t="s">
        <v>11996</v>
      </c>
      <c r="B9011" t="s">
        <v>11997</v>
      </c>
      <c r="C9011">
        <v>59</v>
      </c>
    </row>
    <row r="9012" spans="1:3" x14ac:dyDescent="0.25">
      <c r="A9012" s="48" t="s">
        <v>1203</v>
      </c>
      <c r="B9012" t="s">
        <v>1204</v>
      </c>
      <c r="C9012">
        <v>29</v>
      </c>
    </row>
    <row r="9013" spans="1:3" x14ac:dyDescent="0.25">
      <c r="A9013" s="48" t="s">
        <v>1093</v>
      </c>
      <c r="B9013" t="s">
        <v>1094</v>
      </c>
      <c r="C9013">
        <v>31</v>
      </c>
    </row>
    <row r="9014" spans="1:3" x14ac:dyDescent="0.25">
      <c r="A9014" s="48" t="s">
        <v>1501</v>
      </c>
      <c r="B9014" t="s">
        <v>1502</v>
      </c>
      <c r="C9014">
        <v>152</v>
      </c>
    </row>
    <row r="9015" spans="1:3" x14ac:dyDescent="0.25">
      <c r="A9015" s="48" t="s">
        <v>23252</v>
      </c>
      <c r="B9015" t="s">
        <v>23253</v>
      </c>
      <c r="C9015">
        <v>0</v>
      </c>
    </row>
    <row r="9016" spans="1:3" x14ac:dyDescent="0.25">
      <c r="A9016" s="48" t="s">
        <v>13641</v>
      </c>
      <c r="B9016" t="s">
        <v>13642</v>
      </c>
      <c r="C9016">
        <v>45</v>
      </c>
    </row>
    <row r="9017" spans="1:3" x14ac:dyDescent="0.25">
      <c r="A9017" s="48" t="s">
        <v>13637</v>
      </c>
      <c r="B9017" t="s">
        <v>13638</v>
      </c>
      <c r="C9017">
        <v>12</v>
      </c>
    </row>
    <row r="9018" spans="1:3" x14ac:dyDescent="0.25">
      <c r="A9018" s="48" t="s">
        <v>13639</v>
      </c>
      <c r="B9018" t="s">
        <v>13640</v>
      </c>
      <c r="C9018">
        <v>0</v>
      </c>
    </row>
    <row r="9019" spans="1:3" x14ac:dyDescent="0.25">
      <c r="A9019" s="48" t="s">
        <v>13633</v>
      </c>
      <c r="B9019" t="s">
        <v>13634</v>
      </c>
      <c r="C9019">
        <v>6</v>
      </c>
    </row>
    <row r="9020" spans="1:3" x14ac:dyDescent="0.25">
      <c r="A9020" s="48" t="s">
        <v>1179</v>
      </c>
      <c r="B9020" t="s">
        <v>1180</v>
      </c>
      <c r="C9020">
        <v>2</v>
      </c>
    </row>
    <row r="9021" spans="1:3" x14ac:dyDescent="0.25">
      <c r="A9021" s="48" t="s">
        <v>1611</v>
      </c>
      <c r="B9021" t="s">
        <v>1612</v>
      </c>
      <c r="C9021">
        <v>7</v>
      </c>
    </row>
    <row r="9022" spans="1:3" x14ac:dyDescent="0.25">
      <c r="A9022" s="48" t="s">
        <v>1139</v>
      </c>
      <c r="B9022" t="s">
        <v>1140</v>
      </c>
      <c r="C9022">
        <v>12</v>
      </c>
    </row>
    <row r="9023" spans="1:3" x14ac:dyDescent="0.25">
      <c r="A9023" s="48" t="s">
        <v>8626</v>
      </c>
      <c r="B9023" t="s">
        <v>8627</v>
      </c>
      <c r="C9023">
        <v>15</v>
      </c>
    </row>
    <row r="9024" spans="1:3" x14ac:dyDescent="0.25">
      <c r="A9024" s="48" t="s">
        <v>8155</v>
      </c>
      <c r="B9024" t="s">
        <v>8156</v>
      </c>
      <c r="C9024">
        <v>0</v>
      </c>
    </row>
    <row r="9025" spans="1:3" x14ac:dyDescent="0.25">
      <c r="A9025" s="48" t="s">
        <v>461</v>
      </c>
      <c r="B9025" t="s">
        <v>462</v>
      </c>
      <c r="C9025">
        <v>14</v>
      </c>
    </row>
    <row r="9026" spans="1:3" x14ac:dyDescent="0.25">
      <c r="A9026" s="48" t="s">
        <v>7579</v>
      </c>
      <c r="B9026" t="s">
        <v>7580</v>
      </c>
      <c r="C9026">
        <v>23</v>
      </c>
    </row>
    <row r="9027" spans="1:3" x14ac:dyDescent="0.25">
      <c r="A9027" s="48" t="s">
        <v>1635</v>
      </c>
      <c r="B9027" t="s">
        <v>1636</v>
      </c>
      <c r="C9027">
        <v>22</v>
      </c>
    </row>
    <row r="9028" spans="1:3" x14ac:dyDescent="0.25">
      <c r="A9028" s="48" t="s">
        <v>7583</v>
      </c>
      <c r="B9028" t="s">
        <v>7584</v>
      </c>
      <c r="C9028">
        <v>9</v>
      </c>
    </row>
    <row r="9029" spans="1:3" x14ac:dyDescent="0.25">
      <c r="A9029" s="48" t="s">
        <v>1335</v>
      </c>
      <c r="B9029" t="s">
        <v>1336</v>
      </c>
      <c r="C9029">
        <v>38</v>
      </c>
    </row>
    <row r="9030" spans="1:3" x14ac:dyDescent="0.25">
      <c r="A9030" s="48" t="s">
        <v>1972</v>
      </c>
      <c r="B9030" t="s">
        <v>1973</v>
      </c>
      <c r="C9030">
        <v>21</v>
      </c>
    </row>
    <row r="9031" spans="1:3" x14ac:dyDescent="0.25">
      <c r="A9031" s="48" t="s">
        <v>1934</v>
      </c>
      <c r="B9031" t="s">
        <v>1935</v>
      </c>
      <c r="C9031">
        <v>26</v>
      </c>
    </row>
    <row r="9032" spans="1:3" x14ac:dyDescent="0.25">
      <c r="A9032" s="48" t="s">
        <v>1583</v>
      </c>
      <c r="B9032" t="s">
        <v>1584</v>
      </c>
      <c r="C9032">
        <v>0</v>
      </c>
    </row>
    <row r="9033" spans="1:3" x14ac:dyDescent="0.25">
      <c r="A9033" s="48" t="s">
        <v>7581</v>
      </c>
      <c r="B9033" t="s">
        <v>7582</v>
      </c>
      <c r="C9033">
        <v>124</v>
      </c>
    </row>
    <row r="9034" spans="1:3" x14ac:dyDescent="0.25">
      <c r="A9034" s="48" t="s">
        <v>12668</v>
      </c>
      <c r="B9034" t="s">
        <v>12669</v>
      </c>
      <c r="C9034">
        <v>12</v>
      </c>
    </row>
    <row r="9035" spans="1:3" x14ac:dyDescent="0.25">
      <c r="A9035" s="48" t="s">
        <v>12670</v>
      </c>
      <c r="B9035" t="s">
        <v>12671</v>
      </c>
      <c r="C9035">
        <v>26</v>
      </c>
    </row>
    <row r="9036" spans="1:3" x14ac:dyDescent="0.25">
      <c r="A9036" s="48" t="s">
        <v>14225</v>
      </c>
      <c r="B9036" t="s">
        <v>14226</v>
      </c>
      <c r="C9036">
        <v>0</v>
      </c>
    </row>
    <row r="9037" spans="1:3" x14ac:dyDescent="0.25">
      <c r="A9037" s="48" t="s">
        <v>6600</v>
      </c>
      <c r="B9037" t="s">
        <v>6601</v>
      </c>
      <c r="C9037">
        <v>0</v>
      </c>
    </row>
    <row r="9038" spans="1:3" x14ac:dyDescent="0.25">
      <c r="A9038" s="48" t="s">
        <v>623</v>
      </c>
      <c r="B9038" t="s">
        <v>624</v>
      </c>
      <c r="C9038">
        <v>25</v>
      </c>
    </row>
    <row r="9039" spans="1:3" x14ac:dyDescent="0.25">
      <c r="A9039" s="48" t="s">
        <v>6183</v>
      </c>
      <c r="B9039" t="s">
        <v>6182</v>
      </c>
      <c r="C9039">
        <v>1</v>
      </c>
    </row>
    <row r="9040" spans="1:3" x14ac:dyDescent="0.25">
      <c r="A9040" s="48" t="s">
        <v>1924</v>
      </c>
      <c r="B9040" t="s">
        <v>1925</v>
      </c>
      <c r="C9040">
        <v>103</v>
      </c>
    </row>
    <row r="9041" spans="1:3" x14ac:dyDescent="0.25">
      <c r="A9041" s="48" t="s">
        <v>12941</v>
      </c>
      <c r="B9041" t="s">
        <v>12942</v>
      </c>
      <c r="C9041">
        <v>114</v>
      </c>
    </row>
    <row r="9042" spans="1:3" x14ac:dyDescent="0.25">
      <c r="A9042" s="48" t="s">
        <v>12943</v>
      </c>
      <c r="B9042" t="s">
        <v>12944</v>
      </c>
      <c r="C9042">
        <v>0</v>
      </c>
    </row>
    <row r="9043" spans="1:3" x14ac:dyDescent="0.25">
      <c r="A9043" s="48" t="s">
        <v>12945</v>
      </c>
      <c r="B9043" t="s">
        <v>12946</v>
      </c>
      <c r="C9043">
        <v>21</v>
      </c>
    </row>
    <row r="9044" spans="1:3" x14ac:dyDescent="0.25">
      <c r="A9044" s="48" t="s">
        <v>7518</v>
      </c>
      <c r="B9044" t="s">
        <v>7519</v>
      </c>
      <c r="C9044">
        <v>64</v>
      </c>
    </row>
    <row r="9045" spans="1:3" x14ac:dyDescent="0.25">
      <c r="A9045" s="48" t="s">
        <v>12951</v>
      </c>
      <c r="B9045" t="s">
        <v>12952</v>
      </c>
      <c r="C9045">
        <v>17</v>
      </c>
    </row>
    <row r="9046" spans="1:3" x14ac:dyDescent="0.25">
      <c r="A9046" s="48" t="s">
        <v>6184</v>
      </c>
      <c r="B9046" t="s">
        <v>6185</v>
      </c>
      <c r="C9046">
        <v>0</v>
      </c>
    </row>
    <row r="9047" spans="1:3" x14ac:dyDescent="0.25">
      <c r="A9047" s="48" t="s">
        <v>6181</v>
      </c>
      <c r="B9047" t="s">
        <v>6182</v>
      </c>
      <c r="C9047">
        <v>2</v>
      </c>
    </row>
    <row r="9048" spans="1:3" x14ac:dyDescent="0.25">
      <c r="A9048" s="48" t="s">
        <v>1129</v>
      </c>
      <c r="B9048" t="s">
        <v>1130</v>
      </c>
      <c r="C9048">
        <v>95</v>
      </c>
    </row>
    <row r="9049" spans="1:3" x14ac:dyDescent="0.25">
      <c r="A9049" s="48" t="s">
        <v>1127</v>
      </c>
      <c r="B9049" t="s">
        <v>1128</v>
      </c>
      <c r="C9049">
        <v>8</v>
      </c>
    </row>
    <row r="9050" spans="1:3" x14ac:dyDescent="0.25">
      <c r="A9050" s="48" t="s">
        <v>989</v>
      </c>
      <c r="B9050" t="s">
        <v>990</v>
      </c>
      <c r="C9050">
        <v>0</v>
      </c>
    </row>
    <row r="9051" spans="1:3" x14ac:dyDescent="0.25">
      <c r="A9051" s="48" t="s">
        <v>109</v>
      </c>
      <c r="B9051" t="s">
        <v>110</v>
      </c>
      <c r="C9051">
        <v>0</v>
      </c>
    </row>
    <row r="9052" spans="1:3" x14ac:dyDescent="0.25">
      <c r="A9052" s="48" t="s">
        <v>23005</v>
      </c>
      <c r="B9052" t="s">
        <v>23006</v>
      </c>
      <c r="C9052">
        <v>0</v>
      </c>
    </row>
    <row r="9053" spans="1:3" x14ac:dyDescent="0.25">
      <c r="A9053" s="48" t="s">
        <v>6630</v>
      </c>
      <c r="B9053" t="s">
        <v>6631</v>
      </c>
      <c r="C9053">
        <v>1</v>
      </c>
    </row>
    <row r="9054" spans="1:3" x14ac:dyDescent="0.25">
      <c r="A9054" s="48" t="s">
        <v>6186</v>
      </c>
      <c r="B9054" t="s">
        <v>22311</v>
      </c>
      <c r="C9054">
        <v>0</v>
      </c>
    </row>
    <row r="9055" spans="1:3" x14ac:dyDescent="0.25">
      <c r="A9055" s="48" t="s">
        <v>6188</v>
      </c>
      <c r="B9055" t="s">
        <v>6189</v>
      </c>
      <c r="C9055">
        <v>0</v>
      </c>
    </row>
    <row r="9056" spans="1:3" x14ac:dyDescent="0.25">
      <c r="A9056" s="48" t="s">
        <v>1421</v>
      </c>
      <c r="B9056" t="s">
        <v>1422</v>
      </c>
      <c r="C9056">
        <v>0</v>
      </c>
    </row>
    <row r="9057" spans="1:3" x14ac:dyDescent="0.25">
      <c r="A9057" s="48" t="s">
        <v>12947</v>
      </c>
      <c r="B9057" t="s">
        <v>12948</v>
      </c>
      <c r="C9057">
        <v>0</v>
      </c>
    </row>
    <row r="9058" spans="1:3" x14ac:dyDescent="0.25">
      <c r="A9058" s="48" t="s">
        <v>12949</v>
      </c>
      <c r="B9058" t="s">
        <v>12950</v>
      </c>
      <c r="C9058">
        <v>1</v>
      </c>
    </row>
    <row r="9059" spans="1:3" x14ac:dyDescent="0.25">
      <c r="A9059" s="48" t="s">
        <v>295</v>
      </c>
      <c r="B9059" t="s">
        <v>296</v>
      </c>
      <c r="C9059">
        <v>12</v>
      </c>
    </row>
    <row r="9060" spans="1:3" x14ac:dyDescent="0.25">
      <c r="A9060" s="48" t="s">
        <v>874</v>
      </c>
      <c r="B9060" t="s">
        <v>875</v>
      </c>
      <c r="C9060">
        <v>15</v>
      </c>
    </row>
    <row r="9061" spans="1:3" x14ac:dyDescent="0.25">
      <c r="A9061" s="48" t="s">
        <v>1055</v>
      </c>
      <c r="B9061" t="s">
        <v>1056</v>
      </c>
      <c r="C9061">
        <v>261</v>
      </c>
    </row>
    <row r="9062" spans="1:3" x14ac:dyDescent="0.25">
      <c r="A9062" s="48" t="s">
        <v>1167</v>
      </c>
      <c r="B9062" t="s">
        <v>1168</v>
      </c>
      <c r="C9062">
        <v>10</v>
      </c>
    </row>
    <row r="9063" spans="1:3" x14ac:dyDescent="0.25">
      <c r="A9063" s="48" t="s">
        <v>1559</v>
      </c>
      <c r="B9063" t="s">
        <v>1560</v>
      </c>
      <c r="C9063">
        <v>93</v>
      </c>
    </row>
    <row r="9064" spans="1:3" x14ac:dyDescent="0.25">
      <c r="A9064" s="48" t="s">
        <v>393</v>
      </c>
      <c r="B9064" t="s">
        <v>394</v>
      </c>
      <c r="C9064">
        <v>31</v>
      </c>
    </row>
    <row r="9065" spans="1:3" x14ac:dyDescent="0.25">
      <c r="A9065" s="48" t="s">
        <v>369</v>
      </c>
      <c r="B9065" t="s">
        <v>370</v>
      </c>
      <c r="C9065">
        <v>16</v>
      </c>
    </row>
    <row r="9066" spans="1:3" x14ac:dyDescent="0.25">
      <c r="A9066" s="48" t="s">
        <v>1375</v>
      </c>
      <c r="B9066" t="s">
        <v>1376</v>
      </c>
      <c r="C9066">
        <v>0</v>
      </c>
    </row>
    <row r="9067" spans="1:3" x14ac:dyDescent="0.25">
      <c r="A9067" s="48" t="s">
        <v>9463</v>
      </c>
      <c r="B9067" t="s">
        <v>9464</v>
      </c>
      <c r="C9067">
        <v>0</v>
      </c>
    </row>
    <row r="9068" spans="1:3" x14ac:dyDescent="0.25">
      <c r="A9068" s="48" t="s">
        <v>10425</v>
      </c>
      <c r="B9068" t="s">
        <v>10426</v>
      </c>
      <c r="C9068">
        <v>7</v>
      </c>
    </row>
    <row r="9069" spans="1:3" x14ac:dyDescent="0.25">
      <c r="A9069" s="48" t="s">
        <v>10419</v>
      </c>
      <c r="B9069" t="s">
        <v>10420</v>
      </c>
      <c r="C9069">
        <v>7</v>
      </c>
    </row>
    <row r="9070" spans="1:3" x14ac:dyDescent="0.25">
      <c r="A9070" s="48" t="s">
        <v>10421</v>
      </c>
      <c r="B9070" t="s">
        <v>10422</v>
      </c>
      <c r="C9070">
        <v>17</v>
      </c>
    </row>
    <row r="9071" spans="1:3" x14ac:dyDescent="0.25">
      <c r="A9071" s="48" t="s">
        <v>10417</v>
      </c>
      <c r="B9071" t="s">
        <v>10418</v>
      </c>
      <c r="C9071">
        <v>14</v>
      </c>
    </row>
    <row r="9072" spans="1:3" x14ac:dyDescent="0.25">
      <c r="A9072" s="48" t="s">
        <v>10407</v>
      </c>
      <c r="B9072" t="s">
        <v>10408</v>
      </c>
      <c r="C9072">
        <v>29</v>
      </c>
    </row>
    <row r="9073" spans="1:3" x14ac:dyDescent="0.25">
      <c r="A9073" s="48" t="s">
        <v>10427</v>
      </c>
      <c r="B9073" t="s">
        <v>10428</v>
      </c>
      <c r="C9073">
        <v>31</v>
      </c>
    </row>
    <row r="9074" spans="1:3" x14ac:dyDescent="0.25">
      <c r="A9074" s="48" t="s">
        <v>10409</v>
      </c>
      <c r="B9074" t="s">
        <v>10410</v>
      </c>
      <c r="C9074">
        <v>28</v>
      </c>
    </row>
    <row r="9075" spans="1:3" x14ac:dyDescent="0.25">
      <c r="A9075" s="48" t="s">
        <v>10413</v>
      </c>
      <c r="B9075" t="s">
        <v>10414</v>
      </c>
      <c r="C9075">
        <v>7</v>
      </c>
    </row>
    <row r="9076" spans="1:3" x14ac:dyDescent="0.25">
      <c r="A9076" s="48" t="s">
        <v>10411</v>
      </c>
      <c r="B9076" t="s">
        <v>10412</v>
      </c>
      <c r="C9076">
        <v>7</v>
      </c>
    </row>
    <row r="9077" spans="1:3" x14ac:dyDescent="0.25">
      <c r="A9077" s="48" t="s">
        <v>10423</v>
      </c>
      <c r="B9077" t="s">
        <v>10424</v>
      </c>
      <c r="C9077">
        <v>12</v>
      </c>
    </row>
    <row r="9078" spans="1:3" x14ac:dyDescent="0.25">
      <c r="A9078" s="48" t="s">
        <v>10415</v>
      </c>
      <c r="B9078" t="s">
        <v>10416</v>
      </c>
      <c r="C9078">
        <v>7</v>
      </c>
    </row>
    <row r="9079" spans="1:3" x14ac:dyDescent="0.25">
      <c r="A9079" s="48" t="s">
        <v>7512</v>
      </c>
      <c r="B9079" t="s">
        <v>7513</v>
      </c>
      <c r="C9079">
        <v>0</v>
      </c>
    </row>
    <row r="9080" spans="1:3" x14ac:dyDescent="0.25">
      <c r="A9080" s="48" t="s">
        <v>7510</v>
      </c>
      <c r="B9080" t="s">
        <v>7511</v>
      </c>
      <c r="C9080">
        <v>1</v>
      </c>
    </row>
    <row r="9081" spans="1:3" x14ac:dyDescent="0.25">
      <c r="A9081" s="48" t="s">
        <v>6948</v>
      </c>
      <c r="B9081" t="s">
        <v>6949</v>
      </c>
      <c r="C9081">
        <v>11</v>
      </c>
    </row>
    <row r="9082" spans="1:3" x14ac:dyDescent="0.25">
      <c r="A9082" s="48" t="s">
        <v>15709</v>
      </c>
      <c r="B9082" t="s">
        <v>15710</v>
      </c>
      <c r="C9082">
        <v>7</v>
      </c>
    </row>
    <row r="9083" spans="1:3" x14ac:dyDescent="0.25">
      <c r="A9083" s="48" t="s">
        <v>7514</v>
      </c>
      <c r="B9083" t="s">
        <v>7515</v>
      </c>
      <c r="C9083">
        <v>0</v>
      </c>
    </row>
    <row r="9084" spans="1:3" x14ac:dyDescent="0.25">
      <c r="A9084" s="48" t="s">
        <v>6964</v>
      </c>
      <c r="B9084" t="s">
        <v>6965</v>
      </c>
      <c r="C9084">
        <v>4</v>
      </c>
    </row>
    <row r="9085" spans="1:3" x14ac:dyDescent="0.25">
      <c r="A9085" s="48" t="s">
        <v>6970</v>
      </c>
      <c r="B9085" t="s">
        <v>6971</v>
      </c>
      <c r="C9085">
        <v>6</v>
      </c>
    </row>
    <row r="9086" spans="1:3" x14ac:dyDescent="0.25">
      <c r="A9086" s="48" t="s">
        <v>7003</v>
      </c>
      <c r="B9086" t="s">
        <v>7004</v>
      </c>
      <c r="C9086">
        <v>6</v>
      </c>
    </row>
    <row r="9087" spans="1:3" x14ac:dyDescent="0.25">
      <c r="A9087" s="48" t="s">
        <v>6976</v>
      </c>
      <c r="B9087" t="s">
        <v>6977</v>
      </c>
      <c r="C9087">
        <v>0</v>
      </c>
    </row>
    <row r="9088" spans="1:3" x14ac:dyDescent="0.25">
      <c r="A9088" s="48" t="s">
        <v>6986</v>
      </c>
      <c r="B9088" t="s">
        <v>6987</v>
      </c>
      <c r="C9088">
        <v>0</v>
      </c>
    </row>
    <row r="9089" spans="1:3" x14ac:dyDescent="0.25">
      <c r="A9089" s="48" t="s">
        <v>6990</v>
      </c>
      <c r="B9089" t="s">
        <v>6991</v>
      </c>
      <c r="C9089">
        <v>0</v>
      </c>
    </row>
    <row r="9090" spans="1:3" x14ac:dyDescent="0.25">
      <c r="A9090" s="48" t="s">
        <v>6992</v>
      </c>
      <c r="B9090" t="s">
        <v>6993</v>
      </c>
      <c r="C9090">
        <v>2</v>
      </c>
    </row>
    <row r="9091" spans="1:3" x14ac:dyDescent="0.25">
      <c r="A9091" s="48" t="s">
        <v>6974</v>
      </c>
      <c r="B9091" t="s">
        <v>6975</v>
      </c>
      <c r="C9091">
        <v>0</v>
      </c>
    </row>
    <row r="9092" spans="1:3" x14ac:dyDescent="0.25">
      <c r="A9092" s="48" t="s">
        <v>6999</v>
      </c>
      <c r="B9092" t="s">
        <v>7000</v>
      </c>
      <c r="C9092">
        <v>0</v>
      </c>
    </row>
    <row r="9093" spans="1:3" x14ac:dyDescent="0.25">
      <c r="A9093" s="48" t="s">
        <v>7001</v>
      </c>
      <c r="B9093" t="s">
        <v>7002</v>
      </c>
      <c r="C9093">
        <v>1</v>
      </c>
    </row>
    <row r="9094" spans="1:3" x14ac:dyDescent="0.25">
      <c r="A9094" s="48" t="s">
        <v>161</v>
      </c>
      <c r="B9094" t="s">
        <v>162</v>
      </c>
      <c r="C9094">
        <v>0</v>
      </c>
    </row>
    <row r="9095" spans="1:3" x14ac:dyDescent="0.25">
      <c r="A9095" s="48" t="s">
        <v>6984</v>
      </c>
      <c r="B9095" t="s">
        <v>6985</v>
      </c>
      <c r="C9095">
        <v>4</v>
      </c>
    </row>
    <row r="9096" spans="1:3" x14ac:dyDescent="0.25">
      <c r="A9096" s="48" t="s">
        <v>6982</v>
      </c>
      <c r="B9096" t="s">
        <v>6983</v>
      </c>
      <c r="C9096">
        <v>0</v>
      </c>
    </row>
    <row r="9097" spans="1:3" x14ac:dyDescent="0.25">
      <c r="A9097" s="48" t="s">
        <v>6980</v>
      </c>
      <c r="B9097" t="s">
        <v>6981</v>
      </c>
      <c r="C9097">
        <v>0</v>
      </c>
    </row>
    <row r="9098" spans="1:3" x14ac:dyDescent="0.25">
      <c r="A9098" s="48" t="s">
        <v>6997</v>
      </c>
      <c r="B9098" t="s">
        <v>6998</v>
      </c>
      <c r="C9098">
        <v>0</v>
      </c>
    </row>
    <row r="9099" spans="1:3" x14ac:dyDescent="0.25">
      <c r="A9099" s="48" t="s">
        <v>6966</v>
      </c>
      <c r="B9099" t="s">
        <v>6967</v>
      </c>
      <c r="C9099">
        <v>2</v>
      </c>
    </row>
    <row r="9100" spans="1:3" x14ac:dyDescent="0.25">
      <c r="A9100" s="48" t="s">
        <v>6968</v>
      </c>
      <c r="B9100" t="s">
        <v>6969</v>
      </c>
      <c r="C9100">
        <v>0</v>
      </c>
    </row>
    <row r="9101" spans="1:3" x14ac:dyDescent="0.25">
      <c r="A9101" s="48" t="s">
        <v>6972</v>
      </c>
      <c r="B9101" t="s">
        <v>6973</v>
      </c>
      <c r="C9101">
        <v>0</v>
      </c>
    </row>
    <row r="9102" spans="1:3" x14ac:dyDescent="0.25">
      <c r="A9102" s="48" t="s">
        <v>6988</v>
      </c>
      <c r="B9102" t="s">
        <v>6989</v>
      </c>
      <c r="C9102">
        <v>2</v>
      </c>
    </row>
    <row r="9103" spans="1:3" x14ac:dyDescent="0.25">
      <c r="A9103" s="48" t="s">
        <v>6978</v>
      </c>
      <c r="B9103" t="s">
        <v>6979</v>
      </c>
      <c r="C9103">
        <v>3</v>
      </c>
    </row>
    <row r="9104" spans="1:3" x14ac:dyDescent="0.25">
      <c r="A9104" s="48" t="s">
        <v>6994</v>
      </c>
      <c r="B9104" t="s">
        <v>6995</v>
      </c>
      <c r="C9104">
        <v>0</v>
      </c>
    </row>
    <row r="9105" spans="1:3" x14ac:dyDescent="0.25">
      <c r="A9105" s="48" t="s">
        <v>6996</v>
      </c>
      <c r="B9105" t="s">
        <v>6995</v>
      </c>
      <c r="C9105">
        <v>0</v>
      </c>
    </row>
    <row r="9106" spans="1:3" x14ac:dyDescent="0.25">
      <c r="A9106" s="48" t="s">
        <v>3863</v>
      </c>
      <c r="B9106" t="s">
        <v>3864</v>
      </c>
      <c r="C9106">
        <v>11</v>
      </c>
    </row>
    <row r="9107" spans="1:3" x14ac:dyDescent="0.25">
      <c r="A9107" s="48" t="s">
        <v>14600</v>
      </c>
      <c r="B9107" t="s">
        <v>14601</v>
      </c>
      <c r="C9107">
        <v>11</v>
      </c>
    </row>
    <row r="9108" spans="1:3" x14ac:dyDescent="0.25">
      <c r="A9108" s="48" t="s">
        <v>14602</v>
      </c>
      <c r="B9108" t="s">
        <v>14603</v>
      </c>
      <c r="C9108">
        <v>0</v>
      </c>
    </row>
    <row r="9109" spans="1:3" x14ac:dyDescent="0.25">
      <c r="A9109" s="48" t="s">
        <v>115</v>
      </c>
      <c r="B9109" t="s">
        <v>116</v>
      </c>
      <c r="C9109">
        <v>7</v>
      </c>
    </row>
    <row r="9110" spans="1:3" x14ac:dyDescent="0.25">
      <c r="A9110" s="48" t="s">
        <v>235</v>
      </c>
      <c r="B9110" t="s">
        <v>236</v>
      </c>
      <c r="C9110">
        <v>1</v>
      </c>
    </row>
    <row r="9111" spans="1:3" x14ac:dyDescent="0.25">
      <c r="A9111" s="48" t="s">
        <v>866</v>
      </c>
      <c r="B9111" t="s">
        <v>867</v>
      </c>
      <c r="C9111">
        <v>52</v>
      </c>
    </row>
    <row r="9112" spans="1:3" x14ac:dyDescent="0.25">
      <c r="A9112" s="48" t="s">
        <v>1409</v>
      </c>
      <c r="B9112" t="s">
        <v>1410</v>
      </c>
      <c r="C9112">
        <v>54</v>
      </c>
    </row>
    <row r="9113" spans="1:3" x14ac:dyDescent="0.25">
      <c r="A9113" s="48" t="s">
        <v>959</v>
      </c>
      <c r="B9113" t="s">
        <v>960</v>
      </c>
      <c r="C9113">
        <v>93</v>
      </c>
    </row>
    <row r="9114" spans="1:3" x14ac:dyDescent="0.25">
      <c r="A9114" s="48" t="s">
        <v>13619</v>
      </c>
      <c r="B9114" t="s">
        <v>13620</v>
      </c>
      <c r="C9114">
        <v>8</v>
      </c>
    </row>
    <row r="9115" spans="1:3" x14ac:dyDescent="0.25">
      <c r="A9115" s="48" t="s">
        <v>10622</v>
      </c>
      <c r="B9115" t="s">
        <v>10623</v>
      </c>
      <c r="C9115">
        <v>40</v>
      </c>
    </row>
    <row r="9116" spans="1:3" x14ac:dyDescent="0.25">
      <c r="A9116" s="48" t="s">
        <v>10624</v>
      </c>
      <c r="B9116" t="s">
        <v>10625</v>
      </c>
      <c r="C9116">
        <v>40</v>
      </c>
    </row>
    <row r="9117" spans="1:3" x14ac:dyDescent="0.25">
      <c r="A9117" s="48" t="s">
        <v>9536</v>
      </c>
      <c r="B9117" t="s">
        <v>9537</v>
      </c>
      <c r="C9117">
        <v>93</v>
      </c>
    </row>
    <row r="9118" spans="1:3" x14ac:dyDescent="0.25">
      <c r="A9118" s="48" t="s">
        <v>7466</v>
      </c>
      <c r="B9118" t="s">
        <v>7467</v>
      </c>
      <c r="C9118">
        <v>5</v>
      </c>
    </row>
    <row r="9119" spans="1:3" x14ac:dyDescent="0.25">
      <c r="A9119" s="48" t="s">
        <v>1301</v>
      </c>
      <c r="B9119" t="s">
        <v>1302</v>
      </c>
      <c r="C9119">
        <v>38</v>
      </c>
    </row>
    <row r="9120" spans="1:3" x14ac:dyDescent="0.25">
      <c r="A9120" s="48" t="s">
        <v>7470</v>
      </c>
      <c r="B9120" t="s">
        <v>7471</v>
      </c>
      <c r="C9120">
        <v>0</v>
      </c>
    </row>
    <row r="9121" spans="1:3" x14ac:dyDescent="0.25">
      <c r="A9121" s="48" t="s">
        <v>7468</v>
      </c>
      <c r="B9121" t="s">
        <v>7469</v>
      </c>
      <c r="C9121">
        <v>40</v>
      </c>
    </row>
    <row r="9122" spans="1:3" x14ac:dyDescent="0.25">
      <c r="A9122" s="48" t="s">
        <v>7472</v>
      </c>
      <c r="B9122" t="s">
        <v>7473</v>
      </c>
      <c r="C9122">
        <v>26</v>
      </c>
    </row>
    <row r="9123" spans="1:3" x14ac:dyDescent="0.25">
      <c r="A9123" s="48" t="s">
        <v>1613</v>
      </c>
      <c r="B9123" t="s">
        <v>1614</v>
      </c>
      <c r="C9123">
        <v>27</v>
      </c>
    </row>
    <row r="9124" spans="1:3" x14ac:dyDescent="0.25">
      <c r="A9124" s="48" t="s">
        <v>6118</v>
      </c>
      <c r="B9124" t="s">
        <v>6119</v>
      </c>
      <c r="C9124">
        <v>10</v>
      </c>
    </row>
    <row r="9125" spans="1:3" x14ac:dyDescent="0.25">
      <c r="A9125" s="48" t="s">
        <v>765</v>
      </c>
      <c r="B9125" t="s">
        <v>766</v>
      </c>
      <c r="C9125">
        <v>36</v>
      </c>
    </row>
    <row r="9126" spans="1:3" x14ac:dyDescent="0.25">
      <c r="A9126" s="48" t="s">
        <v>6107</v>
      </c>
      <c r="B9126" t="s">
        <v>6108</v>
      </c>
      <c r="C9126">
        <v>4</v>
      </c>
    </row>
    <row r="9127" spans="1:3" x14ac:dyDescent="0.25">
      <c r="A9127" s="48" t="s">
        <v>6103</v>
      </c>
      <c r="B9127" t="s">
        <v>6104</v>
      </c>
      <c r="C9127">
        <v>5</v>
      </c>
    </row>
    <row r="9128" spans="1:3" x14ac:dyDescent="0.25">
      <c r="A9128" s="48" t="s">
        <v>5953</v>
      </c>
      <c r="B9128" t="s">
        <v>5954</v>
      </c>
      <c r="C9128">
        <v>0</v>
      </c>
    </row>
    <row r="9129" spans="1:3" x14ac:dyDescent="0.25">
      <c r="A9129" s="48" t="s">
        <v>7734</v>
      </c>
      <c r="B9129" t="s">
        <v>7735</v>
      </c>
      <c r="C9129">
        <v>0</v>
      </c>
    </row>
    <row r="9130" spans="1:3" x14ac:dyDescent="0.25">
      <c r="A9130" s="48" t="s">
        <v>18411</v>
      </c>
      <c r="B9130" t="s">
        <v>18412</v>
      </c>
      <c r="C9130">
        <v>3</v>
      </c>
    </row>
    <row r="9131" spans="1:3" x14ac:dyDescent="0.25">
      <c r="A9131" s="48" t="s">
        <v>18413</v>
      </c>
      <c r="B9131" t="s">
        <v>18414</v>
      </c>
      <c r="C9131">
        <v>0</v>
      </c>
    </row>
    <row r="9132" spans="1:3" x14ac:dyDescent="0.25">
      <c r="A9132" s="48" t="s">
        <v>18409</v>
      </c>
      <c r="B9132" t="s">
        <v>18410</v>
      </c>
      <c r="C9132">
        <v>0</v>
      </c>
    </row>
    <row r="9133" spans="1:3" x14ac:dyDescent="0.25">
      <c r="A9133" s="48" t="s">
        <v>5022</v>
      </c>
      <c r="B9133" t="s">
        <v>5023</v>
      </c>
      <c r="C9133">
        <v>19</v>
      </c>
    </row>
    <row r="9134" spans="1:3" x14ac:dyDescent="0.25">
      <c r="A9134" s="48" t="s">
        <v>13734</v>
      </c>
      <c r="B9134" t="s">
        <v>13735</v>
      </c>
      <c r="C9134">
        <v>10</v>
      </c>
    </row>
    <row r="9135" spans="1:3" x14ac:dyDescent="0.25">
      <c r="A9135" s="48" t="s">
        <v>13736</v>
      </c>
      <c r="B9135" t="s">
        <v>13737</v>
      </c>
      <c r="C9135">
        <v>6</v>
      </c>
    </row>
    <row r="9136" spans="1:3" x14ac:dyDescent="0.25">
      <c r="A9136" s="48" t="s">
        <v>8874</v>
      </c>
      <c r="B9136" t="s">
        <v>8875</v>
      </c>
      <c r="C9136">
        <v>5</v>
      </c>
    </row>
    <row r="9137" spans="1:3" x14ac:dyDescent="0.25">
      <c r="A9137" s="48" t="s">
        <v>6144</v>
      </c>
      <c r="B9137" t="s">
        <v>6145</v>
      </c>
      <c r="C9137">
        <v>0</v>
      </c>
    </row>
    <row r="9138" spans="1:3" x14ac:dyDescent="0.25">
      <c r="A9138" s="48" t="s">
        <v>16063</v>
      </c>
      <c r="B9138" t="s">
        <v>16064</v>
      </c>
      <c r="C9138">
        <v>14</v>
      </c>
    </row>
    <row r="9139" spans="1:3" x14ac:dyDescent="0.25">
      <c r="A9139" s="48" t="s">
        <v>16065</v>
      </c>
      <c r="B9139" t="s">
        <v>16066</v>
      </c>
      <c r="C9139">
        <v>23</v>
      </c>
    </row>
    <row r="9140" spans="1:3" x14ac:dyDescent="0.25">
      <c r="A9140" s="48" t="s">
        <v>16067</v>
      </c>
      <c r="B9140" t="s">
        <v>16068</v>
      </c>
      <c r="C9140">
        <v>0</v>
      </c>
    </row>
    <row r="9141" spans="1:3" x14ac:dyDescent="0.25">
      <c r="A9141" s="48" t="s">
        <v>16073</v>
      </c>
      <c r="B9141" t="s">
        <v>16074</v>
      </c>
      <c r="C9141">
        <v>6</v>
      </c>
    </row>
    <row r="9142" spans="1:3" x14ac:dyDescent="0.25">
      <c r="A9142" s="48" t="s">
        <v>16069</v>
      </c>
      <c r="B9142" t="s">
        <v>16070</v>
      </c>
      <c r="C9142">
        <v>6</v>
      </c>
    </row>
    <row r="9143" spans="1:3" x14ac:dyDescent="0.25">
      <c r="A9143" s="48" t="s">
        <v>16071</v>
      </c>
      <c r="B9143" t="s">
        <v>16072</v>
      </c>
      <c r="C9143">
        <v>8</v>
      </c>
    </row>
    <row r="9144" spans="1:3" x14ac:dyDescent="0.25">
      <c r="A9144" s="48" t="s">
        <v>16061</v>
      </c>
      <c r="B9144" t="s">
        <v>16062</v>
      </c>
      <c r="C9144">
        <v>14</v>
      </c>
    </row>
    <row r="9145" spans="1:3" x14ac:dyDescent="0.25">
      <c r="A9145" s="48" t="s">
        <v>13941</v>
      </c>
      <c r="B9145" t="s">
        <v>13942</v>
      </c>
      <c r="C9145">
        <v>7</v>
      </c>
    </row>
    <row r="9146" spans="1:3" x14ac:dyDescent="0.25">
      <c r="A9146" s="48" t="s">
        <v>13943</v>
      </c>
      <c r="B9146" t="s">
        <v>13944</v>
      </c>
      <c r="C9146">
        <v>0</v>
      </c>
    </row>
    <row r="9147" spans="1:3" x14ac:dyDescent="0.25">
      <c r="A9147" s="48" t="s">
        <v>13945</v>
      </c>
      <c r="B9147" t="s">
        <v>13946</v>
      </c>
      <c r="C9147">
        <v>3</v>
      </c>
    </row>
    <row r="9148" spans="1:3" x14ac:dyDescent="0.25">
      <c r="A9148" s="48" t="s">
        <v>9378</v>
      </c>
      <c r="B9148" t="s">
        <v>9379</v>
      </c>
      <c r="C9148">
        <v>4</v>
      </c>
    </row>
    <row r="9149" spans="1:3" x14ac:dyDescent="0.25">
      <c r="A9149" s="48" t="s">
        <v>9372</v>
      </c>
      <c r="B9149" t="s">
        <v>9373</v>
      </c>
      <c r="C9149">
        <v>4</v>
      </c>
    </row>
    <row r="9150" spans="1:3" x14ac:dyDescent="0.25">
      <c r="A9150" s="48" t="s">
        <v>9374</v>
      </c>
      <c r="B9150" t="s">
        <v>9375</v>
      </c>
      <c r="C9150">
        <v>4</v>
      </c>
    </row>
    <row r="9151" spans="1:3" x14ac:dyDescent="0.25">
      <c r="A9151" s="48" t="s">
        <v>9376</v>
      </c>
      <c r="B9151" t="s">
        <v>9377</v>
      </c>
      <c r="C9151">
        <v>5</v>
      </c>
    </row>
    <row r="9152" spans="1:3" x14ac:dyDescent="0.25">
      <c r="A9152" s="48" t="s">
        <v>13971</v>
      </c>
      <c r="B9152" t="s">
        <v>13972</v>
      </c>
      <c r="C9152">
        <v>0</v>
      </c>
    </row>
    <row r="9153" spans="1:3" x14ac:dyDescent="0.25">
      <c r="A9153" s="48" t="s">
        <v>19563</v>
      </c>
      <c r="B9153" t="s">
        <v>19564</v>
      </c>
      <c r="C9153">
        <v>13</v>
      </c>
    </row>
    <row r="9154" spans="1:3" x14ac:dyDescent="0.25">
      <c r="A9154" s="48" t="s">
        <v>13965</v>
      </c>
      <c r="B9154" t="s">
        <v>13966</v>
      </c>
      <c r="C9154">
        <v>8</v>
      </c>
    </row>
    <row r="9155" spans="1:3" x14ac:dyDescent="0.25">
      <c r="A9155" s="48" t="s">
        <v>19559</v>
      </c>
      <c r="B9155" t="s">
        <v>19560</v>
      </c>
      <c r="C9155">
        <v>0</v>
      </c>
    </row>
    <row r="9156" spans="1:3" x14ac:dyDescent="0.25">
      <c r="A9156" s="48" t="s">
        <v>13937</v>
      </c>
      <c r="B9156" t="s">
        <v>13938</v>
      </c>
      <c r="C9156">
        <v>5</v>
      </c>
    </row>
    <row r="9157" spans="1:3" x14ac:dyDescent="0.25">
      <c r="A9157" s="48" t="s">
        <v>13947</v>
      </c>
      <c r="B9157" t="s">
        <v>13948</v>
      </c>
      <c r="C9157">
        <v>2</v>
      </c>
    </row>
    <row r="9158" spans="1:3" x14ac:dyDescent="0.25">
      <c r="A9158" s="48" t="s">
        <v>13951</v>
      </c>
      <c r="B9158" t="s">
        <v>13952</v>
      </c>
      <c r="C9158">
        <v>0</v>
      </c>
    </row>
    <row r="9159" spans="1:3" x14ac:dyDescent="0.25">
      <c r="A9159" s="48" t="s">
        <v>13949</v>
      </c>
      <c r="B9159" t="s">
        <v>13950</v>
      </c>
      <c r="C9159">
        <v>5</v>
      </c>
    </row>
    <row r="9160" spans="1:3" x14ac:dyDescent="0.25">
      <c r="A9160" s="48" t="s">
        <v>13959</v>
      </c>
      <c r="B9160" t="s">
        <v>13960</v>
      </c>
      <c r="C9160">
        <v>1</v>
      </c>
    </row>
    <row r="9161" spans="1:3" x14ac:dyDescent="0.25">
      <c r="A9161" s="48" t="s">
        <v>13957</v>
      </c>
      <c r="B9161" t="s">
        <v>13958</v>
      </c>
      <c r="C9161">
        <v>3</v>
      </c>
    </row>
    <row r="9162" spans="1:3" x14ac:dyDescent="0.25">
      <c r="A9162" s="48" t="s">
        <v>13961</v>
      </c>
      <c r="B9162" t="s">
        <v>13962</v>
      </c>
      <c r="C9162">
        <v>0</v>
      </c>
    </row>
    <row r="9163" spans="1:3" x14ac:dyDescent="0.25">
      <c r="A9163" s="48" t="s">
        <v>13963</v>
      </c>
      <c r="B9163" t="s">
        <v>13964</v>
      </c>
      <c r="C9163">
        <v>0</v>
      </c>
    </row>
    <row r="9164" spans="1:3" x14ac:dyDescent="0.25">
      <c r="A9164" s="48" t="s">
        <v>13969</v>
      </c>
      <c r="B9164" t="s">
        <v>13970</v>
      </c>
      <c r="C9164">
        <v>22</v>
      </c>
    </row>
    <row r="9165" spans="1:3" x14ac:dyDescent="0.25">
      <c r="A9165" s="48" t="s">
        <v>13933</v>
      </c>
      <c r="B9165" t="s">
        <v>13934</v>
      </c>
      <c r="C9165">
        <v>0</v>
      </c>
    </row>
    <row r="9166" spans="1:3" x14ac:dyDescent="0.25">
      <c r="A9166" s="48" t="s">
        <v>13953</v>
      </c>
      <c r="B9166" t="s">
        <v>13954</v>
      </c>
      <c r="C9166">
        <v>2</v>
      </c>
    </row>
    <row r="9167" spans="1:3" x14ac:dyDescent="0.25">
      <c r="A9167" s="48" t="s">
        <v>13935</v>
      </c>
      <c r="B9167" t="s">
        <v>13936</v>
      </c>
      <c r="C9167">
        <v>3</v>
      </c>
    </row>
    <row r="9168" spans="1:3" x14ac:dyDescent="0.25">
      <c r="A9168" s="48" t="s">
        <v>13955</v>
      </c>
      <c r="B9168" t="s">
        <v>13956</v>
      </c>
      <c r="C9168">
        <v>3</v>
      </c>
    </row>
    <row r="9169" spans="1:3" x14ac:dyDescent="0.25">
      <c r="A9169" s="48" t="s">
        <v>3705</v>
      </c>
      <c r="B9169" t="s">
        <v>3706</v>
      </c>
      <c r="C9169">
        <v>3</v>
      </c>
    </row>
    <row r="9170" spans="1:3" x14ac:dyDescent="0.25">
      <c r="A9170" s="48" t="s">
        <v>3707</v>
      </c>
      <c r="B9170" t="s">
        <v>3708</v>
      </c>
      <c r="C9170">
        <v>10</v>
      </c>
    </row>
    <row r="9171" spans="1:3" x14ac:dyDescent="0.25">
      <c r="A9171" s="48" t="s">
        <v>13939</v>
      </c>
      <c r="B9171" t="s">
        <v>13940</v>
      </c>
      <c r="C9171">
        <v>0</v>
      </c>
    </row>
    <row r="9172" spans="1:3" x14ac:dyDescent="0.25">
      <c r="A9172" s="48" t="s">
        <v>13967</v>
      </c>
      <c r="B9172" t="s">
        <v>13968</v>
      </c>
      <c r="C9172">
        <v>2</v>
      </c>
    </row>
    <row r="9173" spans="1:3" x14ac:dyDescent="0.25">
      <c r="A9173" s="48" t="s">
        <v>23007</v>
      </c>
      <c r="B9173" t="s">
        <v>23017</v>
      </c>
      <c r="C9173">
        <v>0</v>
      </c>
    </row>
    <row r="9174" spans="1:3" x14ac:dyDescent="0.25">
      <c r="A9174" s="48" t="s">
        <v>16265</v>
      </c>
      <c r="B9174" t="s">
        <v>16266</v>
      </c>
      <c r="C9174">
        <v>0</v>
      </c>
    </row>
    <row r="9175" spans="1:3" x14ac:dyDescent="0.25">
      <c r="A9175" s="48" t="s">
        <v>1307</v>
      </c>
      <c r="B9175" t="s">
        <v>1308</v>
      </c>
      <c r="C9175">
        <v>58</v>
      </c>
    </row>
    <row r="9176" spans="1:3" x14ac:dyDescent="0.25">
      <c r="A9176" s="48" t="s">
        <v>1483</v>
      </c>
      <c r="B9176" t="s">
        <v>1484</v>
      </c>
      <c r="C9176">
        <v>0</v>
      </c>
    </row>
    <row r="9177" spans="1:3" x14ac:dyDescent="0.25">
      <c r="A9177" s="48" t="s">
        <v>391</v>
      </c>
      <c r="B9177" t="s">
        <v>392</v>
      </c>
      <c r="C9177">
        <v>139</v>
      </c>
    </row>
    <row r="9178" spans="1:3" x14ac:dyDescent="0.25">
      <c r="A9178" s="48" t="s">
        <v>3187</v>
      </c>
      <c r="B9178" t="s">
        <v>3188</v>
      </c>
      <c r="C9178">
        <v>9</v>
      </c>
    </row>
    <row r="9179" spans="1:3" x14ac:dyDescent="0.25">
      <c r="A9179" s="48" t="s">
        <v>3191</v>
      </c>
      <c r="B9179" t="s">
        <v>3192</v>
      </c>
      <c r="C9179">
        <v>16</v>
      </c>
    </row>
    <row r="9180" spans="1:3" x14ac:dyDescent="0.25">
      <c r="A9180" s="48" t="s">
        <v>3193</v>
      </c>
      <c r="B9180" t="s">
        <v>3194</v>
      </c>
      <c r="C9180">
        <v>5</v>
      </c>
    </row>
    <row r="9181" spans="1:3" x14ac:dyDescent="0.25">
      <c r="A9181" s="48" t="s">
        <v>13631</v>
      </c>
      <c r="B9181" t="s">
        <v>13632</v>
      </c>
      <c r="C9181">
        <v>0</v>
      </c>
    </row>
    <row r="9182" spans="1:3" x14ac:dyDescent="0.25">
      <c r="A9182" s="48" t="s">
        <v>1457</v>
      </c>
      <c r="B9182" t="s">
        <v>1458</v>
      </c>
      <c r="C9182">
        <v>0</v>
      </c>
    </row>
    <row r="9183" spans="1:3" x14ac:dyDescent="0.25">
      <c r="A9183" s="48" t="s">
        <v>1459</v>
      </c>
      <c r="B9183" t="s">
        <v>1460</v>
      </c>
      <c r="C9183">
        <v>13</v>
      </c>
    </row>
    <row r="9184" spans="1:3" x14ac:dyDescent="0.25">
      <c r="A9184" s="48" t="s">
        <v>3189</v>
      </c>
      <c r="B9184" t="s">
        <v>3190</v>
      </c>
      <c r="C9184">
        <v>23</v>
      </c>
    </row>
    <row r="9185" spans="1:3" x14ac:dyDescent="0.25">
      <c r="A9185" s="48" t="s">
        <v>1892</v>
      </c>
      <c r="B9185" t="s">
        <v>1893</v>
      </c>
      <c r="C9185">
        <v>0</v>
      </c>
    </row>
    <row r="9186" spans="1:3" x14ac:dyDescent="0.25">
      <c r="A9186" s="48" t="s">
        <v>3573</v>
      </c>
      <c r="B9186" t="s">
        <v>3574</v>
      </c>
      <c r="C9186">
        <v>1</v>
      </c>
    </row>
    <row r="9187" spans="1:3" x14ac:dyDescent="0.25">
      <c r="A9187" s="48" t="s">
        <v>19763</v>
      </c>
      <c r="B9187" t="s">
        <v>19764</v>
      </c>
      <c r="C9187">
        <v>12</v>
      </c>
    </row>
    <row r="9188" spans="1:3" x14ac:dyDescent="0.25">
      <c r="A9188" s="48" t="s">
        <v>10608</v>
      </c>
      <c r="B9188" t="s">
        <v>10609</v>
      </c>
      <c r="C9188">
        <v>0</v>
      </c>
    </row>
    <row r="9189" spans="1:3" x14ac:dyDescent="0.25">
      <c r="A9189" s="48" t="s">
        <v>10610</v>
      </c>
      <c r="B9189" t="s">
        <v>10611</v>
      </c>
      <c r="C9189">
        <v>0</v>
      </c>
    </row>
    <row r="9190" spans="1:3" x14ac:dyDescent="0.25">
      <c r="A9190" s="48" t="s">
        <v>8640</v>
      </c>
      <c r="B9190" t="s">
        <v>8641</v>
      </c>
      <c r="C9190">
        <v>0</v>
      </c>
    </row>
    <row r="9191" spans="1:3" x14ac:dyDescent="0.25">
      <c r="A9191" s="48" t="s">
        <v>8644</v>
      </c>
      <c r="B9191" t="s">
        <v>8645</v>
      </c>
      <c r="C9191">
        <v>0</v>
      </c>
    </row>
    <row r="9192" spans="1:3" x14ac:dyDescent="0.25">
      <c r="A9192" s="48" t="s">
        <v>8642</v>
      </c>
      <c r="B9192" t="s">
        <v>8643</v>
      </c>
      <c r="C9192">
        <v>1</v>
      </c>
    </row>
    <row r="9193" spans="1:3" x14ac:dyDescent="0.25">
      <c r="A9193" s="48" t="s">
        <v>12014</v>
      </c>
      <c r="B9193" t="s">
        <v>12015</v>
      </c>
      <c r="C9193">
        <v>0</v>
      </c>
    </row>
    <row r="9194" spans="1:3" x14ac:dyDescent="0.25">
      <c r="A9194" s="48" t="s">
        <v>6305</v>
      </c>
      <c r="B9194" t="s">
        <v>6306</v>
      </c>
      <c r="C9194">
        <v>4</v>
      </c>
    </row>
    <row r="9195" spans="1:3" x14ac:dyDescent="0.25">
      <c r="A9195" s="48" t="s">
        <v>19657</v>
      </c>
      <c r="B9195" t="s">
        <v>19658</v>
      </c>
      <c r="C9195">
        <v>8</v>
      </c>
    </row>
    <row r="9196" spans="1:3" x14ac:dyDescent="0.25">
      <c r="A9196" s="48" t="s">
        <v>10125</v>
      </c>
      <c r="B9196" t="s">
        <v>10126</v>
      </c>
      <c r="C9196">
        <v>15</v>
      </c>
    </row>
    <row r="9197" spans="1:3" x14ac:dyDescent="0.25">
      <c r="A9197" s="48" t="s">
        <v>19662</v>
      </c>
      <c r="B9197" t="s">
        <v>19663</v>
      </c>
      <c r="C9197">
        <v>8</v>
      </c>
    </row>
    <row r="9198" spans="1:3" x14ac:dyDescent="0.25">
      <c r="A9198" s="48" t="s">
        <v>19003</v>
      </c>
      <c r="B9198" t="s">
        <v>19004</v>
      </c>
      <c r="C9198">
        <v>13</v>
      </c>
    </row>
    <row r="9199" spans="1:3" x14ac:dyDescent="0.25">
      <c r="A9199" s="48" t="s">
        <v>3587</v>
      </c>
      <c r="B9199" t="s">
        <v>3588</v>
      </c>
      <c r="C9199">
        <v>5</v>
      </c>
    </row>
    <row r="9200" spans="1:3" x14ac:dyDescent="0.25">
      <c r="A9200" s="48" t="s">
        <v>7005</v>
      </c>
      <c r="B9200" t="s">
        <v>7006</v>
      </c>
      <c r="C9200">
        <v>10</v>
      </c>
    </row>
    <row r="9201" spans="1:3" x14ac:dyDescent="0.25">
      <c r="A9201" s="48" t="s">
        <v>7645</v>
      </c>
      <c r="B9201" t="s">
        <v>7646</v>
      </c>
      <c r="C9201">
        <v>9</v>
      </c>
    </row>
    <row r="9202" spans="1:3" x14ac:dyDescent="0.25">
      <c r="A9202" s="48" t="s">
        <v>7647</v>
      </c>
      <c r="B9202" t="s">
        <v>7648</v>
      </c>
      <c r="C9202">
        <v>12</v>
      </c>
    </row>
    <row r="9203" spans="1:3" x14ac:dyDescent="0.25">
      <c r="A9203" s="48" t="s">
        <v>6297</v>
      </c>
      <c r="B9203" t="s">
        <v>6298</v>
      </c>
      <c r="C9203">
        <v>2</v>
      </c>
    </row>
    <row r="9204" spans="1:3" x14ac:dyDescent="0.25">
      <c r="A9204" s="48" t="s">
        <v>6301</v>
      </c>
      <c r="B9204" t="s">
        <v>6302</v>
      </c>
      <c r="C9204">
        <v>8</v>
      </c>
    </row>
    <row r="9205" spans="1:3" x14ac:dyDescent="0.25">
      <c r="A9205" s="48" t="s">
        <v>6299</v>
      </c>
      <c r="B9205" t="s">
        <v>6300</v>
      </c>
      <c r="C9205">
        <v>0</v>
      </c>
    </row>
    <row r="9206" spans="1:3" x14ac:dyDescent="0.25">
      <c r="A9206" s="48" t="s">
        <v>6307</v>
      </c>
      <c r="B9206" t="s">
        <v>6308</v>
      </c>
      <c r="C9206">
        <v>4</v>
      </c>
    </row>
    <row r="9207" spans="1:3" x14ac:dyDescent="0.25">
      <c r="A9207" s="48" t="s">
        <v>6309</v>
      </c>
      <c r="B9207" t="s">
        <v>6310</v>
      </c>
      <c r="C9207">
        <v>16</v>
      </c>
    </row>
    <row r="9208" spans="1:3" x14ac:dyDescent="0.25">
      <c r="A9208" s="48" t="s">
        <v>7464</v>
      </c>
      <c r="B9208" t="s">
        <v>7465</v>
      </c>
      <c r="C9208">
        <v>0</v>
      </c>
    </row>
    <row r="9209" spans="1:3" x14ac:dyDescent="0.25">
      <c r="A9209" s="48" t="s">
        <v>201</v>
      </c>
      <c r="B9209" t="s">
        <v>202</v>
      </c>
      <c r="C9209">
        <v>0</v>
      </c>
    </row>
    <row r="9210" spans="1:3" x14ac:dyDescent="0.25">
      <c r="A9210" s="48" t="s">
        <v>287</v>
      </c>
      <c r="B9210" t="s">
        <v>288</v>
      </c>
      <c r="C9210">
        <v>0</v>
      </c>
    </row>
    <row r="9211" spans="1:3" x14ac:dyDescent="0.25">
      <c r="A9211" s="48" t="s">
        <v>15064</v>
      </c>
      <c r="B9211" t="s">
        <v>15065</v>
      </c>
      <c r="C9211">
        <v>20</v>
      </c>
    </row>
    <row r="9212" spans="1:3" x14ac:dyDescent="0.25">
      <c r="A9212" s="48" t="s">
        <v>15070</v>
      </c>
      <c r="B9212" t="s">
        <v>15071</v>
      </c>
      <c r="C9212">
        <v>0</v>
      </c>
    </row>
    <row r="9213" spans="1:3" x14ac:dyDescent="0.25">
      <c r="A9213" s="48" t="s">
        <v>15060</v>
      </c>
      <c r="B9213" t="s">
        <v>15061</v>
      </c>
      <c r="C9213">
        <v>0</v>
      </c>
    </row>
    <row r="9214" spans="1:3" x14ac:dyDescent="0.25">
      <c r="A9214" s="48" t="s">
        <v>15062</v>
      </c>
      <c r="B9214" t="s">
        <v>15063</v>
      </c>
      <c r="C9214">
        <v>0</v>
      </c>
    </row>
    <row r="9215" spans="1:3" x14ac:dyDescent="0.25">
      <c r="A9215" s="48" t="s">
        <v>10279</v>
      </c>
      <c r="B9215" t="s">
        <v>10280</v>
      </c>
      <c r="C9215">
        <v>0</v>
      </c>
    </row>
    <row r="9216" spans="1:3" x14ac:dyDescent="0.25">
      <c r="A9216" s="48" t="s">
        <v>4612</v>
      </c>
      <c r="B9216" t="s">
        <v>4613</v>
      </c>
      <c r="C9216">
        <v>0</v>
      </c>
    </row>
    <row r="9217" spans="1:3" x14ac:dyDescent="0.25">
      <c r="A9217" s="48" t="s">
        <v>4610</v>
      </c>
      <c r="B9217" t="s">
        <v>4611</v>
      </c>
      <c r="C9217">
        <v>0</v>
      </c>
    </row>
    <row r="9218" spans="1:3" x14ac:dyDescent="0.25">
      <c r="A9218" s="48" t="s">
        <v>4621</v>
      </c>
      <c r="B9218" t="s">
        <v>4622</v>
      </c>
      <c r="C9218">
        <v>0</v>
      </c>
    </row>
    <row r="9219" spans="1:3" x14ac:dyDescent="0.25">
      <c r="A9219" s="48" t="s">
        <v>17863</v>
      </c>
      <c r="B9219" t="s">
        <v>17864</v>
      </c>
      <c r="C9219">
        <v>0</v>
      </c>
    </row>
    <row r="9220" spans="1:3" x14ac:dyDescent="0.25">
      <c r="A9220" s="48" t="s">
        <v>17867</v>
      </c>
      <c r="B9220" t="s">
        <v>17868</v>
      </c>
      <c r="C9220">
        <v>0</v>
      </c>
    </row>
    <row r="9221" spans="1:3" x14ac:dyDescent="0.25">
      <c r="A9221" s="48" t="s">
        <v>17875</v>
      </c>
      <c r="B9221" t="s">
        <v>22312</v>
      </c>
      <c r="C9221">
        <v>0</v>
      </c>
    </row>
    <row r="9222" spans="1:3" x14ac:dyDescent="0.25">
      <c r="A9222" s="48" t="s">
        <v>493</v>
      </c>
      <c r="B9222" t="s">
        <v>494</v>
      </c>
      <c r="C9222">
        <v>0</v>
      </c>
    </row>
    <row r="9223" spans="1:3" x14ac:dyDescent="0.25">
      <c r="A9223" s="48" t="s">
        <v>1948</v>
      </c>
      <c r="B9223" t="s">
        <v>1949</v>
      </c>
      <c r="C9223">
        <v>0</v>
      </c>
    </row>
    <row r="9224" spans="1:3" x14ac:dyDescent="0.25">
      <c r="A9224" s="48" t="s">
        <v>463</v>
      </c>
      <c r="B9224" t="s">
        <v>464</v>
      </c>
      <c r="C9224">
        <v>0</v>
      </c>
    </row>
    <row r="9225" spans="1:3" x14ac:dyDescent="0.25">
      <c r="A9225" s="48" t="s">
        <v>17851</v>
      </c>
      <c r="B9225" t="s">
        <v>22313</v>
      </c>
      <c r="C9225">
        <v>0</v>
      </c>
    </row>
    <row r="9226" spans="1:3" x14ac:dyDescent="0.25">
      <c r="A9226" s="48" t="s">
        <v>17873</v>
      </c>
      <c r="B9226" t="s">
        <v>17874</v>
      </c>
      <c r="C9226">
        <v>0</v>
      </c>
    </row>
    <row r="9227" spans="1:3" x14ac:dyDescent="0.25">
      <c r="A9227" s="48" t="s">
        <v>1561</v>
      </c>
      <c r="B9227" t="s">
        <v>1562</v>
      </c>
      <c r="C9227">
        <v>4</v>
      </c>
    </row>
    <row r="9228" spans="1:3" x14ac:dyDescent="0.25">
      <c r="A9228" s="48" t="s">
        <v>1829</v>
      </c>
      <c r="B9228" t="s">
        <v>1830</v>
      </c>
      <c r="C9228">
        <v>5</v>
      </c>
    </row>
    <row r="9229" spans="1:3" x14ac:dyDescent="0.25">
      <c r="A9229" s="48" t="s">
        <v>17865</v>
      </c>
      <c r="B9229" t="s">
        <v>17866</v>
      </c>
      <c r="C9229">
        <v>0</v>
      </c>
    </row>
    <row r="9230" spans="1:3" x14ac:dyDescent="0.25">
      <c r="A9230" s="48" t="s">
        <v>985</v>
      </c>
      <c r="B9230" t="s">
        <v>986</v>
      </c>
      <c r="C9230">
        <v>0</v>
      </c>
    </row>
    <row r="9231" spans="1:3" x14ac:dyDescent="0.25">
      <c r="A9231" s="48" t="s">
        <v>17853</v>
      </c>
      <c r="B9231" t="s">
        <v>17854</v>
      </c>
      <c r="C9231">
        <v>0</v>
      </c>
    </row>
    <row r="9232" spans="1:3" x14ac:dyDescent="0.25">
      <c r="A9232" s="48" t="s">
        <v>1962</v>
      </c>
      <c r="B9232" t="s">
        <v>1963</v>
      </c>
      <c r="C9232">
        <v>0</v>
      </c>
    </row>
    <row r="9233" spans="1:3" x14ac:dyDescent="0.25">
      <c r="A9233" s="48" t="s">
        <v>1741</v>
      </c>
      <c r="B9233" t="s">
        <v>1742</v>
      </c>
      <c r="C9233">
        <v>0</v>
      </c>
    </row>
    <row r="9234" spans="1:3" x14ac:dyDescent="0.25">
      <c r="A9234" s="48" t="s">
        <v>1593</v>
      </c>
      <c r="B9234" t="s">
        <v>1594</v>
      </c>
      <c r="C9234">
        <v>8</v>
      </c>
    </row>
    <row r="9235" spans="1:3" x14ac:dyDescent="0.25">
      <c r="A9235" s="48" t="s">
        <v>365</v>
      </c>
      <c r="B9235" t="s">
        <v>366</v>
      </c>
      <c r="C9235">
        <v>0</v>
      </c>
    </row>
    <row r="9236" spans="1:3" x14ac:dyDescent="0.25">
      <c r="A9236" s="48" t="s">
        <v>233</v>
      </c>
      <c r="B9236" t="s">
        <v>234</v>
      </c>
      <c r="C9236">
        <v>0</v>
      </c>
    </row>
    <row r="9237" spans="1:3" x14ac:dyDescent="0.25">
      <c r="A9237" s="48" t="s">
        <v>1936</v>
      </c>
      <c r="B9237" t="s">
        <v>1937</v>
      </c>
      <c r="C9237">
        <v>0</v>
      </c>
    </row>
    <row r="9238" spans="1:3" x14ac:dyDescent="0.25">
      <c r="A9238" s="48" t="s">
        <v>1745</v>
      </c>
      <c r="B9238" t="s">
        <v>1746</v>
      </c>
      <c r="C9238">
        <v>1</v>
      </c>
    </row>
    <row r="9239" spans="1:3" x14ac:dyDescent="0.25">
      <c r="A9239" s="48" t="s">
        <v>4617</v>
      </c>
      <c r="B9239" t="s">
        <v>4618</v>
      </c>
      <c r="C9239">
        <v>0</v>
      </c>
    </row>
    <row r="9240" spans="1:3" x14ac:dyDescent="0.25">
      <c r="A9240" s="48" t="s">
        <v>4604</v>
      </c>
      <c r="B9240" t="s">
        <v>4605</v>
      </c>
      <c r="C9240">
        <v>2</v>
      </c>
    </row>
    <row r="9241" spans="1:3" x14ac:dyDescent="0.25">
      <c r="A9241" s="48" t="s">
        <v>4606</v>
      </c>
      <c r="B9241" t="s">
        <v>4607</v>
      </c>
      <c r="C9241">
        <v>0</v>
      </c>
    </row>
    <row r="9242" spans="1:3" x14ac:dyDescent="0.25">
      <c r="A9242" s="48" t="s">
        <v>477</v>
      </c>
      <c r="B9242" t="s">
        <v>478</v>
      </c>
      <c r="C9242">
        <v>0</v>
      </c>
    </row>
    <row r="9243" spans="1:3" x14ac:dyDescent="0.25">
      <c r="A9243" s="48" t="s">
        <v>1725</v>
      </c>
      <c r="B9243" t="s">
        <v>1726</v>
      </c>
      <c r="C9243">
        <v>0</v>
      </c>
    </row>
    <row r="9244" spans="1:3" x14ac:dyDescent="0.25">
      <c r="A9244" s="48" t="s">
        <v>17849</v>
      </c>
      <c r="B9244" t="s">
        <v>17850</v>
      </c>
      <c r="C9244">
        <v>0</v>
      </c>
    </row>
    <row r="9245" spans="1:3" x14ac:dyDescent="0.25">
      <c r="A9245" s="48" t="s">
        <v>1984</v>
      </c>
      <c r="B9245" t="s">
        <v>1985</v>
      </c>
      <c r="C9245">
        <v>0</v>
      </c>
    </row>
    <row r="9246" spans="1:3" x14ac:dyDescent="0.25">
      <c r="A9246" s="48" t="s">
        <v>187</v>
      </c>
      <c r="B9246" t="s">
        <v>188</v>
      </c>
      <c r="C9246">
        <v>0</v>
      </c>
    </row>
    <row r="9247" spans="1:3" x14ac:dyDescent="0.25">
      <c r="A9247" s="48" t="s">
        <v>4619</v>
      </c>
      <c r="B9247" t="s">
        <v>4620</v>
      </c>
      <c r="C9247">
        <v>0</v>
      </c>
    </row>
    <row r="9248" spans="1:3" x14ac:dyDescent="0.25">
      <c r="A9248" s="48" t="s">
        <v>165</v>
      </c>
      <c r="B9248" t="s">
        <v>166</v>
      </c>
      <c r="C9248">
        <v>0</v>
      </c>
    </row>
    <row r="9249" spans="1:3" x14ac:dyDescent="0.25">
      <c r="A9249" s="48" t="s">
        <v>4602</v>
      </c>
      <c r="B9249" t="s">
        <v>4603</v>
      </c>
      <c r="C9249">
        <v>5</v>
      </c>
    </row>
    <row r="9250" spans="1:3" x14ac:dyDescent="0.25">
      <c r="A9250" s="48" t="s">
        <v>4600</v>
      </c>
      <c r="B9250" t="s">
        <v>4601</v>
      </c>
      <c r="C9250">
        <v>0</v>
      </c>
    </row>
    <row r="9251" spans="1:3" x14ac:dyDescent="0.25">
      <c r="A9251" s="48" t="s">
        <v>4608</v>
      </c>
      <c r="B9251" t="s">
        <v>4609</v>
      </c>
      <c r="C9251">
        <v>0</v>
      </c>
    </row>
    <row r="9252" spans="1:3" x14ac:dyDescent="0.25">
      <c r="A9252" s="48" t="s">
        <v>4598</v>
      </c>
      <c r="B9252" t="s">
        <v>4599</v>
      </c>
      <c r="C9252">
        <v>0</v>
      </c>
    </row>
    <row r="9253" spans="1:3" x14ac:dyDescent="0.25">
      <c r="A9253" s="48" t="s">
        <v>17857</v>
      </c>
      <c r="B9253" t="s">
        <v>17858</v>
      </c>
      <c r="C9253">
        <v>0</v>
      </c>
    </row>
    <row r="9254" spans="1:3" x14ac:dyDescent="0.25">
      <c r="A9254" s="48" t="s">
        <v>3203</v>
      </c>
      <c r="B9254" t="s">
        <v>3204</v>
      </c>
      <c r="C9254">
        <v>12</v>
      </c>
    </row>
    <row r="9255" spans="1:3" x14ac:dyDescent="0.25">
      <c r="A9255" s="48" t="s">
        <v>3207</v>
      </c>
      <c r="B9255" t="s">
        <v>3208</v>
      </c>
      <c r="C9255">
        <v>31</v>
      </c>
    </row>
    <row r="9256" spans="1:3" x14ac:dyDescent="0.25">
      <c r="A9256" s="48" t="s">
        <v>3215</v>
      </c>
      <c r="B9256" t="s">
        <v>3216</v>
      </c>
      <c r="C9256">
        <v>24</v>
      </c>
    </row>
    <row r="9257" spans="1:3" x14ac:dyDescent="0.25">
      <c r="A9257" s="48" t="s">
        <v>3199</v>
      </c>
      <c r="B9257" t="s">
        <v>3200</v>
      </c>
      <c r="C9257">
        <v>19</v>
      </c>
    </row>
    <row r="9258" spans="1:3" x14ac:dyDescent="0.25">
      <c r="A9258" s="48" t="s">
        <v>3211</v>
      </c>
      <c r="B9258" t="s">
        <v>3212</v>
      </c>
      <c r="C9258">
        <v>15</v>
      </c>
    </row>
    <row r="9259" spans="1:3" x14ac:dyDescent="0.25">
      <c r="A9259" s="48" t="s">
        <v>3209</v>
      </c>
      <c r="B9259" t="s">
        <v>3210</v>
      </c>
      <c r="C9259">
        <v>86</v>
      </c>
    </row>
    <row r="9260" spans="1:3" x14ac:dyDescent="0.25">
      <c r="A9260" s="48" t="s">
        <v>3197</v>
      </c>
      <c r="B9260" t="s">
        <v>3198</v>
      </c>
      <c r="C9260">
        <v>42</v>
      </c>
    </row>
    <row r="9261" spans="1:3" x14ac:dyDescent="0.25">
      <c r="A9261" s="48" t="s">
        <v>3213</v>
      </c>
      <c r="B9261" t="s">
        <v>3214</v>
      </c>
      <c r="C9261">
        <v>9</v>
      </c>
    </row>
    <row r="9262" spans="1:3" x14ac:dyDescent="0.25">
      <c r="A9262" s="48" t="s">
        <v>3205</v>
      </c>
      <c r="B9262" t="s">
        <v>3206</v>
      </c>
      <c r="C9262">
        <v>54</v>
      </c>
    </row>
    <row r="9263" spans="1:3" x14ac:dyDescent="0.25">
      <c r="A9263" s="48" t="s">
        <v>3201</v>
      </c>
      <c r="B9263" t="s">
        <v>3202</v>
      </c>
      <c r="C9263">
        <v>80</v>
      </c>
    </row>
    <row r="9264" spans="1:3" x14ac:dyDescent="0.25">
      <c r="A9264" s="48" t="s">
        <v>11982</v>
      </c>
      <c r="B9264" t="s">
        <v>11983</v>
      </c>
      <c r="C9264">
        <v>0</v>
      </c>
    </row>
    <row r="9265" spans="1:3" x14ac:dyDescent="0.25">
      <c r="A9265" s="48" t="s">
        <v>11980</v>
      </c>
      <c r="B9265" t="s">
        <v>11981</v>
      </c>
      <c r="C9265">
        <v>0</v>
      </c>
    </row>
    <row r="9266" spans="1:3" x14ac:dyDescent="0.25">
      <c r="A9266" s="48" t="s">
        <v>1503</v>
      </c>
      <c r="B9266" t="s">
        <v>1504</v>
      </c>
      <c r="C9266">
        <v>371</v>
      </c>
    </row>
    <row r="9267" spans="1:3" x14ac:dyDescent="0.25">
      <c r="A9267" s="48" t="s">
        <v>179</v>
      </c>
      <c r="B9267" t="s">
        <v>180</v>
      </c>
      <c r="C9267">
        <v>0</v>
      </c>
    </row>
    <row r="9268" spans="1:3" x14ac:dyDescent="0.25">
      <c r="A9268" s="48" t="s">
        <v>13927</v>
      </c>
      <c r="B9268" t="s">
        <v>13928</v>
      </c>
      <c r="C9268">
        <v>0</v>
      </c>
    </row>
    <row r="9269" spans="1:3" x14ac:dyDescent="0.25">
      <c r="A9269" s="48" t="s">
        <v>13929</v>
      </c>
      <c r="B9269" t="s">
        <v>13930</v>
      </c>
      <c r="C9269">
        <v>0</v>
      </c>
    </row>
    <row r="9270" spans="1:3" x14ac:dyDescent="0.25">
      <c r="A9270" s="48" t="s">
        <v>12555</v>
      </c>
      <c r="B9270" t="s">
        <v>12556</v>
      </c>
      <c r="C9270">
        <v>13</v>
      </c>
    </row>
    <row r="9271" spans="1:3" x14ac:dyDescent="0.25">
      <c r="A9271" s="48" t="s">
        <v>12557</v>
      </c>
      <c r="B9271" t="s">
        <v>12558</v>
      </c>
      <c r="C9271">
        <v>4</v>
      </c>
    </row>
    <row r="9272" spans="1:3" x14ac:dyDescent="0.25">
      <c r="A9272" s="48" t="s">
        <v>12553</v>
      </c>
      <c r="B9272" t="s">
        <v>12554</v>
      </c>
      <c r="C9272">
        <v>27</v>
      </c>
    </row>
    <row r="9273" spans="1:3" x14ac:dyDescent="0.25">
      <c r="A9273" s="48" t="s">
        <v>12551</v>
      </c>
      <c r="B9273" t="s">
        <v>12552</v>
      </c>
      <c r="C9273">
        <v>6</v>
      </c>
    </row>
    <row r="9274" spans="1:3" x14ac:dyDescent="0.25">
      <c r="A9274" s="48" t="s">
        <v>5073</v>
      </c>
      <c r="B9274" t="s">
        <v>5074</v>
      </c>
      <c r="C9274">
        <v>99</v>
      </c>
    </row>
    <row r="9275" spans="1:3" x14ac:dyDescent="0.25">
      <c r="A9275" s="48" t="s">
        <v>5069</v>
      </c>
      <c r="B9275" t="s">
        <v>5070</v>
      </c>
      <c r="C9275">
        <v>2</v>
      </c>
    </row>
    <row r="9276" spans="1:3" x14ac:dyDescent="0.25">
      <c r="A9276" s="48" t="s">
        <v>5065</v>
      </c>
      <c r="B9276" t="s">
        <v>5066</v>
      </c>
      <c r="C9276">
        <v>72</v>
      </c>
    </row>
    <row r="9277" spans="1:3" x14ac:dyDescent="0.25">
      <c r="A9277" s="48" t="s">
        <v>5071</v>
      </c>
      <c r="B9277" t="s">
        <v>5072</v>
      </c>
      <c r="C9277">
        <v>1</v>
      </c>
    </row>
    <row r="9278" spans="1:3" x14ac:dyDescent="0.25">
      <c r="A9278" s="48" t="s">
        <v>5061</v>
      </c>
      <c r="B9278" t="s">
        <v>5062</v>
      </c>
      <c r="C9278">
        <v>24</v>
      </c>
    </row>
    <row r="9279" spans="1:3" x14ac:dyDescent="0.25">
      <c r="A9279" s="48" t="s">
        <v>5063</v>
      </c>
      <c r="B9279" t="s">
        <v>5064</v>
      </c>
      <c r="C9279">
        <v>43</v>
      </c>
    </row>
    <row r="9280" spans="1:3" x14ac:dyDescent="0.25">
      <c r="A9280" s="48" t="s">
        <v>5067</v>
      </c>
      <c r="B9280" t="s">
        <v>5068</v>
      </c>
      <c r="C9280">
        <v>0</v>
      </c>
    </row>
    <row r="9281" spans="1:3" x14ac:dyDescent="0.25">
      <c r="A9281" s="48" t="s">
        <v>4176</v>
      </c>
      <c r="B9281" t="s">
        <v>4177</v>
      </c>
      <c r="C9281">
        <v>0</v>
      </c>
    </row>
    <row r="9282" spans="1:3" x14ac:dyDescent="0.25">
      <c r="A9282" s="48" t="s">
        <v>13042</v>
      </c>
      <c r="B9282" t="s">
        <v>13043</v>
      </c>
      <c r="C9282">
        <v>7</v>
      </c>
    </row>
    <row r="9283" spans="1:3" x14ac:dyDescent="0.25">
      <c r="A9283" s="48" t="s">
        <v>13046</v>
      </c>
      <c r="B9283" t="s">
        <v>13047</v>
      </c>
      <c r="C9283">
        <v>34</v>
      </c>
    </row>
    <row r="9284" spans="1:3" x14ac:dyDescent="0.25">
      <c r="A9284" s="48" t="s">
        <v>13044</v>
      </c>
      <c r="B9284" t="s">
        <v>13045</v>
      </c>
      <c r="C9284">
        <v>33</v>
      </c>
    </row>
    <row r="9285" spans="1:3" x14ac:dyDescent="0.25">
      <c r="A9285" s="48" t="s">
        <v>13048</v>
      </c>
      <c r="B9285" t="s">
        <v>13049</v>
      </c>
      <c r="C9285">
        <v>25</v>
      </c>
    </row>
    <row r="9286" spans="1:3" x14ac:dyDescent="0.25">
      <c r="A9286" s="48" t="s">
        <v>13597</v>
      </c>
      <c r="B9286" t="s">
        <v>22314</v>
      </c>
      <c r="C9286">
        <v>4</v>
      </c>
    </row>
    <row r="9287" spans="1:3" x14ac:dyDescent="0.25">
      <c r="A9287" s="48" t="s">
        <v>471</v>
      </c>
      <c r="B9287" t="s">
        <v>472</v>
      </c>
      <c r="C9287">
        <v>0</v>
      </c>
    </row>
    <row r="9288" spans="1:3" x14ac:dyDescent="0.25">
      <c r="A9288" s="48" t="s">
        <v>13374</v>
      </c>
      <c r="B9288" t="s">
        <v>13375</v>
      </c>
      <c r="C9288">
        <v>40</v>
      </c>
    </row>
    <row r="9289" spans="1:3" x14ac:dyDescent="0.25">
      <c r="A9289" s="48" t="s">
        <v>13308</v>
      </c>
      <c r="B9289" t="s">
        <v>13309</v>
      </c>
      <c r="C9289">
        <v>19</v>
      </c>
    </row>
    <row r="9290" spans="1:3" x14ac:dyDescent="0.25">
      <c r="A9290" s="48" t="s">
        <v>1231</v>
      </c>
      <c r="B9290" t="s">
        <v>1232</v>
      </c>
      <c r="C9290">
        <v>60</v>
      </c>
    </row>
    <row r="9291" spans="1:3" x14ac:dyDescent="0.25">
      <c r="A9291" s="48" t="s">
        <v>13050</v>
      </c>
      <c r="B9291" t="s">
        <v>13051</v>
      </c>
      <c r="C9291">
        <v>16</v>
      </c>
    </row>
    <row r="9292" spans="1:3" x14ac:dyDescent="0.25">
      <c r="A9292" s="48" t="s">
        <v>551</v>
      </c>
      <c r="B9292" t="s">
        <v>552</v>
      </c>
      <c r="C9292">
        <v>4</v>
      </c>
    </row>
    <row r="9293" spans="1:3" x14ac:dyDescent="0.25">
      <c r="A9293" s="48" t="s">
        <v>19500</v>
      </c>
      <c r="B9293" t="s">
        <v>19501</v>
      </c>
      <c r="C9293">
        <v>0</v>
      </c>
    </row>
    <row r="9294" spans="1:3" x14ac:dyDescent="0.25">
      <c r="A9294" s="48" t="s">
        <v>19502</v>
      </c>
      <c r="B9294" t="s">
        <v>19503</v>
      </c>
      <c r="C9294">
        <v>0</v>
      </c>
    </row>
    <row r="9295" spans="1:3" x14ac:dyDescent="0.25">
      <c r="A9295" s="48" t="s">
        <v>9446</v>
      </c>
      <c r="B9295" t="s">
        <v>23018</v>
      </c>
      <c r="C9295">
        <v>0</v>
      </c>
    </row>
    <row r="9296" spans="1:3" x14ac:dyDescent="0.25">
      <c r="A9296" s="48" t="s">
        <v>9444</v>
      </c>
      <c r="B9296" t="s">
        <v>9445</v>
      </c>
      <c r="C9296">
        <v>14</v>
      </c>
    </row>
    <row r="9297" spans="1:3" x14ac:dyDescent="0.25">
      <c r="A9297" s="48" t="s">
        <v>1319</v>
      </c>
      <c r="B9297" t="s">
        <v>1320</v>
      </c>
      <c r="C9297">
        <v>15</v>
      </c>
    </row>
    <row r="9298" spans="1:3" x14ac:dyDescent="0.25">
      <c r="A9298" s="48" t="s">
        <v>1964</v>
      </c>
      <c r="B9298" t="s">
        <v>1965</v>
      </c>
      <c r="C9298">
        <v>63</v>
      </c>
    </row>
    <row r="9299" spans="1:3" x14ac:dyDescent="0.25">
      <c r="A9299" s="48" t="s">
        <v>12654</v>
      </c>
      <c r="B9299" t="s">
        <v>12655</v>
      </c>
      <c r="C9299">
        <v>1</v>
      </c>
    </row>
    <row r="9300" spans="1:3" x14ac:dyDescent="0.25">
      <c r="A9300" s="48" t="s">
        <v>1868</v>
      </c>
      <c r="B9300" t="s">
        <v>1869</v>
      </c>
      <c r="C9300">
        <v>10</v>
      </c>
    </row>
    <row r="9301" spans="1:3" x14ac:dyDescent="0.25">
      <c r="A9301" s="48" t="s">
        <v>5267</v>
      </c>
      <c r="B9301" t="s">
        <v>5268</v>
      </c>
      <c r="C9301">
        <v>0</v>
      </c>
    </row>
    <row r="9302" spans="1:3" x14ac:dyDescent="0.25">
      <c r="A9302" s="48" t="s">
        <v>5227</v>
      </c>
      <c r="B9302" t="s">
        <v>5228</v>
      </c>
      <c r="C9302">
        <v>0</v>
      </c>
    </row>
    <row r="9303" spans="1:3" x14ac:dyDescent="0.25">
      <c r="A9303" s="48" t="s">
        <v>12441</v>
      </c>
      <c r="B9303" t="s">
        <v>12442</v>
      </c>
      <c r="C9303">
        <v>0</v>
      </c>
    </row>
    <row r="9304" spans="1:3" x14ac:dyDescent="0.25">
      <c r="A9304" s="48" t="s">
        <v>3109</v>
      </c>
      <c r="B9304" t="s">
        <v>3110</v>
      </c>
      <c r="C9304">
        <v>0</v>
      </c>
    </row>
    <row r="9305" spans="1:3" x14ac:dyDescent="0.25">
      <c r="A9305" s="48" t="s">
        <v>6680</v>
      </c>
      <c r="B9305" t="s">
        <v>6681</v>
      </c>
      <c r="C9305">
        <v>18</v>
      </c>
    </row>
    <row r="9306" spans="1:3" x14ac:dyDescent="0.25">
      <c r="A9306" s="48" t="s">
        <v>6650</v>
      </c>
      <c r="B9306" t="s">
        <v>6651</v>
      </c>
      <c r="C9306">
        <v>37</v>
      </c>
    </row>
    <row r="9307" spans="1:3" x14ac:dyDescent="0.25">
      <c r="A9307" s="48" t="s">
        <v>6692</v>
      </c>
      <c r="B9307" t="s">
        <v>6693</v>
      </c>
      <c r="C9307">
        <v>0</v>
      </c>
    </row>
    <row r="9308" spans="1:3" x14ac:dyDescent="0.25">
      <c r="A9308" s="48" t="s">
        <v>6696</v>
      </c>
      <c r="B9308" t="s">
        <v>6697</v>
      </c>
      <c r="C9308">
        <v>0</v>
      </c>
    </row>
    <row r="9309" spans="1:3" x14ac:dyDescent="0.25">
      <c r="A9309" s="48" t="s">
        <v>6694</v>
      </c>
      <c r="B9309" t="s">
        <v>6695</v>
      </c>
      <c r="C9309">
        <v>0</v>
      </c>
    </row>
    <row r="9310" spans="1:3" x14ac:dyDescent="0.25">
      <c r="A9310" s="48" t="s">
        <v>1243</v>
      </c>
      <c r="B9310" t="s">
        <v>1244</v>
      </c>
      <c r="C9310">
        <v>66</v>
      </c>
    </row>
    <row r="9311" spans="1:3" x14ac:dyDescent="0.25">
      <c r="A9311" s="48" t="s">
        <v>6678</v>
      </c>
      <c r="B9311" t="s">
        <v>6679</v>
      </c>
      <c r="C9311">
        <v>77</v>
      </c>
    </row>
    <row r="9312" spans="1:3" x14ac:dyDescent="0.25">
      <c r="A9312" s="48" t="s">
        <v>9686</v>
      </c>
      <c r="B9312" t="s">
        <v>9687</v>
      </c>
      <c r="C9312">
        <v>0</v>
      </c>
    </row>
    <row r="9313" spans="1:3" x14ac:dyDescent="0.25">
      <c r="A9313" s="48" t="s">
        <v>9690</v>
      </c>
      <c r="B9313" t="s">
        <v>9691</v>
      </c>
      <c r="C9313">
        <v>0</v>
      </c>
    </row>
    <row r="9314" spans="1:3" x14ac:dyDescent="0.25">
      <c r="A9314" s="48" t="s">
        <v>1311</v>
      </c>
      <c r="B9314" t="s">
        <v>1312</v>
      </c>
      <c r="C9314">
        <v>29</v>
      </c>
    </row>
    <row r="9315" spans="1:3" x14ac:dyDescent="0.25">
      <c r="A9315" s="48" t="s">
        <v>11936</v>
      </c>
      <c r="B9315" t="s">
        <v>11937</v>
      </c>
      <c r="C9315">
        <v>6</v>
      </c>
    </row>
    <row r="9316" spans="1:3" x14ac:dyDescent="0.25">
      <c r="A9316" s="48" t="s">
        <v>11918</v>
      </c>
      <c r="B9316" t="s">
        <v>11919</v>
      </c>
      <c r="C9316">
        <v>8</v>
      </c>
    </row>
    <row r="9317" spans="1:3" x14ac:dyDescent="0.25">
      <c r="A9317" s="48" t="s">
        <v>11916</v>
      </c>
      <c r="B9317" t="s">
        <v>11917</v>
      </c>
      <c r="C9317">
        <v>0</v>
      </c>
    </row>
    <row r="9318" spans="1:3" x14ac:dyDescent="0.25">
      <c r="A9318" s="48" t="s">
        <v>6938</v>
      </c>
      <c r="B9318" t="s">
        <v>6939</v>
      </c>
      <c r="C9318">
        <v>0</v>
      </c>
    </row>
    <row r="9319" spans="1:3" x14ac:dyDescent="0.25">
      <c r="A9319" s="48" t="s">
        <v>23008</v>
      </c>
      <c r="B9319" t="s">
        <v>23009</v>
      </c>
      <c r="C9319">
        <v>0</v>
      </c>
    </row>
    <row r="9320" spans="1:3" x14ac:dyDescent="0.25">
      <c r="A9320" s="48" t="s">
        <v>23010</v>
      </c>
      <c r="B9320" t="s">
        <v>23011</v>
      </c>
      <c r="C9320">
        <v>0</v>
      </c>
    </row>
    <row r="9321" spans="1:3" x14ac:dyDescent="0.25">
      <c r="A9321" s="48" t="s">
        <v>1988</v>
      </c>
      <c r="B9321" t="s">
        <v>1989</v>
      </c>
      <c r="C9321">
        <v>52</v>
      </c>
    </row>
    <row r="9322" spans="1:3" x14ac:dyDescent="0.25">
      <c r="A9322" s="48" t="s">
        <v>1918</v>
      </c>
      <c r="B9322" t="s">
        <v>1919</v>
      </c>
      <c r="C9322">
        <v>0</v>
      </c>
    </row>
    <row r="9323" spans="1:3" x14ac:dyDescent="0.25">
      <c r="A9323" s="48" t="s">
        <v>12198</v>
      </c>
      <c r="B9323" t="s">
        <v>12199</v>
      </c>
      <c r="C9323">
        <v>50</v>
      </c>
    </row>
    <row r="9324" spans="1:3" x14ac:dyDescent="0.25">
      <c r="A9324" s="48" t="s">
        <v>1940</v>
      </c>
      <c r="B9324" t="s">
        <v>1941</v>
      </c>
      <c r="C9324">
        <v>0</v>
      </c>
    </row>
    <row r="9325" spans="1:3" x14ac:dyDescent="0.25">
      <c r="A9325" s="48" t="s">
        <v>1423</v>
      </c>
      <c r="B9325" t="s">
        <v>1424</v>
      </c>
      <c r="C9325">
        <v>36</v>
      </c>
    </row>
    <row r="9326" spans="1:3" x14ac:dyDescent="0.25">
      <c r="A9326" s="48" t="s">
        <v>12200</v>
      </c>
      <c r="B9326" t="s">
        <v>12201</v>
      </c>
      <c r="C9326">
        <v>0</v>
      </c>
    </row>
    <row r="9327" spans="1:3" x14ac:dyDescent="0.25">
      <c r="A9327" s="48" t="s">
        <v>337</v>
      </c>
      <c r="B9327" t="s">
        <v>338</v>
      </c>
      <c r="C9327">
        <v>24</v>
      </c>
    </row>
    <row r="9328" spans="1:3" x14ac:dyDescent="0.25">
      <c r="A9328" s="48" t="s">
        <v>12191</v>
      </c>
      <c r="B9328" t="s">
        <v>12192</v>
      </c>
      <c r="C9328">
        <v>48</v>
      </c>
    </row>
    <row r="9329" spans="1:3" x14ac:dyDescent="0.25">
      <c r="A9329" s="48" t="s">
        <v>12222</v>
      </c>
      <c r="B9329" t="s">
        <v>12223</v>
      </c>
      <c r="C9329">
        <v>0</v>
      </c>
    </row>
    <row r="9330" spans="1:3" x14ac:dyDescent="0.25">
      <c r="A9330" s="48" t="s">
        <v>12193</v>
      </c>
      <c r="B9330" t="s">
        <v>12194</v>
      </c>
      <c r="C9330">
        <v>0</v>
      </c>
    </row>
    <row r="9331" spans="1:3" x14ac:dyDescent="0.25">
      <c r="A9331" s="48" t="s">
        <v>6942</v>
      </c>
      <c r="B9331" t="s">
        <v>6943</v>
      </c>
      <c r="C9331">
        <v>1</v>
      </c>
    </row>
    <row r="9332" spans="1:3" x14ac:dyDescent="0.25">
      <c r="A9332" s="48" t="s">
        <v>6940</v>
      </c>
      <c r="B9332" t="s">
        <v>6941</v>
      </c>
      <c r="C9332">
        <v>10</v>
      </c>
    </row>
    <row r="9333" spans="1:3" x14ac:dyDescent="0.25">
      <c r="A9333" s="48" t="s">
        <v>12206</v>
      </c>
      <c r="B9333" t="s">
        <v>12207</v>
      </c>
      <c r="C9333">
        <v>2</v>
      </c>
    </row>
    <row r="9334" spans="1:3" x14ac:dyDescent="0.25">
      <c r="A9334" s="48" t="s">
        <v>12204</v>
      </c>
      <c r="B9334" t="s">
        <v>12205</v>
      </c>
      <c r="C9334">
        <v>2</v>
      </c>
    </row>
    <row r="9335" spans="1:3" x14ac:dyDescent="0.25">
      <c r="A9335" s="48" t="s">
        <v>12202</v>
      </c>
      <c r="B9335" t="s">
        <v>12203</v>
      </c>
      <c r="C9335">
        <v>0</v>
      </c>
    </row>
    <row r="9336" spans="1:3" x14ac:dyDescent="0.25">
      <c r="A9336" s="48" t="s">
        <v>1791</v>
      </c>
      <c r="B9336" t="s">
        <v>1792</v>
      </c>
      <c r="C9336">
        <v>0</v>
      </c>
    </row>
    <row r="9337" spans="1:3" x14ac:dyDescent="0.25">
      <c r="A9337" s="48" t="s">
        <v>17823</v>
      </c>
      <c r="B9337" t="s">
        <v>17824</v>
      </c>
      <c r="C9337">
        <v>0</v>
      </c>
    </row>
    <row r="9338" spans="1:3" x14ac:dyDescent="0.25">
      <c r="A9338" s="48" t="s">
        <v>1709</v>
      </c>
      <c r="B9338" t="s">
        <v>1710</v>
      </c>
      <c r="C9338">
        <v>8</v>
      </c>
    </row>
    <row r="9339" spans="1:3" x14ac:dyDescent="0.25">
      <c r="A9339" s="48" t="s">
        <v>1615</v>
      </c>
      <c r="B9339" t="s">
        <v>1616</v>
      </c>
      <c r="C9339">
        <v>1</v>
      </c>
    </row>
    <row r="9340" spans="1:3" x14ac:dyDescent="0.25">
      <c r="A9340" s="48" t="s">
        <v>17821</v>
      </c>
      <c r="B9340" t="s">
        <v>22315</v>
      </c>
      <c r="C9340">
        <v>0</v>
      </c>
    </row>
    <row r="9341" spans="1:3" x14ac:dyDescent="0.25">
      <c r="A9341" s="48" t="s">
        <v>1589</v>
      </c>
      <c r="B9341" t="s">
        <v>1590</v>
      </c>
      <c r="C9341">
        <v>2</v>
      </c>
    </row>
    <row r="9342" spans="1:3" x14ac:dyDescent="0.25">
      <c r="A9342" s="48" t="s">
        <v>17819</v>
      </c>
      <c r="B9342" t="s">
        <v>17820</v>
      </c>
      <c r="C9342">
        <v>5</v>
      </c>
    </row>
    <row r="9343" spans="1:3" x14ac:dyDescent="0.25">
      <c r="A9343" s="48" t="s">
        <v>403</v>
      </c>
      <c r="B9343" t="s">
        <v>404</v>
      </c>
      <c r="C9343">
        <v>1</v>
      </c>
    </row>
    <row r="9344" spans="1:3" x14ac:dyDescent="0.25">
      <c r="A9344" s="48" t="s">
        <v>12208</v>
      </c>
      <c r="B9344" t="s">
        <v>12209</v>
      </c>
      <c r="C9344">
        <v>94</v>
      </c>
    </row>
    <row r="9345" spans="1:3" x14ac:dyDescent="0.25">
      <c r="A9345" s="48" t="s">
        <v>1996</v>
      </c>
      <c r="B9345" t="s">
        <v>1997</v>
      </c>
      <c r="C9345">
        <v>115</v>
      </c>
    </row>
    <row r="9346" spans="1:3" x14ac:dyDescent="0.25">
      <c r="A9346" s="48" t="s">
        <v>12216</v>
      </c>
      <c r="B9346" t="s">
        <v>12217</v>
      </c>
      <c r="C9346">
        <v>27</v>
      </c>
    </row>
    <row r="9347" spans="1:3" x14ac:dyDescent="0.25">
      <c r="A9347" s="48" t="s">
        <v>12220</v>
      </c>
      <c r="B9347" t="s">
        <v>12221</v>
      </c>
      <c r="C9347">
        <v>0</v>
      </c>
    </row>
    <row r="9348" spans="1:3" x14ac:dyDescent="0.25">
      <c r="A9348" s="48" t="s">
        <v>481</v>
      </c>
      <c r="B9348" t="s">
        <v>482</v>
      </c>
      <c r="C9348">
        <v>70</v>
      </c>
    </row>
    <row r="9349" spans="1:3" x14ac:dyDescent="0.25">
      <c r="A9349" s="48" t="s">
        <v>12214</v>
      </c>
      <c r="B9349" t="s">
        <v>12215</v>
      </c>
      <c r="C9349">
        <v>55</v>
      </c>
    </row>
    <row r="9350" spans="1:3" x14ac:dyDescent="0.25">
      <c r="A9350" s="48" t="s">
        <v>12218</v>
      </c>
      <c r="B9350" t="s">
        <v>12219</v>
      </c>
      <c r="C9350">
        <v>109</v>
      </c>
    </row>
    <row r="9351" spans="1:3" x14ac:dyDescent="0.25">
      <c r="A9351" s="48" t="s">
        <v>12195</v>
      </c>
      <c r="B9351" t="s">
        <v>12196</v>
      </c>
      <c r="C9351">
        <v>15</v>
      </c>
    </row>
    <row r="9352" spans="1:3" x14ac:dyDescent="0.25">
      <c r="A9352" s="48" t="s">
        <v>12210</v>
      </c>
      <c r="B9352" t="s">
        <v>12211</v>
      </c>
      <c r="C9352">
        <v>16</v>
      </c>
    </row>
    <row r="9353" spans="1:3" x14ac:dyDescent="0.25">
      <c r="A9353" s="48" t="s">
        <v>1119</v>
      </c>
      <c r="B9353" t="s">
        <v>1120</v>
      </c>
      <c r="C9353">
        <v>13</v>
      </c>
    </row>
    <row r="9354" spans="1:3" x14ac:dyDescent="0.25">
      <c r="A9354" s="48" t="s">
        <v>12212</v>
      </c>
      <c r="B9354" t="s">
        <v>12213</v>
      </c>
      <c r="C9354">
        <v>12</v>
      </c>
    </row>
    <row r="9355" spans="1:3" x14ac:dyDescent="0.25">
      <c r="A9355" s="48" t="s">
        <v>9688</v>
      </c>
      <c r="B9355" t="s">
        <v>9689</v>
      </c>
      <c r="C9355">
        <v>0</v>
      </c>
    </row>
    <row r="9356" spans="1:3" x14ac:dyDescent="0.25">
      <c r="A9356" s="48" t="s">
        <v>9684</v>
      </c>
      <c r="B9356" t="s">
        <v>9685</v>
      </c>
      <c r="C9356">
        <v>0</v>
      </c>
    </row>
    <row r="9357" spans="1:3" x14ac:dyDescent="0.25">
      <c r="A9357" s="48" t="s">
        <v>11914</v>
      </c>
      <c r="B9357" t="s">
        <v>22316</v>
      </c>
      <c r="C9357">
        <v>0</v>
      </c>
    </row>
    <row r="9358" spans="1:3" x14ac:dyDescent="0.25">
      <c r="A9358" s="48" t="s">
        <v>1781</v>
      </c>
      <c r="B9358" t="s">
        <v>1782</v>
      </c>
      <c r="C9358">
        <v>9</v>
      </c>
    </row>
    <row r="9359" spans="1:3" x14ac:dyDescent="0.25">
      <c r="A9359" s="48" t="s">
        <v>11904</v>
      </c>
      <c r="B9359" t="s">
        <v>22317</v>
      </c>
      <c r="C9359">
        <v>15</v>
      </c>
    </row>
    <row r="9360" spans="1:3" x14ac:dyDescent="0.25">
      <c r="A9360" s="48" t="s">
        <v>11900</v>
      </c>
      <c r="B9360" t="s">
        <v>22318</v>
      </c>
      <c r="C9360">
        <v>70</v>
      </c>
    </row>
    <row r="9361" spans="1:3" x14ac:dyDescent="0.25">
      <c r="A9361" s="48" t="s">
        <v>11902</v>
      </c>
      <c r="B9361" t="s">
        <v>22319</v>
      </c>
      <c r="C9361">
        <v>131</v>
      </c>
    </row>
    <row r="9362" spans="1:3" x14ac:dyDescent="0.25">
      <c r="A9362" s="48" t="s">
        <v>11908</v>
      </c>
      <c r="B9362" t="s">
        <v>22320</v>
      </c>
      <c r="C9362">
        <v>24</v>
      </c>
    </row>
    <row r="9363" spans="1:3" x14ac:dyDescent="0.25">
      <c r="A9363" s="48" t="s">
        <v>1325</v>
      </c>
      <c r="B9363" t="s">
        <v>1326</v>
      </c>
      <c r="C9363">
        <v>169</v>
      </c>
    </row>
    <row r="9364" spans="1:3" x14ac:dyDescent="0.25">
      <c r="A9364" s="48" t="s">
        <v>11906</v>
      </c>
      <c r="B9364" t="s">
        <v>11907</v>
      </c>
      <c r="C9364">
        <v>14</v>
      </c>
    </row>
    <row r="9365" spans="1:3" x14ac:dyDescent="0.25">
      <c r="A9365" s="48" t="s">
        <v>11924</v>
      </c>
      <c r="B9365" t="s">
        <v>11925</v>
      </c>
      <c r="C9365">
        <v>11</v>
      </c>
    </row>
    <row r="9366" spans="1:3" x14ac:dyDescent="0.25">
      <c r="A9366" s="48" t="s">
        <v>11926</v>
      </c>
      <c r="B9366" t="s">
        <v>11927</v>
      </c>
      <c r="C9366">
        <v>9</v>
      </c>
    </row>
    <row r="9367" spans="1:3" x14ac:dyDescent="0.25">
      <c r="A9367" s="48" t="s">
        <v>11930</v>
      </c>
      <c r="B9367" t="s">
        <v>22321</v>
      </c>
      <c r="C9367">
        <v>16</v>
      </c>
    </row>
    <row r="9368" spans="1:3" x14ac:dyDescent="0.25">
      <c r="A9368" s="48" t="s">
        <v>11928</v>
      </c>
      <c r="B9368" t="s">
        <v>11929</v>
      </c>
      <c r="C9368">
        <v>6</v>
      </c>
    </row>
    <row r="9369" spans="1:3" x14ac:dyDescent="0.25">
      <c r="A9369" s="48" t="s">
        <v>11898</v>
      </c>
      <c r="B9369" t="s">
        <v>11899</v>
      </c>
      <c r="C9369">
        <v>13</v>
      </c>
    </row>
    <row r="9370" spans="1:3" x14ac:dyDescent="0.25">
      <c r="A9370" s="48" t="s">
        <v>11911</v>
      </c>
      <c r="B9370" t="s">
        <v>11912</v>
      </c>
      <c r="C9370">
        <v>9</v>
      </c>
    </row>
    <row r="9371" spans="1:3" x14ac:dyDescent="0.25">
      <c r="A9371" s="48" t="s">
        <v>11934</v>
      </c>
      <c r="B9371" t="s">
        <v>11935</v>
      </c>
      <c r="C9371">
        <v>0</v>
      </c>
    </row>
    <row r="9372" spans="1:3" x14ac:dyDescent="0.25">
      <c r="A9372" s="48" t="s">
        <v>11932</v>
      </c>
      <c r="B9372" t="s">
        <v>11933</v>
      </c>
      <c r="C9372">
        <v>30</v>
      </c>
    </row>
    <row r="9373" spans="1:3" x14ac:dyDescent="0.25">
      <c r="A9373" s="48" t="s">
        <v>11920</v>
      </c>
      <c r="B9373" t="s">
        <v>11921</v>
      </c>
      <c r="C9373">
        <v>18</v>
      </c>
    </row>
    <row r="9374" spans="1:3" x14ac:dyDescent="0.25">
      <c r="A9374" s="48" t="s">
        <v>11922</v>
      </c>
      <c r="B9374" t="s">
        <v>11923</v>
      </c>
      <c r="C9374">
        <v>7</v>
      </c>
    </row>
    <row r="9375" spans="1:3" x14ac:dyDescent="0.25">
      <c r="A9375" s="48" t="s">
        <v>6675</v>
      </c>
      <c r="B9375" t="s">
        <v>22322</v>
      </c>
      <c r="C9375">
        <v>63</v>
      </c>
    </row>
    <row r="9376" spans="1:3" x14ac:dyDescent="0.25">
      <c r="A9376" s="48" t="s">
        <v>6706</v>
      </c>
      <c r="B9376" t="s">
        <v>6707</v>
      </c>
      <c r="C9376">
        <v>14</v>
      </c>
    </row>
    <row r="9377" spans="1:3" x14ac:dyDescent="0.25">
      <c r="A9377" s="48" t="s">
        <v>977</v>
      </c>
      <c r="B9377" t="s">
        <v>978</v>
      </c>
      <c r="C9377">
        <v>8</v>
      </c>
    </row>
    <row r="9378" spans="1:3" x14ac:dyDescent="0.25">
      <c r="A9378" s="48" t="s">
        <v>6704</v>
      </c>
      <c r="B9378" t="s">
        <v>6705</v>
      </c>
      <c r="C9378">
        <v>22</v>
      </c>
    </row>
    <row r="9379" spans="1:3" x14ac:dyDescent="0.25">
      <c r="A9379" s="48" t="s">
        <v>6702</v>
      </c>
      <c r="B9379" t="s">
        <v>6703</v>
      </c>
      <c r="C9379">
        <v>20</v>
      </c>
    </row>
    <row r="9380" spans="1:3" x14ac:dyDescent="0.25">
      <c r="A9380" s="48" t="s">
        <v>1783</v>
      </c>
      <c r="B9380" t="s">
        <v>1784</v>
      </c>
      <c r="C9380">
        <v>151</v>
      </c>
    </row>
    <row r="9381" spans="1:3" x14ac:dyDescent="0.25">
      <c r="A9381" s="48" t="s">
        <v>6673</v>
      </c>
      <c r="B9381" t="s">
        <v>22323</v>
      </c>
      <c r="C9381">
        <v>48</v>
      </c>
    </row>
    <row r="9382" spans="1:3" x14ac:dyDescent="0.25">
      <c r="A9382" s="48" t="s">
        <v>6664</v>
      </c>
      <c r="B9382" t="s">
        <v>6665</v>
      </c>
      <c r="C9382">
        <v>17</v>
      </c>
    </row>
    <row r="9383" spans="1:3" x14ac:dyDescent="0.25">
      <c r="A9383" s="48" t="s">
        <v>1703</v>
      </c>
      <c r="B9383" t="s">
        <v>1704</v>
      </c>
      <c r="C9383">
        <v>125</v>
      </c>
    </row>
    <row r="9384" spans="1:3" x14ac:dyDescent="0.25">
      <c r="A9384" s="48" t="s">
        <v>6660</v>
      </c>
      <c r="B9384" t="s">
        <v>6661</v>
      </c>
      <c r="C9384">
        <v>0</v>
      </c>
    </row>
    <row r="9385" spans="1:3" x14ac:dyDescent="0.25">
      <c r="A9385" s="48" t="s">
        <v>1009</v>
      </c>
      <c r="B9385" t="s">
        <v>1010</v>
      </c>
      <c r="C9385">
        <v>36</v>
      </c>
    </row>
    <row r="9386" spans="1:3" x14ac:dyDescent="0.25">
      <c r="A9386" s="48" t="s">
        <v>6658</v>
      </c>
      <c r="B9386" t="s">
        <v>6659</v>
      </c>
      <c r="C9386">
        <v>19</v>
      </c>
    </row>
    <row r="9387" spans="1:3" x14ac:dyDescent="0.25">
      <c r="A9387" s="48" t="s">
        <v>6656</v>
      </c>
      <c r="B9387" t="s">
        <v>6657</v>
      </c>
      <c r="C9387">
        <v>16</v>
      </c>
    </row>
    <row r="9388" spans="1:3" x14ac:dyDescent="0.25">
      <c r="A9388" s="48" t="s">
        <v>1385</v>
      </c>
      <c r="B9388" t="s">
        <v>1386</v>
      </c>
      <c r="C9388">
        <v>198</v>
      </c>
    </row>
    <row r="9389" spans="1:3" x14ac:dyDescent="0.25">
      <c r="A9389" s="48" t="s">
        <v>6653</v>
      </c>
      <c r="B9389" t="s">
        <v>22324</v>
      </c>
      <c r="C9389">
        <v>44</v>
      </c>
    </row>
    <row r="9390" spans="1:3" x14ac:dyDescent="0.25">
      <c r="A9390" s="48" t="s">
        <v>6700</v>
      </c>
      <c r="B9390" t="s">
        <v>6701</v>
      </c>
      <c r="C9390">
        <v>41</v>
      </c>
    </row>
    <row r="9391" spans="1:3" x14ac:dyDescent="0.25">
      <c r="A9391" s="48" t="s">
        <v>6698</v>
      </c>
      <c r="B9391" t="s">
        <v>22325</v>
      </c>
      <c r="C9391">
        <v>21</v>
      </c>
    </row>
    <row r="9392" spans="1:3" x14ac:dyDescent="0.25">
      <c r="A9392" s="48" t="s">
        <v>6648</v>
      </c>
      <c r="B9392" t="s">
        <v>22326</v>
      </c>
      <c r="C9392">
        <v>2</v>
      </c>
    </row>
    <row r="9393" spans="1:3" x14ac:dyDescent="0.25">
      <c r="A9393" s="48" t="s">
        <v>671</v>
      </c>
      <c r="B9393" t="s">
        <v>672</v>
      </c>
      <c r="C9393">
        <v>222</v>
      </c>
    </row>
    <row r="9394" spans="1:3" x14ac:dyDescent="0.25">
      <c r="A9394" s="48" t="s">
        <v>751</v>
      </c>
      <c r="B9394" t="s">
        <v>752</v>
      </c>
      <c r="C9394">
        <v>0</v>
      </c>
    </row>
    <row r="9395" spans="1:3" x14ac:dyDescent="0.25">
      <c r="A9395" s="48" t="s">
        <v>1075</v>
      </c>
      <c r="B9395" t="s">
        <v>1076</v>
      </c>
      <c r="C9395">
        <v>79</v>
      </c>
    </row>
    <row r="9396" spans="1:3" x14ac:dyDescent="0.25">
      <c r="A9396" s="48" t="s">
        <v>6688</v>
      </c>
      <c r="B9396" t="s">
        <v>6689</v>
      </c>
      <c r="C9396">
        <v>12</v>
      </c>
    </row>
    <row r="9397" spans="1:3" x14ac:dyDescent="0.25">
      <c r="A9397" s="48" t="s">
        <v>6690</v>
      </c>
      <c r="B9397" t="s">
        <v>6691</v>
      </c>
      <c r="C9397">
        <v>11</v>
      </c>
    </row>
    <row r="9398" spans="1:3" x14ac:dyDescent="0.25">
      <c r="A9398" s="48" t="s">
        <v>6684</v>
      </c>
      <c r="B9398" t="s">
        <v>6685</v>
      </c>
      <c r="C9398">
        <v>17</v>
      </c>
    </row>
    <row r="9399" spans="1:3" x14ac:dyDescent="0.25">
      <c r="A9399" s="48" t="s">
        <v>6686</v>
      </c>
      <c r="B9399" t="s">
        <v>6687</v>
      </c>
      <c r="C9399">
        <v>0</v>
      </c>
    </row>
    <row r="9400" spans="1:3" x14ac:dyDescent="0.25">
      <c r="A9400" s="48" t="s">
        <v>4649</v>
      </c>
      <c r="B9400" t="s">
        <v>4650</v>
      </c>
      <c r="C9400">
        <v>0</v>
      </c>
    </row>
    <row r="9401" spans="1:3" x14ac:dyDescent="0.25">
      <c r="A9401" s="48" t="s">
        <v>4651</v>
      </c>
      <c r="B9401" t="s">
        <v>4652</v>
      </c>
      <c r="C9401">
        <v>0</v>
      </c>
    </row>
    <row r="9402" spans="1:3" x14ac:dyDescent="0.25">
      <c r="A9402" s="48" t="s">
        <v>19863</v>
      </c>
      <c r="B9402" t="s">
        <v>19864</v>
      </c>
      <c r="C9402">
        <v>0</v>
      </c>
    </row>
    <row r="9403" spans="1:3" x14ac:dyDescent="0.25">
      <c r="A9403" s="48" t="s">
        <v>15743</v>
      </c>
      <c r="B9403" t="s">
        <v>15744</v>
      </c>
      <c r="C9403">
        <v>0</v>
      </c>
    </row>
    <row r="9404" spans="1:3" x14ac:dyDescent="0.25">
      <c r="A9404" s="48" t="s">
        <v>15741</v>
      </c>
      <c r="B9404" t="s">
        <v>15742</v>
      </c>
      <c r="C9404">
        <v>0</v>
      </c>
    </row>
    <row r="9405" spans="1:3" x14ac:dyDescent="0.25">
      <c r="A9405" s="48" t="s">
        <v>15745</v>
      </c>
      <c r="B9405" t="s">
        <v>15746</v>
      </c>
      <c r="C9405">
        <v>0</v>
      </c>
    </row>
    <row r="9406" spans="1:3" x14ac:dyDescent="0.25">
      <c r="A9406" s="48" t="s">
        <v>19865</v>
      </c>
      <c r="B9406" t="s">
        <v>19866</v>
      </c>
      <c r="C9406">
        <v>2</v>
      </c>
    </row>
    <row r="9407" spans="1:3" x14ac:dyDescent="0.25">
      <c r="A9407" s="48" t="s">
        <v>447</v>
      </c>
      <c r="B9407" t="s">
        <v>448</v>
      </c>
      <c r="C9407">
        <v>8</v>
      </c>
    </row>
    <row r="9408" spans="1:3" x14ac:dyDescent="0.25">
      <c r="A9408" s="48" t="s">
        <v>8220</v>
      </c>
      <c r="B9408" t="s">
        <v>8221</v>
      </c>
      <c r="C9408">
        <v>0</v>
      </c>
    </row>
    <row r="9409" spans="1:3" x14ac:dyDescent="0.25">
      <c r="A9409" s="48" t="s">
        <v>3585</v>
      </c>
      <c r="B9409" t="s">
        <v>3586</v>
      </c>
      <c r="C9409">
        <v>0</v>
      </c>
    </row>
    <row r="9410" spans="1:3" x14ac:dyDescent="0.25">
      <c r="A9410" s="48" t="s">
        <v>3583</v>
      </c>
      <c r="B9410" t="s">
        <v>3584</v>
      </c>
      <c r="C9410">
        <v>0</v>
      </c>
    </row>
    <row r="9411" spans="1:3" x14ac:dyDescent="0.25">
      <c r="A9411" s="48" t="s">
        <v>7716</v>
      </c>
      <c r="B9411" t="s">
        <v>22327</v>
      </c>
      <c r="C9411">
        <v>48</v>
      </c>
    </row>
    <row r="9412" spans="1:3" x14ac:dyDescent="0.25">
      <c r="A9412" s="48" t="s">
        <v>1900</v>
      </c>
      <c r="B9412" t="s">
        <v>1901</v>
      </c>
      <c r="C9412">
        <v>17</v>
      </c>
    </row>
    <row r="9413" spans="1:3" x14ac:dyDescent="0.25">
      <c r="A9413" s="48" t="s">
        <v>3735</v>
      </c>
      <c r="B9413" t="s">
        <v>3736</v>
      </c>
      <c r="C9413">
        <v>22</v>
      </c>
    </row>
    <row r="9414" spans="1:3" x14ac:dyDescent="0.25">
      <c r="A9414" s="48" t="s">
        <v>3737</v>
      </c>
      <c r="B9414" t="s">
        <v>3738</v>
      </c>
      <c r="C9414">
        <v>0</v>
      </c>
    </row>
    <row r="9415" spans="1:3" x14ac:dyDescent="0.25">
      <c r="A9415" s="48" t="s">
        <v>3727</v>
      </c>
      <c r="B9415" t="s">
        <v>3728</v>
      </c>
      <c r="C9415">
        <v>6</v>
      </c>
    </row>
    <row r="9416" spans="1:3" x14ac:dyDescent="0.25">
      <c r="A9416" s="48" t="s">
        <v>6851</v>
      </c>
      <c r="B9416" t="s">
        <v>6852</v>
      </c>
      <c r="C9416">
        <v>1</v>
      </c>
    </row>
    <row r="9417" spans="1:3" x14ac:dyDescent="0.25">
      <c r="A9417" s="48" t="s">
        <v>6845</v>
      </c>
      <c r="B9417" t="s">
        <v>6846</v>
      </c>
      <c r="C9417">
        <v>3</v>
      </c>
    </row>
    <row r="9418" spans="1:3" x14ac:dyDescent="0.25">
      <c r="A9418" s="48" t="s">
        <v>6849</v>
      </c>
      <c r="B9418" t="s">
        <v>6850</v>
      </c>
      <c r="C9418">
        <v>4</v>
      </c>
    </row>
    <row r="9419" spans="1:3" x14ac:dyDescent="0.25">
      <c r="A9419" s="48" t="s">
        <v>6847</v>
      </c>
      <c r="B9419" t="s">
        <v>6848</v>
      </c>
      <c r="C9419">
        <v>1</v>
      </c>
    </row>
    <row r="9420" spans="1:3" x14ac:dyDescent="0.25">
      <c r="A9420" s="48" t="s">
        <v>1133</v>
      </c>
      <c r="B9420" t="s">
        <v>1134</v>
      </c>
      <c r="C9420">
        <v>9</v>
      </c>
    </row>
    <row r="9421" spans="1:3" x14ac:dyDescent="0.25">
      <c r="A9421" s="48" t="s">
        <v>6865</v>
      </c>
      <c r="B9421" t="s">
        <v>6866</v>
      </c>
      <c r="C9421">
        <v>3</v>
      </c>
    </row>
    <row r="9422" spans="1:3" x14ac:dyDescent="0.25">
      <c r="A9422" s="48" t="s">
        <v>6863</v>
      </c>
      <c r="B9422" t="s">
        <v>22328</v>
      </c>
      <c r="C9422">
        <v>1</v>
      </c>
    </row>
    <row r="9423" spans="1:3" x14ac:dyDescent="0.25">
      <c r="A9423" s="48" t="s">
        <v>6859</v>
      </c>
      <c r="B9423" t="s">
        <v>22329</v>
      </c>
      <c r="C9423">
        <v>1</v>
      </c>
    </row>
    <row r="9424" spans="1:3" x14ac:dyDescent="0.25">
      <c r="A9424" s="48" t="s">
        <v>6873</v>
      </c>
      <c r="B9424" t="s">
        <v>22330</v>
      </c>
      <c r="C9424">
        <v>2</v>
      </c>
    </row>
    <row r="9425" spans="1:3" x14ac:dyDescent="0.25">
      <c r="A9425" s="48" t="s">
        <v>6853</v>
      </c>
      <c r="B9425" t="s">
        <v>6854</v>
      </c>
      <c r="C9425">
        <v>0</v>
      </c>
    </row>
    <row r="9426" spans="1:3" x14ac:dyDescent="0.25">
      <c r="A9426" s="48" t="s">
        <v>6855</v>
      </c>
      <c r="B9426" t="s">
        <v>6856</v>
      </c>
      <c r="C9426">
        <v>0</v>
      </c>
    </row>
    <row r="9427" spans="1:3" x14ac:dyDescent="0.25">
      <c r="A9427" s="48" t="s">
        <v>6833</v>
      </c>
      <c r="B9427" t="s">
        <v>6834</v>
      </c>
      <c r="C9427">
        <v>8</v>
      </c>
    </row>
    <row r="9428" spans="1:3" x14ac:dyDescent="0.25">
      <c r="A9428" s="48" t="s">
        <v>6831</v>
      </c>
      <c r="B9428" t="s">
        <v>6832</v>
      </c>
      <c r="C9428">
        <v>6</v>
      </c>
    </row>
    <row r="9429" spans="1:3" x14ac:dyDescent="0.25">
      <c r="A9429" s="48" t="s">
        <v>3789</v>
      </c>
      <c r="B9429" t="s">
        <v>3790</v>
      </c>
      <c r="C9429">
        <v>0</v>
      </c>
    </row>
    <row r="9430" spans="1:3" x14ac:dyDescent="0.25">
      <c r="A9430" s="48" t="s">
        <v>3791</v>
      </c>
      <c r="B9430" t="s">
        <v>3792</v>
      </c>
      <c r="C9430">
        <v>0</v>
      </c>
    </row>
    <row r="9431" spans="1:3" x14ac:dyDescent="0.25">
      <c r="A9431" s="48" t="s">
        <v>3787</v>
      </c>
      <c r="B9431" t="s">
        <v>3788</v>
      </c>
      <c r="C9431">
        <v>0</v>
      </c>
    </row>
    <row r="9432" spans="1:3" x14ac:dyDescent="0.25">
      <c r="A9432" s="48" t="s">
        <v>6857</v>
      </c>
      <c r="B9432" t="s">
        <v>6858</v>
      </c>
      <c r="C9432">
        <v>11</v>
      </c>
    </row>
    <row r="9433" spans="1:3" x14ac:dyDescent="0.25">
      <c r="A9433" s="48" t="s">
        <v>577</v>
      </c>
      <c r="B9433" t="s">
        <v>578</v>
      </c>
      <c r="C9433">
        <v>9</v>
      </c>
    </row>
    <row r="9434" spans="1:3" x14ac:dyDescent="0.25">
      <c r="A9434" s="48" t="s">
        <v>427</v>
      </c>
      <c r="B9434" t="s">
        <v>428</v>
      </c>
      <c r="C9434">
        <v>0</v>
      </c>
    </row>
    <row r="9435" spans="1:3" x14ac:dyDescent="0.25">
      <c r="A9435" s="48" t="s">
        <v>6867</v>
      </c>
      <c r="B9435" t="s">
        <v>6868</v>
      </c>
      <c r="C9435">
        <v>8</v>
      </c>
    </row>
    <row r="9436" spans="1:3" x14ac:dyDescent="0.25">
      <c r="A9436" s="48" t="s">
        <v>3783</v>
      </c>
      <c r="B9436" t="s">
        <v>22331</v>
      </c>
      <c r="C9436">
        <v>1</v>
      </c>
    </row>
    <row r="9437" spans="1:3" x14ac:dyDescent="0.25">
      <c r="A9437" s="48" t="s">
        <v>3785</v>
      </c>
      <c r="B9437" t="s">
        <v>3786</v>
      </c>
      <c r="C9437">
        <v>0</v>
      </c>
    </row>
    <row r="9438" spans="1:3" x14ac:dyDescent="0.25">
      <c r="A9438" s="48" t="s">
        <v>6839</v>
      </c>
      <c r="B9438" t="s">
        <v>6840</v>
      </c>
      <c r="C9438">
        <v>4</v>
      </c>
    </row>
    <row r="9439" spans="1:3" x14ac:dyDescent="0.25">
      <c r="A9439" s="48" t="s">
        <v>6841</v>
      </c>
      <c r="B9439" t="s">
        <v>6842</v>
      </c>
      <c r="C9439">
        <v>4</v>
      </c>
    </row>
    <row r="9440" spans="1:3" x14ac:dyDescent="0.25">
      <c r="A9440" s="48" t="s">
        <v>12234</v>
      </c>
      <c r="B9440" t="s">
        <v>12235</v>
      </c>
      <c r="C9440">
        <v>5</v>
      </c>
    </row>
    <row r="9441" spans="1:3" x14ac:dyDescent="0.25">
      <c r="A9441" s="48" t="s">
        <v>12238</v>
      </c>
      <c r="B9441" t="s">
        <v>12239</v>
      </c>
      <c r="C9441">
        <v>5</v>
      </c>
    </row>
    <row r="9442" spans="1:3" x14ac:dyDescent="0.25">
      <c r="A9442" s="48" t="s">
        <v>12240</v>
      </c>
      <c r="B9442" t="s">
        <v>12241</v>
      </c>
      <c r="C9442">
        <v>5</v>
      </c>
    </row>
    <row r="9443" spans="1:3" x14ac:dyDescent="0.25">
      <c r="A9443" s="48" t="s">
        <v>12236</v>
      </c>
      <c r="B9443" t="s">
        <v>12237</v>
      </c>
      <c r="C9443">
        <v>7</v>
      </c>
    </row>
    <row r="9444" spans="1:3" x14ac:dyDescent="0.25">
      <c r="A9444" s="48" t="s">
        <v>12232</v>
      </c>
      <c r="B9444" t="s">
        <v>12233</v>
      </c>
      <c r="C9444">
        <v>4</v>
      </c>
    </row>
    <row r="9445" spans="1:3" x14ac:dyDescent="0.25">
      <c r="A9445" s="48" t="s">
        <v>12242</v>
      </c>
      <c r="B9445" t="s">
        <v>12243</v>
      </c>
      <c r="C9445">
        <v>0</v>
      </c>
    </row>
    <row r="9446" spans="1:3" x14ac:dyDescent="0.25">
      <c r="A9446" s="48" t="s">
        <v>14064</v>
      </c>
      <c r="B9446" t="s">
        <v>14065</v>
      </c>
      <c r="C9446">
        <v>18</v>
      </c>
    </row>
    <row r="9447" spans="1:3" x14ac:dyDescent="0.25">
      <c r="A9447" s="48" t="s">
        <v>6835</v>
      </c>
      <c r="B9447" t="s">
        <v>6836</v>
      </c>
      <c r="C9447">
        <v>4</v>
      </c>
    </row>
    <row r="9448" spans="1:3" x14ac:dyDescent="0.25">
      <c r="A9448" s="48" t="s">
        <v>6843</v>
      </c>
      <c r="B9448" t="s">
        <v>6844</v>
      </c>
      <c r="C9448">
        <v>3</v>
      </c>
    </row>
    <row r="9449" spans="1:3" x14ac:dyDescent="0.25">
      <c r="A9449" s="48" t="s">
        <v>6837</v>
      </c>
      <c r="B9449" t="s">
        <v>6838</v>
      </c>
      <c r="C9449">
        <v>3</v>
      </c>
    </row>
    <row r="9450" spans="1:3" x14ac:dyDescent="0.25">
      <c r="A9450" s="48" t="s">
        <v>3781</v>
      </c>
      <c r="B9450" t="s">
        <v>3782</v>
      </c>
      <c r="C9450">
        <v>9</v>
      </c>
    </row>
    <row r="9451" spans="1:3" x14ac:dyDescent="0.25">
      <c r="A9451" s="48" t="s">
        <v>3777</v>
      </c>
      <c r="B9451" t="s">
        <v>3778</v>
      </c>
      <c r="C9451">
        <v>0</v>
      </c>
    </row>
    <row r="9452" spans="1:3" x14ac:dyDescent="0.25">
      <c r="A9452" s="48" t="s">
        <v>3779</v>
      </c>
      <c r="B9452" t="s">
        <v>3780</v>
      </c>
      <c r="C9452">
        <v>4</v>
      </c>
    </row>
    <row r="9453" spans="1:3" x14ac:dyDescent="0.25">
      <c r="A9453" s="48" t="s">
        <v>12230</v>
      </c>
      <c r="B9453" t="s">
        <v>12231</v>
      </c>
      <c r="C9453">
        <v>0</v>
      </c>
    </row>
    <row r="9454" spans="1:3" x14ac:dyDescent="0.25">
      <c r="A9454" s="48" t="s">
        <v>7138</v>
      </c>
      <c r="B9454" t="s">
        <v>7139</v>
      </c>
      <c r="C9454">
        <v>1</v>
      </c>
    </row>
    <row r="9455" spans="1:3" x14ac:dyDescent="0.25">
      <c r="A9455" s="48" t="s">
        <v>6871</v>
      </c>
      <c r="B9455" t="s">
        <v>6872</v>
      </c>
      <c r="C9455">
        <v>19</v>
      </c>
    </row>
    <row r="9456" spans="1:3" x14ac:dyDescent="0.25">
      <c r="A9456" s="48" t="s">
        <v>16222</v>
      </c>
      <c r="B9456" t="s">
        <v>16223</v>
      </c>
      <c r="C9456">
        <v>2</v>
      </c>
    </row>
    <row r="9457" spans="1:3" x14ac:dyDescent="0.25">
      <c r="A9457" s="48" t="s">
        <v>16224</v>
      </c>
      <c r="B9457" t="s">
        <v>16225</v>
      </c>
      <c r="C9457">
        <v>4</v>
      </c>
    </row>
    <row r="9458" spans="1:3" x14ac:dyDescent="0.25">
      <c r="A9458" s="48" t="s">
        <v>3801</v>
      </c>
      <c r="B9458" t="s">
        <v>3802</v>
      </c>
      <c r="C9458">
        <v>12</v>
      </c>
    </row>
    <row r="9459" spans="1:3" x14ac:dyDescent="0.25">
      <c r="A9459" s="48" t="s">
        <v>3797</v>
      </c>
      <c r="B9459" t="s">
        <v>3798</v>
      </c>
      <c r="C9459">
        <v>12</v>
      </c>
    </row>
    <row r="9460" spans="1:3" x14ac:dyDescent="0.25">
      <c r="A9460" s="48" t="s">
        <v>3793</v>
      </c>
      <c r="B9460" t="s">
        <v>3794</v>
      </c>
      <c r="C9460">
        <v>8</v>
      </c>
    </row>
    <row r="9461" spans="1:3" x14ac:dyDescent="0.25">
      <c r="A9461" s="48" t="s">
        <v>3799</v>
      </c>
      <c r="B9461" t="s">
        <v>3800</v>
      </c>
      <c r="C9461">
        <v>10</v>
      </c>
    </row>
    <row r="9462" spans="1:3" x14ac:dyDescent="0.25">
      <c r="A9462" s="48" t="s">
        <v>3795</v>
      </c>
      <c r="B9462" t="s">
        <v>3796</v>
      </c>
      <c r="C9462">
        <v>0</v>
      </c>
    </row>
    <row r="9463" spans="1:3" x14ac:dyDescent="0.25">
      <c r="A9463" s="48" t="s">
        <v>3803</v>
      </c>
      <c r="B9463" t="s">
        <v>3804</v>
      </c>
      <c r="C9463">
        <v>0</v>
      </c>
    </row>
    <row r="9464" spans="1:3" x14ac:dyDescent="0.25">
      <c r="A9464" s="48" t="s">
        <v>611</v>
      </c>
      <c r="B9464" t="s">
        <v>612</v>
      </c>
      <c r="C9464">
        <v>1</v>
      </c>
    </row>
    <row r="9465" spans="1:3" x14ac:dyDescent="0.25">
      <c r="A9465" s="48" t="s">
        <v>6869</v>
      </c>
      <c r="B9465" t="s">
        <v>6870</v>
      </c>
      <c r="C9465">
        <v>3</v>
      </c>
    </row>
    <row r="9466" spans="1:3" x14ac:dyDescent="0.25">
      <c r="A9466" s="48" t="s">
        <v>15415</v>
      </c>
      <c r="B9466" t="s">
        <v>15416</v>
      </c>
      <c r="C9466">
        <v>0</v>
      </c>
    </row>
    <row r="9467" spans="1:3" x14ac:dyDescent="0.25">
      <c r="A9467" s="48" t="s">
        <v>6861</v>
      </c>
      <c r="B9467" t="s">
        <v>22332</v>
      </c>
      <c r="C9467">
        <v>2</v>
      </c>
    </row>
    <row r="9468" spans="1:3" x14ac:dyDescent="0.25">
      <c r="A9468" s="48" t="s">
        <v>797</v>
      </c>
      <c r="B9468" t="s">
        <v>798</v>
      </c>
      <c r="C9468">
        <v>13</v>
      </c>
    </row>
    <row r="9469" spans="1:3" x14ac:dyDescent="0.25">
      <c r="A9469" s="48" t="s">
        <v>489</v>
      </c>
      <c r="B9469" t="s">
        <v>490</v>
      </c>
      <c r="C9469">
        <v>22</v>
      </c>
    </row>
    <row r="9470" spans="1:3" x14ac:dyDescent="0.25">
      <c r="A9470" s="48" t="s">
        <v>3461</v>
      </c>
      <c r="B9470" t="s">
        <v>3462</v>
      </c>
      <c r="C9470">
        <v>0</v>
      </c>
    </row>
    <row r="9471" spans="1:3" x14ac:dyDescent="0.25">
      <c r="A9471" s="48" t="s">
        <v>22361</v>
      </c>
      <c r="B9471" t="s">
        <v>22333</v>
      </c>
      <c r="C9471">
        <v>0</v>
      </c>
    </row>
    <row r="9472" spans="1:3" x14ac:dyDescent="0.25">
      <c r="A9472" s="48" t="s">
        <v>16346</v>
      </c>
      <c r="B9472" t="s">
        <v>16347</v>
      </c>
      <c r="C9472">
        <v>18</v>
      </c>
    </row>
    <row r="9473" spans="1:3" x14ac:dyDescent="0.25">
      <c r="A9473" s="48" t="s">
        <v>429</v>
      </c>
      <c r="B9473" t="s">
        <v>430</v>
      </c>
      <c r="C9473">
        <v>2</v>
      </c>
    </row>
    <row r="9474" spans="1:3" x14ac:dyDescent="0.25">
      <c r="A9474" s="48" t="s">
        <v>1101</v>
      </c>
      <c r="B9474" t="s">
        <v>1102</v>
      </c>
      <c r="C9474">
        <v>20</v>
      </c>
    </row>
    <row r="9475" spans="1:3" x14ac:dyDescent="0.25">
      <c r="A9475" s="48" t="s">
        <v>16177</v>
      </c>
      <c r="B9475" t="s">
        <v>16178</v>
      </c>
      <c r="C9475">
        <v>0</v>
      </c>
    </row>
    <row r="9476" spans="1:3" x14ac:dyDescent="0.25">
      <c r="A9476" s="48" t="s">
        <v>11094</v>
      </c>
      <c r="B9476" t="s">
        <v>11095</v>
      </c>
      <c r="C9476">
        <v>3</v>
      </c>
    </row>
    <row r="9477" spans="1:3" x14ac:dyDescent="0.25">
      <c r="A9477" s="48" t="s">
        <v>9836</v>
      </c>
      <c r="B9477" t="s">
        <v>9837</v>
      </c>
      <c r="C9477">
        <v>0</v>
      </c>
    </row>
    <row r="9478" spans="1:3" x14ac:dyDescent="0.25">
      <c r="A9478" s="48" t="s">
        <v>9834</v>
      </c>
      <c r="B9478" t="s">
        <v>9835</v>
      </c>
      <c r="C9478">
        <v>0</v>
      </c>
    </row>
    <row r="9479" spans="1:3" x14ac:dyDescent="0.25">
      <c r="A9479" s="48" t="s">
        <v>9845</v>
      </c>
      <c r="B9479" t="s">
        <v>9846</v>
      </c>
      <c r="C9479">
        <v>0</v>
      </c>
    </row>
    <row r="9480" spans="1:3" x14ac:dyDescent="0.25">
      <c r="A9480" s="48" t="s">
        <v>1163</v>
      </c>
      <c r="B9480" t="s">
        <v>1164</v>
      </c>
      <c r="C9480">
        <v>10</v>
      </c>
    </row>
    <row r="9481" spans="1:3" x14ac:dyDescent="0.25">
      <c r="A9481" s="48" t="s">
        <v>9849</v>
      </c>
      <c r="B9481" t="s">
        <v>9850</v>
      </c>
      <c r="C9481">
        <v>0</v>
      </c>
    </row>
    <row r="9482" spans="1:3" x14ac:dyDescent="0.25">
      <c r="A9482" s="48" t="s">
        <v>331</v>
      </c>
      <c r="B9482" t="s">
        <v>332</v>
      </c>
      <c r="C9482">
        <v>5</v>
      </c>
    </row>
    <row r="9483" spans="1:3" x14ac:dyDescent="0.25">
      <c r="A9483" s="48" t="s">
        <v>9830</v>
      </c>
      <c r="B9483" t="s">
        <v>9831</v>
      </c>
      <c r="C9483">
        <v>0</v>
      </c>
    </row>
    <row r="9484" spans="1:3" x14ac:dyDescent="0.25">
      <c r="A9484" s="48" t="s">
        <v>9843</v>
      </c>
      <c r="B9484" t="s">
        <v>9844</v>
      </c>
      <c r="C9484">
        <v>7</v>
      </c>
    </row>
    <row r="9485" spans="1:3" x14ac:dyDescent="0.25">
      <c r="A9485" s="48" t="s">
        <v>3467</v>
      </c>
      <c r="B9485" t="s">
        <v>3468</v>
      </c>
      <c r="C9485">
        <v>22</v>
      </c>
    </row>
    <row r="9486" spans="1:3" x14ac:dyDescent="0.25">
      <c r="A9486" s="48" t="s">
        <v>16166</v>
      </c>
      <c r="B9486" t="s">
        <v>16167</v>
      </c>
      <c r="C9486">
        <v>30</v>
      </c>
    </row>
    <row r="9487" spans="1:3" x14ac:dyDescent="0.25">
      <c r="A9487" s="48" t="s">
        <v>16186</v>
      </c>
      <c r="B9487" t="s">
        <v>16187</v>
      </c>
      <c r="C9487">
        <v>0</v>
      </c>
    </row>
    <row r="9488" spans="1:3" x14ac:dyDescent="0.25">
      <c r="A9488" s="48" t="s">
        <v>983</v>
      </c>
      <c r="B9488" t="s">
        <v>984</v>
      </c>
      <c r="C9488">
        <v>3</v>
      </c>
    </row>
    <row r="9489" spans="1:3" x14ac:dyDescent="0.25">
      <c r="A9489" s="48" t="s">
        <v>16340</v>
      </c>
      <c r="B9489" t="s">
        <v>22334</v>
      </c>
      <c r="C9489">
        <v>4</v>
      </c>
    </row>
    <row r="9490" spans="1:3" x14ac:dyDescent="0.25">
      <c r="A9490" s="48" t="s">
        <v>16344</v>
      </c>
      <c r="B9490" t="s">
        <v>16345</v>
      </c>
      <c r="C9490">
        <v>17</v>
      </c>
    </row>
    <row r="9491" spans="1:3" x14ac:dyDescent="0.25">
      <c r="A9491" s="48" t="s">
        <v>16342</v>
      </c>
      <c r="B9491" t="s">
        <v>16343</v>
      </c>
      <c r="C9491">
        <v>15</v>
      </c>
    </row>
    <row r="9492" spans="1:3" x14ac:dyDescent="0.25">
      <c r="A9492" s="48" t="s">
        <v>16376</v>
      </c>
      <c r="B9492" t="s">
        <v>16377</v>
      </c>
      <c r="C9492">
        <v>0</v>
      </c>
    </row>
    <row r="9493" spans="1:3" x14ac:dyDescent="0.25">
      <c r="A9493" s="48" t="s">
        <v>529</v>
      </c>
      <c r="B9493" t="s">
        <v>530</v>
      </c>
      <c r="C9493">
        <v>10</v>
      </c>
    </row>
    <row r="9494" spans="1:3" x14ac:dyDescent="0.25">
      <c r="A9494" s="48" t="s">
        <v>16185</v>
      </c>
      <c r="B9494" t="s">
        <v>16184</v>
      </c>
      <c r="C9494">
        <v>0</v>
      </c>
    </row>
    <row r="9495" spans="1:3" x14ac:dyDescent="0.25">
      <c r="A9495" s="48" t="s">
        <v>3469</v>
      </c>
      <c r="B9495" t="s">
        <v>3470</v>
      </c>
      <c r="C9495">
        <v>8</v>
      </c>
    </row>
    <row r="9496" spans="1:3" x14ac:dyDescent="0.25">
      <c r="A9496" s="48" t="s">
        <v>3463</v>
      </c>
      <c r="B9496" t="s">
        <v>3464</v>
      </c>
      <c r="C9496">
        <v>10</v>
      </c>
    </row>
    <row r="9497" spans="1:3" x14ac:dyDescent="0.25">
      <c r="A9497" s="48" t="s">
        <v>16160</v>
      </c>
      <c r="B9497" t="s">
        <v>16161</v>
      </c>
      <c r="C9497">
        <v>40</v>
      </c>
    </row>
    <row r="9498" spans="1:3" x14ac:dyDescent="0.25">
      <c r="A9498" s="48" t="s">
        <v>16179</v>
      </c>
      <c r="B9498" t="s">
        <v>16180</v>
      </c>
      <c r="C9498">
        <v>24</v>
      </c>
    </row>
    <row r="9499" spans="1:3" x14ac:dyDescent="0.25">
      <c r="A9499" s="48" t="s">
        <v>16162</v>
      </c>
      <c r="B9499" t="s">
        <v>16163</v>
      </c>
      <c r="C9499">
        <v>12</v>
      </c>
    </row>
    <row r="9500" spans="1:3" x14ac:dyDescent="0.25">
      <c r="A9500" s="48" t="s">
        <v>16181</v>
      </c>
      <c r="B9500" t="s">
        <v>16182</v>
      </c>
      <c r="C9500">
        <v>26</v>
      </c>
    </row>
    <row r="9501" spans="1:3" x14ac:dyDescent="0.25">
      <c r="A9501" s="48" t="s">
        <v>16192</v>
      </c>
      <c r="B9501" t="s">
        <v>16193</v>
      </c>
      <c r="C9501">
        <v>1</v>
      </c>
    </row>
    <row r="9502" spans="1:3" x14ac:dyDescent="0.25">
      <c r="A9502" s="48" t="s">
        <v>657</v>
      </c>
      <c r="B9502" t="s">
        <v>658</v>
      </c>
      <c r="C9502">
        <v>63</v>
      </c>
    </row>
    <row r="9503" spans="1:3" x14ac:dyDescent="0.25">
      <c r="A9503" s="48" t="s">
        <v>16169</v>
      </c>
      <c r="B9503" t="s">
        <v>16170</v>
      </c>
      <c r="C9503">
        <v>0</v>
      </c>
    </row>
    <row r="9504" spans="1:3" x14ac:dyDescent="0.25">
      <c r="A9504" s="48" t="s">
        <v>11088</v>
      </c>
      <c r="B9504" t="s">
        <v>11089</v>
      </c>
      <c r="C9504">
        <v>0</v>
      </c>
    </row>
    <row r="9505" spans="1:3" x14ac:dyDescent="0.25">
      <c r="A9505" s="48" t="s">
        <v>11090</v>
      </c>
      <c r="B9505" t="s">
        <v>11091</v>
      </c>
      <c r="C9505">
        <v>6</v>
      </c>
    </row>
    <row r="9506" spans="1:3" x14ac:dyDescent="0.25">
      <c r="A9506" s="48" t="s">
        <v>11086</v>
      </c>
      <c r="B9506" t="s">
        <v>11087</v>
      </c>
      <c r="C9506">
        <v>3</v>
      </c>
    </row>
    <row r="9507" spans="1:3" x14ac:dyDescent="0.25">
      <c r="A9507" s="48" t="s">
        <v>11080</v>
      </c>
      <c r="B9507" t="s">
        <v>11081</v>
      </c>
      <c r="C9507">
        <v>0</v>
      </c>
    </row>
    <row r="9508" spans="1:3" x14ac:dyDescent="0.25">
      <c r="A9508" s="48" t="s">
        <v>11076</v>
      </c>
      <c r="B9508" t="s">
        <v>11077</v>
      </c>
      <c r="C9508">
        <v>9</v>
      </c>
    </row>
    <row r="9509" spans="1:3" x14ac:dyDescent="0.25">
      <c r="A9509" s="48" t="s">
        <v>11078</v>
      </c>
      <c r="B9509" t="s">
        <v>11079</v>
      </c>
      <c r="C9509">
        <v>0</v>
      </c>
    </row>
    <row r="9510" spans="1:3" x14ac:dyDescent="0.25">
      <c r="A9510" s="48" t="s">
        <v>16173</v>
      </c>
      <c r="B9510" t="s">
        <v>16174</v>
      </c>
      <c r="C9510">
        <v>0</v>
      </c>
    </row>
    <row r="9511" spans="1:3" x14ac:dyDescent="0.25">
      <c r="A9511" s="48" t="s">
        <v>16175</v>
      </c>
      <c r="B9511" t="s">
        <v>16176</v>
      </c>
      <c r="C9511">
        <v>0</v>
      </c>
    </row>
    <row r="9512" spans="1:3" x14ac:dyDescent="0.25">
      <c r="A9512" s="48" t="s">
        <v>16374</v>
      </c>
      <c r="B9512" t="s">
        <v>16375</v>
      </c>
      <c r="C9512">
        <v>0</v>
      </c>
    </row>
    <row r="9513" spans="1:3" x14ac:dyDescent="0.25">
      <c r="A9513" s="48" t="s">
        <v>16171</v>
      </c>
      <c r="B9513" t="s">
        <v>16172</v>
      </c>
      <c r="C9513">
        <v>0</v>
      </c>
    </row>
    <row r="9514" spans="1:3" x14ac:dyDescent="0.25">
      <c r="A9514" s="48" t="s">
        <v>16190</v>
      </c>
      <c r="B9514" t="s">
        <v>16191</v>
      </c>
      <c r="C9514">
        <v>0</v>
      </c>
    </row>
    <row r="9515" spans="1:3" x14ac:dyDescent="0.25">
      <c r="A9515" s="48" t="s">
        <v>16188</v>
      </c>
      <c r="B9515" t="s">
        <v>16189</v>
      </c>
      <c r="C9515">
        <v>2</v>
      </c>
    </row>
    <row r="9516" spans="1:3" x14ac:dyDescent="0.25">
      <c r="A9516" s="48" t="s">
        <v>3471</v>
      </c>
      <c r="B9516" t="s">
        <v>3472</v>
      </c>
      <c r="C9516">
        <v>1</v>
      </c>
    </row>
    <row r="9517" spans="1:3" x14ac:dyDescent="0.25">
      <c r="A9517" s="48" t="s">
        <v>9841</v>
      </c>
      <c r="B9517" t="s">
        <v>9842</v>
      </c>
      <c r="C9517">
        <v>0</v>
      </c>
    </row>
    <row r="9518" spans="1:3" x14ac:dyDescent="0.25">
      <c r="A9518" s="48" t="s">
        <v>22923</v>
      </c>
      <c r="B9518" t="s">
        <v>16178</v>
      </c>
      <c r="C9518">
        <v>31</v>
      </c>
    </row>
    <row r="9519" spans="1:3" x14ac:dyDescent="0.25">
      <c r="A9519" s="48" t="s">
        <v>3459</v>
      </c>
      <c r="B9519" t="s">
        <v>3460</v>
      </c>
      <c r="C9519">
        <v>5</v>
      </c>
    </row>
    <row r="9520" spans="1:3" x14ac:dyDescent="0.25">
      <c r="A9520" s="48" t="s">
        <v>9847</v>
      </c>
      <c r="B9520" t="s">
        <v>9848</v>
      </c>
      <c r="C9520">
        <v>0</v>
      </c>
    </row>
    <row r="9521" spans="1:3" x14ac:dyDescent="0.25">
      <c r="A9521" s="48" t="s">
        <v>3465</v>
      </c>
      <c r="B9521" t="s">
        <v>3466</v>
      </c>
      <c r="C9521">
        <v>15</v>
      </c>
    </row>
    <row r="9522" spans="1:3" x14ac:dyDescent="0.25">
      <c r="A9522" s="48" t="s">
        <v>9839</v>
      </c>
      <c r="B9522" t="s">
        <v>9840</v>
      </c>
      <c r="C9522">
        <v>0</v>
      </c>
    </row>
    <row r="9523" spans="1:3" x14ac:dyDescent="0.25">
      <c r="A9523" s="48" t="s">
        <v>16164</v>
      </c>
      <c r="B9523" t="s">
        <v>16165</v>
      </c>
      <c r="C9523">
        <v>32</v>
      </c>
    </row>
    <row r="9524" spans="1:3" x14ac:dyDescent="0.25">
      <c r="A9524" s="48" t="s">
        <v>16183</v>
      </c>
      <c r="B9524" t="s">
        <v>16184</v>
      </c>
      <c r="C9524">
        <v>24</v>
      </c>
    </row>
    <row r="9525" spans="1:3" x14ac:dyDescent="0.25">
      <c r="A9525" s="48" t="s">
        <v>16168</v>
      </c>
      <c r="B9525" t="s">
        <v>16167</v>
      </c>
      <c r="C9525">
        <v>0</v>
      </c>
    </row>
    <row r="9526" spans="1:3" x14ac:dyDescent="0.25">
      <c r="A9526" s="48" t="s">
        <v>9832</v>
      </c>
      <c r="B9526" t="s">
        <v>9831</v>
      </c>
      <c r="C9526">
        <v>6</v>
      </c>
    </row>
    <row r="9527" spans="1:3" x14ac:dyDescent="0.25">
      <c r="A9527" s="48" t="s">
        <v>1581</v>
      </c>
      <c r="B9527" t="s">
        <v>1582</v>
      </c>
      <c r="C9527">
        <v>35</v>
      </c>
    </row>
    <row r="9528" spans="1:3" x14ac:dyDescent="0.25">
      <c r="A9528" s="48" t="s">
        <v>1986</v>
      </c>
      <c r="B9528" t="s">
        <v>1987</v>
      </c>
      <c r="C9528">
        <v>135</v>
      </c>
    </row>
    <row r="9529" spans="1:3" x14ac:dyDescent="0.25">
      <c r="A9529" s="48" t="s">
        <v>1958</v>
      </c>
      <c r="B9529" t="s">
        <v>1959</v>
      </c>
      <c r="C9529">
        <v>27</v>
      </c>
    </row>
    <row r="9530" spans="1:3" x14ac:dyDescent="0.25">
      <c r="A9530" s="48" t="s">
        <v>127</v>
      </c>
      <c r="B9530" t="s">
        <v>128</v>
      </c>
      <c r="C9530">
        <v>0</v>
      </c>
    </row>
    <row r="9531" spans="1:3" x14ac:dyDescent="0.25">
      <c r="A9531" s="48" t="s">
        <v>1855</v>
      </c>
      <c r="B9531" t="s">
        <v>1856</v>
      </c>
      <c r="C9531">
        <v>10</v>
      </c>
    </row>
    <row r="9532" spans="1:3" x14ac:dyDescent="0.25">
      <c r="A9532" s="48" t="s">
        <v>16289</v>
      </c>
      <c r="B9532" t="s">
        <v>16290</v>
      </c>
      <c r="C9532">
        <v>6</v>
      </c>
    </row>
    <row r="9533" spans="1:3" x14ac:dyDescent="0.25">
      <c r="A9533" s="48" t="s">
        <v>16279</v>
      </c>
      <c r="B9533" t="s">
        <v>16280</v>
      </c>
      <c r="C9533">
        <v>13</v>
      </c>
    </row>
    <row r="9534" spans="1:3" x14ac:dyDescent="0.25">
      <c r="A9534" s="48" t="s">
        <v>16295</v>
      </c>
      <c r="B9534" t="s">
        <v>16296</v>
      </c>
      <c r="C9534">
        <v>1</v>
      </c>
    </row>
    <row r="9535" spans="1:3" x14ac:dyDescent="0.25">
      <c r="A9535" s="48" t="s">
        <v>3493</v>
      </c>
      <c r="B9535" t="s">
        <v>3494</v>
      </c>
      <c r="C9535">
        <v>1</v>
      </c>
    </row>
    <row r="9536" spans="1:3" x14ac:dyDescent="0.25">
      <c r="A9536" s="48" t="s">
        <v>16291</v>
      </c>
      <c r="B9536" t="s">
        <v>16292</v>
      </c>
      <c r="C9536">
        <v>13</v>
      </c>
    </row>
    <row r="9537" spans="1:3" x14ac:dyDescent="0.25">
      <c r="A9537" s="48" t="s">
        <v>16283</v>
      </c>
      <c r="B9537" t="s">
        <v>16284</v>
      </c>
      <c r="C9537">
        <v>6</v>
      </c>
    </row>
    <row r="9538" spans="1:3" x14ac:dyDescent="0.25">
      <c r="A9538" s="48" t="s">
        <v>16287</v>
      </c>
      <c r="B9538" t="s">
        <v>16288</v>
      </c>
      <c r="C9538">
        <v>11</v>
      </c>
    </row>
    <row r="9539" spans="1:3" x14ac:dyDescent="0.25">
      <c r="A9539" s="48" t="s">
        <v>16281</v>
      </c>
      <c r="B9539" t="s">
        <v>16282</v>
      </c>
      <c r="C9539">
        <v>8</v>
      </c>
    </row>
    <row r="9540" spans="1:3" x14ac:dyDescent="0.25">
      <c r="A9540" s="48" t="s">
        <v>16285</v>
      </c>
      <c r="B9540" t="s">
        <v>16286</v>
      </c>
      <c r="C9540">
        <v>2</v>
      </c>
    </row>
    <row r="9541" spans="1:3" x14ac:dyDescent="0.25">
      <c r="A9541" s="48" t="s">
        <v>16293</v>
      </c>
      <c r="B9541" t="s">
        <v>16294</v>
      </c>
      <c r="C9541">
        <v>5</v>
      </c>
    </row>
    <row r="9542" spans="1:3" x14ac:dyDescent="0.25">
      <c r="A9542" s="48" t="s">
        <v>3489</v>
      </c>
      <c r="B9542" t="s">
        <v>3490</v>
      </c>
      <c r="C9542">
        <v>1</v>
      </c>
    </row>
    <row r="9543" spans="1:3" x14ac:dyDescent="0.25">
      <c r="A9543" s="48" t="s">
        <v>11074</v>
      </c>
      <c r="B9543" t="s">
        <v>11075</v>
      </c>
      <c r="C9543">
        <v>0</v>
      </c>
    </row>
    <row r="9544" spans="1:3" x14ac:dyDescent="0.25">
      <c r="A9544" s="48" t="s">
        <v>11072</v>
      </c>
      <c r="B9544" t="s">
        <v>11073</v>
      </c>
      <c r="C9544">
        <v>11</v>
      </c>
    </row>
    <row r="9545" spans="1:3" x14ac:dyDescent="0.25">
      <c r="A9545" s="48" t="s">
        <v>11092</v>
      </c>
      <c r="B9545" t="s">
        <v>11093</v>
      </c>
      <c r="C9545">
        <v>3</v>
      </c>
    </row>
    <row r="9546" spans="1:3" x14ac:dyDescent="0.25">
      <c r="A9546" s="48" t="s">
        <v>11068</v>
      </c>
      <c r="B9546" t="s">
        <v>11069</v>
      </c>
      <c r="C9546">
        <v>4</v>
      </c>
    </row>
    <row r="9547" spans="1:3" x14ac:dyDescent="0.25">
      <c r="A9547" s="48" t="s">
        <v>11082</v>
      </c>
      <c r="B9547" t="s">
        <v>11083</v>
      </c>
      <c r="C9547">
        <v>7</v>
      </c>
    </row>
    <row r="9548" spans="1:3" x14ac:dyDescent="0.25">
      <c r="A9548" s="48" t="s">
        <v>11070</v>
      </c>
      <c r="B9548" t="s">
        <v>11071</v>
      </c>
      <c r="C9548">
        <v>0</v>
      </c>
    </row>
    <row r="9549" spans="1:3" x14ac:dyDescent="0.25">
      <c r="A9549" s="48" t="s">
        <v>11084</v>
      </c>
      <c r="B9549" t="s">
        <v>11085</v>
      </c>
      <c r="C9549">
        <v>8</v>
      </c>
    </row>
    <row r="9550" spans="1:3" x14ac:dyDescent="0.25">
      <c r="A9550" s="48" t="s">
        <v>1143</v>
      </c>
      <c r="B9550" t="s">
        <v>1144</v>
      </c>
      <c r="C9550">
        <v>30</v>
      </c>
    </row>
    <row r="9551" spans="1:3" x14ac:dyDescent="0.25">
      <c r="A9551" s="48" t="s">
        <v>8740</v>
      </c>
      <c r="B9551" t="s">
        <v>8741</v>
      </c>
      <c r="C9551">
        <v>0</v>
      </c>
    </row>
    <row r="9552" spans="1:3" x14ac:dyDescent="0.25">
      <c r="A9552" s="48" t="s">
        <v>8736</v>
      </c>
      <c r="B9552" t="s">
        <v>8737</v>
      </c>
      <c r="C9552">
        <v>0</v>
      </c>
    </row>
    <row r="9553" spans="1:3" x14ac:dyDescent="0.25">
      <c r="A9553" s="48" t="s">
        <v>17989</v>
      </c>
      <c r="B9553" t="s">
        <v>17990</v>
      </c>
      <c r="C9553">
        <v>9</v>
      </c>
    </row>
    <row r="9554" spans="1:3" x14ac:dyDescent="0.25">
      <c r="A9554" s="48" t="s">
        <v>8748</v>
      </c>
      <c r="B9554" t="s">
        <v>8749</v>
      </c>
      <c r="C9554">
        <v>2</v>
      </c>
    </row>
    <row r="9555" spans="1:3" x14ac:dyDescent="0.25">
      <c r="A9555" s="48" t="s">
        <v>8750</v>
      </c>
      <c r="B9555" t="s">
        <v>8751</v>
      </c>
      <c r="C9555">
        <v>10</v>
      </c>
    </row>
    <row r="9556" spans="1:3" x14ac:dyDescent="0.25">
      <c r="A9556" s="48" t="s">
        <v>12321</v>
      </c>
      <c r="B9556" t="s">
        <v>12322</v>
      </c>
      <c r="C9556">
        <v>0</v>
      </c>
    </row>
    <row r="9557" spans="1:3" x14ac:dyDescent="0.25">
      <c r="A9557" s="48" t="s">
        <v>12323</v>
      </c>
      <c r="B9557" t="s">
        <v>12324</v>
      </c>
      <c r="C9557">
        <v>0</v>
      </c>
    </row>
    <row r="9558" spans="1:3" x14ac:dyDescent="0.25">
      <c r="A9558" s="48" t="s">
        <v>563</v>
      </c>
      <c r="B9558" t="s">
        <v>564</v>
      </c>
      <c r="C9558">
        <v>106</v>
      </c>
    </row>
    <row r="9559" spans="1:3" x14ac:dyDescent="0.25">
      <c r="A9559" s="48" t="s">
        <v>8746</v>
      </c>
      <c r="B9559" t="s">
        <v>8747</v>
      </c>
      <c r="C9559">
        <v>0</v>
      </c>
    </row>
    <row r="9560" spans="1:3" x14ac:dyDescent="0.25">
      <c r="A9560" s="48" t="s">
        <v>8738</v>
      </c>
      <c r="B9560" t="s">
        <v>8739</v>
      </c>
      <c r="C9560">
        <v>1</v>
      </c>
    </row>
    <row r="9561" spans="1:3" x14ac:dyDescent="0.25">
      <c r="A9561" s="48" t="s">
        <v>8742</v>
      </c>
      <c r="B9561" t="s">
        <v>8743</v>
      </c>
      <c r="C9561">
        <v>6</v>
      </c>
    </row>
    <row r="9562" spans="1:3" x14ac:dyDescent="0.25">
      <c r="A9562" s="48" t="s">
        <v>8744</v>
      </c>
      <c r="B9562" t="s">
        <v>8745</v>
      </c>
      <c r="C9562">
        <v>9</v>
      </c>
    </row>
    <row r="9563" spans="1:3" x14ac:dyDescent="0.25">
      <c r="A9563" s="48" t="s">
        <v>8734</v>
      </c>
      <c r="B9563" t="s">
        <v>8735</v>
      </c>
      <c r="C9563">
        <v>4</v>
      </c>
    </row>
    <row r="9564" spans="1:3" x14ac:dyDescent="0.25">
      <c r="A9564" s="48" t="s">
        <v>8732</v>
      </c>
      <c r="B9564" t="s">
        <v>8733</v>
      </c>
      <c r="C9564">
        <v>0</v>
      </c>
    </row>
    <row r="9565" spans="1:3" x14ac:dyDescent="0.25">
      <c r="A9565" s="48" t="s">
        <v>12329</v>
      </c>
      <c r="B9565" t="s">
        <v>12330</v>
      </c>
      <c r="C9565">
        <v>0</v>
      </c>
    </row>
    <row r="9566" spans="1:3" x14ac:dyDescent="0.25">
      <c r="A9566" s="48" t="s">
        <v>12325</v>
      </c>
      <c r="B9566" t="s">
        <v>12326</v>
      </c>
      <c r="C9566">
        <v>0</v>
      </c>
    </row>
    <row r="9567" spans="1:3" x14ac:dyDescent="0.25">
      <c r="A9567" s="48" t="s">
        <v>1313</v>
      </c>
      <c r="B9567" t="s">
        <v>1314</v>
      </c>
      <c r="C9567">
        <v>0</v>
      </c>
    </row>
    <row r="9568" spans="1:3" x14ac:dyDescent="0.25">
      <c r="A9568" s="48" t="s">
        <v>12331</v>
      </c>
      <c r="B9568" t="s">
        <v>12332</v>
      </c>
      <c r="C9568">
        <v>7</v>
      </c>
    </row>
    <row r="9569" spans="1:3" x14ac:dyDescent="0.25">
      <c r="A9569" s="48" t="s">
        <v>12333</v>
      </c>
      <c r="B9569" t="s">
        <v>12334</v>
      </c>
      <c r="C9569">
        <v>7</v>
      </c>
    </row>
    <row r="9570" spans="1:3" x14ac:dyDescent="0.25">
      <c r="A9570" s="48" t="s">
        <v>12327</v>
      </c>
      <c r="B9570" t="s">
        <v>12328</v>
      </c>
      <c r="C9570">
        <v>0</v>
      </c>
    </row>
    <row r="9571" spans="1:3" x14ac:dyDescent="0.25">
      <c r="A9571" s="48" t="s">
        <v>1365</v>
      </c>
      <c r="B9571" t="s">
        <v>1366</v>
      </c>
      <c r="C9571">
        <v>0</v>
      </c>
    </row>
    <row r="9572" spans="1:3" x14ac:dyDescent="0.25">
      <c r="A9572" s="48" t="s">
        <v>8552</v>
      </c>
      <c r="B9572" t="s">
        <v>8553</v>
      </c>
      <c r="C9572">
        <v>0</v>
      </c>
    </row>
    <row r="9573" spans="1:3" x14ac:dyDescent="0.25">
      <c r="A9573" s="48" t="s">
        <v>18965</v>
      </c>
      <c r="B9573" t="s">
        <v>18966</v>
      </c>
      <c r="C9573">
        <v>0</v>
      </c>
    </row>
    <row r="9574" spans="1:3" x14ac:dyDescent="0.25">
      <c r="A9574" s="48" t="s">
        <v>3132</v>
      </c>
      <c r="B9574" t="s">
        <v>3133</v>
      </c>
      <c r="C9574">
        <v>0</v>
      </c>
    </row>
    <row r="9575" spans="1:3" x14ac:dyDescent="0.25">
      <c r="A9575" s="48" t="s">
        <v>3130</v>
      </c>
      <c r="B9575" t="s">
        <v>3131</v>
      </c>
      <c r="C9575">
        <v>5</v>
      </c>
    </row>
    <row r="9576" spans="1:3" x14ac:dyDescent="0.25">
      <c r="A9576" s="48" t="s">
        <v>1805</v>
      </c>
      <c r="B9576" t="s">
        <v>1806</v>
      </c>
      <c r="C9576">
        <v>39</v>
      </c>
    </row>
    <row r="9577" spans="1:3" x14ac:dyDescent="0.25">
      <c r="A9577" s="48" t="s">
        <v>357</v>
      </c>
      <c r="B9577" t="s">
        <v>358</v>
      </c>
      <c r="C9577">
        <v>24</v>
      </c>
    </row>
    <row r="9578" spans="1:3" x14ac:dyDescent="0.25">
      <c r="A9578" s="48" t="s">
        <v>17204</v>
      </c>
      <c r="B9578" t="s">
        <v>17205</v>
      </c>
      <c r="C9578">
        <v>0</v>
      </c>
    </row>
    <row r="9579" spans="1:3" x14ac:dyDescent="0.25">
      <c r="A9579" s="48" t="s">
        <v>111</v>
      </c>
      <c r="B9579" t="s">
        <v>112</v>
      </c>
      <c r="C9579">
        <v>1</v>
      </c>
    </row>
    <row r="9580" spans="1:3" x14ac:dyDescent="0.25">
      <c r="A9580" s="48" t="s">
        <v>533</v>
      </c>
      <c r="B9580" t="s">
        <v>534</v>
      </c>
      <c r="C9580">
        <v>0</v>
      </c>
    </row>
    <row r="9581" spans="1:3" x14ac:dyDescent="0.25">
      <c r="A9581" s="48" t="s">
        <v>1631</v>
      </c>
      <c r="B9581" t="s">
        <v>1632</v>
      </c>
      <c r="C9581">
        <v>20</v>
      </c>
    </row>
    <row r="9582" spans="1:3" x14ac:dyDescent="0.25">
      <c r="A9582" s="48" t="s">
        <v>3122</v>
      </c>
      <c r="B9582" t="s">
        <v>22335</v>
      </c>
      <c r="C9582">
        <v>0</v>
      </c>
    </row>
    <row r="9583" spans="1:3" x14ac:dyDescent="0.25">
      <c r="A9583" s="48" t="s">
        <v>101</v>
      </c>
      <c r="B9583" t="s">
        <v>102</v>
      </c>
      <c r="C9583">
        <v>0</v>
      </c>
    </row>
    <row r="9584" spans="1:3" x14ac:dyDescent="0.25">
      <c r="A9584" s="48" t="s">
        <v>995</v>
      </c>
      <c r="B9584" t="s">
        <v>996</v>
      </c>
      <c r="C9584">
        <v>52</v>
      </c>
    </row>
    <row r="9585" spans="1:3" x14ac:dyDescent="0.25">
      <c r="A9585" s="48" t="s">
        <v>527</v>
      </c>
      <c r="B9585" t="s">
        <v>528</v>
      </c>
      <c r="C9585">
        <v>0</v>
      </c>
    </row>
    <row r="9586" spans="1:3" x14ac:dyDescent="0.25">
      <c r="A9586" s="48" t="s">
        <v>595</v>
      </c>
      <c r="B9586" t="s">
        <v>596</v>
      </c>
      <c r="C9586">
        <v>3</v>
      </c>
    </row>
    <row r="9587" spans="1:3" x14ac:dyDescent="0.25">
      <c r="A9587" s="48" t="s">
        <v>619</v>
      </c>
      <c r="B9587" t="s">
        <v>620</v>
      </c>
      <c r="C9587">
        <v>24</v>
      </c>
    </row>
    <row r="9588" spans="1:3" x14ac:dyDescent="0.25">
      <c r="A9588" s="48" t="s">
        <v>3118</v>
      </c>
      <c r="B9588" t="s">
        <v>3119</v>
      </c>
      <c r="C9588">
        <v>0</v>
      </c>
    </row>
    <row r="9589" spans="1:3" x14ac:dyDescent="0.25">
      <c r="A9589" s="48" t="s">
        <v>29</v>
      </c>
      <c r="B9589" t="s">
        <v>30</v>
      </c>
      <c r="C9589">
        <v>29</v>
      </c>
    </row>
    <row r="9590" spans="1:3" x14ac:dyDescent="0.25">
      <c r="A9590" s="48" t="s">
        <v>5002</v>
      </c>
      <c r="B9590" t="s">
        <v>5003</v>
      </c>
      <c r="C9590">
        <v>0</v>
      </c>
    </row>
    <row r="9591" spans="1:3" x14ac:dyDescent="0.25">
      <c r="A9591" s="48" t="s">
        <v>6606</v>
      </c>
      <c r="B9591" t="s">
        <v>6607</v>
      </c>
      <c r="C9591">
        <v>0</v>
      </c>
    </row>
    <row r="9592" spans="1:3" x14ac:dyDescent="0.25">
      <c r="A9592" s="48" t="s">
        <v>5711</v>
      </c>
      <c r="B9592" t="s">
        <v>5712</v>
      </c>
      <c r="C9592">
        <v>13</v>
      </c>
    </row>
    <row r="9593" spans="1:3" x14ac:dyDescent="0.25">
      <c r="A9593" s="48" t="s">
        <v>5709</v>
      </c>
      <c r="B9593" t="s">
        <v>5710</v>
      </c>
      <c r="C9593">
        <v>4</v>
      </c>
    </row>
    <row r="9594" spans="1:3" x14ac:dyDescent="0.25">
      <c r="A9594" s="48" t="s">
        <v>5707</v>
      </c>
      <c r="B9594" t="s">
        <v>5708</v>
      </c>
      <c r="C9594">
        <v>4</v>
      </c>
    </row>
    <row r="9595" spans="1:3" x14ac:dyDescent="0.25">
      <c r="A9595" s="48" t="s">
        <v>17564</v>
      </c>
      <c r="B9595" t="s">
        <v>17565</v>
      </c>
      <c r="C9595">
        <v>0</v>
      </c>
    </row>
    <row r="9596" spans="1:3" x14ac:dyDescent="0.25">
      <c r="A9596" s="48" t="s">
        <v>12055</v>
      </c>
      <c r="B9596" t="s">
        <v>12056</v>
      </c>
      <c r="C9596">
        <v>0</v>
      </c>
    </row>
    <row r="9597" spans="1:3" x14ac:dyDescent="0.25">
      <c r="A9597" s="48" t="s">
        <v>12053</v>
      </c>
      <c r="B9597" t="s">
        <v>12054</v>
      </c>
      <c r="C9597">
        <v>9</v>
      </c>
    </row>
    <row r="9598" spans="1:3" x14ac:dyDescent="0.25">
      <c r="A9598" s="48" t="s">
        <v>12057</v>
      </c>
      <c r="B9598" t="s">
        <v>12058</v>
      </c>
      <c r="C9598">
        <v>3</v>
      </c>
    </row>
    <row r="9599" spans="1:3" x14ac:dyDescent="0.25">
      <c r="A9599" s="48" t="s">
        <v>12061</v>
      </c>
      <c r="B9599" t="s">
        <v>12062</v>
      </c>
      <c r="C9599">
        <v>11</v>
      </c>
    </row>
    <row r="9600" spans="1:3" x14ac:dyDescent="0.25">
      <c r="A9600" s="48" t="s">
        <v>6604</v>
      </c>
      <c r="B9600" t="s">
        <v>6605</v>
      </c>
      <c r="C9600">
        <v>0</v>
      </c>
    </row>
    <row r="9601" spans="1:3" x14ac:dyDescent="0.25">
      <c r="A9601" s="48" t="s">
        <v>4058</v>
      </c>
      <c r="B9601" t="s">
        <v>4059</v>
      </c>
      <c r="C9601">
        <v>0</v>
      </c>
    </row>
    <row r="9602" spans="1:3" x14ac:dyDescent="0.25">
      <c r="A9602" s="48" t="s">
        <v>4060</v>
      </c>
      <c r="B9602" t="s">
        <v>4061</v>
      </c>
      <c r="C9602">
        <v>0</v>
      </c>
    </row>
    <row r="9603" spans="1:3" x14ac:dyDescent="0.25">
      <c r="A9603" s="48" t="s">
        <v>5907</v>
      </c>
      <c r="B9603" t="s">
        <v>5908</v>
      </c>
      <c r="C9603">
        <v>0</v>
      </c>
    </row>
    <row r="9604" spans="1:3" x14ac:dyDescent="0.25">
      <c r="A9604" s="48" t="s">
        <v>5905</v>
      </c>
      <c r="B9604" t="s">
        <v>5906</v>
      </c>
      <c r="C9604">
        <v>0</v>
      </c>
    </row>
    <row r="9605" spans="1:3" x14ac:dyDescent="0.25">
      <c r="A9605" s="48" t="s">
        <v>4838</v>
      </c>
      <c r="B9605" t="s">
        <v>4839</v>
      </c>
      <c r="C9605">
        <v>0</v>
      </c>
    </row>
    <row r="9606" spans="1:3" x14ac:dyDescent="0.25">
      <c r="A9606" s="48" t="s">
        <v>4846</v>
      </c>
      <c r="B9606" t="s">
        <v>4847</v>
      </c>
      <c r="C9606">
        <v>0</v>
      </c>
    </row>
    <row r="9607" spans="1:3" x14ac:dyDescent="0.25">
      <c r="A9607" s="48" t="s">
        <v>4828</v>
      </c>
      <c r="B9607" t="s">
        <v>4829</v>
      </c>
      <c r="C9607">
        <v>0</v>
      </c>
    </row>
    <row r="9608" spans="1:3" x14ac:dyDescent="0.25">
      <c r="A9608" s="48" t="s">
        <v>4836</v>
      </c>
      <c r="B9608" t="s">
        <v>4837</v>
      </c>
      <c r="C9608">
        <v>9</v>
      </c>
    </row>
    <row r="9609" spans="1:3" x14ac:dyDescent="0.25">
      <c r="A9609" s="48" t="s">
        <v>4840</v>
      </c>
      <c r="B9609" t="s">
        <v>4841</v>
      </c>
      <c r="C9609">
        <v>0</v>
      </c>
    </row>
    <row r="9610" spans="1:3" x14ac:dyDescent="0.25">
      <c r="A9610" s="48" t="s">
        <v>4834</v>
      </c>
      <c r="B9610" t="s">
        <v>4835</v>
      </c>
      <c r="C9610">
        <v>0</v>
      </c>
    </row>
    <row r="9611" spans="1:3" x14ac:dyDescent="0.25">
      <c r="A9611" s="48" t="s">
        <v>4842</v>
      </c>
      <c r="B9611" t="s">
        <v>4843</v>
      </c>
      <c r="C9611">
        <v>0</v>
      </c>
    </row>
    <row r="9612" spans="1:3" x14ac:dyDescent="0.25">
      <c r="A9612" s="48" t="s">
        <v>4832</v>
      </c>
      <c r="B9612" t="s">
        <v>4833</v>
      </c>
      <c r="C9612">
        <v>0</v>
      </c>
    </row>
    <row r="9613" spans="1:3" x14ac:dyDescent="0.25">
      <c r="A9613" s="48" t="s">
        <v>4844</v>
      </c>
      <c r="B9613" t="s">
        <v>4845</v>
      </c>
      <c r="C9613">
        <v>0</v>
      </c>
    </row>
    <row r="9614" spans="1:3" x14ac:dyDescent="0.25">
      <c r="A9614" s="48" t="s">
        <v>4830</v>
      </c>
      <c r="B9614" t="s">
        <v>4831</v>
      </c>
      <c r="C9614">
        <v>6</v>
      </c>
    </row>
    <row r="9615" spans="1:3" x14ac:dyDescent="0.25">
      <c r="A9615" s="48" t="s">
        <v>13052</v>
      </c>
      <c r="B9615" t="s">
        <v>13053</v>
      </c>
      <c r="C9615">
        <v>0</v>
      </c>
    </row>
    <row r="9616" spans="1:3" x14ac:dyDescent="0.25">
      <c r="A9616" s="48" t="s">
        <v>2316</v>
      </c>
      <c r="B9616" t="s">
        <v>2317</v>
      </c>
      <c r="C9616">
        <v>0</v>
      </c>
    </row>
    <row r="9617" spans="1:3" x14ac:dyDescent="0.25">
      <c r="A9617" s="48" t="s">
        <v>2318</v>
      </c>
      <c r="B9617" t="s">
        <v>2319</v>
      </c>
      <c r="C9617">
        <v>0</v>
      </c>
    </row>
    <row r="9618" spans="1:3" x14ac:dyDescent="0.25">
      <c r="A9618" s="48" t="s">
        <v>2320</v>
      </c>
      <c r="B9618" t="s">
        <v>2321</v>
      </c>
      <c r="C9618">
        <v>1</v>
      </c>
    </row>
    <row r="9619" spans="1:3" x14ac:dyDescent="0.25">
      <c r="A9619" s="48" t="s">
        <v>2322</v>
      </c>
      <c r="B9619" t="s">
        <v>2323</v>
      </c>
      <c r="C9619">
        <v>6</v>
      </c>
    </row>
    <row r="9620" spans="1:3" x14ac:dyDescent="0.25">
      <c r="A9620" s="48" t="s">
        <v>2324</v>
      </c>
      <c r="B9620" t="s">
        <v>2325</v>
      </c>
      <c r="C9620">
        <v>2</v>
      </c>
    </row>
    <row r="9621" spans="1:3" x14ac:dyDescent="0.25">
      <c r="A9621" s="48" t="s">
        <v>2394</v>
      </c>
      <c r="B9621" t="s">
        <v>2395</v>
      </c>
      <c r="C9621">
        <v>0</v>
      </c>
    </row>
    <row r="9622" spans="1:3" x14ac:dyDescent="0.25">
      <c r="A9622" s="48" t="s">
        <v>2422</v>
      </c>
      <c r="B9622" t="s">
        <v>2423</v>
      </c>
      <c r="C9622">
        <v>0</v>
      </c>
    </row>
    <row r="9623" spans="1:3" x14ac:dyDescent="0.25">
      <c r="A9623" s="48" t="s">
        <v>2424</v>
      </c>
      <c r="B9623" t="s">
        <v>2425</v>
      </c>
      <c r="C9623">
        <v>5</v>
      </c>
    </row>
    <row r="9624" spans="1:3" x14ac:dyDescent="0.25">
      <c r="A9624" s="48" t="s">
        <v>2426</v>
      </c>
      <c r="B9624" t="s">
        <v>2427</v>
      </c>
      <c r="C9624">
        <v>0</v>
      </c>
    </row>
    <row r="9625" spans="1:3" x14ac:dyDescent="0.25">
      <c r="A9625" s="48" t="s">
        <v>2294</v>
      </c>
      <c r="B9625" t="s">
        <v>2295</v>
      </c>
      <c r="C9625">
        <v>15</v>
      </c>
    </row>
    <row r="9626" spans="1:3" x14ac:dyDescent="0.25">
      <c r="A9626" s="48" t="s">
        <v>2296</v>
      </c>
      <c r="B9626" t="s">
        <v>2297</v>
      </c>
      <c r="C9626">
        <v>0</v>
      </c>
    </row>
    <row r="9627" spans="1:3" x14ac:dyDescent="0.25">
      <c r="A9627" s="48" t="s">
        <v>2298</v>
      </c>
      <c r="B9627" t="s">
        <v>2299</v>
      </c>
      <c r="C9627">
        <v>0</v>
      </c>
    </row>
    <row r="9628" spans="1:3" x14ac:dyDescent="0.25">
      <c r="A9628" s="48" t="s">
        <v>2358</v>
      </c>
      <c r="B9628" t="s">
        <v>2359</v>
      </c>
      <c r="C9628">
        <v>1</v>
      </c>
    </row>
    <row r="9629" spans="1:3" x14ac:dyDescent="0.25">
      <c r="A9629" s="48" t="s">
        <v>2300</v>
      </c>
      <c r="B9629" t="s">
        <v>2301</v>
      </c>
      <c r="C9629">
        <v>5</v>
      </c>
    </row>
    <row r="9630" spans="1:3" x14ac:dyDescent="0.25">
      <c r="A9630" s="48" t="s">
        <v>2302</v>
      </c>
      <c r="B9630" t="s">
        <v>2303</v>
      </c>
      <c r="C9630">
        <v>37</v>
      </c>
    </row>
    <row r="9631" spans="1:3" x14ac:dyDescent="0.25">
      <c r="A9631" s="48" t="s">
        <v>2304</v>
      </c>
      <c r="B9631" t="s">
        <v>2305</v>
      </c>
      <c r="C9631">
        <v>10</v>
      </c>
    </row>
    <row r="9632" spans="1:3" x14ac:dyDescent="0.25">
      <c r="A9632" s="48" t="s">
        <v>2306</v>
      </c>
      <c r="B9632" t="s">
        <v>2307</v>
      </c>
      <c r="C9632">
        <v>26</v>
      </c>
    </row>
    <row r="9633" spans="1:3" x14ac:dyDescent="0.25">
      <c r="A9633" s="48" t="s">
        <v>2308</v>
      </c>
      <c r="B9633" t="s">
        <v>2309</v>
      </c>
      <c r="C9633">
        <v>1</v>
      </c>
    </row>
    <row r="9634" spans="1:3" x14ac:dyDescent="0.25">
      <c r="A9634" s="48" t="s">
        <v>2310</v>
      </c>
      <c r="B9634" t="s">
        <v>2311</v>
      </c>
      <c r="C9634">
        <v>26</v>
      </c>
    </row>
    <row r="9635" spans="1:3" x14ac:dyDescent="0.25">
      <c r="A9635" s="48" t="s">
        <v>2312</v>
      </c>
      <c r="B9635" t="s">
        <v>2313</v>
      </c>
      <c r="C9635">
        <v>10</v>
      </c>
    </row>
    <row r="9636" spans="1:3" x14ac:dyDescent="0.25">
      <c r="A9636" s="48" t="s">
        <v>2314</v>
      </c>
      <c r="B9636" t="s">
        <v>2315</v>
      </c>
      <c r="C9636">
        <v>0</v>
      </c>
    </row>
    <row r="9637" spans="1:3" x14ac:dyDescent="0.25">
      <c r="A9637" s="48" t="s">
        <v>2326</v>
      </c>
      <c r="B9637" t="s">
        <v>2327</v>
      </c>
      <c r="C9637">
        <v>2</v>
      </c>
    </row>
    <row r="9638" spans="1:3" x14ac:dyDescent="0.25">
      <c r="A9638" s="48" t="s">
        <v>2328</v>
      </c>
      <c r="B9638" t="s">
        <v>2329</v>
      </c>
      <c r="C9638">
        <v>0</v>
      </c>
    </row>
    <row r="9639" spans="1:3" x14ac:dyDescent="0.25">
      <c r="A9639" s="48" t="s">
        <v>2330</v>
      </c>
      <c r="B9639" t="s">
        <v>2331</v>
      </c>
      <c r="C9639">
        <v>0</v>
      </c>
    </row>
    <row r="9640" spans="1:3" x14ac:dyDescent="0.25">
      <c r="A9640" s="48" t="s">
        <v>2332</v>
      </c>
      <c r="B9640" t="s">
        <v>2333</v>
      </c>
      <c r="C9640">
        <v>17</v>
      </c>
    </row>
    <row r="9641" spans="1:3" x14ac:dyDescent="0.25">
      <c r="A9641" s="48" t="s">
        <v>2334</v>
      </c>
      <c r="B9641" t="s">
        <v>2335</v>
      </c>
      <c r="C9641">
        <v>21</v>
      </c>
    </row>
    <row r="9642" spans="1:3" x14ac:dyDescent="0.25">
      <c r="A9642" s="48" t="s">
        <v>2336</v>
      </c>
      <c r="B9642" t="s">
        <v>2337</v>
      </c>
      <c r="C9642">
        <v>18</v>
      </c>
    </row>
    <row r="9643" spans="1:3" x14ac:dyDescent="0.25">
      <c r="A9643" s="48" t="s">
        <v>2338</v>
      </c>
      <c r="B9643" t="s">
        <v>2339</v>
      </c>
      <c r="C9643">
        <v>0</v>
      </c>
    </row>
    <row r="9644" spans="1:3" x14ac:dyDescent="0.25">
      <c r="A9644" s="48" t="s">
        <v>2340</v>
      </c>
      <c r="B9644" t="s">
        <v>2341</v>
      </c>
      <c r="C9644">
        <v>1</v>
      </c>
    </row>
    <row r="9645" spans="1:3" x14ac:dyDescent="0.25">
      <c r="A9645" s="48" t="s">
        <v>2342</v>
      </c>
      <c r="B9645" t="s">
        <v>2343</v>
      </c>
      <c r="C9645">
        <v>14</v>
      </c>
    </row>
    <row r="9646" spans="1:3" x14ac:dyDescent="0.25">
      <c r="A9646" s="48" t="s">
        <v>2344</v>
      </c>
      <c r="B9646" t="s">
        <v>2345</v>
      </c>
      <c r="C9646">
        <v>7</v>
      </c>
    </row>
    <row r="9647" spans="1:3" x14ac:dyDescent="0.25">
      <c r="A9647" s="48" t="s">
        <v>2346</v>
      </c>
      <c r="B9647" t="s">
        <v>2347</v>
      </c>
      <c r="C9647">
        <v>20</v>
      </c>
    </row>
    <row r="9648" spans="1:3" x14ac:dyDescent="0.25">
      <c r="A9648" s="48" t="s">
        <v>2348</v>
      </c>
      <c r="B9648" t="s">
        <v>2349</v>
      </c>
      <c r="C9648">
        <v>27</v>
      </c>
    </row>
    <row r="9649" spans="1:3" x14ac:dyDescent="0.25">
      <c r="A9649" s="48" t="s">
        <v>2350</v>
      </c>
      <c r="B9649" t="s">
        <v>2351</v>
      </c>
      <c r="C9649">
        <v>0</v>
      </c>
    </row>
    <row r="9650" spans="1:3" x14ac:dyDescent="0.25">
      <c r="A9650" s="48" t="s">
        <v>2352</v>
      </c>
      <c r="B9650" t="s">
        <v>22336</v>
      </c>
      <c r="C9650">
        <v>0</v>
      </c>
    </row>
    <row r="9651" spans="1:3" x14ac:dyDescent="0.25">
      <c r="A9651" s="48" t="s">
        <v>2354</v>
      </c>
      <c r="B9651" t="s">
        <v>2355</v>
      </c>
      <c r="C9651">
        <v>0</v>
      </c>
    </row>
    <row r="9652" spans="1:3" x14ac:dyDescent="0.25">
      <c r="A9652" s="48" t="s">
        <v>15949</v>
      </c>
      <c r="B9652" t="s">
        <v>15950</v>
      </c>
      <c r="C9652">
        <v>8</v>
      </c>
    </row>
    <row r="9653" spans="1:3" x14ac:dyDescent="0.25">
      <c r="A9653" s="48" t="s">
        <v>2356</v>
      </c>
      <c r="B9653" t="s">
        <v>2357</v>
      </c>
      <c r="C9653">
        <v>5</v>
      </c>
    </row>
    <row r="9654" spans="1:3" x14ac:dyDescent="0.25">
      <c r="A9654" s="48" t="s">
        <v>2360</v>
      </c>
      <c r="B9654" t="s">
        <v>2361</v>
      </c>
      <c r="C9654">
        <v>9</v>
      </c>
    </row>
    <row r="9655" spans="1:3" x14ac:dyDescent="0.25">
      <c r="A9655" s="48" t="s">
        <v>2362</v>
      </c>
      <c r="B9655" t="s">
        <v>2363</v>
      </c>
      <c r="C9655">
        <v>11</v>
      </c>
    </row>
    <row r="9656" spans="1:3" x14ac:dyDescent="0.25">
      <c r="A9656" s="48" t="s">
        <v>2364</v>
      </c>
      <c r="B9656" t="s">
        <v>2365</v>
      </c>
      <c r="C9656">
        <v>6</v>
      </c>
    </row>
    <row r="9657" spans="1:3" x14ac:dyDescent="0.25">
      <c r="A9657" s="48" t="s">
        <v>2366</v>
      </c>
      <c r="B9657" t="s">
        <v>2367</v>
      </c>
      <c r="C9657">
        <v>9</v>
      </c>
    </row>
    <row r="9658" spans="1:3" x14ac:dyDescent="0.25">
      <c r="A9658" s="48" t="s">
        <v>2368</v>
      </c>
      <c r="B9658" t="s">
        <v>2369</v>
      </c>
      <c r="C9658">
        <v>0</v>
      </c>
    </row>
    <row r="9659" spans="1:3" x14ac:dyDescent="0.25">
      <c r="A9659" s="48" t="s">
        <v>2370</v>
      </c>
      <c r="B9659" t="s">
        <v>2371</v>
      </c>
      <c r="C9659">
        <v>2</v>
      </c>
    </row>
    <row r="9660" spans="1:3" x14ac:dyDescent="0.25">
      <c r="A9660" s="48" t="s">
        <v>2372</v>
      </c>
      <c r="B9660" t="s">
        <v>2373</v>
      </c>
      <c r="C9660">
        <v>0</v>
      </c>
    </row>
    <row r="9661" spans="1:3" x14ac:dyDescent="0.25">
      <c r="A9661" s="48" t="s">
        <v>2376</v>
      </c>
      <c r="B9661" t="s">
        <v>2377</v>
      </c>
      <c r="C9661">
        <v>3</v>
      </c>
    </row>
    <row r="9662" spans="1:3" x14ac:dyDescent="0.25">
      <c r="A9662" s="48" t="s">
        <v>2378</v>
      </c>
      <c r="B9662" t="s">
        <v>2379</v>
      </c>
      <c r="C9662">
        <v>0</v>
      </c>
    </row>
    <row r="9663" spans="1:3" x14ac:dyDescent="0.25">
      <c r="A9663" s="48" t="s">
        <v>2380</v>
      </c>
      <c r="B9663" t="s">
        <v>2381</v>
      </c>
      <c r="C9663">
        <v>0</v>
      </c>
    </row>
    <row r="9664" spans="1:3" x14ac:dyDescent="0.25">
      <c r="A9664" s="48" t="s">
        <v>2392</v>
      </c>
      <c r="B9664" t="s">
        <v>2393</v>
      </c>
      <c r="C9664">
        <v>0</v>
      </c>
    </row>
    <row r="9665" spans="1:3" x14ac:dyDescent="0.25">
      <c r="A9665" s="48" t="s">
        <v>2398</v>
      </c>
      <c r="B9665" t="s">
        <v>2399</v>
      </c>
      <c r="C9665">
        <v>8</v>
      </c>
    </row>
    <row r="9666" spans="1:3" x14ac:dyDescent="0.25">
      <c r="A9666" s="48" t="s">
        <v>2400</v>
      </c>
      <c r="B9666" t="s">
        <v>2401</v>
      </c>
      <c r="C9666">
        <v>8</v>
      </c>
    </row>
    <row r="9667" spans="1:3" x14ac:dyDescent="0.25">
      <c r="A9667" s="48" t="s">
        <v>2402</v>
      </c>
      <c r="B9667" t="s">
        <v>2403</v>
      </c>
      <c r="C9667">
        <v>4</v>
      </c>
    </row>
    <row r="9668" spans="1:3" x14ac:dyDescent="0.25">
      <c r="A9668" s="48" t="s">
        <v>2406</v>
      </c>
      <c r="B9668" t="s">
        <v>2407</v>
      </c>
      <c r="C9668">
        <v>9</v>
      </c>
    </row>
    <row r="9669" spans="1:3" x14ac:dyDescent="0.25">
      <c r="A9669" s="48" t="s">
        <v>15080</v>
      </c>
      <c r="B9669" t="s">
        <v>15081</v>
      </c>
      <c r="C9669">
        <v>4</v>
      </c>
    </row>
    <row r="9670" spans="1:3" x14ac:dyDescent="0.25">
      <c r="A9670" s="48" t="s">
        <v>2416</v>
      </c>
      <c r="B9670" t="s">
        <v>2417</v>
      </c>
      <c r="C9670">
        <v>7</v>
      </c>
    </row>
    <row r="9671" spans="1:3" x14ac:dyDescent="0.25">
      <c r="A9671" s="48" t="s">
        <v>2418</v>
      </c>
      <c r="B9671" t="s">
        <v>2419</v>
      </c>
      <c r="C9671">
        <v>0</v>
      </c>
    </row>
    <row r="9672" spans="1:3" x14ac:dyDescent="0.25">
      <c r="A9672" s="48" t="s">
        <v>2420</v>
      </c>
      <c r="B9672" t="s">
        <v>2421</v>
      </c>
      <c r="C9672">
        <v>1</v>
      </c>
    </row>
    <row r="9673" spans="1:3" x14ac:dyDescent="0.25">
      <c r="A9673" s="48" t="s">
        <v>2428</v>
      </c>
      <c r="B9673" t="s">
        <v>2429</v>
      </c>
      <c r="C9673">
        <v>0</v>
      </c>
    </row>
    <row r="9674" spans="1:3" x14ac:dyDescent="0.25">
      <c r="A9674" s="48" t="s">
        <v>2430</v>
      </c>
      <c r="B9674" t="s">
        <v>2431</v>
      </c>
      <c r="C9674">
        <v>0</v>
      </c>
    </row>
    <row r="9675" spans="1:3" x14ac:dyDescent="0.25">
      <c r="A9675" s="48" t="s">
        <v>2432</v>
      </c>
      <c r="B9675" t="s">
        <v>2433</v>
      </c>
      <c r="C9675">
        <v>1</v>
      </c>
    </row>
    <row r="9676" spans="1:3" x14ac:dyDescent="0.25">
      <c r="A9676" s="48" t="s">
        <v>2434</v>
      </c>
      <c r="B9676" t="s">
        <v>2435</v>
      </c>
      <c r="C9676">
        <v>2</v>
      </c>
    </row>
    <row r="9677" spans="1:3" x14ac:dyDescent="0.25">
      <c r="A9677" s="48" t="s">
        <v>2436</v>
      </c>
      <c r="B9677" t="s">
        <v>2437</v>
      </c>
      <c r="C9677">
        <v>2</v>
      </c>
    </row>
    <row r="9678" spans="1:3" x14ac:dyDescent="0.25">
      <c r="A9678" s="48" t="s">
        <v>2438</v>
      </c>
      <c r="B9678" t="s">
        <v>2439</v>
      </c>
      <c r="C9678">
        <v>0</v>
      </c>
    </row>
    <row r="9679" spans="1:3" x14ac:dyDescent="0.25">
      <c r="A9679" s="48" t="s">
        <v>2440</v>
      </c>
      <c r="B9679" t="s">
        <v>2441</v>
      </c>
      <c r="C9679">
        <v>12</v>
      </c>
    </row>
    <row r="9680" spans="1:3" x14ac:dyDescent="0.25">
      <c r="A9680" s="48" t="s">
        <v>2442</v>
      </c>
      <c r="B9680" t="s">
        <v>2443</v>
      </c>
      <c r="C9680">
        <v>0</v>
      </c>
    </row>
    <row r="9681" spans="1:3" x14ac:dyDescent="0.25">
      <c r="A9681" s="48" t="s">
        <v>2444</v>
      </c>
      <c r="B9681" t="s">
        <v>2445</v>
      </c>
      <c r="C9681">
        <v>3</v>
      </c>
    </row>
    <row r="9682" spans="1:3" x14ac:dyDescent="0.25">
      <c r="A9682" s="48" t="s">
        <v>2446</v>
      </c>
      <c r="B9682" t="s">
        <v>2447</v>
      </c>
      <c r="C9682">
        <v>0</v>
      </c>
    </row>
    <row r="9683" spans="1:3" x14ac:dyDescent="0.25">
      <c r="A9683" s="48" t="s">
        <v>2448</v>
      </c>
      <c r="B9683" t="s">
        <v>2449</v>
      </c>
      <c r="C9683">
        <v>0</v>
      </c>
    </row>
    <row r="9684" spans="1:3" x14ac:dyDescent="0.25">
      <c r="A9684" s="48" t="s">
        <v>2452</v>
      </c>
      <c r="B9684" t="s">
        <v>2453</v>
      </c>
      <c r="C9684">
        <v>12</v>
      </c>
    </row>
    <row r="9685" spans="1:3" x14ac:dyDescent="0.25">
      <c r="A9685" s="48" t="s">
        <v>2454</v>
      </c>
      <c r="B9685" t="s">
        <v>2455</v>
      </c>
      <c r="C9685">
        <v>7</v>
      </c>
    </row>
    <row r="9686" spans="1:3" x14ac:dyDescent="0.25">
      <c r="A9686" s="48" t="s">
        <v>2456</v>
      </c>
      <c r="B9686" t="s">
        <v>2457</v>
      </c>
      <c r="C9686">
        <v>8</v>
      </c>
    </row>
    <row r="9687" spans="1:3" x14ac:dyDescent="0.25">
      <c r="A9687" s="48" t="s">
        <v>2458</v>
      </c>
      <c r="B9687" t="s">
        <v>2459</v>
      </c>
      <c r="C9687">
        <v>11</v>
      </c>
    </row>
    <row r="9688" spans="1:3" x14ac:dyDescent="0.25">
      <c r="A9688" s="48" t="s">
        <v>2460</v>
      </c>
      <c r="B9688" t="s">
        <v>2461</v>
      </c>
      <c r="C9688">
        <v>0</v>
      </c>
    </row>
    <row r="9689" spans="1:3" x14ac:dyDescent="0.25">
      <c r="A9689" s="48" t="s">
        <v>2462</v>
      </c>
      <c r="B9689" t="s">
        <v>2463</v>
      </c>
      <c r="C9689">
        <v>24</v>
      </c>
    </row>
    <row r="9690" spans="1:3" x14ac:dyDescent="0.25">
      <c r="A9690" s="48" t="s">
        <v>2464</v>
      </c>
      <c r="B9690" t="s">
        <v>2465</v>
      </c>
      <c r="C9690">
        <v>0</v>
      </c>
    </row>
    <row r="9691" spans="1:3" x14ac:dyDescent="0.25">
      <c r="A9691" s="48" t="s">
        <v>2466</v>
      </c>
      <c r="B9691" t="s">
        <v>2467</v>
      </c>
      <c r="C9691">
        <v>8</v>
      </c>
    </row>
    <row r="9692" spans="1:3" x14ac:dyDescent="0.25">
      <c r="A9692" s="48" t="s">
        <v>2468</v>
      </c>
      <c r="B9692" t="s">
        <v>2469</v>
      </c>
      <c r="C9692">
        <v>5</v>
      </c>
    </row>
    <row r="9693" spans="1:3" x14ac:dyDescent="0.25">
      <c r="A9693" s="48" t="s">
        <v>2470</v>
      </c>
      <c r="B9693" t="s">
        <v>2471</v>
      </c>
      <c r="C9693">
        <v>13</v>
      </c>
    </row>
    <row r="9694" spans="1:3" x14ac:dyDescent="0.25">
      <c r="A9694" s="48" t="s">
        <v>2472</v>
      </c>
      <c r="B9694" t="s">
        <v>2473</v>
      </c>
      <c r="C9694">
        <v>0</v>
      </c>
    </row>
    <row r="9695" spans="1:3" x14ac:dyDescent="0.25">
      <c r="A9695" s="48" t="s">
        <v>2474</v>
      </c>
      <c r="B9695" t="s">
        <v>2475</v>
      </c>
      <c r="C9695">
        <v>6</v>
      </c>
    </row>
    <row r="9696" spans="1:3" x14ac:dyDescent="0.25">
      <c r="A9696" s="48" t="s">
        <v>12447</v>
      </c>
      <c r="B9696" t="s">
        <v>12448</v>
      </c>
      <c r="C9696">
        <v>0</v>
      </c>
    </row>
    <row r="9697" spans="1:3" x14ac:dyDescent="0.25">
      <c r="A9697" s="48" t="s">
        <v>2476</v>
      </c>
      <c r="B9697" t="s">
        <v>2477</v>
      </c>
      <c r="C9697">
        <v>0</v>
      </c>
    </row>
    <row r="9698" spans="1:3" x14ac:dyDescent="0.25">
      <c r="A9698" s="48" t="s">
        <v>2478</v>
      </c>
      <c r="B9698" t="s">
        <v>2479</v>
      </c>
      <c r="C9698">
        <v>0</v>
      </c>
    </row>
    <row r="9699" spans="1:3" x14ac:dyDescent="0.25">
      <c r="A9699" s="48" t="s">
        <v>2480</v>
      </c>
      <c r="B9699" t="s">
        <v>2481</v>
      </c>
      <c r="C9699">
        <v>10</v>
      </c>
    </row>
    <row r="9700" spans="1:3" x14ac:dyDescent="0.25">
      <c r="A9700" s="48" t="s">
        <v>2482</v>
      </c>
      <c r="B9700" t="s">
        <v>2483</v>
      </c>
      <c r="C9700">
        <v>0</v>
      </c>
    </row>
    <row r="9701" spans="1:3" x14ac:dyDescent="0.25">
      <c r="A9701" s="48" t="s">
        <v>2484</v>
      </c>
      <c r="B9701" t="s">
        <v>2485</v>
      </c>
      <c r="C9701">
        <v>21</v>
      </c>
    </row>
    <row r="9702" spans="1:3" x14ac:dyDescent="0.25">
      <c r="A9702" s="48" t="s">
        <v>2488</v>
      </c>
      <c r="B9702" t="s">
        <v>2489</v>
      </c>
      <c r="C9702">
        <v>11</v>
      </c>
    </row>
    <row r="9703" spans="1:3" x14ac:dyDescent="0.25">
      <c r="A9703" s="48" t="s">
        <v>2490</v>
      </c>
      <c r="B9703" t="s">
        <v>2491</v>
      </c>
      <c r="C9703">
        <v>12</v>
      </c>
    </row>
    <row r="9704" spans="1:3" x14ac:dyDescent="0.25">
      <c r="A9704" s="48" t="s">
        <v>2492</v>
      </c>
      <c r="B9704" t="s">
        <v>2493</v>
      </c>
      <c r="C9704">
        <v>19</v>
      </c>
    </row>
    <row r="9705" spans="1:3" x14ac:dyDescent="0.25">
      <c r="A9705" s="48" t="s">
        <v>2494</v>
      </c>
      <c r="B9705" t="s">
        <v>2495</v>
      </c>
      <c r="C9705">
        <v>24</v>
      </c>
    </row>
    <row r="9706" spans="1:3" x14ac:dyDescent="0.25">
      <c r="A9706" s="48" t="s">
        <v>2496</v>
      </c>
      <c r="B9706" t="s">
        <v>2497</v>
      </c>
      <c r="C9706">
        <v>0</v>
      </c>
    </row>
    <row r="9707" spans="1:3" x14ac:dyDescent="0.25">
      <c r="A9707" s="48" t="s">
        <v>2498</v>
      </c>
      <c r="B9707" t="s">
        <v>2499</v>
      </c>
      <c r="C9707">
        <v>5</v>
      </c>
    </row>
    <row r="9708" spans="1:3" x14ac:dyDescent="0.25">
      <c r="A9708" s="48" t="s">
        <v>16141</v>
      </c>
      <c r="B9708" t="s">
        <v>16142</v>
      </c>
      <c r="C9708">
        <v>10</v>
      </c>
    </row>
    <row r="9709" spans="1:3" x14ac:dyDescent="0.25">
      <c r="A9709" s="48" t="s">
        <v>16143</v>
      </c>
      <c r="B9709" t="s">
        <v>16144</v>
      </c>
      <c r="C9709">
        <v>8</v>
      </c>
    </row>
    <row r="9710" spans="1:3" x14ac:dyDescent="0.25">
      <c r="A9710" s="48" t="s">
        <v>2500</v>
      </c>
      <c r="B9710" t="s">
        <v>2501</v>
      </c>
      <c r="C9710">
        <v>5</v>
      </c>
    </row>
    <row r="9711" spans="1:3" x14ac:dyDescent="0.25">
      <c r="A9711" s="48" t="s">
        <v>2512</v>
      </c>
      <c r="B9711" t="s">
        <v>2513</v>
      </c>
      <c r="C9711">
        <v>0</v>
      </c>
    </row>
    <row r="9712" spans="1:3" x14ac:dyDescent="0.25">
      <c r="A9712" s="48" t="s">
        <v>6175</v>
      </c>
      <c r="B9712" t="s">
        <v>22337</v>
      </c>
      <c r="C9712">
        <v>0</v>
      </c>
    </row>
    <row r="9713" spans="1:3" x14ac:dyDescent="0.25">
      <c r="A9713" s="48" t="s">
        <v>2560</v>
      </c>
      <c r="B9713" t="s">
        <v>2561</v>
      </c>
      <c r="C9713">
        <v>0</v>
      </c>
    </row>
    <row r="9714" spans="1:3" x14ac:dyDescent="0.25">
      <c r="A9714" s="48" t="s">
        <v>2564</v>
      </c>
      <c r="B9714" t="s">
        <v>2565</v>
      </c>
      <c r="C9714">
        <v>1</v>
      </c>
    </row>
    <row r="9715" spans="1:3" x14ac:dyDescent="0.25">
      <c r="A9715" s="48" t="s">
        <v>2562</v>
      </c>
      <c r="B9715" t="s">
        <v>2563</v>
      </c>
      <c r="C9715">
        <v>0</v>
      </c>
    </row>
    <row r="9716" spans="1:3" x14ac:dyDescent="0.25">
      <c r="A9716" s="48" t="s">
        <v>2566</v>
      </c>
      <c r="B9716" t="s">
        <v>2567</v>
      </c>
      <c r="C9716">
        <v>0</v>
      </c>
    </row>
    <row r="9717" spans="1:3" x14ac:dyDescent="0.25">
      <c r="A9717" s="48" t="s">
        <v>2518</v>
      </c>
      <c r="B9717" t="s">
        <v>2519</v>
      </c>
      <c r="C9717">
        <v>4</v>
      </c>
    </row>
    <row r="9718" spans="1:3" x14ac:dyDescent="0.25">
      <c r="A9718" s="48" t="s">
        <v>4888</v>
      </c>
      <c r="B9718" t="s">
        <v>22338</v>
      </c>
      <c r="C9718">
        <v>1</v>
      </c>
    </row>
    <row r="9719" spans="1:3" x14ac:dyDescent="0.25">
      <c r="A9719" s="48" t="s">
        <v>2274</v>
      </c>
      <c r="B9719" t="s">
        <v>2275</v>
      </c>
      <c r="C9719">
        <v>3</v>
      </c>
    </row>
    <row r="9720" spans="1:3" x14ac:dyDescent="0.25">
      <c r="A9720" s="48" t="s">
        <v>2520</v>
      </c>
      <c r="B9720" t="s">
        <v>2521</v>
      </c>
      <c r="C9720">
        <v>0</v>
      </c>
    </row>
    <row r="9721" spans="1:3" x14ac:dyDescent="0.25">
      <c r="A9721" s="48" t="s">
        <v>2286</v>
      </c>
      <c r="B9721" t="s">
        <v>2287</v>
      </c>
      <c r="C9721">
        <v>5</v>
      </c>
    </row>
    <row r="9722" spans="1:3" x14ac:dyDescent="0.25">
      <c r="A9722" s="48" t="s">
        <v>2288</v>
      </c>
      <c r="B9722" t="s">
        <v>2289</v>
      </c>
      <c r="C9722">
        <v>6</v>
      </c>
    </row>
    <row r="9723" spans="1:3" x14ac:dyDescent="0.25">
      <c r="A9723" s="48" t="s">
        <v>2276</v>
      </c>
      <c r="B9723" t="s">
        <v>2277</v>
      </c>
      <c r="C9723">
        <v>5</v>
      </c>
    </row>
    <row r="9724" spans="1:3" x14ac:dyDescent="0.25">
      <c r="A9724" s="48" t="s">
        <v>2278</v>
      </c>
      <c r="B9724" t="s">
        <v>2279</v>
      </c>
      <c r="C9724">
        <v>5</v>
      </c>
    </row>
    <row r="9725" spans="1:3" x14ac:dyDescent="0.25">
      <c r="A9725" s="48" t="s">
        <v>2280</v>
      </c>
      <c r="B9725" t="s">
        <v>2281</v>
      </c>
      <c r="C9725">
        <v>5</v>
      </c>
    </row>
    <row r="9726" spans="1:3" x14ac:dyDescent="0.25">
      <c r="A9726" s="48" t="s">
        <v>2282</v>
      </c>
      <c r="B9726" t="s">
        <v>2283</v>
      </c>
      <c r="C9726">
        <v>9</v>
      </c>
    </row>
    <row r="9727" spans="1:3" x14ac:dyDescent="0.25">
      <c r="A9727" s="48" t="s">
        <v>2284</v>
      </c>
      <c r="B9727" t="s">
        <v>2285</v>
      </c>
      <c r="C9727">
        <v>3</v>
      </c>
    </row>
    <row r="9728" spans="1:3" x14ac:dyDescent="0.25">
      <c r="A9728" s="48" t="s">
        <v>8986</v>
      </c>
      <c r="B9728" t="s">
        <v>8987</v>
      </c>
      <c r="C9728">
        <v>0</v>
      </c>
    </row>
    <row r="9729" spans="1:3" x14ac:dyDescent="0.25">
      <c r="A9729" s="48" t="s">
        <v>17228</v>
      </c>
      <c r="B9729" t="s">
        <v>17229</v>
      </c>
      <c r="C9729">
        <v>0</v>
      </c>
    </row>
    <row r="9730" spans="1:3" x14ac:dyDescent="0.25">
      <c r="A9730" s="48" t="s">
        <v>17230</v>
      </c>
      <c r="B9730" t="s">
        <v>17231</v>
      </c>
      <c r="C9730">
        <v>0</v>
      </c>
    </row>
    <row r="9731" spans="1:3" x14ac:dyDescent="0.25">
      <c r="A9731" s="48" t="s">
        <v>17232</v>
      </c>
      <c r="B9731" t="s">
        <v>17233</v>
      </c>
      <c r="C9731">
        <v>0</v>
      </c>
    </row>
    <row r="9732" spans="1:3" x14ac:dyDescent="0.25">
      <c r="A9732" s="48" t="s">
        <v>2532</v>
      </c>
      <c r="B9732" t="s">
        <v>2533</v>
      </c>
      <c r="C9732">
        <v>5</v>
      </c>
    </row>
    <row r="9733" spans="1:3" x14ac:dyDescent="0.25">
      <c r="A9733" s="48" t="s">
        <v>2534</v>
      </c>
      <c r="B9733" t="s">
        <v>2535</v>
      </c>
      <c r="C9733">
        <v>9</v>
      </c>
    </row>
    <row r="9734" spans="1:3" x14ac:dyDescent="0.25">
      <c r="A9734" s="48" t="s">
        <v>2536</v>
      </c>
      <c r="B9734" t="s">
        <v>2537</v>
      </c>
      <c r="C9734">
        <v>14</v>
      </c>
    </row>
    <row r="9735" spans="1:3" x14ac:dyDescent="0.25">
      <c r="A9735" s="48" t="s">
        <v>2538</v>
      </c>
      <c r="B9735" t="s">
        <v>2539</v>
      </c>
      <c r="C9735">
        <v>12</v>
      </c>
    </row>
    <row r="9736" spans="1:3" x14ac:dyDescent="0.25">
      <c r="A9736" s="48" t="s">
        <v>2540</v>
      </c>
      <c r="B9736" t="s">
        <v>2541</v>
      </c>
      <c r="C9736">
        <v>0</v>
      </c>
    </row>
    <row r="9737" spans="1:3" x14ac:dyDescent="0.25">
      <c r="A9737" s="48" t="s">
        <v>2542</v>
      </c>
      <c r="B9737" t="s">
        <v>2543</v>
      </c>
      <c r="C9737">
        <v>18</v>
      </c>
    </row>
    <row r="9738" spans="1:3" x14ac:dyDescent="0.25">
      <c r="A9738" s="48" t="s">
        <v>2544</v>
      </c>
      <c r="B9738" t="s">
        <v>2545</v>
      </c>
      <c r="C9738">
        <v>8</v>
      </c>
    </row>
    <row r="9739" spans="1:3" x14ac:dyDescent="0.25">
      <c r="A9739" s="48" t="s">
        <v>2546</v>
      </c>
      <c r="B9739" t="s">
        <v>2547</v>
      </c>
      <c r="C9739">
        <v>0</v>
      </c>
    </row>
    <row r="9740" spans="1:3" x14ac:dyDescent="0.25">
      <c r="A9740" s="48" t="s">
        <v>18915</v>
      </c>
      <c r="B9740" t="s">
        <v>18916</v>
      </c>
      <c r="C9740">
        <v>5</v>
      </c>
    </row>
    <row r="9741" spans="1:3" x14ac:dyDescent="0.25">
      <c r="A9741" s="48" t="s">
        <v>18917</v>
      </c>
      <c r="B9741" t="s">
        <v>18918</v>
      </c>
      <c r="C9741">
        <v>0</v>
      </c>
    </row>
    <row r="9742" spans="1:3" x14ac:dyDescent="0.25">
      <c r="A9742" s="48" t="s">
        <v>5795</v>
      </c>
      <c r="B9742" t="s">
        <v>5796</v>
      </c>
      <c r="C9742">
        <v>0</v>
      </c>
    </row>
    <row r="9743" spans="1:3" x14ac:dyDescent="0.25">
      <c r="A9743" s="48" t="s">
        <v>5789</v>
      </c>
      <c r="B9743" t="s">
        <v>5790</v>
      </c>
      <c r="C9743">
        <v>0</v>
      </c>
    </row>
    <row r="9744" spans="1:3" x14ac:dyDescent="0.25">
      <c r="A9744" s="48" t="s">
        <v>5585</v>
      </c>
      <c r="B9744" t="s">
        <v>5586</v>
      </c>
      <c r="C9744">
        <v>13</v>
      </c>
    </row>
    <row r="9745" spans="1:3" x14ac:dyDescent="0.25">
      <c r="A9745" s="48" t="s">
        <v>5587</v>
      </c>
      <c r="B9745" t="s">
        <v>5588</v>
      </c>
      <c r="C9745">
        <v>7</v>
      </c>
    </row>
    <row r="9746" spans="1:3" x14ac:dyDescent="0.25">
      <c r="A9746" s="48" t="s">
        <v>2290</v>
      </c>
      <c r="B9746" t="s">
        <v>2291</v>
      </c>
      <c r="C9746">
        <v>0</v>
      </c>
    </row>
    <row r="9747" spans="1:3" x14ac:dyDescent="0.25">
      <c r="A9747" s="48" t="s">
        <v>5715</v>
      </c>
      <c r="B9747" t="s">
        <v>5716</v>
      </c>
      <c r="C9747">
        <v>14</v>
      </c>
    </row>
    <row r="9748" spans="1:3" x14ac:dyDescent="0.25">
      <c r="A9748" s="48" t="s">
        <v>5697</v>
      </c>
      <c r="B9748" t="s">
        <v>5698</v>
      </c>
      <c r="C9748">
        <v>0</v>
      </c>
    </row>
    <row r="9749" spans="1:3" x14ac:dyDescent="0.25">
      <c r="A9749" s="48" t="s">
        <v>5699</v>
      </c>
      <c r="B9749" t="s">
        <v>5700</v>
      </c>
      <c r="C9749">
        <v>0</v>
      </c>
    </row>
    <row r="9750" spans="1:3" x14ac:dyDescent="0.25">
      <c r="A9750" s="48" t="s">
        <v>5691</v>
      </c>
      <c r="B9750" t="s">
        <v>5692</v>
      </c>
      <c r="C9750">
        <v>6</v>
      </c>
    </row>
    <row r="9751" spans="1:3" x14ac:dyDescent="0.25">
      <c r="A9751" s="48" t="s">
        <v>5693</v>
      </c>
      <c r="B9751" t="s">
        <v>5694</v>
      </c>
      <c r="C9751">
        <v>4</v>
      </c>
    </row>
    <row r="9752" spans="1:3" x14ac:dyDescent="0.25">
      <c r="A9752" s="48" t="s">
        <v>5695</v>
      </c>
      <c r="B9752" t="s">
        <v>5696</v>
      </c>
      <c r="C9752">
        <v>0</v>
      </c>
    </row>
    <row r="9753" spans="1:3" x14ac:dyDescent="0.25">
      <c r="A9753" s="48" t="s">
        <v>5663</v>
      </c>
      <c r="B9753" t="s">
        <v>5664</v>
      </c>
      <c r="C9753">
        <v>0</v>
      </c>
    </row>
    <row r="9754" spans="1:3" x14ac:dyDescent="0.25">
      <c r="A9754" s="48" t="s">
        <v>7861</v>
      </c>
      <c r="B9754" t="s">
        <v>22339</v>
      </c>
      <c r="C9754">
        <v>4</v>
      </c>
    </row>
    <row r="9755" spans="1:3" x14ac:dyDescent="0.25">
      <c r="A9755" s="48" t="s">
        <v>12111</v>
      </c>
      <c r="B9755" t="s">
        <v>12112</v>
      </c>
      <c r="C9755">
        <v>53</v>
      </c>
    </row>
    <row r="9756" spans="1:3" x14ac:dyDescent="0.25">
      <c r="A9756" s="48" t="s">
        <v>57</v>
      </c>
      <c r="B9756" t="s">
        <v>58</v>
      </c>
      <c r="C9756">
        <v>139</v>
      </c>
    </row>
    <row r="9757" spans="1:3" x14ac:dyDescent="0.25">
      <c r="A9757" s="48" t="s">
        <v>5457</v>
      </c>
      <c r="B9757" t="s">
        <v>22340</v>
      </c>
      <c r="C9757">
        <v>8</v>
      </c>
    </row>
    <row r="9758" spans="1:3" x14ac:dyDescent="0.25">
      <c r="A9758" s="48" t="s">
        <v>12931</v>
      </c>
      <c r="B9758" t="s">
        <v>12932</v>
      </c>
      <c r="C9758">
        <v>104</v>
      </c>
    </row>
    <row r="9759" spans="1:3" x14ac:dyDescent="0.25">
      <c r="A9759" s="48" t="s">
        <v>1655</v>
      </c>
      <c r="B9759" t="s">
        <v>1656</v>
      </c>
      <c r="C9759">
        <v>62</v>
      </c>
    </row>
    <row r="9760" spans="1:3" x14ac:dyDescent="0.25">
      <c r="A9760" s="48" t="s">
        <v>10147</v>
      </c>
      <c r="B9760" t="s">
        <v>10148</v>
      </c>
      <c r="C9760">
        <v>0</v>
      </c>
    </row>
    <row r="9761" spans="1:3" x14ac:dyDescent="0.25">
      <c r="A9761" s="48" t="s">
        <v>10153</v>
      </c>
      <c r="B9761" t="s">
        <v>10154</v>
      </c>
      <c r="C9761">
        <v>0</v>
      </c>
    </row>
    <row r="9762" spans="1:3" x14ac:dyDescent="0.25">
      <c r="A9762" s="48" t="s">
        <v>10159</v>
      </c>
      <c r="B9762" t="s">
        <v>10160</v>
      </c>
      <c r="C9762">
        <v>0</v>
      </c>
    </row>
    <row r="9763" spans="1:3" x14ac:dyDescent="0.25">
      <c r="A9763" s="48" t="s">
        <v>10151</v>
      </c>
      <c r="B9763" t="s">
        <v>10152</v>
      </c>
      <c r="C9763">
        <v>0</v>
      </c>
    </row>
    <row r="9764" spans="1:3" x14ac:dyDescent="0.25">
      <c r="A9764" s="48" t="s">
        <v>10157</v>
      </c>
      <c r="B9764" t="s">
        <v>10158</v>
      </c>
      <c r="C9764">
        <v>0</v>
      </c>
    </row>
    <row r="9765" spans="1:3" x14ac:dyDescent="0.25">
      <c r="A9765" s="48" t="s">
        <v>10139</v>
      </c>
      <c r="B9765" t="s">
        <v>10140</v>
      </c>
      <c r="C9765">
        <v>1</v>
      </c>
    </row>
    <row r="9766" spans="1:3" x14ac:dyDescent="0.25">
      <c r="A9766" s="48" t="s">
        <v>10141</v>
      </c>
      <c r="B9766" t="s">
        <v>10142</v>
      </c>
      <c r="C9766">
        <v>0</v>
      </c>
    </row>
    <row r="9767" spans="1:3" x14ac:dyDescent="0.25">
      <c r="A9767" s="48" t="s">
        <v>10143</v>
      </c>
      <c r="B9767" t="s">
        <v>10144</v>
      </c>
      <c r="C9767">
        <v>0</v>
      </c>
    </row>
    <row r="9768" spans="1:3" x14ac:dyDescent="0.25">
      <c r="A9768" s="48" t="s">
        <v>10145</v>
      </c>
      <c r="B9768" t="s">
        <v>10146</v>
      </c>
      <c r="C9768">
        <v>0</v>
      </c>
    </row>
    <row r="9769" spans="1:3" x14ac:dyDescent="0.25">
      <c r="A9769" s="48" t="s">
        <v>10149</v>
      </c>
      <c r="B9769" t="s">
        <v>10150</v>
      </c>
      <c r="C9769">
        <v>0</v>
      </c>
    </row>
    <row r="9770" spans="1:3" x14ac:dyDescent="0.25">
      <c r="A9770" s="48" t="s">
        <v>10155</v>
      </c>
      <c r="B9770" t="s">
        <v>10156</v>
      </c>
      <c r="C9770">
        <v>1</v>
      </c>
    </row>
    <row r="9771" spans="1:3" x14ac:dyDescent="0.25">
      <c r="A9771" s="48" t="s">
        <v>10161</v>
      </c>
      <c r="B9771" t="s">
        <v>10162</v>
      </c>
      <c r="C9771">
        <v>0</v>
      </c>
    </row>
    <row r="9772" spans="1:3" x14ac:dyDescent="0.25">
      <c r="A9772" s="48" t="s">
        <v>11938</v>
      </c>
      <c r="B9772" t="s">
        <v>11939</v>
      </c>
      <c r="C9772">
        <v>2</v>
      </c>
    </row>
    <row r="9773" spans="1:3" x14ac:dyDescent="0.25">
      <c r="A9773" s="48" t="s">
        <v>12960</v>
      </c>
      <c r="B9773" t="s">
        <v>12961</v>
      </c>
      <c r="C9773">
        <v>8</v>
      </c>
    </row>
    <row r="9774" spans="1:3" x14ac:dyDescent="0.25">
      <c r="A9774" s="48" t="s">
        <v>13706</v>
      </c>
      <c r="B9774" t="s">
        <v>13707</v>
      </c>
      <c r="C9774">
        <v>0</v>
      </c>
    </row>
    <row r="9775" spans="1:3" x14ac:dyDescent="0.25">
      <c r="A9775" s="48" t="s">
        <v>787</v>
      </c>
      <c r="B9775" t="s">
        <v>788</v>
      </c>
      <c r="C9775">
        <v>24</v>
      </c>
    </row>
    <row r="9776" spans="1:3" x14ac:dyDescent="0.25">
      <c r="A9776" s="48" t="s">
        <v>135</v>
      </c>
      <c r="B9776" t="s">
        <v>136</v>
      </c>
      <c r="C9776">
        <v>28</v>
      </c>
    </row>
    <row r="9777" spans="1:3" x14ac:dyDescent="0.25">
      <c r="A9777" s="48" t="s">
        <v>5018</v>
      </c>
      <c r="B9777" t="s">
        <v>5019</v>
      </c>
      <c r="C9777">
        <v>21</v>
      </c>
    </row>
    <row r="9778" spans="1:3" x14ac:dyDescent="0.25">
      <c r="A9778" s="48" t="s">
        <v>5016</v>
      </c>
      <c r="B9778" t="s">
        <v>5017</v>
      </c>
      <c r="C9778">
        <v>52</v>
      </c>
    </row>
    <row r="9779" spans="1:3" x14ac:dyDescent="0.25">
      <c r="A9779" s="48" t="s">
        <v>249</v>
      </c>
      <c r="B9779" t="s">
        <v>250</v>
      </c>
      <c r="C9779">
        <v>233</v>
      </c>
    </row>
    <row r="9780" spans="1:3" x14ac:dyDescent="0.25">
      <c r="A9780" s="48" t="s">
        <v>571</v>
      </c>
      <c r="B9780" t="s">
        <v>572</v>
      </c>
      <c r="C9780">
        <v>201</v>
      </c>
    </row>
    <row r="9781" spans="1:3" x14ac:dyDescent="0.25">
      <c r="A9781" s="48" t="s">
        <v>1495</v>
      </c>
      <c r="B9781" t="s">
        <v>1496</v>
      </c>
      <c r="C9781">
        <v>14</v>
      </c>
    </row>
    <row r="9782" spans="1:3" x14ac:dyDescent="0.25">
      <c r="A9782" s="48" t="s">
        <v>3359</v>
      </c>
      <c r="B9782" t="s">
        <v>3360</v>
      </c>
      <c r="C9782">
        <v>0</v>
      </c>
    </row>
    <row r="9783" spans="1:3" x14ac:dyDescent="0.25">
      <c r="A9783" s="48" t="s">
        <v>9380</v>
      </c>
      <c r="B9783" t="s">
        <v>9381</v>
      </c>
      <c r="C9783">
        <v>6</v>
      </c>
    </row>
    <row r="9784" spans="1:3" x14ac:dyDescent="0.25">
      <c r="A9784" s="48" t="s">
        <v>19758</v>
      </c>
      <c r="B9784" t="s">
        <v>19759</v>
      </c>
      <c r="C9784">
        <v>49</v>
      </c>
    </row>
    <row r="9785" spans="1:3" x14ac:dyDescent="0.25">
      <c r="A9785" s="48" t="s">
        <v>1155</v>
      </c>
      <c r="B9785" t="s">
        <v>1156</v>
      </c>
      <c r="C9785">
        <v>12</v>
      </c>
    </row>
    <row r="9786" spans="1:3" x14ac:dyDescent="0.25">
      <c r="A9786" s="48" t="s">
        <v>15953</v>
      </c>
      <c r="B9786" t="s">
        <v>15954</v>
      </c>
      <c r="C9786">
        <v>0</v>
      </c>
    </row>
    <row r="9787" spans="1:3" x14ac:dyDescent="0.25">
      <c r="A9787" s="48" t="s">
        <v>15959</v>
      </c>
      <c r="B9787" t="s">
        <v>15960</v>
      </c>
      <c r="C9787">
        <v>0</v>
      </c>
    </row>
    <row r="9788" spans="1:3" x14ac:dyDescent="0.25">
      <c r="A9788" s="48" t="s">
        <v>15951</v>
      </c>
      <c r="B9788" t="s">
        <v>15952</v>
      </c>
      <c r="C9788">
        <v>29</v>
      </c>
    </row>
    <row r="9789" spans="1:3" x14ac:dyDescent="0.25">
      <c r="A9789" s="48" t="s">
        <v>15957</v>
      </c>
      <c r="B9789" t="s">
        <v>15958</v>
      </c>
      <c r="C9789">
        <v>12</v>
      </c>
    </row>
    <row r="9790" spans="1:3" x14ac:dyDescent="0.25">
      <c r="A9790" s="48" t="s">
        <v>4752</v>
      </c>
      <c r="B9790" t="s">
        <v>4753</v>
      </c>
      <c r="C9790">
        <v>0</v>
      </c>
    </row>
    <row r="9791" spans="1:3" x14ac:dyDescent="0.25">
      <c r="A9791" s="48" t="s">
        <v>243</v>
      </c>
      <c r="B9791" t="s">
        <v>244</v>
      </c>
      <c r="C9791">
        <v>9</v>
      </c>
    </row>
    <row r="9792" spans="1:3" x14ac:dyDescent="0.25">
      <c r="A9792" s="48" t="s">
        <v>15982</v>
      </c>
      <c r="B9792" t="s">
        <v>15983</v>
      </c>
      <c r="C9792">
        <v>23</v>
      </c>
    </row>
    <row r="9793" spans="1:3" x14ac:dyDescent="0.25">
      <c r="A9793" s="48" t="s">
        <v>15969</v>
      </c>
      <c r="B9793" t="s">
        <v>15970</v>
      </c>
      <c r="C9793">
        <v>57</v>
      </c>
    </row>
    <row r="9794" spans="1:3" x14ac:dyDescent="0.25">
      <c r="A9794" s="48" t="s">
        <v>15990</v>
      </c>
      <c r="B9794" t="s">
        <v>15991</v>
      </c>
      <c r="C9794">
        <v>16</v>
      </c>
    </row>
    <row r="9795" spans="1:3" x14ac:dyDescent="0.25">
      <c r="A9795" s="48" t="s">
        <v>15971</v>
      </c>
      <c r="B9795" t="s">
        <v>15972</v>
      </c>
      <c r="C9795">
        <v>14</v>
      </c>
    </row>
    <row r="9796" spans="1:3" x14ac:dyDescent="0.25">
      <c r="A9796" s="48" t="s">
        <v>2568</v>
      </c>
      <c r="B9796" t="s">
        <v>2569</v>
      </c>
      <c r="C9796">
        <v>56</v>
      </c>
    </row>
    <row r="9797" spans="1:3" x14ac:dyDescent="0.25">
      <c r="A9797" s="48" t="s">
        <v>2570</v>
      </c>
      <c r="B9797" t="s">
        <v>22341</v>
      </c>
      <c r="C9797">
        <v>11</v>
      </c>
    </row>
    <row r="9798" spans="1:3" x14ac:dyDescent="0.25">
      <c r="A9798" s="48" t="s">
        <v>22929</v>
      </c>
      <c r="B9798" t="s">
        <v>22930</v>
      </c>
      <c r="C9798">
        <v>39</v>
      </c>
    </row>
    <row r="9799" spans="1:3" x14ac:dyDescent="0.25">
      <c r="A9799" s="48" t="s">
        <v>22931</v>
      </c>
      <c r="B9799" t="s">
        <v>22932</v>
      </c>
      <c r="C9799">
        <v>7</v>
      </c>
    </row>
    <row r="9800" spans="1:3" x14ac:dyDescent="0.25">
      <c r="A9800" s="48" t="s">
        <v>2594</v>
      </c>
      <c r="B9800" t="s">
        <v>2595</v>
      </c>
      <c r="C9800">
        <v>67</v>
      </c>
    </row>
    <row r="9801" spans="1:3" x14ac:dyDescent="0.25">
      <c r="A9801" s="48" t="s">
        <v>2596</v>
      </c>
      <c r="B9801" t="s">
        <v>22342</v>
      </c>
      <c r="C9801">
        <v>136</v>
      </c>
    </row>
    <row r="9802" spans="1:3" x14ac:dyDescent="0.25">
      <c r="A9802" s="48" t="s">
        <v>2574</v>
      </c>
      <c r="B9802" t="s">
        <v>2575</v>
      </c>
      <c r="C9802">
        <v>139</v>
      </c>
    </row>
    <row r="9803" spans="1:3" x14ac:dyDescent="0.25">
      <c r="A9803" s="48" t="s">
        <v>2582</v>
      </c>
      <c r="B9803" t="s">
        <v>2583</v>
      </c>
      <c r="C9803">
        <v>0</v>
      </c>
    </row>
    <row r="9804" spans="1:3" x14ac:dyDescent="0.25">
      <c r="A9804" s="48" t="s">
        <v>2588</v>
      </c>
      <c r="B9804" t="s">
        <v>2589</v>
      </c>
      <c r="C9804">
        <v>80</v>
      </c>
    </row>
    <row r="9805" spans="1:3" x14ac:dyDescent="0.25">
      <c r="A9805" s="48" t="s">
        <v>2584</v>
      </c>
      <c r="B9805" t="s">
        <v>2585</v>
      </c>
      <c r="C9805">
        <v>29</v>
      </c>
    </row>
    <row r="9806" spans="1:3" x14ac:dyDescent="0.25">
      <c r="A9806" s="48" t="s">
        <v>2586</v>
      </c>
      <c r="B9806" t="s">
        <v>22343</v>
      </c>
      <c r="C9806">
        <v>6</v>
      </c>
    </row>
    <row r="9807" spans="1:3" x14ac:dyDescent="0.25">
      <c r="A9807" s="48" t="s">
        <v>2576</v>
      </c>
      <c r="B9807" t="s">
        <v>22344</v>
      </c>
      <c r="C9807">
        <v>93</v>
      </c>
    </row>
    <row r="9808" spans="1:3" x14ac:dyDescent="0.25">
      <c r="A9808" s="48" t="s">
        <v>2602</v>
      </c>
      <c r="B9808" t="s">
        <v>2603</v>
      </c>
      <c r="C9808">
        <v>100</v>
      </c>
    </row>
    <row r="9809" spans="1:3" x14ac:dyDescent="0.25">
      <c r="A9809" s="48" t="s">
        <v>2608</v>
      </c>
      <c r="B9809" t="s">
        <v>2609</v>
      </c>
      <c r="C9809">
        <v>6</v>
      </c>
    </row>
    <row r="9810" spans="1:3" x14ac:dyDescent="0.25">
      <c r="A9810" s="48" t="s">
        <v>2600</v>
      </c>
      <c r="B9810" t="s">
        <v>2601</v>
      </c>
      <c r="C9810">
        <v>0</v>
      </c>
    </row>
    <row r="9811" spans="1:3" x14ac:dyDescent="0.25">
      <c r="A9811" s="48" t="s">
        <v>2598</v>
      </c>
      <c r="B9811" t="s">
        <v>2599</v>
      </c>
      <c r="C9811">
        <v>5</v>
      </c>
    </row>
    <row r="9812" spans="1:3" x14ac:dyDescent="0.25">
      <c r="A9812" s="48" t="s">
        <v>2572</v>
      </c>
      <c r="B9812" t="s">
        <v>2573</v>
      </c>
      <c r="C9812">
        <v>0</v>
      </c>
    </row>
    <row r="9813" spans="1:3" x14ac:dyDescent="0.25">
      <c r="A9813" s="48" t="s">
        <v>2604</v>
      </c>
      <c r="B9813" t="s">
        <v>2605</v>
      </c>
      <c r="C9813">
        <v>9</v>
      </c>
    </row>
    <row r="9814" spans="1:3" x14ac:dyDescent="0.25">
      <c r="A9814" s="48" t="s">
        <v>2606</v>
      </c>
      <c r="B9814" t="s">
        <v>2607</v>
      </c>
      <c r="C9814">
        <v>10</v>
      </c>
    </row>
    <row r="9815" spans="1:3" x14ac:dyDescent="0.25">
      <c r="A9815" s="48" t="s">
        <v>2578</v>
      </c>
      <c r="B9815" t="s">
        <v>22345</v>
      </c>
      <c r="C9815">
        <v>45</v>
      </c>
    </row>
    <row r="9816" spans="1:3" x14ac:dyDescent="0.25">
      <c r="A9816" s="48" t="s">
        <v>2580</v>
      </c>
      <c r="B9816" t="s">
        <v>2581</v>
      </c>
      <c r="C9816">
        <v>8</v>
      </c>
    </row>
    <row r="9817" spans="1:3" x14ac:dyDescent="0.25">
      <c r="A9817" s="48" t="s">
        <v>2592</v>
      </c>
      <c r="B9817" t="s">
        <v>2593</v>
      </c>
      <c r="C9817">
        <v>21</v>
      </c>
    </row>
    <row r="9818" spans="1:3" x14ac:dyDescent="0.25">
      <c r="A9818" s="48" t="s">
        <v>2590</v>
      </c>
      <c r="B9818" t="s">
        <v>2591</v>
      </c>
      <c r="C9818">
        <v>61</v>
      </c>
    </row>
    <row r="9819" spans="1:3" x14ac:dyDescent="0.25">
      <c r="A9819" s="48" t="s">
        <v>18925</v>
      </c>
      <c r="B9819" t="s">
        <v>18926</v>
      </c>
      <c r="C9819">
        <v>28</v>
      </c>
    </row>
    <row r="9820" spans="1:3" x14ac:dyDescent="0.25">
      <c r="A9820" s="48" t="s">
        <v>890</v>
      </c>
      <c r="B9820" t="s">
        <v>891</v>
      </c>
      <c r="C9820">
        <v>220</v>
      </c>
    </row>
    <row r="9821" spans="1:3" x14ac:dyDescent="0.25">
      <c r="A9821" s="48" t="s">
        <v>9390</v>
      </c>
      <c r="B9821" t="s">
        <v>9391</v>
      </c>
      <c r="C9821">
        <v>0</v>
      </c>
    </row>
    <row r="9822" spans="1:3" x14ac:dyDescent="0.25">
      <c r="A9822" s="48" t="s">
        <v>6602</v>
      </c>
      <c r="B9822" t="s">
        <v>6603</v>
      </c>
      <c r="C9822">
        <v>0</v>
      </c>
    </row>
    <row r="9823" spans="1:3" x14ac:dyDescent="0.25">
      <c r="A9823" s="48" t="s">
        <v>5844</v>
      </c>
      <c r="B9823" t="s">
        <v>5845</v>
      </c>
      <c r="C9823">
        <v>0</v>
      </c>
    </row>
    <row r="9824" spans="1:3" x14ac:dyDescent="0.25">
      <c r="A9824" s="48" t="s">
        <v>5842</v>
      </c>
      <c r="B9824" t="s">
        <v>5843</v>
      </c>
      <c r="C9824">
        <v>0</v>
      </c>
    </row>
    <row r="9825" spans="1:3" x14ac:dyDescent="0.25">
      <c r="A9825" s="48" t="s">
        <v>8073</v>
      </c>
      <c r="B9825" t="s">
        <v>8074</v>
      </c>
      <c r="C9825">
        <v>13</v>
      </c>
    </row>
    <row r="9826" spans="1:3" x14ac:dyDescent="0.25">
      <c r="A9826" s="48" t="s">
        <v>207</v>
      </c>
      <c r="B9826" t="s">
        <v>208</v>
      </c>
      <c r="C9826">
        <v>0</v>
      </c>
    </row>
    <row r="9827" spans="1:3" x14ac:dyDescent="0.25">
      <c r="A9827" s="48" t="s">
        <v>191</v>
      </c>
      <c r="B9827" t="s">
        <v>192</v>
      </c>
      <c r="C9827">
        <v>0</v>
      </c>
    </row>
    <row r="9828" spans="1:3" x14ac:dyDescent="0.25">
      <c r="A9828" s="48" t="s">
        <v>10309</v>
      </c>
      <c r="B9828" t="s">
        <v>10310</v>
      </c>
      <c r="C9828">
        <v>61</v>
      </c>
    </row>
    <row r="9829" spans="1:3" x14ac:dyDescent="0.25">
      <c r="A9829" s="48" t="s">
        <v>1429</v>
      </c>
      <c r="B9829" t="s">
        <v>1430</v>
      </c>
      <c r="C9829">
        <v>21</v>
      </c>
    </row>
    <row r="9830" spans="1:3" x14ac:dyDescent="0.25">
      <c r="A9830" s="48" t="s">
        <v>19607</v>
      </c>
      <c r="B9830" t="s">
        <v>19608</v>
      </c>
      <c r="C9830">
        <v>39</v>
      </c>
    </row>
    <row r="9831" spans="1:3" x14ac:dyDescent="0.25">
      <c r="A9831" s="48" t="s">
        <v>19609</v>
      </c>
      <c r="B9831" t="s">
        <v>19610</v>
      </c>
      <c r="C9831">
        <v>22</v>
      </c>
    </row>
    <row r="9832" spans="1:3" x14ac:dyDescent="0.25">
      <c r="A9832" s="48" t="s">
        <v>18011</v>
      </c>
      <c r="B9832" t="s">
        <v>18012</v>
      </c>
      <c r="C9832">
        <v>6</v>
      </c>
    </row>
    <row r="9833" spans="1:3" x14ac:dyDescent="0.25">
      <c r="A9833" s="48" t="s">
        <v>18015</v>
      </c>
      <c r="B9833" t="s">
        <v>18016</v>
      </c>
      <c r="C9833">
        <v>14</v>
      </c>
    </row>
    <row r="9834" spans="1:3" x14ac:dyDescent="0.25">
      <c r="A9834" s="48" t="s">
        <v>18007</v>
      </c>
      <c r="B9834" t="s">
        <v>18008</v>
      </c>
      <c r="C9834">
        <v>0</v>
      </c>
    </row>
    <row r="9835" spans="1:3" x14ac:dyDescent="0.25">
      <c r="A9835" s="48" t="s">
        <v>18009</v>
      </c>
      <c r="B9835" t="s">
        <v>18010</v>
      </c>
      <c r="C9835">
        <v>9</v>
      </c>
    </row>
    <row r="9836" spans="1:3" x14ac:dyDescent="0.25">
      <c r="A9836" s="48" t="s">
        <v>18003</v>
      </c>
      <c r="B9836" t="s">
        <v>18004</v>
      </c>
      <c r="C9836">
        <v>21</v>
      </c>
    </row>
    <row r="9837" spans="1:3" x14ac:dyDescent="0.25">
      <c r="A9837" s="48" t="s">
        <v>18019</v>
      </c>
      <c r="B9837" t="s">
        <v>18020</v>
      </c>
      <c r="C9837">
        <v>6</v>
      </c>
    </row>
    <row r="9838" spans="1:3" x14ac:dyDescent="0.25">
      <c r="A9838" s="48" t="s">
        <v>18001</v>
      </c>
      <c r="B9838" t="s">
        <v>18002</v>
      </c>
      <c r="C9838">
        <v>0</v>
      </c>
    </row>
    <row r="9839" spans="1:3" x14ac:dyDescent="0.25">
      <c r="A9839" s="48" t="s">
        <v>18013</v>
      </c>
      <c r="B9839" t="s">
        <v>18014</v>
      </c>
      <c r="C9839">
        <v>10</v>
      </c>
    </row>
    <row r="9840" spans="1:3" x14ac:dyDescent="0.25">
      <c r="A9840" s="48" t="s">
        <v>18017</v>
      </c>
      <c r="B9840" t="s">
        <v>18018</v>
      </c>
      <c r="C9840">
        <v>0</v>
      </c>
    </row>
    <row r="9841" spans="1:3" x14ac:dyDescent="0.25">
      <c r="A9841" s="48" t="s">
        <v>18005</v>
      </c>
      <c r="B9841" t="s">
        <v>18006</v>
      </c>
      <c r="C9841">
        <v>30</v>
      </c>
    </row>
    <row r="9842" spans="1:3" x14ac:dyDescent="0.25">
      <c r="A9842" s="48" t="s">
        <v>22459</v>
      </c>
      <c r="B9842" t="s">
        <v>22460</v>
      </c>
      <c r="C9842">
        <v>0</v>
      </c>
    </row>
    <row r="9843" spans="1:3" x14ac:dyDescent="0.25">
      <c r="A9843" s="48" t="s">
        <v>3599</v>
      </c>
      <c r="B9843" t="s">
        <v>3600</v>
      </c>
      <c r="C9843">
        <v>0</v>
      </c>
    </row>
    <row r="9844" spans="1:3" x14ac:dyDescent="0.25">
      <c r="A9844" s="48" t="s">
        <v>3593</v>
      </c>
      <c r="B9844" t="s">
        <v>3594</v>
      </c>
      <c r="C9844">
        <v>0</v>
      </c>
    </row>
    <row r="9845" spans="1:3" x14ac:dyDescent="0.25">
      <c r="A9845" s="48" t="s">
        <v>3591</v>
      </c>
      <c r="B9845" t="s">
        <v>3592</v>
      </c>
      <c r="C9845">
        <v>0</v>
      </c>
    </row>
    <row r="9846" spans="1:3" x14ac:dyDescent="0.25">
      <c r="A9846" s="48" t="s">
        <v>15739</v>
      </c>
      <c r="B9846" t="s">
        <v>15740</v>
      </c>
      <c r="C9846">
        <v>0</v>
      </c>
    </row>
    <row r="9847" spans="1:3" x14ac:dyDescent="0.25">
      <c r="A9847" s="48" t="s">
        <v>2012</v>
      </c>
      <c r="B9847" t="s">
        <v>2013</v>
      </c>
      <c r="C9847">
        <v>0</v>
      </c>
    </row>
    <row r="9848" spans="1:3" x14ac:dyDescent="0.25">
      <c r="A9848" s="48" t="s">
        <v>3589</v>
      </c>
      <c r="B9848" t="s">
        <v>3590</v>
      </c>
      <c r="C9848">
        <v>0</v>
      </c>
    </row>
    <row r="9849" spans="1:3" x14ac:dyDescent="0.25">
      <c r="A9849" s="48" t="s">
        <v>19653</v>
      </c>
      <c r="B9849" t="s">
        <v>19654</v>
      </c>
      <c r="C9849">
        <v>0</v>
      </c>
    </row>
    <row r="9850" spans="1:3" x14ac:dyDescent="0.25">
      <c r="A9850" s="48" t="s">
        <v>18852</v>
      </c>
      <c r="B9850" t="s">
        <v>18853</v>
      </c>
      <c r="C9850">
        <v>0</v>
      </c>
    </row>
    <row r="9851" spans="1:3" x14ac:dyDescent="0.25">
      <c r="A9851" s="48" t="s">
        <v>4178</v>
      </c>
      <c r="B9851" t="s">
        <v>4179</v>
      </c>
      <c r="C9851">
        <v>0</v>
      </c>
    </row>
    <row r="9852" spans="1:3" x14ac:dyDescent="0.25">
      <c r="A9852" s="48" t="s">
        <v>4180</v>
      </c>
      <c r="B9852" t="s">
        <v>4181</v>
      </c>
      <c r="C9852">
        <v>0</v>
      </c>
    </row>
    <row r="9853" spans="1:3" x14ac:dyDescent="0.25">
      <c r="A9853" s="48" t="s">
        <v>8582</v>
      </c>
      <c r="B9853" t="s">
        <v>8583</v>
      </c>
      <c r="C9853">
        <v>4</v>
      </c>
    </row>
    <row r="9854" spans="1:3" x14ac:dyDescent="0.25">
      <c r="A9854" s="48" t="s">
        <v>8584</v>
      </c>
      <c r="B9854" t="s">
        <v>8585</v>
      </c>
      <c r="C9854">
        <v>1</v>
      </c>
    </row>
    <row r="9855" spans="1:3" x14ac:dyDescent="0.25">
      <c r="A9855" s="48" t="s">
        <v>19524</v>
      </c>
      <c r="B9855" t="s">
        <v>19525</v>
      </c>
      <c r="C9855">
        <v>0</v>
      </c>
    </row>
    <row r="9856" spans="1:3" x14ac:dyDescent="0.25">
      <c r="A9856" s="48" t="s">
        <v>4134</v>
      </c>
      <c r="B9856" t="s">
        <v>4135</v>
      </c>
      <c r="C9856">
        <v>0</v>
      </c>
    </row>
  </sheetData>
  <autoFilter ref="A1:C9840" xr:uid="{3E6AE4E4-0588-4905-A793-014C18EBC08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0B8E-6944-4E6E-8B0D-A3AB0A5FC748}">
  <dimension ref="A1:I9971"/>
  <sheetViews>
    <sheetView zoomScale="85" zoomScaleNormal="85" workbookViewId="0">
      <selection activeCell="G6" sqref="G6"/>
    </sheetView>
  </sheetViews>
  <sheetFormatPr defaultColWidth="48.7109375" defaultRowHeight="15" x14ac:dyDescent="0.25"/>
  <cols>
    <col min="1" max="1" width="27.5703125" style="45" customWidth="1"/>
    <col min="2" max="2" width="58.7109375" style="44" bestFit="1" customWidth="1"/>
    <col min="3" max="6" width="0" style="44" hidden="1" customWidth="1"/>
    <col min="7" max="16384" width="48.7109375" style="44"/>
  </cols>
  <sheetData>
    <row r="1" spans="1:9" ht="15.75" thickBot="1" x14ac:dyDescent="0.3">
      <c r="A1" s="41">
        <v>1</v>
      </c>
      <c r="B1" s="10">
        <v>2</v>
      </c>
      <c r="C1" s="10">
        <v>3</v>
      </c>
      <c r="D1" s="10">
        <v>4</v>
      </c>
      <c r="E1" s="11">
        <v>5</v>
      </c>
      <c r="F1" s="11">
        <v>6</v>
      </c>
      <c r="G1" s="12">
        <v>7</v>
      </c>
      <c r="H1" s="13">
        <v>8</v>
      </c>
      <c r="I1" s="13">
        <v>9</v>
      </c>
    </row>
    <row r="2" spans="1:9" ht="27" customHeight="1" thickBot="1" x14ac:dyDescent="0.3">
      <c r="A2" s="41" t="s">
        <v>2006</v>
      </c>
      <c r="B2" s="10" t="s">
        <v>2007</v>
      </c>
      <c r="C2" s="10" t="s">
        <v>22648</v>
      </c>
      <c r="D2" s="10" t="s">
        <v>22649</v>
      </c>
      <c r="E2" s="70" t="s">
        <v>22650</v>
      </c>
      <c r="F2" s="71"/>
      <c r="G2" s="14"/>
      <c r="H2" s="72" t="s">
        <v>22650</v>
      </c>
      <c r="I2" s="73"/>
    </row>
    <row r="3" spans="1:9" ht="15.75" thickBot="1" x14ac:dyDescent="0.3">
      <c r="A3" s="42"/>
      <c r="B3" s="15"/>
      <c r="C3" s="15"/>
      <c r="D3" s="16"/>
      <c r="E3" s="17" t="s">
        <v>22651</v>
      </c>
      <c r="F3" s="18" t="s">
        <v>22652</v>
      </c>
      <c r="G3" s="19" t="s">
        <v>22398</v>
      </c>
      <c r="H3" s="20" t="s">
        <v>22653</v>
      </c>
      <c r="I3" s="20" t="s">
        <v>22654</v>
      </c>
    </row>
    <row r="4" spans="1:9" ht="15.75" thickBot="1" x14ac:dyDescent="0.3">
      <c r="A4" s="43" t="s">
        <v>2010</v>
      </c>
      <c r="B4" s="21" t="s">
        <v>2011</v>
      </c>
      <c r="C4" s="21" t="s">
        <v>22655</v>
      </c>
      <c r="D4" s="22">
        <v>46026</v>
      </c>
      <c r="E4" s="23" t="s">
        <v>22656</v>
      </c>
      <c r="F4" s="24" t="s">
        <v>22657</v>
      </c>
      <c r="G4" s="25">
        <v>2</v>
      </c>
      <c r="H4" s="26"/>
      <c r="I4" s="27"/>
    </row>
    <row r="5" spans="1:9" ht="15.75" thickBot="1" x14ac:dyDescent="0.3">
      <c r="A5" s="43" t="s">
        <v>2012</v>
      </c>
      <c r="B5" s="21" t="s">
        <v>2013</v>
      </c>
      <c r="C5" s="21" t="s">
        <v>22655</v>
      </c>
      <c r="D5" s="22">
        <v>46032</v>
      </c>
      <c r="E5" s="23" t="s">
        <v>22658</v>
      </c>
      <c r="F5" s="28" t="s">
        <v>22659</v>
      </c>
      <c r="G5" s="25">
        <v>1</v>
      </c>
      <c r="H5" s="29"/>
      <c r="I5" s="30"/>
    </row>
    <row r="6" spans="1:9" ht="15.75" thickBot="1" x14ac:dyDescent="0.3">
      <c r="A6" s="43" t="s">
        <v>2014</v>
      </c>
      <c r="B6" s="21" t="s">
        <v>2015</v>
      </c>
      <c r="C6" s="21" t="s">
        <v>22655</v>
      </c>
      <c r="D6" s="31" t="s">
        <v>22660</v>
      </c>
      <c r="E6" s="23" t="s">
        <v>22656</v>
      </c>
      <c r="F6" s="24" t="s">
        <v>22657</v>
      </c>
      <c r="G6" s="25">
        <v>2</v>
      </c>
      <c r="H6" s="26"/>
      <c r="I6" s="27"/>
    </row>
    <row r="7" spans="1:9" ht="15.75" thickBot="1" x14ac:dyDescent="0.3">
      <c r="A7" s="43" t="s">
        <v>2016</v>
      </c>
      <c r="B7" s="21" t="s">
        <v>2017</v>
      </c>
      <c r="C7" s="21" t="s">
        <v>22655</v>
      </c>
      <c r="D7" s="22">
        <v>46034</v>
      </c>
      <c r="E7" s="23" t="s">
        <v>22661</v>
      </c>
      <c r="F7" s="24" t="s">
        <v>22657</v>
      </c>
      <c r="G7" s="25">
        <v>12</v>
      </c>
      <c r="H7" s="32">
        <v>12</v>
      </c>
      <c r="I7" s="33">
        <v>24</v>
      </c>
    </row>
    <row r="8" spans="1:9" ht="15.75" thickBot="1" x14ac:dyDescent="0.3">
      <c r="A8" s="43" t="s">
        <v>2018</v>
      </c>
      <c r="B8" s="21" t="s">
        <v>2019</v>
      </c>
      <c r="C8" s="21" t="s">
        <v>22655</v>
      </c>
      <c r="D8" s="31" t="s">
        <v>22660</v>
      </c>
      <c r="E8" s="23" t="s">
        <v>22656</v>
      </c>
      <c r="F8" s="24" t="s">
        <v>22657</v>
      </c>
      <c r="G8" s="25">
        <v>4</v>
      </c>
      <c r="H8" s="26"/>
      <c r="I8" s="27"/>
    </row>
    <row r="9" spans="1:9" ht="15.75" thickBot="1" x14ac:dyDescent="0.3">
      <c r="A9" s="43" t="s">
        <v>1345</v>
      </c>
      <c r="B9" s="21" t="s">
        <v>1346</v>
      </c>
      <c r="C9" s="21" t="s">
        <v>22655</v>
      </c>
      <c r="D9" s="22">
        <v>46028</v>
      </c>
      <c r="E9" s="23" t="s">
        <v>22662</v>
      </c>
      <c r="F9" s="24" t="s">
        <v>22657</v>
      </c>
      <c r="G9" s="25">
        <v>60</v>
      </c>
      <c r="H9" s="32">
        <v>60</v>
      </c>
      <c r="I9" s="33">
        <v>80</v>
      </c>
    </row>
    <row r="10" spans="1:9" ht="15.75" thickBot="1" x14ac:dyDescent="0.3">
      <c r="A10" s="43" t="s">
        <v>839</v>
      </c>
      <c r="B10" s="21" t="s">
        <v>2020</v>
      </c>
      <c r="C10" s="21" t="s">
        <v>22663</v>
      </c>
      <c r="D10" s="31">
        <v>1</v>
      </c>
      <c r="E10" s="23" t="s">
        <v>22661</v>
      </c>
      <c r="F10" s="24" t="s">
        <v>22657</v>
      </c>
      <c r="G10" s="25">
        <v>10</v>
      </c>
      <c r="H10" s="34">
        <v>10</v>
      </c>
      <c r="I10" s="35">
        <v>15</v>
      </c>
    </row>
    <row r="11" spans="1:9" ht="15.75" thickBot="1" x14ac:dyDescent="0.3">
      <c r="A11" s="43" t="s">
        <v>2021</v>
      </c>
      <c r="B11" s="21" t="s">
        <v>2022</v>
      </c>
      <c r="C11" s="21" t="s">
        <v>22655</v>
      </c>
      <c r="D11" s="22">
        <v>46046</v>
      </c>
      <c r="E11" s="23" t="s">
        <v>22656</v>
      </c>
      <c r="F11" s="24" t="s">
        <v>22657</v>
      </c>
      <c r="G11" s="25">
        <v>4</v>
      </c>
      <c r="H11" s="29"/>
      <c r="I11" s="30"/>
    </row>
    <row r="12" spans="1:9" ht="15.75" thickBot="1" x14ac:dyDescent="0.3">
      <c r="A12" s="43" t="s">
        <v>2023</v>
      </c>
      <c r="B12" s="21" t="s">
        <v>2024</v>
      </c>
      <c r="C12" s="21" t="s">
        <v>22655</v>
      </c>
      <c r="D12" s="31" t="s">
        <v>22660</v>
      </c>
      <c r="E12" s="23" t="s">
        <v>22661</v>
      </c>
      <c r="F12" s="24" t="s">
        <v>22657</v>
      </c>
      <c r="G12" s="25">
        <v>8</v>
      </c>
      <c r="H12" s="26"/>
      <c r="I12" s="27"/>
    </row>
    <row r="13" spans="1:9" ht="15.75" thickBot="1" x14ac:dyDescent="0.3">
      <c r="A13" s="43" t="s">
        <v>517</v>
      </c>
      <c r="B13" s="21" t="s">
        <v>518</v>
      </c>
      <c r="C13" s="21" t="s">
        <v>22655</v>
      </c>
      <c r="D13" s="22">
        <v>46034</v>
      </c>
      <c r="E13" s="23" t="s">
        <v>22661</v>
      </c>
      <c r="F13" s="24" t="s">
        <v>22657</v>
      </c>
      <c r="G13" s="25">
        <v>24</v>
      </c>
      <c r="H13" s="32">
        <v>24</v>
      </c>
      <c r="I13" s="33">
        <v>36</v>
      </c>
    </row>
    <row r="14" spans="1:9" ht="15.75" thickBot="1" x14ac:dyDescent="0.3">
      <c r="A14" s="43" t="s">
        <v>2025</v>
      </c>
      <c r="B14" s="21" t="s">
        <v>2026</v>
      </c>
      <c r="C14" s="21" t="s">
        <v>22655</v>
      </c>
      <c r="D14" s="31" t="s">
        <v>22660</v>
      </c>
      <c r="E14" s="23" t="s">
        <v>22656</v>
      </c>
      <c r="F14" s="24" t="s">
        <v>22657</v>
      </c>
      <c r="G14" s="25">
        <v>4</v>
      </c>
      <c r="H14" s="26"/>
      <c r="I14" s="27"/>
    </row>
    <row r="15" spans="1:9" ht="15.75" thickBot="1" x14ac:dyDescent="0.3">
      <c r="A15" s="43" t="s">
        <v>2029</v>
      </c>
      <c r="B15" s="21" t="s">
        <v>2030</v>
      </c>
      <c r="C15" s="21" t="s">
        <v>22655</v>
      </c>
      <c r="D15" s="22">
        <v>46046</v>
      </c>
      <c r="E15" s="23" t="s">
        <v>22656</v>
      </c>
      <c r="F15" s="24" t="s">
        <v>22657</v>
      </c>
      <c r="G15" s="25">
        <v>8</v>
      </c>
      <c r="H15" s="29"/>
      <c r="I15" s="30"/>
    </row>
    <row r="16" spans="1:9" ht="15.75" thickBot="1" x14ac:dyDescent="0.3">
      <c r="A16" s="43" t="s">
        <v>2031</v>
      </c>
      <c r="B16" s="21" t="s">
        <v>2032</v>
      </c>
      <c r="C16" s="21" t="s">
        <v>22655</v>
      </c>
      <c r="D16" s="31" t="s">
        <v>22660</v>
      </c>
      <c r="E16" s="23" t="s">
        <v>22656</v>
      </c>
      <c r="F16" s="24" t="s">
        <v>22657</v>
      </c>
      <c r="G16" s="25">
        <v>4</v>
      </c>
      <c r="H16" s="26"/>
      <c r="I16" s="27"/>
    </row>
    <row r="17" spans="1:9" ht="15.75" thickBot="1" x14ac:dyDescent="0.3">
      <c r="A17" s="43" t="s">
        <v>2033</v>
      </c>
      <c r="B17" s="21" t="s">
        <v>2034</v>
      </c>
      <c r="C17" s="21" t="s">
        <v>22655</v>
      </c>
      <c r="D17" s="31" t="s">
        <v>22664</v>
      </c>
      <c r="E17" s="23" t="s">
        <v>22656</v>
      </c>
      <c r="F17" s="24" t="s">
        <v>22657</v>
      </c>
      <c r="G17" s="25">
        <v>20</v>
      </c>
      <c r="H17" s="29"/>
      <c r="I17" s="30"/>
    </row>
    <row r="18" spans="1:9" ht="15.75" thickBot="1" x14ac:dyDescent="0.3">
      <c r="A18" s="43" t="s">
        <v>2035</v>
      </c>
      <c r="B18" s="21" t="s">
        <v>2036</v>
      </c>
      <c r="C18" s="21" t="s">
        <v>22655</v>
      </c>
      <c r="D18" s="22">
        <v>46046</v>
      </c>
      <c r="E18" s="23" t="s">
        <v>22656</v>
      </c>
      <c r="F18" s="24" t="s">
        <v>22657</v>
      </c>
      <c r="G18" s="25">
        <v>4</v>
      </c>
      <c r="H18" s="26"/>
      <c r="I18" s="27"/>
    </row>
    <row r="19" spans="1:9" ht="15.75" thickBot="1" x14ac:dyDescent="0.3">
      <c r="A19" s="43" t="s">
        <v>2037</v>
      </c>
      <c r="B19" s="21" t="s">
        <v>2038</v>
      </c>
      <c r="C19" s="21" t="s">
        <v>22655</v>
      </c>
      <c r="D19" s="22">
        <v>46034</v>
      </c>
      <c r="E19" s="23" t="s">
        <v>22661</v>
      </c>
      <c r="F19" s="24" t="s">
        <v>22657</v>
      </c>
      <c r="G19" s="25">
        <v>10</v>
      </c>
      <c r="H19" s="29"/>
      <c r="I19" s="30"/>
    </row>
    <row r="20" spans="1:9" ht="15.75" thickBot="1" x14ac:dyDescent="0.3">
      <c r="A20" s="43" t="s">
        <v>2039</v>
      </c>
      <c r="B20" s="21" t="s">
        <v>2040</v>
      </c>
      <c r="C20" s="21" t="s">
        <v>22655</v>
      </c>
      <c r="D20" s="22">
        <v>46034</v>
      </c>
      <c r="E20" s="23" t="s">
        <v>22656</v>
      </c>
      <c r="F20" s="24" t="s">
        <v>22657</v>
      </c>
      <c r="G20" s="25">
        <v>4</v>
      </c>
      <c r="H20" s="26"/>
      <c r="I20" s="27"/>
    </row>
    <row r="21" spans="1:9" ht="15.75" thickBot="1" x14ac:dyDescent="0.3">
      <c r="A21" s="43" t="s">
        <v>2041</v>
      </c>
      <c r="B21" s="21" t="s">
        <v>2042</v>
      </c>
      <c r="C21" s="21" t="s">
        <v>22655</v>
      </c>
      <c r="D21" s="31" t="s">
        <v>22660</v>
      </c>
      <c r="E21" s="23" t="s">
        <v>22656</v>
      </c>
      <c r="F21" s="24" t="s">
        <v>22657</v>
      </c>
      <c r="G21" s="25">
        <v>5</v>
      </c>
      <c r="H21" s="29"/>
      <c r="I21" s="30"/>
    </row>
    <row r="22" spans="1:9" ht="15.75" thickBot="1" x14ac:dyDescent="0.3">
      <c r="A22" s="43" t="s">
        <v>2043</v>
      </c>
      <c r="B22" s="21" t="s">
        <v>2044</v>
      </c>
      <c r="C22" s="21" t="s">
        <v>22655</v>
      </c>
      <c r="D22" s="22">
        <v>46034</v>
      </c>
      <c r="E22" s="23" t="s">
        <v>22656</v>
      </c>
      <c r="F22" s="24" t="s">
        <v>22657</v>
      </c>
      <c r="G22" s="25">
        <v>4</v>
      </c>
      <c r="H22" s="26"/>
      <c r="I22" s="27"/>
    </row>
    <row r="23" spans="1:9" ht="15.75" thickBot="1" x14ac:dyDescent="0.3">
      <c r="A23" s="43" t="s">
        <v>2045</v>
      </c>
      <c r="B23" s="21" t="s">
        <v>2046</v>
      </c>
      <c r="C23" s="21" t="s">
        <v>22655</v>
      </c>
      <c r="D23" s="31" t="s">
        <v>22660</v>
      </c>
      <c r="E23" s="23" t="s">
        <v>22656</v>
      </c>
      <c r="F23" s="24" t="s">
        <v>22657</v>
      </c>
      <c r="G23" s="25">
        <v>4</v>
      </c>
      <c r="H23" s="29"/>
      <c r="I23" s="30"/>
    </row>
    <row r="24" spans="1:9" ht="15.75" thickBot="1" x14ac:dyDescent="0.3">
      <c r="A24" s="43" t="s">
        <v>2047</v>
      </c>
      <c r="B24" s="21" t="s">
        <v>2048</v>
      </c>
      <c r="C24" s="21" t="s">
        <v>22655</v>
      </c>
      <c r="D24" s="22">
        <v>46046</v>
      </c>
      <c r="E24" s="23" t="s">
        <v>22658</v>
      </c>
      <c r="F24" s="24" t="s">
        <v>22657</v>
      </c>
      <c r="G24" s="25">
        <v>1</v>
      </c>
      <c r="H24" s="26"/>
      <c r="I24" s="27"/>
    </row>
    <row r="25" spans="1:9" ht="15.75" thickBot="1" x14ac:dyDescent="0.3">
      <c r="A25" s="43" t="s">
        <v>2049</v>
      </c>
      <c r="B25" s="21" t="s">
        <v>2050</v>
      </c>
      <c r="C25" s="21" t="s">
        <v>22655</v>
      </c>
      <c r="D25" s="22">
        <v>46042</v>
      </c>
      <c r="E25" s="23" t="s">
        <v>22656</v>
      </c>
      <c r="F25" s="24" t="s">
        <v>22657</v>
      </c>
      <c r="G25" s="25">
        <v>4</v>
      </c>
      <c r="H25" s="29"/>
      <c r="I25" s="30"/>
    </row>
    <row r="26" spans="1:9" ht="15.75" thickBot="1" x14ac:dyDescent="0.3">
      <c r="A26" s="43" t="s">
        <v>2051</v>
      </c>
      <c r="B26" s="21" t="s">
        <v>2052</v>
      </c>
      <c r="C26" s="21" t="s">
        <v>22655</v>
      </c>
      <c r="D26" s="22">
        <v>46046</v>
      </c>
      <c r="E26" s="23" t="s">
        <v>22656</v>
      </c>
      <c r="F26" s="24" t="s">
        <v>22657</v>
      </c>
      <c r="G26" s="25">
        <v>3</v>
      </c>
      <c r="H26" s="26"/>
      <c r="I26" s="27"/>
    </row>
    <row r="27" spans="1:9" ht="15.75" thickBot="1" x14ac:dyDescent="0.3">
      <c r="A27" s="43" t="s">
        <v>2053</v>
      </c>
      <c r="B27" s="21" t="s">
        <v>2054</v>
      </c>
      <c r="C27" s="21" t="s">
        <v>22655</v>
      </c>
      <c r="D27" s="22">
        <v>46046</v>
      </c>
      <c r="E27" s="23" t="s">
        <v>22656</v>
      </c>
      <c r="F27" s="24" t="s">
        <v>22657</v>
      </c>
      <c r="G27" s="25">
        <v>2</v>
      </c>
      <c r="H27" s="29"/>
      <c r="I27" s="30"/>
    </row>
    <row r="28" spans="1:9" ht="15.75" thickBot="1" x14ac:dyDescent="0.3">
      <c r="A28" s="43" t="s">
        <v>2055</v>
      </c>
      <c r="B28" s="21" t="s">
        <v>2056</v>
      </c>
      <c r="C28" s="21" t="s">
        <v>22655</v>
      </c>
      <c r="D28" s="22">
        <v>46046</v>
      </c>
      <c r="E28" s="23" t="s">
        <v>22656</v>
      </c>
      <c r="F28" s="24" t="s">
        <v>22657</v>
      </c>
      <c r="G28" s="25">
        <v>2</v>
      </c>
      <c r="H28" s="26"/>
      <c r="I28" s="27"/>
    </row>
    <row r="29" spans="1:9" ht="15.75" thickBot="1" x14ac:dyDescent="0.3">
      <c r="A29" s="43" t="s">
        <v>2057</v>
      </c>
      <c r="B29" s="21" t="s">
        <v>2058</v>
      </c>
      <c r="C29" s="21" t="s">
        <v>22655</v>
      </c>
      <c r="D29" s="22">
        <v>46046</v>
      </c>
      <c r="E29" s="23" t="s">
        <v>22656</v>
      </c>
      <c r="F29" s="24" t="s">
        <v>22657</v>
      </c>
      <c r="G29" s="25">
        <v>2</v>
      </c>
      <c r="H29" s="29"/>
      <c r="I29" s="30"/>
    </row>
    <row r="30" spans="1:9" ht="15.75" thickBot="1" x14ac:dyDescent="0.3">
      <c r="A30" s="43" t="s">
        <v>2059</v>
      </c>
      <c r="B30" s="21" t="s">
        <v>2060</v>
      </c>
      <c r="C30" s="21" t="s">
        <v>22655</v>
      </c>
      <c r="D30" s="31" t="s">
        <v>22660</v>
      </c>
      <c r="E30" s="23" t="s">
        <v>22661</v>
      </c>
      <c r="F30" s="24" t="s">
        <v>22657</v>
      </c>
      <c r="G30" s="25">
        <v>4</v>
      </c>
      <c r="H30" s="26"/>
      <c r="I30" s="27"/>
    </row>
    <row r="31" spans="1:9" ht="15.75" thickBot="1" x14ac:dyDescent="0.3">
      <c r="A31" s="43" t="s">
        <v>1317</v>
      </c>
      <c r="B31" s="21" t="s">
        <v>1318</v>
      </c>
      <c r="C31" s="21" t="s">
        <v>22655</v>
      </c>
      <c r="D31" s="22">
        <v>46028</v>
      </c>
      <c r="E31" s="23" t="s">
        <v>22665</v>
      </c>
      <c r="F31" s="24" t="s">
        <v>22657</v>
      </c>
      <c r="G31" s="25">
        <v>30</v>
      </c>
      <c r="H31" s="32">
        <v>30</v>
      </c>
      <c r="I31" s="33">
        <v>60</v>
      </c>
    </row>
    <row r="32" spans="1:9" ht="15.75" thickBot="1" x14ac:dyDescent="0.3">
      <c r="A32" s="43" t="s">
        <v>701</v>
      </c>
      <c r="B32" s="21" t="s">
        <v>702</v>
      </c>
      <c r="C32" s="21" t="s">
        <v>22663</v>
      </c>
      <c r="D32" s="31">
        <v>1</v>
      </c>
      <c r="E32" s="23" t="s">
        <v>22656</v>
      </c>
      <c r="F32" s="24" t="s">
        <v>22657</v>
      </c>
      <c r="G32" s="25">
        <v>4</v>
      </c>
      <c r="H32" s="34">
        <v>4</v>
      </c>
      <c r="I32" s="35">
        <v>6</v>
      </c>
    </row>
    <row r="33" spans="1:9" ht="15.75" thickBot="1" x14ac:dyDescent="0.3">
      <c r="A33" s="43" t="s">
        <v>2061</v>
      </c>
      <c r="B33" s="21" t="s">
        <v>2062</v>
      </c>
      <c r="C33" s="21" t="s">
        <v>22655</v>
      </c>
      <c r="D33" s="22">
        <v>46034</v>
      </c>
      <c r="E33" s="23" t="s">
        <v>22661</v>
      </c>
      <c r="F33" s="24" t="s">
        <v>22657</v>
      </c>
      <c r="G33" s="25">
        <v>5</v>
      </c>
      <c r="H33" s="29"/>
      <c r="I33" s="30"/>
    </row>
    <row r="34" spans="1:9" ht="15.75" thickBot="1" x14ac:dyDescent="0.3">
      <c r="A34" s="43" t="s">
        <v>957</v>
      </c>
      <c r="B34" s="21" t="s">
        <v>958</v>
      </c>
      <c r="C34" s="21" t="s">
        <v>22663</v>
      </c>
      <c r="D34" s="31">
        <v>1</v>
      </c>
      <c r="E34" s="23" t="s">
        <v>22665</v>
      </c>
      <c r="F34" s="24" t="s">
        <v>22657</v>
      </c>
      <c r="G34" s="25">
        <v>20</v>
      </c>
      <c r="H34" s="34">
        <v>20</v>
      </c>
      <c r="I34" s="35">
        <v>25</v>
      </c>
    </row>
    <row r="35" spans="1:9" ht="15.75" thickBot="1" x14ac:dyDescent="0.3">
      <c r="A35" s="43" t="s">
        <v>2063</v>
      </c>
      <c r="B35" s="21" t="s">
        <v>2064</v>
      </c>
      <c r="C35" s="21" t="s">
        <v>22655</v>
      </c>
      <c r="D35" s="31" t="s">
        <v>22660</v>
      </c>
      <c r="E35" s="23" t="s">
        <v>22656</v>
      </c>
      <c r="F35" s="24" t="s">
        <v>22657</v>
      </c>
      <c r="G35" s="25">
        <v>5</v>
      </c>
      <c r="H35" s="29"/>
      <c r="I35" s="30"/>
    </row>
    <row r="36" spans="1:9" ht="15.75" thickBot="1" x14ac:dyDescent="0.3">
      <c r="A36" s="43" t="s">
        <v>2067</v>
      </c>
      <c r="B36" s="21" t="s">
        <v>2066</v>
      </c>
      <c r="C36" s="21" t="s">
        <v>22655</v>
      </c>
      <c r="D36" s="22">
        <v>46043</v>
      </c>
      <c r="E36" s="23" t="s">
        <v>22661</v>
      </c>
      <c r="F36" s="24" t="s">
        <v>22657</v>
      </c>
      <c r="G36" s="25">
        <v>42</v>
      </c>
      <c r="H36" s="34">
        <v>42</v>
      </c>
      <c r="I36" s="35">
        <v>72</v>
      </c>
    </row>
    <row r="37" spans="1:9" ht="15.75" thickBot="1" x14ac:dyDescent="0.3">
      <c r="A37" s="43" t="s">
        <v>2068</v>
      </c>
      <c r="B37" s="21" t="s">
        <v>2069</v>
      </c>
      <c r="C37" s="21" t="s">
        <v>22655</v>
      </c>
      <c r="D37" s="22">
        <v>46046</v>
      </c>
      <c r="E37" s="23" t="s">
        <v>22661</v>
      </c>
      <c r="F37" s="24" t="s">
        <v>22657</v>
      </c>
      <c r="G37" s="25">
        <v>8</v>
      </c>
      <c r="H37" s="29"/>
      <c r="I37" s="30"/>
    </row>
    <row r="38" spans="1:9" ht="15.75" thickBot="1" x14ac:dyDescent="0.3">
      <c r="A38" s="43" t="s">
        <v>2070</v>
      </c>
      <c r="B38" s="21" t="s">
        <v>2071</v>
      </c>
      <c r="C38" s="21" t="s">
        <v>22655</v>
      </c>
      <c r="D38" s="22">
        <v>46034</v>
      </c>
      <c r="E38" s="23" t="s">
        <v>22656</v>
      </c>
      <c r="F38" s="24" t="s">
        <v>22657</v>
      </c>
      <c r="G38" s="25">
        <v>4</v>
      </c>
      <c r="H38" s="26"/>
      <c r="I38" s="27"/>
    </row>
    <row r="39" spans="1:9" ht="15.75" thickBot="1" x14ac:dyDescent="0.3">
      <c r="A39" s="43" t="s">
        <v>2072</v>
      </c>
      <c r="B39" s="21" t="s">
        <v>2073</v>
      </c>
      <c r="C39" s="21" t="s">
        <v>22655</v>
      </c>
      <c r="D39" s="22">
        <v>46028</v>
      </c>
      <c r="E39" s="23" t="s">
        <v>22658</v>
      </c>
      <c r="F39" s="24" t="s">
        <v>22657</v>
      </c>
      <c r="G39" s="25">
        <v>2</v>
      </c>
      <c r="H39" s="29"/>
      <c r="I39" s="30"/>
    </row>
    <row r="40" spans="1:9" ht="15.75" thickBot="1" x14ac:dyDescent="0.3">
      <c r="A40" s="43" t="s">
        <v>2074</v>
      </c>
      <c r="B40" s="21" t="s">
        <v>2075</v>
      </c>
      <c r="C40" s="21" t="s">
        <v>22655</v>
      </c>
      <c r="D40" s="31" t="s">
        <v>22660</v>
      </c>
      <c r="E40" s="23" t="s">
        <v>22656</v>
      </c>
      <c r="F40" s="24" t="s">
        <v>22657</v>
      </c>
      <c r="G40" s="25">
        <v>4</v>
      </c>
      <c r="H40" s="26"/>
      <c r="I40" s="27"/>
    </row>
    <row r="41" spans="1:9" ht="15.75" thickBot="1" x14ac:dyDescent="0.3">
      <c r="A41" s="43" t="s">
        <v>2076</v>
      </c>
      <c r="B41" s="21" t="s">
        <v>2077</v>
      </c>
      <c r="C41" s="21" t="s">
        <v>22655</v>
      </c>
      <c r="D41" s="22">
        <v>46046</v>
      </c>
      <c r="E41" s="23" t="s">
        <v>22656</v>
      </c>
      <c r="F41" s="24" t="s">
        <v>22657</v>
      </c>
      <c r="G41" s="25">
        <v>8</v>
      </c>
      <c r="H41" s="29"/>
      <c r="I41" s="30"/>
    </row>
    <row r="42" spans="1:9" ht="15.75" thickBot="1" x14ac:dyDescent="0.3">
      <c r="A42" s="43" t="s">
        <v>2078</v>
      </c>
      <c r="B42" s="21" t="s">
        <v>2079</v>
      </c>
      <c r="C42" s="21" t="s">
        <v>22655</v>
      </c>
      <c r="D42" s="22">
        <v>46043</v>
      </c>
      <c r="E42" s="23" t="s">
        <v>22661</v>
      </c>
      <c r="F42" s="24" t="s">
        <v>22657</v>
      </c>
      <c r="G42" s="25">
        <v>17</v>
      </c>
      <c r="H42" s="26"/>
      <c r="I42" s="27"/>
    </row>
    <row r="43" spans="1:9" ht="15.75" thickBot="1" x14ac:dyDescent="0.3">
      <c r="A43" s="43" t="s">
        <v>2080</v>
      </c>
      <c r="B43" s="21" t="s">
        <v>2081</v>
      </c>
      <c r="C43" s="21" t="s">
        <v>22655</v>
      </c>
      <c r="D43" s="31" t="s">
        <v>22660</v>
      </c>
      <c r="E43" s="23" t="s">
        <v>22656</v>
      </c>
      <c r="F43" s="24" t="s">
        <v>22657</v>
      </c>
      <c r="G43" s="25">
        <v>4</v>
      </c>
      <c r="H43" s="29"/>
      <c r="I43" s="30"/>
    </row>
    <row r="44" spans="1:9" ht="15.75" thickBot="1" x14ac:dyDescent="0.3">
      <c r="A44" s="43" t="s">
        <v>2082</v>
      </c>
      <c r="B44" s="21" t="s">
        <v>2083</v>
      </c>
      <c r="C44" s="21" t="s">
        <v>22655</v>
      </c>
      <c r="D44" s="22">
        <v>46046</v>
      </c>
      <c r="E44" s="23" t="s">
        <v>22656</v>
      </c>
      <c r="F44" s="24" t="s">
        <v>22657</v>
      </c>
      <c r="G44" s="25">
        <v>4</v>
      </c>
      <c r="H44" s="26"/>
      <c r="I44" s="27"/>
    </row>
    <row r="45" spans="1:9" ht="15.75" thickBot="1" x14ac:dyDescent="0.3">
      <c r="A45" s="43" t="s">
        <v>2084</v>
      </c>
      <c r="B45" s="21" t="s">
        <v>2085</v>
      </c>
      <c r="C45" s="21" t="s">
        <v>22655</v>
      </c>
      <c r="D45" s="31" t="s">
        <v>22660</v>
      </c>
      <c r="E45" s="23" t="s">
        <v>22658</v>
      </c>
      <c r="F45" s="24" t="s">
        <v>22657</v>
      </c>
      <c r="G45" s="25">
        <v>4</v>
      </c>
      <c r="H45" s="29"/>
      <c r="I45" s="30"/>
    </row>
    <row r="46" spans="1:9" ht="15.75" thickBot="1" x14ac:dyDescent="0.3">
      <c r="A46" s="43" t="s">
        <v>2086</v>
      </c>
      <c r="B46" s="21" t="s">
        <v>2087</v>
      </c>
      <c r="C46" s="21" t="s">
        <v>22655</v>
      </c>
      <c r="D46" s="31" t="s">
        <v>22660</v>
      </c>
      <c r="E46" s="23" t="s">
        <v>22656</v>
      </c>
      <c r="F46" s="24" t="s">
        <v>22657</v>
      </c>
      <c r="G46" s="25">
        <v>5</v>
      </c>
      <c r="H46" s="26"/>
      <c r="I46" s="27"/>
    </row>
    <row r="47" spans="1:9" ht="15.75" thickBot="1" x14ac:dyDescent="0.3">
      <c r="A47" s="43" t="s">
        <v>2088</v>
      </c>
      <c r="B47" s="21" t="s">
        <v>2089</v>
      </c>
      <c r="C47" s="21" t="s">
        <v>22655</v>
      </c>
      <c r="D47" s="22">
        <v>46032</v>
      </c>
      <c r="E47" s="23" t="s">
        <v>22661</v>
      </c>
      <c r="F47" s="24" t="s">
        <v>22657</v>
      </c>
      <c r="G47" s="25">
        <v>4</v>
      </c>
      <c r="H47" s="29"/>
      <c r="I47" s="30"/>
    </row>
    <row r="48" spans="1:9" ht="15.75" thickBot="1" x14ac:dyDescent="0.3">
      <c r="A48" s="43" t="s">
        <v>2090</v>
      </c>
      <c r="B48" s="21" t="s">
        <v>2091</v>
      </c>
      <c r="C48" s="21" t="s">
        <v>22655</v>
      </c>
      <c r="D48" s="22">
        <v>46046</v>
      </c>
      <c r="E48" s="23" t="s">
        <v>22656</v>
      </c>
      <c r="F48" s="24" t="s">
        <v>22657</v>
      </c>
      <c r="G48" s="25">
        <v>8</v>
      </c>
      <c r="H48" s="26"/>
      <c r="I48" s="27"/>
    </row>
    <row r="49" spans="1:9" ht="15.75" thickBot="1" x14ac:dyDescent="0.3">
      <c r="A49" s="43" t="s">
        <v>2092</v>
      </c>
      <c r="B49" s="21" t="s">
        <v>2093</v>
      </c>
      <c r="C49" s="21" t="s">
        <v>22655</v>
      </c>
      <c r="D49" s="22">
        <v>46046</v>
      </c>
      <c r="E49" s="23" t="s">
        <v>22656</v>
      </c>
      <c r="F49" s="24" t="s">
        <v>22657</v>
      </c>
      <c r="G49" s="25">
        <v>4</v>
      </c>
      <c r="H49" s="29"/>
      <c r="I49" s="30"/>
    </row>
    <row r="50" spans="1:9" ht="15.75" thickBot="1" x14ac:dyDescent="0.3">
      <c r="A50" s="43" t="s">
        <v>2094</v>
      </c>
      <c r="B50" s="21" t="s">
        <v>2095</v>
      </c>
      <c r="C50" s="21" t="s">
        <v>22655</v>
      </c>
      <c r="D50" s="31" t="s">
        <v>22666</v>
      </c>
      <c r="E50" s="23" t="s">
        <v>22656</v>
      </c>
      <c r="F50" s="24" t="s">
        <v>22657</v>
      </c>
      <c r="G50" s="25">
        <v>4</v>
      </c>
      <c r="H50" s="26"/>
      <c r="I50" s="27"/>
    </row>
    <row r="51" spans="1:9" ht="15.75" thickBot="1" x14ac:dyDescent="0.3">
      <c r="A51" s="43" t="s">
        <v>2096</v>
      </c>
      <c r="B51" s="21" t="s">
        <v>2097</v>
      </c>
      <c r="C51" s="21" t="s">
        <v>22655</v>
      </c>
      <c r="D51" s="22">
        <v>46046</v>
      </c>
      <c r="E51" s="23" t="s">
        <v>22656</v>
      </c>
      <c r="F51" s="24" t="s">
        <v>22657</v>
      </c>
      <c r="G51" s="25">
        <v>4</v>
      </c>
      <c r="H51" s="29"/>
      <c r="I51" s="30"/>
    </row>
    <row r="52" spans="1:9" ht="15.75" thickBot="1" x14ac:dyDescent="0.3">
      <c r="A52" s="43" t="s">
        <v>2098</v>
      </c>
      <c r="B52" s="21" t="s">
        <v>2099</v>
      </c>
      <c r="C52" s="21" t="s">
        <v>22655</v>
      </c>
      <c r="D52" s="31" t="s">
        <v>22666</v>
      </c>
      <c r="E52" s="23" t="s">
        <v>22656</v>
      </c>
      <c r="F52" s="24" t="s">
        <v>22657</v>
      </c>
      <c r="G52" s="25">
        <v>4</v>
      </c>
      <c r="H52" s="26"/>
      <c r="I52" s="27"/>
    </row>
    <row r="53" spans="1:9" ht="15.75" thickBot="1" x14ac:dyDescent="0.3">
      <c r="A53" s="43" t="s">
        <v>2100</v>
      </c>
      <c r="B53" s="21" t="s">
        <v>2101</v>
      </c>
      <c r="C53" s="21" t="s">
        <v>22655</v>
      </c>
      <c r="D53" s="22">
        <v>46046</v>
      </c>
      <c r="E53" s="23" t="s">
        <v>22656</v>
      </c>
      <c r="F53" s="24" t="s">
        <v>22657</v>
      </c>
      <c r="G53" s="25">
        <v>4</v>
      </c>
      <c r="H53" s="29"/>
      <c r="I53" s="30"/>
    </row>
    <row r="54" spans="1:9" ht="15.75" thickBot="1" x14ac:dyDescent="0.3">
      <c r="A54" s="43" t="s">
        <v>2102</v>
      </c>
      <c r="B54" s="21" t="s">
        <v>2103</v>
      </c>
      <c r="C54" s="21" t="s">
        <v>22655</v>
      </c>
      <c r="D54" s="31" t="s">
        <v>22666</v>
      </c>
      <c r="E54" s="23" t="s">
        <v>22656</v>
      </c>
      <c r="F54" s="24" t="s">
        <v>22657</v>
      </c>
      <c r="G54" s="25">
        <v>4</v>
      </c>
      <c r="H54" s="26"/>
      <c r="I54" s="27"/>
    </row>
    <row r="55" spans="1:9" ht="15.75" thickBot="1" x14ac:dyDescent="0.3">
      <c r="A55" s="43" t="s">
        <v>2104</v>
      </c>
      <c r="B55" s="21" t="s">
        <v>2105</v>
      </c>
      <c r="C55" s="21" t="s">
        <v>22655</v>
      </c>
      <c r="D55" s="22">
        <v>46046</v>
      </c>
      <c r="E55" s="23" t="s">
        <v>22656</v>
      </c>
      <c r="F55" s="24" t="s">
        <v>22657</v>
      </c>
      <c r="G55" s="25">
        <v>4</v>
      </c>
      <c r="H55" s="29"/>
      <c r="I55" s="30"/>
    </row>
    <row r="56" spans="1:9" ht="15.75" thickBot="1" x14ac:dyDescent="0.3">
      <c r="A56" s="43" t="s">
        <v>2106</v>
      </c>
      <c r="B56" s="21" t="s">
        <v>2107</v>
      </c>
      <c r="C56" s="21" t="s">
        <v>22667</v>
      </c>
      <c r="D56" s="31" t="s">
        <v>22668</v>
      </c>
      <c r="E56" s="23" t="s">
        <v>22656</v>
      </c>
      <c r="F56" s="24" t="s">
        <v>22657</v>
      </c>
      <c r="G56" s="25">
        <v>4</v>
      </c>
      <c r="H56" s="26"/>
      <c r="I56" s="27"/>
    </row>
    <row r="57" spans="1:9" ht="15.75" thickBot="1" x14ac:dyDescent="0.3">
      <c r="A57" s="43" t="s">
        <v>2108</v>
      </c>
      <c r="B57" s="21" t="s">
        <v>2109</v>
      </c>
      <c r="C57" s="21" t="s">
        <v>22655</v>
      </c>
      <c r="D57" s="22">
        <v>46046</v>
      </c>
      <c r="E57" s="23" t="s">
        <v>22656</v>
      </c>
      <c r="F57" s="24" t="s">
        <v>22657</v>
      </c>
      <c r="G57" s="25">
        <v>4</v>
      </c>
      <c r="H57" s="29"/>
      <c r="I57" s="30"/>
    </row>
    <row r="58" spans="1:9" ht="15.75" thickBot="1" x14ac:dyDescent="0.3">
      <c r="A58" s="43" t="s">
        <v>2110</v>
      </c>
      <c r="B58" s="21" t="s">
        <v>2111</v>
      </c>
      <c r="C58" s="21" t="s">
        <v>22655</v>
      </c>
      <c r="D58" s="31" t="s">
        <v>22660</v>
      </c>
      <c r="E58" s="23" t="s">
        <v>22656</v>
      </c>
      <c r="F58" s="24" t="s">
        <v>22657</v>
      </c>
      <c r="G58" s="25">
        <v>5</v>
      </c>
      <c r="H58" s="26"/>
      <c r="I58" s="27"/>
    </row>
    <row r="59" spans="1:9" ht="15.75" thickBot="1" x14ac:dyDescent="0.3">
      <c r="A59" s="43" t="s">
        <v>1677</v>
      </c>
      <c r="B59" s="21" t="s">
        <v>1678</v>
      </c>
      <c r="C59" s="21" t="s">
        <v>22655</v>
      </c>
      <c r="D59" s="22">
        <v>46028</v>
      </c>
      <c r="E59" s="23" t="s">
        <v>22665</v>
      </c>
      <c r="F59" s="24" t="s">
        <v>22657</v>
      </c>
      <c r="G59" s="25">
        <v>30</v>
      </c>
      <c r="H59" s="32">
        <v>30</v>
      </c>
      <c r="I59" s="33">
        <v>48</v>
      </c>
    </row>
    <row r="60" spans="1:9" ht="15.75" thickBot="1" x14ac:dyDescent="0.3">
      <c r="A60" s="43" t="s">
        <v>2112</v>
      </c>
      <c r="B60" s="21" t="s">
        <v>2113</v>
      </c>
      <c r="C60" s="21" t="s">
        <v>22663</v>
      </c>
      <c r="D60" s="31">
        <v>1</v>
      </c>
      <c r="E60" s="23" t="s">
        <v>22656</v>
      </c>
      <c r="F60" s="24" t="s">
        <v>22657</v>
      </c>
      <c r="G60" s="25">
        <v>2</v>
      </c>
      <c r="H60" s="26"/>
      <c r="I60" s="27"/>
    </row>
    <row r="61" spans="1:9" ht="15.75" thickBot="1" x14ac:dyDescent="0.3">
      <c r="A61" s="43" t="s">
        <v>1209</v>
      </c>
      <c r="B61" s="21" t="s">
        <v>1210</v>
      </c>
      <c r="C61" s="21" t="s">
        <v>22663</v>
      </c>
      <c r="D61" s="31">
        <v>1</v>
      </c>
      <c r="E61" s="23" t="s">
        <v>22661</v>
      </c>
      <c r="F61" s="24" t="s">
        <v>22657</v>
      </c>
      <c r="G61" s="25">
        <v>10</v>
      </c>
      <c r="H61" s="32">
        <v>10</v>
      </c>
      <c r="I61" s="33">
        <v>14</v>
      </c>
    </row>
    <row r="62" spans="1:9" ht="15.75" thickBot="1" x14ac:dyDescent="0.3">
      <c r="A62" s="43" t="s">
        <v>2114</v>
      </c>
      <c r="B62" s="21" t="s">
        <v>2115</v>
      </c>
      <c r="C62" s="21" t="s">
        <v>22655</v>
      </c>
      <c r="D62" s="22">
        <v>46046</v>
      </c>
      <c r="E62" s="23" t="s">
        <v>22656</v>
      </c>
      <c r="F62" s="24" t="s">
        <v>22657</v>
      </c>
      <c r="G62" s="25">
        <v>2</v>
      </c>
      <c r="H62" s="26"/>
      <c r="I62" s="27"/>
    </row>
    <row r="63" spans="1:9" ht="15.75" thickBot="1" x14ac:dyDescent="0.3">
      <c r="A63" s="43" t="s">
        <v>2116</v>
      </c>
      <c r="B63" s="21" t="s">
        <v>2117</v>
      </c>
      <c r="C63" s="21" t="s">
        <v>22655</v>
      </c>
      <c r="D63" s="22">
        <v>46046</v>
      </c>
      <c r="E63" s="23" t="s">
        <v>22656</v>
      </c>
      <c r="F63" s="24" t="s">
        <v>22657</v>
      </c>
      <c r="G63" s="25">
        <v>8</v>
      </c>
      <c r="H63" s="29"/>
      <c r="I63" s="30"/>
    </row>
    <row r="64" spans="1:9" ht="15.75" thickBot="1" x14ac:dyDescent="0.3">
      <c r="A64" s="43" t="s">
        <v>2118</v>
      </c>
      <c r="B64" s="21" t="s">
        <v>2119</v>
      </c>
      <c r="C64" s="21" t="s">
        <v>22655</v>
      </c>
      <c r="D64" s="22">
        <v>46034</v>
      </c>
      <c r="E64" s="23" t="s">
        <v>22656</v>
      </c>
      <c r="F64" s="24" t="s">
        <v>22657</v>
      </c>
      <c r="G64" s="25">
        <v>12</v>
      </c>
      <c r="H64" s="34">
        <v>12</v>
      </c>
      <c r="I64" s="35">
        <v>24</v>
      </c>
    </row>
    <row r="65" spans="1:9" ht="15.75" thickBot="1" x14ac:dyDescent="0.3">
      <c r="A65" s="43" t="s">
        <v>2120</v>
      </c>
      <c r="B65" s="21" t="s">
        <v>2121</v>
      </c>
      <c r="C65" s="21" t="s">
        <v>22655</v>
      </c>
      <c r="D65" s="22">
        <v>46034</v>
      </c>
      <c r="E65" s="23" t="s">
        <v>22656</v>
      </c>
      <c r="F65" s="24" t="s">
        <v>22657</v>
      </c>
      <c r="G65" s="25">
        <v>4</v>
      </c>
      <c r="H65" s="29"/>
      <c r="I65" s="30"/>
    </row>
    <row r="66" spans="1:9" ht="15.75" thickBot="1" x14ac:dyDescent="0.3">
      <c r="A66" s="43" t="s">
        <v>2000</v>
      </c>
      <c r="B66" s="21" t="s">
        <v>2001</v>
      </c>
      <c r="C66" s="21" t="s">
        <v>22655</v>
      </c>
      <c r="D66" s="22">
        <v>46034</v>
      </c>
      <c r="E66" s="23" t="s">
        <v>22665</v>
      </c>
      <c r="F66" s="24" t="s">
        <v>22657</v>
      </c>
      <c r="G66" s="25">
        <v>12</v>
      </c>
      <c r="H66" s="34">
        <v>12</v>
      </c>
      <c r="I66" s="35">
        <v>24</v>
      </c>
    </row>
    <row r="67" spans="1:9" ht="15.75" thickBot="1" x14ac:dyDescent="0.3">
      <c r="A67" s="43" t="s">
        <v>2122</v>
      </c>
      <c r="B67" s="21" t="s">
        <v>2123</v>
      </c>
      <c r="C67" s="21" t="s">
        <v>22655</v>
      </c>
      <c r="D67" s="22">
        <v>46034</v>
      </c>
      <c r="E67" s="23" t="s">
        <v>22658</v>
      </c>
      <c r="F67" s="24" t="s">
        <v>22657</v>
      </c>
      <c r="G67" s="25">
        <v>4</v>
      </c>
      <c r="H67" s="29"/>
      <c r="I67" s="30"/>
    </row>
    <row r="68" spans="1:9" ht="15.75" thickBot="1" x14ac:dyDescent="0.3">
      <c r="A68" s="43" t="s">
        <v>2124</v>
      </c>
      <c r="B68" s="21" t="s">
        <v>2125</v>
      </c>
      <c r="C68" s="21" t="s">
        <v>22655</v>
      </c>
      <c r="D68" s="22">
        <v>46034</v>
      </c>
      <c r="E68" s="23" t="s">
        <v>22658</v>
      </c>
      <c r="F68" s="24" t="s">
        <v>22657</v>
      </c>
      <c r="G68" s="25">
        <v>4</v>
      </c>
      <c r="H68" s="26"/>
      <c r="I68" s="27"/>
    </row>
    <row r="69" spans="1:9" ht="15.75" thickBot="1" x14ac:dyDescent="0.3">
      <c r="A69" s="43" t="s">
        <v>2126</v>
      </c>
      <c r="B69" s="21" t="s">
        <v>2127</v>
      </c>
      <c r="C69" s="21" t="s">
        <v>22655</v>
      </c>
      <c r="D69" s="22">
        <v>46034</v>
      </c>
      <c r="E69" s="23" t="s">
        <v>22656</v>
      </c>
      <c r="F69" s="24" t="s">
        <v>22657</v>
      </c>
      <c r="G69" s="25">
        <v>4</v>
      </c>
      <c r="H69" s="29"/>
      <c r="I69" s="30"/>
    </row>
    <row r="70" spans="1:9" ht="15.75" thickBot="1" x14ac:dyDescent="0.3">
      <c r="A70" s="43" t="s">
        <v>2128</v>
      </c>
      <c r="B70" s="21" t="s">
        <v>2129</v>
      </c>
      <c r="C70" s="21" t="s">
        <v>22655</v>
      </c>
      <c r="D70" s="22">
        <v>46034</v>
      </c>
      <c r="E70" s="23" t="s">
        <v>22658</v>
      </c>
      <c r="F70" s="24" t="s">
        <v>22657</v>
      </c>
      <c r="G70" s="25">
        <v>4</v>
      </c>
      <c r="H70" s="26"/>
      <c r="I70" s="27"/>
    </row>
    <row r="71" spans="1:9" ht="15.75" thickBot="1" x14ac:dyDescent="0.3">
      <c r="A71" s="43" t="s">
        <v>2130</v>
      </c>
      <c r="B71" s="21" t="s">
        <v>2131</v>
      </c>
      <c r="C71" s="21" t="s">
        <v>22655</v>
      </c>
      <c r="D71" s="22">
        <v>46034</v>
      </c>
      <c r="E71" s="23" t="s">
        <v>22656</v>
      </c>
      <c r="F71" s="24" t="s">
        <v>22657</v>
      </c>
      <c r="G71" s="25">
        <v>4</v>
      </c>
      <c r="H71" s="29"/>
      <c r="I71" s="30"/>
    </row>
    <row r="72" spans="1:9" ht="15.75" thickBot="1" x14ac:dyDescent="0.3">
      <c r="A72" s="43" t="s">
        <v>2132</v>
      </c>
      <c r="B72" s="21" t="s">
        <v>2133</v>
      </c>
      <c r="C72" s="21" t="s">
        <v>22655</v>
      </c>
      <c r="D72" s="31" t="s">
        <v>22669</v>
      </c>
      <c r="E72" s="23" t="s">
        <v>22661</v>
      </c>
      <c r="F72" s="24" t="s">
        <v>22657</v>
      </c>
      <c r="G72" s="25">
        <v>10</v>
      </c>
      <c r="H72" s="26"/>
      <c r="I72" s="27"/>
    </row>
    <row r="73" spans="1:9" ht="15.75" thickBot="1" x14ac:dyDescent="0.3">
      <c r="A73" s="43" t="s">
        <v>22399</v>
      </c>
      <c r="B73" s="21" t="s">
        <v>22400</v>
      </c>
      <c r="C73" s="36" t="e">
        <v>#N/A</v>
      </c>
      <c r="D73" s="37" t="e">
        <v>#N/A</v>
      </c>
      <c r="E73" s="23" t="e">
        <v>#N/A</v>
      </c>
      <c r="F73" s="24" t="s">
        <v>22657</v>
      </c>
      <c r="G73" s="25" t="e">
        <v>#N/A</v>
      </c>
      <c r="H73" s="29"/>
      <c r="I73" s="30"/>
    </row>
    <row r="74" spans="1:9" ht="15.75" thickBot="1" x14ac:dyDescent="0.3">
      <c r="A74" s="43" t="s">
        <v>2134</v>
      </c>
      <c r="B74" s="21" t="s">
        <v>2135</v>
      </c>
      <c r="C74" s="21" t="s">
        <v>22655</v>
      </c>
      <c r="D74" s="22">
        <v>46034</v>
      </c>
      <c r="E74" s="23" t="s">
        <v>22656</v>
      </c>
      <c r="F74" s="24" t="s">
        <v>22657</v>
      </c>
      <c r="G74" s="25">
        <v>4</v>
      </c>
      <c r="H74" s="26"/>
      <c r="I74" s="27"/>
    </row>
    <row r="75" spans="1:9" ht="15.75" thickBot="1" x14ac:dyDescent="0.3">
      <c r="A75" s="43" t="s">
        <v>2136</v>
      </c>
      <c r="B75" s="21" t="s">
        <v>2137</v>
      </c>
      <c r="C75" s="21" t="s">
        <v>22873</v>
      </c>
      <c r="D75" s="31">
        <v>1</v>
      </c>
      <c r="E75" s="23" t="s">
        <v>22658</v>
      </c>
      <c r="F75" s="24" t="s">
        <v>22657</v>
      </c>
      <c r="G75" s="25">
        <v>2</v>
      </c>
      <c r="H75" s="29"/>
      <c r="I75" s="30"/>
    </row>
    <row r="76" spans="1:9" ht="15.75" thickBot="1" x14ac:dyDescent="0.3">
      <c r="A76" s="43" t="s">
        <v>347</v>
      </c>
      <c r="B76" s="21" t="s">
        <v>348</v>
      </c>
      <c r="C76" s="21" t="s">
        <v>22655</v>
      </c>
      <c r="D76" s="22">
        <v>46027</v>
      </c>
      <c r="E76" s="23" t="s">
        <v>22656</v>
      </c>
      <c r="F76" s="24" t="s">
        <v>22657</v>
      </c>
      <c r="G76" s="25">
        <v>3</v>
      </c>
      <c r="H76" s="26"/>
      <c r="I76" s="27"/>
    </row>
    <row r="77" spans="1:9" ht="15.75" thickBot="1" x14ac:dyDescent="0.3">
      <c r="A77" s="43" t="s">
        <v>1455</v>
      </c>
      <c r="B77" s="21" t="s">
        <v>1456</v>
      </c>
      <c r="C77" s="21" t="s">
        <v>22655</v>
      </c>
      <c r="D77" s="22">
        <v>46037</v>
      </c>
      <c r="E77" s="23" t="s">
        <v>22656</v>
      </c>
      <c r="F77" s="24" t="s">
        <v>22657</v>
      </c>
      <c r="G77" s="25">
        <v>2</v>
      </c>
      <c r="H77" s="29"/>
      <c r="I77" s="30"/>
    </row>
    <row r="78" spans="1:9" ht="15.75" thickBot="1" x14ac:dyDescent="0.3">
      <c r="A78" s="43" t="s">
        <v>1765</v>
      </c>
      <c r="B78" s="21" t="s">
        <v>1766</v>
      </c>
      <c r="C78" s="21" t="s">
        <v>22655</v>
      </c>
      <c r="D78" s="22">
        <v>46037</v>
      </c>
      <c r="E78" s="23" t="s">
        <v>22656</v>
      </c>
      <c r="F78" s="24" t="s">
        <v>22657</v>
      </c>
      <c r="G78" s="25">
        <v>3</v>
      </c>
      <c r="H78" s="26"/>
      <c r="I78" s="27"/>
    </row>
    <row r="79" spans="1:9" ht="15.75" thickBot="1" x14ac:dyDescent="0.3">
      <c r="A79" s="43" t="s">
        <v>2140</v>
      </c>
      <c r="B79" s="21" t="s">
        <v>2141</v>
      </c>
      <c r="C79" s="21" t="s">
        <v>22655</v>
      </c>
      <c r="D79" s="22">
        <v>46027</v>
      </c>
      <c r="E79" s="23" t="s">
        <v>22656</v>
      </c>
      <c r="F79" s="24" t="s">
        <v>22657</v>
      </c>
      <c r="G79" s="25">
        <v>3</v>
      </c>
      <c r="H79" s="29"/>
      <c r="I79" s="30"/>
    </row>
    <row r="80" spans="1:9" ht="15.75" thickBot="1" x14ac:dyDescent="0.3">
      <c r="A80" s="43" t="s">
        <v>2144</v>
      </c>
      <c r="B80" s="21" t="s">
        <v>2145</v>
      </c>
      <c r="C80" s="21" t="s">
        <v>22663</v>
      </c>
      <c r="D80" s="31">
        <v>1</v>
      </c>
      <c r="E80" s="23" t="s">
        <v>22658</v>
      </c>
      <c r="F80" s="24" t="s">
        <v>22657</v>
      </c>
      <c r="G80" s="25">
        <v>2</v>
      </c>
      <c r="H80" s="26"/>
      <c r="I80" s="27"/>
    </row>
    <row r="81" spans="1:9" ht="15.75" thickBot="1" x14ac:dyDescent="0.3">
      <c r="A81" s="43" t="s">
        <v>31</v>
      </c>
      <c r="B81" s="21" t="s">
        <v>2146</v>
      </c>
      <c r="C81" s="21" t="s">
        <v>22655</v>
      </c>
      <c r="D81" s="22">
        <v>46026</v>
      </c>
      <c r="E81" s="23" t="s">
        <v>22661</v>
      </c>
      <c r="F81" s="24" t="s">
        <v>22657</v>
      </c>
      <c r="G81" s="25">
        <v>8</v>
      </c>
      <c r="H81" s="29"/>
      <c r="I81" s="30"/>
    </row>
    <row r="82" spans="1:9" ht="15.75" thickBot="1" x14ac:dyDescent="0.3">
      <c r="A82" s="43" t="s">
        <v>2147</v>
      </c>
      <c r="B82" s="21" t="s">
        <v>2148</v>
      </c>
      <c r="C82" s="21" t="s">
        <v>22663</v>
      </c>
      <c r="D82" s="31">
        <v>1</v>
      </c>
      <c r="E82" s="23" t="s">
        <v>22656</v>
      </c>
      <c r="F82" s="24" t="s">
        <v>22657</v>
      </c>
      <c r="G82" s="25">
        <v>3</v>
      </c>
      <c r="H82" s="26"/>
      <c r="I82" s="27"/>
    </row>
    <row r="83" spans="1:9" ht="15.75" thickBot="1" x14ac:dyDescent="0.3">
      <c r="A83" s="43" t="s">
        <v>601</v>
      </c>
      <c r="B83" s="21" t="s">
        <v>602</v>
      </c>
      <c r="C83" s="21" t="s">
        <v>22667</v>
      </c>
      <c r="D83" s="31" t="s">
        <v>22670</v>
      </c>
      <c r="E83" s="23" t="s">
        <v>22665</v>
      </c>
      <c r="F83" s="24" t="s">
        <v>22657</v>
      </c>
      <c r="G83" s="25">
        <v>34</v>
      </c>
      <c r="H83" s="29"/>
      <c r="I83" s="30"/>
    </row>
    <row r="84" spans="1:9" ht="15.75" thickBot="1" x14ac:dyDescent="0.3">
      <c r="A84" s="43" t="s">
        <v>221</v>
      </c>
      <c r="B84" s="21" t="s">
        <v>222</v>
      </c>
      <c r="C84" s="21" t="s">
        <v>22655</v>
      </c>
      <c r="D84" s="22">
        <v>46037</v>
      </c>
      <c r="E84" s="23" t="s">
        <v>22656</v>
      </c>
      <c r="F84" s="24" t="s">
        <v>22657</v>
      </c>
      <c r="G84" s="25">
        <v>5</v>
      </c>
      <c r="H84" s="26"/>
      <c r="I84" s="27"/>
    </row>
    <row r="85" spans="1:9" ht="15.75" thickBot="1" x14ac:dyDescent="0.3">
      <c r="A85" s="43" t="s">
        <v>2151</v>
      </c>
      <c r="B85" s="21" t="s">
        <v>2152</v>
      </c>
      <c r="C85" s="21" t="s">
        <v>22655</v>
      </c>
      <c r="D85" s="22">
        <v>46037</v>
      </c>
      <c r="E85" s="23" t="s">
        <v>22656</v>
      </c>
      <c r="F85" s="24" t="s">
        <v>22657</v>
      </c>
      <c r="G85" s="25">
        <v>5</v>
      </c>
      <c r="H85" s="29"/>
      <c r="I85" s="30"/>
    </row>
    <row r="86" spans="1:9" ht="15.75" thickBot="1" x14ac:dyDescent="0.3">
      <c r="A86" s="43" t="s">
        <v>2153</v>
      </c>
      <c r="B86" s="21" t="s">
        <v>2154</v>
      </c>
      <c r="C86" s="21" t="s">
        <v>22667</v>
      </c>
      <c r="D86" s="31" t="s">
        <v>22671</v>
      </c>
      <c r="E86" s="23" t="s">
        <v>22656</v>
      </c>
      <c r="F86" s="24" t="s">
        <v>22657</v>
      </c>
      <c r="G86" s="25">
        <v>2</v>
      </c>
      <c r="H86" s="26"/>
      <c r="I86" s="27"/>
    </row>
    <row r="87" spans="1:9" ht="15.75" thickBot="1" x14ac:dyDescent="0.3">
      <c r="A87" s="43" t="s">
        <v>2155</v>
      </c>
      <c r="B87" s="21" t="s">
        <v>2156</v>
      </c>
      <c r="C87" s="21" t="s">
        <v>22672</v>
      </c>
      <c r="D87" s="31" t="s">
        <v>22673</v>
      </c>
      <c r="E87" s="23" t="s">
        <v>22656</v>
      </c>
      <c r="F87" s="24" t="s">
        <v>22657</v>
      </c>
      <c r="G87" s="25">
        <v>7</v>
      </c>
      <c r="H87" s="29"/>
      <c r="I87" s="30"/>
    </row>
    <row r="88" spans="1:9" ht="15.75" thickBot="1" x14ac:dyDescent="0.3">
      <c r="A88" s="43" t="s">
        <v>2157</v>
      </c>
      <c r="B88" s="21" t="s">
        <v>2158</v>
      </c>
      <c r="C88" s="21" t="s">
        <v>22667</v>
      </c>
      <c r="D88" s="31" t="s">
        <v>22671</v>
      </c>
      <c r="E88" s="23" t="s">
        <v>22656</v>
      </c>
      <c r="F88" s="24" t="s">
        <v>22657</v>
      </c>
      <c r="G88" s="25">
        <v>2</v>
      </c>
      <c r="H88" s="26"/>
      <c r="I88" s="27"/>
    </row>
    <row r="89" spans="1:9" ht="15.75" thickBot="1" x14ac:dyDescent="0.3">
      <c r="A89" s="43" t="s">
        <v>2159</v>
      </c>
      <c r="B89" s="21" t="s">
        <v>2160</v>
      </c>
      <c r="C89" s="21" t="s">
        <v>22655</v>
      </c>
      <c r="D89" s="22">
        <v>46034</v>
      </c>
      <c r="E89" s="23" t="s">
        <v>22656</v>
      </c>
      <c r="F89" s="24" t="s">
        <v>22657</v>
      </c>
      <c r="G89" s="25">
        <v>4</v>
      </c>
      <c r="H89" s="29"/>
      <c r="I89" s="30"/>
    </row>
    <row r="90" spans="1:9" ht="15.75" thickBot="1" x14ac:dyDescent="0.3">
      <c r="A90" s="43" t="s">
        <v>2161</v>
      </c>
      <c r="B90" s="21" t="s">
        <v>2162</v>
      </c>
      <c r="C90" s="21" t="s">
        <v>22667</v>
      </c>
      <c r="D90" s="31" t="s">
        <v>22674</v>
      </c>
      <c r="E90" s="23" t="s">
        <v>22661</v>
      </c>
      <c r="F90" s="24" t="s">
        <v>22657</v>
      </c>
      <c r="G90" s="25">
        <v>16</v>
      </c>
      <c r="H90" s="26"/>
      <c r="I90" s="27"/>
    </row>
    <row r="91" spans="1:9" ht="15.75" thickBot="1" x14ac:dyDescent="0.3">
      <c r="A91" s="43" t="s">
        <v>2163</v>
      </c>
      <c r="B91" s="21" t="s">
        <v>2164</v>
      </c>
      <c r="C91" s="21" t="s">
        <v>22667</v>
      </c>
      <c r="D91" s="31" t="s">
        <v>22671</v>
      </c>
      <c r="E91" s="23" t="s">
        <v>22656</v>
      </c>
      <c r="F91" s="24" t="s">
        <v>22657</v>
      </c>
      <c r="G91" s="25">
        <v>2</v>
      </c>
      <c r="H91" s="29"/>
      <c r="I91" s="30"/>
    </row>
    <row r="92" spans="1:9" ht="15.75" thickBot="1" x14ac:dyDescent="0.3">
      <c r="A92" s="43" t="s">
        <v>2165</v>
      </c>
      <c r="B92" s="21" t="s">
        <v>2166</v>
      </c>
      <c r="C92" s="21" t="s">
        <v>22667</v>
      </c>
      <c r="D92" s="31" t="s">
        <v>22674</v>
      </c>
      <c r="E92" s="23" t="s">
        <v>22665</v>
      </c>
      <c r="F92" s="24" t="s">
        <v>22657</v>
      </c>
      <c r="G92" s="25">
        <v>19</v>
      </c>
      <c r="H92" s="26"/>
      <c r="I92" s="27"/>
    </row>
    <row r="93" spans="1:9" ht="15.75" thickBot="1" x14ac:dyDescent="0.3">
      <c r="A93" s="43" t="s">
        <v>2167</v>
      </c>
      <c r="B93" s="21" t="s">
        <v>2168</v>
      </c>
      <c r="C93" s="21" t="s">
        <v>22667</v>
      </c>
      <c r="D93" s="31" t="s">
        <v>22671</v>
      </c>
      <c r="E93" s="23" t="s">
        <v>22656</v>
      </c>
      <c r="F93" s="24" t="s">
        <v>22657</v>
      </c>
      <c r="G93" s="25">
        <v>2</v>
      </c>
      <c r="H93" s="29"/>
      <c r="I93" s="30"/>
    </row>
    <row r="94" spans="1:9" ht="15.75" thickBot="1" x14ac:dyDescent="0.3">
      <c r="A94" s="43" t="s">
        <v>2169</v>
      </c>
      <c r="B94" s="21" t="s">
        <v>2170</v>
      </c>
      <c r="C94" s="21" t="s">
        <v>22655</v>
      </c>
      <c r="D94" s="22">
        <v>46034</v>
      </c>
      <c r="E94" s="23" t="s">
        <v>22656</v>
      </c>
      <c r="F94" s="24" t="s">
        <v>22657</v>
      </c>
      <c r="G94" s="25">
        <v>7</v>
      </c>
      <c r="H94" s="26"/>
      <c r="I94" s="27"/>
    </row>
    <row r="95" spans="1:9" ht="15.75" thickBot="1" x14ac:dyDescent="0.3">
      <c r="A95" s="43" t="s">
        <v>343</v>
      </c>
      <c r="B95" s="21" t="s">
        <v>344</v>
      </c>
      <c r="C95" s="21" t="s">
        <v>22655</v>
      </c>
      <c r="D95" s="22">
        <v>46034</v>
      </c>
      <c r="E95" s="23" t="s">
        <v>22656</v>
      </c>
      <c r="F95" s="24" t="s">
        <v>22657</v>
      </c>
      <c r="G95" s="25">
        <v>10</v>
      </c>
      <c r="H95" s="32">
        <v>10</v>
      </c>
      <c r="I95" s="33">
        <v>12</v>
      </c>
    </row>
    <row r="96" spans="1:9" ht="15.75" thickBot="1" x14ac:dyDescent="0.3">
      <c r="A96" s="43" t="s">
        <v>2171</v>
      </c>
      <c r="B96" s="21" t="s">
        <v>2172</v>
      </c>
      <c r="C96" s="21" t="s">
        <v>22655</v>
      </c>
      <c r="D96" s="22">
        <v>46034</v>
      </c>
      <c r="E96" s="23" t="s">
        <v>22656</v>
      </c>
      <c r="F96" s="24" t="s">
        <v>22657</v>
      </c>
      <c r="G96" s="25">
        <v>4</v>
      </c>
      <c r="H96" s="26"/>
      <c r="I96" s="27"/>
    </row>
    <row r="97" spans="1:9" ht="15.75" thickBot="1" x14ac:dyDescent="0.3">
      <c r="A97" s="43" t="s">
        <v>2173</v>
      </c>
      <c r="B97" s="21" t="s">
        <v>2174</v>
      </c>
      <c r="C97" s="21" t="s">
        <v>22655</v>
      </c>
      <c r="D97" s="22">
        <v>46034</v>
      </c>
      <c r="E97" s="23" t="s">
        <v>22656</v>
      </c>
      <c r="F97" s="24" t="s">
        <v>22657</v>
      </c>
      <c r="G97" s="25">
        <v>4</v>
      </c>
      <c r="H97" s="29"/>
      <c r="I97" s="30"/>
    </row>
    <row r="98" spans="1:9" ht="15.75" thickBot="1" x14ac:dyDescent="0.3">
      <c r="A98" s="43" t="s">
        <v>2175</v>
      </c>
      <c r="B98" s="21" t="s">
        <v>2176</v>
      </c>
      <c r="C98" s="21" t="s">
        <v>22672</v>
      </c>
      <c r="D98" s="31" t="s">
        <v>22673</v>
      </c>
      <c r="E98" s="23" t="s">
        <v>22656</v>
      </c>
      <c r="F98" s="24" t="s">
        <v>22657</v>
      </c>
      <c r="G98" s="25">
        <v>7</v>
      </c>
      <c r="H98" s="26"/>
      <c r="I98" s="27"/>
    </row>
    <row r="99" spans="1:9" ht="15.75" thickBot="1" x14ac:dyDescent="0.3">
      <c r="A99" s="43" t="s">
        <v>2177</v>
      </c>
      <c r="B99" s="21" t="s">
        <v>2178</v>
      </c>
      <c r="C99" s="21" t="s">
        <v>22655</v>
      </c>
      <c r="D99" s="22">
        <v>46034</v>
      </c>
      <c r="E99" s="23" t="s">
        <v>22656</v>
      </c>
      <c r="F99" s="24" t="s">
        <v>22657</v>
      </c>
      <c r="G99" s="25">
        <v>2</v>
      </c>
      <c r="H99" s="29"/>
      <c r="I99" s="30"/>
    </row>
    <row r="100" spans="1:9" ht="15.75" thickBot="1" x14ac:dyDescent="0.3">
      <c r="A100" s="43" t="s">
        <v>2179</v>
      </c>
      <c r="B100" s="21" t="s">
        <v>2180</v>
      </c>
      <c r="C100" s="21" t="s">
        <v>22667</v>
      </c>
      <c r="D100" s="31" t="s">
        <v>22674</v>
      </c>
      <c r="E100" s="23" t="s">
        <v>22661</v>
      </c>
      <c r="F100" s="24" t="s">
        <v>22657</v>
      </c>
      <c r="G100" s="25">
        <v>17</v>
      </c>
      <c r="H100" s="26"/>
      <c r="I100" s="27"/>
    </row>
    <row r="101" spans="1:9" ht="15.75" thickBot="1" x14ac:dyDescent="0.3">
      <c r="A101" s="43" t="s">
        <v>2181</v>
      </c>
      <c r="B101" s="21" t="s">
        <v>2182</v>
      </c>
      <c r="C101" s="21" t="s">
        <v>22667</v>
      </c>
      <c r="D101" s="31" t="s">
        <v>22671</v>
      </c>
      <c r="E101" s="23" t="s">
        <v>22656</v>
      </c>
      <c r="F101" s="24" t="s">
        <v>22657</v>
      </c>
      <c r="G101" s="25">
        <v>3</v>
      </c>
      <c r="H101" s="29"/>
      <c r="I101" s="30"/>
    </row>
    <row r="102" spans="1:9" ht="15.75" thickBot="1" x14ac:dyDescent="0.3">
      <c r="A102" s="43" t="s">
        <v>2183</v>
      </c>
      <c r="B102" s="21" t="s">
        <v>2184</v>
      </c>
      <c r="C102" s="21" t="s">
        <v>22655</v>
      </c>
      <c r="D102" s="22">
        <v>46034</v>
      </c>
      <c r="E102" s="23" t="s">
        <v>22656</v>
      </c>
      <c r="F102" s="24" t="s">
        <v>22657</v>
      </c>
      <c r="G102" s="25">
        <v>4</v>
      </c>
      <c r="H102" s="26"/>
      <c r="I102" s="27"/>
    </row>
    <row r="103" spans="1:9" ht="15.75" thickBot="1" x14ac:dyDescent="0.3">
      <c r="A103" s="43" t="s">
        <v>2185</v>
      </c>
      <c r="B103" s="21" t="s">
        <v>2186</v>
      </c>
      <c r="C103" s="21" t="s">
        <v>22667</v>
      </c>
      <c r="D103" s="31" t="s">
        <v>22671</v>
      </c>
      <c r="E103" s="23" t="s">
        <v>22656</v>
      </c>
      <c r="F103" s="24" t="s">
        <v>22657</v>
      </c>
      <c r="G103" s="25">
        <v>3</v>
      </c>
      <c r="H103" s="29"/>
      <c r="I103" s="30"/>
    </row>
    <row r="104" spans="1:9" ht="15.75" thickBot="1" x14ac:dyDescent="0.3">
      <c r="A104" s="43" t="s">
        <v>2187</v>
      </c>
      <c r="B104" s="21" t="s">
        <v>2188</v>
      </c>
      <c r="C104" s="21" t="s">
        <v>22672</v>
      </c>
      <c r="D104" s="31" t="s">
        <v>22673</v>
      </c>
      <c r="E104" s="23" t="s">
        <v>22661</v>
      </c>
      <c r="F104" s="24" t="s">
        <v>22657</v>
      </c>
      <c r="G104" s="25">
        <v>7</v>
      </c>
      <c r="H104" s="26"/>
      <c r="I104" s="27"/>
    </row>
    <row r="105" spans="1:9" ht="15.75" thickBot="1" x14ac:dyDescent="0.3">
      <c r="A105" s="43" t="s">
        <v>2189</v>
      </c>
      <c r="B105" s="21" t="s">
        <v>2190</v>
      </c>
      <c r="C105" s="21" t="s">
        <v>22667</v>
      </c>
      <c r="D105" s="31" t="s">
        <v>22671</v>
      </c>
      <c r="E105" s="23" t="s">
        <v>22656</v>
      </c>
      <c r="F105" s="24" t="s">
        <v>22657</v>
      </c>
      <c r="G105" s="25">
        <v>2</v>
      </c>
      <c r="H105" s="29"/>
      <c r="I105" s="30"/>
    </row>
    <row r="106" spans="1:9" ht="15.75" thickBot="1" x14ac:dyDescent="0.3">
      <c r="A106" s="43" t="s">
        <v>2191</v>
      </c>
      <c r="B106" s="21" t="s">
        <v>2192</v>
      </c>
      <c r="C106" s="21" t="s">
        <v>22675</v>
      </c>
      <c r="D106" s="31" t="s">
        <v>22676</v>
      </c>
      <c r="E106" s="23" t="s">
        <v>22661</v>
      </c>
      <c r="F106" s="24" t="s">
        <v>22657</v>
      </c>
      <c r="G106" s="25">
        <v>29</v>
      </c>
      <c r="H106" s="26"/>
      <c r="I106" s="27"/>
    </row>
    <row r="107" spans="1:9" ht="15.75" thickBot="1" x14ac:dyDescent="0.3">
      <c r="A107" s="43" t="s">
        <v>2193</v>
      </c>
      <c r="B107" s="21" t="s">
        <v>2194</v>
      </c>
      <c r="C107" s="21" t="s">
        <v>22675</v>
      </c>
      <c r="D107" s="31" t="s">
        <v>22677</v>
      </c>
      <c r="E107" s="23" t="s">
        <v>22661</v>
      </c>
      <c r="F107" s="24" t="s">
        <v>22657</v>
      </c>
      <c r="G107" s="25">
        <v>7</v>
      </c>
      <c r="H107" s="29"/>
      <c r="I107" s="30"/>
    </row>
    <row r="108" spans="1:9" ht="15.75" thickBot="1" x14ac:dyDescent="0.3">
      <c r="A108" s="43" t="s">
        <v>2195</v>
      </c>
      <c r="B108" s="21" t="s">
        <v>2196</v>
      </c>
      <c r="C108" s="21" t="s">
        <v>22667</v>
      </c>
      <c r="D108" s="31" t="s">
        <v>22671</v>
      </c>
      <c r="E108" s="23" t="s">
        <v>22656</v>
      </c>
      <c r="F108" s="24" t="s">
        <v>22657</v>
      </c>
      <c r="G108" s="25">
        <v>7</v>
      </c>
      <c r="H108" s="26"/>
      <c r="I108" s="27"/>
    </row>
    <row r="109" spans="1:9" ht="15.75" thickBot="1" x14ac:dyDescent="0.3">
      <c r="A109" s="43" t="s">
        <v>2197</v>
      </c>
      <c r="B109" s="21" t="s">
        <v>2198</v>
      </c>
      <c r="C109" s="21" t="s">
        <v>22667</v>
      </c>
      <c r="D109" s="31" t="s">
        <v>22671</v>
      </c>
      <c r="E109" s="23" t="s">
        <v>22656</v>
      </c>
      <c r="F109" s="24" t="s">
        <v>22657</v>
      </c>
      <c r="G109" s="25">
        <v>2</v>
      </c>
      <c r="H109" s="29"/>
      <c r="I109" s="30"/>
    </row>
    <row r="110" spans="1:9" ht="15.75" thickBot="1" x14ac:dyDescent="0.3">
      <c r="A110" s="43" t="s">
        <v>2199</v>
      </c>
      <c r="B110" s="21" t="s">
        <v>2200</v>
      </c>
      <c r="C110" s="21" t="s">
        <v>22667</v>
      </c>
      <c r="D110" s="31" t="s">
        <v>22671</v>
      </c>
      <c r="E110" s="23" t="s">
        <v>22656</v>
      </c>
      <c r="F110" s="24" t="s">
        <v>22657</v>
      </c>
      <c r="G110" s="25">
        <v>2</v>
      </c>
      <c r="H110" s="26"/>
      <c r="I110" s="27"/>
    </row>
    <row r="111" spans="1:9" ht="15.75" thickBot="1" x14ac:dyDescent="0.3">
      <c r="A111" s="43" t="s">
        <v>2201</v>
      </c>
      <c r="B111" s="21" t="s">
        <v>2202</v>
      </c>
      <c r="C111" s="21" t="s">
        <v>22655</v>
      </c>
      <c r="D111" s="22">
        <v>46034</v>
      </c>
      <c r="E111" s="23" t="s">
        <v>22656</v>
      </c>
      <c r="F111" s="24" t="s">
        <v>22657</v>
      </c>
      <c r="G111" s="25">
        <v>2</v>
      </c>
      <c r="H111" s="29"/>
      <c r="I111" s="30"/>
    </row>
    <row r="112" spans="1:9" ht="15.75" thickBot="1" x14ac:dyDescent="0.3">
      <c r="A112" s="43" t="s">
        <v>2203</v>
      </c>
      <c r="B112" s="21" t="s">
        <v>2204</v>
      </c>
      <c r="C112" s="21" t="s">
        <v>22655</v>
      </c>
      <c r="D112" s="22">
        <v>46034</v>
      </c>
      <c r="E112" s="23" t="s">
        <v>22656</v>
      </c>
      <c r="F112" s="24" t="s">
        <v>22657</v>
      </c>
      <c r="G112" s="25">
        <v>2</v>
      </c>
      <c r="H112" s="26"/>
      <c r="I112" s="27"/>
    </row>
    <row r="113" spans="1:9" ht="15.75" thickBot="1" x14ac:dyDescent="0.3">
      <c r="A113" s="43" t="s">
        <v>2205</v>
      </c>
      <c r="B113" s="21" t="s">
        <v>2206</v>
      </c>
      <c r="C113" s="21" t="s">
        <v>22667</v>
      </c>
      <c r="D113" s="31" t="s">
        <v>22674</v>
      </c>
      <c r="E113" s="23" t="s">
        <v>22661</v>
      </c>
      <c r="F113" s="24" t="s">
        <v>22657</v>
      </c>
      <c r="G113" s="25">
        <v>28</v>
      </c>
      <c r="H113" s="29"/>
      <c r="I113" s="30"/>
    </row>
    <row r="114" spans="1:9" ht="15.75" thickBot="1" x14ac:dyDescent="0.3">
      <c r="A114" s="43" t="s">
        <v>2207</v>
      </c>
      <c r="B114" s="21" t="s">
        <v>2208</v>
      </c>
      <c r="C114" s="21" t="s">
        <v>22667</v>
      </c>
      <c r="D114" s="31" t="s">
        <v>22674</v>
      </c>
      <c r="E114" s="23" t="s">
        <v>22665</v>
      </c>
      <c r="F114" s="24" t="s">
        <v>22657</v>
      </c>
      <c r="G114" s="25">
        <v>19</v>
      </c>
      <c r="H114" s="26"/>
      <c r="I114" s="27"/>
    </row>
    <row r="115" spans="1:9" ht="15.75" thickBot="1" x14ac:dyDescent="0.3">
      <c r="A115" s="43" t="s">
        <v>2209</v>
      </c>
      <c r="B115" s="21" t="s">
        <v>2210</v>
      </c>
      <c r="C115" s="21" t="s">
        <v>22655</v>
      </c>
      <c r="D115" s="22">
        <v>46034</v>
      </c>
      <c r="E115" s="23" t="s">
        <v>22656</v>
      </c>
      <c r="F115" s="24" t="s">
        <v>22657</v>
      </c>
      <c r="G115" s="25">
        <v>4</v>
      </c>
      <c r="H115" s="29"/>
      <c r="I115" s="30"/>
    </row>
    <row r="116" spans="1:9" ht="15.75" thickBot="1" x14ac:dyDescent="0.3">
      <c r="A116" s="43" t="s">
        <v>2211</v>
      </c>
      <c r="B116" s="21" t="s">
        <v>2212</v>
      </c>
      <c r="C116" s="21" t="s">
        <v>22667</v>
      </c>
      <c r="D116" s="31" t="s">
        <v>22674</v>
      </c>
      <c r="E116" s="23" t="s">
        <v>22656</v>
      </c>
      <c r="F116" s="24" t="s">
        <v>22657</v>
      </c>
      <c r="G116" s="25">
        <v>16</v>
      </c>
      <c r="H116" s="26"/>
      <c r="I116" s="27"/>
    </row>
    <row r="117" spans="1:9" ht="15.75" thickBot="1" x14ac:dyDescent="0.3">
      <c r="A117" s="43" t="s">
        <v>2213</v>
      </c>
      <c r="B117" s="21" t="s">
        <v>2214</v>
      </c>
      <c r="C117" s="21" t="s">
        <v>22667</v>
      </c>
      <c r="D117" s="31" t="s">
        <v>22671</v>
      </c>
      <c r="E117" s="23" t="s">
        <v>22656</v>
      </c>
      <c r="F117" s="24" t="s">
        <v>22657</v>
      </c>
      <c r="G117" s="25">
        <v>2</v>
      </c>
      <c r="H117" s="29"/>
      <c r="I117" s="30"/>
    </row>
    <row r="118" spans="1:9" ht="15.75" thickBot="1" x14ac:dyDescent="0.3">
      <c r="A118" s="43" t="s">
        <v>2215</v>
      </c>
      <c r="B118" s="21" t="s">
        <v>2216</v>
      </c>
      <c r="C118" s="21" t="s">
        <v>22672</v>
      </c>
      <c r="D118" s="31" t="s">
        <v>22673</v>
      </c>
      <c r="E118" s="23" t="s">
        <v>22656</v>
      </c>
      <c r="F118" s="24" t="s">
        <v>22657</v>
      </c>
      <c r="G118" s="25">
        <v>7</v>
      </c>
      <c r="H118" s="26"/>
      <c r="I118" s="27"/>
    </row>
    <row r="119" spans="1:9" ht="15.75" thickBot="1" x14ac:dyDescent="0.3">
      <c r="A119" s="43" t="s">
        <v>2217</v>
      </c>
      <c r="B119" s="21" t="s">
        <v>2218</v>
      </c>
      <c r="C119" s="21" t="s">
        <v>22667</v>
      </c>
      <c r="D119" s="31" t="s">
        <v>22671</v>
      </c>
      <c r="E119" s="23" t="s">
        <v>22656</v>
      </c>
      <c r="F119" s="24" t="s">
        <v>22657</v>
      </c>
      <c r="G119" s="25">
        <v>2</v>
      </c>
      <c r="H119" s="29"/>
      <c r="I119" s="30"/>
    </row>
    <row r="120" spans="1:9" ht="15.75" thickBot="1" x14ac:dyDescent="0.3">
      <c r="A120" s="43" t="s">
        <v>2219</v>
      </c>
      <c r="B120" s="21" t="s">
        <v>2220</v>
      </c>
      <c r="C120" s="21" t="s">
        <v>22667</v>
      </c>
      <c r="D120" s="31" t="s">
        <v>22678</v>
      </c>
      <c r="E120" s="23" t="s">
        <v>22656</v>
      </c>
      <c r="F120" s="24" t="s">
        <v>22657</v>
      </c>
      <c r="G120" s="25">
        <v>2</v>
      </c>
      <c r="H120" s="26"/>
      <c r="I120" s="27"/>
    </row>
    <row r="121" spans="1:9" ht="15.75" thickBot="1" x14ac:dyDescent="0.3">
      <c r="A121" s="43" t="s">
        <v>2221</v>
      </c>
      <c r="B121" s="21" t="s">
        <v>2222</v>
      </c>
      <c r="C121" s="21" t="s">
        <v>22672</v>
      </c>
      <c r="D121" s="31" t="s">
        <v>22673</v>
      </c>
      <c r="E121" s="23" t="s">
        <v>22656</v>
      </c>
      <c r="F121" s="24" t="s">
        <v>22657</v>
      </c>
      <c r="G121" s="25">
        <v>17</v>
      </c>
      <c r="H121" s="29"/>
      <c r="I121" s="30"/>
    </row>
    <row r="122" spans="1:9" ht="15.75" thickBot="1" x14ac:dyDescent="0.3">
      <c r="A122" s="43" t="s">
        <v>2223</v>
      </c>
      <c r="B122" s="21" t="s">
        <v>2224</v>
      </c>
      <c r="C122" s="21" t="s">
        <v>22655</v>
      </c>
      <c r="D122" s="22">
        <v>46034</v>
      </c>
      <c r="E122" s="23" t="s">
        <v>22656</v>
      </c>
      <c r="F122" s="24" t="s">
        <v>22657</v>
      </c>
      <c r="G122" s="25">
        <v>2</v>
      </c>
      <c r="H122" s="26"/>
      <c r="I122" s="27"/>
    </row>
    <row r="123" spans="1:9" ht="15.75" thickBot="1" x14ac:dyDescent="0.3">
      <c r="A123" s="43" t="s">
        <v>2225</v>
      </c>
      <c r="B123" s="21" t="s">
        <v>2226</v>
      </c>
      <c r="C123" s="21" t="s">
        <v>22667</v>
      </c>
      <c r="D123" s="31" t="s">
        <v>22671</v>
      </c>
      <c r="E123" s="23" t="s">
        <v>22656</v>
      </c>
      <c r="F123" s="24" t="s">
        <v>22657</v>
      </c>
      <c r="G123" s="25">
        <v>2</v>
      </c>
      <c r="H123" s="29"/>
      <c r="I123" s="30"/>
    </row>
    <row r="124" spans="1:9" ht="15.75" thickBot="1" x14ac:dyDescent="0.3">
      <c r="A124" s="43" t="s">
        <v>2227</v>
      </c>
      <c r="B124" s="21" t="s">
        <v>2228</v>
      </c>
      <c r="C124" s="21" t="s">
        <v>22667</v>
      </c>
      <c r="D124" s="31" t="s">
        <v>22671</v>
      </c>
      <c r="E124" s="23" t="s">
        <v>22656</v>
      </c>
      <c r="F124" s="24" t="s">
        <v>22657</v>
      </c>
      <c r="G124" s="25">
        <v>2</v>
      </c>
      <c r="H124" s="26"/>
      <c r="I124" s="27"/>
    </row>
    <row r="125" spans="1:9" ht="15.75" thickBot="1" x14ac:dyDescent="0.3">
      <c r="A125" s="43" t="s">
        <v>2229</v>
      </c>
      <c r="B125" s="21" t="s">
        <v>2230</v>
      </c>
      <c r="C125" s="21" t="s">
        <v>22667</v>
      </c>
      <c r="D125" s="31" t="s">
        <v>22674</v>
      </c>
      <c r="E125" s="23" t="s">
        <v>22661</v>
      </c>
      <c r="F125" s="24" t="s">
        <v>22657</v>
      </c>
      <c r="G125" s="25">
        <v>16</v>
      </c>
      <c r="H125" s="29"/>
      <c r="I125" s="30"/>
    </row>
    <row r="126" spans="1:9" ht="15.75" thickBot="1" x14ac:dyDescent="0.3">
      <c r="A126" s="43" t="s">
        <v>2231</v>
      </c>
      <c r="B126" s="21" t="s">
        <v>2232</v>
      </c>
      <c r="C126" s="21" t="s">
        <v>22672</v>
      </c>
      <c r="D126" s="31" t="s">
        <v>22673</v>
      </c>
      <c r="E126" s="23" t="s">
        <v>22656</v>
      </c>
      <c r="F126" s="24" t="s">
        <v>22657</v>
      </c>
      <c r="G126" s="25">
        <v>17</v>
      </c>
      <c r="H126" s="26"/>
      <c r="I126" s="27"/>
    </row>
    <row r="127" spans="1:9" ht="15.75" thickBot="1" x14ac:dyDescent="0.3">
      <c r="A127" s="43" t="s">
        <v>2233</v>
      </c>
      <c r="B127" s="21" t="s">
        <v>2234</v>
      </c>
      <c r="C127" s="21" t="s">
        <v>22667</v>
      </c>
      <c r="D127" s="31" t="s">
        <v>22671</v>
      </c>
      <c r="E127" s="23" t="s">
        <v>22656</v>
      </c>
      <c r="F127" s="24" t="s">
        <v>22657</v>
      </c>
      <c r="G127" s="25">
        <v>2</v>
      </c>
      <c r="H127" s="29"/>
      <c r="I127" s="30"/>
    </row>
    <row r="128" spans="1:9" ht="15.75" thickBot="1" x14ac:dyDescent="0.3">
      <c r="A128" s="43" t="s">
        <v>2235</v>
      </c>
      <c r="B128" s="21" t="s">
        <v>2236</v>
      </c>
      <c r="C128" s="21" t="s">
        <v>22675</v>
      </c>
      <c r="D128" s="31" t="s">
        <v>22679</v>
      </c>
      <c r="E128" s="23" t="s">
        <v>22665</v>
      </c>
      <c r="F128" s="24" t="s">
        <v>22657</v>
      </c>
      <c r="G128" s="25">
        <v>31</v>
      </c>
      <c r="H128" s="26"/>
      <c r="I128" s="27"/>
    </row>
    <row r="129" spans="1:9" ht="15.75" thickBot="1" x14ac:dyDescent="0.3">
      <c r="A129" s="43" t="s">
        <v>2237</v>
      </c>
      <c r="B129" s="21" t="s">
        <v>2238</v>
      </c>
      <c r="C129" s="21" t="s">
        <v>22655</v>
      </c>
      <c r="D129" s="22">
        <v>46034</v>
      </c>
      <c r="E129" s="23" t="s">
        <v>22656</v>
      </c>
      <c r="F129" s="24" t="s">
        <v>22657</v>
      </c>
      <c r="G129" s="25">
        <v>4</v>
      </c>
      <c r="H129" s="29"/>
      <c r="I129" s="30"/>
    </row>
    <row r="130" spans="1:9" ht="15.75" thickBot="1" x14ac:dyDescent="0.3">
      <c r="A130" s="43" t="s">
        <v>2239</v>
      </c>
      <c r="B130" s="21" t="s">
        <v>2240</v>
      </c>
      <c r="C130" s="21" t="s">
        <v>22667</v>
      </c>
      <c r="D130" s="31" t="s">
        <v>22671</v>
      </c>
      <c r="E130" s="23" t="s">
        <v>22656</v>
      </c>
      <c r="F130" s="24" t="s">
        <v>22657</v>
      </c>
      <c r="G130" s="25">
        <v>2</v>
      </c>
      <c r="H130" s="26"/>
      <c r="I130" s="27"/>
    </row>
    <row r="131" spans="1:9" ht="15.75" thickBot="1" x14ac:dyDescent="0.3">
      <c r="A131" s="43" t="s">
        <v>2241</v>
      </c>
      <c r="B131" s="21" t="s">
        <v>2242</v>
      </c>
      <c r="C131" s="21" t="s">
        <v>22655</v>
      </c>
      <c r="D131" s="22">
        <v>46034</v>
      </c>
      <c r="E131" s="23" t="s">
        <v>22656</v>
      </c>
      <c r="F131" s="24" t="s">
        <v>22657</v>
      </c>
      <c r="G131" s="25">
        <v>4</v>
      </c>
      <c r="H131" s="29"/>
      <c r="I131" s="30"/>
    </row>
    <row r="132" spans="1:9" ht="15.75" thickBot="1" x14ac:dyDescent="0.3">
      <c r="A132" s="43" t="s">
        <v>2243</v>
      </c>
      <c r="B132" s="21" t="s">
        <v>2244</v>
      </c>
      <c r="C132" s="21" t="s">
        <v>22655</v>
      </c>
      <c r="D132" s="22">
        <v>46034</v>
      </c>
      <c r="E132" s="23" t="s">
        <v>22656</v>
      </c>
      <c r="F132" s="24" t="s">
        <v>22657</v>
      </c>
      <c r="G132" s="25">
        <v>2</v>
      </c>
      <c r="H132" s="26"/>
      <c r="I132" s="27"/>
    </row>
    <row r="133" spans="1:9" ht="15.75" thickBot="1" x14ac:dyDescent="0.3">
      <c r="A133" s="43" t="s">
        <v>2245</v>
      </c>
      <c r="B133" s="21" t="s">
        <v>2246</v>
      </c>
      <c r="C133" s="21" t="s">
        <v>22667</v>
      </c>
      <c r="D133" s="31" t="s">
        <v>22680</v>
      </c>
      <c r="E133" s="23" t="s">
        <v>22661</v>
      </c>
      <c r="F133" s="24" t="s">
        <v>22657</v>
      </c>
      <c r="G133" s="25">
        <v>16</v>
      </c>
      <c r="H133" s="29"/>
      <c r="I133" s="30"/>
    </row>
    <row r="134" spans="1:9" ht="15.75" thickBot="1" x14ac:dyDescent="0.3">
      <c r="A134" s="43" t="s">
        <v>2247</v>
      </c>
      <c r="B134" s="21" t="s">
        <v>2248</v>
      </c>
      <c r="C134" s="21" t="s">
        <v>22655</v>
      </c>
      <c r="D134" s="22">
        <v>46034</v>
      </c>
      <c r="E134" s="23" t="s">
        <v>22656</v>
      </c>
      <c r="F134" s="24" t="s">
        <v>22657</v>
      </c>
      <c r="G134" s="25">
        <v>2</v>
      </c>
      <c r="H134" s="26"/>
      <c r="I134" s="27"/>
    </row>
    <row r="135" spans="1:9" ht="15.75" thickBot="1" x14ac:dyDescent="0.3">
      <c r="A135" s="43" t="s">
        <v>2249</v>
      </c>
      <c r="B135" s="21" t="s">
        <v>2250</v>
      </c>
      <c r="C135" s="21" t="s">
        <v>22667</v>
      </c>
      <c r="D135" s="31" t="s">
        <v>22671</v>
      </c>
      <c r="E135" s="23" t="s">
        <v>22656</v>
      </c>
      <c r="F135" s="24" t="s">
        <v>22657</v>
      </c>
      <c r="G135" s="25">
        <v>2</v>
      </c>
      <c r="H135" s="29"/>
      <c r="I135" s="30"/>
    </row>
    <row r="136" spans="1:9" ht="15.75" thickBot="1" x14ac:dyDescent="0.3">
      <c r="A136" s="43" t="s">
        <v>2251</v>
      </c>
      <c r="B136" s="21" t="s">
        <v>2252</v>
      </c>
      <c r="C136" s="21" t="s">
        <v>22667</v>
      </c>
      <c r="D136" s="31" t="s">
        <v>22671</v>
      </c>
      <c r="E136" s="23" t="s">
        <v>22656</v>
      </c>
      <c r="F136" s="24" t="s">
        <v>22657</v>
      </c>
      <c r="G136" s="25">
        <v>3</v>
      </c>
      <c r="H136" s="26"/>
      <c r="I136" s="27"/>
    </row>
    <row r="137" spans="1:9" ht="15.75" thickBot="1" x14ac:dyDescent="0.3">
      <c r="A137" s="43" t="s">
        <v>1739</v>
      </c>
      <c r="B137" s="21" t="s">
        <v>1740</v>
      </c>
      <c r="C137" s="21" t="s">
        <v>22655</v>
      </c>
      <c r="D137" s="22">
        <v>46034</v>
      </c>
      <c r="E137" s="23" t="s">
        <v>22661</v>
      </c>
      <c r="F137" s="24" t="s">
        <v>22657</v>
      </c>
      <c r="G137" s="25">
        <v>6</v>
      </c>
      <c r="H137" s="32">
        <v>6</v>
      </c>
      <c r="I137" s="33">
        <v>10</v>
      </c>
    </row>
    <row r="138" spans="1:9" ht="15.75" thickBot="1" x14ac:dyDescent="0.3">
      <c r="A138" s="43" t="s">
        <v>2253</v>
      </c>
      <c r="B138" s="21" t="s">
        <v>2254</v>
      </c>
      <c r="C138" s="21" t="s">
        <v>22667</v>
      </c>
      <c r="D138" s="31" t="s">
        <v>22671</v>
      </c>
      <c r="E138" s="23" t="s">
        <v>22656</v>
      </c>
      <c r="F138" s="24" t="s">
        <v>22657</v>
      </c>
      <c r="G138" s="25">
        <v>2</v>
      </c>
      <c r="H138" s="26"/>
      <c r="I138" s="27"/>
    </row>
    <row r="139" spans="1:9" ht="15.75" thickBot="1" x14ac:dyDescent="0.3">
      <c r="A139" s="43" t="s">
        <v>2255</v>
      </c>
      <c r="B139" s="21" t="s">
        <v>2256</v>
      </c>
      <c r="C139" s="21" t="s">
        <v>22655</v>
      </c>
      <c r="D139" s="31" t="s">
        <v>22669</v>
      </c>
      <c r="E139" s="23" t="s">
        <v>22656</v>
      </c>
      <c r="F139" s="24" t="s">
        <v>22657</v>
      </c>
      <c r="G139" s="25">
        <v>2</v>
      </c>
      <c r="H139" s="29"/>
      <c r="I139" s="30"/>
    </row>
    <row r="140" spans="1:9" ht="15.75" thickBot="1" x14ac:dyDescent="0.3">
      <c r="A140" s="43" t="s">
        <v>2257</v>
      </c>
      <c r="B140" s="21" t="s">
        <v>2258</v>
      </c>
      <c r="C140" s="21" t="s">
        <v>22675</v>
      </c>
      <c r="D140" s="31" t="s">
        <v>22679</v>
      </c>
      <c r="E140" s="23" t="s">
        <v>22665</v>
      </c>
      <c r="F140" s="24" t="s">
        <v>22657</v>
      </c>
      <c r="G140" s="25">
        <v>192</v>
      </c>
      <c r="H140" s="26"/>
      <c r="I140" s="27"/>
    </row>
    <row r="141" spans="1:9" ht="15.75" thickBot="1" x14ac:dyDescent="0.3">
      <c r="A141" s="43" t="s">
        <v>1813</v>
      </c>
      <c r="B141" s="21" t="s">
        <v>1814</v>
      </c>
      <c r="C141" s="21" t="s">
        <v>22655</v>
      </c>
      <c r="D141" s="22">
        <v>46034</v>
      </c>
      <c r="E141" s="23" t="s">
        <v>22656</v>
      </c>
      <c r="F141" s="24" t="s">
        <v>22657</v>
      </c>
      <c r="G141" s="25">
        <v>4</v>
      </c>
      <c r="H141" s="29"/>
      <c r="I141" s="30"/>
    </row>
    <row r="142" spans="1:9" ht="15.75" thickBot="1" x14ac:dyDescent="0.3">
      <c r="A142" s="43" t="s">
        <v>2259</v>
      </c>
      <c r="B142" s="21" t="s">
        <v>2260</v>
      </c>
      <c r="C142" s="21" t="s">
        <v>22672</v>
      </c>
      <c r="D142" s="31" t="s">
        <v>22673</v>
      </c>
      <c r="E142" s="23" t="s">
        <v>22661</v>
      </c>
      <c r="F142" s="24" t="s">
        <v>22657</v>
      </c>
      <c r="G142" s="25">
        <v>17</v>
      </c>
      <c r="H142" s="26"/>
      <c r="I142" s="27"/>
    </row>
    <row r="143" spans="1:9" ht="15.75" thickBot="1" x14ac:dyDescent="0.3">
      <c r="A143" s="43" t="s">
        <v>2261</v>
      </c>
      <c r="B143" s="21" t="s">
        <v>2262</v>
      </c>
      <c r="C143" s="21" t="s">
        <v>22655</v>
      </c>
      <c r="D143" s="31" t="s">
        <v>22681</v>
      </c>
      <c r="E143" s="23" t="s">
        <v>22656</v>
      </c>
      <c r="F143" s="24" t="s">
        <v>22657</v>
      </c>
      <c r="G143" s="25">
        <v>17</v>
      </c>
      <c r="H143" s="29"/>
      <c r="I143" s="30"/>
    </row>
    <row r="144" spans="1:9" ht="15.75" thickBot="1" x14ac:dyDescent="0.3">
      <c r="A144" s="43" t="s">
        <v>2263</v>
      </c>
      <c r="B144" s="21" t="s">
        <v>2264</v>
      </c>
      <c r="C144" s="21" t="s">
        <v>22667</v>
      </c>
      <c r="D144" s="31" t="s">
        <v>22671</v>
      </c>
      <c r="E144" s="23" t="s">
        <v>22656</v>
      </c>
      <c r="F144" s="24" t="s">
        <v>22657</v>
      </c>
      <c r="G144" s="25">
        <v>2</v>
      </c>
      <c r="H144" s="26"/>
      <c r="I144" s="27"/>
    </row>
    <row r="145" spans="1:9" ht="15.75" thickBot="1" x14ac:dyDescent="0.3">
      <c r="A145" s="43" t="s">
        <v>2267</v>
      </c>
      <c r="B145" s="21" t="s">
        <v>2268</v>
      </c>
      <c r="C145" s="21" t="s">
        <v>22672</v>
      </c>
      <c r="D145" s="31" t="s">
        <v>22660</v>
      </c>
      <c r="E145" s="23" t="s">
        <v>22661</v>
      </c>
      <c r="F145" s="24" t="s">
        <v>22657</v>
      </c>
      <c r="G145" s="25">
        <v>16</v>
      </c>
      <c r="H145" s="29"/>
      <c r="I145" s="30"/>
    </row>
    <row r="146" spans="1:9" ht="15.75" thickBot="1" x14ac:dyDescent="0.3">
      <c r="A146" s="43" t="s">
        <v>2269</v>
      </c>
      <c r="B146" s="21" t="s">
        <v>2270</v>
      </c>
      <c r="C146" s="21" t="s">
        <v>22682</v>
      </c>
      <c r="D146" s="22">
        <v>46034</v>
      </c>
      <c r="E146" s="23" t="s">
        <v>22658</v>
      </c>
      <c r="F146" s="24" t="s">
        <v>22657</v>
      </c>
      <c r="G146" s="25">
        <v>2</v>
      </c>
      <c r="H146" s="26"/>
      <c r="I146" s="27"/>
    </row>
    <row r="147" spans="1:9" ht="15.75" thickBot="1" x14ac:dyDescent="0.3">
      <c r="A147" s="43" t="s">
        <v>2271</v>
      </c>
      <c r="B147" s="21" t="s">
        <v>22401</v>
      </c>
      <c r="C147" s="21" t="s">
        <v>22682</v>
      </c>
      <c r="D147" s="22">
        <v>46034</v>
      </c>
      <c r="E147" s="23" t="s">
        <v>22658</v>
      </c>
      <c r="F147" s="24" t="s">
        <v>22657</v>
      </c>
      <c r="G147" s="25">
        <v>2</v>
      </c>
      <c r="H147" s="29"/>
      <c r="I147" s="30"/>
    </row>
    <row r="148" spans="1:9" ht="15.75" thickBot="1" x14ac:dyDescent="0.3">
      <c r="A148" s="43" t="s">
        <v>2272</v>
      </c>
      <c r="B148" s="21" t="s">
        <v>2273</v>
      </c>
      <c r="C148" s="21" t="s">
        <v>22682</v>
      </c>
      <c r="D148" s="22">
        <v>46034</v>
      </c>
      <c r="E148" s="23" t="s">
        <v>22658</v>
      </c>
      <c r="F148" s="24" t="s">
        <v>22657</v>
      </c>
      <c r="G148" s="25">
        <v>2</v>
      </c>
      <c r="H148" s="26"/>
      <c r="I148" s="27"/>
    </row>
    <row r="149" spans="1:9" ht="15.75" thickBot="1" x14ac:dyDescent="0.3">
      <c r="A149" s="43" t="s">
        <v>2274</v>
      </c>
      <c r="B149" s="21" t="s">
        <v>2275</v>
      </c>
      <c r="C149" s="21" t="s">
        <v>22672</v>
      </c>
      <c r="D149" s="22">
        <v>46026</v>
      </c>
      <c r="E149" s="23" t="s">
        <v>22656</v>
      </c>
      <c r="F149" s="24" t="s">
        <v>22657</v>
      </c>
      <c r="G149" s="25">
        <v>4</v>
      </c>
      <c r="H149" s="29"/>
      <c r="I149" s="30"/>
    </row>
    <row r="150" spans="1:9" ht="15.75" thickBot="1" x14ac:dyDescent="0.3">
      <c r="A150" s="43" t="s">
        <v>2276</v>
      </c>
      <c r="B150" s="21" t="s">
        <v>2277</v>
      </c>
      <c r="C150" s="21" t="s">
        <v>22672</v>
      </c>
      <c r="D150" s="22">
        <v>46032</v>
      </c>
      <c r="E150" s="23" t="s">
        <v>22658</v>
      </c>
      <c r="F150" s="24" t="s">
        <v>22657</v>
      </c>
      <c r="G150" s="25">
        <v>4</v>
      </c>
      <c r="H150" s="26"/>
      <c r="I150" s="27"/>
    </row>
    <row r="151" spans="1:9" ht="15.75" thickBot="1" x14ac:dyDescent="0.3">
      <c r="A151" s="43" t="s">
        <v>2278</v>
      </c>
      <c r="B151" s="21" t="s">
        <v>2279</v>
      </c>
      <c r="C151" s="21" t="s">
        <v>22672</v>
      </c>
      <c r="D151" s="22">
        <v>46032</v>
      </c>
      <c r="E151" s="23" t="s">
        <v>22658</v>
      </c>
      <c r="F151" s="24" t="s">
        <v>22657</v>
      </c>
      <c r="G151" s="25">
        <v>4</v>
      </c>
      <c r="H151" s="29"/>
      <c r="I151" s="30"/>
    </row>
    <row r="152" spans="1:9" ht="15.75" thickBot="1" x14ac:dyDescent="0.3">
      <c r="A152" s="43" t="s">
        <v>2280</v>
      </c>
      <c r="B152" s="21" t="s">
        <v>2281</v>
      </c>
      <c r="C152" s="21" t="s">
        <v>22672</v>
      </c>
      <c r="D152" s="22">
        <v>46032</v>
      </c>
      <c r="E152" s="23" t="s">
        <v>22658</v>
      </c>
      <c r="F152" s="24" t="s">
        <v>22657</v>
      </c>
      <c r="G152" s="25">
        <v>4</v>
      </c>
      <c r="H152" s="26"/>
      <c r="I152" s="27"/>
    </row>
    <row r="153" spans="1:9" ht="15.75" thickBot="1" x14ac:dyDescent="0.3">
      <c r="A153" s="43" t="s">
        <v>2282</v>
      </c>
      <c r="B153" s="21" t="s">
        <v>2283</v>
      </c>
      <c r="C153" s="21" t="s">
        <v>22672</v>
      </c>
      <c r="D153" s="22">
        <v>46028</v>
      </c>
      <c r="E153" s="23" t="s">
        <v>22656</v>
      </c>
      <c r="F153" s="24" t="s">
        <v>22657</v>
      </c>
      <c r="G153" s="25">
        <v>2</v>
      </c>
      <c r="H153" s="29"/>
      <c r="I153" s="30"/>
    </row>
    <row r="154" spans="1:9" ht="15.75" thickBot="1" x14ac:dyDescent="0.3">
      <c r="A154" s="43" t="s">
        <v>2284</v>
      </c>
      <c r="B154" s="21" t="s">
        <v>2285</v>
      </c>
      <c r="C154" s="21" t="s">
        <v>22672</v>
      </c>
      <c r="D154" s="22">
        <v>46028</v>
      </c>
      <c r="E154" s="23" t="s">
        <v>22656</v>
      </c>
      <c r="F154" s="24" t="s">
        <v>22657</v>
      </c>
      <c r="G154" s="25">
        <v>2</v>
      </c>
      <c r="H154" s="26"/>
      <c r="I154" s="27"/>
    </row>
    <row r="155" spans="1:9" ht="15.75" thickBot="1" x14ac:dyDescent="0.3">
      <c r="A155" s="43" t="s">
        <v>2286</v>
      </c>
      <c r="B155" s="21" t="s">
        <v>2287</v>
      </c>
      <c r="C155" s="21" t="s">
        <v>22672</v>
      </c>
      <c r="D155" s="22">
        <v>46032</v>
      </c>
      <c r="E155" s="23" t="s">
        <v>22656</v>
      </c>
      <c r="F155" s="24" t="s">
        <v>22657</v>
      </c>
      <c r="G155" s="25">
        <v>4</v>
      </c>
      <c r="H155" s="29"/>
      <c r="I155" s="30"/>
    </row>
    <row r="156" spans="1:9" ht="15.75" thickBot="1" x14ac:dyDescent="0.3">
      <c r="A156" s="43" t="s">
        <v>2288</v>
      </c>
      <c r="B156" s="21" t="s">
        <v>2289</v>
      </c>
      <c r="C156" s="21" t="s">
        <v>22672</v>
      </c>
      <c r="D156" s="22">
        <v>46032</v>
      </c>
      <c r="E156" s="23" t="s">
        <v>22656</v>
      </c>
      <c r="F156" s="24" t="s">
        <v>22657</v>
      </c>
      <c r="G156" s="25">
        <v>4</v>
      </c>
      <c r="H156" s="26"/>
      <c r="I156" s="27"/>
    </row>
    <row r="157" spans="1:9" ht="15.75" thickBot="1" x14ac:dyDescent="0.3">
      <c r="A157" s="43" t="s">
        <v>2290</v>
      </c>
      <c r="B157" s="21" t="s">
        <v>2291</v>
      </c>
      <c r="C157" s="21" t="s">
        <v>22672</v>
      </c>
      <c r="D157" s="22">
        <v>46034</v>
      </c>
      <c r="E157" s="23" t="s">
        <v>22658</v>
      </c>
      <c r="F157" s="24" t="s">
        <v>22657</v>
      </c>
      <c r="G157" s="25">
        <v>2</v>
      </c>
      <c r="H157" s="29"/>
      <c r="I157" s="30"/>
    </row>
    <row r="158" spans="1:9" ht="15.75" thickBot="1" x14ac:dyDescent="0.3">
      <c r="A158" s="43" t="s">
        <v>2292</v>
      </c>
      <c r="B158" s="21" t="s">
        <v>2293</v>
      </c>
      <c r="C158" s="21" t="s">
        <v>22672</v>
      </c>
      <c r="D158" s="31" t="s">
        <v>22683</v>
      </c>
      <c r="E158" s="23" t="s">
        <v>22661</v>
      </c>
      <c r="F158" s="24" t="s">
        <v>22657</v>
      </c>
      <c r="G158" s="25">
        <v>17</v>
      </c>
      <c r="H158" s="26"/>
      <c r="I158" s="27"/>
    </row>
    <row r="159" spans="1:9" ht="15.75" thickBot="1" x14ac:dyDescent="0.3">
      <c r="A159" s="43" t="s">
        <v>2294</v>
      </c>
      <c r="B159" s="21" t="s">
        <v>2295</v>
      </c>
      <c r="C159" s="21" t="s">
        <v>22672</v>
      </c>
      <c r="D159" s="22">
        <v>46042</v>
      </c>
      <c r="E159" s="23" t="s">
        <v>22656</v>
      </c>
      <c r="F159" s="24" t="s">
        <v>22657</v>
      </c>
      <c r="G159" s="25">
        <v>4</v>
      </c>
      <c r="H159" s="29"/>
      <c r="I159" s="30"/>
    </row>
    <row r="160" spans="1:9" ht="15.75" thickBot="1" x14ac:dyDescent="0.3">
      <c r="A160" s="43" t="s">
        <v>2296</v>
      </c>
      <c r="B160" s="21" t="s">
        <v>2297</v>
      </c>
      <c r="C160" s="21" t="s">
        <v>22672</v>
      </c>
      <c r="D160" s="22">
        <v>46032</v>
      </c>
      <c r="E160" s="23" t="s">
        <v>22656</v>
      </c>
      <c r="F160" s="24" t="s">
        <v>22657</v>
      </c>
      <c r="G160" s="25">
        <v>4</v>
      </c>
      <c r="H160" s="26"/>
      <c r="I160" s="27"/>
    </row>
    <row r="161" spans="1:9" ht="15.75" thickBot="1" x14ac:dyDescent="0.3">
      <c r="A161" s="43" t="s">
        <v>2298</v>
      </c>
      <c r="B161" s="21" t="s">
        <v>2299</v>
      </c>
      <c r="C161" s="21" t="s">
        <v>22672</v>
      </c>
      <c r="D161" s="22">
        <v>46042</v>
      </c>
      <c r="E161" s="23" t="s">
        <v>22656</v>
      </c>
      <c r="F161" s="24" t="s">
        <v>22657</v>
      </c>
      <c r="G161" s="25">
        <v>4</v>
      </c>
      <c r="H161" s="29"/>
      <c r="I161" s="30"/>
    </row>
    <row r="162" spans="1:9" ht="15.75" thickBot="1" x14ac:dyDescent="0.3">
      <c r="A162" s="43" t="s">
        <v>2300</v>
      </c>
      <c r="B162" s="21" t="s">
        <v>2301</v>
      </c>
      <c r="C162" s="21" t="s">
        <v>22672</v>
      </c>
      <c r="D162" s="22">
        <v>46042</v>
      </c>
      <c r="E162" s="23" t="s">
        <v>22656</v>
      </c>
      <c r="F162" s="24" t="s">
        <v>22657</v>
      </c>
      <c r="G162" s="25">
        <v>4</v>
      </c>
      <c r="H162" s="26"/>
      <c r="I162" s="27"/>
    </row>
    <row r="163" spans="1:9" ht="15.75" thickBot="1" x14ac:dyDescent="0.3">
      <c r="A163" s="43" t="s">
        <v>2302</v>
      </c>
      <c r="B163" s="21" t="s">
        <v>2303</v>
      </c>
      <c r="C163" s="21" t="s">
        <v>22672</v>
      </c>
      <c r="D163" s="22">
        <v>46042</v>
      </c>
      <c r="E163" s="23" t="s">
        <v>22658</v>
      </c>
      <c r="F163" s="24" t="s">
        <v>22657</v>
      </c>
      <c r="G163" s="25">
        <v>4</v>
      </c>
      <c r="H163" s="29"/>
      <c r="I163" s="30"/>
    </row>
    <row r="164" spans="1:9" ht="15.75" thickBot="1" x14ac:dyDescent="0.3">
      <c r="A164" s="43" t="s">
        <v>2304</v>
      </c>
      <c r="B164" s="21" t="s">
        <v>2305</v>
      </c>
      <c r="C164" s="21" t="s">
        <v>22672</v>
      </c>
      <c r="D164" s="22">
        <v>46042</v>
      </c>
      <c r="E164" s="23" t="s">
        <v>22656</v>
      </c>
      <c r="F164" s="24" t="s">
        <v>22657</v>
      </c>
      <c r="G164" s="25">
        <v>4</v>
      </c>
      <c r="H164" s="26"/>
      <c r="I164" s="27"/>
    </row>
    <row r="165" spans="1:9" ht="15.75" thickBot="1" x14ac:dyDescent="0.3">
      <c r="A165" s="43" t="s">
        <v>2306</v>
      </c>
      <c r="B165" s="21" t="s">
        <v>2307</v>
      </c>
      <c r="C165" s="21" t="s">
        <v>22672</v>
      </c>
      <c r="D165" s="22">
        <v>46042</v>
      </c>
      <c r="E165" s="23" t="s">
        <v>22656</v>
      </c>
      <c r="F165" s="24" t="s">
        <v>22657</v>
      </c>
      <c r="G165" s="25">
        <v>4</v>
      </c>
      <c r="H165" s="29"/>
      <c r="I165" s="30"/>
    </row>
    <row r="166" spans="1:9" ht="15.75" thickBot="1" x14ac:dyDescent="0.3">
      <c r="A166" s="43" t="s">
        <v>2308</v>
      </c>
      <c r="B166" s="21" t="s">
        <v>2309</v>
      </c>
      <c r="C166" s="21" t="s">
        <v>22672</v>
      </c>
      <c r="D166" s="22">
        <v>46042</v>
      </c>
      <c r="E166" s="23" t="s">
        <v>22656</v>
      </c>
      <c r="F166" s="24" t="s">
        <v>22657</v>
      </c>
      <c r="G166" s="25">
        <v>4</v>
      </c>
      <c r="H166" s="26"/>
      <c r="I166" s="27"/>
    </row>
    <row r="167" spans="1:9" ht="15.75" thickBot="1" x14ac:dyDescent="0.3">
      <c r="A167" s="43" t="s">
        <v>2310</v>
      </c>
      <c r="B167" s="21" t="s">
        <v>2311</v>
      </c>
      <c r="C167" s="21" t="s">
        <v>22672</v>
      </c>
      <c r="D167" s="22">
        <v>46032</v>
      </c>
      <c r="E167" s="23" t="s">
        <v>22656</v>
      </c>
      <c r="F167" s="24" t="s">
        <v>22657</v>
      </c>
      <c r="G167" s="25">
        <v>4</v>
      </c>
      <c r="H167" s="29"/>
      <c r="I167" s="30"/>
    </row>
    <row r="168" spans="1:9" ht="15.75" thickBot="1" x14ac:dyDescent="0.3">
      <c r="A168" s="43" t="s">
        <v>2312</v>
      </c>
      <c r="B168" s="21" t="s">
        <v>2313</v>
      </c>
      <c r="C168" s="21" t="s">
        <v>22672</v>
      </c>
      <c r="D168" s="22">
        <v>46042</v>
      </c>
      <c r="E168" s="23" t="s">
        <v>22656</v>
      </c>
      <c r="F168" s="24" t="s">
        <v>22657</v>
      </c>
      <c r="G168" s="25">
        <v>4</v>
      </c>
      <c r="H168" s="26"/>
      <c r="I168" s="27"/>
    </row>
    <row r="169" spans="1:9" ht="15.75" thickBot="1" x14ac:dyDescent="0.3">
      <c r="A169" s="43" t="s">
        <v>2314</v>
      </c>
      <c r="B169" s="21" t="s">
        <v>2315</v>
      </c>
      <c r="C169" s="21" t="s">
        <v>22672</v>
      </c>
      <c r="D169" s="22">
        <v>46032</v>
      </c>
      <c r="E169" s="23" t="s">
        <v>22656</v>
      </c>
      <c r="F169" s="24" t="s">
        <v>22657</v>
      </c>
      <c r="G169" s="25">
        <v>4</v>
      </c>
      <c r="H169" s="29"/>
      <c r="I169" s="30"/>
    </row>
    <row r="170" spans="1:9" ht="15.75" thickBot="1" x14ac:dyDescent="0.3">
      <c r="A170" s="43" t="s">
        <v>2316</v>
      </c>
      <c r="B170" s="21" t="s">
        <v>2317</v>
      </c>
      <c r="C170" s="21" t="s">
        <v>22672</v>
      </c>
      <c r="D170" s="22">
        <v>46032</v>
      </c>
      <c r="E170" s="23" t="s">
        <v>22658</v>
      </c>
      <c r="F170" s="24" t="s">
        <v>22657</v>
      </c>
      <c r="G170" s="25">
        <v>4</v>
      </c>
      <c r="H170" s="26"/>
      <c r="I170" s="27"/>
    </row>
    <row r="171" spans="1:9" ht="15.75" thickBot="1" x14ac:dyDescent="0.3">
      <c r="A171" s="43" t="s">
        <v>2318</v>
      </c>
      <c r="B171" s="21" t="s">
        <v>2319</v>
      </c>
      <c r="C171" s="21" t="s">
        <v>22672</v>
      </c>
      <c r="D171" s="22">
        <v>46032</v>
      </c>
      <c r="E171" s="23" t="s">
        <v>22656</v>
      </c>
      <c r="F171" s="24" t="s">
        <v>22657</v>
      </c>
      <c r="G171" s="25">
        <v>4</v>
      </c>
      <c r="H171" s="29"/>
      <c r="I171" s="30"/>
    </row>
    <row r="172" spans="1:9" ht="15.75" thickBot="1" x14ac:dyDescent="0.3">
      <c r="A172" s="43" t="s">
        <v>2320</v>
      </c>
      <c r="B172" s="21" t="s">
        <v>2321</v>
      </c>
      <c r="C172" s="21" t="s">
        <v>22672</v>
      </c>
      <c r="D172" s="22">
        <v>46032</v>
      </c>
      <c r="E172" s="23" t="s">
        <v>22656</v>
      </c>
      <c r="F172" s="24" t="s">
        <v>22657</v>
      </c>
      <c r="G172" s="25">
        <v>4</v>
      </c>
      <c r="H172" s="26"/>
      <c r="I172" s="27"/>
    </row>
    <row r="173" spans="1:9" ht="15.75" thickBot="1" x14ac:dyDescent="0.3">
      <c r="A173" s="43" t="s">
        <v>2322</v>
      </c>
      <c r="B173" s="21" t="s">
        <v>2323</v>
      </c>
      <c r="C173" s="21" t="s">
        <v>22672</v>
      </c>
      <c r="D173" s="22">
        <v>46032</v>
      </c>
      <c r="E173" s="23" t="s">
        <v>22656</v>
      </c>
      <c r="F173" s="24" t="s">
        <v>22657</v>
      </c>
      <c r="G173" s="25">
        <v>4</v>
      </c>
      <c r="H173" s="29"/>
      <c r="I173" s="30"/>
    </row>
    <row r="174" spans="1:9" ht="15.75" thickBot="1" x14ac:dyDescent="0.3">
      <c r="A174" s="43" t="s">
        <v>2324</v>
      </c>
      <c r="B174" s="21" t="s">
        <v>2325</v>
      </c>
      <c r="C174" s="21" t="s">
        <v>22672</v>
      </c>
      <c r="D174" s="22">
        <v>46042</v>
      </c>
      <c r="E174" s="23" t="s">
        <v>22656</v>
      </c>
      <c r="F174" s="24" t="s">
        <v>22657</v>
      </c>
      <c r="G174" s="25">
        <v>4</v>
      </c>
      <c r="H174" s="26"/>
      <c r="I174" s="27"/>
    </row>
    <row r="175" spans="1:9" ht="15.75" thickBot="1" x14ac:dyDescent="0.3">
      <c r="A175" s="43" t="s">
        <v>2326</v>
      </c>
      <c r="B175" s="21" t="s">
        <v>2327</v>
      </c>
      <c r="C175" s="21" t="s">
        <v>22672</v>
      </c>
      <c r="D175" s="22">
        <v>46042</v>
      </c>
      <c r="E175" s="23" t="s">
        <v>22656</v>
      </c>
      <c r="F175" s="24" t="s">
        <v>22657</v>
      </c>
      <c r="G175" s="25">
        <v>4</v>
      </c>
      <c r="H175" s="29"/>
      <c r="I175" s="30"/>
    </row>
    <row r="176" spans="1:9" ht="15.75" thickBot="1" x14ac:dyDescent="0.3">
      <c r="A176" s="43" t="s">
        <v>2328</v>
      </c>
      <c r="B176" s="21" t="s">
        <v>2329</v>
      </c>
      <c r="C176" s="21" t="s">
        <v>22672</v>
      </c>
      <c r="D176" s="22">
        <v>46042</v>
      </c>
      <c r="E176" s="23" t="s">
        <v>22656</v>
      </c>
      <c r="F176" s="24" t="s">
        <v>22657</v>
      </c>
      <c r="G176" s="25">
        <v>4</v>
      </c>
      <c r="H176" s="26"/>
      <c r="I176" s="27"/>
    </row>
    <row r="177" spans="1:9" ht="15.75" thickBot="1" x14ac:dyDescent="0.3">
      <c r="A177" s="43" t="s">
        <v>2330</v>
      </c>
      <c r="B177" s="21" t="s">
        <v>2331</v>
      </c>
      <c r="C177" s="21" t="s">
        <v>22672</v>
      </c>
      <c r="D177" s="22">
        <v>46042</v>
      </c>
      <c r="E177" s="23" t="s">
        <v>22656</v>
      </c>
      <c r="F177" s="24" t="s">
        <v>22657</v>
      </c>
      <c r="G177" s="25">
        <v>4</v>
      </c>
      <c r="H177" s="29"/>
      <c r="I177" s="30"/>
    </row>
    <row r="178" spans="1:9" ht="15.75" thickBot="1" x14ac:dyDescent="0.3">
      <c r="A178" s="43" t="s">
        <v>2332</v>
      </c>
      <c r="B178" s="21" t="s">
        <v>2333</v>
      </c>
      <c r="C178" s="21" t="s">
        <v>22672</v>
      </c>
      <c r="D178" s="22">
        <v>46042</v>
      </c>
      <c r="E178" s="23" t="s">
        <v>22661</v>
      </c>
      <c r="F178" s="24" t="s">
        <v>22657</v>
      </c>
      <c r="G178" s="25">
        <v>6</v>
      </c>
      <c r="H178" s="34">
        <v>6</v>
      </c>
      <c r="I178" s="35">
        <v>10</v>
      </c>
    </row>
    <row r="179" spans="1:9" ht="15.75" thickBot="1" x14ac:dyDescent="0.3">
      <c r="A179" s="43" t="s">
        <v>2334</v>
      </c>
      <c r="B179" s="21" t="s">
        <v>2335</v>
      </c>
      <c r="C179" s="21" t="s">
        <v>22672</v>
      </c>
      <c r="D179" s="22">
        <v>46042</v>
      </c>
      <c r="E179" s="23" t="s">
        <v>22656</v>
      </c>
      <c r="F179" s="24" t="s">
        <v>22657</v>
      </c>
      <c r="G179" s="25">
        <v>4</v>
      </c>
      <c r="H179" s="29"/>
      <c r="I179" s="30"/>
    </row>
    <row r="180" spans="1:9" ht="15.75" thickBot="1" x14ac:dyDescent="0.3">
      <c r="A180" s="43" t="s">
        <v>2336</v>
      </c>
      <c r="B180" s="21" t="s">
        <v>2337</v>
      </c>
      <c r="C180" s="21" t="s">
        <v>22672</v>
      </c>
      <c r="D180" s="22">
        <v>46042</v>
      </c>
      <c r="E180" s="23" t="s">
        <v>22656</v>
      </c>
      <c r="F180" s="24" t="s">
        <v>22657</v>
      </c>
      <c r="G180" s="25">
        <v>4</v>
      </c>
      <c r="H180" s="26"/>
      <c r="I180" s="27"/>
    </row>
    <row r="181" spans="1:9" ht="15.75" thickBot="1" x14ac:dyDescent="0.3">
      <c r="A181" s="43" t="s">
        <v>2338</v>
      </c>
      <c r="B181" s="21" t="s">
        <v>2339</v>
      </c>
      <c r="C181" s="21" t="s">
        <v>22672</v>
      </c>
      <c r="D181" s="22">
        <v>46042</v>
      </c>
      <c r="E181" s="23" t="s">
        <v>22656</v>
      </c>
      <c r="F181" s="24" t="s">
        <v>22657</v>
      </c>
      <c r="G181" s="25">
        <v>4</v>
      </c>
      <c r="H181" s="29"/>
      <c r="I181" s="30"/>
    </row>
    <row r="182" spans="1:9" ht="15.75" thickBot="1" x14ac:dyDescent="0.3">
      <c r="A182" s="43" t="s">
        <v>2340</v>
      </c>
      <c r="B182" s="21" t="s">
        <v>2341</v>
      </c>
      <c r="C182" s="21" t="s">
        <v>22672</v>
      </c>
      <c r="D182" s="22">
        <v>46042</v>
      </c>
      <c r="E182" s="23" t="s">
        <v>22656</v>
      </c>
      <c r="F182" s="24" t="s">
        <v>22657</v>
      </c>
      <c r="G182" s="25">
        <v>4</v>
      </c>
      <c r="H182" s="26"/>
      <c r="I182" s="27"/>
    </row>
    <row r="183" spans="1:9" ht="15.75" thickBot="1" x14ac:dyDescent="0.3">
      <c r="A183" s="43" t="s">
        <v>2342</v>
      </c>
      <c r="B183" s="21" t="s">
        <v>2343</v>
      </c>
      <c r="C183" s="21" t="s">
        <v>22672</v>
      </c>
      <c r="D183" s="22">
        <v>46042</v>
      </c>
      <c r="E183" s="23" t="s">
        <v>22656</v>
      </c>
      <c r="F183" s="24" t="s">
        <v>22657</v>
      </c>
      <c r="G183" s="25">
        <v>4</v>
      </c>
      <c r="H183" s="29"/>
      <c r="I183" s="30"/>
    </row>
    <row r="184" spans="1:9" ht="15.75" thickBot="1" x14ac:dyDescent="0.3">
      <c r="A184" s="43" t="s">
        <v>2344</v>
      </c>
      <c r="B184" s="21" t="s">
        <v>2345</v>
      </c>
      <c r="C184" s="21" t="s">
        <v>22672</v>
      </c>
      <c r="D184" s="22">
        <v>46042</v>
      </c>
      <c r="E184" s="23" t="s">
        <v>22656</v>
      </c>
      <c r="F184" s="24" t="s">
        <v>22657</v>
      </c>
      <c r="G184" s="25">
        <v>4</v>
      </c>
      <c r="H184" s="26"/>
      <c r="I184" s="27"/>
    </row>
    <row r="185" spans="1:9" ht="15.75" thickBot="1" x14ac:dyDescent="0.3">
      <c r="A185" s="43" t="s">
        <v>2346</v>
      </c>
      <c r="B185" s="21" t="s">
        <v>2347</v>
      </c>
      <c r="C185" s="21" t="s">
        <v>22672</v>
      </c>
      <c r="D185" s="22">
        <v>46042</v>
      </c>
      <c r="E185" s="23" t="s">
        <v>22656</v>
      </c>
      <c r="F185" s="24" t="s">
        <v>22657</v>
      </c>
      <c r="G185" s="25">
        <v>4</v>
      </c>
      <c r="H185" s="29"/>
      <c r="I185" s="30"/>
    </row>
    <row r="186" spans="1:9" ht="15.75" thickBot="1" x14ac:dyDescent="0.3">
      <c r="A186" s="43" t="s">
        <v>2348</v>
      </c>
      <c r="B186" s="21" t="s">
        <v>2349</v>
      </c>
      <c r="C186" s="21" t="s">
        <v>22672</v>
      </c>
      <c r="D186" s="22">
        <v>46042</v>
      </c>
      <c r="E186" s="23" t="s">
        <v>22656</v>
      </c>
      <c r="F186" s="24" t="s">
        <v>22657</v>
      </c>
      <c r="G186" s="25">
        <v>4</v>
      </c>
      <c r="H186" s="26"/>
      <c r="I186" s="27"/>
    </row>
    <row r="187" spans="1:9" ht="15.75" thickBot="1" x14ac:dyDescent="0.3">
      <c r="A187" s="43" t="s">
        <v>2350</v>
      </c>
      <c r="B187" s="21" t="s">
        <v>2351</v>
      </c>
      <c r="C187" s="21" t="s">
        <v>22672</v>
      </c>
      <c r="D187" s="22">
        <v>46032</v>
      </c>
      <c r="E187" s="23" t="s">
        <v>22656</v>
      </c>
      <c r="F187" s="24" t="s">
        <v>22657</v>
      </c>
      <c r="G187" s="25">
        <v>4</v>
      </c>
      <c r="H187" s="29"/>
      <c r="I187" s="30"/>
    </row>
    <row r="188" spans="1:9" ht="15.75" thickBot="1" x14ac:dyDescent="0.3">
      <c r="A188" s="43" t="s">
        <v>2352</v>
      </c>
      <c r="B188" s="21" t="s">
        <v>2353</v>
      </c>
      <c r="C188" s="21" t="s">
        <v>22672</v>
      </c>
      <c r="D188" s="22">
        <v>46042</v>
      </c>
      <c r="E188" s="23" t="s">
        <v>22656</v>
      </c>
      <c r="F188" s="24" t="s">
        <v>22657</v>
      </c>
      <c r="G188" s="25">
        <v>4</v>
      </c>
      <c r="H188" s="26"/>
      <c r="I188" s="27"/>
    </row>
    <row r="189" spans="1:9" ht="15.75" thickBot="1" x14ac:dyDescent="0.3">
      <c r="A189" s="43" t="s">
        <v>2354</v>
      </c>
      <c r="B189" s="21" t="s">
        <v>2355</v>
      </c>
      <c r="C189" s="21" t="s">
        <v>22672</v>
      </c>
      <c r="D189" s="22">
        <v>46042</v>
      </c>
      <c r="E189" s="23" t="s">
        <v>22656</v>
      </c>
      <c r="F189" s="24" t="s">
        <v>22657</v>
      </c>
      <c r="G189" s="25">
        <v>4</v>
      </c>
      <c r="H189" s="29"/>
      <c r="I189" s="30"/>
    </row>
    <row r="190" spans="1:9" ht="15.75" thickBot="1" x14ac:dyDescent="0.3">
      <c r="A190" s="43" t="s">
        <v>2356</v>
      </c>
      <c r="B190" s="21" t="s">
        <v>2357</v>
      </c>
      <c r="C190" s="21" t="s">
        <v>22672</v>
      </c>
      <c r="D190" s="22">
        <v>46042</v>
      </c>
      <c r="E190" s="23" t="s">
        <v>22656</v>
      </c>
      <c r="F190" s="24" t="s">
        <v>22657</v>
      </c>
      <c r="G190" s="25">
        <v>4</v>
      </c>
      <c r="H190" s="26"/>
      <c r="I190" s="27"/>
    </row>
    <row r="191" spans="1:9" ht="15.75" thickBot="1" x14ac:dyDescent="0.3">
      <c r="A191" s="43" t="s">
        <v>2358</v>
      </c>
      <c r="B191" s="21" t="s">
        <v>2359</v>
      </c>
      <c r="C191" s="21" t="s">
        <v>22672</v>
      </c>
      <c r="D191" s="22">
        <v>46032</v>
      </c>
      <c r="E191" s="23" t="s">
        <v>22656</v>
      </c>
      <c r="F191" s="24" t="s">
        <v>22657</v>
      </c>
      <c r="G191" s="25">
        <v>4</v>
      </c>
      <c r="H191" s="29"/>
      <c r="I191" s="30"/>
    </row>
    <row r="192" spans="1:9" ht="15.75" thickBot="1" x14ac:dyDescent="0.3">
      <c r="A192" s="43" t="s">
        <v>2360</v>
      </c>
      <c r="B192" s="21" t="s">
        <v>2361</v>
      </c>
      <c r="C192" s="21" t="s">
        <v>22672</v>
      </c>
      <c r="D192" s="22">
        <v>46032</v>
      </c>
      <c r="E192" s="23" t="s">
        <v>22656</v>
      </c>
      <c r="F192" s="24" t="s">
        <v>22657</v>
      </c>
      <c r="G192" s="25">
        <v>4</v>
      </c>
      <c r="H192" s="26"/>
      <c r="I192" s="27"/>
    </row>
    <row r="193" spans="1:9" ht="15.75" thickBot="1" x14ac:dyDescent="0.3">
      <c r="A193" s="43" t="s">
        <v>2362</v>
      </c>
      <c r="B193" s="21" t="s">
        <v>2363</v>
      </c>
      <c r="C193" s="21" t="s">
        <v>22672</v>
      </c>
      <c r="D193" s="22">
        <v>46042</v>
      </c>
      <c r="E193" s="23" t="s">
        <v>22658</v>
      </c>
      <c r="F193" s="24" t="s">
        <v>22657</v>
      </c>
      <c r="G193" s="25">
        <v>4</v>
      </c>
      <c r="H193" s="29"/>
      <c r="I193" s="30"/>
    </row>
    <row r="194" spans="1:9" ht="15.75" thickBot="1" x14ac:dyDescent="0.3">
      <c r="A194" s="43" t="s">
        <v>2364</v>
      </c>
      <c r="B194" s="21" t="s">
        <v>2365</v>
      </c>
      <c r="C194" s="21" t="s">
        <v>22672</v>
      </c>
      <c r="D194" s="22">
        <v>46042</v>
      </c>
      <c r="E194" s="23" t="s">
        <v>22658</v>
      </c>
      <c r="F194" s="24" t="s">
        <v>22657</v>
      </c>
      <c r="G194" s="25">
        <v>4</v>
      </c>
      <c r="H194" s="26"/>
      <c r="I194" s="27"/>
    </row>
    <row r="195" spans="1:9" ht="15.75" thickBot="1" x14ac:dyDescent="0.3">
      <c r="A195" s="43" t="s">
        <v>2366</v>
      </c>
      <c r="B195" s="21" t="s">
        <v>2367</v>
      </c>
      <c r="C195" s="21" t="s">
        <v>22672</v>
      </c>
      <c r="D195" s="22">
        <v>46032</v>
      </c>
      <c r="E195" s="23" t="s">
        <v>22656</v>
      </c>
      <c r="F195" s="24" t="s">
        <v>22657</v>
      </c>
      <c r="G195" s="25">
        <v>4</v>
      </c>
      <c r="H195" s="29"/>
      <c r="I195" s="30"/>
    </row>
    <row r="196" spans="1:9" ht="15.75" thickBot="1" x14ac:dyDescent="0.3">
      <c r="A196" s="43" t="s">
        <v>2368</v>
      </c>
      <c r="B196" s="21" t="s">
        <v>2369</v>
      </c>
      <c r="C196" s="21" t="s">
        <v>22672</v>
      </c>
      <c r="D196" s="22">
        <v>46046</v>
      </c>
      <c r="E196" s="23" t="s">
        <v>22656</v>
      </c>
      <c r="F196" s="24" t="s">
        <v>22657</v>
      </c>
      <c r="G196" s="25">
        <v>2</v>
      </c>
      <c r="H196" s="26"/>
      <c r="I196" s="27"/>
    </row>
    <row r="197" spans="1:9" ht="15.75" thickBot="1" x14ac:dyDescent="0.3">
      <c r="A197" s="43" t="s">
        <v>2370</v>
      </c>
      <c r="B197" s="21" t="s">
        <v>2371</v>
      </c>
      <c r="C197" s="21" t="s">
        <v>22672</v>
      </c>
      <c r="D197" s="22">
        <v>46026</v>
      </c>
      <c r="E197" s="23" t="s">
        <v>22656</v>
      </c>
      <c r="F197" s="24" t="s">
        <v>22657</v>
      </c>
      <c r="G197" s="25">
        <v>2</v>
      </c>
      <c r="H197" s="29"/>
      <c r="I197" s="30"/>
    </row>
    <row r="198" spans="1:9" ht="15.75" thickBot="1" x14ac:dyDescent="0.3">
      <c r="A198" s="43" t="s">
        <v>2372</v>
      </c>
      <c r="B198" s="21" t="s">
        <v>2373</v>
      </c>
      <c r="C198" s="21" t="s">
        <v>22672</v>
      </c>
      <c r="D198" s="22">
        <v>46032</v>
      </c>
      <c r="E198" s="23" t="s">
        <v>22656</v>
      </c>
      <c r="F198" s="24" t="s">
        <v>22657</v>
      </c>
      <c r="G198" s="25">
        <v>4</v>
      </c>
      <c r="H198" s="26"/>
      <c r="I198" s="27"/>
    </row>
    <row r="199" spans="1:9" ht="15.75" thickBot="1" x14ac:dyDescent="0.3">
      <c r="A199" s="43" t="s">
        <v>2374</v>
      </c>
      <c r="B199" s="21" t="s">
        <v>2375</v>
      </c>
      <c r="C199" s="21" t="s">
        <v>22672</v>
      </c>
      <c r="D199" s="22">
        <v>46032</v>
      </c>
      <c r="E199" s="23" t="s">
        <v>22656</v>
      </c>
      <c r="F199" s="24" t="s">
        <v>22657</v>
      </c>
      <c r="G199" s="25">
        <v>4</v>
      </c>
      <c r="H199" s="29"/>
      <c r="I199" s="30"/>
    </row>
    <row r="200" spans="1:9" ht="15.75" thickBot="1" x14ac:dyDescent="0.3">
      <c r="A200" s="43" t="s">
        <v>2376</v>
      </c>
      <c r="B200" s="21" t="s">
        <v>2377</v>
      </c>
      <c r="C200" s="21" t="s">
        <v>22672</v>
      </c>
      <c r="D200" s="22">
        <v>46032</v>
      </c>
      <c r="E200" s="23" t="s">
        <v>22656</v>
      </c>
      <c r="F200" s="24" t="s">
        <v>22657</v>
      </c>
      <c r="G200" s="25">
        <v>4</v>
      </c>
      <c r="H200" s="26"/>
      <c r="I200" s="27"/>
    </row>
    <row r="201" spans="1:9" ht="15.75" thickBot="1" x14ac:dyDescent="0.3">
      <c r="A201" s="43" t="s">
        <v>2378</v>
      </c>
      <c r="B201" s="21" t="s">
        <v>2379</v>
      </c>
      <c r="C201" s="21" t="s">
        <v>22672</v>
      </c>
      <c r="D201" s="22">
        <v>46042</v>
      </c>
      <c r="E201" s="23" t="s">
        <v>22656</v>
      </c>
      <c r="F201" s="24" t="s">
        <v>22657</v>
      </c>
      <c r="G201" s="25">
        <v>4</v>
      </c>
      <c r="H201" s="29"/>
      <c r="I201" s="30"/>
    </row>
    <row r="202" spans="1:9" ht="15.75" thickBot="1" x14ac:dyDescent="0.3">
      <c r="A202" s="43" t="s">
        <v>2380</v>
      </c>
      <c r="B202" s="21" t="s">
        <v>2381</v>
      </c>
      <c r="C202" s="21" t="s">
        <v>22672</v>
      </c>
      <c r="D202" s="22">
        <v>46046</v>
      </c>
      <c r="E202" s="23" t="s">
        <v>22656</v>
      </c>
      <c r="F202" s="24" t="s">
        <v>22657</v>
      </c>
      <c r="G202" s="25">
        <v>2</v>
      </c>
      <c r="H202" s="26"/>
      <c r="I202" s="27"/>
    </row>
    <row r="203" spans="1:9" ht="15.75" thickBot="1" x14ac:dyDescent="0.3">
      <c r="A203" s="43" t="s">
        <v>2382</v>
      </c>
      <c r="B203" s="21" t="s">
        <v>2383</v>
      </c>
      <c r="C203" s="21" t="s">
        <v>22672</v>
      </c>
      <c r="D203" s="22">
        <v>46042</v>
      </c>
      <c r="E203" s="23" t="s">
        <v>22656</v>
      </c>
      <c r="F203" s="24" t="s">
        <v>22657</v>
      </c>
      <c r="G203" s="25">
        <v>4</v>
      </c>
      <c r="H203" s="29"/>
      <c r="I203" s="30"/>
    </row>
    <row r="204" spans="1:9" ht="15.75" thickBot="1" x14ac:dyDescent="0.3">
      <c r="A204" s="43" t="s">
        <v>2384</v>
      </c>
      <c r="B204" s="21" t="s">
        <v>2385</v>
      </c>
      <c r="C204" s="21" t="s">
        <v>22672</v>
      </c>
      <c r="D204" s="22">
        <v>46042</v>
      </c>
      <c r="E204" s="23" t="s">
        <v>22656</v>
      </c>
      <c r="F204" s="24" t="s">
        <v>22657</v>
      </c>
      <c r="G204" s="25">
        <v>4</v>
      </c>
      <c r="H204" s="26"/>
      <c r="I204" s="27"/>
    </row>
    <row r="205" spans="1:9" ht="15.75" thickBot="1" x14ac:dyDescent="0.3">
      <c r="A205" s="43" t="s">
        <v>2386</v>
      </c>
      <c r="B205" s="21" t="s">
        <v>2387</v>
      </c>
      <c r="C205" s="21" t="s">
        <v>22684</v>
      </c>
      <c r="D205" s="22">
        <v>46042</v>
      </c>
      <c r="E205" s="23" t="s">
        <v>22656</v>
      </c>
      <c r="F205" s="24" t="s">
        <v>22657</v>
      </c>
      <c r="G205" s="25">
        <v>4</v>
      </c>
      <c r="H205" s="29"/>
      <c r="I205" s="30"/>
    </row>
    <row r="206" spans="1:9" ht="15.75" thickBot="1" x14ac:dyDescent="0.3">
      <c r="A206" s="43" t="s">
        <v>2388</v>
      </c>
      <c r="B206" s="21" t="s">
        <v>2389</v>
      </c>
      <c r="C206" s="21" t="s">
        <v>22684</v>
      </c>
      <c r="D206" s="22">
        <v>46042</v>
      </c>
      <c r="E206" s="23" t="s">
        <v>22656</v>
      </c>
      <c r="F206" s="24" t="s">
        <v>22657</v>
      </c>
      <c r="G206" s="25">
        <v>4</v>
      </c>
      <c r="H206" s="26"/>
      <c r="I206" s="27"/>
    </row>
    <row r="207" spans="1:9" ht="15.75" thickBot="1" x14ac:dyDescent="0.3">
      <c r="A207" s="43" t="s">
        <v>2390</v>
      </c>
      <c r="B207" s="21" t="s">
        <v>2391</v>
      </c>
      <c r="C207" s="21" t="s">
        <v>22672</v>
      </c>
      <c r="D207" s="22">
        <v>46042</v>
      </c>
      <c r="E207" s="23" t="s">
        <v>22656</v>
      </c>
      <c r="F207" s="24" t="s">
        <v>22657</v>
      </c>
      <c r="G207" s="25">
        <v>4</v>
      </c>
      <c r="H207" s="29"/>
      <c r="I207" s="30"/>
    </row>
    <row r="208" spans="1:9" ht="15.75" thickBot="1" x14ac:dyDescent="0.3">
      <c r="A208" s="43" t="s">
        <v>2392</v>
      </c>
      <c r="B208" s="21" t="s">
        <v>2393</v>
      </c>
      <c r="C208" s="21" t="s">
        <v>22672</v>
      </c>
      <c r="D208" s="22">
        <v>46032</v>
      </c>
      <c r="E208" s="23" t="s">
        <v>22656</v>
      </c>
      <c r="F208" s="24" t="s">
        <v>22657</v>
      </c>
      <c r="G208" s="25">
        <v>4</v>
      </c>
      <c r="H208" s="26"/>
      <c r="I208" s="27"/>
    </row>
    <row r="209" spans="1:9" ht="15.75" thickBot="1" x14ac:dyDescent="0.3">
      <c r="A209" s="43" t="s">
        <v>2394</v>
      </c>
      <c r="B209" s="21" t="s">
        <v>2395</v>
      </c>
      <c r="C209" s="21" t="s">
        <v>22672</v>
      </c>
      <c r="D209" s="22">
        <v>46032</v>
      </c>
      <c r="E209" s="23" t="s">
        <v>22656</v>
      </c>
      <c r="F209" s="24" t="s">
        <v>22657</v>
      </c>
      <c r="G209" s="25">
        <v>4</v>
      </c>
      <c r="H209" s="29"/>
      <c r="I209" s="30"/>
    </row>
    <row r="210" spans="1:9" ht="15.75" thickBot="1" x14ac:dyDescent="0.3">
      <c r="A210" s="43" t="s">
        <v>2396</v>
      </c>
      <c r="B210" s="21" t="s">
        <v>2397</v>
      </c>
      <c r="C210" s="21" t="s">
        <v>22672</v>
      </c>
      <c r="D210" s="22">
        <v>46042</v>
      </c>
      <c r="E210" s="23" t="s">
        <v>22656</v>
      </c>
      <c r="F210" s="24" t="s">
        <v>22657</v>
      </c>
      <c r="G210" s="25">
        <v>4</v>
      </c>
      <c r="H210" s="26"/>
      <c r="I210" s="27"/>
    </row>
    <row r="211" spans="1:9" ht="15.75" thickBot="1" x14ac:dyDescent="0.3">
      <c r="A211" s="43" t="s">
        <v>2398</v>
      </c>
      <c r="B211" s="21" t="s">
        <v>2399</v>
      </c>
      <c r="C211" s="21" t="s">
        <v>22672</v>
      </c>
      <c r="D211" s="22">
        <v>46032</v>
      </c>
      <c r="E211" s="23" t="s">
        <v>22656</v>
      </c>
      <c r="F211" s="24" t="s">
        <v>22657</v>
      </c>
      <c r="G211" s="25">
        <v>4</v>
      </c>
      <c r="H211" s="29"/>
      <c r="I211" s="30"/>
    </row>
    <row r="212" spans="1:9" ht="15.75" thickBot="1" x14ac:dyDescent="0.3">
      <c r="A212" s="43" t="s">
        <v>2400</v>
      </c>
      <c r="B212" s="21" t="s">
        <v>2401</v>
      </c>
      <c r="C212" s="21" t="s">
        <v>22672</v>
      </c>
      <c r="D212" s="22">
        <v>46026</v>
      </c>
      <c r="E212" s="23" t="s">
        <v>22656</v>
      </c>
      <c r="F212" s="24" t="s">
        <v>22657</v>
      </c>
      <c r="G212" s="25">
        <v>2</v>
      </c>
      <c r="H212" s="26"/>
      <c r="I212" s="27"/>
    </row>
    <row r="213" spans="1:9" ht="15.75" thickBot="1" x14ac:dyDescent="0.3">
      <c r="A213" s="43" t="s">
        <v>2402</v>
      </c>
      <c r="B213" s="21" t="s">
        <v>2403</v>
      </c>
      <c r="C213" s="21" t="s">
        <v>22672</v>
      </c>
      <c r="D213" s="22">
        <v>46032</v>
      </c>
      <c r="E213" s="23" t="s">
        <v>22656</v>
      </c>
      <c r="F213" s="24" t="s">
        <v>22657</v>
      </c>
      <c r="G213" s="25">
        <v>4</v>
      </c>
      <c r="H213" s="29"/>
      <c r="I213" s="30"/>
    </row>
    <row r="214" spans="1:9" ht="15.75" thickBot="1" x14ac:dyDescent="0.3">
      <c r="A214" s="43" t="s">
        <v>2404</v>
      </c>
      <c r="B214" s="21" t="s">
        <v>2405</v>
      </c>
      <c r="C214" s="21" t="s">
        <v>22672</v>
      </c>
      <c r="D214" s="22">
        <v>46042</v>
      </c>
      <c r="E214" s="23" t="s">
        <v>22658</v>
      </c>
      <c r="F214" s="24" t="s">
        <v>22657</v>
      </c>
      <c r="G214" s="25">
        <v>4</v>
      </c>
      <c r="H214" s="26"/>
      <c r="I214" s="27"/>
    </row>
    <row r="215" spans="1:9" ht="15.75" thickBot="1" x14ac:dyDescent="0.3">
      <c r="A215" s="43" t="s">
        <v>2406</v>
      </c>
      <c r="B215" s="21" t="s">
        <v>2407</v>
      </c>
      <c r="C215" s="21" t="s">
        <v>22672</v>
      </c>
      <c r="D215" s="22">
        <v>46032</v>
      </c>
      <c r="E215" s="23" t="s">
        <v>22656</v>
      </c>
      <c r="F215" s="24" t="s">
        <v>22657</v>
      </c>
      <c r="G215" s="25">
        <v>4</v>
      </c>
      <c r="H215" s="29"/>
      <c r="I215" s="30"/>
    </row>
    <row r="216" spans="1:9" ht="15.75" thickBot="1" x14ac:dyDescent="0.3">
      <c r="A216" s="43" t="s">
        <v>2408</v>
      </c>
      <c r="B216" s="21" t="s">
        <v>2409</v>
      </c>
      <c r="C216" s="21" t="s">
        <v>22672</v>
      </c>
      <c r="D216" s="22">
        <v>46042</v>
      </c>
      <c r="E216" s="23" t="s">
        <v>22656</v>
      </c>
      <c r="F216" s="24" t="s">
        <v>22657</v>
      </c>
      <c r="G216" s="25">
        <v>4</v>
      </c>
      <c r="H216" s="26"/>
      <c r="I216" s="27"/>
    </row>
    <row r="217" spans="1:9" ht="15.75" thickBot="1" x14ac:dyDescent="0.3">
      <c r="A217" s="43" t="s">
        <v>2410</v>
      </c>
      <c r="B217" s="21" t="s">
        <v>2411</v>
      </c>
      <c r="C217" s="21" t="s">
        <v>22672</v>
      </c>
      <c r="D217" s="22">
        <v>46042</v>
      </c>
      <c r="E217" s="23" t="s">
        <v>22656</v>
      </c>
      <c r="F217" s="24" t="s">
        <v>22657</v>
      </c>
      <c r="G217" s="25">
        <v>4</v>
      </c>
      <c r="H217" s="29"/>
      <c r="I217" s="30"/>
    </row>
    <row r="218" spans="1:9" ht="15.75" thickBot="1" x14ac:dyDescent="0.3">
      <c r="A218" s="43" t="s">
        <v>2412</v>
      </c>
      <c r="B218" s="21" t="s">
        <v>2413</v>
      </c>
      <c r="C218" s="21" t="s">
        <v>22672</v>
      </c>
      <c r="D218" s="22">
        <v>46042</v>
      </c>
      <c r="E218" s="23" t="s">
        <v>22658</v>
      </c>
      <c r="F218" s="24" t="s">
        <v>22657</v>
      </c>
      <c r="G218" s="25">
        <v>4</v>
      </c>
      <c r="H218" s="26"/>
      <c r="I218" s="27"/>
    </row>
    <row r="219" spans="1:9" ht="15.75" thickBot="1" x14ac:dyDescent="0.3">
      <c r="A219" s="43" t="s">
        <v>2414</v>
      </c>
      <c r="B219" s="21" t="s">
        <v>2415</v>
      </c>
      <c r="C219" s="21" t="s">
        <v>22672</v>
      </c>
      <c r="D219" s="22">
        <v>46042</v>
      </c>
      <c r="E219" s="23" t="s">
        <v>22658</v>
      </c>
      <c r="F219" s="24" t="s">
        <v>22657</v>
      </c>
      <c r="G219" s="25">
        <v>1</v>
      </c>
      <c r="H219" s="29"/>
      <c r="I219" s="30"/>
    </row>
    <row r="220" spans="1:9" ht="15.75" thickBot="1" x14ac:dyDescent="0.3">
      <c r="A220" s="43" t="s">
        <v>2416</v>
      </c>
      <c r="B220" s="21" t="s">
        <v>2417</v>
      </c>
      <c r="C220" s="21" t="s">
        <v>22672</v>
      </c>
      <c r="D220" s="22">
        <v>46042</v>
      </c>
      <c r="E220" s="23" t="s">
        <v>22656</v>
      </c>
      <c r="F220" s="24" t="s">
        <v>22657</v>
      </c>
      <c r="G220" s="25">
        <v>4</v>
      </c>
      <c r="H220" s="26"/>
      <c r="I220" s="27"/>
    </row>
    <row r="221" spans="1:9" ht="15.75" thickBot="1" x14ac:dyDescent="0.3">
      <c r="A221" s="43" t="s">
        <v>2418</v>
      </c>
      <c r="B221" s="21" t="s">
        <v>2419</v>
      </c>
      <c r="C221" s="21" t="s">
        <v>22672</v>
      </c>
      <c r="D221" s="22">
        <v>46042</v>
      </c>
      <c r="E221" s="23" t="s">
        <v>22656</v>
      </c>
      <c r="F221" s="24" t="s">
        <v>22657</v>
      </c>
      <c r="G221" s="25">
        <v>4</v>
      </c>
      <c r="H221" s="29"/>
      <c r="I221" s="30"/>
    </row>
    <row r="222" spans="1:9" ht="15.75" thickBot="1" x14ac:dyDescent="0.3">
      <c r="A222" s="43" t="s">
        <v>2420</v>
      </c>
      <c r="B222" s="21" t="s">
        <v>2421</v>
      </c>
      <c r="C222" s="21" t="s">
        <v>22672</v>
      </c>
      <c r="D222" s="22">
        <v>46042</v>
      </c>
      <c r="E222" s="23" t="s">
        <v>22656</v>
      </c>
      <c r="F222" s="24" t="s">
        <v>22657</v>
      </c>
      <c r="G222" s="25">
        <v>4</v>
      </c>
      <c r="H222" s="26"/>
      <c r="I222" s="27"/>
    </row>
    <row r="223" spans="1:9" ht="15.75" thickBot="1" x14ac:dyDescent="0.3">
      <c r="A223" s="43" t="s">
        <v>2422</v>
      </c>
      <c r="B223" s="21" t="s">
        <v>2423</v>
      </c>
      <c r="C223" s="21" t="s">
        <v>22672</v>
      </c>
      <c r="D223" s="22">
        <v>46042</v>
      </c>
      <c r="E223" s="23" t="s">
        <v>22656</v>
      </c>
      <c r="F223" s="24" t="s">
        <v>22657</v>
      </c>
      <c r="G223" s="25">
        <v>4</v>
      </c>
      <c r="H223" s="29"/>
      <c r="I223" s="30"/>
    </row>
    <row r="224" spans="1:9" ht="15.75" thickBot="1" x14ac:dyDescent="0.3">
      <c r="A224" s="43" t="s">
        <v>2424</v>
      </c>
      <c r="B224" s="21" t="s">
        <v>2425</v>
      </c>
      <c r="C224" s="21" t="s">
        <v>22672</v>
      </c>
      <c r="D224" s="22">
        <v>46042</v>
      </c>
      <c r="E224" s="23" t="s">
        <v>22656</v>
      </c>
      <c r="F224" s="24" t="s">
        <v>22657</v>
      </c>
      <c r="G224" s="25">
        <v>4</v>
      </c>
      <c r="H224" s="26"/>
      <c r="I224" s="27"/>
    </row>
    <row r="225" spans="1:9" ht="15.75" thickBot="1" x14ac:dyDescent="0.3">
      <c r="A225" s="43" t="s">
        <v>2426</v>
      </c>
      <c r="B225" s="21" t="s">
        <v>2427</v>
      </c>
      <c r="C225" s="21" t="s">
        <v>22672</v>
      </c>
      <c r="D225" s="22">
        <v>46042</v>
      </c>
      <c r="E225" s="23" t="s">
        <v>22656</v>
      </c>
      <c r="F225" s="24" t="s">
        <v>22657</v>
      </c>
      <c r="G225" s="25">
        <v>4</v>
      </c>
      <c r="H225" s="29"/>
      <c r="I225" s="30"/>
    </row>
    <row r="226" spans="1:9" ht="15.75" thickBot="1" x14ac:dyDescent="0.3">
      <c r="A226" s="43" t="s">
        <v>2428</v>
      </c>
      <c r="B226" s="21" t="s">
        <v>2429</v>
      </c>
      <c r="C226" s="21" t="s">
        <v>22672</v>
      </c>
      <c r="D226" s="22">
        <v>46042</v>
      </c>
      <c r="E226" s="23" t="s">
        <v>22656</v>
      </c>
      <c r="F226" s="24" t="s">
        <v>22657</v>
      </c>
      <c r="G226" s="25">
        <v>4</v>
      </c>
      <c r="H226" s="26"/>
      <c r="I226" s="27"/>
    </row>
    <row r="227" spans="1:9" ht="15.75" thickBot="1" x14ac:dyDescent="0.3">
      <c r="A227" s="43" t="s">
        <v>2430</v>
      </c>
      <c r="B227" s="21" t="s">
        <v>2431</v>
      </c>
      <c r="C227" s="21" t="s">
        <v>22672</v>
      </c>
      <c r="D227" s="22">
        <v>46042</v>
      </c>
      <c r="E227" s="23" t="s">
        <v>22656</v>
      </c>
      <c r="F227" s="24" t="s">
        <v>22657</v>
      </c>
      <c r="G227" s="25">
        <v>4</v>
      </c>
      <c r="H227" s="29"/>
      <c r="I227" s="30"/>
    </row>
    <row r="228" spans="1:9" ht="15.75" thickBot="1" x14ac:dyDescent="0.3">
      <c r="A228" s="43" t="s">
        <v>2432</v>
      </c>
      <c r="B228" s="21" t="s">
        <v>2433</v>
      </c>
      <c r="C228" s="21" t="s">
        <v>22672</v>
      </c>
      <c r="D228" s="22">
        <v>46026</v>
      </c>
      <c r="E228" s="23" t="s">
        <v>22656</v>
      </c>
      <c r="F228" s="24" t="s">
        <v>22657</v>
      </c>
      <c r="G228" s="25">
        <v>2</v>
      </c>
      <c r="H228" s="26"/>
      <c r="I228" s="27"/>
    </row>
    <row r="229" spans="1:9" ht="15.75" thickBot="1" x14ac:dyDescent="0.3">
      <c r="A229" s="43" t="s">
        <v>2434</v>
      </c>
      <c r="B229" s="21" t="s">
        <v>2435</v>
      </c>
      <c r="C229" s="21" t="s">
        <v>22672</v>
      </c>
      <c r="D229" s="22">
        <v>46026</v>
      </c>
      <c r="E229" s="23" t="s">
        <v>22656</v>
      </c>
      <c r="F229" s="24" t="s">
        <v>22657</v>
      </c>
      <c r="G229" s="25">
        <v>2</v>
      </c>
      <c r="H229" s="29"/>
      <c r="I229" s="30"/>
    </row>
    <row r="230" spans="1:9" ht="15.75" thickBot="1" x14ac:dyDescent="0.3">
      <c r="A230" s="43" t="s">
        <v>2436</v>
      </c>
      <c r="B230" s="21" t="s">
        <v>2437</v>
      </c>
      <c r="C230" s="21" t="s">
        <v>22672</v>
      </c>
      <c r="D230" s="22">
        <v>46026</v>
      </c>
      <c r="E230" s="23" t="s">
        <v>22656</v>
      </c>
      <c r="F230" s="24" t="s">
        <v>22657</v>
      </c>
      <c r="G230" s="25">
        <v>5</v>
      </c>
      <c r="H230" s="34">
        <v>5</v>
      </c>
      <c r="I230" s="35">
        <v>10</v>
      </c>
    </row>
    <row r="231" spans="1:9" ht="15.75" thickBot="1" x14ac:dyDescent="0.3">
      <c r="A231" s="43" t="s">
        <v>2438</v>
      </c>
      <c r="B231" s="21" t="s">
        <v>2439</v>
      </c>
      <c r="C231" s="21" t="s">
        <v>22672</v>
      </c>
      <c r="D231" s="22">
        <v>46042</v>
      </c>
      <c r="E231" s="23" t="s">
        <v>22656</v>
      </c>
      <c r="F231" s="24" t="s">
        <v>22657</v>
      </c>
      <c r="G231" s="25">
        <v>4</v>
      </c>
      <c r="H231" s="29"/>
      <c r="I231" s="30"/>
    </row>
    <row r="232" spans="1:9" ht="15.75" thickBot="1" x14ac:dyDescent="0.3">
      <c r="A232" s="43" t="s">
        <v>2440</v>
      </c>
      <c r="B232" s="21" t="s">
        <v>2441</v>
      </c>
      <c r="C232" s="21" t="s">
        <v>22672</v>
      </c>
      <c r="D232" s="22">
        <v>46042</v>
      </c>
      <c r="E232" s="23" t="s">
        <v>22656</v>
      </c>
      <c r="F232" s="24" t="s">
        <v>22657</v>
      </c>
      <c r="G232" s="25">
        <v>4</v>
      </c>
      <c r="H232" s="26"/>
      <c r="I232" s="27"/>
    </row>
    <row r="233" spans="1:9" ht="15.75" thickBot="1" x14ac:dyDescent="0.3">
      <c r="A233" s="43" t="s">
        <v>2442</v>
      </c>
      <c r="B233" s="21" t="s">
        <v>2443</v>
      </c>
      <c r="C233" s="21" t="s">
        <v>22672</v>
      </c>
      <c r="D233" s="22">
        <v>46042</v>
      </c>
      <c r="E233" s="23" t="s">
        <v>22656</v>
      </c>
      <c r="F233" s="24" t="s">
        <v>22657</v>
      </c>
      <c r="G233" s="25">
        <v>4</v>
      </c>
      <c r="H233" s="29"/>
      <c r="I233" s="30"/>
    </row>
    <row r="234" spans="1:9" ht="15.75" thickBot="1" x14ac:dyDescent="0.3">
      <c r="A234" s="43" t="s">
        <v>2444</v>
      </c>
      <c r="B234" s="21" t="s">
        <v>2445</v>
      </c>
      <c r="C234" s="21" t="s">
        <v>22672</v>
      </c>
      <c r="D234" s="22">
        <v>46032</v>
      </c>
      <c r="E234" s="23" t="s">
        <v>22656</v>
      </c>
      <c r="F234" s="24" t="s">
        <v>22657</v>
      </c>
      <c r="G234" s="25">
        <v>2</v>
      </c>
      <c r="H234" s="26"/>
      <c r="I234" s="27"/>
    </row>
    <row r="235" spans="1:9" ht="15.75" thickBot="1" x14ac:dyDescent="0.3">
      <c r="A235" s="43" t="s">
        <v>2446</v>
      </c>
      <c r="B235" s="21" t="s">
        <v>2447</v>
      </c>
      <c r="C235" s="21" t="s">
        <v>22672</v>
      </c>
      <c r="D235" s="22">
        <v>46042</v>
      </c>
      <c r="E235" s="23" t="s">
        <v>22656</v>
      </c>
      <c r="F235" s="24" t="s">
        <v>22657</v>
      </c>
      <c r="G235" s="25">
        <v>4</v>
      </c>
      <c r="H235" s="29"/>
      <c r="I235" s="30"/>
    </row>
    <row r="236" spans="1:9" ht="15.75" thickBot="1" x14ac:dyDescent="0.3">
      <c r="A236" s="43" t="s">
        <v>2448</v>
      </c>
      <c r="B236" s="21" t="s">
        <v>2449</v>
      </c>
      <c r="C236" s="21" t="s">
        <v>22672</v>
      </c>
      <c r="D236" s="22">
        <v>46042</v>
      </c>
      <c r="E236" s="23" t="s">
        <v>22656</v>
      </c>
      <c r="F236" s="24" t="s">
        <v>22657</v>
      </c>
      <c r="G236" s="25">
        <v>4</v>
      </c>
      <c r="H236" s="26"/>
      <c r="I236" s="27"/>
    </row>
    <row r="237" spans="1:9" ht="15.75" thickBot="1" x14ac:dyDescent="0.3">
      <c r="A237" s="43" t="s">
        <v>2450</v>
      </c>
      <c r="B237" s="21" t="s">
        <v>2451</v>
      </c>
      <c r="C237" s="21" t="s">
        <v>22672</v>
      </c>
      <c r="D237" s="22">
        <v>46042</v>
      </c>
      <c r="E237" s="23" t="s">
        <v>22656</v>
      </c>
      <c r="F237" s="24" t="s">
        <v>22657</v>
      </c>
      <c r="G237" s="25">
        <v>4</v>
      </c>
      <c r="H237" s="29"/>
      <c r="I237" s="30"/>
    </row>
    <row r="238" spans="1:9" ht="15.75" thickBot="1" x14ac:dyDescent="0.3">
      <c r="A238" s="43" t="s">
        <v>2452</v>
      </c>
      <c r="B238" s="21" t="s">
        <v>2453</v>
      </c>
      <c r="C238" s="21" t="s">
        <v>22672</v>
      </c>
      <c r="D238" s="22">
        <v>46032</v>
      </c>
      <c r="E238" s="23" t="s">
        <v>22656</v>
      </c>
      <c r="F238" s="24" t="s">
        <v>22657</v>
      </c>
      <c r="G238" s="25">
        <v>4</v>
      </c>
      <c r="H238" s="26"/>
      <c r="I238" s="27"/>
    </row>
    <row r="239" spans="1:9" ht="15.75" thickBot="1" x14ac:dyDescent="0.3">
      <c r="A239" s="43" t="s">
        <v>2454</v>
      </c>
      <c r="B239" s="21" t="s">
        <v>2455</v>
      </c>
      <c r="C239" s="21" t="s">
        <v>22672</v>
      </c>
      <c r="D239" s="22">
        <v>46032</v>
      </c>
      <c r="E239" s="23" t="s">
        <v>22656</v>
      </c>
      <c r="F239" s="24" t="s">
        <v>22657</v>
      </c>
      <c r="G239" s="25">
        <v>4</v>
      </c>
      <c r="H239" s="29"/>
      <c r="I239" s="30"/>
    </row>
    <row r="240" spans="1:9" ht="15.75" thickBot="1" x14ac:dyDescent="0.3">
      <c r="A240" s="43" t="s">
        <v>2456</v>
      </c>
      <c r="B240" s="21" t="s">
        <v>2457</v>
      </c>
      <c r="C240" s="21" t="s">
        <v>22672</v>
      </c>
      <c r="D240" s="22">
        <v>46032</v>
      </c>
      <c r="E240" s="23" t="s">
        <v>22656</v>
      </c>
      <c r="F240" s="24" t="s">
        <v>22657</v>
      </c>
      <c r="G240" s="25">
        <v>4</v>
      </c>
      <c r="H240" s="26"/>
      <c r="I240" s="27"/>
    </row>
    <row r="241" spans="1:9" ht="15.75" thickBot="1" x14ac:dyDescent="0.3">
      <c r="A241" s="43" t="s">
        <v>2458</v>
      </c>
      <c r="B241" s="21" t="s">
        <v>2459</v>
      </c>
      <c r="C241" s="21" t="s">
        <v>22672</v>
      </c>
      <c r="D241" s="22">
        <v>46028</v>
      </c>
      <c r="E241" s="23" t="s">
        <v>22656</v>
      </c>
      <c r="F241" s="24" t="s">
        <v>22657</v>
      </c>
      <c r="G241" s="25">
        <v>2</v>
      </c>
      <c r="H241" s="29"/>
      <c r="I241" s="30"/>
    </row>
    <row r="242" spans="1:9" ht="15.75" thickBot="1" x14ac:dyDescent="0.3">
      <c r="A242" s="43" t="s">
        <v>2460</v>
      </c>
      <c r="B242" s="21" t="s">
        <v>2461</v>
      </c>
      <c r="C242" s="21" t="s">
        <v>22672</v>
      </c>
      <c r="D242" s="22">
        <v>46032</v>
      </c>
      <c r="E242" s="23" t="s">
        <v>22658</v>
      </c>
      <c r="F242" s="24" t="s">
        <v>22657</v>
      </c>
      <c r="G242" s="25">
        <v>4</v>
      </c>
      <c r="H242" s="26"/>
      <c r="I242" s="27"/>
    </row>
    <row r="243" spans="1:9" ht="15.75" thickBot="1" x14ac:dyDescent="0.3">
      <c r="A243" s="43" t="s">
        <v>2462</v>
      </c>
      <c r="B243" s="21" t="s">
        <v>2463</v>
      </c>
      <c r="C243" s="21" t="s">
        <v>22672</v>
      </c>
      <c r="D243" s="22">
        <v>46042</v>
      </c>
      <c r="E243" s="23" t="s">
        <v>22658</v>
      </c>
      <c r="F243" s="24" t="s">
        <v>22657</v>
      </c>
      <c r="G243" s="25">
        <v>4</v>
      </c>
      <c r="H243" s="29"/>
      <c r="I243" s="30"/>
    </row>
    <row r="244" spans="1:9" ht="15.75" thickBot="1" x14ac:dyDescent="0.3">
      <c r="A244" s="43" t="s">
        <v>2464</v>
      </c>
      <c r="B244" s="21" t="s">
        <v>2465</v>
      </c>
      <c r="C244" s="21" t="s">
        <v>22672</v>
      </c>
      <c r="D244" s="22">
        <v>46042</v>
      </c>
      <c r="E244" s="23" t="s">
        <v>22656</v>
      </c>
      <c r="F244" s="24" t="s">
        <v>22657</v>
      </c>
      <c r="G244" s="25">
        <v>4</v>
      </c>
      <c r="H244" s="26"/>
      <c r="I244" s="27"/>
    </row>
    <row r="245" spans="1:9" ht="15.75" thickBot="1" x14ac:dyDescent="0.3">
      <c r="A245" s="43" t="s">
        <v>2466</v>
      </c>
      <c r="B245" s="21" t="s">
        <v>2467</v>
      </c>
      <c r="C245" s="21" t="s">
        <v>22672</v>
      </c>
      <c r="D245" s="22">
        <v>46026</v>
      </c>
      <c r="E245" s="23" t="s">
        <v>22656</v>
      </c>
      <c r="F245" s="24" t="s">
        <v>22657</v>
      </c>
      <c r="G245" s="25">
        <v>6</v>
      </c>
      <c r="H245" s="32">
        <v>6</v>
      </c>
      <c r="I245" s="33">
        <v>10</v>
      </c>
    </row>
    <row r="246" spans="1:9" ht="15.75" thickBot="1" x14ac:dyDescent="0.3">
      <c r="A246" s="43" t="s">
        <v>2468</v>
      </c>
      <c r="B246" s="21" t="s">
        <v>2469</v>
      </c>
      <c r="C246" s="21" t="s">
        <v>22672</v>
      </c>
      <c r="D246" s="22">
        <v>46032</v>
      </c>
      <c r="E246" s="23" t="s">
        <v>22656</v>
      </c>
      <c r="F246" s="24" t="s">
        <v>22657</v>
      </c>
      <c r="G246" s="25">
        <v>4</v>
      </c>
      <c r="H246" s="26"/>
      <c r="I246" s="27"/>
    </row>
    <row r="247" spans="1:9" ht="15.75" thickBot="1" x14ac:dyDescent="0.3">
      <c r="A247" s="43" t="s">
        <v>2470</v>
      </c>
      <c r="B247" s="21" t="s">
        <v>2471</v>
      </c>
      <c r="C247" s="21" t="s">
        <v>22672</v>
      </c>
      <c r="D247" s="22">
        <v>46032</v>
      </c>
      <c r="E247" s="23" t="s">
        <v>22656</v>
      </c>
      <c r="F247" s="24" t="s">
        <v>22657</v>
      </c>
      <c r="G247" s="25">
        <v>4</v>
      </c>
      <c r="H247" s="29"/>
      <c r="I247" s="30"/>
    </row>
    <row r="248" spans="1:9" ht="15.75" thickBot="1" x14ac:dyDescent="0.3">
      <c r="A248" s="43" t="s">
        <v>2472</v>
      </c>
      <c r="B248" s="21" t="s">
        <v>2473</v>
      </c>
      <c r="C248" s="21" t="s">
        <v>22672</v>
      </c>
      <c r="D248" s="22">
        <v>46032</v>
      </c>
      <c r="E248" s="23" t="s">
        <v>22658</v>
      </c>
      <c r="F248" s="24" t="s">
        <v>22657</v>
      </c>
      <c r="G248" s="25">
        <v>4</v>
      </c>
      <c r="H248" s="26"/>
      <c r="I248" s="27"/>
    </row>
    <row r="249" spans="1:9" ht="15.75" thickBot="1" x14ac:dyDescent="0.3">
      <c r="A249" s="43" t="s">
        <v>2474</v>
      </c>
      <c r="B249" s="21" t="s">
        <v>2475</v>
      </c>
      <c r="C249" s="21" t="s">
        <v>22672</v>
      </c>
      <c r="D249" s="22">
        <v>46032</v>
      </c>
      <c r="E249" s="23" t="s">
        <v>22656</v>
      </c>
      <c r="F249" s="24" t="s">
        <v>22657</v>
      </c>
      <c r="G249" s="25">
        <v>4</v>
      </c>
      <c r="H249" s="29"/>
      <c r="I249" s="30"/>
    </row>
    <row r="250" spans="1:9" ht="15.75" thickBot="1" x14ac:dyDescent="0.3">
      <c r="A250" s="43" t="s">
        <v>2476</v>
      </c>
      <c r="B250" s="21" t="s">
        <v>2477</v>
      </c>
      <c r="C250" s="21" t="s">
        <v>22672</v>
      </c>
      <c r="D250" s="22">
        <v>46042</v>
      </c>
      <c r="E250" s="23" t="s">
        <v>22656</v>
      </c>
      <c r="F250" s="24" t="s">
        <v>22657</v>
      </c>
      <c r="G250" s="25">
        <v>4</v>
      </c>
      <c r="H250" s="26"/>
      <c r="I250" s="27"/>
    </row>
    <row r="251" spans="1:9" ht="15.75" thickBot="1" x14ac:dyDescent="0.3">
      <c r="A251" s="43" t="s">
        <v>2478</v>
      </c>
      <c r="B251" s="21" t="s">
        <v>2479</v>
      </c>
      <c r="C251" s="21" t="s">
        <v>22672</v>
      </c>
      <c r="D251" s="22">
        <v>46042</v>
      </c>
      <c r="E251" s="23" t="s">
        <v>22656</v>
      </c>
      <c r="F251" s="24" t="s">
        <v>22657</v>
      </c>
      <c r="G251" s="25">
        <v>4</v>
      </c>
      <c r="H251" s="29"/>
      <c r="I251" s="30"/>
    </row>
    <row r="252" spans="1:9" ht="15.75" thickBot="1" x14ac:dyDescent="0.3">
      <c r="A252" s="43" t="s">
        <v>2480</v>
      </c>
      <c r="B252" s="21" t="s">
        <v>2481</v>
      </c>
      <c r="C252" s="21" t="s">
        <v>22672</v>
      </c>
      <c r="D252" s="22">
        <v>46042</v>
      </c>
      <c r="E252" s="23" t="s">
        <v>22658</v>
      </c>
      <c r="F252" s="24" t="s">
        <v>22657</v>
      </c>
      <c r="G252" s="25">
        <v>4</v>
      </c>
      <c r="H252" s="26"/>
      <c r="I252" s="27"/>
    </row>
    <row r="253" spans="1:9" ht="15.75" thickBot="1" x14ac:dyDescent="0.3">
      <c r="A253" s="43" t="s">
        <v>2482</v>
      </c>
      <c r="B253" s="21" t="s">
        <v>2483</v>
      </c>
      <c r="C253" s="21" t="s">
        <v>22672</v>
      </c>
      <c r="D253" s="22">
        <v>46046</v>
      </c>
      <c r="E253" s="23" t="s">
        <v>22658</v>
      </c>
      <c r="F253" s="24" t="s">
        <v>22657</v>
      </c>
      <c r="G253" s="25">
        <v>4</v>
      </c>
      <c r="H253" s="29"/>
      <c r="I253" s="30"/>
    </row>
    <row r="254" spans="1:9" ht="15.75" thickBot="1" x14ac:dyDescent="0.3">
      <c r="A254" s="43" t="s">
        <v>2484</v>
      </c>
      <c r="B254" s="21" t="s">
        <v>2485</v>
      </c>
      <c r="C254" s="21" t="s">
        <v>22672</v>
      </c>
      <c r="D254" s="22">
        <v>46032</v>
      </c>
      <c r="E254" s="23" t="s">
        <v>22656</v>
      </c>
      <c r="F254" s="24" t="s">
        <v>22657</v>
      </c>
      <c r="G254" s="25">
        <v>4</v>
      </c>
      <c r="H254" s="26"/>
      <c r="I254" s="27"/>
    </row>
    <row r="255" spans="1:9" ht="15.75" thickBot="1" x14ac:dyDescent="0.3">
      <c r="A255" s="43" t="s">
        <v>2486</v>
      </c>
      <c r="B255" s="21" t="s">
        <v>2487</v>
      </c>
      <c r="C255" s="21" t="s">
        <v>22672</v>
      </c>
      <c r="D255" s="22">
        <v>46032</v>
      </c>
      <c r="E255" s="23" t="s">
        <v>22656</v>
      </c>
      <c r="F255" s="24" t="s">
        <v>22657</v>
      </c>
      <c r="G255" s="25">
        <v>4</v>
      </c>
      <c r="H255" s="29"/>
      <c r="I255" s="30"/>
    </row>
    <row r="256" spans="1:9" ht="15.75" thickBot="1" x14ac:dyDescent="0.3">
      <c r="A256" s="43" t="s">
        <v>2488</v>
      </c>
      <c r="B256" s="21" t="s">
        <v>2489</v>
      </c>
      <c r="C256" s="21" t="s">
        <v>22672</v>
      </c>
      <c r="D256" s="22">
        <v>46032</v>
      </c>
      <c r="E256" s="23" t="s">
        <v>22656</v>
      </c>
      <c r="F256" s="24" t="s">
        <v>22657</v>
      </c>
      <c r="G256" s="25">
        <v>4</v>
      </c>
      <c r="H256" s="26"/>
      <c r="I256" s="27"/>
    </row>
    <row r="257" spans="1:9" ht="15.75" thickBot="1" x14ac:dyDescent="0.3">
      <c r="A257" s="43" t="s">
        <v>2490</v>
      </c>
      <c r="B257" s="21" t="s">
        <v>2491</v>
      </c>
      <c r="C257" s="21" t="s">
        <v>22672</v>
      </c>
      <c r="D257" s="22">
        <v>46032</v>
      </c>
      <c r="E257" s="23" t="s">
        <v>22656</v>
      </c>
      <c r="F257" s="24" t="s">
        <v>22657</v>
      </c>
      <c r="G257" s="25">
        <v>4</v>
      </c>
      <c r="H257" s="29"/>
      <c r="I257" s="30"/>
    </row>
    <row r="258" spans="1:9" ht="15.75" thickBot="1" x14ac:dyDescent="0.3">
      <c r="A258" s="43" t="s">
        <v>2492</v>
      </c>
      <c r="B258" s="21" t="s">
        <v>2493</v>
      </c>
      <c r="C258" s="21" t="s">
        <v>22672</v>
      </c>
      <c r="D258" s="22">
        <v>46042</v>
      </c>
      <c r="E258" s="23" t="s">
        <v>22656</v>
      </c>
      <c r="F258" s="24" t="s">
        <v>22657</v>
      </c>
      <c r="G258" s="25">
        <v>4</v>
      </c>
      <c r="H258" s="26"/>
      <c r="I258" s="27"/>
    </row>
    <row r="259" spans="1:9" ht="15.75" thickBot="1" x14ac:dyDescent="0.3">
      <c r="A259" s="43" t="s">
        <v>2494</v>
      </c>
      <c r="B259" s="21" t="s">
        <v>2495</v>
      </c>
      <c r="C259" s="21" t="s">
        <v>22672</v>
      </c>
      <c r="D259" s="22">
        <v>46042</v>
      </c>
      <c r="E259" s="23" t="s">
        <v>22656</v>
      </c>
      <c r="F259" s="24" t="s">
        <v>22657</v>
      </c>
      <c r="G259" s="25">
        <v>4</v>
      </c>
      <c r="H259" s="29"/>
      <c r="I259" s="30"/>
    </row>
    <row r="260" spans="1:9" ht="15.75" thickBot="1" x14ac:dyDescent="0.3">
      <c r="A260" s="43" t="s">
        <v>2496</v>
      </c>
      <c r="B260" s="21" t="s">
        <v>2497</v>
      </c>
      <c r="C260" s="21" t="s">
        <v>22672</v>
      </c>
      <c r="D260" s="22">
        <v>46032</v>
      </c>
      <c r="E260" s="23" t="s">
        <v>22656</v>
      </c>
      <c r="F260" s="24" t="s">
        <v>22657</v>
      </c>
      <c r="G260" s="25">
        <v>4</v>
      </c>
      <c r="H260" s="26"/>
      <c r="I260" s="27"/>
    </row>
    <row r="261" spans="1:9" ht="15.75" thickBot="1" x14ac:dyDescent="0.3">
      <c r="A261" s="43" t="s">
        <v>2498</v>
      </c>
      <c r="B261" s="21" t="s">
        <v>2499</v>
      </c>
      <c r="C261" s="21" t="s">
        <v>22672</v>
      </c>
      <c r="D261" s="22">
        <v>46032</v>
      </c>
      <c r="E261" s="23" t="s">
        <v>22656</v>
      </c>
      <c r="F261" s="24" t="s">
        <v>22657</v>
      </c>
      <c r="G261" s="25">
        <v>4</v>
      </c>
      <c r="H261" s="29"/>
      <c r="I261" s="30"/>
    </row>
    <row r="262" spans="1:9" ht="15.75" thickBot="1" x14ac:dyDescent="0.3">
      <c r="A262" s="43" t="s">
        <v>2500</v>
      </c>
      <c r="B262" s="21" t="s">
        <v>2501</v>
      </c>
      <c r="C262" s="21" t="s">
        <v>22672</v>
      </c>
      <c r="D262" s="22">
        <v>46032</v>
      </c>
      <c r="E262" s="23" t="s">
        <v>22656</v>
      </c>
      <c r="F262" s="24" t="s">
        <v>22657</v>
      </c>
      <c r="G262" s="25">
        <v>4</v>
      </c>
      <c r="H262" s="26"/>
      <c r="I262" s="27"/>
    </row>
    <row r="263" spans="1:9" ht="15.75" thickBot="1" x14ac:dyDescent="0.3">
      <c r="A263" s="43" t="s">
        <v>2502</v>
      </c>
      <c r="B263" s="21" t="s">
        <v>2503</v>
      </c>
      <c r="C263" s="21" t="s">
        <v>22685</v>
      </c>
      <c r="D263" s="31">
        <v>1</v>
      </c>
      <c r="E263" s="23" t="s">
        <v>22658</v>
      </c>
      <c r="F263" s="24" t="s">
        <v>22657</v>
      </c>
      <c r="G263" s="25">
        <v>4</v>
      </c>
      <c r="H263" s="29"/>
      <c r="I263" s="30"/>
    </row>
    <row r="264" spans="1:9" ht="15.75" thickBot="1" x14ac:dyDescent="0.3">
      <c r="A264" s="43" t="s">
        <v>2504</v>
      </c>
      <c r="B264" s="21" t="s">
        <v>2505</v>
      </c>
      <c r="C264" s="21" t="s">
        <v>22672</v>
      </c>
      <c r="D264" s="22">
        <v>46026</v>
      </c>
      <c r="E264" s="23" t="s">
        <v>22658</v>
      </c>
      <c r="F264" s="24" t="s">
        <v>22657</v>
      </c>
      <c r="G264" s="25">
        <v>2</v>
      </c>
      <c r="H264" s="26"/>
      <c r="I264" s="27"/>
    </row>
    <row r="265" spans="1:9" ht="15.75" thickBot="1" x14ac:dyDescent="0.3">
      <c r="A265" s="43" t="s">
        <v>2506</v>
      </c>
      <c r="B265" s="21" t="s">
        <v>2507</v>
      </c>
      <c r="C265" s="21" t="s">
        <v>22672</v>
      </c>
      <c r="D265" s="22">
        <v>46026</v>
      </c>
      <c r="E265" s="23" t="s">
        <v>22658</v>
      </c>
      <c r="F265" s="24" t="s">
        <v>22657</v>
      </c>
      <c r="G265" s="25">
        <v>2</v>
      </c>
      <c r="H265" s="29"/>
      <c r="I265" s="30"/>
    </row>
    <row r="266" spans="1:9" ht="15.75" thickBot="1" x14ac:dyDescent="0.3">
      <c r="A266" s="43" t="s">
        <v>2508</v>
      </c>
      <c r="B266" s="21" t="s">
        <v>2509</v>
      </c>
      <c r="C266" s="21" t="s">
        <v>22672</v>
      </c>
      <c r="D266" s="22">
        <v>46026</v>
      </c>
      <c r="E266" s="23" t="s">
        <v>22658</v>
      </c>
      <c r="F266" s="24" t="s">
        <v>22657</v>
      </c>
      <c r="G266" s="25">
        <v>2</v>
      </c>
      <c r="H266" s="26"/>
      <c r="I266" s="27"/>
    </row>
    <row r="267" spans="1:9" ht="15.75" thickBot="1" x14ac:dyDescent="0.3">
      <c r="A267" s="43" t="s">
        <v>2510</v>
      </c>
      <c r="B267" s="21" t="s">
        <v>2511</v>
      </c>
      <c r="C267" s="21" t="s">
        <v>22672</v>
      </c>
      <c r="D267" s="22">
        <v>46026</v>
      </c>
      <c r="E267" s="23" t="s">
        <v>22658</v>
      </c>
      <c r="F267" s="24" t="s">
        <v>22657</v>
      </c>
      <c r="G267" s="25">
        <v>2</v>
      </c>
      <c r="H267" s="29"/>
      <c r="I267" s="30"/>
    </row>
    <row r="268" spans="1:9" ht="15.75" thickBot="1" x14ac:dyDescent="0.3">
      <c r="A268" s="43" t="s">
        <v>2512</v>
      </c>
      <c r="B268" s="21" t="s">
        <v>2513</v>
      </c>
      <c r="C268" s="21" t="s">
        <v>22672</v>
      </c>
      <c r="D268" s="22">
        <v>46026</v>
      </c>
      <c r="E268" s="23" t="s">
        <v>22658</v>
      </c>
      <c r="F268" s="24" t="s">
        <v>22657</v>
      </c>
      <c r="G268" s="25">
        <v>2</v>
      </c>
      <c r="H268" s="26"/>
      <c r="I268" s="27"/>
    </row>
    <row r="269" spans="1:9" ht="15.75" thickBot="1" x14ac:dyDescent="0.3">
      <c r="A269" s="43" t="s">
        <v>2514</v>
      </c>
      <c r="B269" s="21" t="s">
        <v>2515</v>
      </c>
      <c r="C269" s="21" t="s">
        <v>22672</v>
      </c>
      <c r="D269" s="22">
        <v>46026</v>
      </c>
      <c r="E269" s="23" t="s">
        <v>22658</v>
      </c>
      <c r="F269" s="24" t="s">
        <v>22657</v>
      </c>
      <c r="G269" s="25">
        <v>2</v>
      </c>
      <c r="H269" s="29"/>
      <c r="I269" s="30"/>
    </row>
    <row r="270" spans="1:9" ht="15.75" thickBot="1" x14ac:dyDescent="0.3">
      <c r="A270" s="43" t="s">
        <v>2516</v>
      </c>
      <c r="B270" s="21" t="s">
        <v>2517</v>
      </c>
      <c r="C270" s="21" t="s">
        <v>22672</v>
      </c>
      <c r="D270" s="22">
        <v>46026</v>
      </c>
      <c r="E270" s="23" t="s">
        <v>22658</v>
      </c>
      <c r="F270" s="24" t="s">
        <v>22657</v>
      </c>
      <c r="G270" s="25">
        <v>2</v>
      </c>
      <c r="H270" s="26"/>
      <c r="I270" s="27"/>
    </row>
    <row r="271" spans="1:9" ht="15.75" thickBot="1" x14ac:dyDescent="0.3">
      <c r="A271" s="43" t="s">
        <v>2518</v>
      </c>
      <c r="B271" s="21" t="s">
        <v>2519</v>
      </c>
      <c r="C271" s="21" t="s">
        <v>22672</v>
      </c>
      <c r="D271" s="22">
        <v>46026</v>
      </c>
      <c r="E271" s="23" t="s">
        <v>22656</v>
      </c>
      <c r="F271" s="24" t="s">
        <v>22657</v>
      </c>
      <c r="G271" s="25">
        <v>2</v>
      </c>
      <c r="H271" s="29"/>
      <c r="I271" s="30"/>
    </row>
    <row r="272" spans="1:9" ht="15.75" thickBot="1" x14ac:dyDescent="0.3">
      <c r="A272" s="43" t="s">
        <v>2520</v>
      </c>
      <c r="B272" s="21" t="s">
        <v>2521</v>
      </c>
      <c r="C272" s="21" t="s">
        <v>22672</v>
      </c>
      <c r="D272" s="22">
        <v>46034</v>
      </c>
      <c r="E272" s="23" t="s">
        <v>22656</v>
      </c>
      <c r="F272" s="24" t="s">
        <v>22657</v>
      </c>
      <c r="G272" s="25">
        <v>4</v>
      </c>
      <c r="H272" s="26"/>
      <c r="I272" s="27"/>
    </row>
    <row r="273" spans="1:9" ht="15.75" thickBot="1" x14ac:dyDescent="0.3">
      <c r="A273" s="43" t="s">
        <v>2522</v>
      </c>
      <c r="B273" s="21" t="s">
        <v>2523</v>
      </c>
      <c r="C273" s="21" t="s">
        <v>22672</v>
      </c>
      <c r="D273" s="22">
        <v>46042</v>
      </c>
      <c r="E273" s="23" t="s">
        <v>22656</v>
      </c>
      <c r="F273" s="24" t="s">
        <v>22657</v>
      </c>
      <c r="G273" s="25">
        <v>4</v>
      </c>
      <c r="H273" s="29"/>
      <c r="I273" s="30"/>
    </row>
    <row r="274" spans="1:9" ht="15.75" thickBot="1" x14ac:dyDescent="0.3">
      <c r="A274" s="43" t="s">
        <v>2524</v>
      </c>
      <c r="B274" s="21" t="s">
        <v>2525</v>
      </c>
      <c r="C274" s="21" t="s">
        <v>22672</v>
      </c>
      <c r="D274" s="22">
        <v>46042</v>
      </c>
      <c r="E274" s="23" t="s">
        <v>22656</v>
      </c>
      <c r="F274" s="24" t="s">
        <v>22657</v>
      </c>
      <c r="G274" s="25">
        <v>4</v>
      </c>
      <c r="H274" s="26"/>
      <c r="I274" s="27"/>
    </row>
    <row r="275" spans="1:9" ht="15.75" thickBot="1" x14ac:dyDescent="0.3">
      <c r="A275" s="43" t="s">
        <v>2526</v>
      </c>
      <c r="B275" s="21" t="s">
        <v>2527</v>
      </c>
      <c r="C275" s="21" t="s">
        <v>22672</v>
      </c>
      <c r="D275" s="22">
        <v>46042</v>
      </c>
      <c r="E275" s="23" t="s">
        <v>22656</v>
      </c>
      <c r="F275" s="24" t="s">
        <v>22657</v>
      </c>
      <c r="G275" s="25">
        <v>4</v>
      </c>
      <c r="H275" s="29"/>
      <c r="I275" s="30"/>
    </row>
    <row r="276" spans="1:9" ht="15.75" thickBot="1" x14ac:dyDescent="0.3">
      <c r="A276" s="43" t="s">
        <v>2528</v>
      </c>
      <c r="B276" s="21" t="s">
        <v>2529</v>
      </c>
      <c r="C276" s="21" t="s">
        <v>22672</v>
      </c>
      <c r="D276" s="22">
        <v>46042</v>
      </c>
      <c r="E276" s="23" t="s">
        <v>22656</v>
      </c>
      <c r="F276" s="24" t="s">
        <v>22657</v>
      </c>
      <c r="G276" s="25">
        <v>4</v>
      </c>
      <c r="H276" s="26"/>
      <c r="I276" s="27"/>
    </row>
    <row r="277" spans="1:9" ht="15.75" thickBot="1" x14ac:dyDescent="0.3">
      <c r="A277" s="43" t="s">
        <v>2530</v>
      </c>
      <c r="B277" s="21" t="s">
        <v>2531</v>
      </c>
      <c r="C277" s="21" t="s">
        <v>22672</v>
      </c>
      <c r="D277" s="22">
        <v>46042</v>
      </c>
      <c r="E277" s="23" t="s">
        <v>22656</v>
      </c>
      <c r="F277" s="24" t="s">
        <v>22657</v>
      </c>
      <c r="G277" s="25">
        <v>4</v>
      </c>
      <c r="H277" s="29"/>
      <c r="I277" s="30"/>
    </row>
    <row r="278" spans="1:9" ht="15.75" thickBot="1" x14ac:dyDescent="0.3">
      <c r="A278" s="43" t="s">
        <v>2532</v>
      </c>
      <c r="B278" s="21" t="s">
        <v>2533</v>
      </c>
      <c r="C278" s="21" t="s">
        <v>22672</v>
      </c>
      <c r="D278" s="22">
        <v>46042</v>
      </c>
      <c r="E278" s="23" t="s">
        <v>22656</v>
      </c>
      <c r="F278" s="24" t="s">
        <v>22657</v>
      </c>
      <c r="G278" s="25">
        <v>4</v>
      </c>
      <c r="H278" s="26"/>
      <c r="I278" s="27"/>
    </row>
    <row r="279" spans="1:9" ht="15.75" thickBot="1" x14ac:dyDescent="0.3">
      <c r="A279" s="43" t="s">
        <v>2534</v>
      </c>
      <c r="B279" s="21" t="s">
        <v>2535</v>
      </c>
      <c r="C279" s="21" t="s">
        <v>22672</v>
      </c>
      <c r="D279" s="22">
        <v>46042</v>
      </c>
      <c r="E279" s="23" t="s">
        <v>22656</v>
      </c>
      <c r="F279" s="24" t="s">
        <v>22657</v>
      </c>
      <c r="G279" s="25">
        <v>4</v>
      </c>
      <c r="H279" s="29"/>
      <c r="I279" s="30"/>
    </row>
    <row r="280" spans="1:9" ht="15.75" thickBot="1" x14ac:dyDescent="0.3">
      <c r="A280" s="43" t="s">
        <v>2536</v>
      </c>
      <c r="B280" s="21" t="s">
        <v>2537</v>
      </c>
      <c r="C280" s="21" t="s">
        <v>22672</v>
      </c>
      <c r="D280" s="22">
        <v>46042</v>
      </c>
      <c r="E280" s="23" t="s">
        <v>22656</v>
      </c>
      <c r="F280" s="24" t="s">
        <v>22657</v>
      </c>
      <c r="G280" s="25">
        <v>4</v>
      </c>
      <c r="H280" s="26"/>
      <c r="I280" s="27"/>
    </row>
    <row r="281" spans="1:9" ht="15.75" thickBot="1" x14ac:dyDescent="0.3">
      <c r="A281" s="43" t="s">
        <v>2538</v>
      </c>
      <c r="B281" s="21" t="s">
        <v>2539</v>
      </c>
      <c r="C281" s="21" t="s">
        <v>22672</v>
      </c>
      <c r="D281" s="22">
        <v>46042</v>
      </c>
      <c r="E281" s="23" t="s">
        <v>22656</v>
      </c>
      <c r="F281" s="24" t="s">
        <v>22657</v>
      </c>
      <c r="G281" s="25">
        <v>4</v>
      </c>
      <c r="H281" s="29"/>
      <c r="I281" s="30"/>
    </row>
    <row r="282" spans="1:9" ht="15.75" thickBot="1" x14ac:dyDescent="0.3">
      <c r="A282" s="43" t="s">
        <v>2540</v>
      </c>
      <c r="B282" s="21" t="s">
        <v>2541</v>
      </c>
      <c r="C282" s="21" t="s">
        <v>22672</v>
      </c>
      <c r="D282" s="22">
        <v>46042</v>
      </c>
      <c r="E282" s="23" t="s">
        <v>22658</v>
      </c>
      <c r="F282" s="24" t="s">
        <v>22657</v>
      </c>
      <c r="G282" s="25">
        <v>4</v>
      </c>
      <c r="H282" s="26"/>
      <c r="I282" s="27"/>
    </row>
    <row r="283" spans="1:9" ht="15.75" thickBot="1" x14ac:dyDescent="0.3">
      <c r="A283" s="43" t="s">
        <v>2542</v>
      </c>
      <c r="B283" s="21" t="s">
        <v>2543</v>
      </c>
      <c r="C283" s="21" t="s">
        <v>22672</v>
      </c>
      <c r="D283" s="22">
        <v>46042</v>
      </c>
      <c r="E283" s="23" t="s">
        <v>22656</v>
      </c>
      <c r="F283" s="24" t="s">
        <v>22657</v>
      </c>
      <c r="G283" s="25">
        <v>4</v>
      </c>
      <c r="H283" s="29"/>
      <c r="I283" s="30"/>
    </row>
    <row r="284" spans="1:9" ht="15.75" thickBot="1" x14ac:dyDescent="0.3">
      <c r="A284" s="43" t="s">
        <v>2544</v>
      </c>
      <c r="B284" s="21" t="s">
        <v>2545</v>
      </c>
      <c r="C284" s="21" t="s">
        <v>22672</v>
      </c>
      <c r="D284" s="22">
        <v>46042</v>
      </c>
      <c r="E284" s="23" t="s">
        <v>22656</v>
      </c>
      <c r="F284" s="24" t="s">
        <v>22657</v>
      </c>
      <c r="G284" s="25">
        <v>4</v>
      </c>
      <c r="H284" s="26"/>
      <c r="I284" s="27"/>
    </row>
    <row r="285" spans="1:9" ht="15.75" thickBot="1" x14ac:dyDescent="0.3">
      <c r="A285" s="43" t="s">
        <v>2546</v>
      </c>
      <c r="B285" s="21" t="s">
        <v>2547</v>
      </c>
      <c r="C285" s="21" t="s">
        <v>22672</v>
      </c>
      <c r="D285" s="22">
        <v>46042</v>
      </c>
      <c r="E285" s="23" t="s">
        <v>22658</v>
      </c>
      <c r="F285" s="24" t="s">
        <v>22657</v>
      </c>
      <c r="G285" s="25">
        <v>4</v>
      </c>
      <c r="H285" s="29"/>
      <c r="I285" s="30"/>
    </row>
    <row r="286" spans="1:9" ht="15.75" thickBot="1" x14ac:dyDescent="0.3">
      <c r="A286" s="43" t="s">
        <v>2548</v>
      </c>
      <c r="B286" s="21" t="s">
        <v>2549</v>
      </c>
      <c r="C286" s="21" t="s">
        <v>22672</v>
      </c>
      <c r="D286" s="22">
        <v>46042</v>
      </c>
      <c r="E286" s="23" t="s">
        <v>22656</v>
      </c>
      <c r="F286" s="24" t="s">
        <v>22657</v>
      </c>
      <c r="G286" s="25">
        <v>4</v>
      </c>
      <c r="H286" s="26"/>
      <c r="I286" s="27"/>
    </row>
    <row r="287" spans="1:9" ht="15.75" thickBot="1" x14ac:dyDescent="0.3">
      <c r="A287" s="43" t="s">
        <v>2550</v>
      </c>
      <c r="B287" s="21" t="s">
        <v>2551</v>
      </c>
      <c r="C287" s="21" t="s">
        <v>22672</v>
      </c>
      <c r="D287" s="22">
        <v>46042</v>
      </c>
      <c r="E287" s="23" t="s">
        <v>22656</v>
      </c>
      <c r="F287" s="24" t="s">
        <v>22657</v>
      </c>
      <c r="G287" s="25">
        <v>4</v>
      </c>
      <c r="H287" s="29"/>
      <c r="I287" s="30"/>
    </row>
    <row r="288" spans="1:9" ht="15.75" thickBot="1" x14ac:dyDescent="0.3">
      <c r="A288" s="43" t="s">
        <v>2552</v>
      </c>
      <c r="B288" s="21" t="s">
        <v>2553</v>
      </c>
      <c r="C288" s="21" t="s">
        <v>22672</v>
      </c>
      <c r="D288" s="22">
        <v>46042</v>
      </c>
      <c r="E288" s="23" t="s">
        <v>22658</v>
      </c>
      <c r="F288" s="24" t="s">
        <v>22657</v>
      </c>
      <c r="G288" s="25">
        <v>4</v>
      </c>
      <c r="H288" s="26"/>
      <c r="I288" s="27"/>
    </row>
    <row r="289" spans="1:9" ht="15.75" thickBot="1" x14ac:dyDescent="0.3">
      <c r="A289" s="43" t="s">
        <v>2554</v>
      </c>
      <c r="B289" s="21" t="s">
        <v>2555</v>
      </c>
      <c r="C289" s="21" t="s">
        <v>22672</v>
      </c>
      <c r="D289" s="22">
        <v>46042</v>
      </c>
      <c r="E289" s="23" t="s">
        <v>22656</v>
      </c>
      <c r="F289" s="24" t="s">
        <v>22657</v>
      </c>
      <c r="G289" s="25">
        <v>4</v>
      </c>
      <c r="H289" s="29"/>
      <c r="I289" s="30"/>
    </row>
    <row r="290" spans="1:9" ht="15.75" thickBot="1" x14ac:dyDescent="0.3">
      <c r="A290" s="43" t="s">
        <v>2556</v>
      </c>
      <c r="B290" s="21" t="s">
        <v>2557</v>
      </c>
      <c r="C290" s="21" t="s">
        <v>22672</v>
      </c>
      <c r="D290" s="22">
        <v>46042</v>
      </c>
      <c r="E290" s="23" t="s">
        <v>22658</v>
      </c>
      <c r="F290" s="24" t="s">
        <v>22657</v>
      </c>
      <c r="G290" s="25">
        <v>4</v>
      </c>
      <c r="H290" s="26"/>
      <c r="I290" s="27"/>
    </row>
    <row r="291" spans="1:9" ht="15.75" thickBot="1" x14ac:dyDescent="0.3">
      <c r="A291" s="43" t="s">
        <v>2558</v>
      </c>
      <c r="B291" s="21" t="s">
        <v>2559</v>
      </c>
      <c r="C291" s="21" t="s">
        <v>22672</v>
      </c>
      <c r="D291" s="22">
        <v>46042</v>
      </c>
      <c r="E291" s="23" t="s">
        <v>22656</v>
      </c>
      <c r="F291" s="24" t="s">
        <v>22657</v>
      </c>
      <c r="G291" s="25">
        <v>4</v>
      </c>
      <c r="H291" s="29"/>
      <c r="I291" s="30"/>
    </row>
    <row r="292" spans="1:9" ht="15.75" thickBot="1" x14ac:dyDescent="0.3">
      <c r="A292" s="43" t="s">
        <v>2560</v>
      </c>
      <c r="B292" s="21" t="s">
        <v>2561</v>
      </c>
      <c r="C292" s="21" t="s">
        <v>22672</v>
      </c>
      <c r="D292" s="22">
        <v>46032</v>
      </c>
      <c r="E292" s="23" t="s">
        <v>22656</v>
      </c>
      <c r="F292" s="24" t="s">
        <v>22657</v>
      </c>
      <c r="G292" s="25">
        <v>4</v>
      </c>
      <c r="H292" s="26"/>
      <c r="I292" s="27"/>
    </row>
    <row r="293" spans="1:9" ht="15.75" thickBot="1" x14ac:dyDescent="0.3">
      <c r="A293" s="43" t="s">
        <v>2562</v>
      </c>
      <c r="B293" s="21" t="s">
        <v>2563</v>
      </c>
      <c r="C293" s="21" t="s">
        <v>22672</v>
      </c>
      <c r="D293" s="22">
        <v>46026</v>
      </c>
      <c r="E293" s="23" t="s">
        <v>22656</v>
      </c>
      <c r="F293" s="24" t="s">
        <v>22657</v>
      </c>
      <c r="G293" s="25">
        <v>2</v>
      </c>
      <c r="H293" s="29"/>
      <c r="I293" s="30"/>
    </row>
    <row r="294" spans="1:9" ht="15.75" thickBot="1" x14ac:dyDescent="0.3">
      <c r="A294" s="43" t="s">
        <v>2564</v>
      </c>
      <c r="B294" s="21" t="s">
        <v>2565</v>
      </c>
      <c r="C294" s="21" t="s">
        <v>22672</v>
      </c>
      <c r="D294" s="22">
        <v>46026</v>
      </c>
      <c r="E294" s="23" t="s">
        <v>22656</v>
      </c>
      <c r="F294" s="24" t="s">
        <v>22657</v>
      </c>
      <c r="G294" s="25">
        <v>2</v>
      </c>
      <c r="H294" s="26"/>
      <c r="I294" s="27"/>
    </row>
    <row r="295" spans="1:9" ht="15.75" thickBot="1" x14ac:dyDescent="0.3">
      <c r="A295" s="43" t="s">
        <v>2566</v>
      </c>
      <c r="B295" s="21" t="s">
        <v>2567</v>
      </c>
      <c r="C295" s="21" t="s">
        <v>22672</v>
      </c>
      <c r="D295" s="22">
        <v>46026</v>
      </c>
      <c r="E295" s="23" t="s">
        <v>22658</v>
      </c>
      <c r="F295" s="24" t="s">
        <v>22657</v>
      </c>
      <c r="G295" s="25">
        <v>2</v>
      </c>
      <c r="H295" s="29"/>
      <c r="I295" s="30"/>
    </row>
    <row r="296" spans="1:9" ht="15.75" thickBot="1" x14ac:dyDescent="0.3">
      <c r="A296" s="43" t="s">
        <v>2568</v>
      </c>
      <c r="B296" s="21" t="s">
        <v>2569</v>
      </c>
      <c r="C296" s="21" t="s">
        <v>22686</v>
      </c>
      <c r="D296" s="31" t="s">
        <v>22687</v>
      </c>
      <c r="E296" s="23" t="s">
        <v>22661</v>
      </c>
      <c r="F296" s="24" t="s">
        <v>22657</v>
      </c>
      <c r="G296" s="25">
        <v>8</v>
      </c>
      <c r="H296" s="26"/>
      <c r="I296" s="27"/>
    </row>
    <row r="297" spans="1:9" ht="15.75" thickBot="1" x14ac:dyDescent="0.3">
      <c r="A297" s="43" t="s">
        <v>2570</v>
      </c>
      <c r="B297" s="21" t="s">
        <v>2571</v>
      </c>
      <c r="C297" s="21" t="s">
        <v>22655</v>
      </c>
      <c r="D297" s="31" t="s">
        <v>22688</v>
      </c>
      <c r="E297" s="23" t="s">
        <v>22656</v>
      </c>
      <c r="F297" s="24" t="s">
        <v>22657</v>
      </c>
      <c r="G297" s="25">
        <v>14</v>
      </c>
      <c r="H297" s="29"/>
      <c r="I297" s="30"/>
    </row>
    <row r="298" spans="1:9" ht="15.75" thickBot="1" x14ac:dyDescent="0.3">
      <c r="A298" s="43" t="s">
        <v>2572</v>
      </c>
      <c r="B298" s="21" t="s">
        <v>2573</v>
      </c>
      <c r="C298" s="21" t="s">
        <v>22655</v>
      </c>
      <c r="D298" s="22">
        <v>46040</v>
      </c>
      <c r="E298" s="23" t="s">
        <v>22658</v>
      </c>
      <c r="F298" s="24" t="s">
        <v>22657</v>
      </c>
      <c r="G298" s="25">
        <v>6</v>
      </c>
      <c r="H298" s="26"/>
      <c r="I298" s="27"/>
    </row>
    <row r="299" spans="1:9" ht="15.75" thickBot="1" x14ac:dyDescent="0.3">
      <c r="A299" s="43" t="s">
        <v>2574</v>
      </c>
      <c r="B299" s="21" t="s">
        <v>2575</v>
      </c>
      <c r="C299" s="21" t="s">
        <v>22667</v>
      </c>
      <c r="D299" s="31" t="s">
        <v>22689</v>
      </c>
      <c r="E299" s="23" t="s">
        <v>22656</v>
      </c>
      <c r="F299" s="24" t="s">
        <v>22657</v>
      </c>
      <c r="G299" s="25">
        <v>6</v>
      </c>
      <c r="H299" s="29"/>
      <c r="I299" s="30"/>
    </row>
    <row r="300" spans="1:9" ht="15.75" thickBot="1" x14ac:dyDescent="0.3">
      <c r="A300" s="43" t="s">
        <v>2576</v>
      </c>
      <c r="B300" s="21" t="s">
        <v>2577</v>
      </c>
      <c r="C300" s="21" t="s">
        <v>22690</v>
      </c>
      <c r="D300" s="31" t="s">
        <v>22691</v>
      </c>
      <c r="E300" s="23" t="s">
        <v>22665</v>
      </c>
      <c r="F300" s="24" t="s">
        <v>22657</v>
      </c>
      <c r="G300" s="25">
        <v>18</v>
      </c>
      <c r="H300" s="26"/>
      <c r="I300" s="27"/>
    </row>
    <row r="301" spans="1:9" ht="15.75" thickBot="1" x14ac:dyDescent="0.3">
      <c r="A301" s="43" t="s">
        <v>2578</v>
      </c>
      <c r="B301" s="21" t="s">
        <v>2579</v>
      </c>
      <c r="C301" s="21" t="s">
        <v>22655</v>
      </c>
      <c r="D301" s="22">
        <v>46046</v>
      </c>
      <c r="E301" s="23" t="s">
        <v>22661</v>
      </c>
      <c r="F301" s="24" t="s">
        <v>22657</v>
      </c>
      <c r="G301" s="25">
        <v>12</v>
      </c>
      <c r="H301" s="32">
        <v>12</v>
      </c>
      <c r="I301" s="33">
        <v>20</v>
      </c>
    </row>
    <row r="302" spans="1:9" ht="15.75" thickBot="1" x14ac:dyDescent="0.3">
      <c r="A302" s="43" t="s">
        <v>2580</v>
      </c>
      <c r="B302" s="21" t="s">
        <v>2581</v>
      </c>
      <c r="C302" s="21" t="s">
        <v>22690</v>
      </c>
      <c r="D302" s="31" t="s">
        <v>22692</v>
      </c>
      <c r="E302" s="23" t="s">
        <v>22661</v>
      </c>
      <c r="F302" s="24" t="s">
        <v>22657</v>
      </c>
      <c r="G302" s="25">
        <v>9</v>
      </c>
      <c r="H302" s="26"/>
      <c r="I302" s="27"/>
    </row>
    <row r="303" spans="1:9" ht="15.75" thickBot="1" x14ac:dyDescent="0.3">
      <c r="A303" s="43" t="s">
        <v>2582</v>
      </c>
      <c r="B303" s="21" t="s">
        <v>2583</v>
      </c>
      <c r="C303" s="21" t="s">
        <v>22690</v>
      </c>
      <c r="D303" s="31" t="s">
        <v>22691</v>
      </c>
      <c r="E303" s="23" t="s">
        <v>22665</v>
      </c>
      <c r="F303" s="24" t="s">
        <v>22657</v>
      </c>
      <c r="G303" s="25">
        <v>24</v>
      </c>
      <c r="H303" s="32">
        <v>24</v>
      </c>
      <c r="I303" s="33">
        <v>48</v>
      </c>
    </row>
    <row r="304" spans="1:9" ht="15.75" thickBot="1" x14ac:dyDescent="0.3">
      <c r="A304" s="43" t="s">
        <v>2584</v>
      </c>
      <c r="B304" s="21" t="s">
        <v>2585</v>
      </c>
      <c r="C304" s="21" t="s">
        <v>22690</v>
      </c>
      <c r="D304" s="31" t="s">
        <v>22693</v>
      </c>
      <c r="E304" s="23" t="s">
        <v>22665</v>
      </c>
      <c r="F304" s="24" t="s">
        <v>22657</v>
      </c>
      <c r="G304" s="25">
        <v>19</v>
      </c>
      <c r="H304" s="26"/>
      <c r="I304" s="27"/>
    </row>
    <row r="305" spans="1:9" ht="15.75" thickBot="1" x14ac:dyDescent="0.3">
      <c r="A305" s="43" t="s">
        <v>2586</v>
      </c>
      <c r="B305" s="21" t="s">
        <v>2587</v>
      </c>
      <c r="C305" s="21" t="s">
        <v>22655</v>
      </c>
      <c r="D305" s="22">
        <v>46046</v>
      </c>
      <c r="E305" s="23" t="s">
        <v>22656</v>
      </c>
      <c r="F305" s="24" t="s">
        <v>22657</v>
      </c>
      <c r="G305" s="25">
        <v>8</v>
      </c>
      <c r="H305" s="29"/>
      <c r="I305" s="30"/>
    </row>
    <row r="306" spans="1:9" ht="15.75" thickBot="1" x14ac:dyDescent="0.3">
      <c r="A306" s="43" t="s">
        <v>2588</v>
      </c>
      <c r="B306" s="21" t="s">
        <v>2589</v>
      </c>
      <c r="C306" s="21" t="s">
        <v>22694</v>
      </c>
      <c r="D306" s="22">
        <v>46046</v>
      </c>
      <c r="E306" s="23" t="s">
        <v>22661</v>
      </c>
      <c r="F306" s="24" t="s">
        <v>22657</v>
      </c>
      <c r="G306" s="25">
        <v>8</v>
      </c>
      <c r="H306" s="26"/>
      <c r="I306" s="27"/>
    </row>
    <row r="307" spans="1:9" ht="15.75" thickBot="1" x14ac:dyDescent="0.3">
      <c r="A307" s="43" t="s">
        <v>2592</v>
      </c>
      <c r="B307" s="21" t="s">
        <v>2593</v>
      </c>
      <c r="C307" s="21" t="s">
        <v>22655</v>
      </c>
      <c r="D307" s="22">
        <v>46046</v>
      </c>
      <c r="E307" s="23" t="s">
        <v>22658</v>
      </c>
      <c r="F307" s="24" t="s">
        <v>22657</v>
      </c>
      <c r="G307" s="25">
        <v>2</v>
      </c>
      <c r="H307" s="29"/>
      <c r="I307" s="30"/>
    </row>
    <row r="308" spans="1:9" ht="15.75" thickBot="1" x14ac:dyDescent="0.3">
      <c r="A308" s="43" t="s">
        <v>2594</v>
      </c>
      <c r="B308" s="21" t="s">
        <v>2595</v>
      </c>
      <c r="C308" s="21" t="s">
        <v>22667</v>
      </c>
      <c r="D308" s="31" t="s">
        <v>22695</v>
      </c>
      <c r="E308" s="23" t="s">
        <v>22656</v>
      </c>
      <c r="F308" s="24" t="s">
        <v>22657</v>
      </c>
      <c r="G308" s="25">
        <v>9</v>
      </c>
      <c r="H308" s="26"/>
      <c r="I308" s="27"/>
    </row>
    <row r="309" spans="1:9" ht="15.75" thickBot="1" x14ac:dyDescent="0.3">
      <c r="A309" s="43" t="s">
        <v>2596</v>
      </c>
      <c r="B309" s="21" t="s">
        <v>2597</v>
      </c>
      <c r="C309" s="21" t="s">
        <v>22667</v>
      </c>
      <c r="D309" s="31" t="s">
        <v>22696</v>
      </c>
      <c r="E309" s="23" t="s">
        <v>22661</v>
      </c>
      <c r="F309" s="24" t="s">
        <v>22657</v>
      </c>
      <c r="G309" s="25">
        <v>21</v>
      </c>
      <c r="H309" s="29"/>
      <c r="I309" s="30"/>
    </row>
    <row r="310" spans="1:9" ht="15.75" thickBot="1" x14ac:dyDescent="0.3">
      <c r="A310" s="43" t="s">
        <v>2602</v>
      </c>
      <c r="B310" s="21" t="s">
        <v>22367</v>
      </c>
      <c r="C310" s="21" t="s">
        <v>22655</v>
      </c>
      <c r="D310" s="31" t="s">
        <v>22688</v>
      </c>
      <c r="E310" s="23" t="s">
        <v>22656</v>
      </c>
      <c r="F310" s="24" t="s">
        <v>22657</v>
      </c>
      <c r="G310" s="25">
        <v>27</v>
      </c>
      <c r="H310" s="26"/>
      <c r="I310" s="27"/>
    </row>
    <row r="311" spans="1:9" ht="15.75" thickBot="1" x14ac:dyDescent="0.3">
      <c r="A311" s="43" t="s">
        <v>2598</v>
      </c>
      <c r="B311" s="21" t="s">
        <v>2599</v>
      </c>
      <c r="C311" s="21" t="s">
        <v>22655</v>
      </c>
      <c r="D311" s="31" t="s">
        <v>22673</v>
      </c>
      <c r="E311" s="23" t="s">
        <v>22656</v>
      </c>
      <c r="F311" s="24" t="s">
        <v>22657</v>
      </c>
      <c r="G311" s="25">
        <v>4</v>
      </c>
      <c r="H311" s="29"/>
      <c r="I311" s="30"/>
    </row>
    <row r="312" spans="1:9" ht="15.75" thickBot="1" x14ac:dyDescent="0.3">
      <c r="A312" s="43" t="s">
        <v>2600</v>
      </c>
      <c r="B312" s="21" t="s">
        <v>2601</v>
      </c>
      <c r="C312" s="21" t="s">
        <v>22655</v>
      </c>
      <c r="D312" s="31" t="s">
        <v>22688</v>
      </c>
      <c r="E312" s="23" t="s">
        <v>22656</v>
      </c>
      <c r="F312" s="24" t="s">
        <v>22657</v>
      </c>
      <c r="G312" s="25">
        <v>4</v>
      </c>
      <c r="H312" s="26"/>
      <c r="I312" s="27"/>
    </row>
    <row r="313" spans="1:9" ht="15.75" thickBot="1" x14ac:dyDescent="0.3">
      <c r="A313" s="43" t="s">
        <v>2608</v>
      </c>
      <c r="B313" s="21" t="s">
        <v>2609</v>
      </c>
      <c r="C313" s="21" t="s">
        <v>22655</v>
      </c>
      <c r="D313" s="31" t="s">
        <v>22660</v>
      </c>
      <c r="E313" s="23" t="s">
        <v>22658</v>
      </c>
      <c r="F313" s="24" t="s">
        <v>22657</v>
      </c>
      <c r="G313" s="25">
        <v>4</v>
      </c>
      <c r="H313" s="29"/>
      <c r="I313" s="30"/>
    </row>
    <row r="314" spans="1:9" ht="15.75" thickBot="1" x14ac:dyDescent="0.3">
      <c r="A314" s="43" t="s">
        <v>2610</v>
      </c>
      <c r="B314" s="21" t="s">
        <v>2611</v>
      </c>
      <c r="C314" s="21" t="s">
        <v>22663</v>
      </c>
      <c r="D314" s="31">
        <v>1</v>
      </c>
      <c r="E314" s="23" t="s">
        <v>22656</v>
      </c>
      <c r="F314" s="24" t="s">
        <v>22657</v>
      </c>
      <c r="G314" s="25">
        <v>2</v>
      </c>
      <c r="H314" s="26"/>
      <c r="I314" s="27"/>
    </row>
    <row r="315" spans="1:9" ht="15.75" thickBot="1" x14ac:dyDescent="0.3">
      <c r="A315" s="43" t="s">
        <v>2612</v>
      </c>
      <c r="B315" s="21" t="s">
        <v>2613</v>
      </c>
      <c r="C315" s="21" t="s">
        <v>22663</v>
      </c>
      <c r="D315" s="31">
        <v>1</v>
      </c>
      <c r="E315" s="23" t="s">
        <v>22656</v>
      </c>
      <c r="F315" s="24" t="s">
        <v>22657</v>
      </c>
      <c r="G315" s="25">
        <v>3</v>
      </c>
      <c r="H315" s="29"/>
      <c r="I315" s="30"/>
    </row>
    <row r="316" spans="1:9" ht="15.75" thickBot="1" x14ac:dyDescent="0.3">
      <c r="A316" s="43" t="s">
        <v>2614</v>
      </c>
      <c r="B316" s="21" t="s">
        <v>2615</v>
      </c>
      <c r="C316" s="21" t="s">
        <v>22663</v>
      </c>
      <c r="D316" s="31">
        <v>1</v>
      </c>
      <c r="E316" s="23" t="s">
        <v>22656</v>
      </c>
      <c r="F316" s="24" t="s">
        <v>22657</v>
      </c>
      <c r="G316" s="25">
        <v>4</v>
      </c>
      <c r="H316" s="26"/>
      <c r="I316" s="27"/>
    </row>
    <row r="317" spans="1:9" ht="15.75" thickBot="1" x14ac:dyDescent="0.3">
      <c r="A317" s="43" t="s">
        <v>2616</v>
      </c>
      <c r="B317" s="21" t="s">
        <v>2617</v>
      </c>
      <c r="C317" s="21" t="s">
        <v>22663</v>
      </c>
      <c r="D317" s="31">
        <v>1</v>
      </c>
      <c r="E317" s="23" t="s">
        <v>22656</v>
      </c>
      <c r="F317" s="24" t="s">
        <v>22657</v>
      </c>
      <c r="G317" s="25">
        <v>4</v>
      </c>
      <c r="H317" s="29"/>
      <c r="I317" s="30"/>
    </row>
    <row r="318" spans="1:9" ht="15.75" thickBot="1" x14ac:dyDescent="0.3">
      <c r="A318" s="43" t="s">
        <v>2618</v>
      </c>
      <c r="B318" s="21" t="s">
        <v>2619</v>
      </c>
      <c r="C318" s="21" t="s">
        <v>22697</v>
      </c>
      <c r="D318" s="22">
        <v>46047</v>
      </c>
      <c r="E318" s="23" t="s">
        <v>22658</v>
      </c>
      <c r="F318" s="28" t="s">
        <v>22659</v>
      </c>
      <c r="G318" s="25">
        <v>2</v>
      </c>
      <c r="H318" s="26"/>
      <c r="I318" s="27"/>
    </row>
    <row r="319" spans="1:9" ht="15.75" thickBot="1" x14ac:dyDescent="0.3">
      <c r="A319" s="43" t="s">
        <v>2620</v>
      </c>
      <c r="B319" s="21" t="s">
        <v>2621</v>
      </c>
      <c r="C319" s="21" t="s">
        <v>22663</v>
      </c>
      <c r="D319" s="31">
        <v>1</v>
      </c>
      <c r="E319" s="23" t="s">
        <v>22656</v>
      </c>
      <c r="F319" s="24" t="s">
        <v>22657</v>
      </c>
      <c r="G319" s="25">
        <v>4</v>
      </c>
      <c r="H319" s="29"/>
      <c r="I319" s="30"/>
    </row>
    <row r="320" spans="1:9" ht="15.75" thickBot="1" x14ac:dyDescent="0.3">
      <c r="A320" s="43" t="s">
        <v>2622</v>
      </c>
      <c r="B320" s="21" t="s">
        <v>2623</v>
      </c>
      <c r="C320" s="21" t="s">
        <v>22663</v>
      </c>
      <c r="D320" s="31">
        <v>1</v>
      </c>
      <c r="E320" s="23" t="s">
        <v>22656</v>
      </c>
      <c r="F320" s="24" t="s">
        <v>22657</v>
      </c>
      <c r="G320" s="25">
        <v>4</v>
      </c>
      <c r="H320" s="26"/>
      <c r="I320" s="27"/>
    </row>
    <row r="321" spans="1:9" ht="15.75" thickBot="1" x14ac:dyDescent="0.3">
      <c r="A321" s="43" t="s">
        <v>2624</v>
      </c>
      <c r="B321" s="21" t="s">
        <v>2625</v>
      </c>
      <c r="C321" s="21" t="s">
        <v>22697</v>
      </c>
      <c r="D321" s="22">
        <v>46047</v>
      </c>
      <c r="E321" s="23" t="s">
        <v>22656</v>
      </c>
      <c r="F321" s="24" t="s">
        <v>22657</v>
      </c>
      <c r="G321" s="25">
        <v>2</v>
      </c>
      <c r="H321" s="29"/>
      <c r="I321" s="30"/>
    </row>
    <row r="322" spans="1:9" ht="15.75" thickBot="1" x14ac:dyDescent="0.3">
      <c r="A322" s="43" t="s">
        <v>2626</v>
      </c>
      <c r="B322" s="21" t="s">
        <v>2627</v>
      </c>
      <c r="C322" s="21" t="s">
        <v>22698</v>
      </c>
      <c r="D322" s="31">
        <v>1</v>
      </c>
      <c r="E322" s="23" t="s">
        <v>22658</v>
      </c>
      <c r="F322" s="28" t="s">
        <v>22659</v>
      </c>
      <c r="G322" s="25">
        <v>1</v>
      </c>
      <c r="H322" s="26"/>
      <c r="I322" s="27"/>
    </row>
    <row r="323" spans="1:9" ht="15.75" thickBot="1" x14ac:dyDescent="0.3">
      <c r="A323" s="43" t="s">
        <v>2628</v>
      </c>
      <c r="B323" s="21" t="s">
        <v>2629</v>
      </c>
      <c r="C323" s="21" t="s">
        <v>22663</v>
      </c>
      <c r="D323" s="31">
        <v>1</v>
      </c>
      <c r="E323" s="23" t="s">
        <v>22658</v>
      </c>
      <c r="F323" s="24" t="s">
        <v>22657</v>
      </c>
      <c r="G323" s="25">
        <v>4</v>
      </c>
      <c r="H323" s="29"/>
      <c r="I323" s="30"/>
    </row>
    <row r="324" spans="1:9" ht="15.75" thickBot="1" x14ac:dyDescent="0.3">
      <c r="A324" s="43" t="s">
        <v>2630</v>
      </c>
      <c r="B324" s="21" t="s">
        <v>2631</v>
      </c>
      <c r="C324" s="21" t="s">
        <v>22663</v>
      </c>
      <c r="D324" s="31">
        <v>1</v>
      </c>
      <c r="E324" s="23" t="s">
        <v>22658</v>
      </c>
      <c r="F324" s="24" t="s">
        <v>22657</v>
      </c>
      <c r="G324" s="25">
        <v>2</v>
      </c>
      <c r="H324" s="26"/>
      <c r="I324" s="27"/>
    </row>
    <row r="325" spans="1:9" ht="15.75" thickBot="1" x14ac:dyDescent="0.3">
      <c r="A325" s="43" t="s">
        <v>2632</v>
      </c>
      <c r="B325" s="21" t="s">
        <v>2633</v>
      </c>
      <c r="C325" s="21" t="s">
        <v>22663</v>
      </c>
      <c r="D325" s="31">
        <v>1</v>
      </c>
      <c r="E325" s="23" t="s">
        <v>22656</v>
      </c>
      <c r="F325" s="24" t="s">
        <v>22657</v>
      </c>
      <c r="G325" s="25">
        <v>2</v>
      </c>
      <c r="H325" s="29"/>
      <c r="I325" s="30"/>
    </row>
    <row r="326" spans="1:9" ht="15.75" thickBot="1" x14ac:dyDescent="0.3">
      <c r="A326" s="43" t="s">
        <v>2634</v>
      </c>
      <c r="B326" s="21" t="s">
        <v>2635</v>
      </c>
      <c r="C326" s="21" t="s">
        <v>22690</v>
      </c>
      <c r="D326" s="31" t="s">
        <v>22699</v>
      </c>
      <c r="E326" s="23" t="s">
        <v>22656</v>
      </c>
      <c r="F326" s="24" t="s">
        <v>22657</v>
      </c>
      <c r="G326" s="25">
        <v>5</v>
      </c>
      <c r="H326" s="26"/>
      <c r="I326" s="27"/>
    </row>
    <row r="327" spans="1:9" ht="15.75" thickBot="1" x14ac:dyDescent="0.3">
      <c r="A327" s="43" t="s">
        <v>2636</v>
      </c>
      <c r="B327" s="21" t="s">
        <v>2637</v>
      </c>
      <c r="C327" s="21" t="s">
        <v>22690</v>
      </c>
      <c r="D327" s="31" t="s">
        <v>22699</v>
      </c>
      <c r="E327" s="23" t="s">
        <v>22656</v>
      </c>
      <c r="F327" s="24" t="s">
        <v>22657</v>
      </c>
      <c r="G327" s="25">
        <v>11</v>
      </c>
      <c r="H327" s="29"/>
      <c r="I327" s="30"/>
    </row>
    <row r="328" spans="1:9" ht="15.75" thickBot="1" x14ac:dyDescent="0.3">
      <c r="A328" s="43" t="s">
        <v>2638</v>
      </c>
      <c r="B328" s="21" t="s">
        <v>2639</v>
      </c>
      <c r="C328" s="21" t="s">
        <v>22690</v>
      </c>
      <c r="D328" s="31" t="s">
        <v>22699</v>
      </c>
      <c r="E328" s="23" t="s">
        <v>22656</v>
      </c>
      <c r="F328" s="24" t="s">
        <v>22657</v>
      </c>
      <c r="G328" s="25">
        <v>11</v>
      </c>
      <c r="H328" s="26"/>
      <c r="I328" s="27"/>
    </row>
    <row r="329" spans="1:9" ht="15.75" thickBot="1" x14ac:dyDescent="0.3">
      <c r="A329" s="43" t="s">
        <v>2642</v>
      </c>
      <c r="B329" s="21" t="s">
        <v>2643</v>
      </c>
      <c r="C329" s="21" t="s">
        <v>22690</v>
      </c>
      <c r="D329" s="31" t="s">
        <v>22699</v>
      </c>
      <c r="E329" s="23" t="s">
        <v>22656</v>
      </c>
      <c r="F329" s="24" t="s">
        <v>22657</v>
      </c>
      <c r="G329" s="25">
        <v>13</v>
      </c>
      <c r="H329" s="29"/>
      <c r="I329" s="30"/>
    </row>
    <row r="330" spans="1:9" ht="15.75" thickBot="1" x14ac:dyDescent="0.3">
      <c r="A330" s="43" t="s">
        <v>2644</v>
      </c>
      <c r="B330" s="21" t="s">
        <v>2645</v>
      </c>
      <c r="C330" s="21" t="s">
        <v>22690</v>
      </c>
      <c r="D330" s="31" t="s">
        <v>22700</v>
      </c>
      <c r="E330" s="23" t="s">
        <v>22656</v>
      </c>
      <c r="F330" s="24" t="s">
        <v>22657</v>
      </c>
      <c r="G330" s="25">
        <v>4</v>
      </c>
      <c r="H330" s="26"/>
      <c r="I330" s="27"/>
    </row>
    <row r="331" spans="1:9" ht="15.75" thickBot="1" x14ac:dyDescent="0.3">
      <c r="A331" s="43" t="s">
        <v>2646</v>
      </c>
      <c r="B331" s="21" t="s">
        <v>2647</v>
      </c>
      <c r="C331" s="21" t="s">
        <v>22690</v>
      </c>
      <c r="D331" s="31" t="s">
        <v>22700</v>
      </c>
      <c r="E331" s="23" t="s">
        <v>22656</v>
      </c>
      <c r="F331" s="24" t="s">
        <v>22657</v>
      </c>
      <c r="G331" s="25">
        <v>9</v>
      </c>
      <c r="H331" s="29"/>
      <c r="I331" s="30"/>
    </row>
    <row r="332" spans="1:9" ht="15.75" thickBot="1" x14ac:dyDescent="0.3">
      <c r="A332" s="43" t="s">
        <v>2648</v>
      </c>
      <c r="B332" s="21" t="s">
        <v>2649</v>
      </c>
      <c r="C332" s="21" t="s">
        <v>22690</v>
      </c>
      <c r="D332" s="31" t="s">
        <v>22700</v>
      </c>
      <c r="E332" s="23" t="s">
        <v>22656</v>
      </c>
      <c r="F332" s="24" t="s">
        <v>22657</v>
      </c>
      <c r="G332" s="25">
        <v>4</v>
      </c>
      <c r="H332" s="26"/>
      <c r="I332" s="27"/>
    </row>
    <row r="333" spans="1:9" ht="15.75" thickBot="1" x14ac:dyDescent="0.3">
      <c r="A333" s="43" t="s">
        <v>2650</v>
      </c>
      <c r="B333" s="21" t="s">
        <v>2651</v>
      </c>
      <c r="C333" s="21" t="s">
        <v>22690</v>
      </c>
      <c r="D333" s="31" t="s">
        <v>22700</v>
      </c>
      <c r="E333" s="23" t="s">
        <v>22656</v>
      </c>
      <c r="F333" s="24" t="s">
        <v>22657</v>
      </c>
      <c r="G333" s="25">
        <v>6</v>
      </c>
      <c r="H333" s="29"/>
      <c r="I333" s="30"/>
    </row>
    <row r="334" spans="1:9" ht="15.75" thickBot="1" x14ac:dyDescent="0.3">
      <c r="A334" s="43" t="s">
        <v>2652</v>
      </c>
      <c r="B334" s="21" t="s">
        <v>2653</v>
      </c>
      <c r="C334" s="21" t="s">
        <v>22655</v>
      </c>
      <c r="D334" s="22">
        <v>46034</v>
      </c>
      <c r="E334" s="23" t="s">
        <v>22658</v>
      </c>
      <c r="F334" s="24" t="s">
        <v>22657</v>
      </c>
      <c r="G334" s="25">
        <v>4</v>
      </c>
      <c r="H334" s="26"/>
      <c r="I334" s="27"/>
    </row>
    <row r="335" spans="1:9" ht="15.75" thickBot="1" x14ac:dyDescent="0.3">
      <c r="A335" s="43" t="s">
        <v>2654</v>
      </c>
      <c r="B335" s="21" t="s">
        <v>2655</v>
      </c>
      <c r="C335" s="21" t="s">
        <v>22667</v>
      </c>
      <c r="D335" s="31" t="s">
        <v>22701</v>
      </c>
      <c r="E335" s="23" t="s">
        <v>22661</v>
      </c>
      <c r="F335" s="24" t="s">
        <v>22657</v>
      </c>
      <c r="G335" s="25">
        <v>7</v>
      </c>
      <c r="H335" s="29"/>
      <c r="I335" s="30"/>
    </row>
    <row r="336" spans="1:9" ht="15.75" thickBot="1" x14ac:dyDescent="0.3">
      <c r="A336" s="43" t="s">
        <v>2656</v>
      </c>
      <c r="B336" s="21" t="s">
        <v>2657</v>
      </c>
      <c r="C336" s="21" t="s">
        <v>22667</v>
      </c>
      <c r="D336" s="31" t="s">
        <v>22702</v>
      </c>
      <c r="E336" s="23" t="s">
        <v>22656</v>
      </c>
      <c r="F336" s="24" t="s">
        <v>22657</v>
      </c>
      <c r="G336" s="25">
        <v>7</v>
      </c>
      <c r="H336" s="26"/>
      <c r="I336" s="27"/>
    </row>
    <row r="337" spans="1:9" ht="15.75" thickBot="1" x14ac:dyDescent="0.3">
      <c r="A337" s="43" t="s">
        <v>1245</v>
      </c>
      <c r="B337" s="21" t="s">
        <v>1246</v>
      </c>
      <c r="C337" s="21" t="s">
        <v>22655</v>
      </c>
      <c r="D337" s="22">
        <v>46042</v>
      </c>
      <c r="E337" s="23" t="s">
        <v>22661</v>
      </c>
      <c r="F337" s="24" t="s">
        <v>22657</v>
      </c>
      <c r="G337" s="25">
        <v>12</v>
      </c>
      <c r="H337" s="32">
        <v>12</v>
      </c>
      <c r="I337" s="33">
        <v>20</v>
      </c>
    </row>
    <row r="338" spans="1:9" ht="15.75" thickBot="1" x14ac:dyDescent="0.3">
      <c r="A338" s="43" t="s">
        <v>2658</v>
      </c>
      <c r="B338" s="21" t="s">
        <v>2659</v>
      </c>
      <c r="C338" s="21" t="s">
        <v>22667</v>
      </c>
      <c r="D338" s="31" t="s">
        <v>22703</v>
      </c>
      <c r="E338" s="23" t="s">
        <v>22661</v>
      </c>
      <c r="F338" s="24" t="s">
        <v>22657</v>
      </c>
      <c r="G338" s="25">
        <v>14</v>
      </c>
      <c r="H338" s="26"/>
      <c r="I338" s="27"/>
    </row>
    <row r="339" spans="1:9" ht="15.75" thickBot="1" x14ac:dyDescent="0.3">
      <c r="A339" s="43" t="s">
        <v>2660</v>
      </c>
      <c r="B339" s="21" t="s">
        <v>2661</v>
      </c>
      <c r="C339" s="21" t="s">
        <v>22667</v>
      </c>
      <c r="D339" s="31" t="s">
        <v>22704</v>
      </c>
      <c r="E339" s="23" t="s">
        <v>22656</v>
      </c>
      <c r="F339" s="24" t="s">
        <v>22657</v>
      </c>
      <c r="G339" s="25">
        <v>7</v>
      </c>
      <c r="H339" s="29"/>
      <c r="I339" s="30"/>
    </row>
    <row r="340" spans="1:9" ht="15.75" thickBot="1" x14ac:dyDescent="0.3">
      <c r="A340" s="43" t="s">
        <v>2662</v>
      </c>
      <c r="B340" s="21" t="s">
        <v>2663</v>
      </c>
      <c r="C340" s="21" t="s">
        <v>22667</v>
      </c>
      <c r="D340" s="31" t="s">
        <v>22701</v>
      </c>
      <c r="E340" s="23" t="s">
        <v>22661</v>
      </c>
      <c r="F340" s="24" t="s">
        <v>22657</v>
      </c>
      <c r="G340" s="25">
        <v>7</v>
      </c>
      <c r="H340" s="26"/>
      <c r="I340" s="27"/>
    </row>
    <row r="341" spans="1:9" ht="15.75" thickBot="1" x14ac:dyDescent="0.3">
      <c r="A341" s="43" t="s">
        <v>2664</v>
      </c>
      <c r="B341" s="21" t="s">
        <v>2665</v>
      </c>
      <c r="C341" s="21" t="s">
        <v>22655</v>
      </c>
      <c r="D341" s="22">
        <v>46046</v>
      </c>
      <c r="E341" s="23" t="s">
        <v>22656</v>
      </c>
      <c r="F341" s="24" t="s">
        <v>22657</v>
      </c>
      <c r="G341" s="25">
        <v>8</v>
      </c>
      <c r="H341" s="29"/>
      <c r="I341" s="30"/>
    </row>
    <row r="342" spans="1:9" ht="15.75" thickBot="1" x14ac:dyDescent="0.3">
      <c r="A342" s="43" t="s">
        <v>627</v>
      </c>
      <c r="B342" s="21" t="s">
        <v>2666</v>
      </c>
      <c r="C342" s="21" t="s">
        <v>22655</v>
      </c>
      <c r="D342" s="22">
        <v>46042</v>
      </c>
      <c r="E342" s="23" t="s">
        <v>22656</v>
      </c>
      <c r="F342" s="24" t="s">
        <v>22657</v>
      </c>
      <c r="G342" s="25">
        <v>10</v>
      </c>
      <c r="H342" s="34">
        <v>10</v>
      </c>
      <c r="I342" s="35">
        <v>12</v>
      </c>
    </row>
    <row r="343" spans="1:9" ht="15.75" thickBot="1" x14ac:dyDescent="0.3">
      <c r="A343" s="43" t="s">
        <v>2669</v>
      </c>
      <c r="B343" s="21" t="s">
        <v>2670</v>
      </c>
      <c r="C343" s="21" t="s">
        <v>22682</v>
      </c>
      <c r="D343" s="22">
        <v>46034</v>
      </c>
      <c r="E343" s="23" t="s">
        <v>22658</v>
      </c>
      <c r="F343" s="24" t="s">
        <v>22657</v>
      </c>
      <c r="G343" s="25">
        <v>2</v>
      </c>
      <c r="H343" s="29"/>
      <c r="I343" s="30"/>
    </row>
    <row r="344" spans="1:9" ht="15.75" thickBot="1" x14ac:dyDescent="0.3">
      <c r="A344" s="43" t="s">
        <v>2671</v>
      </c>
      <c r="B344" s="21" t="s">
        <v>2672</v>
      </c>
      <c r="C344" s="21" t="s">
        <v>22682</v>
      </c>
      <c r="D344" s="22">
        <v>46034</v>
      </c>
      <c r="E344" s="23" t="s">
        <v>22658</v>
      </c>
      <c r="F344" s="24" t="s">
        <v>22657</v>
      </c>
      <c r="G344" s="25">
        <v>2</v>
      </c>
      <c r="H344" s="26"/>
      <c r="I344" s="27"/>
    </row>
    <row r="345" spans="1:9" ht="15.75" thickBot="1" x14ac:dyDescent="0.3">
      <c r="A345" s="43" t="s">
        <v>2673</v>
      </c>
      <c r="B345" s="21" t="s">
        <v>2674</v>
      </c>
      <c r="C345" s="21" t="s">
        <v>22682</v>
      </c>
      <c r="D345" s="22">
        <v>46034</v>
      </c>
      <c r="E345" s="23" t="s">
        <v>22658</v>
      </c>
      <c r="F345" s="24" t="s">
        <v>22657</v>
      </c>
      <c r="G345" s="25">
        <v>2</v>
      </c>
      <c r="H345" s="29"/>
      <c r="I345" s="30"/>
    </row>
    <row r="346" spans="1:9" ht="15.75" thickBot="1" x14ac:dyDescent="0.3">
      <c r="A346" s="43" t="s">
        <v>2675</v>
      </c>
      <c r="B346" s="21" t="s">
        <v>2676</v>
      </c>
      <c r="C346" s="21" t="s">
        <v>22682</v>
      </c>
      <c r="D346" s="22">
        <v>46034</v>
      </c>
      <c r="E346" s="23" t="s">
        <v>22658</v>
      </c>
      <c r="F346" s="24" t="s">
        <v>22657</v>
      </c>
      <c r="G346" s="25">
        <v>2</v>
      </c>
      <c r="H346" s="26"/>
      <c r="I346" s="27"/>
    </row>
    <row r="347" spans="1:9" ht="15.75" thickBot="1" x14ac:dyDescent="0.3">
      <c r="A347" s="43" t="s">
        <v>2677</v>
      </c>
      <c r="B347" s="21" t="s">
        <v>2678</v>
      </c>
      <c r="C347" s="21" t="s">
        <v>22682</v>
      </c>
      <c r="D347" s="22">
        <v>46034</v>
      </c>
      <c r="E347" s="23" t="s">
        <v>22658</v>
      </c>
      <c r="F347" s="24" t="s">
        <v>22657</v>
      </c>
      <c r="G347" s="25">
        <v>2</v>
      </c>
      <c r="H347" s="29"/>
      <c r="I347" s="30"/>
    </row>
    <row r="348" spans="1:9" ht="15.75" thickBot="1" x14ac:dyDescent="0.3">
      <c r="A348" s="43" t="s">
        <v>2679</v>
      </c>
      <c r="B348" s="21" t="s">
        <v>2680</v>
      </c>
      <c r="C348" s="21" t="s">
        <v>22682</v>
      </c>
      <c r="D348" s="22">
        <v>46034</v>
      </c>
      <c r="E348" s="23" t="s">
        <v>22658</v>
      </c>
      <c r="F348" s="24" t="s">
        <v>22657</v>
      </c>
      <c r="G348" s="25">
        <v>2</v>
      </c>
      <c r="H348" s="26"/>
      <c r="I348" s="27"/>
    </row>
    <row r="349" spans="1:9" ht="15.75" thickBot="1" x14ac:dyDescent="0.3">
      <c r="A349" s="43" t="s">
        <v>2681</v>
      </c>
      <c r="B349" s="21" t="s">
        <v>2682</v>
      </c>
      <c r="C349" s="21" t="s">
        <v>22682</v>
      </c>
      <c r="D349" s="22">
        <v>46034</v>
      </c>
      <c r="E349" s="23" t="s">
        <v>22656</v>
      </c>
      <c r="F349" s="24" t="s">
        <v>22657</v>
      </c>
      <c r="G349" s="25">
        <v>2</v>
      </c>
      <c r="H349" s="29"/>
      <c r="I349" s="30"/>
    </row>
    <row r="350" spans="1:9" ht="15.75" thickBot="1" x14ac:dyDescent="0.3">
      <c r="A350" s="43" t="s">
        <v>2683</v>
      </c>
      <c r="B350" s="21" t="s">
        <v>2684</v>
      </c>
      <c r="C350" s="21" t="s">
        <v>22682</v>
      </c>
      <c r="D350" s="22">
        <v>46034</v>
      </c>
      <c r="E350" s="23" t="s">
        <v>22658</v>
      </c>
      <c r="F350" s="24" t="s">
        <v>22657</v>
      </c>
      <c r="G350" s="25">
        <v>2</v>
      </c>
      <c r="H350" s="26"/>
      <c r="I350" s="27"/>
    </row>
    <row r="351" spans="1:9" ht="15.75" thickBot="1" x14ac:dyDescent="0.3">
      <c r="A351" s="43" t="s">
        <v>2685</v>
      </c>
      <c r="B351" s="21" t="s">
        <v>2686</v>
      </c>
      <c r="C351" s="21" t="s">
        <v>22682</v>
      </c>
      <c r="D351" s="22">
        <v>46034</v>
      </c>
      <c r="E351" s="23" t="s">
        <v>22658</v>
      </c>
      <c r="F351" s="24" t="s">
        <v>22657</v>
      </c>
      <c r="G351" s="25">
        <v>2</v>
      </c>
      <c r="H351" s="29"/>
      <c r="I351" s="30"/>
    </row>
    <row r="352" spans="1:9" ht="15.75" thickBot="1" x14ac:dyDescent="0.3">
      <c r="A352" s="43" t="s">
        <v>2687</v>
      </c>
      <c r="B352" s="21" t="s">
        <v>2688</v>
      </c>
      <c r="C352" s="21" t="s">
        <v>22682</v>
      </c>
      <c r="D352" s="22">
        <v>46034</v>
      </c>
      <c r="E352" s="23" t="s">
        <v>22656</v>
      </c>
      <c r="F352" s="24" t="s">
        <v>22657</v>
      </c>
      <c r="G352" s="25">
        <v>2</v>
      </c>
      <c r="H352" s="26"/>
      <c r="I352" s="27"/>
    </row>
    <row r="353" spans="1:9" ht="15.75" thickBot="1" x14ac:dyDescent="0.3">
      <c r="A353" s="43" t="s">
        <v>2689</v>
      </c>
      <c r="B353" s="21" t="s">
        <v>2690</v>
      </c>
      <c r="C353" s="21" t="s">
        <v>22682</v>
      </c>
      <c r="D353" s="22">
        <v>46034</v>
      </c>
      <c r="E353" s="23" t="s">
        <v>22656</v>
      </c>
      <c r="F353" s="24" t="s">
        <v>22657</v>
      </c>
      <c r="G353" s="25">
        <v>2</v>
      </c>
      <c r="H353" s="29"/>
      <c r="I353" s="30"/>
    </row>
    <row r="354" spans="1:9" ht="15.75" thickBot="1" x14ac:dyDescent="0.3">
      <c r="A354" s="43" t="s">
        <v>2691</v>
      </c>
      <c r="B354" s="21" t="s">
        <v>2692</v>
      </c>
      <c r="C354" s="21" t="s">
        <v>22682</v>
      </c>
      <c r="D354" s="22">
        <v>46034</v>
      </c>
      <c r="E354" s="23" t="s">
        <v>22658</v>
      </c>
      <c r="F354" s="24" t="s">
        <v>22657</v>
      </c>
      <c r="G354" s="25">
        <v>2</v>
      </c>
      <c r="H354" s="26"/>
      <c r="I354" s="27"/>
    </row>
    <row r="355" spans="1:9" ht="15.75" thickBot="1" x14ac:dyDescent="0.3">
      <c r="A355" s="43" t="s">
        <v>2693</v>
      </c>
      <c r="B355" s="21" t="s">
        <v>2694</v>
      </c>
      <c r="C355" s="21" t="s">
        <v>22682</v>
      </c>
      <c r="D355" s="22">
        <v>46034</v>
      </c>
      <c r="E355" s="23" t="s">
        <v>22658</v>
      </c>
      <c r="F355" s="24" t="s">
        <v>22657</v>
      </c>
      <c r="G355" s="25">
        <v>2</v>
      </c>
      <c r="H355" s="29"/>
      <c r="I355" s="30"/>
    </row>
    <row r="356" spans="1:9" ht="15.75" thickBot="1" x14ac:dyDescent="0.3">
      <c r="A356" s="43" t="s">
        <v>2695</v>
      </c>
      <c r="B356" s="21" t="s">
        <v>2696</v>
      </c>
      <c r="C356" s="21" t="s">
        <v>22682</v>
      </c>
      <c r="D356" s="22">
        <v>46034</v>
      </c>
      <c r="E356" s="23" t="s">
        <v>22656</v>
      </c>
      <c r="F356" s="24" t="s">
        <v>22657</v>
      </c>
      <c r="G356" s="25">
        <v>2</v>
      </c>
      <c r="H356" s="26"/>
      <c r="I356" s="27"/>
    </row>
    <row r="357" spans="1:9" ht="15.75" thickBot="1" x14ac:dyDescent="0.3">
      <c r="A357" s="43" t="s">
        <v>2697</v>
      </c>
      <c r="B357" s="21" t="s">
        <v>2698</v>
      </c>
      <c r="C357" s="21" t="s">
        <v>22682</v>
      </c>
      <c r="D357" s="22">
        <v>46034</v>
      </c>
      <c r="E357" s="23" t="s">
        <v>22656</v>
      </c>
      <c r="F357" s="24" t="s">
        <v>22657</v>
      </c>
      <c r="G357" s="25">
        <v>2</v>
      </c>
      <c r="H357" s="29"/>
      <c r="I357" s="30"/>
    </row>
    <row r="358" spans="1:9" ht="15.75" thickBot="1" x14ac:dyDescent="0.3">
      <c r="A358" s="43" t="s">
        <v>2699</v>
      </c>
      <c r="B358" s="21" t="s">
        <v>2700</v>
      </c>
      <c r="C358" s="21" t="s">
        <v>22682</v>
      </c>
      <c r="D358" s="22">
        <v>46034</v>
      </c>
      <c r="E358" s="23" t="s">
        <v>22656</v>
      </c>
      <c r="F358" s="24" t="s">
        <v>22657</v>
      </c>
      <c r="G358" s="25">
        <v>2</v>
      </c>
      <c r="H358" s="26"/>
      <c r="I358" s="27"/>
    </row>
    <row r="359" spans="1:9" ht="15.75" thickBot="1" x14ac:dyDescent="0.3">
      <c r="A359" s="43" t="s">
        <v>2701</v>
      </c>
      <c r="B359" s="21" t="s">
        <v>2702</v>
      </c>
      <c r="C359" s="21" t="s">
        <v>22682</v>
      </c>
      <c r="D359" s="22">
        <v>46034</v>
      </c>
      <c r="E359" s="23" t="s">
        <v>22658</v>
      </c>
      <c r="F359" s="24" t="s">
        <v>22657</v>
      </c>
      <c r="G359" s="25">
        <v>2</v>
      </c>
      <c r="H359" s="29"/>
      <c r="I359" s="30"/>
    </row>
    <row r="360" spans="1:9" ht="15.75" thickBot="1" x14ac:dyDescent="0.3">
      <c r="A360" s="43" t="s">
        <v>2703</v>
      </c>
      <c r="B360" s="21" t="s">
        <v>2704</v>
      </c>
      <c r="C360" s="21" t="s">
        <v>22682</v>
      </c>
      <c r="D360" s="22">
        <v>46034</v>
      </c>
      <c r="E360" s="23" t="s">
        <v>22658</v>
      </c>
      <c r="F360" s="24" t="s">
        <v>22657</v>
      </c>
      <c r="G360" s="25">
        <v>2</v>
      </c>
      <c r="H360" s="26"/>
      <c r="I360" s="27"/>
    </row>
    <row r="361" spans="1:9" ht="15.75" thickBot="1" x14ac:dyDescent="0.3">
      <c r="A361" s="43" t="s">
        <v>2705</v>
      </c>
      <c r="B361" s="21" t="s">
        <v>2706</v>
      </c>
      <c r="C361" s="21" t="s">
        <v>22682</v>
      </c>
      <c r="D361" s="22">
        <v>46034</v>
      </c>
      <c r="E361" s="23" t="s">
        <v>22658</v>
      </c>
      <c r="F361" s="24" t="s">
        <v>22657</v>
      </c>
      <c r="G361" s="25">
        <v>2</v>
      </c>
      <c r="H361" s="29"/>
      <c r="I361" s="30"/>
    </row>
    <row r="362" spans="1:9" ht="15.75" thickBot="1" x14ac:dyDescent="0.3">
      <c r="A362" s="43" t="s">
        <v>2707</v>
      </c>
      <c r="B362" s="21" t="s">
        <v>2708</v>
      </c>
      <c r="C362" s="21" t="s">
        <v>22682</v>
      </c>
      <c r="D362" s="22">
        <v>46034</v>
      </c>
      <c r="E362" s="23" t="s">
        <v>22656</v>
      </c>
      <c r="F362" s="24" t="s">
        <v>22657</v>
      </c>
      <c r="G362" s="25">
        <v>2</v>
      </c>
      <c r="H362" s="26"/>
      <c r="I362" s="27"/>
    </row>
    <row r="363" spans="1:9" ht="15.75" thickBot="1" x14ac:dyDescent="0.3">
      <c r="A363" s="43" t="s">
        <v>2709</v>
      </c>
      <c r="B363" s="21" t="s">
        <v>2710</v>
      </c>
      <c r="C363" s="21" t="s">
        <v>22682</v>
      </c>
      <c r="D363" s="22">
        <v>46034</v>
      </c>
      <c r="E363" s="23" t="s">
        <v>22656</v>
      </c>
      <c r="F363" s="24" t="s">
        <v>22657</v>
      </c>
      <c r="G363" s="25">
        <v>2</v>
      </c>
      <c r="H363" s="29"/>
      <c r="I363" s="30"/>
    </row>
    <row r="364" spans="1:9" ht="15.75" thickBot="1" x14ac:dyDescent="0.3">
      <c r="A364" s="43" t="s">
        <v>2711</v>
      </c>
      <c r="B364" s="21" t="s">
        <v>2712</v>
      </c>
      <c r="C364" s="21" t="s">
        <v>22682</v>
      </c>
      <c r="D364" s="22">
        <v>46034</v>
      </c>
      <c r="E364" s="23" t="s">
        <v>22658</v>
      </c>
      <c r="F364" s="24" t="s">
        <v>22657</v>
      </c>
      <c r="G364" s="25">
        <v>2</v>
      </c>
      <c r="H364" s="26"/>
      <c r="I364" s="27"/>
    </row>
    <row r="365" spans="1:9" ht="15.75" thickBot="1" x14ac:dyDescent="0.3">
      <c r="A365" s="43" t="s">
        <v>2713</v>
      </c>
      <c r="B365" s="21" t="s">
        <v>2714</v>
      </c>
      <c r="C365" s="21" t="s">
        <v>22682</v>
      </c>
      <c r="D365" s="22">
        <v>46034</v>
      </c>
      <c r="E365" s="23" t="s">
        <v>22658</v>
      </c>
      <c r="F365" s="24" t="s">
        <v>22657</v>
      </c>
      <c r="G365" s="25">
        <v>2</v>
      </c>
      <c r="H365" s="29"/>
      <c r="I365" s="30"/>
    </row>
    <row r="366" spans="1:9" ht="15.75" thickBot="1" x14ac:dyDescent="0.3">
      <c r="A366" s="43" t="s">
        <v>2715</v>
      </c>
      <c r="B366" s="21" t="s">
        <v>2716</v>
      </c>
      <c r="C366" s="21" t="s">
        <v>22682</v>
      </c>
      <c r="D366" s="22">
        <v>46034</v>
      </c>
      <c r="E366" s="23" t="s">
        <v>22658</v>
      </c>
      <c r="F366" s="24" t="s">
        <v>22657</v>
      </c>
      <c r="G366" s="25">
        <v>2</v>
      </c>
      <c r="H366" s="26"/>
      <c r="I366" s="27"/>
    </row>
    <row r="367" spans="1:9" ht="15.75" thickBot="1" x14ac:dyDescent="0.3">
      <c r="A367" s="43" t="s">
        <v>2717</v>
      </c>
      <c r="B367" s="21" t="s">
        <v>2718</v>
      </c>
      <c r="C367" s="21" t="s">
        <v>22682</v>
      </c>
      <c r="D367" s="22">
        <v>46034</v>
      </c>
      <c r="E367" s="23" t="s">
        <v>22658</v>
      </c>
      <c r="F367" s="24" t="s">
        <v>22657</v>
      </c>
      <c r="G367" s="25">
        <v>2</v>
      </c>
      <c r="H367" s="29"/>
      <c r="I367" s="30"/>
    </row>
    <row r="368" spans="1:9" ht="15.75" thickBot="1" x14ac:dyDescent="0.3">
      <c r="A368" s="43" t="s">
        <v>2719</v>
      </c>
      <c r="B368" s="21" t="s">
        <v>2720</v>
      </c>
      <c r="C368" s="21" t="s">
        <v>22682</v>
      </c>
      <c r="D368" s="22">
        <v>46034</v>
      </c>
      <c r="E368" s="23" t="s">
        <v>22658</v>
      </c>
      <c r="F368" s="24" t="s">
        <v>22657</v>
      </c>
      <c r="G368" s="25">
        <v>2</v>
      </c>
      <c r="H368" s="26"/>
      <c r="I368" s="27"/>
    </row>
    <row r="369" spans="1:9" ht="15.75" thickBot="1" x14ac:dyDescent="0.3">
      <c r="A369" s="43" t="s">
        <v>2721</v>
      </c>
      <c r="B369" s="21" t="s">
        <v>2722</v>
      </c>
      <c r="C369" s="21" t="s">
        <v>22682</v>
      </c>
      <c r="D369" s="22">
        <v>46034</v>
      </c>
      <c r="E369" s="23" t="s">
        <v>22658</v>
      </c>
      <c r="F369" s="24" t="s">
        <v>22657</v>
      </c>
      <c r="G369" s="25">
        <v>2</v>
      </c>
      <c r="H369" s="29"/>
      <c r="I369" s="30"/>
    </row>
    <row r="370" spans="1:9" ht="15.75" thickBot="1" x14ac:dyDescent="0.3">
      <c r="A370" s="43" t="s">
        <v>2723</v>
      </c>
      <c r="B370" s="21" t="s">
        <v>2724</v>
      </c>
      <c r="C370" s="21" t="s">
        <v>22682</v>
      </c>
      <c r="D370" s="22">
        <v>46034</v>
      </c>
      <c r="E370" s="23" t="s">
        <v>22658</v>
      </c>
      <c r="F370" s="24" t="s">
        <v>22657</v>
      </c>
      <c r="G370" s="25">
        <v>2</v>
      </c>
      <c r="H370" s="26"/>
      <c r="I370" s="27"/>
    </row>
    <row r="371" spans="1:9" ht="15.75" thickBot="1" x14ac:dyDescent="0.3">
      <c r="A371" s="43" t="s">
        <v>2725</v>
      </c>
      <c r="B371" s="21" t="s">
        <v>2726</v>
      </c>
      <c r="C371" s="21" t="s">
        <v>22655</v>
      </c>
      <c r="D371" s="22">
        <v>46032</v>
      </c>
      <c r="E371" s="23" t="s">
        <v>22656</v>
      </c>
      <c r="F371" s="24" t="s">
        <v>22657</v>
      </c>
      <c r="G371" s="25">
        <v>4</v>
      </c>
      <c r="H371" s="29"/>
      <c r="I371" s="30"/>
    </row>
    <row r="372" spans="1:9" ht="15.75" thickBot="1" x14ac:dyDescent="0.3">
      <c r="A372" s="43" t="s">
        <v>2727</v>
      </c>
      <c r="B372" s="21" t="s">
        <v>2728</v>
      </c>
      <c r="C372" s="21" t="s">
        <v>22655</v>
      </c>
      <c r="D372" s="22">
        <v>46032</v>
      </c>
      <c r="E372" s="23" t="s">
        <v>22656</v>
      </c>
      <c r="F372" s="24" t="s">
        <v>22657</v>
      </c>
      <c r="G372" s="25">
        <v>4</v>
      </c>
      <c r="H372" s="26"/>
      <c r="I372" s="27"/>
    </row>
    <row r="373" spans="1:9" ht="15.75" thickBot="1" x14ac:dyDescent="0.3">
      <c r="A373" s="43" t="s">
        <v>2729</v>
      </c>
      <c r="B373" s="21" t="s">
        <v>2730</v>
      </c>
      <c r="C373" s="21" t="s">
        <v>22655</v>
      </c>
      <c r="D373" s="22">
        <v>46032</v>
      </c>
      <c r="E373" s="23" t="s">
        <v>22658</v>
      </c>
      <c r="F373" s="24" t="s">
        <v>22657</v>
      </c>
      <c r="G373" s="25">
        <v>4</v>
      </c>
      <c r="H373" s="29"/>
      <c r="I373" s="30"/>
    </row>
    <row r="374" spans="1:9" ht="15.75" thickBot="1" x14ac:dyDescent="0.3">
      <c r="A374" s="43" t="s">
        <v>2731</v>
      </c>
      <c r="B374" s="21" t="s">
        <v>2732</v>
      </c>
      <c r="C374" s="21" t="s">
        <v>22655</v>
      </c>
      <c r="D374" s="22">
        <v>46052</v>
      </c>
      <c r="E374" s="23" t="s">
        <v>22656</v>
      </c>
      <c r="F374" s="24" t="s">
        <v>22657</v>
      </c>
      <c r="G374" s="25">
        <v>2</v>
      </c>
      <c r="H374" s="26"/>
      <c r="I374" s="27"/>
    </row>
    <row r="375" spans="1:9" ht="15.75" thickBot="1" x14ac:dyDescent="0.3">
      <c r="A375" s="43" t="s">
        <v>2733</v>
      </c>
      <c r="B375" s="21" t="s">
        <v>2734</v>
      </c>
      <c r="C375" s="21" t="s">
        <v>22655</v>
      </c>
      <c r="D375" s="22">
        <v>46027</v>
      </c>
      <c r="E375" s="23" t="s">
        <v>22658</v>
      </c>
      <c r="F375" s="28" t="s">
        <v>22659</v>
      </c>
      <c r="G375" s="25">
        <v>1</v>
      </c>
      <c r="H375" s="29"/>
      <c r="I375" s="30"/>
    </row>
    <row r="376" spans="1:9" ht="15.75" thickBot="1" x14ac:dyDescent="0.3">
      <c r="A376" s="43" t="s">
        <v>22402</v>
      </c>
      <c r="B376" s="21" t="s">
        <v>22403</v>
      </c>
      <c r="C376" s="21" t="s">
        <v>22655</v>
      </c>
      <c r="D376" s="22">
        <v>46042</v>
      </c>
      <c r="E376" s="23" t="s">
        <v>22658</v>
      </c>
      <c r="F376" s="28" t="s">
        <v>22659</v>
      </c>
      <c r="G376" s="25">
        <v>1</v>
      </c>
      <c r="H376" s="26"/>
      <c r="I376" s="27"/>
    </row>
    <row r="377" spans="1:9" ht="15.75" thickBot="1" x14ac:dyDescent="0.3">
      <c r="A377" s="43" t="s">
        <v>2735</v>
      </c>
      <c r="B377" s="21" t="s">
        <v>2736</v>
      </c>
      <c r="C377" s="21" t="s">
        <v>22655</v>
      </c>
      <c r="D377" s="22">
        <v>46032</v>
      </c>
      <c r="E377" s="23" t="s">
        <v>22661</v>
      </c>
      <c r="F377" s="24" t="s">
        <v>22657</v>
      </c>
      <c r="G377" s="25">
        <v>6</v>
      </c>
      <c r="H377" s="29"/>
      <c r="I377" s="30"/>
    </row>
    <row r="378" spans="1:9" ht="15.75" thickBot="1" x14ac:dyDescent="0.3">
      <c r="A378" s="43" t="s">
        <v>2737</v>
      </c>
      <c r="B378" s="21" t="s">
        <v>2738</v>
      </c>
      <c r="C378" s="21" t="s">
        <v>22655</v>
      </c>
      <c r="D378" s="22">
        <v>46046</v>
      </c>
      <c r="E378" s="23" t="s">
        <v>22658</v>
      </c>
      <c r="F378" s="24" t="s">
        <v>22657</v>
      </c>
      <c r="G378" s="25">
        <v>4</v>
      </c>
      <c r="H378" s="26"/>
      <c r="I378" s="27"/>
    </row>
    <row r="379" spans="1:9" ht="15.75" thickBot="1" x14ac:dyDescent="0.3">
      <c r="A379" s="43" t="s">
        <v>2739</v>
      </c>
      <c r="B379" s="21" t="s">
        <v>2740</v>
      </c>
      <c r="C379" s="21" t="s">
        <v>22672</v>
      </c>
      <c r="D379" s="31" t="s">
        <v>22683</v>
      </c>
      <c r="E379" s="23" t="s">
        <v>22656</v>
      </c>
      <c r="F379" s="24" t="s">
        <v>22657</v>
      </c>
      <c r="G379" s="25">
        <v>17</v>
      </c>
      <c r="H379" s="29"/>
      <c r="I379" s="30"/>
    </row>
    <row r="380" spans="1:9" ht="15.75" thickBot="1" x14ac:dyDescent="0.3">
      <c r="A380" s="43" t="s">
        <v>2741</v>
      </c>
      <c r="B380" s="21" t="s">
        <v>2742</v>
      </c>
      <c r="C380" s="21" t="s">
        <v>22672</v>
      </c>
      <c r="D380" s="31" t="s">
        <v>22683</v>
      </c>
      <c r="E380" s="23" t="s">
        <v>22656</v>
      </c>
      <c r="F380" s="24" t="s">
        <v>22657</v>
      </c>
      <c r="G380" s="25">
        <v>17</v>
      </c>
      <c r="H380" s="26"/>
      <c r="I380" s="27"/>
    </row>
    <row r="381" spans="1:9" ht="15.75" thickBot="1" x14ac:dyDescent="0.3">
      <c r="A381" s="43" t="s">
        <v>2743</v>
      </c>
      <c r="B381" s="21" t="s">
        <v>2744</v>
      </c>
      <c r="C381" s="21" t="s">
        <v>22672</v>
      </c>
      <c r="D381" s="31" t="s">
        <v>22683</v>
      </c>
      <c r="E381" s="23" t="s">
        <v>22656</v>
      </c>
      <c r="F381" s="24" t="s">
        <v>22657</v>
      </c>
      <c r="G381" s="25">
        <v>17</v>
      </c>
      <c r="H381" s="29"/>
      <c r="I381" s="30"/>
    </row>
    <row r="382" spans="1:9" ht="15.75" thickBot="1" x14ac:dyDescent="0.3">
      <c r="A382" s="43" t="s">
        <v>2745</v>
      </c>
      <c r="B382" s="21" t="s">
        <v>2746</v>
      </c>
      <c r="C382" s="21" t="s">
        <v>22672</v>
      </c>
      <c r="D382" s="31" t="s">
        <v>22683</v>
      </c>
      <c r="E382" s="23" t="s">
        <v>22656</v>
      </c>
      <c r="F382" s="24" t="s">
        <v>22657</v>
      </c>
      <c r="G382" s="25">
        <v>17</v>
      </c>
      <c r="H382" s="26"/>
      <c r="I382" s="27"/>
    </row>
    <row r="383" spans="1:9" ht="15.75" thickBot="1" x14ac:dyDescent="0.3">
      <c r="A383" s="43" t="s">
        <v>2747</v>
      </c>
      <c r="B383" s="21" t="s">
        <v>2748</v>
      </c>
      <c r="C383" s="21" t="s">
        <v>22672</v>
      </c>
      <c r="D383" s="31" t="s">
        <v>22683</v>
      </c>
      <c r="E383" s="23" t="s">
        <v>22656</v>
      </c>
      <c r="F383" s="24" t="s">
        <v>22657</v>
      </c>
      <c r="G383" s="25">
        <v>17</v>
      </c>
      <c r="H383" s="29"/>
      <c r="I383" s="30"/>
    </row>
    <row r="384" spans="1:9" ht="15.75" thickBot="1" x14ac:dyDescent="0.3">
      <c r="A384" s="43" t="s">
        <v>2749</v>
      </c>
      <c r="B384" s="21" t="s">
        <v>2750</v>
      </c>
      <c r="C384" s="21" t="s">
        <v>22672</v>
      </c>
      <c r="D384" s="31" t="s">
        <v>22683</v>
      </c>
      <c r="E384" s="23" t="s">
        <v>22656</v>
      </c>
      <c r="F384" s="24" t="s">
        <v>22657</v>
      </c>
      <c r="G384" s="25">
        <v>17</v>
      </c>
      <c r="H384" s="26"/>
      <c r="I384" s="27"/>
    </row>
    <row r="385" spans="1:9" ht="15.75" thickBot="1" x14ac:dyDescent="0.3">
      <c r="A385" s="43" t="s">
        <v>2751</v>
      </c>
      <c r="B385" s="21" t="s">
        <v>2752</v>
      </c>
      <c r="C385" s="21" t="s">
        <v>22672</v>
      </c>
      <c r="D385" s="31" t="s">
        <v>22683</v>
      </c>
      <c r="E385" s="23" t="s">
        <v>22656</v>
      </c>
      <c r="F385" s="24" t="s">
        <v>22657</v>
      </c>
      <c r="G385" s="25">
        <v>17</v>
      </c>
      <c r="H385" s="29"/>
      <c r="I385" s="30"/>
    </row>
    <row r="386" spans="1:9" ht="15.75" thickBot="1" x14ac:dyDescent="0.3">
      <c r="A386" s="43" t="s">
        <v>2753</v>
      </c>
      <c r="B386" s="21" t="s">
        <v>2754</v>
      </c>
      <c r="C386" s="21" t="s">
        <v>22672</v>
      </c>
      <c r="D386" s="31" t="s">
        <v>22683</v>
      </c>
      <c r="E386" s="23" t="s">
        <v>22656</v>
      </c>
      <c r="F386" s="24" t="s">
        <v>22657</v>
      </c>
      <c r="G386" s="25">
        <v>17</v>
      </c>
      <c r="H386" s="26"/>
      <c r="I386" s="27"/>
    </row>
    <row r="387" spans="1:9" ht="15.75" thickBot="1" x14ac:dyDescent="0.3">
      <c r="A387" s="43" t="s">
        <v>2755</v>
      </c>
      <c r="B387" s="21" t="s">
        <v>2756</v>
      </c>
      <c r="C387" s="21" t="s">
        <v>22672</v>
      </c>
      <c r="D387" s="31" t="s">
        <v>22683</v>
      </c>
      <c r="E387" s="23" t="s">
        <v>22656</v>
      </c>
      <c r="F387" s="24" t="s">
        <v>22657</v>
      </c>
      <c r="G387" s="25">
        <v>17</v>
      </c>
      <c r="H387" s="29"/>
      <c r="I387" s="30"/>
    </row>
    <row r="388" spans="1:9" ht="15.75" thickBot="1" x14ac:dyDescent="0.3">
      <c r="A388" s="43" t="s">
        <v>2757</v>
      </c>
      <c r="B388" s="21" t="s">
        <v>2758</v>
      </c>
      <c r="C388" s="21" t="s">
        <v>22672</v>
      </c>
      <c r="D388" s="31" t="s">
        <v>22683</v>
      </c>
      <c r="E388" s="23" t="s">
        <v>22656</v>
      </c>
      <c r="F388" s="24" t="s">
        <v>22657</v>
      </c>
      <c r="G388" s="25">
        <v>17</v>
      </c>
      <c r="H388" s="26"/>
      <c r="I388" s="27"/>
    </row>
    <row r="389" spans="1:9" ht="15.75" thickBot="1" x14ac:dyDescent="0.3">
      <c r="A389" s="43" t="s">
        <v>2759</v>
      </c>
      <c r="B389" s="21" t="s">
        <v>2760</v>
      </c>
      <c r="C389" s="21" t="s">
        <v>22672</v>
      </c>
      <c r="D389" s="22">
        <v>46047</v>
      </c>
      <c r="E389" s="23" t="s">
        <v>22658</v>
      </c>
      <c r="F389" s="24" t="s">
        <v>22657</v>
      </c>
      <c r="G389" s="25">
        <v>9</v>
      </c>
      <c r="H389" s="29"/>
      <c r="I389" s="30"/>
    </row>
    <row r="390" spans="1:9" ht="15.75" thickBot="1" x14ac:dyDescent="0.3">
      <c r="A390" s="43" t="s">
        <v>2761</v>
      </c>
      <c r="B390" s="21" t="s">
        <v>2762</v>
      </c>
      <c r="C390" s="21" t="s">
        <v>22667</v>
      </c>
      <c r="D390" s="31" t="s">
        <v>22670</v>
      </c>
      <c r="E390" s="23" t="s">
        <v>22656</v>
      </c>
      <c r="F390" s="24" t="s">
        <v>22657</v>
      </c>
      <c r="G390" s="25">
        <v>6</v>
      </c>
      <c r="H390" s="26"/>
      <c r="I390" s="27"/>
    </row>
    <row r="391" spans="1:9" ht="15.75" thickBot="1" x14ac:dyDescent="0.3">
      <c r="A391" s="43" t="s">
        <v>2763</v>
      </c>
      <c r="B391" s="21" t="s">
        <v>2764</v>
      </c>
      <c r="C391" s="21" t="s">
        <v>22667</v>
      </c>
      <c r="D391" s="31" t="s">
        <v>22705</v>
      </c>
      <c r="E391" s="23" t="s">
        <v>22656</v>
      </c>
      <c r="F391" s="24" t="s">
        <v>22657</v>
      </c>
      <c r="G391" s="25">
        <v>9</v>
      </c>
      <c r="H391" s="29"/>
      <c r="I391" s="30"/>
    </row>
    <row r="392" spans="1:9" ht="15.75" thickBot="1" x14ac:dyDescent="0.3">
      <c r="A392" s="43" t="s">
        <v>2765</v>
      </c>
      <c r="B392" s="21" t="s">
        <v>2766</v>
      </c>
      <c r="C392" s="21" t="s">
        <v>22667</v>
      </c>
      <c r="D392" s="31" t="s">
        <v>22670</v>
      </c>
      <c r="E392" s="23" t="s">
        <v>22656</v>
      </c>
      <c r="F392" s="24" t="s">
        <v>22657</v>
      </c>
      <c r="G392" s="25">
        <v>13</v>
      </c>
      <c r="H392" s="26"/>
      <c r="I392" s="27"/>
    </row>
    <row r="393" spans="1:9" ht="15.75" thickBot="1" x14ac:dyDescent="0.3">
      <c r="A393" s="43" t="s">
        <v>2767</v>
      </c>
      <c r="B393" s="21" t="s">
        <v>2768</v>
      </c>
      <c r="C393" s="21" t="s">
        <v>22667</v>
      </c>
      <c r="D393" s="31" t="s">
        <v>22670</v>
      </c>
      <c r="E393" s="23" t="s">
        <v>22656</v>
      </c>
      <c r="F393" s="24" t="s">
        <v>22657</v>
      </c>
      <c r="G393" s="25">
        <v>5</v>
      </c>
      <c r="H393" s="29"/>
      <c r="I393" s="30"/>
    </row>
    <row r="394" spans="1:9" ht="15.75" thickBot="1" x14ac:dyDescent="0.3">
      <c r="A394" s="43" t="s">
        <v>2769</v>
      </c>
      <c r="B394" s="21" t="s">
        <v>2770</v>
      </c>
      <c r="C394" s="21" t="s">
        <v>22667</v>
      </c>
      <c r="D394" s="31" t="s">
        <v>22705</v>
      </c>
      <c r="E394" s="23" t="s">
        <v>22658</v>
      </c>
      <c r="F394" s="24" t="s">
        <v>22657</v>
      </c>
      <c r="G394" s="25">
        <v>9</v>
      </c>
      <c r="H394" s="26"/>
      <c r="I394" s="27"/>
    </row>
    <row r="395" spans="1:9" ht="15.75" thickBot="1" x14ac:dyDescent="0.3">
      <c r="A395" s="43" t="s">
        <v>2771</v>
      </c>
      <c r="B395" s="21" t="s">
        <v>2772</v>
      </c>
      <c r="C395" s="21" t="s">
        <v>22667</v>
      </c>
      <c r="D395" s="31" t="s">
        <v>22705</v>
      </c>
      <c r="E395" s="23" t="s">
        <v>22658</v>
      </c>
      <c r="F395" s="24" t="s">
        <v>22657</v>
      </c>
      <c r="G395" s="25">
        <v>9</v>
      </c>
      <c r="H395" s="29"/>
      <c r="I395" s="30"/>
    </row>
    <row r="396" spans="1:9" ht="15.75" thickBot="1" x14ac:dyDescent="0.3">
      <c r="A396" s="43" t="s">
        <v>2773</v>
      </c>
      <c r="B396" s="21" t="s">
        <v>2774</v>
      </c>
      <c r="C396" s="21" t="s">
        <v>22667</v>
      </c>
      <c r="D396" s="31" t="s">
        <v>22670</v>
      </c>
      <c r="E396" s="23" t="s">
        <v>22658</v>
      </c>
      <c r="F396" s="24" t="s">
        <v>22657</v>
      </c>
      <c r="G396" s="25">
        <v>4</v>
      </c>
      <c r="H396" s="26"/>
      <c r="I396" s="27"/>
    </row>
    <row r="397" spans="1:9" ht="15.75" thickBot="1" x14ac:dyDescent="0.3">
      <c r="A397" s="43" t="s">
        <v>2775</v>
      </c>
      <c r="B397" s="21" t="s">
        <v>2776</v>
      </c>
      <c r="C397" s="21" t="s">
        <v>22667</v>
      </c>
      <c r="D397" s="31" t="s">
        <v>22670</v>
      </c>
      <c r="E397" s="23" t="s">
        <v>22656</v>
      </c>
      <c r="F397" s="24" t="s">
        <v>22657</v>
      </c>
      <c r="G397" s="25">
        <v>14</v>
      </c>
      <c r="H397" s="29"/>
      <c r="I397" s="30"/>
    </row>
    <row r="398" spans="1:9" ht="15.75" thickBot="1" x14ac:dyDescent="0.3">
      <c r="A398" s="43" t="s">
        <v>2777</v>
      </c>
      <c r="B398" s="21" t="s">
        <v>2778</v>
      </c>
      <c r="C398" s="21" t="s">
        <v>22667</v>
      </c>
      <c r="D398" s="31" t="s">
        <v>22705</v>
      </c>
      <c r="E398" s="23" t="s">
        <v>22656</v>
      </c>
      <c r="F398" s="24" t="s">
        <v>22657</v>
      </c>
      <c r="G398" s="25">
        <v>18</v>
      </c>
      <c r="H398" s="26"/>
      <c r="I398" s="27"/>
    </row>
    <row r="399" spans="1:9" ht="15.75" thickBot="1" x14ac:dyDescent="0.3">
      <c r="A399" s="43" t="s">
        <v>2779</v>
      </c>
      <c r="B399" s="21" t="s">
        <v>2780</v>
      </c>
      <c r="C399" s="21" t="s">
        <v>22667</v>
      </c>
      <c r="D399" s="31" t="s">
        <v>22705</v>
      </c>
      <c r="E399" s="23" t="s">
        <v>22661</v>
      </c>
      <c r="F399" s="24" t="s">
        <v>22657</v>
      </c>
      <c r="G399" s="25">
        <v>22</v>
      </c>
      <c r="H399" s="29"/>
      <c r="I399" s="30"/>
    </row>
    <row r="400" spans="1:9" ht="15.75" thickBot="1" x14ac:dyDescent="0.3">
      <c r="A400" s="43" t="s">
        <v>2781</v>
      </c>
      <c r="B400" s="21" t="s">
        <v>2782</v>
      </c>
      <c r="C400" s="21" t="s">
        <v>22667</v>
      </c>
      <c r="D400" s="31" t="s">
        <v>22670</v>
      </c>
      <c r="E400" s="23" t="s">
        <v>22656</v>
      </c>
      <c r="F400" s="24" t="s">
        <v>22657</v>
      </c>
      <c r="G400" s="25">
        <v>12</v>
      </c>
      <c r="H400" s="26"/>
      <c r="I400" s="27"/>
    </row>
    <row r="401" spans="1:9" ht="15.75" thickBot="1" x14ac:dyDescent="0.3">
      <c r="A401" s="43" t="s">
        <v>2783</v>
      </c>
      <c r="B401" s="21" t="s">
        <v>2784</v>
      </c>
      <c r="C401" s="21" t="s">
        <v>22667</v>
      </c>
      <c r="D401" s="31" t="s">
        <v>22670</v>
      </c>
      <c r="E401" s="23" t="s">
        <v>22661</v>
      </c>
      <c r="F401" s="24" t="s">
        <v>22657</v>
      </c>
      <c r="G401" s="25">
        <v>10</v>
      </c>
      <c r="H401" s="32">
        <v>10</v>
      </c>
      <c r="I401" s="33">
        <v>30</v>
      </c>
    </row>
    <row r="402" spans="1:9" ht="15.75" thickBot="1" x14ac:dyDescent="0.3">
      <c r="A402" s="43" t="s">
        <v>2785</v>
      </c>
      <c r="B402" s="21" t="s">
        <v>2786</v>
      </c>
      <c r="C402" s="21" t="s">
        <v>22667</v>
      </c>
      <c r="D402" s="31" t="s">
        <v>22705</v>
      </c>
      <c r="E402" s="23" t="s">
        <v>22656</v>
      </c>
      <c r="F402" s="24" t="s">
        <v>22657</v>
      </c>
      <c r="G402" s="25">
        <v>23</v>
      </c>
      <c r="H402" s="26"/>
      <c r="I402" s="27"/>
    </row>
    <row r="403" spans="1:9" ht="15.75" thickBot="1" x14ac:dyDescent="0.3">
      <c r="A403" s="43" t="s">
        <v>2787</v>
      </c>
      <c r="B403" s="21" t="s">
        <v>2788</v>
      </c>
      <c r="C403" s="21" t="s">
        <v>22667</v>
      </c>
      <c r="D403" s="31" t="s">
        <v>22670</v>
      </c>
      <c r="E403" s="23" t="s">
        <v>22658</v>
      </c>
      <c r="F403" s="24" t="s">
        <v>22657</v>
      </c>
      <c r="G403" s="25">
        <v>4</v>
      </c>
      <c r="H403" s="29"/>
      <c r="I403" s="30"/>
    </row>
    <row r="404" spans="1:9" ht="15.75" thickBot="1" x14ac:dyDescent="0.3">
      <c r="A404" s="43" t="s">
        <v>2789</v>
      </c>
      <c r="B404" s="21" t="s">
        <v>2790</v>
      </c>
      <c r="C404" s="21" t="s">
        <v>22667</v>
      </c>
      <c r="D404" s="31" t="s">
        <v>22705</v>
      </c>
      <c r="E404" s="23" t="s">
        <v>22658</v>
      </c>
      <c r="F404" s="24" t="s">
        <v>22657</v>
      </c>
      <c r="G404" s="25">
        <v>9</v>
      </c>
      <c r="H404" s="26"/>
      <c r="I404" s="27"/>
    </row>
    <row r="405" spans="1:9" ht="15.75" thickBot="1" x14ac:dyDescent="0.3">
      <c r="A405" s="43" t="s">
        <v>2791</v>
      </c>
      <c r="B405" s="21" t="s">
        <v>2792</v>
      </c>
      <c r="C405" s="21" t="s">
        <v>22667</v>
      </c>
      <c r="D405" s="31" t="s">
        <v>22670</v>
      </c>
      <c r="E405" s="23" t="s">
        <v>22656</v>
      </c>
      <c r="F405" s="24" t="s">
        <v>22657</v>
      </c>
      <c r="G405" s="25">
        <v>12</v>
      </c>
      <c r="H405" s="29"/>
      <c r="I405" s="30"/>
    </row>
    <row r="406" spans="1:9" ht="15.75" thickBot="1" x14ac:dyDescent="0.3">
      <c r="A406" s="43" t="s">
        <v>2793</v>
      </c>
      <c r="B406" s="21" t="s">
        <v>2794</v>
      </c>
      <c r="C406" s="21" t="s">
        <v>22667</v>
      </c>
      <c r="D406" s="31" t="s">
        <v>22670</v>
      </c>
      <c r="E406" s="23" t="s">
        <v>22656</v>
      </c>
      <c r="F406" s="24" t="s">
        <v>22657</v>
      </c>
      <c r="G406" s="25">
        <v>10</v>
      </c>
      <c r="H406" s="26"/>
      <c r="I406" s="27"/>
    </row>
    <row r="407" spans="1:9" ht="15.75" thickBot="1" x14ac:dyDescent="0.3">
      <c r="A407" s="43" t="s">
        <v>2795</v>
      </c>
      <c r="B407" s="21" t="s">
        <v>2796</v>
      </c>
      <c r="C407" s="21" t="s">
        <v>22667</v>
      </c>
      <c r="D407" s="31" t="s">
        <v>22670</v>
      </c>
      <c r="E407" s="23" t="s">
        <v>22658</v>
      </c>
      <c r="F407" s="24" t="s">
        <v>22657</v>
      </c>
      <c r="G407" s="25">
        <v>4</v>
      </c>
      <c r="H407" s="29"/>
      <c r="I407" s="30"/>
    </row>
    <row r="408" spans="1:9" ht="15.75" thickBot="1" x14ac:dyDescent="0.3">
      <c r="A408" s="43" t="s">
        <v>2797</v>
      </c>
      <c r="B408" s="21" t="s">
        <v>2798</v>
      </c>
      <c r="C408" s="21" t="s">
        <v>22667</v>
      </c>
      <c r="D408" s="31" t="s">
        <v>22670</v>
      </c>
      <c r="E408" s="23" t="s">
        <v>22658</v>
      </c>
      <c r="F408" s="24" t="s">
        <v>22657</v>
      </c>
      <c r="G408" s="25">
        <v>4</v>
      </c>
      <c r="H408" s="26"/>
      <c r="I408" s="27"/>
    </row>
    <row r="409" spans="1:9" ht="15.75" thickBot="1" x14ac:dyDescent="0.3">
      <c r="A409" s="43" t="s">
        <v>2799</v>
      </c>
      <c r="B409" s="21" t="s">
        <v>2800</v>
      </c>
      <c r="C409" s="21" t="s">
        <v>22667</v>
      </c>
      <c r="D409" s="31" t="s">
        <v>22705</v>
      </c>
      <c r="E409" s="23" t="s">
        <v>22656</v>
      </c>
      <c r="F409" s="24" t="s">
        <v>22657</v>
      </c>
      <c r="G409" s="25">
        <v>9</v>
      </c>
      <c r="H409" s="29"/>
      <c r="I409" s="30"/>
    </row>
    <row r="410" spans="1:9" ht="15.75" thickBot="1" x14ac:dyDescent="0.3">
      <c r="A410" s="43" t="s">
        <v>2801</v>
      </c>
      <c r="B410" s="21" t="s">
        <v>2802</v>
      </c>
      <c r="C410" s="21" t="s">
        <v>22667</v>
      </c>
      <c r="D410" s="31" t="s">
        <v>22670</v>
      </c>
      <c r="E410" s="23" t="s">
        <v>22658</v>
      </c>
      <c r="F410" s="24" t="s">
        <v>22657</v>
      </c>
      <c r="G410" s="25">
        <v>4</v>
      </c>
      <c r="H410" s="26"/>
      <c r="I410" s="27"/>
    </row>
    <row r="411" spans="1:9" ht="15.75" thickBot="1" x14ac:dyDescent="0.3">
      <c r="A411" s="43" t="s">
        <v>2803</v>
      </c>
      <c r="B411" s="21" t="s">
        <v>2804</v>
      </c>
      <c r="C411" s="21" t="s">
        <v>22667</v>
      </c>
      <c r="D411" s="31" t="s">
        <v>22670</v>
      </c>
      <c r="E411" s="23" t="s">
        <v>22658</v>
      </c>
      <c r="F411" s="24" t="s">
        <v>22657</v>
      </c>
      <c r="G411" s="25">
        <v>4</v>
      </c>
      <c r="H411" s="29"/>
      <c r="I411" s="30"/>
    </row>
    <row r="412" spans="1:9" ht="15.75" thickBot="1" x14ac:dyDescent="0.3">
      <c r="A412" s="43" t="s">
        <v>2805</v>
      </c>
      <c r="B412" s="21" t="s">
        <v>2806</v>
      </c>
      <c r="C412" s="21" t="s">
        <v>22667</v>
      </c>
      <c r="D412" s="31" t="s">
        <v>22670</v>
      </c>
      <c r="E412" s="23" t="s">
        <v>22658</v>
      </c>
      <c r="F412" s="24" t="s">
        <v>22657</v>
      </c>
      <c r="G412" s="25">
        <v>4</v>
      </c>
      <c r="H412" s="26"/>
      <c r="I412" s="27"/>
    </row>
    <row r="413" spans="1:9" ht="15.75" thickBot="1" x14ac:dyDescent="0.3">
      <c r="A413" s="43" t="s">
        <v>2807</v>
      </c>
      <c r="B413" s="21" t="s">
        <v>2808</v>
      </c>
      <c r="C413" s="21" t="s">
        <v>22667</v>
      </c>
      <c r="D413" s="31" t="s">
        <v>22670</v>
      </c>
      <c r="E413" s="23" t="s">
        <v>22658</v>
      </c>
      <c r="F413" s="24" t="s">
        <v>22657</v>
      </c>
      <c r="G413" s="25">
        <v>4</v>
      </c>
      <c r="H413" s="29"/>
      <c r="I413" s="30"/>
    </row>
    <row r="414" spans="1:9" ht="15.75" thickBot="1" x14ac:dyDescent="0.3">
      <c r="A414" s="43" t="s">
        <v>2809</v>
      </c>
      <c r="B414" s="21" t="s">
        <v>2810</v>
      </c>
      <c r="C414" s="21" t="s">
        <v>22667</v>
      </c>
      <c r="D414" s="31" t="s">
        <v>22670</v>
      </c>
      <c r="E414" s="23" t="s">
        <v>22658</v>
      </c>
      <c r="F414" s="24" t="s">
        <v>22657</v>
      </c>
      <c r="G414" s="25">
        <v>4</v>
      </c>
      <c r="H414" s="26"/>
      <c r="I414" s="27"/>
    </row>
    <row r="415" spans="1:9" ht="15.75" thickBot="1" x14ac:dyDescent="0.3">
      <c r="A415" s="43" t="s">
        <v>2811</v>
      </c>
      <c r="B415" s="21" t="s">
        <v>2812</v>
      </c>
      <c r="C415" s="21" t="s">
        <v>22667</v>
      </c>
      <c r="D415" s="31" t="s">
        <v>22670</v>
      </c>
      <c r="E415" s="23" t="s">
        <v>22658</v>
      </c>
      <c r="F415" s="24" t="s">
        <v>22657</v>
      </c>
      <c r="G415" s="25">
        <v>4</v>
      </c>
      <c r="H415" s="29"/>
      <c r="I415" s="30"/>
    </row>
    <row r="416" spans="1:9" ht="15.75" thickBot="1" x14ac:dyDescent="0.3">
      <c r="A416" s="43" t="s">
        <v>2813</v>
      </c>
      <c r="B416" s="21" t="s">
        <v>2814</v>
      </c>
      <c r="C416" s="21" t="s">
        <v>22667</v>
      </c>
      <c r="D416" s="31" t="s">
        <v>22670</v>
      </c>
      <c r="E416" s="23" t="s">
        <v>22658</v>
      </c>
      <c r="F416" s="24" t="s">
        <v>22657</v>
      </c>
      <c r="G416" s="25">
        <v>4</v>
      </c>
      <c r="H416" s="26"/>
      <c r="I416" s="27"/>
    </row>
    <row r="417" spans="1:9" ht="15.75" thickBot="1" x14ac:dyDescent="0.3">
      <c r="A417" s="43" t="s">
        <v>2815</v>
      </c>
      <c r="B417" s="21" t="s">
        <v>2816</v>
      </c>
      <c r="C417" s="21" t="s">
        <v>22667</v>
      </c>
      <c r="D417" s="31" t="s">
        <v>22670</v>
      </c>
      <c r="E417" s="23" t="s">
        <v>22656</v>
      </c>
      <c r="F417" s="24" t="s">
        <v>22657</v>
      </c>
      <c r="G417" s="25">
        <v>4</v>
      </c>
      <c r="H417" s="29"/>
      <c r="I417" s="30"/>
    </row>
    <row r="418" spans="1:9" ht="15.75" thickBot="1" x14ac:dyDescent="0.3">
      <c r="A418" s="43" t="s">
        <v>2817</v>
      </c>
      <c r="B418" s="21" t="s">
        <v>2818</v>
      </c>
      <c r="C418" s="21" t="s">
        <v>22667</v>
      </c>
      <c r="D418" s="31" t="s">
        <v>22705</v>
      </c>
      <c r="E418" s="23" t="s">
        <v>22656</v>
      </c>
      <c r="F418" s="24" t="s">
        <v>22657</v>
      </c>
      <c r="G418" s="25">
        <v>20</v>
      </c>
      <c r="H418" s="34">
        <v>20</v>
      </c>
      <c r="I418" s="35">
        <v>50</v>
      </c>
    </row>
    <row r="419" spans="1:9" ht="15.75" thickBot="1" x14ac:dyDescent="0.3">
      <c r="A419" s="43" t="s">
        <v>2819</v>
      </c>
      <c r="B419" s="21" t="s">
        <v>2820</v>
      </c>
      <c r="C419" s="21" t="s">
        <v>22667</v>
      </c>
      <c r="D419" s="31" t="s">
        <v>22670</v>
      </c>
      <c r="E419" s="23" t="s">
        <v>22656</v>
      </c>
      <c r="F419" s="24" t="s">
        <v>22657</v>
      </c>
      <c r="G419" s="25">
        <v>19</v>
      </c>
      <c r="H419" s="29"/>
      <c r="I419" s="30"/>
    </row>
    <row r="420" spans="1:9" ht="15.75" thickBot="1" x14ac:dyDescent="0.3">
      <c r="A420" s="43" t="s">
        <v>2821</v>
      </c>
      <c r="B420" s="21" t="s">
        <v>2822</v>
      </c>
      <c r="C420" s="21" t="s">
        <v>22667</v>
      </c>
      <c r="D420" s="31" t="s">
        <v>22670</v>
      </c>
      <c r="E420" s="23" t="s">
        <v>22656</v>
      </c>
      <c r="F420" s="24" t="s">
        <v>22657</v>
      </c>
      <c r="G420" s="25">
        <v>4</v>
      </c>
      <c r="H420" s="26"/>
      <c r="I420" s="27"/>
    </row>
    <row r="421" spans="1:9" ht="15.75" thickBot="1" x14ac:dyDescent="0.3">
      <c r="A421" s="43" t="s">
        <v>2823</v>
      </c>
      <c r="B421" s="21" t="s">
        <v>2824</v>
      </c>
      <c r="C421" s="21" t="s">
        <v>22667</v>
      </c>
      <c r="D421" s="31" t="s">
        <v>22705</v>
      </c>
      <c r="E421" s="23" t="s">
        <v>22656</v>
      </c>
      <c r="F421" s="24" t="s">
        <v>22657</v>
      </c>
      <c r="G421" s="25">
        <v>9</v>
      </c>
      <c r="H421" s="29"/>
      <c r="I421" s="30"/>
    </row>
    <row r="422" spans="1:9" ht="15.75" thickBot="1" x14ac:dyDescent="0.3">
      <c r="A422" s="43" t="s">
        <v>2825</v>
      </c>
      <c r="B422" s="21" t="s">
        <v>2826</v>
      </c>
      <c r="C422" s="21" t="s">
        <v>22667</v>
      </c>
      <c r="D422" s="31" t="s">
        <v>22706</v>
      </c>
      <c r="E422" s="23" t="s">
        <v>22656</v>
      </c>
      <c r="F422" s="24" t="s">
        <v>22657</v>
      </c>
      <c r="G422" s="25">
        <v>26</v>
      </c>
      <c r="H422" s="26"/>
      <c r="I422" s="27"/>
    </row>
    <row r="423" spans="1:9" ht="15.75" thickBot="1" x14ac:dyDescent="0.3">
      <c r="A423" s="43" t="s">
        <v>2827</v>
      </c>
      <c r="B423" s="21" t="s">
        <v>2828</v>
      </c>
      <c r="C423" s="21" t="s">
        <v>22667</v>
      </c>
      <c r="D423" s="31" t="s">
        <v>22705</v>
      </c>
      <c r="E423" s="23" t="s">
        <v>22658</v>
      </c>
      <c r="F423" s="24" t="s">
        <v>22657</v>
      </c>
      <c r="G423" s="25">
        <v>9</v>
      </c>
      <c r="H423" s="29"/>
      <c r="I423" s="30"/>
    </row>
    <row r="424" spans="1:9" ht="15.75" thickBot="1" x14ac:dyDescent="0.3">
      <c r="A424" s="43" t="s">
        <v>2829</v>
      </c>
      <c r="B424" s="21" t="s">
        <v>2830</v>
      </c>
      <c r="C424" s="21" t="s">
        <v>22667</v>
      </c>
      <c r="D424" s="31" t="s">
        <v>22670</v>
      </c>
      <c r="E424" s="23" t="s">
        <v>22656</v>
      </c>
      <c r="F424" s="24" t="s">
        <v>22657</v>
      </c>
      <c r="G424" s="25">
        <v>11</v>
      </c>
      <c r="H424" s="26"/>
      <c r="I424" s="27"/>
    </row>
    <row r="425" spans="1:9" ht="15.75" thickBot="1" x14ac:dyDescent="0.3">
      <c r="A425" s="43" t="s">
        <v>2831</v>
      </c>
      <c r="B425" s="21" t="s">
        <v>2832</v>
      </c>
      <c r="C425" s="21" t="s">
        <v>22667</v>
      </c>
      <c r="D425" s="31" t="s">
        <v>22705</v>
      </c>
      <c r="E425" s="23" t="s">
        <v>22656</v>
      </c>
      <c r="F425" s="24" t="s">
        <v>22657</v>
      </c>
      <c r="G425" s="25">
        <v>9</v>
      </c>
      <c r="H425" s="29"/>
      <c r="I425" s="30"/>
    </row>
    <row r="426" spans="1:9" ht="15.75" thickBot="1" x14ac:dyDescent="0.3">
      <c r="A426" s="43" t="s">
        <v>2833</v>
      </c>
      <c r="B426" s="21" t="s">
        <v>2834</v>
      </c>
      <c r="C426" s="21" t="s">
        <v>22667</v>
      </c>
      <c r="D426" s="31" t="s">
        <v>22670</v>
      </c>
      <c r="E426" s="23" t="s">
        <v>22656</v>
      </c>
      <c r="F426" s="24" t="s">
        <v>22657</v>
      </c>
      <c r="G426" s="25">
        <v>4</v>
      </c>
      <c r="H426" s="26"/>
      <c r="I426" s="27"/>
    </row>
    <row r="427" spans="1:9" ht="15.75" thickBot="1" x14ac:dyDescent="0.3">
      <c r="A427" s="43" t="s">
        <v>2835</v>
      </c>
      <c r="B427" s="21" t="s">
        <v>2836</v>
      </c>
      <c r="C427" s="21" t="s">
        <v>22667</v>
      </c>
      <c r="D427" s="31" t="s">
        <v>22705</v>
      </c>
      <c r="E427" s="23" t="s">
        <v>22656</v>
      </c>
      <c r="F427" s="24" t="s">
        <v>22657</v>
      </c>
      <c r="G427" s="25">
        <v>11</v>
      </c>
      <c r="H427" s="29"/>
      <c r="I427" s="30"/>
    </row>
    <row r="428" spans="1:9" ht="15.75" thickBot="1" x14ac:dyDescent="0.3">
      <c r="A428" s="43" t="s">
        <v>2837</v>
      </c>
      <c r="B428" s="21" t="s">
        <v>2838</v>
      </c>
      <c r="C428" s="21" t="s">
        <v>22667</v>
      </c>
      <c r="D428" s="31" t="s">
        <v>22670</v>
      </c>
      <c r="E428" s="23" t="s">
        <v>22658</v>
      </c>
      <c r="F428" s="24" t="s">
        <v>22657</v>
      </c>
      <c r="G428" s="25">
        <v>4</v>
      </c>
      <c r="H428" s="26"/>
      <c r="I428" s="27"/>
    </row>
    <row r="429" spans="1:9" ht="15.75" thickBot="1" x14ac:dyDescent="0.3">
      <c r="A429" s="43" t="s">
        <v>2839</v>
      </c>
      <c r="B429" s="21" t="s">
        <v>2840</v>
      </c>
      <c r="C429" s="21" t="s">
        <v>22667</v>
      </c>
      <c r="D429" s="31" t="s">
        <v>22670</v>
      </c>
      <c r="E429" s="23" t="s">
        <v>22656</v>
      </c>
      <c r="F429" s="24" t="s">
        <v>22657</v>
      </c>
      <c r="G429" s="25">
        <v>4</v>
      </c>
      <c r="H429" s="29"/>
      <c r="I429" s="30"/>
    </row>
    <row r="430" spans="1:9" ht="15.75" thickBot="1" x14ac:dyDescent="0.3">
      <c r="A430" s="43" t="s">
        <v>2841</v>
      </c>
      <c r="B430" s="21" t="s">
        <v>2842</v>
      </c>
      <c r="C430" s="21" t="s">
        <v>22667</v>
      </c>
      <c r="D430" s="31" t="s">
        <v>22670</v>
      </c>
      <c r="E430" s="23" t="s">
        <v>22656</v>
      </c>
      <c r="F430" s="24" t="s">
        <v>22657</v>
      </c>
      <c r="G430" s="25">
        <v>13</v>
      </c>
      <c r="H430" s="26"/>
      <c r="I430" s="27"/>
    </row>
    <row r="431" spans="1:9" ht="15.75" thickBot="1" x14ac:dyDescent="0.3">
      <c r="A431" s="43" t="s">
        <v>2843</v>
      </c>
      <c r="B431" s="21" t="s">
        <v>2844</v>
      </c>
      <c r="C431" s="21" t="s">
        <v>22667</v>
      </c>
      <c r="D431" s="31" t="s">
        <v>22670</v>
      </c>
      <c r="E431" s="23" t="s">
        <v>22658</v>
      </c>
      <c r="F431" s="24" t="s">
        <v>22657</v>
      </c>
      <c r="G431" s="25">
        <v>4</v>
      </c>
      <c r="H431" s="29"/>
      <c r="I431" s="30"/>
    </row>
    <row r="432" spans="1:9" ht="15.75" thickBot="1" x14ac:dyDescent="0.3">
      <c r="A432" s="43" t="s">
        <v>2845</v>
      </c>
      <c r="B432" s="21" t="s">
        <v>2846</v>
      </c>
      <c r="C432" s="21" t="s">
        <v>22667</v>
      </c>
      <c r="D432" s="31" t="s">
        <v>22670</v>
      </c>
      <c r="E432" s="23" t="s">
        <v>22661</v>
      </c>
      <c r="F432" s="24" t="s">
        <v>22657</v>
      </c>
      <c r="G432" s="25">
        <v>18</v>
      </c>
      <c r="H432" s="26"/>
      <c r="I432" s="27"/>
    </row>
    <row r="433" spans="1:9" ht="15.75" thickBot="1" x14ac:dyDescent="0.3">
      <c r="A433" s="43" t="s">
        <v>2847</v>
      </c>
      <c r="B433" s="21" t="s">
        <v>2848</v>
      </c>
      <c r="C433" s="21" t="s">
        <v>22667</v>
      </c>
      <c r="D433" s="31" t="s">
        <v>22670</v>
      </c>
      <c r="E433" s="23" t="s">
        <v>22656</v>
      </c>
      <c r="F433" s="24" t="s">
        <v>22657</v>
      </c>
      <c r="G433" s="25">
        <v>4</v>
      </c>
      <c r="H433" s="29"/>
      <c r="I433" s="30"/>
    </row>
    <row r="434" spans="1:9" ht="15.75" thickBot="1" x14ac:dyDescent="0.3">
      <c r="A434" s="43" t="s">
        <v>2849</v>
      </c>
      <c r="B434" s="21" t="s">
        <v>2850</v>
      </c>
      <c r="C434" s="21" t="s">
        <v>22667</v>
      </c>
      <c r="D434" s="31" t="s">
        <v>22670</v>
      </c>
      <c r="E434" s="23" t="s">
        <v>22658</v>
      </c>
      <c r="F434" s="24" t="s">
        <v>22657</v>
      </c>
      <c r="G434" s="25">
        <v>4</v>
      </c>
      <c r="H434" s="26"/>
      <c r="I434" s="27"/>
    </row>
    <row r="435" spans="1:9" ht="15.75" thickBot="1" x14ac:dyDescent="0.3">
      <c r="A435" s="43" t="s">
        <v>2851</v>
      </c>
      <c r="B435" s="21" t="s">
        <v>2852</v>
      </c>
      <c r="C435" s="21" t="s">
        <v>22667</v>
      </c>
      <c r="D435" s="31" t="s">
        <v>22670</v>
      </c>
      <c r="E435" s="23" t="s">
        <v>22658</v>
      </c>
      <c r="F435" s="24" t="s">
        <v>22657</v>
      </c>
      <c r="G435" s="25">
        <v>4</v>
      </c>
      <c r="H435" s="29"/>
      <c r="I435" s="30"/>
    </row>
    <row r="436" spans="1:9" ht="15.75" thickBot="1" x14ac:dyDescent="0.3">
      <c r="A436" s="43" t="s">
        <v>2853</v>
      </c>
      <c r="B436" s="21" t="s">
        <v>2854</v>
      </c>
      <c r="C436" s="21" t="s">
        <v>22667</v>
      </c>
      <c r="D436" s="31" t="s">
        <v>22670</v>
      </c>
      <c r="E436" s="23" t="s">
        <v>22656</v>
      </c>
      <c r="F436" s="24" t="s">
        <v>22657</v>
      </c>
      <c r="G436" s="25">
        <v>4</v>
      </c>
      <c r="H436" s="26"/>
      <c r="I436" s="27"/>
    </row>
    <row r="437" spans="1:9" ht="15.75" thickBot="1" x14ac:dyDescent="0.3">
      <c r="A437" s="43" t="s">
        <v>2855</v>
      </c>
      <c r="B437" s="21" t="s">
        <v>2856</v>
      </c>
      <c r="C437" s="21" t="s">
        <v>22667</v>
      </c>
      <c r="D437" s="31" t="s">
        <v>22670</v>
      </c>
      <c r="E437" s="23" t="s">
        <v>22661</v>
      </c>
      <c r="F437" s="24" t="s">
        <v>22657</v>
      </c>
      <c r="G437" s="25">
        <v>6</v>
      </c>
      <c r="H437" s="29"/>
      <c r="I437" s="30"/>
    </row>
    <row r="438" spans="1:9" ht="15.75" thickBot="1" x14ac:dyDescent="0.3">
      <c r="A438" s="43" t="s">
        <v>2857</v>
      </c>
      <c r="B438" s="21" t="s">
        <v>2858</v>
      </c>
      <c r="C438" s="21" t="s">
        <v>22667</v>
      </c>
      <c r="D438" s="31" t="s">
        <v>22670</v>
      </c>
      <c r="E438" s="23" t="s">
        <v>22661</v>
      </c>
      <c r="F438" s="24" t="s">
        <v>22657</v>
      </c>
      <c r="G438" s="25">
        <v>13</v>
      </c>
      <c r="H438" s="26"/>
      <c r="I438" s="27"/>
    </row>
    <row r="439" spans="1:9" ht="15.75" thickBot="1" x14ac:dyDescent="0.3">
      <c r="A439" s="43" t="s">
        <v>2859</v>
      </c>
      <c r="B439" s="21" t="s">
        <v>2860</v>
      </c>
      <c r="C439" s="21" t="s">
        <v>22667</v>
      </c>
      <c r="D439" s="31" t="s">
        <v>22670</v>
      </c>
      <c r="E439" s="23" t="s">
        <v>22656</v>
      </c>
      <c r="F439" s="24" t="s">
        <v>22657</v>
      </c>
      <c r="G439" s="25">
        <v>4</v>
      </c>
      <c r="H439" s="29"/>
      <c r="I439" s="30"/>
    </row>
    <row r="440" spans="1:9" ht="15.75" thickBot="1" x14ac:dyDescent="0.3">
      <c r="A440" s="43" t="s">
        <v>2861</v>
      </c>
      <c r="B440" s="21" t="s">
        <v>2862</v>
      </c>
      <c r="C440" s="21" t="s">
        <v>22667</v>
      </c>
      <c r="D440" s="31" t="s">
        <v>22670</v>
      </c>
      <c r="E440" s="23" t="s">
        <v>22656</v>
      </c>
      <c r="F440" s="24" t="s">
        <v>22657</v>
      </c>
      <c r="G440" s="25">
        <v>4</v>
      </c>
      <c r="H440" s="26"/>
      <c r="I440" s="27"/>
    </row>
    <row r="441" spans="1:9" ht="15.75" thickBot="1" x14ac:dyDescent="0.3">
      <c r="A441" s="43" t="s">
        <v>2863</v>
      </c>
      <c r="B441" s="21" t="s">
        <v>2864</v>
      </c>
      <c r="C441" s="21" t="s">
        <v>22667</v>
      </c>
      <c r="D441" s="31" t="s">
        <v>22670</v>
      </c>
      <c r="E441" s="23" t="s">
        <v>22656</v>
      </c>
      <c r="F441" s="24" t="s">
        <v>22657</v>
      </c>
      <c r="G441" s="25">
        <v>5</v>
      </c>
      <c r="H441" s="29"/>
      <c r="I441" s="30"/>
    </row>
    <row r="442" spans="1:9" ht="15.75" thickBot="1" x14ac:dyDescent="0.3">
      <c r="A442" s="43" t="s">
        <v>2865</v>
      </c>
      <c r="B442" s="21" t="s">
        <v>2866</v>
      </c>
      <c r="C442" s="21" t="s">
        <v>22667</v>
      </c>
      <c r="D442" s="31" t="s">
        <v>22670</v>
      </c>
      <c r="E442" s="23" t="s">
        <v>22656</v>
      </c>
      <c r="F442" s="24" t="s">
        <v>22657</v>
      </c>
      <c r="G442" s="25">
        <v>4</v>
      </c>
      <c r="H442" s="26"/>
      <c r="I442" s="27"/>
    </row>
    <row r="443" spans="1:9" ht="15.75" thickBot="1" x14ac:dyDescent="0.3">
      <c r="A443" s="43" t="s">
        <v>2867</v>
      </c>
      <c r="B443" s="21" t="s">
        <v>2868</v>
      </c>
      <c r="C443" s="21" t="s">
        <v>22667</v>
      </c>
      <c r="D443" s="31" t="s">
        <v>22670</v>
      </c>
      <c r="E443" s="23" t="s">
        <v>22658</v>
      </c>
      <c r="F443" s="24" t="s">
        <v>22657</v>
      </c>
      <c r="G443" s="25">
        <v>4</v>
      </c>
      <c r="H443" s="29"/>
      <c r="I443" s="30"/>
    </row>
    <row r="444" spans="1:9" ht="15.75" thickBot="1" x14ac:dyDescent="0.3">
      <c r="A444" s="43" t="s">
        <v>2869</v>
      </c>
      <c r="B444" s="21" t="s">
        <v>2870</v>
      </c>
      <c r="C444" s="21" t="s">
        <v>22667</v>
      </c>
      <c r="D444" s="31" t="s">
        <v>22670</v>
      </c>
      <c r="E444" s="23" t="s">
        <v>22658</v>
      </c>
      <c r="F444" s="24" t="s">
        <v>22657</v>
      </c>
      <c r="G444" s="25">
        <v>4</v>
      </c>
      <c r="H444" s="26"/>
      <c r="I444" s="27"/>
    </row>
    <row r="445" spans="1:9" ht="15.75" thickBot="1" x14ac:dyDescent="0.3">
      <c r="A445" s="43" t="s">
        <v>2871</v>
      </c>
      <c r="B445" s="21" t="s">
        <v>2872</v>
      </c>
      <c r="C445" s="21" t="s">
        <v>22667</v>
      </c>
      <c r="D445" s="31" t="s">
        <v>22670</v>
      </c>
      <c r="E445" s="23" t="s">
        <v>22656</v>
      </c>
      <c r="F445" s="24" t="s">
        <v>22657</v>
      </c>
      <c r="G445" s="25">
        <v>11</v>
      </c>
      <c r="H445" s="29"/>
      <c r="I445" s="30"/>
    </row>
    <row r="446" spans="1:9" ht="15.75" thickBot="1" x14ac:dyDescent="0.3">
      <c r="A446" s="43" t="s">
        <v>2873</v>
      </c>
      <c r="B446" s="21" t="s">
        <v>2874</v>
      </c>
      <c r="C446" s="21" t="s">
        <v>22667</v>
      </c>
      <c r="D446" s="31" t="s">
        <v>22670</v>
      </c>
      <c r="E446" s="23" t="s">
        <v>22656</v>
      </c>
      <c r="F446" s="24" t="s">
        <v>22657</v>
      </c>
      <c r="G446" s="25">
        <v>4</v>
      </c>
      <c r="H446" s="26"/>
      <c r="I446" s="27"/>
    </row>
    <row r="447" spans="1:9" ht="15.75" thickBot="1" x14ac:dyDescent="0.3">
      <c r="A447" s="43" t="s">
        <v>2875</v>
      </c>
      <c r="B447" s="21" t="s">
        <v>2876</v>
      </c>
      <c r="C447" s="21" t="s">
        <v>22667</v>
      </c>
      <c r="D447" s="31" t="s">
        <v>22670</v>
      </c>
      <c r="E447" s="23" t="s">
        <v>22658</v>
      </c>
      <c r="F447" s="24" t="s">
        <v>22657</v>
      </c>
      <c r="G447" s="25">
        <v>4</v>
      </c>
      <c r="H447" s="29"/>
      <c r="I447" s="30"/>
    </row>
    <row r="448" spans="1:9" ht="15.75" thickBot="1" x14ac:dyDescent="0.3">
      <c r="A448" s="43" t="s">
        <v>2877</v>
      </c>
      <c r="B448" s="21" t="s">
        <v>2878</v>
      </c>
      <c r="C448" s="21" t="s">
        <v>22667</v>
      </c>
      <c r="D448" s="31" t="s">
        <v>22705</v>
      </c>
      <c r="E448" s="23" t="s">
        <v>22656</v>
      </c>
      <c r="F448" s="24" t="s">
        <v>22657</v>
      </c>
      <c r="G448" s="25">
        <v>9</v>
      </c>
      <c r="H448" s="26"/>
      <c r="I448" s="27"/>
    </row>
    <row r="449" spans="1:9" ht="15.75" thickBot="1" x14ac:dyDescent="0.3">
      <c r="A449" s="43" t="s">
        <v>2879</v>
      </c>
      <c r="B449" s="21" t="s">
        <v>2880</v>
      </c>
      <c r="C449" s="21" t="s">
        <v>22667</v>
      </c>
      <c r="D449" s="31" t="s">
        <v>22705</v>
      </c>
      <c r="E449" s="23" t="s">
        <v>22658</v>
      </c>
      <c r="F449" s="24" t="s">
        <v>22657</v>
      </c>
      <c r="G449" s="25">
        <v>9</v>
      </c>
      <c r="H449" s="29"/>
      <c r="I449" s="30"/>
    </row>
    <row r="450" spans="1:9" ht="15.75" thickBot="1" x14ac:dyDescent="0.3">
      <c r="A450" s="43" t="s">
        <v>2881</v>
      </c>
      <c r="B450" s="21" t="s">
        <v>2882</v>
      </c>
      <c r="C450" s="21" t="s">
        <v>22667</v>
      </c>
      <c r="D450" s="31" t="s">
        <v>22705</v>
      </c>
      <c r="E450" s="23" t="s">
        <v>22658</v>
      </c>
      <c r="F450" s="24" t="s">
        <v>22657</v>
      </c>
      <c r="G450" s="25">
        <v>9</v>
      </c>
      <c r="H450" s="26"/>
      <c r="I450" s="27"/>
    </row>
    <row r="451" spans="1:9" ht="15.75" thickBot="1" x14ac:dyDescent="0.3">
      <c r="A451" s="43" t="s">
        <v>2883</v>
      </c>
      <c r="B451" s="21" t="s">
        <v>2884</v>
      </c>
      <c r="C451" s="21" t="s">
        <v>22667</v>
      </c>
      <c r="D451" s="31" t="s">
        <v>22705</v>
      </c>
      <c r="E451" s="23" t="s">
        <v>22658</v>
      </c>
      <c r="F451" s="24" t="s">
        <v>22657</v>
      </c>
      <c r="G451" s="25">
        <v>9</v>
      </c>
      <c r="H451" s="29"/>
      <c r="I451" s="30"/>
    </row>
    <row r="452" spans="1:9" ht="15.75" thickBot="1" x14ac:dyDescent="0.3">
      <c r="A452" s="43" t="s">
        <v>2885</v>
      </c>
      <c r="B452" s="21" t="s">
        <v>2886</v>
      </c>
      <c r="C452" s="21" t="s">
        <v>22667</v>
      </c>
      <c r="D452" s="31" t="s">
        <v>22707</v>
      </c>
      <c r="E452" s="23" t="s">
        <v>22658</v>
      </c>
      <c r="F452" s="24" t="s">
        <v>22657</v>
      </c>
      <c r="G452" s="25">
        <v>9</v>
      </c>
      <c r="H452" s="26"/>
      <c r="I452" s="27"/>
    </row>
    <row r="453" spans="1:9" ht="15.75" thickBot="1" x14ac:dyDescent="0.3">
      <c r="A453" s="43" t="s">
        <v>2887</v>
      </c>
      <c r="B453" s="21" t="s">
        <v>2888</v>
      </c>
      <c r="C453" s="21" t="s">
        <v>22667</v>
      </c>
      <c r="D453" s="31" t="s">
        <v>22705</v>
      </c>
      <c r="E453" s="23" t="s">
        <v>22658</v>
      </c>
      <c r="F453" s="24" t="s">
        <v>22657</v>
      </c>
      <c r="G453" s="25">
        <v>9</v>
      </c>
      <c r="H453" s="29"/>
      <c r="I453" s="30"/>
    </row>
    <row r="454" spans="1:9" ht="15.75" thickBot="1" x14ac:dyDescent="0.3">
      <c r="A454" s="43" t="s">
        <v>2889</v>
      </c>
      <c r="B454" s="21" t="s">
        <v>2890</v>
      </c>
      <c r="C454" s="21" t="s">
        <v>22667</v>
      </c>
      <c r="D454" s="31" t="s">
        <v>22705</v>
      </c>
      <c r="E454" s="23" t="s">
        <v>22656</v>
      </c>
      <c r="F454" s="24" t="s">
        <v>22657</v>
      </c>
      <c r="G454" s="25">
        <v>9</v>
      </c>
      <c r="H454" s="26"/>
      <c r="I454" s="27"/>
    </row>
    <row r="455" spans="1:9" ht="15.75" thickBot="1" x14ac:dyDescent="0.3">
      <c r="A455" s="43" t="s">
        <v>2891</v>
      </c>
      <c r="B455" s="21" t="s">
        <v>2892</v>
      </c>
      <c r="C455" s="21" t="s">
        <v>22682</v>
      </c>
      <c r="D455" s="22">
        <v>46034</v>
      </c>
      <c r="E455" s="23" t="s">
        <v>22658</v>
      </c>
      <c r="F455" s="24" t="s">
        <v>22657</v>
      </c>
      <c r="G455" s="25">
        <v>4</v>
      </c>
      <c r="H455" s="29"/>
      <c r="I455" s="30"/>
    </row>
    <row r="456" spans="1:9" ht="15.75" thickBot="1" x14ac:dyDescent="0.3">
      <c r="A456" s="43" t="s">
        <v>2893</v>
      </c>
      <c r="B456" s="21" t="s">
        <v>2894</v>
      </c>
      <c r="C456" s="21" t="s">
        <v>22682</v>
      </c>
      <c r="D456" s="22">
        <v>46034</v>
      </c>
      <c r="E456" s="23" t="s">
        <v>22656</v>
      </c>
      <c r="F456" s="24" t="s">
        <v>22657</v>
      </c>
      <c r="G456" s="25">
        <v>4</v>
      </c>
      <c r="H456" s="26"/>
      <c r="I456" s="27"/>
    </row>
    <row r="457" spans="1:9" ht="15.75" thickBot="1" x14ac:dyDescent="0.3">
      <c r="A457" s="43" t="s">
        <v>2895</v>
      </c>
      <c r="B457" s="21" t="s">
        <v>2896</v>
      </c>
      <c r="C457" s="21" t="s">
        <v>22682</v>
      </c>
      <c r="D457" s="22">
        <v>46034</v>
      </c>
      <c r="E457" s="23" t="s">
        <v>22656</v>
      </c>
      <c r="F457" s="24" t="s">
        <v>22657</v>
      </c>
      <c r="G457" s="25">
        <v>4</v>
      </c>
      <c r="H457" s="29"/>
      <c r="I457" s="30"/>
    </row>
    <row r="458" spans="1:9" ht="15.75" thickBot="1" x14ac:dyDescent="0.3">
      <c r="A458" s="43" t="s">
        <v>2899</v>
      </c>
      <c r="B458" s="21" t="s">
        <v>2900</v>
      </c>
      <c r="C458" s="21" t="s">
        <v>22682</v>
      </c>
      <c r="D458" s="22">
        <v>46034</v>
      </c>
      <c r="E458" s="23" t="s">
        <v>22656</v>
      </c>
      <c r="F458" s="24" t="s">
        <v>22657</v>
      </c>
      <c r="G458" s="25">
        <v>4</v>
      </c>
      <c r="H458" s="26"/>
      <c r="I458" s="27"/>
    </row>
    <row r="459" spans="1:9" ht="15.75" thickBot="1" x14ac:dyDescent="0.3">
      <c r="A459" s="43" t="s">
        <v>2901</v>
      </c>
      <c r="B459" s="21" t="s">
        <v>2902</v>
      </c>
      <c r="C459" s="21" t="s">
        <v>22682</v>
      </c>
      <c r="D459" s="22">
        <v>46034</v>
      </c>
      <c r="E459" s="23" t="s">
        <v>22656</v>
      </c>
      <c r="F459" s="24" t="s">
        <v>22657</v>
      </c>
      <c r="G459" s="25">
        <v>16</v>
      </c>
      <c r="H459" s="29"/>
      <c r="I459" s="30"/>
    </row>
    <row r="460" spans="1:9" ht="15.75" thickBot="1" x14ac:dyDescent="0.3">
      <c r="A460" s="43" t="s">
        <v>2903</v>
      </c>
      <c r="B460" s="21" t="s">
        <v>2904</v>
      </c>
      <c r="C460" s="21" t="s">
        <v>22682</v>
      </c>
      <c r="D460" s="22">
        <v>46034</v>
      </c>
      <c r="E460" s="23" t="s">
        <v>22656</v>
      </c>
      <c r="F460" s="24" t="s">
        <v>22657</v>
      </c>
      <c r="G460" s="25">
        <v>5</v>
      </c>
      <c r="H460" s="26"/>
      <c r="I460" s="27"/>
    </row>
    <row r="461" spans="1:9" ht="15.75" thickBot="1" x14ac:dyDescent="0.3">
      <c r="A461" s="43" t="s">
        <v>2905</v>
      </c>
      <c r="B461" s="21" t="s">
        <v>2906</v>
      </c>
      <c r="C461" s="21" t="s">
        <v>22682</v>
      </c>
      <c r="D461" s="22">
        <v>46034</v>
      </c>
      <c r="E461" s="23" t="s">
        <v>22656</v>
      </c>
      <c r="F461" s="24" t="s">
        <v>22657</v>
      </c>
      <c r="G461" s="25">
        <v>14</v>
      </c>
      <c r="H461" s="29"/>
      <c r="I461" s="30"/>
    </row>
    <row r="462" spans="1:9" ht="15.75" thickBot="1" x14ac:dyDescent="0.3">
      <c r="A462" s="43" t="s">
        <v>2897</v>
      </c>
      <c r="B462" s="21" t="s">
        <v>2898</v>
      </c>
      <c r="C462" s="21" t="s">
        <v>22682</v>
      </c>
      <c r="D462" s="22">
        <v>46034</v>
      </c>
      <c r="E462" s="23" t="s">
        <v>22656</v>
      </c>
      <c r="F462" s="24" t="s">
        <v>22657</v>
      </c>
      <c r="G462" s="25">
        <v>4</v>
      </c>
      <c r="H462" s="26"/>
      <c r="I462" s="27"/>
    </row>
    <row r="463" spans="1:9" ht="15.75" thickBot="1" x14ac:dyDescent="0.3">
      <c r="A463" s="43" t="s">
        <v>2907</v>
      </c>
      <c r="B463" s="21" t="s">
        <v>2908</v>
      </c>
      <c r="C463" s="21" t="s">
        <v>22682</v>
      </c>
      <c r="D463" s="22">
        <v>46034</v>
      </c>
      <c r="E463" s="23" t="s">
        <v>22656</v>
      </c>
      <c r="F463" s="24" t="s">
        <v>22657</v>
      </c>
      <c r="G463" s="25">
        <v>4</v>
      </c>
      <c r="H463" s="29"/>
      <c r="I463" s="30"/>
    </row>
    <row r="464" spans="1:9" ht="15.75" thickBot="1" x14ac:dyDescent="0.3">
      <c r="A464" s="43" t="s">
        <v>2909</v>
      </c>
      <c r="B464" s="21" t="s">
        <v>2910</v>
      </c>
      <c r="C464" s="21" t="s">
        <v>22682</v>
      </c>
      <c r="D464" s="22">
        <v>46034</v>
      </c>
      <c r="E464" s="23" t="s">
        <v>22656</v>
      </c>
      <c r="F464" s="24" t="s">
        <v>22657</v>
      </c>
      <c r="G464" s="25">
        <v>4</v>
      </c>
      <c r="H464" s="26"/>
      <c r="I464" s="27"/>
    </row>
    <row r="465" spans="1:9" ht="15.75" thickBot="1" x14ac:dyDescent="0.3">
      <c r="A465" s="43" t="s">
        <v>2911</v>
      </c>
      <c r="B465" s="21" t="s">
        <v>2912</v>
      </c>
      <c r="C465" s="21" t="s">
        <v>22682</v>
      </c>
      <c r="D465" s="22">
        <v>46034</v>
      </c>
      <c r="E465" s="23" t="s">
        <v>22656</v>
      </c>
      <c r="F465" s="24" t="s">
        <v>22657</v>
      </c>
      <c r="G465" s="25">
        <v>6</v>
      </c>
      <c r="H465" s="29"/>
      <c r="I465" s="30"/>
    </row>
    <row r="466" spans="1:9" ht="15.75" thickBot="1" x14ac:dyDescent="0.3">
      <c r="A466" s="43" t="s">
        <v>2913</v>
      </c>
      <c r="B466" s="21" t="s">
        <v>2914</v>
      </c>
      <c r="C466" s="21" t="s">
        <v>22682</v>
      </c>
      <c r="D466" s="22">
        <v>46034</v>
      </c>
      <c r="E466" s="23" t="s">
        <v>22661</v>
      </c>
      <c r="F466" s="24" t="s">
        <v>22657</v>
      </c>
      <c r="G466" s="25">
        <v>24</v>
      </c>
      <c r="H466" s="26"/>
      <c r="I466" s="27"/>
    </row>
    <row r="467" spans="1:9" ht="15.75" thickBot="1" x14ac:dyDescent="0.3">
      <c r="A467" s="43" t="s">
        <v>2915</v>
      </c>
      <c r="B467" s="21" t="s">
        <v>2916</v>
      </c>
      <c r="C467" s="21" t="s">
        <v>22682</v>
      </c>
      <c r="D467" s="22">
        <v>46034</v>
      </c>
      <c r="E467" s="23" t="s">
        <v>22661</v>
      </c>
      <c r="F467" s="24" t="s">
        <v>22657</v>
      </c>
      <c r="G467" s="25">
        <v>23</v>
      </c>
      <c r="H467" s="29"/>
      <c r="I467" s="30"/>
    </row>
    <row r="468" spans="1:9" ht="15.75" thickBot="1" x14ac:dyDescent="0.3">
      <c r="A468" s="43" t="s">
        <v>2917</v>
      </c>
      <c r="B468" s="21" t="s">
        <v>2918</v>
      </c>
      <c r="C468" s="21" t="s">
        <v>22682</v>
      </c>
      <c r="D468" s="22">
        <v>46034</v>
      </c>
      <c r="E468" s="23" t="s">
        <v>22661</v>
      </c>
      <c r="F468" s="24" t="s">
        <v>22657</v>
      </c>
      <c r="G468" s="25">
        <v>47</v>
      </c>
      <c r="H468" s="26"/>
      <c r="I468" s="27"/>
    </row>
    <row r="469" spans="1:9" ht="15.75" thickBot="1" x14ac:dyDescent="0.3">
      <c r="A469" s="43" t="s">
        <v>2919</v>
      </c>
      <c r="B469" s="21" t="s">
        <v>2920</v>
      </c>
      <c r="C469" s="21" t="s">
        <v>22682</v>
      </c>
      <c r="D469" s="22">
        <v>46034</v>
      </c>
      <c r="E469" s="23" t="s">
        <v>22656</v>
      </c>
      <c r="F469" s="24" t="s">
        <v>22657</v>
      </c>
      <c r="G469" s="25">
        <v>4</v>
      </c>
      <c r="H469" s="29"/>
      <c r="I469" s="30"/>
    </row>
    <row r="470" spans="1:9" ht="15.75" thickBot="1" x14ac:dyDescent="0.3">
      <c r="A470" s="43" t="s">
        <v>2921</v>
      </c>
      <c r="B470" s="21" t="s">
        <v>2922</v>
      </c>
      <c r="C470" s="21" t="s">
        <v>22682</v>
      </c>
      <c r="D470" s="22">
        <v>46034</v>
      </c>
      <c r="E470" s="23" t="s">
        <v>22661</v>
      </c>
      <c r="F470" s="24" t="s">
        <v>22657</v>
      </c>
      <c r="G470" s="25">
        <v>38</v>
      </c>
      <c r="H470" s="26"/>
      <c r="I470" s="27"/>
    </row>
    <row r="471" spans="1:9" ht="15.75" thickBot="1" x14ac:dyDescent="0.3">
      <c r="A471" s="43" t="s">
        <v>2923</v>
      </c>
      <c r="B471" s="21" t="s">
        <v>2924</v>
      </c>
      <c r="C471" s="21" t="s">
        <v>22682</v>
      </c>
      <c r="D471" s="22">
        <v>46034</v>
      </c>
      <c r="E471" s="23" t="s">
        <v>22656</v>
      </c>
      <c r="F471" s="24" t="s">
        <v>22657</v>
      </c>
      <c r="G471" s="25">
        <v>4</v>
      </c>
      <c r="H471" s="29"/>
      <c r="I471" s="30"/>
    </row>
    <row r="472" spans="1:9" ht="15.75" thickBot="1" x14ac:dyDescent="0.3">
      <c r="A472" s="43" t="s">
        <v>2925</v>
      </c>
      <c r="B472" s="21" t="s">
        <v>2926</v>
      </c>
      <c r="C472" s="21" t="s">
        <v>22682</v>
      </c>
      <c r="D472" s="22">
        <v>46034</v>
      </c>
      <c r="E472" s="23" t="s">
        <v>22656</v>
      </c>
      <c r="F472" s="24" t="s">
        <v>22657</v>
      </c>
      <c r="G472" s="25">
        <v>4</v>
      </c>
      <c r="H472" s="26"/>
      <c r="I472" s="27"/>
    </row>
    <row r="473" spans="1:9" ht="15.75" thickBot="1" x14ac:dyDescent="0.3">
      <c r="A473" s="43" t="s">
        <v>2927</v>
      </c>
      <c r="B473" s="21" t="s">
        <v>2928</v>
      </c>
      <c r="C473" s="21" t="s">
        <v>22682</v>
      </c>
      <c r="D473" s="22">
        <v>46034</v>
      </c>
      <c r="E473" s="23" t="s">
        <v>22656</v>
      </c>
      <c r="F473" s="24" t="s">
        <v>22657</v>
      </c>
      <c r="G473" s="25">
        <v>4</v>
      </c>
      <c r="H473" s="29"/>
      <c r="I473" s="30"/>
    </row>
    <row r="474" spans="1:9" ht="15.75" thickBot="1" x14ac:dyDescent="0.3">
      <c r="A474" s="43" t="s">
        <v>2929</v>
      </c>
      <c r="B474" s="21" t="s">
        <v>2930</v>
      </c>
      <c r="C474" s="21" t="s">
        <v>22682</v>
      </c>
      <c r="D474" s="22">
        <v>46034</v>
      </c>
      <c r="E474" s="23" t="s">
        <v>22658</v>
      </c>
      <c r="F474" s="24" t="s">
        <v>22657</v>
      </c>
      <c r="G474" s="25">
        <v>4</v>
      </c>
      <c r="H474" s="26"/>
      <c r="I474" s="27"/>
    </row>
    <row r="475" spans="1:9" ht="15.75" thickBot="1" x14ac:dyDescent="0.3">
      <c r="A475" s="43" t="s">
        <v>2931</v>
      </c>
      <c r="B475" s="21" t="s">
        <v>2932</v>
      </c>
      <c r="C475" s="21" t="s">
        <v>22682</v>
      </c>
      <c r="D475" s="22">
        <v>46034</v>
      </c>
      <c r="E475" s="23" t="s">
        <v>22658</v>
      </c>
      <c r="F475" s="24" t="s">
        <v>22657</v>
      </c>
      <c r="G475" s="25">
        <v>4</v>
      </c>
      <c r="H475" s="29"/>
      <c r="I475" s="30"/>
    </row>
    <row r="476" spans="1:9" ht="15.75" thickBot="1" x14ac:dyDescent="0.3">
      <c r="A476" s="43" t="s">
        <v>2933</v>
      </c>
      <c r="B476" s="21" t="s">
        <v>2934</v>
      </c>
      <c r="C476" s="21" t="s">
        <v>22682</v>
      </c>
      <c r="D476" s="22">
        <v>46034</v>
      </c>
      <c r="E476" s="23" t="s">
        <v>22658</v>
      </c>
      <c r="F476" s="24" t="s">
        <v>22657</v>
      </c>
      <c r="G476" s="25">
        <v>4</v>
      </c>
      <c r="H476" s="26"/>
      <c r="I476" s="27"/>
    </row>
    <row r="477" spans="1:9" ht="15.75" thickBot="1" x14ac:dyDescent="0.3">
      <c r="A477" s="43" t="s">
        <v>2935</v>
      </c>
      <c r="B477" s="21" t="s">
        <v>2936</v>
      </c>
      <c r="C477" s="21" t="s">
        <v>22682</v>
      </c>
      <c r="D477" s="22">
        <v>46034</v>
      </c>
      <c r="E477" s="23" t="s">
        <v>22656</v>
      </c>
      <c r="F477" s="24" t="s">
        <v>22657</v>
      </c>
      <c r="G477" s="25">
        <v>4</v>
      </c>
      <c r="H477" s="29"/>
      <c r="I477" s="30"/>
    </row>
    <row r="478" spans="1:9" ht="15.75" thickBot="1" x14ac:dyDescent="0.3">
      <c r="A478" s="43" t="s">
        <v>2937</v>
      </c>
      <c r="B478" s="21" t="s">
        <v>2938</v>
      </c>
      <c r="C478" s="21" t="s">
        <v>22682</v>
      </c>
      <c r="D478" s="22">
        <v>46034</v>
      </c>
      <c r="E478" s="23" t="s">
        <v>22658</v>
      </c>
      <c r="F478" s="24" t="s">
        <v>22657</v>
      </c>
      <c r="G478" s="25">
        <v>4</v>
      </c>
      <c r="H478" s="26"/>
      <c r="I478" s="27"/>
    </row>
    <row r="479" spans="1:9" ht="15.75" thickBot="1" x14ac:dyDescent="0.3">
      <c r="A479" s="43" t="s">
        <v>2939</v>
      </c>
      <c r="B479" s="21" t="s">
        <v>2940</v>
      </c>
      <c r="C479" s="21" t="s">
        <v>22663</v>
      </c>
      <c r="D479" s="31">
        <v>1</v>
      </c>
      <c r="E479" s="23" t="s">
        <v>22656</v>
      </c>
      <c r="F479" s="24" t="s">
        <v>22657</v>
      </c>
      <c r="G479" s="25">
        <v>4</v>
      </c>
      <c r="H479" s="29"/>
      <c r="I479" s="30"/>
    </row>
    <row r="480" spans="1:9" ht="15.75" thickBot="1" x14ac:dyDescent="0.3">
      <c r="A480" s="43" t="s">
        <v>2941</v>
      </c>
      <c r="B480" s="21" t="s">
        <v>2942</v>
      </c>
      <c r="C480" s="21" t="s">
        <v>22698</v>
      </c>
      <c r="D480" s="31">
        <v>1</v>
      </c>
      <c r="E480" s="23" t="s">
        <v>22658</v>
      </c>
      <c r="F480" s="28" t="s">
        <v>22659</v>
      </c>
      <c r="G480" s="25">
        <v>2</v>
      </c>
      <c r="H480" s="26"/>
      <c r="I480" s="27"/>
    </row>
    <row r="481" spans="1:9" ht="15.75" thickBot="1" x14ac:dyDescent="0.3">
      <c r="A481" s="43" t="s">
        <v>2943</v>
      </c>
      <c r="B481" s="21" t="s">
        <v>2944</v>
      </c>
      <c r="C481" s="21" t="s">
        <v>22663</v>
      </c>
      <c r="D481" s="31">
        <v>1</v>
      </c>
      <c r="E481" s="23" t="s">
        <v>22656</v>
      </c>
      <c r="F481" s="24" t="s">
        <v>22657</v>
      </c>
      <c r="G481" s="25">
        <v>3</v>
      </c>
      <c r="H481" s="29"/>
      <c r="I481" s="30"/>
    </row>
    <row r="482" spans="1:9" ht="15.75" thickBot="1" x14ac:dyDescent="0.3">
      <c r="A482" s="43" t="s">
        <v>22404</v>
      </c>
      <c r="B482" s="21" t="s">
        <v>22405</v>
      </c>
      <c r="C482" s="21" t="s">
        <v>22663</v>
      </c>
      <c r="D482" s="31">
        <v>1</v>
      </c>
      <c r="E482" s="23" t="s">
        <v>22658</v>
      </c>
      <c r="F482" s="24" t="s">
        <v>22657</v>
      </c>
      <c r="G482" s="25">
        <v>2</v>
      </c>
      <c r="H482" s="26"/>
      <c r="I482" s="27"/>
    </row>
    <row r="483" spans="1:9" ht="15.75" thickBot="1" x14ac:dyDescent="0.3">
      <c r="A483" s="43" t="s">
        <v>2945</v>
      </c>
      <c r="B483" s="21" t="s">
        <v>2946</v>
      </c>
      <c r="C483" s="21" t="s">
        <v>22663</v>
      </c>
      <c r="D483" s="31">
        <v>1</v>
      </c>
      <c r="E483" s="23" t="s">
        <v>22656</v>
      </c>
      <c r="F483" s="24" t="s">
        <v>22657</v>
      </c>
      <c r="G483" s="25">
        <v>4</v>
      </c>
      <c r="H483" s="29"/>
      <c r="I483" s="30"/>
    </row>
    <row r="484" spans="1:9" ht="15.75" thickBot="1" x14ac:dyDescent="0.3">
      <c r="A484" s="43" t="s">
        <v>2947</v>
      </c>
      <c r="B484" s="21" t="s">
        <v>2948</v>
      </c>
      <c r="C484" s="21" t="s">
        <v>22672</v>
      </c>
      <c r="D484" s="31" t="s">
        <v>22708</v>
      </c>
      <c r="E484" s="23" t="s">
        <v>22658</v>
      </c>
      <c r="F484" s="24" t="s">
        <v>22657</v>
      </c>
      <c r="G484" s="25">
        <v>24</v>
      </c>
      <c r="H484" s="26"/>
      <c r="I484" s="27"/>
    </row>
    <row r="485" spans="1:9" ht="15.75" thickBot="1" x14ac:dyDescent="0.3">
      <c r="A485" s="43" t="s">
        <v>2949</v>
      </c>
      <c r="B485" s="21" t="s">
        <v>2950</v>
      </c>
      <c r="C485" s="21" t="s">
        <v>22655</v>
      </c>
      <c r="D485" s="22">
        <v>46042</v>
      </c>
      <c r="E485" s="23" t="s">
        <v>22656</v>
      </c>
      <c r="F485" s="24" t="s">
        <v>22657</v>
      </c>
      <c r="G485" s="25">
        <v>2</v>
      </c>
      <c r="H485" s="29"/>
      <c r="I485" s="30"/>
    </row>
    <row r="486" spans="1:9" ht="15.75" thickBot="1" x14ac:dyDescent="0.3">
      <c r="A486" s="43" t="s">
        <v>773</v>
      </c>
      <c r="B486" s="21" t="s">
        <v>774</v>
      </c>
      <c r="C486" s="21" t="s">
        <v>22655</v>
      </c>
      <c r="D486" s="22">
        <v>46034</v>
      </c>
      <c r="E486" s="23" t="s">
        <v>22656</v>
      </c>
      <c r="F486" s="24" t="s">
        <v>22657</v>
      </c>
      <c r="G486" s="25">
        <v>4</v>
      </c>
      <c r="H486" s="26"/>
      <c r="I486" s="27"/>
    </row>
    <row r="487" spans="1:9" ht="15.75" thickBot="1" x14ac:dyDescent="0.3">
      <c r="A487" s="43" t="s">
        <v>241</v>
      </c>
      <c r="B487" s="21" t="s">
        <v>242</v>
      </c>
      <c r="C487" s="21" t="s">
        <v>22655</v>
      </c>
      <c r="D487" s="22">
        <v>46052</v>
      </c>
      <c r="E487" s="23" t="s">
        <v>22656</v>
      </c>
      <c r="F487" s="24" t="s">
        <v>22657</v>
      </c>
      <c r="G487" s="25">
        <v>4</v>
      </c>
      <c r="H487" s="29"/>
      <c r="I487" s="30"/>
    </row>
    <row r="488" spans="1:9" ht="15.75" thickBot="1" x14ac:dyDescent="0.3">
      <c r="A488" s="43" t="s">
        <v>2951</v>
      </c>
      <c r="B488" s="21" t="s">
        <v>2952</v>
      </c>
      <c r="C488" s="21" t="s">
        <v>22655</v>
      </c>
      <c r="D488" s="22">
        <v>46034</v>
      </c>
      <c r="E488" s="23" t="s">
        <v>22656</v>
      </c>
      <c r="F488" s="24" t="s">
        <v>22657</v>
      </c>
      <c r="G488" s="25">
        <v>4</v>
      </c>
      <c r="H488" s="26"/>
      <c r="I488" s="27"/>
    </row>
    <row r="489" spans="1:9" ht="15.75" thickBot="1" x14ac:dyDescent="0.3">
      <c r="A489" s="43" t="s">
        <v>2953</v>
      </c>
      <c r="B489" s="21" t="s">
        <v>2954</v>
      </c>
      <c r="C489" s="21" t="s">
        <v>22655</v>
      </c>
      <c r="D489" s="22">
        <v>46034</v>
      </c>
      <c r="E489" s="23" t="s">
        <v>22656</v>
      </c>
      <c r="F489" s="24" t="s">
        <v>22657</v>
      </c>
      <c r="G489" s="25">
        <v>4</v>
      </c>
      <c r="H489" s="29"/>
      <c r="I489" s="30"/>
    </row>
    <row r="490" spans="1:9" ht="15.75" thickBot="1" x14ac:dyDescent="0.3">
      <c r="A490" s="43" t="s">
        <v>2955</v>
      </c>
      <c r="B490" s="21" t="s">
        <v>2956</v>
      </c>
      <c r="C490" s="21" t="s">
        <v>22663</v>
      </c>
      <c r="D490" s="31">
        <v>1</v>
      </c>
      <c r="E490" s="23" t="s">
        <v>22656</v>
      </c>
      <c r="F490" s="24" t="s">
        <v>22657</v>
      </c>
      <c r="G490" s="25">
        <v>2</v>
      </c>
      <c r="H490" s="26"/>
      <c r="I490" s="27"/>
    </row>
    <row r="491" spans="1:9" ht="15.75" thickBot="1" x14ac:dyDescent="0.3">
      <c r="A491" s="43" t="s">
        <v>2957</v>
      </c>
      <c r="B491" s="21" t="s">
        <v>2958</v>
      </c>
      <c r="C491" s="21" t="s">
        <v>22663</v>
      </c>
      <c r="D491" s="31">
        <v>1</v>
      </c>
      <c r="E491" s="23" t="s">
        <v>22656</v>
      </c>
      <c r="F491" s="24" t="s">
        <v>22657</v>
      </c>
      <c r="G491" s="25">
        <v>4</v>
      </c>
      <c r="H491" s="29"/>
      <c r="I491" s="30"/>
    </row>
    <row r="492" spans="1:9" ht="15.75" thickBot="1" x14ac:dyDescent="0.3">
      <c r="A492" s="43" t="s">
        <v>2959</v>
      </c>
      <c r="B492" s="21" t="s">
        <v>2960</v>
      </c>
      <c r="C492" s="21" t="s">
        <v>22709</v>
      </c>
      <c r="D492" s="31">
        <v>1</v>
      </c>
      <c r="E492" s="23" t="s">
        <v>22658</v>
      </c>
      <c r="F492" s="28" t="s">
        <v>22659</v>
      </c>
      <c r="G492" s="25">
        <v>1</v>
      </c>
      <c r="H492" s="26"/>
      <c r="I492" s="27"/>
    </row>
    <row r="493" spans="1:9" ht="15.75" thickBot="1" x14ac:dyDescent="0.3">
      <c r="A493" s="43" t="s">
        <v>1825</v>
      </c>
      <c r="B493" s="21" t="s">
        <v>1826</v>
      </c>
      <c r="C493" s="21" t="s">
        <v>22698</v>
      </c>
      <c r="D493" s="31">
        <v>1</v>
      </c>
      <c r="E493" s="23" t="s">
        <v>22656</v>
      </c>
      <c r="F493" s="24" t="s">
        <v>22657</v>
      </c>
      <c r="G493" s="25">
        <v>2</v>
      </c>
      <c r="H493" s="32">
        <v>2</v>
      </c>
      <c r="I493" s="33">
        <v>4</v>
      </c>
    </row>
    <row r="494" spans="1:9" ht="15.75" thickBot="1" x14ac:dyDescent="0.3">
      <c r="A494" s="43" t="s">
        <v>2961</v>
      </c>
      <c r="B494" s="21" t="s">
        <v>2962</v>
      </c>
      <c r="C494" s="21" t="s">
        <v>22663</v>
      </c>
      <c r="D494" s="31">
        <v>1</v>
      </c>
      <c r="E494" s="23" t="s">
        <v>22656</v>
      </c>
      <c r="F494" s="24" t="s">
        <v>22657</v>
      </c>
      <c r="G494" s="25">
        <v>3</v>
      </c>
      <c r="H494" s="26"/>
      <c r="I494" s="27"/>
    </row>
    <row r="495" spans="1:9" ht="15.75" thickBot="1" x14ac:dyDescent="0.3">
      <c r="A495" s="43" t="s">
        <v>2963</v>
      </c>
      <c r="B495" s="21" t="s">
        <v>2964</v>
      </c>
      <c r="C495" s="21" t="s">
        <v>22663</v>
      </c>
      <c r="D495" s="31">
        <v>1</v>
      </c>
      <c r="E495" s="23" t="s">
        <v>22656</v>
      </c>
      <c r="F495" s="24" t="s">
        <v>22657</v>
      </c>
      <c r="G495" s="25">
        <v>2</v>
      </c>
      <c r="H495" s="29"/>
      <c r="I495" s="30"/>
    </row>
    <row r="496" spans="1:9" ht="15.75" thickBot="1" x14ac:dyDescent="0.3">
      <c r="A496" s="43" t="s">
        <v>2965</v>
      </c>
      <c r="B496" s="21" t="s">
        <v>2966</v>
      </c>
      <c r="C496" s="21" t="s">
        <v>22663</v>
      </c>
      <c r="D496" s="31">
        <v>1</v>
      </c>
      <c r="E496" s="23" t="s">
        <v>22656</v>
      </c>
      <c r="F496" s="24" t="s">
        <v>22657</v>
      </c>
      <c r="G496" s="25">
        <v>4</v>
      </c>
      <c r="H496" s="26"/>
      <c r="I496" s="27"/>
    </row>
    <row r="497" spans="1:9" ht="15.75" thickBot="1" x14ac:dyDescent="0.3">
      <c r="A497" s="43" t="s">
        <v>2967</v>
      </c>
      <c r="B497" s="21" t="s">
        <v>2968</v>
      </c>
      <c r="C497" s="21" t="s">
        <v>22663</v>
      </c>
      <c r="D497" s="31">
        <v>1</v>
      </c>
      <c r="E497" s="23" t="s">
        <v>22658</v>
      </c>
      <c r="F497" s="28" t="s">
        <v>22659</v>
      </c>
      <c r="G497" s="25">
        <v>1</v>
      </c>
      <c r="H497" s="29"/>
      <c r="I497" s="30"/>
    </row>
    <row r="498" spans="1:9" ht="15.75" thickBot="1" x14ac:dyDescent="0.3">
      <c r="A498" s="43" t="s">
        <v>2969</v>
      </c>
      <c r="B498" s="21" t="s">
        <v>2970</v>
      </c>
      <c r="C498" s="21" t="s">
        <v>22663</v>
      </c>
      <c r="D498" s="31">
        <v>1</v>
      </c>
      <c r="E498" s="23" t="s">
        <v>22658</v>
      </c>
      <c r="F498" s="24" t="s">
        <v>22657</v>
      </c>
      <c r="G498" s="25">
        <v>3</v>
      </c>
      <c r="H498" s="26"/>
      <c r="I498" s="27"/>
    </row>
    <row r="499" spans="1:9" ht="15.75" thickBot="1" x14ac:dyDescent="0.3">
      <c r="A499" s="43" t="s">
        <v>683</v>
      </c>
      <c r="B499" s="21" t="s">
        <v>684</v>
      </c>
      <c r="C499" s="21" t="s">
        <v>22663</v>
      </c>
      <c r="D499" s="31">
        <v>1</v>
      </c>
      <c r="E499" s="23" t="s">
        <v>22661</v>
      </c>
      <c r="F499" s="24" t="s">
        <v>22657</v>
      </c>
      <c r="G499" s="25">
        <v>24</v>
      </c>
      <c r="H499" s="32">
        <v>24</v>
      </c>
      <c r="I499" s="33">
        <v>40</v>
      </c>
    </row>
    <row r="500" spans="1:9" ht="15.75" thickBot="1" x14ac:dyDescent="0.3">
      <c r="A500" s="43" t="s">
        <v>2971</v>
      </c>
      <c r="B500" s="21" t="s">
        <v>2972</v>
      </c>
      <c r="C500" s="21" t="s">
        <v>22709</v>
      </c>
      <c r="D500" s="31">
        <v>1</v>
      </c>
      <c r="E500" s="23" t="s">
        <v>22656</v>
      </c>
      <c r="F500" s="28" t="s">
        <v>22657</v>
      </c>
      <c r="G500" s="25">
        <v>1</v>
      </c>
      <c r="H500" s="34">
        <v>1</v>
      </c>
      <c r="I500" s="35">
        <v>2</v>
      </c>
    </row>
    <row r="501" spans="1:9" ht="15.75" thickBot="1" x14ac:dyDescent="0.3">
      <c r="A501" s="43" t="s">
        <v>25</v>
      </c>
      <c r="B501" s="21" t="s">
        <v>26</v>
      </c>
      <c r="C501" s="21" t="s">
        <v>22698</v>
      </c>
      <c r="D501" s="31">
        <v>1</v>
      </c>
      <c r="E501" s="23" t="s">
        <v>22661</v>
      </c>
      <c r="F501" s="24" t="s">
        <v>22657</v>
      </c>
      <c r="G501" s="25">
        <v>8</v>
      </c>
      <c r="H501" s="32">
        <v>8</v>
      </c>
      <c r="I501" s="33">
        <v>12</v>
      </c>
    </row>
    <row r="502" spans="1:9" ht="15.75" thickBot="1" x14ac:dyDescent="0.3">
      <c r="A502" s="43" t="s">
        <v>47</v>
      </c>
      <c r="B502" s="21" t="s">
        <v>48</v>
      </c>
      <c r="C502" s="21" t="s">
        <v>22663</v>
      </c>
      <c r="D502" s="31">
        <v>1</v>
      </c>
      <c r="E502" s="23" t="s">
        <v>22665</v>
      </c>
      <c r="F502" s="24" t="s">
        <v>22657</v>
      </c>
      <c r="G502" s="25">
        <v>12</v>
      </c>
      <c r="H502" s="34">
        <v>12</v>
      </c>
      <c r="I502" s="35">
        <v>30</v>
      </c>
    </row>
    <row r="503" spans="1:9" ht="15.75" thickBot="1" x14ac:dyDescent="0.3">
      <c r="A503" s="43" t="s">
        <v>669</v>
      </c>
      <c r="B503" s="21" t="s">
        <v>670</v>
      </c>
      <c r="C503" s="21" t="s">
        <v>22663</v>
      </c>
      <c r="D503" s="31">
        <v>1</v>
      </c>
      <c r="E503" s="23" t="s">
        <v>22661</v>
      </c>
      <c r="F503" s="24" t="s">
        <v>22657</v>
      </c>
      <c r="G503" s="25">
        <v>6</v>
      </c>
      <c r="H503" s="32">
        <v>6</v>
      </c>
      <c r="I503" s="33">
        <v>12</v>
      </c>
    </row>
    <row r="504" spans="1:9" ht="15.75" thickBot="1" x14ac:dyDescent="0.3">
      <c r="A504" s="43" t="s">
        <v>2975</v>
      </c>
      <c r="B504" s="21" t="s">
        <v>2976</v>
      </c>
      <c r="C504" s="21" t="s">
        <v>22663</v>
      </c>
      <c r="D504" s="31">
        <v>1</v>
      </c>
      <c r="E504" s="23" t="s">
        <v>22656</v>
      </c>
      <c r="F504" s="24" t="s">
        <v>22657</v>
      </c>
      <c r="G504" s="25">
        <v>2</v>
      </c>
      <c r="H504" s="26"/>
      <c r="I504" s="27"/>
    </row>
    <row r="505" spans="1:9" ht="15.75" thickBot="1" x14ac:dyDescent="0.3">
      <c r="A505" s="43" t="s">
        <v>2977</v>
      </c>
      <c r="B505" s="21" t="s">
        <v>2978</v>
      </c>
      <c r="C505" s="21" t="s">
        <v>22663</v>
      </c>
      <c r="D505" s="31">
        <v>1</v>
      </c>
      <c r="E505" s="23" t="s">
        <v>22656</v>
      </c>
      <c r="F505" s="24" t="s">
        <v>22657</v>
      </c>
      <c r="G505" s="25">
        <v>4</v>
      </c>
      <c r="H505" s="29"/>
      <c r="I505" s="30"/>
    </row>
    <row r="506" spans="1:9" ht="15.75" thickBot="1" x14ac:dyDescent="0.3">
      <c r="A506" s="43" t="s">
        <v>171</v>
      </c>
      <c r="B506" s="21" t="s">
        <v>2979</v>
      </c>
      <c r="C506" s="21" t="s">
        <v>22698</v>
      </c>
      <c r="D506" s="31">
        <v>1</v>
      </c>
      <c r="E506" s="23" t="s">
        <v>22656</v>
      </c>
      <c r="F506" s="24" t="s">
        <v>22657</v>
      </c>
      <c r="G506" s="25">
        <v>4</v>
      </c>
      <c r="H506" s="34">
        <v>4</v>
      </c>
      <c r="I506" s="35">
        <v>6</v>
      </c>
    </row>
    <row r="507" spans="1:9" ht="15.75" thickBot="1" x14ac:dyDescent="0.3">
      <c r="A507" s="43" t="s">
        <v>2980</v>
      </c>
      <c r="B507" s="21" t="s">
        <v>2981</v>
      </c>
      <c r="C507" s="21" t="s">
        <v>22709</v>
      </c>
      <c r="D507" s="31">
        <v>1</v>
      </c>
      <c r="E507" s="23" t="s">
        <v>22656</v>
      </c>
      <c r="F507" s="24" t="s">
        <v>22657</v>
      </c>
      <c r="G507" s="25">
        <v>2</v>
      </c>
      <c r="H507" s="29"/>
      <c r="I507" s="30"/>
    </row>
    <row r="508" spans="1:9" ht="15.75" thickBot="1" x14ac:dyDescent="0.3">
      <c r="A508" s="43" t="s">
        <v>2973</v>
      </c>
      <c r="B508" s="21" t="s">
        <v>2974</v>
      </c>
      <c r="C508" s="21" t="s">
        <v>22663</v>
      </c>
      <c r="D508" s="31">
        <v>1</v>
      </c>
      <c r="E508" s="23" t="s">
        <v>22661</v>
      </c>
      <c r="F508" s="24" t="s">
        <v>22657</v>
      </c>
      <c r="G508" s="25">
        <v>3</v>
      </c>
      <c r="H508" s="26"/>
      <c r="I508" s="27"/>
    </row>
    <row r="509" spans="1:9" ht="15.75" thickBot="1" x14ac:dyDescent="0.3">
      <c r="A509" s="43" t="s">
        <v>11886</v>
      </c>
      <c r="B509" s="21" t="s">
        <v>22406</v>
      </c>
      <c r="C509" s="21" t="s">
        <v>22655</v>
      </c>
      <c r="D509" s="22">
        <v>46026</v>
      </c>
      <c r="E509" s="23" t="s">
        <v>22658</v>
      </c>
      <c r="F509" s="24" t="s">
        <v>22657</v>
      </c>
      <c r="G509" s="25">
        <v>2</v>
      </c>
      <c r="H509" s="29"/>
      <c r="I509" s="30"/>
    </row>
    <row r="510" spans="1:9" ht="15.75" thickBot="1" x14ac:dyDescent="0.3">
      <c r="A510" s="43" t="s">
        <v>11890</v>
      </c>
      <c r="B510" s="21" t="s">
        <v>22407</v>
      </c>
      <c r="C510" s="21" t="s">
        <v>22655</v>
      </c>
      <c r="D510" s="22">
        <v>46034</v>
      </c>
      <c r="E510" s="23" t="s">
        <v>22656</v>
      </c>
      <c r="F510" s="24" t="s">
        <v>22657</v>
      </c>
      <c r="G510" s="25">
        <v>4</v>
      </c>
      <c r="H510" s="26"/>
      <c r="I510" s="27"/>
    </row>
    <row r="511" spans="1:9" ht="15.75" thickBot="1" x14ac:dyDescent="0.3">
      <c r="A511" s="43" t="s">
        <v>505</v>
      </c>
      <c r="B511" s="21" t="s">
        <v>506</v>
      </c>
      <c r="C511" s="21" t="s">
        <v>22655</v>
      </c>
      <c r="D511" s="22">
        <v>46030</v>
      </c>
      <c r="E511" s="23" t="s">
        <v>22656</v>
      </c>
      <c r="F511" s="24" t="s">
        <v>22657</v>
      </c>
      <c r="G511" s="25">
        <v>3</v>
      </c>
      <c r="H511" s="32">
        <v>3</v>
      </c>
      <c r="I511" s="33">
        <v>6</v>
      </c>
    </row>
    <row r="512" spans="1:9" ht="15.75" thickBot="1" x14ac:dyDescent="0.3">
      <c r="A512" s="43" t="s">
        <v>2982</v>
      </c>
      <c r="B512" s="21" t="s">
        <v>2983</v>
      </c>
      <c r="C512" s="21" t="s">
        <v>22663</v>
      </c>
      <c r="D512" s="31">
        <v>1</v>
      </c>
      <c r="E512" s="23" t="s">
        <v>22656</v>
      </c>
      <c r="F512" s="24" t="s">
        <v>22657</v>
      </c>
      <c r="G512" s="25">
        <v>7</v>
      </c>
      <c r="H512" s="26"/>
      <c r="I512" s="27"/>
    </row>
    <row r="513" spans="1:9" ht="15.75" thickBot="1" x14ac:dyDescent="0.3">
      <c r="A513" s="43" t="s">
        <v>2984</v>
      </c>
      <c r="B513" s="21" t="s">
        <v>2985</v>
      </c>
      <c r="C513" s="21" t="s">
        <v>22663</v>
      </c>
      <c r="D513" s="31">
        <v>1</v>
      </c>
      <c r="E513" s="23" t="s">
        <v>22658</v>
      </c>
      <c r="F513" s="24" t="s">
        <v>22657</v>
      </c>
      <c r="G513" s="25">
        <v>4</v>
      </c>
      <c r="H513" s="29"/>
      <c r="I513" s="30"/>
    </row>
    <row r="514" spans="1:9" ht="15.75" thickBot="1" x14ac:dyDescent="0.3">
      <c r="A514" s="43" t="s">
        <v>2986</v>
      </c>
      <c r="B514" s="21" t="s">
        <v>2987</v>
      </c>
      <c r="C514" s="21" t="s">
        <v>22655</v>
      </c>
      <c r="D514" s="22">
        <v>46042</v>
      </c>
      <c r="E514" s="23" t="s">
        <v>22656</v>
      </c>
      <c r="F514" s="24" t="s">
        <v>22657</v>
      </c>
      <c r="G514" s="25">
        <v>4</v>
      </c>
      <c r="H514" s="26"/>
      <c r="I514" s="27"/>
    </row>
    <row r="515" spans="1:9" ht="15.75" thickBot="1" x14ac:dyDescent="0.3">
      <c r="A515" s="43" t="s">
        <v>2988</v>
      </c>
      <c r="B515" s="21" t="s">
        <v>2989</v>
      </c>
      <c r="C515" s="21" t="s">
        <v>22663</v>
      </c>
      <c r="D515" s="31">
        <v>1</v>
      </c>
      <c r="E515" s="23" t="s">
        <v>22656</v>
      </c>
      <c r="F515" s="24" t="s">
        <v>22657</v>
      </c>
      <c r="G515" s="25">
        <v>7</v>
      </c>
      <c r="H515" s="29"/>
      <c r="I515" s="30"/>
    </row>
    <row r="516" spans="1:9" ht="15.75" thickBot="1" x14ac:dyDescent="0.3">
      <c r="A516" s="43" t="s">
        <v>2990</v>
      </c>
      <c r="B516" s="21" t="s">
        <v>2991</v>
      </c>
      <c r="C516" s="21" t="s">
        <v>22655</v>
      </c>
      <c r="D516" s="22">
        <v>46042</v>
      </c>
      <c r="E516" s="23" t="s">
        <v>22656</v>
      </c>
      <c r="F516" s="24" t="s">
        <v>22657</v>
      </c>
      <c r="G516" s="25">
        <v>7</v>
      </c>
      <c r="H516" s="26"/>
      <c r="I516" s="27"/>
    </row>
    <row r="517" spans="1:9" ht="15.75" thickBot="1" x14ac:dyDescent="0.3">
      <c r="A517" s="43" t="s">
        <v>2992</v>
      </c>
      <c r="B517" s="21" t="s">
        <v>2993</v>
      </c>
      <c r="C517" s="21" t="s">
        <v>22663</v>
      </c>
      <c r="D517" s="31">
        <v>1</v>
      </c>
      <c r="E517" s="23" t="s">
        <v>22656</v>
      </c>
      <c r="F517" s="24" t="s">
        <v>22657</v>
      </c>
      <c r="G517" s="25">
        <v>4</v>
      </c>
      <c r="H517" s="29"/>
      <c r="I517" s="30"/>
    </row>
    <row r="518" spans="1:9" ht="15.75" thickBot="1" x14ac:dyDescent="0.3">
      <c r="A518" s="43" t="s">
        <v>2994</v>
      </c>
      <c r="B518" s="21" t="s">
        <v>2995</v>
      </c>
      <c r="C518" s="21" t="s">
        <v>22655</v>
      </c>
      <c r="D518" s="22">
        <v>46042</v>
      </c>
      <c r="E518" s="23" t="s">
        <v>22658</v>
      </c>
      <c r="F518" s="24" t="s">
        <v>22657</v>
      </c>
      <c r="G518" s="25">
        <v>4</v>
      </c>
      <c r="H518" s="26"/>
      <c r="I518" s="27"/>
    </row>
    <row r="519" spans="1:9" ht="15.75" thickBot="1" x14ac:dyDescent="0.3">
      <c r="A519" s="43" t="s">
        <v>2996</v>
      </c>
      <c r="B519" s="21" t="s">
        <v>2997</v>
      </c>
      <c r="C519" s="21" t="s">
        <v>22663</v>
      </c>
      <c r="D519" s="31">
        <v>1</v>
      </c>
      <c r="E519" s="23" t="s">
        <v>22658</v>
      </c>
      <c r="F519" s="24" t="s">
        <v>22657</v>
      </c>
      <c r="G519" s="25">
        <v>4</v>
      </c>
      <c r="H519" s="29"/>
      <c r="I519" s="30"/>
    </row>
    <row r="520" spans="1:9" ht="15.75" thickBot="1" x14ac:dyDescent="0.3">
      <c r="A520" s="43" t="s">
        <v>2998</v>
      </c>
      <c r="B520" s="21" t="s">
        <v>2999</v>
      </c>
      <c r="C520" s="21" t="s">
        <v>22655</v>
      </c>
      <c r="D520" s="22">
        <v>46042</v>
      </c>
      <c r="E520" s="23" t="s">
        <v>22656</v>
      </c>
      <c r="F520" s="24" t="s">
        <v>22657</v>
      </c>
      <c r="G520" s="25">
        <v>7</v>
      </c>
      <c r="H520" s="26"/>
      <c r="I520" s="27"/>
    </row>
    <row r="521" spans="1:9" ht="15.75" thickBot="1" x14ac:dyDescent="0.3">
      <c r="A521" s="43" t="s">
        <v>3000</v>
      </c>
      <c r="B521" s="21" t="s">
        <v>3001</v>
      </c>
      <c r="C521" s="21" t="s">
        <v>22655</v>
      </c>
      <c r="D521" s="22">
        <v>46032</v>
      </c>
      <c r="E521" s="23" t="s">
        <v>22656</v>
      </c>
      <c r="F521" s="24" t="s">
        <v>22657</v>
      </c>
      <c r="G521" s="25">
        <v>4</v>
      </c>
      <c r="H521" s="29"/>
      <c r="I521" s="30"/>
    </row>
    <row r="522" spans="1:9" ht="15.75" thickBot="1" x14ac:dyDescent="0.3">
      <c r="A522" s="43" t="s">
        <v>3002</v>
      </c>
      <c r="B522" s="21" t="s">
        <v>3003</v>
      </c>
      <c r="C522" s="21" t="s">
        <v>22663</v>
      </c>
      <c r="D522" s="31">
        <v>1</v>
      </c>
      <c r="E522" s="23" t="s">
        <v>22656</v>
      </c>
      <c r="F522" s="24" t="s">
        <v>22657</v>
      </c>
      <c r="G522" s="25">
        <v>4</v>
      </c>
      <c r="H522" s="26"/>
      <c r="I522" s="27"/>
    </row>
    <row r="523" spans="1:9" ht="15.75" thickBot="1" x14ac:dyDescent="0.3">
      <c r="A523" s="43" t="s">
        <v>22408</v>
      </c>
      <c r="B523" s="21" t="s">
        <v>22409</v>
      </c>
      <c r="C523" s="36" t="e">
        <v>#N/A</v>
      </c>
      <c r="D523" s="37" t="e">
        <v>#N/A</v>
      </c>
      <c r="E523" s="23" t="e">
        <v>#N/A</v>
      </c>
      <c r="F523" s="24" t="s">
        <v>22657</v>
      </c>
      <c r="G523" s="25" t="e">
        <v>#N/A</v>
      </c>
      <c r="H523" s="29"/>
      <c r="I523" s="30"/>
    </row>
    <row r="524" spans="1:9" ht="15.75" thickBot="1" x14ac:dyDescent="0.3">
      <c r="A524" s="43" t="s">
        <v>3004</v>
      </c>
      <c r="B524" s="21" t="s">
        <v>3005</v>
      </c>
      <c r="C524" s="21" t="s">
        <v>22655</v>
      </c>
      <c r="D524" s="22">
        <v>46042</v>
      </c>
      <c r="E524" s="23" t="s">
        <v>22656</v>
      </c>
      <c r="F524" s="24" t="s">
        <v>22657</v>
      </c>
      <c r="G524" s="25">
        <v>7</v>
      </c>
      <c r="H524" s="26"/>
      <c r="I524" s="27"/>
    </row>
    <row r="525" spans="1:9" ht="15.75" thickBot="1" x14ac:dyDescent="0.3">
      <c r="A525" s="43" t="s">
        <v>3006</v>
      </c>
      <c r="B525" s="21" t="s">
        <v>3007</v>
      </c>
      <c r="C525" s="21" t="s">
        <v>22663</v>
      </c>
      <c r="D525" s="31">
        <v>1</v>
      </c>
      <c r="E525" s="23" t="s">
        <v>22656</v>
      </c>
      <c r="F525" s="24" t="s">
        <v>22657</v>
      </c>
      <c r="G525" s="25">
        <v>4</v>
      </c>
      <c r="H525" s="29"/>
      <c r="I525" s="30"/>
    </row>
    <row r="526" spans="1:9" ht="15.75" thickBot="1" x14ac:dyDescent="0.3">
      <c r="A526" s="43" t="s">
        <v>3008</v>
      </c>
      <c r="B526" s="21" t="s">
        <v>3009</v>
      </c>
      <c r="C526" s="21" t="s">
        <v>22655</v>
      </c>
      <c r="D526" s="22">
        <v>46042</v>
      </c>
      <c r="E526" s="23" t="s">
        <v>22658</v>
      </c>
      <c r="F526" s="24" t="s">
        <v>22657</v>
      </c>
      <c r="G526" s="25">
        <v>7</v>
      </c>
      <c r="H526" s="26"/>
      <c r="I526" s="27"/>
    </row>
    <row r="527" spans="1:9" ht="15.75" thickBot="1" x14ac:dyDescent="0.3">
      <c r="A527" s="43" t="s">
        <v>3010</v>
      </c>
      <c r="B527" s="21" t="s">
        <v>3011</v>
      </c>
      <c r="C527" s="21" t="s">
        <v>22663</v>
      </c>
      <c r="D527" s="31">
        <v>1</v>
      </c>
      <c r="E527" s="23" t="s">
        <v>22658</v>
      </c>
      <c r="F527" s="24" t="s">
        <v>22657</v>
      </c>
      <c r="G527" s="25">
        <v>4</v>
      </c>
      <c r="H527" s="29"/>
      <c r="I527" s="30"/>
    </row>
    <row r="528" spans="1:9" ht="15.75" thickBot="1" x14ac:dyDescent="0.3">
      <c r="A528" s="43" t="s">
        <v>3012</v>
      </c>
      <c r="B528" s="21" t="s">
        <v>3013</v>
      </c>
      <c r="C528" s="21" t="s">
        <v>22663</v>
      </c>
      <c r="D528" s="31">
        <v>1</v>
      </c>
      <c r="E528" s="23" t="s">
        <v>22658</v>
      </c>
      <c r="F528" s="24" t="s">
        <v>22657</v>
      </c>
      <c r="G528" s="25">
        <v>4</v>
      </c>
      <c r="H528" s="26"/>
      <c r="I528" s="27"/>
    </row>
    <row r="529" spans="1:9" ht="15.75" thickBot="1" x14ac:dyDescent="0.3">
      <c r="A529" s="43" t="s">
        <v>3014</v>
      </c>
      <c r="B529" s="21" t="s">
        <v>3015</v>
      </c>
      <c r="C529" s="21" t="s">
        <v>22655</v>
      </c>
      <c r="D529" s="22">
        <v>46032</v>
      </c>
      <c r="E529" s="23" t="s">
        <v>22656</v>
      </c>
      <c r="F529" s="24" t="s">
        <v>22657</v>
      </c>
      <c r="G529" s="25">
        <v>4</v>
      </c>
      <c r="H529" s="29"/>
      <c r="I529" s="30"/>
    </row>
    <row r="530" spans="1:9" ht="15.75" thickBot="1" x14ac:dyDescent="0.3">
      <c r="A530" s="43" t="s">
        <v>3016</v>
      </c>
      <c r="B530" s="21" t="s">
        <v>3017</v>
      </c>
      <c r="C530" s="21" t="s">
        <v>22663</v>
      </c>
      <c r="D530" s="31">
        <v>1</v>
      </c>
      <c r="E530" s="23" t="s">
        <v>22656</v>
      </c>
      <c r="F530" s="24" t="s">
        <v>22657</v>
      </c>
      <c r="G530" s="25">
        <v>4</v>
      </c>
      <c r="H530" s="26"/>
      <c r="I530" s="27"/>
    </row>
    <row r="531" spans="1:9" ht="15.75" thickBot="1" x14ac:dyDescent="0.3">
      <c r="A531" s="43" t="s">
        <v>3018</v>
      </c>
      <c r="B531" s="21" t="s">
        <v>3019</v>
      </c>
      <c r="C531" s="21" t="s">
        <v>22655</v>
      </c>
      <c r="D531" s="22">
        <v>46042</v>
      </c>
      <c r="E531" s="23" t="s">
        <v>22658</v>
      </c>
      <c r="F531" s="24" t="s">
        <v>22657</v>
      </c>
      <c r="G531" s="25">
        <v>1</v>
      </c>
      <c r="H531" s="29"/>
      <c r="I531" s="30"/>
    </row>
    <row r="532" spans="1:9" ht="15.75" thickBot="1" x14ac:dyDescent="0.3">
      <c r="A532" s="43" t="s">
        <v>3020</v>
      </c>
      <c r="B532" s="21" t="s">
        <v>3021</v>
      </c>
      <c r="C532" s="21" t="s">
        <v>22655</v>
      </c>
      <c r="D532" s="22">
        <v>46042</v>
      </c>
      <c r="E532" s="23" t="s">
        <v>22656</v>
      </c>
      <c r="F532" s="24" t="s">
        <v>22657</v>
      </c>
      <c r="G532" s="25">
        <v>2</v>
      </c>
      <c r="H532" s="26"/>
      <c r="I532" s="27"/>
    </row>
    <row r="533" spans="1:9" ht="15.75" thickBot="1" x14ac:dyDescent="0.3">
      <c r="A533" s="43" t="s">
        <v>3022</v>
      </c>
      <c r="B533" s="21" t="s">
        <v>3023</v>
      </c>
      <c r="C533" s="21" t="s">
        <v>22655</v>
      </c>
      <c r="D533" s="22">
        <v>46042</v>
      </c>
      <c r="E533" s="23" t="s">
        <v>22658</v>
      </c>
      <c r="F533" s="24" t="s">
        <v>22657</v>
      </c>
      <c r="G533" s="25">
        <v>1</v>
      </c>
      <c r="H533" s="29"/>
      <c r="I533" s="30"/>
    </row>
    <row r="534" spans="1:9" ht="15.75" thickBot="1" x14ac:dyDescent="0.3">
      <c r="A534" s="43" t="s">
        <v>3024</v>
      </c>
      <c r="B534" s="21" t="s">
        <v>3025</v>
      </c>
      <c r="C534" s="21" t="s">
        <v>22655</v>
      </c>
      <c r="D534" s="22">
        <v>46042</v>
      </c>
      <c r="E534" s="23" t="s">
        <v>22658</v>
      </c>
      <c r="F534" s="24" t="s">
        <v>22657</v>
      </c>
      <c r="G534" s="25">
        <v>1</v>
      </c>
      <c r="H534" s="26"/>
      <c r="I534" s="27"/>
    </row>
    <row r="535" spans="1:9" ht="15.75" thickBot="1" x14ac:dyDescent="0.3">
      <c r="A535" s="43" t="s">
        <v>3026</v>
      </c>
      <c r="B535" s="21" t="s">
        <v>3027</v>
      </c>
      <c r="C535" s="21" t="s">
        <v>22685</v>
      </c>
      <c r="D535" s="31">
        <v>1</v>
      </c>
      <c r="E535" s="23" t="s">
        <v>22658</v>
      </c>
      <c r="F535" s="24" t="s">
        <v>22657</v>
      </c>
      <c r="G535" s="25">
        <v>4</v>
      </c>
      <c r="H535" s="29"/>
      <c r="I535" s="30"/>
    </row>
    <row r="536" spans="1:9" ht="15.75" thickBot="1" x14ac:dyDescent="0.3">
      <c r="A536" s="43" t="s">
        <v>3028</v>
      </c>
      <c r="B536" s="21" t="s">
        <v>3029</v>
      </c>
      <c r="C536" s="21" t="s">
        <v>22655</v>
      </c>
      <c r="D536" s="22">
        <v>46042</v>
      </c>
      <c r="E536" s="23" t="s">
        <v>22658</v>
      </c>
      <c r="F536" s="24" t="s">
        <v>22657</v>
      </c>
      <c r="G536" s="25">
        <v>1</v>
      </c>
      <c r="H536" s="26"/>
      <c r="I536" s="27"/>
    </row>
    <row r="537" spans="1:9" ht="15.75" thickBot="1" x14ac:dyDescent="0.3">
      <c r="A537" s="43" t="s">
        <v>3030</v>
      </c>
      <c r="B537" s="21" t="s">
        <v>3031</v>
      </c>
      <c r="C537" s="21" t="s">
        <v>22663</v>
      </c>
      <c r="D537" s="31">
        <v>1</v>
      </c>
      <c r="E537" s="23" t="s">
        <v>22658</v>
      </c>
      <c r="F537" s="24" t="s">
        <v>22657</v>
      </c>
      <c r="G537" s="25">
        <v>4</v>
      </c>
      <c r="H537" s="29"/>
      <c r="I537" s="30"/>
    </row>
    <row r="538" spans="1:9" ht="15.75" thickBot="1" x14ac:dyDescent="0.3">
      <c r="A538" s="43" t="s">
        <v>3032</v>
      </c>
      <c r="B538" s="21" t="s">
        <v>3033</v>
      </c>
      <c r="C538" s="21" t="s">
        <v>22655</v>
      </c>
      <c r="D538" s="22">
        <v>46042</v>
      </c>
      <c r="E538" s="23" t="s">
        <v>22658</v>
      </c>
      <c r="F538" s="24" t="s">
        <v>22657</v>
      </c>
      <c r="G538" s="25">
        <v>1</v>
      </c>
      <c r="H538" s="26"/>
      <c r="I538" s="27"/>
    </row>
    <row r="539" spans="1:9" ht="15.75" thickBot="1" x14ac:dyDescent="0.3">
      <c r="A539" s="43" t="s">
        <v>351</v>
      </c>
      <c r="B539" s="21" t="s">
        <v>352</v>
      </c>
      <c r="C539" s="21" t="s">
        <v>22655</v>
      </c>
      <c r="D539" s="22">
        <v>46042</v>
      </c>
      <c r="E539" s="23" t="s">
        <v>22656</v>
      </c>
      <c r="F539" s="24" t="s">
        <v>22657</v>
      </c>
      <c r="G539" s="25">
        <v>7</v>
      </c>
      <c r="H539" s="29"/>
      <c r="I539" s="30"/>
    </row>
    <row r="540" spans="1:9" ht="15.75" thickBot="1" x14ac:dyDescent="0.3">
      <c r="A540" s="43" t="s">
        <v>3034</v>
      </c>
      <c r="B540" s="21" t="s">
        <v>3035</v>
      </c>
      <c r="C540" s="21" t="s">
        <v>22663</v>
      </c>
      <c r="D540" s="31">
        <v>1</v>
      </c>
      <c r="E540" s="23" t="s">
        <v>22658</v>
      </c>
      <c r="F540" s="24" t="s">
        <v>22657</v>
      </c>
      <c r="G540" s="25">
        <v>4</v>
      </c>
      <c r="H540" s="26"/>
      <c r="I540" s="27"/>
    </row>
    <row r="541" spans="1:9" ht="15.75" thickBot="1" x14ac:dyDescent="0.3">
      <c r="A541" s="43" t="s">
        <v>3036</v>
      </c>
      <c r="B541" s="21" t="s">
        <v>3037</v>
      </c>
      <c r="C541" s="21" t="s">
        <v>22655</v>
      </c>
      <c r="D541" s="22">
        <v>46032</v>
      </c>
      <c r="E541" s="23" t="s">
        <v>22656</v>
      </c>
      <c r="F541" s="24" t="s">
        <v>22657</v>
      </c>
      <c r="G541" s="25">
        <v>4</v>
      </c>
      <c r="H541" s="29"/>
      <c r="I541" s="30"/>
    </row>
    <row r="542" spans="1:9" ht="15.75" thickBot="1" x14ac:dyDescent="0.3">
      <c r="A542" s="43" t="s">
        <v>3038</v>
      </c>
      <c r="B542" s="21" t="s">
        <v>3039</v>
      </c>
      <c r="C542" s="21" t="s">
        <v>22663</v>
      </c>
      <c r="D542" s="31">
        <v>1</v>
      </c>
      <c r="E542" s="23" t="s">
        <v>22656</v>
      </c>
      <c r="F542" s="24" t="s">
        <v>22657</v>
      </c>
      <c r="G542" s="25">
        <v>4</v>
      </c>
      <c r="H542" s="26"/>
      <c r="I542" s="27"/>
    </row>
    <row r="543" spans="1:9" ht="15.75" thickBot="1" x14ac:dyDescent="0.3">
      <c r="A543" s="43" t="s">
        <v>3040</v>
      </c>
      <c r="B543" s="21" t="s">
        <v>3041</v>
      </c>
      <c r="C543" s="21" t="s">
        <v>22663</v>
      </c>
      <c r="D543" s="31">
        <v>1</v>
      </c>
      <c r="E543" s="23" t="s">
        <v>22656</v>
      </c>
      <c r="F543" s="24" t="s">
        <v>22657</v>
      </c>
      <c r="G543" s="25">
        <v>34</v>
      </c>
      <c r="H543" s="29"/>
      <c r="I543" s="30"/>
    </row>
    <row r="544" spans="1:9" ht="15.75" thickBot="1" x14ac:dyDescent="0.3">
      <c r="A544" s="43" t="s">
        <v>3042</v>
      </c>
      <c r="B544" s="21" t="s">
        <v>3043</v>
      </c>
      <c r="C544" s="21" t="s">
        <v>22663</v>
      </c>
      <c r="D544" s="31">
        <v>1</v>
      </c>
      <c r="E544" s="23" t="s">
        <v>22658</v>
      </c>
      <c r="F544" s="24" t="s">
        <v>22657</v>
      </c>
      <c r="G544" s="25">
        <v>4</v>
      </c>
      <c r="H544" s="26"/>
      <c r="I544" s="27"/>
    </row>
    <row r="545" spans="1:9" ht="15.75" thickBot="1" x14ac:dyDescent="0.3">
      <c r="A545" s="43" t="s">
        <v>3044</v>
      </c>
      <c r="B545" s="21" t="s">
        <v>3045</v>
      </c>
      <c r="C545" s="21" t="s">
        <v>22663</v>
      </c>
      <c r="D545" s="31">
        <v>1</v>
      </c>
      <c r="E545" s="23" t="s">
        <v>22658</v>
      </c>
      <c r="F545" s="24" t="s">
        <v>22657</v>
      </c>
      <c r="G545" s="25">
        <v>2</v>
      </c>
      <c r="H545" s="29"/>
      <c r="I545" s="30"/>
    </row>
    <row r="546" spans="1:9" ht="15.75" thickBot="1" x14ac:dyDescent="0.3">
      <c r="A546" s="43" t="s">
        <v>3046</v>
      </c>
      <c r="B546" s="21" t="s">
        <v>3047</v>
      </c>
      <c r="C546" s="21" t="s">
        <v>22663</v>
      </c>
      <c r="D546" s="31">
        <v>1</v>
      </c>
      <c r="E546" s="23" t="s">
        <v>22661</v>
      </c>
      <c r="F546" s="24" t="s">
        <v>22657</v>
      </c>
      <c r="G546" s="25">
        <v>25</v>
      </c>
      <c r="H546" s="26"/>
      <c r="I546" s="27"/>
    </row>
    <row r="547" spans="1:9" ht="15.75" thickBot="1" x14ac:dyDescent="0.3">
      <c r="A547" s="43" t="s">
        <v>3048</v>
      </c>
      <c r="B547" s="21" t="s">
        <v>3049</v>
      </c>
      <c r="C547" s="21" t="s">
        <v>22655</v>
      </c>
      <c r="D547" s="22">
        <v>46030</v>
      </c>
      <c r="E547" s="23" t="s">
        <v>22656</v>
      </c>
      <c r="F547" s="24" t="s">
        <v>22657</v>
      </c>
      <c r="G547" s="25">
        <v>3</v>
      </c>
      <c r="H547" s="29"/>
      <c r="I547" s="30"/>
    </row>
    <row r="548" spans="1:9" ht="15.75" thickBot="1" x14ac:dyDescent="0.3">
      <c r="A548" s="43" t="s">
        <v>3050</v>
      </c>
      <c r="B548" s="21" t="s">
        <v>3051</v>
      </c>
      <c r="C548" s="21" t="s">
        <v>22663</v>
      </c>
      <c r="D548" s="31">
        <v>1</v>
      </c>
      <c r="E548" s="23" t="s">
        <v>22658</v>
      </c>
      <c r="F548" s="24" t="s">
        <v>22657</v>
      </c>
      <c r="G548" s="25">
        <v>4</v>
      </c>
      <c r="H548" s="26"/>
      <c r="I548" s="27"/>
    </row>
    <row r="549" spans="1:9" ht="15.75" thickBot="1" x14ac:dyDescent="0.3">
      <c r="A549" s="43" t="s">
        <v>789</v>
      </c>
      <c r="B549" s="21" t="s">
        <v>790</v>
      </c>
      <c r="C549" s="21" t="s">
        <v>22655</v>
      </c>
      <c r="D549" s="22">
        <v>46032</v>
      </c>
      <c r="E549" s="23" t="s">
        <v>22656</v>
      </c>
      <c r="F549" s="24" t="s">
        <v>22657</v>
      </c>
      <c r="G549" s="25">
        <v>4</v>
      </c>
      <c r="H549" s="29"/>
      <c r="I549" s="30"/>
    </row>
    <row r="550" spans="1:9" ht="15.75" thickBot="1" x14ac:dyDescent="0.3">
      <c r="A550" s="43" t="s">
        <v>3052</v>
      </c>
      <c r="B550" s="21" t="s">
        <v>3053</v>
      </c>
      <c r="C550" s="21" t="s">
        <v>22663</v>
      </c>
      <c r="D550" s="31">
        <v>1</v>
      </c>
      <c r="E550" s="23" t="s">
        <v>22656</v>
      </c>
      <c r="F550" s="24" t="s">
        <v>22657</v>
      </c>
      <c r="G550" s="25">
        <v>9</v>
      </c>
      <c r="H550" s="26"/>
      <c r="I550" s="27"/>
    </row>
    <row r="551" spans="1:9" ht="15.75" thickBot="1" x14ac:dyDescent="0.3">
      <c r="A551" s="43" t="s">
        <v>3054</v>
      </c>
      <c r="B551" s="21" t="s">
        <v>3055</v>
      </c>
      <c r="C551" s="21" t="s">
        <v>22655</v>
      </c>
      <c r="D551" s="22">
        <v>46032</v>
      </c>
      <c r="E551" s="23" t="s">
        <v>22658</v>
      </c>
      <c r="F551" s="24" t="s">
        <v>22657</v>
      </c>
      <c r="G551" s="25">
        <v>2</v>
      </c>
      <c r="H551" s="29"/>
      <c r="I551" s="30"/>
    </row>
    <row r="552" spans="1:9" ht="15.75" thickBot="1" x14ac:dyDescent="0.3">
      <c r="A552" s="43" t="s">
        <v>3056</v>
      </c>
      <c r="B552" s="21" t="s">
        <v>3057</v>
      </c>
      <c r="C552" s="21" t="s">
        <v>22663</v>
      </c>
      <c r="D552" s="31">
        <v>1</v>
      </c>
      <c r="E552" s="23" t="s">
        <v>22656</v>
      </c>
      <c r="F552" s="24" t="s">
        <v>22657</v>
      </c>
      <c r="G552" s="25">
        <v>42</v>
      </c>
      <c r="H552" s="26"/>
      <c r="I552" s="27"/>
    </row>
    <row r="553" spans="1:9" ht="15.75" thickBot="1" x14ac:dyDescent="0.3">
      <c r="A553" s="43" t="s">
        <v>3058</v>
      </c>
      <c r="B553" s="21" t="s">
        <v>3059</v>
      </c>
      <c r="C553" s="21" t="s">
        <v>22710</v>
      </c>
      <c r="D553" s="31">
        <v>1</v>
      </c>
      <c r="E553" s="23" t="s">
        <v>22658</v>
      </c>
      <c r="F553" s="24" t="s">
        <v>22657</v>
      </c>
      <c r="G553" s="25">
        <v>4</v>
      </c>
      <c r="H553" s="29"/>
      <c r="I553" s="30"/>
    </row>
    <row r="554" spans="1:9" ht="15.75" thickBot="1" x14ac:dyDescent="0.3">
      <c r="A554" s="43" t="s">
        <v>3060</v>
      </c>
      <c r="B554" s="21" t="s">
        <v>3061</v>
      </c>
      <c r="C554" s="21" t="s">
        <v>22655</v>
      </c>
      <c r="D554" s="22">
        <v>46042</v>
      </c>
      <c r="E554" s="23" t="s">
        <v>22656</v>
      </c>
      <c r="F554" s="24" t="s">
        <v>22657</v>
      </c>
      <c r="G554" s="25">
        <v>7</v>
      </c>
      <c r="H554" s="26"/>
      <c r="I554" s="27"/>
    </row>
    <row r="555" spans="1:9" ht="15.75" thickBot="1" x14ac:dyDescent="0.3">
      <c r="A555" s="43" t="s">
        <v>3062</v>
      </c>
      <c r="B555" s="21" t="s">
        <v>3063</v>
      </c>
      <c r="C555" s="21" t="s">
        <v>22663</v>
      </c>
      <c r="D555" s="31">
        <v>1</v>
      </c>
      <c r="E555" s="23" t="s">
        <v>22656</v>
      </c>
      <c r="F555" s="24" t="s">
        <v>22657</v>
      </c>
      <c r="G555" s="25">
        <v>4</v>
      </c>
      <c r="H555" s="29"/>
      <c r="I555" s="30"/>
    </row>
    <row r="556" spans="1:9" ht="15.75" thickBot="1" x14ac:dyDescent="0.3">
      <c r="A556" s="43" t="s">
        <v>3064</v>
      </c>
      <c r="B556" s="21" t="s">
        <v>3065</v>
      </c>
      <c r="C556" s="21" t="s">
        <v>22655</v>
      </c>
      <c r="D556" s="22">
        <v>46026</v>
      </c>
      <c r="E556" s="23" t="s">
        <v>22658</v>
      </c>
      <c r="F556" s="24" t="s">
        <v>22657</v>
      </c>
      <c r="G556" s="25">
        <v>2</v>
      </c>
      <c r="H556" s="26"/>
      <c r="I556" s="27"/>
    </row>
    <row r="557" spans="1:9" ht="15.75" thickBot="1" x14ac:dyDescent="0.3">
      <c r="A557" s="43" t="s">
        <v>3066</v>
      </c>
      <c r="B557" s="21" t="s">
        <v>3067</v>
      </c>
      <c r="C557" s="21" t="s">
        <v>22663</v>
      </c>
      <c r="D557" s="31">
        <v>1</v>
      </c>
      <c r="E557" s="23" t="s">
        <v>22656</v>
      </c>
      <c r="F557" s="24" t="s">
        <v>22657</v>
      </c>
      <c r="G557" s="25">
        <v>42</v>
      </c>
      <c r="H557" s="29"/>
      <c r="I557" s="30"/>
    </row>
    <row r="558" spans="1:9" ht="15.75" thickBot="1" x14ac:dyDescent="0.3">
      <c r="A558" s="43" t="s">
        <v>3068</v>
      </c>
      <c r="B558" s="21" t="s">
        <v>3069</v>
      </c>
      <c r="C558" s="21" t="s">
        <v>22663</v>
      </c>
      <c r="D558" s="31">
        <v>1</v>
      </c>
      <c r="E558" s="23" t="s">
        <v>22658</v>
      </c>
      <c r="F558" s="24" t="s">
        <v>22657</v>
      </c>
      <c r="G558" s="25">
        <v>4</v>
      </c>
      <c r="H558" s="26"/>
      <c r="I558" s="27"/>
    </row>
    <row r="559" spans="1:9" ht="15.75" thickBot="1" x14ac:dyDescent="0.3">
      <c r="A559" s="43" t="s">
        <v>3070</v>
      </c>
      <c r="B559" s="21" t="s">
        <v>3071</v>
      </c>
      <c r="C559" s="21" t="s">
        <v>22655</v>
      </c>
      <c r="D559" s="22">
        <v>46052</v>
      </c>
      <c r="E559" s="23" t="s">
        <v>22658</v>
      </c>
      <c r="F559" s="24" t="s">
        <v>22657</v>
      </c>
      <c r="G559" s="25">
        <v>4</v>
      </c>
      <c r="H559" s="29"/>
      <c r="I559" s="30"/>
    </row>
    <row r="560" spans="1:9" ht="15.75" thickBot="1" x14ac:dyDescent="0.3">
      <c r="A560" s="43" t="s">
        <v>3072</v>
      </c>
      <c r="B560" s="21" t="s">
        <v>3073</v>
      </c>
      <c r="C560" s="21" t="s">
        <v>22663</v>
      </c>
      <c r="D560" s="31">
        <v>1</v>
      </c>
      <c r="E560" s="23" t="s">
        <v>22656</v>
      </c>
      <c r="F560" s="24" t="s">
        <v>22657</v>
      </c>
      <c r="G560" s="25">
        <v>4</v>
      </c>
      <c r="H560" s="26"/>
      <c r="I560" s="27"/>
    </row>
    <row r="561" spans="1:9" ht="15.75" thickBot="1" x14ac:dyDescent="0.3">
      <c r="A561" s="43" t="s">
        <v>3074</v>
      </c>
      <c r="B561" s="21" t="s">
        <v>3075</v>
      </c>
      <c r="C561" s="21" t="s">
        <v>22655</v>
      </c>
      <c r="D561" s="22">
        <v>46032</v>
      </c>
      <c r="E561" s="23" t="s">
        <v>22656</v>
      </c>
      <c r="F561" s="24" t="s">
        <v>22657</v>
      </c>
      <c r="G561" s="25">
        <v>4</v>
      </c>
      <c r="H561" s="29"/>
      <c r="I561" s="30"/>
    </row>
    <row r="562" spans="1:9" ht="15.75" thickBot="1" x14ac:dyDescent="0.3">
      <c r="A562" s="43" t="s">
        <v>3076</v>
      </c>
      <c r="B562" s="21" t="s">
        <v>3077</v>
      </c>
      <c r="C562" s="21" t="s">
        <v>22655</v>
      </c>
      <c r="D562" s="22">
        <v>46032</v>
      </c>
      <c r="E562" s="23" t="s">
        <v>22656</v>
      </c>
      <c r="F562" s="24" t="s">
        <v>22657</v>
      </c>
      <c r="G562" s="25">
        <v>4</v>
      </c>
      <c r="H562" s="26"/>
      <c r="I562" s="27"/>
    </row>
    <row r="563" spans="1:9" ht="15.75" thickBot="1" x14ac:dyDescent="0.3">
      <c r="A563" s="43" t="s">
        <v>3078</v>
      </c>
      <c r="B563" s="21" t="s">
        <v>3079</v>
      </c>
      <c r="C563" s="21" t="s">
        <v>22663</v>
      </c>
      <c r="D563" s="31">
        <v>1</v>
      </c>
      <c r="E563" s="23" t="s">
        <v>22656</v>
      </c>
      <c r="F563" s="24" t="s">
        <v>22657</v>
      </c>
      <c r="G563" s="25">
        <v>4</v>
      </c>
      <c r="H563" s="29"/>
      <c r="I563" s="30"/>
    </row>
    <row r="564" spans="1:9" ht="15.75" thickBot="1" x14ac:dyDescent="0.3">
      <c r="A564" s="43" t="s">
        <v>3080</v>
      </c>
      <c r="B564" s="21" t="s">
        <v>3081</v>
      </c>
      <c r="C564" s="21" t="s">
        <v>22663</v>
      </c>
      <c r="D564" s="31">
        <v>1</v>
      </c>
      <c r="E564" s="23" t="s">
        <v>22656</v>
      </c>
      <c r="F564" s="24" t="s">
        <v>22657</v>
      </c>
      <c r="G564" s="25">
        <v>4</v>
      </c>
      <c r="H564" s="26"/>
      <c r="I564" s="27"/>
    </row>
    <row r="565" spans="1:9" ht="15.75" thickBot="1" x14ac:dyDescent="0.3">
      <c r="A565" s="43" t="s">
        <v>3082</v>
      </c>
      <c r="B565" s="21" t="s">
        <v>3083</v>
      </c>
      <c r="C565" s="21" t="s">
        <v>22655</v>
      </c>
      <c r="D565" s="22">
        <v>46042</v>
      </c>
      <c r="E565" s="23" t="s">
        <v>22656</v>
      </c>
      <c r="F565" s="24" t="s">
        <v>22657</v>
      </c>
      <c r="G565" s="25">
        <v>7</v>
      </c>
      <c r="H565" s="29"/>
      <c r="I565" s="30"/>
    </row>
    <row r="566" spans="1:9" ht="15.75" thickBot="1" x14ac:dyDescent="0.3">
      <c r="A566" s="43" t="s">
        <v>3084</v>
      </c>
      <c r="B566" s="21" t="s">
        <v>3085</v>
      </c>
      <c r="C566" s="21" t="s">
        <v>22663</v>
      </c>
      <c r="D566" s="31">
        <v>1</v>
      </c>
      <c r="E566" s="23" t="s">
        <v>22656</v>
      </c>
      <c r="F566" s="24" t="s">
        <v>22657</v>
      </c>
      <c r="G566" s="25">
        <v>4</v>
      </c>
      <c r="H566" s="26"/>
      <c r="I566" s="27"/>
    </row>
    <row r="567" spans="1:9" ht="15.75" thickBot="1" x14ac:dyDescent="0.3">
      <c r="A567" s="43" t="s">
        <v>3086</v>
      </c>
      <c r="B567" s="21" t="s">
        <v>3087</v>
      </c>
      <c r="C567" s="21" t="s">
        <v>22655</v>
      </c>
      <c r="D567" s="22">
        <v>46042</v>
      </c>
      <c r="E567" s="23" t="s">
        <v>22656</v>
      </c>
      <c r="F567" s="24" t="s">
        <v>22657</v>
      </c>
      <c r="G567" s="25">
        <v>7</v>
      </c>
      <c r="H567" s="29"/>
      <c r="I567" s="30"/>
    </row>
    <row r="568" spans="1:9" ht="15.75" thickBot="1" x14ac:dyDescent="0.3">
      <c r="A568" s="43" t="s">
        <v>3088</v>
      </c>
      <c r="B568" s="21" t="s">
        <v>3089</v>
      </c>
      <c r="C568" s="21" t="s">
        <v>22663</v>
      </c>
      <c r="D568" s="31">
        <v>1</v>
      </c>
      <c r="E568" s="23" t="s">
        <v>22658</v>
      </c>
      <c r="F568" s="24" t="s">
        <v>22657</v>
      </c>
      <c r="G568" s="25">
        <v>4</v>
      </c>
      <c r="H568" s="26"/>
      <c r="I568" s="27"/>
    </row>
    <row r="569" spans="1:9" ht="15.75" thickBot="1" x14ac:dyDescent="0.3">
      <c r="A569" s="43" t="s">
        <v>3090</v>
      </c>
      <c r="B569" s="21" t="s">
        <v>3091</v>
      </c>
      <c r="C569" s="21" t="s">
        <v>22663</v>
      </c>
      <c r="D569" s="31">
        <v>1</v>
      </c>
      <c r="E569" s="23" t="s">
        <v>22656</v>
      </c>
      <c r="F569" s="24" t="s">
        <v>22657</v>
      </c>
      <c r="G569" s="25">
        <v>4</v>
      </c>
      <c r="H569" s="29"/>
      <c r="I569" s="30"/>
    </row>
    <row r="570" spans="1:9" ht="15.75" thickBot="1" x14ac:dyDescent="0.3">
      <c r="A570" s="43" t="s">
        <v>3092</v>
      </c>
      <c r="B570" s="21" t="s">
        <v>3093</v>
      </c>
      <c r="C570" s="21" t="s">
        <v>22655</v>
      </c>
      <c r="D570" s="22">
        <v>46042</v>
      </c>
      <c r="E570" s="23" t="s">
        <v>22656</v>
      </c>
      <c r="F570" s="24" t="s">
        <v>22657</v>
      </c>
      <c r="G570" s="25">
        <v>7</v>
      </c>
      <c r="H570" s="26"/>
      <c r="I570" s="27"/>
    </row>
    <row r="571" spans="1:9" ht="15.75" thickBot="1" x14ac:dyDescent="0.3">
      <c r="A571" s="43" t="s">
        <v>3094</v>
      </c>
      <c r="B571" s="21" t="s">
        <v>3095</v>
      </c>
      <c r="C571" s="21" t="s">
        <v>22663</v>
      </c>
      <c r="D571" s="31">
        <v>1</v>
      </c>
      <c r="E571" s="23" t="s">
        <v>22656</v>
      </c>
      <c r="F571" s="24" t="s">
        <v>22657</v>
      </c>
      <c r="G571" s="25">
        <v>4</v>
      </c>
      <c r="H571" s="29"/>
      <c r="I571" s="30"/>
    </row>
    <row r="572" spans="1:9" ht="15.75" thickBot="1" x14ac:dyDescent="0.3">
      <c r="A572" s="43" t="s">
        <v>3098</v>
      </c>
      <c r="B572" s="21" t="s">
        <v>3099</v>
      </c>
      <c r="C572" s="21" t="s">
        <v>22655</v>
      </c>
      <c r="D572" s="22">
        <v>46032</v>
      </c>
      <c r="E572" s="23" t="s">
        <v>22658</v>
      </c>
      <c r="F572" s="24" t="s">
        <v>22657</v>
      </c>
      <c r="G572" s="25">
        <v>2</v>
      </c>
      <c r="H572" s="26"/>
      <c r="I572" s="27"/>
    </row>
    <row r="573" spans="1:9" ht="15.75" thickBot="1" x14ac:dyDescent="0.3">
      <c r="A573" s="43" t="s">
        <v>3100</v>
      </c>
      <c r="B573" s="21" t="s">
        <v>3101</v>
      </c>
      <c r="C573" s="21" t="s">
        <v>22663</v>
      </c>
      <c r="D573" s="31">
        <v>1</v>
      </c>
      <c r="E573" s="23" t="s">
        <v>22656</v>
      </c>
      <c r="F573" s="24" t="s">
        <v>22657</v>
      </c>
      <c r="G573" s="25">
        <v>4</v>
      </c>
      <c r="H573" s="29"/>
      <c r="I573" s="30"/>
    </row>
    <row r="574" spans="1:9" ht="15.75" thickBot="1" x14ac:dyDescent="0.3">
      <c r="A574" s="43" t="s">
        <v>1369</v>
      </c>
      <c r="B574" s="21" t="s">
        <v>1370</v>
      </c>
      <c r="C574" s="21" t="s">
        <v>22709</v>
      </c>
      <c r="D574" s="31">
        <v>1</v>
      </c>
      <c r="E574" s="23" t="s">
        <v>22656</v>
      </c>
      <c r="F574" s="24" t="s">
        <v>22657</v>
      </c>
      <c r="G574" s="25">
        <v>2</v>
      </c>
      <c r="H574" s="26"/>
      <c r="I574" s="27"/>
    </row>
    <row r="575" spans="1:9" ht="15.75" thickBot="1" x14ac:dyDescent="0.3">
      <c r="A575" s="43" t="s">
        <v>3102</v>
      </c>
      <c r="B575" s="21" t="s">
        <v>3103</v>
      </c>
      <c r="C575" s="21" t="s">
        <v>22663</v>
      </c>
      <c r="D575" s="31">
        <v>1</v>
      </c>
      <c r="E575" s="23" t="s">
        <v>22656</v>
      </c>
      <c r="F575" s="24" t="s">
        <v>22657</v>
      </c>
      <c r="G575" s="25">
        <v>5</v>
      </c>
      <c r="H575" s="29"/>
      <c r="I575" s="30"/>
    </row>
    <row r="576" spans="1:9" ht="15.75" thickBot="1" x14ac:dyDescent="0.3">
      <c r="A576" s="43" t="s">
        <v>1489</v>
      </c>
      <c r="B576" s="21" t="s">
        <v>3104</v>
      </c>
      <c r="C576" s="21" t="s">
        <v>22655</v>
      </c>
      <c r="D576" s="31" t="s">
        <v>22666</v>
      </c>
      <c r="E576" s="23" t="s">
        <v>22662</v>
      </c>
      <c r="F576" s="24" t="s">
        <v>22657</v>
      </c>
      <c r="G576" s="25">
        <v>60</v>
      </c>
      <c r="H576" s="34">
        <v>60</v>
      </c>
      <c r="I576" s="35">
        <v>120</v>
      </c>
    </row>
    <row r="577" spans="1:9" ht="15.75" thickBot="1" x14ac:dyDescent="0.3">
      <c r="A577" s="43" t="s">
        <v>467</v>
      </c>
      <c r="B577" s="21" t="s">
        <v>468</v>
      </c>
      <c r="C577" s="21" t="s">
        <v>22709</v>
      </c>
      <c r="D577" s="31">
        <v>1</v>
      </c>
      <c r="E577" s="23" t="s">
        <v>22661</v>
      </c>
      <c r="F577" s="24" t="s">
        <v>22657</v>
      </c>
      <c r="G577" s="25">
        <v>4</v>
      </c>
      <c r="H577" s="32">
        <v>4</v>
      </c>
      <c r="I577" s="33">
        <v>6</v>
      </c>
    </row>
    <row r="578" spans="1:9" ht="15.75" thickBot="1" x14ac:dyDescent="0.3">
      <c r="A578" s="43" t="s">
        <v>872</v>
      </c>
      <c r="B578" s="21" t="s">
        <v>873</v>
      </c>
      <c r="C578" s="21" t="s">
        <v>22663</v>
      </c>
      <c r="D578" s="31">
        <v>1</v>
      </c>
      <c r="E578" s="23" t="s">
        <v>22665</v>
      </c>
      <c r="F578" s="24" t="s">
        <v>22657</v>
      </c>
      <c r="G578" s="25">
        <v>30</v>
      </c>
      <c r="H578" s="34">
        <v>30</v>
      </c>
      <c r="I578" s="35">
        <v>45</v>
      </c>
    </row>
    <row r="579" spans="1:9" ht="15.75" thickBot="1" x14ac:dyDescent="0.3">
      <c r="A579" s="43" t="s">
        <v>6624</v>
      </c>
      <c r="B579" s="21" t="s">
        <v>22410</v>
      </c>
      <c r="C579" s="21" t="s">
        <v>22698</v>
      </c>
      <c r="D579" s="31">
        <v>1</v>
      </c>
      <c r="E579" s="23" t="s">
        <v>22658</v>
      </c>
      <c r="F579" s="28" t="s">
        <v>22659</v>
      </c>
      <c r="G579" s="25">
        <v>1</v>
      </c>
      <c r="H579" s="29"/>
      <c r="I579" s="30"/>
    </row>
    <row r="580" spans="1:9" ht="15.75" thickBot="1" x14ac:dyDescent="0.3">
      <c r="A580" s="43" t="s">
        <v>6626</v>
      </c>
      <c r="B580" s="21" t="s">
        <v>22411</v>
      </c>
      <c r="C580" s="21" t="s">
        <v>22663</v>
      </c>
      <c r="D580" s="31">
        <v>1</v>
      </c>
      <c r="E580" s="23" t="s">
        <v>22656</v>
      </c>
      <c r="F580" s="24" t="s">
        <v>22657</v>
      </c>
      <c r="G580" s="25">
        <v>4</v>
      </c>
      <c r="H580" s="26"/>
      <c r="I580" s="27"/>
    </row>
    <row r="581" spans="1:9" ht="15.75" thickBot="1" x14ac:dyDescent="0.3">
      <c r="A581" s="43" t="s">
        <v>3105</v>
      </c>
      <c r="B581" s="21" t="s">
        <v>3106</v>
      </c>
      <c r="C581" s="21" t="s">
        <v>22663</v>
      </c>
      <c r="D581" s="31">
        <v>1</v>
      </c>
      <c r="E581" s="23" t="s">
        <v>22658</v>
      </c>
      <c r="F581" s="24" t="s">
        <v>22657</v>
      </c>
      <c r="G581" s="25">
        <v>1</v>
      </c>
      <c r="H581" s="29"/>
      <c r="I581" s="30"/>
    </row>
    <row r="582" spans="1:9" ht="15.75" thickBot="1" x14ac:dyDescent="0.3">
      <c r="A582" s="43" t="s">
        <v>3107</v>
      </c>
      <c r="B582" s="21" t="s">
        <v>3108</v>
      </c>
      <c r="C582" s="21" t="s">
        <v>22663</v>
      </c>
      <c r="D582" s="31">
        <v>1</v>
      </c>
      <c r="E582" s="23" t="s">
        <v>22656</v>
      </c>
      <c r="F582" s="24" t="s">
        <v>22657</v>
      </c>
      <c r="G582" s="25">
        <v>2</v>
      </c>
      <c r="H582" s="26"/>
      <c r="I582" s="27"/>
    </row>
    <row r="583" spans="1:9" ht="15.75" thickBot="1" x14ac:dyDescent="0.3">
      <c r="A583" s="43" t="s">
        <v>3109</v>
      </c>
      <c r="B583" s="21" t="s">
        <v>3110</v>
      </c>
      <c r="C583" s="21" t="s">
        <v>22663</v>
      </c>
      <c r="D583" s="31">
        <v>1</v>
      </c>
      <c r="E583" s="23" t="s">
        <v>22656</v>
      </c>
      <c r="F583" s="24" t="s">
        <v>22657</v>
      </c>
      <c r="G583" s="25">
        <v>2</v>
      </c>
      <c r="H583" s="29"/>
      <c r="I583" s="30"/>
    </row>
    <row r="584" spans="1:9" ht="15.75" thickBot="1" x14ac:dyDescent="0.3">
      <c r="A584" s="43" t="s">
        <v>3111</v>
      </c>
      <c r="B584" s="21" t="s">
        <v>3112</v>
      </c>
      <c r="C584" s="21" t="s">
        <v>22663</v>
      </c>
      <c r="D584" s="31">
        <v>1</v>
      </c>
      <c r="E584" s="23" t="s">
        <v>22658</v>
      </c>
      <c r="F584" s="24" t="s">
        <v>22657</v>
      </c>
      <c r="G584" s="25">
        <v>1</v>
      </c>
      <c r="H584" s="26"/>
      <c r="I584" s="27"/>
    </row>
    <row r="585" spans="1:9" ht="15.75" thickBot="1" x14ac:dyDescent="0.3">
      <c r="A585" s="43" t="s">
        <v>1487</v>
      </c>
      <c r="B585" s="21" t="s">
        <v>3113</v>
      </c>
      <c r="C585" s="21" t="s">
        <v>22663</v>
      </c>
      <c r="D585" s="31">
        <v>1</v>
      </c>
      <c r="E585" s="23" t="s">
        <v>22661</v>
      </c>
      <c r="F585" s="24" t="s">
        <v>22657</v>
      </c>
      <c r="G585" s="25">
        <v>6</v>
      </c>
      <c r="H585" s="32">
        <v>6</v>
      </c>
      <c r="I585" s="33">
        <v>12</v>
      </c>
    </row>
    <row r="586" spans="1:9" ht="15.75" thickBot="1" x14ac:dyDescent="0.3">
      <c r="A586" s="43" t="s">
        <v>1469</v>
      </c>
      <c r="B586" s="21" t="s">
        <v>1470</v>
      </c>
      <c r="C586" s="21" t="s">
        <v>22709</v>
      </c>
      <c r="D586" s="31">
        <v>1</v>
      </c>
      <c r="E586" s="23" t="s">
        <v>22656</v>
      </c>
      <c r="F586" s="24" t="s">
        <v>22657</v>
      </c>
      <c r="G586" s="25">
        <v>1</v>
      </c>
      <c r="H586" s="34">
        <v>1</v>
      </c>
      <c r="I586" s="35">
        <v>3</v>
      </c>
    </row>
    <row r="587" spans="1:9" ht="15.75" thickBot="1" x14ac:dyDescent="0.3">
      <c r="A587" s="43" t="s">
        <v>1647</v>
      </c>
      <c r="B587" s="21" t="s">
        <v>3114</v>
      </c>
      <c r="C587" s="21" t="s">
        <v>22698</v>
      </c>
      <c r="D587" s="31">
        <v>1</v>
      </c>
      <c r="E587" s="23" t="s">
        <v>22661</v>
      </c>
      <c r="F587" s="24" t="s">
        <v>22657</v>
      </c>
      <c r="G587" s="25">
        <v>6</v>
      </c>
      <c r="H587" s="32">
        <v>6</v>
      </c>
      <c r="I587" s="33">
        <v>12</v>
      </c>
    </row>
    <row r="588" spans="1:9" ht="15.75" thickBot="1" x14ac:dyDescent="0.3">
      <c r="A588" s="43" t="s">
        <v>317</v>
      </c>
      <c r="B588" s="21" t="s">
        <v>318</v>
      </c>
      <c r="C588" s="21" t="s">
        <v>22663</v>
      </c>
      <c r="D588" s="31">
        <v>1</v>
      </c>
      <c r="E588" s="23" t="s">
        <v>22661</v>
      </c>
      <c r="F588" s="24" t="s">
        <v>22657</v>
      </c>
      <c r="G588" s="25">
        <v>6</v>
      </c>
      <c r="H588" s="34">
        <v>6</v>
      </c>
      <c r="I588" s="35">
        <v>12</v>
      </c>
    </row>
    <row r="589" spans="1:9" ht="15.75" thickBot="1" x14ac:dyDescent="0.3">
      <c r="A589" s="43" t="s">
        <v>3115</v>
      </c>
      <c r="B589" s="21" t="s">
        <v>3116</v>
      </c>
      <c r="C589" s="21" t="s">
        <v>22655</v>
      </c>
      <c r="D589" s="31" t="s">
        <v>22660</v>
      </c>
      <c r="E589" s="23" t="s">
        <v>22658</v>
      </c>
      <c r="F589" s="24" t="s">
        <v>22657</v>
      </c>
      <c r="G589" s="25">
        <v>4</v>
      </c>
      <c r="H589" s="29"/>
      <c r="I589" s="30"/>
    </row>
    <row r="590" spans="1:9" ht="15.75" thickBot="1" x14ac:dyDescent="0.3">
      <c r="A590" s="43" t="s">
        <v>271</v>
      </c>
      <c r="B590" s="21" t="s">
        <v>3117</v>
      </c>
      <c r="C590" s="21" t="s">
        <v>22655</v>
      </c>
      <c r="D590" s="22">
        <v>46030</v>
      </c>
      <c r="E590" s="23" t="s">
        <v>22656</v>
      </c>
      <c r="F590" s="24" t="s">
        <v>22657</v>
      </c>
      <c r="G590" s="25">
        <v>4</v>
      </c>
      <c r="H590" s="26"/>
      <c r="I590" s="27"/>
    </row>
    <row r="591" spans="1:9" ht="15.75" thickBot="1" x14ac:dyDescent="0.3">
      <c r="A591" s="43" t="s">
        <v>553</v>
      </c>
      <c r="B591" s="21" t="s">
        <v>554</v>
      </c>
      <c r="C591" s="21" t="s">
        <v>22711</v>
      </c>
      <c r="D591" s="31">
        <v>1</v>
      </c>
      <c r="E591" s="23" t="s">
        <v>22665</v>
      </c>
      <c r="F591" s="24" t="s">
        <v>22657</v>
      </c>
      <c r="G591" s="38">
        <v>10000</v>
      </c>
      <c r="H591" s="32">
        <v>10000</v>
      </c>
      <c r="I591" s="33">
        <v>20000</v>
      </c>
    </row>
    <row r="592" spans="1:9" ht="15.75" thickBot="1" x14ac:dyDescent="0.3">
      <c r="A592" s="43" t="s">
        <v>995</v>
      </c>
      <c r="B592" s="21" t="s">
        <v>996</v>
      </c>
      <c r="C592" s="21" t="s">
        <v>22655</v>
      </c>
      <c r="D592" s="22">
        <v>46034</v>
      </c>
      <c r="E592" s="23" t="s">
        <v>22665</v>
      </c>
      <c r="F592" s="24" t="s">
        <v>22657</v>
      </c>
      <c r="G592" s="25">
        <v>24</v>
      </c>
      <c r="H592" s="34">
        <v>24</v>
      </c>
      <c r="I592" s="35">
        <v>48</v>
      </c>
    </row>
    <row r="593" spans="1:9" ht="15.75" thickBot="1" x14ac:dyDescent="0.3">
      <c r="A593" s="43" t="s">
        <v>75</v>
      </c>
      <c r="B593" s="21" t="s">
        <v>76</v>
      </c>
      <c r="C593" s="21" t="s">
        <v>22709</v>
      </c>
      <c r="D593" s="31">
        <v>1</v>
      </c>
      <c r="E593" s="23" t="s">
        <v>22656</v>
      </c>
      <c r="F593" s="24" t="s">
        <v>22657</v>
      </c>
      <c r="G593" s="25">
        <v>2</v>
      </c>
      <c r="H593" s="29"/>
      <c r="I593" s="30"/>
    </row>
    <row r="594" spans="1:9" ht="15.75" thickBot="1" x14ac:dyDescent="0.3">
      <c r="A594" s="43" t="s">
        <v>111</v>
      </c>
      <c r="B594" s="21" t="s">
        <v>112</v>
      </c>
      <c r="C594" s="21" t="s">
        <v>22655</v>
      </c>
      <c r="D594" s="22">
        <v>46034</v>
      </c>
      <c r="E594" s="23" t="s">
        <v>22656</v>
      </c>
      <c r="F594" s="24" t="s">
        <v>22657</v>
      </c>
      <c r="G594" s="25">
        <v>5</v>
      </c>
      <c r="H594" s="26"/>
      <c r="I594" s="27"/>
    </row>
    <row r="595" spans="1:9" ht="15.75" thickBot="1" x14ac:dyDescent="0.3">
      <c r="A595" s="43" t="s">
        <v>101</v>
      </c>
      <c r="B595" s="21" t="s">
        <v>3120</v>
      </c>
      <c r="C595" s="21" t="s">
        <v>22712</v>
      </c>
      <c r="D595" s="22">
        <v>46032</v>
      </c>
      <c r="E595" s="23" t="s">
        <v>22656</v>
      </c>
      <c r="F595" s="24" t="s">
        <v>22657</v>
      </c>
      <c r="G595" s="25">
        <v>4</v>
      </c>
      <c r="H595" s="29"/>
      <c r="I595" s="30"/>
    </row>
    <row r="596" spans="1:9" ht="15.75" thickBot="1" x14ac:dyDescent="0.3">
      <c r="A596" s="43" t="s">
        <v>2004</v>
      </c>
      <c r="B596" s="21" t="s">
        <v>3121</v>
      </c>
      <c r="C596" s="21" t="s">
        <v>22712</v>
      </c>
      <c r="D596" s="22">
        <v>46042</v>
      </c>
      <c r="E596" s="23" t="s">
        <v>22661</v>
      </c>
      <c r="F596" s="24" t="s">
        <v>22657</v>
      </c>
      <c r="G596" s="25">
        <v>10</v>
      </c>
      <c r="H596" s="34">
        <v>10</v>
      </c>
      <c r="I596" s="35">
        <v>12</v>
      </c>
    </row>
    <row r="597" spans="1:9" ht="15.75" thickBot="1" x14ac:dyDescent="0.3">
      <c r="A597" s="43" t="s">
        <v>3122</v>
      </c>
      <c r="B597" s="21" t="s">
        <v>3123</v>
      </c>
      <c r="C597" s="21" t="s">
        <v>22655</v>
      </c>
      <c r="D597" s="22">
        <v>46046</v>
      </c>
      <c r="E597" s="23" t="s">
        <v>22658</v>
      </c>
      <c r="F597" s="24" t="s">
        <v>22657</v>
      </c>
      <c r="G597" s="25">
        <v>2</v>
      </c>
      <c r="H597" s="29"/>
      <c r="I597" s="30"/>
    </row>
    <row r="598" spans="1:9" ht="15.75" thickBot="1" x14ac:dyDescent="0.3">
      <c r="A598" s="43" t="s">
        <v>729</v>
      </c>
      <c r="B598" s="21" t="s">
        <v>730</v>
      </c>
      <c r="C598" s="21" t="s">
        <v>22663</v>
      </c>
      <c r="D598" s="31">
        <v>1</v>
      </c>
      <c r="E598" s="23" t="s">
        <v>22656</v>
      </c>
      <c r="F598" s="24" t="s">
        <v>22657</v>
      </c>
      <c r="G598" s="25">
        <v>5</v>
      </c>
      <c r="H598" s="26"/>
      <c r="I598" s="27"/>
    </row>
    <row r="599" spans="1:9" ht="15.75" thickBot="1" x14ac:dyDescent="0.3">
      <c r="A599" s="43" t="s">
        <v>595</v>
      </c>
      <c r="B599" s="21" t="s">
        <v>3124</v>
      </c>
      <c r="C599" s="21" t="s">
        <v>22655</v>
      </c>
      <c r="D599" s="31" t="s">
        <v>22688</v>
      </c>
      <c r="E599" s="23" t="s">
        <v>22665</v>
      </c>
      <c r="F599" s="24" t="s">
        <v>22657</v>
      </c>
      <c r="G599" s="25">
        <v>40</v>
      </c>
      <c r="H599" s="32">
        <v>40</v>
      </c>
      <c r="I599" s="33">
        <v>80</v>
      </c>
    </row>
    <row r="600" spans="1:9" ht="15.75" thickBot="1" x14ac:dyDescent="0.3">
      <c r="A600" s="43" t="s">
        <v>3125</v>
      </c>
      <c r="B600" s="21" t="s">
        <v>3126</v>
      </c>
      <c r="C600" s="21" t="s">
        <v>22709</v>
      </c>
      <c r="D600" s="31">
        <v>1</v>
      </c>
      <c r="E600" s="23" t="s">
        <v>22658</v>
      </c>
      <c r="F600" s="24" t="s">
        <v>22657</v>
      </c>
      <c r="G600" s="25">
        <v>1</v>
      </c>
      <c r="H600" s="26"/>
      <c r="I600" s="27"/>
    </row>
    <row r="601" spans="1:9" ht="15.75" thickBot="1" x14ac:dyDescent="0.3">
      <c r="A601" s="43" t="s">
        <v>3127</v>
      </c>
      <c r="B601" s="21" t="s">
        <v>3128</v>
      </c>
      <c r="C601" s="21" t="s">
        <v>22655</v>
      </c>
      <c r="D601" s="31" t="s">
        <v>22664</v>
      </c>
      <c r="E601" s="23" t="s">
        <v>22661</v>
      </c>
      <c r="F601" s="24" t="s">
        <v>22657</v>
      </c>
      <c r="G601" s="25">
        <v>33</v>
      </c>
      <c r="H601" s="29"/>
      <c r="I601" s="30"/>
    </row>
    <row r="602" spans="1:9" ht="15.75" thickBot="1" x14ac:dyDescent="0.3">
      <c r="A602" s="43" t="s">
        <v>1631</v>
      </c>
      <c r="B602" s="21" t="s">
        <v>3129</v>
      </c>
      <c r="C602" s="21" t="s">
        <v>22655</v>
      </c>
      <c r="D602" s="22">
        <v>46028</v>
      </c>
      <c r="E602" s="23" t="s">
        <v>22662</v>
      </c>
      <c r="F602" s="24" t="s">
        <v>22657</v>
      </c>
      <c r="G602" s="25">
        <v>18</v>
      </c>
      <c r="H602" s="34">
        <v>18</v>
      </c>
      <c r="I602" s="35">
        <v>36</v>
      </c>
    </row>
    <row r="603" spans="1:9" ht="15.75" thickBot="1" x14ac:dyDescent="0.3">
      <c r="A603" s="43" t="s">
        <v>533</v>
      </c>
      <c r="B603" s="21" t="s">
        <v>534</v>
      </c>
      <c r="C603" s="21" t="s">
        <v>22655</v>
      </c>
      <c r="D603" s="22">
        <v>46032</v>
      </c>
      <c r="E603" s="23" t="s">
        <v>22661</v>
      </c>
      <c r="F603" s="24" t="s">
        <v>22657</v>
      </c>
      <c r="G603" s="25">
        <v>6</v>
      </c>
      <c r="H603" s="32">
        <v>6</v>
      </c>
      <c r="I603" s="33">
        <v>10</v>
      </c>
    </row>
    <row r="604" spans="1:9" ht="15.75" thickBot="1" x14ac:dyDescent="0.3">
      <c r="A604" s="43" t="s">
        <v>3130</v>
      </c>
      <c r="B604" s="21" t="s">
        <v>3131</v>
      </c>
      <c r="C604" s="21" t="s">
        <v>22655</v>
      </c>
      <c r="D604" s="22">
        <v>46031</v>
      </c>
      <c r="E604" s="23" t="s">
        <v>22656</v>
      </c>
      <c r="F604" s="24" t="s">
        <v>22657</v>
      </c>
      <c r="G604" s="25">
        <v>2</v>
      </c>
      <c r="H604" s="26"/>
      <c r="I604" s="27"/>
    </row>
    <row r="605" spans="1:9" ht="15.75" thickBot="1" x14ac:dyDescent="0.3">
      <c r="A605" s="43" t="s">
        <v>3132</v>
      </c>
      <c r="B605" s="21" t="s">
        <v>3133</v>
      </c>
      <c r="C605" s="21" t="s">
        <v>22655</v>
      </c>
      <c r="D605" s="22">
        <v>46031</v>
      </c>
      <c r="E605" s="23" t="s">
        <v>22656</v>
      </c>
      <c r="F605" s="24" t="s">
        <v>22657</v>
      </c>
      <c r="G605" s="25">
        <v>2</v>
      </c>
      <c r="H605" s="29"/>
      <c r="I605" s="30"/>
    </row>
    <row r="606" spans="1:9" ht="15.75" thickBot="1" x14ac:dyDescent="0.3">
      <c r="A606" s="43" t="s">
        <v>119</v>
      </c>
      <c r="B606" s="21" t="s">
        <v>120</v>
      </c>
      <c r="C606" s="21" t="s">
        <v>22663</v>
      </c>
      <c r="D606" s="31">
        <v>1</v>
      </c>
      <c r="E606" s="23" t="s">
        <v>22656</v>
      </c>
      <c r="F606" s="24" t="s">
        <v>22657</v>
      </c>
      <c r="G606" s="25">
        <v>10</v>
      </c>
      <c r="H606" s="26"/>
      <c r="I606" s="27"/>
    </row>
    <row r="607" spans="1:9" ht="15.75" thickBot="1" x14ac:dyDescent="0.3">
      <c r="A607" s="43" t="s">
        <v>619</v>
      </c>
      <c r="B607" s="21" t="s">
        <v>620</v>
      </c>
      <c r="C607" s="21" t="s">
        <v>22655</v>
      </c>
      <c r="D607" s="31" t="s">
        <v>22688</v>
      </c>
      <c r="E607" s="23" t="s">
        <v>22665</v>
      </c>
      <c r="F607" s="24" t="s">
        <v>22657</v>
      </c>
      <c r="G607" s="25">
        <v>40</v>
      </c>
      <c r="H607" s="32">
        <v>40</v>
      </c>
      <c r="I607" s="33">
        <v>80</v>
      </c>
    </row>
    <row r="608" spans="1:9" ht="15.75" thickBot="1" x14ac:dyDescent="0.3">
      <c r="A608" s="43" t="s">
        <v>3134</v>
      </c>
      <c r="B608" s="21" t="s">
        <v>3135</v>
      </c>
      <c r="C608" s="21" t="s">
        <v>22709</v>
      </c>
      <c r="D608" s="31">
        <v>1</v>
      </c>
      <c r="E608" s="23" t="s">
        <v>22658</v>
      </c>
      <c r="F608" s="24" t="s">
        <v>22657</v>
      </c>
      <c r="G608" s="25">
        <v>1</v>
      </c>
      <c r="H608" s="26"/>
      <c r="I608" s="27"/>
    </row>
    <row r="609" spans="1:9" ht="15.75" thickBot="1" x14ac:dyDescent="0.3">
      <c r="A609" s="43" t="s">
        <v>3136</v>
      </c>
      <c r="B609" s="21" t="s">
        <v>3137</v>
      </c>
      <c r="C609" s="21" t="s">
        <v>22655</v>
      </c>
      <c r="D609" s="31" t="s">
        <v>22664</v>
      </c>
      <c r="E609" s="23" t="s">
        <v>22661</v>
      </c>
      <c r="F609" s="24" t="s">
        <v>22657</v>
      </c>
      <c r="G609" s="25">
        <v>41</v>
      </c>
      <c r="H609" s="29"/>
      <c r="I609" s="30"/>
    </row>
    <row r="610" spans="1:9" ht="15.75" thickBot="1" x14ac:dyDescent="0.3">
      <c r="A610" s="43" t="s">
        <v>29</v>
      </c>
      <c r="B610" s="21" t="s">
        <v>30</v>
      </c>
      <c r="C610" s="21" t="s">
        <v>22655</v>
      </c>
      <c r="D610" s="22">
        <v>46034</v>
      </c>
      <c r="E610" s="23" t="s">
        <v>22661</v>
      </c>
      <c r="F610" s="24" t="s">
        <v>22657</v>
      </c>
      <c r="G610" s="25">
        <v>15</v>
      </c>
      <c r="H610" s="26"/>
      <c r="I610" s="27"/>
    </row>
    <row r="611" spans="1:9" ht="15.75" thickBot="1" x14ac:dyDescent="0.3">
      <c r="A611" s="43" t="s">
        <v>3138</v>
      </c>
      <c r="B611" s="21" t="s">
        <v>3139</v>
      </c>
      <c r="C611" s="21" t="s">
        <v>22682</v>
      </c>
      <c r="D611" s="22">
        <v>46034</v>
      </c>
      <c r="E611" s="23" t="s">
        <v>22658</v>
      </c>
      <c r="F611" s="24" t="s">
        <v>22657</v>
      </c>
      <c r="G611" s="25">
        <v>4</v>
      </c>
      <c r="H611" s="29"/>
      <c r="I611" s="30"/>
    </row>
    <row r="612" spans="1:9" ht="15.75" thickBot="1" x14ac:dyDescent="0.3">
      <c r="A612" s="43" t="s">
        <v>3140</v>
      </c>
      <c r="B612" s="21" t="s">
        <v>3141</v>
      </c>
      <c r="C612" s="21" t="s">
        <v>22682</v>
      </c>
      <c r="D612" s="22">
        <v>46034</v>
      </c>
      <c r="E612" s="23" t="s">
        <v>22656</v>
      </c>
      <c r="F612" s="24" t="s">
        <v>22657</v>
      </c>
      <c r="G612" s="25">
        <v>4</v>
      </c>
      <c r="H612" s="26"/>
      <c r="I612" s="27"/>
    </row>
    <row r="613" spans="1:9" ht="15.75" thickBot="1" x14ac:dyDescent="0.3">
      <c r="A613" s="43" t="s">
        <v>3142</v>
      </c>
      <c r="B613" s="21" t="s">
        <v>3143</v>
      </c>
      <c r="C613" s="21" t="s">
        <v>22682</v>
      </c>
      <c r="D613" s="22">
        <v>46034</v>
      </c>
      <c r="E613" s="23" t="s">
        <v>22656</v>
      </c>
      <c r="F613" s="24" t="s">
        <v>22657</v>
      </c>
      <c r="G613" s="25">
        <v>2</v>
      </c>
      <c r="H613" s="29"/>
      <c r="I613" s="30"/>
    </row>
    <row r="614" spans="1:9" ht="15.75" thickBot="1" x14ac:dyDescent="0.3">
      <c r="A614" s="43" t="s">
        <v>3144</v>
      </c>
      <c r="B614" s="21" t="s">
        <v>3145</v>
      </c>
      <c r="C614" s="21" t="s">
        <v>22682</v>
      </c>
      <c r="D614" s="22">
        <v>46034</v>
      </c>
      <c r="E614" s="23" t="s">
        <v>22658</v>
      </c>
      <c r="F614" s="24" t="s">
        <v>22657</v>
      </c>
      <c r="G614" s="25">
        <v>2</v>
      </c>
      <c r="H614" s="26"/>
      <c r="I614" s="27"/>
    </row>
    <row r="615" spans="1:9" ht="15.75" thickBot="1" x14ac:dyDescent="0.3">
      <c r="A615" s="43" t="s">
        <v>3146</v>
      </c>
      <c r="B615" s="21" t="s">
        <v>3147</v>
      </c>
      <c r="C615" s="21" t="s">
        <v>22682</v>
      </c>
      <c r="D615" s="22">
        <v>46034</v>
      </c>
      <c r="E615" s="23" t="s">
        <v>22658</v>
      </c>
      <c r="F615" s="24" t="s">
        <v>22657</v>
      </c>
      <c r="G615" s="25">
        <v>2</v>
      </c>
      <c r="H615" s="29"/>
      <c r="I615" s="30"/>
    </row>
    <row r="616" spans="1:9" ht="15.75" thickBot="1" x14ac:dyDescent="0.3">
      <c r="A616" s="43" t="s">
        <v>3148</v>
      </c>
      <c r="B616" s="21" t="s">
        <v>3149</v>
      </c>
      <c r="C616" s="21" t="s">
        <v>22682</v>
      </c>
      <c r="D616" s="22">
        <v>46034</v>
      </c>
      <c r="E616" s="23" t="s">
        <v>22658</v>
      </c>
      <c r="F616" s="24" t="s">
        <v>22657</v>
      </c>
      <c r="G616" s="25">
        <v>2</v>
      </c>
      <c r="H616" s="26"/>
      <c r="I616" s="27"/>
    </row>
    <row r="617" spans="1:9" ht="15.75" thickBot="1" x14ac:dyDescent="0.3">
      <c r="A617" s="43" t="s">
        <v>3150</v>
      </c>
      <c r="B617" s="21" t="s">
        <v>3151</v>
      </c>
      <c r="C617" s="21" t="s">
        <v>22686</v>
      </c>
      <c r="D617" s="31" t="s">
        <v>22713</v>
      </c>
      <c r="E617" s="23" t="s">
        <v>22658</v>
      </c>
      <c r="F617" s="24" t="s">
        <v>22657</v>
      </c>
      <c r="G617" s="25">
        <v>4</v>
      </c>
      <c r="H617" s="29"/>
      <c r="I617" s="30"/>
    </row>
    <row r="618" spans="1:9" ht="15.75" thickBot="1" x14ac:dyDescent="0.3">
      <c r="A618" s="43" t="s">
        <v>1049</v>
      </c>
      <c r="B618" s="21" t="s">
        <v>1050</v>
      </c>
      <c r="C618" s="21" t="s">
        <v>22686</v>
      </c>
      <c r="D618" s="31" t="s">
        <v>22713</v>
      </c>
      <c r="E618" s="23" t="s">
        <v>22661</v>
      </c>
      <c r="F618" s="24" t="s">
        <v>22657</v>
      </c>
      <c r="G618" s="25">
        <v>67</v>
      </c>
      <c r="H618" s="26"/>
      <c r="I618" s="27"/>
    </row>
    <row r="619" spans="1:9" ht="15.75" thickBot="1" x14ac:dyDescent="0.3">
      <c r="A619" s="43" t="s">
        <v>1403</v>
      </c>
      <c r="B619" s="21" t="s">
        <v>3152</v>
      </c>
      <c r="C619" s="21" t="s">
        <v>22655</v>
      </c>
      <c r="D619" s="22">
        <v>46042</v>
      </c>
      <c r="E619" s="23" t="s">
        <v>22656</v>
      </c>
      <c r="F619" s="24" t="s">
        <v>22657</v>
      </c>
      <c r="G619" s="25">
        <v>7</v>
      </c>
      <c r="H619" s="29"/>
      <c r="I619" s="30"/>
    </row>
    <row r="620" spans="1:9" ht="15.75" thickBot="1" x14ac:dyDescent="0.3">
      <c r="A620" s="43" t="s">
        <v>3153</v>
      </c>
      <c r="B620" s="21" t="s">
        <v>3154</v>
      </c>
      <c r="C620" s="21" t="s">
        <v>22686</v>
      </c>
      <c r="D620" s="31" t="s">
        <v>22713</v>
      </c>
      <c r="E620" s="23" t="s">
        <v>22656</v>
      </c>
      <c r="F620" s="24" t="s">
        <v>22657</v>
      </c>
      <c r="G620" s="25">
        <v>4</v>
      </c>
      <c r="H620" s="26"/>
      <c r="I620" s="27"/>
    </row>
    <row r="621" spans="1:9" ht="15.75" thickBot="1" x14ac:dyDescent="0.3">
      <c r="A621" s="43" t="s">
        <v>3155</v>
      </c>
      <c r="B621" s="21" t="s">
        <v>3156</v>
      </c>
      <c r="C621" s="21" t="s">
        <v>22686</v>
      </c>
      <c r="D621" s="31" t="s">
        <v>22713</v>
      </c>
      <c r="E621" s="23" t="s">
        <v>22661</v>
      </c>
      <c r="F621" s="24" t="s">
        <v>22657</v>
      </c>
      <c r="G621" s="25">
        <v>11</v>
      </c>
      <c r="H621" s="29"/>
      <c r="I621" s="30"/>
    </row>
    <row r="622" spans="1:9" ht="15.75" thickBot="1" x14ac:dyDescent="0.3">
      <c r="A622" s="43" t="s">
        <v>3157</v>
      </c>
      <c r="B622" s="21" t="s">
        <v>3158</v>
      </c>
      <c r="C622" s="21" t="s">
        <v>22686</v>
      </c>
      <c r="D622" s="31" t="s">
        <v>22713</v>
      </c>
      <c r="E622" s="23" t="s">
        <v>22656</v>
      </c>
      <c r="F622" s="24" t="s">
        <v>22657</v>
      </c>
      <c r="G622" s="25">
        <v>4</v>
      </c>
      <c r="H622" s="26"/>
      <c r="I622" s="27"/>
    </row>
    <row r="623" spans="1:9" ht="15.75" thickBot="1" x14ac:dyDescent="0.3">
      <c r="A623" s="43" t="s">
        <v>3159</v>
      </c>
      <c r="B623" s="21" t="s">
        <v>3160</v>
      </c>
      <c r="C623" s="21" t="s">
        <v>22686</v>
      </c>
      <c r="D623" s="31" t="s">
        <v>22713</v>
      </c>
      <c r="E623" s="23" t="s">
        <v>22656</v>
      </c>
      <c r="F623" s="24" t="s">
        <v>22657</v>
      </c>
      <c r="G623" s="25">
        <v>4</v>
      </c>
      <c r="H623" s="29"/>
      <c r="I623" s="30"/>
    </row>
    <row r="624" spans="1:9" ht="15.75" thickBot="1" x14ac:dyDescent="0.3">
      <c r="A624" s="43" t="s">
        <v>3161</v>
      </c>
      <c r="B624" s="21" t="s">
        <v>3162</v>
      </c>
      <c r="C624" s="21" t="s">
        <v>22686</v>
      </c>
      <c r="D624" s="31" t="s">
        <v>22713</v>
      </c>
      <c r="E624" s="23" t="s">
        <v>22656</v>
      </c>
      <c r="F624" s="24" t="s">
        <v>22657</v>
      </c>
      <c r="G624" s="25">
        <v>4</v>
      </c>
      <c r="H624" s="26"/>
      <c r="I624" s="27"/>
    </row>
    <row r="625" spans="1:9" ht="15.75" thickBot="1" x14ac:dyDescent="0.3">
      <c r="A625" s="43" t="s">
        <v>3163</v>
      </c>
      <c r="B625" s="21" t="s">
        <v>3164</v>
      </c>
      <c r="C625" s="21" t="s">
        <v>22686</v>
      </c>
      <c r="D625" s="31" t="s">
        <v>22713</v>
      </c>
      <c r="E625" s="23" t="s">
        <v>22658</v>
      </c>
      <c r="F625" s="24" t="s">
        <v>22657</v>
      </c>
      <c r="G625" s="25">
        <v>4</v>
      </c>
      <c r="H625" s="29"/>
      <c r="I625" s="30"/>
    </row>
    <row r="626" spans="1:9" ht="15.75" thickBot="1" x14ac:dyDescent="0.3">
      <c r="A626" s="43" t="s">
        <v>3165</v>
      </c>
      <c r="B626" s="21" t="s">
        <v>3166</v>
      </c>
      <c r="C626" s="21" t="s">
        <v>22686</v>
      </c>
      <c r="D626" s="31" t="s">
        <v>22713</v>
      </c>
      <c r="E626" s="23" t="s">
        <v>22656</v>
      </c>
      <c r="F626" s="24" t="s">
        <v>22657</v>
      </c>
      <c r="G626" s="25">
        <v>4</v>
      </c>
      <c r="H626" s="26"/>
      <c r="I626" s="27"/>
    </row>
    <row r="627" spans="1:9" ht="15.75" thickBot="1" x14ac:dyDescent="0.3">
      <c r="A627" s="43" t="s">
        <v>3167</v>
      </c>
      <c r="B627" s="21" t="s">
        <v>3168</v>
      </c>
      <c r="C627" s="21" t="s">
        <v>22686</v>
      </c>
      <c r="D627" s="31" t="s">
        <v>22714</v>
      </c>
      <c r="E627" s="23" t="s">
        <v>22656</v>
      </c>
      <c r="F627" s="24" t="s">
        <v>22657</v>
      </c>
      <c r="G627" s="25">
        <v>4</v>
      </c>
      <c r="H627" s="29"/>
      <c r="I627" s="30"/>
    </row>
    <row r="628" spans="1:9" ht="15.75" thickBot="1" x14ac:dyDescent="0.3">
      <c r="A628" s="43" t="s">
        <v>3169</v>
      </c>
      <c r="B628" s="21" t="s">
        <v>3170</v>
      </c>
      <c r="C628" s="21" t="s">
        <v>22655</v>
      </c>
      <c r="D628" s="22">
        <v>46046</v>
      </c>
      <c r="E628" s="23" t="s">
        <v>22656</v>
      </c>
      <c r="F628" s="24" t="s">
        <v>22657</v>
      </c>
      <c r="G628" s="25">
        <v>2</v>
      </c>
      <c r="H628" s="26"/>
      <c r="I628" s="27"/>
    </row>
    <row r="629" spans="1:9" ht="15.75" thickBot="1" x14ac:dyDescent="0.3">
      <c r="A629" s="43" t="s">
        <v>3171</v>
      </c>
      <c r="B629" s="21" t="s">
        <v>3172</v>
      </c>
      <c r="C629" s="21" t="s">
        <v>22655</v>
      </c>
      <c r="D629" s="22">
        <v>46046</v>
      </c>
      <c r="E629" s="23" t="s">
        <v>22656</v>
      </c>
      <c r="F629" s="24" t="s">
        <v>22657</v>
      </c>
      <c r="G629" s="25">
        <v>2</v>
      </c>
      <c r="H629" s="29"/>
      <c r="I629" s="30"/>
    </row>
    <row r="630" spans="1:9" ht="15.75" thickBot="1" x14ac:dyDescent="0.3">
      <c r="A630" s="43" t="s">
        <v>3173</v>
      </c>
      <c r="B630" s="21" t="s">
        <v>3174</v>
      </c>
      <c r="C630" s="21" t="s">
        <v>22663</v>
      </c>
      <c r="D630" s="31">
        <v>1</v>
      </c>
      <c r="E630" s="23" t="s">
        <v>22658</v>
      </c>
      <c r="F630" s="24" t="s">
        <v>22657</v>
      </c>
      <c r="G630" s="25">
        <v>1</v>
      </c>
      <c r="H630" s="26"/>
      <c r="I630" s="27"/>
    </row>
    <row r="631" spans="1:9" ht="15.75" thickBot="1" x14ac:dyDescent="0.3">
      <c r="A631" s="43" t="s">
        <v>22412</v>
      </c>
      <c r="B631" s="21" t="s">
        <v>22413</v>
      </c>
      <c r="C631" s="36" t="e">
        <v>#N/A</v>
      </c>
      <c r="D631" s="37" t="e">
        <v>#N/A</v>
      </c>
      <c r="E631" s="23" t="e">
        <v>#N/A</v>
      </c>
      <c r="F631" s="24" t="s">
        <v>22657</v>
      </c>
      <c r="G631" s="25" t="e">
        <v>#N/A</v>
      </c>
      <c r="H631" s="29"/>
      <c r="I631" s="30"/>
    </row>
    <row r="632" spans="1:9" ht="15.75" thickBot="1" x14ac:dyDescent="0.3">
      <c r="A632" s="43" t="s">
        <v>3175</v>
      </c>
      <c r="B632" s="21" t="s">
        <v>3176</v>
      </c>
      <c r="C632" s="21" t="s">
        <v>22663</v>
      </c>
      <c r="D632" s="31">
        <v>1</v>
      </c>
      <c r="E632" s="23" t="s">
        <v>22658</v>
      </c>
      <c r="F632" s="24" t="s">
        <v>22657</v>
      </c>
      <c r="G632" s="25">
        <v>1</v>
      </c>
      <c r="H632" s="26"/>
      <c r="I632" s="27"/>
    </row>
    <row r="633" spans="1:9" ht="15.75" thickBot="1" x14ac:dyDescent="0.3">
      <c r="A633" s="43" t="s">
        <v>3177</v>
      </c>
      <c r="B633" s="21" t="s">
        <v>3178</v>
      </c>
      <c r="C633" s="21" t="s">
        <v>22663</v>
      </c>
      <c r="D633" s="31">
        <v>1</v>
      </c>
      <c r="E633" s="23" t="s">
        <v>22658</v>
      </c>
      <c r="F633" s="24" t="s">
        <v>22657</v>
      </c>
      <c r="G633" s="25">
        <v>1</v>
      </c>
      <c r="H633" s="29"/>
      <c r="I633" s="30"/>
    </row>
    <row r="634" spans="1:9" ht="15.75" thickBot="1" x14ac:dyDescent="0.3">
      <c r="A634" s="43" t="s">
        <v>3179</v>
      </c>
      <c r="B634" s="21" t="s">
        <v>3180</v>
      </c>
      <c r="C634" s="21" t="s">
        <v>22663</v>
      </c>
      <c r="D634" s="31">
        <v>1</v>
      </c>
      <c r="E634" s="23" t="s">
        <v>22658</v>
      </c>
      <c r="F634" s="24" t="s">
        <v>22657</v>
      </c>
      <c r="G634" s="25">
        <v>1</v>
      </c>
      <c r="H634" s="26"/>
      <c r="I634" s="27"/>
    </row>
    <row r="635" spans="1:9" ht="15.75" thickBot="1" x14ac:dyDescent="0.3">
      <c r="A635" s="43" t="s">
        <v>3181</v>
      </c>
      <c r="B635" s="21" t="s">
        <v>3182</v>
      </c>
      <c r="C635" s="21" t="s">
        <v>22663</v>
      </c>
      <c r="D635" s="31">
        <v>1</v>
      </c>
      <c r="E635" s="23" t="s">
        <v>22658</v>
      </c>
      <c r="F635" s="24" t="s">
        <v>22657</v>
      </c>
      <c r="G635" s="25">
        <v>1</v>
      </c>
      <c r="H635" s="29"/>
      <c r="I635" s="30"/>
    </row>
    <row r="636" spans="1:9" ht="15.75" thickBot="1" x14ac:dyDescent="0.3">
      <c r="A636" s="43" t="s">
        <v>3183</v>
      </c>
      <c r="B636" s="21" t="s">
        <v>3184</v>
      </c>
      <c r="C636" s="21" t="s">
        <v>22663</v>
      </c>
      <c r="D636" s="31">
        <v>1</v>
      </c>
      <c r="E636" s="23" t="s">
        <v>22658</v>
      </c>
      <c r="F636" s="24" t="s">
        <v>22657</v>
      </c>
      <c r="G636" s="25">
        <v>1</v>
      </c>
      <c r="H636" s="26"/>
      <c r="I636" s="27"/>
    </row>
    <row r="637" spans="1:9" ht="15.75" thickBot="1" x14ac:dyDescent="0.3">
      <c r="A637" s="43" t="s">
        <v>3185</v>
      </c>
      <c r="B637" s="21" t="s">
        <v>3186</v>
      </c>
      <c r="C637" s="21" t="s">
        <v>22663</v>
      </c>
      <c r="D637" s="31">
        <v>1</v>
      </c>
      <c r="E637" s="23" t="s">
        <v>22658</v>
      </c>
      <c r="F637" s="24" t="s">
        <v>22657</v>
      </c>
      <c r="G637" s="25">
        <v>1</v>
      </c>
      <c r="H637" s="29"/>
      <c r="I637" s="30"/>
    </row>
    <row r="638" spans="1:9" ht="15.75" thickBot="1" x14ac:dyDescent="0.3">
      <c r="A638" s="43" t="s">
        <v>1459</v>
      </c>
      <c r="B638" s="21" t="s">
        <v>1460</v>
      </c>
      <c r="C638" s="21" t="s">
        <v>22655</v>
      </c>
      <c r="D638" s="22">
        <v>46032</v>
      </c>
      <c r="E638" s="23" t="s">
        <v>22656</v>
      </c>
      <c r="F638" s="24" t="s">
        <v>22657</v>
      </c>
      <c r="G638" s="25">
        <v>2</v>
      </c>
      <c r="H638" s="34">
        <v>2</v>
      </c>
      <c r="I638" s="35">
        <v>4</v>
      </c>
    </row>
    <row r="639" spans="1:9" ht="15.75" thickBot="1" x14ac:dyDescent="0.3">
      <c r="A639" s="43" t="s">
        <v>391</v>
      </c>
      <c r="B639" s="21" t="s">
        <v>392</v>
      </c>
      <c r="C639" s="21" t="s">
        <v>22655</v>
      </c>
      <c r="D639" s="22">
        <v>46046</v>
      </c>
      <c r="E639" s="23" t="s">
        <v>22665</v>
      </c>
      <c r="F639" s="24" t="s">
        <v>22657</v>
      </c>
      <c r="G639" s="25">
        <v>10</v>
      </c>
      <c r="H639" s="29"/>
      <c r="I639" s="30"/>
    </row>
    <row r="640" spans="1:9" ht="15.75" thickBot="1" x14ac:dyDescent="0.3">
      <c r="A640" s="43" t="s">
        <v>3187</v>
      </c>
      <c r="B640" s="21" t="s">
        <v>3188</v>
      </c>
      <c r="C640" s="21" t="s">
        <v>22655</v>
      </c>
      <c r="D640" s="22">
        <v>46027</v>
      </c>
      <c r="E640" s="23" t="s">
        <v>22656</v>
      </c>
      <c r="F640" s="24" t="s">
        <v>22657</v>
      </c>
      <c r="G640" s="25">
        <v>4</v>
      </c>
      <c r="H640" s="26"/>
      <c r="I640" s="27"/>
    </row>
    <row r="641" spans="1:9" ht="15.75" thickBot="1" x14ac:dyDescent="0.3">
      <c r="A641" s="43" t="s">
        <v>3189</v>
      </c>
      <c r="B641" s="21" t="s">
        <v>3190</v>
      </c>
      <c r="C641" s="21" t="s">
        <v>22655</v>
      </c>
      <c r="D641" s="22">
        <v>46032</v>
      </c>
      <c r="E641" s="23" t="s">
        <v>22656</v>
      </c>
      <c r="F641" s="24" t="s">
        <v>22657</v>
      </c>
      <c r="G641" s="25">
        <v>2</v>
      </c>
      <c r="H641" s="32">
        <v>2</v>
      </c>
      <c r="I641" s="33">
        <v>4</v>
      </c>
    </row>
    <row r="642" spans="1:9" ht="15.75" thickBot="1" x14ac:dyDescent="0.3">
      <c r="A642" s="43" t="s">
        <v>3191</v>
      </c>
      <c r="B642" s="21" t="s">
        <v>3192</v>
      </c>
      <c r="C642" s="21" t="s">
        <v>22655</v>
      </c>
      <c r="D642" s="31" t="s">
        <v>22715</v>
      </c>
      <c r="E642" s="23" t="s">
        <v>22661</v>
      </c>
      <c r="F642" s="24" t="s">
        <v>22657</v>
      </c>
      <c r="G642" s="25">
        <v>8</v>
      </c>
      <c r="H642" s="26"/>
      <c r="I642" s="27"/>
    </row>
    <row r="643" spans="1:9" ht="15.75" thickBot="1" x14ac:dyDescent="0.3">
      <c r="A643" s="43" t="s">
        <v>3193</v>
      </c>
      <c r="B643" s="21" t="s">
        <v>3194</v>
      </c>
      <c r="C643" s="21" t="s">
        <v>22655</v>
      </c>
      <c r="D643" s="22">
        <v>46027</v>
      </c>
      <c r="E643" s="23" t="s">
        <v>22656</v>
      </c>
      <c r="F643" s="24" t="s">
        <v>22657</v>
      </c>
      <c r="G643" s="25">
        <v>2</v>
      </c>
      <c r="H643" s="29"/>
      <c r="I643" s="30"/>
    </row>
    <row r="644" spans="1:9" ht="15.75" thickBot="1" x14ac:dyDescent="0.3">
      <c r="A644" s="43" t="s">
        <v>1892</v>
      </c>
      <c r="B644" s="21" t="s">
        <v>1893</v>
      </c>
      <c r="C644" s="21" t="s">
        <v>22655</v>
      </c>
      <c r="D644" s="22">
        <v>46037</v>
      </c>
      <c r="E644" s="23" t="s">
        <v>22656</v>
      </c>
      <c r="F644" s="24" t="s">
        <v>22657</v>
      </c>
      <c r="G644" s="25">
        <v>5</v>
      </c>
      <c r="H644" s="26"/>
      <c r="I644" s="27"/>
    </row>
    <row r="645" spans="1:9" ht="15.75" thickBot="1" x14ac:dyDescent="0.3">
      <c r="A645" s="43" t="s">
        <v>1457</v>
      </c>
      <c r="B645" s="21" t="s">
        <v>1458</v>
      </c>
      <c r="C645" s="21" t="s">
        <v>22655</v>
      </c>
      <c r="D645" s="22">
        <v>46032</v>
      </c>
      <c r="E645" s="23" t="s">
        <v>22656</v>
      </c>
      <c r="F645" s="24" t="s">
        <v>22657</v>
      </c>
      <c r="G645" s="25">
        <v>4</v>
      </c>
      <c r="H645" s="29"/>
      <c r="I645" s="30"/>
    </row>
    <row r="646" spans="1:9" ht="15.75" thickBot="1" x14ac:dyDescent="0.3">
      <c r="A646" s="43" t="s">
        <v>1307</v>
      </c>
      <c r="B646" s="21" t="s">
        <v>1308</v>
      </c>
      <c r="C646" s="21" t="s">
        <v>22655</v>
      </c>
      <c r="D646" s="22">
        <v>46046</v>
      </c>
      <c r="E646" s="23" t="s">
        <v>22661</v>
      </c>
      <c r="F646" s="24" t="s">
        <v>22657</v>
      </c>
      <c r="G646" s="25">
        <v>13</v>
      </c>
      <c r="H646" s="26"/>
      <c r="I646" s="27"/>
    </row>
    <row r="647" spans="1:9" ht="15.75" thickBot="1" x14ac:dyDescent="0.3">
      <c r="A647" s="43" t="s">
        <v>1483</v>
      </c>
      <c r="B647" s="21" t="s">
        <v>1484</v>
      </c>
      <c r="C647" s="21" t="s">
        <v>22655</v>
      </c>
      <c r="D647" s="22">
        <v>46027</v>
      </c>
      <c r="E647" s="23" t="s">
        <v>22656</v>
      </c>
      <c r="F647" s="24" t="s">
        <v>22657</v>
      </c>
      <c r="G647" s="25">
        <v>2</v>
      </c>
      <c r="H647" s="32">
        <v>2</v>
      </c>
      <c r="I647" s="33">
        <v>4</v>
      </c>
    </row>
    <row r="648" spans="1:9" ht="15.75" thickBot="1" x14ac:dyDescent="0.3">
      <c r="A648" s="43" t="s">
        <v>3217</v>
      </c>
      <c r="B648" s="21" t="s">
        <v>3218</v>
      </c>
      <c r="C648" s="21" t="s">
        <v>22655</v>
      </c>
      <c r="D648" s="31" t="s">
        <v>22660</v>
      </c>
      <c r="E648" s="23" t="s">
        <v>22656</v>
      </c>
      <c r="F648" s="24" t="s">
        <v>22657</v>
      </c>
      <c r="G648" s="25">
        <v>4</v>
      </c>
      <c r="H648" s="26"/>
      <c r="I648" s="27"/>
    </row>
    <row r="649" spans="1:9" ht="15.75" thickBot="1" x14ac:dyDescent="0.3">
      <c r="A649" s="43" t="s">
        <v>3219</v>
      </c>
      <c r="B649" s="21" t="s">
        <v>3220</v>
      </c>
      <c r="C649" s="21" t="s">
        <v>22655</v>
      </c>
      <c r="D649" s="31" t="s">
        <v>22669</v>
      </c>
      <c r="E649" s="23" t="s">
        <v>22656</v>
      </c>
      <c r="F649" s="24" t="s">
        <v>22657</v>
      </c>
      <c r="G649" s="25">
        <v>4</v>
      </c>
      <c r="H649" s="29"/>
      <c r="I649" s="30"/>
    </row>
    <row r="650" spans="1:9" ht="15.75" thickBot="1" x14ac:dyDescent="0.3">
      <c r="A650" s="43" t="s">
        <v>3221</v>
      </c>
      <c r="B650" s="21" t="s">
        <v>3222</v>
      </c>
      <c r="C650" s="21" t="s">
        <v>22655</v>
      </c>
      <c r="D650" s="31" t="s">
        <v>22660</v>
      </c>
      <c r="E650" s="23" t="s">
        <v>22656</v>
      </c>
      <c r="F650" s="24" t="s">
        <v>22657</v>
      </c>
      <c r="G650" s="25">
        <v>4</v>
      </c>
      <c r="H650" s="26"/>
      <c r="I650" s="27"/>
    </row>
    <row r="651" spans="1:9" ht="15.75" thickBot="1" x14ac:dyDescent="0.3">
      <c r="A651" s="43" t="s">
        <v>3223</v>
      </c>
      <c r="B651" s="21" t="s">
        <v>3224</v>
      </c>
      <c r="C651" s="21" t="s">
        <v>22655</v>
      </c>
      <c r="D651" s="31" t="s">
        <v>22669</v>
      </c>
      <c r="E651" s="23" t="s">
        <v>22656</v>
      </c>
      <c r="F651" s="24" t="s">
        <v>22657</v>
      </c>
      <c r="G651" s="25">
        <v>4</v>
      </c>
      <c r="H651" s="29"/>
      <c r="I651" s="30"/>
    </row>
    <row r="652" spans="1:9" ht="15.75" thickBot="1" x14ac:dyDescent="0.3">
      <c r="A652" s="43" t="s">
        <v>3225</v>
      </c>
      <c r="B652" s="21" t="s">
        <v>3226</v>
      </c>
      <c r="C652" s="21" t="s">
        <v>22672</v>
      </c>
      <c r="D652" s="22">
        <v>46042</v>
      </c>
      <c r="E652" s="23" t="s">
        <v>22661</v>
      </c>
      <c r="F652" s="24" t="s">
        <v>22657</v>
      </c>
      <c r="G652" s="25">
        <v>15</v>
      </c>
      <c r="H652" s="26"/>
      <c r="I652" s="27"/>
    </row>
    <row r="653" spans="1:9" ht="15.75" thickBot="1" x14ac:dyDescent="0.3">
      <c r="A653" s="43" t="s">
        <v>3227</v>
      </c>
      <c r="B653" s="21" t="s">
        <v>3228</v>
      </c>
      <c r="C653" s="21" t="s">
        <v>22716</v>
      </c>
      <c r="D653" s="22">
        <v>46032</v>
      </c>
      <c r="E653" s="23" t="s">
        <v>22656</v>
      </c>
      <c r="F653" s="24" t="s">
        <v>22657</v>
      </c>
      <c r="G653" s="25">
        <v>4</v>
      </c>
      <c r="H653" s="29"/>
      <c r="I653" s="30"/>
    </row>
    <row r="654" spans="1:9" ht="15.75" thickBot="1" x14ac:dyDescent="0.3">
      <c r="A654" s="43" t="s">
        <v>3229</v>
      </c>
      <c r="B654" s="21" t="s">
        <v>3230</v>
      </c>
      <c r="C654" s="21" t="s">
        <v>22655</v>
      </c>
      <c r="D654" s="22">
        <v>46027</v>
      </c>
      <c r="E654" s="23" t="s">
        <v>22658</v>
      </c>
      <c r="F654" s="28" t="s">
        <v>22659</v>
      </c>
      <c r="G654" s="25">
        <v>1</v>
      </c>
      <c r="H654" s="26"/>
      <c r="I654" s="27"/>
    </row>
    <row r="655" spans="1:9" ht="15.75" thickBot="1" x14ac:dyDescent="0.3">
      <c r="A655" s="43" t="s">
        <v>3231</v>
      </c>
      <c r="B655" s="21" t="s">
        <v>3232</v>
      </c>
      <c r="C655" s="21" t="s">
        <v>22655</v>
      </c>
      <c r="D655" s="22">
        <v>46042</v>
      </c>
      <c r="E655" s="23" t="s">
        <v>22656</v>
      </c>
      <c r="F655" s="24" t="s">
        <v>22657</v>
      </c>
      <c r="G655" s="25">
        <v>2</v>
      </c>
      <c r="H655" s="29"/>
      <c r="I655" s="30"/>
    </row>
    <row r="656" spans="1:9" ht="15.75" thickBot="1" x14ac:dyDescent="0.3">
      <c r="A656" s="43" t="s">
        <v>3233</v>
      </c>
      <c r="B656" s="21" t="s">
        <v>3234</v>
      </c>
      <c r="C656" s="21" t="s">
        <v>22655</v>
      </c>
      <c r="D656" s="22">
        <v>46032</v>
      </c>
      <c r="E656" s="23" t="s">
        <v>22661</v>
      </c>
      <c r="F656" s="24" t="s">
        <v>22657</v>
      </c>
      <c r="G656" s="25">
        <v>12</v>
      </c>
      <c r="H656" s="34">
        <v>12</v>
      </c>
      <c r="I656" s="35">
        <v>20</v>
      </c>
    </row>
    <row r="657" spans="1:9" ht="15.75" thickBot="1" x14ac:dyDescent="0.3">
      <c r="A657" s="43" t="s">
        <v>3235</v>
      </c>
      <c r="B657" s="21" t="s">
        <v>3236</v>
      </c>
      <c r="C657" s="21" t="s">
        <v>22655</v>
      </c>
      <c r="D657" s="22">
        <v>46042</v>
      </c>
      <c r="E657" s="23" t="s">
        <v>22661</v>
      </c>
      <c r="F657" s="24" t="s">
        <v>22657</v>
      </c>
      <c r="G657" s="25">
        <v>12</v>
      </c>
      <c r="H657" s="32">
        <v>12</v>
      </c>
      <c r="I657" s="33">
        <v>24</v>
      </c>
    </row>
    <row r="658" spans="1:9" ht="15.75" thickBot="1" x14ac:dyDescent="0.3">
      <c r="A658" s="43" t="s">
        <v>22414</v>
      </c>
      <c r="B658" s="21" t="s">
        <v>22415</v>
      </c>
      <c r="C658" s="21" t="s">
        <v>22655</v>
      </c>
      <c r="D658" s="22">
        <v>46032</v>
      </c>
      <c r="E658" s="23" t="s">
        <v>22658</v>
      </c>
      <c r="F658" s="28" t="s">
        <v>22659</v>
      </c>
      <c r="G658" s="25">
        <v>1</v>
      </c>
      <c r="H658" s="26"/>
      <c r="I658" s="27"/>
    </row>
    <row r="659" spans="1:9" ht="15.75" thickBot="1" x14ac:dyDescent="0.3">
      <c r="A659" s="43" t="s">
        <v>3237</v>
      </c>
      <c r="B659" s="21" t="s">
        <v>3238</v>
      </c>
      <c r="C659" s="21" t="s">
        <v>22717</v>
      </c>
      <c r="D659" s="31" t="s">
        <v>22718</v>
      </c>
      <c r="E659" s="23" t="s">
        <v>22665</v>
      </c>
      <c r="F659" s="24" t="s">
        <v>22657</v>
      </c>
      <c r="G659" s="25">
        <v>11</v>
      </c>
      <c r="H659" s="29"/>
      <c r="I659" s="30"/>
    </row>
    <row r="660" spans="1:9" ht="15.75" thickBot="1" x14ac:dyDescent="0.3">
      <c r="A660" s="43" t="s">
        <v>3239</v>
      </c>
      <c r="B660" s="21" t="s">
        <v>3240</v>
      </c>
      <c r="C660" s="21" t="s">
        <v>22717</v>
      </c>
      <c r="D660" s="31" t="s">
        <v>22718</v>
      </c>
      <c r="E660" s="23" t="s">
        <v>22665</v>
      </c>
      <c r="F660" s="24" t="s">
        <v>22657</v>
      </c>
      <c r="G660" s="25">
        <v>17</v>
      </c>
      <c r="H660" s="26"/>
      <c r="I660" s="27"/>
    </row>
    <row r="661" spans="1:9" ht="15.75" thickBot="1" x14ac:dyDescent="0.3">
      <c r="A661" s="43" t="s">
        <v>3241</v>
      </c>
      <c r="B661" s="21" t="s">
        <v>3242</v>
      </c>
      <c r="C661" s="21" t="s">
        <v>22717</v>
      </c>
      <c r="D661" s="31" t="s">
        <v>22718</v>
      </c>
      <c r="E661" s="23" t="s">
        <v>22662</v>
      </c>
      <c r="F661" s="24" t="s">
        <v>22657</v>
      </c>
      <c r="G661" s="25">
        <v>15</v>
      </c>
      <c r="H661" s="32">
        <v>15</v>
      </c>
      <c r="I661" s="33">
        <v>30</v>
      </c>
    </row>
    <row r="662" spans="1:9" ht="15.75" thickBot="1" x14ac:dyDescent="0.3">
      <c r="A662" s="43" t="s">
        <v>882</v>
      </c>
      <c r="B662" s="21" t="s">
        <v>883</v>
      </c>
      <c r="C662" s="21" t="s">
        <v>22717</v>
      </c>
      <c r="D662" s="31" t="s">
        <v>22719</v>
      </c>
      <c r="E662" s="23" t="s">
        <v>22661</v>
      </c>
      <c r="F662" s="24" t="s">
        <v>22657</v>
      </c>
      <c r="G662" s="25">
        <v>24</v>
      </c>
      <c r="H662" s="26"/>
      <c r="I662" s="27"/>
    </row>
    <row r="663" spans="1:9" ht="15.75" thickBot="1" x14ac:dyDescent="0.3">
      <c r="A663" s="43" t="s">
        <v>3243</v>
      </c>
      <c r="B663" s="21" t="s">
        <v>3244</v>
      </c>
      <c r="C663" s="21" t="s">
        <v>22717</v>
      </c>
      <c r="D663" s="31" t="s">
        <v>22720</v>
      </c>
      <c r="E663" s="23" t="s">
        <v>22656</v>
      </c>
      <c r="F663" s="24" t="s">
        <v>22657</v>
      </c>
      <c r="G663" s="25">
        <v>2</v>
      </c>
      <c r="H663" s="29"/>
      <c r="I663" s="30"/>
    </row>
    <row r="664" spans="1:9" ht="15.75" thickBot="1" x14ac:dyDescent="0.3">
      <c r="A664" s="43" t="s">
        <v>1037</v>
      </c>
      <c r="B664" s="21" t="s">
        <v>1038</v>
      </c>
      <c r="C664" s="21" t="s">
        <v>22717</v>
      </c>
      <c r="D664" s="31" t="s">
        <v>22719</v>
      </c>
      <c r="E664" s="23" t="s">
        <v>22661</v>
      </c>
      <c r="F664" s="24" t="s">
        <v>22657</v>
      </c>
      <c r="G664" s="25">
        <v>24</v>
      </c>
      <c r="H664" s="26"/>
      <c r="I664" s="27"/>
    </row>
    <row r="665" spans="1:9" ht="15.75" thickBot="1" x14ac:dyDescent="0.3">
      <c r="A665" s="43" t="s">
        <v>3245</v>
      </c>
      <c r="B665" s="21" t="s">
        <v>3246</v>
      </c>
      <c r="C665" s="21" t="s">
        <v>22717</v>
      </c>
      <c r="D665" s="31" t="s">
        <v>22720</v>
      </c>
      <c r="E665" s="23" t="s">
        <v>22661</v>
      </c>
      <c r="F665" s="24" t="s">
        <v>22657</v>
      </c>
      <c r="G665" s="25">
        <v>4</v>
      </c>
      <c r="H665" s="29"/>
      <c r="I665" s="30"/>
    </row>
    <row r="666" spans="1:9" ht="15.75" thickBot="1" x14ac:dyDescent="0.3">
      <c r="A666" s="43" t="s">
        <v>1571</v>
      </c>
      <c r="B666" s="21" t="s">
        <v>1572</v>
      </c>
      <c r="C666" s="21" t="s">
        <v>22717</v>
      </c>
      <c r="D666" s="31" t="s">
        <v>22719</v>
      </c>
      <c r="E666" s="23" t="s">
        <v>22661</v>
      </c>
      <c r="F666" s="24" t="s">
        <v>22657</v>
      </c>
      <c r="G666" s="25">
        <v>24</v>
      </c>
      <c r="H666" s="26"/>
      <c r="I666" s="27"/>
    </row>
    <row r="667" spans="1:9" ht="15.75" thickBot="1" x14ac:dyDescent="0.3">
      <c r="A667" s="43" t="s">
        <v>1451</v>
      </c>
      <c r="B667" s="21" t="s">
        <v>1452</v>
      </c>
      <c r="C667" s="21" t="s">
        <v>22717</v>
      </c>
      <c r="D667" s="31" t="s">
        <v>22719</v>
      </c>
      <c r="E667" s="23" t="s">
        <v>22661</v>
      </c>
      <c r="F667" s="24" t="s">
        <v>22657</v>
      </c>
      <c r="G667" s="25">
        <v>24</v>
      </c>
      <c r="H667" s="29"/>
      <c r="I667" s="30"/>
    </row>
    <row r="668" spans="1:9" ht="15.75" thickBot="1" x14ac:dyDescent="0.3">
      <c r="A668" s="43" t="s">
        <v>1527</v>
      </c>
      <c r="B668" s="21" t="s">
        <v>1528</v>
      </c>
      <c r="C668" s="21" t="s">
        <v>22717</v>
      </c>
      <c r="D668" s="31" t="s">
        <v>22719</v>
      </c>
      <c r="E668" s="23" t="s">
        <v>22661</v>
      </c>
      <c r="F668" s="24" t="s">
        <v>22657</v>
      </c>
      <c r="G668" s="25">
        <v>24</v>
      </c>
      <c r="H668" s="26"/>
      <c r="I668" s="27"/>
    </row>
    <row r="669" spans="1:9" ht="15.75" thickBot="1" x14ac:dyDescent="0.3">
      <c r="A669" s="43" t="s">
        <v>3247</v>
      </c>
      <c r="B669" s="21" t="s">
        <v>3248</v>
      </c>
      <c r="C669" s="21" t="s">
        <v>22717</v>
      </c>
      <c r="D669" s="31" t="s">
        <v>22721</v>
      </c>
      <c r="E669" s="23" t="s">
        <v>22656</v>
      </c>
      <c r="F669" s="24" t="s">
        <v>22657</v>
      </c>
      <c r="G669" s="25">
        <v>3</v>
      </c>
      <c r="H669" s="29"/>
      <c r="I669" s="30"/>
    </row>
    <row r="670" spans="1:9" ht="15.75" thickBot="1" x14ac:dyDescent="0.3">
      <c r="A670" s="43" t="s">
        <v>3249</v>
      </c>
      <c r="B670" s="21" t="s">
        <v>3250</v>
      </c>
      <c r="C670" s="21" t="s">
        <v>22717</v>
      </c>
      <c r="D670" s="31" t="s">
        <v>22721</v>
      </c>
      <c r="E670" s="23" t="s">
        <v>22656</v>
      </c>
      <c r="F670" s="24" t="s">
        <v>22657</v>
      </c>
      <c r="G670" s="25">
        <v>2</v>
      </c>
      <c r="H670" s="26"/>
      <c r="I670" s="27"/>
    </row>
    <row r="671" spans="1:9" ht="15.75" thickBot="1" x14ac:dyDescent="0.3">
      <c r="A671" s="43" t="s">
        <v>3251</v>
      </c>
      <c r="B671" s="21" t="s">
        <v>3252</v>
      </c>
      <c r="C671" s="21" t="s">
        <v>22717</v>
      </c>
      <c r="D671" s="31" t="s">
        <v>22721</v>
      </c>
      <c r="E671" s="23" t="s">
        <v>22656</v>
      </c>
      <c r="F671" s="24" t="s">
        <v>22657</v>
      </c>
      <c r="G671" s="25">
        <v>2</v>
      </c>
      <c r="H671" s="29"/>
      <c r="I671" s="30"/>
    </row>
    <row r="672" spans="1:9" ht="15.75" thickBot="1" x14ac:dyDescent="0.3">
      <c r="A672" s="43" t="s">
        <v>3253</v>
      </c>
      <c r="B672" s="21" t="s">
        <v>3254</v>
      </c>
      <c r="C672" s="21" t="s">
        <v>22717</v>
      </c>
      <c r="D672" s="31" t="s">
        <v>22721</v>
      </c>
      <c r="E672" s="23" t="s">
        <v>22656</v>
      </c>
      <c r="F672" s="24" t="s">
        <v>22657</v>
      </c>
      <c r="G672" s="25">
        <v>2</v>
      </c>
      <c r="H672" s="26"/>
      <c r="I672" s="27"/>
    </row>
    <row r="673" spans="1:9" ht="15.75" thickBot="1" x14ac:dyDescent="0.3">
      <c r="A673" s="43" t="s">
        <v>3255</v>
      </c>
      <c r="B673" s="21" t="s">
        <v>3256</v>
      </c>
      <c r="C673" s="21" t="s">
        <v>22717</v>
      </c>
      <c r="D673" s="31" t="s">
        <v>22721</v>
      </c>
      <c r="E673" s="23" t="s">
        <v>22661</v>
      </c>
      <c r="F673" s="24" t="s">
        <v>22657</v>
      </c>
      <c r="G673" s="25">
        <v>6</v>
      </c>
      <c r="H673" s="29"/>
      <c r="I673" s="30"/>
    </row>
    <row r="674" spans="1:9" ht="15.75" thickBot="1" x14ac:dyDescent="0.3">
      <c r="A674" s="43" t="s">
        <v>3257</v>
      </c>
      <c r="B674" s="21" t="s">
        <v>3258</v>
      </c>
      <c r="C674" s="21" t="s">
        <v>22717</v>
      </c>
      <c r="D674" s="31" t="s">
        <v>22722</v>
      </c>
      <c r="E674" s="23" t="s">
        <v>22656</v>
      </c>
      <c r="F674" s="24" t="s">
        <v>22657</v>
      </c>
      <c r="G674" s="25">
        <v>2</v>
      </c>
      <c r="H674" s="26"/>
      <c r="I674" s="27"/>
    </row>
    <row r="675" spans="1:9" ht="15.75" thickBot="1" x14ac:dyDescent="0.3">
      <c r="A675" s="43" t="s">
        <v>3259</v>
      </c>
      <c r="B675" s="21" t="s">
        <v>3260</v>
      </c>
      <c r="C675" s="21" t="s">
        <v>22717</v>
      </c>
      <c r="D675" s="31" t="s">
        <v>22722</v>
      </c>
      <c r="E675" s="23" t="s">
        <v>22656</v>
      </c>
      <c r="F675" s="24" t="s">
        <v>22657</v>
      </c>
      <c r="G675" s="25">
        <v>2</v>
      </c>
      <c r="H675" s="29"/>
      <c r="I675" s="30"/>
    </row>
    <row r="676" spans="1:9" ht="15.75" thickBot="1" x14ac:dyDescent="0.3">
      <c r="A676" s="43" t="s">
        <v>3261</v>
      </c>
      <c r="B676" s="21" t="s">
        <v>3262</v>
      </c>
      <c r="C676" s="21" t="s">
        <v>22717</v>
      </c>
      <c r="D676" s="31" t="s">
        <v>22723</v>
      </c>
      <c r="E676" s="23" t="s">
        <v>22656</v>
      </c>
      <c r="F676" s="24" t="s">
        <v>22657</v>
      </c>
      <c r="G676" s="25">
        <v>2</v>
      </c>
      <c r="H676" s="26"/>
      <c r="I676" s="27"/>
    </row>
    <row r="677" spans="1:9" ht="15.75" thickBot="1" x14ac:dyDescent="0.3">
      <c r="A677" s="43" t="s">
        <v>3263</v>
      </c>
      <c r="B677" s="21" t="s">
        <v>3264</v>
      </c>
      <c r="C677" s="21" t="s">
        <v>22717</v>
      </c>
      <c r="D677" s="31" t="s">
        <v>22721</v>
      </c>
      <c r="E677" s="23" t="s">
        <v>22656</v>
      </c>
      <c r="F677" s="24" t="s">
        <v>22657</v>
      </c>
      <c r="G677" s="25">
        <v>17</v>
      </c>
      <c r="H677" s="29"/>
      <c r="I677" s="30"/>
    </row>
    <row r="678" spans="1:9" ht="15.75" thickBot="1" x14ac:dyDescent="0.3">
      <c r="A678" s="43" t="s">
        <v>641</v>
      </c>
      <c r="B678" s="21" t="s">
        <v>642</v>
      </c>
      <c r="C678" s="21" t="s">
        <v>22717</v>
      </c>
      <c r="D678" s="31" t="s">
        <v>22721</v>
      </c>
      <c r="E678" s="23" t="s">
        <v>22661</v>
      </c>
      <c r="F678" s="24" t="s">
        <v>22657</v>
      </c>
      <c r="G678" s="25">
        <v>17</v>
      </c>
      <c r="H678" s="26"/>
      <c r="I678" s="27"/>
    </row>
    <row r="679" spans="1:9" ht="15.75" thickBot="1" x14ac:dyDescent="0.3">
      <c r="A679" s="43" t="s">
        <v>876</v>
      </c>
      <c r="B679" s="21" t="s">
        <v>877</v>
      </c>
      <c r="C679" s="21" t="s">
        <v>22717</v>
      </c>
      <c r="D679" s="31" t="s">
        <v>22724</v>
      </c>
      <c r="E679" s="23" t="s">
        <v>22662</v>
      </c>
      <c r="F679" s="24" t="s">
        <v>22657</v>
      </c>
      <c r="G679" s="25">
        <v>84</v>
      </c>
      <c r="H679" s="29"/>
      <c r="I679" s="30"/>
    </row>
    <row r="680" spans="1:9" ht="15.75" thickBot="1" x14ac:dyDescent="0.3">
      <c r="A680" s="43" t="s">
        <v>3265</v>
      </c>
      <c r="B680" s="21" t="s">
        <v>3266</v>
      </c>
      <c r="C680" s="21" t="s">
        <v>22717</v>
      </c>
      <c r="D680" s="31" t="s">
        <v>22724</v>
      </c>
      <c r="E680" s="23" t="s">
        <v>22661</v>
      </c>
      <c r="F680" s="24" t="s">
        <v>22657</v>
      </c>
      <c r="G680" s="25">
        <v>84</v>
      </c>
      <c r="H680" s="26"/>
      <c r="I680" s="27"/>
    </row>
    <row r="681" spans="1:9" ht="15.75" thickBot="1" x14ac:dyDescent="0.3">
      <c r="A681" s="43" t="s">
        <v>3267</v>
      </c>
      <c r="B681" s="21" t="s">
        <v>3268</v>
      </c>
      <c r="C681" s="21" t="s">
        <v>22717</v>
      </c>
      <c r="D681" s="31" t="s">
        <v>22724</v>
      </c>
      <c r="E681" s="23" t="s">
        <v>22656</v>
      </c>
      <c r="F681" s="24" t="s">
        <v>22657</v>
      </c>
      <c r="G681" s="25">
        <v>3</v>
      </c>
      <c r="H681" s="29"/>
      <c r="I681" s="30"/>
    </row>
    <row r="682" spans="1:9" ht="15.75" thickBot="1" x14ac:dyDescent="0.3">
      <c r="A682" s="43" t="s">
        <v>3269</v>
      </c>
      <c r="B682" s="21" t="s">
        <v>3270</v>
      </c>
      <c r="C682" s="21" t="s">
        <v>22717</v>
      </c>
      <c r="D682" s="31" t="s">
        <v>22721</v>
      </c>
      <c r="E682" s="23" t="s">
        <v>22656</v>
      </c>
      <c r="F682" s="24" t="s">
        <v>22657</v>
      </c>
      <c r="G682" s="25">
        <v>2</v>
      </c>
      <c r="H682" s="26"/>
      <c r="I682" s="27"/>
    </row>
    <row r="683" spans="1:9" ht="15.75" thickBot="1" x14ac:dyDescent="0.3">
      <c r="A683" s="43" t="s">
        <v>3271</v>
      </c>
      <c r="B683" s="21" t="s">
        <v>3272</v>
      </c>
      <c r="C683" s="21" t="s">
        <v>22717</v>
      </c>
      <c r="D683" s="31" t="s">
        <v>22721</v>
      </c>
      <c r="E683" s="23" t="s">
        <v>22656</v>
      </c>
      <c r="F683" s="24" t="s">
        <v>22657</v>
      </c>
      <c r="G683" s="25">
        <v>2</v>
      </c>
      <c r="H683" s="29"/>
      <c r="I683" s="30"/>
    </row>
    <row r="684" spans="1:9" ht="15.75" thickBot="1" x14ac:dyDescent="0.3">
      <c r="A684" s="43" t="s">
        <v>3273</v>
      </c>
      <c r="B684" s="21" t="s">
        <v>3274</v>
      </c>
      <c r="C684" s="21" t="s">
        <v>22717</v>
      </c>
      <c r="D684" s="31" t="s">
        <v>22721</v>
      </c>
      <c r="E684" s="23" t="s">
        <v>22656</v>
      </c>
      <c r="F684" s="24" t="s">
        <v>22657</v>
      </c>
      <c r="G684" s="25">
        <v>2</v>
      </c>
      <c r="H684" s="26"/>
      <c r="I684" s="27"/>
    </row>
    <row r="685" spans="1:9" ht="15.75" thickBot="1" x14ac:dyDescent="0.3">
      <c r="A685" s="43" t="s">
        <v>3275</v>
      </c>
      <c r="B685" s="21" t="s">
        <v>3276</v>
      </c>
      <c r="C685" s="21" t="s">
        <v>22717</v>
      </c>
      <c r="D685" s="31" t="s">
        <v>22721</v>
      </c>
      <c r="E685" s="23" t="s">
        <v>22661</v>
      </c>
      <c r="F685" s="24" t="s">
        <v>22657</v>
      </c>
      <c r="G685" s="25">
        <v>2</v>
      </c>
      <c r="H685" s="29"/>
      <c r="I685" s="30"/>
    </row>
    <row r="686" spans="1:9" ht="15.75" thickBot="1" x14ac:dyDescent="0.3">
      <c r="A686" s="43" t="s">
        <v>3277</v>
      </c>
      <c r="B686" s="21" t="s">
        <v>3278</v>
      </c>
      <c r="C686" s="21" t="s">
        <v>22717</v>
      </c>
      <c r="D686" s="31" t="s">
        <v>22721</v>
      </c>
      <c r="E686" s="23" t="s">
        <v>22661</v>
      </c>
      <c r="F686" s="24" t="s">
        <v>22657</v>
      </c>
      <c r="G686" s="25">
        <v>5</v>
      </c>
      <c r="H686" s="26"/>
      <c r="I686" s="27"/>
    </row>
    <row r="687" spans="1:9" ht="15.75" thickBot="1" x14ac:dyDescent="0.3">
      <c r="A687" s="43" t="s">
        <v>3279</v>
      </c>
      <c r="B687" s="21" t="s">
        <v>3280</v>
      </c>
      <c r="C687" s="21" t="s">
        <v>22717</v>
      </c>
      <c r="D687" s="31" t="s">
        <v>22721</v>
      </c>
      <c r="E687" s="23" t="s">
        <v>22656</v>
      </c>
      <c r="F687" s="24" t="s">
        <v>22657</v>
      </c>
      <c r="G687" s="25">
        <v>2</v>
      </c>
      <c r="H687" s="29"/>
      <c r="I687" s="30"/>
    </row>
    <row r="688" spans="1:9" ht="15.75" thickBot="1" x14ac:dyDescent="0.3">
      <c r="A688" s="43" t="s">
        <v>3281</v>
      </c>
      <c r="B688" s="21" t="s">
        <v>3282</v>
      </c>
      <c r="C688" s="21" t="s">
        <v>22717</v>
      </c>
      <c r="D688" s="31" t="s">
        <v>22721</v>
      </c>
      <c r="E688" s="23" t="s">
        <v>22656</v>
      </c>
      <c r="F688" s="24" t="s">
        <v>22657</v>
      </c>
      <c r="G688" s="25">
        <v>2</v>
      </c>
      <c r="H688" s="26"/>
      <c r="I688" s="27"/>
    </row>
    <row r="689" spans="1:9" ht="15.75" thickBot="1" x14ac:dyDescent="0.3">
      <c r="A689" s="43" t="s">
        <v>3283</v>
      </c>
      <c r="B689" s="21" t="s">
        <v>3284</v>
      </c>
      <c r="C689" s="21" t="s">
        <v>22717</v>
      </c>
      <c r="D689" s="31" t="s">
        <v>22721</v>
      </c>
      <c r="E689" s="23" t="s">
        <v>22656</v>
      </c>
      <c r="F689" s="24" t="s">
        <v>22657</v>
      </c>
      <c r="G689" s="25">
        <v>2</v>
      </c>
      <c r="H689" s="29"/>
      <c r="I689" s="30"/>
    </row>
    <row r="690" spans="1:9" ht="15.75" thickBot="1" x14ac:dyDescent="0.3">
      <c r="A690" s="43" t="s">
        <v>3285</v>
      </c>
      <c r="B690" s="21" t="s">
        <v>3286</v>
      </c>
      <c r="C690" s="21" t="s">
        <v>22717</v>
      </c>
      <c r="D690" s="31" t="s">
        <v>22721</v>
      </c>
      <c r="E690" s="23" t="s">
        <v>22656</v>
      </c>
      <c r="F690" s="24" t="s">
        <v>22657</v>
      </c>
      <c r="G690" s="25">
        <v>2</v>
      </c>
      <c r="H690" s="26"/>
      <c r="I690" s="27"/>
    </row>
    <row r="691" spans="1:9" ht="15.75" thickBot="1" x14ac:dyDescent="0.3">
      <c r="A691" s="43" t="s">
        <v>3287</v>
      </c>
      <c r="B691" s="21" t="s">
        <v>3288</v>
      </c>
      <c r="C691" s="21" t="s">
        <v>22717</v>
      </c>
      <c r="D691" s="31" t="s">
        <v>22721</v>
      </c>
      <c r="E691" s="23" t="s">
        <v>22656</v>
      </c>
      <c r="F691" s="24" t="s">
        <v>22657</v>
      </c>
      <c r="G691" s="25">
        <v>2</v>
      </c>
      <c r="H691" s="29"/>
      <c r="I691" s="30"/>
    </row>
    <row r="692" spans="1:9" ht="15.75" thickBot="1" x14ac:dyDescent="0.3">
      <c r="A692" s="43" t="s">
        <v>3289</v>
      </c>
      <c r="B692" s="21" t="s">
        <v>3290</v>
      </c>
      <c r="C692" s="21" t="s">
        <v>22717</v>
      </c>
      <c r="D692" s="31" t="s">
        <v>22721</v>
      </c>
      <c r="E692" s="23" t="s">
        <v>22656</v>
      </c>
      <c r="F692" s="24" t="s">
        <v>22657</v>
      </c>
      <c r="G692" s="25">
        <v>2</v>
      </c>
      <c r="H692" s="26"/>
      <c r="I692" s="27"/>
    </row>
    <row r="693" spans="1:9" ht="15.75" thickBot="1" x14ac:dyDescent="0.3">
      <c r="A693" s="43" t="s">
        <v>3291</v>
      </c>
      <c r="B693" s="21" t="s">
        <v>3292</v>
      </c>
      <c r="C693" s="21" t="s">
        <v>22717</v>
      </c>
      <c r="D693" s="31" t="s">
        <v>22721</v>
      </c>
      <c r="E693" s="23" t="s">
        <v>22656</v>
      </c>
      <c r="F693" s="24" t="s">
        <v>22657</v>
      </c>
      <c r="G693" s="25">
        <v>3</v>
      </c>
      <c r="H693" s="29"/>
      <c r="I693" s="30"/>
    </row>
    <row r="694" spans="1:9" ht="15.75" thickBot="1" x14ac:dyDescent="0.3">
      <c r="A694" s="43" t="s">
        <v>3293</v>
      </c>
      <c r="B694" s="21" t="s">
        <v>3294</v>
      </c>
      <c r="C694" s="21" t="s">
        <v>22717</v>
      </c>
      <c r="D694" s="31" t="s">
        <v>22724</v>
      </c>
      <c r="E694" s="23" t="s">
        <v>22665</v>
      </c>
      <c r="F694" s="24" t="s">
        <v>22657</v>
      </c>
      <c r="G694" s="25">
        <v>32</v>
      </c>
      <c r="H694" s="26"/>
      <c r="I694" s="27"/>
    </row>
    <row r="695" spans="1:9" ht="15.75" thickBot="1" x14ac:dyDescent="0.3">
      <c r="A695" s="43" t="s">
        <v>3295</v>
      </c>
      <c r="B695" s="21" t="s">
        <v>3296</v>
      </c>
      <c r="C695" s="21" t="s">
        <v>22725</v>
      </c>
      <c r="D695" s="22">
        <v>46047</v>
      </c>
      <c r="E695" s="23" t="s">
        <v>22656</v>
      </c>
      <c r="F695" s="24" t="s">
        <v>22657</v>
      </c>
      <c r="G695" s="25">
        <v>2</v>
      </c>
      <c r="H695" s="29"/>
      <c r="I695" s="30"/>
    </row>
    <row r="696" spans="1:9" ht="15.75" thickBot="1" x14ac:dyDescent="0.3">
      <c r="A696" s="43" t="s">
        <v>3297</v>
      </c>
      <c r="B696" s="21" t="s">
        <v>3298</v>
      </c>
      <c r="C696" s="21" t="s">
        <v>22725</v>
      </c>
      <c r="D696" s="22">
        <v>46047</v>
      </c>
      <c r="E696" s="23" t="s">
        <v>22656</v>
      </c>
      <c r="F696" s="24" t="s">
        <v>22657</v>
      </c>
      <c r="G696" s="25">
        <v>2</v>
      </c>
      <c r="H696" s="26"/>
      <c r="I696" s="27"/>
    </row>
    <row r="697" spans="1:9" ht="15.75" thickBot="1" x14ac:dyDescent="0.3">
      <c r="A697" s="43" t="s">
        <v>3299</v>
      </c>
      <c r="B697" s="21" t="s">
        <v>3300</v>
      </c>
      <c r="C697" s="21" t="s">
        <v>22725</v>
      </c>
      <c r="D697" s="22">
        <v>46047</v>
      </c>
      <c r="E697" s="23" t="s">
        <v>22656</v>
      </c>
      <c r="F697" s="24" t="s">
        <v>22657</v>
      </c>
      <c r="G697" s="25">
        <v>2</v>
      </c>
      <c r="H697" s="29"/>
      <c r="I697" s="30"/>
    </row>
    <row r="698" spans="1:9" ht="15.75" thickBot="1" x14ac:dyDescent="0.3">
      <c r="A698" s="43" t="s">
        <v>3301</v>
      </c>
      <c r="B698" s="21" t="s">
        <v>3302</v>
      </c>
      <c r="C698" s="21" t="s">
        <v>22725</v>
      </c>
      <c r="D698" s="22">
        <v>46047</v>
      </c>
      <c r="E698" s="23" t="s">
        <v>22656</v>
      </c>
      <c r="F698" s="24" t="s">
        <v>22657</v>
      </c>
      <c r="G698" s="25">
        <v>2</v>
      </c>
      <c r="H698" s="26"/>
      <c r="I698" s="27"/>
    </row>
    <row r="699" spans="1:9" ht="15.75" thickBot="1" x14ac:dyDescent="0.3">
      <c r="A699" s="43" t="s">
        <v>3303</v>
      </c>
      <c r="B699" s="21" t="s">
        <v>3304</v>
      </c>
      <c r="C699" s="21" t="s">
        <v>22725</v>
      </c>
      <c r="D699" s="22">
        <v>46047</v>
      </c>
      <c r="E699" s="23" t="s">
        <v>22656</v>
      </c>
      <c r="F699" s="24" t="s">
        <v>22657</v>
      </c>
      <c r="G699" s="25">
        <v>2</v>
      </c>
      <c r="H699" s="29"/>
      <c r="I699" s="30"/>
    </row>
    <row r="700" spans="1:9" ht="15.75" thickBot="1" x14ac:dyDescent="0.3">
      <c r="A700" s="43" t="s">
        <v>3305</v>
      </c>
      <c r="B700" s="21" t="s">
        <v>3306</v>
      </c>
      <c r="C700" s="21" t="s">
        <v>22725</v>
      </c>
      <c r="D700" s="22">
        <v>46047</v>
      </c>
      <c r="E700" s="23" t="s">
        <v>22656</v>
      </c>
      <c r="F700" s="24" t="s">
        <v>22657</v>
      </c>
      <c r="G700" s="25">
        <v>2</v>
      </c>
      <c r="H700" s="26"/>
      <c r="I700" s="27"/>
    </row>
    <row r="701" spans="1:9" ht="15.75" thickBot="1" x14ac:dyDescent="0.3">
      <c r="A701" s="43" t="s">
        <v>3307</v>
      </c>
      <c r="B701" s="21" t="s">
        <v>3308</v>
      </c>
      <c r="C701" s="21" t="s">
        <v>22725</v>
      </c>
      <c r="D701" s="22">
        <v>46047</v>
      </c>
      <c r="E701" s="23" t="s">
        <v>22656</v>
      </c>
      <c r="F701" s="24" t="s">
        <v>22657</v>
      </c>
      <c r="G701" s="25">
        <v>2</v>
      </c>
      <c r="H701" s="29"/>
      <c r="I701" s="30"/>
    </row>
    <row r="702" spans="1:9" ht="15.75" thickBot="1" x14ac:dyDescent="0.3">
      <c r="A702" s="43" t="s">
        <v>3309</v>
      </c>
      <c r="B702" s="21" t="s">
        <v>3310</v>
      </c>
      <c r="C702" s="21" t="s">
        <v>22725</v>
      </c>
      <c r="D702" s="22">
        <v>46047</v>
      </c>
      <c r="E702" s="23" t="s">
        <v>22656</v>
      </c>
      <c r="F702" s="24" t="s">
        <v>22657</v>
      </c>
      <c r="G702" s="25">
        <v>2</v>
      </c>
      <c r="H702" s="26"/>
      <c r="I702" s="27"/>
    </row>
    <row r="703" spans="1:9" ht="15.75" thickBot="1" x14ac:dyDescent="0.3">
      <c r="A703" s="43" t="s">
        <v>3311</v>
      </c>
      <c r="B703" s="21" t="s">
        <v>3312</v>
      </c>
      <c r="C703" s="21" t="s">
        <v>22725</v>
      </c>
      <c r="D703" s="22">
        <v>46047</v>
      </c>
      <c r="E703" s="23" t="s">
        <v>22656</v>
      </c>
      <c r="F703" s="24" t="s">
        <v>22657</v>
      </c>
      <c r="G703" s="25">
        <v>2</v>
      </c>
      <c r="H703" s="29"/>
      <c r="I703" s="30"/>
    </row>
    <row r="704" spans="1:9" ht="15.75" thickBot="1" x14ac:dyDescent="0.3">
      <c r="A704" s="43" t="s">
        <v>3313</v>
      </c>
      <c r="B704" s="21" t="s">
        <v>3314</v>
      </c>
      <c r="C704" s="21" t="s">
        <v>22725</v>
      </c>
      <c r="D704" s="22">
        <v>46047</v>
      </c>
      <c r="E704" s="23" t="s">
        <v>22656</v>
      </c>
      <c r="F704" s="24" t="s">
        <v>22657</v>
      </c>
      <c r="G704" s="25">
        <v>2</v>
      </c>
      <c r="H704" s="26"/>
      <c r="I704" s="27"/>
    </row>
    <row r="705" spans="1:9" ht="15.75" thickBot="1" x14ac:dyDescent="0.3">
      <c r="A705" s="43" t="s">
        <v>3315</v>
      </c>
      <c r="B705" s="21" t="s">
        <v>3316</v>
      </c>
      <c r="C705" s="21" t="s">
        <v>22725</v>
      </c>
      <c r="D705" s="22">
        <v>46047</v>
      </c>
      <c r="E705" s="23" t="s">
        <v>22656</v>
      </c>
      <c r="F705" s="24" t="s">
        <v>22657</v>
      </c>
      <c r="G705" s="25">
        <v>2</v>
      </c>
      <c r="H705" s="29"/>
      <c r="I705" s="30"/>
    </row>
    <row r="706" spans="1:9" ht="15.75" thickBot="1" x14ac:dyDescent="0.3">
      <c r="A706" s="43" t="s">
        <v>3317</v>
      </c>
      <c r="B706" s="21" t="s">
        <v>3318</v>
      </c>
      <c r="C706" s="21" t="s">
        <v>22725</v>
      </c>
      <c r="D706" s="22">
        <v>46047</v>
      </c>
      <c r="E706" s="23" t="s">
        <v>22656</v>
      </c>
      <c r="F706" s="24" t="s">
        <v>22657</v>
      </c>
      <c r="G706" s="25">
        <v>2</v>
      </c>
      <c r="H706" s="26"/>
      <c r="I706" s="27"/>
    </row>
    <row r="707" spans="1:9" ht="15.75" thickBot="1" x14ac:dyDescent="0.3">
      <c r="A707" s="43" t="s">
        <v>3319</v>
      </c>
      <c r="B707" s="21" t="s">
        <v>3320</v>
      </c>
      <c r="C707" s="21" t="s">
        <v>22725</v>
      </c>
      <c r="D707" s="22">
        <v>46047</v>
      </c>
      <c r="E707" s="23" t="s">
        <v>22656</v>
      </c>
      <c r="F707" s="24" t="s">
        <v>22657</v>
      </c>
      <c r="G707" s="25">
        <v>9</v>
      </c>
      <c r="H707" s="29"/>
      <c r="I707" s="30"/>
    </row>
    <row r="708" spans="1:9" ht="15.75" thickBot="1" x14ac:dyDescent="0.3">
      <c r="A708" s="43" t="s">
        <v>3321</v>
      </c>
      <c r="B708" s="21" t="s">
        <v>3322</v>
      </c>
      <c r="C708" s="21" t="s">
        <v>22725</v>
      </c>
      <c r="D708" s="22">
        <v>46047</v>
      </c>
      <c r="E708" s="23" t="s">
        <v>22656</v>
      </c>
      <c r="F708" s="24" t="s">
        <v>22657</v>
      </c>
      <c r="G708" s="25">
        <v>9</v>
      </c>
      <c r="H708" s="26"/>
      <c r="I708" s="27"/>
    </row>
    <row r="709" spans="1:9" ht="15.75" thickBot="1" x14ac:dyDescent="0.3">
      <c r="A709" s="43" t="s">
        <v>3323</v>
      </c>
      <c r="B709" s="21" t="s">
        <v>3324</v>
      </c>
      <c r="C709" s="21" t="s">
        <v>22717</v>
      </c>
      <c r="D709" s="31" t="s">
        <v>22721</v>
      </c>
      <c r="E709" s="23" t="s">
        <v>22656</v>
      </c>
      <c r="F709" s="24" t="s">
        <v>22657</v>
      </c>
      <c r="G709" s="25">
        <v>2</v>
      </c>
      <c r="H709" s="29"/>
      <c r="I709" s="30"/>
    </row>
    <row r="710" spans="1:9" ht="15.75" thickBot="1" x14ac:dyDescent="0.3">
      <c r="A710" s="43" t="s">
        <v>3325</v>
      </c>
      <c r="B710" s="21" t="s">
        <v>3326</v>
      </c>
      <c r="C710" s="21" t="s">
        <v>22717</v>
      </c>
      <c r="D710" s="31" t="s">
        <v>22720</v>
      </c>
      <c r="E710" s="23" t="s">
        <v>22656</v>
      </c>
      <c r="F710" s="24" t="s">
        <v>22657</v>
      </c>
      <c r="G710" s="25">
        <v>5</v>
      </c>
      <c r="H710" s="26"/>
      <c r="I710" s="27"/>
    </row>
    <row r="711" spans="1:9" ht="15.75" thickBot="1" x14ac:dyDescent="0.3">
      <c r="A711" s="43" t="s">
        <v>3327</v>
      </c>
      <c r="B711" s="21" t="s">
        <v>3328</v>
      </c>
      <c r="C711" s="21" t="s">
        <v>22717</v>
      </c>
      <c r="D711" s="31" t="s">
        <v>22720</v>
      </c>
      <c r="E711" s="23" t="s">
        <v>22658</v>
      </c>
      <c r="F711" s="24" t="s">
        <v>22657</v>
      </c>
      <c r="G711" s="25">
        <v>2</v>
      </c>
      <c r="H711" s="29"/>
      <c r="I711" s="30"/>
    </row>
    <row r="712" spans="1:9" ht="15.75" thickBot="1" x14ac:dyDescent="0.3">
      <c r="A712" s="43" t="s">
        <v>3329</v>
      </c>
      <c r="B712" s="21" t="s">
        <v>3330</v>
      </c>
      <c r="C712" s="21" t="s">
        <v>22717</v>
      </c>
      <c r="D712" s="31" t="s">
        <v>22720</v>
      </c>
      <c r="E712" s="23" t="s">
        <v>22656</v>
      </c>
      <c r="F712" s="24" t="s">
        <v>22657</v>
      </c>
      <c r="G712" s="25">
        <v>5</v>
      </c>
      <c r="H712" s="26"/>
      <c r="I712" s="27"/>
    </row>
    <row r="713" spans="1:9" ht="15.75" thickBot="1" x14ac:dyDescent="0.3">
      <c r="A713" s="43" t="s">
        <v>1651</v>
      </c>
      <c r="B713" s="21" t="s">
        <v>1652</v>
      </c>
      <c r="C713" s="21" t="s">
        <v>22717</v>
      </c>
      <c r="D713" s="31" t="s">
        <v>22719</v>
      </c>
      <c r="E713" s="23" t="s">
        <v>22661</v>
      </c>
      <c r="F713" s="24" t="s">
        <v>22657</v>
      </c>
      <c r="G713" s="25">
        <v>24</v>
      </c>
      <c r="H713" s="29"/>
      <c r="I713" s="30"/>
    </row>
    <row r="714" spans="1:9" ht="15.75" thickBot="1" x14ac:dyDescent="0.3">
      <c r="A714" s="43" t="s">
        <v>1035</v>
      </c>
      <c r="B714" s="21" t="s">
        <v>1036</v>
      </c>
      <c r="C714" s="21" t="s">
        <v>22717</v>
      </c>
      <c r="D714" s="31" t="s">
        <v>22719</v>
      </c>
      <c r="E714" s="23" t="s">
        <v>22665</v>
      </c>
      <c r="F714" s="24" t="s">
        <v>22657</v>
      </c>
      <c r="G714" s="25">
        <v>24</v>
      </c>
      <c r="H714" s="34">
        <v>24</v>
      </c>
      <c r="I714" s="35">
        <v>40</v>
      </c>
    </row>
    <row r="715" spans="1:9" ht="15.75" thickBot="1" x14ac:dyDescent="0.3">
      <c r="A715" s="43" t="s">
        <v>1641</v>
      </c>
      <c r="B715" s="21" t="s">
        <v>1642</v>
      </c>
      <c r="C715" s="21" t="s">
        <v>22717</v>
      </c>
      <c r="D715" s="31" t="s">
        <v>22719</v>
      </c>
      <c r="E715" s="23" t="s">
        <v>22665</v>
      </c>
      <c r="F715" s="24" t="s">
        <v>22657</v>
      </c>
      <c r="G715" s="25">
        <v>24</v>
      </c>
      <c r="H715" s="32">
        <v>24</v>
      </c>
      <c r="I715" s="33">
        <v>36</v>
      </c>
    </row>
    <row r="716" spans="1:9" ht="15.75" thickBot="1" x14ac:dyDescent="0.3">
      <c r="A716" s="43" t="s">
        <v>1701</v>
      </c>
      <c r="B716" s="21" t="s">
        <v>1702</v>
      </c>
      <c r="C716" s="21" t="s">
        <v>22717</v>
      </c>
      <c r="D716" s="31" t="s">
        <v>22719</v>
      </c>
      <c r="E716" s="23" t="s">
        <v>22665</v>
      </c>
      <c r="F716" s="24" t="s">
        <v>22657</v>
      </c>
      <c r="G716" s="25">
        <v>24</v>
      </c>
      <c r="H716" s="34">
        <v>24</v>
      </c>
      <c r="I716" s="35">
        <v>36</v>
      </c>
    </row>
    <row r="717" spans="1:9" ht="15.75" thickBot="1" x14ac:dyDescent="0.3">
      <c r="A717" s="43" t="s">
        <v>1387</v>
      </c>
      <c r="B717" s="21" t="s">
        <v>1388</v>
      </c>
      <c r="C717" s="21" t="s">
        <v>22717</v>
      </c>
      <c r="D717" s="31" t="s">
        <v>22719</v>
      </c>
      <c r="E717" s="23" t="s">
        <v>22665</v>
      </c>
      <c r="F717" s="24" t="s">
        <v>22657</v>
      </c>
      <c r="G717" s="25">
        <v>24</v>
      </c>
      <c r="H717" s="32">
        <v>24</v>
      </c>
      <c r="I717" s="33">
        <v>36</v>
      </c>
    </row>
    <row r="718" spans="1:9" ht="15.75" thickBot="1" x14ac:dyDescent="0.3">
      <c r="A718" s="43" t="s">
        <v>3331</v>
      </c>
      <c r="B718" s="21" t="s">
        <v>3332</v>
      </c>
      <c r="C718" s="21" t="s">
        <v>22682</v>
      </c>
      <c r="D718" s="22">
        <v>46034</v>
      </c>
      <c r="E718" s="23" t="s">
        <v>22656</v>
      </c>
      <c r="F718" s="24" t="s">
        <v>22657</v>
      </c>
      <c r="G718" s="25">
        <v>4</v>
      </c>
      <c r="H718" s="26"/>
      <c r="I718" s="27"/>
    </row>
    <row r="719" spans="1:9" ht="15.75" thickBot="1" x14ac:dyDescent="0.3">
      <c r="A719" s="43" t="s">
        <v>3333</v>
      </c>
      <c r="B719" s="21" t="s">
        <v>3334</v>
      </c>
      <c r="C719" s="21" t="s">
        <v>22682</v>
      </c>
      <c r="D719" s="22">
        <v>46034</v>
      </c>
      <c r="E719" s="23" t="s">
        <v>22658</v>
      </c>
      <c r="F719" s="24" t="s">
        <v>22657</v>
      </c>
      <c r="G719" s="25">
        <v>4</v>
      </c>
      <c r="H719" s="29"/>
      <c r="I719" s="30"/>
    </row>
    <row r="720" spans="1:9" ht="15.75" thickBot="1" x14ac:dyDescent="0.3">
      <c r="A720" s="43" t="s">
        <v>3335</v>
      </c>
      <c r="B720" s="21" t="s">
        <v>3336</v>
      </c>
      <c r="C720" s="21" t="s">
        <v>22655</v>
      </c>
      <c r="D720" s="31" t="s">
        <v>22669</v>
      </c>
      <c r="E720" s="23" t="s">
        <v>22656</v>
      </c>
      <c r="F720" s="24" t="s">
        <v>22657</v>
      </c>
      <c r="G720" s="25">
        <v>4</v>
      </c>
      <c r="H720" s="26"/>
      <c r="I720" s="27"/>
    </row>
    <row r="721" spans="1:9" ht="15.75" thickBot="1" x14ac:dyDescent="0.3">
      <c r="A721" s="43" t="s">
        <v>3337</v>
      </c>
      <c r="B721" s="21" t="s">
        <v>3338</v>
      </c>
      <c r="C721" s="21" t="s">
        <v>22667</v>
      </c>
      <c r="D721" s="31" t="s">
        <v>22713</v>
      </c>
      <c r="E721" s="23" t="s">
        <v>22656</v>
      </c>
      <c r="F721" s="24" t="s">
        <v>22657</v>
      </c>
      <c r="G721" s="25">
        <v>4</v>
      </c>
      <c r="H721" s="29"/>
      <c r="I721" s="30"/>
    </row>
    <row r="722" spans="1:9" ht="15.75" thickBot="1" x14ac:dyDescent="0.3">
      <c r="A722" s="43" t="s">
        <v>3339</v>
      </c>
      <c r="B722" s="21" t="s">
        <v>3340</v>
      </c>
      <c r="C722" s="21" t="s">
        <v>22655</v>
      </c>
      <c r="D722" s="31" t="s">
        <v>22683</v>
      </c>
      <c r="E722" s="23" t="s">
        <v>22656</v>
      </c>
      <c r="F722" s="24" t="s">
        <v>22657</v>
      </c>
      <c r="G722" s="25">
        <v>4</v>
      </c>
      <c r="H722" s="26"/>
      <c r="I722" s="27"/>
    </row>
    <row r="723" spans="1:9" ht="15.75" thickBot="1" x14ac:dyDescent="0.3">
      <c r="A723" s="43" t="s">
        <v>3341</v>
      </c>
      <c r="B723" s="21" t="s">
        <v>3342</v>
      </c>
      <c r="C723" s="21" t="s">
        <v>22655</v>
      </c>
      <c r="D723" s="22">
        <v>46024</v>
      </c>
      <c r="E723" s="23" t="s">
        <v>22656</v>
      </c>
      <c r="F723" s="24" t="s">
        <v>22657</v>
      </c>
      <c r="G723" s="25">
        <v>2</v>
      </c>
      <c r="H723" s="29"/>
      <c r="I723" s="30"/>
    </row>
    <row r="724" spans="1:9" ht="15.75" thickBot="1" x14ac:dyDescent="0.3">
      <c r="A724" s="43" t="s">
        <v>3343</v>
      </c>
      <c r="B724" s="21" t="s">
        <v>3344</v>
      </c>
      <c r="C724" s="21" t="s">
        <v>22682</v>
      </c>
      <c r="D724" s="22">
        <v>46034</v>
      </c>
      <c r="E724" s="23" t="s">
        <v>22658</v>
      </c>
      <c r="F724" s="24" t="s">
        <v>22657</v>
      </c>
      <c r="G724" s="25">
        <v>2</v>
      </c>
      <c r="H724" s="26"/>
      <c r="I724" s="27"/>
    </row>
    <row r="725" spans="1:9" ht="15.75" thickBot="1" x14ac:dyDescent="0.3">
      <c r="A725" s="43" t="s">
        <v>3345</v>
      </c>
      <c r="B725" s="21" t="s">
        <v>3346</v>
      </c>
      <c r="C725" s="21" t="s">
        <v>22682</v>
      </c>
      <c r="D725" s="22">
        <v>46034</v>
      </c>
      <c r="E725" s="23" t="s">
        <v>22658</v>
      </c>
      <c r="F725" s="24" t="s">
        <v>22657</v>
      </c>
      <c r="G725" s="25">
        <v>2</v>
      </c>
      <c r="H725" s="29"/>
      <c r="I725" s="30"/>
    </row>
    <row r="726" spans="1:9" ht="15.75" thickBot="1" x14ac:dyDescent="0.3">
      <c r="A726" s="43" t="s">
        <v>3347</v>
      </c>
      <c r="B726" s="21" t="s">
        <v>3348</v>
      </c>
      <c r="C726" s="21" t="s">
        <v>22682</v>
      </c>
      <c r="D726" s="22">
        <v>46034</v>
      </c>
      <c r="E726" s="23" t="s">
        <v>22658</v>
      </c>
      <c r="F726" s="24" t="s">
        <v>22657</v>
      </c>
      <c r="G726" s="25">
        <v>2</v>
      </c>
      <c r="H726" s="26"/>
      <c r="I726" s="27"/>
    </row>
    <row r="727" spans="1:9" ht="15.75" thickBot="1" x14ac:dyDescent="0.3">
      <c r="A727" s="43" t="s">
        <v>3349</v>
      </c>
      <c r="B727" s="21" t="s">
        <v>3350</v>
      </c>
      <c r="C727" s="21" t="s">
        <v>22682</v>
      </c>
      <c r="D727" s="22">
        <v>46034</v>
      </c>
      <c r="E727" s="23" t="s">
        <v>22658</v>
      </c>
      <c r="F727" s="24" t="s">
        <v>22657</v>
      </c>
      <c r="G727" s="25">
        <v>2</v>
      </c>
      <c r="H727" s="29"/>
      <c r="I727" s="30"/>
    </row>
    <row r="728" spans="1:9" ht="15.75" thickBot="1" x14ac:dyDescent="0.3">
      <c r="A728" s="43" t="s">
        <v>3351</v>
      </c>
      <c r="B728" s="21" t="s">
        <v>3352</v>
      </c>
      <c r="C728" s="21" t="s">
        <v>22682</v>
      </c>
      <c r="D728" s="22">
        <v>46034</v>
      </c>
      <c r="E728" s="23" t="s">
        <v>22658</v>
      </c>
      <c r="F728" s="24" t="s">
        <v>22657</v>
      </c>
      <c r="G728" s="25">
        <v>2</v>
      </c>
      <c r="H728" s="26"/>
      <c r="I728" s="27"/>
    </row>
    <row r="729" spans="1:9" ht="15.75" thickBot="1" x14ac:dyDescent="0.3">
      <c r="A729" s="43" t="s">
        <v>3353</v>
      </c>
      <c r="B729" s="21" t="s">
        <v>3354</v>
      </c>
      <c r="C729" s="21" t="s">
        <v>22682</v>
      </c>
      <c r="D729" s="22">
        <v>46034</v>
      </c>
      <c r="E729" s="23" t="s">
        <v>22658</v>
      </c>
      <c r="F729" s="24" t="s">
        <v>22657</v>
      </c>
      <c r="G729" s="25">
        <v>2</v>
      </c>
      <c r="H729" s="29"/>
      <c r="I729" s="30"/>
    </row>
    <row r="730" spans="1:9" ht="15.75" thickBot="1" x14ac:dyDescent="0.3">
      <c r="A730" s="43" t="s">
        <v>3355</v>
      </c>
      <c r="B730" s="21" t="s">
        <v>3356</v>
      </c>
      <c r="C730" s="21" t="s">
        <v>22682</v>
      </c>
      <c r="D730" s="22">
        <v>46034</v>
      </c>
      <c r="E730" s="23" t="s">
        <v>22658</v>
      </c>
      <c r="F730" s="24" t="s">
        <v>22657</v>
      </c>
      <c r="G730" s="25">
        <v>2</v>
      </c>
      <c r="H730" s="26"/>
      <c r="I730" s="27"/>
    </row>
    <row r="731" spans="1:9" ht="15.75" thickBot="1" x14ac:dyDescent="0.3">
      <c r="A731" s="43" t="s">
        <v>3357</v>
      </c>
      <c r="B731" s="21" t="s">
        <v>3358</v>
      </c>
      <c r="C731" s="21" t="s">
        <v>22682</v>
      </c>
      <c r="D731" s="22">
        <v>46034</v>
      </c>
      <c r="E731" s="23" t="s">
        <v>22658</v>
      </c>
      <c r="F731" s="24" t="s">
        <v>22657</v>
      </c>
      <c r="G731" s="25">
        <v>2</v>
      </c>
      <c r="H731" s="29"/>
      <c r="I731" s="30"/>
    </row>
    <row r="732" spans="1:9" ht="15.75" thickBot="1" x14ac:dyDescent="0.3">
      <c r="A732" s="43" t="s">
        <v>3359</v>
      </c>
      <c r="B732" s="21" t="s">
        <v>3360</v>
      </c>
      <c r="C732" s="21" t="s">
        <v>22655</v>
      </c>
      <c r="D732" s="31" t="s">
        <v>22688</v>
      </c>
      <c r="E732" s="23" t="s">
        <v>22656</v>
      </c>
      <c r="F732" s="24" t="s">
        <v>22657</v>
      </c>
      <c r="G732" s="25">
        <v>4</v>
      </c>
      <c r="H732" s="26"/>
      <c r="I732" s="27"/>
    </row>
    <row r="733" spans="1:9" ht="15.75" thickBot="1" x14ac:dyDescent="0.3">
      <c r="A733" s="43" t="s">
        <v>1495</v>
      </c>
      <c r="B733" s="21" t="s">
        <v>1496</v>
      </c>
      <c r="C733" s="21" t="s">
        <v>22655</v>
      </c>
      <c r="D733" s="31" t="s">
        <v>22688</v>
      </c>
      <c r="E733" s="23" t="s">
        <v>22656</v>
      </c>
      <c r="F733" s="24" t="s">
        <v>22657</v>
      </c>
      <c r="G733" s="25">
        <v>4</v>
      </c>
      <c r="H733" s="29"/>
      <c r="I733" s="30"/>
    </row>
    <row r="734" spans="1:9" ht="15.75" thickBot="1" x14ac:dyDescent="0.3">
      <c r="A734" s="43" t="s">
        <v>3361</v>
      </c>
      <c r="B734" s="21" t="s">
        <v>3362</v>
      </c>
      <c r="C734" s="21" t="s">
        <v>22682</v>
      </c>
      <c r="D734" s="22">
        <v>46034</v>
      </c>
      <c r="E734" s="23" t="s">
        <v>22658</v>
      </c>
      <c r="F734" s="24" t="s">
        <v>22657</v>
      </c>
      <c r="G734" s="25">
        <v>4</v>
      </c>
      <c r="H734" s="26"/>
      <c r="I734" s="27"/>
    </row>
    <row r="735" spans="1:9" ht="15.75" thickBot="1" x14ac:dyDescent="0.3">
      <c r="A735" s="43" t="s">
        <v>3363</v>
      </c>
      <c r="B735" s="21" t="s">
        <v>3364</v>
      </c>
      <c r="C735" s="21" t="s">
        <v>22682</v>
      </c>
      <c r="D735" s="22">
        <v>46034</v>
      </c>
      <c r="E735" s="23" t="s">
        <v>22658</v>
      </c>
      <c r="F735" s="24" t="s">
        <v>22657</v>
      </c>
      <c r="G735" s="25">
        <v>4</v>
      </c>
      <c r="H735" s="29"/>
      <c r="I735" s="30"/>
    </row>
    <row r="736" spans="1:9" ht="15.75" thickBot="1" x14ac:dyDescent="0.3">
      <c r="A736" s="43" t="s">
        <v>3365</v>
      </c>
      <c r="B736" s="21" t="s">
        <v>3366</v>
      </c>
      <c r="C736" s="21" t="s">
        <v>22682</v>
      </c>
      <c r="D736" s="22">
        <v>46034</v>
      </c>
      <c r="E736" s="23" t="s">
        <v>22658</v>
      </c>
      <c r="F736" s="24" t="s">
        <v>22657</v>
      </c>
      <c r="G736" s="25">
        <v>4</v>
      </c>
      <c r="H736" s="26"/>
      <c r="I736" s="27"/>
    </row>
    <row r="737" spans="1:9" ht="15.75" thickBot="1" x14ac:dyDescent="0.3">
      <c r="A737" s="43" t="s">
        <v>3367</v>
      </c>
      <c r="B737" s="21" t="s">
        <v>3368</v>
      </c>
      <c r="C737" s="21" t="s">
        <v>22663</v>
      </c>
      <c r="D737" s="31">
        <v>1</v>
      </c>
      <c r="E737" s="23" t="s">
        <v>22658</v>
      </c>
      <c r="F737" s="24" t="s">
        <v>22657</v>
      </c>
      <c r="G737" s="25">
        <v>2</v>
      </c>
      <c r="H737" s="29"/>
      <c r="I737" s="30"/>
    </row>
    <row r="738" spans="1:9" ht="15.75" thickBot="1" x14ac:dyDescent="0.3">
      <c r="A738" s="43" t="s">
        <v>3369</v>
      </c>
      <c r="B738" s="21" t="s">
        <v>3370</v>
      </c>
      <c r="C738" s="21" t="s">
        <v>22655</v>
      </c>
      <c r="D738" s="22">
        <v>46034</v>
      </c>
      <c r="E738" s="23" t="s">
        <v>22656</v>
      </c>
      <c r="F738" s="24" t="s">
        <v>22657</v>
      </c>
      <c r="G738" s="25">
        <v>4</v>
      </c>
      <c r="H738" s="26"/>
      <c r="I738" s="27"/>
    </row>
    <row r="739" spans="1:9" ht="15.75" thickBot="1" x14ac:dyDescent="0.3">
      <c r="A739" s="43" t="s">
        <v>3371</v>
      </c>
      <c r="B739" s="21" t="s">
        <v>3372</v>
      </c>
      <c r="C739" s="21" t="s">
        <v>22655</v>
      </c>
      <c r="D739" s="31" t="s">
        <v>22726</v>
      </c>
      <c r="E739" s="23" t="s">
        <v>22656</v>
      </c>
      <c r="F739" s="24" t="s">
        <v>22657</v>
      </c>
      <c r="G739" s="25">
        <v>5</v>
      </c>
      <c r="H739" s="29"/>
      <c r="I739" s="30"/>
    </row>
    <row r="740" spans="1:9" ht="15.75" thickBot="1" x14ac:dyDescent="0.3">
      <c r="A740" s="43" t="s">
        <v>890</v>
      </c>
      <c r="B740" s="21" t="s">
        <v>891</v>
      </c>
      <c r="C740" s="21" t="s">
        <v>22655</v>
      </c>
      <c r="D740" s="31" t="s">
        <v>22660</v>
      </c>
      <c r="E740" s="23" t="s">
        <v>22662</v>
      </c>
      <c r="F740" s="24" t="s">
        <v>22657</v>
      </c>
      <c r="G740" s="25">
        <v>48</v>
      </c>
      <c r="H740" s="34">
        <v>48</v>
      </c>
      <c r="I740" s="35">
        <v>148</v>
      </c>
    </row>
    <row r="741" spans="1:9" ht="15.75" thickBot="1" x14ac:dyDescent="0.3">
      <c r="A741" s="43" t="s">
        <v>3373</v>
      </c>
      <c r="B741" s="21" t="s">
        <v>3374</v>
      </c>
      <c r="C741" s="21" t="s">
        <v>22663</v>
      </c>
      <c r="D741" s="31">
        <v>1</v>
      </c>
      <c r="E741" s="23" t="s">
        <v>22658</v>
      </c>
      <c r="F741" s="24" t="s">
        <v>22657</v>
      </c>
      <c r="G741" s="25">
        <v>1</v>
      </c>
      <c r="H741" s="29"/>
      <c r="I741" s="30"/>
    </row>
    <row r="742" spans="1:9" ht="15.75" thickBot="1" x14ac:dyDescent="0.3">
      <c r="A742" s="43" t="s">
        <v>3375</v>
      </c>
      <c r="B742" s="21" t="s">
        <v>3376</v>
      </c>
      <c r="C742" s="21" t="s">
        <v>22655</v>
      </c>
      <c r="D742" s="22">
        <v>46034</v>
      </c>
      <c r="E742" s="23" t="s">
        <v>22658</v>
      </c>
      <c r="F742" s="24" t="s">
        <v>22657</v>
      </c>
      <c r="G742" s="25">
        <v>4</v>
      </c>
      <c r="H742" s="26"/>
      <c r="I742" s="27"/>
    </row>
    <row r="743" spans="1:9" ht="15.75" thickBot="1" x14ac:dyDescent="0.3">
      <c r="A743" s="43" t="s">
        <v>3377</v>
      </c>
      <c r="B743" s="21" t="s">
        <v>3378</v>
      </c>
      <c r="C743" s="21" t="s">
        <v>22655</v>
      </c>
      <c r="D743" s="22">
        <v>46034</v>
      </c>
      <c r="E743" s="23" t="s">
        <v>22658</v>
      </c>
      <c r="F743" s="24" t="s">
        <v>22657</v>
      </c>
      <c r="G743" s="25">
        <v>4</v>
      </c>
      <c r="H743" s="29"/>
      <c r="I743" s="30"/>
    </row>
    <row r="744" spans="1:9" ht="15.75" thickBot="1" x14ac:dyDescent="0.3">
      <c r="A744" s="43" t="s">
        <v>3380</v>
      </c>
      <c r="B744" s="21" t="s">
        <v>3381</v>
      </c>
      <c r="C744" s="21" t="s">
        <v>22663</v>
      </c>
      <c r="D744" s="31">
        <v>1</v>
      </c>
      <c r="E744" s="23" t="s">
        <v>22656</v>
      </c>
      <c r="F744" s="24" t="s">
        <v>22657</v>
      </c>
      <c r="G744" s="25">
        <v>5</v>
      </c>
      <c r="H744" s="26"/>
      <c r="I744" s="27"/>
    </row>
    <row r="745" spans="1:9" ht="15.75" thickBot="1" x14ac:dyDescent="0.3">
      <c r="A745" s="43" t="s">
        <v>3382</v>
      </c>
      <c r="B745" s="21" t="s">
        <v>3383</v>
      </c>
      <c r="C745" s="21" t="s">
        <v>22698</v>
      </c>
      <c r="D745" s="31">
        <v>1</v>
      </c>
      <c r="E745" s="23" t="s">
        <v>22656</v>
      </c>
      <c r="F745" s="24" t="s">
        <v>22657</v>
      </c>
      <c r="G745" s="25">
        <v>3</v>
      </c>
      <c r="H745" s="29"/>
      <c r="I745" s="30"/>
    </row>
    <row r="746" spans="1:9" ht="15.75" thickBot="1" x14ac:dyDescent="0.3">
      <c r="A746" s="43" t="s">
        <v>3384</v>
      </c>
      <c r="B746" s="21" t="s">
        <v>3385</v>
      </c>
      <c r="C746" s="21" t="s">
        <v>22663</v>
      </c>
      <c r="D746" s="31">
        <v>1</v>
      </c>
      <c r="E746" s="23" t="s">
        <v>22656</v>
      </c>
      <c r="F746" s="24" t="s">
        <v>22657</v>
      </c>
      <c r="G746" s="25">
        <v>5</v>
      </c>
      <c r="H746" s="26"/>
      <c r="I746" s="27"/>
    </row>
    <row r="747" spans="1:9" ht="15.75" thickBot="1" x14ac:dyDescent="0.3">
      <c r="A747" s="43" t="s">
        <v>1365</v>
      </c>
      <c r="B747" s="21" t="s">
        <v>3379</v>
      </c>
      <c r="C747" s="21" t="s">
        <v>22663</v>
      </c>
      <c r="D747" s="31">
        <v>1</v>
      </c>
      <c r="E747" s="23" t="s">
        <v>22656</v>
      </c>
      <c r="F747" s="24" t="s">
        <v>22657</v>
      </c>
      <c r="G747" s="25">
        <v>1</v>
      </c>
      <c r="H747" s="32">
        <v>1</v>
      </c>
      <c r="I747" s="33">
        <v>2</v>
      </c>
    </row>
    <row r="748" spans="1:9" ht="15.75" thickBot="1" x14ac:dyDescent="0.3">
      <c r="A748" s="43" t="s">
        <v>3386</v>
      </c>
      <c r="B748" s="21" t="s">
        <v>3387</v>
      </c>
      <c r="C748" s="21" t="s">
        <v>22663</v>
      </c>
      <c r="D748" s="31">
        <v>1</v>
      </c>
      <c r="E748" s="23" t="s">
        <v>22656</v>
      </c>
      <c r="F748" s="24" t="s">
        <v>22657</v>
      </c>
      <c r="G748" s="25">
        <v>4</v>
      </c>
      <c r="H748" s="26"/>
      <c r="I748" s="27"/>
    </row>
    <row r="749" spans="1:9" ht="15.75" thickBot="1" x14ac:dyDescent="0.3">
      <c r="A749" s="43" t="s">
        <v>3388</v>
      </c>
      <c r="B749" s="21" t="s">
        <v>3389</v>
      </c>
      <c r="C749" s="21" t="s">
        <v>22727</v>
      </c>
      <c r="D749" s="31">
        <v>1</v>
      </c>
      <c r="E749" s="23" t="s">
        <v>22656</v>
      </c>
      <c r="F749" s="28" t="s">
        <v>22659</v>
      </c>
      <c r="G749" s="25">
        <v>2</v>
      </c>
      <c r="H749" s="29"/>
      <c r="I749" s="30"/>
    </row>
    <row r="750" spans="1:9" ht="15.75" thickBot="1" x14ac:dyDescent="0.3">
      <c r="A750" s="43" t="s">
        <v>3390</v>
      </c>
      <c r="B750" s="21" t="s">
        <v>3391</v>
      </c>
      <c r="C750" s="21" t="s">
        <v>22663</v>
      </c>
      <c r="D750" s="31">
        <v>1</v>
      </c>
      <c r="E750" s="23" t="s">
        <v>22658</v>
      </c>
      <c r="F750" s="24" t="s">
        <v>22657</v>
      </c>
      <c r="G750" s="25">
        <v>4</v>
      </c>
      <c r="H750" s="26"/>
      <c r="I750" s="27"/>
    </row>
    <row r="751" spans="1:9" ht="15.75" thickBot="1" x14ac:dyDescent="0.3">
      <c r="A751" s="43" t="s">
        <v>3392</v>
      </c>
      <c r="B751" s="21" t="s">
        <v>3393</v>
      </c>
      <c r="C751" s="21" t="s">
        <v>22663</v>
      </c>
      <c r="D751" s="31">
        <v>1</v>
      </c>
      <c r="E751" s="23" t="s">
        <v>22658</v>
      </c>
      <c r="F751" s="24" t="s">
        <v>22657</v>
      </c>
      <c r="G751" s="25">
        <v>4</v>
      </c>
      <c r="H751" s="29"/>
      <c r="I751" s="30"/>
    </row>
    <row r="752" spans="1:9" ht="15.75" thickBot="1" x14ac:dyDescent="0.3">
      <c r="A752" s="43" t="s">
        <v>3394</v>
      </c>
      <c r="B752" s="21" t="s">
        <v>3395</v>
      </c>
      <c r="C752" s="21" t="s">
        <v>22727</v>
      </c>
      <c r="D752" s="31">
        <v>1</v>
      </c>
      <c r="E752" s="23" t="s">
        <v>22658</v>
      </c>
      <c r="F752" s="28" t="s">
        <v>22659</v>
      </c>
      <c r="G752" s="25">
        <v>1</v>
      </c>
      <c r="H752" s="26"/>
      <c r="I752" s="27"/>
    </row>
    <row r="753" spans="1:9" ht="15.75" thickBot="1" x14ac:dyDescent="0.3">
      <c r="A753" s="43" t="s">
        <v>3396</v>
      </c>
      <c r="B753" s="21" t="s">
        <v>3397</v>
      </c>
      <c r="C753" s="21" t="s">
        <v>22698</v>
      </c>
      <c r="D753" s="31">
        <v>1</v>
      </c>
      <c r="E753" s="23" t="s">
        <v>22656</v>
      </c>
      <c r="F753" s="24" t="s">
        <v>22657</v>
      </c>
      <c r="G753" s="25">
        <v>2</v>
      </c>
      <c r="H753" s="29"/>
      <c r="I753" s="30"/>
    </row>
    <row r="754" spans="1:9" ht="15.75" thickBot="1" x14ac:dyDescent="0.3">
      <c r="A754" s="43" t="s">
        <v>3398</v>
      </c>
      <c r="B754" s="21" t="s">
        <v>3399</v>
      </c>
      <c r="C754" s="21" t="s">
        <v>22655</v>
      </c>
      <c r="D754" s="22">
        <v>46042</v>
      </c>
      <c r="E754" s="23" t="s">
        <v>22656</v>
      </c>
      <c r="F754" s="24" t="s">
        <v>22657</v>
      </c>
      <c r="G754" s="25">
        <v>7</v>
      </c>
      <c r="H754" s="26"/>
      <c r="I754" s="27"/>
    </row>
    <row r="755" spans="1:9" ht="15.75" thickBot="1" x14ac:dyDescent="0.3">
      <c r="A755" s="43" t="s">
        <v>1753</v>
      </c>
      <c r="B755" s="21" t="s">
        <v>1754</v>
      </c>
      <c r="C755" s="21" t="s">
        <v>22655</v>
      </c>
      <c r="D755" s="31" t="s">
        <v>22683</v>
      </c>
      <c r="E755" s="23" t="s">
        <v>22662</v>
      </c>
      <c r="F755" s="24" t="s">
        <v>22657</v>
      </c>
      <c r="G755" s="25">
        <v>18</v>
      </c>
      <c r="H755" s="29"/>
      <c r="I755" s="30"/>
    </row>
    <row r="756" spans="1:9" ht="15.75" thickBot="1" x14ac:dyDescent="0.3">
      <c r="A756" s="43" t="s">
        <v>1671</v>
      </c>
      <c r="B756" s="21" t="s">
        <v>1672</v>
      </c>
      <c r="C756" s="21" t="s">
        <v>22655</v>
      </c>
      <c r="D756" s="22">
        <v>46042</v>
      </c>
      <c r="E756" s="23" t="s">
        <v>22665</v>
      </c>
      <c r="F756" s="24" t="s">
        <v>22657</v>
      </c>
      <c r="G756" s="25">
        <v>6</v>
      </c>
      <c r="H756" s="34">
        <v>6</v>
      </c>
      <c r="I756" s="35">
        <v>12</v>
      </c>
    </row>
    <row r="757" spans="1:9" ht="15.75" thickBot="1" x14ac:dyDescent="0.3">
      <c r="A757" s="43" t="s">
        <v>3400</v>
      </c>
      <c r="B757" s="21" t="s">
        <v>3401</v>
      </c>
      <c r="C757" s="21" t="s">
        <v>22655</v>
      </c>
      <c r="D757" s="22">
        <v>46034</v>
      </c>
      <c r="E757" s="23" t="s">
        <v>22656</v>
      </c>
      <c r="F757" s="24" t="s">
        <v>22657</v>
      </c>
      <c r="G757" s="25">
        <v>4</v>
      </c>
      <c r="H757" s="29"/>
      <c r="I757" s="30"/>
    </row>
    <row r="758" spans="1:9" ht="15.75" thickBot="1" x14ac:dyDescent="0.3">
      <c r="A758" s="43" t="s">
        <v>3402</v>
      </c>
      <c r="B758" s="21" t="s">
        <v>3403</v>
      </c>
      <c r="C758" s="21" t="s">
        <v>22655</v>
      </c>
      <c r="D758" s="22">
        <v>46034</v>
      </c>
      <c r="E758" s="23" t="s">
        <v>22656</v>
      </c>
      <c r="F758" s="24" t="s">
        <v>22657</v>
      </c>
      <c r="G758" s="25">
        <v>4</v>
      </c>
      <c r="H758" s="26"/>
      <c r="I758" s="27"/>
    </row>
    <row r="759" spans="1:9" ht="15.75" thickBot="1" x14ac:dyDescent="0.3">
      <c r="A759" s="43" t="s">
        <v>3404</v>
      </c>
      <c r="B759" s="21" t="s">
        <v>3405</v>
      </c>
      <c r="C759" s="21" t="s">
        <v>22655</v>
      </c>
      <c r="D759" s="22">
        <v>46046</v>
      </c>
      <c r="E759" s="23" t="s">
        <v>22656</v>
      </c>
      <c r="F759" s="24" t="s">
        <v>22657</v>
      </c>
      <c r="G759" s="25">
        <v>8</v>
      </c>
      <c r="H759" s="29"/>
      <c r="I759" s="30"/>
    </row>
    <row r="760" spans="1:9" ht="15.75" thickBot="1" x14ac:dyDescent="0.3">
      <c r="A760" s="43" t="s">
        <v>3406</v>
      </c>
      <c r="B760" s="21" t="s">
        <v>3407</v>
      </c>
      <c r="C760" s="21" t="s">
        <v>22655</v>
      </c>
      <c r="D760" s="22">
        <v>46046</v>
      </c>
      <c r="E760" s="23" t="s">
        <v>22656</v>
      </c>
      <c r="F760" s="24" t="s">
        <v>22657</v>
      </c>
      <c r="G760" s="25">
        <v>8</v>
      </c>
      <c r="H760" s="26"/>
      <c r="I760" s="27"/>
    </row>
    <row r="761" spans="1:9" ht="15.75" thickBot="1" x14ac:dyDescent="0.3">
      <c r="A761" s="43" t="s">
        <v>3408</v>
      </c>
      <c r="B761" s="21" t="s">
        <v>3409</v>
      </c>
      <c r="C761" s="21" t="s">
        <v>22655</v>
      </c>
      <c r="D761" s="22">
        <v>46046</v>
      </c>
      <c r="E761" s="23" t="s">
        <v>22656</v>
      </c>
      <c r="F761" s="24" t="s">
        <v>22657</v>
      </c>
      <c r="G761" s="25">
        <v>8</v>
      </c>
      <c r="H761" s="29"/>
      <c r="I761" s="30"/>
    </row>
    <row r="762" spans="1:9" ht="15.75" thickBot="1" x14ac:dyDescent="0.3">
      <c r="A762" s="43" t="s">
        <v>3410</v>
      </c>
      <c r="B762" s="21" t="s">
        <v>3411</v>
      </c>
      <c r="C762" s="21" t="s">
        <v>22655</v>
      </c>
      <c r="D762" s="22">
        <v>46046</v>
      </c>
      <c r="E762" s="23" t="s">
        <v>22656</v>
      </c>
      <c r="F762" s="24" t="s">
        <v>22657</v>
      </c>
      <c r="G762" s="25">
        <v>8</v>
      </c>
      <c r="H762" s="26"/>
      <c r="I762" s="27"/>
    </row>
    <row r="763" spans="1:9" ht="15.75" thickBot="1" x14ac:dyDescent="0.3">
      <c r="A763" s="43" t="s">
        <v>3412</v>
      </c>
      <c r="B763" s="21" t="s">
        <v>3413</v>
      </c>
      <c r="C763" s="21" t="s">
        <v>22663</v>
      </c>
      <c r="D763" s="31">
        <v>1</v>
      </c>
      <c r="E763" s="23" t="s">
        <v>22656</v>
      </c>
      <c r="F763" s="24" t="s">
        <v>22657</v>
      </c>
      <c r="G763" s="25">
        <v>4</v>
      </c>
      <c r="H763" s="29"/>
      <c r="I763" s="30"/>
    </row>
    <row r="764" spans="1:9" ht="15.75" thickBot="1" x14ac:dyDescent="0.3">
      <c r="A764" s="43" t="s">
        <v>1147</v>
      </c>
      <c r="B764" s="21" t="s">
        <v>1148</v>
      </c>
      <c r="C764" s="21" t="s">
        <v>22655</v>
      </c>
      <c r="D764" s="22">
        <v>46024</v>
      </c>
      <c r="E764" s="23" t="s">
        <v>22656</v>
      </c>
      <c r="F764" s="24" t="s">
        <v>22657</v>
      </c>
      <c r="G764" s="25">
        <v>2</v>
      </c>
      <c r="H764" s="26"/>
      <c r="I764" s="27"/>
    </row>
    <row r="765" spans="1:9" ht="15.75" thickBot="1" x14ac:dyDescent="0.3">
      <c r="A765" s="43" t="s">
        <v>3414</v>
      </c>
      <c r="B765" s="21" t="s">
        <v>3415</v>
      </c>
      <c r="C765" s="21" t="s">
        <v>22655</v>
      </c>
      <c r="D765" s="22">
        <v>46034</v>
      </c>
      <c r="E765" s="23" t="s">
        <v>22656</v>
      </c>
      <c r="F765" s="24" t="s">
        <v>22657</v>
      </c>
      <c r="G765" s="25">
        <v>4</v>
      </c>
      <c r="H765" s="29"/>
      <c r="I765" s="30"/>
    </row>
    <row r="766" spans="1:9" ht="15.75" thickBot="1" x14ac:dyDescent="0.3">
      <c r="A766" s="43" t="s">
        <v>3416</v>
      </c>
      <c r="B766" s="21" t="s">
        <v>3417</v>
      </c>
      <c r="C766" s="21" t="s">
        <v>22655</v>
      </c>
      <c r="D766" s="22">
        <v>46034</v>
      </c>
      <c r="E766" s="23" t="s">
        <v>22661</v>
      </c>
      <c r="F766" s="24" t="s">
        <v>22657</v>
      </c>
      <c r="G766" s="25">
        <v>4</v>
      </c>
      <c r="H766" s="26"/>
      <c r="I766" s="27"/>
    </row>
    <row r="767" spans="1:9" ht="15.75" thickBot="1" x14ac:dyDescent="0.3">
      <c r="A767" s="43" t="s">
        <v>1839</v>
      </c>
      <c r="B767" s="21" t="s">
        <v>1840</v>
      </c>
      <c r="C767" s="21" t="s">
        <v>22663</v>
      </c>
      <c r="D767" s="31">
        <v>1</v>
      </c>
      <c r="E767" s="23" t="s">
        <v>22656</v>
      </c>
      <c r="F767" s="24" t="s">
        <v>22657</v>
      </c>
      <c r="G767" s="25">
        <v>6</v>
      </c>
      <c r="H767" s="32">
        <v>6</v>
      </c>
      <c r="I767" s="33">
        <v>10</v>
      </c>
    </row>
    <row r="768" spans="1:9" ht="15.75" thickBot="1" x14ac:dyDescent="0.3">
      <c r="A768" s="43" t="s">
        <v>3418</v>
      </c>
      <c r="B768" s="21" t="s">
        <v>3419</v>
      </c>
      <c r="C768" s="21" t="s">
        <v>22663</v>
      </c>
      <c r="D768" s="31">
        <v>1</v>
      </c>
      <c r="E768" s="23" t="s">
        <v>22658</v>
      </c>
      <c r="F768" s="28" t="s">
        <v>22659</v>
      </c>
      <c r="G768" s="25">
        <v>1</v>
      </c>
      <c r="H768" s="26"/>
      <c r="I768" s="27"/>
    </row>
    <row r="769" spans="1:9" ht="15.75" thickBot="1" x14ac:dyDescent="0.3">
      <c r="A769" s="43" t="s">
        <v>527</v>
      </c>
      <c r="B769" s="21" t="s">
        <v>528</v>
      </c>
      <c r="C769" s="21" t="s">
        <v>22655</v>
      </c>
      <c r="D769" s="22">
        <v>46031</v>
      </c>
      <c r="E769" s="23" t="s">
        <v>22665</v>
      </c>
      <c r="F769" s="24" t="s">
        <v>22657</v>
      </c>
      <c r="G769" s="25">
        <v>18</v>
      </c>
      <c r="H769" s="32">
        <v>18</v>
      </c>
      <c r="I769" s="33">
        <v>36</v>
      </c>
    </row>
    <row r="770" spans="1:9" ht="15.75" thickBot="1" x14ac:dyDescent="0.3">
      <c r="A770" s="43" t="s">
        <v>3420</v>
      </c>
      <c r="B770" s="21" t="s">
        <v>3421</v>
      </c>
      <c r="C770" s="21" t="s">
        <v>22682</v>
      </c>
      <c r="D770" s="22">
        <v>46034</v>
      </c>
      <c r="E770" s="23" t="s">
        <v>22658</v>
      </c>
      <c r="F770" s="24" t="s">
        <v>22657</v>
      </c>
      <c r="G770" s="25">
        <v>4</v>
      </c>
      <c r="H770" s="26"/>
      <c r="I770" s="27"/>
    </row>
    <row r="771" spans="1:9" ht="15.75" thickBot="1" x14ac:dyDescent="0.3">
      <c r="A771" s="43" t="s">
        <v>3422</v>
      </c>
      <c r="B771" s="21" t="s">
        <v>3423</v>
      </c>
      <c r="C771" s="21" t="s">
        <v>22682</v>
      </c>
      <c r="D771" s="22">
        <v>46034</v>
      </c>
      <c r="E771" s="23" t="s">
        <v>22658</v>
      </c>
      <c r="F771" s="24" t="s">
        <v>22657</v>
      </c>
      <c r="G771" s="25">
        <v>4</v>
      </c>
      <c r="H771" s="29"/>
      <c r="I771" s="30"/>
    </row>
    <row r="772" spans="1:9" ht="15.75" thickBot="1" x14ac:dyDescent="0.3">
      <c r="A772" s="43" t="s">
        <v>3424</v>
      </c>
      <c r="B772" s="21" t="s">
        <v>3425</v>
      </c>
      <c r="C772" s="21" t="s">
        <v>22663</v>
      </c>
      <c r="D772" s="31">
        <v>1</v>
      </c>
      <c r="E772" s="23" t="s">
        <v>22656</v>
      </c>
      <c r="F772" s="24" t="s">
        <v>22657</v>
      </c>
      <c r="G772" s="25">
        <v>4</v>
      </c>
      <c r="H772" s="26"/>
      <c r="I772" s="27"/>
    </row>
    <row r="773" spans="1:9" ht="15.75" thickBot="1" x14ac:dyDescent="0.3">
      <c r="A773" s="43" t="s">
        <v>3426</v>
      </c>
      <c r="B773" s="21" t="s">
        <v>3427</v>
      </c>
      <c r="C773" s="21" t="s">
        <v>22698</v>
      </c>
      <c r="D773" s="31">
        <v>1</v>
      </c>
      <c r="E773" s="23" t="s">
        <v>22656</v>
      </c>
      <c r="F773" s="24" t="s">
        <v>22657</v>
      </c>
      <c r="G773" s="25">
        <v>2</v>
      </c>
      <c r="H773" s="29"/>
      <c r="I773" s="30"/>
    </row>
    <row r="774" spans="1:9" ht="15.75" thickBot="1" x14ac:dyDescent="0.3">
      <c r="A774" s="43" t="s">
        <v>3428</v>
      </c>
      <c r="B774" s="21" t="s">
        <v>3429</v>
      </c>
      <c r="C774" s="21" t="s">
        <v>22663</v>
      </c>
      <c r="D774" s="31">
        <v>1</v>
      </c>
      <c r="E774" s="23" t="s">
        <v>22656</v>
      </c>
      <c r="F774" s="24" t="s">
        <v>22657</v>
      </c>
      <c r="G774" s="25">
        <v>5</v>
      </c>
      <c r="H774" s="26"/>
      <c r="I774" s="27"/>
    </row>
    <row r="775" spans="1:9" ht="15.75" thickBot="1" x14ac:dyDescent="0.3">
      <c r="A775" s="43" t="s">
        <v>3430</v>
      </c>
      <c r="B775" s="21" t="s">
        <v>3431</v>
      </c>
      <c r="C775" s="21" t="s">
        <v>22727</v>
      </c>
      <c r="D775" s="31">
        <v>1</v>
      </c>
      <c r="E775" s="23" t="s">
        <v>22658</v>
      </c>
      <c r="F775" s="24" t="s">
        <v>22657</v>
      </c>
      <c r="G775" s="25">
        <v>1</v>
      </c>
      <c r="H775" s="29"/>
      <c r="I775" s="30"/>
    </row>
    <row r="776" spans="1:9" ht="15.75" thickBot="1" x14ac:dyDescent="0.3">
      <c r="A776" s="43" t="s">
        <v>3432</v>
      </c>
      <c r="B776" s="21" t="s">
        <v>3433</v>
      </c>
      <c r="C776" s="21" t="s">
        <v>22682</v>
      </c>
      <c r="D776" s="22">
        <v>46034</v>
      </c>
      <c r="E776" s="23" t="s">
        <v>22656</v>
      </c>
      <c r="F776" s="24" t="s">
        <v>22657</v>
      </c>
      <c r="G776" s="25">
        <v>2</v>
      </c>
      <c r="H776" s="26"/>
      <c r="I776" s="27"/>
    </row>
    <row r="777" spans="1:9" ht="15.75" thickBot="1" x14ac:dyDescent="0.3">
      <c r="A777" s="43" t="s">
        <v>3434</v>
      </c>
      <c r="B777" s="21" t="s">
        <v>3435</v>
      </c>
      <c r="C777" s="21" t="s">
        <v>22663</v>
      </c>
      <c r="D777" s="31">
        <v>1</v>
      </c>
      <c r="E777" s="23" t="s">
        <v>22658</v>
      </c>
      <c r="F777" s="24" t="s">
        <v>22657</v>
      </c>
      <c r="G777" s="25">
        <v>1</v>
      </c>
      <c r="H777" s="29"/>
      <c r="I777" s="30"/>
    </row>
    <row r="778" spans="1:9" ht="15.75" thickBot="1" x14ac:dyDescent="0.3">
      <c r="A778" s="43" t="s">
        <v>3436</v>
      </c>
      <c r="B778" s="21" t="s">
        <v>3437</v>
      </c>
      <c r="C778" s="21" t="s">
        <v>22663</v>
      </c>
      <c r="D778" s="31">
        <v>1</v>
      </c>
      <c r="E778" s="23" t="s">
        <v>22658</v>
      </c>
      <c r="F778" s="24" t="s">
        <v>22657</v>
      </c>
      <c r="G778" s="25">
        <v>1</v>
      </c>
      <c r="H778" s="26"/>
      <c r="I778" s="27"/>
    </row>
    <row r="779" spans="1:9" ht="15.75" thickBot="1" x14ac:dyDescent="0.3">
      <c r="A779" s="43" t="s">
        <v>3438</v>
      </c>
      <c r="B779" s="21" t="s">
        <v>3439</v>
      </c>
      <c r="C779" s="21" t="s">
        <v>22667</v>
      </c>
      <c r="D779" s="31" t="s">
        <v>22728</v>
      </c>
      <c r="E779" s="23" t="s">
        <v>22662</v>
      </c>
      <c r="F779" s="24" t="s">
        <v>22657</v>
      </c>
      <c r="G779" s="25">
        <v>24</v>
      </c>
      <c r="H779" s="32">
        <v>24</v>
      </c>
      <c r="I779" s="33">
        <v>36</v>
      </c>
    </row>
    <row r="780" spans="1:9" ht="15.75" thickBot="1" x14ac:dyDescent="0.3">
      <c r="A780" s="43" t="s">
        <v>1857</v>
      </c>
      <c r="B780" s="21" t="s">
        <v>3440</v>
      </c>
      <c r="C780" s="21" t="s">
        <v>22655</v>
      </c>
      <c r="D780" s="22">
        <v>46034</v>
      </c>
      <c r="E780" s="23" t="s">
        <v>22656</v>
      </c>
      <c r="F780" s="24" t="s">
        <v>22657</v>
      </c>
      <c r="G780" s="25">
        <v>4</v>
      </c>
      <c r="H780" s="26"/>
      <c r="I780" s="27"/>
    </row>
    <row r="781" spans="1:9" ht="15.75" thickBot="1" x14ac:dyDescent="0.3">
      <c r="A781" s="43" t="s">
        <v>3441</v>
      </c>
      <c r="B781" s="21" t="s">
        <v>3442</v>
      </c>
      <c r="C781" s="21" t="s">
        <v>22682</v>
      </c>
      <c r="D781" s="22">
        <v>46034</v>
      </c>
      <c r="E781" s="23" t="s">
        <v>22658</v>
      </c>
      <c r="F781" s="24" t="s">
        <v>22657</v>
      </c>
      <c r="G781" s="25">
        <v>4</v>
      </c>
      <c r="H781" s="29"/>
      <c r="I781" s="30"/>
    </row>
    <row r="782" spans="1:9" ht="15.75" thickBot="1" x14ac:dyDescent="0.3">
      <c r="A782" s="43" t="s">
        <v>3443</v>
      </c>
      <c r="B782" s="21" t="s">
        <v>3444</v>
      </c>
      <c r="C782" s="21" t="s">
        <v>22682</v>
      </c>
      <c r="D782" s="22">
        <v>46034</v>
      </c>
      <c r="E782" s="23" t="s">
        <v>22658</v>
      </c>
      <c r="F782" s="24" t="s">
        <v>22657</v>
      </c>
      <c r="G782" s="25">
        <v>4</v>
      </c>
      <c r="H782" s="26"/>
      <c r="I782" s="27"/>
    </row>
    <row r="783" spans="1:9" ht="15.75" thickBot="1" x14ac:dyDescent="0.3">
      <c r="A783" s="43" t="s">
        <v>3445</v>
      </c>
      <c r="B783" s="21" t="s">
        <v>3446</v>
      </c>
      <c r="C783" s="21" t="s">
        <v>22682</v>
      </c>
      <c r="D783" s="22">
        <v>46034</v>
      </c>
      <c r="E783" s="23" t="s">
        <v>22656</v>
      </c>
      <c r="F783" s="24" t="s">
        <v>22657</v>
      </c>
      <c r="G783" s="25">
        <v>4</v>
      </c>
      <c r="H783" s="29"/>
      <c r="I783" s="30"/>
    </row>
    <row r="784" spans="1:9" ht="15.75" thickBot="1" x14ac:dyDescent="0.3">
      <c r="A784" s="43" t="s">
        <v>3447</v>
      </c>
      <c r="B784" s="21" t="s">
        <v>3448</v>
      </c>
      <c r="C784" s="21" t="s">
        <v>22682</v>
      </c>
      <c r="D784" s="22">
        <v>46034</v>
      </c>
      <c r="E784" s="23" t="s">
        <v>22658</v>
      </c>
      <c r="F784" s="24" t="s">
        <v>22657</v>
      </c>
      <c r="G784" s="25">
        <v>4</v>
      </c>
      <c r="H784" s="26"/>
      <c r="I784" s="27"/>
    </row>
    <row r="785" spans="1:9" ht="15.75" thickBot="1" x14ac:dyDescent="0.3">
      <c r="A785" s="43" t="s">
        <v>3449</v>
      </c>
      <c r="B785" s="21" t="s">
        <v>3450</v>
      </c>
      <c r="C785" s="21" t="s">
        <v>22682</v>
      </c>
      <c r="D785" s="22">
        <v>46034</v>
      </c>
      <c r="E785" s="23" t="s">
        <v>22658</v>
      </c>
      <c r="F785" s="24" t="s">
        <v>22657</v>
      </c>
      <c r="G785" s="25">
        <v>4</v>
      </c>
      <c r="H785" s="29"/>
      <c r="I785" s="30"/>
    </row>
    <row r="786" spans="1:9" ht="15.75" thickBot="1" x14ac:dyDescent="0.3">
      <c r="A786" s="43" t="s">
        <v>3451</v>
      </c>
      <c r="B786" s="21" t="s">
        <v>3452</v>
      </c>
      <c r="C786" s="21" t="s">
        <v>22682</v>
      </c>
      <c r="D786" s="22">
        <v>46034</v>
      </c>
      <c r="E786" s="23" t="s">
        <v>22658</v>
      </c>
      <c r="F786" s="24" t="s">
        <v>22657</v>
      </c>
      <c r="G786" s="25">
        <v>4</v>
      </c>
      <c r="H786" s="26"/>
      <c r="I786" s="27"/>
    </row>
    <row r="787" spans="1:9" ht="15.75" thickBot="1" x14ac:dyDescent="0.3">
      <c r="A787" s="43" t="s">
        <v>3453</v>
      </c>
      <c r="B787" s="21" t="s">
        <v>3454</v>
      </c>
      <c r="C787" s="21" t="s">
        <v>22682</v>
      </c>
      <c r="D787" s="22">
        <v>46034</v>
      </c>
      <c r="E787" s="23" t="s">
        <v>22658</v>
      </c>
      <c r="F787" s="24" t="s">
        <v>22657</v>
      </c>
      <c r="G787" s="25">
        <v>4</v>
      </c>
      <c r="H787" s="29"/>
      <c r="I787" s="30"/>
    </row>
    <row r="788" spans="1:9" ht="15.75" thickBot="1" x14ac:dyDescent="0.3">
      <c r="A788" s="43" t="s">
        <v>3455</v>
      </c>
      <c r="B788" s="21" t="s">
        <v>3456</v>
      </c>
      <c r="C788" s="21" t="s">
        <v>22672</v>
      </c>
      <c r="D788" s="22">
        <v>46034</v>
      </c>
      <c r="E788" s="23" t="s">
        <v>22656</v>
      </c>
      <c r="F788" s="24" t="s">
        <v>22657</v>
      </c>
      <c r="G788" s="25">
        <v>4</v>
      </c>
      <c r="H788" s="26"/>
      <c r="I788" s="27"/>
    </row>
    <row r="789" spans="1:9" ht="15.75" thickBot="1" x14ac:dyDescent="0.3">
      <c r="A789" s="43" t="s">
        <v>1101</v>
      </c>
      <c r="B789" s="21" t="s">
        <v>1102</v>
      </c>
      <c r="C789" s="21" t="s">
        <v>22655</v>
      </c>
      <c r="D789" s="22">
        <v>46028</v>
      </c>
      <c r="E789" s="23" t="s">
        <v>22665</v>
      </c>
      <c r="F789" s="24" t="s">
        <v>22657</v>
      </c>
      <c r="G789" s="25">
        <v>24</v>
      </c>
      <c r="H789" s="32">
        <v>24</v>
      </c>
      <c r="I789" s="33">
        <v>36</v>
      </c>
    </row>
    <row r="790" spans="1:9" ht="15.75" thickBot="1" x14ac:dyDescent="0.3">
      <c r="A790" s="43" t="s">
        <v>3457</v>
      </c>
      <c r="B790" s="21" t="s">
        <v>3458</v>
      </c>
      <c r="C790" s="21" t="s">
        <v>22655</v>
      </c>
      <c r="D790" s="31" t="s">
        <v>22660</v>
      </c>
      <c r="E790" s="23" t="s">
        <v>22661</v>
      </c>
      <c r="F790" s="24" t="s">
        <v>22657</v>
      </c>
      <c r="G790" s="25">
        <v>8</v>
      </c>
      <c r="H790" s="26"/>
      <c r="I790" s="27"/>
    </row>
    <row r="791" spans="1:9" ht="15.75" thickBot="1" x14ac:dyDescent="0.3">
      <c r="A791" s="43" t="s">
        <v>3459</v>
      </c>
      <c r="B791" s="21" t="s">
        <v>3460</v>
      </c>
      <c r="C791" s="21" t="s">
        <v>22655</v>
      </c>
      <c r="D791" s="22">
        <v>46046</v>
      </c>
      <c r="E791" s="23" t="s">
        <v>22661</v>
      </c>
      <c r="F791" s="24" t="s">
        <v>22657</v>
      </c>
      <c r="G791" s="25">
        <v>18</v>
      </c>
      <c r="H791" s="29"/>
      <c r="I791" s="30"/>
    </row>
    <row r="792" spans="1:9" ht="15.75" thickBot="1" x14ac:dyDescent="0.3">
      <c r="A792" s="43" t="s">
        <v>3461</v>
      </c>
      <c r="B792" s="21" t="s">
        <v>3462</v>
      </c>
      <c r="C792" s="21" t="s">
        <v>22655</v>
      </c>
      <c r="D792" s="22">
        <v>46046</v>
      </c>
      <c r="E792" s="23" t="s">
        <v>22661</v>
      </c>
      <c r="F792" s="24" t="s">
        <v>22657</v>
      </c>
      <c r="G792" s="25">
        <v>12</v>
      </c>
      <c r="H792" s="34">
        <v>12</v>
      </c>
      <c r="I792" s="35">
        <v>24</v>
      </c>
    </row>
    <row r="793" spans="1:9" ht="15.75" thickBot="1" x14ac:dyDescent="0.3">
      <c r="A793" s="43" t="s">
        <v>3463</v>
      </c>
      <c r="B793" s="21" t="s">
        <v>3464</v>
      </c>
      <c r="C793" s="21" t="s">
        <v>22655</v>
      </c>
      <c r="D793" s="22">
        <v>46034</v>
      </c>
      <c r="E793" s="23" t="s">
        <v>22661</v>
      </c>
      <c r="F793" s="24" t="s">
        <v>22657</v>
      </c>
      <c r="G793" s="25">
        <v>4</v>
      </c>
      <c r="H793" s="29"/>
      <c r="I793" s="30"/>
    </row>
    <row r="794" spans="1:9" ht="15.75" thickBot="1" x14ac:dyDescent="0.3">
      <c r="A794" s="43" t="s">
        <v>3465</v>
      </c>
      <c r="B794" s="21" t="s">
        <v>3466</v>
      </c>
      <c r="C794" s="21" t="s">
        <v>22655</v>
      </c>
      <c r="D794" s="31" t="s">
        <v>22660</v>
      </c>
      <c r="E794" s="23" t="s">
        <v>22656</v>
      </c>
      <c r="F794" s="24" t="s">
        <v>22657</v>
      </c>
      <c r="G794" s="25">
        <v>8</v>
      </c>
      <c r="H794" s="26"/>
      <c r="I794" s="27"/>
    </row>
    <row r="795" spans="1:9" ht="15.75" thickBot="1" x14ac:dyDescent="0.3">
      <c r="A795" s="43" t="s">
        <v>529</v>
      </c>
      <c r="B795" s="21" t="s">
        <v>530</v>
      </c>
      <c r="C795" s="21" t="s">
        <v>22663</v>
      </c>
      <c r="D795" s="31">
        <v>1</v>
      </c>
      <c r="E795" s="23" t="s">
        <v>22661</v>
      </c>
      <c r="F795" s="24" t="s">
        <v>22657</v>
      </c>
      <c r="G795" s="25">
        <v>6</v>
      </c>
      <c r="H795" s="32">
        <v>6</v>
      </c>
      <c r="I795" s="33">
        <v>8</v>
      </c>
    </row>
    <row r="796" spans="1:9" ht="15.75" thickBot="1" x14ac:dyDescent="0.3">
      <c r="A796" s="43" t="s">
        <v>3467</v>
      </c>
      <c r="B796" s="21" t="s">
        <v>3468</v>
      </c>
      <c r="C796" s="21" t="s">
        <v>22655</v>
      </c>
      <c r="D796" s="22">
        <v>46034</v>
      </c>
      <c r="E796" s="23" t="s">
        <v>22661</v>
      </c>
      <c r="F796" s="24" t="s">
        <v>22657</v>
      </c>
      <c r="G796" s="25">
        <v>11</v>
      </c>
      <c r="H796" s="26"/>
      <c r="I796" s="27"/>
    </row>
    <row r="797" spans="1:9" ht="15.75" thickBot="1" x14ac:dyDescent="0.3">
      <c r="A797" s="43" t="s">
        <v>22378</v>
      </c>
      <c r="B797" s="21" t="s">
        <v>22379</v>
      </c>
      <c r="C797" s="36" t="e">
        <v>#N/A</v>
      </c>
      <c r="D797" s="37" t="e">
        <v>#N/A</v>
      </c>
      <c r="E797" s="23" t="e">
        <v>#N/A</v>
      </c>
      <c r="F797" s="24" t="s">
        <v>22657</v>
      </c>
      <c r="G797" s="25" t="e">
        <v>#N/A</v>
      </c>
      <c r="H797" s="29"/>
      <c r="I797" s="30"/>
    </row>
    <row r="798" spans="1:9" ht="15.75" thickBot="1" x14ac:dyDescent="0.3">
      <c r="A798" s="43" t="s">
        <v>3469</v>
      </c>
      <c r="B798" s="21" t="s">
        <v>3470</v>
      </c>
      <c r="C798" s="21" t="s">
        <v>22655</v>
      </c>
      <c r="D798" s="31" t="s">
        <v>22660</v>
      </c>
      <c r="E798" s="23" t="s">
        <v>22656</v>
      </c>
      <c r="F798" s="24" t="s">
        <v>22657</v>
      </c>
      <c r="G798" s="25">
        <v>8</v>
      </c>
      <c r="H798" s="26"/>
      <c r="I798" s="27"/>
    </row>
    <row r="799" spans="1:9" ht="15.75" thickBot="1" x14ac:dyDescent="0.3">
      <c r="A799" s="43" t="s">
        <v>3471</v>
      </c>
      <c r="B799" s="21" t="s">
        <v>22416</v>
      </c>
      <c r="C799" s="21" t="s">
        <v>22655</v>
      </c>
      <c r="D799" s="22">
        <v>46028</v>
      </c>
      <c r="E799" s="23" t="s">
        <v>22656</v>
      </c>
      <c r="F799" s="24" t="s">
        <v>22657</v>
      </c>
      <c r="G799" s="25">
        <v>2</v>
      </c>
      <c r="H799" s="29"/>
      <c r="I799" s="30"/>
    </row>
    <row r="800" spans="1:9" ht="15.75" thickBot="1" x14ac:dyDescent="0.3">
      <c r="A800" s="43" t="s">
        <v>3473</v>
      </c>
      <c r="B800" s="21" t="s">
        <v>3474</v>
      </c>
      <c r="C800" s="21" t="s">
        <v>22682</v>
      </c>
      <c r="D800" s="22">
        <v>46034</v>
      </c>
      <c r="E800" s="23" t="s">
        <v>22658</v>
      </c>
      <c r="F800" s="24" t="s">
        <v>22657</v>
      </c>
      <c r="G800" s="25">
        <v>4</v>
      </c>
      <c r="H800" s="26"/>
      <c r="I800" s="27"/>
    </row>
    <row r="801" spans="1:9" ht="15.75" thickBot="1" x14ac:dyDescent="0.3">
      <c r="A801" s="43" t="s">
        <v>3475</v>
      </c>
      <c r="B801" s="21" t="s">
        <v>3476</v>
      </c>
      <c r="C801" s="21" t="s">
        <v>22682</v>
      </c>
      <c r="D801" s="22">
        <v>46034</v>
      </c>
      <c r="E801" s="23" t="s">
        <v>22658</v>
      </c>
      <c r="F801" s="24" t="s">
        <v>22657</v>
      </c>
      <c r="G801" s="25">
        <v>4</v>
      </c>
      <c r="H801" s="29"/>
      <c r="I801" s="30"/>
    </row>
    <row r="802" spans="1:9" ht="15.75" thickBot="1" x14ac:dyDescent="0.3">
      <c r="A802" s="43" t="s">
        <v>3477</v>
      </c>
      <c r="B802" s="21" t="s">
        <v>3478</v>
      </c>
      <c r="C802" s="21" t="s">
        <v>22682</v>
      </c>
      <c r="D802" s="22">
        <v>46034</v>
      </c>
      <c r="E802" s="23" t="s">
        <v>22658</v>
      </c>
      <c r="F802" s="24" t="s">
        <v>22657</v>
      </c>
      <c r="G802" s="25">
        <v>4</v>
      </c>
      <c r="H802" s="26"/>
      <c r="I802" s="27"/>
    </row>
    <row r="803" spans="1:9" ht="15.75" thickBot="1" x14ac:dyDescent="0.3">
      <c r="A803" s="43" t="s">
        <v>3479</v>
      </c>
      <c r="B803" s="21" t="s">
        <v>3480</v>
      </c>
      <c r="C803" s="21" t="s">
        <v>22663</v>
      </c>
      <c r="D803" s="31">
        <v>1</v>
      </c>
      <c r="E803" s="23" t="s">
        <v>22656</v>
      </c>
      <c r="F803" s="24" t="s">
        <v>22657</v>
      </c>
      <c r="G803" s="25">
        <v>7</v>
      </c>
      <c r="H803" s="29"/>
      <c r="I803" s="30"/>
    </row>
    <row r="804" spans="1:9" ht="15.75" thickBot="1" x14ac:dyDescent="0.3">
      <c r="A804" s="43" t="s">
        <v>3481</v>
      </c>
      <c r="B804" s="21" t="s">
        <v>3482</v>
      </c>
      <c r="C804" s="21" t="s">
        <v>22682</v>
      </c>
      <c r="D804" s="22">
        <v>46034</v>
      </c>
      <c r="E804" s="23" t="s">
        <v>22658</v>
      </c>
      <c r="F804" s="24" t="s">
        <v>22657</v>
      </c>
      <c r="G804" s="25">
        <v>4</v>
      </c>
      <c r="H804" s="26"/>
      <c r="I804" s="27"/>
    </row>
    <row r="805" spans="1:9" ht="15.75" thickBot="1" x14ac:dyDescent="0.3">
      <c r="A805" s="43" t="s">
        <v>3483</v>
      </c>
      <c r="B805" s="21" t="s">
        <v>3484</v>
      </c>
      <c r="C805" s="21" t="s">
        <v>22682</v>
      </c>
      <c r="D805" s="22">
        <v>46034</v>
      </c>
      <c r="E805" s="23" t="s">
        <v>22656</v>
      </c>
      <c r="F805" s="24" t="s">
        <v>22657</v>
      </c>
      <c r="G805" s="25">
        <v>2</v>
      </c>
      <c r="H805" s="29"/>
      <c r="I805" s="30"/>
    </row>
    <row r="806" spans="1:9" ht="15.75" thickBot="1" x14ac:dyDescent="0.3">
      <c r="A806" s="43" t="s">
        <v>3485</v>
      </c>
      <c r="B806" s="21" t="s">
        <v>3486</v>
      </c>
      <c r="C806" s="21" t="s">
        <v>22682</v>
      </c>
      <c r="D806" s="22">
        <v>46034</v>
      </c>
      <c r="E806" s="23" t="s">
        <v>22656</v>
      </c>
      <c r="F806" s="24" t="s">
        <v>22657</v>
      </c>
      <c r="G806" s="25">
        <v>2</v>
      </c>
      <c r="H806" s="26"/>
      <c r="I806" s="27"/>
    </row>
    <row r="807" spans="1:9" ht="15.75" thickBot="1" x14ac:dyDescent="0.3">
      <c r="A807" s="43" t="s">
        <v>22417</v>
      </c>
      <c r="B807" s="21" t="s">
        <v>22418</v>
      </c>
      <c r="C807" s="36" t="e">
        <v>#N/A</v>
      </c>
      <c r="D807" s="37" t="e">
        <v>#N/A</v>
      </c>
      <c r="E807" s="23" t="e">
        <v>#N/A</v>
      </c>
      <c r="F807" s="24" t="s">
        <v>22657</v>
      </c>
      <c r="G807" s="25" t="e">
        <v>#N/A</v>
      </c>
      <c r="H807" s="29"/>
      <c r="I807" s="30"/>
    </row>
    <row r="808" spans="1:9" ht="15.75" thickBot="1" x14ac:dyDescent="0.3">
      <c r="A808" s="43" t="s">
        <v>22419</v>
      </c>
      <c r="B808" s="21" t="s">
        <v>22420</v>
      </c>
      <c r="C808" s="36" t="e">
        <v>#N/A</v>
      </c>
      <c r="D808" s="37" t="e">
        <v>#N/A</v>
      </c>
      <c r="E808" s="23" t="e">
        <v>#N/A</v>
      </c>
      <c r="F808" s="24" t="s">
        <v>22657</v>
      </c>
      <c r="G808" s="25" t="e">
        <v>#N/A</v>
      </c>
      <c r="H808" s="26"/>
      <c r="I808" s="27"/>
    </row>
    <row r="809" spans="1:9" ht="15.75" thickBot="1" x14ac:dyDescent="0.3">
      <c r="A809" s="43" t="s">
        <v>3487</v>
      </c>
      <c r="B809" s="21" t="s">
        <v>3488</v>
      </c>
      <c r="C809" s="21" t="s">
        <v>22709</v>
      </c>
      <c r="D809" s="31">
        <v>1</v>
      </c>
      <c r="E809" s="23" t="s">
        <v>22658</v>
      </c>
      <c r="F809" s="28" t="s">
        <v>22659</v>
      </c>
      <c r="G809" s="25">
        <v>1</v>
      </c>
      <c r="H809" s="29"/>
      <c r="I809" s="30"/>
    </row>
    <row r="810" spans="1:9" ht="15.75" thickBot="1" x14ac:dyDescent="0.3">
      <c r="A810" s="43" t="s">
        <v>3489</v>
      </c>
      <c r="B810" s="21" t="s">
        <v>3490</v>
      </c>
      <c r="C810" s="21" t="s">
        <v>22655</v>
      </c>
      <c r="D810" s="31" t="s">
        <v>22715</v>
      </c>
      <c r="E810" s="23" t="s">
        <v>22656</v>
      </c>
      <c r="F810" s="24" t="s">
        <v>22657</v>
      </c>
      <c r="G810" s="25">
        <v>2</v>
      </c>
      <c r="H810" s="26"/>
      <c r="I810" s="27"/>
    </row>
    <row r="811" spans="1:9" ht="15.75" thickBot="1" x14ac:dyDescent="0.3">
      <c r="A811" s="43" t="s">
        <v>3491</v>
      </c>
      <c r="B811" s="21" t="s">
        <v>3492</v>
      </c>
      <c r="C811" s="21" t="s">
        <v>22655</v>
      </c>
      <c r="D811" s="22">
        <v>46032</v>
      </c>
      <c r="E811" s="23" t="s">
        <v>22656</v>
      </c>
      <c r="F811" s="24" t="s">
        <v>22657</v>
      </c>
      <c r="G811" s="25">
        <v>2</v>
      </c>
      <c r="H811" s="29"/>
      <c r="I811" s="30"/>
    </row>
    <row r="812" spans="1:9" ht="15.75" thickBot="1" x14ac:dyDescent="0.3">
      <c r="A812" s="43" t="s">
        <v>3493</v>
      </c>
      <c r="B812" s="21" t="s">
        <v>3494</v>
      </c>
      <c r="C812" s="21" t="s">
        <v>22655</v>
      </c>
      <c r="D812" s="22">
        <v>46034</v>
      </c>
      <c r="E812" s="23" t="s">
        <v>22656</v>
      </c>
      <c r="F812" s="24" t="s">
        <v>22657</v>
      </c>
      <c r="G812" s="25">
        <v>4</v>
      </c>
      <c r="H812" s="26"/>
      <c r="I812" s="27"/>
    </row>
    <row r="813" spans="1:9" ht="15.75" thickBot="1" x14ac:dyDescent="0.3">
      <c r="A813" s="43" t="s">
        <v>22421</v>
      </c>
      <c r="B813" s="21" t="s">
        <v>22422</v>
      </c>
      <c r="C813" s="36" t="e">
        <v>#N/A</v>
      </c>
      <c r="D813" s="37" t="e">
        <v>#N/A</v>
      </c>
      <c r="E813" s="23" t="e">
        <v>#N/A</v>
      </c>
      <c r="F813" s="28" t="s">
        <v>22659</v>
      </c>
      <c r="G813" s="25" t="e">
        <v>#N/A</v>
      </c>
      <c r="H813" s="29"/>
      <c r="I813" s="30"/>
    </row>
    <row r="814" spans="1:9" ht="15.75" thickBot="1" x14ac:dyDescent="0.3">
      <c r="A814" s="43" t="s">
        <v>3495</v>
      </c>
      <c r="B814" s="21" t="s">
        <v>3496</v>
      </c>
      <c r="C814" s="21" t="s">
        <v>22655</v>
      </c>
      <c r="D814" s="22">
        <v>46034</v>
      </c>
      <c r="E814" s="23" t="s">
        <v>22658</v>
      </c>
      <c r="F814" s="24" t="s">
        <v>22657</v>
      </c>
      <c r="G814" s="25">
        <v>1</v>
      </c>
      <c r="H814" s="26"/>
      <c r="I814" s="27"/>
    </row>
    <row r="815" spans="1:9" ht="15.75" thickBot="1" x14ac:dyDescent="0.3">
      <c r="A815" s="43" t="s">
        <v>3497</v>
      </c>
      <c r="B815" s="21" t="s">
        <v>3498</v>
      </c>
      <c r="C815" s="21" t="s">
        <v>22655</v>
      </c>
      <c r="D815" s="22">
        <v>46034</v>
      </c>
      <c r="E815" s="23" t="s">
        <v>22656</v>
      </c>
      <c r="F815" s="24" t="s">
        <v>22657</v>
      </c>
      <c r="G815" s="25">
        <v>2</v>
      </c>
      <c r="H815" s="29"/>
      <c r="I815" s="30"/>
    </row>
    <row r="816" spans="1:9" ht="15.75" thickBot="1" x14ac:dyDescent="0.3">
      <c r="A816" s="43" t="s">
        <v>3499</v>
      </c>
      <c r="B816" s="21" t="s">
        <v>3500</v>
      </c>
      <c r="C816" s="21" t="s">
        <v>22655</v>
      </c>
      <c r="D816" s="22">
        <v>46034</v>
      </c>
      <c r="E816" s="23" t="s">
        <v>22658</v>
      </c>
      <c r="F816" s="28" t="s">
        <v>22659</v>
      </c>
      <c r="G816" s="25">
        <v>1</v>
      </c>
      <c r="H816" s="26"/>
      <c r="I816" s="27"/>
    </row>
    <row r="817" spans="1:9" ht="15.75" thickBot="1" x14ac:dyDescent="0.3">
      <c r="A817" s="43" t="s">
        <v>3501</v>
      </c>
      <c r="B817" s="21" t="s">
        <v>3502</v>
      </c>
      <c r="C817" s="21" t="s">
        <v>22655</v>
      </c>
      <c r="D817" s="22">
        <v>46046</v>
      </c>
      <c r="E817" s="23" t="s">
        <v>22658</v>
      </c>
      <c r="F817" s="28" t="s">
        <v>22659</v>
      </c>
      <c r="G817" s="25">
        <v>1</v>
      </c>
      <c r="H817" s="29"/>
      <c r="I817" s="30"/>
    </row>
    <row r="818" spans="1:9" ht="15.75" thickBot="1" x14ac:dyDescent="0.3">
      <c r="A818" s="43" t="s">
        <v>3503</v>
      </c>
      <c r="B818" s="21" t="s">
        <v>3504</v>
      </c>
      <c r="C818" s="21" t="s">
        <v>22655</v>
      </c>
      <c r="D818" s="22">
        <v>46046</v>
      </c>
      <c r="E818" s="23" t="s">
        <v>22658</v>
      </c>
      <c r="F818" s="28" t="s">
        <v>22659</v>
      </c>
      <c r="G818" s="25">
        <v>1</v>
      </c>
      <c r="H818" s="26"/>
      <c r="I818" s="27"/>
    </row>
    <row r="819" spans="1:9" ht="15.75" thickBot="1" x14ac:dyDescent="0.3">
      <c r="A819" s="43" t="s">
        <v>3505</v>
      </c>
      <c r="B819" s="21" t="s">
        <v>3506</v>
      </c>
      <c r="C819" s="21" t="s">
        <v>22655</v>
      </c>
      <c r="D819" s="22">
        <v>46046</v>
      </c>
      <c r="E819" s="23" t="s">
        <v>22656</v>
      </c>
      <c r="F819" s="28" t="s">
        <v>22659</v>
      </c>
      <c r="G819" s="25">
        <v>2</v>
      </c>
      <c r="H819" s="29"/>
      <c r="I819" s="30"/>
    </row>
    <row r="820" spans="1:9" ht="15.75" thickBot="1" x14ac:dyDescent="0.3">
      <c r="A820" s="43" t="s">
        <v>3507</v>
      </c>
      <c r="B820" s="21" t="s">
        <v>3508</v>
      </c>
      <c r="C820" s="21" t="s">
        <v>22655</v>
      </c>
      <c r="D820" s="22">
        <v>46034</v>
      </c>
      <c r="E820" s="23" t="s">
        <v>22658</v>
      </c>
      <c r="F820" s="28" t="s">
        <v>22659</v>
      </c>
      <c r="G820" s="25">
        <v>1</v>
      </c>
      <c r="H820" s="26"/>
      <c r="I820" s="27"/>
    </row>
    <row r="821" spans="1:9" ht="15.75" thickBot="1" x14ac:dyDescent="0.3">
      <c r="A821" s="43" t="s">
        <v>3509</v>
      </c>
      <c r="B821" s="21" t="s">
        <v>3510</v>
      </c>
      <c r="C821" s="21" t="s">
        <v>22655</v>
      </c>
      <c r="D821" s="22">
        <v>46034</v>
      </c>
      <c r="E821" s="23" t="s">
        <v>22658</v>
      </c>
      <c r="F821" s="28" t="s">
        <v>22659</v>
      </c>
      <c r="G821" s="25">
        <v>1</v>
      </c>
      <c r="H821" s="29"/>
      <c r="I821" s="30"/>
    </row>
    <row r="822" spans="1:9" ht="15.75" thickBot="1" x14ac:dyDescent="0.3">
      <c r="A822" s="43" t="s">
        <v>3511</v>
      </c>
      <c r="B822" s="21" t="s">
        <v>3512</v>
      </c>
      <c r="C822" s="21" t="s">
        <v>22655</v>
      </c>
      <c r="D822" s="22">
        <v>46034</v>
      </c>
      <c r="E822" s="23" t="s">
        <v>22658</v>
      </c>
      <c r="F822" s="28" t="s">
        <v>22659</v>
      </c>
      <c r="G822" s="25">
        <v>1</v>
      </c>
      <c r="H822" s="26"/>
      <c r="I822" s="27"/>
    </row>
    <row r="823" spans="1:9" ht="15.75" thickBot="1" x14ac:dyDescent="0.3">
      <c r="A823" s="43" t="s">
        <v>3513</v>
      </c>
      <c r="B823" s="21" t="s">
        <v>3514</v>
      </c>
      <c r="C823" s="21" t="s">
        <v>22655</v>
      </c>
      <c r="D823" s="22">
        <v>46034</v>
      </c>
      <c r="E823" s="23" t="s">
        <v>22658</v>
      </c>
      <c r="F823" s="28" t="s">
        <v>22659</v>
      </c>
      <c r="G823" s="25">
        <v>1</v>
      </c>
      <c r="H823" s="29"/>
      <c r="I823" s="30"/>
    </row>
    <row r="824" spans="1:9" ht="15.75" thickBot="1" x14ac:dyDescent="0.3">
      <c r="A824" s="43" t="s">
        <v>3515</v>
      </c>
      <c r="B824" s="21" t="s">
        <v>3516</v>
      </c>
      <c r="C824" s="21" t="s">
        <v>22655</v>
      </c>
      <c r="D824" s="22">
        <v>46046</v>
      </c>
      <c r="E824" s="23" t="s">
        <v>22658</v>
      </c>
      <c r="F824" s="28" t="s">
        <v>22659</v>
      </c>
      <c r="G824" s="25">
        <v>1</v>
      </c>
      <c r="H824" s="26"/>
      <c r="I824" s="27"/>
    </row>
    <row r="825" spans="1:9" ht="15.75" thickBot="1" x14ac:dyDescent="0.3">
      <c r="A825" s="43" t="s">
        <v>3517</v>
      </c>
      <c r="B825" s="21" t="s">
        <v>3518</v>
      </c>
      <c r="C825" s="21" t="s">
        <v>22655</v>
      </c>
      <c r="D825" s="22">
        <v>46034</v>
      </c>
      <c r="E825" s="23" t="s">
        <v>22658</v>
      </c>
      <c r="F825" s="28" t="s">
        <v>22659</v>
      </c>
      <c r="G825" s="25">
        <v>1</v>
      </c>
      <c r="H825" s="29"/>
      <c r="I825" s="30"/>
    </row>
    <row r="826" spans="1:9" ht="15.75" thickBot="1" x14ac:dyDescent="0.3">
      <c r="A826" s="43" t="s">
        <v>3519</v>
      </c>
      <c r="B826" s="21" t="s">
        <v>3520</v>
      </c>
      <c r="C826" s="21" t="s">
        <v>22655</v>
      </c>
      <c r="D826" s="22">
        <v>46034</v>
      </c>
      <c r="E826" s="23" t="s">
        <v>22656</v>
      </c>
      <c r="F826" s="28" t="s">
        <v>22659</v>
      </c>
      <c r="G826" s="25">
        <v>2</v>
      </c>
      <c r="H826" s="26"/>
      <c r="I826" s="27"/>
    </row>
    <row r="827" spans="1:9" ht="15.75" thickBot="1" x14ac:dyDescent="0.3">
      <c r="A827" s="43" t="s">
        <v>3521</v>
      </c>
      <c r="B827" s="21" t="s">
        <v>3522</v>
      </c>
      <c r="C827" s="21" t="s">
        <v>22655</v>
      </c>
      <c r="D827" s="22">
        <v>46036</v>
      </c>
      <c r="E827" s="23" t="s">
        <v>22658</v>
      </c>
      <c r="F827" s="28" t="s">
        <v>22659</v>
      </c>
      <c r="G827" s="25">
        <v>1</v>
      </c>
      <c r="H827" s="29"/>
      <c r="I827" s="30"/>
    </row>
    <row r="828" spans="1:9" ht="15.75" thickBot="1" x14ac:dyDescent="0.3">
      <c r="A828" s="43" t="s">
        <v>3523</v>
      </c>
      <c r="B828" s="21" t="s">
        <v>3524</v>
      </c>
      <c r="C828" s="21" t="s">
        <v>22655</v>
      </c>
      <c r="D828" s="22">
        <v>46046</v>
      </c>
      <c r="E828" s="23" t="s">
        <v>22658</v>
      </c>
      <c r="F828" s="24" t="s">
        <v>22657</v>
      </c>
      <c r="G828" s="25">
        <v>2</v>
      </c>
      <c r="H828" s="26"/>
      <c r="I828" s="27"/>
    </row>
    <row r="829" spans="1:9" ht="15.75" thickBot="1" x14ac:dyDescent="0.3">
      <c r="A829" s="43" t="s">
        <v>3525</v>
      </c>
      <c r="B829" s="21" t="s">
        <v>3526</v>
      </c>
      <c r="C829" s="21" t="s">
        <v>22655</v>
      </c>
      <c r="D829" s="22">
        <v>46046</v>
      </c>
      <c r="E829" s="23" t="s">
        <v>22658</v>
      </c>
      <c r="F829" s="24" t="s">
        <v>22657</v>
      </c>
      <c r="G829" s="25">
        <v>2</v>
      </c>
      <c r="H829" s="29"/>
      <c r="I829" s="30"/>
    </row>
    <row r="830" spans="1:9" ht="15.75" thickBot="1" x14ac:dyDescent="0.3">
      <c r="A830" s="43" t="s">
        <v>3527</v>
      </c>
      <c r="B830" s="21" t="s">
        <v>3528</v>
      </c>
      <c r="C830" s="21" t="s">
        <v>22690</v>
      </c>
      <c r="D830" s="31" t="s">
        <v>22729</v>
      </c>
      <c r="E830" s="23" t="s">
        <v>22658</v>
      </c>
      <c r="F830" s="24" t="s">
        <v>22657</v>
      </c>
      <c r="G830" s="25">
        <v>4</v>
      </c>
      <c r="H830" s="26"/>
      <c r="I830" s="27"/>
    </row>
    <row r="831" spans="1:9" ht="15.75" thickBot="1" x14ac:dyDescent="0.3">
      <c r="A831" s="43" t="s">
        <v>3529</v>
      </c>
      <c r="B831" s="21" t="s">
        <v>3530</v>
      </c>
      <c r="C831" s="21" t="s">
        <v>22690</v>
      </c>
      <c r="D831" s="31" t="s">
        <v>22730</v>
      </c>
      <c r="E831" s="23" t="s">
        <v>22656</v>
      </c>
      <c r="F831" s="24" t="s">
        <v>22657</v>
      </c>
      <c r="G831" s="25">
        <v>4</v>
      </c>
      <c r="H831" s="29"/>
      <c r="I831" s="30"/>
    </row>
    <row r="832" spans="1:9" ht="15.75" thickBot="1" x14ac:dyDescent="0.3">
      <c r="A832" s="43" t="s">
        <v>3531</v>
      </c>
      <c r="B832" s="21" t="s">
        <v>3532</v>
      </c>
      <c r="C832" s="21" t="s">
        <v>22690</v>
      </c>
      <c r="D832" s="31" t="s">
        <v>22730</v>
      </c>
      <c r="E832" s="23" t="s">
        <v>22656</v>
      </c>
      <c r="F832" s="24" t="s">
        <v>22657</v>
      </c>
      <c r="G832" s="25">
        <v>4</v>
      </c>
      <c r="H832" s="26"/>
      <c r="I832" s="27"/>
    </row>
    <row r="833" spans="1:9" ht="15.75" thickBot="1" x14ac:dyDescent="0.3">
      <c r="A833" s="43" t="s">
        <v>3533</v>
      </c>
      <c r="B833" s="21" t="s">
        <v>3534</v>
      </c>
      <c r="C833" s="21" t="s">
        <v>22690</v>
      </c>
      <c r="D833" s="31" t="s">
        <v>22729</v>
      </c>
      <c r="E833" s="23" t="s">
        <v>22656</v>
      </c>
      <c r="F833" s="24" t="s">
        <v>22657</v>
      </c>
      <c r="G833" s="25">
        <v>4</v>
      </c>
      <c r="H833" s="29"/>
      <c r="I833" s="30"/>
    </row>
    <row r="834" spans="1:9" ht="15.75" thickBot="1" x14ac:dyDescent="0.3">
      <c r="A834" s="43" t="s">
        <v>3535</v>
      </c>
      <c r="B834" s="21" t="s">
        <v>3536</v>
      </c>
      <c r="C834" s="21" t="s">
        <v>22682</v>
      </c>
      <c r="D834" s="22">
        <v>46034</v>
      </c>
      <c r="E834" s="23" t="s">
        <v>22658</v>
      </c>
      <c r="F834" s="24" t="s">
        <v>22657</v>
      </c>
      <c r="G834" s="25">
        <v>4</v>
      </c>
      <c r="H834" s="26"/>
      <c r="I834" s="27"/>
    </row>
    <row r="835" spans="1:9" ht="15.75" thickBot="1" x14ac:dyDescent="0.3">
      <c r="A835" s="43" t="s">
        <v>3537</v>
      </c>
      <c r="B835" s="21" t="s">
        <v>3538</v>
      </c>
      <c r="C835" s="21" t="s">
        <v>22682</v>
      </c>
      <c r="D835" s="22">
        <v>46034</v>
      </c>
      <c r="E835" s="23" t="s">
        <v>22658</v>
      </c>
      <c r="F835" s="24" t="s">
        <v>22657</v>
      </c>
      <c r="G835" s="25">
        <v>4</v>
      </c>
      <c r="H835" s="29"/>
      <c r="I835" s="30"/>
    </row>
    <row r="836" spans="1:9" ht="15.75" thickBot="1" x14ac:dyDescent="0.3">
      <c r="A836" s="43" t="s">
        <v>3539</v>
      </c>
      <c r="B836" s="21" t="s">
        <v>3540</v>
      </c>
      <c r="C836" s="21" t="s">
        <v>22682</v>
      </c>
      <c r="D836" s="22">
        <v>46034</v>
      </c>
      <c r="E836" s="23" t="s">
        <v>22656</v>
      </c>
      <c r="F836" s="24" t="s">
        <v>22657</v>
      </c>
      <c r="G836" s="25">
        <v>4</v>
      </c>
      <c r="H836" s="26"/>
      <c r="I836" s="27"/>
    </row>
    <row r="837" spans="1:9" ht="15.75" thickBot="1" x14ac:dyDescent="0.3">
      <c r="A837" s="43" t="s">
        <v>3541</v>
      </c>
      <c r="B837" s="21" t="s">
        <v>3542</v>
      </c>
      <c r="C837" s="21" t="s">
        <v>22682</v>
      </c>
      <c r="D837" s="22">
        <v>46034</v>
      </c>
      <c r="E837" s="23" t="s">
        <v>22658</v>
      </c>
      <c r="F837" s="24" t="s">
        <v>22657</v>
      </c>
      <c r="G837" s="25">
        <v>4</v>
      </c>
      <c r="H837" s="29"/>
      <c r="I837" s="30"/>
    </row>
    <row r="838" spans="1:9" ht="15.75" thickBot="1" x14ac:dyDescent="0.3">
      <c r="A838" s="43" t="s">
        <v>3543</v>
      </c>
      <c r="B838" s="21" t="s">
        <v>3544</v>
      </c>
      <c r="C838" s="21" t="s">
        <v>22667</v>
      </c>
      <c r="D838" s="31" t="s">
        <v>22713</v>
      </c>
      <c r="E838" s="23" t="s">
        <v>22661</v>
      </c>
      <c r="F838" s="24" t="s">
        <v>22657</v>
      </c>
      <c r="G838" s="25">
        <v>15</v>
      </c>
      <c r="H838" s="26"/>
      <c r="I838" s="27"/>
    </row>
    <row r="839" spans="1:9" ht="15.75" thickBot="1" x14ac:dyDescent="0.3">
      <c r="A839" s="43" t="s">
        <v>59</v>
      </c>
      <c r="B839" s="21" t="s">
        <v>60</v>
      </c>
      <c r="C839" s="21" t="s">
        <v>22655</v>
      </c>
      <c r="D839" s="22">
        <v>46046</v>
      </c>
      <c r="E839" s="23" t="s">
        <v>22665</v>
      </c>
      <c r="F839" s="24" t="s">
        <v>22657</v>
      </c>
      <c r="G839" s="25">
        <v>24</v>
      </c>
      <c r="H839" s="32">
        <v>24</v>
      </c>
      <c r="I839" s="33">
        <v>48</v>
      </c>
    </row>
    <row r="840" spans="1:9" ht="15.75" thickBot="1" x14ac:dyDescent="0.3">
      <c r="A840" s="43" t="s">
        <v>3545</v>
      </c>
      <c r="B840" s="21" t="s">
        <v>3546</v>
      </c>
      <c r="C840" s="21" t="s">
        <v>22663</v>
      </c>
      <c r="D840" s="31">
        <v>1</v>
      </c>
      <c r="E840" s="23" t="s">
        <v>22656</v>
      </c>
      <c r="F840" s="24" t="s">
        <v>22657</v>
      </c>
      <c r="G840" s="25">
        <v>6</v>
      </c>
      <c r="H840" s="34">
        <v>6</v>
      </c>
      <c r="I840" s="35">
        <v>12</v>
      </c>
    </row>
    <row r="841" spans="1:9" ht="15.75" thickBot="1" x14ac:dyDescent="0.3">
      <c r="A841" s="43" t="s">
        <v>1954</v>
      </c>
      <c r="B841" s="21" t="s">
        <v>3547</v>
      </c>
      <c r="C841" s="21" t="s">
        <v>22655</v>
      </c>
      <c r="D841" s="22">
        <v>46028</v>
      </c>
      <c r="E841" s="23" t="s">
        <v>22656</v>
      </c>
      <c r="F841" s="24" t="s">
        <v>22657</v>
      </c>
      <c r="G841" s="25">
        <v>4</v>
      </c>
      <c r="H841" s="32">
        <v>4</v>
      </c>
      <c r="I841" s="33">
        <v>6</v>
      </c>
    </row>
    <row r="842" spans="1:9" ht="15.75" thickBot="1" x14ac:dyDescent="0.3">
      <c r="A842" s="43" t="s">
        <v>3548</v>
      </c>
      <c r="B842" s="21" t="s">
        <v>3549</v>
      </c>
      <c r="C842" s="21" t="s">
        <v>22663</v>
      </c>
      <c r="D842" s="31">
        <v>1</v>
      </c>
      <c r="E842" s="23" t="s">
        <v>22656</v>
      </c>
      <c r="F842" s="24" t="s">
        <v>22657</v>
      </c>
      <c r="G842" s="25">
        <v>3</v>
      </c>
      <c r="H842" s="26"/>
      <c r="I842" s="27"/>
    </row>
    <row r="843" spans="1:9" ht="15.75" thickBot="1" x14ac:dyDescent="0.3">
      <c r="A843" s="43" t="s">
        <v>1699</v>
      </c>
      <c r="B843" s="21" t="s">
        <v>1700</v>
      </c>
      <c r="C843" s="21" t="s">
        <v>22663</v>
      </c>
      <c r="D843" s="31">
        <v>1</v>
      </c>
      <c r="E843" s="23" t="s">
        <v>22656</v>
      </c>
      <c r="F843" s="24" t="s">
        <v>22657</v>
      </c>
      <c r="G843" s="25">
        <v>2</v>
      </c>
      <c r="H843" s="29"/>
      <c r="I843" s="30"/>
    </row>
    <row r="844" spans="1:9" ht="15.75" thickBot="1" x14ac:dyDescent="0.3">
      <c r="A844" s="43" t="s">
        <v>1595</v>
      </c>
      <c r="B844" s="21" t="s">
        <v>3550</v>
      </c>
      <c r="C844" s="21" t="s">
        <v>22663</v>
      </c>
      <c r="D844" s="31">
        <v>1</v>
      </c>
      <c r="E844" s="23" t="s">
        <v>22656</v>
      </c>
      <c r="F844" s="24" t="s">
        <v>22657</v>
      </c>
      <c r="G844" s="25">
        <v>4</v>
      </c>
      <c r="H844" s="26"/>
      <c r="I844" s="27"/>
    </row>
    <row r="845" spans="1:9" ht="15.75" thickBot="1" x14ac:dyDescent="0.3">
      <c r="A845" s="43" t="s">
        <v>3551</v>
      </c>
      <c r="B845" s="21" t="s">
        <v>3552</v>
      </c>
      <c r="C845" s="21" t="s">
        <v>22663</v>
      </c>
      <c r="D845" s="31">
        <v>1</v>
      </c>
      <c r="E845" s="23" t="s">
        <v>22661</v>
      </c>
      <c r="F845" s="24" t="s">
        <v>22657</v>
      </c>
      <c r="G845" s="25">
        <v>6</v>
      </c>
      <c r="H845" s="32">
        <v>6</v>
      </c>
      <c r="I845" s="33">
        <v>12</v>
      </c>
    </row>
    <row r="846" spans="1:9" ht="15.75" thickBot="1" x14ac:dyDescent="0.3">
      <c r="A846" s="43" t="s">
        <v>1659</v>
      </c>
      <c r="B846" s="21" t="s">
        <v>3553</v>
      </c>
      <c r="C846" s="21" t="s">
        <v>22655</v>
      </c>
      <c r="D846" s="22">
        <v>46028</v>
      </c>
      <c r="E846" s="23" t="s">
        <v>22656</v>
      </c>
      <c r="F846" s="24" t="s">
        <v>22657</v>
      </c>
      <c r="G846" s="25">
        <v>3</v>
      </c>
      <c r="H846" s="34">
        <v>3</v>
      </c>
      <c r="I846" s="35">
        <v>6</v>
      </c>
    </row>
    <row r="847" spans="1:9" ht="15.75" thickBot="1" x14ac:dyDescent="0.3">
      <c r="A847" s="43" t="s">
        <v>1687</v>
      </c>
      <c r="B847" s="21" t="s">
        <v>1688</v>
      </c>
      <c r="C847" s="21" t="s">
        <v>22663</v>
      </c>
      <c r="D847" s="31">
        <v>1</v>
      </c>
      <c r="E847" s="23" t="s">
        <v>22656</v>
      </c>
      <c r="F847" s="24" t="s">
        <v>22657</v>
      </c>
      <c r="G847" s="25">
        <v>4</v>
      </c>
      <c r="H847" s="32">
        <v>4</v>
      </c>
      <c r="I847" s="33">
        <v>6</v>
      </c>
    </row>
    <row r="848" spans="1:9" ht="15.75" thickBot="1" x14ac:dyDescent="0.3">
      <c r="A848" s="43" t="s">
        <v>1880</v>
      </c>
      <c r="B848" s="21" t="s">
        <v>1881</v>
      </c>
      <c r="C848" s="21" t="s">
        <v>22727</v>
      </c>
      <c r="D848" s="31">
        <v>1</v>
      </c>
      <c r="E848" s="23" t="s">
        <v>22658</v>
      </c>
      <c r="F848" s="24" t="s">
        <v>22657</v>
      </c>
      <c r="G848" s="25">
        <v>1</v>
      </c>
      <c r="H848" s="26"/>
      <c r="I848" s="27"/>
    </row>
    <row r="849" spans="1:9" ht="15.75" thickBot="1" x14ac:dyDescent="0.3">
      <c r="A849" s="43" t="s">
        <v>3554</v>
      </c>
      <c r="B849" s="21" t="s">
        <v>3555</v>
      </c>
      <c r="C849" s="21" t="s">
        <v>22663</v>
      </c>
      <c r="D849" s="31">
        <v>1</v>
      </c>
      <c r="E849" s="23" t="s">
        <v>22656</v>
      </c>
      <c r="F849" s="24" t="s">
        <v>22657</v>
      </c>
      <c r="G849" s="25">
        <v>2</v>
      </c>
      <c r="H849" s="29"/>
      <c r="I849" s="30"/>
    </row>
    <row r="850" spans="1:9" ht="15.75" thickBot="1" x14ac:dyDescent="0.3">
      <c r="A850" s="43" t="s">
        <v>3556</v>
      </c>
      <c r="B850" s="21" t="s">
        <v>3557</v>
      </c>
      <c r="C850" s="21" t="s">
        <v>22663</v>
      </c>
      <c r="D850" s="31">
        <v>1</v>
      </c>
      <c r="E850" s="23" t="s">
        <v>22656</v>
      </c>
      <c r="F850" s="24" t="s">
        <v>22657</v>
      </c>
      <c r="G850" s="25">
        <v>10</v>
      </c>
      <c r="H850" s="34">
        <v>10</v>
      </c>
      <c r="I850" s="35">
        <v>20</v>
      </c>
    </row>
    <row r="851" spans="1:9" ht="15.75" thickBot="1" x14ac:dyDescent="0.3">
      <c r="A851" s="43" t="s">
        <v>1849</v>
      </c>
      <c r="B851" s="21" t="s">
        <v>3558</v>
      </c>
      <c r="C851" s="21" t="s">
        <v>22655</v>
      </c>
      <c r="D851" s="22">
        <v>46028</v>
      </c>
      <c r="E851" s="23" t="s">
        <v>22656</v>
      </c>
      <c r="F851" s="24" t="s">
        <v>22657</v>
      </c>
      <c r="G851" s="25">
        <v>2</v>
      </c>
      <c r="H851" s="32">
        <v>2</v>
      </c>
      <c r="I851" s="33">
        <v>6</v>
      </c>
    </row>
    <row r="852" spans="1:9" ht="15.75" thickBot="1" x14ac:dyDescent="0.3">
      <c r="A852" s="43" t="s">
        <v>3559</v>
      </c>
      <c r="B852" s="21" t="s">
        <v>3560</v>
      </c>
      <c r="C852" s="21" t="s">
        <v>22663</v>
      </c>
      <c r="D852" s="31">
        <v>1</v>
      </c>
      <c r="E852" s="23" t="s">
        <v>22656</v>
      </c>
      <c r="F852" s="24" t="s">
        <v>22657</v>
      </c>
      <c r="G852" s="25">
        <v>3</v>
      </c>
      <c r="H852" s="26"/>
      <c r="I852" s="27"/>
    </row>
    <row r="853" spans="1:9" ht="15.75" thickBot="1" x14ac:dyDescent="0.3">
      <c r="A853" s="43" t="s">
        <v>22423</v>
      </c>
      <c r="B853" s="21" t="s">
        <v>22424</v>
      </c>
      <c r="C853" s="36" t="e">
        <v>#N/A</v>
      </c>
      <c r="D853" s="37" t="e">
        <v>#N/A</v>
      </c>
      <c r="E853" s="23" t="e">
        <v>#N/A</v>
      </c>
      <c r="F853" s="28" t="s">
        <v>22659</v>
      </c>
      <c r="G853" s="25" t="e">
        <v>#N/A</v>
      </c>
      <c r="H853" s="29"/>
      <c r="I853" s="30"/>
    </row>
    <row r="854" spans="1:9" ht="15.75" thickBot="1" x14ac:dyDescent="0.3">
      <c r="A854" s="43" t="s">
        <v>3561</v>
      </c>
      <c r="B854" s="21" t="s">
        <v>3562</v>
      </c>
      <c r="C854" s="21" t="s">
        <v>22655</v>
      </c>
      <c r="D854" s="22">
        <v>46034</v>
      </c>
      <c r="E854" s="23" t="s">
        <v>22658</v>
      </c>
      <c r="F854" s="28" t="s">
        <v>22659</v>
      </c>
      <c r="G854" s="25">
        <v>1</v>
      </c>
      <c r="H854" s="26"/>
      <c r="I854" s="27"/>
    </row>
    <row r="855" spans="1:9" ht="15.75" thickBot="1" x14ac:dyDescent="0.3">
      <c r="A855" s="43" t="s">
        <v>22425</v>
      </c>
      <c r="B855" s="21" t="s">
        <v>22426</v>
      </c>
      <c r="C855" s="36" t="e">
        <v>#N/A</v>
      </c>
      <c r="D855" s="37" t="e">
        <v>#N/A</v>
      </c>
      <c r="E855" s="23" t="e">
        <v>#N/A</v>
      </c>
      <c r="F855" s="28" t="s">
        <v>22659</v>
      </c>
      <c r="G855" s="25" t="e">
        <v>#N/A</v>
      </c>
      <c r="H855" s="29"/>
      <c r="I855" s="30"/>
    </row>
    <row r="856" spans="1:9" ht="15.75" thickBot="1" x14ac:dyDescent="0.3">
      <c r="A856" s="43" t="s">
        <v>22427</v>
      </c>
      <c r="B856" s="21" t="s">
        <v>22428</v>
      </c>
      <c r="C856" s="36" t="e">
        <v>#N/A</v>
      </c>
      <c r="D856" s="37" t="e">
        <v>#N/A</v>
      </c>
      <c r="E856" s="23" t="e">
        <v>#N/A</v>
      </c>
      <c r="F856" s="28" t="s">
        <v>22659</v>
      </c>
      <c r="G856" s="25" t="e">
        <v>#N/A</v>
      </c>
      <c r="H856" s="26"/>
      <c r="I856" s="27"/>
    </row>
    <row r="857" spans="1:9" ht="15.75" thickBot="1" x14ac:dyDescent="0.3">
      <c r="A857" s="43" t="s">
        <v>22429</v>
      </c>
      <c r="B857" s="21" t="s">
        <v>22430</v>
      </c>
      <c r="C857" s="36" t="e">
        <v>#N/A</v>
      </c>
      <c r="D857" s="37" t="e">
        <v>#N/A</v>
      </c>
      <c r="E857" s="23" t="e">
        <v>#N/A</v>
      </c>
      <c r="F857" s="28" t="s">
        <v>22659</v>
      </c>
      <c r="G857" s="25" t="e">
        <v>#N/A</v>
      </c>
      <c r="H857" s="29"/>
      <c r="I857" s="30"/>
    </row>
    <row r="858" spans="1:9" ht="15.75" thickBot="1" x14ac:dyDescent="0.3">
      <c r="A858" s="43" t="s">
        <v>22431</v>
      </c>
      <c r="B858" s="21" t="s">
        <v>22432</v>
      </c>
      <c r="C858" s="36" t="e">
        <v>#N/A</v>
      </c>
      <c r="D858" s="37" t="e">
        <v>#N/A</v>
      </c>
      <c r="E858" s="23" t="e">
        <v>#N/A</v>
      </c>
      <c r="F858" s="28" t="s">
        <v>22659</v>
      </c>
      <c r="G858" s="25" t="e">
        <v>#N/A</v>
      </c>
      <c r="H858" s="26"/>
      <c r="I858" s="27"/>
    </row>
    <row r="859" spans="1:9" ht="15.75" thickBot="1" x14ac:dyDescent="0.3">
      <c r="A859" s="43" t="s">
        <v>22433</v>
      </c>
      <c r="B859" s="21" t="s">
        <v>22434</v>
      </c>
      <c r="C859" s="36" t="e">
        <v>#N/A</v>
      </c>
      <c r="D859" s="37" t="e">
        <v>#N/A</v>
      </c>
      <c r="E859" s="23" t="e">
        <v>#N/A</v>
      </c>
      <c r="F859" s="28" t="s">
        <v>22659</v>
      </c>
      <c r="G859" s="25" t="e">
        <v>#N/A</v>
      </c>
      <c r="H859" s="29"/>
      <c r="I859" s="30"/>
    </row>
    <row r="860" spans="1:9" ht="15.75" thickBot="1" x14ac:dyDescent="0.3">
      <c r="A860" s="43" t="s">
        <v>22435</v>
      </c>
      <c r="B860" s="21" t="s">
        <v>22436</v>
      </c>
      <c r="C860" s="36" t="e">
        <v>#N/A</v>
      </c>
      <c r="D860" s="37" t="e">
        <v>#N/A</v>
      </c>
      <c r="E860" s="23" t="e">
        <v>#N/A</v>
      </c>
      <c r="F860" s="28" t="s">
        <v>22659</v>
      </c>
      <c r="G860" s="25" t="e">
        <v>#N/A</v>
      </c>
      <c r="H860" s="26"/>
      <c r="I860" s="27"/>
    </row>
    <row r="861" spans="1:9" ht="15.75" thickBot="1" x14ac:dyDescent="0.3">
      <c r="A861" s="43" t="s">
        <v>22437</v>
      </c>
      <c r="B861" s="21" t="s">
        <v>22438</v>
      </c>
      <c r="C861" s="36" t="e">
        <v>#N/A</v>
      </c>
      <c r="D861" s="37" t="e">
        <v>#N/A</v>
      </c>
      <c r="E861" s="23" t="e">
        <v>#N/A</v>
      </c>
      <c r="F861" s="24" t="s">
        <v>22657</v>
      </c>
      <c r="G861" s="25" t="e">
        <v>#N/A</v>
      </c>
      <c r="H861" s="29"/>
      <c r="I861" s="30"/>
    </row>
    <row r="862" spans="1:9" ht="15.75" thickBot="1" x14ac:dyDescent="0.3">
      <c r="A862" s="43" t="s">
        <v>22439</v>
      </c>
      <c r="B862" s="21" t="s">
        <v>22440</v>
      </c>
      <c r="C862" s="36" t="e">
        <v>#N/A</v>
      </c>
      <c r="D862" s="37" t="e">
        <v>#N/A</v>
      </c>
      <c r="E862" s="23" t="e">
        <v>#N/A</v>
      </c>
      <c r="F862" s="24" t="s">
        <v>22657</v>
      </c>
      <c r="G862" s="25" t="e">
        <v>#N/A</v>
      </c>
      <c r="H862" s="26"/>
      <c r="I862" s="27"/>
    </row>
    <row r="863" spans="1:9" ht="15.75" thickBot="1" x14ac:dyDescent="0.3">
      <c r="A863" s="43" t="s">
        <v>22441</v>
      </c>
      <c r="B863" s="21" t="s">
        <v>22442</v>
      </c>
      <c r="C863" s="36" t="e">
        <v>#N/A</v>
      </c>
      <c r="D863" s="37" t="e">
        <v>#N/A</v>
      </c>
      <c r="E863" s="23" t="e">
        <v>#N/A</v>
      </c>
      <c r="F863" s="24" t="s">
        <v>22657</v>
      </c>
      <c r="G863" s="25" t="e">
        <v>#N/A</v>
      </c>
      <c r="H863" s="29"/>
      <c r="I863" s="30"/>
    </row>
    <row r="864" spans="1:9" ht="15.75" thickBot="1" x14ac:dyDescent="0.3">
      <c r="A864" s="43" t="s">
        <v>22443</v>
      </c>
      <c r="B864" s="21" t="s">
        <v>22444</v>
      </c>
      <c r="C864" s="36" t="e">
        <v>#N/A</v>
      </c>
      <c r="D864" s="37" t="e">
        <v>#N/A</v>
      </c>
      <c r="E864" s="23" t="e">
        <v>#N/A</v>
      </c>
      <c r="F864" s="24" t="s">
        <v>22657</v>
      </c>
      <c r="G864" s="25" t="e">
        <v>#N/A</v>
      </c>
      <c r="H864" s="26"/>
      <c r="I864" s="27"/>
    </row>
    <row r="865" spans="1:9" ht="15.75" thickBot="1" x14ac:dyDescent="0.3">
      <c r="A865" s="43" t="s">
        <v>22445</v>
      </c>
      <c r="B865" s="21" t="s">
        <v>22446</v>
      </c>
      <c r="C865" s="36" t="e">
        <v>#N/A</v>
      </c>
      <c r="D865" s="37" t="e">
        <v>#N/A</v>
      </c>
      <c r="E865" s="23" t="e">
        <v>#N/A</v>
      </c>
      <c r="F865" s="28" t="s">
        <v>22659</v>
      </c>
      <c r="G865" s="25" t="e">
        <v>#N/A</v>
      </c>
      <c r="H865" s="29"/>
      <c r="I865" s="30"/>
    </row>
    <row r="866" spans="1:9" ht="15.75" thickBot="1" x14ac:dyDescent="0.3">
      <c r="A866" s="43" t="s">
        <v>3563</v>
      </c>
      <c r="B866" s="21" t="s">
        <v>3564</v>
      </c>
      <c r="C866" s="21" t="s">
        <v>22655</v>
      </c>
      <c r="D866" s="22">
        <v>46026</v>
      </c>
      <c r="E866" s="23" t="s">
        <v>22658</v>
      </c>
      <c r="F866" s="24" t="s">
        <v>22657</v>
      </c>
      <c r="G866" s="25">
        <v>1</v>
      </c>
      <c r="H866" s="26"/>
      <c r="I866" s="27"/>
    </row>
    <row r="867" spans="1:9" ht="15.75" thickBot="1" x14ac:dyDescent="0.3">
      <c r="A867" s="43" t="s">
        <v>1980</v>
      </c>
      <c r="B867" s="21" t="s">
        <v>1981</v>
      </c>
      <c r="C867" s="21" t="s">
        <v>22663</v>
      </c>
      <c r="D867" s="31">
        <v>1</v>
      </c>
      <c r="E867" s="23" t="s">
        <v>22656</v>
      </c>
      <c r="F867" s="24" t="s">
        <v>22657</v>
      </c>
      <c r="G867" s="25">
        <v>2</v>
      </c>
      <c r="H867" s="32">
        <v>2</v>
      </c>
      <c r="I867" s="33">
        <v>4</v>
      </c>
    </row>
    <row r="868" spans="1:9" ht="15.75" thickBot="1" x14ac:dyDescent="0.3">
      <c r="A868" s="43" t="s">
        <v>3565</v>
      </c>
      <c r="B868" s="21" t="s">
        <v>3566</v>
      </c>
      <c r="C868" s="21" t="s">
        <v>22663</v>
      </c>
      <c r="D868" s="31">
        <v>1</v>
      </c>
      <c r="E868" s="23" t="s">
        <v>22656</v>
      </c>
      <c r="F868" s="24" t="s">
        <v>22657</v>
      </c>
      <c r="G868" s="25">
        <v>6</v>
      </c>
      <c r="H868" s="34">
        <v>6</v>
      </c>
      <c r="I868" s="35">
        <v>12</v>
      </c>
    </row>
    <row r="869" spans="1:9" ht="15.75" thickBot="1" x14ac:dyDescent="0.3">
      <c r="A869" s="43" t="s">
        <v>225</v>
      </c>
      <c r="B869" s="21" t="s">
        <v>226</v>
      </c>
      <c r="C869" s="21" t="s">
        <v>22663</v>
      </c>
      <c r="D869" s="31">
        <v>1</v>
      </c>
      <c r="E869" s="23" t="s">
        <v>22656</v>
      </c>
      <c r="F869" s="24" t="s">
        <v>22657</v>
      </c>
      <c r="G869" s="25">
        <v>2</v>
      </c>
      <c r="H869" s="29"/>
      <c r="I869" s="30"/>
    </row>
    <row r="870" spans="1:9" ht="15.75" thickBot="1" x14ac:dyDescent="0.3">
      <c r="A870" s="43" t="s">
        <v>1960</v>
      </c>
      <c r="B870" s="21" t="s">
        <v>1961</v>
      </c>
      <c r="C870" s="21" t="s">
        <v>22663</v>
      </c>
      <c r="D870" s="31">
        <v>1</v>
      </c>
      <c r="E870" s="23" t="s">
        <v>22656</v>
      </c>
      <c r="F870" s="24" t="s">
        <v>22657</v>
      </c>
      <c r="G870" s="25">
        <v>6</v>
      </c>
      <c r="H870" s="34">
        <v>6</v>
      </c>
      <c r="I870" s="35">
        <v>8</v>
      </c>
    </row>
    <row r="871" spans="1:9" ht="15.75" thickBot="1" x14ac:dyDescent="0.3">
      <c r="A871" s="43" t="s">
        <v>3567</v>
      </c>
      <c r="B871" s="21" t="s">
        <v>3568</v>
      </c>
      <c r="C871" s="21" t="s">
        <v>22727</v>
      </c>
      <c r="D871" s="31">
        <v>1</v>
      </c>
      <c r="E871" s="23" t="s">
        <v>22658</v>
      </c>
      <c r="F871" s="28" t="s">
        <v>22659</v>
      </c>
      <c r="G871" s="25">
        <v>1</v>
      </c>
      <c r="H871" s="29"/>
      <c r="I871" s="30"/>
    </row>
    <row r="872" spans="1:9" ht="15.75" thickBot="1" x14ac:dyDescent="0.3">
      <c r="A872" s="43" t="s">
        <v>3569</v>
      </c>
      <c r="B872" s="21" t="s">
        <v>3570</v>
      </c>
      <c r="C872" s="21" t="s">
        <v>22663</v>
      </c>
      <c r="D872" s="31">
        <v>1</v>
      </c>
      <c r="E872" s="23" t="s">
        <v>22658</v>
      </c>
      <c r="F872" s="24" t="s">
        <v>22657</v>
      </c>
      <c r="G872" s="25">
        <v>4</v>
      </c>
      <c r="H872" s="26"/>
      <c r="I872" s="27"/>
    </row>
    <row r="873" spans="1:9" ht="15.75" thickBot="1" x14ac:dyDescent="0.3">
      <c r="A873" s="43" t="s">
        <v>3571</v>
      </c>
      <c r="B873" s="21" t="s">
        <v>3572</v>
      </c>
      <c r="C873" s="21" t="s">
        <v>22663</v>
      </c>
      <c r="D873" s="31">
        <v>1</v>
      </c>
      <c r="E873" s="23" t="s">
        <v>22658</v>
      </c>
      <c r="F873" s="24" t="s">
        <v>22657</v>
      </c>
      <c r="G873" s="25">
        <v>2</v>
      </c>
      <c r="H873" s="29"/>
      <c r="I873" s="30"/>
    </row>
    <row r="874" spans="1:9" ht="15.75" thickBot="1" x14ac:dyDescent="0.3">
      <c r="A874" s="43" t="s">
        <v>1619</v>
      </c>
      <c r="B874" s="21" t="s">
        <v>1620</v>
      </c>
      <c r="C874" s="21" t="s">
        <v>22727</v>
      </c>
      <c r="D874" s="31">
        <v>1</v>
      </c>
      <c r="E874" s="23" t="s">
        <v>22658</v>
      </c>
      <c r="F874" s="24" t="s">
        <v>22657</v>
      </c>
      <c r="G874" s="25">
        <v>1</v>
      </c>
      <c r="H874" s="26"/>
      <c r="I874" s="27"/>
    </row>
    <row r="875" spans="1:9" ht="15.75" thickBot="1" x14ac:dyDescent="0.3">
      <c r="A875" s="43" t="s">
        <v>3575</v>
      </c>
      <c r="B875" s="21" t="s">
        <v>3576</v>
      </c>
      <c r="C875" s="21" t="s">
        <v>22655</v>
      </c>
      <c r="D875" s="22">
        <v>46028</v>
      </c>
      <c r="E875" s="23" t="s">
        <v>22658</v>
      </c>
      <c r="F875" s="24" t="s">
        <v>22657</v>
      </c>
      <c r="G875" s="25">
        <v>1</v>
      </c>
      <c r="H875" s="29"/>
      <c r="I875" s="30"/>
    </row>
    <row r="876" spans="1:9" ht="15.75" thickBot="1" x14ac:dyDescent="0.3">
      <c r="A876" s="43" t="s">
        <v>3577</v>
      </c>
      <c r="B876" s="21" t="s">
        <v>3578</v>
      </c>
      <c r="C876" s="21" t="s">
        <v>22663</v>
      </c>
      <c r="D876" s="31">
        <v>1</v>
      </c>
      <c r="E876" s="23" t="s">
        <v>22658</v>
      </c>
      <c r="F876" s="24" t="s">
        <v>22657</v>
      </c>
      <c r="G876" s="25">
        <v>1</v>
      </c>
      <c r="H876" s="26"/>
      <c r="I876" s="27"/>
    </row>
    <row r="877" spans="1:9" ht="15.75" thickBot="1" x14ac:dyDescent="0.3">
      <c r="A877" s="43" t="s">
        <v>3579</v>
      </c>
      <c r="B877" s="21" t="s">
        <v>3580</v>
      </c>
      <c r="C877" s="21" t="s">
        <v>22663</v>
      </c>
      <c r="D877" s="31">
        <v>1</v>
      </c>
      <c r="E877" s="23" t="s">
        <v>22658</v>
      </c>
      <c r="F877" s="24" t="s">
        <v>22657</v>
      </c>
      <c r="G877" s="25">
        <v>1</v>
      </c>
      <c r="H877" s="29"/>
      <c r="I877" s="30"/>
    </row>
    <row r="878" spans="1:9" ht="15.75" thickBot="1" x14ac:dyDescent="0.3">
      <c r="A878" s="43" t="s">
        <v>3581</v>
      </c>
      <c r="B878" s="21" t="s">
        <v>3582</v>
      </c>
      <c r="C878" s="21" t="s">
        <v>22655</v>
      </c>
      <c r="D878" s="22">
        <v>46034</v>
      </c>
      <c r="E878" s="23" t="s">
        <v>22658</v>
      </c>
      <c r="F878" s="24" t="s">
        <v>22657</v>
      </c>
      <c r="G878" s="25">
        <v>2</v>
      </c>
      <c r="H878" s="26"/>
      <c r="I878" s="27"/>
    </row>
    <row r="879" spans="1:9" ht="15.75" thickBot="1" x14ac:dyDescent="0.3">
      <c r="A879" s="43" t="s">
        <v>3583</v>
      </c>
      <c r="B879" s="21" t="s">
        <v>3584</v>
      </c>
      <c r="C879" s="21" t="s">
        <v>22712</v>
      </c>
      <c r="D879" s="22">
        <v>46037</v>
      </c>
      <c r="E879" s="23" t="s">
        <v>22656</v>
      </c>
      <c r="F879" s="24" t="s">
        <v>22657</v>
      </c>
      <c r="G879" s="25">
        <v>5</v>
      </c>
      <c r="H879" s="29"/>
      <c r="I879" s="30"/>
    </row>
    <row r="880" spans="1:9" ht="15.75" thickBot="1" x14ac:dyDescent="0.3">
      <c r="A880" s="43" t="s">
        <v>3585</v>
      </c>
      <c r="B880" s="21" t="s">
        <v>3586</v>
      </c>
      <c r="C880" s="21" t="s">
        <v>22655</v>
      </c>
      <c r="D880" s="22">
        <v>46030</v>
      </c>
      <c r="E880" s="23" t="s">
        <v>22656</v>
      </c>
      <c r="F880" s="24" t="s">
        <v>22657</v>
      </c>
      <c r="G880" s="25">
        <v>3</v>
      </c>
      <c r="H880" s="26"/>
      <c r="I880" s="27"/>
    </row>
    <row r="881" spans="1:9" ht="15.75" thickBot="1" x14ac:dyDescent="0.3">
      <c r="A881" s="43" t="s">
        <v>3587</v>
      </c>
      <c r="B881" s="21" t="s">
        <v>3588</v>
      </c>
      <c r="C881" s="21" t="s">
        <v>22655</v>
      </c>
      <c r="D881" s="22">
        <v>46034</v>
      </c>
      <c r="E881" s="23" t="s">
        <v>22658</v>
      </c>
      <c r="F881" s="24" t="s">
        <v>22657</v>
      </c>
      <c r="G881" s="25">
        <v>2</v>
      </c>
      <c r="H881" s="29"/>
      <c r="I881" s="30"/>
    </row>
    <row r="882" spans="1:9" ht="15.75" thickBot="1" x14ac:dyDescent="0.3">
      <c r="A882" s="43" t="s">
        <v>22447</v>
      </c>
      <c r="B882" s="21" t="s">
        <v>22448</v>
      </c>
      <c r="C882" s="21" t="s">
        <v>22655</v>
      </c>
      <c r="D882" s="22">
        <v>46032</v>
      </c>
      <c r="E882" s="23" t="s">
        <v>22658</v>
      </c>
      <c r="F882" s="28" t="s">
        <v>22659</v>
      </c>
      <c r="G882" s="25">
        <v>1</v>
      </c>
      <c r="H882" s="26"/>
      <c r="I882" s="27"/>
    </row>
    <row r="883" spans="1:9" ht="15.75" thickBot="1" x14ac:dyDescent="0.3">
      <c r="A883" s="43" t="s">
        <v>22449</v>
      </c>
      <c r="B883" s="21" t="s">
        <v>22450</v>
      </c>
      <c r="C883" s="21" t="s">
        <v>22655</v>
      </c>
      <c r="D883" s="22">
        <v>46032</v>
      </c>
      <c r="E883" s="23" t="s">
        <v>22658</v>
      </c>
      <c r="F883" s="28" t="s">
        <v>22659</v>
      </c>
      <c r="G883" s="25">
        <v>1</v>
      </c>
      <c r="H883" s="29"/>
      <c r="I883" s="30"/>
    </row>
    <row r="884" spans="1:9" ht="15.75" thickBot="1" x14ac:dyDescent="0.3">
      <c r="A884" s="43" t="s">
        <v>3589</v>
      </c>
      <c r="B884" s="21" t="s">
        <v>3590</v>
      </c>
      <c r="C884" s="21" t="s">
        <v>22655</v>
      </c>
      <c r="D884" s="22">
        <v>46032</v>
      </c>
      <c r="E884" s="23" t="s">
        <v>22658</v>
      </c>
      <c r="F884" s="28" t="s">
        <v>22659</v>
      </c>
      <c r="G884" s="25">
        <v>1</v>
      </c>
      <c r="H884" s="26"/>
      <c r="I884" s="27"/>
    </row>
    <row r="885" spans="1:9" ht="15.75" thickBot="1" x14ac:dyDescent="0.3">
      <c r="A885" s="43" t="s">
        <v>22380</v>
      </c>
      <c r="B885" s="21" t="s">
        <v>22381</v>
      </c>
      <c r="C885" s="36" t="e">
        <v>#N/A</v>
      </c>
      <c r="D885" s="37" t="e">
        <v>#N/A</v>
      </c>
      <c r="E885" s="23" t="e">
        <v>#N/A</v>
      </c>
      <c r="F885" s="28" t="s">
        <v>22659</v>
      </c>
      <c r="G885" s="25" t="e">
        <v>#N/A</v>
      </c>
      <c r="H885" s="29"/>
      <c r="I885" s="30"/>
    </row>
    <row r="886" spans="1:9" ht="15.75" thickBot="1" x14ac:dyDescent="0.3">
      <c r="A886" s="43" t="s">
        <v>3591</v>
      </c>
      <c r="B886" s="21" t="s">
        <v>3592</v>
      </c>
      <c r="C886" s="21" t="s">
        <v>22655</v>
      </c>
      <c r="D886" s="22">
        <v>46032</v>
      </c>
      <c r="E886" s="23" t="s">
        <v>22656</v>
      </c>
      <c r="F886" s="28" t="s">
        <v>22659</v>
      </c>
      <c r="G886" s="25">
        <v>2</v>
      </c>
      <c r="H886" s="26"/>
      <c r="I886" s="27"/>
    </row>
    <row r="887" spans="1:9" ht="15.75" thickBot="1" x14ac:dyDescent="0.3">
      <c r="A887" s="43" t="s">
        <v>22451</v>
      </c>
      <c r="B887" s="21" t="s">
        <v>22452</v>
      </c>
      <c r="C887" s="21" t="s">
        <v>22655</v>
      </c>
      <c r="D887" s="22">
        <v>46031</v>
      </c>
      <c r="E887" s="23" t="s">
        <v>22656</v>
      </c>
      <c r="F887" s="28" t="s">
        <v>22659</v>
      </c>
      <c r="G887" s="25">
        <v>2</v>
      </c>
      <c r="H887" s="29"/>
      <c r="I887" s="30"/>
    </row>
    <row r="888" spans="1:9" ht="15.75" thickBot="1" x14ac:dyDescent="0.3">
      <c r="A888" s="43" t="s">
        <v>3593</v>
      </c>
      <c r="B888" s="21" t="s">
        <v>3594</v>
      </c>
      <c r="C888" s="21" t="s">
        <v>22655</v>
      </c>
      <c r="D888" s="22">
        <v>46031</v>
      </c>
      <c r="E888" s="23" t="s">
        <v>22656</v>
      </c>
      <c r="F888" s="24" t="s">
        <v>22657</v>
      </c>
      <c r="G888" s="25">
        <v>2</v>
      </c>
      <c r="H888" s="26"/>
      <c r="I888" s="27"/>
    </row>
    <row r="889" spans="1:9" ht="15.75" thickBot="1" x14ac:dyDescent="0.3">
      <c r="A889" s="43" t="s">
        <v>22453</v>
      </c>
      <c r="B889" s="21" t="s">
        <v>22454</v>
      </c>
      <c r="C889" s="21" t="s">
        <v>22690</v>
      </c>
      <c r="D889" s="31" t="s">
        <v>22729</v>
      </c>
      <c r="E889" s="23" t="s">
        <v>22658</v>
      </c>
      <c r="F889" s="28" t="s">
        <v>22659</v>
      </c>
      <c r="G889" s="25">
        <v>4</v>
      </c>
      <c r="H889" s="29"/>
      <c r="I889" s="30"/>
    </row>
    <row r="890" spans="1:9" ht="15.75" thickBot="1" x14ac:dyDescent="0.3">
      <c r="A890" s="43" t="s">
        <v>22455</v>
      </c>
      <c r="B890" s="21" t="s">
        <v>22456</v>
      </c>
      <c r="C890" s="21" t="s">
        <v>22690</v>
      </c>
      <c r="D890" s="31" t="s">
        <v>22729</v>
      </c>
      <c r="E890" s="23" t="s">
        <v>22658</v>
      </c>
      <c r="F890" s="28" t="s">
        <v>22659</v>
      </c>
      <c r="G890" s="25">
        <v>4</v>
      </c>
      <c r="H890" s="26"/>
      <c r="I890" s="27"/>
    </row>
    <row r="891" spans="1:9" ht="15.75" thickBot="1" x14ac:dyDescent="0.3">
      <c r="A891" s="43" t="s">
        <v>22457</v>
      </c>
      <c r="B891" s="21" t="s">
        <v>22458</v>
      </c>
      <c r="C891" s="21" t="s">
        <v>22690</v>
      </c>
      <c r="D891" s="31" t="s">
        <v>22729</v>
      </c>
      <c r="E891" s="23" t="s">
        <v>22658</v>
      </c>
      <c r="F891" s="28" t="s">
        <v>22659</v>
      </c>
      <c r="G891" s="25">
        <v>4</v>
      </c>
      <c r="H891" s="29"/>
      <c r="I891" s="30"/>
    </row>
    <row r="892" spans="1:9" ht="15.75" thickBot="1" x14ac:dyDescent="0.3">
      <c r="A892" s="43" t="s">
        <v>3595</v>
      </c>
      <c r="B892" s="21" t="s">
        <v>3596</v>
      </c>
      <c r="C892" s="21" t="s">
        <v>22655</v>
      </c>
      <c r="D892" s="22">
        <v>46040</v>
      </c>
      <c r="E892" s="23" t="s">
        <v>22656</v>
      </c>
      <c r="F892" s="24" t="s">
        <v>22657</v>
      </c>
      <c r="G892" s="25">
        <v>2</v>
      </c>
      <c r="H892" s="26"/>
      <c r="I892" s="27"/>
    </row>
    <row r="893" spans="1:9" ht="15.75" thickBot="1" x14ac:dyDescent="0.3">
      <c r="A893" s="43" t="s">
        <v>3597</v>
      </c>
      <c r="B893" s="21" t="s">
        <v>3598</v>
      </c>
      <c r="C893" s="21" t="s">
        <v>22655</v>
      </c>
      <c r="D893" s="22">
        <v>46040</v>
      </c>
      <c r="E893" s="23" t="s">
        <v>22656</v>
      </c>
      <c r="F893" s="24" t="s">
        <v>22657</v>
      </c>
      <c r="G893" s="25">
        <v>14</v>
      </c>
      <c r="H893" s="29"/>
      <c r="I893" s="30"/>
    </row>
    <row r="894" spans="1:9" ht="15.75" thickBot="1" x14ac:dyDescent="0.3">
      <c r="A894" s="43" t="s">
        <v>3599</v>
      </c>
      <c r="B894" s="21" t="s">
        <v>3600</v>
      </c>
      <c r="C894" s="21" t="s">
        <v>22655</v>
      </c>
      <c r="D894" s="22">
        <v>46034</v>
      </c>
      <c r="E894" s="23" t="s">
        <v>22656</v>
      </c>
      <c r="F894" s="24" t="s">
        <v>22657</v>
      </c>
      <c r="G894" s="25">
        <v>2</v>
      </c>
      <c r="H894" s="26"/>
      <c r="I894" s="27"/>
    </row>
    <row r="895" spans="1:9" ht="15.75" thickBot="1" x14ac:dyDescent="0.3">
      <c r="A895" s="43" t="s">
        <v>22459</v>
      </c>
      <c r="B895" s="21" t="s">
        <v>22460</v>
      </c>
      <c r="C895" s="21" t="s">
        <v>22655</v>
      </c>
      <c r="D895" s="22">
        <v>46031</v>
      </c>
      <c r="E895" s="23" t="s">
        <v>22658</v>
      </c>
      <c r="F895" s="28" t="s">
        <v>22659</v>
      </c>
      <c r="G895" s="25">
        <v>1</v>
      </c>
      <c r="H895" s="29"/>
      <c r="I895" s="30"/>
    </row>
    <row r="896" spans="1:9" ht="15.75" thickBot="1" x14ac:dyDescent="0.3">
      <c r="A896" s="43" t="s">
        <v>22461</v>
      </c>
      <c r="B896" s="21" t="s">
        <v>22462</v>
      </c>
      <c r="C896" s="21" t="s">
        <v>22655</v>
      </c>
      <c r="D896" s="22">
        <v>46028</v>
      </c>
      <c r="E896" s="23" t="s">
        <v>22658</v>
      </c>
      <c r="F896" s="28" t="s">
        <v>22659</v>
      </c>
      <c r="G896" s="25">
        <v>1</v>
      </c>
      <c r="H896" s="26"/>
      <c r="I896" s="27"/>
    </row>
    <row r="897" spans="1:9" ht="15.75" thickBot="1" x14ac:dyDescent="0.3">
      <c r="A897" s="43" t="s">
        <v>3601</v>
      </c>
      <c r="B897" s="21" t="s">
        <v>3602</v>
      </c>
      <c r="C897" s="21" t="s">
        <v>22655</v>
      </c>
      <c r="D897" s="22">
        <v>46030</v>
      </c>
      <c r="E897" s="23" t="s">
        <v>22658</v>
      </c>
      <c r="F897" s="28" t="s">
        <v>22659</v>
      </c>
      <c r="G897" s="25">
        <v>1</v>
      </c>
      <c r="H897" s="29"/>
      <c r="I897" s="30"/>
    </row>
    <row r="898" spans="1:9" ht="15.75" thickBot="1" x14ac:dyDescent="0.3">
      <c r="A898" s="43" t="s">
        <v>3603</v>
      </c>
      <c r="B898" s="21" t="s">
        <v>3604</v>
      </c>
      <c r="C898" s="21" t="s">
        <v>22655</v>
      </c>
      <c r="D898" s="22">
        <v>46030</v>
      </c>
      <c r="E898" s="23" t="s">
        <v>22658</v>
      </c>
      <c r="F898" s="28" t="s">
        <v>22659</v>
      </c>
      <c r="G898" s="25">
        <v>1</v>
      </c>
      <c r="H898" s="26"/>
      <c r="I898" s="27"/>
    </row>
    <row r="899" spans="1:9" ht="15.75" thickBot="1" x14ac:dyDescent="0.3">
      <c r="A899" s="43" t="s">
        <v>22463</v>
      </c>
      <c r="B899" s="21" t="s">
        <v>22464</v>
      </c>
      <c r="C899" s="21" t="s">
        <v>22655</v>
      </c>
      <c r="D899" s="22">
        <v>46030</v>
      </c>
      <c r="E899" s="23" t="s">
        <v>22658</v>
      </c>
      <c r="F899" s="28" t="s">
        <v>22659</v>
      </c>
      <c r="G899" s="25">
        <v>1</v>
      </c>
      <c r="H899" s="29"/>
      <c r="I899" s="30"/>
    </row>
    <row r="900" spans="1:9" ht="15.75" thickBot="1" x14ac:dyDescent="0.3">
      <c r="A900" s="43" t="s">
        <v>3605</v>
      </c>
      <c r="B900" s="21" t="s">
        <v>3606</v>
      </c>
      <c r="C900" s="21" t="s">
        <v>22655</v>
      </c>
      <c r="D900" s="22">
        <v>46028</v>
      </c>
      <c r="E900" s="23" t="s">
        <v>22658</v>
      </c>
      <c r="F900" s="24" t="s">
        <v>22657</v>
      </c>
      <c r="G900" s="25">
        <v>2</v>
      </c>
      <c r="H900" s="26"/>
      <c r="I900" s="27"/>
    </row>
    <row r="901" spans="1:9" ht="15.75" thickBot="1" x14ac:dyDescent="0.3">
      <c r="A901" s="43" t="s">
        <v>3607</v>
      </c>
      <c r="B901" s="21" t="s">
        <v>3608</v>
      </c>
      <c r="C901" s="21" t="s">
        <v>22655</v>
      </c>
      <c r="D901" s="22">
        <v>46028</v>
      </c>
      <c r="E901" s="23" t="s">
        <v>22658</v>
      </c>
      <c r="F901" s="24" t="s">
        <v>22657</v>
      </c>
      <c r="G901" s="25">
        <v>2</v>
      </c>
      <c r="H901" s="29"/>
      <c r="I901" s="30"/>
    </row>
    <row r="902" spans="1:9" ht="15.75" thickBot="1" x14ac:dyDescent="0.3">
      <c r="A902" s="43" t="s">
        <v>3609</v>
      </c>
      <c r="B902" s="21" t="s">
        <v>3610</v>
      </c>
      <c r="C902" s="21" t="s">
        <v>22655</v>
      </c>
      <c r="D902" s="22">
        <v>46028</v>
      </c>
      <c r="E902" s="23" t="s">
        <v>22658</v>
      </c>
      <c r="F902" s="24" t="s">
        <v>22657</v>
      </c>
      <c r="G902" s="25">
        <v>2</v>
      </c>
      <c r="H902" s="26"/>
      <c r="I902" s="27"/>
    </row>
    <row r="903" spans="1:9" ht="15.75" thickBot="1" x14ac:dyDescent="0.3">
      <c r="A903" s="43" t="s">
        <v>3611</v>
      </c>
      <c r="B903" s="21" t="s">
        <v>3612</v>
      </c>
      <c r="C903" s="21" t="s">
        <v>22655</v>
      </c>
      <c r="D903" s="22">
        <v>46028</v>
      </c>
      <c r="E903" s="23" t="s">
        <v>22658</v>
      </c>
      <c r="F903" s="24" t="s">
        <v>22657</v>
      </c>
      <c r="G903" s="25">
        <v>2</v>
      </c>
      <c r="H903" s="29"/>
      <c r="I903" s="30"/>
    </row>
    <row r="904" spans="1:9" ht="15.75" thickBot="1" x14ac:dyDescent="0.3">
      <c r="A904" s="43" t="s">
        <v>3613</v>
      </c>
      <c r="B904" s="21" t="s">
        <v>3614</v>
      </c>
      <c r="C904" s="21" t="s">
        <v>22655</v>
      </c>
      <c r="D904" s="22">
        <v>46028</v>
      </c>
      <c r="E904" s="23" t="s">
        <v>22658</v>
      </c>
      <c r="F904" s="24" t="s">
        <v>22657</v>
      </c>
      <c r="G904" s="25">
        <v>2</v>
      </c>
      <c r="H904" s="26"/>
      <c r="I904" s="27"/>
    </row>
    <row r="905" spans="1:9" ht="15.75" thickBot="1" x14ac:dyDescent="0.3">
      <c r="A905" s="43" t="s">
        <v>3615</v>
      </c>
      <c r="B905" s="21" t="s">
        <v>3616</v>
      </c>
      <c r="C905" s="21" t="s">
        <v>22655</v>
      </c>
      <c r="D905" s="22">
        <v>46028</v>
      </c>
      <c r="E905" s="23" t="s">
        <v>22658</v>
      </c>
      <c r="F905" s="24" t="s">
        <v>22657</v>
      </c>
      <c r="G905" s="25">
        <v>2</v>
      </c>
      <c r="H905" s="29"/>
      <c r="I905" s="30"/>
    </row>
    <row r="906" spans="1:9" ht="15.75" thickBot="1" x14ac:dyDescent="0.3">
      <c r="A906" s="43" t="s">
        <v>3617</v>
      </c>
      <c r="B906" s="21" t="s">
        <v>3618</v>
      </c>
      <c r="C906" s="21" t="s">
        <v>22655</v>
      </c>
      <c r="D906" s="22">
        <v>46028</v>
      </c>
      <c r="E906" s="23" t="s">
        <v>22658</v>
      </c>
      <c r="F906" s="24" t="s">
        <v>22657</v>
      </c>
      <c r="G906" s="25">
        <v>2</v>
      </c>
      <c r="H906" s="26"/>
      <c r="I906" s="27"/>
    </row>
    <row r="907" spans="1:9" ht="15.75" thickBot="1" x14ac:dyDescent="0.3">
      <c r="A907" s="43" t="s">
        <v>3619</v>
      </c>
      <c r="B907" s="21" t="s">
        <v>3620</v>
      </c>
      <c r="C907" s="21" t="s">
        <v>22655</v>
      </c>
      <c r="D907" s="22">
        <v>46028</v>
      </c>
      <c r="E907" s="23" t="s">
        <v>22658</v>
      </c>
      <c r="F907" s="24" t="s">
        <v>22657</v>
      </c>
      <c r="G907" s="25">
        <v>2</v>
      </c>
      <c r="H907" s="29"/>
      <c r="I907" s="30"/>
    </row>
    <row r="908" spans="1:9" ht="15.75" thickBot="1" x14ac:dyDescent="0.3">
      <c r="A908" s="43" t="s">
        <v>3621</v>
      </c>
      <c r="B908" s="21" t="s">
        <v>3622</v>
      </c>
      <c r="C908" s="21" t="s">
        <v>22655</v>
      </c>
      <c r="D908" s="22">
        <v>46028</v>
      </c>
      <c r="E908" s="23" t="s">
        <v>22658</v>
      </c>
      <c r="F908" s="24" t="s">
        <v>22657</v>
      </c>
      <c r="G908" s="25">
        <v>2</v>
      </c>
      <c r="H908" s="26"/>
      <c r="I908" s="27"/>
    </row>
    <row r="909" spans="1:9" ht="15.75" thickBot="1" x14ac:dyDescent="0.3">
      <c r="A909" s="43" t="s">
        <v>3623</v>
      </c>
      <c r="B909" s="21" t="s">
        <v>3624</v>
      </c>
      <c r="C909" s="21" t="s">
        <v>22655</v>
      </c>
      <c r="D909" s="22">
        <v>46028</v>
      </c>
      <c r="E909" s="23" t="s">
        <v>22658</v>
      </c>
      <c r="F909" s="24" t="s">
        <v>22657</v>
      </c>
      <c r="G909" s="25">
        <v>2</v>
      </c>
      <c r="H909" s="29"/>
      <c r="I909" s="30"/>
    </row>
    <row r="910" spans="1:9" ht="15.75" thickBot="1" x14ac:dyDescent="0.3">
      <c r="A910" s="43" t="s">
        <v>3625</v>
      </c>
      <c r="B910" s="21" t="s">
        <v>3626</v>
      </c>
      <c r="C910" s="21" t="s">
        <v>22655</v>
      </c>
      <c r="D910" s="22">
        <v>46034</v>
      </c>
      <c r="E910" s="23" t="s">
        <v>22656</v>
      </c>
      <c r="F910" s="24" t="s">
        <v>22657</v>
      </c>
      <c r="G910" s="25">
        <v>2</v>
      </c>
      <c r="H910" s="26"/>
      <c r="I910" s="27"/>
    </row>
    <row r="911" spans="1:9" ht="15.75" thickBot="1" x14ac:dyDescent="0.3">
      <c r="A911" s="43" t="s">
        <v>3627</v>
      </c>
      <c r="B911" s="21" t="s">
        <v>3628</v>
      </c>
      <c r="C911" s="21" t="s">
        <v>22655</v>
      </c>
      <c r="D911" s="22">
        <v>46034</v>
      </c>
      <c r="E911" s="23" t="s">
        <v>22656</v>
      </c>
      <c r="F911" s="24" t="s">
        <v>22657</v>
      </c>
      <c r="G911" s="25">
        <v>2</v>
      </c>
      <c r="H911" s="29"/>
      <c r="I911" s="30"/>
    </row>
    <row r="912" spans="1:9" ht="15.75" thickBot="1" x14ac:dyDescent="0.3">
      <c r="A912" s="43" t="s">
        <v>3629</v>
      </c>
      <c r="B912" s="21" t="s">
        <v>3630</v>
      </c>
      <c r="C912" s="21" t="s">
        <v>22655</v>
      </c>
      <c r="D912" s="22">
        <v>46028</v>
      </c>
      <c r="E912" s="23" t="s">
        <v>22656</v>
      </c>
      <c r="F912" s="24" t="s">
        <v>22657</v>
      </c>
      <c r="G912" s="25">
        <v>2</v>
      </c>
      <c r="H912" s="26"/>
      <c r="I912" s="27"/>
    </row>
    <row r="913" spans="1:9" ht="15.75" thickBot="1" x14ac:dyDescent="0.3">
      <c r="A913" s="43" t="s">
        <v>3631</v>
      </c>
      <c r="B913" s="21" t="s">
        <v>3632</v>
      </c>
      <c r="C913" s="21" t="s">
        <v>22655</v>
      </c>
      <c r="D913" s="22">
        <v>46034</v>
      </c>
      <c r="E913" s="23" t="s">
        <v>22658</v>
      </c>
      <c r="F913" s="24" t="s">
        <v>22657</v>
      </c>
      <c r="G913" s="25">
        <v>2</v>
      </c>
      <c r="H913" s="29"/>
      <c r="I913" s="30"/>
    </row>
    <row r="914" spans="1:9" ht="15.75" thickBot="1" x14ac:dyDescent="0.3">
      <c r="A914" s="43" t="s">
        <v>3633</v>
      </c>
      <c r="B914" s="21" t="s">
        <v>3634</v>
      </c>
      <c r="C914" s="21" t="s">
        <v>22655</v>
      </c>
      <c r="D914" s="22">
        <v>46028</v>
      </c>
      <c r="E914" s="23" t="s">
        <v>22656</v>
      </c>
      <c r="F914" s="24" t="s">
        <v>22657</v>
      </c>
      <c r="G914" s="25">
        <v>2</v>
      </c>
      <c r="H914" s="26"/>
      <c r="I914" s="27"/>
    </row>
    <row r="915" spans="1:9" ht="15.75" thickBot="1" x14ac:dyDescent="0.3">
      <c r="A915" s="43" t="s">
        <v>3635</v>
      </c>
      <c r="B915" s="21" t="s">
        <v>3636</v>
      </c>
      <c r="C915" s="21" t="s">
        <v>22655</v>
      </c>
      <c r="D915" s="31" t="s">
        <v>22731</v>
      </c>
      <c r="E915" s="23" t="s">
        <v>22656</v>
      </c>
      <c r="F915" s="24" t="s">
        <v>22657</v>
      </c>
      <c r="G915" s="25">
        <v>7</v>
      </c>
      <c r="H915" s="29"/>
      <c r="I915" s="30"/>
    </row>
    <row r="916" spans="1:9" ht="15.75" thickBot="1" x14ac:dyDescent="0.3">
      <c r="A916" s="43" t="s">
        <v>3637</v>
      </c>
      <c r="B916" s="21" t="s">
        <v>3638</v>
      </c>
      <c r="C916" s="21" t="s">
        <v>22655</v>
      </c>
      <c r="D916" s="31" t="s">
        <v>22673</v>
      </c>
      <c r="E916" s="23" t="s">
        <v>22658</v>
      </c>
      <c r="F916" s="24" t="s">
        <v>22657</v>
      </c>
      <c r="G916" s="25">
        <v>7</v>
      </c>
      <c r="H916" s="26"/>
      <c r="I916" s="27"/>
    </row>
    <row r="917" spans="1:9" ht="15.75" thickBot="1" x14ac:dyDescent="0.3">
      <c r="A917" s="43" t="s">
        <v>3639</v>
      </c>
      <c r="B917" s="21" t="s">
        <v>3640</v>
      </c>
      <c r="C917" s="21" t="s">
        <v>22655</v>
      </c>
      <c r="D917" s="22">
        <v>46032</v>
      </c>
      <c r="E917" s="23" t="s">
        <v>22656</v>
      </c>
      <c r="F917" s="24" t="s">
        <v>22657</v>
      </c>
      <c r="G917" s="25">
        <v>4</v>
      </c>
      <c r="H917" s="29"/>
      <c r="I917" s="30"/>
    </row>
    <row r="918" spans="1:9" ht="15.75" thickBot="1" x14ac:dyDescent="0.3">
      <c r="A918" s="43" t="s">
        <v>3641</v>
      </c>
      <c r="B918" s="21" t="s">
        <v>3642</v>
      </c>
      <c r="C918" s="21" t="s">
        <v>22655</v>
      </c>
      <c r="D918" s="22">
        <v>46032</v>
      </c>
      <c r="E918" s="23" t="s">
        <v>22656</v>
      </c>
      <c r="F918" s="24" t="s">
        <v>22657</v>
      </c>
      <c r="G918" s="25">
        <v>4</v>
      </c>
      <c r="H918" s="26"/>
      <c r="I918" s="27"/>
    </row>
    <row r="919" spans="1:9" ht="15.75" thickBot="1" x14ac:dyDescent="0.3">
      <c r="A919" s="43" t="s">
        <v>3643</v>
      </c>
      <c r="B919" s="21" t="s">
        <v>3644</v>
      </c>
      <c r="C919" s="21" t="s">
        <v>22655</v>
      </c>
      <c r="D919" s="22">
        <v>46032</v>
      </c>
      <c r="E919" s="23" t="s">
        <v>22656</v>
      </c>
      <c r="F919" s="24" t="s">
        <v>22657</v>
      </c>
      <c r="G919" s="25">
        <v>4</v>
      </c>
      <c r="H919" s="29"/>
      <c r="I919" s="30"/>
    </row>
    <row r="920" spans="1:9" ht="15.75" thickBot="1" x14ac:dyDescent="0.3">
      <c r="A920" s="43" t="s">
        <v>513</v>
      </c>
      <c r="B920" s="21" t="s">
        <v>514</v>
      </c>
      <c r="C920" s="21" t="s">
        <v>22655</v>
      </c>
      <c r="D920" s="22">
        <v>46032</v>
      </c>
      <c r="E920" s="23" t="s">
        <v>22656</v>
      </c>
      <c r="F920" s="24" t="s">
        <v>22657</v>
      </c>
      <c r="G920" s="25">
        <v>4</v>
      </c>
      <c r="H920" s="26"/>
      <c r="I920" s="27"/>
    </row>
    <row r="921" spans="1:9" ht="15.75" thickBot="1" x14ac:dyDescent="0.3">
      <c r="A921" s="43" t="s">
        <v>1277</v>
      </c>
      <c r="B921" s="21" t="s">
        <v>1278</v>
      </c>
      <c r="C921" s="21" t="s">
        <v>22655</v>
      </c>
      <c r="D921" s="22">
        <v>46032</v>
      </c>
      <c r="E921" s="23" t="s">
        <v>22661</v>
      </c>
      <c r="F921" s="24" t="s">
        <v>22657</v>
      </c>
      <c r="G921" s="25">
        <v>4</v>
      </c>
      <c r="H921" s="29"/>
      <c r="I921" s="30"/>
    </row>
    <row r="922" spans="1:9" ht="15.75" thickBot="1" x14ac:dyDescent="0.3">
      <c r="A922" s="43" t="s">
        <v>1621</v>
      </c>
      <c r="B922" s="21" t="s">
        <v>1622</v>
      </c>
      <c r="C922" s="21" t="s">
        <v>22655</v>
      </c>
      <c r="D922" s="22">
        <v>46032</v>
      </c>
      <c r="E922" s="23" t="s">
        <v>22656</v>
      </c>
      <c r="F922" s="24" t="s">
        <v>22657</v>
      </c>
      <c r="G922" s="25">
        <v>4</v>
      </c>
      <c r="H922" s="26"/>
      <c r="I922" s="27"/>
    </row>
    <row r="923" spans="1:9" ht="15.75" thickBot="1" x14ac:dyDescent="0.3">
      <c r="A923" s="43" t="s">
        <v>3645</v>
      </c>
      <c r="B923" s="21" t="s">
        <v>3646</v>
      </c>
      <c r="C923" s="21" t="s">
        <v>22655</v>
      </c>
      <c r="D923" s="22">
        <v>46032</v>
      </c>
      <c r="E923" s="23" t="s">
        <v>22656</v>
      </c>
      <c r="F923" s="24" t="s">
        <v>22657</v>
      </c>
      <c r="G923" s="25">
        <v>4</v>
      </c>
      <c r="H923" s="29"/>
      <c r="I923" s="30"/>
    </row>
    <row r="924" spans="1:9" ht="15.75" thickBot="1" x14ac:dyDescent="0.3">
      <c r="A924" s="43" t="s">
        <v>3647</v>
      </c>
      <c r="B924" s="21" t="s">
        <v>3648</v>
      </c>
      <c r="C924" s="21" t="s">
        <v>22655</v>
      </c>
      <c r="D924" s="22">
        <v>46032</v>
      </c>
      <c r="E924" s="23" t="s">
        <v>22656</v>
      </c>
      <c r="F924" s="24" t="s">
        <v>22657</v>
      </c>
      <c r="G924" s="25">
        <v>4</v>
      </c>
      <c r="H924" s="26"/>
      <c r="I924" s="27"/>
    </row>
    <row r="925" spans="1:9" ht="15.75" thickBot="1" x14ac:dyDescent="0.3">
      <c r="A925" s="43" t="s">
        <v>900</v>
      </c>
      <c r="B925" s="21" t="s">
        <v>901</v>
      </c>
      <c r="C925" s="21" t="s">
        <v>22655</v>
      </c>
      <c r="D925" s="22">
        <v>46032</v>
      </c>
      <c r="E925" s="23" t="s">
        <v>22656</v>
      </c>
      <c r="F925" s="24" t="s">
        <v>22657</v>
      </c>
      <c r="G925" s="25">
        <v>4</v>
      </c>
      <c r="H925" s="29"/>
      <c r="I925" s="30"/>
    </row>
    <row r="926" spans="1:9" ht="15.75" thickBot="1" x14ac:dyDescent="0.3">
      <c r="A926" s="43" t="s">
        <v>3649</v>
      </c>
      <c r="B926" s="21" t="s">
        <v>3650</v>
      </c>
      <c r="C926" s="21" t="s">
        <v>22655</v>
      </c>
      <c r="D926" s="22">
        <v>46032</v>
      </c>
      <c r="E926" s="23" t="s">
        <v>22656</v>
      </c>
      <c r="F926" s="24" t="s">
        <v>22657</v>
      </c>
      <c r="G926" s="25">
        <v>4</v>
      </c>
      <c r="H926" s="26"/>
      <c r="I926" s="27"/>
    </row>
    <row r="927" spans="1:9" ht="15.75" thickBot="1" x14ac:dyDescent="0.3">
      <c r="A927" s="43" t="s">
        <v>22465</v>
      </c>
      <c r="B927" s="21" t="s">
        <v>22466</v>
      </c>
      <c r="C927" s="36" t="e">
        <v>#N/A</v>
      </c>
      <c r="D927" s="37" t="e">
        <v>#N/A</v>
      </c>
      <c r="E927" s="23" t="e">
        <v>#N/A</v>
      </c>
      <c r="F927" s="24" t="s">
        <v>22657</v>
      </c>
      <c r="G927" s="25" t="e">
        <v>#N/A</v>
      </c>
      <c r="H927" s="29"/>
      <c r="I927" s="30"/>
    </row>
    <row r="928" spans="1:9" ht="15.75" thickBot="1" x14ac:dyDescent="0.3">
      <c r="A928" s="43" t="s">
        <v>3651</v>
      </c>
      <c r="B928" s="21" t="s">
        <v>3652</v>
      </c>
      <c r="C928" s="21" t="s">
        <v>22655</v>
      </c>
      <c r="D928" s="22">
        <v>46032</v>
      </c>
      <c r="E928" s="23" t="s">
        <v>22658</v>
      </c>
      <c r="F928" s="24" t="s">
        <v>22657</v>
      </c>
      <c r="G928" s="25">
        <v>4</v>
      </c>
      <c r="H928" s="26"/>
      <c r="I928" s="27"/>
    </row>
    <row r="929" spans="1:9" ht="15.75" thickBot="1" x14ac:dyDescent="0.3">
      <c r="A929" s="43" t="s">
        <v>3653</v>
      </c>
      <c r="B929" s="21" t="s">
        <v>3654</v>
      </c>
      <c r="C929" s="21" t="s">
        <v>22655</v>
      </c>
      <c r="D929" s="22">
        <v>46032</v>
      </c>
      <c r="E929" s="23" t="s">
        <v>22656</v>
      </c>
      <c r="F929" s="24" t="s">
        <v>22657</v>
      </c>
      <c r="G929" s="25">
        <v>4</v>
      </c>
      <c r="H929" s="29"/>
      <c r="I929" s="30"/>
    </row>
    <row r="930" spans="1:9" ht="15.75" thickBot="1" x14ac:dyDescent="0.3">
      <c r="A930" s="43" t="s">
        <v>3655</v>
      </c>
      <c r="B930" s="21" t="s">
        <v>3656</v>
      </c>
      <c r="C930" s="21" t="s">
        <v>22655</v>
      </c>
      <c r="D930" s="22">
        <v>46032</v>
      </c>
      <c r="E930" s="23" t="s">
        <v>22656</v>
      </c>
      <c r="F930" s="24" t="s">
        <v>22657</v>
      </c>
      <c r="G930" s="25">
        <v>4</v>
      </c>
      <c r="H930" s="26"/>
      <c r="I930" s="27"/>
    </row>
    <row r="931" spans="1:9" ht="15.75" thickBot="1" x14ac:dyDescent="0.3">
      <c r="A931" s="43" t="s">
        <v>293</v>
      </c>
      <c r="B931" s="21" t="s">
        <v>294</v>
      </c>
      <c r="C931" s="21" t="s">
        <v>22655</v>
      </c>
      <c r="D931" s="22">
        <v>46032</v>
      </c>
      <c r="E931" s="23" t="s">
        <v>22656</v>
      </c>
      <c r="F931" s="24" t="s">
        <v>22657</v>
      </c>
      <c r="G931" s="25">
        <v>4</v>
      </c>
      <c r="H931" s="29"/>
      <c r="I931" s="30"/>
    </row>
    <row r="932" spans="1:9" ht="15.75" thickBot="1" x14ac:dyDescent="0.3">
      <c r="A932" s="43" t="s">
        <v>3657</v>
      </c>
      <c r="B932" s="21" t="s">
        <v>3658</v>
      </c>
      <c r="C932" s="21" t="s">
        <v>22655</v>
      </c>
      <c r="D932" s="22">
        <v>46032</v>
      </c>
      <c r="E932" s="23" t="s">
        <v>22656</v>
      </c>
      <c r="F932" s="24" t="s">
        <v>22657</v>
      </c>
      <c r="G932" s="25">
        <v>4</v>
      </c>
      <c r="H932" s="26"/>
      <c r="I932" s="27"/>
    </row>
    <row r="933" spans="1:9" ht="15.75" thickBot="1" x14ac:dyDescent="0.3">
      <c r="A933" s="43" t="s">
        <v>3659</v>
      </c>
      <c r="B933" s="21" t="s">
        <v>3660</v>
      </c>
      <c r="C933" s="21" t="s">
        <v>22655</v>
      </c>
      <c r="D933" s="22">
        <v>46032</v>
      </c>
      <c r="E933" s="23" t="s">
        <v>22656</v>
      </c>
      <c r="F933" s="24" t="s">
        <v>22657</v>
      </c>
      <c r="G933" s="25">
        <v>4</v>
      </c>
      <c r="H933" s="29"/>
      <c r="I933" s="30"/>
    </row>
    <row r="934" spans="1:9" ht="15.75" thickBot="1" x14ac:dyDescent="0.3">
      <c r="A934" s="43" t="s">
        <v>3661</v>
      </c>
      <c r="B934" s="21" t="s">
        <v>3662</v>
      </c>
      <c r="C934" s="21" t="s">
        <v>22655</v>
      </c>
      <c r="D934" s="22">
        <v>46032</v>
      </c>
      <c r="E934" s="23" t="s">
        <v>22656</v>
      </c>
      <c r="F934" s="24" t="s">
        <v>22657</v>
      </c>
      <c r="G934" s="25">
        <v>4</v>
      </c>
      <c r="H934" s="26"/>
      <c r="I934" s="27"/>
    </row>
    <row r="935" spans="1:9" ht="15.75" thickBot="1" x14ac:dyDescent="0.3">
      <c r="A935" s="43" t="s">
        <v>3663</v>
      </c>
      <c r="B935" s="21" t="s">
        <v>3664</v>
      </c>
      <c r="C935" s="21" t="s">
        <v>22655</v>
      </c>
      <c r="D935" s="22">
        <v>46032</v>
      </c>
      <c r="E935" s="23" t="s">
        <v>22656</v>
      </c>
      <c r="F935" s="24" t="s">
        <v>22657</v>
      </c>
      <c r="G935" s="25">
        <v>4</v>
      </c>
      <c r="H935" s="29"/>
      <c r="I935" s="30"/>
    </row>
    <row r="936" spans="1:9" ht="15.75" thickBot="1" x14ac:dyDescent="0.3">
      <c r="A936" s="43" t="s">
        <v>791</v>
      </c>
      <c r="B936" s="21" t="s">
        <v>792</v>
      </c>
      <c r="C936" s="21" t="s">
        <v>22655</v>
      </c>
      <c r="D936" s="22">
        <v>46028</v>
      </c>
      <c r="E936" s="23" t="s">
        <v>22656</v>
      </c>
      <c r="F936" s="24" t="s">
        <v>22657</v>
      </c>
      <c r="G936" s="25">
        <v>2</v>
      </c>
      <c r="H936" s="34">
        <v>2</v>
      </c>
      <c r="I936" s="35">
        <v>4</v>
      </c>
    </row>
    <row r="937" spans="1:9" ht="15.75" thickBot="1" x14ac:dyDescent="0.3">
      <c r="A937" s="43" t="s">
        <v>1697</v>
      </c>
      <c r="B937" s="21" t="s">
        <v>1698</v>
      </c>
      <c r="C937" s="21" t="s">
        <v>22655</v>
      </c>
      <c r="D937" s="22">
        <v>46028</v>
      </c>
      <c r="E937" s="23" t="s">
        <v>22656</v>
      </c>
      <c r="F937" s="24" t="s">
        <v>22657</v>
      </c>
      <c r="G937" s="25">
        <v>2</v>
      </c>
      <c r="H937" s="29"/>
      <c r="I937" s="30"/>
    </row>
    <row r="938" spans="1:9" ht="15.75" thickBot="1" x14ac:dyDescent="0.3">
      <c r="A938" s="43" t="s">
        <v>923</v>
      </c>
      <c r="B938" s="21" t="s">
        <v>924</v>
      </c>
      <c r="C938" s="21" t="s">
        <v>22655</v>
      </c>
      <c r="D938" s="22">
        <v>46028</v>
      </c>
      <c r="E938" s="23" t="s">
        <v>22656</v>
      </c>
      <c r="F938" s="24" t="s">
        <v>22657</v>
      </c>
      <c r="G938" s="25">
        <v>3</v>
      </c>
      <c r="H938" s="34">
        <v>3</v>
      </c>
      <c r="I938" s="35">
        <v>6</v>
      </c>
    </row>
    <row r="939" spans="1:9" ht="15.75" thickBot="1" x14ac:dyDescent="0.3">
      <c r="A939" s="43" t="s">
        <v>215</v>
      </c>
      <c r="B939" s="21" t="s">
        <v>216</v>
      </c>
      <c r="C939" s="21" t="s">
        <v>22655</v>
      </c>
      <c r="D939" s="22">
        <v>46028</v>
      </c>
      <c r="E939" s="23" t="s">
        <v>22656</v>
      </c>
      <c r="F939" s="24" t="s">
        <v>22657</v>
      </c>
      <c r="G939" s="25">
        <v>2</v>
      </c>
      <c r="H939" s="29"/>
      <c r="I939" s="30"/>
    </row>
    <row r="940" spans="1:9" ht="15.75" thickBot="1" x14ac:dyDescent="0.3">
      <c r="A940" s="43" t="s">
        <v>935</v>
      </c>
      <c r="B940" s="21" t="s">
        <v>936</v>
      </c>
      <c r="C940" s="21" t="s">
        <v>22655</v>
      </c>
      <c r="D940" s="22">
        <v>46028</v>
      </c>
      <c r="E940" s="23" t="s">
        <v>22656</v>
      </c>
      <c r="F940" s="24" t="s">
        <v>22657</v>
      </c>
      <c r="G940" s="25">
        <v>2</v>
      </c>
      <c r="H940" s="26"/>
      <c r="I940" s="27"/>
    </row>
    <row r="941" spans="1:9" ht="15.75" thickBot="1" x14ac:dyDescent="0.3">
      <c r="A941" s="43" t="s">
        <v>125</v>
      </c>
      <c r="B941" s="21" t="s">
        <v>126</v>
      </c>
      <c r="C941" s="21" t="s">
        <v>22655</v>
      </c>
      <c r="D941" s="22">
        <v>46028</v>
      </c>
      <c r="E941" s="23" t="s">
        <v>22656</v>
      </c>
      <c r="F941" s="24" t="s">
        <v>22657</v>
      </c>
      <c r="G941" s="25">
        <v>2</v>
      </c>
      <c r="H941" s="29"/>
      <c r="I941" s="30"/>
    </row>
    <row r="942" spans="1:9" ht="15.75" thickBot="1" x14ac:dyDescent="0.3">
      <c r="A942" s="43" t="s">
        <v>3665</v>
      </c>
      <c r="B942" s="21" t="s">
        <v>3666</v>
      </c>
      <c r="C942" s="21" t="s">
        <v>22655</v>
      </c>
      <c r="D942" s="31" t="s">
        <v>22683</v>
      </c>
      <c r="E942" s="23" t="s">
        <v>22656</v>
      </c>
      <c r="F942" s="24" t="s">
        <v>22657</v>
      </c>
      <c r="G942" s="25">
        <v>7</v>
      </c>
      <c r="H942" s="26"/>
      <c r="I942" s="27"/>
    </row>
    <row r="943" spans="1:9" ht="15.75" thickBot="1" x14ac:dyDescent="0.3">
      <c r="A943" s="43" t="s">
        <v>3667</v>
      </c>
      <c r="B943" s="21" t="s">
        <v>3668</v>
      </c>
      <c r="C943" s="21" t="s">
        <v>22655</v>
      </c>
      <c r="D943" s="22">
        <v>46046</v>
      </c>
      <c r="E943" s="23" t="s">
        <v>22656</v>
      </c>
      <c r="F943" s="24" t="s">
        <v>22657</v>
      </c>
      <c r="G943" s="25">
        <v>8</v>
      </c>
      <c r="H943" s="29"/>
      <c r="I943" s="30"/>
    </row>
    <row r="944" spans="1:9" ht="15.75" thickBot="1" x14ac:dyDescent="0.3">
      <c r="A944" s="43" t="s">
        <v>3669</v>
      </c>
      <c r="B944" s="21" t="s">
        <v>3670</v>
      </c>
      <c r="C944" s="21" t="s">
        <v>22655</v>
      </c>
      <c r="D944" s="22">
        <v>46046</v>
      </c>
      <c r="E944" s="23" t="s">
        <v>22656</v>
      </c>
      <c r="F944" s="24" t="s">
        <v>22657</v>
      </c>
      <c r="G944" s="25">
        <v>8</v>
      </c>
      <c r="H944" s="26"/>
      <c r="I944" s="27"/>
    </row>
    <row r="945" spans="1:9" ht="15.75" thickBot="1" x14ac:dyDescent="0.3">
      <c r="A945" s="43" t="s">
        <v>3671</v>
      </c>
      <c r="B945" s="21" t="s">
        <v>3672</v>
      </c>
      <c r="C945" s="21" t="s">
        <v>22655</v>
      </c>
      <c r="D945" s="31" t="s">
        <v>22683</v>
      </c>
      <c r="E945" s="23" t="s">
        <v>22661</v>
      </c>
      <c r="F945" s="24" t="s">
        <v>22657</v>
      </c>
      <c r="G945" s="25">
        <v>7</v>
      </c>
      <c r="H945" s="29"/>
      <c r="I945" s="30"/>
    </row>
    <row r="946" spans="1:9" ht="15.75" thickBot="1" x14ac:dyDescent="0.3">
      <c r="A946" s="43" t="s">
        <v>3673</v>
      </c>
      <c r="B946" s="21" t="s">
        <v>3674</v>
      </c>
      <c r="C946" s="21" t="s">
        <v>22655</v>
      </c>
      <c r="D946" s="31" t="s">
        <v>22683</v>
      </c>
      <c r="E946" s="23" t="s">
        <v>22661</v>
      </c>
      <c r="F946" s="24" t="s">
        <v>22657</v>
      </c>
      <c r="G946" s="25">
        <v>10</v>
      </c>
      <c r="H946" s="26"/>
      <c r="I946" s="27"/>
    </row>
    <row r="947" spans="1:9" ht="15.75" thickBot="1" x14ac:dyDescent="0.3">
      <c r="A947" s="43" t="s">
        <v>3675</v>
      </c>
      <c r="B947" s="21" t="s">
        <v>3676</v>
      </c>
      <c r="C947" s="21" t="s">
        <v>22655</v>
      </c>
      <c r="D947" s="31" t="s">
        <v>22673</v>
      </c>
      <c r="E947" s="23" t="s">
        <v>22656</v>
      </c>
      <c r="F947" s="24" t="s">
        <v>22657</v>
      </c>
      <c r="G947" s="25">
        <v>7</v>
      </c>
      <c r="H947" s="29"/>
      <c r="I947" s="30"/>
    </row>
    <row r="948" spans="1:9" ht="15.75" thickBot="1" x14ac:dyDescent="0.3">
      <c r="A948" s="43" t="s">
        <v>3677</v>
      </c>
      <c r="B948" s="21" t="s">
        <v>3678</v>
      </c>
      <c r="C948" s="21" t="s">
        <v>22655</v>
      </c>
      <c r="D948" s="31" t="s">
        <v>22683</v>
      </c>
      <c r="E948" s="23" t="s">
        <v>22656</v>
      </c>
      <c r="F948" s="24" t="s">
        <v>22657</v>
      </c>
      <c r="G948" s="25">
        <v>7</v>
      </c>
      <c r="H948" s="26"/>
      <c r="I948" s="27"/>
    </row>
    <row r="949" spans="1:9" ht="15.75" thickBot="1" x14ac:dyDescent="0.3">
      <c r="A949" s="43" t="s">
        <v>3679</v>
      </c>
      <c r="B949" s="21" t="s">
        <v>3680</v>
      </c>
      <c r="C949" s="21" t="s">
        <v>22655</v>
      </c>
      <c r="D949" s="31" t="s">
        <v>22673</v>
      </c>
      <c r="E949" s="23" t="s">
        <v>22661</v>
      </c>
      <c r="F949" s="24" t="s">
        <v>22657</v>
      </c>
      <c r="G949" s="25">
        <v>12</v>
      </c>
      <c r="H949" s="32">
        <v>12</v>
      </c>
      <c r="I949" s="33">
        <v>24</v>
      </c>
    </row>
    <row r="950" spans="1:9" ht="15.75" thickBot="1" x14ac:dyDescent="0.3">
      <c r="A950" s="43" t="s">
        <v>3681</v>
      </c>
      <c r="B950" s="21" t="s">
        <v>3682</v>
      </c>
      <c r="C950" s="21" t="s">
        <v>22655</v>
      </c>
      <c r="D950" s="31" t="s">
        <v>22683</v>
      </c>
      <c r="E950" s="23" t="s">
        <v>22656</v>
      </c>
      <c r="F950" s="24" t="s">
        <v>22657</v>
      </c>
      <c r="G950" s="25">
        <v>7</v>
      </c>
      <c r="H950" s="26"/>
      <c r="I950" s="27"/>
    </row>
    <row r="951" spans="1:9" ht="15.75" thickBot="1" x14ac:dyDescent="0.3">
      <c r="A951" s="43" t="s">
        <v>3683</v>
      </c>
      <c r="B951" s="21" t="s">
        <v>3684</v>
      </c>
      <c r="C951" s="21" t="s">
        <v>22655</v>
      </c>
      <c r="D951" s="22">
        <v>46046</v>
      </c>
      <c r="E951" s="23" t="s">
        <v>22656</v>
      </c>
      <c r="F951" s="24" t="s">
        <v>22657</v>
      </c>
      <c r="G951" s="25">
        <v>8</v>
      </c>
      <c r="H951" s="29"/>
      <c r="I951" s="30"/>
    </row>
    <row r="952" spans="1:9" ht="15.75" thickBot="1" x14ac:dyDescent="0.3">
      <c r="A952" s="43" t="s">
        <v>3685</v>
      </c>
      <c r="B952" s="21" t="s">
        <v>3686</v>
      </c>
      <c r="C952" s="21" t="s">
        <v>22655</v>
      </c>
      <c r="D952" s="22">
        <v>46046</v>
      </c>
      <c r="E952" s="23" t="s">
        <v>22658</v>
      </c>
      <c r="F952" s="24" t="s">
        <v>22657</v>
      </c>
      <c r="G952" s="25">
        <v>8</v>
      </c>
      <c r="H952" s="26"/>
      <c r="I952" s="27"/>
    </row>
    <row r="953" spans="1:9" ht="15.75" thickBot="1" x14ac:dyDescent="0.3">
      <c r="A953" s="43" t="s">
        <v>3687</v>
      </c>
      <c r="B953" s="21" t="s">
        <v>3688</v>
      </c>
      <c r="C953" s="21" t="s">
        <v>22672</v>
      </c>
      <c r="D953" s="31" t="s">
        <v>22732</v>
      </c>
      <c r="E953" s="23" t="s">
        <v>22658</v>
      </c>
      <c r="F953" s="24" t="s">
        <v>22657</v>
      </c>
      <c r="G953" s="25">
        <v>4</v>
      </c>
      <c r="H953" s="29"/>
      <c r="I953" s="30"/>
    </row>
    <row r="954" spans="1:9" ht="15.75" thickBot="1" x14ac:dyDescent="0.3">
      <c r="A954" s="43" t="s">
        <v>3689</v>
      </c>
      <c r="B954" s="21" t="s">
        <v>3690</v>
      </c>
      <c r="C954" s="21" t="s">
        <v>22672</v>
      </c>
      <c r="D954" s="31" t="s">
        <v>22732</v>
      </c>
      <c r="E954" s="23" t="s">
        <v>22658</v>
      </c>
      <c r="F954" s="24" t="s">
        <v>22657</v>
      </c>
      <c r="G954" s="25">
        <v>4</v>
      </c>
      <c r="H954" s="26"/>
      <c r="I954" s="27"/>
    </row>
    <row r="955" spans="1:9" ht="15.75" thickBot="1" x14ac:dyDescent="0.3">
      <c r="A955" s="43" t="s">
        <v>581</v>
      </c>
      <c r="B955" s="21" t="s">
        <v>582</v>
      </c>
      <c r="C955" s="21" t="s">
        <v>22733</v>
      </c>
      <c r="D955" s="31" t="s">
        <v>22734</v>
      </c>
      <c r="E955" s="23" t="s">
        <v>22662</v>
      </c>
      <c r="F955" s="24" t="s">
        <v>22657</v>
      </c>
      <c r="G955" s="25">
        <v>167</v>
      </c>
      <c r="H955" s="29"/>
      <c r="I955" s="30"/>
    </row>
    <row r="956" spans="1:9" ht="15.75" thickBot="1" x14ac:dyDescent="0.3">
      <c r="A956" s="43" t="s">
        <v>3691</v>
      </c>
      <c r="B956" s="21" t="s">
        <v>3692</v>
      </c>
      <c r="C956" s="21" t="s">
        <v>22655</v>
      </c>
      <c r="D956" s="22">
        <v>46028</v>
      </c>
      <c r="E956" s="23" t="s">
        <v>22656</v>
      </c>
      <c r="F956" s="24" t="s">
        <v>22657</v>
      </c>
      <c r="G956" s="25">
        <v>24</v>
      </c>
      <c r="H956" s="34">
        <v>24</v>
      </c>
      <c r="I956" s="35">
        <v>48</v>
      </c>
    </row>
    <row r="957" spans="1:9" ht="15.75" thickBot="1" x14ac:dyDescent="0.3">
      <c r="A957" s="43" t="s">
        <v>3693</v>
      </c>
      <c r="B957" s="21" t="s">
        <v>3694</v>
      </c>
      <c r="C957" s="21" t="s">
        <v>22655</v>
      </c>
      <c r="D957" s="22">
        <v>46028</v>
      </c>
      <c r="E957" s="23" t="s">
        <v>22656</v>
      </c>
      <c r="F957" s="24" t="s">
        <v>22657</v>
      </c>
      <c r="G957" s="25">
        <v>2</v>
      </c>
      <c r="H957" s="29"/>
      <c r="I957" s="30"/>
    </row>
    <row r="958" spans="1:9" ht="15.75" thickBot="1" x14ac:dyDescent="0.3">
      <c r="A958" s="43" t="s">
        <v>3695</v>
      </c>
      <c r="B958" s="21" t="s">
        <v>3696</v>
      </c>
      <c r="C958" s="21" t="s">
        <v>22655</v>
      </c>
      <c r="D958" s="22">
        <v>46032</v>
      </c>
      <c r="E958" s="23" t="s">
        <v>22656</v>
      </c>
      <c r="F958" s="24" t="s">
        <v>22657</v>
      </c>
      <c r="G958" s="25">
        <v>4</v>
      </c>
      <c r="H958" s="26"/>
      <c r="I958" s="27"/>
    </row>
    <row r="959" spans="1:9" ht="15.75" thickBot="1" x14ac:dyDescent="0.3">
      <c r="A959" s="43" t="s">
        <v>3697</v>
      </c>
      <c r="B959" s="21" t="s">
        <v>3698</v>
      </c>
      <c r="C959" s="21" t="s">
        <v>22655</v>
      </c>
      <c r="D959" s="22">
        <v>46046</v>
      </c>
      <c r="E959" s="23" t="s">
        <v>22656</v>
      </c>
      <c r="F959" s="24" t="s">
        <v>22657</v>
      </c>
      <c r="G959" s="25">
        <v>4</v>
      </c>
      <c r="H959" s="29"/>
      <c r="I959" s="30"/>
    </row>
    <row r="960" spans="1:9" ht="15.75" thickBot="1" x14ac:dyDescent="0.3">
      <c r="A960" s="43" t="s">
        <v>3699</v>
      </c>
      <c r="B960" s="21" t="s">
        <v>3700</v>
      </c>
      <c r="C960" s="21" t="s">
        <v>22655</v>
      </c>
      <c r="D960" s="22">
        <v>46046</v>
      </c>
      <c r="E960" s="23" t="s">
        <v>22656</v>
      </c>
      <c r="F960" s="24" t="s">
        <v>22657</v>
      </c>
      <c r="G960" s="25">
        <v>4</v>
      </c>
      <c r="H960" s="26"/>
      <c r="I960" s="27"/>
    </row>
    <row r="961" spans="1:9" ht="15.75" thickBot="1" x14ac:dyDescent="0.3">
      <c r="A961" s="43" t="s">
        <v>3701</v>
      </c>
      <c r="B961" s="21" t="s">
        <v>3702</v>
      </c>
      <c r="C961" s="21" t="s">
        <v>22682</v>
      </c>
      <c r="D961" s="22">
        <v>46034</v>
      </c>
      <c r="E961" s="23" t="s">
        <v>22656</v>
      </c>
      <c r="F961" s="24" t="s">
        <v>22657</v>
      </c>
      <c r="G961" s="25">
        <v>4</v>
      </c>
      <c r="H961" s="29"/>
      <c r="I961" s="30"/>
    </row>
    <row r="962" spans="1:9" ht="15.75" thickBot="1" x14ac:dyDescent="0.3">
      <c r="A962" s="43" t="s">
        <v>363</v>
      </c>
      <c r="B962" s="21" t="s">
        <v>364</v>
      </c>
      <c r="C962" s="21" t="s">
        <v>22682</v>
      </c>
      <c r="D962" s="22">
        <v>46034</v>
      </c>
      <c r="E962" s="23" t="s">
        <v>22656</v>
      </c>
      <c r="F962" s="24" t="s">
        <v>22657</v>
      </c>
      <c r="G962" s="25">
        <v>4</v>
      </c>
      <c r="H962" s="26"/>
      <c r="I962" s="27"/>
    </row>
    <row r="963" spans="1:9" ht="15.75" thickBot="1" x14ac:dyDescent="0.3">
      <c r="A963" s="43" t="s">
        <v>3703</v>
      </c>
      <c r="B963" s="21" t="s">
        <v>3704</v>
      </c>
      <c r="C963" s="21" t="s">
        <v>22682</v>
      </c>
      <c r="D963" s="22">
        <v>46034</v>
      </c>
      <c r="E963" s="23" t="s">
        <v>22656</v>
      </c>
      <c r="F963" s="24" t="s">
        <v>22657</v>
      </c>
      <c r="G963" s="25">
        <v>4</v>
      </c>
      <c r="H963" s="29"/>
      <c r="I963" s="30"/>
    </row>
    <row r="964" spans="1:9" ht="15.75" thickBot="1" x14ac:dyDescent="0.3">
      <c r="A964" s="43" t="s">
        <v>3705</v>
      </c>
      <c r="B964" s="21" t="s">
        <v>3706</v>
      </c>
      <c r="C964" s="21" t="s">
        <v>22655</v>
      </c>
      <c r="D964" s="22">
        <v>46034</v>
      </c>
      <c r="E964" s="23" t="s">
        <v>22656</v>
      </c>
      <c r="F964" s="24" t="s">
        <v>22657</v>
      </c>
      <c r="G964" s="25">
        <v>4</v>
      </c>
      <c r="H964" s="26"/>
      <c r="I964" s="27"/>
    </row>
    <row r="965" spans="1:9" ht="15.75" thickBot="1" x14ac:dyDescent="0.3">
      <c r="A965" s="43" t="s">
        <v>3707</v>
      </c>
      <c r="B965" s="21" t="s">
        <v>3708</v>
      </c>
      <c r="C965" s="21" t="s">
        <v>22655</v>
      </c>
      <c r="D965" s="22">
        <v>46034</v>
      </c>
      <c r="E965" s="23" t="s">
        <v>22656</v>
      </c>
      <c r="F965" s="24" t="s">
        <v>22657</v>
      </c>
      <c r="G965" s="25">
        <v>4</v>
      </c>
      <c r="H965" s="29"/>
      <c r="I965" s="30"/>
    </row>
    <row r="966" spans="1:9" ht="15.75" thickBot="1" x14ac:dyDescent="0.3">
      <c r="A966" s="43" t="s">
        <v>3709</v>
      </c>
      <c r="B966" s="21" t="s">
        <v>3710</v>
      </c>
      <c r="C966" s="21" t="s">
        <v>22655</v>
      </c>
      <c r="D966" s="31" t="s">
        <v>22673</v>
      </c>
      <c r="E966" s="23" t="s">
        <v>22658</v>
      </c>
      <c r="F966" s="24" t="s">
        <v>22657</v>
      </c>
      <c r="G966" s="25">
        <v>17</v>
      </c>
      <c r="H966" s="26"/>
      <c r="I966" s="27"/>
    </row>
    <row r="967" spans="1:9" ht="15.75" thickBot="1" x14ac:dyDescent="0.3">
      <c r="A967" s="43" t="s">
        <v>3711</v>
      </c>
      <c r="B967" s="21" t="s">
        <v>3712</v>
      </c>
      <c r="C967" s="21" t="s">
        <v>22663</v>
      </c>
      <c r="D967" s="31">
        <v>1</v>
      </c>
      <c r="E967" s="23" t="s">
        <v>22658</v>
      </c>
      <c r="F967" s="28" t="s">
        <v>22659</v>
      </c>
      <c r="G967" s="25">
        <v>1</v>
      </c>
      <c r="H967" s="29"/>
      <c r="I967" s="30"/>
    </row>
    <row r="968" spans="1:9" ht="15.75" thickBot="1" x14ac:dyDescent="0.3">
      <c r="A968" s="43" t="s">
        <v>3713</v>
      </c>
      <c r="B968" s="21" t="s">
        <v>22467</v>
      </c>
      <c r="C968" s="21" t="s">
        <v>22663</v>
      </c>
      <c r="D968" s="31">
        <v>1</v>
      </c>
      <c r="E968" s="23" t="s">
        <v>22658</v>
      </c>
      <c r="F968" s="24" t="s">
        <v>22657</v>
      </c>
      <c r="G968" s="25">
        <v>2</v>
      </c>
      <c r="H968" s="26"/>
      <c r="I968" s="27"/>
    </row>
    <row r="969" spans="1:9" ht="15.75" thickBot="1" x14ac:dyDescent="0.3">
      <c r="A969" s="43" t="s">
        <v>22468</v>
      </c>
      <c r="B969" s="21" t="s">
        <v>22469</v>
      </c>
      <c r="C969" s="21" t="s">
        <v>22655</v>
      </c>
      <c r="D969" s="22">
        <v>46034</v>
      </c>
      <c r="E969" s="23" t="s">
        <v>22658</v>
      </c>
      <c r="F969" s="28" t="s">
        <v>22659</v>
      </c>
      <c r="G969" s="25">
        <v>1</v>
      </c>
      <c r="H969" s="29"/>
      <c r="I969" s="30"/>
    </row>
    <row r="970" spans="1:9" ht="15.75" thickBot="1" x14ac:dyDescent="0.3">
      <c r="A970" s="43" t="s">
        <v>3715</v>
      </c>
      <c r="B970" s="21" t="s">
        <v>3716</v>
      </c>
      <c r="C970" s="21" t="s">
        <v>22735</v>
      </c>
      <c r="D970" s="31" t="s">
        <v>22736</v>
      </c>
      <c r="E970" s="23" t="s">
        <v>22658</v>
      </c>
      <c r="F970" s="24" t="s">
        <v>22657</v>
      </c>
      <c r="G970" s="25">
        <v>2</v>
      </c>
      <c r="H970" s="26"/>
      <c r="I970" s="27"/>
    </row>
    <row r="971" spans="1:9" ht="15.75" thickBot="1" x14ac:dyDescent="0.3">
      <c r="A971" s="43" t="s">
        <v>3717</v>
      </c>
      <c r="B971" s="21" t="s">
        <v>3718</v>
      </c>
      <c r="C971" s="21" t="s">
        <v>22655</v>
      </c>
      <c r="D971" s="22">
        <v>46034</v>
      </c>
      <c r="E971" s="23" t="s">
        <v>22656</v>
      </c>
      <c r="F971" s="24" t="s">
        <v>22657</v>
      </c>
      <c r="G971" s="25">
        <v>4</v>
      </c>
      <c r="H971" s="29"/>
      <c r="I971" s="30"/>
    </row>
    <row r="972" spans="1:9" ht="15.75" thickBot="1" x14ac:dyDescent="0.3">
      <c r="A972" s="43" t="s">
        <v>3719</v>
      </c>
      <c r="B972" s="21" t="s">
        <v>3720</v>
      </c>
      <c r="C972" s="21" t="s">
        <v>22655</v>
      </c>
      <c r="D972" s="31" t="s">
        <v>22688</v>
      </c>
      <c r="E972" s="23" t="s">
        <v>22656</v>
      </c>
      <c r="F972" s="24" t="s">
        <v>22657</v>
      </c>
      <c r="G972" s="25">
        <v>4</v>
      </c>
      <c r="H972" s="26"/>
      <c r="I972" s="27"/>
    </row>
    <row r="973" spans="1:9" ht="15.75" thickBot="1" x14ac:dyDescent="0.3">
      <c r="A973" s="43" t="s">
        <v>3721</v>
      </c>
      <c r="B973" s="21" t="s">
        <v>3722</v>
      </c>
      <c r="C973" s="21" t="s">
        <v>22655</v>
      </c>
      <c r="D973" s="31" t="s">
        <v>22688</v>
      </c>
      <c r="E973" s="23" t="s">
        <v>22656</v>
      </c>
      <c r="F973" s="24" t="s">
        <v>22657</v>
      </c>
      <c r="G973" s="25">
        <v>4</v>
      </c>
      <c r="H973" s="29"/>
      <c r="I973" s="30"/>
    </row>
    <row r="974" spans="1:9" ht="15.75" thickBot="1" x14ac:dyDescent="0.3">
      <c r="A974" s="43" t="s">
        <v>3723</v>
      </c>
      <c r="B974" s="21" t="s">
        <v>3724</v>
      </c>
      <c r="C974" s="21" t="s">
        <v>22655</v>
      </c>
      <c r="D974" s="31" t="s">
        <v>22688</v>
      </c>
      <c r="E974" s="23" t="s">
        <v>22656</v>
      </c>
      <c r="F974" s="24" t="s">
        <v>22657</v>
      </c>
      <c r="G974" s="25">
        <v>4</v>
      </c>
      <c r="H974" s="26"/>
      <c r="I974" s="27"/>
    </row>
    <row r="975" spans="1:9" ht="15.75" thickBot="1" x14ac:dyDescent="0.3">
      <c r="A975" s="43" t="s">
        <v>3725</v>
      </c>
      <c r="B975" s="21" t="s">
        <v>3726</v>
      </c>
      <c r="C975" s="21" t="s">
        <v>22655</v>
      </c>
      <c r="D975" s="22">
        <v>46034</v>
      </c>
      <c r="E975" s="23" t="s">
        <v>22656</v>
      </c>
      <c r="F975" s="24" t="s">
        <v>22657</v>
      </c>
      <c r="G975" s="25">
        <v>5</v>
      </c>
      <c r="H975" s="29"/>
      <c r="I975" s="30"/>
    </row>
    <row r="976" spans="1:9" ht="15.75" thickBot="1" x14ac:dyDescent="0.3">
      <c r="A976" s="43" t="s">
        <v>3727</v>
      </c>
      <c r="B976" s="21" t="s">
        <v>3728</v>
      </c>
      <c r="C976" s="21" t="s">
        <v>22663</v>
      </c>
      <c r="D976" s="31">
        <v>1</v>
      </c>
      <c r="E976" s="23" t="s">
        <v>22656</v>
      </c>
      <c r="F976" s="24" t="s">
        <v>22657</v>
      </c>
      <c r="G976" s="25">
        <v>2</v>
      </c>
      <c r="H976" s="26"/>
      <c r="I976" s="27"/>
    </row>
    <row r="977" spans="1:9" ht="15.75" thickBot="1" x14ac:dyDescent="0.3">
      <c r="A977" s="43" t="s">
        <v>3729</v>
      </c>
      <c r="B977" s="21" t="s">
        <v>3730</v>
      </c>
      <c r="C977" s="21" t="s">
        <v>22655</v>
      </c>
      <c r="D977" s="22">
        <v>46052</v>
      </c>
      <c r="E977" s="23" t="s">
        <v>22656</v>
      </c>
      <c r="F977" s="24" t="s">
        <v>22657</v>
      </c>
      <c r="G977" s="25">
        <v>10</v>
      </c>
      <c r="H977" s="29"/>
      <c r="I977" s="30"/>
    </row>
    <row r="978" spans="1:9" ht="15.75" thickBot="1" x14ac:dyDescent="0.3">
      <c r="A978" s="43" t="s">
        <v>3731</v>
      </c>
      <c r="B978" s="21" t="s">
        <v>3732</v>
      </c>
      <c r="C978" s="21" t="s">
        <v>22663</v>
      </c>
      <c r="D978" s="31">
        <v>1</v>
      </c>
      <c r="E978" s="23" t="s">
        <v>22656</v>
      </c>
      <c r="F978" s="24" t="s">
        <v>22657</v>
      </c>
      <c r="G978" s="25">
        <v>2</v>
      </c>
      <c r="H978" s="26"/>
      <c r="I978" s="27"/>
    </row>
    <row r="979" spans="1:9" ht="15.75" thickBot="1" x14ac:dyDescent="0.3">
      <c r="A979" s="43" t="s">
        <v>3733</v>
      </c>
      <c r="B979" s="21" t="s">
        <v>3734</v>
      </c>
      <c r="C979" s="21" t="s">
        <v>22725</v>
      </c>
      <c r="D979" s="22">
        <v>46034</v>
      </c>
      <c r="E979" s="23" t="s">
        <v>22661</v>
      </c>
      <c r="F979" s="24" t="s">
        <v>22657</v>
      </c>
      <c r="G979" s="25">
        <v>13</v>
      </c>
      <c r="H979" s="29"/>
      <c r="I979" s="30"/>
    </row>
    <row r="980" spans="1:9" ht="15.75" thickBot="1" x14ac:dyDescent="0.3">
      <c r="A980" s="43" t="s">
        <v>3735</v>
      </c>
      <c r="B980" s="21" t="s">
        <v>3736</v>
      </c>
      <c r="C980" s="21" t="s">
        <v>22655</v>
      </c>
      <c r="D980" s="22">
        <v>46046</v>
      </c>
      <c r="E980" s="23" t="s">
        <v>22656</v>
      </c>
      <c r="F980" s="24" t="s">
        <v>22657</v>
      </c>
      <c r="G980" s="25">
        <v>8</v>
      </c>
      <c r="H980" s="26"/>
      <c r="I980" s="27"/>
    </row>
    <row r="981" spans="1:9" ht="15.75" thickBot="1" x14ac:dyDescent="0.3">
      <c r="A981" s="43" t="s">
        <v>3737</v>
      </c>
      <c r="B981" s="21" t="s">
        <v>3738</v>
      </c>
      <c r="C981" s="21" t="s">
        <v>22655</v>
      </c>
      <c r="D981" s="22">
        <v>46034</v>
      </c>
      <c r="E981" s="23" t="s">
        <v>22661</v>
      </c>
      <c r="F981" s="24" t="s">
        <v>22657</v>
      </c>
      <c r="G981" s="25">
        <v>10</v>
      </c>
      <c r="H981" s="29"/>
      <c r="I981" s="30"/>
    </row>
    <row r="982" spans="1:9" ht="15.75" thickBot="1" x14ac:dyDescent="0.3">
      <c r="A982" s="43" t="s">
        <v>3739</v>
      </c>
      <c r="B982" s="21" t="s">
        <v>3740</v>
      </c>
      <c r="C982" s="21" t="s">
        <v>22663</v>
      </c>
      <c r="D982" s="31">
        <v>1</v>
      </c>
      <c r="E982" s="23" t="s">
        <v>22656</v>
      </c>
      <c r="F982" s="24" t="s">
        <v>22657</v>
      </c>
      <c r="G982" s="25">
        <v>2</v>
      </c>
      <c r="H982" s="26"/>
      <c r="I982" s="27"/>
    </row>
    <row r="983" spans="1:9" ht="15.75" thickBot="1" x14ac:dyDescent="0.3">
      <c r="A983" s="43" t="s">
        <v>3741</v>
      </c>
      <c r="B983" s="21" t="s">
        <v>3742</v>
      </c>
      <c r="C983" s="21" t="s">
        <v>22663</v>
      </c>
      <c r="D983" s="31">
        <v>1</v>
      </c>
      <c r="E983" s="23" t="s">
        <v>22656</v>
      </c>
      <c r="F983" s="24" t="s">
        <v>22657</v>
      </c>
      <c r="G983" s="25">
        <v>4</v>
      </c>
      <c r="H983" s="29"/>
      <c r="I983" s="30"/>
    </row>
    <row r="984" spans="1:9" ht="15.75" thickBot="1" x14ac:dyDescent="0.3">
      <c r="A984" s="43" t="s">
        <v>3743</v>
      </c>
      <c r="B984" s="21" t="s">
        <v>3744</v>
      </c>
      <c r="C984" s="21" t="s">
        <v>22697</v>
      </c>
      <c r="D984" s="22">
        <v>46047</v>
      </c>
      <c r="E984" s="23" t="s">
        <v>22656</v>
      </c>
      <c r="F984" s="24" t="s">
        <v>22657</v>
      </c>
      <c r="G984" s="25">
        <v>2</v>
      </c>
      <c r="H984" s="26"/>
      <c r="I984" s="27"/>
    </row>
    <row r="985" spans="1:9" ht="15.75" thickBot="1" x14ac:dyDescent="0.3">
      <c r="A985" s="43" t="s">
        <v>3745</v>
      </c>
      <c r="B985" s="21" t="s">
        <v>3746</v>
      </c>
      <c r="C985" s="21" t="s">
        <v>22663</v>
      </c>
      <c r="D985" s="31">
        <v>1</v>
      </c>
      <c r="E985" s="23" t="s">
        <v>22656</v>
      </c>
      <c r="F985" s="24" t="s">
        <v>22657</v>
      </c>
      <c r="G985" s="25">
        <v>3</v>
      </c>
      <c r="H985" s="29"/>
      <c r="I985" s="30"/>
    </row>
    <row r="986" spans="1:9" ht="15.75" thickBot="1" x14ac:dyDescent="0.3">
      <c r="A986" s="43" t="s">
        <v>3747</v>
      </c>
      <c r="B986" s="21" t="s">
        <v>3748</v>
      </c>
      <c r="C986" s="21" t="s">
        <v>22663</v>
      </c>
      <c r="D986" s="31">
        <v>1</v>
      </c>
      <c r="E986" s="23" t="s">
        <v>22661</v>
      </c>
      <c r="F986" s="24" t="s">
        <v>22657</v>
      </c>
      <c r="G986" s="25">
        <v>4</v>
      </c>
      <c r="H986" s="26"/>
      <c r="I986" s="27"/>
    </row>
    <row r="987" spans="1:9" ht="15.75" thickBot="1" x14ac:dyDescent="0.3">
      <c r="A987" s="43" t="s">
        <v>3749</v>
      </c>
      <c r="B987" s="21" t="s">
        <v>3750</v>
      </c>
      <c r="C987" s="21" t="s">
        <v>22663</v>
      </c>
      <c r="D987" s="31">
        <v>1</v>
      </c>
      <c r="E987" s="23" t="s">
        <v>22656</v>
      </c>
      <c r="F987" s="24" t="s">
        <v>22657</v>
      </c>
      <c r="G987" s="25">
        <v>7</v>
      </c>
      <c r="H987" s="29"/>
      <c r="I987" s="30"/>
    </row>
    <row r="988" spans="1:9" ht="15.75" thickBot="1" x14ac:dyDescent="0.3">
      <c r="A988" s="43" t="s">
        <v>733</v>
      </c>
      <c r="B988" s="21" t="s">
        <v>734</v>
      </c>
      <c r="C988" s="21" t="s">
        <v>22698</v>
      </c>
      <c r="D988" s="31">
        <v>1</v>
      </c>
      <c r="E988" s="23" t="s">
        <v>22656</v>
      </c>
      <c r="F988" s="24" t="s">
        <v>22657</v>
      </c>
      <c r="G988" s="25">
        <v>4</v>
      </c>
      <c r="H988" s="26"/>
      <c r="I988" s="27"/>
    </row>
    <row r="989" spans="1:9" ht="15.75" thickBot="1" x14ac:dyDescent="0.3">
      <c r="A989" s="43" t="s">
        <v>3751</v>
      </c>
      <c r="B989" s="21" t="s">
        <v>3752</v>
      </c>
      <c r="C989" s="21" t="s">
        <v>22663</v>
      </c>
      <c r="D989" s="31">
        <v>1</v>
      </c>
      <c r="E989" s="23" t="s">
        <v>22656</v>
      </c>
      <c r="F989" s="24" t="s">
        <v>22657</v>
      </c>
      <c r="G989" s="25">
        <v>5</v>
      </c>
      <c r="H989" s="29"/>
      <c r="I989" s="30"/>
    </row>
    <row r="990" spans="1:9" ht="15.75" thickBot="1" x14ac:dyDescent="0.3">
      <c r="A990" s="43" t="s">
        <v>3753</v>
      </c>
      <c r="B990" s="21" t="s">
        <v>3754</v>
      </c>
      <c r="C990" s="21" t="s">
        <v>22727</v>
      </c>
      <c r="D990" s="31">
        <v>1</v>
      </c>
      <c r="E990" s="23" t="s">
        <v>22656</v>
      </c>
      <c r="F990" s="24" t="s">
        <v>22657</v>
      </c>
      <c r="G990" s="25">
        <v>2</v>
      </c>
      <c r="H990" s="26"/>
      <c r="I990" s="27"/>
    </row>
    <row r="991" spans="1:9" ht="15.75" thickBot="1" x14ac:dyDescent="0.3">
      <c r="A991" s="43" t="s">
        <v>3755</v>
      </c>
      <c r="B991" s="21" t="s">
        <v>3756</v>
      </c>
      <c r="C991" s="21" t="s">
        <v>22663</v>
      </c>
      <c r="D991" s="31">
        <v>1</v>
      </c>
      <c r="E991" s="23" t="s">
        <v>22656</v>
      </c>
      <c r="F991" s="24" t="s">
        <v>22657</v>
      </c>
      <c r="G991" s="25">
        <v>4</v>
      </c>
      <c r="H991" s="29"/>
      <c r="I991" s="30"/>
    </row>
    <row r="992" spans="1:9" ht="15.75" thickBot="1" x14ac:dyDescent="0.3">
      <c r="A992" s="43" t="s">
        <v>3757</v>
      </c>
      <c r="B992" s="21" t="s">
        <v>3758</v>
      </c>
      <c r="C992" s="21" t="s">
        <v>22697</v>
      </c>
      <c r="D992" s="22">
        <v>46047</v>
      </c>
      <c r="E992" s="23" t="s">
        <v>22656</v>
      </c>
      <c r="F992" s="24" t="s">
        <v>22657</v>
      </c>
      <c r="G992" s="25">
        <v>2</v>
      </c>
      <c r="H992" s="26"/>
      <c r="I992" s="27"/>
    </row>
    <row r="993" spans="1:9" ht="15.75" thickBot="1" x14ac:dyDescent="0.3">
      <c r="A993" s="43" t="s">
        <v>3759</v>
      </c>
      <c r="B993" s="21" t="s">
        <v>3760</v>
      </c>
      <c r="C993" s="21" t="s">
        <v>22663</v>
      </c>
      <c r="D993" s="31">
        <v>1</v>
      </c>
      <c r="E993" s="23" t="s">
        <v>22656</v>
      </c>
      <c r="F993" s="24" t="s">
        <v>22657</v>
      </c>
      <c r="G993" s="25">
        <v>3</v>
      </c>
      <c r="H993" s="29"/>
      <c r="I993" s="30"/>
    </row>
    <row r="994" spans="1:9" ht="15.75" thickBot="1" x14ac:dyDescent="0.3">
      <c r="A994" s="43" t="s">
        <v>3761</v>
      </c>
      <c r="B994" s="21" t="s">
        <v>3762</v>
      </c>
      <c r="C994" s="21" t="s">
        <v>22698</v>
      </c>
      <c r="D994" s="31">
        <v>1</v>
      </c>
      <c r="E994" s="23" t="s">
        <v>22658</v>
      </c>
      <c r="F994" s="28" t="s">
        <v>22659</v>
      </c>
      <c r="G994" s="25">
        <v>1</v>
      </c>
      <c r="H994" s="26"/>
      <c r="I994" s="27"/>
    </row>
    <row r="995" spans="1:9" ht="15.75" thickBot="1" x14ac:dyDescent="0.3">
      <c r="A995" s="43" t="s">
        <v>3763</v>
      </c>
      <c r="B995" s="21" t="s">
        <v>3764</v>
      </c>
      <c r="C995" s="21" t="s">
        <v>22663</v>
      </c>
      <c r="D995" s="31">
        <v>1</v>
      </c>
      <c r="E995" s="23" t="s">
        <v>22658</v>
      </c>
      <c r="F995" s="24" t="s">
        <v>22657</v>
      </c>
      <c r="G995" s="25">
        <v>2</v>
      </c>
      <c r="H995" s="29"/>
      <c r="I995" s="30"/>
    </row>
    <row r="996" spans="1:9" ht="15.75" thickBot="1" x14ac:dyDescent="0.3">
      <c r="A996" s="43" t="s">
        <v>3765</v>
      </c>
      <c r="B996" s="21" t="s">
        <v>3766</v>
      </c>
      <c r="C996" s="21" t="s">
        <v>22663</v>
      </c>
      <c r="D996" s="31">
        <v>1</v>
      </c>
      <c r="E996" s="23" t="s">
        <v>22656</v>
      </c>
      <c r="F996" s="24" t="s">
        <v>22657</v>
      </c>
      <c r="G996" s="25">
        <v>4</v>
      </c>
      <c r="H996" s="26"/>
      <c r="I996" s="27"/>
    </row>
    <row r="997" spans="1:9" ht="15.75" thickBot="1" x14ac:dyDescent="0.3">
      <c r="A997" s="43" t="s">
        <v>3767</v>
      </c>
      <c r="B997" s="21" t="s">
        <v>3768</v>
      </c>
      <c r="C997" s="21" t="s">
        <v>22697</v>
      </c>
      <c r="D997" s="22">
        <v>46047</v>
      </c>
      <c r="E997" s="23" t="s">
        <v>22658</v>
      </c>
      <c r="F997" s="24" t="s">
        <v>22657</v>
      </c>
      <c r="G997" s="25">
        <v>1</v>
      </c>
      <c r="H997" s="29"/>
      <c r="I997" s="30"/>
    </row>
    <row r="998" spans="1:9" ht="15.75" thickBot="1" x14ac:dyDescent="0.3">
      <c r="A998" s="43" t="s">
        <v>3769</v>
      </c>
      <c r="B998" s="21" t="s">
        <v>3770</v>
      </c>
      <c r="C998" s="21" t="s">
        <v>22663</v>
      </c>
      <c r="D998" s="31">
        <v>1</v>
      </c>
      <c r="E998" s="23" t="s">
        <v>22656</v>
      </c>
      <c r="F998" s="24" t="s">
        <v>22657</v>
      </c>
      <c r="G998" s="25">
        <v>3</v>
      </c>
      <c r="H998" s="26"/>
      <c r="I998" s="27"/>
    </row>
    <row r="999" spans="1:9" ht="15.75" thickBot="1" x14ac:dyDescent="0.3">
      <c r="A999" s="43" t="s">
        <v>3771</v>
      </c>
      <c r="B999" s="21" t="s">
        <v>3772</v>
      </c>
      <c r="C999" s="21" t="s">
        <v>22682</v>
      </c>
      <c r="D999" s="22">
        <v>46034</v>
      </c>
      <c r="E999" s="23" t="s">
        <v>22656</v>
      </c>
      <c r="F999" s="24" t="s">
        <v>22657</v>
      </c>
      <c r="G999" s="25">
        <v>4</v>
      </c>
      <c r="H999" s="29"/>
      <c r="I999" s="30"/>
    </row>
    <row r="1000" spans="1:9" ht="15.75" thickBot="1" x14ac:dyDescent="0.3">
      <c r="A1000" s="43" t="s">
        <v>3773</v>
      </c>
      <c r="B1000" s="21" t="s">
        <v>3774</v>
      </c>
      <c r="C1000" s="21" t="s">
        <v>22682</v>
      </c>
      <c r="D1000" s="22">
        <v>46034</v>
      </c>
      <c r="E1000" s="23" t="s">
        <v>22656</v>
      </c>
      <c r="F1000" s="24" t="s">
        <v>22657</v>
      </c>
      <c r="G1000" s="25">
        <v>4</v>
      </c>
      <c r="H1000" s="26"/>
      <c r="I1000" s="27"/>
    </row>
    <row r="1001" spans="1:9" ht="15.75" thickBot="1" x14ac:dyDescent="0.3">
      <c r="A1001" s="43" t="s">
        <v>3775</v>
      </c>
      <c r="B1001" s="21" t="s">
        <v>3776</v>
      </c>
      <c r="C1001" s="21" t="s">
        <v>22682</v>
      </c>
      <c r="D1001" s="22">
        <v>46034</v>
      </c>
      <c r="E1001" s="23" t="s">
        <v>22656</v>
      </c>
      <c r="F1001" s="24" t="s">
        <v>22657</v>
      </c>
      <c r="G1001" s="25">
        <v>4</v>
      </c>
      <c r="H1001" s="29"/>
      <c r="I1001" s="30"/>
    </row>
    <row r="1002" spans="1:9" ht="15.75" thickBot="1" x14ac:dyDescent="0.3">
      <c r="A1002" s="43" t="s">
        <v>3777</v>
      </c>
      <c r="B1002" s="21" t="s">
        <v>3778</v>
      </c>
      <c r="C1002" s="21" t="s">
        <v>22655</v>
      </c>
      <c r="D1002" s="22">
        <v>46034</v>
      </c>
      <c r="E1002" s="23" t="s">
        <v>22656</v>
      </c>
      <c r="F1002" s="24" t="s">
        <v>22657</v>
      </c>
      <c r="G1002" s="25">
        <v>2</v>
      </c>
      <c r="H1002" s="26"/>
      <c r="I1002" s="27"/>
    </row>
    <row r="1003" spans="1:9" ht="15.75" thickBot="1" x14ac:dyDescent="0.3">
      <c r="A1003" s="43" t="s">
        <v>3779</v>
      </c>
      <c r="B1003" s="21" t="s">
        <v>3780</v>
      </c>
      <c r="C1003" s="21" t="s">
        <v>22655</v>
      </c>
      <c r="D1003" s="22">
        <v>46034</v>
      </c>
      <c r="E1003" s="23" t="s">
        <v>22656</v>
      </c>
      <c r="F1003" s="24" t="s">
        <v>22657</v>
      </c>
      <c r="G1003" s="25">
        <v>2</v>
      </c>
      <c r="H1003" s="29"/>
      <c r="I1003" s="30"/>
    </row>
    <row r="1004" spans="1:9" ht="15.75" thickBot="1" x14ac:dyDescent="0.3">
      <c r="A1004" s="43" t="s">
        <v>3781</v>
      </c>
      <c r="B1004" s="21" t="s">
        <v>3782</v>
      </c>
      <c r="C1004" s="21" t="s">
        <v>22655</v>
      </c>
      <c r="D1004" s="22">
        <v>46034</v>
      </c>
      <c r="E1004" s="23" t="s">
        <v>22661</v>
      </c>
      <c r="F1004" s="24" t="s">
        <v>22657</v>
      </c>
      <c r="G1004" s="25">
        <v>7</v>
      </c>
      <c r="H1004" s="26"/>
      <c r="I1004" s="27"/>
    </row>
    <row r="1005" spans="1:9" ht="15.75" thickBot="1" x14ac:dyDescent="0.3">
      <c r="A1005" s="43" t="s">
        <v>3783</v>
      </c>
      <c r="B1005" s="21" t="s">
        <v>3784</v>
      </c>
      <c r="C1005" s="21" t="s">
        <v>22655</v>
      </c>
      <c r="D1005" s="22">
        <v>46026</v>
      </c>
      <c r="E1005" s="23" t="s">
        <v>22661</v>
      </c>
      <c r="F1005" s="24" t="s">
        <v>22657</v>
      </c>
      <c r="G1005" s="25">
        <v>3</v>
      </c>
      <c r="H1005" s="32">
        <v>3</v>
      </c>
      <c r="I1005" s="33">
        <v>6</v>
      </c>
    </row>
    <row r="1006" spans="1:9" ht="15.75" thickBot="1" x14ac:dyDescent="0.3">
      <c r="A1006" s="43" t="s">
        <v>3785</v>
      </c>
      <c r="B1006" s="21" t="s">
        <v>3786</v>
      </c>
      <c r="C1006" s="21" t="s">
        <v>22655</v>
      </c>
      <c r="D1006" s="22">
        <v>46026</v>
      </c>
      <c r="E1006" s="23" t="s">
        <v>22656</v>
      </c>
      <c r="F1006" s="24" t="s">
        <v>22657</v>
      </c>
      <c r="G1006" s="25">
        <v>4</v>
      </c>
      <c r="H1006" s="26"/>
      <c r="I1006" s="27"/>
    </row>
    <row r="1007" spans="1:9" ht="15.75" thickBot="1" x14ac:dyDescent="0.3">
      <c r="A1007" s="43" t="s">
        <v>3787</v>
      </c>
      <c r="B1007" s="21" t="s">
        <v>3788</v>
      </c>
      <c r="C1007" s="21" t="s">
        <v>22655</v>
      </c>
      <c r="D1007" s="22">
        <v>46034</v>
      </c>
      <c r="E1007" s="23" t="s">
        <v>22656</v>
      </c>
      <c r="F1007" s="24" t="s">
        <v>22657</v>
      </c>
      <c r="G1007" s="25">
        <v>3</v>
      </c>
      <c r="H1007" s="29"/>
      <c r="I1007" s="30"/>
    </row>
    <row r="1008" spans="1:9" ht="15.75" thickBot="1" x14ac:dyDescent="0.3">
      <c r="A1008" s="43" t="s">
        <v>3789</v>
      </c>
      <c r="B1008" s="21" t="s">
        <v>3790</v>
      </c>
      <c r="C1008" s="21" t="s">
        <v>22655</v>
      </c>
      <c r="D1008" s="22">
        <v>46034</v>
      </c>
      <c r="E1008" s="23" t="s">
        <v>22661</v>
      </c>
      <c r="F1008" s="24" t="s">
        <v>22657</v>
      </c>
      <c r="G1008" s="25">
        <v>5</v>
      </c>
      <c r="H1008" s="26"/>
      <c r="I1008" s="27"/>
    </row>
    <row r="1009" spans="1:9" ht="15.75" thickBot="1" x14ac:dyDescent="0.3">
      <c r="A1009" s="43" t="s">
        <v>3791</v>
      </c>
      <c r="B1009" s="21" t="s">
        <v>3792</v>
      </c>
      <c r="C1009" s="21" t="s">
        <v>22655</v>
      </c>
      <c r="D1009" s="22">
        <v>46034</v>
      </c>
      <c r="E1009" s="23" t="s">
        <v>22656</v>
      </c>
      <c r="F1009" s="24" t="s">
        <v>22657</v>
      </c>
      <c r="G1009" s="25">
        <v>2</v>
      </c>
      <c r="H1009" s="29"/>
      <c r="I1009" s="30"/>
    </row>
    <row r="1010" spans="1:9" ht="15.75" thickBot="1" x14ac:dyDescent="0.3">
      <c r="A1010" s="43" t="s">
        <v>3793</v>
      </c>
      <c r="B1010" s="21" t="s">
        <v>3794</v>
      </c>
      <c r="C1010" s="21" t="s">
        <v>22655</v>
      </c>
      <c r="D1010" s="22">
        <v>46034</v>
      </c>
      <c r="E1010" s="23" t="s">
        <v>22661</v>
      </c>
      <c r="F1010" s="24" t="s">
        <v>22657</v>
      </c>
      <c r="G1010" s="25">
        <v>6</v>
      </c>
      <c r="H1010" s="26"/>
      <c r="I1010" s="27"/>
    </row>
    <row r="1011" spans="1:9" ht="15.75" thickBot="1" x14ac:dyDescent="0.3">
      <c r="A1011" s="43" t="s">
        <v>3795</v>
      </c>
      <c r="B1011" s="21" t="s">
        <v>3796</v>
      </c>
      <c r="C1011" s="21" t="s">
        <v>22655</v>
      </c>
      <c r="D1011" s="22">
        <v>46034</v>
      </c>
      <c r="E1011" s="23" t="s">
        <v>22661</v>
      </c>
      <c r="F1011" s="24" t="s">
        <v>22657</v>
      </c>
      <c r="G1011" s="25">
        <v>7</v>
      </c>
      <c r="H1011" s="29"/>
      <c r="I1011" s="30"/>
    </row>
    <row r="1012" spans="1:9" ht="15.75" thickBot="1" x14ac:dyDescent="0.3">
      <c r="A1012" s="43" t="s">
        <v>3797</v>
      </c>
      <c r="B1012" s="21" t="s">
        <v>3798</v>
      </c>
      <c r="C1012" s="21" t="s">
        <v>22655</v>
      </c>
      <c r="D1012" s="22">
        <v>46034</v>
      </c>
      <c r="E1012" s="23" t="s">
        <v>22661</v>
      </c>
      <c r="F1012" s="24" t="s">
        <v>22657</v>
      </c>
      <c r="G1012" s="25">
        <v>3</v>
      </c>
      <c r="H1012" s="26"/>
      <c r="I1012" s="27"/>
    </row>
    <row r="1013" spans="1:9" ht="15.75" thickBot="1" x14ac:dyDescent="0.3">
      <c r="A1013" s="43" t="s">
        <v>3799</v>
      </c>
      <c r="B1013" s="21" t="s">
        <v>3800</v>
      </c>
      <c r="C1013" s="21" t="s">
        <v>22655</v>
      </c>
      <c r="D1013" s="22">
        <v>46034</v>
      </c>
      <c r="E1013" s="23" t="s">
        <v>22656</v>
      </c>
      <c r="F1013" s="24" t="s">
        <v>22657</v>
      </c>
      <c r="G1013" s="25">
        <v>3</v>
      </c>
      <c r="H1013" s="29"/>
      <c r="I1013" s="30"/>
    </row>
    <row r="1014" spans="1:9" ht="15.75" thickBot="1" x14ac:dyDescent="0.3">
      <c r="A1014" s="43" t="s">
        <v>3801</v>
      </c>
      <c r="B1014" s="21" t="s">
        <v>3802</v>
      </c>
      <c r="C1014" s="21" t="s">
        <v>22655</v>
      </c>
      <c r="D1014" s="22">
        <v>46034</v>
      </c>
      <c r="E1014" s="23" t="s">
        <v>22661</v>
      </c>
      <c r="F1014" s="24" t="s">
        <v>22657</v>
      </c>
      <c r="G1014" s="25">
        <v>3</v>
      </c>
      <c r="H1014" s="26"/>
      <c r="I1014" s="27"/>
    </row>
    <row r="1015" spans="1:9" ht="15.75" thickBot="1" x14ac:dyDescent="0.3">
      <c r="A1015" s="43" t="s">
        <v>3803</v>
      </c>
      <c r="B1015" s="21" t="s">
        <v>3804</v>
      </c>
      <c r="C1015" s="21" t="s">
        <v>22655</v>
      </c>
      <c r="D1015" s="22">
        <v>46034</v>
      </c>
      <c r="E1015" s="23" t="s">
        <v>22661</v>
      </c>
      <c r="F1015" s="24" t="s">
        <v>22657</v>
      </c>
      <c r="G1015" s="25">
        <v>7</v>
      </c>
      <c r="H1015" s="29"/>
      <c r="I1015" s="30"/>
    </row>
    <row r="1016" spans="1:9" ht="15.75" thickBot="1" x14ac:dyDescent="0.3">
      <c r="A1016" s="43" t="s">
        <v>1373</v>
      </c>
      <c r="B1016" s="21" t="s">
        <v>1374</v>
      </c>
      <c r="C1016" s="21" t="s">
        <v>22655</v>
      </c>
      <c r="D1016" s="22">
        <v>46034</v>
      </c>
      <c r="E1016" s="23" t="s">
        <v>22656</v>
      </c>
      <c r="F1016" s="24" t="s">
        <v>22657</v>
      </c>
      <c r="G1016" s="25">
        <v>4</v>
      </c>
      <c r="H1016" s="26"/>
      <c r="I1016" s="27"/>
    </row>
    <row r="1017" spans="1:9" ht="15.75" thickBot="1" x14ac:dyDescent="0.3">
      <c r="A1017" s="43" t="s">
        <v>3805</v>
      </c>
      <c r="B1017" s="21" t="s">
        <v>3806</v>
      </c>
      <c r="C1017" s="21" t="s">
        <v>22655</v>
      </c>
      <c r="D1017" s="31" t="s">
        <v>22660</v>
      </c>
      <c r="E1017" s="23" t="s">
        <v>22656</v>
      </c>
      <c r="F1017" s="24" t="s">
        <v>22657</v>
      </c>
      <c r="G1017" s="25">
        <v>4</v>
      </c>
      <c r="H1017" s="29"/>
      <c r="I1017" s="30"/>
    </row>
    <row r="1018" spans="1:9" ht="15.75" thickBot="1" x14ac:dyDescent="0.3">
      <c r="A1018" s="43" t="s">
        <v>3807</v>
      </c>
      <c r="B1018" s="21" t="s">
        <v>3808</v>
      </c>
      <c r="C1018" s="21" t="s">
        <v>22655</v>
      </c>
      <c r="D1018" s="31" t="s">
        <v>22737</v>
      </c>
      <c r="E1018" s="23" t="s">
        <v>22661</v>
      </c>
      <c r="F1018" s="24" t="s">
        <v>22657</v>
      </c>
      <c r="G1018" s="25">
        <v>80</v>
      </c>
      <c r="H1018" s="26"/>
      <c r="I1018" s="27"/>
    </row>
    <row r="1019" spans="1:9" ht="15.75" thickBot="1" x14ac:dyDescent="0.3">
      <c r="A1019" s="43" t="s">
        <v>3809</v>
      </c>
      <c r="B1019" s="21" t="s">
        <v>3810</v>
      </c>
      <c r="C1019" s="21" t="s">
        <v>22667</v>
      </c>
      <c r="D1019" s="31" t="s">
        <v>22674</v>
      </c>
      <c r="E1019" s="23" t="s">
        <v>22661</v>
      </c>
      <c r="F1019" s="24" t="s">
        <v>22657</v>
      </c>
      <c r="G1019" s="25">
        <v>16</v>
      </c>
      <c r="H1019" s="29"/>
      <c r="I1019" s="30"/>
    </row>
    <row r="1020" spans="1:9" ht="15.75" thickBot="1" x14ac:dyDescent="0.3">
      <c r="A1020" s="43" t="s">
        <v>3811</v>
      </c>
      <c r="B1020" s="21" t="s">
        <v>3812</v>
      </c>
      <c r="C1020" s="21" t="s">
        <v>22672</v>
      </c>
      <c r="D1020" s="31" t="s">
        <v>22673</v>
      </c>
      <c r="E1020" s="23" t="s">
        <v>22656</v>
      </c>
      <c r="F1020" s="24" t="s">
        <v>22657</v>
      </c>
      <c r="G1020" s="25">
        <v>4</v>
      </c>
      <c r="H1020" s="26"/>
      <c r="I1020" s="27"/>
    </row>
    <row r="1021" spans="1:9" ht="15.75" thickBot="1" x14ac:dyDescent="0.3">
      <c r="A1021" s="43" t="s">
        <v>3813</v>
      </c>
      <c r="B1021" s="21" t="s">
        <v>3814</v>
      </c>
      <c r="C1021" s="21" t="s">
        <v>22672</v>
      </c>
      <c r="D1021" s="31" t="s">
        <v>22673</v>
      </c>
      <c r="E1021" s="23" t="s">
        <v>22658</v>
      </c>
      <c r="F1021" s="24" t="s">
        <v>22657</v>
      </c>
      <c r="G1021" s="25">
        <v>4</v>
      </c>
      <c r="H1021" s="29"/>
      <c r="I1021" s="30"/>
    </row>
    <row r="1022" spans="1:9" ht="15.75" thickBot="1" x14ac:dyDescent="0.3">
      <c r="A1022" s="43" t="s">
        <v>3815</v>
      </c>
      <c r="B1022" s="21" t="s">
        <v>3816</v>
      </c>
      <c r="C1022" s="21" t="s">
        <v>22672</v>
      </c>
      <c r="D1022" s="31" t="s">
        <v>22673</v>
      </c>
      <c r="E1022" s="23" t="s">
        <v>22658</v>
      </c>
      <c r="F1022" s="24" t="s">
        <v>22657</v>
      </c>
      <c r="G1022" s="25">
        <v>4</v>
      </c>
      <c r="H1022" s="26"/>
      <c r="I1022" s="27"/>
    </row>
    <row r="1023" spans="1:9" ht="15.75" thickBot="1" x14ac:dyDescent="0.3">
      <c r="A1023" s="43" t="s">
        <v>3817</v>
      </c>
      <c r="B1023" s="21" t="s">
        <v>3818</v>
      </c>
      <c r="C1023" s="21" t="s">
        <v>22672</v>
      </c>
      <c r="D1023" s="31" t="s">
        <v>22673</v>
      </c>
      <c r="E1023" s="23" t="s">
        <v>22656</v>
      </c>
      <c r="F1023" s="24" t="s">
        <v>22657</v>
      </c>
      <c r="G1023" s="25">
        <v>4</v>
      </c>
      <c r="H1023" s="29"/>
      <c r="I1023" s="30"/>
    </row>
    <row r="1024" spans="1:9" ht="15.75" thickBot="1" x14ac:dyDescent="0.3">
      <c r="A1024" s="43" t="s">
        <v>3819</v>
      </c>
      <c r="B1024" s="21" t="s">
        <v>3820</v>
      </c>
      <c r="C1024" s="21" t="s">
        <v>22672</v>
      </c>
      <c r="D1024" s="31" t="s">
        <v>22673</v>
      </c>
      <c r="E1024" s="23" t="s">
        <v>22658</v>
      </c>
      <c r="F1024" s="24" t="s">
        <v>22657</v>
      </c>
      <c r="G1024" s="25">
        <v>4</v>
      </c>
      <c r="H1024" s="26"/>
      <c r="I1024" s="27"/>
    </row>
    <row r="1025" spans="1:9" ht="15.75" thickBot="1" x14ac:dyDescent="0.3">
      <c r="A1025" s="43" t="s">
        <v>3821</v>
      </c>
      <c r="B1025" s="21" t="s">
        <v>3822</v>
      </c>
      <c r="C1025" s="21" t="s">
        <v>22672</v>
      </c>
      <c r="D1025" s="31" t="s">
        <v>22673</v>
      </c>
      <c r="E1025" s="23" t="s">
        <v>22658</v>
      </c>
      <c r="F1025" s="24" t="s">
        <v>22657</v>
      </c>
      <c r="G1025" s="25">
        <v>4</v>
      </c>
      <c r="H1025" s="29"/>
      <c r="I1025" s="30"/>
    </row>
    <row r="1026" spans="1:9" ht="15.75" thickBot="1" x14ac:dyDescent="0.3">
      <c r="A1026" s="43" t="s">
        <v>3823</v>
      </c>
      <c r="B1026" s="21" t="s">
        <v>3824</v>
      </c>
      <c r="C1026" s="21" t="s">
        <v>22672</v>
      </c>
      <c r="D1026" s="31" t="s">
        <v>22673</v>
      </c>
      <c r="E1026" s="23" t="s">
        <v>22658</v>
      </c>
      <c r="F1026" s="24" t="s">
        <v>22657</v>
      </c>
      <c r="G1026" s="25">
        <v>4</v>
      </c>
      <c r="H1026" s="26"/>
      <c r="I1026" s="27"/>
    </row>
    <row r="1027" spans="1:9" ht="15.75" thickBot="1" x14ac:dyDescent="0.3">
      <c r="A1027" s="43" t="s">
        <v>3825</v>
      </c>
      <c r="B1027" s="21" t="s">
        <v>3826</v>
      </c>
      <c r="C1027" s="21" t="s">
        <v>22672</v>
      </c>
      <c r="D1027" s="31" t="s">
        <v>22673</v>
      </c>
      <c r="E1027" s="23" t="s">
        <v>22658</v>
      </c>
      <c r="F1027" s="24" t="s">
        <v>22657</v>
      </c>
      <c r="G1027" s="25">
        <v>4</v>
      </c>
      <c r="H1027" s="29"/>
      <c r="I1027" s="30"/>
    </row>
    <row r="1028" spans="1:9" ht="15.75" thickBot="1" x14ac:dyDescent="0.3">
      <c r="A1028" s="43" t="s">
        <v>3827</v>
      </c>
      <c r="B1028" s="21" t="s">
        <v>3828</v>
      </c>
      <c r="C1028" s="21" t="s">
        <v>22672</v>
      </c>
      <c r="D1028" s="31" t="s">
        <v>22673</v>
      </c>
      <c r="E1028" s="23" t="s">
        <v>22656</v>
      </c>
      <c r="F1028" s="24" t="s">
        <v>22657</v>
      </c>
      <c r="G1028" s="25">
        <v>4</v>
      </c>
      <c r="H1028" s="26"/>
      <c r="I1028" s="27"/>
    </row>
    <row r="1029" spans="1:9" ht="15.75" thickBot="1" x14ac:dyDescent="0.3">
      <c r="A1029" s="43" t="s">
        <v>3829</v>
      </c>
      <c r="B1029" s="21" t="s">
        <v>3830</v>
      </c>
      <c r="C1029" s="21" t="s">
        <v>22672</v>
      </c>
      <c r="D1029" s="31" t="s">
        <v>22673</v>
      </c>
      <c r="E1029" s="23" t="s">
        <v>22658</v>
      </c>
      <c r="F1029" s="24" t="s">
        <v>22657</v>
      </c>
      <c r="G1029" s="25">
        <v>4</v>
      </c>
      <c r="H1029" s="29"/>
      <c r="I1029" s="30"/>
    </row>
    <row r="1030" spans="1:9" ht="15.75" thickBot="1" x14ac:dyDescent="0.3">
      <c r="A1030" s="43" t="s">
        <v>3831</v>
      </c>
      <c r="B1030" s="21" t="s">
        <v>3832</v>
      </c>
      <c r="C1030" s="21" t="s">
        <v>22672</v>
      </c>
      <c r="D1030" s="31" t="s">
        <v>22673</v>
      </c>
      <c r="E1030" s="23" t="s">
        <v>22656</v>
      </c>
      <c r="F1030" s="24" t="s">
        <v>22657</v>
      </c>
      <c r="G1030" s="25">
        <v>4</v>
      </c>
      <c r="H1030" s="26"/>
      <c r="I1030" s="27"/>
    </row>
    <row r="1031" spans="1:9" ht="15.75" thickBot="1" x14ac:dyDescent="0.3">
      <c r="A1031" s="43" t="s">
        <v>3833</v>
      </c>
      <c r="B1031" s="21" t="s">
        <v>3834</v>
      </c>
      <c r="C1031" s="21" t="s">
        <v>22672</v>
      </c>
      <c r="D1031" s="31" t="s">
        <v>22673</v>
      </c>
      <c r="E1031" s="23" t="s">
        <v>22658</v>
      </c>
      <c r="F1031" s="24" t="s">
        <v>22657</v>
      </c>
      <c r="G1031" s="25">
        <v>4</v>
      </c>
      <c r="H1031" s="29"/>
      <c r="I1031" s="30"/>
    </row>
    <row r="1032" spans="1:9" ht="15.75" thickBot="1" x14ac:dyDescent="0.3">
      <c r="A1032" s="43" t="s">
        <v>3835</v>
      </c>
      <c r="B1032" s="21" t="s">
        <v>3836</v>
      </c>
      <c r="C1032" s="21" t="s">
        <v>22672</v>
      </c>
      <c r="D1032" s="31" t="s">
        <v>22673</v>
      </c>
      <c r="E1032" s="23" t="s">
        <v>22658</v>
      </c>
      <c r="F1032" s="24" t="s">
        <v>22657</v>
      </c>
      <c r="G1032" s="25">
        <v>4</v>
      </c>
      <c r="H1032" s="26"/>
      <c r="I1032" s="27"/>
    </row>
    <row r="1033" spans="1:9" ht="15.75" thickBot="1" x14ac:dyDescent="0.3">
      <c r="A1033" s="43" t="s">
        <v>3837</v>
      </c>
      <c r="B1033" s="21" t="s">
        <v>3838</v>
      </c>
      <c r="C1033" s="21" t="s">
        <v>22672</v>
      </c>
      <c r="D1033" s="31" t="s">
        <v>22673</v>
      </c>
      <c r="E1033" s="23" t="s">
        <v>22658</v>
      </c>
      <c r="F1033" s="24" t="s">
        <v>22657</v>
      </c>
      <c r="G1033" s="25">
        <v>4</v>
      </c>
      <c r="H1033" s="29"/>
      <c r="I1033" s="30"/>
    </row>
    <row r="1034" spans="1:9" ht="15.75" thickBot="1" x14ac:dyDescent="0.3">
      <c r="A1034" s="43" t="s">
        <v>3839</v>
      </c>
      <c r="B1034" s="21" t="s">
        <v>3840</v>
      </c>
      <c r="C1034" s="21" t="s">
        <v>22672</v>
      </c>
      <c r="D1034" s="31" t="s">
        <v>22673</v>
      </c>
      <c r="E1034" s="23" t="s">
        <v>22658</v>
      </c>
      <c r="F1034" s="24" t="s">
        <v>22657</v>
      </c>
      <c r="G1034" s="25">
        <v>4</v>
      </c>
      <c r="H1034" s="26"/>
      <c r="I1034" s="27"/>
    </row>
    <row r="1035" spans="1:9" ht="15.75" thickBot="1" x14ac:dyDescent="0.3">
      <c r="A1035" s="43" t="s">
        <v>3841</v>
      </c>
      <c r="B1035" s="21" t="s">
        <v>3842</v>
      </c>
      <c r="C1035" s="21" t="s">
        <v>22672</v>
      </c>
      <c r="D1035" s="31" t="s">
        <v>22673</v>
      </c>
      <c r="E1035" s="23" t="s">
        <v>22658</v>
      </c>
      <c r="F1035" s="24" t="s">
        <v>22657</v>
      </c>
      <c r="G1035" s="25">
        <v>4</v>
      </c>
      <c r="H1035" s="29"/>
      <c r="I1035" s="30"/>
    </row>
    <row r="1036" spans="1:9" ht="15.75" thickBot="1" x14ac:dyDescent="0.3">
      <c r="A1036" s="43" t="s">
        <v>3843</v>
      </c>
      <c r="B1036" s="21" t="s">
        <v>3844</v>
      </c>
      <c r="C1036" s="21" t="s">
        <v>22672</v>
      </c>
      <c r="D1036" s="31" t="s">
        <v>22673</v>
      </c>
      <c r="E1036" s="23" t="s">
        <v>22658</v>
      </c>
      <c r="F1036" s="24" t="s">
        <v>22657</v>
      </c>
      <c r="G1036" s="25">
        <v>4</v>
      </c>
      <c r="H1036" s="26"/>
      <c r="I1036" s="27"/>
    </row>
    <row r="1037" spans="1:9" ht="15.75" thickBot="1" x14ac:dyDescent="0.3">
      <c r="A1037" s="43" t="s">
        <v>3845</v>
      </c>
      <c r="B1037" s="21" t="s">
        <v>3846</v>
      </c>
      <c r="C1037" s="21" t="s">
        <v>22672</v>
      </c>
      <c r="D1037" s="31" t="s">
        <v>22673</v>
      </c>
      <c r="E1037" s="23" t="s">
        <v>22658</v>
      </c>
      <c r="F1037" s="24" t="s">
        <v>22657</v>
      </c>
      <c r="G1037" s="25">
        <v>4</v>
      </c>
      <c r="H1037" s="29"/>
      <c r="I1037" s="30"/>
    </row>
    <row r="1038" spans="1:9" ht="15.75" thickBot="1" x14ac:dyDescent="0.3">
      <c r="A1038" s="43" t="s">
        <v>3847</v>
      </c>
      <c r="B1038" s="21" t="s">
        <v>3848</v>
      </c>
      <c r="C1038" s="21" t="s">
        <v>22672</v>
      </c>
      <c r="D1038" s="31" t="s">
        <v>22673</v>
      </c>
      <c r="E1038" s="23" t="s">
        <v>22656</v>
      </c>
      <c r="F1038" s="24" t="s">
        <v>22657</v>
      </c>
      <c r="G1038" s="25">
        <v>4</v>
      </c>
      <c r="H1038" s="26"/>
      <c r="I1038" s="27"/>
    </row>
    <row r="1039" spans="1:9" ht="15.75" thickBot="1" x14ac:dyDescent="0.3">
      <c r="A1039" s="43" t="s">
        <v>3849</v>
      </c>
      <c r="B1039" s="21" t="s">
        <v>3850</v>
      </c>
      <c r="C1039" s="21" t="s">
        <v>22682</v>
      </c>
      <c r="D1039" s="22">
        <v>46034</v>
      </c>
      <c r="E1039" s="23" t="s">
        <v>22656</v>
      </c>
      <c r="F1039" s="24" t="s">
        <v>22657</v>
      </c>
      <c r="G1039" s="25">
        <v>4</v>
      </c>
      <c r="H1039" s="29"/>
      <c r="I1039" s="30"/>
    </row>
    <row r="1040" spans="1:9" ht="15.75" thickBot="1" x14ac:dyDescent="0.3">
      <c r="A1040" s="43" t="s">
        <v>3851</v>
      </c>
      <c r="B1040" s="21" t="s">
        <v>3852</v>
      </c>
      <c r="C1040" s="21" t="s">
        <v>22682</v>
      </c>
      <c r="D1040" s="22">
        <v>46034</v>
      </c>
      <c r="E1040" s="23" t="s">
        <v>22658</v>
      </c>
      <c r="F1040" s="24" t="s">
        <v>22657</v>
      </c>
      <c r="G1040" s="25">
        <v>4</v>
      </c>
      <c r="H1040" s="26"/>
      <c r="I1040" s="27"/>
    </row>
    <row r="1041" spans="1:9" ht="15.75" thickBot="1" x14ac:dyDescent="0.3">
      <c r="A1041" s="43" t="s">
        <v>1719</v>
      </c>
      <c r="B1041" s="21" t="s">
        <v>1720</v>
      </c>
      <c r="C1041" s="21" t="s">
        <v>22655</v>
      </c>
      <c r="D1041" s="22">
        <v>46034</v>
      </c>
      <c r="E1041" s="23" t="s">
        <v>22661</v>
      </c>
      <c r="F1041" s="24" t="s">
        <v>22657</v>
      </c>
      <c r="G1041" s="25">
        <v>6</v>
      </c>
      <c r="H1041" s="32">
        <v>6</v>
      </c>
      <c r="I1041" s="33">
        <v>12</v>
      </c>
    </row>
    <row r="1042" spans="1:9" ht="15.75" thickBot="1" x14ac:dyDescent="0.3">
      <c r="A1042" s="43" t="s">
        <v>1439</v>
      </c>
      <c r="B1042" s="21" t="s">
        <v>1440</v>
      </c>
      <c r="C1042" s="21" t="s">
        <v>22655</v>
      </c>
      <c r="D1042" s="31" t="s">
        <v>22666</v>
      </c>
      <c r="E1042" s="23" t="s">
        <v>22662</v>
      </c>
      <c r="F1042" s="24" t="s">
        <v>22657</v>
      </c>
      <c r="G1042" s="25">
        <v>120</v>
      </c>
      <c r="H1042" s="34">
        <v>120</v>
      </c>
      <c r="I1042" s="35">
        <v>300</v>
      </c>
    </row>
    <row r="1043" spans="1:9" ht="15.75" thickBot="1" x14ac:dyDescent="0.3">
      <c r="A1043" s="43" t="s">
        <v>1982</v>
      </c>
      <c r="B1043" s="21" t="s">
        <v>1983</v>
      </c>
      <c r="C1043" s="21" t="s">
        <v>22655</v>
      </c>
      <c r="D1043" s="22">
        <v>46028</v>
      </c>
      <c r="E1043" s="23" t="s">
        <v>22656</v>
      </c>
      <c r="F1043" s="24" t="s">
        <v>22657</v>
      </c>
      <c r="G1043" s="25">
        <v>4</v>
      </c>
      <c r="H1043" s="32">
        <v>4</v>
      </c>
      <c r="I1043" s="33">
        <v>6</v>
      </c>
    </row>
    <row r="1044" spans="1:9" ht="15.75" thickBot="1" x14ac:dyDescent="0.3">
      <c r="A1044" s="43" t="s">
        <v>3853</v>
      </c>
      <c r="B1044" s="21" t="s">
        <v>3854</v>
      </c>
      <c r="C1044" s="21" t="s">
        <v>22663</v>
      </c>
      <c r="D1044" s="31">
        <v>1</v>
      </c>
      <c r="E1044" s="23" t="s">
        <v>22661</v>
      </c>
      <c r="F1044" s="24" t="s">
        <v>22657</v>
      </c>
      <c r="G1044" s="25">
        <v>10</v>
      </c>
      <c r="H1044" s="26"/>
      <c r="I1044" s="27"/>
    </row>
    <row r="1045" spans="1:9" ht="15.75" thickBot="1" x14ac:dyDescent="0.3">
      <c r="A1045" s="43" t="s">
        <v>3855</v>
      </c>
      <c r="B1045" s="21" t="s">
        <v>3856</v>
      </c>
      <c r="C1045" s="21" t="s">
        <v>22663</v>
      </c>
      <c r="D1045" s="31">
        <v>1</v>
      </c>
      <c r="E1045" s="23" t="s">
        <v>22658</v>
      </c>
      <c r="F1045" s="24" t="s">
        <v>22657</v>
      </c>
      <c r="G1045" s="25">
        <v>1</v>
      </c>
      <c r="H1045" s="29"/>
      <c r="I1045" s="30"/>
    </row>
    <row r="1046" spans="1:9" ht="15.75" thickBot="1" x14ac:dyDescent="0.3">
      <c r="A1046" s="43" t="s">
        <v>3857</v>
      </c>
      <c r="B1046" s="21" t="s">
        <v>3858</v>
      </c>
      <c r="C1046" s="21" t="s">
        <v>22663</v>
      </c>
      <c r="D1046" s="31">
        <v>1</v>
      </c>
      <c r="E1046" s="23" t="s">
        <v>22656</v>
      </c>
      <c r="F1046" s="24" t="s">
        <v>22657</v>
      </c>
      <c r="G1046" s="25">
        <v>5</v>
      </c>
      <c r="H1046" s="26"/>
      <c r="I1046" s="27"/>
    </row>
    <row r="1047" spans="1:9" ht="15.75" thickBot="1" x14ac:dyDescent="0.3">
      <c r="A1047" s="43" t="s">
        <v>1902</v>
      </c>
      <c r="B1047" s="21" t="s">
        <v>1903</v>
      </c>
      <c r="C1047" s="21" t="s">
        <v>22709</v>
      </c>
      <c r="D1047" s="31">
        <v>1</v>
      </c>
      <c r="E1047" s="23" t="s">
        <v>22661</v>
      </c>
      <c r="F1047" s="24" t="s">
        <v>22657</v>
      </c>
      <c r="G1047" s="25">
        <v>3</v>
      </c>
      <c r="H1047" s="32">
        <v>3</v>
      </c>
      <c r="I1047" s="33">
        <v>6</v>
      </c>
    </row>
    <row r="1048" spans="1:9" ht="15.75" thickBot="1" x14ac:dyDescent="0.3">
      <c r="A1048" s="43" t="s">
        <v>1463</v>
      </c>
      <c r="B1048" s="21" t="s">
        <v>1464</v>
      </c>
      <c r="C1048" s="21" t="s">
        <v>22663</v>
      </c>
      <c r="D1048" s="31">
        <v>1</v>
      </c>
      <c r="E1048" s="23" t="s">
        <v>22665</v>
      </c>
      <c r="F1048" s="24" t="s">
        <v>22657</v>
      </c>
      <c r="G1048" s="25">
        <v>15</v>
      </c>
      <c r="H1048" s="34">
        <v>15</v>
      </c>
      <c r="I1048" s="35">
        <v>30</v>
      </c>
    </row>
    <row r="1049" spans="1:9" ht="15.75" thickBot="1" x14ac:dyDescent="0.3">
      <c r="A1049" s="43" t="s">
        <v>1821</v>
      </c>
      <c r="B1049" s="21" t="s">
        <v>1822</v>
      </c>
      <c r="C1049" s="21" t="s">
        <v>22698</v>
      </c>
      <c r="D1049" s="31">
        <v>1</v>
      </c>
      <c r="E1049" s="23" t="s">
        <v>22665</v>
      </c>
      <c r="F1049" s="24" t="s">
        <v>22657</v>
      </c>
      <c r="G1049" s="25">
        <v>15</v>
      </c>
      <c r="H1049" s="32">
        <v>15</v>
      </c>
      <c r="I1049" s="33">
        <v>30</v>
      </c>
    </row>
    <row r="1050" spans="1:9" ht="15.75" thickBot="1" x14ac:dyDescent="0.3">
      <c r="A1050" s="43" t="s">
        <v>579</v>
      </c>
      <c r="B1050" s="21" t="s">
        <v>580</v>
      </c>
      <c r="C1050" s="21" t="s">
        <v>22655</v>
      </c>
      <c r="D1050" s="22">
        <v>46040</v>
      </c>
      <c r="E1050" s="23" t="s">
        <v>22665</v>
      </c>
      <c r="F1050" s="24" t="s">
        <v>22657</v>
      </c>
      <c r="G1050" s="25">
        <v>30</v>
      </c>
      <c r="H1050" s="34">
        <v>30</v>
      </c>
      <c r="I1050" s="35">
        <v>60</v>
      </c>
    </row>
    <row r="1051" spans="1:9" ht="15.75" thickBot="1" x14ac:dyDescent="0.3">
      <c r="A1051" s="43" t="s">
        <v>267</v>
      </c>
      <c r="B1051" s="21" t="s">
        <v>268</v>
      </c>
      <c r="C1051" s="21" t="s">
        <v>22655</v>
      </c>
      <c r="D1051" s="31" t="s">
        <v>22669</v>
      </c>
      <c r="E1051" s="23" t="s">
        <v>22661</v>
      </c>
      <c r="F1051" s="24" t="s">
        <v>22657</v>
      </c>
      <c r="G1051" s="25">
        <v>12</v>
      </c>
      <c r="H1051" s="32">
        <v>12</v>
      </c>
      <c r="I1051" s="33">
        <v>24</v>
      </c>
    </row>
    <row r="1052" spans="1:9" ht="15.75" thickBot="1" x14ac:dyDescent="0.3">
      <c r="A1052" s="43" t="s">
        <v>1928</v>
      </c>
      <c r="B1052" s="21" t="s">
        <v>1929</v>
      </c>
      <c r="C1052" s="21" t="s">
        <v>22655</v>
      </c>
      <c r="D1052" s="22">
        <v>46028</v>
      </c>
      <c r="E1052" s="23" t="s">
        <v>22661</v>
      </c>
      <c r="F1052" s="24" t="s">
        <v>22657</v>
      </c>
      <c r="G1052" s="25">
        <v>12</v>
      </c>
      <c r="H1052" s="34">
        <v>12</v>
      </c>
      <c r="I1052" s="35">
        <v>24</v>
      </c>
    </row>
    <row r="1053" spans="1:9" ht="15.75" thickBot="1" x14ac:dyDescent="0.3">
      <c r="A1053" s="43" t="s">
        <v>1944</v>
      </c>
      <c r="B1053" s="21" t="s">
        <v>1945</v>
      </c>
      <c r="C1053" s="21" t="s">
        <v>22655</v>
      </c>
      <c r="D1053" s="22">
        <v>46026</v>
      </c>
      <c r="E1053" s="23" t="s">
        <v>22656</v>
      </c>
      <c r="F1053" s="24" t="s">
        <v>22657</v>
      </c>
      <c r="G1053" s="25">
        <v>4</v>
      </c>
      <c r="H1053" s="32">
        <v>4</v>
      </c>
      <c r="I1053" s="33">
        <v>6</v>
      </c>
    </row>
    <row r="1054" spans="1:9" ht="15.75" thickBot="1" x14ac:dyDescent="0.3">
      <c r="A1054" s="43" t="s">
        <v>1575</v>
      </c>
      <c r="B1054" s="21" t="s">
        <v>1576</v>
      </c>
      <c r="C1054" s="21" t="s">
        <v>22655</v>
      </c>
      <c r="D1054" s="22">
        <v>46034</v>
      </c>
      <c r="E1054" s="23" t="s">
        <v>22661</v>
      </c>
      <c r="F1054" s="24" t="s">
        <v>22657</v>
      </c>
      <c r="G1054" s="25">
        <v>18</v>
      </c>
      <c r="H1054" s="34">
        <v>18</v>
      </c>
      <c r="I1054" s="35">
        <v>36</v>
      </c>
    </row>
    <row r="1055" spans="1:9" ht="15.75" thickBot="1" x14ac:dyDescent="0.3">
      <c r="A1055" s="43" t="s">
        <v>963</v>
      </c>
      <c r="B1055" s="21" t="s">
        <v>964</v>
      </c>
      <c r="C1055" s="21" t="s">
        <v>22655</v>
      </c>
      <c r="D1055" s="31" t="s">
        <v>22666</v>
      </c>
      <c r="E1055" s="23" t="s">
        <v>22662</v>
      </c>
      <c r="F1055" s="24" t="s">
        <v>22657</v>
      </c>
      <c r="G1055" s="25">
        <v>300</v>
      </c>
      <c r="H1055" s="32">
        <v>300</v>
      </c>
      <c r="I1055" s="33">
        <v>600</v>
      </c>
    </row>
    <row r="1056" spans="1:9" ht="15.75" thickBot="1" x14ac:dyDescent="0.3">
      <c r="A1056" s="43" t="s">
        <v>835</v>
      </c>
      <c r="B1056" s="21" t="s">
        <v>836</v>
      </c>
      <c r="C1056" s="21" t="s">
        <v>22655</v>
      </c>
      <c r="D1056" s="31" t="s">
        <v>22660</v>
      </c>
      <c r="E1056" s="23" t="s">
        <v>22665</v>
      </c>
      <c r="F1056" s="24" t="s">
        <v>22657</v>
      </c>
      <c r="G1056" s="25">
        <v>12</v>
      </c>
      <c r="H1056" s="34">
        <v>12</v>
      </c>
      <c r="I1056" s="35">
        <v>24</v>
      </c>
    </row>
    <row r="1057" spans="1:9" ht="15.75" thickBot="1" x14ac:dyDescent="0.3">
      <c r="A1057" s="43" t="s">
        <v>3861</v>
      </c>
      <c r="B1057" s="21" t="s">
        <v>3862</v>
      </c>
      <c r="C1057" s="21" t="s">
        <v>22682</v>
      </c>
      <c r="D1057" s="22">
        <v>46034</v>
      </c>
      <c r="E1057" s="23" t="s">
        <v>22658</v>
      </c>
      <c r="F1057" s="24" t="s">
        <v>22657</v>
      </c>
      <c r="G1057" s="25">
        <v>4</v>
      </c>
      <c r="H1057" s="29"/>
      <c r="I1057" s="30"/>
    </row>
    <row r="1058" spans="1:9" ht="15.75" thickBot="1" x14ac:dyDescent="0.3">
      <c r="A1058" s="43" t="s">
        <v>3863</v>
      </c>
      <c r="B1058" s="21" t="s">
        <v>3864</v>
      </c>
      <c r="C1058" s="21" t="s">
        <v>22655</v>
      </c>
      <c r="D1058" s="22">
        <v>46034</v>
      </c>
      <c r="E1058" s="23" t="s">
        <v>22656</v>
      </c>
      <c r="F1058" s="24" t="s">
        <v>22657</v>
      </c>
      <c r="G1058" s="25">
        <v>6</v>
      </c>
      <c r="H1058" s="26"/>
      <c r="I1058" s="27"/>
    </row>
    <row r="1059" spans="1:9" ht="15.75" thickBot="1" x14ac:dyDescent="0.3">
      <c r="A1059" s="43" t="s">
        <v>1121</v>
      </c>
      <c r="B1059" s="21" t="s">
        <v>1122</v>
      </c>
      <c r="C1059" s="21" t="s">
        <v>22655</v>
      </c>
      <c r="D1059" s="22">
        <v>46032</v>
      </c>
      <c r="E1059" s="23" t="s">
        <v>22661</v>
      </c>
      <c r="F1059" s="24" t="s">
        <v>22657</v>
      </c>
      <c r="G1059" s="25">
        <v>20</v>
      </c>
      <c r="H1059" s="32">
        <v>20</v>
      </c>
      <c r="I1059" s="33">
        <v>40</v>
      </c>
    </row>
    <row r="1060" spans="1:9" ht="15.75" thickBot="1" x14ac:dyDescent="0.3">
      <c r="A1060" s="43" t="s">
        <v>3865</v>
      </c>
      <c r="B1060" s="21" t="s">
        <v>3866</v>
      </c>
      <c r="C1060" s="21" t="s">
        <v>22682</v>
      </c>
      <c r="D1060" s="22">
        <v>46034</v>
      </c>
      <c r="E1060" s="23" t="s">
        <v>22658</v>
      </c>
      <c r="F1060" s="24" t="s">
        <v>22657</v>
      </c>
      <c r="G1060" s="25">
        <v>4</v>
      </c>
      <c r="H1060" s="26"/>
      <c r="I1060" s="27"/>
    </row>
    <row r="1061" spans="1:9" ht="15.75" thickBot="1" x14ac:dyDescent="0.3">
      <c r="A1061" s="43" t="s">
        <v>3867</v>
      </c>
      <c r="B1061" s="21" t="s">
        <v>3868</v>
      </c>
      <c r="C1061" s="21" t="s">
        <v>22663</v>
      </c>
      <c r="D1061" s="31">
        <v>1</v>
      </c>
      <c r="E1061" s="23" t="s">
        <v>22658</v>
      </c>
      <c r="F1061" s="24" t="s">
        <v>22657</v>
      </c>
      <c r="G1061" s="25">
        <v>1</v>
      </c>
      <c r="H1061" s="29"/>
      <c r="I1061" s="30"/>
    </row>
    <row r="1062" spans="1:9" ht="15.75" thickBot="1" x14ac:dyDescent="0.3">
      <c r="A1062" s="43" t="s">
        <v>3869</v>
      </c>
      <c r="B1062" s="21" t="s">
        <v>3870</v>
      </c>
      <c r="C1062" s="21" t="s">
        <v>22663</v>
      </c>
      <c r="D1062" s="31">
        <v>1</v>
      </c>
      <c r="E1062" s="23" t="s">
        <v>22658</v>
      </c>
      <c r="F1062" s="24" t="s">
        <v>22657</v>
      </c>
      <c r="G1062" s="25">
        <v>1</v>
      </c>
      <c r="H1062" s="26"/>
      <c r="I1062" s="27"/>
    </row>
    <row r="1063" spans="1:9" ht="15.75" thickBot="1" x14ac:dyDescent="0.3">
      <c r="A1063" s="43" t="s">
        <v>3871</v>
      </c>
      <c r="B1063" s="21" t="s">
        <v>3872</v>
      </c>
      <c r="C1063" s="21" t="s">
        <v>22663</v>
      </c>
      <c r="D1063" s="31">
        <v>1</v>
      </c>
      <c r="E1063" s="23" t="s">
        <v>22658</v>
      </c>
      <c r="F1063" s="24" t="s">
        <v>22657</v>
      </c>
      <c r="G1063" s="25">
        <v>1</v>
      </c>
      <c r="H1063" s="29"/>
      <c r="I1063" s="30"/>
    </row>
    <row r="1064" spans="1:9" ht="15.75" thickBot="1" x14ac:dyDescent="0.3">
      <c r="A1064" s="43" t="s">
        <v>3873</v>
      </c>
      <c r="B1064" s="21" t="s">
        <v>3874</v>
      </c>
      <c r="C1064" s="21" t="s">
        <v>22663</v>
      </c>
      <c r="D1064" s="31">
        <v>1</v>
      </c>
      <c r="E1064" s="23" t="s">
        <v>22658</v>
      </c>
      <c r="F1064" s="24" t="s">
        <v>22657</v>
      </c>
      <c r="G1064" s="25">
        <v>1</v>
      </c>
      <c r="H1064" s="26"/>
      <c r="I1064" s="27"/>
    </row>
    <row r="1065" spans="1:9" ht="15.75" thickBot="1" x14ac:dyDescent="0.3">
      <c r="A1065" s="43" t="s">
        <v>3875</v>
      </c>
      <c r="B1065" s="21" t="s">
        <v>3876</v>
      </c>
      <c r="C1065" s="21" t="s">
        <v>22663</v>
      </c>
      <c r="D1065" s="31">
        <v>1</v>
      </c>
      <c r="E1065" s="23" t="s">
        <v>22658</v>
      </c>
      <c r="F1065" s="24" t="s">
        <v>22657</v>
      </c>
      <c r="G1065" s="25">
        <v>1</v>
      </c>
      <c r="H1065" s="29"/>
      <c r="I1065" s="30"/>
    </row>
    <row r="1066" spans="1:9" ht="15.75" thickBot="1" x14ac:dyDescent="0.3">
      <c r="A1066" s="43" t="s">
        <v>3877</v>
      </c>
      <c r="B1066" s="21" t="s">
        <v>3878</v>
      </c>
      <c r="C1066" s="21" t="s">
        <v>22663</v>
      </c>
      <c r="D1066" s="31">
        <v>1</v>
      </c>
      <c r="E1066" s="23" t="s">
        <v>22658</v>
      </c>
      <c r="F1066" s="24" t="s">
        <v>22657</v>
      </c>
      <c r="G1066" s="25">
        <v>1</v>
      </c>
      <c r="H1066" s="26"/>
      <c r="I1066" s="27"/>
    </row>
    <row r="1067" spans="1:9" ht="15.75" thickBot="1" x14ac:dyDescent="0.3">
      <c r="A1067" s="43" t="s">
        <v>3879</v>
      </c>
      <c r="B1067" s="21" t="s">
        <v>3880</v>
      </c>
      <c r="C1067" s="21" t="s">
        <v>22663</v>
      </c>
      <c r="D1067" s="31">
        <v>1</v>
      </c>
      <c r="E1067" s="23" t="s">
        <v>22658</v>
      </c>
      <c r="F1067" s="24" t="s">
        <v>22657</v>
      </c>
      <c r="G1067" s="25">
        <v>1</v>
      </c>
      <c r="H1067" s="29"/>
      <c r="I1067" s="30"/>
    </row>
    <row r="1068" spans="1:9" ht="15.75" thickBot="1" x14ac:dyDescent="0.3">
      <c r="A1068" s="43" t="s">
        <v>3881</v>
      </c>
      <c r="B1068" s="21" t="s">
        <v>3882</v>
      </c>
      <c r="C1068" s="21" t="s">
        <v>22663</v>
      </c>
      <c r="D1068" s="31">
        <v>1</v>
      </c>
      <c r="E1068" s="23" t="s">
        <v>22656</v>
      </c>
      <c r="F1068" s="24" t="s">
        <v>22657</v>
      </c>
      <c r="G1068" s="25">
        <v>2</v>
      </c>
      <c r="H1068" s="26"/>
      <c r="I1068" s="27"/>
    </row>
    <row r="1069" spans="1:9" ht="15.75" thickBot="1" x14ac:dyDescent="0.3">
      <c r="A1069" s="43" t="s">
        <v>3883</v>
      </c>
      <c r="B1069" s="21" t="s">
        <v>3884</v>
      </c>
      <c r="C1069" s="21" t="s">
        <v>22663</v>
      </c>
      <c r="D1069" s="31">
        <v>1</v>
      </c>
      <c r="E1069" s="23" t="s">
        <v>22658</v>
      </c>
      <c r="F1069" s="24" t="s">
        <v>22657</v>
      </c>
      <c r="G1069" s="25">
        <v>1</v>
      </c>
      <c r="H1069" s="29"/>
      <c r="I1069" s="30"/>
    </row>
    <row r="1070" spans="1:9" ht="15.75" thickBot="1" x14ac:dyDescent="0.3">
      <c r="A1070" s="43" t="s">
        <v>3885</v>
      </c>
      <c r="B1070" s="21" t="s">
        <v>3886</v>
      </c>
      <c r="C1070" s="21" t="s">
        <v>22663</v>
      </c>
      <c r="D1070" s="31">
        <v>1</v>
      </c>
      <c r="E1070" s="23" t="s">
        <v>22656</v>
      </c>
      <c r="F1070" s="24" t="s">
        <v>22657</v>
      </c>
      <c r="G1070" s="25">
        <v>2</v>
      </c>
      <c r="H1070" s="26"/>
      <c r="I1070" s="27"/>
    </row>
    <row r="1071" spans="1:9" ht="15.75" thickBot="1" x14ac:dyDescent="0.3">
      <c r="A1071" s="43" t="s">
        <v>3887</v>
      </c>
      <c r="B1071" s="21" t="s">
        <v>3888</v>
      </c>
      <c r="C1071" s="21" t="s">
        <v>22663</v>
      </c>
      <c r="D1071" s="31">
        <v>1</v>
      </c>
      <c r="E1071" s="23" t="s">
        <v>22656</v>
      </c>
      <c r="F1071" s="24" t="s">
        <v>22657</v>
      </c>
      <c r="G1071" s="25">
        <v>2</v>
      </c>
      <c r="H1071" s="29"/>
      <c r="I1071" s="30"/>
    </row>
    <row r="1072" spans="1:9" ht="15.75" thickBot="1" x14ac:dyDescent="0.3">
      <c r="A1072" s="43" t="s">
        <v>3889</v>
      </c>
      <c r="B1072" s="21" t="s">
        <v>3890</v>
      </c>
      <c r="C1072" s="21" t="s">
        <v>22663</v>
      </c>
      <c r="D1072" s="31">
        <v>1</v>
      </c>
      <c r="E1072" s="23" t="s">
        <v>22658</v>
      </c>
      <c r="F1072" s="24" t="s">
        <v>22657</v>
      </c>
      <c r="G1072" s="25">
        <v>1</v>
      </c>
      <c r="H1072" s="26"/>
      <c r="I1072" s="27"/>
    </row>
    <row r="1073" spans="1:9" ht="15.75" thickBot="1" x14ac:dyDescent="0.3">
      <c r="A1073" s="43" t="s">
        <v>3891</v>
      </c>
      <c r="B1073" s="21" t="s">
        <v>3892</v>
      </c>
      <c r="C1073" s="21" t="s">
        <v>22663</v>
      </c>
      <c r="D1073" s="31">
        <v>1</v>
      </c>
      <c r="E1073" s="23" t="s">
        <v>22658</v>
      </c>
      <c r="F1073" s="24" t="s">
        <v>22657</v>
      </c>
      <c r="G1073" s="25">
        <v>1</v>
      </c>
      <c r="H1073" s="29"/>
      <c r="I1073" s="30"/>
    </row>
    <row r="1074" spans="1:9" ht="15.75" thickBot="1" x14ac:dyDescent="0.3">
      <c r="A1074" s="43" t="s">
        <v>3893</v>
      </c>
      <c r="B1074" s="21" t="s">
        <v>3894</v>
      </c>
      <c r="C1074" s="21" t="s">
        <v>22663</v>
      </c>
      <c r="D1074" s="31">
        <v>1</v>
      </c>
      <c r="E1074" s="23" t="s">
        <v>22658</v>
      </c>
      <c r="F1074" s="24" t="s">
        <v>22657</v>
      </c>
      <c r="G1074" s="25">
        <v>1</v>
      </c>
      <c r="H1074" s="26"/>
      <c r="I1074" s="27"/>
    </row>
    <row r="1075" spans="1:9" ht="15.75" thickBot="1" x14ac:dyDescent="0.3">
      <c r="A1075" s="43" t="s">
        <v>3895</v>
      </c>
      <c r="B1075" s="21" t="s">
        <v>3896</v>
      </c>
      <c r="C1075" s="21" t="s">
        <v>22663</v>
      </c>
      <c r="D1075" s="31">
        <v>1</v>
      </c>
      <c r="E1075" s="23" t="s">
        <v>22658</v>
      </c>
      <c r="F1075" s="24" t="s">
        <v>22657</v>
      </c>
      <c r="G1075" s="25">
        <v>1</v>
      </c>
      <c r="H1075" s="29"/>
      <c r="I1075" s="30"/>
    </row>
    <row r="1076" spans="1:9" ht="15.75" thickBot="1" x14ac:dyDescent="0.3">
      <c r="A1076" s="43" t="s">
        <v>3897</v>
      </c>
      <c r="B1076" s="21" t="s">
        <v>3898</v>
      </c>
      <c r="C1076" s="21" t="s">
        <v>22663</v>
      </c>
      <c r="D1076" s="31">
        <v>1</v>
      </c>
      <c r="E1076" s="23" t="s">
        <v>22658</v>
      </c>
      <c r="F1076" s="24" t="s">
        <v>22657</v>
      </c>
      <c r="G1076" s="25">
        <v>1</v>
      </c>
      <c r="H1076" s="26"/>
      <c r="I1076" s="27"/>
    </row>
    <row r="1077" spans="1:9" ht="15.75" thickBot="1" x14ac:dyDescent="0.3">
      <c r="A1077" s="43" t="s">
        <v>3899</v>
      </c>
      <c r="B1077" s="21" t="s">
        <v>3900</v>
      </c>
      <c r="C1077" s="21" t="s">
        <v>22663</v>
      </c>
      <c r="D1077" s="31">
        <v>1</v>
      </c>
      <c r="E1077" s="23" t="s">
        <v>22658</v>
      </c>
      <c r="F1077" s="24" t="s">
        <v>22657</v>
      </c>
      <c r="G1077" s="25">
        <v>1</v>
      </c>
      <c r="H1077" s="29"/>
      <c r="I1077" s="30"/>
    </row>
    <row r="1078" spans="1:9" ht="15.75" thickBot="1" x14ac:dyDescent="0.3">
      <c r="A1078" s="43" t="s">
        <v>3901</v>
      </c>
      <c r="B1078" s="21" t="s">
        <v>3902</v>
      </c>
      <c r="C1078" s="21" t="s">
        <v>22663</v>
      </c>
      <c r="D1078" s="31">
        <v>1</v>
      </c>
      <c r="E1078" s="23" t="s">
        <v>22656</v>
      </c>
      <c r="F1078" s="24" t="s">
        <v>22657</v>
      </c>
      <c r="G1078" s="25">
        <v>2</v>
      </c>
      <c r="H1078" s="26"/>
      <c r="I1078" s="27"/>
    </row>
    <row r="1079" spans="1:9" ht="15.75" thickBot="1" x14ac:dyDescent="0.3">
      <c r="A1079" s="43" t="s">
        <v>3903</v>
      </c>
      <c r="B1079" s="21" t="s">
        <v>3904</v>
      </c>
      <c r="C1079" s="21" t="s">
        <v>22663</v>
      </c>
      <c r="D1079" s="31">
        <v>1</v>
      </c>
      <c r="E1079" s="23" t="s">
        <v>22658</v>
      </c>
      <c r="F1079" s="24" t="s">
        <v>22657</v>
      </c>
      <c r="G1079" s="25">
        <v>1</v>
      </c>
      <c r="H1079" s="29"/>
      <c r="I1079" s="30"/>
    </row>
    <row r="1080" spans="1:9" ht="15.75" thickBot="1" x14ac:dyDescent="0.3">
      <c r="A1080" s="43" t="s">
        <v>3905</v>
      </c>
      <c r="B1080" s="21" t="s">
        <v>3906</v>
      </c>
      <c r="C1080" s="21" t="s">
        <v>22663</v>
      </c>
      <c r="D1080" s="31">
        <v>1</v>
      </c>
      <c r="E1080" s="23" t="s">
        <v>22658</v>
      </c>
      <c r="F1080" s="24" t="s">
        <v>22657</v>
      </c>
      <c r="G1080" s="25">
        <v>1</v>
      </c>
      <c r="H1080" s="26"/>
      <c r="I1080" s="27"/>
    </row>
    <row r="1081" spans="1:9" ht="15.75" thickBot="1" x14ac:dyDescent="0.3">
      <c r="A1081" s="43" t="s">
        <v>3907</v>
      </c>
      <c r="B1081" s="21" t="s">
        <v>3908</v>
      </c>
      <c r="C1081" s="21" t="s">
        <v>22663</v>
      </c>
      <c r="D1081" s="31">
        <v>1</v>
      </c>
      <c r="E1081" s="23" t="s">
        <v>22656</v>
      </c>
      <c r="F1081" s="24" t="s">
        <v>22657</v>
      </c>
      <c r="G1081" s="25">
        <v>2</v>
      </c>
      <c r="H1081" s="29"/>
      <c r="I1081" s="30"/>
    </row>
    <row r="1082" spans="1:9" ht="15.75" thickBot="1" x14ac:dyDescent="0.3">
      <c r="A1082" s="43" t="s">
        <v>3909</v>
      </c>
      <c r="B1082" s="21" t="s">
        <v>3910</v>
      </c>
      <c r="C1082" s="21" t="s">
        <v>22663</v>
      </c>
      <c r="D1082" s="31">
        <v>1</v>
      </c>
      <c r="E1082" s="23" t="s">
        <v>22658</v>
      </c>
      <c r="F1082" s="24" t="s">
        <v>22657</v>
      </c>
      <c r="G1082" s="25">
        <v>1</v>
      </c>
      <c r="H1082" s="26"/>
      <c r="I1082" s="27"/>
    </row>
    <row r="1083" spans="1:9" ht="15.75" thickBot="1" x14ac:dyDescent="0.3">
      <c r="A1083" s="43" t="s">
        <v>3911</v>
      </c>
      <c r="B1083" s="21" t="s">
        <v>3912</v>
      </c>
      <c r="C1083" s="21" t="s">
        <v>22663</v>
      </c>
      <c r="D1083" s="31">
        <v>1</v>
      </c>
      <c r="E1083" s="23" t="s">
        <v>22658</v>
      </c>
      <c r="F1083" s="24" t="s">
        <v>22657</v>
      </c>
      <c r="G1083" s="25">
        <v>1</v>
      </c>
      <c r="H1083" s="29"/>
      <c r="I1083" s="30"/>
    </row>
    <row r="1084" spans="1:9" ht="15.75" thickBot="1" x14ac:dyDescent="0.3">
      <c r="A1084" s="43" t="s">
        <v>3913</v>
      </c>
      <c r="B1084" s="21" t="s">
        <v>3914</v>
      </c>
      <c r="C1084" s="21" t="s">
        <v>22663</v>
      </c>
      <c r="D1084" s="31">
        <v>1</v>
      </c>
      <c r="E1084" s="23" t="s">
        <v>22656</v>
      </c>
      <c r="F1084" s="24" t="s">
        <v>22657</v>
      </c>
      <c r="G1084" s="25">
        <v>2</v>
      </c>
      <c r="H1084" s="26"/>
      <c r="I1084" s="27"/>
    </row>
    <row r="1085" spans="1:9" ht="15.75" thickBot="1" x14ac:dyDescent="0.3">
      <c r="A1085" s="43" t="s">
        <v>3915</v>
      </c>
      <c r="B1085" s="21" t="s">
        <v>3916</v>
      </c>
      <c r="C1085" s="21" t="s">
        <v>22663</v>
      </c>
      <c r="D1085" s="31">
        <v>1</v>
      </c>
      <c r="E1085" s="23" t="s">
        <v>22656</v>
      </c>
      <c r="F1085" s="24" t="s">
        <v>22657</v>
      </c>
      <c r="G1085" s="25">
        <v>2</v>
      </c>
      <c r="H1085" s="29"/>
      <c r="I1085" s="30"/>
    </row>
    <row r="1086" spans="1:9" ht="15.75" thickBot="1" x14ac:dyDescent="0.3">
      <c r="A1086" s="43" t="s">
        <v>3917</v>
      </c>
      <c r="B1086" s="21" t="s">
        <v>3918</v>
      </c>
      <c r="C1086" s="21" t="s">
        <v>22663</v>
      </c>
      <c r="D1086" s="31">
        <v>1</v>
      </c>
      <c r="E1086" s="23" t="s">
        <v>22656</v>
      </c>
      <c r="F1086" s="24" t="s">
        <v>22657</v>
      </c>
      <c r="G1086" s="25">
        <v>2</v>
      </c>
      <c r="H1086" s="26"/>
      <c r="I1086" s="27"/>
    </row>
    <row r="1087" spans="1:9" ht="15.75" thickBot="1" x14ac:dyDescent="0.3">
      <c r="A1087" s="43" t="s">
        <v>3919</v>
      </c>
      <c r="B1087" s="21" t="s">
        <v>3920</v>
      </c>
      <c r="C1087" s="21" t="s">
        <v>22663</v>
      </c>
      <c r="D1087" s="31">
        <v>1</v>
      </c>
      <c r="E1087" s="23" t="s">
        <v>22658</v>
      </c>
      <c r="F1087" s="24" t="s">
        <v>22657</v>
      </c>
      <c r="G1087" s="25">
        <v>1</v>
      </c>
      <c r="H1087" s="29"/>
      <c r="I1087" s="30"/>
    </row>
    <row r="1088" spans="1:9" ht="15.75" thickBot="1" x14ac:dyDescent="0.3">
      <c r="A1088" s="43" t="s">
        <v>3921</v>
      </c>
      <c r="B1088" s="21" t="s">
        <v>3922</v>
      </c>
      <c r="C1088" s="21" t="s">
        <v>22663</v>
      </c>
      <c r="D1088" s="31">
        <v>1</v>
      </c>
      <c r="E1088" s="23" t="s">
        <v>22658</v>
      </c>
      <c r="F1088" s="24" t="s">
        <v>22657</v>
      </c>
      <c r="G1088" s="25">
        <v>1</v>
      </c>
      <c r="H1088" s="26"/>
      <c r="I1088" s="27"/>
    </row>
    <row r="1089" spans="1:9" ht="15.75" thickBot="1" x14ac:dyDescent="0.3">
      <c r="A1089" s="43" t="s">
        <v>3923</v>
      </c>
      <c r="B1089" s="21" t="s">
        <v>3924</v>
      </c>
      <c r="C1089" s="21" t="s">
        <v>22663</v>
      </c>
      <c r="D1089" s="31">
        <v>1</v>
      </c>
      <c r="E1089" s="23" t="s">
        <v>22658</v>
      </c>
      <c r="F1089" s="24" t="s">
        <v>22657</v>
      </c>
      <c r="G1089" s="25">
        <v>1</v>
      </c>
      <c r="H1089" s="29"/>
      <c r="I1089" s="30"/>
    </row>
    <row r="1090" spans="1:9" ht="15.75" thickBot="1" x14ac:dyDescent="0.3">
      <c r="A1090" s="43" t="s">
        <v>3925</v>
      </c>
      <c r="B1090" s="21" t="s">
        <v>3926</v>
      </c>
      <c r="C1090" s="21" t="s">
        <v>22663</v>
      </c>
      <c r="D1090" s="31">
        <v>1</v>
      </c>
      <c r="E1090" s="23" t="s">
        <v>22656</v>
      </c>
      <c r="F1090" s="24" t="s">
        <v>22657</v>
      </c>
      <c r="G1090" s="25">
        <v>2</v>
      </c>
      <c r="H1090" s="26"/>
      <c r="I1090" s="27"/>
    </row>
    <row r="1091" spans="1:9" ht="15.75" thickBot="1" x14ac:dyDescent="0.3">
      <c r="A1091" s="43" t="s">
        <v>3927</v>
      </c>
      <c r="B1091" s="21" t="s">
        <v>3928</v>
      </c>
      <c r="C1091" s="21" t="s">
        <v>22663</v>
      </c>
      <c r="D1091" s="31">
        <v>1</v>
      </c>
      <c r="E1091" s="23" t="s">
        <v>22658</v>
      </c>
      <c r="F1091" s="24" t="s">
        <v>22657</v>
      </c>
      <c r="G1091" s="25">
        <v>1</v>
      </c>
      <c r="H1091" s="29"/>
      <c r="I1091" s="30"/>
    </row>
    <row r="1092" spans="1:9" ht="15.75" thickBot="1" x14ac:dyDescent="0.3">
      <c r="A1092" s="43" t="s">
        <v>3929</v>
      </c>
      <c r="B1092" s="21" t="s">
        <v>3930</v>
      </c>
      <c r="C1092" s="21" t="s">
        <v>22663</v>
      </c>
      <c r="D1092" s="31">
        <v>1</v>
      </c>
      <c r="E1092" s="23" t="s">
        <v>22658</v>
      </c>
      <c r="F1092" s="24" t="s">
        <v>22657</v>
      </c>
      <c r="G1092" s="25">
        <v>1</v>
      </c>
      <c r="H1092" s="26"/>
      <c r="I1092" s="27"/>
    </row>
    <row r="1093" spans="1:9" ht="15.75" thickBot="1" x14ac:dyDescent="0.3">
      <c r="A1093" s="43" t="s">
        <v>3931</v>
      </c>
      <c r="B1093" s="21" t="s">
        <v>3932</v>
      </c>
      <c r="C1093" s="21" t="s">
        <v>22682</v>
      </c>
      <c r="D1093" s="22">
        <v>46034</v>
      </c>
      <c r="E1093" s="23" t="s">
        <v>22656</v>
      </c>
      <c r="F1093" s="24" t="s">
        <v>22657</v>
      </c>
      <c r="G1093" s="25">
        <v>4</v>
      </c>
      <c r="H1093" s="29"/>
      <c r="I1093" s="30"/>
    </row>
    <row r="1094" spans="1:9" ht="15.75" thickBot="1" x14ac:dyDescent="0.3">
      <c r="A1094" s="43" t="s">
        <v>3933</v>
      </c>
      <c r="B1094" s="21" t="s">
        <v>3934</v>
      </c>
      <c r="C1094" s="21" t="s">
        <v>22682</v>
      </c>
      <c r="D1094" s="22">
        <v>46034</v>
      </c>
      <c r="E1094" s="23" t="s">
        <v>22658</v>
      </c>
      <c r="F1094" s="24" t="s">
        <v>22657</v>
      </c>
      <c r="G1094" s="25">
        <v>4</v>
      </c>
      <c r="H1094" s="26"/>
      <c r="I1094" s="27"/>
    </row>
    <row r="1095" spans="1:9" ht="15.75" thickBot="1" x14ac:dyDescent="0.3">
      <c r="A1095" s="43" t="s">
        <v>3935</v>
      </c>
      <c r="B1095" s="21" t="s">
        <v>3936</v>
      </c>
      <c r="C1095" s="21" t="s">
        <v>22682</v>
      </c>
      <c r="D1095" s="22">
        <v>46034</v>
      </c>
      <c r="E1095" s="23" t="s">
        <v>22656</v>
      </c>
      <c r="F1095" s="24" t="s">
        <v>22657</v>
      </c>
      <c r="G1095" s="25">
        <v>4</v>
      </c>
      <c r="H1095" s="29"/>
      <c r="I1095" s="30"/>
    </row>
    <row r="1096" spans="1:9" ht="15.75" thickBot="1" x14ac:dyDescent="0.3">
      <c r="A1096" s="43" t="s">
        <v>3937</v>
      </c>
      <c r="B1096" s="21" t="s">
        <v>3938</v>
      </c>
      <c r="C1096" s="21" t="s">
        <v>22682</v>
      </c>
      <c r="D1096" s="22">
        <v>46034</v>
      </c>
      <c r="E1096" s="23" t="s">
        <v>22658</v>
      </c>
      <c r="F1096" s="24" t="s">
        <v>22657</v>
      </c>
      <c r="G1096" s="25">
        <v>4</v>
      </c>
      <c r="H1096" s="26"/>
      <c r="I1096" s="27"/>
    </row>
    <row r="1097" spans="1:9" ht="15.75" thickBot="1" x14ac:dyDescent="0.3">
      <c r="A1097" s="43" t="s">
        <v>3939</v>
      </c>
      <c r="B1097" s="21" t="s">
        <v>3940</v>
      </c>
      <c r="C1097" s="21" t="s">
        <v>22682</v>
      </c>
      <c r="D1097" s="22">
        <v>46034</v>
      </c>
      <c r="E1097" s="23" t="s">
        <v>22656</v>
      </c>
      <c r="F1097" s="24" t="s">
        <v>22657</v>
      </c>
      <c r="G1097" s="25">
        <v>4</v>
      </c>
      <c r="H1097" s="29"/>
      <c r="I1097" s="30"/>
    </row>
    <row r="1098" spans="1:9" ht="15.75" thickBot="1" x14ac:dyDescent="0.3">
      <c r="A1098" s="43" t="s">
        <v>3941</v>
      </c>
      <c r="B1098" s="21" t="s">
        <v>3942</v>
      </c>
      <c r="C1098" s="21" t="s">
        <v>22682</v>
      </c>
      <c r="D1098" s="22">
        <v>46034</v>
      </c>
      <c r="E1098" s="23" t="s">
        <v>22656</v>
      </c>
      <c r="F1098" s="24" t="s">
        <v>22657</v>
      </c>
      <c r="G1098" s="25">
        <v>4</v>
      </c>
      <c r="H1098" s="26"/>
      <c r="I1098" s="27"/>
    </row>
    <row r="1099" spans="1:9" ht="15.75" thickBot="1" x14ac:dyDescent="0.3">
      <c r="A1099" s="43" t="s">
        <v>3943</v>
      </c>
      <c r="B1099" s="21" t="s">
        <v>3944</v>
      </c>
      <c r="C1099" s="21" t="s">
        <v>22682</v>
      </c>
      <c r="D1099" s="22">
        <v>46034</v>
      </c>
      <c r="E1099" s="23" t="s">
        <v>22656</v>
      </c>
      <c r="F1099" s="24" t="s">
        <v>22657</v>
      </c>
      <c r="G1099" s="25">
        <v>4</v>
      </c>
      <c r="H1099" s="29"/>
      <c r="I1099" s="30"/>
    </row>
    <row r="1100" spans="1:9" ht="15.75" thickBot="1" x14ac:dyDescent="0.3">
      <c r="A1100" s="43" t="s">
        <v>3945</v>
      </c>
      <c r="B1100" s="21" t="s">
        <v>3946</v>
      </c>
      <c r="C1100" s="21" t="s">
        <v>22682</v>
      </c>
      <c r="D1100" s="22">
        <v>46034</v>
      </c>
      <c r="E1100" s="23" t="s">
        <v>22658</v>
      </c>
      <c r="F1100" s="24" t="s">
        <v>22657</v>
      </c>
      <c r="G1100" s="25">
        <v>4</v>
      </c>
      <c r="H1100" s="26"/>
      <c r="I1100" s="27"/>
    </row>
    <row r="1101" spans="1:9" ht="15.75" thickBot="1" x14ac:dyDescent="0.3">
      <c r="A1101" s="43" t="s">
        <v>3947</v>
      </c>
      <c r="B1101" s="21" t="s">
        <v>3948</v>
      </c>
      <c r="C1101" s="21" t="s">
        <v>22682</v>
      </c>
      <c r="D1101" s="22">
        <v>46034</v>
      </c>
      <c r="E1101" s="23" t="s">
        <v>22656</v>
      </c>
      <c r="F1101" s="24" t="s">
        <v>22657</v>
      </c>
      <c r="G1101" s="25">
        <v>4</v>
      </c>
      <c r="H1101" s="29"/>
      <c r="I1101" s="30"/>
    </row>
    <row r="1102" spans="1:9" ht="15.75" thickBot="1" x14ac:dyDescent="0.3">
      <c r="A1102" s="43" t="s">
        <v>3949</v>
      </c>
      <c r="B1102" s="21" t="s">
        <v>3950</v>
      </c>
      <c r="C1102" s="21" t="s">
        <v>22682</v>
      </c>
      <c r="D1102" s="22">
        <v>46034</v>
      </c>
      <c r="E1102" s="23" t="s">
        <v>22658</v>
      </c>
      <c r="F1102" s="24" t="s">
        <v>22657</v>
      </c>
      <c r="G1102" s="25">
        <v>4</v>
      </c>
      <c r="H1102" s="26"/>
      <c r="I1102" s="27"/>
    </row>
    <row r="1103" spans="1:9" ht="15.75" thickBot="1" x14ac:dyDescent="0.3">
      <c r="A1103" s="43" t="s">
        <v>3951</v>
      </c>
      <c r="B1103" s="21" t="s">
        <v>3952</v>
      </c>
      <c r="C1103" s="21" t="s">
        <v>22682</v>
      </c>
      <c r="D1103" s="22">
        <v>46034</v>
      </c>
      <c r="E1103" s="23" t="s">
        <v>22658</v>
      </c>
      <c r="F1103" s="24" t="s">
        <v>22657</v>
      </c>
      <c r="G1103" s="25">
        <v>4</v>
      </c>
      <c r="H1103" s="29"/>
      <c r="I1103" s="30"/>
    </row>
    <row r="1104" spans="1:9" ht="15.75" thickBot="1" x14ac:dyDescent="0.3">
      <c r="A1104" s="43" t="s">
        <v>3953</v>
      </c>
      <c r="B1104" s="21" t="s">
        <v>3954</v>
      </c>
      <c r="C1104" s="21" t="s">
        <v>22682</v>
      </c>
      <c r="D1104" s="22">
        <v>46034</v>
      </c>
      <c r="E1104" s="23" t="s">
        <v>22658</v>
      </c>
      <c r="F1104" s="24" t="s">
        <v>22657</v>
      </c>
      <c r="G1104" s="25">
        <v>4</v>
      </c>
      <c r="H1104" s="26"/>
      <c r="I1104" s="27"/>
    </row>
    <row r="1105" spans="1:9" ht="15.75" thickBot="1" x14ac:dyDescent="0.3">
      <c r="A1105" s="43" t="s">
        <v>3955</v>
      </c>
      <c r="B1105" s="21" t="s">
        <v>3956</v>
      </c>
      <c r="C1105" s="21" t="s">
        <v>22682</v>
      </c>
      <c r="D1105" s="22">
        <v>46034</v>
      </c>
      <c r="E1105" s="23" t="s">
        <v>22658</v>
      </c>
      <c r="F1105" s="24" t="s">
        <v>22657</v>
      </c>
      <c r="G1105" s="25">
        <v>4</v>
      </c>
      <c r="H1105" s="29"/>
      <c r="I1105" s="30"/>
    </row>
    <row r="1106" spans="1:9" ht="15.75" thickBot="1" x14ac:dyDescent="0.3">
      <c r="A1106" s="43" t="s">
        <v>3957</v>
      </c>
      <c r="B1106" s="21" t="s">
        <v>3958</v>
      </c>
      <c r="C1106" s="21" t="s">
        <v>22655</v>
      </c>
      <c r="D1106" s="22">
        <v>46032</v>
      </c>
      <c r="E1106" s="23" t="s">
        <v>22661</v>
      </c>
      <c r="F1106" s="24" t="s">
        <v>22657</v>
      </c>
      <c r="G1106" s="25">
        <v>5</v>
      </c>
      <c r="H1106" s="26"/>
      <c r="I1106" s="27"/>
    </row>
    <row r="1107" spans="1:9" ht="15.75" thickBot="1" x14ac:dyDescent="0.3">
      <c r="A1107" s="43" t="s">
        <v>3959</v>
      </c>
      <c r="B1107" s="21" t="s">
        <v>3960</v>
      </c>
      <c r="C1107" s="21" t="s">
        <v>22655</v>
      </c>
      <c r="D1107" s="22">
        <v>46046</v>
      </c>
      <c r="E1107" s="23" t="s">
        <v>22656</v>
      </c>
      <c r="F1107" s="24" t="s">
        <v>22657</v>
      </c>
      <c r="G1107" s="25">
        <v>7</v>
      </c>
      <c r="H1107" s="29"/>
      <c r="I1107" s="30"/>
    </row>
    <row r="1108" spans="1:9" ht="15.75" thickBot="1" x14ac:dyDescent="0.3">
      <c r="A1108" s="43" t="s">
        <v>3961</v>
      </c>
      <c r="B1108" s="21" t="s">
        <v>3962</v>
      </c>
      <c r="C1108" s="21" t="s">
        <v>22655</v>
      </c>
      <c r="D1108" s="22">
        <v>46046</v>
      </c>
      <c r="E1108" s="23" t="s">
        <v>22656</v>
      </c>
      <c r="F1108" s="24" t="s">
        <v>22657</v>
      </c>
      <c r="G1108" s="25">
        <v>4</v>
      </c>
      <c r="H1108" s="26"/>
      <c r="I1108" s="27"/>
    </row>
    <row r="1109" spans="1:9" ht="15.75" thickBot="1" x14ac:dyDescent="0.3">
      <c r="A1109" s="43" t="s">
        <v>3963</v>
      </c>
      <c r="B1109" s="21" t="s">
        <v>3964</v>
      </c>
      <c r="C1109" s="21" t="s">
        <v>22655</v>
      </c>
      <c r="D1109" s="22">
        <v>46046</v>
      </c>
      <c r="E1109" s="23" t="s">
        <v>22656</v>
      </c>
      <c r="F1109" s="24" t="s">
        <v>22657</v>
      </c>
      <c r="G1109" s="25">
        <v>8</v>
      </c>
      <c r="H1109" s="29"/>
      <c r="I1109" s="30"/>
    </row>
    <row r="1110" spans="1:9" ht="15.75" thickBot="1" x14ac:dyDescent="0.3">
      <c r="A1110" s="43" t="s">
        <v>3965</v>
      </c>
      <c r="B1110" s="21" t="s">
        <v>3966</v>
      </c>
      <c r="C1110" s="21" t="s">
        <v>22655</v>
      </c>
      <c r="D1110" s="31" t="s">
        <v>22737</v>
      </c>
      <c r="E1110" s="23" t="s">
        <v>22656</v>
      </c>
      <c r="F1110" s="24" t="s">
        <v>22657</v>
      </c>
      <c r="G1110" s="25">
        <v>20</v>
      </c>
      <c r="H1110" s="26"/>
      <c r="I1110" s="27"/>
    </row>
    <row r="1111" spans="1:9" ht="15.75" thickBot="1" x14ac:dyDescent="0.3">
      <c r="A1111" s="43" t="s">
        <v>3967</v>
      </c>
      <c r="B1111" s="21" t="s">
        <v>3968</v>
      </c>
      <c r="C1111" s="21" t="s">
        <v>22655</v>
      </c>
      <c r="D1111" s="31" t="s">
        <v>22737</v>
      </c>
      <c r="E1111" s="23" t="s">
        <v>22656</v>
      </c>
      <c r="F1111" s="24" t="s">
        <v>22657</v>
      </c>
      <c r="G1111" s="25">
        <v>20</v>
      </c>
      <c r="H1111" s="29"/>
      <c r="I1111" s="30"/>
    </row>
    <row r="1112" spans="1:9" ht="15.75" thickBot="1" x14ac:dyDescent="0.3">
      <c r="A1112" s="43" t="s">
        <v>3969</v>
      </c>
      <c r="B1112" s="21" t="s">
        <v>3970</v>
      </c>
      <c r="C1112" s="21" t="s">
        <v>22655</v>
      </c>
      <c r="D1112" s="22">
        <v>46032</v>
      </c>
      <c r="E1112" s="23" t="s">
        <v>22658</v>
      </c>
      <c r="F1112" s="24" t="s">
        <v>22657</v>
      </c>
      <c r="G1112" s="25">
        <v>4</v>
      </c>
      <c r="H1112" s="26"/>
      <c r="I1112" s="27"/>
    </row>
    <row r="1113" spans="1:9" ht="15.75" thickBot="1" x14ac:dyDescent="0.3">
      <c r="A1113" s="43" t="s">
        <v>3971</v>
      </c>
      <c r="B1113" s="21" t="s">
        <v>3972</v>
      </c>
      <c r="C1113" s="21" t="s">
        <v>22655</v>
      </c>
      <c r="D1113" s="31" t="s">
        <v>22737</v>
      </c>
      <c r="E1113" s="23" t="s">
        <v>22656</v>
      </c>
      <c r="F1113" s="24" t="s">
        <v>22657</v>
      </c>
      <c r="G1113" s="25">
        <v>20</v>
      </c>
      <c r="H1113" s="29"/>
      <c r="I1113" s="30"/>
    </row>
    <row r="1114" spans="1:9" ht="15.75" thickBot="1" x14ac:dyDescent="0.3">
      <c r="A1114" s="43" t="s">
        <v>3973</v>
      </c>
      <c r="B1114" s="21" t="s">
        <v>3974</v>
      </c>
      <c r="C1114" s="21" t="s">
        <v>22655</v>
      </c>
      <c r="D1114" s="31" t="s">
        <v>22660</v>
      </c>
      <c r="E1114" s="23" t="s">
        <v>22656</v>
      </c>
      <c r="F1114" s="24" t="s">
        <v>22657</v>
      </c>
      <c r="G1114" s="25">
        <v>4</v>
      </c>
      <c r="H1114" s="26"/>
      <c r="I1114" s="27"/>
    </row>
    <row r="1115" spans="1:9" ht="15.75" thickBot="1" x14ac:dyDescent="0.3">
      <c r="A1115" s="43" t="s">
        <v>3975</v>
      </c>
      <c r="B1115" s="21" t="s">
        <v>3976</v>
      </c>
      <c r="C1115" s="21" t="s">
        <v>22655</v>
      </c>
      <c r="D1115" s="31" t="s">
        <v>22660</v>
      </c>
      <c r="E1115" s="23" t="s">
        <v>22658</v>
      </c>
      <c r="F1115" s="24" t="s">
        <v>22657</v>
      </c>
      <c r="G1115" s="25">
        <v>4</v>
      </c>
      <c r="H1115" s="29"/>
      <c r="I1115" s="30"/>
    </row>
    <row r="1116" spans="1:9" ht="15.75" thickBot="1" x14ac:dyDescent="0.3">
      <c r="A1116" s="43" t="s">
        <v>3977</v>
      </c>
      <c r="B1116" s="21" t="s">
        <v>3978</v>
      </c>
      <c r="C1116" s="21" t="s">
        <v>22655</v>
      </c>
      <c r="D1116" s="31" t="s">
        <v>22660</v>
      </c>
      <c r="E1116" s="23" t="s">
        <v>22656</v>
      </c>
      <c r="F1116" s="24" t="s">
        <v>22657</v>
      </c>
      <c r="G1116" s="25">
        <v>4</v>
      </c>
      <c r="H1116" s="26"/>
      <c r="I1116" s="27"/>
    </row>
    <row r="1117" spans="1:9" ht="15.75" thickBot="1" x14ac:dyDescent="0.3">
      <c r="A1117" s="43" t="s">
        <v>3979</v>
      </c>
      <c r="B1117" s="21" t="s">
        <v>3980</v>
      </c>
      <c r="C1117" s="21" t="s">
        <v>22655</v>
      </c>
      <c r="D1117" s="31" t="s">
        <v>22660</v>
      </c>
      <c r="E1117" s="23" t="s">
        <v>22656</v>
      </c>
      <c r="F1117" s="24" t="s">
        <v>22657</v>
      </c>
      <c r="G1117" s="25">
        <v>4</v>
      </c>
      <c r="H1117" s="29"/>
      <c r="I1117" s="30"/>
    </row>
    <row r="1118" spans="1:9" ht="15.75" thickBot="1" x14ac:dyDescent="0.3">
      <c r="A1118" s="43" t="s">
        <v>3981</v>
      </c>
      <c r="B1118" s="21" t="s">
        <v>3982</v>
      </c>
      <c r="C1118" s="21" t="s">
        <v>22655</v>
      </c>
      <c r="D1118" s="31" t="s">
        <v>22660</v>
      </c>
      <c r="E1118" s="23" t="s">
        <v>22658</v>
      </c>
      <c r="F1118" s="24" t="s">
        <v>22657</v>
      </c>
      <c r="G1118" s="25">
        <v>4</v>
      </c>
      <c r="H1118" s="26"/>
      <c r="I1118" s="27"/>
    </row>
    <row r="1119" spans="1:9" ht="15.75" thickBot="1" x14ac:dyDescent="0.3">
      <c r="A1119" s="43" t="s">
        <v>3983</v>
      </c>
      <c r="B1119" s="21" t="s">
        <v>3984</v>
      </c>
      <c r="C1119" s="21" t="s">
        <v>22684</v>
      </c>
      <c r="D1119" s="22">
        <v>46042</v>
      </c>
      <c r="E1119" s="23" t="s">
        <v>22658</v>
      </c>
      <c r="F1119" s="24" t="s">
        <v>22657</v>
      </c>
      <c r="G1119" s="25">
        <v>4</v>
      </c>
      <c r="H1119" s="29"/>
      <c r="I1119" s="30"/>
    </row>
    <row r="1120" spans="1:9" ht="15.75" thickBot="1" x14ac:dyDescent="0.3">
      <c r="A1120" s="43" t="s">
        <v>3985</v>
      </c>
      <c r="B1120" s="21" t="s">
        <v>3986</v>
      </c>
      <c r="C1120" s="21" t="s">
        <v>22684</v>
      </c>
      <c r="D1120" s="22">
        <v>46042</v>
      </c>
      <c r="E1120" s="23" t="s">
        <v>22658</v>
      </c>
      <c r="F1120" s="24" t="s">
        <v>22657</v>
      </c>
      <c r="G1120" s="25">
        <v>4</v>
      </c>
      <c r="H1120" s="26"/>
      <c r="I1120" s="27"/>
    </row>
    <row r="1121" spans="1:9" ht="15.75" thickBot="1" x14ac:dyDescent="0.3">
      <c r="A1121" s="43" t="s">
        <v>3987</v>
      </c>
      <c r="B1121" s="21" t="s">
        <v>3988</v>
      </c>
      <c r="C1121" s="21" t="s">
        <v>22684</v>
      </c>
      <c r="D1121" s="22">
        <v>46042</v>
      </c>
      <c r="E1121" s="23" t="s">
        <v>22658</v>
      </c>
      <c r="F1121" s="24" t="s">
        <v>22657</v>
      </c>
      <c r="G1121" s="25">
        <v>4</v>
      </c>
      <c r="H1121" s="29"/>
      <c r="I1121" s="30"/>
    </row>
    <row r="1122" spans="1:9" ht="15.75" thickBot="1" x14ac:dyDescent="0.3">
      <c r="A1122" s="43" t="s">
        <v>3989</v>
      </c>
      <c r="B1122" s="21" t="s">
        <v>3990</v>
      </c>
      <c r="C1122" s="21" t="s">
        <v>22684</v>
      </c>
      <c r="D1122" s="22">
        <v>46042</v>
      </c>
      <c r="E1122" s="23" t="s">
        <v>22658</v>
      </c>
      <c r="F1122" s="24" t="s">
        <v>22657</v>
      </c>
      <c r="G1122" s="25">
        <v>4</v>
      </c>
      <c r="H1122" s="26"/>
      <c r="I1122" s="27"/>
    </row>
    <row r="1123" spans="1:9" ht="15.75" thickBot="1" x14ac:dyDescent="0.3">
      <c r="A1123" s="43" t="s">
        <v>3991</v>
      </c>
      <c r="B1123" s="21" t="s">
        <v>3992</v>
      </c>
      <c r="C1123" s="21" t="s">
        <v>22655</v>
      </c>
      <c r="D1123" s="22">
        <v>46034</v>
      </c>
      <c r="E1123" s="23" t="s">
        <v>22656</v>
      </c>
      <c r="F1123" s="24" t="s">
        <v>22657</v>
      </c>
      <c r="G1123" s="25">
        <v>2</v>
      </c>
      <c r="H1123" s="29"/>
      <c r="I1123" s="30"/>
    </row>
    <row r="1124" spans="1:9" ht="15.75" thickBot="1" x14ac:dyDescent="0.3">
      <c r="A1124" s="43" t="s">
        <v>3993</v>
      </c>
      <c r="B1124" s="21" t="s">
        <v>3994</v>
      </c>
      <c r="C1124" s="21" t="s">
        <v>22655</v>
      </c>
      <c r="D1124" s="22">
        <v>46034</v>
      </c>
      <c r="E1124" s="23" t="s">
        <v>22658</v>
      </c>
      <c r="F1124" s="24" t="s">
        <v>22657</v>
      </c>
      <c r="G1124" s="25">
        <v>1</v>
      </c>
      <c r="H1124" s="26"/>
      <c r="I1124" s="27"/>
    </row>
    <row r="1125" spans="1:9" ht="15.75" thickBot="1" x14ac:dyDescent="0.3">
      <c r="A1125" s="43" t="s">
        <v>3995</v>
      </c>
      <c r="B1125" s="21" t="s">
        <v>3996</v>
      </c>
      <c r="C1125" s="21" t="s">
        <v>22655</v>
      </c>
      <c r="D1125" s="22">
        <v>46028</v>
      </c>
      <c r="E1125" s="23" t="s">
        <v>22658</v>
      </c>
      <c r="F1125" s="24" t="s">
        <v>22657</v>
      </c>
      <c r="G1125" s="25">
        <v>1</v>
      </c>
      <c r="H1125" s="29"/>
      <c r="I1125" s="30"/>
    </row>
    <row r="1126" spans="1:9" ht="15.75" thickBot="1" x14ac:dyDescent="0.3">
      <c r="A1126" s="43" t="s">
        <v>3997</v>
      </c>
      <c r="B1126" s="21" t="s">
        <v>3998</v>
      </c>
      <c r="C1126" s="21" t="s">
        <v>22655</v>
      </c>
      <c r="D1126" s="22">
        <v>46046</v>
      </c>
      <c r="E1126" s="23" t="s">
        <v>22656</v>
      </c>
      <c r="F1126" s="24" t="s">
        <v>22657</v>
      </c>
      <c r="G1126" s="25">
        <v>8</v>
      </c>
      <c r="H1126" s="26"/>
      <c r="I1126" s="27"/>
    </row>
    <row r="1127" spans="1:9" ht="15.75" thickBot="1" x14ac:dyDescent="0.3">
      <c r="A1127" s="43" t="s">
        <v>3999</v>
      </c>
      <c r="B1127" s="21" t="s">
        <v>4000</v>
      </c>
      <c r="C1127" s="21" t="s">
        <v>22655</v>
      </c>
      <c r="D1127" s="31" t="s">
        <v>22660</v>
      </c>
      <c r="E1127" s="23" t="s">
        <v>22658</v>
      </c>
      <c r="F1127" s="24" t="s">
        <v>22657</v>
      </c>
      <c r="G1127" s="25">
        <v>4</v>
      </c>
      <c r="H1127" s="29"/>
      <c r="I1127" s="30"/>
    </row>
    <row r="1128" spans="1:9" ht="15.75" thickBot="1" x14ac:dyDescent="0.3">
      <c r="A1128" s="43" t="s">
        <v>4001</v>
      </c>
      <c r="B1128" s="21" t="s">
        <v>4002</v>
      </c>
      <c r="C1128" s="21" t="s">
        <v>22655</v>
      </c>
      <c r="D1128" s="31" t="s">
        <v>22673</v>
      </c>
      <c r="E1128" s="23" t="s">
        <v>22656</v>
      </c>
      <c r="F1128" s="24" t="s">
        <v>22657</v>
      </c>
      <c r="G1128" s="25">
        <v>4</v>
      </c>
      <c r="H1128" s="26"/>
      <c r="I1128" s="27"/>
    </row>
    <row r="1129" spans="1:9" ht="15.75" thickBot="1" x14ac:dyDescent="0.3">
      <c r="A1129" s="43" t="s">
        <v>4003</v>
      </c>
      <c r="B1129" s="21" t="s">
        <v>4004</v>
      </c>
      <c r="C1129" s="21" t="s">
        <v>22655</v>
      </c>
      <c r="D1129" s="22">
        <v>46046</v>
      </c>
      <c r="E1129" s="23" t="s">
        <v>22656</v>
      </c>
      <c r="F1129" s="24" t="s">
        <v>22657</v>
      </c>
      <c r="G1129" s="25">
        <v>8</v>
      </c>
      <c r="H1129" s="29"/>
      <c r="I1129" s="30"/>
    </row>
    <row r="1130" spans="1:9" ht="15.75" thickBot="1" x14ac:dyDescent="0.3">
      <c r="A1130" s="43" t="s">
        <v>453</v>
      </c>
      <c r="B1130" s="21" t="s">
        <v>454</v>
      </c>
      <c r="C1130" s="21" t="s">
        <v>22725</v>
      </c>
      <c r="D1130" s="31" t="s">
        <v>22738</v>
      </c>
      <c r="E1130" s="23" t="s">
        <v>22661</v>
      </c>
      <c r="F1130" s="24" t="s">
        <v>22657</v>
      </c>
      <c r="G1130" s="25">
        <v>300</v>
      </c>
      <c r="H1130" s="34">
        <v>300</v>
      </c>
      <c r="I1130" s="35">
        <v>500</v>
      </c>
    </row>
    <row r="1131" spans="1:9" ht="15.75" thickBot="1" x14ac:dyDescent="0.3">
      <c r="A1131" s="43" t="s">
        <v>4005</v>
      </c>
      <c r="B1131" s="21" t="s">
        <v>4006</v>
      </c>
      <c r="C1131" s="21" t="s">
        <v>22725</v>
      </c>
      <c r="D1131" s="31" t="s">
        <v>22683</v>
      </c>
      <c r="E1131" s="23" t="s">
        <v>22656</v>
      </c>
      <c r="F1131" s="24" t="s">
        <v>22657</v>
      </c>
      <c r="G1131" s="25">
        <v>105</v>
      </c>
      <c r="H1131" s="29"/>
      <c r="I1131" s="30"/>
    </row>
    <row r="1132" spans="1:9" ht="15.75" thickBot="1" x14ac:dyDescent="0.3">
      <c r="A1132" s="43" t="s">
        <v>4007</v>
      </c>
      <c r="B1132" s="21" t="s">
        <v>4008</v>
      </c>
      <c r="C1132" s="21" t="s">
        <v>22725</v>
      </c>
      <c r="D1132" s="31" t="s">
        <v>22683</v>
      </c>
      <c r="E1132" s="23" t="s">
        <v>22656</v>
      </c>
      <c r="F1132" s="24" t="s">
        <v>22657</v>
      </c>
      <c r="G1132" s="25">
        <v>106</v>
      </c>
      <c r="H1132" s="26"/>
      <c r="I1132" s="27"/>
    </row>
    <row r="1133" spans="1:9" ht="15.75" thickBot="1" x14ac:dyDescent="0.3">
      <c r="A1133" s="43" t="s">
        <v>65</v>
      </c>
      <c r="B1133" s="21" t="s">
        <v>66</v>
      </c>
      <c r="C1133" s="21" t="s">
        <v>22725</v>
      </c>
      <c r="D1133" s="31" t="s">
        <v>22673</v>
      </c>
      <c r="E1133" s="23" t="s">
        <v>22665</v>
      </c>
      <c r="F1133" s="24" t="s">
        <v>22657</v>
      </c>
      <c r="G1133" s="25">
        <v>33</v>
      </c>
      <c r="H1133" s="29"/>
      <c r="I1133" s="30"/>
    </row>
    <row r="1134" spans="1:9" ht="15.75" thickBot="1" x14ac:dyDescent="0.3">
      <c r="A1134" s="43" t="s">
        <v>4009</v>
      </c>
      <c r="B1134" s="21" t="s">
        <v>4010</v>
      </c>
      <c r="C1134" s="21" t="s">
        <v>22725</v>
      </c>
      <c r="D1134" s="31" t="s">
        <v>22673</v>
      </c>
      <c r="E1134" s="23" t="s">
        <v>22658</v>
      </c>
      <c r="F1134" s="24" t="s">
        <v>22657</v>
      </c>
      <c r="G1134" s="25">
        <v>16</v>
      </c>
      <c r="H1134" s="26"/>
      <c r="I1134" s="27"/>
    </row>
    <row r="1135" spans="1:9" ht="15.75" thickBot="1" x14ac:dyDescent="0.3">
      <c r="A1135" s="43" t="s">
        <v>655</v>
      </c>
      <c r="B1135" s="21" t="s">
        <v>656</v>
      </c>
      <c r="C1135" s="21" t="s">
        <v>22725</v>
      </c>
      <c r="D1135" s="31" t="s">
        <v>22673</v>
      </c>
      <c r="E1135" s="23" t="s">
        <v>22661</v>
      </c>
      <c r="F1135" s="24" t="s">
        <v>22657</v>
      </c>
      <c r="G1135" s="25">
        <v>46</v>
      </c>
      <c r="H1135" s="29"/>
      <c r="I1135" s="30"/>
    </row>
    <row r="1136" spans="1:9" ht="15.75" thickBot="1" x14ac:dyDescent="0.3">
      <c r="A1136" s="43" t="s">
        <v>4011</v>
      </c>
      <c r="B1136" s="21" t="s">
        <v>4012</v>
      </c>
      <c r="C1136" s="21" t="s">
        <v>22725</v>
      </c>
      <c r="D1136" s="31" t="s">
        <v>22673</v>
      </c>
      <c r="E1136" s="23" t="s">
        <v>22658</v>
      </c>
      <c r="F1136" s="24" t="s">
        <v>22657</v>
      </c>
      <c r="G1136" s="25">
        <v>14</v>
      </c>
      <c r="H1136" s="26"/>
      <c r="I1136" s="27"/>
    </row>
    <row r="1137" spans="1:9" ht="15.75" thickBot="1" x14ac:dyDescent="0.3">
      <c r="A1137" s="43" t="s">
        <v>4013</v>
      </c>
      <c r="B1137" s="21" t="s">
        <v>4014</v>
      </c>
      <c r="C1137" s="21" t="s">
        <v>22725</v>
      </c>
      <c r="D1137" s="31" t="s">
        <v>22688</v>
      </c>
      <c r="E1137" s="23" t="s">
        <v>22656</v>
      </c>
      <c r="F1137" s="24" t="s">
        <v>22657</v>
      </c>
      <c r="G1137" s="25">
        <v>32</v>
      </c>
      <c r="H1137" s="29"/>
      <c r="I1137" s="30"/>
    </row>
    <row r="1138" spans="1:9" ht="15.75" thickBot="1" x14ac:dyDescent="0.3">
      <c r="A1138" s="43" t="s">
        <v>4015</v>
      </c>
      <c r="B1138" s="21" t="s">
        <v>4016</v>
      </c>
      <c r="C1138" s="21" t="s">
        <v>22725</v>
      </c>
      <c r="D1138" s="31" t="s">
        <v>22683</v>
      </c>
      <c r="E1138" s="23" t="s">
        <v>22658</v>
      </c>
      <c r="F1138" s="24" t="s">
        <v>22657</v>
      </c>
      <c r="G1138" s="25">
        <v>42</v>
      </c>
      <c r="H1138" s="26"/>
      <c r="I1138" s="27"/>
    </row>
    <row r="1139" spans="1:9" ht="15.75" thickBot="1" x14ac:dyDescent="0.3">
      <c r="A1139" s="43" t="s">
        <v>4017</v>
      </c>
      <c r="B1139" s="21" t="s">
        <v>4018</v>
      </c>
      <c r="C1139" s="21" t="s">
        <v>22725</v>
      </c>
      <c r="D1139" s="31" t="s">
        <v>22688</v>
      </c>
      <c r="E1139" s="23" t="s">
        <v>22656</v>
      </c>
      <c r="F1139" s="24" t="s">
        <v>22657</v>
      </c>
      <c r="G1139" s="25">
        <v>14</v>
      </c>
      <c r="H1139" s="29"/>
      <c r="I1139" s="30"/>
    </row>
    <row r="1140" spans="1:9" ht="15.75" thickBot="1" x14ac:dyDescent="0.3">
      <c r="A1140" s="43" t="s">
        <v>4019</v>
      </c>
      <c r="B1140" s="21" t="s">
        <v>4020</v>
      </c>
      <c r="C1140" s="21" t="s">
        <v>22725</v>
      </c>
      <c r="D1140" s="31" t="s">
        <v>22673</v>
      </c>
      <c r="E1140" s="23" t="s">
        <v>22658</v>
      </c>
      <c r="F1140" s="24" t="s">
        <v>22657</v>
      </c>
      <c r="G1140" s="25">
        <v>14</v>
      </c>
      <c r="H1140" s="26"/>
      <c r="I1140" s="27"/>
    </row>
    <row r="1141" spans="1:9" ht="15.75" thickBot="1" x14ac:dyDescent="0.3">
      <c r="A1141" s="43" t="s">
        <v>1011</v>
      </c>
      <c r="B1141" s="21" t="s">
        <v>1012</v>
      </c>
      <c r="C1141" s="21" t="s">
        <v>22725</v>
      </c>
      <c r="D1141" s="31" t="s">
        <v>22673</v>
      </c>
      <c r="E1141" s="23" t="s">
        <v>22665</v>
      </c>
      <c r="F1141" s="24" t="s">
        <v>22657</v>
      </c>
      <c r="G1141" s="25">
        <v>56</v>
      </c>
      <c r="H1141" s="32">
        <v>56</v>
      </c>
      <c r="I1141" s="33">
        <v>80</v>
      </c>
    </row>
    <row r="1142" spans="1:9" ht="15.75" thickBot="1" x14ac:dyDescent="0.3">
      <c r="A1142" s="43" t="s">
        <v>4021</v>
      </c>
      <c r="B1142" s="21" t="s">
        <v>4022</v>
      </c>
      <c r="C1142" s="21" t="s">
        <v>22725</v>
      </c>
      <c r="D1142" s="31" t="s">
        <v>22673</v>
      </c>
      <c r="E1142" s="23" t="s">
        <v>22658</v>
      </c>
      <c r="F1142" s="24" t="s">
        <v>22657</v>
      </c>
      <c r="G1142" s="25">
        <v>14</v>
      </c>
      <c r="H1142" s="26"/>
      <c r="I1142" s="27"/>
    </row>
    <row r="1143" spans="1:9" ht="15.75" thickBot="1" x14ac:dyDescent="0.3">
      <c r="A1143" s="43" t="s">
        <v>4023</v>
      </c>
      <c r="B1143" s="21" t="s">
        <v>4024</v>
      </c>
      <c r="C1143" s="21" t="s">
        <v>22725</v>
      </c>
      <c r="D1143" s="31" t="s">
        <v>22739</v>
      </c>
      <c r="E1143" s="23" t="s">
        <v>22658</v>
      </c>
      <c r="F1143" s="24" t="s">
        <v>22657</v>
      </c>
      <c r="G1143" s="25">
        <v>26</v>
      </c>
      <c r="H1143" s="29"/>
      <c r="I1143" s="30"/>
    </row>
    <row r="1144" spans="1:9" ht="15.75" thickBot="1" x14ac:dyDescent="0.3">
      <c r="A1144" s="43" t="s">
        <v>607</v>
      </c>
      <c r="B1144" s="21" t="s">
        <v>608</v>
      </c>
      <c r="C1144" s="21" t="s">
        <v>22725</v>
      </c>
      <c r="D1144" s="31" t="s">
        <v>22688</v>
      </c>
      <c r="E1144" s="23" t="s">
        <v>22665</v>
      </c>
      <c r="F1144" s="24" t="s">
        <v>22657</v>
      </c>
      <c r="G1144" s="25">
        <v>56</v>
      </c>
      <c r="H1144" s="34">
        <v>56</v>
      </c>
      <c r="I1144" s="35">
        <v>80</v>
      </c>
    </row>
    <row r="1145" spans="1:9" ht="15.75" thickBot="1" x14ac:dyDescent="0.3">
      <c r="A1145" s="43" t="s">
        <v>4025</v>
      </c>
      <c r="B1145" s="21" t="s">
        <v>4026</v>
      </c>
      <c r="C1145" s="21" t="s">
        <v>22725</v>
      </c>
      <c r="D1145" s="31" t="s">
        <v>22673</v>
      </c>
      <c r="E1145" s="23" t="s">
        <v>22658</v>
      </c>
      <c r="F1145" s="24" t="s">
        <v>22657</v>
      </c>
      <c r="G1145" s="25">
        <v>14</v>
      </c>
      <c r="H1145" s="29"/>
      <c r="I1145" s="30"/>
    </row>
    <row r="1146" spans="1:9" ht="15.75" thickBot="1" x14ac:dyDescent="0.3">
      <c r="A1146" s="43" t="s">
        <v>649</v>
      </c>
      <c r="B1146" s="21" t="s">
        <v>650</v>
      </c>
      <c r="C1146" s="21" t="s">
        <v>22725</v>
      </c>
      <c r="D1146" s="31" t="s">
        <v>22673</v>
      </c>
      <c r="E1146" s="23" t="s">
        <v>22665</v>
      </c>
      <c r="F1146" s="24" t="s">
        <v>22657</v>
      </c>
      <c r="G1146" s="25">
        <v>40</v>
      </c>
      <c r="H1146" s="34">
        <v>40</v>
      </c>
      <c r="I1146" s="35">
        <v>80</v>
      </c>
    </row>
    <row r="1147" spans="1:9" ht="15.75" thickBot="1" x14ac:dyDescent="0.3">
      <c r="A1147" s="43" t="s">
        <v>559</v>
      </c>
      <c r="B1147" s="21" t="s">
        <v>560</v>
      </c>
      <c r="C1147" s="21" t="s">
        <v>22725</v>
      </c>
      <c r="D1147" s="31" t="s">
        <v>22688</v>
      </c>
      <c r="E1147" s="23" t="s">
        <v>22661</v>
      </c>
      <c r="F1147" s="24" t="s">
        <v>22657</v>
      </c>
      <c r="G1147" s="25">
        <v>94</v>
      </c>
      <c r="H1147" s="29"/>
      <c r="I1147" s="30"/>
    </row>
    <row r="1148" spans="1:9" ht="15.75" thickBot="1" x14ac:dyDescent="0.3">
      <c r="A1148" s="43" t="s">
        <v>4027</v>
      </c>
      <c r="B1148" s="21" t="s">
        <v>4028</v>
      </c>
      <c r="C1148" s="21" t="s">
        <v>22725</v>
      </c>
      <c r="D1148" s="31" t="s">
        <v>22673</v>
      </c>
      <c r="E1148" s="23" t="s">
        <v>22658</v>
      </c>
      <c r="F1148" s="24" t="s">
        <v>22657</v>
      </c>
      <c r="G1148" s="25">
        <v>19</v>
      </c>
      <c r="H1148" s="26"/>
      <c r="I1148" s="27"/>
    </row>
    <row r="1149" spans="1:9" ht="15.75" thickBot="1" x14ac:dyDescent="0.3">
      <c r="A1149" s="43" t="s">
        <v>1843</v>
      </c>
      <c r="B1149" s="21" t="s">
        <v>4029</v>
      </c>
      <c r="C1149" s="21" t="s">
        <v>22725</v>
      </c>
      <c r="D1149" s="31" t="s">
        <v>22673</v>
      </c>
      <c r="E1149" s="23" t="s">
        <v>22661</v>
      </c>
      <c r="F1149" s="24" t="s">
        <v>22657</v>
      </c>
      <c r="G1149" s="25">
        <v>56</v>
      </c>
      <c r="H1149" s="32">
        <v>56</v>
      </c>
      <c r="I1149" s="33">
        <v>80</v>
      </c>
    </row>
    <row r="1150" spans="1:9" ht="15.75" thickBot="1" x14ac:dyDescent="0.3">
      <c r="A1150" s="43" t="s">
        <v>4030</v>
      </c>
      <c r="B1150" s="21" t="s">
        <v>4031</v>
      </c>
      <c r="C1150" s="21" t="s">
        <v>22725</v>
      </c>
      <c r="D1150" s="31" t="s">
        <v>22740</v>
      </c>
      <c r="E1150" s="23" t="s">
        <v>22658</v>
      </c>
      <c r="F1150" s="24" t="s">
        <v>22657</v>
      </c>
      <c r="G1150" s="25">
        <v>19</v>
      </c>
      <c r="H1150" s="26"/>
      <c r="I1150" s="27"/>
    </row>
    <row r="1151" spans="1:9" ht="15.75" thickBot="1" x14ac:dyDescent="0.3">
      <c r="A1151" s="43" t="s">
        <v>4032</v>
      </c>
      <c r="B1151" s="21" t="s">
        <v>4033</v>
      </c>
      <c r="C1151" s="21" t="s">
        <v>22725</v>
      </c>
      <c r="D1151" s="31" t="s">
        <v>22673</v>
      </c>
      <c r="E1151" s="23" t="s">
        <v>22658</v>
      </c>
      <c r="F1151" s="24" t="s">
        <v>22657</v>
      </c>
      <c r="G1151" s="25">
        <v>19</v>
      </c>
      <c r="H1151" s="29"/>
      <c r="I1151" s="30"/>
    </row>
    <row r="1152" spans="1:9" ht="15.75" thickBot="1" x14ac:dyDescent="0.3">
      <c r="A1152" s="43" t="s">
        <v>677</v>
      </c>
      <c r="B1152" s="21" t="s">
        <v>4034</v>
      </c>
      <c r="C1152" s="21" t="s">
        <v>22725</v>
      </c>
      <c r="D1152" s="31" t="s">
        <v>22688</v>
      </c>
      <c r="E1152" s="23" t="s">
        <v>22665</v>
      </c>
      <c r="F1152" s="24" t="s">
        <v>22657</v>
      </c>
      <c r="G1152" s="25">
        <v>56</v>
      </c>
      <c r="H1152" s="34">
        <v>56</v>
      </c>
      <c r="I1152" s="35">
        <v>120</v>
      </c>
    </row>
    <row r="1153" spans="1:9" ht="15.75" thickBot="1" x14ac:dyDescent="0.3">
      <c r="A1153" s="43" t="s">
        <v>4035</v>
      </c>
      <c r="B1153" s="21" t="s">
        <v>4036</v>
      </c>
      <c r="C1153" s="21" t="s">
        <v>22725</v>
      </c>
      <c r="D1153" s="31" t="s">
        <v>22741</v>
      </c>
      <c r="E1153" s="23" t="s">
        <v>22658</v>
      </c>
      <c r="F1153" s="24" t="s">
        <v>22657</v>
      </c>
      <c r="G1153" s="25">
        <v>32</v>
      </c>
      <c r="H1153" s="29"/>
      <c r="I1153" s="30"/>
    </row>
    <row r="1154" spans="1:9" ht="15.75" thickBot="1" x14ac:dyDescent="0.3">
      <c r="A1154" s="43" t="s">
        <v>4037</v>
      </c>
      <c r="B1154" s="21" t="s">
        <v>4038</v>
      </c>
      <c r="C1154" s="21" t="s">
        <v>22725</v>
      </c>
      <c r="D1154" s="31" t="s">
        <v>22741</v>
      </c>
      <c r="E1154" s="23" t="s">
        <v>22658</v>
      </c>
      <c r="F1154" s="24" t="s">
        <v>22657</v>
      </c>
      <c r="G1154" s="25">
        <v>32</v>
      </c>
      <c r="H1154" s="26"/>
      <c r="I1154" s="27"/>
    </row>
    <row r="1155" spans="1:9" ht="15.75" thickBot="1" x14ac:dyDescent="0.3">
      <c r="A1155" s="43" t="s">
        <v>4039</v>
      </c>
      <c r="B1155" s="21" t="s">
        <v>4040</v>
      </c>
      <c r="C1155" s="21" t="s">
        <v>22725</v>
      </c>
      <c r="D1155" s="31" t="s">
        <v>22683</v>
      </c>
      <c r="E1155" s="23" t="s">
        <v>22658</v>
      </c>
      <c r="F1155" s="24" t="s">
        <v>22657</v>
      </c>
      <c r="G1155" s="25">
        <v>34</v>
      </c>
      <c r="H1155" s="29"/>
      <c r="I1155" s="30"/>
    </row>
    <row r="1156" spans="1:9" ht="15.75" thickBot="1" x14ac:dyDescent="0.3">
      <c r="A1156" s="43" t="s">
        <v>4041</v>
      </c>
      <c r="B1156" s="21" t="s">
        <v>4042</v>
      </c>
      <c r="C1156" s="21" t="s">
        <v>22742</v>
      </c>
      <c r="D1156" s="31" t="s">
        <v>22743</v>
      </c>
      <c r="E1156" s="23" t="s">
        <v>22661</v>
      </c>
      <c r="F1156" s="24" t="s">
        <v>22657</v>
      </c>
      <c r="G1156" s="25">
        <v>50</v>
      </c>
      <c r="H1156" s="34">
        <v>50</v>
      </c>
      <c r="I1156" s="35">
        <v>100</v>
      </c>
    </row>
    <row r="1157" spans="1:9" ht="15.75" thickBot="1" x14ac:dyDescent="0.3">
      <c r="A1157" s="43" t="s">
        <v>1383</v>
      </c>
      <c r="B1157" s="21" t="s">
        <v>4043</v>
      </c>
      <c r="C1157" s="21" t="s">
        <v>22725</v>
      </c>
      <c r="D1157" s="31" t="s">
        <v>22683</v>
      </c>
      <c r="E1157" s="23" t="s">
        <v>22661</v>
      </c>
      <c r="F1157" s="24" t="s">
        <v>22657</v>
      </c>
      <c r="G1157" s="25">
        <v>200</v>
      </c>
      <c r="H1157" s="32">
        <v>200</v>
      </c>
      <c r="I1157" s="33">
        <v>500</v>
      </c>
    </row>
    <row r="1158" spans="1:9" ht="15.75" thickBot="1" x14ac:dyDescent="0.3">
      <c r="A1158" s="43" t="s">
        <v>4044</v>
      </c>
      <c r="B1158" s="21" t="s">
        <v>4045</v>
      </c>
      <c r="C1158" s="21" t="s">
        <v>22725</v>
      </c>
      <c r="D1158" s="31" t="s">
        <v>22737</v>
      </c>
      <c r="E1158" s="23" t="s">
        <v>22656</v>
      </c>
      <c r="F1158" s="24" t="s">
        <v>22657</v>
      </c>
      <c r="G1158" s="25">
        <v>80</v>
      </c>
      <c r="H1158" s="26"/>
      <c r="I1158" s="27"/>
    </row>
    <row r="1159" spans="1:9" ht="15.75" thickBot="1" x14ac:dyDescent="0.3">
      <c r="A1159" s="43" t="s">
        <v>4046</v>
      </c>
      <c r="B1159" s="21" t="s">
        <v>4047</v>
      </c>
      <c r="C1159" s="21" t="s">
        <v>22682</v>
      </c>
      <c r="D1159" s="22">
        <v>46034</v>
      </c>
      <c r="E1159" s="23" t="s">
        <v>22658</v>
      </c>
      <c r="F1159" s="24" t="s">
        <v>22657</v>
      </c>
      <c r="G1159" s="25">
        <v>4</v>
      </c>
      <c r="H1159" s="29"/>
      <c r="I1159" s="30"/>
    </row>
    <row r="1160" spans="1:9" ht="15.75" thickBot="1" x14ac:dyDescent="0.3">
      <c r="A1160" s="43" t="s">
        <v>4048</v>
      </c>
      <c r="B1160" s="21" t="s">
        <v>4049</v>
      </c>
      <c r="C1160" s="21" t="s">
        <v>22682</v>
      </c>
      <c r="D1160" s="22">
        <v>46034</v>
      </c>
      <c r="E1160" s="23" t="s">
        <v>22658</v>
      </c>
      <c r="F1160" s="24" t="s">
        <v>22657</v>
      </c>
      <c r="G1160" s="25">
        <v>4</v>
      </c>
      <c r="H1160" s="26"/>
      <c r="I1160" s="27"/>
    </row>
    <row r="1161" spans="1:9" ht="15.75" thickBot="1" x14ac:dyDescent="0.3">
      <c r="A1161" s="43" t="s">
        <v>4050</v>
      </c>
      <c r="B1161" s="21" t="s">
        <v>4051</v>
      </c>
      <c r="C1161" s="21" t="s">
        <v>22655</v>
      </c>
      <c r="D1161" s="31" t="s">
        <v>22744</v>
      </c>
      <c r="E1161" s="23" t="s">
        <v>22658</v>
      </c>
      <c r="F1161" s="24" t="s">
        <v>22657</v>
      </c>
      <c r="G1161" s="25">
        <v>34</v>
      </c>
      <c r="H1161" s="29"/>
      <c r="I1161" s="30"/>
    </row>
    <row r="1162" spans="1:9" ht="15.75" thickBot="1" x14ac:dyDescent="0.3">
      <c r="A1162" s="43" t="s">
        <v>4052</v>
      </c>
      <c r="B1162" s="21" t="s">
        <v>4053</v>
      </c>
      <c r="C1162" s="21" t="s">
        <v>22655</v>
      </c>
      <c r="D1162" s="31" t="s">
        <v>22745</v>
      </c>
      <c r="E1162" s="23" t="s">
        <v>22658</v>
      </c>
      <c r="F1162" s="24" t="s">
        <v>22657</v>
      </c>
      <c r="G1162" s="25">
        <v>34</v>
      </c>
      <c r="H1162" s="26"/>
      <c r="I1162" s="27"/>
    </row>
    <row r="1163" spans="1:9" ht="15.75" thickBot="1" x14ac:dyDescent="0.3">
      <c r="A1163" s="43" t="s">
        <v>4054</v>
      </c>
      <c r="B1163" s="21" t="s">
        <v>4055</v>
      </c>
      <c r="C1163" s="21" t="s">
        <v>22682</v>
      </c>
      <c r="D1163" s="22">
        <v>46034</v>
      </c>
      <c r="E1163" s="23" t="s">
        <v>22656</v>
      </c>
      <c r="F1163" s="24" t="s">
        <v>22657</v>
      </c>
      <c r="G1163" s="25">
        <v>4</v>
      </c>
      <c r="H1163" s="29"/>
      <c r="I1163" s="30"/>
    </row>
    <row r="1164" spans="1:9" ht="15.75" thickBot="1" x14ac:dyDescent="0.3">
      <c r="A1164" s="43" t="s">
        <v>4056</v>
      </c>
      <c r="B1164" s="21" t="s">
        <v>4057</v>
      </c>
      <c r="C1164" s="21" t="s">
        <v>22682</v>
      </c>
      <c r="D1164" s="22">
        <v>46034</v>
      </c>
      <c r="E1164" s="23" t="s">
        <v>22656</v>
      </c>
      <c r="F1164" s="24" t="s">
        <v>22657</v>
      </c>
      <c r="G1164" s="25">
        <v>4</v>
      </c>
      <c r="H1164" s="26"/>
      <c r="I1164" s="27"/>
    </row>
    <row r="1165" spans="1:9" ht="15.75" thickBot="1" x14ac:dyDescent="0.3">
      <c r="A1165" s="43" t="s">
        <v>4058</v>
      </c>
      <c r="B1165" s="21" t="s">
        <v>4059</v>
      </c>
      <c r="C1165" s="21" t="s">
        <v>22672</v>
      </c>
      <c r="D1165" s="22">
        <v>46034</v>
      </c>
      <c r="E1165" s="23" t="s">
        <v>22658</v>
      </c>
      <c r="F1165" s="24" t="s">
        <v>22657</v>
      </c>
      <c r="G1165" s="25">
        <v>4</v>
      </c>
      <c r="H1165" s="29"/>
      <c r="I1165" s="30"/>
    </row>
    <row r="1166" spans="1:9" ht="15.75" thickBot="1" x14ac:dyDescent="0.3">
      <c r="A1166" s="43" t="s">
        <v>4060</v>
      </c>
      <c r="B1166" s="21" t="s">
        <v>4061</v>
      </c>
      <c r="C1166" s="21" t="s">
        <v>22672</v>
      </c>
      <c r="D1166" s="22">
        <v>46034</v>
      </c>
      <c r="E1166" s="23" t="s">
        <v>22658</v>
      </c>
      <c r="F1166" s="24" t="s">
        <v>22657</v>
      </c>
      <c r="G1166" s="25">
        <v>4</v>
      </c>
      <c r="H1166" s="26"/>
      <c r="I1166" s="27"/>
    </row>
    <row r="1167" spans="1:9" ht="15.75" thickBot="1" x14ac:dyDescent="0.3">
      <c r="A1167" s="43" t="s">
        <v>4062</v>
      </c>
      <c r="B1167" s="21" t="s">
        <v>4063</v>
      </c>
      <c r="C1167" s="21" t="s">
        <v>22682</v>
      </c>
      <c r="D1167" s="22">
        <v>46034</v>
      </c>
      <c r="E1167" s="23" t="s">
        <v>22656</v>
      </c>
      <c r="F1167" s="24" t="s">
        <v>22657</v>
      </c>
      <c r="G1167" s="25">
        <v>4</v>
      </c>
      <c r="H1167" s="29"/>
      <c r="I1167" s="30"/>
    </row>
    <row r="1168" spans="1:9" ht="15.75" thickBot="1" x14ac:dyDescent="0.3">
      <c r="A1168" s="43" t="s">
        <v>4064</v>
      </c>
      <c r="B1168" s="21" t="s">
        <v>4065</v>
      </c>
      <c r="C1168" s="21" t="s">
        <v>22682</v>
      </c>
      <c r="D1168" s="22">
        <v>46034</v>
      </c>
      <c r="E1168" s="23" t="s">
        <v>22656</v>
      </c>
      <c r="F1168" s="24" t="s">
        <v>22657</v>
      </c>
      <c r="G1168" s="25">
        <v>8</v>
      </c>
      <c r="H1168" s="26"/>
      <c r="I1168" s="27"/>
    </row>
    <row r="1169" spans="1:9" ht="15.75" thickBot="1" x14ac:dyDescent="0.3">
      <c r="A1169" s="43" t="s">
        <v>4066</v>
      </c>
      <c r="B1169" s="21" t="s">
        <v>4067</v>
      </c>
      <c r="C1169" s="21" t="s">
        <v>22682</v>
      </c>
      <c r="D1169" s="22">
        <v>46034</v>
      </c>
      <c r="E1169" s="23" t="s">
        <v>22656</v>
      </c>
      <c r="F1169" s="24" t="s">
        <v>22657</v>
      </c>
      <c r="G1169" s="25">
        <v>4</v>
      </c>
      <c r="H1169" s="29"/>
      <c r="I1169" s="30"/>
    </row>
    <row r="1170" spans="1:9" ht="15.75" thickBot="1" x14ac:dyDescent="0.3">
      <c r="A1170" s="43" t="s">
        <v>4068</v>
      </c>
      <c r="B1170" s="21" t="s">
        <v>4069</v>
      </c>
      <c r="C1170" s="21" t="s">
        <v>22682</v>
      </c>
      <c r="D1170" s="22">
        <v>46034</v>
      </c>
      <c r="E1170" s="23" t="s">
        <v>22656</v>
      </c>
      <c r="F1170" s="24" t="s">
        <v>22657</v>
      </c>
      <c r="G1170" s="25">
        <v>5</v>
      </c>
      <c r="H1170" s="26"/>
      <c r="I1170" s="27"/>
    </row>
    <row r="1171" spans="1:9" ht="15.75" thickBot="1" x14ac:dyDescent="0.3">
      <c r="A1171" s="43" t="s">
        <v>4070</v>
      </c>
      <c r="B1171" s="21" t="s">
        <v>4071</v>
      </c>
      <c r="C1171" s="21" t="s">
        <v>22682</v>
      </c>
      <c r="D1171" s="22">
        <v>46034</v>
      </c>
      <c r="E1171" s="23" t="s">
        <v>22656</v>
      </c>
      <c r="F1171" s="24" t="s">
        <v>22657</v>
      </c>
      <c r="G1171" s="25">
        <v>4</v>
      </c>
      <c r="H1171" s="29"/>
      <c r="I1171" s="30"/>
    </row>
    <row r="1172" spans="1:9" ht="15.75" thickBot="1" x14ac:dyDescent="0.3">
      <c r="A1172" s="43" t="s">
        <v>4072</v>
      </c>
      <c r="B1172" s="21" t="s">
        <v>4073</v>
      </c>
      <c r="C1172" s="21" t="s">
        <v>22682</v>
      </c>
      <c r="D1172" s="22">
        <v>46034</v>
      </c>
      <c r="E1172" s="23" t="s">
        <v>22656</v>
      </c>
      <c r="F1172" s="24" t="s">
        <v>22657</v>
      </c>
      <c r="G1172" s="25">
        <v>4</v>
      </c>
      <c r="H1172" s="26"/>
      <c r="I1172" s="27"/>
    </row>
    <row r="1173" spans="1:9" ht="15.75" thickBot="1" x14ac:dyDescent="0.3">
      <c r="A1173" s="43" t="s">
        <v>4074</v>
      </c>
      <c r="B1173" s="21" t="s">
        <v>4075</v>
      </c>
      <c r="C1173" s="21" t="s">
        <v>22682</v>
      </c>
      <c r="D1173" s="22">
        <v>46034</v>
      </c>
      <c r="E1173" s="23" t="s">
        <v>22661</v>
      </c>
      <c r="F1173" s="24" t="s">
        <v>22657</v>
      </c>
      <c r="G1173" s="25">
        <v>9</v>
      </c>
      <c r="H1173" s="29"/>
      <c r="I1173" s="30"/>
    </row>
    <row r="1174" spans="1:9" ht="15.75" thickBot="1" x14ac:dyDescent="0.3">
      <c r="A1174" s="43" t="s">
        <v>4076</v>
      </c>
      <c r="B1174" s="21" t="s">
        <v>4077</v>
      </c>
      <c r="C1174" s="21" t="s">
        <v>22682</v>
      </c>
      <c r="D1174" s="22">
        <v>46034</v>
      </c>
      <c r="E1174" s="23" t="s">
        <v>22656</v>
      </c>
      <c r="F1174" s="24" t="s">
        <v>22657</v>
      </c>
      <c r="G1174" s="25">
        <v>4</v>
      </c>
      <c r="H1174" s="26"/>
      <c r="I1174" s="27"/>
    </row>
    <row r="1175" spans="1:9" ht="15.75" thickBot="1" x14ac:dyDescent="0.3">
      <c r="A1175" s="43" t="s">
        <v>4078</v>
      </c>
      <c r="B1175" s="21" t="s">
        <v>4079</v>
      </c>
      <c r="C1175" s="21" t="s">
        <v>22672</v>
      </c>
      <c r="D1175" s="31" t="s">
        <v>22673</v>
      </c>
      <c r="E1175" s="23" t="s">
        <v>22656</v>
      </c>
      <c r="F1175" s="24" t="s">
        <v>22657</v>
      </c>
      <c r="G1175" s="25">
        <v>12</v>
      </c>
      <c r="H1175" s="29"/>
      <c r="I1175" s="30"/>
    </row>
    <row r="1176" spans="1:9" ht="15.75" thickBot="1" x14ac:dyDescent="0.3">
      <c r="A1176" s="43" t="s">
        <v>4080</v>
      </c>
      <c r="B1176" s="21" t="s">
        <v>4081</v>
      </c>
      <c r="C1176" s="21" t="s">
        <v>22746</v>
      </c>
      <c r="D1176" s="31" t="s">
        <v>22747</v>
      </c>
      <c r="E1176" s="23" t="s">
        <v>22658</v>
      </c>
      <c r="F1176" s="24" t="s">
        <v>22657</v>
      </c>
      <c r="G1176" s="25">
        <v>34</v>
      </c>
      <c r="H1176" s="26"/>
      <c r="I1176" s="27"/>
    </row>
    <row r="1177" spans="1:9" ht="15.75" thickBot="1" x14ac:dyDescent="0.3">
      <c r="A1177" s="43" t="s">
        <v>4082</v>
      </c>
      <c r="B1177" s="21" t="s">
        <v>4083</v>
      </c>
      <c r="C1177" s="21" t="s">
        <v>22725</v>
      </c>
      <c r="D1177" s="31" t="s">
        <v>22745</v>
      </c>
      <c r="E1177" s="23" t="s">
        <v>22656</v>
      </c>
      <c r="F1177" s="24" t="s">
        <v>22657</v>
      </c>
      <c r="G1177" s="25">
        <v>4</v>
      </c>
      <c r="H1177" s="29"/>
      <c r="I1177" s="30"/>
    </row>
    <row r="1178" spans="1:9" ht="15.75" thickBot="1" x14ac:dyDescent="0.3">
      <c r="A1178" s="43" t="s">
        <v>4084</v>
      </c>
      <c r="B1178" s="21" t="s">
        <v>4085</v>
      </c>
      <c r="C1178" s="21" t="s">
        <v>22725</v>
      </c>
      <c r="D1178" s="31" t="s">
        <v>22748</v>
      </c>
      <c r="E1178" s="23" t="s">
        <v>22656</v>
      </c>
      <c r="F1178" s="24" t="s">
        <v>22657</v>
      </c>
      <c r="G1178" s="25">
        <v>43</v>
      </c>
      <c r="H1178" s="26"/>
      <c r="I1178" s="27"/>
    </row>
    <row r="1179" spans="1:9" ht="15.75" thickBot="1" x14ac:dyDescent="0.3">
      <c r="A1179" s="43" t="s">
        <v>4086</v>
      </c>
      <c r="B1179" s="21" t="s">
        <v>4087</v>
      </c>
      <c r="C1179" s="21" t="s">
        <v>22725</v>
      </c>
      <c r="D1179" s="31" t="s">
        <v>22749</v>
      </c>
      <c r="E1179" s="23" t="s">
        <v>22656</v>
      </c>
      <c r="F1179" s="24" t="s">
        <v>22657</v>
      </c>
      <c r="G1179" s="25">
        <v>8</v>
      </c>
      <c r="H1179" s="29"/>
      <c r="I1179" s="30"/>
    </row>
    <row r="1180" spans="1:9" ht="15.75" thickBot="1" x14ac:dyDescent="0.3">
      <c r="A1180" s="43" t="s">
        <v>4088</v>
      </c>
      <c r="B1180" s="21" t="s">
        <v>4089</v>
      </c>
      <c r="C1180" s="21" t="s">
        <v>22746</v>
      </c>
      <c r="D1180" s="31" t="s">
        <v>22670</v>
      </c>
      <c r="E1180" s="23" t="s">
        <v>22656</v>
      </c>
      <c r="F1180" s="24" t="s">
        <v>22657</v>
      </c>
      <c r="G1180" s="25">
        <v>34</v>
      </c>
      <c r="H1180" s="26"/>
      <c r="I1180" s="27"/>
    </row>
    <row r="1181" spans="1:9" ht="15.75" thickBot="1" x14ac:dyDescent="0.3">
      <c r="A1181" s="43" t="s">
        <v>4090</v>
      </c>
      <c r="B1181" s="21" t="s">
        <v>4091</v>
      </c>
      <c r="C1181" s="21" t="s">
        <v>22746</v>
      </c>
      <c r="D1181" s="31" t="s">
        <v>22670</v>
      </c>
      <c r="E1181" s="23" t="s">
        <v>22656</v>
      </c>
      <c r="F1181" s="24" t="s">
        <v>22657</v>
      </c>
      <c r="G1181" s="25">
        <v>34</v>
      </c>
      <c r="H1181" s="29"/>
      <c r="I1181" s="30"/>
    </row>
    <row r="1182" spans="1:9" ht="15.75" thickBot="1" x14ac:dyDescent="0.3">
      <c r="A1182" s="43" t="s">
        <v>4092</v>
      </c>
      <c r="B1182" s="21" t="s">
        <v>4093</v>
      </c>
      <c r="C1182" s="21" t="s">
        <v>22746</v>
      </c>
      <c r="D1182" s="31" t="s">
        <v>22670</v>
      </c>
      <c r="E1182" s="23" t="s">
        <v>22658</v>
      </c>
      <c r="F1182" s="24" t="s">
        <v>22657</v>
      </c>
      <c r="G1182" s="25">
        <v>34</v>
      </c>
      <c r="H1182" s="26"/>
      <c r="I1182" s="27"/>
    </row>
    <row r="1183" spans="1:9" ht="15.75" thickBot="1" x14ac:dyDescent="0.3">
      <c r="A1183" s="43" t="s">
        <v>4094</v>
      </c>
      <c r="B1183" s="21" t="s">
        <v>4095</v>
      </c>
      <c r="C1183" s="21" t="s">
        <v>22672</v>
      </c>
      <c r="D1183" s="31" t="s">
        <v>22673</v>
      </c>
      <c r="E1183" s="23" t="s">
        <v>22658</v>
      </c>
      <c r="F1183" s="24" t="s">
        <v>22657</v>
      </c>
      <c r="G1183" s="25">
        <v>4</v>
      </c>
      <c r="H1183" s="29"/>
      <c r="I1183" s="30"/>
    </row>
    <row r="1184" spans="1:9" ht="15.75" thickBot="1" x14ac:dyDescent="0.3">
      <c r="A1184" s="43" t="s">
        <v>4096</v>
      </c>
      <c r="B1184" s="21" t="s">
        <v>4097</v>
      </c>
      <c r="C1184" s="21" t="s">
        <v>22672</v>
      </c>
      <c r="D1184" s="31" t="s">
        <v>22673</v>
      </c>
      <c r="E1184" s="23" t="s">
        <v>22658</v>
      </c>
      <c r="F1184" s="24" t="s">
        <v>22657</v>
      </c>
      <c r="G1184" s="25">
        <v>4</v>
      </c>
      <c r="H1184" s="26"/>
      <c r="I1184" s="27"/>
    </row>
    <row r="1185" spans="1:9" ht="15.75" thickBot="1" x14ac:dyDescent="0.3">
      <c r="A1185" s="43" t="s">
        <v>4098</v>
      </c>
      <c r="B1185" s="21" t="s">
        <v>4099</v>
      </c>
      <c r="C1185" s="21" t="s">
        <v>22672</v>
      </c>
      <c r="D1185" s="31" t="s">
        <v>22673</v>
      </c>
      <c r="E1185" s="23" t="s">
        <v>22658</v>
      </c>
      <c r="F1185" s="24" t="s">
        <v>22657</v>
      </c>
      <c r="G1185" s="25">
        <v>4</v>
      </c>
      <c r="H1185" s="29"/>
      <c r="I1185" s="30"/>
    </row>
    <row r="1186" spans="1:9" ht="15.75" thickBot="1" x14ac:dyDescent="0.3">
      <c r="A1186" s="43" t="s">
        <v>4100</v>
      </c>
      <c r="B1186" s="21" t="s">
        <v>4101</v>
      </c>
      <c r="C1186" s="21" t="s">
        <v>22672</v>
      </c>
      <c r="D1186" s="31" t="s">
        <v>22673</v>
      </c>
      <c r="E1186" s="23" t="s">
        <v>22658</v>
      </c>
      <c r="F1186" s="24" t="s">
        <v>22657</v>
      </c>
      <c r="G1186" s="25">
        <v>4</v>
      </c>
      <c r="H1186" s="26"/>
      <c r="I1186" s="27"/>
    </row>
    <row r="1187" spans="1:9" ht="15.75" thickBot="1" x14ac:dyDescent="0.3">
      <c r="A1187" s="43" t="s">
        <v>4102</v>
      </c>
      <c r="B1187" s="21" t="s">
        <v>4103</v>
      </c>
      <c r="C1187" s="21" t="s">
        <v>22672</v>
      </c>
      <c r="D1187" s="31" t="s">
        <v>22683</v>
      </c>
      <c r="E1187" s="23" t="s">
        <v>22658</v>
      </c>
      <c r="F1187" s="24" t="s">
        <v>22657</v>
      </c>
      <c r="G1187" s="25">
        <v>4</v>
      </c>
      <c r="H1187" s="29"/>
      <c r="I1187" s="30"/>
    </row>
    <row r="1188" spans="1:9" ht="15.75" thickBot="1" x14ac:dyDescent="0.3">
      <c r="A1188" s="43" t="s">
        <v>4104</v>
      </c>
      <c r="B1188" s="21" t="s">
        <v>4105</v>
      </c>
      <c r="C1188" s="21" t="s">
        <v>22672</v>
      </c>
      <c r="D1188" s="31" t="s">
        <v>22683</v>
      </c>
      <c r="E1188" s="23" t="s">
        <v>22658</v>
      </c>
      <c r="F1188" s="24" t="s">
        <v>22657</v>
      </c>
      <c r="G1188" s="25">
        <v>4</v>
      </c>
      <c r="H1188" s="26"/>
      <c r="I1188" s="27"/>
    </row>
    <row r="1189" spans="1:9" ht="15.75" thickBot="1" x14ac:dyDescent="0.3">
      <c r="A1189" s="43" t="s">
        <v>4106</v>
      </c>
      <c r="B1189" s="21" t="s">
        <v>4107</v>
      </c>
      <c r="C1189" s="21" t="s">
        <v>22672</v>
      </c>
      <c r="D1189" s="31" t="s">
        <v>22683</v>
      </c>
      <c r="E1189" s="23" t="s">
        <v>22658</v>
      </c>
      <c r="F1189" s="24" t="s">
        <v>22657</v>
      </c>
      <c r="G1189" s="25">
        <v>4</v>
      </c>
      <c r="H1189" s="29"/>
      <c r="I1189" s="30"/>
    </row>
    <row r="1190" spans="1:9" ht="15.75" thickBot="1" x14ac:dyDescent="0.3">
      <c r="A1190" s="43" t="s">
        <v>4108</v>
      </c>
      <c r="B1190" s="21" t="s">
        <v>4109</v>
      </c>
      <c r="C1190" s="21" t="s">
        <v>22663</v>
      </c>
      <c r="D1190" s="31">
        <v>1</v>
      </c>
      <c r="E1190" s="23" t="s">
        <v>22656</v>
      </c>
      <c r="F1190" s="24" t="s">
        <v>22657</v>
      </c>
      <c r="G1190" s="25">
        <v>4</v>
      </c>
      <c r="H1190" s="26"/>
      <c r="I1190" s="27"/>
    </row>
    <row r="1191" spans="1:9" ht="15.75" thickBot="1" x14ac:dyDescent="0.3">
      <c r="A1191" s="43" t="s">
        <v>4110</v>
      </c>
      <c r="B1191" s="21" t="s">
        <v>4111</v>
      </c>
      <c r="C1191" s="21" t="s">
        <v>22663</v>
      </c>
      <c r="D1191" s="31">
        <v>1</v>
      </c>
      <c r="E1191" s="23" t="s">
        <v>22658</v>
      </c>
      <c r="F1191" s="24" t="s">
        <v>22657</v>
      </c>
      <c r="G1191" s="25">
        <v>4</v>
      </c>
      <c r="H1191" s="29"/>
      <c r="I1191" s="30"/>
    </row>
    <row r="1192" spans="1:9" ht="15.75" thickBot="1" x14ac:dyDescent="0.3">
      <c r="A1192" s="43" t="s">
        <v>4112</v>
      </c>
      <c r="B1192" s="21" t="s">
        <v>4113</v>
      </c>
      <c r="C1192" s="21" t="s">
        <v>22672</v>
      </c>
      <c r="D1192" s="31" t="s">
        <v>22673</v>
      </c>
      <c r="E1192" s="23" t="s">
        <v>22656</v>
      </c>
      <c r="F1192" s="24" t="s">
        <v>22657</v>
      </c>
      <c r="G1192" s="25">
        <v>4</v>
      </c>
      <c r="H1192" s="26"/>
      <c r="I1192" s="27"/>
    </row>
    <row r="1193" spans="1:9" ht="15.75" thickBot="1" x14ac:dyDescent="0.3">
      <c r="A1193" s="43" t="s">
        <v>4114</v>
      </c>
      <c r="B1193" s="21" t="s">
        <v>4115</v>
      </c>
      <c r="C1193" s="21" t="s">
        <v>22672</v>
      </c>
      <c r="D1193" s="31" t="s">
        <v>22683</v>
      </c>
      <c r="E1193" s="23" t="s">
        <v>22658</v>
      </c>
      <c r="F1193" s="24" t="s">
        <v>22657</v>
      </c>
      <c r="G1193" s="25">
        <v>4</v>
      </c>
      <c r="H1193" s="29"/>
      <c r="I1193" s="30"/>
    </row>
    <row r="1194" spans="1:9" ht="15.75" thickBot="1" x14ac:dyDescent="0.3">
      <c r="A1194" s="43" t="s">
        <v>4116</v>
      </c>
      <c r="B1194" s="21" t="s">
        <v>4117</v>
      </c>
      <c r="C1194" s="21" t="s">
        <v>22672</v>
      </c>
      <c r="D1194" s="31" t="s">
        <v>22683</v>
      </c>
      <c r="E1194" s="23" t="s">
        <v>22658</v>
      </c>
      <c r="F1194" s="24" t="s">
        <v>22657</v>
      </c>
      <c r="G1194" s="25">
        <v>4</v>
      </c>
      <c r="H1194" s="26"/>
      <c r="I1194" s="27"/>
    </row>
    <row r="1195" spans="1:9" ht="15.75" thickBot="1" x14ac:dyDescent="0.3">
      <c r="A1195" s="43" t="s">
        <v>4118</v>
      </c>
      <c r="B1195" s="21" t="s">
        <v>4119</v>
      </c>
      <c r="C1195" s="21" t="s">
        <v>22672</v>
      </c>
      <c r="D1195" s="31" t="s">
        <v>22683</v>
      </c>
      <c r="E1195" s="23" t="s">
        <v>22658</v>
      </c>
      <c r="F1195" s="24" t="s">
        <v>22657</v>
      </c>
      <c r="G1195" s="25">
        <v>4</v>
      </c>
      <c r="H1195" s="29"/>
      <c r="I1195" s="30"/>
    </row>
    <row r="1196" spans="1:9" ht="15.75" thickBot="1" x14ac:dyDescent="0.3">
      <c r="A1196" s="43" t="s">
        <v>4120</v>
      </c>
      <c r="B1196" s="21" t="s">
        <v>4121</v>
      </c>
      <c r="C1196" s="21" t="s">
        <v>22672</v>
      </c>
      <c r="D1196" s="31" t="s">
        <v>22683</v>
      </c>
      <c r="E1196" s="23" t="s">
        <v>22656</v>
      </c>
      <c r="F1196" s="24" t="s">
        <v>22657</v>
      </c>
      <c r="G1196" s="25">
        <v>4</v>
      </c>
      <c r="H1196" s="26"/>
      <c r="I1196" s="27"/>
    </row>
    <row r="1197" spans="1:9" ht="15.75" thickBot="1" x14ac:dyDescent="0.3">
      <c r="A1197" s="43" t="s">
        <v>4122</v>
      </c>
      <c r="B1197" s="21" t="s">
        <v>4123</v>
      </c>
      <c r="C1197" s="21" t="s">
        <v>22672</v>
      </c>
      <c r="D1197" s="31" t="s">
        <v>22683</v>
      </c>
      <c r="E1197" s="23" t="s">
        <v>22656</v>
      </c>
      <c r="F1197" s="24" t="s">
        <v>22657</v>
      </c>
      <c r="G1197" s="25">
        <v>34</v>
      </c>
      <c r="H1197" s="29"/>
      <c r="I1197" s="30"/>
    </row>
    <row r="1198" spans="1:9" ht="15.75" thickBot="1" x14ac:dyDescent="0.3">
      <c r="A1198" s="43" t="s">
        <v>4124</v>
      </c>
      <c r="B1198" s="21" t="s">
        <v>4125</v>
      </c>
      <c r="C1198" s="21" t="s">
        <v>22725</v>
      </c>
      <c r="D1198" s="31" t="s">
        <v>22683</v>
      </c>
      <c r="E1198" s="23" t="s">
        <v>22656</v>
      </c>
      <c r="F1198" s="24" t="s">
        <v>22657</v>
      </c>
      <c r="G1198" s="25">
        <v>93</v>
      </c>
      <c r="H1198" s="26"/>
      <c r="I1198" s="27"/>
    </row>
    <row r="1199" spans="1:9" ht="15.75" thickBot="1" x14ac:dyDescent="0.3">
      <c r="A1199" s="43" t="s">
        <v>4126</v>
      </c>
      <c r="B1199" s="21" t="s">
        <v>4127</v>
      </c>
      <c r="C1199" s="21" t="s">
        <v>22746</v>
      </c>
      <c r="D1199" s="31" t="s">
        <v>22747</v>
      </c>
      <c r="E1199" s="23" t="s">
        <v>22658</v>
      </c>
      <c r="F1199" s="24" t="s">
        <v>22657</v>
      </c>
      <c r="G1199" s="25">
        <v>34</v>
      </c>
      <c r="H1199" s="29"/>
      <c r="I1199" s="30"/>
    </row>
    <row r="1200" spans="1:9" ht="15.75" thickBot="1" x14ac:dyDescent="0.3">
      <c r="A1200" s="43" t="s">
        <v>4128</v>
      </c>
      <c r="B1200" s="21" t="s">
        <v>4129</v>
      </c>
      <c r="C1200" s="21" t="s">
        <v>22746</v>
      </c>
      <c r="D1200" s="31" t="s">
        <v>22747</v>
      </c>
      <c r="E1200" s="23" t="s">
        <v>22658</v>
      </c>
      <c r="F1200" s="24" t="s">
        <v>22657</v>
      </c>
      <c r="G1200" s="25">
        <v>34</v>
      </c>
      <c r="H1200" s="26"/>
      <c r="I1200" s="27"/>
    </row>
    <row r="1201" spans="1:9" ht="15.75" thickBot="1" x14ac:dyDescent="0.3">
      <c r="A1201" s="43" t="s">
        <v>4130</v>
      </c>
      <c r="B1201" s="21" t="s">
        <v>4131</v>
      </c>
      <c r="C1201" s="21" t="s">
        <v>22746</v>
      </c>
      <c r="D1201" s="31" t="s">
        <v>22747</v>
      </c>
      <c r="E1201" s="23" t="s">
        <v>22661</v>
      </c>
      <c r="F1201" s="24" t="s">
        <v>22657</v>
      </c>
      <c r="G1201" s="25">
        <v>167</v>
      </c>
      <c r="H1201" s="29"/>
      <c r="I1201" s="30"/>
    </row>
    <row r="1202" spans="1:9" ht="15.75" thickBot="1" x14ac:dyDescent="0.3">
      <c r="A1202" s="43" t="s">
        <v>4132</v>
      </c>
      <c r="B1202" s="21" t="s">
        <v>4133</v>
      </c>
      <c r="C1202" s="21" t="s">
        <v>22746</v>
      </c>
      <c r="D1202" s="31" t="s">
        <v>22747</v>
      </c>
      <c r="E1202" s="23" t="s">
        <v>22658</v>
      </c>
      <c r="F1202" s="24" t="s">
        <v>22657</v>
      </c>
      <c r="G1202" s="25">
        <v>34</v>
      </c>
      <c r="H1202" s="26"/>
      <c r="I1202" s="27"/>
    </row>
    <row r="1203" spans="1:9" ht="15.75" thickBot="1" x14ac:dyDescent="0.3">
      <c r="A1203" s="43" t="s">
        <v>4134</v>
      </c>
      <c r="B1203" s="21" t="s">
        <v>4135</v>
      </c>
      <c r="C1203" s="21" t="s">
        <v>22672</v>
      </c>
      <c r="D1203" s="31" t="s">
        <v>22683</v>
      </c>
      <c r="E1203" s="23" t="s">
        <v>22658</v>
      </c>
      <c r="F1203" s="24" t="s">
        <v>22657</v>
      </c>
      <c r="G1203" s="25">
        <v>34</v>
      </c>
      <c r="H1203" s="29"/>
      <c r="I1203" s="30"/>
    </row>
    <row r="1204" spans="1:9" ht="15.75" thickBot="1" x14ac:dyDescent="0.3">
      <c r="A1204" s="43" t="s">
        <v>4136</v>
      </c>
      <c r="B1204" s="21" t="s">
        <v>4137</v>
      </c>
      <c r="C1204" s="21" t="s">
        <v>22672</v>
      </c>
      <c r="D1204" s="31" t="s">
        <v>22683</v>
      </c>
      <c r="E1204" s="23" t="s">
        <v>22656</v>
      </c>
      <c r="F1204" s="24" t="s">
        <v>22657</v>
      </c>
      <c r="G1204" s="25">
        <v>38</v>
      </c>
      <c r="H1204" s="26"/>
      <c r="I1204" s="27"/>
    </row>
    <row r="1205" spans="1:9" ht="15.75" thickBot="1" x14ac:dyDescent="0.3">
      <c r="A1205" s="43" t="s">
        <v>4138</v>
      </c>
      <c r="B1205" s="21" t="s">
        <v>4139</v>
      </c>
      <c r="C1205" s="21" t="s">
        <v>22672</v>
      </c>
      <c r="D1205" s="31" t="s">
        <v>22683</v>
      </c>
      <c r="E1205" s="23" t="s">
        <v>22658</v>
      </c>
      <c r="F1205" s="24" t="s">
        <v>22657</v>
      </c>
      <c r="G1205" s="25">
        <v>34</v>
      </c>
      <c r="H1205" s="29"/>
      <c r="I1205" s="30"/>
    </row>
    <row r="1206" spans="1:9" ht="15.75" thickBot="1" x14ac:dyDescent="0.3">
      <c r="A1206" s="43" t="s">
        <v>4140</v>
      </c>
      <c r="B1206" s="21" t="s">
        <v>4141</v>
      </c>
      <c r="C1206" s="21" t="s">
        <v>22672</v>
      </c>
      <c r="D1206" s="31" t="s">
        <v>22683</v>
      </c>
      <c r="E1206" s="23" t="s">
        <v>22656</v>
      </c>
      <c r="F1206" s="24" t="s">
        <v>22657</v>
      </c>
      <c r="G1206" s="25">
        <v>70</v>
      </c>
      <c r="H1206" s="26"/>
      <c r="I1206" s="27"/>
    </row>
    <row r="1207" spans="1:9" ht="15.75" thickBot="1" x14ac:dyDescent="0.3">
      <c r="A1207" s="43" t="s">
        <v>4142</v>
      </c>
      <c r="B1207" s="21" t="s">
        <v>4143</v>
      </c>
      <c r="C1207" s="21" t="s">
        <v>22672</v>
      </c>
      <c r="D1207" s="31" t="s">
        <v>22683</v>
      </c>
      <c r="E1207" s="23" t="s">
        <v>22656</v>
      </c>
      <c r="F1207" s="24" t="s">
        <v>22657</v>
      </c>
      <c r="G1207" s="25">
        <v>163</v>
      </c>
      <c r="H1207" s="29"/>
      <c r="I1207" s="30"/>
    </row>
    <row r="1208" spans="1:9" ht="15.75" thickBot="1" x14ac:dyDescent="0.3">
      <c r="A1208" s="43" t="s">
        <v>4144</v>
      </c>
      <c r="B1208" s="21" t="s">
        <v>4145</v>
      </c>
      <c r="C1208" s="21" t="s">
        <v>22750</v>
      </c>
      <c r="D1208" s="31" t="s">
        <v>22751</v>
      </c>
      <c r="E1208" s="23" t="s">
        <v>22656</v>
      </c>
      <c r="F1208" s="24" t="s">
        <v>22657</v>
      </c>
      <c r="G1208" s="25">
        <v>281</v>
      </c>
      <c r="H1208" s="26"/>
      <c r="I1208" s="27"/>
    </row>
    <row r="1209" spans="1:9" ht="15.75" thickBot="1" x14ac:dyDescent="0.3">
      <c r="A1209" s="43" t="s">
        <v>4146</v>
      </c>
      <c r="B1209" s="21" t="s">
        <v>4147</v>
      </c>
      <c r="C1209" s="21" t="s">
        <v>22750</v>
      </c>
      <c r="D1209" s="31" t="s">
        <v>22751</v>
      </c>
      <c r="E1209" s="23" t="s">
        <v>22656</v>
      </c>
      <c r="F1209" s="24" t="s">
        <v>22657</v>
      </c>
      <c r="G1209" s="25">
        <v>240</v>
      </c>
      <c r="H1209" s="29"/>
      <c r="I1209" s="30"/>
    </row>
    <row r="1210" spans="1:9" ht="15.75" thickBot="1" x14ac:dyDescent="0.3">
      <c r="A1210" s="43" t="s">
        <v>4148</v>
      </c>
      <c r="B1210" s="21" t="s">
        <v>4149</v>
      </c>
      <c r="C1210" s="21" t="s">
        <v>22750</v>
      </c>
      <c r="D1210" s="31" t="s">
        <v>22751</v>
      </c>
      <c r="E1210" s="23" t="s">
        <v>22658</v>
      </c>
      <c r="F1210" s="24" t="s">
        <v>22657</v>
      </c>
      <c r="G1210" s="25">
        <v>167</v>
      </c>
      <c r="H1210" s="26"/>
      <c r="I1210" s="27"/>
    </row>
    <row r="1211" spans="1:9" ht="15.75" thickBot="1" x14ac:dyDescent="0.3">
      <c r="A1211" s="43" t="s">
        <v>4150</v>
      </c>
      <c r="B1211" s="21" t="s">
        <v>4151</v>
      </c>
      <c r="C1211" s="21" t="s">
        <v>22752</v>
      </c>
      <c r="D1211" s="31" t="s">
        <v>22747</v>
      </c>
      <c r="E1211" s="23" t="s">
        <v>22656</v>
      </c>
      <c r="F1211" s="24" t="s">
        <v>22657</v>
      </c>
      <c r="G1211" s="25">
        <v>34</v>
      </c>
      <c r="H1211" s="29"/>
      <c r="I1211" s="30"/>
    </row>
    <row r="1212" spans="1:9" ht="15.75" thickBot="1" x14ac:dyDescent="0.3">
      <c r="A1212" s="43" t="s">
        <v>4152</v>
      </c>
      <c r="B1212" s="21" t="s">
        <v>4153</v>
      </c>
      <c r="C1212" s="21" t="s">
        <v>22672</v>
      </c>
      <c r="D1212" s="31" t="s">
        <v>22683</v>
      </c>
      <c r="E1212" s="23" t="s">
        <v>22658</v>
      </c>
      <c r="F1212" s="24" t="s">
        <v>22657</v>
      </c>
      <c r="G1212" s="25">
        <v>34</v>
      </c>
      <c r="H1212" s="26"/>
      <c r="I1212" s="27"/>
    </row>
    <row r="1213" spans="1:9" ht="15.75" thickBot="1" x14ac:dyDescent="0.3">
      <c r="A1213" s="43" t="s">
        <v>4154</v>
      </c>
      <c r="B1213" s="21" t="s">
        <v>4155</v>
      </c>
      <c r="C1213" s="21" t="s">
        <v>22725</v>
      </c>
      <c r="D1213" s="31" t="s">
        <v>22753</v>
      </c>
      <c r="E1213" s="23" t="s">
        <v>22658</v>
      </c>
      <c r="F1213" s="24" t="s">
        <v>22657</v>
      </c>
      <c r="G1213" s="25">
        <v>34</v>
      </c>
      <c r="H1213" s="29"/>
      <c r="I1213" s="30"/>
    </row>
    <row r="1214" spans="1:9" ht="15.75" thickBot="1" x14ac:dyDescent="0.3">
      <c r="A1214" s="43" t="s">
        <v>4156</v>
      </c>
      <c r="B1214" s="21" t="s">
        <v>4157</v>
      </c>
      <c r="C1214" s="21" t="s">
        <v>22750</v>
      </c>
      <c r="D1214" s="31" t="s">
        <v>22751</v>
      </c>
      <c r="E1214" s="23" t="s">
        <v>22656</v>
      </c>
      <c r="F1214" s="24" t="s">
        <v>22657</v>
      </c>
      <c r="G1214" s="25">
        <v>167</v>
      </c>
      <c r="H1214" s="26"/>
      <c r="I1214" s="27"/>
    </row>
    <row r="1215" spans="1:9" ht="15.75" thickBot="1" x14ac:dyDescent="0.3">
      <c r="A1215" s="43" t="s">
        <v>4158</v>
      </c>
      <c r="B1215" s="21" t="s">
        <v>4159</v>
      </c>
      <c r="C1215" s="21" t="s">
        <v>22750</v>
      </c>
      <c r="D1215" s="31" t="s">
        <v>22751</v>
      </c>
      <c r="E1215" s="23" t="s">
        <v>22658</v>
      </c>
      <c r="F1215" s="24" t="s">
        <v>22657</v>
      </c>
      <c r="G1215" s="25">
        <v>167</v>
      </c>
      <c r="H1215" s="29"/>
      <c r="I1215" s="30"/>
    </row>
    <row r="1216" spans="1:9" ht="15.75" thickBot="1" x14ac:dyDescent="0.3">
      <c r="A1216" s="43" t="s">
        <v>4160</v>
      </c>
      <c r="B1216" s="21" t="s">
        <v>4161</v>
      </c>
      <c r="C1216" s="21" t="s">
        <v>22750</v>
      </c>
      <c r="D1216" s="31" t="s">
        <v>22751</v>
      </c>
      <c r="E1216" s="23" t="s">
        <v>22656</v>
      </c>
      <c r="F1216" s="24" t="s">
        <v>22657</v>
      </c>
      <c r="G1216" s="25">
        <v>167</v>
      </c>
      <c r="H1216" s="26"/>
      <c r="I1216" s="27"/>
    </row>
    <row r="1217" spans="1:9" ht="15.75" thickBot="1" x14ac:dyDescent="0.3">
      <c r="A1217" s="43" t="s">
        <v>4162</v>
      </c>
      <c r="B1217" s="21" t="s">
        <v>4163</v>
      </c>
      <c r="C1217" s="21" t="s">
        <v>22750</v>
      </c>
      <c r="D1217" s="31" t="s">
        <v>22751</v>
      </c>
      <c r="E1217" s="23" t="s">
        <v>22658</v>
      </c>
      <c r="F1217" s="24" t="s">
        <v>22657</v>
      </c>
      <c r="G1217" s="25">
        <v>167</v>
      </c>
      <c r="H1217" s="29"/>
      <c r="I1217" s="30"/>
    </row>
    <row r="1218" spans="1:9" ht="15.75" thickBot="1" x14ac:dyDescent="0.3">
      <c r="A1218" s="43" t="s">
        <v>4164</v>
      </c>
      <c r="B1218" s="21" t="s">
        <v>4165</v>
      </c>
      <c r="C1218" s="21" t="s">
        <v>22750</v>
      </c>
      <c r="D1218" s="31" t="s">
        <v>22751</v>
      </c>
      <c r="E1218" s="23" t="s">
        <v>22656</v>
      </c>
      <c r="F1218" s="24" t="s">
        <v>22657</v>
      </c>
      <c r="G1218" s="25">
        <v>167</v>
      </c>
      <c r="H1218" s="26"/>
      <c r="I1218" s="27"/>
    </row>
    <row r="1219" spans="1:9" ht="15.75" thickBot="1" x14ac:dyDescent="0.3">
      <c r="A1219" s="43" t="s">
        <v>4166</v>
      </c>
      <c r="B1219" s="21" t="s">
        <v>4167</v>
      </c>
      <c r="C1219" s="21" t="s">
        <v>22750</v>
      </c>
      <c r="D1219" s="31" t="s">
        <v>22751</v>
      </c>
      <c r="E1219" s="23" t="s">
        <v>22658</v>
      </c>
      <c r="F1219" s="24" t="s">
        <v>22657</v>
      </c>
      <c r="G1219" s="25">
        <v>167</v>
      </c>
      <c r="H1219" s="29"/>
      <c r="I1219" s="30"/>
    </row>
    <row r="1220" spans="1:9" ht="15.75" thickBot="1" x14ac:dyDescent="0.3">
      <c r="A1220" s="43" t="s">
        <v>4168</v>
      </c>
      <c r="B1220" s="21" t="s">
        <v>4169</v>
      </c>
      <c r="C1220" s="21" t="s">
        <v>22750</v>
      </c>
      <c r="D1220" s="31" t="s">
        <v>22751</v>
      </c>
      <c r="E1220" s="23" t="s">
        <v>22656</v>
      </c>
      <c r="F1220" s="24" t="s">
        <v>22657</v>
      </c>
      <c r="G1220" s="25">
        <v>167</v>
      </c>
      <c r="H1220" s="26"/>
      <c r="I1220" s="27"/>
    </row>
    <row r="1221" spans="1:9" ht="15.75" thickBot="1" x14ac:dyDescent="0.3">
      <c r="A1221" s="43" t="s">
        <v>4170</v>
      </c>
      <c r="B1221" s="21" t="s">
        <v>4171</v>
      </c>
      <c r="C1221" s="21" t="s">
        <v>22750</v>
      </c>
      <c r="D1221" s="31" t="s">
        <v>22751</v>
      </c>
      <c r="E1221" s="23" t="s">
        <v>22656</v>
      </c>
      <c r="F1221" s="24" t="s">
        <v>22657</v>
      </c>
      <c r="G1221" s="25">
        <v>167</v>
      </c>
      <c r="H1221" s="29"/>
      <c r="I1221" s="30"/>
    </row>
    <row r="1222" spans="1:9" ht="15.75" thickBot="1" x14ac:dyDescent="0.3">
      <c r="A1222" s="43" t="s">
        <v>4172</v>
      </c>
      <c r="B1222" s="21" t="s">
        <v>4173</v>
      </c>
      <c r="C1222" s="21" t="s">
        <v>22750</v>
      </c>
      <c r="D1222" s="31" t="s">
        <v>22751</v>
      </c>
      <c r="E1222" s="23" t="s">
        <v>22656</v>
      </c>
      <c r="F1222" s="24" t="s">
        <v>22657</v>
      </c>
      <c r="G1222" s="25">
        <v>167</v>
      </c>
      <c r="H1222" s="26"/>
      <c r="I1222" s="27"/>
    </row>
    <row r="1223" spans="1:9" ht="15.75" thickBot="1" x14ac:dyDescent="0.3">
      <c r="A1223" s="43" t="s">
        <v>4174</v>
      </c>
      <c r="B1223" s="21" t="s">
        <v>4175</v>
      </c>
      <c r="C1223" s="21" t="s">
        <v>22750</v>
      </c>
      <c r="D1223" s="31" t="s">
        <v>22751</v>
      </c>
      <c r="E1223" s="23" t="s">
        <v>22656</v>
      </c>
      <c r="F1223" s="24" t="s">
        <v>22657</v>
      </c>
      <c r="G1223" s="25">
        <v>34</v>
      </c>
      <c r="H1223" s="29"/>
      <c r="I1223" s="30"/>
    </row>
    <row r="1224" spans="1:9" ht="15.75" thickBot="1" x14ac:dyDescent="0.3">
      <c r="A1224" s="43" t="s">
        <v>4176</v>
      </c>
      <c r="B1224" s="21" t="s">
        <v>4177</v>
      </c>
      <c r="C1224" s="21" t="s">
        <v>22750</v>
      </c>
      <c r="D1224" s="31" t="s">
        <v>22751</v>
      </c>
      <c r="E1224" s="23" t="s">
        <v>22658</v>
      </c>
      <c r="F1224" s="24" t="s">
        <v>22657</v>
      </c>
      <c r="G1224" s="25">
        <v>167</v>
      </c>
      <c r="H1224" s="26"/>
      <c r="I1224" s="27"/>
    </row>
    <row r="1225" spans="1:9" ht="15.75" thickBot="1" x14ac:dyDescent="0.3">
      <c r="A1225" s="43" t="s">
        <v>4178</v>
      </c>
      <c r="B1225" s="21" t="s">
        <v>4179</v>
      </c>
      <c r="C1225" s="21" t="s">
        <v>22750</v>
      </c>
      <c r="D1225" s="31" t="s">
        <v>22751</v>
      </c>
      <c r="E1225" s="23" t="s">
        <v>22658</v>
      </c>
      <c r="F1225" s="24" t="s">
        <v>22657</v>
      </c>
      <c r="G1225" s="25">
        <v>167</v>
      </c>
      <c r="H1225" s="29"/>
      <c r="I1225" s="30"/>
    </row>
    <row r="1226" spans="1:9" ht="15.75" thickBot="1" x14ac:dyDescent="0.3">
      <c r="A1226" s="43" t="s">
        <v>4180</v>
      </c>
      <c r="B1226" s="21" t="s">
        <v>4181</v>
      </c>
      <c r="C1226" s="21" t="s">
        <v>22750</v>
      </c>
      <c r="D1226" s="31" t="s">
        <v>22751</v>
      </c>
      <c r="E1226" s="23" t="s">
        <v>22658</v>
      </c>
      <c r="F1226" s="24" t="s">
        <v>22657</v>
      </c>
      <c r="G1226" s="25">
        <v>167</v>
      </c>
      <c r="H1226" s="26"/>
      <c r="I1226" s="27"/>
    </row>
    <row r="1227" spans="1:9" ht="15.75" thickBot="1" x14ac:dyDescent="0.3">
      <c r="A1227" s="43" t="s">
        <v>4182</v>
      </c>
      <c r="B1227" s="21" t="s">
        <v>4183</v>
      </c>
      <c r="C1227" s="21" t="s">
        <v>22754</v>
      </c>
      <c r="D1227" s="31" t="s">
        <v>22751</v>
      </c>
      <c r="E1227" s="23" t="s">
        <v>22656</v>
      </c>
      <c r="F1227" s="24" t="s">
        <v>22657</v>
      </c>
      <c r="G1227" s="25">
        <v>167</v>
      </c>
      <c r="H1227" s="29"/>
      <c r="I1227" s="30"/>
    </row>
    <row r="1228" spans="1:9" ht="15.75" thickBot="1" x14ac:dyDescent="0.3">
      <c r="A1228" s="43" t="s">
        <v>4184</v>
      </c>
      <c r="B1228" s="21" t="s">
        <v>4185</v>
      </c>
      <c r="C1228" s="21" t="s">
        <v>22750</v>
      </c>
      <c r="D1228" s="31" t="s">
        <v>22751</v>
      </c>
      <c r="E1228" s="23" t="s">
        <v>22656</v>
      </c>
      <c r="F1228" s="24" t="s">
        <v>22657</v>
      </c>
      <c r="G1228" s="25">
        <v>195</v>
      </c>
      <c r="H1228" s="26"/>
      <c r="I1228" s="27"/>
    </row>
    <row r="1229" spans="1:9" ht="15.75" thickBot="1" x14ac:dyDescent="0.3">
      <c r="A1229" s="43" t="s">
        <v>4186</v>
      </c>
      <c r="B1229" s="21" t="s">
        <v>4187</v>
      </c>
      <c r="C1229" s="21" t="s">
        <v>22750</v>
      </c>
      <c r="D1229" s="31" t="s">
        <v>22755</v>
      </c>
      <c r="E1229" s="23" t="s">
        <v>22656</v>
      </c>
      <c r="F1229" s="24" t="s">
        <v>22657</v>
      </c>
      <c r="G1229" s="25">
        <v>400</v>
      </c>
      <c r="H1229" s="29"/>
      <c r="I1229" s="30"/>
    </row>
    <row r="1230" spans="1:9" ht="15.75" thickBot="1" x14ac:dyDescent="0.3">
      <c r="A1230" s="43" t="s">
        <v>4188</v>
      </c>
      <c r="B1230" s="21" t="s">
        <v>4189</v>
      </c>
      <c r="C1230" s="21" t="s">
        <v>22750</v>
      </c>
      <c r="D1230" s="31" t="s">
        <v>22755</v>
      </c>
      <c r="E1230" s="23" t="s">
        <v>22656</v>
      </c>
      <c r="F1230" s="24" t="s">
        <v>22657</v>
      </c>
      <c r="G1230" s="25">
        <v>167</v>
      </c>
      <c r="H1230" s="26"/>
      <c r="I1230" s="27"/>
    </row>
    <row r="1231" spans="1:9" ht="15.75" thickBot="1" x14ac:dyDescent="0.3">
      <c r="A1231" s="43" t="s">
        <v>4190</v>
      </c>
      <c r="B1231" s="21" t="s">
        <v>4191</v>
      </c>
      <c r="C1231" s="21" t="s">
        <v>22750</v>
      </c>
      <c r="D1231" s="31" t="s">
        <v>22751</v>
      </c>
      <c r="E1231" s="23" t="s">
        <v>22656</v>
      </c>
      <c r="F1231" s="24" t="s">
        <v>22657</v>
      </c>
      <c r="G1231" s="25">
        <v>305</v>
      </c>
      <c r="H1231" s="29"/>
      <c r="I1231" s="30"/>
    </row>
    <row r="1232" spans="1:9" ht="15.75" thickBot="1" x14ac:dyDescent="0.3">
      <c r="A1232" s="43" t="s">
        <v>4192</v>
      </c>
      <c r="B1232" s="21" t="s">
        <v>4193</v>
      </c>
      <c r="C1232" s="21" t="s">
        <v>22750</v>
      </c>
      <c r="D1232" s="31" t="s">
        <v>22751</v>
      </c>
      <c r="E1232" s="23" t="s">
        <v>22656</v>
      </c>
      <c r="F1232" s="24" t="s">
        <v>22657</v>
      </c>
      <c r="G1232" s="25">
        <v>280</v>
      </c>
      <c r="H1232" s="26"/>
      <c r="I1232" s="27"/>
    </row>
    <row r="1233" spans="1:9" ht="15.75" thickBot="1" x14ac:dyDescent="0.3">
      <c r="A1233" s="43" t="s">
        <v>4194</v>
      </c>
      <c r="B1233" s="21" t="s">
        <v>4195</v>
      </c>
      <c r="C1233" s="21" t="s">
        <v>22750</v>
      </c>
      <c r="D1233" s="31" t="s">
        <v>22751</v>
      </c>
      <c r="E1233" s="23" t="s">
        <v>22656</v>
      </c>
      <c r="F1233" s="24" t="s">
        <v>22657</v>
      </c>
      <c r="G1233" s="25">
        <v>167</v>
      </c>
      <c r="H1233" s="29"/>
      <c r="I1233" s="30"/>
    </row>
    <row r="1234" spans="1:9" ht="15.75" thickBot="1" x14ac:dyDescent="0.3">
      <c r="A1234" s="43" t="s">
        <v>4196</v>
      </c>
      <c r="B1234" s="21" t="s">
        <v>4197</v>
      </c>
      <c r="C1234" s="21" t="s">
        <v>22750</v>
      </c>
      <c r="D1234" s="31" t="s">
        <v>22751</v>
      </c>
      <c r="E1234" s="23" t="s">
        <v>22656</v>
      </c>
      <c r="F1234" s="24" t="s">
        <v>22657</v>
      </c>
      <c r="G1234" s="25">
        <v>167</v>
      </c>
      <c r="H1234" s="26"/>
      <c r="I1234" s="27"/>
    </row>
    <row r="1235" spans="1:9" ht="15.75" thickBot="1" x14ac:dyDescent="0.3">
      <c r="A1235" s="43" t="s">
        <v>4198</v>
      </c>
      <c r="B1235" s="21" t="s">
        <v>4199</v>
      </c>
      <c r="C1235" s="21" t="s">
        <v>22750</v>
      </c>
      <c r="D1235" s="31" t="s">
        <v>22751</v>
      </c>
      <c r="E1235" s="23" t="s">
        <v>22656</v>
      </c>
      <c r="F1235" s="24" t="s">
        <v>22657</v>
      </c>
      <c r="G1235" s="25">
        <v>167</v>
      </c>
      <c r="H1235" s="29"/>
      <c r="I1235" s="30"/>
    </row>
    <row r="1236" spans="1:9" ht="15.75" thickBot="1" x14ac:dyDescent="0.3">
      <c r="A1236" s="43" t="s">
        <v>4200</v>
      </c>
      <c r="B1236" s="21" t="s">
        <v>4201</v>
      </c>
      <c r="C1236" s="21" t="s">
        <v>22750</v>
      </c>
      <c r="D1236" s="31" t="s">
        <v>22751</v>
      </c>
      <c r="E1236" s="23" t="s">
        <v>22658</v>
      </c>
      <c r="F1236" s="24" t="s">
        <v>22657</v>
      </c>
      <c r="G1236" s="25">
        <v>167</v>
      </c>
      <c r="H1236" s="26"/>
      <c r="I1236" s="27"/>
    </row>
    <row r="1237" spans="1:9" ht="15.75" thickBot="1" x14ac:dyDescent="0.3">
      <c r="A1237" s="43" t="s">
        <v>4202</v>
      </c>
      <c r="B1237" s="21" t="s">
        <v>4203</v>
      </c>
      <c r="C1237" s="21" t="s">
        <v>22750</v>
      </c>
      <c r="D1237" s="31" t="s">
        <v>22751</v>
      </c>
      <c r="E1237" s="23" t="s">
        <v>22658</v>
      </c>
      <c r="F1237" s="24" t="s">
        <v>22657</v>
      </c>
      <c r="G1237" s="25">
        <v>167</v>
      </c>
      <c r="H1237" s="29"/>
      <c r="I1237" s="30"/>
    </row>
    <row r="1238" spans="1:9" ht="15.75" thickBot="1" x14ac:dyDescent="0.3">
      <c r="A1238" s="43" t="s">
        <v>4204</v>
      </c>
      <c r="B1238" s="21" t="s">
        <v>4205</v>
      </c>
      <c r="C1238" s="21" t="s">
        <v>22750</v>
      </c>
      <c r="D1238" s="31" t="s">
        <v>22751</v>
      </c>
      <c r="E1238" s="23" t="s">
        <v>22658</v>
      </c>
      <c r="F1238" s="24" t="s">
        <v>22657</v>
      </c>
      <c r="G1238" s="25">
        <v>167</v>
      </c>
      <c r="H1238" s="26"/>
      <c r="I1238" s="27"/>
    </row>
    <row r="1239" spans="1:9" ht="15.75" thickBot="1" x14ac:dyDescent="0.3">
      <c r="A1239" s="43" t="s">
        <v>4206</v>
      </c>
      <c r="B1239" s="21" t="s">
        <v>4207</v>
      </c>
      <c r="C1239" s="21" t="s">
        <v>22750</v>
      </c>
      <c r="D1239" s="31" t="s">
        <v>22751</v>
      </c>
      <c r="E1239" s="23" t="s">
        <v>22656</v>
      </c>
      <c r="F1239" s="24" t="s">
        <v>22657</v>
      </c>
      <c r="G1239" s="25">
        <v>167</v>
      </c>
      <c r="H1239" s="29"/>
      <c r="I1239" s="30"/>
    </row>
    <row r="1240" spans="1:9" ht="15.75" thickBot="1" x14ac:dyDescent="0.3">
      <c r="A1240" s="43" t="s">
        <v>4208</v>
      </c>
      <c r="B1240" s="21" t="s">
        <v>4209</v>
      </c>
      <c r="C1240" s="21" t="s">
        <v>22750</v>
      </c>
      <c r="D1240" s="31" t="s">
        <v>22751</v>
      </c>
      <c r="E1240" s="23" t="s">
        <v>22656</v>
      </c>
      <c r="F1240" s="24" t="s">
        <v>22657</v>
      </c>
      <c r="G1240" s="25">
        <v>234</v>
      </c>
      <c r="H1240" s="26"/>
      <c r="I1240" s="27"/>
    </row>
    <row r="1241" spans="1:9" ht="15.75" thickBot="1" x14ac:dyDescent="0.3">
      <c r="A1241" s="43" t="s">
        <v>4210</v>
      </c>
      <c r="B1241" s="21" t="s">
        <v>4211</v>
      </c>
      <c r="C1241" s="21" t="s">
        <v>22750</v>
      </c>
      <c r="D1241" s="31" t="s">
        <v>22751</v>
      </c>
      <c r="E1241" s="23" t="s">
        <v>22658</v>
      </c>
      <c r="F1241" s="24" t="s">
        <v>22657</v>
      </c>
      <c r="G1241" s="25">
        <v>167</v>
      </c>
      <c r="H1241" s="29"/>
      <c r="I1241" s="30"/>
    </row>
    <row r="1242" spans="1:9" ht="15.75" thickBot="1" x14ac:dyDescent="0.3">
      <c r="A1242" s="43" t="s">
        <v>4212</v>
      </c>
      <c r="B1242" s="21" t="s">
        <v>4213</v>
      </c>
      <c r="C1242" s="21" t="s">
        <v>22750</v>
      </c>
      <c r="D1242" s="31" t="s">
        <v>22751</v>
      </c>
      <c r="E1242" s="23" t="s">
        <v>22656</v>
      </c>
      <c r="F1242" s="24" t="s">
        <v>22657</v>
      </c>
      <c r="G1242" s="25">
        <v>167</v>
      </c>
      <c r="H1242" s="26"/>
      <c r="I1242" s="27"/>
    </row>
    <row r="1243" spans="1:9" ht="15.75" thickBot="1" x14ac:dyDescent="0.3">
      <c r="A1243" s="43" t="s">
        <v>4214</v>
      </c>
      <c r="B1243" s="21" t="s">
        <v>22365</v>
      </c>
      <c r="C1243" s="36" t="e">
        <v>#N/A</v>
      </c>
      <c r="D1243" s="37" t="e">
        <v>#N/A</v>
      </c>
      <c r="E1243" s="23" t="e">
        <v>#N/A</v>
      </c>
      <c r="F1243" s="24" t="s">
        <v>22657</v>
      </c>
      <c r="G1243" s="25" t="e">
        <v>#N/A</v>
      </c>
      <c r="H1243" s="29"/>
      <c r="I1243" s="30"/>
    </row>
    <row r="1244" spans="1:9" ht="15.75" thickBot="1" x14ac:dyDescent="0.3">
      <c r="A1244" s="43" t="s">
        <v>4215</v>
      </c>
      <c r="B1244" s="21" t="s">
        <v>4216</v>
      </c>
      <c r="C1244" s="21" t="s">
        <v>22750</v>
      </c>
      <c r="D1244" s="31" t="s">
        <v>22751</v>
      </c>
      <c r="E1244" s="23" t="s">
        <v>22656</v>
      </c>
      <c r="F1244" s="24" t="s">
        <v>22657</v>
      </c>
      <c r="G1244" s="25">
        <v>167</v>
      </c>
      <c r="H1244" s="26"/>
      <c r="I1244" s="27"/>
    </row>
    <row r="1245" spans="1:9" ht="15.75" thickBot="1" x14ac:dyDescent="0.3">
      <c r="A1245" s="43" t="s">
        <v>4217</v>
      </c>
      <c r="B1245" s="21" t="s">
        <v>4218</v>
      </c>
      <c r="C1245" s="21" t="s">
        <v>22750</v>
      </c>
      <c r="D1245" s="31" t="s">
        <v>22751</v>
      </c>
      <c r="E1245" s="23" t="s">
        <v>22656</v>
      </c>
      <c r="F1245" s="24" t="s">
        <v>22657</v>
      </c>
      <c r="G1245" s="25">
        <v>167</v>
      </c>
      <c r="H1245" s="29"/>
      <c r="I1245" s="30"/>
    </row>
    <row r="1246" spans="1:9" ht="15.75" thickBot="1" x14ac:dyDescent="0.3">
      <c r="A1246" s="43" t="s">
        <v>4219</v>
      </c>
      <c r="B1246" s="21" t="s">
        <v>4220</v>
      </c>
      <c r="C1246" s="21" t="s">
        <v>22750</v>
      </c>
      <c r="D1246" s="31" t="s">
        <v>22756</v>
      </c>
      <c r="E1246" s="23" t="s">
        <v>22656</v>
      </c>
      <c r="F1246" s="24" t="s">
        <v>22657</v>
      </c>
      <c r="G1246" s="25">
        <v>167</v>
      </c>
      <c r="H1246" s="26"/>
      <c r="I1246" s="27"/>
    </row>
    <row r="1247" spans="1:9" ht="15.75" thickBot="1" x14ac:dyDescent="0.3">
      <c r="A1247" s="43" t="s">
        <v>4221</v>
      </c>
      <c r="B1247" s="21" t="s">
        <v>4222</v>
      </c>
      <c r="C1247" s="21" t="s">
        <v>22750</v>
      </c>
      <c r="D1247" s="31" t="s">
        <v>22756</v>
      </c>
      <c r="E1247" s="23" t="s">
        <v>22656</v>
      </c>
      <c r="F1247" s="24" t="s">
        <v>22657</v>
      </c>
      <c r="G1247" s="25">
        <v>167</v>
      </c>
      <c r="H1247" s="29"/>
      <c r="I1247" s="30"/>
    </row>
    <row r="1248" spans="1:9" ht="15.75" thickBot="1" x14ac:dyDescent="0.3">
      <c r="A1248" s="43" t="s">
        <v>4223</v>
      </c>
      <c r="B1248" s="21" t="s">
        <v>4224</v>
      </c>
      <c r="C1248" s="21" t="s">
        <v>22750</v>
      </c>
      <c r="D1248" s="31" t="s">
        <v>22751</v>
      </c>
      <c r="E1248" s="23" t="s">
        <v>22656</v>
      </c>
      <c r="F1248" s="24" t="s">
        <v>22657</v>
      </c>
      <c r="G1248" s="25">
        <v>167</v>
      </c>
      <c r="H1248" s="26"/>
      <c r="I1248" s="27"/>
    </row>
    <row r="1249" spans="1:9" ht="15.75" thickBot="1" x14ac:dyDescent="0.3">
      <c r="A1249" s="43" t="s">
        <v>4225</v>
      </c>
      <c r="B1249" s="21" t="s">
        <v>4226</v>
      </c>
      <c r="C1249" s="21" t="s">
        <v>22750</v>
      </c>
      <c r="D1249" s="31" t="s">
        <v>22755</v>
      </c>
      <c r="E1249" s="23" t="s">
        <v>22656</v>
      </c>
      <c r="F1249" s="24" t="s">
        <v>22657</v>
      </c>
      <c r="G1249" s="25">
        <v>167</v>
      </c>
      <c r="H1249" s="29"/>
      <c r="I1249" s="30"/>
    </row>
    <row r="1250" spans="1:9" ht="15.75" thickBot="1" x14ac:dyDescent="0.3">
      <c r="A1250" s="43" t="s">
        <v>4229</v>
      </c>
      <c r="B1250" s="21" t="s">
        <v>4230</v>
      </c>
      <c r="C1250" s="21" t="s">
        <v>22752</v>
      </c>
      <c r="D1250" s="31" t="s">
        <v>22747</v>
      </c>
      <c r="E1250" s="23" t="s">
        <v>22658</v>
      </c>
      <c r="F1250" s="24" t="s">
        <v>22657</v>
      </c>
      <c r="G1250" s="25">
        <v>167</v>
      </c>
      <c r="H1250" s="26"/>
      <c r="I1250" s="27"/>
    </row>
    <row r="1251" spans="1:9" ht="15.75" thickBot="1" x14ac:dyDescent="0.3">
      <c r="A1251" s="43" t="s">
        <v>4231</v>
      </c>
      <c r="B1251" s="21" t="s">
        <v>4232</v>
      </c>
      <c r="C1251" s="21" t="s">
        <v>22672</v>
      </c>
      <c r="D1251" s="31" t="s">
        <v>22683</v>
      </c>
      <c r="E1251" s="23" t="s">
        <v>22658</v>
      </c>
      <c r="F1251" s="24" t="s">
        <v>22657</v>
      </c>
      <c r="G1251" s="25">
        <v>34</v>
      </c>
      <c r="H1251" s="29"/>
      <c r="I1251" s="30"/>
    </row>
    <row r="1252" spans="1:9" ht="15.75" thickBot="1" x14ac:dyDescent="0.3">
      <c r="A1252" s="43" t="s">
        <v>4227</v>
      </c>
      <c r="B1252" s="21" t="s">
        <v>4228</v>
      </c>
      <c r="C1252" s="21" t="s">
        <v>22750</v>
      </c>
      <c r="D1252" s="31" t="s">
        <v>22757</v>
      </c>
      <c r="E1252" s="23" t="s">
        <v>22656</v>
      </c>
      <c r="F1252" s="24" t="s">
        <v>22657</v>
      </c>
      <c r="G1252" s="25">
        <v>234</v>
      </c>
      <c r="H1252" s="26"/>
      <c r="I1252" s="27"/>
    </row>
    <row r="1253" spans="1:9" ht="15.75" thickBot="1" x14ac:dyDescent="0.3">
      <c r="A1253" s="43" t="s">
        <v>4235</v>
      </c>
      <c r="B1253" s="21" t="s">
        <v>4236</v>
      </c>
      <c r="C1253" s="21" t="s">
        <v>22752</v>
      </c>
      <c r="D1253" s="31" t="s">
        <v>22747</v>
      </c>
      <c r="E1253" s="23" t="s">
        <v>22656</v>
      </c>
      <c r="F1253" s="24" t="s">
        <v>22657</v>
      </c>
      <c r="G1253" s="25">
        <v>34</v>
      </c>
      <c r="H1253" s="29"/>
      <c r="I1253" s="30"/>
    </row>
    <row r="1254" spans="1:9" ht="15.75" thickBot="1" x14ac:dyDescent="0.3">
      <c r="A1254" s="43" t="s">
        <v>4237</v>
      </c>
      <c r="B1254" s="21" t="s">
        <v>4238</v>
      </c>
      <c r="C1254" s="21" t="s">
        <v>22752</v>
      </c>
      <c r="D1254" s="31" t="s">
        <v>22747</v>
      </c>
      <c r="E1254" s="23" t="s">
        <v>22656</v>
      </c>
      <c r="F1254" s="24" t="s">
        <v>22657</v>
      </c>
      <c r="G1254" s="25">
        <v>34</v>
      </c>
      <c r="H1254" s="26"/>
      <c r="I1254" s="27"/>
    </row>
    <row r="1255" spans="1:9" ht="15.75" thickBot="1" x14ac:dyDescent="0.3">
      <c r="A1255" s="43" t="s">
        <v>4239</v>
      </c>
      <c r="B1255" s="21" t="s">
        <v>4240</v>
      </c>
      <c r="C1255" s="21" t="s">
        <v>22752</v>
      </c>
      <c r="D1255" s="31" t="s">
        <v>22747</v>
      </c>
      <c r="E1255" s="23" t="s">
        <v>22656</v>
      </c>
      <c r="F1255" s="24" t="s">
        <v>22657</v>
      </c>
      <c r="G1255" s="25">
        <v>34</v>
      </c>
      <c r="H1255" s="29"/>
      <c r="I1255" s="30"/>
    </row>
    <row r="1256" spans="1:9" ht="15.75" thickBot="1" x14ac:dyDescent="0.3">
      <c r="A1256" s="43" t="s">
        <v>1399</v>
      </c>
      <c r="B1256" s="21" t="s">
        <v>4241</v>
      </c>
      <c r="C1256" s="21" t="s">
        <v>22750</v>
      </c>
      <c r="D1256" s="31" t="s">
        <v>22757</v>
      </c>
      <c r="E1256" s="23" t="s">
        <v>22656</v>
      </c>
      <c r="F1256" s="24" t="s">
        <v>22657</v>
      </c>
      <c r="G1256" s="25">
        <v>234</v>
      </c>
      <c r="H1256" s="26"/>
      <c r="I1256" s="27"/>
    </row>
    <row r="1257" spans="1:9" ht="15.75" thickBot="1" x14ac:dyDescent="0.3">
      <c r="A1257" s="43" t="s">
        <v>4242</v>
      </c>
      <c r="B1257" s="21" t="s">
        <v>4243</v>
      </c>
      <c r="C1257" s="21" t="s">
        <v>22750</v>
      </c>
      <c r="D1257" s="31" t="s">
        <v>22757</v>
      </c>
      <c r="E1257" s="23" t="s">
        <v>22656</v>
      </c>
      <c r="F1257" s="24" t="s">
        <v>22657</v>
      </c>
      <c r="G1257" s="25">
        <v>167</v>
      </c>
      <c r="H1257" s="29"/>
      <c r="I1257" s="30"/>
    </row>
    <row r="1258" spans="1:9" ht="15.75" thickBot="1" x14ac:dyDescent="0.3">
      <c r="A1258" s="43" t="s">
        <v>4244</v>
      </c>
      <c r="B1258" s="21" t="s">
        <v>4245</v>
      </c>
      <c r="C1258" s="21" t="s">
        <v>22746</v>
      </c>
      <c r="D1258" s="31" t="s">
        <v>22747</v>
      </c>
      <c r="E1258" s="23" t="s">
        <v>22656</v>
      </c>
      <c r="F1258" s="24" t="s">
        <v>22657</v>
      </c>
      <c r="G1258" s="25">
        <v>34</v>
      </c>
      <c r="H1258" s="26"/>
      <c r="I1258" s="27"/>
    </row>
    <row r="1259" spans="1:9" ht="15.75" thickBot="1" x14ac:dyDescent="0.3">
      <c r="A1259" s="43" t="s">
        <v>4246</v>
      </c>
      <c r="B1259" s="21" t="s">
        <v>4247</v>
      </c>
      <c r="C1259" s="21" t="s">
        <v>22752</v>
      </c>
      <c r="D1259" s="31" t="s">
        <v>22747</v>
      </c>
      <c r="E1259" s="23" t="s">
        <v>22658</v>
      </c>
      <c r="F1259" s="24" t="s">
        <v>22657</v>
      </c>
      <c r="G1259" s="25">
        <v>34</v>
      </c>
      <c r="H1259" s="29"/>
      <c r="I1259" s="30"/>
    </row>
    <row r="1260" spans="1:9" ht="15.75" thickBot="1" x14ac:dyDescent="0.3">
      <c r="A1260" s="43" t="s">
        <v>4248</v>
      </c>
      <c r="B1260" s="21" t="s">
        <v>4249</v>
      </c>
      <c r="C1260" s="21" t="s">
        <v>22750</v>
      </c>
      <c r="D1260" s="31" t="s">
        <v>22757</v>
      </c>
      <c r="E1260" s="23" t="s">
        <v>22656</v>
      </c>
      <c r="F1260" s="24" t="s">
        <v>22657</v>
      </c>
      <c r="G1260" s="25">
        <v>34</v>
      </c>
      <c r="H1260" s="26"/>
      <c r="I1260" s="27"/>
    </row>
    <row r="1261" spans="1:9" ht="15.75" thickBot="1" x14ac:dyDescent="0.3">
      <c r="A1261" s="43" t="s">
        <v>4250</v>
      </c>
      <c r="B1261" s="21" t="s">
        <v>4251</v>
      </c>
      <c r="C1261" s="21" t="s">
        <v>22752</v>
      </c>
      <c r="D1261" s="31" t="s">
        <v>22747</v>
      </c>
      <c r="E1261" s="23" t="s">
        <v>22658</v>
      </c>
      <c r="F1261" s="24" t="s">
        <v>22657</v>
      </c>
      <c r="G1261" s="25">
        <v>34</v>
      </c>
      <c r="H1261" s="29"/>
      <c r="I1261" s="30"/>
    </row>
    <row r="1262" spans="1:9" ht="15.75" thickBot="1" x14ac:dyDescent="0.3">
      <c r="A1262" s="43" t="s">
        <v>4252</v>
      </c>
      <c r="B1262" s="21" t="s">
        <v>4253</v>
      </c>
      <c r="C1262" s="21" t="s">
        <v>22750</v>
      </c>
      <c r="D1262" s="31" t="s">
        <v>22758</v>
      </c>
      <c r="E1262" s="23" t="s">
        <v>22656</v>
      </c>
      <c r="F1262" s="24" t="s">
        <v>22657</v>
      </c>
      <c r="G1262" s="25">
        <v>34</v>
      </c>
      <c r="H1262" s="26"/>
      <c r="I1262" s="27"/>
    </row>
    <row r="1263" spans="1:9" ht="15.75" thickBot="1" x14ac:dyDescent="0.3">
      <c r="A1263" s="43" t="s">
        <v>4254</v>
      </c>
      <c r="B1263" s="21" t="s">
        <v>4255</v>
      </c>
      <c r="C1263" s="21" t="s">
        <v>22746</v>
      </c>
      <c r="D1263" s="31" t="s">
        <v>22747</v>
      </c>
      <c r="E1263" s="23" t="s">
        <v>22656</v>
      </c>
      <c r="F1263" s="24" t="s">
        <v>22657</v>
      </c>
      <c r="G1263" s="25">
        <v>34</v>
      </c>
      <c r="H1263" s="29"/>
      <c r="I1263" s="30"/>
    </row>
    <row r="1264" spans="1:9" ht="15.75" thickBot="1" x14ac:dyDescent="0.3">
      <c r="A1264" s="43" t="s">
        <v>4256</v>
      </c>
      <c r="B1264" s="21" t="s">
        <v>4257</v>
      </c>
      <c r="C1264" s="21" t="s">
        <v>22746</v>
      </c>
      <c r="D1264" s="31" t="s">
        <v>22747</v>
      </c>
      <c r="E1264" s="23" t="s">
        <v>22656</v>
      </c>
      <c r="F1264" s="24" t="s">
        <v>22657</v>
      </c>
      <c r="G1264" s="25">
        <v>34</v>
      </c>
      <c r="H1264" s="26"/>
      <c r="I1264" s="27"/>
    </row>
    <row r="1265" spans="1:9" ht="15.75" thickBot="1" x14ac:dyDescent="0.3">
      <c r="A1265" s="43" t="s">
        <v>4258</v>
      </c>
      <c r="B1265" s="21" t="s">
        <v>4259</v>
      </c>
      <c r="C1265" s="21" t="s">
        <v>22746</v>
      </c>
      <c r="D1265" s="31" t="s">
        <v>22747</v>
      </c>
      <c r="E1265" s="23" t="s">
        <v>22656</v>
      </c>
      <c r="F1265" s="24" t="s">
        <v>22657</v>
      </c>
      <c r="G1265" s="25">
        <v>34</v>
      </c>
      <c r="H1265" s="29"/>
      <c r="I1265" s="30"/>
    </row>
    <row r="1266" spans="1:9" ht="15.75" thickBot="1" x14ac:dyDescent="0.3">
      <c r="A1266" s="43" t="s">
        <v>4260</v>
      </c>
      <c r="B1266" s="21" t="s">
        <v>4261</v>
      </c>
      <c r="C1266" s="21" t="s">
        <v>22746</v>
      </c>
      <c r="D1266" s="31" t="s">
        <v>22747</v>
      </c>
      <c r="E1266" s="23" t="s">
        <v>22656</v>
      </c>
      <c r="F1266" s="24" t="s">
        <v>22657</v>
      </c>
      <c r="G1266" s="25">
        <v>34</v>
      </c>
      <c r="H1266" s="26"/>
      <c r="I1266" s="27"/>
    </row>
    <row r="1267" spans="1:9" ht="15.75" thickBot="1" x14ac:dyDescent="0.3">
      <c r="A1267" s="43" t="s">
        <v>4262</v>
      </c>
      <c r="B1267" s="21" t="s">
        <v>4263</v>
      </c>
      <c r="C1267" s="21" t="s">
        <v>22746</v>
      </c>
      <c r="D1267" s="31" t="s">
        <v>22747</v>
      </c>
      <c r="E1267" s="23" t="s">
        <v>22656</v>
      </c>
      <c r="F1267" s="24" t="s">
        <v>22657</v>
      </c>
      <c r="G1267" s="25">
        <v>34</v>
      </c>
      <c r="H1267" s="29"/>
      <c r="I1267" s="30"/>
    </row>
    <row r="1268" spans="1:9" ht="15.75" thickBot="1" x14ac:dyDescent="0.3">
      <c r="A1268" s="43" t="s">
        <v>4264</v>
      </c>
      <c r="B1268" s="21" t="s">
        <v>4265</v>
      </c>
      <c r="C1268" s="21" t="s">
        <v>22746</v>
      </c>
      <c r="D1268" s="31" t="s">
        <v>22747</v>
      </c>
      <c r="E1268" s="23" t="s">
        <v>22658</v>
      </c>
      <c r="F1268" s="24" t="s">
        <v>22657</v>
      </c>
      <c r="G1268" s="25">
        <v>34</v>
      </c>
      <c r="H1268" s="26"/>
      <c r="I1268" s="27"/>
    </row>
    <row r="1269" spans="1:9" ht="15.75" thickBot="1" x14ac:dyDescent="0.3">
      <c r="A1269" s="43" t="s">
        <v>4266</v>
      </c>
      <c r="B1269" s="21" t="s">
        <v>4267</v>
      </c>
      <c r="C1269" s="21" t="s">
        <v>22746</v>
      </c>
      <c r="D1269" s="31" t="s">
        <v>22747</v>
      </c>
      <c r="E1269" s="23" t="s">
        <v>22658</v>
      </c>
      <c r="F1269" s="24" t="s">
        <v>22657</v>
      </c>
      <c r="G1269" s="25">
        <v>34</v>
      </c>
      <c r="H1269" s="29"/>
      <c r="I1269" s="30"/>
    </row>
    <row r="1270" spans="1:9" ht="15.75" thickBot="1" x14ac:dyDescent="0.3">
      <c r="A1270" s="43" t="s">
        <v>4268</v>
      </c>
      <c r="B1270" s="21" t="s">
        <v>4269</v>
      </c>
      <c r="C1270" s="21" t="s">
        <v>22746</v>
      </c>
      <c r="D1270" s="31" t="s">
        <v>22747</v>
      </c>
      <c r="E1270" s="23" t="s">
        <v>22658</v>
      </c>
      <c r="F1270" s="24" t="s">
        <v>22657</v>
      </c>
      <c r="G1270" s="25">
        <v>34</v>
      </c>
      <c r="H1270" s="26"/>
      <c r="I1270" s="27"/>
    </row>
    <row r="1271" spans="1:9" ht="15.75" thickBot="1" x14ac:dyDescent="0.3">
      <c r="A1271" s="43" t="s">
        <v>4270</v>
      </c>
      <c r="B1271" s="21" t="s">
        <v>4271</v>
      </c>
      <c r="C1271" s="21" t="s">
        <v>22746</v>
      </c>
      <c r="D1271" s="31" t="s">
        <v>22747</v>
      </c>
      <c r="E1271" s="23" t="s">
        <v>22658</v>
      </c>
      <c r="F1271" s="24" t="s">
        <v>22657</v>
      </c>
      <c r="G1271" s="25">
        <v>34</v>
      </c>
      <c r="H1271" s="29"/>
      <c r="I1271" s="30"/>
    </row>
    <row r="1272" spans="1:9" ht="15.75" thickBot="1" x14ac:dyDescent="0.3">
      <c r="A1272" s="43" t="s">
        <v>4272</v>
      </c>
      <c r="B1272" s="21" t="s">
        <v>4273</v>
      </c>
      <c r="C1272" s="21" t="s">
        <v>22746</v>
      </c>
      <c r="D1272" s="31" t="s">
        <v>22747</v>
      </c>
      <c r="E1272" s="23" t="s">
        <v>22656</v>
      </c>
      <c r="F1272" s="24" t="s">
        <v>22657</v>
      </c>
      <c r="G1272" s="25">
        <v>34</v>
      </c>
      <c r="H1272" s="26"/>
      <c r="I1272" s="27"/>
    </row>
    <row r="1273" spans="1:9" ht="15.75" thickBot="1" x14ac:dyDescent="0.3">
      <c r="A1273" s="43" t="s">
        <v>4274</v>
      </c>
      <c r="B1273" s="21" t="s">
        <v>4275</v>
      </c>
      <c r="C1273" s="21" t="s">
        <v>22746</v>
      </c>
      <c r="D1273" s="31" t="s">
        <v>22747</v>
      </c>
      <c r="E1273" s="23" t="s">
        <v>22656</v>
      </c>
      <c r="F1273" s="24" t="s">
        <v>22657</v>
      </c>
      <c r="G1273" s="25">
        <v>34</v>
      </c>
      <c r="H1273" s="29"/>
      <c r="I1273" s="30"/>
    </row>
    <row r="1274" spans="1:9" ht="15.75" thickBot="1" x14ac:dyDescent="0.3">
      <c r="A1274" s="43" t="s">
        <v>4276</v>
      </c>
      <c r="B1274" s="21" t="s">
        <v>4277</v>
      </c>
      <c r="C1274" s="21" t="s">
        <v>22746</v>
      </c>
      <c r="D1274" s="31" t="s">
        <v>22747</v>
      </c>
      <c r="E1274" s="23" t="s">
        <v>22656</v>
      </c>
      <c r="F1274" s="24" t="s">
        <v>22657</v>
      </c>
      <c r="G1274" s="25">
        <v>34</v>
      </c>
      <c r="H1274" s="26"/>
      <c r="I1274" s="27"/>
    </row>
    <row r="1275" spans="1:9" ht="15.75" thickBot="1" x14ac:dyDescent="0.3">
      <c r="A1275" s="43" t="s">
        <v>4278</v>
      </c>
      <c r="B1275" s="21" t="s">
        <v>4279</v>
      </c>
      <c r="C1275" s="21" t="s">
        <v>22672</v>
      </c>
      <c r="D1275" s="22">
        <v>46032</v>
      </c>
      <c r="E1275" s="23" t="s">
        <v>22658</v>
      </c>
      <c r="F1275" s="24" t="s">
        <v>22657</v>
      </c>
      <c r="G1275" s="25">
        <v>4</v>
      </c>
      <c r="H1275" s="29"/>
      <c r="I1275" s="30"/>
    </row>
    <row r="1276" spans="1:9" ht="15.75" thickBot="1" x14ac:dyDescent="0.3">
      <c r="A1276" s="43" t="s">
        <v>4280</v>
      </c>
      <c r="B1276" s="21" t="s">
        <v>4281</v>
      </c>
      <c r="C1276" s="21" t="s">
        <v>22672</v>
      </c>
      <c r="D1276" s="22">
        <v>46032</v>
      </c>
      <c r="E1276" s="23" t="s">
        <v>22658</v>
      </c>
      <c r="F1276" s="24" t="s">
        <v>22657</v>
      </c>
      <c r="G1276" s="25">
        <v>4</v>
      </c>
      <c r="H1276" s="26"/>
      <c r="I1276" s="27"/>
    </row>
    <row r="1277" spans="1:9" ht="15.75" thickBot="1" x14ac:dyDescent="0.3">
      <c r="A1277" s="43" t="s">
        <v>4282</v>
      </c>
      <c r="B1277" s="21" t="s">
        <v>4283</v>
      </c>
      <c r="C1277" s="21" t="s">
        <v>22672</v>
      </c>
      <c r="D1277" s="22">
        <v>46032</v>
      </c>
      <c r="E1277" s="23" t="s">
        <v>22658</v>
      </c>
      <c r="F1277" s="24" t="s">
        <v>22657</v>
      </c>
      <c r="G1277" s="25">
        <v>4</v>
      </c>
      <c r="H1277" s="29"/>
      <c r="I1277" s="30"/>
    </row>
    <row r="1278" spans="1:9" ht="15.75" thickBot="1" x14ac:dyDescent="0.3">
      <c r="A1278" s="43" t="s">
        <v>4284</v>
      </c>
      <c r="B1278" s="21" t="s">
        <v>4285</v>
      </c>
      <c r="C1278" s="21" t="s">
        <v>22672</v>
      </c>
      <c r="D1278" s="22">
        <v>46032</v>
      </c>
      <c r="E1278" s="23" t="s">
        <v>22658</v>
      </c>
      <c r="F1278" s="24" t="s">
        <v>22657</v>
      </c>
      <c r="G1278" s="25">
        <v>4</v>
      </c>
      <c r="H1278" s="26"/>
      <c r="I1278" s="27"/>
    </row>
    <row r="1279" spans="1:9" ht="15.75" thickBot="1" x14ac:dyDescent="0.3">
      <c r="A1279" s="43" t="s">
        <v>4286</v>
      </c>
      <c r="B1279" s="21" t="s">
        <v>4287</v>
      </c>
      <c r="C1279" s="21" t="s">
        <v>22672</v>
      </c>
      <c r="D1279" s="22">
        <v>46032</v>
      </c>
      <c r="E1279" s="23" t="s">
        <v>22658</v>
      </c>
      <c r="F1279" s="24" t="s">
        <v>22657</v>
      </c>
      <c r="G1279" s="25">
        <v>4</v>
      </c>
      <c r="H1279" s="29"/>
      <c r="I1279" s="30"/>
    </row>
    <row r="1280" spans="1:9" ht="15.75" thickBot="1" x14ac:dyDescent="0.3">
      <c r="A1280" s="43" t="s">
        <v>4288</v>
      </c>
      <c r="B1280" s="21" t="s">
        <v>4289</v>
      </c>
      <c r="C1280" s="21" t="s">
        <v>22672</v>
      </c>
      <c r="D1280" s="22">
        <v>46032</v>
      </c>
      <c r="E1280" s="23" t="s">
        <v>22658</v>
      </c>
      <c r="F1280" s="24" t="s">
        <v>22657</v>
      </c>
      <c r="G1280" s="25">
        <v>4</v>
      </c>
      <c r="H1280" s="26"/>
      <c r="I1280" s="27"/>
    </row>
    <row r="1281" spans="1:9" ht="15.75" thickBot="1" x14ac:dyDescent="0.3">
      <c r="A1281" s="43" t="s">
        <v>4290</v>
      </c>
      <c r="B1281" s="21" t="s">
        <v>4291</v>
      </c>
      <c r="C1281" s="21" t="s">
        <v>22672</v>
      </c>
      <c r="D1281" s="22">
        <v>46032</v>
      </c>
      <c r="E1281" s="23" t="s">
        <v>22656</v>
      </c>
      <c r="F1281" s="24" t="s">
        <v>22657</v>
      </c>
      <c r="G1281" s="25">
        <v>4</v>
      </c>
      <c r="H1281" s="29"/>
      <c r="I1281" s="30"/>
    </row>
    <row r="1282" spans="1:9" ht="15.75" thickBot="1" x14ac:dyDescent="0.3">
      <c r="A1282" s="43" t="s">
        <v>4292</v>
      </c>
      <c r="B1282" s="21" t="s">
        <v>4293</v>
      </c>
      <c r="C1282" s="21" t="s">
        <v>22672</v>
      </c>
      <c r="D1282" s="22">
        <v>46032</v>
      </c>
      <c r="E1282" s="23" t="s">
        <v>22656</v>
      </c>
      <c r="F1282" s="24" t="s">
        <v>22657</v>
      </c>
      <c r="G1282" s="25">
        <v>4</v>
      </c>
      <c r="H1282" s="26"/>
      <c r="I1282" s="27"/>
    </row>
    <row r="1283" spans="1:9" ht="15.75" thickBot="1" x14ac:dyDescent="0.3">
      <c r="A1283" s="43" t="s">
        <v>4294</v>
      </c>
      <c r="B1283" s="21" t="s">
        <v>4295</v>
      </c>
      <c r="C1283" s="21" t="s">
        <v>22672</v>
      </c>
      <c r="D1283" s="22">
        <v>46032</v>
      </c>
      <c r="E1283" s="23" t="s">
        <v>22656</v>
      </c>
      <c r="F1283" s="24" t="s">
        <v>22657</v>
      </c>
      <c r="G1283" s="25">
        <v>4</v>
      </c>
      <c r="H1283" s="29"/>
      <c r="I1283" s="30"/>
    </row>
    <row r="1284" spans="1:9" ht="15.75" thickBot="1" x14ac:dyDescent="0.3">
      <c r="A1284" s="43" t="s">
        <v>4296</v>
      </c>
      <c r="B1284" s="21" t="s">
        <v>4297</v>
      </c>
      <c r="C1284" s="21" t="s">
        <v>22672</v>
      </c>
      <c r="D1284" s="22">
        <v>46032</v>
      </c>
      <c r="E1284" s="23" t="s">
        <v>22656</v>
      </c>
      <c r="F1284" s="24" t="s">
        <v>22657</v>
      </c>
      <c r="G1284" s="25">
        <v>5</v>
      </c>
      <c r="H1284" s="26"/>
      <c r="I1284" s="27"/>
    </row>
    <row r="1285" spans="1:9" ht="15.75" thickBot="1" x14ac:dyDescent="0.3">
      <c r="A1285" s="43" t="s">
        <v>4298</v>
      </c>
      <c r="B1285" s="21" t="s">
        <v>4299</v>
      </c>
      <c r="C1285" s="21" t="s">
        <v>22672</v>
      </c>
      <c r="D1285" s="22">
        <v>46032</v>
      </c>
      <c r="E1285" s="23" t="s">
        <v>22656</v>
      </c>
      <c r="F1285" s="24" t="s">
        <v>22657</v>
      </c>
      <c r="G1285" s="25">
        <v>4</v>
      </c>
      <c r="H1285" s="29"/>
      <c r="I1285" s="30"/>
    </row>
    <row r="1286" spans="1:9" ht="15.75" thickBot="1" x14ac:dyDescent="0.3">
      <c r="A1286" s="43" t="s">
        <v>4300</v>
      </c>
      <c r="B1286" s="21" t="s">
        <v>4301</v>
      </c>
      <c r="C1286" s="21" t="s">
        <v>22672</v>
      </c>
      <c r="D1286" s="31" t="s">
        <v>22673</v>
      </c>
      <c r="E1286" s="23" t="s">
        <v>22656</v>
      </c>
      <c r="F1286" s="24" t="s">
        <v>22657</v>
      </c>
      <c r="G1286" s="25">
        <v>4</v>
      </c>
      <c r="H1286" s="26"/>
      <c r="I1286" s="27"/>
    </row>
    <row r="1287" spans="1:9" ht="15.75" thickBot="1" x14ac:dyDescent="0.3">
      <c r="A1287" s="43" t="s">
        <v>4302</v>
      </c>
      <c r="B1287" s="21" t="s">
        <v>4303</v>
      </c>
      <c r="C1287" s="21" t="s">
        <v>22672</v>
      </c>
      <c r="D1287" s="31" t="s">
        <v>22673</v>
      </c>
      <c r="E1287" s="23" t="s">
        <v>22658</v>
      </c>
      <c r="F1287" s="24" t="s">
        <v>22657</v>
      </c>
      <c r="G1287" s="25">
        <v>4</v>
      </c>
      <c r="H1287" s="29"/>
      <c r="I1287" s="30"/>
    </row>
    <row r="1288" spans="1:9" ht="15.75" thickBot="1" x14ac:dyDescent="0.3">
      <c r="A1288" s="43" t="s">
        <v>4304</v>
      </c>
      <c r="B1288" s="21" t="s">
        <v>4305</v>
      </c>
      <c r="C1288" s="21" t="s">
        <v>22672</v>
      </c>
      <c r="D1288" s="31" t="s">
        <v>22673</v>
      </c>
      <c r="E1288" s="23" t="s">
        <v>22656</v>
      </c>
      <c r="F1288" s="24" t="s">
        <v>22657</v>
      </c>
      <c r="G1288" s="25">
        <v>4</v>
      </c>
      <c r="H1288" s="26"/>
      <c r="I1288" s="27"/>
    </row>
    <row r="1289" spans="1:9" ht="15.75" thickBot="1" x14ac:dyDescent="0.3">
      <c r="A1289" s="43" t="s">
        <v>4306</v>
      </c>
      <c r="B1289" s="21" t="s">
        <v>4307</v>
      </c>
      <c r="C1289" s="21" t="s">
        <v>22672</v>
      </c>
      <c r="D1289" s="31" t="s">
        <v>22673</v>
      </c>
      <c r="E1289" s="23" t="s">
        <v>22658</v>
      </c>
      <c r="F1289" s="24" t="s">
        <v>22657</v>
      </c>
      <c r="G1289" s="25">
        <v>4</v>
      </c>
      <c r="H1289" s="29"/>
      <c r="I1289" s="30"/>
    </row>
    <row r="1290" spans="1:9" ht="15.75" thickBot="1" x14ac:dyDescent="0.3">
      <c r="A1290" s="43" t="s">
        <v>4308</v>
      </c>
      <c r="B1290" s="21" t="s">
        <v>4309</v>
      </c>
      <c r="C1290" s="21" t="s">
        <v>22672</v>
      </c>
      <c r="D1290" s="31" t="s">
        <v>22673</v>
      </c>
      <c r="E1290" s="23" t="s">
        <v>22658</v>
      </c>
      <c r="F1290" s="24" t="s">
        <v>22657</v>
      </c>
      <c r="G1290" s="25">
        <v>4</v>
      </c>
      <c r="H1290" s="26"/>
      <c r="I1290" s="27"/>
    </row>
    <row r="1291" spans="1:9" ht="15.75" thickBot="1" x14ac:dyDescent="0.3">
      <c r="A1291" s="43" t="s">
        <v>4310</v>
      </c>
      <c r="B1291" s="21" t="s">
        <v>4311</v>
      </c>
      <c r="C1291" s="21" t="s">
        <v>22672</v>
      </c>
      <c r="D1291" s="31" t="s">
        <v>22673</v>
      </c>
      <c r="E1291" s="23" t="s">
        <v>22656</v>
      </c>
      <c r="F1291" s="24" t="s">
        <v>22657</v>
      </c>
      <c r="G1291" s="25">
        <v>4</v>
      </c>
      <c r="H1291" s="29"/>
      <c r="I1291" s="30"/>
    </row>
    <row r="1292" spans="1:9" ht="15.75" thickBot="1" x14ac:dyDescent="0.3">
      <c r="A1292" s="43" t="s">
        <v>4312</v>
      </c>
      <c r="B1292" s="21" t="s">
        <v>4313</v>
      </c>
      <c r="C1292" s="21" t="s">
        <v>22672</v>
      </c>
      <c r="D1292" s="31" t="s">
        <v>22673</v>
      </c>
      <c r="E1292" s="23" t="s">
        <v>22658</v>
      </c>
      <c r="F1292" s="24" t="s">
        <v>22657</v>
      </c>
      <c r="G1292" s="25">
        <v>4</v>
      </c>
      <c r="H1292" s="26"/>
      <c r="I1292" s="27"/>
    </row>
    <row r="1293" spans="1:9" ht="15.75" thickBot="1" x14ac:dyDescent="0.3">
      <c r="A1293" s="43" t="s">
        <v>4314</v>
      </c>
      <c r="B1293" s="21" t="s">
        <v>4315</v>
      </c>
      <c r="C1293" s="21" t="s">
        <v>22672</v>
      </c>
      <c r="D1293" s="31" t="s">
        <v>22673</v>
      </c>
      <c r="E1293" s="23" t="s">
        <v>22656</v>
      </c>
      <c r="F1293" s="24" t="s">
        <v>22657</v>
      </c>
      <c r="G1293" s="25">
        <v>4</v>
      </c>
      <c r="H1293" s="29"/>
      <c r="I1293" s="30"/>
    </row>
    <row r="1294" spans="1:9" ht="15.75" thickBot="1" x14ac:dyDescent="0.3">
      <c r="A1294" s="43" t="s">
        <v>4316</v>
      </c>
      <c r="B1294" s="21" t="s">
        <v>4317</v>
      </c>
      <c r="C1294" s="21" t="s">
        <v>22672</v>
      </c>
      <c r="D1294" s="31" t="s">
        <v>22673</v>
      </c>
      <c r="E1294" s="23" t="s">
        <v>22658</v>
      </c>
      <c r="F1294" s="24" t="s">
        <v>22657</v>
      </c>
      <c r="G1294" s="25">
        <v>4</v>
      </c>
      <c r="H1294" s="26"/>
      <c r="I1294" s="27"/>
    </row>
    <row r="1295" spans="1:9" ht="15.75" thickBot="1" x14ac:dyDescent="0.3">
      <c r="A1295" s="43" t="s">
        <v>4318</v>
      </c>
      <c r="B1295" s="21" t="s">
        <v>4319</v>
      </c>
      <c r="C1295" s="21" t="s">
        <v>22672</v>
      </c>
      <c r="D1295" s="31" t="s">
        <v>22673</v>
      </c>
      <c r="E1295" s="23" t="s">
        <v>22658</v>
      </c>
      <c r="F1295" s="24" t="s">
        <v>22657</v>
      </c>
      <c r="G1295" s="25">
        <v>4</v>
      </c>
      <c r="H1295" s="29"/>
      <c r="I1295" s="30"/>
    </row>
    <row r="1296" spans="1:9" ht="15.75" thickBot="1" x14ac:dyDescent="0.3">
      <c r="A1296" s="43" t="s">
        <v>4320</v>
      </c>
      <c r="B1296" s="21" t="s">
        <v>4321</v>
      </c>
      <c r="C1296" s="21" t="s">
        <v>22672</v>
      </c>
      <c r="D1296" s="31" t="s">
        <v>22673</v>
      </c>
      <c r="E1296" s="23" t="s">
        <v>22656</v>
      </c>
      <c r="F1296" s="24" t="s">
        <v>22657</v>
      </c>
      <c r="G1296" s="25">
        <v>4</v>
      </c>
      <c r="H1296" s="26"/>
      <c r="I1296" s="27"/>
    </row>
    <row r="1297" spans="1:9" ht="15.75" thickBot="1" x14ac:dyDescent="0.3">
      <c r="A1297" s="43" t="s">
        <v>4322</v>
      </c>
      <c r="B1297" s="21" t="s">
        <v>4323</v>
      </c>
      <c r="C1297" s="21" t="s">
        <v>22672</v>
      </c>
      <c r="D1297" s="31" t="s">
        <v>22673</v>
      </c>
      <c r="E1297" s="23" t="s">
        <v>22658</v>
      </c>
      <c r="F1297" s="24" t="s">
        <v>22657</v>
      </c>
      <c r="G1297" s="25">
        <v>4</v>
      </c>
      <c r="H1297" s="29"/>
      <c r="I1297" s="30"/>
    </row>
    <row r="1298" spans="1:9" ht="15.75" thickBot="1" x14ac:dyDescent="0.3">
      <c r="A1298" s="43" t="s">
        <v>4324</v>
      </c>
      <c r="B1298" s="21" t="s">
        <v>4325</v>
      </c>
      <c r="C1298" s="21" t="s">
        <v>22672</v>
      </c>
      <c r="D1298" s="31" t="s">
        <v>22673</v>
      </c>
      <c r="E1298" s="23" t="s">
        <v>22658</v>
      </c>
      <c r="F1298" s="24" t="s">
        <v>22657</v>
      </c>
      <c r="G1298" s="25">
        <v>4</v>
      </c>
      <c r="H1298" s="26"/>
      <c r="I1298" s="27"/>
    </row>
    <row r="1299" spans="1:9" ht="15.75" thickBot="1" x14ac:dyDescent="0.3">
      <c r="A1299" s="43" t="s">
        <v>4326</v>
      </c>
      <c r="B1299" s="21" t="s">
        <v>4327</v>
      </c>
      <c r="C1299" s="21" t="s">
        <v>22672</v>
      </c>
      <c r="D1299" s="31" t="s">
        <v>22673</v>
      </c>
      <c r="E1299" s="23" t="s">
        <v>22656</v>
      </c>
      <c r="F1299" s="24" t="s">
        <v>22657</v>
      </c>
      <c r="G1299" s="25">
        <v>4</v>
      </c>
      <c r="H1299" s="29"/>
      <c r="I1299" s="30"/>
    </row>
    <row r="1300" spans="1:9" ht="15.75" thickBot="1" x14ac:dyDescent="0.3">
      <c r="A1300" s="43" t="s">
        <v>4328</v>
      </c>
      <c r="B1300" s="21" t="s">
        <v>4329</v>
      </c>
      <c r="C1300" s="21" t="s">
        <v>22672</v>
      </c>
      <c r="D1300" s="31" t="s">
        <v>22673</v>
      </c>
      <c r="E1300" s="23" t="s">
        <v>22658</v>
      </c>
      <c r="F1300" s="24" t="s">
        <v>22657</v>
      </c>
      <c r="G1300" s="25">
        <v>4</v>
      </c>
      <c r="H1300" s="26"/>
      <c r="I1300" s="27"/>
    </row>
    <row r="1301" spans="1:9" ht="15.75" thickBot="1" x14ac:dyDescent="0.3">
      <c r="A1301" s="43" t="s">
        <v>4330</v>
      </c>
      <c r="B1301" s="21" t="s">
        <v>4331</v>
      </c>
      <c r="C1301" s="21" t="s">
        <v>22672</v>
      </c>
      <c r="D1301" s="31" t="s">
        <v>22673</v>
      </c>
      <c r="E1301" s="23" t="s">
        <v>22656</v>
      </c>
      <c r="F1301" s="24" t="s">
        <v>22657</v>
      </c>
      <c r="G1301" s="25">
        <v>4</v>
      </c>
      <c r="H1301" s="29"/>
      <c r="I1301" s="30"/>
    </row>
    <row r="1302" spans="1:9" ht="15.75" thickBot="1" x14ac:dyDescent="0.3">
      <c r="A1302" s="43" t="s">
        <v>4332</v>
      </c>
      <c r="B1302" s="21" t="s">
        <v>4333</v>
      </c>
      <c r="C1302" s="21" t="s">
        <v>22672</v>
      </c>
      <c r="D1302" s="31" t="s">
        <v>22673</v>
      </c>
      <c r="E1302" s="23" t="s">
        <v>22658</v>
      </c>
      <c r="F1302" s="24" t="s">
        <v>22657</v>
      </c>
      <c r="G1302" s="25">
        <v>4</v>
      </c>
      <c r="H1302" s="26"/>
      <c r="I1302" s="27"/>
    </row>
    <row r="1303" spans="1:9" ht="15.75" thickBot="1" x14ac:dyDescent="0.3">
      <c r="A1303" s="43" t="s">
        <v>4334</v>
      </c>
      <c r="B1303" s="21" t="s">
        <v>4335</v>
      </c>
      <c r="C1303" s="21" t="s">
        <v>22672</v>
      </c>
      <c r="D1303" s="31" t="s">
        <v>22673</v>
      </c>
      <c r="E1303" s="23" t="s">
        <v>22658</v>
      </c>
      <c r="F1303" s="24" t="s">
        <v>22657</v>
      </c>
      <c r="G1303" s="25">
        <v>4</v>
      </c>
      <c r="H1303" s="29"/>
      <c r="I1303" s="30"/>
    </row>
    <row r="1304" spans="1:9" ht="15.75" thickBot="1" x14ac:dyDescent="0.3">
      <c r="A1304" s="43" t="s">
        <v>4336</v>
      </c>
      <c r="B1304" s="21" t="s">
        <v>4337</v>
      </c>
      <c r="C1304" s="21" t="s">
        <v>22672</v>
      </c>
      <c r="D1304" s="31" t="s">
        <v>22673</v>
      </c>
      <c r="E1304" s="23" t="s">
        <v>22658</v>
      </c>
      <c r="F1304" s="24" t="s">
        <v>22657</v>
      </c>
      <c r="G1304" s="25">
        <v>4</v>
      </c>
      <c r="H1304" s="26"/>
      <c r="I1304" s="27"/>
    </row>
    <row r="1305" spans="1:9" ht="15.75" thickBot="1" x14ac:dyDescent="0.3">
      <c r="A1305" s="43" t="s">
        <v>4338</v>
      </c>
      <c r="B1305" s="21" t="s">
        <v>4339</v>
      </c>
      <c r="C1305" s="21" t="s">
        <v>22672</v>
      </c>
      <c r="D1305" s="31" t="s">
        <v>22673</v>
      </c>
      <c r="E1305" s="23" t="s">
        <v>22658</v>
      </c>
      <c r="F1305" s="24" t="s">
        <v>22657</v>
      </c>
      <c r="G1305" s="25">
        <v>4</v>
      </c>
      <c r="H1305" s="29"/>
      <c r="I1305" s="30"/>
    </row>
    <row r="1306" spans="1:9" ht="15.75" thickBot="1" x14ac:dyDescent="0.3">
      <c r="A1306" s="43" t="s">
        <v>4340</v>
      </c>
      <c r="B1306" s="21" t="s">
        <v>4341</v>
      </c>
      <c r="C1306" s="21" t="s">
        <v>22672</v>
      </c>
      <c r="D1306" s="31" t="s">
        <v>22673</v>
      </c>
      <c r="E1306" s="23" t="s">
        <v>22656</v>
      </c>
      <c r="F1306" s="24" t="s">
        <v>22657</v>
      </c>
      <c r="G1306" s="25">
        <v>4</v>
      </c>
      <c r="H1306" s="26"/>
      <c r="I1306" s="27"/>
    </row>
    <row r="1307" spans="1:9" ht="15.75" thickBot="1" x14ac:dyDescent="0.3">
      <c r="A1307" s="43" t="s">
        <v>4342</v>
      </c>
      <c r="B1307" s="21" t="s">
        <v>4343</v>
      </c>
      <c r="C1307" s="21" t="s">
        <v>22672</v>
      </c>
      <c r="D1307" s="31" t="s">
        <v>22673</v>
      </c>
      <c r="E1307" s="23" t="s">
        <v>22656</v>
      </c>
      <c r="F1307" s="24" t="s">
        <v>22657</v>
      </c>
      <c r="G1307" s="25">
        <v>4</v>
      </c>
      <c r="H1307" s="29"/>
      <c r="I1307" s="30"/>
    </row>
    <row r="1308" spans="1:9" ht="15.75" thickBot="1" x14ac:dyDescent="0.3">
      <c r="A1308" s="43" t="s">
        <v>4344</v>
      </c>
      <c r="B1308" s="21" t="s">
        <v>4345</v>
      </c>
      <c r="C1308" s="21" t="s">
        <v>22672</v>
      </c>
      <c r="D1308" s="31" t="s">
        <v>22673</v>
      </c>
      <c r="E1308" s="23" t="s">
        <v>22656</v>
      </c>
      <c r="F1308" s="24" t="s">
        <v>22657</v>
      </c>
      <c r="G1308" s="25">
        <v>4</v>
      </c>
      <c r="H1308" s="26"/>
      <c r="I1308" s="27"/>
    </row>
    <row r="1309" spans="1:9" ht="15.75" thickBot="1" x14ac:dyDescent="0.3">
      <c r="A1309" s="43" t="s">
        <v>4346</v>
      </c>
      <c r="B1309" s="21" t="s">
        <v>4347</v>
      </c>
      <c r="C1309" s="21" t="s">
        <v>22672</v>
      </c>
      <c r="D1309" s="31" t="s">
        <v>22673</v>
      </c>
      <c r="E1309" s="23" t="s">
        <v>22658</v>
      </c>
      <c r="F1309" s="24" t="s">
        <v>22657</v>
      </c>
      <c r="G1309" s="25">
        <v>4</v>
      </c>
      <c r="H1309" s="29"/>
      <c r="I1309" s="30"/>
    </row>
    <row r="1310" spans="1:9" ht="15.75" thickBot="1" x14ac:dyDescent="0.3">
      <c r="A1310" s="43" t="s">
        <v>4348</v>
      </c>
      <c r="B1310" s="21" t="s">
        <v>4349</v>
      </c>
      <c r="C1310" s="21" t="s">
        <v>22672</v>
      </c>
      <c r="D1310" s="31" t="s">
        <v>22673</v>
      </c>
      <c r="E1310" s="23" t="s">
        <v>22658</v>
      </c>
      <c r="F1310" s="24" t="s">
        <v>22657</v>
      </c>
      <c r="G1310" s="25">
        <v>4</v>
      </c>
      <c r="H1310" s="26"/>
      <c r="I1310" s="27"/>
    </row>
    <row r="1311" spans="1:9" ht="15.75" thickBot="1" x14ac:dyDescent="0.3">
      <c r="A1311" s="43" t="s">
        <v>4350</v>
      </c>
      <c r="B1311" s="21" t="s">
        <v>4351</v>
      </c>
      <c r="C1311" s="21" t="s">
        <v>22672</v>
      </c>
      <c r="D1311" s="31" t="s">
        <v>22673</v>
      </c>
      <c r="E1311" s="23" t="s">
        <v>22658</v>
      </c>
      <c r="F1311" s="24" t="s">
        <v>22657</v>
      </c>
      <c r="G1311" s="25">
        <v>4</v>
      </c>
      <c r="H1311" s="29"/>
      <c r="I1311" s="30"/>
    </row>
    <row r="1312" spans="1:9" ht="15.75" thickBot="1" x14ac:dyDescent="0.3">
      <c r="A1312" s="43" t="s">
        <v>4352</v>
      </c>
      <c r="B1312" s="21" t="s">
        <v>4353</v>
      </c>
      <c r="C1312" s="21" t="s">
        <v>22672</v>
      </c>
      <c r="D1312" s="31" t="s">
        <v>22673</v>
      </c>
      <c r="E1312" s="23" t="s">
        <v>22658</v>
      </c>
      <c r="F1312" s="24" t="s">
        <v>22657</v>
      </c>
      <c r="G1312" s="25">
        <v>4</v>
      </c>
      <c r="H1312" s="26"/>
      <c r="I1312" s="27"/>
    </row>
    <row r="1313" spans="1:9" ht="15.75" thickBot="1" x14ac:dyDescent="0.3">
      <c r="A1313" s="43" t="s">
        <v>4354</v>
      </c>
      <c r="B1313" s="21" t="s">
        <v>4355</v>
      </c>
      <c r="C1313" s="21" t="s">
        <v>22672</v>
      </c>
      <c r="D1313" s="31" t="s">
        <v>22673</v>
      </c>
      <c r="E1313" s="23" t="s">
        <v>22658</v>
      </c>
      <c r="F1313" s="24" t="s">
        <v>22657</v>
      </c>
      <c r="G1313" s="25">
        <v>4</v>
      </c>
      <c r="H1313" s="29"/>
      <c r="I1313" s="30"/>
    </row>
    <row r="1314" spans="1:9" ht="15.75" thickBot="1" x14ac:dyDescent="0.3">
      <c r="A1314" s="43" t="s">
        <v>4356</v>
      </c>
      <c r="B1314" s="21" t="s">
        <v>4357</v>
      </c>
      <c r="C1314" s="21" t="s">
        <v>22672</v>
      </c>
      <c r="D1314" s="31" t="s">
        <v>22673</v>
      </c>
      <c r="E1314" s="23" t="s">
        <v>22658</v>
      </c>
      <c r="F1314" s="24" t="s">
        <v>22657</v>
      </c>
      <c r="G1314" s="25">
        <v>4</v>
      </c>
      <c r="H1314" s="26"/>
      <c r="I1314" s="27"/>
    </row>
    <row r="1315" spans="1:9" ht="15.75" thickBot="1" x14ac:dyDescent="0.3">
      <c r="A1315" s="43" t="s">
        <v>4358</v>
      </c>
      <c r="B1315" s="21" t="s">
        <v>4359</v>
      </c>
      <c r="C1315" s="21" t="s">
        <v>22672</v>
      </c>
      <c r="D1315" s="31" t="s">
        <v>22673</v>
      </c>
      <c r="E1315" s="23" t="s">
        <v>22658</v>
      </c>
      <c r="F1315" s="24" t="s">
        <v>22657</v>
      </c>
      <c r="G1315" s="25">
        <v>4</v>
      </c>
      <c r="H1315" s="29"/>
      <c r="I1315" s="30"/>
    </row>
    <row r="1316" spans="1:9" ht="15.75" thickBot="1" x14ac:dyDescent="0.3">
      <c r="A1316" s="43" t="s">
        <v>4360</v>
      </c>
      <c r="B1316" s="21" t="s">
        <v>4361</v>
      </c>
      <c r="C1316" s="21" t="s">
        <v>22672</v>
      </c>
      <c r="D1316" s="31" t="s">
        <v>22673</v>
      </c>
      <c r="E1316" s="23" t="s">
        <v>22658</v>
      </c>
      <c r="F1316" s="24" t="s">
        <v>22657</v>
      </c>
      <c r="G1316" s="25">
        <v>4</v>
      </c>
      <c r="H1316" s="26"/>
      <c r="I1316" s="27"/>
    </row>
    <row r="1317" spans="1:9" ht="15.75" thickBot="1" x14ac:dyDescent="0.3">
      <c r="A1317" s="43" t="s">
        <v>4362</v>
      </c>
      <c r="B1317" s="21" t="s">
        <v>4363</v>
      </c>
      <c r="C1317" s="21" t="s">
        <v>22672</v>
      </c>
      <c r="D1317" s="22">
        <v>46032</v>
      </c>
      <c r="E1317" s="23" t="s">
        <v>22658</v>
      </c>
      <c r="F1317" s="24" t="s">
        <v>22657</v>
      </c>
      <c r="G1317" s="25">
        <v>4</v>
      </c>
      <c r="H1317" s="29"/>
      <c r="I1317" s="30"/>
    </row>
    <row r="1318" spans="1:9" ht="15.75" thickBot="1" x14ac:dyDescent="0.3">
      <c r="A1318" s="43" t="s">
        <v>4364</v>
      </c>
      <c r="B1318" s="21" t="s">
        <v>4365</v>
      </c>
      <c r="C1318" s="21" t="s">
        <v>22672</v>
      </c>
      <c r="D1318" s="22">
        <v>46032</v>
      </c>
      <c r="E1318" s="23" t="s">
        <v>22658</v>
      </c>
      <c r="F1318" s="24" t="s">
        <v>22657</v>
      </c>
      <c r="G1318" s="25">
        <v>4</v>
      </c>
      <c r="H1318" s="26"/>
      <c r="I1318" s="27"/>
    </row>
    <row r="1319" spans="1:9" ht="15.75" thickBot="1" x14ac:dyDescent="0.3">
      <c r="A1319" s="43" t="s">
        <v>4366</v>
      </c>
      <c r="B1319" s="21" t="s">
        <v>4367</v>
      </c>
      <c r="C1319" s="21" t="s">
        <v>22672</v>
      </c>
      <c r="D1319" s="22">
        <v>46032</v>
      </c>
      <c r="E1319" s="23" t="s">
        <v>22658</v>
      </c>
      <c r="F1319" s="24" t="s">
        <v>22657</v>
      </c>
      <c r="G1319" s="25">
        <v>4</v>
      </c>
      <c r="H1319" s="29"/>
      <c r="I1319" s="30"/>
    </row>
    <row r="1320" spans="1:9" ht="15.75" thickBot="1" x14ac:dyDescent="0.3">
      <c r="A1320" s="43" t="s">
        <v>4368</v>
      </c>
      <c r="B1320" s="21" t="s">
        <v>4369</v>
      </c>
      <c r="C1320" s="21" t="s">
        <v>22672</v>
      </c>
      <c r="D1320" s="22">
        <v>46032</v>
      </c>
      <c r="E1320" s="23" t="s">
        <v>22658</v>
      </c>
      <c r="F1320" s="24" t="s">
        <v>22657</v>
      </c>
      <c r="G1320" s="25">
        <v>4</v>
      </c>
      <c r="H1320" s="26"/>
      <c r="I1320" s="27"/>
    </row>
    <row r="1321" spans="1:9" ht="15.75" thickBot="1" x14ac:dyDescent="0.3">
      <c r="A1321" s="43" t="s">
        <v>4370</v>
      </c>
      <c r="B1321" s="21" t="s">
        <v>4371</v>
      </c>
      <c r="C1321" s="21" t="s">
        <v>22672</v>
      </c>
      <c r="D1321" s="22">
        <v>46032</v>
      </c>
      <c r="E1321" s="23" t="s">
        <v>22658</v>
      </c>
      <c r="F1321" s="24" t="s">
        <v>22657</v>
      </c>
      <c r="G1321" s="25">
        <v>4</v>
      </c>
      <c r="H1321" s="29"/>
      <c r="I1321" s="30"/>
    </row>
    <row r="1322" spans="1:9" ht="15.75" thickBot="1" x14ac:dyDescent="0.3">
      <c r="A1322" s="43" t="s">
        <v>4372</v>
      </c>
      <c r="B1322" s="21" t="s">
        <v>4373</v>
      </c>
      <c r="C1322" s="21" t="s">
        <v>22672</v>
      </c>
      <c r="D1322" s="22">
        <v>46032</v>
      </c>
      <c r="E1322" s="23" t="s">
        <v>22658</v>
      </c>
      <c r="F1322" s="24" t="s">
        <v>22657</v>
      </c>
      <c r="G1322" s="25">
        <v>4</v>
      </c>
      <c r="H1322" s="26"/>
      <c r="I1322" s="27"/>
    </row>
    <row r="1323" spans="1:9" ht="15.75" thickBot="1" x14ac:dyDescent="0.3">
      <c r="A1323" s="43" t="s">
        <v>4374</v>
      </c>
      <c r="B1323" s="21" t="s">
        <v>4375</v>
      </c>
      <c r="C1323" s="21" t="s">
        <v>22672</v>
      </c>
      <c r="D1323" s="22">
        <v>46032</v>
      </c>
      <c r="E1323" s="23" t="s">
        <v>22658</v>
      </c>
      <c r="F1323" s="24" t="s">
        <v>22657</v>
      </c>
      <c r="G1323" s="25">
        <v>4</v>
      </c>
      <c r="H1323" s="29"/>
      <c r="I1323" s="30"/>
    </row>
    <row r="1324" spans="1:9" ht="15.75" thickBot="1" x14ac:dyDescent="0.3">
      <c r="A1324" s="43" t="s">
        <v>4376</v>
      </c>
      <c r="B1324" s="21" t="s">
        <v>4377</v>
      </c>
      <c r="C1324" s="21" t="s">
        <v>22672</v>
      </c>
      <c r="D1324" s="22">
        <v>46032</v>
      </c>
      <c r="E1324" s="23" t="s">
        <v>22658</v>
      </c>
      <c r="F1324" s="24" t="s">
        <v>22657</v>
      </c>
      <c r="G1324" s="25">
        <v>4</v>
      </c>
      <c r="H1324" s="26"/>
      <c r="I1324" s="27"/>
    </row>
    <row r="1325" spans="1:9" ht="15.75" thickBot="1" x14ac:dyDescent="0.3">
      <c r="A1325" s="43" t="s">
        <v>4378</v>
      </c>
      <c r="B1325" s="21" t="s">
        <v>4379</v>
      </c>
      <c r="C1325" s="21" t="s">
        <v>22672</v>
      </c>
      <c r="D1325" s="22">
        <v>46032</v>
      </c>
      <c r="E1325" s="23" t="s">
        <v>22658</v>
      </c>
      <c r="F1325" s="24" t="s">
        <v>22657</v>
      </c>
      <c r="G1325" s="25">
        <v>4</v>
      </c>
      <c r="H1325" s="29"/>
      <c r="I1325" s="30"/>
    </row>
    <row r="1326" spans="1:9" ht="15.75" thickBot="1" x14ac:dyDescent="0.3">
      <c r="A1326" s="43" t="s">
        <v>4380</v>
      </c>
      <c r="B1326" s="21" t="s">
        <v>4381</v>
      </c>
      <c r="C1326" s="21" t="s">
        <v>22672</v>
      </c>
      <c r="D1326" s="22">
        <v>46032</v>
      </c>
      <c r="E1326" s="23" t="s">
        <v>22658</v>
      </c>
      <c r="F1326" s="24" t="s">
        <v>22657</v>
      </c>
      <c r="G1326" s="25">
        <v>4</v>
      </c>
      <c r="H1326" s="26"/>
      <c r="I1326" s="27"/>
    </row>
    <row r="1327" spans="1:9" ht="15.75" thickBot="1" x14ac:dyDescent="0.3">
      <c r="A1327" s="43" t="s">
        <v>4382</v>
      </c>
      <c r="B1327" s="21" t="s">
        <v>4383</v>
      </c>
      <c r="C1327" s="21" t="s">
        <v>22672</v>
      </c>
      <c r="D1327" s="22">
        <v>46032</v>
      </c>
      <c r="E1327" s="23" t="s">
        <v>22658</v>
      </c>
      <c r="F1327" s="24" t="s">
        <v>22657</v>
      </c>
      <c r="G1327" s="25">
        <v>4</v>
      </c>
      <c r="H1327" s="29"/>
      <c r="I1327" s="30"/>
    </row>
    <row r="1328" spans="1:9" ht="15.75" thickBot="1" x14ac:dyDescent="0.3">
      <c r="A1328" s="43" t="s">
        <v>4384</v>
      </c>
      <c r="B1328" s="21" t="s">
        <v>4385</v>
      </c>
      <c r="C1328" s="21" t="s">
        <v>22672</v>
      </c>
      <c r="D1328" s="22">
        <v>46032</v>
      </c>
      <c r="E1328" s="23" t="s">
        <v>22658</v>
      </c>
      <c r="F1328" s="24" t="s">
        <v>22657</v>
      </c>
      <c r="G1328" s="25">
        <v>4</v>
      </c>
      <c r="H1328" s="26"/>
      <c r="I1328" s="27"/>
    </row>
    <row r="1329" spans="1:9" ht="15.75" thickBot="1" x14ac:dyDescent="0.3">
      <c r="A1329" s="43" t="s">
        <v>4386</v>
      </c>
      <c r="B1329" s="21" t="s">
        <v>4387</v>
      </c>
      <c r="C1329" s="21" t="s">
        <v>22672</v>
      </c>
      <c r="D1329" s="22">
        <v>46032</v>
      </c>
      <c r="E1329" s="23" t="s">
        <v>22656</v>
      </c>
      <c r="F1329" s="24" t="s">
        <v>22657</v>
      </c>
      <c r="G1329" s="25">
        <v>5</v>
      </c>
      <c r="H1329" s="29"/>
      <c r="I1329" s="30"/>
    </row>
    <row r="1330" spans="1:9" ht="15.75" thickBot="1" x14ac:dyDescent="0.3">
      <c r="A1330" s="43" t="s">
        <v>4388</v>
      </c>
      <c r="B1330" s="21" t="s">
        <v>4389</v>
      </c>
      <c r="C1330" s="21" t="s">
        <v>22672</v>
      </c>
      <c r="D1330" s="22">
        <v>46032</v>
      </c>
      <c r="E1330" s="23" t="s">
        <v>22658</v>
      </c>
      <c r="F1330" s="24" t="s">
        <v>22657</v>
      </c>
      <c r="G1330" s="25">
        <v>4</v>
      </c>
      <c r="H1330" s="26"/>
      <c r="I1330" s="27"/>
    </row>
    <row r="1331" spans="1:9" ht="15.75" thickBot="1" x14ac:dyDescent="0.3">
      <c r="A1331" s="43" t="s">
        <v>4390</v>
      </c>
      <c r="B1331" s="21" t="s">
        <v>4391</v>
      </c>
      <c r="C1331" s="21" t="s">
        <v>22663</v>
      </c>
      <c r="D1331" s="31">
        <v>1</v>
      </c>
      <c r="E1331" s="23" t="s">
        <v>22658</v>
      </c>
      <c r="F1331" s="24" t="s">
        <v>22657</v>
      </c>
      <c r="G1331" s="25">
        <v>2</v>
      </c>
      <c r="H1331" s="29"/>
      <c r="I1331" s="30"/>
    </row>
    <row r="1332" spans="1:9" ht="15.75" thickBot="1" x14ac:dyDescent="0.3">
      <c r="A1332" s="43" t="s">
        <v>4392</v>
      </c>
      <c r="B1332" s="21" t="s">
        <v>4393</v>
      </c>
      <c r="C1332" s="21" t="s">
        <v>22746</v>
      </c>
      <c r="D1332" s="31" t="s">
        <v>22747</v>
      </c>
      <c r="E1332" s="23" t="s">
        <v>22656</v>
      </c>
      <c r="F1332" s="24" t="s">
        <v>22657</v>
      </c>
      <c r="G1332" s="25">
        <v>34</v>
      </c>
      <c r="H1332" s="26"/>
      <c r="I1332" s="27"/>
    </row>
    <row r="1333" spans="1:9" ht="15.75" thickBot="1" x14ac:dyDescent="0.3">
      <c r="A1333" s="43" t="s">
        <v>4394</v>
      </c>
      <c r="B1333" s="21" t="s">
        <v>4395</v>
      </c>
      <c r="C1333" s="21" t="s">
        <v>22746</v>
      </c>
      <c r="D1333" s="31" t="s">
        <v>22747</v>
      </c>
      <c r="E1333" s="23" t="s">
        <v>22661</v>
      </c>
      <c r="F1333" s="24" t="s">
        <v>22657</v>
      </c>
      <c r="G1333" s="25">
        <v>50</v>
      </c>
      <c r="H1333" s="32">
        <v>50</v>
      </c>
      <c r="I1333" s="33">
        <v>100</v>
      </c>
    </row>
    <row r="1334" spans="1:9" ht="15.75" thickBot="1" x14ac:dyDescent="0.3">
      <c r="A1334" s="43" t="s">
        <v>4396</v>
      </c>
      <c r="B1334" s="21" t="s">
        <v>4397</v>
      </c>
      <c r="C1334" s="21" t="s">
        <v>22746</v>
      </c>
      <c r="D1334" s="31" t="s">
        <v>22747</v>
      </c>
      <c r="E1334" s="23" t="s">
        <v>22656</v>
      </c>
      <c r="F1334" s="24" t="s">
        <v>22657</v>
      </c>
      <c r="G1334" s="25">
        <v>34</v>
      </c>
      <c r="H1334" s="26"/>
      <c r="I1334" s="27"/>
    </row>
    <row r="1335" spans="1:9" ht="15.75" thickBot="1" x14ac:dyDescent="0.3">
      <c r="A1335" s="43" t="s">
        <v>4398</v>
      </c>
      <c r="B1335" s="21" t="s">
        <v>4399</v>
      </c>
      <c r="C1335" s="21" t="s">
        <v>22746</v>
      </c>
      <c r="D1335" s="31" t="s">
        <v>22747</v>
      </c>
      <c r="E1335" s="23" t="s">
        <v>22661</v>
      </c>
      <c r="F1335" s="24" t="s">
        <v>22657</v>
      </c>
      <c r="G1335" s="25">
        <v>100</v>
      </c>
      <c r="H1335" s="32">
        <v>100</v>
      </c>
      <c r="I1335" s="33">
        <v>200</v>
      </c>
    </row>
    <row r="1336" spans="1:9" ht="15.75" thickBot="1" x14ac:dyDescent="0.3">
      <c r="A1336" s="43" t="s">
        <v>4400</v>
      </c>
      <c r="B1336" s="21" t="s">
        <v>4401</v>
      </c>
      <c r="C1336" s="21" t="s">
        <v>22672</v>
      </c>
      <c r="D1336" s="22">
        <v>46032</v>
      </c>
      <c r="E1336" s="23" t="s">
        <v>22658</v>
      </c>
      <c r="F1336" s="24" t="s">
        <v>22657</v>
      </c>
      <c r="G1336" s="25">
        <v>4</v>
      </c>
      <c r="H1336" s="26"/>
      <c r="I1336" s="27"/>
    </row>
    <row r="1337" spans="1:9" ht="15.75" thickBot="1" x14ac:dyDescent="0.3">
      <c r="A1337" s="43" t="s">
        <v>4402</v>
      </c>
      <c r="B1337" s="21" t="s">
        <v>4403</v>
      </c>
      <c r="C1337" s="21" t="s">
        <v>22672</v>
      </c>
      <c r="D1337" s="22">
        <v>46032</v>
      </c>
      <c r="E1337" s="23" t="s">
        <v>22658</v>
      </c>
      <c r="F1337" s="24" t="s">
        <v>22657</v>
      </c>
      <c r="G1337" s="25">
        <v>4</v>
      </c>
      <c r="H1337" s="29"/>
      <c r="I1337" s="30"/>
    </row>
    <row r="1338" spans="1:9" ht="15.75" thickBot="1" x14ac:dyDescent="0.3">
      <c r="A1338" s="43" t="s">
        <v>4404</v>
      </c>
      <c r="B1338" s="21" t="s">
        <v>4405</v>
      </c>
      <c r="C1338" s="21" t="s">
        <v>22672</v>
      </c>
      <c r="D1338" s="22">
        <v>46032</v>
      </c>
      <c r="E1338" s="23" t="s">
        <v>22656</v>
      </c>
      <c r="F1338" s="24" t="s">
        <v>22657</v>
      </c>
      <c r="G1338" s="25">
        <v>4</v>
      </c>
      <c r="H1338" s="26"/>
      <c r="I1338" s="27"/>
    </row>
    <row r="1339" spans="1:9" ht="15.75" thickBot="1" x14ac:dyDescent="0.3">
      <c r="A1339" s="43" t="s">
        <v>4406</v>
      </c>
      <c r="B1339" s="21" t="s">
        <v>4407</v>
      </c>
      <c r="C1339" s="21" t="s">
        <v>22672</v>
      </c>
      <c r="D1339" s="22">
        <v>46032</v>
      </c>
      <c r="E1339" s="23" t="s">
        <v>22656</v>
      </c>
      <c r="F1339" s="24" t="s">
        <v>22657</v>
      </c>
      <c r="G1339" s="25">
        <v>4</v>
      </c>
      <c r="H1339" s="29"/>
      <c r="I1339" s="30"/>
    </row>
    <row r="1340" spans="1:9" ht="15.75" thickBot="1" x14ac:dyDescent="0.3">
      <c r="A1340" s="43" t="s">
        <v>4408</v>
      </c>
      <c r="B1340" s="21" t="s">
        <v>4409</v>
      </c>
      <c r="C1340" s="21" t="s">
        <v>22672</v>
      </c>
      <c r="D1340" s="22">
        <v>46032</v>
      </c>
      <c r="E1340" s="23" t="s">
        <v>22656</v>
      </c>
      <c r="F1340" s="24" t="s">
        <v>22657</v>
      </c>
      <c r="G1340" s="25">
        <v>5</v>
      </c>
      <c r="H1340" s="26"/>
      <c r="I1340" s="27"/>
    </row>
    <row r="1341" spans="1:9" ht="15.75" thickBot="1" x14ac:dyDescent="0.3">
      <c r="A1341" s="43" t="s">
        <v>4410</v>
      </c>
      <c r="B1341" s="21" t="s">
        <v>4411</v>
      </c>
      <c r="C1341" s="21" t="s">
        <v>22672</v>
      </c>
      <c r="D1341" s="22">
        <v>46032</v>
      </c>
      <c r="E1341" s="23" t="s">
        <v>22656</v>
      </c>
      <c r="F1341" s="24" t="s">
        <v>22657</v>
      </c>
      <c r="G1341" s="25">
        <v>4</v>
      </c>
      <c r="H1341" s="29"/>
      <c r="I1341" s="30"/>
    </row>
    <row r="1342" spans="1:9" ht="15.75" thickBot="1" x14ac:dyDescent="0.3">
      <c r="A1342" s="43" t="s">
        <v>4412</v>
      </c>
      <c r="B1342" s="21" t="s">
        <v>4413</v>
      </c>
      <c r="C1342" s="21" t="s">
        <v>22672</v>
      </c>
      <c r="D1342" s="22">
        <v>46032</v>
      </c>
      <c r="E1342" s="23" t="s">
        <v>22656</v>
      </c>
      <c r="F1342" s="24" t="s">
        <v>22657</v>
      </c>
      <c r="G1342" s="25">
        <v>4</v>
      </c>
      <c r="H1342" s="26"/>
      <c r="I1342" s="27"/>
    </row>
    <row r="1343" spans="1:9" ht="15.75" thickBot="1" x14ac:dyDescent="0.3">
      <c r="A1343" s="43" t="s">
        <v>4414</v>
      </c>
      <c r="B1343" s="21" t="s">
        <v>4415</v>
      </c>
      <c r="C1343" s="21" t="s">
        <v>22672</v>
      </c>
      <c r="D1343" s="22">
        <v>46032</v>
      </c>
      <c r="E1343" s="23" t="s">
        <v>22656</v>
      </c>
      <c r="F1343" s="24" t="s">
        <v>22657</v>
      </c>
      <c r="G1343" s="25">
        <v>4</v>
      </c>
      <c r="H1343" s="29"/>
      <c r="I1343" s="30"/>
    </row>
    <row r="1344" spans="1:9" ht="15.75" thickBot="1" x14ac:dyDescent="0.3">
      <c r="A1344" s="43" t="s">
        <v>4416</v>
      </c>
      <c r="B1344" s="21" t="s">
        <v>4417</v>
      </c>
      <c r="C1344" s="21" t="s">
        <v>22672</v>
      </c>
      <c r="D1344" s="22">
        <v>46032</v>
      </c>
      <c r="E1344" s="23" t="s">
        <v>22656</v>
      </c>
      <c r="F1344" s="24" t="s">
        <v>22657</v>
      </c>
      <c r="G1344" s="25">
        <v>4</v>
      </c>
      <c r="H1344" s="26"/>
      <c r="I1344" s="27"/>
    </row>
    <row r="1345" spans="1:9" ht="15.75" thickBot="1" x14ac:dyDescent="0.3">
      <c r="A1345" s="43" t="s">
        <v>4418</v>
      </c>
      <c r="B1345" s="21" t="s">
        <v>4419</v>
      </c>
      <c r="C1345" s="21" t="s">
        <v>22672</v>
      </c>
      <c r="D1345" s="22">
        <v>46032</v>
      </c>
      <c r="E1345" s="23" t="s">
        <v>22658</v>
      </c>
      <c r="F1345" s="24" t="s">
        <v>22657</v>
      </c>
      <c r="G1345" s="25">
        <v>4</v>
      </c>
      <c r="H1345" s="29"/>
      <c r="I1345" s="30"/>
    </row>
    <row r="1346" spans="1:9" ht="15.75" thickBot="1" x14ac:dyDescent="0.3">
      <c r="A1346" s="43" t="s">
        <v>4420</v>
      </c>
      <c r="B1346" s="21" t="s">
        <v>4421</v>
      </c>
      <c r="C1346" s="21" t="s">
        <v>22672</v>
      </c>
      <c r="D1346" s="22">
        <v>46032</v>
      </c>
      <c r="E1346" s="23" t="s">
        <v>22656</v>
      </c>
      <c r="F1346" s="24" t="s">
        <v>22657</v>
      </c>
      <c r="G1346" s="25">
        <v>5</v>
      </c>
      <c r="H1346" s="26"/>
      <c r="I1346" s="27"/>
    </row>
    <row r="1347" spans="1:9" ht="15.75" thickBot="1" x14ac:dyDescent="0.3">
      <c r="A1347" s="43" t="s">
        <v>4422</v>
      </c>
      <c r="B1347" s="21" t="s">
        <v>4423</v>
      </c>
      <c r="C1347" s="21" t="s">
        <v>22672</v>
      </c>
      <c r="D1347" s="22">
        <v>46032</v>
      </c>
      <c r="E1347" s="23" t="s">
        <v>22656</v>
      </c>
      <c r="F1347" s="24" t="s">
        <v>22657</v>
      </c>
      <c r="G1347" s="25">
        <v>4</v>
      </c>
      <c r="H1347" s="29"/>
      <c r="I1347" s="30"/>
    </row>
    <row r="1348" spans="1:9" ht="15.75" thickBot="1" x14ac:dyDescent="0.3">
      <c r="A1348" s="43" t="s">
        <v>4424</v>
      </c>
      <c r="B1348" s="21" t="s">
        <v>4425</v>
      </c>
      <c r="C1348" s="21" t="s">
        <v>22672</v>
      </c>
      <c r="D1348" s="22">
        <v>46032</v>
      </c>
      <c r="E1348" s="23" t="s">
        <v>22656</v>
      </c>
      <c r="F1348" s="24" t="s">
        <v>22657</v>
      </c>
      <c r="G1348" s="25">
        <v>8</v>
      </c>
      <c r="H1348" s="26"/>
      <c r="I1348" s="27"/>
    </row>
    <row r="1349" spans="1:9" ht="15.75" thickBot="1" x14ac:dyDescent="0.3">
      <c r="A1349" s="43" t="s">
        <v>4426</v>
      </c>
      <c r="B1349" s="21" t="s">
        <v>4427</v>
      </c>
      <c r="C1349" s="21" t="s">
        <v>22672</v>
      </c>
      <c r="D1349" s="22">
        <v>46032</v>
      </c>
      <c r="E1349" s="23" t="s">
        <v>22658</v>
      </c>
      <c r="F1349" s="24" t="s">
        <v>22657</v>
      </c>
      <c r="G1349" s="25">
        <v>4</v>
      </c>
      <c r="H1349" s="29"/>
      <c r="I1349" s="30"/>
    </row>
    <row r="1350" spans="1:9" ht="15.75" thickBot="1" x14ac:dyDescent="0.3">
      <c r="A1350" s="43" t="s">
        <v>4428</v>
      </c>
      <c r="B1350" s="21" t="s">
        <v>4429</v>
      </c>
      <c r="C1350" s="21" t="s">
        <v>22672</v>
      </c>
      <c r="D1350" s="22">
        <v>46032</v>
      </c>
      <c r="E1350" s="23" t="s">
        <v>22656</v>
      </c>
      <c r="F1350" s="24" t="s">
        <v>22657</v>
      </c>
      <c r="G1350" s="25">
        <v>6</v>
      </c>
      <c r="H1350" s="26"/>
      <c r="I1350" s="27"/>
    </row>
    <row r="1351" spans="1:9" ht="15.75" thickBot="1" x14ac:dyDescent="0.3">
      <c r="A1351" s="43" t="s">
        <v>4430</v>
      </c>
      <c r="B1351" s="21" t="s">
        <v>4431</v>
      </c>
      <c r="C1351" s="21" t="s">
        <v>22672</v>
      </c>
      <c r="D1351" s="22">
        <v>46032</v>
      </c>
      <c r="E1351" s="23" t="s">
        <v>22656</v>
      </c>
      <c r="F1351" s="24" t="s">
        <v>22657</v>
      </c>
      <c r="G1351" s="25">
        <v>5</v>
      </c>
      <c r="H1351" s="29"/>
      <c r="I1351" s="30"/>
    </row>
    <row r="1352" spans="1:9" ht="15.75" thickBot="1" x14ac:dyDescent="0.3">
      <c r="A1352" s="43" t="s">
        <v>4432</v>
      </c>
      <c r="B1352" s="21" t="s">
        <v>4433</v>
      </c>
      <c r="C1352" s="21" t="s">
        <v>22672</v>
      </c>
      <c r="D1352" s="22">
        <v>46032</v>
      </c>
      <c r="E1352" s="23" t="s">
        <v>22656</v>
      </c>
      <c r="F1352" s="24" t="s">
        <v>22657</v>
      </c>
      <c r="G1352" s="25">
        <v>4</v>
      </c>
      <c r="H1352" s="26"/>
      <c r="I1352" s="27"/>
    </row>
    <row r="1353" spans="1:9" ht="15.75" thickBot="1" x14ac:dyDescent="0.3">
      <c r="A1353" s="43" t="s">
        <v>4434</v>
      </c>
      <c r="B1353" s="21" t="s">
        <v>4435</v>
      </c>
      <c r="C1353" s="21" t="s">
        <v>22672</v>
      </c>
      <c r="D1353" s="22">
        <v>46032</v>
      </c>
      <c r="E1353" s="23" t="s">
        <v>22656</v>
      </c>
      <c r="F1353" s="24" t="s">
        <v>22657</v>
      </c>
      <c r="G1353" s="25">
        <v>4</v>
      </c>
      <c r="H1353" s="29"/>
      <c r="I1353" s="30"/>
    </row>
    <row r="1354" spans="1:9" ht="15.75" thickBot="1" x14ac:dyDescent="0.3">
      <c r="A1354" s="43" t="s">
        <v>4438</v>
      </c>
      <c r="B1354" s="21" t="s">
        <v>4437</v>
      </c>
      <c r="C1354" s="21" t="s">
        <v>22672</v>
      </c>
      <c r="D1354" s="22">
        <v>46032</v>
      </c>
      <c r="E1354" s="23" t="s">
        <v>22656</v>
      </c>
      <c r="F1354" s="24" t="s">
        <v>22657</v>
      </c>
      <c r="G1354" s="25">
        <v>4</v>
      </c>
      <c r="H1354" s="26"/>
      <c r="I1354" s="27"/>
    </row>
    <row r="1355" spans="1:9" ht="15.75" thickBot="1" x14ac:dyDescent="0.3">
      <c r="A1355" s="43" t="s">
        <v>4436</v>
      </c>
      <c r="B1355" s="21" t="s">
        <v>4437</v>
      </c>
      <c r="C1355" s="21" t="s">
        <v>22672</v>
      </c>
      <c r="D1355" s="22">
        <v>46032</v>
      </c>
      <c r="E1355" s="23" t="s">
        <v>22656</v>
      </c>
      <c r="F1355" s="24" t="s">
        <v>22657</v>
      </c>
      <c r="G1355" s="25">
        <v>5</v>
      </c>
      <c r="H1355" s="29"/>
      <c r="I1355" s="30"/>
    </row>
    <row r="1356" spans="1:9" ht="15.75" thickBot="1" x14ac:dyDescent="0.3">
      <c r="A1356" s="43" t="s">
        <v>4439</v>
      </c>
      <c r="B1356" s="21" t="s">
        <v>4440</v>
      </c>
      <c r="C1356" s="21" t="s">
        <v>22672</v>
      </c>
      <c r="D1356" s="22">
        <v>46032</v>
      </c>
      <c r="E1356" s="23" t="s">
        <v>22656</v>
      </c>
      <c r="F1356" s="24" t="s">
        <v>22657</v>
      </c>
      <c r="G1356" s="25">
        <v>4</v>
      </c>
      <c r="H1356" s="26"/>
      <c r="I1356" s="27"/>
    </row>
    <row r="1357" spans="1:9" ht="15.75" thickBot="1" x14ac:dyDescent="0.3">
      <c r="A1357" s="43" t="s">
        <v>4441</v>
      </c>
      <c r="B1357" s="21" t="s">
        <v>4442</v>
      </c>
      <c r="C1357" s="21" t="s">
        <v>22672</v>
      </c>
      <c r="D1357" s="22">
        <v>46032</v>
      </c>
      <c r="E1357" s="23" t="s">
        <v>22656</v>
      </c>
      <c r="F1357" s="24" t="s">
        <v>22657</v>
      </c>
      <c r="G1357" s="25">
        <v>4</v>
      </c>
      <c r="H1357" s="29"/>
      <c r="I1357" s="30"/>
    </row>
    <row r="1358" spans="1:9" ht="15.75" thickBot="1" x14ac:dyDescent="0.3">
      <c r="A1358" s="43" t="s">
        <v>4443</v>
      </c>
      <c r="B1358" s="21" t="s">
        <v>4444</v>
      </c>
      <c r="C1358" s="21" t="s">
        <v>22672</v>
      </c>
      <c r="D1358" s="22">
        <v>46032</v>
      </c>
      <c r="E1358" s="23" t="s">
        <v>22658</v>
      </c>
      <c r="F1358" s="24" t="s">
        <v>22657</v>
      </c>
      <c r="G1358" s="25">
        <v>4</v>
      </c>
      <c r="H1358" s="26"/>
      <c r="I1358" s="27"/>
    </row>
    <row r="1359" spans="1:9" ht="15.75" thickBot="1" x14ac:dyDescent="0.3">
      <c r="A1359" s="43" t="s">
        <v>4445</v>
      </c>
      <c r="B1359" s="21" t="s">
        <v>4446</v>
      </c>
      <c r="C1359" s="21" t="s">
        <v>22672</v>
      </c>
      <c r="D1359" s="22">
        <v>46032</v>
      </c>
      <c r="E1359" s="23" t="s">
        <v>22656</v>
      </c>
      <c r="F1359" s="24" t="s">
        <v>22657</v>
      </c>
      <c r="G1359" s="25">
        <v>4</v>
      </c>
      <c r="H1359" s="29"/>
      <c r="I1359" s="30"/>
    </row>
    <row r="1360" spans="1:9" ht="15.75" thickBot="1" x14ac:dyDescent="0.3">
      <c r="A1360" s="43" t="s">
        <v>4447</v>
      </c>
      <c r="B1360" s="21" t="s">
        <v>4448</v>
      </c>
      <c r="C1360" s="21" t="s">
        <v>22672</v>
      </c>
      <c r="D1360" s="22">
        <v>46032</v>
      </c>
      <c r="E1360" s="23" t="s">
        <v>22656</v>
      </c>
      <c r="F1360" s="24" t="s">
        <v>22657</v>
      </c>
      <c r="G1360" s="25">
        <v>4</v>
      </c>
      <c r="H1360" s="26"/>
      <c r="I1360" s="27"/>
    </row>
    <row r="1361" spans="1:9" ht="15.75" thickBot="1" x14ac:dyDescent="0.3">
      <c r="A1361" s="43" t="s">
        <v>4449</v>
      </c>
      <c r="B1361" s="21" t="s">
        <v>4450</v>
      </c>
      <c r="C1361" s="21" t="s">
        <v>22672</v>
      </c>
      <c r="D1361" s="22">
        <v>46032</v>
      </c>
      <c r="E1361" s="23" t="s">
        <v>22658</v>
      </c>
      <c r="F1361" s="24" t="s">
        <v>22657</v>
      </c>
      <c r="G1361" s="25">
        <v>4</v>
      </c>
      <c r="H1361" s="29"/>
      <c r="I1361" s="30"/>
    </row>
    <row r="1362" spans="1:9" ht="15.75" thickBot="1" x14ac:dyDescent="0.3">
      <c r="A1362" s="43" t="s">
        <v>4451</v>
      </c>
      <c r="B1362" s="21" t="s">
        <v>4452</v>
      </c>
      <c r="C1362" s="21" t="s">
        <v>22672</v>
      </c>
      <c r="D1362" s="22">
        <v>46032</v>
      </c>
      <c r="E1362" s="23" t="s">
        <v>22656</v>
      </c>
      <c r="F1362" s="24" t="s">
        <v>22657</v>
      </c>
      <c r="G1362" s="25">
        <v>4</v>
      </c>
      <c r="H1362" s="26"/>
      <c r="I1362" s="27"/>
    </row>
    <row r="1363" spans="1:9" ht="15.75" thickBot="1" x14ac:dyDescent="0.3">
      <c r="A1363" s="43" t="s">
        <v>4453</v>
      </c>
      <c r="B1363" s="21" t="s">
        <v>4454</v>
      </c>
      <c r="C1363" s="21" t="s">
        <v>22672</v>
      </c>
      <c r="D1363" s="22">
        <v>46032</v>
      </c>
      <c r="E1363" s="23" t="s">
        <v>22656</v>
      </c>
      <c r="F1363" s="24" t="s">
        <v>22657</v>
      </c>
      <c r="G1363" s="25">
        <v>4</v>
      </c>
      <c r="H1363" s="29"/>
      <c r="I1363" s="30"/>
    </row>
    <row r="1364" spans="1:9" ht="15.75" thickBot="1" x14ac:dyDescent="0.3">
      <c r="A1364" s="43" t="s">
        <v>4455</v>
      </c>
      <c r="B1364" s="21" t="s">
        <v>4456</v>
      </c>
      <c r="C1364" s="21" t="s">
        <v>22672</v>
      </c>
      <c r="D1364" s="31" t="s">
        <v>22683</v>
      </c>
      <c r="E1364" s="23" t="s">
        <v>22656</v>
      </c>
      <c r="F1364" s="24" t="s">
        <v>22657</v>
      </c>
      <c r="G1364" s="25">
        <v>35</v>
      </c>
      <c r="H1364" s="26"/>
      <c r="I1364" s="27"/>
    </row>
    <row r="1365" spans="1:9" ht="15.75" thickBot="1" x14ac:dyDescent="0.3">
      <c r="A1365" s="43" t="s">
        <v>4457</v>
      </c>
      <c r="B1365" s="21" t="s">
        <v>4458</v>
      </c>
      <c r="C1365" s="21" t="s">
        <v>22672</v>
      </c>
      <c r="D1365" s="31" t="s">
        <v>22683</v>
      </c>
      <c r="E1365" s="23" t="s">
        <v>22661</v>
      </c>
      <c r="F1365" s="24" t="s">
        <v>22657</v>
      </c>
      <c r="G1365" s="25">
        <v>34</v>
      </c>
      <c r="H1365" s="29"/>
      <c r="I1365" s="30"/>
    </row>
    <row r="1366" spans="1:9" ht="15.75" thickBot="1" x14ac:dyDescent="0.3">
      <c r="A1366" s="43" t="s">
        <v>4459</v>
      </c>
      <c r="B1366" s="21" t="s">
        <v>4460</v>
      </c>
      <c r="C1366" s="21" t="s">
        <v>22672</v>
      </c>
      <c r="D1366" s="31" t="s">
        <v>22683</v>
      </c>
      <c r="E1366" s="23" t="s">
        <v>22656</v>
      </c>
      <c r="F1366" s="24" t="s">
        <v>22657</v>
      </c>
      <c r="G1366" s="25">
        <v>34</v>
      </c>
      <c r="H1366" s="26"/>
      <c r="I1366" s="27"/>
    </row>
    <row r="1367" spans="1:9" ht="15.75" thickBot="1" x14ac:dyDescent="0.3">
      <c r="A1367" s="43" t="s">
        <v>4461</v>
      </c>
      <c r="B1367" s="21" t="s">
        <v>4462</v>
      </c>
      <c r="C1367" s="21" t="s">
        <v>22672</v>
      </c>
      <c r="D1367" s="31" t="s">
        <v>22683</v>
      </c>
      <c r="E1367" s="23" t="s">
        <v>22656</v>
      </c>
      <c r="F1367" s="24" t="s">
        <v>22657</v>
      </c>
      <c r="G1367" s="25">
        <v>34</v>
      </c>
      <c r="H1367" s="29"/>
      <c r="I1367" s="30"/>
    </row>
    <row r="1368" spans="1:9" ht="15.75" thickBot="1" x14ac:dyDescent="0.3">
      <c r="A1368" s="43" t="s">
        <v>4463</v>
      </c>
      <c r="B1368" s="21" t="s">
        <v>4464</v>
      </c>
      <c r="C1368" s="21" t="s">
        <v>22672</v>
      </c>
      <c r="D1368" s="31" t="s">
        <v>22683</v>
      </c>
      <c r="E1368" s="23" t="s">
        <v>22656</v>
      </c>
      <c r="F1368" s="24" t="s">
        <v>22657</v>
      </c>
      <c r="G1368" s="25">
        <v>6</v>
      </c>
      <c r="H1368" s="34">
        <v>6</v>
      </c>
      <c r="I1368" s="35">
        <v>10</v>
      </c>
    </row>
    <row r="1369" spans="1:9" ht="15.75" thickBot="1" x14ac:dyDescent="0.3">
      <c r="A1369" s="43" t="s">
        <v>4465</v>
      </c>
      <c r="B1369" s="21" t="s">
        <v>4466</v>
      </c>
      <c r="C1369" s="21" t="s">
        <v>22672</v>
      </c>
      <c r="D1369" s="31" t="s">
        <v>22683</v>
      </c>
      <c r="E1369" s="23" t="s">
        <v>22656</v>
      </c>
      <c r="F1369" s="24" t="s">
        <v>22657</v>
      </c>
      <c r="G1369" s="25">
        <v>34</v>
      </c>
      <c r="H1369" s="29"/>
      <c r="I1369" s="30"/>
    </row>
    <row r="1370" spans="1:9" ht="15.75" thickBot="1" x14ac:dyDescent="0.3">
      <c r="A1370" s="43" t="s">
        <v>4467</v>
      </c>
      <c r="B1370" s="21" t="s">
        <v>4468</v>
      </c>
      <c r="C1370" s="21" t="s">
        <v>22672</v>
      </c>
      <c r="D1370" s="31" t="s">
        <v>22683</v>
      </c>
      <c r="E1370" s="23" t="s">
        <v>22656</v>
      </c>
      <c r="F1370" s="24" t="s">
        <v>22657</v>
      </c>
      <c r="G1370" s="25">
        <v>34</v>
      </c>
      <c r="H1370" s="26"/>
      <c r="I1370" s="27"/>
    </row>
    <row r="1371" spans="1:9" ht="15.75" thickBot="1" x14ac:dyDescent="0.3">
      <c r="A1371" s="43" t="s">
        <v>4469</v>
      </c>
      <c r="B1371" s="21" t="s">
        <v>4470</v>
      </c>
      <c r="C1371" s="21" t="s">
        <v>22672</v>
      </c>
      <c r="D1371" s="31" t="s">
        <v>22683</v>
      </c>
      <c r="E1371" s="23" t="s">
        <v>22656</v>
      </c>
      <c r="F1371" s="24" t="s">
        <v>22657</v>
      </c>
      <c r="G1371" s="25">
        <v>34</v>
      </c>
      <c r="H1371" s="29"/>
      <c r="I1371" s="30"/>
    </row>
    <row r="1372" spans="1:9" ht="15.75" thickBot="1" x14ac:dyDescent="0.3">
      <c r="A1372" s="43" t="s">
        <v>4471</v>
      </c>
      <c r="B1372" s="21" t="s">
        <v>4472</v>
      </c>
      <c r="C1372" s="21" t="s">
        <v>22672</v>
      </c>
      <c r="D1372" s="31" t="s">
        <v>22683</v>
      </c>
      <c r="E1372" s="23" t="s">
        <v>22656</v>
      </c>
      <c r="F1372" s="24" t="s">
        <v>22657</v>
      </c>
      <c r="G1372" s="25">
        <v>34</v>
      </c>
      <c r="H1372" s="26"/>
      <c r="I1372" s="27"/>
    </row>
    <row r="1373" spans="1:9" ht="15.75" thickBot="1" x14ac:dyDescent="0.3">
      <c r="A1373" s="43" t="s">
        <v>4473</v>
      </c>
      <c r="B1373" s="21" t="s">
        <v>4474</v>
      </c>
      <c r="C1373" s="21" t="s">
        <v>22672</v>
      </c>
      <c r="D1373" s="31" t="s">
        <v>22683</v>
      </c>
      <c r="E1373" s="23" t="s">
        <v>22656</v>
      </c>
      <c r="F1373" s="24" t="s">
        <v>22657</v>
      </c>
      <c r="G1373" s="25">
        <v>34</v>
      </c>
      <c r="H1373" s="29"/>
      <c r="I1373" s="30"/>
    </row>
    <row r="1374" spans="1:9" ht="15.75" thickBot="1" x14ac:dyDescent="0.3">
      <c r="A1374" s="43" t="s">
        <v>4475</v>
      </c>
      <c r="B1374" s="21" t="s">
        <v>4476</v>
      </c>
      <c r="C1374" s="21" t="s">
        <v>22672</v>
      </c>
      <c r="D1374" s="31" t="s">
        <v>22683</v>
      </c>
      <c r="E1374" s="23" t="s">
        <v>22656</v>
      </c>
      <c r="F1374" s="24" t="s">
        <v>22657</v>
      </c>
      <c r="G1374" s="25">
        <v>34</v>
      </c>
      <c r="H1374" s="26"/>
      <c r="I1374" s="27"/>
    </row>
    <row r="1375" spans="1:9" ht="15.75" thickBot="1" x14ac:dyDescent="0.3">
      <c r="A1375" s="43" t="s">
        <v>4477</v>
      </c>
      <c r="B1375" s="21" t="s">
        <v>4478</v>
      </c>
      <c r="C1375" s="21" t="s">
        <v>22672</v>
      </c>
      <c r="D1375" s="31" t="s">
        <v>22683</v>
      </c>
      <c r="E1375" s="23" t="s">
        <v>22656</v>
      </c>
      <c r="F1375" s="24" t="s">
        <v>22657</v>
      </c>
      <c r="G1375" s="25">
        <v>34</v>
      </c>
      <c r="H1375" s="29"/>
      <c r="I1375" s="30"/>
    </row>
    <row r="1376" spans="1:9" ht="15.75" thickBot="1" x14ac:dyDescent="0.3">
      <c r="A1376" s="43" t="s">
        <v>4479</v>
      </c>
      <c r="B1376" s="21" t="s">
        <v>4480</v>
      </c>
      <c r="C1376" s="21" t="s">
        <v>22672</v>
      </c>
      <c r="D1376" s="31" t="s">
        <v>22683</v>
      </c>
      <c r="E1376" s="23" t="s">
        <v>22658</v>
      </c>
      <c r="F1376" s="24" t="s">
        <v>22657</v>
      </c>
      <c r="G1376" s="25">
        <v>34</v>
      </c>
      <c r="H1376" s="26"/>
      <c r="I1376" s="27"/>
    </row>
    <row r="1377" spans="1:9" ht="15.75" thickBot="1" x14ac:dyDescent="0.3">
      <c r="A1377" s="43" t="s">
        <v>4481</v>
      </c>
      <c r="B1377" s="21" t="s">
        <v>4482</v>
      </c>
      <c r="C1377" s="21" t="s">
        <v>22672</v>
      </c>
      <c r="D1377" s="31" t="s">
        <v>22683</v>
      </c>
      <c r="E1377" s="23" t="s">
        <v>22656</v>
      </c>
      <c r="F1377" s="24" t="s">
        <v>22657</v>
      </c>
      <c r="G1377" s="25">
        <v>34</v>
      </c>
      <c r="H1377" s="29"/>
      <c r="I1377" s="30"/>
    </row>
    <row r="1378" spans="1:9" ht="15.75" thickBot="1" x14ac:dyDescent="0.3">
      <c r="A1378" s="43" t="s">
        <v>4483</v>
      </c>
      <c r="B1378" s="21" t="s">
        <v>4484</v>
      </c>
      <c r="C1378" s="21" t="s">
        <v>22752</v>
      </c>
      <c r="D1378" s="31" t="s">
        <v>22747</v>
      </c>
      <c r="E1378" s="23" t="s">
        <v>22661</v>
      </c>
      <c r="F1378" s="24" t="s">
        <v>22657</v>
      </c>
      <c r="G1378" s="25">
        <v>34</v>
      </c>
      <c r="H1378" s="26"/>
      <c r="I1378" s="27"/>
    </row>
    <row r="1379" spans="1:9" ht="15.75" thickBot="1" x14ac:dyDescent="0.3">
      <c r="A1379" s="43" t="s">
        <v>4485</v>
      </c>
      <c r="B1379" s="21" t="s">
        <v>4486</v>
      </c>
      <c r="C1379" s="21" t="s">
        <v>22752</v>
      </c>
      <c r="D1379" s="31" t="s">
        <v>22759</v>
      </c>
      <c r="E1379" s="23" t="s">
        <v>22661</v>
      </c>
      <c r="F1379" s="24" t="s">
        <v>22657</v>
      </c>
      <c r="G1379" s="25">
        <v>34</v>
      </c>
      <c r="H1379" s="29"/>
      <c r="I1379" s="30"/>
    </row>
    <row r="1380" spans="1:9" ht="15.75" thickBot="1" x14ac:dyDescent="0.3">
      <c r="A1380" s="43" t="s">
        <v>4487</v>
      </c>
      <c r="B1380" s="21" t="s">
        <v>4488</v>
      </c>
      <c r="C1380" s="21" t="s">
        <v>22752</v>
      </c>
      <c r="D1380" s="31" t="s">
        <v>22759</v>
      </c>
      <c r="E1380" s="23" t="s">
        <v>22656</v>
      </c>
      <c r="F1380" s="24" t="s">
        <v>22657</v>
      </c>
      <c r="G1380" s="25">
        <v>42</v>
      </c>
      <c r="H1380" s="26"/>
      <c r="I1380" s="27"/>
    </row>
    <row r="1381" spans="1:9" ht="15.75" thickBot="1" x14ac:dyDescent="0.3">
      <c r="A1381" s="43" t="s">
        <v>4489</v>
      </c>
      <c r="B1381" s="21" t="s">
        <v>4490</v>
      </c>
      <c r="C1381" s="21" t="s">
        <v>22672</v>
      </c>
      <c r="D1381" s="22">
        <v>46032</v>
      </c>
      <c r="E1381" s="23" t="s">
        <v>22658</v>
      </c>
      <c r="F1381" s="24" t="s">
        <v>22657</v>
      </c>
      <c r="G1381" s="25">
        <v>4</v>
      </c>
      <c r="H1381" s="29"/>
      <c r="I1381" s="30"/>
    </row>
    <row r="1382" spans="1:9" ht="15.75" thickBot="1" x14ac:dyDescent="0.3">
      <c r="A1382" s="43" t="s">
        <v>4491</v>
      </c>
      <c r="B1382" s="21" t="s">
        <v>4492</v>
      </c>
      <c r="C1382" s="21" t="s">
        <v>22672</v>
      </c>
      <c r="D1382" s="31" t="s">
        <v>22683</v>
      </c>
      <c r="E1382" s="23" t="s">
        <v>22656</v>
      </c>
      <c r="F1382" s="24" t="s">
        <v>22657</v>
      </c>
      <c r="G1382" s="25">
        <v>34</v>
      </c>
      <c r="H1382" s="26"/>
      <c r="I1382" s="27"/>
    </row>
    <row r="1383" spans="1:9" ht="15.75" thickBot="1" x14ac:dyDescent="0.3">
      <c r="A1383" s="43" t="s">
        <v>4493</v>
      </c>
      <c r="B1383" s="21" t="s">
        <v>4494</v>
      </c>
      <c r="C1383" s="21" t="s">
        <v>22746</v>
      </c>
      <c r="D1383" s="31" t="s">
        <v>22747</v>
      </c>
      <c r="E1383" s="23" t="s">
        <v>22658</v>
      </c>
      <c r="F1383" s="24" t="s">
        <v>22657</v>
      </c>
      <c r="G1383" s="25">
        <v>34</v>
      </c>
      <c r="H1383" s="29"/>
      <c r="I1383" s="30"/>
    </row>
    <row r="1384" spans="1:9" ht="15.75" thickBot="1" x14ac:dyDescent="0.3">
      <c r="A1384" s="43" t="s">
        <v>4495</v>
      </c>
      <c r="B1384" s="21" t="s">
        <v>4496</v>
      </c>
      <c r="C1384" s="21" t="s">
        <v>22746</v>
      </c>
      <c r="D1384" s="31" t="s">
        <v>22747</v>
      </c>
      <c r="E1384" s="23" t="s">
        <v>22656</v>
      </c>
      <c r="F1384" s="24" t="s">
        <v>22657</v>
      </c>
      <c r="G1384" s="25">
        <v>34</v>
      </c>
      <c r="H1384" s="26"/>
      <c r="I1384" s="27"/>
    </row>
    <row r="1385" spans="1:9" ht="15.75" thickBot="1" x14ac:dyDescent="0.3">
      <c r="A1385" s="43" t="s">
        <v>4497</v>
      </c>
      <c r="B1385" s="21" t="s">
        <v>4498</v>
      </c>
      <c r="C1385" s="21" t="s">
        <v>22746</v>
      </c>
      <c r="D1385" s="31" t="s">
        <v>22747</v>
      </c>
      <c r="E1385" s="23" t="s">
        <v>22656</v>
      </c>
      <c r="F1385" s="24" t="s">
        <v>22657</v>
      </c>
      <c r="G1385" s="25">
        <v>34</v>
      </c>
      <c r="H1385" s="29"/>
      <c r="I1385" s="30"/>
    </row>
    <row r="1386" spans="1:9" ht="15.75" thickBot="1" x14ac:dyDescent="0.3">
      <c r="A1386" s="43" t="s">
        <v>4499</v>
      </c>
      <c r="B1386" s="21" t="s">
        <v>4500</v>
      </c>
      <c r="C1386" s="21" t="s">
        <v>22760</v>
      </c>
      <c r="D1386" s="22">
        <v>46027</v>
      </c>
      <c r="E1386" s="23" t="s">
        <v>22658</v>
      </c>
      <c r="F1386" s="24" t="s">
        <v>22657</v>
      </c>
      <c r="G1386" s="25">
        <v>2</v>
      </c>
      <c r="H1386" s="26"/>
      <c r="I1386" s="27"/>
    </row>
    <row r="1387" spans="1:9" ht="15.75" thickBot="1" x14ac:dyDescent="0.3">
      <c r="A1387" s="43" t="s">
        <v>4501</v>
      </c>
      <c r="B1387" s="21" t="s">
        <v>4502</v>
      </c>
      <c r="C1387" s="21" t="s">
        <v>22655</v>
      </c>
      <c r="D1387" s="22">
        <v>46034</v>
      </c>
      <c r="E1387" s="23" t="s">
        <v>22658</v>
      </c>
      <c r="F1387" s="24" t="s">
        <v>22657</v>
      </c>
      <c r="G1387" s="25">
        <v>4</v>
      </c>
      <c r="H1387" s="29"/>
      <c r="I1387" s="30"/>
    </row>
    <row r="1388" spans="1:9" ht="15.75" thickBot="1" x14ac:dyDescent="0.3">
      <c r="A1388" s="43" t="s">
        <v>4503</v>
      </c>
      <c r="B1388" s="21" t="s">
        <v>4504</v>
      </c>
      <c r="C1388" s="21" t="s">
        <v>22655</v>
      </c>
      <c r="D1388" s="22">
        <v>46032</v>
      </c>
      <c r="E1388" s="23" t="s">
        <v>22656</v>
      </c>
      <c r="F1388" s="24" t="s">
        <v>22657</v>
      </c>
      <c r="G1388" s="25">
        <v>4</v>
      </c>
      <c r="H1388" s="26"/>
      <c r="I1388" s="27"/>
    </row>
    <row r="1389" spans="1:9" ht="15.75" thickBot="1" x14ac:dyDescent="0.3">
      <c r="A1389" s="43" t="s">
        <v>4505</v>
      </c>
      <c r="B1389" s="21" t="s">
        <v>4506</v>
      </c>
      <c r="C1389" s="21" t="s">
        <v>22655</v>
      </c>
      <c r="D1389" s="22">
        <v>46032</v>
      </c>
      <c r="E1389" s="23" t="s">
        <v>22658</v>
      </c>
      <c r="F1389" s="24" t="s">
        <v>22657</v>
      </c>
      <c r="G1389" s="25">
        <v>4</v>
      </c>
      <c r="H1389" s="29"/>
      <c r="I1389" s="30"/>
    </row>
    <row r="1390" spans="1:9" ht="15.75" thickBot="1" x14ac:dyDescent="0.3">
      <c r="A1390" s="43" t="s">
        <v>4507</v>
      </c>
      <c r="B1390" s="21" t="s">
        <v>4508</v>
      </c>
      <c r="C1390" s="21" t="s">
        <v>22746</v>
      </c>
      <c r="D1390" s="31" t="s">
        <v>22761</v>
      </c>
      <c r="E1390" s="23" t="s">
        <v>22656</v>
      </c>
      <c r="F1390" s="24" t="s">
        <v>22657</v>
      </c>
      <c r="G1390" s="25">
        <v>17</v>
      </c>
      <c r="H1390" s="26"/>
      <c r="I1390" s="27"/>
    </row>
    <row r="1391" spans="1:9" ht="15.75" thickBot="1" x14ac:dyDescent="0.3">
      <c r="A1391" s="43" t="s">
        <v>4509</v>
      </c>
      <c r="B1391" s="21" t="s">
        <v>4510</v>
      </c>
      <c r="C1391" s="21" t="s">
        <v>22663</v>
      </c>
      <c r="D1391" s="31">
        <v>1</v>
      </c>
      <c r="E1391" s="23" t="s">
        <v>22658</v>
      </c>
      <c r="F1391" s="24" t="s">
        <v>22657</v>
      </c>
      <c r="G1391" s="25">
        <v>4</v>
      </c>
      <c r="H1391" s="29"/>
      <c r="I1391" s="30"/>
    </row>
    <row r="1392" spans="1:9" ht="15.75" thickBot="1" x14ac:dyDescent="0.3">
      <c r="A1392" s="43" t="s">
        <v>4511</v>
      </c>
      <c r="B1392" s="21" t="s">
        <v>4512</v>
      </c>
      <c r="C1392" s="21" t="s">
        <v>22672</v>
      </c>
      <c r="D1392" s="22">
        <v>46032</v>
      </c>
      <c r="E1392" s="23" t="s">
        <v>22656</v>
      </c>
      <c r="F1392" s="24" t="s">
        <v>22657</v>
      </c>
      <c r="G1392" s="25">
        <v>4</v>
      </c>
      <c r="H1392" s="26"/>
      <c r="I1392" s="27"/>
    </row>
    <row r="1393" spans="1:9" ht="15.75" thickBot="1" x14ac:dyDescent="0.3">
      <c r="A1393" s="43" t="s">
        <v>4513</v>
      </c>
      <c r="B1393" s="21" t="s">
        <v>4514</v>
      </c>
      <c r="C1393" s="21" t="s">
        <v>22672</v>
      </c>
      <c r="D1393" s="22">
        <v>46032</v>
      </c>
      <c r="E1393" s="23" t="s">
        <v>22658</v>
      </c>
      <c r="F1393" s="24" t="s">
        <v>22657</v>
      </c>
      <c r="G1393" s="25">
        <v>4</v>
      </c>
      <c r="H1393" s="29"/>
      <c r="I1393" s="30"/>
    </row>
    <row r="1394" spans="1:9" ht="15.75" thickBot="1" x14ac:dyDescent="0.3">
      <c r="A1394" s="43" t="s">
        <v>4515</v>
      </c>
      <c r="B1394" s="21" t="s">
        <v>4516</v>
      </c>
      <c r="C1394" s="21" t="s">
        <v>22750</v>
      </c>
      <c r="D1394" s="31" t="s">
        <v>22762</v>
      </c>
      <c r="E1394" s="23" t="s">
        <v>22658</v>
      </c>
      <c r="F1394" s="24" t="s">
        <v>22657</v>
      </c>
      <c r="G1394" s="25">
        <v>17</v>
      </c>
      <c r="H1394" s="26"/>
      <c r="I1394" s="27"/>
    </row>
    <row r="1395" spans="1:9" ht="15.75" thickBot="1" x14ac:dyDescent="0.3">
      <c r="A1395" s="43" t="s">
        <v>4517</v>
      </c>
      <c r="B1395" s="21" t="s">
        <v>4518</v>
      </c>
      <c r="C1395" s="21" t="s">
        <v>22746</v>
      </c>
      <c r="D1395" s="31" t="s">
        <v>22761</v>
      </c>
      <c r="E1395" s="23" t="s">
        <v>22656</v>
      </c>
      <c r="F1395" s="24" t="s">
        <v>22657</v>
      </c>
      <c r="G1395" s="25">
        <v>17</v>
      </c>
      <c r="H1395" s="29"/>
      <c r="I1395" s="30"/>
    </row>
    <row r="1396" spans="1:9" ht="15.75" thickBot="1" x14ac:dyDescent="0.3">
      <c r="A1396" s="43" t="s">
        <v>4519</v>
      </c>
      <c r="B1396" s="21" t="s">
        <v>4520</v>
      </c>
      <c r="C1396" s="21" t="s">
        <v>22746</v>
      </c>
      <c r="D1396" s="31" t="s">
        <v>22761</v>
      </c>
      <c r="E1396" s="23" t="s">
        <v>22658</v>
      </c>
      <c r="F1396" s="24" t="s">
        <v>22657</v>
      </c>
      <c r="G1396" s="25">
        <v>17</v>
      </c>
      <c r="H1396" s="26"/>
      <c r="I1396" s="27"/>
    </row>
    <row r="1397" spans="1:9" ht="15.75" thickBot="1" x14ac:dyDescent="0.3">
      <c r="A1397" s="43" t="s">
        <v>4521</v>
      </c>
      <c r="B1397" s="21" t="s">
        <v>4522</v>
      </c>
      <c r="C1397" s="21" t="s">
        <v>22746</v>
      </c>
      <c r="D1397" s="31" t="s">
        <v>22761</v>
      </c>
      <c r="E1397" s="23" t="s">
        <v>22656</v>
      </c>
      <c r="F1397" s="24" t="s">
        <v>22657</v>
      </c>
      <c r="G1397" s="25">
        <v>93</v>
      </c>
      <c r="H1397" s="29"/>
      <c r="I1397" s="30"/>
    </row>
    <row r="1398" spans="1:9" ht="15.75" thickBot="1" x14ac:dyDescent="0.3">
      <c r="A1398" s="43" t="s">
        <v>4523</v>
      </c>
      <c r="B1398" s="21" t="s">
        <v>4524</v>
      </c>
      <c r="C1398" s="21" t="s">
        <v>22746</v>
      </c>
      <c r="D1398" s="31" t="s">
        <v>22761</v>
      </c>
      <c r="E1398" s="23" t="s">
        <v>22656</v>
      </c>
      <c r="F1398" s="24" t="s">
        <v>22657</v>
      </c>
      <c r="G1398" s="25">
        <v>167</v>
      </c>
      <c r="H1398" s="26"/>
      <c r="I1398" s="27"/>
    </row>
    <row r="1399" spans="1:9" ht="15.75" thickBot="1" x14ac:dyDescent="0.3">
      <c r="A1399" s="43" t="s">
        <v>4525</v>
      </c>
      <c r="B1399" s="21" t="s">
        <v>4526</v>
      </c>
      <c r="C1399" s="21" t="s">
        <v>22746</v>
      </c>
      <c r="D1399" s="31" t="s">
        <v>22761</v>
      </c>
      <c r="E1399" s="23" t="s">
        <v>22658</v>
      </c>
      <c r="F1399" s="24" t="s">
        <v>22657</v>
      </c>
      <c r="G1399" s="25">
        <v>17</v>
      </c>
      <c r="H1399" s="29"/>
      <c r="I1399" s="30"/>
    </row>
    <row r="1400" spans="1:9" ht="15.75" thickBot="1" x14ac:dyDescent="0.3">
      <c r="A1400" s="43" t="s">
        <v>4527</v>
      </c>
      <c r="B1400" s="21" t="s">
        <v>4528</v>
      </c>
      <c r="C1400" s="21" t="s">
        <v>22746</v>
      </c>
      <c r="D1400" s="31" t="s">
        <v>22761</v>
      </c>
      <c r="E1400" s="23" t="s">
        <v>22656</v>
      </c>
      <c r="F1400" s="24" t="s">
        <v>22657</v>
      </c>
      <c r="G1400" s="25">
        <v>167</v>
      </c>
      <c r="H1400" s="26"/>
      <c r="I1400" s="27"/>
    </row>
    <row r="1401" spans="1:9" ht="15.75" thickBot="1" x14ac:dyDescent="0.3">
      <c r="A1401" s="43" t="s">
        <v>4529</v>
      </c>
      <c r="B1401" s="21" t="s">
        <v>4530</v>
      </c>
      <c r="C1401" s="21" t="s">
        <v>22746</v>
      </c>
      <c r="D1401" s="31" t="s">
        <v>22761</v>
      </c>
      <c r="E1401" s="23" t="s">
        <v>22658</v>
      </c>
      <c r="F1401" s="24" t="s">
        <v>22657</v>
      </c>
      <c r="G1401" s="25">
        <v>17</v>
      </c>
      <c r="H1401" s="29"/>
      <c r="I1401" s="30"/>
    </row>
    <row r="1402" spans="1:9" ht="15.75" thickBot="1" x14ac:dyDescent="0.3">
      <c r="A1402" s="43" t="s">
        <v>4531</v>
      </c>
      <c r="B1402" s="21" t="s">
        <v>4532</v>
      </c>
      <c r="C1402" s="21" t="s">
        <v>22746</v>
      </c>
      <c r="D1402" s="31" t="s">
        <v>22761</v>
      </c>
      <c r="E1402" s="23" t="s">
        <v>22656</v>
      </c>
      <c r="F1402" s="24" t="s">
        <v>22657</v>
      </c>
      <c r="G1402" s="25">
        <v>17</v>
      </c>
      <c r="H1402" s="26"/>
      <c r="I1402" s="27"/>
    </row>
    <row r="1403" spans="1:9" ht="15.75" thickBot="1" x14ac:dyDescent="0.3">
      <c r="A1403" s="43" t="s">
        <v>1289</v>
      </c>
      <c r="B1403" s="21" t="s">
        <v>4533</v>
      </c>
      <c r="C1403" s="21" t="s">
        <v>22746</v>
      </c>
      <c r="D1403" s="31" t="s">
        <v>22761</v>
      </c>
      <c r="E1403" s="23" t="s">
        <v>22661</v>
      </c>
      <c r="F1403" s="24" t="s">
        <v>22657</v>
      </c>
      <c r="G1403" s="25">
        <v>200</v>
      </c>
      <c r="H1403" s="32">
        <v>200</v>
      </c>
      <c r="I1403" s="33">
        <v>300</v>
      </c>
    </row>
    <row r="1404" spans="1:9" ht="15.75" thickBot="1" x14ac:dyDescent="0.3">
      <c r="A1404" s="43" t="s">
        <v>4534</v>
      </c>
      <c r="B1404" s="21" t="s">
        <v>4535</v>
      </c>
      <c r="C1404" s="21" t="s">
        <v>22672</v>
      </c>
      <c r="D1404" s="31" t="s">
        <v>22673</v>
      </c>
      <c r="E1404" s="23" t="s">
        <v>22658</v>
      </c>
      <c r="F1404" s="24" t="s">
        <v>22657</v>
      </c>
      <c r="G1404" s="25">
        <v>17</v>
      </c>
      <c r="H1404" s="26"/>
      <c r="I1404" s="27"/>
    </row>
    <row r="1405" spans="1:9" ht="15.75" thickBot="1" x14ac:dyDescent="0.3">
      <c r="A1405" s="43" t="s">
        <v>4536</v>
      </c>
      <c r="B1405" s="21" t="s">
        <v>4537</v>
      </c>
      <c r="C1405" s="21" t="s">
        <v>22746</v>
      </c>
      <c r="D1405" s="31" t="s">
        <v>22763</v>
      </c>
      <c r="E1405" s="23" t="s">
        <v>22656</v>
      </c>
      <c r="F1405" s="24" t="s">
        <v>22657</v>
      </c>
      <c r="G1405" s="25">
        <v>17</v>
      </c>
      <c r="H1405" s="29"/>
      <c r="I1405" s="30"/>
    </row>
    <row r="1406" spans="1:9" ht="15.75" thickBot="1" x14ac:dyDescent="0.3">
      <c r="A1406" s="43" t="s">
        <v>4538</v>
      </c>
      <c r="B1406" s="21" t="s">
        <v>4539</v>
      </c>
      <c r="C1406" s="21" t="s">
        <v>22746</v>
      </c>
      <c r="D1406" s="31" t="s">
        <v>22764</v>
      </c>
      <c r="E1406" s="23" t="s">
        <v>22656</v>
      </c>
      <c r="F1406" s="24" t="s">
        <v>22657</v>
      </c>
      <c r="G1406" s="25">
        <v>17</v>
      </c>
      <c r="H1406" s="26"/>
      <c r="I1406" s="27"/>
    </row>
    <row r="1407" spans="1:9" ht="15.75" thickBot="1" x14ac:dyDescent="0.3">
      <c r="A1407" s="43" t="s">
        <v>4540</v>
      </c>
      <c r="B1407" s="21" t="s">
        <v>4541</v>
      </c>
      <c r="C1407" s="21" t="s">
        <v>22746</v>
      </c>
      <c r="D1407" s="31" t="s">
        <v>22765</v>
      </c>
      <c r="E1407" s="23" t="s">
        <v>22656</v>
      </c>
      <c r="F1407" s="24" t="s">
        <v>22657</v>
      </c>
      <c r="G1407" s="25">
        <v>13</v>
      </c>
      <c r="H1407" s="29"/>
      <c r="I1407" s="30"/>
    </row>
    <row r="1408" spans="1:9" ht="15.75" thickBot="1" x14ac:dyDescent="0.3">
      <c r="A1408" s="43" t="s">
        <v>4542</v>
      </c>
      <c r="B1408" s="21" t="s">
        <v>4543</v>
      </c>
      <c r="C1408" s="21" t="s">
        <v>22746</v>
      </c>
      <c r="D1408" s="31" t="s">
        <v>22765</v>
      </c>
      <c r="E1408" s="23" t="s">
        <v>22656</v>
      </c>
      <c r="F1408" s="24" t="s">
        <v>22657</v>
      </c>
      <c r="G1408" s="25">
        <v>11</v>
      </c>
      <c r="H1408" s="26"/>
      <c r="I1408" s="27"/>
    </row>
    <row r="1409" spans="1:9" ht="15.75" thickBot="1" x14ac:dyDescent="0.3">
      <c r="A1409" s="43" t="s">
        <v>4544</v>
      </c>
      <c r="B1409" s="21" t="s">
        <v>4545</v>
      </c>
      <c r="C1409" s="21" t="s">
        <v>22746</v>
      </c>
      <c r="D1409" s="31" t="s">
        <v>22765</v>
      </c>
      <c r="E1409" s="23" t="s">
        <v>22656</v>
      </c>
      <c r="F1409" s="24" t="s">
        <v>22657</v>
      </c>
      <c r="G1409" s="25">
        <v>23</v>
      </c>
      <c r="H1409" s="29"/>
      <c r="I1409" s="30"/>
    </row>
    <row r="1410" spans="1:9" ht="15.75" thickBot="1" x14ac:dyDescent="0.3">
      <c r="A1410" s="43" t="s">
        <v>4546</v>
      </c>
      <c r="B1410" s="21" t="s">
        <v>4547</v>
      </c>
      <c r="C1410" s="21" t="s">
        <v>22746</v>
      </c>
      <c r="D1410" s="31" t="s">
        <v>22765</v>
      </c>
      <c r="E1410" s="23" t="s">
        <v>22656</v>
      </c>
      <c r="F1410" s="24" t="s">
        <v>22657</v>
      </c>
      <c r="G1410" s="25">
        <v>100</v>
      </c>
      <c r="H1410" s="34">
        <v>100</v>
      </c>
      <c r="I1410" s="35">
        <v>200</v>
      </c>
    </row>
    <row r="1411" spans="1:9" ht="15.75" thickBot="1" x14ac:dyDescent="0.3">
      <c r="A1411" s="43" t="s">
        <v>4548</v>
      </c>
      <c r="B1411" s="21" t="s">
        <v>4549</v>
      </c>
      <c r="C1411" s="21" t="s">
        <v>22746</v>
      </c>
      <c r="D1411" s="31" t="s">
        <v>22713</v>
      </c>
      <c r="E1411" s="23" t="s">
        <v>22656</v>
      </c>
      <c r="F1411" s="24" t="s">
        <v>22657</v>
      </c>
      <c r="G1411" s="25">
        <v>21</v>
      </c>
      <c r="H1411" s="29"/>
      <c r="I1411" s="30"/>
    </row>
    <row r="1412" spans="1:9" ht="15.75" thickBot="1" x14ac:dyDescent="0.3">
      <c r="A1412" s="43" t="s">
        <v>4550</v>
      </c>
      <c r="B1412" s="21" t="s">
        <v>4551</v>
      </c>
      <c r="C1412" s="21" t="s">
        <v>22746</v>
      </c>
      <c r="D1412" s="31" t="s">
        <v>22713</v>
      </c>
      <c r="E1412" s="23" t="s">
        <v>22656</v>
      </c>
      <c r="F1412" s="24" t="s">
        <v>22657</v>
      </c>
      <c r="G1412" s="25">
        <v>4</v>
      </c>
      <c r="H1412" s="26"/>
      <c r="I1412" s="27"/>
    </row>
    <row r="1413" spans="1:9" ht="15.75" thickBot="1" x14ac:dyDescent="0.3">
      <c r="A1413" s="43" t="s">
        <v>4552</v>
      </c>
      <c r="B1413" s="21" t="s">
        <v>4553</v>
      </c>
      <c r="C1413" s="21" t="s">
        <v>22746</v>
      </c>
      <c r="D1413" s="31" t="s">
        <v>22713</v>
      </c>
      <c r="E1413" s="23" t="s">
        <v>22656</v>
      </c>
      <c r="F1413" s="24" t="s">
        <v>22657</v>
      </c>
      <c r="G1413" s="25">
        <v>4</v>
      </c>
      <c r="H1413" s="29"/>
      <c r="I1413" s="30"/>
    </row>
    <row r="1414" spans="1:9" ht="15.75" thickBot="1" x14ac:dyDescent="0.3">
      <c r="A1414" s="43" t="s">
        <v>4554</v>
      </c>
      <c r="B1414" s="21" t="s">
        <v>4555</v>
      </c>
      <c r="C1414" s="21" t="s">
        <v>22746</v>
      </c>
      <c r="D1414" s="31" t="s">
        <v>22713</v>
      </c>
      <c r="E1414" s="23" t="s">
        <v>22656</v>
      </c>
      <c r="F1414" s="24" t="s">
        <v>22657</v>
      </c>
      <c r="G1414" s="25">
        <v>8</v>
      </c>
      <c r="H1414" s="26"/>
      <c r="I1414" s="27"/>
    </row>
    <row r="1415" spans="1:9" ht="15.75" thickBot="1" x14ac:dyDescent="0.3">
      <c r="A1415" s="43" t="s">
        <v>4556</v>
      </c>
      <c r="B1415" s="21" t="s">
        <v>4557</v>
      </c>
      <c r="C1415" s="21" t="s">
        <v>22746</v>
      </c>
      <c r="D1415" s="31" t="s">
        <v>22765</v>
      </c>
      <c r="E1415" s="23" t="s">
        <v>22656</v>
      </c>
      <c r="F1415" s="24" t="s">
        <v>22657</v>
      </c>
      <c r="G1415" s="25">
        <v>12</v>
      </c>
      <c r="H1415" s="29"/>
      <c r="I1415" s="30"/>
    </row>
    <row r="1416" spans="1:9" ht="15.75" thickBot="1" x14ac:dyDescent="0.3">
      <c r="A1416" s="43" t="s">
        <v>4558</v>
      </c>
      <c r="B1416" s="21" t="s">
        <v>4559</v>
      </c>
      <c r="C1416" s="21" t="s">
        <v>22746</v>
      </c>
      <c r="D1416" s="31" t="s">
        <v>22765</v>
      </c>
      <c r="E1416" s="23" t="s">
        <v>22656</v>
      </c>
      <c r="F1416" s="24" t="s">
        <v>22657</v>
      </c>
      <c r="G1416" s="25">
        <v>12</v>
      </c>
      <c r="H1416" s="26"/>
      <c r="I1416" s="27"/>
    </row>
    <row r="1417" spans="1:9" ht="15.75" thickBot="1" x14ac:dyDescent="0.3">
      <c r="A1417" s="43" t="s">
        <v>4560</v>
      </c>
      <c r="B1417" s="21" t="s">
        <v>4561</v>
      </c>
      <c r="C1417" s="21" t="s">
        <v>22746</v>
      </c>
      <c r="D1417" s="31" t="s">
        <v>22765</v>
      </c>
      <c r="E1417" s="23" t="s">
        <v>22656</v>
      </c>
      <c r="F1417" s="24" t="s">
        <v>22657</v>
      </c>
      <c r="G1417" s="25">
        <v>50</v>
      </c>
      <c r="H1417" s="32">
        <v>50</v>
      </c>
      <c r="I1417" s="33">
        <v>100</v>
      </c>
    </row>
    <row r="1418" spans="1:9" ht="15.75" thickBot="1" x14ac:dyDescent="0.3">
      <c r="A1418" s="43" t="s">
        <v>4562</v>
      </c>
      <c r="B1418" s="21" t="s">
        <v>4563</v>
      </c>
      <c r="C1418" s="21" t="s">
        <v>22746</v>
      </c>
      <c r="D1418" s="31" t="s">
        <v>22765</v>
      </c>
      <c r="E1418" s="23" t="s">
        <v>22656</v>
      </c>
      <c r="F1418" s="24" t="s">
        <v>22657</v>
      </c>
      <c r="G1418" s="25">
        <v>21</v>
      </c>
      <c r="H1418" s="26"/>
      <c r="I1418" s="27"/>
    </row>
    <row r="1419" spans="1:9" ht="15.75" thickBot="1" x14ac:dyDescent="0.3">
      <c r="A1419" s="43" t="s">
        <v>4564</v>
      </c>
      <c r="B1419" s="21" t="s">
        <v>4565</v>
      </c>
      <c r="C1419" s="21" t="s">
        <v>22746</v>
      </c>
      <c r="D1419" s="31" t="s">
        <v>22713</v>
      </c>
      <c r="E1419" s="23" t="s">
        <v>22661</v>
      </c>
      <c r="F1419" s="24" t="s">
        <v>22657</v>
      </c>
      <c r="G1419" s="25">
        <v>10</v>
      </c>
      <c r="H1419" s="32">
        <v>10</v>
      </c>
      <c r="I1419" s="33">
        <v>50</v>
      </c>
    </row>
    <row r="1420" spans="1:9" ht="15.75" thickBot="1" x14ac:dyDescent="0.3">
      <c r="A1420" s="43" t="s">
        <v>4566</v>
      </c>
      <c r="B1420" s="21" t="s">
        <v>4567</v>
      </c>
      <c r="C1420" s="21" t="s">
        <v>22746</v>
      </c>
      <c r="D1420" s="31" t="s">
        <v>22766</v>
      </c>
      <c r="E1420" s="23" t="s">
        <v>22661</v>
      </c>
      <c r="F1420" s="24" t="s">
        <v>22657</v>
      </c>
      <c r="G1420" s="25">
        <v>12</v>
      </c>
      <c r="H1420" s="26"/>
      <c r="I1420" s="27"/>
    </row>
    <row r="1421" spans="1:9" ht="15.75" thickBot="1" x14ac:dyDescent="0.3">
      <c r="A1421" s="43" t="s">
        <v>4568</v>
      </c>
      <c r="B1421" s="21" t="s">
        <v>4569</v>
      </c>
      <c r="C1421" s="21" t="s">
        <v>22746</v>
      </c>
      <c r="D1421" s="31" t="s">
        <v>22713</v>
      </c>
      <c r="E1421" s="23" t="s">
        <v>22656</v>
      </c>
      <c r="F1421" s="24" t="s">
        <v>22657</v>
      </c>
      <c r="G1421" s="25">
        <v>4</v>
      </c>
      <c r="H1421" s="29"/>
      <c r="I1421" s="30"/>
    </row>
    <row r="1422" spans="1:9" ht="15.75" thickBot="1" x14ac:dyDescent="0.3">
      <c r="A1422" s="43" t="s">
        <v>4570</v>
      </c>
      <c r="B1422" s="21" t="s">
        <v>4571</v>
      </c>
      <c r="C1422" s="21" t="s">
        <v>22746</v>
      </c>
      <c r="D1422" s="31" t="s">
        <v>22713</v>
      </c>
      <c r="E1422" s="23" t="s">
        <v>22656</v>
      </c>
      <c r="F1422" s="24" t="s">
        <v>22657</v>
      </c>
      <c r="G1422" s="25">
        <v>4</v>
      </c>
      <c r="H1422" s="26"/>
      <c r="I1422" s="27"/>
    </row>
    <row r="1423" spans="1:9" ht="15.75" thickBot="1" x14ac:dyDescent="0.3">
      <c r="A1423" s="43" t="s">
        <v>4572</v>
      </c>
      <c r="B1423" s="21" t="s">
        <v>4573</v>
      </c>
      <c r="C1423" s="21" t="s">
        <v>22746</v>
      </c>
      <c r="D1423" s="31" t="s">
        <v>22713</v>
      </c>
      <c r="E1423" s="23" t="s">
        <v>22656</v>
      </c>
      <c r="F1423" s="24" t="s">
        <v>22657</v>
      </c>
      <c r="G1423" s="25">
        <v>4</v>
      </c>
      <c r="H1423" s="29"/>
      <c r="I1423" s="30"/>
    </row>
    <row r="1424" spans="1:9" ht="15.75" thickBot="1" x14ac:dyDescent="0.3">
      <c r="A1424" s="43" t="s">
        <v>4574</v>
      </c>
      <c r="B1424" s="21" t="s">
        <v>4575</v>
      </c>
      <c r="C1424" s="21" t="s">
        <v>22746</v>
      </c>
      <c r="D1424" s="31" t="s">
        <v>22766</v>
      </c>
      <c r="E1424" s="23" t="s">
        <v>22656</v>
      </c>
      <c r="F1424" s="24" t="s">
        <v>22657</v>
      </c>
      <c r="G1424" s="25">
        <v>6</v>
      </c>
      <c r="H1424" s="26"/>
      <c r="I1424" s="27"/>
    </row>
    <row r="1425" spans="1:9" ht="15.75" thickBot="1" x14ac:dyDescent="0.3">
      <c r="A1425" s="43" t="s">
        <v>4576</v>
      </c>
      <c r="B1425" s="21" t="s">
        <v>4577</v>
      </c>
      <c r="C1425" s="21" t="s">
        <v>22746</v>
      </c>
      <c r="D1425" s="31" t="s">
        <v>22766</v>
      </c>
      <c r="E1425" s="23" t="s">
        <v>22656</v>
      </c>
      <c r="F1425" s="24" t="s">
        <v>22657</v>
      </c>
      <c r="G1425" s="25">
        <v>25</v>
      </c>
      <c r="H1425" s="29"/>
      <c r="I1425" s="30"/>
    </row>
    <row r="1426" spans="1:9" ht="15.75" thickBot="1" x14ac:dyDescent="0.3">
      <c r="A1426" s="43" t="s">
        <v>4578</v>
      </c>
      <c r="B1426" s="21" t="s">
        <v>4579</v>
      </c>
      <c r="C1426" s="21" t="s">
        <v>22746</v>
      </c>
      <c r="D1426" s="31" t="s">
        <v>22764</v>
      </c>
      <c r="E1426" s="23" t="s">
        <v>22656</v>
      </c>
      <c r="F1426" s="24" t="s">
        <v>22657</v>
      </c>
      <c r="G1426" s="25">
        <v>4</v>
      </c>
      <c r="H1426" s="26"/>
      <c r="I1426" s="27"/>
    </row>
    <row r="1427" spans="1:9" ht="15.75" thickBot="1" x14ac:dyDescent="0.3">
      <c r="A1427" s="43" t="s">
        <v>4580</v>
      </c>
      <c r="B1427" s="21" t="s">
        <v>4581</v>
      </c>
      <c r="C1427" s="21" t="s">
        <v>22746</v>
      </c>
      <c r="D1427" s="31" t="s">
        <v>22767</v>
      </c>
      <c r="E1427" s="23" t="s">
        <v>22656</v>
      </c>
      <c r="F1427" s="24" t="s">
        <v>22657</v>
      </c>
      <c r="G1427" s="25">
        <v>4</v>
      </c>
      <c r="H1427" s="29"/>
      <c r="I1427" s="30"/>
    </row>
    <row r="1428" spans="1:9" ht="15.75" thickBot="1" x14ac:dyDescent="0.3">
      <c r="A1428" s="43" t="s">
        <v>4582</v>
      </c>
      <c r="B1428" s="21" t="s">
        <v>4583</v>
      </c>
      <c r="C1428" s="21" t="s">
        <v>22663</v>
      </c>
      <c r="D1428" s="31">
        <v>1</v>
      </c>
      <c r="E1428" s="23" t="s">
        <v>22656</v>
      </c>
      <c r="F1428" s="24" t="s">
        <v>22657</v>
      </c>
      <c r="G1428" s="25">
        <v>2</v>
      </c>
      <c r="H1428" s="26"/>
      <c r="I1428" s="27"/>
    </row>
    <row r="1429" spans="1:9" ht="15.75" thickBot="1" x14ac:dyDescent="0.3">
      <c r="A1429" s="43" t="s">
        <v>4584</v>
      </c>
      <c r="B1429" s="21" t="s">
        <v>4585</v>
      </c>
      <c r="C1429" s="21" t="s">
        <v>22663</v>
      </c>
      <c r="D1429" s="31">
        <v>1</v>
      </c>
      <c r="E1429" s="23" t="s">
        <v>22656</v>
      </c>
      <c r="F1429" s="24" t="s">
        <v>22657</v>
      </c>
      <c r="G1429" s="25">
        <v>10</v>
      </c>
      <c r="H1429" s="29"/>
      <c r="I1429" s="30"/>
    </row>
    <row r="1430" spans="1:9" ht="15.75" thickBot="1" x14ac:dyDescent="0.3">
      <c r="A1430" s="43" t="s">
        <v>4586</v>
      </c>
      <c r="B1430" s="21" t="s">
        <v>4587</v>
      </c>
      <c r="C1430" s="21" t="s">
        <v>22709</v>
      </c>
      <c r="D1430" s="31">
        <v>1</v>
      </c>
      <c r="E1430" s="23" t="s">
        <v>22658</v>
      </c>
      <c r="F1430" s="28" t="s">
        <v>22659</v>
      </c>
      <c r="G1430" s="25">
        <v>1</v>
      </c>
      <c r="H1430" s="26"/>
      <c r="I1430" s="27"/>
    </row>
    <row r="1431" spans="1:9" ht="15.75" thickBot="1" x14ac:dyDescent="0.3">
      <c r="A1431" s="43" t="s">
        <v>4588</v>
      </c>
      <c r="B1431" s="21" t="s">
        <v>4589</v>
      </c>
      <c r="C1431" s="21" t="s">
        <v>22663</v>
      </c>
      <c r="D1431" s="31">
        <v>1</v>
      </c>
      <c r="E1431" s="23" t="s">
        <v>22658</v>
      </c>
      <c r="F1431" s="24" t="s">
        <v>22657</v>
      </c>
      <c r="G1431" s="25">
        <v>5</v>
      </c>
      <c r="H1431" s="29"/>
      <c r="I1431" s="30"/>
    </row>
    <row r="1432" spans="1:9" ht="15.75" thickBot="1" x14ac:dyDescent="0.3">
      <c r="A1432" s="43" t="s">
        <v>4590</v>
      </c>
      <c r="B1432" s="21" t="s">
        <v>4591</v>
      </c>
      <c r="C1432" s="21" t="s">
        <v>22663</v>
      </c>
      <c r="D1432" s="31">
        <v>1</v>
      </c>
      <c r="E1432" s="23" t="s">
        <v>22658</v>
      </c>
      <c r="F1432" s="24" t="s">
        <v>22657</v>
      </c>
      <c r="G1432" s="25">
        <v>3</v>
      </c>
      <c r="H1432" s="26"/>
      <c r="I1432" s="27"/>
    </row>
    <row r="1433" spans="1:9" ht="15.75" thickBot="1" x14ac:dyDescent="0.3">
      <c r="A1433" s="43" t="s">
        <v>4592</v>
      </c>
      <c r="B1433" s="21" t="s">
        <v>4593</v>
      </c>
      <c r="C1433" s="21" t="s">
        <v>22663</v>
      </c>
      <c r="D1433" s="31">
        <v>1</v>
      </c>
      <c r="E1433" s="23" t="s">
        <v>22658</v>
      </c>
      <c r="F1433" s="24" t="s">
        <v>22657</v>
      </c>
      <c r="G1433" s="25">
        <v>2</v>
      </c>
      <c r="H1433" s="29"/>
      <c r="I1433" s="30"/>
    </row>
    <row r="1434" spans="1:9" ht="15.75" thickBot="1" x14ac:dyDescent="0.3">
      <c r="A1434" s="43" t="s">
        <v>4594</v>
      </c>
      <c r="B1434" s="21" t="s">
        <v>4595</v>
      </c>
      <c r="C1434" s="21" t="s">
        <v>22682</v>
      </c>
      <c r="D1434" s="22">
        <v>46034</v>
      </c>
      <c r="E1434" s="23" t="s">
        <v>22658</v>
      </c>
      <c r="F1434" s="24" t="s">
        <v>22657</v>
      </c>
      <c r="G1434" s="25">
        <v>1</v>
      </c>
      <c r="H1434" s="26"/>
      <c r="I1434" s="27"/>
    </row>
    <row r="1435" spans="1:9" ht="15.75" thickBot="1" x14ac:dyDescent="0.3">
      <c r="A1435" s="43" t="s">
        <v>4596</v>
      </c>
      <c r="B1435" s="21" t="s">
        <v>4597</v>
      </c>
      <c r="C1435" s="21" t="s">
        <v>22682</v>
      </c>
      <c r="D1435" s="22">
        <v>46034</v>
      </c>
      <c r="E1435" s="23" t="s">
        <v>22658</v>
      </c>
      <c r="F1435" s="24" t="s">
        <v>22657</v>
      </c>
      <c r="G1435" s="25">
        <v>1</v>
      </c>
      <c r="H1435" s="29"/>
      <c r="I1435" s="30"/>
    </row>
    <row r="1436" spans="1:9" ht="15.75" thickBot="1" x14ac:dyDescent="0.3">
      <c r="A1436" s="43" t="s">
        <v>4598</v>
      </c>
      <c r="B1436" s="21" t="s">
        <v>4599</v>
      </c>
      <c r="C1436" s="21" t="s">
        <v>22655</v>
      </c>
      <c r="D1436" s="22">
        <v>46032</v>
      </c>
      <c r="E1436" s="23" t="s">
        <v>22656</v>
      </c>
      <c r="F1436" s="24" t="s">
        <v>22657</v>
      </c>
      <c r="G1436" s="25">
        <v>4</v>
      </c>
      <c r="H1436" s="26"/>
      <c r="I1436" s="27"/>
    </row>
    <row r="1437" spans="1:9" ht="15.75" thickBot="1" x14ac:dyDescent="0.3">
      <c r="A1437" s="43" t="s">
        <v>4600</v>
      </c>
      <c r="B1437" s="21" t="s">
        <v>4601</v>
      </c>
      <c r="C1437" s="21" t="s">
        <v>22655</v>
      </c>
      <c r="D1437" s="22">
        <v>46032</v>
      </c>
      <c r="E1437" s="23" t="s">
        <v>22656</v>
      </c>
      <c r="F1437" s="24" t="s">
        <v>22657</v>
      </c>
      <c r="G1437" s="25">
        <v>4</v>
      </c>
      <c r="H1437" s="29"/>
      <c r="I1437" s="30"/>
    </row>
    <row r="1438" spans="1:9" ht="15.75" thickBot="1" x14ac:dyDescent="0.3">
      <c r="A1438" s="43" t="s">
        <v>1948</v>
      </c>
      <c r="B1438" s="21" t="s">
        <v>1949</v>
      </c>
      <c r="C1438" s="21" t="s">
        <v>22655</v>
      </c>
      <c r="D1438" s="22">
        <v>46032</v>
      </c>
      <c r="E1438" s="23" t="s">
        <v>22656</v>
      </c>
      <c r="F1438" s="24" t="s">
        <v>22657</v>
      </c>
      <c r="G1438" s="25">
        <v>4</v>
      </c>
      <c r="H1438" s="26"/>
      <c r="I1438" s="27"/>
    </row>
    <row r="1439" spans="1:9" ht="15.75" thickBot="1" x14ac:dyDescent="0.3">
      <c r="A1439" s="43" t="s">
        <v>4602</v>
      </c>
      <c r="B1439" s="21" t="s">
        <v>4603</v>
      </c>
      <c r="C1439" s="21" t="s">
        <v>22655</v>
      </c>
      <c r="D1439" s="22">
        <v>46032</v>
      </c>
      <c r="E1439" s="23" t="s">
        <v>22656</v>
      </c>
      <c r="F1439" s="24" t="s">
        <v>22657</v>
      </c>
      <c r="G1439" s="25">
        <v>4</v>
      </c>
      <c r="H1439" s="29"/>
      <c r="I1439" s="30"/>
    </row>
    <row r="1440" spans="1:9" ht="15.75" thickBot="1" x14ac:dyDescent="0.3">
      <c r="A1440" s="43" t="s">
        <v>4604</v>
      </c>
      <c r="B1440" s="21" t="s">
        <v>4605</v>
      </c>
      <c r="C1440" s="21" t="s">
        <v>22655</v>
      </c>
      <c r="D1440" s="22">
        <v>46032</v>
      </c>
      <c r="E1440" s="23" t="s">
        <v>22656</v>
      </c>
      <c r="F1440" s="24" t="s">
        <v>22657</v>
      </c>
      <c r="G1440" s="25">
        <v>4</v>
      </c>
      <c r="H1440" s="26"/>
      <c r="I1440" s="27"/>
    </row>
    <row r="1441" spans="1:9" ht="15.75" thickBot="1" x14ac:dyDescent="0.3">
      <c r="A1441" s="43" t="s">
        <v>4606</v>
      </c>
      <c r="B1441" s="21" t="s">
        <v>4607</v>
      </c>
      <c r="C1441" s="21" t="s">
        <v>22655</v>
      </c>
      <c r="D1441" s="22">
        <v>46032</v>
      </c>
      <c r="E1441" s="23" t="s">
        <v>22656</v>
      </c>
      <c r="F1441" s="24" t="s">
        <v>22657</v>
      </c>
      <c r="G1441" s="25">
        <v>4</v>
      </c>
      <c r="H1441" s="29"/>
      <c r="I1441" s="30"/>
    </row>
    <row r="1442" spans="1:9" ht="15.75" thickBot="1" x14ac:dyDescent="0.3">
      <c r="A1442" s="43" t="s">
        <v>4608</v>
      </c>
      <c r="B1442" s="21" t="s">
        <v>4609</v>
      </c>
      <c r="C1442" s="21" t="s">
        <v>22655</v>
      </c>
      <c r="D1442" s="22">
        <v>46032</v>
      </c>
      <c r="E1442" s="23" t="s">
        <v>22656</v>
      </c>
      <c r="F1442" s="24" t="s">
        <v>22657</v>
      </c>
      <c r="G1442" s="25">
        <v>4</v>
      </c>
      <c r="H1442" s="26"/>
      <c r="I1442" s="27"/>
    </row>
    <row r="1443" spans="1:9" ht="15.75" thickBot="1" x14ac:dyDescent="0.3">
      <c r="A1443" s="43" t="s">
        <v>1561</v>
      </c>
      <c r="B1443" s="21" t="s">
        <v>1562</v>
      </c>
      <c r="C1443" s="21" t="s">
        <v>22655</v>
      </c>
      <c r="D1443" s="22">
        <v>46032</v>
      </c>
      <c r="E1443" s="23" t="s">
        <v>22661</v>
      </c>
      <c r="F1443" s="24" t="s">
        <v>22657</v>
      </c>
      <c r="G1443" s="25">
        <v>10</v>
      </c>
      <c r="H1443" s="32">
        <v>10</v>
      </c>
      <c r="I1443" s="33">
        <v>12</v>
      </c>
    </row>
    <row r="1444" spans="1:9" ht="15.75" thickBot="1" x14ac:dyDescent="0.3">
      <c r="A1444" s="43" t="s">
        <v>4610</v>
      </c>
      <c r="B1444" s="21" t="s">
        <v>4611</v>
      </c>
      <c r="C1444" s="21" t="s">
        <v>22655</v>
      </c>
      <c r="D1444" s="22">
        <v>46032</v>
      </c>
      <c r="E1444" s="23" t="s">
        <v>22658</v>
      </c>
      <c r="F1444" s="24" t="s">
        <v>22657</v>
      </c>
      <c r="G1444" s="25">
        <v>4</v>
      </c>
      <c r="H1444" s="26"/>
      <c r="I1444" s="27"/>
    </row>
    <row r="1445" spans="1:9" ht="15.75" thickBot="1" x14ac:dyDescent="0.3">
      <c r="A1445" s="43" t="s">
        <v>463</v>
      </c>
      <c r="B1445" s="21" t="s">
        <v>464</v>
      </c>
      <c r="C1445" s="21" t="s">
        <v>22655</v>
      </c>
      <c r="D1445" s="22">
        <v>46032</v>
      </c>
      <c r="E1445" s="23" t="s">
        <v>22661</v>
      </c>
      <c r="F1445" s="24" t="s">
        <v>22657</v>
      </c>
      <c r="G1445" s="25">
        <v>4</v>
      </c>
      <c r="H1445" s="32">
        <v>4</v>
      </c>
      <c r="I1445" s="33">
        <v>6</v>
      </c>
    </row>
    <row r="1446" spans="1:9" ht="15.75" thickBot="1" x14ac:dyDescent="0.3">
      <c r="A1446" s="43" t="s">
        <v>4612</v>
      </c>
      <c r="B1446" s="21" t="s">
        <v>4613</v>
      </c>
      <c r="C1446" s="21" t="s">
        <v>22655</v>
      </c>
      <c r="D1446" s="22">
        <v>46032</v>
      </c>
      <c r="E1446" s="23" t="s">
        <v>22658</v>
      </c>
      <c r="F1446" s="24" t="s">
        <v>22657</v>
      </c>
      <c r="G1446" s="25">
        <v>4</v>
      </c>
      <c r="H1446" s="26"/>
      <c r="I1446" s="27"/>
    </row>
    <row r="1447" spans="1:9" ht="15.75" thickBot="1" x14ac:dyDescent="0.3">
      <c r="A1447" s="43" t="s">
        <v>1962</v>
      </c>
      <c r="B1447" s="21" t="s">
        <v>1963</v>
      </c>
      <c r="C1447" s="21" t="s">
        <v>22655</v>
      </c>
      <c r="D1447" s="22">
        <v>46032</v>
      </c>
      <c r="E1447" s="23" t="s">
        <v>22656</v>
      </c>
      <c r="F1447" s="24" t="s">
        <v>22657</v>
      </c>
      <c r="G1447" s="25">
        <v>2</v>
      </c>
      <c r="H1447" s="32">
        <v>2</v>
      </c>
      <c r="I1447" s="33">
        <v>4</v>
      </c>
    </row>
    <row r="1448" spans="1:9" ht="15.75" thickBot="1" x14ac:dyDescent="0.3">
      <c r="A1448" s="43" t="s">
        <v>4614</v>
      </c>
      <c r="B1448" s="21" t="s">
        <v>4615</v>
      </c>
      <c r="C1448" s="21" t="s">
        <v>22655</v>
      </c>
      <c r="D1448" s="22">
        <v>46032</v>
      </c>
      <c r="E1448" s="23" t="s">
        <v>22658</v>
      </c>
      <c r="F1448" s="24" t="s">
        <v>22657</v>
      </c>
      <c r="G1448" s="25">
        <v>4</v>
      </c>
      <c r="H1448" s="26"/>
      <c r="I1448" s="27"/>
    </row>
    <row r="1449" spans="1:9" ht="15.75" thickBot="1" x14ac:dyDescent="0.3">
      <c r="A1449" s="43" t="s">
        <v>1984</v>
      </c>
      <c r="B1449" s="21" t="s">
        <v>4616</v>
      </c>
      <c r="C1449" s="21" t="s">
        <v>22655</v>
      </c>
      <c r="D1449" s="22">
        <v>46032</v>
      </c>
      <c r="E1449" s="23" t="s">
        <v>22656</v>
      </c>
      <c r="F1449" s="24" t="s">
        <v>22657</v>
      </c>
      <c r="G1449" s="25">
        <v>4</v>
      </c>
      <c r="H1449" s="29"/>
      <c r="I1449" s="30"/>
    </row>
    <row r="1450" spans="1:9" ht="15.75" thickBot="1" x14ac:dyDescent="0.3">
      <c r="A1450" s="43" t="s">
        <v>1741</v>
      </c>
      <c r="B1450" s="21" t="s">
        <v>1742</v>
      </c>
      <c r="C1450" s="21" t="s">
        <v>22655</v>
      </c>
      <c r="D1450" s="22">
        <v>46032</v>
      </c>
      <c r="E1450" s="23" t="s">
        <v>22656</v>
      </c>
      <c r="F1450" s="24" t="s">
        <v>22657</v>
      </c>
      <c r="G1450" s="25">
        <v>4</v>
      </c>
      <c r="H1450" s="26"/>
      <c r="I1450" s="27"/>
    </row>
    <row r="1451" spans="1:9" ht="15.75" thickBot="1" x14ac:dyDescent="0.3">
      <c r="A1451" s="43" t="s">
        <v>1936</v>
      </c>
      <c r="B1451" s="21" t="s">
        <v>1937</v>
      </c>
      <c r="C1451" s="21" t="s">
        <v>22655</v>
      </c>
      <c r="D1451" s="22">
        <v>46032</v>
      </c>
      <c r="E1451" s="23" t="s">
        <v>22656</v>
      </c>
      <c r="F1451" s="24" t="s">
        <v>22657</v>
      </c>
      <c r="G1451" s="25">
        <v>2</v>
      </c>
      <c r="H1451" s="32">
        <v>2</v>
      </c>
      <c r="I1451" s="33">
        <v>4</v>
      </c>
    </row>
    <row r="1452" spans="1:9" ht="15.75" thickBot="1" x14ac:dyDescent="0.3">
      <c r="A1452" s="43" t="s">
        <v>4617</v>
      </c>
      <c r="B1452" s="21" t="s">
        <v>4618</v>
      </c>
      <c r="C1452" s="21" t="s">
        <v>22655</v>
      </c>
      <c r="D1452" s="22">
        <v>46032</v>
      </c>
      <c r="E1452" s="23" t="s">
        <v>22656</v>
      </c>
      <c r="F1452" s="24" t="s">
        <v>22657</v>
      </c>
      <c r="G1452" s="25">
        <v>4</v>
      </c>
      <c r="H1452" s="26"/>
      <c r="I1452" s="27"/>
    </row>
    <row r="1453" spans="1:9" ht="15.75" thickBot="1" x14ac:dyDescent="0.3">
      <c r="A1453" s="43" t="s">
        <v>4619</v>
      </c>
      <c r="B1453" s="21" t="s">
        <v>4620</v>
      </c>
      <c r="C1453" s="21" t="s">
        <v>22655</v>
      </c>
      <c r="D1453" s="22">
        <v>46032</v>
      </c>
      <c r="E1453" s="23" t="s">
        <v>22656</v>
      </c>
      <c r="F1453" s="24" t="s">
        <v>22657</v>
      </c>
      <c r="G1453" s="25">
        <v>4</v>
      </c>
      <c r="H1453" s="29"/>
      <c r="I1453" s="30"/>
    </row>
    <row r="1454" spans="1:9" ht="15.75" thickBot="1" x14ac:dyDescent="0.3">
      <c r="A1454" s="43" t="s">
        <v>1745</v>
      </c>
      <c r="B1454" s="21" t="s">
        <v>1746</v>
      </c>
      <c r="C1454" s="21" t="s">
        <v>22655</v>
      </c>
      <c r="D1454" s="22">
        <v>46032</v>
      </c>
      <c r="E1454" s="23" t="s">
        <v>22656</v>
      </c>
      <c r="F1454" s="24" t="s">
        <v>22657</v>
      </c>
      <c r="G1454" s="25">
        <v>4</v>
      </c>
      <c r="H1454" s="26"/>
      <c r="I1454" s="27"/>
    </row>
    <row r="1455" spans="1:9" ht="15.75" thickBot="1" x14ac:dyDescent="0.3">
      <c r="A1455" s="43" t="s">
        <v>4621</v>
      </c>
      <c r="B1455" s="21" t="s">
        <v>4622</v>
      </c>
      <c r="C1455" s="21" t="s">
        <v>22655</v>
      </c>
      <c r="D1455" s="22">
        <v>46032</v>
      </c>
      <c r="E1455" s="23" t="s">
        <v>22658</v>
      </c>
      <c r="F1455" s="24" t="s">
        <v>22657</v>
      </c>
      <c r="G1455" s="25">
        <v>4</v>
      </c>
      <c r="H1455" s="29"/>
      <c r="I1455" s="30"/>
    </row>
    <row r="1456" spans="1:9" ht="15.75" thickBot="1" x14ac:dyDescent="0.3">
      <c r="A1456" s="43" t="s">
        <v>1251</v>
      </c>
      <c r="B1456" s="21" t="s">
        <v>4623</v>
      </c>
      <c r="C1456" s="21" t="s">
        <v>22655</v>
      </c>
      <c r="D1456" s="22">
        <v>46034</v>
      </c>
      <c r="E1456" s="23" t="s">
        <v>22661</v>
      </c>
      <c r="F1456" s="24" t="s">
        <v>22657</v>
      </c>
      <c r="G1456" s="25">
        <v>24</v>
      </c>
      <c r="H1456" s="34">
        <v>24</v>
      </c>
      <c r="I1456" s="35">
        <v>48</v>
      </c>
    </row>
    <row r="1457" spans="1:9" ht="15.75" thickBot="1" x14ac:dyDescent="0.3">
      <c r="A1457" s="43" t="s">
        <v>4624</v>
      </c>
      <c r="B1457" s="21" t="s">
        <v>4625</v>
      </c>
      <c r="C1457" s="21" t="s">
        <v>22663</v>
      </c>
      <c r="D1457" s="22">
        <v>46025</v>
      </c>
      <c r="E1457" s="23" t="s">
        <v>22656</v>
      </c>
      <c r="F1457" s="24" t="s">
        <v>22657</v>
      </c>
      <c r="G1457" s="25">
        <v>2</v>
      </c>
      <c r="H1457" s="29"/>
      <c r="I1457" s="30"/>
    </row>
    <row r="1458" spans="1:9" ht="15.75" thickBot="1" x14ac:dyDescent="0.3">
      <c r="A1458" s="43" t="s">
        <v>4626</v>
      </c>
      <c r="B1458" s="21" t="s">
        <v>4627</v>
      </c>
      <c r="C1458" s="21" t="s">
        <v>22663</v>
      </c>
      <c r="D1458" s="31">
        <v>1</v>
      </c>
      <c r="E1458" s="23" t="s">
        <v>22656</v>
      </c>
      <c r="F1458" s="24" t="s">
        <v>22657</v>
      </c>
      <c r="G1458" s="25">
        <v>7</v>
      </c>
      <c r="H1458" s="26"/>
      <c r="I1458" s="27"/>
    </row>
    <row r="1459" spans="1:9" ht="15.75" thickBot="1" x14ac:dyDescent="0.3">
      <c r="A1459" s="43" t="s">
        <v>1603</v>
      </c>
      <c r="B1459" s="21" t="s">
        <v>4628</v>
      </c>
      <c r="C1459" s="21" t="s">
        <v>22655</v>
      </c>
      <c r="D1459" s="22">
        <v>46052</v>
      </c>
      <c r="E1459" s="23" t="s">
        <v>22656</v>
      </c>
      <c r="F1459" s="24" t="s">
        <v>22657</v>
      </c>
      <c r="G1459" s="25">
        <v>12</v>
      </c>
      <c r="H1459" s="32">
        <v>12</v>
      </c>
      <c r="I1459" s="33">
        <v>15</v>
      </c>
    </row>
    <row r="1460" spans="1:9" ht="15.75" thickBot="1" x14ac:dyDescent="0.3">
      <c r="A1460" s="43" t="s">
        <v>4629</v>
      </c>
      <c r="B1460" s="21" t="s">
        <v>4630</v>
      </c>
      <c r="C1460" s="21" t="s">
        <v>22663</v>
      </c>
      <c r="D1460" s="31">
        <v>1</v>
      </c>
      <c r="E1460" s="23" t="s">
        <v>22656</v>
      </c>
      <c r="F1460" s="24" t="s">
        <v>22657</v>
      </c>
      <c r="G1460" s="25">
        <v>4</v>
      </c>
      <c r="H1460" s="26"/>
      <c r="I1460" s="27"/>
    </row>
    <row r="1461" spans="1:9" ht="15.75" thickBot="1" x14ac:dyDescent="0.3">
      <c r="A1461" s="43" t="s">
        <v>4631</v>
      </c>
      <c r="B1461" s="21" t="s">
        <v>4632</v>
      </c>
      <c r="C1461" s="21" t="s">
        <v>22663</v>
      </c>
      <c r="D1461" s="31">
        <v>1</v>
      </c>
      <c r="E1461" s="23" t="s">
        <v>22656</v>
      </c>
      <c r="F1461" s="24" t="s">
        <v>22657</v>
      </c>
      <c r="G1461" s="25">
        <v>6</v>
      </c>
      <c r="H1461" s="29"/>
      <c r="I1461" s="30"/>
    </row>
    <row r="1462" spans="1:9" ht="15.75" thickBot="1" x14ac:dyDescent="0.3">
      <c r="A1462" s="43" t="s">
        <v>4633</v>
      </c>
      <c r="B1462" s="21" t="s">
        <v>4634</v>
      </c>
      <c r="C1462" s="21" t="s">
        <v>22655</v>
      </c>
      <c r="D1462" s="31" t="s">
        <v>22666</v>
      </c>
      <c r="E1462" s="23" t="s">
        <v>22656</v>
      </c>
      <c r="F1462" s="24" t="s">
        <v>22657</v>
      </c>
      <c r="G1462" s="25">
        <v>3</v>
      </c>
      <c r="H1462" s="26"/>
      <c r="I1462" s="27"/>
    </row>
    <row r="1463" spans="1:9" ht="15.75" thickBot="1" x14ac:dyDescent="0.3">
      <c r="A1463" s="43" t="s">
        <v>4635</v>
      </c>
      <c r="B1463" s="21" t="s">
        <v>4636</v>
      </c>
      <c r="C1463" s="21" t="s">
        <v>22682</v>
      </c>
      <c r="D1463" s="22">
        <v>46034</v>
      </c>
      <c r="E1463" s="23" t="s">
        <v>22656</v>
      </c>
      <c r="F1463" s="24" t="s">
        <v>22657</v>
      </c>
      <c r="G1463" s="25">
        <v>4</v>
      </c>
      <c r="H1463" s="29"/>
      <c r="I1463" s="30"/>
    </row>
    <row r="1464" spans="1:9" ht="15.75" thickBot="1" x14ac:dyDescent="0.3">
      <c r="A1464" s="43" t="s">
        <v>4637</v>
      </c>
      <c r="B1464" s="21" t="s">
        <v>4638</v>
      </c>
      <c r="C1464" s="21" t="s">
        <v>22682</v>
      </c>
      <c r="D1464" s="22">
        <v>46034</v>
      </c>
      <c r="E1464" s="23" t="s">
        <v>22656</v>
      </c>
      <c r="F1464" s="24" t="s">
        <v>22657</v>
      </c>
      <c r="G1464" s="25">
        <v>4</v>
      </c>
      <c r="H1464" s="26"/>
      <c r="I1464" s="27"/>
    </row>
    <row r="1465" spans="1:9" ht="15.75" thickBot="1" x14ac:dyDescent="0.3">
      <c r="A1465" s="43" t="s">
        <v>4639</v>
      </c>
      <c r="B1465" s="21" t="s">
        <v>4640</v>
      </c>
      <c r="C1465" s="21" t="s">
        <v>22682</v>
      </c>
      <c r="D1465" s="22">
        <v>46034</v>
      </c>
      <c r="E1465" s="23" t="s">
        <v>22656</v>
      </c>
      <c r="F1465" s="24" t="s">
        <v>22657</v>
      </c>
      <c r="G1465" s="25">
        <v>4</v>
      </c>
      <c r="H1465" s="29"/>
      <c r="I1465" s="30"/>
    </row>
    <row r="1466" spans="1:9" ht="15.75" thickBot="1" x14ac:dyDescent="0.3">
      <c r="A1466" s="43" t="s">
        <v>4641</v>
      </c>
      <c r="B1466" s="21" t="s">
        <v>4642</v>
      </c>
      <c r="C1466" s="21" t="s">
        <v>22682</v>
      </c>
      <c r="D1466" s="22">
        <v>46034</v>
      </c>
      <c r="E1466" s="23" t="s">
        <v>22656</v>
      </c>
      <c r="F1466" s="24" t="s">
        <v>22657</v>
      </c>
      <c r="G1466" s="25">
        <v>4</v>
      </c>
      <c r="H1466" s="26"/>
      <c r="I1466" s="27"/>
    </row>
    <row r="1467" spans="1:9" ht="15.75" thickBot="1" x14ac:dyDescent="0.3">
      <c r="A1467" s="43" t="s">
        <v>4643</v>
      </c>
      <c r="B1467" s="21" t="s">
        <v>4644</v>
      </c>
      <c r="C1467" s="21" t="s">
        <v>22682</v>
      </c>
      <c r="D1467" s="22">
        <v>46034</v>
      </c>
      <c r="E1467" s="23" t="s">
        <v>22658</v>
      </c>
      <c r="F1467" s="24" t="s">
        <v>22657</v>
      </c>
      <c r="G1467" s="25">
        <v>4</v>
      </c>
      <c r="H1467" s="29"/>
      <c r="I1467" s="30"/>
    </row>
    <row r="1468" spans="1:9" ht="15.75" thickBot="1" x14ac:dyDescent="0.3">
      <c r="A1468" s="43" t="s">
        <v>4645</v>
      </c>
      <c r="B1468" s="21" t="s">
        <v>4646</v>
      </c>
      <c r="C1468" s="21" t="s">
        <v>22682</v>
      </c>
      <c r="D1468" s="22">
        <v>46034</v>
      </c>
      <c r="E1468" s="23" t="s">
        <v>22658</v>
      </c>
      <c r="F1468" s="24" t="s">
        <v>22657</v>
      </c>
      <c r="G1468" s="25">
        <v>4</v>
      </c>
      <c r="H1468" s="26"/>
      <c r="I1468" s="27"/>
    </row>
    <row r="1469" spans="1:9" ht="15.75" thickBot="1" x14ac:dyDescent="0.3">
      <c r="A1469" s="43" t="s">
        <v>4647</v>
      </c>
      <c r="B1469" s="21" t="s">
        <v>4648</v>
      </c>
      <c r="C1469" s="21" t="s">
        <v>22682</v>
      </c>
      <c r="D1469" s="22">
        <v>46034</v>
      </c>
      <c r="E1469" s="23" t="s">
        <v>22658</v>
      </c>
      <c r="F1469" s="24" t="s">
        <v>22657</v>
      </c>
      <c r="G1469" s="25">
        <v>4</v>
      </c>
      <c r="H1469" s="29"/>
      <c r="I1469" s="30"/>
    </row>
    <row r="1470" spans="1:9" ht="15.75" thickBot="1" x14ac:dyDescent="0.3">
      <c r="A1470" s="43" t="s">
        <v>4649</v>
      </c>
      <c r="B1470" s="21" t="s">
        <v>4650</v>
      </c>
      <c r="C1470" s="21" t="s">
        <v>22655</v>
      </c>
      <c r="D1470" s="22">
        <v>46042</v>
      </c>
      <c r="E1470" s="23" t="s">
        <v>22658</v>
      </c>
      <c r="F1470" s="24" t="s">
        <v>22657</v>
      </c>
      <c r="G1470" s="25">
        <v>2</v>
      </c>
      <c r="H1470" s="26"/>
      <c r="I1470" s="27"/>
    </row>
    <row r="1471" spans="1:9" ht="15.75" thickBot="1" x14ac:dyDescent="0.3">
      <c r="A1471" s="43" t="s">
        <v>4651</v>
      </c>
      <c r="B1471" s="21" t="s">
        <v>4652</v>
      </c>
      <c r="C1471" s="21" t="s">
        <v>22655</v>
      </c>
      <c r="D1471" s="22">
        <v>46042</v>
      </c>
      <c r="E1471" s="23" t="s">
        <v>22656</v>
      </c>
      <c r="F1471" s="24" t="s">
        <v>22657</v>
      </c>
      <c r="G1471" s="25">
        <v>2</v>
      </c>
      <c r="H1471" s="29"/>
      <c r="I1471" s="30"/>
    </row>
    <row r="1472" spans="1:9" ht="15.75" thickBot="1" x14ac:dyDescent="0.3">
      <c r="A1472" s="43" t="s">
        <v>4653</v>
      </c>
      <c r="B1472" s="21" t="s">
        <v>4654</v>
      </c>
      <c r="C1472" s="21" t="s">
        <v>22768</v>
      </c>
      <c r="D1472" s="22">
        <v>46026</v>
      </c>
      <c r="E1472" s="23" t="s">
        <v>22658</v>
      </c>
      <c r="F1472" s="24" t="s">
        <v>22657</v>
      </c>
      <c r="G1472" s="25">
        <v>2</v>
      </c>
      <c r="H1472" s="26"/>
      <c r="I1472" s="27"/>
    </row>
    <row r="1473" spans="1:9" ht="15.75" thickBot="1" x14ac:dyDescent="0.3">
      <c r="A1473" s="43" t="s">
        <v>4655</v>
      </c>
      <c r="B1473" s="21" t="s">
        <v>4656</v>
      </c>
      <c r="C1473" s="21" t="s">
        <v>22768</v>
      </c>
      <c r="D1473" s="22">
        <v>46026</v>
      </c>
      <c r="E1473" s="23" t="s">
        <v>22658</v>
      </c>
      <c r="F1473" s="24" t="s">
        <v>22657</v>
      </c>
      <c r="G1473" s="25">
        <v>2</v>
      </c>
      <c r="H1473" s="29"/>
      <c r="I1473" s="30"/>
    </row>
    <row r="1474" spans="1:9" ht="15.75" thickBot="1" x14ac:dyDescent="0.3">
      <c r="A1474" s="43" t="s">
        <v>1815</v>
      </c>
      <c r="B1474" s="21" t="s">
        <v>1816</v>
      </c>
      <c r="C1474" s="21" t="s">
        <v>22655</v>
      </c>
      <c r="D1474" s="22">
        <v>46052</v>
      </c>
      <c r="E1474" s="23" t="s">
        <v>22661</v>
      </c>
      <c r="F1474" s="24" t="s">
        <v>22657</v>
      </c>
      <c r="G1474" s="25">
        <v>12</v>
      </c>
      <c r="H1474" s="34">
        <v>12</v>
      </c>
      <c r="I1474" s="35">
        <v>24</v>
      </c>
    </row>
    <row r="1475" spans="1:9" ht="15.75" thickBot="1" x14ac:dyDescent="0.3">
      <c r="A1475" s="43" t="s">
        <v>4657</v>
      </c>
      <c r="B1475" s="21" t="s">
        <v>4658</v>
      </c>
      <c r="C1475" s="21" t="s">
        <v>22672</v>
      </c>
      <c r="D1475" s="22">
        <v>46042</v>
      </c>
      <c r="E1475" s="23" t="s">
        <v>22656</v>
      </c>
      <c r="F1475" s="24" t="s">
        <v>22657</v>
      </c>
      <c r="G1475" s="25">
        <v>4</v>
      </c>
      <c r="H1475" s="29"/>
      <c r="I1475" s="30"/>
    </row>
    <row r="1476" spans="1:9" ht="15.75" thickBot="1" x14ac:dyDescent="0.3">
      <c r="A1476" s="43" t="s">
        <v>4661</v>
      </c>
      <c r="B1476" s="21" t="s">
        <v>4662</v>
      </c>
      <c r="C1476" s="21" t="s">
        <v>22663</v>
      </c>
      <c r="D1476" s="31">
        <v>1</v>
      </c>
      <c r="E1476" s="23" t="s">
        <v>22656</v>
      </c>
      <c r="F1476" s="24" t="s">
        <v>22657</v>
      </c>
      <c r="G1476" s="25">
        <v>3</v>
      </c>
      <c r="H1476" s="26"/>
      <c r="I1476" s="27"/>
    </row>
    <row r="1477" spans="1:9" ht="15.75" thickBot="1" x14ac:dyDescent="0.3">
      <c r="A1477" s="43" t="s">
        <v>4663</v>
      </c>
      <c r="B1477" s="21" t="s">
        <v>4664</v>
      </c>
      <c r="C1477" s="21" t="s">
        <v>22667</v>
      </c>
      <c r="D1477" s="31" t="s">
        <v>22704</v>
      </c>
      <c r="E1477" s="23" t="s">
        <v>22661</v>
      </c>
      <c r="F1477" s="24" t="s">
        <v>22657</v>
      </c>
      <c r="G1477" s="25">
        <v>7</v>
      </c>
      <c r="H1477" s="29"/>
      <c r="I1477" s="30"/>
    </row>
    <row r="1478" spans="1:9" ht="15.75" thickBot="1" x14ac:dyDescent="0.3">
      <c r="A1478" s="43" t="s">
        <v>4665</v>
      </c>
      <c r="B1478" s="21" t="s">
        <v>4666</v>
      </c>
      <c r="C1478" s="21" t="s">
        <v>22663</v>
      </c>
      <c r="D1478" s="31">
        <v>1</v>
      </c>
      <c r="E1478" s="23" t="s">
        <v>22656</v>
      </c>
      <c r="F1478" s="24" t="s">
        <v>22657</v>
      </c>
      <c r="G1478" s="25">
        <v>4</v>
      </c>
      <c r="H1478" s="26"/>
      <c r="I1478" s="27"/>
    </row>
    <row r="1479" spans="1:9" ht="15.75" thickBot="1" x14ac:dyDescent="0.3">
      <c r="A1479" s="43" t="s">
        <v>4667</v>
      </c>
      <c r="B1479" s="21" t="s">
        <v>4668</v>
      </c>
      <c r="C1479" s="21" t="s">
        <v>22698</v>
      </c>
      <c r="D1479" s="31">
        <v>1</v>
      </c>
      <c r="E1479" s="23" t="s">
        <v>22658</v>
      </c>
      <c r="F1479" s="24" t="s">
        <v>22657</v>
      </c>
      <c r="G1479" s="25">
        <v>2</v>
      </c>
      <c r="H1479" s="29"/>
      <c r="I1479" s="30"/>
    </row>
    <row r="1480" spans="1:9" ht="15.75" thickBot="1" x14ac:dyDescent="0.3">
      <c r="A1480" s="43" t="s">
        <v>4669</v>
      </c>
      <c r="B1480" s="21" t="s">
        <v>4670</v>
      </c>
      <c r="C1480" s="21" t="s">
        <v>22663</v>
      </c>
      <c r="D1480" s="31">
        <v>1</v>
      </c>
      <c r="E1480" s="23" t="s">
        <v>22656</v>
      </c>
      <c r="F1480" s="24" t="s">
        <v>22657</v>
      </c>
      <c r="G1480" s="25">
        <v>4</v>
      </c>
      <c r="H1480" s="26"/>
      <c r="I1480" s="27"/>
    </row>
    <row r="1481" spans="1:9" ht="15.75" thickBot="1" x14ac:dyDescent="0.3">
      <c r="A1481" s="43" t="s">
        <v>4671</v>
      </c>
      <c r="B1481" s="21" t="s">
        <v>4672</v>
      </c>
      <c r="C1481" s="21" t="s">
        <v>22663</v>
      </c>
      <c r="D1481" s="31">
        <v>1</v>
      </c>
      <c r="E1481" s="23" t="s">
        <v>22658</v>
      </c>
      <c r="F1481" s="24" t="s">
        <v>22657</v>
      </c>
      <c r="G1481" s="25">
        <v>3</v>
      </c>
      <c r="H1481" s="29"/>
      <c r="I1481" s="30"/>
    </row>
    <row r="1482" spans="1:9" ht="15.75" thickBot="1" x14ac:dyDescent="0.3">
      <c r="A1482" s="43" t="s">
        <v>4673</v>
      </c>
      <c r="B1482" s="21" t="s">
        <v>4674</v>
      </c>
      <c r="C1482" s="21" t="s">
        <v>22663</v>
      </c>
      <c r="D1482" s="31">
        <v>1</v>
      </c>
      <c r="E1482" s="23" t="s">
        <v>22658</v>
      </c>
      <c r="F1482" s="24" t="s">
        <v>22657</v>
      </c>
      <c r="G1482" s="25">
        <v>2</v>
      </c>
      <c r="H1482" s="26"/>
      <c r="I1482" s="27"/>
    </row>
    <row r="1483" spans="1:9" ht="15.75" thickBot="1" x14ac:dyDescent="0.3">
      <c r="A1483" s="43" t="s">
        <v>4675</v>
      </c>
      <c r="B1483" s="21" t="s">
        <v>4676</v>
      </c>
      <c r="C1483" s="21" t="s">
        <v>22667</v>
      </c>
      <c r="D1483" s="31" t="s">
        <v>22704</v>
      </c>
      <c r="E1483" s="23" t="s">
        <v>22661</v>
      </c>
      <c r="F1483" s="24" t="s">
        <v>22657</v>
      </c>
      <c r="G1483" s="25">
        <v>7</v>
      </c>
      <c r="H1483" s="29"/>
      <c r="I1483" s="30"/>
    </row>
    <row r="1484" spans="1:9" ht="15.75" thickBot="1" x14ac:dyDescent="0.3">
      <c r="A1484" s="43" t="s">
        <v>4677</v>
      </c>
      <c r="B1484" s="21" t="s">
        <v>4678</v>
      </c>
      <c r="C1484" s="21" t="s">
        <v>22672</v>
      </c>
      <c r="D1484" s="22">
        <v>46047</v>
      </c>
      <c r="E1484" s="23" t="s">
        <v>22656</v>
      </c>
      <c r="F1484" s="24" t="s">
        <v>22657</v>
      </c>
      <c r="G1484" s="25">
        <v>9</v>
      </c>
      <c r="H1484" s="26"/>
      <c r="I1484" s="27"/>
    </row>
    <row r="1485" spans="1:9" ht="15.75" thickBot="1" x14ac:dyDescent="0.3">
      <c r="A1485" s="43" t="s">
        <v>4679</v>
      </c>
      <c r="B1485" s="21" t="s">
        <v>4680</v>
      </c>
      <c r="C1485" s="21" t="s">
        <v>22672</v>
      </c>
      <c r="D1485" s="22">
        <v>46042</v>
      </c>
      <c r="E1485" s="23" t="s">
        <v>22658</v>
      </c>
      <c r="F1485" s="24" t="s">
        <v>22657</v>
      </c>
      <c r="G1485" s="25">
        <v>7</v>
      </c>
      <c r="H1485" s="29"/>
      <c r="I1485" s="30"/>
    </row>
    <row r="1486" spans="1:9" ht="15.75" thickBot="1" x14ac:dyDescent="0.3">
      <c r="A1486" s="43" t="s">
        <v>22386</v>
      </c>
      <c r="B1486" s="21" t="s">
        <v>22387</v>
      </c>
      <c r="C1486" s="36" t="e">
        <v>#N/A</v>
      </c>
      <c r="D1486" s="37" t="e">
        <v>#N/A</v>
      </c>
      <c r="E1486" s="23" t="e">
        <v>#N/A</v>
      </c>
      <c r="F1486" s="28" t="s">
        <v>22659</v>
      </c>
      <c r="G1486" s="25" t="e">
        <v>#N/A</v>
      </c>
      <c r="H1486" s="26"/>
      <c r="I1486" s="27"/>
    </row>
    <row r="1487" spans="1:9" ht="15.75" thickBot="1" x14ac:dyDescent="0.3">
      <c r="A1487" s="43" t="s">
        <v>22470</v>
      </c>
      <c r="B1487" s="21" t="s">
        <v>22471</v>
      </c>
      <c r="C1487" s="36" t="e">
        <v>#N/A</v>
      </c>
      <c r="D1487" s="37" t="e">
        <v>#N/A</v>
      </c>
      <c r="E1487" s="23" t="e">
        <v>#N/A</v>
      </c>
      <c r="F1487" s="24" t="s">
        <v>22657</v>
      </c>
      <c r="G1487" s="25" t="e">
        <v>#N/A</v>
      </c>
      <c r="H1487" s="29"/>
      <c r="I1487" s="30"/>
    </row>
    <row r="1488" spans="1:9" ht="15.75" thickBot="1" x14ac:dyDescent="0.3">
      <c r="A1488" s="43" t="s">
        <v>4681</v>
      </c>
      <c r="B1488" s="21" t="s">
        <v>4682</v>
      </c>
      <c r="C1488" s="21" t="s">
        <v>22682</v>
      </c>
      <c r="D1488" s="22">
        <v>46034</v>
      </c>
      <c r="E1488" s="23" t="s">
        <v>22658</v>
      </c>
      <c r="F1488" s="24" t="s">
        <v>22657</v>
      </c>
      <c r="G1488" s="25">
        <v>4</v>
      </c>
      <c r="H1488" s="26"/>
      <c r="I1488" s="27"/>
    </row>
    <row r="1489" spans="1:9" ht="15.75" thickBot="1" x14ac:dyDescent="0.3">
      <c r="A1489" s="43" t="s">
        <v>4683</v>
      </c>
      <c r="B1489" s="21" t="s">
        <v>4684</v>
      </c>
      <c r="C1489" s="21" t="s">
        <v>22682</v>
      </c>
      <c r="D1489" s="22">
        <v>46034</v>
      </c>
      <c r="E1489" s="23" t="s">
        <v>22658</v>
      </c>
      <c r="F1489" s="24" t="s">
        <v>22657</v>
      </c>
      <c r="G1489" s="25">
        <v>4</v>
      </c>
      <c r="H1489" s="29"/>
      <c r="I1489" s="30"/>
    </row>
    <row r="1490" spans="1:9" ht="15.75" thickBot="1" x14ac:dyDescent="0.3">
      <c r="A1490" s="43" t="s">
        <v>4685</v>
      </c>
      <c r="B1490" s="21" t="s">
        <v>4686</v>
      </c>
      <c r="C1490" s="21" t="s">
        <v>22682</v>
      </c>
      <c r="D1490" s="22">
        <v>46034</v>
      </c>
      <c r="E1490" s="23" t="s">
        <v>22658</v>
      </c>
      <c r="F1490" s="24" t="s">
        <v>22657</v>
      </c>
      <c r="G1490" s="25">
        <v>4</v>
      </c>
      <c r="H1490" s="26"/>
      <c r="I1490" s="27"/>
    </row>
    <row r="1491" spans="1:9" ht="15.75" thickBot="1" x14ac:dyDescent="0.3">
      <c r="A1491" s="43" t="s">
        <v>4687</v>
      </c>
      <c r="B1491" s="21" t="s">
        <v>4688</v>
      </c>
      <c r="C1491" s="21" t="s">
        <v>22682</v>
      </c>
      <c r="D1491" s="22">
        <v>46034</v>
      </c>
      <c r="E1491" s="23" t="s">
        <v>22658</v>
      </c>
      <c r="F1491" s="24" t="s">
        <v>22657</v>
      </c>
      <c r="G1491" s="25">
        <v>4</v>
      </c>
      <c r="H1491" s="29"/>
      <c r="I1491" s="30"/>
    </row>
    <row r="1492" spans="1:9" ht="15.75" thickBot="1" x14ac:dyDescent="0.3">
      <c r="A1492" s="43" t="s">
        <v>4689</v>
      </c>
      <c r="B1492" s="21" t="s">
        <v>4690</v>
      </c>
      <c r="C1492" s="21" t="s">
        <v>22682</v>
      </c>
      <c r="D1492" s="22">
        <v>46034</v>
      </c>
      <c r="E1492" s="23" t="s">
        <v>22658</v>
      </c>
      <c r="F1492" s="24" t="s">
        <v>22657</v>
      </c>
      <c r="G1492" s="25">
        <v>4</v>
      </c>
      <c r="H1492" s="26"/>
      <c r="I1492" s="27"/>
    </row>
    <row r="1493" spans="1:9" ht="15.75" thickBot="1" x14ac:dyDescent="0.3">
      <c r="A1493" s="43" t="s">
        <v>4691</v>
      </c>
      <c r="B1493" s="21" t="s">
        <v>4692</v>
      </c>
      <c r="C1493" s="21" t="s">
        <v>22682</v>
      </c>
      <c r="D1493" s="22">
        <v>46034</v>
      </c>
      <c r="E1493" s="23" t="s">
        <v>22658</v>
      </c>
      <c r="F1493" s="24" t="s">
        <v>22657</v>
      </c>
      <c r="G1493" s="25">
        <v>4</v>
      </c>
      <c r="H1493" s="29"/>
      <c r="I1493" s="30"/>
    </row>
    <row r="1494" spans="1:9" ht="15.75" thickBot="1" x14ac:dyDescent="0.3">
      <c r="A1494" s="43" t="s">
        <v>4693</v>
      </c>
      <c r="B1494" s="21" t="s">
        <v>4694</v>
      </c>
      <c r="C1494" s="21" t="s">
        <v>22682</v>
      </c>
      <c r="D1494" s="22">
        <v>46034</v>
      </c>
      <c r="E1494" s="23" t="s">
        <v>22656</v>
      </c>
      <c r="F1494" s="24" t="s">
        <v>22657</v>
      </c>
      <c r="G1494" s="25">
        <v>4</v>
      </c>
      <c r="H1494" s="26"/>
      <c r="I1494" s="27"/>
    </row>
    <row r="1495" spans="1:9" ht="15.75" thickBot="1" x14ac:dyDescent="0.3">
      <c r="A1495" s="43" t="s">
        <v>4695</v>
      </c>
      <c r="B1495" s="21" t="s">
        <v>4696</v>
      </c>
      <c r="C1495" s="21" t="s">
        <v>22663</v>
      </c>
      <c r="D1495" s="31">
        <v>1</v>
      </c>
      <c r="E1495" s="23" t="s">
        <v>22658</v>
      </c>
      <c r="F1495" s="24" t="s">
        <v>22657</v>
      </c>
      <c r="G1495" s="25">
        <v>4</v>
      </c>
      <c r="H1495" s="29"/>
      <c r="I1495" s="30"/>
    </row>
    <row r="1496" spans="1:9" ht="15.75" thickBot="1" x14ac:dyDescent="0.3">
      <c r="A1496" s="43" t="s">
        <v>4697</v>
      </c>
      <c r="B1496" s="21" t="s">
        <v>4698</v>
      </c>
      <c r="C1496" s="21" t="s">
        <v>22663</v>
      </c>
      <c r="D1496" s="31">
        <v>1</v>
      </c>
      <c r="E1496" s="23" t="s">
        <v>22656</v>
      </c>
      <c r="F1496" s="24" t="s">
        <v>22657</v>
      </c>
      <c r="G1496" s="25">
        <v>2</v>
      </c>
      <c r="H1496" s="26"/>
      <c r="I1496" s="27"/>
    </row>
    <row r="1497" spans="1:9" ht="15.75" thickBot="1" x14ac:dyDescent="0.3">
      <c r="A1497" s="43" t="s">
        <v>4699</v>
      </c>
      <c r="B1497" s="21" t="s">
        <v>4700</v>
      </c>
      <c r="C1497" s="21" t="s">
        <v>22682</v>
      </c>
      <c r="D1497" s="22">
        <v>46034</v>
      </c>
      <c r="E1497" s="23" t="s">
        <v>22658</v>
      </c>
      <c r="F1497" s="24" t="s">
        <v>22657</v>
      </c>
      <c r="G1497" s="25">
        <v>4</v>
      </c>
      <c r="H1497" s="29"/>
      <c r="I1497" s="30"/>
    </row>
    <row r="1498" spans="1:9" ht="15.75" thickBot="1" x14ac:dyDescent="0.3">
      <c r="A1498" s="43" t="s">
        <v>4701</v>
      </c>
      <c r="B1498" s="21" t="s">
        <v>4702</v>
      </c>
      <c r="C1498" s="21" t="s">
        <v>22655</v>
      </c>
      <c r="D1498" s="22">
        <v>46034</v>
      </c>
      <c r="E1498" s="23" t="s">
        <v>22658</v>
      </c>
      <c r="F1498" s="24" t="s">
        <v>22657</v>
      </c>
      <c r="G1498" s="25">
        <v>1</v>
      </c>
      <c r="H1498" s="26"/>
      <c r="I1498" s="27"/>
    </row>
    <row r="1499" spans="1:9" ht="15.75" thickBot="1" x14ac:dyDescent="0.3">
      <c r="A1499" s="43" t="s">
        <v>4703</v>
      </c>
      <c r="B1499" s="21" t="s">
        <v>4704</v>
      </c>
      <c r="C1499" s="21" t="s">
        <v>22655</v>
      </c>
      <c r="D1499" s="22">
        <v>46032</v>
      </c>
      <c r="E1499" s="23" t="s">
        <v>22656</v>
      </c>
      <c r="F1499" s="24" t="s">
        <v>22657</v>
      </c>
      <c r="G1499" s="25">
        <v>4</v>
      </c>
      <c r="H1499" s="29"/>
      <c r="I1499" s="30"/>
    </row>
    <row r="1500" spans="1:9" ht="15.75" thickBot="1" x14ac:dyDescent="0.3">
      <c r="A1500" s="43" t="s">
        <v>4705</v>
      </c>
      <c r="B1500" s="21" t="s">
        <v>4706</v>
      </c>
      <c r="C1500" s="21" t="s">
        <v>22663</v>
      </c>
      <c r="D1500" s="31">
        <v>1</v>
      </c>
      <c r="E1500" s="23" t="s">
        <v>22656</v>
      </c>
      <c r="F1500" s="24" t="s">
        <v>22657</v>
      </c>
      <c r="G1500" s="25">
        <v>5</v>
      </c>
      <c r="H1500" s="26"/>
      <c r="I1500" s="27"/>
    </row>
    <row r="1501" spans="1:9" ht="15.75" thickBot="1" x14ac:dyDescent="0.3">
      <c r="A1501" s="43" t="s">
        <v>4707</v>
      </c>
      <c r="B1501" s="21" t="s">
        <v>4708</v>
      </c>
      <c r="C1501" s="21" t="s">
        <v>22655</v>
      </c>
      <c r="D1501" s="22">
        <v>46032</v>
      </c>
      <c r="E1501" s="23" t="s">
        <v>22656</v>
      </c>
      <c r="F1501" s="24" t="s">
        <v>22657</v>
      </c>
      <c r="G1501" s="25">
        <v>4</v>
      </c>
      <c r="H1501" s="29"/>
      <c r="I1501" s="30"/>
    </row>
    <row r="1502" spans="1:9" ht="15.75" thickBot="1" x14ac:dyDescent="0.3">
      <c r="A1502" s="43" t="s">
        <v>4709</v>
      </c>
      <c r="B1502" s="21" t="s">
        <v>4710</v>
      </c>
      <c r="C1502" s="21" t="s">
        <v>22655</v>
      </c>
      <c r="D1502" s="22">
        <v>46032</v>
      </c>
      <c r="E1502" s="23" t="s">
        <v>22656</v>
      </c>
      <c r="F1502" s="24" t="s">
        <v>22657</v>
      </c>
      <c r="G1502" s="25">
        <v>4</v>
      </c>
      <c r="H1502" s="26"/>
      <c r="I1502" s="27"/>
    </row>
    <row r="1503" spans="1:9" ht="15.75" thickBot="1" x14ac:dyDescent="0.3">
      <c r="A1503" s="43" t="s">
        <v>4711</v>
      </c>
      <c r="B1503" s="21" t="s">
        <v>4712</v>
      </c>
      <c r="C1503" s="21" t="s">
        <v>22663</v>
      </c>
      <c r="D1503" s="31">
        <v>1</v>
      </c>
      <c r="E1503" s="23" t="s">
        <v>22656</v>
      </c>
      <c r="F1503" s="24" t="s">
        <v>22657</v>
      </c>
      <c r="G1503" s="25">
        <v>5</v>
      </c>
      <c r="H1503" s="29"/>
      <c r="I1503" s="30"/>
    </row>
    <row r="1504" spans="1:9" ht="15.75" thickBot="1" x14ac:dyDescent="0.3">
      <c r="A1504" s="43" t="s">
        <v>4713</v>
      </c>
      <c r="B1504" s="21" t="s">
        <v>4714</v>
      </c>
      <c r="C1504" s="21" t="s">
        <v>22663</v>
      </c>
      <c r="D1504" s="31">
        <v>1</v>
      </c>
      <c r="E1504" s="23" t="s">
        <v>22656</v>
      </c>
      <c r="F1504" s="24" t="s">
        <v>22657</v>
      </c>
      <c r="G1504" s="25">
        <v>4</v>
      </c>
      <c r="H1504" s="34">
        <v>4</v>
      </c>
      <c r="I1504" s="35">
        <v>6</v>
      </c>
    </row>
    <row r="1505" spans="1:9" ht="15.75" thickBot="1" x14ac:dyDescent="0.3">
      <c r="A1505" s="43" t="s">
        <v>203</v>
      </c>
      <c r="B1505" s="21" t="s">
        <v>204</v>
      </c>
      <c r="C1505" s="21" t="s">
        <v>22709</v>
      </c>
      <c r="D1505" s="31">
        <v>1</v>
      </c>
      <c r="E1505" s="23" t="s">
        <v>22656</v>
      </c>
      <c r="F1505" s="24" t="s">
        <v>22657</v>
      </c>
      <c r="G1505" s="25">
        <v>2</v>
      </c>
      <c r="H1505" s="29"/>
      <c r="I1505" s="30"/>
    </row>
    <row r="1506" spans="1:9" ht="15.75" thickBot="1" x14ac:dyDescent="0.3">
      <c r="A1506" s="43" t="s">
        <v>4715</v>
      </c>
      <c r="B1506" s="21" t="s">
        <v>4716</v>
      </c>
      <c r="C1506" s="21" t="s">
        <v>22698</v>
      </c>
      <c r="D1506" s="31">
        <v>1</v>
      </c>
      <c r="E1506" s="23" t="s">
        <v>22656</v>
      </c>
      <c r="F1506" s="24" t="s">
        <v>22657</v>
      </c>
      <c r="G1506" s="25">
        <v>1</v>
      </c>
      <c r="H1506" s="34">
        <v>1</v>
      </c>
      <c r="I1506" s="35">
        <v>2</v>
      </c>
    </row>
    <row r="1507" spans="1:9" ht="15.75" thickBot="1" x14ac:dyDescent="0.3">
      <c r="A1507" s="43" t="s">
        <v>4717</v>
      </c>
      <c r="B1507" s="21" t="s">
        <v>4718</v>
      </c>
      <c r="C1507" s="21" t="s">
        <v>22663</v>
      </c>
      <c r="D1507" s="31">
        <v>1</v>
      </c>
      <c r="E1507" s="23" t="s">
        <v>22656</v>
      </c>
      <c r="F1507" s="24" t="s">
        <v>22657</v>
      </c>
      <c r="G1507" s="25">
        <v>7</v>
      </c>
      <c r="H1507" s="29"/>
      <c r="I1507" s="30"/>
    </row>
    <row r="1508" spans="1:9" ht="15.75" thickBot="1" x14ac:dyDescent="0.3">
      <c r="A1508" s="43" t="s">
        <v>1958</v>
      </c>
      <c r="B1508" s="21" t="s">
        <v>4719</v>
      </c>
      <c r="C1508" s="21" t="s">
        <v>22655</v>
      </c>
      <c r="D1508" s="22">
        <v>46028</v>
      </c>
      <c r="E1508" s="23" t="s">
        <v>22656</v>
      </c>
      <c r="F1508" s="24" t="s">
        <v>22657</v>
      </c>
      <c r="G1508" s="25">
        <v>6</v>
      </c>
      <c r="H1508" s="34">
        <v>6</v>
      </c>
      <c r="I1508" s="35">
        <v>12</v>
      </c>
    </row>
    <row r="1509" spans="1:9" ht="15.75" thickBot="1" x14ac:dyDescent="0.3">
      <c r="A1509" s="43" t="s">
        <v>1986</v>
      </c>
      <c r="B1509" s="21" t="s">
        <v>1987</v>
      </c>
      <c r="C1509" s="21" t="s">
        <v>22655</v>
      </c>
      <c r="D1509" s="22">
        <v>46046</v>
      </c>
      <c r="E1509" s="23" t="s">
        <v>22661</v>
      </c>
      <c r="F1509" s="24" t="s">
        <v>22657</v>
      </c>
      <c r="G1509" s="25">
        <v>12</v>
      </c>
      <c r="H1509" s="32">
        <v>12</v>
      </c>
      <c r="I1509" s="33">
        <v>24</v>
      </c>
    </row>
    <row r="1510" spans="1:9" ht="15.75" thickBot="1" x14ac:dyDescent="0.3">
      <c r="A1510" s="43" t="s">
        <v>1922</v>
      </c>
      <c r="B1510" s="21" t="s">
        <v>4720</v>
      </c>
      <c r="C1510" s="21" t="s">
        <v>22663</v>
      </c>
      <c r="D1510" s="31">
        <v>1</v>
      </c>
      <c r="E1510" s="23" t="s">
        <v>22661</v>
      </c>
      <c r="F1510" s="24" t="s">
        <v>22657</v>
      </c>
      <c r="G1510" s="25">
        <v>10</v>
      </c>
      <c r="H1510" s="34">
        <v>10</v>
      </c>
      <c r="I1510" s="35">
        <v>12</v>
      </c>
    </row>
    <row r="1511" spans="1:9" ht="15.75" thickBot="1" x14ac:dyDescent="0.3">
      <c r="A1511" s="43" t="s">
        <v>1161</v>
      </c>
      <c r="B1511" s="21" t="s">
        <v>1162</v>
      </c>
      <c r="C1511" s="21" t="s">
        <v>22663</v>
      </c>
      <c r="D1511" s="31">
        <v>1</v>
      </c>
      <c r="E1511" s="23" t="s">
        <v>22656</v>
      </c>
      <c r="F1511" s="24" t="s">
        <v>22657</v>
      </c>
      <c r="G1511" s="25">
        <v>1</v>
      </c>
      <c r="H1511" s="32">
        <v>1</v>
      </c>
      <c r="I1511" s="33">
        <v>2</v>
      </c>
    </row>
    <row r="1512" spans="1:9" ht="15.75" thickBot="1" x14ac:dyDescent="0.3">
      <c r="A1512" s="43" t="s">
        <v>1950</v>
      </c>
      <c r="B1512" s="21" t="s">
        <v>4721</v>
      </c>
      <c r="C1512" s="21" t="s">
        <v>22698</v>
      </c>
      <c r="D1512" s="31">
        <v>1</v>
      </c>
      <c r="E1512" s="23" t="s">
        <v>22661</v>
      </c>
      <c r="F1512" s="24" t="s">
        <v>22657</v>
      </c>
      <c r="G1512" s="25">
        <v>8</v>
      </c>
      <c r="H1512" s="34">
        <v>8</v>
      </c>
      <c r="I1512" s="35">
        <v>10</v>
      </c>
    </row>
    <row r="1513" spans="1:9" ht="15.75" thickBot="1" x14ac:dyDescent="0.3">
      <c r="A1513" s="43" t="s">
        <v>933</v>
      </c>
      <c r="B1513" s="21" t="s">
        <v>934</v>
      </c>
      <c r="C1513" s="21" t="s">
        <v>22655</v>
      </c>
      <c r="D1513" s="22">
        <v>46028</v>
      </c>
      <c r="E1513" s="23" t="s">
        <v>22656</v>
      </c>
      <c r="F1513" s="24" t="s">
        <v>22657</v>
      </c>
      <c r="G1513" s="25">
        <v>2</v>
      </c>
      <c r="H1513" s="29"/>
      <c r="I1513" s="30"/>
    </row>
    <row r="1514" spans="1:9" ht="15.75" thickBot="1" x14ac:dyDescent="0.3">
      <c r="A1514" s="43" t="s">
        <v>951</v>
      </c>
      <c r="B1514" s="21" t="s">
        <v>952</v>
      </c>
      <c r="C1514" s="21" t="s">
        <v>22663</v>
      </c>
      <c r="D1514" s="31">
        <v>1</v>
      </c>
      <c r="E1514" s="23" t="s">
        <v>22665</v>
      </c>
      <c r="F1514" s="24" t="s">
        <v>22657</v>
      </c>
      <c r="G1514" s="25">
        <v>12</v>
      </c>
      <c r="H1514" s="34">
        <v>12</v>
      </c>
      <c r="I1514" s="35">
        <v>24</v>
      </c>
    </row>
    <row r="1515" spans="1:9" ht="15.75" thickBot="1" x14ac:dyDescent="0.3">
      <c r="A1515" s="43" t="s">
        <v>1539</v>
      </c>
      <c r="B1515" s="21" t="s">
        <v>1540</v>
      </c>
      <c r="C1515" s="21" t="s">
        <v>22655</v>
      </c>
      <c r="D1515" s="22">
        <v>46034</v>
      </c>
      <c r="E1515" s="23" t="s">
        <v>22656</v>
      </c>
      <c r="F1515" s="24" t="s">
        <v>22657</v>
      </c>
      <c r="G1515" s="25">
        <v>4</v>
      </c>
      <c r="H1515" s="29"/>
      <c r="I1515" s="30"/>
    </row>
    <row r="1516" spans="1:9" ht="15.75" thickBot="1" x14ac:dyDescent="0.3">
      <c r="A1516" s="43" t="s">
        <v>4722</v>
      </c>
      <c r="B1516" s="21" t="s">
        <v>4723</v>
      </c>
      <c r="C1516" s="21" t="s">
        <v>22655</v>
      </c>
      <c r="D1516" s="22">
        <v>46046</v>
      </c>
      <c r="E1516" s="23" t="s">
        <v>22658</v>
      </c>
      <c r="F1516" s="24" t="s">
        <v>22657</v>
      </c>
      <c r="G1516" s="25">
        <v>8</v>
      </c>
      <c r="H1516" s="26"/>
      <c r="I1516" s="27"/>
    </row>
    <row r="1517" spans="1:9" ht="15.75" thickBot="1" x14ac:dyDescent="0.3">
      <c r="A1517" s="43" t="s">
        <v>1855</v>
      </c>
      <c r="B1517" s="21" t="s">
        <v>1856</v>
      </c>
      <c r="C1517" s="21" t="s">
        <v>22655</v>
      </c>
      <c r="D1517" s="22">
        <v>46028</v>
      </c>
      <c r="E1517" s="23" t="s">
        <v>22656</v>
      </c>
      <c r="F1517" s="24" t="s">
        <v>22657</v>
      </c>
      <c r="G1517" s="25">
        <v>2</v>
      </c>
      <c r="H1517" s="32">
        <v>2</v>
      </c>
      <c r="I1517" s="33">
        <v>6</v>
      </c>
    </row>
    <row r="1518" spans="1:9" ht="15.75" thickBot="1" x14ac:dyDescent="0.3">
      <c r="A1518" s="43" t="s">
        <v>127</v>
      </c>
      <c r="B1518" s="21" t="s">
        <v>128</v>
      </c>
      <c r="C1518" s="21" t="s">
        <v>22655</v>
      </c>
      <c r="D1518" s="22">
        <v>46046</v>
      </c>
      <c r="E1518" s="23" t="s">
        <v>22656</v>
      </c>
      <c r="F1518" s="24" t="s">
        <v>22657</v>
      </c>
      <c r="G1518" s="25">
        <v>6</v>
      </c>
      <c r="H1518" s="34">
        <v>6</v>
      </c>
      <c r="I1518" s="35">
        <v>8</v>
      </c>
    </row>
    <row r="1519" spans="1:9" ht="15.75" thickBot="1" x14ac:dyDescent="0.3">
      <c r="A1519" s="43" t="s">
        <v>4724</v>
      </c>
      <c r="B1519" s="21" t="s">
        <v>4725</v>
      </c>
      <c r="C1519" s="21" t="s">
        <v>22663</v>
      </c>
      <c r="D1519" s="31">
        <v>1</v>
      </c>
      <c r="E1519" s="23" t="s">
        <v>22656</v>
      </c>
      <c r="F1519" s="24" t="s">
        <v>22657</v>
      </c>
      <c r="G1519" s="25">
        <v>12</v>
      </c>
      <c r="H1519" s="29"/>
      <c r="I1519" s="30"/>
    </row>
    <row r="1520" spans="1:9" ht="15.75" thickBot="1" x14ac:dyDescent="0.3">
      <c r="A1520" s="43" t="s">
        <v>4726</v>
      </c>
      <c r="B1520" s="21" t="s">
        <v>4727</v>
      </c>
      <c r="C1520" s="21" t="s">
        <v>22709</v>
      </c>
      <c r="D1520" s="31">
        <v>1</v>
      </c>
      <c r="E1520" s="23" t="s">
        <v>22658</v>
      </c>
      <c r="F1520" s="24" t="s">
        <v>22657</v>
      </c>
      <c r="G1520" s="25">
        <v>1</v>
      </c>
      <c r="H1520" s="26"/>
      <c r="I1520" s="27"/>
    </row>
    <row r="1521" spans="1:9" ht="15.75" thickBot="1" x14ac:dyDescent="0.3">
      <c r="A1521" s="43" t="s">
        <v>769</v>
      </c>
      <c r="B1521" s="21" t="s">
        <v>770</v>
      </c>
      <c r="C1521" s="21" t="s">
        <v>22663</v>
      </c>
      <c r="D1521" s="31">
        <v>1</v>
      </c>
      <c r="E1521" s="23" t="s">
        <v>22656</v>
      </c>
      <c r="F1521" s="24" t="s">
        <v>22657</v>
      </c>
      <c r="G1521" s="25">
        <v>2</v>
      </c>
      <c r="H1521" s="29"/>
      <c r="I1521" s="30"/>
    </row>
    <row r="1522" spans="1:9" ht="15.75" thickBot="1" x14ac:dyDescent="0.3">
      <c r="A1522" s="43" t="s">
        <v>4728</v>
      </c>
      <c r="B1522" s="21" t="s">
        <v>4729</v>
      </c>
      <c r="C1522" s="21" t="s">
        <v>22698</v>
      </c>
      <c r="D1522" s="31">
        <v>1</v>
      </c>
      <c r="E1522" s="23" t="s">
        <v>22661</v>
      </c>
      <c r="F1522" s="24" t="s">
        <v>22657</v>
      </c>
      <c r="G1522" s="25">
        <v>6</v>
      </c>
      <c r="H1522" s="26"/>
      <c r="I1522" s="27"/>
    </row>
    <row r="1523" spans="1:9" ht="15.75" thickBot="1" x14ac:dyDescent="0.3">
      <c r="A1523" s="43" t="s">
        <v>4730</v>
      </c>
      <c r="B1523" s="21" t="s">
        <v>4731</v>
      </c>
      <c r="C1523" s="21" t="s">
        <v>22663</v>
      </c>
      <c r="D1523" s="31">
        <v>1</v>
      </c>
      <c r="E1523" s="23" t="s">
        <v>22656</v>
      </c>
      <c r="F1523" s="24" t="s">
        <v>22657</v>
      </c>
      <c r="G1523" s="25">
        <v>12</v>
      </c>
      <c r="H1523" s="29"/>
      <c r="I1523" s="30"/>
    </row>
    <row r="1524" spans="1:9" ht="15.75" thickBot="1" x14ac:dyDescent="0.3">
      <c r="A1524" s="43" t="s">
        <v>5</v>
      </c>
      <c r="B1524" s="21" t="s">
        <v>6</v>
      </c>
      <c r="C1524" s="21" t="s">
        <v>22655</v>
      </c>
      <c r="D1524" s="22">
        <v>46034</v>
      </c>
      <c r="E1524" s="23" t="s">
        <v>22661</v>
      </c>
      <c r="F1524" s="24" t="s">
        <v>22657</v>
      </c>
      <c r="G1524" s="25">
        <v>8</v>
      </c>
      <c r="H1524" s="34">
        <v>8</v>
      </c>
      <c r="I1524" s="35">
        <v>12</v>
      </c>
    </row>
    <row r="1525" spans="1:9" ht="15.75" thickBot="1" x14ac:dyDescent="0.3">
      <c r="A1525" s="43" t="s">
        <v>1069</v>
      </c>
      <c r="B1525" s="21" t="s">
        <v>1070</v>
      </c>
      <c r="C1525" s="21" t="s">
        <v>22655</v>
      </c>
      <c r="D1525" s="31" t="s">
        <v>22666</v>
      </c>
      <c r="E1525" s="23" t="s">
        <v>22665</v>
      </c>
      <c r="F1525" s="24" t="s">
        <v>22657</v>
      </c>
      <c r="G1525" s="25">
        <v>20</v>
      </c>
      <c r="H1525" s="29"/>
      <c r="I1525" s="30"/>
    </row>
    <row r="1526" spans="1:9" ht="15.75" thickBot="1" x14ac:dyDescent="0.3">
      <c r="A1526" s="43" t="s">
        <v>993</v>
      </c>
      <c r="B1526" s="21" t="s">
        <v>994</v>
      </c>
      <c r="C1526" s="21" t="s">
        <v>22655</v>
      </c>
      <c r="D1526" s="22">
        <v>46028</v>
      </c>
      <c r="E1526" s="23" t="s">
        <v>22661</v>
      </c>
      <c r="F1526" s="24" t="s">
        <v>22657</v>
      </c>
      <c r="G1526" s="25">
        <v>12</v>
      </c>
      <c r="H1526" s="34">
        <v>12</v>
      </c>
      <c r="I1526" s="35">
        <v>18</v>
      </c>
    </row>
    <row r="1527" spans="1:9" ht="15.75" thickBot="1" x14ac:dyDescent="0.3">
      <c r="A1527" s="43" t="s">
        <v>11</v>
      </c>
      <c r="B1527" s="21" t="s">
        <v>4734</v>
      </c>
      <c r="C1527" s="21" t="s">
        <v>22655</v>
      </c>
      <c r="D1527" s="22">
        <v>46046</v>
      </c>
      <c r="E1527" s="23" t="s">
        <v>22661</v>
      </c>
      <c r="F1527" s="24" t="s">
        <v>22657</v>
      </c>
      <c r="G1527" s="25">
        <v>12</v>
      </c>
      <c r="H1527" s="32">
        <v>12</v>
      </c>
      <c r="I1527" s="33">
        <v>15</v>
      </c>
    </row>
    <row r="1528" spans="1:9" ht="15.75" thickBot="1" x14ac:dyDescent="0.3">
      <c r="A1528" s="43" t="s">
        <v>4735</v>
      </c>
      <c r="B1528" s="21" t="s">
        <v>4736</v>
      </c>
      <c r="C1528" s="21" t="s">
        <v>22655</v>
      </c>
      <c r="D1528" s="31" t="s">
        <v>22666</v>
      </c>
      <c r="E1528" s="23" t="s">
        <v>22656</v>
      </c>
      <c r="F1528" s="24" t="s">
        <v>22657</v>
      </c>
      <c r="G1528" s="25">
        <v>7</v>
      </c>
      <c r="H1528" s="26"/>
      <c r="I1528" s="27"/>
    </row>
    <row r="1529" spans="1:9" ht="15.75" thickBot="1" x14ac:dyDescent="0.3">
      <c r="A1529" s="43" t="s">
        <v>4737</v>
      </c>
      <c r="B1529" s="21" t="s">
        <v>4738</v>
      </c>
      <c r="C1529" s="21" t="s">
        <v>22655</v>
      </c>
      <c r="D1529" s="31" t="s">
        <v>22666</v>
      </c>
      <c r="E1529" s="23" t="s">
        <v>22661</v>
      </c>
      <c r="F1529" s="24" t="s">
        <v>22657</v>
      </c>
      <c r="G1529" s="25">
        <v>9</v>
      </c>
      <c r="H1529" s="29"/>
      <c r="I1529" s="30"/>
    </row>
    <row r="1530" spans="1:9" ht="15.75" thickBot="1" x14ac:dyDescent="0.3">
      <c r="A1530" s="43" t="s">
        <v>4739</v>
      </c>
      <c r="B1530" s="21" t="s">
        <v>4740</v>
      </c>
      <c r="C1530" s="21" t="s">
        <v>22655</v>
      </c>
      <c r="D1530" s="22">
        <v>46028</v>
      </c>
      <c r="E1530" s="23" t="s">
        <v>22656</v>
      </c>
      <c r="F1530" s="24" t="s">
        <v>22657</v>
      </c>
      <c r="G1530" s="25">
        <v>2</v>
      </c>
      <c r="H1530" s="26"/>
      <c r="I1530" s="27"/>
    </row>
    <row r="1531" spans="1:9" ht="15.75" thickBot="1" x14ac:dyDescent="0.3">
      <c r="A1531" s="43" t="s">
        <v>4741</v>
      </c>
      <c r="B1531" s="21" t="s">
        <v>4742</v>
      </c>
      <c r="C1531" s="21" t="s">
        <v>22663</v>
      </c>
      <c r="D1531" s="31">
        <v>1</v>
      </c>
      <c r="E1531" s="23" t="s">
        <v>22656</v>
      </c>
      <c r="F1531" s="24" t="s">
        <v>22657</v>
      </c>
      <c r="G1531" s="25">
        <v>4</v>
      </c>
      <c r="H1531" s="29"/>
      <c r="I1531" s="30"/>
    </row>
    <row r="1532" spans="1:9" ht="15.75" thickBot="1" x14ac:dyDescent="0.3">
      <c r="A1532" s="43" t="s">
        <v>4743</v>
      </c>
      <c r="B1532" s="21" t="s">
        <v>4744</v>
      </c>
      <c r="C1532" s="21" t="s">
        <v>22698</v>
      </c>
      <c r="D1532" s="31">
        <v>1</v>
      </c>
      <c r="E1532" s="23" t="s">
        <v>22658</v>
      </c>
      <c r="F1532" s="24" t="s">
        <v>22657</v>
      </c>
      <c r="G1532" s="25">
        <v>1</v>
      </c>
      <c r="H1532" s="26"/>
      <c r="I1532" s="27"/>
    </row>
    <row r="1533" spans="1:9" ht="15.75" thickBot="1" x14ac:dyDescent="0.3">
      <c r="A1533" s="43" t="s">
        <v>4745</v>
      </c>
      <c r="B1533" s="21" t="s">
        <v>4746</v>
      </c>
      <c r="C1533" s="21" t="s">
        <v>22663</v>
      </c>
      <c r="D1533" s="31">
        <v>1</v>
      </c>
      <c r="E1533" s="23" t="s">
        <v>22656</v>
      </c>
      <c r="F1533" s="24" t="s">
        <v>22657</v>
      </c>
      <c r="G1533" s="25">
        <v>4</v>
      </c>
      <c r="H1533" s="29"/>
      <c r="I1533" s="30"/>
    </row>
    <row r="1534" spans="1:9" ht="15.75" thickBot="1" x14ac:dyDescent="0.3">
      <c r="A1534" s="43" t="s">
        <v>4747</v>
      </c>
      <c r="B1534" s="21" t="s">
        <v>4748</v>
      </c>
      <c r="C1534" s="21" t="s">
        <v>22698</v>
      </c>
      <c r="D1534" s="31">
        <v>1</v>
      </c>
      <c r="E1534" s="23" t="s">
        <v>22658</v>
      </c>
      <c r="F1534" s="24" t="s">
        <v>22657</v>
      </c>
      <c r="G1534" s="25">
        <v>1</v>
      </c>
      <c r="H1534" s="26"/>
      <c r="I1534" s="27"/>
    </row>
    <row r="1535" spans="1:9" ht="15.75" thickBot="1" x14ac:dyDescent="0.3">
      <c r="A1535" s="43" t="s">
        <v>4749</v>
      </c>
      <c r="B1535" s="21" t="s">
        <v>4750</v>
      </c>
      <c r="C1535" s="21" t="s">
        <v>22663</v>
      </c>
      <c r="D1535" s="31">
        <v>1</v>
      </c>
      <c r="E1535" s="23" t="s">
        <v>22656</v>
      </c>
      <c r="F1535" s="24" t="s">
        <v>22657</v>
      </c>
      <c r="G1535" s="25">
        <v>4</v>
      </c>
      <c r="H1535" s="29"/>
      <c r="I1535" s="30"/>
    </row>
    <row r="1536" spans="1:9" ht="15.75" thickBot="1" x14ac:dyDescent="0.3">
      <c r="A1536" s="43" t="s">
        <v>243</v>
      </c>
      <c r="B1536" s="21" t="s">
        <v>4751</v>
      </c>
      <c r="C1536" s="21" t="s">
        <v>22655</v>
      </c>
      <c r="D1536" s="22">
        <v>46040</v>
      </c>
      <c r="E1536" s="23" t="s">
        <v>22656</v>
      </c>
      <c r="F1536" s="24" t="s">
        <v>22657</v>
      </c>
      <c r="G1536" s="25">
        <v>6</v>
      </c>
      <c r="H1536" s="34">
        <v>6</v>
      </c>
      <c r="I1536" s="35">
        <v>12</v>
      </c>
    </row>
    <row r="1537" spans="1:9" ht="15.75" thickBot="1" x14ac:dyDescent="0.3">
      <c r="A1537" s="43" t="s">
        <v>4752</v>
      </c>
      <c r="B1537" s="21" t="s">
        <v>4753</v>
      </c>
      <c r="C1537" s="21" t="s">
        <v>22690</v>
      </c>
      <c r="D1537" s="31" t="s">
        <v>22699</v>
      </c>
      <c r="E1537" s="23" t="s">
        <v>22658</v>
      </c>
      <c r="F1537" s="24" t="s">
        <v>22657</v>
      </c>
      <c r="G1537" s="25">
        <v>4</v>
      </c>
      <c r="H1537" s="29"/>
      <c r="I1537" s="30"/>
    </row>
    <row r="1538" spans="1:9" ht="15.75" thickBot="1" x14ac:dyDescent="0.3">
      <c r="A1538" s="43" t="s">
        <v>4754</v>
      </c>
      <c r="B1538" s="21" t="s">
        <v>4755</v>
      </c>
      <c r="C1538" s="21" t="s">
        <v>22655</v>
      </c>
      <c r="D1538" s="31" t="s">
        <v>22688</v>
      </c>
      <c r="E1538" s="23" t="s">
        <v>22658</v>
      </c>
      <c r="F1538" s="24" t="s">
        <v>22657</v>
      </c>
      <c r="G1538" s="25">
        <v>4</v>
      </c>
      <c r="H1538" s="26"/>
      <c r="I1538" s="27"/>
    </row>
    <row r="1539" spans="1:9" ht="15.75" thickBot="1" x14ac:dyDescent="0.3">
      <c r="A1539" s="43" t="s">
        <v>4756</v>
      </c>
      <c r="B1539" s="21" t="s">
        <v>4757</v>
      </c>
      <c r="C1539" s="21" t="s">
        <v>22655</v>
      </c>
      <c r="D1539" s="22">
        <v>46034</v>
      </c>
      <c r="E1539" s="23" t="s">
        <v>22658</v>
      </c>
      <c r="F1539" s="24" t="s">
        <v>22657</v>
      </c>
      <c r="G1539" s="25">
        <v>1</v>
      </c>
      <c r="H1539" s="29"/>
      <c r="I1539" s="30"/>
    </row>
    <row r="1540" spans="1:9" ht="15.75" thickBot="1" x14ac:dyDescent="0.3">
      <c r="A1540" s="43" t="s">
        <v>4758</v>
      </c>
      <c r="B1540" s="21" t="s">
        <v>4759</v>
      </c>
      <c r="C1540" s="21" t="s">
        <v>22672</v>
      </c>
      <c r="D1540" s="31" t="s">
        <v>22683</v>
      </c>
      <c r="E1540" s="23" t="s">
        <v>22658</v>
      </c>
      <c r="F1540" s="24" t="s">
        <v>22657</v>
      </c>
      <c r="G1540" s="25">
        <v>7</v>
      </c>
      <c r="H1540" s="26"/>
      <c r="I1540" s="27"/>
    </row>
    <row r="1541" spans="1:9" ht="15.75" thickBot="1" x14ac:dyDescent="0.3">
      <c r="A1541" s="43" t="s">
        <v>4760</v>
      </c>
      <c r="B1541" s="21" t="s">
        <v>4761</v>
      </c>
      <c r="C1541" s="21" t="s">
        <v>22672</v>
      </c>
      <c r="D1541" s="31" t="s">
        <v>22683</v>
      </c>
      <c r="E1541" s="23" t="s">
        <v>22658</v>
      </c>
      <c r="F1541" s="24" t="s">
        <v>22657</v>
      </c>
      <c r="G1541" s="25">
        <v>7</v>
      </c>
      <c r="H1541" s="29"/>
      <c r="I1541" s="30"/>
    </row>
    <row r="1542" spans="1:9" ht="15.75" thickBot="1" x14ac:dyDescent="0.3">
      <c r="A1542" s="43" t="s">
        <v>4762</v>
      </c>
      <c r="B1542" s="21" t="s">
        <v>4763</v>
      </c>
      <c r="C1542" s="21" t="s">
        <v>22672</v>
      </c>
      <c r="D1542" s="31" t="s">
        <v>22683</v>
      </c>
      <c r="E1542" s="23" t="s">
        <v>22658</v>
      </c>
      <c r="F1542" s="24" t="s">
        <v>22657</v>
      </c>
      <c r="G1542" s="25">
        <v>7</v>
      </c>
      <c r="H1542" s="26"/>
      <c r="I1542" s="27"/>
    </row>
    <row r="1543" spans="1:9" ht="15.75" thickBot="1" x14ac:dyDescent="0.3">
      <c r="A1543" s="43" t="s">
        <v>4764</v>
      </c>
      <c r="B1543" s="21" t="s">
        <v>4765</v>
      </c>
      <c r="C1543" s="21" t="s">
        <v>22672</v>
      </c>
      <c r="D1543" s="22">
        <v>46032</v>
      </c>
      <c r="E1543" s="23" t="s">
        <v>22658</v>
      </c>
      <c r="F1543" s="24" t="s">
        <v>22657</v>
      </c>
      <c r="G1543" s="25">
        <v>4</v>
      </c>
      <c r="H1543" s="29"/>
      <c r="I1543" s="30"/>
    </row>
    <row r="1544" spans="1:9" ht="15.75" thickBot="1" x14ac:dyDescent="0.3">
      <c r="A1544" s="43" t="s">
        <v>4766</v>
      </c>
      <c r="B1544" s="21" t="s">
        <v>4767</v>
      </c>
      <c r="C1544" s="21" t="s">
        <v>22672</v>
      </c>
      <c r="D1544" s="22">
        <v>46032</v>
      </c>
      <c r="E1544" s="23" t="s">
        <v>22658</v>
      </c>
      <c r="F1544" s="24" t="s">
        <v>22657</v>
      </c>
      <c r="G1544" s="25">
        <v>4</v>
      </c>
      <c r="H1544" s="26"/>
      <c r="I1544" s="27"/>
    </row>
    <row r="1545" spans="1:9" ht="15.75" thickBot="1" x14ac:dyDescent="0.3">
      <c r="A1545" s="43" t="s">
        <v>4768</v>
      </c>
      <c r="B1545" s="21" t="s">
        <v>4769</v>
      </c>
      <c r="C1545" s="21" t="s">
        <v>22672</v>
      </c>
      <c r="D1545" s="22">
        <v>46032</v>
      </c>
      <c r="E1545" s="23" t="s">
        <v>22658</v>
      </c>
      <c r="F1545" s="24" t="s">
        <v>22657</v>
      </c>
      <c r="G1545" s="25">
        <v>4</v>
      </c>
      <c r="H1545" s="29"/>
      <c r="I1545" s="30"/>
    </row>
    <row r="1546" spans="1:9" ht="15.75" thickBot="1" x14ac:dyDescent="0.3">
      <c r="A1546" s="43" t="s">
        <v>4770</v>
      </c>
      <c r="B1546" s="21" t="s">
        <v>4771</v>
      </c>
      <c r="C1546" s="21" t="s">
        <v>22672</v>
      </c>
      <c r="D1546" s="22">
        <v>46032</v>
      </c>
      <c r="E1546" s="23" t="s">
        <v>22658</v>
      </c>
      <c r="F1546" s="24" t="s">
        <v>22657</v>
      </c>
      <c r="G1546" s="25">
        <v>4</v>
      </c>
      <c r="H1546" s="26"/>
      <c r="I1546" s="27"/>
    </row>
    <row r="1547" spans="1:9" ht="15.75" thickBot="1" x14ac:dyDescent="0.3">
      <c r="A1547" s="43" t="s">
        <v>4772</v>
      </c>
      <c r="B1547" s="21" t="s">
        <v>4773</v>
      </c>
      <c r="C1547" s="21" t="s">
        <v>22667</v>
      </c>
      <c r="D1547" s="31" t="s">
        <v>22769</v>
      </c>
      <c r="E1547" s="23" t="s">
        <v>22658</v>
      </c>
      <c r="F1547" s="24" t="s">
        <v>22657</v>
      </c>
      <c r="G1547" s="25">
        <v>17</v>
      </c>
      <c r="H1547" s="29"/>
      <c r="I1547" s="30"/>
    </row>
    <row r="1548" spans="1:9" ht="15.75" thickBot="1" x14ac:dyDescent="0.3">
      <c r="A1548" s="43" t="s">
        <v>4774</v>
      </c>
      <c r="B1548" s="21" t="s">
        <v>4775</v>
      </c>
      <c r="C1548" s="21" t="s">
        <v>22667</v>
      </c>
      <c r="D1548" s="31" t="s">
        <v>22766</v>
      </c>
      <c r="E1548" s="23" t="s">
        <v>22658</v>
      </c>
      <c r="F1548" s="24" t="s">
        <v>22657</v>
      </c>
      <c r="G1548" s="25">
        <v>17</v>
      </c>
      <c r="H1548" s="26"/>
      <c r="I1548" s="27"/>
    </row>
    <row r="1549" spans="1:9" ht="15.75" thickBot="1" x14ac:dyDescent="0.3">
      <c r="A1549" s="43" t="s">
        <v>4776</v>
      </c>
      <c r="B1549" s="21" t="s">
        <v>4777</v>
      </c>
      <c r="C1549" s="21" t="s">
        <v>22667</v>
      </c>
      <c r="D1549" s="31" t="s">
        <v>22769</v>
      </c>
      <c r="E1549" s="23" t="s">
        <v>22658</v>
      </c>
      <c r="F1549" s="24" t="s">
        <v>22657</v>
      </c>
      <c r="G1549" s="25">
        <v>17</v>
      </c>
      <c r="H1549" s="29"/>
      <c r="I1549" s="30"/>
    </row>
    <row r="1550" spans="1:9" ht="15.75" thickBot="1" x14ac:dyDescent="0.3">
      <c r="A1550" s="43" t="s">
        <v>4778</v>
      </c>
      <c r="B1550" s="21" t="s">
        <v>4779</v>
      </c>
      <c r="C1550" s="21" t="s">
        <v>22667</v>
      </c>
      <c r="D1550" s="31" t="s">
        <v>22769</v>
      </c>
      <c r="E1550" s="23" t="s">
        <v>22656</v>
      </c>
      <c r="F1550" s="24" t="s">
        <v>22657</v>
      </c>
      <c r="G1550" s="25">
        <v>17</v>
      </c>
      <c r="H1550" s="26"/>
      <c r="I1550" s="27"/>
    </row>
    <row r="1551" spans="1:9" ht="15.75" thickBot="1" x14ac:dyDescent="0.3">
      <c r="A1551" s="43" t="s">
        <v>4780</v>
      </c>
      <c r="B1551" s="21" t="s">
        <v>4781</v>
      </c>
      <c r="C1551" s="21" t="s">
        <v>22655</v>
      </c>
      <c r="D1551" s="31" t="s">
        <v>22673</v>
      </c>
      <c r="E1551" s="23" t="s">
        <v>22658</v>
      </c>
      <c r="F1551" s="24" t="s">
        <v>22657</v>
      </c>
      <c r="G1551" s="25">
        <v>7</v>
      </c>
      <c r="H1551" s="29"/>
      <c r="I1551" s="30"/>
    </row>
    <row r="1552" spans="1:9" ht="15.75" thickBot="1" x14ac:dyDescent="0.3">
      <c r="A1552" s="43" t="s">
        <v>4782</v>
      </c>
      <c r="B1552" s="21" t="s">
        <v>4783</v>
      </c>
      <c r="C1552" s="21" t="s">
        <v>22655</v>
      </c>
      <c r="D1552" s="31" t="s">
        <v>22673</v>
      </c>
      <c r="E1552" s="23" t="s">
        <v>22658</v>
      </c>
      <c r="F1552" s="24" t="s">
        <v>22657</v>
      </c>
      <c r="G1552" s="25">
        <v>7</v>
      </c>
      <c r="H1552" s="26"/>
      <c r="I1552" s="27"/>
    </row>
    <row r="1553" spans="1:9" ht="15.75" thickBot="1" x14ac:dyDescent="0.3">
      <c r="A1553" s="43" t="s">
        <v>4784</v>
      </c>
      <c r="B1553" s="21" t="s">
        <v>4785</v>
      </c>
      <c r="C1553" s="21" t="s">
        <v>22655</v>
      </c>
      <c r="D1553" s="31" t="s">
        <v>22673</v>
      </c>
      <c r="E1553" s="23" t="s">
        <v>22658</v>
      </c>
      <c r="F1553" s="24" t="s">
        <v>22657</v>
      </c>
      <c r="G1553" s="25">
        <v>7</v>
      </c>
      <c r="H1553" s="29"/>
      <c r="I1553" s="30"/>
    </row>
    <row r="1554" spans="1:9" ht="15.75" thickBot="1" x14ac:dyDescent="0.3">
      <c r="A1554" s="43" t="s">
        <v>4786</v>
      </c>
      <c r="B1554" s="21" t="s">
        <v>4787</v>
      </c>
      <c r="C1554" s="21" t="s">
        <v>22655</v>
      </c>
      <c r="D1554" s="31" t="s">
        <v>22673</v>
      </c>
      <c r="E1554" s="23" t="s">
        <v>22658</v>
      </c>
      <c r="F1554" s="24" t="s">
        <v>22657</v>
      </c>
      <c r="G1554" s="25">
        <v>7</v>
      </c>
      <c r="H1554" s="26"/>
      <c r="I1554" s="27"/>
    </row>
    <row r="1555" spans="1:9" ht="15.75" thickBot="1" x14ac:dyDescent="0.3">
      <c r="A1555" s="43" t="s">
        <v>4788</v>
      </c>
      <c r="B1555" s="21" t="s">
        <v>4789</v>
      </c>
      <c r="C1555" s="21" t="s">
        <v>22655</v>
      </c>
      <c r="D1555" s="31" t="s">
        <v>22673</v>
      </c>
      <c r="E1555" s="23" t="s">
        <v>22658</v>
      </c>
      <c r="F1555" s="24" t="s">
        <v>22657</v>
      </c>
      <c r="G1555" s="25">
        <v>7</v>
      </c>
      <c r="H1555" s="29"/>
      <c r="I1555" s="30"/>
    </row>
    <row r="1556" spans="1:9" ht="15.75" thickBot="1" x14ac:dyDescent="0.3">
      <c r="A1556" s="43" t="s">
        <v>4790</v>
      </c>
      <c r="B1556" s="21" t="s">
        <v>4791</v>
      </c>
      <c r="C1556" s="21" t="s">
        <v>22672</v>
      </c>
      <c r="D1556" s="22">
        <v>46032</v>
      </c>
      <c r="E1556" s="23" t="s">
        <v>22656</v>
      </c>
      <c r="F1556" s="24" t="s">
        <v>22657</v>
      </c>
      <c r="G1556" s="25">
        <v>10</v>
      </c>
      <c r="H1556" s="34">
        <v>10</v>
      </c>
      <c r="I1556" s="35">
        <v>20</v>
      </c>
    </row>
    <row r="1557" spans="1:9" ht="15.75" thickBot="1" x14ac:dyDescent="0.3">
      <c r="A1557" s="43" t="s">
        <v>4792</v>
      </c>
      <c r="B1557" s="21" t="s">
        <v>4793</v>
      </c>
      <c r="C1557" s="21" t="s">
        <v>22672</v>
      </c>
      <c r="D1557" s="22">
        <v>46032</v>
      </c>
      <c r="E1557" s="23" t="s">
        <v>22658</v>
      </c>
      <c r="F1557" s="24" t="s">
        <v>22657</v>
      </c>
      <c r="G1557" s="25">
        <v>4</v>
      </c>
      <c r="H1557" s="29"/>
      <c r="I1557" s="30"/>
    </row>
    <row r="1558" spans="1:9" ht="15.75" thickBot="1" x14ac:dyDescent="0.3">
      <c r="A1558" s="43" t="s">
        <v>4794</v>
      </c>
      <c r="B1558" s="21" t="s">
        <v>4795</v>
      </c>
      <c r="C1558" s="21" t="s">
        <v>22667</v>
      </c>
      <c r="D1558" s="31" t="s">
        <v>22769</v>
      </c>
      <c r="E1558" s="23" t="s">
        <v>22658</v>
      </c>
      <c r="F1558" s="24" t="s">
        <v>22657</v>
      </c>
      <c r="G1558" s="25">
        <v>7</v>
      </c>
      <c r="H1558" s="26"/>
      <c r="I1558" s="27"/>
    </row>
    <row r="1559" spans="1:9" ht="15.75" thickBot="1" x14ac:dyDescent="0.3">
      <c r="A1559" s="43" t="s">
        <v>4796</v>
      </c>
      <c r="B1559" s="21" t="s">
        <v>4797</v>
      </c>
      <c r="C1559" s="21" t="s">
        <v>22667</v>
      </c>
      <c r="D1559" s="31" t="s">
        <v>22769</v>
      </c>
      <c r="E1559" s="23" t="s">
        <v>22658</v>
      </c>
      <c r="F1559" s="24" t="s">
        <v>22657</v>
      </c>
      <c r="G1559" s="25">
        <v>7</v>
      </c>
      <c r="H1559" s="29"/>
      <c r="I1559" s="30"/>
    </row>
    <row r="1560" spans="1:9" ht="15.75" thickBot="1" x14ac:dyDescent="0.3">
      <c r="A1560" s="43" t="s">
        <v>4798</v>
      </c>
      <c r="B1560" s="21" t="s">
        <v>4799</v>
      </c>
      <c r="C1560" s="21" t="s">
        <v>22667</v>
      </c>
      <c r="D1560" s="31" t="s">
        <v>22769</v>
      </c>
      <c r="E1560" s="23" t="s">
        <v>22658</v>
      </c>
      <c r="F1560" s="24" t="s">
        <v>22657</v>
      </c>
      <c r="G1560" s="25">
        <v>7</v>
      </c>
      <c r="H1560" s="26"/>
      <c r="I1560" s="27"/>
    </row>
    <row r="1561" spans="1:9" ht="15.75" thickBot="1" x14ac:dyDescent="0.3">
      <c r="A1561" s="43" t="s">
        <v>4800</v>
      </c>
      <c r="B1561" s="21" t="s">
        <v>4801</v>
      </c>
      <c r="C1561" s="21" t="s">
        <v>22667</v>
      </c>
      <c r="D1561" s="31" t="s">
        <v>22769</v>
      </c>
      <c r="E1561" s="23" t="s">
        <v>22658</v>
      </c>
      <c r="F1561" s="24" t="s">
        <v>22657</v>
      </c>
      <c r="G1561" s="25">
        <v>7</v>
      </c>
      <c r="H1561" s="29"/>
      <c r="I1561" s="30"/>
    </row>
    <row r="1562" spans="1:9" ht="15.75" thickBot="1" x14ac:dyDescent="0.3">
      <c r="A1562" s="43" t="s">
        <v>4802</v>
      </c>
      <c r="B1562" s="21" t="s">
        <v>4803</v>
      </c>
      <c r="C1562" s="21" t="s">
        <v>22667</v>
      </c>
      <c r="D1562" s="31" t="s">
        <v>22769</v>
      </c>
      <c r="E1562" s="23" t="s">
        <v>22658</v>
      </c>
      <c r="F1562" s="24" t="s">
        <v>22657</v>
      </c>
      <c r="G1562" s="25">
        <v>7</v>
      </c>
      <c r="H1562" s="26"/>
      <c r="I1562" s="27"/>
    </row>
    <row r="1563" spans="1:9" ht="15.75" thickBot="1" x14ac:dyDescent="0.3">
      <c r="A1563" s="43" t="s">
        <v>4804</v>
      </c>
      <c r="B1563" s="21" t="s">
        <v>4805</v>
      </c>
      <c r="C1563" s="21" t="s">
        <v>22667</v>
      </c>
      <c r="D1563" s="31" t="s">
        <v>22770</v>
      </c>
      <c r="E1563" s="23" t="s">
        <v>22658</v>
      </c>
      <c r="F1563" s="24" t="s">
        <v>22657</v>
      </c>
      <c r="G1563" s="25">
        <v>7</v>
      </c>
      <c r="H1563" s="29"/>
      <c r="I1563" s="30"/>
    </row>
    <row r="1564" spans="1:9" ht="15.75" thickBot="1" x14ac:dyDescent="0.3">
      <c r="A1564" s="43" t="s">
        <v>4806</v>
      </c>
      <c r="B1564" s="21" t="s">
        <v>4807</v>
      </c>
      <c r="C1564" s="21" t="s">
        <v>22667</v>
      </c>
      <c r="D1564" s="31" t="s">
        <v>22769</v>
      </c>
      <c r="E1564" s="23" t="s">
        <v>22656</v>
      </c>
      <c r="F1564" s="24" t="s">
        <v>22657</v>
      </c>
      <c r="G1564" s="25">
        <v>7</v>
      </c>
      <c r="H1564" s="26"/>
      <c r="I1564" s="27"/>
    </row>
    <row r="1565" spans="1:9" ht="15.75" thickBot="1" x14ac:dyDescent="0.3">
      <c r="A1565" s="43" t="s">
        <v>4808</v>
      </c>
      <c r="B1565" s="21" t="s">
        <v>4809</v>
      </c>
      <c r="C1565" s="21" t="s">
        <v>22667</v>
      </c>
      <c r="D1565" s="31" t="s">
        <v>22769</v>
      </c>
      <c r="E1565" s="23" t="s">
        <v>22656</v>
      </c>
      <c r="F1565" s="24" t="s">
        <v>22657</v>
      </c>
      <c r="G1565" s="25">
        <v>7</v>
      </c>
      <c r="H1565" s="29"/>
      <c r="I1565" s="30"/>
    </row>
    <row r="1566" spans="1:9" ht="15.75" thickBot="1" x14ac:dyDescent="0.3">
      <c r="A1566" s="43" t="s">
        <v>4810</v>
      </c>
      <c r="B1566" s="21" t="s">
        <v>4811</v>
      </c>
      <c r="C1566" s="21" t="s">
        <v>22667</v>
      </c>
      <c r="D1566" s="31" t="s">
        <v>22769</v>
      </c>
      <c r="E1566" s="23" t="s">
        <v>22656</v>
      </c>
      <c r="F1566" s="24" t="s">
        <v>22657</v>
      </c>
      <c r="G1566" s="25">
        <v>7</v>
      </c>
      <c r="H1566" s="26"/>
      <c r="I1566" s="27"/>
    </row>
    <row r="1567" spans="1:9" ht="15.75" thickBot="1" x14ac:dyDescent="0.3">
      <c r="A1567" s="43" t="s">
        <v>4812</v>
      </c>
      <c r="B1567" s="21" t="s">
        <v>4813</v>
      </c>
      <c r="C1567" s="21" t="s">
        <v>22667</v>
      </c>
      <c r="D1567" s="31" t="s">
        <v>22769</v>
      </c>
      <c r="E1567" s="23" t="s">
        <v>22658</v>
      </c>
      <c r="F1567" s="24" t="s">
        <v>22657</v>
      </c>
      <c r="G1567" s="25">
        <v>7</v>
      </c>
      <c r="H1567" s="29"/>
      <c r="I1567" s="30"/>
    </row>
    <row r="1568" spans="1:9" ht="15.75" thickBot="1" x14ac:dyDescent="0.3">
      <c r="A1568" s="43" t="s">
        <v>4814</v>
      </c>
      <c r="B1568" s="21" t="s">
        <v>4815</v>
      </c>
      <c r="C1568" s="21" t="s">
        <v>22667</v>
      </c>
      <c r="D1568" s="31" t="s">
        <v>22769</v>
      </c>
      <c r="E1568" s="23" t="s">
        <v>22656</v>
      </c>
      <c r="F1568" s="24" t="s">
        <v>22657</v>
      </c>
      <c r="G1568" s="25">
        <v>7</v>
      </c>
      <c r="H1568" s="26"/>
      <c r="I1568" s="27"/>
    </row>
    <row r="1569" spans="1:9" ht="15.75" thickBot="1" x14ac:dyDescent="0.3">
      <c r="A1569" s="43" t="s">
        <v>4816</v>
      </c>
      <c r="B1569" s="21" t="s">
        <v>4817</v>
      </c>
      <c r="C1569" s="21" t="s">
        <v>22667</v>
      </c>
      <c r="D1569" s="31" t="s">
        <v>22769</v>
      </c>
      <c r="E1569" s="23" t="s">
        <v>22658</v>
      </c>
      <c r="F1569" s="24" t="s">
        <v>22657</v>
      </c>
      <c r="G1569" s="25">
        <v>7</v>
      </c>
      <c r="H1569" s="29"/>
      <c r="I1569" s="30"/>
    </row>
    <row r="1570" spans="1:9" ht="15.75" thickBot="1" x14ac:dyDescent="0.3">
      <c r="A1570" s="43" t="s">
        <v>4818</v>
      </c>
      <c r="B1570" s="21" t="s">
        <v>4819</v>
      </c>
      <c r="C1570" s="21" t="s">
        <v>22667</v>
      </c>
      <c r="D1570" s="31" t="s">
        <v>22769</v>
      </c>
      <c r="E1570" s="23" t="s">
        <v>22656</v>
      </c>
      <c r="F1570" s="24" t="s">
        <v>22657</v>
      </c>
      <c r="G1570" s="25">
        <v>7</v>
      </c>
      <c r="H1570" s="26"/>
      <c r="I1570" s="27"/>
    </row>
    <row r="1571" spans="1:9" ht="15.75" thickBot="1" x14ac:dyDescent="0.3">
      <c r="A1571" s="43" t="s">
        <v>4820</v>
      </c>
      <c r="B1571" s="21" t="s">
        <v>4821</v>
      </c>
      <c r="C1571" s="21" t="s">
        <v>22672</v>
      </c>
      <c r="D1571" s="22">
        <v>46032</v>
      </c>
      <c r="E1571" s="23" t="s">
        <v>22658</v>
      </c>
      <c r="F1571" s="24" t="s">
        <v>22657</v>
      </c>
      <c r="G1571" s="25">
        <v>4</v>
      </c>
      <c r="H1571" s="29"/>
      <c r="I1571" s="30"/>
    </row>
    <row r="1572" spans="1:9" ht="15.75" thickBot="1" x14ac:dyDescent="0.3">
      <c r="A1572" s="43" t="s">
        <v>4822</v>
      </c>
      <c r="B1572" s="21" t="s">
        <v>4823</v>
      </c>
      <c r="C1572" s="21" t="s">
        <v>22672</v>
      </c>
      <c r="D1572" s="22">
        <v>46032</v>
      </c>
      <c r="E1572" s="23" t="s">
        <v>22658</v>
      </c>
      <c r="F1572" s="24" t="s">
        <v>22657</v>
      </c>
      <c r="G1572" s="25">
        <v>4</v>
      </c>
      <c r="H1572" s="26"/>
      <c r="I1572" s="27"/>
    </row>
    <row r="1573" spans="1:9" ht="15.75" thickBot="1" x14ac:dyDescent="0.3">
      <c r="A1573" s="43" t="s">
        <v>4824</v>
      </c>
      <c r="B1573" s="21" t="s">
        <v>4825</v>
      </c>
      <c r="C1573" s="21" t="s">
        <v>22672</v>
      </c>
      <c r="D1573" s="22">
        <v>46032</v>
      </c>
      <c r="E1573" s="23" t="s">
        <v>22658</v>
      </c>
      <c r="F1573" s="24" t="s">
        <v>22657</v>
      </c>
      <c r="G1573" s="25">
        <v>4</v>
      </c>
      <c r="H1573" s="29"/>
      <c r="I1573" s="30"/>
    </row>
    <row r="1574" spans="1:9" ht="15.75" thickBot="1" x14ac:dyDescent="0.3">
      <c r="A1574" s="43" t="s">
        <v>4826</v>
      </c>
      <c r="B1574" s="21" t="s">
        <v>4827</v>
      </c>
      <c r="C1574" s="21" t="s">
        <v>22672</v>
      </c>
      <c r="D1574" s="22">
        <v>46032</v>
      </c>
      <c r="E1574" s="23" t="s">
        <v>22658</v>
      </c>
      <c r="F1574" s="24" t="s">
        <v>22657</v>
      </c>
      <c r="G1574" s="25">
        <v>4</v>
      </c>
      <c r="H1574" s="26"/>
      <c r="I1574" s="27"/>
    </row>
    <row r="1575" spans="1:9" ht="15.75" thickBot="1" x14ac:dyDescent="0.3">
      <c r="A1575" s="43" t="s">
        <v>4828</v>
      </c>
      <c r="B1575" s="21" t="s">
        <v>4829</v>
      </c>
      <c r="C1575" s="21" t="s">
        <v>22672</v>
      </c>
      <c r="D1575" s="22">
        <v>46032</v>
      </c>
      <c r="E1575" s="23" t="s">
        <v>22658</v>
      </c>
      <c r="F1575" s="24" t="s">
        <v>22657</v>
      </c>
      <c r="G1575" s="25">
        <v>4</v>
      </c>
      <c r="H1575" s="29"/>
      <c r="I1575" s="30"/>
    </row>
    <row r="1576" spans="1:9" ht="15.75" thickBot="1" x14ac:dyDescent="0.3">
      <c r="A1576" s="43" t="s">
        <v>4830</v>
      </c>
      <c r="B1576" s="21" t="s">
        <v>4831</v>
      </c>
      <c r="C1576" s="21" t="s">
        <v>22672</v>
      </c>
      <c r="D1576" s="22">
        <v>46032</v>
      </c>
      <c r="E1576" s="23" t="s">
        <v>22658</v>
      </c>
      <c r="F1576" s="24" t="s">
        <v>22657</v>
      </c>
      <c r="G1576" s="25">
        <v>4</v>
      </c>
      <c r="H1576" s="26"/>
      <c r="I1576" s="27"/>
    </row>
    <row r="1577" spans="1:9" ht="15.75" thickBot="1" x14ac:dyDescent="0.3">
      <c r="A1577" s="43" t="s">
        <v>4832</v>
      </c>
      <c r="B1577" s="21" t="s">
        <v>4833</v>
      </c>
      <c r="C1577" s="21" t="s">
        <v>22672</v>
      </c>
      <c r="D1577" s="22">
        <v>46032</v>
      </c>
      <c r="E1577" s="23" t="s">
        <v>22656</v>
      </c>
      <c r="F1577" s="24" t="s">
        <v>22657</v>
      </c>
      <c r="G1577" s="25">
        <v>4</v>
      </c>
      <c r="H1577" s="29"/>
      <c r="I1577" s="30"/>
    </row>
    <row r="1578" spans="1:9" ht="15.75" thickBot="1" x14ac:dyDescent="0.3">
      <c r="A1578" s="43" t="s">
        <v>4834</v>
      </c>
      <c r="B1578" s="21" t="s">
        <v>4835</v>
      </c>
      <c r="C1578" s="21" t="s">
        <v>22672</v>
      </c>
      <c r="D1578" s="22">
        <v>46032</v>
      </c>
      <c r="E1578" s="23" t="s">
        <v>22658</v>
      </c>
      <c r="F1578" s="24" t="s">
        <v>22657</v>
      </c>
      <c r="G1578" s="25">
        <v>4</v>
      </c>
      <c r="H1578" s="26"/>
      <c r="I1578" s="27"/>
    </row>
    <row r="1579" spans="1:9" ht="15.75" thickBot="1" x14ac:dyDescent="0.3">
      <c r="A1579" s="43" t="s">
        <v>4836</v>
      </c>
      <c r="B1579" s="21" t="s">
        <v>4837</v>
      </c>
      <c r="C1579" s="21" t="s">
        <v>22672</v>
      </c>
      <c r="D1579" s="22">
        <v>46032</v>
      </c>
      <c r="E1579" s="23" t="s">
        <v>22656</v>
      </c>
      <c r="F1579" s="24" t="s">
        <v>22657</v>
      </c>
      <c r="G1579" s="25">
        <v>7</v>
      </c>
      <c r="H1579" s="29"/>
      <c r="I1579" s="30"/>
    </row>
    <row r="1580" spans="1:9" ht="15.75" thickBot="1" x14ac:dyDescent="0.3">
      <c r="A1580" s="43" t="s">
        <v>4838</v>
      </c>
      <c r="B1580" s="21" t="s">
        <v>4839</v>
      </c>
      <c r="C1580" s="21" t="s">
        <v>22672</v>
      </c>
      <c r="D1580" s="22">
        <v>46032</v>
      </c>
      <c r="E1580" s="23" t="s">
        <v>22658</v>
      </c>
      <c r="F1580" s="24" t="s">
        <v>22657</v>
      </c>
      <c r="G1580" s="25">
        <v>4</v>
      </c>
      <c r="H1580" s="26"/>
      <c r="I1580" s="27"/>
    </row>
    <row r="1581" spans="1:9" ht="15.75" thickBot="1" x14ac:dyDescent="0.3">
      <c r="A1581" s="43" t="s">
        <v>4840</v>
      </c>
      <c r="B1581" s="21" t="s">
        <v>4841</v>
      </c>
      <c r="C1581" s="21" t="s">
        <v>22672</v>
      </c>
      <c r="D1581" s="22">
        <v>46032</v>
      </c>
      <c r="E1581" s="23" t="s">
        <v>22658</v>
      </c>
      <c r="F1581" s="24" t="s">
        <v>22657</v>
      </c>
      <c r="G1581" s="25">
        <v>4</v>
      </c>
      <c r="H1581" s="29"/>
      <c r="I1581" s="30"/>
    </row>
    <row r="1582" spans="1:9" ht="15.75" thickBot="1" x14ac:dyDescent="0.3">
      <c r="A1582" s="43" t="s">
        <v>4842</v>
      </c>
      <c r="B1582" s="21" t="s">
        <v>4843</v>
      </c>
      <c r="C1582" s="21" t="s">
        <v>22672</v>
      </c>
      <c r="D1582" s="22">
        <v>46032</v>
      </c>
      <c r="E1582" s="23" t="s">
        <v>22658</v>
      </c>
      <c r="F1582" s="24" t="s">
        <v>22657</v>
      </c>
      <c r="G1582" s="25">
        <v>4</v>
      </c>
      <c r="H1582" s="26"/>
      <c r="I1582" s="27"/>
    </row>
    <row r="1583" spans="1:9" ht="15.75" thickBot="1" x14ac:dyDescent="0.3">
      <c r="A1583" s="43" t="s">
        <v>4844</v>
      </c>
      <c r="B1583" s="21" t="s">
        <v>4845</v>
      </c>
      <c r="C1583" s="21" t="s">
        <v>22672</v>
      </c>
      <c r="D1583" s="22">
        <v>46032</v>
      </c>
      <c r="E1583" s="23" t="s">
        <v>22658</v>
      </c>
      <c r="F1583" s="24" t="s">
        <v>22657</v>
      </c>
      <c r="G1583" s="25">
        <v>4</v>
      </c>
      <c r="H1583" s="29"/>
      <c r="I1583" s="30"/>
    </row>
    <row r="1584" spans="1:9" ht="15.75" thickBot="1" x14ac:dyDescent="0.3">
      <c r="A1584" s="43" t="s">
        <v>4846</v>
      </c>
      <c r="B1584" s="21" t="s">
        <v>4847</v>
      </c>
      <c r="C1584" s="21" t="s">
        <v>22672</v>
      </c>
      <c r="D1584" s="22">
        <v>46032</v>
      </c>
      <c r="E1584" s="23" t="s">
        <v>22658</v>
      </c>
      <c r="F1584" s="24" t="s">
        <v>22657</v>
      </c>
      <c r="G1584" s="25">
        <v>4</v>
      </c>
      <c r="H1584" s="26"/>
      <c r="I1584" s="27"/>
    </row>
    <row r="1585" spans="1:9" ht="15.75" thickBot="1" x14ac:dyDescent="0.3">
      <c r="A1585" s="43" t="s">
        <v>4848</v>
      </c>
      <c r="B1585" s="21" t="s">
        <v>4849</v>
      </c>
      <c r="C1585" s="21" t="s">
        <v>22682</v>
      </c>
      <c r="D1585" s="22">
        <v>46034</v>
      </c>
      <c r="E1585" s="23" t="s">
        <v>22658</v>
      </c>
      <c r="F1585" s="24" t="s">
        <v>22657</v>
      </c>
      <c r="G1585" s="25">
        <v>4</v>
      </c>
      <c r="H1585" s="29"/>
      <c r="I1585" s="30"/>
    </row>
    <row r="1586" spans="1:9" ht="15.75" thickBot="1" x14ac:dyDescent="0.3">
      <c r="A1586" s="43" t="s">
        <v>4850</v>
      </c>
      <c r="B1586" s="21" t="s">
        <v>4851</v>
      </c>
      <c r="C1586" s="21" t="s">
        <v>22682</v>
      </c>
      <c r="D1586" s="22">
        <v>46034</v>
      </c>
      <c r="E1586" s="23" t="s">
        <v>22658</v>
      </c>
      <c r="F1586" s="24" t="s">
        <v>22657</v>
      </c>
      <c r="G1586" s="25">
        <v>4</v>
      </c>
      <c r="H1586" s="26"/>
      <c r="I1586" s="27"/>
    </row>
    <row r="1587" spans="1:9" ht="15.75" thickBot="1" x14ac:dyDescent="0.3">
      <c r="A1587" s="43" t="s">
        <v>4852</v>
      </c>
      <c r="B1587" s="21" t="s">
        <v>4853</v>
      </c>
      <c r="C1587" s="21" t="s">
        <v>22682</v>
      </c>
      <c r="D1587" s="22">
        <v>46034</v>
      </c>
      <c r="E1587" s="23" t="s">
        <v>22658</v>
      </c>
      <c r="F1587" s="24" t="s">
        <v>22657</v>
      </c>
      <c r="G1587" s="25">
        <v>4</v>
      </c>
      <c r="H1587" s="29"/>
      <c r="I1587" s="30"/>
    </row>
    <row r="1588" spans="1:9" ht="15.75" thickBot="1" x14ac:dyDescent="0.3">
      <c r="A1588" s="43" t="s">
        <v>4854</v>
      </c>
      <c r="B1588" s="21" t="s">
        <v>4855</v>
      </c>
      <c r="C1588" s="21" t="s">
        <v>22682</v>
      </c>
      <c r="D1588" s="22">
        <v>46034</v>
      </c>
      <c r="E1588" s="23" t="s">
        <v>22658</v>
      </c>
      <c r="F1588" s="24" t="s">
        <v>22657</v>
      </c>
      <c r="G1588" s="25">
        <v>4</v>
      </c>
      <c r="H1588" s="26"/>
      <c r="I1588" s="27"/>
    </row>
    <row r="1589" spans="1:9" ht="15.75" thickBot="1" x14ac:dyDescent="0.3">
      <c r="A1589" s="43" t="s">
        <v>4856</v>
      </c>
      <c r="B1589" s="21" t="s">
        <v>4857</v>
      </c>
      <c r="C1589" s="21" t="s">
        <v>22682</v>
      </c>
      <c r="D1589" s="22">
        <v>46034</v>
      </c>
      <c r="E1589" s="23" t="s">
        <v>22658</v>
      </c>
      <c r="F1589" s="24" t="s">
        <v>22657</v>
      </c>
      <c r="G1589" s="25">
        <v>4</v>
      </c>
      <c r="H1589" s="29"/>
      <c r="I1589" s="30"/>
    </row>
    <row r="1590" spans="1:9" ht="15.75" thickBot="1" x14ac:dyDescent="0.3">
      <c r="A1590" s="43" t="s">
        <v>4858</v>
      </c>
      <c r="B1590" s="21" t="s">
        <v>4859</v>
      </c>
      <c r="C1590" s="21" t="s">
        <v>22682</v>
      </c>
      <c r="D1590" s="22">
        <v>46034</v>
      </c>
      <c r="E1590" s="23" t="s">
        <v>22656</v>
      </c>
      <c r="F1590" s="24" t="s">
        <v>22657</v>
      </c>
      <c r="G1590" s="25">
        <v>4</v>
      </c>
      <c r="H1590" s="26"/>
      <c r="I1590" s="27"/>
    </row>
    <row r="1591" spans="1:9" ht="15.75" thickBot="1" x14ac:dyDescent="0.3">
      <c r="A1591" s="43" t="s">
        <v>4860</v>
      </c>
      <c r="B1591" s="21" t="s">
        <v>4861</v>
      </c>
      <c r="C1591" s="21" t="s">
        <v>22682</v>
      </c>
      <c r="D1591" s="22">
        <v>46034</v>
      </c>
      <c r="E1591" s="23" t="s">
        <v>22656</v>
      </c>
      <c r="F1591" s="24" t="s">
        <v>22657</v>
      </c>
      <c r="G1591" s="25">
        <v>4</v>
      </c>
      <c r="H1591" s="29"/>
      <c r="I1591" s="30"/>
    </row>
    <row r="1592" spans="1:9" ht="15.75" thickBot="1" x14ac:dyDescent="0.3">
      <c r="A1592" s="43" t="s">
        <v>4862</v>
      </c>
      <c r="B1592" s="21" t="s">
        <v>4863</v>
      </c>
      <c r="C1592" s="21" t="s">
        <v>22682</v>
      </c>
      <c r="D1592" s="22">
        <v>46034</v>
      </c>
      <c r="E1592" s="23" t="s">
        <v>22656</v>
      </c>
      <c r="F1592" s="24" t="s">
        <v>22657</v>
      </c>
      <c r="G1592" s="25">
        <v>4</v>
      </c>
      <c r="H1592" s="26"/>
      <c r="I1592" s="27"/>
    </row>
    <row r="1593" spans="1:9" ht="15.75" thickBot="1" x14ac:dyDescent="0.3">
      <c r="A1593" s="43" t="s">
        <v>4864</v>
      </c>
      <c r="B1593" s="21" t="s">
        <v>4865</v>
      </c>
      <c r="C1593" s="21" t="s">
        <v>22682</v>
      </c>
      <c r="D1593" s="22">
        <v>46034</v>
      </c>
      <c r="E1593" s="23" t="s">
        <v>22656</v>
      </c>
      <c r="F1593" s="24" t="s">
        <v>22657</v>
      </c>
      <c r="G1593" s="25">
        <v>4</v>
      </c>
      <c r="H1593" s="29"/>
      <c r="I1593" s="30"/>
    </row>
    <row r="1594" spans="1:9" ht="15.75" thickBot="1" x14ac:dyDescent="0.3">
      <c r="A1594" s="43" t="s">
        <v>4866</v>
      </c>
      <c r="B1594" s="21" t="s">
        <v>4867</v>
      </c>
      <c r="C1594" s="21" t="s">
        <v>22682</v>
      </c>
      <c r="D1594" s="22">
        <v>46034</v>
      </c>
      <c r="E1594" s="23" t="s">
        <v>22658</v>
      </c>
      <c r="F1594" s="24" t="s">
        <v>22657</v>
      </c>
      <c r="G1594" s="25">
        <v>4</v>
      </c>
      <c r="H1594" s="26"/>
      <c r="I1594" s="27"/>
    </row>
    <row r="1595" spans="1:9" ht="15.75" thickBot="1" x14ac:dyDescent="0.3">
      <c r="A1595" s="43" t="s">
        <v>4868</v>
      </c>
      <c r="B1595" s="21" t="s">
        <v>4869</v>
      </c>
      <c r="C1595" s="21" t="s">
        <v>22682</v>
      </c>
      <c r="D1595" s="22">
        <v>46034</v>
      </c>
      <c r="E1595" s="23" t="s">
        <v>22656</v>
      </c>
      <c r="F1595" s="24" t="s">
        <v>22657</v>
      </c>
      <c r="G1595" s="25">
        <v>4</v>
      </c>
      <c r="H1595" s="29"/>
      <c r="I1595" s="30"/>
    </row>
    <row r="1596" spans="1:9" ht="15.75" thickBot="1" x14ac:dyDescent="0.3">
      <c r="A1596" s="43" t="s">
        <v>4870</v>
      </c>
      <c r="B1596" s="21" t="s">
        <v>4871</v>
      </c>
      <c r="C1596" s="21" t="s">
        <v>22682</v>
      </c>
      <c r="D1596" s="22">
        <v>46034</v>
      </c>
      <c r="E1596" s="23" t="s">
        <v>22658</v>
      </c>
      <c r="F1596" s="24" t="s">
        <v>22657</v>
      </c>
      <c r="G1596" s="25">
        <v>4</v>
      </c>
      <c r="H1596" s="26"/>
      <c r="I1596" s="27"/>
    </row>
    <row r="1597" spans="1:9" ht="15.75" thickBot="1" x14ac:dyDescent="0.3">
      <c r="A1597" s="43" t="s">
        <v>4872</v>
      </c>
      <c r="B1597" s="21" t="s">
        <v>4873</v>
      </c>
      <c r="C1597" s="21" t="s">
        <v>22682</v>
      </c>
      <c r="D1597" s="22">
        <v>46034</v>
      </c>
      <c r="E1597" s="23" t="s">
        <v>22658</v>
      </c>
      <c r="F1597" s="24" t="s">
        <v>22657</v>
      </c>
      <c r="G1597" s="25">
        <v>4</v>
      </c>
      <c r="H1597" s="29"/>
      <c r="I1597" s="30"/>
    </row>
    <row r="1598" spans="1:9" ht="15.75" thickBot="1" x14ac:dyDescent="0.3">
      <c r="A1598" s="43" t="s">
        <v>4874</v>
      </c>
      <c r="B1598" s="21" t="s">
        <v>4875</v>
      </c>
      <c r="C1598" s="21" t="s">
        <v>22682</v>
      </c>
      <c r="D1598" s="22">
        <v>46034</v>
      </c>
      <c r="E1598" s="23" t="s">
        <v>22656</v>
      </c>
      <c r="F1598" s="24" t="s">
        <v>22657</v>
      </c>
      <c r="G1598" s="25">
        <v>4</v>
      </c>
      <c r="H1598" s="26"/>
      <c r="I1598" s="27"/>
    </row>
    <row r="1599" spans="1:9" ht="15.75" thickBot="1" x14ac:dyDescent="0.3">
      <c r="A1599" s="43" t="s">
        <v>4876</v>
      </c>
      <c r="B1599" s="21" t="s">
        <v>4877</v>
      </c>
      <c r="C1599" s="21" t="s">
        <v>22682</v>
      </c>
      <c r="D1599" s="22">
        <v>46034</v>
      </c>
      <c r="E1599" s="23" t="s">
        <v>22656</v>
      </c>
      <c r="F1599" s="24" t="s">
        <v>22657</v>
      </c>
      <c r="G1599" s="25">
        <v>4</v>
      </c>
      <c r="H1599" s="29"/>
      <c r="I1599" s="30"/>
    </row>
    <row r="1600" spans="1:9" ht="15.75" thickBot="1" x14ac:dyDescent="0.3">
      <c r="A1600" s="43" t="s">
        <v>4878</v>
      </c>
      <c r="B1600" s="21" t="s">
        <v>4879</v>
      </c>
      <c r="C1600" s="21" t="s">
        <v>22682</v>
      </c>
      <c r="D1600" s="22">
        <v>46034</v>
      </c>
      <c r="E1600" s="23" t="s">
        <v>22656</v>
      </c>
      <c r="F1600" s="24" t="s">
        <v>22657</v>
      </c>
      <c r="G1600" s="25">
        <v>4</v>
      </c>
      <c r="H1600" s="26"/>
      <c r="I1600" s="27"/>
    </row>
    <row r="1601" spans="1:9" ht="15.75" thickBot="1" x14ac:dyDescent="0.3">
      <c r="A1601" s="43" t="s">
        <v>4880</v>
      </c>
      <c r="B1601" s="21" t="s">
        <v>4881</v>
      </c>
      <c r="C1601" s="21" t="s">
        <v>22682</v>
      </c>
      <c r="D1601" s="22">
        <v>46034</v>
      </c>
      <c r="E1601" s="23" t="s">
        <v>22658</v>
      </c>
      <c r="F1601" s="24" t="s">
        <v>22657</v>
      </c>
      <c r="G1601" s="25">
        <v>4</v>
      </c>
      <c r="H1601" s="29"/>
      <c r="I1601" s="30"/>
    </row>
    <row r="1602" spans="1:9" ht="15.75" thickBot="1" x14ac:dyDescent="0.3">
      <c r="A1602" s="43" t="s">
        <v>4882</v>
      </c>
      <c r="B1602" s="21" t="s">
        <v>4883</v>
      </c>
      <c r="C1602" s="21" t="s">
        <v>22682</v>
      </c>
      <c r="D1602" s="22">
        <v>46034</v>
      </c>
      <c r="E1602" s="23" t="s">
        <v>22658</v>
      </c>
      <c r="F1602" s="24" t="s">
        <v>22657</v>
      </c>
      <c r="G1602" s="25">
        <v>4</v>
      </c>
      <c r="H1602" s="26"/>
      <c r="I1602" s="27"/>
    </row>
    <row r="1603" spans="1:9" ht="15.75" thickBot="1" x14ac:dyDescent="0.3">
      <c r="A1603" s="43" t="s">
        <v>4884</v>
      </c>
      <c r="B1603" s="21" t="s">
        <v>4885</v>
      </c>
      <c r="C1603" s="21" t="s">
        <v>22682</v>
      </c>
      <c r="D1603" s="22">
        <v>46034</v>
      </c>
      <c r="E1603" s="23" t="s">
        <v>22658</v>
      </c>
      <c r="F1603" s="24" t="s">
        <v>22657</v>
      </c>
      <c r="G1603" s="25">
        <v>4</v>
      </c>
      <c r="H1603" s="29"/>
      <c r="I1603" s="30"/>
    </row>
    <row r="1604" spans="1:9" ht="15.75" thickBot="1" x14ac:dyDescent="0.3">
      <c r="A1604" s="43" t="s">
        <v>4886</v>
      </c>
      <c r="B1604" s="21" t="s">
        <v>4887</v>
      </c>
      <c r="C1604" s="21" t="s">
        <v>22682</v>
      </c>
      <c r="D1604" s="22">
        <v>46034</v>
      </c>
      <c r="E1604" s="23" t="s">
        <v>22658</v>
      </c>
      <c r="F1604" s="24" t="s">
        <v>22657</v>
      </c>
      <c r="G1604" s="25">
        <v>4</v>
      </c>
      <c r="H1604" s="26"/>
      <c r="I1604" s="27"/>
    </row>
    <row r="1605" spans="1:9" ht="15.75" thickBot="1" x14ac:dyDescent="0.3">
      <c r="A1605" s="43" t="s">
        <v>4888</v>
      </c>
      <c r="B1605" s="21" t="s">
        <v>4889</v>
      </c>
      <c r="C1605" s="21" t="s">
        <v>22672</v>
      </c>
      <c r="D1605" s="22">
        <v>46042</v>
      </c>
      <c r="E1605" s="23" t="s">
        <v>22656</v>
      </c>
      <c r="F1605" s="24" t="s">
        <v>22657</v>
      </c>
      <c r="G1605" s="25">
        <v>7</v>
      </c>
      <c r="H1605" s="29"/>
      <c r="I1605" s="30"/>
    </row>
    <row r="1606" spans="1:9" ht="15.75" thickBot="1" x14ac:dyDescent="0.3">
      <c r="A1606" s="43" t="s">
        <v>4890</v>
      </c>
      <c r="B1606" s="21" t="s">
        <v>4891</v>
      </c>
      <c r="C1606" s="21" t="s">
        <v>22682</v>
      </c>
      <c r="D1606" s="22">
        <v>46034</v>
      </c>
      <c r="E1606" s="23" t="s">
        <v>22658</v>
      </c>
      <c r="F1606" s="24" t="s">
        <v>22657</v>
      </c>
      <c r="G1606" s="25">
        <v>4</v>
      </c>
      <c r="H1606" s="26"/>
      <c r="I1606" s="27"/>
    </row>
    <row r="1607" spans="1:9" ht="15.75" thickBot="1" x14ac:dyDescent="0.3">
      <c r="A1607" s="43" t="s">
        <v>4892</v>
      </c>
      <c r="B1607" s="21" t="s">
        <v>4893</v>
      </c>
      <c r="C1607" s="21" t="s">
        <v>22682</v>
      </c>
      <c r="D1607" s="22">
        <v>46034</v>
      </c>
      <c r="E1607" s="23" t="s">
        <v>22658</v>
      </c>
      <c r="F1607" s="24" t="s">
        <v>22657</v>
      </c>
      <c r="G1607" s="25">
        <v>4</v>
      </c>
      <c r="H1607" s="29"/>
      <c r="I1607" s="30"/>
    </row>
    <row r="1608" spans="1:9" ht="15.75" thickBot="1" x14ac:dyDescent="0.3">
      <c r="A1608" s="43" t="s">
        <v>4894</v>
      </c>
      <c r="B1608" s="21" t="s">
        <v>4895</v>
      </c>
      <c r="C1608" s="21" t="s">
        <v>22682</v>
      </c>
      <c r="D1608" s="22">
        <v>46034</v>
      </c>
      <c r="E1608" s="23" t="s">
        <v>22656</v>
      </c>
      <c r="F1608" s="24" t="s">
        <v>22657</v>
      </c>
      <c r="G1608" s="25">
        <v>4</v>
      </c>
      <c r="H1608" s="26"/>
      <c r="I1608" s="27"/>
    </row>
    <row r="1609" spans="1:9" ht="15.75" thickBot="1" x14ac:dyDescent="0.3">
      <c r="A1609" s="43" t="s">
        <v>4896</v>
      </c>
      <c r="B1609" s="21" t="s">
        <v>4897</v>
      </c>
      <c r="C1609" s="21" t="s">
        <v>22682</v>
      </c>
      <c r="D1609" s="22">
        <v>46034</v>
      </c>
      <c r="E1609" s="23" t="s">
        <v>22658</v>
      </c>
      <c r="F1609" s="24" t="s">
        <v>22657</v>
      </c>
      <c r="G1609" s="25">
        <v>4</v>
      </c>
      <c r="H1609" s="29"/>
      <c r="I1609" s="30"/>
    </row>
    <row r="1610" spans="1:9" ht="15.75" thickBot="1" x14ac:dyDescent="0.3">
      <c r="A1610" s="43" t="s">
        <v>4898</v>
      </c>
      <c r="B1610" s="21" t="s">
        <v>4899</v>
      </c>
      <c r="C1610" s="21" t="s">
        <v>22682</v>
      </c>
      <c r="D1610" s="22">
        <v>46034</v>
      </c>
      <c r="E1610" s="23" t="s">
        <v>22656</v>
      </c>
      <c r="F1610" s="24" t="s">
        <v>22657</v>
      </c>
      <c r="G1610" s="25">
        <v>4</v>
      </c>
      <c r="H1610" s="26"/>
      <c r="I1610" s="27"/>
    </row>
    <row r="1611" spans="1:9" ht="15.75" thickBot="1" x14ac:dyDescent="0.3">
      <c r="A1611" s="43" t="s">
        <v>4900</v>
      </c>
      <c r="B1611" s="21" t="s">
        <v>4901</v>
      </c>
      <c r="C1611" s="21" t="s">
        <v>22682</v>
      </c>
      <c r="D1611" s="22">
        <v>46034</v>
      </c>
      <c r="E1611" s="23" t="s">
        <v>22658</v>
      </c>
      <c r="F1611" s="24" t="s">
        <v>22657</v>
      </c>
      <c r="G1611" s="25">
        <v>4</v>
      </c>
      <c r="H1611" s="29"/>
      <c r="I1611" s="30"/>
    </row>
    <row r="1612" spans="1:9" ht="15.75" thickBot="1" x14ac:dyDescent="0.3">
      <c r="A1612" s="43" t="s">
        <v>4902</v>
      </c>
      <c r="B1612" s="21" t="s">
        <v>4903</v>
      </c>
      <c r="C1612" s="21" t="s">
        <v>22682</v>
      </c>
      <c r="D1612" s="22">
        <v>46034</v>
      </c>
      <c r="E1612" s="23" t="s">
        <v>22658</v>
      </c>
      <c r="F1612" s="24" t="s">
        <v>22657</v>
      </c>
      <c r="G1612" s="25">
        <v>4</v>
      </c>
      <c r="H1612" s="26"/>
      <c r="I1612" s="27"/>
    </row>
    <row r="1613" spans="1:9" ht="15.75" thickBot="1" x14ac:dyDescent="0.3">
      <c r="A1613" s="43" t="s">
        <v>4904</v>
      </c>
      <c r="B1613" s="21" t="s">
        <v>4905</v>
      </c>
      <c r="C1613" s="21" t="s">
        <v>22682</v>
      </c>
      <c r="D1613" s="22">
        <v>46034</v>
      </c>
      <c r="E1613" s="23" t="s">
        <v>22658</v>
      </c>
      <c r="F1613" s="24" t="s">
        <v>22657</v>
      </c>
      <c r="G1613" s="25">
        <v>4</v>
      </c>
      <c r="H1613" s="29"/>
      <c r="I1613" s="30"/>
    </row>
    <row r="1614" spans="1:9" ht="15.75" thickBot="1" x14ac:dyDescent="0.3">
      <c r="A1614" s="43" t="s">
        <v>4906</v>
      </c>
      <c r="B1614" s="21" t="s">
        <v>4907</v>
      </c>
      <c r="C1614" s="21" t="s">
        <v>22682</v>
      </c>
      <c r="D1614" s="22">
        <v>46034</v>
      </c>
      <c r="E1614" s="23" t="s">
        <v>22658</v>
      </c>
      <c r="F1614" s="24" t="s">
        <v>22657</v>
      </c>
      <c r="G1614" s="25">
        <v>4</v>
      </c>
      <c r="H1614" s="26"/>
      <c r="I1614" s="27"/>
    </row>
    <row r="1615" spans="1:9" ht="15.75" thickBot="1" x14ac:dyDescent="0.3">
      <c r="A1615" s="43" t="s">
        <v>4908</v>
      </c>
      <c r="B1615" s="21" t="s">
        <v>4909</v>
      </c>
      <c r="C1615" s="21" t="s">
        <v>22682</v>
      </c>
      <c r="D1615" s="22">
        <v>46034</v>
      </c>
      <c r="E1615" s="23" t="s">
        <v>22658</v>
      </c>
      <c r="F1615" s="24" t="s">
        <v>22657</v>
      </c>
      <c r="G1615" s="25">
        <v>4</v>
      </c>
      <c r="H1615" s="29"/>
      <c r="I1615" s="30"/>
    </row>
    <row r="1616" spans="1:9" ht="15.75" thickBot="1" x14ac:dyDescent="0.3">
      <c r="A1616" s="43" t="s">
        <v>4910</v>
      </c>
      <c r="B1616" s="21" t="s">
        <v>4911</v>
      </c>
      <c r="C1616" s="21" t="s">
        <v>22682</v>
      </c>
      <c r="D1616" s="22">
        <v>46034</v>
      </c>
      <c r="E1616" s="23" t="s">
        <v>22658</v>
      </c>
      <c r="F1616" s="24" t="s">
        <v>22657</v>
      </c>
      <c r="G1616" s="25">
        <v>4</v>
      </c>
      <c r="H1616" s="26"/>
      <c r="I1616" s="27"/>
    </row>
    <row r="1617" spans="1:9" ht="15.75" thickBot="1" x14ac:dyDescent="0.3">
      <c r="A1617" s="43" t="s">
        <v>4912</v>
      </c>
      <c r="B1617" s="21" t="s">
        <v>4913</v>
      </c>
      <c r="C1617" s="21" t="s">
        <v>22682</v>
      </c>
      <c r="D1617" s="22">
        <v>46034</v>
      </c>
      <c r="E1617" s="23" t="s">
        <v>22658</v>
      </c>
      <c r="F1617" s="24" t="s">
        <v>22657</v>
      </c>
      <c r="G1617" s="25">
        <v>4</v>
      </c>
      <c r="H1617" s="29"/>
      <c r="I1617" s="30"/>
    </row>
    <row r="1618" spans="1:9" ht="15.75" thickBot="1" x14ac:dyDescent="0.3">
      <c r="A1618" s="43" t="s">
        <v>4914</v>
      </c>
      <c r="B1618" s="21" t="s">
        <v>4915</v>
      </c>
      <c r="C1618" s="21" t="s">
        <v>22682</v>
      </c>
      <c r="D1618" s="22">
        <v>46034</v>
      </c>
      <c r="E1618" s="23" t="s">
        <v>22658</v>
      </c>
      <c r="F1618" s="24" t="s">
        <v>22657</v>
      </c>
      <c r="G1618" s="25">
        <v>4</v>
      </c>
      <c r="H1618" s="26"/>
      <c r="I1618" s="27"/>
    </row>
    <row r="1619" spans="1:9" ht="15.75" thickBot="1" x14ac:dyDescent="0.3">
      <c r="A1619" s="43" t="s">
        <v>4916</v>
      </c>
      <c r="B1619" s="21" t="s">
        <v>4917</v>
      </c>
      <c r="C1619" s="21" t="s">
        <v>22682</v>
      </c>
      <c r="D1619" s="22">
        <v>46034</v>
      </c>
      <c r="E1619" s="23" t="s">
        <v>22658</v>
      </c>
      <c r="F1619" s="24" t="s">
        <v>22657</v>
      </c>
      <c r="G1619" s="25">
        <v>4</v>
      </c>
      <c r="H1619" s="29"/>
      <c r="I1619" s="30"/>
    </row>
    <row r="1620" spans="1:9" ht="15.75" thickBot="1" x14ac:dyDescent="0.3">
      <c r="A1620" s="43" t="s">
        <v>4918</v>
      </c>
      <c r="B1620" s="21" t="s">
        <v>4919</v>
      </c>
      <c r="C1620" s="21" t="s">
        <v>22682</v>
      </c>
      <c r="D1620" s="22">
        <v>46034</v>
      </c>
      <c r="E1620" s="23" t="s">
        <v>22656</v>
      </c>
      <c r="F1620" s="24" t="s">
        <v>22657</v>
      </c>
      <c r="G1620" s="25">
        <v>4</v>
      </c>
      <c r="H1620" s="26"/>
      <c r="I1620" s="27"/>
    </row>
    <row r="1621" spans="1:9" ht="15.75" thickBot="1" x14ac:dyDescent="0.3">
      <c r="A1621" s="43" t="s">
        <v>4920</v>
      </c>
      <c r="B1621" s="21" t="s">
        <v>4921</v>
      </c>
      <c r="C1621" s="21" t="s">
        <v>22682</v>
      </c>
      <c r="D1621" s="22">
        <v>46034</v>
      </c>
      <c r="E1621" s="23" t="s">
        <v>22658</v>
      </c>
      <c r="F1621" s="24" t="s">
        <v>22657</v>
      </c>
      <c r="G1621" s="25">
        <v>4</v>
      </c>
      <c r="H1621" s="29"/>
      <c r="I1621" s="30"/>
    </row>
    <row r="1622" spans="1:9" ht="15.75" thickBot="1" x14ac:dyDescent="0.3">
      <c r="A1622" s="43" t="s">
        <v>4922</v>
      </c>
      <c r="B1622" s="21" t="s">
        <v>4923</v>
      </c>
      <c r="C1622" s="21" t="s">
        <v>22682</v>
      </c>
      <c r="D1622" s="22">
        <v>46034</v>
      </c>
      <c r="E1622" s="23" t="s">
        <v>22658</v>
      </c>
      <c r="F1622" s="24" t="s">
        <v>22657</v>
      </c>
      <c r="G1622" s="25">
        <v>4</v>
      </c>
      <c r="H1622" s="26"/>
      <c r="I1622" s="27"/>
    </row>
    <row r="1623" spans="1:9" ht="15.75" thickBot="1" x14ac:dyDescent="0.3">
      <c r="A1623" s="43" t="s">
        <v>4924</v>
      </c>
      <c r="B1623" s="21" t="s">
        <v>4925</v>
      </c>
      <c r="C1623" s="21" t="s">
        <v>22682</v>
      </c>
      <c r="D1623" s="22">
        <v>46034</v>
      </c>
      <c r="E1623" s="23" t="s">
        <v>22658</v>
      </c>
      <c r="F1623" s="24" t="s">
        <v>22657</v>
      </c>
      <c r="G1623" s="25">
        <v>4</v>
      </c>
      <c r="H1623" s="29"/>
      <c r="I1623" s="30"/>
    </row>
    <row r="1624" spans="1:9" ht="15.75" thickBot="1" x14ac:dyDescent="0.3">
      <c r="A1624" s="43" t="s">
        <v>4926</v>
      </c>
      <c r="B1624" s="21" t="s">
        <v>4927</v>
      </c>
      <c r="C1624" s="21" t="s">
        <v>22663</v>
      </c>
      <c r="D1624" s="31">
        <v>1</v>
      </c>
      <c r="E1624" s="23" t="s">
        <v>22658</v>
      </c>
      <c r="F1624" s="24" t="s">
        <v>22657</v>
      </c>
      <c r="G1624" s="25">
        <v>4</v>
      </c>
      <c r="H1624" s="26"/>
      <c r="I1624" s="27"/>
    </row>
    <row r="1625" spans="1:9" ht="15.75" thickBot="1" x14ac:dyDescent="0.3">
      <c r="A1625" s="43" t="s">
        <v>4928</v>
      </c>
      <c r="B1625" s="21" t="s">
        <v>4929</v>
      </c>
      <c r="C1625" s="21" t="s">
        <v>22663</v>
      </c>
      <c r="D1625" s="31">
        <v>1</v>
      </c>
      <c r="E1625" s="23" t="s">
        <v>22658</v>
      </c>
      <c r="F1625" s="24" t="s">
        <v>22657</v>
      </c>
      <c r="G1625" s="25">
        <v>4</v>
      </c>
      <c r="H1625" s="29"/>
      <c r="I1625" s="30"/>
    </row>
    <row r="1626" spans="1:9" ht="15.75" thickBot="1" x14ac:dyDescent="0.3">
      <c r="A1626" s="43" t="s">
        <v>4930</v>
      </c>
      <c r="B1626" s="21" t="s">
        <v>4931</v>
      </c>
      <c r="C1626" s="21" t="s">
        <v>22682</v>
      </c>
      <c r="D1626" s="22">
        <v>46034</v>
      </c>
      <c r="E1626" s="23" t="s">
        <v>22658</v>
      </c>
      <c r="F1626" s="24" t="s">
        <v>22657</v>
      </c>
      <c r="G1626" s="25">
        <v>4</v>
      </c>
      <c r="H1626" s="26"/>
      <c r="I1626" s="27"/>
    </row>
    <row r="1627" spans="1:9" ht="15.75" thickBot="1" x14ac:dyDescent="0.3">
      <c r="A1627" s="43" t="s">
        <v>4932</v>
      </c>
      <c r="B1627" s="21" t="s">
        <v>4933</v>
      </c>
      <c r="C1627" s="21" t="s">
        <v>22682</v>
      </c>
      <c r="D1627" s="22">
        <v>46034</v>
      </c>
      <c r="E1627" s="23" t="s">
        <v>22658</v>
      </c>
      <c r="F1627" s="24" t="s">
        <v>22657</v>
      </c>
      <c r="G1627" s="25">
        <v>4</v>
      </c>
      <c r="H1627" s="29"/>
      <c r="I1627" s="30"/>
    </row>
    <row r="1628" spans="1:9" ht="15.75" thickBot="1" x14ac:dyDescent="0.3">
      <c r="A1628" s="43" t="s">
        <v>4934</v>
      </c>
      <c r="B1628" s="21" t="s">
        <v>4935</v>
      </c>
      <c r="C1628" s="21" t="s">
        <v>22682</v>
      </c>
      <c r="D1628" s="22">
        <v>46034</v>
      </c>
      <c r="E1628" s="23" t="s">
        <v>22658</v>
      </c>
      <c r="F1628" s="24" t="s">
        <v>22657</v>
      </c>
      <c r="G1628" s="25">
        <v>4</v>
      </c>
      <c r="H1628" s="26"/>
      <c r="I1628" s="27"/>
    </row>
    <row r="1629" spans="1:9" ht="15.75" thickBot="1" x14ac:dyDescent="0.3">
      <c r="A1629" s="43" t="s">
        <v>4936</v>
      </c>
      <c r="B1629" s="21" t="s">
        <v>4937</v>
      </c>
      <c r="C1629" s="21" t="s">
        <v>22682</v>
      </c>
      <c r="D1629" s="22">
        <v>46034</v>
      </c>
      <c r="E1629" s="23" t="s">
        <v>22658</v>
      </c>
      <c r="F1629" s="24" t="s">
        <v>22657</v>
      </c>
      <c r="G1629" s="25">
        <v>4</v>
      </c>
      <c r="H1629" s="29"/>
      <c r="I1629" s="30"/>
    </row>
    <row r="1630" spans="1:9" ht="15.75" thickBot="1" x14ac:dyDescent="0.3">
      <c r="A1630" s="43" t="s">
        <v>4938</v>
      </c>
      <c r="B1630" s="21" t="s">
        <v>4939</v>
      </c>
      <c r="C1630" s="21" t="s">
        <v>22682</v>
      </c>
      <c r="D1630" s="22">
        <v>46034</v>
      </c>
      <c r="E1630" s="23" t="s">
        <v>22658</v>
      </c>
      <c r="F1630" s="24" t="s">
        <v>22657</v>
      </c>
      <c r="G1630" s="25">
        <v>4</v>
      </c>
      <c r="H1630" s="26"/>
      <c r="I1630" s="27"/>
    </row>
    <row r="1631" spans="1:9" ht="15.75" thickBot="1" x14ac:dyDescent="0.3">
      <c r="A1631" s="43" t="s">
        <v>4940</v>
      </c>
      <c r="B1631" s="21" t="s">
        <v>4941</v>
      </c>
      <c r="C1631" s="21" t="s">
        <v>22682</v>
      </c>
      <c r="D1631" s="22">
        <v>46034</v>
      </c>
      <c r="E1631" s="23" t="s">
        <v>22658</v>
      </c>
      <c r="F1631" s="24" t="s">
        <v>22657</v>
      </c>
      <c r="G1631" s="25">
        <v>4</v>
      </c>
      <c r="H1631" s="29"/>
      <c r="I1631" s="30"/>
    </row>
    <row r="1632" spans="1:9" ht="15.75" thickBot="1" x14ac:dyDescent="0.3">
      <c r="A1632" s="43" t="s">
        <v>4942</v>
      </c>
      <c r="B1632" s="21" t="s">
        <v>4943</v>
      </c>
      <c r="C1632" s="21" t="s">
        <v>22682</v>
      </c>
      <c r="D1632" s="22">
        <v>46034</v>
      </c>
      <c r="E1632" s="23" t="s">
        <v>22658</v>
      </c>
      <c r="F1632" s="24" t="s">
        <v>22657</v>
      </c>
      <c r="G1632" s="25">
        <v>4</v>
      </c>
      <c r="H1632" s="26"/>
      <c r="I1632" s="27"/>
    </row>
    <row r="1633" spans="1:9" ht="15.75" thickBot="1" x14ac:dyDescent="0.3">
      <c r="A1633" s="43" t="s">
        <v>4944</v>
      </c>
      <c r="B1633" s="21" t="s">
        <v>4945</v>
      </c>
      <c r="C1633" s="21" t="s">
        <v>22682</v>
      </c>
      <c r="D1633" s="22">
        <v>46034</v>
      </c>
      <c r="E1633" s="23" t="s">
        <v>22658</v>
      </c>
      <c r="F1633" s="24" t="s">
        <v>22657</v>
      </c>
      <c r="G1633" s="25">
        <v>4</v>
      </c>
      <c r="H1633" s="29"/>
      <c r="I1633" s="30"/>
    </row>
    <row r="1634" spans="1:9" ht="15.75" thickBot="1" x14ac:dyDescent="0.3">
      <c r="A1634" s="43" t="s">
        <v>4946</v>
      </c>
      <c r="B1634" s="21" t="s">
        <v>4947</v>
      </c>
      <c r="C1634" s="21" t="s">
        <v>22682</v>
      </c>
      <c r="D1634" s="22">
        <v>46034</v>
      </c>
      <c r="E1634" s="23" t="s">
        <v>22658</v>
      </c>
      <c r="F1634" s="24" t="s">
        <v>22657</v>
      </c>
      <c r="G1634" s="25">
        <v>4</v>
      </c>
      <c r="H1634" s="26"/>
      <c r="I1634" s="27"/>
    </row>
    <row r="1635" spans="1:9" ht="15.75" thickBot="1" x14ac:dyDescent="0.3">
      <c r="A1635" s="43" t="s">
        <v>4948</v>
      </c>
      <c r="B1635" s="21" t="s">
        <v>4949</v>
      </c>
      <c r="C1635" s="21" t="s">
        <v>22655</v>
      </c>
      <c r="D1635" s="22">
        <v>46042</v>
      </c>
      <c r="E1635" s="23" t="s">
        <v>22658</v>
      </c>
      <c r="F1635" s="24" t="s">
        <v>22657</v>
      </c>
      <c r="G1635" s="25">
        <v>7</v>
      </c>
      <c r="H1635" s="29"/>
      <c r="I1635" s="30"/>
    </row>
    <row r="1636" spans="1:9" ht="15.75" thickBot="1" x14ac:dyDescent="0.3">
      <c r="A1636" s="43" t="s">
        <v>4950</v>
      </c>
      <c r="B1636" s="21" t="s">
        <v>4951</v>
      </c>
      <c r="C1636" s="21" t="s">
        <v>22655</v>
      </c>
      <c r="D1636" s="31" t="s">
        <v>22669</v>
      </c>
      <c r="E1636" s="23" t="s">
        <v>22658</v>
      </c>
      <c r="F1636" s="24" t="s">
        <v>22657</v>
      </c>
      <c r="G1636" s="25">
        <v>4</v>
      </c>
      <c r="H1636" s="26"/>
      <c r="I1636" s="27"/>
    </row>
    <row r="1637" spans="1:9" ht="15.75" thickBot="1" x14ac:dyDescent="0.3">
      <c r="A1637" s="43" t="s">
        <v>4952</v>
      </c>
      <c r="B1637" s="21" t="s">
        <v>4953</v>
      </c>
      <c r="C1637" s="21" t="s">
        <v>22655</v>
      </c>
      <c r="D1637" s="31" t="s">
        <v>22771</v>
      </c>
      <c r="E1637" s="23" t="s">
        <v>22658</v>
      </c>
      <c r="F1637" s="24" t="s">
        <v>22657</v>
      </c>
      <c r="G1637" s="25">
        <v>4</v>
      </c>
      <c r="H1637" s="29"/>
      <c r="I1637" s="30"/>
    </row>
    <row r="1638" spans="1:9" ht="15.75" thickBot="1" x14ac:dyDescent="0.3">
      <c r="A1638" s="43" t="s">
        <v>4954</v>
      </c>
      <c r="B1638" s="21" t="s">
        <v>4955</v>
      </c>
      <c r="C1638" s="21" t="s">
        <v>22682</v>
      </c>
      <c r="D1638" s="22">
        <v>46034</v>
      </c>
      <c r="E1638" s="23" t="s">
        <v>22658</v>
      </c>
      <c r="F1638" s="24" t="s">
        <v>22657</v>
      </c>
      <c r="G1638" s="25">
        <v>4</v>
      </c>
      <c r="H1638" s="26"/>
      <c r="I1638" s="27"/>
    </row>
    <row r="1639" spans="1:9" ht="15.75" thickBot="1" x14ac:dyDescent="0.3">
      <c r="A1639" s="43" t="s">
        <v>4956</v>
      </c>
      <c r="B1639" s="21" t="s">
        <v>4957</v>
      </c>
      <c r="C1639" s="21" t="s">
        <v>22682</v>
      </c>
      <c r="D1639" s="22">
        <v>46034</v>
      </c>
      <c r="E1639" s="23" t="s">
        <v>22656</v>
      </c>
      <c r="F1639" s="24" t="s">
        <v>22657</v>
      </c>
      <c r="G1639" s="25">
        <v>4</v>
      </c>
      <c r="H1639" s="29"/>
      <c r="I1639" s="30"/>
    </row>
    <row r="1640" spans="1:9" ht="15.75" thickBot="1" x14ac:dyDescent="0.3">
      <c r="A1640" s="43" t="s">
        <v>4958</v>
      </c>
      <c r="B1640" s="21" t="s">
        <v>4959</v>
      </c>
      <c r="C1640" s="21" t="s">
        <v>22682</v>
      </c>
      <c r="D1640" s="22">
        <v>46034</v>
      </c>
      <c r="E1640" s="23" t="s">
        <v>22658</v>
      </c>
      <c r="F1640" s="24" t="s">
        <v>22657</v>
      </c>
      <c r="G1640" s="25">
        <v>4</v>
      </c>
      <c r="H1640" s="26"/>
      <c r="I1640" s="27"/>
    </row>
    <row r="1641" spans="1:9" ht="15.75" thickBot="1" x14ac:dyDescent="0.3">
      <c r="A1641" s="43" t="s">
        <v>4960</v>
      </c>
      <c r="B1641" s="21" t="s">
        <v>4961</v>
      </c>
      <c r="C1641" s="21" t="s">
        <v>22663</v>
      </c>
      <c r="D1641" s="31">
        <v>1</v>
      </c>
      <c r="E1641" s="23" t="s">
        <v>22658</v>
      </c>
      <c r="F1641" s="24" t="s">
        <v>22657</v>
      </c>
      <c r="G1641" s="25">
        <v>4</v>
      </c>
      <c r="H1641" s="29"/>
      <c r="I1641" s="30"/>
    </row>
    <row r="1642" spans="1:9" ht="15.75" thickBot="1" x14ac:dyDescent="0.3">
      <c r="A1642" s="43" t="s">
        <v>4962</v>
      </c>
      <c r="B1642" s="21" t="s">
        <v>4963</v>
      </c>
      <c r="C1642" s="21" t="s">
        <v>22663</v>
      </c>
      <c r="D1642" s="31">
        <v>1</v>
      </c>
      <c r="E1642" s="23" t="s">
        <v>22656</v>
      </c>
      <c r="F1642" s="24" t="s">
        <v>22657</v>
      </c>
      <c r="G1642" s="25">
        <v>2</v>
      </c>
      <c r="H1642" s="26"/>
      <c r="I1642" s="27"/>
    </row>
    <row r="1643" spans="1:9" ht="15.75" thickBot="1" x14ac:dyDescent="0.3">
      <c r="A1643" s="43" t="s">
        <v>1001</v>
      </c>
      <c r="B1643" s="21" t="s">
        <v>1002</v>
      </c>
      <c r="C1643" s="21" t="s">
        <v>22655</v>
      </c>
      <c r="D1643" s="22">
        <v>46028</v>
      </c>
      <c r="E1643" s="23" t="s">
        <v>22662</v>
      </c>
      <c r="F1643" s="24" t="s">
        <v>22657</v>
      </c>
      <c r="G1643" s="25">
        <v>30</v>
      </c>
      <c r="H1643" s="32">
        <v>30</v>
      </c>
      <c r="I1643" s="33">
        <v>60</v>
      </c>
    </row>
    <row r="1644" spans="1:9" ht="15.75" thickBot="1" x14ac:dyDescent="0.3">
      <c r="A1644" s="43" t="s">
        <v>4964</v>
      </c>
      <c r="B1644" s="21" t="s">
        <v>4965</v>
      </c>
      <c r="C1644" s="21" t="s">
        <v>22663</v>
      </c>
      <c r="D1644" s="31">
        <v>1</v>
      </c>
      <c r="E1644" s="23" t="s">
        <v>22658</v>
      </c>
      <c r="F1644" s="24" t="s">
        <v>22657</v>
      </c>
      <c r="G1644" s="25">
        <v>4</v>
      </c>
      <c r="H1644" s="26"/>
      <c r="I1644" s="27"/>
    </row>
    <row r="1645" spans="1:9" ht="15.75" thickBot="1" x14ac:dyDescent="0.3">
      <c r="A1645" s="43" t="s">
        <v>4966</v>
      </c>
      <c r="B1645" s="21" t="s">
        <v>4967</v>
      </c>
      <c r="C1645" s="21" t="s">
        <v>22663</v>
      </c>
      <c r="D1645" s="31">
        <v>1</v>
      </c>
      <c r="E1645" s="23" t="s">
        <v>22656</v>
      </c>
      <c r="F1645" s="24" t="s">
        <v>22657</v>
      </c>
      <c r="G1645" s="25">
        <v>2</v>
      </c>
      <c r="H1645" s="29"/>
      <c r="I1645" s="30"/>
    </row>
    <row r="1646" spans="1:9" ht="15.75" thickBot="1" x14ac:dyDescent="0.3">
      <c r="A1646" s="43" t="s">
        <v>1261</v>
      </c>
      <c r="B1646" s="21" t="s">
        <v>1262</v>
      </c>
      <c r="C1646" s="21" t="s">
        <v>22655</v>
      </c>
      <c r="D1646" s="22">
        <v>46028</v>
      </c>
      <c r="E1646" s="23" t="s">
        <v>22662</v>
      </c>
      <c r="F1646" s="24" t="s">
        <v>22657</v>
      </c>
      <c r="G1646" s="25">
        <v>30</v>
      </c>
      <c r="H1646" s="34">
        <v>30</v>
      </c>
      <c r="I1646" s="35">
        <v>60</v>
      </c>
    </row>
    <row r="1647" spans="1:9" ht="15.75" thickBot="1" x14ac:dyDescent="0.3">
      <c r="A1647" s="43" t="s">
        <v>4968</v>
      </c>
      <c r="B1647" s="21" t="s">
        <v>4969</v>
      </c>
      <c r="C1647" s="21" t="s">
        <v>22663</v>
      </c>
      <c r="D1647" s="31">
        <v>1</v>
      </c>
      <c r="E1647" s="23" t="s">
        <v>22656</v>
      </c>
      <c r="F1647" s="24" t="s">
        <v>22657</v>
      </c>
      <c r="G1647" s="25">
        <v>2</v>
      </c>
      <c r="H1647" s="29"/>
      <c r="I1647" s="30"/>
    </row>
    <row r="1648" spans="1:9" ht="15.75" thickBot="1" x14ac:dyDescent="0.3">
      <c r="A1648" s="43" t="s">
        <v>1976</v>
      </c>
      <c r="B1648" s="21" t="s">
        <v>1977</v>
      </c>
      <c r="C1648" s="21" t="s">
        <v>22655</v>
      </c>
      <c r="D1648" s="22">
        <v>46028</v>
      </c>
      <c r="E1648" s="23" t="s">
        <v>22656</v>
      </c>
      <c r="F1648" s="24" t="s">
        <v>22657</v>
      </c>
      <c r="G1648" s="25">
        <v>12</v>
      </c>
      <c r="H1648" s="34">
        <v>12</v>
      </c>
      <c r="I1648" s="35">
        <v>18</v>
      </c>
    </row>
    <row r="1649" spans="1:9" ht="15.75" thickBot="1" x14ac:dyDescent="0.3">
      <c r="A1649" s="43" t="s">
        <v>878</v>
      </c>
      <c r="B1649" s="21" t="s">
        <v>4970</v>
      </c>
      <c r="C1649" s="21" t="s">
        <v>22655</v>
      </c>
      <c r="D1649" s="22">
        <v>46034</v>
      </c>
      <c r="E1649" s="23" t="s">
        <v>22662</v>
      </c>
      <c r="F1649" s="24" t="s">
        <v>22657</v>
      </c>
      <c r="G1649" s="25">
        <v>240</v>
      </c>
      <c r="H1649" s="32">
        <v>240</v>
      </c>
      <c r="I1649" s="33">
        <v>480</v>
      </c>
    </row>
    <row r="1650" spans="1:9" ht="15.75" thickBot="1" x14ac:dyDescent="0.3">
      <c r="A1650" s="43" t="s">
        <v>737</v>
      </c>
      <c r="B1650" s="21" t="s">
        <v>4971</v>
      </c>
      <c r="C1650" s="21" t="s">
        <v>22655</v>
      </c>
      <c r="D1650" s="22">
        <v>46034</v>
      </c>
      <c r="E1650" s="23" t="s">
        <v>22662</v>
      </c>
      <c r="F1650" s="24" t="s">
        <v>22657</v>
      </c>
      <c r="G1650" s="25">
        <v>240</v>
      </c>
      <c r="H1650" s="34">
        <v>240</v>
      </c>
      <c r="I1650" s="35">
        <v>600</v>
      </c>
    </row>
    <row r="1651" spans="1:9" ht="15.75" thickBot="1" x14ac:dyDescent="0.3">
      <c r="A1651" s="43" t="s">
        <v>4972</v>
      </c>
      <c r="B1651" s="21" t="s">
        <v>4973</v>
      </c>
      <c r="C1651" s="21" t="s">
        <v>22663</v>
      </c>
      <c r="D1651" s="31">
        <v>1</v>
      </c>
      <c r="E1651" s="23" t="s">
        <v>22656</v>
      </c>
      <c r="F1651" s="24" t="s">
        <v>22657</v>
      </c>
      <c r="G1651" s="25">
        <v>9</v>
      </c>
      <c r="H1651" s="29"/>
      <c r="I1651" s="30"/>
    </row>
    <row r="1652" spans="1:9" ht="15.75" thickBot="1" x14ac:dyDescent="0.3">
      <c r="A1652" s="43" t="s">
        <v>4974</v>
      </c>
      <c r="B1652" s="21" t="s">
        <v>4975</v>
      </c>
      <c r="C1652" s="21" t="s">
        <v>22698</v>
      </c>
      <c r="D1652" s="31">
        <v>1</v>
      </c>
      <c r="E1652" s="23" t="s">
        <v>22656</v>
      </c>
      <c r="F1652" s="24" t="s">
        <v>22657</v>
      </c>
      <c r="G1652" s="25">
        <v>9</v>
      </c>
      <c r="H1652" s="26"/>
      <c r="I1652" s="27"/>
    </row>
    <row r="1653" spans="1:9" ht="15.75" thickBot="1" x14ac:dyDescent="0.3">
      <c r="A1653" s="43" t="s">
        <v>15</v>
      </c>
      <c r="B1653" s="21" t="s">
        <v>16</v>
      </c>
      <c r="C1653" s="21" t="s">
        <v>22727</v>
      </c>
      <c r="D1653" s="31">
        <v>1</v>
      </c>
      <c r="E1653" s="23" t="s">
        <v>22658</v>
      </c>
      <c r="F1653" s="28" t="s">
        <v>22659</v>
      </c>
      <c r="G1653" s="25">
        <v>1</v>
      </c>
      <c r="H1653" s="29"/>
      <c r="I1653" s="30"/>
    </row>
    <row r="1654" spans="1:9" ht="15.75" thickBot="1" x14ac:dyDescent="0.3">
      <c r="A1654" s="43" t="s">
        <v>4976</v>
      </c>
      <c r="B1654" s="21" t="s">
        <v>4977</v>
      </c>
      <c r="C1654" s="21" t="s">
        <v>22682</v>
      </c>
      <c r="D1654" s="22">
        <v>46034</v>
      </c>
      <c r="E1654" s="23" t="s">
        <v>22658</v>
      </c>
      <c r="F1654" s="24" t="s">
        <v>22657</v>
      </c>
      <c r="G1654" s="25">
        <v>4</v>
      </c>
      <c r="H1654" s="26"/>
      <c r="I1654" s="27"/>
    </row>
    <row r="1655" spans="1:9" ht="15.75" thickBot="1" x14ac:dyDescent="0.3">
      <c r="A1655" s="43" t="s">
        <v>4978</v>
      </c>
      <c r="B1655" s="21" t="s">
        <v>4979</v>
      </c>
      <c r="C1655" s="21" t="s">
        <v>22682</v>
      </c>
      <c r="D1655" s="22">
        <v>46034</v>
      </c>
      <c r="E1655" s="23" t="s">
        <v>22658</v>
      </c>
      <c r="F1655" s="24" t="s">
        <v>22657</v>
      </c>
      <c r="G1655" s="25">
        <v>4</v>
      </c>
      <c r="H1655" s="29"/>
      <c r="I1655" s="30"/>
    </row>
    <row r="1656" spans="1:9" ht="15.75" thickBot="1" x14ac:dyDescent="0.3">
      <c r="A1656" s="43" t="s">
        <v>325</v>
      </c>
      <c r="B1656" s="21" t="s">
        <v>326</v>
      </c>
      <c r="C1656" s="21" t="s">
        <v>22655</v>
      </c>
      <c r="D1656" s="22">
        <v>46030</v>
      </c>
      <c r="E1656" s="23" t="s">
        <v>22656</v>
      </c>
      <c r="F1656" s="24" t="s">
        <v>22657</v>
      </c>
      <c r="G1656" s="25">
        <v>2</v>
      </c>
      <c r="H1656" s="34">
        <v>2</v>
      </c>
      <c r="I1656" s="35">
        <v>4</v>
      </c>
    </row>
    <row r="1657" spans="1:9" ht="15.75" thickBot="1" x14ac:dyDescent="0.3">
      <c r="A1657" s="43" t="s">
        <v>667</v>
      </c>
      <c r="B1657" s="21" t="s">
        <v>668</v>
      </c>
      <c r="C1657" s="21" t="s">
        <v>22663</v>
      </c>
      <c r="D1657" s="31">
        <v>1</v>
      </c>
      <c r="E1657" s="23" t="s">
        <v>22656</v>
      </c>
      <c r="F1657" s="24" t="s">
        <v>22657</v>
      </c>
      <c r="G1657" s="25">
        <v>10</v>
      </c>
      <c r="H1657" s="32">
        <v>10</v>
      </c>
      <c r="I1657" s="33">
        <v>12</v>
      </c>
    </row>
    <row r="1658" spans="1:9" ht="15.75" thickBot="1" x14ac:dyDescent="0.3">
      <c r="A1658" s="43" t="s">
        <v>4980</v>
      </c>
      <c r="B1658" s="21" t="s">
        <v>4981</v>
      </c>
      <c r="C1658" s="21" t="s">
        <v>22655</v>
      </c>
      <c r="D1658" s="22">
        <v>46028</v>
      </c>
      <c r="E1658" s="23" t="s">
        <v>22658</v>
      </c>
      <c r="F1658" s="24" t="s">
        <v>22657</v>
      </c>
      <c r="G1658" s="25">
        <v>1</v>
      </c>
      <c r="H1658" s="26"/>
      <c r="I1658" s="27"/>
    </row>
    <row r="1659" spans="1:9" ht="15.75" thickBot="1" x14ac:dyDescent="0.3">
      <c r="A1659" s="43" t="s">
        <v>515</v>
      </c>
      <c r="B1659" s="21" t="s">
        <v>4982</v>
      </c>
      <c r="C1659" s="21" t="s">
        <v>22655</v>
      </c>
      <c r="D1659" s="22">
        <v>46030</v>
      </c>
      <c r="E1659" s="23" t="s">
        <v>22656</v>
      </c>
      <c r="F1659" s="24" t="s">
        <v>22657</v>
      </c>
      <c r="G1659" s="25">
        <v>4</v>
      </c>
      <c r="H1659" s="32">
        <v>4</v>
      </c>
      <c r="I1659" s="33">
        <v>6</v>
      </c>
    </row>
    <row r="1660" spans="1:9" ht="15.75" thickBot="1" x14ac:dyDescent="0.3">
      <c r="A1660" s="43" t="s">
        <v>781</v>
      </c>
      <c r="B1660" s="21" t="s">
        <v>782</v>
      </c>
      <c r="C1660" s="21" t="s">
        <v>22663</v>
      </c>
      <c r="D1660" s="31">
        <v>1</v>
      </c>
      <c r="E1660" s="23" t="s">
        <v>22656</v>
      </c>
      <c r="F1660" s="24" t="s">
        <v>22657</v>
      </c>
      <c r="G1660" s="25">
        <v>4</v>
      </c>
      <c r="H1660" s="26"/>
      <c r="I1660" s="27"/>
    </row>
    <row r="1661" spans="1:9" ht="15.75" thickBot="1" x14ac:dyDescent="0.3">
      <c r="A1661" s="43" t="s">
        <v>4983</v>
      </c>
      <c r="B1661" s="21" t="s">
        <v>4984</v>
      </c>
      <c r="C1661" s="21" t="s">
        <v>22655</v>
      </c>
      <c r="D1661" s="22">
        <v>46029</v>
      </c>
      <c r="E1661" s="23" t="s">
        <v>22656</v>
      </c>
      <c r="F1661" s="24" t="s">
        <v>22657</v>
      </c>
      <c r="G1661" s="25">
        <v>2</v>
      </c>
      <c r="H1661" s="29"/>
      <c r="I1661" s="30"/>
    </row>
    <row r="1662" spans="1:9" ht="15.75" thickBot="1" x14ac:dyDescent="0.3">
      <c r="A1662" s="43" t="s">
        <v>197</v>
      </c>
      <c r="B1662" s="21" t="s">
        <v>4985</v>
      </c>
      <c r="C1662" s="21" t="s">
        <v>22655</v>
      </c>
      <c r="D1662" s="22">
        <v>46030</v>
      </c>
      <c r="E1662" s="23" t="s">
        <v>22656</v>
      </c>
      <c r="F1662" s="24" t="s">
        <v>22657</v>
      </c>
      <c r="G1662" s="25">
        <v>2</v>
      </c>
      <c r="H1662" s="26"/>
      <c r="I1662" s="27"/>
    </row>
    <row r="1663" spans="1:9" ht="15.75" thickBot="1" x14ac:dyDescent="0.3">
      <c r="A1663" s="43" t="s">
        <v>199</v>
      </c>
      <c r="B1663" s="21" t="s">
        <v>200</v>
      </c>
      <c r="C1663" s="21" t="s">
        <v>22663</v>
      </c>
      <c r="D1663" s="31">
        <v>1</v>
      </c>
      <c r="E1663" s="23" t="s">
        <v>22656</v>
      </c>
      <c r="F1663" s="24" t="s">
        <v>22657</v>
      </c>
      <c r="G1663" s="25">
        <v>4</v>
      </c>
      <c r="H1663" s="29"/>
      <c r="I1663" s="30"/>
    </row>
    <row r="1664" spans="1:9" ht="15.75" thickBot="1" x14ac:dyDescent="0.3">
      <c r="A1664" s="43" t="s">
        <v>4986</v>
      </c>
      <c r="B1664" s="21" t="s">
        <v>4987</v>
      </c>
      <c r="C1664" s="21" t="s">
        <v>22655</v>
      </c>
      <c r="D1664" s="22">
        <v>46029</v>
      </c>
      <c r="E1664" s="23" t="s">
        <v>22658</v>
      </c>
      <c r="F1664" s="24" t="s">
        <v>22657</v>
      </c>
      <c r="G1664" s="25">
        <v>1</v>
      </c>
      <c r="H1664" s="26"/>
      <c r="I1664" s="27"/>
    </row>
    <row r="1665" spans="1:9" ht="15.75" thickBot="1" x14ac:dyDescent="0.3">
      <c r="A1665" s="43" t="s">
        <v>4988</v>
      </c>
      <c r="B1665" s="21" t="s">
        <v>4989</v>
      </c>
      <c r="C1665" s="21" t="s">
        <v>22655</v>
      </c>
      <c r="D1665" s="22">
        <v>46030</v>
      </c>
      <c r="E1665" s="23" t="s">
        <v>22658</v>
      </c>
      <c r="F1665" s="24" t="s">
        <v>22657</v>
      </c>
      <c r="G1665" s="25">
        <v>1</v>
      </c>
      <c r="H1665" s="29"/>
      <c r="I1665" s="30"/>
    </row>
    <row r="1666" spans="1:9" ht="15.75" thickBot="1" x14ac:dyDescent="0.3">
      <c r="A1666" s="43" t="s">
        <v>4990</v>
      </c>
      <c r="B1666" s="21" t="s">
        <v>4991</v>
      </c>
      <c r="C1666" s="21" t="s">
        <v>22663</v>
      </c>
      <c r="D1666" s="31">
        <v>1</v>
      </c>
      <c r="E1666" s="23" t="s">
        <v>22658</v>
      </c>
      <c r="F1666" s="24" t="s">
        <v>22657</v>
      </c>
      <c r="G1666" s="25">
        <v>4</v>
      </c>
      <c r="H1666" s="26"/>
      <c r="I1666" s="27"/>
    </row>
    <row r="1667" spans="1:9" ht="15.75" thickBot="1" x14ac:dyDescent="0.3">
      <c r="A1667" s="43" t="s">
        <v>22472</v>
      </c>
      <c r="B1667" s="21" t="s">
        <v>22473</v>
      </c>
      <c r="C1667" s="36" t="e">
        <v>#N/A</v>
      </c>
      <c r="D1667" s="37" t="e">
        <v>#N/A</v>
      </c>
      <c r="E1667" s="23" t="e">
        <v>#N/A</v>
      </c>
      <c r="F1667" s="24" t="s">
        <v>22657</v>
      </c>
      <c r="G1667" s="25" t="e">
        <v>#N/A</v>
      </c>
      <c r="H1667" s="29"/>
      <c r="I1667" s="30"/>
    </row>
    <row r="1668" spans="1:9" ht="15.75" thickBot="1" x14ac:dyDescent="0.3">
      <c r="A1668" s="43" t="s">
        <v>4992</v>
      </c>
      <c r="B1668" s="21" t="s">
        <v>4993</v>
      </c>
      <c r="C1668" s="21" t="s">
        <v>22663</v>
      </c>
      <c r="D1668" s="31">
        <v>1</v>
      </c>
      <c r="E1668" s="23" t="s">
        <v>22658</v>
      </c>
      <c r="F1668" s="24" t="s">
        <v>22657</v>
      </c>
      <c r="G1668" s="25">
        <v>2</v>
      </c>
      <c r="H1668" s="26"/>
      <c r="I1668" s="27"/>
    </row>
    <row r="1669" spans="1:9" ht="15.75" thickBot="1" x14ac:dyDescent="0.3">
      <c r="A1669" s="43" t="s">
        <v>4994</v>
      </c>
      <c r="B1669" s="21" t="s">
        <v>4995</v>
      </c>
      <c r="C1669" s="21" t="s">
        <v>22655</v>
      </c>
      <c r="D1669" s="22">
        <v>46030</v>
      </c>
      <c r="E1669" s="23" t="s">
        <v>22656</v>
      </c>
      <c r="F1669" s="24" t="s">
        <v>22657</v>
      </c>
      <c r="G1669" s="25">
        <v>2</v>
      </c>
      <c r="H1669" s="29"/>
      <c r="I1669" s="30"/>
    </row>
    <row r="1670" spans="1:9" ht="15.75" thickBot="1" x14ac:dyDescent="0.3">
      <c r="A1670" s="43" t="s">
        <v>919</v>
      </c>
      <c r="B1670" s="21" t="s">
        <v>920</v>
      </c>
      <c r="C1670" s="21" t="s">
        <v>22663</v>
      </c>
      <c r="D1670" s="31">
        <v>1</v>
      </c>
      <c r="E1670" s="23" t="s">
        <v>22656</v>
      </c>
      <c r="F1670" s="24" t="s">
        <v>22657</v>
      </c>
      <c r="G1670" s="25">
        <v>10</v>
      </c>
      <c r="H1670" s="34">
        <v>10</v>
      </c>
      <c r="I1670" s="35">
        <v>16</v>
      </c>
    </row>
    <row r="1671" spans="1:9" ht="15.75" thickBot="1" x14ac:dyDescent="0.3">
      <c r="A1671" s="43" t="s">
        <v>4996</v>
      </c>
      <c r="B1671" s="21" t="s">
        <v>4997</v>
      </c>
      <c r="C1671" s="21" t="s">
        <v>22682</v>
      </c>
      <c r="D1671" s="22">
        <v>46034</v>
      </c>
      <c r="E1671" s="23" t="s">
        <v>22658</v>
      </c>
      <c r="F1671" s="24" t="s">
        <v>22657</v>
      </c>
      <c r="G1671" s="25">
        <v>4</v>
      </c>
      <c r="H1671" s="29"/>
      <c r="I1671" s="30"/>
    </row>
    <row r="1672" spans="1:9" ht="15.75" thickBot="1" x14ac:dyDescent="0.3">
      <c r="A1672" s="43" t="s">
        <v>4998</v>
      </c>
      <c r="B1672" s="21" t="s">
        <v>4999</v>
      </c>
      <c r="C1672" s="21" t="s">
        <v>22663</v>
      </c>
      <c r="D1672" s="31">
        <v>1</v>
      </c>
      <c r="E1672" s="23" t="s">
        <v>22658</v>
      </c>
      <c r="F1672" s="24" t="s">
        <v>22657</v>
      </c>
      <c r="G1672" s="25">
        <v>2</v>
      </c>
      <c r="H1672" s="26"/>
      <c r="I1672" s="27"/>
    </row>
    <row r="1673" spans="1:9" ht="15.75" thickBot="1" x14ac:dyDescent="0.3">
      <c r="A1673" s="43" t="s">
        <v>5000</v>
      </c>
      <c r="B1673" s="21" t="s">
        <v>5001</v>
      </c>
      <c r="C1673" s="21" t="s">
        <v>22682</v>
      </c>
      <c r="D1673" s="22">
        <v>46034</v>
      </c>
      <c r="E1673" s="23" t="s">
        <v>22658</v>
      </c>
      <c r="F1673" s="24" t="s">
        <v>22657</v>
      </c>
      <c r="G1673" s="25">
        <v>2</v>
      </c>
      <c r="H1673" s="29"/>
      <c r="I1673" s="30"/>
    </row>
    <row r="1674" spans="1:9" ht="15.75" thickBot="1" x14ac:dyDescent="0.3">
      <c r="A1674" s="43" t="s">
        <v>5002</v>
      </c>
      <c r="B1674" s="21" t="s">
        <v>5003</v>
      </c>
      <c r="C1674" s="21" t="s">
        <v>22682</v>
      </c>
      <c r="D1674" s="22">
        <v>46034</v>
      </c>
      <c r="E1674" s="23" t="s">
        <v>22658</v>
      </c>
      <c r="F1674" s="24" t="s">
        <v>22657</v>
      </c>
      <c r="G1674" s="25">
        <v>2</v>
      </c>
      <c r="H1674" s="26"/>
      <c r="I1674" s="27"/>
    </row>
    <row r="1675" spans="1:9" ht="15.75" thickBot="1" x14ac:dyDescent="0.3">
      <c r="A1675" s="43" t="s">
        <v>5004</v>
      </c>
      <c r="B1675" s="21" t="s">
        <v>5005</v>
      </c>
      <c r="C1675" s="21" t="s">
        <v>22682</v>
      </c>
      <c r="D1675" s="22">
        <v>46034</v>
      </c>
      <c r="E1675" s="23" t="s">
        <v>22658</v>
      </c>
      <c r="F1675" s="24" t="s">
        <v>22657</v>
      </c>
      <c r="G1675" s="25">
        <v>2</v>
      </c>
      <c r="H1675" s="29"/>
      <c r="I1675" s="30"/>
    </row>
    <row r="1676" spans="1:9" ht="15.75" thickBot="1" x14ac:dyDescent="0.3">
      <c r="A1676" s="43" t="s">
        <v>5006</v>
      </c>
      <c r="B1676" s="21" t="s">
        <v>5007</v>
      </c>
      <c r="C1676" s="21" t="s">
        <v>22682</v>
      </c>
      <c r="D1676" s="22">
        <v>46034</v>
      </c>
      <c r="E1676" s="23" t="s">
        <v>22656</v>
      </c>
      <c r="F1676" s="24" t="s">
        <v>22657</v>
      </c>
      <c r="G1676" s="25">
        <v>2</v>
      </c>
      <c r="H1676" s="26"/>
      <c r="I1676" s="27"/>
    </row>
    <row r="1677" spans="1:9" ht="15.75" thickBot="1" x14ac:dyDescent="0.3">
      <c r="A1677" s="43" t="s">
        <v>5008</v>
      </c>
      <c r="B1677" s="21" t="s">
        <v>5009</v>
      </c>
      <c r="C1677" s="21" t="s">
        <v>22672</v>
      </c>
      <c r="D1677" s="22">
        <v>46032</v>
      </c>
      <c r="E1677" s="23" t="s">
        <v>22656</v>
      </c>
      <c r="F1677" s="24" t="s">
        <v>22657</v>
      </c>
      <c r="G1677" s="25">
        <v>62</v>
      </c>
      <c r="H1677" s="29"/>
      <c r="I1677" s="30"/>
    </row>
    <row r="1678" spans="1:9" ht="15.75" thickBot="1" x14ac:dyDescent="0.3">
      <c r="A1678" s="43" t="s">
        <v>5010</v>
      </c>
      <c r="B1678" s="21" t="s">
        <v>5011</v>
      </c>
      <c r="C1678" s="21" t="s">
        <v>22672</v>
      </c>
      <c r="D1678" s="22">
        <v>46027</v>
      </c>
      <c r="E1678" s="23" t="s">
        <v>22656</v>
      </c>
      <c r="F1678" s="24" t="s">
        <v>22657</v>
      </c>
      <c r="G1678" s="25">
        <v>22</v>
      </c>
      <c r="H1678" s="26"/>
      <c r="I1678" s="27"/>
    </row>
    <row r="1679" spans="1:9" ht="15.75" thickBot="1" x14ac:dyDescent="0.3">
      <c r="A1679" s="43" t="s">
        <v>5012</v>
      </c>
      <c r="B1679" s="21" t="s">
        <v>5013</v>
      </c>
      <c r="C1679" s="21" t="s">
        <v>22672</v>
      </c>
      <c r="D1679" s="22">
        <v>46032</v>
      </c>
      <c r="E1679" s="23" t="s">
        <v>22661</v>
      </c>
      <c r="F1679" s="24" t="s">
        <v>22657</v>
      </c>
      <c r="G1679" s="25">
        <v>24</v>
      </c>
      <c r="H1679" s="32">
        <v>24</v>
      </c>
      <c r="I1679" s="33">
        <v>48</v>
      </c>
    </row>
    <row r="1680" spans="1:9" ht="15.75" thickBot="1" x14ac:dyDescent="0.3">
      <c r="A1680" s="43" t="s">
        <v>5014</v>
      </c>
      <c r="B1680" s="21" t="s">
        <v>5015</v>
      </c>
      <c r="C1680" s="21" t="s">
        <v>22655</v>
      </c>
      <c r="D1680" s="31" t="s">
        <v>22673</v>
      </c>
      <c r="E1680" s="23" t="s">
        <v>22656</v>
      </c>
      <c r="F1680" s="24" t="s">
        <v>22657</v>
      </c>
      <c r="G1680" s="25">
        <v>2</v>
      </c>
      <c r="H1680" s="26"/>
      <c r="I1680" s="27"/>
    </row>
    <row r="1681" spans="1:9" ht="15.75" thickBot="1" x14ac:dyDescent="0.3">
      <c r="A1681" s="43" t="s">
        <v>5016</v>
      </c>
      <c r="B1681" s="21" t="s">
        <v>5017</v>
      </c>
      <c r="C1681" s="21" t="s">
        <v>22655</v>
      </c>
      <c r="D1681" s="22">
        <v>46046</v>
      </c>
      <c r="E1681" s="23" t="s">
        <v>22656</v>
      </c>
      <c r="F1681" s="24" t="s">
        <v>22657</v>
      </c>
      <c r="G1681" s="25">
        <v>12</v>
      </c>
      <c r="H1681" s="32">
        <v>12</v>
      </c>
      <c r="I1681" s="33">
        <v>24</v>
      </c>
    </row>
    <row r="1682" spans="1:9" ht="15.75" thickBot="1" x14ac:dyDescent="0.3">
      <c r="A1682" s="43" t="s">
        <v>5018</v>
      </c>
      <c r="B1682" s="21" t="s">
        <v>5019</v>
      </c>
      <c r="C1682" s="21" t="s">
        <v>22655</v>
      </c>
      <c r="D1682" s="31" t="s">
        <v>22660</v>
      </c>
      <c r="E1682" s="23" t="s">
        <v>22656</v>
      </c>
      <c r="F1682" s="24" t="s">
        <v>22657</v>
      </c>
      <c r="G1682" s="25">
        <v>8</v>
      </c>
      <c r="H1682" s="26"/>
      <c r="I1682" s="27"/>
    </row>
    <row r="1683" spans="1:9" ht="15.75" thickBot="1" x14ac:dyDescent="0.3">
      <c r="A1683" s="43" t="s">
        <v>5020</v>
      </c>
      <c r="B1683" s="21" t="s">
        <v>5021</v>
      </c>
      <c r="C1683" s="21" t="s">
        <v>22682</v>
      </c>
      <c r="D1683" s="22">
        <v>46034</v>
      </c>
      <c r="E1683" s="23" t="s">
        <v>22658</v>
      </c>
      <c r="F1683" s="24" t="s">
        <v>22657</v>
      </c>
      <c r="G1683" s="25">
        <v>4</v>
      </c>
      <c r="H1683" s="29"/>
      <c r="I1683" s="30"/>
    </row>
    <row r="1684" spans="1:9" ht="15.75" thickBot="1" x14ac:dyDescent="0.3">
      <c r="A1684" s="43" t="s">
        <v>5022</v>
      </c>
      <c r="B1684" s="21" t="s">
        <v>5023</v>
      </c>
      <c r="C1684" s="21" t="s">
        <v>22655</v>
      </c>
      <c r="D1684" s="22">
        <v>46052</v>
      </c>
      <c r="E1684" s="23" t="s">
        <v>22656</v>
      </c>
      <c r="F1684" s="24" t="s">
        <v>22657</v>
      </c>
      <c r="G1684" s="25">
        <v>4</v>
      </c>
      <c r="H1684" s="26"/>
      <c r="I1684" s="27"/>
    </row>
    <row r="1685" spans="1:9" ht="15.75" thickBot="1" x14ac:dyDescent="0.3">
      <c r="A1685" s="43" t="s">
        <v>5024</v>
      </c>
      <c r="B1685" s="21" t="s">
        <v>5025</v>
      </c>
      <c r="C1685" s="21" t="s">
        <v>22682</v>
      </c>
      <c r="D1685" s="22">
        <v>46032</v>
      </c>
      <c r="E1685" s="23" t="s">
        <v>22658</v>
      </c>
      <c r="F1685" s="24" t="s">
        <v>22657</v>
      </c>
      <c r="G1685" s="25">
        <v>4</v>
      </c>
      <c r="H1685" s="29"/>
      <c r="I1685" s="30"/>
    </row>
    <row r="1686" spans="1:9" ht="15.75" thickBot="1" x14ac:dyDescent="0.3">
      <c r="A1686" s="43" t="s">
        <v>5026</v>
      </c>
      <c r="B1686" s="21" t="s">
        <v>5027</v>
      </c>
      <c r="C1686" s="21" t="s">
        <v>22655</v>
      </c>
      <c r="D1686" s="22">
        <v>46026</v>
      </c>
      <c r="E1686" s="23" t="s">
        <v>22658</v>
      </c>
      <c r="F1686" s="24" t="s">
        <v>22657</v>
      </c>
      <c r="G1686" s="25">
        <v>1</v>
      </c>
      <c r="H1686" s="26"/>
      <c r="I1686" s="27"/>
    </row>
    <row r="1687" spans="1:9" ht="15.75" thickBot="1" x14ac:dyDescent="0.3">
      <c r="A1687" s="43" t="s">
        <v>5028</v>
      </c>
      <c r="B1687" s="21" t="s">
        <v>5029</v>
      </c>
      <c r="C1687" s="21" t="s">
        <v>22655</v>
      </c>
      <c r="D1687" s="22">
        <v>46032</v>
      </c>
      <c r="E1687" s="23" t="s">
        <v>22658</v>
      </c>
      <c r="F1687" s="24" t="s">
        <v>22657</v>
      </c>
      <c r="G1687" s="25">
        <v>4</v>
      </c>
      <c r="H1687" s="29"/>
      <c r="I1687" s="30"/>
    </row>
    <row r="1688" spans="1:9" ht="15.75" thickBot="1" x14ac:dyDescent="0.3">
      <c r="A1688" s="43" t="s">
        <v>5030</v>
      </c>
      <c r="B1688" s="21" t="s">
        <v>5031</v>
      </c>
      <c r="C1688" s="21" t="s">
        <v>22663</v>
      </c>
      <c r="D1688" s="31">
        <v>1</v>
      </c>
      <c r="E1688" s="23" t="s">
        <v>22658</v>
      </c>
      <c r="F1688" s="24" t="s">
        <v>22657</v>
      </c>
      <c r="G1688" s="25">
        <v>4</v>
      </c>
      <c r="H1688" s="26"/>
      <c r="I1688" s="27"/>
    </row>
    <row r="1689" spans="1:9" ht="15.75" thickBot="1" x14ac:dyDescent="0.3">
      <c r="A1689" s="43" t="s">
        <v>5032</v>
      </c>
      <c r="B1689" s="21" t="s">
        <v>5033</v>
      </c>
      <c r="C1689" s="21" t="s">
        <v>22663</v>
      </c>
      <c r="D1689" s="31">
        <v>1</v>
      </c>
      <c r="E1689" s="23" t="s">
        <v>22658</v>
      </c>
      <c r="F1689" s="24" t="s">
        <v>22657</v>
      </c>
      <c r="G1689" s="25">
        <v>1</v>
      </c>
      <c r="H1689" s="29"/>
      <c r="I1689" s="30"/>
    </row>
    <row r="1690" spans="1:9" ht="15.75" thickBot="1" x14ac:dyDescent="0.3">
      <c r="A1690" s="43" t="s">
        <v>860</v>
      </c>
      <c r="B1690" s="21" t="s">
        <v>861</v>
      </c>
      <c r="C1690" s="21" t="s">
        <v>22698</v>
      </c>
      <c r="D1690" s="31">
        <v>1</v>
      </c>
      <c r="E1690" s="23" t="s">
        <v>22662</v>
      </c>
      <c r="F1690" s="24" t="s">
        <v>22657</v>
      </c>
      <c r="G1690" s="25">
        <v>25</v>
      </c>
      <c r="H1690" s="34">
        <v>25</v>
      </c>
      <c r="I1690" s="35">
        <v>50</v>
      </c>
    </row>
    <row r="1691" spans="1:9" ht="15.75" thickBot="1" x14ac:dyDescent="0.3">
      <c r="A1691" s="43" t="s">
        <v>5034</v>
      </c>
      <c r="B1691" s="21" t="s">
        <v>5035</v>
      </c>
      <c r="C1691" s="21" t="s">
        <v>22663</v>
      </c>
      <c r="D1691" s="31">
        <v>1</v>
      </c>
      <c r="E1691" s="23" t="s">
        <v>22665</v>
      </c>
      <c r="F1691" s="24" t="s">
        <v>22657</v>
      </c>
      <c r="G1691" s="25">
        <v>26</v>
      </c>
      <c r="H1691" s="29"/>
      <c r="I1691" s="30"/>
    </row>
    <row r="1692" spans="1:9" ht="15.75" thickBot="1" x14ac:dyDescent="0.3">
      <c r="A1692" s="43" t="s">
        <v>1349</v>
      </c>
      <c r="B1692" s="21" t="s">
        <v>1350</v>
      </c>
      <c r="C1692" s="21" t="s">
        <v>22727</v>
      </c>
      <c r="D1692" s="31">
        <v>1</v>
      </c>
      <c r="E1692" s="23" t="s">
        <v>22656</v>
      </c>
      <c r="F1692" s="24" t="s">
        <v>22657</v>
      </c>
      <c r="G1692" s="25">
        <v>2</v>
      </c>
      <c r="H1692" s="34">
        <v>2</v>
      </c>
      <c r="I1692" s="35">
        <v>4</v>
      </c>
    </row>
    <row r="1693" spans="1:9" ht="15.75" thickBot="1" x14ac:dyDescent="0.3">
      <c r="A1693" s="43" t="s">
        <v>5036</v>
      </c>
      <c r="B1693" s="21" t="s">
        <v>5037</v>
      </c>
      <c r="C1693" s="21" t="s">
        <v>22712</v>
      </c>
      <c r="D1693" s="22">
        <v>46042</v>
      </c>
      <c r="E1693" s="23" t="s">
        <v>22656</v>
      </c>
      <c r="F1693" s="24" t="s">
        <v>22657</v>
      </c>
      <c r="G1693" s="25">
        <v>4</v>
      </c>
      <c r="H1693" s="29"/>
      <c r="I1693" s="30"/>
    </row>
    <row r="1694" spans="1:9" ht="15.75" thickBot="1" x14ac:dyDescent="0.3">
      <c r="A1694" s="43" t="s">
        <v>5038</v>
      </c>
      <c r="B1694" s="21" t="s">
        <v>5039</v>
      </c>
      <c r="C1694" s="21" t="s">
        <v>22655</v>
      </c>
      <c r="D1694" s="22">
        <v>46026</v>
      </c>
      <c r="E1694" s="23" t="s">
        <v>22658</v>
      </c>
      <c r="F1694" s="24" t="s">
        <v>22657</v>
      </c>
      <c r="G1694" s="25">
        <v>2</v>
      </c>
      <c r="H1694" s="26"/>
      <c r="I1694" s="27"/>
    </row>
    <row r="1695" spans="1:9" ht="15.75" thickBot="1" x14ac:dyDescent="0.3">
      <c r="A1695" s="43" t="s">
        <v>5040</v>
      </c>
      <c r="B1695" s="21" t="s">
        <v>5041</v>
      </c>
      <c r="C1695" s="21" t="s">
        <v>22663</v>
      </c>
      <c r="D1695" s="31">
        <v>1</v>
      </c>
      <c r="E1695" s="23" t="s">
        <v>22658</v>
      </c>
      <c r="F1695" s="24" t="s">
        <v>22657</v>
      </c>
      <c r="G1695" s="25">
        <v>4</v>
      </c>
      <c r="H1695" s="29"/>
      <c r="I1695" s="30"/>
    </row>
    <row r="1696" spans="1:9" ht="15.75" thickBot="1" x14ac:dyDescent="0.3">
      <c r="A1696" s="43" t="s">
        <v>5042</v>
      </c>
      <c r="B1696" s="21" t="s">
        <v>5043</v>
      </c>
      <c r="C1696" s="21" t="s">
        <v>22663</v>
      </c>
      <c r="D1696" s="31">
        <v>1</v>
      </c>
      <c r="E1696" s="23" t="s">
        <v>22656</v>
      </c>
      <c r="F1696" s="24" t="s">
        <v>22657</v>
      </c>
      <c r="G1696" s="25">
        <v>2</v>
      </c>
      <c r="H1696" s="26"/>
      <c r="I1696" s="27"/>
    </row>
    <row r="1697" spans="1:9" ht="15.75" thickBot="1" x14ac:dyDescent="0.3">
      <c r="A1697" s="43" t="s">
        <v>5044</v>
      </c>
      <c r="B1697" s="21" t="s">
        <v>5045</v>
      </c>
      <c r="C1697" s="21" t="s">
        <v>22663</v>
      </c>
      <c r="D1697" s="31">
        <v>1</v>
      </c>
      <c r="E1697" s="23" t="s">
        <v>22656</v>
      </c>
      <c r="F1697" s="24" t="s">
        <v>22657</v>
      </c>
      <c r="G1697" s="25">
        <v>3</v>
      </c>
      <c r="H1697" s="29"/>
      <c r="I1697" s="30"/>
    </row>
    <row r="1698" spans="1:9" ht="15.75" thickBot="1" x14ac:dyDescent="0.3">
      <c r="A1698" s="43" t="s">
        <v>5046</v>
      </c>
      <c r="B1698" s="21" t="s">
        <v>5047</v>
      </c>
      <c r="C1698" s="21" t="s">
        <v>22663</v>
      </c>
      <c r="D1698" s="31">
        <v>1</v>
      </c>
      <c r="E1698" s="23" t="s">
        <v>22656</v>
      </c>
      <c r="F1698" s="24" t="s">
        <v>22657</v>
      </c>
      <c r="G1698" s="25">
        <v>4</v>
      </c>
      <c r="H1698" s="26"/>
      <c r="I1698" s="27"/>
    </row>
    <row r="1699" spans="1:9" ht="15.75" thickBot="1" x14ac:dyDescent="0.3">
      <c r="A1699" s="43" t="s">
        <v>5048</v>
      </c>
      <c r="B1699" s="21" t="s">
        <v>5049</v>
      </c>
      <c r="C1699" s="21" t="s">
        <v>22663</v>
      </c>
      <c r="D1699" s="31">
        <v>1</v>
      </c>
      <c r="E1699" s="23" t="s">
        <v>22656</v>
      </c>
      <c r="F1699" s="24" t="s">
        <v>22657</v>
      </c>
      <c r="G1699" s="25">
        <v>2</v>
      </c>
      <c r="H1699" s="29"/>
      <c r="I1699" s="30"/>
    </row>
    <row r="1700" spans="1:9" ht="15.75" thickBot="1" x14ac:dyDescent="0.3">
      <c r="A1700" s="43" t="s">
        <v>5050</v>
      </c>
      <c r="B1700" s="21" t="s">
        <v>5051</v>
      </c>
      <c r="C1700" s="21" t="s">
        <v>22663</v>
      </c>
      <c r="D1700" s="31">
        <v>1</v>
      </c>
      <c r="E1700" s="23" t="s">
        <v>22656</v>
      </c>
      <c r="F1700" s="24" t="s">
        <v>22657</v>
      </c>
      <c r="G1700" s="25">
        <v>3</v>
      </c>
      <c r="H1700" s="26"/>
      <c r="I1700" s="27"/>
    </row>
    <row r="1701" spans="1:9" ht="15.75" thickBot="1" x14ac:dyDescent="0.3">
      <c r="A1701" s="43" t="s">
        <v>145</v>
      </c>
      <c r="B1701" s="21" t="s">
        <v>146</v>
      </c>
      <c r="C1701" s="21" t="s">
        <v>22655</v>
      </c>
      <c r="D1701" s="22">
        <v>46025</v>
      </c>
      <c r="E1701" s="23" t="s">
        <v>22656</v>
      </c>
      <c r="F1701" s="24" t="s">
        <v>22657</v>
      </c>
      <c r="G1701" s="25">
        <v>1</v>
      </c>
      <c r="H1701" s="32">
        <v>1</v>
      </c>
      <c r="I1701" s="33">
        <v>2</v>
      </c>
    </row>
    <row r="1702" spans="1:9" ht="15.75" thickBot="1" x14ac:dyDescent="0.3">
      <c r="A1702" s="43" t="s">
        <v>19835</v>
      </c>
      <c r="B1702" s="21" t="s">
        <v>22366</v>
      </c>
      <c r="C1702" s="21" t="s">
        <v>22663</v>
      </c>
      <c r="D1702" s="31">
        <v>1</v>
      </c>
      <c r="E1702" s="23" t="s">
        <v>22656</v>
      </c>
      <c r="F1702" s="24" t="s">
        <v>22657</v>
      </c>
      <c r="G1702" s="25">
        <v>2</v>
      </c>
      <c r="H1702" s="26"/>
      <c r="I1702" s="27"/>
    </row>
    <row r="1703" spans="1:9" ht="15.75" thickBot="1" x14ac:dyDescent="0.3">
      <c r="A1703" s="43" t="s">
        <v>537</v>
      </c>
      <c r="B1703" s="21" t="s">
        <v>538</v>
      </c>
      <c r="C1703" s="21" t="s">
        <v>22655</v>
      </c>
      <c r="D1703" s="22">
        <v>46037</v>
      </c>
      <c r="E1703" s="23" t="s">
        <v>22661</v>
      </c>
      <c r="F1703" s="24" t="s">
        <v>22657</v>
      </c>
      <c r="G1703" s="25">
        <v>15</v>
      </c>
      <c r="H1703" s="32">
        <v>15</v>
      </c>
      <c r="I1703" s="33">
        <v>30</v>
      </c>
    </row>
    <row r="1704" spans="1:9" ht="15.75" thickBot="1" x14ac:dyDescent="0.3">
      <c r="A1704" s="43" t="s">
        <v>1751</v>
      </c>
      <c r="B1704" s="21" t="s">
        <v>5052</v>
      </c>
      <c r="C1704" s="21" t="s">
        <v>22655</v>
      </c>
      <c r="D1704" s="31" t="s">
        <v>22660</v>
      </c>
      <c r="E1704" s="23" t="s">
        <v>22662</v>
      </c>
      <c r="F1704" s="24" t="s">
        <v>22657</v>
      </c>
      <c r="G1704" s="25">
        <v>48</v>
      </c>
      <c r="H1704" s="34">
        <v>48</v>
      </c>
      <c r="I1704" s="35">
        <v>144</v>
      </c>
    </row>
    <row r="1705" spans="1:9" ht="15.75" thickBot="1" x14ac:dyDescent="0.3">
      <c r="A1705" s="43" t="s">
        <v>555</v>
      </c>
      <c r="B1705" s="21" t="s">
        <v>556</v>
      </c>
      <c r="C1705" s="21" t="s">
        <v>22655</v>
      </c>
      <c r="D1705" s="31" t="s">
        <v>22660</v>
      </c>
      <c r="E1705" s="23" t="s">
        <v>22662</v>
      </c>
      <c r="F1705" s="24" t="s">
        <v>22657</v>
      </c>
      <c r="G1705" s="25">
        <v>96</v>
      </c>
      <c r="H1705" s="32">
        <v>96</v>
      </c>
      <c r="I1705" s="33">
        <v>240</v>
      </c>
    </row>
    <row r="1706" spans="1:9" ht="15.75" thickBot="1" x14ac:dyDescent="0.3">
      <c r="A1706" s="43" t="s">
        <v>483</v>
      </c>
      <c r="B1706" s="21" t="s">
        <v>484</v>
      </c>
      <c r="C1706" s="21" t="s">
        <v>22655</v>
      </c>
      <c r="D1706" s="22">
        <v>46030</v>
      </c>
      <c r="E1706" s="23" t="s">
        <v>22661</v>
      </c>
      <c r="F1706" s="24" t="s">
        <v>22657</v>
      </c>
      <c r="G1706" s="25">
        <v>18</v>
      </c>
      <c r="H1706" s="34">
        <v>18</v>
      </c>
      <c r="I1706" s="35">
        <v>36</v>
      </c>
    </row>
    <row r="1707" spans="1:9" ht="15.75" thickBot="1" x14ac:dyDescent="0.3">
      <c r="A1707" s="43" t="s">
        <v>5053</v>
      </c>
      <c r="B1707" s="21" t="s">
        <v>5054</v>
      </c>
      <c r="C1707" s="21" t="s">
        <v>22655</v>
      </c>
      <c r="D1707" s="22">
        <v>46042</v>
      </c>
      <c r="E1707" s="23" t="s">
        <v>22656</v>
      </c>
      <c r="F1707" s="24" t="s">
        <v>22657</v>
      </c>
      <c r="G1707" s="25">
        <v>7</v>
      </c>
      <c r="H1707" s="29"/>
      <c r="I1707" s="30"/>
    </row>
    <row r="1708" spans="1:9" ht="15.75" thickBot="1" x14ac:dyDescent="0.3">
      <c r="A1708" s="43" t="s">
        <v>5055</v>
      </c>
      <c r="B1708" s="21" t="s">
        <v>5056</v>
      </c>
      <c r="C1708" s="21" t="s">
        <v>22682</v>
      </c>
      <c r="D1708" s="22">
        <v>46034</v>
      </c>
      <c r="E1708" s="23" t="s">
        <v>22658</v>
      </c>
      <c r="F1708" s="24" t="s">
        <v>22657</v>
      </c>
      <c r="G1708" s="25">
        <v>4</v>
      </c>
      <c r="H1708" s="26"/>
      <c r="I1708" s="27"/>
    </row>
    <row r="1709" spans="1:9" ht="15.75" thickBot="1" x14ac:dyDescent="0.3">
      <c r="A1709" s="43" t="s">
        <v>5057</v>
      </c>
      <c r="B1709" s="21" t="s">
        <v>5058</v>
      </c>
      <c r="C1709" s="21" t="s">
        <v>22682</v>
      </c>
      <c r="D1709" s="22">
        <v>46034</v>
      </c>
      <c r="E1709" s="23" t="s">
        <v>22658</v>
      </c>
      <c r="F1709" s="24" t="s">
        <v>22657</v>
      </c>
      <c r="G1709" s="25">
        <v>4</v>
      </c>
      <c r="H1709" s="29"/>
      <c r="I1709" s="30"/>
    </row>
    <row r="1710" spans="1:9" ht="15.75" thickBot="1" x14ac:dyDescent="0.3">
      <c r="A1710" s="43" t="s">
        <v>5059</v>
      </c>
      <c r="B1710" s="21" t="s">
        <v>5060</v>
      </c>
      <c r="C1710" s="21" t="s">
        <v>22663</v>
      </c>
      <c r="D1710" s="31">
        <v>1</v>
      </c>
      <c r="E1710" s="23" t="s">
        <v>22656</v>
      </c>
      <c r="F1710" s="24" t="s">
        <v>22657</v>
      </c>
      <c r="G1710" s="25">
        <v>4</v>
      </c>
      <c r="H1710" s="26"/>
      <c r="I1710" s="27"/>
    </row>
    <row r="1711" spans="1:9" ht="15.75" thickBot="1" x14ac:dyDescent="0.3">
      <c r="A1711" s="43" t="s">
        <v>5061</v>
      </c>
      <c r="B1711" s="21" t="s">
        <v>5062</v>
      </c>
      <c r="C1711" s="21" t="s">
        <v>22667</v>
      </c>
      <c r="D1711" s="31" t="s">
        <v>22670</v>
      </c>
      <c r="E1711" s="23" t="s">
        <v>22656</v>
      </c>
      <c r="F1711" s="24" t="s">
        <v>22657</v>
      </c>
      <c r="G1711" s="25">
        <v>34</v>
      </c>
      <c r="H1711" s="29"/>
      <c r="I1711" s="30"/>
    </row>
    <row r="1712" spans="1:9" ht="15.75" thickBot="1" x14ac:dyDescent="0.3">
      <c r="A1712" s="43" t="s">
        <v>5063</v>
      </c>
      <c r="B1712" s="21" t="s">
        <v>5064</v>
      </c>
      <c r="C1712" s="21" t="s">
        <v>22655</v>
      </c>
      <c r="D1712" s="31" t="s">
        <v>22660</v>
      </c>
      <c r="E1712" s="23" t="s">
        <v>22661</v>
      </c>
      <c r="F1712" s="24" t="s">
        <v>22657</v>
      </c>
      <c r="G1712" s="25">
        <v>16</v>
      </c>
      <c r="H1712" s="26"/>
      <c r="I1712" s="27"/>
    </row>
    <row r="1713" spans="1:9" ht="15.75" thickBot="1" x14ac:dyDescent="0.3">
      <c r="A1713" s="43" t="s">
        <v>5065</v>
      </c>
      <c r="B1713" s="21" t="s">
        <v>5066</v>
      </c>
      <c r="C1713" s="21" t="s">
        <v>22655</v>
      </c>
      <c r="D1713" s="31" t="s">
        <v>22660</v>
      </c>
      <c r="E1713" s="23" t="s">
        <v>22661</v>
      </c>
      <c r="F1713" s="24" t="s">
        <v>22657</v>
      </c>
      <c r="G1713" s="25">
        <v>16</v>
      </c>
      <c r="H1713" s="29"/>
      <c r="I1713" s="30"/>
    </row>
    <row r="1714" spans="1:9" ht="15.75" thickBot="1" x14ac:dyDescent="0.3">
      <c r="A1714" s="43" t="s">
        <v>5067</v>
      </c>
      <c r="B1714" s="21" t="s">
        <v>5068</v>
      </c>
      <c r="C1714" s="21" t="s">
        <v>22655</v>
      </c>
      <c r="D1714" s="22">
        <v>46046</v>
      </c>
      <c r="E1714" s="23" t="s">
        <v>22656</v>
      </c>
      <c r="F1714" s="24" t="s">
        <v>22657</v>
      </c>
      <c r="G1714" s="25">
        <v>8</v>
      </c>
      <c r="H1714" s="26"/>
      <c r="I1714" s="27"/>
    </row>
    <row r="1715" spans="1:9" ht="15.75" thickBot="1" x14ac:dyDescent="0.3">
      <c r="A1715" s="43" t="s">
        <v>5069</v>
      </c>
      <c r="B1715" s="21" t="s">
        <v>5070</v>
      </c>
      <c r="C1715" s="21" t="s">
        <v>22655</v>
      </c>
      <c r="D1715" s="22">
        <v>46034</v>
      </c>
      <c r="E1715" s="23" t="s">
        <v>22656</v>
      </c>
      <c r="F1715" s="24" t="s">
        <v>22657</v>
      </c>
      <c r="G1715" s="25">
        <v>4</v>
      </c>
      <c r="H1715" s="29"/>
      <c r="I1715" s="30"/>
    </row>
    <row r="1716" spans="1:9" ht="15.75" thickBot="1" x14ac:dyDescent="0.3">
      <c r="A1716" s="43" t="s">
        <v>5071</v>
      </c>
      <c r="B1716" s="21" t="s">
        <v>5072</v>
      </c>
      <c r="C1716" s="21" t="s">
        <v>22655</v>
      </c>
      <c r="D1716" s="22">
        <v>46034</v>
      </c>
      <c r="E1716" s="23" t="s">
        <v>22656</v>
      </c>
      <c r="F1716" s="24" t="s">
        <v>22657</v>
      </c>
      <c r="G1716" s="25">
        <v>8</v>
      </c>
      <c r="H1716" s="26"/>
      <c r="I1716" s="27"/>
    </row>
    <row r="1717" spans="1:9" ht="15.75" thickBot="1" x14ac:dyDescent="0.3">
      <c r="A1717" s="43" t="s">
        <v>5073</v>
      </c>
      <c r="B1717" s="21" t="s">
        <v>5074</v>
      </c>
      <c r="C1717" s="21" t="s">
        <v>22667</v>
      </c>
      <c r="D1717" s="31" t="s">
        <v>22670</v>
      </c>
      <c r="E1717" s="23" t="s">
        <v>22656</v>
      </c>
      <c r="F1717" s="24" t="s">
        <v>22657</v>
      </c>
      <c r="G1717" s="25">
        <v>34</v>
      </c>
      <c r="H1717" s="29"/>
      <c r="I1717" s="30"/>
    </row>
    <row r="1718" spans="1:9" ht="15.75" thickBot="1" x14ac:dyDescent="0.3">
      <c r="A1718" s="43" t="s">
        <v>5075</v>
      </c>
      <c r="B1718" s="21" t="s">
        <v>5076</v>
      </c>
      <c r="C1718" s="21" t="s">
        <v>22682</v>
      </c>
      <c r="D1718" s="22">
        <v>46034</v>
      </c>
      <c r="E1718" s="23" t="s">
        <v>22656</v>
      </c>
      <c r="F1718" s="24" t="s">
        <v>22657</v>
      </c>
      <c r="G1718" s="25">
        <v>4</v>
      </c>
      <c r="H1718" s="26"/>
      <c r="I1718" s="27"/>
    </row>
    <row r="1719" spans="1:9" ht="15.75" thickBot="1" x14ac:dyDescent="0.3">
      <c r="A1719" s="43" t="s">
        <v>5077</v>
      </c>
      <c r="B1719" s="21" t="s">
        <v>5078</v>
      </c>
      <c r="C1719" s="21" t="s">
        <v>22682</v>
      </c>
      <c r="D1719" s="22">
        <v>46034</v>
      </c>
      <c r="E1719" s="23" t="s">
        <v>22658</v>
      </c>
      <c r="F1719" s="24" t="s">
        <v>22657</v>
      </c>
      <c r="G1719" s="25">
        <v>4</v>
      </c>
      <c r="H1719" s="29"/>
      <c r="I1719" s="30"/>
    </row>
    <row r="1720" spans="1:9" ht="15.75" thickBot="1" x14ac:dyDescent="0.3">
      <c r="A1720" s="43" t="s">
        <v>5079</v>
      </c>
      <c r="B1720" s="21" t="s">
        <v>5080</v>
      </c>
      <c r="C1720" s="21" t="s">
        <v>22682</v>
      </c>
      <c r="D1720" s="22">
        <v>46034</v>
      </c>
      <c r="E1720" s="23" t="s">
        <v>22656</v>
      </c>
      <c r="F1720" s="24" t="s">
        <v>22657</v>
      </c>
      <c r="G1720" s="25">
        <v>4</v>
      </c>
      <c r="H1720" s="26"/>
      <c r="I1720" s="27"/>
    </row>
    <row r="1721" spans="1:9" ht="15.75" thickBot="1" x14ac:dyDescent="0.3">
      <c r="A1721" s="43" t="s">
        <v>5081</v>
      </c>
      <c r="B1721" s="21" t="s">
        <v>5082</v>
      </c>
      <c r="C1721" s="21" t="s">
        <v>22682</v>
      </c>
      <c r="D1721" s="22">
        <v>46034</v>
      </c>
      <c r="E1721" s="23" t="s">
        <v>22656</v>
      </c>
      <c r="F1721" s="24" t="s">
        <v>22657</v>
      </c>
      <c r="G1721" s="25">
        <v>4</v>
      </c>
      <c r="H1721" s="29"/>
      <c r="I1721" s="30"/>
    </row>
    <row r="1722" spans="1:9" ht="15.75" thickBot="1" x14ac:dyDescent="0.3">
      <c r="A1722" s="43" t="s">
        <v>5083</v>
      </c>
      <c r="B1722" s="21" t="s">
        <v>5084</v>
      </c>
      <c r="C1722" s="21" t="s">
        <v>22682</v>
      </c>
      <c r="D1722" s="22">
        <v>46034</v>
      </c>
      <c r="E1722" s="23" t="s">
        <v>22656</v>
      </c>
      <c r="F1722" s="24" t="s">
        <v>22657</v>
      </c>
      <c r="G1722" s="25">
        <v>4</v>
      </c>
      <c r="H1722" s="26"/>
      <c r="I1722" s="27"/>
    </row>
    <row r="1723" spans="1:9" ht="15.75" thickBot="1" x14ac:dyDescent="0.3">
      <c r="A1723" s="43" t="s">
        <v>5085</v>
      </c>
      <c r="B1723" s="21" t="s">
        <v>5086</v>
      </c>
      <c r="C1723" s="21" t="s">
        <v>22682</v>
      </c>
      <c r="D1723" s="22">
        <v>46034</v>
      </c>
      <c r="E1723" s="23" t="s">
        <v>22656</v>
      </c>
      <c r="F1723" s="24" t="s">
        <v>22657</v>
      </c>
      <c r="G1723" s="25">
        <v>4</v>
      </c>
      <c r="H1723" s="29"/>
      <c r="I1723" s="30"/>
    </row>
    <row r="1724" spans="1:9" ht="15.75" thickBot="1" x14ac:dyDescent="0.3">
      <c r="A1724" s="43" t="s">
        <v>5087</v>
      </c>
      <c r="B1724" s="21" t="s">
        <v>5088</v>
      </c>
      <c r="C1724" s="21" t="s">
        <v>22682</v>
      </c>
      <c r="D1724" s="22">
        <v>46034</v>
      </c>
      <c r="E1724" s="23" t="s">
        <v>22656</v>
      </c>
      <c r="F1724" s="24" t="s">
        <v>22657</v>
      </c>
      <c r="G1724" s="25">
        <v>4</v>
      </c>
      <c r="H1724" s="26"/>
      <c r="I1724" s="27"/>
    </row>
    <row r="1725" spans="1:9" ht="15.75" thickBot="1" x14ac:dyDescent="0.3">
      <c r="A1725" s="43" t="s">
        <v>5089</v>
      </c>
      <c r="B1725" s="21" t="s">
        <v>5090</v>
      </c>
      <c r="C1725" s="21" t="s">
        <v>22682</v>
      </c>
      <c r="D1725" s="22">
        <v>46034</v>
      </c>
      <c r="E1725" s="23" t="s">
        <v>22656</v>
      </c>
      <c r="F1725" s="24" t="s">
        <v>22657</v>
      </c>
      <c r="G1725" s="25">
        <v>4</v>
      </c>
      <c r="H1725" s="29"/>
      <c r="I1725" s="30"/>
    </row>
    <row r="1726" spans="1:9" ht="15.75" thickBot="1" x14ac:dyDescent="0.3">
      <c r="A1726" s="43" t="s">
        <v>5091</v>
      </c>
      <c r="B1726" s="21" t="s">
        <v>5092</v>
      </c>
      <c r="C1726" s="21" t="s">
        <v>22682</v>
      </c>
      <c r="D1726" s="22">
        <v>46034</v>
      </c>
      <c r="E1726" s="23" t="s">
        <v>22656</v>
      </c>
      <c r="F1726" s="24" t="s">
        <v>22657</v>
      </c>
      <c r="G1726" s="25">
        <v>2</v>
      </c>
      <c r="H1726" s="34">
        <v>2</v>
      </c>
      <c r="I1726" s="35">
        <v>3</v>
      </c>
    </row>
    <row r="1727" spans="1:9" ht="15.75" thickBot="1" x14ac:dyDescent="0.3">
      <c r="A1727" s="43" t="s">
        <v>5093</v>
      </c>
      <c r="B1727" s="21" t="s">
        <v>5094</v>
      </c>
      <c r="C1727" s="21" t="s">
        <v>22682</v>
      </c>
      <c r="D1727" s="22">
        <v>46034</v>
      </c>
      <c r="E1727" s="23" t="s">
        <v>22656</v>
      </c>
      <c r="F1727" s="24" t="s">
        <v>22657</v>
      </c>
      <c r="G1727" s="25">
        <v>4</v>
      </c>
      <c r="H1727" s="29"/>
      <c r="I1727" s="30"/>
    </row>
    <row r="1728" spans="1:9" ht="15.75" thickBot="1" x14ac:dyDescent="0.3">
      <c r="A1728" s="43" t="s">
        <v>5095</v>
      </c>
      <c r="B1728" s="21" t="s">
        <v>5096</v>
      </c>
      <c r="C1728" s="21" t="s">
        <v>22682</v>
      </c>
      <c r="D1728" s="22">
        <v>46034</v>
      </c>
      <c r="E1728" s="23" t="s">
        <v>22656</v>
      </c>
      <c r="F1728" s="24" t="s">
        <v>22657</v>
      </c>
      <c r="G1728" s="25">
        <v>4</v>
      </c>
      <c r="H1728" s="26"/>
      <c r="I1728" s="27"/>
    </row>
    <row r="1729" spans="1:9" ht="15.75" thickBot="1" x14ac:dyDescent="0.3">
      <c r="A1729" s="43" t="s">
        <v>5097</v>
      </c>
      <c r="B1729" s="21" t="s">
        <v>5098</v>
      </c>
      <c r="C1729" s="21" t="s">
        <v>22655</v>
      </c>
      <c r="D1729" s="22">
        <v>46046</v>
      </c>
      <c r="E1729" s="23" t="s">
        <v>22658</v>
      </c>
      <c r="F1729" s="24" t="s">
        <v>22657</v>
      </c>
      <c r="G1729" s="25">
        <v>1</v>
      </c>
      <c r="H1729" s="29"/>
      <c r="I1729" s="30"/>
    </row>
    <row r="1730" spans="1:9" ht="15.75" thickBot="1" x14ac:dyDescent="0.3">
      <c r="A1730" s="43" t="s">
        <v>5099</v>
      </c>
      <c r="B1730" s="21" t="s">
        <v>5100</v>
      </c>
      <c r="C1730" s="21" t="s">
        <v>22655</v>
      </c>
      <c r="D1730" s="22">
        <v>46046</v>
      </c>
      <c r="E1730" s="23" t="s">
        <v>22658</v>
      </c>
      <c r="F1730" s="28" t="s">
        <v>22659</v>
      </c>
      <c r="G1730" s="25">
        <v>1</v>
      </c>
      <c r="H1730" s="26"/>
      <c r="I1730" s="27"/>
    </row>
    <row r="1731" spans="1:9" ht="15.75" thickBot="1" x14ac:dyDescent="0.3">
      <c r="A1731" s="43" t="s">
        <v>5101</v>
      </c>
      <c r="B1731" s="21" t="s">
        <v>5102</v>
      </c>
      <c r="C1731" s="21" t="s">
        <v>22655</v>
      </c>
      <c r="D1731" s="22">
        <v>46046</v>
      </c>
      <c r="E1731" s="23" t="s">
        <v>22658</v>
      </c>
      <c r="F1731" s="24" t="s">
        <v>22657</v>
      </c>
      <c r="G1731" s="25">
        <v>1</v>
      </c>
      <c r="H1731" s="29"/>
      <c r="I1731" s="30"/>
    </row>
    <row r="1732" spans="1:9" ht="15.75" thickBot="1" x14ac:dyDescent="0.3">
      <c r="A1732" s="43" t="s">
        <v>5103</v>
      </c>
      <c r="B1732" s="21" t="s">
        <v>5104</v>
      </c>
      <c r="C1732" s="21" t="s">
        <v>22655</v>
      </c>
      <c r="D1732" s="22">
        <v>46046</v>
      </c>
      <c r="E1732" s="23" t="s">
        <v>22656</v>
      </c>
      <c r="F1732" s="24" t="s">
        <v>22657</v>
      </c>
      <c r="G1732" s="25">
        <v>2</v>
      </c>
      <c r="H1732" s="26"/>
      <c r="I1732" s="27"/>
    </row>
    <row r="1733" spans="1:9" ht="15.75" thickBot="1" x14ac:dyDescent="0.3">
      <c r="A1733" s="43" t="s">
        <v>5105</v>
      </c>
      <c r="B1733" s="21" t="s">
        <v>5106</v>
      </c>
      <c r="C1733" s="21" t="s">
        <v>22655</v>
      </c>
      <c r="D1733" s="22">
        <v>46034</v>
      </c>
      <c r="E1733" s="23" t="s">
        <v>22656</v>
      </c>
      <c r="F1733" s="24" t="s">
        <v>22657</v>
      </c>
      <c r="G1733" s="25">
        <v>2</v>
      </c>
      <c r="H1733" s="29"/>
      <c r="I1733" s="30"/>
    </row>
    <row r="1734" spans="1:9" ht="15.75" thickBot="1" x14ac:dyDescent="0.3">
      <c r="A1734" s="43" t="s">
        <v>5107</v>
      </c>
      <c r="B1734" s="21" t="s">
        <v>5108</v>
      </c>
      <c r="C1734" s="21" t="s">
        <v>22655</v>
      </c>
      <c r="D1734" s="22">
        <v>46034</v>
      </c>
      <c r="E1734" s="23" t="s">
        <v>22656</v>
      </c>
      <c r="F1734" s="24" t="s">
        <v>22657</v>
      </c>
      <c r="G1734" s="25">
        <v>2</v>
      </c>
      <c r="H1734" s="26"/>
      <c r="I1734" s="27"/>
    </row>
    <row r="1735" spans="1:9" ht="15.75" thickBot="1" x14ac:dyDescent="0.3">
      <c r="A1735" s="43" t="s">
        <v>5109</v>
      </c>
      <c r="B1735" s="21" t="s">
        <v>5110</v>
      </c>
      <c r="C1735" s="21" t="s">
        <v>22655</v>
      </c>
      <c r="D1735" s="22">
        <v>46034</v>
      </c>
      <c r="E1735" s="23" t="s">
        <v>22658</v>
      </c>
      <c r="F1735" s="24" t="s">
        <v>22657</v>
      </c>
      <c r="G1735" s="25">
        <v>1</v>
      </c>
      <c r="H1735" s="29"/>
      <c r="I1735" s="30"/>
    </row>
    <row r="1736" spans="1:9" ht="15.75" thickBot="1" x14ac:dyDescent="0.3">
      <c r="A1736" s="43" t="s">
        <v>5111</v>
      </c>
      <c r="B1736" s="21" t="s">
        <v>5112</v>
      </c>
      <c r="C1736" s="21" t="s">
        <v>22655</v>
      </c>
      <c r="D1736" s="31" t="s">
        <v>22688</v>
      </c>
      <c r="E1736" s="23" t="s">
        <v>22658</v>
      </c>
      <c r="F1736" s="24" t="s">
        <v>22657</v>
      </c>
      <c r="G1736" s="25">
        <v>1</v>
      </c>
      <c r="H1736" s="26"/>
      <c r="I1736" s="27"/>
    </row>
    <row r="1737" spans="1:9" ht="15.75" thickBot="1" x14ac:dyDescent="0.3">
      <c r="A1737" s="43" t="s">
        <v>22474</v>
      </c>
      <c r="B1737" s="21" t="s">
        <v>22475</v>
      </c>
      <c r="C1737" s="36" t="e">
        <v>#N/A</v>
      </c>
      <c r="D1737" s="37" t="e">
        <v>#N/A</v>
      </c>
      <c r="E1737" s="23" t="e">
        <v>#N/A</v>
      </c>
      <c r="F1737" s="28" t="s">
        <v>22659</v>
      </c>
      <c r="G1737" s="25" t="e">
        <v>#N/A</v>
      </c>
      <c r="H1737" s="29"/>
      <c r="I1737" s="30"/>
    </row>
    <row r="1738" spans="1:9" ht="15.75" thickBot="1" x14ac:dyDescent="0.3">
      <c r="A1738" s="43" t="s">
        <v>5113</v>
      </c>
      <c r="B1738" s="21" t="s">
        <v>5114</v>
      </c>
      <c r="C1738" s="21" t="s">
        <v>22655</v>
      </c>
      <c r="D1738" s="22">
        <v>46046</v>
      </c>
      <c r="E1738" s="23" t="s">
        <v>22656</v>
      </c>
      <c r="F1738" s="28" t="s">
        <v>22659</v>
      </c>
      <c r="G1738" s="25">
        <v>2</v>
      </c>
      <c r="H1738" s="26"/>
      <c r="I1738" s="27"/>
    </row>
    <row r="1739" spans="1:9" ht="15.75" thickBot="1" x14ac:dyDescent="0.3">
      <c r="A1739" s="43" t="s">
        <v>22360</v>
      </c>
      <c r="B1739" s="21" t="s">
        <v>22273</v>
      </c>
      <c r="C1739" s="21" t="s">
        <v>22655</v>
      </c>
      <c r="D1739" s="22">
        <v>46046</v>
      </c>
      <c r="E1739" s="23" t="s">
        <v>22656</v>
      </c>
      <c r="F1739" s="28" t="s">
        <v>22659</v>
      </c>
      <c r="G1739" s="25">
        <v>2</v>
      </c>
      <c r="H1739" s="29"/>
      <c r="I1739" s="30"/>
    </row>
    <row r="1740" spans="1:9" ht="15.75" thickBot="1" x14ac:dyDescent="0.3">
      <c r="A1740" s="43" t="s">
        <v>5115</v>
      </c>
      <c r="B1740" s="21" t="s">
        <v>5116</v>
      </c>
      <c r="C1740" s="21" t="s">
        <v>22655</v>
      </c>
      <c r="D1740" s="22">
        <v>46034</v>
      </c>
      <c r="E1740" s="23" t="s">
        <v>22658</v>
      </c>
      <c r="F1740" s="28" t="s">
        <v>22659</v>
      </c>
      <c r="G1740" s="25">
        <v>1</v>
      </c>
      <c r="H1740" s="26"/>
      <c r="I1740" s="27"/>
    </row>
    <row r="1741" spans="1:9" ht="15.75" thickBot="1" x14ac:dyDescent="0.3">
      <c r="A1741" s="43" t="s">
        <v>5117</v>
      </c>
      <c r="B1741" s="21" t="s">
        <v>5118</v>
      </c>
      <c r="C1741" s="21" t="s">
        <v>22682</v>
      </c>
      <c r="D1741" s="22">
        <v>46034</v>
      </c>
      <c r="E1741" s="23" t="s">
        <v>22658</v>
      </c>
      <c r="F1741" s="24" t="s">
        <v>22657</v>
      </c>
      <c r="G1741" s="25">
        <v>4</v>
      </c>
      <c r="H1741" s="29"/>
      <c r="I1741" s="30"/>
    </row>
    <row r="1742" spans="1:9" ht="15.75" thickBot="1" x14ac:dyDescent="0.3">
      <c r="A1742" s="43" t="s">
        <v>5119</v>
      </c>
      <c r="B1742" s="21" t="s">
        <v>5120</v>
      </c>
      <c r="C1742" s="21" t="s">
        <v>22682</v>
      </c>
      <c r="D1742" s="22">
        <v>46034</v>
      </c>
      <c r="E1742" s="23" t="s">
        <v>22658</v>
      </c>
      <c r="F1742" s="24" t="s">
        <v>22657</v>
      </c>
      <c r="G1742" s="25">
        <v>4</v>
      </c>
      <c r="H1742" s="26"/>
      <c r="I1742" s="27"/>
    </row>
    <row r="1743" spans="1:9" ht="15.75" thickBot="1" x14ac:dyDescent="0.3">
      <c r="A1743" s="43" t="s">
        <v>5121</v>
      </c>
      <c r="B1743" s="21" t="s">
        <v>5122</v>
      </c>
      <c r="C1743" s="21" t="s">
        <v>22682</v>
      </c>
      <c r="D1743" s="22">
        <v>46034</v>
      </c>
      <c r="E1743" s="23" t="s">
        <v>22658</v>
      </c>
      <c r="F1743" s="24" t="s">
        <v>22657</v>
      </c>
      <c r="G1743" s="25">
        <v>4</v>
      </c>
      <c r="H1743" s="29"/>
      <c r="I1743" s="30"/>
    </row>
    <row r="1744" spans="1:9" ht="15.75" thickBot="1" x14ac:dyDescent="0.3">
      <c r="A1744" s="43" t="s">
        <v>5123</v>
      </c>
      <c r="B1744" s="21" t="s">
        <v>5124</v>
      </c>
      <c r="C1744" s="21" t="s">
        <v>22682</v>
      </c>
      <c r="D1744" s="22">
        <v>46034</v>
      </c>
      <c r="E1744" s="23" t="s">
        <v>22658</v>
      </c>
      <c r="F1744" s="24" t="s">
        <v>22657</v>
      </c>
      <c r="G1744" s="25">
        <v>4</v>
      </c>
      <c r="H1744" s="26"/>
      <c r="I1744" s="27"/>
    </row>
    <row r="1745" spans="1:9" ht="15.75" thickBot="1" x14ac:dyDescent="0.3">
      <c r="A1745" s="43" t="s">
        <v>5125</v>
      </c>
      <c r="B1745" s="21" t="s">
        <v>5126</v>
      </c>
      <c r="C1745" s="21" t="s">
        <v>22682</v>
      </c>
      <c r="D1745" s="22">
        <v>46034</v>
      </c>
      <c r="E1745" s="23" t="s">
        <v>22658</v>
      </c>
      <c r="F1745" s="24" t="s">
        <v>22657</v>
      </c>
      <c r="G1745" s="25">
        <v>4</v>
      </c>
      <c r="H1745" s="29"/>
      <c r="I1745" s="30"/>
    </row>
    <row r="1746" spans="1:9" ht="15.75" thickBot="1" x14ac:dyDescent="0.3">
      <c r="A1746" s="43" t="s">
        <v>5127</v>
      </c>
      <c r="B1746" s="21" t="s">
        <v>5128</v>
      </c>
      <c r="C1746" s="21" t="s">
        <v>22682</v>
      </c>
      <c r="D1746" s="22">
        <v>46034</v>
      </c>
      <c r="E1746" s="23" t="s">
        <v>22656</v>
      </c>
      <c r="F1746" s="24" t="s">
        <v>22657</v>
      </c>
      <c r="G1746" s="25">
        <v>4</v>
      </c>
      <c r="H1746" s="26"/>
      <c r="I1746" s="27"/>
    </row>
    <row r="1747" spans="1:9" ht="15.75" thickBot="1" x14ac:dyDescent="0.3">
      <c r="A1747" s="43" t="s">
        <v>5129</v>
      </c>
      <c r="B1747" s="21" t="s">
        <v>5130</v>
      </c>
      <c r="C1747" s="21" t="s">
        <v>22682</v>
      </c>
      <c r="D1747" s="22">
        <v>46034</v>
      </c>
      <c r="E1747" s="23" t="s">
        <v>22658</v>
      </c>
      <c r="F1747" s="24" t="s">
        <v>22657</v>
      </c>
      <c r="G1747" s="25">
        <v>4</v>
      </c>
      <c r="H1747" s="29"/>
      <c r="I1747" s="30"/>
    </row>
    <row r="1748" spans="1:9" ht="15.75" thickBot="1" x14ac:dyDescent="0.3">
      <c r="A1748" s="43" t="s">
        <v>5131</v>
      </c>
      <c r="B1748" s="21" t="s">
        <v>5132</v>
      </c>
      <c r="C1748" s="21" t="s">
        <v>22682</v>
      </c>
      <c r="D1748" s="22">
        <v>46034</v>
      </c>
      <c r="E1748" s="23" t="s">
        <v>22656</v>
      </c>
      <c r="F1748" s="24" t="s">
        <v>22657</v>
      </c>
      <c r="G1748" s="25">
        <v>4</v>
      </c>
      <c r="H1748" s="26"/>
      <c r="I1748" s="27"/>
    </row>
    <row r="1749" spans="1:9" ht="15.75" thickBot="1" x14ac:dyDescent="0.3">
      <c r="A1749" s="43" t="s">
        <v>5133</v>
      </c>
      <c r="B1749" s="21" t="s">
        <v>5134</v>
      </c>
      <c r="C1749" s="21" t="s">
        <v>22682</v>
      </c>
      <c r="D1749" s="22">
        <v>46034</v>
      </c>
      <c r="E1749" s="23" t="s">
        <v>22656</v>
      </c>
      <c r="F1749" s="24" t="s">
        <v>22657</v>
      </c>
      <c r="G1749" s="25">
        <v>4</v>
      </c>
      <c r="H1749" s="29"/>
      <c r="I1749" s="30"/>
    </row>
    <row r="1750" spans="1:9" ht="15.75" thickBot="1" x14ac:dyDescent="0.3">
      <c r="A1750" s="43" t="s">
        <v>5135</v>
      </c>
      <c r="B1750" s="21" t="s">
        <v>5136</v>
      </c>
      <c r="C1750" s="21" t="s">
        <v>22682</v>
      </c>
      <c r="D1750" s="22">
        <v>46034</v>
      </c>
      <c r="E1750" s="23" t="s">
        <v>22658</v>
      </c>
      <c r="F1750" s="24" t="s">
        <v>22657</v>
      </c>
      <c r="G1750" s="25">
        <v>4</v>
      </c>
      <c r="H1750" s="26"/>
      <c r="I1750" s="27"/>
    </row>
    <row r="1751" spans="1:9" ht="15.75" thickBot="1" x14ac:dyDescent="0.3">
      <c r="A1751" s="43" t="s">
        <v>5137</v>
      </c>
      <c r="B1751" s="21" t="s">
        <v>5138</v>
      </c>
      <c r="C1751" s="21" t="s">
        <v>22682</v>
      </c>
      <c r="D1751" s="22">
        <v>46034</v>
      </c>
      <c r="E1751" s="23" t="s">
        <v>22656</v>
      </c>
      <c r="F1751" s="24" t="s">
        <v>22657</v>
      </c>
      <c r="G1751" s="25">
        <v>4</v>
      </c>
      <c r="H1751" s="29"/>
      <c r="I1751" s="30"/>
    </row>
    <row r="1752" spans="1:9" ht="15.75" thickBot="1" x14ac:dyDescent="0.3">
      <c r="A1752" s="43" t="s">
        <v>5139</v>
      </c>
      <c r="B1752" s="21" t="s">
        <v>5140</v>
      </c>
      <c r="C1752" s="21" t="s">
        <v>22682</v>
      </c>
      <c r="D1752" s="22">
        <v>46034</v>
      </c>
      <c r="E1752" s="23" t="s">
        <v>22658</v>
      </c>
      <c r="F1752" s="24" t="s">
        <v>22657</v>
      </c>
      <c r="G1752" s="25">
        <v>4</v>
      </c>
      <c r="H1752" s="26"/>
      <c r="I1752" s="27"/>
    </row>
    <row r="1753" spans="1:9" ht="15.75" thickBot="1" x14ac:dyDescent="0.3">
      <c r="A1753" s="43" t="s">
        <v>5141</v>
      </c>
      <c r="B1753" s="21" t="s">
        <v>5142</v>
      </c>
      <c r="C1753" s="21" t="s">
        <v>22682</v>
      </c>
      <c r="D1753" s="22">
        <v>46034</v>
      </c>
      <c r="E1753" s="23" t="s">
        <v>22658</v>
      </c>
      <c r="F1753" s="24" t="s">
        <v>22657</v>
      </c>
      <c r="G1753" s="25">
        <v>4</v>
      </c>
      <c r="H1753" s="29"/>
      <c r="I1753" s="30"/>
    </row>
    <row r="1754" spans="1:9" ht="15.75" thickBot="1" x14ac:dyDescent="0.3">
      <c r="A1754" s="43" t="s">
        <v>5143</v>
      </c>
      <c r="B1754" s="21" t="s">
        <v>5144</v>
      </c>
      <c r="C1754" s="21" t="s">
        <v>22682</v>
      </c>
      <c r="D1754" s="22">
        <v>46034</v>
      </c>
      <c r="E1754" s="23" t="s">
        <v>22658</v>
      </c>
      <c r="F1754" s="24" t="s">
        <v>22657</v>
      </c>
      <c r="G1754" s="25">
        <v>4</v>
      </c>
      <c r="H1754" s="26"/>
      <c r="I1754" s="27"/>
    </row>
    <row r="1755" spans="1:9" ht="15.75" thickBot="1" x14ac:dyDescent="0.3">
      <c r="A1755" s="43" t="s">
        <v>5145</v>
      </c>
      <c r="B1755" s="21" t="s">
        <v>5146</v>
      </c>
      <c r="C1755" s="21" t="s">
        <v>22682</v>
      </c>
      <c r="D1755" s="22">
        <v>46034</v>
      </c>
      <c r="E1755" s="23" t="s">
        <v>22658</v>
      </c>
      <c r="F1755" s="24" t="s">
        <v>22657</v>
      </c>
      <c r="G1755" s="25">
        <v>4</v>
      </c>
      <c r="H1755" s="29"/>
      <c r="I1755" s="30"/>
    </row>
    <row r="1756" spans="1:9" ht="15.75" thickBot="1" x14ac:dyDescent="0.3">
      <c r="A1756" s="43" t="s">
        <v>5147</v>
      </c>
      <c r="B1756" s="21" t="s">
        <v>5148</v>
      </c>
      <c r="C1756" s="21" t="s">
        <v>22663</v>
      </c>
      <c r="D1756" s="31">
        <v>1</v>
      </c>
      <c r="E1756" s="23" t="s">
        <v>22658</v>
      </c>
      <c r="F1756" s="24" t="s">
        <v>22657</v>
      </c>
      <c r="G1756" s="25">
        <v>2</v>
      </c>
      <c r="H1756" s="26"/>
      <c r="I1756" s="27"/>
    </row>
    <row r="1757" spans="1:9" ht="15.75" thickBot="1" x14ac:dyDescent="0.3">
      <c r="A1757" s="43" t="s">
        <v>5149</v>
      </c>
      <c r="B1757" s="21" t="s">
        <v>5150</v>
      </c>
      <c r="C1757" s="21" t="s">
        <v>22663</v>
      </c>
      <c r="D1757" s="31">
        <v>1</v>
      </c>
      <c r="E1757" s="23" t="s">
        <v>22656</v>
      </c>
      <c r="F1757" s="24" t="s">
        <v>22657</v>
      </c>
      <c r="G1757" s="25">
        <v>4</v>
      </c>
      <c r="H1757" s="29"/>
      <c r="I1757" s="30"/>
    </row>
    <row r="1758" spans="1:9" ht="15.75" thickBot="1" x14ac:dyDescent="0.3">
      <c r="A1758" s="43" t="s">
        <v>5151</v>
      </c>
      <c r="B1758" s="21" t="s">
        <v>5152</v>
      </c>
      <c r="C1758" s="21" t="s">
        <v>22698</v>
      </c>
      <c r="D1758" s="31">
        <v>1</v>
      </c>
      <c r="E1758" s="23" t="s">
        <v>22658</v>
      </c>
      <c r="F1758" s="24" t="s">
        <v>22657</v>
      </c>
      <c r="G1758" s="25">
        <v>2</v>
      </c>
      <c r="H1758" s="26"/>
      <c r="I1758" s="27"/>
    </row>
    <row r="1759" spans="1:9" ht="15.75" thickBot="1" x14ac:dyDescent="0.3">
      <c r="A1759" s="43" t="s">
        <v>5153</v>
      </c>
      <c r="B1759" s="21" t="s">
        <v>5154</v>
      </c>
      <c r="C1759" s="21" t="s">
        <v>22663</v>
      </c>
      <c r="D1759" s="31">
        <v>1</v>
      </c>
      <c r="E1759" s="23" t="s">
        <v>22656</v>
      </c>
      <c r="F1759" s="24" t="s">
        <v>22657</v>
      </c>
      <c r="G1759" s="25">
        <v>3</v>
      </c>
      <c r="H1759" s="29"/>
      <c r="I1759" s="30"/>
    </row>
    <row r="1760" spans="1:9" ht="15.75" thickBot="1" x14ac:dyDescent="0.3">
      <c r="A1760" s="43" t="s">
        <v>5155</v>
      </c>
      <c r="B1760" s="21" t="s">
        <v>5156</v>
      </c>
      <c r="C1760" s="21" t="s">
        <v>22663</v>
      </c>
      <c r="D1760" s="31">
        <v>1</v>
      </c>
      <c r="E1760" s="23" t="s">
        <v>22656</v>
      </c>
      <c r="F1760" s="24" t="s">
        <v>22657</v>
      </c>
      <c r="G1760" s="25">
        <v>4</v>
      </c>
      <c r="H1760" s="26"/>
      <c r="I1760" s="27"/>
    </row>
    <row r="1761" spans="1:9" ht="15.75" thickBot="1" x14ac:dyDescent="0.3">
      <c r="A1761" s="43" t="s">
        <v>5157</v>
      </c>
      <c r="B1761" s="21" t="s">
        <v>5158</v>
      </c>
      <c r="C1761" s="21" t="s">
        <v>22663</v>
      </c>
      <c r="D1761" s="31">
        <v>1</v>
      </c>
      <c r="E1761" s="23" t="s">
        <v>22658</v>
      </c>
      <c r="F1761" s="24" t="s">
        <v>22657</v>
      </c>
      <c r="G1761" s="25">
        <v>4</v>
      </c>
      <c r="H1761" s="29"/>
      <c r="I1761" s="30"/>
    </row>
    <row r="1762" spans="1:9" ht="15.75" thickBot="1" x14ac:dyDescent="0.3">
      <c r="A1762" s="43" t="s">
        <v>5159</v>
      </c>
      <c r="B1762" s="21" t="s">
        <v>5160</v>
      </c>
      <c r="C1762" s="21" t="s">
        <v>22663</v>
      </c>
      <c r="D1762" s="31">
        <v>1</v>
      </c>
      <c r="E1762" s="23" t="s">
        <v>22658</v>
      </c>
      <c r="F1762" s="24" t="s">
        <v>22657</v>
      </c>
      <c r="G1762" s="25">
        <v>2</v>
      </c>
      <c r="H1762" s="26"/>
      <c r="I1762" s="27"/>
    </row>
    <row r="1763" spans="1:9" ht="15.75" thickBot="1" x14ac:dyDescent="0.3">
      <c r="A1763" s="43" t="s">
        <v>5161</v>
      </c>
      <c r="B1763" s="21" t="s">
        <v>5162</v>
      </c>
      <c r="C1763" s="21" t="s">
        <v>22663</v>
      </c>
      <c r="D1763" s="31">
        <v>1</v>
      </c>
      <c r="E1763" s="23" t="s">
        <v>22658</v>
      </c>
      <c r="F1763" s="24" t="s">
        <v>22657</v>
      </c>
      <c r="G1763" s="25">
        <v>3</v>
      </c>
      <c r="H1763" s="29"/>
      <c r="I1763" s="30"/>
    </row>
    <row r="1764" spans="1:9" ht="15.75" thickBot="1" x14ac:dyDescent="0.3">
      <c r="A1764" s="43" t="s">
        <v>5163</v>
      </c>
      <c r="B1764" s="21" t="s">
        <v>5164</v>
      </c>
      <c r="C1764" s="21" t="s">
        <v>22663</v>
      </c>
      <c r="D1764" s="31">
        <v>1</v>
      </c>
      <c r="E1764" s="23" t="s">
        <v>22658</v>
      </c>
      <c r="F1764" s="24" t="s">
        <v>22657</v>
      </c>
      <c r="G1764" s="25">
        <v>4</v>
      </c>
      <c r="H1764" s="26"/>
      <c r="I1764" s="27"/>
    </row>
    <row r="1765" spans="1:9" ht="15.75" thickBot="1" x14ac:dyDescent="0.3">
      <c r="A1765" s="43" t="s">
        <v>5165</v>
      </c>
      <c r="B1765" s="21" t="s">
        <v>5166</v>
      </c>
      <c r="C1765" s="21" t="s">
        <v>22682</v>
      </c>
      <c r="D1765" s="22">
        <v>46034</v>
      </c>
      <c r="E1765" s="23" t="s">
        <v>22658</v>
      </c>
      <c r="F1765" s="24" t="s">
        <v>22657</v>
      </c>
      <c r="G1765" s="25">
        <v>4</v>
      </c>
      <c r="H1765" s="29"/>
      <c r="I1765" s="30"/>
    </row>
    <row r="1766" spans="1:9" ht="15.75" thickBot="1" x14ac:dyDescent="0.3">
      <c r="A1766" s="43" t="s">
        <v>5167</v>
      </c>
      <c r="B1766" s="21" t="s">
        <v>5168</v>
      </c>
      <c r="C1766" s="21" t="s">
        <v>22682</v>
      </c>
      <c r="D1766" s="22">
        <v>46034</v>
      </c>
      <c r="E1766" s="23" t="s">
        <v>22656</v>
      </c>
      <c r="F1766" s="24" t="s">
        <v>22657</v>
      </c>
      <c r="G1766" s="25">
        <v>4</v>
      </c>
      <c r="H1766" s="26"/>
      <c r="I1766" s="27"/>
    </row>
    <row r="1767" spans="1:9" ht="15.75" thickBot="1" x14ac:dyDescent="0.3">
      <c r="A1767" s="43" t="s">
        <v>5169</v>
      </c>
      <c r="B1767" s="21" t="s">
        <v>5170</v>
      </c>
      <c r="C1767" s="21" t="s">
        <v>22682</v>
      </c>
      <c r="D1767" s="22">
        <v>46034</v>
      </c>
      <c r="E1767" s="23" t="s">
        <v>22656</v>
      </c>
      <c r="F1767" s="24" t="s">
        <v>22657</v>
      </c>
      <c r="G1767" s="25">
        <v>4</v>
      </c>
      <c r="H1767" s="29"/>
      <c r="I1767" s="30"/>
    </row>
    <row r="1768" spans="1:9" ht="15.75" thickBot="1" x14ac:dyDescent="0.3">
      <c r="A1768" s="43" t="s">
        <v>5173</v>
      </c>
      <c r="B1768" s="21" t="s">
        <v>5174</v>
      </c>
      <c r="C1768" s="21" t="s">
        <v>22690</v>
      </c>
      <c r="D1768" s="39">
        <v>37066</v>
      </c>
      <c r="E1768" s="23" t="s">
        <v>22658</v>
      </c>
      <c r="F1768" s="24" t="s">
        <v>22657</v>
      </c>
      <c r="G1768" s="25">
        <v>2</v>
      </c>
      <c r="H1768" s="26"/>
      <c r="I1768" s="27"/>
    </row>
    <row r="1769" spans="1:9" ht="15.75" thickBot="1" x14ac:dyDescent="0.3">
      <c r="A1769" s="43" t="s">
        <v>5175</v>
      </c>
      <c r="B1769" s="21" t="s">
        <v>5176</v>
      </c>
      <c r="C1769" s="21" t="s">
        <v>22690</v>
      </c>
      <c r="D1769" s="31" t="s">
        <v>22772</v>
      </c>
      <c r="E1769" s="23" t="s">
        <v>22661</v>
      </c>
      <c r="F1769" s="24" t="s">
        <v>22657</v>
      </c>
      <c r="G1769" s="25">
        <v>12</v>
      </c>
      <c r="H1769" s="32">
        <v>12</v>
      </c>
      <c r="I1769" s="33">
        <v>24</v>
      </c>
    </row>
    <row r="1770" spans="1:9" ht="15.75" thickBot="1" x14ac:dyDescent="0.3">
      <c r="A1770" s="43" t="s">
        <v>1291</v>
      </c>
      <c r="B1770" s="21" t="s">
        <v>1292</v>
      </c>
      <c r="C1770" s="21" t="s">
        <v>22655</v>
      </c>
      <c r="D1770" s="22">
        <v>46037</v>
      </c>
      <c r="E1770" s="23" t="s">
        <v>22661</v>
      </c>
      <c r="F1770" s="24" t="s">
        <v>22657</v>
      </c>
      <c r="G1770" s="25">
        <v>5</v>
      </c>
      <c r="H1770" s="26"/>
      <c r="I1770" s="27"/>
    </row>
    <row r="1771" spans="1:9" ht="15.75" thickBot="1" x14ac:dyDescent="0.3">
      <c r="A1771" s="43" t="s">
        <v>5177</v>
      </c>
      <c r="B1771" s="21" t="s">
        <v>5178</v>
      </c>
      <c r="C1771" s="21" t="s">
        <v>22690</v>
      </c>
      <c r="D1771" s="31" t="s">
        <v>22773</v>
      </c>
      <c r="E1771" s="23" t="s">
        <v>22661</v>
      </c>
      <c r="F1771" s="24" t="s">
        <v>22657</v>
      </c>
      <c r="G1771" s="25">
        <v>5</v>
      </c>
      <c r="H1771" s="29"/>
      <c r="I1771" s="30"/>
    </row>
    <row r="1772" spans="1:9" ht="15.75" thickBot="1" x14ac:dyDescent="0.3">
      <c r="A1772" s="43" t="s">
        <v>5171</v>
      </c>
      <c r="B1772" s="21" t="s">
        <v>5172</v>
      </c>
      <c r="C1772" s="21" t="s">
        <v>22655</v>
      </c>
      <c r="D1772" s="22">
        <v>46034</v>
      </c>
      <c r="E1772" s="23" t="s">
        <v>22656</v>
      </c>
      <c r="F1772" s="24" t="s">
        <v>22657</v>
      </c>
      <c r="G1772" s="25">
        <v>4</v>
      </c>
      <c r="H1772" s="26"/>
      <c r="I1772" s="27"/>
    </row>
    <row r="1773" spans="1:9" ht="15.75" thickBot="1" x14ac:dyDescent="0.3">
      <c r="A1773" s="43" t="s">
        <v>5179</v>
      </c>
      <c r="B1773" s="21" t="s">
        <v>5180</v>
      </c>
      <c r="C1773" s="21" t="s">
        <v>22690</v>
      </c>
      <c r="D1773" s="31" t="s">
        <v>22772</v>
      </c>
      <c r="E1773" s="23" t="s">
        <v>22661</v>
      </c>
      <c r="F1773" s="24" t="s">
        <v>22657</v>
      </c>
      <c r="G1773" s="25">
        <v>12</v>
      </c>
      <c r="H1773" s="32">
        <v>12</v>
      </c>
      <c r="I1773" s="33">
        <v>24</v>
      </c>
    </row>
    <row r="1774" spans="1:9" ht="15.75" thickBot="1" x14ac:dyDescent="0.3">
      <c r="A1774" s="43" t="s">
        <v>5181</v>
      </c>
      <c r="B1774" s="21" t="s">
        <v>5182</v>
      </c>
      <c r="C1774" s="21" t="s">
        <v>22690</v>
      </c>
      <c r="D1774" s="31" t="s">
        <v>22773</v>
      </c>
      <c r="E1774" s="23" t="s">
        <v>22656</v>
      </c>
      <c r="F1774" s="24" t="s">
        <v>22657</v>
      </c>
      <c r="G1774" s="25">
        <v>4</v>
      </c>
      <c r="H1774" s="26"/>
      <c r="I1774" s="27"/>
    </row>
    <row r="1775" spans="1:9" ht="15.75" thickBot="1" x14ac:dyDescent="0.3">
      <c r="A1775" s="43" t="s">
        <v>5183</v>
      </c>
      <c r="B1775" s="21" t="s">
        <v>5184</v>
      </c>
      <c r="C1775" s="21" t="s">
        <v>22690</v>
      </c>
      <c r="D1775" s="31" t="s">
        <v>22772</v>
      </c>
      <c r="E1775" s="23" t="s">
        <v>22661</v>
      </c>
      <c r="F1775" s="24" t="s">
        <v>22657</v>
      </c>
      <c r="G1775" s="25">
        <v>7</v>
      </c>
      <c r="H1775" s="29"/>
      <c r="I1775" s="30"/>
    </row>
    <row r="1776" spans="1:9" ht="15.75" thickBot="1" x14ac:dyDescent="0.3">
      <c r="A1776" s="43" t="s">
        <v>5185</v>
      </c>
      <c r="B1776" s="21" t="s">
        <v>5186</v>
      </c>
      <c r="C1776" s="21" t="s">
        <v>22690</v>
      </c>
      <c r="D1776" s="31" t="s">
        <v>22773</v>
      </c>
      <c r="E1776" s="23" t="s">
        <v>22661</v>
      </c>
      <c r="F1776" s="24" t="s">
        <v>22657</v>
      </c>
      <c r="G1776" s="25">
        <v>4</v>
      </c>
      <c r="H1776" s="26"/>
      <c r="I1776" s="27"/>
    </row>
    <row r="1777" spans="1:9" ht="15.75" thickBot="1" x14ac:dyDescent="0.3">
      <c r="A1777" s="43" t="s">
        <v>5187</v>
      </c>
      <c r="B1777" s="21" t="s">
        <v>5188</v>
      </c>
      <c r="C1777" s="21" t="s">
        <v>22655</v>
      </c>
      <c r="D1777" s="22">
        <v>46034</v>
      </c>
      <c r="E1777" s="23" t="s">
        <v>22656</v>
      </c>
      <c r="F1777" s="24" t="s">
        <v>22657</v>
      </c>
      <c r="G1777" s="25">
        <v>4</v>
      </c>
      <c r="H1777" s="29"/>
      <c r="I1777" s="30"/>
    </row>
    <row r="1778" spans="1:9" ht="15.75" thickBot="1" x14ac:dyDescent="0.3">
      <c r="A1778" s="43" t="s">
        <v>5189</v>
      </c>
      <c r="B1778" s="21" t="s">
        <v>5190</v>
      </c>
      <c r="C1778" s="21" t="s">
        <v>22655</v>
      </c>
      <c r="D1778" s="22">
        <v>46042</v>
      </c>
      <c r="E1778" s="23" t="s">
        <v>22658</v>
      </c>
      <c r="F1778" s="24" t="s">
        <v>22657</v>
      </c>
      <c r="G1778" s="25">
        <v>7</v>
      </c>
      <c r="H1778" s="26"/>
      <c r="I1778" s="27"/>
    </row>
    <row r="1779" spans="1:9" ht="15.75" thickBot="1" x14ac:dyDescent="0.3">
      <c r="A1779" s="43" t="s">
        <v>5191</v>
      </c>
      <c r="B1779" s="21" t="s">
        <v>5192</v>
      </c>
      <c r="C1779" s="21" t="s">
        <v>22682</v>
      </c>
      <c r="D1779" s="22">
        <v>46034</v>
      </c>
      <c r="E1779" s="23" t="s">
        <v>22656</v>
      </c>
      <c r="F1779" s="24" t="s">
        <v>22657</v>
      </c>
      <c r="G1779" s="25">
        <v>4</v>
      </c>
      <c r="H1779" s="29"/>
      <c r="I1779" s="30"/>
    </row>
    <row r="1780" spans="1:9" ht="15.75" thickBot="1" x14ac:dyDescent="0.3">
      <c r="A1780" s="43" t="s">
        <v>5193</v>
      </c>
      <c r="B1780" s="21" t="s">
        <v>5194</v>
      </c>
      <c r="C1780" s="21" t="s">
        <v>22682</v>
      </c>
      <c r="D1780" s="22">
        <v>46034</v>
      </c>
      <c r="E1780" s="23" t="s">
        <v>22658</v>
      </c>
      <c r="F1780" s="24" t="s">
        <v>22657</v>
      </c>
      <c r="G1780" s="25">
        <v>4</v>
      </c>
      <c r="H1780" s="26"/>
      <c r="I1780" s="27"/>
    </row>
    <row r="1781" spans="1:9" ht="15.75" thickBot="1" x14ac:dyDescent="0.3">
      <c r="A1781" s="43" t="s">
        <v>5195</v>
      </c>
      <c r="B1781" s="21" t="s">
        <v>5196</v>
      </c>
      <c r="C1781" s="21" t="s">
        <v>22682</v>
      </c>
      <c r="D1781" s="22">
        <v>46034</v>
      </c>
      <c r="E1781" s="23" t="s">
        <v>22656</v>
      </c>
      <c r="F1781" s="24" t="s">
        <v>22657</v>
      </c>
      <c r="G1781" s="25">
        <v>4</v>
      </c>
      <c r="H1781" s="29"/>
      <c r="I1781" s="30"/>
    </row>
    <row r="1782" spans="1:9" ht="15.75" thickBot="1" x14ac:dyDescent="0.3">
      <c r="A1782" s="43" t="s">
        <v>5197</v>
      </c>
      <c r="B1782" s="21" t="s">
        <v>5198</v>
      </c>
      <c r="C1782" s="21" t="s">
        <v>22663</v>
      </c>
      <c r="D1782" s="31">
        <v>1</v>
      </c>
      <c r="E1782" s="23" t="s">
        <v>22658</v>
      </c>
      <c r="F1782" s="24" t="s">
        <v>22657</v>
      </c>
      <c r="G1782" s="25">
        <v>4</v>
      </c>
      <c r="H1782" s="26"/>
      <c r="I1782" s="27"/>
    </row>
    <row r="1783" spans="1:9" ht="15.75" thickBot="1" x14ac:dyDescent="0.3">
      <c r="A1783" s="43" t="s">
        <v>5199</v>
      </c>
      <c r="B1783" s="21" t="s">
        <v>5200</v>
      </c>
      <c r="C1783" s="21" t="s">
        <v>22682</v>
      </c>
      <c r="D1783" s="22">
        <v>46034</v>
      </c>
      <c r="E1783" s="23" t="s">
        <v>22656</v>
      </c>
      <c r="F1783" s="24" t="s">
        <v>22657</v>
      </c>
      <c r="G1783" s="25">
        <v>6</v>
      </c>
      <c r="H1783" s="29"/>
      <c r="I1783" s="30"/>
    </row>
    <row r="1784" spans="1:9" ht="15.75" thickBot="1" x14ac:dyDescent="0.3">
      <c r="A1784" s="43" t="s">
        <v>5201</v>
      </c>
      <c r="B1784" s="21" t="s">
        <v>5202</v>
      </c>
      <c r="C1784" s="21" t="s">
        <v>22682</v>
      </c>
      <c r="D1784" s="22">
        <v>46034</v>
      </c>
      <c r="E1784" s="23" t="s">
        <v>22656</v>
      </c>
      <c r="F1784" s="24" t="s">
        <v>22657</v>
      </c>
      <c r="G1784" s="25">
        <v>4</v>
      </c>
      <c r="H1784" s="26"/>
      <c r="I1784" s="27"/>
    </row>
    <row r="1785" spans="1:9" ht="15.75" thickBot="1" x14ac:dyDescent="0.3">
      <c r="A1785" s="43" t="s">
        <v>5203</v>
      </c>
      <c r="B1785" s="21" t="s">
        <v>5204</v>
      </c>
      <c r="C1785" s="21" t="s">
        <v>22682</v>
      </c>
      <c r="D1785" s="22">
        <v>46034</v>
      </c>
      <c r="E1785" s="23" t="s">
        <v>22656</v>
      </c>
      <c r="F1785" s="24" t="s">
        <v>22657</v>
      </c>
      <c r="G1785" s="25">
        <v>4</v>
      </c>
      <c r="H1785" s="29"/>
      <c r="I1785" s="30"/>
    </row>
    <row r="1786" spans="1:9" ht="15.75" thickBot="1" x14ac:dyDescent="0.3">
      <c r="A1786" s="43" t="s">
        <v>5205</v>
      </c>
      <c r="B1786" s="21" t="s">
        <v>5206</v>
      </c>
      <c r="C1786" s="21" t="s">
        <v>22663</v>
      </c>
      <c r="D1786" s="31">
        <v>1</v>
      </c>
      <c r="E1786" s="23" t="s">
        <v>22658</v>
      </c>
      <c r="F1786" s="24" t="s">
        <v>22657</v>
      </c>
      <c r="G1786" s="25">
        <v>4</v>
      </c>
      <c r="H1786" s="26"/>
      <c r="I1786" s="27"/>
    </row>
    <row r="1787" spans="1:9" ht="15.75" thickBot="1" x14ac:dyDescent="0.3">
      <c r="A1787" s="43" t="s">
        <v>5207</v>
      </c>
      <c r="B1787" s="21" t="s">
        <v>5208</v>
      </c>
      <c r="C1787" s="21" t="s">
        <v>22682</v>
      </c>
      <c r="D1787" s="22">
        <v>46034</v>
      </c>
      <c r="E1787" s="23" t="s">
        <v>22658</v>
      </c>
      <c r="F1787" s="24" t="s">
        <v>22657</v>
      </c>
      <c r="G1787" s="25">
        <v>4</v>
      </c>
      <c r="H1787" s="29"/>
      <c r="I1787" s="30"/>
    </row>
    <row r="1788" spans="1:9" ht="15.75" thickBot="1" x14ac:dyDescent="0.3">
      <c r="A1788" s="43" t="s">
        <v>5209</v>
      </c>
      <c r="B1788" s="21" t="s">
        <v>5210</v>
      </c>
      <c r="C1788" s="21" t="s">
        <v>22682</v>
      </c>
      <c r="D1788" s="22">
        <v>46034</v>
      </c>
      <c r="E1788" s="23" t="s">
        <v>22656</v>
      </c>
      <c r="F1788" s="24" t="s">
        <v>22657</v>
      </c>
      <c r="G1788" s="25">
        <v>4</v>
      </c>
      <c r="H1788" s="26"/>
      <c r="I1788" s="27"/>
    </row>
    <row r="1789" spans="1:9" ht="15.75" thickBot="1" x14ac:dyDescent="0.3">
      <c r="A1789" s="43" t="s">
        <v>5211</v>
      </c>
      <c r="B1789" s="21" t="s">
        <v>5212</v>
      </c>
      <c r="C1789" s="21" t="s">
        <v>22663</v>
      </c>
      <c r="D1789" s="31">
        <v>1</v>
      </c>
      <c r="E1789" s="23" t="s">
        <v>22658</v>
      </c>
      <c r="F1789" s="24" t="s">
        <v>22657</v>
      </c>
      <c r="G1789" s="25">
        <v>4</v>
      </c>
      <c r="H1789" s="29"/>
      <c r="I1789" s="30"/>
    </row>
    <row r="1790" spans="1:9" ht="15.75" thickBot="1" x14ac:dyDescent="0.3">
      <c r="A1790" s="43" t="s">
        <v>5213</v>
      </c>
      <c r="B1790" s="21" t="s">
        <v>5214</v>
      </c>
      <c r="C1790" s="21" t="s">
        <v>22682</v>
      </c>
      <c r="D1790" s="22">
        <v>46034</v>
      </c>
      <c r="E1790" s="23" t="s">
        <v>22658</v>
      </c>
      <c r="F1790" s="24" t="s">
        <v>22657</v>
      </c>
      <c r="G1790" s="25">
        <v>7</v>
      </c>
      <c r="H1790" s="26"/>
      <c r="I1790" s="27"/>
    </row>
    <row r="1791" spans="1:9" ht="15.75" thickBot="1" x14ac:dyDescent="0.3">
      <c r="A1791" s="43" t="s">
        <v>5215</v>
      </c>
      <c r="B1791" s="21" t="s">
        <v>5216</v>
      </c>
      <c r="C1791" s="21" t="s">
        <v>22682</v>
      </c>
      <c r="D1791" s="22">
        <v>46034</v>
      </c>
      <c r="E1791" s="23" t="s">
        <v>22658</v>
      </c>
      <c r="F1791" s="24" t="s">
        <v>22657</v>
      </c>
      <c r="G1791" s="25">
        <v>4</v>
      </c>
      <c r="H1791" s="29"/>
      <c r="I1791" s="30"/>
    </row>
    <row r="1792" spans="1:9" ht="15.75" thickBot="1" x14ac:dyDescent="0.3">
      <c r="A1792" s="43" t="s">
        <v>5217</v>
      </c>
      <c r="B1792" s="21" t="s">
        <v>5218</v>
      </c>
      <c r="C1792" s="21" t="s">
        <v>22663</v>
      </c>
      <c r="D1792" s="31">
        <v>1</v>
      </c>
      <c r="E1792" s="23" t="s">
        <v>22658</v>
      </c>
      <c r="F1792" s="24" t="s">
        <v>22657</v>
      </c>
      <c r="G1792" s="25">
        <v>4</v>
      </c>
      <c r="H1792" s="26"/>
      <c r="I1792" s="27"/>
    </row>
    <row r="1793" spans="1:9" ht="15.75" thickBot="1" x14ac:dyDescent="0.3">
      <c r="A1793" s="43" t="s">
        <v>5219</v>
      </c>
      <c r="B1793" s="21" t="s">
        <v>5220</v>
      </c>
      <c r="C1793" s="21" t="s">
        <v>22682</v>
      </c>
      <c r="D1793" s="22">
        <v>46034</v>
      </c>
      <c r="E1793" s="23" t="s">
        <v>22656</v>
      </c>
      <c r="F1793" s="24" t="s">
        <v>22657</v>
      </c>
      <c r="G1793" s="25">
        <v>9</v>
      </c>
      <c r="H1793" s="29"/>
      <c r="I1793" s="30"/>
    </row>
    <row r="1794" spans="1:9" ht="15.75" thickBot="1" x14ac:dyDescent="0.3">
      <c r="A1794" s="43" t="s">
        <v>5221</v>
      </c>
      <c r="B1794" s="21" t="s">
        <v>5222</v>
      </c>
      <c r="C1794" s="21" t="s">
        <v>22682</v>
      </c>
      <c r="D1794" s="22">
        <v>46034</v>
      </c>
      <c r="E1794" s="23" t="s">
        <v>22658</v>
      </c>
      <c r="F1794" s="24" t="s">
        <v>22657</v>
      </c>
      <c r="G1794" s="25">
        <v>4</v>
      </c>
      <c r="H1794" s="26"/>
      <c r="I1794" s="27"/>
    </row>
    <row r="1795" spans="1:9" ht="15.75" thickBot="1" x14ac:dyDescent="0.3">
      <c r="A1795" s="43" t="s">
        <v>5223</v>
      </c>
      <c r="B1795" s="21" t="s">
        <v>5224</v>
      </c>
      <c r="C1795" s="21" t="s">
        <v>22663</v>
      </c>
      <c r="D1795" s="31">
        <v>1</v>
      </c>
      <c r="E1795" s="23" t="s">
        <v>22658</v>
      </c>
      <c r="F1795" s="24" t="s">
        <v>22657</v>
      </c>
      <c r="G1795" s="25">
        <v>4</v>
      </c>
      <c r="H1795" s="29"/>
      <c r="I1795" s="30"/>
    </row>
    <row r="1796" spans="1:9" ht="15.75" thickBot="1" x14ac:dyDescent="0.3">
      <c r="A1796" s="43" t="s">
        <v>5225</v>
      </c>
      <c r="B1796" s="21" t="s">
        <v>5226</v>
      </c>
      <c r="C1796" s="21" t="s">
        <v>22682</v>
      </c>
      <c r="D1796" s="22">
        <v>46034</v>
      </c>
      <c r="E1796" s="23" t="s">
        <v>22656</v>
      </c>
      <c r="F1796" s="24" t="s">
        <v>22657</v>
      </c>
      <c r="G1796" s="25">
        <v>7</v>
      </c>
      <c r="H1796" s="26"/>
      <c r="I1796" s="27"/>
    </row>
    <row r="1797" spans="1:9" ht="15.75" thickBot="1" x14ac:dyDescent="0.3">
      <c r="A1797" s="43" t="s">
        <v>5227</v>
      </c>
      <c r="B1797" s="21" t="s">
        <v>5228</v>
      </c>
      <c r="C1797" s="21" t="s">
        <v>22682</v>
      </c>
      <c r="D1797" s="22">
        <v>46034</v>
      </c>
      <c r="E1797" s="23" t="s">
        <v>22658</v>
      </c>
      <c r="F1797" s="24" t="s">
        <v>22657</v>
      </c>
      <c r="G1797" s="25">
        <v>4</v>
      </c>
      <c r="H1797" s="29"/>
      <c r="I1797" s="30"/>
    </row>
    <row r="1798" spans="1:9" ht="15.75" thickBot="1" x14ac:dyDescent="0.3">
      <c r="A1798" s="43" t="s">
        <v>5229</v>
      </c>
      <c r="B1798" s="21" t="s">
        <v>5230</v>
      </c>
      <c r="C1798" s="21" t="s">
        <v>22663</v>
      </c>
      <c r="D1798" s="31">
        <v>1</v>
      </c>
      <c r="E1798" s="23" t="s">
        <v>22658</v>
      </c>
      <c r="F1798" s="24" t="s">
        <v>22657</v>
      </c>
      <c r="G1798" s="25">
        <v>4</v>
      </c>
      <c r="H1798" s="26"/>
      <c r="I1798" s="27"/>
    </row>
    <row r="1799" spans="1:9" ht="15.75" thickBot="1" x14ac:dyDescent="0.3">
      <c r="A1799" s="43" t="s">
        <v>5231</v>
      </c>
      <c r="B1799" s="21" t="s">
        <v>5232</v>
      </c>
      <c r="C1799" s="21" t="s">
        <v>22682</v>
      </c>
      <c r="D1799" s="22">
        <v>46034</v>
      </c>
      <c r="E1799" s="23" t="s">
        <v>22656</v>
      </c>
      <c r="F1799" s="24" t="s">
        <v>22657</v>
      </c>
      <c r="G1799" s="25">
        <v>5</v>
      </c>
      <c r="H1799" s="29"/>
      <c r="I1799" s="30"/>
    </row>
    <row r="1800" spans="1:9" ht="15.75" thickBot="1" x14ac:dyDescent="0.3">
      <c r="A1800" s="43" t="s">
        <v>5233</v>
      </c>
      <c r="B1800" s="21" t="s">
        <v>5234</v>
      </c>
      <c r="C1800" s="21" t="s">
        <v>22682</v>
      </c>
      <c r="D1800" s="22">
        <v>46034</v>
      </c>
      <c r="E1800" s="23" t="s">
        <v>22658</v>
      </c>
      <c r="F1800" s="24" t="s">
        <v>22657</v>
      </c>
      <c r="G1800" s="25">
        <v>4</v>
      </c>
      <c r="H1800" s="26"/>
      <c r="I1800" s="27"/>
    </row>
    <row r="1801" spans="1:9" ht="15.75" thickBot="1" x14ac:dyDescent="0.3">
      <c r="A1801" s="43" t="s">
        <v>5235</v>
      </c>
      <c r="B1801" s="21" t="s">
        <v>5236</v>
      </c>
      <c r="C1801" s="21" t="s">
        <v>22682</v>
      </c>
      <c r="D1801" s="22">
        <v>46034</v>
      </c>
      <c r="E1801" s="23" t="s">
        <v>22656</v>
      </c>
      <c r="F1801" s="24" t="s">
        <v>22657</v>
      </c>
      <c r="G1801" s="25">
        <v>4</v>
      </c>
      <c r="H1801" s="29"/>
      <c r="I1801" s="30"/>
    </row>
    <row r="1802" spans="1:9" ht="15.75" thickBot="1" x14ac:dyDescent="0.3">
      <c r="A1802" s="43" t="s">
        <v>5237</v>
      </c>
      <c r="B1802" s="21" t="s">
        <v>5238</v>
      </c>
      <c r="C1802" s="21" t="s">
        <v>22682</v>
      </c>
      <c r="D1802" s="22">
        <v>46034</v>
      </c>
      <c r="E1802" s="23" t="s">
        <v>22656</v>
      </c>
      <c r="F1802" s="24" t="s">
        <v>22657</v>
      </c>
      <c r="G1802" s="25">
        <v>4</v>
      </c>
      <c r="H1802" s="26"/>
      <c r="I1802" s="27"/>
    </row>
    <row r="1803" spans="1:9" ht="15.75" thickBot="1" x14ac:dyDescent="0.3">
      <c r="A1803" s="43" t="s">
        <v>5239</v>
      </c>
      <c r="B1803" s="21" t="s">
        <v>5240</v>
      </c>
      <c r="C1803" s="21" t="s">
        <v>22682</v>
      </c>
      <c r="D1803" s="22">
        <v>46034</v>
      </c>
      <c r="E1803" s="23" t="s">
        <v>22656</v>
      </c>
      <c r="F1803" s="24" t="s">
        <v>22657</v>
      </c>
      <c r="G1803" s="25">
        <v>4</v>
      </c>
      <c r="H1803" s="29"/>
      <c r="I1803" s="30"/>
    </row>
    <row r="1804" spans="1:9" ht="15.75" thickBot="1" x14ac:dyDescent="0.3">
      <c r="A1804" s="43" t="s">
        <v>5241</v>
      </c>
      <c r="B1804" s="21" t="s">
        <v>5242</v>
      </c>
      <c r="C1804" s="21" t="s">
        <v>22682</v>
      </c>
      <c r="D1804" s="22">
        <v>46034</v>
      </c>
      <c r="E1804" s="23" t="s">
        <v>22658</v>
      </c>
      <c r="F1804" s="24" t="s">
        <v>22657</v>
      </c>
      <c r="G1804" s="25">
        <v>4</v>
      </c>
      <c r="H1804" s="26"/>
      <c r="I1804" s="27"/>
    </row>
    <row r="1805" spans="1:9" ht="15.75" thickBot="1" x14ac:dyDescent="0.3">
      <c r="A1805" s="43" t="s">
        <v>5243</v>
      </c>
      <c r="B1805" s="21" t="s">
        <v>5244</v>
      </c>
      <c r="C1805" s="21" t="s">
        <v>22663</v>
      </c>
      <c r="D1805" s="31">
        <v>1</v>
      </c>
      <c r="E1805" s="23" t="s">
        <v>22658</v>
      </c>
      <c r="F1805" s="24" t="s">
        <v>22657</v>
      </c>
      <c r="G1805" s="25">
        <v>4</v>
      </c>
      <c r="H1805" s="29"/>
      <c r="I1805" s="30"/>
    </row>
    <row r="1806" spans="1:9" ht="15.75" thickBot="1" x14ac:dyDescent="0.3">
      <c r="A1806" s="43" t="s">
        <v>5245</v>
      </c>
      <c r="B1806" s="21" t="s">
        <v>5246</v>
      </c>
      <c r="C1806" s="21" t="s">
        <v>22682</v>
      </c>
      <c r="D1806" s="22">
        <v>46034</v>
      </c>
      <c r="E1806" s="23" t="s">
        <v>22658</v>
      </c>
      <c r="F1806" s="24" t="s">
        <v>22657</v>
      </c>
      <c r="G1806" s="25">
        <v>4</v>
      </c>
      <c r="H1806" s="26"/>
      <c r="I1806" s="27"/>
    </row>
    <row r="1807" spans="1:9" ht="15.75" thickBot="1" x14ac:dyDescent="0.3">
      <c r="A1807" s="43" t="s">
        <v>5247</v>
      </c>
      <c r="B1807" s="21" t="s">
        <v>5248</v>
      </c>
      <c r="C1807" s="21" t="s">
        <v>22682</v>
      </c>
      <c r="D1807" s="22">
        <v>46034</v>
      </c>
      <c r="E1807" s="23" t="s">
        <v>22656</v>
      </c>
      <c r="F1807" s="24" t="s">
        <v>22657</v>
      </c>
      <c r="G1807" s="25">
        <v>4</v>
      </c>
      <c r="H1807" s="29"/>
      <c r="I1807" s="30"/>
    </row>
    <row r="1808" spans="1:9" ht="15.75" thickBot="1" x14ac:dyDescent="0.3">
      <c r="A1808" s="43" t="s">
        <v>5249</v>
      </c>
      <c r="B1808" s="21" t="s">
        <v>5250</v>
      </c>
      <c r="C1808" s="21" t="s">
        <v>22682</v>
      </c>
      <c r="D1808" s="22">
        <v>46034</v>
      </c>
      <c r="E1808" s="23" t="s">
        <v>22658</v>
      </c>
      <c r="F1808" s="24" t="s">
        <v>22657</v>
      </c>
      <c r="G1808" s="25">
        <v>4</v>
      </c>
      <c r="H1808" s="26"/>
      <c r="I1808" s="27"/>
    </row>
    <row r="1809" spans="1:9" ht="15.75" thickBot="1" x14ac:dyDescent="0.3">
      <c r="A1809" s="43" t="s">
        <v>5251</v>
      </c>
      <c r="B1809" s="21" t="s">
        <v>5252</v>
      </c>
      <c r="C1809" s="21" t="s">
        <v>22682</v>
      </c>
      <c r="D1809" s="22">
        <v>46034</v>
      </c>
      <c r="E1809" s="23" t="s">
        <v>22658</v>
      </c>
      <c r="F1809" s="24" t="s">
        <v>22657</v>
      </c>
      <c r="G1809" s="25">
        <v>4</v>
      </c>
      <c r="H1809" s="29"/>
      <c r="I1809" s="30"/>
    </row>
    <row r="1810" spans="1:9" ht="15.75" thickBot="1" x14ac:dyDescent="0.3">
      <c r="A1810" s="43" t="s">
        <v>5253</v>
      </c>
      <c r="B1810" s="21" t="s">
        <v>5254</v>
      </c>
      <c r="C1810" s="21" t="s">
        <v>22682</v>
      </c>
      <c r="D1810" s="22">
        <v>46034</v>
      </c>
      <c r="E1810" s="23" t="s">
        <v>22656</v>
      </c>
      <c r="F1810" s="24" t="s">
        <v>22657</v>
      </c>
      <c r="G1810" s="25">
        <v>4</v>
      </c>
      <c r="H1810" s="26"/>
      <c r="I1810" s="27"/>
    </row>
    <row r="1811" spans="1:9" ht="15.75" thickBot="1" x14ac:dyDescent="0.3">
      <c r="A1811" s="43" t="s">
        <v>5255</v>
      </c>
      <c r="B1811" s="21" t="s">
        <v>5256</v>
      </c>
      <c r="C1811" s="21" t="s">
        <v>22682</v>
      </c>
      <c r="D1811" s="22">
        <v>46034</v>
      </c>
      <c r="E1811" s="23" t="s">
        <v>22656</v>
      </c>
      <c r="F1811" s="24" t="s">
        <v>22657</v>
      </c>
      <c r="G1811" s="25">
        <v>4</v>
      </c>
      <c r="H1811" s="29"/>
      <c r="I1811" s="30"/>
    </row>
    <row r="1812" spans="1:9" ht="15.75" thickBot="1" x14ac:dyDescent="0.3">
      <c r="A1812" s="43" t="s">
        <v>5257</v>
      </c>
      <c r="B1812" s="21" t="s">
        <v>5258</v>
      </c>
      <c r="C1812" s="21" t="s">
        <v>22682</v>
      </c>
      <c r="D1812" s="22">
        <v>46034</v>
      </c>
      <c r="E1812" s="23" t="s">
        <v>22656</v>
      </c>
      <c r="F1812" s="24" t="s">
        <v>22657</v>
      </c>
      <c r="G1812" s="25">
        <v>4</v>
      </c>
      <c r="H1812" s="26"/>
      <c r="I1812" s="27"/>
    </row>
    <row r="1813" spans="1:9" ht="15.75" thickBot="1" x14ac:dyDescent="0.3">
      <c r="A1813" s="43" t="s">
        <v>5259</v>
      </c>
      <c r="B1813" s="21" t="s">
        <v>5260</v>
      </c>
      <c r="C1813" s="21" t="s">
        <v>22682</v>
      </c>
      <c r="D1813" s="22">
        <v>46034</v>
      </c>
      <c r="E1813" s="23" t="s">
        <v>22658</v>
      </c>
      <c r="F1813" s="24" t="s">
        <v>22657</v>
      </c>
      <c r="G1813" s="25">
        <v>4</v>
      </c>
      <c r="H1813" s="29"/>
      <c r="I1813" s="30"/>
    </row>
    <row r="1814" spans="1:9" ht="15.75" thickBot="1" x14ac:dyDescent="0.3">
      <c r="A1814" s="43" t="s">
        <v>5261</v>
      </c>
      <c r="B1814" s="21" t="s">
        <v>5262</v>
      </c>
      <c r="C1814" s="21" t="s">
        <v>22682</v>
      </c>
      <c r="D1814" s="22">
        <v>46034</v>
      </c>
      <c r="E1814" s="23" t="s">
        <v>22656</v>
      </c>
      <c r="F1814" s="24" t="s">
        <v>22657</v>
      </c>
      <c r="G1814" s="25">
        <v>4</v>
      </c>
      <c r="H1814" s="26"/>
      <c r="I1814" s="27"/>
    </row>
    <row r="1815" spans="1:9" ht="15.75" thickBot="1" x14ac:dyDescent="0.3">
      <c r="A1815" s="43" t="s">
        <v>5263</v>
      </c>
      <c r="B1815" s="21" t="s">
        <v>5264</v>
      </c>
      <c r="C1815" s="21" t="s">
        <v>22682</v>
      </c>
      <c r="D1815" s="22">
        <v>46034</v>
      </c>
      <c r="E1815" s="23" t="s">
        <v>22656</v>
      </c>
      <c r="F1815" s="24" t="s">
        <v>22657</v>
      </c>
      <c r="G1815" s="25">
        <v>4</v>
      </c>
      <c r="H1815" s="29"/>
      <c r="I1815" s="30"/>
    </row>
    <row r="1816" spans="1:9" ht="15.75" thickBot="1" x14ac:dyDescent="0.3">
      <c r="A1816" s="43" t="s">
        <v>5265</v>
      </c>
      <c r="B1816" s="21" t="s">
        <v>5266</v>
      </c>
      <c r="C1816" s="21" t="s">
        <v>22682</v>
      </c>
      <c r="D1816" s="22">
        <v>46034</v>
      </c>
      <c r="E1816" s="23" t="s">
        <v>22656</v>
      </c>
      <c r="F1816" s="24" t="s">
        <v>22657</v>
      </c>
      <c r="G1816" s="25">
        <v>4</v>
      </c>
      <c r="H1816" s="26"/>
      <c r="I1816" s="27"/>
    </row>
    <row r="1817" spans="1:9" ht="15.75" thickBot="1" x14ac:dyDescent="0.3">
      <c r="A1817" s="43" t="s">
        <v>5267</v>
      </c>
      <c r="B1817" s="21" t="s">
        <v>5268</v>
      </c>
      <c r="C1817" s="21" t="s">
        <v>22682</v>
      </c>
      <c r="D1817" s="22">
        <v>46034</v>
      </c>
      <c r="E1817" s="23" t="s">
        <v>22658</v>
      </c>
      <c r="F1817" s="24" t="s">
        <v>22657</v>
      </c>
      <c r="G1817" s="25">
        <v>4</v>
      </c>
      <c r="H1817" s="29"/>
      <c r="I1817" s="30"/>
    </row>
    <row r="1818" spans="1:9" ht="15.75" thickBot="1" x14ac:dyDescent="0.3">
      <c r="A1818" s="43" t="s">
        <v>5269</v>
      </c>
      <c r="B1818" s="21" t="s">
        <v>5270</v>
      </c>
      <c r="C1818" s="21" t="s">
        <v>22663</v>
      </c>
      <c r="D1818" s="31">
        <v>1</v>
      </c>
      <c r="E1818" s="23" t="s">
        <v>22658</v>
      </c>
      <c r="F1818" s="24" t="s">
        <v>22657</v>
      </c>
      <c r="G1818" s="25">
        <v>4</v>
      </c>
      <c r="H1818" s="26"/>
      <c r="I1818" s="27"/>
    </row>
    <row r="1819" spans="1:9" ht="15.75" thickBot="1" x14ac:dyDescent="0.3">
      <c r="A1819" s="43" t="s">
        <v>5271</v>
      </c>
      <c r="B1819" s="21" t="s">
        <v>5272</v>
      </c>
      <c r="C1819" s="21" t="s">
        <v>22682</v>
      </c>
      <c r="D1819" s="22">
        <v>46034</v>
      </c>
      <c r="E1819" s="23" t="s">
        <v>22656</v>
      </c>
      <c r="F1819" s="24" t="s">
        <v>22657</v>
      </c>
      <c r="G1819" s="25">
        <v>8</v>
      </c>
      <c r="H1819" s="29"/>
      <c r="I1819" s="30"/>
    </row>
    <row r="1820" spans="1:9" ht="15.75" thickBot="1" x14ac:dyDescent="0.3">
      <c r="A1820" s="43" t="s">
        <v>5273</v>
      </c>
      <c r="B1820" s="21" t="s">
        <v>5274</v>
      </c>
      <c r="C1820" s="21" t="s">
        <v>22682</v>
      </c>
      <c r="D1820" s="22">
        <v>46034</v>
      </c>
      <c r="E1820" s="23" t="s">
        <v>22658</v>
      </c>
      <c r="F1820" s="24" t="s">
        <v>22657</v>
      </c>
      <c r="G1820" s="25">
        <v>4</v>
      </c>
      <c r="H1820" s="26"/>
      <c r="I1820" s="27"/>
    </row>
    <row r="1821" spans="1:9" ht="15.75" thickBot="1" x14ac:dyDescent="0.3">
      <c r="A1821" s="43" t="s">
        <v>5275</v>
      </c>
      <c r="B1821" s="21" t="s">
        <v>5276</v>
      </c>
      <c r="C1821" s="21" t="s">
        <v>22663</v>
      </c>
      <c r="D1821" s="31">
        <v>1</v>
      </c>
      <c r="E1821" s="23" t="s">
        <v>22658</v>
      </c>
      <c r="F1821" s="24" t="s">
        <v>22657</v>
      </c>
      <c r="G1821" s="25">
        <v>4</v>
      </c>
      <c r="H1821" s="29"/>
      <c r="I1821" s="30"/>
    </row>
    <row r="1822" spans="1:9" ht="15.75" thickBot="1" x14ac:dyDescent="0.3">
      <c r="A1822" s="43" t="s">
        <v>5277</v>
      </c>
      <c r="B1822" s="21" t="s">
        <v>5278</v>
      </c>
      <c r="C1822" s="21" t="s">
        <v>22682</v>
      </c>
      <c r="D1822" s="22">
        <v>46034</v>
      </c>
      <c r="E1822" s="23" t="s">
        <v>22656</v>
      </c>
      <c r="F1822" s="24" t="s">
        <v>22657</v>
      </c>
      <c r="G1822" s="25">
        <v>4</v>
      </c>
      <c r="H1822" s="26"/>
      <c r="I1822" s="27"/>
    </row>
    <row r="1823" spans="1:9" ht="15.75" thickBot="1" x14ac:dyDescent="0.3">
      <c r="A1823" s="43" t="s">
        <v>5279</v>
      </c>
      <c r="B1823" s="21" t="s">
        <v>5280</v>
      </c>
      <c r="C1823" s="21" t="s">
        <v>22682</v>
      </c>
      <c r="D1823" s="22">
        <v>46034</v>
      </c>
      <c r="E1823" s="23" t="s">
        <v>22656</v>
      </c>
      <c r="F1823" s="24" t="s">
        <v>22657</v>
      </c>
      <c r="G1823" s="25">
        <v>4</v>
      </c>
      <c r="H1823" s="29"/>
      <c r="I1823" s="30"/>
    </row>
    <row r="1824" spans="1:9" ht="15.75" thickBot="1" x14ac:dyDescent="0.3">
      <c r="A1824" s="43" t="s">
        <v>5281</v>
      </c>
      <c r="B1824" s="21" t="s">
        <v>5282</v>
      </c>
      <c r="C1824" s="21" t="s">
        <v>22663</v>
      </c>
      <c r="D1824" s="31">
        <v>1</v>
      </c>
      <c r="E1824" s="23" t="s">
        <v>22658</v>
      </c>
      <c r="F1824" s="24" t="s">
        <v>22657</v>
      </c>
      <c r="G1824" s="25">
        <v>4</v>
      </c>
      <c r="H1824" s="26"/>
      <c r="I1824" s="27"/>
    </row>
    <row r="1825" spans="1:9" ht="15.75" thickBot="1" x14ac:dyDescent="0.3">
      <c r="A1825" s="43" t="s">
        <v>5283</v>
      </c>
      <c r="B1825" s="21" t="s">
        <v>5284</v>
      </c>
      <c r="C1825" s="21" t="s">
        <v>22682</v>
      </c>
      <c r="D1825" s="22">
        <v>46034</v>
      </c>
      <c r="E1825" s="23" t="s">
        <v>22656</v>
      </c>
      <c r="F1825" s="24" t="s">
        <v>22657</v>
      </c>
      <c r="G1825" s="25">
        <v>4</v>
      </c>
      <c r="H1825" s="29"/>
      <c r="I1825" s="30"/>
    </row>
    <row r="1826" spans="1:9" ht="15.75" thickBot="1" x14ac:dyDescent="0.3">
      <c r="A1826" s="43" t="s">
        <v>5285</v>
      </c>
      <c r="B1826" s="21" t="s">
        <v>5286</v>
      </c>
      <c r="C1826" s="21" t="s">
        <v>22682</v>
      </c>
      <c r="D1826" s="22">
        <v>46034</v>
      </c>
      <c r="E1826" s="23" t="s">
        <v>22658</v>
      </c>
      <c r="F1826" s="24" t="s">
        <v>22657</v>
      </c>
      <c r="G1826" s="25">
        <v>4</v>
      </c>
      <c r="H1826" s="26"/>
      <c r="I1826" s="27"/>
    </row>
    <row r="1827" spans="1:9" ht="15.75" thickBot="1" x14ac:dyDescent="0.3">
      <c r="A1827" s="43" t="s">
        <v>5287</v>
      </c>
      <c r="B1827" s="21" t="s">
        <v>5288</v>
      </c>
      <c r="C1827" s="21" t="s">
        <v>22663</v>
      </c>
      <c r="D1827" s="31">
        <v>1</v>
      </c>
      <c r="E1827" s="23" t="s">
        <v>22658</v>
      </c>
      <c r="F1827" s="24" t="s">
        <v>22657</v>
      </c>
      <c r="G1827" s="25">
        <v>4</v>
      </c>
      <c r="H1827" s="29"/>
      <c r="I1827" s="30"/>
    </row>
    <row r="1828" spans="1:9" ht="15.75" thickBot="1" x14ac:dyDescent="0.3">
      <c r="A1828" s="43" t="s">
        <v>5289</v>
      </c>
      <c r="B1828" s="21" t="s">
        <v>5290</v>
      </c>
      <c r="C1828" s="21" t="s">
        <v>22682</v>
      </c>
      <c r="D1828" s="22">
        <v>46034</v>
      </c>
      <c r="E1828" s="23" t="s">
        <v>22658</v>
      </c>
      <c r="F1828" s="24" t="s">
        <v>22657</v>
      </c>
      <c r="G1828" s="25">
        <v>4</v>
      </c>
      <c r="H1828" s="26"/>
      <c r="I1828" s="27"/>
    </row>
    <row r="1829" spans="1:9" ht="15.75" thickBot="1" x14ac:dyDescent="0.3">
      <c r="A1829" s="43" t="s">
        <v>5291</v>
      </c>
      <c r="B1829" s="21" t="s">
        <v>5292</v>
      </c>
      <c r="C1829" s="21" t="s">
        <v>22682</v>
      </c>
      <c r="D1829" s="22">
        <v>46034</v>
      </c>
      <c r="E1829" s="23" t="s">
        <v>22656</v>
      </c>
      <c r="F1829" s="24" t="s">
        <v>22657</v>
      </c>
      <c r="G1829" s="25">
        <v>4</v>
      </c>
      <c r="H1829" s="29"/>
      <c r="I1829" s="30"/>
    </row>
    <row r="1830" spans="1:9" ht="15.75" thickBot="1" x14ac:dyDescent="0.3">
      <c r="A1830" s="43" t="s">
        <v>5293</v>
      </c>
      <c r="B1830" s="21" t="s">
        <v>5294</v>
      </c>
      <c r="C1830" s="21" t="s">
        <v>22682</v>
      </c>
      <c r="D1830" s="22">
        <v>46034</v>
      </c>
      <c r="E1830" s="23" t="s">
        <v>22658</v>
      </c>
      <c r="F1830" s="24" t="s">
        <v>22657</v>
      </c>
      <c r="G1830" s="25">
        <v>4</v>
      </c>
      <c r="H1830" s="26"/>
      <c r="I1830" s="27"/>
    </row>
    <row r="1831" spans="1:9" ht="15.75" thickBot="1" x14ac:dyDescent="0.3">
      <c r="A1831" s="43" t="s">
        <v>5295</v>
      </c>
      <c r="B1831" s="21" t="s">
        <v>5296</v>
      </c>
      <c r="C1831" s="21" t="s">
        <v>22663</v>
      </c>
      <c r="D1831" s="31">
        <v>1</v>
      </c>
      <c r="E1831" s="23" t="s">
        <v>22658</v>
      </c>
      <c r="F1831" s="24" t="s">
        <v>22657</v>
      </c>
      <c r="G1831" s="25">
        <v>4</v>
      </c>
      <c r="H1831" s="29"/>
      <c r="I1831" s="30"/>
    </row>
    <row r="1832" spans="1:9" ht="15.75" thickBot="1" x14ac:dyDescent="0.3">
      <c r="A1832" s="43" t="s">
        <v>5297</v>
      </c>
      <c r="B1832" s="21" t="s">
        <v>5298</v>
      </c>
      <c r="C1832" s="21" t="s">
        <v>22682</v>
      </c>
      <c r="D1832" s="22">
        <v>46034</v>
      </c>
      <c r="E1832" s="23" t="s">
        <v>22658</v>
      </c>
      <c r="F1832" s="24" t="s">
        <v>22657</v>
      </c>
      <c r="G1832" s="25">
        <v>4</v>
      </c>
      <c r="H1832" s="26"/>
      <c r="I1832" s="27"/>
    </row>
    <row r="1833" spans="1:9" ht="15.75" thickBot="1" x14ac:dyDescent="0.3">
      <c r="A1833" s="43" t="s">
        <v>5299</v>
      </c>
      <c r="B1833" s="21" t="s">
        <v>5300</v>
      </c>
      <c r="C1833" s="21" t="s">
        <v>22682</v>
      </c>
      <c r="D1833" s="22">
        <v>46034</v>
      </c>
      <c r="E1833" s="23" t="s">
        <v>22658</v>
      </c>
      <c r="F1833" s="24" t="s">
        <v>22657</v>
      </c>
      <c r="G1833" s="25">
        <v>4</v>
      </c>
      <c r="H1833" s="29"/>
      <c r="I1833" s="30"/>
    </row>
    <row r="1834" spans="1:9" ht="15.75" thickBot="1" x14ac:dyDescent="0.3">
      <c r="A1834" s="43" t="s">
        <v>5301</v>
      </c>
      <c r="B1834" s="21" t="s">
        <v>5302</v>
      </c>
      <c r="C1834" s="21" t="s">
        <v>22663</v>
      </c>
      <c r="D1834" s="31">
        <v>1</v>
      </c>
      <c r="E1834" s="23" t="s">
        <v>22658</v>
      </c>
      <c r="F1834" s="24" t="s">
        <v>22657</v>
      </c>
      <c r="G1834" s="25">
        <v>4</v>
      </c>
      <c r="H1834" s="26"/>
      <c r="I1834" s="27"/>
    </row>
    <row r="1835" spans="1:9" ht="15.75" thickBot="1" x14ac:dyDescent="0.3">
      <c r="A1835" s="43" t="s">
        <v>5303</v>
      </c>
      <c r="B1835" s="21" t="s">
        <v>5304</v>
      </c>
      <c r="C1835" s="21" t="s">
        <v>22682</v>
      </c>
      <c r="D1835" s="22">
        <v>46034</v>
      </c>
      <c r="E1835" s="23" t="s">
        <v>22658</v>
      </c>
      <c r="F1835" s="24" t="s">
        <v>22657</v>
      </c>
      <c r="G1835" s="25">
        <v>4</v>
      </c>
      <c r="H1835" s="29"/>
      <c r="I1835" s="30"/>
    </row>
    <row r="1836" spans="1:9" ht="15.75" thickBot="1" x14ac:dyDescent="0.3">
      <c r="A1836" s="43" t="s">
        <v>5305</v>
      </c>
      <c r="B1836" s="21" t="s">
        <v>5306</v>
      </c>
      <c r="C1836" s="21" t="s">
        <v>22682</v>
      </c>
      <c r="D1836" s="22">
        <v>46034</v>
      </c>
      <c r="E1836" s="23" t="s">
        <v>22658</v>
      </c>
      <c r="F1836" s="24" t="s">
        <v>22657</v>
      </c>
      <c r="G1836" s="25">
        <v>4</v>
      </c>
      <c r="H1836" s="26"/>
      <c r="I1836" s="27"/>
    </row>
    <row r="1837" spans="1:9" ht="15.75" thickBot="1" x14ac:dyDescent="0.3">
      <c r="A1837" s="43" t="s">
        <v>5307</v>
      </c>
      <c r="B1837" s="21" t="s">
        <v>5308</v>
      </c>
      <c r="C1837" s="21" t="s">
        <v>22682</v>
      </c>
      <c r="D1837" s="22">
        <v>46034</v>
      </c>
      <c r="E1837" s="23" t="s">
        <v>22658</v>
      </c>
      <c r="F1837" s="24" t="s">
        <v>22657</v>
      </c>
      <c r="G1837" s="25">
        <v>4</v>
      </c>
      <c r="H1837" s="29"/>
      <c r="I1837" s="30"/>
    </row>
    <row r="1838" spans="1:9" ht="15.75" thickBot="1" x14ac:dyDescent="0.3">
      <c r="A1838" s="43" t="s">
        <v>5309</v>
      </c>
      <c r="B1838" s="21" t="s">
        <v>5310</v>
      </c>
      <c r="C1838" s="21" t="s">
        <v>22682</v>
      </c>
      <c r="D1838" s="22">
        <v>46034</v>
      </c>
      <c r="E1838" s="23" t="s">
        <v>22658</v>
      </c>
      <c r="F1838" s="24" t="s">
        <v>22657</v>
      </c>
      <c r="G1838" s="25">
        <v>4</v>
      </c>
      <c r="H1838" s="26"/>
      <c r="I1838" s="27"/>
    </row>
    <row r="1839" spans="1:9" ht="15.75" thickBot="1" x14ac:dyDescent="0.3">
      <c r="A1839" s="43" t="s">
        <v>5311</v>
      </c>
      <c r="B1839" s="21" t="s">
        <v>5312</v>
      </c>
      <c r="C1839" s="21" t="s">
        <v>22682</v>
      </c>
      <c r="D1839" s="22">
        <v>46034</v>
      </c>
      <c r="E1839" s="23" t="s">
        <v>22656</v>
      </c>
      <c r="F1839" s="24" t="s">
        <v>22657</v>
      </c>
      <c r="G1839" s="25">
        <v>4</v>
      </c>
      <c r="H1839" s="29"/>
      <c r="I1839" s="30"/>
    </row>
    <row r="1840" spans="1:9" ht="15.75" thickBot="1" x14ac:dyDescent="0.3">
      <c r="A1840" s="43" t="s">
        <v>5313</v>
      </c>
      <c r="B1840" s="21" t="s">
        <v>5314</v>
      </c>
      <c r="C1840" s="21" t="s">
        <v>22682</v>
      </c>
      <c r="D1840" s="22">
        <v>46034</v>
      </c>
      <c r="E1840" s="23" t="s">
        <v>22656</v>
      </c>
      <c r="F1840" s="24" t="s">
        <v>22657</v>
      </c>
      <c r="G1840" s="25">
        <v>4</v>
      </c>
      <c r="H1840" s="26"/>
      <c r="I1840" s="27"/>
    </row>
    <row r="1841" spans="1:9" ht="15.75" thickBot="1" x14ac:dyDescent="0.3">
      <c r="A1841" s="43" t="s">
        <v>5315</v>
      </c>
      <c r="B1841" s="21" t="s">
        <v>5316</v>
      </c>
      <c r="C1841" s="21" t="s">
        <v>22682</v>
      </c>
      <c r="D1841" s="22">
        <v>46034</v>
      </c>
      <c r="E1841" s="23" t="s">
        <v>22656</v>
      </c>
      <c r="F1841" s="24" t="s">
        <v>22657</v>
      </c>
      <c r="G1841" s="25">
        <v>4</v>
      </c>
      <c r="H1841" s="29"/>
      <c r="I1841" s="30"/>
    </row>
    <row r="1842" spans="1:9" ht="15.75" thickBot="1" x14ac:dyDescent="0.3">
      <c r="A1842" s="43" t="s">
        <v>5317</v>
      </c>
      <c r="B1842" s="21" t="s">
        <v>5318</v>
      </c>
      <c r="C1842" s="21" t="s">
        <v>22682</v>
      </c>
      <c r="D1842" s="22">
        <v>46034</v>
      </c>
      <c r="E1842" s="23" t="s">
        <v>22656</v>
      </c>
      <c r="F1842" s="24" t="s">
        <v>22657</v>
      </c>
      <c r="G1842" s="25">
        <v>4</v>
      </c>
      <c r="H1842" s="26"/>
      <c r="I1842" s="27"/>
    </row>
    <row r="1843" spans="1:9" ht="15.75" thickBot="1" x14ac:dyDescent="0.3">
      <c r="A1843" s="43" t="s">
        <v>5319</v>
      </c>
      <c r="B1843" s="21" t="s">
        <v>5320</v>
      </c>
      <c r="C1843" s="21" t="s">
        <v>22682</v>
      </c>
      <c r="D1843" s="22">
        <v>46034</v>
      </c>
      <c r="E1843" s="23" t="s">
        <v>22658</v>
      </c>
      <c r="F1843" s="24" t="s">
        <v>22657</v>
      </c>
      <c r="G1843" s="25">
        <v>4</v>
      </c>
      <c r="H1843" s="29"/>
      <c r="I1843" s="30"/>
    </row>
    <row r="1844" spans="1:9" ht="15.75" thickBot="1" x14ac:dyDescent="0.3">
      <c r="A1844" s="43" t="s">
        <v>5321</v>
      </c>
      <c r="B1844" s="21" t="s">
        <v>5322</v>
      </c>
      <c r="C1844" s="21" t="s">
        <v>22682</v>
      </c>
      <c r="D1844" s="22">
        <v>46034</v>
      </c>
      <c r="E1844" s="23" t="s">
        <v>22658</v>
      </c>
      <c r="F1844" s="24" t="s">
        <v>22657</v>
      </c>
      <c r="G1844" s="25">
        <v>4</v>
      </c>
      <c r="H1844" s="26"/>
      <c r="I1844" s="27"/>
    </row>
    <row r="1845" spans="1:9" ht="15.75" thickBot="1" x14ac:dyDescent="0.3">
      <c r="A1845" s="43" t="s">
        <v>5323</v>
      </c>
      <c r="B1845" s="21" t="s">
        <v>5324</v>
      </c>
      <c r="C1845" s="21" t="s">
        <v>22682</v>
      </c>
      <c r="D1845" s="22">
        <v>46034</v>
      </c>
      <c r="E1845" s="23" t="s">
        <v>22658</v>
      </c>
      <c r="F1845" s="24" t="s">
        <v>22657</v>
      </c>
      <c r="G1845" s="25">
        <v>4</v>
      </c>
      <c r="H1845" s="29"/>
      <c r="I1845" s="30"/>
    </row>
    <row r="1846" spans="1:9" ht="15.75" thickBot="1" x14ac:dyDescent="0.3">
      <c r="A1846" s="43" t="s">
        <v>5325</v>
      </c>
      <c r="B1846" s="21" t="s">
        <v>5326</v>
      </c>
      <c r="C1846" s="21" t="s">
        <v>22682</v>
      </c>
      <c r="D1846" s="22">
        <v>46034</v>
      </c>
      <c r="E1846" s="23" t="s">
        <v>22658</v>
      </c>
      <c r="F1846" s="24" t="s">
        <v>22657</v>
      </c>
      <c r="G1846" s="25">
        <v>4</v>
      </c>
      <c r="H1846" s="26"/>
      <c r="I1846" s="27"/>
    </row>
    <row r="1847" spans="1:9" ht="15.75" thickBot="1" x14ac:dyDescent="0.3">
      <c r="A1847" s="43" t="s">
        <v>5327</v>
      </c>
      <c r="B1847" s="21" t="s">
        <v>5328</v>
      </c>
      <c r="C1847" s="21" t="s">
        <v>22682</v>
      </c>
      <c r="D1847" s="22">
        <v>46034</v>
      </c>
      <c r="E1847" s="23" t="s">
        <v>22658</v>
      </c>
      <c r="F1847" s="24" t="s">
        <v>22657</v>
      </c>
      <c r="G1847" s="25">
        <v>4</v>
      </c>
      <c r="H1847" s="29"/>
      <c r="I1847" s="30"/>
    </row>
    <row r="1848" spans="1:9" ht="15.75" thickBot="1" x14ac:dyDescent="0.3">
      <c r="A1848" s="43" t="s">
        <v>5329</v>
      </c>
      <c r="B1848" s="21" t="s">
        <v>5330</v>
      </c>
      <c r="C1848" s="21" t="s">
        <v>22682</v>
      </c>
      <c r="D1848" s="22">
        <v>46034</v>
      </c>
      <c r="E1848" s="23" t="s">
        <v>22658</v>
      </c>
      <c r="F1848" s="24" t="s">
        <v>22657</v>
      </c>
      <c r="G1848" s="25">
        <v>4</v>
      </c>
      <c r="H1848" s="26"/>
      <c r="I1848" s="27"/>
    </row>
    <row r="1849" spans="1:9" ht="15.75" thickBot="1" x14ac:dyDescent="0.3">
      <c r="A1849" s="43" t="s">
        <v>5331</v>
      </c>
      <c r="B1849" s="21" t="s">
        <v>5332</v>
      </c>
      <c r="C1849" s="21" t="s">
        <v>22682</v>
      </c>
      <c r="D1849" s="22">
        <v>46034</v>
      </c>
      <c r="E1849" s="23" t="s">
        <v>22656</v>
      </c>
      <c r="F1849" s="24" t="s">
        <v>22657</v>
      </c>
      <c r="G1849" s="25">
        <v>4</v>
      </c>
      <c r="H1849" s="29"/>
      <c r="I1849" s="30"/>
    </row>
    <row r="1850" spans="1:9" ht="15.75" thickBot="1" x14ac:dyDescent="0.3">
      <c r="A1850" s="43" t="s">
        <v>5333</v>
      </c>
      <c r="B1850" s="21" t="s">
        <v>5334</v>
      </c>
      <c r="C1850" s="21" t="s">
        <v>22682</v>
      </c>
      <c r="D1850" s="22">
        <v>46034</v>
      </c>
      <c r="E1850" s="23" t="s">
        <v>22658</v>
      </c>
      <c r="F1850" s="24" t="s">
        <v>22657</v>
      </c>
      <c r="G1850" s="25">
        <v>4</v>
      </c>
      <c r="H1850" s="26"/>
      <c r="I1850" s="27"/>
    </row>
    <row r="1851" spans="1:9" ht="15.75" thickBot="1" x14ac:dyDescent="0.3">
      <c r="A1851" s="43" t="s">
        <v>5335</v>
      </c>
      <c r="B1851" s="21" t="s">
        <v>5336</v>
      </c>
      <c r="C1851" s="21" t="s">
        <v>22682</v>
      </c>
      <c r="D1851" s="22">
        <v>46034</v>
      </c>
      <c r="E1851" s="23" t="s">
        <v>22658</v>
      </c>
      <c r="F1851" s="24" t="s">
        <v>22657</v>
      </c>
      <c r="G1851" s="25">
        <v>4</v>
      </c>
      <c r="H1851" s="29"/>
      <c r="I1851" s="30"/>
    </row>
    <row r="1852" spans="1:9" ht="15.75" thickBot="1" x14ac:dyDescent="0.3">
      <c r="A1852" s="43" t="s">
        <v>5337</v>
      </c>
      <c r="B1852" s="21" t="s">
        <v>5338</v>
      </c>
      <c r="C1852" s="21" t="s">
        <v>22682</v>
      </c>
      <c r="D1852" s="22">
        <v>46034</v>
      </c>
      <c r="E1852" s="23" t="s">
        <v>22658</v>
      </c>
      <c r="F1852" s="24" t="s">
        <v>22657</v>
      </c>
      <c r="G1852" s="25">
        <v>4</v>
      </c>
      <c r="H1852" s="26"/>
      <c r="I1852" s="27"/>
    </row>
    <row r="1853" spans="1:9" ht="15.75" thickBot="1" x14ac:dyDescent="0.3">
      <c r="A1853" s="43" t="s">
        <v>5339</v>
      </c>
      <c r="B1853" s="21" t="s">
        <v>5340</v>
      </c>
      <c r="C1853" s="21" t="s">
        <v>22682</v>
      </c>
      <c r="D1853" s="22">
        <v>46034</v>
      </c>
      <c r="E1853" s="23" t="s">
        <v>22658</v>
      </c>
      <c r="F1853" s="24" t="s">
        <v>22657</v>
      </c>
      <c r="G1853" s="25">
        <v>4</v>
      </c>
      <c r="H1853" s="29"/>
      <c r="I1853" s="30"/>
    </row>
    <row r="1854" spans="1:9" ht="15.75" thickBot="1" x14ac:dyDescent="0.3">
      <c r="A1854" s="43" t="s">
        <v>5341</v>
      </c>
      <c r="B1854" s="21" t="s">
        <v>5342</v>
      </c>
      <c r="C1854" s="21" t="s">
        <v>22682</v>
      </c>
      <c r="D1854" s="22">
        <v>46034</v>
      </c>
      <c r="E1854" s="23" t="s">
        <v>22658</v>
      </c>
      <c r="F1854" s="24" t="s">
        <v>22657</v>
      </c>
      <c r="G1854" s="25">
        <v>4</v>
      </c>
      <c r="H1854" s="26"/>
      <c r="I1854" s="27"/>
    </row>
    <row r="1855" spans="1:9" ht="15.75" thickBot="1" x14ac:dyDescent="0.3">
      <c r="A1855" s="43" t="s">
        <v>5343</v>
      </c>
      <c r="B1855" s="21" t="s">
        <v>5344</v>
      </c>
      <c r="C1855" s="21" t="s">
        <v>22682</v>
      </c>
      <c r="D1855" s="22">
        <v>46034</v>
      </c>
      <c r="E1855" s="23" t="s">
        <v>22658</v>
      </c>
      <c r="F1855" s="24" t="s">
        <v>22657</v>
      </c>
      <c r="G1855" s="25">
        <v>4</v>
      </c>
      <c r="H1855" s="29"/>
      <c r="I1855" s="30"/>
    </row>
    <row r="1856" spans="1:9" ht="15.75" thickBot="1" x14ac:dyDescent="0.3">
      <c r="A1856" s="43" t="s">
        <v>5345</v>
      </c>
      <c r="B1856" s="21" t="s">
        <v>5346</v>
      </c>
      <c r="C1856" s="21" t="s">
        <v>22682</v>
      </c>
      <c r="D1856" s="22">
        <v>46034</v>
      </c>
      <c r="E1856" s="23" t="s">
        <v>22658</v>
      </c>
      <c r="F1856" s="24" t="s">
        <v>22657</v>
      </c>
      <c r="G1856" s="25">
        <v>4</v>
      </c>
      <c r="H1856" s="26"/>
      <c r="I1856" s="27"/>
    </row>
    <row r="1857" spans="1:9" ht="15.75" thickBot="1" x14ac:dyDescent="0.3">
      <c r="A1857" s="43" t="s">
        <v>5347</v>
      </c>
      <c r="B1857" s="21" t="s">
        <v>5348</v>
      </c>
      <c r="C1857" s="21" t="s">
        <v>22682</v>
      </c>
      <c r="D1857" s="22">
        <v>46034</v>
      </c>
      <c r="E1857" s="23" t="s">
        <v>22658</v>
      </c>
      <c r="F1857" s="24" t="s">
        <v>22657</v>
      </c>
      <c r="G1857" s="25">
        <v>4</v>
      </c>
      <c r="H1857" s="29"/>
      <c r="I1857" s="30"/>
    </row>
    <row r="1858" spans="1:9" ht="15.75" thickBot="1" x14ac:dyDescent="0.3">
      <c r="A1858" s="43" t="s">
        <v>5349</v>
      </c>
      <c r="B1858" s="21" t="s">
        <v>5350</v>
      </c>
      <c r="C1858" s="21" t="s">
        <v>22682</v>
      </c>
      <c r="D1858" s="22">
        <v>46034</v>
      </c>
      <c r="E1858" s="23" t="s">
        <v>22658</v>
      </c>
      <c r="F1858" s="24" t="s">
        <v>22657</v>
      </c>
      <c r="G1858" s="25">
        <v>4</v>
      </c>
      <c r="H1858" s="26"/>
      <c r="I1858" s="27"/>
    </row>
    <row r="1859" spans="1:9" ht="15.75" thickBot="1" x14ac:dyDescent="0.3">
      <c r="A1859" s="43" t="s">
        <v>5351</v>
      </c>
      <c r="B1859" s="21" t="s">
        <v>5352</v>
      </c>
      <c r="C1859" s="21" t="s">
        <v>22682</v>
      </c>
      <c r="D1859" s="22">
        <v>46034</v>
      </c>
      <c r="E1859" s="23" t="s">
        <v>22658</v>
      </c>
      <c r="F1859" s="24" t="s">
        <v>22657</v>
      </c>
      <c r="G1859" s="25">
        <v>1</v>
      </c>
      <c r="H1859" s="29"/>
      <c r="I1859" s="30"/>
    </row>
    <row r="1860" spans="1:9" ht="15.75" thickBot="1" x14ac:dyDescent="0.3">
      <c r="A1860" s="43" t="s">
        <v>5353</v>
      </c>
      <c r="B1860" s="21" t="s">
        <v>5354</v>
      </c>
      <c r="C1860" s="21" t="s">
        <v>22682</v>
      </c>
      <c r="D1860" s="22">
        <v>46034</v>
      </c>
      <c r="E1860" s="23" t="s">
        <v>22658</v>
      </c>
      <c r="F1860" s="24" t="s">
        <v>22657</v>
      </c>
      <c r="G1860" s="25">
        <v>4</v>
      </c>
      <c r="H1860" s="26"/>
      <c r="I1860" s="27"/>
    </row>
    <row r="1861" spans="1:9" ht="15.75" thickBot="1" x14ac:dyDescent="0.3">
      <c r="A1861" s="43" t="s">
        <v>5355</v>
      </c>
      <c r="B1861" s="21" t="s">
        <v>5356</v>
      </c>
      <c r="C1861" s="21" t="s">
        <v>22682</v>
      </c>
      <c r="D1861" s="22">
        <v>46034</v>
      </c>
      <c r="E1861" s="23" t="s">
        <v>22658</v>
      </c>
      <c r="F1861" s="24" t="s">
        <v>22657</v>
      </c>
      <c r="G1861" s="25">
        <v>4</v>
      </c>
      <c r="H1861" s="29"/>
      <c r="I1861" s="30"/>
    </row>
    <row r="1862" spans="1:9" ht="15.75" thickBot="1" x14ac:dyDescent="0.3">
      <c r="A1862" s="43" t="s">
        <v>5357</v>
      </c>
      <c r="B1862" s="21" t="s">
        <v>5358</v>
      </c>
      <c r="C1862" s="21" t="s">
        <v>22682</v>
      </c>
      <c r="D1862" s="22">
        <v>46034</v>
      </c>
      <c r="E1862" s="23" t="s">
        <v>22658</v>
      </c>
      <c r="F1862" s="24" t="s">
        <v>22657</v>
      </c>
      <c r="G1862" s="25">
        <v>4</v>
      </c>
      <c r="H1862" s="26"/>
      <c r="I1862" s="27"/>
    </row>
    <row r="1863" spans="1:9" ht="15.75" thickBot="1" x14ac:dyDescent="0.3">
      <c r="A1863" s="43" t="s">
        <v>5359</v>
      </c>
      <c r="B1863" s="21" t="s">
        <v>5360</v>
      </c>
      <c r="C1863" s="21" t="s">
        <v>22682</v>
      </c>
      <c r="D1863" s="22">
        <v>46034</v>
      </c>
      <c r="E1863" s="23" t="s">
        <v>22658</v>
      </c>
      <c r="F1863" s="24" t="s">
        <v>22657</v>
      </c>
      <c r="G1863" s="25">
        <v>4</v>
      </c>
      <c r="H1863" s="29"/>
      <c r="I1863" s="30"/>
    </row>
    <row r="1864" spans="1:9" ht="15.75" thickBot="1" x14ac:dyDescent="0.3">
      <c r="A1864" s="43" t="s">
        <v>5361</v>
      </c>
      <c r="B1864" s="21" t="s">
        <v>5362</v>
      </c>
      <c r="C1864" s="21" t="s">
        <v>22682</v>
      </c>
      <c r="D1864" s="22">
        <v>46034</v>
      </c>
      <c r="E1864" s="23" t="s">
        <v>22658</v>
      </c>
      <c r="F1864" s="24" t="s">
        <v>22657</v>
      </c>
      <c r="G1864" s="25">
        <v>4</v>
      </c>
      <c r="H1864" s="26"/>
      <c r="I1864" s="27"/>
    </row>
    <row r="1865" spans="1:9" ht="15.75" thickBot="1" x14ac:dyDescent="0.3">
      <c r="A1865" s="43" t="s">
        <v>5363</v>
      </c>
      <c r="B1865" s="21" t="s">
        <v>5364</v>
      </c>
      <c r="C1865" s="21" t="s">
        <v>22682</v>
      </c>
      <c r="D1865" s="22">
        <v>46034</v>
      </c>
      <c r="E1865" s="23" t="s">
        <v>22658</v>
      </c>
      <c r="F1865" s="24" t="s">
        <v>22657</v>
      </c>
      <c r="G1865" s="25">
        <v>4</v>
      </c>
      <c r="H1865" s="29"/>
      <c r="I1865" s="30"/>
    </row>
    <row r="1866" spans="1:9" ht="15.75" thickBot="1" x14ac:dyDescent="0.3">
      <c r="A1866" s="43" t="s">
        <v>5365</v>
      </c>
      <c r="B1866" s="21" t="s">
        <v>5366</v>
      </c>
      <c r="C1866" s="21" t="s">
        <v>22682</v>
      </c>
      <c r="D1866" s="22">
        <v>46034</v>
      </c>
      <c r="E1866" s="23" t="s">
        <v>22658</v>
      </c>
      <c r="F1866" s="24" t="s">
        <v>22657</v>
      </c>
      <c r="G1866" s="25">
        <v>4</v>
      </c>
      <c r="H1866" s="26"/>
      <c r="I1866" s="27"/>
    </row>
    <row r="1867" spans="1:9" ht="15.75" thickBot="1" x14ac:dyDescent="0.3">
      <c r="A1867" s="43" t="s">
        <v>5367</v>
      </c>
      <c r="B1867" s="21" t="s">
        <v>5368</v>
      </c>
      <c r="C1867" s="21" t="s">
        <v>22682</v>
      </c>
      <c r="D1867" s="22">
        <v>46034</v>
      </c>
      <c r="E1867" s="23" t="s">
        <v>22656</v>
      </c>
      <c r="F1867" s="24" t="s">
        <v>22657</v>
      </c>
      <c r="G1867" s="25">
        <v>4</v>
      </c>
      <c r="H1867" s="29"/>
      <c r="I1867" s="30"/>
    </row>
    <row r="1868" spans="1:9" ht="15.75" thickBot="1" x14ac:dyDescent="0.3">
      <c r="A1868" s="43" t="s">
        <v>5369</v>
      </c>
      <c r="B1868" s="21" t="s">
        <v>5370</v>
      </c>
      <c r="C1868" s="21" t="s">
        <v>22663</v>
      </c>
      <c r="D1868" s="31">
        <v>1</v>
      </c>
      <c r="E1868" s="23" t="s">
        <v>22656</v>
      </c>
      <c r="F1868" s="24" t="s">
        <v>22657</v>
      </c>
      <c r="G1868" s="25">
        <v>4</v>
      </c>
      <c r="H1868" s="26"/>
      <c r="I1868" s="27"/>
    </row>
    <row r="1869" spans="1:9" ht="15.75" thickBot="1" x14ac:dyDescent="0.3">
      <c r="A1869" s="43" t="s">
        <v>5371</v>
      </c>
      <c r="B1869" s="21" t="s">
        <v>5372</v>
      </c>
      <c r="C1869" s="21" t="s">
        <v>22672</v>
      </c>
      <c r="D1869" s="22">
        <v>46042</v>
      </c>
      <c r="E1869" s="23" t="s">
        <v>22658</v>
      </c>
      <c r="F1869" s="24" t="s">
        <v>22657</v>
      </c>
      <c r="G1869" s="25">
        <v>7</v>
      </c>
      <c r="H1869" s="29"/>
      <c r="I1869" s="30"/>
    </row>
    <row r="1870" spans="1:9" ht="15.75" thickBot="1" x14ac:dyDescent="0.3">
      <c r="A1870" s="43" t="s">
        <v>5373</v>
      </c>
      <c r="B1870" s="21" t="s">
        <v>5374</v>
      </c>
      <c r="C1870" s="21" t="s">
        <v>22663</v>
      </c>
      <c r="D1870" s="31">
        <v>1</v>
      </c>
      <c r="E1870" s="23" t="s">
        <v>22656</v>
      </c>
      <c r="F1870" s="24" t="s">
        <v>22657</v>
      </c>
      <c r="G1870" s="25">
        <v>4</v>
      </c>
      <c r="H1870" s="26"/>
      <c r="I1870" s="27"/>
    </row>
    <row r="1871" spans="1:9" ht="15.75" thickBot="1" x14ac:dyDescent="0.3">
      <c r="A1871" s="43" t="s">
        <v>5375</v>
      </c>
      <c r="B1871" s="21" t="s">
        <v>5376</v>
      </c>
      <c r="C1871" s="21" t="s">
        <v>22672</v>
      </c>
      <c r="D1871" s="22">
        <v>46042</v>
      </c>
      <c r="E1871" s="23" t="s">
        <v>22656</v>
      </c>
      <c r="F1871" s="24" t="s">
        <v>22657</v>
      </c>
      <c r="G1871" s="25">
        <v>7</v>
      </c>
      <c r="H1871" s="29"/>
      <c r="I1871" s="30"/>
    </row>
    <row r="1872" spans="1:9" ht="15.75" thickBot="1" x14ac:dyDescent="0.3">
      <c r="A1872" s="43" t="s">
        <v>5377</v>
      </c>
      <c r="B1872" s="21" t="s">
        <v>5378</v>
      </c>
      <c r="C1872" s="21" t="s">
        <v>22663</v>
      </c>
      <c r="D1872" s="31">
        <v>1</v>
      </c>
      <c r="E1872" s="23" t="s">
        <v>22656</v>
      </c>
      <c r="F1872" s="24" t="s">
        <v>22657</v>
      </c>
      <c r="G1872" s="25">
        <v>4</v>
      </c>
      <c r="H1872" s="26"/>
      <c r="I1872" s="27"/>
    </row>
    <row r="1873" spans="1:9" ht="15.75" thickBot="1" x14ac:dyDescent="0.3">
      <c r="A1873" s="43" t="s">
        <v>5379</v>
      </c>
      <c r="B1873" s="21" t="s">
        <v>5380</v>
      </c>
      <c r="C1873" s="21" t="s">
        <v>22672</v>
      </c>
      <c r="D1873" s="22">
        <v>46042</v>
      </c>
      <c r="E1873" s="23" t="s">
        <v>22658</v>
      </c>
      <c r="F1873" s="24" t="s">
        <v>22657</v>
      </c>
      <c r="G1873" s="25">
        <v>7</v>
      </c>
      <c r="H1873" s="29"/>
      <c r="I1873" s="30"/>
    </row>
    <row r="1874" spans="1:9" ht="15.75" thickBot="1" x14ac:dyDescent="0.3">
      <c r="A1874" s="43" t="s">
        <v>5381</v>
      </c>
      <c r="B1874" s="21" t="s">
        <v>5382</v>
      </c>
      <c r="C1874" s="21" t="s">
        <v>22663</v>
      </c>
      <c r="D1874" s="31">
        <v>1</v>
      </c>
      <c r="E1874" s="23" t="s">
        <v>22656</v>
      </c>
      <c r="F1874" s="24" t="s">
        <v>22657</v>
      </c>
      <c r="G1874" s="25">
        <v>4</v>
      </c>
      <c r="H1874" s="26"/>
      <c r="I1874" s="27"/>
    </row>
    <row r="1875" spans="1:9" ht="15.75" thickBot="1" x14ac:dyDescent="0.3">
      <c r="A1875" s="43" t="s">
        <v>5383</v>
      </c>
      <c r="B1875" s="21" t="s">
        <v>5384</v>
      </c>
      <c r="C1875" s="21" t="s">
        <v>22663</v>
      </c>
      <c r="D1875" s="31">
        <v>1</v>
      </c>
      <c r="E1875" s="23" t="s">
        <v>22656</v>
      </c>
      <c r="F1875" s="24" t="s">
        <v>22657</v>
      </c>
      <c r="G1875" s="25">
        <v>4</v>
      </c>
      <c r="H1875" s="29"/>
      <c r="I1875" s="30"/>
    </row>
    <row r="1876" spans="1:9" ht="15.75" thickBot="1" x14ac:dyDescent="0.3">
      <c r="A1876" s="43" t="s">
        <v>5385</v>
      </c>
      <c r="B1876" s="21" t="s">
        <v>5386</v>
      </c>
      <c r="C1876" s="21" t="s">
        <v>22672</v>
      </c>
      <c r="D1876" s="22">
        <v>46042</v>
      </c>
      <c r="E1876" s="23" t="s">
        <v>22658</v>
      </c>
      <c r="F1876" s="24" t="s">
        <v>22657</v>
      </c>
      <c r="G1876" s="25">
        <v>7</v>
      </c>
      <c r="H1876" s="26"/>
      <c r="I1876" s="27"/>
    </row>
    <row r="1877" spans="1:9" ht="15.75" thickBot="1" x14ac:dyDescent="0.3">
      <c r="A1877" s="43" t="s">
        <v>5387</v>
      </c>
      <c r="B1877" s="21" t="s">
        <v>5388</v>
      </c>
      <c r="C1877" s="21" t="s">
        <v>22682</v>
      </c>
      <c r="D1877" s="22">
        <v>46034</v>
      </c>
      <c r="E1877" s="23" t="s">
        <v>22658</v>
      </c>
      <c r="F1877" s="24" t="s">
        <v>22657</v>
      </c>
      <c r="G1877" s="25">
        <v>4</v>
      </c>
      <c r="H1877" s="29"/>
      <c r="I1877" s="30"/>
    </row>
    <row r="1878" spans="1:9" ht="15.75" thickBot="1" x14ac:dyDescent="0.3">
      <c r="A1878" s="43" t="s">
        <v>5389</v>
      </c>
      <c r="B1878" s="21" t="s">
        <v>5390</v>
      </c>
      <c r="C1878" s="21" t="s">
        <v>22684</v>
      </c>
      <c r="D1878" s="22">
        <v>46042</v>
      </c>
      <c r="E1878" s="23" t="s">
        <v>22658</v>
      </c>
      <c r="F1878" s="24" t="s">
        <v>22657</v>
      </c>
      <c r="G1878" s="25">
        <v>2</v>
      </c>
      <c r="H1878" s="26"/>
      <c r="I1878" s="27"/>
    </row>
    <row r="1879" spans="1:9" ht="15.75" thickBot="1" x14ac:dyDescent="0.3">
      <c r="A1879" s="43" t="s">
        <v>5391</v>
      </c>
      <c r="B1879" s="21" t="s">
        <v>5392</v>
      </c>
      <c r="C1879" s="21" t="s">
        <v>22684</v>
      </c>
      <c r="D1879" s="22">
        <v>46042</v>
      </c>
      <c r="E1879" s="23" t="s">
        <v>22658</v>
      </c>
      <c r="F1879" s="24" t="s">
        <v>22657</v>
      </c>
      <c r="G1879" s="25">
        <v>2</v>
      </c>
      <c r="H1879" s="29"/>
      <c r="I1879" s="30"/>
    </row>
    <row r="1880" spans="1:9" ht="15.75" thickBot="1" x14ac:dyDescent="0.3">
      <c r="A1880" s="43" t="s">
        <v>5393</v>
      </c>
      <c r="B1880" s="21" t="s">
        <v>5394</v>
      </c>
      <c r="C1880" s="21" t="s">
        <v>22684</v>
      </c>
      <c r="D1880" s="22">
        <v>46042</v>
      </c>
      <c r="E1880" s="23" t="s">
        <v>22658</v>
      </c>
      <c r="F1880" s="24" t="s">
        <v>22657</v>
      </c>
      <c r="G1880" s="25">
        <v>2</v>
      </c>
      <c r="H1880" s="26"/>
      <c r="I1880" s="27"/>
    </row>
    <row r="1881" spans="1:9" ht="15.75" thickBot="1" x14ac:dyDescent="0.3">
      <c r="A1881" s="43" t="s">
        <v>5395</v>
      </c>
      <c r="B1881" s="21" t="s">
        <v>5396</v>
      </c>
      <c r="C1881" s="21" t="s">
        <v>22684</v>
      </c>
      <c r="D1881" s="22">
        <v>46042</v>
      </c>
      <c r="E1881" s="23" t="s">
        <v>22658</v>
      </c>
      <c r="F1881" s="24" t="s">
        <v>22657</v>
      </c>
      <c r="G1881" s="25">
        <v>2</v>
      </c>
      <c r="H1881" s="29"/>
      <c r="I1881" s="30"/>
    </row>
    <row r="1882" spans="1:9" ht="15.75" thickBot="1" x14ac:dyDescent="0.3">
      <c r="A1882" s="43" t="s">
        <v>5397</v>
      </c>
      <c r="B1882" s="21" t="s">
        <v>5398</v>
      </c>
      <c r="C1882" s="21" t="s">
        <v>22684</v>
      </c>
      <c r="D1882" s="22">
        <v>46042</v>
      </c>
      <c r="E1882" s="23" t="s">
        <v>22658</v>
      </c>
      <c r="F1882" s="24" t="s">
        <v>22657</v>
      </c>
      <c r="G1882" s="25">
        <v>2</v>
      </c>
      <c r="H1882" s="26"/>
      <c r="I1882" s="27"/>
    </row>
    <row r="1883" spans="1:9" ht="15.75" thickBot="1" x14ac:dyDescent="0.3">
      <c r="A1883" s="43" t="s">
        <v>5399</v>
      </c>
      <c r="B1883" s="21" t="s">
        <v>5400</v>
      </c>
      <c r="C1883" s="21" t="s">
        <v>22684</v>
      </c>
      <c r="D1883" s="22">
        <v>46042</v>
      </c>
      <c r="E1883" s="23" t="s">
        <v>22656</v>
      </c>
      <c r="F1883" s="24" t="s">
        <v>22657</v>
      </c>
      <c r="G1883" s="25">
        <v>2</v>
      </c>
      <c r="H1883" s="29"/>
      <c r="I1883" s="30"/>
    </row>
    <row r="1884" spans="1:9" ht="15.75" thickBot="1" x14ac:dyDescent="0.3">
      <c r="A1884" s="43" t="s">
        <v>5401</v>
      </c>
      <c r="B1884" s="21" t="s">
        <v>5402</v>
      </c>
      <c r="C1884" s="21" t="s">
        <v>22684</v>
      </c>
      <c r="D1884" s="22">
        <v>46042</v>
      </c>
      <c r="E1884" s="23" t="s">
        <v>22658</v>
      </c>
      <c r="F1884" s="24" t="s">
        <v>22657</v>
      </c>
      <c r="G1884" s="25">
        <v>2</v>
      </c>
      <c r="H1884" s="26"/>
      <c r="I1884" s="27"/>
    </row>
    <row r="1885" spans="1:9" ht="15.75" thickBot="1" x14ac:dyDescent="0.3">
      <c r="A1885" s="43" t="s">
        <v>5403</v>
      </c>
      <c r="B1885" s="21" t="s">
        <v>5404</v>
      </c>
      <c r="C1885" s="21" t="s">
        <v>22684</v>
      </c>
      <c r="D1885" s="22">
        <v>46042</v>
      </c>
      <c r="E1885" s="23" t="s">
        <v>22658</v>
      </c>
      <c r="F1885" s="24" t="s">
        <v>22657</v>
      </c>
      <c r="G1885" s="25">
        <v>2</v>
      </c>
      <c r="H1885" s="29"/>
      <c r="I1885" s="30"/>
    </row>
    <row r="1886" spans="1:9" ht="15.75" thickBot="1" x14ac:dyDescent="0.3">
      <c r="A1886" s="43" t="s">
        <v>5405</v>
      </c>
      <c r="B1886" s="21" t="s">
        <v>5406</v>
      </c>
      <c r="C1886" s="21" t="s">
        <v>22684</v>
      </c>
      <c r="D1886" s="22">
        <v>46042</v>
      </c>
      <c r="E1886" s="23" t="s">
        <v>22658</v>
      </c>
      <c r="F1886" s="24" t="s">
        <v>22657</v>
      </c>
      <c r="G1886" s="25">
        <v>2</v>
      </c>
      <c r="H1886" s="26"/>
      <c r="I1886" s="27"/>
    </row>
    <row r="1887" spans="1:9" ht="15.75" thickBot="1" x14ac:dyDescent="0.3">
      <c r="A1887" s="43" t="s">
        <v>5407</v>
      </c>
      <c r="B1887" s="21" t="s">
        <v>5408</v>
      </c>
      <c r="C1887" s="21" t="s">
        <v>22684</v>
      </c>
      <c r="D1887" s="22">
        <v>46042</v>
      </c>
      <c r="E1887" s="23" t="s">
        <v>22658</v>
      </c>
      <c r="F1887" s="24" t="s">
        <v>22657</v>
      </c>
      <c r="G1887" s="25">
        <v>2</v>
      </c>
      <c r="H1887" s="29"/>
      <c r="I1887" s="30"/>
    </row>
    <row r="1888" spans="1:9" ht="15.75" thickBot="1" x14ac:dyDescent="0.3">
      <c r="A1888" s="43" t="s">
        <v>5409</v>
      </c>
      <c r="B1888" s="21" t="s">
        <v>5410</v>
      </c>
      <c r="C1888" s="21" t="s">
        <v>22672</v>
      </c>
      <c r="D1888" s="22">
        <v>46034</v>
      </c>
      <c r="E1888" s="23" t="s">
        <v>22656</v>
      </c>
      <c r="F1888" s="24" t="s">
        <v>22657</v>
      </c>
      <c r="G1888" s="25">
        <v>4</v>
      </c>
      <c r="H1888" s="26"/>
      <c r="I1888" s="27"/>
    </row>
    <row r="1889" spans="1:9" ht="15.75" thickBot="1" x14ac:dyDescent="0.3">
      <c r="A1889" s="43" t="s">
        <v>5411</v>
      </c>
      <c r="B1889" s="21" t="s">
        <v>5412</v>
      </c>
      <c r="C1889" s="21" t="s">
        <v>22672</v>
      </c>
      <c r="D1889" s="22">
        <v>46042</v>
      </c>
      <c r="E1889" s="23" t="s">
        <v>22656</v>
      </c>
      <c r="F1889" s="24" t="s">
        <v>22657</v>
      </c>
      <c r="G1889" s="25">
        <v>7</v>
      </c>
      <c r="H1889" s="29"/>
      <c r="I1889" s="30"/>
    </row>
    <row r="1890" spans="1:9" ht="15.75" thickBot="1" x14ac:dyDescent="0.3">
      <c r="A1890" s="43" t="s">
        <v>5413</v>
      </c>
      <c r="B1890" s="21" t="s">
        <v>5414</v>
      </c>
      <c r="C1890" s="21" t="s">
        <v>22663</v>
      </c>
      <c r="D1890" s="31">
        <v>1</v>
      </c>
      <c r="E1890" s="23" t="s">
        <v>22658</v>
      </c>
      <c r="F1890" s="24" t="s">
        <v>22657</v>
      </c>
      <c r="G1890" s="25">
        <v>4</v>
      </c>
      <c r="H1890" s="26"/>
      <c r="I1890" s="27"/>
    </row>
    <row r="1891" spans="1:9" ht="15.75" thickBot="1" x14ac:dyDescent="0.3">
      <c r="A1891" s="43" t="s">
        <v>5415</v>
      </c>
      <c r="B1891" s="21" t="s">
        <v>5416</v>
      </c>
      <c r="C1891" s="21" t="s">
        <v>22672</v>
      </c>
      <c r="D1891" s="22">
        <v>46024</v>
      </c>
      <c r="E1891" s="23" t="s">
        <v>22658</v>
      </c>
      <c r="F1891" s="24" t="s">
        <v>22657</v>
      </c>
      <c r="G1891" s="25">
        <v>1</v>
      </c>
      <c r="H1891" s="29"/>
      <c r="I1891" s="30"/>
    </row>
    <row r="1892" spans="1:9" ht="15.75" thickBot="1" x14ac:dyDescent="0.3">
      <c r="A1892" s="43" t="s">
        <v>5417</v>
      </c>
      <c r="B1892" s="21" t="s">
        <v>5418</v>
      </c>
      <c r="C1892" s="21" t="s">
        <v>22672</v>
      </c>
      <c r="D1892" s="22">
        <v>46042</v>
      </c>
      <c r="E1892" s="23" t="s">
        <v>22656</v>
      </c>
      <c r="F1892" s="24" t="s">
        <v>22657</v>
      </c>
      <c r="G1892" s="25">
        <v>7</v>
      </c>
      <c r="H1892" s="26"/>
      <c r="I1892" s="27"/>
    </row>
    <row r="1893" spans="1:9" ht="15.75" thickBot="1" x14ac:dyDescent="0.3">
      <c r="A1893" s="43" t="s">
        <v>5419</v>
      </c>
      <c r="B1893" s="21" t="s">
        <v>5420</v>
      </c>
      <c r="C1893" s="21" t="s">
        <v>22663</v>
      </c>
      <c r="D1893" s="31">
        <v>1</v>
      </c>
      <c r="E1893" s="23" t="s">
        <v>22658</v>
      </c>
      <c r="F1893" s="24" t="s">
        <v>22657</v>
      </c>
      <c r="G1893" s="25">
        <v>4</v>
      </c>
      <c r="H1893" s="29"/>
      <c r="I1893" s="30"/>
    </row>
    <row r="1894" spans="1:9" ht="15.75" thickBot="1" x14ac:dyDescent="0.3">
      <c r="A1894" s="43" t="s">
        <v>5421</v>
      </c>
      <c r="B1894" s="21" t="s">
        <v>5422</v>
      </c>
      <c r="C1894" s="21" t="s">
        <v>22672</v>
      </c>
      <c r="D1894" s="22">
        <v>46024</v>
      </c>
      <c r="E1894" s="23" t="s">
        <v>22658</v>
      </c>
      <c r="F1894" s="24" t="s">
        <v>22657</v>
      </c>
      <c r="G1894" s="25">
        <v>1</v>
      </c>
      <c r="H1894" s="26"/>
      <c r="I1894" s="27"/>
    </row>
    <row r="1895" spans="1:9" ht="15.75" thickBot="1" x14ac:dyDescent="0.3">
      <c r="A1895" s="43" t="s">
        <v>5423</v>
      </c>
      <c r="B1895" s="21" t="s">
        <v>5424</v>
      </c>
      <c r="C1895" s="21" t="s">
        <v>22672</v>
      </c>
      <c r="D1895" s="22">
        <v>46042</v>
      </c>
      <c r="E1895" s="23" t="s">
        <v>22656</v>
      </c>
      <c r="F1895" s="24" t="s">
        <v>22657</v>
      </c>
      <c r="G1895" s="25">
        <v>7</v>
      </c>
      <c r="H1895" s="29"/>
      <c r="I1895" s="30"/>
    </row>
    <row r="1896" spans="1:9" ht="15.75" thickBot="1" x14ac:dyDescent="0.3">
      <c r="A1896" s="43" t="s">
        <v>5425</v>
      </c>
      <c r="B1896" s="21" t="s">
        <v>5426</v>
      </c>
      <c r="C1896" s="21" t="s">
        <v>22663</v>
      </c>
      <c r="D1896" s="31">
        <v>1</v>
      </c>
      <c r="E1896" s="23" t="s">
        <v>22658</v>
      </c>
      <c r="F1896" s="24" t="s">
        <v>22657</v>
      </c>
      <c r="G1896" s="25">
        <v>4</v>
      </c>
      <c r="H1896" s="26"/>
      <c r="I1896" s="27"/>
    </row>
    <row r="1897" spans="1:9" ht="15.75" thickBot="1" x14ac:dyDescent="0.3">
      <c r="A1897" s="43" t="s">
        <v>5427</v>
      </c>
      <c r="B1897" s="21" t="s">
        <v>5428</v>
      </c>
      <c r="C1897" s="21" t="s">
        <v>22682</v>
      </c>
      <c r="D1897" s="22">
        <v>46034</v>
      </c>
      <c r="E1897" s="23" t="s">
        <v>22658</v>
      </c>
      <c r="F1897" s="24" t="s">
        <v>22657</v>
      </c>
      <c r="G1897" s="25">
        <v>4</v>
      </c>
      <c r="H1897" s="29"/>
      <c r="I1897" s="30"/>
    </row>
    <row r="1898" spans="1:9" ht="15.75" thickBot="1" x14ac:dyDescent="0.3">
      <c r="A1898" s="43" t="s">
        <v>5429</v>
      </c>
      <c r="B1898" s="21" t="s">
        <v>5430</v>
      </c>
      <c r="C1898" s="21" t="s">
        <v>22682</v>
      </c>
      <c r="D1898" s="22">
        <v>46034</v>
      </c>
      <c r="E1898" s="23" t="s">
        <v>22656</v>
      </c>
      <c r="F1898" s="24" t="s">
        <v>22657</v>
      </c>
      <c r="G1898" s="25">
        <v>4</v>
      </c>
      <c r="H1898" s="26"/>
      <c r="I1898" s="27"/>
    </row>
    <row r="1899" spans="1:9" ht="15.75" thickBot="1" x14ac:dyDescent="0.3">
      <c r="A1899" s="43" t="s">
        <v>5431</v>
      </c>
      <c r="B1899" s="21" t="s">
        <v>5432</v>
      </c>
      <c r="C1899" s="21" t="s">
        <v>22682</v>
      </c>
      <c r="D1899" s="22">
        <v>46034</v>
      </c>
      <c r="E1899" s="23" t="s">
        <v>22658</v>
      </c>
      <c r="F1899" s="24" t="s">
        <v>22657</v>
      </c>
      <c r="G1899" s="25">
        <v>4</v>
      </c>
      <c r="H1899" s="29"/>
      <c r="I1899" s="30"/>
    </row>
    <row r="1900" spans="1:9" ht="15.75" thickBot="1" x14ac:dyDescent="0.3">
      <c r="A1900" s="43" t="s">
        <v>5433</v>
      </c>
      <c r="B1900" s="21" t="s">
        <v>5434</v>
      </c>
      <c r="C1900" s="21" t="s">
        <v>22682</v>
      </c>
      <c r="D1900" s="22">
        <v>46034</v>
      </c>
      <c r="E1900" s="23" t="s">
        <v>22658</v>
      </c>
      <c r="F1900" s="24" t="s">
        <v>22657</v>
      </c>
      <c r="G1900" s="25">
        <v>4</v>
      </c>
      <c r="H1900" s="26"/>
      <c r="I1900" s="27"/>
    </row>
    <row r="1901" spans="1:9" ht="15.75" thickBot="1" x14ac:dyDescent="0.3">
      <c r="A1901" s="43" t="s">
        <v>5435</v>
      </c>
      <c r="B1901" s="21" t="s">
        <v>5436</v>
      </c>
      <c r="C1901" s="21" t="s">
        <v>22682</v>
      </c>
      <c r="D1901" s="22">
        <v>46034</v>
      </c>
      <c r="E1901" s="23" t="s">
        <v>22658</v>
      </c>
      <c r="F1901" s="24" t="s">
        <v>22657</v>
      </c>
      <c r="G1901" s="25">
        <v>4</v>
      </c>
      <c r="H1901" s="29"/>
      <c r="I1901" s="30"/>
    </row>
    <row r="1902" spans="1:9" ht="15.75" thickBot="1" x14ac:dyDescent="0.3">
      <c r="A1902" s="43" t="s">
        <v>5437</v>
      </c>
      <c r="B1902" s="21" t="s">
        <v>5438</v>
      </c>
      <c r="C1902" s="21" t="s">
        <v>22682</v>
      </c>
      <c r="D1902" s="22">
        <v>46034</v>
      </c>
      <c r="E1902" s="23" t="s">
        <v>22658</v>
      </c>
      <c r="F1902" s="24" t="s">
        <v>22657</v>
      </c>
      <c r="G1902" s="25">
        <v>4</v>
      </c>
      <c r="H1902" s="26"/>
      <c r="I1902" s="27"/>
    </row>
    <row r="1903" spans="1:9" ht="15.75" thickBot="1" x14ac:dyDescent="0.3">
      <c r="A1903" s="43" t="s">
        <v>5439</v>
      </c>
      <c r="B1903" s="21" t="s">
        <v>5440</v>
      </c>
      <c r="C1903" s="21" t="s">
        <v>22682</v>
      </c>
      <c r="D1903" s="22">
        <v>46034</v>
      </c>
      <c r="E1903" s="23" t="s">
        <v>22658</v>
      </c>
      <c r="F1903" s="24" t="s">
        <v>22657</v>
      </c>
      <c r="G1903" s="25">
        <v>4</v>
      </c>
      <c r="H1903" s="29"/>
      <c r="I1903" s="30"/>
    </row>
    <row r="1904" spans="1:9" ht="15.75" thickBot="1" x14ac:dyDescent="0.3">
      <c r="A1904" s="43" t="s">
        <v>5441</v>
      </c>
      <c r="B1904" s="21" t="s">
        <v>5442</v>
      </c>
      <c r="C1904" s="21" t="s">
        <v>22682</v>
      </c>
      <c r="D1904" s="22">
        <v>46034</v>
      </c>
      <c r="E1904" s="23" t="s">
        <v>22658</v>
      </c>
      <c r="F1904" s="24" t="s">
        <v>22657</v>
      </c>
      <c r="G1904" s="25">
        <v>4</v>
      </c>
      <c r="H1904" s="26"/>
      <c r="I1904" s="27"/>
    </row>
    <row r="1905" spans="1:9" ht="15.75" thickBot="1" x14ac:dyDescent="0.3">
      <c r="A1905" s="43" t="s">
        <v>5443</v>
      </c>
      <c r="B1905" s="21" t="s">
        <v>5444</v>
      </c>
      <c r="C1905" s="21" t="s">
        <v>22682</v>
      </c>
      <c r="D1905" s="22">
        <v>46034</v>
      </c>
      <c r="E1905" s="23" t="s">
        <v>22658</v>
      </c>
      <c r="F1905" s="24" t="s">
        <v>22657</v>
      </c>
      <c r="G1905" s="25">
        <v>4</v>
      </c>
      <c r="H1905" s="29"/>
      <c r="I1905" s="30"/>
    </row>
    <row r="1906" spans="1:9" ht="15.75" thickBot="1" x14ac:dyDescent="0.3">
      <c r="A1906" s="43" t="s">
        <v>5445</v>
      </c>
      <c r="B1906" s="21" t="s">
        <v>5446</v>
      </c>
      <c r="C1906" s="21" t="s">
        <v>22682</v>
      </c>
      <c r="D1906" s="22">
        <v>46034</v>
      </c>
      <c r="E1906" s="23" t="s">
        <v>22658</v>
      </c>
      <c r="F1906" s="24" t="s">
        <v>22657</v>
      </c>
      <c r="G1906" s="25">
        <v>4</v>
      </c>
      <c r="H1906" s="26"/>
      <c r="I1906" s="27"/>
    </row>
    <row r="1907" spans="1:9" ht="15.75" thickBot="1" x14ac:dyDescent="0.3">
      <c r="A1907" s="43" t="s">
        <v>5447</v>
      </c>
      <c r="B1907" s="21" t="s">
        <v>5448</v>
      </c>
      <c r="C1907" s="21" t="s">
        <v>22682</v>
      </c>
      <c r="D1907" s="22">
        <v>46034</v>
      </c>
      <c r="E1907" s="23" t="s">
        <v>22656</v>
      </c>
      <c r="F1907" s="24" t="s">
        <v>22657</v>
      </c>
      <c r="G1907" s="25">
        <v>4</v>
      </c>
      <c r="H1907" s="29"/>
      <c r="I1907" s="30"/>
    </row>
    <row r="1908" spans="1:9" ht="15.75" thickBot="1" x14ac:dyDescent="0.3">
      <c r="A1908" s="43" t="s">
        <v>5449</v>
      </c>
      <c r="B1908" s="21" t="s">
        <v>5450</v>
      </c>
      <c r="C1908" s="21" t="s">
        <v>22682</v>
      </c>
      <c r="D1908" s="22">
        <v>46034</v>
      </c>
      <c r="E1908" s="23" t="s">
        <v>22658</v>
      </c>
      <c r="F1908" s="24" t="s">
        <v>22657</v>
      </c>
      <c r="G1908" s="25">
        <v>4</v>
      </c>
      <c r="H1908" s="26"/>
      <c r="I1908" s="27"/>
    </row>
    <row r="1909" spans="1:9" ht="15.75" thickBot="1" x14ac:dyDescent="0.3">
      <c r="A1909" s="43" t="s">
        <v>5451</v>
      </c>
      <c r="B1909" s="21" t="s">
        <v>5452</v>
      </c>
      <c r="C1909" s="21" t="s">
        <v>22682</v>
      </c>
      <c r="D1909" s="22">
        <v>46034</v>
      </c>
      <c r="E1909" s="23" t="s">
        <v>22658</v>
      </c>
      <c r="F1909" s="24" t="s">
        <v>22657</v>
      </c>
      <c r="G1909" s="25">
        <v>4</v>
      </c>
      <c r="H1909" s="29"/>
      <c r="I1909" s="30"/>
    </row>
    <row r="1910" spans="1:9" ht="15.75" thickBot="1" x14ac:dyDescent="0.3">
      <c r="A1910" s="43" t="s">
        <v>5453</v>
      </c>
      <c r="B1910" s="21" t="s">
        <v>5454</v>
      </c>
      <c r="C1910" s="21" t="s">
        <v>22682</v>
      </c>
      <c r="D1910" s="22">
        <v>46034</v>
      </c>
      <c r="E1910" s="23" t="s">
        <v>22658</v>
      </c>
      <c r="F1910" s="24" t="s">
        <v>22657</v>
      </c>
      <c r="G1910" s="25">
        <v>4</v>
      </c>
      <c r="H1910" s="26"/>
      <c r="I1910" s="27"/>
    </row>
    <row r="1911" spans="1:9" ht="15.75" thickBot="1" x14ac:dyDescent="0.3">
      <c r="A1911" s="43" t="s">
        <v>5455</v>
      </c>
      <c r="B1911" s="21" t="s">
        <v>5456</v>
      </c>
      <c r="C1911" s="21" t="s">
        <v>22682</v>
      </c>
      <c r="D1911" s="22">
        <v>46034</v>
      </c>
      <c r="E1911" s="23" t="s">
        <v>22656</v>
      </c>
      <c r="F1911" s="24" t="s">
        <v>22657</v>
      </c>
      <c r="G1911" s="25">
        <v>4</v>
      </c>
      <c r="H1911" s="29"/>
      <c r="I1911" s="30"/>
    </row>
    <row r="1912" spans="1:9" ht="15.75" thickBot="1" x14ac:dyDescent="0.3">
      <c r="A1912" s="43" t="s">
        <v>5457</v>
      </c>
      <c r="B1912" s="21" t="s">
        <v>5458</v>
      </c>
      <c r="C1912" s="21" t="s">
        <v>22682</v>
      </c>
      <c r="D1912" s="22">
        <v>46034</v>
      </c>
      <c r="E1912" s="23" t="s">
        <v>22656</v>
      </c>
      <c r="F1912" s="24" t="s">
        <v>22657</v>
      </c>
      <c r="G1912" s="25">
        <v>4</v>
      </c>
      <c r="H1912" s="26"/>
      <c r="I1912" s="27"/>
    </row>
    <row r="1913" spans="1:9" ht="15.75" thickBot="1" x14ac:dyDescent="0.3">
      <c r="A1913" s="43" t="s">
        <v>5459</v>
      </c>
      <c r="B1913" s="21" t="s">
        <v>5460</v>
      </c>
      <c r="C1913" s="21" t="s">
        <v>22682</v>
      </c>
      <c r="D1913" s="22">
        <v>46034</v>
      </c>
      <c r="E1913" s="23" t="s">
        <v>22658</v>
      </c>
      <c r="F1913" s="24" t="s">
        <v>22657</v>
      </c>
      <c r="G1913" s="25">
        <v>4</v>
      </c>
      <c r="H1913" s="29"/>
      <c r="I1913" s="30"/>
    </row>
    <row r="1914" spans="1:9" ht="15.75" thickBot="1" x14ac:dyDescent="0.3">
      <c r="A1914" s="43" t="s">
        <v>5461</v>
      </c>
      <c r="B1914" s="21" t="s">
        <v>5462</v>
      </c>
      <c r="C1914" s="21" t="s">
        <v>22682</v>
      </c>
      <c r="D1914" s="22">
        <v>46034</v>
      </c>
      <c r="E1914" s="23" t="s">
        <v>22658</v>
      </c>
      <c r="F1914" s="24" t="s">
        <v>22657</v>
      </c>
      <c r="G1914" s="25">
        <v>4</v>
      </c>
      <c r="H1914" s="26"/>
      <c r="I1914" s="27"/>
    </row>
    <row r="1915" spans="1:9" ht="15.75" thickBot="1" x14ac:dyDescent="0.3">
      <c r="A1915" s="43" t="s">
        <v>5463</v>
      </c>
      <c r="B1915" s="21" t="s">
        <v>5464</v>
      </c>
      <c r="C1915" s="21" t="s">
        <v>22682</v>
      </c>
      <c r="D1915" s="22">
        <v>46034</v>
      </c>
      <c r="E1915" s="23" t="s">
        <v>22656</v>
      </c>
      <c r="F1915" s="24" t="s">
        <v>22657</v>
      </c>
      <c r="G1915" s="25">
        <v>4</v>
      </c>
      <c r="H1915" s="29"/>
      <c r="I1915" s="30"/>
    </row>
    <row r="1916" spans="1:9" ht="15.75" thickBot="1" x14ac:dyDescent="0.3">
      <c r="A1916" s="43" t="s">
        <v>5465</v>
      </c>
      <c r="B1916" s="21" t="s">
        <v>5466</v>
      </c>
      <c r="C1916" s="21" t="s">
        <v>22682</v>
      </c>
      <c r="D1916" s="22">
        <v>46034</v>
      </c>
      <c r="E1916" s="23" t="s">
        <v>22658</v>
      </c>
      <c r="F1916" s="24" t="s">
        <v>22657</v>
      </c>
      <c r="G1916" s="25">
        <v>4</v>
      </c>
      <c r="H1916" s="26"/>
      <c r="I1916" s="27"/>
    </row>
    <row r="1917" spans="1:9" ht="15.75" thickBot="1" x14ac:dyDescent="0.3">
      <c r="A1917" s="43" t="s">
        <v>5467</v>
      </c>
      <c r="B1917" s="21" t="s">
        <v>5468</v>
      </c>
      <c r="C1917" s="21" t="s">
        <v>22682</v>
      </c>
      <c r="D1917" s="22">
        <v>46034</v>
      </c>
      <c r="E1917" s="23" t="s">
        <v>22658</v>
      </c>
      <c r="F1917" s="24" t="s">
        <v>22657</v>
      </c>
      <c r="G1917" s="25">
        <v>4</v>
      </c>
      <c r="H1917" s="29"/>
      <c r="I1917" s="30"/>
    </row>
    <row r="1918" spans="1:9" ht="15.75" thickBot="1" x14ac:dyDescent="0.3">
      <c r="A1918" s="43" t="s">
        <v>5469</v>
      </c>
      <c r="B1918" s="21" t="s">
        <v>5470</v>
      </c>
      <c r="C1918" s="21" t="s">
        <v>22682</v>
      </c>
      <c r="D1918" s="22">
        <v>46034</v>
      </c>
      <c r="E1918" s="23" t="s">
        <v>22658</v>
      </c>
      <c r="F1918" s="24" t="s">
        <v>22657</v>
      </c>
      <c r="G1918" s="25">
        <v>4</v>
      </c>
      <c r="H1918" s="26"/>
      <c r="I1918" s="27"/>
    </row>
    <row r="1919" spans="1:9" ht="15.75" thickBot="1" x14ac:dyDescent="0.3">
      <c r="A1919" s="43" t="s">
        <v>5471</v>
      </c>
      <c r="B1919" s="21" t="s">
        <v>5472</v>
      </c>
      <c r="C1919" s="21" t="s">
        <v>22682</v>
      </c>
      <c r="D1919" s="22">
        <v>46034</v>
      </c>
      <c r="E1919" s="23" t="s">
        <v>22656</v>
      </c>
      <c r="F1919" s="24" t="s">
        <v>22657</v>
      </c>
      <c r="G1919" s="25">
        <v>4</v>
      </c>
      <c r="H1919" s="29"/>
      <c r="I1919" s="30"/>
    </row>
    <row r="1920" spans="1:9" ht="15.75" thickBot="1" x14ac:dyDescent="0.3">
      <c r="A1920" s="43" t="s">
        <v>5473</v>
      </c>
      <c r="B1920" s="21" t="s">
        <v>5474</v>
      </c>
      <c r="C1920" s="21" t="s">
        <v>22663</v>
      </c>
      <c r="D1920" s="31">
        <v>1</v>
      </c>
      <c r="E1920" s="23" t="s">
        <v>22656</v>
      </c>
      <c r="F1920" s="24" t="s">
        <v>22657</v>
      </c>
      <c r="G1920" s="25">
        <v>4</v>
      </c>
      <c r="H1920" s="26"/>
      <c r="I1920" s="27"/>
    </row>
    <row r="1921" spans="1:9" ht="15.75" thickBot="1" x14ac:dyDescent="0.3">
      <c r="A1921" s="43" t="s">
        <v>5475</v>
      </c>
      <c r="B1921" s="21" t="s">
        <v>5476</v>
      </c>
      <c r="C1921" s="21" t="s">
        <v>22663</v>
      </c>
      <c r="D1921" s="31">
        <v>1</v>
      </c>
      <c r="E1921" s="23" t="s">
        <v>22656</v>
      </c>
      <c r="F1921" s="24" t="s">
        <v>22657</v>
      </c>
      <c r="G1921" s="25">
        <v>2</v>
      </c>
      <c r="H1921" s="29"/>
      <c r="I1921" s="30"/>
    </row>
    <row r="1922" spans="1:9" ht="15.75" thickBot="1" x14ac:dyDescent="0.3">
      <c r="A1922" s="43" t="s">
        <v>5477</v>
      </c>
      <c r="B1922" s="21" t="s">
        <v>5478</v>
      </c>
      <c r="C1922" s="21" t="s">
        <v>22774</v>
      </c>
      <c r="D1922" s="22">
        <v>46034</v>
      </c>
      <c r="E1922" s="23" t="s">
        <v>22658</v>
      </c>
      <c r="F1922" s="24" t="s">
        <v>22657</v>
      </c>
      <c r="G1922" s="25">
        <v>4</v>
      </c>
      <c r="H1922" s="26"/>
      <c r="I1922" s="27"/>
    </row>
    <row r="1923" spans="1:9" ht="15.75" thickBot="1" x14ac:dyDescent="0.3">
      <c r="A1923" s="43" t="s">
        <v>5479</v>
      </c>
      <c r="B1923" s="21" t="s">
        <v>5480</v>
      </c>
      <c r="C1923" s="21" t="s">
        <v>22663</v>
      </c>
      <c r="D1923" s="31">
        <v>1</v>
      </c>
      <c r="E1923" s="23" t="s">
        <v>22658</v>
      </c>
      <c r="F1923" s="24" t="s">
        <v>22657</v>
      </c>
      <c r="G1923" s="25">
        <v>4</v>
      </c>
      <c r="H1923" s="29"/>
      <c r="I1923" s="30"/>
    </row>
    <row r="1924" spans="1:9" ht="15.75" thickBot="1" x14ac:dyDescent="0.3">
      <c r="A1924" s="43" t="s">
        <v>5481</v>
      </c>
      <c r="B1924" s="21" t="s">
        <v>5482</v>
      </c>
      <c r="C1924" s="21" t="s">
        <v>22663</v>
      </c>
      <c r="D1924" s="31">
        <v>1</v>
      </c>
      <c r="E1924" s="23" t="s">
        <v>22658</v>
      </c>
      <c r="F1924" s="24" t="s">
        <v>22657</v>
      </c>
      <c r="G1924" s="25">
        <v>1</v>
      </c>
      <c r="H1924" s="26"/>
      <c r="I1924" s="27"/>
    </row>
    <row r="1925" spans="1:9" ht="15.75" thickBot="1" x14ac:dyDescent="0.3">
      <c r="A1925" s="43" t="s">
        <v>5483</v>
      </c>
      <c r="B1925" s="21" t="s">
        <v>5484</v>
      </c>
      <c r="C1925" s="21" t="s">
        <v>22663</v>
      </c>
      <c r="D1925" s="31">
        <v>1</v>
      </c>
      <c r="E1925" s="23" t="s">
        <v>22658</v>
      </c>
      <c r="F1925" s="24" t="s">
        <v>22657</v>
      </c>
      <c r="G1925" s="25">
        <v>4</v>
      </c>
      <c r="H1925" s="29"/>
      <c r="I1925" s="30"/>
    </row>
    <row r="1926" spans="1:9" ht="15.75" thickBot="1" x14ac:dyDescent="0.3">
      <c r="A1926" s="43" t="s">
        <v>5485</v>
      </c>
      <c r="B1926" s="21" t="s">
        <v>5486</v>
      </c>
      <c r="C1926" s="21" t="s">
        <v>22663</v>
      </c>
      <c r="D1926" s="31">
        <v>1</v>
      </c>
      <c r="E1926" s="23" t="s">
        <v>22658</v>
      </c>
      <c r="F1926" s="24" t="s">
        <v>22657</v>
      </c>
      <c r="G1926" s="25">
        <v>1</v>
      </c>
      <c r="H1926" s="26"/>
      <c r="I1926" s="27"/>
    </row>
    <row r="1927" spans="1:9" ht="15.75" thickBot="1" x14ac:dyDescent="0.3">
      <c r="A1927" s="43" t="s">
        <v>5487</v>
      </c>
      <c r="B1927" s="21" t="s">
        <v>5488</v>
      </c>
      <c r="C1927" s="21" t="s">
        <v>22774</v>
      </c>
      <c r="D1927" s="31" t="s">
        <v>22775</v>
      </c>
      <c r="E1927" s="23" t="s">
        <v>22658</v>
      </c>
      <c r="F1927" s="24" t="s">
        <v>22657</v>
      </c>
      <c r="G1927" s="25">
        <v>48</v>
      </c>
      <c r="H1927" s="29"/>
      <c r="I1927" s="30"/>
    </row>
    <row r="1928" spans="1:9" ht="15.75" thickBot="1" x14ac:dyDescent="0.3">
      <c r="A1928" s="43" t="s">
        <v>5489</v>
      </c>
      <c r="B1928" s="21" t="s">
        <v>5490</v>
      </c>
      <c r="C1928" s="21" t="s">
        <v>22663</v>
      </c>
      <c r="D1928" s="31">
        <v>1</v>
      </c>
      <c r="E1928" s="23" t="s">
        <v>22658</v>
      </c>
      <c r="F1928" s="24" t="s">
        <v>22657</v>
      </c>
      <c r="G1928" s="25">
        <v>4</v>
      </c>
      <c r="H1928" s="26"/>
      <c r="I1928" s="27"/>
    </row>
    <row r="1929" spans="1:9" ht="15.75" thickBot="1" x14ac:dyDescent="0.3">
      <c r="A1929" s="43" t="s">
        <v>5491</v>
      </c>
      <c r="B1929" s="21" t="s">
        <v>5492</v>
      </c>
      <c r="C1929" s="21" t="s">
        <v>22663</v>
      </c>
      <c r="D1929" s="31">
        <v>1</v>
      </c>
      <c r="E1929" s="23" t="s">
        <v>22658</v>
      </c>
      <c r="F1929" s="24" t="s">
        <v>22657</v>
      </c>
      <c r="G1929" s="25">
        <v>1</v>
      </c>
      <c r="H1929" s="29"/>
      <c r="I1929" s="30"/>
    </row>
    <row r="1930" spans="1:9" ht="15.75" thickBot="1" x14ac:dyDescent="0.3">
      <c r="A1930" s="43" t="s">
        <v>5493</v>
      </c>
      <c r="B1930" s="21" t="s">
        <v>5494</v>
      </c>
      <c r="C1930" s="21" t="s">
        <v>22774</v>
      </c>
      <c r="D1930" s="22">
        <v>46034</v>
      </c>
      <c r="E1930" s="23" t="s">
        <v>22656</v>
      </c>
      <c r="F1930" s="24" t="s">
        <v>22657</v>
      </c>
      <c r="G1930" s="25">
        <v>4</v>
      </c>
      <c r="H1930" s="26"/>
      <c r="I1930" s="27"/>
    </row>
    <row r="1931" spans="1:9" ht="15.75" thickBot="1" x14ac:dyDescent="0.3">
      <c r="A1931" s="43" t="s">
        <v>5495</v>
      </c>
      <c r="B1931" s="21" t="s">
        <v>5496</v>
      </c>
      <c r="C1931" s="21" t="s">
        <v>22663</v>
      </c>
      <c r="D1931" s="31">
        <v>1</v>
      </c>
      <c r="E1931" s="23" t="s">
        <v>22656</v>
      </c>
      <c r="F1931" s="24" t="s">
        <v>22657</v>
      </c>
      <c r="G1931" s="25">
        <v>2</v>
      </c>
      <c r="H1931" s="29"/>
      <c r="I1931" s="30"/>
    </row>
    <row r="1932" spans="1:9" ht="15.75" thickBot="1" x14ac:dyDescent="0.3">
      <c r="A1932" s="43" t="s">
        <v>5497</v>
      </c>
      <c r="B1932" s="21" t="s">
        <v>5498</v>
      </c>
      <c r="C1932" s="21" t="s">
        <v>22663</v>
      </c>
      <c r="D1932" s="31">
        <v>1</v>
      </c>
      <c r="E1932" s="23" t="s">
        <v>22656</v>
      </c>
      <c r="F1932" s="24" t="s">
        <v>22657</v>
      </c>
      <c r="G1932" s="25">
        <v>4</v>
      </c>
      <c r="H1932" s="26"/>
      <c r="I1932" s="27"/>
    </row>
    <row r="1933" spans="1:9" ht="15.75" thickBot="1" x14ac:dyDescent="0.3">
      <c r="A1933" s="43" t="s">
        <v>5499</v>
      </c>
      <c r="B1933" s="21" t="s">
        <v>5500</v>
      </c>
      <c r="C1933" s="21" t="s">
        <v>22663</v>
      </c>
      <c r="D1933" s="31">
        <v>1</v>
      </c>
      <c r="E1933" s="23" t="s">
        <v>22658</v>
      </c>
      <c r="F1933" s="24" t="s">
        <v>22657</v>
      </c>
      <c r="G1933" s="25">
        <v>1</v>
      </c>
      <c r="H1933" s="29"/>
      <c r="I1933" s="30"/>
    </row>
    <row r="1934" spans="1:9" ht="15.75" thickBot="1" x14ac:dyDescent="0.3">
      <c r="A1934" s="43" t="s">
        <v>5501</v>
      </c>
      <c r="B1934" s="21" t="s">
        <v>5502</v>
      </c>
      <c r="C1934" s="21" t="s">
        <v>22663</v>
      </c>
      <c r="D1934" s="31">
        <v>1</v>
      </c>
      <c r="E1934" s="23" t="s">
        <v>22656</v>
      </c>
      <c r="F1934" s="24" t="s">
        <v>22657</v>
      </c>
      <c r="G1934" s="25">
        <v>4</v>
      </c>
      <c r="H1934" s="26"/>
      <c r="I1934" s="27"/>
    </row>
    <row r="1935" spans="1:9" ht="15.75" thickBot="1" x14ac:dyDescent="0.3">
      <c r="A1935" s="43" t="s">
        <v>5503</v>
      </c>
      <c r="B1935" s="21" t="s">
        <v>5504</v>
      </c>
      <c r="C1935" s="21" t="s">
        <v>22663</v>
      </c>
      <c r="D1935" s="31">
        <v>1</v>
      </c>
      <c r="E1935" s="23" t="s">
        <v>22658</v>
      </c>
      <c r="F1935" s="24" t="s">
        <v>22657</v>
      </c>
      <c r="G1935" s="25">
        <v>1</v>
      </c>
      <c r="H1935" s="29"/>
      <c r="I1935" s="30"/>
    </row>
    <row r="1936" spans="1:9" ht="15.75" thickBot="1" x14ac:dyDescent="0.3">
      <c r="A1936" s="43" t="s">
        <v>5505</v>
      </c>
      <c r="B1936" s="21" t="s">
        <v>5506</v>
      </c>
      <c r="C1936" s="21" t="s">
        <v>22663</v>
      </c>
      <c r="D1936" s="31">
        <v>1</v>
      </c>
      <c r="E1936" s="23" t="s">
        <v>22656</v>
      </c>
      <c r="F1936" s="24" t="s">
        <v>22657</v>
      </c>
      <c r="G1936" s="25">
        <v>4</v>
      </c>
      <c r="H1936" s="26"/>
      <c r="I1936" s="27"/>
    </row>
    <row r="1937" spans="1:9" ht="15.75" thickBot="1" x14ac:dyDescent="0.3">
      <c r="A1937" s="43" t="s">
        <v>5507</v>
      </c>
      <c r="B1937" s="21" t="s">
        <v>5508</v>
      </c>
      <c r="C1937" s="21" t="s">
        <v>22663</v>
      </c>
      <c r="D1937" s="31">
        <v>1</v>
      </c>
      <c r="E1937" s="23" t="s">
        <v>22658</v>
      </c>
      <c r="F1937" s="24" t="s">
        <v>22657</v>
      </c>
      <c r="G1937" s="25">
        <v>1</v>
      </c>
      <c r="H1937" s="29"/>
      <c r="I1937" s="30"/>
    </row>
    <row r="1938" spans="1:9" ht="15.75" thickBot="1" x14ac:dyDescent="0.3">
      <c r="A1938" s="43" t="s">
        <v>5509</v>
      </c>
      <c r="B1938" s="21" t="s">
        <v>5510</v>
      </c>
      <c r="C1938" s="21" t="s">
        <v>22685</v>
      </c>
      <c r="D1938" s="31">
        <v>1</v>
      </c>
      <c r="E1938" s="23" t="s">
        <v>22658</v>
      </c>
      <c r="F1938" s="24" t="s">
        <v>22657</v>
      </c>
      <c r="G1938" s="25">
        <v>2</v>
      </c>
      <c r="H1938" s="26"/>
      <c r="I1938" s="27"/>
    </row>
    <row r="1939" spans="1:9" ht="15.75" thickBot="1" x14ac:dyDescent="0.3">
      <c r="A1939" s="43" t="s">
        <v>5511</v>
      </c>
      <c r="B1939" s="21" t="s">
        <v>5512</v>
      </c>
      <c r="C1939" s="21" t="s">
        <v>22663</v>
      </c>
      <c r="D1939" s="31">
        <v>1</v>
      </c>
      <c r="E1939" s="23" t="s">
        <v>22656</v>
      </c>
      <c r="F1939" s="24" t="s">
        <v>22657</v>
      </c>
      <c r="G1939" s="25">
        <v>4</v>
      </c>
      <c r="H1939" s="29"/>
      <c r="I1939" s="30"/>
    </row>
    <row r="1940" spans="1:9" ht="15.75" thickBot="1" x14ac:dyDescent="0.3">
      <c r="A1940" s="43" t="s">
        <v>5513</v>
      </c>
      <c r="B1940" s="21" t="s">
        <v>5514</v>
      </c>
      <c r="C1940" s="21" t="s">
        <v>22663</v>
      </c>
      <c r="D1940" s="31">
        <v>1</v>
      </c>
      <c r="E1940" s="23" t="s">
        <v>22658</v>
      </c>
      <c r="F1940" s="24" t="s">
        <v>22657</v>
      </c>
      <c r="G1940" s="25">
        <v>1</v>
      </c>
      <c r="H1940" s="26"/>
      <c r="I1940" s="27"/>
    </row>
    <row r="1941" spans="1:9" ht="15.75" thickBot="1" x14ac:dyDescent="0.3">
      <c r="A1941" s="43" t="s">
        <v>5515</v>
      </c>
      <c r="B1941" s="21" t="s">
        <v>5516</v>
      </c>
      <c r="C1941" s="21" t="s">
        <v>22663</v>
      </c>
      <c r="D1941" s="31">
        <v>1</v>
      </c>
      <c r="E1941" s="23" t="s">
        <v>22656</v>
      </c>
      <c r="F1941" s="24" t="s">
        <v>22657</v>
      </c>
      <c r="G1941" s="25">
        <v>4</v>
      </c>
      <c r="H1941" s="29"/>
      <c r="I1941" s="30"/>
    </row>
    <row r="1942" spans="1:9" ht="15.75" thickBot="1" x14ac:dyDescent="0.3">
      <c r="A1942" s="43" t="s">
        <v>5517</v>
      </c>
      <c r="B1942" s="21" t="s">
        <v>5518</v>
      </c>
      <c r="C1942" s="21" t="s">
        <v>22663</v>
      </c>
      <c r="D1942" s="31">
        <v>1</v>
      </c>
      <c r="E1942" s="23" t="s">
        <v>22658</v>
      </c>
      <c r="F1942" s="24" t="s">
        <v>22657</v>
      </c>
      <c r="G1942" s="25">
        <v>1</v>
      </c>
      <c r="H1942" s="26"/>
      <c r="I1942" s="27"/>
    </row>
    <row r="1943" spans="1:9" ht="15.75" thickBot="1" x14ac:dyDescent="0.3">
      <c r="A1943" s="43" t="s">
        <v>5519</v>
      </c>
      <c r="B1943" s="21" t="s">
        <v>5520</v>
      </c>
      <c r="C1943" s="21" t="s">
        <v>22672</v>
      </c>
      <c r="D1943" s="22">
        <v>46028</v>
      </c>
      <c r="E1943" s="23" t="s">
        <v>22656</v>
      </c>
      <c r="F1943" s="24" t="s">
        <v>22657</v>
      </c>
      <c r="G1943" s="25">
        <v>2</v>
      </c>
      <c r="H1943" s="29"/>
      <c r="I1943" s="30"/>
    </row>
    <row r="1944" spans="1:9" ht="15.75" thickBot="1" x14ac:dyDescent="0.3">
      <c r="A1944" s="43" t="s">
        <v>5521</v>
      </c>
      <c r="B1944" s="21" t="s">
        <v>5522</v>
      </c>
      <c r="C1944" s="21" t="s">
        <v>22663</v>
      </c>
      <c r="D1944" s="31">
        <v>1</v>
      </c>
      <c r="E1944" s="23" t="s">
        <v>22656</v>
      </c>
      <c r="F1944" s="24" t="s">
        <v>22657</v>
      </c>
      <c r="G1944" s="25">
        <v>4</v>
      </c>
      <c r="H1944" s="26"/>
      <c r="I1944" s="27"/>
    </row>
    <row r="1945" spans="1:9" ht="15.75" thickBot="1" x14ac:dyDescent="0.3">
      <c r="A1945" s="43" t="s">
        <v>5523</v>
      </c>
      <c r="B1945" s="21" t="s">
        <v>5524</v>
      </c>
      <c r="C1945" s="21" t="s">
        <v>22663</v>
      </c>
      <c r="D1945" s="31">
        <v>1</v>
      </c>
      <c r="E1945" s="23" t="s">
        <v>22658</v>
      </c>
      <c r="F1945" s="24" t="s">
        <v>22657</v>
      </c>
      <c r="G1945" s="25">
        <v>1</v>
      </c>
      <c r="H1945" s="29"/>
      <c r="I1945" s="30"/>
    </row>
    <row r="1946" spans="1:9" ht="15.75" thickBot="1" x14ac:dyDescent="0.3">
      <c r="A1946" s="43" t="s">
        <v>5525</v>
      </c>
      <c r="B1946" s="21" t="s">
        <v>5526</v>
      </c>
      <c r="C1946" s="21" t="s">
        <v>22663</v>
      </c>
      <c r="D1946" s="31">
        <v>1</v>
      </c>
      <c r="E1946" s="23" t="s">
        <v>22656</v>
      </c>
      <c r="F1946" s="24" t="s">
        <v>22657</v>
      </c>
      <c r="G1946" s="25">
        <v>4</v>
      </c>
      <c r="H1946" s="26"/>
      <c r="I1946" s="27"/>
    </row>
    <row r="1947" spans="1:9" ht="15.75" thickBot="1" x14ac:dyDescent="0.3">
      <c r="A1947" s="43" t="s">
        <v>5527</v>
      </c>
      <c r="B1947" s="21" t="s">
        <v>5528</v>
      </c>
      <c r="C1947" s="21" t="s">
        <v>22663</v>
      </c>
      <c r="D1947" s="31">
        <v>1</v>
      </c>
      <c r="E1947" s="23" t="s">
        <v>22658</v>
      </c>
      <c r="F1947" s="24" t="s">
        <v>22657</v>
      </c>
      <c r="G1947" s="25">
        <v>1</v>
      </c>
      <c r="H1947" s="29"/>
      <c r="I1947" s="30"/>
    </row>
    <row r="1948" spans="1:9" ht="15.75" thickBot="1" x14ac:dyDescent="0.3">
      <c r="A1948" s="43" t="s">
        <v>5529</v>
      </c>
      <c r="B1948" s="21" t="s">
        <v>5530</v>
      </c>
      <c r="C1948" s="21" t="s">
        <v>22776</v>
      </c>
      <c r="D1948" s="31">
        <v>1</v>
      </c>
      <c r="E1948" s="23" t="s">
        <v>22656</v>
      </c>
      <c r="F1948" s="24" t="s">
        <v>22657</v>
      </c>
      <c r="G1948" s="25">
        <v>2</v>
      </c>
      <c r="H1948" s="26"/>
      <c r="I1948" s="27"/>
    </row>
    <row r="1949" spans="1:9" ht="15.75" thickBot="1" x14ac:dyDescent="0.3">
      <c r="A1949" s="43" t="s">
        <v>5531</v>
      </c>
      <c r="B1949" s="21" t="s">
        <v>5532</v>
      </c>
      <c r="C1949" s="21" t="s">
        <v>22663</v>
      </c>
      <c r="D1949" s="31">
        <v>1</v>
      </c>
      <c r="E1949" s="23" t="s">
        <v>22656</v>
      </c>
      <c r="F1949" s="24" t="s">
        <v>22657</v>
      </c>
      <c r="G1949" s="25">
        <v>4</v>
      </c>
      <c r="H1949" s="29"/>
      <c r="I1949" s="30"/>
    </row>
    <row r="1950" spans="1:9" ht="15.75" thickBot="1" x14ac:dyDescent="0.3">
      <c r="A1950" s="43" t="s">
        <v>5533</v>
      </c>
      <c r="B1950" s="21" t="s">
        <v>5534</v>
      </c>
      <c r="C1950" s="21" t="s">
        <v>22663</v>
      </c>
      <c r="D1950" s="31">
        <v>1</v>
      </c>
      <c r="E1950" s="23" t="s">
        <v>22658</v>
      </c>
      <c r="F1950" s="24" t="s">
        <v>22657</v>
      </c>
      <c r="G1950" s="25">
        <v>1</v>
      </c>
      <c r="H1950" s="26"/>
      <c r="I1950" s="27"/>
    </row>
    <row r="1951" spans="1:9" ht="15.75" thickBot="1" x14ac:dyDescent="0.3">
      <c r="A1951" s="43" t="s">
        <v>5535</v>
      </c>
      <c r="B1951" s="21" t="s">
        <v>5536</v>
      </c>
      <c r="C1951" s="21" t="s">
        <v>22663</v>
      </c>
      <c r="D1951" s="31">
        <v>1</v>
      </c>
      <c r="E1951" s="23" t="s">
        <v>22656</v>
      </c>
      <c r="F1951" s="24" t="s">
        <v>22657</v>
      </c>
      <c r="G1951" s="25">
        <v>2</v>
      </c>
      <c r="H1951" s="29"/>
      <c r="I1951" s="30"/>
    </row>
    <row r="1952" spans="1:9" ht="15.75" thickBot="1" x14ac:dyDescent="0.3">
      <c r="A1952" s="43" t="s">
        <v>5537</v>
      </c>
      <c r="B1952" s="21" t="s">
        <v>5538</v>
      </c>
      <c r="C1952" s="21" t="s">
        <v>22663</v>
      </c>
      <c r="D1952" s="31">
        <v>1</v>
      </c>
      <c r="E1952" s="23" t="s">
        <v>22656</v>
      </c>
      <c r="F1952" s="24" t="s">
        <v>22657</v>
      </c>
      <c r="G1952" s="25">
        <v>4</v>
      </c>
      <c r="H1952" s="26"/>
      <c r="I1952" s="27"/>
    </row>
    <row r="1953" spans="1:9" ht="15.75" thickBot="1" x14ac:dyDescent="0.3">
      <c r="A1953" s="43" t="s">
        <v>5539</v>
      </c>
      <c r="B1953" s="21" t="s">
        <v>5540</v>
      </c>
      <c r="C1953" s="21" t="s">
        <v>22663</v>
      </c>
      <c r="D1953" s="31">
        <v>1</v>
      </c>
      <c r="E1953" s="23" t="s">
        <v>22658</v>
      </c>
      <c r="F1953" s="24" t="s">
        <v>22657</v>
      </c>
      <c r="G1953" s="25">
        <v>1</v>
      </c>
      <c r="H1953" s="29"/>
      <c r="I1953" s="30"/>
    </row>
    <row r="1954" spans="1:9" ht="15.75" thickBot="1" x14ac:dyDescent="0.3">
      <c r="A1954" s="43" t="s">
        <v>5541</v>
      </c>
      <c r="B1954" s="21" t="s">
        <v>5542</v>
      </c>
      <c r="C1954" s="21" t="s">
        <v>22774</v>
      </c>
      <c r="D1954" s="22">
        <v>46026</v>
      </c>
      <c r="E1954" s="23" t="s">
        <v>22658</v>
      </c>
      <c r="F1954" s="24" t="s">
        <v>22657</v>
      </c>
      <c r="G1954" s="25">
        <v>2</v>
      </c>
      <c r="H1954" s="26"/>
      <c r="I1954" s="27"/>
    </row>
    <row r="1955" spans="1:9" ht="15.75" thickBot="1" x14ac:dyDescent="0.3">
      <c r="A1955" s="43" t="s">
        <v>5543</v>
      </c>
      <c r="B1955" s="21" t="s">
        <v>5544</v>
      </c>
      <c r="C1955" s="21" t="s">
        <v>22663</v>
      </c>
      <c r="D1955" s="31">
        <v>1</v>
      </c>
      <c r="E1955" s="23" t="s">
        <v>22656</v>
      </c>
      <c r="F1955" s="24" t="s">
        <v>22657</v>
      </c>
      <c r="G1955" s="25">
        <v>4</v>
      </c>
      <c r="H1955" s="29"/>
      <c r="I1955" s="30"/>
    </row>
    <row r="1956" spans="1:9" ht="15.75" thickBot="1" x14ac:dyDescent="0.3">
      <c r="A1956" s="43" t="s">
        <v>5545</v>
      </c>
      <c r="B1956" s="21" t="s">
        <v>5546</v>
      </c>
      <c r="C1956" s="21" t="s">
        <v>22663</v>
      </c>
      <c r="D1956" s="31">
        <v>1</v>
      </c>
      <c r="E1956" s="23" t="s">
        <v>22658</v>
      </c>
      <c r="F1956" s="24" t="s">
        <v>22657</v>
      </c>
      <c r="G1956" s="25">
        <v>1</v>
      </c>
      <c r="H1956" s="26"/>
      <c r="I1956" s="27"/>
    </row>
    <row r="1957" spans="1:9" ht="15.75" thickBot="1" x14ac:dyDescent="0.3">
      <c r="A1957" s="43" t="s">
        <v>5547</v>
      </c>
      <c r="B1957" s="21" t="s">
        <v>5548</v>
      </c>
      <c r="C1957" s="21" t="s">
        <v>22663</v>
      </c>
      <c r="D1957" s="31">
        <v>1</v>
      </c>
      <c r="E1957" s="23" t="s">
        <v>22656</v>
      </c>
      <c r="F1957" s="24" t="s">
        <v>22657</v>
      </c>
      <c r="G1957" s="25">
        <v>4</v>
      </c>
      <c r="H1957" s="29"/>
      <c r="I1957" s="30"/>
    </row>
    <row r="1958" spans="1:9" ht="15.75" thickBot="1" x14ac:dyDescent="0.3">
      <c r="A1958" s="43" t="s">
        <v>5549</v>
      </c>
      <c r="B1958" s="21" t="s">
        <v>5550</v>
      </c>
      <c r="C1958" s="21" t="s">
        <v>22663</v>
      </c>
      <c r="D1958" s="31">
        <v>1</v>
      </c>
      <c r="E1958" s="23" t="s">
        <v>22658</v>
      </c>
      <c r="F1958" s="24" t="s">
        <v>22657</v>
      </c>
      <c r="G1958" s="25">
        <v>1</v>
      </c>
      <c r="H1958" s="26"/>
      <c r="I1958" s="27"/>
    </row>
    <row r="1959" spans="1:9" ht="15.75" thickBot="1" x14ac:dyDescent="0.3">
      <c r="A1959" s="43" t="s">
        <v>5551</v>
      </c>
      <c r="B1959" s="21" t="s">
        <v>5552</v>
      </c>
      <c r="C1959" s="21" t="s">
        <v>22774</v>
      </c>
      <c r="D1959" s="22">
        <v>46034</v>
      </c>
      <c r="E1959" s="23" t="s">
        <v>22656</v>
      </c>
      <c r="F1959" s="24" t="s">
        <v>22657</v>
      </c>
      <c r="G1959" s="25">
        <v>4</v>
      </c>
      <c r="H1959" s="29"/>
      <c r="I1959" s="30"/>
    </row>
    <row r="1960" spans="1:9" ht="15.75" thickBot="1" x14ac:dyDescent="0.3">
      <c r="A1960" s="43" t="s">
        <v>5553</v>
      </c>
      <c r="B1960" s="21" t="s">
        <v>5554</v>
      </c>
      <c r="C1960" s="21" t="s">
        <v>22663</v>
      </c>
      <c r="D1960" s="31">
        <v>1</v>
      </c>
      <c r="E1960" s="23" t="s">
        <v>22656</v>
      </c>
      <c r="F1960" s="24" t="s">
        <v>22657</v>
      </c>
      <c r="G1960" s="25">
        <v>2</v>
      </c>
      <c r="H1960" s="26"/>
      <c r="I1960" s="27"/>
    </row>
    <row r="1961" spans="1:9" ht="15.75" thickBot="1" x14ac:dyDescent="0.3">
      <c r="A1961" s="43" t="s">
        <v>5555</v>
      </c>
      <c r="B1961" s="21" t="s">
        <v>5556</v>
      </c>
      <c r="C1961" s="21" t="s">
        <v>22663</v>
      </c>
      <c r="D1961" s="31">
        <v>1</v>
      </c>
      <c r="E1961" s="23" t="s">
        <v>22656</v>
      </c>
      <c r="F1961" s="24" t="s">
        <v>22657</v>
      </c>
      <c r="G1961" s="25">
        <v>4</v>
      </c>
      <c r="H1961" s="29"/>
      <c r="I1961" s="30"/>
    </row>
    <row r="1962" spans="1:9" ht="15.75" thickBot="1" x14ac:dyDescent="0.3">
      <c r="A1962" s="43" t="s">
        <v>5557</v>
      </c>
      <c r="B1962" s="21" t="s">
        <v>5558</v>
      </c>
      <c r="C1962" s="21" t="s">
        <v>22663</v>
      </c>
      <c r="D1962" s="31">
        <v>1</v>
      </c>
      <c r="E1962" s="23" t="s">
        <v>22658</v>
      </c>
      <c r="F1962" s="24" t="s">
        <v>22657</v>
      </c>
      <c r="G1962" s="25">
        <v>1</v>
      </c>
      <c r="H1962" s="26"/>
      <c r="I1962" s="27"/>
    </row>
    <row r="1963" spans="1:9" ht="15.75" thickBot="1" x14ac:dyDescent="0.3">
      <c r="A1963" s="43" t="s">
        <v>5559</v>
      </c>
      <c r="B1963" s="21" t="s">
        <v>5560</v>
      </c>
      <c r="C1963" s="21" t="s">
        <v>22663</v>
      </c>
      <c r="D1963" s="31">
        <v>1</v>
      </c>
      <c r="E1963" s="23" t="s">
        <v>22658</v>
      </c>
      <c r="F1963" s="24" t="s">
        <v>22657</v>
      </c>
      <c r="G1963" s="25">
        <v>4</v>
      </c>
      <c r="H1963" s="29"/>
      <c r="I1963" s="30"/>
    </row>
    <row r="1964" spans="1:9" ht="15.75" thickBot="1" x14ac:dyDescent="0.3">
      <c r="A1964" s="43" t="s">
        <v>5561</v>
      </c>
      <c r="B1964" s="21" t="s">
        <v>5562</v>
      </c>
      <c r="C1964" s="21" t="s">
        <v>22663</v>
      </c>
      <c r="D1964" s="31">
        <v>1</v>
      </c>
      <c r="E1964" s="23" t="s">
        <v>22658</v>
      </c>
      <c r="F1964" s="24" t="s">
        <v>22657</v>
      </c>
      <c r="G1964" s="25">
        <v>1</v>
      </c>
      <c r="H1964" s="26"/>
      <c r="I1964" s="27"/>
    </row>
    <row r="1965" spans="1:9" ht="15.75" thickBot="1" x14ac:dyDescent="0.3">
      <c r="A1965" s="43" t="s">
        <v>5563</v>
      </c>
      <c r="B1965" s="21" t="s">
        <v>5564</v>
      </c>
      <c r="C1965" s="21" t="s">
        <v>22663</v>
      </c>
      <c r="D1965" s="31">
        <v>1</v>
      </c>
      <c r="E1965" s="23" t="s">
        <v>22656</v>
      </c>
      <c r="F1965" s="24" t="s">
        <v>22657</v>
      </c>
      <c r="G1965" s="25">
        <v>4</v>
      </c>
      <c r="H1965" s="29"/>
      <c r="I1965" s="30"/>
    </row>
    <row r="1966" spans="1:9" ht="15.75" thickBot="1" x14ac:dyDescent="0.3">
      <c r="A1966" s="43" t="s">
        <v>5565</v>
      </c>
      <c r="B1966" s="21" t="s">
        <v>5566</v>
      </c>
      <c r="C1966" s="21" t="s">
        <v>22663</v>
      </c>
      <c r="D1966" s="31">
        <v>1</v>
      </c>
      <c r="E1966" s="23" t="s">
        <v>22658</v>
      </c>
      <c r="F1966" s="24" t="s">
        <v>22657</v>
      </c>
      <c r="G1966" s="25">
        <v>1</v>
      </c>
      <c r="H1966" s="26"/>
      <c r="I1966" s="27"/>
    </row>
    <row r="1967" spans="1:9" ht="15.75" thickBot="1" x14ac:dyDescent="0.3">
      <c r="A1967" s="43" t="s">
        <v>5567</v>
      </c>
      <c r="B1967" s="21" t="s">
        <v>5568</v>
      </c>
      <c r="C1967" s="21" t="s">
        <v>22663</v>
      </c>
      <c r="D1967" s="31">
        <v>1</v>
      </c>
      <c r="E1967" s="23" t="s">
        <v>22656</v>
      </c>
      <c r="F1967" s="24" t="s">
        <v>22657</v>
      </c>
      <c r="G1967" s="25">
        <v>4</v>
      </c>
      <c r="H1967" s="29"/>
      <c r="I1967" s="30"/>
    </row>
    <row r="1968" spans="1:9" ht="15.75" thickBot="1" x14ac:dyDescent="0.3">
      <c r="A1968" s="43" t="s">
        <v>5569</v>
      </c>
      <c r="B1968" s="21" t="s">
        <v>5570</v>
      </c>
      <c r="C1968" s="21" t="s">
        <v>22663</v>
      </c>
      <c r="D1968" s="31">
        <v>1</v>
      </c>
      <c r="E1968" s="23" t="s">
        <v>22658</v>
      </c>
      <c r="F1968" s="24" t="s">
        <v>22657</v>
      </c>
      <c r="G1968" s="25">
        <v>1</v>
      </c>
      <c r="H1968" s="26"/>
      <c r="I1968" s="27"/>
    </row>
    <row r="1969" spans="1:9" ht="15.75" thickBot="1" x14ac:dyDescent="0.3">
      <c r="A1969" s="43" t="s">
        <v>5571</v>
      </c>
      <c r="B1969" s="21" t="s">
        <v>5572</v>
      </c>
      <c r="C1969" s="21" t="s">
        <v>22663</v>
      </c>
      <c r="D1969" s="31">
        <v>1</v>
      </c>
      <c r="E1969" s="23" t="s">
        <v>22656</v>
      </c>
      <c r="F1969" s="24" t="s">
        <v>22657</v>
      </c>
      <c r="G1969" s="25">
        <v>4</v>
      </c>
      <c r="H1969" s="29"/>
      <c r="I1969" s="30"/>
    </row>
    <row r="1970" spans="1:9" ht="15.75" thickBot="1" x14ac:dyDescent="0.3">
      <c r="A1970" s="43" t="s">
        <v>5573</v>
      </c>
      <c r="B1970" s="21" t="s">
        <v>5574</v>
      </c>
      <c r="C1970" s="21" t="s">
        <v>22663</v>
      </c>
      <c r="D1970" s="31">
        <v>1</v>
      </c>
      <c r="E1970" s="23" t="s">
        <v>22658</v>
      </c>
      <c r="F1970" s="24" t="s">
        <v>22657</v>
      </c>
      <c r="G1970" s="25">
        <v>1</v>
      </c>
      <c r="H1970" s="26"/>
      <c r="I1970" s="27"/>
    </row>
    <row r="1971" spans="1:9" ht="15.75" thickBot="1" x14ac:dyDescent="0.3">
      <c r="A1971" s="43" t="s">
        <v>5575</v>
      </c>
      <c r="B1971" s="21" t="s">
        <v>5576</v>
      </c>
      <c r="C1971" s="21" t="s">
        <v>22663</v>
      </c>
      <c r="D1971" s="31">
        <v>1</v>
      </c>
      <c r="E1971" s="23" t="s">
        <v>22656</v>
      </c>
      <c r="F1971" s="24" t="s">
        <v>22657</v>
      </c>
      <c r="G1971" s="25">
        <v>4</v>
      </c>
      <c r="H1971" s="29"/>
      <c r="I1971" s="30"/>
    </row>
    <row r="1972" spans="1:9" ht="15.75" thickBot="1" x14ac:dyDescent="0.3">
      <c r="A1972" s="43" t="s">
        <v>5577</v>
      </c>
      <c r="B1972" s="21" t="s">
        <v>5578</v>
      </c>
      <c r="C1972" s="21" t="s">
        <v>22663</v>
      </c>
      <c r="D1972" s="31">
        <v>1</v>
      </c>
      <c r="E1972" s="23" t="s">
        <v>22658</v>
      </c>
      <c r="F1972" s="24" t="s">
        <v>22657</v>
      </c>
      <c r="G1972" s="25">
        <v>1</v>
      </c>
      <c r="H1972" s="26"/>
      <c r="I1972" s="27"/>
    </row>
    <row r="1973" spans="1:9" ht="15.75" thickBot="1" x14ac:dyDescent="0.3">
      <c r="A1973" s="43" t="s">
        <v>5579</v>
      </c>
      <c r="B1973" s="21" t="s">
        <v>5580</v>
      </c>
      <c r="C1973" s="21" t="s">
        <v>22685</v>
      </c>
      <c r="D1973" s="31">
        <v>1</v>
      </c>
      <c r="E1973" s="23" t="s">
        <v>22658</v>
      </c>
      <c r="F1973" s="24" t="s">
        <v>22657</v>
      </c>
      <c r="G1973" s="25">
        <v>2</v>
      </c>
      <c r="H1973" s="29"/>
      <c r="I1973" s="30"/>
    </row>
    <row r="1974" spans="1:9" ht="15.75" thickBot="1" x14ac:dyDescent="0.3">
      <c r="A1974" s="43" t="s">
        <v>5581</v>
      </c>
      <c r="B1974" s="21" t="s">
        <v>5582</v>
      </c>
      <c r="C1974" s="21" t="s">
        <v>22663</v>
      </c>
      <c r="D1974" s="31">
        <v>1</v>
      </c>
      <c r="E1974" s="23" t="s">
        <v>22656</v>
      </c>
      <c r="F1974" s="24" t="s">
        <v>22657</v>
      </c>
      <c r="G1974" s="25">
        <v>4</v>
      </c>
      <c r="H1974" s="26"/>
      <c r="I1974" s="27"/>
    </row>
    <row r="1975" spans="1:9" ht="15.75" thickBot="1" x14ac:dyDescent="0.3">
      <c r="A1975" s="43" t="s">
        <v>5583</v>
      </c>
      <c r="B1975" s="21" t="s">
        <v>5584</v>
      </c>
      <c r="C1975" s="21" t="s">
        <v>22663</v>
      </c>
      <c r="D1975" s="31">
        <v>1</v>
      </c>
      <c r="E1975" s="23" t="s">
        <v>22658</v>
      </c>
      <c r="F1975" s="24" t="s">
        <v>22657</v>
      </c>
      <c r="G1975" s="25">
        <v>1</v>
      </c>
      <c r="H1975" s="29"/>
      <c r="I1975" s="30"/>
    </row>
    <row r="1976" spans="1:9" ht="15.75" thickBot="1" x14ac:dyDescent="0.3">
      <c r="A1976" s="43" t="s">
        <v>5585</v>
      </c>
      <c r="B1976" s="21" t="s">
        <v>5586</v>
      </c>
      <c r="C1976" s="21" t="s">
        <v>22682</v>
      </c>
      <c r="D1976" s="22">
        <v>46034</v>
      </c>
      <c r="E1976" s="23" t="s">
        <v>22656</v>
      </c>
      <c r="F1976" s="24" t="s">
        <v>22657</v>
      </c>
      <c r="G1976" s="25">
        <v>4</v>
      </c>
      <c r="H1976" s="26"/>
      <c r="I1976" s="27"/>
    </row>
    <row r="1977" spans="1:9" ht="15.75" thickBot="1" x14ac:dyDescent="0.3">
      <c r="A1977" s="43" t="s">
        <v>5587</v>
      </c>
      <c r="B1977" s="21" t="s">
        <v>5588</v>
      </c>
      <c r="C1977" s="21" t="s">
        <v>22682</v>
      </c>
      <c r="D1977" s="22">
        <v>46034</v>
      </c>
      <c r="E1977" s="23" t="s">
        <v>22658</v>
      </c>
      <c r="F1977" s="24" t="s">
        <v>22657</v>
      </c>
      <c r="G1977" s="25">
        <v>4</v>
      </c>
      <c r="H1977" s="29"/>
      <c r="I1977" s="30"/>
    </row>
    <row r="1978" spans="1:9" ht="15.75" thickBot="1" x14ac:dyDescent="0.3">
      <c r="A1978" s="43" t="s">
        <v>5589</v>
      </c>
      <c r="B1978" s="21" t="s">
        <v>5590</v>
      </c>
      <c r="C1978" s="21" t="s">
        <v>22682</v>
      </c>
      <c r="D1978" s="22">
        <v>46034</v>
      </c>
      <c r="E1978" s="23" t="s">
        <v>22656</v>
      </c>
      <c r="F1978" s="24" t="s">
        <v>22657</v>
      </c>
      <c r="G1978" s="25">
        <v>4</v>
      </c>
      <c r="H1978" s="26"/>
      <c r="I1978" s="27"/>
    </row>
    <row r="1979" spans="1:9" ht="15.75" thickBot="1" x14ac:dyDescent="0.3">
      <c r="A1979" s="43" t="s">
        <v>5591</v>
      </c>
      <c r="B1979" s="21" t="s">
        <v>5592</v>
      </c>
      <c r="C1979" s="21" t="s">
        <v>22682</v>
      </c>
      <c r="D1979" s="22">
        <v>46034</v>
      </c>
      <c r="E1979" s="23" t="s">
        <v>22656</v>
      </c>
      <c r="F1979" s="24" t="s">
        <v>22657</v>
      </c>
      <c r="G1979" s="25">
        <v>4</v>
      </c>
      <c r="H1979" s="29"/>
      <c r="I1979" s="30"/>
    </row>
    <row r="1980" spans="1:9" ht="15.75" thickBot="1" x14ac:dyDescent="0.3">
      <c r="A1980" s="43" t="s">
        <v>5593</v>
      </c>
      <c r="B1980" s="21" t="s">
        <v>5594</v>
      </c>
      <c r="C1980" s="21" t="s">
        <v>22682</v>
      </c>
      <c r="D1980" s="22">
        <v>46034</v>
      </c>
      <c r="E1980" s="23" t="s">
        <v>22658</v>
      </c>
      <c r="F1980" s="24" t="s">
        <v>22657</v>
      </c>
      <c r="G1980" s="25">
        <v>4</v>
      </c>
      <c r="H1980" s="26"/>
      <c r="I1980" s="27"/>
    </row>
    <row r="1981" spans="1:9" ht="15.75" thickBot="1" x14ac:dyDescent="0.3">
      <c r="A1981" s="43" t="s">
        <v>5595</v>
      </c>
      <c r="B1981" s="21" t="s">
        <v>5596</v>
      </c>
      <c r="C1981" s="21" t="s">
        <v>22682</v>
      </c>
      <c r="D1981" s="22">
        <v>46034</v>
      </c>
      <c r="E1981" s="23" t="s">
        <v>22658</v>
      </c>
      <c r="F1981" s="24" t="s">
        <v>22657</v>
      </c>
      <c r="G1981" s="25">
        <v>4</v>
      </c>
      <c r="H1981" s="29"/>
      <c r="I1981" s="30"/>
    </row>
    <row r="1982" spans="1:9" ht="15.75" thickBot="1" x14ac:dyDescent="0.3">
      <c r="A1982" s="43" t="s">
        <v>5597</v>
      </c>
      <c r="B1982" s="21" t="s">
        <v>5598</v>
      </c>
      <c r="C1982" s="21" t="s">
        <v>22682</v>
      </c>
      <c r="D1982" s="22">
        <v>46034</v>
      </c>
      <c r="E1982" s="23" t="s">
        <v>22658</v>
      </c>
      <c r="F1982" s="24" t="s">
        <v>22657</v>
      </c>
      <c r="G1982" s="25">
        <v>4</v>
      </c>
      <c r="H1982" s="26"/>
      <c r="I1982" s="27"/>
    </row>
    <row r="1983" spans="1:9" ht="15.75" thickBot="1" x14ac:dyDescent="0.3">
      <c r="A1983" s="43" t="s">
        <v>5599</v>
      </c>
      <c r="B1983" s="21" t="s">
        <v>5600</v>
      </c>
      <c r="C1983" s="21" t="s">
        <v>22682</v>
      </c>
      <c r="D1983" s="22">
        <v>46034</v>
      </c>
      <c r="E1983" s="23" t="s">
        <v>22658</v>
      </c>
      <c r="F1983" s="24" t="s">
        <v>22657</v>
      </c>
      <c r="G1983" s="25">
        <v>4</v>
      </c>
      <c r="H1983" s="29"/>
      <c r="I1983" s="30"/>
    </row>
    <row r="1984" spans="1:9" ht="15.75" thickBot="1" x14ac:dyDescent="0.3">
      <c r="A1984" s="43" t="s">
        <v>5601</v>
      </c>
      <c r="B1984" s="21" t="s">
        <v>5602</v>
      </c>
      <c r="C1984" s="21" t="s">
        <v>22682</v>
      </c>
      <c r="D1984" s="22">
        <v>46034</v>
      </c>
      <c r="E1984" s="23" t="s">
        <v>22656</v>
      </c>
      <c r="F1984" s="24" t="s">
        <v>22657</v>
      </c>
      <c r="G1984" s="25">
        <v>7</v>
      </c>
      <c r="H1984" s="26"/>
      <c r="I1984" s="27"/>
    </row>
    <row r="1985" spans="1:9" ht="15.75" thickBot="1" x14ac:dyDescent="0.3">
      <c r="A1985" s="43" t="s">
        <v>5603</v>
      </c>
      <c r="B1985" s="21" t="s">
        <v>5604</v>
      </c>
      <c r="C1985" s="21" t="s">
        <v>22682</v>
      </c>
      <c r="D1985" s="22">
        <v>46034</v>
      </c>
      <c r="E1985" s="23" t="s">
        <v>22656</v>
      </c>
      <c r="F1985" s="24" t="s">
        <v>22657</v>
      </c>
      <c r="G1985" s="25">
        <v>4</v>
      </c>
      <c r="H1985" s="29"/>
      <c r="I1985" s="30"/>
    </row>
    <row r="1986" spans="1:9" ht="15.75" thickBot="1" x14ac:dyDescent="0.3">
      <c r="A1986" s="43" t="s">
        <v>5605</v>
      </c>
      <c r="B1986" s="21" t="s">
        <v>5606</v>
      </c>
      <c r="C1986" s="21" t="s">
        <v>22682</v>
      </c>
      <c r="D1986" s="22">
        <v>46034</v>
      </c>
      <c r="E1986" s="23" t="s">
        <v>22656</v>
      </c>
      <c r="F1986" s="24" t="s">
        <v>22657</v>
      </c>
      <c r="G1986" s="25">
        <v>4</v>
      </c>
      <c r="H1986" s="26"/>
      <c r="I1986" s="27"/>
    </row>
    <row r="1987" spans="1:9" ht="15.75" thickBot="1" x14ac:dyDescent="0.3">
      <c r="A1987" s="43" t="s">
        <v>5607</v>
      </c>
      <c r="B1987" s="21" t="s">
        <v>5608</v>
      </c>
      <c r="C1987" s="21" t="s">
        <v>22682</v>
      </c>
      <c r="D1987" s="22">
        <v>46034</v>
      </c>
      <c r="E1987" s="23" t="s">
        <v>22656</v>
      </c>
      <c r="F1987" s="24" t="s">
        <v>22657</v>
      </c>
      <c r="G1987" s="25">
        <v>4</v>
      </c>
      <c r="H1987" s="29"/>
      <c r="I1987" s="30"/>
    </row>
    <row r="1988" spans="1:9" ht="15.75" thickBot="1" x14ac:dyDescent="0.3">
      <c r="A1988" s="43" t="s">
        <v>5609</v>
      </c>
      <c r="B1988" s="21" t="s">
        <v>5610</v>
      </c>
      <c r="C1988" s="21" t="s">
        <v>22682</v>
      </c>
      <c r="D1988" s="22">
        <v>46034</v>
      </c>
      <c r="E1988" s="23" t="s">
        <v>22656</v>
      </c>
      <c r="F1988" s="24" t="s">
        <v>22657</v>
      </c>
      <c r="G1988" s="25">
        <v>4</v>
      </c>
      <c r="H1988" s="26"/>
      <c r="I1988" s="27"/>
    </row>
    <row r="1989" spans="1:9" ht="15.75" thickBot="1" x14ac:dyDescent="0.3">
      <c r="A1989" s="43" t="s">
        <v>5611</v>
      </c>
      <c r="B1989" s="21" t="s">
        <v>5612</v>
      </c>
      <c r="C1989" s="21" t="s">
        <v>22682</v>
      </c>
      <c r="D1989" s="22">
        <v>46034</v>
      </c>
      <c r="E1989" s="23" t="s">
        <v>22656</v>
      </c>
      <c r="F1989" s="24" t="s">
        <v>22657</v>
      </c>
      <c r="G1989" s="25">
        <v>11</v>
      </c>
      <c r="H1989" s="29"/>
      <c r="I1989" s="30"/>
    </row>
    <row r="1990" spans="1:9" ht="15.75" thickBot="1" x14ac:dyDescent="0.3">
      <c r="A1990" s="43" t="s">
        <v>5613</v>
      </c>
      <c r="B1990" s="21" t="s">
        <v>5614</v>
      </c>
      <c r="C1990" s="21" t="s">
        <v>22682</v>
      </c>
      <c r="D1990" s="22">
        <v>46034</v>
      </c>
      <c r="E1990" s="23" t="s">
        <v>22656</v>
      </c>
      <c r="F1990" s="24" t="s">
        <v>22657</v>
      </c>
      <c r="G1990" s="25">
        <v>4</v>
      </c>
      <c r="H1990" s="26"/>
      <c r="I1990" s="27"/>
    </row>
    <row r="1991" spans="1:9" ht="15.75" thickBot="1" x14ac:dyDescent="0.3">
      <c r="A1991" s="43" t="s">
        <v>5615</v>
      </c>
      <c r="B1991" s="21" t="s">
        <v>5616</v>
      </c>
      <c r="C1991" s="21" t="s">
        <v>22682</v>
      </c>
      <c r="D1991" s="22">
        <v>46034</v>
      </c>
      <c r="E1991" s="23" t="s">
        <v>22656</v>
      </c>
      <c r="F1991" s="24" t="s">
        <v>22657</v>
      </c>
      <c r="G1991" s="25">
        <v>4</v>
      </c>
      <c r="H1991" s="29"/>
      <c r="I1991" s="30"/>
    </row>
    <row r="1992" spans="1:9" ht="15.75" thickBot="1" x14ac:dyDescent="0.3">
      <c r="A1992" s="43" t="s">
        <v>5617</v>
      </c>
      <c r="B1992" s="21" t="s">
        <v>5618</v>
      </c>
      <c r="C1992" s="21" t="s">
        <v>22663</v>
      </c>
      <c r="D1992" s="31">
        <v>1</v>
      </c>
      <c r="E1992" s="23" t="s">
        <v>22656</v>
      </c>
      <c r="F1992" s="24" t="s">
        <v>22657</v>
      </c>
      <c r="G1992" s="25">
        <v>2</v>
      </c>
      <c r="H1992" s="26"/>
      <c r="I1992" s="27"/>
    </row>
    <row r="1993" spans="1:9" ht="15.75" thickBot="1" x14ac:dyDescent="0.3">
      <c r="A1993" s="43" t="s">
        <v>5619</v>
      </c>
      <c r="B1993" s="21" t="s">
        <v>5620</v>
      </c>
      <c r="C1993" s="21" t="s">
        <v>22682</v>
      </c>
      <c r="D1993" s="22">
        <v>46034</v>
      </c>
      <c r="E1993" s="23" t="s">
        <v>22656</v>
      </c>
      <c r="F1993" s="24" t="s">
        <v>22657</v>
      </c>
      <c r="G1993" s="25">
        <v>4</v>
      </c>
      <c r="H1993" s="29"/>
      <c r="I1993" s="30"/>
    </row>
    <row r="1994" spans="1:9" ht="15.75" thickBot="1" x14ac:dyDescent="0.3">
      <c r="A1994" s="43" t="s">
        <v>5621</v>
      </c>
      <c r="B1994" s="21" t="s">
        <v>5622</v>
      </c>
      <c r="C1994" s="21" t="s">
        <v>22682</v>
      </c>
      <c r="D1994" s="22">
        <v>46034</v>
      </c>
      <c r="E1994" s="23" t="s">
        <v>22656</v>
      </c>
      <c r="F1994" s="24" t="s">
        <v>22657</v>
      </c>
      <c r="G1994" s="25">
        <v>4</v>
      </c>
      <c r="H1994" s="26"/>
      <c r="I1994" s="27"/>
    </row>
    <row r="1995" spans="1:9" ht="15.75" thickBot="1" x14ac:dyDescent="0.3">
      <c r="A1995" s="43" t="s">
        <v>5623</v>
      </c>
      <c r="B1995" s="21" t="s">
        <v>5624</v>
      </c>
      <c r="C1995" s="21" t="s">
        <v>22682</v>
      </c>
      <c r="D1995" s="22">
        <v>46034</v>
      </c>
      <c r="E1995" s="23" t="s">
        <v>22656</v>
      </c>
      <c r="F1995" s="24" t="s">
        <v>22657</v>
      </c>
      <c r="G1995" s="25">
        <v>4</v>
      </c>
      <c r="H1995" s="29"/>
      <c r="I1995" s="30"/>
    </row>
    <row r="1996" spans="1:9" ht="15.75" thickBot="1" x14ac:dyDescent="0.3">
      <c r="A1996" s="43" t="s">
        <v>5625</v>
      </c>
      <c r="B1996" s="21" t="s">
        <v>5626</v>
      </c>
      <c r="C1996" s="21" t="s">
        <v>22682</v>
      </c>
      <c r="D1996" s="22">
        <v>46034</v>
      </c>
      <c r="E1996" s="23" t="s">
        <v>22658</v>
      </c>
      <c r="F1996" s="24" t="s">
        <v>22657</v>
      </c>
      <c r="G1996" s="25">
        <v>4</v>
      </c>
      <c r="H1996" s="26"/>
      <c r="I1996" s="27"/>
    </row>
    <row r="1997" spans="1:9" ht="15.75" thickBot="1" x14ac:dyDescent="0.3">
      <c r="A1997" s="43" t="s">
        <v>5627</v>
      </c>
      <c r="B1997" s="21" t="s">
        <v>5628</v>
      </c>
      <c r="C1997" s="21" t="s">
        <v>22682</v>
      </c>
      <c r="D1997" s="22">
        <v>46034</v>
      </c>
      <c r="E1997" s="23" t="s">
        <v>22656</v>
      </c>
      <c r="F1997" s="24" t="s">
        <v>22657</v>
      </c>
      <c r="G1997" s="25">
        <v>4</v>
      </c>
      <c r="H1997" s="29"/>
      <c r="I1997" s="30"/>
    </row>
    <row r="1998" spans="1:9" ht="15.75" thickBot="1" x14ac:dyDescent="0.3">
      <c r="A1998" s="43" t="s">
        <v>5629</v>
      </c>
      <c r="B1998" s="21" t="s">
        <v>5630</v>
      </c>
      <c r="C1998" s="21" t="s">
        <v>22682</v>
      </c>
      <c r="D1998" s="22">
        <v>46034</v>
      </c>
      <c r="E1998" s="23" t="s">
        <v>22656</v>
      </c>
      <c r="F1998" s="24" t="s">
        <v>22657</v>
      </c>
      <c r="G1998" s="25">
        <v>4</v>
      </c>
      <c r="H1998" s="26"/>
      <c r="I1998" s="27"/>
    </row>
    <row r="1999" spans="1:9" ht="15.75" thickBot="1" x14ac:dyDescent="0.3">
      <c r="A1999" s="43" t="s">
        <v>5631</v>
      </c>
      <c r="B1999" s="21" t="s">
        <v>5632</v>
      </c>
      <c r="C1999" s="21" t="s">
        <v>22682</v>
      </c>
      <c r="D1999" s="22">
        <v>46034</v>
      </c>
      <c r="E1999" s="23" t="s">
        <v>22656</v>
      </c>
      <c r="F1999" s="24" t="s">
        <v>22657</v>
      </c>
      <c r="G1999" s="25">
        <v>4</v>
      </c>
      <c r="H1999" s="29"/>
      <c r="I1999" s="30"/>
    </row>
    <row r="2000" spans="1:9" ht="15.75" thickBot="1" x14ac:dyDescent="0.3">
      <c r="A2000" s="43" t="s">
        <v>5633</v>
      </c>
      <c r="B2000" s="21" t="s">
        <v>5634</v>
      </c>
      <c r="C2000" s="21" t="s">
        <v>22682</v>
      </c>
      <c r="D2000" s="22">
        <v>46034</v>
      </c>
      <c r="E2000" s="23" t="s">
        <v>22658</v>
      </c>
      <c r="F2000" s="24" t="s">
        <v>22657</v>
      </c>
      <c r="G2000" s="25">
        <v>4</v>
      </c>
      <c r="H2000" s="26"/>
      <c r="I2000" s="27"/>
    </row>
    <row r="2001" spans="1:9" ht="15.75" thickBot="1" x14ac:dyDescent="0.3">
      <c r="A2001" s="43" t="s">
        <v>5635</v>
      </c>
      <c r="B2001" s="21" t="s">
        <v>5636</v>
      </c>
      <c r="C2001" s="21" t="s">
        <v>22682</v>
      </c>
      <c r="D2001" s="22">
        <v>46034</v>
      </c>
      <c r="E2001" s="23" t="s">
        <v>22658</v>
      </c>
      <c r="F2001" s="24" t="s">
        <v>22657</v>
      </c>
      <c r="G2001" s="25">
        <v>4</v>
      </c>
      <c r="H2001" s="29"/>
      <c r="I2001" s="30"/>
    </row>
    <row r="2002" spans="1:9" ht="15.75" thickBot="1" x14ac:dyDescent="0.3">
      <c r="A2002" s="43" t="s">
        <v>5637</v>
      </c>
      <c r="B2002" s="21" t="s">
        <v>5638</v>
      </c>
      <c r="C2002" s="21" t="s">
        <v>22682</v>
      </c>
      <c r="D2002" s="22">
        <v>46034</v>
      </c>
      <c r="E2002" s="23" t="s">
        <v>22658</v>
      </c>
      <c r="F2002" s="24" t="s">
        <v>22657</v>
      </c>
      <c r="G2002" s="25">
        <v>4</v>
      </c>
      <c r="H2002" s="26"/>
      <c r="I2002" s="27"/>
    </row>
    <row r="2003" spans="1:9" ht="15.75" thickBot="1" x14ac:dyDescent="0.3">
      <c r="A2003" s="43" t="s">
        <v>5639</v>
      </c>
      <c r="B2003" s="21" t="s">
        <v>5640</v>
      </c>
      <c r="C2003" s="21" t="s">
        <v>22682</v>
      </c>
      <c r="D2003" s="22">
        <v>46034</v>
      </c>
      <c r="E2003" s="23" t="s">
        <v>22656</v>
      </c>
      <c r="F2003" s="24" t="s">
        <v>22657</v>
      </c>
      <c r="G2003" s="25">
        <v>4</v>
      </c>
      <c r="H2003" s="29"/>
      <c r="I2003" s="30"/>
    </row>
    <row r="2004" spans="1:9" ht="15.75" thickBot="1" x14ac:dyDescent="0.3">
      <c r="A2004" s="43" t="s">
        <v>5641</v>
      </c>
      <c r="B2004" s="21" t="s">
        <v>5642</v>
      </c>
      <c r="C2004" s="21" t="s">
        <v>22682</v>
      </c>
      <c r="D2004" s="22">
        <v>46034</v>
      </c>
      <c r="E2004" s="23" t="s">
        <v>22658</v>
      </c>
      <c r="F2004" s="24" t="s">
        <v>22657</v>
      </c>
      <c r="G2004" s="25">
        <v>1</v>
      </c>
      <c r="H2004" s="26"/>
      <c r="I2004" s="27"/>
    </row>
    <row r="2005" spans="1:9" ht="15.75" thickBot="1" x14ac:dyDescent="0.3">
      <c r="A2005" s="43" t="s">
        <v>5643</v>
      </c>
      <c r="B2005" s="21" t="s">
        <v>5644</v>
      </c>
      <c r="C2005" s="21" t="s">
        <v>22663</v>
      </c>
      <c r="D2005" s="31">
        <v>1</v>
      </c>
      <c r="E2005" s="23" t="s">
        <v>22656</v>
      </c>
      <c r="F2005" s="24" t="s">
        <v>22657</v>
      </c>
      <c r="G2005" s="25">
        <v>2</v>
      </c>
      <c r="H2005" s="29"/>
      <c r="I2005" s="30"/>
    </row>
    <row r="2006" spans="1:9" ht="15.75" thickBot="1" x14ac:dyDescent="0.3">
      <c r="A2006" s="43" t="s">
        <v>5645</v>
      </c>
      <c r="B2006" s="21" t="s">
        <v>5646</v>
      </c>
      <c r="C2006" s="21" t="s">
        <v>22682</v>
      </c>
      <c r="D2006" s="22">
        <v>46034</v>
      </c>
      <c r="E2006" s="23" t="s">
        <v>22658</v>
      </c>
      <c r="F2006" s="24" t="s">
        <v>22657</v>
      </c>
      <c r="G2006" s="25">
        <v>2</v>
      </c>
      <c r="H2006" s="26"/>
      <c r="I2006" s="27"/>
    </row>
    <row r="2007" spans="1:9" ht="15.75" thickBot="1" x14ac:dyDescent="0.3">
      <c r="A2007" s="43" t="s">
        <v>5647</v>
      </c>
      <c r="B2007" s="21" t="s">
        <v>5648</v>
      </c>
      <c r="C2007" s="21" t="s">
        <v>22682</v>
      </c>
      <c r="D2007" s="22">
        <v>46034</v>
      </c>
      <c r="E2007" s="23" t="s">
        <v>22658</v>
      </c>
      <c r="F2007" s="24" t="s">
        <v>22657</v>
      </c>
      <c r="G2007" s="25">
        <v>2</v>
      </c>
      <c r="H2007" s="29"/>
      <c r="I2007" s="30"/>
    </row>
    <row r="2008" spans="1:9" ht="15.75" thickBot="1" x14ac:dyDescent="0.3">
      <c r="A2008" s="43" t="s">
        <v>5649</v>
      </c>
      <c r="B2008" s="21" t="s">
        <v>5650</v>
      </c>
      <c r="C2008" s="21" t="s">
        <v>22682</v>
      </c>
      <c r="D2008" s="22">
        <v>46034</v>
      </c>
      <c r="E2008" s="23" t="s">
        <v>22656</v>
      </c>
      <c r="F2008" s="24" t="s">
        <v>22657</v>
      </c>
      <c r="G2008" s="25">
        <v>4</v>
      </c>
      <c r="H2008" s="26"/>
      <c r="I2008" s="27"/>
    </row>
    <row r="2009" spans="1:9" ht="15.75" thickBot="1" x14ac:dyDescent="0.3">
      <c r="A2009" s="43" t="s">
        <v>5651</v>
      </c>
      <c r="B2009" s="21" t="s">
        <v>5652</v>
      </c>
      <c r="C2009" s="21" t="s">
        <v>22682</v>
      </c>
      <c r="D2009" s="22">
        <v>46034</v>
      </c>
      <c r="E2009" s="23" t="s">
        <v>22658</v>
      </c>
      <c r="F2009" s="24" t="s">
        <v>22657</v>
      </c>
      <c r="G2009" s="25">
        <v>4</v>
      </c>
      <c r="H2009" s="29"/>
      <c r="I2009" s="30"/>
    </row>
    <row r="2010" spans="1:9" ht="15.75" thickBot="1" x14ac:dyDescent="0.3">
      <c r="A2010" s="43" t="s">
        <v>5653</v>
      </c>
      <c r="B2010" s="21" t="s">
        <v>5654</v>
      </c>
      <c r="C2010" s="21" t="s">
        <v>22682</v>
      </c>
      <c r="D2010" s="22">
        <v>46034</v>
      </c>
      <c r="E2010" s="23" t="s">
        <v>22656</v>
      </c>
      <c r="F2010" s="24" t="s">
        <v>22657</v>
      </c>
      <c r="G2010" s="25">
        <v>4</v>
      </c>
      <c r="H2010" s="26"/>
      <c r="I2010" s="27"/>
    </row>
    <row r="2011" spans="1:9" ht="15.75" thickBot="1" x14ac:dyDescent="0.3">
      <c r="A2011" s="43" t="s">
        <v>5655</v>
      </c>
      <c r="B2011" s="21" t="s">
        <v>5656</v>
      </c>
      <c r="C2011" s="21" t="s">
        <v>22682</v>
      </c>
      <c r="D2011" s="22">
        <v>46034</v>
      </c>
      <c r="E2011" s="23" t="s">
        <v>22656</v>
      </c>
      <c r="F2011" s="24" t="s">
        <v>22657</v>
      </c>
      <c r="G2011" s="25">
        <v>4</v>
      </c>
      <c r="H2011" s="29"/>
      <c r="I2011" s="30"/>
    </row>
    <row r="2012" spans="1:9" ht="15.75" thickBot="1" x14ac:dyDescent="0.3">
      <c r="A2012" s="43" t="s">
        <v>5657</v>
      </c>
      <c r="B2012" s="21" t="s">
        <v>5658</v>
      </c>
      <c r="C2012" s="21" t="s">
        <v>22663</v>
      </c>
      <c r="D2012" s="31">
        <v>1</v>
      </c>
      <c r="E2012" s="23" t="s">
        <v>22656</v>
      </c>
      <c r="F2012" s="24" t="s">
        <v>22657</v>
      </c>
      <c r="G2012" s="25">
        <v>2</v>
      </c>
      <c r="H2012" s="26"/>
      <c r="I2012" s="27"/>
    </row>
    <row r="2013" spans="1:9" ht="15.75" thickBot="1" x14ac:dyDescent="0.3">
      <c r="A2013" s="43" t="s">
        <v>5659</v>
      </c>
      <c r="B2013" s="21" t="s">
        <v>5660</v>
      </c>
      <c r="C2013" s="21" t="s">
        <v>22682</v>
      </c>
      <c r="D2013" s="22">
        <v>46034</v>
      </c>
      <c r="E2013" s="23" t="s">
        <v>22658</v>
      </c>
      <c r="F2013" s="24" t="s">
        <v>22657</v>
      </c>
      <c r="G2013" s="25">
        <v>4</v>
      </c>
      <c r="H2013" s="29"/>
      <c r="I2013" s="30"/>
    </row>
    <row r="2014" spans="1:9" ht="15.75" thickBot="1" x14ac:dyDescent="0.3">
      <c r="A2014" s="43" t="s">
        <v>5661</v>
      </c>
      <c r="B2014" s="21" t="s">
        <v>5662</v>
      </c>
      <c r="C2014" s="21" t="s">
        <v>22682</v>
      </c>
      <c r="D2014" s="22">
        <v>46034</v>
      </c>
      <c r="E2014" s="23" t="s">
        <v>22658</v>
      </c>
      <c r="F2014" s="24" t="s">
        <v>22657</v>
      </c>
      <c r="G2014" s="25">
        <v>4</v>
      </c>
      <c r="H2014" s="26"/>
      <c r="I2014" s="27"/>
    </row>
    <row r="2015" spans="1:9" ht="15.75" thickBot="1" x14ac:dyDescent="0.3">
      <c r="A2015" s="43" t="s">
        <v>5663</v>
      </c>
      <c r="B2015" s="21" t="s">
        <v>5664</v>
      </c>
      <c r="C2015" s="21" t="s">
        <v>22682</v>
      </c>
      <c r="D2015" s="22">
        <v>46034</v>
      </c>
      <c r="E2015" s="23" t="s">
        <v>22658</v>
      </c>
      <c r="F2015" s="24" t="s">
        <v>22657</v>
      </c>
      <c r="G2015" s="25">
        <v>4</v>
      </c>
      <c r="H2015" s="29"/>
      <c r="I2015" s="30"/>
    </row>
    <row r="2016" spans="1:9" ht="15.75" thickBot="1" x14ac:dyDescent="0.3">
      <c r="A2016" s="43" t="s">
        <v>5665</v>
      </c>
      <c r="B2016" s="21" t="s">
        <v>5666</v>
      </c>
      <c r="C2016" s="21" t="s">
        <v>22682</v>
      </c>
      <c r="D2016" s="22">
        <v>46034</v>
      </c>
      <c r="E2016" s="23" t="s">
        <v>22658</v>
      </c>
      <c r="F2016" s="24" t="s">
        <v>22657</v>
      </c>
      <c r="G2016" s="25">
        <v>4</v>
      </c>
      <c r="H2016" s="26"/>
      <c r="I2016" s="27"/>
    </row>
    <row r="2017" spans="1:9" ht="15.75" thickBot="1" x14ac:dyDescent="0.3">
      <c r="A2017" s="43" t="s">
        <v>5667</v>
      </c>
      <c r="B2017" s="21" t="s">
        <v>5668</v>
      </c>
      <c r="C2017" s="21" t="s">
        <v>22682</v>
      </c>
      <c r="D2017" s="22">
        <v>46034</v>
      </c>
      <c r="E2017" s="23" t="s">
        <v>22658</v>
      </c>
      <c r="F2017" s="24" t="s">
        <v>22657</v>
      </c>
      <c r="G2017" s="25">
        <v>4</v>
      </c>
      <c r="H2017" s="29"/>
      <c r="I2017" s="30"/>
    </row>
    <row r="2018" spans="1:9" ht="15.75" thickBot="1" x14ac:dyDescent="0.3">
      <c r="A2018" s="43" t="s">
        <v>5669</v>
      </c>
      <c r="B2018" s="21" t="s">
        <v>5670</v>
      </c>
      <c r="C2018" s="21" t="s">
        <v>22682</v>
      </c>
      <c r="D2018" s="22">
        <v>46034</v>
      </c>
      <c r="E2018" s="23" t="s">
        <v>22658</v>
      </c>
      <c r="F2018" s="24" t="s">
        <v>22657</v>
      </c>
      <c r="G2018" s="25">
        <v>4</v>
      </c>
      <c r="H2018" s="26"/>
      <c r="I2018" s="27"/>
    </row>
    <row r="2019" spans="1:9" ht="15.75" thickBot="1" x14ac:dyDescent="0.3">
      <c r="A2019" s="43" t="s">
        <v>5671</v>
      </c>
      <c r="B2019" s="21" t="s">
        <v>5672</v>
      </c>
      <c r="C2019" s="21" t="s">
        <v>22682</v>
      </c>
      <c r="D2019" s="22">
        <v>46034</v>
      </c>
      <c r="E2019" s="23" t="s">
        <v>22658</v>
      </c>
      <c r="F2019" s="24" t="s">
        <v>22657</v>
      </c>
      <c r="G2019" s="25">
        <v>4</v>
      </c>
      <c r="H2019" s="29"/>
      <c r="I2019" s="30"/>
    </row>
    <row r="2020" spans="1:9" ht="15.75" thickBot="1" x14ac:dyDescent="0.3">
      <c r="A2020" s="43" t="s">
        <v>5673</v>
      </c>
      <c r="B2020" s="21" t="s">
        <v>5674</v>
      </c>
      <c r="C2020" s="21" t="s">
        <v>22682</v>
      </c>
      <c r="D2020" s="22">
        <v>46034</v>
      </c>
      <c r="E2020" s="23" t="s">
        <v>22658</v>
      </c>
      <c r="F2020" s="24" t="s">
        <v>22657</v>
      </c>
      <c r="G2020" s="25">
        <v>4</v>
      </c>
      <c r="H2020" s="26"/>
      <c r="I2020" s="27"/>
    </row>
    <row r="2021" spans="1:9" ht="15.75" thickBot="1" x14ac:dyDescent="0.3">
      <c r="A2021" s="43" t="s">
        <v>5675</v>
      </c>
      <c r="B2021" s="21" t="s">
        <v>5676</v>
      </c>
      <c r="C2021" s="21" t="s">
        <v>22682</v>
      </c>
      <c r="D2021" s="22">
        <v>46034</v>
      </c>
      <c r="E2021" s="23" t="s">
        <v>22656</v>
      </c>
      <c r="F2021" s="24" t="s">
        <v>22657</v>
      </c>
      <c r="G2021" s="25">
        <v>4</v>
      </c>
      <c r="H2021" s="29"/>
      <c r="I2021" s="30"/>
    </row>
    <row r="2022" spans="1:9" ht="15.75" thickBot="1" x14ac:dyDescent="0.3">
      <c r="A2022" s="43" t="s">
        <v>5677</v>
      </c>
      <c r="B2022" s="21" t="s">
        <v>5678</v>
      </c>
      <c r="C2022" s="21" t="s">
        <v>22682</v>
      </c>
      <c r="D2022" s="22">
        <v>46034</v>
      </c>
      <c r="E2022" s="23" t="s">
        <v>22656</v>
      </c>
      <c r="F2022" s="24" t="s">
        <v>22657</v>
      </c>
      <c r="G2022" s="25">
        <v>4</v>
      </c>
      <c r="H2022" s="26"/>
      <c r="I2022" s="27"/>
    </row>
    <row r="2023" spans="1:9" ht="15.75" thickBot="1" x14ac:dyDescent="0.3">
      <c r="A2023" s="43" t="s">
        <v>5679</v>
      </c>
      <c r="B2023" s="21" t="s">
        <v>5680</v>
      </c>
      <c r="C2023" s="21" t="s">
        <v>22682</v>
      </c>
      <c r="D2023" s="22">
        <v>46034</v>
      </c>
      <c r="E2023" s="23" t="s">
        <v>22656</v>
      </c>
      <c r="F2023" s="24" t="s">
        <v>22657</v>
      </c>
      <c r="G2023" s="25">
        <v>4</v>
      </c>
      <c r="H2023" s="29"/>
      <c r="I2023" s="30"/>
    </row>
    <row r="2024" spans="1:9" ht="15.75" thickBot="1" x14ac:dyDescent="0.3">
      <c r="A2024" s="43" t="s">
        <v>5681</v>
      </c>
      <c r="B2024" s="21" t="s">
        <v>5682</v>
      </c>
      <c r="C2024" s="21" t="s">
        <v>22682</v>
      </c>
      <c r="D2024" s="22">
        <v>46034</v>
      </c>
      <c r="E2024" s="23" t="s">
        <v>22656</v>
      </c>
      <c r="F2024" s="24" t="s">
        <v>22657</v>
      </c>
      <c r="G2024" s="25">
        <v>4</v>
      </c>
      <c r="H2024" s="26"/>
      <c r="I2024" s="27"/>
    </row>
    <row r="2025" spans="1:9" ht="15.75" thickBot="1" x14ac:dyDescent="0.3">
      <c r="A2025" s="43" t="s">
        <v>5683</v>
      </c>
      <c r="B2025" s="21" t="s">
        <v>5684</v>
      </c>
      <c r="C2025" s="21" t="s">
        <v>22682</v>
      </c>
      <c r="D2025" s="22">
        <v>46034</v>
      </c>
      <c r="E2025" s="23" t="s">
        <v>22656</v>
      </c>
      <c r="F2025" s="24" t="s">
        <v>22657</v>
      </c>
      <c r="G2025" s="25">
        <v>4</v>
      </c>
      <c r="H2025" s="29"/>
      <c r="I2025" s="30"/>
    </row>
    <row r="2026" spans="1:9" ht="15.75" thickBot="1" x14ac:dyDescent="0.3">
      <c r="A2026" s="43" t="s">
        <v>5685</v>
      </c>
      <c r="B2026" s="21" t="s">
        <v>5686</v>
      </c>
      <c r="C2026" s="21" t="s">
        <v>22682</v>
      </c>
      <c r="D2026" s="22">
        <v>46034</v>
      </c>
      <c r="E2026" s="23" t="s">
        <v>22656</v>
      </c>
      <c r="F2026" s="24" t="s">
        <v>22657</v>
      </c>
      <c r="G2026" s="25">
        <v>4</v>
      </c>
      <c r="H2026" s="26"/>
      <c r="I2026" s="27"/>
    </row>
    <row r="2027" spans="1:9" ht="15.75" thickBot="1" x14ac:dyDescent="0.3">
      <c r="A2027" s="43" t="s">
        <v>5687</v>
      </c>
      <c r="B2027" s="21" t="s">
        <v>5688</v>
      </c>
      <c r="C2027" s="21" t="s">
        <v>22682</v>
      </c>
      <c r="D2027" s="22">
        <v>46034</v>
      </c>
      <c r="E2027" s="23" t="s">
        <v>22658</v>
      </c>
      <c r="F2027" s="24" t="s">
        <v>22657</v>
      </c>
      <c r="G2027" s="25">
        <v>4</v>
      </c>
      <c r="H2027" s="29"/>
      <c r="I2027" s="30"/>
    </row>
    <row r="2028" spans="1:9" ht="15.75" thickBot="1" x14ac:dyDescent="0.3">
      <c r="A2028" s="43" t="s">
        <v>5689</v>
      </c>
      <c r="B2028" s="21" t="s">
        <v>5690</v>
      </c>
      <c r="C2028" s="21" t="s">
        <v>22682</v>
      </c>
      <c r="D2028" s="22">
        <v>46034</v>
      </c>
      <c r="E2028" s="23" t="s">
        <v>22656</v>
      </c>
      <c r="F2028" s="24" t="s">
        <v>22657</v>
      </c>
      <c r="G2028" s="25">
        <v>4</v>
      </c>
      <c r="H2028" s="26"/>
      <c r="I2028" s="27"/>
    </row>
    <row r="2029" spans="1:9" ht="15.75" thickBot="1" x14ac:dyDescent="0.3">
      <c r="A2029" s="43" t="s">
        <v>5691</v>
      </c>
      <c r="B2029" s="21" t="s">
        <v>5692</v>
      </c>
      <c r="C2029" s="21" t="s">
        <v>22684</v>
      </c>
      <c r="D2029" s="22">
        <v>46042</v>
      </c>
      <c r="E2029" s="23" t="s">
        <v>22656</v>
      </c>
      <c r="F2029" s="24" t="s">
        <v>22657</v>
      </c>
      <c r="G2029" s="25">
        <v>4</v>
      </c>
      <c r="H2029" s="29"/>
      <c r="I2029" s="30"/>
    </row>
    <row r="2030" spans="1:9" ht="15.75" thickBot="1" x14ac:dyDescent="0.3">
      <c r="A2030" s="43" t="s">
        <v>5693</v>
      </c>
      <c r="B2030" s="21" t="s">
        <v>5694</v>
      </c>
      <c r="C2030" s="21" t="s">
        <v>22684</v>
      </c>
      <c r="D2030" s="22">
        <v>46042</v>
      </c>
      <c r="E2030" s="23" t="s">
        <v>22656</v>
      </c>
      <c r="F2030" s="24" t="s">
        <v>22657</v>
      </c>
      <c r="G2030" s="25">
        <v>4</v>
      </c>
      <c r="H2030" s="26"/>
      <c r="I2030" s="27"/>
    </row>
    <row r="2031" spans="1:9" ht="15.75" thickBot="1" x14ac:dyDescent="0.3">
      <c r="A2031" s="43" t="s">
        <v>5695</v>
      </c>
      <c r="B2031" s="21" t="s">
        <v>5696</v>
      </c>
      <c r="C2031" s="21" t="s">
        <v>22684</v>
      </c>
      <c r="D2031" s="22">
        <v>46042</v>
      </c>
      <c r="E2031" s="23" t="s">
        <v>22656</v>
      </c>
      <c r="F2031" s="24" t="s">
        <v>22657</v>
      </c>
      <c r="G2031" s="25">
        <v>4</v>
      </c>
      <c r="H2031" s="29"/>
      <c r="I2031" s="30"/>
    </row>
    <row r="2032" spans="1:9" ht="15.75" thickBot="1" x14ac:dyDescent="0.3">
      <c r="A2032" s="43" t="s">
        <v>5697</v>
      </c>
      <c r="B2032" s="21" t="s">
        <v>5698</v>
      </c>
      <c r="C2032" s="21" t="s">
        <v>22684</v>
      </c>
      <c r="D2032" s="22">
        <v>46042</v>
      </c>
      <c r="E2032" s="23" t="s">
        <v>22658</v>
      </c>
      <c r="F2032" s="24" t="s">
        <v>22657</v>
      </c>
      <c r="G2032" s="25">
        <v>4</v>
      </c>
      <c r="H2032" s="26"/>
      <c r="I2032" s="27"/>
    </row>
    <row r="2033" spans="1:9" ht="15.75" thickBot="1" x14ac:dyDescent="0.3">
      <c r="A2033" s="43" t="s">
        <v>5699</v>
      </c>
      <c r="B2033" s="21" t="s">
        <v>5700</v>
      </c>
      <c r="C2033" s="21" t="s">
        <v>22684</v>
      </c>
      <c r="D2033" s="22">
        <v>46042</v>
      </c>
      <c r="E2033" s="23" t="s">
        <v>22656</v>
      </c>
      <c r="F2033" s="24" t="s">
        <v>22657</v>
      </c>
      <c r="G2033" s="25">
        <v>4</v>
      </c>
      <c r="H2033" s="29"/>
      <c r="I2033" s="30"/>
    </row>
    <row r="2034" spans="1:9" ht="15.75" thickBot="1" x14ac:dyDescent="0.3">
      <c r="A2034" s="43" t="s">
        <v>5701</v>
      </c>
      <c r="B2034" s="21" t="s">
        <v>5702</v>
      </c>
      <c r="C2034" s="21" t="s">
        <v>22684</v>
      </c>
      <c r="D2034" s="22">
        <v>46042</v>
      </c>
      <c r="E2034" s="23" t="s">
        <v>22656</v>
      </c>
      <c r="F2034" s="24" t="s">
        <v>22657</v>
      </c>
      <c r="G2034" s="25">
        <v>4</v>
      </c>
      <c r="H2034" s="26"/>
      <c r="I2034" s="27"/>
    </row>
    <row r="2035" spans="1:9" ht="15.75" thickBot="1" x14ac:dyDescent="0.3">
      <c r="A2035" s="43" t="s">
        <v>5703</v>
      </c>
      <c r="B2035" s="21" t="s">
        <v>5704</v>
      </c>
      <c r="C2035" s="21" t="s">
        <v>22684</v>
      </c>
      <c r="D2035" s="22">
        <v>46042</v>
      </c>
      <c r="E2035" s="23" t="s">
        <v>22656</v>
      </c>
      <c r="F2035" s="24" t="s">
        <v>22657</v>
      </c>
      <c r="G2035" s="25">
        <v>4</v>
      </c>
      <c r="H2035" s="29"/>
      <c r="I2035" s="30"/>
    </row>
    <row r="2036" spans="1:9" ht="15.75" thickBot="1" x14ac:dyDescent="0.3">
      <c r="A2036" s="43" t="s">
        <v>5705</v>
      </c>
      <c r="B2036" s="21" t="s">
        <v>5706</v>
      </c>
      <c r="C2036" s="21" t="s">
        <v>22684</v>
      </c>
      <c r="D2036" s="22">
        <v>46042</v>
      </c>
      <c r="E2036" s="23" t="s">
        <v>22656</v>
      </c>
      <c r="F2036" s="24" t="s">
        <v>22657</v>
      </c>
      <c r="G2036" s="25">
        <v>4</v>
      </c>
      <c r="H2036" s="26"/>
      <c r="I2036" s="27"/>
    </row>
    <row r="2037" spans="1:9" ht="15.75" thickBot="1" x14ac:dyDescent="0.3">
      <c r="A2037" s="43" t="s">
        <v>5707</v>
      </c>
      <c r="B2037" s="21" t="s">
        <v>5708</v>
      </c>
      <c r="C2037" s="21" t="s">
        <v>22684</v>
      </c>
      <c r="D2037" s="22">
        <v>46042</v>
      </c>
      <c r="E2037" s="23" t="s">
        <v>22656</v>
      </c>
      <c r="F2037" s="24" t="s">
        <v>22657</v>
      </c>
      <c r="G2037" s="25">
        <v>4</v>
      </c>
      <c r="H2037" s="29"/>
      <c r="I2037" s="30"/>
    </row>
    <row r="2038" spans="1:9" ht="15.75" thickBot="1" x14ac:dyDescent="0.3">
      <c r="A2038" s="43" t="s">
        <v>5709</v>
      </c>
      <c r="B2038" s="21" t="s">
        <v>5710</v>
      </c>
      <c r="C2038" s="21" t="s">
        <v>22684</v>
      </c>
      <c r="D2038" s="22">
        <v>46042</v>
      </c>
      <c r="E2038" s="23" t="s">
        <v>22656</v>
      </c>
      <c r="F2038" s="24" t="s">
        <v>22657</v>
      </c>
      <c r="G2038" s="25">
        <v>4</v>
      </c>
      <c r="H2038" s="26"/>
      <c r="I2038" s="27"/>
    </row>
    <row r="2039" spans="1:9" ht="15.75" thickBot="1" x14ac:dyDescent="0.3">
      <c r="A2039" s="43" t="s">
        <v>5711</v>
      </c>
      <c r="B2039" s="21" t="s">
        <v>5712</v>
      </c>
      <c r="C2039" s="21" t="s">
        <v>22684</v>
      </c>
      <c r="D2039" s="22">
        <v>46042</v>
      </c>
      <c r="E2039" s="23" t="s">
        <v>22656</v>
      </c>
      <c r="F2039" s="24" t="s">
        <v>22657</v>
      </c>
      <c r="G2039" s="25">
        <v>4</v>
      </c>
      <c r="H2039" s="29"/>
      <c r="I2039" s="30"/>
    </row>
    <row r="2040" spans="1:9" ht="15.75" thickBot="1" x14ac:dyDescent="0.3">
      <c r="A2040" s="43" t="s">
        <v>5713</v>
      </c>
      <c r="B2040" s="21" t="s">
        <v>5714</v>
      </c>
      <c r="C2040" s="21" t="s">
        <v>22684</v>
      </c>
      <c r="D2040" s="22">
        <v>46042</v>
      </c>
      <c r="E2040" s="23" t="s">
        <v>22658</v>
      </c>
      <c r="F2040" s="24" t="s">
        <v>22657</v>
      </c>
      <c r="G2040" s="25">
        <v>4</v>
      </c>
      <c r="H2040" s="26"/>
      <c r="I2040" s="27"/>
    </row>
    <row r="2041" spans="1:9" ht="15.75" thickBot="1" x14ac:dyDescent="0.3">
      <c r="A2041" s="43" t="s">
        <v>5715</v>
      </c>
      <c r="B2041" s="21" t="s">
        <v>5716</v>
      </c>
      <c r="C2041" s="21" t="s">
        <v>22684</v>
      </c>
      <c r="D2041" s="22">
        <v>46042</v>
      </c>
      <c r="E2041" s="23" t="s">
        <v>22656</v>
      </c>
      <c r="F2041" s="24" t="s">
        <v>22657</v>
      </c>
      <c r="G2041" s="25">
        <v>4</v>
      </c>
      <c r="H2041" s="29"/>
      <c r="I2041" s="30"/>
    </row>
    <row r="2042" spans="1:9" ht="15.75" thickBot="1" x14ac:dyDescent="0.3">
      <c r="A2042" s="43" t="s">
        <v>5717</v>
      </c>
      <c r="B2042" s="21" t="s">
        <v>5718</v>
      </c>
      <c r="C2042" s="21" t="s">
        <v>22684</v>
      </c>
      <c r="D2042" s="22">
        <v>46042</v>
      </c>
      <c r="E2042" s="23" t="s">
        <v>22658</v>
      </c>
      <c r="F2042" s="24" t="s">
        <v>22657</v>
      </c>
      <c r="G2042" s="25">
        <v>4</v>
      </c>
      <c r="H2042" s="26"/>
      <c r="I2042" s="27"/>
    </row>
    <row r="2043" spans="1:9" ht="15.75" thickBot="1" x14ac:dyDescent="0.3">
      <c r="A2043" s="43" t="s">
        <v>5719</v>
      </c>
      <c r="B2043" s="21" t="s">
        <v>5720</v>
      </c>
      <c r="C2043" s="21" t="s">
        <v>22684</v>
      </c>
      <c r="D2043" s="22">
        <v>46042</v>
      </c>
      <c r="E2043" s="23" t="s">
        <v>22658</v>
      </c>
      <c r="F2043" s="24" t="s">
        <v>22657</v>
      </c>
      <c r="G2043" s="25">
        <v>4</v>
      </c>
      <c r="H2043" s="29"/>
      <c r="I2043" s="30"/>
    </row>
    <row r="2044" spans="1:9" ht="15.75" thickBot="1" x14ac:dyDescent="0.3">
      <c r="A2044" s="43" t="s">
        <v>5721</v>
      </c>
      <c r="B2044" s="21" t="s">
        <v>5722</v>
      </c>
      <c r="C2044" s="21" t="s">
        <v>22682</v>
      </c>
      <c r="D2044" s="22">
        <v>46034</v>
      </c>
      <c r="E2044" s="23" t="s">
        <v>22658</v>
      </c>
      <c r="F2044" s="24" t="s">
        <v>22657</v>
      </c>
      <c r="G2044" s="25">
        <v>2</v>
      </c>
      <c r="H2044" s="26"/>
      <c r="I2044" s="27"/>
    </row>
    <row r="2045" spans="1:9" ht="15.75" thickBot="1" x14ac:dyDescent="0.3">
      <c r="A2045" s="43" t="s">
        <v>5723</v>
      </c>
      <c r="B2045" s="21" t="s">
        <v>5724</v>
      </c>
      <c r="C2045" s="21" t="s">
        <v>22684</v>
      </c>
      <c r="D2045" s="22">
        <v>46042</v>
      </c>
      <c r="E2045" s="23" t="s">
        <v>22658</v>
      </c>
      <c r="F2045" s="24" t="s">
        <v>22657</v>
      </c>
      <c r="G2045" s="25">
        <v>2</v>
      </c>
      <c r="H2045" s="29"/>
      <c r="I2045" s="30"/>
    </row>
    <row r="2046" spans="1:9" ht="15.75" thickBot="1" x14ac:dyDescent="0.3">
      <c r="A2046" s="43" t="s">
        <v>5725</v>
      </c>
      <c r="B2046" s="21" t="s">
        <v>5726</v>
      </c>
      <c r="C2046" s="21" t="s">
        <v>22684</v>
      </c>
      <c r="D2046" s="22">
        <v>46042</v>
      </c>
      <c r="E2046" s="23" t="s">
        <v>22656</v>
      </c>
      <c r="F2046" s="24" t="s">
        <v>22657</v>
      </c>
      <c r="G2046" s="25">
        <v>2</v>
      </c>
      <c r="H2046" s="26"/>
      <c r="I2046" s="27"/>
    </row>
    <row r="2047" spans="1:9" ht="15.75" thickBot="1" x14ac:dyDescent="0.3">
      <c r="A2047" s="43" t="s">
        <v>5727</v>
      </c>
      <c r="B2047" s="21" t="s">
        <v>5728</v>
      </c>
      <c r="C2047" s="21" t="s">
        <v>22684</v>
      </c>
      <c r="D2047" s="22">
        <v>46042</v>
      </c>
      <c r="E2047" s="23" t="s">
        <v>22658</v>
      </c>
      <c r="F2047" s="24" t="s">
        <v>22657</v>
      </c>
      <c r="G2047" s="25">
        <v>2</v>
      </c>
      <c r="H2047" s="29"/>
      <c r="I2047" s="30"/>
    </row>
    <row r="2048" spans="1:9" ht="15.75" thickBot="1" x14ac:dyDescent="0.3">
      <c r="A2048" s="43" t="s">
        <v>5729</v>
      </c>
      <c r="B2048" s="21" t="s">
        <v>5730</v>
      </c>
      <c r="C2048" s="21" t="s">
        <v>22684</v>
      </c>
      <c r="D2048" s="22">
        <v>46042</v>
      </c>
      <c r="E2048" s="23" t="s">
        <v>22658</v>
      </c>
      <c r="F2048" s="24" t="s">
        <v>22657</v>
      </c>
      <c r="G2048" s="25">
        <v>2</v>
      </c>
      <c r="H2048" s="26"/>
      <c r="I2048" s="27"/>
    </row>
    <row r="2049" spans="1:9" ht="15.75" thickBot="1" x14ac:dyDescent="0.3">
      <c r="A2049" s="43" t="s">
        <v>5731</v>
      </c>
      <c r="B2049" s="21" t="s">
        <v>5732</v>
      </c>
      <c r="C2049" s="21" t="s">
        <v>22684</v>
      </c>
      <c r="D2049" s="22">
        <v>46042</v>
      </c>
      <c r="E2049" s="23" t="s">
        <v>22658</v>
      </c>
      <c r="F2049" s="24" t="s">
        <v>22657</v>
      </c>
      <c r="G2049" s="25">
        <v>2</v>
      </c>
      <c r="H2049" s="29"/>
      <c r="I2049" s="30"/>
    </row>
    <row r="2050" spans="1:9" ht="15.75" thickBot="1" x14ac:dyDescent="0.3">
      <c r="A2050" s="43" t="s">
        <v>5733</v>
      </c>
      <c r="B2050" s="21" t="s">
        <v>5734</v>
      </c>
      <c r="C2050" s="21" t="s">
        <v>22684</v>
      </c>
      <c r="D2050" s="22">
        <v>46042</v>
      </c>
      <c r="E2050" s="23" t="s">
        <v>22658</v>
      </c>
      <c r="F2050" s="24" t="s">
        <v>22657</v>
      </c>
      <c r="G2050" s="25">
        <v>2</v>
      </c>
      <c r="H2050" s="26"/>
      <c r="I2050" s="27"/>
    </row>
    <row r="2051" spans="1:9" ht="15.75" thickBot="1" x14ac:dyDescent="0.3">
      <c r="A2051" s="43" t="s">
        <v>5735</v>
      </c>
      <c r="B2051" s="21" t="s">
        <v>5736</v>
      </c>
      <c r="C2051" s="21" t="s">
        <v>22682</v>
      </c>
      <c r="D2051" s="22">
        <v>46034</v>
      </c>
      <c r="E2051" s="23" t="s">
        <v>22656</v>
      </c>
      <c r="F2051" s="24" t="s">
        <v>22657</v>
      </c>
      <c r="G2051" s="25">
        <v>4</v>
      </c>
      <c r="H2051" s="29"/>
      <c r="I2051" s="30"/>
    </row>
    <row r="2052" spans="1:9" ht="15.75" thickBot="1" x14ac:dyDescent="0.3">
      <c r="A2052" s="43" t="s">
        <v>5737</v>
      </c>
      <c r="B2052" s="21" t="s">
        <v>5738</v>
      </c>
      <c r="C2052" s="21" t="s">
        <v>22682</v>
      </c>
      <c r="D2052" s="22">
        <v>46034</v>
      </c>
      <c r="E2052" s="23" t="s">
        <v>22656</v>
      </c>
      <c r="F2052" s="24" t="s">
        <v>22657</v>
      </c>
      <c r="G2052" s="25">
        <v>4</v>
      </c>
      <c r="H2052" s="26"/>
      <c r="I2052" s="27"/>
    </row>
    <row r="2053" spans="1:9" ht="15.75" thickBot="1" x14ac:dyDescent="0.3">
      <c r="A2053" s="43" t="s">
        <v>5739</v>
      </c>
      <c r="B2053" s="21" t="s">
        <v>5740</v>
      </c>
      <c r="C2053" s="21" t="s">
        <v>22682</v>
      </c>
      <c r="D2053" s="22">
        <v>46034</v>
      </c>
      <c r="E2053" s="23" t="s">
        <v>22658</v>
      </c>
      <c r="F2053" s="24" t="s">
        <v>22657</v>
      </c>
      <c r="G2053" s="25">
        <v>4</v>
      </c>
      <c r="H2053" s="29"/>
      <c r="I2053" s="30"/>
    </row>
    <row r="2054" spans="1:9" ht="15.75" thickBot="1" x14ac:dyDescent="0.3">
      <c r="A2054" s="43" t="s">
        <v>5741</v>
      </c>
      <c r="B2054" s="21" t="s">
        <v>5742</v>
      </c>
      <c r="C2054" s="21" t="s">
        <v>22682</v>
      </c>
      <c r="D2054" s="22">
        <v>46034</v>
      </c>
      <c r="E2054" s="23" t="s">
        <v>22658</v>
      </c>
      <c r="F2054" s="24" t="s">
        <v>22657</v>
      </c>
      <c r="G2054" s="25">
        <v>4</v>
      </c>
      <c r="H2054" s="26"/>
      <c r="I2054" s="27"/>
    </row>
    <row r="2055" spans="1:9" ht="15.75" thickBot="1" x14ac:dyDescent="0.3">
      <c r="A2055" s="43" t="s">
        <v>5743</v>
      </c>
      <c r="B2055" s="21" t="s">
        <v>5744</v>
      </c>
      <c r="C2055" s="21" t="s">
        <v>22682</v>
      </c>
      <c r="D2055" s="22">
        <v>46034</v>
      </c>
      <c r="E2055" s="23" t="s">
        <v>22658</v>
      </c>
      <c r="F2055" s="24" t="s">
        <v>22657</v>
      </c>
      <c r="G2055" s="25">
        <v>4</v>
      </c>
      <c r="H2055" s="29"/>
      <c r="I2055" s="30"/>
    </row>
    <row r="2056" spans="1:9" ht="15.75" thickBot="1" x14ac:dyDescent="0.3">
      <c r="A2056" s="43" t="s">
        <v>5745</v>
      </c>
      <c r="B2056" s="21" t="s">
        <v>5746</v>
      </c>
      <c r="C2056" s="21" t="s">
        <v>22682</v>
      </c>
      <c r="D2056" s="22">
        <v>46034</v>
      </c>
      <c r="E2056" s="23" t="s">
        <v>22658</v>
      </c>
      <c r="F2056" s="24" t="s">
        <v>22657</v>
      </c>
      <c r="G2056" s="25">
        <v>4</v>
      </c>
      <c r="H2056" s="26"/>
      <c r="I2056" s="27"/>
    </row>
    <row r="2057" spans="1:9" ht="15.75" thickBot="1" x14ac:dyDescent="0.3">
      <c r="A2057" s="43" t="s">
        <v>5747</v>
      </c>
      <c r="B2057" s="21" t="s">
        <v>5748</v>
      </c>
      <c r="C2057" s="21" t="s">
        <v>22682</v>
      </c>
      <c r="D2057" s="22">
        <v>46034</v>
      </c>
      <c r="E2057" s="23" t="s">
        <v>22658</v>
      </c>
      <c r="F2057" s="24" t="s">
        <v>22657</v>
      </c>
      <c r="G2057" s="25">
        <v>4</v>
      </c>
      <c r="H2057" s="29"/>
      <c r="I2057" s="30"/>
    </row>
    <row r="2058" spans="1:9" ht="15.75" thickBot="1" x14ac:dyDescent="0.3">
      <c r="A2058" s="43" t="s">
        <v>5749</v>
      </c>
      <c r="B2058" s="21" t="s">
        <v>5750</v>
      </c>
      <c r="C2058" s="21" t="s">
        <v>22682</v>
      </c>
      <c r="D2058" s="22">
        <v>46034</v>
      </c>
      <c r="E2058" s="23" t="s">
        <v>22658</v>
      </c>
      <c r="F2058" s="24" t="s">
        <v>22657</v>
      </c>
      <c r="G2058" s="25">
        <v>4</v>
      </c>
      <c r="H2058" s="26"/>
      <c r="I2058" s="27"/>
    </row>
    <row r="2059" spans="1:9" ht="15.75" thickBot="1" x14ac:dyDescent="0.3">
      <c r="A2059" s="43" t="s">
        <v>5751</v>
      </c>
      <c r="B2059" s="21" t="s">
        <v>5752</v>
      </c>
      <c r="C2059" s="21" t="s">
        <v>22682</v>
      </c>
      <c r="D2059" s="22">
        <v>46034</v>
      </c>
      <c r="E2059" s="23" t="s">
        <v>22658</v>
      </c>
      <c r="F2059" s="24" t="s">
        <v>22657</v>
      </c>
      <c r="G2059" s="25">
        <v>4</v>
      </c>
      <c r="H2059" s="29"/>
      <c r="I2059" s="30"/>
    </row>
    <row r="2060" spans="1:9" ht="15.75" thickBot="1" x14ac:dyDescent="0.3">
      <c r="A2060" s="43" t="s">
        <v>5753</v>
      </c>
      <c r="B2060" s="21" t="s">
        <v>5754</v>
      </c>
      <c r="C2060" s="21" t="s">
        <v>22682</v>
      </c>
      <c r="D2060" s="22">
        <v>46034</v>
      </c>
      <c r="E2060" s="23" t="s">
        <v>22658</v>
      </c>
      <c r="F2060" s="24" t="s">
        <v>22657</v>
      </c>
      <c r="G2060" s="25">
        <v>4</v>
      </c>
      <c r="H2060" s="26"/>
      <c r="I2060" s="27"/>
    </row>
    <row r="2061" spans="1:9" ht="15.75" thickBot="1" x14ac:dyDescent="0.3">
      <c r="A2061" s="43" t="s">
        <v>5755</v>
      </c>
      <c r="B2061" s="21" t="s">
        <v>5756</v>
      </c>
      <c r="C2061" s="21" t="s">
        <v>22682</v>
      </c>
      <c r="D2061" s="22">
        <v>46034</v>
      </c>
      <c r="E2061" s="23" t="s">
        <v>22658</v>
      </c>
      <c r="F2061" s="24" t="s">
        <v>22657</v>
      </c>
      <c r="G2061" s="25">
        <v>4</v>
      </c>
      <c r="H2061" s="29"/>
      <c r="I2061" s="30"/>
    </row>
    <row r="2062" spans="1:9" ht="15.75" thickBot="1" x14ac:dyDescent="0.3">
      <c r="A2062" s="43" t="s">
        <v>5757</v>
      </c>
      <c r="B2062" s="21" t="s">
        <v>5758</v>
      </c>
      <c r="C2062" s="21" t="s">
        <v>22682</v>
      </c>
      <c r="D2062" s="22">
        <v>46034</v>
      </c>
      <c r="E2062" s="23" t="s">
        <v>22658</v>
      </c>
      <c r="F2062" s="24" t="s">
        <v>22657</v>
      </c>
      <c r="G2062" s="25">
        <v>4</v>
      </c>
      <c r="H2062" s="26"/>
      <c r="I2062" s="27"/>
    </row>
    <row r="2063" spans="1:9" ht="15.75" thickBot="1" x14ac:dyDescent="0.3">
      <c r="A2063" s="43" t="s">
        <v>5759</v>
      </c>
      <c r="B2063" s="21" t="s">
        <v>5760</v>
      </c>
      <c r="C2063" s="21" t="s">
        <v>22682</v>
      </c>
      <c r="D2063" s="22">
        <v>46034</v>
      </c>
      <c r="E2063" s="23" t="s">
        <v>22658</v>
      </c>
      <c r="F2063" s="24" t="s">
        <v>22657</v>
      </c>
      <c r="G2063" s="25">
        <v>4</v>
      </c>
      <c r="H2063" s="29"/>
      <c r="I2063" s="30"/>
    </row>
    <row r="2064" spans="1:9" ht="15.75" thickBot="1" x14ac:dyDescent="0.3">
      <c r="A2064" s="43" t="s">
        <v>5761</v>
      </c>
      <c r="B2064" s="21" t="s">
        <v>5762</v>
      </c>
      <c r="C2064" s="21" t="s">
        <v>22682</v>
      </c>
      <c r="D2064" s="22">
        <v>46034</v>
      </c>
      <c r="E2064" s="23" t="s">
        <v>22658</v>
      </c>
      <c r="F2064" s="24" t="s">
        <v>22657</v>
      </c>
      <c r="G2064" s="25">
        <v>4</v>
      </c>
      <c r="H2064" s="26"/>
      <c r="I2064" s="27"/>
    </row>
    <row r="2065" spans="1:9" ht="15.75" thickBot="1" x14ac:dyDescent="0.3">
      <c r="A2065" s="43" t="s">
        <v>5763</v>
      </c>
      <c r="B2065" s="21" t="s">
        <v>5764</v>
      </c>
      <c r="C2065" s="21" t="s">
        <v>22682</v>
      </c>
      <c r="D2065" s="22">
        <v>46034</v>
      </c>
      <c r="E2065" s="23" t="s">
        <v>22658</v>
      </c>
      <c r="F2065" s="24" t="s">
        <v>22657</v>
      </c>
      <c r="G2065" s="25">
        <v>4</v>
      </c>
      <c r="H2065" s="29"/>
      <c r="I2065" s="30"/>
    </row>
    <row r="2066" spans="1:9" ht="15.75" thickBot="1" x14ac:dyDescent="0.3">
      <c r="A2066" s="43" t="s">
        <v>5765</v>
      </c>
      <c r="B2066" s="21" t="s">
        <v>5766</v>
      </c>
      <c r="C2066" s="21" t="s">
        <v>22682</v>
      </c>
      <c r="D2066" s="22">
        <v>46034</v>
      </c>
      <c r="E2066" s="23" t="s">
        <v>22658</v>
      </c>
      <c r="F2066" s="24" t="s">
        <v>22657</v>
      </c>
      <c r="G2066" s="25">
        <v>4</v>
      </c>
      <c r="H2066" s="26"/>
      <c r="I2066" s="27"/>
    </row>
    <row r="2067" spans="1:9" ht="15.75" thickBot="1" x14ac:dyDescent="0.3">
      <c r="A2067" s="43" t="s">
        <v>5767</v>
      </c>
      <c r="B2067" s="21" t="s">
        <v>5768</v>
      </c>
      <c r="C2067" s="21" t="s">
        <v>22682</v>
      </c>
      <c r="D2067" s="22">
        <v>46034</v>
      </c>
      <c r="E2067" s="23" t="s">
        <v>22658</v>
      </c>
      <c r="F2067" s="24" t="s">
        <v>22657</v>
      </c>
      <c r="G2067" s="25">
        <v>4</v>
      </c>
      <c r="H2067" s="29"/>
      <c r="I2067" s="30"/>
    </row>
    <row r="2068" spans="1:9" ht="15.75" thickBot="1" x14ac:dyDescent="0.3">
      <c r="A2068" s="43" t="s">
        <v>5769</v>
      </c>
      <c r="B2068" s="21" t="s">
        <v>5770</v>
      </c>
      <c r="C2068" s="21" t="s">
        <v>22682</v>
      </c>
      <c r="D2068" s="22">
        <v>46034</v>
      </c>
      <c r="E2068" s="23" t="s">
        <v>22658</v>
      </c>
      <c r="F2068" s="24" t="s">
        <v>22657</v>
      </c>
      <c r="G2068" s="25">
        <v>4</v>
      </c>
      <c r="H2068" s="26"/>
      <c r="I2068" s="27"/>
    </row>
    <row r="2069" spans="1:9" ht="15.75" thickBot="1" x14ac:dyDescent="0.3">
      <c r="A2069" s="43" t="s">
        <v>5771</v>
      </c>
      <c r="B2069" s="21" t="s">
        <v>5772</v>
      </c>
      <c r="C2069" s="21" t="s">
        <v>22682</v>
      </c>
      <c r="D2069" s="22">
        <v>46034</v>
      </c>
      <c r="E2069" s="23" t="s">
        <v>22658</v>
      </c>
      <c r="F2069" s="24" t="s">
        <v>22657</v>
      </c>
      <c r="G2069" s="25">
        <v>4</v>
      </c>
      <c r="H2069" s="29"/>
      <c r="I2069" s="30"/>
    </row>
    <row r="2070" spans="1:9" ht="15.75" thickBot="1" x14ac:dyDescent="0.3">
      <c r="A2070" s="43" t="s">
        <v>5773</v>
      </c>
      <c r="B2070" s="21" t="s">
        <v>5774</v>
      </c>
      <c r="C2070" s="21" t="s">
        <v>22682</v>
      </c>
      <c r="D2070" s="22">
        <v>46034</v>
      </c>
      <c r="E2070" s="23" t="s">
        <v>22656</v>
      </c>
      <c r="F2070" s="24" t="s">
        <v>22657</v>
      </c>
      <c r="G2070" s="25">
        <v>4</v>
      </c>
      <c r="H2070" s="26"/>
      <c r="I2070" s="27"/>
    </row>
    <row r="2071" spans="1:9" ht="15.75" thickBot="1" x14ac:dyDescent="0.3">
      <c r="A2071" s="43" t="s">
        <v>5775</v>
      </c>
      <c r="B2071" s="21" t="s">
        <v>5776</v>
      </c>
      <c r="C2071" s="21" t="s">
        <v>22682</v>
      </c>
      <c r="D2071" s="22">
        <v>46034</v>
      </c>
      <c r="E2071" s="23" t="s">
        <v>22656</v>
      </c>
      <c r="F2071" s="24" t="s">
        <v>22657</v>
      </c>
      <c r="G2071" s="25">
        <v>4</v>
      </c>
      <c r="H2071" s="29"/>
      <c r="I2071" s="30"/>
    </row>
    <row r="2072" spans="1:9" ht="15.75" thickBot="1" x14ac:dyDescent="0.3">
      <c r="A2072" s="43" t="s">
        <v>5777</v>
      </c>
      <c r="B2072" s="21" t="s">
        <v>5778</v>
      </c>
      <c r="C2072" s="21" t="s">
        <v>22682</v>
      </c>
      <c r="D2072" s="22">
        <v>46034</v>
      </c>
      <c r="E2072" s="23" t="s">
        <v>22658</v>
      </c>
      <c r="F2072" s="24" t="s">
        <v>22657</v>
      </c>
      <c r="G2072" s="25">
        <v>4</v>
      </c>
      <c r="H2072" s="26"/>
      <c r="I2072" s="27"/>
    </row>
    <row r="2073" spans="1:9" ht="15.75" thickBot="1" x14ac:dyDescent="0.3">
      <c r="A2073" s="43" t="s">
        <v>5779</v>
      </c>
      <c r="B2073" s="21" t="s">
        <v>5780</v>
      </c>
      <c r="C2073" s="21" t="s">
        <v>22682</v>
      </c>
      <c r="D2073" s="22">
        <v>46034</v>
      </c>
      <c r="E2073" s="23" t="s">
        <v>22656</v>
      </c>
      <c r="F2073" s="24" t="s">
        <v>22657</v>
      </c>
      <c r="G2073" s="25">
        <v>4</v>
      </c>
      <c r="H2073" s="29"/>
      <c r="I2073" s="30"/>
    </row>
    <row r="2074" spans="1:9" ht="15.75" thickBot="1" x14ac:dyDescent="0.3">
      <c r="A2074" s="43" t="s">
        <v>5781</v>
      </c>
      <c r="B2074" s="21" t="s">
        <v>5782</v>
      </c>
      <c r="C2074" s="21" t="s">
        <v>22682</v>
      </c>
      <c r="D2074" s="22">
        <v>46034</v>
      </c>
      <c r="E2074" s="23" t="s">
        <v>22656</v>
      </c>
      <c r="F2074" s="24" t="s">
        <v>22657</v>
      </c>
      <c r="G2074" s="25">
        <v>4</v>
      </c>
      <c r="H2074" s="26"/>
      <c r="I2074" s="27"/>
    </row>
    <row r="2075" spans="1:9" ht="15.75" thickBot="1" x14ac:dyDescent="0.3">
      <c r="A2075" s="43" t="s">
        <v>5783</v>
      </c>
      <c r="B2075" s="21" t="s">
        <v>5784</v>
      </c>
      <c r="C2075" s="21" t="s">
        <v>22682</v>
      </c>
      <c r="D2075" s="22">
        <v>46034</v>
      </c>
      <c r="E2075" s="23" t="s">
        <v>22658</v>
      </c>
      <c r="F2075" s="24" t="s">
        <v>22657</v>
      </c>
      <c r="G2075" s="25">
        <v>4</v>
      </c>
      <c r="H2075" s="29"/>
      <c r="I2075" s="30"/>
    </row>
    <row r="2076" spans="1:9" ht="15.75" thickBot="1" x14ac:dyDescent="0.3">
      <c r="A2076" s="43" t="s">
        <v>5785</v>
      </c>
      <c r="B2076" s="21" t="s">
        <v>5786</v>
      </c>
      <c r="C2076" s="21" t="s">
        <v>22682</v>
      </c>
      <c r="D2076" s="22">
        <v>46034</v>
      </c>
      <c r="E2076" s="23" t="s">
        <v>22658</v>
      </c>
      <c r="F2076" s="24" t="s">
        <v>22657</v>
      </c>
      <c r="G2076" s="25">
        <v>4</v>
      </c>
      <c r="H2076" s="26"/>
      <c r="I2076" s="27"/>
    </row>
    <row r="2077" spans="1:9" ht="15.75" thickBot="1" x14ac:dyDescent="0.3">
      <c r="A2077" s="43" t="s">
        <v>5787</v>
      </c>
      <c r="B2077" s="21" t="s">
        <v>5788</v>
      </c>
      <c r="C2077" s="21" t="s">
        <v>22682</v>
      </c>
      <c r="D2077" s="22">
        <v>46034</v>
      </c>
      <c r="E2077" s="23" t="s">
        <v>22658</v>
      </c>
      <c r="F2077" s="24" t="s">
        <v>22657</v>
      </c>
      <c r="G2077" s="25">
        <v>4</v>
      </c>
      <c r="H2077" s="29"/>
      <c r="I2077" s="30"/>
    </row>
    <row r="2078" spans="1:9" ht="15.75" thickBot="1" x14ac:dyDescent="0.3">
      <c r="A2078" s="43" t="s">
        <v>5789</v>
      </c>
      <c r="B2078" s="21" t="s">
        <v>5790</v>
      </c>
      <c r="C2078" s="21" t="s">
        <v>22682</v>
      </c>
      <c r="D2078" s="22">
        <v>46034</v>
      </c>
      <c r="E2078" s="23" t="s">
        <v>22658</v>
      </c>
      <c r="F2078" s="24" t="s">
        <v>22657</v>
      </c>
      <c r="G2078" s="25">
        <v>4</v>
      </c>
      <c r="H2078" s="26"/>
      <c r="I2078" s="27"/>
    </row>
    <row r="2079" spans="1:9" ht="15.75" thickBot="1" x14ac:dyDescent="0.3">
      <c r="A2079" s="43" t="s">
        <v>5791</v>
      </c>
      <c r="B2079" s="21" t="s">
        <v>5792</v>
      </c>
      <c r="C2079" s="21" t="s">
        <v>22682</v>
      </c>
      <c r="D2079" s="22">
        <v>46034</v>
      </c>
      <c r="E2079" s="23" t="s">
        <v>22658</v>
      </c>
      <c r="F2079" s="24" t="s">
        <v>22657</v>
      </c>
      <c r="G2079" s="25">
        <v>4</v>
      </c>
      <c r="H2079" s="29"/>
      <c r="I2079" s="30"/>
    </row>
    <row r="2080" spans="1:9" ht="15.75" thickBot="1" x14ac:dyDescent="0.3">
      <c r="A2080" s="43" t="s">
        <v>5793</v>
      </c>
      <c r="B2080" s="21" t="s">
        <v>5794</v>
      </c>
      <c r="C2080" s="21" t="s">
        <v>22682</v>
      </c>
      <c r="D2080" s="22">
        <v>46034</v>
      </c>
      <c r="E2080" s="23" t="s">
        <v>22658</v>
      </c>
      <c r="F2080" s="24" t="s">
        <v>22657</v>
      </c>
      <c r="G2080" s="25">
        <v>4</v>
      </c>
      <c r="H2080" s="26"/>
      <c r="I2080" s="27"/>
    </row>
    <row r="2081" spans="1:9" ht="15.75" thickBot="1" x14ac:dyDescent="0.3">
      <c r="A2081" s="43" t="s">
        <v>5795</v>
      </c>
      <c r="B2081" s="21" t="s">
        <v>5796</v>
      </c>
      <c r="C2081" s="21" t="s">
        <v>22682</v>
      </c>
      <c r="D2081" s="22">
        <v>46034</v>
      </c>
      <c r="E2081" s="23" t="s">
        <v>22658</v>
      </c>
      <c r="F2081" s="24" t="s">
        <v>22657</v>
      </c>
      <c r="G2081" s="25">
        <v>4</v>
      </c>
      <c r="H2081" s="29"/>
      <c r="I2081" s="30"/>
    </row>
    <row r="2082" spans="1:9" ht="15.75" thickBot="1" x14ac:dyDescent="0.3">
      <c r="A2082" s="43" t="s">
        <v>5797</v>
      </c>
      <c r="B2082" s="21" t="s">
        <v>5798</v>
      </c>
      <c r="C2082" s="21" t="s">
        <v>22694</v>
      </c>
      <c r="D2082" s="22">
        <v>46037</v>
      </c>
      <c r="E2082" s="23" t="s">
        <v>22656</v>
      </c>
      <c r="F2082" s="24" t="s">
        <v>22657</v>
      </c>
      <c r="G2082" s="25">
        <v>5</v>
      </c>
      <c r="H2082" s="26"/>
      <c r="I2082" s="27"/>
    </row>
    <row r="2083" spans="1:9" ht="15.75" thickBot="1" x14ac:dyDescent="0.3">
      <c r="A2083" s="43" t="s">
        <v>5799</v>
      </c>
      <c r="B2083" s="21" t="s">
        <v>5800</v>
      </c>
      <c r="C2083" s="21" t="s">
        <v>22690</v>
      </c>
      <c r="D2083" s="31" t="s">
        <v>22777</v>
      </c>
      <c r="E2083" s="23" t="s">
        <v>22665</v>
      </c>
      <c r="F2083" s="24" t="s">
        <v>22657</v>
      </c>
      <c r="G2083" s="25">
        <v>13</v>
      </c>
      <c r="H2083" s="29"/>
      <c r="I2083" s="30"/>
    </row>
    <row r="2084" spans="1:9" ht="15.75" thickBot="1" x14ac:dyDescent="0.3">
      <c r="A2084" s="43" t="s">
        <v>5801</v>
      </c>
      <c r="B2084" s="21" t="s">
        <v>5802</v>
      </c>
      <c r="C2084" s="21" t="s">
        <v>22690</v>
      </c>
      <c r="D2084" s="31" t="s">
        <v>22777</v>
      </c>
      <c r="E2084" s="23" t="s">
        <v>22661</v>
      </c>
      <c r="F2084" s="24" t="s">
        <v>22657</v>
      </c>
      <c r="G2084" s="25">
        <v>11</v>
      </c>
      <c r="H2084" s="26"/>
      <c r="I2084" s="27"/>
    </row>
    <row r="2085" spans="1:9" ht="15.75" thickBot="1" x14ac:dyDescent="0.3">
      <c r="A2085" s="43" t="s">
        <v>22359</v>
      </c>
      <c r="B2085" s="21" t="s">
        <v>22167</v>
      </c>
      <c r="C2085" s="36" t="s">
        <v>22655</v>
      </c>
      <c r="D2085" s="40">
        <v>46044</v>
      </c>
      <c r="E2085" s="23" t="s">
        <v>22656</v>
      </c>
      <c r="F2085" s="28" t="s">
        <v>22659</v>
      </c>
      <c r="G2085" s="25">
        <v>2</v>
      </c>
      <c r="H2085" s="29"/>
      <c r="I2085" s="30"/>
    </row>
    <row r="2086" spans="1:9" ht="15.75" thickBot="1" x14ac:dyDescent="0.3">
      <c r="A2086" s="43" t="s">
        <v>5805</v>
      </c>
      <c r="B2086" s="21" t="s">
        <v>5806</v>
      </c>
      <c r="C2086" s="21" t="s">
        <v>22655</v>
      </c>
      <c r="D2086" s="22">
        <v>46034</v>
      </c>
      <c r="E2086" s="23" t="s">
        <v>22656</v>
      </c>
      <c r="F2086" s="24" t="s">
        <v>22657</v>
      </c>
      <c r="G2086" s="25">
        <v>2</v>
      </c>
      <c r="H2086" s="26"/>
      <c r="I2086" s="27"/>
    </row>
    <row r="2087" spans="1:9" ht="15.75" thickBot="1" x14ac:dyDescent="0.3">
      <c r="A2087" s="43" t="s">
        <v>5807</v>
      </c>
      <c r="B2087" s="21" t="s">
        <v>5808</v>
      </c>
      <c r="C2087" s="21" t="s">
        <v>22655</v>
      </c>
      <c r="D2087" s="22">
        <v>46032</v>
      </c>
      <c r="E2087" s="23" t="s">
        <v>22661</v>
      </c>
      <c r="F2087" s="24" t="s">
        <v>22657</v>
      </c>
      <c r="G2087" s="25">
        <v>5</v>
      </c>
      <c r="H2087" s="32">
        <v>5</v>
      </c>
      <c r="I2087" s="33">
        <v>15</v>
      </c>
    </row>
    <row r="2088" spans="1:9" ht="15.75" thickBot="1" x14ac:dyDescent="0.3">
      <c r="A2088" s="43" t="s">
        <v>5809</v>
      </c>
      <c r="B2088" s="21" t="s">
        <v>5810</v>
      </c>
      <c r="C2088" s="21" t="s">
        <v>22655</v>
      </c>
      <c r="D2088" s="22">
        <v>46032</v>
      </c>
      <c r="E2088" s="23" t="s">
        <v>22656</v>
      </c>
      <c r="F2088" s="24" t="s">
        <v>22657</v>
      </c>
      <c r="G2088" s="25">
        <v>2</v>
      </c>
      <c r="H2088" s="26"/>
      <c r="I2088" s="27"/>
    </row>
    <row r="2089" spans="1:9" ht="15.75" thickBot="1" x14ac:dyDescent="0.3">
      <c r="A2089" s="43" t="s">
        <v>5811</v>
      </c>
      <c r="B2089" s="21" t="s">
        <v>5812</v>
      </c>
      <c r="C2089" s="21" t="s">
        <v>22655</v>
      </c>
      <c r="D2089" s="22">
        <v>46042</v>
      </c>
      <c r="E2089" s="23" t="s">
        <v>22656</v>
      </c>
      <c r="F2089" s="24" t="s">
        <v>22657</v>
      </c>
      <c r="G2089" s="25">
        <v>3</v>
      </c>
      <c r="H2089" s="29"/>
      <c r="I2089" s="30"/>
    </row>
    <row r="2090" spans="1:9" ht="15.75" thickBot="1" x14ac:dyDescent="0.3">
      <c r="A2090" s="43" t="s">
        <v>5813</v>
      </c>
      <c r="B2090" s="21" t="s">
        <v>5814</v>
      </c>
      <c r="C2090" s="21" t="s">
        <v>22655</v>
      </c>
      <c r="D2090" s="22">
        <v>46044</v>
      </c>
      <c r="E2090" s="23" t="s">
        <v>22656</v>
      </c>
      <c r="F2090" s="24" t="s">
        <v>22657</v>
      </c>
      <c r="G2090" s="25">
        <v>2</v>
      </c>
      <c r="H2090" s="26"/>
      <c r="I2090" s="27"/>
    </row>
    <row r="2091" spans="1:9" ht="15.75" thickBot="1" x14ac:dyDescent="0.3">
      <c r="A2091" s="43" t="s">
        <v>5815</v>
      </c>
      <c r="B2091" s="21" t="s">
        <v>5816</v>
      </c>
      <c r="C2091" s="21" t="s">
        <v>22655</v>
      </c>
      <c r="D2091" s="22">
        <v>46032</v>
      </c>
      <c r="E2091" s="23" t="s">
        <v>22656</v>
      </c>
      <c r="F2091" s="24" t="s">
        <v>22657</v>
      </c>
      <c r="G2091" s="25">
        <v>2</v>
      </c>
      <c r="H2091" s="29"/>
      <c r="I2091" s="30"/>
    </row>
    <row r="2092" spans="1:9" ht="15.75" thickBot="1" x14ac:dyDescent="0.3">
      <c r="A2092" s="43" t="s">
        <v>5817</v>
      </c>
      <c r="B2092" s="21" t="s">
        <v>5818</v>
      </c>
      <c r="C2092" s="21" t="s">
        <v>22655</v>
      </c>
      <c r="D2092" s="22">
        <v>46028</v>
      </c>
      <c r="E2092" s="23" t="s">
        <v>22656</v>
      </c>
      <c r="F2092" s="24" t="s">
        <v>22657</v>
      </c>
      <c r="G2092" s="25">
        <v>2</v>
      </c>
      <c r="H2092" s="26"/>
      <c r="I2092" s="27"/>
    </row>
    <row r="2093" spans="1:9" ht="15.75" thickBot="1" x14ac:dyDescent="0.3">
      <c r="A2093" s="43" t="s">
        <v>5819</v>
      </c>
      <c r="B2093" s="21" t="s">
        <v>5820</v>
      </c>
      <c r="C2093" s="21" t="s">
        <v>22655</v>
      </c>
      <c r="D2093" s="22">
        <v>46028</v>
      </c>
      <c r="E2093" s="23" t="s">
        <v>22656</v>
      </c>
      <c r="F2093" s="24" t="s">
        <v>22657</v>
      </c>
      <c r="G2093" s="25">
        <v>2</v>
      </c>
      <c r="H2093" s="29"/>
      <c r="I2093" s="30"/>
    </row>
    <row r="2094" spans="1:9" ht="15.75" thickBot="1" x14ac:dyDescent="0.3">
      <c r="A2094" s="43" t="s">
        <v>5821</v>
      </c>
      <c r="B2094" s="21" t="s">
        <v>5822</v>
      </c>
      <c r="C2094" s="21" t="s">
        <v>22655</v>
      </c>
      <c r="D2094" s="22">
        <v>46044</v>
      </c>
      <c r="E2094" s="23" t="s">
        <v>22656</v>
      </c>
      <c r="F2094" s="24" t="s">
        <v>22657</v>
      </c>
      <c r="G2094" s="25">
        <v>2</v>
      </c>
      <c r="H2094" s="26"/>
      <c r="I2094" s="27"/>
    </row>
    <row r="2095" spans="1:9" ht="15.75" thickBot="1" x14ac:dyDescent="0.3">
      <c r="A2095" s="43" t="s">
        <v>5823</v>
      </c>
      <c r="B2095" s="21" t="s">
        <v>5824</v>
      </c>
      <c r="C2095" s="21" t="s">
        <v>22655</v>
      </c>
      <c r="D2095" s="22">
        <v>46032</v>
      </c>
      <c r="E2095" s="23" t="s">
        <v>22658</v>
      </c>
      <c r="F2095" s="24" t="s">
        <v>22657</v>
      </c>
      <c r="G2095" s="25">
        <v>1</v>
      </c>
      <c r="H2095" s="29"/>
      <c r="I2095" s="30"/>
    </row>
    <row r="2096" spans="1:9" ht="15.75" thickBot="1" x14ac:dyDescent="0.3">
      <c r="A2096" s="43" t="s">
        <v>22476</v>
      </c>
      <c r="B2096" s="21" t="s">
        <v>22477</v>
      </c>
      <c r="C2096" s="21" t="s">
        <v>22655</v>
      </c>
      <c r="D2096" s="22">
        <v>46042</v>
      </c>
      <c r="E2096" s="23" t="s">
        <v>22658</v>
      </c>
      <c r="F2096" s="28" t="s">
        <v>22659</v>
      </c>
      <c r="G2096" s="25">
        <v>1</v>
      </c>
      <c r="H2096" s="26"/>
      <c r="I2096" s="27"/>
    </row>
    <row r="2097" spans="1:9" ht="15.75" thickBot="1" x14ac:dyDescent="0.3">
      <c r="A2097" s="43" t="s">
        <v>22478</v>
      </c>
      <c r="B2097" s="21" t="s">
        <v>22479</v>
      </c>
      <c r="C2097" s="21" t="s">
        <v>22655</v>
      </c>
      <c r="D2097" s="22">
        <v>46047</v>
      </c>
      <c r="E2097" s="23" t="s">
        <v>22658</v>
      </c>
      <c r="F2097" s="28" t="s">
        <v>22659</v>
      </c>
      <c r="G2097" s="25">
        <v>1</v>
      </c>
      <c r="H2097" s="29"/>
      <c r="I2097" s="30"/>
    </row>
    <row r="2098" spans="1:9" ht="15.75" thickBot="1" x14ac:dyDescent="0.3">
      <c r="A2098" s="43" t="s">
        <v>5825</v>
      </c>
      <c r="B2098" s="21" t="s">
        <v>5826</v>
      </c>
      <c r="C2098" s="21" t="s">
        <v>22655</v>
      </c>
      <c r="D2098" s="22">
        <v>46037</v>
      </c>
      <c r="E2098" s="23" t="s">
        <v>22661</v>
      </c>
      <c r="F2098" s="24" t="s">
        <v>22657</v>
      </c>
      <c r="G2098" s="25">
        <v>6</v>
      </c>
      <c r="H2098" s="34">
        <v>6</v>
      </c>
      <c r="I2098" s="35">
        <v>12</v>
      </c>
    </row>
    <row r="2099" spans="1:9" ht="15.75" thickBot="1" x14ac:dyDescent="0.3">
      <c r="A2099" s="43" t="s">
        <v>5827</v>
      </c>
      <c r="B2099" s="21" t="s">
        <v>5828</v>
      </c>
      <c r="C2099" s="21" t="s">
        <v>22655</v>
      </c>
      <c r="D2099" s="22">
        <v>46052</v>
      </c>
      <c r="E2099" s="23" t="s">
        <v>22658</v>
      </c>
      <c r="F2099" s="24" t="s">
        <v>22657</v>
      </c>
      <c r="G2099" s="25">
        <v>1</v>
      </c>
      <c r="H2099" s="29"/>
      <c r="I2099" s="30"/>
    </row>
    <row r="2100" spans="1:9" ht="15.75" thickBot="1" x14ac:dyDescent="0.3">
      <c r="A2100" s="43" t="s">
        <v>5829</v>
      </c>
      <c r="B2100" s="21" t="s">
        <v>5830</v>
      </c>
      <c r="C2100" s="21" t="s">
        <v>22655</v>
      </c>
      <c r="D2100" s="22">
        <v>46037</v>
      </c>
      <c r="E2100" s="23" t="s">
        <v>22661</v>
      </c>
      <c r="F2100" s="24" t="s">
        <v>22657</v>
      </c>
      <c r="G2100" s="25">
        <v>3</v>
      </c>
      <c r="H2100" s="26"/>
      <c r="I2100" s="27"/>
    </row>
    <row r="2101" spans="1:9" ht="15.75" thickBot="1" x14ac:dyDescent="0.3">
      <c r="A2101" s="43" t="s">
        <v>22480</v>
      </c>
      <c r="B2101" s="21" t="s">
        <v>22481</v>
      </c>
      <c r="C2101" s="36" t="e">
        <v>#N/A</v>
      </c>
      <c r="D2101" s="37" t="e">
        <v>#N/A</v>
      </c>
      <c r="E2101" s="23" t="e">
        <v>#N/A</v>
      </c>
      <c r="F2101" s="28" t="s">
        <v>22659</v>
      </c>
      <c r="G2101" s="25" t="e">
        <v>#N/A</v>
      </c>
      <c r="H2101" s="29"/>
      <c r="I2101" s="30"/>
    </row>
    <row r="2102" spans="1:9" ht="15.75" thickBot="1" x14ac:dyDescent="0.3">
      <c r="A2102" s="43" t="s">
        <v>1431</v>
      </c>
      <c r="B2102" s="21" t="s">
        <v>5831</v>
      </c>
      <c r="C2102" s="21" t="s">
        <v>22655</v>
      </c>
      <c r="D2102" s="22">
        <v>46030</v>
      </c>
      <c r="E2102" s="23" t="s">
        <v>22656</v>
      </c>
      <c r="F2102" s="24" t="s">
        <v>22657</v>
      </c>
      <c r="G2102" s="25">
        <v>4</v>
      </c>
      <c r="H2102" s="26"/>
      <c r="I2102" s="27"/>
    </row>
    <row r="2103" spans="1:9" ht="15.75" thickBot="1" x14ac:dyDescent="0.3">
      <c r="A2103" s="43" t="s">
        <v>5832</v>
      </c>
      <c r="B2103" s="21" t="s">
        <v>5833</v>
      </c>
      <c r="C2103" s="21" t="s">
        <v>22655</v>
      </c>
      <c r="D2103" s="22">
        <v>46046</v>
      </c>
      <c r="E2103" s="23" t="s">
        <v>22656</v>
      </c>
      <c r="F2103" s="24" t="s">
        <v>22657</v>
      </c>
      <c r="G2103" s="25">
        <v>4</v>
      </c>
      <c r="H2103" s="29"/>
      <c r="I2103" s="30"/>
    </row>
    <row r="2104" spans="1:9" ht="15.75" thickBot="1" x14ac:dyDescent="0.3">
      <c r="A2104" s="43" t="s">
        <v>359</v>
      </c>
      <c r="B2104" s="21" t="s">
        <v>360</v>
      </c>
      <c r="C2104" s="21" t="s">
        <v>22655</v>
      </c>
      <c r="D2104" s="22">
        <v>46034</v>
      </c>
      <c r="E2104" s="23" t="s">
        <v>22656</v>
      </c>
      <c r="F2104" s="24" t="s">
        <v>22657</v>
      </c>
      <c r="G2104" s="25">
        <v>6</v>
      </c>
      <c r="H2104" s="34">
        <v>6</v>
      </c>
      <c r="I2104" s="35">
        <v>12</v>
      </c>
    </row>
    <row r="2105" spans="1:9" ht="15.75" thickBot="1" x14ac:dyDescent="0.3">
      <c r="A2105" s="43" t="s">
        <v>5834</v>
      </c>
      <c r="B2105" s="21" t="s">
        <v>5835</v>
      </c>
      <c r="C2105" s="21" t="s">
        <v>22655</v>
      </c>
      <c r="D2105" s="22">
        <v>46046</v>
      </c>
      <c r="E2105" s="23" t="s">
        <v>22656</v>
      </c>
      <c r="F2105" s="24" t="s">
        <v>22657</v>
      </c>
      <c r="G2105" s="25">
        <v>8</v>
      </c>
      <c r="H2105" s="29"/>
      <c r="I2105" s="30"/>
    </row>
    <row r="2106" spans="1:9" ht="15.75" thickBot="1" x14ac:dyDescent="0.3">
      <c r="A2106" s="43" t="s">
        <v>5836</v>
      </c>
      <c r="B2106" s="21" t="s">
        <v>5837</v>
      </c>
      <c r="C2106" s="21" t="s">
        <v>22655</v>
      </c>
      <c r="D2106" s="22">
        <v>46032</v>
      </c>
      <c r="E2106" s="23" t="s">
        <v>22658</v>
      </c>
      <c r="F2106" s="24" t="s">
        <v>22657</v>
      </c>
      <c r="G2106" s="25">
        <v>4</v>
      </c>
      <c r="H2106" s="26"/>
      <c r="I2106" s="27"/>
    </row>
    <row r="2107" spans="1:9" ht="15.75" thickBot="1" x14ac:dyDescent="0.3">
      <c r="A2107" s="43" t="s">
        <v>5838</v>
      </c>
      <c r="B2107" s="21" t="s">
        <v>5839</v>
      </c>
      <c r="C2107" s="21" t="s">
        <v>22655</v>
      </c>
      <c r="D2107" s="22">
        <v>46046</v>
      </c>
      <c r="E2107" s="23" t="s">
        <v>22656</v>
      </c>
      <c r="F2107" s="24" t="s">
        <v>22657</v>
      </c>
      <c r="G2107" s="25">
        <v>24</v>
      </c>
      <c r="H2107" s="32">
        <v>24</v>
      </c>
      <c r="I2107" s="33">
        <v>48</v>
      </c>
    </row>
    <row r="2108" spans="1:9" ht="15.75" thickBot="1" x14ac:dyDescent="0.3">
      <c r="A2108" s="43" t="s">
        <v>5840</v>
      </c>
      <c r="B2108" s="21" t="s">
        <v>5841</v>
      </c>
      <c r="C2108" s="21" t="s">
        <v>22655</v>
      </c>
      <c r="D2108" s="22">
        <v>46046</v>
      </c>
      <c r="E2108" s="23" t="s">
        <v>22656</v>
      </c>
      <c r="F2108" s="24" t="s">
        <v>22657</v>
      </c>
      <c r="G2108" s="25">
        <v>12</v>
      </c>
      <c r="H2108" s="34">
        <v>12</v>
      </c>
      <c r="I2108" s="35">
        <v>24</v>
      </c>
    </row>
    <row r="2109" spans="1:9" ht="15.75" thickBot="1" x14ac:dyDescent="0.3">
      <c r="A2109" s="43" t="s">
        <v>5842</v>
      </c>
      <c r="B2109" s="21" t="s">
        <v>5843</v>
      </c>
      <c r="C2109" s="21" t="s">
        <v>22663</v>
      </c>
      <c r="D2109" s="31">
        <v>1</v>
      </c>
      <c r="E2109" s="23" t="s">
        <v>22658</v>
      </c>
      <c r="F2109" s="24" t="s">
        <v>22657</v>
      </c>
      <c r="G2109" s="25">
        <v>1</v>
      </c>
      <c r="H2109" s="29"/>
      <c r="I2109" s="30"/>
    </row>
    <row r="2110" spans="1:9" ht="15.75" thickBot="1" x14ac:dyDescent="0.3">
      <c r="A2110" s="43" t="s">
        <v>5844</v>
      </c>
      <c r="B2110" s="21" t="s">
        <v>5845</v>
      </c>
      <c r="C2110" s="21" t="s">
        <v>22778</v>
      </c>
      <c r="D2110" s="22">
        <v>46042</v>
      </c>
      <c r="E2110" s="23" t="s">
        <v>22658</v>
      </c>
      <c r="F2110" s="24" t="s">
        <v>22657</v>
      </c>
      <c r="G2110" s="25">
        <v>4</v>
      </c>
      <c r="H2110" s="26"/>
      <c r="I2110" s="27"/>
    </row>
    <row r="2111" spans="1:9" ht="15.75" thickBot="1" x14ac:dyDescent="0.3">
      <c r="A2111" s="43" t="s">
        <v>5846</v>
      </c>
      <c r="B2111" s="21" t="s">
        <v>5847</v>
      </c>
      <c r="C2111" s="21" t="s">
        <v>22663</v>
      </c>
      <c r="D2111" s="31">
        <v>1</v>
      </c>
      <c r="E2111" s="23" t="s">
        <v>22658</v>
      </c>
      <c r="F2111" s="28" t="s">
        <v>22659</v>
      </c>
      <c r="G2111" s="25">
        <v>1</v>
      </c>
      <c r="H2111" s="29"/>
      <c r="I2111" s="30"/>
    </row>
    <row r="2112" spans="1:9" ht="15.75" thickBot="1" x14ac:dyDescent="0.3">
      <c r="A2112" s="43" t="s">
        <v>5848</v>
      </c>
      <c r="B2112" s="21" t="s">
        <v>5849</v>
      </c>
      <c r="C2112" s="21" t="s">
        <v>22663</v>
      </c>
      <c r="D2112" s="31">
        <v>1</v>
      </c>
      <c r="E2112" s="23" t="s">
        <v>22656</v>
      </c>
      <c r="F2112" s="24" t="s">
        <v>22657</v>
      </c>
      <c r="G2112" s="25">
        <v>4</v>
      </c>
      <c r="H2112" s="26"/>
      <c r="I2112" s="27"/>
    </row>
    <row r="2113" spans="1:9" ht="15.75" thickBot="1" x14ac:dyDescent="0.3">
      <c r="A2113" s="43" t="s">
        <v>5850</v>
      </c>
      <c r="B2113" s="21" t="s">
        <v>5851</v>
      </c>
      <c r="C2113" s="21" t="s">
        <v>22663</v>
      </c>
      <c r="D2113" s="31">
        <v>1</v>
      </c>
      <c r="E2113" s="23" t="s">
        <v>22656</v>
      </c>
      <c r="F2113" s="24" t="s">
        <v>22657</v>
      </c>
      <c r="G2113" s="25">
        <v>3</v>
      </c>
      <c r="H2113" s="29"/>
      <c r="I2113" s="30"/>
    </row>
    <row r="2114" spans="1:9" ht="15.75" thickBot="1" x14ac:dyDescent="0.3">
      <c r="A2114" s="43" t="s">
        <v>5852</v>
      </c>
      <c r="B2114" s="21" t="s">
        <v>5853</v>
      </c>
      <c r="C2114" s="21" t="s">
        <v>22663</v>
      </c>
      <c r="D2114" s="31">
        <v>1</v>
      </c>
      <c r="E2114" s="23" t="s">
        <v>22656</v>
      </c>
      <c r="F2114" s="24" t="s">
        <v>22657</v>
      </c>
      <c r="G2114" s="25">
        <v>4</v>
      </c>
      <c r="H2114" s="26"/>
      <c r="I2114" s="27"/>
    </row>
    <row r="2115" spans="1:9" ht="15.75" thickBot="1" x14ac:dyDescent="0.3">
      <c r="A2115" s="43" t="s">
        <v>5854</v>
      </c>
      <c r="B2115" s="21" t="s">
        <v>5855</v>
      </c>
      <c r="C2115" s="21" t="s">
        <v>22663</v>
      </c>
      <c r="D2115" s="31">
        <v>1</v>
      </c>
      <c r="E2115" s="23" t="s">
        <v>22656</v>
      </c>
      <c r="F2115" s="24" t="s">
        <v>22657</v>
      </c>
      <c r="G2115" s="25">
        <v>3</v>
      </c>
      <c r="H2115" s="29"/>
      <c r="I2115" s="30"/>
    </row>
    <row r="2116" spans="1:9" ht="15.75" thickBot="1" x14ac:dyDescent="0.3">
      <c r="A2116" s="43" t="s">
        <v>5856</v>
      </c>
      <c r="B2116" s="21" t="s">
        <v>5857</v>
      </c>
      <c r="C2116" s="21" t="s">
        <v>22663</v>
      </c>
      <c r="D2116" s="31">
        <v>1</v>
      </c>
      <c r="E2116" s="23" t="s">
        <v>22658</v>
      </c>
      <c r="F2116" s="28" t="s">
        <v>22659</v>
      </c>
      <c r="G2116" s="25">
        <v>1</v>
      </c>
      <c r="H2116" s="26"/>
      <c r="I2116" s="27"/>
    </row>
    <row r="2117" spans="1:9" ht="15.75" thickBot="1" x14ac:dyDescent="0.3">
      <c r="A2117" s="43" t="s">
        <v>5858</v>
      </c>
      <c r="B2117" s="21" t="s">
        <v>5859</v>
      </c>
      <c r="C2117" s="21" t="s">
        <v>22682</v>
      </c>
      <c r="D2117" s="22">
        <v>46034</v>
      </c>
      <c r="E2117" s="23" t="s">
        <v>22658</v>
      </c>
      <c r="F2117" s="24" t="s">
        <v>22657</v>
      </c>
      <c r="G2117" s="25">
        <v>4</v>
      </c>
      <c r="H2117" s="29"/>
      <c r="I2117" s="30"/>
    </row>
    <row r="2118" spans="1:9" ht="15.75" thickBot="1" x14ac:dyDescent="0.3">
      <c r="A2118" s="43" t="s">
        <v>5860</v>
      </c>
      <c r="B2118" s="21" t="s">
        <v>5861</v>
      </c>
      <c r="C2118" s="21" t="s">
        <v>22682</v>
      </c>
      <c r="D2118" s="22">
        <v>46034</v>
      </c>
      <c r="E2118" s="23" t="s">
        <v>22658</v>
      </c>
      <c r="F2118" s="24" t="s">
        <v>22657</v>
      </c>
      <c r="G2118" s="25">
        <v>4</v>
      </c>
      <c r="H2118" s="26"/>
      <c r="I2118" s="27"/>
    </row>
    <row r="2119" spans="1:9" ht="15.75" thickBot="1" x14ac:dyDescent="0.3">
      <c r="A2119" s="43" t="s">
        <v>5862</v>
      </c>
      <c r="B2119" s="21" t="s">
        <v>5863</v>
      </c>
      <c r="C2119" s="21" t="s">
        <v>22682</v>
      </c>
      <c r="D2119" s="22">
        <v>46034</v>
      </c>
      <c r="E2119" s="23" t="s">
        <v>22658</v>
      </c>
      <c r="F2119" s="24" t="s">
        <v>22657</v>
      </c>
      <c r="G2119" s="25">
        <v>4</v>
      </c>
      <c r="H2119" s="29"/>
      <c r="I2119" s="30"/>
    </row>
    <row r="2120" spans="1:9" ht="15.75" thickBot="1" x14ac:dyDescent="0.3">
      <c r="A2120" s="43" t="s">
        <v>5864</v>
      </c>
      <c r="B2120" s="21" t="s">
        <v>5865</v>
      </c>
      <c r="C2120" s="21" t="s">
        <v>22682</v>
      </c>
      <c r="D2120" s="22">
        <v>46034</v>
      </c>
      <c r="E2120" s="23" t="s">
        <v>22656</v>
      </c>
      <c r="F2120" s="24" t="s">
        <v>22657</v>
      </c>
      <c r="G2120" s="25">
        <v>4</v>
      </c>
      <c r="H2120" s="26"/>
      <c r="I2120" s="27"/>
    </row>
    <row r="2121" spans="1:9" ht="15.75" thickBot="1" x14ac:dyDescent="0.3">
      <c r="A2121" s="43" t="s">
        <v>5866</v>
      </c>
      <c r="B2121" s="21" t="s">
        <v>5867</v>
      </c>
      <c r="C2121" s="21" t="s">
        <v>22663</v>
      </c>
      <c r="D2121" s="31">
        <v>1</v>
      </c>
      <c r="E2121" s="23" t="s">
        <v>22656</v>
      </c>
      <c r="F2121" s="24" t="s">
        <v>22657</v>
      </c>
      <c r="G2121" s="25">
        <v>4</v>
      </c>
      <c r="H2121" s="29"/>
      <c r="I2121" s="30"/>
    </row>
    <row r="2122" spans="1:9" ht="15.75" thickBot="1" x14ac:dyDescent="0.3">
      <c r="A2122" s="43" t="s">
        <v>5868</v>
      </c>
      <c r="B2122" s="21" t="s">
        <v>5869</v>
      </c>
      <c r="C2122" s="21" t="s">
        <v>22698</v>
      </c>
      <c r="D2122" s="31">
        <v>1</v>
      </c>
      <c r="E2122" s="23" t="s">
        <v>22658</v>
      </c>
      <c r="F2122" s="24" t="s">
        <v>22657</v>
      </c>
      <c r="G2122" s="25">
        <v>2</v>
      </c>
      <c r="H2122" s="26"/>
      <c r="I2122" s="27"/>
    </row>
    <row r="2123" spans="1:9" ht="15.75" thickBot="1" x14ac:dyDescent="0.3">
      <c r="A2123" s="43" t="s">
        <v>5870</v>
      </c>
      <c r="B2123" s="21" t="s">
        <v>5871</v>
      </c>
      <c r="C2123" s="21" t="s">
        <v>22663</v>
      </c>
      <c r="D2123" s="31">
        <v>1</v>
      </c>
      <c r="E2123" s="23" t="s">
        <v>22661</v>
      </c>
      <c r="F2123" s="24" t="s">
        <v>22657</v>
      </c>
      <c r="G2123" s="25">
        <v>3</v>
      </c>
      <c r="H2123" s="29"/>
      <c r="I2123" s="30"/>
    </row>
    <row r="2124" spans="1:9" ht="15.75" thickBot="1" x14ac:dyDescent="0.3">
      <c r="A2124" s="43" t="s">
        <v>5872</v>
      </c>
      <c r="B2124" s="21" t="s">
        <v>5873</v>
      </c>
      <c r="C2124" s="21" t="s">
        <v>22690</v>
      </c>
      <c r="D2124" s="31" t="s">
        <v>22779</v>
      </c>
      <c r="E2124" s="23" t="s">
        <v>22656</v>
      </c>
      <c r="F2124" s="24" t="s">
        <v>22657</v>
      </c>
      <c r="G2124" s="25">
        <v>10</v>
      </c>
      <c r="H2124" s="26"/>
      <c r="I2124" s="27"/>
    </row>
    <row r="2125" spans="1:9" ht="15.75" thickBot="1" x14ac:dyDescent="0.3">
      <c r="A2125" s="43" t="s">
        <v>5874</v>
      </c>
      <c r="B2125" s="21" t="s">
        <v>5875</v>
      </c>
      <c r="C2125" s="21" t="s">
        <v>22690</v>
      </c>
      <c r="D2125" s="31" t="s">
        <v>22704</v>
      </c>
      <c r="E2125" s="23" t="s">
        <v>22661</v>
      </c>
      <c r="F2125" s="24" t="s">
        <v>22657</v>
      </c>
      <c r="G2125" s="25">
        <v>7</v>
      </c>
      <c r="H2125" s="29"/>
      <c r="I2125" s="30"/>
    </row>
    <row r="2126" spans="1:9" ht="15.75" thickBot="1" x14ac:dyDescent="0.3">
      <c r="A2126" s="43" t="s">
        <v>1107</v>
      </c>
      <c r="B2126" s="21" t="s">
        <v>1108</v>
      </c>
      <c r="C2126" s="21" t="s">
        <v>22663</v>
      </c>
      <c r="D2126" s="31">
        <v>1</v>
      </c>
      <c r="E2126" s="23" t="s">
        <v>22661</v>
      </c>
      <c r="F2126" s="24" t="s">
        <v>22657</v>
      </c>
      <c r="G2126" s="25">
        <v>12</v>
      </c>
      <c r="H2126" s="34">
        <v>12</v>
      </c>
      <c r="I2126" s="35">
        <v>20</v>
      </c>
    </row>
    <row r="2127" spans="1:9" ht="15.75" thickBot="1" x14ac:dyDescent="0.3">
      <c r="A2127" s="43" t="s">
        <v>1833</v>
      </c>
      <c r="B2127" s="21" t="s">
        <v>1834</v>
      </c>
      <c r="C2127" s="21" t="s">
        <v>22663</v>
      </c>
      <c r="D2127" s="31">
        <v>1</v>
      </c>
      <c r="E2127" s="23" t="s">
        <v>22665</v>
      </c>
      <c r="F2127" s="24" t="s">
        <v>22657</v>
      </c>
      <c r="G2127" s="25">
        <v>20</v>
      </c>
      <c r="H2127" s="32">
        <v>20</v>
      </c>
      <c r="I2127" s="33">
        <v>36</v>
      </c>
    </row>
    <row r="2128" spans="1:9" ht="15.75" thickBot="1" x14ac:dyDescent="0.3">
      <c r="A2128" s="43" t="s">
        <v>807</v>
      </c>
      <c r="B2128" s="21" t="s">
        <v>808</v>
      </c>
      <c r="C2128" s="21" t="s">
        <v>22698</v>
      </c>
      <c r="D2128" s="31">
        <v>1</v>
      </c>
      <c r="E2128" s="23" t="s">
        <v>22661</v>
      </c>
      <c r="F2128" s="24" t="s">
        <v>22657</v>
      </c>
      <c r="G2128" s="25">
        <v>12</v>
      </c>
      <c r="H2128" s="34">
        <v>12</v>
      </c>
      <c r="I2128" s="35">
        <v>20</v>
      </c>
    </row>
    <row r="2129" spans="1:9" ht="15.75" thickBot="1" x14ac:dyDescent="0.3">
      <c r="A2129" s="43" t="s">
        <v>1523</v>
      </c>
      <c r="B2129" s="21" t="s">
        <v>1524</v>
      </c>
      <c r="C2129" s="21" t="s">
        <v>22663</v>
      </c>
      <c r="D2129" s="31">
        <v>1</v>
      </c>
      <c r="E2129" s="23" t="s">
        <v>22665</v>
      </c>
      <c r="F2129" s="24" t="s">
        <v>22657</v>
      </c>
      <c r="G2129" s="25">
        <v>12</v>
      </c>
      <c r="H2129" s="32">
        <v>12</v>
      </c>
      <c r="I2129" s="33">
        <v>24</v>
      </c>
    </row>
    <row r="2130" spans="1:9" ht="15.75" thickBot="1" x14ac:dyDescent="0.3">
      <c r="A2130" s="43" t="s">
        <v>1597</v>
      </c>
      <c r="B2130" s="21" t="s">
        <v>5876</v>
      </c>
      <c r="C2130" s="21" t="s">
        <v>22655</v>
      </c>
      <c r="D2130" s="22">
        <v>46026</v>
      </c>
      <c r="E2130" s="23" t="s">
        <v>22656</v>
      </c>
      <c r="F2130" s="24" t="s">
        <v>22657</v>
      </c>
      <c r="G2130" s="25">
        <v>4</v>
      </c>
      <c r="H2130" s="34">
        <v>4</v>
      </c>
      <c r="I2130" s="35">
        <v>6</v>
      </c>
    </row>
    <row r="2131" spans="1:9" ht="15.75" thickBot="1" x14ac:dyDescent="0.3">
      <c r="A2131" s="43" t="s">
        <v>5881</v>
      </c>
      <c r="B2131" s="21" t="s">
        <v>5882</v>
      </c>
      <c r="C2131" s="21" t="s">
        <v>22663</v>
      </c>
      <c r="D2131" s="31">
        <v>1</v>
      </c>
      <c r="E2131" s="23" t="s">
        <v>22656</v>
      </c>
      <c r="F2131" s="24" t="s">
        <v>22657</v>
      </c>
      <c r="G2131" s="25">
        <v>2</v>
      </c>
      <c r="H2131" s="29"/>
      <c r="I2131" s="30"/>
    </row>
    <row r="2132" spans="1:9" ht="15.75" thickBot="1" x14ac:dyDescent="0.3">
      <c r="A2132" s="43" t="s">
        <v>5883</v>
      </c>
      <c r="B2132" s="21" t="s">
        <v>5884</v>
      </c>
      <c r="C2132" s="21" t="s">
        <v>22663</v>
      </c>
      <c r="D2132" s="31">
        <v>1</v>
      </c>
      <c r="E2132" s="23" t="s">
        <v>22661</v>
      </c>
      <c r="F2132" s="24" t="s">
        <v>22657</v>
      </c>
      <c r="G2132" s="25">
        <v>4</v>
      </c>
      <c r="H2132" s="26"/>
      <c r="I2132" s="27"/>
    </row>
    <row r="2133" spans="1:9" ht="15.75" thickBot="1" x14ac:dyDescent="0.3">
      <c r="A2133" s="43" t="s">
        <v>5877</v>
      </c>
      <c r="B2133" s="21" t="s">
        <v>5878</v>
      </c>
      <c r="C2133" s="21" t="s">
        <v>22698</v>
      </c>
      <c r="D2133" s="31">
        <v>1</v>
      </c>
      <c r="E2133" s="23" t="s">
        <v>22656</v>
      </c>
      <c r="F2133" s="24" t="s">
        <v>22657</v>
      </c>
      <c r="G2133" s="25">
        <v>2</v>
      </c>
      <c r="H2133" s="29"/>
      <c r="I2133" s="30"/>
    </row>
    <row r="2134" spans="1:9" ht="15.75" thickBot="1" x14ac:dyDescent="0.3">
      <c r="A2134" s="43" t="s">
        <v>5885</v>
      </c>
      <c r="B2134" s="21" t="s">
        <v>5886</v>
      </c>
      <c r="C2134" s="21" t="s">
        <v>22663</v>
      </c>
      <c r="D2134" s="31">
        <v>1</v>
      </c>
      <c r="E2134" s="23" t="s">
        <v>22656</v>
      </c>
      <c r="F2134" s="24" t="s">
        <v>22657</v>
      </c>
      <c r="G2134" s="25">
        <v>4</v>
      </c>
      <c r="H2134" s="26"/>
      <c r="I2134" s="27"/>
    </row>
    <row r="2135" spans="1:9" ht="15.75" thickBot="1" x14ac:dyDescent="0.3">
      <c r="A2135" s="43" t="s">
        <v>5879</v>
      </c>
      <c r="B2135" s="21" t="s">
        <v>5880</v>
      </c>
      <c r="C2135" s="21" t="s">
        <v>22655</v>
      </c>
      <c r="D2135" s="22">
        <v>46026</v>
      </c>
      <c r="E2135" s="23" t="s">
        <v>22658</v>
      </c>
      <c r="F2135" s="24" t="s">
        <v>22657</v>
      </c>
      <c r="G2135" s="25">
        <v>2</v>
      </c>
      <c r="H2135" s="29"/>
      <c r="I2135" s="30"/>
    </row>
    <row r="2136" spans="1:9" ht="15.75" thickBot="1" x14ac:dyDescent="0.3">
      <c r="A2136" s="43" t="s">
        <v>5887</v>
      </c>
      <c r="B2136" s="21" t="s">
        <v>5888</v>
      </c>
      <c r="C2136" s="21" t="s">
        <v>22663</v>
      </c>
      <c r="D2136" s="31">
        <v>1</v>
      </c>
      <c r="E2136" s="23" t="s">
        <v>22656</v>
      </c>
      <c r="F2136" s="24" t="s">
        <v>22657</v>
      </c>
      <c r="G2136" s="25">
        <v>7</v>
      </c>
      <c r="H2136" s="26"/>
      <c r="I2136" s="27"/>
    </row>
    <row r="2137" spans="1:9" ht="15.75" thickBot="1" x14ac:dyDescent="0.3">
      <c r="A2137" s="43" t="s">
        <v>5889</v>
      </c>
      <c r="B2137" s="21" t="s">
        <v>5890</v>
      </c>
      <c r="C2137" s="21" t="s">
        <v>22663</v>
      </c>
      <c r="D2137" s="31">
        <v>1</v>
      </c>
      <c r="E2137" s="23" t="s">
        <v>22656</v>
      </c>
      <c r="F2137" s="24" t="s">
        <v>22657</v>
      </c>
      <c r="G2137" s="25">
        <v>11</v>
      </c>
      <c r="H2137" s="29"/>
      <c r="I2137" s="30"/>
    </row>
    <row r="2138" spans="1:9" ht="15.75" thickBot="1" x14ac:dyDescent="0.3">
      <c r="A2138" s="43" t="s">
        <v>5891</v>
      </c>
      <c r="B2138" s="21" t="s">
        <v>5892</v>
      </c>
      <c r="C2138" s="21" t="s">
        <v>22663</v>
      </c>
      <c r="D2138" s="31">
        <v>1</v>
      </c>
      <c r="E2138" s="23" t="s">
        <v>22661</v>
      </c>
      <c r="F2138" s="24" t="s">
        <v>22657</v>
      </c>
      <c r="G2138" s="25">
        <v>5</v>
      </c>
      <c r="H2138" s="26"/>
      <c r="I2138" s="27"/>
    </row>
    <row r="2139" spans="1:9" ht="15.75" thickBot="1" x14ac:dyDescent="0.3">
      <c r="A2139" s="43" t="s">
        <v>345</v>
      </c>
      <c r="B2139" s="21" t="s">
        <v>346</v>
      </c>
      <c r="C2139" s="21" t="s">
        <v>22698</v>
      </c>
      <c r="D2139" s="31">
        <v>1</v>
      </c>
      <c r="E2139" s="23" t="s">
        <v>22656</v>
      </c>
      <c r="F2139" s="24" t="s">
        <v>22657</v>
      </c>
      <c r="G2139" s="25">
        <v>5</v>
      </c>
      <c r="H2139" s="32">
        <v>5</v>
      </c>
      <c r="I2139" s="33">
        <v>10</v>
      </c>
    </row>
    <row r="2140" spans="1:9" ht="15.75" thickBot="1" x14ac:dyDescent="0.3">
      <c r="A2140" s="43" t="s">
        <v>5893</v>
      </c>
      <c r="B2140" s="21" t="s">
        <v>5894</v>
      </c>
      <c r="C2140" s="21" t="s">
        <v>22709</v>
      </c>
      <c r="D2140" s="31">
        <v>1</v>
      </c>
      <c r="E2140" s="23" t="s">
        <v>22656</v>
      </c>
      <c r="F2140" s="24" t="s">
        <v>22657</v>
      </c>
      <c r="G2140" s="25">
        <v>2</v>
      </c>
      <c r="H2140" s="26"/>
      <c r="I2140" s="27"/>
    </row>
    <row r="2141" spans="1:9" ht="15.75" thickBot="1" x14ac:dyDescent="0.3">
      <c r="A2141" s="43" t="s">
        <v>5895</v>
      </c>
      <c r="B2141" s="21" t="s">
        <v>5896</v>
      </c>
      <c r="C2141" s="21" t="s">
        <v>22655</v>
      </c>
      <c r="D2141" s="22">
        <v>46034</v>
      </c>
      <c r="E2141" s="23" t="s">
        <v>22658</v>
      </c>
      <c r="F2141" s="24" t="s">
        <v>22657</v>
      </c>
      <c r="G2141" s="25">
        <v>4</v>
      </c>
      <c r="H2141" s="29"/>
      <c r="I2141" s="30"/>
    </row>
    <row r="2142" spans="1:9" ht="15.75" thickBot="1" x14ac:dyDescent="0.3">
      <c r="A2142" s="43" t="s">
        <v>5897</v>
      </c>
      <c r="B2142" s="21" t="s">
        <v>5898</v>
      </c>
      <c r="C2142" s="21" t="s">
        <v>22655</v>
      </c>
      <c r="D2142" s="22">
        <v>46026</v>
      </c>
      <c r="E2142" s="23" t="s">
        <v>22656</v>
      </c>
      <c r="F2142" s="24" t="s">
        <v>22657</v>
      </c>
      <c r="G2142" s="25">
        <v>2</v>
      </c>
      <c r="H2142" s="26"/>
      <c r="I2142" s="27"/>
    </row>
    <row r="2143" spans="1:9" ht="15.75" thickBot="1" x14ac:dyDescent="0.3">
      <c r="A2143" s="43" t="s">
        <v>1071</v>
      </c>
      <c r="B2143" s="21" t="s">
        <v>1072</v>
      </c>
      <c r="C2143" s="21" t="s">
        <v>22663</v>
      </c>
      <c r="D2143" s="31">
        <v>1</v>
      </c>
      <c r="E2143" s="23" t="s">
        <v>22665</v>
      </c>
      <c r="F2143" s="24" t="s">
        <v>22657</v>
      </c>
      <c r="G2143" s="25">
        <v>20</v>
      </c>
      <c r="H2143" s="32">
        <v>20</v>
      </c>
      <c r="I2143" s="33">
        <v>36</v>
      </c>
    </row>
    <row r="2144" spans="1:9" ht="15.75" thickBot="1" x14ac:dyDescent="0.3">
      <c r="A2144" s="43" t="s">
        <v>727</v>
      </c>
      <c r="B2144" s="21" t="s">
        <v>728</v>
      </c>
      <c r="C2144" s="21" t="s">
        <v>22663</v>
      </c>
      <c r="D2144" s="31">
        <v>1</v>
      </c>
      <c r="E2144" s="23" t="s">
        <v>22662</v>
      </c>
      <c r="F2144" s="24" t="s">
        <v>22657</v>
      </c>
      <c r="G2144" s="25">
        <v>12</v>
      </c>
      <c r="H2144" s="34">
        <v>12</v>
      </c>
      <c r="I2144" s="35">
        <v>36</v>
      </c>
    </row>
    <row r="2145" spans="1:9" ht="15.75" thickBot="1" x14ac:dyDescent="0.3">
      <c r="A2145" s="43" t="s">
        <v>1425</v>
      </c>
      <c r="B2145" s="21" t="s">
        <v>1426</v>
      </c>
      <c r="C2145" s="21" t="s">
        <v>22655</v>
      </c>
      <c r="D2145" s="22">
        <v>46024</v>
      </c>
      <c r="E2145" s="23" t="s">
        <v>22662</v>
      </c>
      <c r="F2145" s="24" t="s">
        <v>22657</v>
      </c>
      <c r="G2145" s="25">
        <v>10</v>
      </c>
      <c r="H2145" s="32">
        <v>10</v>
      </c>
      <c r="I2145" s="33">
        <v>20</v>
      </c>
    </row>
    <row r="2146" spans="1:9" ht="15.75" thickBot="1" x14ac:dyDescent="0.3">
      <c r="A2146" s="43" t="s">
        <v>5899</v>
      </c>
      <c r="B2146" s="21" t="s">
        <v>5900</v>
      </c>
      <c r="C2146" s="21" t="s">
        <v>22780</v>
      </c>
      <c r="D2146" s="22">
        <v>46030</v>
      </c>
      <c r="E2146" s="23" t="s">
        <v>22656</v>
      </c>
      <c r="F2146" s="24" t="s">
        <v>22657</v>
      </c>
      <c r="G2146" s="25">
        <v>3</v>
      </c>
      <c r="H2146" s="26"/>
      <c r="I2146" s="27"/>
    </row>
    <row r="2147" spans="1:9" ht="15.75" thickBot="1" x14ac:dyDescent="0.3">
      <c r="A2147" s="43" t="s">
        <v>5901</v>
      </c>
      <c r="B2147" s="21" t="s">
        <v>5902</v>
      </c>
      <c r="C2147" s="21" t="s">
        <v>22655</v>
      </c>
      <c r="D2147" s="22">
        <v>46030</v>
      </c>
      <c r="E2147" s="23" t="s">
        <v>22656</v>
      </c>
      <c r="F2147" s="24" t="s">
        <v>22657</v>
      </c>
      <c r="G2147" s="25">
        <v>3</v>
      </c>
      <c r="H2147" s="29"/>
      <c r="I2147" s="30"/>
    </row>
    <row r="2148" spans="1:9" ht="15.75" thickBot="1" x14ac:dyDescent="0.3">
      <c r="A2148" s="43" t="s">
        <v>5903</v>
      </c>
      <c r="B2148" s="21" t="s">
        <v>5904</v>
      </c>
      <c r="C2148" s="21" t="s">
        <v>22780</v>
      </c>
      <c r="D2148" s="22">
        <v>46030</v>
      </c>
      <c r="E2148" s="23" t="s">
        <v>22661</v>
      </c>
      <c r="F2148" s="24" t="s">
        <v>22657</v>
      </c>
      <c r="G2148" s="25">
        <v>8</v>
      </c>
      <c r="H2148" s="34">
        <v>8</v>
      </c>
      <c r="I2148" s="35">
        <v>12</v>
      </c>
    </row>
    <row r="2149" spans="1:9" ht="15.75" thickBot="1" x14ac:dyDescent="0.3">
      <c r="A2149" s="43" t="s">
        <v>5905</v>
      </c>
      <c r="B2149" s="21" t="s">
        <v>5906</v>
      </c>
      <c r="C2149" s="21" t="s">
        <v>22655</v>
      </c>
      <c r="D2149" s="31" t="s">
        <v>22732</v>
      </c>
      <c r="E2149" s="23" t="s">
        <v>22658</v>
      </c>
      <c r="F2149" s="24" t="s">
        <v>22657</v>
      </c>
      <c r="G2149" s="25">
        <v>4</v>
      </c>
      <c r="H2149" s="29"/>
      <c r="I2149" s="30"/>
    </row>
    <row r="2150" spans="1:9" ht="15.75" thickBot="1" x14ac:dyDescent="0.3">
      <c r="A2150" s="43" t="s">
        <v>5907</v>
      </c>
      <c r="B2150" s="21" t="s">
        <v>5908</v>
      </c>
      <c r="C2150" s="21" t="s">
        <v>22655</v>
      </c>
      <c r="D2150" s="31" t="s">
        <v>22732</v>
      </c>
      <c r="E2150" s="23" t="s">
        <v>22658</v>
      </c>
      <c r="F2150" s="24" t="s">
        <v>22657</v>
      </c>
      <c r="G2150" s="25">
        <v>4</v>
      </c>
      <c r="H2150" s="26"/>
      <c r="I2150" s="27"/>
    </row>
    <row r="2151" spans="1:9" ht="15.75" thickBot="1" x14ac:dyDescent="0.3">
      <c r="A2151" s="43" t="s">
        <v>5909</v>
      </c>
      <c r="B2151" s="21" t="s">
        <v>5910</v>
      </c>
      <c r="C2151" s="21" t="s">
        <v>22682</v>
      </c>
      <c r="D2151" s="22">
        <v>46034</v>
      </c>
      <c r="E2151" s="23" t="s">
        <v>22658</v>
      </c>
      <c r="F2151" s="24" t="s">
        <v>22657</v>
      </c>
      <c r="G2151" s="25">
        <v>4</v>
      </c>
      <c r="H2151" s="29"/>
      <c r="I2151" s="30"/>
    </row>
    <row r="2152" spans="1:9" ht="15.75" thickBot="1" x14ac:dyDescent="0.3">
      <c r="A2152" s="43" t="s">
        <v>5911</v>
      </c>
      <c r="B2152" s="21" t="s">
        <v>5912</v>
      </c>
      <c r="C2152" s="21" t="s">
        <v>22682</v>
      </c>
      <c r="D2152" s="22">
        <v>46034</v>
      </c>
      <c r="E2152" s="23" t="s">
        <v>22656</v>
      </c>
      <c r="F2152" s="24" t="s">
        <v>22657</v>
      </c>
      <c r="G2152" s="25">
        <v>4</v>
      </c>
      <c r="H2152" s="26"/>
      <c r="I2152" s="27"/>
    </row>
    <row r="2153" spans="1:9" ht="15.75" thickBot="1" x14ac:dyDescent="0.3">
      <c r="A2153" s="43" t="s">
        <v>5913</v>
      </c>
      <c r="B2153" s="21" t="s">
        <v>5914</v>
      </c>
      <c r="C2153" s="21" t="s">
        <v>22682</v>
      </c>
      <c r="D2153" s="22">
        <v>46034</v>
      </c>
      <c r="E2153" s="23" t="s">
        <v>22658</v>
      </c>
      <c r="F2153" s="24" t="s">
        <v>22657</v>
      </c>
      <c r="G2153" s="25">
        <v>4</v>
      </c>
      <c r="H2153" s="29"/>
      <c r="I2153" s="30"/>
    </row>
    <row r="2154" spans="1:9" ht="15.75" thickBot="1" x14ac:dyDescent="0.3">
      <c r="A2154" s="43" t="s">
        <v>5915</v>
      </c>
      <c r="B2154" s="21" t="s">
        <v>5916</v>
      </c>
      <c r="C2154" s="21" t="s">
        <v>22655</v>
      </c>
      <c r="D2154" s="22">
        <v>46034</v>
      </c>
      <c r="E2154" s="23" t="s">
        <v>22656</v>
      </c>
      <c r="F2154" s="24" t="s">
        <v>22657</v>
      </c>
      <c r="G2154" s="25">
        <v>2</v>
      </c>
      <c r="H2154" s="26"/>
      <c r="I2154" s="27"/>
    </row>
    <row r="2155" spans="1:9" ht="15.75" thickBot="1" x14ac:dyDescent="0.3">
      <c r="A2155" s="43" t="s">
        <v>5917</v>
      </c>
      <c r="B2155" s="21" t="s">
        <v>5918</v>
      </c>
      <c r="C2155" s="21" t="s">
        <v>22709</v>
      </c>
      <c r="D2155" s="31">
        <v>1</v>
      </c>
      <c r="E2155" s="23" t="s">
        <v>22656</v>
      </c>
      <c r="F2155" s="24" t="s">
        <v>22657</v>
      </c>
      <c r="G2155" s="25">
        <v>2</v>
      </c>
      <c r="H2155" s="29"/>
      <c r="I2155" s="30"/>
    </row>
    <row r="2156" spans="1:9" ht="15.75" thickBot="1" x14ac:dyDescent="0.3">
      <c r="A2156" s="43" t="s">
        <v>5919</v>
      </c>
      <c r="B2156" s="21" t="s">
        <v>5920</v>
      </c>
      <c r="C2156" s="21" t="s">
        <v>22698</v>
      </c>
      <c r="D2156" s="31">
        <v>1</v>
      </c>
      <c r="E2156" s="23" t="s">
        <v>22656</v>
      </c>
      <c r="F2156" s="24" t="s">
        <v>22657</v>
      </c>
      <c r="G2156" s="25">
        <v>5</v>
      </c>
      <c r="H2156" s="26"/>
      <c r="I2156" s="27"/>
    </row>
    <row r="2157" spans="1:9" ht="15.75" thickBot="1" x14ac:dyDescent="0.3">
      <c r="A2157" s="43" t="s">
        <v>5921</v>
      </c>
      <c r="B2157" s="21" t="s">
        <v>5922</v>
      </c>
      <c r="C2157" s="21" t="s">
        <v>22663</v>
      </c>
      <c r="D2157" s="31">
        <v>1</v>
      </c>
      <c r="E2157" s="23" t="s">
        <v>22656</v>
      </c>
      <c r="F2157" s="24" t="s">
        <v>22657</v>
      </c>
      <c r="G2157" s="25">
        <v>10</v>
      </c>
      <c r="H2157" s="29"/>
      <c r="I2157" s="30"/>
    </row>
    <row r="2158" spans="1:9" ht="15.75" thickBot="1" x14ac:dyDescent="0.3">
      <c r="A2158" s="43" t="s">
        <v>5923</v>
      </c>
      <c r="B2158" s="21" t="s">
        <v>5924</v>
      </c>
      <c r="C2158" s="21" t="s">
        <v>22655</v>
      </c>
      <c r="D2158" s="22">
        <v>46042</v>
      </c>
      <c r="E2158" s="23" t="s">
        <v>22656</v>
      </c>
      <c r="F2158" s="24" t="s">
        <v>22657</v>
      </c>
      <c r="G2158" s="25">
        <v>7</v>
      </c>
      <c r="H2158" s="26"/>
      <c r="I2158" s="27"/>
    </row>
    <row r="2159" spans="1:9" ht="15.75" thickBot="1" x14ac:dyDescent="0.3">
      <c r="A2159" s="43" t="s">
        <v>5925</v>
      </c>
      <c r="B2159" s="21" t="s">
        <v>5926</v>
      </c>
      <c r="C2159" s="21" t="s">
        <v>22667</v>
      </c>
      <c r="D2159" s="31" t="s">
        <v>22781</v>
      </c>
      <c r="E2159" s="23" t="s">
        <v>22661</v>
      </c>
      <c r="F2159" s="24" t="s">
        <v>22657</v>
      </c>
      <c r="G2159" s="25">
        <v>33</v>
      </c>
      <c r="H2159" s="29"/>
      <c r="I2159" s="30"/>
    </row>
    <row r="2160" spans="1:9" ht="15.75" thickBot="1" x14ac:dyDescent="0.3">
      <c r="A2160" s="43" t="s">
        <v>5927</v>
      </c>
      <c r="B2160" s="21" t="s">
        <v>5928</v>
      </c>
      <c r="C2160" s="21" t="s">
        <v>22663</v>
      </c>
      <c r="D2160" s="31">
        <v>1</v>
      </c>
      <c r="E2160" s="23" t="s">
        <v>22656</v>
      </c>
      <c r="F2160" s="24" t="s">
        <v>22657</v>
      </c>
      <c r="G2160" s="25">
        <v>2</v>
      </c>
      <c r="H2160" s="26"/>
      <c r="I2160" s="27"/>
    </row>
    <row r="2161" spans="1:9" ht="15.75" thickBot="1" x14ac:dyDescent="0.3">
      <c r="A2161" s="43" t="s">
        <v>5929</v>
      </c>
      <c r="B2161" s="21" t="s">
        <v>5930</v>
      </c>
      <c r="C2161" s="21" t="s">
        <v>22709</v>
      </c>
      <c r="D2161" s="31">
        <v>1</v>
      </c>
      <c r="E2161" s="23" t="s">
        <v>22658</v>
      </c>
      <c r="F2161" s="24" t="s">
        <v>22657</v>
      </c>
      <c r="G2161" s="25">
        <v>1</v>
      </c>
      <c r="H2161" s="29"/>
      <c r="I2161" s="30"/>
    </row>
    <row r="2162" spans="1:9" ht="15.75" thickBot="1" x14ac:dyDescent="0.3">
      <c r="A2162" s="43" t="s">
        <v>5931</v>
      </c>
      <c r="B2162" s="21" t="s">
        <v>5932</v>
      </c>
      <c r="C2162" s="21" t="s">
        <v>22698</v>
      </c>
      <c r="D2162" s="31">
        <v>1</v>
      </c>
      <c r="E2162" s="23" t="s">
        <v>22656</v>
      </c>
      <c r="F2162" s="24" t="s">
        <v>22657</v>
      </c>
      <c r="G2162" s="25">
        <v>2</v>
      </c>
      <c r="H2162" s="26"/>
      <c r="I2162" s="27"/>
    </row>
    <row r="2163" spans="1:9" ht="15.75" thickBot="1" x14ac:dyDescent="0.3">
      <c r="A2163" s="43" t="s">
        <v>5933</v>
      </c>
      <c r="B2163" s="21" t="s">
        <v>5934</v>
      </c>
      <c r="C2163" s="21" t="s">
        <v>22663</v>
      </c>
      <c r="D2163" s="31">
        <v>1</v>
      </c>
      <c r="E2163" s="23" t="s">
        <v>22656</v>
      </c>
      <c r="F2163" s="24" t="s">
        <v>22657</v>
      </c>
      <c r="G2163" s="25">
        <v>4</v>
      </c>
      <c r="H2163" s="29"/>
      <c r="I2163" s="30"/>
    </row>
    <row r="2164" spans="1:9" ht="15.75" thickBot="1" x14ac:dyDescent="0.3">
      <c r="A2164" s="43" t="s">
        <v>5935</v>
      </c>
      <c r="B2164" s="21" t="s">
        <v>5936</v>
      </c>
      <c r="C2164" s="21" t="s">
        <v>22682</v>
      </c>
      <c r="D2164" s="22">
        <v>46034</v>
      </c>
      <c r="E2164" s="23" t="s">
        <v>22658</v>
      </c>
      <c r="F2164" s="24" t="s">
        <v>22657</v>
      </c>
      <c r="G2164" s="25">
        <v>4</v>
      </c>
      <c r="H2164" s="26"/>
      <c r="I2164" s="27"/>
    </row>
    <row r="2165" spans="1:9" ht="15.75" thickBot="1" x14ac:dyDescent="0.3">
      <c r="A2165" s="43" t="s">
        <v>5937</v>
      </c>
      <c r="B2165" s="21" t="s">
        <v>5938</v>
      </c>
      <c r="C2165" s="21" t="s">
        <v>22663</v>
      </c>
      <c r="D2165" s="31">
        <v>1</v>
      </c>
      <c r="E2165" s="23" t="s">
        <v>22656</v>
      </c>
      <c r="F2165" s="24" t="s">
        <v>22657</v>
      </c>
      <c r="G2165" s="25">
        <v>2</v>
      </c>
      <c r="H2165" s="29"/>
      <c r="I2165" s="30"/>
    </row>
    <row r="2166" spans="1:9" ht="15.75" thickBot="1" x14ac:dyDescent="0.3">
      <c r="A2166" s="43" t="s">
        <v>5939</v>
      </c>
      <c r="B2166" s="21" t="s">
        <v>5940</v>
      </c>
      <c r="C2166" s="21" t="s">
        <v>22727</v>
      </c>
      <c r="D2166" s="31">
        <v>1</v>
      </c>
      <c r="E2166" s="23" t="s">
        <v>22656</v>
      </c>
      <c r="F2166" s="24" t="s">
        <v>22657</v>
      </c>
      <c r="G2166" s="25">
        <v>2</v>
      </c>
      <c r="H2166" s="26"/>
      <c r="I2166" s="27"/>
    </row>
    <row r="2167" spans="1:9" ht="15.75" thickBot="1" x14ac:dyDescent="0.3">
      <c r="A2167" s="43" t="s">
        <v>5941</v>
      </c>
      <c r="B2167" s="21" t="s">
        <v>5942</v>
      </c>
      <c r="C2167" s="21" t="s">
        <v>22663</v>
      </c>
      <c r="D2167" s="31">
        <v>1</v>
      </c>
      <c r="E2167" s="23" t="s">
        <v>22661</v>
      </c>
      <c r="F2167" s="24" t="s">
        <v>22657</v>
      </c>
      <c r="G2167" s="25">
        <v>7</v>
      </c>
      <c r="H2167" s="29"/>
      <c r="I2167" s="30"/>
    </row>
    <row r="2168" spans="1:9" ht="15.75" thickBot="1" x14ac:dyDescent="0.3">
      <c r="A2168" s="43" t="s">
        <v>5943</v>
      </c>
      <c r="B2168" s="21" t="s">
        <v>5944</v>
      </c>
      <c r="C2168" s="21" t="s">
        <v>22682</v>
      </c>
      <c r="D2168" s="22">
        <v>46034</v>
      </c>
      <c r="E2168" s="23" t="s">
        <v>22658</v>
      </c>
      <c r="F2168" s="24" t="s">
        <v>22657</v>
      </c>
      <c r="G2168" s="25">
        <v>4</v>
      </c>
      <c r="H2168" s="26"/>
      <c r="I2168" s="27"/>
    </row>
    <row r="2169" spans="1:9" ht="15.75" thickBot="1" x14ac:dyDescent="0.3">
      <c r="A2169" s="43" t="s">
        <v>5945</v>
      </c>
      <c r="B2169" s="21" t="s">
        <v>5946</v>
      </c>
      <c r="C2169" s="21" t="s">
        <v>22682</v>
      </c>
      <c r="D2169" s="22">
        <v>46034</v>
      </c>
      <c r="E2169" s="23" t="s">
        <v>22658</v>
      </c>
      <c r="F2169" s="24" t="s">
        <v>22657</v>
      </c>
      <c r="G2169" s="25">
        <v>4</v>
      </c>
      <c r="H2169" s="29"/>
      <c r="I2169" s="30"/>
    </row>
    <row r="2170" spans="1:9" ht="15.75" thickBot="1" x14ac:dyDescent="0.3">
      <c r="A2170" s="43" t="s">
        <v>5947</v>
      </c>
      <c r="B2170" s="21" t="s">
        <v>5948</v>
      </c>
      <c r="C2170" s="21" t="s">
        <v>22682</v>
      </c>
      <c r="D2170" s="22">
        <v>46034</v>
      </c>
      <c r="E2170" s="23" t="s">
        <v>22656</v>
      </c>
      <c r="F2170" s="24" t="s">
        <v>22657</v>
      </c>
      <c r="G2170" s="25">
        <v>4</v>
      </c>
      <c r="H2170" s="26"/>
      <c r="I2170" s="27"/>
    </row>
    <row r="2171" spans="1:9" ht="15.75" thickBot="1" x14ac:dyDescent="0.3">
      <c r="A2171" s="43" t="s">
        <v>5949</v>
      </c>
      <c r="B2171" s="21" t="s">
        <v>5950</v>
      </c>
      <c r="C2171" s="21" t="s">
        <v>22682</v>
      </c>
      <c r="D2171" s="22">
        <v>46034</v>
      </c>
      <c r="E2171" s="23" t="s">
        <v>22658</v>
      </c>
      <c r="F2171" s="24" t="s">
        <v>22657</v>
      </c>
      <c r="G2171" s="25">
        <v>4</v>
      </c>
      <c r="H2171" s="29"/>
      <c r="I2171" s="30"/>
    </row>
    <row r="2172" spans="1:9" ht="15.75" thickBot="1" x14ac:dyDescent="0.3">
      <c r="A2172" s="43" t="s">
        <v>5951</v>
      </c>
      <c r="B2172" s="21" t="s">
        <v>5952</v>
      </c>
      <c r="C2172" s="21" t="s">
        <v>22682</v>
      </c>
      <c r="D2172" s="22">
        <v>46034</v>
      </c>
      <c r="E2172" s="23" t="s">
        <v>22656</v>
      </c>
      <c r="F2172" s="24" t="s">
        <v>22657</v>
      </c>
      <c r="G2172" s="25">
        <v>4</v>
      </c>
      <c r="H2172" s="26"/>
      <c r="I2172" s="27"/>
    </row>
    <row r="2173" spans="1:9" ht="15.75" thickBot="1" x14ac:dyDescent="0.3">
      <c r="A2173" s="43" t="s">
        <v>22482</v>
      </c>
      <c r="B2173" s="21" t="s">
        <v>22483</v>
      </c>
      <c r="C2173" s="36" t="e">
        <v>#N/A</v>
      </c>
      <c r="D2173" s="37" t="e">
        <v>#N/A</v>
      </c>
      <c r="E2173" s="23" t="e">
        <v>#N/A</v>
      </c>
      <c r="F2173" s="24" t="s">
        <v>22657</v>
      </c>
      <c r="G2173" s="25" t="e">
        <v>#N/A</v>
      </c>
      <c r="H2173" s="29"/>
      <c r="I2173" s="30"/>
    </row>
    <row r="2174" spans="1:9" ht="15.75" thickBot="1" x14ac:dyDescent="0.3">
      <c r="A2174" s="43" t="s">
        <v>22484</v>
      </c>
      <c r="B2174" s="21" t="s">
        <v>22485</v>
      </c>
      <c r="C2174" s="36" t="e">
        <v>#N/A</v>
      </c>
      <c r="D2174" s="37" t="e">
        <v>#N/A</v>
      </c>
      <c r="E2174" s="23" t="e">
        <v>#N/A</v>
      </c>
      <c r="F2174" s="24" t="s">
        <v>22657</v>
      </c>
      <c r="G2174" s="25" t="e">
        <v>#N/A</v>
      </c>
      <c r="H2174" s="26"/>
      <c r="I2174" s="27"/>
    </row>
    <row r="2175" spans="1:9" ht="15.75" thickBot="1" x14ac:dyDescent="0.3">
      <c r="A2175" s="43" t="s">
        <v>5953</v>
      </c>
      <c r="B2175" s="21" t="s">
        <v>5954</v>
      </c>
      <c r="C2175" s="21" t="s">
        <v>22655</v>
      </c>
      <c r="D2175" s="31" t="s">
        <v>22669</v>
      </c>
      <c r="E2175" s="23" t="s">
        <v>22658</v>
      </c>
      <c r="F2175" s="24" t="s">
        <v>22657</v>
      </c>
      <c r="G2175" s="25">
        <v>4</v>
      </c>
      <c r="H2175" s="29"/>
      <c r="I2175" s="30"/>
    </row>
    <row r="2176" spans="1:9" ht="15.75" thickBot="1" x14ac:dyDescent="0.3">
      <c r="A2176" s="43" t="s">
        <v>5955</v>
      </c>
      <c r="B2176" s="21" t="s">
        <v>5956</v>
      </c>
      <c r="C2176" s="21" t="s">
        <v>22655</v>
      </c>
      <c r="D2176" s="31" t="s">
        <v>22669</v>
      </c>
      <c r="E2176" s="23" t="s">
        <v>22658</v>
      </c>
      <c r="F2176" s="24" t="s">
        <v>22657</v>
      </c>
      <c r="G2176" s="25">
        <v>4</v>
      </c>
      <c r="H2176" s="26"/>
      <c r="I2176" s="27"/>
    </row>
    <row r="2177" spans="1:9" ht="15.75" thickBot="1" x14ac:dyDescent="0.3">
      <c r="A2177" s="43" t="s">
        <v>5957</v>
      </c>
      <c r="B2177" s="21" t="s">
        <v>5958</v>
      </c>
      <c r="C2177" s="21" t="s">
        <v>22682</v>
      </c>
      <c r="D2177" s="22">
        <v>46034</v>
      </c>
      <c r="E2177" s="23" t="s">
        <v>22658</v>
      </c>
      <c r="F2177" s="24" t="s">
        <v>22657</v>
      </c>
      <c r="G2177" s="25">
        <v>4</v>
      </c>
      <c r="H2177" s="29"/>
      <c r="I2177" s="30"/>
    </row>
    <row r="2178" spans="1:9" ht="15.75" thickBot="1" x14ac:dyDescent="0.3">
      <c r="A2178" s="43" t="s">
        <v>5959</v>
      </c>
      <c r="B2178" s="21" t="s">
        <v>5960</v>
      </c>
      <c r="C2178" s="21" t="s">
        <v>22682</v>
      </c>
      <c r="D2178" s="22">
        <v>46034</v>
      </c>
      <c r="E2178" s="23" t="s">
        <v>22658</v>
      </c>
      <c r="F2178" s="24" t="s">
        <v>22657</v>
      </c>
      <c r="G2178" s="25">
        <v>4</v>
      </c>
      <c r="H2178" s="26"/>
      <c r="I2178" s="27"/>
    </row>
    <row r="2179" spans="1:9" ht="15.75" thickBot="1" x14ac:dyDescent="0.3">
      <c r="A2179" s="43" t="s">
        <v>5961</v>
      </c>
      <c r="B2179" s="21" t="s">
        <v>5962</v>
      </c>
      <c r="C2179" s="21" t="s">
        <v>22682</v>
      </c>
      <c r="D2179" s="22">
        <v>46034</v>
      </c>
      <c r="E2179" s="23" t="s">
        <v>22656</v>
      </c>
      <c r="F2179" s="24" t="s">
        <v>22657</v>
      </c>
      <c r="G2179" s="25">
        <v>4</v>
      </c>
      <c r="H2179" s="29"/>
      <c r="I2179" s="30"/>
    </row>
    <row r="2180" spans="1:9" ht="15.75" thickBot="1" x14ac:dyDescent="0.3">
      <c r="A2180" s="43" t="s">
        <v>5963</v>
      </c>
      <c r="B2180" s="21" t="s">
        <v>5964</v>
      </c>
      <c r="C2180" s="21" t="s">
        <v>22682</v>
      </c>
      <c r="D2180" s="22">
        <v>46034</v>
      </c>
      <c r="E2180" s="23" t="s">
        <v>22658</v>
      </c>
      <c r="F2180" s="24" t="s">
        <v>22657</v>
      </c>
      <c r="G2180" s="25">
        <v>4</v>
      </c>
      <c r="H2180" s="26"/>
      <c r="I2180" s="27"/>
    </row>
    <row r="2181" spans="1:9" ht="15.75" thickBot="1" x14ac:dyDescent="0.3">
      <c r="A2181" s="43" t="s">
        <v>5965</v>
      </c>
      <c r="B2181" s="21" t="s">
        <v>5966</v>
      </c>
      <c r="C2181" s="21" t="s">
        <v>22655</v>
      </c>
      <c r="D2181" s="22">
        <v>46040</v>
      </c>
      <c r="E2181" s="23" t="s">
        <v>22658</v>
      </c>
      <c r="F2181" s="24" t="s">
        <v>22657</v>
      </c>
      <c r="G2181" s="25">
        <v>2</v>
      </c>
      <c r="H2181" s="29"/>
      <c r="I2181" s="30"/>
    </row>
    <row r="2182" spans="1:9" ht="15.75" thickBot="1" x14ac:dyDescent="0.3">
      <c r="A2182" s="43" t="s">
        <v>5967</v>
      </c>
      <c r="B2182" s="21" t="s">
        <v>5968</v>
      </c>
      <c r="C2182" s="21" t="s">
        <v>22655</v>
      </c>
      <c r="D2182" s="22">
        <v>46040</v>
      </c>
      <c r="E2182" s="23" t="s">
        <v>22658</v>
      </c>
      <c r="F2182" s="24" t="s">
        <v>22657</v>
      </c>
      <c r="G2182" s="25">
        <v>2</v>
      </c>
      <c r="H2182" s="26"/>
      <c r="I2182" s="27"/>
    </row>
    <row r="2183" spans="1:9" ht="15.75" thickBot="1" x14ac:dyDescent="0.3">
      <c r="A2183" s="43" t="s">
        <v>5969</v>
      </c>
      <c r="B2183" s="21" t="s">
        <v>5970</v>
      </c>
      <c r="C2183" s="21" t="s">
        <v>22682</v>
      </c>
      <c r="D2183" s="22">
        <v>46034</v>
      </c>
      <c r="E2183" s="23" t="s">
        <v>22658</v>
      </c>
      <c r="F2183" s="24" t="s">
        <v>22657</v>
      </c>
      <c r="G2183" s="25">
        <v>4</v>
      </c>
      <c r="H2183" s="29"/>
      <c r="I2183" s="30"/>
    </row>
    <row r="2184" spans="1:9" ht="15.75" thickBot="1" x14ac:dyDescent="0.3">
      <c r="A2184" s="43" t="s">
        <v>1978</v>
      </c>
      <c r="B2184" s="21" t="s">
        <v>5971</v>
      </c>
      <c r="C2184" s="21" t="s">
        <v>22712</v>
      </c>
      <c r="D2184" s="22">
        <v>46042</v>
      </c>
      <c r="E2184" s="23" t="s">
        <v>22656</v>
      </c>
      <c r="F2184" s="24" t="s">
        <v>22657</v>
      </c>
      <c r="G2184" s="25">
        <v>2</v>
      </c>
      <c r="H2184" s="26"/>
      <c r="I2184" s="27"/>
    </row>
    <row r="2185" spans="1:9" ht="15.75" thickBot="1" x14ac:dyDescent="0.3">
      <c r="A2185" s="43" t="s">
        <v>5972</v>
      </c>
      <c r="B2185" s="21" t="s">
        <v>5973</v>
      </c>
      <c r="C2185" s="21" t="s">
        <v>22663</v>
      </c>
      <c r="D2185" s="31">
        <v>1</v>
      </c>
      <c r="E2185" s="23" t="s">
        <v>22658</v>
      </c>
      <c r="F2185" s="24" t="s">
        <v>22657</v>
      </c>
      <c r="G2185" s="25">
        <v>4</v>
      </c>
      <c r="H2185" s="29"/>
      <c r="I2185" s="30"/>
    </row>
    <row r="2186" spans="1:9" ht="15.75" thickBot="1" x14ac:dyDescent="0.3">
      <c r="A2186" s="43" t="s">
        <v>5974</v>
      </c>
      <c r="B2186" s="21" t="s">
        <v>5975</v>
      </c>
      <c r="C2186" s="21" t="s">
        <v>22663</v>
      </c>
      <c r="D2186" s="31">
        <v>1</v>
      </c>
      <c r="E2186" s="23" t="s">
        <v>22656</v>
      </c>
      <c r="F2186" s="24" t="s">
        <v>22657</v>
      </c>
      <c r="G2186" s="25">
        <v>4</v>
      </c>
      <c r="H2186" s="26"/>
      <c r="I2186" s="27"/>
    </row>
    <row r="2187" spans="1:9" ht="15.75" thickBot="1" x14ac:dyDescent="0.3">
      <c r="A2187" s="43" t="s">
        <v>5976</v>
      </c>
      <c r="B2187" s="21" t="s">
        <v>5977</v>
      </c>
      <c r="C2187" s="21" t="s">
        <v>22663</v>
      </c>
      <c r="D2187" s="31">
        <v>1</v>
      </c>
      <c r="E2187" s="23" t="s">
        <v>22656</v>
      </c>
      <c r="F2187" s="24" t="s">
        <v>22657</v>
      </c>
      <c r="G2187" s="25">
        <v>2</v>
      </c>
      <c r="H2187" s="29"/>
      <c r="I2187" s="30"/>
    </row>
    <row r="2188" spans="1:9" ht="15.75" thickBot="1" x14ac:dyDescent="0.3">
      <c r="A2188" s="43" t="s">
        <v>5978</v>
      </c>
      <c r="B2188" s="21" t="s">
        <v>5979</v>
      </c>
      <c r="C2188" s="21" t="s">
        <v>22709</v>
      </c>
      <c r="D2188" s="31">
        <v>1</v>
      </c>
      <c r="E2188" s="23" t="s">
        <v>22658</v>
      </c>
      <c r="F2188" s="28" t="s">
        <v>22659</v>
      </c>
      <c r="G2188" s="25">
        <v>1</v>
      </c>
      <c r="H2188" s="26"/>
      <c r="I2188" s="27"/>
    </row>
    <row r="2189" spans="1:9" ht="15.75" thickBot="1" x14ac:dyDescent="0.3">
      <c r="A2189" s="43" t="s">
        <v>5980</v>
      </c>
      <c r="B2189" s="21" t="s">
        <v>5981</v>
      </c>
      <c r="C2189" s="21" t="s">
        <v>22663</v>
      </c>
      <c r="D2189" s="31">
        <v>1</v>
      </c>
      <c r="E2189" s="23" t="s">
        <v>22656</v>
      </c>
      <c r="F2189" s="24" t="s">
        <v>22657</v>
      </c>
      <c r="G2189" s="25">
        <v>4</v>
      </c>
      <c r="H2189" s="29"/>
      <c r="I2189" s="30"/>
    </row>
    <row r="2190" spans="1:9" ht="15.75" thickBot="1" x14ac:dyDescent="0.3">
      <c r="A2190" s="43" t="s">
        <v>5982</v>
      </c>
      <c r="B2190" s="21" t="s">
        <v>5983</v>
      </c>
      <c r="C2190" s="21" t="s">
        <v>22655</v>
      </c>
      <c r="D2190" s="22">
        <v>46042</v>
      </c>
      <c r="E2190" s="23" t="s">
        <v>22656</v>
      </c>
      <c r="F2190" s="24" t="s">
        <v>22657</v>
      </c>
      <c r="G2190" s="25">
        <v>3</v>
      </c>
      <c r="H2190" s="34">
        <v>3</v>
      </c>
      <c r="I2190" s="35">
        <v>6</v>
      </c>
    </row>
    <row r="2191" spans="1:9" ht="15.75" thickBot="1" x14ac:dyDescent="0.3">
      <c r="A2191" s="43" t="s">
        <v>5984</v>
      </c>
      <c r="B2191" s="21" t="s">
        <v>5985</v>
      </c>
      <c r="C2191" s="21" t="s">
        <v>22655</v>
      </c>
      <c r="D2191" s="22">
        <v>46026</v>
      </c>
      <c r="E2191" s="23" t="s">
        <v>22658</v>
      </c>
      <c r="F2191" s="24" t="s">
        <v>22657</v>
      </c>
      <c r="G2191" s="25">
        <v>2</v>
      </c>
      <c r="H2191" s="29"/>
      <c r="I2191" s="30"/>
    </row>
    <row r="2192" spans="1:9" ht="15.75" thickBot="1" x14ac:dyDescent="0.3">
      <c r="A2192" s="43" t="s">
        <v>5986</v>
      </c>
      <c r="B2192" s="21" t="s">
        <v>5987</v>
      </c>
      <c r="C2192" s="21" t="s">
        <v>22655</v>
      </c>
      <c r="D2192" s="31" t="s">
        <v>22741</v>
      </c>
      <c r="E2192" s="23" t="s">
        <v>22661</v>
      </c>
      <c r="F2192" s="24" t="s">
        <v>22657</v>
      </c>
      <c r="G2192" s="25">
        <v>12</v>
      </c>
      <c r="H2192" s="26"/>
      <c r="I2192" s="27"/>
    </row>
    <row r="2193" spans="1:9" ht="15.75" thickBot="1" x14ac:dyDescent="0.3">
      <c r="A2193" s="43" t="s">
        <v>5988</v>
      </c>
      <c r="B2193" s="21" t="s">
        <v>5989</v>
      </c>
      <c r="C2193" s="21" t="s">
        <v>22663</v>
      </c>
      <c r="D2193" s="31">
        <v>1</v>
      </c>
      <c r="E2193" s="23" t="s">
        <v>22656</v>
      </c>
      <c r="F2193" s="24" t="s">
        <v>22657</v>
      </c>
      <c r="G2193" s="25">
        <v>2</v>
      </c>
      <c r="H2193" s="29"/>
      <c r="I2193" s="30"/>
    </row>
    <row r="2194" spans="1:9" ht="15.75" thickBot="1" x14ac:dyDescent="0.3">
      <c r="A2194" s="43" t="s">
        <v>5990</v>
      </c>
      <c r="B2194" s="21" t="s">
        <v>5991</v>
      </c>
      <c r="C2194" s="21" t="s">
        <v>22663</v>
      </c>
      <c r="D2194" s="31">
        <v>1</v>
      </c>
      <c r="E2194" s="23" t="s">
        <v>22656</v>
      </c>
      <c r="F2194" s="24" t="s">
        <v>22657</v>
      </c>
      <c r="G2194" s="25">
        <v>3</v>
      </c>
      <c r="H2194" s="26"/>
      <c r="I2194" s="27"/>
    </row>
    <row r="2195" spans="1:9" ht="15.75" thickBot="1" x14ac:dyDescent="0.3">
      <c r="A2195" s="43" t="s">
        <v>5992</v>
      </c>
      <c r="B2195" s="21" t="s">
        <v>5993</v>
      </c>
      <c r="C2195" s="21" t="s">
        <v>22663</v>
      </c>
      <c r="D2195" s="31">
        <v>1</v>
      </c>
      <c r="E2195" s="23" t="s">
        <v>22656</v>
      </c>
      <c r="F2195" s="24" t="s">
        <v>22657</v>
      </c>
      <c r="G2195" s="25">
        <v>2</v>
      </c>
      <c r="H2195" s="29"/>
      <c r="I2195" s="30"/>
    </row>
    <row r="2196" spans="1:9" ht="15.75" thickBot="1" x14ac:dyDescent="0.3">
      <c r="A2196" s="43" t="s">
        <v>5994</v>
      </c>
      <c r="B2196" s="21" t="s">
        <v>5995</v>
      </c>
      <c r="C2196" s="21" t="s">
        <v>22727</v>
      </c>
      <c r="D2196" s="31">
        <v>1</v>
      </c>
      <c r="E2196" s="23" t="s">
        <v>22658</v>
      </c>
      <c r="F2196" s="28" t="s">
        <v>22659</v>
      </c>
      <c r="G2196" s="25">
        <v>1</v>
      </c>
      <c r="H2196" s="26"/>
      <c r="I2196" s="27"/>
    </row>
    <row r="2197" spans="1:9" ht="15.75" thickBot="1" x14ac:dyDescent="0.3">
      <c r="A2197" s="43" t="s">
        <v>5996</v>
      </c>
      <c r="B2197" s="21" t="s">
        <v>5997</v>
      </c>
      <c r="C2197" s="21" t="s">
        <v>22727</v>
      </c>
      <c r="D2197" s="31">
        <v>1</v>
      </c>
      <c r="E2197" s="23" t="s">
        <v>22658</v>
      </c>
      <c r="F2197" s="24" t="s">
        <v>22657</v>
      </c>
      <c r="G2197" s="25">
        <v>1</v>
      </c>
      <c r="H2197" s="29"/>
      <c r="I2197" s="30"/>
    </row>
    <row r="2198" spans="1:9" ht="15.75" thickBot="1" x14ac:dyDescent="0.3">
      <c r="A2198" s="43" t="s">
        <v>5998</v>
      </c>
      <c r="B2198" s="21" t="s">
        <v>5999</v>
      </c>
      <c r="C2198" s="21" t="s">
        <v>22663</v>
      </c>
      <c r="D2198" s="31">
        <v>1</v>
      </c>
      <c r="E2198" s="23" t="s">
        <v>22658</v>
      </c>
      <c r="F2198" s="24" t="s">
        <v>22657</v>
      </c>
      <c r="G2198" s="25">
        <v>3</v>
      </c>
      <c r="H2198" s="26"/>
      <c r="I2198" s="27"/>
    </row>
    <row r="2199" spans="1:9" ht="15.75" thickBot="1" x14ac:dyDescent="0.3">
      <c r="A2199" s="43" t="s">
        <v>6000</v>
      </c>
      <c r="B2199" s="21" t="s">
        <v>6001</v>
      </c>
      <c r="C2199" s="21" t="s">
        <v>22663</v>
      </c>
      <c r="D2199" s="31">
        <v>1</v>
      </c>
      <c r="E2199" s="23" t="s">
        <v>22658</v>
      </c>
      <c r="F2199" s="24" t="s">
        <v>22657</v>
      </c>
      <c r="G2199" s="25">
        <v>4</v>
      </c>
      <c r="H2199" s="29"/>
      <c r="I2199" s="30"/>
    </row>
    <row r="2200" spans="1:9" ht="15.75" thickBot="1" x14ac:dyDescent="0.3">
      <c r="A2200" s="43" t="s">
        <v>6002</v>
      </c>
      <c r="B2200" s="21" t="s">
        <v>6003</v>
      </c>
      <c r="C2200" s="21" t="s">
        <v>22663</v>
      </c>
      <c r="D2200" s="31">
        <v>1</v>
      </c>
      <c r="E2200" s="23" t="s">
        <v>22656</v>
      </c>
      <c r="F2200" s="24" t="s">
        <v>22657</v>
      </c>
      <c r="G2200" s="25">
        <v>5</v>
      </c>
      <c r="H2200" s="34">
        <v>5</v>
      </c>
      <c r="I2200" s="35">
        <v>10</v>
      </c>
    </row>
    <row r="2201" spans="1:9" ht="15.75" thickBot="1" x14ac:dyDescent="0.3">
      <c r="A2201" s="43" t="s">
        <v>6004</v>
      </c>
      <c r="B2201" s="21" t="s">
        <v>6005</v>
      </c>
      <c r="C2201" s="21" t="s">
        <v>22663</v>
      </c>
      <c r="D2201" s="31">
        <v>1</v>
      </c>
      <c r="E2201" s="23" t="s">
        <v>22661</v>
      </c>
      <c r="F2201" s="24" t="s">
        <v>22657</v>
      </c>
      <c r="G2201" s="25">
        <v>7</v>
      </c>
      <c r="H2201" s="29"/>
      <c r="I2201" s="30"/>
    </row>
    <row r="2202" spans="1:9" ht="15.75" thickBot="1" x14ac:dyDescent="0.3">
      <c r="A2202" s="43" t="s">
        <v>1691</v>
      </c>
      <c r="B2202" s="21" t="s">
        <v>6006</v>
      </c>
      <c r="C2202" s="21" t="s">
        <v>22655</v>
      </c>
      <c r="D2202" s="22">
        <v>46026</v>
      </c>
      <c r="E2202" s="23" t="s">
        <v>22656</v>
      </c>
      <c r="F2202" s="24" t="s">
        <v>22657</v>
      </c>
      <c r="G2202" s="25">
        <v>2</v>
      </c>
      <c r="H2202" s="26"/>
      <c r="I2202" s="27"/>
    </row>
    <row r="2203" spans="1:9" ht="15.75" thickBot="1" x14ac:dyDescent="0.3">
      <c r="A2203" s="43" t="s">
        <v>1942</v>
      </c>
      <c r="B2203" s="21" t="s">
        <v>1943</v>
      </c>
      <c r="C2203" s="21" t="s">
        <v>22655</v>
      </c>
      <c r="D2203" s="22">
        <v>46026</v>
      </c>
      <c r="E2203" s="23" t="s">
        <v>22656</v>
      </c>
      <c r="F2203" s="24" t="s">
        <v>22657</v>
      </c>
      <c r="G2203" s="25">
        <v>2</v>
      </c>
      <c r="H2203" s="32">
        <v>2</v>
      </c>
      <c r="I2203" s="33">
        <v>4</v>
      </c>
    </row>
    <row r="2204" spans="1:9" ht="15.75" thickBot="1" x14ac:dyDescent="0.3">
      <c r="A2204" s="43" t="s">
        <v>6007</v>
      </c>
      <c r="B2204" s="21" t="s">
        <v>6008</v>
      </c>
      <c r="C2204" s="21" t="s">
        <v>22663</v>
      </c>
      <c r="D2204" s="31">
        <v>1</v>
      </c>
      <c r="E2204" s="23" t="s">
        <v>22656</v>
      </c>
      <c r="F2204" s="24" t="s">
        <v>22657</v>
      </c>
      <c r="G2204" s="25">
        <v>4</v>
      </c>
      <c r="H2204" s="26"/>
      <c r="I2204" s="27"/>
    </row>
    <row r="2205" spans="1:9" ht="15.75" thickBot="1" x14ac:dyDescent="0.3">
      <c r="A2205" s="43" t="s">
        <v>6009</v>
      </c>
      <c r="B2205" s="21" t="s">
        <v>6010</v>
      </c>
      <c r="C2205" s="21" t="s">
        <v>22655</v>
      </c>
      <c r="D2205" s="22">
        <v>46028</v>
      </c>
      <c r="E2205" s="23" t="s">
        <v>22656</v>
      </c>
      <c r="F2205" s="24" t="s">
        <v>22657</v>
      </c>
      <c r="G2205" s="25">
        <v>2</v>
      </c>
      <c r="H2205" s="29"/>
      <c r="I2205" s="30"/>
    </row>
    <row r="2206" spans="1:9" ht="15.75" thickBot="1" x14ac:dyDescent="0.3">
      <c r="A2206" s="43" t="s">
        <v>6011</v>
      </c>
      <c r="B2206" s="21" t="s">
        <v>6012</v>
      </c>
      <c r="C2206" s="21" t="s">
        <v>22663</v>
      </c>
      <c r="D2206" s="31">
        <v>1</v>
      </c>
      <c r="E2206" s="23" t="s">
        <v>22661</v>
      </c>
      <c r="F2206" s="24" t="s">
        <v>22657</v>
      </c>
      <c r="G2206" s="25">
        <v>7</v>
      </c>
      <c r="H2206" s="26"/>
      <c r="I2206" s="27"/>
    </row>
    <row r="2207" spans="1:9" ht="15.75" thickBot="1" x14ac:dyDescent="0.3">
      <c r="A2207" s="43" t="s">
        <v>6013</v>
      </c>
      <c r="B2207" s="21" t="s">
        <v>6014</v>
      </c>
      <c r="C2207" s="21" t="s">
        <v>22655</v>
      </c>
      <c r="D2207" s="22">
        <v>46028</v>
      </c>
      <c r="E2207" s="23" t="s">
        <v>22656</v>
      </c>
      <c r="F2207" s="24" t="s">
        <v>22657</v>
      </c>
      <c r="G2207" s="25">
        <v>2</v>
      </c>
      <c r="H2207" s="29"/>
      <c r="I2207" s="30"/>
    </row>
    <row r="2208" spans="1:9" ht="15.75" thickBot="1" x14ac:dyDescent="0.3">
      <c r="A2208" s="43" t="s">
        <v>6015</v>
      </c>
      <c r="B2208" s="21" t="s">
        <v>6016</v>
      </c>
      <c r="C2208" s="21" t="s">
        <v>22663</v>
      </c>
      <c r="D2208" s="31">
        <v>1</v>
      </c>
      <c r="E2208" s="23" t="s">
        <v>22656</v>
      </c>
      <c r="F2208" s="24" t="s">
        <v>22657</v>
      </c>
      <c r="G2208" s="25">
        <v>4</v>
      </c>
      <c r="H2208" s="26"/>
      <c r="I2208" s="27"/>
    </row>
    <row r="2209" spans="1:9" ht="15.75" thickBot="1" x14ac:dyDescent="0.3">
      <c r="A2209" s="43" t="s">
        <v>87</v>
      </c>
      <c r="B2209" s="21" t="s">
        <v>88</v>
      </c>
      <c r="C2209" s="21" t="s">
        <v>22655</v>
      </c>
      <c r="D2209" s="22">
        <v>46028</v>
      </c>
      <c r="E2209" s="23" t="s">
        <v>22665</v>
      </c>
      <c r="F2209" s="24" t="s">
        <v>22657</v>
      </c>
      <c r="G2209" s="25">
        <v>24</v>
      </c>
      <c r="H2209" s="32">
        <v>24</v>
      </c>
      <c r="I2209" s="33">
        <v>60</v>
      </c>
    </row>
    <row r="2210" spans="1:9" ht="15.75" thickBot="1" x14ac:dyDescent="0.3">
      <c r="A2210" s="43" t="s">
        <v>6017</v>
      </c>
      <c r="B2210" s="21" t="s">
        <v>6018</v>
      </c>
      <c r="C2210" s="21" t="s">
        <v>22663</v>
      </c>
      <c r="D2210" s="31">
        <v>1</v>
      </c>
      <c r="E2210" s="23" t="s">
        <v>22661</v>
      </c>
      <c r="F2210" s="24" t="s">
        <v>22657</v>
      </c>
      <c r="G2210" s="25">
        <v>7</v>
      </c>
      <c r="H2210" s="26"/>
      <c r="I2210" s="27"/>
    </row>
    <row r="2211" spans="1:9" ht="15.75" thickBot="1" x14ac:dyDescent="0.3">
      <c r="A2211" s="43" t="s">
        <v>1347</v>
      </c>
      <c r="B2211" s="21" t="s">
        <v>1348</v>
      </c>
      <c r="C2211" s="21" t="s">
        <v>22655</v>
      </c>
      <c r="D2211" s="22">
        <v>46026</v>
      </c>
      <c r="E2211" s="23" t="s">
        <v>22665</v>
      </c>
      <c r="F2211" s="24" t="s">
        <v>22657</v>
      </c>
      <c r="G2211" s="25">
        <v>8</v>
      </c>
      <c r="H2211" s="32">
        <v>8</v>
      </c>
      <c r="I2211" s="33">
        <v>16</v>
      </c>
    </row>
    <row r="2212" spans="1:9" ht="15.75" thickBot="1" x14ac:dyDescent="0.3">
      <c r="A2212" s="43" t="s">
        <v>6019</v>
      </c>
      <c r="B2212" s="21" t="s">
        <v>6020</v>
      </c>
      <c r="C2212" s="21" t="s">
        <v>22655</v>
      </c>
      <c r="D2212" s="22">
        <v>46034</v>
      </c>
      <c r="E2212" s="23" t="s">
        <v>22665</v>
      </c>
      <c r="F2212" s="24" t="s">
        <v>22657</v>
      </c>
      <c r="G2212" s="25">
        <v>12</v>
      </c>
      <c r="H2212" s="34">
        <v>12</v>
      </c>
      <c r="I2212" s="35">
        <v>24</v>
      </c>
    </row>
    <row r="2213" spans="1:9" ht="15.75" thickBot="1" x14ac:dyDescent="0.3">
      <c r="A2213" s="43" t="s">
        <v>868</v>
      </c>
      <c r="B2213" s="21" t="s">
        <v>869</v>
      </c>
      <c r="C2213" s="21" t="s">
        <v>22655</v>
      </c>
      <c r="D2213" s="22">
        <v>46028</v>
      </c>
      <c r="E2213" s="23" t="s">
        <v>22661</v>
      </c>
      <c r="F2213" s="24" t="s">
        <v>22657</v>
      </c>
      <c r="G2213" s="25">
        <v>12</v>
      </c>
      <c r="H2213" s="32">
        <v>12</v>
      </c>
      <c r="I2213" s="33">
        <v>18</v>
      </c>
    </row>
    <row r="2214" spans="1:9" ht="15.75" thickBot="1" x14ac:dyDescent="0.3">
      <c r="A2214" s="43" t="s">
        <v>1763</v>
      </c>
      <c r="B2214" s="21" t="s">
        <v>1764</v>
      </c>
      <c r="C2214" s="21" t="s">
        <v>22655</v>
      </c>
      <c r="D2214" s="22">
        <v>46026</v>
      </c>
      <c r="E2214" s="23" t="s">
        <v>22656</v>
      </c>
      <c r="F2214" s="24" t="s">
        <v>22657</v>
      </c>
      <c r="G2214" s="25">
        <v>2</v>
      </c>
      <c r="H2214" s="34">
        <v>2</v>
      </c>
      <c r="I2214" s="35">
        <v>4</v>
      </c>
    </row>
    <row r="2215" spans="1:9" ht="15.75" thickBot="1" x14ac:dyDescent="0.3">
      <c r="A2215" s="43" t="s">
        <v>6021</v>
      </c>
      <c r="B2215" s="21" t="s">
        <v>6022</v>
      </c>
      <c r="C2215" s="21" t="s">
        <v>22663</v>
      </c>
      <c r="D2215" s="31">
        <v>1</v>
      </c>
      <c r="E2215" s="23" t="s">
        <v>22658</v>
      </c>
      <c r="F2215" s="24" t="s">
        <v>22657</v>
      </c>
      <c r="G2215" s="25">
        <v>7</v>
      </c>
      <c r="H2215" s="29"/>
      <c r="I2215" s="30"/>
    </row>
    <row r="2216" spans="1:9" ht="15.75" thickBot="1" x14ac:dyDescent="0.3">
      <c r="A2216" s="43" t="s">
        <v>6023</v>
      </c>
      <c r="B2216" s="21" t="s">
        <v>6024</v>
      </c>
      <c r="C2216" s="21" t="s">
        <v>22663</v>
      </c>
      <c r="D2216" s="31">
        <v>1</v>
      </c>
      <c r="E2216" s="23" t="s">
        <v>22661</v>
      </c>
      <c r="F2216" s="24" t="s">
        <v>22657</v>
      </c>
      <c r="G2216" s="25">
        <v>7</v>
      </c>
      <c r="H2216" s="26"/>
      <c r="I2216" s="27"/>
    </row>
    <row r="2217" spans="1:9" ht="15.75" thickBot="1" x14ac:dyDescent="0.3">
      <c r="A2217" s="43" t="s">
        <v>6025</v>
      </c>
      <c r="B2217" s="21" t="s">
        <v>6026</v>
      </c>
      <c r="C2217" s="21" t="s">
        <v>22655</v>
      </c>
      <c r="D2217" s="22">
        <v>46028</v>
      </c>
      <c r="E2217" s="23" t="s">
        <v>22658</v>
      </c>
      <c r="F2217" s="24" t="s">
        <v>22657</v>
      </c>
      <c r="G2217" s="25">
        <v>2</v>
      </c>
      <c r="H2217" s="29"/>
      <c r="I2217" s="30"/>
    </row>
    <row r="2218" spans="1:9" ht="15.75" thickBot="1" x14ac:dyDescent="0.3">
      <c r="A2218" s="43" t="s">
        <v>6027</v>
      </c>
      <c r="B2218" s="21" t="s">
        <v>6028</v>
      </c>
      <c r="C2218" s="21" t="s">
        <v>22663</v>
      </c>
      <c r="D2218" s="31">
        <v>1</v>
      </c>
      <c r="E2218" s="23" t="s">
        <v>22656</v>
      </c>
      <c r="F2218" s="24" t="s">
        <v>22657</v>
      </c>
      <c r="G2218" s="25">
        <v>4</v>
      </c>
      <c r="H2218" s="26"/>
      <c r="I2218" s="27"/>
    </row>
    <row r="2219" spans="1:9" ht="15.75" thickBot="1" x14ac:dyDescent="0.3">
      <c r="A2219" s="43" t="s">
        <v>6031</v>
      </c>
      <c r="B2219" s="21" t="s">
        <v>6030</v>
      </c>
      <c r="C2219" s="21" t="s">
        <v>22655</v>
      </c>
      <c r="D2219" s="22">
        <v>46034</v>
      </c>
      <c r="E2219" s="23" t="s">
        <v>22656</v>
      </c>
      <c r="F2219" s="24" t="s">
        <v>22657</v>
      </c>
      <c r="G2219" s="25">
        <v>4</v>
      </c>
      <c r="H2219" s="29"/>
      <c r="I2219" s="30"/>
    </row>
    <row r="2220" spans="1:9" ht="15.75" thickBot="1" x14ac:dyDescent="0.3">
      <c r="A2220" s="43" t="s">
        <v>6029</v>
      </c>
      <c r="B2220" s="21" t="s">
        <v>6030</v>
      </c>
      <c r="C2220" s="21" t="s">
        <v>22663</v>
      </c>
      <c r="D2220" s="31">
        <v>1</v>
      </c>
      <c r="E2220" s="23" t="s">
        <v>22656</v>
      </c>
      <c r="F2220" s="24" t="s">
        <v>22657</v>
      </c>
      <c r="G2220" s="25">
        <v>7</v>
      </c>
      <c r="H2220" s="26"/>
      <c r="I2220" s="27"/>
    </row>
    <row r="2221" spans="1:9" ht="15.75" thickBot="1" x14ac:dyDescent="0.3">
      <c r="A2221" s="43" t="s">
        <v>1683</v>
      </c>
      <c r="B2221" s="21" t="s">
        <v>1684</v>
      </c>
      <c r="C2221" s="21" t="s">
        <v>22655</v>
      </c>
      <c r="D2221" s="22">
        <v>46026</v>
      </c>
      <c r="E2221" s="23" t="s">
        <v>22656</v>
      </c>
      <c r="F2221" s="24" t="s">
        <v>22657</v>
      </c>
      <c r="G2221" s="25">
        <v>1</v>
      </c>
      <c r="H2221" s="32">
        <v>1</v>
      </c>
      <c r="I2221" s="33">
        <v>2</v>
      </c>
    </row>
    <row r="2222" spans="1:9" ht="15.75" thickBot="1" x14ac:dyDescent="0.3">
      <c r="A2222" s="43" t="s">
        <v>6032</v>
      </c>
      <c r="B2222" s="21" t="s">
        <v>6033</v>
      </c>
      <c r="C2222" s="21" t="s">
        <v>22655</v>
      </c>
      <c r="D2222" s="22">
        <v>46028</v>
      </c>
      <c r="E2222" s="23" t="s">
        <v>22656</v>
      </c>
      <c r="F2222" s="24" t="s">
        <v>22657</v>
      </c>
      <c r="G2222" s="25">
        <v>2</v>
      </c>
      <c r="H2222" s="26"/>
      <c r="I2222" s="27"/>
    </row>
    <row r="2223" spans="1:9" ht="15.75" thickBot="1" x14ac:dyDescent="0.3">
      <c r="A2223" s="43" t="s">
        <v>6034</v>
      </c>
      <c r="B2223" s="21" t="s">
        <v>6035</v>
      </c>
      <c r="C2223" s="21" t="s">
        <v>22663</v>
      </c>
      <c r="D2223" s="31">
        <v>1</v>
      </c>
      <c r="E2223" s="23" t="s">
        <v>22658</v>
      </c>
      <c r="F2223" s="24" t="s">
        <v>22657</v>
      </c>
      <c r="G2223" s="25">
        <v>4</v>
      </c>
      <c r="H2223" s="29"/>
      <c r="I2223" s="30"/>
    </row>
    <row r="2224" spans="1:9" ht="15.75" thickBot="1" x14ac:dyDescent="0.3">
      <c r="A2224" s="43" t="s">
        <v>1417</v>
      </c>
      <c r="B2224" s="21" t="s">
        <v>1418</v>
      </c>
      <c r="C2224" s="21" t="s">
        <v>22655</v>
      </c>
      <c r="D2224" s="22">
        <v>46028</v>
      </c>
      <c r="E2224" s="23" t="s">
        <v>22661</v>
      </c>
      <c r="F2224" s="24" t="s">
        <v>22657</v>
      </c>
      <c r="G2224" s="25">
        <v>12</v>
      </c>
      <c r="H2224" s="34">
        <v>12</v>
      </c>
      <c r="I2224" s="35">
        <v>24</v>
      </c>
    </row>
    <row r="2225" spans="1:9" ht="15.75" thickBot="1" x14ac:dyDescent="0.3">
      <c r="A2225" s="43" t="s">
        <v>6036</v>
      </c>
      <c r="B2225" s="21" t="s">
        <v>6037</v>
      </c>
      <c r="C2225" s="21" t="s">
        <v>22655</v>
      </c>
      <c r="D2225" s="22">
        <v>46034</v>
      </c>
      <c r="E2225" s="23" t="s">
        <v>22661</v>
      </c>
      <c r="F2225" s="24" t="s">
        <v>22657</v>
      </c>
      <c r="G2225" s="25">
        <v>6</v>
      </c>
      <c r="H2225" s="29"/>
      <c r="I2225" s="30"/>
    </row>
    <row r="2226" spans="1:9" ht="15.75" thickBot="1" x14ac:dyDescent="0.3">
      <c r="A2226" s="43" t="s">
        <v>6038</v>
      </c>
      <c r="B2226" s="21" t="s">
        <v>6037</v>
      </c>
      <c r="C2226" s="21" t="s">
        <v>22663</v>
      </c>
      <c r="D2226" s="31">
        <v>1</v>
      </c>
      <c r="E2226" s="23" t="s">
        <v>22656</v>
      </c>
      <c r="F2226" s="24" t="s">
        <v>22657</v>
      </c>
      <c r="G2226" s="25">
        <v>7</v>
      </c>
      <c r="H2226" s="26"/>
      <c r="I2226" s="27"/>
    </row>
    <row r="2227" spans="1:9" ht="15.75" thickBot="1" x14ac:dyDescent="0.3">
      <c r="A2227" s="43" t="s">
        <v>1811</v>
      </c>
      <c r="B2227" s="21" t="s">
        <v>1812</v>
      </c>
      <c r="C2227" s="21" t="s">
        <v>22655</v>
      </c>
      <c r="D2227" s="22">
        <v>46026</v>
      </c>
      <c r="E2227" s="23" t="s">
        <v>22661</v>
      </c>
      <c r="F2227" s="24" t="s">
        <v>22657</v>
      </c>
      <c r="G2227" s="25">
        <v>4</v>
      </c>
      <c r="H2227" s="32">
        <v>4</v>
      </c>
      <c r="I2227" s="33">
        <v>12</v>
      </c>
    </row>
    <row r="2228" spans="1:9" ht="15.75" thickBot="1" x14ac:dyDescent="0.3">
      <c r="A2228" s="43" t="s">
        <v>6039</v>
      </c>
      <c r="B2228" s="21" t="s">
        <v>6040</v>
      </c>
      <c r="C2228" s="21" t="s">
        <v>22782</v>
      </c>
      <c r="D2228" s="22">
        <v>46032</v>
      </c>
      <c r="E2228" s="23" t="s">
        <v>22658</v>
      </c>
      <c r="F2228" s="24" t="s">
        <v>22657</v>
      </c>
      <c r="G2228" s="25">
        <v>4</v>
      </c>
      <c r="H2228" s="26"/>
      <c r="I2228" s="27"/>
    </row>
    <row r="2229" spans="1:9" ht="15.75" thickBot="1" x14ac:dyDescent="0.3">
      <c r="A2229" s="43" t="s">
        <v>6041</v>
      </c>
      <c r="B2229" s="21" t="s">
        <v>6042</v>
      </c>
      <c r="C2229" s="21" t="s">
        <v>22782</v>
      </c>
      <c r="D2229" s="22">
        <v>46042</v>
      </c>
      <c r="E2229" s="23" t="s">
        <v>22658</v>
      </c>
      <c r="F2229" s="24" t="s">
        <v>22657</v>
      </c>
      <c r="G2229" s="25">
        <v>7</v>
      </c>
      <c r="H2229" s="29"/>
      <c r="I2229" s="30"/>
    </row>
    <row r="2230" spans="1:9" ht="15.75" thickBot="1" x14ac:dyDescent="0.3">
      <c r="A2230" s="43" t="s">
        <v>6043</v>
      </c>
      <c r="B2230" s="21" t="s">
        <v>6044</v>
      </c>
      <c r="C2230" s="21" t="s">
        <v>22655</v>
      </c>
      <c r="D2230" s="22">
        <v>46028</v>
      </c>
      <c r="E2230" s="23" t="s">
        <v>22658</v>
      </c>
      <c r="F2230" s="24" t="s">
        <v>22657</v>
      </c>
      <c r="G2230" s="25">
        <v>2</v>
      </c>
      <c r="H2230" s="26"/>
      <c r="I2230" s="27"/>
    </row>
    <row r="2231" spans="1:9" ht="15.75" thickBot="1" x14ac:dyDescent="0.3">
      <c r="A2231" s="43" t="s">
        <v>6045</v>
      </c>
      <c r="B2231" s="21" t="s">
        <v>6046</v>
      </c>
      <c r="C2231" s="21" t="s">
        <v>22655</v>
      </c>
      <c r="D2231" s="22">
        <v>46026</v>
      </c>
      <c r="E2231" s="23" t="s">
        <v>22658</v>
      </c>
      <c r="F2231" s="24" t="s">
        <v>22657</v>
      </c>
      <c r="G2231" s="25">
        <v>2</v>
      </c>
      <c r="H2231" s="29"/>
      <c r="I2231" s="30"/>
    </row>
    <row r="2232" spans="1:9" ht="15.75" thickBot="1" x14ac:dyDescent="0.3">
      <c r="A2232" s="43" t="s">
        <v>6047</v>
      </c>
      <c r="B2232" s="21" t="s">
        <v>6048</v>
      </c>
      <c r="C2232" s="21" t="s">
        <v>22663</v>
      </c>
      <c r="D2232" s="31">
        <v>1</v>
      </c>
      <c r="E2232" s="23" t="s">
        <v>22656</v>
      </c>
      <c r="F2232" s="24" t="s">
        <v>22657</v>
      </c>
      <c r="G2232" s="25">
        <v>4</v>
      </c>
      <c r="H2232" s="26"/>
      <c r="I2232" s="27"/>
    </row>
    <row r="2233" spans="1:9" ht="15.75" thickBot="1" x14ac:dyDescent="0.3">
      <c r="A2233" s="43" t="s">
        <v>6049</v>
      </c>
      <c r="B2233" s="21" t="s">
        <v>6050</v>
      </c>
      <c r="C2233" s="21" t="s">
        <v>22655</v>
      </c>
      <c r="D2233" s="22">
        <v>46028</v>
      </c>
      <c r="E2233" s="23" t="s">
        <v>22661</v>
      </c>
      <c r="F2233" s="24" t="s">
        <v>22657</v>
      </c>
      <c r="G2233" s="25">
        <v>12</v>
      </c>
      <c r="H2233" s="32">
        <v>12</v>
      </c>
      <c r="I2233" s="33">
        <v>18</v>
      </c>
    </row>
    <row r="2234" spans="1:9" ht="15.75" thickBot="1" x14ac:dyDescent="0.3">
      <c r="A2234" s="43" t="s">
        <v>6053</v>
      </c>
      <c r="B2234" s="21" t="s">
        <v>6052</v>
      </c>
      <c r="C2234" s="21" t="s">
        <v>22655</v>
      </c>
      <c r="D2234" s="22">
        <v>46034</v>
      </c>
      <c r="E2234" s="23" t="s">
        <v>22656</v>
      </c>
      <c r="F2234" s="24" t="s">
        <v>22657</v>
      </c>
      <c r="G2234" s="25">
        <v>4</v>
      </c>
      <c r="H2234" s="26"/>
      <c r="I2234" s="27"/>
    </row>
    <row r="2235" spans="1:9" ht="15.75" thickBot="1" x14ac:dyDescent="0.3">
      <c r="A2235" s="43" t="s">
        <v>6051</v>
      </c>
      <c r="B2235" s="21" t="s">
        <v>6052</v>
      </c>
      <c r="C2235" s="21" t="s">
        <v>22663</v>
      </c>
      <c r="D2235" s="31">
        <v>1</v>
      </c>
      <c r="E2235" s="23" t="s">
        <v>22656</v>
      </c>
      <c r="F2235" s="24" t="s">
        <v>22657</v>
      </c>
      <c r="G2235" s="25">
        <v>7</v>
      </c>
      <c r="H2235" s="29"/>
      <c r="I2235" s="30"/>
    </row>
    <row r="2236" spans="1:9" ht="15.75" thickBot="1" x14ac:dyDescent="0.3">
      <c r="A2236" s="43" t="s">
        <v>1769</v>
      </c>
      <c r="B2236" s="21" t="s">
        <v>1770</v>
      </c>
      <c r="C2236" s="21" t="s">
        <v>22655</v>
      </c>
      <c r="D2236" s="22">
        <v>46026</v>
      </c>
      <c r="E2236" s="23" t="s">
        <v>22656</v>
      </c>
      <c r="F2236" s="24" t="s">
        <v>22657</v>
      </c>
      <c r="G2236" s="25">
        <v>2</v>
      </c>
      <c r="H2236" s="34">
        <v>2</v>
      </c>
      <c r="I2236" s="35">
        <v>4</v>
      </c>
    </row>
    <row r="2237" spans="1:9" ht="15.75" thickBot="1" x14ac:dyDescent="0.3">
      <c r="A2237" s="43" t="s">
        <v>6054</v>
      </c>
      <c r="B2237" s="21" t="s">
        <v>6055</v>
      </c>
      <c r="C2237" s="21" t="s">
        <v>22663</v>
      </c>
      <c r="D2237" s="31">
        <v>1</v>
      </c>
      <c r="E2237" s="23" t="s">
        <v>22656</v>
      </c>
      <c r="F2237" s="24" t="s">
        <v>22657</v>
      </c>
      <c r="G2237" s="25">
        <v>6</v>
      </c>
      <c r="H2237" s="29"/>
      <c r="I2237" s="30"/>
    </row>
    <row r="2238" spans="1:9" ht="15.75" thickBot="1" x14ac:dyDescent="0.3">
      <c r="A2238" s="43" t="s">
        <v>6056</v>
      </c>
      <c r="B2238" s="21" t="s">
        <v>6057</v>
      </c>
      <c r="C2238" s="21" t="s">
        <v>22663</v>
      </c>
      <c r="D2238" s="31">
        <v>1</v>
      </c>
      <c r="E2238" s="23" t="s">
        <v>22656</v>
      </c>
      <c r="F2238" s="24" t="s">
        <v>22657</v>
      </c>
      <c r="G2238" s="25">
        <v>4</v>
      </c>
      <c r="H2238" s="26"/>
      <c r="I2238" s="27"/>
    </row>
    <row r="2239" spans="1:9" ht="15.75" thickBot="1" x14ac:dyDescent="0.3">
      <c r="A2239" s="43" t="s">
        <v>6058</v>
      </c>
      <c r="B2239" s="21" t="s">
        <v>6059</v>
      </c>
      <c r="C2239" s="21" t="s">
        <v>22709</v>
      </c>
      <c r="D2239" s="31">
        <v>1</v>
      </c>
      <c r="E2239" s="23" t="s">
        <v>22658</v>
      </c>
      <c r="F2239" s="24" t="s">
        <v>22657</v>
      </c>
      <c r="G2239" s="25">
        <v>1</v>
      </c>
      <c r="H2239" s="29"/>
      <c r="I2239" s="30"/>
    </row>
    <row r="2240" spans="1:9" ht="15.75" thickBot="1" x14ac:dyDescent="0.3">
      <c r="A2240" s="43" t="s">
        <v>1073</v>
      </c>
      <c r="B2240" s="21" t="s">
        <v>6060</v>
      </c>
      <c r="C2240" s="21" t="s">
        <v>22655</v>
      </c>
      <c r="D2240" s="22">
        <v>46046</v>
      </c>
      <c r="E2240" s="23" t="s">
        <v>22662</v>
      </c>
      <c r="F2240" s="24" t="s">
        <v>22657</v>
      </c>
      <c r="G2240" s="25">
        <v>48</v>
      </c>
      <c r="H2240" s="34">
        <v>48</v>
      </c>
      <c r="I2240" s="35">
        <v>60</v>
      </c>
    </row>
    <row r="2241" spans="1:9" ht="15.75" thickBot="1" x14ac:dyDescent="0.3">
      <c r="A2241" s="43" t="s">
        <v>6061</v>
      </c>
      <c r="B2241" s="21" t="s">
        <v>6062</v>
      </c>
      <c r="C2241" s="21" t="s">
        <v>22655</v>
      </c>
      <c r="D2241" s="22">
        <v>46046</v>
      </c>
      <c r="E2241" s="23" t="s">
        <v>22661</v>
      </c>
      <c r="F2241" s="24" t="s">
        <v>22657</v>
      </c>
      <c r="G2241" s="25">
        <v>12</v>
      </c>
      <c r="H2241" s="32">
        <v>12</v>
      </c>
      <c r="I2241" s="33">
        <v>24</v>
      </c>
    </row>
    <row r="2242" spans="1:9" ht="15.75" thickBot="1" x14ac:dyDescent="0.3">
      <c r="A2242" s="43" t="s">
        <v>6063</v>
      </c>
      <c r="B2242" s="21" t="s">
        <v>6064</v>
      </c>
      <c r="C2242" s="21" t="s">
        <v>22655</v>
      </c>
      <c r="D2242" s="22">
        <v>46034</v>
      </c>
      <c r="E2242" s="23" t="s">
        <v>22656</v>
      </c>
      <c r="F2242" s="24" t="s">
        <v>22657</v>
      </c>
      <c r="G2242" s="25">
        <v>2</v>
      </c>
      <c r="H2242" s="34">
        <v>2</v>
      </c>
      <c r="I2242" s="35">
        <v>4</v>
      </c>
    </row>
    <row r="2243" spans="1:9" ht="15.75" thickBot="1" x14ac:dyDescent="0.3">
      <c r="A2243" s="43" t="s">
        <v>6065</v>
      </c>
      <c r="B2243" s="21" t="s">
        <v>6066</v>
      </c>
      <c r="C2243" s="21" t="s">
        <v>22655</v>
      </c>
      <c r="D2243" s="22">
        <v>46034</v>
      </c>
      <c r="E2243" s="23" t="s">
        <v>22656</v>
      </c>
      <c r="F2243" s="24" t="s">
        <v>22657</v>
      </c>
      <c r="G2243" s="25">
        <v>4</v>
      </c>
      <c r="H2243" s="29"/>
      <c r="I2243" s="30"/>
    </row>
    <row r="2244" spans="1:9" ht="15.75" thickBot="1" x14ac:dyDescent="0.3">
      <c r="A2244" s="43" t="s">
        <v>1253</v>
      </c>
      <c r="B2244" s="21" t="s">
        <v>1254</v>
      </c>
      <c r="C2244" s="21" t="s">
        <v>22655</v>
      </c>
      <c r="D2244" s="22">
        <v>46046</v>
      </c>
      <c r="E2244" s="23" t="s">
        <v>22662</v>
      </c>
      <c r="F2244" s="24" t="s">
        <v>22657</v>
      </c>
      <c r="G2244" s="25">
        <v>48</v>
      </c>
      <c r="H2244" s="34">
        <v>48</v>
      </c>
      <c r="I2244" s="35">
        <v>72</v>
      </c>
    </row>
    <row r="2245" spans="1:9" ht="15.75" thickBot="1" x14ac:dyDescent="0.3">
      <c r="A2245" s="43" t="s">
        <v>45</v>
      </c>
      <c r="B2245" s="21" t="s">
        <v>6067</v>
      </c>
      <c r="C2245" s="21" t="s">
        <v>22655</v>
      </c>
      <c r="D2245" s="22">
        <v>46034</v>
      </c>
      <c r="E2245" s="23" t="s">
        <v>22665</v>
      </c>
      <c r="F2245" s="24" t="s">
        <v>22657</v>
      </c>
      <c r="G2245" s="25">
        <v>24</v>
      </c>
      <c r="H2245" s="32">
        <v>24</v>
      </c>
      <c r="I2245" s="33">
        <v>48</v>
      </c>
    </row>
    <row r="2246" spans="1:9" ht="15.75" thickBot="1" x14ac:dyDescent="0.3">
      <c r="A2246" s="43" t="s">
        <v>99</v>
      </c>
      <c r="B2246" s="21" t="s">
        <v>6068</v>
      </c>
      <c r="C2246" s="21" t="s">
        <v>22655</v>
      </c>
      <c r="D2246" s="22">
        <v>46026</v>
      </c>
      <c r="E2246" s="23" t="s">
        <v>22656</v>
      </c>
      <c r="F2246" s="24" t="s">
        <v>22657</v>
      </c>
      <c r="G2246" s="25">
        <v>2</v>
      </c>
      <c r="H2246" s="34">
        <v>2</v>
      </c>
      <c r="I2246" s="35">
        <v>4</v>
      </c>
    </row>
    <row r="2247" spans="1:9" ht="15.75" thickBot="1" x14ac:dyDescent="0.3">
      <c r="A2247" s="43" t="s">
        <v>6069</v>
      </c>
      <c r="B2247" s="21" t="s">
        <v>6070</v>
      </c>
      <c r="C2247" s="21" t="s">
        <v>22655</v>
      </c>
      <c r="D2247" s="22">
        <v>46034</v>
      </c>
      <c r="E2247" s="23" t="s">
        <v>22656</v>
      </c>
      <c r="F2247" s="24" t="s">
        <v>22657</v>
      </c>
      <c r="G2247" s="25">
        <v>4</v>
      </c>
      <c r="H2247" s="29"/>
      <c r="I2247" s="30"/>
    </row>
    <row r="2248" spans="1:9" ht="15.75" thickBot="1" x14ac:dyDescent="0.3">
      <c r="A2248" s="43" t="s">
        <v>1293</v>
      </c>
      <c r="B2248" s="21" t="s">
        <v>1294</v>
      </c>
      <c r="C2248" s="21" t="s">
        <v>22655</v>
      </c>
      <c r="D2248" s="22">
        <v>46034</v>
      </c>
      <c r="E2248" s="23" t="s">
        <v>22662</v>
      </c>
      <c r="F2248" s="24" t="s">
        <v>22657</v>
      </c>
      <c r="G2248" s="25">
        <v>36</v>
      </c>
      <c r="H2248" s="34">
        <v>36</v>
      </c>
      <c r="I2248" s="35">
        <v>60</v>
      </c>
    </row>
    <row r="2249" spans="1:9" ht="15.75" thickBot="1" x14ac:dyDescent="0.3">
      <c r="A2249" s="43" t="s">
        <v>6071</v>
      </c>
      <c r="B2249" s="21" t="s">
        <v>6072</v>
      </c>
      <c r="C2249" s="21" t="s">
        <v>22663</v>
      </c>
      <c r="D2249" s="31">
        <v>1</v>
      </c>
      <c r="E2249" s="23" t="s">
        <v>22658</v>
      </c>
      <c r="F2249" s="24" t="s">
        <v>22657</v>
      </c>
      <c r="G2249" s="25">
        <v>2</v>
      </c>
      <c r="H2249" s="29"/>
      <c r="I2249" s="30"/>
    </row>
    <row r="2250" spans="1:9" ht="15.75" thickBot="1" x14ac:dyDescent="0.3">
      <c r="A2250" s="43" t="s">
        <v>1453</v>
      </c>
      <c r="B2250" s="21" t="s">
        <v>1454</v>
      </c>
      <c r="C2250" s="21" t="s">
        <v>22655</v>
      </c>
      <c r="D2250" s="22">
        <v>46046</v>
      </c>
      <c r="E2250" s="23" t="s">
        <v>22662</v>
      </c>
      <c r="F2250" s="24" t="s">
        <v>22657</v>
      </c>
      <c r="G2250" s="25">
        <v>24</v>
      </c>
      <c r="H2250" s="34">
        <v>24</v>
      </c>
      <c r="I2250" s="35">
        <v>96</v>
      </c>
    </row>
    <row r="2251" spans="1:9" ht="15.75" thickBot="1" x14ac:dyDescent="0.3">
      <c r="A2251" s="43" t="s">
        <v>1717</v>
      </c>
      <c r="B2251" s="21" t="s">
        <v>1718</v>
      </c>
      <c r="C2251" s="21" t="s">
        <v>22655</v>
      </c>
      <c r="D2251" s="22">
        <v>46028</v>
      </c>
      <c r="E2251" s="23" t="s">
        <v>22656</v>
      </c>
      <c r="F2251" s="24" t="s">
        <v>22657</v>
      </c>
      <c r="G2251" s="25">
        <v>2</v>
      </c>
      <c r="H2251" s="29"/>
      <c r="I2251" s="30"/>
    </row>
    <row r="2252" spans="1:9" ht="15.75" thickBot="1" x14ac:dyDescent="0.3">
      <c r="A2252" s="43" t="s">
        <v>153</v>
      </c>
      <c r="B2252" s="21" t="s">
        <v>154</v>
      </c>
      <c r="C2252" s="21" t="s">
        <v>22655</v>
      </c>
      <c r="D2252" s="22">
        <v>46034</v>
      </c>
      <c r="E2252" s="23" t="s">
        <v>22661</v>
      </c>
      <c r="F2252" s="24" t="s">
        <v>22657</v>
      </c>
      <c r="G2252" s="25">
        <v>24</v>
      </c>
      <c r="H2252" s="34">
        <v>24</v>
      </c>
      <c r="I2252" s="35">
        <v>48</v>
      </c>
    </row>
    <row r="2253" spans="1:9" ht="15.75" thickBot="1" x14ac:dyDescent="0.3">
      <c r="A2253" s="43" t="s">
        <v>405</v>
      </c>
      <c r="B2253" s="21" t="s">
        <v>406</v>
      </c>
      <c r="C2253" s="21" t="s">
        <v>22655</v>
      </c>
      <c r="D2253" s="22">
        <v>46046</v>
      </c>
      <c r="E2253" s="23" t="s">
        <v>22656</v>
      </c>
      <c r="F2253" s="24" t="s">
        <v>22657</v>
      </c>
      <c r="G2253" s="25">
        <v>12</v>
      </c>
      <c r="H2253" s="32">
        <v>12</v>
      </c>
      <c r="I2253" s="33">
        <v>24</v>
      </c>
    </row>
    <row r="2254" spans="1:9" ht="15.75" thickBot="1" x14ac:dyDescent="0.3">
      <c r="A2254" s="43" t="s">
        <v>1191</v>
      </c>
      <c r="B2254" s="21" t="s">
        <v>6073</v>
      </c>
      <c r="C2254" s="21" t="s">
        <v>22655</v>
      </c>
      <c r="D2254" s="22">
        <v>46034</v>
      </c>
      <c r="E2254" s="23" t="s">
        <v>22661</v>
      </c>
      <c r="F2254" s="24" t="s">
        <v>22657</v>
      </c>
      <c r="G2254" s="25">
        <v>12</v>
      </c>
      <c r="H2254" s="34">
        <v>12</v>
      </c>
      <c r="I2254" s="35">
        <v>24</v>
      </c>
    </row>
    <row r="2255" spans="1:9" ht="15.75" thickBot="1" x14ac:dyDescent="0.3">
      <c r="A2255" s="43" t="s">
        <v>313</v>
      </c>
      <c r="B2255" s="21" t="s">
        <v>6074</v>
      </c>
      <c r="C2255" s="21" t="s">
        <v>22655</v>
      </c>
      <c r="D2255" s="22">
        <v>46046</v>
      </c>
      <c r="E2255" s="23" t="s">
        <v>22661</v>
      </c>
      <c r="F2255" s="24" t="s">
        <v>22657</v>
      </c>
      <c r="G2255" s="25">
        <v>24</v>
      </c>
      <c r="H2255" s="32">
        <v>24</v>
      </c>
      <c r="I2255" s="33">
        <v>30</v>
      </c>
    </row>
    <row r="2256" spans="1:9" ht="15.75" thickBot="1" x14ac:dyDescent="0.3">
      <c r="A2256" s="43" t="s">
        <v>1543</v>
      </c>
      <c r="B2256" s="21" t="s">
        <v>1544</v>
      </c>
      <c r="C2256" s="21" t="s">
        <v>22655</v>
      </c>
      <c r="D2256" s="22">
        <v>46034</v>
      </c>
      <c r="E2256" s="23" t="s">
        <v>22661</v>
      </c>
      <c r="F2256" s="24" t="s">
        <v>22657</v>
      </c>
      <c r="G2256" s="25">
        <v>12</v>
      </c>
      <c r="H2256" s="34">
        <v>12</v>
      </c>
      <c r="I2256" s="35">
        <v>24</v>
      </c>
    </row>
    <row r="2257" spans="1:9" ht="15.75" thickBot="1" x14ac:dyDescent="0.3">
      <c r="A2257" s="43" t="s">
        <v>6075</v>
      </c>
      <c r="B2257" s="21" t="s">
        <v>6076</v>
      </c>
      <c r="C2257" s="21" t="s">
        <v>22655</v>
      </c>
      <c r="D2257" s="22">
        <v>46046</v>
      </c>
      <c r="E2257" s="23" t="s">
        <v>22661</v>
      </c>
      <c r="F2257" s="24" t="s">
        <v>22657</v>
      </c>
      <c r="G2257" s="25">
        <v>6</v>
      </c>
      <c r="H2257" s="32">
        <v>6</v>
      </c>
      <c r="I2257" s="33">
        <v>12</v>
      </c>
    </row>
    <row r="2258" spans="1:9" ht="15.75" thickBot="1" x14ac:dyDescent="0.3">
      <c r="A2258" s="43" t="s">
        <v>1475</v>
      </c>
      <c r="B2258" s="21" t="s">
        <v>1476</v>
      </c>
      <c r="C2258" s="21" t="s">
        <v>22655</v>
      </c>
      <c r="D2258" s="22">
        <v>46026</v>
      </c>
      <c r="E2258" s="23" t="s">
        <v>22656</v>
      </c>
      <c r="F2258" s="24" t="s">
        <v>22657</v>
      </c>
      <c r="G2258" s="25">
        <v>40</v>
      </c>
      <c r="H2258" s="34">
        <v>40</v>
      </c>
      <c r="I2258" s="35">
        <v>60</v>
      </c>
    </row>
    <row r="2259" spans="1:9" ht="15.75" thickBot="1" x14ac:dyDescent="0.3">
      <c r="A2259" s="43" t="s">
        <v>6077</v>
      </c>
      <c r="B2259" s="21" t="s">
        <v>6078</v>
      </c>
      <c r="C2259" s="21" t="s">
        <v>22655</v>
      </c>
      <c r="D2259" s="22">
        <v>46026</v>
      </c>
      <c r="E2259" s="23" t="s">
        <v>22658</v>
      </c>
      <c r="F2259" s="24" t="s">
        <v>22657</v>
      </c>
      <c r="G2259" s="25">
        <v>2</v>
      </c>
      <c r="H2259" s="29"/>
      <c r="I2259" s="30"/>
    </row>
    <row r="2260" spans="1:9" ht="15.75" thickBot="1" x14ac:dyDescent="0.3">
      <c r="A2260" s="43" t="s">
        <v>1713</v>
      </c>
      <c r="B2260" s="21" t="s">
        <v>1714</v>
      </c>
      <c r="C2260" s="21" t="s">
        <v>22655</v>
      </c>
      <c r="D2260" s="22">
        <v>46034</v>
      </c>
      <c r="E2260" s="23" t="s">
        <v>22656</v>
      </c>
      <c r="F2260" s="24" t="s">
        <v>22657</v>
      </c>
      <c r="G2260" s="25">
        <v>6</v>
      </c>
      <c r="H2260" s="34">
        <v>6</v>
      </c>
      <c r="I2260" s="35">
        <v>12</v>
      </c>
    </row>
    <row r="2261" spans="1:9" ht="15.75" thickBot="1" x14ac:dyDescent="0.3">
      <c r="A2261" s="43" t="s">
        <v>6079</v>
      </c>
      <c r="B2261" s="21" t="s">
        <v>6080</v>
      </c>
      <c r="C2261" s="21" t="s">
        <v>22663</v>
      </c>
      <c r="D2261" s="31">
        <v>1</v>
      </c>
      <c r="E2261" s="23" t="s">
        <v>22658</v>
      </c>
      <c r="F2261" s="24" t="s">
        <v>22657</v>
      </c>
      <c r="G2261" s="25">
        <v>2</v>
      </c>
      <c r="H2261" s="29"/>
      <c r="I2261" s="30"/>
    </row>
    <row r="2262" spans="1:9" ht="15.75" thickBot="1" x14ac:dyDescent="0.3">
      <c r="A2262" s="43" t="s">
        <v>599</v>
      </c>
      <c r="B2262" s="21" t="s">
        <v>6081</v>
      </c>
      <c r="C2262" s="21" t="s">
        <v>22655</v>
      </c>
      <c r="D2262" s="22">
        <v>46030</v>
      </c>
      <c r="E2262" s="23" t="s">
        <v>22661</v>
      </c>
      <c r="F2262" s="24" t="s">
        <v>22657</v>
      </c>
      <c r="G2262" s="25">
        <v>3</v>
      </c>
      <c r="H2262" s="34">
        <v>3</v>
      </c>
      <c r="I2262" s="35">
        <v>6</v>
      </c>
    </row>
    <row r="2263" spans="1:9" ht="15.75" thickBot="1" x14ac:dyDescent="0.3">
      <c r="A2263" s="43" t="s">
        <v>1027</v>
      </c>
      <c r="B2263" s="21" t="s">
        <v>1028</v>
      </c>
      <c r="C2263" s="21" t="s">
        <v>22663</v>
      </c>
      <c r="D2263" s="31">
        <v>1</v>
      </c>
      <c r="E2263" s="23" t="s">
        <v>22661</v>
      </c>
      <c r="F2263" s="24" t="s">
        <v>22657</v>
      </c>
      <c r="G2263" s="25">
        <v>4</v>
      </c>
      <c r="H2263" s="32">
        <v>4</v>
      </c>
      <c r="I2263" s="33">
        <v>10</v>
      </c>
    </row>
    <row r="2264" spans="1:9" ht="15.75" thickBot="1" x14ac:dyDescent="0.3">
      <c r="A2264" s="43" t="s">
        <v>6082</v>
      </c>
      <c r="B2264" s="21" t="s">
        <v>6083</v>
      </c>
      <c r="C2264" s="21" t="s">
        <v>22655</v>
      </c>
      <c r="D2264" s="22">
        <v>46046</v>
      </c>
      <c r="E2264" s="23" t="s">
        <v>22656</v>
      </c>
      <c r="F2264" s="24" t="s">
        <v>22657</v>
      </c>
      <c r="G2264" s="25">
        <v>8</v>
      </c>
      <c r="H2264" s="26"/>
      <c r="I2264" s="27"/>
    </row>
    <row r="2265" spans="1:9" ht="15.75" thickBot="1" x14ac:dyDescent="0.3">
      <c r="A2265" s="43" t="s">
        <v>77</v>
      </c>
      <c r="B2265" s="21" t="s">
        <v>78</v>
      </c>
      <c r="C2265" s="21" t="s">
        <v>22655</v>
      </c>
      <c r="D2265" s="22">
        <v>46034</v>
      </c>
      <c r="E2265" s="23" t="s">
        <v>22661</v>
      </c>
      <c r="F2265" s="24" t="s">
        <v>22657</v>
      </c>
      <c r="G2265" s="25">
        <v>12</v>
      </c>
      <c r="H2265" s="32">
        <v>12</v>
      </c>
      <c r="I2265" s="33">
        <v>24</v>
      </c>
    </row>
    <row r="2266" spans="1:9" ht="15.75" thickBot="1" x14ac:dyDescent="0.3">
      <c r="A2266" s="43" t="s">
        <v>1573</v>
      </c>
      <c r="B2266" s="21" t="s">
        <v>6084</v>
      </c>
      <c r="C2266" s="21" t="s">
        <v>22655</v>
      </c>
      <c r="D2266" s="22">
        <v>46046</v>
      </c>
      <c r="E2266" s="23" t="s">
        <v>22661</v>
      </c>
      <c r="F2266" s="24" t="s">
        <v>22657</v>
      </c>
      <c r="G2266" s="25">
        <v>24</v>
      </c>
      <c r="H2266" s="34">
        <v>24</v>
      </c>
      <c r="I2266" s="35">
        <v>48</v>
      </c>
    </row>
    <row r="2267" spans="1:9" ht="15.75" thickBot="1" x14ac:dyDescent="0.3">
      <c r="A2267" s="43" t="s">
        <v>6085</v>
      </c>
      <c r="B2267" s="21" t="s">
        <v>6086</v>
      </c>
      <c r="C2267" s="21" t="s">
        <v>22682</v>
      </c>
      <c r="D2267" s="22">
        <v>46034</v>
      </c>
      <c r="E2267" s="23" t="s">
        <v>22656</v>
      </c>
      <c r="F2267" s="24" t="s">
        <v>22657</v>
      </c>
      <c r="G2267" s="25">
        <v>4</v>
      </c>
      <c r="H2267" s="29"/>
      <c r="I2267" s="30"/>
    </row>
    <row r="2268" spans="1:9" ht="15.75" thickBot="1" x14ac:dyDescent="0.3">
      <c r="A2268" s="43" t="s">
        <v>6087</v>
      </c>
      <c r="B2268" s="21" t="s">
        <v>6088</v>
      </c>
      <c r="C2268" s="21" t="s">
        <v>22682</v>
      </c>
      <c r="D2268" s="22">
        <v>46034</v>
      </c>
      <c r="E2268" s="23" t="s">
        <v>22656</v>
      </c>
      <c r="F2268" s="24" t="s">
        <v>22657</v>
      </c>
      <c r="G2268" s="25">
        <v>4</v>
      </c>
      <c r="H2268" s="26"/>
      <c r="I2268" s="27"/>
    </row>
    <row r="2269" spans="1:9" ht="15.75" thickBot="1" x14ac:dyDescent="0.3">
      <c r="A2269" s="43" t="s">
        <v>6089</v>
      </c>
      <c r="B2269" s="21" t="s">
        <v>6090</v>
      </c>
      <c r="C2269" s="21" t="s">
        <v>22682</v>
      </c>
      <c r="D2269" s="22">
        <v>46034</v>
      </c>
      <c r="E2269" s="23" t="s">
        <v>22656</v>
      </c>
      <c r="F2269" s="24" t="s">
        <v>22657</v>
      </c>
      <c r="G2269" s="25">
        <v>4</v>
      </c>
      <c r="H2269" s="29"/>
      <c r="I2269" s="30"/>
    </row>
    <row r="2270" spans="1:9" ht="15.75" thickBot="1" x14ac:dyDescent="0.3">
      <c r="A2270" s="43" t="s">
        <v>6091</v>
      </c>
      <c r="B2270" s="21" t="s">
        <v>6092</v>
      </c>
      <c r="C2270" s="21" t="s">
        <v>22682</v>
      </c>
      <c r="D2270" s="22">
        <v>46034</v>
      </c>
      <c r="E2270" s="23" t="s">
        <v>22658</v>
      </c>
      <c r="F2270" s="24" t="s">
        <v>22657</v>
      </c>
      <c r="G2270" s="25">
        <v>4</v>
      </c>
      <c r="H2270" s="26"/>
      <c r="I2270" s="27"/>
    </row>
    <row r="2271" spans="1:9" ht="15.75" thickBot="1" x14ac:dyDescent="0.3">
      <c r="A2271" s="43" t="s">
        <v>6093</v>
      </c>
      <c r="B2271" s="21" t="s">
        <v>6094</v>
      </c>
      <c r="C2271" s="21" t="s">
        <v>22682</v>
      </c>
      <c r="D2271" s="22">
        <v>46034</v>
      </c>
      <c r="E2271" s="23" t="s">
        <v>22656</v>
      </c>
      <c r="F2271" s="24" t="s">
        <v>22657</v>
      </c>
      <c r="G2271" s="25">
        <v>4</v>
      </c>
      <c r="H2271" s="29"/>
      <c r="I2271" s="30"/>
    </row>
    <row r="2272" spans="1:9" ht="15.75" thickBot="1" x14ac:dyDescent="0.3">
      <c r="A2272" s="43" t="s">
        <v>6095</v>
      </c>
      <c r="B2272" s="21" t="s">
        <v>6096</v>
      </c>
      <c r="C2272" s="21" t="s">
        <v>22682</v>
      </c>
      <c r="D2272" s="22">
        <v>46034</v>
      </c>
      <c r="E2272" s="23" t="s">
        <v>22656</v>
      </c>
      <c r="F2272" s="24" t="s">
        <v>22657</v>
      </c>
      <c r="G2272" s="25">
        <v>4</v>
      </c>
      <c r="H2272" s="26"/>
      <c r="I2272" s="27"/>
    </row>
    <row r="2273" spans="1:9" ht="15.75" thickBot="1" x14ac:dyDescent="0.3">
      <c r="A2273" s="43" t="s">
        <v>6097</v>
      </c>
      <c r="B2273" s="21" t="s">
        <v>6098</v>
      </c>
      <c r="C2273" s="21" t="s">
        <v>22682</v>
      </c>
      <c r="D2273" s="22">
        <v>46034</v>
      </c>
      <c r="E2273" s="23" t="s">
        <v>22658</v>
      </c>
      <c r="F2273" s="24" t="s">
        <v>22657</v>
      </c>
      <c r="G2273" s="25">
        <v>4</v>
      </c>
      <c r="H2273" s="29"/>
      <c r="I2273" s="30"/>
    </row>
    <row r="2274" spans="1:9" ht="15.75" thickBot="1" x14ac:dyDescent="0.3">
      <c r="A2274" s="43" t="s">
        <v>6099</v>
      </c>
      <c r="B2274" s="21" t="s">
        <v>6100</v>
      </c>
      <c r="C2274" s="21" t="s">
        <v>22682</v>
      </c>
      <c r="D2274" s="22">
        <v>46034</v>
      </c>
      <c r="E2274" s="23" t="s">
        <v>22658</v>
      </c>
      <c r="F2274" s="24" t="s">
        <v>22657</v>
      </c>
      <c r="G2274" s="25">
        <v>4</v>
      </c>
      <c r="H2274" s="26"/>
      <c r="I2274" s="27"/>
    </row>
    <row r="2275" spans="1:9" ht="15.75" thickBot="1" x14ac:dyDescent="0.3">
      <c r="A2275" s="43" t="s">
        <v>6101</v>
      </c>
      <c r="B2275" s="21" t="s">
        <v>6102</v>
      </c>
      <c r="C2275" s="21" t="s">
        <v>22682</v>
      </c>
      <c r="D2275" s="22">
        <v>46034</v>
      </c>
      <c r="E2275" s="23" t="s">
        <v>22658</v>
      </c>
      <c r="F2275" s="24" t="s">
        <v>22657</v>
      </c>
      <c r="G2275" s="25">
        <v>4</v>
      </c>
      <c r="H2275" s="29"/>
      <c r="I2275" s="30"/>
    </row>
    <row r="2276" spans="1:9" ht="15.75" thickBot="1" x14ac:dyDescent="0.3">
      <c r="A2276" s="43" t="s">
        <v>6103</v>
      </c>
      <c r="B2276" s="21" t="s">
        <v>6104</v>
      </c>
      <c r="C2276" s="21" t="s">
        <v>22655</v>
      </c>
      <c r="D2276" s="22">
        <v>46037</v>
      </c>
      <c r="E2276" s="23" t="s">
        <v>22656</v>
      </c>
      <c r="F2276" s="24" t="s">
        <v>22657</v>
      </c>
      <c r="G2276" s="25">
        <v>2</v>
      </c>
      <c r="H2276" s="26"/>
      <c r="I2276" s="27"/>
    </row>
    <row r="2277" spans="1:9" ht="15.75" thickBot="1" x14ac:dyDescent="0.3">
      <c r="A2277" s="43" t="s">
        <v>6107</v>
      </c>
      <c r="B2277" s="21" t="s">
        <v>6108</v>
      </c>
      <c r="C2277" s="21" t="s">
        <v>22655</v>
      </c>
      <c r="D2277" s="22">
        <v>46034</v>
      </c>
      <c r="E2277" s="23" t="s">
        <v>22656</v>
      </c>
      <c r="F2277" s="24" t="s">
        <v>22657</v>
      </c>
      <c r="G2277" s="25">
        <v>2</v>
      </c>
      <c r="H2277" s="29"/>
      <c r="I2277" s="30"/>
    </row>
    <row r="2278" spans="1:9" ht="15.75" thickBot="1" x14ac:dyDescent="0.3">
      <c r="A2278" s="43" t="s">
        <v>6109</v>
      </c>
      <c r="B2278" s="21" t="s">
        <v>6110</v>
      </c>
      <c r="C2278" s="21" t="s">
        <v>22709</v>
      </c>
      <c r="D2278" s="31">
        <v>1</v>
      </c>
      <c r="E2278" s="23" t="s">
        <v>22658</v>
      </c>
      <c r="F2278" s="28" t="s">
        <v>22659</v>
      </c>
      <c r="G2278" s="25">
        <v>1</v>
      </c>
      <c r="H2278" s="26"/>
      <c r="I2278" s="27"/>
    </row>
    <row r="2279" spans="1:9" ht="15.75" thickBot="1" x14ac:dyDescent="0.3">
      <c r="A2279" s="43" t="s">
        <v>6111</v>
      </c>
      <c r="B2279" s="21" t="s">
        <v>6112</v>
      </c>
      <c r="C2279" s="21" t="s">
        <v>22709</v>
      </c>
      <c r="D2279" s="31">
        <v>1</v>
      </c>
      <c r="E2279" s="23" t="s">
        <v>22658</v>
      </c>
      <c r="F2279" s="28" t="s">
        <v>22659</v>
      </c>
      <c r="G2279" s="25">
        <v>1</v>
      </c>
      <c r="H2279" s="29"/>
      <c r="I2279" s="30"/>
    </row>
    <row r="2280" spans="1:9" ht="15.75" thickBot="1" x14ac:dyDescent="0.3">
      <c r="A2280" s="43" t="s">
        <v>765</v>
      </c>
      <c r="B2280" s="21" t="s">
        <v>766</v>
      </c>
      <c r="C2280" s="21" t="s">
        <v>22655</v>
      </c>
      <c r="D2280" s="22">
        <v>46034</v>
      </c>
      <c r="E2280" s="23" t="s">
        <v>22656</v>
      </c>
      <c r="F2280" s="24" t="s">
        <v>22657</v>
      </c>
      <c r="G2280" s="25">
        <v>2</v>
      </c>
      <c r="H2280" s="26"/>
      <c r="I2280" s="27"/>
    </row>
    <row r="2281" spans="1:9" ht="15.75" thickBot="1" x14ac:dyDescent="0.3">
      <c r="A2281" s="43" t="s">
        <v>6115</v>
      </c>
      <c r="B2281" s="21" t="s">
        <v>6114</v>
      </c>
      <c r="C2281" s="21" t="s">
        <v>22709</v>
      </c>
      <c r="D2281" s="31">
        <v>1</v>
      </c>
      <c r="E2281" s="23" t="s">
        <v>22658</v>
      </c>
      <c r="F2281" s="28" t="s">
        <v>22659</v>
      </c>
      <c r="G2281" s="25">
        <v>1</v>
      </c>
      <c r="H2281" s="29"/>
      <c r="I2281" s="30"/>
    </row>
    <row r="2282" spans="1:9" ht="15.75" thickBot="1" x14ac:dyDescent="0.3">
      <c r="A2282" s="43" t="s">
        <v>6113</v>
      </c>
      <c r="B2282" s="21" t="s">
        <v>6114</v>
      </c>
      <c r="C2282" s="21" t="s">
        <v>22709</v>
      </c>
      <c r="D2282" s="31">
        <v>1</v>
      </c>
      <c r="E2282" s="23" t="s">
        <v>22658</v>
      </c>
      <c r="F2282" s="28" t="s">
        <v>22659</v>
      </c>
      <c r="G2282" s="25">
        <v>1</v>
      </c>
      <c r="H2282" s="26"/>
      <c r="I2282" s="27"/>
    </row>
    <row r="2283" spans="1:9" ht="15.75" thickBot="1" x14ac:dyDescent="0.3">
      <c r="A2283" s="43" t="s">
        <v>1613</v>
      </c>
      <c r="B2283" s="21" t="s">
        <v>1614</v>
      </c>
      <c r="C2283" s="21" t="s">
        <v>22655</v>
      </c>
      <c r="D2283" s="22">
        <v>46034</v>
      </c>
      <c r="E2283" s="23" t="s">
        <v>22656</v>
      </c>
      <c r="F2283" s="24" t="s">
        <v>22657</v>
      </c>
      <c r="G2283" s="25">
        <v>2</v>
      </c>
      <c r="H2283" s="29"/>
      <c r="I2283" s="30"/>
    </row>
    <row r="2284" spans="1:9" ht="15.75" thickBot="1" x14ac:dyDescent="0.3">
      <c r="A2284" s="43" t="s">
        <v>6116</v>
      </c>
      <c r="B2284" s="21" t="s">
        <v>6117</v>
      </c>
      <c r="C2284" s="21" t="s">
        <v>22655</v>
      </c>
      <c r="D2284" s="22">
        <v>46024</v>
      </c>
      <c r="E2284" s="23" t="s">
        <v>22658</v>
      </c>
      <c r="F2284" s="28" t="s">
        <v>22659</v>
      </c>
      <c r="G2284" s="25">
        <v>1</v>
      </c>
      <c r="H2284" s="26"/>
      <c r="I2284" s="27"/>
    </row>
    <row r="2285" spans="1:9" ht="15.75" thickBot="1" x14ac:dyDescent="0.3">
      <c r="A2285" s="43" t="s">
        <v>6118</v>
      </c>
      <c r="B2285" s="21" t="s">
        <v>6119</v>
      </c>
      <c r="C2285" s="21" t="s">
        <v>22655</v>
      </c>
      <c r="D2285" s="22">
        <v>46034</v>
      </c>
      <c r="E2285" s="23" t="s">
        <v>22656</v>
      </c>
      <c r="F2285" s="24" t="s">
        <v>22657</v>
      </c>
      <c r="G2285" s="25">
        <v>2</v>
      </c>
      <c r="H2285" s="29"/>
      <c r="I2285" s="30"/>
    </row>
    <row r="2286" spans="1:9" ht="15.75" thickBot="1" x14ac:dyDescent="0.3">
      <c r="A2286" s="43" t="s">
        <v>305</v>
      </c>
      <c r="B2286" s="21" t="s">
        <v>306</v>
      </c>
      <c r="C2286" s="21" t="s">
        <v>22663</v>
      </c>
      <c r="D2286" s="31">
        <v>1</v>
      </c>
      <c r="E2286" s="23" t="s">
        <v>22656</v>
      </c>
      <c r="F2286" s="28" t="s">
        <v>22659</v>
      </c>
      <c r="G2286" s="25">
        <v>2</v>
      </c>
      <c r="H2286" s="26"/>
      <c r="I2286" s="27"/>
    </row>
    <row r="2287" spans="1:9" ht="15.75" thickBot="1" x14ac:dyDescent="0.3">
      <c r="A2287" s="43" t="s">
        <v>6120</v>
      </c>
      <c r="B2287" s="21" t="s">
        <v>6121</v>
      </c>
      <c r="C2287" s="21" t="s">
        <v>22682</v>
      </c>
      <c r="D2287" s="22">
        <v>46034</v>
      </c>
      <c r="E2287" s="23" t="s">
        <v>22658</v>
      </c>
      <c r="F2287" s="24" t="s">
        <v>22657</v>
      </c>
      <c r="G2287" s="25">
        <v>4</v>
      </c>
      <c r="H2287" s="29"/>
      <c r="I2287" s="30"/>
    </row>
    <row r="2288" spans="1:9" ht="15.75" thickBot="1" x14ac:dyDescent="0.3">
      <c r="A2288" s="43" t="s">
        <v>6122</v>
      </c>
      <c r="B2288" s="21" t="s">
        <v>6123</v>
      </c>
      <c r="C2288" s="21" t="s">
        <v>22682</v>
      </c>
      <c r="D2288" s="22">
        <v>46034</v>
      </c>
      <c r="E2288" s="23" t="s">
        <v>22658</v>
      </c>
      <c r="F2288" s="24" t="s">
        <v>22657</v>
      </c>
      <c r="G2288" s="25">
        <v>4</v>
      </c>
      <c r="H2288" s="26"/>
      <c r="I2288" s="27"/>
    </row>
    <row r="2289" spans="1:9" ht="15.75" thickBot="1" x14ac:dyDescent="0.3">
      <c r="A2289" s="43" t="s">
        <v>6124</v>
      </c>
      <c r="B2289" s="21" t="s">
        <v>6125</v>
      </c>
      <c r="C2289" s="21" t="s">
        <v>22682</v>
      </c>
      <c r="D2289" s="22">
        <v>46034</v>
      </c>
      <c r="E2289" s="23" t="s">
        <v>22658</v>
      </c>
      <c r="F2289" s="24" t="s">
        <v>22657</v>
      </c>
      <c r="G2289" s="25">
        <v>4</v>
      </c>
      <c r="H2289" s="29"/>
      <c r="I2289" s="30"/>
    </row>
    <row r="2290" spans="1:9" ht="15.75" thickBot="1" x14ac:dyDescent="0.3">
      <c r="A2290" s="43" t="s">
        <v>6126</v>
      </c>
      <c r="B2290" s="21" t="s">
        <v>6127</v>
      </c>
      <c r="C2290" s="21" t="s">
        <v>22682</v>
      </c>
      <c r="D2290" s="22">
        <v>46034</v>
      </c>
      <c r="E2290" s="23" t="s">
        <v>22658</v>
      </c>
      <c r="F2290" s="24" t="s">
        <v>22657</v>
      </c>
      <c r="G2290" s="25">
        <v>4</v>
      </c>
      <c r="H2290" s="26"/>
      <c r="I2290" s="27"/>
    </row>
    <row r="2291" spans="1:9" ht="15.75" thickBot="1" x14ac:dyDescent="0.3">
      <c r="A2291" s="43" t="s">
        <v>6128</v>
      </c>
      <c r="B2291" s="21" t="s">
        <v>6129</v>
      </c>
      <c r="C2291" s="21" t="s">
        <v>22682</v>
      </c>
      <c r="D2291" s="22">
        <v>46034</v>
      </c>
      <c r="E2291" s="23" t="s">
        <v>22658</v>
      </c>
      <c r="F2291" s="24" t="s">
        <v>22657</v>
      </c>
      <c r="G2291" s="25">
        <v>4</v>
      </c>
      <c r="H2291" s="29"/>
      <c r="I2291" s="30"/>
    </row>
    <row r="2292" spans="1:9" ht="15.75" thickBot="1" x14ac:dyDescent="0.3">
      <c r="A2292" s="43" t="s">
        <v>6130</v>
      </c>
      <c r="B2292" s="21" t="s">
        <v>6131</v>
      </c>
      <c r="C2292" s="21" t="s">
        <v>22682</v>
      </c>
      <c r="D2292" s="22">
        <v>46034</v>
      </c>
      <c r="E2292" s="23" t="s">
        <v>22658</v>
      </c>
      <c r="F2292" s="24" t="s">
        <v>22657</v>
      </c>
      <c r="G2292" s="25">
        <v>4</v>
      </c>
      <c r="H2292" s="26"/>
      <c r="I2292" s="27"/>
    </row>
    <row r="2293" spans="1:9" ht="15.75" thickBot="1" x14ac:dyDescent="0.3">
      <c r="A2293" s="43" t="s">
        <v>6132</v>
      </c>
      <c r="B2293" s="21" t="s">
        <v>6133</v>
      </c>
      <c r="C2293" s="21" t="s">
        <v>22682</v>
      </c>
      <c r="D2293" s="22">
        <v>46034</v>
      </c>
      <c r="E2293" s="23" t="s">
        <v>22658</v>
      </c>
      <c r="F2293" s="24" t="s">
        <v>22657</v>
      </c>
      <c r="G2293" s="25">
        <v>4</v>
      </c>
      <c r="H2293" s="29"/>
      <c r="I2293" s="30"/>
    </row>
    <row r="2294" spans="1:9" ht="15.75" thickBot="1" x14ac:dyDescent="0.3">
      <c r="A2294" s="43" t="s">
        <v>6134</v>
      </c>
      <c r="B2294" s="21" t="s">
        <v>6135</v>
      </c>
      <c r="C2294" s="21" t="s">
        <v>22682</v>
      </c>
      <c r="D2294" s="22">
        <v>46034</v>
      </c>
      <c r="E2294" s="23" t="s">
        <v>22658</v>
      </c>
      <c r="F2294" s="24" t="s">
        <v>22657</v>
      </c>
      <c r="G2294" s="25">
        <v>4</v>
      </c>
      <c r="H2294" s="26"/>
      <c r="I2294" s="27"/>
    </row>
    <row r="2295" spans="1:9" ht="15.75" thickBot="1" x14ac:dyDescent="0.3">
      <c r="A2295" s="43" t="s">
        <v>6136</v>
      </c>
      <c r="B2295" s="21" t="s">
        <v>6137</v>
      </c>
      <c r="C2295" s="21" t="s">
        <v>22682</v>
      </c>
      <c r="D2295" s="22">
        <v>46034</v>
      </c>
      <c r="E2295" s="23" t="s">
        <v>22656</v>
      </c>
      <c r="F2295" s="24" t="s">
        <v>22657</v>
      </c>
      <c r="G2295" s="25">
        <v>4</v>
      </c>
      <c r="H2295" s="29"/>
      <c r="I2295" s="30"/>
    </row>
    <row r="2296" spans="1:9" ht="15.75" thickBot="1" x14ac:dyDescent="0.3">
      <c r="A2296" s="43" t="s">
        <v>6138</v>
      </c>
      <c r="B2296" s="21" t="s">
        <v>6139</v>
      </c>
      <c r="C2296" s="21" t="s">
        <v>22682</v>
      </c>
      <c r="D2296" s="22">
        <v>46034</v>
      </c>
      <c r="E2296" s="23" t="s">
        <v>22658</v>
      </c>
      <c r="F2296" s="24" t="s">
        <v>22657</v>
      </c>
      <c r="G2296" s="25">
        <v>4</v>
      </c>
      <c r="H2296" s="26"/>
      <c r="I2296" s="27"/>
    </row>
    <row r="2297" spans="1:9" ht="15.75" thickBot="1" x14ac:dyDescent="0.3">
      <c r="A2297" s="43" t="s">
        <v>6140</v>
      </c>
      <c r="B2297" s="21" t="s">
        <v>6141</v>
      </c>
      <c r="C2297" s="21" t="s">
        <v>22682</v>
      </c>
      <c r="D2297" s="22">
        <v>46034</v>
      </c>
      <c r="E2297" s="23" t="s">
        <v>22656</v>
      </c>
      <c r="F2297" s="24" t="s">
        <v>22657</v>
      </c>
      <c r="G2297" s="25">
        <v>4</v>
      </c>
      <c r="H2297" s="29"/>
      <c r="I2297" s="30"/>
    </row>
    <row r="2298" spans="1:9" ht="15.75" thickBot="1" x14ac:dyDescent="0.3">
      <c r="A2298" s="43" t="s">
        <v>6144</v>
      </c>
      <c r="B2298" s="21" t="s">
        <v>6145</v>
      </c>
      <c r="C2298" s="21" t="s">
        <v>22655</v>
      </c>
      <c r="D2298" s="22">
        <v>46042</v>
      </c>
      <c r="E2298" s="23" t="s">
        <v>22658</v>
      </c>
      <c r="F2298" s="24" t="s">
        <v>22657</v>
      </c>
      <c r="G2298" s="25">
        <v>4</v>
      </c>
      <c r="H2298" s="26"/>
      <c r="I2298" s="27"/>
    </row>
    <row r="2299" spans="1:9" ht="15.75" thickBot="1" x14ac:dyDescent="0.3">
      <c r="A2299" s="43" t="s">
        <v>6146</v>
      </c>
      <c r="B2299" s="21" t="s">
        <v>6147</v>
      </c>
      <c r="C2299" s="21" t="s">
        <v>22682</v>
      </c>
      <c r="D2299" s="22">
        <v>46034</v>
      </c>
      <c r="E2299" s="23" t="s">
        <v>22658</v>
      </c>
      <c r="F2299" s="24" t="s">
        <v>22657</v>
      </c>
      <c r="G2299" s="25">
        <v>4</v>
      </c>
      <c r="H2299" s="29"/>
      <c r="I2299" s="30"/>
    </row>
    <row r="2300" spans="1:9" ht="15.75" thickBot="1" x14ac:dyDescent="0.3">
      <c r="A2300" s="43" t="s">
        <v>6148</v>
      </c>
      <c r="B2300" s="21" t="s">
        <v>6149</v>
      </c>
      <c r="C2300" s="21" t="s">
        <v>22663</v>
      </c>
      <c r="D2300" s="31">
        <v>1</v>
      </c>
      <c r="E2300" s="23" t="s">
        <v>22658</v>
      </c>
      <c r="F2300" s="24" t="s">
        <v>22657</v>
      </c>
      <c r="G2300" s="25">
        <v>4</v>
      </c>
      <c r="H2300" s="26"/>
      <c r="I2300" s="27"/>
    </row>
    <row r="2301" spans="1:9" ht="15.75" thickBot="1" x14ac:dyDescent="0.3">
      <c r="A2301" s="43" t="s">
        <v>6150</v>
      </c>
      <c r="B2301" s="21" t="s">
        <v>6151</v>
      </c>
      <c r="C2301" s="21" t="s">
        <v>22663</v>
      </c>
      <c r="D2301" s="31">
        <v>1</v>
      </c>
      <c r="E2301" s="23" t="s">
        <v>22658</v>
      </c>
      <c r="F2301" s="28" t="s">
        <v>22659</v>
      </c>
      <c r="G2301" s="25">
        <v>1</v>
      </c>
      <c r="H2301" s="29"/>
      <c r="I2301" s="30"/>
    </row>
    <row r="2302" spans="1:9" ht="15.75" thickBot="1" x14ac:dyDescent="0.3">
      <c r="A2302" s="43" t="s">
        <v>6152</v>
      </c>
      <c r="B2302" s="21" t="s">
        <v>6153</v>
      </c>
      <c r="C2302" s="21" t="s">
        <v>22663</v>
      </c>
      <c r="D2302" s="31">
        <v>1</v>
      </c>
      <c r="E2302" s="23" t="s">
        <v>22658</v>
      </c>
      <c r="F2302" s="24" t="s">
        <v>22657</v>
      </c>
      <c r="G2302" s="25">
        <v>4</v>
      </c>
      <c r="H2302" s="26"/>
      <c r="I2302" s="27"/>
    </row>
    <row r="2303" spans="1:9" ht="15.75" thickBot="1" x14ac:dyDescent="0.3">
      <c r="A2303" s="43" t="s">
        <v>699</v>
      </c>
      <c r="B2303" s="21" t="s">
        <v>6154</v>
      </c>
      <c r="C2303" s="21" t="s">
        <v>22663</v>
      </c>
      <c r="D2303" s="31">
        <v>1</v>
      </c>
      <c r="E2303" s="23" t="s">
        <v>22656</v>
      </c>
      <c r="F2303" s="24" t="s">
        <v>22657</v>
      </c>
      <c r="G2303" s="25">
        <v>6</v>
      </c>
      <c r="H2303" s="32">
        <v>6</v>
      </c>
      <c r="I2303" s="33">
        <v>12</v>
      </c>
    </row>
    <row r="2304" spans="1:9" ht="15.75" thickBot="1" x14ac:dyDescent="0.3">
      <c r="A2304" s="43" t="s">
        <v>73</v>
      </c>
      <c r="B2304" s="21" t="s">
        <v>74</v>
      </c>
      <c r="C2304" s="21" t="s">
        <v>22663</v>
      </c>
      <c r="D2304" s="31">
        <v>1</v>
      </c>
      <c r="E2304" s="23" t="s">
        <v>22656</v>
      </c>
      <c r="F2304" s="24" t="s">
        <v>22657</v>
      </c>
      <c r="G2304" s="25">
        <v>2</v>
      </c>
      <c r="H2304" s="26"/>
      <c r="I2304" s="27"/>
    </row>
    <row r="2305" spans="1:9" ht="15.75" thickBot="1" x14ac:dyDescent="0.3">
      <c r="A2305" s="43" t="s">
        <v>717</v>
      </c>
      <c r="B2305" s="21" t="s">
        <v>6155</v>
      </c>
      <c r="C2305" s="21" t="s">
        <v>22698</v>
      </c>
      <c r="D2305" s="31">
        <v>1</v>
      </c>
      <c r="E2305" s="23" t="s">
        <v>22656</v>
      </c>
      <c r="F2305" s="24" t="s">
        <v>22657</v>
      </c>
      <c r="G2305" s="25">
        <v>6</v>
      </c>
      <c r="H2305" s="29"/>
      <c r="I2305" s="30"/>
    </row>
    <row r="2306" spans="1:9" ht="15.75" thickBot="1" x14ac:dyDescent="0.3">
      <c r="A2306" s="43" t="s">
        <v>411</v>
      </c>
      <c r="B2306" s="21" t="s">
        <v>412</v>
      </c>
      <c r="C2306" s="21" t="s">
        <v>22663</v>
      </c>
      <c r="D2306" s="31">
        <v>1</v>
      </c>
      <c r="E2306" s="23" t="s">
        <v>22656</v>
      </c>
      <c r="F2306" s="24" t="s">
        <v>22657</v>
      </c>
      <c r="G2306" s="25">
        <v>4</v>
      </c>
      <c r="H2306" s="34">
        <v>4</v>
      </c>
      <c r="I2306" s="35">
        <v>8</v>
      </c>
    </row>
    <row r="2307" spans="1:9" ht="15.75" thickBot="1" x14ac:dyDescent="0.3">
      <c r="A2307" s="43" t="s">
        <v>1379</v>
      </c>
      <c r="B2307" s="21" t="s">
        <v>6156</v>
      </c>
      <c r="C2307" s="21" t="s">
        <v>22663</v>
      </c>
      <c r="D2307" s="31">
        <v>1</v>
      </c>
      <c r="E2307" s="23" t="s">
        <v>22661</v>
      </c>
      <c r="F2307" s="24" t="s">
        <v>22657</v>
      </c>
      <c r="G2307" s="25">
        <v>12</v>
      </c>
      <c r="H2307" s="32">
        <v>12</v>
      </c>
      <c r="I2307" s="33">
        <v>20</v>
      </c>
    </row>
    <row r="2308" spans="1:9" ht="15.75" thickBot="1" x14ac:dyDescent="0.3">
      <c r="A2308" s="43" t="s">
        <v>6157</v>
      </c>
      <c r="B2308" s="21" t="s">
        <v>6158</v>
      </c>
      <c r="C2308" s="21" t="s">
        <v>22727</v>
      </c>
      <c r="D2308" s="31">
        <v>1</v>
      </c>
      <c r="E2308" s="23" t="s">
        <v>22656</v>
      </c>
      <c r="F2308" s="24" t="s">
        <v>22657</v>
      </c>
      <c r="G2308" s="25">
        <v>2</v>
      </c>
      <c r="H2308" s="26"/>
      <c r="I2308" s="27"/>
    </row>
    <row r="2309" spans="1:9" ht="15.75" thickBot="1" x14ac:dyDescent="0.3">
      <c r="A2309" s="43" t="s">
        <v>741</v>
      </c>
      <c r="B2309" s="21" t="s">
        <v>742</v>
      </c>
      <c r="C2309" s="21" t="s">
        <v>22663</v>
      </c>
      <c r="D2309" s="31">
        <v>1</v>
      </c>
      <c r="E2309" s="23" t="s">
        <v>22661</v>
      </c>
      <c r="F2309" s="24" t="s">
        <v>22657</v>
      </c>
      <c r="G2309" s="25">
        <v>12</v>
      </c>
      <c r="H2309" s="32">
        <v>12</v>
      </c>
      <c r="I2309" s="33">
        <v>16</v>
      </c>
    </row>
    <row r="2310" spans="1:9" ht="15.75" thickBot="1" x14ac:dyDescent="0.3">
      <c r="A2310" s="43" t="s">
        <v>6159</v>
      </c>
      <c r="B2310" s="21" t="s">
        <v>6160</v>
      </c>
      <c r="C2310" s="21" t="s">
        <v>22682</v>
      </c>
      <c r="D2310" s="22">
        <v>46034</v>
      </c>
      <c r="E2310" s="23" t="s">
        <v>22656</v>
      </c>
      <c r="F2310" s="24" t="s">
        <v>22657</v>
      </c>
      <c r="G2310" s="25">
        <v>4</v>
      </c>
      <c r="H2310" s="26"/>
      <c r="I2310" s="27"/>
    </row>
    <row r="2311" spans="1:9" ht="15.75" thickBot="1" x14ac:dyDescent="0.3">
      <c r="A2311" s="43" t="s">
        <v>6161</v>
      </c>
      <c r="B2311" s="21" t="s">
        <v>6162</v>
      </c>
      <c r="C2311" s="21" t="s">
        <v>22682</v>
      </c>
      <c r="D2311" s="22">
        <v>46034</v>
      </c>
      <c r="E2311" s="23" t="s">
        <v>22658</v>
      </c>
      <c r="F2311" s="24" t="s">
        <v>22657</v>
      </c>
      <c r="G2311" s="25">
        <v>4</v>
      </c>
      <c r="H2311" s="29"/>
      <c r="I2311" s="30"/>
    </row>
    <row r="2312" spans="1:9" ht="15.75" thickBot="1" x14ac:dyDescent="0.3">
      <c r="A2312" s="43" t="s">
        <v>6163</v>
      </c>
      <c r="B2312" s="21" t="s">
        <v>6164</v>
      </c>
      <c r="C2312" s="21" t="s">
        <v>22655</v>
      </c>
      <c r="D2312" s="22">
        <v>46046</v>
      </c>
      <c r="E2312" s="23" t="s">
        <v>22656</v>
      </c>
      <c r="F2312" s="24" t="s">
        <v>22657</v>
      </c>
      <c r="G2312" s="25">
        <v>2</v>
      </c>
      <c r="H2312" s="26"/>
      <c r="I2312" s="27"/>
    </row>
    <row r="2313" spans="1:9" ht="15.75" thickBot="1" x14ac:dyDescent="0.3">
      <c r="A2313" s="43" t="s">
        <v>6165</v>
      </c>
      <c r="B2313" s="21" t="s">
        <v>6166</v>
      </c>
      <c r="C2313" s="21" t="s">
        <v>22655</v>
      </c>
      <c r="D2313" s="22">
        <v>46038</v>
      </c>
      <c r="E2313" s="23" t="s">
        <v>22658</v>
      </c>
      <c r="F2313" s="24" t="s">
        <v>22657</v>
      </c>
      <c r="G2313" s="25">
        <v>6</v>
      </c>
      <c r="H2313" s="29"/>
      <c r="I2313" s="30"/>
    </row>
    <row r="2314" spans="1:9" ht="15.75" thickBot="1" x14ac:dyDescent="0.3">
      <c r="A2314" s="43" t="s">
        <v>6167</v>
      </c>
      <c r="B2314" s="21" t="s">
        <v>6168</v>
      </c>
      <c r="C2314" s="21" t="s">
        <v>22655</v>
      </c>
      <c r="D2314" s="22">
        <v>46038</v>
      </c>
      <c r="E2314" s="23" t="s">
        <v>22658</v>
      </c>
      <c r="F2314" s="24" t="s">
        <v>22657</v>
      </c>
      <c r="G2314" s="25">
        <v>6</v>
      </c>
      <c r="H2314" s="26"/>
      <c r="I2314" s="27"/>
    </row>
    <row r="2315" spans="1:9" ht="15.75" thickBot="1" x14ac:dyDescent="0.3">
      <c r="A2315" s="43" t="s">
        <v>6169</v>
      </c>
      <c r="B2315" s="21" t="s">
        <v>6170</v>
      </c>
      <c r="C2315" s="21" t="s">
        <v>22655</v>
      </c>
      <c r="D2315" s="22">
        <v>46046</v>
      </c>
      <c r="E2315" s="23" t="s">
        <v>22658</v>
      </c>
      <c r="F2315" s="24" t="s">
        <v>22657</v>
      </c>
      <c r="G2315" s="25">
        <v>8</v>
      </c>
      <c r="H2315" s="29"/>
      <c r="I2315" s="30"/>
    </row>
    <row r="2316" spans="1:9" ht="15.75" thickBot="1" x14ac:dyDescent="0.3">
      <c r="A2316" s="43" t="s">
        <v>6175</v>
      </c>
      <c r="B2316" s="21" t="s">
        <v>6176</v>
      </c>
      <c r="C2316" s="21" t="s">
        <v>22672</v>
      </c>
      <c r="D2316" s="22">
        <v>46042</v>
      </c>
      <c r="E2316" s="23" t="s">
        <v>22656</v>
      </c>
      <c r="F2316" s="24" t="s">
        <v>22657</v>
      </c>
      <c r="G2316" s="25">
        <v>7</v>
      </c>
      <c r="H2316" s="26"/>
      <c r="I2316" s="27"/>
    </row>
    <row r="2317" spans="1:9" ht="15.75" thickBot="1" x14ac:dyDescent="0.3">
      <c r="A2317" s="43" t="s">
        <v>6177</v>
      </c>
      <c r="B2317" s="21" t="s">
        <v>6178</v>
      </c>
      <c r="C2317" s="21" t="s">
        <v>22682</v>
      </c>
      <c r="D2317" s="22">
        <v>46034</v>
      </c>
      <c r="E2317" s="23" t="s">
        <v>22658</v>
      </c>
      <c r="F2317" s="24" t="s">
        <v>22657</v>
      </c>
      <c r="G2317" s="25">
        <v>4</v>
      </c>
      <c r="H2317" s="29"/>
      <c r="I2317" s="30"/>
    </row>
    <row r="2318" spans="1:9" ht="15.75" thickBot="1" x14ac:dyDescent="0.3">
      <c r="A2318" s="43" t="s">
        <v>1860</v>
      </c>
      <c r="B2318" s="21" t="s">
        <v>1861</v>
      </c>
      <c r="C2318" s="21" t="s">
        <v>22655</v>
      </c>
      <c r="D2318" s="22">
        <v>46034</v>
      </c>
      <c r="E2318" s="23" t="s">
        <v>22656</v>
      </c>
      <c r="F2318" s="24" t="s">
        <v>22657</v>
      </c>
      <c r="G2318" s="25">
        <v>10</v>
      </c>
      <c r="H2318" s="34">
        <v>10</v>
      </c>
      <c r="I2318" s="35">
        <v>16</v>
      </c>
    </row>
    <row r="2319" spans="1:9" ht="15.75" thickBot="1" x14ac:dyDescent="0.3">
      <c r="A2319" s="43" t="s">
        <v>6179</v>
      </c>
      <c r="B2319" s="21" t="s">
        <v>6180</v>
      </c>
      <c r="C2319" s="21" t="s">
        <v>22655</v>
      </c>
      <c r="D2319" s="22">
        <v>46034</v>
      </c>
      <c r="E2319" s="23" t="s">
        <v>22656</v>
      </c>
      <c r="F2319" s="24" t="s">
        <v>22657</v>
      </c>
      <c r="G2319" s="25">
        <v>4</v>
      </c>
      <c r="H2319" s="29"/>
      <c r="I2319" s="30"/>
    </row>
    <row r="2320" spans="1:9" ht="15.75" thickBot="1" x14ac:dyDescent="0.3">
      <c r="A2320" s="43" t="s">
        <v>6183</v>
      </c>
      <c r="B2320" s="21" t="s">
        <v>6182</v>
      </c>
      <c r="C2320" s="21" t="s">
        <v>22655</v>
      </c>
      <c r="D2320" s="22">
        <v>46046</v>
      </c>
      <c r="E2320" s="23" t="s">
        <v>22656</v>
      </c>
      <c r="F2320" s="24" t="s">
        <v>22657</v>
      </c>
      <c r="G2320" s="25">
        <v>8</v>
      </c>
      <c r="H2320" s="26"/>
      <c r="I2320" s="27"/>
    </row>
    <row r="2321" spans="1:9" ht="15.75" thickBot="1" x14ac:dyDescent="0.3">
      <c r="A2321" s="43" t="s">
        <v>6181</v>
      </c>
      <c r="B2321" s="21" t="s">
        <v>6182</v>
      </c>
      <c r="C2321" s="21" t="s">
        <v>22655</v>
      </c>
      <c r="D2321" s="22">
        <v>46046</v>
      </c>
      <c r="E2321" s="23" t="s">
        <v>22656</v>
      </c>
      <c r="F2321" s="24" t="s">
        <v>22657</v>
      </c>
      <c r="G2321" s="25">
        <v>8</v>
      </c>
      <c r="H2321" s="29"/>
      <c r="I2321" s="30"/>
    </row>
    <row r="2322" spans="1:9" ht="15.75" thickBot="1" x14ac:dyDescent="0.3">
      <c r="A2322" s="43" t="s">
        <v>6184</v>
      </c>
      <c r="B2322" s="21" t="s">
        <v>6185</v>
      </c>
      <c r="C2322" s="21" t="s">
        <v>22655</v>
      </c>
      <c r="D2322" s="31" t="s">
        <v>22660</v>
      </c>
      <c r="E2322" s="23" t="s">
        <v>22656</v>
      </c>
      <c r="F2322" s="24" t="s">
        <v>22657</v>
      </c>
      <c r="G2322" s="25">
        <v>8</v>
      </c>
      <c r="H2322" s="26"/>
      <c r="I2322" s="27"/>
    </row>
    <row r="2323" spans="1:9" ht="15.75" thickBot="1" x14ac:dyDescent="0.3">
      <c r="A2323" s="43" t="s">
        <v>6186</v>
      </c>
      <c r="B2323" s="21" t="s">
        <v>6187</v>
      </c>
      <c r="C2323" s="21" t="s">
        <v>22655</v>
      </c>
      <c r="D2323" s="22">
        <v>46042</v>
      </c>
      <c r="E2323" s="23" t="s">
        <v>22656</v>
      </c>
      <c r="F2323" s="24" t="s">
        <v>22657</v>
      </c>
      <c r="G2323" s="25">
        <v>7</v>
      </c>
      <c r="H2323" s="29"/>
      <c r="I2323" s="30"/>
    </row>
    <row r="2324" spans="1:9" ht="15.75" thickBot="1" x14ac:dyDescent="0.3">
      <c r="A2324" s="43" t="s">
        <v>6188</v>
      </c>
      <c r="B2324" s="21" t="s">
        <v>6189</v>
      </c>
      <c r="C2324" s="21" t="s">
        <v>22655</v>
      </c>
      <c r="D2324" s="22">
        <v>46030</v>
      </c>
      <c r="E2324" s="23" t="s">
        <v>22656</v>
      </c>
      <c r="F2324" s="24" t="s">
        <v>22657</v>
      </c>
      <c r="G2324" s="25">
        <v>3</v>
      </c>
      <c r="H2324" s="26"/>
      <c r="I2324" s="27"/>
    </row>
    <row r="2325" spans="1:9" ht="15.75" thickBot="1" x14ac:dyDescent="0.3">
      <c r="A2325" s="43" t="s">
        <v>6190</v>
      </c>
      <c r="B2325" s="21" t="s">
        <v>6191</v>
      </c>
      <c r="C2325" s="21" t="s">
        <v>22663</v>
      </c>
      <c r="D2325" s="31">
        <v>1</v>
      </c>
      <c r="E2325" s="23" t="s">
        <v>22656</v>
      </c>
      <c r="F2325" s="24" t="s">
        <v>22657</v>
      </c>
      <c r="G2325" s="25">
        <v>4</v>
      </c>
      <c r="H2325" s="29"/>
      <c r="I2325" s="30"/>
    </row>
    <row r="2326" spans="1:9" ht="15.75" thickBot="1" x14ac:dyDescent="0.3">
      <c r="A2326" s="43" t="s">
        <v>6192</v>
      </c>
      <c r="B2326" s="21" t="s">
        <v>6193</v>
      </c>
      <c r="C2326" s="21" t="s">
        <v>22655</v>
      </c>
      <c r="D2326" s="22">
        <v>46026</v>
      </c>
      <c r="E2326" s="23" t="s">
        <v>22658</v>
      </c>
      <c r="F2326" s="24" t="s">
        <v>22657</v>
      </c>
      <c r="G2326" s="25">
        <v>1</v>
      </c>
      <c r="H2326" s="26"/>
      <c r="I2326" s="27"/>
    </row>
    <row r="2327" spans="1:9" ht="15.75" thickBot="1" x14ac:dyDescent="0.3">
      <c r="A2327" s="43" t="s">
        <v>6194</v>
      </c>
      <c r="B2327" s="21" t="s">
        <v>6195</v>
      </c>
      <c r="C2327" s="21" t="s">
        <v>22663</v>
      </c>
      <c r="D2327" s="31">
        <v>1</v>
      </c>
      <c r="E2327" s="23" t="s">
        <v>22656</v>
      </c>
      <c r="F2327" s="24" t="s">
        <v>22657</v>
      </c>
      <c r="G2327" s="25">
        <v>3</v>
      </c>
      <c r="H2327" s="29"/>
      <c r="I2327" s="30"/>
    </row>
    <row r="2328" spans="1:9" ht="15.75" thickBot="1" x14ac:dyDescent="0.3">
      <c r="A2328" s="43" t="s">
        <v>6196</v>
      </c>
      <c r="B2328" s="21" t="s">
        <v>6197</v>
      </c>
      <c r="C2328" s="21" t="s">
        <v>22655</v>
      </c>
      <c r="D2328" s="22">
        <v>46026</v>
      </c>
      <c r="E2328" s="23" t="s">
        <v>22656</v>
      </c>
      <c r="F2328" s="24" t="s">
        <v>22657</v>
      </c>
      <c r="G2328" s="25">
        <v>2</v>
      </c>
      <c r="H2328" s="26"/>
      <c r="I2328" s="27"/>
    </row>
    <row r="2329" spans="1:9" ht="15.75" thickBot="1" x14ac:dyDescent="0.3">
      <c r="A2329" s="43" t="s">
        <v>6198</v>
      </c>
      <c r="B2329" s="21" t="s">
        <v>6199</v>
      </c>
      <c r="C2329" s="21" t="s">
        <v>22663</v>
      </c>
      <c r="D2329" s="31">
        <v>1</v>
      </c>
      <c r="E2329" s="23" t="s">
        <v>22661</v>
      </c>
      <c r="F2329" s="24" t="s">
        <v>22657</v>
      </c>
      <c r="G2329" s="25">
        <v>4</v>
      </c>
      <c r="H2329" s="29"/>
      <c r="I2329" s="30"/>
    </row>
    <row r="2330" spans="1:9" ht="15.75" thickBot="1" x14ac:dyDescent="0.3">
      <c r="A2330" s="43" t="s">
        <v>6200</v>
      </c>
      <c r="B2330" s="21" t="s">
        <v>6201</v>
      </c>
      <c r="C2330" s="21" t="s">
        <v>22663</v>
      </c>
      <c r="D2330" s="31">
        <v>1</v>
      </c>
      <c r="E2330" s="23" t="s">
        <v>22656</v>
      </c>
      <c r="F2330" s="24" t="s">
        <v>22657</v>
      </c>
      <c r="G2330" s="25">
        <v>3</v>
      </c>
      <c r="H2330" s="26"/>
      <c r="I2330" s="27"/>
    </row>
    <row r="2331" spans="1:9" ht="15.75" thickBot="1" x14ac:dyDescent="0.3">
      <c r="A2331" s="43" t="s">
        <v>6202</v>
      </c>
      <c r="B2331" s="21" t="s">
        <v>6203</v>
      </c>
      <c r="C2331" s="21" t="s">
        <v>22663</v>
      </c>
      <c r="D2331" s="31">
        <v>1</v>
      </c>
      <c r="E2331" s="23" t="s">
        <v>22661</v>
      </c>
      <c r="F2331" s="24" t="s">
        <v>22657</v>
      </c>
      <c r="G2331" s="25">
        <v>7</v>
      </c>
      <c r="H2331" s="29"/>
      <c r="I2331" s="30"/>
    </row>
    <row r="2332" spans="1:9" ht="15.75" thickBot="1" x14ac:dyDescent="0.3">
      <c r="A2332" s="43" t="s">
        <v>6204</v>
      </c>
      <c r="B2332" s="21" t="s">
        <v>6205</v>
      </c>
      <c r="C2332" s="21" t="s">
        <v>22655</v>
      </c>
      <c r="D2332" s="22">
        <v>46026</v>
      </c>
      <c r="E2332" s="23" t="s">
        <v>22656</v>
      </c>
      <c r="F2332" s="24" t="s">
        <v>22657</v>
      </c>
      <c r="G2332" s="25">
        <v>2</v>
      </c>
      <c r="H2332" s="26"/>
      <c r="I2332" s="27"/>
    </row>
    <row r="2333" spans="1:9" ht="15.75" thickBot="1" x14ac:dyDescent="0.3">
      <c r="A2333" s="43" t="s">
        <v>6206</v>
      </c>
      <c r="B2333" s="21" t="s">
        <v>6207</v>
      </c>
      <c r="C2333" s="21" t="s">
        <v>22663</v>
      </c>
      <c r="D2333" s="31">
        <v>1</v>
      </c>
      <c r="E2333" s="23" t="s">
        <v>22665</v>
      </c>
      <c r="F2333" s="24" t="s">
        <v>22657</v>
      </c>
      <c r="G2333" s="25">
        <v>6</v>
      </c>
      <c r="H2333" s="29"/>
      <c r="I2333" s="30"/>
    </row>
    <row r="2334" spans="1:9" ht="15.75" thickBot="1" x14ac:dyDescent="0.3">
      <c r="A2334" s="43" t="s">
        <v>6208</v>
      </c>
      <c r="B2334" s="21" t="s">
        <v>6209</v>
      </c>
      <c r="C2334" s="21" t="s">
        <v>22663</v>
      </c>
      <c r="D2334" s="31">
        <v>1</v>
      </c>
      <c r="E2334" s="23" t="s">
        <v>22656</v>
      </c>
      <c r="F2334" s="24" t="s">
        <v>22657</v>
      </c>
      <c r="G2334" s="25">
        <v>4</v>
      </c>
      <c r="H2334" s="26"/>
      <c r="I2334" s="27"/>
    </row>
    <row r="2335" spans="1:9" ht="15.75" thickBot="1" x14ac:dyDescent="0.3">
      <c r="A2335" s="43" t="s">
        <v>6210</v>
      </c>
      <c r="B2335" s="21" t="s">
        <v>6211</v>
      </c>
      <c r="C2335" s="21" t="s">
        <v>22655</v>
      </c>
      <c r="D2335" s="22">
        <v>46026</v>
      </c>
      <c r="E2335" s="23" t="s">
        <v>22656</v>
      </c>
      <c r="F2335" s="24" t="s">
        <v>22657</v>
      </c>
      <c r="G2335" s="25">
        <v>2</v>
      </c>
      <c r="H2335" s="29"/>
      <c r="I2335" s="30"/>
    </row>
    <row r="2336" spans="1:9" ht="15.75" thickBot="1" x14ac:dyDescent="0.3">
      <c r="A2336" s="43" t="s">
        <v>6212</v>
      </c>
      <c r="B2336" s="21" t="s">
        <v>6213</v>
      </c>
      <c r="C2336" s="21" t="s">
        <v>22663</v>
      </c>
      <c r="D2336" s="31">
        <v>1</v>
      </c>
      <c r="E2336" s="23" t="s">
        <v>22656</v>
      </c>
      <c r="F2336" s="24" t="s">
        <v>22657</v>
      </c>
      <c r="G2336" s="25">
        <v>3</v>
      </c>
      <c r="H2336" s="26"/>
      <c r="I2336" s="27"/>
    </row>
    <row r="2337" spans="1:9" ht="15.75" thickBot="1" x14ac:dyDescent="0.3">
      <c r="A2337" s="43" t="s">
        <v>6214</v>
      </c>
      <c r="B2337" s="21" t="s">
        <v>6215</v>
      </c>
      <c r="C2337" s="21" t="s">
        <v>22663</v>
      </c>
      <c r="D2337" s="31">
        <v>1</v>
      </c>
      <c r="E2337" s="23" t="s">
        <v>22656</v>
      </c>
      <c r="F2337" s="24" t="s">
        <v>22657</v>
      </c>
      <c r="G2337" s="25">
        <v>4</v>
      </c>
      <c r="H2337" s="29"/>
      <c r="I2337" s="30"/>
    </row>
    <row r="2338" spans="1:9" ht="15.75" thickBot="1" x14ac:dyDescent="0.3">
      <c r="A2338" s="43" t="s">
        <v>6216</v>
      </c>
      <c r="B2338" s="21" t="s">
        <v>6217</v>
      </c>
      <c r="C2338" s="21" t="s">
        <v>22655</v>
      </c>
      <c r="D2338" s="22">
        <v>46026</v>
      </c>
      <c r="E2338" s="23" t="s">
        <v>22658</v>
      </c>
      <c r="F2338" s="24" t="s">
        <v>22657</v>
      </c>
      <c r="G2338" s="25">
        <v>1</v>
      </c>
      <c r="H2338" s="26"/>
      <c r="I2338" s="27"/>
    </row>
    <row r="2339" spans="1:9" ht="15.75" thickBot="1" x14ac:dyDescent="0.3">
      <c r="A2339" s="43" t="s">
        <v>6218</v>
      </c>
      <c r="B2339" s="21" t="s">
        <v>6219</v>
      </c>
      <c r="C2339" s="21" t="s">
        <v>22663</v>
      </c>
      <c r="D2339" s="31">
        <v>1</v>
      </c>
      <c r="E2339" s="23" t="s">
        <v>22656</v>
      </c>
      <c r="F2339" s="24" t="s">
        <v>22657</v>
      </c>
      <c r="G2339" s="25">
        <v>3</v>
      </c>
      <c r="H2339" s="29"/>
      <c r="I2339" s="30"/>
    </row>
    <row r="2340" spans="1:9" ht="15.75" thickBot="1" x14ac:dyDescent="0.3">
      <c r="A2340" s="43" t="s">
        <v>6220</v>
      </c>
      <c r="B2340" s="21" t="s">
        <v>6221</v>
      </c>
      <c r="C2340" s="21" t="s">
        <v>22663</v>
      </c>
      <c r="D2340" s="31">
        <v>1</v>
      </c>
      <c r="E2340" s="23" t="s">
        <v>22656</v>
      </c>
      <c r="F2340" s="24" t="s">
        <v>22657</v>
      </c>
      <c r="G2340" s="25">
        <v>4</v>
      </c>
      <c r="H2340" s="26"/>
      <c r="I2340" s="27"/>
    </row>
    <row r="2341" spans="1:9" ht="15.75" thickBot="1" x14ac:dyDescent="0.3">
      <c r="A2341" s="43" t="s">
        <v>6222</v>
      </c>
      <c r="B2341" s="21" t="s">
        <v>6223</v>
      </c>
      <c r="C2341" s="21" t="s">
        <v>22655</v>
      </c>
      <c r="D2341" s="22">
        <v>46026</v>
      </c>
      <c r="E2341" s="23" t="s">
        <v>22658</v>
      </c>
      <c r="F2341" s="24" t="s">
        <v>22657</v>
      </c>
      <c r="G2341" s="25">
        <v>1</v>
      </c>
      <c r="H2341" s="29"/>
      <c r="I2341" s="30"/>
    </row>
    <row r="2342" spans="1:9" ht="15.75" thickBot="1" x14ac:dyDescent="0.3">
      <c r="A2342" s="43" t="s">
        <v>6224</v>
      </c>
      <c r="B2342" s="21" t="s">
        <v>6225</v>
      </c>
      <c r="C2342" s="21" t="s">
        <v>22663</v>
      </c>
      <c r="D2342" s="31">
        <v>1</v>
      </c>
      <c r="E2342" s="23" t="s">
        <v>22656</v>
      </c>
      <c r="F2342" s="24" t="s">
        <v>22657</v>
      </c>
      <c r="G2342" s="25">
        <v>3</v>
      </c>
      <c r="H2342" s="26"/>
      <c r="I2342" s="27"/>
    </row>
    <row r="2343" spans="1:9" ht="15.75" thickBot="1" x14ac:dyDescent="0.3">
      <c r="A2343" s="43" t="s">
        <v>6226</v>
      </c>
      <c r="B2343" s="21" t="s">
        <v>6227</v>
      </c>
      <c r="C2343" s="21" t="s">
        <v>22655</v>
      </c>
      <c r="D2343" s="22">
        <v>46026</v>
      </c>
      <c r="E2343" s="23" t="s">
        <v>22656</v>
      </c>
      <c r="F2343" s="24" t="s">
        <v>22657</v>
      </c>
      <c r="G2343" s="25">
        <v>2</v>
      </c>
      <c r="H2343" s="29"/>
      <c r="I2343" s="30"/>
    </row>
    <row r="2344" spans="1:9" ht="15.75" thickBot="1" x14ac:dyDescent="0.3">
      <c r="A2344" s="43" t="s">
        <v>6228</v>
      </c>
      <c r="B2344" s="21" t="s">
        <v>6229</v>
      </c>
      <c r="C2344" s="21" t="s">
        <v>22663</v>
      </c>
      <c r="D2344" s="31">
        <v>1</v>
      </c>
      <c r="E2344" s="23" t="s">
        <v>22661</v>
      </c>
      <c r="F2344" s="24" t="s">
        <v>22657</v>
      </c>
      <c r="G2344" s="25">
        <v>4</v>
      </c>
      <c r="H2344" s="26"/>
      <c r="I2344" s="27"/>
    </row>
    <row r="2345" spans="1:9" ht="15.75" thickBot="1" x14ac:dyDescent="0.3">
      <c r="A2345" s="43" t="s">
        <v>6230</v>
      </c>
      <c r="B2345" s="21" t="s">
        <v>6231</v>
      </c>
      <c r="C2345" s="21" t="s">
        <v>22663</v>
      </c>
      <c r="D2345" s="31">
        <v>1</v>
      </c>
      <c r="E2345" s="23" t="s">
        <v>22656</v>
      </c>
      <c r="F2345" s="24" t="s">
        <v>22657</v>
      </c>
      <c r="G2345" s="25">
        <v>3</v>
      </c>
      <c r="H2345" s="29"/>
      <c r="I2345" s="30"/>
    </row>
    <row r="2346" spans="1:9" ht="15.75" thickBot="1" x14ac:dyDescent="0.3">
      <c r="A2346" s="43" t="s">
        <v>6232</v>
      </c>
      <c r="B2346" s="21" t="s">
        <v>6233</v>
      </c>
      <c r="C2346" s="21" t="s">
        <v>22655</v>
      </c>
      <c r="D2346" s="22">
        <v>46026</v>
      </c>
      <c r="E2346" s="23" t="s">
        <v>22658</v>
      </c>
      <c r="F2346" s="24" t="s">
        <v>22657</v>
      </c>
      <c r="G2346" s="25">
        <v>1</v>
      </c>
      <c r="H2346" s="26"/>
      <c r="I2346" s="27"/>
    </row>
    <row r="2347" spans="1:9" ht="15.75" thickBot="1" x14ac:dyDescent="0.3">
      <c r="A2347" s="43" t="s">
        <v>6234</v>
      </c>
      <c r="B2347" s="21" t="s">
        <v>6235</v>
      </c>
      <c r="C2347" s="21" t="s">
        <v>22663</v>
      </c>
      <c r="D2347" s="31">
        <v>1</v>
      </c>
      <c r="E2347" s="23" t="s">
        <v>22656</v>
      </c>
      <c r="F2347" s="24" t="s">
        <v>22657</v>
      </c>
      <c r="G2347" s="25">
        <v>4</v>
      </c>
      <c r="H2347" s="29"/>
      <c r="I2347" s="30"/>
    </row>
    <row r="2348" spans="1:9" ht="15.75" thickBot="1" x14ac:dyDescent="0.3">
      <c r="A2348" s="43" t="s">
        <v>6236</v>
      </c>
      <c r="B2348" s="21" t="s">
        <v>6237</v>
      </c>
      <c r="C2348" s="21" t="s">
        <v>22663</v>
      </c>
      <c r="D2348" s="31">
        <v>1</v>
      </c>
      <c r="E2348" s="23" t="s">
        <v>22656</v>
      </c>
      <c r="F2348" s="24" t="s">
        <v>22657</v>
      </c>
      <c r="G2348" s="25">
        <v>3</v>
      </c>
      <c r="H2348" s="26"/>
      <c r="I2348" s="27"/>
    </row>
    <row r="2349" spans="1:9" ht="15.75" thickBot="1" x14ac:dyDescent="0.3">
      <c r="A2349" s="43" t="s">
        <v>6238</v>
      </c>
      <c r="B2349" s="21" t="s">
        <v>6239</v>
      </c>
      <c r="C2349" s="21" t="s">
        <v>22655</v>
      </c>
      <c r="D2349" s="31" t="s">
        <v>22669</v>
      </c>
      <c r="E2349" s="23" t="s">
        <v>22656</v>
      </c>
      <c r="F2349" s="24" t="s">
        <v>22657</v>
      </c>
      <c r="G2349" s="25">
        <v>4</v>
      </c>
      <c r="H2349" s="29"/>
      <c r="I2349" s="30"/>
    </row>
    <row r="2350" spans="1:9" ht="15.75" thickBot="1" x14ac:dyDescent="0.3">
      <c r="A2350" s="43" t="s">
        <v>6240</v>
      </c>
      <c r="B2350" s="21" t="s">
        <v>6241</v>
      </c>
      <c r="C2350" s="21" t="s">
        <v>22655</v>
      </c>
      <c r="D2350" s="22">
        <v>46046</v>
      </c>
      <c r="E2350" s="23" t="s">
        <v>22656</v>
      </c>
      <c r="F2350" s="24" t="s">
        <v>22657</v>
      </c>
      <c r="G2350" s="25">
        <v>2</v>
      </c>
      <c r="H2350" s="26"/>
      <c r="I2350" s="27"/>
    </row>
    <row r="2351" spans="1:9" ht="15.75" thickBot="1" x14ac:dyDescent="0.3">
      <c r="A2351" s="43" t="s">
        <v>6242</v>
      </c>
      <c r="B2351" s="21" t="s">
        <v>6243</v>
      </c>
      <c r="C2351" s="21" t="s">
        <v>22655</v>
      </c>
      <c r="D2351" s="22">
        <v>46034</v>
      </c>
      <c r="E2351" s="23" t="s">
        <v>22656</v>
      </c>
      <c r="F2351" s="24" t="s">
        <v>22657</v>
      </c>
      <c r="G2351" s="25">
        <v>4</v>
      </c>
      <c r="H2351" s="29"/>
      <c r="I2351" s="30"/>
    </row>
    <row r="2352" spans="1:9" ht="15.75" thickBot="1" x14ac:dyDescent="0.3">
      <c r="A2352" s="43" t="s">
        <v>6244</v>
      </c>
      <c r="B2352" s="21" t="s">
        <v>6245</v>
      </c>
      <c r="C2352" s="21" t="s">
        <v>22655</v>
      </c>
      <c r="D2352" s="22">
        <v>46046</v>
      </c>
      <c r="E2352" s="23" t="s">
        <v>22656</v>
      </c>
      <c r="F2352" s="24" t="s">
        <v>22657</v>
      </c>
      <c r="G2352" s="25">
        <v>2</v>
      </c>
      <c r="H2352" s="26"/>
      <c r="I2352" s="27"/>
    </row>
    <row r="2353" spans="1:9" ht="15.75" thickBot="1" x14ac:dyDescent="0.3">
      <c r="A2353" s="43" t="s">
        <v>6246</v>
      </c>
      <c r="B2353" s="21" t="s">
        <v>6247</v>
      </c>
      <c r="C2353" s="21" t="s">
        <v>22655</v>
      </c>
      <c r="D2353" s="22">
        <v>46042</v>
      </c>
      <c r="E2353" s="23" t="s">
        <v>22656</v>
      </c>
      <c r="F2353" s="24" t="s">
        <v>22657</v>
      </c>
      <c r="G2353" s="25">
        <v>4</v>
      </c>
      <c r="H2353" s="29"/>
      <c r="I2353" s="30"/>
    </row>
    <row r="2354" spans="1:9" ht="15.75" thickBot="1" x14ac:dyDescent="0.3">
      <c r="A2354" s="43" t="s">
        <v>6248</v>
      </c>
      <c r="B2354" s="21" t="s">
        <v>6249</v>
      </c>
      <c r="C2354" s="21" t="s">
        <v>22667</v>
      </c>
      <c r="D2354" s="31" t="s">
        <v>22699</v>
      </c>
      <c r="E2354" s="23" t="s">
        <v>22658</v>
      </c>
      <c r="F2354" s="24" t="s">
        <v>22657</v>
      </c>
      <c r="G2354" s="25">
        <v>4</v>
      </c>
      <c r="H2354" s="26"/>
      <c r="I2354" s="27"/>
    </row>
    <row r="2355" spans="1:9" ht="15.75" thickBot="1" x14ac:dyDescent="0.3">
      <c r="A2355" s="43" t="s">
        <v>6250</v>
      </c>
      <c r="B2355" s="21" t="s">
        <v>6251</v>
      </c>
      <c r="C2355" s="21" t="s">
        <v>22655</v>
      </c>
      <c r="D2355" s="22">
        <v>46042</v>
      </c>
      <c r="E2355" s="23" t="s">
        <v>22656</v>
      </c>
      <c r="F2355" s="24" t="s">
        <v>22657</v>
      </c>
      <c r="G2355" s="25">
        <v>4</v>
      </c>
      <c r="H2355" s="29"/>
      <c r="I2355" s="30"/>
    </row>
    <row r="2356" spans="1:9" ht="15.75" thickBot="1" x14ac:dyDescent="0.3">
      <c r="A2356" s="43" t="s">
        <v>6252</v>
      </c>
      <c r="B2356" s="21" t="s">
        <v>6253</v>
      </c>
      <c r="C2356" s="21" t="s">
        <v>22655</v>
      </c>
      <c r="D2356" s="22">
        <v>46046</v>
      </c>
      <c r="E2356" s="23" t="s">
        <v>22656</v>
      </c>
      <c r="F2356" s="24" t="s">
        <v>22657</v>
      </c>
      <c r="G2356" s="25">
        <v>2</v>
      </c>
      <c r="H2356" s="26"/>
      <c r="I2356" s="27"/>
    </row>
    <row r="2357" spans="1:9" ht="15.75" thickBot="1" x14ac:dyDescent="0.3">
      <c r="A2357" s="43" t="s">
        <v>6254</v>
      </c>
      <c r="B2357" s="21" t="s">
        <v>6255</v>
      </c>
      <c r="C2357" s="21" t="s">
        <v>22655</v>
      </c>
      <c r="D2357" s="31" t="s">
        <v>22708</v>
      </c>
      <c r="E2357" s="23" t="s">
        <v>22656</v>
      </c>
      <c r="F2357" s="24" t="s">
        <v>22657</v>
      </c>
      <c r="G2357" s="25">
        <v>4</v>
      </c>
      <c r="H2357" s="29"/>
      <c r="I2357" s="30"/>
    </row>
    <row r="2358" spans="1:9" ht="15.75" thickBot="1" x14ac:dyDescent="0.3">
      <c r="A2358" s="43" t="s">
        <v>6256</v>
      </c>
      <c r="B2358" s="21" t="s">
        <v>6257</v>
      </c>
      <c r="C2358" s="21" t="s">
        <v>22655</v>
      </c>
      <c r="D2358" s="22">
        <v>46046</v>
      </c>
      <c r="E2358" s="23" t="s">
        <v>22656</v>
      </c>
      <c r="F2358" s="24" t="s">
        <v>22657</v>
      </c>
      <c r="G2358" s="25">
        <v>2</v>
      </c>
      <c r="H2358" s="26"/>
      <c r="I2358" s="27"/>
    </row>
    <row r="2359" spans="1:9" ht="15.75" thickBot="1" x14ac:dyDescent="0.3">
      <c r="A2359" s="43" t="s">
        <v>6258</v>
      </c>
      <c r="B2359" s="21" t="s">
        <v>6259</v>
      </c>
      <c r="C2359" s="21" t="s">
        <v>22655</v>
      </c>
      <c r="D2359" s="31" t="s">
        <v>22708</v>
      </c>
      <c r="E2359" s="23" t="s">
        <v>22656</v>
      </c>
      <c r="F2359" s="24" t="s">
        <v>22657</v>
      </c>
      <c r="G2359" s="25">
        <v>4</v>
      </c>
      <c r="H2359" s="29"/>
      <c r="I2359" s="30"/>
    </row>
    <row r="2360" spans="1:9" ht="15.75" thickBot="1" x14ac:dyDescent="0.3">
      <c r="A2360" s="43" t="s">
        <v>6260</v>
      </c>
      <c r="B2360" s="21" t="s">
        <v>6261</v>
      </c>
      <c r="C2360" s="21" t="s">
        <v>22655</v>
      </c>
      <c r="D2360" s="22">
        <v>46046</v>
      </c>
      <c r="E2360" s="23" t="s">
        <v>22656</v>
      </c>
      <c r="F2360" s="24" t="s">
        <v>22657</v>
      </c>
      <c r="G2360" s="25">
        <v>2</v>
      </c>
      <c r="H2360" s="26"/>
      <c r="I2360" s="27"/>
    </row>
    <row r="2361" spans="1:9" ht="15.75" thickBot="1" x14ac:dyDescent="0.3">
      <c r="A2361" s="43" t="s">
        <v>6262</v>
      </c>
      <c r="B2361" s="21" t="s">
        <v>6263</v>
      </c>
      <c r="C2361" s="21" t="s">
        <v>22655</v>
      </c>
      <c r="D2361" s="22">
        <v>46042</v>
      </c>
      <c r="E2361" s="23" t="s">
        <v>22656</v>
      </c>
      <c r="F2361" s="24" t="s">
        <v>22657</v>
      </c>
      <c r="G2361" s="25">
        <v>4</v>
      </c>
      <c r="H2361" s="29"/>
      <c r="I2361" s="30"/>
    </row>
    <row r="2362" spans="1:9" ht="15.75" thickBot="1" x14ac:dyDescent="0.3">
      <c r="A2362" s="43" t="s">
        <v>6266</v>
      </c>
      <c r="B2362" s="21" t="s">
        <v>6265</v>
      </c>
      <c r="C2362" s="21" t="s">
        <v>22655</v>
      </c>
      <c r="D2362" s="22">
        <v>46042</v>
      </c>
      <c r="E2362" s="23" t="s">
        <v>22656</v>
      </c>
      <c r="F2362" s="24" t="s">
        <v>22657</v>
      </c>
      <c r="G2362" s="25">
        <v>4</v>
      </c>
      <c r="H2362" s="26"/>
      <c r="I2362" s="27"/>
    </row>
    <row r="2363" spans="1:9" ht="15.75" thickBot="1" x14ac:dyDescent="0.3">
      <c r="A2363" s="43" t="s">
        <v>6264</v>
      </c>
      <c r="B2363" s="21" t="s">
        <v>6265</v>
      </c>
      <c r="C2363" s="21" t="s">
        <v>22672</v>
      </c>
      <c r="D2363" s="22">
        <v>46034</v>
      </c>
      <c r="E2363" s="23" t="s">
        <v>22656</v>
      </c>
      <c r="F2363" s="24" t="s">
        <v>22657</v>
      </c>
      <c r="G2363" s="25">
        <v>4</v>
      </c>
      <c r="H2363" s="29"/>
      <c r="I2363" s="30"/>
    </row>
    <row r="2364" spans="1:9" ht="15.75" thickBot="1" x14ac:dyDescent="0.3">
      <c r="A2364" s="43" t="s">
        <v>6267</v>
      </c>
      <c r="B2364" s="21" t="s">
        <v>6268</v>
      </c>
      <c r="C2364" s="21" t="s">
        <v>22655</v>
      </c>
      <c r="D2364" s="22">
        <v>46046</v>
      </c>
      <c r="E2364" s="23" t="s">
        <v>22656</v>
      </c>
      <c r="F2364" s="24" t="s">
        <v>22657</v>
      </c>
      <c r="G2364" s="25">
        <v>2</v>
      </c>
      <c r="H2364" s="26"/>
      <c r="I2364" s="27"/>
    </row>
    <row r="2365" spans="1:9" ht="15.75" thickBot="1" x14ac:dyDescent="0.3">
      <c r="A2365" s="43" t="s">
        <v>6269</v>
      </c>
      <c r="B2365" s="21" t="s">
        <v>6270</v>
      </c>
      <c r="C2365" s="21" t="s">
        <v>22655</v>
      </c>
      <c r="D2365" s="22">
        <v>46042</v>
      </c>
      <c r="E2365" s="23" t="s">
        <v>22656</v>
      </c>
      <c r="F2365" s="24" t="s">
        <v>22657</v>
      </c>
      <c r="G2365" s="25">
        <v>4</v>
      </c>
      <c r="H2365" s="29"/>
      <c r="I2365" s="30"/>
    </row>
    <row r="2366" spans="1:9" ht="15.75" thickBot="1" x14ac:dyDescent="0.3">
      <c r="A2366" s="43" t="s">
        <v>6271</v>
      </c>
      <c r="B2366" s="21" t="s">
        <v>6272</v>
      </c>
      <c r="C2366" s="21" t="s">
        <v>22667</v>
      </c>
      <c r="D2366" s="31" t="s">
        <v>22699</v>
      </c>
      <c r="E2366" s="23" t="s">
        <v>22656</v>
      </c>
      <c r="F2366" s="24" t="s">
        <v>22657</v>
      </c>
      <c r="G2366" s="25">
        <v>4</v>
      </c>
      <c r="H2366" s="26"/>
      <c r="I2366" s="27"/>
    </row>
    <row r="2367" spans="1:9" ht="15.75" thickBot="1" x14ac:dyDescent="0.3">
      <c r="A2367" s="43" t="s">
        <v>6273</v>
      </c>
      <c r="B2367" s="21" t="s">
        <v>6274</v>
      </c>
      <c r="C2367" s="21" t="s">
        <v>22655</v>
      </c>
      <c r="D2367" s="22">
        <v>46046</v>
      </c>
      <c r="E2367" s="23" t="s">
        <v>22656</v>
      </c>
      <c r="F2367" s="24" t="s">
        <v>22657</v>
      </c>
      <c r="G2367" s="25">
        <v>2</v>
      </c>
      <c r="H2367" s="29"/>
      <c r="I2367" s="30"/>
    </row>
    <row r="2368" spans="1:9" ht="15.75" thickBot="1" x14ac:dyDescent="0.3">
      <c r="A2368" s="43" t="s">
        <v>6275</v>
      </c>
      <c r="B2368" s="21" t="s">
        <v>6276</v>
      </c>
      <c r="C2368" s="21" t="s">
        <v>22655</v>
      </c>
      <c r="D2368" s="22">
        <v>46042</v>
      </c>
      <c r="E2368" s="23" t="s">
        <v>22656</v>
      </c>
      <c r="F2368" s="24" t="s">
        <v>22657</v>
      </c>
      <c r="G2368" s="25">
        <v>4</v>
      </c>
      <c r="H2368" s="26"/>
      <c r="I2368" s="27"/>
    </row>
    <row r="2369" spans="1:9" ht="15.75" thickBot="1" x14ac:dyDescent="0.3">
      <c r="A2369" s="43" t="s">
        <v>6277</v>
      </c>
      <c r="B2369" s="21" t="s">
        <v>6278</v>
      </c>
      <c r="C2369" s="21" t="s">
        <v>22655</v>
      </c>
      <c r="D2369" s="22">
        <v>46046</v>
      </c>
      <c r="E2369" s="23" t="s">
        <v>22656</v>
      </c>
      <c r="F2369" s="24" t="s">
        <v>22657</v>
      </c>
      <c r="G2369" s="25">
        <v>2</v>
      </c>
      <c r="H2369" s="29"/>
      <c r="I2369" s="30"/>
    </row>
    <row r="2370" spans="1:9" ht="15.75" thickBot="1" x14ac:dyDescent="0.3">
      <c r="A2370" s="43" t="s">
        <v>6279</v>
      </c>
      <c r="B2370" s="21" t="s">
        <v>6280</v>
      </c>
      <c r="C2370" s="21" t="s">
        <v>22655</v>
      </c>
      <c r="D2370" s="31" t="s">
        <v>22669</v>
      </c>
      <c r="E2370" s="23" t="s">
        <v>22656</v>
      </c>
      <c r="F2370" s="24" t="s">
        <v>22657</v>
      </c>
      <c r="G2370" s="25">
        <v>4</v>
      </c>
      <c r="H2370" s="26"/>
      <c r="I2370" s="27"/>
    </row>
    <row r="2371" spans="1:9" ht="15.75" thickBot="1" x14ac:dyDescent="0.3">
      <c r="A2371" s="43" t="s">
        <v>6281</v>
      </c>
      <c r="B2371" s="21" t="s">
        <v>6282</v>
      </c>
      <c r="C2371" s="21" t="s">
        <v>22655</v>
      </c>
      <c r="D2371" s="22">
        <v>46042</v>
      </c>
      <c r="E2371" s="23" t="s">
        <v>22656</v>
      </c>
      <c r="F2371" s="24" t="s">
        <v>22657</v>
      </c>
      <c r="G2371" s="25">
        <v>4</v>
      </c>
      <c r="H2371" s="29"/>
      <c r="I2371" s="30"/>
    </row>
    <row r="2372" spans="1:9" ht="15.75" thickBot="1" x14ac:dyDescent="0.3">
      <c r="A2372" s="43" t="s">
        <v>6283</v>
      </c>
      <c r="B2372" s="21" t="s">
        <v>6284</v>
      </c>
      <c r="C2372" s="21" t="s">
        <v>22655</v>
      </c>
      <c r="D2372" s="22">
        <v>46046</v>
      </c>
      <c r="E2372" s="23" t="s">
        <v>22658</v>
      </c>
      <c r="F2372" s="24" t="s">
        <v>22657</v>
      </c>
      <c r="G2372" s="25">
        <v>2</v>
      </c>
      <c r="H2372" s="26"/>
      <c r="I2372" s="27"/>
    </row>
    <row r="2373" spans="1:9" ht="15.75" thickBot="1" x14ac:dyDescent="0.3">
      <c r="A2373" s="43" t="s">
        <v>6285</v>
      </c>
      <c r="B2373" s="21" t="s">
        <v>6286</v>
      </c>
      <c r="C2373" s="21" t="s">
        <v>22655</v>
      </c>
      <c r="D2373" s="22">
        <v>46034</v>
      </c>
      <c r="E2373" s="23" t="s">
        <v>22656</v>
      </c>
      <c r="F2373" s="24" t="s">
        <v>22657</v>
      </c>
      <c r="G2373" s="25">
        <v>4</v>
      </c>
      <c r="H2373" s="29"/>
      <c r="I2373" s="30"/>
    </row>
    <row r="2374" spans="1:9" ht="15.75" thickBot="1" x14ac:dyDescent="0.3">
      <c r="A2374" s="43" t="s">
        <v>6287</v>
      </c>
      <c r="B2374" s="21" t="s">
        <v>6288</v>
      </c>
      <c r="C2374" s="21" t="s">
        <v>22655</v>
      </c>
      <c r="D2374" s="22">
        <v>46046</v>
      </c>
      <c r="E2374" s="23" t="s">
        <v>22656</v>
      </c>
      <c r="F2374" s="24" t="s">
        <v>22657</v>
      </c>
      <c r="G2374" s="25">
        <v>2</v>
      </c>
      <c r="H2374" s="26"/>
      <c r="I2374" s="27"/>
    </row>
    <row r="2375" spans="1:9" ht="15.75" thickBot="1" x14ac:dyDescent="0.3">
      <c r="A2375" s="43" t="s">
        <v>6289</v>
      </c>
      <c r="B2375" s="21" t="s">
        <v>6290</v>
      </c>
      <c r="C2375" s="21" t="s">
        <v>22655</v>
      </c>
      <c r="D2375" s="31" t="s">
        <v>22708</v>
      </c>
      <c r="E2375" s="23" t="s">
        <v>22656</v>
      </c>
      <c r="F2375" s="24" t="s">
        <v>22657</v>
      </c>
      <c r="G2375" s="25">
        <v>4</v>
      </c>
      <c r="H2375" s="29"/>
      <c r="I2375" s="30"/>
    </row>
    <row r="2376" spans="1:9" ht="15.75" thickBot="1" x14ac:dyDescent="0.3">
      <c r="A2376" s="43" t="s">
        <v>6291</v>
      </c>
      <c r="B2376" s="21" t="s">
        <v>6292</v>
      </c>
      <c r="C2376" s="21" t="s">
        <v>22655</v>
      </c>
      <c r="D2376" s="22">
        <v>46046</v>
      </c>
      <c r="E2376" s="23" t="s">
        <v>22656</v>
      </c>
      <c r="F2376" s="24" t="s">
        <v>22657</v>
      </c>
      <c r="G2376" s="25">
        <v>2</v>
      </c>
      <c r="H2376" s="26"/>
      <c r="I2376" s="27"/>
    </row>
    <row r="2377" spans="1:9" ht="15.75" thickBot="1" x14ac:dyDescent="0.3">
      <c r="A2377" s="43" t="s">
        <v>6293</v>
      </c>
      <c r="B2377" s="21" t="s">
        <v>6294</v>
      </c>
      <c r="C2377" s="21" t="s">
        <v>22655</v>
      </c>
      <c r="D2377" s="22">
        <v>46042</v>
      </c>
      <c r="E2377" s="23" t="s">
        <v>22656</v>
      </c>
      <c r="F2377" s="24" t="s">
        <v>22657</v>
      </c>
      <c r="G2377" s="25">
        <v>4</v>
      </c>
      <c r="H2377" s="29"/>
      <c r="I2377" s="30"/>
    </row>
    <row r="2378" spans="1:9" ht="15.75" thickBot="1" x14ac:dyDescent="0.3">
      <c r="A2378" s="43" t="s">
        <v>6295</v>
      </c>
      <c r="B2378" s="21" t="s">
        <v>6296</v>
      </c>
      <c r="C2378" s="21" t="s">
        <v>22655</v>
      </c>
      <c r="D2378" s="22">
        <v>46046</v>
      </c>
      <c r="E2378" s="23" t="s">
        <v>22656</v>
      </c>
      <c r="F2378" s="24" t="s">
        <v>22657</v>
      </c>
      <c r="G2378" s="25">
        <v>2</v>
      </c>
      <c r="H2378" s="26"/>
      <c r="I2378" s="27"/>
    </row>
    <row r="2379" spans="1:9" ht="15.75" thickBot="1" x14ac:dyDescent="0.3">
      <c r="A2379" s="43" t="s">
        <v>6297</v>
      </c>
      <c r="B2379" s="21" t="s">
        <v>6298</v>
      </c>
      <c r="C2379" s="21" t="s">
        <v>22655</v>
      </c>
      <c r="D2379" s="22">
        <v>46034</v>
      </c>
      <c r="E2379" s="23" t="s">
        <v>22656</v>
      </c>
      <c r="F2379" s="24" t="s">
        <v>22657</v>
      </c>
      <c r="G2379" s="25">
        <v>4</v>
      </c>
      <c r="H2379" s="32">
        <v>4</v>
      </c>
      <c r="I2379" s="33">
        <v>6</v>
      </c>
    </row>
    <row r="2380" spans="1:9" ht="15.75" thickBot="1" x14ac:dyDescent="0.3">
      <c r="A2380" s="43" t="s">
        <v>6299</v>
      </c>
      <c r="B2380" s="21" t="s">
        <v>6300</v>
      </c>
      <c r="C2380" s="21" t="s">
        <v>22655</v>
      </c>
      <c r="D2380" s="22">
        <v>46046</v>
      </c>
      <c r="E2380" s="23" t="s">
        <v>22658</v>
      </c>
      <c r="F2380" s="24" t="s">
        <v>22657</v>
      </c>
      <c r="G2380" s="25">
        <v>2</v>
      </c>
      <c r="H2380" s="26"/>
      <c r="I2380" s="27"/>
    </row>
    <row r="2381" spans="1:9" ht="15.75" thickBot="1" x14ac:dyDescent="0.3">
      <c r="A2381" s="43" t="s">
        <v>6301</v>
      </c>
      <c r="B2381" s="21" t="s">
        <v>6302</v>
      </c>
      <c r="C2381" s="21" t="s">
        <v>22655</v>
      </c>
      <c r="D2381" s="22">
        <v>46034</v>
      </c>
      <c r="E2381" s="23" t="s">
        <v>22656</v>
      </c>
      <c r="F2381" s="24" t="s">
        <v>22657</v>
      </c>
      <c r="G2381" s="25">
        <v>2</v>
      </c>
      <c r="H2381" s="29"/>
      <c r="I2381" s="30"/>
    </row>
    <row r="2382" spans="1:9" ht="15.75" thickBot="1" x14ac:dyDescent="0.3">
      <c r="A2382" s="43" t="s">
        <v>6303</v>
      </c>
      <c r="B2382" s="21" t="s">
        <v>6304</v>
      </c>
      <c r="C2382" s="21" t="s">
        <v>22655</v>
      </c>
      <c r="D2382" s="22">
        <v>46034</v>
      </c>
      <c r="E2382" s="23" t="s">
        <v>22656</v>
      </c>
      <c r="F2382" s="24" t="s">
        <v>22657</v>
      </c>
      <c r="G2382" s="25">
        <v>2</v>
      </c>
      <c r="H2382" s="26"/>
      <c r="I2382" s="27"/>
    </row>
    <row r="2383" spans="1:9" ht="15.75" thickBot="1" x14ac:dyDescent="0.3">
      <c r="A2383" s="43" t="s">
        <v>6305</v>
      </c>
      <c r="B2383" s="21" t="s">
        <v>6306</v>
      </c>
      <c r="C2383" s="21" t="s">
        <v>22655</v>
      </c>
      <c r="D2383" s="22">
        <v>46034</v>
      </c>
      <c r="E2383" s="23" t="s">
        <v>22656</v>
      </c>
      <c r="F2383" s="24" t="s">
        <v>22657</v>
      </c>
      <c r="G2383" s="25">
        <v>2</v>
      </c>
      <c r="H2383" s="29"/>
      <c r="I2383" s="30"/>
    </row>
    <row r="2384" spans="1:9" ht="15.75" thickBot="1" x14ac:dyDescent="0.3">
      <c r="A2384" s="43" t="s">
        <v>6307</v>
      </c>
      <c r="B2384" s="21" t="s">
        <v>6308</v>
      </c>
      <c r="C2384" s="21" t="s">
        <v>22655</v>
      </c>
      <c r="D2384" s="22">
        <v>46034</v>
      </c>
      <c r="E2384" s="23" t="s">
        <v>22656</v>
      </c>
      <c r="F2384" s="24" t="s">
        <v>22657</v>
      </c>
      <c r="G2384" s="25">
        <v>2</v>
      </c>
      <c r="H2384" s="26"/>
      <c r="I2384" s="27"/>
    </row>
    <row r="2385" spans="1:9" ht="15.75" thickBot="1" x14ac:dyDescent="0.3">
      <c r="A2385" s="43" t="s">
        <v>6309</v>
      </c>
      <c r="B2385" s="21" t="s">
        <v>6310</v>
      </c>
      <c r="C2385" s="21" t="s">
        <v>22655</v>
      </c>
      <c r="D2385" s="22">
        <v>46034</v>
      </c>
      <c r="E2385" s="23" t="s">
        <v>22656</v>
      </c>
      <c r="F2385" s="24" t="s">
        <v>22657</v>
      </c>
      <c r="G2385" s="25">
        <v>2</v>
      </c>
      <c r="H2385" s="29"/>
      <c r="I2385" s="30"/>
    </row>
    <row r="2386" spans="1:9" ht="15.75" thickBot="1" x14ac:dyDescent="0.3">
      <c r="A2386" s="43" t="s">
        <v>6311</v>
      </c>
      <c r="B2386" s="21" t="s">
        <v>6312</v>
      </c>
      <c r="C2386" s="21" t="s">
        <v>22667</v>
      </c>
      <c r="D2386" s="31" t="s">
        <v>22783</v>
      </c>
      <c r="E2386" s="23" t="s">
        <v>22656</v>
      </c>
      <c r="F2386" s="24" t="s">
        <v>22657</v>
      </c>
      <c r="G2386" s="25">
        <v>2</v>
      </c>
      <c r="H2386" s="26"/>
      <c r="I2386" s="27"/>
    </row>
    <row r="2387" spans="1:9" ht="15.75" thickBot="1" x14ac:dyDescent="0.3">
      <c r="A2387" s="43" t="s">
        <v>6313</v>
      </c>
      <c r="B2387" s="21" t="s">
        <v>6314</v>
      </c>
      <c r="C2387" s="21" t="s">
        <v>22655</v>
      </c>
      <c r="D2387" s="22">
        <v>46034</v>
      </c>
      <c r="E2387" s="23" t="s">
        <v>22656</v>
      </c>
      <c r="F2387" s="24" t="s">
        <v>22657</v>
      </c>
      <c r="G2387" s="25">
        <v>4</v>
      </c>
      <c r="H2387" s="29"/>
      <c r="I2387" s="30"/>
    </row>
    <row r="2388" spans="1:9" ht="15.75" thickBot="1" x14ac:dyDescent="0.3">
      <c r="A2388" s="43" t="s">
        <v>6315</v>
      </c>
      <c r="B2388" s="21" t="s">
        <v>6316</v>
      </c>
      <c r="C2388" s="21" t="s">
        <v>22655</v>
      </c>
      <c r="D2388" s="22">
        <v>46046</v>
      </c>
      <c r="E2388" s="23" t="s">
        <v>22656</v>
      </c>
      <c r="F2388" s="24" t="s">
        <v>22657</v>
      </c>
      <c r="G2388" s="25">
        <v>8</v>
      </c>
      <c r="H2388" s="26"/>
      <c r="I2388" s="27"/>
    </row>
    <row r="2389" spans="1:9" ht="15.75" thickBot="1" x14ac:dyDescent="0.3">
      <c r="A2389" s="43" t="s">
        <v>6317</v>
      </c>
      <c r="B2389" s="21" t="s">
        <v>6318</v>
      </c>
      <c r="C2389" s="21" t="s">
        <v>22655</v>
      </c>
      <c r="D2389" s="22">
        <v>46034</v>
      </c>
      <c r="E2389" s="23" t="s">
        <v>22656</v>
      </c>
      <c r="F2389" s="24" t="s">
        <v>22657</v>
      </c>
      <c r="G2389" s="25">
        <v>4</v>
      </c>
      <c r="H2389" s="29"/>
      <c r="I2389" s="30"/>
    </row>
    <row r="2390" spans="1:9" ht="15.75" thickBot="1" x14ac:dyDescent="0.3">
      <c r="A2390" s="43" t="s">
        <v>6319</v>
      </c>
      <c r="B2390" s="21" t="s">
        <v>6320</v>
      </c>
      <c r="C2390" s="21" t="s">
        <v>22655</v>
      </c>
      <c r="D2390" s="22">
        <v>46034</v>
      </c>
      <c r="E2390" s="23" t="s">
        <v>22656</v>
      </c>
      <c r="F2390" s="24" t="s">
        <v>22657</v>
      </c>
      <c r="G2390" s="25">
        <v>4</v>
      </c>
      <c r="H2390" s="26"/>
      <c r="I2390" s="27"/>
    </row>
    <row r="2391" spans="1:9" ht="15.75" thickBot="1" x14ac:dyDescent="0.3">
      <c r="A2391" s="43" t="s">
        <v>6321</v>
      </c>
      <c r="B2391" s="21" t="s">
        <v>6322</v>
      </c>
      <c r="C2391" s="21" t="s">
        <v>22655</v>
      </c>
      <c r="D2391" s="22">
        <v>46034</v>
      </c>
      <c r="E2391" s="23" t="s">
        <v>22656</v>
      </c>
      <c r="F2391" s="24" t="s">
        <v>22657</v>
      </c>
      <c r="G2391" s="25">
        <v>2</v>
      </c>
      <c r="H2391" s="29"/>
      <c r="I2391" s="30"/>
    </row>
    <row r="2392" spans="1:9" ht="15.75" thickBot="1" x14ac:dyDescent="0.3">
      <c r="A2392" s="43" t="s">
        <v>6323</v>
      </c>
      <c r="B2392" s="21" t="s">
        <v>6324</v>
      </c>
      <c r="C2392" s="21" t="s">
        <v>22655</v>
      </c>
      <c r="D2392" s="31" t="s">
        <v>22666</v>
      </c>
      <c r="E2392" s="23" t="s">
        <v>22656</v>
      </c>
      <c r="F2392" s="24" t="s">
        <v>22657</v>
      </c>
      <c r="G2392" s="25">
        <v>7</v>
      </c>
      <c r="H2392" s="26"/>
      <c r="I2392" s="27"/>
    </row>
    <row r="2393" spans="1:9" ht="15.75" thickBot="1" x14ac:dyDescent="0.3">
      <c r="A2393" s="43" t="s">
        <v>6325</v>
      </c>
      <c r="B2393" s="21" t="s">
        <v>6326</v>
      </c>
      <c r="C2393" s="21" t="s">
        <v>22784</v>
      </c>
      <c r="D2393" s="31" t="s">
        <v>22660</v>
      </c>
      <c r="E2393" s="23" t="s">
        <v>22656</v>
      </c>
      <c r="F2393" s="24" t="s">
        <v>22657</v>
      </c>
      <c r="G2393" s="25">
        <v>8</v>
      </c>
      <c r="H2393" s="29"/>
      <c r="I2393" s="30"/>
    </row>
    <row r="2394" spans="1:9" ht="15.75" thickBot="1" x14ac:dyDescent="0.3">
      <c r="A2394" s="43" t="s">
        <v>6327</v>
      </c>
      <c r="B2394" s="21" t="s">
        <v>6328</v>
      </c>
      <c r="C2394" s="21" t="s">
        <v>22784</v>
      </c>
      <c r="D2394" s="22">
        <v>46047</v>
      </c>
      <c r="E2394" s="23" t="s">
        <v>22656</v>
      </c>
      <c r="F2394" s="24" t="s">
        <v>22657</v>
      </c>
      <c r="G2394" s="25">
        <v>4</v>
      </c>
      <c r="H2394" s="26"/>
      <c r="I2394" s="27"/>
    </row>
    <row r="2395" spans="1:9" ht="15.75" thickBot="1" x14ac:dyDescent="0.3">
      <c r="A2395" s="43" t="s">
        <v>6329</v>
      </c>
      <c r="B2395" s="21" t="s">
        <v>6330</v>
      </c>
      <c r="C2395" s="21" t="s">
        <v>22655</v>
      </c>
      <c r="D2395" s="31" t="s">
        <v>22669</v>
      </c>
      <c r="E2395" s="23" t="s">
        <v>22656</v>
      </c>
      <c r="F2395" s="24" t="s">
        <v>22657</v>
      </c>
      <c r="G2395" s="25">
        <v>4</v>
      </c>
      <c r="H2395" s="29"/>
      <c r="I2395" s="30"/>
    </row>
    <row r="2396" spans="1:9" ht="15.75" thickBot="1" x14ac:dyDescent="0.3">
      <c r="A2396" s="43" t="s">
        <v>6331</v>
      </c>
      <c r="B2396" s="21" t="s">
        <v>6332</v>
      </c>
      <c r="C2396" s="21" t="s">
        <v>22655</v>
      </c>
      <c r="D2396" s="31" t="s">
        <v>22669</v>
      </c>
      <c r="E2396" s="23" t="s">
        <v>22656</v>
      </c>
      <c r="F2396" s="24" t="s">
        <v>22657</v>
      </c>
      <c r="G2396" s="25">
        <v>4</v>
      </c>
      <c r="H2396" s="26"/>
      <c r="I2396" s="27"/>
    </row>
    <row r="2397" spans="1:9" ht="15.75" thickBot="1" x14ac:dyDescent="0.3">
      <c r="A2397" s="43" t="s">
        <v>6333</v>
      </c>
      <c r="B2397" s="21" t="s">
        <v>6334</v>
      </c>
      <c r="C2397" s="21" t="s">
        <v>22655</v>
      </c>
      <c r="D2397" s="22">
        <v>46047</v>
      </c>
      <c r="E2397" s="23" t="s">
        <v>22658</v>
      </c>
      <c r="F2397" s="24" t="s">
        <v>22657</v>
      </c>
      <c r="G2397" s="25">
        <v>9</v>
      </c>
      <c r="H2397" s="29"/>
      <c r="I2397" s="30"/>
    </row>
    <row r="2398" spans="1:9" ht="15.75" thickBot="1" x14ac:dyDescent="0.3">
      <c r="A2398" s="43" t="s">
        <v>6335</v>
      </c>
      <c r="B2398" s="21" t="s">
        <v>6336</v>
      </c>
      <c r="C2398" s="21" t="s">
        <v>22663</v>
      </c>
      <c r="D2398" s="31">
        <v>1</v>
      </c>
      <c r="E2398" s="23" t="s">
        <v>22658</v>
      </c>
      <c r="F2398" s="24" t="s">
        <v>22657</v>
      </c>
      <c r="G2398" s="25">
        <v>4</v>
      </c>
      <c r="H2398" s="26"/>
      <c r="I2398" s="27"/>
    </row>
    <row r="2399" spans="1:9" ht="15.75" thickBot="1" x14ac:dyDescent="0.3">
      <c r="A2399" s="43" t="s">
        <v>6337</v>
      </c>
      <c r="B2399" s="21" t="s">
        <v>6338</v>
      </c>
      <c r="C2399" s="21" t="s">
        <v>22655</v>
      </c>
      <c r="D2399" s="22">
        <v>46047</v>
      </c>
      <c r="E2399" s="23" t="s">
        <v>22656</v>
      </c>
      <c r="F2399" s="24" t="s">
        <v>22657</v>
      </c>
      <c r="G2399" s="25">
        <v>4</v>
      </c>
      <c r="H2399" s="29"/>
      <c r="I2399" s="30"/>
    </row>
    <row r="2400" spans="1:9" ht="15.75" thickBot="1" x14ac:dyDescent="0.3">
      <c r="A2400" s="43" t="s">
        <v>6339</v>
      </c>
      <c r="B2400" s="21" t="s">
        <v>6340</v>
      </c>
      <c r="C2400" s="21" t="s">
        <v>22655</v>
      </c>
      <c r="D2400" s="22">
        <v>46047</v>
      </c>
      <c r="E2400" s="23" t="s">
        <v>22656</v>
      </c>
      <c r="F2400" s="24" t="s">
        <v>22657</v>
      </c>
      <c r="G2400" s="25">
        <v>4</v>
      </c>
      <c r="H2400" s="26"/>
      <c r="I2400" s="27"/>
    </row>
    <row r="2401" spans="1:9" ht="15.75" thickBot="1" x14ac:dyDescent="0.3">
      <c r="A2401" s="43" t="s">
        <v>6341</v>
      </c>
      <c r="B2401" s="21" t="s">
        <v>6342</v>
      </c>
      <c r="C2401" s="21" t="s">
        <v>22682</v>
      </c>
      <c r="D2401" s="22">
        <v>46034</v>
      </c>
      <c r="E2401" s="23" t="s">
        <v>22658</v>
      </c>
      <c r="F2401" s="24" t="s">
        <v>22657</v>
      </c>
      <c r="G2401" s="25">
        <v>4</v>
      </c>
      <c r="H2401" s="29"/>
      <c r="I2401" s="30"/>
    </row>
    <row r="2402" spans="1:9" ht="15.75" thickBot="1" x14ac:dyDescent="0.3">
      <c r="A2402" s="43" t="s">
        <v>6343</v>
      </c>
      <c r="B2402" s="21" t="s">
        <v>6344</v>
      </c>
      <c r="C2402" s="21" t="s">
        <v>22655</v>
      </c>
      <c r="D2402" s="22">
        <v>46042</v>
      </c>
      <c r="E2402" s="23" t="s">
        <v>22658</v>
      </c>
      <c r="F2402" s="24" t="s">
        <v>22657</v>
      </c>
      <c r="G2402" s="25">
        <v>7</v>
      </c>
      <c r="H2402" s="26"/>
      <c r="I2402" s="27"/>
    </row>
    <row r="2403" spans="1:9" ht="15.75" thickBot="1" x14ac:dyDescent="0.3">
      <c r="A2403" s="43" t="s">
        <v>6345</v>
      </c>
      <c r="B2403" s="21" t="s">
        <v>6346</v>
      </c>
      <c r="C2403" s="21" t="s">
        <v>22663</v>
      </c>
      <c r="D2403" s="31">
        <v>1</v>
      </c>
      <c r="E2403" s="23" t="s">
        <v>22658</v>
      </c>
      <c r="F2403" s="24" t="s">
        <v>22657</v>
      </c>
      <c r="G2403" s="25">
        <v>2</v>
      </c>
      <c r="H2403" s="29"/>
      <c r="I2403" s="30"/>
    </row>
    <row r="2404" spans="1:9" ht="15.75" thickBot="1" x14ac:dyDescent="0.3">
      <c r="A2404" s="43" t="s">
        <v>6347</v>
      </c>
      <c r="B2404" s="21" t="s">
        <v>6348</v>
      </c>
      <c r="C2404" s="21" t="s">
        <v>22655</v>
      </c>
      <c r="D2404" s="22">
        <v>46042</v>
      </c>
      <c r="E2404" s="23" t="s">
        <v>22658</v>
      </c>
      <c r="F2404" s="24" t="s">
        <v>22657</v>
      </c>
      <c r="G2404" s="25">
        <v>7</v>
      </c>
      <c r="H2404" s="26"/>
      <c r="I2404" s="27"/>
    </row>
    <row r="2405" spans="1:9" ht="15.75" thickBot="1" x14ac:dyDescent="0.3">
      <c r="A2405" s="43" t="s">
        <v>6349</v>
      </c>
      <c r="B2405" s="21" t="s">
        <v>6350</v>
      </c>
      <c r="C2405" s="21" t="s">
        <v>22663</v>
      </c>
      <c r="D2405" s="31">
        <v>1</v>
      </c>
      <c r="E2405" s="23" t="s">
        <v>22658</v>
      </c>
      <c r="F2405" s="24" t="s">
        <v>22657</v>
      </c>
      <c r="G2405" s="25">
        <v>2</v>
      </c>
      <c r="H2405" s="29"/>
      <c r="I2405" s="30"/>
    </row>
    <row r="2406" spans="1:9" ht="15.75" thickBot="1" x14ac:dyDescent="0.3">
      <c r="A2406" s="43" t="s">
        <v>6351</v>
      </c>
      <c r="B2406" s="21" t="s">
        <v>6352</v>
      </c>
      <c r="C2406" s="21" t="s">
        <v>22655</v>
      </c>
      <c r="D2406" s="22">
        <v>46042</v>
      </c>
      <c r="E2406" s="23" t="s">
        <v>22658</v>
      </c>
      <c r="F2406" s="24" t="s">
        <v>22657</v>
      </c>
      <c r="G2406" s="25">
        <v>7</v>
      </c>
      <c r="H2406" s="26"/>
      <c r="I2406" s="27"/>
    </row>
    <row r="2407" spans="1:9" ht="15.75" thickBot="1" x14ac:dyDescent="0.3">
      <c r="A2407" s="43" t="s">
        <v>6353</v>
      </c>
      <c r="B2407" s="21" t="s">
        <v>6354</v>
      </c>
      <c r="C2407" s="21" t="s">
        <v>22655</v>
      </c>
      <c r="D2407" s="22">
        <v>46042</v>
      </c>
      <c r="E2407" s="23" t="s">
        <v>22658</v>
      </c>
      <c r="F2407" s="24" t="s">
        <v>22657</v>
      </c>
      <c r="G2407" s="25">
        <v>7</v>
      </c>
      <c r="H2407" s="29"/>
      <c r="I2407" s="30"/>
    </row>
    <row r="2408" spans="1:9" ht="15.75" thickBot="1" x14ac:dyDescent="0.3">
      <c r="A2408" s="43" t="s">
        <v>6355</v>
      </c>
      <c r="B2408" s="21" t="s">
        <v>6356</v>
      </c>
      <c r="C2408" s="21" t="s">
        <v>22663</v>
      </c>
      <c r="D2408" s="31">
        <v>1</v>
      </c>
      <c r="E2408" s="23" t="s">
        <v>22658</v>
      </c>
      <c r="F2408" s="24" t="s">
        <v>22657</v>
      </c>
      <c r="G2408" s="25">
        <v>2</v>
      </c>
      <c r="H2408" s="26"/>
      <c r="I2408" s="27"/>
    </row>
    <row r="2409" spans="1:9" ht="15.75" thickBot="1" x14ac:dyDescent="0.3">
      <c r="A2409" s="43" t="s">
        <v>6357</v>
      </c>
      <c r="B2409" s="21" t="s">
        <v>6358</v>
      </c>
      <c r="C2409" s="21" t="s">
        <v>22655</v>
      </c>
      <c r="D2409" s="22">
        <v>46042</v>
      </c>
      <c r="E2409" s="23" t="s">
        <v>22656</v>
      </c>
      <c r="F2409" s="24" t="s">
        <v>22657</v>
      </c>
      <c r="G2409" s="25">
        <v>7</v>
      </c>
      <c r="H2409" s="29"/>
      <c r="I2409" s="30"/>
    </row>
    <row r="2410" spans="1:9" ht="15.75" thickBot="1" x14ac:dyDescent="0.3">
      <c r="A2410" s="43" t="s">
        <v>6359</v>
      </c>
      <c r="B2410" s="21" t="s">
        <v>6360</v>
      </c>
      <c r="C2410" s="21" t="s">
        <v>22655</v>
      </c>
      <c r="D2410" s="22">
        <v>46042</v>
      </c>
      <c r="E2410" s="23" t="s">
        <v>22658</v>
      </c>
      <c r="F2410" s="24" t="s">
        <v>22657</v>
      </c>
      <c r="G2410" s="25">
        <v>7</v>
      </c>
      <c r="H2410" s="26"/>
      <c r="I2410" s="27"/>
    </row>
    <row r="2411" spans="1:9" ht="15.75" thickBot="1" x14ac:dyDescent="0.3">
      <c r="A2411" s="43" t="s">
        <v>6361</v>
      </c>
      <c r="B2411" s="21" t="s">
        <v>6362</v>
      </c>
      <c r="C2411" s="21" t="s">
        <v>22655</v>
      </c>
      <c r="D2411" s="22">
        <v>46042</v>
      </c>
      <c r="E2411" s="23" t="s">
        <v>22658</v>
      </c>
      <c r="F2411" s="24" t="s">
        <v>22657</v>
      </c>
      <c r="G2411" s="25">
        <v>7</v>
      </c>
      <c r="H2411" s="29"/>
      <c r="I2411" s="30"/>
    </row>
    <row r="2412" spans="1:9" ht="15.75" thickBot="1" x14ac:dyDescent="0.3">
      <c r="A2412" s="43" t="s">
        <v>6363</v>
      </c>
      <c r="B2412" s="21" t="s">
        <v>6364</v>
      </c>
      <c r="C2412" s="21" t="s">
        <v>22655</v>
      </c>
      <c r="D2412" s="31" t="s">
        <v>22688</v>
      </c>
      <c r="E2412" s="23" t="s">
        <v>22658</v>
      </c>
      <c r="F2412" s="24" t="s">
        <v>22657</v>
      </c>
      <c r="G2412" s="25">
        <v>2</v>
      </c>
      <c r="H2412" s="26"/>
      <c r="I2412" s="27"/>
    </row>
    <row r="2413" spans="1:9" ht="15.75" thickBot="1" x14ac:dyDescent="0.3">
      <c r="A2413" s="43" t="s">
        <v>6365</v>
      </c>
      <c r="B2413" s="21" t="s">
        <v>6366</v>
      </c>
      <c r="C2413" s="21" t="s">
        <v>22655</v>
      </c>
      <c r="D2413" s="22">
        <v>46042</v>
      </c>
      <c r="E2413" s="23" t="s">
        <v>22658</v>
      </c>
      <c r="F2413" s="24" t="s">
        <v>22657</v>
      </c>
      <c r="G2413" s="25">
        <v>7</v>
      </c>
      <c r="H2413" s="29"/>
      <c r="I2413" s="30"/>
    </row>
    <row r="2414" spans="1:9" ht="15.75" thickBot="1" x14ac:dyDescent="0.3">
      <c r="A2414" s="43" t="s">
        <v>6367</v>
      </c>
      <c r="B2414" s="21" t="s">
        <v>6368</v>
      </c>
      <c r="C2414" s="21" t="s">
        <v>22663</v>
      </c>
      <c r="D2414" s="31">
        <v>1</v>
      </c>
      <c r="E2414" s="23" t="s">
        <v>22658</v>
      </c>
      <c r="F2414" s="24" t="s">
        <v>22657</v>
      </c>
      <c r="G2414" s="25">
        <v>2</v>
      </c>
      <c r="H2414" s="26"/>
      <c r="I2414" s="27"/>
    </row>
    <row r="2415" spans="1:9" ht="15.75" thickBot="1" x14ac:dyDescent="0.3">
      <c r="A2415" s="43" t="s">
        <v>6369</v>
      </c>
      <c r="B2415" s="21" t="s">
        <v>6370</v>
      </c>
      <c r="C2415" s="21" t="s">
        <v>22655</v>
      </c>
      <c r="D2415" s="31" t="s">
        <v>22666</v>
      </c>
      <c r="E2415" s="23" t="s">
        <v>22661</v>
      </c>
      <c r="F2415" s="24" t="s">
        <v>22657</v>
      </c>
      <c r="G2415" s="25">
        <v>24</v>
      </c>
      <c r="H2415" s="32">
        <v>24</v>
      </c>
      <c r="I2415" s="33">
        <v>60</v>
      </c>
    </row>
    <row r="2416" spans="1:9" ht="15.75" thickBot="1" x14ac:dyDescent="0.3">
      <c r="A2416" s="43" t="s">
        <v>6371</v>
      </c>
      <c r="B2416" s="21" t="s">
        <v>6372</v>
      </c>
      <c r="C2416" s="21" t="s">
        <v>22655</v>
      </c>
      <c r="D2416" s="31" t="s">
        <v>22688</v>
      </c>
      <c r="E2416" s="23" t="s">
        <v>22656</v>
      </c>
      <c r="F2416" s="24" t="s">
        <v>22657</v>
      </c>
      <c r="G2416" s="25">
        <v>7</v>
      </c>
      <c r="H2416" s="26"/>
      <c r="I2416" s="27"/>
    </row>
    <row r="2417" spans="1:9" ht="15.75" thickBot="1" x14ac:dyDescent="0.3">
      <c r="A2417" s="43" t="s">
        <v>6373</v>
      </c>
      <c r="B2417" s="21" t="s">
        <v>6374</v>
      </c>
      <c r="C2417" s="21" t="s">
        <v>22655</v>
      </c>
      <c r="D2417" s="31" t="s">
        <v>22688</v>
      </c>
      <c r="E2417" s="23" t="s">
        <v>22656</v>
      </c>
      <c r="F2417" s="24" t="s">
        <v>22657</v>
      </c>
      <c r="G2417" s="25">
        <v>7</v>
      </c>
      <c r="H2417" s="29"/>
      <c r="I2417" s="30"/>
    </row>
    <row r="2418" spans="1:9" ht="15.75" thickBot="1" x14ac:dyDescent="0.3">
      <c r="A2418" s="43" t="s">
        <v>6375</v>
      </c>
      <c r="B2418" s="21" t="s">
        <v>6376</v>
      </c>
      <c r="C2418" s="21" t="s">
        <v>22655</v>
      </c>
      <c r="D2418" s="31" t="s">
        <v>22688</v>
      </c>
      <c r="E2418" s="23" t="s">
        <v>22656</v>
      </c>
      <c r="F2418" s="24" t="s">
        <v>22657</v>
      </c>
      <c r="G2418" s="25">
        <v>7</v>
      </c>
      <c r="H2418" s="26"/>
      <c r="I2418" s="27"/>
    </row>
    <row r="2419" spans="1:9" ht="15.75" thickBot="1" x14ac:dyDescent="0.3">
      <c r="A2419" s="43" t="s">
        <v>6377</v>
      </c>
      <c r="B2419" s="21" t="s">
        <v>6378</v>
      </c>
      <c r="C2419" s="21" t="s">
        <v>22655</v>
      </c>
      <c r="D2419" s="31" t="s">
        <v>22673</v>
      </c>
      <c r="E2419" s="23" t="s">
        <v>22656</v>
      </c>
      <c r="F2419" s="24" t="s">
        <v>22657</v>
      </c>
      <c r="G2419" s="25">
        <v>12</v>
      </c>
      <c r="H2419" s="32">
        <v>12</v>
      </c>
      <c r="I2419" s="33">
        <v>20</v>
      </c>
    </row>
    <row r="2420" spans="1:9" ht="15.75" thickBot="1" x14ac:dyDescent="0.3">
      <c r="A2420" s="43" t="s">
        <v>6379</v>
      </c>
      <c r="B2420" s="21" t="s">
        <v>6380</v>
      </c>
      <c r="C2420" s="21" t="s">
        <v>22663</v>
      </c>
      <c r="D2420" s="31">
        <v>1</v>
      </c>
      <c r="E2420" s="23" t="s">
        <v>22661</v>
      </c>
      <c r="F2420" s="24" t="s">
        <v>22657</v>
      </c>
      <c r="G2420" s="25">
        <v>20</v>
      </c>
      <c r="H2420" s="34">
        <v>20</v>
      </c>
      <c r="I2420" s="35">
        <v>30</v>
      </c>
    </row>
    <row r="2421" spans="1:9" ht="15.75" thickBot="1" x14ac:dyDescent="0.3">
      <c r="A2421" s="43" t="s">
        <v>79</v>
      </c>
      <c r="B2421" s="21" t="s">
        <v>80</v>
      </c>
      <c r="C2421" s="21" t="s">
        <v>22655</v>
      </c>
      <c r="D2421" s="31" t="s">
        <v>22673</v>
      </c>
      <c r="E2421" s="23" t="s">
        <v>22656</v>
      </c>
      <c r="F2421" s="24" t="s">
        <v>22657</v>
      </c>
      <c r="G2421" s="25">
        <v>20</v>
      </c>
      <c r="H2421" s="32">
        <v>20</v>
      </c>
      <c r="I2421" s="33">
        <v>24</v>
      </c>
    </row>
    <row r="2422" spans="1:9" ht="15.75" thickBot="1" x14ac:dyDescent="0.3">
      <c r="A2422" s="43" t="s">
        <v>6381</v>
      </c>
      <c r="B2422" s="21" t="s">
        <v>6382</v>
      </c>
      <c r="C2422" s="21" t="s">
        <v>22663</v>
      </c>
      <c r="D2422" s="31">
        <v>1</v>
      </c>
      <c r="E2422" s="23" t="s">
        <v>22661</v>
      </c>
      <c r="F2422" s="24" t="s">
        <v>22657</v>
      </c>
      <c r="G2422" s="25">
        <v>20</v>
      </c>
      <c r="H2422" s="34">
        <v>20</v>
      </c>
      <c r="I2422" s="35">
        <v>40</v>
      </c>
    </row>
    <row r="2423" spans="1:9" ht="15.75" thickBot="1" x14ac:dyDescent="0.3">
      <c r="A2423" s="43" t="s">
        <v>6383</v>
      </c>
      <c r="B2423" s="21" t="s">
        <v>6384</v>
      </c>
      <c r="C2423" s="21" t="s">
        <v>22655</v>
      </c>
      <c r="D2423" s="31" t="s">
        <v>22673</v>
      </c>
      <c r="E2423" s="23" t="s">
        <v>22656</v>
      </c>
      <c r="F2423" s="24" t="s">
        <v>22657</v>
      </c>
      <c r="G2423" s="25">
        <v>6</v>
      </c>
      <c r="H2423" s="32">
        <v>6</v>
      </c>
      <c r="I2423" s="33">
        <v>10</v>
      </c>
    </row>
    <row r="2424" spans="1:9" ht="15.75" thickBot="1" x14ac:dyDescent="0.3">
      <c r="A2424" s="43" t="s">
        <v>6385</v>
      </c>
      <c r="B2424" s="21" t="s">
        <v>6386</v>
      </c>
      <c r="C2424" s="21" t="s">
        <v>22663</v>
      </c>
      <c r="D2424" s="31">
        <v>1</v>
      </c>
      <c r="E2424" s="23" t="s">
        <v>22656</v>
      </c>
      <c r="F2424" s="24" t="s">
        <v>22657</v>
      </c>
      <c r="G2424" s="25">
        <v>4</v>
      </c>
      <c r="H2424" s="26"/>
      <c r="I2424" s="27"/>
    </row>
    <row r="2425" spans="1:9" ht="15.75" thickBot="1" x14ac:dyDescent="0.3">
      <c r="A2425" s="43" t="s">
        <v>6387</v>
      </c>
      <c r="B2425" s="21" t="s">
        <v>6388</v>
      </c>
      <c r="C2425" s="21" t="s">
        <v>22655</v>
      </c>
      <c r="D2425" s="31" t="s">
        <v>22673</v>
      </c>
      <c r="E2425" s="23" t="s">
        <v>22656</v>
      </c>
      <c r="F2425" s="24" t="s">
        <v>22657</v>
      </c>
      <c r="G2425" s="25">
        <v>9</v>
      </c>
      <c r="H2425" s="29"/>
      <c r="I2425" s="30"/>
    </row>
    <row r="2426" spans="1:9" ht="15.75" thickBot="1" x14ac:dyDescent="0.3">
      <c r="A2426" s="43" t="s">
        <v>6389</v>
      </c>
      <c r="B2426" s="21" t="s">
        <v>6390</v>
      </c>
      <c r="C2426" s="21" t="s">
        <v>22663</v>
      </c>
      <c r="D2426" s="31">
        <v>1</v>
      </c>
      <c r="E2426" s="23" t="s">
        <v>22661</v>
      </c>
      <c r="F2426" s="24" t="s">
        <v>22657</v>
      </c>
      <c r="G2426" s="25">
        <v>10</v>
      </c>
      <c r="H2426" s="34">
        <v>10</v>
      </c>
      <c r="I2426" s="35">
        <v>15</v>
      </c>
    </row>
    <row r="2427" spans="1:9" ht="15.75" thickBot="1" x14ac:dyDescent="0.3">
      <c r="A2427" s="43" t="s">
        <v>1675</v>
      </c>
      <c r="B2427" s="21" t="s">
        <v>6391</v>
      </c>
      <c r="C2427" s="21" t="s">
        <v>22655</v>
      </c>
      <c r="D2427" s="31" t="s">
        <v>22673</v>
      </c>
      <c r="E2427" s="23" t="s">
        <v>22661</v>
      </c>
      <c r="F2427" s="24" t="s">
        <v>22657</v>
      </c>
      <c r="G2427" s="25">
        <v>10</v>
      </c>
      <c r="H2427" s="32">
        <v>10</v>
      </c>
      <c r="I2427" s="33">
        <v>20</v>
      </c>
    </row>
    <row r="2428" spans="1:9" ht="15.75" thickBot="1" x14ac:dyDescent="0.3">
      <c r="A2428" s="43" t="s">
        <v>6392</v>
      </c>
      <c r="B2428" s="21" t="s">
        <v>6393</v>
      </c>
      <c r="C2428" s="21" t="s">
        <v>22663</v>
      </c>
      <c r="D2428" s="31">
        <v>1</v>
      </c>
      <c r="E2428" s="23" t="s">
        <v>22656</v>
      </c>
      <c r="F2428" s="24" t="s">
        <v>22657</v>
      </c>
      <c r="G2428" s="25">
        <v>12</v>
      </c>
      <c r="H2428" s="34">
        <v>12</v>
      </c>
      <c r="I2428" s="35">
        <v>24</v>
      </c>
    </row>
    <row r="2429" spans="1:9" ht="15.75" thickBot="1" x14ac:dyDescent="0.3">
      <c r="A2429" s="43" t="s">
        <v>6394</v>
      </c>
      <c r="B2429" s="21" t="s">
        <v>6395</v>
      </c>
      <c r="C2429" s="21" t="s">
        <v>22655</v>
      </c>
      <c r="D2429" s="31" t="s">
        <v>22673</v>
      </c>
      <c r="E2429" s="23" t="s">
        <v>22656</v>
      </c>
      <c r="F2429" s="24" t="s">
        <v>22657</v>
      </c>
      <c r="G2429" s="25">
        <v>9</v>
      </c>
      <c r="H2429" s="29"/>
      <c r="I2429" s="30"/>
    </row>
    <row r="2430" spans="1:9" ht="15.75" thickBot="1" x14ac:dyDescent="0.3">
      <c r="A2430" s="43" t="s">
        <v>6396</v>
      </c>
      <c r="B2430" s="21" t="s">
        <v>6397</v>
      </c>
      <c r="C2430" s="21" t="s">
        <v>22663</v>
      </c>
      <c r="D2430" s="31">
        <v>1</v>
      </c>
      <c r="E2430" s="23" t="s">
        <v>22656</v>
      </c>
      <c r="F2430" s="24" t="s">
        <v>22657</v>
      </c>
      <c r="G2430" s="25">
        <v>4</v>
      </c>
      <c r="H2430" s="26"/>
      <c r="I2430" s="27"/>
    </row>
    <row r="2431" spans="1:9" ht="15.75" thickBot="1" x14ac:dyDescent="0.3">
      <c r="A2431" s="43" t="s">
        <v>6398</v>
      </c>
      <c r="B2431" s="21" t="s">
        <v>6399</v>
      </c>
      <c r="C2431" s="21" t="s">
        <v>22655</v>
      </c>
      <c r="D2431" s="31" t="s">
        <v>22673</v>
      </c>
      <c r="E2431" s="23" t="s">
        <v>22656</v>
      </c>
      <c r="F2431" s="24" t="s">
        <v>22657</v>
      </c>
      <c r="G2431" s="25">
        <v>9</v>
      </c>
      <c r="H2431" s="29"/>
      <c r="I2431" s="30"/>
    </row>
    <row r="2432" spans="1:9" ht="15.75" thickBot="1" x14ac:dyDescent="0.3">
      <c r="A2432" s="43" t="s">
        <v>6400</v>
      </c>
      <c r="B2432" s="21" t="s">
        <v>6401</v>
      </c>
      <c r="C2432" s="21" t="s">
        <v>22663</v>
      </c>
      <c r="D2432" s="31">
        <v>1</v>
      </c>
      <c r="E2432" s="23" t="s">
        <v>22656</v>
      </c>
      <c r="F2432" s="24" t="s">
        <v>22657</v>
      </c>
      <c r="G2432" s="25">
        <v>4</v>
      </c>
      <c r="H2432" s="26"/>
      <c r="I2432" s="27"/>
    </row>
    <row r="2433" spans="1:9" ht="15.75" thickBot="1" x14ac:dyDescent="0.3">
      <c r="A2433" s="43" t="s">
        <v>6402</v>
      </c>
      <c r="B2433" s="21" t="s">
        <v>6403</v>
      </c>
      <c r="C2433" s="21" t="s">
        <v>22655</v>
      </c>
      <c r="D2433" s="31" t="s">
        <v>22673</v>
      </c>
      <c r="E2433" s="23" t="s">
        <v>22658</v>
      </c>
      <c r="F2433" s="24" t="s">
        <v>22657</v>
      </c>
      <c r="G2433" s="25">
        <v>9</v>
      </c>
      <c r="H2433" s="29"/>
      <c r="I2433" s="30"/>
    </row>
    <row r="2434" spans="1:9" ht="15.75" thickBot="1" x14ac:dyDescent="0.3">
      <c r="A2434" s="43" t="s">
        <v>6404</v>
      </c>
      <c r="B2434" s="21" t="s">
        <v>6405</v>
      </c>
      <c r="C2434" s="21" t="s">
        <v>22663</v>
      </c>
      <c r="D2434" s="31">
        <v>1</v>
      </c>
      <c r="E2434" s="23" t="s">
        <v>22658</v>
      </c>
      <c r="F2434" s="24" t="s">
        <v>22657</v>
      </c>
      <c r="G2434" s="25">
        <v>4</v>
      </c>
      <c r="H2434" s="26"/>
      <c r="I2434" s="27"/>
    </row>
    <row r="2435" spans="1:9" ht="15.75" thickBot="1" x14ac:dyDescent="0.3">
      <c r="A2435" s="43" t="s">
        <v>6406</v>
      </c>
      <c r="B2435" s="21" t="s">
        <v>6407</v>
      </c>
      <c r="C2435" s="21" t="s">
        <v>22655</v>
      </c>
      <c r="D2435" s="31" t="s">
        <v>22688</v>
      </c>
      <c r="E2435" s="23" t="s">
        <v>22656</v>
      </c>
      <c r="F2435" s="24" t="s">
        <v>22657</v>
      </c>
      <c r="G2435" s="25">
        <v>6</v>
      </c>
      <c r="H2435" s="32">
        <v>6</v>
      </c>
      <c r="I2435" s="33">
        <v>12</v>
      </c>
    </row>
    <row r="2436" spans="1:9" ht="15.75" thickBot="1" x14ac:dyDescent="0.3">
      <c r="A2436" s="43" t="s">
        <v>6408</v>
      </c>
      <c r="B2436" s="21" t="s">
        <v>6409</v>
      </c>
      <c r="C2436" s="21" t="s">
        <v>22655</v>
      </c>
      <c r="D2436" s="22">
        <v>46047</v>
      </c>
      <c r="E2436" s="23" t="s">
        <v>22658</v>
      </c>
      <c r="F2436" s="24" t="s">
        <v>22657</v>
      </c>
      <c r="G2436" s="25">
        <v>4</v>
      </c>
      <c r="H2436" s="26"/>
      <c r="I2436" s="27"/>
    </row>
    <row r="2437" spans="1:9" ht="15.75" thickBot="1" x14ac:dyDescent="0.3">
      <c r="A2437" s="43" t="s">
        <v>6410</v>
      </c>
      <c r="B2437" s="21" t="s">
        <v>6411</v>
      </c>
      <c r="C2437" s="21" t="s">
        <v>22655</v>
      </c>
      <c r="D2437" s="22">
        <v>46047</v>
      </c>
      <c r="E2437" s="23" t="s">
        <v>22656</v>
      </c>
      <c r="F2437" s="24" t="s">
        <v>22657</v>
      </c>
      <c r="G2437" s="25">
        <v>4</v>
      </c>
      <c r="H2437" s="29"/>
      <c r="I2437" s="30"/>
    </row>
    <row r="2438" spans="1:9" ht="15.75" thickBot="1" x14ac:dyDescent="0.3">
      <c r="A2438" s="43" t="s">
        <v>6412</v>
      </c>
      <c r="B2438" s="21" t="s">
        <v>6413</v>
      </c>
      <c r="C2438" s="21" t="s">
        <v>22655</v>
      </c>
      <c r="D2438" s="22">
        <v>46047</v>
      </c>
      <c r="E2438" s="23" t="s">
        <v>22656</v>
      </c>
      <c r="F2438" s="24" t="s">
        <v>22657</v>
      </c>
      <c r="G2438" s="25">
        <v>4</v>
      </c>
      <c r="H2438" s="26"/>
      <c r="I2438" s="27"/>
    </row>
    <row r="2439" spans="1:9" ht="15.75" thickBot="1" x14ac:dyDescent="0.3">
      <c r="A2439" s="43" t="s">
        <v>6414</v>
      </c>
      <c r="B2439" s="21" t="s">
        <v>6415</v>
      </c>
      <c r="C2439" s="21" t="s">
        <v>22784</v>
      </c>
      <c r="D2439" s="22">
        <v>46038</v>
      </c>
      <c r="E2439" s="23" t="s">
        <v>22656</v>
      </c>
      <c r="F2439" s="24" t="s">
        <v>22657</v>
      </c>
      <c r="G2439" s="25">
        <v>6</v>
      </c>
      <c r="H2439" s="29"/>
      <c r="I2439" s="30"/>
    </row>
    <row r="2440" spans="1:9" ht="15.75" thickBot="1" x14ac:dyDescent="0.3">
      <c r="A2440" s="43" t="s">
        <v>6416</v>
      </c>
      <c r="B2440" s="21" t="s">
        <v>6417</v>
      </c>
      <c r="C2440" s="21" t="s">
        <v>22784</v>
      </c>
      <c r="D2440" s="22">
        <v>46038</v>
      </c>
      <c r="E2440" s="23" t="s">
        <v>22658</v>
      </c>
      <c r="F2440" s="24" t="s">
        <v>22657</v>
      </c>
      <c r="G2440" s="25">
        <v>6</v>
      </c>
      <c r="H2440" s="26"/>
      <c r="I2440" s="27"/>
    </row>
    <row r="2441" spans="1:9" ht="15.75" thickBot="1" x14ac:dyDescent="0.3">
      <c r="A2441" s="43" t="s">
        <v>6418</v>
      </c>
      <c r="B2441" s="21" t="s">
        <v>6419</v>
      </c>
      <c r="C2441" s="21" t="s">
        <v>22655</v>
      </c>
      <c r="D2441" s="31" t="s">
        <v>22673</v>
      </c>
      <c r="E2441" s="23" t="s">
        <v>22656</v>
      </c>
      <c r="F2441" s="24" t="s">
        <v>22657</v>
      </c>
      <c r="G2441" s="25">
        <v>6</v>
      </c>
      <c r="H2441" s="32">
        <v>6</v>
      </c>
      <c r="I2441" s="33">
        <v>12</v>
      </c>
    </row>
    <row r="2442" spans="1:9" ht="15.75" thickBot="1" x14ac:dyDescent="0.3">
      <c r="A2442" s="43" t="s">
        <v>6420</v>
      </c>
      <c r="B2442" s="21" t="s">
        <v>6421</v>
      </c>
      <c r="C2442" s="21" t="s">
        <v>22663</v>
      </c>
      <c r="D2442" s="31">
        <v>1</v>
      </c>
      <c r="E2442" s="23" t="s">
        <v>22656</v>
      </c>
      <c r="F2442" s="24" t="s">
        <v>22657</v>
      </c>
      <c r="G2442" s="25">
        <v>4</v>
      </c>
      <c r="H2442" s="26"/>
      <c r="I2442" s="27"/>
    </row>
    <row r="2443" spans="1:9" ht="15.75" thickBot="1" x14ac:dyDescent="0.3">
      <c r="A2443" s="43" t="s">
        <v>6422</v>
      </c>
      <c r="B2443" s="21" t="s">
        <v>6423</v>
      </c>
      <c r="C2443" s="21" t="s">
        <v>22784</v>
      </c>
      <c r="D2443" s="31" t="s">
        <v>22673</v>
      </c>
      <c r="E2443" s="23" t="s">
        <v>22658</v>
      </c>
      <c r="F2443" s="24" t="s">
        <v>22657</v>
      </c>
      <c r="G2443" s="25">
        <v>9</v>
      </c>
      <c r="H2443" s="29"/>
      <c r="I2443" s="30"/>
    </row>
    <row r="2444" spans="1:9" ht="15.75" thickBot="1" x14ac:dyDescent="0.3">
      <c r="A2444" s="43" t="s">
        <v>6424</v>
      </c>
      <c r="B2444" s="21" t="s">
        <v>6425</v>
      </c>
      <c r="C2444" s="21" t="s">
        <v>22655</v>
      </c>
      <c r="D2444" s="31" t="s">
        <v>22660</v>
      </c>
      <c r="E2444" s="23" t="s">
        <v>22656</v>
      </c>
      <c r="F2444" s="24" t="s">
        <v>22657</v>
      </c>
      <c r="G2444" s="25">
        <v>8</v>
      </c>
      <c r="H2444" s="26"/>
      <c r="I2444" s="27"/>
    </row>
    <row r="2445" spans="1:9" ht="15.75" thickBot="1" x14ac:dyDescent="0.3">
      <c r="A2445" s="43" t="s">
        <v>6426</v>
      </c>
      <c r="B2445" s="21" t="s">
        <v>6427</v>
      </c>
      <c r="C2445" s="21" t="s">
        <v>22655</v>
      </c>
      <c r="D2445" s="22">
        <v>46047</v>
      </c>
      <c r="E2445" s="23" t="s">
        <v>22656</v>
      </c>
      <c r="F2445" s="24" t="s">
        <v>22657</v>
      </c>
      <c r="G2445" s="25">
        <v>10</v>
      </c>
      <c r="H2445" s="29"/>
      <c r="I2445" s="30"/>
    </row>
    <row r="2446" spans="1:9" ht="15.75" thickBot="1" x14ac:dyDescent="0.3">
      <c r="A2446" s="43" t="s">
        <v>6428</v>
      </c>
      <c r="B2446" s="21" t="s">
        <v>6429</v>
      </c>
      <c r="C2446" s="21" t="s">
        <v>22655</v>
      </c>
      <c r="D2446" s="22">
        <v>46047</v>
      </c>
      <c r="E2446" s="23" t="s">
        <v>22658</v>
      </c>
      <c r="F2446" s="24" t="s">
        <v>22657</v>
      </c>
      <c r="G2446" s="25">
        <v>4</v>
      </c>
      <c r="H2446" s="26"/>
      <c r="I2446" s="27"/>
    </row>
    <row r="2447" spans="1:9" ht="15.75" thickBot="1" x14ac:dyDescent="0.3">
      <c r="A2447" s="43" t="s">
        <v>6430</v>
      </c>
      <c r="B2447" s="21" t="s">
        <v>6431</v>
      </c>
      <c r="C2447" s="21" t="s">
        <v>22655</v>
      </c>
      <c r="D2447" s="22">
        <v>46047</v>
      </c>
      <c r="E2447" s="23" t="s">
        <v>22656</v>
      </c>
      <c r="F2447" s="24" t="s">
        <v>22657</v>
      </c>
      <c r="G2447" s="25">
        <v>9</v>
      </c>
      <c r="H2447" s="29"/>
      <c r="I2447" s="30"/>
    </row>
    <row r="2448" spans="1:9" ht="15.75" thickBot="1" x14ac:dyDescent="0.3">
      <c r="A2448" s="43" t="s">
        <v>6432</v>
      </c>
      <c r="B2448" s="21" t="s">
        <v>6433</v>
      </c>
      <c r="C2448" s="21" t="s">
        <v>22655</v>
      </c>
      <c r="D2448" s="22">
        <v>46047</v>
      </c>
      <c r="E2448" s="23" t="s">
        <v>22656</v>
      </c>
      <c r="F2448" s="24" t="s">
        <v>22657</v>
      </c>
      <c r="G2448" s="25">
        <v>9</v>
      </c>
      <c r="H2448" s="26"/>
      <c r="I2448" s="27"/>
    </row>
    <row r="2449" spans="1:9" ht="15.75" thickBot="1" x14ac:dyDescent="0.3">
      <c r="A2449" s="43" t="s">
        <v>6434</v>
      </c>
      <c r="B2449" s="21" t="s">
        <v>6435</v>
      </c>
      <c r="C2449" s="21" t="s">
        <v>22663</v>
      </c>
      <c r="D2449" s="31">
        <v>1</v>
      </c>
      <c r="E2449" s="23" t="s">
        <v>22658</v>
      </c>
      <c r="F2449" s="24" t="s">
        <v>22657</v>
      </c>
      <c r="G2449" s="25">
        <v>4</v>
      </c>
      <c r="H2449" s="29"/>
      <c r="I2449" s="30"/>
    </row>
    <row r="2450" spans="1:9" ht="15.75" thickBot="1" x14ac:dyDescent="0.3">
      <c r="A2450" s="43" t="s">
        <v>6436</v>
      </c>
      <c r="B2450" s="21" t="s">
        <v>6437</v>
      </c>
      <c r="C2450" s="21" t="s">
        <v>22785</v>
      </c>
      <c r="D2450" s="31">
        <v>1</v>
      </c>
      <c r="E2450" s="23" t="s">
        <v>22658</v>
      </c>
      <c r="F2450" s="24" t="s">
        <v>22657</v>
      </c>
      <c r="G2450" s="25">
        <v>4</v>
      </c>
      <c r="H2450" s="26"/>
      <c r="I2450" s="27"/>
    </row>
    <row r="2451" spans="1:9" ht="15.75" thickBot="1" x14ac:dyDescent="0.3">
      <c r="A2451" s="43" t="s">
        <v>6438</v>
      </c>
      <c r="B2451" s="21" t="s">
        <v>6439</v>
      </c>
      <c r="C2451" s="21" t="s">
        <v>22663</v>
      </c>
      <c r="D2451" s="31">
        <v>1</v>
      </c>
      <c r="E2451" s="23" t="s">
        <v>22658</v>
      </c>
      <c r="F2451" s="24" t="s">
        <v>22657</v>
      </c>
      <c r="G2451" s="25">
        <v>4</v>
      </c>
      <c r="H2451" s="29"/>
      <c r="I2451" s="30"/>
    </row>
    <row r="2452" spans="1:9" ht="15.75" thickBot="1" x14ac:dyDescent="0.3">
      <c r="A2452" s="43" t="s">
        <v>6440</v>
      </c>
      <c r="B2452" s="21" t="s">
        <v>6441</v>
      </c>
      <c r="C2452" s="21" t="s">
        <v>22663</v>
      </c>
      <c r="D2452" s="31">
        <v>1</v>
      </c>
      <c r="E2452" s="23" t="s">
        <v>22658</v>
      </c>
      <c r="F2452" s="24" t="s">
        <v>22657</v>
      </c>
      <c r="G2452" s="25">
        <v>4</v>
      </c>
      <c r="H2452" s="26"/>
      <c r="I2452" s="27"/>
    </row>
    <row r="2453" spans="1:9" ht="15.75" thickBot="1" x14ac:dyDescent="0.3">
      <c r="A2453" s="43" t="s">
        <v>6442</v>
      </c>
      <c r="B2453" s="21" t="s">
        <v>6443</v>
      </c>
      <c r="C2453" s="21" t="s">
        <v>22663</v>
      </c>
      <c r="D2453" s="31">
        <v>1</v>
      </c>
      <c r="E2453" s="23" t="s">
        <v>22658</v>
      </c>
      <c r="F2453" s="24" t="s">
        <v>22657</v>
      </c>
      <c r="G2453" s="25">
        <v>4</v>
      </c>
      <c r="H2453" s="29"/>
      <c r="I2453" s="30"/>
    </row>
    <row r="2454" spans="1:9" ht="15.75" thickBot="1" x14ac:dyDescent="0.3">
      <c r="A2454" s="43" t="s">
        <v>6444</v>
      </c>
      <c r="B2454" s="21" t="s">
        <v>6445</v>
      </c>
      <c r="C2454" s="21" t="s">
        <v>22663</v>
      </c>
      <c r="D2454" s="31">
        <v>1</v>
      </c>
      <c r="E2454" s="23" t="s">
        <v>22658</v>
      </c>
      <c r="F2454" s="24" t="s">
        <v>22657</v>
      </c>
      <c r="G2454" s="25">
        <v>4</v>
      </c>
      <c r="H2454" s="26"/>
      <c r="I2454" s="27"/>
    </row>
    <row r="2455" spans="1:9" ht="15.75" thickBot="1" x14ac:dyDescent="0.3">
      <c r="A2455" s="43" t="s">
        <v>6446</v>
      </c>
      <c r="B2455" s="21" t="s">
        <v>6447</v>
      </c>
      <c r="C2455" s="21" t="s">
        <v>22663</v>
      </c>
      <c r="D2455" s="31">
        <v>1</v>
      </c>
      <c r="E2455" s="23" t="s">
        <v>22658</v>
      </c>
      <c r="F2455" s="24" t="s">
        <v>22657</v>
      </c>
      <c r="G2455" s="25">
        <v>4</v>
      </c>
      <c r="H2455" s="29"/>
      <c r="I2455" s="30"/>
    </row>
    <row r="2456" spans="1:9" ht="15.75" thickBot="1" x14ac:dyDescent="0.3">
      <c r="A2456" s="43" t="s">
        <v>6448</v>
      </c>
      <c r="B2456" s="21" t="s">
        <v>6449</v>
      </c>
      <c r="C2456" s="21" t="s">
        <v>22663</v>
      </c>
      <c r="D2456" s="31">
        <v>1</v>
      </c>
      <c r="E2456" s="23" t="s">
        <v>22658</v>
      </c>
      <c r="F2456" s="24" t="s">
        <v>22657</v>
      </c>
      <c r="G2456" s="25">
        <v>4</v>
      </c>
      <c r="H2456" s="26"/>
      <c r="I2456" s="27"/>
    </row>
    <row r="2457" spans="1:9" ht="15.75" thickBot="1" x14ac:dyDescent="0.3">
      <c r="A2457" s="43" t="s">
        <v>6450</v>
      </c>
      <c r="B2457" s="21" t="s">
        <v>6451</v>
      </c>
      <c r="C2457" s="21" t="s">
        <v>22655</v>
      </c>
      <c r="D2457" s="22">
        <v>46042</v>
      </c>
      <c r="E2457" s="23" t="s">
        <v>22658</v>
      </c>
      <c r="F2457" s="24" t="s">
        <v>22657</v>
      </c>
      <c r="G2457" s="25">
        <v>7</v>
      </c>
      <c r="H2457" s="29"/>
      <c r="I2457" s="30"/>
    </row>
    <row r="2458" spans="1:9" ht="15.75" thickBot="1" x14ac:dyDescent="0.3">
      <c r="A2458" s="43" t="s">
        <v>6452</v>
      </c>
      <c r="B2458" s="21" t="s">
        <v>6453</v>
      </c>
      <c r="C2458" s="21" t="s">
        <v>22655</v>
      </c>
      <c r="D2458" s="22">
        <v>46042</v>
      </c>
      <c r="E2458" s="23" t="s">
        <v>22656</v>
      </c>
      <c r="F2458" s="24" t="s">
        <v>22657</v>
      </c>
      <c r="G2458" s="25">
        <v>7</v>
      </c>
      <c r="H2458" s="26"/>
      <c r="I2458" s="27"/>
    </row>
    <row r="2459" spans="1:9" ht="15.75" thickBot="1" x14ac:dyDescent="0.3">
      <c r="A2459" s="43" t="s">
        <v>6454</v>
      </c>
      <c r="B2459" s="21" t="s">
        <v>6455</v>
      </c>
      <c r="C2459" s="21" t="s">
        <v>22663</v>
      </c>
      <c r="D2459" s="31">
        <v>1</v>
      </c>
      <c r="E2459" s="23" t="s">
        <v>22656</v>
      </c>
      <c r="F2459" s="24" t="s">
        <v>22657</v>
      </c>
      <c r="G2459" s="25">
        <v>4</v>
      </c>
      <c r="H2459" s="29"/>
      <c r="I2459" s="30"/>
    </row>
    <row r="2460" spans="1:9" ht="15.75" thickBot="1" x14ac:dyDescent="0.3">
      <c r="A2460" s="43" t="s">
        <v>6456</v>
      </c>
      <c r="B2460" s="21" t="s">
        <v>6457</v>
      </c>
      <c r="C2460" s="21" t="s">
        <v>22663</v>
      </c>
      <c r="D2460" s="31">
        <v>1</v>
      </c>
      <c r="E2460" s="23" t="s">
        <v>22658</v>
      </c>
      <c r="F2460" s="24" t="s">
        <v>22657</v>
      </c>
      <c r="G2460" s="25">
        <v>4</v>
      </c>
      <c r="H2460" s="26"/>
      <c r="I2460" s="27"/>
    </row>
    <row r="2461" spans="1:9" ht="15.75" thickBot="1" x14ac:dyDescent="0.3">
      <c r="A2461" s="43" t="s">
        <v>6458</v>
      </c>
      <c r="B2461" s="21" t="s">
        <v>6459</v>
      </c>
      <c r="C2461" s="21" t="s">
        <v>22655</v>
      </c>
      <c r="D2461" s="22">
        <v>46042</v>
      </c>
      <c r="E2461" s="23" t="s">
        <v>22658</v>
      </c>
      <c r="F2461" s="24" t="s">
        <v>22657</v>
      </c>
      <c r="G2461" s="25">
        <v>7</v>
      </c>
      <c r="H2461" s="29"/>
      <c r="I2461" s="30"/>
    </row>
    <row r="2462" spans="1:9" ht="15.75" thickBot="1" x14ac:dyDescent="0.3">
      <c r="A2462" s="43" t="s">
        <v>6460</v>
      </c>
      <c r="B2462" s="21" t="s">
        <v>6461</v>
      </c>
      <c r="C2462" s="21" t="s">
        <v>22663</v>
      </c>
      <c r="D2462" s="31">
        <v>1</v>
      </c>
      <c r="E2462" s="23" t="s">
        <v>22658</v>
      </c>
      <c r="F2462" s="24" t="s">
        <v>22657</v>
      </c>
      <c r="G2462" s="25">
        <v>4</v>
      </c>
      <c r="H2462" s="26"/>
      <c r="I2462" s="27"/>
    </row>
    <row r="2463" spans="1:9" ht="15.75" thickBot="1" x14ac:dyDescent="0.3">
      <c r="A2463" s="43" t="s">
        <v>6462</v>
      </c>
      <c r="B2463" s="21" t="s">
        <v>6463</v>
      </c>
      <c r="C2463" s="21" t="s">
        <v>22655</v>
      </c>
      <c r="D2463" s="31" t="s">
        <v>22666</v>
      </c>
      <c r="E2463" s="23" t="s">
        <v>22658</v>
      </c>
      <c r="F2463" s="24" t="s">
        <v>22657</v>
      </c>
      <c r="G2463" s="25">
        <v>20</v>
      </c>
      <c r="H2463" s="29"/>
      <c r="I2463" s="30"/>
    </row>
    <row r="2464" spans="1:9" ht="15.75" thickBot="1" x14ac:dyDescent="0.3">
      <c r="A2464" s="43" t="s">
        <v>6464</v>
      </c>
      <c r="B2464" s="21" t="s">
        <v>6465</v>
      </c>
      <c r="C2464" s="21" t="s">
        <v>22655</v>
      </c>
      <c r="D2464" s="22">
        <v>46042</v>
      </c>
      <c r="E2464" s="23" t="s">
        <v>22661</v>
      </c>
      <c r="F2464" s="24" t="s">
        <v>22657</v>
      </c>
      <c r="G2464" s="25">
        <v>8</v>
      </c>
      <c r="H2464" s="26"/>
      <c r="I2464" s="27"/>
    </row>
    <row r="2465" spans="1:9" ht="15.75" thickBot="1" x14ac:dyDescent="0.3">
      <c r="A2465" s="43" t="s">
        <v>6466</v>
      </c>
      <c r="B2465" s="21" t="s">
        <v>6467</v>
      </c>
      <c r="C2465" s="21" t="s">
        <v>22655</v>
      </c>
      <c r="D2465" s="22">
        <v>46042</v>
      </c>
      <c r="E2465" s="23" t="s">
        <v>22656</v>
      </c>
      <c r="F2465" s="24" t="s">
        <v>22657</v>
      </c>
      <c r="G2465" s="25">
        <v>7</v>
      </c>
      <c r="H2465" s="29"/>
      <c r="I2465" s="30"/>
    </row>
    <row r="2466" spans="1:9" ht="15.75" thickBot="1" x14ac:dyDescent="0.3">
      <c r="A2466" s="43" t="s">
        <v>6468</v>
      </c>
      <c r="B2466" s="21" t="s">
        <v>6469</v>
      </c>
      <c r="C2466" s="21" t="s">
        <v>22655</v>
      </c>
      <c r="D2466" s="22">
        <v>46042</v>
      </c>
      <c r="E2466" s="23" t="s">
        <v>22656</v>
      </c>
      <c r="F2466" s="24" t="s">
        <v>22657</v>
      </c>
      <c r="G2466" s="25">
        <v>7</v>
      </c>
      <c r="H2466" s="26"/>
      <c r="I2466" s="27"/>
    </row>
    <row r="2467" spans="1:9" ht="15.75" thickBot="1" x14ac:dyDescent="0.3">
      <c r="A2467" s="43" t="s">
        <v>6470</v>
      </c>
      <c r="B2467" s="21" t="s">
        <v>6471</v>
      </c>
      <c r="C2467" s="21" t="s">
        <v>22655</v>
      </c>
      <c r="D2467" s="22">
        <v>46042</v>
      </c>
      <c r="E2467" s="23" t="s">
        <v>22661</v>
      </c>
      <c r="F2467" s="24" t="s">
        <v>22657</v>
      </c>
      <c r="G2467" s="25">
        <v>8</v>
      </c>
      <c r="H2467" s="29"/>
      <c r="I2467" s="30"/>
    </row>
    <row r="2468" spans="1:9" ht="15.75" thickBot="1" x14ac:dyDescent="0.3">
      <c r="A2468" s="43" t="s">
        <v>6472</v>
      </c>
      <c r="B2468" s="21" t="s">
        <v>6473</v>
      </c>
      <c r="C2468" s="21" t="s">
        <v>22655</v>
      </c>
      <c r="D2468" s="31" t="s">
        <v>22673</v>
      </c>
      <c r="E2468" s="23" t="s">
        <v>22656</v>
      </c>
      <c r="F2468" s="24" t="s">
        <v>22657</v>
      </c>
      <c r="G2468" s="25">
        <v>12</v>
      </c>
      <c r="H2468" s="34">
        <v>12</v>
      </c>
      <c r="I2468" s="35">
        <v>24</v>
      </c>
    </row>
    <row r="2469" spans="1:9" ht="15.75" thickBot="1" x14ac:dyDescent="0.3">
      <c r="A2469" s="43" t="s">
        <v>6474</v>
      </c>
      <c r="B2469" s="21" t="s">
        <v>6475</v>
      </c>
      <c r="C2469" s="21" t="s">
        <v>22663</v>
      </c>
      <c r="D2469" s="31">
        <v>1</v>
      </c>
      <c r="E2469" s="23" t="s">
        <v>22656</v>
      </c>
      <c r="F2469" s="24" t="s">
        <v>22657</v>
      </c>
      <c r="G2469" s="25">
        <v>4</v>
      </c>
      <c r="H2469" s="29"/>
      <c r="I2469" s="30"/>
    </row>
    <row r="2470" spans="1:9" ht="15.75" thickBot="1" x14ac:dyDescent="0.3">
      <c r="A2470" s="43" t="s">
        <v>6476</v>
      </c>
      <c r="B2470" s="21" t="s">
        <v>6477</v>
      </c>
      <c r="C2470" s="21" t="s">
        <v>22655</v>
      </c>
      <c r="D2470" s="31" t="s">
        <v>22673</v>
      </c>
      <c r="E2470" s="23" t="s">
        <v>22656</v>
      </c>
      <c r="F2470" s="24" t="s">
        <v>22657</v>
      </c>
      <c r="G2470" s="25">
        <v>10</v>
      </c>
      <c r="H2470" s="34">
        <v>10</v>
      </c>
      <c r="I2470" s="35">
        <v>15</v>
      </c>
    </row>
    <row r="2471" spans="1:9" ht="15.75" thickBot="1" x14ac:dyDescent="0.3">
      <c r="A2471" s="43" t="s">
        <v>6478</v>
      </c>
      <c r="B2471" s="21" t="s">
        <v>6479</v>
      </c>
      <c r="C2471" s="21" t="s">
        <v>22663</v>
      </c>
      <c r="D2471" s="31">
        <v>1</v>
      </c>
      <c r="E2471" s="23" t="s">
        <v>22656</v>
      </c>
      <c r="F2471" s="24" t="s">
        <v>22657</v>
      </c>
      <c r="G2471" s="25">
        <v>4</v>
      </c>
      <c r="H2471" s="29"/>
      <c r="I2471" s="30"/>
    </row>
    <row r="2472" spans="1:9" ht="15.75" thickBot="1" x14ac:dyDescent="0.3">
      <c r="A2472" s="43" t="s">
        <v>6480</v>
      </c>
      <c r="B2472" s="21" t="s">
        <v>6481</v>
      </c>
      <c r="C2472" s="21" t="s">
        <v>22663</v>
      </c>
      <c r="D2472" s="31">
        <v>1</v>
      </c>
      <c r="E2472" s="23" t="s">
        <v>22656</v>
      </c>
      <c r="F2472" s="24" t="s">
        <v>22657</v>
      </c>
      <c r="G2472" s="25">
        <v>4</v>
      </c>
      <c r="H2472" s="26"/>
      <c r="I2472" s="27"/>
    </row>
    <row r="2473" spans="1:9" ht="15.75" thickBot="1" x14ac:dyDescent="0.3">
      <c r="A2473" s="43" t="s">
        <v>6482</v>
      </c>
      <c r="B2473" s="21" t="s">
        <v>6483</v>
      </c>
      <c r="C2473" s="21" t="s">
        <v>22655</v>
      </c>
      <c r="D2473" s="31" t="s">
        <v>22660</v>
      </c>
      <c r="E2473" s="23" t="s">
        <v>22656</v>
      </c>
      <c r="F2473" s="24" t="s">
        <v>22657</v>
      </c>
      <c r="G2473" s="25">
        <v>8</v>
      </c>
      <c r="H2473" s="29"/>
      <c r="I2473" s="30"/>
    </row>
    <row r="2474" spans="1:9" ht="15.75" thickBot="1" x14ac:dyDescent="0.3">
      <c r="A2474" s="43" t="s">
        <v>6484</v>
      </c>
      <c r="B2474" s="21" t="s">
        <v>6485</v>
      </c>
      <c r="C2474" s="21" t="s">
        <v>22663</v>
      </c>
      <c r="D2474" s="31">
        <v>1</v>
      </c>
      <c r="E2474" s="23" t="s">
        <v>22656</v>
      </c>
      <c r="F2474" s="24" t="s">
        <v>22657</v>
      </c>
      <c r="G2474" s="25">
        <v>4</v>
      </c>
      <c r="H2474" s="26"/>
      <c r="I2474" s="27"/>
    </row>
    <row r="2475" spans="1:9" ht="15.75" thickBot="1" x14ac:dyDescent="0.3">
      <c r="A2475" s="43" t="s">
        <v>6486</v>
      </c>
      <c r="B2475" s="21" t="s">
        <v>6487</v>
      </c>
      <c r="C2475" s="21" t="s">
        <v>22655</v>
      </c>
      <c r="D2475" s="31" t="s">
        <v>22660</v>
      </c>
      <c r="E2475" s="23" t="s">
        <v>22656</v>
      </c>
      <c r="F2475" s="24" t="s">
        <v>22657</v>
      </c>
      <c r="G2475" s="25">
        <v>8</v>
      </c>
      <c r="H2475" s="29"/>
      <c r="I2475" s="30"/>
    </row>
    <row r="2476" spans="1:9" ht="15.75" thickBot="1" x14ac:dyDescent="0.3">
      <c r="A2476" s="43" t="s">
        <v>6488</v>
      </c>
      <c r="B2476" s="21" t="s">
        <v>6489</v>
      </c>
      <c r="C2476" s="21" t="s">
        <v>22655</v>
      </c>
      <c r="D2476" s="22">
        <v>46047</v>
      </c>
      <c r="E2476" s="23" t="s">
        <v>22661</v>
      </c>
      <c r="F2476" s="24" t="s">
        <v>22657</v>
      </c>
      <c r="G2476" s="25">
        <v>9</v>
      </c>
      <c r="H2476" s="26"/>
      <c r="I2476" s="27"/>
    </row>
    <row r="2477" spans="1:9" ht="15.75" thickBot="1" x14ac:dyDescent="0.3">
      <c r="A2477" s="43" t="s">
        <v>6490</v>
      </c>
      <c r="B2477" s="21" t="s">
        <v>6491</v>
      </c>
      <c r="C2477" s="21" t="s">
        <v>22663</v>
      </c>
      <c r="D2477" s="31">
        <v>1</v>
      </c>
      <c r="E2477" s="23" t="s">
        <v>22656</v>
      </c>
      <c r="F2477" s="24" t="s">
        <v>22657</v>
      </c>
      <c r="G2477" s="25">
        <v>5</v>
      </c>
      <c r="H2477" s="29"/>
      <c r="I2477" s="30"/>
    </row>
    <row r="2478" spans="1:9" ht="15.75" thickBot="1" x14ac:dyDescent="0.3">
      <c r="A2478" s="43" t="s">
        <v>6492</v>
      </c>
      <c r="B2478" s="21" t="s">
        <v>6493</v>
      </c>
      <c r="C2478" s="21" t="s">
        <v>22655</v>
      </c>
      <c r="D2478" s="22">
        <v>46047</v>
      </c>
      <c r="E2478" s="23" t="s">
        <v>22656</v>
      </c>
      <c r="F2478" s="24" t="s">
        <v>22657</v>
      </c>
      <c r="G2478" s="25">
        <v>9</v>
      </c>
      <c r="H2478" s="26"/>
      <c r="I2478" s="27"/>
    </row>
    <row r="2479" spans="1:9" ht="15.75" thickBot="1" x14ac:dyDescent="0.3">
      <c r="A2479" s="43" t="s">
        <v>6494</v>
      </c>
      <c r="B2479" s="21" t="s">
        <v>6495</v>
      </c>
      <c r="C2479" s="21" t="s">
        <v>22663</v>
      </c>
      <c r="D2479" s="31">
        <v>1</v>
      </c>
      <c r="E2479" s="23" t="s">
        <v>22656</v>
      </c>
      <c r="F2479" s="24" t="s">
        <v>22657</v>
      </c>
      <c r="G2479" s="25">
        <v>4</v>
      </c>
      <c r="H2479" s="29"/>
      <c r="I2479" s="30"/>
    </row>
    <row r="2480" spans="1:9" ht="15.75" thickBot="1" x14ac:dyDescent="0.3">
      <c r="A2480" s="43" t="s">
        <v>6496</v>
      </c>
      <c r="B2480" s="21" t="s">
        <v>6497</v>
      </c>
      <c r="C2480" s="21" t="s">
        <v>22655</v>
      </c>
      <c r="D2480" s="22">
        <v>46047</v>
      </c>
      <c r="E2480" s="23" t="s">
        <v>22661</v>
      </c>
      <c r="F2480" s="24" t="s">
        <v>22657</v>
      </c>
      <c r="G2480" s="25">
        <v>9</v>
      </c>
      <c r="H2480" s="26"/>
      <c r="I2480" s="27"/>
    </row>
    <row r="2481" spans="1:9" ht="15.75" thickBot="1" x14ac:dyDescent="0.3">
      <c r="A2481" s="43" t="s">
        <v>6498</v>
      </c>
      <c r="B2481" s="21" t="s">
        <v>6499</v>
      </c>
      <c r="C2481" s="21" t="s">
        <v>22663</v>
      </c>
      <c r="D2481" s="31">
        <v>1</v>
      </c>
      <c r="E2481" s="23" t="s">
        <v>22658</v>
      </c>
      <c r="F2481" s="24" t="s">
        <v>22657</v>
      </c>
      <c r="G2481" s="25">
        <v>4</v>
      </c>
      <c r="H2481" s="29"/>
      <c r="I2481" s="30"/>
    </row>
    <row r="2482" spans="1:9" ht="15.75" thickBot="1" x14ac:dyDescent="0.3">
      <c r="A2482" s="43" t="s">
        <v>6500</v>
      </c>
      <c r="B2482" s="21" t="s">
        <v>6501</v>
      </c>
      <c r="C2482" s="21" t="s">
        <v>22663</v>
      </c>
      <c r="D2482" s="31">
        <v>1</v>
      </c>
      <c r="E2482" s="23" t="s">
        <v>22658</v>
      </c>
      <c r="F2482" s="24" t="s">
        <v>22657</v>
      </c>
      <c r="G2482" s="25">
        <v>4</v>
      </c>
      <c r="H2482" s="26"/>
      <c r="I2482" s="27"/>
    </row>
    <row r="2483" spans="1:9" ht="15.75" thickBot="1" x14ac:dyDescent="0.3">
      <c r="A2483" s="43" t="s">
        <v>6502</v>
      </c>
      <c r="B2483" s="21" t="s">
        <v>6503</v>
      </c>
      <c r="C2483" s="21" t="s">
        <v>22663</v>
      </c>
      <c r="D2483" s="31">
        <v>1</v>
      </c>
      <c r="E2483" s="23" t="s">
        <v>22661</v>
      </c>
      <c r="F2483" s="24" t="s">
        <v>22657</v>
      </c>
      <c r="G2483" s="25">
        <v>5</v>
      </c>
      <c r="H2483" s="29"/>
      <c r="I2483" s="30"/>
    </row>
    <row r="2484" spans="1:9" ht="15.75" thickBot="1" x14ac:dyDescent="0.3">
      <c r="A2484" s="43" t="s">
        <v>1968</v>
      </c>
      <c r="B2484" s="21" t="s">
        <v>6504</v>
      </c>
      <c r="C2484" s="21" t="s">
        <v>22655</v>
      </c>
      <c r="D2484" s="31" t="s">
        <v>22741</v>
      </c>
      <c r="E2484" s="23" t="s">
        <v>22656</v>
      </c>
      <c r="F2484" s="24" t="s">
        <v>22657</v>
      </c>
      <c r="G2484" s="25">
        <v>8</v>
      </c>
      <c r="H2484" s="26"/>
      <c r="I2484" s="27"/>
    </row>
    <row r="2485" spans="1:9" ht="15.75" thickBot="1" x14ac:dyDescent="0.3">
      <c r="A2485" s="43" t="s">
        <v>6505</v>
      </c>
      <c r="B2485" s="21" t="s">
        <v>6506</v>
      </c>
      <c r="C2485" s="21" t="s">
        <v>22655</v>
      </c>
      <c r="D2485" s="31" t="s">
        <v>22715</v>
      </c>
      <c r="E2485" s="23" t="s">
        <v>22656</v>
      </c>
      <c r="F2485" s="24" t="s">
        <v>22657</v>
      </c>
      <c r="G2485" s="25">
        <v>11</v>
      </c>
      <c r="H2485" s="29"/>
      <c r="I2485" s="30"/>
    </row>
    <row r="2486" spans="1:9" ht="15.75" thickBot="1" x14ac:dyDescent="0.3">
      <c r="A2486" s="43" t="s">
        <v>6507</v>
      </c>
      <c r="B2486" s="21" t="s">
        <v>6508</v>
      </c>
      <c r="C2486" s="21" t="s">
        <v>22655</v>
      </c>
      <c r="D2486" s="31" t="s">
        <v>22669</v>
      </c>
      <c r="E2486" s="23" t="s">
        <v>22656</v>
      </c>
      <c r="F2486" s="24" t="s">
        <v>22657</v>
      </c>
      <c r="G2486" s="25">
        <v>12</v>
      </c>
      <c r="H2486" s="26"/>
      <c r="I2486" s="27"/>
    </row>
    <row r="2487" spans="1:9" ht="15.75" thickBot="1" x14ac:dyDescent="0.3">
      <c r="A2487" s="43" t="s">
        <v>6509</v>
      </c>
      <c r="B2487" s="21" t="s">
        <v>6510</v>
      </c>
      <c r="C2487" s="21" t="s">
        <v>22655</v>
      </c>
      <c r="D2487" s="22">
        <v>46047</v>
      </c>
      <c r="E2487" s="23" t="s">
        <v>22656</v>
      </c>
      <c r="F2487" s="24" t="s">
        <v>22657</v>
      </c>
      <c r="G2487" s="25">
        <v>9</v>
      </c>
      <c r="H2487" s="29"/>
      <c r="I2487" s="30"/>
    </row>
    <row r="2488" spans="1:9" ht="15.75" thickBot="1" x14ac:dyDescent="0.3">
      <c r="A2488" s="43" t="s">
        <v>6511</v>
      </c>
      <c r="B2488" s="21" t="s">
        <v>6512</v>
      </c>
      <c r="C2488" s="21" t="s">
        <v>22682</v>
      </c>
      <c r="D2488" s="22">
        <v>46034</v>
      </c>
      <c r="E2488" s="23" t="s">
        <v>22656</v>
      </c>
      <c r="F2488" s="24" t="s">
        <v>22657</v>
      </c>
      <c r="G2488" s="25">
        <v>4</v>
      </c>
      <c r="H2488" s="26"/>
      <c r="I2488" s="27"/>
    </row>
    <row r="2489" spans="1:9" ht="15.75" thickBot="1" x14ac:dyDescent="0.3">
      <c r="A2489" s="43" t="s">
        <v>6513</v>
      </c>
      <c r="B2489" s="21" t="s">
        <v>6514</v>
      </c>
      <c r="C2489" s="21" t="s">
        <v>22663</v>
      </c>
      <c r="D2489" s="31">
        <v>1</v>
      </c>
      <c r="E2489" s="23" t="s">
        <v>22656</v>
      </c>
      <c r="F2489" s="24" t="s">
        <v>22657</v>
      </c>
      <c r="G2489" s="25">
        <v>5</v>
      </c>
      <c r="H2489" s="29"/>
      <c r="I2489" s="30"/>
    </row>
    <row r="2490" spans="1:9" ht="15.75" thickBot="1" x14ac:dyDescent="0.3">
      <c r="A2490" s="43" t="s">
        <v>6515</v>
      </c>
      <c r="B2490" s="21" t="s">
        <v>6516</v>
      </c>
      <c r="C2490" s="21" t="s">
        <v>22655</v>
      </c>
      <c r="D2490" s="22">
        <v>46042</v>
      </c>
      <c r="E2490" s="23" t="s">
        <v>22656</v>
      </c>
      <c r="F2490" s="24" t="s">
        <v>22657</v>
      </c>
      <c r="G2490" s="25">
        <v>7</v>
      </c>
      <c r="H2490" s="26"/>
      <c r="I2490" s="27"/>
    </row>
    <row r="2491" spans="1:9" ht="15.75" thickBot="1" x14ac:dyDescent="0.3">
      <c r="A2491" s="43" t="s">
        <v>6517</v>
      </c>
      <c r="B2491" s="21" t="s">
        <v>6518</v>
      </c>
      <c r="C2491" s="21" t="s">
        <v>22655</v>
      </c>
      <c r="D2491" s="31" t="s">
        <v>22688</v>
      </c>
      <c r="E2491" s="23" t="s">
        <v>22656</v>
      </c>
      <c r="F2491" s="24" t="s">
        <v>22657</v>
      </c>
      <c r="G2491" s="25">
        <v>14</v>
      </c>
      <c r="H2491" s="29"/>
      <c r="I2491" s="30"/>
    </row>
    <row r="2492" spans="1:9" ht="15.75" thickBot="1" x14ac:dyDescent="0.3">
      <c r="A2492" s="43" t="s">
        <v>6519</v>
      </c>
      <c r="B2492" s="21" t="s">
        <v>6520</v>
      </c>
      <c r="C2492" s="21" t="s">
        <v>22655</v>
      </c>
      <c r="D2492" s="22">
        <v>46038</v>
      </c>
      <c r="E2492" s="23" t="s">
        <v>22658</v>
      </c>
      <c r="F2492" s="24" t="s">
        <v>22657</v>
      </c>
      <c r="G2492" s="25">
        <v>6</v>
      </c>
      <c r="H2492" s="26"/>
      <c r="I2492" s="27"/>
    </row>
    <row r="2493" spans="1:9" ht="15.75" thickBot="1" x14ac:dyDescent="0.3">
      <c r="A2493" s="43" t="s">
        <v>6521</v>
      </c>
      <c r="B2493" s="21" t="s">
        <v>6522</v>
      </c>
      <c r="C2493" s="21" t="s">
        <v>22655</v>
      </c>
      <c r="D2493" s="22">
        <v>46038</v>
      </c>
      <c r="E2493" s="23" t="s">
        <v>22658</v>
      </c>
      <c r="F2493" s="24" t="s">
        <v>22657</v>
      </c>
      <c r="G2493" s="25">
        <v>6</v>
      </c>
      <c r="H2493" s="29"/>
      <c r="I2493" s="30"/>
    </row>
    <row r="2494" spans="1:9" ht="15.75" thickBot="1" x14ac:dyDescent="0.3">
      <c r="A2494" s="43" t="s">
        <v>6523</v>
      </c>
      <c r="B2494" s="21" t="s">
        <v>6524</v>
      </c>
      <c r="C2494" s="21" t="s">
        <v>22655</v>
      </c>
      <c r="D2494" s="31" t="s">
        <v>22673</v>
      </c>
      <c r="E2494" s="23" t="s">
        <v>22658</v>
      </c>
      <c r="F2494" s="24" t="s">
        <v>22657</v>
      </c>
      <c r="G2494" s="25">
        <v>9</v>
      </c>
      <c r="H2494" s="26"/>
      <c r="I2494" s="27"/>
    </row>
    <row r="2495" spans="1:9" ht="15.75" thickBot="1" x14ac:dyDescent="0.3">
      <c r="A2495" s="43" t="s">
        <v>6525</v>
      </c>
      <c r="B2495" s="21" t="s">
        <v>6526</v>
      </c>
      <c r="C2495" s="21" t="s">
        <v>22655</v>
      </c>
      <c r="D2495" s="31" t="s">
        <v>22660</v>
      </c>
      <c r="E2495" s="23" t="s">
        <v>22658</v>
      </c>
      <c r="F2495" s="24" t="s">
        <v>22657</v>
      </c>
      <c r="G2495" s="25">
        <v>8</v>
      </c>
      <c r="H2495" s="29"/>
      <c r="I2495" s="30"/>
    </row>
    <row r="2496" spans="1:9" ht="15.75" thickBot="1" x14ac:dyDescent="0.3">
      <c r="A2496" s="43" t="s">
        <v>6527</v>
      </c>
      <c r="B2496" s="21" t="s">
        <v>6528</v>
      </c>
      <c r="C2496" s="21" t="s">
        <v>22663</v>
      </c>
      <c r="D2496" s="31">
        <v>1</v>
      </c>
      <c r="E2496" s="23" t="s">
        <v>22656</v>
      </c>
      <c r="F2496" s="24" t="s">
        <v>22657</v>
      </c>
      <c r="G2496" s="25">
        <v>4</v>
      </c>
      <c r="H2496" s="26"/>
      <c r="I2496" s="27"/>
    </row>
    <row r="2497" spans="1:9" ht="15.75" thickBot="1" x14ac:dyDescent="0.3">
      <c r="A2497" s="43" t="s">
        <v>6529</v>
      </c>
      <c r="B2497" s="21" t="s">
        <v>6530</v>
      </c>
      <c r="C2497" s="21" t="s">
        <v>22655</v>
      </c>
      <c r="D2497" s="22">
        <v>46047</v>
      </c>
      <c r="E2497" s="23" t="s">
        <v>22658</v>
      </c>
      <c r="F2497" s="24" t="s">
        <v>22657</v>
      </c>
      <c r="G2497" s="25">
        <v>4</v>
      </c>
      <c r="H2497" s="29"/>
      <c r="I2497" s="30"/>
    </row>
    <row r="2498" spans="1:9" ht="15.75" thickBot="1" x14ac:dyDescent="0.3">
      <c r="A2498" s="43" t="s">
        <v>6531</v>
      </c>
      <c r="B2498" s="21" t="s">
        <v>6532</v>
      </c>
      <c r="C2498" s="21" t="s">
        <v>22663</v>
      </c>
      <c r="D2498" s="31">
        <v>1</v>
      </c>
      <c r="E2498" s="23" t="s">
        <v>22658</v>
      </c>
      <c r="F2498" s="24" t="s">
        <v>22657</v>
      </c>
      <c r="G2498" s="25">
        <v>4</v>
      </c>
      <c r="H2498" s="26"/>
      <c r="I2498" s="27"/>
    </row>
    <row r="2499" spans="1:9" ht="15.75" thickBot="1" x14ac:dyDescent="0.3">
      <c r="A2499" s="43" t="s">
        <v>6533</v>
      </c>
      <c r="B2499" s="21" t="s">
        <v>6534</v>
      </c>
      <c r="C2499" s="21" t="s">
        <v>22663</v>
      </c>
      <c r="D2499" s="31">
        <v>1</v>
      </c>
      <c r="E2499" s="23" t="s">
        <v>22658</v>
      </c>
      <c r="F2499" s="24" t="s">
        <v>22657</v>
      </c>
      <c r="G2499" s="25">
        <v>4</v>
      </c>
      <c r="H2499" s="29"/>
      <c r="I2499" s="30"/>
    </row>
    <row r="2500" spans="1:9" ht="15.75" thickBot="1" x14ac:dyDescent="0.3">
      <c r="A2500" s="43" t="s">
        <v>6535</v>
      </c>
      <c r="B2500" s="21" t="s">
        <v>6536</v>
      </c>
      <c r="C2500" s="21" t="s">
        <v>22663</v>
      </c>
      <c r="D2500" s="31">
        <v>1</v>
      </c>
      <c r="E2500" s="23" t="s">
        <v>22656</v>
      </c>
      <c r="F2500" s="24" t="s">
        <v>22657</v>
      </c>
      <c r="G2500" s="25">
        <v>2</v>
      </c>
      <c r="H2500" s="26"/>
      <c r="I2500" s="27"/>
    </row>
    <row r="2501" spans="1:9" ht="15.75" thickBot="1" x14ac:dyDescent="0.3">
      <c r="A2501" s="43" t="s">
        <v>6537</v>
      </c>
      <c r="B2501" s="21" t="s">
        <v>6538</v>
      </c>
      <c r="C2501" s="21" t="s">
        <v>22682</v>
      </c>
      <c r="D2501" s="22">
        <v>46034</v>
      </c>
      <c r="E2501" s="23" t="s">
        <v>22658</v>
      </c>
      <c r="F2501" s="24" t="s">
        <v>22657</v>
      </c>
      <c r="G2501" s="25">
        <v>4</v>
      </c>
      <c r="H2501" s="29"/>
      <c r="I2501" s="30"/>
    </row>
    <row r="2502" spans="1:9" ht="15.75" thickBot="1" x14ac:dyDescent="0.3">
      <c r="A2502" s="43" t="s">
        <v>6539</v>
      </c>
      <c r="B2502" s="21" t="s">
        <v>6540</v>
      </c>
      <c r="C2502" s="21" t="s">
        <v>22663</v>
      </c>
      <c r="D2502" s="31">
        <v>1</v>
      </c>
      <c r="E2502" s="23" t="s">
        <v>22658</v>
      </c>
      <c r="F2502" s="24" t="s">
        <v>22657</v>
      </c>
      <c r="G2502" s="25">
        <v>2</v>
      </c>
      <c r="H2502" s="26"/>
      <c r="I2502" s="27"/>
    </row>
    <row r="2503" spans="1:9" ht="15.75" thickBot="1" x14ac:dyDescent="0.3">
      <c r="A2503" s="43" t="s">
        <v>6541</v>
      </c>
      <c r="B2503" s="21" t="s">
        <v>6542</v>
      </c>
      <c r="C2503" s="21" t="s">
        <v>22682</v>
      </c>
      <c r="D2503" s="22">
        <v>46034</v>
      </c>
      <c r="E2503" s="23" t="s">
        <v>22658</v>
      </c>
      <c r="F2503" s="24" t="s">
        <v>22657</v>
      </c>
      <c r="G2503" s="25">
        <v>4</v>
      </c>
      <c r="H2503" s="29"/>
      <c r="I2503" s="30"/>
    </row>
    <row r="2504" spans="1:9" ht="15.75" thickBot="1" x14ac:dyDescent="0.3">
      <c r="A2504" s="43" t="s">
        <v>6543</v>
      </c>
      <c r="B2504" s="21" t="s">
        <v>6544</v>
      </c>
      <c r="C2504" s="21" t="s">
        <v>22663</v>
      </c>
      <c r="D2504" s="31">
        <v>1</v>
      </c>
      <c r="E2504" s="23" t="s">
        <v>22656</v>
      </c>
      <c r="F2504" s="24" t="s">
        <v>22657</v>
      </c>
      <c r="G2504" s="25">
        <v>2</v>
      </c>
      <c r="H2504" s="26"/>
      <c r="I2504" s="27"/>
    </row>
    <row r="2505" spans="1:9" ht="15.75" thickBot="1" x14ac:dyDescent="0.3">
      <c r="A2505" s="43" t="s">
        <v>6545</v>
      </c>
      <c r="B2505" s="21" t="s">
        <v>6546</v>
      </c>
      <c r="C2505" s="21" t="s">
        <v>22682</v>
      </c>
      <c r="D2505" s="22">
        <v>46034</v>
      </c>
      <c r="E2505" s="23" t="s">
        <v>22658</v>
      </c>
      <c r="F2505" s="24" t="s">
        <v>22657</v>
      </c>
      <c r="G2505" s="25">
        <v>4</v>
      </c>
      <c r="H2505" s="29"/>
      <c r="I2505" s="30"/>
    </row>
    <row r="2506" spans="1:9" ht="15.75" thickBot="1" x14ac:dyDescent="0.3">
      <c r="A2506" s="43" t="s">
        <v>6547</v>
      </c>
      <c r="B2506" s="21" t="s">
        <v>6548</v>
      </c>
      <c r="C2506" s="21" t="s">
        <v>22663</v>
      </c>
      <c r="D2506" s="31">
        <v>1</v>
      </c>
      <c r="E2506" s="23" t="s">
        <v>22658</v>
      </c>
      <c r="F2506" s="24" t="s">
        <v>22657</v>
      </c>
      <c r="G2506" s="25">
        <v>2</v>
      </c>
      <c r="H2506" s="26"/>
      <c r="I2506" s="27"/>
    </row>
    <row r="2507" spans="1:9" ht="15.75" thickBot="1" x14ac:dyDescent="0.3">
      <c r="A2507" s="43" t="s">
        <v>6549</v>
      </c>
      <c r="B2507" s="21" t="s">
        <v>6550</v>
      </c>
      <c r="C2507" s="21" t="s">
        <v>22682</v>
      </c>
      <c r="D2507" s="22">
        <v>46034</v>
      </c>
      <c r="E2507" s="23" t="s">
        <v>22656</v>
      </c>
      <c r="F2507" s="24" t="s">
        <v>22657</v>
      </c>
      <c r="G2507" s="25">
        <v>4</v>
      </c>
      <c r="H2507" s="29"/>
      <c r="I2507" s="30"/>
    </row>
    <row r="2508" spans="1:9" ht="15.75" thickBot="1" x14ac:dyDescent="0.3">
      <c r="A2508" s="43" t="s">
        <v>6551</v>
      </c>
      <c r="B2508" s="21" t="s">
        <v>6552</v>
      </c>
      <c r="C2508" s="21" t="s">
        <v>22663</v>
      </c>
      <c r="D2508" s="31">
        <v>1</v>
      </c>
      <c r="E2508" s="23" t="s">
        <v>22658</v>
      </c>
      <c r="F2508" s="24" t="s">
        <v>22657</v>
      </c>
      <c r="G2508" s="25">
        <v>2</v>
      </c>
      <c r="H2508" s="26"/>
      <c r="I2508" s="27"/>
    </row>
    <row r="2509" spans="1:9" ht="15.75" thickBot="1" x14ac:dyDescent="0.3">
      <c r="A2509" s="43" t="s">
        <v>6553</v>
      </c>
      <c r="B2509" s="21" t="s">
        <v>6554</v>
      </c>
      <c r="C2509" s="21" t="s">
        <v>22682</v>
      </c>
      <c r="D2509" s="22">
        <v>46034</v>
      </c>
      <c r="E2509" s="23" t="s">
        <v>22658</v>
      </c>
      <c r="F2509" s="24" t="s">
        <v>22657</v>
      </c>
      <c r="G2509" s="25">
        <v>4</v>
      </c>
      <c r="H2509" s="29"/>
      <c r="I2509" s="30"/>
    </row>
    <row r="2510" spans="1:9" ht="15.75" thickBot="1" x14ac:dyDescent="0.3">
      <c r="A2510" s="43" t="s">
        <v>6555</v>
      </c>
      <c r="B2510" s="21" t="s">
        <v>6556</v>
      </c>
      <c r="C2510" s="21" t="s">
        <v>22663</v>
      </c>
      <c r="D2510" s="31">
        <v>1</v>
      </c>
      <c r="E2510" s="23" t="s">
        <v>22656</v>
      </c>
      <c r="F2510" s="24" t="s">
        <v>22657</v>
      </c>
      <c r="G2510" s="25">
        <v>2</v>
      </c>
      <c r="H2510" s="26"/>
      <c r="I2510" s="27"/>
    </row>
    <row r="2511" spans="1:9" ht="15.75" thickBot="1" x14ac:dyDescent="0.3">
      <c r="A2511" s="43" t="s">
        <v>6557</v>
      </c>
      <c r="B2511" s="21" t="s">
        <v>6558</v>
      </c>
      <c r="C2511" s="21" t="s">
        <v>22682</v>
      </c>
      <c r="D2511" s="22">
        <v>46034</v>
      </c>
      <c r="E2511" s="23" t="s">
        <v>22658</v>
      </c>
      <c r="F2511" s="24" t="s">
        <v>22657</v>
      </c>
      <c r="G2511" s="25">
        <v>4</v>
      </c>
      <c r="H2511" s="29"/>
      <c r="I2511" s="30"/>
    </row>
    <row r="2512" spans="1:9" ht="15.75" thickBot="1" x14ac:dyDescent="0.3">
      <c r="A2512" s="43" t="s">
        <v>6559</v>
      </c>
      <c r="B2512" s="21" t="s">
        <v>6560</v>
      </c>
      <c r="C2512" s="21" t="s">
        <v>22663</v>
      </c>
      <c r="D2512" s="31">
        <v>1</v>
      </c>
      <c r="E2512" s="23" t="s">
        <v>22656</v>
      </c>
      <c r="F2512" s="24" t="s">
        <v>22657</v>
      </c>
      <c r="G2512" s="25">
        <v>2</v>
      </c>
      <c r="H2512" s="26"/>
      <c r="I2512" s="27"/>
    </row>
    <row r="2513" spans="1:9" ht="15.75" thickBot="1" x14ac:dyDescent="0.3">
      <c r="A2513" s="43" t="s">
        <v>6561</v>
      </c>
      <c r="B2513" s="21" t="s">
        <v>6562</v>
      </c>
      <c r="C2513" s="21" t="s">
        <v>22682</v>
      </c>
      <c r="D2513" s="22">
        <v>46034</v>
      </c>
      <c r="E2513" s="23" t="s">
        <v>22658</v>
      </c>
      <c r="F2513" s="24" t="s">
        <v>22657</v>
      </c>
      <c r="G2513" s="25">
        <v>4</v>
      </c>
      <c r="H2513" s="29"/>
      <c r="I2513" s="30"/>
    </row>
    <row r="2514" spans="1:9" ht="15.75" thickBot="1" x14ac:dyDescent="0.3">
      <c r="A2514" s="43" t="s">
        <v>6563</v>
      </c>
      <c r="B2514" s="21" t="s">
        <v>6564</v>
      </c>
      <c r="C2514" s="21" t="s">
        <v>22663</v>
      </c>
      <c r="D2514" s="31">
        <v>1</v>
      </c>
      <c r="E2514" s="23" t="s">
        <v>22656</v>
      </c>
      <c r="F2514" s="24" t="s">
        <v>22657</v>
      </c>
      <c r="G2514" s="25">
        <v>2</v>
      </c>
      <c r="H2514" s="26"/>
      <c r="I2514" s="27"/>
    </row>
    <row r="2515" spans="1:9" ht="15.75" thickBot="1" x14ac:dyDescent="0.3">
      <c r="A2515" s="43" t="s">
        <v>6565</v>
      </c>
      <c r="B2515" s="21" t="s">
        <v>6566</v>
      </c>
      <c r="C2515" s="21" t="s">
        <v>22682</v>
      </c>
      <c r="D2515" s="22">
        <v>46034</v>
      </c>
      <c r="E2515" s="23" t="s">
        <v>22658</v>
      </c>
      <c r="F2515" s="24" t="s">
        <v>22657</v>
      </c>
      <c r="G2515" s="25">
        <v>4</v>
      </c>
      <c r="H2515" s="29"/>
      <c r="I2515" s="30"/>
    </row>
    <row r="2516" spans="1:9" ht="15.75" thickBot="1" x14ac:dyDescent="0.3">
      <c r="A2516" s="43" t="s">
        <v>6567</v>
      </c>
      <c r="B2516" s="21" t="s">
        <v>6568</v>
      </c>
      <c r="C2516" s="21" t="s">
        <v>22663</v>
      </c>
      <c r="D2516" s="31">
        <v>1</v>
      </c>
      <c r="E2516" s="23" t="s">
        <v>22656</v>
      </c>
      <c r="F2516" s="24" t="s">
        <v>22657</v>
      </c>
      <c r="G2516" s="25">
        <v>2</v>
      </c>
      <c r="H2516" s="26"/>
      <c r="I2516" s="27"/>
    </row>
    <row r="2517" spans="1:9" ht="15.75" thickBot="1" x14ac:dyDescent="0.3">
      <c r="A2517" s="43" t="s">
        <v>6569</v>
      </c>
      <c r="B2517" s="21" t="s">
        <v>6570</v>
      </c>
      <c r="C2517" s="21" t="s">
        <v>22682</v>
      </c>
      <c r="D2517" s="22">
        <v>46034</v>
      </c>
      <c r="E2517" s="23" t="s">
        <v>22658</v>
      </c>
      <c r="F2517" s="24" t="s">
        <v>22657</v>
      </c>
      <c r="G2517" s="25">
        <v>4</v>
      </c>
      <c r="H2517" s="29"/>
      <c r="I2517" s="30"/>
    </row>
    <row r="2518" spans="1:9" ht="15.75" thickBot="1" x14ac:dyDescent="0.3">
      <c r="A2518" s="43" t="s">
        <v>6571</v>
      </c>
      <c r="B2518" s="21" t="s">
        <v>6572</v>
      </c>
      <c r="C2518" s="21" t="s">
        <v>22663</v>
      </c>
      <c r="D2518" s="31">
        <v>1</v>
      </c>
      <c r="E2518" s="23" t="s">
        <v>22658</v>
      </c>
      <c r="F2518" s="24" t="s">
        <v>22657</v>
      </c>
      <c r="G2518" s="25">
        <v>2</v>
      </c>
      <c r="H2518" s="26"/>
      <c r="I2518" s="27"/>
    </row>
    <row r="2519" spans="1:9" ht="15.75" thickBot="1" x14ac:dyDescent="0.3">
      <c r="A2519" s="43" t="s">
        <v>6573</v>
      </c>
      <c r="B2519" s="21" t="s">
        <v>6574</v>
      </c>
      <c r="C2519" s="21" t="s">
        <v>22682</v>
      </c>
      <c r="D2519" s="22">
        <v>46034</v>
      </c>
      <c r="E2519" s="23" t="s">
        <v>22658</v>
      </c>
      <c r="F2519" s="24" t="s">
        <v>22657</v>
      </c>
      <c r="G2519" s="25">
        <v>4</v>
      </c>
      <c r="H2519" s="29"/>
      <c r="I2519" s="30"/>
    </row>
    <row r="2520" spans="1:9" ht="15.75" thickBot="1" x14ac:dyDescent="0.3">
      <c r="A2520" s="43" t="s">
        <v>6575</v>
      </c>
      <c r="B2520" s="21" t="s">
        <v>6576</v>
      </c>
      <c r="C2520" s="21" t="s">
        <v>22663</v>
      </c>
      <c r="D2520" s="31">
        <v>1</v>
      </c>
      <c r="E2520" s="23" t="s">
        <v>22658</v>
      </c>
      <c r="F2520" s="24" t="s">
        <v>22657</v>
      </c>
      <c r="G2520" s="25">
        <v>2</v>
      </c>
      <c r="H2520" s="26"/>
      <c r="I2520" s="27"/>
    </row>
    <row r="2521" spans="1:9" ht="15.75" thickBot="1" x14ac:dyDescent="0.3">
      <c r="A2521" s="43" t="s">
        <v>6577</v>
      </c>
      <c r="B2521" s="21" t="s">
        <v>6578</v>
      </c>
      <c r="C2521" s="21" t="s">
        <v>22682</v>
      </c>
      <c r="D2521" s="22">
        <v>46034</v>
      </c>
      <c r="E2521" s="23" t="s">
        <v>22658</v>
      </c>
      <c r="F2521" s="24" t="s">
        <v>22657</v>
      </c>
      <c r="G2521" s="25">
        <v>4</v>
      </c>
      <c r="H2521" s="29"/>
      <c r="I2521" s="30"/>
    </row>
    <row r="2522" spans="1:9" ht="15.75" thickBot="1" x14ac:dyDescent="0.3">
      <c r="A2522" s="43" t="s">
        <v>6579</v>
      </c>
      <c r="B2522" s="21" t="s">
        <v>6580</v>
      </c>
      <c r="C2522" s="21" t="s">
        <v>22663</v>
      </c>
      <c r="D2522" s="31">
        <v>1</v>
      </c>
      <c r="E2522" s="23" t="s">
        <v>22658</v>
      </c>
      <c r="F2522" s="24" t="s">
        <v>22657</v>
      </c>
      <c r="G2522" s="25">
        <v>2</v>
      </c>
      <c r="H2522" s="26"/>
      <c r="I2522" s="27"/>
    </row>
    <row r="2523" spans="1:9" ht="15.75" thickBot="1" x14ac:dyDescent="0.3">
      <c r="A2523" s="43" t="s">
        <v>6581</v>
      </c>
      <c r="B2523" s="21" t="s">
        <v>6582</v>
      </c>
      <c r="C2523" s="21" t="s">
        <v>22682</v>
      </c>
      <c r="D2523" s="22">
        <v>46034</v>
      </c>
      <c r="E2523" s="23" t="s">
        <v>22658</v>
      </c>
      <c r="F2523" s="24" t="s">
        <v>22657</v>
      </c>
      <c r="G2523" s="25">
        <v>4</v>
      </c>
      <c r="H2523" s="29"/>
      <c r="I2523" s="30"/>
    </row>
    <row r="2524" spans="1:9" ht="15.75" thickBot="1" x14ac:dyDescent="0.3">
      <c r="A2524" s="43" t="s">
        <v>6583</v>
      </c>
      <c r="B2524" s="21" t="s">
        <v>6584</v>
      </c>
      <c r="C2524" s="21" t="s">
        <v>22663</v>
      </c>
      <c r="D2524" s="31">
        <v>1</v>
      </c>
      <c r="E2524" s="23" t="s">
        <v>22658</v>
      </c>
      <c r="F2524" s="24" t="s">
        <v>22657</v>
      </c>
      <c r="G2524" s="25">
        <v>2</v>
      </c>
      <c r="H2524" s="26"/>
      <c r="I2524" s="27"/>
    </row>
    <row r="2525" spans="1:9" ht="15.75" thickBot="1" x14ac:dyDescent="0.3">
      <c r="A2525" s="43" t="s">
        <v>6585</v>
      </c>
      <c r="B2525" s="21" t="s">
        <v>6586</v>
      </c>
      <c r="C2525" s="21" t="s">
        <v>22682</v>
      </c>
      <c r="D2525" s="22">
        <v>46034</v>
      </c>
      <c r="E2525" s="23" t="s">
        <v>22658</v>
      </c>
      <c r="F2525" s="24" t="s">
        <v>22657</v>
      </c>
      <c r="G2525" s="25">
        <v>4</v>
      </c>
      <c r="H2525" s="29"/>
      <c r="I2525" s="30"/>
    </row>
    <row r="2526" spans="1:9" ht="15.75" thickBot="1" x14ac:dyDescent="0.3">
      <c r="A2526" s="43" t="s">
        <v>6587</v>
      </c>
      <c r="B2526" s="21" t="s">
        <v>6588</v>
      </c>
      <c r="C2526" s="21" t="s">
        <v>22655</v>
      </c>
      <c r="D2526" s="31" t="s">
        <v>22688</v>
      </c>
      <c r="E2526" s="23" t="s">
        <v>22656</v>
      </c>
      <c r="F2526" s="24" t="s">
        <v>22657</v>
      </c>
      <c r="G2526" s="25">
        <v>4</v>
      </c>
      <c r="H2526" s="26"/>
      <c r="I2526" s="27"/>
    </row>
    <row r="2527" spans="1:9" ht="15.75" thickBot="1" x14ac:dyDescent="0.3">
      <c r="A2527" s="43" t="s">
        <v>6589</v>
      </c>
      <c r="B2527" s="21" t="s">
        <v>6590</v>
      </c>
      <c r="C2527" s="21" t="s">
        <v>22682</v>
      </c>
      <c r="D2527" s="22">
        <v>46034</v>
      </c>
      <c r="E2527" s="23" t="s">
        <v>22658</v>
      </c>
      <c r="F2527" s="24" t="s">
        <v>22657</v>
      </c>
      <c r="G2527" s="25">
        <v>4</v>
      </c>
      <c r="H2527" s="29"/>
      <c r="I2527" s="30"/>
    </row>
    <row r="2528" spans="1:9" ht="15.75" thickBot="1" x14ac:dyDescent="0.3">
      <c r="A2528" s="43" t="s">
        <v>6591</v>
      </c>
      <c r="B2528" s="21" t="s">
        <v>6592</v>
      </c>
      <c r="C2528" s="21" t="s">
        <v>22682</v>
      </c>
      <c r="D2528" s="22">
        <v>46034</v>
      </c>
      <c r="E2528" s="23" t="s">
        <v>22658</v>
      </c>
      <c r="F2528" s="24" t="s">
        <v>22657</v>
      </c>
      <c r="G2528" s="25">
        <v>4</v>
      </c>
      <c r="H2528" s="26"/>
      <c r="I2528" s="27"/>
    </row>
    <row r="2529" spans="1:9" ht="15.75" thickBot="1" x14ac:dyDescent="0.3">
      <c r="A2529" s="43" t="s">
        <v>6593</v>
      </c>
      <c r="B2529" s="21" t="s">
        <v>6594</v>
      </c>
      <c r="C2529" s="21" t="s">
        <v>22682</v>
      </c>
      <c r="D2529" s="22">
        <v>46034</v>
      </c>
      <c r="E2529" s="23" t="s">
        <v>22658</v>
      </c>
      <c r="F2529" s="24" t="s">
        <v>22657</v>
      </c>
      <c r="G2529" s="25">
        <v>4</v>
      </c>
      <c r="H2529" s="29"/>
      <c r="I2529" s="30"/>
    </row>
    <row r="2530" spans="1:9" ht="15.75" thickBot="1" x14ac:dyDescent="0.3">
      <c r="A2530" s="43" t="s">
        <v>6595</v>
      </c>
      <c r="B2530" s="21" t="s">
        <v>6596</v>
      </c>
      <c r="C2530" s="21" t="s">
        <v>22682</v>
      </c>
      <c r="D2530" s="22">
        <v>46034</v>
      </c>
      <c r="E2530" s="23" t="s">
        <v>22658</v>
      </c>
      <c r="F2530" s="24" t="s">
        <v>22657</v>
      </c>
      <c r="G2530" s="25">
        <v>4</v>
      </c>
      <c r="H2530" s="26"/>
      <c r="I2530" s="27"/>
    </row>
    <row r="2531" spans="1:9" ht="15.75" thickBot="1" x14ac:dyDescent="0.3">
      <c r="A2531" s="43" t="s">
        <v>703</v>
      </c>
      <c r="B2531" s="21" t="s">
        <v>704</v>
      </c>
      <c r="C2531" s="21" t="s">
        <v>22655</v>
      </c>
      <c r="D2531" s="22">
        <v>46034</v>
      </c>
      <c r="E2531" s="23" t="s">
        <v>22661</v>
      </c>
      <c r="F2531" s="24" t="s">
        <v>22657</v>
      </c>
      <c r="G2531" s="25">
        <v>12</v>
      </c>
      <c r="H2531" s="32">
        <v>12</v>
      </c>
      <c r="I2531" s="33">
        <v>24</v>
      </c>
    </row>
    <row r="2532" spans="1:9" ht="15.75" thickBot="1" x14ac:dyDescent="0.3">
      <c r="A2532" s="43" t="s">
        <v>191</v>
      </c>
      <c r="B2532" s="21" t="s">
        <v>192</v>
      </c>
      <c r="C2532" s="21" t="s">
        <v>22655</v>
      </c>
      <c r="D2532" s="31" t="s">
        <v>22660</v>
      </c>
      <c r="E2532" s="23" t="s">
        <v>22661</v>
      </c>
      <c r="F2532" s="24" t="s">
        <v>22657</v>
      </c>
      <c r="G2532" s="25">
        <v>16</v>
      </c>
      <c r="H2532" s="26"/>
      <c r="I2532" s="27"/>
    </row>
    <row r="2533" spans="1:9" ht="15.75" thickBot="1" x14ac:dyDescent="0.3">
      <c r="A2533" s="43" t="s">
        <v>6597</v>
      </c>
      <c r="B2533" s="21" t="s">
        <v>6598</v>
      </c>
      <c r="C2533" s="21" t="s">
        <v>22655</v>
      </c>
      <c r="D2533" s="22">
        <v>46042</v>
      </c>
      <c r="E2533" s="23" t="s">
        <v>22661</v>
      </c>
      <c r="F2533" s="24" t="s">
        <v>22657</v>
      </c>
      <c r="G2533" s="25">
        <v>7</v>
      </c>
      <c r="H2533" s="29"/>
      <c r="I2533" s="30"/>
    </row>
    <row r="2534" spans="1:9" ht="15.75" thickBot="1" x14ac:dyDescent="0.3">
      <c r="A2534" s="43" t="s">
        <v>207</v>
      </c>
      <c r="B2534" s="21" t="s">
        <v>6599</v>
      </c>
      <c r="C2534" s="21" t="s">
        <v>22655</v>
      </c>
      <c r="D2534" s="22">
        <v>46046</v>
      </c>
      <c r="E2534" s="23" t="s">
        <v>22661</v>
      </c>
      <c r="F2534" s="24" t="s">
        <v>22657</v>
      </c>
      <c r="G2534" s="25">
        <v>24</v>
      </c>
      <c r="H2534" s="34">
        <v>24</v>
      </c>
      <c r="I2534" s="35">
        <v>48</v>
      </c>
    </row>
    <row r="2535" spans="1:9" ht="15.75" thickBot="1" x14ac:dyDescent="0.3">
      <c r="A2535" s="43" t="s">
        <v>13</v>
      </c>
      <c r="B2535" s="21" t="s">
        <v>14</v>
      </c>
      <c r="C2535" s="21" t="s">
        <v>22655</v>
      </c>
      <c r="D2535" s="22">
        <v>46030</v>
      </c>
      <c r="E2535" s="23" t="s">
        <v>22662</v>
      </c>
      <c r="F2535" s="24" t="s">
        <v>22657</v>
      </c>
      <c r="G2535" s="25">
        <v>40</v>
      </c>
      <c r="H2535" s="32">
        <v>40</v>
      </c>
      <c r="I2535" s="33">
        <v>80</v>
      </c>
    </row>
    <row r="2536" spans="1:9" ht="15.75" thickBot="1" x14ac:dyDescent="0.3">
      <c r="A2536" s="43" t="s">
        <v>239</v>
      </c>
      <c r="B2536" s="21" t="s">
        <v>240</v>
      </c>
      <c r="C2536" s="21" t="s">
        <v>22655</v>
      </c>
      <c r="D2536" s="31" t="s">
        <v>22660</v>
      </c>
      <c r="E2536" s="23" t="s">
        <v>22665</v>
      </c>
      <c r="F2536" s="24" t="s">
        <v>22657</v>
      </c>
      <c r="G2536" s="25">
        <v>48</v>
      </c>
      <c r="H2536" s="34">
        <v>48</v>
      </c>
      <c r="I2536" s="35">
        <v>96</v>
      </c>
    </row>
    <row r="2537" spans="1:9" ht="15.75" thickBot="1" x14ac:dyDescent="0.3">
      <c r="A2537" s="43" t="s">
        <v>17</v>
      </c>
      <c r="B2537" s="21" t="s">
        <v>18</v>
      </c>
      <c r="C2537" s="21" t="s">
        <v>22655</v>
      </c>
      <c r="D2537" s="22">
        <v>46042</v>
      </c>
      <c r="E2537" s="23" t="s">
        <v>22662</v>
      </c>
      <c r="F2537" s="24" t="s">
        <v>22657</v>
      </c>
      <c r="G2537" s="25">
        <v>40</v>
      </c>
      <c r="H2537" s="32">
        <v>40</v>
      </c>
      <c r="I2537" s="33">
        <v>80</v>
      </c>
    </row>
    <row r="2538" spans="1:9" ht="15.75" thickBot="1" x14ac:dyDescent="0.3">
      <c r="A2538" s="43" t="s">
        <v>1421</v>
      </c>
      <c r="B2538" s="21" t="s">
        <v>1422</v>
      </c>
      <c r="C2538" s="21" t="s">
        <v>22655</v>
      </c>
      <c r="D2538" s="31" t="s">
        <v>22660</v>
      </c>
      <c r="E2538" s="23" t="s">
        <v>22661</v>
      </c>
      <c r="F2538" s="24" t="s">
        <v>22657</v>
      </c>
      <c r="G2538" s="25">
        <v>16</v>
      </c>
      <c r="H2538" s="26"/>
      <c r="I2538" s="27"/>
    </row>
    <row r="2539" spans="1:9" ht="15.75" thickBot="1" x14ac:dyDescent="0.3">
      <c r="A2539" s="43" t="s">
        <v>6600</v>
      </c>
      <c r="B2539" s="21" t="s">
        <v>6601</v>
      </c>
      <c r="C2539" s="21" t="s">
        <v>22655</v>
      </c>
      <c r="D2539" s="22">
        <v>46046</v>
      </c>
      <c r="E2539" s="23" t="s">
        <v>22656</v>
      </c>
      <c r="F2539" s="24" t="s">
        <v>22657</v>
      </c>
      <c r="G2539" s="25">
        <v>12</v>
      </c>
      <c r="H2539" s="32">
        <v>12</v>
      </c>
      <c r="I2539" s="33">
        <v>24</v>
      </c>
    </row>
    <row r="2540" spans="1:9" ht="15.75" thickBot="1" x14ac:dyDescent="0.3">
      <c r="A2540" s="43" t="s">
        <v>109</v>
      </c>
      <c r="B2540" s="21" t="s">
        <v>110</v>
      </c>
      <c r="C2540" s="21" t="s">
        <v>22655</v>
      </c>
      <c r="D2540" s="22">
        <v>46030</v>
      </c>
      <c r="E2540" s="23" t="s">
        <v>22661</v>
      </c>
      <c r="F2540" s="24" t="s">
        <v>22657</v>
      </c>
      <c r="G2540" s="25">
        <v>6</v>
      </c>
      <c r="H2540" s="26"/>
      <c r="I2540" s="27"/>
    </row>
    <row r="2541" spans="1:9" ht="15.75" thickBot="1" x14ac:dyDescent="0.3">
      <c r="A2541" s="43" t="s">
        <v>1924</v>
      </c>
      <c r="B2541" s="21" t="s">
        <v>1925</v>
      </c>
      <c r="C2541" s="21" t="s">
        <v>22655</v>
      </c>
      <c r="D2541" s="31" t="s">
        <v>22660</v>
      </c>
      <c r="E2541" s="23" t="s">
        <v>22665</v>
      </c>
      <c r="F2541" s="24" t="s">
        <v>22657</v>
      </c>
      <c r="G2541" s="25">
        <v>12</v>
      </c>
      <c r="H2541" s="32">
        <v>12</v>
      </c>
      <c r="I2541" s="33">
        <v>24</v>
      </c>
    </row>
    <row r="2542" spans="1:9" ht="15.75" thickBot="1" x14ac:dyDescent="0.3">
      <c r="A2542" s="43" t="s">
        <v>989</v>
      </c>
      <c r="B2542" s="21" t="s">
        <v>990</v>
      </c>
      <c r="C2542" s="21" t="s">
        <v>22655</v>
      </c>
      <c r="D2542" s="22">
        <v>46042</v>
      </c>
      <c r="E2542" s="23" t="s">
        <v>22661</v>
      </c>
      <c r="F2542" s="24" t="s">
        <v>22657</v>
      </c>
      <c r="G2542" s="25">
        <v>17</v>
      </c>
      <c r="H2542" s="26"/>
      <c r="I2542" s="27"/>
    </row>
    <row r="2543" spans="1:9" ht="15.75" thickBot="1" x14ac:dyDescent="0.3">
      <c r="A2543" s="43" t="s">
        <v>6602</v>
      </c>
      <c r="B2543" s="21" t="s">
        <v>6603</v>
      </c>
      <c r="C2543" s="21" t="s">
        <v>22655</v>
      </c>
      <c r="D2543" s="22">
        <v>46034</v>
      </c>
      <c r="E2543" s="23" t="s">
        <v>22658</v>
      </c>
      <c r="F2543" s="24" t="s">
        <v>22657</v>
      </c>
      <c r="G2543" s="25">
        <v>4</v>
      </c>
      <c r="H2543" s="29"/>
      <c r="I2543" s="30"/>
    </row>
    <row r="2544" spans="1:9" ht="15.75" thickBot="1" x14ac:dyDescent="0.3">
      <c r="A2544" s="43" t="s">
        <v>6604</v>
      </c>
      <c r="B2544" s="21" t="s">
        <v>6605</v>
      </c>
      <c r="C2544" s="21" t="s">
        <v>22655</v>
      </c>
      <c r="D2544" s="22">
        <v>46046</v>
      </c>
      <c r="E2544" s="23" t="s">
        <v>22658</v>
      </c>
      <c r="F2544" s="24" t="s">
        <v>22657</v>
      </c>
      <c r="G2544" s="25">
        <v>3</v>
      </c>
      <c r="H2544" s="26"/>
      <c r="I2544" s="27"/>
    </row>
    <row r="2545" spans="1:9" ht="15.75" thickBot="1" x14ac:dyDescent="0.3">
      <c r="A2545" s="43" t="s">
        <v>6606</v>
      </c>
      <c r="B2545" s="21" t="s">
        <v>6607</v>
      </c>
      <c r="C2545" s="21" t="s">
        <v>22655</v>
      </c>
      <c r="D2545" s="22">
        <v>46046</v>
      </c>
      <c r="E2545" s="23" t="s">
        <v>22658</v>
      </c>
      <c r="F2545" s="24" t="s">
        <v>22657</v>
      </c>
      <c r="G2545" s="25">
        <v>3</v>
      </c>
      <c r="H2545" s="29"/>
      <c r="I2545" s="30"/>
    </row>
    <row r="2546" spans="1:9" ht="15.75" thickBot="1" x14ac:dyDescent="0.3">
      <c r="A2546" s="43" t="s">
        <v>6608</v>
      </c>
      <c r="B2546" s="21" t="s">
        <v>6609</v>
      </c>
      <c r="C2546" s="21" t="s">
        <v>22655</v>
      </c>
      <c r="D2546" s="22">
        <v>46046</v>
      </c>
      <c r="E2546" s="23" t="s">
        <v>22656</v>
      </c>
      <c r="F2546" s="24" t="s">
        <v>22657</v>
      </c>
      <c r="G2546" s="25">
        <v>3</v>
      </c>
      <c r="H2546" s="26"/>
      <c r="I2546" s="27"/>
    </row>
    <row r="2547" spans="1:9" ht="15.75" thickBot="1" x14ac:dyDescent="0.3">
      <c r="A2547" s="43" t="s">
        <v>6610</v>
      </c>
      <c r="B2547" s="21" t="s">
        <v>6611</v>
      </c>
      <c r="C2547" s="21" t="s">
        <v>22655</v>
      </c>
      <c r="D2547" s="22">
        <v>46038</v>
      </c>
      <c r="E2547" s="23" t="s">
        <v>22656</v>
      </c>
      <c r="F2547" s="24" t="s">
        <v>22657</v>
      </c>
      <c r="G2547" s="25">
        <v>6</v>
      </c>
      <c r="H2547" s="29"/>
      <c r="I2547" s="30"/>
    </row>
    <row r="2548" spans="1:9" ht="15.75" thickBot="1" x14ac:dyDescent="0.3">
      <c r="A2548" s="43" t="s">
        <v>525</v>
      </c>
      <c r="B2548" s="21" t="s">
        <v>526</v>
      </c>
      <c r="C2548" s="21" t="s">
        <v>22780</v>
      </c>
      <c r="D2548" s="22">
        <v>46038</v>
      </c>
      <c r="E2548" s="23" t="s">
        <v>22661</v>
      </c>
      <c r="F2548" s="24" t="s">
        <v>22657</v>
      </c>
      <c r="G2548" s="25">
        <v>6</v>
      </c>
      <c r="H2548" s="34">
        <v>6</v>
      </c>
      <c r="I2548" s="35">
        <v>8</v>
      </c>
    </row>
    <row r="2549" spans="1:9" ht="15.75" thickBot="1" x14ac:dyDescent="0.3">
      <c r="A2549" s="43" t="s">
        <v>844</v>
      </c>
      <c r="B2549" s="21" t="s">
        <v>845</v>
      </c>
      <c r="C2549" s="21" t="s">
        <v>22655</v>
      </c>
      <c r="D2549" s="22">
        <v>46034</v>
      </c>
      <c r="E2549" s="23" t="s">
        <v>22656</v>
      </c>
      <c r="F2549" s="24" t="s">
        <v>22657</v>
      </c>
      <c r="G2549" s="25">
        <v>4</v>
      </c>
      <c r="H2549" s="32">
        <v>4</v>
      </c>
      <c r="I2549" s="33">
        <v>8</v>
      </c>
    </row>
    <row r="2550" spans="1:9" ht="15.75" thickBot="1" x14ac:dyDescent="0.3">
      <c r="A2550" s="43" t="s">
        <v>6612</v>
      </c>
      <c r="B2550" s="21" t="s">
        <v>6613</v>
      </c>
      <c r="C2550" s="21" t="s">
        <v>22655</v>
      </c>
      <c r="D2550" s="22">
        <v>46034</v>
      </c>
      <c r="E2550" s="23" t="s">
        <v>22656</v>
      </c>
      <c r="F2550" s="24" t="s">
        <v>22657</v>
      </c>
      <c r="G2550" s="25">
        <v>4</v>
      </c>
      <c r="H2550" s="34">
        <v>4</v>
      </c>
      <c r="I2550" s="35">
        <v>8</v>
      </c>
    </row>
    <row r="2551" spans="1:9" ht="15.75" thickBot="1" x14ac:dyDescent="0.3">
      <c r="A2551" s="43" t="s">
        <v>6614</v>
      </c>
      <c r="B2551" s="21" t="s">
        <v>6615</v>
      </c>
      <c r="C2551" s="21" t="s">
        <v>22655</v>
      </c>
      <c r="D2551" s="31" t="s">
        <v>22673</v>
      </c>
      <c r="E2551" s="23" t="s">
        <v>22658</v>
      </c>
      <c r="F2551" s="24" t="s">
        <v>22657</v>
      </c>
      <c r="G2551" s="25">
        <v>4</v>
      </c>
      <c r="H2551" s="29"/>
      <c r="I2551" s="30"/>
    </row>
    <row r="2552" spans="1:9" ht="15.75" thickBot="1" x14ac:dyDescent="0.3">
      <c r="A2552" s="43" t="s">
        <v>6616</v>
      </c>
      <c r="B2552" s="21" t="s">
        <v>6617</v>
      </c>
      <c r="C2552" s="21" t="s">
        <v>22655</v>
      </c>
      <c r="D2552" s="31" t="s">
        <v>22673</v>
      </c>
      <c r="E2552" s="23" t="s">
        <v>22658</v>
      </c>
      <c r="F2552" s="24" t="s">
        <v>22657</v>
      </c>
      <c r="G2552" s="25">
        <v>4</v>
      </c>
      <c r="H2552" s="26"/>
      <c r="I2552" s="27"/>
    </row>
    <row r="2553" spans="1:9" ht="15.75" thickBot="1" x14ac:dyDescent="0.3">
      <c r="A2553" s="43" t="s">
        <v>6618</v>
      </c>
      <c r="B2553" s="21" t="s">
        <v>6619</v>
      </c>
      <c r="C2553" s="21" t="s">
        <v>22663</v>
      </c>
      <c r="D2553" s="31">
        <v>1</v>
      </c>
      <c r="E2553" s="23" t="s">
        <v>22656</v>
      </c>
      <c r="F2553" s="24" t="s">
        <v>22657</v>
      </c>
      <c r="G2553" s="25">
        <v>10</v>
      </c>
      <c r="H2553" s="29"/>
      <c r="I2553" s="30"/>
    </row>
    <row r="2554" spans="1:9" ht="15.75" thickBot="1" x14ac:dyDescent="0.3">
      <c r="A2554" s="43" t="s">
        <v>1151</v>
      </c>
      <c r="B2554" s="21" t="s">
        <v>1152</v>
      </c>
      <c r="C2554" s="21" t="s">
        <v>22709</v>
      </c>
      <c r="D2554" s="31">
        <v>1</v>
      </c>
      <c r="E2554" s="23" t="s">
        <v>22658</v>
      </c>
      <c r="F2554" s="24" t="s">
        <v>22657</v>
      </c>
      <c r="G2554" s="25">
        <v>1</v>
      </c>
      <c r="H2554" s="26"/>
      <c r="I2554" s="27"/>
    </row>
    <row r="2555" spans="1:9" ht="15.75" thickBot="1" x14ac:dyDescent="0.3">
      <c r="A2555" s="43" t="s">
        <v>6620</v>
      </c>
      <c r="B2555" s="21" t="s">
        <v>6621</v>
      </c>
      <c r="C2555" s="21" t="s">
        <v>22698</v>
      </c>
      <c r="D2555" s="31">
        <v>1</v>
      </c>
      <c r="E2555" s="23" t="s">
        <v>22656</v>
      </c>
      <c r="F2555" s="24" t="s">
        <v>22657</v>
      </c>
      <c r="G2555" s="25">
        <v>5</v>
      </c>
      <c r="H2555" s="29"/>
      <c r="I2555" s="30"/>
    </row>
    <row r="2556" spans="1:9" ht="15.75" thickBot="1" x14ac:dyDescent="0.3">
      <c r="A2556" s="43" t="s">
        <v>6622</v>
      </c>
      <c r="B2556" s="21" t="s">
        <v>6623</v>
      </c>
      <c r="C2556" s="21" t="s">
        <v>22663</v>
      </c>
      <c r="D2556" s="31">
        <v>1</v>
      </c>
      <c r="E2556" s="23" t="s">
        <v>22656</v>
      </c>
      <c r="F2556" s="24" t="s">
        <v>22657</v>
      </c>
      <c r="G2556" s="25">
        <v>7</v>
      </c>
      <c r="H2556" s="26"/>
      <c r="I2556" s="27"/>
    </row>
    <row r="2557" spans="1:9" ht="15.75" thickBot="1" x14ac:dyDescent="0.3">
      <c r="A2557" s="43" t="s">
        <v>6628</v>
      </c>
      <c r="B2557" s="21" t="s">
        <v>6629</v>
      </c>
      <c r="C2557" s="21" t="s">
        <v>22709</v>
      </c>
      <c r="D2557" s="31">
        <v>1</v>
      </c>
      <c r="E2557" s="23" t="s">
        <v>22658</v>
      </c>
      <c r="F2557" s="28" t="s">
        <v>22659</v>
      </c>
      <c r="G2557" s="25">
        <v>1</v>
      </c>
      <c r="H2557" s="29"/>
      <c r="I2557" s="30"/>
    </row>
    <row r="2558" spans="1:9" ht="15.75" thickBot="1" x14ac:dyDescent="0.3">
      <c r="A2558" s="43" t="s">
        <v>6630</v>
      </c>
      <c r="B2558" s="21" t="s">
        <v>6631</v>
      </c>
      <c r="C2558" s="21" t="s">
        <v>22655</v>
      </c>
      <c r="D2558" s="22">
        <v>46046</v>
      </c>
      <c r="E2558" s="23" t="s">
        <v>22656</v>
      </c>
      <c r="F2558" s="24" t="s">
        <v>22657</v>
      </c>
      <c r="G2558" s="25">
        <v>9</v>
      </c>
      <c r="H2558" s="26"/>
      <c r="I2558" s="27"/>
    </row>
    <row r="2559" spans="1:9" ht="15.75" thickBot="1" x14ac:dyDescent="0.3">
      <c r="A2559" s="43" t="s">
        <v>6632</v>
      </c>
      <c r="B2559" s="21" t="s">
        <v>6633</v>
      </c>
      <c r="C2559" s="21" t="s">
        <v>22655</v>
      </c>
      <c r="D2559" s="22">
        <v>46030</v>
      </c>
      <c r="E2559" s="23" t="s">
        <v>22658</v>
      </c>
      <c r="F2559" s="24" t="s">
        <v>22657</v>
      </c>
      <c r="G2559" s="25">
        <v>3</v>
      </c>
      <c r="H2559" s="29"/>
      <c r="I2559" s="30"/>
    </row>
    <row r="2560" spans="1:9" ht="15.75" thickBot="1" x14ac:dyDescent="0.3">
      <c r="A2560" s="43" t="s">
        <v>6634</v>
      </c>
      <c r="B2560" s="21" t="s">
        <v>6635</v>
      </c>
      <c r="C2560" s="21" t="s">
        <v>22663</v>
      </c>
      <c r="D2560" s="31">
        <v>1</v>
      </c>
      <c r="E2560" s="23" t="s">
        <v>22658</v>
      </c>
      <c r="F2560" s="24" t="s">
        <v>22657</v>
      </c>
      <c r="G2560" s="25">
        <v>2</v>
      </c>
      <c r="H2560" s="26"/>
      <c r="I2560" s="27"/>
    </row>
    <row r="2561" spans="1:9" ht="15.75" thickBot="1" x14ac:dyDescent="0.3">
      <c r="A2561" s="43" t="s">
        <v>6636</v>
      </c>
      <c r="B2561" s="21" t="s">
        <v>6637</v>
      </c>
      <c r="C2561" s="21" t="s">
        <v>22663</v>
      </c>
      <c r="D2561" s="31">
        <v>1</v>
      </c>
      <c r="E2561" s="23" t="s">
        <v>22656</v>
      </c>
      <c r="F2561" s="24" t="s">
        <v>22657</v>
      </c>
      <c r="G2561" s="25">
        <v>2</v>
      </c>
      <c r="H2561" s="29"/>
      <c r="I2561" s="30"/>
    </row>
    <row r="2562" spans="1:9" ht="15.75" thickBot="1" x14ac:dyDescent="0.3">
      <c r="A2562" s="43" t="s">
        <v>6638</v>
      </c>
      <c r="B2562" s="21" t="s">
        <v>6639</v>
      </c>
      <c r="C2562" s="21" t="s">
        <v>22663</v>
      </c>
      <c r="D2562" s="31">
        <v>1</v>
      </c>
      <c r="E2562" s="23" t="s">
        <v>22658</v>
      </c>
      <c r="F2562" s="24" t="s">
        <v>22657</v>
      </c>
      <c r="G2562" s="25">
        <v>2</v>
      </c>
      <c r="H2562" s="26"/>
      <c r="I2562" s="27"/>
    </row>
    <row r="2563" spans="1:9" ht="15.75" thickBot="1" x14ac:dyDescent="0.3">
      <c r="A2563" s="43" t="s">
        <v>6642</v>
      </c>
      <c r="B2563" s="21" t="s">
        <v>6643</v>
      </c>
      <c r="C2563" s="21" t="s">
        <v>22663</v>
      </c>
      <c r="D2563" s="31">
        <v>1</v>
      </c>
      <c r="E2563" s="23" t="s">
        <v>22656</v>
      </c>
      <c r="F2563" s="24" t="s">
        <v>22657</v>
      </c>
      <c r="G2563" s="25">
        <v>5</v>
      </c>
      <c r="H2563" s="29"/>
      <c r="I2563" s="30"/>
    </row>
    <row r="2564" spans="1:9" ht="15.75" thickBot="1" x14ac:dyDescent="0.3">
      <c r="A2564" s="43" t="s">
        <v>6644</v>
      </c>
      <c r="B2564" s="21" t="s">
        <v>6645</v>
      </c>
      <c r="C2564" s="21" t="s">
        <v>22663</v>
      </c>
      <c r="D2564" s="31">
        <v>1</v>
      </c>
      <c r="E2564" s="23" t="s">
        <v>22658</v>
      </c>
      <c r="F2564" s="24" t="s">
        <v>22657</v>
      </c>
      <c r="G2564" s="25">
        <v>1</v>
      </c>
      <c r="H2564" s="26"/>
      <c r="I2564" s="27"/>
    </row>
    <row r="2565" spans="1:9" ht="15.75" thickBot="1" x14ac:dyDescent="0.3">
      <c r="A2565" s="43" t="s">
        <v>6646</v>
      </c>
      <c r="B2565" s="21" t="s">
        <v>6647</v>
      </c>
      <c r="C2565" s="21" t="s">
        <v>22655</v>
      </c>
      <c r="D2565" s="22">
        <v>46038</v>
      </c>
      <c r="E2565" s="23" t="s">
        <v>22656</v>
      </c>
      <c r="F2565" s="24" t="s">
        <v>22657</v>
      </c>
      <c r="G2565" s="25">
        <v>6</v>
      </c>
      <c r="H2565" s="29"/>
      <c r="I2565" s="30"/>
    </row>
    <row r="2566" spans="1:9" ht="15.75" thickBot="1" x14ac:dyDescent="0.3">
      <c r="A2566" s="43" t="s">
        <v>6648</v>
      </c>
      <c r="B2566" s="21" t="s">
        <v>6649</v>
      </c>
      <c r="C2566" s="21" t="s">
        <v>22655</v>
      </c>
      <c r="D2566" s="22">
        <v>46034</v>
      </c>
      <c r="E2566" s="23" t="s">
        <v>22656</v>
      </c>
      <c r="F2566" s="24" t="s">
        <v>22657</v>
      </c>
      <c r="G2566" s="25">
        <v>4</v>
      </c>
      <c r="H2566" s="26"/>
      <c r="I2566" s="27"/>
    </row>
    <row r="2567" spans="1:9" ht="15.75" thickBot="1" x14ac:dyDescent="0.3">
      <c r="A2567" s="43" t="s">
        <v>751</v>
      </c>
      <c r="B2567" s="21" t="s">
        <v>752</v>
      </c>
      <c r="C2567" s="21" t="s">
        <v>22655</v>
      </c>
      <c r="D2567" s="22">
        <v>46032</v>
      </c>
      <c r="E2567" s="23" t="s">
        <v>22662</v>
      </c>
      <c r="F2567" s="24" t="s">
        <v>22657</v>
      </c>
      <c r="G2567" s="25">
        <v>24</v>
      </c>
      <c r="H2567" s="32">
        <v>24</v>
      </c>
      <c r="I2567" s="33">
        <v>36</v>
      </c>
    </row>
    <row r="2568" spans="1:9" ht="15.75" thickBot="1" x14ac:dyDescent="0.3">
      <c r="A2568" s="43" t="s">
        <v>1075</v>
      </c>
      <c r="B2568" s="21" t="s">
        <v>1076</v>
      </c>
      <c r="C2568" s="21" t="s">
        <v>22655</v>
      </c>
      <c r="D2568" s="22">
        <v>46046</v>
      </c>
      <c r="E2568" s="23" t="s">
        <v>22665</v>
      </c>
      <c r="F2568" s="24" t="s">
        <v>22657</v>
      </c>
      <c r="G2568" s="25">
        <v>26</v>
      </c>
      <c r="H2568" s="26"/>
      <c r="I2568" s="27"/>
    </row>
    <row r="2569" spans="1:9" ht="15.75" thickBot="1" x14ac:dyDescent="0.3">
      <c r="A2569" s="43" t="s">
        <v>1311</v>
      </c>
      <c r="B2569" s="21" t="s">
        <v>1312</v>
      </c>
      <c r="C2569" s="21" t="s">
        <v>22655</v>
      </c>
      <c r="D2569" s="22">
        <v>46032</v>
      </c>
      <c r="E2569" s="23" t="s">
        <v>22661</v>
      </c>
      <c r="F2569" s="24" t="s">
        <v>22657</v>
      </c>
      <c r="G2569" s="25">
        <v>12</v>
      </c>
      <c r="H2569" s="32">
        <v>12</v>
      </c>
      <c r="I2569" s="33">
        <v>24</v>
      </c>
    </row>
    <row r="2570" spans="1:9" ht="15.75" thickBot="1" x14ac:dyDescent="0.3">
      <c r="A2570" s="43" t="s">
        <v>6650</v>
      </c>
      <c r="B2570" s="21" t="s">
        <v>6651</v>
      </c>
      <c r="C2570" s="21" t="s">
        <v>22655</v>
      </c>
      <c r="D2570" s="22">
        <v>46046</v>
      </c>
      <c r="E2570" s="23" t="s">
        <v>22661</v>
      </c>
      <c r="F2570" s="24" t="s">
        <v>22657</v>
      </c>
      <c r="G2570" s="25">
        <v>8</v>
      </c>
      <c r="H2570" s="26"/>
      <c r="I2570" s="27"/>
    </row>
    <row r="2571" spans="1:9" ht="15.75" thickBot="1" x14ac:dyDescent="0.3">
      <c r="A2571" s="43" t="s">
        <v>1385</v>
      </c>
      <c r="B2571" s="21" t="s">
        <v>6652</v>
      </c>
      <c r="C2571" s="21" t="s">
        <v>22655</v>
      </c>
      <c r="D2571" s="22">
        <v>46032</v>
      </c>
      <c r="E2571" s="23" t="s">
        <v>22662</v>
      </c>
      <c r="F2571" s="24" t="s">
        <v>22657</v>
      </c>
      <c r="G2571" s="25">
        <v>60</v>
      </c>
      <c r="H2571" s="32">
        <v>60</v>
      </c>
      <c r="I2571" s="33">
        <v>100</v>
      </c>
    </row>
    <row r="2572" spans="1:9" ht="15.75" thickBot="1" x14ac:dyDescent="0.3">
      <c r="A2572" s="43" t="s">
        <v>6653</v>
      </c>
      <c r="B2572" s="21" t="s">
        <v>6654</v>
      </c>
      <c r="C2572" s="21" t="s">
        <v>22655</v>
      </c>
      <c r="D2572" s="22">
        <v>46046</v>
      </c>
      <c r="E2572" s="23" t="s">
        <v>22665</v>
      </c>
      <c r="F2572" s="24" t="s">
        <v>22657</v>
      </c>
      <c r="G2572" s="25">
        <v>9</v>
      </c>
      <c r="H2572" s="26"/>
      <c r="I2572" s="27"/>
    </row>
    <row r="2573" spans="1:9" ht="15.75" thickBot="1" x14ac:dyDescent="0.3">
      <c r="A2573" s="43" t="s">
        <v>1243</v>
      </c>
      <c r="B2573" s="21" t="s">
        <v>6655</v>
      </c>
      <c r="C2573" s="21" t="s">
        <v>22655</v>
      </c>
      <c r="D2573" s="22">
        <v>46042</v>
      </c>
      <c r="E2573" s="23" t="s">
        <v>22665</v>
      </c>
      <c r="F2573" s="24" t="s">
        <v>22657</v>
      </c>
      <c r="G2573" s="25">
        <v>9</v>
      </c>
      <c r="H2573" s="29"/>
      <c r="I2573" s="30"/>
    </row>
    <row r="2574" spans="1:9" ht="15.75" thickBot="1" x14ac:dyDescent="0.3">
      <c r="A2574" s="43" t="s">
        <v>6656</v>
      </c>
      <c r="B2574" s="21" t="s">
        <v>6657</v>
      </c>
      <c r="C2574" s="21" t="s">
        <v>22655</v>
      </c>
      <c r="D2574" s="31" t="s">
        <v>22660</v>
      </c>
      <c r="E2574" s="23" t="s">
        <v>22656</v>
      </c>
      <c r="F2574" s="24" t="s">
        <v>22657</v>
      </c>
      <c r="G2574" s="25">
        <v>4</v>
      </c>
      <c r="H2574" s="26"/>
      <c r="I2574" s="27"/>
    </row>
    <row r="2575" spans="1:9" ht="15.75" thickBot="1" x14ac:dyDescent="0.3">
      <c r="A2575" s="43" t="s">
        <v>6658</v>
      </c>
      <c r="B2575" s="21" t="s">
        <v>6659</v>
      </c>
      <c r="C2575" s="21" t="s">
        <v>22655</v>
      </c>
      <c r="D2575" s="22">
        <v>46046</v>
      </c>
      <c r="E2575" s="23" t="s">
        <v>22656</v>
      </c>
      <c r="F2575" s="24" t="s">
        <v>22657</v>
      </c>
      <c r="G2575" s="25">
        <v>8</v>
      </c>
      <c r="H2575" s="29"/>
      <c r="I2575" s="30"/>
    </row>
    <row r="2576" spans="1:9" ht="15.75" thickBot="1" x14ac:dyDescent="0.3">
      <c r="A2576" s="43" t="s">
        <v>6660</v>
      </c>
      <c r="B2576" s="21" t="s">
        <v>6661</v>
      </c>
      <c r="C2576" s="21" t="s">
        <v>22655</v>
      </c>
      <c r="D2576" s="22">
        <v>46046</v>
      </c>
      <c r="E2576" s="23" t="s">
        <v>22656</v>
      </c>
      <c r="F2576" s="24" t="s">
        <v>22657</v>
      </c>
      <c r="G2576" s="25">
        <v>2</v>
      </c>
      <c r="H2576" s="26"/>
      <c r="I2576" s="27"/>
    </row>
    <row r="2577" spans="1:9" ht="15.75" thickBot="1" x14ac:dyDescent="0.3">
      <c r="A2577" s="43" t="s">
        <v>1009</v>
      </c>
      <c r="B2577" s="21" t="s">
        <v>6662</v>
      </c>
      <c r="C2577" s="21" t="s">
        <v>22663</v>
      </c>
      <c r="D2577" s="31">
        <v>1</v>
      </c>
      <c r="E2577" s="23" t="s">
        <v>22665</v>
      </c>
      <c r="F2577" s="24" t="s">
        <v>22657</v>
      </c>
      <c r="G2577" s="25">
        <v>20</v>
      </c>
      <c r="H2577" s="32">
        <v>20</v>
      </c>
      <c r="I2577" s="33">
        <v>36</v>
      </c>
    </row>
    <row r="2578" spans="1:9" ht="15.75" thickBot="1" x14ac:dyDescent="0.3">
      <c r="A2578" s="43" t="s">
        <v>1703</v>
      </c>
      <c r="B2578" s="21" t="s">
        <v>6663</v>
      </c>
      <c r="C2578" s="21" t="s">
        <v>22655</v>
      </c>
      <c r="D2578" s="22">
        <v>46042</v>
      </c>
      <c r="E2578" s="23" t="s">
        <v>22665</v>
      </c>
      <c r="F2578" s="24" t="s">
        <v>22657</v>
      </c>
      <c r="G2578" s="25">
        <v>60</v>
      </c>
      <c r="H2578" s="34">
        <v>60</v>
      </c>
      <c r="I2578" s="35">
        <v>84</v>
      </c>
    </row>
    <row r="2579" spans="1:9" ht="15.75" thickBot="1" x14ac:dyDescent="0.3">
      <c r="A2579" s="43" t="s">
        <v>6664</v>
      </c>
      <c r="B2579" s="21" t="s">
        <v>6665</v>
      </c>
      <c r="C2579" s="21" t="s">
        <v>22655</v>
      </c>
      <c r="D2579" s="22">
        <v>46046</v>
      </c>
      <c r="E2579" s="23" t="s">
        <v>22656</v>
      </c>
      <c r="F2579" s="24" t="s">
        <v>22657</v>
      </c>
      <c r="G2579" s="25">
        <v>5</v>
      </c>
      <c r="H2579" s="29"/>
      <c r="I2579" s="30"/>
    </row>
    <row r="2580" spans="1:9" ht="15.75" thickBot="1" x14ac:dyDescent="0.3">
      <c r="A2580" s="43" t="s">
        <v>6666</v>
      </c>
      <c r="B2580" s="21" t="s">
        <v>6667</v>
      </c>
      <c r="C2580" s="21" t="s">
        <v>22655</v>
      </c>
      <c r="D2580" s="22">
        <v>46046</v>
      </c>
      <c r="E2580" s="23" t="s">
        <v>22656</v>
      </c>
      <c r="F2580" s="24" t="s">
        <v>22657</v>
      </c>
      <c r="G2580" s="25">
        <v>8</v>
      </c>
      <c r="H2580" s="26"/>
      <c r="I2580" s="27"/>
    </row>
    <row r="2581" spans="1:9" ht="15.75" thickBot="1" x14ac:dyDescent="0.3">
      <c r="A2581" s="43" t="s">
        <v>6668</v>
      </c>
      <c r="B2581" s="21" t="s">
        <v>6669</v>
      </c>
      <c r="C2581" s="21" t="s">
        <v>22655</v>
      </c>
      <c r="D2581" s="22">
        <v>46034</v>
      </c>
      <c r="E2581" s="23" t="s">
        <v>22656</v>
      </c>
      <c r="F2581" s="24" t="s">
        <v>22657</v>
      </c>
      <c r="G2581" s="25">
        <v>4</v>
      </c>
      <c r="H2581" s="29"/>
      <c r="I2581" s="30"/>
    </row>
    <row r="2582" spans="1:9" ht="15.75" thickBot="1" x14ac:dyDescent="0.3">
      <c r="A2582" s="43" t="s">
        <v>6670</v>
      </c>
      <c r="B2582" s="21" t="s">
        <v>6671</v>
      </c>
      <c r="C2582" s="21" t="s">
        <v>22655</v>
      </c>
      <c r="D2582" s="22">
        <v>46046</v>
      </c>
      <c r="E2582" s="23" t="s">
        <v>22658</v>
      </c>
      <c r="F2582" s="24" t="s">
        <v>22657</v>
      </c>
      <c r="G2582" s="25">
        <v>8</v>
      </c>
      <c r="H2582" s="26"/>
      <c r="I2582" s="27"/>
    </row>
    <row r="2583" spans="1:9" ht="15.75" thickBot="1" x14ac:dyDescent="0.3">
      <c r="A2583" s="43" t="s">
        <v>6673</v>
      </c>
      <c r="B2583" s="21" t="s">
        <v>6674</v>
      </c>
      <c r="C2583" s="21" t="s">
        <v>22655</v>
      </c>
      <c r="D2583" s="22">
        <v>46046</v>
      </c>
      <c r="E2583" s="23" t="s">
        <v>22661</v>
      </c>
      <c r="F2583" s="24" t="s">
        <v>22657</v>
      </c>
      <c r="G2583" s="25">
        <v>8</v>
      </c>
      <c r="H2583" s="29"/>
      <c r="I2583" s="30"/>
    </row>
    <row r="2584" spans="1:9" ht="15.75" thickBot="1" x14ac:dyDescent="0.3">
      <c r="A2584" s="43" t="s">
        <v>977</v>
      </c>
      <c r="B2584" s="21" t="s">
        <v>6672</v>
      </c>
      <c r="C2584" s="21" t="s">
        <v>22663</v>
      </c>
      <c r="D2584" s="31">
        <v>1</v>
      </c>
      <c r="E2584" s="23" t="s">
        <v>22661</v>
      </c>
      <c r="F2584" s="24" t="s">
        <v>22657</v>
      </c>
      <c r="G2584" s="25">
        <v>8</v>
      </c>
      <c r="H2584" s="34">
        <v>8</v>
      </c>
      <c r="I2584" s="35">
        <v>16</v>
      </c>
    </row>
    <row r="2585" spans="1:9" ht="15.75" thickBot="1" x14ac:dyDescent="0.3">
      <c r="A2585" s="43" t="s">
        <v>6675</v>
      </c>
      <c r="B2585" s="21" t="s">
        <v>6676</v>
      </c>
      <c r="C2585" s="21" t="s">
        <v>22655</v>
      </c>
      <c r="D2585" s="22">
        <v>46042</v>
      </c>
      <c r="E2585" s="23" t="s">
        <v>22656</v>
      </c>
      <c r="F2585" s="24" t="s">
        <v>22657</v>
      </c>
      <c r="G2585" s="25">
        <v>14</v>
      </c>
      <c r="H2585" s="29"/>
      <c r="I2585" s="30"/>
    </row>
    <row r="2586" spans="1:9" ht="15.75" thickBot="1" x14ac:dyDescent="0.3">
      <c r="A2586" s="43" t="s">
        <v>1783</v>
      </c>
      <c r="B2586" s="21" t="s">
        <v>6677</v>
      </c>
      <c r="C2586" s="21" t="s">
        <v>22655</v>
      </c>
      <c r="D2586" s="22">
        <v>46032</v>
      </c>
      <c r="E2586" s="23" t="s">
        <v>22662</v>
      </c>
      <c r="F2586" s="24" t="s">
        <v>22657</v>
      </c>
      <c r="G2586" s="25">
        <v>60</v>
      </c>
      <c r="H2586" s="34">
        <v>60</v>
      </c>
      <c r="I2586" s="35">
        <v>120</v>
      </c>
    </row>
    <row r="2587" spans="1:9" ht="15.75" thickBot="1" x14ac:dyDescent="0.3">
      <c r="A2587" s="43" t="s">
        <v>6678</v>
      </c>
      <c r="B2587" s="21" t="s">
        <v>6679</v>
      </c>
      <c r="C2587" s="21" t="s">
        <v>22655</v>
      </c>
      <c r="D2587" s="22">
        <v>46042</v>
      </c>
      <c r="E2587" s="23" t="s">
        <v>22665</v>
      </c>
      <c r="F2587" s="24" t="s">
        <v>22657</v>
      </c>
      <c r="G2587" s="25">
        <v>9</v>
      </c>
      <c r="H2587" s="29"/>
      <c r="I2587" s="30"/>
    </row>
    <row r="2588" spans="1:9" ht="15.75" thickBot="1" x14ac:dyDescent="0.3">
      <c r="A2588" s="43" t="s">
        <v>6680</v>
      </c>
      <c r="B2588" s="21" t="s">
        <v>6681</v>
      </c>
      <c r="C2588" s="21" t="s">
        <v>22655</v>
      </c>
      <c r="D2588" s="22">
        <v>46046</v>
      </c>
      <c r="E2588" s="23" t="s">
        <v>22661</v>
      </c>
      <c r="F2588" s="24" t="s">
        <v>22657</v>
      </c>
      <c r="G2588" s="25">
        <v>18</v>
      </c>
      <c r="H2588" s="26"/>
      <c r="I2588" s="27"/>
    </row>
    <row r="2589" spans="1:9" ht="15.75" thickBot="1" x14ac:dyDescent="0.3">
      <c r="A2589" s="43" t="s">
        <v>6682</v>
      </c>
      <c r="B2589" s="21" t="s">
        <v>6683</v>
      </c>
      <c r="C2589" s="21" t="s">
        <v>22655</v>
      </c>
      <c r="D2589" s="22">
        <v>46034</v>
      </c>
      <c r="E2589" s="23" t="s">
        <v>22656</v>
      </c>
      <c r="F2589" s="24" t="s">
        <v>22657</v>
      </c>
      <c r="G2589" s="25">
        <v>4</v>
      </c>
      <c r="H2589" s="29"/>
      <c r="I2589" s="30"/>
    </row>
    <row r="2590" spans="1:9" ht="15.75" thickBot="1" x14ac:dyDescent="0.3">
      <c r="A2590" s="43" t="s">
        <v>6684</v>
      </c>
      <c r="B2590" s="21" t="s">
        <v>6685</v>
      </c>
      <c r="C2590" s="21" t="s">
        <v>22655</v>
      </c>
      <c r="D2590" s="31" t="s">
        <v>22666</v>
      </c>
      <c r="E2590" s="23" t="s">
        <v>22656</v>
      </c>
      <c r="F2590" s="24" t="s">
        <v>22657</v>
      </c>
      <c r="G2590" s="25">
        <v>7</v>
      </c>
      <c r="H2590" s="26"/>
      <c r="I2590" s="27"/>
    </row>
    <row r="2591" spans="1:9" ht="15.75" thickBot="1" x14ac:dyDescent="0.3">
      <c r="A2591" s="43" t="s">
        <v>6686</v>
      </c>
      <c r="B2591" s="21" t="s">
        <v>6687</v>
      </c>
      <c r="C2591" s="21" t="s">
        <v>22655</v>
      </c>
      <c r="D2591" s="22">
        <v>46046</v>
      </c>
      <c r="E2591" s="23" t="s">
        <v>22656</v>
      </c>
      <c r="F2591" s="24" t="s">
        <v>22657</v>
      </c>
      <c r="G2591" s="25">
        <v>8</v>
      </c>
      <c r="H2591" s="29"/>
      <c r="I2591" s="30"/>
    </row>
    <row r="2592" spans="1:9" ht="15.75" thickBot="1" x14ac:dyDescent="0.3">
      <c r="A2592" s="43" t="s">
        <v>6688</v>
      </c>
      <c r="B2592" s="21" t="s">
        <v>6689</v>
      </c>
      <c r="C2592" s="21" t="s">
        <v>22655</v>
      </c>
      <c r="D2592" s="31" t="s">
        <v>22666</v>
      </c>
      <c r="E2592" s="23" t="s">
        <v>22656</v>
      </c>
      <c r="F2592" s="24" t="s">
        <v>22657</v>
      </c>
      <c r="G2592" s="25">
        <v>7</v>
      </c>
      <c r="H2592" s="26"/>
      <c r="I2592" s="27"/>
    </row>
    <row r="2593" spans="1:9" ht="15.75" thickBot="1" x14ac:dyDescent="0.3">
      <c r="A2593" s="43" t="s">
        <v>6690</v>
      </c>
      <c r="B2593" s="21" t="s">
        <v>6691</v>
      </c>
      <c r="C2593" s="21" t="s">
        <v>22655</v>
      </c>
      <c r="D2593" s="22">
        <v>46046</v>
      </c>
      <c r="E2593" s="23" t="s">
        <v>22656</v>
      </c>
      <c r="F2593" s="24" t="s">
        <v>22657</v>
      </c>
      <c r="G2593" s="25">
        <v>4</v>
      </c>
      <c r="H2593" s="29"/>
      <c r="I2593" s="30"/>
    </row>
    <row r="2594" spans="1:9" ht="15.75" thickBot="1" x14ac:dyDescent="0.3">
      <c r="A2594" s="43" t="s">
        <v>6692</v>
      </c>
      <c r="B2594" s="21" t="s">
        <v>6693</v>
      </c>
      <c r="C2594" s="21" t="s">
        <v>22655</v>
      </c>
      <c r="D2594" s="22">
        <v>46046</v>
      </c>
      <c r="E2594" s="23" t="s">
        <v>22656</v>
      </c>
      <c r="F2594" s="24" t="s">
        <v>22657</v>
      </c>
      <c r="G2594" s="25">
        <v>8</v>
      </c>
      <c r="H2594" s="26"/>
      <c r="I2594" s="27"/>
    </row>
    <row r="2595" spans="1:9" ht="15.75" thickBot="1" x14ac:dyDescent="0.3">
      <c r="A2595" s="43" t="s">
        <v>6694</v>
      </c>
      <c r="B2595" s="21" t="s">
        <v>6695</v>
      </c>
      <c r="C2595" s="21" t="s">
        <v>22655</v>
      </c>
      <c r="D2595" s="22">
        <v>46046</v>
      </c>
      <c r="E2595" s="23" t="s">
        <v>22661</v>
      </c>
      <c r="F2595" s="24" t="s">
        <v>22657</v>
      </c>
      <c r="G2595" s="25">
        <v>9</v>
      </c>
      <c r="H2595" s="29"/>
      <c r="I2595" s="30"/>
    </row>
    <row r="2596" spans="1:9" ht="15.75" thickBot="1" x14ac:dyDescent="0.3">
      <c r="A2596" s="43" t="s">
        <v>6696</v>
      </c>
      <c r="B2596" s="21" t="s">
        <v>6697</v>
      </c>
      <c r="C2596" s="21" t="s">
        <v>22655</v>
      </c>
      <c r="D2596" s="22">
        <v>46046</v>
      </c>
      <c r="E2596" s="23" t="s">
        <v>22661</v>
      </c>
      <c r="F2596" s="24" t="s">
        <v>22657</v>
      </c>
      <c r="G2596" s="25">
        <v>8</v>
      </c>
      <c r="H2596" s="26"/>
      <c r="I2596" s="27"/>
    </row>
    <row r="2597" spans="1:9" ht="15.75" thickBot="1" x14ac:dyDescent="0.3">
      <c r="A2597" s="43" t="s">
        <v>6698</v>
      </c>
      <c r="B2597" s="21" t="s">
        <v>6699</v>
      </c>
      <c r="C2597" s="21" t="s">
        <v>22655</v>
      </c>
      <c r="D2597" s="22">
        <v>46034</v>
      </c>
      <c r="E2597" s="23" t="s">
        <v>22656</v>
      </c>
      <c r="F2597" s="24" t="s">
        <v>22657</v>
      </c>
      <c r="G2597" s="25">
        <v>4</v>
      </c>
      <c r="H2597" s="29"/>
      <c r="I2597" s="30"/>
    </row>
    <row r="2598" spans="1:9" ht="15.75" thickBot="1" x14ac:dyDescent="0.3">
      <c r="A2598" s="43" t="s">
        <v>671</v>
      </c>
      <c r="B2598" s="21" t="s">
        <v>672</v>
      </c>
      <c r="C2598" s="21" t="s">
        <v>22655</v>
      </c>
      <c r="D2598" s="22">
        <v>46046</v>
      </c>
      <c r="E2598" s="23" t="s">
        <v>22662</v>
      </c>
      <c r="F2598" s="24" t="s">
        <v>22657</v>
      </c>
      <c r="G2598" s="25">
        <v>24</v>
      </c>
      <c r="H2598" s="34">
        <v>24</v>
      </c>
      <c r="I2598" s="35">
        <v>48</v>
      </c>
    </row>
    <row r="2599" spans="1:9" ht="15.75" thickBot="1" x14ac:dyDescent="0.3">
      <c r="A2599" s="43" t="s">
        <v>6700</v>
      </c>
      <c r="B2599" s="21" t="s">
        <v>6701</v>
      </c>
      <c r="C2599" s="21" t="s">
        <v>22655</v>
      </c>
      <c r="D2599" s="22">
        <v>46046</v>
      </c>
      <c r="E2599" s="23" t="s">
        <v>22661</v>
      </c>
      <c r="F2599" s="24" t="s">
        <v>22657</v>
      </c>
      <c r="G2599" s="25">
        <v>8</v>
      </c>
      <c r="H2599" s="29"/>
      <c r="I2599" s="30"/>
    </row>
    <row r="2600" spans="1:9" ht="15.75" thickBot="1" x14ac:dyDescent="0.3">
      <c r="A2600" s="43" t="s">
        <v>6702</v>
      </c>
      <c r="B2600" s="21" t="s">
        <v>6703</v>
      </c>
      <c r="C2600" s="21" t="s">
        <v>22655</v>
      </c>
      <c r="D2600" s="31" t="s">
        <v>22660</v>
      </c>
      <c r="E2600" s="23" t="s">
        <v>22656</v>
      </c>
      <c r="F2600" s="24" t="s">
        <v>22657</v>
      </c>
      <c r="G2600" s="25">
        <v>7</v>
      </c>
      <c r="H2600" s="26"/>
      <c r="I2600" s="27"/>
    </row>
    <row r="2601" spans="1:9" ht="15.75" thickBot="1" x14ac:dyDescent="0.3">
      <c r="A2601" s="43" t="s">
        <v>6704</v>
      </c>
      <c r="B2601" s="21" t="s">
        <v>6705</v>
      </c>
      <c r="C2601" s="21" t="s">
        <v>22655</v>
      </c>
      <c r="D2601" s="22">
        <v>46046</v>
      </c>
      <c r="E2601" s="23" t="s">
        <v>22656</v>
      </c>
      <c r="F2601" s="24" t="s">
        <v>22657</v>
      </c>
      <c r="G2601" s="25">
        <v>8</v>
      </c>
      <c r="H2601" s="29"/>
      <c r="I2601" s="30"/>
    </row>
    <row r="2602" spans="1:9" ht="15.75" thickBot="1" x14ac:dyDescent="0.3">
      <c r="A2602" s="43" t="s">
        <v>6706</v>
      </c>
      <c r="B2602" s="21" t="s">
        <v>6707</v>
      </c>
      <c r="C2602" s="21" t="s">
        <v>22655</v>
      </c>
      <c r="D2602" s="22">
        <v>46046</v>
      </c>
      <c r="E2602" s="23" t="s">
        <v>22656</v>
      </c>
      <c r="F2602" s="24" t="s">
        <v>22657</v>
      </c>
      <c r="G2602" s="25">
        <v>2</v>
      </c>
      <c r="H2602" s="26"/>
      <c r="I2602" s="27"/>
    </row>
    <row r="2603" spans="1:9" ht="15.75" thickBot="1" x14ac:dyDescent="0.3">
      <c r="A2603" s="43" t="s">
        <v>6710</v>
      </c>
      <c r="B2603" s="21" t="s">
        <v>6711</v>
      </c>
      <c r="C2603" s="21" t="s">
        <v>22655</v>
      </c>
      <c r="D2603" s="22">
        <v>46034</v>
      </c>
      <c r="E2603" s="23" t="s">
        <v>22656</v>
      </c>
      <c r="F2603" s="24" t="s">
        <v>22657</v>
      </c>
      <c r="G2603" s="25">
        <v>2</v>
      </c>
      <c r="H2603" s="29"/>
      <c r="I2603" s="30"/>
    </row>
    <row r="2604" spans="1:9" ht="15.75" thickBot="1" x14ac:dyDescent="0.3">
      <c r="A2604" s="43" t="s">
        <v>6712</v>
      </c>
      <c r="B2604" s="21" t="s">
        <v>6713</v>
      </c>
      <c r="C2604" s="21" t="s">
        <v>22663</v>
      </c>
      <c r="D2604" s="31">
        <v>1</v>
      </c>
      <c r="E2604" s="23" t="s">
        <v>22656</v>
      </c>
      <c r="F2604" s="24" t="s">
        <v>22657</v>
      </c>
      <c r="G2604" s="25">
        <v>3</v>
      </c>
      <c r="H2604" s="26"/>
      <c r="I2604" s="27"/>
    </row>
    <row r="2605" spans="1:9" ht="15.75" thickBot="1" x14ac:dyDescent="0.3">
      <c r="A2605" s="43" t="s">
        <v>6714</v>
      </c>
      <c r="B2605" s="21" t="s">
        <v>6715</v>
      </c>
      <c r="C2605" s="21" t="s">
        <v>22663</v>
      </c>
      <c r="D2605" s="31">
        <v>1</v>
      </c>
      <c r="E2605" s="23" t="s">
        <v>22656</v>
      </c>
      <c r="F2605" s="24" t="s">
        <v>22657</v>
      </c>
      <c r="G2605" s="25">
        <v>2</v>
      </c>
      <c r="H2605" s="29"/>
      <c r="I2605" s="30"/>
    </row>
    <row r="2606" spans="1:9" ht="15.75" thickBot="1" x14ac:dyDescent="0.3">
      <c r="A2606" s="43" t="s">
        <v>6718</v>
      </c>
      <c r="B2606" s="21" t="s">
        <v>6719</v>
      </c>
      <c r="C2606" s="21" t="s">
        <v>22663</v>
      </c>
      <c r="D2606" s="31">
        <v>1</v>
      </c>
      <c r="E2606" s="23" t="s">
        <v>22658</v>
      </c>
      <c r="F2606" s="24" t="s">
        <v>22657</v>
      </c>
      <c r="G2606" s="25">
        <v>1</v>
      </c>
      <c r="H2606" s="26"/>
      <c r="I2606" s="27"/>
    </row>
    <row r="2607" spans="1:9" ht="15.75" thickBot="1" x14ac:dyDescent="0.3">
      <c r="A2607" s="43" t="s">
        <v>745</v>
      </c>
      <c r="B2607" s="21" t="s">
        <v>746</v>
      </c>
      <c r="C2607" s="21" t="s">
        <v>22655</v>
      </c>
      <c r="D2607" s="22">
        <v>46042</v>
      </c>
      <c r="E2607" s="23" t="s">
        <v>22656</v>
      </c>
      <c r="F2607" s="24" t="s">
        <v>22657</v>
      </c>
      <c r="G2607" s="25">
        <v>7</v>
      </c>
      <c r="H2607" s="29"/>
      <c r="I2607" s="30"/>
    </row>
    <row r="2608" spans="1:9" ht="15.75" thickBot="1" x14ac:dyDescent="0.3">
      <c r="A2608" s="43" t="s">
        <v>743</v>
      </c>
      <c r="B2608" s="21" t="s">
        <v>744</v>
      </c>
      <c r="C2608" s="21" t="s">
        <v>22655</v>
      </c>
      <c r="D2608" s="22">
        <v>46042</v>
      </c>
      <c r="E2608" s="23" t="s">
        <v>22656</v>
      </c>
      <c r="F2608" s="24" t="s">
        <v>22657</v>
      </c>
      <c r="G2608" s="25">
        <v>7</v>
      </c>
      <c r="H2608" s="26"/>
      <c r="I2608" s="27"/>
    </row>
    <row r="2609" spans="1:9" ht="15.75" thickBot="1" x14ac:dyDescent="0.3">
      <c r="A2609" s="43" t="s">
        <v>6720</v>
      </c>
      <c r="B2609" s="21" t="s">
        <v>6721</v>
      </c>
      <c r="C2609" s="21" t="s">
        <v>22655</v>
      </c>
      <c r="D2609" s="22">
        <v>46046</v>
      </c>
      <c r="E2609" s="23" t="s">
        <v>22656</v>
      </c>
      <c r="F2609" s="24" t="s">
        <v>22657</v>
      </c>
      <c r="G2609" s="25">
        <v>3</v>
      </c>
      <c r="H2609" s="29"/>
      <c r="I2609" s="30"/>
    </row>
    <row r="2610" spans="1:9" ht="15.75" thickBot="1" x14ac:dyDescent="0.3">
      <c r="A2610" s="43" t="s">
        <v>6722</v>
      </c>
      <c r="B2610" s="21" t="s">
        <v>6723</v>
      </c>
      <c r="C2610" s="21" t="s">
        <v>22655</v>
      </c>
      <c r="D2610" s="22">
        <v>46034</v>
      </c>
      <c r="E2610" s="23" t="s">
        <v>22658</v>
      </c>
      <c r="F2610" s="24" t="s">
        <v>22657</v>
      </c>
      <c r="G2610" s="25">
        <v>2</v>
      </c>
      <c r="H2610" s="26"/>
      <c r="I2610" s="27"/>
    </row>
    <row r="2611" spans="1:9" ht="15.75" thickBot="1" x14ac:dyDescent="0.3">
      <c r="A2611" s="43" t="s">
        <v>6724</v>
      </c>
      <c r="B2611" s="21" t="s">
        <v>6725</v>
      </c>
      <c r="C2611" s="21" t="s">
        <v>22682</v>
      </c>
      <c r="D2611" s="22">
        <v>46034</v>
      </c>
      <c r="E2611" s="23" t="s">
        <v>22658</v>
      </c>
      <c r="F2611" s="24" t="s">
        <v>22657</v>
      </c>
      <c r="G2611" s="25">
        <v>4</v>
      </c>
      <c r="H2611" s="29"/>
      <c r="I2611" s="30"/>
    </row>
    <row r="2612" spans="1:9" ht="15.75" thickBot="1" x14ac:dyDescent="0.3">
      <c r="A2612" s="43" t="s">
        <v>6726</v>
      </c>
      <c r="B2612" s="21" t="s">
        <v>6727</v>
      </c>
      <c r="C2612" s="21" t="s">
        <v>22655</v>
      </c>
      <c r="D2612" s="22">
        <v>46032</v>
      </c>
      <c r="E2612" s="23" t="s">
        <v>22656</v>
      </c>
      <c r="F2612" s="24" t="s">
        <v>22657</v>
      </c>
      <c r="G2612" s="25">
        <v>4</v>
      </c>
      <c r="H2612" s="26"/>
      <c r="I2612" s="27"/>
    </row>
    <row r="2613" spans="1:9" ht="15.75" thickBot="1" x14ac:dyDescent="0.3">
      <c r="A2613" s="43" t="s">
        <v>6728</v>
      </c>
      <c r="B2613" s="21" t="s">
        <v>6729</v>
      </c>
      <c r="C2613" s="21" t="s">
        <v>22655</v>
      </c>
      <c r="D2613" s="22">
        <v>46032</v>
      </c>
      <c r="E2613" s="23" t="s">
        <v>22656</v>
      </c>
      <c r="F2613" s="24" t="s">
        <v>22657</v>
      </c>
      <c r="G2613" s="25">
        <v>2</v>
      </c>
      <c r="H2613" s="29"/>
      <c r="I2613" s="30"/>
    </row>
    <row r="2614" spans="1:9" ht="15.75" thickBot="1" x14ac:dyDescent="0.3">
      <c r="A2614" s="43" t="s">
        <v>327</v>
      </c>
      <c r="B2614" s="21" t="s">
        <v>328</v>
      </c>
      <c r="C2614" s="21" t="s">
        <v>22655</v>
      </c>
      <c r="D2614" s="22">
        <v>46028</v>
      </c>
      <c r="E2614" s="23" t="s">
        <v>22656</v>
      </c>
      <c r="F2614" s="24" t="s">
        <v>22657</v>
      </c>
      <c r="G2614" s="25">
        <v>4</v>
      </c>
      <c r="H2614" s="34">
        <v>4</v>
      </c>
      <c r="I2614" s="35">
        <v>6</v>
      </c>
    </row>
    <row r="2615" spans="1:9" ht="15.75" thickBot="1" x14ac:dyDescent="0.3">
      <c r="A2615" s="43" t="s">
        <v>6730</v>
      </c>
      <c r="B2615" s="21" t="s">
        <v>6731</v>
      </c>
      <c r="C2615" s="21" t="s">
        <v>22655</v>
      </c>
      <c r="D2615" s="22">
        <v>46032</v>
      </c>
      <c r="E2615" s="23" t="s">
        <v>22656</v>
      </c>
      <c r="F2615" s="24" t="s">
        <v>22657</v>
      </c>
      <c r="G2615" s="25">
        <v>2</v>
      </c>
      <c r="H2615" s="29"/>
      <c r="I2615" s="30"/>
    </row>
    <row r="2616" spans="1:9" ht="15.75" thickBot="1" x14ac:dyDescent="0.3">
      <c r="A2616" s="43" t="s">
        <v>6732</v>
      </c>
      <c r="B2616" s="21" t="s">
        <v>6733</v>
      </c>
      <c r="C2616" s="21" t="s">
        <v>22655</v>
      </c>
      <c r="D2616" s="22">
        <v>46028</v>
      </c>
      <c r="E2616" s="23" t="s">
        <v>22656</v>
      </c>
      <c r="F2616" s="24" t="s">
        <v>22657</v>
      </c>
      <c r="G2616" s="25">
        <v>2</v>
      </c>
      <c r="H2616" s="26"/>
      <c r="I2616" s="27"/>
    </row>
    <row r="2617" spans="1:9" ht="15.75" thickBot="1" x14ac:dyDescent="0.3">
      <c r="A2617" s="43" t="s">
        <v>6734</v>
      </c>
      <c r="B2617" s="21" t="s">
        <v>6735</v>
      </c>
      <c r="C2617" s="21" t="s">
        <v>22655</v>
      </c>
      <c r="D2617" s="22">
        <v>46028</v>
      </c>
      <c r="E2617" s="23" t="s">
        <v>22656</v>
      </c>
      <c r="F2617" s="24" t="s">
        <v>22657</v>
      </c>
      <c r="G2617" s="25">
        <v>2</v>
      </c>
      <c r="H2617" s="29"/>
      <c r="I2617" s="30"/>
    </row>
    <row r="2618" spans="1:9" ht="15.75" thickBot="1" x14ac:dyDescent="0.3">
      <c r="A2618" s="43" t="s">
        <v>6736</v>
      </c>
      <c r="B2618" s="21" t="s">
        <v>6737</v>
      </c>
      <c r="C2618" s="21" t="s">
        <v>22655</v>
      </c>
      <c r="D2618" s="22">
        <v>46032</v>
      </c>
      <c r="E2618" s="23" t="s">
        <v>22656</v>
      </c>
      <c r="F2618" s="24" t="s">
        <v>22657</v>
      </c>
      <c r="G2618" s="25">
        <v>4</v>
      </c>
      <c r="H2618" s="26"/>
      <c r="I2618" s="27"/>
    </row>
    <row r="2619" spans="1:9" ht="15.75" thickBot="1" x14ac:dyDescent="0.3">
      <c r="A2619" s="43" t="s">
        <v>465</v>
      </c>
      <c r="B2619" s="21" t="s">
        <v>466</v>
      </c>
      <c r="C2619" s="21" t="s">
        <v>22655</v>
      </c>
      <c r="D2619" s="22">
        <v>46028</v>
      </c>
      <c r="E2619" s="23" t="s">
        <v>22656</v>
      </c>
      <c r="F2619" s="24" t="s">
        <v>22657</v>
      </c>
      <c r="G2619" s="25">
        <v>4</v>
      </c>
      <c r="H2619" s="32">
        <v>4</v>
      </c>
      <c r="I2619" s="33">
        <v>6</v>
      </c>
    </row>
    <row r="2620" spans="1:9" ht="15.75" thickBot="1" x14ac:dyDescent="0.3">
      <c r="A2620" s="43" t="s">
        <v>1803</v>
      </c>
      <c r="B2620" s="21" t="s">
        <v>1804</v>
      </c>
      <c r="C2620" s="21" t="s">
        <v>22655</v>
      </c>
      <c r="D2620" s="22">
        <v>46028</v>
      </c>
      <c r="E2620" s="23" t="s">
        <v>22656</v>
      </c>
      <c r="F2620" s="24" t="s">
        <v>22657</v>
      </c>
      <c r="G2620" s="25">
        <v>2</v>
      </c>
      <c r="H2620" s="26"/>
      <c r="I2620" s="27"/>
    </row>
    <row r="2621" spans="1:9" ht="15.75" thickBot="1" x14ac:dyDescent="0.3">
      <c r="A2621" s="43" t="s">
        <v>283</v>
      </c>
      <c r="B2621" s="21" t="s">
        <v>284</v>
      </c>
      <c r="C2621" s="21" t="s">
        <v>22655</v>
      </c>
      <c r="D2621" s="22">
        <v>46028</v>
      </c>
      <c r="E2621" s="23" t="s">
        <v>22656</v>
      </c>
      <c r="F2621" s="24" t="s">
        <v>22657</v>
      </c>
      <c r="G2621" s="25">
        <v>4</v>
      </c>
      <c r="H2621" s="32">
        <v>4</v>
      </c>
      <c r="I2621" s="33">
        <v>6</v>
      </c>
    </row>
    <row r="2622" spans="1:9" ht="15.75" thickBot="1" x14ac:dyDescent="0.3">
      <c r="A2622" s="43" t="s">
        <v>6738</v>
      </c>
      <c r="B2622" s="21" t="s">
        <v>6739</v>
      </c>
      <c r="C2622" s="21" t="s">
        <v>22655</v>
      </c>
      <c r="D2622" s="22">
        <v>46032</v>
      </c>
      <c r="E2622" s="23" t="s">
        <v>22658</v>
      </c>
      <c r="F2622" s="24" t="s">
        <v>22657</v>
      </c>
      <c r="G2622" s="25">
        <v>2</v>
      </c>
      <c r="H2622" s="26"/>
      <c r="I2622" s="27"/>
    </row>
    <row r="2623" spans="1:9" ht="15.75" thickBot="1" x14ac:dyDescent="0.3">
      <c r="A2623" s="43" t="s">
        <v>6740</v>
      </c>
      <c r="B2623" s="21" t="s">
        <v>6739</v>
      </c>
      <c r="C2623" s="21" t="s">
        <v>22655</v>
      </c>
      <c r="D2623" s="22">
        <v>46032</v>
      </c>
      <c r="E2623" s="23" t="s">
        <v>22656</v>
      </c>
      <c r="F2623" s="24" t="s">
        <v>22657</v>
      </c>
      <c r="G2623" s="25">
        <v>2</v>
      </c>
      <c r="H2623" s="29"/>
      <c r="I2623" s="30"/>
    </row>
    <row r="2624" spans="1:9" ht="15.75" thickBot="1" x14ac:dyDescent="0.3">
      <c r="A2624" s="43" t="s">
        <v>1039</v>
      </c>
      <c r="B2624" s="21" t="s">
        <v>1040</v>
      </c>
      <c r="C2624" s="21" t="s">
        <v>22655</v>
      </c>
      <c r="D2624" s="22">
        <v>46032</v>
      </c>
      <c r="E2624" s="23" t="s">
        <v>22661</v>
      </c>
      <c r="F2624" s="24" t="s">
        <v>22657</v>
      </c>
      <c r="G2624" s="25">
        <v>6</v>
      </c>
      <c r="H2624" s="34">
        <v>6</v>
      </c>
      <c r="I2624" s="35">
        <v>10</v>
      </c>
    </row>
    <row r="2625" spans="1:9" ht="15.75" thickBot="1" x14ac:dyDescent="0.3">
      <c r="A2625" s="43" t="s">
        <v>6741</v>
      </c>
      <c r="B2625" s="21" t="s">
        <v>6742</v>
      </c>
      <c r="C2625" s="21" t="s">
        <v>22655</v>
      </c>
      <c r="D2625" s="22">
        <v>46032</v>
      </c>
      <c r="E2625" s="23" t="s">
        <v>22656</v>
      </c>
      <c r="F2625" s="24" t="s">
        <v>22657</v>
      </c>
      <c r="G2625" s="25">
        <v>2</v>
      </c>
      <c r="H2625" s="32">
        <v>2</v>
      </c>
      <c r="I2625" s="33">
        <v>4</v>
      </c>
    </row>
    <row r="2626" spans="1:9" ht="15.75" thickBot="1" x14ac:dyDescent="0.3">
      <c r="A2626" s="43" t="s">
        <v>6743</v>
      </c>
      <c r="B2626" s="21" t="s">
        <v>6744</v>
      </c>
      <c r="C2626" s="21" t="s">
        <v>22655</v>
      </c>
      <c r="D2626" s="22">
        <v>46032</v>
      </c>
      <c r="E2626" s="23" t="s">
        <v>22656</v>
      </c>
      <c r="F2626" s="24" t="s">
        <v>22657</v>
      </c>
      <c r="G2626" s="25">
        <v>4</v>
      </c>
      <c r="H2626" s="26"/>
      <c r="I2626" s="27"/>
    </row>
    <row r="2627" spans="1:9" ht="15.75" thickBot="1" x14ac:dyDescent="0.3">
      <c r="A2627" s="43" t="s">
        <v>6745</v>
      </c>
      <c r="B2627" s="21" t="s">
        <v>6746</v>
      </c>
      <c r="C2627" s="21" t="s">
        <v>22655</v>
      </c>
      <c r="D2627" s="22">
        <v>46028</v>
      </c>
      <c r="E2627" s="23" t="s">
        <v>22656</v>
      </c>
      <c r="F2627" s="24" t="s">
        <v>22657</v>
      </c>
      <c r="G2627" s="25">
        <v>2</v>
      </c>
      <c r="H2627" s="29"/>
      <c r="I2627" s="30"/>
    </row>
    <row r="2628" spans="1:9" ht="15.75" thickBot="1" x14ac:dyDescent="0.3">
      <c r="A2628" s="43" t="s">
        <v>519</v>
      </c>
      <c r="B2628" s="21" t="s">
        <v>520</v>
      </c>
      <c r="C2628" s="21" t="s">
        <v>22655</v>
      </c>
      <c r="D2628" s="22">
        <v>46032</v>
      </c>
      <c r="E2628" s="23" t="s">
        <v>22656</v>
      </c>
      <c r="F2628" s="24" t="s">
        <v>22657</v>
      </c>
      <c r="G2628" s="25">
        <v>6</v>
      </c>
      <c r="H2628" s="34">
        <v>6</v>
      </c>
      <c r="I2628" s="35">
        <v>10</v>
      </c>
    </row>
    <row r="2629" spans="1:9" ht="15.75" thickBot="1" x14ac:dyDescent="0.3">
      <c r="A2629" s="43" t="s">
        <v>6747</v>
      </c>
      <c r="B2629" s="21" t="s">
        <v>6748</v>
      </c>
      <c r="C2629" s="21" t="s">
        <v>22655</v>
      </c>
      <c r="D2629" s="22">
        <v>46032</v>
      </c>
      <c r="E2629" s="23" t="s">
        <v>22656</v>
      </c>
      <c r="F2629" s="24" t="s">
        <v>22657</v>
      </c>
      <c r="G2629" s="25">
        <v>2</v>
      </c>
      <c r="H2629" s="29"/>
      <c r="I2629" s="30"/>
    </row>
    <row r="2630" spans="1:9" ht="15.75" thickBot="1" x14ac:dyDescent="0.3">
      <c r="A2630" s="43" t="s">
        <v>6749</v>
      </c>
      <c r="B2630" s="21" t="s">
        <v>6750</v>
      </c>
      <c r="C2630" s="21" t="s">
        <v>22655</v>
      </c>
      <c r="D2630" s="22">
        <v>46032</v>
      </c>
      <c r="E2630" s="23" t="s">
        <v>22656</v>
      </c>
      <c r="F2630" s="24" t="s">
        <v>22657</v>
      </c>
      <c r="G2630" s="25">
        <v>2</v>
      </c>
      <c r="H2630" s="34">
        <v>2</v>
      </c>
      <c r="I2630" s="35">
        <v>4</v>
      </c>
    </row>
    <row r="2631" spans="1:9" ht="15.75" thickBot="1" x14ac:dyDescent="0.3">
      <c r="A2631" s="43" t="s">
        <v>6751</v>
      </c>
      <c r="B2631" s="21" t="s">
        <v>6752</v>
      </c>
      <c r="C2631" s="21" t="s">
        <v>22655</v>
      </c>
      <c r="D2631" s="22">
        <v>46032</v>
      </c>
      <c r="E2631" s="23" t="s">
        <v>22656</v>
      </c>
      <c r="F2631" s="24" t="s">
        <v>22657</v>
      </c>
      <c r="G2631" s="25">
        <v>4</v>
      </c>
      <c r="H2631" s="29"/>
      <c r="I2631" s="30"/>
    </row>
    <row r="2632" spans="1:9" ht="15.75" thickBot="1" x14ac:dyDescent="0.3">
      <c r="A2632" s="43" t="s">
        <v>6753</v>
      </c>
      <c r="B2632" s="21" t="s">
        <v>6754</v>
      </c>
      <c r="C2632" s="21" t="s">
        <v>22655</v>
      </c>
      <c r="D2632" s="22">
        <v>46028</v>
      </c>
      <c r="E2632" s="23" t="s">
        <v>22656</v>
      </c>
      <c r="F2632" s="24" t="s">
        <v>22657</v>
      </c>
      <c r="G2632" s="25">
        <v>2</v>
      </c>
      <c r="H2632" s="34">
        <v>2</v>
      </c>
      <c r="I2632" s="35">
        <v>4</v>
      </c>
    </row>
    <row r="2633" spans="1:9" ht="15.75" thickBot="1" x14ac:dyDescent="0.3">
      <c r="A2633" s="43" t="s">
        <v>185</v>
      </c>
      <c r="B2633" s="21" t="s">
        <v>186</v>
      </c>
      <c r="C2633" s="21" t="s">
        <v>22655</v>
      </c>
      <c r="D2633" s="22">
        <v>46032</v>
      </c>
      <c r="E2633" s="23" t="s">
        <v>22656</v>
      </c>
      <c r="F2633" s="24" t="s">
        <v>22657</v>
      </c>
      <c r="G2633" s="25">
        <v>4</v>
      </c>
      <c r="H2633" s="29"/>
      <c r="I2633" s="30"/>
    </row>
    <row r="2634" spans="1:9" ht="15.75" thickBot="1" x14ac:dyDescent="0.3">
      <c r="A2634" s="43" t="s">
        <v>775</v>
      </c>
      <c r="B2634" s="21" t="s">
        <v>776</v>
      </c>
      <c r="C2634" s="21" t="s">
        <v>22655</v>
      </c>
      <c r="D2634" s="22">
        <v>46028</v>
      </c>
      <c r="E2634" s="23" t="s">
        <v>22656</v>
      </c>
      <c r="F2634" s="24" t="s">
        <v>22657</v>
      </c>
      <c r="G2634" s="25">
        <v>6</v>
      </c>
      <c r="H2634" s="34">
        <v>6</v>
      </c>
      <c r="I2634" s="35">
        <v>12</v>
      </c>
    </row>
    <row r="2635" spans="1:9" ht="15.75" thickBot="1" x14ac:dyDescent="0.3">
      <c r="A2635" s="43" t="s">
        <v>6755</v>
      </c>
      <c r="B2635" s="21" t="s">
        <v>6756</v>
      </c>
      <c r="C2635" s="21" t="s">
        <v>22655</v>
      </c>
      <c r="D2635" s="22">
        <v>46032</v>
      </c>
      <c r="E2635" s="23" t="s">
        <v>22656</v>
      </c>
      <c r="F2635" s="24" t="s">
        <v>22657</v>
      </c>
      <c r="G2635" s="25">
        <v>2</v>
      </c>
      <c r="H2635" s="32">
        <v>2</v>
      </c>
      <c r="I2635" s="33">
        <v>4</v>
      </c>
    </row>
    <row r="2636" spans="1:9" ht="15.75" thickBot="1" x14ac:dyDescent="0.3">
      <c r="A2636" s="43" t="s">
        <v>6757</v>
      </c>
      <c r="B2636" s="21" t="s">
        <v>6758</v>
      </c>
      <c r="C2636" s="21" t="s">
        <v>22655</v>
      </c>
      <c r="D2636" s="22">
        <v>46032</v>
      </c>
      <c r="E2636" s="23" t="s">
        <v>22656</v>
      </c>
      <c r="F2636" s="24" t="s">
        <v>22657</v>
      </c>
      <c r="G2636" s="25">
        <v>4</v>
      </c>
      <c r="H2636" s="26"/>
      <c r="I2636" s="27"/>
    </row>
    <row r="2637" spans="1:9" ht="15.75" thickBot="1" x14ac:dyDescent="0.3">
      <c r="A2637" s="43" t="s">
        <v>6759</v>
      </c>
      <c r="B2637" s="21" t="s">
        <v>6760</v>
      </c>
      <c r="C2637" s="21" t="s">
        <v>22655</v>
      </c>
      <c r="D2637" s="22">
        <v>46032</v>
      </c>
      <c r="E2637" s="23" t="s">
        <v>22656</v>
      </c>
      <c r="F2637" s="24" t="s">
        <v>22657</v>
      </c>
      <c r="G2637" s="25">
        <v>4</v>
      </c>
      <c r="H2637" s="29"/>
      <c r="I2637" s="30"/>
    </row>
    <row r="2638" spans="1:9" ht="15.75" thickBot="1" x14ac:dyDescent="0.3">
      <c r="A2638" s="43" t="s">
        <v>6761</v>
      </c>
      <c r="B2638" s="21" t="s">
        <v>6762</v>
      </c>
      <c r="C2638" s="21" t="s">
        <v>22655</v>
      </c>
      <c r="D2638" s="22">
        <v>46028</v>
      </c>
      <c r="E2638" s="23" t="s">
        <v>22656</v>
      </c>
      <c r="F2638" s="24" t="s">
        <v>22657</v>
      </c>
      <c r="G2638" s="25">
        <v>2</v>
      </c>
      <c r="H2638" s="34">
        <v>2</v>
      </c>
      <c r="I2638" s="35">
        <v>4</v>
      </c>
    </row>
    <row r="2639" spans="1:9" ht="15.75" thickBot="1" x14ac:dyDescent="0.3">
      <c r="A2639" s="43" t="s">
        <v>6763</v>
      </c>
      <c r="B2639" s="21" t="s">
        <v>6764</v>
      </c>
      <c r="C2639" s="21" t="s">
        <v>22655</v>
      </c>
      <c r="D2639" s="22">
        <v>46032</v>
      </c>
      <c r="E2639" s="23" t="s">
        <v>22656</v>
      </c>
      <c r="F2639" s="24" t="s">
        <v>22657</v>
      </c>
      <c r="G2639" s="25">
        <v>4</v>
      </c>
      <c r="H2639" s="29"/>
      <c r="I2639" s="30"/>
    </row>
    <row r="2640" spans="1:9" ht="15.75" thickBot="1" x14ac:dyDescent="0.3">
      <c r="A2640" s="43" t="s">
        <v>6765</v>
      </c>
      <c r="B2640" s="21" t="s">
        <v>6766</v>
      </c>
      <c r="C2640" s="21" t="s">
        <v>22655</v>
      </c>
      <c r="D2640" s="22">
        <v>46032</v>
      </c>
      <c r="E2640" s="23" t="s">
        <v>22656</v>
      </c>
      <c r="F2640" s="24" t="s">
        <v>22657</v>
      </c>
      <c r="G2640" s="25">
        <v>4</v>
      </c>
      <c r="H2640" s="26"/>
      <c r="I2640" s="27"/>
    </row>
    <row r="2641" spans="1:9" ht="15.75" thickBot="1" x14ac:dyDescent="0.3">
      <c r="A2641" s="43" t="s">
        <v>535</v>
      </c>
      <c r="B2641" s="21" t="s">
        <v>536</v>
      </c>
      <c r="C2641" s="21" t="s">
        <v>22655</v>
      </c>
      <c r="D2641" s="22">
        <v>46028</v>
      </c>
      <c r="E2641" s="23" t="s">
        <v>22661</v>
      </c>
      <c r="F2641" s="24" t="s">
        <v>22657</v>
      </c>
      <c r="G2641" s="25">
        <v>6</v>
      </c>
      <c r="H2641" s="32">
        <v>6</v>
      </c>
      <c r="I2641" s="33">
        <v>18</v>
      </c>
    </row>
    <row r="2642" spans="1:9" ht="15.75" thickBot="1" x14ac:dyDescent="0.3">
      <c r="A2642" s="43" t="s">
        <v>6767</v>
      </c>
      <c r="B2642" s="21" t="s">
        <v>6768</v>
      </c>
      <c r="C2642" s="21" t="s">
        <v>22655</v>
      </c>
      <c r="D2642" s="22">
        <v>46028</v>
      </c>
      <c r="E2642" s="23" t="s">
        <v>22658</v>
      </c>
      <c r="F2642" s="24" t="s">
        <v>22657</v>
      </c>
      <c r="G2642" s="25">
        <v>2</v>
      </c>
      <c r="H2642" s="26"/>
      <c r="I2642" s="27"/>
    </row>
    <row r="2643" spans="1:9" ht="15.75" thickBot="1" x14ac:dyDescent="0.3">
      <c r="A2643" s="43" t="s">
        <v>6769</v>
      </c>
      <c r="B2643" s="21" t="s">
        <v>6770</v>
      </c>
      <c r="C2643" s="21" t="s">
        <v>22655</v>
      </c>
      <c r="D2643" s="22">
        <v>46032</v>
      </c>
      <c r="E2643" s="23" t="s">
        <v>22656</v>
      </c>
      <c r="F2643" s="24" t="s">
        <v>22657</v>
      </c>
      <c r="G2643" s="25">
        <v>6</v>
      </c>
      <c r="H2643" s="32">
        <v>6</v>
      </c>
      <c r="I2643" s="33">
        <v>12</v>
      </c>
    </row>
    <row r="2644" spans="1:9" ht="15.75" thickBot="1" x14ac:dyDescent="0.3">
      <c r="A2644" s="43" t="s">
        <v>6771</v>
      </c>
      <c r="B2644" s="21" t="s">
        <v>6772</v>
      </c>
      <c r="C2644" s="21" t="s">
        <v>22655</v>
      </c>
      <c r="D2644" s="22">
        <v>46028</v>
      </c>
      <c r="E2644" s="23" t="s">
        <v>22656</v>
      </c>
      <c r="F2644" s="24" t="s">
        <v>22657</v>
      </c>
      <c r="G2644" s="25">
        <v>2</v>
      </c>
      <c r="H2644" s="26"/>
      <c r="I2644" s="27"/>
    </row>
    <row r="2645" spans="1:9" ht="15.75" thickBot="1" x14ac:dyDescent="0.3">
      <c r="A2645" s="43" t="s">
        <v>6773</v>
      </c>
      <c r="B2645" s="21" t="s">
        <v>6774</v>
      </c>
      <c r="C2645" s="21" t="s">
        <v>22655</v>
      </c>
      <c r="D2645" s="22">
        <v>46032</v>
      </c>
      <c r="E2645" s="23" t="s">
        <v>22656</v>
      </c>
      <c r="F2645" s="24" t="s">
        <v>22657</v>
      </c>
      <c r="G2645" s="25">
        <v>4</v>
      </c>
      <c r="H2645" s="29"/>
      <c r="I2645" s="30"/>
    </row>
    <row r="2646" spans="1:9" ht="15.75" thickBot="1" x14ac:dyDescent="0.3">
      <c r="A2646" s="43" t="s">
        <v>6775</v>
      </c>
      <c r="B2646" s="21" t="s">
        <v>6776</v>
      </c>
      <c r="C2646" s="21" t="s">
        <v>22655</v>
      </c>
      <c r="D2646" s="22">
        <v>46028</v>
      </c>
      <c r="E2646" s="23" t="s">
        <v>22656</v>
      </c>
      <c r="F2646" s="24" t="s">
        <v>22657</v>
      </c>
      <c r="G2646" s="25">
        <v>2</v>
      </c>
      <c r="H2646" s="34">
        <v>2</v>
      </c>
      <c r="I2646" s="35">
        <v>4</v>
      </c>
    </row>
    <row r="2647" spans="1:9" ht="15.75" thickBot="1" x14ac:dyDescent="0.3">
      <c r="A2647" s="43" t="s">
        <v>6777</v>
      </c>
      <c r="B2647" s="21" t="s">
        <v>6778</v>
      </c>
      <c r="C2647" s="21" t="s">
        <v>22655</v>
      </c>
      <c r="D2647" s="22">
        <v>46028</v>
      </c>
      <c r="E2647" s="23" t="s">
        <v>22658</v>
      </c>
      <c r="F2647" s="24" t="s">
        <v>22657</v>
      </c>
      <c r="G2647" s="25">
        <v>2</v>
      </c>
      <c r="H2647" s="29"/>
      <c r="I2647" s="30"/>
    </row>
    <row r="2648" spans="1:9" ht="15.75" thickBot="1" x14ac:dyDescent="0.3">
      <c r="A2648" s="43" t="s">
        <v>523</v>
      </c>
      <c r="B2648" s="21" t="s">
        <v>524</v>
      </c>
      <c r="C2648" s="21" t="s">
        <v>22655</v>
      </c>
      <c r="D2648" s="22">
        <v>46032</v>
      </c>
      <c r="E2648" s="23" t="s">
        <v>22661</v>
      </c>
      <c r="F2648" s="24" t="s">
        <v>22657</v>
      </c>
      <c r="G2648" s="25">
        <v>10</v>
      </c>
      <c r="H2648" s="34">
        <v>10</v>
      </c>
      <c r="I2648" s="35">
        <v>20</v>
      </c>
    </row>
    <row r="2649" spans="1:9" ht="15.75" thickBot="1" x14ac:dyDescent="0.3">
      <c r="A2649" s="43" t="s">
        <v>6779</v>
      </c>
      <c r="B2649" s="21" t="s">
        <v>6780</v>
      </c>
      <c r="C2649" s="21" t="s">
        <v>22655</v>
      </c>
      <c r="D2649" s="22">
        <v>46032</v>
      </c>
      <c r="E2649" s="23" t="s">
        <v>22658</v>
      </c>
      <c r="F2649" s="24" t="s">
        <v>22657</v>
      </c>
      <c r="G2649" s="25">
        <v>2</v>
      </c>
      <c r="H2649" s="29"/>
      <c r="I2649" s="30"/>
    </row>
    <row r="2650" spans="1:9" ht="15.75" thickBot="1" x14ac:dyDescent="0.3">
      <c r="A2650" s="43" t="s">
        <v>6781</v>
      </c>
      <c r="B2650" s="21" t="s">
        <v>6782</v>
      </c>
      <c r="C2650" s="21" t="s">
        <v>22655</v>
      </c>
      <c r="D2650" s="22">
        <v>46028</v>
      </c>
      <c r="E2650" s="23" t="s">
        <v>22656</v>
      </c>
      <c r="F2650" s="24" t="s">
        <v>22657</v>
      </c>
      <c r="G2650" s="25">
        <v>2</v>
      </c>
      <c r="H2650" s="34">
        <v>2</v>
      </c>
      <c r="I2650" s="35">
        <v>4</v>
      </c>
    </row>
    <row r="2651" spans="1:9" ht="15.75" thickBot="1" x14ac:dyDescent="0.3">
      <c r="A2651" s="43" t="s">
        <v>301</v>
      </c>
      <c r="B2651" s="21" t="s">
        <v>302</v>
      </c>
      <c r="C2651" s="21" t="s">
        <v>22655</v>
      </c>
      <c r="D2651" s="22">
        <v>46032</v>
      </c>
      <c r="E2651" s="23" t="s">
        <v>22656</v>
      </c>
      <c r="F2651" s="24" t="s">
        <v>22657</v>
      </c>
      <c r="G2651" s="25">
        <v>10</v>
      </c>
      <c r="H2651" s="32">
        <v>10</v>
      </c>
      <c r="I2651" s="33">
        <v>18</v>
      </c>
    </row>
    <row r="2652" spans="1:9" ht="15.75" thickBot="1" x14ac:dyDescent="0.3">
      <c r="A2652" s="43" t="s">
        <v>6783</v>
      </c>
      <c r="B2652" s="21" t="s">
        <v>6784</v>
      </c>
      <c r="C2652" s="21" t="s">
        <v>22655</v>
      </c>
      <c r="D2652" s="22">
        <v>46028</v>
      </c>
      <c r="E2652" s="23" t="s">
        <v>22656</v>
      </c>
      <c r="F2652" s="24" t="s">
        <v>22657</v>
      </c>
      <c r="G2652" s="25">
        <v>2</v>
      </c>
      <c r="H2652" s="26"/>
      <c r="I2652" s="27"/>
    </row>
    <row r="2653" spans="1:9" ht="15.75" thickBot="1" x14ac:dyDescent="0.3">
      <c r="A2653" s="43" t="s">
        <v>6785</v>
      </c>
      <c r="B2653" s="21" t="s">
        <v>6786</v>
      </c>
      <c r="C2653" s="21" t="s">
        <v>22655</v>
      </c>
      <c r="D2653" s="22">
        <v>46028</v>
      </c>
      <c r="E2653" s="23" t="s">
        <v>22656</v>
      </c>
      <c r="F2653" s="24" t="s">
        <v>22657</v>
      </c>
      <c r="G2653" s="25">
        <v>2</v>
      </c>
      <c r="H2653" s="29"/>
      <c r="I2653" s="30"/>
    </row>
    <row r="2654" spans="1:9" ht="15.75" thickBot="1" x14ac:dyDescent="0.3">
      <c r="A2654" s="43" t="s">
        <v>6787</v>
      </c>
      <c r="B2654" s="21" t="s">
        <v>6788</v>
      </c>
      <c r="C2654" s="21" t="s">
        <v>22655</v>
      </c>
      <c r="D2654" s="22">
        <v>46032</v>
      </c>
      <c r="E2654" s="23" t="s">
        <v>22656</v>
      </c>
      <c r="F2654" s="24" t="s">
        <v>22657</v>
      </c>
      <c r="G2654" s="25">
        <v>4</v>
      </c>
      <c r="H2654" s="26"/>
      <c r="I2654" s="27"/>
    </row>
    <row r="2655" spans="1:9" ht="15.75" thickBot="1" x14ac:dyDescent="0.3">
      <c r="A2655" s="43" t="s">
        <v>6789</v>
      </c>
      <c r="B2655" s="21" t="s">
        <v>6790</v>
      </c>
      <c r="C2655" s="21" t="s">
        <v>22655</v>
      </c>
      <c r="D2655" s="22">
        <v>46028</v>
      </c>
      <c r="E2655" s="23" t="s">
        <v>22656</v>
      </c>
      <c r="F2655" s="24" t="s">
        <v>22657</v>
      </c>
      <c r="G2655" s="25">
        <v>2</v>
      </c>
      <c r="H2655" s="29"/>
      <c r="I2655" s="30"/>
    </row>
    <row r="2656" spans="1:9" ht="15.75" thickBot="1" x14ac:dyDescent="0.3">
      <c r="A2656" s="43" t="s">
        <v>1535</v>
      </c>
      <c r="B2656" s="21" t="s">
        <v>1536</v>
      </c>
      <c r="C2656" s="21" t="s">
        <v>22655</v>
      </c>
      <c r="D2656" s="22">
        <v>46032</v>
      </c>
      <c r="E2656" s="23" t="s">
        <v>22656</v>
      </c>
      <c r="F2656" s="24" t="s">
        <v>22657</v>
      </c>
      <c r="G2656" s="25">
        <v>2</v>
      </c>
      <c r="H2656" s="34">
        <v>2</v>
      </c>
      <c r="I2656" s="35">
        <v>4</v>
      </c>
    </row>
    <row r="2657" spans="1:9" ht="15.75" thickBot="1" x14ac:dyDescent="0.3">
      <c r="A2657" s="43" t="s">
        <v>6791</v>
      </c>
      <c r="B2657" s="21" t="s">
        <v>6792</v>
      </c>
      <c r="C2657" s="21" t="s">
        <v>22655</v>
      </c>
      <c r="D2657" s="22">
        <v>46032</v>
      </c>
      <c r="E2657" s="23" t="s">
        <v>22658</v>
      </c>
      <c r="F2657" s="24" t="s">
        <v>22657</v>
      </c>
      <c r="G2657" s="25">
        <v>4</v>
      </c>
      <c r="H2657" s="29"/>
      <c r="I2657" s="30"/>
    </row>
    <row r="2658" spans="1:9" ht="15.75" thickBot="1" x14ac:dyDescent="0.3">
      <c r="A2658" s="43" t="s">
        <v>6793</v>
      </c>
      <c r="B2658" s="21" t="s">
        <v>6794</v>
      </c>
      <c r="C2658" s="21" t="s">
        <v>22655</v>
      </c>
      <c r="D2658" s="22">
        <v>46028</v>
      </c>
      <c r="E2658" s="23" t="s">
        <v>22656</v>
      </c>
      <c r="F2658" s="24" t="s">
        <v>22657</v>
      </c>
      <c r="G2658" s="25">
        <v>2</v>
      </c>
      <c r="H2658" s="26"/>
      <c r="I2658" s="27"/>
    </row>
    <row r="2659" spans="1:9" ht="15.75" thickBot="1" x14ac:dyDescent="0.3">
      <c r="A2659" s="43" t="s">
        <v>1081</v>
      </c>
      <c r="B2659" s="21" t="s">
        <v>1082</v>
      </c>
      <c r="C2659" s="21" t="s">
        <v>22655</v>
      </c>
      <c r="D2659" s="22">
        <v>46028</v>
      </c>
      <c r="E2659" s="23" t="s">
        <v>22656</v>
      </c>
      <c r="F2659" s="24" t="s">
        <v>22657</v>
      </c>
      <c r="G2659" s="25">
        <v>3</v>
      </c>
      <c r="H2659" s="29"/>
      <c r="I2659" s="30"/>
    </row>
    <row r="2660" spans="1:9" ht="15.75" thickBot="1" x14ac:dyDescent="0.3">
      <c r="A2660" s="43" t="s">
        <v>6795</v>
      </c>
      <c r="B2660" s="21" t="s">
        <v>6796</v>
      </c>
      <c r="C2660" s="21" t="s">
        <v>22655</v>
      </c>
      <c r="D2660" s="22">
        <v>46028</v>
      </c>
      <c r="E2660" s="23" t="s">
        <v>22656</v>
      </c>
      <c r="F2660" s="24" t="s">
        <v>22657</v>
      </c>
      <c r="G2660" s="25">
        <v>3</v>
      </c>
      <c r="H2660" s="26"/>
      <c r="I2660" s="27"/>
    </row>
    <row r="2661" spans="1:9" ht="15.75" thickBot="1" x14ac:dyDescent="0.3">
      <c r="A2661" s="43" t="s">
        <v>6797</v>
      </c>
      <c r="B2661" s="21" t="s">
        <v>6798</v>
      </c>
      <c r="C2661" s="21" t="s">
        <v>22655</v>
      </c>
      <c r="D2661" s="22">
        <v>46028</v>
      </c>
      <c r="E2661" s="23" t="s">
        <v>22656</v>
      </c>
      <c r="F2661" s="24" t="s">
        <v>22657</v>
      </c>
      <c r="G2661" s="25">
        <v>2</v>
      </c>
      <c r="H2661" s="29"/>
      <c r="I2661" s="30"/>
    </row>
    <row r="2662" spans="1:9" ht="15.75" thickBot="1" x14ac:dyDescent="0.3">
      <c r="A2662" s="43" t="s">
        <v>1433</v>
      </c>
      <c r="B2662" s="21" t="s">
        <v>1434</v>
      </c>
      <c r="C2662" s="21" t="s">
        <v>22655</v>
      </c>
      <c r="D2662" s="22">
        <v>46032</v>
      </c>
      <c r="E2662" s="23" t="s">
        <v>22656</v>
      </c>
      <c r="F2662" s="24" t="s">
        <v>22657</v>
      </c>
      <c r="G2662" s="25">
        <v>2</v>
      </c>
      <c r="H2662" s="34">
        <v>2</v>
      </c>
      <c r="I2662" s="35">
        <v>4</v>
      </c>
    </row>
    <row r="2663" spans="1:9" ht="15.75" thickBot="1" x14ac:dyDescent="0.3">
      <c r="A2663" s="43" t="s">
        <v>1363</v>
      </c>
      <c r="B2663" s="21" t="s">
        <v>1364</v>
      </c>
      <c r="C2663" s="21" t="s">
        <v>22655</v>
      </c>
      <c r="D2663" s="22">
        <v>46032</v>
      </c>
      <c r="E2663" s="23" t="s">
        <v>22656</v>
      </c>
      <c r="F2663" s="24" t="s">
        <v>22657</v>
      </c>
      <c r="G2663" s="25">
        <v>4</v>
      </c>
      <c r="H2663" s="29"/>
      <c r="I2663" s="30"/>
    </row>
    <row r="2664" spans="1:9" ht="15.75" thickBot="1" x14ac:dyDescent="0.3">
      <c r="A2664" s="43" t="s">
        <v>6799</v>
      </c>
      <c r="B2664" s="21" t="s">
        <v>6800</v>
      </c>
      <c r="C2664" s="21" t="s">
        <v>22655</v>
      </c>
      <c r="D2664" s="22">
        <v>46032</v>
      </c>
      <c r="E2664" s="23" t="s">
        <v>22656</v>
      </c>
      <c r="F2664" s="24" t="s">
        <v>22657</v>
      </c>
      <c r="G2664" s="25">
        <v>4</v>
      </c>
      <c r="H2664" s="26"/>
      <c r="I2664" s="27"/>
    </row>
    <row r="2665" spans="1:9" ht="15.75" thickBot="1" x14ac:dyDescent="0.3">
      <c r="A2665" s="43" t="s">
        <v>6801</v>
      </c>
      <c r="B2665" s="21" t="s">
        <v>6802</v>
      </c>
      <c r="C2665" s="21" t="s">
        <v>22655</v>
      </c>
      <c r="D2665" s="22">
        <v>46030</v>
      </c>
      <c r="E2665" s="23" t="s">
        <v>22656</v>
      </c>
      <c r="F2665" s="24" t="s">
        <v>22657</v>
      </c>
      <c r="G2665" s="25">
        <v>3</v>
      </c>
      <c r="H2665" s="29"/>
      <c r="I2665" s="30"/>
    </row>
    <row r="2666" spans="1:9" ht="15.75" thickBot="1" x14ac:dyDescent="0.3">
      <c r="A2666" s="43" t="s">
        <v>469</v>
      </c>
      <c r="B2666" s="21" t="s">
        <v>470</v>
      </c>
      <c r="C2666" s="21" t="s">
        <v>22655</v>
      </c>
      <c r="D2666" s="22">
        <v>46028</v>
      </c>
      <c r="E2666" s="23" t="s">
        <v>22656</v>
      </c>
      <c r="F2666" s="24" t="s">
        <v>22657</v>
      </c>
      <c r="G2666" s="25">
        <v>6</v>
      </c>
      <c r="H2666" s="34">
        <v>6</v>
      </c>
      <c r="I2666" s="35">
        <v>18</v>
      </c>
    </row>
    <row r="2667" spans="1:9" ht="15.75" thickBot="1" x14ac:dyDescent="0.3">
      <c r="A2667" s="43" t="s">
        <v>6803</v>
      </c>
      <c r="B2667" s="21" t="s">
        <v>6804</v>
      </c>
      <c r="C2667" s="21" t="s">
        <v>22655</v>
      </c>
      <c r="D2667" s="22">
        <v>46032</v>
      </c>
      <c r="E2667" s="23" t="s">
        <v>22656</v>
      </c>
      <c r="F2667" s="24" t="s">
        <v>22657</v>
      </c>
      <c r="G2667" s="25">
        <v>4</v>
      </c>
      <c r="H2667" s="29"/>
      <c r="I2667" s="30"/>
    </row>
    <row r="2668" spans="1:9" ht="15.75" thickBot="1" x14ac:dyDescent="0.3">
      <c r="A2668" s="43" t="s">
        <v>6805</v>
      </c>
      <c r="B2668" s="21" t="s">
        <v>6806</v>
      </c>
      <c r="C2668" s="21" t="s">
        <v>22655</v>
      </c>
      <c r="D2668" s="31" t="s">
        <v>22786</v>
      </c>
      <c r="E2668" s="23" t="s">
        <v>22658</v>
      </c>
      <c r="F2668" s="24" t="s">
        <v>22657</v>
      </c>
      <c r="G2668" s="25">
        <v>12</v>
      </c>
      <c r="H2668" s="26"/>
      <c r="I2668" s="27"/>
    </row>
    <row r="2669" spans="1:9" ht="15.75" thickBot="1" x14ac:dyDescent="0.3">
      <c r="A2669" s="43" t="s">
        <v>6807</v>
      </c>
      <c r="B2669" s="21" t="s">
        <v>6808</v>
      </c>
      <c r="C2669" s="21" t="s">
        <v>22655</v>
      </c>
      <c r="D2669" s="31" t="s">
        <v>22786</v>
      </c>
      <c r="E2669" s="23" t="s">
        <v>22658</v>
      </c>
      <c r="F2669" s="24" t="s">
        <v>22657</v>
      </c>
      <c r="G2669" s="25">
        <v>12</v>
      </c>
      <c r="H2669" s="29"/>
      <c r="I2669" s="30"/>
    </row>
    <row r="2670" spans="1:9" ht="15.75" thickBot="1" x14ac:dyDescent="0.3">
      <c r="A2670" s="43" t="s">
        <v>6809</v>
      </c>
      <c r="B2670" s="21" t="s">
        <v>6810</v>
      </c>
      <c r="C2670" s="21" t="s">
        <v>22655</v>
      </c>
      <c r="D2670" s="31" t="s">
        <v>22786</v>
      </c>
      <c r="E2670" s="23" t="s">
        <v>22658</v>
      </c>
      <c r="F2670" s="24" t="s">
        <v>22657</v>
      </c>
      <c r="G2670" s="25">
        <v>12</v>
      </c>
      <c r="H2670" s="26"/>
      <c r="I2670" s="27"/>
    </row>
    <row r="2671" spans="1:9" ht="15.75" thickBot="1" x14ac:dyDescent="0.3">
      <c r="A2671" s="43" t="s">
        <v>6811</v>
      </c>
      <c r="B2671" s="21" t="s">
        <v>6812</v>
      </c>
      <c r="C2671" s="21" t="s">
        <v>22655</v>
      </c>
      <c r="D2671" s="31" t="s">
        <v>22786</v>
      </c>
      <c r="E2671" s="23" t="s">
        <v>22658</v>
      </c>
      <c r="F2671" s="24" t="s">
        <v>22657</v>
      </c>
      <c r="G2671" s="25">
        <v>12</v>
      </c>
      <c r="H2671" s="29"/>
      <c r="I2671" s="30"/>
    </row>
    <row r="2672" spans="1:9" ht="15.75" thickBot="1" x14ac:dyDescent="0.3">
      <c r="A2672" s="43" t="s">
        <v>6813</v>
      </c>
      <c r="B2672" s="21" t="s">
        <v>6814</v>
      </c>
      <c r="C2672" s="21" t="s">
        <v>22655</v>
      </c>
      <c r="D2672" s="31" t="s">
        <v>22786</v>
      </c>
      <c r="E2672" s="23" t="s">
        <v>22658</v>
      </c>
      <c r="F2672" s="24" t="s">
        <v>22657</v>
      </c>
      <c r="G2672" s="25">
        <v>12</v>
      </c>
      <c r="H2672" s="26"/>
      <c r="I2672" s="27"/>
    </row>
    <row r="2673" spans="1:9" ht="15.75" thickBot="1" x14ac:dyDescent="0.3">
      <c r="A2673" s="43" t="s">
        <v>6815</v>
      </c>
      <c r="B2673" s="21" t="s">
        <v>6816</v>
      </c>
      <c r="C2673" s="21" t="s">
        <v>22655</v>
      </c>
      <c r="D2673" s="31" t="s">
        <v>22786</v>
      </c>
      <c r="E2673" s="23" t="s">
        <v>22658</v>
      </c>
      <c r="F2673" s="24" t="s">
        <v>22657</v>
      </c>
      <c r="G2673" s="25">
        <v>12</v>
      </c>
      <c r="H2673" s="29"/>
      <c r="I2673" s="30"/>
    </row>
    <row r="2674" spans="1:9" ht="15.75" thickBot="1" x14ac:dyDescent="0.3">
      <c r="A2674" s="43" t="s">
        <v>6817</v>
      </c>
      <c r="B2674" s="21" t="s">
        <v>6818</v>
      </c>
      <c r="C2674" s="21" t="s">
        <v>22663</v>
      </c>
      <c r="D2674" s="31">
        <v>1</v>
      </c>
      <c r="E2674" s="23" t="s">
        <v>22658</v>
      </c>
      <c r="F2674" s="24" t="s">
        <v>22657</v>
      </c>
      <c r="G2674" s="25">
        <v>2</v>
      </c>
      <c r="H2674" s="26"/>
      <c r="I2674" s="27"/>
    </row>
    <row r="2675" spans="1:9" ht="15.75" thickBot="1" x14ac:dyDescent="0.3">
      <c r="A2675" s="43" t="s">
        <v>6819</v>
      </c>
      <c r="B2675" s="21" t="s">
        <v>6820</v>
      </c>
      <c r="C2675" s="21" t="s">
        <v>22655</v>
      </c>
      <c r="D2675" s="22">
        <v>46032</v>
      </c>
      <c r="E2675" s="23" t="s">
        <v>22658</v>
      </c>
      <c r="F2675" s="24" t="s">
        <v>22657</v>
      </c>
      <c r="G2675" s="25">
        <v>4</v>
      </c>
      <c r="H2675" s="29"/>
      <c r="I2675" s="30"/>
    </row>
    <row r="2676" spans="1:9" ht="15.75" thickBot="1" x14ac:dyDescent="0.3">
      <c r="A2676" s="43" t="s">
        <v>6821</v>
      </c>
      <c r="B2676" s="21" t="s">
        <v>6822</v>
      </c>
      <c r="C2676" s="21" t="s">
        <v>22655</v>
      </c>
      <c r="D2676" s="22">
        <v>46042</v>
      </c>
      <c r="E2676" s="23" t="s">
        <v>22658</v>
      </c>
      <c r="F2676" s="24" t="s">
        <v>22657</v>
      </c>
      <c r="G2676" s="25">
        <v>7</v>
      </c>
      <c r="H2676" s="26"/>
      <c r="I2676" s="27"/>
    </row>
    <row r="2677" spans="1:9" ht="15.75" thickBot="1" x14ac:dyDescent="0.3">
      <c r="A2677" s="43" t="s">
        <v>6823</v>
      </c>
      <c r="B2677" s="21" t="s">
        <v>6824</v>
      </c>
      <c r="C2677" s="21" t="s">
        <v>22655</v>
      </c>
      <c r="D2677" s="22">
        <v>46042</v>
      </c>
      <c r="E2677" s="23" t="s">
        <v>22658</v>
      </c>
      <c r="F2677" s="24" t="s">
        <v>22657</v>
      </c>
      <c r="G2677" s="25">
        <v>7</v>
      </c>
      <c r="H2677" s="29"/>
      <c r="I2677" s="30"/>
    </row>
    <row r="2678" spans="1:9" ht="15.75" thickBot="1" x14ac:dyDescent="0.3">
      <c r="A2678" s="43" t="s">
        <v>6825</v>
      </c>
      <c r="B2678" s="21" t="s">
        <v>6826</v>
      </c>
      <c r="C2678" s="21" t="s">
        <v>22655</v>
      </c>
      <c r="D2678" s="22">
        <v>46032</v>
      </c>
      <c r="E2678" s="23" t="s">
        <v>22658</v>
      </c>
      <c r="F2678" s="24" t="s">
        <v>22657</v>
      </c>
      <c r="G2678" s="25">
        <v>4</v>
      </c>
      <c r="H2678" s="26"/>
      <c r="I2678" s="27"/>
    </row>
    <row r="2679" spans="1:9" ht="15.75" thickBot="1" x14ac:dyDescent="0.3">
      <c r="A2679" s="43" t="s">
        <v>6827</v>
      </c>
      <c r="B2679" s="21" t="s">
        <v>6828</v>
      </c>
      <c r="C2679" s="21" t="s">
        <v>22663</v>
      </c>
      <c r="D2679" s="31">
        <v>1</v>
      </c>
      <c r="E2679" s="23" t="s">
        <v>22658</v>
      </c>
      <c r="F2679" s="24" t="s">
        <v>22657</v>
      </c>
      <c r="G2679" s="25">
        <v>4</v>
      </c>
      <c r="H2679" s="29"/>
      <c r="I2679" s="30"/>
    </row>
    <row r="2680" spans="1:9" ht="15.75" thickBot="1" x14ac:dyDescent="0.3">
      <c r="A2680" s="43" t="s">
        <v>6829</v>
      </c>
      <c r="B2680" s="21" t="s">
        <v>6830</v>
      </c>
      <c r="C2680" s="21" t="s">
        <v>22655</v>
      </c>
      <c r="D2680" s="22">
        <v>46024</v>
      </c>
      <c r="E2680" s="23" t="s">
        <v>22656</v>
      </c>
      <c r="F2680" s="24" t="s">
        <v>22657</v>
      </c>
      <c r="G2680" s="25">
        <v>2</v>
      </c>
      <c r="H2680" s="26"/>
      <c r="I2680" s="27"/>
    </row>
    <row r="2681" spans="1:9" ht="15.75" thickBot="1" x14ac:dyDescent="0.3">
      <c r="A2681" s="43" t="s">
        <v>6831</v>
      </c>
      <c r="B2681" s="21" t="s">
        <v>6832</v>
      </c>
      <c r="C2681" s="21" t="s">
        <v>22655</v>
      </c>
      <c r="D2681" s="22">
        <v>46034</v>
      </c>
      <c r="E2681" s="23" t="s">
        <v>22656</v>
      </c>
      <c r="F2681" s="24" t="s">
        <v>22657</v>
      </c>
      <c r="G2681" s="25">
        <v>4</v>
      </c>
      <c r="H2681" s="29"/>
      <c r="I2681" s="30"/>
    </row>
    <row r="2682" spans="1:9" ht="15.75" thickBot="1" x14ac:dyDescent="0.3">
      <c r="A2682" s="43" t="s">
        <v>6833</v>
      </c>
      <c r="B2682" s="21" t="s">
        <v>6834</v>
      </c>
      <c r="C2682" s="21" t="s">
        <v>22655</v>
      </c>
      <c r="D2682" s="22">
        <v>46026</v>
      </c>
      <c r="E2682" s="23" t="s">
        <v>22656</v>
      </c>
      <c r="F2682" s="24" t="s">
        <v>22657</v>
      </c>
      <c r="G2682" s="25">
        <v>2</v>
      </c>
      <c r="H2682" s="26"/>
      <c r="I2682" s="27"/>
    </row>
    <row r="2683" spans="1:9" ht="15.75" thickBot="1" x14ac:dyDescent="0.3">
      <c r="A2683" s="43" t="s">
        <v>6835</v>
      </c>
      <c r="B2683" s="21" t="s">
        <v>6836</v>
      </c>
      <c r="C2683" s="21" t="s">
        <v>22655</v>
      </c>
      <c r="D2683" s="22">
        <v>46028</v>
      </c>
      <c r="E2683" s="23" t="s">
        <v>22656</v>
      </c>
      <c r="F2683" s="24" t="s">
        <v>22657</v>
      </c>
      <c r="G2683" s="25">
        <v>2</v>
      </c>
      <c r="H2683" s="29"/>
      <c r="I2683" s="30"/>
    </row>
    <row r="2684" spans="1:9" ht="15.75" thickBot="1" x14ac:dyDescent="0.3">
      <c r="A2684" s="43" t="s">
        <v>6839</v>
      </c>
      <c r="B2684" s="21" t="s">
        <v>22486</v>
      </c>
      <c r="C2684" s="21" t="s">
        <v>22655</v>
      </c>
      <c r="D2684" s="22">
        <v>46027</v>
      </c>
      <c r="E2684" s="23" t="s">
        <v>22656</v>
      </c>
      <c r="F2684" s="24" t="s">
        <v>22657</v>
      </c>
      <c r="G2684" s="25">
        <v>4</v>
      </c>
      <c r="H2684" s="34">
        <v>4</v>
      </c>
      <c r="I2684" s="35">
        <v>6</v>
      </c>
    </row>
    <row r="2685" spans="1:9" ht="15.75" thickBot="1" x14ac:dyDescent="0.3">
      <c r="A2685" s="43" t="s">
        <v>6837</v>
      </c>
      <c r="B2685" s="21" t="s">
        <v>6838</v>
      </c>
      <c r="C2685" s="21" t="s">
        <v>22655</v>
      </c>
      <c r="D2685" s="22">
        <v>46024</v>
      </c>
      <c r="E2685" s="23" t="s">
        <v>22658</v>
      </c>
      <c r="F2685" s="24" t="s">
        <v>22657</v>
      </c>
      <c r="G2685" s="25">
        <v>1</v>
      </c>
      <c r="H2685" s="29"/>
      <c r="I2685" s="30"/>
    </row>
    <row r="2686" spans="1:9" ht="15.75" thickBot="1" x14ac:dyDescent="0.3">
      <c r="A2686" s="43" t="s">
        <v>6841</v>
      </c>
      <c r="B2686" s="21" t="s">
        <v>22487</v>
      </c>
      <c r="C2686" s="21" t="s">
        <v>22655</v>
      </c>
      <c r="D2686" s="22">
        <v>46027</v>
      </c>
      <c r="E2686" s="23" t="s">
        <v>22656</v>
      </c>
      <c r="F2686" s="24" t="s">
        <v>22657</v>
      </c>
      <c r="G2686" s="25">
        <v>2</v>
      </c>
      <c r="H2686" s="26"/>
      <c r="I2686" s="27"/>
    </row>
    <row r="2687" spans="1:9" ht="15.75" thickBot="1" x14ac:dyDescent="0.3">
      <c r="A2687" s="43" t="s">
        <v>6845</v>
      </c>
      <c r="B2687" s="21" t="s">
        <v>6846</v>
      </c>
      <c r="C2687" s="21" t="s">
        <v>22655</v>
      </c>
      <c r="D2687" s="22">
        <v>46026</v>
      </c>
      <c r="E2687" s="23" t="s">
        <v>22656</v>
      </c>
      <c r="F2687" s="24" t="s">
        <v>22657</v>
      </c>
      <c r="G2687" s="25">
        <v>2</v>
      </c>
      <c r="H2687" s="29"/>
      <c r="I2687" s="30"/>
    </row>
    <row r="2688" spans="1:9" ht="15.75" thickBot="1" x14ac:dyDescent="0.3">
      <c r="A2688" s="43" t="s">
        <v>6847</v>
      </c>
      <c r="B2688" s="21" t="s">
        <v>6848</v>
      </c>
      <c r="C2688" s="21" t="s">
        <v>22655</v>
      </c>
      <c r="D2688" s="22">
        <v>46026</v>
      </c>
      <c r="E2688" s="23" t="s">
        <v>22656</v>
      </c>
      <c r="F2688" s="24" t="s">
        <v>22657</v>
      </c>
      <c r="G2688" s="25">
        <v>2</v>
      </c>
      <c r="H2688" s="26"/>
      <c r="I2688" s="27"/>
    </row>
    <row r="2689" spans="1:9" ht="15.75" thickBot="1" x14ac:dyDescent="0.3">
      <c r="A2689" s="43" t="s">
        <v>6849</v>
      </c>
      <c r="B2689" s="21" t="s">
        <v>6850</v>
      </c>
      <c r="C2689" s="21" t="s">
        <v>22655</v>
      </c>
      <c r="D2689" s="22">
        <v>46026</v>
      </c>
      <c r="E2689" s="23" t="s">
        <v>22656</v>
      </c>
      <c r="F2689" s="24" t="s">
        <v>22657</v>
      </c>
      <c r="G2689" s="25">
        <v>2</v>
      </c>
      <c r="H2689" s="29"/>
      <c r="I2689" s="30"/>
    </row>
    <row r="2690" spans="1:9" ht="15.75" thickBot="1" x14ac:dyDescent="0.3">
      <c r="A2690" s="43" t="s">
        <v>6851</v>
      </c>
      <c r="B2690" s="21" t="s">
        <v>6852</v>
      </c>
      <c r="C2690" s="21" t="s">
        <v>22655</v>
      </c>
      <c r="D2690" s="22">
        <v>46026</v>
      </c>
      <c r="E2690" s="23" t="s">
        <v>22656</v>
      </c>
      <c r="F2690" s="24" t="s">
        <v>22657</v>
      </c>
      <c r="G2690" s="25">
        <v>2</v>
      </c>
      <c r="H2690" s="26"/>
      <c r="I2690" s="27"/>
    </row>
    <row r="2691" spans="1:9" ht="15.75" thickBot="1" x14ac:dyDescent="0.3">
      <c r="A2691" s="43" t="s">
        <v>6853</v>
      </c>
      <c r="B2691" s="21" t="s">
        <v>6854</v>
      </c>
      <c r="C2691" s="21" t="s">
        <v>22655</v>
      </c>
      <c r="D2691" s="22">
        <v>46034</v>
      </c>
      <c r="E2691" s="23" t="s">
        <v>22658</v>
      </c>
      <c r="F2691" s="24" t="s">
        <v>22657</v>
      </c>
      <c r="G2691" s="25">
        <v>4</v>
      </c>
      <c r="H2691" s="29"/>
      <c r="I2691" s="30"/>
    </row>
    <row r="2692" spans="1:9" ht="15.75" thickBot="1" x14ac:dyDescent="0.3">
      <c r="A2692" s="43" t="s">
        <v>6855</v>
      </c>
      <c r="B2692" s="21" t="s">
        <v>6856</v>
      </c>
      <c r="C2692" s="21" t="s">
        <v>22655</v>
      </c>
      <c r="D2692" s="22">
        <v>46034</v>
      </c>
      <c r="E2692" s="23" t="s">
        <v>22658</v>
      </c>
      <c r="F2692" s="24" t="s">
        <v>22657</v>
      </c>
      <c r="G2692" s="25">
        <v>4</v>
      </c>
      <c r="H2692" s="26"/>
      <c r="I2692" s="27"/>
    </row>
    <row r="2693" spans="1:9" ht="15.75" thickBot="1" x14ac:dyDescent="0.3">
      <c r="A2693" s="43" t="s">
        <v>6857</v>
      </c>
      <c r="B2693" s="21" t="s">
        <v>6858</v>
      </c>
      <c r="C2693" s="21" t="s">
        <v>22655</v>
      </c>
      <c r="D2693" s="22">
        <v>46034</v>
      </c>
      <c r="E2693" s="23" t="s">
        <v>22658</v>
      </c>
      <c r="F2693" s="24" t="s">
        <v>22657</v>
      </c>
      <c r="G2693" s="25">
        <v>4</v>
      </c>
      <c r="H2693" s="29"/>
      <c r="I2693" s="30"/>
    </row>
    <row r="2694" spans="1:9" ht="15.75" thickBot="1" x14ac:dyDescent="0.3">
      <c r="A2694" s="43" t="s">
        <v>6859</v>
      </c>
      <c r="B2694" s="21" t="s">
        <v>6860</v>
      </c>
      <c r="C2694" s="21" t="s">
        <v>22655</v>
      </c>
      <c r="D2694" s="22">
        <v>46026</v>
      </c>
      <c r="E2694" s="23" t="s">
        <v>22658</v>
      </c>
      <c r="F2694" s="24" t="s">
        <v>22657</v>
      </c>
      <c r="G2694" s="25">
        <v>1</v>
      </c>
      <c r="H2694" s="26"/>
      <c r="I2694" s="27"/>
    </row>
    <row r="2695" spans="1:9" ht="15.75" thickBot="1" x14ac:dyDescent="0.3">
      <c r="A2695" s="43" t="s">
        <v>6861</v>
      </c>
      <c r="B2695" s="21" t="s">
        <v>6862</v>
      </c>
      <c r="C2695" s="21" t="s">
        <v>22663</v>
      </c>
      <c r="D2695" s="31">
        <v>1</v>
      </c>
      <c r="E2695" s="23" t="s">
        <v>22656</v>
      </c>
      <c r="F2695" s="24" t="s">
        <v>22657</v>
      </c>
      <c r="G2695" s="25">
        <v>2</v>
      </c>
      <c r="H2695" s="29"/>
      <c r="I2695" s="30"/>
    </row>
    <row r="2696" spans="1:9" ht="15.75" thickBot="1" x14ac:dyDescent="0.3">
      <c r="A2696" s="43" t="s">
        <v>6863</v>
      </c>
      <c r="B2696" s="21" t="s">
        <v>6864</v>
      </c>
      <c r="C2696" s="21" t="s">
        <v>22663</v>
      </c>
      <c r="D2696" s="31">
        <v>1</v>
      </c>
      <c r="E2696" s="23" t="s">
        <v>22656</v>
      </c>
      <c r="F2696" s="24" t="s">
        <v>22657</v>
      </c>
      <c r="G2696" s="25">
        <v>4</v>
      </c>
      <c r="H2696" s="34">
        <v>4</v>
      </c>
      <c r="I2696" s="35">
        <v>6</v>
      </c>
    </row>
    <row r="2697" spans="1:9" ht="15.75" thickBot="1" x14ac:dyDescent="0.3">
      <c r="A2697" s="43" t="s">
        <v>6865</v>
      </c>
      <c r="B2697" s="21" t="s">
        <v>6866</v>
      </c>
      <c r="C2697" s="21" t="s">
        <v>22663</v>
      </c>
      <c r="D2697" s="31">
        <v>1</v>
      </c>
      <c r="E2697" s="23" t="s">
        <v>22656</v>
      </c>
      <c r="F2697" s="24" t="s">
        <v>22657</v>
      </c>
      <c r="G2697" s="25">
        <v>2</v>
      </c>
      <c r="H2697" s="29"/>
      <c r="I2697" s="30"/>
    </row>
    <row r="2698" spans="1:9" ht="15.75" thickBot="1" x14ac:dyDescent="0.3">
      <c r="A2698" s="43" t="s">
        <v>1133</v>
      </c>
      <c r="B2698" s="21" t="s">
        <v>1134</v>
      </c>
      <c r="C2698" s="21" t="s">
        <v>22663</v>
      </c>
      <c r="D2698" s="31">
        <v>1</v>
      </c>
      <c r="E2698" s="23" t="s">
        <v>22656</v>
      </c>
      <c r="F2698" s="24" t="s">
        <v>22657</v>
      </c>
      <c r="G2698" s="25">
        <v>4</v>
      </c>
      <c r="H2698" s="34">
        <v>4</v>
      </c>
      <c r="I2698" s="35">
        <v>6</v>
      </c>
    </row>
    <row r="2699" spans="1:9" ht="15.75" thickBot="1" x14ac:dyDescent="0.3">
      <c r="A2699" s="43" t="s">
        <v>6867</v>
      </c>
      <c r="B2699" s="21" t="s">
        <v>6868</v>
      </c>
      <c r="C2699" s="21" t="s">
        <v>22655</v>
      </c>
      <c r="D2699" s="22">
        <v>46034</v>
      </c>
      <c r="E2699" s="23" t="s">
        <v>22656</v>
      </c>
      <c r="F2699" s="24" t="s">
        <v>22657</v>
      </c>
      <c r="G2699" s="25">
        <v>24</v>
      </c>
      <c r="H2699" s="32">
        <v>24</v>
      </c>
      <c r="I2699" s="33">
        <v>48</v>
      </c>
    </row>
    <row r="2700" spans="1:9" ht="15.75" thickBot="1" x14ac:dyDescent="0.3">
      <c r="A2700" s="43" t="s">
        <v>6869</v>
      </c>
      <c r="B2700" s="21" t="s">
        <v>6870</v>
      </c>
      <c r="C2700" s="21" t="s">
        <v>22655</v>
      </c>
      <c r="D2700" s="22">
        <v>46028</v>
      </c>
      <c r="E2700" s="23" t="s">
        <v>22656</v>
      </c>
      <c r="F2700" s="24" t="s">
        <v>22657</v>
      </c>
      <c r="G2700" s="25">
        <v>2</v>
      </c>
      <c r="H2700" s="26"/>
      <c r="I2700" s="27"/>
    </row>
    <row r="2701" spans="1:9" ht="15.75" thickBot="1" x14ac:dyDescent="0.3">
      <c r="A2701" s="43" t="s">
        <v>6871</v>
      </c>
      <c r="B2701" s="21" t="s">
        <v>6872</v>
      </c>
      <c r="C2701" s="21" t="s">
        <v>22655</v>
      </c>
      <c r="D2701" s="22">
        <v>46034</v>
      </c>
      <c r="E2701" s="23" t="s">
        <v>22661</v>
      </c>
      <c r="F2701" s="24" t="s">
        <v>22657</v>
      </c>
      <c r="G2701" s="25">
        <v>6</v>
      </c>
      <c r="H2701" s="29"/>
      <c r="I2701" s="30"/>
    </row>
    <row r="2702" spans="1:9" ht="15.75" thickBot="1" x14ac:dyDescent="0.3">
      <c r="A2702" s="43" t="s">
        <v>611</v>
      </c>
      <c r="B2702" s="21" t="s">
        <v>612</v>
      </c>
      <c r="C2702" s="21" t="s">
        <v>22655</v>
      </c>
      <c r="D2702" s="22">
        <v>46034</v>
      </c>
      <c r="E2702" s="23" t="s">
        <v>22656</v>
      </c>
      <c r="F2702" s="24" t="s">
        <v>22657</v>
      </c>
      <c r="G2702" s="25">
        <v>34</v>
      </c>
      <c r="H2702" s="26"/>
      <c r="I2702" s="27"/>
    </row>
    <row r="2703" spans="1:9" ht="15.75" thickBot="1" x14ac:dyDescent="0.3">
      <c r="A2703" s="43" t="s">
        <v>427</v>
      </c>
      <c r="B2703" s="21" t="s">
        <v>428</v>
      </c>
      <c r="C2703" s="21" t="s">
        <v>22655</v>
      </c>
      <c r="D2703" s="22">
        <v>46034</v>
      </c>
      <c r="E2703" s="23" t="s">
        <v>22661</v>
      </c>
      <c r="F2703" s="24" t="s">
        <v>22657</v>
      </c>
      <c r="G2703" s="25">
        <v>11</v>
      </c>
      <c r="H2703" s="29"/>
      <c r="I2703" s="30"/>
    </row>
    <row r="2704" spans="1:9" ht="15.75" thickBot="1" x14ac:dyDescent="0.3">
      <c r="A2704" s="43" t="s">
        <v>6873</v>
      </c>
      <c r="B2704" s="21" t="s">
        <v>6874</v>
      </c>
      <c r="C2704" s="21" t="s">
        <v>22655</v>
      </c>
      <c r="D2704" s="22">
        <v>46034</v>
      </c>
      <c r="E2704" s="23" t="s">
        <v>22656</v>
      </c>
      <c r="F2704" s="24" t="s">
        <v>22657</v>
      </c>
      <c r="G2704" s="25">
        <v>4</v>
      </c>
      <c r="H2704" s="26"/>
      <c r="I2704" s="27"/>
    </row>
    <row r="2705" spans="1:9" ht="15.75" thickBot="1" x14ac:dyDescent="0.3">
      <c r="A2705" s="43" t="s">
        <v>577</v>
      </c>
      <c r="B2705" s="21" t="s">
        <v>578</v>
      </c>
      <c r="C2705" s="21" t="s">
        <v>22655</v>
      </c>
      <c r="D2705" s="22">
        <v>46034</v>
      </c>
      <c r="E2705" s="23" t="s">
        <v>22665</v>
      </c>
      <c r="F2705" s="24" t="s">
        <v>22657</v>
      </c>
      <c r="G2705" s="25">
        <v>300</v>
      </c>
      <c r="H2705" s="32">
        <v>300</v>
      </c>
      <c r="I2705" s="33">
        <v>900</v>
      </c>
    </row>
    <row r="2706" spans="1:9" ht="15.75" thickBot="1" x14ac:dyDescent="0.3">
      <c r="A2706" s="43" t="s">
        <v>6843</v>
      </c>
      <c r="B2706" s="21" t="s">
        <v>22488</v>
      </c>
      <c r="C2706" s="21" t="s">
        <v>22655</v>
      </c>
      <c r="D2706" s="22">
        <v>46027</v>
      </c>
      <c r="E2706" s="23" t="s">
        <v>22658</v>
      </c>
      <c r="F2706" s="24" t="s">
        <v>22657</v>
      </c>
      <c r="G2706" s="25">
        <v>2</v>
      </c>
      <c r="H2706" s="26"/>
      <c r="I2706" s="27"/>
    </row>
    <row r="2707" spans="1:9" ht="15.75" thickBot="1" x14ac:dyDescent="0.3">
      <c r="A2707" s="43" t="s">
        <v>6875</v>
      </c>
      <c r="B2707" s="21" t="s">
        <v>6876</v>
      </c>
      <c r="C2707" s="21" t="s">
        <v>22663</v>
      </c>
      <c r="D2707" s="31">
        <v>1</v>
      </c>
      <c r="E2707" s="23" t="s">
        <v>22658</v>
      </c>
      <c r="F2707" s="24" t="s">
        <v>22657</v>
      </c>
      <c r="G2707" s="25">
        <v>7</v>
      </c>
      <c r="H2707" s="29"/>
      <c r="I2707" s="30"/>
    </row>
    <row r="2708" spans="1:9" ht="15.75" thickBot="1" x14ac:dyDescent="0.3">
      <c r="A2708" s="43" t="s">
        <v>6877</v>
      </c>
      <c r="B2708" s="21" t="s">
        <v>6878</v>
      </c>
      <c r="C2708" s="21" t="s">
        <v>22655</v>
      </c>
      <c r="D2708" s="22">
        <v>46026</v>
      </c>
      <c r="E2708" s="23" t="s">
        <v>22658</v>
      </c>
      <c r="F2708" s="24" t="s">
        <v>22657</v>
      </c>
      <c r="G2708" s="25">
        <v>2</v>
      </c>
      <c r="H2708" s="26"/>
      <c r="I2708" s="27"/>
    </row>
    <row r="2709" spans="1:9" ht="15.75" thickBot="1" x14ac:dyDescent="0.3">
      <c r="A2709" s="43" t="s">
        <v>6879</v>
      </c>
      <c r="B2709" s="21" t="s">
        <v>6880</v>
      </c>
      <c r="C2709" s="21" t="s">
        <v>22655</v>
      </c>
      <c r="D2709" s="22">
        <v>46026</v>
      </c>
      <c r="E2709" s="23" t="s">
        <v>22658</v>
      </c>
      <c r="F2709" s="24" t="s">
        <v>22657</v>
      </c>
      <c r="G2709" s="25">
        <v>2</v>
      </c>
      <c r="H2709" s="29"/>
      <c r="I2709" s="30"/>
    </row>
    <row r="2710" spans="1:9" ht="15.75" thickBot="1" x14ac:dyDescent="0.3">
      <c r="A2710" s="43" t="s">
        <v>6881</v>
      </c>
      <c r="B2710" s="21" t="s">
        <v>6882</v>
      </c>
      <c r="C2710" s="21" t="s">
        <v>22663</v>
      </c>
      <c r="D2710" s="31">
        <v>1</v>
      </c>
      <c r="E2710" s="23" t="s">
        <v>22665</v>
      </c>
      <c r="F2710" s="24" t="s">
        <v>22657</v>
      </c>
      <c r="G2710" s="25">
        <v>8</v>
      </c>
      <c r="H2710" s="26"/>
      <c r="I2710" s="27"/>
    </row>
    <row r="2711" spans="1:9" ht="15.75" thickBot="1" x14ac:dyDescent="0.3">
      <c r="A2711" s="43" t="s">
        <v>6883</v>
      </c>
      <c r="B2711" s="21" t="s">
        <v>6884</v>
      </c>
      <c r="C2711" s="21" t="s">
        <v>22655</v>
      </c>
      <c r="D2711" s="22">
        <v>46042</v>
      </c>
      <c r="E2711" s="23" t="s">
        <v>22658</v>
      </c>
      <c r="F2711" s="24" t="s">
        <v>22657</v>
      </c>
      <c r="G2711" s="25">
        <v>7</v>
      </c>
      <c r="H2711" s="29"/>
      <c r="I2711" s="30"/>
    </row>
    <row r="2712" spans="1:9" ht="15.75" thickBot="1" x14ac:dyDescent="0.3">
      <c r="A2712" s="43" t="s">
        <v>6885</v>
      </c>
      <c r="B2712" s="21" t="s">
        <v>6886</v>
      </c>
      <c r="C2712" s="21" t="s">
        <v>22682</v>
      </c>
      <c r="D2712" s="22">
        <v>46034</v>
      </c>
      <c r="E2712" s="23" t="s">
        <v>22656</v>
      </c>
      <c r="F2712" s="24" t="s">
        <v>22657</v>
      </c>
      <c r="G2712" s="25">
        <v>4</v>
      </c>
      <c r="H2712" s="26"/>
      <c r="I2712" s="27"/>
    </row>
    <row r="2713" spans="1:9" ht="15.75" thickBot="1" x14ac:dyDescent="0.3">
      <c r="A2713" s="43" t="s">
        <v>6887</v>
      </c>
      <c r="B2713" s="21" t="s">
        <v>6888</v>
      </c>
      <c r="C2713" s="21" t="s">
        <v>22655</v>
      </c>
      <c r="D2713" s="22">
        <v>46046</v>
      </c>
      <c r="E2713" s="23" t="s">
        <v>22658</v>
      </c>
      <c r="F2713" s="24" t="s">
        <v>22657</v>
      </c>
      <c r="G2713" s="25">
        <v>8</v>
      </c>
      <c r="H2713" s="29"/>
      <c r="I2713" s="30"/>
    </row>
    <row r="2714" spans="1:9" ht="15.75" thickBot="1" x14ac:dyDescent="0.3">
      <c r="A2714" s="43" t="s">
        <v>6889</v>
      </c>
      <c r="B2714" s="21" t="s">
        <v>6890</v>
      </c>
      <c r="C2714" s="21" t="s">
        <v>22655</v>
      </c>
      <c r="D2714" s="22">
        <v>46047</v>
      </c>
      <c r="E2714" s="23" t="s">
        <v>22658</v>
      </c>
      <c r="F2714" s="24" t="s">
        <v>22657</v>
      </c>
      <c r="G2714" s="25">
        <v>1</v>
      </c>
      <c r="H2714" s="26"/>
      <c r="I2714" s="27"/>
    </row>
    <row r="2715" spans="1:9" ht="15.75" thickBot="1" x14ac:dyDescent="0.3">
      <c r="A2715" s="43" t="s">
        <v>6891</v>
      </c>
      <c r="B2715" s="21" t="s">
        <v>6892</v>
      </c>
      <c r="C2715" s="21" t="s">
        <v>22698</v>
      </c>
      <c r="D2715" s="31">
        <v>1</v>
      </c>
      <c r="E2715" s="23" t="s">
        <v>22656</v>
      </c>
      <c r="F2715" s="24" t="s">
        <v>22657</v>
      </c>
      <c r="G2715" s="25">
        <v>2</v>
      </c>
      <c r="H2715" s="29"/>
      <c r="I2715" s="30"/>
    </row>
    <row r="2716" spans="1:9" ht="15.75" thickBot="1" x14ac:dyDescent="0.3">
      <c r="A2716" s="43" t="s">
        <v>6893</v>
      </c>
      <c r="B2716" s="21" t="s">
        <v>6894</v>
      </c>
      <c r="C2716" s="21" t="s">
        <v>22698</v>
      </c>
      <c r="D2716" s="31">
        <v>1</v>
      </c>
      <c r="E2716" s="23" t="s">
        <v>22656</v>
      </c>
      <c r="F2716" s="24" t="s">
        <v>22657</v>
      </c>
      <c r="G2716" s="25">
        <v>2</v>
      </c>
      <c r="H2716" s="26"/>
      <c r="I2716" s="27"/>
    </row>
    <row r="2717" spans="1:9" ht="15.75" thickBot="1" x14ac:dyDescent="0.3">
      <c r="A2717" s="43" t="s">
        <v>6895</v>
      </c>
      <c r="B2717" s="21" t="s">
        <v>6896</v>
      </c>
      <c r="C2717" s="21" t="s">
        <v>22727</v>
      </c>
      <c r="D2717" s="31">
        <v>1</v>
      </c>
      <c r="E2717" s="23" t="s">
        <v>22656</v>
      </c>
      <c r="F2717" s="24" t="s">
        <v>22657</v>
      </c>
      <c r="G2717" s="25">
        <v>1</v>
      </c>
      <c r="H2717" s="32">
        <v>1</v>
      </c>
      <c r="I2717" s="33">
        <v>1</v>
      </c>
    </row>
    <row r="2718" spans="1:9" ht="15.75" thickBot="1" x14ac:dyDescent="0.3">
      <c r="A2718" s="43" t="s">
        <v>6897</v>
      </c>
      <c r="B2718" s="21" t="s">
        <v>6898</v>
      </c>
      <c r="C2718" s="21" t="s">
        <v>22655</v>
      </c>
      <c r="D2718" s="31" t="s">
        <v>22666</v>
      </c>
      <c r="E2718" s="23" t="s">
        <v>22656</v>
      </c>
      <c r="F2718" s="24" t="s">
        <v>22657</v>
      </c>
      <c r="G2718" s="25">
        <v>7</v>
      </c>
      <c r="H2718" s="26"/>
      <c r="I2718" s="27"/>
    </row>
    <row r="2719" spans="1:9" ht="15.75" thickBot="1" x14ac:dyDescent="0.3">
      <c r="A2719" s="43" t="s">
        <v>6899</v>
      </c>
      <c r="B2719" s="21" t="s">
        <v>6900</v>
      </c>
      <c r="C2719" s="21" t="s">
        <v>22655</v>
      </c>
      <c r="D2719" s="31" t="s">
        <v>22666</v>
      </c>
      <c r="E2719" s="23" t="s">
        <v>22656</v>
      </c>
      <c r="F2719" s="24" t="s">
        <v>22657</v>
      </c>
      <c r="G2719" s="25">
        <v>7</v>
      </c>
      <c r="H2719" s="29"/>
      <c r="I2719" s="30"/>
    </row>
    <row r="2720" spans="1:9" ht="15.75" thickBot="1" x14ac:dyDescent="0.3">
      <c r="A2720" s="43" t="s">
        <v>6901</v>
      </c>
      <c r="B2720" s="21" t="s">
        <v>6902</v>
      </c>
      <c r="C2720" s="21" t="s">
        <v>22655</v>
      </c>
      <c r="D2720" s="22">
        <v>46034</v>
      </c>
      <c r="E2720" s="23" t="s">
        <v>22656</v>
      </c>
      <c r="F2720" s="24" t="s">
        <v>22657</v>
      </c>
      <c r="G2720" s="25">
        <v>4</v>
      </c>
      <c r="H2720" s="26"/>
      <c r="I2720" s="27"/>
    </row>
    <row r="2721" spans="1:9" ht="15.75" thickBot="1" x14ac:dyDescent="0.3">
      <c r="A2721" s="43" t="s">
        <v>6903</v>
      </c>
      <c r="B2721" s="21" t="s">
        <v>6904</v>
      </c>
      <c r="C2721" s="21" t="s">
        <v>22655</v>
      </c>
      <c r="D2721" s="22">
        <v>46024</v>
      </c>
      <c r="E2721" s="23" t="s">
        <v>22656</v>
      </c>
      <c r="F2721" s="24" t="s">
        <v>22657</v>
      </c>
      <c r="G2721" s="25">
        <v>2</v>
      </c>
      <c r="H2721" s="29"/>
      <c r="I2721" s="30"/>
    </row>
    <row r="2722" spans="1:9" ht="15.75" thickBot="1" x14ac:dyDescent="0.3">
      <c r="A2722" s="43" t="s">
        <v>6905</v>
      </c>
      <c r="B2722" s="21" t="s">
        <v>6906</v>
      </c>
      <c r="C2722" s="21" t="s">
        <v>22663</v>
      </c>
      <c r="D2722" s="31">
        <v>1</v>
      </c>
      <c r="E2722" s="23" t="s">
        <v>22658</v>
      </c>
      <c r="F2722" s="24" t="s">
        <v>22657</v>
      </c>
      <c r="G2722" s="25">
        <v>1</v>
      </c>
      <c r="H2722" s="26"/>
      <c r="I2722" s="27"/>
    </row>
    <row r="2723" spans="1:9" ht="15.75" thickBot="1" x14ac:dyDescent="0.3">
      <c r="A2723" s="43" t="s">
        <v>1645</v>
      </c>
      <c r="B2723" s="21" t="s">
        <v>6907</v>
      </c>
      <c r="C2723" s="21" t="s">
        <v>22655</v>
      </c>
      <c r="D2723" s="22">
        <v>46034</v>
      </c>
      <c r="E2723" s="23" t="s">
        <v>22662</v>
      </c>
      <c r="F2723" s="24" t="s">
        <v>22657</v>
      </c>
      <c r="G2723" s="25">
        <v>21</v>
      </c>
      <c r="H2723" s="29"/>
      <c r="I2723" s="30"/>
    </row>
    <row r="2724" spans="1:9" ht="15.75" thickBot="1" x14ac:dyDescent="0.3">
      <c r="A2724" s="43" t="s">
        <v>6908</v>
      </c>
      <c r="B2724" s="21" t="s">
        <v>6909</v>
      </c>
      <c r="C2724" s="21" t="s">
        <v>22655</v>
      </c>
      <c r="D2724" s="31" t="s">
        <v>22660</v>
      </c>
      <c r="E2724" s="23" t="s">
        <v>22665</v>
      </c>
      <c r="F2724" s="24" t="s">
        <v>22657</v>
      </c>
      <c r="G2724" s="25">
        <v>16</v>
      </c>
      <c r="H2724" s="26"/>
      <c r="I2724" s="27"/>
    </row>
    <row r="2725" spans="1:9" ht="15.75" thickBot="1" x14ac:dyDescent="0.3">
      <c r="A2725" s="43" t="s">
        <v>6910</v>
      </c>
      <c r="B2725" s="21" t="s">
        <v>6911</v>
      </c>
      <c r="C2725" s="21" t="s">
        <v>22655</v>
      </c>
      <c r="D2725" s="22">
        <v>46046</v>
      </c>
      <c r="E2725" s="23" t="s">
        <v>22662</v>
      </c>
      <c r="F2725" s="24" t="s">
        <v>22657</v>
      </c>
      <c r="G2725" s="25">
        <v>24</v>
      </c>
      <c r="H2725" s="29"/>
      <c r="I2725" s="30"/>
    </row>
    <row r="2726" spans="1:9" ht="15.75" thickBot="1" x14ac:dyDescent="0.3">
      <c r="A2726" s="43" t="s">
        <v>6912</v>
      </c>
      <c r="B2726" s="21" t="s">
        <v>6913</v>
      </c>
      <c r="C2726" s="21" t="s">
        <v>22655</v>
      </c>
      <c r="D2726" s="31" t="s">
        <v>22660</v>
      </c>
      <c r="E2726" s="23" t="s">
        <v>22656</v>
      </c>
      <c r="F2726" s="24" t="s">
        <v>22657</v>
      </c>
      <c r="G2726" s="25">
        <v>4</v>
      </c>
      <c r="H2726" s="26"/>
      <c r="I2726" s="27"/>
    </row>
    <row r="2727" spans="1:9" ht="15.75" thickBot="1" x14ac:dyDescent="0.3">
      <c r="A2727" s="43" t="s">
        <v>6914</v>
      </c>
      <c r="B2727" s="21" t="s">
        <v>6915</v>
      </c>
      <c r="C2727" s="21" t="s">
        <v>22655</v>
      </c>
      <c r="D2727" s="22">
        <v>46032</v>
      </c>
      <c r="E2727" s="23" t="s">
        <v>22656</v>
      </c>
      <c r="F2727" s="24" t="s">
        <v>22657</v>
      </c>
      <c r="G2727" s="25">
        <v>4</v>
      </c>
      <c r="H2727" s="29"/>
      <c r="I2727" s="30"/>
    </row>
    <row r="2728" spans="1:9" ht="15.75" thickBot="1" x14ac:dyDescent="0.3">
      <c r="A2728" s="43" t="s">
        <v>6916</v>
      </c>
      <c r="B2728" s="21" t="s">
        <v>6917</v>
      </c>
      <c r="C2728" s="21" t="s">
        <v>22655</v>
      </c>
      <c r="D2728" s="22">
        <v>46042</v>
      </c>
      <c r="E2728" s="23" t="s">
        <v>22656</v>
      </c>
      <c r="F2728" s="24" t="s">
        <v>22657</v>
      </c>
      <c r="G2728" s="25">
        <v>7</v>
      </c>
      <c r="H2728" s="26"/>
      <c r="I2728" s="27"/>
    </row>
    <row r="2729" spans="1:9" ht="15.75" thickBot="1" x14ac:dyDescent="0.3">
      <c r="A2729" s="43" t="s">
        <v>6918</v>
      </c>
      <c r="B2729" s="21" t="s">
        <v>6919</v>
      </c>
      <c r="C2729" s="21" t="s">
        <v>22655</v>
      </c>
      <c r="D2729" s="22">
        <v>46042</v>
      </c>
      <c r="E2729" s="23" t="s">
        <v>22656</v>
      </c>
      <c r="F2729" s="24" t="s">
        <v>22657</v>
      </c>
      <c r="G2729" s="25">
        <v>7</v>
      </c>
      <c r="H2729" s="29"/>
      <c r="I2729" s="30"/>
    </row>
    <row r="2730" spans="1:9" ht="15.75" thickBot="1" x14ac:dyDescent="0.3">
      <c r="A2730" s="43" t="s">
        <v>1721</v>
      </c>
      <c r="B2730" s="21" t="s">
        <v>1722</v>
      </c>
      <c r="C2730" s="21" t="s">
        <v>22655</v>
      </c>
      <c r="D2730" s="22">
        <v>46042</v>
      </c>
      <c r="E2730" s="23" t="s">
        <v>22661</v>
      </c>
      <c r="F2730" s="24" t="s">
        <v>22657</v>
      </c>
      <c r="G2730" s="25">
        <v>12</v>
      </c>
      <c r="H2730" s="34">
        <v>12</v>
      </c>
      <c r="I2730" s="35">
        <v>15</v>
      </c>
    </row>
    <row r="2731" spans="1:9" ht="15.75" thickBot="1" x14ac:dyDescent="0.3">
      <c r="A2731" s="43" t="s">
        <v>521</v>
      </c>
      <c r="B2731" s="21" t="s">
        <v>522</v>
      </c>
      <c r="C2731" s="21" t="s">
        <v>22655</v>
      </c>
      <c r="D2731" s="22">
        <v>46042</v>
      </c>
      <c r="E2731" s="23" t="s">
        <v>22661</v>
      </c>
      <c r="F2731" s="24" t="s">
        <v>22657</v>
      </c>
      <c r="G2731" s="25">
        <v>10</v>
      </c>
      <c r="H2731" s="32">
        <v>10</v>
      </c>
      <c r="I2731" s="33">
        <v>20</v>
      </c>
    </row>
    <row r="2732" spans="1:9" ht="15.75" thickBot="1" x14ac:dyDescent="0.3">
      <c r="A2732" s="43" t="s">
        <v>6920</v>
      </c>
      <c r="B2732" s="21" t="s">
        <v>6921</v>
      </c>
      <c r="C2732" s="21" t="s">
        <v>22663</v>
      </c>
      <c r="D2732" s="31">
        <v>1</v>
      </c>
      <c r="E2732" s="23" t="s">
        <v>22656</v>
      </c>
      <c r="F2732" s="24" t="s">
        <v>22657</v>
      </c>
      <c r="G2732" s="25">
        <v>2</v>
      </c>
      <c r="H2732" s="26"/>
      <c r="I2732" s="27"/>
    </row>
    <row r="2733" spans="1:9" ht="15.75" thickBot="1" x14ac:dyDescent="0.3">
      <c r="A2733" s="43" t="s">
        <v>6922</v>
      </c>
      <c r="B2733" s="21" t="s">
        <v>6923</v>
      </c>
      <c r="C2733" s="21" t="s">
        <v>22698</v>
      </c>
      <c r="D2733" s="31">
        <v>1</v>
      </c>
      <c r="E2733" s="23" t="s">
        <v>22656</v>
      </c>
      <c r="F2733" s="24" t="s">
        <v>22657</v>
      </c>
      <c r="G2733" s="25">
        <v>6</v>
      </c>
      <c r="H2733" s="32">
        <v>6</v>
      </c>
      <c r="I2733" s="33">
        <v>12</v>
      </c>
    </row>
    <row r="2734" spans="1:9" ht="15.75" thickBot="1" x14ac:dyDescent="0.3">
      <c r="A2734" s="43" t="s">
        <v>6924</v>
      </c>
      <c r="B2734" s="21" t="s">
        <v>6925</v>
      </c>
      <c r="C2734" s="21" t="s">
        <v>22663</v>
      </c>
      <c r="D2734" s="31">
        <v>1</v>
      </c>
      <c r="E2734" s="23" t="s">
        <v>22656</v>
      </c>
      <c r="F2734" s="24" t="s">
        <v>22657</v>
      </c>
      <c r="G2734" s="25">
        <v>3</v>
      </c>
      <c r="H2734" s="26"/>
      <c r="I2734" s="27"/>
    </row>
    <row r="2735" spans="1:9" ht="15.75" thickBot="1" x14ac:dyDescent="0.3">
      <c r="A2735" s="43" t="s">
        <v>1563</v>
      </c>
      <c r="B2735" s="21" t="s">
        <v>1564</v>
      </c>
      <c r="C2735" s="21" t="s">
        <v>22655</v>
      </c>
      <c r="D2735" s="22">
        <v>46027</v>
      </c>
      <c r="E2735" s="23" t="s">
        <v>22661</v>
      </c>
      <c r="F2735" s="24" t="s">
        <v>22657</v>
      </c>
      <c r="G2735" s="25">
        <v>6</v>
      </c>
      <c r="H2735" s="32">
        <v>6</v>
      </c>
      <c r="I2735" s="33">
        <v>12</v>
      </c>
    </row>
    <row r="2736" spans="1:9" ht="15.75" thickBot="1" x14ac:dyDescent="0.3">
      <c r="A2736" s="43" t="s">
        <v>6926</v>
      </c>
      <c r="B2736" s="21" t="s">
        <v>6927</v>
      </c>
      <c r="C2736" s="21" t="s">
        <v>22655</v>
      </c>
      <c r="D2736" s="22">
        <v>46038</v>
      </c>
      <c r="E2736" s="23" t="s">
        <v>22661</v>
      </c>
      <c r="F2736" s="24" t="s">
        <v>22657</v>
      </c>
      <c r="G2736" s="25">
        <v>6</v>
      </c>
      <c r="H2736" s="26"/>
      <c r="I2736" s="27"/>
    </row>
    <row r="2737" spans="1:9" ht="15.75" thickBot="1" x14ac:dyDescent="0.3">
      <c r="A2737" s="43" t="s">
        <v>6928</v>
      </c>
      <c r="B2737" s="21" t="s">
        <v>6929</v>
      </c>
      <c r="C2737" s="21" t="s">
        <v>22698</v>
      </c>
      <c r="D2737" s="31">
        <v>1</v>
      </c>
      <c r="E2737" s="23" t="s">
        <v>22656</v>
      </c>
      <c r="F2737" s="24" t="s">
        <v>22657</v>
      </c>
      <c r="G2737" s="25">
        <v>2</v>
      </c>
      <c r="H2737" s="29"/>
      <c r="I2737" s="30"/>
    </row>
    <row r="2738" spans="1:9" ht="15.75" thickBot="1" x14ac:dyDescent="0.3">
      <c r="A2738" s="43" t="s">
        <v>6930</v>
      </c>
      <c r="B2738" s="21" t="s">
        <v>6931</v>
      </c>
      <c r="C2738" s="21" t="s">
        <v>22663</v>
      </c>
      <c r="D2738" s="31">
        <v>1</v>
      </c>
      <c r="E2738" s="23" t="s">
        <v>22656</v>
      </c>
      <c r="F2738" s="24" t="s">
        <v>22657</v>
      </c>
      <c r="G2738" s="25">
        <v>3</v>
      </c>
      <c r="H2738" s="26"/>
      <c r="I2738" s="27"/>
    </row>
    <row r="2739" spans="1:9" ht="15.75" thickBot="1" x14ac:dyDescent="0.3">
      <c r="A2739" s="43" t="s">
        <v>1625</v>
      </c>
      <c r="B2739" s="21" t="s">
        <v>1626</v>
      </c>
      <c r="C2739" s="21" t="s">
        <v>22655</v>
      </c>
      <c r="D2739" s="22">
        <v>46027</v>
      </c>
      <c r="E2739" s="23" t="s">
        <v>22656</v>
      </c>
      <c r="F2739" s="24" t="s">
        <v>22657</v>
      </c>
      <c r="G2739" s="25">
        <v>6</v>
      </c>
      <c r="H2739" s="32">
        <v>6</v>
      </c>
      <c r="I2739" s="33">
        <v>10</v>
      </c>
    </row>
    <row r="2740" spans="1:9" ht="15.75" thickBot="1" x14ac:dyDescent="0.3">
      <c r="A2740" s="43" t="s">
        <v>6932</v>
      </c>
      <c r="B2740" s="21" t="s">
        <v>6933</v>
      </c>
      <c r="C2740" s="21" t="s">
        <v>22655</v>
      </c>
      <c r="D2740" s="22">
        <v>46038</v>
      </c>
      <c r="E2740" s="23" t="s">
        <v>22656</v>
      </c>
      <c r="F2740" s="24" t="s">
        <v>22657</v>
      </c>
      <c r="G2740" s="25">
        <v>6</v>
      </c>
      <c r="H2740" s="26"/>
      <c r="I2740" s="27"/>
    </row>
    <row r="2741" spans="1:9" ht="15.75" thickBot="1" x14ac:dyDescent="0.3">
      <c r="A2741" s="43" t="s">
        <v>6934</v>
      </c>
      <c r="B2741" s="21" t="s">
        <v>6935</v>
      </c>
      <c r="C2741" s="21" t="s">
        <v>22682</v>
      </c>
      <c r="D2741" s="22">
        <v>46034</v>
      </c>
      <c r="E2741" s="23" t="s">
        <v>22658</v>
      </c>
      <c r="F2741" s="24" t="s">
        <v>22657</v>
      </c>
      <c r="G2741" s="25">
        <v>4</v>
      </c>
      <c r="H2741" s="29"/>
      <c r="I2741" s="30"/>
    </row>
    <row r="2742" spans="1:9" ht="15.75" thickBot="1" x14ac:dyDescent="0.3">
      <c r="A2742" s="43" t="s">
        <v>6936</v>
      </c>
      <c r="B2742" s="21" t="s">
        <v>6937</v>
      </c>
      <c r="C2742" s="21" t="s">
        <v>22682</v>
      </c>
      <c r="D2742" s="22">
        <v>46034</v>
      </c>
      <c r="E2742" s="23" t="s">
        <v>22656</v>
      </c>
      <c r="F2742" s="24" t="s">
        <v>22657</v>
      </c>
      <c r="G2742" s="25">
        <v>4</v>
      </c>
      <c r="H2742" s="26"/>
      <c r="I2742" s="27"/>
    </row>
    <row r="2743" spans="1:9" ht="15.75" thickBot="1" x14ac:dyDescent="0.3">
      <c r="A2743" s="43" t="s">
        <v>6938</v>
      </c>
      <c r="B2743" s="21" t="s">
        <v>6939</v>
      </c>
      <c r="C2743" s="21" t="s">
        <v>22655</v>
      </c>
      <c r="D2743" s="22">
        <v>46034</v>
      </c>
      <c r="E2743" s="23" t="s">
        <v>22656</v>
      </c>
      <c r="F2743" s="24" t="s">
        <v>22657</v>
      </c>
      <c r="G2743" s="25">
        <v>4</v>
      </c>
      <c r="H2743" s="29"/>
      <c r="I2743" s="30"/>
    </row>
    <row r="2744" spans="1:9" ht="15.75" thickBot="1" x14ac:dyDescent="0.3">
      <c r="A2744" s="43" t="s">
        <v>6940</v>
      </c>
      <c r="B2744" s="21" t="s">
        <v>6941</v>
      </c>
      <c r="C2744" s="21" t="s">
        <v>22655</v>
      </c>
      <c r="D2744" s="22">
        <v>46034</v>
      </c>
      <c r="E2744" s="23" t="s">
        <v>22656</v>
      </c>
      <c r="F2744" s="24" t="s">
        <v>22657</v>
      </c>
      <c r="G2744" s="25">
        <v>4</v>
      </c>
      <c r="H2744" s="26"/>
      <c r="I2744" s="27"/>
    </row>
    <row r="2745" spans="1:9" ht="15.75" thickBot="1" x14ac:dyDescent="0.3">
      <c r="A2745" s="43" t="s">
        <v>6942</v>
      </c>
      <c r="B2745" s="21" t="s">
        <v>6943</v>
      </c>
      <c r="C2745" s="21" t="s">
        <v>22655</v>
      </c>
      <c r="D2745" s="22">
        <v>46034</v>
      </c>
      <c r="E2745" s="23" t="s">
        <v>22656</v>
      </c>
      <c r="F2745" s="24" t="s">
        <v>22657</v>
      </c>
      <c r="G2745" s="25">
        <v>4</v>
      </c>
      <c r="H2745" s="29"/>
      <c r="I2745" s="30"/>
    </row>
    <row r="2746" spans="1:9" ht="15.75" thickBot="1" x14ac:dyDescent="0.3">
      <c r="A2746" s="43" t="s">
        <v>6944</v>
      </c>
      <c r="B2746" s="21" t="s">
        <v>6945</v>
      </c>
      <c r="C2746" s="21" t="s">
        <v>22682</v>
      </c>
      <c r="D2746" s="22">
        <v>46034</v>
      </c>
      <c r="E2746" s="23" t="s">
        <v>22658</v>
      </c>
      <c r="F2746" s="24" t="s">
        <v>22657</v>
      </c>
      <c r="G2746" s="25">
        <v>4</v>
      </c>
      <c r="H2746" s="26"/>
      <c r="I2746" s="27"/>
    </row>
    <row r="2747" spans="1:9" ht="15.75" thickBot="1" x14ac:dyDescent="0.3">
      <c r="A2747" s="43" t="s">
        <v>6946</v>
      </c>
      <c r="B2747" s="21" t="s">
        <v>6947</v>
      </c>
      <c r="C2747" s="21" t="s">
        <v>22682</v>
      </c>
      <c r="D2747" s="22">
        <v>46034</v>
      </c>
      <c r="E2747" s="23" t="s">
        <v>22656</v>
      </c>
      <c r="F2747" s="24" t="s">
        <v>22657</v>
      </c>
      <c r="G2747" s="25">
        <v>4</v>
      </c>
      <c r="H2747" s="29"/>
      <c r="I2747" s="30"/>
    </row>
    <row r="2748" spans="1:9" ht="15.75" thickBot="1" x14ac:dyDescent="0.3">
      <c r="A2748" s="43" t="s">
        <v>6948</v>
      </c>
      <c r="B2748" s="21" t="s">
        <v>6949</v>
      </c>
      <c r="C2748" s="21" t="s">
        <v>22787</v>
      </c>
      <c r="D2748" s="22">
        <v>46047</v>
      </c>
      <c r="E2748" s="23" t="s">
        <v>22661</v>
      </c>
      <c r="F2748" s="24" t="s">
        <v>22657</v>
      </c>
      <c r="G2748" s="25">
        <v>9</v>
      </c>
      <c r="H2748" s="26"/>
      <c r="I2748" s="27"/>
    </row>
    <row r="2749" spans="1:9" ht="15.75" thickBot="1" x14ac:dyDescent="0.3">
      <c r="A2749" s="43" t="s">
        <v>6950</v>
      </c>
      <c r="B2749" s="21" t="s">
        <v>6951</v>
      </c>
      <c r="C2749" s="21" t="s">
        <v>22663</v>
      </c>
      <c r="D2749" s="31">
        <v>1</v>
      </c>
      <c r="E2749" s="23" t="s">
        <v>22656</v>
      </c>
      <c r="F2749" s="24" t="s">
        <v>22657</v>
      </c>
      <c r="G2749" s="25">
        <v>4</v>
      </c>
      <c r="H2749" s="29"/>
      <c r="I2749" s="30"/>
    </row>
    <row r="2750" spans="1:9" ht="15.75" thickBot="1" x14ac:dyDescent="0.3">
      <c r="A2750" s="43" t="s">
        <v>6952</v>
      </c>
      <c r="B2750" s="21" t="s">
        <v>6953</v>
      </c>
      <c r="C2750" s="21" t="s">
        <v>22698</v>
      </c>
      <c r="D2750" s="31">
        <v>1</v>
      </c>
      <c r="E2750" s="23" t="s">
        <v>22658</v>
      </c>
      <c r="F2750" s="28" t="s">
        <v>22659</v>
      </c>
      <c r="G2750" s="25">
        <v>1</v>
      </c>
      <c r="H2750" s="26"/>
      <c r="I2750" s="27"/>
    </row>
    <row r="2751" spans="1:9" ht="15.75" thickBot="1" x14ac:dyDescent="0.3">
      <c r="A2751" s="43" t="s">
        <v>6954</v>
      </c>
      <c r="B2751" s="21" t="s">
        <v>6955</v>
      </c>
      <c r="C2751" s="21" t="s">
        <v>22663</v>
      </c>
      <c r="D2751" s="31">
        <v>1</v>
      </c>
      <c r="E2751" s="23" t="s">
        <v>22658</v>
      </c>
      <c r="F2751" s="24" t="s">
        <v>22657</v>
      </c>
      <c r="G2751" s="25">
        <v>3</v>
      </c>
      <c r="H2751" s="29"/>
      <c r="I2751" s="30"/>
    </row>
    <row r="2752" spans="1:9" ht="15.75" thickBot="1" x14ac:dyDescent="0.3">
      <c r="A2752" s="43" t="s">
        <v>6956</v>
      </c>
      <c r="B2752" s="21" t="s">
        <v>6957</v>
      </c>
      <c r="C2752" s="21" t="s">
        <v>22709</v>
      </c>
      <c r="D2752" s="31">
        <v>1</v>
      </c>
      <c r="E2752" s="23" t="s">
        <v>22658</v>
      </c>
      <c r="F2752" s="28" t="s">
        <v>22659</v>
      </c>
      <c r="G2752" s="25">
        <v>1</v>
      </c>
      <c r="H2752" s="26"/>
      <c r="I2752" s="27"/>
    </row>
    <row r="2753" spans="1:9" ht="15.75" thickBot="1" x14ac:dyDescent="0.3">
      <c r="A2753" s="43" t="s">
        <v>6958</v>
      </c>
      <c r="B2753" s="21" t="s">
        <v>6959</v>
      </c>
      <c r="C2753" s="21" t="s">
        <v>22655</v>
      </c>
      <c r="D2753" s="22">
        <v>46028</v>
      </c>
      <c r="E2753" s="23" t="s">
        <v>22658</v>
      </c>
      <c r="F2753" s="24" t="s">
        <v>22657</v>
      </c>
      <c r="G2753" s="25">
        <v>1</v>
      </c>
      <c r="H2753" s="29"/>
      <c r="I2753" s="30"/>
    </row>
    <row r="2754" spans="1:9" ht="15.75" thickBot="1" x14ac:dyDescent="0.3">
      <c r="A2754" s="43" t="s">
        <v>6960</v>
      </c>
      <c r="B2754" s="21" t="s">
        <v>6961</v>
      </c>
      <c r="C2754" s="21" t="s">
        <v>22655</v>
      </c>
      <c r="D2754" s="22">
        <v>46028</v>
      </c>
      <c r="E2754" s="23" t="s">
        <v>22656</v>
      </c>
      <c r="F2754" s="24" t="s">
        <v>22657</v>
      </c>
      <c r="G2754" s="25">
        <v>2</v>
      </c>
      <c r="H2754" s="26"/>
      <c r="I2754" s="27"/>
    </row>
    <row r="2755" spans="1:9" ht="15.75" thickBot="1" x14ac:dyDescent="0.3">
      <c r="A2755" s="43" t="s">
        <v>6962</v>
      </c>
      <c r="B2755" s="21" t="s">
        <v>6963</v>
      </c>
      <c r="C2755" s="21" t="s">
        <v>22655</v>
      </c>
      <c r="D2755" s="22">
        <v>46028</v>
      </c>
      <c r="E2755" s="23" t="s">
        <v>22658</v>
      </c>
      <c r="F2755" s="24" t="s">
        <v>22657</v>
      </c>
      <c r="G2755" s="25">
        <v>1</v>
      </c>
      <c r="H2755" s="29"/>
      <c r="I2755" s="30"/>
    </row>
    <row r="2756" spans="1:9" ht="15.75" thickBot="1" x14ac:dyDescent="0.3">
      <c r="A2756" s="43" t="s">
        <v>161</v>
      </c>
      <c r="B2756" s="21" t="s">
        <v>162</v>
      </c>
      <c r="C2756" s="21" t="s">
        <v>22655</v>
      </c>
      <c r="D2756" s="22">
        <v>46028</v>
      </c>
      <c r="E2756" s="23" t="s">
        <v>22656</v>
      </c>
      <c r="F2756" s="24" t="s">
        <v>22657</v>
      </c>
      <c r="G2756" s="25">
        <v>4</v>
      </c>
      <c r="H2756" s="34">
        <v>4</v>
      </c>
      <c r="I2756" s="35">
        <v>6</v>
      </c>
    </row>
    <row r="2757" spans="1:9" ht="15.75" thickBot="1" x14ac:dyDescent="0.3">
      <c r="A2757" s="43" t="s">
        <v>6964</v>
      </c>
      <c r="B2757" s="21" t="s">
        <v>6965</v>
      </c>
      <c r="C2757" s="21" t="s">
        <v>22655</v>
      </c>
      <c r="D2757" s="22">
        <v>46028</v>
      </c>
      <c r="E2757" s="23" t="s">
        <v>22656</v>
      </c>
      <c r="F2757" s="24" t="s">
        <v>22657</v>
      </c>
      <c r="G2757" s="25">
        <v>2</v>
      </c>
      <c r="H2757" s="29"/>
      <c r="I2757" s="30"/>
    </row>
    <row r="2758" spans="1:9" ht="15.75" thickBot="1" x14ac:dyDescent="0.3">
      <c r="A2758" s="43" t="s">
        <v>6966</v>
      </c>
      <c r="B2758" s="21" t="s">
        <v>6967</v>
      </c>
      <c r="C2758" s="21" t="s">
        <v>22655</v>
      </c>
      <c r="D2758" s="22">
        <v>46028</v>
      </c>
      <c r="E2758" s="23" t="s">
        <v>22658</v>
      </c>
      <c r="F2758" s="24" t="s">
        <v>22657</v>
      </c>
      <c r="G2758" s="25">
        <v>1</v>
      </c>
      <c r="H2758" s="26"/>
      <c r="I2758" s="27"/>
    </row>
    <row r="2759" spans="1:9" ht="15.75" thickBot="1" x14ac:dyDescent="0.3">
      <c r="A2759" s="43" t="s">
        <v>6968</v>
      </c>
      <c r="B2759" s="21" t="s">
        <v>6969</v>
      </c>
      <c r="C2759" s="21" t="s">
        <v>22655</v>
      </c>
      <c r="D2759" s="22">
        <v>46028</v>
      </c>
      <c r="E2759" s="23" t="s">
        <v>22656</v>
      </c>
      <c r="F2759" s="24" t="s">
        <v>22657</v>
      </c>
      <c r="G2759" s="25">
        <v>2</v>
      </c>
      <c r="H2759" s="29"/>
      <c r="I2759" s="30"/>
    </row>
    <row r="2760" spans="1:9" ht="15.75" thickBot="1" x14ac:dyDescent="0.3">
      <c r="A2760" s="43" t="s">
        <v>6970</v>
      </c>
      <c r="B2760" s="21" t="s">
        <v>6971</v>
      </c>
      <c r="C2760" s="21" t="s">
        <v>22655</v>
      </c>
      <c r="D2760" s="22">
        <v>46028</v>
      </c>
      <c r="E2760" s="23" t="s">
        <v>22656</v>
      </c>
      <c r="F2760" s="24" t="s">
        <v>22657</v>
      </c>
      <c r="G2760" s="25">
        <v>2</v>
      </c>
      <c r="H2760" s="26"/>
      <c r="I2760" s="27"/>
    </row>
    <row r="2761" spans="1:9" ht="15.75" thickBot="1" x14ac:dyDescent="0.3">
      <c r="A2761" s="43" t="s">
        <v>6972</v>
      </c>
      <c r="B2761" s="21" t="s">
        <v>6973</v>
      </c>
      <c r="C2761" s="21" t="s">
        <v>22655</v>
      </c>
      <c r="D2761" s="22">
        <v>46028</v>
      </c>
      <c r="E2761" s="23" t="s">
        <v>22658</v>
      </c>
      <c r="F2761" s="24" t="s">
        <v>22657</v>
      </c>
      <c r="G2761" s="25">
        <v>1</v>
      </c>
      <c r="H2761" s="29"/>
      <c r="I2761" s="30"/>
    </row>
    <row r="2762" spans="1:9" ht="15.75" thickBot="1" x14ac:dyDescent="0.3">
      <c r="A2762" s="43" t="s">
        <v>6974</v>
      </c>
      <c r="B2762" s="21" t="s">
        <v>6975</v>
      </c>
      <c r="C2762" s="21" t="s">
        <v>22655</v>
      </c>
      <c r="D2762" s="22">
        <v>46028</v>
      </c>
      <c r="E2762" s="23" t="s">
        <v>22656</v>
      </c>
      <c r="F2762" s="24" t="s">
        <v>22657</v>
      </c>
      <c r="G2762" s="25">
        <v>2</v>
      </c>
      <c r="H2762" s="26"/>
      <c r="I2762" s="27"/>
    </row>
    <row r="2763" spans="1:9" ht="15.75" thickBot="1" x14ac:dyDescent="0.3">
      <c r="A2763" s="43" t="s">
        <v>6976</v>
      </c>
      <c r="B2763" s="21" t="s">
        <v>6977</v>
      </c>
      <c r="C2763" s="21" t="s">
        <v>22655</v>
      </c>
      <c r="D2763" s="22">
        <v>46028</v>
      </c>
      <c r="E2763" s="23" t="s">
        <v>22656</v>
      </c>
      <c r="F2763" s="24" t="s">
        <v>22657</v>
      </c>
      <c r="G2763" s="25">
        <v>4</v>
      </c>
      <c r="H2763" s="32">
        <v>4</v>
      </c>
      <c r="I2763" s="33">
        <v>6</v>
      </c>
    </row>
    <row r="2764" spans="1:9" ht="15.75" thickBot="1" x14ac:dyDescent="0.3">
      <c r="A2764" s="43" t="s">
        <v>6978</v>
      </c>
      <c r="B2764" s="21" t="s">
        <v>6979</v>
      </c>
      <c r="C2764" s="21" t="s">
        <v>22655</v>
      </c>
      <c r="D2764" s="22">
        <v>46028</v>
      </c>
      <c r="E2764" s="23" t="s">
        <v>22656</v>
      </c>
      <c r="F2764" s="24" t="s">
        <v>22657</v>
      </c>
      <c r="G2764" s="25">
        <v>2</v>
      </c>
      <c r="H2764" s="26"/>
      <c r="I2764" s="27"/>
    </row>
    <row r="2765" spans="1:9" ht="15.75" thickBot="1" x14ac:dyDescent="0.3">
      <c r="A2765" s="43" t="s">
        <v>6980</v>
      </c>
      <c r="B2765" s="21" t="s">
        <v>6981</v>
      </c>
      <c r="C2765" s="21" t="s">
        <v>22655</v>
      </c>
      <c r="D2765" s="22">
        <v>46028</v>
      </c>
      <c r="E2765" s="23" t="s">
        <v>22658</v>
      </c>
      <c r="F2765" s="24" t="s">
        <v>22657</v>
      </c>
      <c r="G2765" s="25">
        <v>1</v>
      </c>
      <c r="H2765" s="29"/>
      <c r="I2765" s="30"/>
    </row>
    <row r="2766" spans="1:9" ht="15.75" thickBot="1" x14ac:dyDescent="0.3">
      <c r="A2766" s="43" t="s">
        <v>6982</v>
      </c>
      <c r="B2766" s="21" t="s">
        <v>6983</v>
      </c>
      <c r="C2766" s="21" t="s">
        <v>22655</v>
      </c>
      <c r="D2766" s="22">
        <v>46028</v>
      </c>
      <c r="E2766" s="23" t="s">
        <v>22656</v>
      </c>
      <c r="F2766" s="24" t="s">
        <v>22657</v>
      </c>
      <c r="G2766" s="25">
        <v>2</v>
      </c>
      <c r="H2766" s="26"/>
      <c r="I2766" s="27"/>
    </row>
    <row r="2767" spans="1:9" ht="15.75" thickBot="1" x14ac:dyDescent="0.3">
      <c r="A2767" s="43" t="s">
        <v>6984</v>
      </c>
      <c r="B2767" s="21" t="s">
        <v>6985</v>
      </c>
      <c r="C2767" s="21" t="s">
        <v>22655</v>
      </c>
      <c r="D2767" s="22">
        <v>46028</v>
      </c>
      <c r="E2767" s="23" t="s">
        <v>22656</v>
      </c>
      <c r="F2767" s="24" t="s">
        <v>22657</v>
      </c>
      <c r="G2767" s="25">
        <v>2</v>
      </c>
      <c r="H2767" s="29"/>
      <c r="I2767" s="30"/>
    </row>
    <row r="2768" spans="1:9" ht="15.75" thickBot="1" x14ac:dyDescent="0.3">
      <c r="A2768" s="43" t="s">
        <v>6986</v>
      </c>
      <c r="B2768" s="21" t="s">
        <v>6987</v>
      </c>
      <c r="C2768" s="21" t="s">
        <v>22655</v>
      </c>
      <c r="D2768" s="22">
        <v>46028</v>
      </c>
      <c r="E2768" s="23" t="s">
        <v>22658</v>
      </c>
      <c r="F2768" s="24" t="s">
        <v>22657</v>
      </c>
      <c r="G2768" s="25">
        <v>1</v>
      </c>
      <c r="H2768" s="26"/>
      <c r="I2768" s="27"/>
    </row>
    <row r="2769" spans="1:9" ht="15.75" thickBot="1" x14ac:dyDescent="0.3">
      <c r="A2769" s="43" t="s">
        <v>6988</v>
      </c>
      <c r="B2769" s="21" t="s">
        <v>6989</v>
      </c>
      <c r="C2769" s="21" t="s">
        <v>22655</v>
      </c>
      <c r="D2769" s="22">
        <v>46028</v>
      </c>
      <c r="E2769" s="23" t="s">
        <v>22658</v>
      </c>
      <c r="F2769" s="24" t="s">
        <v>22657</v>
      </c>
      <c r="G2769" s="25">
        <v>1</v>
      </c>
      <c r="H2769" s="29"/>
      <c r="I2769" s="30"/>
    </row>
    <row r="2770" spans="1:9" ht="15.75" thickBot="1" x14ac:dyDescent="0.3">
      <c r="A2770" s="43" t="s">
        <v>6990</v>
      </c>
      <c r="B2770" s="21" t="s">
        <v>6991</v>
      </c>
      <c r="C2770" s="21" t="s">
        <v>22655</v>
      </c>
      <c r="D2770" s="22">
        <v>46028</v>
      </c>
      <c r="E2770" s="23" t="s">
        <v>22658</v>
      </c>
      <c r="F2770" s="24" t="s">
        <v>22657</v>
      </c>
      <c r="G2770" s="25">
        <v>1</v>
      </c>
      <c r="H2770" s="26"/>
      <c r="I2770" s="27"/>
    </row>
    <row r="2771" spans="1:9" ht="15.75" thickBot="1" x14ac:dyDescent="0.3">
      <c r="A2771" s="43" t="s">
        <v>6992</v>
      </c>
      <c r="B2771" s="21" t="s">
        <v>6993</v>
      </c>
      <c r="C2771" s="21" t="s">
        <v>22655</v>
      </c>
      <c r="D2771" s="22">
        <v>46028</v>
      </c>
      <c r="E2771" s="23" t="s">
        <v>22658</v>
      </c>
      <c r="F2771" s="24" t="s">
        <v>22657</v>
      </c>
      <c r="G2771" s="25">
        <v>1</v>
      </c>
      <c r="H2771" s="29"/>
      <c r="I2771" s="30"/>
    </row>
    <row r="2772" spans="1:9" ht="15.75" thickBot="1" x14ac:dyDescent="0.3">
      <c r="A2772" s="43" t="s">
        <v>6996</v>
      </c>
      <c r="B2772" s="21" t="s">
        <v>6995</v>
      </c>
      <c r="C2772" s="21" t="s">
        <v>22655</v>
      </c>
      <c r="D2772" s="22">
        <v>46028</v>
      </c>
      <c r="E2772" s="23" t="s">
        <v>22656</v>
      </c>
      <c r="F2772" s="24" t="s">
        <v>22657</v>
      </c>
      <c r="G2772" s="25">
        <v>2</v>
      </c>
      <c r="H2772" s="26"/>
      <c r="I2772" s="27"/>
    </row>
    <row r="2773" spans="1:9" ht="15.75" thickBot="1" x14ac:dyDescent="0.3">
      <c r="A2773" s="43" t="s">
        <v>6994</v>
      </c>
      <c r="B2773" s="21" t="s">
        <v>6995</v>
      </c>
      <c r="C2773" s="21" t="s">
        <v>22655</v>
      </c>
      <c r="D2773" s="22">
        <v>46028</v>
      </c>
      <c r="E2773" s="23" t="s">
        <v>22658</v>
      </c>
      <c r="F2773" s="24" t="s">
        <v>22657</v>
      </c>
      <c r="G2773" s="25">
        <v>2</v>
      </c>
      <c r="H2773" s="29"/>
      <c r="I2773" s="30"/>
    </row>
    <row r="2774" spans="1:9" ht="15.75" thickBot="1" x14ac:dyDescent="0.3">
      <c r="A2774" s="43" t="s">
        <v>6997</v>
      </c>
      <c r="B2774" s="21" t="s">
        <v>6998</v>
      </c>
      <c r="C2774" s="21" t="s">
        <v>22655</v>
      </c>
      <c r="D2774" s="22">
        <v>46028</v>
      </c>
      <c r="E2774" s="23" t="s">
        <v>22656</v>
      </c>
      <c r="F2774" s="24" t="s">
        <v>22657</v>
      </c>
      <c r="G2774" s="25">
        <v>2</v>
      </c>
      <c r="H2774" s="26"/>
      <c r="I2774" s="27"/>
    </row>
    <row r="2775" spans="1:9" ht="15.75" thickBot="1" x14ac:dyDescent="0.3">
      <c r="A2775" s="43" t="s">
        <v>6999</v>
      </c>
      <c r="B2775" s="21" t="s">
        <v>7000</v>
      </c>
      <c r="C2775" s="21" t="s">
        <v>22655</v>
      </c>
      <c r="D2775" s="22">
        <v>46028</v>
      </c>
      <c r="E2775" s="23" t="s">
        <v>22656</v>
      </c>
      <c r="F2775" s="24" t="s">
        <v>22657</v>
      </c>
      <c r="G2775" s="25">
        <v>2</v>
      </c>
      <c r="H2775" s="29"/>
      <c r="I2775" s="30"/>
    </row>
    <row r="2776" spans="1:9" ht="15.75" thickBot="1" x14ac:dyDescent="0.3">
      <c r="A2776" s="43" t="s">
        <v>7001</v>
      </c>
      <c r="B2776" s="21" t="s">
        <v>7002</v>
      </c>
      <c r="C2776" s="21" t="s">
        <v>22655</v>
      </c>
      <c r="D2776" s="22">
        <v>46028</v>
      </c>
      <c r="E2776" s="23" t="s">
        <v>22656</v>
      </c>
      <c r="F2776" s="24" t="s">
        <v>22657</v>
      </c>
      <c r="G2776" s="25">
        <v>2</v>
      </c>
      <c r="H2776" s="26"/>
      <c r="I2776" s="27"/>
    </row>
    <row r="2777" spans="1:9" ht="15.75" thickBot="1" x14ac:dyDescent="0.3">
      <c r="A2777" s="43" t="s">
        <v>7003</v>
      </c>
      <c r="B2777" s="21" t="s">
        <v>7004</v>
      </c>
      <c r="C2777" s="21" t="s">
        <v>22655</v>
      </c>
      <c r="D2777" s="22">
        <v>46028</v>
      </c>
      <c r="E2777" s="23" t="s">
        <v>22656</v>
      </c>
      <c r="F2777" s="24" t="s">
        <v>22657</v>
      </c>
      <c r="G2777" s="25">
        <v>2</v>
      </c>
      <c r="H2777" s="29"/>
      <c r="I2777" s="30"/>
    </row>
    <row r="2778" spans="1:9" ht="15.75" thickBot="1" x14ac:dyDescent="0.3">
      <c r="A2778" s="43" t="s">
        <v>7005</v>
      </c>
      <c r="B2778" s="21" t="s">
        <v>7006</v>
      </c>
      <c r="C2778" s="21" t="s">
        <v>22655</v>
      </c>
      <c r="D2778" s="22">
        <v>46034</v>
      </c>
      <c r="E2778" s="23" t="s">
        <v>22656</v>
      </c>
      <c r="F2778" s="24" t="s">
        <v>22657</v>
      </c>
      <c r="G2778" s="25">
        <v>4</v>
      </c>
      <c r="H2778" s="26"/>
      <c r="I2778" s="27"/>
    </row>
    <row r="2779" spans="1:9" ht="15.75" thickBot="1" x14ac:dyDescent="0.3">
      <c r="A2779" s="43" t="s">
        <v>7007</v>
      </c>
      <c r="B2779" s="21" t="s">
        <v>7008</v>
      </c>
      <c r="C2779" s="21" t="s">
        <v>22682</v>
      </c>
      <c r="D2779" s="22">
        <v>46034</v>
      </c>
      <c r="E2779" s="23" t="s">
        <v>22658</v>
      </c>
      <c r="F2779" s="24" t="s">
        <v>22657</v>
      </c>
      <c r="G2779" s="25">
        <v>4</v>
      </c>
      <c r="H2779" s="29"/>
      <c r="I2779" s="30"/>
    </row>
    <row r="2780" spans="1:9" ht="15.75" thickBot="1" x14ac:dyDescent="0.3">
      <c r="A2780" s="43" t="s">
        <v>7009</v>
      </c>
      <c r="B2780" s="21" t="s">
        <v>7010</v>
      </c>
      <c r="C2780" s="21" t="s">
        <v>22682</v>
      </c>
      <c r="D2780" s="22">
        <v>46034</v>
      </c>
      <c r="E2780" s="23" t="s">
        <v>22658</v>
      </c>
      <c r="F2780" s="24" t="s">
        <v>22657</v>
      </c>
      <c r="G2780" s="25">
        <v>4</v>
      </c>
      <c r="H2780" s="26"/>
      <c r="I2780" s="27"/>
    </row>
    <row r="2781" spans="1:9" ht="15.75" thickBot="1" x14ac:dyDescent="0.3">
      <c r="A2781" s="43" t="s">
        <v>7011</v>
      </c>
      <c r="B2781" s="21" t="s">
        <v>7012</v>
      </c>
      <c r="C2781" s="21" t="s">
        <v>22655</v>
      </c>
      <c r="D2781" s="31" t="s">
        <v>22660</v>
      </c>
      <c r="E2781" s="23" t="s">
        <v>22656</v>
      </c>
      <c r="F2781" s="24" t="s">
        <v>22657</v>
      </c>
      <c r="G2781" s="25">
        <v>8</v>
      </c>
      <c r="H2781" s="29"/>
      <c r="I2781" s="30"/>
    </row>
    <row r="2782" spans="1:9" ht="15.75" thickBot="1" x14ac:dyDescent="0.3">
      <c r="A2782" s="43" t="s">
        <v>7013</v>
      </c>
      <c r="B2782" s="21" t="s">
        <v>7014</v>
      </c>
      <c r="C2782" s="21" t="s">
        <v>22655</v>
      </c>
      <c r="D2782" s="22">
        <v>46034</v>
      </c>
      <c r="E2782" s="23" t="s">
        <v>22656</v>
      </c>
      <c r="F2782" s="24" t="s">
        <v>22657</v>
      </c>
      <c r="G2782" s="25">
        <v>4</v>
      </c>
      <c r="H2782" s="26"/>
      <c r="I2782" s="27"/>
    </row>
    <row r="2783" spans="1:9" ht="15.75" thickBot="1" x14ac:dyDescent="0.3">
      <c r="A2783" s="43" t="s">
        <v>7015</v>
      </c>
      <c r="B2783" s="21" t="s">
        <v>7016</v>
      </c>
      <c r="C2783" s="21" t="s">
        <v>22655</v>
      </c>
      <c r="D2783" s="31" t="s">
        <v>22660</v>
      </c>
      <c r="E2783" s="23" t="s">
        <v>22665</v>
      </c>
      <c r="F2783" s="24" t="s">
        <v>22657</v>
      </c>
      <c r="G2783" s="25">
        <v>6</v>
      </c>
      <c r="H2783" s="29"/>
      <c r="I2783" s="30"/>
    </row>
    <row r="2784" spans="1:9" ht="15.75" thickBot="1" x14ac:dyDescent="0.3">
      <c r="A2784" s="43" t="s">
        <v>7017</v>
      </c>
      <c r="B2784" s="21" t="s">
        <v>7018</v>
      </c>
      <c r="C2784" s="21" t="s">
        <v>22655</v>
      </c>
      <c r="D2784" s="22">
        <v>46042</v>
      </c>
      <c r="E2784" s="23" t="s">
        <v>22656</v>
      </c>
      <c r="F2784" s="24" t="s">
        <v>22657</v>
      </c>
      <c r="G2784" s="25">
        <v>7</v>
      </c>
      <c r="H2784" s="26"/>
      <c r="I2784" s="27"/>
    </row>
    <row r="2785" spans="1:9" ht="15.75" thickBot="1" x14ac:dyDescent="0.3">
      <c r="A2785" s="43" t="s">
        <v>1329</v>
      </c>
      <c r="B2785" s="21" t="s">
        <v>7019</v>
      </c>
      <c r="C2785" s="21" t="s">
        <v>22655</v>
      </c>
      <c r="D2785" s="22">
        <v>46037</v>
      </c>
      <c r="E2785" s="23" t="s">
        <v>22662</v>
      </c>
      <c r="F2785" s="24" t="s">
        <v>22657</v>
      </c>
      <c r="G2785" s="25">
        <v>15</v>
      </c>
      <c r="H2785" s="32">
        <v>15</v>
      </c>
      <c r="I2785" s="33">
        <v>30</v>
      </c>
    </row>
    <row r="2786" spans="1:9" ht="15.75" thickBot="1" x14ac:dyDescent="0.3">
      <c r="A2786" s="43" t="s">
        <v>7020</v>
      </c>
      <c r="B2786" s="21" t="s">
        <v>7021</v>
      </c>
      <c r="C2786" s="21" t="s">
        <v>22655</v>
      </c>
      <c r="D2786" s="22">
        <v>46046</v>
      </c>
      <c r="E2786" s="23" t="s">
        <v>22661</v>
      </c>
      <c r="F2786" s="24" t="s">
        <v>22657</v>
      </c>
      <c r="G2786" s="25">
        <v>6</v>
      </c>
      <c r="H2786" s="26"/>
      <c r="I2786" s="27"/>
    </row>
    <row r="2787" spans="1:9" ht="15.75" thickBot="1" x14ac:dyDescent="0.3">
      <c r="A2787" s="43" t="s">
        <v>7022</v>
      </c>
      <c r="B2787" s="21" t="s">
        <v>7023</v>
      </c>
      <c r="C2787" s="21" t="s">
        <v>22655</v>
      </c>
      <c r="D2787" s="22">
        <v>46034</v>
      </c>
      <c r="E2787" s="23" t="s">
        <v>22656</v>
      </c>
      <c r="F2787" s="24" t="s">
        <v>22657</v>
      </c>
      <c r="G2787" s="25">
        <v>2</v>
      </c>
      <c r="H2787" s="29"/>
      <c r="I2787" s="30"/>
    </row>
    <row r="2788" spans="1:9" ht="15.75" thickBot="1" x14ac:dyDescent="0.3">
      <c r="A2788" s="43" t="s">
        <v>7024</v>
      </c>
      <c r="B2788" s="21" t="s">
        <v>7025</v>
      </c>
      <c r="C2788" s="21" t="s">
        <v>22655</v>
      </c>
      <c r="D2788" s="22">
        <v>46046</v>
      </c>
      <c r="E2788" s="23" t="s">
        <v>22661</v>
      </c>
      <c r="F2788" s="24" t="s">
        <v>22657</v>
      </c>
      <c r="G2788" s="25">
        <v>8</v>
      </c>
      <c r="H2788" s="26"/>
      <c r="I2788" s="27"/>
    </row>
    <row r="2789" spans="1:9" ht="15.75" thickBot="1" x14ac:dyDescent="0.3">
      <c r="A2789" s="43" t="s">
        <v>1461</v>
      </c>
      <c r="B2789" s="21" t="s">
        <v>1462</v>
      </c>
      <c r="C2789" s="21" t="s">
        <v>22655</v>
      </c>
      <c r="D2789" s="22">
        <v>46025</v>
      </c>
      <c r="E2789" s="23" t="s">
        <v>22656</v>
      </c>
      <c r="F2789" s="24" t="s">
        <v>22657</v>
      </c>
      <c r="G2789" s="25">
        <v>4</v>
      </c>
      <c r="H2789" s="32">
        <v>4</v>
      </c>
      <c r="I2789" s="33">
        <v>6</v>
      </c>
    </row>
    <row r="2790" spans="1:9" ht="15.75" thickBot="1" x14ac:dyDescent="0.3">
      <c r="A2790" s="43" t="s">
        <v>7026</v>
      </c>
      <c r="B2790" s="21" t="s">
        <v>7027</v>
      </c>
      <c r="C2790" s="21" t="s">
        <v>22655</v>
      </c>
      <c r="D2790" s="22">
        <v>46042</v>
      </c>
      <c r="E2790" s="23" t="s">
        <v>22661</v>
      </c>
      <c r="F2790" s="24" t="s">
        <v>22657</v>
      </c>
      <c r="G2790" s="25">
        <v>15</v>
      </c>
      <c r="H2790" s="26"/>
      <c r="I2790" s="27"/>
    </row>
    <row r="2791" spans="1:9" ht="15.75" thickBot="1" x14ac:dyDescent="0.3">
      <c r="A2791" s="43" t="s">
        <v>1197</v>
      </c>
      <c r="B2791" s="21" t="s">
        <v>1198</v>
      </c>
      <c r="C2791" s="21" t="s">
        <v>22655</v>
      </c>
      <c r="D2791" s="22">
        <v>46032</v>
      </c>
      <c r="E2791" s="23" t="s">
        <v>22661</v>
      </c>
      <c r="F2791" s="24" t="s">
        <v>22657</v>
      </c>
      <c r="G2791" s="25">
        <v>15</v>
      </c>
      <c r="H2791" s="32">
        <v>15</v>
      </c>
      <c r="I2791" s="33">
        <v>30</v>
      </c>
    </row>
    <row r="2792" spans="1:9" ht="15.75" thickBot="1" x14ac:dyDescent="0.3">
      <c r="A2792" s="43" t="s">
        <v>1465</v>
      </c>
      <c r="B2792" s="21" t="s">
        <v>1466</v>
      </c>
      <c r="C2792" s="21" t="s">
        <v>22655</v>
      </c>
      <c r="D2792" s="22">
        <v>46025</v>
      </c>
      <c r="E2792" s="23" t="s">
        <v>22656</v>
      </c>
      <c r="F2792" s="24" t="s">
        <v>22657</v>
      </c>
      <c r="G2792" s="25">
        <v>4</v>
      </c>
      <c r="H2792" s="34">
        <v>4</v>
      </c>
      <c r="I2792" s="35">
        <v>6</v>
      </c>
    </row>
    <row r="2793" spans="1:9" ht="15.75" thickBot="1" x14ac:dyDescent="0.3">
      <c r="A2793" s="43" t="s">
        <v>7028</v>
      </c>
      <c r="B2793" s="21" t="s">
        <v>7029</v>
      </c>
      <c r="C2793" s="21" t="s">
        <v>22655</v>
      </c>
      <c r="D2793" s="31" t="s">
        <v>22660</v>
      </c>
      <c r="E2793" s="23" t="s">
        <v>22661</v>
      </c>
      <c r="F2793" s="24" t="s">
        <v>22657</v>
      </c>
      <c r="G2793" s="25">
        <v>5</v>
      </c>
      <c r="H2793" s="29"/>
      <c r="I2793" s="30"/>
    </row>
    <row r="2794" spans="1:9" ht="15.75" thickBot="1" x14ac:dyDescent="0.3">
      <c r="A2794" s="43" t="s">
        <v>7030</v>
      </c>
      <c r="B2794" s="21" t="s">
        <v>7031</v>
      </c>
      <c r="C2794" s="21" t="s">
        <v>22655</v>
      </c>
      <c r="D2794" s="22">
        <v>46037</v>
      </c>
      <c r="E2794" s="23" t="s">
        <v>22661</v>
      </c>
      <c r="F2794" s="24" t="s">
        <v>22657</v>
      </c>
      <c r="G2794" s="25">
        <v>5</v>
      </c>
      <c r="H2794" s="26"/>
      <c r="I2794" s="27"/>
    </row>
    <row r="2795" spans="1:9" ht="15.75" thickBot="1" x14ac:dyDescent="0.3">
      <c r="A2795" s="43" t="s">
        <v>7032</v>
      </c>
      <c r="B2795" s="21" t="s">
        <v>7033</v>
      </c>
      <c r="C2795" s="21" t="s">
        <v>22655</v>
      </c>
      <c r="D2795" s="22">
        <v>46046</v>
      </c>
      <c r="E2795" s="23" t="s">
        <v>22656</v>
      </c>
      <c r="F2795" s="24" t="s">
        <v>22657</v>
      </c>
      <c r="G2795" s="25">
        <v>4</v>
      </c>
      <c r="H2795" s="29"/>
      <c r="I2795" s="30"/>
    </row>
    <row r="2796" spans="1:9" ht="15.75" thickBot="1" x14ac:dyDescent="0.3">
      <c r="A2796" s="43" t="s">
        <v>7034</v>
      </c>
      <c r="B2796" s="21" t="s">
        <v>7035</v>
      </c>
      <c r="C2796" s="21" t="s">
        <v>22655</v>
      </c>
      <c r="D2796" s="22">
        <v>46034</v>
      </c>
      <c r="E2796" s="23" t="s">
        <v>22656</v>
      </c>
      <c r="F2796" s="24" t="s">
        <v>22657</v>
      </c>
      <c r="G2796" s="25">
        <v>2</v>
      </c>
      <c r="H2796" s="26"/>
      <c r="I2796" s="27"/>
    </row>
    <row r="2797" spans="1:9" ht="15.75" thickBot="1" x14ac:dyDescent="0.3">
      <c r="A2797" s="43" t="s">
        <v>7036</v>
      </c>
      <c r="B2797" s="21" t="s">
        <v>7037</v>
      </c>
      <c r="C2797" s="21" t="s">
        <v>22655</v>
      </c>
      <c r="D2797" s="22">
        <v>46025</v>
      </c>
      <c r="E2797" s="23" t="s">
        <v>22656</v>
      </c>
      <c r="F2797" s="24" t="s">
        <v>22657</v>
      </c>
      <c r="G2797" s="25">
        <v>4</v>
      </c>
      <c r="H2797" s="32">
        <v>4</v>
      </c>
      <c r="I2797" s="33">
        <v>6</v>
      </c>
    </row>
    <row r="2798" spans="1:9" ht="15.75" thickBot="1" x14ac:dyDescent="0.3">
      <c r="A2798" s="43" t="s">
        <v>7038</v>
      </c>
      <c r="B2798" s="21" t="s">
        <v>7039</v>
      </c>
      <c r="C2798" s="21" t="s">
        <v>22655</v>
      </c>
      <c r="D2798" s="22">
        <v>46042</v>
      </c>
      <c r="E2798" s="23" t="s">
        <v>22656</v>
      </c>
      <c r="F2798" s="24" t="s">
        <v>22657</v>
      </c>
      <c r="G2798" s="25">
        <v>7</v>
      </c>
      <c r="H2798" s="26"/>
      <c r="I2798" s="27"/>
    </row>
    <row r="2799" spans="1:9" ht="15.75" thickBot="1" x14ac:dyDescent="0.3">
      <c r="A2799" s="43" t="s">
        <v>7040</v>
      </c>
      <c r="B2799" s="21" t="s">
        <v>7041</v>
      </c>
      <c r="C2799" s="21" t="s">
        <v>22655</v>
      </c>
      <c r="D2799" s="22">
        <v>46034</v>
      </c>
      <c r="E2799" s="23" t="s">
        <v>22658</v>
      </c>
      <c r="F2799" s="24" t="s">
        <v>22657</v>
      </c>
      <c r="G2799" s="25">
        <v>4</v>
      </c>
      <c r="H2799" s="29"/>
      <c r="I2799" s="30"/>
    </row>
    <row r="2800" spans="1:9" ht="15.75" thickBot="1" x14ac:dyDescent="0.3">
      <c r="A2800" s="43" t="s">
        <v>7042</v>
      </c>
      <c r="B2800" s="21" t="s">
        <v>7043</v>
      </c>
      <c r="C2800" s="21" t="s">
        <v>22682</v>
      </c>
      <c r="D2800" s="22">
        <v>46034</v>
      </c>
      <c r="E2800" s="23" t="s">
        <v>22658</v>
      </c>
      <c r="F2800" s="24" t="s">
        <v>22657</v>
      </c>
      <c r="G2800" s="25">
        <v>1</v>
      </c>
      <c r="H2800" s="26"/>
      <c r="I2800" s="27"/>
    </row>
    <row r="2801" spans="1:9" ht="15.75" thickBot="1" x14ac:dyDescent="0.3">
      <c r="A2801" s="43" t="s">
        <v>7044</v>
      </c>
      <c r="B2801" s="21" t="s">
        <v>7045</v>
      </c>
      <c r="C2801" s="21" t="s">
        <v>22682</v>
      </c>
      <c r="D2801" s="22">
        <v>46034</v>
      </c>
      <c r="E2801" s="23" t="s">
        <v>22658</v>
      </c>
      <c r="F2801" s="24" t="s">
        <v>22657</v>
      </c>
      <c r="G2801" s="25">
        <v>1</v>
      </c>
      <c r="H2801" s="29"/>
      <c r="I2801" s="30"/>
    </row>
    <row r="2802" spans="1:9" ht="15.75" thickBot="1" x14ac:dyDescent="0.3">
      <c r="A2802" s="43" t="s">
        <v>7046</v>
      </c>
      <c r="B2802" s="21" t="s">
        <v>7047</v>
      </c>
      <c r="C2802" s="21" t="s">
        <v>22682</v>
      </c>
      <c r="D2802" s="22">
        <v>46034</v>
      </c>
      <c r="E2802" s="23" t="s">
        <v>22658</v>
      </c>
      <c r="F2802" s="24" t="s">
        <v>22657</v>
      </c>
      <c r="G2802" s="25">
        <v>1</v>
      </c>
      <c r="H2802" s="26"/>
      <c r="I2802" s="27"/>
    </row>
    <row r="2803" spans="1:9" ht="15.75" thickBot="1" x14ac:dyDescent="0.3">
      <c r="A2803" s="43" t="s">
        <v>7048</v>
      </c>
      <c r="B2803" s="21" t="s">
        <v>7049</v>
      </c>
      <c r="C2803" s="21" t="s">
        <v>22682</v>
      </c>
      <c r="D2803" s="22">
        <v>46034</v>
      </c>
      <c r="E2803" s="23" t="s">
        <v>22658</v>
      </c>
      <c r="F2803" s="24" t="s">
        <v>22657</v>
      </c>
      <c r="G2803" s="25">
        <v>1</v>
      </c>
      <c r="H2803" s="29"/>
      <c r="I2803" s="30"/>
    </row>
    <row r="2804" spans="1:9" ht="15.75" thickBot="1" x14ac:dyDescent="0.3">
      <c r="A2804" s="43" t="s">
        <v>7050</v>
      </c>
      <c r="B2804" s="21" t="s">
        <v>7051</v>
      </c>
      <c r="C2804" s="21" t="s">
        <v>22682</v>
      </c>
      <c r="D2804" s="22">
        <v>46034</v>
      </c>
      <c r="E2804" s="23" t="s">
        <v>22658</v>
      </c>
      <c r="F2804" s="24" t="s">
        <v>22657</v>
      </c>
      <c r="G2804" s="25">
        <v>1</v>
      </c>
      <c r="H2804" s="26"/>
      <c r="I2804" s="27"/>
    </row>
    <row r="2805" spans="1:9" ht="15.75" thickBot="1" x14ac:dyDescent="0.3">
      <c r="A2805" s="43" t="s">
        <v>7052</v>
      </c>
      <c r="B2805" s="21" t="s">
        <v>7053</v>
      </c>
      <c r="C2805" s="21" t="s">
        <v>22682</v>
      </c>
      <c r="D2805" s="22">
        <v>46034</v>
      </c>
      <c r="E2805" s="23" t="s">
        <v>22658</v>
      </c>
      <c r="F2805" s="24" t="s">
        <v>22657</v>
      </c>
      <c r="G2805" s="25">
        <v>1</v>
      </c>
      <c r="H2805" s="29"/>
      <c r="I2805" s="30"/>
    </row>
    <row r="2806" spans="1:9" ht="15.75" thickBot="1" x14ac:dyDescent="0.3">
      <c r="A2806" s="43" t="s">
        <v>7054</v>
      </c>
      <c r="B2806" s="21" t="s">
        <v>7055</v>
      </c>
      <c r="C2806" s="21" t="s">
        <v>22682</v>
      </c>
      <c r="D2806" s="22">
        <v>46034</v>
      </c>
      <c r="E2806" s="23" t="s">
        <v>22658</v>
      </c>
      <c r="F2806" s="24" t="s">
        <v>22657</v>
      </c>
      <c r="G2806" s="25">
        <v>1</v>
      </c>
      <c r="H2806" s="26"/>
      <c r="I2806" s="27"/>
    </row>
    <row r="2807" spans="1:9" ht="15.75" thickBot="1" x14ac:dyDescent="0.3">
      <c r="A2807" s="43" t="s">
        <v>7056</v>
      </c>
      <c r="B2807" s="21" t="s">
        <v>7057</v>
      </c>
      <c r="C2807" s="21" t="s">
        <v>22682</v>
      </c>
      <c r="D2807" s="22">
        <v>46034</v>
      </c>
      <c r="E2807" s="23" t="s">
        <v>22658</v>
      </c>
      <c r="F2807" s="24" t="s">
        <v>22657</v>
      </c>
      <c r="G2807" s="25">
        <v>1</v>
      </c>
      <c r="H2807" s="29"/>
      <c r="I2807" s="30"/>
    </row>
    <row r="2808" spans="1:9" ht="15.75" thickBot="1" x14ac:dyDescent="0.3">
      <c r="A2808" s="43" t="s">
        <v>7058</v>
      </c>
      <c r="B2808" s="21" t="s">
        <v>7059</v>
      </c>
      <c r="C2808" s="21" t="s">
        <v>22682</v>
      </c>
      <c r="D2808" s="22">
        <v>46034</v>
      </c>
      <c r="E2808" s="23" t="s">
        <v>22658</v>
      </c>
      <c r="F2808" s="24" t="s">
        <v>22657</v>
      </c>
      <c r="G2808" s="25">
        <v>1</v>
      </c>
      <c r="H2808" s="26"/>
      <c r="I2808" s="27"/>
    </row>
    <row r="2809" spans="1:9" ht="15.75" thickBot="1" x14ac:dyDescent="0.3">
      <c r="A2809" s="43" t="s">
        <v>7060</v>
      </c>
      <c r="B2809" s="21" t="s">
        <v>7061</v>
      </c>
      <c r="C2809" s="21" t="s">
        <v>22682</v>
      </c>
      <c r="D2809" s="22">
        <v>46034</v>
      </c>
      <c r="E2809" s="23" t="s">
        <v>22658</v>
      </c>
      <c r="F2809" s="24" t="s">
        <v>22657</v>
      </c>
      <c r="G2809" s="25">
        <v>1</v>
      </c>
      <c r="H2809" s="29"/>
      <c r="I2809" s="30"/>
    </row>
    <row r="2810" spans="1:9" ht="15.75" thickBot="1" x14ac:dyDescent="0.3">
      <c r="A2810" s="43" t="s">
        <v>7062</v>
      </c>
      <c r="B2810" s="21" t="s">
        <v>7063</v>
      </c>
      <c r="C2810" s="21" t="s">
        <v>22682</v>
      </c>
      <c r="D2810" s="22">
        <v>46034</v>
      </c>
      <c r="E2810" s="23" t="s">
        <v>22658</v>
      </c>
      <c r="F2810" s="24" t="s">
        <v>22657</v>
      </c>
      <c r="G2810" s="25">
        <v>1</v>
      </c>
      <c r="H2810" s="26"/>
      <c r="I2810" s="27"/>
    </row>
    <row r="2811" spans="1:9" ht="15.75" thickBot="1" x14ac:dyDescent="0.3">
      <c r="A2811" s="43" t="s">
        <v>7064</v>
      </c>
      <c r="B2811" s="21" t="s">
        <v>7065</v>
      </c>
      <c r="C2811" s="21" t="s">
        <v>22682</v>
      </c>
      <c r="D2811" s="22">
        <v>46034</v>
      </c>
      <c r="E2811" s="23" t="s">
        <v>22658</v>
      </c>
      <c r="F2811" s="24" t="s">
        <v>22657</v>
      </c>
      <c r="G2811" s="25">
        <v>1</v>
      </c>
      <c r="H2811" s="29"/>
      <c r="I2811" s="30"/>
    </row>
    <row r="2812" spans="1:9" ht="15.75" thickBot="1" x14ac:dyDescent="0.3">
      <c r="A2812" s="43" t="s">
        <v>7066</v>
      </c>
      <c r="B2812" s="21" t="s">
        <v>7067</v>
      </c>
      <c r="C2812" s="21" t="s">
        <v>22682</v>
      </c>
      <c r="D2812" s="22">
        <v>46034</v>
      </c>
      <c r="E2812" s="23" t="s">
        <v>22658</v>
      </c>
      <c r="F2812" s="24" t="s">
        <v>22657</v>
      </c>
      <c r="G2812" s="25">
        <v>1</v>
      </c>
      <c r="H2812" s="26"/>
      <c r="I2812" s="27"/>
    </row>
    <row r="2813" spans="1:9" ht="15.75" thickBot="1" x14ac:dyDescent="0.3">
      <c r="A2813" s="43" t="s">
        <v>7068</v>
      </c>
      <c r="B2813" s="21" t="s">
        <v>7069</v>
      </c>
      <c r="C2813" s="21" t="s">
        <v>22682</v>
      </c>
      <c r="D2813" s="22">
        <v>46034</v>
      </c>
      <c r="E2813" s="23" t="s">
        <v>22658</v>
      </c>
      <c r="F2813" s="24" t="s">
        <v>22657</v>
      </c>
      <c r="G2813" s="25">
        <v>1</v>
      </c>
      <c r="H2813" s="29"/>
      <c r="I2813" s="30"/>
    </row>
    <row r="2814" spans="1:9" ht="15.75" thickBot="1" x14ac:dyDescent="0.3">
      <c r="A2814" s="43" t="s">
        <v>7070</v>
      </c>
      <c r="B2814" s="21" t="s">
        <v>7071</v>
      </c>
      <c r="C2814" s="21" t="s">
        <v>22684</v>
      </c>
      <c r="D2814" s="22">
        <v>46042</v>
      </c>
      <c r="E2814" s="23" t="s">
        <v>22658</v>
      </c>
      <c r="F2814" s="24" t="s">
        <v>22657</v>
      </c>
      <c r="G2814" s="25">
        <v>1</v>
      </c>
      <c r="H2814" s="26"/>
      <c r="I2814" s="27"/>
    </row>
    <row r="2815" spans="1:9" ht="15.75" thickBot="1" x14ac:dyDescent="0.3">
      <c r="A2815" s="43" t="s">
        <v>7072</v>
      </c>
      <c r="B2815" s="21" t="s">
        <v>7073</v>
      </c>
      <c r="C2815" s="21" t="s">
        <v>22684</v>
      </c>
      <c r="D2815" s="22">
        <v>46042</v>
      </c>
      <c r="E2815" s="23" t="s">
        <v>22658</v>
      </c>
      <c r="F2815" s="24" t="s">
        <v>22657</v>
      </c>
      <c r="G2815" s="25">
        <v>1</v>
      </c>
      <c r="H2815" s="29"/>
      <c r="I2815" s="30"/>
    </row>
    <row r="2816" spans="1:9" ht="15.75" thickBot="1" x14ac:dyDescent="0.3">
      <c r="A2816" s="43" t="s">
        <v>7074</v>
      </c>
      <c r="B2816" s="21" t="s">
        <v>7075</v>
      </c>
      <c r="C2816" s="21" t="s">
        <v>22684</v>
      </c>
      <c r="D2816" s="22">
        <v>46042</v>
      </c>
      <c r="E2816" s="23" t="s">
        <v>22658</v>
      </c>
      <c r="F2816" s="24" t="s">
        <v>22657</v>
      </c>
      <c r="G2816" s="25">
        <v>1</v>
      </c>
      <c r="H2816" s="26"/>
      <c r="I2816" s="27"/>
    </row>
    <row r="2817" spans="1:9" ht="15.75" thickBot="1" x14ac:dyDescent="0.3">
      <c r="A2817" s="43" t="s">
        <v>7076</v>
      </c>
      <c r="B2817" s="21" t="s">
        <v>7077</v>
      </c>
      <c r="C2817" s="21" t="s">
        <v>22684</v>
      </c>
      <c r="D2817" s="22">
        <v>46042</v>
      </c>
      <c r="E2817" s="23" t="s">
        <v>22658</v>
      </c>
      <c r="F2817" s="24" t="s">
        <v>22657</v>
      </c>
      <c r="G2817" s="25">
        <v>1</v>
      </c>
      <c r="H2817" s="29"/>
      <c r="I2817" s="30"/>
    </row>
    <row r="2818" spans="1:9" ht="15.75" thickBot="1" x14ac:dyDescent="0.3">
      <c r="A2818" s="43" t="s">
        <v>7078</v>
      </c>
      <c r="B2818" s="21" t="s">
        <v>7079</v>
      </c>
      <c r="C2818" s="21" t="s">
        <v>22682</v>
      </c>
      <c r="D2818" s="22">
        <v>46034</v>
      </c>
      <c r="E2818" s="23" t="s">
        <v>22658</v>
      </c>
      <c r="F2818" s="24" t="s">
        <v>22657</v>
      </c>
      <c r="G2818" s="25">
        <v>1</v>
      </c>
      <c r="H2818" s="26"/>
      <c r="I2818" s="27"/>
    </row>
    <row r="2819" spans="1:9" ht="15.75" thickBot="1" x14ac:dyDescent="0.3">
      <c r="A2819" s="43" t="s">
        <v>7080</v>
      </c>
      <c r="B2819" s="21" t="s">
        <v>7081</v>
      </c>
      <c r="C2819" s="21" t="s">
        <v>22682</v>
      </c>
      <c r="D2819" s="22">
        <v>46034</v>
      </c>
      <c r="E2819" s="23" t="s">
        <v>22658</v>
      </c>
      <c r="F2819" s="24" t="s">
        <v>22657</v>
      </c>
      <c r="G2819" s="25">
        <v>1</v>
      </c>
      <c r="H2819" s="29"/>
      <c r="I2819" s="30"/>
    </row>
    <row r="2820" spans="1:9" ht="15.75" thickBot="1" x14ac:dyDescent="0.3">
      <c r="A2820" s="43" t="s">
        <v>7082</v>
      </c>
      <c r="B2820" s="21" t="s">
        <v>7083</v>
      </c>
      <c r="C2820" s="21" t="s">
        <v>22682</v>
      </c>
      <c r="D2820" s="22">
        <v>46034</v>
      </c>
      <c r="E2820" s="23" t="s">
        <v>22658</v>
      </c>
      <c r="F2820" s="24" t="s">
        <v>22657</v>
      </c>
      <c r="G2820" s="25">
        <v>1</v>
      </c>
      <c r="H2820" s="26"/>
      <c r="I2820" s="27"/>
    </row>
    <row r="2821" spans="1:9" ht="15.75" thickBot="1" x14ac:dyDescent="0.3">
      <c r="A2821" s="43" t="s">
        <v>7084</v>
      </c>
      <c r="B2821" s="21" t="s">
        <v>7085</v>
      </c>
      <c r="C2821" s="21" t="s">
        <v>22682</v>
      </c>
      <c r="D2821" s="22">
        <v>46034</v>
      </c>
      <c r="E2821" s="23" t="s">
        <v>22658</v>
      </c>
      <c r="F2821" s="24" t="s">
        <v>22657</v>
      </c>
      <c r="G2821" s="25">
        <v>1</v>
      </c>
      <c r="H2821" s="29"/>
      <c r="I2821" s="30"/>
    </row>
    <row r="2822" spans="1:9" ht="15.75" thickBot="1" x14ac:dyDescent="0.3">
      <c r="A2822" s="43" t="s">
        <v>7086</v>
      </c>
      <c r="B2822" s="21" t="s">
        <v>7087</v>
      </c>
      <c r="C2822" s="21" t="s">
        <v>22663</v>
      </c>
      <c r="D2822" s="31">
        <v>1</v>
      </c>
      <c r="E2822" s="23" t="s">
        <v>22658</v>
      </c>
      <c r="F2822" s="24" t="s">
        <v>22657</v>
      </c>
      <c r="G2822" s="25">
        <v>4</v>
      </c>
      <c r="H2822" s="26"/>
      <c r="I2822" s="27"/>
    </row>
    <row r="2823" spans="1:9" ht="15.75" thickBot="1" x14ac:dyDescent="0.3">
      <c r="A2823" s="43" t="s">
        <v>7092</v>
      </c>
      <c r="B2823" s="21" t="s">
        <v>7093</v>
      </c>
      <c r="C2823" s="21" t="s">
        <v>22727</v>
      </c>
      <c r="D2823" s="31">
        <v>1</v>
      </c>
      <c r="E2823" s="23" t="s">
        <v>22658</v>
      </c>
      <c r="F2823" s="24" t="s">
        <v>22657</v>
      </c>
      <c r="G2823" s="25">
        <v>1</v>
      </c>
      <c r="H2823" s="29"/>
      <c r="I2823" s="30"/>
    </row>
    <row r="2824" spans="1:9" ht="15.75" thickBot="1" x14ac:dyDescent="0.3">
      <c r="A2824" s="43" t="s">
        <v>7088</v>
      </c>
      <c r="B2824" s="21" t="s">
        <v>7089</v>
      </c>
      <c r="C2824" s="21" t="s">
        <v>22698</v>
      </c>
      <c r="D2824" s="31">
        <v>1</v>
      </c>
      <c r="E2824" s="23" t="s">
        <v>22656</v>
      </c>
      <c r="F2824" s="24" t="s">
        <v>22657</v>
      </c>
      <c r="G2824" s="25">
        <v>2</v>
      </c>
      <c r="H2824" s="26"/>
      <c r="I2824" s="27"/>
    </row>
    <row r="2825" spans="1:9" ht="15.75" thickBot="1" x14ac:dyDescent="0.3">
      <c r="A2825" s="43" t="s">
        <v>7090</v>
      </c>
      <c r="B2825" s="21" t="s">
        <v>7091</v>
      </c>
      <c r="C2825" s="21" t="s">
        <v>22663</v>
      </c>
      <c r="D2825" s="31">
        <v>1</v>
      </c>
      <c r="E2825" s="23" t="s">
        <v>22656</v>
      </c>
      <c r="F2825" s="24" t="s">
        <v>22657</v>
      </c>
      <c r="G2825" s="25">
        <v>7</v>
      </c>
      <c r="H2825" s="29"/>
      <c r="I2825" s="30"/>
    </row>
    <row r="2826" spans="1:9" ht="15.75" thickBot="1" x14ac:dyDescent="0.3">
      <c r="A2826" s="43" t="s">
        <v>7094</v>
      </c>
      <c r="B2826" s="21" t="s">
        <v>7095</v>
      </c>
      <c r="C2826" s="21" t="s">
        <v>22727</v>
      </c>
      <c r="D2826" s="31">
        <v>1</v>
      </c>
      <c r="E2826" s="23" t="s">
        <v>22658</v>
      </c>
      <c r="F2826" s="24" t="s">
        <v>22657</v>
      </c>
      <c r="G2826" s="25">
        <v>1</v>
      </c>
      <c r="H2826" s="26"/>
      <c r="I2826" s="27"/>
    </row>
    <row r="2827" spans="1:9" ht="15.75" thickBot="1" x14ac:dyDescent="0.3">
      <c r="A2827" s="43" t="s">
        <v>7096</v>
      </c>
      <c r="B2827" s="21" t="s">
        <v>7097</v>
      </c>
      <c r="C2827" s="21" t="s">
        <v>22655</v>
      </c>
      <c r="D2827" s="22">
        <v>46042</v>
      </c>
      <c r="E2827" s="23" t="s">
        <v>22658</v>
      </c>
      <c r="F2827" s="24" t="s">
        <v>22657</v>
      </c>
      <c r="G2827" s="25">
        <v>7</v>
      </c>
      <c r="H2827" s="29"/>
      <c r="I2827" s="30"/>
    </row>
    <row r="2828" spans="1:9" ht="15.75" thickBot="1" x14ac:dyDescent="0.3">
      <c r="A2828" s="43" t="s">
        <v>7098</v>
      </c>
      <c r="B2828" s="21" t="s">
        <v>7099</v>
      </c>
      <c r="C2828" s="21" t="s">
        <v>22663</v>
      </c>
      <c r="D2828" s="31">
        <v>1</v>
      </c>
      <c r="E2828" s="23" t="s">
        <v>22658</v>
      </c>
      <c r="F2828" s="24" t="s">
        <v>22657</v>
      </c>
      <c r="G2828" s="25">
        <v>2</v>
      </c>
      <c r="H2828" s="26"/>
      <c r="I2828" s="27"/>
    </row>
    <row r="2829" spans="1:9" ht="15.75" thickBot="1" x14ac:dyDescent="0.3">
      <c r="A2829" s="43" t="s">
        <v>7100</v>
      </c>
      <c r="B2829" s="21" t="s">
        <v>7101</v>
      </c>
      <c r="C2829" s="21" t="s">
        <v>22663</v>
      </c>
      <c r="D2829" s="31">
        <v>1</v>
      </c>
      <c r="E2829" s="23" t="s">
        <v>22658</v>
      </c>
      <c r="F2829" s="24" t="s">
        <v>22657</v>
      </c>
      <c r="G2829" s="25">
        <v>2</v>
      </c>
      <c r="H2829" s="29"/>
      <c r="I2829" s="30"/>
    </row>
    <row r="2830" spans="1:9" ht="15.75" thickBot="1" x14ac:dyDescent="0.3">
      <c r="A2830" s="43" t="s">
        <v>7102</v>
      </c>
      <c r="B2830" s="21" t="s">
        <v>7103</v>
      </c>
      <c r="C2830" s="21" t="s">
        <v>22663</v>
      </c>
      <c r="D2830" s="31">
        <v>1</v>
      </c>
      <c r="E2830" s="23" t="s">
        <v>22658</v>
      </c>
      <c r="F2830" s="24" t="s">
        <v>22657</v>
      </c>
      <c r="G2830" s="25">
        <v>1</v>
      </c>
      <c r="H2830" s="26"/>
      <c r="I2830" s="27"/>
    </row>
    <row r="2831" spans="1:9" ht="15.75" thickBot="1" x14ac:dyDescent="0.3">
      <c r="A2831" s="43" t="s">
        <v>7104</v>
      </c>
      <c r="B2831" s="21" t="s">
        <v>7105</v>
      </c>
      <c r="C2831" s="21" t="s">
        <v>22663</v>
      </c>
      <c r="D2831" s="31">
        <v>1</v>
      </c>
      <c r="E2831" s="23" t="s">
        <v>22656</v>
      </c>
      <c r="F2831" s="24" t="s">
        <v>22657</v>
      </c>
      <c r="G2831" s="25">
        <v>3</v>
      </c>
      <c r="H2831" s="29"/>
      <c r="I2831" s="30"/>
    </row>
    <row r="2832" spans="1:9" ht="15.75" thickBot="1" x14ac:dyDescent="0.3">
      <c r="A2832" s="43" t="s">
        <v>7106</v>
      </c>
      <c r="B2832" s="21" t="s">
        <v>7107</v>
      </c>
      <c r="C2832" s="21" t="s">
        <v>22682</v>
      </c>
      <c r="D2832" s="22">
        <v>46034</v>
      </c>
      <c r="E2832" s="23" t="s">
        <v>22658</v>
      </c>
      <c r="F2832" s="24" t="s">
        <v>22657</v>
      </c>
      <c r="G2832" s="25">
        <v>4</v>
      </c>
      <c r="H2832" s="26"/>
      <c r="I2832" s="27"/>
    </row>
    <row r="2833" spans="1:9" ht="15.75" thickBot="1" x14ac:dyDescent="0.3">
      <c r="A2833" s="43" t="s">
        <v>7108</v>
      </c>
      <c r="B2833" s="21" t="s">
        <v>7109</v>
      </c>
      <c r="C2833" s="21" t="s">
        <v>22682</v>
      </c>
      <c r="D2833" s="22">
        <v>46034</v>
      </c>
      <c r="E2833" s="23" t="s">
        <v>22656</v>
      </c>
      <c r="F2833" s="24" t="s">
        <v>22657</v>
      </c>
      <c r="G2833" s="25">
        <v>4</v>
      </c>
      <c r="H2833" s="29"/>
      <c r="I2833" s="30"/>
    </row>
    <row r="2834" spans="1:9" ht="15.75" thickBot="1" x14ac:dyDescent="0.3">
      <c r="A2834" s="43" t="s">
        <v>7110</v>
      </c>
      <c r="B2834" s="21" t="s">
        <v>7111</v>
      </c>
      <c r="C2834" s="21" t="s">
        <v>22682</v>
      </c>
      <c r="D2834" s="22">
        <v>46034</v>
      </c>
      <c r="E2834" s="23" t="s">
        <v>22658</v>
      </c>
      <c r="F2834" s="24" t="s">
        <v>22657</v>
      </c>
      <c r="G2834" s="25">
        <v>4</v>
      </c>
      <c r="H2834" s="26"/>
      <c r="I2834" s="27"/>
    </row>
    <row r="2835" spans="1:9" ht="15.75" thickBot="1" x14ac:dyDescent="0.3">
      <c r="A2835" s="43" t="s">
        <v>7112</v>
      </c>
      <c r="B2835" s="21" t="s">
        <v>7113</v>
      </c>
      <c r="C2835" s="21" t="s">
        <v>22682</v>
      </c>
      <c r="D2835" s="22">
        <v>46034</v>
      </c>
      <c r="E2835" s="23" t="s">
        <v>22656</v>
      </c>
      <c r="F2835" s="24" t="s">
        <v>22657</v>
      </c>
      <c r="G2835" s="25">
        <v>4</v>
      </c>
      <c r="H2835" s="29"/>
      <c r="I2835" s="30"/>
    </row>
    <row r="2836" spans="1:9" ht="15.75" thickBot="1" x14ac:dyDescent="0.3">
      <c r="A2836" s="43" t="s">
        <v>7114</v>
      </c>
      <c r="B2836" s="21" t="s">
        <v>7115</v>
      </c>
      <c r="C2836" s="21" t="s">
        <v>22682</v>
      </c>
      <c r="D2836" s="22">
        <v>46034</v>
      </c>
      <c r="E2836" s="23" t="s">
        <v>22658</v>
      </c>
      <c r="F2836" s="24" t="s">
        <v>22657</v>
      </c>
      <c r="G2836" s="25">
        <v>4</v>
      </c>
      <c r="H2836" s="26"/>
      <c r="I2836" s="27"/>
    </row>
    <row r="2837" spans="1:9" ht="15.75" thickBot="1" x14ac:dyDescent="0.3">
      <c r="A2837" s="43" t="s">
        <v>7116</v>
      </c>
      <c r="B2837" s="21" t="s">
        <v>7117</v>
      </c>
      <c r="C2837" s="21" t="s">
        <v>22682</v>
      </c>
      <c r="D2837" s="22">
        <v>46034</v>
      </c>
      <c r="E2837" s="23" t="s">
        <v>22658</v>
      </c>
      <c r="F2837" s="24" t="s">
        <v>22657</v>
      </c>
      <c r="G2837" s="25">
        <v>4</v>
      </c>
      <c r="H2837" s="29"/>
      <c r="I2837" s="30"/>
    </row>
    <row r="2838" spans="1:9" ht="15.75" thickBot="1" x14ac:dyDescent="0.3">
      <c r="A2838" s="43" t="s">
        <v>7118</v>
      </c>
      <c r="B2838" s="21" t="s">
        <v>7119</v>
      </c>
      <c r="C2838" s="21" t="s">
        <v>22655</v>
      </c>
      <c r="D2838" s="22">
        <v>46038</v>
      </c>
      <c r="E2838" s="23" t="s">
        <v>22661</v>
      </c>
      <c r="F2838" s="24" t="s">
        <v>22657</v>
      </c>
      <c r="G2838" s="25">
        <v>6</v>
      </c>
      <c r="H2838" s="26"/>
      <c r="I2838" s="27"/>
    </row>
    <row r="2839" spans="1:9" ht="15.75" thickBot="1" x14ac:dyDescent="0.3">
      <c r="A2839" s="43" t="s">
        <v>7120</v>
      </c>
      <c r="B2839" s="21" t="s">
        <v>7121</v>
      </c>
      <c r="C2839" s="21" t="s">
        <v>22655</v>
      </c>
      <c r="D2839" s="22">
        <v>46027</v>
      </c>
      <c r="E2839" s="23" t="s">
        <v>22656</v>
      </c>
      <c r="F2839" s="24" t="s">
        <v>22657</v>
      </c>
      <c r="G2839" s="25">
        <v>2</v>
      </c>
      <c r="H2839" s="29"/>
      <c r="I2839" s="30"/>
    </row>
    <row r="2840" spans="1:9" ht="15.75" thickBot="1" x14ac:dyDescent="0.3">
      <c r="A2840" s="43" t="s">
        <v>7122</v>
      </c>
      <c r="B2840" s="21" t="s">
        <v>7123</v>
      </c>
      <c r="C2840" s="21" t="s">
        <v>22655</v>
      </c>
      <c r="D2840" s="22">
        <v>46038</v>
      </c>
      <c r="E2840" s="23" t="s">
        <v>22656</v>
      </c>
      <c r="F2840" s="24" t="s">
        <v>22657</v>
      </c>
      <c r="G2840" s="25">
        <v>7</v>
      </c>
      <c r="H2840" s="26"/>
      <c r="I2840" s="27"/>
    </row>
    <row r="2841" spans="1:9" ht="15.75" thickBot="1" x14ac:dyDescent="0.3">
      <c r="A2841" s="43" t="s">
        <v>7124</v>
      </c>
      <c r="B2841" s="21" t="s">
        <v>7125</v>
      </c>
      <c r="C2841" s="21" t="s">
        <v>22655</v>
      </c>
      <c r="D2841" s="22">
        <v>46038</v>
      </c>
      <c r="E2841" s="23" t="s">
        <v>22656</v>
      </c>
      <c r="F2841" s="24" t="s">
        <v>22657</v>
      </c>
      <c r="G2841" s="25">
        <v>6</v>
      </c>
      <c r="H2841" s="29"/>
      <c r="I2841" s="30"/>
    </row>
    <row r="2842" spans="1:9" ht="15.75" thickBot="1" x14ac:dyDescent="0.3">
      <c r="A2842" s="43" t="s">
        <v>7126</v>
      </c>
      <c r="B2842" s="21" t="s">
        <v>7127</v>
      </c>
      <c r="C2842" s="21" t="s">
        <v>22655</v>
      </c>
      <c r="D2842" s="22">
        <v>46034</v>
      </c>
      <c r="E2842" s="23" t="s">
        <v>22658</v>
      </c>
      <c r="F2842" s="24" t="s">
        <v>22657</v>
      </c>
      <c r="G2842" s="25">
        <v>4</v>
      </c>
      <c r="H2842" s="26"/>
      <c r="I2842" s="27"/>
    </row>
    <row r="2843" spans="1:9" ht="15.75" thickBot="1" x14ac:dyDescent="0.3">
      <c r="A2843" s="43" t="s">
        <v>1904</v>
      </c>
      <c r="B2843" s="21" t="s">
        <v>1905</v>
      </c>
      <c r="C2843" s="21" t="s">
        <v>22655</v>
      </c>
      <c r="D2843" s="22">
        <v>46034</v>
      </c>
      <c r="E2843" s="23" t="s">
        <v>22661</v>
      </c>
      <c r="F2843" s="24" t="s">
        <v>22657</v>
      </c>
      <c r="G2843" s="25">
        <v>4</v>
      </c>
      <c r="H2843" s="32">
        <v>4</v>
      </c>
      <c r="I2843" s="33">
        <v>12</v>
      </c>
    </row>
    <row r="2844" spans="1:9" ht="15.75" thickBot="1" x14ac:dyDescent="0.3">
      <c r="A2844" s="43" t="s">
        <v>7130</v>
      </c>
      <c r="B2844" s="21" t="s">
        <v>7131</v>
      </c>
      <c r="C2844" s="21" t="s">
        <v>22655</v>
      </c>
      <c r="D2844" s="22">
        <v>46034</v>
      </c>
      <c r="E2844" s="23" t="s">
        <v>22656</v>
      </c>
      <c r="F2844" s="24" t="s">
        <v>22657</v>
      </c>
      <c r="G2844" s="25">
        <v>2</v>
      </c>
      <c r="H2844" s="34">
        <v>2</v>
      </c>
      <c r="I2844" s="35">
        <v>6</v>
      </c>
    </row>
    <row r="2845" spans="1:9" ht="15.75" thickBot="1" x14ac:dyDescent="0.3">
      <c r="A2845" s="43" t="s">
        <v>7132</v>
      </c>
      <c r="B2845" s="21" t="s">
        <v>7133</v>
      </c>
      <c r="C2845" s="21" t="s">
        <v>22655</v>
      </c>
      <c r="D2845" s="22">
        <v>46034</v>
      </c>
      <c r="E2845" s="23" t="s">
        <v>22656</v>
      </c>
      <c r="F2845" s="24" t="s">
        <v>22657</v>
      </c>
      <c r="G2845" s="25">
        <v>2</v>
      </c>
      <c r="H2845" s="29"/>
      <c r="I2845" s="30"/>
    </row>
    <row r="2846" spans="1:9" ht="15.75" thickBot="1" x14ac:dyDescent="0.3">
      <c r="A2846" s="43" t="s">
        <v>7128</v>
      </c>
      <c r="B2846" s="21" t="s">
        <v>7129</v>
      </c>
      <c r="C2846" s="21" t="s">
        <v>22655</v>
      </c>
      <c r="D2846" s="22">
        <v>46034</v>
      </c>
      <c r="E2846" s="23" t="s">
        <v>22656</v>
      </c>
      <c r="F2846" s="24" t="s">
        <v>22657</v>
      </c>
      <c r="G2846" s="25">
        <v>2</v>
      </c>
      <c r="H2846" s="26"/>
      <c r="I2846" s="27"/>
    </row>
    <row r="2847" spans="1:9" ht="15.75" thickBot="1" x14ac:dyDescent="0.3">
      <c r="A2847" s="43" t="s">
        <v>7134</v>
      </c>
      <c r="B2847" s="21" t="s">
        <v>7135</v>
      </c>
      <c r="C2847" s="21" t="s">
        <v>22655</v>
      </c>
      <c r="D2847" s="22">
        <v>46034</v>
      </c>
      <c r="E2847" s="23" t="s">
        <v>22656</v>
      </c>
      <c r="F2847" s="24" t="s">
        <v>22657</v>
      </c>
      <c r="G2847" s="25">
        <v>2</v>
      </c>
      <c r="H2847" s="29"/>
      <c r="I2847" s="30"/>
    </row>
    <row r="2848" spans="1:9" ht="15.75" thickBot="1" x14ac:dyDescent="0.3">
      <c r="A2848" s="43" t="s">
        <v>7136</v>
      </c>
      <c r="B2848" s="21" t="s">
        <v>7137</v>
      </c>
      <c r="C2848" s="21" t="s">
        <v>22655</v>
      </c>
      <c r="D2848" s="22">
        <v>46034</v>
      </c>
      <c r="E2848" s="23" t="s">
        <v>22656</v>
      </c>
      <c r="F2848" s="24" t="s">
        <v>22657</v>
      </c>
      <c r="G2848" s="25">
        <v>2</v>
      </c>
      <c r="H2848" s="26"/>
      <c r="I2848" s="27"/>
    </row>
    <row r="2849" spans="1:9" ht="15.75" thickBot="1" x14ac:dyDescent="0.3">
      <c r="A2849" s="43" t="s">
        <v>7138</v>
      </c>
      <c r="B2849" s="21" t="s">
        <v>7139</v>
      </c>
      <c r="C2849" s="21" t="s">
        <v>22655</v>
      </c>
      <c r="D2849" s="22">
        <v>46046</v>
      </c>
      <c r="E2849" s="23" t="s">
        <v>22656</v>
      </c>
      <c r="F2849" s="24" t="s">
        <v>22657</v>
      </c>
      <c r="G2849" s="25">
        <v>2</v>
      </c>
      <c r="H2849" s="29"/>
      <c r="I2849" s="30"/>
    </row>
    <row r="2850" spans="1:9" ht="15.75" thickBot="1" x14ac:dyDescent="0.3">
      <c r="A2850" s="43" t="s">
        <v>7140</v>
      </c>
      <c r="B2850" s="21" t="s">
        <v>7141</v>
      </c>
      <c r="C2850" s="21" t="s">
        <v>22655</v>
      </c>
      <c r="D2850" s="22">
        <v>46046</v>
      </c>
      <c r="E2850" s="23" t="s">
        <v>22656</v>
      </c>
      <c r="F2850" s="24" t="s">
        <v>22657</v>
      </c>
      <c r="G2850" s="25">
        <v>3</v>
      </c>
      <c r="H2850" s="26"/>
      <c r="I2850" s="27"/>
    </row>
    <row r="2851" spans="1:9" ht="15.75" thickBot="1" x14ac:dyDescent="0.3">
      <c r="A2851" s="43" t="s">
        <v>799</v>
      </c>
      <c r="B2851" s="21" t="s">
        <v>800</v>
      </c>
      <c r="C2851" s="21" t="s">
        <v>22655</v>
      </c>
      <c r="D2851" s="22">
        <v>46034</v>
      </c>
      <c r="E2851" s="23" t="s">
        <v>22665</v>
      </c>
      <c r="F2851" s="24" t="s">
        <v>22657</v>
      </c>
      <c r="G2851" s="25">
        <v>36</v>
      </c>
      <c r="H2851" s="32">
        <v>36</v>
      </c>
      <c r="I2851" s="33">
        <v>60</v>
      </c>
    </row>
    <row r="2852" spans="1:9" ht="15.75" thickBot="1" x14ac:dyDescent="0.3">
      <c r="A2852" s="43" t="s">
        <v>7142</v>
      </c>
      <c r="B2852" s="21" t="s">
        <v>7143</v>
      </c>
      <c r="C2852" s="21" t="s">
        <v>22655</v>
      </c>
      <c r="D2852" s="22">
        <v>46046</v>
      </c>
      <c r="E2852" s="23" t="s">
        <v>22661</v>
      </c>
      <c r="F2852" s="24" t="s">
        <v>22657</v>
      </c>
      <c r="G2852" s="25">
        <v>8</v>
      </c>
      <c r="H2852" s="26"/>
      <c r="I2852" s="27"/>
    </row>
    <row r="2853" spans="1:9" ht="15.75" thickBot="1" x14ac:dyDescent="0.3">
      <c r="A2853" s="43" t="s">
        <v>22489</v>
      </c>
      <c r="B2853" s="21" t="s">
        <v>22490</v>
      </c>
      <c r="C2853" s="36" t="e">
        <v>#N/A</v>
      </c>
      <c r="D2853" s="37" t="e">
        <v>#N/A</v>
      </c>
      <c r="E2853" s="23" t="e">
        <v>#N/A</v>
      </c>
      <c r="F2853" s="28" t="s">
        <v>22659</v>
      </c>
      <c r="G2853" s="25" t="e">
        <v>#N/A</v>
      </c>
      <c r="H2853" s="29"/>
      <c r="I2853" s="30"/>
    </row>
    <row r="2854" spans="1:9" ht="15.75" thickBot="1" x14ac:dyDescent="0.3">
      <c r="A2854" s="43" t="s">
        <v>7144</v>
      </c>
      <c r="B2854" s="21" t="s">
        <v>7145</v>
      </c>
      <c r="C2854" s="21" t="s">
        <v>22682</v>
      </c>
      <c r="D2854" s="22">
        <v>46034</v>
      </c>
      <c r="E2854" s="23" t="s">
        <v>22658</v>
      </c>
      <c r="F2854" s="24" t="s">
        <v>22657</v>
      </c>
      <c r="G2854" s="25">
        <v>4</v>
      </c>
      <c r="H2854" s="26"/>
      <c r="I2854" s="27"/>
    </row>
    <row r="2855" spans="1:9" ht="15.75" thickBot="1" x14ac:dyDescent="0.3">
      <c r="A2855" s="43" t="s">
        <v>7146</v>
      </c>
      <c r="B2855" s="21" t="s">
        <v>7147</v>
      </c>
      <c r="C2855" s="21" t="s">
        <v>22682</v>
      </c>
      <c r="D2855" s="22">
        <v>46034</v>
      </c>
      <c r="E2855" s="23" t="s">
        <v>22658</v>
      </c>
      <c r="F2855" s="24" t="s">
        <v>22657</v>
      </c>
      <c r="G2855" s="25">
        <v>4</v>
      </c>
      <c r="H2855" s="29"/>
      <c r="I2855" s="30"/>
    </row>
    <row r="2856" spans="1:9" ht="15.75" thickBot="1" x14ac:dyDescent="0.3">
      <c r="A2856" s="43" t="s">
        <v>33</v>
      </c>
      <c r="B2856" s="21" t="s">
        <v>34</v>
      </c>
      <c r="C2856" s="21" t="s">
        <v>22655</v>
      </c>
      <c r="D2856" s="22">
        <v>46046</v>
      </c>
      <c r="E2856" s="23" t="s">
        <v>22665</v>
      </c>
      <c r="F2856" s="24" t="s">
        <v>22657</v>
      </c>
      <c r="G2856" s="25">
        <v>120</v>
      </c>
      <c r="H2856" s="34">
        <v>120</v>
      </c>
      <c r="I2856" s="35">
        <v>200</v>
      </c>
    </row>
    <row r="2857" spans="1:9" ht="15.75" thickBot="1" x14ac:dyDescent="0.3">
      <c r="A2857" s="43" t="s">
        <v>7148</v>
      </c>
      <c r="B2857" s="21" t="s">
        <v>7149</v>
      </c>
      <c r="C2857" s="21" t="s">
        <v>22682</v>
      </c>
      <c r="D2857" s="22">
        <v>46034</v>
      </c>
      <c r="E2857" s="23" t="s">
        <v>22658</v>
      </c>
      <c r="F2857" s="24" t="s">
        <v>22657</v>
      </c>
      <c r="G2857" s="25">
        <v>4</v>
      </c>
      <c r="H2857" s="29"/>
      <c r="I2857" s="30"/>
    </row>
    <row r="2858" spans="1:9" ht="15.75" thickBot="1" x14ac:dyDescent="0.3">
      <c r="A2858" s="43" t="s">
        <v>7150</v>
      </c>
      <c r="B2858" s="21" t="s">
        <v>7151</v>
      </c>
      <c r="C2858" s="21" t="s">
        <v>22682</v>
      </c>
      <c r="D2858" s="22">
        <v>46034</v>
      </c>
      <c r="E2858" s="23" t="s">
        <v>22658</v>
      </c>
      <c r="F2858" s="24" t="s">
        <v>22657</v>
      </c>
      <c r="G2858" s="25">
        <v>4</v>
      </c>
      <c r="H2858" s="26"/>
      <c r="I2858" s="27"/>
    </row>
    <row r="2859" spans="1:9" ht="15.75" thickBot="1" x14ac:dyDescent="0.3">
      <c r="A2859" s="43" t="s">
        <v>7152</v>
      </c>
      <c r="B2859" s="21" t="s">
        <v>7153</v>
      </c>
      <c r="C2859" s="21" t="s">
        <v>22682</v>
      </c>
      <c r="D2859" s="22">
        <v>46034</v>
      </c>
      <c r="E2859" s="23" t="s">
        <v>22658</v>
      </c>
      <c r="F2859" s="24" t="s">
        <v>22657</v>
      </c>
      <c r="G2859" s="25">
        <v>4</v>
      </c>
      <c r="H2859" s="29"/>
      <c r="I2859" s="30"/>
    </row>
    <row r="2860" spans="1:9" ht="15.75" thickBot="1" x14ac:dyDescent="0.3">
      <c r="A2860" s="43" t="s">
        <v>7154</v>
      </c>
      <c r="B2860" s="21" t="s">
        <v>7155</v>
      </c>
      <c r="C2860" s="21" t="s">
        <v>22682</v>
      </c>
      <c r="D2860" s="22">
        <v>46034</v>
      </c>
      <c r="E2860" s="23" t="s">
        <v>22658</v>
      </c>
      <c r="F2860" s="24" t="s">
        <v>22657</v>
      </c>
      <c r="G2860" s="25">
        <v>4</v>
      </c>
      <c r="H2860" s="26"/>
      <c r="I2860" s="27"/>
    </row>
    <row r="2861" spans="1:9" ht="15.75" thickBot="1" x14ac:dyDescent="0.3">
      <c r="A2861" s="43" t="s">
        <v>7156</v>
      </c>
      <c r="B2861" s="21" t="s">
        <v>7157</v>
      </c>
      <c r="C2861" s="21" t="s">
        <v>22682</v>
      </c>
      <c r="D2861" s="22">
        <v>46034</v>
      </c>
      <c r="E2861" s="23" t="s">
        <v>22656</v>
      </c>
      <c r="F2861" s="24" t="s">
        <v>22657</v>
      </c>
      <c r="G2861" s="25">
        <v>4</v>
      </c>
      <c r="H2861" s="29"/>
      <c r="I2861" s="30"/>
    </row>
    <row r="2862" spans="1:9" ht="15.75" thickBot="1" x14ac:dyDescent="0.3">
      <c r="A2862" s="43" t="s">
        <v>7158</v>
      </c>
      <c r="B2862" s="21" t="s">
        <v>7159</v>
      </c>
      <c r="C2862" s="21" t="s">
        <v>22682</v>
      </c>
      <c r="D2862" s="22">
        <v>46034</v>
      </c>
      <c r="E2862" s="23" t="s">
        <v>22658</v>
      </c>
      <c r="F2862" s="24" t="s">
        <v>22657</v>
      </c>
      <c r="G2862" s="25">
        <v>4</v>
      </c>
      <c r="H2862" s="26"/>
      <c r="I2862" s="27"/>
    </row>
    <row r="2863" spans="1:9" ht="15.75" thickBot="1" x14ac:dyDescent="0.3">
      <c r="A2863" s="43" t="s">
        <v>7160</v>
      </c>
      <c r="B2863" s="21" t="s">
        <v>7161</v>
      </c>
      <c r="C2863" s="21" t="s">
        <v>22682</v>
      </c>
      <c r="D2863" s="22">
        <v>46034</v>
      </c>
      <c r="E2863" s="23" t="s">
        <v>22658</v>
      </c>
      <c r="F2863" s="24" t="s">
        <v>22657</v>
      </c>
      <c r="G2863" s="25">
        <v>4</v>
      </c>
      <c r="H2863" s="29"/>
      <c r="I2863" s="30"/>
    </row>
    <row r="2864" spans="1:9" ht="15.75" thickBot="1" x14ac:dyDescent="0.3">
      <c r="A2864" s="43" t="s">
        <v>7162</v>
      </c>
      <c r="B2864" s="21" t="s">
        <v>7163</v>
      </c>
      <c r="C2864" s="21" t="s">
        <v>22682</v>
      </c>
      <c r="D2864" s="22">
        <v>46034</v>
      </c>
      <c r="E2864" s="23" t="s">
        <v>22658</v>
      </c>
      <c r="F2864" s="24" t="s">
        <v>22657</v>
      </c>
      <c r="G2864" s="25">
        <v>4</v>
      </c>
      <c r="H2864" s="26"/>
      <c r="I2864" s="27"/>
    </row>
    <row r="2865" spans="1:9" ht="15.75" thickBot="1" x14ac:dyDescent="0.3">
      <c r="A2865" s="43" t="s">
        <v>7164</v>
      </c>
      <c r="B2865" s="21" t="s">
        <v>7165</v>
      </c>
      <c r="C2865" s="21" t="s">
        <v>22682</v>
      </c>
      <c r="D2865" s="22">
        <v>46034</v>
      </c>
      <c r="E2865" s="23" t="s">
        <v>22656</v>
      </c>
      <c r="F2865" s="24" t="s">
        <v>22657</v>
      </c>
      <c r="G2865" s="25">
        <v>4</v>
      </c>
      <c r="H2865" s="29"/>
      <c r="I2865" s="30"/>
    </row>
    <row r="2866" spans="1:9" ht="15.75" thickBot="1" x14ac:dyDescent="0.3">
      <c r="A2866" s="43" t="s">
        <v>7166</v>
      </c>
      <c r="B2866" s="21" t="s">
        <v>7167</v>
      </c>
      <c r="C2866" s="21" t="s">
        <v>22682</v>
      </c>
      <c r="D2866" s="22">
        <v>46034</v>
      </c>
      <c r="E2866" s="23" t="s">
        <v>22656</v>
      </c>
      <c r="F2866" s="24" t="s">
        <v>22657</v>
      </c>
      <c r="G2866" s="25">
        <v>4</v>
      </c>
      <c r="H2866" s="26"/>
      <c r="I2866" s="27"/>
    </row>
    <row r="2867" spans="1:9" ht="15.75" thickBot="1" x14ac:dyDescent="0.3">
      <c r="A2867" s="43" t="s">
        <v>7168</v>
      </c>
      <c r="B2867" s="21" t="s">
        <v>7169</v>
      </c>
      <c r="C2867" s="21" t="s">
        <v>22682</v>
      </c>
      <c r="D2867" s="22">
        <v>46034</v>
      </c>
      <c r="E2867" s="23" t="s">
        <v>22656</v>
      </c>
      <c r="F2867" s="24" t="s">
        <v>22657</v>
      </c>
      <c r="G2867" s="25">
        <v>4</v>
      </c>
      <c r="H2867" s="29"/>
      <c r="I2867" s="30"/>
    </row>
    <row r="2868" spans="1:9" ht="15.75" thickBot="1" x14ac:dyDescent="0.3">
      <c r="A2868" s="43" t="s">
        <v>7170</v>
      </c>
      <c r="B2868" s="21" t="s">
        <v>7171</v>
      </c>
      <c r="C2868" s="21" t="s">
        <v>22655</v>
      </c>
      <c r="D2868" s="31" t="s">
        <v>22683</v>
      </c>
      <c r="E2868" s="23" t="s">
        <v>22656</v>
      </c>
      <c r="F2868" s="24" t="s">
        <v>22657</v>
      </c>
      <c r="G2868" s="25">
        <v>4</v>
      </c>
      <c r="H2868" s="26"/>
      <c r="I2868" s="27"/>
    </row>
    <row r="2869" spans="1:9" ht="15.75" thickBot="1" x14ac:dyDescent="0.3">
      <c r="A2869" s="43" t="s">
        <v>7172</v>
      </c>
      <c r="B2869" s="21" t="s">
        <v>7173</v>
      </c>
      <c r="C2869" s="21" t="s">
        <v>22655</v>
      </c>
      <c r="D2869" s="22">
        <v>46034</v>
      </c>
      <c r="E2869" s="23" t="s">
        <v>22658</v>
      </c>
      <c r="F2869" s="24" t="s">
        <v>22657</v>
      </c>
      <c r="G2869" s="25">
        <v>4</v>
      </c>
      <c r="H2869" s="29"/>
      <c r="I2869" s="30"/>
    </row>
    <row r="2870" spans="1:9" ht="15.75" thickBot="1" x14ac:dyDescent="0.3">
      <c r="A2870" s="43" t="s">
        <v>7174</v>
      </c>
      <c r="B2870" s="21" t="s">
        <v>7175</v>
      </c>
      <c r="C2870" s="21" t="s">
        <v>22655</v>
      </c>
      <c r="D2870" s="31" t="s">
        <v>22688</v>
      </c>
      <c r="E2870" s="23" t="s">
        <v>22656</v>
      </c>
      <c r="F2870" s="24" t="s">
        <v>22657</v>
      </c>
      <c r="G2870" s="25">
        <v>7</v>
      </c>
      <c r="H2870" s="26"/>
      <c r="I2870" s="27"/>
    </row>
    <row r="2871" spans="1:9" ht="15.75" thickBot="1" x14ac:dyDescent="0.3">
      <c r="A2871" s="43" t="s">
        <v>1914</v>
      </c>
      <c r="B2871" s="21" t="s">
        <v>1915</v>
      </c>
      <c r="C2871" s="21" t="s">
        <v>22655</v>
      </c>
      <c r="D2871" s="31" t="s">
        <v>22688</v>
      </c>
      <c r="E2871" s="23" t="s">
        <v>22656</v>
      </c>
      <c r="F2871" s="24" t="s">
        <v>22657</v>
      </c>
      <c r="G2871" s="25">
        <v>12</v>
      </c>
      <c r="H2871" s="32">
        <v>12</v>
      </c>
      <c r="I2871" s="33">
        <v>24</v>
      </c>
    </row>
    <row r="2872" spans="1:9" ht="15.75" thickBot="1" x14ac:dyDescent="0.3">
      <c r="A2872" s="43" t="s">
        <v>7176</v>
      </c>
      <c r="B2872" s="21" t="s">
        <v>7177</v>
      </c>
      <c r="C2872" s="21" t="s">
        <v>22655</v>
      </c>
      <c r="D2872" s="22">
        <v>46046</v>
      </c>
      <c r="E2872" s="23" t="s">
        <v>22656</v>
      </c>
      <c r="F2872" s="24" t="s">
        <v>22657</v>
      </c>
      <c r="G2872" s="25">
        <v>8</v>
      </c>
      <c r="H2872" s="26"/>
      <c r="I2872" s="27"/>
    </row>
    <row r="2873" spans="1:9" ht="15.75" thickBot="1" x14ac:dyDescent="0.3">
      <c r="A2873" s="43" t="s">
        <v>1775</v>
      </c>
      <c r="B2873" s="21" t="s">
        <v>1776</v>
      </c>
      <c r="C2873" s="21" t="s">
        <v>22655</v>
      </c>
      <c r="D2873" s="22">
        <v>46032</v>
      </c>
      <c r="E2873" s="23" t="s">
        <v>22656</v>
      </c>
      <c r="F2873" s="24" t="s">
        <v>22657</v>
      </c>
      <c r="G2873" s="25">
        <v>2</v>
      </c>
      <c r="H2873" s="29"/>
      <c r="I2873" s="30"/>
    </row>
    <row r="2874" spans="1:9" ht="15.75" thickBot="1" x14ac:dyDescent="0.3">
      <c r="A2874" s="43" t="s">
        <v>7178</v>
      </c>
      <c r="B2874" s="21" t="s">
        <v>7179</v>
      </c>
      <c r="C2874" s="21" t="s">
        <v>22655</v>
      </c>
      <c r="D2874" s="22">
        <v>46046</v>
      </c>
      <c r="E2874" s="23" t="s">
        <v>22656</v>
      </c>
      <c r="F2874" s="24" t="s">
        <v>22657</v>
      </c>
      <c r="G2874" s="25">
        <v>2</v>
      </c>
      <c r="H2874" s="26"/>
      <c r="I2874" s="27"/>
    </row>
    <row r="2875" spans="1:9" ht="15.75" thickBot="1" x14ac:dyDescent="0.3">
      <c r="A2875" s="43" t="s">
        <v>7180</v>
      </c>
      <c r="B2875" s="21" t="s">
        <v>7181</v>
      </c>
      <c r="C2875" s="21" t="s">
        <v>22655</v>
      </c>
      <c r="D2875" s="22">
        <v>46046</v>
      </c>
      <c r="E2875" s="23" t="s">
        <v>22656</v>
      </c>
      <c r="F2875" s="24" t="s">
        <v>22657</v>
      </c>
      <c r="G2875" s="25">
        <v>2</v>
      </c>
      <c r="H2875" s="29"/>
      <c r="I2875" s="30"/>
    </row>
    <row r="2876" spans="1:9" ht="15.75" thickBot="1" x14ac:dyDescent="0.3">
      <c r="A2876" s="43" t="s">
        <v>7182</v>
      </c>
      <c r="B2876" s="21" t="s">
        <v>7183</v>
      </c>
      <c r="C2876" s="21" t="s">
        <v>22655</v>
      </c>
      <c r="D2876" s="22">
        <v>46046</v>
      </c>
      <c r="E2876" s="23" t="s">
        <v>22656</v>
      </c>
      <c r="F2876" s="24" t="s">
        <v>22657</v>
      </c>
      <c r="G2876" s="25">
        <v>2</v>
      </c>
      <c r="H2876" s="26"/>
      <c r="I2876" s="27"/>
    </row>
    <row r="2877" spans="1:9" ht="15.75" thickBot="1" x14ac:dyDescent="0.3">
      <c r="A2877" s="43" t="s">
        <v>7184</v>
      </c>
      <c r="B2877" s="21" t="s">
        <v>7185</v>
      </c>
      <c r="C2877" s="21" t="s">
        <v>22655</v>
      </c>
      <c r="D2877" s="22">
        <v>46046</v>
      </c>
      <c r="E2877" s="23" t="s">
        <v>22656</v>
      </c>
      <c r="F2877" s="24" t="s">
        <v>22657</v>
      </c>
      <c r="G2877" s="25">
        <v>2</v>
      </c>
      <c r="H2877" s="29"/>
      <c r="I2877" s="30"/>
    </row>
    <row r="2878" spans="1:9" ht="15.75" thickBot="1" x14ac:dyDescent="0.3">
      <c r="A2878" s="43" t="s">
        <v>7186</v>
      </c>
      <c r="B2878" s="21" t="s">
        <v>7187</v>
      </c>
      <c r="C2878" s="21" t="s">
        <v>22655</v>
      </c>
      <c r="D2878" s="22">
        <v>46046</v>
      </c>
      <c r="E2878" s="23" t="s">
        <v>22656</v>
      </c>
      <c r="F2878" s="24" t="s">
        <v>22657</v>
      </c>
      <c r="G2878" s="25">
        <v>2</v>
      </c>
      <c r="H2878" s="26"/>
      <c r="I2878" s="27"/>
    </row>
    <row r="2879" spans="1:9" ht="15.75" thickBot="1" x14ac:dyDescent="0.3">
      <c r="A2879" s="43" t="s">
        <v>7188</v>
      </c>
      <c r="B2879" s="21" t="s">
        <v>7189</v>
      </c>
      <c r="C2879" s="21" t="s">
        <v>22655</v>
      </c>
      <c r="D2879" s="22">
        <v>46034</v>
      </c>
      <c r="E2879" s="23" t="s">
        <v>22656</v>
      </c>
      <c r="F2879" s="24" t="s">
        <v>22657</v>
      </c>
      <c r="G2879" s="25">
        <v>4</v>
      </c>
      <c r="H2879" s="29"/>
      <c r="I2879" s="30"/>
    </row>
    <row r="2880" spans="1:9" ht="15.75" thickBot="1" x14ac:dyDescent="0.3">
      <c r="A2880" s="43" t="s">
        <v>27</v>
      </c>
      <c r="B2880" s="21" t="s">
        <v>28</v>
      </c>
      <c r="C2880" s="21" t="s">
        <v>22655</v>
      </c>
      <c r="D2880" s="22">
        <v>46032</v>
      </c>
      <c r="E2880" s="23" t="s">
        <v>22661</v>
      </c>
      <c r="F2880" s="24" t="s">
        <v>22657</v>
      </c>
      <c r="G2880" s="25">
        <v>6</v>
      </c>
      <c r="H2880" s="34">
        <v>6</v>
      </c>
      <c r="I2880" s="35">
        <v>8</v>
      </c>
    </row>
    <row r="2881" spans="1:9" ht="15.75" thickBot="1" x14ac:dyDescent="0.3">
      <c r="A2881" s="43" t="s">
        <v>501</v>
      </c>
      <c r="B2881" s="21" t="s">
        <v>502</v>
      </c>
      <c r="C2881" s="21" t="s">
        <v>22655</v>
      </c>
      <c r="D2881" s="22">
        <v>46032</v>
      </c>
      <c r="E2881" s="23" t="s">
        <v>22656</v>
      </c>
      <c r="F2881" s="24" t="s">
        <v>22657</v>
      </c>
      <c r="G2881" s="25">
        <v>8</v>
      </c>
      <c r="H2881" s="32">
        <v>8</v>
      </c>
      <c r="I2881" s="33">
        <v>16</v>
      </c>
    </row>
    <row r="2882" spans="1:9" ht="15.75" thickBot="1" x14ac:dyDescent="0.3">
      <c r="A2882" s="43" t="s">
        <v>1005</v>
      </c>
      <c r="B2882" s="21" t="s">
        <v>1006</v>
      </c>
      <c r="C2882" s="21" t="s">
        <v>22655</v>
      </c>
      <c r="D2882" s="22">
        <v>46032</v>
      </c>
      <c r="E2882" s="23" t="s">
        <v>22661</v>
      </c>
      <c r="F2882" s="24" t="s">
        <v>22657</v>
      </c>
      <c r="G2882" s="25">
        <v>8</v>
      </c>
      <c r="H2882" s="34">
        <v>8</v>
      </c>
      <c r="I2882" s="35">
        <v>12</v>
      </c>
    </row>
    <row r="2883" spans="1:9" ht="15.75" thickBot="1" x14ac:dyDescent="0.3">
      <c r="A2883" s="43" t="s">
        <v>7190</v>
      </c>
      <c r="B2883" s="21" t="s">
        <v>7191</v>
      </c>
      <c r="C2883" s="21" t="s">
        <v>22663</v>
      </c>
      <c r="D2883" s="31">
        <v>1</v>
      </c>
      <c r="E2883" s="23" t="s">
        <v>22656</v>
      </c>
      <c r="F2883" s="24" t="s">
        <v>22657</v>
      </c>
      <c r="G2883" s="25">
        <v>2</v>
      </c>
      <c r="H2883" s="29"/>
      <c r="I2883" s="30"/>
    </row>
    <row r="2884" spans="1:9" ht="15.75" thickBot="1" x14ac:dyDescent="0.3">
      <c r="A2884" s="43" t="s">
        <v>7192</v>
      </c>
      <c r="B2884" s="21" t="s">
        <v>7193</v>
      </c>
      <c r="C2884" s="21" t="s">
        <v>22663</v>
      </c>
      <c r="D2884" s="31">
        <v>1</v>
      </c>
      <c r="E2884" s="23" t="s">
        <v>22661</v>
      </c>
      <c r="F2884" s="24" t="s">
        <v>22657</v>
      </c>
      <c r="G2884" s="25">
        <v>6</v>
      </c>
      <c r="H2884" s="34">
        <v>6</v>
      </c>
      <c r="I2884" s="35">
        <v>12</v>
      </c>
    </row>
    <row r="2885" spans="1:9" ht="15.75" thickBot="1" x14ac:dyDescent="0.3">
      <c r="A2885" s="43" t="s">
        <v>355</v>
      </c>
      <c r="B2885" s="21" t="s">
        <v>356</v>
      </c>
      <c r="C2885" s="21" t="s">
        <v>22663</v>
      </c>
      <c r="D2885" s="31">
        <v>1</v>
      </c>
      <c r="E2885" s="23" t="s">
        <v>22661</v>
      </c>
      <c r="F2885" s="24" t="s">
        <v>22657</v>
      </c>
      <c r="G2885" s="25">
        <v>3</v>
      </c>
      <c r="H2885" s="32">
        <v>3</v>
      </c>
      <c r="I2885" s="33">
        <v>6</v>
      </c>
    </row>
    <row r="2886" spans="1:9" ht="15.75" thickBot="1" x14ac:dyDescent="0.3">
      <c r="A2886" s="43" t="s">
        <v>1471</v>
      </c>
      <c r="B2886" s="21" t="s">
        <v>7194</v>
      </c>
      <c r="C2886" s="21" t="s">
        <v>22655</v>
      </c>
      <c r="D2886" s="22">
        <v>46024</v>
      </c>
      <c r="E2886" s="23" t="s">
        <v>22656</v>
      </c>
      <c r="F2886" s="24" t="s">
        <v>22657</v>
      </c>
      <c r="G2886" s="25">
        <v>2</v>
      </c>
      <c r="H2886" s="26"/>
      <c r="I2886" s="27"/>
    </row>
    <row r="2887" spans="1:9" ht="15.75" thickBot="1" x14ac:dyDescent="0.3">
      <c r="A2887" s="43" t="s">
        <v>7195</v>
      </c>
      <c r="B2887" s="21" t="s">
        <v>7196</v>
      </c>
      <c r="C2887" s="21" t="s">
        <v>22663</v>
      </c>
      <c r="D2887" s="31">
        <v>1</v>
      </c>
      <c r="E2887" s="23" t="s">
        <v>22656</v>
      </c>
      <c r="F2887" s="24" t="s">
        <v>22657</v>
      </c>
      <c r="G2887" s="25">
        <v>2</v>
      </c>
      <c r="H2887" s="29"/>
      <c r="I2887" s="30"/>
    </row>
    <row r="2888" spans="1:9" ht="15.75" thickBot="1" x14ac:dyDescent="0.3">
      <c r="A2888" s="43" t="s">
        <v>846</v>
      </c>
      <c r="B2888" s="21" t="s">
        <v>7197</v>
      </c>
      <c r="C2888" s="21" t="s">
        <v>22663</v>
      </c>
      <c r="D2888" s="31">
        <v>1</v>
      </c>
      <c r="E2888" s="23" t="s">
        <v>22661</v>
      </c>
      <c r="F2888" s="24" t="s">
        <v>22657</v>
      </c>
      <c r="G2888" s="25">
        <v>4</v>
      </c>
      <c r="H2888" s="34">
        <v>4</v>
      </c>
      <c r="I2888" s="35">
        <v>8</v>
      </c>
    </row>
    <row r="2889" spans="1:9" ht="15.75" thickBot="1" x14ac:dyDescent="0.3">
      <c r="A2889" s="43" t="s">
        <v>1627</v>
      </c>
      <c r="B2889" s="21" t="s">
        <v>1628</v>
      </c>
      <c r="C2889" s="21" t="s">
        <v>22663</v>
      </c>
      <c r="D2889" s="31">
        <v>1</v>
      </c>
      <c r="E2889" s="23" t="s">
        <v>22661</v>
      </c>
      <c r="F2889" s="24" t="s">
        <v>22657</v>
      </c>
      <c r="G2889" s="25">
        <v>3</v>
      </c>
      <c r="H2889" s="32">
        <v>3</v>
      </c>
      <c r="I2889" s="33">
        <v>4</v>
      </c>
    </row>
    <row r="2890" spans="1:9" ht="15.75" thickBot="1" x14ac:dyDescent="0.3">
      <c r="A2890" s="43" t="s">
        <v>771</v>
      </c>
      <c r="B2890" s="21" t="s">
        <v>772</v>
      </c>
      <c r="C2890" s="21" t="s">
        <v>22655</v>
      </c>
      <c r="D2890" s="22">
        <v>46024</v>
      </c>
      <c r="E2890" s="23" t="s">
        <v>22656</v>
      </c>
      <c r="F2890" s="24" t="s">
        <v>22657</v>
      </c>
      <c r="G2890" s="25">
        <v>1</v>
      </c>
      <c r="H2890" s="34">
        <v>1</v>
      </c>
      <c r="I2890" s="35">
        <v>2</v>
      </c>
    </row>
    <row r="2891" spans="1:9" ht="15.75" thickBot="1" x14ac:dyDescent="0.3">
      <c r="A2891" s="43" t="s">
        <v>7206</v>
      </c>
      <c r="B2891" s="21" t="s">
        <v>7207</v>
      </c>
      <c r="C2891" s="21" t="s">
        <v>22663</v>
      </c>
      <c r="D2891" s="31">
        <v>1</v>
      </c>
      <c r="E2891" s="23" t="s">
        <v>22656</v>
      </c>
      <c r="F2891" s="24" t="s">
        <v>22657</v>
      </c>
      <c r="G2891" s="25">
        <v>4</v>
      </c>
      <c r="H2891" s="29"/>
      <c r="I2891" s="30"/>
    </row>
    <row r="2892" spans="1:9" ht="15.75" thickBot="1" x14ac:dyDescent="0.3">
      <c r="A2892" s="43" t="s">
        <v>7208</v>
      </c>
      <c r="B2892" s="21" t="s">
        <v>7209</v>
      </c>
      <c r="C2892" s="21" t="s">
        <v>22663</v>
      </c>
      <c r="D2892" s="31">
        <v>1</v>
      </c>
      <c r="E2892" s="23" t="s">
        <v>22661</v>
      </c>
      <c r="F2892" s="24" t="s">
        <v>22657</v>
      </c>
      <c r="G2892" s="25">
        <v>3</v>
      </c>
      <c r="H2892" s="26"/>
      <c r="I2892" s="27"/>
    </row>
    <row r="2893" spans="1:9" ht="15.75" thickBot="1" x14ac:dyDescent="0.3">
      <c r="A2893" s="43" t="s">
        <v>7210</v>
      </c>
      <c r="B2893" s="21" t="s">
        <v>7211</v>
      </c>
      <c r="C2893" s="21" t="s">
        <v>22655</v>
      </c>
      <c r="D2893" s="22">
        <v>46024</v>
      </c>
      <c r="E2893" s="23" t="s">
        <v>22656</v>
      </c>
      <c r="F2893" s="24" t="s">
        <v>22657</v>
      </c>
      <c r="G2893" s="25">
        <v>2</v>
      </c>
      <c r="H2893" s="29"/>
      <c r="I2893" s="30"/>
    </row>
    <row r="2894" spans="1:9" ht="15.75" thickBot="1" x14ac:dyDescent="0.3">
      <c r="A2894" s="43" t="s">
        <v>7204</v>
      </c>
      <c r="B2894" s="21" t="s">
        <v>22491</v>
      </c>
      <c r="C2894" s="21" t="s">
        <v>22655</v>
      </c>
      <c r="D2894" s="22">
        <v>46024</v>
      </c>
      <c r="E2894" s="23" t="s">
        <v>22658</v>
      </c>
      <c r="F2894" s="24" t="s">
        <v>22657</v>
      </c>
      <c r="G2894" s="25">
        <v>1</v>
      </c>
      <c r="H2894" s="26"/>
      <c r="I2894" s="27"/>
    </row>
    <row r="2895" spans="1:9" ht="15.75" thickBot="1" x14ac:dyDescent="0.3">
      <c r="A2895" s="43" t="s">
        <v>7198</v>
      </c>
      <c r="B2895" s="21" t="s">
        <v>22492</v>
      </c>
      <c r="C2895" s="21" t="s">
        <v>22663</v>
      </c>
      <c r="D2895" s="31">
        <v>1</v>
      </c>
      <c r="E2895" s="23" t="s">
        <v>22656</v>
      </c>
      <c r="F2895" s="24" t="s">
        <v>22657</v>
      </c>
      <c r="G2895" s="25">
        <v>2</v>
      </c>
      <c r="H2895" s="29"/>
      <c r="I2895" s="30"/>
    </row>
    <row r="2896" spans="1:9" ht="15.75" thickBot="1" x14ac:dyDescent="0.3">
      <c r="A2896" s="43" t="s">
        <v>7200</v>
      </c>
      <c r="B2896" s="21" t="s">
        <v>22493</v>
      </c>
      <c r="C2896" s="21" t="s">
        <v>22663</v>
      </c>
      <c r="D2896" s="31">
        <v>1</v>
      </c>
      <c r="E2896" s="23" t="s">
        <v>22661</v>
      </c>
      <c r="F2896" s="24" t="s">
        <v>22657</v>
      </c>
      <c r="G2896" s="25">
        <v>4</v>
      </c>
      <c r="H2896" s="26"/>
      <c r="I2896" s="27"/>
    </row>
    <row r="2897" spans="1:9" ht="15.75" thickBot="1" x14ac:dyDescent="0.3">
      <c r="A2897" s="43" t="s">
        <v>7202</v>
      </c>
      <c r="B2897" s="21" t="s">
        <v>22494</v>
      </c>
      <c r="C2897" s="21" t="s">
        <v>22663</v>
      </c>
      <c r="D2897" s="31">
        <v>1</v>
      </c>
      <c r="E2897" s="23" t="s">
        <v>22656</v>
      </c>
      <c r="F2897" s="24" t="s">
        <v>22657</v>
      </c>
      <c r="G2897" s="25">
        <v>4</v>
      </c>
      <c r="H2897" s="29"/>
      <c r="I2897" s="30"/>
    </row>
    <row r="2898" spans="1:9" ht="15.75" thickBot="1" x14ac:dyDescent="0.3">
      <c r="A2898" s="43" t="s">
        <v>545</v>
      </c>
      <c r="B2898" s="21" t="s">
        <v>546</v>
      </c>
      <c r="C2898" s="21" t="s">
        <v>22655</v>
      </c>
      <c r="D2898" s="22">
        <v>46034</v>
      </c>
      <c r="E2898" s="23" t="s">
        <v>22661</v>
      </c>
      <c r="F2898" s="24" t="s">
        <v>22657</v>
      </c>
      <c r="G2898" s="25">
        <v>12</v>
      </c>
      <c r="H2898" s="34">
        <v>12</v>
      </c>
      <c r="I2898" s="35">
        <v>18</v>
      </c>
    </row>
    <row r="2899" spans="1:9" ht="15.75" thickBot="1" x14ac:dyDescent="0.3">
      <c r="A2899" s="43" t="s">
        <v>43</v>
      </c>
      <c r="B2899" s="21" t="s">
        <v>44</v>
      </c>
      <c r="C2899" s="21" t="s">
        <v>22655</v>
      </c>
      <c r="D2899" s="22">
        <v>46024</v>
      </c>
      <c r="E2899" s="23" t="s">
        <v>22656</v>
      </c>
      <c r="F2899" s="24" t="s">
        <v>22657</v>
      </c>
      <c r="G2899" s="25">
        <v>2</v>
      </c>
      <c r="H2899" s="32">
        <v>2</v>
      </c>
      <c r="I2899" s="33">
        <v>6</v>
      </c>
    </row>
    <row r="2900" spans="1:9" ht="15.75" thickBot="1" x14ac:dyDescent="0.3">
      <c r="A2900" s="43" t="s">
        <v>7212</v>
      </c>
      <c r="B2900" s="21" t="s">
        <v>7213</v>
      </c>
      <c r="C2900" s="21" t="s">
        <v>22655</v>
      </c>
      <c r="D2900" s="22">
        <v>46034</v>
      </c>
      <c r="E2900" s="23" t="s">
        <v>22658</v>
      </c>
      <c r="F2900" s="24" t="s">
        <v>22657</v>
      </c>
      <c r="G2900" s="25">
        <v>4</v>
      </c>
      <c r="H2900" s="26"/>
      <c r="I2900" s="27"/>
    </row>
    <row r="2901" spans="1:9" ht="15.75" thickBot="1" x14ac:dyDescent="0.3">
      <c r="A2901" s="43" t="s">
        <v>7214</v>
      </c>
      <c r="B2901" s="21" t="s">
        <v>7215</v>
      </c>
      <c r="C2901" s="21" t="s">
        <v>22663</v>
      </c>
      <c r="D2901" s="31">
        <v>1</v>
      </c>
      <c r="E2901" s="23" t="s">
        <v>22656</v>
      </c>
      <c r="F2901" s="24" t="s">
        <v>22657</v>
      </c>
      <c r="G2901" s="25">
        <v>2</v>
      </c>
      <c r="H2901" s="29"/>
      <c r="I2901" s="30"/>
    </row>
    <row r="2902" spans="1:9" ht="15.75" thickBot="1" x14ac:dyDescent="0.3">
      <c r="A2902" s="43" t="s">
        <v>969</v>
      </c>
      <c r="B2902" s="21" t="s">
        <v>970</v>
      </c>
      <c r="C2902" s="21" t="s">
        <v>22655</v>
      </c>
      <c r="D2902" s="22">
        <v>46034</v>
      </c>
      <c r="E2902" s="23" t="s">
        <v>22665</v>
      </c>
      <c r="F2902" s="24" t="s">
        <v>22657</v>
      </c>
      <c r="G2902" s="25">
        <v>24</v>
      </c>
      <c r="H2902" s="34">
        <v>24</v>
      </c>
      <c r="I2902" s="35">
        <v>60</v>
      </c>
    </row>
    <row r="2903" spans="1:9" ht="15.75" thickBot="1" x14ac:dyDescent="0.3">
      <c r="A2903" s="43" t="s">
        <v>7216</v>
      </c>
      <c r="B2903" s="21" t="s">
        <v>7217</v>
      </c>
      <c r="C2903" s="21" t="s">
        <v>22663</v>
      </c>
      <c r="D2903" s="31">
        <v>1</v>
      </c>
      <c r="E2903" s="23" t="s">
        <v>22661</v>
      </c>
      <c r="F2903" s="24" t="s">
        <v>22657</v>
      </c>
      <c r="G2903" s="25">
        <v>18</v>
      </c>
      <c r="H2903" s="32">
        <v>18</v>
      </c>
      <c r="I2903" s="33">
        <v>36</v>
      </c>
    </row>
    <row r="2904" spans="1:9" ht="15.75" thickBot="1" x14ac:dyDescent="0.3">
      <c r="A2904" s="43" t="s">
        <v>1773</v>
      </c>
      <c r="B2904" s="21" t="s">
        <v>1774</v>
      </c>
      <c r="C2904" s="21" t="s">
        <v>22655</v>
      </c>
      <c r="D2904" s="22">
        <v>46026</v>
      </c>
      <c r="E2904" s="23" t="s">
        <v>22656</v>
      </c>
      <c r="F2904" s="24" t="s">
        <v>22657</v>
      </c>
      <c r="G2904" s="25">
        <v>2</v>
      </c>
      <c r="H2904" s="34">
        <v>2</v>
      </c>
      <c r="I2904" s="35">
        <v>4</v>
      </c>
    </row>
    <row r="2905" spans="1:9" ht="15.75" thickBot="1" x14ac:dyDescent="0.3">
      <c r="A2905" s="43" t="s">
        <v>7218</v>
      </c>
      <c r="B2905" s="21" t="s">
        <v>7219</v>
      </c>
      <c r="C2905" s="21" t="s">
        <v>22655</v>
      </c>
      <c r="D2905" s="22">
        <v>46034</v>
      </c>
      <c r="E2905" s="23" t="s">
        <v>22658</v>
      </c>
      <c r="F2905" s="24" t="s">
        <v>22657</v>
      </c>
      <c r="G2905" s="25">
        <v>4</v>
      </c>
      <c r="H2905" s="29"/>
      <c r="I2905" s="30"/>
    </row>
    <row r="2906" spans="1:9" ht="15.75" thickBot="1" x14ac:dyDescent="0.3">
      <c r="A2906" s="43" t="s">
        <v>549</v>
      </c>
      <c r="B2906" s="21" t="s">
        <v>550</v>
      </c>
      <c r="C2906" s="21" t="s">
        <v>22655</v>
      </c>
      <c r="D2906" s="22">
        <v>46034</v>
      </c>
      <c r="E2906" s="23" t="s">
        <v>22656</v>
      </c>
      <c r="F2906" s="24" t="s">
        <v>22657</v>
      </c>
      <c r="G2906" s="25">
        <v>12</v>
      </c>
      <c r="H2906" s="34">
        <v>12</v>
      </c>
      <c r="I2906" s="35">
        <v>24</v>
      </c>
    </row>
    <row r="2907" spans="1:9" ht="15.75" thickBot="1" x14ac:dyDescent="0.3">
      <c r="A2907" s="43" t="s">
        <v>7220</v>
      </c>
      <c r="B2907" s="21" t="s">
        <v>7221</v>
      </c>
      <c r="C2907" s="21" t="s">
        <v>22655</v>
      </c>
      <c r="D2907" s="22">
        <v>46034</v>
      </c>
      <c r="E2907" s="23" t="s">
        <v>22656</v>
      </c>
      <c r="F2907" s="24" t="s">
        <v>22657</v>
      </c>
      <c r="G2907" s="25">
        <v>4</v>
      </c>
      <c r="H2907" s="29"/>
      <c r="I2907" s="30"/>
    </row>
    <row r="2908" spans="1:9" ht="15.75" thickBot="1" x14ac:dyDescent="0.3">
      <c r="A2908" s="43" t="s">
        <v>7222</v>
      </c>
      <c r="B2908" s="21" t="s">
        <v>7223</v>
      </c>
      <c r="C2908" s="21" t="s">
        <v>22663</v>
      </c>
      <c r="D2908" s="31">
        <v>1</v>
      </c>
      <c r="E2908" s="23" t="s">
        <v>22656</v>
      </c>
      <c r="F2908" s="24" t="s">
        <v>22657</v>
      </c>
      <c r="G2908" s="25">
        <v>2</v>
      </c>
      <c r="H2908" s="26"/>
      <c r="I2908" s="27"/>
    </row>
    <row r="2909" spans="1:9" ht="15.75" thickBot="1" x14ac:dyDescent="0.3">
      <c r="A2909" s="43" t="s">
        <v>7224</v>
      </c>
      <c r="B2909" s="21" t="s">
        <v>7225</v>
      </c>
      <c r="C2909" s="21" t="s">
        <v>22655</v>
      </c>
      <c r="D2909" s="22">
        <v>46034</v>
      </c>
      <c r="E2909" s="23" t="s">
        <v>22656</v>
      </c>
      <c r="F2909" s="24" t="s">
        <v>22657</v>
      </c>
      <c r="G2909" s="25">
        <v>4</v>
      </c>
      <c r="H2909" s="29"/>
      <c r="I2909" s="30"/>
    </row>
    <row r="2910" spans="1:9" ht="15.75" thickBot="1" x14ac:dyDescent="0.3">
      <c r="A2910" s="43" t="s">
        <v>7226</v>
      </c>
      <c r="B2910" s="21" t="s">
        <v>7227</v>
      </c>
      <c r="C2910" s="21" t="s">
        <v>22663</v>
      </c>
      <c r="D2910" s="31">
        <v>1</v>
      </c>
      <c r="E2910" s="23" t="s">
        <v>22656</v>
      </c>
      <c r="F2910" s="24" t="s">
        <v>22657</v>
      </c>
      <c r="G2910" s="25">
        <v>2</v>
      </c>
      <c r="H2910" s="26"/>
      <c r="I2910" s="27"/>
    </row>
    <row r="2911" spans="1:9" ht="15.75" thickBot="1" x14ac:dyDescent="0.3">
      <c r="A2911" s="43" t="s">
        <v>7228</v>
      </c>
      <c r="B2911" s="21" t="s">
        <v>7229</v>
      </c>
      <c r="C2911" s="21" t="s">
        <v>22655</v>
      </c>
      <c r="D2911" s="22">
        <v>46034</v>
      </c>
      <c r="E2911" s="23" t="s">
        <v>22656</v>
      </c>
      <c r="F2911" s="24" t="s">
        <v>22657</v>
      </c>
      <c r="G2911" s="25">
        <v>4</v>
      </c>
      <c r="H2911" s="29"/>
      <c r="I2911" s="30"/>
    </row>
    <row r="2912" spans="1:9" ht="15.75" thickBot="1" x14ac:dyDescent="0.3">
      <c r="A2912" s="43" t="s">
        <v>7230</v>
      </c>
      <c r="B2912" s="21" t="s">
        <v>7231</v>
      </c>
      <c r="C2912" s="21" t="s">
        <v>22663</v>
      </c>
      <c r="D2912" s="31">
        <v>1</v>
      </c>
      <c r="E2912" s="23" t="s">
        <v>22656</v>
      </c>
      <c r="F2912" s="24" t="s">
        <v>22657</v>
      </c>
      <c r="G2912" s="25">
        <v>2</v>
      </c>
      <c r="H2912" s="26"/>
      <c r="I2912" s="27"/>
    </row>
    <row r="2913" spans="1:9" ht="15.75" thickBot="1" x14ac:dyDescent="0.3">
      <c r="A2913" s="43" t="s">
        <v>7232</v>
      </c>
      <c r="B2913" s="21" t="s">
        <v>7233</v>
      </c>
      <c r="C2913" s="21" t="s">
        <v>22655</v>
      </c>
      <c r="D2913" s="22">
        <v>46034</v>
      </c>
      <c r="E2913" s="23" t="s">
        <v>22656</v>
      </c>
      <c r="F2913" s="24" t="s">
        <v>22657</v>
      </c>
      <c r="G2913" s="25">
        <v>4</v>
      </c>
      <c r="H2913" s="29"/>
      <c r="I2913" s="30"/>
    </row>
    <row r="2914" spans="1:9" ht="15.75" thickBot="1" x14ac:dyDescent="0.3">
      <c r="A2914" s="43" t="s">
        <v>7234</v>
      </c>
      <c r="B2914" s="21" t="s">
        <v>7235</v>
      </c>
      <c r="C2914" s="21" t="s">
        <v>22663</v>
      </c>
      <c r="D2914" s="31">
        <v>1</v>
      </c>
      <c r="E2914" s="23" t="s">
        <v>22658</v>
      </c>
      <c r="F2914" s="24" t="s">
        <v>22657</v>
      </c>
      <c r="G2914" s="25">
        <v>2</v>
      </c>
      <c r="H2914" s="26"/>
      <c r="I2914" s="27"/>
    </row>
    <row r="2915" spans="1:9" ht="15.75" thickBot="1" x14ac:dyDescent="0.3">
      <c r="A2915" s="43" t="s">
        <v>7236</v>
      </c>
      <c r="B2915" s="21" t="s">
        <v>7237</v>
      </c>
      <c r="C2915" s="21" t="s">
        <v>22655</v>
      </c>
      <c r="D2915" s="22">
        <v>46034</v>
      </c>
      <c r="E2915" s="23" t="s">
        <v>22656</v>
      </c>
      <c r="F2915" s="24" t="s">
        <v>22657</v>
      </c>
      <c r="G2915" s="25">
        <v>4</v>
      </c>
      <c r="H2915" s="29"/>
      <c r="I2915" s="30"/>
    </row>
    <row r="2916" spans="1:9" ht="15.75" thickBot="1" x14ac:dyDescent="0.3">
      <c r="A2916" s="43" t="s">
        <v>7238</v>
      </c>
      <c r="B2916" s="21" t="s">
        <v>7239</v>
      </c>
      <c r="C2916" s="21" t="s">
        <v>22663</v>
      </c>
      <c r="D2916" s="31">
        <v>1</v>
      </c>
      <c r="E2916" s="23" t="s">
        <v>22656</v>
      </c>
      <c r="F2916" s="24" t="s">
        <v>22657</v>
      </c>
      <c r="G2916" s="25">
        <v>2</v>
      </c>
      <c r="H2916" s="26"/>
      <c r="I2916" s="27"/>
    </row>
    <row r="2917" spans="1:9" ht="15.75" thickBot="1" x14ac:dyDescent="0.3">
      <c r="A2917" s="43" t="s">
        <v>842</v>
      </c>
      <c r="B2917" s="21" t="s">
        <v>7240</v>
      </c>
      <c r="C2917" s="21" t="s">
        <v>22655</v>
      </c>
      <c r="D2917" s="22">
        <v>46034</v>
      </c>
      <c r="E2917" s="23" t="s">
        <v>22656</v>
      </c>
      <c r="F2917" s="24" t="s">
        <v>22657</v>
      </c>
      <c r="G2917" s="25">
        <v>4</v>
      </c>
      <c r="H2917" s="29"/>
      <c r="I2917" s="30"/>
    </row>
    <row r="2918" spans="1:9" ht="15.75" thickBot="1" x14ac:dyDescent="0.3">
      <c r="A2918" s="43" t="s">
        <v>7241</v>
      </c>
      <c r="B2918" s="21" t="s">
        <v>7242</v>
      </c>
      <c r="C2918" s="21" t="s">
        <v>22663</v>
      </c>
      <c r="D2918" s="31">
        <v>1</v>
      </c>
      <c r="E2918" s="23" t="s">
        <v>22656</v>
      </c>
      <c r="F2918" s="24" t="s">
        <v>22657</v>
      </c>
      <c r="G2918" s="25">
        <v>3</v>
      </c>
      <c r="H2918" s="26"/>
      <c r="I2918" s="27"/>
    </row>
    <row r="2919" spans="1:9" ht="15.75" thickBot="1" x14ac:dyDescent="0.3">
      <c r="A2919" s="43" t="s">
        <v>7243</v>
      </c>
      <c r="B2919" s="21" t="s">
        <v>7244</v>
      </c>
      <c r="C2919" s="21" t="s">
        <v>22655</v>
      </c>
      <c r="D2919" s="22">
        <v>46034</v>
      </c>
      <c r="E2919" s="23" t="s">
        <v>22658</v>
      </c>
      <c r="F2919" s="24" t="s">
        <v>22657</v>
      </c>
      <c r="G2919" s="25">
        <v>4</v>
      </c>
      <c r="H2919" s="29"/>
      <c r="I2919" s="30"/>
    </row>
    <row r="2920" spans="1:9" ht="15.75" thickBot="1" x14ac:dyDescent="0.3">
      <c r="A2920" s="43" t="s">
        <v>7245</v>
      </c>
      <c r="B2920" s="21" t="s">
        <v>7246</v>
      </c>
      <c r="C2920" s="21" t="s">
        <v>22663</v>
      </c>
      <c r="D2920" s="31">
        <v>1</v>
      </c>
      <c r="E2920" s="23" t="s">
        <v>22656</v>
      </c>
      <c r="F2920" s="24" t="s">
        <v>22657</v>
      </c>
      <c r="G2920" s="25">
        <v>2</v>
      </c>
      <c r="H2920" s="26"/>
      <c r="I2920" s="27"/>
    </row>
    <row r="2921" spans="1:9" ht="15.75" thickBot="1" x14ac:dyDescent="0.3">
      <c r="A2921" s="43" t="s">
        <v>7247</v>
      </c>
      <c r="B2921" s="21" t="s">
        <v>7248</v>
      </c>
      <c r="C2921" s="21" t="s">
        <v>22655</v>
      </c>
      <c r="D2921" s="22">
        <v>46034</v>
      </c>
      <c r="E2921" s="23" t="s">
        <v>22656</v>
      </c>
      <c r="F2921" s="24" t="s">
        <v>22657</v>
      </c>
      <c r="G2921" s="25">
        <v>4</v>
      </c>
      <c r="H2921" s="29"/>
      <c r="I2921" s="30"/>
    </row>
    <row r="2922" spans="1:9" ht="15.75" thickBot="1" x14ac:dyDescent="0.3">
      <c r="A2922" s="43" t="s">
        <v>7249</v>
      </c>
      <c r="B2922" s="21" t="s">
        <v>7250</v>
      </c>
      <c r="C2922" s="21" t="s">
        <v>22663</v>
      </c>
      <c r="D2922" s="31">
        <v>1</v>
      </c>
      <c r="E2922" s="23" t="s">
        <v>22656</v>
      </c>
      <c r="F2922" s="24" t="s">
        <v>22657</v>
      </c>
      <c r="G2922" s="25">
        <v>2</v>
      </c>
      <c r="H2922" s="26"/>
      <c r="I2922" s="27"/>
    </row>
    <row r="2923" spans="1:9" ht="15.75" thickBot="1" x14ac:dyDescent="0.3">
      <c r="A2923" s="43" t="s">
        <v>7251</v>
      </c>
      <c r="B2923" s="21" t="s">
        <v>7252</v>
      </c>
      <c r="C2923" s="21" t="s">
        <v>22663</v>
      </c>
      <c r="D2923" s="31">
        <v>1</v>
      </c>
      <c r="E2923" s="23" t="s">
        <v>22658</v>
      </c>
      <c r="F2923" s="24" t="s">
        <v>22657</v>
      </c>
      <c r="G2923" s="25">
        <v>2</v>
      </c>
      <c r="H2923" s="29"/>
      <c r="I2923" s="30"/>
    </row>
    <row r="2924" spans="1:9" ht="15.75" thickBot="1" x14ac:dyDescent="0.3">
      <c r="A2924" s="43" t="s">
        <v>7253</v>
      </c>
      <c r="B2924" s="21" t="s">
        <v>7254</v>
      </c>
      <c r="C2924" s="21" t="s">
        <v>22663</v>
      </c>
      <c r="D2924" s="31">
        <v>1</v>
      </c>
      <c r="E2924" s="23" t="s">
        <v>22656</v>
      </c>
      <c r="F2924" s="24" t="s">
        <v>22657</v>
      </c>
      <c r="G2924" s="25">
        <v>2</v>
      </c>
      <c r="H2924" s="26"/>
      <c r="I2924" s="27"/>
    </row>
    <row r="2925" spans="1:9" ht="15.75" thickBot="1" x14ac:dyDescent="0.3">
      <c r="A2925" s="43" t="s">
        <v>7255</v>
      </c>
      <c r="B2925" s="21" t="s">
        <v>7256</v>
      </c>
      <c r="C2925" s="21" t="s">
        <v>22655</v>
      </c>
      <c r="D2925" s="22">
        <v>46034</v>
      </c>
      <c r="E2925" s="23" t="s">
        <v>22656</v>
      </c>
      <c r="F2925" s="24" t="s">
        <v>22657</v>
      </c>
      <c r="G2925" s="25">
        <v>4</v>
      </c>
      <c r="H2925" s="29"/>
      <c r="I2925" s="30"/>
    </row>
    <row r="2926" spans="1:9" ht="15.75" thickBot="1" x14ac:dyDescent="0.3">
      <c r="A2926" s="43" t="s">
        <v>7257</v>
      </c>
      <c r="B2926" s="21" t="s">
        <v>7258</v>
      </c>
      <c r="C2926" s="21" t="s">
        <v>22655</v>
      </c>
      <c r="D2926" s="22">
        <v>46034</v>
      </c>
      <c r="E2926" s="23" t="s">
        <v>22656</v>
      </c>
      <c r="F2926" s="24" t="s">
        <v>22657</v>
      </c>
      <c r="G2926" s="25">
        <v>4</v>
      </c>
      <c r="H2926" s="26"/>
      <c r="I2926" s="27"/>
    </row>
    <row r="2927" spans="1:9" ht="15.75" thickBot="1" x14ac:dyDescent="0.3">
      <c r="A2927" s="43" t="s">
        <v>7259</v>
      </c>
      <c r="B2927" s="21" t="s">
        <v>7260</v>
      </c>
      <c r="C2927" s="21" t="s">
        <v>22663</v>
      </c>
      <c r="D2927" s="31">
        <v>1</v>
      </c>
      <c r="E2927" s="23" t="s">
        <v>22661</v>
      </c>
      <c r="F2927" s="24" t="s">
        <v>22657</v>
      </c>
      <c r="G2927" s="25">
        <v>5</v>
      </c>
      <c r="H2927" s="29"/>
      <c r="I2927" s="30"/>
    </row>
    <row r="2928" spans="1:9" ht="15.75" thickBot="1" x14ac:dyDescent="0.3">
      <c r="A2928" s="43" t="s">
        <v>7261</v>
      </c>
      <c r="B2928" s="21" t="s">
        <v>7262</v>
      </c>
      <c r="C2928" s="21" t="s">
        <v>22655</v>
      </c>
      <c r="D2928" s="22">
        <v>46034</v>
      </c>
      <c r="E2928" s="23" t="s">
        <v>22656</v>
      </c>
      <c r="F2928" s="24" t="s">
        <v>22657</v>
      </c>
      <c r="G2928" s="25">
        <v>4</v>
      </c>
      <c r="H2928" s="26"/>
      <c r="I2928" s="27"/>
    </row>
    <row r="2929" spans="1:9" ht="15.75" thickBot="1" x14ac:dyDescent="0.3">
      <c r="A2929" s="43" t="s">
        <v>7263</v>
      </c>
      <c r="B2929" s="21" t="s">
        <v>7264</v>
      </c>
      <c r="C2929" s="21" t="s">
        <v>22663</v>
      </c>
      <c r="D2929" s="31">
        <v>1</v>
      </c>
      <c r="E2929" s="23" t="s">
        <v>22656</v>
      </c>
      <c r="F2929" s="24" t="s">
        <v>22657</v>
      </c>
      <c r="G2929" s="25">
        <v>2</v>
      </c>
      <c r="H2929" s="29"/>
      <c r="I2929" s="30"/>
    </row>
    <row r="2930" spans="1:9" ht="15.75" thickBot="1" x14ac:dyDescent="0.3">
      <c r="A2930" s="43" t="s">
        <v>1797</v>
      </c>
      <c r="B2930" s="21" t="s">
        <v>1798</v>
      </c>
      <c r="C2930" s="21" t="s">
        <v>22655</v>
      </c>
      <c r="D2930" s="22">
        <v>46034</v>
      </c>
      <c r="E2930" s="23" t="s">
        <v>22656</v>
      </c>
      <c r="F2930" s="24" t="s">
        <v>22657</v>
      </c>
      <c r="G2930" s="25">
        <v>6</v>
      </c>
      <c r="H2930" s="34">
        <v>6</v>
      </c>
      <c r="I2930" s="35">
        <v>12</v>
      </c>
    </row>
    <row r="2931" spans="1:9" ht="15.75" thickBot="1" x14ac:dyDescent="0.3">
      <c r="A2931" s="43" t="s">
        <v>22495</v>
      </c>
      <c r="B2931" s="21" t="s">
        <v>1798</v>
      </c>
      <c r="C2931" s="36" t="e">
        <v>#N/A</v>
      </c>
      <c r="D2931" s="37" t="e">
        <v>#N/A</v>
      </c>
      <c r="E2931" s="23" t="e">
        <v>#N/A</v>
      </c>
      <c r="F2931" s="24" t="s">
        <v>22657</v>
      </c>
      <c r="G2931" s="25" t="e">
        <v>#N/A</v>
      </c>
      <c r="H2931" s="29"/>
      <c r="I2931" s="30"/>
    </row>
    <row r="2932" spans="1:9" ht="15.75" thickBot="1" x14ac:dyDescent="0.3">
      <c r="A2932" s="43" t="s">
        <v>7265</v>
      </c>
      <c r="B2932" s="21" t="s">
        <v>7266</v>
      </c>
      <c r="C2932" s="21" t="s">
        <v>22663</v>
      </c>
      <c r="D2932" s="31">
        <v>1</v>
      </c>
      <c r="E2932" s="23" t="s">
        <v>22656</v>
      </c>
      <c r="F2932" s="24" t="s">
        <v>22657</v>
      </c>
      <c r="G2932" s="25">
        <v>3</v>
      </c>
      <c r="H2932" s="26"/>
      <c r="I2932" s="27"/>
    </row>
    <row r="2933" spans="1:9" ht="15.75" thickBot="1" x14ac:dyDescent="0.3">
      <c r="A2933" s="43" t="s">
        <v>7267</v>
      </c>
      <c r="B2933" s="21" t="s">
        <v>7268</v>
      </c>
      <c r="C2933" s="21" t="s">
        <v>22663</v>
      </c>
      <c r="D2933" s="31">
        <v>1</v>
      </c>
      <c r="E2933" s="23" t="s">
        <v>22656</v>
      </c>
      <c r="F2933" s="24" t="s">
        <v>22657</v>
      </c>
      <c r="G2933" s="25">
        <v>5</v>
      </c>
      <c r="H2933" s="29"/>
      <c r="I2933" s="30"/>
    </row>
    <row r="2934" spans="1:9" ht="15.75" thickBot="1" x14ac:dyDescent="0.3">
      <c r="A2934" s="43" t="s">
        <v>7269</v>
      </c>
      <c r="B2934" s="21" t="s">
        <v>7270</v>
      </c>
      <c r="C2934" s="21" t="s">
        <v>22655</v>
      </c>
      <c r="D2934" s="22">
        <v>46028</v>
      </c>
      <c r="E2934" s="23" t="s">
        <v>22658</v>
      </c>
      <c r="F2934" s="24" t="s">
        <v>22657</v>
      </c>
      <c r="G2934" s="25">
        <v>2</v>
      </c>
      <c r="H2934" s="26"/>
      <c r="I2934" s="27"/>
    </row>
    <row r="2935" spans="1:9" ht="15.75" thickBot="1" x14ac:dyDescent="0.3">
      <c r="A2935" s="43" t="s">
        <v>7271</v>
      </c>
      <c r="B2935" s="21" t="s">
        <v>7272</v>
      </c>
      <c r="C2935" s="21" t="s">
        <v>22655</v>
      </c>
      <c r="D2935" s="22">
        <v>46028</v>
      </c>
      <c r="E2935" s="23" t="s">
        <v>22658</v>
      </c>
      <c r="F2935" s="24" t="s">
        <v>22657</v>
      </c>
      <c r="G2935" s="25">
        <v>2</v>
      </c>
      <c r="H2935" s="29"/>
      <c r="I2935" s="30"/>
    </row>
    <row r="2936" spans="1:9" ht="15.75" thickBot="1" x14ac:dyDescent="0.3">
      <c r="A2936" s="43" t="s">
        <v>7273</v>
      </c>
      <c r="B2936" s="21" t="s">
        <v>7274</v>
      </c>
      <c r="C2936" s="21" t="s">
        <v>22655</v>
      </c>
      <c r="D2936" s="22">
        <v>46028</v>
      </c>
      <c r="E2936" s="23" t="s">
        <v>22656</v>
      </c>
      <c r="F2936" s="24" t="s">
        <v>22657</v>
      </c>
      <c r="G2936" s="25">
        <v>2</v>
      </c>
      <c r="H2936" s="26"/>
      <c r="I2936" s="27"/>
    </row>
    <row r="2937" spans="1:9" ht="15.75" thickBot="1" x14ac:dyDescent="0.3">
      <c r="A2937" s="43" t="s">
        <v>7275</v>
      </c>
      <c r="B2937" s="21" t="s">
        <v>7276</v>
      </c>
      <c r="C2937" s="21" t="s">
        <v>22655</v>
      </c>
      <c r="D2937" s="22">
        <v>46028</v>
      </c>
      <c r="E2937" s="23" t="s">
        <v>22656</v>
      </c>
      <c r="F2937" s="24" t="s">
        <v>22657</v>
      </c>
      <c r="G2937" s="25">
        <v>2</v>
      </c>
      <c r="H2937" s="29"/>
      <c r="I2937" s="30"/>
    </row>
    <row r="2938" spans="1:9" ht="15.75" thickBot="1" x14ac:dyDescent="0.3">
      <c r="A2938" s="43" t="s">
        <v>7277</v>
      </c>
      <c r="B2938" s="21" t="s">
        <v>7278</v>
      </c>
      <c r="C2938" s="21" t="s">
        <v>22655</v>
      </c>
      <c r="D2938" s="22">
        <v>46028</v>
      </c>
      <c r="E2938" s="23" t="s">
        <v>22656</v>
      </c>
      <c r="F2938" s="24" t="s">
        <v>22657</v>
      </c>
      <c r="G2938" s="25">
        <v>2</v>
      </c>
      <c r="H2938" s="26"/>
      <c r="I2938" s="27"/>
    </row>
    <row r="2939" spans="1:9" ht="15.75" thickBot="1" x14ac:dyDescent="0.3">
      <c r="A2939" s="43" t="s">
        <v>183</v>
      </c>
      <c r="B2939" s="21" t="s">
        <v>184</v>
      </c>
      <c r="C2939" s="21" t="s">
        <v>22655</v>
      </c>
      <c r="D2939" s="22">
        <v>46034</v>
      </c>
      <c r="E2939" s="23" t="s">
        <v>22656</v>
      </c>
      <c r="F2939" s="24" t="s">
        <v>22657</v>
      </c>
      <c r="G2939" s="25">
        <v>4</v>
      </c>
      <c r="H2939" s="32">
        <v>4</v>
      </c>
      <c r="I2939" s="33">
        <v>8</v>
      </c>
    </row>
    <row r="2940" spans="1:9" ht="15.75" thickBot="1" x14ac:dyDescent="0.3">
      <c r="A2940" s="43" t="s">
        <v>7279</v>
      </c>
      <c r="B2940" s="21" t="s">
        <v>7280</v>
      </c>
      <c r="C2940" s="21" t="s">
        <v>22655</v>
      </c>
      <c r="D2940" s="22">
        <v>46034</v>
      </c>
      <c r="E2940" s="23" t="s">
        <v>22656</v>
      </c>
      <c r="F2940" s="24" t="s">
        <v>22657</v>
      </c>
      <c r="G2940" s="25">
        <v>4</v>
      </c>
      <c r="H2940" s="26"/>
      <c r="I2940" s="27"/>
    </row>
    <row r="2941" spans="1:9" ht="15.75" thickBot="1" x14ac:dyDescent="0.3">
      <c r="A2941" s="43" t="s">
        <v>7281</v>
      </c>
      <c r="B2941" s="21" t="s">
        <v>7282</v>
      </c>
      <c r="C2941" s="21" t="s">
        <v>22663</v>
      </c>
      <c r="D2941" s="31">
        <v>1</v>
      </c>
      <c r="E2941" s="23" t="s">
        <v>22661</v>
      </c>
      <c r="F2941" s="24" t="s">
        <v>22657</v>
      </c>
      <c r="G2941" s="25">
        <v>6</v>
      </c>
      <c r="H2941" s="32">
        <v>6</v>
      </c>
      <c r="I2941" s="33">
        <v>10</v>
      </c>
    </row>
    <row r="2942" spans="1:9" ht="15.75" thickBot="1" x14ac:dyDescent="0.3">
      <c r="A2942" s="43" t="s">
        <v>7283</v>
      </c>
      <c r="B2942" s="21" t="s">
        <v>7284</v>
      </c>
      <c r="C2942" s="21" t="s">
        <v>22663</v>
      </c>
      <c r="D2942" s="31">
        <v>1</v>
      </c>
      <c r="E2942" s="23" t="s">
        <v>22656</v>
      </c>
      <c r="F2942" s="24" t="s">
        <v>22657</v>
      </c>
      <c r="G2942" s="25">
        <v>2</v>
      </c>
      <c r="H2942" s="26"/>
      <c r="I2942" s="27"/>
    </row>
    <row r="2943" spans="1:9" ht="15.75" thickBot="1" x14ac:dyDescent="0.3">
      <c r="A2943" s="43" t="s">
        <v>7285</v>
      </c>
      <c r="B2943" s="21" t="s">
        <v>7286</v>
      </c>
      <c r="C2943" s="21" t="s">
        <v>22663</v>
      </c>
      <c r="D2943" s="31">
        <v>1</v>
      </c>
      <c r="E2943" s="23" t="s">
        <v>22656</v>
      </c>
      <c r="F2943" s="24" t="s">
        <v>22657</v>
      </c>
      <c r="G2943" s="25">
        <v>7</v>
      </c>
      <c r="H2943" s="29"/>
      <c r="I2943" s="30"/>
    </row>
    <row r="2944" spans="1:9" ht="15.75" thickBot="1" x14ac:dyDescent="0.3">
      <c r="A2944" s="43" t="s">
        <v>547</v>
      </c>
      <c r="B2944" s="21" t="s">
        <v>548</v>
      </c>
      <c r="C2944" s="21" t="s">
        <v>22655</v>
      </c>
      <c r="D2944" s="22">
        <v>46026</v>
      </c>
      <c r="E2944" s="23" t="s">
        <v>22661</v>
      </c>
      <c r="F2944" s="24" t="s">
        <v>22657</v>
      </c>
      <c r="G2944" s="25">
        <v>4</v>
      </c>
      <c r="H2944" s="34">
        <v>4</v>
      </c>
      <c r="I2944" s="35">
        <v>8</v>
      </c>
    </row>
    <row r="2945" spans="1:9" ht="15.75" thickBot="1" x14ac:dyDescent="0.3">
      <c r="A2945" s="43" t="s">
        <v>7287</v>
      </c>
      <c r="B2945" s="21" t="s">
        <v>7288</v>
      </c>
      <c r="C2945" s="21" t="s">
        <v>22655</v>
      </c>
      <c r="D2945" s="22">
        <v>46046</v>
      </c>
      <c r="E2945" s="23" t="s">
        <v>22656</v>
      </c>
      <c r="F2945" s="24" t="s">
        <v>22657</v>
      </c>
      <c r="G2945" s="25">
        <v>8</v>
      </c>
      <c r="H2945" s="29"/>
      <c r="I2945" s="30"/>
    </row>
    <row r="2946" spans="1:9" ht="15.75" thickBot="1" x14ac:dyDescent="0.3">
      <c r="A2946" s="43" t="s">
        <v>213</v>
      </c>
      <c r="B2946" s="21" t="s">
        <v>214</v>
      </c>
      <c r="C2946" s="21" t="s">
        <v>22655</v>
      </c>
      <c r="D2946" s="22">
        <v>46034</v>
      </c>
      <c r="E2946" s="23" t="s">
        <v>22665</v>
      </c>
      <c r="F2946" s="24" t="s">
        <v>22657</v>
      </c>
      <c r="G2946" s="25">
        <v>12</v>
      </c>
      <c r="H2946" s="34">
        <v>12</v>
      </c>
      <c r="I2946" s="35">
        <v>24</v>
      </c>
    </row>
    <row r="2947" spans="1:9" ht="15.75" thickBot="1" x14ac:dyDescent="0.3">
      <c r="A2947" s="43" t="s">
        <v>7289</v>
      </c>
      <c r="B2947" s="21" t="s">
        <v>7290</v>
      </c>
      <c r="C2947" s="21" t="s">
        <v>22663</v>
      </c>
      <c r="D2947" s="31">
        <v>1</v>
      </c>
      <c r="E2947" s="23" t="s">
        <v>22656</v>
      </c>
      <c r="F2947" s="24" t="s">
        <v>22657</v>
      </c>
      <c r="G2947" s="25">
        <v>4</v>
      </c>
      <c r="H2947" s="29"/>
      <c r="I2947" s="30"/>
    </row>
    <row r="2948" spans="1:9" ht="15.75" thickBot="1" x14ac:dyDescent="0.3">
      <c r="A2948" s="43" t="s">
        <v>7291</v>
      </c>
      <c r="B2948" s="21" t="s">
        <v>7292</v>
      </c>
      <c r="C2948" s="21" t="s">
        <v>22663</v>
      </c>
      <c r="D2948" s="31">
        <v>1</v>
      </c>
      <c r="E2948" s="23" t="s">
        <v>22656</v>
      </c>
      <c r="F2948" s="24" t="s">
        <v>22657</v>
      </c>
      <c r="G2948" s="25">
        <v>2</v>
      </c>
      <c r="H2948" s="26"/>
      <c r="I2948" s="27"/>
    </row>
    <row r="2949" spans="1:9" ht="15.75" thickBot="1" x14ac:dyDescent="0.3">
      <c r="A2949" s="43" t="s">
        <v>7293</v>
      </c>
      <c r="B2949" s="21" t="s">
        <v>7294</v>
      </c>
      <c r="C2949" s="21" t="s">
        <v>22663</v>
      </c>
      <c r="D2949" s="31">
        <v>1</v>
      </c>
      <c r="E2949" s="23" t="s">
        <v>22656</v>
      </c>
      <c r="F2949" s="24" t="s">
        <v>22657</v>
      </c>
      <c r="G2949" s="25">
        <v>7</v>
      </c>
      <c r="H2949" s="29"/>
      <c r="I2949" s="30"/>
    </row>
    <row r="2950" spans="1:9" ht="15.75" thickBot="1" x14ac:dyDescent="0.3">
      <c r="A2950" s="43" t="s">
        <v>7295</v>
      </c>
      <c r="B2950" s="21" t="s">
        <v>7296</v>
      </c>
      <c r="C2950" s="21" t="s">
        <v>22655</v>
      </c>
      <c r="D2950" s="22">
        <v>46024</v>
      </c>
      <c r="E2950" s="23" t="s">
        <v>22656</v>
      </c>
      <c r="F2950" s="24" t="s">
        <v>22657</v>
      </c>
      <c r="G2950" s="25">
        <v>2</v>
      </c>
      <c r="H2950" s="26"/>
      <c r="I2950" s="27"/>
    </row>
    <row r="2951" spans="1:9" ht="15.75" thickBot="1" x14ac:dyDescent="0.3">
      <c r="A2951" s="43" t="s">
        <v>7297</v>
      </c>
      <c r="B2951" s="21" t="s">
        <v>7298</v>
      </c>
      <c r="C2951" s="21" t="s">
        <v>22663</v>
      </c>
      <c r="D2951" s="31">
        <v>1</v>
      </c>
      <c r="E2951" s="23" t="s">
        <v>22658</v>
      </c>
      <c r="F2951" s="24" t="s">
        <v>22657</v>
      </c>
      <c r="G2951" s="25">
        <v>4</v>
      </c>
      <c r="H2951" s="29"/>
      <c r="I2951" s="30"/>
    </row>
    <row r="2952" spans="1:9" ht="15.75" thickBot="1" x14ac:dyDescent="0.3">
      <c r="A2952" s="43" t="s">
        <v>7299</v>
      </c>
      <c r="B2952" s="21" t="s">
        <v>7300</v>
      </c>
      <c r="C2952" s="21" t="s">
        <v>22655</v>
      </c>
      <c r="D2952" s="22">
        <v>46028</v>
      </c>
      <c r="E2952" s="23" t="s">
        <v>22658</v>
      </c>
      <c r="F2952" s="24" t="s">
        <v>22657</v>
      </c>
      <c r="G2952" s="25">
        <v>2</v>
      </c>
      <c r="H2952" s="26"/>
      <c r="I2952" s="27"/>
    </row>
    <row r="2953" spans="1:9" ht="15.75" thickBot="1" x14ac:dyDescent="0.3">
      <c r="A2953" s="43" t="s">
        <v>7301</v>
      </c>
      <c r="B2953" s="21" t="s">
        <v>7300</v>
      </c>
      <c r="C2953" s="21" t="s">
        <v>22655</v>
      </c>
      <c r="D2953" s="22">
        <v>46028</v>
      </c>
      <c r="E2953" s="23" t="s">
        <v>22656</v>
      </c>
      <c r="F2953" s="24" t="s">
        <v>22657</v>
      </c>
      <c r="G2953" s="25">
        <v>2</v>
      </c>
      <c r="H2953" s="29"/>
      <c r="I2953" s="30"/>
    </row>
    <row r="2954" spans="1:9" ht="15.75" thickBot="1" x14ac:dyDescent="0.3">
      <c r="A2954" s="43" t="s">
        <v>7302</v>
      </c>
      <c r="B2954" s="21" t="s">
        <v>7303</v>
      </c>
      <c r="C2954" s="21" t="s">
        <v>22655</v>
      </c>
      <c r="D2954" s="31" t="s">
        <v>22666</v>
      </c>
      <c r="E2954" s="23" t="s">
        <v>22656</v>
      </c>
      <c r="F2954" s="24" t="s">
        <v>22657</v>
      </c>
      <c r="G2954" s="25">
        <v>4</v>
      </c>
      <c r="H2954" s="26"/>
      <c r="I2954" s="27"/>
    </row>
    <row r="2955" spans="1:9" ht="15.75" thickBot="1" x14ac:dyDescent="0.3">
      <c r="A2955" s="43" t="s">
        <v>7304</v>
      </c>
      <c r="B2955" s="21" t="s">
        <v>7305</v>
      </c>
      <c r="C2955" s="21" t="s">
        <v>22663</v>
      </c>
      <c r="D2955" s="31">
        <v>1</v>
      </c>
      <c r="E2955" s="23" t="s">
        <v>22656</v>
      </c>
      <c r="F2955" s="24" t="s">
        <v>22657</v>
      </c>
      <c r="G2955" s="25">
        <v>7</v>
      </c>
      <c r="H2955" s="29"/>
      <c r="I2955" s="30"/>
    </row>
    <row r="2956" spans="1:9" ht="15.75" thickBot="1" x14ac:dyDescent="0.3">
      <c r="A2956" s="43" t="s">
        <v>7306</v>
      </c>
      <c r="B2956" s="21" t="s">
        <v>7307</v>
      </c>
      <c r="C2956" s="21" t="s">
        <v>22655</v>
      </c>
      <c r="D2956" s="22">
        <v>46024</v>
      </c>
      <c r="E2956" s="23" t="s">
        <v>22658</v>
      </c>
      <c r="F2956" s="24" t="s">
        <v>22657</v>
      </c>
      <c r="G2956" s="25">
        <v>1</v>
      </c>
      <c r="H2956" s="26"/>
      <c r="I2956" s="27"/>
    </row>
    <row r="2957" spans="1:9" ht="15.75" thickBot="1" x14ac:dyDescent="0.3">
      <c r="A2957" s="43" t="s">
        <v>7308</v>
      </c>
      <c r="B2957" s="21" t="s">
        <v>7309</v>
      </c>
      <c r="C2957" s="21" t="s">
        <v>22663</v>
      </c>
      <c r="D2957" s="31">
        <v>1</v>
      </c>
      <c r="E2957" s="23" t="s">
        <v>22656</v>
      </c>
      <c r="F2957" s="24" t="s">
        <v>22657</v>
      </c>
      <c r="G2957" s="25">
        <v>4</v>
      </c>
      <c r="H2957" s="29"/>
      <c r="I2957" s="30"/>
    </row>
    <row r="2958" spans="1:9" ht="15.75" thickBot="1" x14ac:dyDescent="0.3">
      <c r="A2958" s="43" t="s">
        <v>7310</v>
      </c>
      <c r="B2958" s="21" t="s">
        <v>7311</v>
      </c>
      <c r="C2958" s="21" t="s">
        <v>22663</v>
      </c>
      <c r="D2958" s="31">
        <v>1</v>
      </c>
      <c r="E2958" s="23" t="s">
        <v>22656</v>
      </c>
      <c r="F2958" s="24" t="s">
        <v>22657</v>
      </c>
      <c r="G2958" s="25">
        <v>7</v>
      </c>
      <c r="H2958" s="26"/>
      <c r="I2958" s="27"/>
    </row>
    <row r="2959" spans="1:9" ht="15.75" thickBot="1" x14ac:dyDescent="0.3">
      <c r="A2959" s="43" t="s">
        <v>7312</v>
      </c>
      <c r="B2959" s="21" t="s">
        <v>7313</v>
      </c>
      <c r="C2959" s="21" t="s">
        <v>22655</v>
      </c>
      <c r="D2959" s="22">
        <v>46024</v>
      </c>
      <c r="E2959" s="23" t="s">
        <v>22658</v>
      </c>
      <c r="F2959" s="24" t="s">
        <v>22657</v>
      </c>
      <c r="G2959" s="25">
        <v>1</v>
      </c>
      <c r="H2959" s="29"/>
      <c r="I2959" s="30"/>
    </row>
    <row r="2960" spans="1:9" ht="15.75" thickBot="1" x14ac:dyDescent="0.3">
      <c r="A2960" s="43" t="s">
        <v>7314</v>
      </c>
      <c r="B2960" s="21" t="s">
        <v>7315</v>
      </c>
      <c r="C2960" s="21" t="s">
        <v>22663</v>
      </c>
      <c r="D2960" s="31">
        <v>1</v>
      </c>
      <c r="E2960" s="23" t="s">
        <v>22656</v>
      </c>
      <c r="F2960" s="24" t="s">
        <v>22657</v>
      </c>
      <c r="G2960" s="25">
        <v>7</v>
      </c>
      <c r="H2960" s="26"/>
      <c r="I2960" s="27"/>
    </row>
    <row r="2961" spans="1:9" ht="15.75" thickBot="1" x14ac:dyDescent="0.3">
      <c r="A2961" s="43" t="s">
        <v>7316</v>
      </c>
      <c r="B2961" s="21" t="s">
        <v>7317</v>
      </c>
      <c r="C2961" s="21" t="s">
        <v>22663</v>
      </c>
      <c r="D2961" s="31">
        <v>1</v>
      </c>
      <c r="E2961" s="23" t="s">
        <v>22658</v>
      </c>
      <c r="F2961" s="24" t="s">
        <v>22657</v>
      </c>
      <c r="G2961" s="25">
        <v>4</v>
      </c>
      <c r="H2961" s="29"/>
      <c r="I2961" s="30"/>
    </row>
    <row r="2962" spans="1:9" ht="15.75" thickBot="1" x14ac:dyDescent="0.3">
      <c r="A2962" s="43" t="s">
        <v>7318</v>
      </c>
      <c r="B2962" s="21" t="s">
        <v>7319</v>
      </c>
      <c r="C2962" s="21" t="s">
        <v>22655</v>
      </c>
      <c r="D2962" s="22">
        <v>46028</v>
      </c>
      <c r="E2962" s="23" t="s">
        <v>22656</v>
      </c>
      <c r="F2962" s="24" t="s">
        <v>22657</v>
      </c>
      <c r="G2962" s="25">
        <v>2</v>
      </c>
      <c r="H2962" s="26"/>
      <c r="I2962" s="27"/>
    </row>
    <row r="2963" spans="1:9" ht="15.75" thickBot="1" x14ac:dyDescent="0.3">
      <c r="A2963" s="43" t="s">
        <v>7320</v>
      </c>
      <c r="B2963" s="21" t="s">
        <v>7321</v>
      </c>
      <c r="C2963" s="21" t="s">
        <v>22655</v>
      </c>
      <c r="D2963" s="31" t="s">
        <v>22666</v>
      </c>
      <c r="E2963" s="23" t="s">
        <v>22661</v>
      </c>
      <c r="F2963" s="24" t="s">
        <v>22657</v>
      </c>
      <c r="G2963" s="25">
        <v>4</v>
      </c>
      <c r="H2963" s="29"/>
      <c r="I2963" s="30"/>
    </row>
    <row r="2964" spans="1:9" ht="15.75" thickBot="1" x14ac:dyDescent="0.3">
      <c r="A2964" s="43" t="s">
        <v>7322</v>
      </c>
      <c r="B2964" s="21" t="s">
        <v>7323</v>
      </c>
      <c r="C2964" s="21" t="s">
        <v>22655</v>
      </c>
      <c r="D2964" s="22">
        <v>46024</v>
      </c>
      <c r="E2964" s="23" t="s">
        <v>22656</v>
      </c>
      <c r="F2964" s="24" t="s">
        <v>22657</v>
      </c>
      <c r="G2964" s="25">
        <v>2</v>
      </c>
      <c r="H2964" s="26"/>
      <c r="I2964" s="27"/>
    </row>
    <row r="2965" spans="1:9" ht="15.75" thickBot="1" x14ac:dyDescent="0.3">
      <c r="A2965" s="43" t="s">
        <v>7324</v>
      </c>
      <c r="B2965" s="21" t="s">
        <v>7325</v>
      </c>
      <c r="C2965" s="21" t="s">
        <v>22655</v>
      </c>
      <c r="D2965" s="22">
        <v>46028</v>
      </c>
      <c r="E2965" s="23" t="s">
        <v>22656</v>
      </c>
      <c r="F2965" s="24" t="s">
        <v>22657</v>
      </c>
      <c r="G2965" s="25">
        <v>2</v>
      </c>
      <c r="H2965" s="29"/>
      <c r="I2965" s="30"/>
    </row>
    <row r="2966" spans="1:9" ht="15.75" thickBot="1" x14ac:dyDescent="0.3">
      <c r="A2966" s="43" t="s">
        <v>7326</v>
      </c>
      <c r="B2966" s="21" t="s">
        <v>7327</v>
      </c>
      <c r="C2966" s="21" t="s">
        <v>22655</v>
      </c>
      <c r="D2966" s="22">
        <v>46024</v>
      </c>
      <c r="E2966" s="23" t="s">
        <v>22656</v>
      </c>
      <c r="F2966" s="24" t="s">
        <v>22657</v>
      </c>
      <c r="G2966" s="25">
        <v>1</v>
      </c>
      <c r="H2966" s="34">
        <v>1</v>
      </c>
      <c r="I2966" s="35">
        <v>1</v>
      </c>
    </row>
    <row r="2967" spans="1:9" ht="15.75" thickBot="1" x14ac:dyDescent="0.3">
      <c r="A2967" s="43" t="s">
        <v>7328</v>
      </c>
      <c r="B2967" s="21" t="s">
        <v>7329</v>
      </c>
      <c r="C2967" s="21" t="s">
        <v>22663</v>
      </c>
      <c r="D2967" s="31">
        <v>1</v>
      </c>
      <c r="E2967" s="23" t="s">
        <v>22656</v>
      </c>
      <c r="F2967" s="24" t="s">
        <v>22657</v>
      </c>
      <c r="G2967" s="25">
        <v>7</v>
      </c>
      <c r="H2967" s="29"/>
      <c r="I2967" s="30"/>
    </row>
    <row r="2968" spans="1:9" ht="15.75" thickBot="1" x14ac:dyDescent="0.3">
      <c r="A2968" s="43" t="s">
        <v>7330</v>
      </c>
      <c r="B2968" s="21" t="s">
        <v>7331</v>
      </c>
      <c r="C2968" s="21" t="s">
        <v>22663</v>
      </c>
      <c r="D2968" s="31">
        <v>1</v>
      </c>
      <c r="E2968" s="23" t="s">
        <v>22656</v>
      </c>
      <c r="F2968" s="24" t="s">
        <v>22657</v>
      </c>
      <c r="G2968" s="25">
        <v>4</v>
      </c>
      <c r="H2968" s="26"/>
      <c r="I2968" s="27"/>
    </row>
    <row r="2969" spans="1:9" ht="15.75" thickBot="1" x14ac:dyDescent="0.3">
      <c r="A2969" s="43" t="s">
        <v>7332</v>
      </c>
      <c r="B2969" s="21" t="s">
        <v>7333</v>
      </c>
      <c r="C2969" s="21" t="s">
        <v>22663</v>
      </c>
      <c r="D2969" s="31">
        <v>1</v>
      </c>
      <c r="E2969" s="23" t="s">
        <v>22656</v>
      </c>
      <c r="F2969" s="24" t="s">
        <v>22657</v>
      </c>
      <c r="G2969" s="25">
        <v>4</v>
      </c>
      <c r="H2969" s="29"/>
      <c r="I2969" s="30"/>
    </row>
    <row r="2970" spans="1:9" ht="15.75" thickBot="1" x14ac:dyDescent="0.3">
      <c r="A2970" s="43" t="s">
        <v>7334</v>
      </c>
      <c r="B2970" s="21" t="s">
        <v>7335</v>
      </c>
      <c r="C2970" s="21" t="s">
        <v>22655</v>
      </c>
      <c r="D2970" s="22">
        <v>46028</v>
      </c>
      <c r="E2970" s="23" t="s">
        <v>22656</v>
      </c>
      <c r="F2970" s="24" t="s">
        <v>22657</v>
      </c>
      <c r="G2970" s="25">
        <v>2</v>
      </c>
      <c r="H2970" s="26"/>
      <c r="I2970" s="27"/>
    </row>
    <row r="2971" spans="1:9" ht="15.75" thickBot="1" x14ac:dyDescent="0.3">
      <c r="A2971" s="43" t="s">
        <v>7336</v>
      </c>
      <c r="B2971" s="21" t="s">
        <v>7337</v>
      </c>
      <c r="C2971" s="21" t="s">
        <v>22655</v>
      </c>
      <c r="D2971" s="31" t="s">
        <v>22666</v>
      </c>
      <c r="E2971" s="23" t="s">
        <v>22661</v>
      </c>
      <c r="F2971" s="24" t="s">
        <v>22657</v>
      </c>
      <c r="G2971" s="25">
        <v>4</v>
      </c>
      <c r="H2971" s="29"/>
      <c r="I2971" s="30"/>
    </row>
    <row r="2972" spans="1:9" ht="15.75" thickBot="1" x14ac:dyDescent="0.3">
      <c r="A2972" s="43" t="s">
        <v>543</v>
      </c>
      <c r="B2972" s="21" t="s">
        <v>544</v>
      </c>
      <c r="C2972" s="21" t="s">
        <v>22655</v>
      </c>
      <c r="D2972" s="22">
        <v>46024</v>
      </c>
      <c r="E2972" s="23" t="s">
        <v>22656</v>
      </c>
      <c r="F2972" s="24" t="s">
        <v>22657</v>
      </c>
      <c r="G2972" s="25">
        <v>2</v>
      </c>
      <c r="H2972" s="34">
        <v>2</v>
      </c>
      <c r="I2972" s="35">
        <v>3</v>
      </c>
    </row>
    <row r="2973" spans="1:9" ht="15.75" thickBot="1" x14ac:dyDescent="0.3">
      <c r="A2973" s="43" t="s">
        <v>7338</v>
      </c>
      <c r="B2973" s="21" t="s">
        <v>7339</v>
      </c>
      <c r="C2973" s="21" t="s">
        <v>22663</v>
      </c>
      <c r="D2973" s="31">
        <v>1</v>
      </c>
      <c r="E2973" s="23" t="s">
        <v>22656</v>
      </c>
      <c r="F2973" s="24" t="s">
        <v>22657</v>
      </c>
      <c r="G2973" s="25">
        <v>7</v>
      </c>
      <c r="H2973" s="29"/>
      <c r="I2973" s="30"/>
    </row>
    <row r="2974" spans="1:9" ht="15.75" thickBot="1" x14ac:dyDescent="0.3">
      <c r="A2974" s="43" t="s">
        <v>7340</v>
      </c>
      <c r="B2974" s="21" t="s">
        <v>7341</v>
      </c>
      <c r="C2974" s="21" t="s">
        <v>22663</v>
      </c>
      <c r="D2974" s="31">
        <v>1</v>
      </c>
      <c r="E2974" s="23" t="s">
        <v>22658</v>
      </c>
      <c r="F2974" s="24" t="s">
        <v>22657</v>
      </c>
      <c r="G2974" s="25">
        <v>4</v>
      </c>
      <c r="H2974" s="26"/>
      <c r="I2974" s="27"/>
    </row>
    <row r="2975" spans="1:9" ht="15.75" thickBot="1" x14ac:dyDescent="0.3">
      <c r="A2975" s="43" t="s">
        <v>7342</v>
      </c>
      <c r="B2975" s="21" t="s">
        <v>7343</v>
      </c>
      <c r="C2975" s="21" t="s">
        <v>22663</v>
      </c>
      <c r="D2975" s="31">
        <v>1</v>
      </c>
      <c r="E2975" s="23" t="s">
        <v>22658</v>
      </c>
      <c r="F2975" s="24" t="s">
        <v>22657</v>
      </c>
      <c r="G2975" s="25">
        <v>7</v>
      </c>
      <c r="H2975" s="29"/>
      <c r="I2975" s="30"/>
    </row>
    <row r="2976" spans="1:9" ht="15.75" thickBot="1" x14ac:dyDescent="0.3">
      <c r="A2976" s="43" t="s">
        <v>7344</v>
      </c>
      <c r="B2976" s="21" t="s">
        <v>7345</v>
      </c>
      <c r="C2976" s="21" t="s">
        <v>22655</v>
      </c>
      <c r="D2976" s="22">
        <v>46024</v>
      </c>
      <c r="E2976" s="23" t="s">
        <v>22656</v>
      </c>
      <c r="F2976" s="24" t="s">
        <v>22657</v>
      </c>
      <c r="G2976" s="25">
        <v>2</v>
      </c>
      <c r="H2976" s="26"/>
      <c r="I2976" s="27"/>
    </row>
    <row r="2977" spans="1:9" ht="15.75" thickBot="1" x14ac:dyDescent="0.3">
      <c r="A2977" s="43" t="s">
        <v>7346</v>
      </c>
      <c r="B2977" s="21" t="s">
        <v>7347</v>
      </c>
      <c r="C2977" s="21" t="s">
        <v>22663</v>
      </c>
      <c r="D2977" s="31">
        <v>1</v>
      </c>
      <c r="E2977" s="23" t="s">
        <v>22656</v>
      </c>
      <c r="F2977" s="24" t="s">
        <v>22657</v>
      </c>
      <c r="G2977" s="25">
        <v>4</v>
      </c>
      <c r="H2977" s="29"/>
      <c r="I2977" s="30"/>
    </row>
    <row r="2978" spans="1:9" ht="15.75" thickBot="1" x14ac:dyDescent="0.3">
      <c r="A2978" s="43" t="s">
        <v>7348</v>
      </c>
      <c r="B2978" s="21" t="s">
        <v>7349</v>
      </c>
      <c r="C2978" s="21" t="s">
        <v>22663</v>
      </c>
      <c r="D2978" s="31">
        <v>1</v>
      </c>
      <c r="E2978" s="23" t="s">
        <v>22656</v>
      </c>
      <c r="F2978" s="24" t="s">
        <v>22657</v>
      </c>
      <c r="G2978" s="25">
        <v>7</v>
      </c>
      <c r="H2978" s="26"/>
      <c r="I2978" s="27"/>
    </row>
    <row r="2979" spans="1:9" ht="15.75" thickBot="1" x14ac:dyDescent="0.3">
      <c r="A2979" s="43" t="s">
        <v>858</v>
      </c>
      <c r="B2979" s="21" t="s">
        <v>859</v>
      </c>
      <c r="C2979" s="21" t="s">
        <v>22655</v>
      </c>
      <c r="D2979" s="22">
        <v>46024</v>
      </c>
      <c r="E2979" s="23" t="s">
        <v>22656</v>
      </c>
      <c r="F2979" s="24" t="s">
        <v>22657</v>
      </c>
      <c r="G2979" s="25">
        <v>10</v>
      </c>
      <c r="H2979" s="32">
        <v>10</v>
      </c>
      <c r="I2979" s="33">
        <v>16</v>
      </c>
    </row>
    <row r="2980" spans="1:9" ht="15.75" thickBot="1" x14ac:dyDescent="0.3">
      <c r="A2980" s="43" t="s">
        <v>7350</v>
      </c>
      <c r="B2980" s="21" t="s">
        <v>7351</v>
      </c>
      <c r="C2980" s="21" t="s">
        <v>22663</v>
      </c>
      <c r="D2980" s="31">
        <v>1</v>
      </c>
      <c r="E2980" s="23" t="s">
        <v>22656</v>
      </c>
      <c r="F2980" s="24" t="s">
        <v>22657</v>
      </c>
      <c r="G2980" s="25">
        <v>4</v>
      </c>
      <c r="H2980" s="26"/>
      <c r="I2980" s="27"/>
    </row>
    <row r="2981" spans="1:9" ht="15.75" thickBot="1" x14ac:dyDescent="0.3">
      <c r="A2981" s="43" t="s">
        <v>7352</v>
      </c>
      <c r="B2981" s="21" t="s">
        <v>7353</v>
      </c>
      <c r="C2981" s="21" t="s">
        <v>22655</v>
      </c>
      <c r="D2981" s="22">
        <v>46028</v>
      </c>
      <c r="E2981" s="23" t="s">
        <v>22656</v>
      </c>
      <c r="F2981" s="24" t="s">
        <v>22657</v>
      </c>
      <c r="G2981" s="25">
        <v>2</v>
      </c>
      <c r="H2981" s="29"/>
      <c r="I2981" s="30"/>
    </row>
    <row r="2982" spans="1:9" ht="15.75" thickBot="1" x14ac:dyDescent="0.3">
      <c r="A2982" s="43" t="s">
        <v>7354</v>
      </c>
      <c r="B2982" s="21" t="s">
        <v>7355</v>
      </c>
      <c r="C2982" s="21" t="s">
        <v>22663</v>
      </c>
      <c r="D2982" s="31">
        <v>1</v>
      </c>
      <c r="E2982" s="23" t="s">
        <v>22656</v>
      </c>
      <c r="F2982" s="24" t="s">
        <v>22657</v>
      </c>
      <c r="G2982" s="25">
        <v>7</v>
      </c>
      <c r="H2982" s="26"/>
      <c r="I2982" s="27"/>
    </row>
    <row r="2983" spans="1:9" ht="15.75" thickBot="1" x14ac:dyDescent="0.3">
      <c r="A2983" s="43" t="s">
        <v>7356</v>
      </c>
      <c r="B2983" s="21" t="s">
        <v>7357</v>
      </c>
      <c r="C2983" s="21" t="s">
        <v>22655</v>
      </c>
      <c r="D2983" s="22">
        <v>46024</v>
      </c>
      <c r="E2983" s="23" t="s">
        <v>22656</v>
      </c>
      <c r="F2983" s="24" t="s">
        <v>22657</v>
      </c>
      <c r="G2983" s="25">
        <v>2</v>
      </c>
      <c r="H2983" s="29"/>
      <c r="I2983" s="30"/>
    </row>
    <row r="2984" spans="1:9" ht="15.75" thickBot="1" x14ac:dyDescent="0.3">
      <c r="A2984" s="43" t="s">
        <v>7358</v>
      </c>
      <c r="B2984" s="21" t="s">
        <v>7359</v>
      </c>
      <c r="C2984" s="21" t="s">
        <v>22655</v>
      </c>
      <c r="D2984" s="22">
        <v>46028</v>
      </c>
      <c r="E2984" s="23" t="s">
        <v>22656</v>
      </c>
      <c r="F2984" s="24" t="s">
        <v>22657</v>
      </c>
      <c r="G2984" s="25">
        <v>3</v>
      </c>
      <c r="H2984" s="26"/>
      <c r="I2984" s="27"/>
    </row>
    <row r="2985" spans="1:9" ht="15.75" thickBot="1" x14ac:dyDescent="0.3">
      <c r="A2985" s="43" t="s">
        <v>715</v>
      </c>
      <c r="B2985" s="21" t="s">
        <v>716</v>
      </c>
      <c r="C2985" s="21" t="s">
        <v>22667</v>
      </c>
      <c r="D2985" s="31" t="s">
        <v>22788</v>
      </c>
      <c r="E2985" s="23" t="s">
        <v>22662</v>
      </c>
      <c r="F2985" s="24" t="s">
        <v>22657</v>
      </c>
      <c r="G2985" s="25">
        <v>24</v>
      </c>
      <c r="H2985" s="32">
        <v>24</v>
      </c>
      <c r="I2985" s="33">
        <v>60</v>
      </c>
    </row>
    <row r="2986" spans="1:9" ht="15.75" thickBot="1" x14ac:dyDescent="0.3">
      <c r="A2986" s="43" t="s">
        <v>7360</v>
      </c>
      <c r="B2986" s="21" t="s">
        <v>7361</v>
      </c>
      <c r="C2986" s="21" t="s">
        <v>22663</v>
      </c>
      <c r="D2986" s="31">
        <v>1</v>
      </c>
      <c r="E2986" s="23" t="s">
        <v>22656</v>
      </c>
      <c r="F2986" s="24" t="s">
        <v>22657</v>
      </c>
      <c r="G2986" s="25">
        <v>4</v>
      </c>
      <c r="H2986" s="26"/>
      <c r="I2986" s="27"/>
    </row>
    <row r="2987" spans="1:9" ht="15.75" thickBot="1" x14ac:dyDescent="0.3">
      <c r="A2987" s="43" t="s">
        <v>7362</v>
      </c>
      <c r="B2987" s="21" t="s">
        <v>7363</v>
      </c>
      <c r="C2987" s="21" t="s">
        <v>22655</v>
      </c>
      <c r="D2987" s="22">
        <v>46028</v>
      </c>
      <c r="E2987" s="23" t="s">
        <v>22656</v>
      </c>
      <c r="F2987" s="24" t="s">
        <v>22657</v>
      </c>
      <c r="G2987" s="25">
        <v>12</v>
      </c>
      <c r="H2987" s="32">
        <v>12</v>
      </c>
      <c r="I2987" s="33">
        <v>18</v>
      </c>
    </row>
    <row r="2988" spans="1:9" ht="15.75" thickBot="1" x14ac:dyDescent="0.3">
      <c r="A2988" s="43" t="s">
        <v>7364</v>
      </c>
      <c r="B2988" s="21" t="s">
        <v>7365</v>
      </c>
      <c r="C2988" s="21" t="s">
        <v>22789</v>
      </c>
      <c r="D2988" s="31" t="s">
        <v>22788</v>
      </c>
      <c r="E2988" s="23" t="s">
        <v>22665</v>
      </c>
      <c r="F2988" s="24" t="s">
        <v>22657</v>
      </c>
      <c r="G2988" s="25">
        <v>5</v>
      </c>
      <c r="H2988" s="26"/>
      <c r="I2988" s="27"/>
    </row>
    <row r="2989" spans="1:9" ht="15.75" thickBot="1" x14ac:dyDescent="0.3">
      <c r="A2989" s="43" t="s">
        <v>7366</v>
      </c>
      <c r="B2989" s="21" t="s">
        <v>7367</v>
      </c>
      <c r="C2989" s="21" t="s">
        <v>22663</v>
      </c>
      <c r="D2989" s="31">
        <v>1</v>
      </c>
      <c r="E2989" s="23" t="s">
        <v>22656</v>
      </c>
      <c r="F2989" s="24" t="s">
        <v>22657</v>
      </c>
      <c r="G2989" s="25">
        <v>7</v>
      </c>
      <c r="H2989" s="29"/>
      <c r="I2989" s="30"/>
    </row>
    <row r="2990" spans="1:9" ht="15.75" thickBot="1" x14ac:dyDescent="0.3">
      <c r="A2990" s="43" t="s">
        <v>1795</v>
      </c>
      <c r="B2990" s="21" t="s">
        <v>1796</v>
      </c>
      <c r="C2990" s="21" t="s">
        <v>22655</v>
      </c>
      <c r="D2990" s="22">
        <v>46024</v>
      </c>
      <c r="E2990" s="23" t="s">
        <v>22656</v>
      </c>
      <c r="F2990" s="24" t="s">
        <v>22657</v>
      </c>
      <c r="G2990" s="25">
        <v>2</v>
      </c>
      <c r="H2990" s="34">
        <v>2</v>
      </c>
      <c r="I2990" s="35">
        <v>4</v>
      </c>
    </row>
    <row r="2991" spans="1:9" ht="15.75" thickBot="1" x14ac:dyDescent="0.3">
      <c r="A2991" s="43" t="s">
        <v>7368</v>
      </c>
      <c r="B2991" s="21" t="s">
        <v>7369</v>
      </c>
      <c r="C2991" s="21" t="s">
        <v>22663</v>
      </c>
      <c r="D2991" s="31">
        <v>1</v>
      </c>
      <c r="E2991" s="23" t="s">
        <v>22658</v>
      </c>
      <c r="F2991" s="24" t="s">
        <v>22657</v>
      </c>
      <c r="G2991" s="25">
        <v>4</v>
      </c>
      <c r="H2991" s="29"/>
      <c r="I2991" s="30"/>
    </row>
    <row r="2992" spans="1:9" ht="15.75" thickBot="1" x14ac:dyDescent="0.3">
      <c r="A2992" s="43" t="s">
        <v>7370</v>
      </c>
      <c r="B2992" s="21" t="s">
        <v>7371</v>
      </c>
      <c r="C2992" s="21" t="s">
        <v>22663</v>
      </c>
      <c r="D2992" s="31">
        <v>1</v>
      </c>
      <c r="E2992" s="23" t="s">
        <v>22658</v>
      </c>
      <c r="F2992" s="24" t="s">
        <v>22657</v>
      </c>
      <c r="G2992" s="25">
        <v>7</v>
      </c>
      <c r="H2992" s="26"/>
      <c r="I2992" s="27"/>
    </row>
    <row r="2993" spans="1:9" ht="15.75" thickBot="1" x14ac:dyDescent="0.3">
      <c r="A2993" s="43" t="s">
        <v>7372</v>
      </c>
      <c r="B2993" s="21" t="s">
        <v>7373</v>
      </c>
      <c r="C2993" s="21" t="s">
        <v>22655</v>
      </c>
      <c r="D2993" s="22">
        <v>46024</v>
      </c>
      <c r="E2993" s="23" t="s">
        <v>22658</v>
      </c>
      <c r="F2993" s="24" t="s">
        <v>22657</v>
      </c>
      <c r="G2993" s="25">
        <v>1</v>
      </c>
      <c r="H2993" s="29"/>
      <c r="I2993" s="30"/>
    </row>
    <row r="2994" spans="1:9" ht="15.75" thickBot="1" x14ac:dyDescent="0.3">
      <c r="A2994" s="43" t="s">
        <v>7374</v>
      </c>
      <c r="B2994" s="21" t="s">
        <v>7375</v>
      </c>
      <c r="C2994" s="21" t="s">
        <v>22655</v>
      </c>
      <c r="D2994" s="31" t="s">
        <v>22666</v>
      </c>
      <c r="E2994" s="23" t="s">
        <v>22661</v>
      </c>
      <c r="F2994" s="24" t="s">
        <v>22657</v>
      </c>
      <c r="G2994" s="25">
        <v>12</v>
      </c>
      <c r="H2994" s="34">
        <v>12</v>
      </c>
      <c r="I2994" s="35">
        <v>24</v>
      </c>
    </row>
    <row r="2995" spans="1:9" ht="15.75" thickBot="1" x14ac:dyDescent="0.3">
      <c r="A2995" s="43" t="s">
        <v>7376</v>
      </c>
      <c r="B2995" s="21" t="s">
        <v>7377</v>
      </c>
      <c r="C2995" s="21" t="s">
        <v>22663</v>
      </c>
      <c r="D2995" s="31">
        <v>1</v>
      </c>
      <c r="E2995" s="23" t="s">
        <v>22656</v>
      </c>
      <c r="F2995" s="24" t="s">
        <v>22657</v>
      </c>
      <c r="G2995" s="25">
        <v>7</v>
      </c>
      <c r="H2995" s="29"/>
      <c r="I2995" s="30"/>
    </row>
    <row r="2996" spans="1:9" ht="15.75" thickBot="1" x14ac:dyDescent="0.3">
      <c r="A2996" s="43" t="s">
        <v>767</v>
      </c>
      <c r="B2996" s="21" t="s">
        <v>768</v>
      </c>
      <c r="C2996" s="21" t="s">
        <v>22655</v>
      </c>
      <c r="D2996" s="22">
        <v>46024</v>
      </c>
      <c r="E2996" s="23" t="s">
        <v>22656</v>
      </c>
      <c r="F2996" s="24" t="s">
        <v>22657</v>
      </c>
      <c r="G2996" s="25">
        <v>2</v>
      </c>
      <c r="H2996" s="26"/>
      <c r="I2996" s="27"/>
    </row>
    <row r="2997" spans="1:9" ht="15.75" thickBot="1" x14ac:dyDescent="0.3">
      <c r="A2997" s="43" t="s">
        <v>7378</v>
      </c>
      <c r="B2997" s="21" t="s">
        <v>7379</v>
      </c>
      <c r="C2997" s="21" t="s">
        <v>22663</v>
      </c>
      <c r="D2997" s="31">
        <v>1</v>
      </c>
      <c r="E2997" s="23" t="s">
        <v>22656</v>
      </c>
      <c r="F2997" s="24" t="s">
        <v>22657</v>
      </c>
      <c r="G2997" s="25">
        <v>2</v>
      </c>
      <c r="H2997" s="29"/>
      <c r="I2997" s="30"/>
    </row>
    <row r="2998" spans="1:9" ht="15.75" thickBot="1" x14ac:dyDescent="0.3">
      <c r="A2998" s="43" t="s">
        <v>7380</v>
      </c>
      <c r="B2998" s="21" t="s">
        <v>7381</v>
      </c>
      <c r="C2998" s="21" t="s">
        <v>22655</v>
      </c>
      <c r="D2998" s="22">
        <v>46028</v>
      </c>
      <c r="E2998" s="23" t="s">
        <v>22656</v>
      </c>
      <c r="F2998" s="24" t="s">
        <v>22657</v>
      </c>
      <c r="G2998" s="25">
        <v>2</v>
      </c>
      <c r="H2998" s="26"/>
      <c r="I2998" s="27"/>
    </row>
    <row r="2999" spans="1:9" ht="15.75" thickBot="1" x14ac:dyDescent="0.3">
      <c r="A2999" s="43" t="s">
        <v>7382</v>
      </c>
      <c r="B2999" s="21" t="s">
        <v>7383</v>
      </c>
      <c r="C2999" s="21" t="s">
        <v>22667</v>
      </c>
      <c r="D2999" s="31" t="s">
        <v>22788</v>
      </c>
      <c r="E2999" s="23" t="s">
        <v>22665</v>
      </c>
      <c r="F2999" s="24" t="s">
        <v>22657</v>
      </c>
      <c r="G2999" s="25">
        <v>6</v>
      </c>
      <c r="H2999" s="29"/>
      <c r="I2999" s="30"/>
    </row>
    <row r="3000" spans="1:9" ht="15.75" thickBot="1" x14ac:dyDescent="0.3">
      <c r="A3000" s="43" t="s">
        <v>7384</v>
      </c>
      <c r="B3000" s="21" t="s">
        <v>7385</v>
      </c>
      <c r="C3000" s="21" t="s">
        <v>22663</v>
      </c>
      <c r="D3000" s="31">
        <v>1</v>
      </c>
      <c r="E3000" s="23" t="s">
        <v>22656</v>
      </c>
      <c r="F3000" s="24" t="s">
        <v>22657</v>
      </c>
      <c r="G3000" s="25">
        <v>7</v>
      </c>
      <c r="H3000" s="26"/>
      <c r="I3000" s="27"/>
    </row>
    <row r="3001" spans="1:9" ht="15.75" thickBot="1" x14ac:dyDescent="0.3">
      <c r="A3001" s="43" t="s">
        <v>7386</v>
      </c>
      <c r="B3001" s="21" t="s">
        <v>7387</v>
      </c>
      <c r="C3001" s="21" t="s">
        <v>22655</v>
      </c>
      <c r="D3001" s="22">
        <v>46024</v>
      </c>
      <c r="E3001" s="23" t="s">
        <v>22656</v>
      </c>
      <c r="F3001" s="24" t="s">
        <v>22657</v>
      </c>
      <c r="G3001" s="25">
        <v>2</v>
      </c>
      <c r="H3001" s="29"/>
      <c r="I3001" s="30"/>
    </row>
    <row r="3002" spans="1:9" ht="15.75" thickBot="1" x14ac:dyDescent="0.3">
      <c r="A3002" s="43" t="s">
        <v>7388</v>
      </c>
      <c r="B3002" s="21" t="s">
        <v>7389</v>
      </c>
      <c r="C3002" s="21" t="s">
        <v>22663</v>
      </c>
      <c r="D3002" s="31">
        <v>1</v>
      </c>
      <c r="E3002" s="23" t="s">
        <v>22656</v>
      </c>
      <c r="F3002" s="24" t="s">
        <v>22657</v>
      </c>
      <c r="G3002" s="25">
        <v>4</v>
      </c>
      <c r="H3002" s="26"/>
      <c r="I3002" s="27"/>
    </row>
    <row r="3003" spans="1:9" ht="15.75" thickBot="1" x14ac:dyDescent="0.3">
      <c r="A3003" s="43" t="s">
        <v>7390</v>
      </c>
      <c r="B3003" s="21" t="s">
        <v>7391</v>
      </c>
      <c r="C3003" s="21" t="s">
        <v>22655</v>
      </c>
      <c r="D3003" s="22">
        <v>46028</v>
      </c>
      <c r="E3003" s="23" t="s">
        <v>22656</v>
      </c>
      <c r="F3003" s="24" t="s">
        <v>22657</v>
      </c>
      <c r="G3003" s="25">
        <v>6</v>
      </c>
      <c r="H3003" s="32">
        <v>6</v>
      </c>
      <c r="I3003" s="33">
        <v>12</v>
      </c>
    </row>
    <row r="3004" spans="1:9" ht="15.75" thickBot="1" x14ac:dyDescent="0.3">
      <c r="A3004" s="43" t="s">
        <v>7392</v>
      </c>
      <c r="B3004" s="21" t="s">
        <v>7393</v>
      </c>
      <c r="C3004" s="21" t="s">
        <v>22789</v>
      </c>
      <c r="D3004" s="31" t="s">
        <v>22788</v>
      </c>
      <c r="E3004" s="23" t="s">
        <v>22661</v>
      </c>
      <c r="F3004" s="24" t="s">
        <v>22657</v>
      </c>
      <c r="G3004" s="25">
        <v>4</v>
      </c>
      <c r="H3004" s="26"/>
      <c r="I3004" s="27"/>
    </row>
    <row r="3005" spans="1:9" ht="15.75" thickBot="1" x14ac:dyDescent="0.3">
      <c r="A3005" s="43" t="s">
        <v>7394</v>
      </c>
      <c r="B3005" s="21" t="s">
        <v>7395</v>
      </c>
      <c r="C3005" s="21" t="s">
        <v>22663</v>
      </c>
      <c r="D3005" s="31">
        <v>1</v>
      </c>
      <c r="E3005" s="23" t="s">
        <v>22656</v>
      </c>
      <c r="F3005" s="24" t="s">
        <v>22657</v>
      </c>
      <c r="G3005" s="25">
        <v>7</v>
      </c>
      <c r="H3005" s="29"/>
      <c r="I3005" s="30"/>
    </row>
    <row r="3006" spans="1:9" ht="15.75" thickBot="1" x14ac:dyDescent="0.3">
      <c r="A3006" s="43" t="s">
        <v>1851</v>
      </c>
      <c r="B3006" s="21" t="s">
        <v>1852</v>
      </c>
      <c r="C3006" s="21" t="s">
        <v>22655</v>
      </c>
      <c r="D3006" s="22">
        <v>46024</v>
      </c>
      <c r="E3006" s="23" t="s">
        <v>22656</v>
      </c>
      <c r="F3006" s="24" t="s">
        <v>22657</v>
      </c>
      <c r="G3006" s="25">
        <v>2</v>
      </c>
      <c r="H3006" s="26"/>
      <c r="I3006" s="27"/>
    </row>
    <row r="3007" spans="1:9" ht="15.75" thickBot="1" x14ac:dyDescent="0.3">
      <c r="A3007" s="43" t="s">
        <v>7396</v>
      </c>
      <c r="B3007" s="21" t="s">
        <v>7397</v>
      </c>
      <c r="C3007" s="21" t="s">
        <v>22663</v>
      </c>
      <c r="D3007" s="31">
        <v>1</v>
      </c>
      <c r="E3007" s="23" t="s">
        <v>22656</v>
      </c>
      <c r="F3007" s="24" t="s">
        <v>22657</v>
      </c>
      <c r="G3007" s="25">
        <v>4</v>
      </c>
      <c r="H3007" s="29"/>
      <c r="I3007" s="30"/>
    </row>
    <row r="3008" spans="1:9" ht="15.75" thickBot="1" x14ac:dyDescent="0.3">
      <c r="A3008" s="43" t="s">
        <v>7398</v>
      </c>
      <c r="B3008" s="21" t="s">
        <v>7399</v>
      </c>
      <c r="C3008" s="21" t="s">
        <v>22663</v>
      </c>
      <c r="D3008" s="31">
        <v>1</v>
      </c>
      <c r="E3008" s="23" t="s">
        <v>22656</v>
      </c>
      <c r="F3008" s="24" t="s">
        <v>22657</v>
      </c>
      <c r="G3008" s="25">
        <v>7</v>
      </c>
      <c r="H3008" s="26"/>
      <c r="I3008" s="27"/>
    </row>
    <row r="3009" spans="1:9" ht="15.75" thickBot="1" x14ac:dyDescent="0.3">
      <c r="A3009" s="43" t="s">
        <v>1235</v>
      </c>
      <c r="B3009" s="21" t="s">
        <v>1236</v>
      </c>
      <c r="C3009" s="21" t="s">
        <v>22655</v>
      </c>
      <c r="D3009" s="22">
        <v>46024</v>
      </c>
      <c r="E3009" s="23" t="s">
        <v>22656</v>
      </c>
      <c r="F3009" s="24" t="s">
        <v>22657</v>
      </c>
      <c r="G3009" s="25">
        <v>3</v>
      </c>
      <c r="H3009" s="32">
        <v>3</v>
      </c>
      <c r="I3009" s="33">
        <v>4</v>
      </c>
    </row>
    <row r="3010" spans="1:9" ht="15.75" thickBot="1" x14ac:dyDescent="0.3">
      <c r="A3010" s="43" t="s">
        <v>7400</v>
      </c>
      <c r="B3010" s="21" t="s">
        <v>7401</v>
      </c>
      <c r="C3010" s="21" t="s">
        <v>22663</v>
      </c>
      <c r="D3010" s="31">
        <v>1</v>
      </c>
      <c r="E3010" s="23" t="s">
        <v>22658</v>
      </c>
      <c r="F3010" s="24" t="s">
        <v>22657</v>
      </c>
      <c r="G3010" s="25">
        <v>4</v>
      </c>
      <c r="H3010" s="26"/>
      <c r="I3010" s="27"/>
    </row>
    <row r="3011" spans="1:9" ht="15.75" thickBot="1" x14ac:dyDescent="0.3">
      <c r="A3011" s="43" t="s">
        <v>7402</v>
      </c>
      <c r="B3011" s="21" t="s">
        <v>7403</v>
      </c>
      <c r="C3011" s="21" t="s">
        <v>22663</v>
      </c>
      <c r="D3011" s="31">
        <v>1</v>
      </c>
      <c r="E3011" s="23" t="s">
        <v>22656</v>
      </c>
      <c r="F3011" s="24" t="s">
        <v>22657</v>
      </c>
      <c r="G3011" s="25">
        <v>7</v>
      </c>
      <c r="H3011" s="29"/>
      <c r="I3011" s="30"/>
    </row>
    <row r="3012" spans="1:9" ht="15.75" thickBot="1" x14ac:dyDescent="0.3">
      <c r="A3012" s="43" t="s">
        <v>7404</v>
      </c>
      <c r="B3012" s="21" t="s">
        <v>7405</v>
      </c>
      <c r="C3012" s="21" t="s">
        <v>22655</v>
      </c>
      <c r="D3012" s="22">
        <v>46024</v>
      </c>
      <c r="E3012" s="23" t="s">
        <v>22656</v>
      </c>
      <c r="F3012" s="24" t="s">
        <v>22657</v>
      </c>
      <c r="G3012" s="25">
        <v>2</v>
      </c>
      <c r="H3012" s="26"/>
      <c r="I3012" s="27"/>
    </row>
    <row r="3013" spans="1:9" ht="15.75" thickBot="1" x14ac:dyDescent="0.3">
      <c r="A3013" s="43" t="s">
        <v>7406</v>
      </c>
      <c r="B3013" s="21" t="s">
        <v>7407</v>
      </c>
      <c r="C3013" s="21" t="s">
        <v>22655</v>
      </c>
      <c r="D3013" s="22">
        <v>46028</v>
      </c>
      <c r="E3013" s="23" t="s">
        <v>22656</v>
      </c>
      <c r="F3013" s="24" t="s">
        <v>22657</v>
      </c>
      <c r="G3013" s="25">
        <v>2</v>
      </c>
      <c r="H3013" s="29"/>
      <c r="I3013" s="30"/>
    </row>
    <row r="3014" spans="1:9" ht="15.75" thickBot="1" x14ac:dyDescent="0.3">
      <c r="A3014" s="43" t="s">
        <v>7408</v>
      </c>
      <c r="B3014" s="21" t="s">
        <v>7409</v>
      </c>
      <c r="C3014" s="21" t="s">
        <v>22667</v>
      </c>
      <c r="D3014" s="31" t="s">
        <v>22788</v>
      </c>
      <c r="E3014" s="23" t="s">
        <v>22665</v>
      </c>
      <c r="F3014" s="24" t="s">
        <v>22657</v>
      </c>
      <c r="G3014" s="25">
        <v>6</v>
      </c>
      <c r="H3014" s="26"/>
      <c r="I3014" s="27"/>
    </row>
    <row r="3015" spans="1:9" ht="15.75" thickBot="1" x14ac:dyDescent="0.3">
      <c r="A3015" s="43" t="s">
        <v>7410</v>
      </c>
      <c r="B3015" s="21" t="s">
        <v>7411</v>
      </c>
      <c r="C3015" s="21" t="s">
        <v>22655</v>
      </c>
      <c r="D3015" s="22">
        <v>46028</v>
      </c>
      <c r="E3015" s="23" t="s">
        <v>22656</v>
      </c>
      <c r="F3015" s="24" t="s">
        <v>22657</v>
      </c>
      <c r="G3015" s="25">
        <v>2</v>
      </c>
      <c r="H3015" s="29"/>
      <c r="I3015" s="30"/>
    </row>
    <row r="3016" spans="1:9" ht="15.75" thickBot="1" x14ac:dyDescent="0.3">
      <c r="A3016" s="43" t="s">
        <v>7412</v>
      </c>
      <c r="B3016" s="21" t="s">
        <v>7413</v>
      </c>
      <c r="C3016" s="21" t="s">
        <v>22663</v>
      </c>
      <c r="D3016" s="31">
        <v>1</v>
      </c>
      <c r="E3016" s="23" t="s">
        <v>22656</v>
      </c>
      <c r="F3016" s="24" t="s">
        <v>22657</v>
      </c>
      <c r="G3016" s="25">
        <v>4</v>
      </c>
      <c r="H3016" s="26"/>
      <c r="I3016" s="27"/>
    </row>
    <row r="3017" spans="1:9" ht="15.75" thickBot="1" x14ac:dyDescent="0.3">
      <c r="A3017" s="43" t="s">
        <v>7414</v>
      </c>
      <c r="B3017" s="21" t="s">
        <v>7415</v>
      </c>
      <c r="C3017" s="21" t="s">
        <v>22655</v>
      </c>
      <c r="D3017" s="22">
        <v>46028</v>
      </c>
      <c r="E3017" s="23" t="s">
        <v>22656</v>
      </c>
      <c r="F3017" s="24" t="s">
        <v>22657</v>
      </c>
      <c r="G3017" s="25">
        <v>2</v>
      </c>
      <c r="H3017" s="29"/>
      <c r="I3017" s="30"/>
    </row>
    <row r="3018" spans="1:9" ht="15.75" thickBot="1" x14ac:dyDescent="0.3">
      <c r="A3018" s="43" t="s">
        <v>7416</v>
      </c>
      <c r="B3018" s="21" t="s">
        <v>7417</v>
      </c>
      <c r="C3018" s="21" t="s">
        <v>22667</v>
      </c>
      <c r="D3018" s="31" t="s">
        <v>22788</v>
      </c>
      <c r="E3018" s="23" t="s">
        <v>22661</v>
      </c>
      <c r="F3018" s="24" t="s">
        <v>22657</v>
      </c>
      <c r="G3018" s="25">
        <v>4</v>
      </c>
      <c r="H3018" s="26"/>
      <c r="I3018" s="27"/>
    </row>
    <row r="3019" spans="1:9" ht="15.75" thickBot="1" x14ac:dyDescent="0.3">
      <c r="A3019" s="43" t="s">
        <v>7418</v>
      </c>
      <c r="B3019" s="21" t="s">
        <v>7419</v>
      </c>
      <c r="C3019" s="21" t="s">
        <v>22663</v>
      </c>
      <c r="D3019" s="31">
        <v>1</v>
      </c>
      <c r="E3019" s="23" t="s">
        <v>22656</v>
      </c>
      <c r="F3019" s="24" t="s">
        <v>22657</v>
      </c>
      <c r="G3019" s="25">
        <v>7</v>
      </c>
      <c r="H3019" s="29"/>
      <c r="I3019" s="30"/>
    </row>
    <row r="3020" spans="1:9" ht="15.75" thickBot="1" x14ac:dyDescent="0.3">
      <c r="A3020" s="43" t="s">
        <v>7420</v>
      </c>
      <c r="B3020" s="21" t="s">
        <v>7421</v>
      </c>
      <c r="C3020" s="21" t="s">
        <v>22655</v>
      </c>
      <c r="D3020" s="22">
        <v>46024</v>
      </c>
      <c r="E3020" s="23" t="s">
        <v>22656</v>
      </c>
      <c r="F3020" s="24" t="s">
        <v>22657</v>
      </c>
      <c r="G3020" s="25">
        <v>1</v>
      </c>
      <c r="H3020" s="34">
        <v>1</v>
      </c>
      <c r="I3020" s="35">
        <v>2</v>
      </c>
    </row>
    <row r="3021" spans="1:9" ht="15.75" thickBot="1" x14ac:dyDescent="0.3">
      <c r="A3021" s="43" t="s">
        <v>35</v>
      </c>
      <c r="B3021" s="21" t="s">
        <v>36</v>
      </c>
      <c r="C3021" s="21" t="s">
        <v>22709</v>
      </c>
      <c r="D3021" s="31">
        <v>1</v>
      </c>
      <c r="E3021" s="23" t="s">
        <v>22656</v>
      </c>
      <c r="F3021" s="24" t="s">
        <v>22657</v>
      </c>
      <c r="G3021" s="25">
        <v>3</v>
      </c>
      <c r="H3021" s="32">
        <v>3</v>
      </c>
      <c r="I3021" s="33">
        <v>6</v>
      </c>
    </row>
    <row r="3022" spans="1:9" ht="15.75" thickBot="1" x14ac:dyDescent="0.3">
      <c r="A3022" s="43" t="s">
        <v>7422</v>
      </c>
      <c r="B3022" s="21" t="s">
        <v>7423</v>
      </c>
      <c r="C3022" s="21" t="s">
        <v>22663</v>
      </c>
      <c r="D3022" s="31">
        <v>1</v>
      </c>
      <c r="E3022" s="23" t="s">
        <v>22656</v>
      </c>
      <c r="F3022" s="24" t="s">
        <v>22657</v>
      </c>
      <c r="G3022" s="25">
        <v>4</v>
      </c>
      <c r="H3022" s="26"/>
      <c r="I3022" s="27"/>
    </row>
    <row r="3023" spans="1:9" ht="15.75" thickBot="1" x14ac:dyDescent="0.3">
      <c r="A3023" s="43" t="s">
        <v>7424</v>
      </c>
      <c r="B3023" s="21" t="s">
        <v>7425</v>
      </c>
      <c r="C3023" s="21" t="s">
        <v>22655</v>
      </c>
      <c r="D3023" s="22">
        <v>46024</v>
      </c>
      <c r="E3023" s="23" t="s">
        <v>22658</v>
      </c>
      <c r="F3023" s="28" t="s">
        <v>22659</v>
      </c>
      <c r="G3023" s="25">
        <v>1</v>
      </c>
      <c r="H3023" s="29"/>
      <c r="I3023" s="30"/>
    </row>
    <row r="3024" spans="1:9" ht="15.75" thickBot="1" x14ac:dyDescent="0.3">
      <c r="A3024" s="43" t="s">
        <v>639</v>
      </c>
      <c r="B3024" s="21" t="s">
        <v>640</v>
      </c>
      <c r="C3024" s="21" t="s">
        <v>22663</v>
      </c>
      <c r="D3024" s="31">
        <v>1</v>
      </c>
      <c r="E3024" s="23" t="s">
        <v>22665</v>
      </c>
      <c r="F3024" s="24" t="s">
        <v>22657</v>
      </c>
      <c r="G3024" s="25">
        <v>20</v>
      </c>
      <c r="H3024" s="34">
        <v>20</v>
      </c>
      <c r="I3024" s="35">
        <v>36</v>
      </c>
    </row>
    <row r="3025" spans="1:9" ht="15.75" thickBot="1" x14ac:dyDescent="0.3">
      <c r="A3025" s="43" t="s">
        <v>803</v>
      </c>
      <c r="B3025" s="21" t="s">
        <v>804</v>
      </c>
      <c r="C3025" s="21" t="s">
        <v>22663</v>
      </c>
      <c r="D3025" s="31">
        <v>1</v>
      </c>
      <c r="E3025" s="23" t="s">
        <v>22662</v>
      </c>
      <c r="F3025" s="24" t="s">
        <v>22657</v>
      </c>
      <c r="G3025" s="25">
        <v>24</v>
      </c>
      <c r="H3025" s="32">
        <v>24</v>
      </c>
      <c r="I3025" s="33">
        <v>60</v>
      </c>
    </row>
    <row r="3026" spans="1:9" ht="15.75" thickBot="1" x14ac:dyDescent="0.3">
      <c r="A3026" s="43" t="s">
        <v>7426</v>
      </c>
      <c r="B3026" s="21" t="s">
        <v>7427</v>
      </c>
      <c r="C3026" s="21" t="s">
        <v>22663</v>
      </c>
      <c r="D3026" s="31">
        <v>1</v>
      </c>
      <c r="E3026" s="23" t="s">
        <v>22665</v>
      </c>
      <c r="F3026" s="24" t="s">
        <v>22657</v>
      </c>
      <c r="G3026" s="25">
        <v>14</v>
      </c>
      <c r="H3026" s="26"/>
      <c r="I3026" s="27"/>
    </row>
    <row r="3027" spans="1:9" ht="15.75" thickBot="1" x14ac:dyDescent="0.3">
      <c r="A3027" s="43" t="s">
        <v>7428</v>
      </c>
      <c r="B3027" s="21" t="s">
        <v>7429</v>
      </c>
      <c r="C3027" s="21" t="s">
        <v>22663</v>
      </c>
      <c r="D3027" s="31">
        <v>1</v>
      </c>
      <c r="E3027" s="23" t="s">
        <v>22661</v>
      </c>
      <c r="F3027" s="24" t="s">
        <v>22657</v>
      </c>
      <c r="G3027" s="25">
        <v>4</v>
      </c>
      <c r="H3027" s="29"/>
      <c r="I3027" s="30"/>
    </row>
    <row r="3028" spans="1:9" ht="15.75" thickBot="1" x14ac:dyDescent="0.3">
      <c r="A3028" s="43" t="s">
        <v>7430</v>
      </c>
      <c r="B3028" s="21" t="s">
        <v>7431</v>
      </c>
      <c r="C3028" s="21" t="s">
        <v>22655</v>
      </c>
      <c r="D3028" s="22">
        <v>46024</v>
      </c>
      <c r="E3028" s="23" t="s">
        <v>22658</v>
      </c>
      <c r="F3028" s="28" t="s">
        <v>22659</v>
      </c>
      <c r="G3028" s="25">
        <v>1</v>
      </c>
      <c r="H3028" s="26"/>
      <c r="I3028" s="27"/>
    </row>
    <row r="3029" spans="1:9" ht="15.75" thickBot="1" x14ac:dyDescent="0.3">
      <c r="A3029" s="43" t="s">
        <v>7432</v>
      </c>
      <c r="B3029" s="21" t="s">
        <v>7433</v>
      </c>
      <c r="C3029" s="21" t="s">
        <v>22663</v>
      </c>
      <c r="D3029" s="31">
        <v>1</v>
      </c>
      <c r="E3029" s="23" t="s">
        <v>22656</v>
      </c>
      <c r="F3029" s="24" t="s">
        <v>22657</v>
      </c>
      <c r="G3029" s="25">
        <v>4</v>
      </c>
      <c r="H3029" s="29"/>
      <c r="I3029" s="30"/>
    </row>
    <row r="3030" spans="1:9" ht="15.75" thickBot="1" x14ac:dyDescent="0.3">
      <c r="A3030" s="43" t="s">
        <v>7434</v>
      </c>
      <c r="B3030" s="21" t="s">
        <v>7435</v>
      </c>
      <c r="C3030" s="21" t="s">
        <v>22655</v>
      </c>
      <c r="D3030" s="22">
        <v>46024</v>
      </c>
      <c r="E3030" s="23" t="s">
        <v>22658</v>
      </c>
      <c r="F3030" s="28" t="s">
        <v>22659</v>
      </c>
      <c r="G3030" s="25">
        <v>1</v>
      </c>
      <c r="H3030" s="26"/>
      <c r="I3030" s="27"/>
    </row>
    <row r="3031" spans="1:9" ht="15.75" thickBot="1" x14ac:dyDescent="0.3">
      <c r="A3031" s="43" t="s">
        <v>7436</v>
      </c>
      <c r="B3031" s="21" t="s">
        <v>7437</v>
      </c>
      <c r="C3031" s="21" t="s">
        <v>22663</v>
      </c>
      <c r="D3031" s="31">
        <v>1</v>
      </c>
      <c r="E3031" s="23" t="s">
        <v>22656</v>
      </c>
      <c r="F3031" s="24" t="s">
        <v>22657</v>
      </c>
      <c r="G3031" s="25">
        <v>4</v>
      </c>
      <c r="H3031" s="29"/>
      <c r="I3031" s="30"/>
    </row>
    <row r="3032" spans="1:9" ht="15.75" thickBot="1" x14ac:dyDescent="0.3">
      <c r="A3032" s="43" t="s">
        <v>7438</v>
      </c>
      <c r="B3032" s="21" t="s">
        <v>7439</v>
      </c>
      <c r="C3032" s="21" t="s">
        <v>22655</v>
      </c>
      <c r="D3032" s="22">
        <v>46024</v>
      </c>
      <c r="E3032" s="23" t="s">
        <v>22658</v>
      </c>
      <c r="F3032" s="28" t="s">
        <v>22659</v>
      </c>
      <c r="G3032" s="25">
        <v>1</v>
      </c>
      <c r="H3032" s="26"/>
      <c r="I3032" s="27"/>
    </row>
    <row r="3033" spans="1:9" ht="15.75" thickBot="1" x14ac:dyDescent="0.3">
      <c r="A3033" s="43" t="s">
        <v>7440</v>
      </c>
      <c r="B3033" s="21" t="s">
        <v>7441</v>
      </c>
      <c r="C3033" s="21" t="s">
        <v>22663</v>
      </c>
      <c r="D3033" s="31">
        <v>1</v>
      </c>
      <c r="E3033" s="23" t="s">
        <v>22656</v>
      </c>
      <c r="F3033" s="24" t="s">
        <v>22657</v>
      </c>
      <c r="G3033" s="25">
        <v>4</v>
      </c>
      <c r="H3033" s="29"/>
      <c r="I3033" s="30"/>
    </row>
    <row r="3034" spans="1:9" ht="15.75" thickBot="1" x14ac:dyDescent="0.3">
      <c r="A3034" s="43" t="s">
        <v>7442</v>
      </c>
      <c r="B3034" s="21" t="s">
        <v>7443</v>
      </c>
      <c r="C3034" s="21" t="s">
        <v>22655</v>
      </c>
      <c r="D3034" s="22">
        <v>46024</v>
      </c>
      <c r="E3034" s="23" t="s">
        <v>22658</v>
      </c>
      <c r="F3034" s="28" t="s">
        <v>22659</v>
      </c>
      <c r="G3034" s="25">
        <v>1</v>
      </c>
      <c r="H3034" s="26"/>
      <c r="I3034" s="27"/>
    </row>
    <row r="3035" spans="1:9" ht="15.75" thickBot="1" x14ac:dyDescent="0.3">
      <c r="A3035" s="43" t="s">
        <v>7444</v>
      </c>
      <c r="B3035" s="21" t="s">
        <v>7445</v>
      </c>
      <c r="C3035" s="21" t="s">
        <v>22663</v>
      </c>
      <c r="D3035" s="31">
        <v>1</v>
      </c>
      <c r="E3035" s="23" t="s">
        <v>22656</v>
      </c>
      <c r="F3035" s="24" t="s">
        <v>22657</v>
      </c>
      <c r="G3035" s="25">
        <v>4</v>
      </c>
      <c r="H3035" s="29"/>
      <c r="I3035" s="30"/>
    </row>
    <row r="3036" spans="1:9" ht="15.75" thickBot="1" x14ac:dyDescent="0.3">
      <c r="A3036" s="43" t="s">
        <v>7446</v>
      </c>
      <c r="B3036" s="21" t="s">
        <v>7447</v>
      </c>
      <c r="C3036" s="21" t="s">
        <v>22655</v>
      </c>
      <c r="D3036" s="22">
        <v>46024</v>
      </c>
      <c r="E3036" s="23" t="s">
        <v>22658</v>
      </c>
      <c r="F3036" s="28" t="s">
        <v>22659</v>
      </c>
      <c r="G3036" s="25">
        <v>1</v>
      </c>
      <c r="H3036" s="26"/>
      <c r="I3036" s="27"/>
    </row>
    <row r="3037" spans="1:9" ht="15.75" thickBot="1" x14ac:dyDescent="0.3">
      <c r="A3037" s="43" t="s">
        <v>7448</v>
      </c>
      <c r="B3037" s="21" t="s">
        <v>7449</v>
      </c>
      <c r="C3037" s="21" t="s">
        <v>22663</v>
      </c>
      <c r="D3037" s="31">
        <v>1</v>
      </c>
      <c r="E3037" s="23" t="s">
        <v>22656</v>
      </c>
      <c r="F3037" s="24" t="s">
        <v>22657</v>
      </c>
      <c r="G3037" s="25">
        <v>4</v>
      </c>
      <c r="H3037" s="29"/>
      <c r="I3037" s="30"/>
    </row>
    <row r="3038" spans="1:9" ht="15.75" thickBot="1" x14ac:dyDescent="0.3">
      <c r="A3038" s="43" t="s">
        <v>7450</v>
      </c>
      <c r="B3038" s="21" t="s">
        <v>7451</v>
      </c>
      <c r="C3038" s="21" t="s">
        <v>22655</v>
      </c>
      <c r="D3038" s="22">
        <v>46024</v>
      </c>
      <c r="E3038" s="23" t="s">
        <v>22658</v>
      </c>
      <c r="F3038" s="28" t="s">
        <v>22659</v>
      </c>
      <c r="G3038" s="25">
        <v>1</v>
      </c>
      <c r="H3038" s="26"/>
      <c r="I3038" s="27"/>
    </row>
    <row r="3039" spans="1:9" ht="15.75" thickBot="1" x14ac:dyDescent="0.3">
      <c r="A3039" s="43" t="s">
        <v>7452</v>
      </c>
      <c r="B3039" s="21" t="s">
        <v>7453</v>
      </c>
      <c r="C3039" s="21" t="s">
        <v>22663</v>
      </c>
      <c r="D3039" s="31">
        <v>1</v>
      </c>
      <c r="E3039" s="23" t="s">
        <v>22656</v>
      </c>
      <c r="F3039" s="24" t="s">
        <v>22657</v>
      </c>
      <c r="G3039" s="25">
        <v>4</v>
      </c>
      <c r="H3039" s="29"/>
      <c r="I3039" s="30"/>
    </row>
    <row r="3040" spans="1:9" ht="15.75" thickBot="1" x14ac:dyDescent="0.3">
      <c r="A3040" s="43" t="s">
        <v>7454</v>
      </c>
      <c r="B3040" s="21" t="s">
        <v>7455</v>
      </c>
      <c r="C3040" s="21" t="s">
        <v>22655</v>
      </c>
      <c r="D3040" s="22">
        <v>46024</v>
      </c>
      <c r="E3040" s="23" t="s">
        <v>22658</v>
      </c>
      <c r="F3040" s="28" t="s">
        <v>22659</v>
      </c>
      <c r="G3040" s="25">
        <v>1</v>
      </c>
      <c r="H3040" s="26"/>
      <c r="I3040" s="27"/>
    </row>
    <row r="3041" spans="1:9" ht="15.75" thickBot="1" x14ac:dyDescent="0.3">
      <c r="A3041" s="43" t="s">
        <v>7456</v>
      </c>
      <c r="B3041" s="21" t="s">
        <v>7457</v>
      </c>
      <c r="C3041" s="21" t="s">
        <v>22663</v>
      </c>
      <c r="D3041" s="31">
        <v>1</v>
      </c>
      <c r="E3041" s="23" t="s">
        <v>22656</v>
      </c>
      <c r="F3041" s="24" t="s">
        <v>22657</v>
      </c>
      <c r="G3041" s="25">
        <v>4</v>
      </c>
      <c r="H3041" s="29"/>
      <c r="I3041" s="30"/>
    </row>
    <row r="3042" spans="1:9" ht="15.75" thickBot="1" x14ac:dyDescent="0.3">
      <c r="A3042" s="43" t="s">
        <v>7458</v>
      </c>
      <c r="B3042" s="21" t="s">
        <v>7459</v>
      </c>
      <c r="C3042" s="21" t="s">
        <v>22790</v>
      </c>
      <c r="D3042" s="22">
        <v>46024</v>
      </c>
      <c r="E3042" s="23" t="s">
        <v>22658</v>
      </c>
      <c r="F3042" s="28" t="s">
        <v>22659</v>
      </c>
      <c r="G3042" s="25">
        <v>1</v>
      </c>
      <c r="H3042" s="26"/>
      <c r="I3042" s="27"/>
    </row>
    <row r="3043" spans="1:9" ht="15.75" thickBot="1" x14ac:dyDescent="0.3">
      <c r="A3043" s="43" t="s">
        <v>7460</v>
      </c>
      <c r="B3043" s="21" t="s">
        <v>7461</v>
      </c>
      <c r="C3043" s="21" t="s">
        <v>22663</v>
      </c>
      <c r="D3043" s="31">
        <v>1</v>
      </c>
      <c r="E3043" s="23" t="s">
        <v>22656</v>
      </c>
      <c r="F3043" s="24" t="s">
        <v>22657</v>
      </c>
      <c r="G3043" s="25">
        <v>4</v>
      </c>
      <c r="H3043" s="29"/>
      <c r="I3043" s="30"/>
    </row>
    <row r="3044" spans="1:9" ht="15.75" thickBot="1" x14ac:dyDescent="0.3">
      <c r="A3044" s="43" t="s">
        <v>7462</v>
      </c>
      <c r="B3044" s="21" t="s">
        <v>7463</v>
      </c>
      <c r="C3044" s="21" t="s">
        <v>22655</v>
      </c>
      <c r="D3044" s="22">
        <v>46024</v>
      </c>
      <c r="E3044" s="23" t="s">
        <v>22658</v>
      </c>
      <c r="F3044" s="28" t="s">
        <v>22659</v>
      </c>
      <c r="G3044" s="25">
        <v>1</v>
      </c>
      <c r="H3044" s="26"/>
      <c r="I3044" s="27"/>
    </row>
    <row r="3045" spans="1:9" ht="15.75" thickBot="1" x14ac:dyDescent="0.3">
      <c r="A3045" s="43" t="s">
        <v>7466</v>
      </c>
      <c r="B3045" s="21" t="s">
        <v>7467</v>
      </c>
      <c r="C3045" s="21" t="s">
        <v>22655</v>
      </c>
      <c r="D3045" s="31" t="s">
        <v>22660</v>
      </c>
      <c r="E3045" s="23" t="s">
        <v>22656</v>
      </c>
      <c r="F3045" s="24" t="s">
        <v>22657</v>
      </c>
      <c r="G3045" s="25">
        <v>8</v>
      </c>
      <c r="H3045" s="29"/>
      <c r="I3045" s="30"/>
    </row>
    <row r="3046" spans="1:9" ht="15.75" thickBot="1" x14ac:dyDescent="0.3">
      <c r="A3046" s="43" t="s">
        <v>1301</v>
      </c>
      <c r="B3046" s="21" t="s">
        <v>1302</v>
      </c>
      <c r="C3046" s="21" t="s">
        <v>22655</v>
      </c>
      <c r="D3046" s="31" t="s">
        <v>22660</v>
      </c>
      <c r="E3046" s="23" t="s">
        <v>22665</v>
      </c>
      <c r="F3046" s="24" t="s">
        <v>22657</v>
      </c>
      <c r="G3046" s="25">
        <v>12</v>
      </c>
      <c r="H3046" s="34">
        <v>12</v>
      </c>
      <c r="I3046" s="35">
        <v>24</v>
      </c>
    </row>
    <row r="3047" spans="1:9" ht="15.75" thickBot="1" x14ac:dyDescent="0.3">
      <c r="A3047" s="43" t="s">
        <v>7468</v>
      </c>
      <c r="B3047" s="21" t="s">
        <v>7469</v>
      </c>
      <c r="C3047" s="21" t="s">
        <v>22655</v>
      </c>
      <c r="D3047" s="31" t="s">
        <v>22660</v>
      </c>
      <c r="E3047" s="23" t="s">
        <v>22656</v>
      </c>
      <c r="F3047" s="24" t="s">
        <v>22657</v>
      </c>
      <c r="G3047" s="25">
        <v>12</v>
      </c>
      <c r="H3047" s="32">
        <v>12</v>
      </c>
      <c r="I3047" s="33">
        <v>24</v>
      </c>
    </row>
    <row r="3048" spans="1:9" ht="15.75" thickBot="1" x14ac:dyDescent="0.3">
      <c r="A3048" s="43" t="s">
        <v>7470</v>
      </c>
      <c r="B3048" s="21" t="s">
        <v>7471</v>
      </c>
      <c r="C3048" s="21" t="s">
        <v>22655</v>
      </c>
      <c r="D3048" s="22">
        <v>46030</v>
      </c>
      <c r="E3048" s="23" t="s">
        <v>22658</v>
      </c>
      <c r="F3048" s="24" t="s">
        <v>22657</v>
      </c>
      <c r="G3048" s="25">
        <v>3</v>
      </c>
      <c r="H3048" s="26"/>
      <c r="I3048" s="27"/>
    </row>
    <row r="3049" spans="1:9" ht="15.75" thickBot="1" x14ac:dyDescent="0.3">
      <c r="A3049" s="43" t="s">
        <v>7472</v>
      </c>
      <c r="B3049" s="21" t="s">
        <v>7473</v>
      </c>
      <c r="C3049" s="21" t="s">
        <v>22655</v>
      </c>
      <c r="D3049" s="31" t="s">
        <v>22660</v>
      </c>
      <c r="E3049" s="23" t="s">
        <v>22665</v>
      </c>
      <c r="F3049" s="24" t="s">
        <v>22657</v>
      </c>
      <c r="G3049" s="25">
        <v>8</v>
      </c>
      <c r="H3049" s="29"/>
      <c r="I3049" s="30"/>
    </row>
    <row r="3050" spans="1:9" ht="15.75" thickBot="1" x14ac:dyDescent="0.3">
      <c r="A3050" s="43" t="s">
        <v>22370</v>
      </c>
      <c r="B3050" s="21" t="s">
        <v>22371</v>
      </c>
      <c r="C3050" s="36" t="e">
        <v>#N/A</v>
      </c>
      <c r="D3050" s="37" t="e">
        <v>#N/A</v>
      </c>
      <c r="E3050" s="23" t="e">
        <v>#N/A</v>
      </c>
      <c r="F3050" s="28" t="s">
        <v>22659</v>
      </c>
      <c r="G3050" s="25" t="e">
        <v>#N/A</v>
      </c>
      <c r="H3050" s="26"/>
      <c r="I3050" s="27"/>
    </row>
    <row r="3051" spans="1:9" ht="15.75" thickBot="1" x14ac:dyDescent="0.3">
      <c r="A3051" s="43" t="s">
        <v>7474</v>
      </c>
      <c r="B3051" s="21" t="s">
        <v>7475</v>
      </c>
      <c r="C3051" s="21" t="s">
        <v>22682</v>
      </c>
      <c r="D3051" s="22">
        <v>46034</v>
      </c>
      <c r="E3051" s="23" t="s">
        <v>22656</v>
      </c>
      <c r="F3051" s="24" t="s">
        <v>22657</v>
      </c>
      <c r="G3051" s="25">
        <v>4</v>
      </c>
      <c r="H3051" s="29"/>
      <c r="I3051" s="30"/>
    </row>
    <row r="3052" spans="1:9" ht="15.75" thickBot="1" x14ac:dyDescent="0.3">
      <c r="A3052" s="43" t="s">
        <v>7478</v>
      </c>
      <c r="B3052" s="21" t="s">
        <v>7479</v>
      </c>
      <c r="C3052" s="21" t="s">
        <v>22655</v>
      </c>
      <c r="D3052" s="22">
        <v>46046</v>
      </c>
      <c r="E3052" s="23" t="s">
        <v>22658</v>
      </c>
      <c r="F3052" s="24" t="s">
        <v>22657</v>
      </c>
      <c r="G3052" s="25">
        <v>4</v>
      </c>
      <c r="H3052" s="26"/>
      <c r="I3052" s="27"/>
    </row>
    <row r="3053" spans="1:9" ht="15.75" thickBot="1" x14ac:dyDescent="0.3">
      <c r="A3053" s="43" t="s">
        <v>7480</v>
      </c>
      <c r="B3053" s="21" t="s">
        <v>7481</v>
      </c>
      <c r="C3053" s="21" t="s">
        <v>22655</v>
      </c>
      <c r="D3053" s="22">
        <v>46046</v>
      </c>
      <c r="E3053" s="23" t="s">
        <v>22656</v>
      </c>
      <c r="F3053" s="24" t="s">
        <v>22657</v>
      </c>
      <c r="G3053" s="25">
        <v>4</v>
      </c>
      <c r="H3053" s="29"/>
      <c r="I3053" s="30"/>
    </row>
    <row r="3054" spans="1:9" ht="15.75" thickBot="1" x14ac:dyDescent="0.3">
      <c r="A3054" s="43" t="s">
        <v>7484</v>
      </c>
      <c r="B3054" s="21" t="s">
        <v>7483</v>
      </c>
      <c r="C3054" s="21" t="s">
        <v>22655</v>
      </c>
      <c r="D3054" s="22">
        <v>46046</v>
      </c>
      <c r="E3054" s="23" t="s">
        <v>22656</v>
      </c>
      <c r="F3054" s="24" t="s">
        <v>22657</v>
      </c>
      <c r="G3054" s="25">
        <v>4</v>
      </c>
      <c r="H3054" s="26"/>
      <c r="I3054" s="27"/>
    </row>
    <row r="3055" spans="1:9" ht="15.75" thickBot="1" x14ac:dyDescent="0.3">
      <c r="A3055" s="43" t="s">
        <v>7482</v>
      </c>
      <c r="B3055" s="21" t="s">
        <v>7483</v>
      </c>
      <c r="C3055" s="21" t="s">
        <v>22655</v>
      </c>
      <c r="D3055" s="22">
        <v>46046</v>
      </c>
      <c r="E3055" s="23" t="s">
        <v>22658</v>
      </c>
      <c r="F3055" s="24" t="s">
        <v>22657</v>
      </c>
      <c r="G3055" s="25">
        <v>4</v>
      </c>
      <c r="H3055" s="29"/>
      <c r="I3055" s="30"/>
    </row>
    <row r="3056" spans="1:9" ht="15.75" thickBot="1" x14ac:dyDescent="0.3">
      <c r="A3056" s="43" t="s">
        <v>7476</v>
      </c>
      <c r="B3056" s="21" t="s">
        <v>7477</v>
      </c>
      <c r="C3056" s="21" t="s">
        <v>22655</v>
      </c>
      <c r="D3056" s="22">
        <v>46046</v>
      </c>
      <c r="E3056" s="23" t="s">
        <v>22656</v>
      </c>
      <c r="F3056" s="24" t="s">
        <v>22657</v>
      </c>
      <c r="G3056" s="25">
        <v>4</v>
      </c>
      <c r="H3056" s="26"/>
      <c r="I3056" s="27"/>
    </row>
    <row r="3057" spans="1:9" ht="15.75" thickBot="1" x14ac:dyDescent="0.3">
      <c r="A3057" s="43" t="s">
        <v>7487</v>
      </c>
      <c r="B3057" s="21" t="s">
        <v>7486</v>
      </c>
      <c r="C3057" s="21" t="s">
        <v>22655</v>
      </c>
      <c r="D3057" s="22">
        <v>46046</v>
      </c>
      <c r="E3057" s="23" t="s">
        <v>22656</v>
      </c>
      <c r="F3057" s="24" t="s">
        <v>22657</v>
      </c>
      <c r="G3057" s="25">
        <v>4</v>
      </c>
      <c r="H3057" s="29"/>
      <c r="I3057" s="30"/>
    </row>
    <row r="3058" spans="1:9" ht="15.75" thickBot="1" x14ac:dyDescent="0.3">
      <c r="A3058" s="43" t="s">
        <v>7485</v>
      </c>
      <c r="B3058" s="21" t="s">
        <v>7486</v>
      </c>
      <c r="C3058" s="21" t="s">
        <v>22655</v>
      </c>
      <c r="D3058" s="22">
        <v>46046</v>
      </c>
      <c r="E3058" s="23" t="s">
        <v>22658</v>
      </c>
      <c r="F3058" s="24" t="s">
        <v>22657</v>
      </c>
      <c r="G3058" s="25">
        <v>4</v>
      </c>
      <c r="H3058" s="26"/>
      <c r="I3058" s="27"/>
    </row>
    <row r="3059" spans="1:9" ht="15.75" thickBot="1" x14ac:dyDescent="0.3">
      <c r="A3059" s="43" t="s">
        <v>7488</v>
      </c>
      <c r="B3059" s="21" t="s">
        <v>7489</v>
      </c>
      <c r="C3059" s="21" t="s">
        <v>22655</v>
      </c>
      <c r="D3059" s="22">
        <v>46024</v>
      </c>
      <c r="E3059" s="23" t="s">
        <v>22658</v>
      </c>
      <c r="F3059" s="24" t="s">
        <v>22657</v>
      </c>
      <c r="G3059" s="25">
        <v>1</v>
      </c>
      <c r="H3059" s="29"/>
      <c r="I3059" s="30"/>
    </row>
    <row r="3060" spans="1:9" ht="15.75" thickBot="1" x14ac:dyDescent="0.3">
      <c r="A3060" s="43" t="s">
        <v>7490</v>
      </c>
      <c r="B3060" s="21" t="s">
        <v>7491</v>
      </c>
      <c r="C3060" s="21" t="s">
        <v>22698</v>
      </c>
      <c r="D3060" s="31">
        <v>1</v>
      </c>
      <c r="E3060" s="23" t="s">
        <v>22656</v>
      </c>
      <c r="F3060" s="24" t="s">
        <v>22657</v>
      </c>
      <c r="G3060" s="25">
        <v>2</v>
      </c>
      <c r="H3060" s="34">
        <v>2</v>
      </c>
      <c r="I3060" s="35">
        <v>3</v>
      </c>
    </row>
    <row r="3061" spans="1:9" ht="15.75" thickBot="1" x14ac:dyDescent="0.3">
      <c r="A3061" s="43" t="s">
        <v>7492</v>
      </c>
      <c r="B3061" s="21" t="s">
        <v>7493</v>
      </c>
      <c r="C3061" s="21" t="s">
        <v>22655</v>
      </c>
      <c r="D3061" s="31" t="s">
        <v>22660</v>
      </c>
      <c r="E3061" s="23" t="s">
        <v>22658</v>
      </c>
      <c r="F3061" s="24" t="s">
        <v>22657</v>
      </c>
      <c r="G3061" s="25">
        <v>16</v>
      </c>
      <c r="H3061" s="29"/>
      <c r="I3061" s="30"/>
    </row>
    <row r="3062" spans="1:9" ht="15.75" thickBot="1" x14ac:dyDescent="0.3">
      <c r="A3062" s="43" t="s">
        <v>7494</v>
      </c>
      <c r="B3062" s="21" t="s">
        <v>7495</v>
      </c>
      <c r="C3062" s="21" t="s">
        <v>22655</v>
      </c>
      <c r="D3062" s="22">
        <v>46034</v>
      </c>
      <c r="E3062" s="23" t="s">
        <v>22658</v>
      </c>
      <c r="F3062" s="24" t="s">
        <v>22657</v>
      </c>
      <c r="G3062" s="25">
        <v>4</v>
      </c>
      <c r="H3062" s="26"/>
      <c r="I3062" s="27"/>
    </row>
    <row r="3063" spans="1:9" ht="15.75" thickBot="1" x14ac:dyDescent="0.3">
      <c r="A3063" s="43" t="s">
        <v>1862</v>
      </c>
      <c r="B3063" s="21" t="s">
        <v>1863</v>
      </c>
      <c r="C3063" s="21" t="s">
        <v>22655</v>
      </c>
      <c r="D3063" s="22">
        <v>46034</v>
      </c>
      <c r="E3063" s="23" t="s">
        <v>22665</v>
      </c>
      <c r="F3063" s="24" t="s">
        <v>22657</v>
      </c>
      <c r="G3063" s="25">
        <v>36</v>
      </c>
      <c r="H3063" s="32">
        <v>36</v>
      </c>
      <c r="I3063" s="33">
        <v>72</v>
      </c>
    </row>
    <row r="3064" spans="1:9" ht="15.75" thickBot="1" x14ac:dyDescent="0.3">
      <c r="A3064" s="43" t="s">
        <v>399</v>
      </c>
      <c r="B3064" s="21" t="s">
        <v>400</v>
      </c>
      <c r="C3064" s="21" t="s">
        <v>22655</v>
      </c>
      <c r="D3064" s="22">
        <v>46034</v>
      </c>
      <c r="E3064" s="23" t="s">
        <v>22656</v>
      </c>
      <c r="F3064" s="24" t="s">
        <v>22657</v>
      </c>
      <c r="G3064" s="25">
        <v>4</v>
      </c>
      <c r="H3064" s="26"/>
      <c r="I3064" s="27"/>
    </row>
    <row r="3065" spans="1:9" ht="15.75" thickBot="1" x14ac:dyDescent="0.3">
      <c r="A3065" s="43" t="s">
        <v>7496</v>
      </c>
      <c r="B3065" s="21" t="s">
        <v>7497</v>
      </c>
      <c r="C3065" s="21" t="s">
        <v>22655</v>
      </c>
      <c r="D3065" s="22">
        <v>46034</v>
      </c>
      <c r="E3065" s="23" t="s">
        <v>22658</v>
      </c>
      <c r="F3065" s="24" t="s">
        <v>22657</v>
      </c>
      <c r="G3065" s="25">
        <v>1</v>
      </c>
      <c r="H3065" s="29"/>
      <c r="I3065" s="30"/>
    </row>
    <row r="3066" spans="1:9" ht="15.75" thickBot="1" x14ac:dyDescent="0.3">
      <c r="A3066" s="43" t="s">
        <v>7498</v>
      </c>
      <c r="B3066" s="21" t="s">
        <v>7499</v>
      </c>
      <c r="C3066" s="21" t="s">
        <v>22655</v>
      </c>
      <c r="D3066" s="22">
        <v>46042</v>
      </c>
      <c r="E3066" s="23" t="s">
        <v>22656</v>
      </c>
      <c r="F3066" s="24" t="s">
        <v>22657</v>
      </c>
      <c r="G3066" s="25">
        <v>2</v>
      </c>
      <c r="H3066" s="26"/>
      <c r="I3066" s="27"/>
    </row>
    <row r="3067" spans="1:9" ht="15.75" thickBot="1" x14ac:dyDescent="0.3">
      <c r="A3067" s="43" t="s">
        <v>22372</v>
      </c>
      <c r="B3067" s="21" t="s">
        <v>22373</v>
      </c>
      <c r="C3067" s="36" t="e">
        <v>#N/A</v>
      </c>
      <c r="D3067" s="37" t="e">
        <v>#N/A</v>
      </c>
      <c r="E3067" s="23" t="e">
        <v>#N/A</v>
      </c>
      <c r="F3067" s="24" t="s">
        <v>22657</v>
      </c>
      <c r="G3067" s="25" t="e">
        <v>#N/A</v>
      </c>
      <c r="H3067" s="29"/>
      <c r="I3067" s="30"/>
    </row>
    <row r="3068" spans="1:9" ht="15.75" thickBot="1" x14ac:dyDescent="0.3">
      <c r="A3068" s="43" t="s">
        <v>7500</v>
      </c>
      <c r="B3068" s="21" t="s">
        <v>7501</v>
      </c>
      <c r="C3068" s="21" t="s">
        <v>22655</v>
      </c>
      <c r="D3068" s="22">
        <v>46042</v>
      </c>
      <c r="E3068" s="23" t="s">
        <v>22656</v>
      </c>
      <c r="F3068" s="24" t="s">
        <v>22657</v>
      </c>
      <c r="G3068" s="25">
        <v>2</v>
      </c>
      <c r="H3068" s="26"/>
      <c r="I3068" s="27"/>
    </row>
    <row r="3069" spans="1:9" ht="15.75" thickBot="1" x14ac:dyDescent="0.3">
      <c r="A3069" s="43" t="s">
        <v>7502</v>
      </c>
      <c r="B3069" s="21" t="s">
        <v>7503</v>
      </c>
      <c r="C3069" s="21" t="s">
        <v>22655</v>
      </c>
      <c r="D3069" s="22">
        <v>46028</v>
      </c>
      <c r="E3069" s="23" t="s">
        <v>22656</v>
      </c>
      <c r="F3069" s="24" t="s">
        <v>22657</v>
      </c>
      <c r="G3069" s="25">
        <v>2</v>
      </c>
      <c r="H3069" s="29"/>
      <c r="I3069" s="30"/>
    </row>
    <row r="3070" spans="1:9" ht="15.75" thickBot="1" x14ac:dyDescent="0.3">
      <c r="A3070" s="43" t="s">
        <v>7504</v>
      </c>
      <c r="B3070" s="21" t="s">
        <v>7505</v>
      </c>
      <c r="C3070" s="21" t="s">
        <v>22655</v>
      </c>
      <c r="D3070" s="22">
        <v>46046</v>
      </c>
      <c r="E3070" s="23" t="s">
        <v>22656</v>
      </c>
      <c r="F3070" s="24" t="s">
        <v>22657</v>
      </c>
      <c r="G3070" s="25">
        <v>8</v>
      </c>
      <c r="H3070" s="26"/>
      <c r="I3070" s="27"/>
    </row>
    <row r="3071" spans="1:9" ht="15.75" thickBot="1" x14ac:dyDescent="0.3">
      <c r="A3071" s="43" t="s">
        <v>7506</v>
      </c>
      <c r="B3071" s="21" t="s">
        <v>7507</v>
      </c>
      <c r="C3071" s="21" t="s">
        <v>22655</v>
      </c>
      <c r="D3071" s="31" t="s">
        <v>22660</v>
      </c>
      <c r="E3071" s="23" t="s">
        <v>22656</v>
      </c>
      <c r="F3071" s="24" t="s">
        <v>22657</v>
      </c>
      <c r="G3071" s="25">
        <v>8</v>
      </c>
      <c r="H3071" s="29"/>
      <c r="I3071" s="30"/>
    </row>
    <row r="3072" spans="1:9" ht="15.75" thickBot="1" x14ac:dyDescent="0.3">
      <c r="A3072" s="43" t="s">
        <v>7508</v>
      </c>
      <c r="B3072" s="21" t="s">
        <v>7509</v>
      </c>
      <c r="C3072" s="21" t="s">
        <v>22655</v>
      </c>
      <c r="D3072" s="22">
        <v>46052</v>
      </c>
      <c r="E3072" s="23" t="s">
        <v>22661</v>
      </c>
      <c r="F3072" s="24" t="s">
        <v>22657</v>
      </c>
      <c r="G3072" s="25">
        <v>6</v>
      </c>
      <c r="H3072" s="34">
        <v>6</v>
      </c>
      <c r="I3072" s="35">
        <v>12</v>
      </c>
    </row>
    <row r="3073" spans="1:9" ht="15.75" thickBot="1" x14ac:dyDescent="0.3">
      <c r="A3073" s="43" t="s">
        <v>7510</v>
      </c>
      <c r="B3073" s="21" t="s">
        <v>7511</v>
      </c>
      <c r="C3073" s="21" t="s">
        <v>22655</v>
      </c>
      <c r="D3073" s="22">
        <v>46032</v>
      </c>
      <c r="E3073" s="23" t="s">
        <v>22656</v>
      </c>
      <c r="F3073" s="24" t="s">
        <v>22657</v>
      </c>
      <c r="G3073" s="25">
        <v>16</v>
      </c>
      <c r="H3073" s="29"/>
      <c r="I3073" s="30"/>
    </row>
    <row r="3074" spans="1:9" ht="15.75" thickBot="1" x14ac:dyDescent="0.3">
      <c r="A3074" s="43" t="s">
        <v>7512</v>
      </c>
      <c r="B3074" s="21" t="s">
        <v>7513</v>
      </c>
      <c r="C3074" s="21" t="s">
        <v>22655</v>
      </c>
      <c r="D3074" s="22">
        <v>46032</v>
      </c>
      <c r="E3074" s="23" t="s">
        <v>22656</v>
      </c>
      <c r="F3074" s="24" t="s">
        <v>22657</v>
      </c>
      <c r="G3074" s="25">
        <v>6</v>
      </c>
      <c r="H3074" s="26"/>
      <c r="I3074" s="27"/>
    </row>
    <row r="3075" spans="1:9" ht="15.75" thickBot="1" x14ac:dyDescent="0.3">
      <c r="A3075" s="43" t="s">
        <v>7514</v>
      </c>
      <c r="B3075" s="21" t="s">
        <v>7515</v>
      </c>
      <c r="C3075" s="21" t="s">
        <v>22787</v>
      </c>
      <c r="D3075" s="22">
        <v>46047</v>
      </c>
      <c r="E3075" s="23" t="s">
        <v>22656</v>
      </c>
      <c r="F3075" s="24" t="s">
        <v>22657</v>
      </c>
      <c r="G3075" s="25">
        <v>9</v>
      </c>
      <c r="H3075" s="29"/>
      <c r="I3075" s="30"/>
    </row>
    <row r="3076" spans="1:9" ht="15.75" thickBot="1" x14ac:dyDescent="0.3">
      <c r="A3076" s="43" t="s">
        <v>7516</v>
      </c>
      <c r="B3076" s="21" t="s">
        <v>7517</v>
      </c>
      <c r="C3076" s="21" t="s">
        <v>22655</v>
      </c>
      <c r="D3076" s="22">
        <v>46028</v>
      </c>
      <c r="E3076" s="23" t="s">
        <v>22658</v>
      </c>
      <c r="F3076" s="28" t="s">
        <v>22659</v>
      </c>
      <c r="G3076" s="25">
        <v>1</v>
      </c>
      <c r="H3076" s="26"/>
      <c r="I3076" s="27"/>
    </row>
    <row r="3077" spans="1:9" ht="15.75" thickBot="1" x14ac:dyDescent="0.3">
      <c r="A3077" s="43" t="s">
        <v>7518</v>
      </c>
      <c r="B3077" s="21" t="s">
        <v>7519</v>
      </c>
      <c r="C3077" s="21" t="s">
        <v>22655</v>
      </c>
      <c r="D3077" s="31" t="s">
        <v>22660</v>
      </c>
      <c r="E3077" s="23" t="s">
        <v>22656</v>
      </c>
      <c r="F3077" s="24" t="s">
        <v>22657</v>
      </c>
      <c r="G3077" s="25">
        <v>16</v>
      </c>
      <c r="H3077" s="29"/>
      <c r="I3077" s="30"/>
    </row>
    <row r="3078" spans="1:9" ht="15.75" thickBot="1" x14ac:dyDescent="0.3">
      <c r="A3078" s="43" t="s">
        <v>7520</v>
      </c>
      <c r="B3078" s="21" t="s">
        <v>7521</v>
      </c>
      <c r="C3078" s="21" t="s">
        <v>22655</v>
      </c>
      <c r="D3078" s="22">
        <v>46047</v>
      </c>
      <c r="E3078" s="23" t="s">
        <v>22656</v>
      </c>
      <c r="F3078" s="24" t="s">
        <v>22657</v>
      </c>
      <c r="G3078" s="25">
        <v>4</v>
      </c>
      <c r="H3078" s="26"/>
      <c r="I3078" s="27"/>
    </row>
    <row r="3079" spans="1:9" ht="15.75" thickBot="1" x14ac:dyDescent="0.3">
      <c r="A3079" s="43" t="s">
        <v>7522</v>
      </c>
      <c r="B3079" s="21" t="s">
        <v>7523</v>
      </c>
      <c r="C3079" s="21" t="s">
        <v>22655</v>
      </c>
      <c r="D3079" s="22">
        <v>46028</v>
      </c>
      <c r="E3079" s="23" t="s">
        <v>22658</v>
      </c>
      <c r="F3079" s="24" t="s">
        <v>22657</v>
      </c>
      <c r="G3079" s="25">
        <v>1</v>
      </c>
      <c r="H3079" s="29"/>
      <c r="I3079" s="30"/>
    </row>
    <row r="3080" spans="1:9" ht="15.75" thickBot="1" x14ac:dyDescent="0.3">
      <c r="A3080" s="43" t="s">
        <v>7524</v>
      </c>
      <c r="B3080" s="21" t="s">
        <v>7525</v>
      </c>
      <c r="C3080" s="21" t="s">
        <v>22655</v>
      </c>
      <c r="D3080" s="22">
        <v>46034</v>
      </c>
      <c r="E3080" s="23" t="s">
        <v>22656</v>
      </c>
      <c r="F3080" s="24" t="s">
        <v>22657</v>
      </c>
      <c r="G3080" s="25">
        <v>5</v>
      </c>
      <c r="H3080" s="26"/>
      <c r="I3080" s="27"/>
    </row>
    <row r="3081" spans="1:9" ht="15.75" thickBot="1" x14ac:dyDescent="0.3">
      <c r="A3081" s="43" t="s">
        <v>7526</v>
      </c>
      <c r="B3081" s="21" t="s">
        <v>7527</v>
      </c>
      <c r="C3081" s="21" t="s">
        <v>22655</v>
      </c>
      <c r="D3081" s="31" t="s">
        <v>22660</v>
      </c>
      <c r="E3081" s="23" t="s">
        <v>22656</v>
      </c>
      <c r="F3081" s="24" t="s">
        <v>22657</v>
      </c>
      <c r="G3081" s="25">
        <v>16</v>
      </c>
      <c r="H3081" s="29"/>
      <c r="I3081" s="30"/>
    </row>
    <row r="3082" spans="1:9" ht="15.75" thickBot="1" x14ac:dyDescent="0.3">
      <c r="A3082" s="43" t="s">
        <v>603</v>
      </c>
      <c r="B3082" s="21" t="s">
        <v>7528</v>
      </c>
      <c r="C3082" s="21" t="s">
        <v>22655</v>
      </c>
      <c r="D3082" s="31" t="s">
        <v>22660</v>
      </c>
      <c r="E3082" s="23" t="s">
        <v>22661</v>
      </c>
      <c r="F3082" s="24" t="s">
        <v>22657</v>
      </c>
      <c r="G3082" s="25">
        <v>12</v>
      </c>
      <c r="H3082" s="34">
        <v>12</v>
      </c>
      <c r="I3082" s="35">
        <v>24</v>
      </c>
    </row>
    <row r="3083" spans="1:9" ht="15.75" thickBot="1" x14ac:dyDescent="0.3">
      <c r="A3083" s="43" t="s">
        <v>7529</v>
      </c>
      <c r="B3083" s="21" t="s">
        <v>7530</v>
      </c>
      <c r="C3083" s="21" t="s">
        <v>22655</v>
      </c>
      <c r="D3083" s="22">
        <v>46024</v>
      </c>
      <c r="E3083" s="23" t="s">
        <v>22656</v>
      </c>
      <c r="F3083" s="24" t="s">
        <v>22657</v>
      </c>
      <c r="G3083" s="25">
        <v>2</v>
      </c>
      <c r="H3083" s="29"/>
      <c r="I3083" s="30"/>
    </row>
    <row r="3084" spans="1:9" ht="15.75" thickBot="1" x14ac:dyDescent="0.3">
      <c r="A3084" s="43" t="s">
        <v>1041</v>
      </c>
      <c r="B3084" s="21" t="s">
        <v>1042</v>
      </c>
      <c r="C3084" s="21" t="s">
        <v>22655</v>
      </c>
      <c r="D3084" s="22">
        <v>46034</v>
      </c>
      <c r="E3084" s="23" t="s">
        <v>22661</v>
      </c>
      <c r="F3084" s="24" t="s">
        <v>22657</v>
      </c>
      <c r="G3084" s="25">
        <v>60</v>
      </c>
      <c r="H3084" s="34">
        <v>60</v>
      </c>
      <c r="I3084" s="35">
        <v>120</v>
      </c>
    </row>
    <row r="3085" spans="1:9" ht="15.75" thickBot="1" x14ac:dyDescent="0.3">
      <c r="A3085" s="43" t="s">
        <v>567</v>
      </c>
      <c r="B3085" s="21" t="s">
        <v>568</v>
      </c>
      <c r="C3085" s="21" t="s">
        <v>22655</v>
      </c>
      <c r="D3085" s="22">
        <v>46034</v>
      </c>
      <c r="E3085" s="23" t="s">
        <v>22661</v>
      </c>
      <c r="F3085" s="24" t="s">
        <v>22657</v>
      </c>
      <c r="G3085" s="25">
        <v>60</v>
      </c>
      <c r="H3085" s="32">
        <v>60</v>
      </c>
      <c r="I3085" s="33">
        <v>120</v>
      </c>
    </row>
    <row r="3086" spans="1:9" ht="15.75" thickBot="1" x14ac:dyDescent="0.3">
      <c r="A3086" s="43" t="s">
        <v>7531</v>
      </c>
      <c r="B3086" s="21" t="s">
        <v>7532</v>
      </c>
      <c r="C3086" s="21" t="s">
        <v>22655</v>
      </c>
      <c r="D3086" s="31" t="s">
        <v>22660</v>
      </c>
      <c r="E3086" s="23" t="s">
        <v>22656</v>
      </c>
      <c r="F3086" s="24" t="s">
        <v>22657</v>
      </c>
      <c r="G3086" s="25">
        <v>8</v>
      </c>
      <c r="H3086" s="26"/>
      <c r="I3086" s="27"/>
    </row>
    <row r="3087" spans="1:9" ht="15.75" thickBot="1" x14ac:dyDescent="0.3">
      <c r="A3087" s="43" t="s">
        <v>7533</v>
      </c>
      <c r="B3087" s="21" t="s">
        <v>7534</v>
      </c>
      <c r="C3087" s="21" t="s">
        <v>22655</v>
      </c>
      <c r="D3087" s="31" t="s">
        <v>22660</v>
      </c>
      <c r="E3087" s="23" t="s">
        <v>22656</v>
      </c>
      <c r="F3087" s="24" t="s">
        <v>22657</v>
      </c>
      <c r="G3087" s="25">
        <v>16</v>
      </c>
      <c r="H3087" s="29"/>
      <c r="I3087" s="30"/>
    </row>
    <row r="3088" spans="1:9" ht="15.75" thickBot="1" x14ac:dyDescent="0.3">
      <c r="A3088" s="43" t="s">
        <v>7537</v>
      </c>
      <c r="B3088" s="21" t="s">
        <v>7538</v>
      </c>
      <c r="C3088" s="21" t="s">
        <v>22655</v>
      </c>
      <c r="D3088" s="22">
        <v>46046</v>
      </c>
      <c r="E3088" s="23" t="s">
        <v>22656</v>
      </c>
      <c r="F3088" s="24" t="s">
        <v>22657</v>
      </c>
      <c r="G3088" s="25">
        <v>8</v>
      </c>
      <c r="H3088" s="26"/>
      <c r="I3088" s="27"/>
    </row>
    <row r="3089" spans="1:9" ht="15.75" thickBot="1" x14ac:dyDescent="0.3">
      <c r="A3089" s="43" t="s">
        <v>7535</v>
      </c>
      <c r="B3089" s="21" t="s">
        <v>22496</v>
      </c>
      <c r="C3089" s="21" t="s">
        <v>22655</v>
      </c>
      <c r="D3089" s="22">
        <v>46046</v>
      </c>
      <c r="E3089" s="23" t="s">
        <v>22661</v>
      </c>
      <c r="F3089" s="24" t="s">
        <v>22657</v>
      </c>
      <c r="G3089" s="25">
        <v>8</v>
      </c>
      <c r="H3089" s="29"/>
      <c r="I3089" s="30"/>
    </row>
    <row r="3090" spans="1:9" ht="15.75" thickBot="1" x14ac:dyDescent="0.3">
      <c r="A3090" s="43" t="s">
        <v>7539</v>
      </c>
      <c r="B3090" s="21" t="s">
        <v>22497</v>
      </c>
      <c r="C3090" s="21" t="s">
        <v>22655</v>
      </c>
      <c r="D3090" s="22">
        <v>46046</v>
      </c>
      <c r="E3090" s="23" t="s">
        <v>22656</v>
      </c>
      <c r="F3090" s="24" t="s">
        <v>22657</v>
      </c>
      <c r="G3090" s="25">
        <v>20</v>
      </c>
      <c r="H3090" s="34">
        <v>20</v>
      </c>
      <c r="I3090" s="35">
        <v>40</v>
      </c>
    </row>
    <row r="3091" spans="1:9" ht="15.75" thickBot="1" x14ac:dyDescent="0.3">
      <c r="A3091" s="43" t="s">
        <v>7540</v>
      </c>
      <c r="B3091" s="21" t="s">
        <v>7541</v>
      </c>
      <c r="C3091" s="21" t="s">
        <v>22780</v>
      </c>
      <c r="D3091" s="22">
        <v>46042</v>
      </c>
      <c r="E3091" s="23" t="s">
        <v>22656</v>
      </c>
      <c r="F3091" s="24" t="s">
        <v>22657</v>
      </c>
      <c r="G3091" s="25">
        <v>7</v>
      </c>
      <c r="H3091" s="29"/>
      <c r="I3091" s="30"/>
    </row>
    <row r="3092" spans="1:9" ht="15.75" thickBot="1" x14ac:dyDescent="0.3">
      <c r="A3092" s="43" t="s">
        <v>1295</v>
      </c>
      <c r="B3092" s="21" t="s">
        <v>7542</v>
      </c>
      <c r="C3092" s="21" t="s">
        <v>22655</v>
      </c>
      <c r="D3092" s="31" t="s">
        <v>22660</v>
      </c>
      <c r="E3092" s="23" t="s">
        <v>22656</v>
      </c>
      <c r="F3092" s="24" t="s">
        <v>22657</v>
      </c>
      <c r="G3092" s="25">
        <v>16</v>
      </c>
      <c r="H3092" s="26"/>
      <c r="I3092" s="27"/>
    </row>
    <row r="3093" spans="1:9" ht="15.75" thickBot="1" x14ac:dyDescent="0.3">
      <c r="A3093" s="43" t="s">
        <v>7543</v>
      </c>
      <c r="B3093" s="21" t="s">
        <v>7544</v>
      </c>
      <c r="C3093" s="21" t="s">
        <v>22655</v>
      </c>
      <c r="D3093" s="31" t="s">
        <v>22660</v>
      </c>
      <c r="E3093" s="23" t="s">
        <v>22656</v>
      </c>
      <c r="F3093" s="24" t="s">
        <v>22657</v>
      </c>
      <c r="G3093" s="25">
        <v>10</v>
      </c>
      <c r="H3093" s="32">
        <v>10</v>
      </c>
      <c r="I3093" s="33">
        <v>12</v>
      </c>
    </row>
    <row r="3094" spans="1:9" ht="15.75" thickBot="1" x14ac:dyDescent="0.3">
      <c r="A3094" s="43" t="s">
        <v>7545</v>
      </c>
      <c r="B3094" s="21" t="s">
        <v>22498</v>
      </c>
      <c r="C3094" s="21" t="s">
        <v>22655</v>
      </c>
      <c r="D3094" s="22">
        <v>46046</v>
      </c>
      <c r="E3094" s="23" t="s">
        <v>22656</v>
      </c>
      <c r="F3094" s="24" t="s">
        <v>22657</v>
      </c>
      <c r="G3094" s="25">
        <v>8</v>
      </c>
      <c r="H3094" s="26"/>
      <c r="I3094" s="27"/>
    </row>
    <row r="3095" spans="1:9" ht="15.75" thickBot="1" x14ac:dyDescent="0.3">
      <c r="A3095" s="43" t="s">
        <v>7547</v>
      </c>
      <c r="B3095" s="21" t="s">
        <v>7548</v>
      </c>
      <c r="C3095" s="21" t="s">
        <v>22655</v>
      </c>
      <c r="D3095" s="22">
        <v>46042</v>
      </c>
      <c r="E3095" s="23" t="s">
        <v>22661</v>
      </c>
      <c r="F3095" s="24" t="s">
        <v>22657</v>
      </c>
      <c r="G3095" s="25">
        <v>7</v>
      </c>
      <c r="H3095" s="29"/>
      <c r="I3095" s="30"/>
    </row>
    <row r="3096" spans="1:9" ht="15.75" thickBot="1" x14ac:dyDescent="0.3">
      <c r="A3096" s="43" t="s">
        <v>7549</v>
      </c>
      <c r="B3096" s="21" t="s">
        <v>7550</v>
      </c>
      <c r="C3096" s="21" t="s">
        <v>22655</v>
      </c>
      <c r="D3096" s="22">
        <v>46046</v>
      </c>
      <c r="E3096" s="23" t="s">
        <v>22658</v>
      </c>
      <c r="F3096" s="24" t="s">
        <v>22657</v>
      </c>
      <c r="G3096" s="25">
        <v>8</v>
      </c>
      <c r="H3096" s="26"/>
      <c r="I3096" s="27"/>
    </row>
    <row r="3097" spans="1:9" ht="15.75" thickBot="1" x14ac:dyDescent="0.3">
      <c r="A3097" s="43" t="s">
        <v>7551</v>
      </c>
      <c r="B3097" s="21" t="s">
        <v>7552</v>
      </c>
      <c r="C3097" s="21" t="s">
        <v>22780</v>
      </c>
      <c r="D3097" s="22">
        <v>46042</v>
      </c>
      <c r="E3097" s="23" t="s">
        <v>22658</v>
      </c>
      <c r="F3097" s="24" t="s">
        <v>22657</v>
      </c>
      <c r="G3097" s="25">
        <v>7</v>
      </c>
      <c r="H3097" s="29"/>
      <c r="I3097" s="30"/>
    </row>
    <row r="3098" spans="1:9" ht="15.75" thickBot="1" x14ac:dyDescent="0.3">
      <c r="A3098" s="43" t="s">
        <v>7553</v>
      </c>
      <c r="B3098" s="21" t="s">
        <v>7554</v>
      </c>
      <c r="C3098" s="21" t="s">
        <v>22655</v>
      </c>
      <c r="D3098" s="31" t="s">
        <v>22660</v>
      </c>
      <c r="E3098" s="23" t="s">
        <v>22656</v>
      </c>
      <c r="F3098" s="24" t="s">
        <v>22657</v>
      </c>
      <c r="G3098" s="25">
        <v>12</v>
      </c>
      <c r="H3098" s="34">
        <v>12</v>
      </c>
      <c r="I3098" s="35">
        <v>24</v>
      </c>
    </row>
    <row r="3099" spans="1:9" ht="15.75" thickBot="1" x14ac:dyDescent="0.3">
      <c r="A3099" s="43" t="s">
        <v>7555</v>
      </c>
      <c r="B3099" s="21" t="s">
        <v>7556</v>
      </c>
      <c r="C3099" s="21" t="s">
        <v>22655</v>
      </c>
      <c r="D3099" s="31" t="s">
        <v>22660</v>
      </c>
      <c r="E3099" s="23" t="s">
        <v>22661</v>
      </c>
      <c r="F3099" s="24" t="s">
        <v>22657</v>
      </c>
      <c r="G3099" s="25">
        <v>16</v>
      </c>
      <c r="H3099" s="29"/>
      <c r="I3099" s="30"/>
    </row>
    <row r="3100" spans="1:9" ht="15.75" thickBot="1" x14ac:dyDescent="0.3">
      <c r="A3100" s="43" t="s">
        <v>7557</v>
      </c>
      <c r="B3100" s="21" t="s">
        <v>7558</v>
      </c>
      <c r="C3100" s="21" t="s">
        <v>22655</v>
      </c>
      <c r="D3100" s="22">
        <v>46046</v>
      </c>
      <c r="E3100" s="23" t="s">
        <v>22658</v>
      </c>
      <c r="F3100" s="24" t="s">
        <v>22657</v>
      </c>
      <c r="G3100" s="25">
        <v>8</v>
      </c>
      <c r="H3100" s="26"/>
      <c r="I3100" s="27"/>
    </row>
    <row r="3101" spans="1:9" ht="15.75" thickBot="1" x14ac:dyDescent="0.3">
      <c r="A3101" s="43" t="s">
        <v>7559</v>
      </c>
      <c r="B3101" s="21" t="s">
        <v>7560</v>
      </c>
      <c r="C3101" s="21" t="s">
        <v>22655</v>
      </c>
      <c r="D3101" s="22">
        <v>46046</v>
      </c>
      <c r="E3101" s="23" t="s">
        <v>22661</v>
      </c>
      <c r="F3101" s="24" t="s">
        <v>22657</v>
      </c>
      <c r="G3101" s="25">
        <v>14</v>
      </c>
      <c r="H3101" s="29"/>
      <c r="I3101" s="30"/>
    </row>
    <row r="3102" spans="1:9" ht="15.75" thickBot="1" x14ac:dyDescent="0.3">
      <c r="A3102" s="43" t="s">
        <v>1077</v>
      </c>
      <c r="B3102" s="21" t="s">
        <v>22499</v>
      </c>
      <c r="C3102" s="21" t="s">
        <v>22655</v>
      </c>
      <c r="D3102" s="22">
        <v>46046</v>
      </c>
      <c r="E3102" s="23" t="s">
        <v>22665</v>
      </c>
      <c r="F3102" s="24" t="s">
        <v>22657</v>
      </c>
      <c r="G3102" s="25">
        <v>48</v>
      </c>
      <c r="H3102" s="34">
        <v>48</v>
      </c>
      <c r="I3102" s="35">
        <v>72</v>
      </c>
    </row>
    <row r="3103" spans="1:9" ht="15.75" thickBot="1" x14ac:dyDescent="0.3">
      <c r="A3103" s="43" t="s">
        <v>7561</v>
      </c>
      <c r="B3103" s="21" t="s">
        <v>7562</v>
      </c>
      <c r="C3103" s="21" t="s">
        <v>22780</v>
      </c>
      <c r="D3103" s="22">
        <v>46042</v>
      </c>
      <c r="E3103" s="23" t="s">
        <v>22665</v>
      </c>
      <c r="F3103" s="24" t="s">
        <v>22657</v>
      </c>
      <c r="G3103" s="25">
        <v>21</v>
      </c>
      <c r="H3103" s="29"/>
      <c r="I3103" s="30"/>
    </row>
    <row r="3104" spans="1:9" ht="15.75" thickBot="1" x14ac:dyDescent="0.3">
      <c r="A3104" s="43" t="s">
        <v>7563</v>
      </c>
      <c r="B3104" s="21" t="s">
        <v>7564</v>
      </c>
      <c r="C3104" s="21" t="s">
        <v>22655</v>
      </c>
      <c r="D3104" s="22">
        <v>46034</v>
      </c>
      <c r="E3104" s="23" t="s">
        <v>22658</v>
      </c>
      <c r="F3104" s="24" t="s">
        <v>22657</v>
      </c>
      <c r="G3104" s="25">
        <v>1</v>
      </c>
      <c r="H3104" s="26"/>
      <c r="I3104" s="27"/>
    </row>
    <row r="3105" spans="1:9" ht="15.75" thickBot="1" x14ac:dyDescent="0.3">
      <c r="A3105" s="43" t="s">
        <v>7565</v>
      </c>
      <c r="B3105" s="21" t="s">
        <v>7566</v>
      </c>
      <c r="C3105" s="21" t="s">
        <v>22780</v>
      </c>
      <c r="D3105" s="22">
        <v>46034</v>
      </c>
      <c r="E3105" s="23" t="s">
        <v>22656</v>
      </c>
      <c r="F3105" s="24" t="s">
        <v>22657</v>
      </c>
      <c r="G3105" s="25">
        <v>4</v>
      </c>
      <c r="H3105" s="29"/>
      <c r="I3105" s="30"/>
    </row>
    <row r="3106" spans="1:9" ht="15.75" thickBot="1" x14ac:dyDescent="0.3">
      <c r="A3106" s="43" t="s">
        <v>1793</v>
      </c>
      <c r="B3106" s="21" t="s">
        <v>1794</v>
      </c>
      <c r="C3106" s="21" t="s">
        <v>22655</v>
      </c>
      <c r="D3106" s="22">
        <v>46040</v>
      </c>
      <c r="E3106" s="23" t="s">
        <v>22656</v>
      </c>
      <c r="F3106" s="24" t="s">
        <v>22657</v>
      </c>
      <c r="G3106" s="25">
        <v>4</v>
      </c>
      <c r="H3106" s="34">
        <v>4</v>
      </c>
      <c r="I3106" s="35">
        <v>6</v>
      </c>
    </row>
    <row r="3107" spans="1:9" ht="15.75" thickBot="1" x14ac:dyDescent="0.3">
      <c r="A3107" s="43" t="s">
        <v>7567</v>
      </c>
      <c r="B3107" s="21" t="s">
        <v>7568</v>
      </c>
      <c r="C3107" s="21" t="s">
        <v>22780</v>
      </c>
      <c r="D3107" s="22">
        <v>46034</v>
      </c>
      <c r="E3107" s="23" t="s">
        <v>22656</v>
      </c>
      <c r="F3107" s="24" t="s">
        <v>22657</v>
      </c>
      <c r="G3107" s="25">
        <v>4</v>
      </c>
      <c r="H3107" s="29"/>
      <c r="I3107" s="30"/>
    </row>
    <row r="3108" spans="1:9" ht="15.75" thickBot="1" x14ac:dyDescent="0.3">
      <c r="A3108" s="43" t="s">
        <v>7569</v>
      </c>
      <c r="B3108" s="21" t="s">
        <v>7570</v>
      </c>
      <c r="C3108" s="21" t="s">
        <v>22655</v>
      </c>
      <c r="D3108" s="22">
        <v>46034</v>
      </c>
      <c r="E3108" s="23" t="s">
        <v>22656</v>
      </c>
      <c r="F3108" s="24" t="s">
        <v>22657</v>
      </c>
      <c r="G3108" s="25">
        <v>5</v>
      </c>
      <c r="H3108" s="26"/>
      <c r="I3108" s="27"/>
    </row>
    <row r="3109" spans="1:9" ht="15.75" thickBot="1" x14ac:dyDescent="0.3">
      <c r="A3109" s="43" t="s">
        <v>97</v>
      </c>
      <c r="B3109" s="21" t="s">
        <v>98</v>
      </c>
      <c r="C3109" s="21" t="s">
        <v>22655</v>
      </c>
      <c r="D3109" s="22">
        <v>46034</v>
      </c>
      <c r="E3109" s="23" t="s">
        <v>22661</v>
      </c>
      <c r="F3109" s="24" t="s">
        <v>22657</v>
      </c>
      <c r="G3109" s="25">
        <v>15</v>
      </c>
      <c r="H3109" s="29"/>
      <c r="I3109" s="30"/>
    </row>
    <row r="3110" spans="1:9" ht="15.75" thickBot="1" x14ac:dyDescent="0.3">
      <c r="A3110" s="43" t="s">
        <v>7571</v>
      </c>
      <c r="B3110" s="21" t="s">
        <v>7572</v>
      </c>
      <c r="C3110" s="21" t="s">
        <v>22663</v>
      </c>
      <c r="D3110" s="31">
        <v>1</v>
      </c>
      <c r="E3110" s="23" t="s">
        <v>22658</v>
      </c>
      <c r="F3110" s="24" t="s">
        <v>22657</v>
      </c>
      <c r="G3110" s="25">
        <v>1</v>
      </c>
      <c r="H3110" s="26"/>
      <c r="I3110" s="27"/>
    </row>
    <row r="3111" spans="1:9" ht="15.75" thickBot="1" x14ac:dyDescent="0.3">
      <c r="A3111" s="43" t="s">
        <v>7573</v>
      </c>
      <c r="B3111" s="21" t="s">
        <v>7574</v>
      </c>
      <c r="C3111" s="21" t="s">
        <v>22682</v>
      </c>
      <c r="D3111" s="22">
        <v>46034</v>
      </c>
      <c r="E3111" s="23" t="s">
        <v>22658</v>
      </c>
      <c r="F3111" s="24" t="s">
        <v>22657</v>
      </c>
      <c r="G3111" s="25">
        <v>4</v>
      </c>
      <c r="H3111" s="29"/>
      <c r="I3111" s="30"/>
    </row>
    <row r="3112" spans="1:9" ht="15.75" thickBot="1" x14ac:dyDescent="0.3">
      <c r="A3112" s="43" t="s">
        <v>7575</v>
      </c>
      <c r="B3112" s="21" t="s">
        <v>7576</v>
      </c>
      <c r="C3112" s="21" t="s">
        <v>22682</v>
      </c>
      <c r="D3112" s="22">
        <v>46034</v>
      </c>
      <c r="E3112" s="23" t="s">
        <v>22658</v>
      </c>
      <c r="F3112" s="24" t="s">
        <v>22657</v>
      </c>
      <c r="G3112" s="25">
        <v>4</v>
      </c>
      <c r="H3112" s="26"/>
      <c r="I3112" s="27"/>
    </row>
    <row r="3113" spans="1:9" ht="15.75" thickBot="1" x14ac:dyDescent="0.3">
      <c r="A3113" s="43" t="s">
        <v>7577</v>
      </c>
      <c r="B3113" s="21" t="s">
        <v>7578</v>
      </c>
      <c r="C3113" s="21" t="s">
        <v>22682</v>
      </c>
      <c r="D3113" s="22">
        <v>46034</v>
      </c>
      <c r="E3113" s="23" t="s">
        <v>22658</v>
      </c>
      <c r="F3113" s="24" t="s">
        <v>22657</v>
      </c>
      <c r="G3113" s="25">
        <v>4</v>
      </c>
      <c r="H3113" s="29"/>
      <c r="I3113" s="30"/>
    </row>
    <row r="3114" spans="1:9" ht="15.75" thickBot="1" x14ac:dyDescent="0.3">
      <c r="A3114" s="43" t="s">
        <v>1635</v>
      </c>
      <c r="B3114" s="21" t="s">
        <v>1636</v>
      </c>
      <c r="C3114" s="21" t="s">
        <v>22655</v>
      </c>
      <c r="D3114" s="31" t="s">
        <v>22666</v>
      </c>
      <c r="E3114" s="23" t="s">
        <v>22661</v>
      </c>
      <c r="F3114" s="24" t="s">
        <v>22657</v>
      </c>
      <c r="G3114" s="25">
        <v>24</v>
      </c>
      <c r="H3114" s="34">
        <v>24</v>
      </c>
      <c r="I3114" s="35">
        <v>36</v>
      </c>
    </row>
    <row r="3115" spans="1:9" ht="15.75" thickBot="1" x14ac:dyDescent="0.3">
      <c r="A3115" s="43" t="s">
        <v>7579</v>
      </c>
      <c r="B3115" s="21" t="s">
        <v>7580</v>
      </c>
      <c r="C3115" s="21" t="s">
        <v>22655</v>
      </c>
      <c r="D3115" s="22">
        <v>46046</v>
      </c>
      <c r="E3115" s="23" t="s">
        <v>22656</v>
      </c>
      <c r="F3115" s="24" t="s">
        <v>22657</v>
      </c>
      <c r="G3115" s="25">
        <v>8</v>
      </c>
      <c r="H3115" s="29"/>
      <c r="I3115" s="30"/>
    </row>
    <row r="3116" spans="1:9" ht="15.75" thickBot="1" x14ac:dyDescent="0.3">
      <c r="A3116" s="43" t="s">
        <v>1335</v>
      </c>
      <c r="B3116" s="21" t="s">
        <v>1336</v>
      </c>
      <c r="C3116" s="21" t="s">
        <v>22655</v>
      </c>
      <c r="D3116" s="22">
        <v>46034</v>
      </c>
      <c r="E3116" s="23" t="s">
        <v>22661</v>
      </c>
      <c r="F3116" s="24" t="s">
        <v>22657</v>
      </c>
      <c r="G3116" s="25">
        <v>12</v>
      </c>
      <c r="H3116" s="34">
        <v>12</v>
      </c>
      <c r="I3116" s="35">
        <v>24</v>
      </c>
    </row>
    <row r="3117" spans="1:9" ht="15.75" thickBot="1" x14ac:dyDescent="0.3">
      <c r="A3117" s="43" t="s">
        <v>461</v>
      </c>
      <c r="B3117" s="21" t="s">
        <v>462</v>
      </c>
      <c r="C3117" s="21" t="s">
        <v>22655</v>
      </c>
      <c r="D3117" s="22">
        <v>46046</v>
      </c>
      <c r="E3117" s="23" t="s">
        <v>22656</v>
      </c>
      <c r="F3117" s="24" t="s">
        <v>22657</v>
      </c>
      <c r="G3117" s="25">
        <v>8</v>
      </c>
      <c r="H3117" s="32">
        <v>8</v>
      </c>
      <c r="I3117" s="33">
        <v>12</v>
      </c>
    </row>
    <row r="3118" spans="1:9" ht="15.75" thickBot="1" x14ac:dyDescent="0.3">
      <c r="A3118" s="43" t="s">
        <v>7581</v>
      </c>
      <c r="B3118" s="21" t="s">
        <v>7582</v>
      </c>
      <c r="C3118" s="21" t="s">
        <v>22655</v>
      </c>
      <c r="D3118" s="31" t="s">
        <v>22669</v>
      </c>
      <c r="E3118" s="23" t="s">
        <v>22656</v>
      </c>
      <c r="F3118" s="24" t="s">
        <v>22657</v>
      </c>
      <c r="G3118" s="25">
        <v>12</v>
      </c>
      <c r="H3118" s="26"/>
      <c r="I3118" s="27"/>
    </row>
    <row r="3119" spans="1:9" ht="15.75" thickBot="1" x14ac:dyDescent="0.3">
      <c r="A3119" s="43" t="s">
        <v>7583</v>
      </c>
      <c r="B3119" s="21" t="s">
        <v>7584</v>
      </c>
      <c r="C3119" s="21" t="s">
        <v>22655</v>
      </c>
      <c r="D3119" s="31" t="s">
        <v>22666</v>
      </c>
      <c r="E3119" s="23" t="s">
        <v>22661</v>
      </c>
      <c r="F3119" s="24" t="s">
        <v>22657</v>
      </c>
      <c r="G3119" s="25">
        <v>10</v>
      </c>
      <c r="H3119" s="29"/>
      <c r="I3119" s="30"/>
    </row>
    <row r="3120" spans="1:9" ht="15.75" thickBot="1" x14ac:dyDescent="0.3">
      <c r="A3120" s="43" t="s">
        <v>22500</v>
      </c>
      <c r="B3120" s="21" t="s">
        <v>22501</v>
      </c>
      <c r="C3120" s="36" t="e">
        <v>#N/A</v>
      </c>
      <c r="D3120" s="37" t="e">
        <v>#N/A</v>
      </c>
      <c r="E3120" s="23" t="e">
        <v>#N/A</v>
      </c>
      <c r="F3120" s="28" t="s">
        <v>22659</v>
      </c>
      <c r="G3120" s="25" t="e">
        <v>#N/A</v>
      </c>
      <c r="H3120" s="26"/>
      <c r="I3120" s="27"/>
    </row>
    <row r="3121" spans="1:9" ht="15.75" thickBot="1" x14ac:dyDescent="0.3">
      <c r="A3121" s="43" t="s">
        <v>7585</v>
      </c>
      <c r="B3121" s="21" t="s">
        <v>7586</v>
      </c>
      <c r="C3121" s="36" t="s">
        <v>22655</v>
      </c>
      <c r="D3121" s="40">
        <v>46046</v>
      </c>
      <c r="E3121" s="23" t="s">
        <v>22656</v>
      </c>
      <c r="F3121" s="28" t="s">
        <v>22659</v>
      </c>
      <c r="G3121" s="25">
        <v>2</v>
      </c>
      <c r="H3121" s="29"/>
      <c r="I3121" s="30"/>
    </row>
    <row r="3122" spans="1:9" ht="15.75" thickBot="1" x14ac:dyDescent="0.3">
      <c r="A3122" s="43" t="s">
        <v>7587</v>
      </c>
      <c r="B3122" s="21" t="s">
        <v>7588</v>
      </c>
      <c r="C3122" s="21" t="s">
        <v>22655</v>
      </c>
      <c r="D3122" s="22">
        <v>46037</v>
      </c>
      <c r="E3122" s="23" t="s">
        <v>22656</v>
      </c>
      <c r="F3122" s="24" t="s">
        <v>22657</v>
      </c>
      <c r="G3122" s="25">
        <v>2</v>
      </c>
      <c r="H3122" s="26"/>
      <c r="I3122" s="27"/>
    </row>
    <row r="3123" spans="1:9" ht="15.75" thickBot="1" x14ac:dyDescent="0.3">
      <c r="A3123" s="43" t="s">
        <v>7589</v>
      </c>
      <c r="B3123" s="21" t="s">
        <v>7590</v>
      </c>
      <c r="C3123" s="21" t="s">
        <v>22655</v>
      </c>
      <c r="D3123" s="22">
        <v>46032</v>
      </c>
      <c r="E3123" s="23" t="s">
        <v>22656</v>
      </c>
      <c r="F3123" s="24" t="s">
        <v>22657</v>
      </c>
      <c r="G3123" s="25">
        <v>2</v>
      </c>
      <c r="H3123" s="29"/>
      <c r="I3123" s="30"/>
    </row>
    <row r="3124" spans="1:9" ht="15.75" thickBot="1" x14ac:dyDescent="0.3">
      <c r="A3124" s="43" t="s">
        <v>7591</v>
      </c>
      <c r="B3124" s="21" t="s">
        <v>7592</v>
      </c>
      <c r="C3124" s="21" t="s">
        <v>22655</v>
      </c>
      <c r="D3124" s="22">
        <v>46032</v>
      </c>
      <c r="E3124" s="23" t="s">
        <v>22656</v>
      </c>
      <c r="F3124" s="24" t="s">
        <v>22657</v>
      </c>
      <c r="G3124" s="25">
        <v>2</v>
      </c>
      <c r="H3124" s="26"/>
      <c r="I3124" s="27"/>
    </row>
    <row r="3125" spans="1:9" ht="15.75" thickBot="1" x14ac:dyDescent="0.3">
      <c r="A3125" s="43" t="s">
        <v>7593</v>
      </c>
      <c r="B3125" s="21" t="s">
        <v>7594</v>
      </c>
      <c r="C3125" s="21" t="s">
        <v>22655</v>
      </c>
      <c r="D3125" s="22">
        <v>46034</v>
      </c>
      <c r="E3125" s="23" t="s">
        <v>22658</v>
      </c>
      <c r="F3125" s="24" t="s">
        <v>22657</v>
      </c>
      <c r="G3125" s="25">
        <v>1</v>
      </c>
      <c r="H3125" s="29"/>
      <c r="I3125" s="30"/>
    </row>
    <row r="3126" spans="1:9" ht="15.75" thickBot="1" x14ac:dyDescent="0.3">
      <c r="A3126" s="43" t="s">
        <v>22502</v>
      </c>
      <c r="B3126" s="21" t="s">
        <v>22503</v>
      </c>
      <c r="C3126" s="21" t="s">
        <v>22655</v>
      </c>
      <c r="D3126" s="22">
        <v>46034</v>
      </c>
      <c r="E3126" s="23" t="s">
        <v>22658</v>
      </c>
      <c r="F3126" s="28" t="s">
        <v>22659</v>
      </c>
      <c r="G3126" s="25">
        <v>1</v>
      </c>
      <c r="H3126" s="26"/>
      <c r="I3126" s="27"/>
    </row>
    <row r="3127" spans="1:9" ht="15.75" thickBot="1" x14ac:dyDescent="0.3">
      <c r="A3127" s="43" t="s">
        <v>7595</v>
      </c>
      <c r="B3127" s="21" t="s">
        <v>7596</v>
      </c>
      <c r="C3127" s="21" t="s">
        <v>22655</v>
      </c>
      <c r="D3127" s="22">
        <v>46028</v>
      </c>
      <c r="E3127" s="23" t="s">
        <v>22656</v>
      </c>
      <c r="F3127" s="24" t="s">
        <v>22657</v>
      </c>
      <c r="G3127" s="25">
        <v>2</v>
      </c>
      <c r="H3127" s="29"/>
      <c r="I3127" s="30"/>
    </row>
    <row r="3128" spans="1:9" ht="15.75" thickBot="1" x14ac:dyDescent="0.3">
      <c r="A3128" s="43" t="s">
        <v>7597</v>
      </c>
      <c r="B3128" s="21" t="s">
        <v>7598</v>
      </c>
      <c r="C3128" s="21" t="s">
        <v>22655</v>
      </c>
      <c r="D3128" s="22">
        <v>46034</v>
      </c>
      <c r="E3128" s="23" t="s">
        <v>22656</v>
      </c>
      <c r="F3128" s="24" t="s">
        <v>22657</v>
      </c>
      <c r="G3128" s="25">
        <v>2</v>
      </c>
      <c r="H3128" s="26"/>
      <c r="I3128" s="27"/>
    </row>
    <row r="3129" spans="1:9" ht="15.75" thickBot="1" x14ac:dyDescent="0.3">
      <c r="A3129" s="43" t="s">
        <v>22504</v>
      </c>
      <c r="B3129" s="21" t="s">
        <v>22505</v>
      </c>
      <c r="C3129" s="21" t="s">
        <v>22655</v>
      </c>
      <c r="D3129" s="22">
        <v>46034</v>
      </c>
      <c r="E3129" s="23" t="s">
        <v>22658</v>
      </c>
      <c r="F3129" s="28" t="s">
        <v>22659</v>
      </c>
      <c r="G3129" s="25">
        <v>1</v>
      </c>
      <c r="H3129" s="29"/>
      <c r="I3129" s="30"/>
    </row>
    <row r="3130" spans="1:9" ht="15.75" thickBot="1" x14ac:dyDescent="0.3">
      <c r="A3130" s="43" t="s">
        <v>22506</v>
      </c>
      <c r="B3130" s="21" t="s">
        <v>22507</v>
      </c>
      <c r="C3130" s="21" t="s">
        <v>22655</v>
      </c>
      <c r="D3130" s="22">
        <v>46034</v>
      </c>
      <c r="E3130" s="23" t="s">
        <v>22658</v>
      </c>
      <c r="F3130" s="28" t="s">
        <v>22659</v>
      </c>
      <c r="G3130" s="25">
        <v>1</v>
      </c>
      <c r="H3130" s="26"/>
      <c r="I3130" s="27"/>
    </row>
    <row r="3131" spans="1:9" ht="15.75" thickBot="1" x14ac:dyDescent="0.3">
      <c r="A3131" s="43" t="s">
        <v>22508</v>
      </c>
      <c r="B3131" s="21" t="s">
        <v>22509</v>
      </c>
      <c r="C3131" s="21" t="s">
        <v>22655</v>
      </c>
      <c r="D3131" s="22">
        <v>46034</v>
      </c>
      <c r="E3131" s="23" t="s">
        <v>22658</v>
      </c>
      <c r="F3131" s="28" t="s">
        <v>22659</v>
      </c>
      <c r="G3131" s="25">
        <v>1</v>
      </c>
      <c r="H3131" s="29"/>
      <c r="I3131" s="30"/>
    </row>
    <row r="3132" spans="1:9" ht="15.75" thickBot="1" x14ac:dyDescent="0.3">
      <c r="A3132" s="43" t="s">
        <v>7599</v>
      </c>
      <c r="B3132" s="21" t="s">
        <v>7600</v>
      </c>
      <c r="C3132" s="21" t="s">
        <v>22655</v>
      </c>
      <c r="D3132" s="22">
        <v>46034</v>
      </c>
      <c r="E3132" s="23" t="s">
        <v>22656</v>
      </c>
      <c r="F3132" s="24" t="s">
        <v>22657</v>
      </c>
      <c r="G3132" s="25">
        <v>2</v>
      </c>
      <c r="H3132" s="26"/>
      <c r="I3132" s="27"/>
    </row>
    <row r="3133" spans="1:9" ht="15.75" thickBot="1" x14ac:dyDescent="0.3">
      <c r="A3133" s="43" t="s">
        <v>22510</v>
      </c>
      <c r="B3133" s="21" t="s">
        <v>22511</v>
      </c>
      <c r="C3133" s="36" t="e">
        <v>#N/A</v>
      </c>
      <c r="D3133" s="37" t="e">
        <v>#N/A</v>
      </c>
      <c r="E3133" s="23" t="e">
        <v>#N/A</v>
      </c>
      <c r="F3133" s="24" t="s">
        <v>22657</v>
      </c>
      <c r="G3133" s="25" t="e">
        <v>#N/A</v>
      </c>
      <c r="H3133" s="29"/>
      <c r="I3133" s="30"/>
    </row>
    <row r="3134" spans="1:9" ht="15.75" thickBot="1" x14ac:dyDescent="0.3">
      <c r="A3134" s="43" t="s">
        <v>7601</v>
      </c>
      <c r="B3134" s="21" t="s">
        <v>7602</v>
      </c>
      <c r="C3134" s="21" t="s">
        <v>22655</v>
      </c>
      <c r="D3134" s="22">
        <v>46034</v>
      </c>
      <c r="E3134" s="23" t="s">
        <v>22661</v>
      </c>
      <c r="F3134" s="24" t="s">
        <v>22657</v>
      </c>
      <c r="G3134" s="25">
        <v>4</v>
      </c>
      <c r="H3134" s="26"/>
      <c r="I3134" s="27"/>
    </row>
    <row r="3135" spans="1:9" ht="15.75" thickBot="1" x14ac:dyDescent="0.3">
      <c r="A3135" s="43" t="s">
        <v>7603</v>
      </c>
      <c r="B3135" s="21" t="s">
        <v>7604</v>
      </c>
      <c r="C3135" s="21" t="s">
        <v>22655</v>
      </c>
      <c r="D3135" s="22">
        <v>46028</v>
      </c>
      <c r="E3135" s="23" t="s">
        <v>22661</v>
      </c>
      <c r="F3135" s="24" t="s">
        <v>22657</v>
      </c>
      <c r="G3135" s="25">
        <v>6</v>
      </c>
      <c r="H3135" s="32">
        <v>6</v>
      </c>
      <c r="I3135" s="33">
        <v>8</v>
      </c>
    </row>
    <row r="3136" spans="1:9" ht="15.75" thickBot="1" x14ac:dyDescent="0.3">
      <c r="A3136" s="43" t="s">
        <v>7605</v>
      </c>
      <c r="B3136" s="21" t="s">
        <v>7606</v>
      </c>
      <c r="C3136" s="21" t="s">
        <v>22655</v>
      </c>
      <c r="D3136" s="22">
        <v>46034</v>
      </c>
      <c r="E3136" s="23" t="s">
        <v>22661</v>
      </c>
      <c r="F3136" s="24" t="s">
        <v>22657</v>
      </c>
      <c r="G3136" s="25">
        <v>3</v>
      </c>
      <c r="H3136" s="26"/>
      <c r="I3136" s="27"/>
    </row>
    <row r="3137" spans="1:9" ht="15.75" thickBot="1" x14ac:dyDescent="0.3">
      <c r="A3137" s="43" t="s">
        <v>7607</v>
      </c>
      <c r="B3137" s="21" t="s">
        <v>7608</v>
      </c>
      <c r="C3137" s="21" t="s">
        <v>22655</v>
      </c>
      <c r="D3137" s="22">
        <v>46032</v>
      </c>
      <c r="E3137" s="23" t="s">
        <v>22656</v>
      </c>
      <c r="F3137" s="24" t="s">
        <v>22657</v>
      </c>
      <c r="G3137" s="25">
        <v>2</v>
      </c>
      <c r="H3137" s="29"/>
      <c r="I3137" s="30"/>
    </row>
    <row r="3138" spans="1:9" ht="15.75" thickBot="1" x14ac:dyDescent="0.3">
      <c r="A3138" s="43" t="s">
        <v>7609</v>
      </c>
      <c r="B3138" s="21" t="s">
        <v>7610</v>
      </c>
      <c r="C3138" s="21" t="s">
        <v>22655</v>
      </c>
      <c r="D3138" s="22">
        <v>46034</v>
      </c>
      <c r="E3138" s="23" t="s">
        <v>22656</v>
      </c>
      <c r="F3138" s="28" t="s">
        <v>22659</v>
      </c>
      <c r="G3138" s="25">
        <v>2</v>
      </c>
      <c r="H3138" s="26"/>
      <c r="I3138" s="27"/>
    </row>
    <row r="3139" spans="1:9" ht="15.75" thickBot="1" x14ac:dyDescent="0.3">
      <c r="A3139" s="43" t="s">
        <v>22512</v>
      </c>
      <c r="B3139" s="21" t="s">
        <v>22513</v>
      </c>
      <c r="C3139" s="21" t="s">
        <v>22655</v>
      </c>
      <c r="D3139" s="22">
        <v>46034</v>
      </c>
      <c r="E3139" s="23" t="s">
        <v>22658</v>
      </c>
      <c r="F3139" s="28" t="s">
        <v>22659</v>
      </c>
      <c r="G3139" s="25">
        <v>1</v>
      </c>
      <c r="H3139" s="29"/>
      <c r="I3139" s="30"/>
    </row>
    <row r="3140" spans="1:9" ht="15.75" thickBot="1" x14ac:dyDescent="0.3">
      <c r="A3140" s="43" t="s">
        <v>7611</v>
      </c>
      <c r="B3140" s="21" t="s">
        <v>7612</v>
      </c>
      <c r="C3140" s="21" t="s">
        <v>22655</v>
      </c>
      <c r="D3140" s="22">
        <v>46034</v>
      </c>
      <c r="E3140" s="23" t="s">
        <v>22656</v>
      </c>
      <c r="F3140" s="24" t="s">
        <v>22657</v>
      </c>
      <c r="G3140" s="25">
        <v>6</v>
      </c>
      <c r="H3140" s="34">
        <v>6</v>
      </c>
      <c r="I3140" s="35">
        <v>12</v>
      </c>
    </row>
    <row r="3141" spans="1:9" ht="15.75" thickBot="1" x14ac:dyDescent="0.3">
      <c r="A3141" s="43" t="s">
        <v>7613</v>
      </c>
      <c r="B3141" s="21" t="s">
        <v>7614</v>
      </c>
      <c r="C3141" s="21" t="s">
        <v>22655</v>
      </c>
      <c r="D3141" s="22">
        <v>46046</v>
      </c>
      <c r="E3141" s="23" t="s">
        <v>22658</v>
      </c>
      <c r="F3141" s="28" t="s">
        <v>22659</v>
      </c>
      <c r="G3141" s="25">
        <v>1</v>
      </c>
      <c r="H3141" s="29"/>
      <c r="I3141" s="30"/>
    </row>
    <row r="3142" spans="1:9" ht="15.75" thickBot="1" x14ac:dyDescent="0.3">
      <c r="A3142" s="43" t="s">
        <v>7615</v>
      </c>
      <c r="B3142" s="21" t="s">
        <v>7616</v>
      </c>
      <c r="C3142" s="21" t="s">
        <v>22655</v>
      </c>
      <c r="D3142" s="22">
        <v>46046</v>
      </c>
      <c r="E3142" s="23" t="s">
        <v>22658</v>
      </c>
      <c r="F3142" s="24" t="s">
        <v>22657</v>
      </c>
      <c r="G3142" s="25">
        <v>8</v>
      </c>
      <c r="H3142" s="26"/>
      <c r="I3142" s="27"/>
    </row>
    <row r="3143" spans="1:9" ht="15.75" thickBot="1" x14ac:dyDescent="0.3">
      <c r="A3143" s="43" t="s">
        <v>7617</v>
      </c>
      <c r="B3143" s="21" t="s">
        <v>7618</v>
      </c>
      <c r="C3143" s="21" t="s">
        <v>22686</v>
      </c>
      <c r="D3143" s="31" t="s">
        <v>22791</v>
      </c>
      <c r="E3143" s="23" t="s">
        <v>22656</v>
      </c>
      <c r="F3143" s="24" t="s">
        <v>22657</v>
      </c>
      <c r="G3143" s="25">
        <v>4</v>
      </c>
      <c r="H3143" s="29"/>
      <c r="I3143" s="30"/>
    </row>
    <row r="3144" spans="1:9" ht="15.75" thickBot="1" x14ac:dyDescent="0.3">
      <c r="A3144" s="43" t="s">
        <v>7619</v>
      </c>
      <c r="B3144" s="21" t="s">
        <v>7620</v>
      </c>
      <c r="C3144" s="21" t="s">
        <v>22686</v>
      </c>
      <c r="D3144" s="31" t="s">
        <v>22791</v>
      </c>
      <c r="E3144" s="23" t="s">
        <v>22656</v>
      </c>
      <c r="F3144" s="24" t="s">
        <v>22657</v>
      </c>
      <c r="G3144" s="25">
        <v>4</v>
      </c>
      <c r="H3144" s="26"/>
      <c r="I3144" s="27"/>
    </row>
    <row r="3145" spans="1:9" ht="15.75" thickBot="1" x14ac:dyDescent="0.3">
      <c r="A3145" s="43" t="s">
        <v>7621</v>
      </c>
      <c r="B3145" s="21" t="s">
        <v>7622</v>
      </c>
      <c r="C3145" s="21" t="s">
        <v>22686</v>
      </c>
      <c r="D3145" s="31" t="s">
        <v>22791</v>
      </c>
      <c r="E3145" s="23" t="s">
        <v>22656</v>
      </c>
      <c r="F3145" s="24" t="s">
        <v>22657</v>
      </c>
      <c r="G3145" s="25">
        <v>4</v>
      </c>
      <c r="H3145" s="29"/>
      <c r="I3145" s="30"/>
    </row>
    <row r="3146" spans="1:9" ht="15.75" thickBot="1" x14ac:dyDescent="0.3">
      <c r="A3146" s="43" t="s">
        <v>7623</v>
      </c>
      <c r="B3146" s="21" t="s">
        <v>7624</v>
      </c>
      <c r="C3146" s="21" t="s">
        <v>22686</v>
      </c>
      <c r="D3146" s="31" t="s">
        <v>22791</v>
      </c>
      <c r="E3146" s="23" t="s">
        <v>22656</v>
      </c>
      <c r="F3146" s="24" t="s">
        <v>22657</v>
      </c>
      <c r="G3146" s="25">
        <v>4</v>
      </c>
      <c r="H3146" s="26"/>
      <c r="I3146" s="27"/>
    </row>
    <row r="3147" spans="1:9" ht="15.75" thickBot="1" x14ac:dyDescent="0.3">
      <c r="A3147" s="43" t="s">
        <v>141</v>
      </c>
      <c r="B3147" s="21" t="s">
        <v>142</v>
      </c>
      <c r="C3147" s="21" t="s">
        <v>22655</v>
      </c>
      <c r="D3147" s="22">
        <v>46034</v>
      </c>
      <c r="E3147" s="23" t="s">
        <v>22661</v>
      </c>
      <c r="F3147" s="24" t="s">
        <v>22657</v>
      </c>
      <c r="G3147" s="25">
        <v>14</v>
      </c>
      <c r="H3147" s="29"/>
      <c r="I3147" s="30"/>
    </row>
    <row r="3148" spans="1:9" ht="15.75" thickBot="1" x14ac:dyDescent="0.3">
      <c r="A3148" s="43" t="s">
        <v>1665</v>
      </c>
      <c r="B3148" s="21" t="s">
        <v>1666</v>
      </c>
      <c r="C3148" s="21" t="s">
        <v>22655</v>
      </c>
      <c r="D3148" s="22">
        <v>46026</v>
      </c>
      <c r="E3148" s="23" t="s">
        <v>22661</v>
      </c>
      <c r="F3148" s="24" t="s">
        <v>22657</v>
      </c>
      <c r="G3148" s="25">
        <v>8</v>
      </c>
      <c r="H3148" s="34">
        <v>8</v>
      </c>
      <c r="I3148" s="35">
        <v>12</v>
      </c>
    </row>
    <row r="3149" spans="1:9" ht="15.75" thickBot="1" x14ac:dyDescent="0.3">
      <c r="A3149" s="43" t="s">
        <v>61</v>
      </c>
      <c r="B3149" s="21" t="s">
        <v>62</v>
      </c>
      <c r="C3149" s="21" t="s">
        <v>22709</v>
      </c>
      <c r="D3149" s="31">
        <v>1</v>
      </c>
      <c r="E3149" s="23" t="s">
        <v>22656</v>
      </c>
      <c r="F3149" s="24" t="s">
        <v>22657</v>
      </c>
      <c r="G3149" s="25">
        <v>2</v>
      </c>
      <c r="H3149" s="29"/>
      <c r="I3149" s="30"/>
    </row>
    <row r="3150" spans="1:9" ht="15.75" thickBot="1" x14ac:dyDescent="0.3">
      <c r="A3150" s="43" t="s">
        <v>7625</v>
      </c>
      <c r="B3150" s="21" t="s">
        <v>7626</v>
      </c>
      <c r="C3150" s="21" t="s">
        <v>22655</v>
      </c>
      <c r="D3150" s="31" t="s">
        <v>22666</v>
      </c>
      <c r="E3150" s="23" t="s">
        <v>22661</v>
      </c>
      <c r="F3150" s="24" t="s">
        <v>22657</v>
      </c>
      <c r="G3150" s="25">
        <v>20</v>
      </c>
      <c r="H3150" s="26"/>
      <c r="I3150" s="27"/>
    </row>
    <row r="3151" spans="1:9" ht="15.75" thickBot="1" x14ac:dyDescent="0.3">
      <c r="A3151" s="43" t="s">
        <v>725</v>
      </c>
      <c r="B3151" s="21" t="s">
        <v>726</v>
      </c>
      <c r="C3151" s="21" t="s">
        <v>22698</v>
      </c>
      <c r="D3151" s="31">
        <v>1</v>
      </c>
      <c r="E3151" s="23" t="s">
        <v>22661</v>
      </c>
      <c r="F3151" s="24" t="s">
        <v>22657</v>
      </c>
      <c r="G3151" s="25">
        <v>15</v>
      </c>
      <c r="H3151" s="32">
        <v>15</v>
      </c>
      <c r="I3151" s="33">
        <v>25</v>
      </c>
    </row>
    <row r="3152" spans="1:9" ht="15.75" thickBot="1" x14ac:dyDescent="0.3">
      <c r="A3152" s="43" t="s">
        <v>7627</v>
      </c>
      <c r="B3152" s="21" t="s">
        <v>7628</v>
      </c>
      <c r="C3152" s="21" t="s">
        <v>22663</v>
      </c>
      <c r="D3152" s="31">
        <v>1</v>
      </c>
      <c r="E3152" s="23" t="s">
        <v>22656</v>
      </c>
      <c r="F3152" s="24" t="s">
        <v>22657</v>
      </c>
      <c r="G3152" s="25">
        <v>15</v>
      </c>
      <c r="H3152" s="34">
        <v>15</v>
      </c>
      <c r="I3152" s="35">
        <v>30</v>
      </c>
    </row>
    <row r="3153" spans="1:9" ht="15.75" thickBot="1" x14ac:dyDescent="0.3">
      <c r="A3153" s="43" t="s">
        <v>7629</v>
      </c>
      <c r="B3153" s="21" t="s">
        <v>7630</v>
      </c>
      <c r="C3153" s="21" t="s">
        <v>22663</v>
      </c>
      <c r="D3153" s="31">
        <v>1</v>
      </c>
      <c r="E3153" s="23" t="s">
        <v>22656</v>
      </c>
      <c r="F3153" s="24" t="s">
        <v>22657</v>
      </c>
      <c r="G3153" s="25">
        <v>4</v>
      </c>
      <c r="H3153" s="29"/>
      <c r="I3153" s="30"/>
    </row>
    <row r="3154" spans="1:9" ht="15.75" thickBot="1" x14ac:dyDescent="0.3">
      <c r="A3154" s="43" t="s">
        <v>7631</v>
      </c>
      <c r="B3154" s="21" t="s">
        <v>7632</v>
      </c>
      <c r="C3154" s="21" t="s">
        <v>22663</v>
      </c>
      <c r="D3154" s="31">
        <v>1</v>
      </c>
      <c r="E3154" s="23" t="s">
        <v>22656</v>
      </c>
      <c r="F3154" s="24" t="s">
        <v>22657</v>
      </c>
      <c r="G3154" s="25">
        <v>2</v>
      </c>
      <c r="H3154" s="34">
        <v>0</v>
      </c>
      <c r="I3154" s="35">
        <v>0</v>
      </c>
    </row>
    <row r="3155" spans="1:9" ht="15.75" thickBot="1" x14ac:dyDescent="0.3">
      <c r="A3155" s="43" t="s">
        <v>7633</v>
      </c>
      <c r="B3155" s="21" t="s">
        <v>7634</v>
      </c>
      <c r="C3155" s="21" t="s">
        <v>22663</v>
      </c>
      <c r="D3155" s="31">
        <v>1</v>
      </c>
      <c r="E3155" s="23" t="s">
        <v>22656</v>
      </c>
      <c r="F3155" s="24" t="s">
        <v>22657</v>
      </c>
      <c r="G3155" s="25">
        <v>2</v>
      </c>
      <c r="H3155" s="29"/>
      <c r="I3155" s="30"/>
    </row>
    <row r="3156" spans="1:9" ht="15.75" thickBot="1" x14ac:dyDescent="0.3">
      <c r="A3156" s="43" t="s">
        <v>7635</v>
      </c>
      <c r="B3156" s="21" t="s">
        <v>7636</v>
      </c>
      <c r="C3156" s="21" t="s">
        <v>22709</v>
      </c>
      <c r="D3156" s="31">
        <v>1</v>
      </c>
      <c r="E3156" s="23" t="s">
        <v>22658</v>
      </c>
      <c r="F3156" s="24" t="s">
        <v>22657</v>
      </c>
      <c r="G3156" s="25">
        <v>1</v>
      </c>
      <c r="H3156" s="26"/>
      <c r="I3156" s="27"/>
    </row>
    <row r="3157" spans="1:9" ht="15.75" thickBot="1" x14ac:dyDescent="0.3">
      <c r="A3157" s="43" t="s">
        <v>7637</v>
      </c>
      <c r="B3157" s="21" t="s">
        <v>7638</v>
      </c>
      <c r="C3157" s="21" t="s">
        <v>22663</v>
      </c>
      <c r="D3157" s="31">
        <v>1</v>
      </c>
      <c r="E3157" s="23" t="s">
        <v>22656</v>
      </c>
      <c r="F3157" s="24" t="s">
        <v>22657</v>
      </c>
      <c r="G3157" s="25">
        <v>4</v>
      </c>
      <c r="H3157" s="29"/>
      <c r="I3157" s="30"/>
    </row>
    <row r="3158" spans="1:9" ht="15.75" thickBot="1" x14ac:dyDescent="0.3">
      <c r="A3158" s="43" t="s">
        <v>7639</v>
      </c>
      <c r="B3158" s="21" t="s">
        <v>7640</v>
      </c>
      <c r="C3158" s="21" t="s">
        <v>22663</v>
      </c>
      <c r="D3158" s="31">
        <v>1</v>
      </c>
      <c r="E3158" s="23" t="s">
        <v>22658</v>
      </c>
      <c r="F3158" s="24" t="s">
        <v>22657</v>
      </c>
      <c r="G3158" s="25">
        <v>1</v>
      </c>
      <c r="H3158" s="26"/>
      <c r="I3158" s="27"/>
    </row>
    <row r="3159" spans="1:9" ht="15.75" thickBot="1" x14ac:dyDescent="0.3">
      <c r="A3159" s="43" t="s">
        <v>7641</v>
      </c>
      <c r="B3159" s="21" t="s">
        <v>7642</v>
      </c>
      <c r="C3159" s="21" t="s">
        <v>22663</v>
      </c>
      <c r="D3159" s="31">
        <v>1</v>
      </c>
      <c r="E3159" s="23" t="s">
        <v>22656</v>
      </c>
      <c r="F3159" s="24" t="s">
        <v>22657</v>
      </c>
      <c r="G3159" s="25">
        <v>3</v>
      </c>
      <c r="H3159" s="29"/>
      <c r="I3159" s="30"/>
    </row>
    <row r="3160" spans="1:9" ht="15.75" thickBot="1" x14ac:dyDescent="0.3">
      <c r="A3160" s="43" t="s">
        <v>7643</v>
      </c>
      <c r="B3160" s="21" t="s">
        <v>7644</v>
      </c>
      <c r="C3160" s="21" t="s">
        <v>22727</v>
      </c>
      <c r="D3160" s="31">
        <v>1</v>
      </c>
      <c r="E3160" s="23" t="s">
        <v>22658</v>
      </c>
      <c r="F3160" s="24" t="s">
        <v>22657</v>
      </c>
      <c r="G3160" s="25">
        <v>1</v>
      </c>
      <c r="H3160" s="26"/>
      <c r="I3160" s="27"/>
    </row>
    <row r="3161" spans="1:9" ht="15.75" thickBot="1" x14ac:dyDescent="0.3">
      <c r="A3161" s="43" t="s">
        <v>7645</v>
      </c>
      <c r="B3161" s="21" t="s">
        <v>7646</v>
      </c>
      <c r="C3161" s="21" t="s">
        <v>22655</v>
      </c>
      <c r="D3161" s="22">
        <v>46046</v>
      </c>
      <c r="E3161" s="23" t="s">
        <v>22656</v>
      </c>
      <c r="F3161" s="24" t="s">
        <v>22657</v>
      </c>
      <c r="G3161" s="25">
        <v>2</v>
      </c>
      <c r="H3161" s="29"/>
      <c r="I3161" s="30"/>
    </row>
    <row r="3162" spans="1:9" ht="15.75" thickBot="1" x14ac:dyDescent="0.3">
      <c r="A3162" s="43" t="s">
        <v>7647</v>
      </c>
      <c r="B3162" s="21" t="s">
        <v>7648</v>
      </c>
      <c r="C3162" s="21" t="s">
        <v>22655</v>
      </c>
      <c r="D3162" s="22">
        <v>46034</v>
      </c>
      <c r="E3162" s="23" t="s">
        <v>22658</v>
      </c>
      <c r="F3162" s="24" t="s">
        <v>22657</v>
      </c>
      <c r="G3162" s="25">
        <v>2</v>
      </c>
      <c r="H3162" s="26"/>
      <c r="I3162" s="27"/>
    </row>
    <row r="3163" spans="1:9" ht="15.75" thickBot="1" x14ac:dyDescent="0.3">
      <c r="A3163" s="43" t="s">
        <v>7649</v>
      </c>
      <c r="B3163" s="21" t="s">
        <v>7650</v>
      </c>
      <c r="C3163" s="21" t="s">
        <v>22663</v>
      </c>
      <c r="D3163" s="31">
        <v>1</v>
      </c>
      <c r="E3163" s="23" t="s">
        <v>22658</v>
      </c>
      <c r="F3163" s="24" t="s">
        <v>22657</v>
      </c>
      <c r="G3163" s="25">
        <v>4</v>
      </c>
      <c r="H3163" s="29"/>
      <c r="I3163" s="30"/>
    </row>
    <row r="3164" spans="1:9" ht="15.75" thickBot="1" x14ac:dyDescent="0.3">
      <c r="A3164" s="43" t="s">
        <v>7651</v>
      </c>
      <c r="B3164" s="21" t="s">
        <v>7652</v>
      </c>
      <c r="C3164" s="21" t="s">
        <v>22655</v>
      </c>
      <c r="D3164" s="22">
        <v>46046</v>
      </c>
      <c r="E3164" s="23" t="s">
        <v>22656</v>
      </c>
      <c r="F3164" s="24" t="s">
        <v>22657</v>
      </c>
      <c r="G3164" s="25">
        <v>6</v>
      </c>
      <c r="H3164" s="26"/>
      <c r="I3164" s="27"/>
    </row>
    <row r="3165" spans="1:9" ht="15.75" thickBot="1" x14ac:dyDescent="0.3">
      <c r="A3165" s="43" t="s">
        <v>7653</v>
      </c>
      <c r="B3165" s="21" t="s">
        <v>7654</v>
      </c>
      <c r="C3165" s="21" t="s">
        <v>22655</v>
      </c>
      <c r="D3165" s="22">
        <v>46034</v>
      </c>
      <c r="E3165" s="23" t="s">
        <v>22656</v>
      </c>
      <c r="F3165" s="24" t="s">
        <v>22657</v>
      </c>
      <c r="G3165" s="25">
        <v>4</v>
      </c>
      <c r="H3165" s="29"/>
      <c r="I3165" s="30"/>
    </row>
    <row r="3166" spans="1:9" ht="15.75" thickBot="1" x14ac:dyDescent="0.3">
      <c r="A3166" s="43" t="s">
        <v>7655</v>
      </c>
      <c r="B3166" s="21" t="s">
        <v>7656</v>
      </c>
      <c r="C3166" s="21" t="s">
        <v>22655</v>
      </c>
      <c r="D3166" s="22">
        <v>46046</v>
      </c>
      <c r="E3166" s="23" t="s">
        <v>22656</v>
      </c>
      <c r="F3166" s="24" t="s">
        <v>22657</v>
      </c>
      <c r="G3166" s="25">
        <v>8</v>
      </c>
      <c r="H3166" s="26"/>
      <c r="I3166" s="27"/>
    </row>
    <row r="3167" spans="1:9" ht="15.75" thickBot="1" x14ac:dyDescent="0.3">
      <c r="A3167" s="43" t="s">
        <v>7657</v>
      </c>
      <c r="B3167" s="21" t="s">
        <v>7658</v>
      </c>
      <c r="C3167" s="21" t="s">
        <v>22655</v>
      </c>
      <c r="D3167" s="22">
        <v>46034</v>
      </c>
      <c r="E3167" s="23" t="s">
        <v>22656</v>
      </c>
      <c r="F3167" s="24" t="s">
        <v>22657</v>
      </c>
      <c r="G3167" s="25">
        <v>4</v>
      </c>
      <c r="H3167" s="29"/>
      <c r="I3167" s="30"/>
    </row>
    <row r="3168" spans="1:9" ht="15.75" thickBot="1" x14ac:dyDescent="0.3">
      <c r="A3168" s="43" t="s">
        <v>1405</v>
      </c>
      <c r="B3168" s="21" t="s">
        <v>1406</v>
      </c>
      <c r="C3168" s="21" t="s">
        <v>22655</v>
      </c>
      <c r="D3168" s="31" t="s">
        <v>22688</v>
      </c>
      <c r="E3168" s="23" t="s">
        <v>22661</v>
      </c>
      <c r="F3168" s="24" t="s">
        <v>22657</v>
      </c>
      <c r="G3168" s="25">
        <v>7</v>
      </c>
      <c r="H3168" s="26"/>
      <c r="I3168" s="27"/>
    </row>
    <row r="3169" spans="1:9" ht="15.75" thickBot="1" x14ac:dyDescent="0.3">
      <c r="A3169" s="43" t="s">
        <v>7659</v>
      </c>
      <c r="B3169" s="21" t="s">
        <v>7660</v>
      </c>
      <c r="C3169" s="21" t="s">
        <v>22655</v>
      </c>
      <c r="D3169" s="31" t="s">
        <v>22688</v>
      </c>
      <c r="E3169" s="23" t="s">
        <v>22665</v>
      </c>
      <c r="F3169" s="24" t="s">
        <v>22657</v>
      </c>
      <c r="G3169" s="25">
        <v>17</v>
      </c>
      <c r="H3169" s="29"/>
      <c r="I3169" s="30"/>
    </row>
    <row r="3170" spans="1:9" ht="15.75" thickBot="1" x14ac:dyDescent="0.3">
      <c r="A3170" s="43" t="s">
        <v>7661</v>
      </c>
      <c r="B3170" s="21" t="s">
        <v>7662</v>
      </c>
      <c r="C3170" s="21" t="s">
        <v>22655</v>
      </c>
      <c r="D3170" s="22">
        <v>46034</v>
      </c>
      <c r="E3170" s="23" t="s">
        <v>22656</v>
      </c>
      <c r="F3170" s="24" t="s">
        <v>22657</v>
      </c>
      <c r="G3170" s="25">
        <v>5</v>
      </c>
      <c r="H3170" s="26"/>
      <c r="I3170" s="27"/>
    </row>
    <row r="3171" spans="1:9" ht="15.75" thickBot="1" x14ac:dyDescent="0.3">
      <c r="A3171" s="43" t="s">
        <v>7663</v>
      </c>
      <c r="B3171" s="21" t="s">
        <v>7664</v>
      </c>
      <c r="C3171" s="21" t="s">
        <v>22655</v>
      </c>
      <c r="D3171" s="22">
        <v>46046</v>
      </c>
      <c r="E3171" s="23" t="s">
        <v>22656</v>
      </c>
      <c r="F3171" s="24" t="s">
        <v>22657</v>
      </c>
      <c r="G3171" s="25">
        <v>8</v>
      </c>
      <c r="H3171" s="29"/>
      <c r="I3171" s="30"/>
    </row>
    <row r="3172" spans="1:9" ht="15.75" thickBot="1" x14ac:dyDescent="0.3">
      <c r="A3172" s="43" t="s">
        <v>7665</v>
      </c>
      <c r="B3172" s="21" t="s">
        <v>7666</v>
      </c>
      <c r="C3172" s="21" t="s">
        <v>22655</v>
      </c>
      <c r="D3172" s="22">
        <v>46046</v>
      </c>
      <c r="E3172" s="23" t="s">
        <v>22658</v>
      </c>
      <c r="F3172" s="24" t="s">
        <v>22657</v>
      </c>
      <c r="G3172" s="25">
        <v>8</v>
      </c>
      <c r="H3172" s="26"/>
      <c r="I3172" s="27"/>
    </row>
    <row r="3173" spans="1:9" ht="15.75" thickBot="1" x14ac:dyDescent="0.3">
      <c r="A3173" s="43" t="s">
        <v>7667</v>
      </c>
      <c r="B3173" s="21" t="s">
        <v>7668</v>
      </c>
      <c r="C3173" s="21" t="s">
        <v>22655</v>
      </c>
      <c r="D3173" s="22">
        <v>46043</v>
      </c>
      <c r="E3173" s="23" t="s">
        <v>22658</v>
      </c>
      <c r="F3173" s="24" t="s">
        <v>22657</v>
      </c>
      <c r="G3173" s="25">
        <v>7</v>
      </c>
      <c r="H3173" s="29"/>
      <c r="I3173" s="30"/>
    </row>
    <row r="3174" spans="1:9" ht="15.75" thickBot="1" x14ac:dyDescent="0.3">
      <c r="A3174" s="43" t="s">
        <v>825</v>
      </c>
      <c r="B3174" s="21" t="s">
        <v>7669</v>
      </c>
      <c r="C3174" s="21" t="s">
        <v>22655</v>
      </c>
      <c r="D3174" s="22">
        <v>46046</v>
      </c>
      <c r="E3174" s="23" t="s">
        <v>22661</v>
      </c>
      <c r="F3174" s="24" t="s">
        <v>22657</v>
      </c>
      <c r="G3174" s="25">
        <v>8</v>
      </c>
      <c r="H3174" s="26"/>
      <c r="I3174" s="27"/>
    </row>
    <row r="3175" spans="1:9" ht="15.75" thickBot="1" x14ac:dyDescent="0.3">
      <c r="A3175" s="43" t="s">
        <v>7670</v>
      </c>
      <c r="B3175" s="21" t="s">
        <v>7671</v>
      </c>
      <c r="C3175" s="21" t="s">
        <v>22709</v>
      </c>
      <c r="D3175" s="31">
        <v>1</v>
      </c>
      <c r="E3175" s="23" t="s">
        <v>22658</v>
      </c>
      <c r="F3175" s="24" t="s">
        <v>22657</v>
      </c>
      <c r="G3175" s="25">
        <v>1</v>
      </c>
      <c r="H3175" s="29"/>
      <c r="I3175" s="30"/>
    </row>
    <row r="3176" spans="1:9" ht="15.75" thickBot="1" x14ac:dyDescent="0.3">
      <c r="A3176" s="43" t="s">
        <v>7672</v>
      </c>
      <c r="B3176" s="21" t="s">
        <v>7673</v>
      </c>
      <c r="C3176" s="21" t="s">
        <v>22663</v>
      </c>
      <c r="D3176" s="31">
        <v>1</v>
      </c>
      <c r="E3176" s="23" t="s">
        <v>22658</v>
      </c>
      <c r="F3176" s="24" t="s">
        <v>22657</v>
      </c>
      <c r="G3176" s="25">
        <v>4</v>
      </c>
      <c r="H3176" s="26"/>
      <c r="I3176" s="27"/>
    </row>
    <row r="3177" spans="1:9" ht="15.75" thickBot="1" x14ac:dyDescent="0.3">
      <c r="A3177" s="43" t="s">
        <v>7674</v>
      </c>
      <c r="B3177" s="21" t="s">
        <v>7675</v>
      </c>
      <c r="C3177" s="21" t="s">
        <v>22682</v>
      </c>
      <c r="D3177" s="22">
        <v>46034</v>
      </c>
      <c r="E3177" s="23" t="s">
        <v>22656</v>
      </c>
      <c r="F3177" s="24" t="s">
        <v>22657</v>
      </c>
      <c r="G3177" s="25">
        <v>4</v>
      </c>
      <c r="H3177" s="29"/>
      <c r="I3177" s="30"/>
    </row>
    <row r="3178" spans="1:9" ht="15.75" thickBot="1" x14ac:dyDescent="0.3">
      <c r="A3178" s="43" t="s">
        <v>81</v>
      </c>
      <c r="B3178" s="21" t="s">
        <v>82</v>
      </c>
      <c r="C3178" s="21" t="s">
        <v>22655</v>
      </c>
      <c r="D3178" s="22">
        <v>46032</v>
      </c>
      <c r="E3178" s="23" t="s">
        <v>22656</v>
      </c>
      <c r="F3178" s="24" t="s">
        <v>22657</v>
      </c>
      <c r="G3178" s="25">
        <v>4</v>
      </c>
      <c r="H3178" s="34">
        <v>4</v>
      </c>
      <c r="I3178" s="35">
        <v>6</v>
      </c>
    </row>
    <row r="3179" spans="1:9" ht="15.75" thickBot="1" x14ac:dyDescent="0.3">
      <c r="A3179" s="43" t="s">
        <v>571</v>
      </c>
      <c r="B3179" s="21" t="s">
        <v>572</v>
      </c>
      <c r="C3179" s="21" t="s">
        <v>22655</v>
      </c>
      <c r="D3179" s="31" t="s">
        <v>22660</v>
      </c>
      <c r="E3179" s="23" t="s">
        <v>22662</v>
      </c>
      <c r="F3179" s="24" t="s">
        <v>22657</v>
      </c>
      <c r="G3179" s="25">
        <v>144</v>
      </c>
      <c r="H3179" s="32">
        <v>144</v>
      </c>
      <c r="I3179" s="33">
        <v>240</v>
      </c>
    </row>
    <row r="3180" spans="1:9" ht="15.75" thickBot="1" x14ac:dyDescent="0.3">
      <c r="A3180" s="43" t="s">
        <v>7676</v>
      </c>
      <c r="B3180" s="21" t="s">
        <v>7677</v>
      </c>
      <c r="C3180" s="21" t="s">
        <v>22682</v>
      </c>
      <c r="D3180" s="22">
        <v>46034</v>
      </c>
      <c r="E3180" s="23" t="s">
        <v>22658</v>
      </c>
      <c r="F3180" s="24" t="s">
        <v>22657</v>
      </c>
      <c r="G3180" s="25">
        <v>4</v>
      </c>
      <c r="H3180" s="26"/>
      <c r="I3180" s="27"/>
    </row>
    <row r="3181" spans="1:9" ht="15.75" thickBot="1" x14ac:dyDescent="0.3">
      <c r="A3181" s="43" t="s">
        <v>7678</v>
      </c>
      <c r="B3181" s="21" t="s">
        <v>7679</v>
      </c>
      <c r="C3181" s="21" t="s">
        <v>22663</v>
      </c>
      <c r="D3181" s="31">
        <v>1</v>
      </c>
      <c r="E3181" s="23" t="s">
        <v>22658</v>
      </c>
      <c r="F3181" s="24" t="s">
        <v>22657</v>
      </c>
      <c r="G3181" s="25">
        <v>1</v>
      </c>
      <c r="H3181" s="29"/>
      <c r="I3181" s="30"/>
    </row>
    <row r="3182" spans="1:9" ht="15.75" thickBot="1" x14ac:dyDescent="0.3">
      <c r="A3182" s="43" t="s">
        <v>7680</v>
      </c>
      <c r="B3182" s="21" t="s">
        <v>7681</v>
      </c>
      <c r="C3182" s="21" t="s">
        <v>22663</v>
      </c>
      <c r="D3182" s="31">
        <v>1</v>
      </c>
      <c r="E3182" s="23" t="s">
        <v>22658</v>
      </c>
      <c r="F3182" s="24" t="s">
        <v>22657</v>
      </c>
      <c r="G3182" s="25">
        <v>1</v>
      </c>
      <c r="H3182" s="26"/>
      <c r="I3182" s="27"/>
    </row>
    <row r="3183" spans="1:9" ht="15.75" thickBot="1" x14ac:dyDescent="0.3">
      <c r="A3183" s="43" t="s">
        <v>7682</v>
      </c>
      <c r="B3183" s="21" t="s">
        <v>7683</v>
      </c>
      <c r="C3183" s="21" t="s">
        <v>22663</v>
      </c>
      <c r="D3183" s="31">
        <v>1</v>
      </c>
      <c r="E3183" s="23" t="s">
        <v>22656</v>
      </c>
      <c r="F3183" s="24" t="s">
        <v>22657</v>
      </c>
      <c r="G3183" s="25">
        <v>4</v>
      </c>
      <c r="H3183" s="29"/>
      <c r="I3183" s="30"/>
    </row>
    <row r="3184" spans="1:9" ht="15.75" thickBot="1" x14ac:dyDescent="0.3">
      <c r="A3184" s="43" t="s">
        <v>7684</v>
      </c>
      <c r="B3184" s="21" t="s">
        <v>7685</v>
      </c>
      <c r="C3184" s="21" t="s">
        <v>22663</v>
      </c>
      <c r="D3184" s="31">
        <v>1</v>
      </c>
      <c r="E3184" s="23" t="s">
        <v>22656</v>
      </c>
      <c r="F3184" s="24" t="s">
        <v>22657</v>
      </c>
      <c r="G3184" s="25">
        <v>2</v>
      </c>
      <c r="H3184" s="26"/>
      <c r="I3184" s="27"/>
    </row>
    <row r="3185" spans="1:9" ht="15.75" thickBot="1" x14ac:dyDescent="0.3">
      <c r="A3185" s="43" t="s">
        <v>7686</v>
      </c>
      <c r="B3185" s="21" t="s">
        <v>7687</v>
      </c>
      <c r="C3185" s="21" t="s">
        <v>22663</v>
      </c>
      <c r="D3185" s="31">
        <v>1</v>
      </c>
      <c r="E3185" s="23" t="s">
        <v>22656</v>
      </c>
      <c r="F3185" s="24" t="s">
        <v>22657</v>
      </c>
      <c r="G3185" s="25">
        <v>4</v>
      </c>
      <c r="H3185" s="29"/>
      <c r="I3185" s="30"/>
    </row>
    <row r="3186" spans="1:9" ht="15.75" thickBot="1" x14ac:dyDescent="0.3">
      <c r="A3186" s="43" t="s">
        <v>7688</v>
      </c>
      <c r="B3186" s="21" t="s">
        <v>7689</v>
      </c>
      <c r="C3186" s="21" t="s">
        <v>22655</v>
      </c>
      <c r="D3186" s="31" t="s">
        <v>22683</v>
      </c>
      <c r="E3186" s="23" t="s">
        <v>22656</v>
      </c>
      <c r="F3186" s="24" t="s">
        <v>22657</v>
      </c>
      <c r="G3186" s="25">
        <v>4</v>
      </c>
      <c r="H3186" s="26"/>
      <c r="I3186" s="27"/>
    </row>
    <row r="3187" spans="1:9" ht="15.75" thickBot="1" x14ac:dyDescent="0.3">
      <c r="A3187" s="43" t="s">
        <v>7690</v>
      </c>
      <c r="B3187" s="21" t="s">
        <v>7691</v>
      </c>
      <c r="C3187" s="21" t="s">
        <v>22655</v>
      </c>
      <c r="D3187" s="31" t="s">
        <v>22683</v>
      </c>
      <c r="E3187" s="23" t="s">
        <v>22656</v>
      </c>
      <c r="F3187" s="24" t="s">
        <v>22657</v>
      </c>
      <c r="G3187" s="25">
        <v>4</v>
      </c>
      <c r="H3187" s="29"/>
      <c r="I3187" s="30"/>
    </row>
    <row r="3188" spans="1:9" ht="15.75" thickBot="1" x14ac:dyDescent="0.3">
      <c r="A3188" s="43" t="s">
        <v>7692</v>
      </c>
      <c r="B3188" s="21" t="s">
        <v>7693</v>
      </c>
      <c r="C3188" s="21" t="s">
        <v>22655</v>
      </c>
      <c r="D3188" s="31" t="s">
        <v>22683</v>
      </c>
      <c r="E3188" s="23" t="s">
        <v>22656</v>
      </c>
      <c r="F3188" s="24" t="s">
        <v>22657</v>
      </c>
      <c r="G3188" s="25">
        <v>4</v>
      </c>
      <c r="H3188" s="26"/>
      <c r="I3188" s="27"/>
    </row>
    <row r="3189" spans="1:9" ht="15.75" thickBot="1" x14ac:dyDescent="0.3">
      <c r="A3189" s="43" t="s">
        <v>7694</v>
      </c>
      <c r="B3189" s="21" t="s">
        <v>7695</v>
      </c>
      <c r="C3189" s="21" t="s">
        <v>22655</v>
      </c>
      <c r="D3189" s="31" t="s">
        <v>22683</v>
      </c>
      <c r="E3189" s="23" t="s">
        <v>22656</v>
      </c>
      <c r="F3189" s="24" t="s">
        <v>22657</v>
      </c>
      <c r="G3189" s="25">
        <v>4</v>
      </c>
      <c r="H3189" s="29"/>
      <c r="I3189" s="30"/>
    </row>
    <row r="3190" spans="1:9" ht="15.75" thickBot="1" x14ac:dyDescent="0.3">
      <c r="A3190" s="43" t="s">
        <v>7696</v>
      </c>
      <c r="B3190" s="21" t="s">
        <v>7697</v>
      </c>
      <c r="C3190" s="21" t="s">
        <v>22655</v>
      </c>
      <c r="D3190" s="22">
        <v>46032</v>
      </c>
      <c r="E3190" s="23" t="s">
        <v>22658</v>
      </c>
      <c r="F3190" s="24" t="s">
        <v>22657</v>
      </c>
      <c r="G3190" s="25">
        <v>4</v>
      </c>
      <c r="H3190" s="26"/>
      <c r="I3190" s="27"/>
    </row>
    <row r="3191" spans="1:9" ht="15.75" thickBot="1" x14ac:dyDescent="0.3">
      <c r="A3191" s="43" t="s">
        <v>7698</v>
      </c>
      <c r="B3191" s="21" t="s">
        <v>7699</v>
      </c>
      <c r="C3191" s="21" t="s">
        <v>22655</v>
      </c>
      <c r="D3191" s="31" t="s">
        <v>22683</v>
      </c>
      <c r="E3191" s="23" t="s">
        <v>22656</v>
      </c>
      <c r="F3191" s="24" t="s">
        <v>22657</v>
      </c>
      <c r="G3191" s="25">
        <v>12</v>
      </c>
      <c r="H3191" s="32">
        <v>12</v>
      </c>
      <c r="I3191" s="33">
        <v>16</v>
      </c>
    </row>
    <row r="3192" spans="1:9" ht="15.75" thickBot="1" x14ac:dyDescent="0.3">
      <c r="A3192" s="43" t="s">
        <v>7700</v>
      </c>
      <c r="B3192" s="21" t="s">
        <v>7701</v>
      </c>
      <c r="C3192" s="21" t="s">
        <v>22655</v>
      </c>
      <c r="D3192" s="22">
        <v>46034</v>
      </c>
      <c r="E3192" s="23" t="s">
        <v>22656</v>
      </c>
      <c r="F3192" s="24" t="s">
        <v>22657</v>
      </c>
      <c r="G3192" s="25">
        <v>2</v>
      </c>
      <c r="H3192" s="34">
        <v>2</v>
      </c>
      <c r="I3192" s="35">
        <v>4</v>
      </c>
    </row>
    <row r="3193" spans="1:9" ht="15.75" thickBot="1" x14ac:dyDescent="0.3">
      <c r="A3193" s="43" t="s">
        <v>7702</v>
      </c>
      <c r="B3193" s="21" t="s">
        <v>7703</v>
      </c>
      <c r="C3193" s="21" t="s">
        <v>22655</v>
      </c>
      <c r="D3193" s="31" t="s">
        <v>22715</v>
      </c>
      <c r="E3193" s="23" t="s">
        <v>22656</v>
      </c>
      <c r="F3193" s="24" t="s">
        <v>22657</v>
      </c>
      <c r="G3193" s="25">
        <v>11</v>
      </c>
      <c r="H3193" s="29"/>
      <c r="I3193" s="30"/>
    </row>
    <row r="3194" spans="1:9" ht="15.75" thickBot="1" x14ac:dyDescent="0.3">
      <c r="A3194" s="43" t="s">
        <v>7704</v>
      </c>
      <c r="B3194" s="21" t="s">
        <v>7705</v>
      </c>
      <c r="C3194" s="21" t="s">
        <v>22655</v>
      </c>
      <c r="D3194" s="31" t="s">
        <v>22669</v>
      </c>
      <c r="E3194" s="23" t="s">
        <v>22658</v>
      </c>
      <c r="F3194" s="24" t="s">
        <v>22657</v>
      </c>
      <c r="G3194" s="25">
        <v>17</v>
      </c>
      <c r="H3194" s="26"/>
      <c r="I3194" s="27"/>
    </row>
    <row r="3195" spans="1:9" ht="15.75" thickBot="1" x14ac:dyDescent="0.3">
      <c r="A3195" s="43" t="s">
        <v>7706</v>
      </c>
      <c r="B3195" s="21" t="s">
        <v>7707</v>
      </c>
      <c r="C3195" s="21" t="s">
        <v>22655</v>
      </c>
      <c r="D3195" s="31" t="s">
        <v>22673</v>
      </c>
      <c r="E3195" s="23" t="s">
        <v>22658</v>
      </c>
      <c r="F3195" s="24" t="s">
        <v>22657</v>
      </c>
      <c r="G3195" s="25">
        <v>17</v>
      </c>
      <c r="H3195" s="29"/>
      <c r="I3195" s="30"/>
    </row>
    <row r="3196" spans="1:9" ht="15.75" thickBot="1" x14ac:dyDescent="0.3">
      <c r="A3196" s="43" t="s">
        <v>7708</v>
      </c>
      <c r="B3196" s="21" t="s">
        <v>7709</v>
      </c>
      <c r="C3196" s="21" t="s">
        <v>22655</v>
      </c>
      <c r="D3196" s="31" t="s">
        <v>22792</v>
      </c>
      <c r="E3196" s="23" t="s">
        <v>22658</v>
      </c>
      <c r="F3196" s="24" t="s">
        <v>22657</v>
      </c>
      <c r="G3196" s="25">
        <v>17</v>
      </c>
      <c r="H3196" s="26"/>
      <c r="I3196" s="27"/>
    </row>
    <row r="3197" spans="1:9" ht="15.75" thickBot="1" x14ac:dyDescent="0.3">
      <c r="A3197" s="43" t="s">
        <v>7710</v>
      </c>
      <c r="B3197" s="21" t="s">
        <v>7711</v>
      </c>
      <c r="C3197" s="21" t="s">
        <v>22655</v>
      </c>
      <c r="D3197" s="31" t="s">
        <v>22666</v>
      </c>
      <c r="E3197" s="23" t="s">
        <v>22661</v>
      </c>
      <c r="F3197" s="24" t="s">
        <v>22657</v>
      </c>
      <c r="G3197" s="25">
        <v>20</v>
      </c>
      <c r="H3197" s="29"/>
      <c r="I3197" s="30"/>
    </row>
    <row r="3198" spans="1:9" ht="15.75" thickBot="1" x14ac:dyDescent="0.3">
      <c r="A3198" s="43" t="s">
        <v>7712</v>
      </c>
      <c r="B3198" s="21" t="s">
        <v>7713</v>
      </c>
      <c r="C3198" s="21" t="s">
        <v>22655</v>
      </c>
      <c r="D3198" s="31" t="s">
        <v>22660</v>
      </c>
      <c r="E3198" s="23" t="s">
        <v>22656</v>
      </c>
      <c r="F3198" s="24" t="s">
        <v>22657</v>
      </c>
      <c r="G3198" s="25">
        <v>8</v>
      </c>
      <c r="H3198" s="26"/>
      <c r="I3198" s="27"/>
    </row>
    <row r="3199" spans="1:9" ht="15.75" thickBot="1" x14ac:dyDescent="0.3">
      <c r="A3199" s="43" t="s">
        <v>22514</v>
      </c>
      <c r="B3199" s="21" t="s">
        <v>22515</v>
      </c>
      <c r="C3199" s="36" t="e">
        <v>#N/A</v>
      </c>
      <c r="D3199" s="37" t="e">
        <v>#N/A</v>
      </c>
      <c r="E3199" s="23" t="e">
        <v>#N/A</v>
      </c>
      <c r="F3199" s="24" t="s">
        <v>22657</v>
      </c>
      <c r="G3199" s="25" t="e">
        <v>#N/A</v>
      </c>
      <c r="H3199" s="29"/>
      <c r="I3199" s="30"/>
    </row>
    <row r="3200" spans="1:9" ht="15.75" thickBot="1" x14ac:dyDescent="0.3">
      <c r="A3200" s="43" t="s">
        <v>7714</v>
      </c>
      <c r="B3200" s="21" t="s">
        <v>7715</v>
      </c>
      <c r="C3200" s="21" t="s">
        <v>22663</v>
      </c>
      <c r="D3200" s="31">
        <v>1</v>
      </c>
      <c r="E3200" s="23" t="s">
        <v>22658</v>
      </c>
      <c r="F3200" s="24" t="s">
        <v>22657</v>
      </c>
      <c r="G3200" s="25">
        <v>5</v>
      </c>
      <c r="H3200" s="26"/>
      <c r="I3200" s="27"/>
    </row>
    <row r="3201" spans="1:9" ht="15.75" thickBot="1" x14ac:dyDescent="0.3">
      <c r="A3201" s="43" t="s">
        <v>1900</v>
      </c>
      <c r="B3201" s="21" t="s">
        <v>1901</v>
      </c>
      <c r="C3201" s="21" t="s">
        <v>22655</v>
      </c>
      <c r="D3201" s="22">
        <v>46046</v>
      </c>
      <c r="E3201" s="23" t="s">
        <v>22665</v>
      </c>
      <c r="F3201" s="24" t="s">
        <v>22657</v>
      </c>
      <c r="G3201" s="25">
        <v>12</v>
      </c>
      <c r="H3201" s="32">
        <v>12</v>
      </c>
      <c r="I3201" s="33">
        <v>24</v>
      </c>
    </row>
    <row r="3202" spans="1:9" ht="15.75" thickBot="1" x14ac:dyDescent="0.3">
      <c r="A3202" s="43" t="s">
        <v>7716</v>
      </c>
      <c r="B3202" s="21" t="s">
        <v>7717</v>
      </c>
      <c r="C3202" s="21" t="s">
        <v>22655</v>
      </c>
      <c r="D3202" s="31" t="s">
        <v>22660</v>
      </c>
      <c r="E3202" s="23" t="s">
        <v>22661</v>
      </c>
      <c r="F3202" s="24" t="s">
        <v>22657</v>
      </c>
      <c r="G3202" s="25">
        <v>16</v>
      </c>
      <c r="H3202" s="26"/>
      <c r="I3202" s="27"/>
    </row>
    <row r="3203" spans="1:9" ht="15.75" thickBot="1" x14ac:dyDescent="0.3">
      <c r="A3203" s="43" t="s">
        <v>7718</v>
      </c>
      <c r="B3203" s="21" t="s">
        <v>7719</v>
      </c>
      <c r="C3203" s="21" t="s">
        <v>22655</v>
      </c>
      <c r="D3203" s="22">
        <v>46046</v>
      </c>
      <c r="E3203" s="23" t="s">
        <v>22658</v>
      </c>
      <c r="F3203" s="24" t="s">
        <v>22657</v>
      </c>
      <c r="G3203" s="25">
        <v>2</v>
      </c>
      <c r="H3203" s="29"/>
      <c r="I3203" s="30"/>
    </row>
    <row r="3204" spans="1:9" ht="15.75" thickBot="1" x14ac:dyDescent="0.3">
      <c r="A3204" s="43" t="s">
        <v>7720</v>
      </c>
      <c r="B3204" s="21" t="s">
        <v>7721</v>
      </c>
      <c r="C3204" s="21" t="s">
        <v>22655</v>
      </c>
      <c r="D3204" s="22">
        <v>46042</v>
      </c>
      <c r="E3204" s="23" t="s">
        <v>22658</v>
      </c>
      <c r="F3204" s="24" t="s">
        <v>22657</v>
      </c>
      <c r="G3204" s="25">
        <v>1</v>
      </c>
      <c r="H3204" s="26"/>
      <c r="I3204" s="27"/>
    </row>
    <row r="3205" spans="1:9" ht="15.75" thickBot="1" x14ac:dyDescent="0.3">
      <c r="A3205" s="43" t="s">
        <v>7722</v>
      </c>
      <c r="B3205" s="21" t="s">
        <v>7723</v>
      </c>
      <c r="C3205" s="21" t="s">
        <v>22655</v>
      </c>
      <c r="D3205" s="22">
        <v>46042</v>
      </c>
      <c r="E3205" s="23" t="s">
        <v>22656</v>
      </c>
      <c r="F3205" s="24" t="s">
        <v>22657</v>
      </c>
      <c r="G3205" s="25">
        <v>7</v>
      </c>
      <c r="H3205" s="29"/>
      <c r="I3205" s="30"/>
    </row>
    <row r="3206" spans="1:9" ht="15.75" thickBot="1" x14ac:dyDescent="0.3">
      <c r="A3206" s="43" t="s">
        <v>7724</v>
      </c>
      <c r="B3206" s="21" t="s">
        <v>7725</v>
      </c>
      <c r="C3206" s="21" t="s">
        <v>22655</v>
      </c>
      <c r="D3206" s="22">
        <v>46028</v>
      </c>
      <c r="E3206" s="23" t="s">
        <v>22656</v>
      </c>
      <c r="F3206" s="24" t="s">
        <v>22657</v>
      </c>
      <c r="G3206" s="25">
        <v>2</v>
      </c>
      <c r="H3206" s="26"/>
      <c r="I3206" s="27"/>
    </row>
    <row r="3207" spans="1:9" ht="15.75" thickBot="1" x14ac:dyDescent="0.3">
      <c r="A3207" s="43" t="s">
        <v>7726</v>
      </c>
      <c r="B3207" s="21" t="s">
        <v>7727</v>
      </c>
      <c r="C3207" s="21" t="s">
        <v>22655</v>
      </c>
      <c r="D3207" s="22">
        <v>46028</v>
      </c>
      <c r="E3207" s="23" t="s">
        <v>22656</v>
      </c>
      <c r="F3207" s="24" t="s">
        <v>22657</v>
      </c>
      <c r="G3207" s="25">
        <v>2</v>
      </c>
      <c r="H3207" s="29"/>
      <c r="I3207" s="30"/>
    </row>
    <row r="3208" spans="1:9" ht="15.75" thickBot="1" x14ac:dyDescent="0.3">
      <c r="A3208" s="43" t="s">
        <v>7728</v>
      </c>
      <c r="B3208" s="21" t="s">
        <v>7729</v>
      </c>
      <c r="C3208" s="21" t="s">
        <v>22655</v>
      </c>
      <c r="D3208" s="22">
        <v>46028</v>
      </c>
      <c r="E3208" s="23" t="s">
        <v>22658</v>
      </c>
      <c r="F3208" s="24" t="s">
        <v>22657</v>
      </c>
      <c r="G3208" s="25">
        <v>2</v>
      </c>
      <c r="H3208" s="26"/>
      <c r="I3208" s="27"/>
    </row>
    <row r="3209" spans="1:9" ht="15.75" thickBot="1" x14ac:dyDescent="0.3">
      <c r="A3209" s="43" t="s">
        <v>7730</v>
      </c>
      <c r="B3209" s="21" t="s">
        <v>7731</v>
      </c>
      <c r="C3209" s="21" t="s">
        <v>22655</v>
      </c>
      <c r="D3209" s="22">
        <v>46028</v>
      </c>
      <c r="E3209" s="23" t="s">
        <v>22656</v>
      </c>
      <c r="F3209" s="24" t="s">
        <v>22657</v>
      </c>
      <c r="G3209" s="25">
        <v>2</v>
      </c>
      <c r="H3209" s="29"/>
      <c r="I3209" s="30"/>
    </row>
    <row r="3210" spans="1:9" ht="15.75" thickBot="1" x14ac:dyDescent="0.3">
      <c r="A3210" s="43" t="s">
        <v>7732</v>
      </c>
      <c r="B3210" s="21" t="s">
        <v>7733</v>
      </c>
      <c r="C3210" s="21" t="s">
        <v>22655</v>
      </c>
      <c r="D3210" s="22">
        <v>46028</v>
      </c>
      <c r="E3210" s="23" t="s">
        <v>22658</v>
      </c>
      <c r="F3210" s="24" t="s">
        <v>22657</v>
      </c>
      <c r="G3210" s="25">
        <v>2</v>
      </c>
      <c r="H3210" s="26"/>
      <c r="I3210" s="27"/>
    </row>
    <row r="3211" spans="1:9" ht="15.75" thickBot="1" x14ac:dyDescent="0.3">
      <c r="A3211" s="43" t="s">
        <v>7734</v>
      </c>
      <c r="B3211" s="21" t="s">
        <v>7735</v>
      </c>
      <c r="C3211" s="21" t="s">
        <v>22655</v>
      </c>
      <c r="D3211" s="22">
        <v>46046</v>
      </c>
      <c r="E3211" s="23" t="s">
        <v>22658</v>
      </c>
      <c r="F3211" s="24" t="s">
        <v>22657</v>
      </c>
      <c r="G3211" s="25">
        <v>8</v>
      </c>
      <c r="H3211" s="29"/>
      <c r="I3211" s="30"/>
    </row>
    <row r="3212" spans="1:9" ht="15.75" thickBot="1" x14ac:dyDescent="0.3">
      <c r="A3212" s="43" t="s">
        <v>7736</v>
      </c>
      <c r="B3212" s="21" t="s">
        <v>7737</v>
      </c>
      <c r="C3212" s="21" t="s">
        <v>22663</v>
      </c>
      <c r="D3212" s="31">
        <v>1</v>
      </c>
      <c r="E3212" s="23" t="s">
        <v>22658</v>
      </c>
      <c r="F3212" s="24" t="s">
        <v>22657</v>
      </c>
      <c r="G3212" s="25">
        <v>2</v>
      </c>
      <c r="H3212" s="26"/>
      <c r="I3212" s="27"/>
    </row>
    <row r="3213" spans="1:9" ht="15.75" thickBot="1" x14ac:dyDescent="0.3">
      <c r="A3213" s="43" t="s">
        <v>7738</v>
      </c>
      <c r="B3213" s="21" t="s">
        <v>7739</v>
      </c>
      <c r="C3213" s="21" t="s">
        <v>22655</v>
      </c>
      <c r="D3213" s="22">
        <v>46040</v>
      </c>
      <c r="E3213" s="23" t="s">
        <v>22656</v>
      </c>
      <c r="F3213" s="24" t="s">
        <v>22657</v>
      </c>
      <c r="G3213" s="25">
        <v>4</v>
      </c>
      <c r="H3213" s="29"/>
      <c r="I3213" s="30"/>
    </row>
    <row r="3214" spans="1:9" ht="15.75" thickBot="1" x14ac:dyDescent="0.3">
      <c r="A3214" s="43" t="s">
        <v>7740</v>
      </c>
      <c r="B3214" s="21" t="s">
        <v>7741</v>
      </c>
      <c r="C3214" s="21" t="s">
        <v>22655</v>
      </c>
      <c r="D3214" s="22">
        <v>46040</v>
      </c>
      <c r="E3214" s="23" t="s">
        <v>22656</v>
      </c>
      <c r="F3214" s="24" t="s">
        <v>22657</v>
      </c>
      <c r="G3214" s="25">
        <v>3</v>
      </c>
      <c r="H3214" s="26"/>
      <c r="I3214" s="27"/>
    </row>
    <row r="3215" spans="1:9" ht="15.75" thickBot="1" x14ac:dyDescent="0.3">
      <c r="A3215" s="43" t="s">
        <v>7742</v>
      </c>
      <c r="B3215" s="21" t="s">
        <v>7743</v>
      </c>
      <c r="C3215" s="21" t="s">
        <v>22655</v>
      </c>
      <c r="D3215" s="22">
        <v>46040</v>
      </c>
      <c r="E3215" s="23" t="s">
        <v>22656</v>
      </c>
      <c r="F3215" s="24" t="s">
        <v>22657</v>
      </c>
      <c r="G3215" s="25">
        <v>3</v>
      </c>
      <c r="H3215" s="29"/>
      <c r="I3215" s="30"/>
    </row>
    <row r="3216" spans="1:9" ht="15.75" thickBot="1" x14ac:dyDescent="0.3">
      <c r="A3216" s="43" t="s">
        <v>7744</v>
      </c>
      <c r="B3216" s="21" t="s">
        <v>7745</v>
      </c>
      <c r="C3216" s="21" t="s">
        <v>22655</v>
      </c>
      <c r="D3216" s="22">
        <v>46040</v>
      </c>
      <c r="E3216" s="23" t="s">
        <v>22656</v>
      </c>
      <c r="F3216" s="24" t="s">
        <v>22657</v>
      </c>
      <c r="G3216" s="25">
        <v>3</v>
      </c>
      <c r="H3216" s="26"/>
      <c r="I3216" s="27"/>
    </row>
    <row r="3217" spans="1:9" ht="15.75" thickBot="1" x14ac:dyDescent="0.3">
      <c r="A3217" s="43" t="s">
        <v>7746</v>
      </c>
      <c r="B3217" s="21" t="s">
        <v>7747</v>
      </c>
      <c r="C3217" s="21" t="s">
        <v>22682</v>
      </c>
      <c r="D3217" s="22">
        <v>46034</v>
      </c>
      <c r="E3217" s="23" t="s">
        <v>22658</v>
      </c>
      <c r="F3217" s="24" t="s">
        <v>22657</v>
      </c>
      <c r="G3217" s="25">
        <v>4</v>
      </c>
      <c r="H3217" s="29"/>
      <c r="I3217" s="30"/>
    </row>
    <row r="3218" spans="1:9" ht="15.75" thickBot="1" x14ac:dyDescent="0.3">
      <c r="A3218" s="43" t="s">
        <v>7748</v>
      </c>
      <c r="B3218" s="21" t="s">
        <v>7749</v>
      </c>
      <c r="C3218" s="21" t="s">
        <v>22682</v>
      </c>
      <c r="D3218" s="22">
        <v>46034</v>
      </c>
      <c r="E3218" s="23" t="s">
        <v>22656</v>
      </c>
      <c r="F3218" s="24" t="s">
        <v>22657</v>
      </c>
      <c r="G3218" s="25">
        <v>4</v>
      </c>
      <c r="H3218" s="26"/>
      <c r="I3218" s="27"/>
    </row>
    <row r="3219" spans="1:9" ht="15.75" thickBot="1" x14ac:dyDescent="0.3">
      <c r="A3219" s="43" t="s">
        <v>7750</v>
      </c>
      <c r="B3219" s="21" t="s">
        <v>7751</v>
      </c>
      <c r="C3219" s="21" t="s">
        <v>22682</v>
      </c>
      <c r="D3219" s="22">
        <v>46034</v>
      </c>
      <c r="E3219" s="23" t="s">
        <v>22658</v>
      </c>
      <c r="F3219" s="24" t="s">
        <v>22657</v>
      </c>
      <c r="G3219" s="25">
        <v>4</v>
      </c>
      <c r="H3219" s="29"/>
      <c r="I3219" s="30"/>
    </row>
    <row r="3220" spans="1:9" ht="15.75" thickBot="1" x14ac:dyDescent="0.3">
      <c r="A3220" s="43" t="s">
        <v>7752</v>
      </c>
      <c r="B3220" s="21" t="s">
        <v>7753</v>
      </c>
      <c r="C3220" s="21" t="s">
        <v>22682</v>
      </c>
      <c r="D3220" s="22">
        <v>46034</v>
      </c>
      <c r="E3220" s="23" t="s">
        <v>22658</v>
      </c>
      <c r="F3220" s="24" t="s">
        <v>22657</v>
      </c>
      <c r="G3220" s="25">
        <v>4</v>
      </c>
      <c r="H3220" s="26"/>
      <c r="I3220" s="27"/>
    </row>
    <row r="3221" spans="1:9" ht="15.75" thickBot="1" x14ac:dyDescent="0.3">
      <c r="A3221" s="43" t="s">
        <v>7754</v>
      </c>
      <c r="B3221" s="21" t="s">
        <v>7755</v>
      </c>
      <c r="C3221" s="21" t="s">
        <v>22682</v>
      </c>
      <c r="D3221" s="22">
        <v>46034</v>
      </c>
      <c r="E3221" s="23" t="s">
        <v>22658</v>
      </c>
      <c r="F3221" s="24" t="s">
        <v>22657</v>
      </c>
      <c r="G3221" s="25">
        <v>4</v>
      </c>
      <c r="H3221" s="29"/>
      <c r="I3221" s="30"/>
    </row>
    <row r="3222" spans="1:9" ht="15.75" thickBot="1" x14ac:dyDescent="0.3">
      <c r="A3222" s="43" t="s">
        <v>7756</v>
      </c>
      <c r="B3222" s="21" t="s">
        <v>7757</v>
      </c>
      <c r="C3222" s="21" t="s">
        <v>22682</v>
      </c>
      <c r="D3222" s="22">
        <v>46034</v>
      </c>
      <c r="E3222" s="23" t="s">
        <v>22658</v>
      </c>
      <c r="F3222" s="24" t="s">
        <v>22657</v>
      </c>
      <c r="G3222" s="25">
        <v>4</v>
      </c>
      <c r="H3222" s="26"/>
      <c r="I3222" s="27"/>
    </row>
    <row r="3223" spans="1:9" ht="15.75" thickBot="1" x14ac:dyDescent="0.3">
      <c r="A3223" s="43" t="s">
        <v>7758</v>
      </c>
      <c r="B3223" s="21" t="s">
        <v>7759</v>
      </c>
      <c r="C3223" s="21" t="s">
        <v>22682</v>
      </c>
      <c r="D3223" s="22">
        <v>46034</v>
      </c>
      <c r="E3223" s="23" t="s">
        <v>22658</v>
      </c>
      <c r="F3223" s="24" t="s">
        <v>22657</v>
      </c>
      <c r="G3223" s="25">
        <v>4</v>
      </c>
      <c r="H3223" s="29"/>
      <c r="I3223" s="30"/>
    </row>
    <row r="3224" spans="1:9" ht="15.75" thickBot="1" x14ac:dyDescent="0.3">
      <c r="A3224" s="43" t="s">
        <v>7760</v>
      </c>
      <c r="B3224" s="21" t="s">
        <v>7761</v>
      </c>
      <c r="C3224" s="21" t="s">
        <v>22682</v>
      </c>
      <c r="D3224" s="22">
        <v>46034</v>
      </c>
      <c r="E3224" s="23" t="s">
        <v>22658</v>
      </c>
      <c r="F3224" s="24" t="s">
        <v>22657</v>
      </c>
      <c r="G3224" s="25">
        <v>4</v>
      </c>
      <c r="H3224" s="26"/>
      <c r="I3224" s="27"/>
    </row>
    <row r="3225" spans="1:9" ht="15.75" thickBot="1" x14ac:dyDescent="0.3">
      <c r="A3225" s="43" t="s">
        <v>7762</v>
      </c>
      <c r="B3225" s="21" t="s">
        <v>7763</v>
      </c>
      <c r="C3225" s="21" t="s">
        <v>22682</v>
      </c>
      <c r="D3225" s="22">
        <v>46034</v>
      </c>
      <c r="E3225" s="23" t="s">
        <v>22658</v>
      </c>
      <c r="F3225" s="24" t="s">
        <v>22657</v>
      </c>
      <c r="G3225" s="25">
        <v>4</v>
      </c>
      <c r="H3225" s="29"/>
      <c r="I3225" s="30"/>
    </row>
    <row r="3226" spans="1:9" ht="15.75" thickBot="1" x14ac:dyDescent="0.3">
      <c r="A3226" s="43" t="s">
        <v>7764</v>
      </c>
      <c r="B3226" s="21" t="s">
        <v>7765</v>
      </c>
      <c r="C3226" s="21" t="s">
        <v>22682</v>
      </c>
      <c r="D3226" s="22">
        <v>46034</v>
      </c>
      <c r="E3226" s="23" t="s">
        <v>22658</v>
      </c>
      <c r="F3226" s="24" t="s">
        <v>22657</v>
      </c>
      <c r="G3226" s="25">
        <v>4</v>
      </c>
      <c r="H3226" s="26"/>
      <c r="I3226" s="27"/>
    </row>
    <row r="3227" spans="1:9" ht="15.75" thickBot="1" x14ac:dyDescent="0.3">
      <c r="A3227" s="43" t="s">
        <v>7766</v>
      </c>
      <c r="B3227" s="21" t="s">
        <v>7767</v>
      </c>
      <c r="C3227" s="21" t="s">
        <v>22682</v>
      </c>
      <c r="D3227" s="22">
        <v>46034</v>
      </c>
      <c r="E3227" s="23" t="s">
        <v>22658</v>
      </c>
      <c r="F3227" s="24" t="s">
        <v>22657</v>
      </c>
      <c r="G3227" s="25">
        <v>4</v>
      </c>
      <c r="H3227" s="29"/>
      <c r="I3227" s="30"/>
    </row>
    <row r="3228" spans="1:9" ht="15.75" thickBot="1" x14ac:dyDescent="0.3">
      <c r="A3228" s="43" t="s">
        <v>7768</v>
      </c>
      <c r="B3228" s="21" t="s">
        <v>7769</v>
      </c>
      <c r="C3228" s="21" t="s">
        <v>22682</v>
      </c>
      <c r="D3228" s="22">
        <v>46034</v>
      </c>
      <c r="E3228" s="23" t="s">
        <v>22658</v>
      </c>
      <c r="F3228" s="24" t="s">
        <v>22657</v>
      </c>
      <c r="G3228" s="25">
        <v>4</v>
      </c>
      <c r="H3228" s="26"/>
      <c r="I3228" s="27"/>
    </row>
    <row r="3229" spans="1:9" ht="15.75" thickBot="1" x14ac:dyDescent="0.3">
      <c r="A3229" s="43" t="s">
        <v>7770</v>
      </c>
      <c r="B3229" s="21" t="s">
        <v>7771</v>
      </c>
      <c r="C3229" s="21" t="s">
        <v>22655</v>
      </c>
      <c r="D3229" s="22">
        <v>46034</v>
      </c>
      <c r="E3229" s="23" t="s">
        <v>22658</v>
      </c>
      <c r="F3229" s="24" t="s">
        <v>22657</v>
      </c>
      <c r="G3229" s="25">
        <v>4</v>
      </c>
      <c r="H3229" s="29"/>
      <c r="I3229" s="30"/>
    </row>
    <row r="3230" spans="1:9" ht="15.75" thickBot="1" x14ac:dyDescent="0.3">
      <c r="A3230" s="43" t="s">
        <v>7772</v>
      </c>
      <c r="B3230" s="21" t="s">
        <v>7773</v>
      </c>
      <c r="C3230" s="21" t="s">
        <v>22663</v>
      </c>
      <c r="D3230" s="31">
        <v>1</v>
      </c>
      <c r="E3230" s="23" t="s">
        <v>22656</v>
      </c>
      <c r="F3230" s="24" t="s">
        <v>22657</v>
      </c>
      <c r="G3230" s="25">
        <v>4</v>
      </c>
      <c r="H3230" s="26"/>
      <c r="I3230" s="27"/>
    </row>
    <row r="3231" spans="1:9" ht="15.75" thickBot="1" x14ac:dyDescent="0.3">
      <c r="A3231" s="43" t="s">
        <v>7774</v>
      </c>
      <c r="B3231" s="21" t="s">
        <v>7775</v>
      </c>
      <c r="C3231" s="21" t="s">
        <v>22698</v>
      </c>
      <c r="D3231" s="31">
        <v>1</v>
      </c>
      <c r="E3231" s="23" t="s">
        <v>22656</v>
      </c>
      <c r="F3231" s="24" t="s">
        <v>22657</v>
      </c>
      <c r="G3231" s="25">
        <v>4</v>
      </c>
      <c r="H3231" s="29"/>
      <c r="I3231" s="30"/>
    </row>
    <row r="3232" spans="1:9" ht="15.75" thickBot="1" x14ac:dyDescent="0.3">
      <c r="A3232" s="43" t="s">
        <v>7776</v>
      </c>
      <c r="B3232" s="21" t="s">
        <v>7777</v>
      </c>
      <c r="C3232" s="21" t="s">
        <v>22663</v>
      </c>
      <c r="D3232" s="31">
        <v>1</v>
      </c>
      <c r="E3232" s="23" t="s">
        <v>22661</v>
      </c>
      <c r="F3232" s="24" t="s">
        <v>22657</v>
      </c>
      <c r="G3232" s="25">
        <v>7</v>
      </c>
      <c r="H3232" s="26"/>
      <c r="I3232" s="27"/>
    </row>
    <row r="3233" spans="1:9" ht="15.75" thickBot="1" x14ac:dyDescent="0.3">
      <c r="A3233" s="43" t="s">
        <v>7778</v>
      </c>
      <c r="B3233" s="21" t="s">
        <v>7779</v>
      </c>
      <c r="C3233" s="21" t="s">
        <v>22655</v>
      </c>
      <c r="D3233" s="22">
        <v>46024</v>
      </c>
      <c r="E3233" s="23" t="s">
        <v>22656</v>
      </c>
      <c r="F3233" s="24" t="s">
        <v>22657</v>
      </c>
      <c r="G3233" s="25">
        <v>2</v>
      </c>
      <c r="H3233" s="29"/>
      <c r="I3233" s="30"/>
    </row>
    <row r="3234" spans="1:9" ht="15.75" thickBot="1" x14ac:dyDescent="0.3">
      <c r="A3234" s="43" t="s">
        <v>7780</v>
      </c>
      <c r="B3234" s="21" t="s">
        <v>7781</v>
      </c>
      <c r="C3234" s="21" t="s">
        <v>22655</v>
      </c>
      <c r="D3234" s="22">
        <v>46024</v>
      </c>
      <c r="E3234" s="23" t="s">
        <v>22656</v>
      </c>
      <c r="F3234" s="24" t="s">
        <v>22657</v>
      </c>
      <c r="G3234" s="25">
        <v>2</v>
      </c>
      <c r="H3234" s="26"/>
      <c r="I3234" s="27"/>
    </row>
    <row r="3235" spans="1:9" ht="15.75" thickBot="1" x14ac:dyDescent="0.3">
      <c r="A3235" s="43" t="s">
        <v>7782</v>
      </c>
      <c r="B3235" s="21" t="s">
        <v>7783</v>
      </c>
      <c r="C3235" s="21" t="s">
        <v>22663</v>
      </c>
      <c r="D3235" s="31">
        <v>1</v>
      </c>
      <c r="E3235" s="23" t="s">
        <v>22656</v>
      </c>
      <c r="F3235" s="24" t="s">
        <v>22657</v>
      </c>
      <c r="G3235" s="25">
        <v>4</v>
      </c>
      <c r="H3235" s="29"/>
      <c r="I3235" s="30"/>
    </row>
    <row r="3236" spans="1:9" ht="15.75" thickBot="1" x14ac:dyDescent="0.3">
      <c r="A3236" s="43" t="s">
        <v>7784</v>
      </c>
      <c r="B3236" s="21" t="s">
        <v>7785</v>
      </c>
      <c r="C3236" s="21" t="s">
        <v>22698</v>
      </c>
      <c r="D3236" s="31">
        <v>1</v>
      </c>
      <c r="E3236" s="23" t="s">
        <v>22656</v>
      </c>
      <c r="F3236" s="24" t="s">
        <v>22657</v>
      </c>
      <c r="G3236" s="25">
        <v>4</v>
      </c>
      <c r="H3236" s="26"/>
      <c r="I3236" s="27"/>
    </row>
    <row r="3237" spans="1:9" ht="15.75" thickBot="1" x14ac:dyDescent="0.3">
      <c r="A3237" s="43" t="s">
        <v>7786</v>
      </c>
      <c r="B3237" s="21" t="s">
        <v>7787</v>
      </c>
      <c r="C3237" s="21" t="s">
        <v>22663</v>
      </c>
      <c r="D3237" s="31">
        <v>1</v>
      </c>
      <c r="E3237" s="23" t="s">
        <v>22656</v>
      </c>
      <c r="F3237" s="24" t="s">
        <v>22657</v>
      </c>
      <c r="G3237" s="25">
        <v>7</v>
      </c>
      <c r="H3237" s="29"/>
      <c r="I3237" s="30"/>
    </row>
    <row r="3238" spans="1:9" ht="15.75" thickBot="1" x14ac:dyDescent="0.3">
      <c r="A3238" s="43" t="s">
        <v>7788</v>
      </c>
      <c r="B3238" s="21" t="s">
        <v>7789</v>
      </c>
      <c r="C3238" s="21" t="s">
        <v>22655</v>
      </c>
      <c r="D3238" s="22">
        <v>46024</v>
      </c>
      <c r="E3238" s="23" t="s">
        <v>22656</v>
      </c>
      <c r="F3238" s="24" t="s">
        <v>22657</v>
      </c>
      <c r="G3238" s="25">
        <v>2</v>
      </c>
      <c r="H3238" s="26"/>
      <c r="I3238" s="27"/>
    </row>
    <row r="3239" spans="1:9" ht="15.75" thickBot="1" x14ac:dyDescent="0.3">
      <c r="A3239" s="43" t="s">
        <v>7790</v>
      </c>
      <c r="B3239" s="21" t="s">
        <v>7791</v>
      </c>
      <c r="C3239" s="21" t="s">
        <v>22663</v>
      </c>
      <c r="D3239" s="31">
        <v>1</v>
      </c>
      <c r="E3239" s="23" t="s">
        <v>22658</v>
      </c>
      <c r="F3239" s="24" t="s">
        <v>22657</v>
      </c>
      <c r="G3239" s="25">
        <v>2</v>
      </c>
      <c r="H3239" s="29"/>
      <c r="I3239" s="30"/>
    </row>
    <row r="3240" spans="1:9" ht="15.75" thickBot="1" x14ac:dyDescent="0.3">
      <c r="A3240" s="43" t="s">
        <v>7792</v>
      </c>
      <c r="B3240" s="21" t="s">
        <v>7793</v>
      </c>
      <c r="C3240" s="21" t="s">
        <v>22663</v>
      </c>
      <c r="D3240" s="31">
        <v>1</v>
      </c>
      <c r="E3240" s="23" t="s">
        <v>22658</v>
      </c>
      <c r="F3240" s="24" t="s">
        <v>22657</v>
      </c>
      <c r="G3240" s="25">
        <v>2</v>
      </c>
      <c r="H3240" s="26"/>
      <c r="I3240" s="27"/>
    </row>
    <row r="3241" spans="1:9" ht="15.75" thickBot="1" x14ac:dyDescent="0.3">
      <c r="A3241" s="43" t="s">
        <v>7794</v>
      </c>
      <c r="B3241" s="21" t="s">
        <v>7795</v>
      </c>
      <c r="C3241" s="21" t="s">
        <v>22663</v>
      </c>
      <c r="D3241" s="31">
        <v>1</v>
      </c>
      <c r="E3241" s="23" t="s">
        <v>22658</v>
      </c>
      <c r="F3241" s="24" t="s">
        <v>22657</v>
      </c>
      <c r="G3241" s="25">
        <v>2</v>
      </c>
      <c r="H3241" s="29"/>
      <c r="I3241" s="30"/>
    </row>
    <row r="3242" spans="1:9" ht="15.75" thickBot="1" x14ac:dyDescent="0.3">
      <c r="A3242" s="43" t="s">
        <v>7796</v>
      </c>
      <c r="B3242" s="21" t="s">
        <v>7797</v>
      </c>
      <c r="C3242" s="21" t="s">
        <v>22682</v>
      </c>
      <c r="D3242" s="22">
        <v>46034</v>
      </c>
      <c r="E3242" s="23" t="s">
        <v>22658</v>
      </c>
      <c r="F3242" s="24" t="s">
        <v>22657</v>
      </c>
      <c r="G3242" s="25">
        <v>4</v>
      </c>
      <c r="H3242" s="26"/>
      <c r="I3242" s="27"/>
    </row>
    <row r="3243" spans="1:9" ht="15.75" thickBot="1" x14ac:dyDescent="0.3">
      <c r="A3243" s="43" t="s">
        <v>7798</v>
      </c>
      <c r="B3243" s="21" t="s">
        <v>7799</v>
      </c>
      <c r="C3243" s="21" t="s">
        <v>22682</v>
      </c>
      <c r="D3243" s="22">
        <v>46034</v>
      </c>
      <c r="E3243" s="23" t="s">
        <v>22658</v>
      </c>
      <c r="F3243" s="24" t="s">
        <v>22657</v>
      </c>
      <c r="G3243" s="25">
        <v>4</v>
      </c>
      <c r="H3243" s="29"/>
      <c r="I3243" s="30"/>
    </row>
    <row r="3244" spans="1:9" ht="15.75" thickBot="1" x14ac:dyDescent="0.3">
      <c r="A3244" s="43" t="s">
        <v>7800</v>
      </c>
      <c r="B3244" s="21" t="s">
        <v>7801</v>
      </c>
      <c r="C3244" s="21" t="s">
        <v>22682</v>
      </c>
      <c r="D3244" s="22">
        <v>46034</v>
      </c>
      <c r="E3244" s="23" t="s">
        <v>22656</v>
      </c>
      <c r="F3244" s="24" t="s">
        <v>22657</v>
      </c>
      <c r="G3244" s="25">
        <v>4</v>
      </c>
      <c r="H3244" s="26"/>
      <c r="I3244" s="27"/>
    </row>
    <row r="3245" spans="1:9" ht="15.75" thickBot="1" x14ac:dyDescent="0.3">
      <c r="A3245" s="43" t="s">
        <v>7802</v>
      </c>
      <c r="B3245" s="21" t="s">
        <v>7803</v>
      </c>
      <c r="C3245" s="21" t="s">
        <v>22655</v>
      </c>
      <c r="D3245" s="22">
        <v>46042</v>
      </c>
      <c r="E3245" s="23" t="s">
        <v>22656</v>
      </c>
      <c r="F3245" s="24" t="s">
        <v>22657</v>
      </c>
      <c r="G3245" s="25">
        <v>7</v>
      </c>
      <c r="H3245" s="29"/>
      <c r="I3245" s="30"/>
    </row>
    <row r="3246" spans="1:9" ht="15.75" thickBot="1" x14ac:dyDescent="0.3">
      <c r="A3246" s="43" t="s">
        <v>7804</v>
      </c>
      <c r="B3246" s="21" t="s">
        <v>7805</v>
      </c>
      <c r="C3246" s="21" t="s">
        <v>22682</v>
      </c>
      <c r="D3246" s="22">
        <v>46034</v>
      </c>
      <c r="E3246" s="23" t="s">
        <v>22658</v>
      </c>
      <c r="F3246" s="24" t="s">
        <v>22657</v>
      </c>
      <c r="G3246" s="25">
        <v>1</v>
      </c>
      <c r="H3246" s="26"/>
      <c r="I3246" s="27"/>
    </row>
    <row r="3247" spans="1:9" ht="15.75" thickBot="1" x14ac:dyDescent="0.3">
      <c r="A3247" s="43" t="s">
        <v>7806</v>
      </c>
      <c r="B3247" s="21" t="s">
        <v>7807</v>
      </c>
      <c r="C3247" s="21" t="s">
        <v>22655</v>
      </c>
      <c r="D3247" s="22">
        <v>46046</v>
      </c>
      <c r="E3247" s="23" t="s">
        <v>22658</v>
      </c>
      <c r="F3247" s="24" t="s">
        <v>22657</v>
      </c>
      <c r="G3247" s="25">
        <v>8</v>
      </c>
      <c r="H3247" s="29"/>
      <c r="I3247" s="30"/>
    </row>
    <row r="3248" spans="1:9" ht="15.75" thickBot="1" x14ac:dyDescent="0.3">
      <c r="A3248" s="43" t="s">
        <v>1285</v>
      </c>
      <c r="B3248" s="21" t="s">
        <v>1286</v>
      </c>
      <c r="C3248" s="21" t="s">
        <v>22655</v>
      </c>
      <c r="D3248" s="22">
        <v>46046</v>
      </c>
      <c r="E3248" s="23" t="s">
        <v>22662</v>
      </c>
      <c r="F3248" s="24" t="s">
        <v>22657</v>
      </c>
      <c r="G3248" s="25">
        <v>24</v>
      </c>
      <c r="H3248" s="34">
        <v>24</v>
      </c>
      <c r="I3248" s="35">
        <v>48</v>
      </c>
    </row>
    <row r="3249" spans="1:9" ht="15.75" thickBot="1" x14ac:dyDescent="0.3">
      <c r="A3249" s="43" t="s">
        <v>1491</v>
      </c>
      <c r="B3249" s="21" t="s">
        <v>1492</v>
      </c>
      <c r="C3249" s="21" t="s">
        <v>22655</v>
      </c>
      <c r="D3249" s="22">
        <v>46046</v>
      </c>
      <c r="E3249" s="23" t="s">
        <v>22665</v>
      </c>
      <c r="F3249" s="24" t="s">
        <v>22657</v>
      </c>
      <c r="G3249" s="25">
        <v>48</v>
      </c>
      <c r="H3249" s="32">
        <v>48</v>
      </c>
      <c r="I3249" s="33">
        <v>60</v>
      </c>
    </row>
    <row r="3250" spans="1:9" ht="15.75" thickBot="1" x14ac:dyDescent="0.3">
      <c r="A3250" s="43" t="s">
        <v>7808</v>
      </c>
      <c r="B3250" s="21" t="s">
        <v>7809</v>
      </c>
      <c r="C3250" s="21" t="s">
        <v>22655</v>
      </c>
      <c r="D3250" s="22">
        <v>46046</v>
      </c>
      <c r="E3250" s="23" t="s">
        <v>22661</v>
      </c>
      <c r="F3250" s="24" t="s">
        <v>22657</v>
      </c>
      <c r="G3250" s="25">
        <v>24</v>
      </c>
      <c r="H3250" s="34">
        <v>24</v>
      </c>
      <c r="I3250" s="35">
        <v>48</v>
      </c>
    </row>
    <row r="3251" spans="1:9" ht="15.75" thickBot="1" x14ac:dyDescent="0.3">
      <c r="A3251" s="43" t="s">
        <v>7810</v>
      </c>
      <c r="B3251" s="21" t="s">
        <v>7811</v>
      </c>
      <c r="C3251" s="21" t="s">
        <v>22655</v>
      </c>
      <c r="D3251" s="22">
        <v>46046</v>
      </c>
      <c r="E3251" s="23" t="s">
        <v>22661</v>
      </c>
      <c r="F3251" s="24" t="s">
        <v>22657</v>
      </c>
      <c r="G3251" s="25">
        <v>8</v>
      </c>
      <c r="H3251" s="29"/>
      <c r="I3251" s="30"/>
    </row>
    <row r="3252" spans="1:9" ht="15.75" thickBot="1" x14ac:dyDescent="0.3">
      <c r="A3252" s="43" t="s">
        <v>1819</v>
      </c>
      <c r="B3252" s="21" t="s">
        <v>7812</v>
      </c>
      <c r="C3252" s="21" t="s">
        <v>22655</v>
      </c>
      <c r="D3252" s="22">
        <v>46046</v>
      </c>
      <c r="E3252" s="23" t="s">
        <v>22661</v>
      </c>
      <c r="F3252" s="24" t="s">
        <v>22657</v>
      </c>
      <c r="G3252" s="25">
        <v>24</v>
      </c>
      <c r="H3252" s="34">
        <v>24</v>
      </c>
      <c r="I3252" s="35">
        <v>48</v>
      </c>
    </row>
    <row r="3253" spans="1:9" ht="15.75" thickBot="1" x14ac:dyDescent="0.3">
      <c r="A3253" s="43" t="s">
        <v>7813</v>
      </c>
      <c r="B3253" s="21" t="s">
        <v>7814</v>
      </c>
      <c r="C3253" s="21" t="s">
        <v>22672</v>
      </c>
      <c r="D3253" s="31" t="s">
        <v>22688</v>
      </c>
      <c r="E3253" s="23" t="s">
        <v>22656</v>
      </c>
      <c r="F3253" s="24" t="s">
        <v>22657</v>
      </c>
      <c r="G3253" s="25">
        <v>14</v>
      </c>
      <c r="H3253" s="29"/>
      <c r="I3253" s="30"/>
    </row>
    <row r="3254" spans="1:9" ht="15.75" thickBot="1" x14ac:dyDescent="0.3">
      <c r="A3254" s="43" t="s">
        <v>7815</v>
      </c>
      <c r="B3254" s="21" t="s">
        <v>7816</v>
      </c>
      <c r="C3254" s="21" t="s">
        <v>22716</v>
      </c>
      <c r="D3254" s="31" t="s">
        <v>22673</v>
      </c>
      <c r="E3254" s="23" t="s">
        <v>22661</v>
      </c>
      <c r="F3254" s="24" t="s">
        <v>22657</v>
      </c>
      <c r="G3254" s="25">
        <v>17</v>
      </c>
      <c r="H3254" s="26"/>
      <c r="I3254" s="27"/>
    </row>
    <row r="3255" spans="1:9" ht="15.75" thickBot="1" x14ac:dyDescent="0.3">
      <c r="A3255" s="43" t="s">
        <v>7817</v>
      </c>
      <c r="B3255" s="21" t="s">
        <v>7818</v>
      </c>
      <c r="C3255" s="21" t="s">
        <v>22725</v>
      </c>
      <c r="D3255" s="31" t="s">
        <v>22688</v>
      </c>
      <c r="E3255" s="23" t="s">
        <v>22656</v>
      </c>
      <c r="F3255" s="24" t="s">
        <v>22657</v>
      </c>
      <c r="G3255" s="25">
        <v>14</v>
      </c>
      <c r="H3255" s="29"/>
      <c r="I3255" s="30"/>
    </row>
    <row r="3256" spans="1:9" ht="15.75" thickBot="1" x14ac:dyDescent="0.3">
      <c r="A3256" s="43" t="s">
        <v>7819</v>
      </c>
      <c r="B3256" s="21" t="s">
        <v>7820</v>
      </c>
      <c r="C3256" s="21" t="s">
        <v>22667</v>
      </c>
      <c r="D3256" s="31" t="s">
        <v>22670</v>
      </c>
      <c r="E3256" s="23" t="s">
        <v>22661</v>
      </c>
      <c r="F3256" s="24" t="s">
        <v>22657</v>
      </c>
      <c r="G3256" s="25">
        <v>19</v>
      </c>
      <c r="H3256" s="26"/>
      <c r="I3256" s="27"/>
    </row>
    <row r="3257" spans="1:9" ht="15.75" thickBot="1" x14ac:dyDescent="0.3">
      <c r="A3257" s="43" t="s">
        <v>7821</v>
      </c>
      <c r="B3257" s="21" t="s">
        <v>7822</v>
      </c>
      <c r="C3257" s="21" t="s">
        <v>22682</v>
      </c>
      <c r="D3257" s="22">
        <v>46034</v>
      </c>
      <c r="E3257" s="23" t="s">
        <v>22658</v>
      </c>
      <c r="F3257" s="24" t="s">
        <v>22657</v>
      </c>
      <c r="G3257" s="25">
        <v>4</v>
      </c>
      <c r="H3257" s="29"/>
      <c r="I3257" s="30"/>
    </row>
    <row r="3258" spans="1:9" ht="15.75" thickBot="1" x14ac:dyDescent="0.3">
      <c r="A3258" s="43" t="s">
        <v>7823</v>
      </c>
      <c r="B3258" s="21" t="s">
        <v>7824</v>
      </c>
      <c r="C3258" s="21" t="s">
        <v>22682</v>
      </c>
      <c r="D3258" s="22">
        <v>46034</v>
      </c>
      <c r="E3258" s="23" t="s">
        <v>22658</v>
      </c>
      <c r="F3258" s="24" t="s">
        <v>22657</v>
      </c>
      <c r="G3258" s="25">
        <v>4</v>
      </c>
      <c r="H3258" s="26"/>
      <c r="I3258" s="27"/>
    </row>
    <row r="3259" spans="1:9" ht="15.75" thickBot="1" x14ac:dyDescent="0.3">
      <c r="A3259" s="43" t="s">
        <v>7825</v>
      </c>
      <c r="B3259" s="21" t="s">
        <v>7826</v>
      </c>
      <c r="C3259" s="21" t="s">
        <v>22682</v>
      </c>
      <c r="D3259" s="22">
        <v>46034</v>
      </c>
      <c r="E3259" s="23" t="s">
        <v>22656</v>
      </c>
      <c r="F3259" s="24" t="s">
        <v>22657</v>
      </c>
      <c r="G3259" s="25">
        <v>4</v>
      </c>
      <c r="H3259" s="29"/>
      <c r="I3259" s="30"/>
    </row>
    <row r="3260" spans="1:9" ht="15.75" thickBot="1" x14ac:dyDescent="0.3">
      <c r="A3260" s="43" t="s">
        <v>7827</v>
      </c>
      <c r="B3260" s="21" t="s">
        <v>7828</v>
      </c>
      <c r="C3260" s="21" t="s">
        <v>22682</v>
      </c>
      <c r="D3260" s="22">
        <v>46034</v>
      </c>
      <c r="E3260" s="23" t="s">
        <v>22656</v>
      </c>
      <c r="F3260" s="24" t="s">
        <v>22657</v>
      </c>
      <c r="G3260" s="25">
        <v>4</v>
      </c>
      <c r="H3260" s="26"/>
      <c r="I3260" s="27"/>
    </row>
    <row r="3261" spans="1:9" ht="15.75" thickBot="1" x14ac:dyDescent="0.3">
      <c r="A3261" s="43" t="s">
        <v>7829</v>
      </c>
      <c r="B3261" s="21" t="s">
        <v>7830</v>
      </c>
      <c r="C3261" s="21" t="s">
        <v>22682</v>
      </c>
      <c r="D3261" s="22">
        <v>46034</v>
      </c>
      <c r="E3261" s="23" t="s">
        <v>22658</v>
      </c>
      <c r="F3261" s="24" t="s">
        <v>22657</v>
      </c>
      <c r="G3261" s="25">
        <v>4</v>
      </c>
      <c r="H3261" s="29"/>
      <c r="I3261" s="30"/>
    </row>
    <row r="3262" spans="1:9" ht="15.75" thickBot="1" x14ac:dyDescent="0.3">
      <c r="A3262" s="43" t="s">
        <v>7831</v>
      </c>
      <c r="B3262" s="21" t="s">
        <v>7832</v>
      </c>
      <c r="C3262" s="21" t="s">
        <v>22682</v>
      </c>
      <c r="D3262" s="22">
        <v>46034</v>
      </c>
      <c r="E3262" s="23" t="s">
        <v>22656</v>
      </c>
      <c r="F3262" s="24" t="s">
        <v>22657</v>
      </c>
      <c r="G3262" s="25">
        <v>4</v>
      </c>
      <c r="H3262" s="26"/>
      <c r="I3262" s="27"/>
    </row>
    <row r="3263" spans="1:9" ht="15.75" thickBot="1" x14ac:dyDescent="0.3">
      <c r="A3263" s="43" t="s">
        <v>7833</v>
      </c>
      <c r="B3263" s="21" t="s">
        <v>7834</v>
      </c>
      <c r="C3263" s="21" t="s">
        <v>22655</v>
      </c>
      <c r="D3263" s="31" t="s">
        <v>22786</v>
      </c>
      <c r="E3263" s="23" t="s">
        <v>22658</v>
      </c>
      <c r="F3263" s="24" t="s">
        <v>22657</v>
      </c>
      <c r="G3263" s="25">
        <v>40</v>
      </c>
      <c r="H3263" s="29"/>
      <c r="I3263" s="30"/>
    </row>
    <row r="3264" spans="1:9" ht="15.75" thickBot="1" x14ac:dyDescent="0.3">
      <c r="A3264" s="43" t="s">
        <v>7835</v>
      </c>
      <c r="B3264" s="21" t="s">
        <v>7836</v>
      </c>
      <c r="C3264" s="21" t="s">
        <v>22655</v>
      </c>
      <c r="D3264" s="31" t="s">
        <v>22786</v>
      </c>
      <c r="E3264" s="23" t="s">
        <v>22656</v>
      </c>
      <c r="F3264" s="24" t="s">
        <v>22657</v>
      </c>
      <c r="G3264" s="25">
        <v>40</v>
      </c>
      <c r="H3264" s="26"/>
      <c r="I3264" s="27"/>
    </row>
    <row r="3265" spans="1:9" ht="15.75" thickBot="1" x14ac:dyDescent="0.3">
      <c r="A3265" s="43" t="s">
        <v>7837</v>
      </c>
      <c r="B3265" s="21" t="s">
        <v>7838</v>
      </c>
      <c r="C3265" s="21" t="s">
        <v>22655</v>
      </c>
      <c r="D3265" s="31" t="s">
        <v>22786</v>
      </c>
      <c r="E3265" s="23" t="s">
        <v>22656</v>
      </c>
      <c r="F3265" s="24" t="s">
        <v>22657</v>
      </c>
      <c r="G3265" s="25">
        <v>40</v>
      </c>
      <c r="H3265" s="29"/>
      <c r="I3265" s="30"/>
    </row>
    <row r="3266" spans="1:9" ht="15.75" thickBot="1" x14ac:dyDescent="0.3">
      <c r="A3266" s="43" t="s">
        <v>7839</v>
      </c>
      <c r="B3266" s="21" t="s">
        <v>7840</v>
      </c>
      <c r="C3266" s="21" t="s">
        <v>22655</v>
      </c>
      <c r="D3266" s="31" t="s">
        <v>22786</v>
      </c>
      <c r="E3266" s="23" t="s">
        <v>22656</v>
      </c>
      <c r="F3266" s="24" t="s">
        <v>22657</v>
      </c>
      <c r="G3266" s="25">
        <v>40</v>
      </c>
      <c r="H3266" s="26"/>
      <c r="I3266" s="27"/>
    </row>
    <row r="3267" spans="1:9" ht="15.75" thickBot="1" x14ac:dyDescent="0.3">
      <c r="A3267" s="43" t="s">
        <v>7841</v>
      </c>
      <c r="B3267" s="21" t="s">
        <v>7842</v>
      </c>
      <c r="C3267" s="21" t="s">
        <v>22716</v>
      </c>
      <c r="D3267" s="31" t="s">
        <v>22786</v>
      </c>
      <c r="E3267" s="23" t="s">
        <v>22656</v>
      </c>
      <c r="F3267" s="24" t="s">
        <v>22657</v>
      </c>
      <c r="G3267" s="25">
        <v>40</v>
      </c>
      <c r="H3267" s="29"/>
      <c r="I3267" s="30"/>
    </row>
    <row r="3268" spans="1:9" ht="15.75" thickBot="1" x14ac:dyDescent="0.3">
      <c r="A3268" s="43" t="s">
        <v>7843</v>
      </c>
      <c r="B3268" s="21" t="s">
        <v>7844</v>
      </c>
      <c r="C3268" s="21" t="s">
        <v>22655</v>
      </c>
      <c r="D3268" s="22">
        <v>46052</v>
      </c>
      <c r="E3268" s="23" t="s">
        <v>22656</v>
      </c>
      <c r="F3268" s="24" t="s">
        <v>22657</v>
      </c>
      <c r="G3268" s="25">
        <v>10</v>
      </c>
      <c r="H3268" s="26"/>
      <c r="I3268" s="27"/>
    </row>
    <row r="3269" spans="1:9" ht="15.75" thickBot="1" x14ac:dyDescent="0.3">
      <c r="A3269" s="43" t="s">
        <v>7845</v>
      </c>
      <c r="B3269" s="21" t="s">
        <v>7846</v>
      </c>
      <c r="C3269" s="21" t="s">
        <v>22655</v>
      </c>
      <c r="D3269" s="31" t="s">
        <v>22786</v>
      </c>
      <c r="E3269" s="23" t="s">
        <v>22656</v>
      </c>
      <c r="F3269" s="24" t="s">
        <v>22657</v>
      </c>
      <c r="G3269" s="25">
        <v>40</v>
      </c>
      <c r="H3269" s="29"/>
      <c r="I3269" s="30"/>
    </row>
    <row r="3270" spans="1:9" ht="15.75" thickBot="1" x14ac:dyDescent="0.3">
      <c r="A3270" s="43" t="s">
        <v>7847</v>
      </c>
      <c r="B3270" s="21" t="s">
        <v>7848</v>
      </c>
      <c r="C3270" s="21" t="s">
        <v>22655</v>
      </c>
      <c r="D3270" s="22">
        <v>46052</v>
      </c>
      <c r="E3270" s="23" t="s">
        <v>22661</v>
      </c>
      <c r="F3270" s="24" t="s">
        <v>22657</v>
      </c>
      <c r="G3270" s="25">
        <v>10</v>
      </c>
      <c r="H3270" s="26"/>
      <c r="I3270" s="27"/>
    </row>
    <row r="3271" spans="1:9" ht="15.75" thickBot="1" x14ac:dyDescent="0.3">
      <c r="A3271" s="43" t="s">
        <v>7849</v>
      </c>
      <c r="B3271" s="21" t="s">
        <v>7850</v>
      </c>
      <c r="C3271" s="21" t="s">
        <v>22655</v>
      </c>
      <c r="D3271" s="31" t="s">
        <v>22786</v>
      </c>
      <c r="E3271" s="23" t="s">
        <v>22661</v>
      </c>
      <c r="F3271" s="24" t="s">
        <v>22657</v>
      </c>
      <c r="G3271" s="25">
        <v>40</v>
      </c>
      <c r="H3271" s="29"/>
      <c r="I3271" s="30"/>
    </row>
    <row r="3272" spans="1:9" ht="15.75" thickBot="1" x14ac:dyDescent="0.3">
      <c r="A3272" s="43" t="s">
        <v>7851</v>
      </c>
      <c r="B3272" s="21" t="s">
        <v>7852</v>
      </c>
      <c r="C3272" s="21" t="s">
        <v>22655</v>
      </c>
      <c r="D3272" s="22">
        <v>46052</v>
      </c>
      <c r="E3272" s="23" t="s">
        <v>22656</v>
      </c>
      <c r="F3272" s="24" t="s">
        <v>22657</v>
      </c>
      <c r="G3272" s="25">
        <v>10</v>
      </c>
      <c r="H3272" s="26"/>
      <c r="I3272" s="27"/>
    </row>
    <row r="3273" spans="1:9" ht="15.75" thickBot="1" x14ac:dyDescent="0.3">
      <c r="A3273" s="43" t="s">
        <v>7853</v>
      </c>
      <c r="B3273" s="21" t="s">
        <v>7854</v>
      </c>
      <c r="C3273" s="21" t="s">
        <v>22655</v>
      </c>
      <c r="D3273" s="31" t="s">
        <v>22786</v>
      </c>
      <c r="E3273" s="23" t="s">
        <v>22661</v>
      </c>
      <c r="F3273" s="24" t="s">
        <v>22657</v>
      </c>
      <c r="G3273" s="25">
        <v>40</v>
      </c>
      <c r="H3273" s="29"/>
      <c r="I3273" s="30"/>
    </row>
    <row r="3274" spans="1:9" ht="15.75" thickBot="1" x14ac:dyDescent="0.3">
      <c r="A3274" s="43" t="s">
        <v>7855</v>
      </c>
      <c r="B3274" s="21" t="s">
        <v>7856</v>
      </c>
      <c r="C3274" s="21" t="s">
        <v>22682</v>
      </c>
      <c r="D3274" s="22">
        <v>46034</v>
      </c>
      <c r="E3274" s="23" t="s">
        <v>22658</v>
      </c>
      <c r="F3274" s="24" t="s">
        <v>22657</v>
      </c>
      <c r="G3274" s="25">
        <v>4</v>
      </c>
      <c r="H3274" s="26"/>
      <c r="I3274" s="27"/>
    </row>
    <row r="3275" spans="1:9" ht="15.75" thickBot="1" x14ac:dyDescent="0.3">
      <c r="A3275" s="43" t="s">
        <v>7857</v>
      </c>
      <c r="B3275" s="21" t="s">
        <v>7858</v>
      </c>
      <c r="C3275" s="21" t="s">
        <v>22655</v>
      </c>
      <c r="D3275" s="22">
        <v>46042</v>
      </c>
      <c r="E3275" s="23" t="s">
        <v>22658</v>
      </c>
      <c r="F3275" s="24" t="s">
        <v>22657</v>
      </c>
      <c r="G3275" s="25">
        <v>7</v>
      </c>
      <c r="H3275" s="29"/>
      <c r="I3275" s="30"/>
    </row>
    <row r="3276" spans="1:9" ht="15.75" thickBot="1" x14ac:dyDescent="0.3">
      <c r="A3276" s="43" t="s">
        <v>7859</v>
      </c>
      <c r="B3276" s="21" t="s">
        <v>7860</v>
      </c>
      <c r="C3276" s="21" t="s">
        <v>22655</v>
      </c>
      <c r="D3276" s="22">
        <v>46073</v>
      </c>
      <c r="E3276" s="23" t="s">
        <v>22658</v>
      </c>
      <c r="F3276" s="24" t="s">
        <v>22657</v>
      </c>
      <c r="G3276" s="25">
        <v>7</v>
      </c>
      <c r="H3276" s="26"/>
      <c r="I3276" s="27"/>
    </row>
    <row r="3277" spans="1:9" ht="15.75" thickBot="1" x14ac:dyDescent="0.3">
      <c r="A3277" s="43" t="s">
        <v>7861</v>
      </c>
      <c r="B3277" s="21" t="s">
        <v>7862</v>
      </c>
      <c r="C3277" s="21" t="s">
        <v>22682</v>
      </c>
      <c r="D3277" s="22">
        <v>46034</v>
      </c>
      <c r="E3277" s="23" t="s">
        <v>22656</v>
      </c>
      <c r="F3277" s="24" t="s">
        <v>22657</v>
      </c>
      <c r="G3277" s="25">
        <v>4</v>
      </c>
      <c r="H3277" s="29"/>
      <c r="I3277" s="30"/>
    </row>
    <row r="3278" spans="1:9" ht="15.75" thickBot="1" x14ac:dyDescent="0.3">
      <c r="A3278" s="43" t="s">
        <v>7863</v>
      </c>
      <c r="B3278" s="21" t="s">
        <v>7864</v>
      </c>
      <c r="C3278" s="21" t="s">
        <v>22655</v>
      </c>
      <c r="D3278" s="31" t="s">
        <v>22688</v>
      </c>
      <c r="E3278" s="23" t="s">
        <v>22656</v>
      </c>
      <c r="F3278" s="24" t="s">
        <v>22657</v>
      </c>
      <c r="G3278" s="25">
        <v>14</v>
      </c>
      <c r="H3278" s="26"/>
      <c r="I3278" s="27"/>
    </row>
    <row r="3279" spans="1:9" ht="15.75" thickBot="1" x14ac:dyDescent="0.3">
      <c r="A3279" s="43" t="s">
        <v>7865</v>
      </c>
      <c r="B3279" s="21" t="s">
        <v>7866</v>
      </c>
      <c r="C3279" s="21" t="s">
        <v>22655</v>
      </c>
      <c r="D3279" s="31" t="s">
        <v>22688</v>
      </c>
      <c r="E3279" s="23" t="s">
        <v>22656</v>
      </c>
      <c r="F3279" s="24" t="s">
        <v>22657</v>
      </c>
      <c r="G3279" s="25">
        <v>14</v>
      </c>
      <c r="H3279" s="29"/>
      <c r="I3279" s="30"/>
    </row>
    <row r="3280" spans="1:9" ht="15.75" thickBot="1" x14ac:dyDescent="0.3">
      <c r="A3280" s="43" t="s">
        <v>7867</v>
      </c>
      <c r="B3280" s="21" t="s">
        <v>7868</v>
      </c>
      <c r="C3280" s="21" t="s">
        <v>22655</v>
      </c>
      <c r="D3280" s="31" t="s">
        <v>22688</v>
      </c>
      <c r="E3280" s="23" t="s">
        <v>22658</v>
      </c>
      <c r="F3280" s="24" t="s">
        <v>22657</v>
      </c>
      <c r="G3280" s="25">
        <v>14</v>
      </c>
      <c r="H3280" s="26"/>
      <c r="I3280" s="27"/>
    </row>
    <row r="3281" spans="1:9" ht="15.75" thickBot="1" x14ac:dyDescent="0.3">
      <c r="A3281" s="43" t="s">
        <v>7869</v>
      </c>
      <c r="B3281" s="21" t="s">
        <v>7870</v>
      </c>
      <c r="C3281" s="21" t="s">
        <v>22655</v>
      </c>
      <c r="D3281" s="22">
        <v>46042</v>
      </c>
      <c r="E3281" s="23" t="s">
        <v>22656</v>
      </c>
      <c r="F3281" s="24" t="s">
        <v>22657</v>
      </c>
      <c r="G3281" s="25">
        <v>7</v>
      </c>
      <c r="H3281" s="29"/>
      <c r="I3281" s="30"/>
    </row>
    <row r="3282" spans="1:9" ht="15.75" thickBot="1" x14ac:dyDescent="0.3">
      <c r="A3282" s="43" t="s">
        <v>7871</v>
      </c>
      <c r="B3282" s="21" t="s">
        <v>7872</v>
      </c>
      <c r="C3282" s="21" t="s">
        <v>22655</v>
      </c>
      <c r="D3282" s="31" t="s">
        <v>22688</v>
      </c>
      <c r="E3282" s="23" t="s">
        <v>22658</v>
      </c>
      <c r="F3282" s="24" t="s">
        <v>22657</v>
      </c>
      <c r="G3282" s="25">
        <v>14</v>
      </c>
      <c r="H3282" s="26"/>
      <c r="I3282" s="27"/>
    </row>
    <row r="3283" spans="1:9" ht="15.75" thickBot="1" x14ac:dyDescent="0.3">
      <c r="A3283" s="43" t="s">
        <v>7873</v>
      </c>
      <c r="B3283" s="21" t="s">
        <v>7874</v>
      </c>
      <c r="C3283" s="21" t="s">
        <v>22655</v>
      </c>
      <c r="D3283" s="22">
        <v>46042</v>
      </c>
      <c r="E3283" s="23" t="s">
        <v>22658</v>
      </c>
      <c r="F3283" s="24" t="s">
        <v>22657</v>
      </c>
      <c r="G3283" s="25">
        <v>7</v>
      </c>
      <c r="H3283" s="29"/>
      <c r="I3283" s="30"/>
    </row>
    <row r="3284" spans="1:9" ht="15.75" thickBot="1" x14ac:dyDescent="0.3">
      <c r="A3284" s="43" t="s">
        <v>7875</v>
      </c>
      <c r="B3284" s="21" t="s">
        <v>7876</v>
      </c>
      <c r="C3284" s="21" t="s">
        <v>22655</v>
      </c>
      <c r="D3284" s="22">
        <v>46042</v>
      </c>
      <c r="E3284" s="23" t="s">
        <v>22656</v>
      </c>
      <c r="F3284" s="24" t="s">
        <v>22657</v>
      </c>
      <c r="G3284" s="25">
        <v>7</v>
      </c>
      <c r="H3284" s="26"/>
      <c r="I3284" s="27"/>
    </row>
    <row r="3285" spans="1:9" ht="15.75" thickBot="1" x14ac:dyDescent="0.3">
      <c r="A3285" s="43" t="s">
        <v>7877</v>
      </c>
      <c r="B3285" s="21" t="s">
        <v>7878</v>
      </c>
      <c r="C3285" s="21" t="s">
        <v>22655</v>
      </c>
      <c r="D3285" s="22">
        <v>46042</v>
      </c>
      <c r="E3285" s="23" t="s">
        <v>22658</v>
      </c>
      <c r="F3285" s="24" t="s">
        <v>22657</v>
      </c>
      <c r="G3285" s="25">
        <v>7</v>
      </c>
      <c r="H3285" s="29"/>
      <c r="I3285" s="30"/>
    </row>
    <row r="3286" spans="1:9" ht="15.75" thickBot="1" x14ac:dyDescent="0.3">
      <c r="A3286" s="43" t="s">
        <v>7879</v>
      </c>
      <c r="B3286" s="21" t="s">
        <v>7880</v>
      </c>
      <c r="C3286" s="21" t="s">
        <v>22655</v>
      </c>
      <c r="D3286" s="31" t="s">
        <v>22688</v>
      </c>
      <c r="E3286" s="23" t="s">
        <v>22656</v>
      </c>
      <c r="F3286" s="24" t="s">
        <v>22657</v>
      </c>
      <c r="G3286" s="25">
        <v>14</v>
      </c>
      <c r="H3286" s="26"/>
      <c r="I3286" s="27"/>
    </row>
    <row r="3287" spans="1:9" ht="15.75" thickBot="1" x14ac:dyDescent="0.3">
      <c r="A3287" s="43" t="s">
        <v>7881</v>
      </c>
      <c r="B3287" s="21" t="s">
        <v>7882</v>
      </c>
      <c r="C3287" s="21" t="s">
        <v>22655</v>
      </c>
      <c r="D3287" s="31" t="s">
        <v>22688</v>
      </c>
      <c r="E3287" s="23" t="s">
        <v>22658</v>
      </c>
      <c r="F3287" s="24" t="s">
        <v>22657</v>
      </c>
      <c r="G3287" s="25">
        <v>14</v>
      </c>
      <c r="H3287" s="29"/>
      <c r="I3287" s="30"/>
    </row>
    <row r="3288" spans="1:9" ht="15.75" thickBot="1" x14ac:dyDescent="0.3">
      <c r="A3288" s="43" t="s">
        <v>1493</v>
      </c>
      <c r="B3288" s="21" t="s">
        <v>1494</v>
      </c>
      <c r="C3288" s="21" t="s">
        <v>22655</v>
      </c>
      <c r="D3288" s="31" t="s">
        <v>22688</v>
      </c>
      <c r="E3288" s="23" t="s">
        <v>22665</v>
      </c>
      <c r="F3288" s="24" t="s">
        <v>22657</v>
      </c>
      <c r="G3288" s="25">
        <v>20</v>
      </c>
      <c r="H3288" s="34">
        <v>20</v>
      </c>
      <c r="I3288" s="35">
        <v>40</v>
      </c>
    </row>
    <row r="3289" spans="1:9" ht="15.75" thickBot="1" x14ac:dyDescent="0.3">
      <c r="A3289" s="43" t="s">
        <v>7883</v>
      </c>
      <c r="B3289" s="21" t="s">
        <v>7884</v>
      </c>
      <c r="C3289" s="21" t="s">
        <v>22655</v>
      </c>
      <c r="D3289" s="31" t="s">
        <v>22688</v>
      </c>
      <c r="E3289" s="23" t="s">
        <v>22658</v>
      </c>
      <c r="F3289" s="24" t="s">
        <v>22657</v>
      </c>
      <c r="G3289" s="25">
        <v>14</v>
      </c>
      <c r="H3289" s="29"/>
      <c r="I3289" s="30"/>
    </row>
    <row r="3290" spans="1:9" ht="15.75" thickBot="1" x14ac:dyDescent="0.3">
      <c r="A3290" s="43" t="s">
        <v>7885</v>
      </c>
      <c r="B3290" s="21" t="s">
        <v>7886</v>
      </c>
      <c r="C3290" s="21" t="s">
        <v>22793</v>
      </c>
      <c r="D3290" s="31">
        <v>1</v>
      </c>
      <c r="E3290" s="23" t="s">
        <v>22658</v>
      </c>
      <c r="F3290" s="24" t="s">
        <v>22657</v>
      </c>
      <c r="G3290" s="25">
        <v>14</v>
      </c>
      <c r="H3290" s="26"/>
      <c r="I3290" s="27"/>
    </row>
    <row r="3291" spans="1:9" ht="15.75" thickBot="1" x14ac:dyDescent="0.3">
      <c r="A3291" s="43" t="s">
        <v>7887</v>
      </c>
      <c r="B3291" s="21" t="s">
        <v>7888</v>
      </c>
      <c r="C3291" s="21" t="s">
        <v>22655</v>
      </c>
      <c r="D3291" s="31" t="s">
        <v>22688</v>
      </c>
      <c r="E3291" s="23" t="s">
        <v>22656</v>
      </c>
      <c r="F3291" s="24" t="s">
        <v>22657</v>
      </c>
      <c r="G3291" s="25">
        <v>14</v>
      </c>
      <c r="H3291" s="29"/>
      <c r="I3291" s="30"/>
    </row>
    <row r="3292" spans="1:9" ht="15.75" thickBot="1" x14ac:dyDescent="0.3">
      <c r="A3292" s="43" t="s">
        <v>7889</v>
      </c>
      <c r="B3292" s="21" t="s">
        <v>7890</v>
      </c>
      <c r="C3292" s="21" t="s">
        <v>22655</v>
      </c>
      <c r="D3292" s="22">
        <v>46042</v>
      </c>
      <c r="E3292" s="23" t="s">
        <v>22658</v>
      </c>
      <c r="F3292" s="24" t="s">
        <v>22657</v>
      </c>
      <c r="G3292" s="25">
        <v>7</v>
      </c>
      <c r="H3292" s="26"/>
      <c r="I3292" s="27"/>
    </row>
    <row r="3293" spans="1:9" ht="15.75" thickBot="1" x14ac:dyDescent="0.3">
      <c r="A3293" s="43" t="s">
        <v>7891</v>
      </c>
      <c r="B3293" s="21" t="s">
        <v>7892</v>
      </c>
      <c r="C3293" s="21" t="s">
        <v>22655</v>
      </c>
      <c r="D3293" s="31" t="s">
        <v>22688</v>
      </c>
      <c r="E3293" s="23" t="s">
        <v>22658</v>
      </c>
      <c r="F3293" s="24" t="s">
        <v>22657</v>
      </c>
      <c r="G3293" s="25">
        <v>7</v>
      </c>
      <c r="H3293" s="29"/>
      <c r="I3293" s="30"/>
    </row>
    <row r="3294" spans="1:9" ht="15.75" thickBot="1" x14ac:dyDescent="0.3">
      <c r="A3294" s="43" t="s">
        <v>7893</v>
      </c>
      <c r="B3294" s="21" t="s">
        <v>7894</v>
      </c>
      <c r="C3294" s="21" t="s">
        <v>22655</v>
      </c>
      <c r="D3294" s="22">
        <v>46042</v>
      </c>
      <c r="E3294" s="23" t="s">
        <v>22656</v>
      </c>
      <c r="F3294" s="24" t="s">
        <v>22657</v>
      </c>
      <c r="G3294" s="25">
        <v>7</v>
      </c>
      <c r="H3294" s="26"/>
      <c r="I3294" s="27"/>
    </row>
    <row r="3295" spans="1:9" ht="15.75" thickBot="1" x14ac:dyDescent="0.3">
      <c r="A3295" s="43" t="s">
        <v>7895</v>
      </c>
      <c r="B3295" s="21" t="s">
        <v>7896</v>
      </c>
      <c r="C3295" s="21" t="s">
        <v>22655</v>
      </c>
      <c r="D3295" s="31" t="s">
        <v>22688</v>
      </c>
      <c r="E3295" s="23" t="s">
        <v>22656</v>
      </c>
      <c r="F3295" s="24" t="s">
        <v>22657</v>
      </c>
      <c r="G3295" s="25">
        <v>14</v>
      </c>
      <c r="H3295" s="29"/>
      <c r="I3295" s="30"/>
    </row>
    <row r="3296" spans="1:9" ht="15.75" thickBot="1" x14ac:dyDescent="0.3">
      <c r="A3296" s="43" t="s">
        <v>7897</v>
      </c>
      <c r="B3296" s="21" t="s">
        <v>7898</v>
      </c>
      <c r="C3296" s="21" t="s">
        <v>22655</v>
      </c>
      <c r="D3296" s="22">
        <v>46042</v>
      </c>
      <c r="E3296" s="23" t="s">
        <v>22656</v>
      </c>
      <c r="F3296" s="24" t="s">
        <v>22657</v>
      </c>
      <c r="G3296" s="25">
        <v>7</v>
      </c>
      <c r="H3296" s="26"/>
      <c r="I3296" s="27"/>
    </row>
    <row r="3297" spans="1:9" ht="15.75" thickBot="1" x14ac:dyDescent="0.3">
      <c r="A3297" s="43" t="s">
        <v>7899</v>
      </c>
      <c r="B3297" s="21" t="s">
        <v>7900</v>
      </c>
      <c r="C3297" s="21" t="s">
        <v>22655</v>
      </c>
      <c r="D3297" s="22">
        <v>46042</v>
      </c>
      <c r="E3297" s="23" t="s">
        <v>22658</v>
      </c>
      <c r="F3297" s="24" t="s">
        <v>22657</v>
      </c>
      <c r="G3297" s="25">
        <v>7</v>
      </c>
      <c r="H3297" s="29"/>
      <c r="I3297" s="30"/>
    </row>
    <row r="3298" spans="1:9" ht="15.75" thickBot="1" x14ac:dyDescent="0.3">
      <c r="A3298" s="43" t="s">
        <v>7901</v>
      </c>
      <c r="B3298" s="21" t="s">
        <v>7902</v>
      </c>
      <c r="C3298" s="21" t="s">
        <v>22655</v>
      </c>
      <c r="D3298" s="22">
        <v>46042</v>
      </c>
      <c r="E3298" s="23" t="s">
        <v>22656</v>
      </c>
      <c r="F3298" s="24" t="s">
        <v>22657</v>
      </c>
      <c r="G3298" s="25">
        <v>7</v>
      </c>
      <c r="H3298" s="26"/>
      <c r="I3298" s="27"/>
    </row>
    <row r="3299" spans="1:9" ht="15.75" thickBot="1" x14ac:dyDescent="0.3">
      <c r="A3299" s="43" t="s">
        <v>7903</v>
      </c>
      <c r="B3299" s="21" t="s">
        <v>7904</v>
      </c>
      <c r="C3299" s="21" t="s">
        <v>22655</v>
      </c>
      <c r="D3299" s="31" t="s">
        <v>22688</v>
      </c>
      <c r="E3299" s="23" t="s">
        <v>22656</v>
      </c>
      <c r="F3299" s="24" t="s">
        <v>22657</v>
      </c>
      <c r="G3299" s="25">
        <v>14</v>
      </c>
      <c r="H3299" s="29"/>
      <c r="I3299" s="30"/>
    </row>
    <row r="3300" spans="1:9" ht="15.75" thickBot="1" x14ac:dyDescent="0.3">
      <c r="A3300" s="43" t="s">
        <v>1577</v>
      </c>
      <c r="B3300" s="21" t="s">
        <v>1578</v>
      </c>
      <c r="C3300" s="21" t="s">
        <v>22655</v>
      </c>
      <c r="D3300" s="31" t="s">
        <v>22688</v>
      </c>
      <c r="E3300" s="23" t="s">
        <v>22662</v>
      </c>
      <c r="F3300" s="24" t="s">
        <v>22657</v>
      </c>
      <c r="G3300" s="25">
        <v>20</v>
      </c>
      <c r="H3300" s="34">
        <v>20</v>
      </c>
      <c r="I3300" s="35">
        <v>40</v>
      </c>
    </row>
    <row r="3301" spans="1:9" ht="15.75" thickBot="1" x14ac:dyDescent="0.3">
      <c r="A3301" s="43" t="s">
        <v>7905</v>
      </c>
      <c r="B3301" s="21" t="s">
        <v>7906</v>
      </c>
      <c r="C3301" s="21" t="s">
        <v>22655</v>
      </c>
      <c r="D3301" s="31" t="s">
        <v>22688</v>
      </c>
      <c r="E3301" s="23" t="s">
        <v>22656</v>
      </c>
      <c r="F3301" s="24" t="s">
        <v>22657</v>
      </c>
      <c r="G3301" s="25">
        <v>14</v>
      </c>
      <c r="H3301" s="29"/>
      <c r="I3301" s="30"/>
    </row>
    <row r="3302" spans="1:9" ht="15.75" thickBot="1" x14ac:dyDescent="0.3">
      <c r="A3302" s="43" t="s">
        <v>7907</v>
      </c>
      <c r="B3302" s="21" t="s">
        <v>7908</v>
      </c>
      <c r="C3302" s="21" t="s">
        <v>22655</v>
      </c>
      <c r="D3302" s="22">
        <v>46042</v>
      </c>
      <c r="E3302" s="23" t="s">
        <v>22658</v>
      </c>
      <c r="F3302" s="24" t="s">
        <v>22657</v>
      </c>
      <c r="G3302" s="25">
        <v>7</v>
      </c>
      <c r="H3302" s="26"/>
      <c r="I3302" s="27"/>
    </row>
    <row r="3303" spans="1:9" ht="15.75" thickBot="1" x14ac:dyDescent="0.3">
      <c r="A3303" s="43" t="s">
        <v>7909</v>
      </c>
      <c r="B3303" s="21" t="s">
        <v>7910</v>
      </c>
      <c r="C3303" s="21" t="s">
        <v>22655</v>
      </c>
      <c r="D3303" s="22">
        <v>46042</v>
      </c>
      <c r="E3303" s="23" t="s">
        <v>22656</v>
      </c>
      <c r="F3303" s="24" t="s">
        <v>22657</v>
      </c>
      <c r="G3303" s="25">
        <v>7</v>
      </c>
      <c r="H3303" s="29"/>
      <c r="I3303" s="30"/>
    </row>
    <row r="3304" spans="1:9" ht="15.75" thickBot="1" x14ac:dyDescent="0.3">
      <c r="A3304" s="43" t="s">
        <v>7911</v>
      </c>
      <c r="B3304" s="21" t="s">
        <v>7912</v>
      </c>
      <c r="C3304" s="21" t="s">
        <v>22655</v>
      </c>
      <c r="D3304" s="22">
        <v>46042</v>
      </c>
      <c r="E3304" s="23" t="s">
        <v>22658</v>
      </c>
      <c r="F3304" s="24" t="s">
        <v>22657</v>
      </c>
      <c r="G3304" s="25">
        <v>7</v>
      </c>
      <c r="H3304" s="26"/>
      <c r="I3304" s="27"/>
    </row>
    <row r="3305" spans="1:9" ht="15.75" thickBot="1" x14ac:dyDescent="0.3">
      <c r="A3305" s="43" t="s">
        <v>7913</v>
      </c>
      <c r="B3305" s="21" t="s">
        <v>7914</v>
      </c>
      <c r="C3305" s="21" t="s">
        <v>22655</v>
      </c>
      <c r="D3305" s="22">
        <v>46042</v>
      </c>
      <c r="E3305" s="23" t="s">
        <v>22658</v>
      </c>
      <c r="F3305" s="24" t="s">
        <v>22657</v>
      </c>
      <c r="G3305" s="25">
        <v>7</v>
      </c>
      <c r="H3305" s="29"/>
      <c r="I3305" s="30"/>
    </row>
    <row r="3306" spans="1:9" ht="15.75" thickBot="1" x14ac:dyDescent="0.3">
      <c r="A3306" s="43" t="s">
        <v>7915</v>
      </c>
      <c r="B3306" s="21" t="s">
        <v>7916</v>
      </c>
      <c r="C3306" s="21" t="s">
        <v>22655</v>
      </c>
      <c r="D3306" s="22">
        <v>46042</v>
      </c>
      <c r="E3306" s="23" t="s">
        <v>22656</v>
      </c>
      <c r="F3306" s="24" t="s">
        <v>22657</v>
      </c>
      <c r="G3306" s="25">
        <v>8</v>
      </c>
      <c r="H3306" s="26"/>
      <c r="I3306" s="27"/>
    </row>
    <row r="3307" spans="1:9" ht="15.75" thickBot="1" x14ac:dyDescent="0.3">
      <c r="A3307" s="43" t="s">
        <v>7917</v>
      </c>
      <c r="B3307" s="21" t="s">
        <v>7918</v>
      </c>
      <c r="C3307" s="21" t="s">
        <v>22663</v>
      </c>
      <c r="D3307" s="31">
        <v>1</v>
      </c>
      <c r="E3307" s="23" t="s">
        <v>22658</v>
      </c>
      <c r="F3307" s="24" t="s">
        <v>22657</v>
      </c>
      <c r="G3307" s="25">
        <v>7</v>
      </c>
      <c r="H3307" s="29"/>
      <c r="I3307" s="30"/>
    </row>
    <row r="3308" spans="1:9" ht="15.75" thickBot="1" x14ac:dyDescent="0.3">
      <c r="A3308" s="43" t="s">
        <v>1047</v>
      </c>
      <c r="B3308" s="21" t="s">
        <v>1048</v>
      </c>
      <c r="C3308" s="21" t="s">
        <v>22655</v>
      </c>
      <c r="D3308" s="31" t="s">
        <v>22688</v>
      </c>
      <c r="E3308" s="23" t="s">
        <v>22665</v>
      </c>
      <c r="F3308" s="24" t="s">
        <v>22657</v>
      </c>
      <c r="G3308" s="25">
        <v>20</v>
      </c>
      <c r="H3308" s="34">
        <v>20</v>
      </c>
      <c r="I3308" s="35">
        <v>40</v>
      </c>
    </row>
    <row r="3309" spans="1:9" ht="15.75" thickBot="1" x14ac:dyDescent="0.3">
      <c r="A3309" s="43" t="s">
        <v>7919</v>
      </c>
      <c r="B3309" s="21" t="s">
        <v>7920</v>
      </c>
      <c r="C3309" s="21" t="s">
        <v>22655</v>
      </c>
      <c r="D3309" s="22">
        <v>46042</v>
      </c>
      <c r="E3309" s="23" t="s">
        <v>22658</v>
      </c>
      <c r="F3309" s="24" t="s">
        <v>22657</v>
      </c>
      <c r="G3309" s="25">
        <v>7</v>
      </c>
      <c r="H3309" s="29"/>
      <c r="I3309" s="30"/>
    </row>
    <row r="3310" spans="1:9" ht="15.75" thickBot="1" x14ac:dyDescent="0.3">
      <c r="A3310" s="43" t="s">
        <v>7921</v>
      </c>
      <c r="B3310" s="21" t="s">
        <v>7922</v>
      </c>
      <c r="C3310" s="21" t="s">
        <v>22655</v>
      </c>
      <c r="D3310" s="22">
        <v>46042</v>
      </c>
      <c r="E3310" s="23" t="s">
        <v>22656</v>
      </c>
      <c r="F3310" s="24" t="s">
        <v>22657</v>
      </c>
      <c r="G3310" s="25">
        <v>7</v>
      </c>
      <c r="H3310" s="26"/>
      <c r="I3310" s="27"/>
    </row>
    <row r="3311" spans="1:9" ht="15.75" thickBot="1" x14ac:dyDescent="0.3">
      <c r="A3311" s="43" t="s">
        <v>7923</v>
      </c>
      <c r="B3311" s="21" t="s">
        <v>7924</v>
      </c>
      <c r="C3311" s="21" t="s">
        <v>22655</v>
      </c>
      <c r="D3311" s="22">
        <v>46042</v>
      </c>
      <c r="E3311" s="23" t="s">
        <v>22656</v>
      </c>
      <c r="F3311" s="24" t="s">
        <v>22657</v>
      </c>
      <c r="G3311" s="25">
        <v>7</v>
      </c>
      <c r="H3311" s="29"/>
      <c r="I3311" s="30"/>
    </row>
    <row r="3312" spans="1:9" ht="15.75" thickBot="1" x14ac:dyDescent="0.3">
      <c r="A3312" s="43" t="s">
        <v>1225</v>
      </c>
      <c r="B3312" s="21" t="s">
        <v>1226</v>
      </c>
      <c r="C3312" s="21" t="s">
        <v>22655</v>
      </c>
      <c r="D3312" s="22">
        <v>46042</v>
      </c>
      <c r="E3312" s="23" t="s">
        <v>22661</v>
      </c>
      <c r="F3312" s="24" t="s">
        <v>22657</v>
      </c>
      <c r="G3312" s="25">
        <v>20</v>
      </c>
      <c r="H3312" s="34">
        <v>20</v>
      </c>
      <c r="I3312" s="35">
        <v>40</v>
      </c>
    </row>
    <row r="3313" spans="1:9" ht="15.75" thickBot="1" x14ac:dyDescent="0.3">
      <c r="A3313" s="43" t="s">
        <v>7925</v>
      </c>
      <c r="B3313" s="21" t="s">
        <v>7926</v>
      </c>
      <c r="C3313" s="21" t="s">
        <v>22655</v>
      </c>
      <c r="D3313" s="22">
        <v>46042</v>
      </c>
      <c r="E3313" s="23" t="s">
        <v>22656</v>
      </c>
      <c r="F3313" s="24" t="s">
        <v>22657</v>
      </c>
      <c r="G3313" s="25">
        <v>7</v>
      </c>
      <c r="H3313" s="29"/>
      <c r="I3313" s="30"/>
    </row>
    <row r="3314" spans="1:9" ht="15.75" thickBot="1" x14ac:dyDescent="0.3">
      <c r="A3314" s="43" t="s">
        <v>22516</v>
      </c>
      <c r="B3314" s="21" t="s">
        <v>22517</v>
      </c>
      <c r="C3314" s="36" t="e">
        <v>#N/A</v>
      </c>
      <c r="D3314" s="37" t="e">
        <v>#N/A</v>
      </c>
      <c r="E3314" s="23" t="e">
        <v>#N/A</v>
      </c>
      <c r="F3314" s="24" t="s">
        <v>22657</v>
      </c>
      <c r="G3314" s="25" t="e">
        <v>#N/A</v>
      </c>
      <c r="H3314" s="26"/>
      <c r="I3314" s="27"/>
    </row>
    <row r="3315" spans="1:9" ht="15.75" thickBot="1" x14ac:dyDescent="0.3">
      <c r="A3315" s="43" t="s">
        <v>7927</v>
      </c>
      <c r="B3315" s="21" t="s">
        <v>7928</v>
      </c>
      <c r="C3315" s="21" t="s">
        <v>22655</v>
      </c>
      <c r="D3315" s="22">
        <v>46042</v>
      </c>
      <c r="E3315" s="23" t="s">
        <v>22656</v>
      </c>
      <c r="F3315" s="24" t="s">
        <v>22657</v>
      </c>
      <c r="G3315" s="25">
        <v>7</v>
      </c>
      <c r="H3315" s="29"/>
      <c r="I3315" s="30"/>
    </row>
    <row r="3316" spans="1:9" ht="15.75" thickBot="1" x14ac:dyDescent="0.3">
      <c r="A3316" s="43" t="s">
        <v>7929</v>
      </c>
      <c r="B3316" s="21" t="s">
        <v>7930</v>
      </c>
      <c r="C3316" s="21" t="s">
        <v>22655</v>
      </c>
      <c r="D3316" s="22">
        <v>46042</v>
      </c>
      <c r="E3316" s="23" t="s">
        <v>22658</v>
      </c>
      <c r="F3316" s="24" t="s">
        <v>22657</v>
      </c>
      <c r="G3316" s="25">
        <v>7</v>
      </c>
      <c r="H3316" s="26"/>
      <c r="I3316" s="27"/>
    </row>
    <row r="3317" spans="1:9" ht="15.75" thickBot="1" x14ac:dyDescent="0.3">
      <c r="A3317" s="43" t="s">
        <v>7931</v>
      </c>
      <c r="B3317" s="21" t="s">
        <v>7932</v>
      </c>
      <c r="C3317" s="21" t="s">
        <v>22655</v>
      </c>
      <c r="D3317" s="22">
        <v>46042</v>
      </c>
      <c r="E3317" s="23" t="s">
        <v>22656</v>
      </c>
      <c r="F3317" s="24" t="s">
        <v>22657</v>
      </c>
      <c r="G3317" s="25">
        <v>7</v>
      </c>
      <c r="H3317" s="29"/>
      <c r="I3317" s="30"/>
    </row>
    <row r="3318" spans="1:9" ht="15.75" thickBot="1" x14ac:dyDescent="0.3">
      <c r="A3318" s="43" t="s">
        <v>854</v>
      </c>
      <c r="B3318" s="21" t="s">
        <v>855</v>
      </c>
      <c r="C3318" s="21" t="s">
        <v>22655</v>
      </c>
      <c r="D3318" s="22">
        <v>46042</v>
      </c>
      <c r="E3318" s="23" t="s">
        <v>22665</v>
      </c>
      <c r="F3318" s="24" t="s">
        <v>22657</v>
      </c>
      <c r="G3318" s="25">
        <v>30</v>
      </c>
      <c r="H3318" s="26"/>
      <c r="I3318" s="27"/>
    </row>
    <row r="3319" spans="1:9" ht="15.75" thickBot="1" x14ac:dyDescent="0.3">
      <c r="A3319" s="43" t="s">
        <v>7933</v>
      </c>
      <c r="B3319" s="21" t="s">
        <v>7934</v>
      </c>
      <c r="C3319" s="21" t="s">
        <v>22655</v>
      </c>
      <c r="D3319" s="22">
        <v>46042</v>
      </c>
      <c r="E3319" s="23" t="s">
        <v>22656</v>
      </c>
      <c r="F3319" s="24" t="s">
        <v>22657</v>
      </c>
      <c r="G3319" s="25">
        <v>7</v>
      </c>
      <c r="H3319" s="29"/>
      <c r="I3319" s="30"/>
    </row>
    <row r="3320" spans="1:9" ht="15.75" thickBot="1" x14ac:dyDescent="0.3">
      <c r="A3320" s="43" t="s">
        <v>7935</v>
      </c>
      <c r="B3320" s="21" t="s">
        <v>7936</v>
      </c>
      <c r="C3320" s="21" t="s">
        <v>22655</v>
      </c>
      <c r="D3320" s="22">
        <v>46042</v>
      </c>
      <c r="E3320" s="23" t="s">
        <v>22658</v>
      </c>
      <c r="F3320" s="24" t="s">
        <v>22657</v>
      </c>
      <c r="G3320" s="25">
        <v>7</v>
      </c>
      <c r="H3320" s="26"/>
      <c r="I3320" s="27"/>
    </row>
    <row r="3321" spans="1:9" ht="15.75" thickBot="1" x14ac:dyDescent="0.3">
      <c r="A3321" s="43" t="s">
        <v>7937</v>
      </c>
      <c r="B3321" s="21" t="s">
        <v>22518</v>
      </c>
      <c r="C3321" s="21" t="s">
        <v>22655</v>
      </c>
      <c r="D3321" s="22">
        <v>46042</v>
      </c>
      <c r="E3321" s="23" t="s">
        <v>22656</v>
      </c>
      <c r="F3321" s="24" t="s">
        <v>22657</v>
      </c>
      <c r="G3321" s="25">
        <v>7</v>
      </c>
      <c r="H3321" s="29"/>
      <c r="I3321" s="30"/>
    </row>
    <row r="3322" spans="1:9" ht="15.75" thickBot="1" x14ac:dyDescent="0.3">
      <c r="A3322" s="43" t="s">
        <v>7939</v>
      </c>
      <c r="B3322" s="21" t="s">
        <v>7940</v>
      </c>
      <c r="C3322" s="21" t="s">
        <v>22655</v>
      </c>
      <c r="D3322" s="31" t="s">
        <v>22688</v>
      </c>
      <c r="E3322" s="23" t="s">
        <v>22656</v>
      </c>
      <c r="F3322" s="24" t="s">
        <v>22657</v>
      </c>
      <c r="G3322" s="25">
        <v>14</v>
      </c>
      <c r="H3322" s="26"/>
      <c r="I3322" s="27"/>
    </row>
    <row r="3323" spans="1:9" ht="15.75" thickBot="1" x14ac:dyDescent="0.3">
      <c r="A3323" s="43" t="s">
        <v>7941</v>
      </c>
      <c r="B3323" s="21" t="s">
        <v>7942</v>
      </c>
      <c r="C3323" s="21" t="s">
        <v>22682</v>
      </c>
      <c r="D3323" s="22">
        <v>46034</v>
      </c>
      <c r="E3323" s="23" t="s">
        <v>22658</v>
      </c>
      <c r="F3323" s="24" t="s">
        <v>22657</v>
      </c>
      <c r="G3323" s="25">
        <v>1</v>
      </c>
      <c r="H3323" s="29"/>
      <c r="I3323" s="30"/>
    </row>
    <row r="3324" spans="1:9" ht="15.75" thickBot="1" x14ac:dyDescent="0.3">
      <c r="A3324" s="43" t="s">
        <v>7943</v>
      </c>
      <c r="B3324" s="21" t="s">
        <v>7944</v>
      </c>
      <c r="C3324" s="21" t="s">
        <v>22682</v>
      </c>
      <c r="D3324" s="22">
        <v>46034</v>
      </c>
      <c r="E3324" s="23" t="s">
        <v>22656</v>
      </c>
      <c r="F3324" s="24" t="s">
        <v>22657</v>
      </c>
      <c r="G3324" s="25">
        <v>2</v>
      </c>
      <c r="H3324" s="26"/>
      <c r="I3324" s="27"/>
    </row>
    <row r="3325" spans="1:9" ht="15.75" thickBot="1" x14ac:dyDescent="0.3">
      <c r="A3325" s="43" t="s">
        <v>7945</v>
      </c>
      <c r="B3325" s="21" t="s">
        <v>7946</v>
      </c>
      <c r="C3325" s="21" t="s">
        <v>22682</v>
      </c>
      <c r="D3325" s="22">
        <v>46034</v>
      </c>
      <c r="E3325" s="23" t="s">
        <v>22658</v>
      </c>
      <c r="F3325" s="24" t="s">
        <v>22657</v>
      </c>
      <c r="G3325" s="25">
        <v>1</v>
      </c>
      <c r="H3325" s="29"/>
      <c r="I3325" s="30"/>
    </row>
    <row r="3326" spans="1:9" ht="15.75" thickBot="1" x14ac:dyDescent="0.3">
      <c r="A3326" s="43" t="s">
        <v>7947</v>
      </c>
      <c r="B3326" s="21" t="s">
        <v>7948</v>
      </c>
      <c r="C3326" s="21" t="s">
        <v>22682</v>
      </c>
      <c r="D3326" s="22">
        <v>46034</v>
      </c>
      <c r="E3326" s="23" t="s">
        <v>22658</v>
      </c>
      <c r="F3326" s="24" t="s">
        <v>22657</v>
      </c>
      <c r="G3326" s="25">
        <v>1</v>
      </c>
      <c r="H3326" s="26"/>
      <c r="I3326" s="27"/>
    </row>
    <row r="3327" spans="1:9" ht="15.75" thickBot="1" x14ac:dyDescent="0.3">
      <c r="A3327" s="43" t="s">
        <v>7949</v>
      </c>
      <c r="B3327" s="21" t="s">
        <v>7950</v>
      </c>
      <c r="C3327" s="21" t="s">
        <v>22682</v>
      </c>
      <c r="D3327" s="22">
        <v>46034</v>
      </c>
      <c r="E3327" s="23" t="s">
        <v>22658</v>
      </c>
      <c r="F3327" s="24" t="s">
        <v>22657</v>
      </c>
      <c r="G3327" s="25">
        <v>1</v>
      </c>
      <c r="H3327" s="29"/>
      <c r="I3327" s="30"/>
    </row>
    <row r="3328" spans="1:9" ht="15.75" thickBot="1" x14ac:dyDescent="0.3">
      <c r="A3328" s="43" t="s">
        <v>7951</v>
      </c>
      <c r="B3328" s="21" t="s">
        <v>7952</v>
      </c>
      <c r="C3328" s="21" t="s">
        <v>22655</v>
      </c>
      <c r="D3328" s="31" t="s">
        <v>22688</v>
      </c>
      <c r="E3328" s="23" t="s">
        <v>22658</v>
      </c>
      <c r="F3328" s="24" t="s">
        <v>22657</v>
      </c>
      <c r="G3328" s="25">
        <v>14</v>
      </c>
      <c r="H3328" s="26"/>
      <c r="I3328" s="27"/>
    </row>
    <row r="3329" spans="1:9" ht="15.75" thickBot="1" x14ac:dyDescent="0.3">
      <c r="A3329" s="43" t="s">
        <v>7953</v>
      </c>
      <c r="B3329" s="21" t="s">
        <v>7954</v>
      </c>
      <c r="C3329" s="21" t="s">
        <v>22784</v>
      </c>
      <c r="D3329" s="31" t="s">
        <v>22688</v>
      </c>
      <c r="E3329" s="23" t="s">
        <v>22658</v>
      </c>
      <c r="F3329" s="24" t="s">
        <v>22657</v>
      </c>
      <c r="G3329" s="25">
        <v>14</v>
      </c>
      <c r="H3329" s="29"/>
      <c r="I3329" s="30"/>
    </row>
    <row r="3330" spans="1:9" ht="15.75" thickBot="1" x14ac:dyDescent="0.3">
      <c r="A3330" s="43" t="s">
        <v>7955</v>
      </c>
      <c r="B3330" s="21" t="s">
        <v>7956</v>
      </c>
      <c r="C3330" s="21" t="s">
        <v>22655</v>
      </c>
      <c r="D3330" s="31" t="s">
        <v>22688</v>
      </c>
      <c r="E3330" s="23" t="s">
        <v>22661</v>
      </c>
      <c r="F3330" s="24" t="s">
        <v>22657</v>
      </c>
      <c r="G3330" s="25">
        <v>10</v>
      </c>
      <c r="H3330" s="34">
        <v>10</v>
      </c>
      <c r="I3330" s="35">
        <v>20</v>
      </c>
    </row>
    <row r="3331" spans="1:9" ht="15.75" thickBot="1" x14ac:dyDescent="0.3">
      <c r="A3331" s="43" t="s">
        <v>7957</v>
      </c>
      <c r="B3331" s="21" t="s">
        <v>7958</v>
      </c>
      <c r="C3331" s="21" t="s">
        <v>22655</v>
      </c>
      <c r="D3331" s="31" t="s">
        <v>22688</v>
      </c>
      <c r="E3331" s="23" t="s">
        <v>22658</v>
      </c>
      <c r="F3331" s="24" t="s">
        <v>22657</v>
      </c>
      <c r="G3331" s="25">
        <v>14</v>
      </c>
      <c r="H3331" s="29"/>
      <c r="I3331" s="30"/>
    </row>
    <row r="3332" spans="1:9" ht="15.75" thickBot="1" x14ac:dyDescent="0.3">
      <c r="A3332" s="43" t="s">
        <v>7959</v>
      </c>
      <c r="B3332" s="21" t="s">
        <v>7960</v>
      </c>
      <c r="C3332" s="21" t="s">
        <v>22655</v>
      </c>
      <c r="D3332" s="31" t="s">
        <v>22688</v>
      </c>
      <c r="E3332" s="23" t="s">
        <v>22656</v>
      </c>
      <c r="F3332" s="24" t="s">
        <v>22657</v>
      </c>
      <c r="G3332" s="25">
        <v>14</v>
      </c>
      <c r="H3332" s="26"/>
      <c r="I3332" s="27"/>
    </row>
    <row r="3333" spans="1:9" ht="15.75" thickBot="1" x14ac:dyDescent="0.3">
      <c r="A3333" s="43" t="s">
        <v>7961</v>
      </c>
      <c r="B3333" s="21" t="s">
        <v>7962</v>
      </c>
      <c r="C3333" s="36" t="e">
        <v>#N/A</v>
      </c>
      <c r="D3333" s="37" t="e">
        <v>#N/A</v>
      </c>
      <c r="E3333" s="23" t="e">
        <v>#N/A</v>
      </c>
      <c r="F3333" s="28" t="s">
        <v>22659</v>
      </c>
      <c r="G3333" s="25" t="e">
        <v>#N/A</v>
      </c>
      <c r="H3333" s="29"/>
      <c r="I3333" s="30"/>
    </row>
    <row r="3334" spans="1:9" ht="15.75" thickBot="1" x14ac:dyDescent="0.3">
      <c r="A3334" s="43" t="s">
        <v>7963</v>
      </c>
      <c r="B3334" s="21" t="s">
        <v>7964</v>
      </c>
      <c r="C3334" s="21" t="s">
        <v>22655</v>
      </c>
      <c r="D3334" s="22">
        <v>46042</v>
      </c>
      <c r="E3334" s="23" t="s">
        <v>22661</v>
      </c>
      <c r="F3334" s="24" t="s">
        <v>22657</v>
      </c>
      <c r="G3334" s="25">
        <v>8</v>
      </c>
      <c r="H3334" s="26"/>
      <c r="I3334" s="27"/>
    </row>
    <row r="3335" spans="1:9" ht="15.75" thickBot="1" x14ac:dyDescent="0.3">
      <c r="A3335" s="43" t="s">
        <v>7965</v>
      </c>
      <c r="B3335" s="21" t="s">
        <v>7966</v>
      </c>
      <c r="C3335" s="21" t="s">
        <v>22655</v>
      </c>
      <c r="D3335" s="22">
        <v>46042</v>
      </c>
      <c r="E3335" s="23" t="s">
        <v>22661</v>
      </c>
      <c r="F3335" s="24" t="s">
        <v>22657</v>
      </c>
      <c r="G3335" s="25">
        <v>7</v>
      </c>
      <c r="H3335" s="29"/>
      <c r="I3335" s="30"/>
    </row>
    <row r="3336" spans="1:9" ht="15.75" thickBot="1" x14ac:dyDescent="0.3">
      <c r="A3336" s="43" t="s">
        <v>7967</v>
      </c>
      <c r="B3336" s="21" t="s">
        <v>7968</v>
      </c>
      <c r="C3336" s="21" t="s">
        <v>22655</v>
      </c>
      <c r="D3336" s="22">
        <v>46042</v>
      </c>
      <c r="E3336" s="23" t="s">
        <v>22658</v>
      </c>
      <c r="F3336" s="24" t="s">
        <v>22657</v>
      </c>
      <c r="G3336" s="25">
        <v>7</v>
      </c>
      <c r="H3336" s="26"/>
      <c r="I3336" s="27"/>
    </row>
    <row r="3337" spans="1:9" ht="15.75" thickBot="1" x14ac:dyDescent="0.3">
      <c r="A3337" s="43" t="s">
        <v>7969</v>
      </c>
      <c r="B3337" s="21" t="s">
        <v>7970</v>
      </c>
      <c r="C3337" s="21" t="s">
        <v>22655</v>
      </c>
      <c r="D3337" s="22">
        <v>46042</v>
      </c>
      <c r="E3337" s="23" t="s">
        <v>22661</v>
      </c>
      <c r="F3337" s="24" t="s">
        <v>22657</v>
      </c>
      <c r="G3337" s="25">
        <v>7</v>
      </c>
      <c r="H3337" s="29"/>
      <c r="I3337" s="30"/>
    </row>
    <row r="3338" spans="1:9" ht="15.75" thickBot="1" x14ac:dyDescent="0.3">
      <c r="A3338" s="43" t="s">
        <v>7971</v>
      </c>
      <c r="B3338" s="21" t="s">
        <v>7972</v>
      </c>
      <c r="C3338" s="21" t="s">
        <v>22655</v>
      </c>
      <c r="D3338" s="22">
        <v>46042</v>
      </c>
      <c r="E3338" s="23" t="s">
        <v>22658</v>
      </c>
      <c r="F3338" s="24" t="s">
        <v>22657</v>
      </c>
      <c r="G3338" s="25">
        <v>7</v>
      </c>
      <c r="H3338" s="26"/>
      <c r="I3338" s="27"/>
    </row>
    <row r="3339" spans="1:9" ht="15.75" thickBot="1" x14ac:dyDescent="0.3">
      <c r="A3339" s="43" t="s">
        <v>7973</v>
      </c>
      <c r="B3339" s="21" t="s">
        <v>7974</v>
      </c>
      <c r="C3339" s="21" t="s">
        <v>22682</v>
      </c>
      <c r="D3339" s="22">
        <v>46034</v>
      </c>
      <c r="E3339" s="23" t="s">
        <v>22658</v>
      </c>
      <c r="F3339" s="24" t="s">
        <v>22657</v>
      </c>
      <c r="G3339" s="25">
        <v>1</v>
      </c>
      <c r="H3339" s="29"/>
      <c r="I3339" s="30"/>
    </row>
    <row r="3340" spans="1:9" ht="15.75" thickBot="1" x14ac:dyDescent="0.3">
      <c r="A3340" s="43" t="s">
        <v>7975</v>
      </c>
      <c r="B3340" s="21" t="s">
        <v>7976</v>
      </c>
      <c r="C3340" s="21" t="s">
        <v>22682</v>
      </c>
      <c r="D3340" s="22">
        <v>46034</v>
      </c>
      <c r="E3340" s="23" t="s">
        <v>22658</v>
      </c>
      <c r="F3340" s="24" t="s">
        <v>22657</v>
      </c>
      <c r="G3340" s="25">
        <v>1</v>
      </c>
      <c r="H3340" s="26"/>
      <c r="I3340" s="27"/>
    </row>
    <row r="3341" spans="1:9" ht="15.75" thickBot="1" x14ac:dyDescent="0.3">
      <c r="A3341" s="43" t="s">
        <v>7977</v>
      </c>
      <c r="B3341" s="21" t="s">
        <v>7978</v>
      </c>
      <c r="C3341" s="21" t="s">
        <v>22682</v>
      </c>
      <c r="D3341" s="22">
        <v>46034</v>
      </c>
      <c r="E3341" s="23" t="s">
        <v>22656</v>
      </c>
      <c r="F3341" s="24" t="s">
        <v>22657</v>
      </c>
      <c r="G3341" s="25">
        <v>2</v>
      </c>
      <c r="H3341" s="29"/>
      <c r="I3341" s="30"/>
    </row>
    <row r="3342" spans="1:9" ht="15.75" thickBot="1" x14ac:dyDescent="0.3">
      <c r="A3342" s="43" t="s">
        <v>7979</v>
      </c>
      <c r="B3342" s="21" t="s">
        <v>7980</v>
      </c>
      <c r="C3342" s="21" t="s">
        <v>22682</v>
      </c>
      <c r="D3342" s="22">
        <v>46034</v>
      </c>
      <c r="E3342" s="23" t="s">
        <v>22656</v>
      </c>
      <c r="F3342" s="24" t="s">
        <v>22657</v>
      </c>
      <c r="G3342" s="25">
        <v>2</v>
      </c>
      <c r="H3342" s="26"/>
      <c r="I3342" s="27"/>
    </row>
    <row r="3343" spans="1:9" ht="15.75" thickBot="1" x14ac:dyDescent="0.3">
      <c r="A3343" s="43" t="s">
        <v>7981</v>
      </c>
      <c r="B3343" s="21" t="s">
        <v>7982</v>
      </c>
      <c r="C3343" s="21" t="s">
        <v>22682</v>
      </c>
      <c r="D3343" s="22">
        <v>46034</v>
      </c>
      <c r="E3343" s="23" t="s">
        <v>22658</v>
      </c>
      <c r="F3343" s="24" t="s">
        <v>22657</v>
      </c>
      <c r="G3343" s="25">
        <v>1</v>
      </c>
      <c r="H3343" s="29"/>
      <c r="I3343" s="30"/>
    </row>
    <row r="3344" spans="1:9" ht="15.75" thickBot="1" x14ac:dyDescent="0.3">
      <c r="A3344" s="43" t="s">
        <v>7983</v>
      </c>
      <c r="B3344" s="21" t="s">
        <v>7984</v>
      </c>
      <c r="C3344" s="21" t="s">
        <v>22682</v>
      </c>
      <c r="D3344" s="22">
        <v>46034</v>
      </c>
      <c r="E3344" s="23" t="s">
        <v>22658</v>
      </c>
      <c r="F3344" s="24" t="s">
        <v>22657</v>
      </c>
      <c r="G3344" s="25">
        <v>1</v>
      </c>
      <c r="H3344" s="26"/>
      <c r="I3344" s="27"/>
    </row>
    <row r="3345" spans="1:9" ht="15.75" thickBot="1" x14ac:dyDescent="0.3">
      <c r="A3345" s="43" t="s">
        <v>7985</v>
      </c>
      <c r="B3345" s="21" t="s">
        <v>7986</v>
      </c>
      <c r="C3345" s="21" t="s">
        <v>22682</v>
      </c>
      <c r="D3345" s="22">
        <v>46034</v>
      </c>
      <c r="E3345" s="23" t="s">
        <v>22658</v>
      </c>
      <c r="F3345" s="24" t="s">
        <v>22657</v>
      </c>
      <c r="G3345" s="25">
        <v>1</v>
      </c>
      <c r="H3345" s="29"/>
      <c r="I3345" s="30"/>
    </row>
    <row r="3346" spans="1:9" ht="15.75" thickBot="1" x14ac:dyDescent="0.3">
      <c r="A3346" s="43" t="s">
        <v>7987</v>
      </c>
      <c r="B3346" s="21" t="s">
        <v>7988</v>
      </c>
      <c r="C3346" s="21" t="s">
        <v>22655</v>
      </c>
      <c r="D3346" s="31" t="s">
        <v>22732</v>
      </c>
      <c r="E3346" s="23" t="s">
        <v>22656</v>
      </c>
      <c r="F3346" s="24" t="s">
        <v>22657</v>
      </c>
      <c r="G3346" s="25">
        <v>27</v>
      </c>
      <c r="H3346" s="26"/>
      <c r="I3346" s="27"/>
    </row>
    <row r="3347" spans="1:9" ht="15.75" thickBot="1" x14ac:dyDescent="0.3">
      <c r="A3347" s="43" t="s">
        <v>7989</v>
      </c>
      <c r="B3347" s="21" t="s">
        <v>7990</v>
      </c>
      <c r="C3347" s="21" t="s">
        <v>22655</v>
      </c>
      <c r="D3347" s="31" t="s">
        <v>22732</v>
      </c>
      <c r="E3347" s="23" t="s">
        <v>22658</v>
      </c>
      <c r="F3347" s="24" t="s">
        <v>22657</v>
      </c>
      <c r="G3347" s="25">
        <v>27</v>
      </c>
      <c r="H3347" s="29"/>
      <c r="I3347" s="30"/>
    </row>
    <row r="3348" spans="1:9" ht="15.75" thickBot="1" x14ac:dyDescent="0.3">
      <c r="A3348" s="43" t="s">
        <v>7991</v>
      </c>
      <c r="B3348" s="21" t="s">
        <v>7992</v>
      </c>
      <c r="C3348" s="21" t="s">
        <v>22655</v>
      </c>
      <c r="D3348" s="31" t="s">
        <v>22732</v>
      </c>
      <c r="E3348" s="23" t="s">
        <v>22656</v>
      </c>
      <c r="F3348" s="24" t="s">
        <v>22657</v>
      </c>
      <c r="G3348" s="25">
        <v>27</v>
      </c>
      <c r="H3348" s="26"/>
      <c r="I3348" s="27"/>
    </row>
    <row r="3349" spans="1:9" ht="15.75" thickBot="1" x14ac:dyDescent="0.3">
      <c r="A3349" s="43" t="s">
        <v>7993</v>
      </c>
      <c r="B3349" s="21" t="s">
        <v>7994</v>
      </c>
      <c r="C3349" s="21" t="s">
        <v>22682</v>
      </c>
      <c r="D3349" s="22">
        <v>46034</v>
      </c>
      <c r="E3349" s="23" t="s">
        <v>22658</v>
      </c>
      <c r="F3349" s="24" t="s">
        <v>22657</v>
      </c>
      <c r="G3349" s="25">
        <v>4</v>
      </c>
      <c r="H3349" s="29"/>
      <c r="I3349" s="30"/>
    </row>
    <row r="3350" spans="1:9" ht="15.75" thickBot="1" x14ac:dyDescent="0.3">
      <c r="A3350" s="43" t="s">
        <v>22519</v>
      </c>
      <c r="B3350" s="21" t="s">
        <v>22520</v>
      </c>
      <c r="C3350" s="36" t="e">
        <v>#N/A</v>
      </c>
      <c r="D3350" s="37" t="e">
        <v>#N/A</v>
      </c>
      <c r="E3350" s="23" t="e">
        <v>#N/A</v>
      </c>
      <c r="F3350" s="24" t="s">
        <v>22657</v>
      </c>
      <c r="G3350" s="25" t="e">
        <v>#N/A</v>
      </c>
      <c r="H3350" s="26"/>
      <c r="I3350" s="27"/>
    </row>
    <row r="3351" spans="1:9" ht="15.75" thickBot="1" x14ac:dyDescent="0.3">
      <c r="A3351" s="43" t="s">
        <v>7995</v>
      </c>
      <c r="B3351" s="21" t="s">
        <v>7996</v>
      </c>
      <c r="C3351" s="21" t="s">
        <v>22682</v>
      </c>
      <c r="D3351" s="22">
        <v>46034</v>
      </c>
      <c r="E3351" s="23" t="s">
        <v>22658</v>
      </c>
      <c r="F3351" s="24" t="s">
        <v>22657</v>
      </c>
      <c r="G3351" s="25">
        <v>4</v>
      </c>
      <c r="H3351" s="29"/>
      <c r="I3351" s="30"/>
    </row>
    <row r="3352" spans="1:9" ht="15.75" thickBot="1" x14ac:dyDescent="0.3">
      <c r="A3352" s="43" t="s">
        <v>7997</v>
      </c>
      <c r="B3352" s="21" t="s">
        <v>7998</v>
      </c>
      <c r="C3352" s="21" t="s">
        <v>22682</v>
      </c>
      <c r="D3352" s="22">
        <v>46034</v>
      </c>
      <c r="E3352" s="23" t="s">
        <v>22658</v>
      </c>
      <c r="F3352" s="24" t="s">
        <v>22657</v>
      </c>
      <c r="G3352" s="25">
        <v>4</v>
      </c>
      <c r="H3352" s="26"/>
      <c r="I3352" s="27"/>
    </row>
    <row r="3353" spans="1:9" ht="15.75" thickBot="1" x14ac:dyDescent="0.3">
      <c r="A3353" s="43" t="s">
        <v>7999</v>
      </c>
      <c r="B3353" s="21" t="s">
        <v>8000</v>
      </c>
      <c r="C3353" s="21" t="s">
        <v>22682</v>
      </c>
      <c r="D3353" s="22">
        <v>46034</v>
      </c>
      <c r="E3353" s="23" t="s">
        <v>22658</v>
      </c>
      <c r="F3353" s="24" t="s">
        <v>22657</v>
      </c>
      <c r="G3353" s="25">
        <v>4</v>
      </c>
      <c r="H3353" s="29"/>
      <c r="I3353" s="30"/>
    </row>
    <row r="3354" spans="1:9" ht="15.75" thickBot="1" x14ac:dyDescent="0.3">
      <c r="A3354" s="43" t="s">
        <v>8001</v>
      </c>
      <c r="B3354" s="21" t="s">
        <v>8002</v>
      </c>
      <c r="C3354" s="21" t="s">
        <v>22682</v>
      </c>
      <c r="D3354" s="22">
        <v>46034</v>
      </c>
      <c r="E3354" s="23" t="s">
        <v>22658</v>
      </c>
      <c r="F3354" s="24" t="s">
        <v>22657</v>
      </c>
      <c r="G3354" s="25">
        <v>4</v>
      </c>
      <c r="H3354" s="26"/>
      <c r="I3354" s="27"/>
    </row>
    <row r="3355" spans="1:9" ht="15.75" thickBot="1" x14ac:dyDescent="0.3">
      <c r="A3355" s="43" t="s">
        <v>8003</v>
      </c>
      <c r="B3355" s="21" t="s">
        <v>8004</v>
      </c>
      <c r="C3355" s="21" t="s">
        <v>22682</v>
      </c>
      <c r="D3355" s="22">
        <v>46034</v>
      </c>
      <c r="E3355" s="23" t="s">
        <v>22658</v>
      </c>
      <c r="F3355" s="24" t="s">
        <v>22657</v>
      </c>
      <c r="G3355" s="25">
        <v>2</v>
      </c>
      <c r="H3355" s="29"/>
      <c r="I3355" s="30"/>
    </row>
    <row r="3356" spans="1:9" ht="15.75" thickBot="1" x14ac:dyDescent="0.3">
      <c r="A3356" s="43" t="s">
        <v>8005</v>
      </c>
      <c r="B3356" s="21" t="s">
        <v>8006</v>
      </c>
      <c r="C3356" s="21" t="s">
        <v>22682</v>
      </c>
      <c r="D3356" s="22">
        <v>46034</v>
      </c>
      <c r="E3356" s="23" t="s">
        <v>22656</v>
      </c>
      <c r="F3356" s="24" t="s">
        <v>22657</v>
      </c>
      <c r="G3356" s="25">
        <v>2</v>
      </c>
      <c r="H3356" s="26"/>
      <c r="I3356" s="27"/>
    </row>
    <row r="3357" spans="1:9" ht="15.75" thickBot="1" x14ac:dyDescent="0.3">
      <c r="A3357" s="43" t="s">
        <v>8007</v>
      </c>
      <c r="B3357" s="21" t="s">
        <v>8008</v>
      </c>
      <c r="C3357" s="21" t="s">
        <v>22682</v>
      </c>
      <c r="D3357" s="22">
        <v>46034</v>
      </c>
      <c r="E3357" s="23" t="s">
        <v>22658</v>
      </c>
      <c r="F3357" s="24" t="s">
        <v>22657</v>
      </c>
      <c r="G3357" s="25">
        <v>2</v>
      </c>
      <c r="H3357" s="29"/>
      <c r="I3357" s="30"/>
    </row>
    <row r="3358" spans="1:9" ht="15.75" thickBot="1" x14ac:dyDescent="0.3">
      <c r="A3358" s="43" t="s">
        <v>8009</v>
      </c>
      <c r="B3358" s="21" t="s">
        <v>8010</v>
      </c>
      <c r="C3358" s="21" t="s">
        <v>22682</v>
      </c>
      <c r="D3358" s="22">
        <v>46034</v>
      </c>
      <c r="E3358" s="23" t="s">
        <v>22658</v>
      </c>
      <c r="F3358" s="24" t="s">
        <v>22657</v>
      </c>
      <c r="G3358" s="25">
        <v>2</v>
      </c>
      <c r="H3358" s="26"/>
      <c r="I3358" s="27"/>
    </row>
    <row r="3359" spans="1:9" ht="15.75" thickBot="1" x14ac:dyDescent="0.3">
      <c r="A3359" s="43" t="s">
        <v>8011</v>
      </c>
      <c r="B3359" s="21" t="s">
        <v>8012</v>
      </c>
      <c r="C3359" s="21" t="s">
        <v>22682</v>
      </c>
      <c r="D3359" s="22">
        <v>46034</v>
      </c>
      <c r="E3359" s="23" t="s">
        <v>22658</v>
      </c>
      <c r="F3359" s="24" t="s">
        <v>22657</v>
      </c>
      <c r="G3359" s="25">
        <v>2</v>
      </c>
      <c r="H3359" s="29"/>
      <c r="I3359" s="30"/>
    </row>
    <row r="3360" spans="1:9" ht="15.75" thickBot="1" x14ac:dyDescent="0.3">
      <c r="A3360" s="43" t="s">
        <v>8013</v>
      </c>
      <c r="B3360" s="21" t="s">
        <v>8014</v>
      </c>
      <c r="C3360" s="21" t="s">
        <v>22682</v>
      </c>
      <c r="D3360" s="22">
        <v>46034</v>
      </c>
      <c r="E3360" s="23" t="s">
        <v>22658</v>
      </c>
      <c r="F3360" s="24" t="s">
        <v>22657</v>
      </c>
      <c r="G3360" s="25">
        <v>2</v>
      </c>
      <c r="H3360" s="26"/>
      <c r="I3360" s="27"/>
    </row>
    <row r="3361" spans="1:9" ht="15.75" thickBot="1" x14ac:dyDescent="0.3">
      <c r="A3361" s="43" t="s">
        <v>8015</v>
      </c>
      <c r="B3361" s="21" t="s">
        <v>8016</v>
      </c>
      <c r="C3361" s="21" t="s">
        <v>22682</v>
      </c>
      <c r="D3361" s="22">
        <v>46034</v>
      </c>
      <c r="E3361" s="23" t="s">
        <v>22658</v>
      </c>
      <c r="F3361" s="24" t="s">
        <v>22657</v>
      </c>
      <c r="G3361" s="25">
        <v>2</v>
      </c>
      <c r="H3361" s="29"/>
      <c r="I3361" s="30"/>
    </row>
    <row r="3362" spans="1:9" ht="15.75" thickBot="1" x14ac:dyDescent="0.3">
      <c r="A3362" s="43" t="s">
        <v>8017</v>
      </c>
      <c r="B3362" s="21" t="s">
        <v>8018</v>
      </c>
      <c r="C3362" s="21" t="s">
        <v>22682</v>
      </c>
      <c r="D3362" s="22">
        <v>46034</v>
      </c>
      <c r="E3362" s="23" t="s">
        <v>22656</v>
      </c>
      <c r="F3362" s="24" t="s">
        <v>22657</v>
      </c>
      <c r="G3362" s="25">
        <v>2</v>
      </c>
      <c r="H3362" s="26"/>
      <c r="I3362" s="27"/>
    </row>
    <row r="3363" spans="1:9" ht="15.75" thickBot="1" x14ac:dyDescent="0.3">
      <c r="A3363" s="43" t="s">
        <v>8019</v>
      </c>
      <c r="B3363" s="21" t="s">
        <v>8020</v>
      </c>
      <c r="C3363" s="21" t="s">
        <v>22682</v>
      </c>
      <c r="D3363" s="22">
        <v>46034</v>
      </c>
      <c r="E3363" s="23" t="s">
        <v>22658</v>
      </c>
      <c r="F3363" s="24" t="s">
        <v>22657</v>
      </c>
      <c r="G3363" s="25">
        <v>2</v>
      </c>
      <c r="H3363" s="29"/>
      <c r="I3363" s="30"/>
    </row>
    <row r="3364" spans="1:9" ht="15.75" thickBot="1" x14ac:dyDescent="0.3">
      <c r="A3364" s="43" t="s">
        <v>8021</v>
      </c>
      <c r="B3364" s="21" t="s">
        <v>8022</v>
      </c>
      <c r="C3364" s="21" t="s">
        <v>22682</v>
      </c>
      <c r="D3364" s="22">
        <v>46034</v>
      </c>
      <c r="E3364" s="23" t="s">
        <v>22658</v>
      </c>
      <c r="F3364" s="24" t="s">
        <v>22657</v>
      </c>
      <c r="G3364" s="25">
        <v>2</v>
      </c>
      <c r="H3364" s="26"/>
      <c r="I3364" s="27"/>
    </row>
    <row r="3365" spans="1:9" ht="15.75" thickBot="1" x14ac:dyDescent="0.3">
      <c r="A3365" s="43" t="s">
        <v>8023</v>
      </c>
      <c r="B3365" s="21" t="s">
        <v>8024</v>
      </c>
      <c r="C3365" s="21" t="s">
        <v>22682</v>
      </c>
      <c r="D3365" s="22">
        <v>46034</v>
      </c>
      <c r="E3365" s="23" t="s">
        <v>22656</v>
      </c>
      <c r="F3365" s="24" t="s">
        <v>22657</v>
      </c>
      <c r="G3365" s="25">
        <v>2</v>
      </c>
      <c r="H3365" s="29"/>
      <c r="I3365" s="30"/>
    </row>
    <row r="3366" spans="1:9" ht="15.75" thickBot="1" x14ac:dyDescent="0.3">
      <c r="A3366" s="43" t="s">
        <v>8025</v>
      </c>
      <c r="B3366" s="21" t="s">
        <v>8026</v>
      </c>
      <c r="C3366" s="21" t="s">
        <v>22682</v>
      </c>
      <c r="D3366" s="22">
        <v>46034</v>
      </c>
      <c r="E3366" s="23" t="s">
        <v>22658</v>
      </c>
      <c r="F3366" s="24" t="s">
        <v>22657</v>
      </c>
      <c r="G3366" s="25">
        <v>2</v>
      </c>
      <c r="H3366" s="26"/>
      <c r="I3366" s="27"/>
    </row>
    <row r="3367" spans="1:9" ht="15.75" thickBot="1" x14ac:dyDescent="0.3">
      <c r="A3367" s="43" t="s">
        <v>8027</v>
      </c>
      <c r="B3367" s="21" t="s">
        <v>8028</v>
      </c>
      <c r="C3367" s="21" t="s">
        <v>22752</v>
      </c>
      <c r="D3367" s="31" t="s">
        <v>22794</v>
      </c>
      <c r="E3367" s="23" t="s">
        <v>22656</v>
      </c>
      <c r="F3367" s="24" t="s">
        <v>22657</v>
      </c>
      <c r="G3367" s="25">
        <v>4</v>
      </c>
      <c r="H3367" s="29"/>
      <c r="I3367" s="30"/>
    </row>
    <row r="3368" spans="1:9" ht="15.75" thickBot="1" x14ac:dyDescent="0.3">
      <c r="A3368" s="43" t="s">
        <v>8029</v>
      </c>
      <c r="B3368" s="21" t="s">
        <v>8030</v>
      </c>
      <c r="C3368" s="21" t="s">
        <v>22752</v>
      </c>
      <c r="D3368" s="31" t="s">
        <v>22794</v>
      </c>
      <c r="E3368" s="23" t="s">
        <v>22656</v>
      </c>
      <c r="F3368" s="24" t="s">
        <v>22657</v>
      </c>
      <c r="G3368" s="25">
        <v>5</v>
      </c>
      <c r="H3368" s="26"/>
      <c r="I3368" s="27"/>
    </row>
    <row r="3369" spans="1:9" ht="15.75" thickBot="1" x14ac:dyDescent="0.3">
      <c r="A3369" s="43" t="s">
        <v>8031</v>
      </c>
      <c r="B3369" s="21" t="s">
        <v>8032</v>
      </c>
      <c r="C3369" s="21" t="s">
        <v>22752</v>
      </c>
      <c r="D3369" s="31" t="s">
        <v>22794</v>
      </c>
      <c r="E3369" s="23" t="s">
        <v>22656</v>
      </c>
      <c r="F3369" s="24" t="s">
        <v>22657</v>
      </c>
      <c r="G3369" s="25">
        <v>4</v>
      </c>
      <c r="H3369" s="29"/>
      <c r="I3369" s="30"/>
    </row>
    <row r="3370" spans="1:9" ht="15.75" thickBot="1" x14ac:dyDescent="0.3">
      <c r="A3370" s="43" t="s">
        <v>8033</v>
      </c>
      <c r="B3370" s="21" t="s">
        <v>8034</v>
      </c>
      <c r="C3370" s="21" t="s">
        <v>22752</v>
      </c>
      <c r="D3370" s="31" t="s">
        <v>22794</v>
      </c>
      <c r="E3370" s="23" t="s">
        <v>22656</v>
      </c>
      <c r="F3370" s="24" t="s">
        <v>22657</v>
      </c>
      <c r="G3370" s="25">
        <v>4</v>
      </c>
      <c r="H3370" s="26"/>
      <c r="I3370" s="27"/>
    </row>
    <row r="3371" spans="1:9" ht="15.75" thickBot="1" x14ac:dyDescent="0.3">
      <c r="A3371" s="43" t="s">
        <v>8035</v>
      </c>
      <c r="B3371" s="21" t="s">
        <v>8036</v>
      </c>
      <c r="C3371" s="21" t="s">
        <v>22752</v>
      </c>
      <c r="D3371" s="31" t="s">
        <v>22794</v>
      </c>
      <c r="E3371" s="23" t="s">
        <v>22656</v>
      </c>
      <c r="F3371" s="24" t="s">
        <v>22657</v>
      </c>
      <c r="G3371" s="25">
        <v>4</v>
      </c>
      <c r="H3371" s="29"/>
      <c r="I3371" s="30"/>
    </row>
    <row r="3372" spans="1:9" ht="15.75" thickBot="1" x14ac:dyDescent="0.3">
      <c r="A3372" s="43" t="s">
        <v>8037</v>
      </c>
      <c r="B3372" s="21" t="s">
        <v>8038</v>
      </c>
      <c r="C3372" s="21" t="s">
        <v>22672</v>
      </c>
      <c r="D3372" s="22">
        <v>46032</v>
      </c>
      <c r="E3372" s="23" t="s">
        <v>22658</v>
      </c>
      <c r="F3372" s="24" t="s">
        <v>22657</v>
      </c>
      <c r="G3372" s="25">
        <v>4</v>
      </c>
      <c r="H3372" s="26"/>
      <c r="I3372" s="27"/>
    </row>
    <row r="3373" spans="1:9" ht="15.75" thickBot="1" x14ac:dyDescent="0.3">
      <c r="A3373" s="43" t="s">
        <v>8039</v>
      </c>
      <c r="B3373" s="21" t="s">
        <v>8040</v>
      </c>
      <c r="C3373" s="21" t="s">
        <v>22682</v>
      </c>
      <c r="D3373" s="22">
        <v>46034</v>
      </c>
      <c r="E3373" s="23" t="s">
        <v>22658</v>
      </c>
      <c r="F3373" s="24" t="s">
        <v>22657</v>
      </c>
      <c r="G3373" s="25">
        <v>2</v>
      </c>
      <c r="H3373" s="29"/>
      <c r="I3373" s="30"/>
    </row>
    <row r="3374" spans="1:9" ht="15.75" thickBot="1" x14ac:dyDescent="0.3">
      <c r="A3374" s="43" t="s">
        <v>8041</v>
      </c>
      <c r="B3374" s="21" t="s">
        <v>8042</v>
      </c>
      <c r="C3374" s="21" t="s">
        <v>22682</v>
      </c>
      <c r="D3374" s="22">
        <v>46034</v>
      </c>
      <c r="E3374" s="23" t="s">
        <v>22656</v>
      </c>
      <c r="F3374" s="24" t="s">
        <v>22657</v>
      </c>
      <c r="G3374" s="25">
        <v>2</v>
      </c>
      <c r="H3374" s="26"/>
      <c r="I3374" s="27"/>
    </row>
    <row r="3375" spans="1:9" ht="15.75" thickBot="1" x14ac:dyDescent="0.3">
      <c r="A3375" s="43" t="s">
        <v>8043</v>
      </c>
      <c r="B3375" s="21" t="s">
        <v>8044</v>
      </c>
      <c r="C3375" s="21" t="s">
        <v>22655</v>
      </c>
      <c r="D3375" s="22">
        <v>46046</v>
      </c>
      <c r="E3375" s="23" t="s">
        <v>22656</v>
      </c>
      <c r="F3375" s="24" t="s">
        <v>22657</v>
      </c>
      <c r="G3375" s="25">
        <v>8</v>
      </c>
      <c r="H3375" s="29"/>
      <c r="I3375" s="30"/>
    </row>
    <row r="3376" spans="1:9" ht="15.75" thickBot="1" x14ac:dyDescent="0.3">
      <c r="A3376" s="43" t="s">
        <v>8045</v>
      </c>
      <c r="B3376" s="21" t="s">
        <v>8046</v>
      </c>
      <c r="C3376" s="21" t="s">
        <v>22655</v>
      </c>
      <c r="D3376" s="22">
        <v>46046</v>
      </c>
      <c r="E3376" s="23" t="s">
        <v>22656</v>
      </c>
      <c r="F3376" s="24" t="s">
        <v>22657</v>
      </c>
      <c r="G3376" s="25">
        <v>4</v>
      </c>
      <c r="H3376" s="26"/>
      <c r="I3376" s="27"/>
    </row>
    <row r="3377" spans="1:9" ht="15.75" thickBot="1" x14ac:dyDescent="0.3">
      <c r="A3377" s="43" t="s">
        <v>1541</v>
      </c>
      <c r="B3377" s="21" t="s">
        <v>8047</v>
      </c>
      <c r="C3377" s="21" t="s">
        <v>22655</v>
      </c>
      <c r="D3377" s="22">
        <v>46046</v>
      </c>
      <c r="E3377" s="23" t="s">
        <v>22656</v>
      </c>
      <c r="F3377" s="24" t="s">
        <v>22657</v>
      </c>
      <c r="G3377" s="25">
        <v>12</v>
      </c>
      <c r="H3377" s="29"/>
      <c r="I3377" s="30"/>
    </row>
    <row r="3378" spans="1:9" ht="15.75" thickBot="1" x14ac:dyDescent="0.3">
      <c r="A3378" s="43" t="s">
        <v>8048</v>
      </c>
      <c r="B3378" s="21" t="s">
        <v>8049</v>
      </c>
      <c r="C3378" s="21" t="s">
        <v>22655</v>
      </c>
      <c r="D3378" s="31" t="s">
        <v>22708</v>
      </c>
      <c r="E3378" s="23" t="s">
        <v>22656</v>
      </c>
      <c r="F3378" s="24" t="s">
        <v>22657</v>
      </c>
      <c r="G3378" s="25">
        <v>24</v>
      </c>
      <c r="H3378" s="26"/>
      <c r="I3378" s="27"/>
    </row>
    <row r="3379" spans="1:9" ht="15.75" thickBot="1" x14ac:dyDescent="0.3">
      <c r="A3379" s="43" t="s">
        <v>971</v>
      </c>
      <c r="B3379" s="21" t="s">
        <v>8050</v>
      </c>
      <c r="C3379" s="21" t="s">
        <v>22655</v>
      </c>
      <c r="D3379" s="31" t="s">
        <v>22715</v>
      </c>
      <c r="E3379" s="23" t="s">
        <v>22661</v>
      </c>
      <c r="F3379" s="24" t="s">
        <v>22657</v>
      </c>
      <c r="G3379" s="25">
        <v>12</v>
      </c>
      <c r="H3379" s="32">
        <v>12</v>
      </c>
      <c r="I3379" s="33">
        <v>24</v>
      </c>
    </row>
    <row r="3380" spans="1:9" ht="15.75" thickBot="1" x14ac:dyDescent="0.3">
      <c r="A3380" s="43" t="s">
        <v>8051</v>
      </c>
      <c r="B3380" s="21" t="s">
        <v>8052</v>
      </c>
      <c r="C3380" s="21" t="s">
        <v>22655</v>
      </c>
      <c r="D3380" s="31" t="s">
        <v>22795</v>
      </c>
      <c r="E3380" s="23" t="s">
        <v>22656</v>
      </c>
      <c r="F3380" s="24" t="s">
        <v>22657</v>
      </c>
      <c r="G3380" s="25">
        <v>8</v>
      </c>
      <c r="H3380" s="26"/>
      <c r="I3380" s="27"/>
    </row>
    <row r="3381" spans="1:9" ht="15.75" thickBot="1" x14ac:dyDescent="0.3">
      <c r="A3381" s="43" t="s">
        <v>8053</v>
      </c>
      <c r="B3381" s="21" t="s">
        <v>8054</v>
      </c>
      <c r="C3381" s="21" t="s">
        <v>22655</v>
      </c>
      <c r="D3381" s="31" t="s">
        <v>22715</v>
      </c>
      <c r="E3381" s="23" t="s">
        <v>22658</v>
      </c>
      <c r="F3381" s="24" t="s">
        <v>22657</v>
      </c>
      <c r="G3381" s="25">
        <v>2</v>
      </c>
      <c r="H3381" s="29"/>
      <c r="I3381" s="30"/>
    </row>
    <row r="3382" spans="1:9" ht="15.75" thickBot="1" x14ac:dyDescent="0.3">
      <c r="A3382" s="43" t="s">
        <v>8055</v>
      </c>
      <c r="B3382" s="21" t="s">
        <v>8056</v>
      </c>
      <c r="C3382" s="21" t="s">
        <v>22663</v>
      </c>
      <c r="D3382" s="31">
        <v>1</v>
      </c>
      <c r="E3382" s="23" t="s">
        <v>22658</v>
      </c>
      <c r="F3382" s="24" t="s">
        <v>22657</v>
      </c>
      <c r="G3382" s="25">
        <v>1</v>
      </c>
      <c r="H3382" s="26"/>
      <c r="I3382" s="27"/>
    </row>
    <row r="3383" spans="1:9" ht="15.75" thickBot="1" x14ac:dyDescent="0.3">
      <c r="A3383" s="43" t="s">
        <v>8057</v>
      </c>
      <c r="B3383" s="21" t="s">
        <v>8058</v>
      </c>
      <c r="C3383" s="21" t="s">
        <v>22663</v>
      </c>
      <c r="D3383" s="31">
        <v>1</v>
      </c>
      <c r="E3383" s="23" t="s">
        <v>22658</v>
      </c>
      <c r="F3383" s="24" t="s">
        <v>22657</v>
      </c>
      <c r="G3383" s="25">
        <v>10</v>
      </c>
      <c r="H3383" s="29"/>
      <c r="I3383" s="30"/>
    </row>
    <row r="3384" spans="1:9" ht="15.75" thickBot="1" x14ac:dyDescent="0.3">
      <c r="A3384" s="43" t="s">
        <v>8059</v>
      </c>
      <c r="B3384" s="21" t="s">
        <v>8060</v>
      </c>
      <c r="C3384" s="21" t="s">
        <v>22663</v>
      </c>
      <c r="D3384" s="31">
        <v>1</v>
      </c>
      <c r="E3384" s="23" t="s">
        <v>22658</v>
      </c>
      <c r="F3384" s="24" t="s">
        <v>22657</v>
      </c>
      <c r="G3384" s="25">
        <v>1</v>
      </c>
      <c r="H3384" s="26"/>
      <c r="I3384" s="27"/>
    </row>
    <row r="3385" spans="1:9" ht="15.75" thickBot="1" x14ac:dyDescent="0.3">
      <c r="A3385" s="43" t="s">
        <v>8061</v>
      </c>
      <c r="B3385" s="21" t="s">
        <v>8062</v>
      </c>
      <c r="C3385" s="21" t="s">
        <v>22663</v>
      </c>
      <c r="D3385" s="31">
        <v>1</v>
      </c>
      <c r="E3385" s="23" t="s">
        <v>22658</v>
      </c>
      <c r="F3385" s="24" t="s">
        <v>22657</v>
      </c>
      <c r="G3385" s="25">
        <v>10</v>
      </c>
      <c r="H3385" s="29"/>
      <c r="I3385" s="30"/>
    </row>
    <row r="3386" spans="1:9" ht="15.75" thickBot="1" x14ac:dyDescent="0.3">
      <c r="A3386" s="43" t="s">
        <v>8063</v>
      </c>
      <c r="B3386" s="21" t="s">
        <v>8064</v>
      </c>
      <c r="C3386" s="21" t="s">
        <v>22663</v>
      </c>
      <c r="D3386" s="31">
        <v>1</v>
      </c>
      <c r="E3386" s="23" t="s">
        <v>22658</v>
      </c>
      <c r="F3386" s="24" t="s">
        <v>22657</v>
      </c>
      <c r="G3386" s="25">
        <v>1</v>
      </c>
      <c r="H3386" s="26"/>
      <c r="I3386" s="27"/>
    </row>
    <row r="3387" spans="1:9" ht="15.75" thickBot="1" x14ac:dyDescent="0.3">
      <c r="A3387" s="43" t="s">
        <v>8065</v>
      </c>
      <c r="B3387" s="21" t="s">
        <v>8066</v>
      </c>
      <c r="C3387" s="21" t="s">
        <v>22663</v>
      </c>
      <c r="D3387" s="31">
        <v>1</v>
      </c>
      <c r="E3387" s="23" t="s">
        <v>22658</v>
      </c>
      <c r="F3387" s="24" t="s">
        <v>22657</v>
      </c>
      <c r="G3387" s="25">
        <v>10</v>
      </c>
      <c r="H3387" s="29"/>
      <c r="I3387" s="30"/>
    </row>
    <row r="3388" spans="1:9" ht="15.75" thickBot="1" x14ac:dyDescent="0.3">
      <c r="A3388" s="43" t="s">
        <v>8067</v>
      </c>
      <c r="B3388" s="21" t="s">
        <v>8068</v>
      </c>
      <c r="C3388" s="21" t="s">
        <v>22663</v>
      </c>
      <c r="D3388" s="31">
        <v>1</v>
      </c>
      <c r="E3388" s="23" t="s">
        <v>22658</v>
      </c>
      <c r="F3388" s="24" t="s">
        <v>22657</v>
      </c>
      <c r="G3388" s="25">
        <v>1</v>
      </c>
      <c r="H3388" s="26"/>
      <c r="I3388" s="27"/>
    </row>
    <row r="3389" spans="1:9" ht="15.75" thickBot="1" x14ac:dyDescent="0.3">
      <c r="A3389" s="43" t="s">
        <v>8069</v>
      </c>
      <c r="B3389" s="21" t="s">
        <v>8070</v>
      </c>
      <c r="C3389" s="21" t="s">
        <v>22655</v>
      </c>
      <c r="D3389" s="22">
        <v>46034</v>
      </c>
      <c r="E3389" s="23" t="s">
        <v>22656</v>
      </c>
      <c r="F3389" s="24" t="s">
        <v>22657</v>
      </c>
      <c r="G3389" s="25">
        <v>4</v>
      </c>
      <c r="H3389" s="29"/>
      <c r="I3389" s="30"/>
    </row>
    <row r="3390" spans="1:9" ht="15.75" thickBot="1" x14ac:dyDescent="0.3">
      <c r="A3390" s="43" t="s">
        <v>8071</v>
      </c>
      <c r="B3390" s="21" t="s">
        <v>8072</v>
      </c>
      <c r="C3390" s="21" t="s">
        <v>22655</v>
      </c>
      <c r="D3390" s="22">
        <v>46034</v>
      </c>
      <c r="E3390" s="23" t="s">
        <v>22656</v>
      </c>
      <c r="F3390" s="24" t="s">
        <v>22657</v>
      </c>
      <c r="G3390" s="25">
        <v>4</v>
      </c>
      <c r="H3390" s="26"/>
      <c r="I3390" s="27"/>
    </row>
    <row r="3391" spans="1:9" ht="15.75" thickBot="1" x14ac:dyDescent="0.3">
      <c r="A3391" s="43" t="s">
        <v>8073</v>
      </c>
      <c r="B3391" s="21" t="s">
        <v>8074</v>
      </c>
      <c r="C3391" s="21" t="s">
        <v>22655</v>
      </c>
      <c r="D3391" s="22">
        <v>46034</v>
      </c>
      <c r="E3391" s="23" t="s">
        <v>22656</v>
      </c>
      <c r="F3391" s="24" t="s">
        <v>22657</v>
      </c>
      <c r="G3391" s="25">
        <v>2</v>
      </c>
      <c r="H3391" s="29"/>
      <c r="I3391" s="30"/>
    </row>
    <row r="3392" spans="1:9" ht="15.75" thickBot="1" x14ac:dyDescent="0.3">
      <c r="A3392" s="43" t="s">
        <v>8075</v>
      </c>
      <c r="B3392" s="21" t="s">
        <v>8076</v>
      </c>
      <c r="C3392" s="21" t="s">
        <v>22655</v>
      </c>
      <c r="D3392" s="22">
        <v>46032</v>
      </c>
      <c r="E3392" s="23" t="s">
        <v>22656</v>
      </c>
      <c r="F3392" s="24" t="s">
        <v>22657</v>
      </c>
      <c r="G3392" s="25">
        <v>4</v>
      </c>
      <c r="H3392" s="26"/>
      <c r="I3392" s="27"/>
    </row>
    <row r="3393" spans="1:9" ht="15.75" thickBot="1" x14ac:dyDescent="0.3">
      <c r="A3393" s="43" t="s">
        <v>8077</v>
      </c>
      <c r="B3393" s="21" t="s">
        <v>8078</v>
      </c>
      <c r="C3393" s="21" t="s">
        <v>22655</v>
      </c>
      <c r="D3393" s="22">
        <v>46034</v>
      </c>
      <c r="E3393" s="23" t="s">
        <v>22656</v>
      </c>
      <c r="F3393" s="24" t="s">
        <v>22657</v>
      </c>
      <c r="G3393" s="25">
        <v>3</v>
      </c>
      <c r="H3393" s="29"/>
      <c r="I3393" s="30"/>
    </row>
    <row r="3394" spans="1:9" ht="15.75" thickBot="1" x14ac:dyDescent="0.3">
      <c r="A3394" s="43" t="s">
        <v>8079</v>
      </c>
      <c r="B3394" s="21" t="s">
        <v>8080</v>
      </c>
      <c r="C3394" s="21" t="s">
        <v>22655</v>
      </c>
      <c r="D3394" s="22">
        <v>46034</v>
      </c>
      <c r="E3394" s="23" t="s">
        <v>22656</v>
      </c>
      <c r="F3394" s="24" t="s">
        <v>22657</v>
      </c>
      <c r="G3394" s="25">
        <v>2</v>
      </c>
      <c r="H3394" s="26"/>
      <c r="I3394" s="27"/>
    </row>
    <row r="3395" spans="1:9" ht="15.75" thickBot="1" x14ac:dyDescent="0.3">
      <c r="A3395" s="43" t="s">
        <v>8081</v>
      </c>
      <c r="B3395" s="21" t="s">
        <v>8082</v>
      </c>
      <c r="C3395" s="21" t="s">
        <v>22655</v>
      </c>
      <c r="D3395" s="22">
        <v>46034</v>
      </c>
      <c r="E3395" s="23" t="s">
        <v>22656</v>
      </c>
      <c r="F3395" s="24" t="s">
        <v>22657</v>
      </c>
      <c r="G3395" s="25">
        <v>2</v>
      </c>
      <c r="H3395" s="29"/>
      <c r="I3395" s="30"/>
    </row>
    <row r="3396" spans="1:9" ht="15.75" thickBot="1" x14ac:dyDescent="0.3">
      <c r="A3396" s="43" t="s">
        <v>8083</v>
      </c>
      <c r="B3396" s="21" t="s">
        <v>8084</v>
      </c>
      <c r="C3396" s="21" t="s">
        <v>22655</v>
      </c>
      <c r="D3396" s="22">
        <v>46034</v>
      </c>
      <c r="E3396" s="23" t="s">
        <v>22656</v>
      </c>
      <c r="F3396" s="24" t="s">
        <v>22657</v>
      </c>
      <c r="G3396" s="25">
        <v>2</v>
      </c>
      <c r="H3396" s="26"/>
      <c r="I3396" s="27"/>
    </row>
    <row r="3397" spans="1:9" ht="15.75" thickBot="1" x14ac:dyDescent="0.3">
      <c r="A3397" s="43" t="s">
        <v>8085</v>
      </c>
      <c r="B3397" s="21" t="s">
        <v>8086</v>
      </c>
      <c r="C3397" s="21" t="s">
        <v>22655</v>
      </c>
      <c r="D3397" s="22">
        <v>46034</v>
      </c>
      <c r="E3397" s="23" t="s">
        <v>22656</v>
      </c>
      <c r="F3397" s="24" t="s">
        <v>22657</v>
      </c>
      <c r="G3397" s="25">
        <v>2</v>
      </c>
      <c r="H3397" s="29"/>
      <c r="I3397" s="30"/>
    </row>
    <row r="3398" spans="1:9" ht="15.75" thickBot="1" x14ac:dyDescent="0.3">
      <c r="A3398" s="43" t="s">
        <v>8087</v>
      </c>
      <c r="B3398" s="21" t="s">
        <v>8088</v>
      </c>
      <c r="C3398" s="21" t="s">
        <v>22655</v>
      </c>
      <c r="D3398" s="22">
        <v>46034</v>
      </c>
      <c r="E3398" s="23" t="s">
        <v>22656</v>
      </c>
      <c r="F3398" s="24" t="s">
        <v>22657</v>
      </c>
      <c r="G3398" s="25">
        <v>2</v>
      </c>
      <c r="H3398" s="26"/>
      <c r="I3398" s="27"/>
    </row>
    <row r="3399" spans="1:9" ht="15.75" thickBot="1" x14ac:dyDescent="0.3">
      <c r="A3399" s="43" t="s">
        <v>8089</v>
      </c>
      <c r="B3399" s="21" t="s">
        <v>8090</v>
      </c>
      <c r="C3399" s="21" t="s">
        <v>22655</v>
      </c>
      <c r="D3399" s="22">
        <v>46034</v>
      </c>
      <c r="E3399" s="23" t="s">
        <v>22656</v>
      </c>
      <c r="F3399" s="24" t="s">
        <v>22657</v>
      </c>
      <c r="G3399" s="25">
        <v>2</v>
      </c>
      <c r="H3399" s="29"/>
      <c r="I3399" s="30"/>
    </row>
    <row r="3400" spans="1:9" ht="15.75" thickBot="1" x14ac:dyDescent="0.3">
      <c r="A3400" s="43" t="s">
        <v>8091</v>
      </c>
      <c r="B3400" s="21" t="s">
        <v>8092</v>
      </c>
      <c r="C3400" s="21" t="s">
        <v>22655</v>
      </c>
      <c r="D3400" s="22">
        <v>46034</v>
      </c>
      <c r="E3400" s="23" t="s">
        <v>22656</v>
      </c>
      <c r="F3400" s="24" t="s">
        <v>22657</v>
      </c>
      <c r="G3400" s="25">
        <v>2</v>
      </c>
      <c r="H3400" s="26"/>
      <c r="I3400" s="27"/>
    </row>
    <row r="3401" spans="1:9" ht="15.75" thickBot="1" x14ac:dyDescent="0.3">
      <c r="A3401" s="43" t="s">
        <v>8093</v>
      </c>
      <c r="B3401" s="21" t="s">
        <v>8094</v>
      </c>
      <c r="C3401" s="21" t="s">
        <v>22655</v>
      </c>
      <c r="D3401" s="22">
        <v>46034</v>
      </c>
      <c r="E3401" s="23" t="s">
        <v>22656</v>
      </c>
      <c r="F3401" s="24" t="s">
        <v>22657</v>
      </c>
      <c r="G3401" s="25">
        <v>2</v>
      </c>
      <c r="H3401" s="29"/>
      <c r="I3401" s="30"/>
    </row>
    <row r="3402" spans="1:9" ht="15.75" thickBot="1" x14ac:dyDescent="0.3">
      <c r="A3402" s="43" t="s">
        <v>8095</v>
      </c>
      <c r="B3402" s="21" t="s">
        <v>8096</v>
      </c>
      <c r="C3402" s="21" t="s">
        <v>22655</v>
      </c>
      <c r="D3402" s="22">
        <v>46034</v>
      </c>
      <c r="E3402" s="23" t="s">
        <v>22656</v>
      </c>
      <c r="F3402" s="24" t="s">
        <v>22657</v>
      </c>
      <c r="G3402" s="25">
        <v>2</v>
      </c>
      <c r="H3402" s="26"/>
      <c r="I3402" s="27"/>
    </row>
    <row r="3403" spans="1:9" ht="15.75" thickBot="1" x14ac:dyDescent="0.3">
      <c r="A3403" s="43" t="s">
        <v>8097</v>
      </c>
      <c r="B3403" s="21" t="s">
        <v>8098</v>
      </c>
      <c r="C3403" s="21" t="s">
        <v>22655</v>
      </c>
      <c r="D3403" s="22">
        <v>46034</v>
      </c>
      <c r="E3403" s="23" t="s">
        <v>22656</v>
      </c>
      <c r="F3403" s="24" t="s">
        <v>22657</v>
      </c>
      <c r="G3403" s="25">
        <v>2</v>
      </c>
      <c r="H3403" s="29"/>
      <c r="I3403" s="30"/>
    </row>
    <row r="3404" spans="1:9" ht="15.75" thickBot="1" x14ac:dyDescent="0.3">
      <c r="A3404" s="43" t="s">
        <v>8099</v>
      </c>
      <c r="B3404" s="21" t="s">
        <v>8100</v>
      </c>
      <c r="C3404" s="21" t="s">
        <v>22655</v>
      </c>
      <c r="D3404" s="22">
        <v>46034</v>
      </c>
      <c r="E3404" s="23" t="s">
        <v>22656</v>
      </c>
      <c r="F3404" s="24" t="s">
        <v>22657</v>
      </c>
      <c r="G3404" s="25">
        <v>2</v>
      </c>
      <c r="H3404" s="26"/>
      <c r="I3404" s="27"/>
    </row>
    <row r="3405" spans="1:9" ht="15.75" thickBot="1" x14ac:dyDescent="0.3">
      <c r="A3405" s="43" t="s">
        <v>8101</v>
      </c>
      <c r="B3405" s="21" t="s">
        <v>8102</v>
      </c>
      <c r="C3405" s="21" t="s">
        <v>22655</v>
      </c>
      <c r="D3405" s="22">
        <v>46034</v>
      </c>
      <c r="E3405" s="23" t="s">
        <v>22656</v>
      </c>
      <c r="F3405" s="24" t="s">
        <v>22657</v>
      </c>
      <c r="G3405" s="25">
        <v>6</v>
      </c>
      <c r="H3405" s="29"/>
      <c r="I3405" s="30"/>
    </row>
    <row r="3406" spans="1:9" ht="15.75" thickBot="1" x14ac:dyDescent="0.3">
      <c r="A3406" s="43" t="s">
        <v>8103</v>
      </c>
      <c r="B3406" s="21" t="s">
        <v>8104</v>
      </c>
      <c r="C3406" s="21" t="s">
        <v>22655</v>
      </c>
      <c r="D3406" s="22">
        <v>46034</v>
      </c>
      <c r="E3406" s="23" t="s">
        <v>22661</v>
      </c>
      <c r="F3406" s="24" t="s">
        <v>22657</v>
      </c>
      <c r="G3406" s="25">
        <v>5</v>
      </c>
      <c r="H3406" s="26"/>
      <c r="I3406" s="27"/>
    </row>
    <row r="3407" spans="1:9" ht="15.75" thickBot="1" x14ac:dyDescent="0.3">
      <c r="A3407" s="43" t="s">
        <v>8105</v>
      </c>
      <c r="B3407" s="21" t="s">
        <v>8106</v>
      </c>
      <c r="C3407" s="21" t="s">
        <v>22655</v>
      </c>
      <c r="D3407" s="22">
        <v>46034</v>
      </c>
      <c r="E3407" s="23" t="s">
        <v>22656</v>
      </c>
      <c r="F3407" s="24" t="s">
        <v>22657</v>
      </c>
      <c r="G3407" s="25">
        <v>2</v>
      </c>
      <c r="H3407" s="29"/>
      <c r="I3407" s="30"/>
    </row>
    <row r="3408" spans="1:9" ht="15.75" thickBot="1" x14ac:dyDescent="0.3">
      <c r="A3408" s="43" t="s">
        <v>8107</v>
      </c>
      <c r="B3408" s="21" t="s">
        <v>8108</v>
      </c>
      <c r="C3408" s="21" t="s">
        <v>22655</v>
      </c>
      <c r="D3408" s="22">
        <v>46034</v>
      </c>
      <c r="E3408" s="23" t="s">
        <v>22656</v>
      </c>
      <c r="F3408" s="24" t="s">
        <v>22657</v>
      </c>
      <c r="G3408" s="25">
        <v>2</v>
      </c>
      <c r="H3408" s="26"/>
      <c r="I3408" s="27"/>
    </row>
    <row r="3409" spans="1:9" ht="15.75" thickBot="1" x14ac:dyDescent="0.3">
      <c r="A3409" s="43" t="s">
        <v>8109</v>
      </c>
      <c r="B3409" s="21" t="s">
        <v>8110</v>
      </c>
      <c r="C3409" s="21" t="s">
        <v>22796</v>
      </c>
      <c r="D3409" s="22">
        <v>46034</v>
      </c>
      <c r="E3409" s="23" t="s">
        <v>22656</v>
      </c>
      <c r="F3409" s="24" t="s">
        <v>22657</v>
      </c>
      <c r="G3409" s="25">
        <v>4</v>
      </c>
      <c r="H3409" s="29"/>
      <c r="I3409" s="30"/>
    </row>
    <row r="3410" spans="1:9" ht="15.75" thickBot="1" x14ac:dyDescent="0.3">
      <c r="A3410" s="43" t="s">
        <v>8111</v>
      </c>
      <c r="B3410" s="21" t="s">
        <v>8112</v>
      </c>
      <c r="C3410" s="21" t="s">
        <v>22655</v>
      </c>
      <c r="D3410" s="22">
        <v>46028</v>
      </c>
      <c r="E3410" s="23" t="s">
        <v>22656</v>
      </c>
      <c r="F3410" s="24" t="s">
        <v>22657</v>
      </c>
      <c r="G3410" s="25">
        <v>2</v>
      </c>
      <c r="H3410" s="26"/>
      <c r="I3410" s="27"/>
    </row>
    <row r="3411" spans="1:9" ht="15.75" thickBot="1" x14ac:dyDescent="0.3">
      <c r="A3411" s="43" t="s">
        <v>8113</v>
      </c>
      <c r="B3411" s="21" t="s">
        <v>8114</v>
      </c>
      <c r="C3411" s="21" t="s">
        <v>22655</v>
      </c>
      <c r="D3411" s="22">
        <v>46046</v>
      </c>
      <c r="E3411" s="23" t="s">
        <v>22658</v>
      </c>
      <c r="F3411" s="24" t="s">
        <v>22657</v>
      </c>
      <c r="G3411" s="25">
        <v>4</v>
      </c>
      <c r="H3411" s="29"/>
      <c r="I3411" s="30"/>
    </row>
    <row r="3412" spans="1:9" ht="15.75" thickBot="1" x14ac:dyDescent="0.3">
      <c r="A3412" s="43" t="s">
        <v>8115</v>
      </c>
      <c r="B3412" s="21" t="s">
        <v>8116</v>
      </c>
      <c r="C3412" s="21" t="s">
        <v>22780</v>
      </c>
      <c r="D3412" s="22">
        <v>46047</v>
      </c>
      <c r="E3412" s="23" t="s">
        <v>22658</v>
      </c>
      <c r="F3412" s="24" t="s">
        <v>22657</v>
      </c>
      <c r="G3412" s="25">
        <v>2</v>
      </c>
      <c r="H3412" s="26"/>
      <c r="I3412" s="27"/>
    </row>
    <row r="3413" spans="1:9" ht="15.75" thickBot="1" x14ac:dyDescent="0.3">
      <c r="A3413" s="43" t="s">
        <v>8117</v>
      </c>
      <c r="B3413" s="21" t="s">
        <v>8118</v>
      </c>
      <c r="C3413" s="21" t="s">
        <v>22655</v>
      </c>
      <c r="D3413" s="22">
        <v>46027</v>
      </c>
      <c r="E3413" s="23" t="s">
        <v>22658</v>
      </c>
      <c r="F3413" s="24" t="s">
        <v>22657</v>
      </c>
      <c r="G3413" s="25">
        <v>2</v>
      </c>
      <c r="H3413" s="29"/>
      <c r="I3413" s="30"/>
    </row>
    <row r="3414" spans="1:9" ht="15.75" thickBot="1" x14ac:dyDescent="0.3">
      <c r="A3414" s="43" t="s">
        <v>8119</v>
      </c>
      <c r="B3414" s="21" t="s">
        <v>8120</v>
      </c>
      <c r="C3414" s="21" t="s">
        <v>22655</v>
      </c>
      <c r="D3414" s="22">
        <v>46034</v>
      </c>
      <c r="E3414" s="23" t="s">
        <v>22658</v>
      </c>
      <c r="F3414" s="24" t="s">
        <v>22657</v>
      </c>
      <c r="G3414" s="25">
        <v>4</v>
      </c>
      <c r="H3414" s="26"/>
      <c r="I3414" s="27"/>
    </row>
    <row r="3415" spans="1:9" ht="15.75" thickBot="1" x14ac:dyDescent="0.3">
      <c r="A3415" s="43" t="s">
        <v>8121</v>
      </c>
      <c r="B3415" s="21" t="s">
        <v>8122</v>
      </c>
      <c r="C3415" s="21" t="s">
        <v>22797</v>
      </c>
      <c r="D3415" s="22">
        <v>46047</v>
      </c>
      <c r="E3415" s="23" t="s">
        <v>22656</v>
      </c>
      <c r="F3415" s="24" t="s">
        <v>22657</v>
      </c>
      <c r="G3415" s="25">
        <v>2</v>
      </c>
      <c r="H3415" s="29"/>
      <c r="I3415" s="30"/>
    </row>
    <row r="3416" spans="1:9" ht="15.75" thickBot="1" x14ac:dyDescent="0.3">
      <c r="A3416" s="43" t="s">
        <v>8123</v>
      </c>
      <c r="B3416" s="21" t="s">
        <v>8124</v>
      </c>
      <c r="C3416" s="21" t="s">
        <v>22655</v>
      </c>
      <c r="D3416" s="22">
        <v>46034</v>
      </c>
      <c r="E3416" s="23" t="s">
        <v>22656</v>
      </c>
      <c r="F3416" s="24" t="s">
        <v>22657</v>
      </c>
      <c r="G3416" s="25">
        <v>4</v>
      </c>
      <c r="H3416" s="26"/>
      <c r="I3416" s="27"/>
    </row>
    <row r="3417" spans="1:9" ht="15.75" thickBot="1" x14ac:dyDescent="0.3">
      <c r="A3417" s="43" t="s">
        <v>8125</v>
      </c>
      <c r="B3417" s="21" t="s">
        <v>8126</v>
      </c>
      <c r="C3417" s="21" t="s">
        <v>22655</v>
      </c>
      <c r="D3417" s="22">
        <v>46047</v>
      </c>
      <c r="E3417" s="23" t="s">
        <v>22656</v>
      </c>
      <c r="F3417" s="24" t="s">
        <v>22657</v>
      </c>
      <c r="G3417" s="25">
        <v>2</v>
      </c>
      <c r="H3417" s="29"/>
      <c r="I3417" s="30"/>
    </row>
    <row r="3418" spans="1:9" ht="15.75" thickBot="1" x14ac:dyDescent="0.3">
      <c r="A3418" s="43" t="s">
        <v>22374</v>
      </c>
      <c r="B3418" s="21" t="s">
        <v>22375</v>
      </c>
      <c r="C3418" s="36" t="e">
        <v>#N/A</v>
      </c>
      <c r="D3418" s="37" t="e">
        <v>#N/A</v>
      </c>
      <c r="E3418" s="23" t="e">
        <v>#N/A</v>
      </c>
      <c r="F3418" s="24" t="s">
        <v>22657</v>
      </c>
      <c r="G3418" s="25" t="e">
        <v>#N/A</v>
      </c>
      <c r="H3418" s="26"/>
      <c r="I3418" s="27"/>
    </row>
    <row r="3419" spans="1:9" ht="15.75" thickBot="1" x14ac:dyDescent="0.3">
      <c r="A3419" s="43" t="s">
        <v>8127</v>
      </c>
      <c r="B3419" s="21" t="s">
        <v>8128</v>
      </c>
      <c r="C3419" s="21" t="s">
        <v>22655</v>
      </c>
      <c r="D3419" s="22">
        <v>46046</v>
      </c>
      <c r="E3419" s="23" t="s">
        <v>22656</v>
      </c>
      <c r="F3419" s="24" t="s">
        <v>22657</v>
      </c>
      <c r="G3419" s="25">
        <v>4</v>
      </c>
      <c r="H3419" s="29"/>
      <c r="I3419" s="30"/>
    </row>
    <row r="3420" spans="1:9" ht="15.75" thickBot="1" x14ac:dyDescent="0.3">
      <c r="A3420" s="43" t="s">
        <v>8129</v>
      </c>
      <c r="B3420" s="21" t="s">
        <v>8130</v>
      </c>
      <c r="C3420" s="21" t="s">
        <v>22655</v>
      </c>
      <c r="D3420" s="22">
        <v>46034</v>
      </c>
      <c r="E3420" s="23" t="s">
        <v>22656</v>
      </c>
      <c r="F3420" s="24" t="s">
        <v>22657</v>
      </c>
      <c r="G3420" s="25">
        <v>4</v>
      </c>
      <c r="H3420" s="26"/>
      <c r="I3420" s="27"/>
    </row>
    <row r="3421" spans="1:9" ht="15.75" thickBot="1" x14ac:dyDescent="0.3">
      <c r="A3421" s="43" t="s">
        <v>8131</v>
      </c>
      <c r="B3421" s="21" t="s">
        <v>8132</v>
      </c>
      <c r="C3421" s="21" t="s">
        <v>22655</v>
      </c>
      <c r="D3421" s="22">
        <v>46034</v>
      </c>
      <c r="E3421" s="23" t="s">
        <v>22656</v>
      </c>
      <c r="F3421" s="24" t="s">
        <v>22657</v>
      </c>
      <c r="G3421" s="25">
        <v>4</v>
      </c>
      <c r="H3421" s="29"/>
      <c r="I3421" s="30"/>
    </row>
    <row r="3422" spans="1:9" ht="15.75" thickBot="1" x14ac:dyDescent="0.3">
      <c r="A3422" s="43" t="s">
        <v>8133</v>
      </c>
      <c r="B3422" s="21" t="s">
        <v>8134</v>
      </c>
      <c r="C3422" s="21" t="s">
        <v>22796</v>
      </c>
      <c r="D3422" s="22">
        <v>46047</v>
      </c>
      <c r="E3422" s="23" t="s">
        <v>22656</v>
      </c>
      <c r="F3422" s="24" t="s">
        <v>22657</v>
      </c>
      <c r="G3422" s="25">
        <v>2</v>
      </c>
      <c r="H3422" s="26"/>
      <c r="I3422" s="27"/>
    </row>
    <row r="3423" spans="1:9" ht="15.75" thickBot="1" x14ac:dyDescent="0.3">
      <c r="A3423" s="43" t="s">
        <v>8135</v>
      </c>
      <c r="B3423" s="21" t="s">
        <v>8136</v>
      </c>
      <c r="C3423" s="21" t="s">
        <v>22655</v>
      </c>
      <c r="D3423" s="22">
        <v>46027</v>
      </c>
      <c r="E3423" s="23" t="s">
        <v>22658</v>
      </c>
      <c r="F3423" s="24" t="s">
        <v>22657</v>
      </c>
      <c r="G3423" s="25">
        <v>2</v>
      </c>
      <c r="H3423" s="29"/>
      <c r="I3423" s="30"/>
    </row>
    <row r="3424" spans="1:9" ht="15.75" thickBot="1" x14ac:dyDescent="0.3">
      <c r="A3424" s="43" t="s">
        <v>8137</v>
      </c>
      <c r="B3424" s="21" t="s">
        <v>8138</v>
      </c>
      <c r="C3424" s="21" t="s">
        <v>22655</v>
      </c>
      <c r="D3424" s="22">
        <v>46034</v>
      </c>
      <c r="E3424" s="23" t="s">
        <v>22656</v>
      </c>
      <c r="F3424" s="24" t="s">
        <v>22657</v>
      </c>
      <c r="G3424" s="25">
        <v>4</v>
      </c>
      <c r="H3424" s="26"/>
      <c r="I3424" s="27"/>
    </row>
    <row r="3425" spans="1:9" ht="15.75" thickBot="1" x14ac:dyDescent="0.3">
      <c r="A3425" s="43" t="s">
        <v>8139</v>
      </c>
      <c r="B3425" s="21" t="s">
        <v>8140</v>
      </c>
      <c r="C3425" s="21" t="s">
        <v>22655</v>
      </c>
      <c r="D3425" s="22">
        <v>46034</v>
      </c>
      <c r="E3425" s="23" t="s">
        <v>22658</v>
      </c>
      <c r="F3425" s="24" t="s">
        <v>22657</v>
      </c>
      <c r="G3425" s="25">
        <v>4</v>
      </c>
      <c r="H3425" s="29"/>
      <c r="I3425" s="30"/>
    </row>
    <row r="3426" spans="1:9" ht="15.75" thickBot="1" x14ac:dyDescent="0.3">
      <c r="A3426" s="43" t="s">
        <v>8141</v>
      </c>
      <c r="B3426" s="21" t="s">
        <v>8142</v>
      </c>
      <c r="C3426" s="21" t="s">
        <v>22797</v>
      </c>
      <c r="D3426" s="22">
        <v>46027</v>
      </c>
      <c r="E3426" s="23" t="s">
        <v>22658</v>
      </c>
      <c r="F3426" s="24" t="s">
        <v>22657</v>
      </c>
      <c r="G3426" s="25">
        <v>2</v>
      </c>
      <c r="H3426" s="26"/>
      <c r="I3426" s="27"/>
    </row>
    <row r="3427" spans="1:9" ht="15.75" thickBot="1" x14ac:dyDescent="0.3">
      <c r="A3427" s="43" t="s">
        <v>8143</v>
      </c>
      <c r="B3427" s="21" t="s">
        <v>8144</v>
      </c>
      <c r="C3427" s="21" t="s">
        <v>22655</v>
      </c>
      <c r="D3427" s="22">
        <v>46047</v>
      </c>
      <c r="E3427" s="23" t="s">
        <v>22656</v>
      </c>
      <c r="F3427" s="24" t="s">
        <v>22657</v>
      </c>
      <c r="G3427" s="25">
        <v>4</v>
      </c>
      <c r="H3427" s="29"/>
      <c r="I3427" s="30"/>
    </row>
    <row r="3428" spans="1:9" ht="15.75" thickBot="1" x14ac:dyDescent="0.3">
      <c r="A3428" s="43" t="s">
        <v>8145</v>
      </c>
      <c r="B3428" s="21" t="s">
        <v>8146</v>
      </c>
      <c r="C3428" s="21" t="s">
        <v>22655</v>
      </c>
      <c r="D3428" s="22">
        <v>46027</v>
      </c>
      <c r="E3428" s="23" t="s">
        <v>22658</v>
      </c>
      <c r="F3428" s="24" t="s">
        <v>22657</v>
      </c>
      <c r="G3428" s="25">
        <v>2</v>
      </c>
      <c r="H3428" s="26"/>
      <c r="I3428" s="27"/>
    </row>
    <row r="3429" spans="1:9" ht="15.75" thickBot="1" x14ac:dyDescent="0.3">
      <c r="A3429" s="43" t="s">
        <v>8147</v>
      </c>
      <c r="B3429" s="21" t="s">
        <v>8148</v>
      </c>
      <c r="C3429" s="21" t="s">
        <v>22798</v>
      </c>
      <c r="D3429" s="39">
        <v>37036</v>
      </c>
      <c r="E3429" s="23" t="s">
        <v>22656</v>
      </c>
      <c r="F3429" s="24" t="s">
        <v>22657</v>
      </c>
      <c r="G3429" s="25">
        <v>3</v>
      </c>
      <c r="H3429" s="29"/>
      <c r="I3429" s="30"/>
    </row>
    <row r="3430" spans="1:9" ht="15.75" thickBot="1" x14ac:dyDescent="0.3">
      <c r="A3430" s="43" t="s">
        <v>8149</v>
      </c>
      <c r="B3430" s="21" t="s">
        <v>8150</v>
      </c>
      <c r="C3430" s="21" t="s">
        <v>22655</v>
      </c>
      <c r="D3430" s="31" t="s">
        <v>22669</v>
      </c>
      <c r="E3430" s="23" t="s">
        <v>22656</v>
      </c>
      <c r="F3430" s="24" t="s">
        <v>22657</v>
      </c>
      <c r="G3430" s="25">
        <v>4</v>
      </c>
      <c r="H3430" s="26"/>
      <c r="I3430" s="27"/>
    </row>
    <row r="3431" spans="1:9" ht="15.75" thickBot="1" x14ac:dyDescent="0.3">
      <c r="A3431" s="43" t="s">
        <v>8151</v>
      </c>
      <c r="B3431" s="21" t="s">
        <v>8152</v>
      </c>
      <c r="C3431" s="21" t="s">
        <v>22655</v>
      </c>
      <c r="D3431" s="22">
        <v>46047</v>
      </c>
      <c r="E3431" s="23" t="s">
        <v>22656</v>
      </c>
      <c r="F3431" s="24" t="s">
        <v>22657</v>
      </c>
      <c r="G3431" s="25">
        <v>4</v>
      </c>
      <c r="H3431" s="29"/>
      <c r="I3431" s="30"/>
    </row>
    <row r="3432" spans="1:9" ht="15.75" thickBot="1" x14ac:dyDescent="0.3">
      <c r="A3432" s="43" t="s">
        <v>8153</v>
      </c>
      <c r="B3432" s="21" t="s">
        <v>8154</v>
      </c>
      <c r="C3432" s="21" t="s">
        <v>22655</v>
      </c>
      <c r="D3432" s="22">
        <v>46046</v>
      </c>
      <c r="E3432" s="23" t="s">
        <v>22656</v>
      </c>
      <c r="F3432" s="24" t="s">
        <v>22657</v>
      </c>
      <c r="G3432" s="25">
        <v>8</v>
      </c>
      <c r="H3432" s="26"/>
      <c r="I3432" s="27"/>
    </row>
    <row r="3433" spans="1:9" ht="15.75" thickBot="1" x14ac:dyDescent="0.3">
      <c r="A3433" s="43" t="s">
        <v>8155</v>
      </c>
      <c r="B3433" s="21" t="s">
        <v>8156</v>
      </c>
      <c r="C3433" s="21" t="s">
        <v>22655</v>
      </c>
      <c r="D3433" s="22">
        <v>46024</v>
      </c>
      <c r="E3433" s="23" t="s">
        <v>22658</v>
      </c>
      <c r="F3433" s="24" t="s">
        <v>22657</v>
      </c>
      <c r="G3433" s="25">
        <v>1</v>
      </c>
      <c r="H3433" s="29"/>
      <c r="I3433" s="30"/>
    </row>
    <row r="3434" spans="1:9" ht="15.75" thickBot="1" x14ac:dyDescent="0.3">
      <c r="A3434" s="43" t="s">
        <v>8157</v>
      </c>
      <c r="B3434" s="21" t="s">
        <v>8158</v>
      </c>
      <c r="C3434" s="21" t="s">
        <v>22655</v>
      </c>
      <c r="D3434" s="22">
        <v>46046</v>
      </c>
      <c r="E3434" s="23" t="s">
        <v>22661</v>
      </c>
      <c r="F3434" s="24" t="s">
        <v>22657</v>
      </c>
      <c r="G3434" s="25">
        <v>10</v>
      </c>
      <c r="H3434" s="26"/>
      <c r="I3434" s="27"/>
    </row>
    <row r="3435" spans="1:9" ht="15.75" thickBot="1" x14ac:dyDescent="0.3">
      <c r="A3435" s="43" t="s">
        <v>1309</v>
      </c>
      <c r="B3435" s="21" t="s">
        <v>8159</v>
      </c>
      <c r="C3435" s="21" t="s">
        <v>22655</v>
      </c>
      <c r="D3435" s="22">
        <v>46046</v>
      </c>
      <c r="E3435" s="23" t="s">
        <v>22662</v>
      </c>
      <c r="F3435" s="24" t="s">
        <v>22657</v>
      </c>
      <c r="G3435" s="25">
        <v>48</v>
      </c>
      <c r="H3435" s="32">
        <v>48</v>
      </c>
      <c r="I3435" s="33">
        <v>72</v>
      </c>
    </row>
    <row r="3436" spans="1:9" ht="15.75" thickBot="1" x14ac:dyDescent="0.3">
      <c r="A3436" s="43" t="s">
        <v>8160</v>
      </c>
      <c r="B3436" s="21" t="s">
        <v>8161</v>
      </c>
      <c r="C3436" s="21" t="s">
        <v>22655</v>
      </c>
      <c r="D3436" s="22">
        <v>46034</v>
      </c>
      <c r="E3436" s="23" t="s">
        <v>22656</v>
      </c>
      <c r="F3436" s="24" t="s">
        <v>22657</v>
      </c>
      <c r="G3436" s="25">
        <v>4</v>
      </c>
      <c r="H3436" s="26"/>
      <c r="I3436" s="27"/>
    </row>
    <row r="3437" spans="1:9" ht="15.75" thickBot="1" x14ac:dyDescent="0.3">
      <c r="A3437" s="43" t="s">
        <v>8162</v>
      </c>
      <c r="B3437" s="21" t="s">
        <v>8163</v>
      </c>
      <c r="C3437" s="21" t="s">
        <v>22655</v>
      </c>
      <c r="D3437" s="22">
        <v>46046</v>
      </c>
      <c r="E3437" s="23" t="s">
        <v>22658</v>
      </c>
      <c r="F3437" s="24" t="s">
        <v>22657</v>
      </c>
      <c r="G3437" s="25">
        <v>8</v>
      </c>
      <c r="H3437" s="29"/>
      <c r="I3437" s="30"/>
    </row>
    <row r="3438" spans="1:9" ht="15.75" thickBot="1" x14ac:dyDescent="0.3">
      <c r="A3438" s="43" t="s">
        <v>339</v>
      </c>
      <c r="B3438" s="21" t="s">
        <v>340</v>
      </c>
      <c r="C3438" s="21" t="s">
        <v>22655</v>
      </c>
      <c r="D3438" s="22">
        <v>46034</v>
      </c>
      <c r="E3438" s="23" t="s">
        <v>22661</v>
      </c>
      <c r="F3438" s="24" t="s">
        <v>22657</v>
      </c>
      <c r="G3438" s="25">
        <v>29</v>
      </c>
      <c r="H3438" s="26"/>
      <c r="I3438" s="27"/>
    </row>
    <row r="3439" spans="1:9" ht="15.75" thickBot="1" x14ac:dyDescent="0.3">
      <c r="A3439" s="43" t="s">
        <v>8164</v>
      </c>
      <c r="B3439" s="21" t="s">
        <v>8165</v>
      </c>
      <c r="C3439" s="21" t="s">
        <v>22655</v>
      </c>
      <c r="D3439" s="22">
        <v>46046</v>
      </c>
      <c r="E3439" s="23" t="s">
        <v>22658</v>
      </c>
      <c r="F3439" s="24" t="s">
        <v>22657</v>
      </c>
      <c r="G3439" s="25">
        <v>8</v>
      </c>
      <c r="H3439" s="29"/>
      <c r="I3439" s="30"/>
    </row>
    <row r="3440" spans="1:9" ht="15.75" thickBot="1" x14ac:dyDescent="0.3">
      <c r="A3440" s="43" t="s">
        <v>8166</v>
      </c>
      <c r="B3440" s="21" t="s">
        <v>8167</v>
      </c>
      <c r="C3440" s="21" t="s">
        <v>22655</v>
      </c>
      <c r="D3440" s="22">
        <v>46042</v>
      </c>
      <c r="E3440" s="23" t="s">
        <v>22656</v>
      </c>
      <c r="F3440" s="24" t="s">
        <v>22657</v>
      </c>
      <c r="G3440" s="25">
        <v>7</v>
      </c>
      <c r="H3440" s="26"/>
      <c r="I3440" s="27"/>
    </row>
    <row r="3441" spans="1:9" ht="15.75" thickBot="1" x14ac:dyDescent="0.3">
      <c r="A3441" s="43" t="s">
        <v>8168</v>
      </c>
      <c r="B3441" s="21" t="s">
        <v>8169</v>
      </c>
      <c r="C3441" s="21" t="s">
        <v>22655</v>
      </c>
      <c r="D3441" s="31" t="s">
        <v>22688</v>
      </c>
      <c r="E3441" s="23" t="s">
        <v>22656</v>
      </c>
      <c r="F3441" s="24" t="s">
        <v>22657</v>
      </c>
      <c r="G3441" s="25">
        <v>7</v>
      </c>
      <c r="H3441" s="29"/>
      <c r="I3441" s="30"/>
    </row>
    <row r="3442" spans="1:9" ht="15.75" thickBot="1" x14ac:dyDescent="0.3">
      <c r="A3442" s="43" t="s">
        <v>8170</v>
      </c>
      <c r="B3442" s="21" t="s">
        <v>8171</v>
      </c>
      <c r="C3442" s="21" t="s">
        <v>22655</v>
      </c>
      <c r="D3442" s="22">
        <v>46042</v>
      </c>
      <c r="E3442" s="23" t="s">
        <v>22656</v>
      </c>
      <c r="F3442" s="24" t="s">
        <v>22657</v>
      </c>
      <c r="G3442" s="25">
        <v>7</v>
      </c>
      <c r="H3442" s="26"/>
      <c r="I3442" s="27"/>
    </row>
    <row r="3443" spans="1:9" ht="15.75" thickBot="1" x14ac:dyDescent="0.3">
      <c r="A3443" s="43" t="s">
        <v>8172</v>
      </c>
      <c r="B3443" s="21" t="s">
        <v>8173</v>
      </c>
      <c r="C3443" s="21" t="s">
        <v>22655</v>
      </c>
      <c r="D3443" s="22">
        <v>46030</v>
      </c>
      <c r="E3443" s="23" t="s">
        <v>22656</v>
      </c>
      <c r="F3443" s="24" t="s">
        <v>22657</v>
      </c>
      <c r="G3443" s="25">
        <v>3</v>
      </c>
      <c r="H3443" s="29"/>
      <c r="I3443" s="30"/>
    </row>
    <row r="3444" spans="1:9" ht="15.75" thickBot="1" x14ac:dyDescent="0.3">
      <c r="A3444" s="43" t="s">
        <v>8174</v>
      </c>
      <c r="B3444" s="21" t="s">
        <v>8175</v>
      </c>
      <c r="C3444" s="21" t="s">
        <v>22655</v>
      </c>
      <c r="D3444" s="22">
        <v>46030</v>
      </c>
      <c r="E3444" s="23" t="s">
        <v>22656</v>
      </c>
      <c r="F3444" s="24" t="s">
        <v>22657</v>
      </c>
      <c r="G3444" s="25">
        <v>4</v>
      </c>
      <c r="H3444" s="26"/>
      <c r="I3444" s="27"/>
    </row>
    <row r="3445" spans="1:9" ht="15.75" thickBot="1" x14ac:dyDescent="0.3">
      <c r="A3445" s="43" t="s">
        <v>8176</v>
      </c>
      <c r="B3445" s="21" t="s">
        <v>8177</v>
      </c>
      <c r="C3445" s="21" t="s">
        <v>22655</v>
      </c>
      <c r="D3445" s="22">
        <v>46034</v>
      </c>
      <c r="E3445" s="23" t="s">
        <v>22656</v>
      </c>
      <c r="F3445" s="24" t="s">
        <v>22657</v>
      </c>
      <c r="G3445" s="25">
        <v>5</v>
      </c>
      <c r="H3445" s="29"/>
      <c r="I3445" s="30"/>
    </row>
    <row r="3446" spans="1:9" ht="15.75" thickBot="1" x14ac:dyDescent="0.3">
      <c r="A3446" s="43" t="s">
        <v>273</v>
      </c>
      <c r="B3446" s="21" t="s">
        <v>274</v>
      </c>
      <c r="C3446" s="21" t="s">
        <v>22655</v>
      </c>
      <c r="D3446" s="22">
        <v>46034</v>
      </c>
      <c r="E3446" s="23" t="s">
        <v>22656</v>
      </c>
      <c r="F3446" s="24" t="s">
        <v>22657</v>
      </c>
      <c r="G3446" s="25">
        <v>4</v>
      </c>
      <c r="H3446" s="26"/>
      <c r="I3446" s="27"/>
    </row>
    <row r="3447" spans="1:9" ht="15.75" thickBot="1" x14ac:dyDescent="0.3">
      <c r="A3447" s="43" t="s">
        <v>41</v>
      </c>
      <c r="B3447" s="21" t="s">
        <v>42</v>
      </c>
      <c r="C3447" s="21" t="s">
        <v>22655</v>
      </c>
      <c r="D3447" s="22">
        <v>46034</v>
      </c>
      <c r="E3447" s="23" t="s">
        <v>22656</v>
      </c>
      <c r="F3447" s="24" t="s">
        <v>22657</v>
      </c>
      <c r="G3447" s="25">
        <v>14</v>
      </c>
      <c r="H3447" s="29"/>
      <c r="I3447" s="30"/>
    </row>
    <row r="3448" spans="1:9" ht="15.75" thickBot="1" x14ac:dyDescent="0.3">
      <c r="A3448" s="43" t="s">
        <v>311</v>
      </c>
      <c r="B3448" s="21" t="s">
        <v>8178</v>
      </c>
      <c r="C3448" s="21" t="s">
        <v>22663</v>
      </c>
      <c r="D3448" s="31">
        <v>1</v>
      </c>
      <c r="E3448" s="23" t="s">
        <v>22656</v>
      </c>
      <c r="F3448" s="24" t="s">
        <v>22657</v>
      </c>
      <c r="G3448" s="25">
        <v>9</v>
      </c>
      <c r="H3448" s="26"/>
      <c r="I3448" s="27"/>
    </row>
    <row r="3449" spans="1:9" ht="15.75" thickBot="1" x14ac:dyDescent="0.3">
      <c r="A3449" s="43" t="s">
        <v>8179</v>
      </c>
      <c r="B3449" s="21" t="s">
        <v>8180</v>
      </c>
      <c r="C3449" s="21" t="s">
        <v>22663</v>
      </c>
      <c r="D3449" s="31">
        <v>1</v>
      </c>
      <c r="E3449" s="23" t="s">
        <v>22658</v>
      </c>
      <c r="F3449" s="24" t="s">
        <v>22657</v>
      </c>
      <c r="G3449" s="25">
        <v>7</v>
      </c>
      <c r="H3449" s="29"/>
      <c r="I3449" s="30"/>
    </row>
    <row r="3450" spans="1:9" ht="15.75" thickBot="1" x14ac:dyDescent="0.3">
      <c r="A3450" s="43" t="s">
        <v>8181</v>
      </c>
      <c r="B3450" s="21" t="s">
        <v>8182</v>
      </c>
      <c r="C3450" s="21" t="s">
        <v>22682</v>
      </c>
      <c r="D3450" s="22">
        <v>46034</v>
      </c>
      <c r="E3450" s="23" t="s">
        <v>22658</v>
      </c>
      <c r="F3450" s="24" t="s">
        <v>22657</v>
      </c>
      <c r="G3450" s="25">
        <v>2</v>
      </c>
      <c r="H3450" s="26"/>
      <c r="I3450" s="27"/>
    </row>
    <row r="3451" spans="1:9" ht="15.75" thickBot="1" x14ac:dyDescent="0.3">
      <c r="A3451" s="43" t="s">
        <v>8183</v>
      </c>
      <c r="B3451" s="21" t="s">
        <v>8184</v>
      </c>
      <c r="C3451" s="21" t="s">
        <v>22682</v>
      </c>
      <c r="D3451" s="22">
        <v>46034</v>
      </c>
      <c r="E3451" s="23" t="s">
        <v>22658</v>
      </c>
      <c r="F3451" s="24" t="s">
        <v>22657</v>
      </c>
      <c r="G3451" s="25">
        <v>2</v>
      </c>
      <c r="H3451" s="29"/>
      <c r="I3451" s="30"/>
    </row>
    <row r="3452" spans="1:9" ht="15.75" thickBot="1" x14ac:dyDescent="0.3">
      <c r="A3452" s="43" t="s">
        <v>445</v>
      </c>
      <c r="B3452" s="21" t="s">
        <v>446</v>
      </c>
      <c r="C3452" s="21" t="s">
        <v>22663</v>
      </c>
      <c r="D3452" s="31">
        <v>1</v>
      </c>
      <c r="E3452" s="23" t="s">
        <v>22661</v>
      </c>
      <c r="F3452" s="24" t="s">
        <v>22657</v>
      </c>
      <c r="G3452" s="25">
        <v>12</v>
      </c>
      <c r="H3452" s="34">
        <v>12</v>
      </c>
      <c r="I3452" s="35">
        <v>24</v>
      </c>
    </row>
    <row r="3453" spans="1:9" ht="15.75" thickBot="1" x14ac:dyDescent="0.3">
      <c r="A3453" s="43" t="s">
        <v>913</v>
      </c>
      <c r="B3453" s="21" t="s">
        <v>914</v>
      </c>
      <c r="C3453" s="21" t="s">
        <v>22655</v>
      </c>
      <c r="D3453" s="22">
        <v>46042</v>
      </c>
      <c r="E3453" s="23" t="s">
        <v>22656</v>
      </c>
      <c r="F3453" s="24" t="s">
        <v>22657</v>
      </c>
      <c r="G3453" s="25">
        <v>4</v>
      </c>
      <c r="H3453" s="32">
        <v>4</v>
      </c>
      <c r="I3453" s="33">
        <v>10</v>
      </c>
    </row>
    <row r="3454" spans="1:9" ht="15.75" thickBot="1" x14ac:dyDescent="0.3">
      <c r="A3454" s="43" t="s">
        <v>8185</v>
      </c>
      <c r="B3454" s="21" t="s">
        <v>8186</v>
      </c>
      <c r="C3454" s="21" t="s">
        <v>22655</v>
      </c>
      <c r="D3454" s="22">
        <v>46038</v>
      </c>
      <c r="E3454" s="23" t="s">
        <v>22656</v>
      </c>
      <c r="F3454" s="24" t="s">
        <v>22657</v>
      </c>
      <c r="G3454" s="25">
        <v>2</v>
      </c>
      <c r="H3454" s="26"/>
      <c r="I3454" s="27"/>
    </row>
    <row r="3455" spans="1:9" ht="15.75" thickBot="1" x14ac:dyDescent="0.3">
      <c r="A3455" s="43" t="s">
        <v>397</v>
      </c>
      <c r="B3455" s="21" t="s">
        <v>398</v>
      </c>
      <c r="C3455" s="21" t="s">
        <v>22655</v>
      </c>
      <c r="D3455" s="22">
        <v>46046</v>
      </c>
      <c r="E3455" s="23" t="s">
        <v>22661</v>
      </c>
      <c r="F3455" s="24" t="s">
        <v>22657</v>
      </c>
      <c r="G3455" s="25">
        <v>3</v>
      </c>
      <c r="H3455" s="32">
        <v>3</v>
      </c>
      <c r="I3455" s="33">
        <v>6</v>
      </c>
    </row>
    <row r="3456" spans="1:9" ht="15.75" thickBot="1" x14ac:dyDescent="0.3">
      <c r="A3456" s="43" t="s">
        <v>8187</v>
      </c>
      <c r="B3456" s="21" t="s">
        <v>8188</v>
      </c>
      <c r="C3456" s="21" t="s">
        <v>22655</v>
      </c>
      <c r="D3456" s="22">
        <v>46034</v>
      </c>
      <c r="E3456" s="23" t="s">
        <v>22658</v>
      </c>
      <c r="F3456" s="24" t="s">
        <v>22657</v>
      </c>
      <c r="G3456" s="25">
        <v>4</v>
      </c>
      <c r="H3456" s="26"/>
      <c r="I3456" s="27"/>
    </row>
    <row r="3457" spans="1:9" ht="15.75" thickBot="1" x14ac:dyDescent="0.3">
      <c r="A3457" s="43" t="s">
        <v>8189</v>
      </c>
      <c r="B3457" s="21" t="s">
        <v>8190</v>
      </c>
      <c r="C3457" s="21" t="s">
        <v>22655</v>
      </c>
      <c r="D3457" s="22">
        <v>46034</v>
      </c>
      <c r="E3457" s="23" t="s">
        <v>22656</v>
      </c>
      <c r="F3457" s="24" t="s">
        <v>22657</v>
      </c>
      <c r="G3457" s="25">
        <v>4</v>
      </c>
      <c r="H3457" s="29"/>
      <c r="I3457" s="30"/>
    </row>
    <row r="3458" spans="1:9" ht="15.75" thickBot="1" x14ac:dyDescent="0.3">
      <c r="A3458" s="43" t="s">
        <v>759</v>
      </c>
      <c r="B3458" s="21" t="s">
        <v>8191</v>
      </c>
      <c r="C3458" s="21" t="s">
        <v>22655</v>
      </c>
      <c r="D3458" s="22">
        <v>46034</v>
      </c>
      <c r="E3458" s="23" t="s">
        <v>22661</v>
      </c>
      <c r="F3458" s="24" t="s">
        <v>22657</v>
      </c>
      <c r="G3458" s="25">
        <v>60</v>
      </c>
      <c r="H3458" s="34">
        <v>60</v>
      </c>
      <c r="I3458" s="35">
        <v>120</v>
      </c>
    </row>
    <row r="3459" spans="1:9" ht="15.75" thickBot="1" x14ac:dyDescent="0.3">
      <c r="A3459" s="43" t="s">
        <v>503</v>
      </c>
      <c r="B3459" s="21" t="s">
        <v>504</v>
      </c>
      <c r="C3459" s="21" t="s">
        <v>22655</v>
      </c>
      <c r="D3459" s="22">
        <v>46034</v>
      </c>
      <c r="E3459" s="23" t="s">
        <v>22662</v>
      </c>
      <c r="F3459" s="24" t="s">
        <v>22657</v>
      </c>
      <c r="G3459" s="25">
        <v>120</v>
      </c>
      <c r="H3459" s="32">
        <v>120</v>
      </c>
      <c r="I3459" s="33">
        <v>180</v>
      </c>
    </row>
    <row r="3460" spans="1:9" ht="15.75" thickBot="1" x14ac:dyDescent="0.3">
      <c r="A3460" s="43" t="s">
        <v>8192</v>
      </c>
      <c r="B3460" s="21" t="s">
        <v>8193</v>
      </c>
      <c r="C3460" s="21" t="s">
        <v>22655</v>
      </c>
      <c r="D3460" s="22">
        <v>46028</v>
      </c>
      <c r="E3460" s="23" t="s">
        <v>22658</v>
      </c>
      <c r="F3460" s="24" t="s">
        <v>22657</v>
      </c>
      <c r="G3460" s="25">
        <v>1</v>
      </c>
      <c r="H3460" s="26"/>
      <c r="I3460" s="27"/>
    </row>
    <row r="3461" spans="1:9" ht="15.75" thickBot="1" x14ac:dyDescent="0.3">
      <c r="A3461" s="43" t="s">
        <v>8194</v>
      </c>
      <c r="B3461" s="21" t="s">
        <v>8195</v>
      </c>
      <c r="C3461" s="21" t="s">
        <v>22655</v>
      </c>
      <c r="D3461" s="22">
        <v>46034</v>
      </c>
      <c r="E3461" s="23" t="s">
        <v>22658</v>
      </c>
      <c r="F3461" s="24" t="s">
        <v>22657</v>
      </c>
      <c r="G3461" s="25">
        <v>4</v>
      </c>
      <c r="H3461" s="29"/>
      <c r="I3461" s="30"/>
    </row>
    <row r="3462" spans="1:9" ht="15.75" thickBot="1" x14ac:dyDescent="0.3">
      <c r="A3462" s="43" t="s">
        <v>8196</v>
      </c>
      <c r="B3462" s="21" t="s">
        <v>8197</v>
      </c>
      <c r="C3462" s="21" t="s">
        <v>22655</v>
      </c>
      <c r="D3462" s="22">
        <v>46034</v>
      </c>
      <c r="E3462" s="23" t="s">
        <v>22656</v>
      </c>
      <c r="F3462" s="24" t="s">
        <v>22657</v>
      </c>
      <c r="G3462" s="25">
        <v>4</v>
      </c>
      <c r="H3462" s="26"/>
      <c r="I3462" s="27"/>
    </row>
    <row r="3463" spans="1:9" ht="15.75" thickBot="1" x14ac:dyDescent="0.3">
      <c r="A3463" s="43" t="s">
        <v>435</v>
      </c>
      <c r="B3463" s="21" t="s">
        <v>436</v>
      </c>
      <c r="C3463" s="21" t="s">
        <v>22655</v>
      </c>
      <c r="D3463" s="22">
        <v>46028</v>
      </c>
      <c r="E3463" s="23" t="s">
        <v>22656</v>
      </c>
      <c r="F3463" s="24" t="s">
        <v>22657</v>
      </c>
      <c r="G3463" s="25">
        <v>11</v>
      </c>
      <c r="H3463" s="29"/>
      <c r="I3463" s="30"/>
    </row>
    <row r="3464" spans="1:9" ht="15.75" thickBot="1" x14ac:dyDescent="0.3">
      <c r="A3464" s="43" t="s">
        <v>1273</v>
      </c>
      <c r="B3464" s="21" t="s">
        <v>8198</v>
      </c>
      <c r="C3464" s="21" t="s">
        <v>22655</v>
      </c>
      <c r="D3464" s="22">
        <v>46034</v>
      </c>
      <c r="E3464" s="23" t="s">
        <v>22661</v>
      </c>
      <c r="F3464" s="24" t="s">
        <v>22657</v>
      </c>
      <c r="G3464" s="25">
        <v>4</v>
      </c>
      <c r="H3464" s="26"/>
      <c r="I3464" s="27"/>
    </row>
    <row r="3465" spans="1:9" ht="15.75" thickBot="1" x14ac:dyDescent="0.3">
      <c r="A3465" s="43" t="s">
        <v>8199</v>
      </c>
      <c r="B3465" s="21" t="s">
        <v>8200</v>
      </c>
      <c r="C3465" s="21" t="s">
        <v>22655</v>
      </c>
      <c r="D3465" s="22">
        <v>46034</v>
      </c>
      <c r="E3465" s="23" t="s">
        <v>22656</v>
      </c>
      <c r="F3465" s="24" t="s">
        <v>22657</v>
      </c>
      <c r="G3465" s="25">
        <v>4</v>
      </c>
      <c r="H3465" s="29"/>
      <c r="I3465" s="30"/>
    </row>
    <row r="3466" spans="1:9" ht="15.75" thickBot="1" x14ac:dyDescent="0.3">
      <c r="A3466" s="43" t="s">
        <v>8201</v>
      </c>
      <c r="B3466" s="21" t="s">
        <v>8202</v>
      </c>
      <c r="C3466" s="21" t="s">
        <v>22655</v>
      </c>
      <c r="D3466" s="22">
        <v>46034</v>
      </c>
      <c r="E3466" s="23" t="s">
        <v>22656</v>
      </c>
      <c r="F3466" s="24" t="s">
        <v>22657</v>
      </c>
      <c r="G3466" s="25">
        <v>4</v>
      </c>
      <c r="H3466" s="26"/>
      <c r="I3466" s="27"/>
    </row>
    <row r="3467" spans="1:9" ht="15.75" thickBot="1" x14ac:dyDescent="0.3">
      <c r="A3467" s="43" t="s">
        <v>22521</v>
      </c>
      <c r="B3467" s="21" t="s">
        <v>22522</v>
      </c>
      <c r="C3467" s="36" t="e">
        <v>#N/A</v>
      </c>
      <c r="D3467" s="37" t="e">
        <v>#N/A</v>
      </c>
      <c r="E3467" s="23" t="e">
        <v>#N/A</v>
      </c>
      <c r="F3467" s="24" t="s">
        <v>22657</v>
      </c>
      <c r="G3467" s="25" t="e">
        <v>#N/A</v>
      </c>
      <c r="H3467" s="29"/>
      <c r="I3467" s="30"/>
    </row>
    <row r="3468" spans="1:9" ht="15.75" thickBot="1" x14ac:dyDescent="0.3">
      <c r="A3468" s="43" t="s">
        <v>1063</v>
      </c>
      <c r="B3468" s="21" t="s">
        <v>22523</v>
      </c>
      <c r="C3468" s="21" t="s">
        <v>22655</v>
      </c>
      <c r="D3468" s="22">
        <v>46034</v>
      </c>
      <c r="E3468" s="23" t="s">
        <v>22662</v>
      </c>
      <c r="F3468" s="24" t="s">
        <v>22657</v>
      </c>
      <c r="G3468" s="25">
        <v>24</v>
      </c>
      <c r="H3468" s="34">
        <v>24</v>
      </c>
      <c r="I3468" s="35">
        <v>48</v>
      </c>
    </row>
    <row r="3469" spans="1:9" ht="15.75" thickBot="1" x14ac:dyDescent="0.3">
      <c r="A3469" s="43" t="s">
        <v>19865</v>
      </c>
      <c r="B3469" s="21" t="s">
        <v>22524</v>
      </c>
      <c r="C3469" s="21" t="s">
        <v>22655</v>
      </c>
      <c r="D3469" s="22">
        <v>46046</v>
      </c>
      <c r="E3469" s="23" t="s">
        <v>22656</v>
      </c>
      <c r="F3469" s="24" t="s">
        <v>22657</v>
      </c>
      <c r="G3469" s="25">
        <v>8</v>
      </c>
      <c r="H3469" s="29"/>
      <c r="I3469" s="30"/>
    </row>
    <row r="3470" spans="1:9" ht="15.75" thickBot="1" x14ac:dyDescent="0.3">
      <c r="A3470" s="43" t="s">
        <v>8203</v>
      </c>
      <c r="B3470" s="21" t="s">
        <v>8204</v>
      </c>
      <c r="C3470" s="21" t="s">
        <v>22799</v>
      </c>
      <c r="D3470" s="31" t="s">
        <v>22732</v>
      </c>
      <c r="E3470" s="23" t="s">
        <v>22656</v>
      </c>
      <c r="F3470" s="24" t="s">
        <v>22657</v>
      </c>
      <c r="G3470" s="25">
        <v>5</v>
      </c>
      <c r="H3470" s="26"/>
      <c r="I3470" s="27"/>
    </row>
    <row r="3471" spans="1:9" ht="15.75" thickBot="1" x14ac:dyDescent="0.3">
      <c r="A3471" s="43" t="s">
        <v>8205</v>
      </c>
      <c r="B3471" s="21" t="s">
        <v>8206</v>
      </c>
      <c r="C3471" s="21" t="s">
        <v>22800</v>
      </c>
      <c r="D3471" s="31" t="s">
        <v>22801</v>
      </c>
      <c r="E3471" s="23" t="s">
        <v>22656</v>
      </c>
      <c r="F3471" s="24" t="s">
        <v>22657</v>
      </c>
      <c r="G3471" s="25">
        <v>4</v>
      </c>
      <c r="H3471" s="29"/>
      <c r="I3471" s="30"/>
    </row>
    <row r="3472" spans="1:9" ht="15.75" thickBot="1" x14ac:dyDescent="0.3">
      <c r="A3472" s="43" t="s">
        <v>8207</v>
      </c>
      <c r="B3472" s="21" t="s">
        <v>8208</v>
      </c>
      <c r="C3472" s="21" t="s">
        <v>22672</v>
      </c>
      <c r="D3472" s="22">
        <v>46034</v>
      </c>
      <c r="E3472" s="23" t="s">
        <v>22661</v>
      </c>
      <c r="F3472" s="24" t="s">
        <v>22657</v>
      </c>
      <c r="G3472" s="25">
        <v>6</v>
      </c>
      <c r="H3472" s="34">
        <v>6</v>
      </c>
      <c r="I3472" s="35">
        <v>12</v>
      </c>
    </row>
    <row r="3473" spans="1:9" ht="15.75" thickBot="1" x14ac:dyDescent="0.3">
      <c r="A3473" s="43" t="s">
        <v>8209</v>
      </c>
      <c r="B3473" s="21" t="s">
        <v>8210</v>
      </c>
      <c r="C3473" s="21" t="s">
        <v>22672</v>
      </c>
      <c r="D3473" s="22">
        <v>46034</v>
      </c>
      <c r="E3473" s="23" t="s">
        <v>22658</v>
      </c>
      <c r="F3473" s="24" t="s">
        <v>22657</v>
      </c>
      <c r="G3473" s="25">
        <v>4</v>
      </c>
      <c r="H3473" s="29"/>
      <c r="I3473" s="30"/>
    </row>
    <row r="3474" spans="1:9" ht="15.75" thickBot="1" x14ac:dyDescent="0.3">
      <c r="A3474" s="43" t="s">
        <v>731</v>
      </c>
      <c r="B3474" s="21" t="s">
        <v>732</v>
      </c>
      <c r="C3474" s="21" t="s">
        <v>22663</v>
      </c>
      <c r="D3474" s="31">
        <v>1</v>
      </c>
      <c r="E3474" s="23" t="s">
        <v>22661</v>
      </c>
      <c r="F3474" s="24" t="s">
        <v>22657</v>
      </c>
      <c r="G3474" s="25">
        <v>5</v>
      </c>
      <c r="H3474" s="34">
        <v>5</v>
      </c>
      <c r="I3474" s="35">
        <v>10</v>
      </c>
    </row>
    <row r="3475" spans="1:9" ht="15.75" thickBot="1" x14ac:dyDescent="0.3">
      <c r="A3475" s="43" t="s">
        <v>1585</v>
      </c>
      <c r="B3475" s="21" t="s">
        <v>1586</v>
      </c>
      <c r="C3475" s="21" t="s">
        <v>22694</v>
      </c>
      <c r="D3475" s="22">
        <v>46038</v>
      </c>
      <c r="E3475" s="23" t="s">
        <v>22665</v>
      </c>
      <c r="F3475" s="24" t="s">
        <v>22657</v>
      </c>
      <c r="G3475" s="25">
        <v>32</v>
      </c>
      <c r="H3475" s="32">
        <v>32</v>
      </c>
      <c r="I3475" s="33">
        <v>60</v>
      </c>
    </row>
    <row r="3476" spans="1:9" ht="15.75" thickBot="1" x14ac:dyDescent="0.3">
      <c r="A3476" s="43" t="s">
        <v>8211</v>
      </c>
      <c r="B3476" s="21" t="s">
        <v>8212</v>
      </c>
      <c r="C3476" s="21" t="s">
        <v>22663</v>
      </c>
      <c r="D3476" s="31">
        <v>1</v>
      </c>
      <c r="E3476" s="23" t="s">
        <v>22656</v>
      </c>
      <c r="F3476" s="24" t="s">
        <v>22657</v>
      </c>
      <c r="G3476" s="25">
        <v>7</v>
      </c>
      <c r="H3476" s="26"/>
      <c r="I3476" s="27"/>
    </row>
    <row r="3477" spans="1:9" ht="15.75" thickBot="1" x14ac:dyDescent="0.3">
      <c r="A3477" s="43" t="s">
        <v>8213</v>
      </c>
      <c r="B3477" s="21" t="s">
        <v>8214</v>
      </c>
      <c r="C3477" s="21" t="s">
        <v>22698</v>
      </c>
      <c r="D3477" s="31">
        <v>1</v>
      </c>
      <c r="E3477" s="23" t="s">
        <v>22661</v>
      </c>
      <c r="F3477" s="24" t="s">
        <v>22657</v>
      </c>
      <c r="G3477" s="25">
        <v>4</v>
      </c>
      <c r="H3477" s="29"/>
      <c r="I3477" s="30"/>
    </row>
    <row r="3478" spans="1:9" ht="15.75" thickBot="1" x14ac:dyDescent="0.3">
      <c r="A3478" s="43" t="s">
        <v>8215</v>
      </c>
      <c r="B3478" s="21" t="s">
        <v>8216</v>
      </c>
      <c r="C3478" s="21" t="s">
        <v>22663</v>
      </c>
      <c r="D3478" s="31">
        <v>1</v>
      </c>
      <c r="E3478" s="23" t="s">
        <v>22661</v>
      </c>
      <c r="F3478" s="24" t="s">
        <v>22657</v>
      </c>
      <c r="G3478" s="25">
        <v>7</v>
      </c>
      <c r="H3478" s="26"/>
      <c r="I3478" s="27"/>
    </row>
    <row r="3479" spans="1:9" ht="15.75" thickBot="1" x14ac:dyDescent="0.3">
      <c r="A3479" s="43" t="s">
        <v>8217</v>
      </c>
      <c r="B3479" s="21" t="s">
        <v>8218</v>
      </c>
      <c r="C3479" s="21" t="s">
        <v>22709</v>
      </c>
      <c r="D3479" s="31">
        <v>1</v>
      </c>
      <c r="E3479" s="23" t="s">
        <v>22658</v>
      </c>
      <c r="F3479" s="24" t="s">
        <v>22657</v>
      </c>
      <c r="G3479" s="25">
        <v>1</v>
      </c>
      <c r="H3479" s="29"/>
      <c r="I3479" s="30"/>
    </row>
    <row r="3480" spans="1:9" ht="15.75" thickBot="1" x14ac:dyDescent="0.3">
      <c r="A3480" s="43" t="s">
        <v>597</v>
      </c>
      <c r="B3480" s="21" t="s">
        <v>8219</v>
      </c>
      <c r="C3480" s="21" t="s">
        <v>22698</v>
      </c>
      <c r="D3480" s="31">
        <v>1</v>
      </c>
      <c r="E3480" s="23" t="s">
        <v>22662</v>
      </c>
      <c r="F3480" s="24" t="s">
        <v>22657</v>
      </c>
      <c r="G3480" s="25">
        <v>100</v>
      </c>
      <c r="H3480" s="34">
        <v>100</v>
      </c>
      <c r="I3480" s="35">
        <v>200</v>
      </c>
    </row>
    <row r="3481" spans="1:9" ht="15.75" thickBot="1" x14ac:dyDescent="0.3">
      <c r="A3481" s="43" t="s">
        <v>105</v>
      </c>
      <c r="B3481" s="21" t="s">
        <v>106</v>
      </c>
      <c r="C3481" s="21" t="s">
        <v>22727</v>
      </c>
      <c r="D3481" s="31">
        <v>1</v>
      </c>
      <c r="E3481" s="23" t="s">
        <v>22658</v>
      </c>
      <c r="F3481" s="24" t="s">
        <v>22657</v>
      </c>
      <c r="G3481" s="25">
        <v>1</v>
      </c>
      <c r="H3481" s="29"/>
      <c r="I3481" s="30"/>
    </row>
    <row r="3482" spans="1:9" ht="15.75" thickBot="1" x14ac:dyDescent="0.3">
      <c r="A3482" s="43" t="s">
        <v>1141</v>
      </c>
      <c r="B3482" s="21" t="s">
        <v>1142</v>
      </c>
      <c r="C3482" s="21" t="s">
        <v>22655</v>
      </c>
      <c r="D3482" s="22">
        <v>46042</v>
      </c>
      <c r="E3482" s="23" t="s">
        <v>22662</v>
      </c>
      <c r="F3482" s="24" t="s">
        <v>22657</v>
      </c>
      <c r="G3482" s="25">
        <v>60</v>
      </c>
      <c r="H3482" s="34">
        <v>60</v>
      </c>
      <c r="I3482" s="35">
        <v>120</v>
      </c>
    </row>
    <row r="3483" spans="1:9" ht="15.75" thickBot="1" x14ac:dyDescent="0.3">
      <c r="A3483" s="43" t="s">
        <v>447</v>
      </c>
      <c r="B3483" s="21" t="s">
        <v>448</v>
      </c>
      <c r="C3483" s="21" t="s">
        <v>22655</v>
      </c>
      <c r="D3483" s="22">
        <v>46034</v>
      </c>
      <c r="E3483" s="23" t="s">
        <v>22661</v>
      </c>
      <c r="F3483" s="24" t="s">
        <v>22657</v>
      </c>
      <c r="G3483" s="25">
        <v>12</v>
      </c>
      <c r="H3483" s="32">
        <v>12</v>
      </c>
      <c r="I3483" s="33">
        <v>24</v>
      </c>
    </row>
    <row r="3484" spans="1:9" ht="15.75" thickBot="1" x14ac:dyDescent="0.3">
      <c r="A3484" s="43" t="s">
        <v>8220</v>
      </c>
      <c r="B3484" s="21" t="s">
        <v>8221</v>
      </c>
      <c r="C3484" s="21" t="s">
        <v>22655</v>
      </c>
      <c r="D3484" s="22">
        <v>46026</v>
      </c>
      <c r="E3484" s="23" t="s">
        <v>22656</v>
      </c>
      <c r="F3484" s="24" t="s">
        <v>22657</v>
      </c>
      <c r="G3484" s="25">
        <v>2</v>
      </c>
      <c r="H3484" s="26"/>
      <c r="I3484" s="27"/>
    </row>
    <row r="3485" spans="1:9" ht="15.75" thickBot="1" x14ac:dyDescent="0.3">
      <c r="A3485" s="43" t="s">
        <v>1817</v>
      </c>
      <c r="B3485" s="21" t="s">
        <v>1818</v>
      </c>
      <c r="C3485" s="21" t="s">
        <v>22655</v>
      </c>
      <c r="D3485" s="22">
        <v>46034</v>
      </c>
      <c r="E3485" s="23" t="s">
        <v>22665</v>
      </c>
      <c r="F3485" s="24" t="s">
        <v>22657</v>
      </c>
      <c r="G3485" s="25">
        <v>24</v>
      </c>
      <c r="H3485" s="32">
        <v>24</v>
      </c>
      <c r="I3485" s="33">
        <v>36</v>
      </c>
    </row>
    <row r="3486" spans="1:9" ht="15.75" thickBot="1" x14ac:dyDescent="0.3">
      <c r="A3486" s="43" t="s">
        <v>8222</v>
      </c>
      <c r="B3486" s="21" t="s">
        <v>8223</v>
      </c>
      <c r="C3486" s="21" t="s">
        <v>22655</v>
      </c>
      <c r="D3486" s="22">
        <v>46030</v>
      </c>
      <c r="E3486" s="23" t="s">
        <v>22656</v>
      </c>
      <c r="F3486" s="24" t="s">
        <v>22657</v>
      </c>
      <c r="G3486" s="25">
        <v>3</v>
      </c>
      <c r="H3486" s="26"/>
      <c r="I3486" s="27"/>
    </row>
    <row r="3487" spans="1:9" ht="15.75" thickBot="1" x14ac:dyDescent="0.3">
      <c r="A3487" s="43" t="s">
        <v>8224</v>
      </c>
      <c r="B3487" s="21" t="s">
        <v>8225</v>
      </c>
      <c r="C3487" s="21" t="s">
        <v>22663</v>
      </c>
      <c r="D3487" s="31">
        <v>1</v>
      </c>
      <c r="E3487" s="23" t="s">
        <v>22661</v>
      </c>
      <c r="F3487" s="24" t="s">
        <v>22657</v>
      </c>
      <c r="G3487" s="25">
        <v>9</v>
      </c>
      <c r="H3487" s="29"/>
      <c r="I3487" s="30"/>
    </row>
    <row r="3488" spans="1:9" ht="15.75" thickBot="1" x14ac:dyDescent="0.3">
      <c r="A3488" s="43" t="s">
        <v>8226</v>
      </c>
      <c r="B3488" s="21" t="s">
        <v>8227</v>
      </c>
      <c r="C3488" s="21" t="s">
        <v>22655</v>
      </c>
      <c r="D3488" s="22">
        <v>46046</v>
      </c>
      <c r="E3488" s="23" t="s">
        <v>22656</v>
      </c>
      <c r="F3488" s="24" t="s">
        <v>22657</v>
      </c>
      <c r="G3488" s="25">
        <v>3</v>
      </c>
      <c r="H3488" s="26"/>
      <c r="I3488" s="27"/>
    </row>
    <row r="3489" spans="1:9" ht="15.75" thickBot="1" x14ac:dyDescent="0.3">
      <c r="A3489" s="43" t="s">
        <v>8228</v>
      </c>
      <c r="B3489" s="21" t="s">
        <v>8229</v>
      </c>
      <c r="C3489" s="21" t="s">
        <v>22663</v>
      </c>
      <c r="D3489" s="31">
        <v>1</v>
      </c>
      <c r="E3489" s="23" t="s">
        <v>22658</v>
      </c>
      <c r="F3489" s="24" t="s">
        <v>22657</v>
      </c>
      <c r="G3489" s="25">
        <v>2</v>
      </c>
      <c r="H3489" s="29"/>
      <c r="I3489" s="30"/>
    </row>
    <row r="3490" spans="1:9" ht="15.75" thickBot="1" x14ac:dyDescent="0.3">
      <c r="A3490" s="43" t="s">
        <v>8230</v>
      </c>
      <c r="B3490" s="21" t="s">
        <v>8231</v>
      </c>
      <c r="C3490" s="21" t="s">
        <v>22682</v>
      </c>
      <c r="D3490" s="22">
        <v>46034</v>
      </c>
      <c r="E3490" s="23" t="s">
        <v>22656</v>
      </c>
      <c r="F3490" s="24" t="s">
        <v>22657</v>
      </c>
      <c r="G3490" s="25">
        <v>4</v>
      </c>
      <c r="H3490" s="26"/>
      <c r="I3490" s="27"/>
    </row>
    <row r="3491" spans="1:9" ht="15.75" thickBot="1" x14ac:dyDescent="0.3">
      <c r="A3491" s="43" t="s">
        <v>8232</v>
      </c>
      <c r="B3491" s="21" t="s">
        <v>8233</v>
      </c>
      <c r="C3491" s="21" t="s">
        <v>22682</v>
      </c>
      <c r="D3491" s="22">
        <v>46034</v>
      </c>
      <c r="E3491" s="23" t="s">
        <v>22658</v>
      </c>
      <c r="F3491" s="24" t="s">
        <v>22657</v>
      </c>
      <c r="G3491" s="25">
        <v>4</v>
      </c>
      <c r="H3491" s="29"/>
      <c r="I3491" s="30"/>
    </row>
    <row r="3492" spans="1:9" ht="15.75" thickBot="1" x14ac:dyDescent="0.3">
      <c r="A3492" s="43" t="s">
        <v>8234</v>
      </c>
      <c r="B3492" s="21" t="s">
        <v>8235</v>
      </c>
      <c r="C3492" s="21" t="s">
        <v>22682</v>
      </c>
      <c r="D3492" s="22">
        <v>46034</v>
      </c>
      <c r="E3492" s="23" t="s">
        <v>22658</v>
      </c>
      <c r="F3492" s="24" t="s">
        <v>22657</v>
      </c>
      <c r="G3492" s="25">
        <v>4</v>
      </c>
      <c r="H3492" s="26"/>
      <c r="I3492" s="27"/>
    </row>
    <row r="3493" spans="1:9" ht="15.75" thickBot="1" x14ac:dyDescent="0.3">
      <c r="A3493" s="43" t="s">
        <v>8236</v>
      </c>
      <c r="B3493" s="21" t="s">
        <v>8237</v>
      </c>
      <c r="C3493" s="21" t="s">
        <v>22682</v>
      </c>
      <c r="D3493" s="22">
        <v>46034</v>
      </c>
      <c r="E3493" s="23" t="s">
        <v>22658</v>
      </c>
      <c r="F3493" s="24" t="s">
        <v>22657</v>
      </c>
      <c r="G3493" s="25">
        <v>4</v>
      </c>
      <c r="H3493" s="29"/>
      <c r="I3493" s="30"/>
    </row>
    <row r="3494" spans="1:9" ht="15.75" thickBot="1" x14ac:dyDescent="0.3">
      <c r="A3494" s="43" t="s">
        <v>8238</v>
      </c>
      <c r="B3494" s="21" t="s">
        <v>8239</v>
      </c>
      <c r="C3494" s="21" t="s">
        <v>22663</v>
      </c>
      <c r="D3494" s="31">
        <v>1</v>
      </c>
      <c r="E3494" s="23" t="s">
        <v>22658</v>
      </c>
      <c r="F3494" s="24" t="s">
        <v>22657</v>
      </c>
      <c r="G3494" s="25">
        <v>4</v>
      </c>
      <c r="H3494" s="26"/>
      <c r="I3494" s="27"/>
    </row>
    <row r="3495" spans="1:9" ht="15.75" thickBot="1" x14ac:dyDescent="0.3">
      <c r="A3495" s="43" t="s">
        <v>8240</v>
      </c>
      <c r="B3495" s="21" t="s">
        <v>8241</v>
      </c>
      <c r="C3495" s="21" t="s">
        <v>22663</v>
      </c>
      <c r="D3495" s="31">
        <v>1</v>
      </c>
      <c r="E3495" s="23" t="s">
        <v>22658</v>
      </c>
      <c r="F3495" s="24" t="s">
        <v>22657</v>
      </c>
      <c r="G3495" s="25">
        <v>3</v>
      </c>
      <c r="H3495" s="29"/>
      <c r="I3495" s="30"/>
    </row>
    <row r="3496" spans="1:9" ht="15.75" thickBot="1" x14ac:dyDescent="0.3">
      <c r="A3496" s="43" t="s">
        <v>8242</v>
      </c>
      <c r="B3496" s="21" t="s">
        <v>8243</v>
      </c>
      <c r="C3496" s="21" t="s">
        <v>22682</v>
      </c>
      <c r="D3496" s="22">
        <v>46034</v>
      </c>
      <c r="E3496" s="23" t="s">
        <v>22656</v>
      </c>
      <c r="F3496" s="24" t="s">
        <v>22657</v>
      </c>
      <c r="G3496" s="25">
        <v>6</v>
      </c>
      <c r="H3496" s="26"/>
      <c r="I3496" s="27"/>
    </row>
    <row r="3497" spans="1:9" ht="15.75" thickBot="1" x14ac:dyDescent="0.3">
      <c r="A3497" s="43" t="s">
        <v>8244</v>
      </c>
      <c r="B3497" s="21" t="s">
        <v>8245</v>
      </c>
      <c r="C3497" s="21" t="s">
        <v>22682</v>
      </c>
      <c r="D3497" s="22">
        <v>46034</v>
      </c>
      <c r="E3497" s="23" t="s">
        <v>22656</v>
      </c>
      <c r="F3497" s="24" t="s">
        <v>22657</v>
      </c>
      <c r="G3497" s="25">
        <v>4</v>
      </c>
      <c r="H3497" s="29"/>
      <c r="I3497" s="30"/>
    </row>
    <row r="3498" spans="1:9" ht="15.75" thickBot="1" x14ac:dyDescent="0.3">
      <c r="A3498" s="43" t="s">
        <v>8246</v>
      </c>
      <c r="B3498" s="21" t="s">
        <v>8247</v>
      </c>
      <c r="C3498" s="21" t="s">
        <v>22655</v>
      </c>
      <c r="D3498" s="22">
        <v>46046</v>
      </c>
      <c r="E3498" s="23" t="s">
        <v>22656</v>
      </c>
      <c r="F3498" s="24" t="s">
        <v>22657</v>
      </c>
      <c r="G3498" s="25">
        <v>3</v>
      </c>
      <c r="H3498" s="26"/>
      <c r="I3498" s="27"/>
    </row>
    <row r="3499" spans="1:9" ht="15.75" thickBot="1" x14ac:dyDescent="0.3">
      <c r="A3499" s="43" t="s">
        <v>8248</v>
      </c>
      <c r="B3499" s="21" t="s">
        <v>8249</v>
      </c>
      <c r="C3499" s="21" t="s">
        <v>22655</v>
      </c>
      <c r="D3499" s="22">
        <v>46046</v>
      </c>
      <c r="E3499" s="23" t="s">
        <v>22656</v>
      </c>
      <c r="F3499" s="24" t="s">
        <v>22657</v>
      </c>
      <c r="G3499" s="25">
        <v>7</v>
      </c>
      <c r="H3499" s="29"/>
      <c r="I3499" s="30"/>
    </row>
    <row r="3500" spans="1:9" ht="15.75" thickBot="1" x14ac:dyDescent="0.3">
      <c r="A3500" s="43" t="s">
        <v>1043</v>
      </c>
      <c r="B3500" s="21" t="s">
        <v>8250</v>
      </c>
      <c r="C3500" s="21" t="s">
        <v>22655</v>
      </c>
      <c r="D3500" s="22">
        <v>46046</v>
      </c>
      <c r="E3500" s="23" t="s">
        <v>22661</v>
      </c>
      <c r="F3500" s="24" t="s">
        <v>22657</v>
      </c>
      <c r="G3500" s="25">
        <v>24</v>
      </c>
      <c r="H3500" s="34">
        <v>24</v>
      </c>
      <c r="I3500" s="35">
        <v>48</v>
      </c>
    </row>
    <row r="3501" spans="1:9" ht="15.75" thickBot="1" x14ac:dyDescent="0.3">
      <c r="A3501" s="43" t="s">
        <v>8251</v>
      </c>
      <c r="B3501" s="21" t="s">
        <v>8252</v>
      </c>
      <c r="C3501" s="21" t="s">
        <v>22655</v>
      </c>
      <c r="D3501" s="22">
        <v>46046</v>
      </c>
      <c r="E3501" s="23" t="s">
        <v>22656</v>
      </c>
      <c r="F3501" s="24" t="s">
        <v>22657</v>
      </c>
      <c r="G3501" s="25">
        <v>3</v>
      </c>
      <c r="H3501" s="29"/>
      <c r="I3501" s="30"/>
    </row>
    <row r="3502" spans="1:9" ht="15.75" thickBot="1" x14ac:dyDescent="0.3">
      <c r="A3502" s="43" t="s">
        <v>8253</v>
      </c>
      <c r="B3502" s="21" t="s">
        <v>8254</v>
      </c>
      <c r="C3502" s="21" t="s">
        <v>22655</v>
      </c>
      <c r="D3502" s="22">
        <v>46046</v>
      </c>
      <c r="E3502" s="23" t="s">
        <v>22656</v>
      </c>
      <c r="F3502" s="24" t="s">
        <v>22657</v>
      </c>
      <c r="G3502" s="25">
        <v>3</v>
      </c>
      <c r="H3502" s="26"/>
      <c r="I3502" s="27"/>
    </row>
    <row r="3503" spans="1:9" ht="15.75" thickBot="1" x14ac:dyDescent="0.3">
      <c r="A3503" s="43" t="s">
        <v>8255</v>
      </c>
      <c r="B3503" s="21" t="s">
        <v>8256</v>
      </c>
      <c r="C3503" s="21" t="s">
        <v>22655</v>
      </c>
      <c r="D3503" s="22">
        <v>46046</v>
      </c>
      <c r="E3503" s="23" t="s">
        <v>22656</v>
      </c>
      <c r="F3503" s="24" t="s">
        <v>22657</v>
      </c>
      <c r="G3503" s="25">
        <v>3</v>
      </c>
      <c r="H3503" s="29"/>
      <c r="I3503" s="30"/>
    </row>
    <row r="3504" spans="1:9" ht="15.75" thickBot="1" x14ac:dyDescent="0.3">
      <c r="A3504" s="43" t="s">
        <v>679</v>
      </c>
      <c r="B3504" s="21" t="s">
        <v>8257</v>
      </c>
      <c r="C3504" s="21" t="s">
        <v>22655</v>
      </c>
      <c r="D3504" s="22">
        <v>46046</v>
      </c>
      <c r="E3504" s="23" t="s">
        <v>22661</v>
      </c>
      <c r="F3504" s="24" t="s">
        <v>22657</v>
      </c>
      <c r="G3504" s="25">
        <v>24</v>
      </c>
      <c r="H3504" s="34">
        <v>24</v>
      </c>
      <c r="I3504" s="35">
        <v>48</v>
      </c>
    </row>
    <row r="3505" spans="1:9" ht="15.75" thickBot="1" x14ac:dyDescent="0.3">
      <c r="A3505" s="43" t="s">
        <v>8258</v>
      </c>
      <c r="B3505" s="21" t="s">
        <v>8259</v>
      </c>
      <c r="C3505" s="21" t="s">
        <v>22655</v>
      </c>
      <c r="D3505" s="22">
        <v>46034</v>
      </c>
      <c r="E3505" s="23" t="s">
        <v>22656</v>
      </c>
      <c r="F3505" s="24" t="s">
        <v>22657</v>
      </c>
      <c r="G3505" s="25">
        <v>4</v>
      </c>
      <c r="H3505" s="29"/>
      <c r="I3505" s="30"/>
    </row>
    <row r="3506" spans="1:9" ht="15.75" thickBot="1" x14ac:dyDescent="0.3">
      <c r="A3506" s="43" t="s">
        <v>8260</v>
      </c>
      <c r="B3506" s="21" t="s">
        <v>8261</v>
      </c>
      <c r="C3506" s="21" t="s">
        <v>22690</v>
      </c>
      <c r="D3506" s="31" t="s">
        <v>22730</v>
      </c>
      <c r="E3506" s="23" t="s">
        <v>22658</v>
      </c>
      <c r="F3506" s="24" t="s">
        <v>22657</v>
      </c>
      <c r="G3506" s="25">
        <v>4</v>
      </c>
      <c r="H3506" s="26"/>
      <c r="I3506" s="27"/>
    </row>
    <row r="3507" spans="1:9" ht="15.75" thickBot="1" x14ac:dyDescent="0.3">
      <c r="A3507" s="43" t="s">
        <v>1217</v>
      </c>
      <c r="B3507" s="21" t="s">
        <v>1218</v>
      </c>
      <c r="C3507" s="21" t="s">
        <v>22655</v>
      </c>
      <c r="D3507" s="22">
        <v>46030</v>
      </c>
      <c r="E3507" s="23" t="s">
        <v>22656</v>
      </c>
      <c r="F3507" s="24" t="s">
        <v>22657</v>
      </c>
      <c r="G3507" s="25">
        <v>5</v>
      </c>
      <c r="H3507" s="29"/>
      <c r="I3507" s="30"/>
    </row>
    <row r="3508" spans="1:9" ht="15.75" thickBot="1" x14ac:dyDescent="0.3">
      <c r="A3508" s="43" t="s">
        <v>1657</v>
      </c>
      <c r="B3508" s="21" t="s">
        <v>1658</v>
      </c>
      <c r="C3508" s="21" t="s">
        <v>22655</v>
      </c>
      <c r="D3508" s="22">
        <v>46030</v>
      </c>
      <c r="E3508" s="23" t="s">
        <v>22656</v>
      </c>
      <c r="F3508" s="24" t="s">
        <v>22657</v>
      </c>
      <c r="G3508" s="25">
        <v>8</v>
      </c>
      <c r="H3508" s="34">
        <v>8</v>
      </c>
      <c r="I3508" s="35">
        <v>16</v>
      </c>
    </row>
    <row r="3509" spans="1:9" ht="15.75" thickBot="1" x14ac:dyDescent="0.3">
      <c r="A3509" s="43" t="s">
        <v>8262</v>
      </c>
      <c r="B3509" s="21" t="s">
        <v>8263</v>
      </c>
      <c r="C3509" s="21" t="s">
        <v>22690</v>
      </c>
      <c r="D3509" s="31" t="s">
        <v>22730</v>
      </c>
      <c r="E3509" s="23" t="s">
        <v>22656</v>
      </c>
      <c r="F3509" s="24" t="s">
        <v>22657</v>
      </c>
      <c r="G3509" s="25">
        <v>4</v>
      </c>
      <c r="H3509" s="29"/>
      <c r="I3509" s="30"/>
    </row>
    <row r="3510" spans="1:9" ht="15.75" thickBot="1" x14ac:dyDescent="0.3">
      <c r="A3510" s="43" t="s">
        <v>8264</v>
      </c>
      <c r="B3510" s="21" t="s">
        <v>8265</v>
      </c>
      <c r="C3510" s="21" t="s">
        <v>22690</v>
      </c>
      <c r="D3510" s="31" t="s">
        <v>22730</v>
      </c>
      <c r="E3510" s="23" t="s">
        <v>22656</v>
      </c>
      <c r="F3510" s="24" t="s">
        <v>22657</v>
      </c>
      <c r="G3510" s="25">
        <v>4</v>
      </c>
      <c r="H3510" s="26"/>
      <c r="I3510" s="27"/>
    </row>
    <row r="3511" spans="1:9" ht="15.75" thickBot="1" x14ac:dyDescent="0.3">
      <c r="A3511" s="43" t="s">
        <v>1021</v>
      </c>
      <c r="B3511" s="21" t="s">
        <v>1022</v>
      </c>
      <c r="C3511" s="21" t="s">
        <v>22655</v>
      </c>
      <c r="D3511" s="22">
        <v>46030</v>
      </c>
      <c r="E3511" s="23" t="s">
        <v>22665</v>
      </c>
      <c r="F3511" s="24" t="s">
        <v>22657</v>
      </c>
      <c r="G3511" s="25">
        <v>16</v>
      </c>
      <c r="H3511" s="32">
        <v>16</v>
      </c>
      <c r="I3511" s="33">
        <v>24</v>
      </c>
    </row>
    <row r="3512" spans="1:9" ht="15.75" thickBot="1" x14ac:dyDescent="0.3">
      <c r="A3512" s="43" t="s">
        <v>8266</v>
      </c>
      <c r="B3512" s="21" t="s">
        <v>8267</v>
      </c>
      <c r="C3512" s="21" t="s">
        <v>22690</v>
      </c>
      <c r="D3512" s="31" t="s">
        <v>22730</v>
      </c>
      <c r="E3512" s="23" t="s">
        <v>22656</v>
      </c>
      <c r="F3512" s="24" t="s">
        <v>22657</v>
      </c>
      <c r="G3512" s="25">
        <v>4</v>
      </c>
      <c r="H3512" s="26"/>
      <c r="I3512" s="27"/>
    </row>
    <row r="3513" spans="1:9" ht="15.75" thickBot="1" x14ac:dyDescent="0.3">
      <c r="A3513" s="43" t="s">
        <v>8268</v>
      </c>
      <c r="B3513" s="21" t="s">
        <v>8269</v>
      </c>
      <c r="C3513" s="21" t="s">
        <v>22655</v>
      </c>
      <c r="D3513" s="22">
        <v>46034</v>
      </c>
      <c r="E3513" s="23" t="s">
        <v>22656</v>
      </c>
      <c r="F3513" s="24" t="s">
        <v>22657</v>
      </c>
      <c r="G3513" s="25">
        <v>4</v>
      </c>
      <c r="H3513" s="29"/>
      <c r="I3513" s="30"/>
    </row>
    <row r="3514" spans="1:9" ht="15.75" thickBot="1" x14ac:dyDescent="0.3">
      <c r="A3514" s="43" t="s">
        <v>8270</v>
      </c>
      <c r="B3514" s="21" t="s">
        <v>8271</v>
      </c>
      <c r="C3514" s="21" t="s">
        <v>22655</v>
      </c>
      <c r="D3514" s="22">
        <v>46046</v>
      </c>
      <c r="E3514" s="23" t="s">
        <v>22656</v>
      </c>
      <c r="F3514" s="24" t="s">
        <v>22657</v>
      </c>
      <c r="G3514" s="25">
        <v>8</v>
      </c>
      <c r="H3514" s="26"/>
      <c r="I3514" s="27"/>
    </row>
    <row r="3515" spans="1:9" ht="15.75" thickBot="1" x14ac:dyDescent="0.3">
      <c r="A3515" s="43" t="s">
        <v>8272</v>
      </c>
      <c r="B3515" s="21" t="s">
        <v>8273</v>
      </c>
      <c r="C3515" s="21" t="s">
        <v>22655</v>
      </c>
      <c r="D3515" s="22">
        <v>46046</v>
      </c>
      <c r="E3515" s="23" t="s">
        <v>22656</v>
      </c>
      <c r="F3515" s="24" t="s">
        <v>22657</v>
      </c>
      <c r="G3515" s="25">
        <v>8</v>
      </c>
      <c r="H3515" s="29"/>
      <c r="I3515" s="30"/>
    </row>
    <row r="3516" spans="1:9" ht="15.75" thickBot="1" x14ac:dyDescent="0.3">
      <c r="A3516" s="43" t="s">
        <v>1337</v>
      </c>
      <c r="B3516" s="21" t="s">
        <v>8274</v>
      </c>
      <c r="C3516" s="21" t="s">
        <v>22655</v>
      </c>
      <c r="D3516" s="31" t="s">
        <v>22688</v>
      </c>
      <c r="E3516" s="23" t="s">
        <v>22665</v>
      </c>
      <c r="F3516" s="24" t="s">
        <v>22657</v>
      </c>
      <c r="G3516" s="25">
        <v>120</v>
      </c>
      <c r="H3516" s="34">
        <v>120</v>
      </c>
      <c r="I3516" s="35">
        <v>240</v>
      </c>
    </row>
    <row r="3517" spans="1:9" ht="15.75" thickBot="1" x14ac:dyDescent="0.3">
      <c r="A3517" s="43" t="s">
        <v>8275</v>
      </c>
      <c r="B3517" s="21" t="s">
        <v>8276</v>
      </c>
      <c r="C3517" s="21" t="s">
        <v>22655</v>
      </c>
      <c r="D3517" s="22">
        <v>46046</v>
      </c>
      <c r="E3517" s="23" t="s">
        <v>22656</v>
      </c>
      <c r="F3517" s="24" t="s">
        <v>22657</v>
      </c>
      <c r="G3517" s="25">
        <v>8</v>
      </c>
      <c r="H3517" s="29"/>
      <c r="I3517" s="30"/>
    </row>
    <row r="3518" spans="1:9" ht="15.75" thickBot="1" x14ac:dyDescent="0.3">
      <c r="A3518" s="43" t="s">
        <v>8277</v>
      </c>
      <c r="B3518" s="21" t="s">
        <v>8278</v>
      </c>
      <c r="C3518" s="21" t="s">
        <v>22655</v>
      </c>
      <c r="D3518" s="22">
        <v>46046</v>
      </c>
      <c r="E3518" s="23" t="s">
        <v>22661</v>
      </c>
      <c r="F3518" s="24" t="s">
        <v>22657</v>
      </c>
      <c r="G3518" s="25">
        <v>8</v>
      </c>
      <c r="H3518" s="26"/>
      <c r="I3518" s="27"/>
    </row>
    <row r="3519" spans="1:9" ht="15.75" thickBot="1" x14ac:dyDescent="0.3">
      <c r="A3519" s="43" t="s">
        <v>8279</v>
      </c>
      <c r="B3519" s="21" t="s">
        <v>8280</v>
      </c>
      <c r="C3519" s="21" t="s">
        <v>22655</v>
      </c>
      <c r="D3519" s="22">
        <v>46046</v>
      </c>
      <c r="E3519" s="23" t="s">
        <v>22661</v>
      </c>
      <c r="F3519" s="24" t="s">
        <v>22657</v>
      </c>
      <c r="G3519" s="25">
        <v>12</v>
      </c>
      <c r="H3519" s="32">
        <v>12</v>
      </c>
      <c r="I3519" s="33">
        <v>24</v>
      </c>
    </row>
    <row r="3520" spans="1:9" ht="15.75" thickBot="1" x14ac:dyDescent="0.3">
      <c r="A3520" s="43" t="s">
        <v>8281</v>
      </c>
      <c r="B3520" s="21" t="s">
        <v>8282</v>
      </c>
      <c r="C3520" s="21" t="s">
        <v>22655</v>
      </c>
      <c r="D3520" s="22">
        <v>46046</v>
      </c>
      <c r="E3520" s="23" t="s">
        <v>22656</v>
      </c>
      <c r="F3520" s="24" t="s">
        <v>22657</v>
      </c>
      <c r="G3520" s="25">
        <v>8</v>
      </c>
      <c r="H3520" s="26"/>
      <c r="I3520" s="27"/>
    </row>
    <row r="3521" spans="1:9" ht="15.75" thickBot="1" x14ac:dyDescent="0.3">
      <c r="A3521" s="43" t="s">
        <v>8283</v>
      </c>
      <c r="B3521" s="21" t="s">
        <v>8284</v>
      </c>
      <c r="C3521" s="21" t="s">
        <v>22655</v>
      </c>
      <c r="D3521" s="22">
        <v>46046</v>
      </c>
      <c r="E3521" s="23" t="s">
        <v>22656</v>
      </c>
      <c r="F3521" s="24" t="s">
        <v>22657</v>
      </c>
      <c r="G3521" s="25">
        <v>8</v>
      </c>
      <c r="H3521" s="29"/>
      <c r="I3521" s="30"/>
    </row>
    <row r="3522" spans="1:9" ht="15.75" thickBot="1" x14ac:dyDescent="0.3">
      <c r="A3522" s="43" t="s">
        <v>8285</v>
      </c>
      <c r="B3522" s="21" t="s">
        <v>8286</v>
      </c>
      <c r="C3522" s="21" t="s">
        <v>22655</v>
      </c>
      <c r="D3522" s="22">
        <v>46028</v>
      </c>
      <c r="E3522" s="23" t="s">
        <v>22658</v>
      </c>
      <c r="F3522" s="24" t="s">
        <v>22657</v>
      </c>
      <c r="G3522" s="25">
        <v>2</v>
      </c>
      <c r="H3522" s="26"/>
      <c r="I3522" s="27"/>
    </row>
    <row r="3523" spans="1:9" ht="15.75" thickBot="1" x14ac:dyDescent="0.3">
      <c r="A3523" s="43" t="s">
        <v>1263</v>
      </c>
      <c r="B3523" s="21" t="s">
        <v>1264</v>
      </c>
      <c r="C3523" s="21" t="s">
        <v>22655</v>
      </c>
      <c r="D3523" s="22">
        <v>46046</v>
      </c>
      <c r="E3523" s="23" t="s">
        <v>22662</v>
      </c>
      <c r="F3523" s="24" t="s">
        <v>22657</v>
      </c>
      <c r="G3523" s="25">
        <v>72</v>
      </c>
      <c r="H3523" s="32">
        <v>72</v>
      </c>
      <c r="I3523" s="33">
        <v>120</v>
      </c>
    </row>
    <row r="3524" spans="1:9" ht="15.75" thickBot="1" x14ac:dyDescent="0.3">
      <c r="A3524" s="43" t="s">
        <v>1777</v>
      </c>
      <c r="B3524" s="21" t="s">
        <v>1778</v>
      </c>
      <c r="C3524" s="21" t="s">
        <v>22655</v>
      </c>
      <c r="D3524" s="22">
        <v>46046</v>
      </c>
      <c r="E3524" s="23" t="s">
        <v>22656</v>
      </c>
      <c r="F3524" s="24" t="s">
        <v>22657</v>
      </c>
      <c r="G3524" s="25">
        <v>8</v>
      </c>
      <c r="H3524" s="26"/>
      <c r="I3524" s="27"/>
    </row>
    <row r="3525" spans="1:9" ht="15.75" thickBot="1" x14ac:dyDescent="0.3">
      <c r="A3525" s="43" t="s">
        <v>1521</v>
      </c>
      <c r="B3525" s="21" t="s">
        <v>1522</v>
      </c>
      <c r="C3525" s="21" t="s">
        <v>22655</v>
      </c>
      <c r="D3525" s="22">
        <v>46034</v>
      </c>
      <c r="E3525" s="23" t="s">
        <v>22665</v>
      </c>
      <c r="F3525" s="24" t="s">
        <v>22657</v>
      </c>
      <c r="G3525" s="25">
        <v>24</v>
      </c>
      <c r="H3525" s="32">
        <v>24</v>
      </c>
      <c r="I3525" s="33">
        <v>72</v>
      </c>
    </row>
    <row r="3526" spans="1:9" ht="15.75" thickBot="1" x14ac:dyDescent="0.3">
      <c r="A3526" s="43" t="s">
        <v>979</v>
      </c>
      <c r="B3526" s="21" t="s">
        <v>980</v>
      </c>
      <c r="C3526" s="21" t="s">
        <v>22655</v>
      </c>
      <c r="D3526" s="22">
        <v>46034</v>
      </c>
      <c r="E3526" s="23" t="s">
        <v>22662</v>
      </c>
      <c r="F3526" s="24" t="s">
        <v>22657</v>
      </c>
      <c r="G3526" s="25">
        <v>24</v>
      </c>
      <c r="H3526" s="34">
        <v>24</v>
      </c>
      <c r="I3526" s="35">
        <v>60</v>
      </c>
    </row>
    <row r="3527" spans="1:9" ht="15.75" thickBot="1" x14ac:dyDescent="0.3">
      <c r="A3527" s="43" t="s">
        <v>8287</v>
      </c>
      <c r="B3527" s="21" t="s">
        <v>8288</v>
      </c>
      <c r="C3527" s="21" t="s">
        <v>22655</v>
      </c>
      <c r="D3527" s="22">
        <v>46046</v>
      </c>
      <c r="E3527" s="23" t="s">
        <v>22656</v>
      </c>
      <c r="F3527" s="24" t="s">
        <v>22657</v>
      </c>
      <c r="G3527" s="25">
        <v>2</v>
      </c>
      <c r="H3527" s="29"/>
      <c r="I3527" s="30"/>
    </row>
    <row r="3528" spans="1:9" ht="15.75" thickBot="1" x14ac:dyDescent="0.3">
      <c r="A3528" s="43" t="s">
        <v>8289</v>
      </c>
      <c r="B3528" s="21" t="s">
        <v>8290</v>
      </c>
      <c r="C3528" s="21" t="s">
        <v>22655</v>
      </c>
      <c r="D3528" s="22">
        <v>46046</v>
      </c>
      <c r="E3528" s="23" t="s">
        <v>22658</v>
      </c>
      <c r="F3528" s="24" t="s">
        <v>22657</v>
      </c>
      <c r="G3528" s="25">
        <v>2</v>
      </c>
      <c r="H3528" s="26"/>
      <c r="I3528" s="27"/>
    </row>
    <row r="3529" spans="1:9" ht="15.75" thickBot="1" x14ac:dyDescent="0.3">
      <c r="A3529" s="43" t="s">
        <v>8291</v>
      </c>
      <c r="B3529" s="21" t="s">
        <v>8292</v>
      </c>
      <c r="C3529" s="21" t="s">
        <v>22655</v>
      </c>
      <c r="D3529" s="22">
        <v>46046</v>
      </c>
      <c r="E3529" s="23" t="s">
        <v>22656</v>
      </c>
      <c r="F3529" s="24" t="s">
        <v>22657</v>
      </c>
      <c r="G3529" s="25">
        <v>2</v>
      </c>
      <c r="H3529" s="29"/>
      <c r="I3529" s="30"/>
    </row>
    <row r="3530" spans="1:9" ht="15.75" thickBot="1" x14ac:dyDescent="0.3">
      <c r="A3530" s="43" t="s">
        <v>8293</v>
      </c>
      <c r="B3530" s="21" t="s">
        <v>8294</v>
      </c>
      <c r="C3530" s="21" t="s">
        <v>22655</v>
      </c>
      <c r="D3530" s="22">
        <v>46046</v>
      </c>
      <c r="E3530" s="23" t="s">
        <v>22656</v>
      </c>
      <c r="F3530" s="24" t="s">
        <v>22657</v>
      </c>
      <c r="G3530" s="25">
        <v>4</v>
      </c>
      <c r="H3530" s="26"/>
      <c r="I3530" s="27"/>
    </row>
    <row r="3531" spans="1:9" ht="15.75" thickBot="1" x14ac:dyDescent="0.3">
      <c r="A3531" s="43" t="s">
        <v>8295</v>
      </c>
      <c r="B3531" s="21" t="s">
        <v>8296</v>
      </c>
      <c r="C3531" s="21" t="s">
        <v>22655</v>
      </c>
      <c r="D3531" s="22">
        <v>46046</v>
      </c>
      <c r="E3531" s="23" t="s">
        <v>22656</v>
      </c>
      <c r="F3531" s="24" t="s">
        <v>22657</v>
      </c>
      <c r="G3531" s="25">
        <v>2</v>
      </c>
      <c r="H3531" s="29"/>
      <c r="I3531" s="30"/>
    </row>
    <row r="3532" spans="1:9" ht="15.75" thickBot="1" x14ac:dyDescent="0.3">
      <c r="A3532" s="43" t="s">
        <v>8297</v>
      </c>
      <c r="B3532" s="21" t="s">
        <v>8298</v>
      </c>
      <c r="C3532" s="21" t="s">
        <v>22655</v>
      </c>
      <c r="D3532" s="22">
        <v>46046</v>
      </c>
      <c r="E3532" s="23" t="s">
        <v>22656</v>
      </c>
      <c r="F3532" s="24" t="s">
        <v>22657</v>
      </c>
      <c r="G3532" s="25">
        <v>4</v>
      </c>
      <c r="H3532" s="26"/>
      <c r="I3532" s="27"/>
    </row>
    <row r="3533" spans="1:9" ht="15.75" thickBot="1" x14ac:dyDescent="0.3">
      <c r="A3533" s="43" t="s">
        <v>8299</v>
      </c>
      <c r="B3533" s="21" t="s">
        <v>8300</v>
      </c>
      <c r="C3533" s="21" t="s">
        <v>22655</v>
      </c>
      <c r="D3533" s="22">
        <v>46046</v>
      </c>
      <c r="E3533" s="23" t="s">
        <v>22656</v>
      </c>
      <c r="F3533" s="24" t="s">
        <v>22657</v>
      </c>
      <c r="G3533" s="25">
        <v>2</v>
      </c>
      <c r="H3533" s="29"/>
      <c r="I3533" s="30"/>
    </row>
    <row r="3534" spans="1:9" ht="15.75" thickBot="1" x14ac:dyDescent="0.3">
      <c r="A3534" s="43" t="s">
        <v>8301</v>
      </c>
      <c r="B3534" s="21" t="s">
        <v>8302</v>
      </c>
      <c r="C3534" s="21" t="s">
        <v>22655</v>
      </c>
      <c r="D3534" s="22">
        <v>46046</v>
      </c>
      <c r="E3534" s="23" t="s">
        <v>22656</v>
      </c>
      <c r="F3534" s="24" t="s">
        <v>22657</v>
      </c>
      <c r="G3534" s="25">
        <v>2</v>
      </c>
      <c r="H3534" s="26"/>
      <c r="I3534" s="27"/>
    </row>
    <row r="3535" spans="1:9" ht="15.75" thickBot="1" x14ac:dyDescent="0.3">
      <c r="A3535" s="43" t="s">
        <v>8303</v>
      </c>
      <c r="B3535" s="21" t="s">
        <v>8304</v>
      </c>
      <c r="C3535" s="21" t="s">
        <v>22655</v>
      </c>
      <c r="D3535" s="22">
        <v>46028</v>
      </c>
      <c r="E3535" s="23" t="s">
        <v>22656</v>
      </c>
      <c r="F3535" s="24" t="s">
        <v>22657</v>
      </c>
      <c r="G3535" s="25">
        <v>2</v>
      </c>
      <c r="H3535" s="29"/>
      <c r="I3535" s="30"/>
    </row>
    <row r="3536" spans="1:9" ht="15.75" thickBot="1" x14ac:dyDescent="0.3">
      <c r="A3536" s="43" t="s">
        <v>8305</v>
      </c>
      <c r="B3536" s="21" t="s">
        <v>8306</v>
      </c>
      <c r="C3536" s="21" t="s">
        <v>22655</v>
      </c>
      <c r="D3536" s="22">
        <v>46028</v>
      </c>
      <c r="E3536" s="23" t="s">
        <v>22656</v>
      </c>
      <c r="F3536" s="24" t="s">
        <v>22657</v>
      </c>
      <c r="G3536" s="25">
        <v>2</v>
      </c>
      <c r="H3536" s="26"/>
      <c r="I3536" s="27"/>
    </row>
    <row r="3537" spans="1:9" ht="15.75" thickBot="1" x14ac:dyDescent="0.3">
      <c r="A3537" s="43" t="s">
        <v>8307</v>
      </c>
      <c r="B3537" s="21" t="s">
        <v>8308</v>
      </c>
      <c r="C3537" s="21" t="s">
        <v>22655</v>
      </c>
      <c r="D3537" s="22">
        <v>46028</v>
      </c>
      <c r="E3537" s="23" t="s">
        <v>22656</v>
      </c>
      <c r="F3537" s="24" t="s">
        <v>22657</v>
      </c>
      <c r="G3537" s="25">
        <v>12</v>
      </c>
      <c r="H3537" s="32">
        <v>12</v>
      </c>
      <c r="I3537" s="33">
        <v>24</v>
      </c>
    </row>
    <row r="3538" spans="1:9" ht="15.75" thickBot="1" x14ac:dyDescent="0.3">
      <c r="A3538" s="43" t="s">
        <v>8309</v>
      </c>
      <c r="B3538" s="21" t="s">
        <v>8310</v>
      </c>
      <c r="C3538" s="21" t="s">
        <v>22655</v>
      </c>
      <c r="D3538" s="22">
        <v>46046</v>
      </c>
      <c r="E3538" s="23" t="s">
        <v>22658</v>
      </c>
      <c r="F3538" s="24" t="s">
        <v>22657</v>
      </c>
      <c r="G3538" s="25">
        <v>1</v>
      </c>
      <c r="H3538" s="26"/>
      <c r="I3538" s="27"/>
    </row>
    <row r="3539" spans="1:9" ht="15.75" thickBot="1" x14ac:dyDescent="0.3">
      <c r="A3539" s="43" t="s">
        <v>8311</v>
      </c>
      <c r="B3539" s="21" t="s">
        <v>8312</v>
      </c>
      <c r="C3539" s="21" t="s">
        <v>22655</v>
      </c>
      <c r="D3539" s="22">
        <v>46046</v>
      </c>
      <c r="E3539" s="23" t="s">
        <v>22658</v>
      </c>
      <c r="F3539" s="24" t="s">
        <v>22657</v>
      </c>
      <c r="G3539" s="25">
        <v>2</v>
      </c>
      <c r="H3539" s="29"/>
      <c r="I3539" s="30"/>
    </row>
    <row r="3540" spans="1:9" ht="15.75" thickBot="1" x14ac:dyDescent="0.3">
      <c r="A3540" s="43" t="s">
        <v>8313</v>
      </c>
      <c r="B3540" s="21" t="s">
        <v>8314</v>
      </c>
      <c r="C3540" s="21" t="s">
        <v>22655</v>
      </c>
      <c r="D3540" s="22">
        <v>46046</v>
      </c>
      <c r="E3540" s="23" t="s">
        <v>22656</v>
      </c>
      <c r="F3540" s="24" t="s">
        <v>22657</v>
      </c>
      <c r="G3540" s="25">
        <v>4</v>
      </c>
      <c r="H3540" s="26"/>
      <c r="I3540" s="27"/>
    </row>
    <row r="3541" spans="1:9" ht="15.75" thickBot="1" x14ac:dyDescent="0.3">
      <c r="A3541" s="43" t="s">
        <v>8315</v>
      </c>
      <c r="B3541" s="21" t="s">
        <v>8316</v>
      </c>
      <c r="C3541" s="21" t="s">
        <v>22655</v>
      </c>
      <c r="D3541" s="22">
        <v>46046</v>
      </c>
      <c r="E3541" s="23" t="s">
        <v>22656</v>
      </c>
      <c r="F3541" s="24" t="s">
        <v>22657</v>
      </c>
      <c r="G3541" s="25">
        <v>2</v>
      </c>
      <c r="H3541" s="29"/>
      <c r="I3541" s="30"/>
    </row>
    <row r="3542" spans="1:9" ht="15.75" thickBot="1" x14ac:dyDescent="0.3">
      <c r="A3542" s="43" t="s">
        <v>8317</v>
      </c>
      <c r="B3542" s="21" t="s">
        <v>8318</v>
      </c>
      <c r="C3542" s="21" t="s">
        <v>22655</v>
      </c>
      <c r="D3542" s="22">
        <v>46046</v>
      </c>
      <c r="E3542" s="23" t="s">
        <v>22656</v>
      </c>
      <c r="F3542" s="24" t="s">
        <v>22657</v>
      </c>
      <c r="G3542" s="25">
        <v>2</v>
      </c>
      <c r="H3542" s="26"/>
      <c r="I3542" s="27"/>
    </row>
    <row r="3543" spans="1:9" ht="15.75" thickBot="1" x14ac:dyDescent="0.3">
      <c r="A3543" s="43" t="s">
        <v>8319</v>
      </c>
      <c r="B3543" s="21" t="s">
        <v>8320</v>
      </c>
      <c r="C3543" s="21" t="s">
        <v>22655</v>
      </c>
      <c r="D3543" s="22">
        <v>46046</v>
      </c>
      <c r="E3543" s="23" t="s">
        <v>22658</v>
      </c>
      <c r="F3543" s="24" t="s">
        <v>22657</v>
      </c>
      <c r="G3543" s="25">
        <v>2</v>
      </c>
      <c r="H3543" s="29"/>
      <c r="I3543" s="30"/>
    </row>
    <row r="3544" spans="1:9" ht="15.75" thickBot="1" x14ac:dyDescent="0.3">
      <c r="A3544" s="43" t="s">
        <v>8321</v>
      </c>
      <c r="B3544" s="21" t="s">
        <v>8322</v>
      </c>
      <c r="C3544" s="21" t="s">
        <v>22655</v>
      </c>
      <c r="D3544" s="22">
        <v>46032</v>
      </c>
      <c r="E3544" s="23" t="s">
        <v>22656</v>
      </c>
      <c r="F3544" s="24" t="s">
        <v>22657</v>
      </c>
      <c r="G3544" s="25">
        <v>4</v>
      </c>
      <c r="H3544" s="26"/>
      <c r="I3544" s="27"/>
    </row>
    <row r="3545" spans="1:9" ht="15.75" thickBot="1" x14ac:dyDescent="0.3">
      <c r="A3545" s="43" t="s">
        <v>8323</v>
      </c>
      <c r="B3545" s="21" t="s">
        <v>8324</v>
      </c>
      <c r="C3545" s="21" t="s">
        <v>22682</v>
      </c>
      <c r="D3545" s="22">
        <v>46034</v>
      </c>
      <c r="E3545" s="23" t="s">
        <v>22658</v>
      </c>
      <c r="F3545" s="24" t="s">
        <v>22657</v>
      </c>
      <c r="G3545" s="25">
        <v>4</v>
      </c>
      <c r="H3545" s="29"/>
      <c r="I3545" s="30"/>
    </row>
    <row r="3546" spans="1:9" ht="15.75" thickBot="1" x14ac:dyDescent="0.3">
      <c r="A3546" s="43" t="s">
        <v>8325</v>
      </c>
      <c r="B3546" s="21" t="s">
        <v>8326</v>
      </c>
      <c r="C3546" s="21" t="s">
        <v>22672</v>
      </c>
      <c r="D3546" s="22">
        <v>46034</v>
      </c>
      <c r="E3546" s="23" t="s">
        <v>22656</v>
      </c>
      <c r="F3546" s="24" t="s">
        <v>22657</v>
      </c>
      <c r="G3546" s="25">
        <v>4</v>
      </c>
      <c r="H3546" s="26"/>
      <c r="I3546" s="27"/>
    </row>
    <row r="3547" spans="1:9" ht="15.75" thickBot="1" x14ac:dyDescent="0.3">
      <c r="A3547" s="43" t="s">
        <v>8327</v>
      </c>
      <c r="B3547" s="21" t="s">
        <v>8328</v>
      </c>
      <c r="C3547" s="21" t="s">
        <v>22672</v>
      </c>
      <c r="D3547" s="22">
        <v>46034</v>
      </c>
      <c r="E3547" s="23" t="s">
        <v>22656</v>
      </c>
      <c r="F3547" s="24" t="s">
        <v>22657</v>
      </c>
      <c r="G3547" s="25">
        <v>4</v>
      </c>
      <c r="H3547" s="29"/>
      <c r="I3547" s="30"/>
    </row>
    <row r="3548" spans="1:9" ht="15.75" thickBot="1" x14ac:dyDescent="0.3">
      <c r="A3548" s="43" t="s">
        <v>8329</v>
      </c>
      <c r="B3548" s="21" t="s">
        <v>8330</v>
      </c>
      <c r="C3548" s="21" t="s">
        <v>22672</v>
      </c>
      <c r="D3548" s="22">
        <v>46034</v>
      </c>
      <c r="E3548" s="23" t="s">
        <v>22656</v>
      </c>
      <c r="F3548" s="24" t="s">
        <v>22657</v>
      </c>
      <c r="G3548" s="25">
        <v>4</v>
      </c>
      <c r="H3548" s="26"/>
      <c r="I3548" s="27"/>
    </row>
    <row r="3549" spans="1:9" ht="15.75" thickBot="1" x14ac:dyDescent="0.3">
      <c r="A3549" s="43" t="s">
        <v>8331</v>
      </c>
      <c r="B3549" s="21" t="s">
        <v>8332</v>
      </c>
      <c r="C3549" s="21" t="s">
        <v>22672</v>
      </c>
      <c r="D3549" s="22">
        <v>46034</v>
      </c>
      <c r="E3549" s="23" t="s">
        <v>22658</v>
      </c>
      <c r="F3549" s="24" t="s">
        <v>22657</v>
      </c>
      <c r="G3549" s="25">
        <v>4</v>
      </c>
      <c r="H3549" s="29"/>
      <c r="I3549" s="30"/>
    </row>
    <row r="3550" spans="1:9" ht="15.75" thickBot="1" x14ac:dyDescent="0.3">
      <c r="A3550" s="43" t="s">
        <v>8333</v>
      </c>
      <c r="B3550" s="21" t="s">
        <v>8334</v>
      </c>
      <c r="C3550" s="21" t="s">
        <v>22672</v>
      </c>
      <c r="D3550" s="22">
        <v>46034</v>
      </c>
      <c r="E3550" s="23" t="s">
        <v>22656</v>
      </c>
      <c r="F3550" s="24" t="s">
        <v>22657</v>
      </c>
      <c r="G3550" s="25">
        <v>4</v>
      </c>
      <c r="H3550" s="26"/>
      <c r="I3550" s="27"/>
    </row>
    <row r="3551" spans="1:9" ht="15.75" thickBot="1" x14ac:dyDescent="0.3">
      <c r="A3551" s="43" t="s">
        <v>8335</v>
      </c>
      <c r="B3551" s="21" t="s">
        <v>8336</v>
      </c>
      <c r="C3551" s="21" t="s">
        <v>22672</v>
      </c>
      <c r="D3551" s="22">
        <v>46034</v>
      </c>
      <c r="E3551" s="23" t="s">
        <v>22658</v>
      </c>
      <c r="F3551" s="24" t="s">
        <v>22657</v>
      </c>
      <c r="G3551" s="25">
        <v>4</v>
      </c>
      <c r="H3551" s="29"/>
      <c r="I3551" s="30"/>
    </row>
    <row r="3552" spans="1:9" ht="15.75" thickBot="1" x14ac:dyDescent="0.3">
      <c r="A3552" s="43" t="s">
        <v>8337</v>
      </c>
      <c r="B3552" s="21" t="s">
        <v>8338</v>
      </c>
      <c r="C3552" s="21" t="s">
        <v>22672</v>
      </c>
      <c r="D3552" s="22">
        <v>46034</v>
      </c>
      <c r="E3552" s="23" t="s">
        <v>22656</v>
      </c>
      <c r="F3552" s="24" t="s">
        <v>22657</v>
      </c>
      <c r="G3552" s="25">
        <v>4</v>
      </c>
      <c r="H3552" s="26"/>
      <c r="I3552" s="27"/>
    </row>
    <row r="3553" spans="1:9" ht="15.75" thickBot="1" x14ac:dyDescent="0.3">
      <c r="A3553" s="43" t="s">
        <v>8339</v>
      </c>
      <c r="B3553" s="21" t="s">
        <v>8340</v>
      </c>
      <c r="C3553" s="21" t="s">
        <v>22672</v>
      </c>
      <c r="D3553" s="22">
        <v>46042</v>
      </c>
      <c r="E3553" s="23" t="s">
        <v>22656</v>
      </c>
      <c r="F3553" s="24" t="s">
        <v>22657</v>
      </c>
      <c r="G3553" s="25">
        <v>7</v>
      </c>
      <c r="H3553" s="29"/>
      <c r="I3553" s="30"/>
    </row>
    <row r="3554" spans="1:9" ht="15.75" thickBot="1" x14ac:dyDescent="0.3">
      <c r="A3554" s="43" t="s">
        <v>8341</v>
      </c>
      <c r="B3554" s="21" t="s">
        <v>8342</v>
      </c>
      <c r="C3554" s="21" t="s">
        <v>22672</v>
      </c>
      <c r="D3554" s="22">
        <v>46042</v>
      </c>
      <c r="E3554" s="23" t="s">
        <v>22656</v>
      </c>
      <c r="F3554" s="24" t="s">
        <v>22657</v>
      </c>
      <c r="G3554" s="25">
        <v>7</v>
      </c>
      <c r="H3554" s="26"/>
      <c r="I3554" s="27"/>
    </row>
    <row r="3555" spans="1:9" ht="15.75" thickBot="1" x14ac:dyDescent="0.3">
      <c r="A3555" s="43" t="s">
        <v>8343</v>
      </c>
      <c r="B3555" s="21" t="s">
        <v>8344</v>
      </c>
      <c r="C3555" s="21" t="s">
        <v>22672</v>
      </c>
      <c r="D3555" s="22">
        <v>46034</v>
      </c>
      <c r="E3555" s="23" t="s">
        <v>22658</v>
      </c>
      <c r="F3555" s="24" t="s">
        <v>22657</v>
      </c>
      <c r="G3555" s="25">
        <v>4</v>
      </c>
      <c r="H3555" s="29"/>
      <c r="I3555" s="30"/>
    </row>
    <row r="3556" spans="1:9" ht="15.75" thickBot="1" x14ac:dyDescent="0.3">
      <c r="A3556" s="43" t="s">
        <v>8345</v>
      </c>
      <c r="B3556" s="21" t="s">
        <v>8346</v>
      </c>
      <c r="C3556" s="21" t="s">
        <v>22672</v>
      </c>
      <c r="D3556" s="22">
        <v>46042</v>
      </c>
      <c r="E3556" s="23" t="s">
        <v>22656</v>
      </c>
      <c r="F3556" s="24" t="s">
        <v>22657</v>
      </c>
      <c r="G3556" s="25">
        <v>7</v>
      </c>
      <c r="H3556" s="26"/>
      <c r="I3556" s="27"/>
    </row>
    <row r="3557" spans="1:9" ht="15.75" thickBot="1" x14ac:dyDescent="0.3">
      <c r="A3557" s="43" t="s">
        <v>8347</v>
      </c>
      <c r="B3557" s="21" t="s">
        <v>8348</v>
      </c>
      <c r="C3557" s="21" t="s">
        <v>22682</v>
      </c>
      <c r="D3557" s="22">
        <v>46034</v>
      </c>
      <c r="E3557" s="23" t="s">
        <v>22658</v>
      </c>
      <c r="F3557" s="24" t="s">
        <v>22657</v>
      </c>
      <c r="G3557" s="25">
        <v>4</v>
      </c>
      <c r="H3557" s="29"/>
      <c r="I3557" s="30"/>
    </row>
    <row r="3558" spans="1:9" ht="15.75" thickBot="1" x14ac:dyDescent="0.3">
      <c r="A3558" s="43" t="s">
        <v>8349</v>
      </c>
      <c r="B3558" s="21" t="s">
        <v>8350</v>
      </c>
      <c r="C3558" s="21" t="s">
        <v>22672</v>
      </c>
      <c r="D3558" s="31" t="s">
        <v>22683</v>
      </c>
      <c r="E3558" s="23" t="s">
        <v>22656</v>
      </c>
      <c r="F3558" s="24" t="s">
        <v>22657</v>
      </c>
      <c r="G3558" s="25">
        <v>34</v>
      </c>
      <c r="H3558" s="26"/>
      <c r="I3558" s="27"/>
    </row>
    <row r="3559" spans="1:9" ht="15.75" thickBot="1" x14ac:dyDescent="0.3">
      <c r="A3559" s="43" t="s">
        <v>8351</v>
      </c>
      <c r="B3559" s="21" t="s">
        <v>8352</v>
      </c>
      <c r="C3559" s="21" t="s">
        <v>22672</v>
      </c>
      <c r="D3559" s="31" t="s">
        <v>22683</v>
      </c>
      <c r="E3559" s="23" t="s">
        <v>22656</v>
      </c>
      <c r="F3559" s="24" t="s">
        <v>22657</v>
      </c>
      <c r="G3559" s="25">
        <v>34</v>
      </c>
      <c r="H3559" s="29"/>
      <c r="I3559" s="30"/>
    </row>
    <row r="3560" spans="1:9" ht="15.75" thickBot="1" x14ac:dyDescent="0.3">
      <c r="A3560" s="43" t="s">
        <v>8353</v>
      </c>
      <c r="B3560" s="21" t="s">
        <v>8354</v>
      </c>
      <c r="C3560" s="21" t="s">
        <v>22672</v>
      </c>
      <c r="D3560" s="31" t="s">
        <v>22683</v>
      </c>
      <c r="E3560" s="23" t="s">
        <v>22656</v>
      </c>
      <c r="F3560" s="24" t="s">
        <v>22657</v>
      </c>
      <c r="G3560" s="25">
        <v>34</v>
      </c>
      <c r="H3560" s="26"/>
      <c r="I3560" s="27"/>
    </row>
    <row r="3561" spans="1:9" ht="15.75" thickBot="1" x14ac:dyDescent="0.3">
      <c r="A3561" s="43" t="s">
        <v>8355</v>
      </c>
      <c r="B3561" s="21" t="s">
        <v>8356</v>
      </c>
      <c r="C3561" s="21" t="s">
        <v>22672</v>
      </c>
      <c r="D3561" s="31" t="s">
        <v>22683</v>
      </c>
      <c r="E3561" s="23" t="s">
        <v>22656</v>
      </c>
      <c r="F3561" s="24" t="s">
        <v>22657</v>
      </c>
      <c r="G3561" s="25">
        <v>34</v>
      </c>
      <c r="H3561" s="29"/>
      <c r="I3561" s="30"/>
    </row>
    <row r="3562" spans="1:9" ht="15.75" thickBot="1" x14ac:dyDescent="0.3">
      <c r="A3562" s="43" t="s">
        <v>8357</v>
      </c>
      <c r="B3562" s="21" t="s">
        <v>8358</v>
      </c>
      <c r="C3562" s="21" t="s">
        <v>22672</v>
      </c>
      <c r="D3562" s="31" t="s">
        <v>22683</v>
      </c>
      <c r="E3562" s="23" t="s">
        <v>22656</v>
      </c>
      <c r="F3562" s="24" t="s">
        <v>22657</v>
      </c>
      <c r="G3562" s="25">
        <v>34</v>
      </c>
      <c r="H3562" s="26"/>
      <c r="I3562" s="27"/>
    </row>
    <row r="3563" spans="1:9" ht="15.75" thickBot="1" x14ac:dyDescent="0.3">
      <c r="A3563" s="43" t="s">
        <v>8359</v>
      </c>
      <c r="B3563" s="21" t="s">
        <v>8360</v>
      </c>
      <c r="C3563" s="21" t="s">
        <v>22655</v>
      </c>
      <c r="D3563" s="22">
        <v>46034</v>
      </c>
      <c r="E3563" s="23" t="s">
        <v>22658</v>
      </c>
      <c r="F3563" s="28" t="s">
        <v>22659</v>
      </c>
      <c r="G3563" s="25">
        <v>1</v>
      </c>
      <c r="H3563" s="29"/>
      <c r="I3563" s="30"/>
    </row>
    <row r="3564" spans="1:9" ht="15.75" thickBot="1" x14ac:dyDescent="0.3">
      <c r="A3564" s="43" t="s">
        <v>8361</v>
      </c>
      <c r="B3564" s="21" t="s">
        <v>8362</v>
      </c>
      <c r="C3564" s="21" t="s">
        <v>22682</v>
      </c>
      <c r="D3564" s="22">
        <v>46034</v>
      </c>
      <c r="E3564" s="23" t="s">
        <v>22658</v>
      </c>
      <c r="F3564" s="24" t="s">
        <v>22657</v>
      </c>
      <c r="G3564" s="25">
        <v>4</v>
      </c>
      <c r="H3564" s="26"/>
      <c r="I3564" s="27"/>
    </row>
    <row r="3565" spans="1:9" ht="15.75" thickBot="1" x14ac:dyDescent="0.3">
      <c r="A3565" s="43" t="s">
        <v>8363</v>
      </c>
      <c r="B3565" s="21" t="s">
        <v>8364</v>
      </c>
      <c r="C3565" s="21" t="s">
        <v>22663</v>
      </c>
      <c r="D3565" s="31">
        <v>1</v>
      </c>
      <c r="E3565" s="23" t="s">
        <v>22658</v>
      </c>
      <c r="F3565" s="24" t="s">
        <v>22657</v>
      </c>
      <c r="G3565" s="25">
        <v>4</v>
      </c>
      <c r="H3565" s="29"/>
      <c r="I3565" s="30"/>
    </row>
    <row r="3566" spans="1:9" ht="15.75" thickBot="1" x14ac:dyDescent="0.3">
      <c r="A3566" s="43" t="s">
        <v>8365</v>
      </c>
      <c r="B3566" s="21" t="s">
        <v>8366</v>
      </c>
      <c r="C3566" s="21" t="s">
        <v>22663</v>
      </c>
      <c r="D3566" s="31">
        <v>1</v>
      </c>
      <c r="E3566" s="23" t="s">
        <v>22658</v>
      </c>
      <c r="F3566" s="24" t="s">
        <v>22657</v>
      </c>
      <c r="G3566" s="25">
        <v>4</v>
      </c>
      <c r="H3566" s="26"/>
      <c r="I3566" s="27"/>
    </row>
    <row r="3567" spans="1:9" ht="15.75" thickBot="1" x14ac:dyDescent="0.3">
      <c r="A3567" s="43" t="s">
        <v>8367</v>
      </c>
      <c r="B3567" s="21" t="s">
        <v>8368</v>
      </c>
      <c r="C3567" s="21" t="s">
        <v>22682</v>
      </c>
      <c r="D3567" s="22">
        <v>46034</v>
      </c>
      <c r="E3567" s="23" t="s">
        <v>22658</v>
      </c>
      <c r="F3567" s="24" t="s">
        <v>22657</v>
      </c>
      <c r="G3567" s="25">
        <v>4</v>
      </c>
      <c r="H3567" s="29"/>
      <c r="I3567" s="30"/>
    </row>
    <row r="3568" spans="1:9" ht="15.75" thickBot="1" x14ac:dyDescent="0.3">
      <c r="A3568" s="43" t="s">
        <v>8371</v>
      </c>
      <c r="B3568" s="21" t="s">
        <v>8372</v>
      </c>
      <c r="C3568" s="21" t="s">
        <v>22663</v>
      </c>
      <c r="D3568" s="31">
        <v>1</v>
      </c>
      <c r="E3568" s="23" t="s">
        <v>22658</v>
      </c>
      <c r="F3568" s="24" t="s">
        <v>22657</v>
      </c>
      <c r="G3568" s="25">
        <v>4</v>
      </c>
      <c r="H3568" s="26"/>
      <c r="I3568" s="27"/>
    </row>
    <row r="3569" spans="1:9" ht="15.75" thickBot="1" x14ac:dyDescent="0.3">
      <c r="A3569" s="43" t="s">
        <v>8369</v>
      </c>
      <c r="B3569" s="21" t="s">
        <v>8370</v>
      </c>
      <c r="C3569" s="21" t="s">
        <v>22682</v>
      </c>
      <c r="D3569" s="22">
        <v>46034</v>
      </c>
      <c r="E3569" s="23" t="s">
        <v>22658</v>
      </c>
      <c r="F3569" s="24" t="s">
        <v>22657</v>
      </c>
      <c r="G3569" s="25">
        <v>4</v>
      </c>
      <c r="H3569" s="29"/>
      <c r="I3569" s="30"/>
    </row>
    <row r="3570" spans="1:9" ht="15.75" thickBot="1" x14ac:dyDescent="0.3">
      <c r="A3570" s="43" t="s">
        <v>8373</v>
      </c>
      <c r="B3570" s="21" t="s">
        <v>8374</v>
      </c>
      <c r="C3570" s="21" t="s">
        <v>22655</v>
      </c>
      <c r="D3570" s="31" t="s">
        <v>22683</v>
      </c>
      <c r="E3570" s="23" t="s">
        <v>22656</v>
      </c>
      <c r="F3570" s="24" t="s">
        <v>22657</v>
      </c>
      <c r="G3570" s="25">
        <v>9</v>
      </c>
      <c r="H3570" s="26"/>
      <c r="I3570" s="27"/>
    </row>
    <row r="3571" spans="1:9" ht="15.75" thickBot="1" x14ac:dyDescent="0.3">
      <c r="A3571" s="43" t="s">
        <v>8375</v>
      </c>
      <c r="B3571" s="21" t="s">
        <v>8376</v>
      </c>
      <c r="C3571" s="21" t="s">
        <v>22655</v>
      </c>
      <c r="D3571" s="31" t="s">
        <v>22683</v>
      </c>
      <c r="E3571" s="23" t="s">
        <v>22656</v>
      </c>
      <c r="F3571" s="24" t="s">
        <v>22657</v>
      </c>
      <c r="G3571" s="25">
        <v>5</v>
      </c>
      <c r="H3571" s="29"/>
      <c r="I3571" s="30"/>
    </row>
    <row r="3572" spans="1:9" ht="15.75" thickBot="1" x14ac:dyDescent="0.3">
      <c r="A3572" s="43" t="s">
        <v>8377</v>
      </c>
      <c r="B3572" s="21" t="s">
        <v>8378</v>
      </c>
      <c r="C3572" s="21" t="s">
        <v>22655</v>
      </c>
      <c r="D3572" s="31" t="s">
        <v>22683</v>
      </c>
      <c r="E3572" s="23" t="s">
        <v>22656</v>
      </c>
      <c r="F3572" s="24" t="s">
        <v>22657</v>
      </c>
      <c r="G3572" s="25">
        <v>8</v>
      </c>
      <c r="H3572" s="26"/>
      <c r="I3572" s="27"/>
    </row>
    <row r="3573" spans="1:9" ht="15.75" thickBot="1" x14ac:dyDescent="0.3">
      <c r="A3573" s="43" t="s">
        <v>8379</v>
      </c>
      <c r="B3573" s="21" t="s">
        <v>8380</v>
      </c>
      <c r="C3573" s="21" t="s">
        <v>22655</v>
      </c>
      <c r="D3573" s="31" t="s">
        <v>22683</v>
      </c>
      <c r="E3573" s="23" t="s">
        <v>22656</v>
      </c>
      <c r="F3573" s="24" t="s">
        <v>22657</v>
      </c>
      <c r="G3573" s="25">
        <v>7</v>
      </c>
      <c r="H3573" s="29"/>
      <c r="I3573" s="30"/>
    </row>
    <row r="3574" spans="1:9" ht="15.75" thickBot="1" x14ac:dyDescent="0.3">
      <c r="A3574" s="43" t="s">
        <v>8381</v>
      </c>
      <c r="B3574" s="21" t="s">
        <v>8382</v>
      </c>
      <c r="C3574" s="21" t="s">
        <v>22655</v>
      </c>
      <c r="D3574" s="31" t="s">
        <v>22683</v>
      </c>
      <c r="E3574" s="23" t="s">
        <v>22656</v>
      </c>
      <c r="F3574" s="24" t="s">
        <v>22657</v>
      </c>
      <c r="G3574" s="25">
        <v>10</v>
      </c>
      <c r="H3574" s="26"/>
      <c r="I3574" s="27"/>
    </row>
    <row r="3575" spans="1:9" ht="15.75" thickBot="1" x14ac:dyDescent="0.3">
      <c r="A3575" s="43" t="s">
        <v>8383</v>
      </c>
      <c r="B3575" s="21" t="s">
        <v>8384</v>
      </c>
      <c r="C3575" s="21" t="s">
        <v>22663</v>
      </c>
      <c r="D3575" s="31">
        <v>1</v>
      </c>
      <c r="E3575" s="23" t="s">
        <v>22658</v>
      </c>
      <c r="F3575" s="24" t="s">
        <v>22657</v>
      </c>
      <c r="G3575" s="25">
        <v>4</v>
      </c>
      <c r="H3575" s="29"/>
      <c r="I3575" s="30"/>
    </row>
    <row r="3576" spans="1:9" ht="15.75" thickBot="1" x14ac:dyDescent="0.3">
      <c r="A3576" s="43" t="s">
        <v>8385</v>
      </c>
      <c r="B3576" s="21" t="s">
        <v>8386</v>
      </c>
      <c r="C3576" s="21" t="s">
        <v>22682</v>
      </c>
      <c r="D3576" s="22">
        <v>46034</v>
      </c>
      <c r="E3576" s="23" t="s">
        <v>22658</v>
      </c>
      <c r="F3576" s="24" t="s">
        <v>22657</v>
      </c>
      <c r="G3576" s="25">
        <v>4</v>
      </c>
      <c r="H3576" s="26"/>
      <c r="I3576" s="27"/>
    </row>
    <row r="3577" spans="1:9" ht="15.75" thickBot="1" x14ac:dyDescent="0.3">
      <c r="A3577" s="43" t="s">
        <v>8387</v>
      </c>
      <c r="B3577" s="21" t="s">
        <v>8388</v>
      </c>
      <c r="C3577" s="21" t="s">
        <v>22682</v>
      </c>
      <c r="D3577" s="22">
        <v>46034</v>
      </c>
      <c r="E3577" s="23" t="s">
        <v>22658</v>
      </c>
      <c r="F3577" s="24" t="s">
        <v>22657</v>
      </c>
      <c r="G3577" s="25">
        <v>4</v>
      </c>
      <c r="H3577" s="29"/>
      <c r="I3577" s="30"/>
    </row>
    <row r="3578" spans="1:9" ht="15.75" thickBot="1" x14ac:dyDescent="0.3">
      <c r="A3578" s="43" t="s">
        <v>8389</v>
      </c>
      <c r="B3578" s="21" t="s">
        <v>8390</v>
      </c>
      <c r="C3578" s="21" t="s">
        <v>22663</v>
      </c>
      <c r="D3578" s="31">
        <v>1</v>
      </c>
      <c r="E3578" s="23" t="s">
        <v>22656</v>
      </c>
      <c r="F3578" s="24" t="s">
        <v>22657</v>
      </c>
      <c r="G3578" s="25">
        <v>4</v>
      </c>
      <c r="H3578" s="26"/>
      <c r="I3578" s="27"/>
    </row>
    <row r="3579" spans="1:9" ht="15.75" thickBot="1" x14ac:dyDescent="0.3">
      <c r="A3579" s="43" t="s">
        <v>8391</v>
      </c>
      <c r="B3579" s="21" t="s">
        <v>8392</v>
      </c>
      <c r="C3579" s="21" t="s">
        <v>22663</v>
      </c>
      <c r="D3579" s="31">
        <v>1</v>
      </c>
      <c r="E3579" s="23" t="s">
        <v>22656</v>
      </c>
      <c r="F3579" s="24" t="s">
        <v>22657</v>
      </c>
      <c r="G3579" s="25">
        <v>2</v>
      </c>
      <c r="H3579" s="29"/>
      <c r="I3579" s="30"/>
    </row>
    <row r="3580" spans="1:9" ht="15.75" thickBot="1" x14ac:dyDescent="0.3">
      <c r="A3580" s="43" t="s">
        <v>8393</v>
      </c>
      <c r="B3580" s="21" t="s">
        <v>8394</v>
      </c>
      <c r="C3580" s="21" t="s">
        <v>22698</v>
      </c>
      <c r="D3580" s="31">
        <v>1</v>
      </c>
      <c r="E3580" s="23" t="s">
        <v>22661</v>
      </c>
      <c r="F3580" s="24" t="s">
        <v>22657</v>
      </c>
      <c r="G3580" s="25">
        <v>6</v>
      </c>
      <c r="H3580" s="26"/>
      <c r="I3580" s="27"/>
    </row>
    <row r="3581" spans="1:9" ht="15.75" thickBot="1" x14ac:dyDescent="0.3">
      <c r="A3581" s="43" t="s">
        <v>8395</v>
      </c>
      <c r="B3581" s="21" t="s">
        <v>8396</v>
      </c>
      <c r="C3581" s="21" t="s">
        <v>22663</v>
      </c>
      <c r="D3581" s="31">
        <v>1</v>
      </c>
      <c r="E3581" s="23" t="s">
        <v>22656</v>
      </c>
      <c r="F3581" s="24" t="s">
        <v>22657</v>
      </c>
      <c r="G3581" s="25">
        <v>4</v>
      </c>
      <c r="H3581" s="29"/>
      <c r="I3581" s="30"/>
    </row>
    <row r="3582" spans="1:9" ht="15.75" thickBot="1" x14ac:dyDescent="0.3">
      <c r="A3582" s="43" t="s">
        <v>1747</v>
      </c>
      <c r="B3582" s="21" t="s">
        <v>1748</v>
      </c>
      <c r="C3582" s="21" t="s">
        <v>22655</v>
      </c>
      <c r="D3582" s="22">
        <v>46026</v>
      </c>
      <c r="E3582" s="23" t="s">
        <v>22661</v>
      </c>
      <c r="F3582" s="24" t="s">
        <v>22657</v>
      </c>
      <c r="G3582" s="25">
        <v>4</v>
      </c>
      <c r="H3582" s="34">
        <v>4</v>
      </c>
      <c r="I3582" s="35">
        <v>12</v>
      </c>
    </row>
    <row r="3583" spans="1:9" ht="15.75" thickBot="1" x14ac:dyDescent="0.3">
      <c r="A3583" s="43" t="s">
        <v>8397</v>
      </c>
      <c r="B3583" s="21" t="s">
        <v>8398</v>
      </c>
      <c r="C3583" s="21" t="s">
        <v>22682</v>
      </c>
      <c r="D3583" s="22">
        <v>46034</v>
      </c>
      <c r="E3583" s="23" t="s">
        <v>22656</v>
      </c>
      <c r="F3583" s="24" t="s">
        <v>22657</v>
      </c>
      <c r="G3583" s="25">
        <v>4</v>
      </c>
      <c r="H3583" s="29"/>
      <c r="I3583" s="30"/>
    </row>
    <row r="3584" spans="1:9" ht="15.75" thickBot="1" x14ac:dyDescent="0.3">
      <c r="A3584" s="43" t="s">
        <v>8399</v>
      </c>
      <c r="B3584" s="21" t="s">
        <v>8400</v>
      </c>
      <c r="C3584" s="21" t="s">
        <v>22682</v>
      </c>
      <c r="D3584" s="22">
        <v>46034</v>
      </c>
      <c r="E3584" s="23" t="s">
        <v>22656</v>
      </c>
      <c r="F3584" s="24" t="s">
        <v>22657</v>
      </c>
      <c r="G3584" s="25">
        <v>4</v>
      </c>
      <c r="H3584" s="26"/>
      <c r="I3584" s="27"/>
    </row>
    <row r="3585" spans="1:9" ht="15.75" thickBot="1" x14ac:dyDescent="0.3">
      <c r="A3585" s="43" t="s">
        <v>8401</v>
      </c>
      <c r="B3585" s="21" t="s">
        <v>8402</v>
      </c>
      <c r="C3585" s="21" t="s">
        <v>22682</v>
      </c>
      <c r="D3585" s="22">
        <v>46034</v>
      </c>
      <c r="E3585" s="23" t="s">
        <v>22658</v>
      </c>
      <c r="F3585" s="24" t="s">
        <v>22657</v>
      </c>
      <c r="G3585" s="25">
        <v>4</v>
      </c>
      <c r="H3585" s="29"/>
      <c r="I3585" s="30"/>
    </row>
    <row r="3586" spans="1:9" ht="15.75" thickBot="1" x14ac:dyDescent="0.3">
      <c r="A3586" s="43" t="s">
        <v>8403</v>
      </c>
      <c r="B3586" s="21" t="s">
        <v>8404</v>
      </c>
      <c r="C3586" s="21" t="s">
        <v>22682</v>
      </c>
      <c r="D3586" s="22">
        <v>46034</v>
      </c>
      <c r="E3586" s="23" t="s">
        <v>22658</v>
      </c>
      <c r="F3586" s="24" t="s">
        <v>22657</v>
      </c>
      <c r="G3586" s="25">
        <v>4</v>
      </c>
      <c r="H3586" s="26"/>
      <c r="I3586" s="27"/>
    </row>
    <row r="3587" spans="1:9" ht="15.75" thickBot="1" x14ac:dyDescent="0.3">
      <c r="A3587" s="43" t="s">
        <v>8405</v>
      </c>
      <c r="B3587" s="21" t="s">
        <v>8406</v>
      </c>
      <c r="C3587" s="21" t="s">
        <v>22682</v>
      </c>
      <c r="D3587" s="22">
        <v>46034</v>
      </c>
      <c r="E3587" s="23" t="s">
        <v>22656</v>
      </c>
      <c r="F3587" s="24" t="s">
        <v>22657</v>
      </c>
      <c r="G3587" s="25">
        <v>4</v>
      </c>
      <c r="H3587" s="29"/>
      <c r="I3587" s="30"/>
    </row>
    <row r="3588" spans="1:9" ht="15.75" thickBot="1" x14ac:dyDescent="0.3">
      <c r="A3588" s="43" t="s">
        <v>22525</v>
      </c>
      <c r="B3588" s="21" t="s">
        <v>22526</v>
      </c>
      <c r="C3588" s="21" t="s">
        <v>22663</v>
      </c>
      <c r="D3588" s="31">
        <v>1</v>
      </c>
      <c r="E3588" s="23" t="s">
        <v>22658</v>
      </c>
      <c r="F3588" s="28" t="s">
        <v>22659</v>
      </c>
      <c r="G3588" s="25">
        <v>1</v>
      </c>
      <c r="H3588" s="26"/>
      <c r="I3588" s="27"/>
    </row>
    <row r="3589" spans="1:9" ht="15.75" thickBot="1" x14ac:dyDescent="0.3">
      <c r="A3589" s="43" t="s">
        <v>22527</v>
      </c>
      <c r="B3589" s="21" t="s">
        <v>22528</v>
      </c>
      <c r="C3589" s="21" t="s">
        <v>22663</v>
      </c>
      <c r="D3589" s="31">
        <v>1</v>
      </c>
      <c r="E3589" s="23" t="s">
        <v>22658</v>
      </c>
      <c r="F3589" s="28" t="s">
        <v>22659</v>
      </c>
      <c r="G3589" s="25">
        <v>1</v>
      </c>
      <c r="H3589" s="29"/>
      <c r="I3589" s="30"/>
    </row>
    <row r="3590" spans="1:9" ht="15.75" thickBot="1" x14ac:dyDescent="0.3">
      <c r="A3590" s="43" t="s">
        <v>8407</v>
      </c>
      <c r="B3590" s="21" t="s">
        <v>8408</v>
      </c>
      <c r="C3590" s="21" t="s">
        <v>22655</v>
      </c>
      <c r="D3590" s="22">
        <v>46024</v>
      </c>
      <c r="E3590" s="23" t="s">
        <v>22656</v>
      </c>
      <c r="F3590" s="24" t="s">
        <v>22657</v>
      </c>
      <c r="G3590" s="25">
        <v>2</v>
      </c>
      <c r="H3590" s="26"/>
      <c r="I3590" s="27"/>
    </row>
    <row r="3591" spans="1:9" ht="15.75" thickBot="1" x14ac:dyDescent="0.3">
      <c r="A3591" s="43" t="s">
        <v>8409</v>
      </c>
      <c r="B3591" s="21" t="s">
        <v>8410</v>
      </c>
      <c r="C3591" s="21" t="s">
        <v>22698</v>
      </c>
      <c r="D3591" s="31">
        <v>1</v>
      </c>
      <c r="E3591" s="23" t="s">
        <v>22656</v>
      </c>
      <c r="F3591" s="24" t="s">
        <v>22657</v>
      </c>
      <c r="G3591" s="25">
        <v>2</v>
      </c>
      <c r="H3591" s="29"/>
      <c r="I3591" s="30"/>
    </row>
    <row r="3592" spans="1:9" ht="15.75" thickBot="1" x14ac:dyDescent="0.3">
      <c r="A3592" s="43" t="s">
        <v>8411</v>
      </c>
      <c r="B3592" s="21" t="s">
        <v>8412</v>
      </c>
      <c r="C3592" s="21" t="s">
        <v>22663</v>
      </c>
      <c r="D3592" s="31">
        <v>1</v>
      </c>
      <c r="E3592" s="23" t="s">
        <v>22656</v>
      </c>
      <c r="F3592" s="24" t="s">
        <v>22657</v>
      </c>
      <c r="G3592" s="25">
        <v>4</v>
      </c>
      <c r="H3592" s="26"/>
      <c r="I3592" s="27"/>
    </row>
    <row r="3593" spans="1:9" ht="15.75" thickBot="1" x14ac:dyDescent="0.3">
      <c r="A3593" s="43" t="s">
        <v>8413</v>
      </c>
      <c r="B3593" s="21" t="s">
        <v>8414</v>
      </c>
      <c r="C3593" s="21" t="s">
        <v>22663</v>
      </c>
      <c r="D3593" s="31">
        <v>1</v>
      </c>
      <c r="E3593" s="23" t="s">
        <v>22661</v>
      </c>
      <c r="F3593" s="24" t="s">
        <v>22657</v>
      </c>
      <c r="G3593" s="25">
        <v>7</v>
      </c>
      <c r="H3593" s="29"/>
      <c r="I3593" s="30"/>
    </row>
    <row r="3594" spans="1:9" ht="15.75" thickBot="1" x14ac:dyDescent="0.3">
      <c r="A3594" s="43" t="s">
        <v>8415</v>
      </c>
      <c r="B3594" s="21" t="s">
        <v>8416</v>
      </c>
      <c r="C3594" s="21" t="s">
        <v>22663</v>
      </c>
      <c r="D3594" s="31">
        <v>1</v>
      </c>
      <c r="E3594" s="23" t="s">
        <v>22656</v>
      </c>
      <c r="F3594" s="24" t="s">
        <v>22657</v>
      </c>
      <c r="G3594" s="25">
        <v>4</v>
      </c>
      <c r="H3594" s="26"/>
      <c r="I3594" s="27"/>
    </row>
    <row r="3595" spans="1:9" ht="15.75" thickBot="1" x14ac:dyDescent="0.3">
      <c r="A3595" s="43" t="s">
        <v>8417</v>
      </c>
      <c r="B3595" s="21" t="s">
        <v>8418</v>
      </c>
      <c r="C3595" s="21" t="s">
        <v>22698</v>
      </c>
      <c r="D3595" s="31">
        <v>1</v>
      </c>
      <c r="E3595" s="23" t="s">
        <v>22656</v>
      </c>
      <c r="F3595" s="24" t="s">
        <v>22657</v>
      </c>
      <c r="G3595" s="25">
        <v>2</v>
      </c>
      <c r="H3595" s="29"/>
      <c r="I3595" s="30"/>
    </row>
    <row r="3596" spans="1:9" ht="15.75" thickBot="1" x14ac:dyDescent="0.3">
      <c r="A3596" s="43" t="s">
        <v>8419</v>
      </c>
      <c r="B3596" s="21" t="s">
        <v>8420</v>
      </c>
      <c r="C3596" s="21" t="s">
        <v>22663</v>
      </c>
      <c r="D3596" s="31">
        <v>1</v>
      </c>
      <c r="E3596" s="23" t="s">
        <v>22656</v>
      </c>
      <c r="F3596" s="24" t="s">
        <v>22657</v>
      </c>
      <c r="G3596" s="25">
        <v>7</v>
      </c>
      <c r="H3596" s="26"/>
      <c r="I3596" s="27"/>
    </row>
    <row r="3597" spans="1:9" ht="15.75" thickBot="1" x14ac:dyDescent="0.3">
      <c r="A3597" s="43" t="s">
        <v>8421</v>
      </c>
      <c r="B3597" s="21" t="s">
        <v>8422</v>
      </c>
      <c r="C3597" s="21" t="s">
        <v>22655</v>
      </c>
      <c r="D3597" s="22">
        <v>46024</v>
      </c>
      <c r="E3597" s="23" t="s">
        <v>22656</v>
      </c>
      <c r="F3597" s="24" t="s">
        <v>22657</v>
      </c>
      <c r="G3597" s="25">
        <v>2</v>
      </c>
      <c r="H3597" s="29"/>
      <c r="I3597" s="30"/>
    </row>
    <row r="3598" spans="1:9" ht="15.75" thickBot="1" x14ac:dyDescent="0.3">
      <c r="A3598" s="43" t="s">
        <v>8423</v>
      </c>
      <c r="B3598" s="21" t="s">
        <v>8424</v>
      </c>
      <c r="C3598" s="21" t="s">
        <v>22682</v>
      </c>
      <c r="D3598" s="22">
        <v>46034</v>
      </c>
      <c r="E3598" s="23" t="s">
        <v>22658</v>
      </c>
      <c r="F3598" s="24" t="s">
        <v>22657</v>
      </c>
      <c r="G3598" s="25">
        <v>4</v>
      </c>
      <c r="H3598" s="26"/>
      <c r="I3598" s="27"/>
    </row>
    <row r="3599" spans="1:9" ht="15.75" thickBot="1" x14ac:dyDescent="0.3">
      <c r="A3599" s="43" t="s">
        <v>8425</v>
      </c>
      <c r="B3599" s="21" t="s">
        <v>8426</v>
      </c>
      <c r="C3599" s="21" t="s">
        <v>22663</v>
      </c>
      <c r="D3599" s="31">
        <v>1</v>
      </c>
      <c r="E3599" s="23" t="s">
        <v>22656</v>
      </c>
      <c r="F3599" s="24" t="s">
        <v>22657</v>
      </c>
      <c r="G3599" s="25">
        <v>4</v>
      </c>
      <c r="H3599" s="29"/>
      <c r="I3599" s="30"/>
    </row>
    <row r="3600" spans="1:9" ht="15.75" thickBot="1" x14ac:dyDescent="0.3">
      <c r="A3600" s="43" t="s">
        <v>8427</v>
      </c>
      <c r="B3600" s="21" t="s">
        <v>8428</v>
      </c>
      <c r="C3600" s="21" t="s">
        <v>22682</v>
      </c>
      <c r="D3600" s="22">
        <v>46034</v>
      </c>
      <c r="E3600" s="23" t="s">
        <v>22658</v>
      </c>
      <c r="F3600" s="24" t="s">
        <v>22657</v>
      </c>
      <c r="G3600" s="25">
        <v>4</v>
      </c>
      <c r="H3600" s="26"/>
      <c r="I3600" s="27"/>
    </row>
    <row r="3601" spans="1:9" ht="15.75" thickBot="1" x14ac:dyDescent="0.3">
      <c r="A3601" s="43" t="s">
        <v>8429</v>
      </c>
      <c r="B3601" s="21" t="s">
        <v>8430</v>
      </c>
      <c r="C3601" s="21" t="s">
        <v>22682</v>
      </c>
      <c r="D3601" s="22">
        <v>46034</v>
      </c>
      <c r="E3601" s="23" t="s">
        <v>22658</v>
      </c>
      <c r="F3601" s="24" t="s">
        <v>22657</v>
      </c>
      <c r="G3601" s="25">
        <v>4</v>
      </c>
      <c r="H3601" s="29"/>
      <c r="I3601" s="30"/>
    </row>
    <row r="3602" spans="1:9" ht="15.75" thickBot="1" x14ac:dyDescent="0.3">
      <c r="A3602" s="43" t="s">
        <v>8431</v>
      </c>
      <c r="B3602" s="21" t="s">
        <v>8432</v>
      </c>
      <c r="C3602" s="21" t="s">
        <v>22682</v>
      </c>
      <c r="D3602" s="22">
        <v>46034</v>
      </c>
      <c r="E3602" s="23" t="s">
        <v>22658</v>
      </c>
      <c r="F3602" s="24" t="s">
        <v>22657</v>
      </c>
      <c r="G3602" s="25">
        <v>4</v>
      </c>
      <c r="H3602" s="26"/>
      <c r="I3602" s="27"/>
    </row>
    <row r="3603" spans="1:9" ht="15.75" thickBot="1" x14ac:dyDescent="0.3">
      <c r="A3603" s="43" t="s">
        <v>8433</v>
      </c>
      <c r="B3603" s="21" t="s">
        <v>8434</v>
      </c>
      <c r="C3603" s="21" t="s">
        <v>22682</v>
      </c>
      <c r="D3603" s="22">
        <v>46034</v>
      </c>
      <c r="E3603" s="23" t="s">
        <v>22658</v>
      </c>
      <c r="F3603" s="24" t="s">
        <v>22657</v>
      </c>
      <c r="G3603" s="25">
        <v>4</v>
      </c>
      <c r="H3603" s="29"/>
      <c r="I3603" s="30"/>
    </row>
    <row r="3604" spans="1:9" ht="15.75" thickBot="1" x14ac:dyDescent="0.3">
      <c r="A3604" s="43" t="s">
        <v>8435</v>
      </c>
      <c r="B3604" s="21" t="s">
        <v>8436</v>
      </c>
      <c r="C3604" s="21" t="s">
        <v>22682</v>
      </c>
      <c r="D3604" s="22">
        <v>46034</v>
      </c>
      <c r="E3604" s="23" t="s">
        <v>22658</v>
      </c>
      <c r="F3604" s="24" t="s">
        <v>22657</v>
      </c>
      <c r="G3604" s="25">
        <v>4</v>
      </c>
      <c r="H3604" s="26"/>
      <c r="I3604" s="27"/>
    </row>
    <row r="3605" spans="1:9" ht="15.75" thickBot="1" x14ac:dyDescent="0.3">
      <c r="A3605" s="43" t="s">
        <v>8437</v>
      </c>
      <c r="B3605" s="21" t="s">
        <v>8438</v>
      </c>
      <c r="C3605" s="21" t="s">
        <v>22663</v>
      </c>
      <c r="D3605" s="31">
        <v>1</v>
      </c>
      <c r="E3605" s="23" t="s">
        <v>22658</v>
      </c>
      <c r="F3605" s="24" t="s">
        <v>22657</v>
      </c>
      <c r="G3605" s="25">
        <v>4</v>
      </c>
      <c r="H3605" s="29"/>
      <c r="I3605" s="30"/>
    </row>
    <row r="3606" spans="1:9" ht="15.75" thickBot="1" x14ac:dyDescent="0.3">
      <c r="A3606" s="43" t="s">
        <v>8439</v>
      </c>
      <c r="B3606" s="21" t="s">
        <v>8440</v>
      </c>
      <c r="C3606" s="21" t="s">
        <v>22682</v>
      </c>
      <c r="D3606" s="22">
        <v>46034</v>
      </c>
      <c r="E3606" s="23" t="s">
        <v>22658</v>
      </c>
      <c r="F3606" s="24" t="s">
        <v>22657</v>
      </c>
      <c r="G3606" s="25">
        <v>4</v>
      </c>
      <c r="H3606" s="26"/>
      <c r="I3606" s="27"/>
    </row>
    <row r="3607" spans="1:9" ht="15.75" thickBot="1" x14ac:dyDescent="0.3">
      <c r="A3607" s="43" t="s">
        <v>8441</v>
      </c>
      <c r="B3607" s="21" t="s">
        <v>8442</v>
      </c>
      <c r="C3607" s="21" t="s">
        <v>22663</v>
      </c>
      <c r="D3607" s="31">
        <v>1</v>
      </c>
      <c r="E3607" s="23" t="s">
        <v>22656</v>
      </c>
      <c r="F3607" s="24" t="s">
        <v>22657</v>
      </c>
      <c r="G3607" s="25">
        <v>4</v>
      </c>
      <c r="H3607" s="29"/>
      <c r="I3607" s="30"/>
    </row>
    <row r="3608" spans="1:9" ht="15.75" thickBot="1" x14ac:dyDescent="0.3">
      <c r="A3608" s="43" t="s">
        <v>8443</v>
      </c>
      <c r="B3608" s="21" t="s">
        <v>8444</v>
      </c>
      <c r="C3608" s="21" t="s">
        <v>22682</v>
      </c>
      <c r="D3608" s="22">
        <v>46034</v>
      </c>
      <c r="E3608" s="23" t="s">
        <v>22658</v>
      </c>
      <c r="F3608" s="24" t="s">
        <v>22657</v>
      </c>
      <c r="G3608" s="25">
        <v>4</v>
      </c>
      <c r="H3608" s="26"/>
      <c r="I3608" s="27"/>
    </row>
    <row r="3609" spans="1:9" ht="15.75" thickBot="1" x14ac:dyDescent="0.3">
      <c r="A3609" s="43" t="s">
        <v>8445</v>
      </c>
      <c r="B3609" s="21" t="s">
        <v>8446</v>
      </c>
      <c r="C3609" s="21" t="s">
        <v>22663</v>
      </c>
      <c r="D3609" s="31">
        <v>1</v>
      </c>
      <c r="E3609" s="23" t="s">
        <v>22658</v>
      </c>
      <c r="F3609" s="24" t="s">
        <v>22657</v>
      </c>
      <c r="G3609" s="25">
        <v>4</v>
      </c>
      <c r="H3609" s="29"/>
      <c r="I3609" s="30"/>
    </row>
    <row r="3610" spans="1:9" ht="15.75" thickBot="1" x14ac:dyDescent="0.3">
      <c r="A3610" s="43" t="s">
        <v>8447</v>
      </c>
      <c r="B3610" s="21" t="s">
        <v>8448</v>
      </c>
      <c r="C3610" s="21" t="s">
        <v>22682</v>
      </c>
      <c r="D3610" s="22">
        <v>46034</v>
      </c>
      <c r="E3610" s="23" t="s">
        <v>22658</v>
      </c>
      <c r="F3610" s="24" t="s">
        <v>22657</v>
      </c>
      <c r="G3610" s="25">
        <v>4</v>
      </c>
      <c r="H3610" s="26"/>
      <c r="I3610" s="27"/>
    </row>
    <row r="3611" spans="1:9" ht="15.75" thickBot="1" x14ac:dyDescent="0.3">
      <c r="A3611" s="43" t="s">
        <v>8449</v>
      </c>
      <c r="B3611" s="21" t="s">
        <v>8450</v>
      </c>
      <c r="C3611" s="21" t="s">
        <v>22663</v>
      </c>
      <c r="D3611" s="31">
        <v>1</v>
      </c>
      <c r="E3611" s="23" t="s">
        <v>22658</v>
      </c>
      <c r="F3611" s="24" t="s">
        <v>22657</v>
      </c>
      <c r="G3611" s="25">
        <v>4</v>
      </c>
      <c r="H3611" s="29"/>
      <c r="I3611" s="30"/>
    </row>
    <row r="3612" spans="1:9" ht="15.75" thickBot="1" x14ac:dyDescent="0.3">
      <c r="A3612" s="43" t="s">
        <v>8451</v>
      </c>
      <c r="B3612" s="21" t="s">
        <v>8452</v>
      </c>
      <c r="C3612" s="21" t="s">
        <v>22682</v>
      </c>
      <c r="D3612" s="22">
        <v>46034</v>
      </c>
      <c r="E3612" s="23" t="s">
        <v>22658</v>
      </c>
      <c r="F3612" s="24" t="s">
        <v>22657</v>
      </c>
      <c r="G3612" s="25">
        <v>4</v>
      </c>
      <c r="H3612" s="26"/>
      <c r="I3612" s="27"/>
    </row>
    <row r="3613" spans="1:9" ht="15.75" thickBot="1" x14ac:dyDescent="0.3">
      <c r="A3613" s="43" t="s">
        <v>8453</v>
      </c>
      <c r="B3613" s="21" t="s">
        <v>8454</v>
      </c>
      <c r="C3613" s="21" t="s">
        <v>22663</v>
      </c>
      <c r="D3613" s="31">
        <v>1</v>
      </c>
      <c r="E3613" s="23" t="s">
        <v>22658</v>
      </c>
      <c r="F3613" s="24" t="s">
        <v>22657</v>
      </c>
      <c r="G3613" s="25">
        <v>2</v>
      </c>
      <c r="H3613" s="29"/>
      <c r="I3613" s="30"/>
    </row>
    <row r="3614" spans="1:9" ht="15.75" thickBot="1" x14ac:dyDescent="0.3">
      <c r="A3614" s="43" t="s">
        <v>8455</v>
      </c>
      <c r="B3614" s="21" t="s">
        <v>8456</v>
      </c>
      <c r="C3614" s="21" t="s">
        <v>22682</v>
      </c>
      <c r="D3614" s="22">
        <v>46034</v>
      </c>
      <c r="E3614" s="23" t="s">
        <v>22658</v>
      </c>
      <c r="F3614" s="24" t="s">
        <v>22657</v>
      </c>
      <c r="G3614" s="25">
        <v>4</v>
      </c>
      <c r="H3614" s="26"/>
      <c r="I3614" s="27"/>
    </row>
    <row r="3615" spans="1:9" ht="15.75" thickBot="1" x14ac:dyDescent="0.3">
      <c r="A3615" s="43" t="s">
        <v>8457</v>
      </c>
      <c r="B3615" s="21" t="s">
        <v>8458</v>
      </c>
      <c r="C3615" s="21" t="s">
        <v>22682</v>
      </c>
      <c r="D3615" s="22">
        <v>46034</v>
      </c>
      <c r="E3615" s="23" t="s">
        <v>22658</v>
      </c>
      <c r="F3615" s="24" t="s">
        <v>22657</v>
      </c>
      <c r="G3615" s="25">
        <v>4</v>
      </c>
      <c r="H3615" s="29"/>
      <c r="I3615" s="30"/>
    </row>
    <row r="3616" spans="1:9" ht="15.75" thickBot="1" x14ac:dyDescent="0.3">
      <c r="A3616" s="43" t="s">
        <v>8459</v>
      </c>
      <c r="B3616" s="21" t="s">
        <v>8460</v>
      </c>
      <c r="C3616" s="21" t="s">
        <v>22682</v>
      </c>
      <c r="D3616" s="22">
        <v>46034</v>
      </c>
      <c r="E3616" s="23" t="s">
        <v>22658</v>
      </c>
      <c r="F3616" s="24" t="s">
        <v>22657</v>
      </c>
      <c r="G3616" s="25">
        <v>4</v>
      </c>
      <c r="H3616" s="26"/>
      <c r="I3616" s="27"/>
    </row>
    <row r="3617" spans="1:9" ht="15.75" thickBot="1" x14ac:dyDescent="0.3">
      <c r="A3617" s="43" t="s">
        <v>8461</v>
      </c>
      <c r="B3617" s="21" t="s">
        <v>8462</v>
      </c>
      <c r="C3617" s="21" t="s">
        <v>22655</v>
      </c>
      <c r="D3617" s="22">
        <v>46026</v>
      </c>
      <c r="E3617" s="23" t="s">
        <v>22658</v>
      </c>
      <c r="F3617" s="28" t="s">
        <v>22659</v>
      </c>
      <c r="G3617" s="25">
        <v>1</v>
      </c>
      <c r="H3617" s="29"/>
      <c r="I3617" s="30"/>
    </row>
    <row r="3618" spans="1:9" ht="15.75" thickBot="1" x14ac:dyDescent="0.3">
      <c r="A3618" s="43" t="s">
        <v>8463</v>
      </c>
      <c r="B3618" s="21" t="s">
        <v>8464</v>
      </c>
      <c r="C3618" s="21" t="s">
        <v>22655</v>
      </c>
      <c r="D3618" s="22">
        <v>46028</v>
      </c>
      <c r="E3618" s="23" t="s">
        <v>22656</v>
      </c>
      <c r="F3618" s="24" t="s">
        <v>22657</v>
      </c>
      <c r="G3618" s="25">
        <v>4</v>
      </c>
      <c r="H3618" s="26"/>
      <c r="I3618" s="27"/>
    </row>
    <row r="3619" spans="1:9" ht="15.75" thickBot="1" x14ac:dyDescent="0.3">
      <c r="A3619" s="43" t="s">
        <v>8465</v>
      </c>
      <c r="B3619" s="21" t="s">
        <v>8466</v>
      </c>
      <c r="C3619" s="21" t="s">
        <v>22682</v>
      </c>
      <c r="D3619" s="22">
        <v>46034</v>
      </c>
      <c r="E3619" s="23" t="s">
        <v>22658</v>
      </c>
      <c r="F3619" s="24" t="s">
        <v>22657</v>
      </c>
      <c r="G3619" s="25">
        <v>4</v>
      </c>
      <c r="H3619" s="29"/>
      <c r="I3619" s="30"/>
    </row>
    <row r="3620" spans="1:9" ht="15.75" thickBot="1" x14ac:dyDescent="0.3">
      <c r="A3620" s="43" t="s">
        <v>8467</v>
      </c>
      <c r="B3620" s="21" t="s">
        <v>8468</v>
      </c>
      <c r="C3620" s="21" t="s">
        <v>22663</v>
      </c>
      <c r="D3620" s="31">
        <v>1</v>
      </c>
      <c r="E3620" s="23" t="s">
        <v>22656</v>
      </c>
      <c r="F3620" s="24" t="s">
        <v>22657</v>
      </c>
      <c r="G3620" s="25">
        <v>4</v>
      </c>
      <c r="H3620" s="26"/>
      <c r="I3620" s="27"/>
    </row>
    <row r="3621" spans="1:9" ht="15.75" thickBot="1" x14ac:dyDescent="0.3">
      <c r="A3621" s="43" t="s">
        <v>8469</v>
      </c>
      <c r="B3621" s="21" t="s">
        <v>8470</v>
      </c>
      <c r="C3621" s="21" t="s">
        <v>22682</v>
      </c>
      <c r="D3621" s="22">
        <v>46034</v>
      </c>
      <c r="E3621" s="23" t="s">
        <v>22658</v>
      </c>
      <c r="F3621" s="24" t="s">
        <v>22657</v>
      </c>
      <c r="G3621" s="25">
        <v>4</v>
      </c>
      <c r="H3621" s="29"/>
      <c r="I3621" s="30"/>
    </row>
    <row r="3622" spans="1:9" ht="15.75" thickBot="1" x14ac:dyDescent="0.3">
      <c r="A3622" s="43" t="s">
        <v>8471</v>
      </c>
      <c r="B3622" s="21" t="s">
        <v>8472</v>
      </c>
      <c r="C3622" s="21" t="s">
        <v>22682</v>
      </c>
      <c r="D3622" s="22">
        <v>46034</v>
      </c>
      <c r="E3622" s="23" t="s">
        <v>22658</v>
      </c>
      <c r="F3622" s="24" t="s">
        <v>22657</v>
      </c>
      <c r="G3622" s="25">
        <v>4</v>
      </c>
      <c r="H3622" s="26"/>
      <c r="I3622" s="27"/>
    </row>
    <row r="3623" spans="1:9" ht="15.75" thickBot="1" x14ac:dyDescent="0.3">
      <c r="A3623" s="43" t="s">
        <v>8473</v>
      </c>
      <c r="B3623" s="21" t="s">
        <v>8474</v>
      </c>
      <c r="C3623" s="21" t="s">
        <v>22655</v>
      </c>
      <c r="D3623" s="22">
        <v>46026</v>
      </c>
      <c r="E3623" s="23" t="s">
        <v>22656</v>
      </c>
      <c r="F3623" s="24" t="s">
        <v>22657</v>
      </c>
      <c r="G3623" s="25">
        <v>1</v>
      </c>
      <c r="H3623" s="32">
        <v>1</v>
      </c>
      <c r="I3623" s="33">
        <v>2</v>
      </c>
    </row>
    <row r="3624" spans="1:9" ht="15.75" thickBot="1" x14ac:dyDescent="0.3">
      <c r="A3624" s="43" t="s">
        <v>8475</v>
      </c>
      <c r="B3624" s="21" t="s">
        <v>8476</v>
      </c>
      <c r="C3624" s="21" t="s">
        <v>22655</v>
      </c>
      <c r="D3624" s="22">
        <v>46034</v>
      </c>
      <c r="E3624" s="23" t="s">
        <v>22656</v>
      </c>
      <c r="F3624" s="24" t="s">
        <v>22657</v>
      </c>
      <c r="G3624" s="25">
        <v>2</v>
      </c>
      <c r="H3624" s="26"/>
      <c r="I3624" s="27"/>
    </row>
    <row r="3625" spans="1:9" ht="15.75" thickBot="1" x14ac:dyDescent="0.3">
      <c r="A3625" s="43" t="s">
        <v>8477</v>
      </c>
      <c r="B3625" s="21" t="s">
        <v>8478</v>
      </c>
      <c r="C3625" s="21" t="s">
        <v>22655</v>
      </c>
      <c r="D3625" s="22">
        <v>46034</v>
      </c>
      <c r="E3625" s="23" t="s">
        <v>22656</v>
      </c>
      <c r="F3625" s="24" t="s">
        <v>22657</v>
      </c>
      <c r="G3625" s="25">
        <v>2</v>
      </c>
      <c r="H3625" s="29"/>
      <c r="I3625" s="30"/>
    </row>
    <row r="3626" spans="1:9" ht="15.75" thickBot="1" x14ac:dyDescent="0.3">
      <c r="A3626" s="43" t="s">
        <v>8479</v>
      </c>
      <c r="B3626" s="21" t="s">
        <v>8480</v>
      </c>
      <c r="C3626" s="21" t="s">
        <v>22655</v>
      </c>
      <c r="D3626" s="22">
        <v>46028</v>
      </c>
      <c r="E3626" s="23" t="s">
        <v>22656</v>
      </c>
      <c r="F3626" s="24" t="s">
        <v>22657</v>
      </c>
      <c r="G3626" s="25">
        <v>2</v>
      </c>
      <c r="H3626" s="26"/>
      <c r="I3626" s="27"/>
    </row>
    <row r="3627" spans="1:9" ht="15.75" thickBot="1" x14ac:dyDescent="0.3">
      <c r="A3627" s="43" t="s">
        <v>8481</v>
      </c>
      <c r="B3627" s="21" t="s">
        <v>8482</v>
      </c>
      <c r="C3627" s="21" t="s">
        <v>22655</v>
      </c>
      <c r="D3627" s="22">
        <v>46028</v>
      </c>
      <c r="E3627" s="23" t="s">
        <v>22661</v>
      </c>
      <c r="F3627" s="24" t="s">
        <v>22657</v>
      </c>
      <c r="G3627" s="25">
        <v>6</v>
      </c>
      <c r="H3627" s="32">
        <v>6</v>
      </c>
      <c r="I3627" s="33">
        <v>12</v>
      </c>
    </row>
    <row r="3628" spans="1:9" ht="15.75" thickBot="1" x14ac:dyDescent="0.3">
      <c r="A3628" s="43" t="s">
        <v>8483</v>
      </c>
      <c r="B3628" s="21" t="s">
        <v>8484</v>
      </c>
      <c r="C3628" s="21" t="s">
        <v>22655</v>
      </c>
      <c r="D3628" s="22">
        <v>46034</v>
      </c>
      <c r="E3628" s="23" t="s">
        <v>22656</v>
      </c>
      <c r="F3628" s="24" t="s">
        <v>22657</v>
      </c>
      <c r="G3628" s="25">
        <v>2</v>
      </c>
      <c r="H3628" s="26"/>
      <c r="I3628" s="27"/>
    </row>
    <row r="3629" spans="1:9" ht="15.75" thickBot="1" x14ac:dyDescent="0.3">
      <c r="A3629" s="43" t="s">
        <v>8485</v>
      </c>
      <c r="B3629" s="21" t="s">
        <v>8486</v>
      </c>
      <c r="C3629" s="21" t="s">
        <v>22655</v>
      </c>
      <c r="D3629" s="22">
        <v>46034</v>
      </c>
      <c r="E3629" s="23" t="s">
        <v>22661</v>
      </c>
      <c r="F3629" s="24" t="s">
        <v>22657</v>
      </c>
      <c r="G3629" s="25">
        <v>6</v>
      </c>
      <c r="H3629" s="32">
        <v>6</v>
      </c>
      <c r="I3629" s="33">
        <v>10</v>
      </c>
    </row>
    <row r="3630" spans="1:9" ht="15.75" thickBot="1" x14ac:dyDescent="0.3">
      <c r="A3630" s="43" t="s">
        <v>8487</v>
      </c>
      <c r="B3630" s="21" t="s">
        <v>8488</v>
      </c>
      <c r="C3630" s="21" t="s">
        <v>22663</v>
      </c>
      <c r="D3630" s="31">
        <v>1</v>
      </c>
      <c r="E3630" s="23" t="s">
        <v>22658</v>
      </c>
      <c r="F3630" s="24" t="s">
        <v>22657</v>
      </c>
      <c r="G3630" s="25">
        <v>2</v>
      </c>
      <c r="H3630" s="26"/>
      <c r="I3630" s="27"/>
    </row>
    <row r="3631" spans="1:9" ht="15.75" thickBot="1" x14ac:dyDescent="0.3">
      <c r="A3631" s="43" t="s">
        <v>8489</v>
      </c>
      <c r="B3631" s="21" t="s">
        <v>8490</v>
      </c>
      <c r="C3631" s="21" t="s">
        <v>22663</v>
      </c>
      <c r="D3631" s="31">
        <v>1</v>
      </c>
      <c r="E3631" s="23" t="s">
        <v>22658</v>
      </c>
      <c r="F3631" s="24" t="s">
        <v>22657</v>
      </c>
      <c r="G3631" s="25">
        <v>2</v>
      </c>
      <c r="H3631" s="29"/>
      <c r="I3631" s="30"/>
    </row>
    <row r="3632" spans="1:9" ht="15.75" thickBot="1" x14ac:dyDescent="0.3">
      <c r="A3632" s="43" t="s">
        <v>8491</v>
      </c>
      <c r="B3632" s="21" t="s">
        <v>8492</v>
      </c>
      <c r="C3632" s="21" t="s">
        <v>22746</v>
      </c>
      <c r="D3632" s="31" t="s">
        <v>22802</v>
      </c>
      <c r="E3632" s="23" t="s">
        <v>22656</v>
      </c>
      <c r="F3632" s="24" t="s">
        <v>22657</v>
      </c>
      <c r="G3632" s="25">
        <v>3</v>
      </c>
      <c r="H3632" s="26"/>
      <c r="I3632" s="27"/>
    </row>
    <row r="3633" spans="1:9" ht="15.75" thickBot="1" x14ac:dyDescent="0.3">
      <c r="A3633" s="43" t="s">
        <v>8493</v>
      </c>
      <c r="B3633" s="21" t="s">
        <v>8494</v>
      </c>
      <c r="C3633" s="21" t="s">
        <v>22746</v>
      </c>
      <c r="D3633" s="31" t="s">
        <v>22802</v>
      </c>
      <c r="E3633" s="23" t="s">
        <v>22656</v>
      </c>
      <c r="F3633" s="24" t="s">
        <v>22657</v>
      </c>
      <c r="G3633" s="25">
        <v>2</v>
      </c>
      <c r="H3633" s="29"/>
      <c r="I3633" s="30"/>
    </row>
    <row r="3634" spans="1:9" ht="15.75" thickBot="1" x14ac:dyDescent="0.3">
      <c r="A3634" s="43" t="s">
        <v>8495</v>
      </c>
      <c r="B3634" s="21" t="s">
        <v>8496</v>
      </c>
      <c r="C3634" s="21" t="s">
        <v>22746</v>
      </c>
      <c r="D3634" s="31" t="s">
        <v>22802</v>
      </c>
      <c r="E3634" s="23" t="s">
        <v>22661</v>
      </c>
      <c r="F3634" s="24" t="s">
        <v>22657</v>
      </c>
      <c r="G3634" s="25">
        <v>3</v>
      </c>
      <c r="H3634" s="26"/>
      <c r="I3634" s="27"/>
    </row>
    <row r="3635" spans="1:9" ht="15.75" thickBot="1" x14ac:dyDescent="0.3">
      <c r="A3635" s="43" t="s">
        <v>8497</v>
      </c>
      <c r="B3635" s="21" t="s">
        <v>8498</v>
      </c>
      <c r="C3635" s="21" t="s">
        <v>22746</v>
      </c>
      <c r="D3635" s="31" t="s">
        <v>22802</v>
      </c>
      <c r="E3635" s="23" t="s">
        <v>22656</v>
      </c>
      <c r="F3635" s="24" t="s">
        <v>22657</v>
      </c>
      <c r="G3635" s="25">
        <v>2</v>
      </c>
      <c r="H3635" s="29"/>
      <c r="I3635" s="30"/>
    </row>
    <row r="3636" spans="1:9" ht="15.75" thickBot="1" x14ac:dyDescent="0.3">
      <c r="A3636" s="43" t="s">
        <v>8499</v>
      </c>
      <c r="B3636" s="21" t="s">
        <v>8500</v>
      </c>
      <c r="C3636" s="21" t="s">
        <v>22746</v>
      </c>
      <c r="D3636" s="31" t="s">
        <v>22802</v>
      </c>
      <c r="E3636" s="23" t="s">
        <v>22656</v>
      </c>
      <c r="F3636" s="24" t="s">
        <v>22657</v>
      </c>
      <c r="G3636" s="25">
        <v>2</v>
      </c>
      <c r="H3636" s="26"/>
      <c r="I3636" s="27"/>
    </row>
    <row r="3637" spans="1:9" ht="15.75" thickBot="1" x14ac:dyDescent="0.3">
      <c r="A3637" s="43" t="s">
        <v>8501</v>
      </c>
      <c r="B3637" s="21" t="s">
        <v>8502</v>
      </c>
      <c r="C3637" s="21" t="s">
        <v>22746</v>
      </c>
      <c r="D3637" s="31" t="s">
        <v>22802</v>
      </c>
      <c r="E3637" s="23" t="s">
        <v>22656</v>
      </c>
      <c r="F3637" s="24" t="s">
        <v>22657</v>
      </c>
      <c r="G3637" s="25">
        <v>2</v>
      </c>
      <c r="H3637" s="29"/>
      <c r="I3637" s="30"/>
    </row>
    <row r="3638" spans="1:9" ht="15.75" thickBot="1" x14ac:dyDescent="0.3">
      <c r="A3638" s="43" t="s">
        <v>8503</v>
      </c>
      <c r="B3638" s="21" t="s">
        <v>8504</v>
      </c>
      <c r="C3638" s="21" t="s">
        <v>22746</v>
      </c>
      <c r="D3638" s="31" t="s">
        <v>22802</v>
      </c>
      <c r="E3638" s="23" t="s">
        <v>22656</v>
      </c>
      <c r="F3638" s="24" t="s">
        <v>22657</v>
      </c>
      <c r="G3638" s="25">
        <v>2</v>
      </c>
      <c r="H3638" s="26"/>
      <c r="I3638" s="27"/>
    </row>
    <row r="3639" spans="1:9" ht="15.75" thickBot="1" x14ac:dyDescent="0.3">
      <c r="A3639" s="43" t="s">
        <v>8505</v>
      </c>
      <c r="B3639" s="21" t="s">
        <v>8506</v>
      </c>
      <c r="C3639" s="21" t="s">
        <v>22655</v>
      </c>
      <c r="D3639" s="31" t="s">
        <v>22660</v>
      </c>
      <c r="E3639" s="23" t="s">
        <v>22658</v>
      </c>
      <c r="F3639" s="24" t="s">
        <v>22657</v>
      </c>
      <c r="G3639" s="25">
        <v>4</v>
      </c>
      <c r="H3639" s="29"/>
      <c r="I3639" s="30"/>
    </row>
    <row r="3640" spans="1:9" ht="15.75" thickBot="1" x14ac:dyDescent="0.3">
      <c r="A3640" s="43" t="s">
        <v>8507</v>
      </c>
      <c r="B3640" s="21" t="s">
        <v>8508</v>
      </c>
      <c r="C3640" s="21" t="s">
        <v>22682</v>
      </c>
      <c r="D3640" s="22">
        <v>46034</v>
      </c>
      <c r="E3640" s="23" t="s">
        <v>22658</v>
      </c>
      <c r="F3640" s="24" t="s">
        <v>22657</v>
      </c>
      <c r="G3640" s="25">
        <v>4</v>
      </c>
      <c r="H3640" s="26"/>
      <c r="I3640" s="27"/>
    </row>
    <row r="3641" spans="1:9" ht="15.75" thickBot="1" x14ac:dyDescent="0.3">
      <c r="A3641" s="43" t="s">
        <v>8509</v>
      </c>
      <c r="B3641" s="21" t="s">
        <v>8510</v>
      </c>
      <c r="C3641" s="21" t="s">
        <v>22682</v>
      </c>
      <c r="D3641" s="22">
        <v>46034</v>
      </c>
      <c r="E3641" s="23" t="s">
        <v>22658</v>
      </c>
      <c r="F3641" s="24" t="s">
        <v>22657</v>
      </c>
      <c r="G3641" s="25">
        <v>4</v>
      </c>
      <c r="H3641" s="29"/>
      <c r="I3641" s="30"/>
    </row>
    <row r="3642" spans="1:9" ht="15.75" thickBot="1" x14ac:dyDescent="0.3">
      <c r="A3642" s="43" t="s">
        <v>8511</v>
      </c>
      <c r="B3642" s="21" t="s">
        <v>8512</v>
      </c>
      <c r="C3642" s="21" t="s">
        <v>22682</v>
      </c>
      <c r="D3642" s="22">
        <v>46034</v>
      </c>
      <c r="E3642" s="23" t="s">
        <v>22658</v>
      </c>
      <c r="F3642" s="24" t="s">
        <v>22657</v>
      </c>
      <c r="G3642" s="25">
        <v>4</v>
      </c>
      <c r="H3642" s="26"/>
      <c r="I3642" s="27"/>
    </row>
    <row r="3643" spans="1:9" ht="15.75" thickBot="1" x14ac:dyDescent="0.3">
      <c r="A3643" s="43" t="s">
        <v>8513</v>
      </c>
      <c r="B3643" s="21" t="s">
        <v>8514</v>
      </c>
      <c r="C3643" s="21" t="s">
        <v>22682</v>
      </c>
      <c r="D3643" s="22">
        <v>46034</v>
      </c>
      <c r="E3643" s="23" t="s">
        <v>22656</v>
      </c>
      <c r="F3643" s="24" t="s">
        <v>22657</v>
      </c>
      <c r="G3643" s="25">
        <v>4</v>
      </c>
      <c r="H3643" s="29"/>
      <c r="I3643" s="30"/>
    </row>
    <row r="3644" spans="1:9" ht="15.75" thickBot="1" x14ac:dyDescent="0.3">
      <c r="A3644" s="43" t="s">
        <v>8515</v>
      </c>
      <c r="B3644" s="21" t="s">
        <v>8516</v>
      </c>
      <c r="C3644" s="21" t="s">
        <v>22682</v>
      </c>
      <c r="D3644" s="22">
        <v>46034</v>
      </c>
      <c r="E3644" s="23" t="s">
        <v>22658</v>
      </c>
      <c r="F3644" s="24" t="s">
        <v>22657</v>
      </c>
      <c r="G3644" s="25">
        <v>4</v>
      </c>
      <c r="H3644" s="26"/>
      <c r="I3644" s="27"/>
    </row>
    <row r="3645" spans="1:9" ht="15.75" thickBot="1" x14ac:dyDescent="0.3">
      <c r="A3645" s="43" t="s">
        <v>8517</v>
      </c>
      <c r="B3645" s="21" t="s">
        <v>8518</v>
      </c>
      <c r="C3645" s="21" t="s">
        <v>22682</v>
      </c>
      <c r="D3645" s="22">
        <v>46034</v>
      </c>
      <c r="E3645" s="23" t="s">
        <v>22658</v>
      </c>
      <c r="F3645" s="24" t="s">
        <v>22657</v>
      </c>
      <c r="G3645" s="25">
        <v>4</v>
      </c>
      <c r="H3645" s="29"/>
      <c r="I3645" s="30"/>
    </row>
    <row r="3646" spans="1:9" ht="15.75" thickBot="1" x14ac:dyDescent="0.3">
      <c r="A3646" s="43" t="s">
        <v>8519</v>
      </c>
      <c r="B3646" s="21" t="s">
        <v>8520</v>
      </c>
      <c r="C3646" s="21" t="s">
        <v>22682</v>
      </c>
      <c r="D3646" s="22">
        <v>46034</v>
      </c>
      <c r="E3646" s="23" t="s">
        <v>22658</v>
      </c>
      <c r="F3646" s="24" t="s">
        <v>22657</v>
      </c>
      <c r="G3646" s="25">
        <v>4</v>
      </c>
      <c r="H3646" s="26"/>
      <c r="I3646" s="27"/>
    </row>
    <row r="3647" spans="1:9" ht="15.75" thickBot="1" x14ac:dyDescent="0.3">
      <c r="A3647" s="43" t="s">
        <v>811</v>
      </c>
      <c r="B3647" s="21" t="s">
        <v>8521</v>
      </c>
      <c r="C3647" s="21" t="s">
        <v>22655</v>
      </c>
      <c r="D3647" s="31" t="s">
        <v>22660</v>
      </c>
      <c r="E3647" s="23" t="s">
        <v>22662</v>
      </c>
      <c r="F3647" s="24" t="s">
        <v>22657</v>
      </c>
      <c r="G3647" s="25">
        <v>12</v>
      </c>
      <c r="H3647" s="32">
        <v>12</v>
      </c>
      <c r="I3647" s="33">
        <v>24</v>
      </c>
    </row>
    <row r="3648" spans="1:9" ht="15.75" thickBot="1" x14ac:dyDescent="0.3">
      <c r="A3648" s="43" t="s">
        <v>541</v>
      </c>
      <c r="B3648" s="21" t="s">
        <v>542</v>
      </c>
      <c r="C3648" s="21" t="s">
        <v>22655</v>
      </c>
      <c r="D3648" s="22">
        <v>46034</v>
      </c>
      <c r="E3648" s="23" t="s">
        <v>22661</v>
      </c>
      <c r="F3648" s="24" t="s">
        <v>22657</v>
      </c>
      <c r="G3648" s="25">
        <v>8</v>
      </c>
      <c r="H3648" s="34">
        <v>8</v>
      </c>
      <c r="I3648" s="35">
        <v>15</v>
      </c>
    </row>
    <row r="3649" spans="1:9" ht="15.75" thickBot="1" x14ac:dyDescent="0.3">
      <c r="A3649" s="43" t="s">
        <v>1031</v>
      </c>
      <c r="B3649" s="21" t="s">
        <v>1032</v>
      </c>
      <c r="C3649" s="21" t="s">
        <v>22655</v>
      </c>
      <c r="D3649" s="22">
        <v>46046</v>
      </c>
      <c r="E3649" s="23" t="s">
        <v>22656</v>
      </c>
      <c r="F3649" s="24" t="s">
        <v>22657</v>
      </c>
      <c r="G3649" s="25">
        <v>8</v>
      </c>
      <c r="H3649" s="29"/>
      <c r="I3649" s="30"/>
    </row>
    <row r="3650" spans="1:9" ht="15.75" thickBot="1" x14ac:dyDescent="0.3">
      <c r="A3650" s="43" t="s">
        <v>8522</v>
      </c>
      <c r="B3650" s="21" t="s">
        <v>8523</v>
      </c>
      <c r="C3650" s="21" t="s">
        <v>22655</v>
      </c>
      <c r="D3650" s="22">
        <v>46046</v>
      </c>
      <c r="E3650" s="23" t="s">
        <v>22656</v>
      </c>
      <c r="F3650" s="24" t="s">
        <v>22657</v>
      </c>
      <c r="G3650" s="25">
        <v>4</v>
      </c>
      <c r="H3650" s="26"/>
      <c r="I3650" s="27"/>
    </row>
    <row r="3651" spans="1:9" ht="15.75" thickBot="1" x14ac:dyDescent="0.3">
      <c r="A3651" s="43" t="s">
        <v>8524</v>
      </c>
      <c r="B3651" s="21" t="s">
        <v>8525</v>
      </c>
      <c r="C3651" s="21" t="s">
        <v>22682</v>
      </c>
      <c r="D3651" s="22">
        <v>46034</v>
      </c>
      <c r="E3651" s="23" t="s">
        <v>22658</v>
      </c>
      <c r="F3651" s="24" t="s">
        <v>22657</v>
      </c>
      <c r="G3651" s="25">
        <v>4</v>
      </c>
      <c r="H3651" s="29"/>
      <c r="I3651" s="30"/>
    </row>
    <row r="3652" spans="1:9" ht="15.75" thickBot="1" x14ac:dyDescent="0.3">
      <c r="A3652" s="43" t="s">
        <v>8526</v>
      </c>
      <c r="B3652" s="21" t="s">
        <v>8527</v>
      </c>
      <c r="C3652" s="21" t="s">
        <v>22682</v>
      </c>
      <c r="D3652" s="22">
        <v>46034</v>
      </c>
      <c r="E3652" s="23" t="s">
        <v>22658</v>
      </c>
      <c r="F3652" s="24" t="s">
        <v>22657</v>
      </c>
      <c r="G3652" s="25">
        <v>4</v>
      </c>
      <c r="H3652" s="26"/>
      <c r="I3652" s="27"/>
    </row>
    <row r="3653" spans="1:9" ht="15.75" thickBot="1" x14ac:dyDescent="0.3">
      <c r="A3653" s="43" t="s">
        <v>8528</v>
      </c>
      <c r="B3653" s="21" t="s">
        <v>8529</v>
      </c>
      <c r="C3653" s="21" t="s">
        <v>22682</v>
      </c>
      <c r="D3653" s="22">
        <v>46034</v>
      </c>
      <c r="E3653" s="23" t="s">
        <v>22658</v>
      </c>
      <c r="F3653" s="24" t="s">
        <v>22657</v>
      </c>
      <c r="G3653" s="25">
        <v>4</v>
      </c>
      <c r="H3653" s="29"/>
      <c r="I3653" s="30"/>
    </row>
    <row r="3654" spans="1:9" ht="15.75" thickBot="1" x14ac:dyDescent="0.3">
      <c r="A3654" s="43" t="s">
        <v>8530</v>
      </c>
      <c r="B3654" s="21" t="s">
        <v>8531</v>
      </c>
      <c r="C3654" s="21" t="s">
        <v>22682</v>
      </c>
      <c r="D3654" s="22">
        <v>46034</v>
      </c>
      <c r="E3654" s="23" t="s">
        <v>22656</v>
      </c>
      <c r="F3654" s="24" t="s">
        <v>22657</v>
      </c>
      <c r="G3654" s="25">
        <v>4</v>
      </c>
      <c r="H3654" s="26"/>
      <c r="I3654" s="27"/>
    </row>
    <row r="3655" spans="1:9" ht="15.75" thickBot="1" x14ac:dyDescent="0.3">
      <c r="A3655" s="43" t="s">
        <v>8532</v>
      </c>
      <c r="B3655" s="21" t="s">
        <v>8533</v>
      </c>
      <c r="C3655" s="21" t="s">
        <v>22682</v>
      </c>
      <c r="D3655" s="22">
        <v>46034</v>
      </c>
      <c r="E3655" s="23" t="s">
        <v>22658</v>
      </c>
      <c r="F3655" s="24" t="s">
        <v>22657</v>
      </c>
      <c r="G3655" s="25">
        <v>4</v>
      </c>
      <c r="H3655" s="29"/>
      <c r="I3655" s="30"/>
    </row>
    <row r="3656" spans="1:9" ht="15.75" thickBot="1" x14ac:dyDescent="0.3">
      <c r="A3656" s="43" t="s">
        <v>8534</v>
      </c>
      <c r="B3656" s="21" t="s">
        <v>8535</v>
      </c>
      <c r="C3656" s="21" t="s">
        <v>22682</v>
      </c>
      <c r="D3656" s="22">
        <v>46034</v>
      </c>
      <c r="E3656" s="23" t="s">
        <v>22658</v>
      </c>
      <c r="F3656" s="24" t="s">
        <v>22657</v>
      </c>
      <c r="G3656" s="25">
        <v>4</v>
      </c>
      <c r="H3656" s="26"/>
      <c r="I3656" s="27"/>
    </row>
    <row r="3657" spans="1:9" ht="15.75" thickBot="1" x14ac:dyDescent="0.3">
      <c r="A3657" s="43" t="s">
        <v>8536</v>
      </c>
      <c r="B3657" s="21" t="s">
        <v>8537</v>
      </c>
      <c r="C3657" s="21" t="s">
        <v>22682</v>
      </c>
      <c r="D3657" s="22">
        <v>46034</v>
      </c>
      <c r="E3657" s="23" t="s">
        <v>22658</v>
      </c>
      <c r="F3657" s="24" t="s">
        <v>22657</v>
      </c>
      <c r="G3657" s="25">
        <v>4</v>
      </c>
      <c r="H3657" s="29"/>
      <c r="I3657" s="30"/>
    </row>
    <row r="3658" spans="1:9" ht="15.75" thickBot="1" x14ac:dyDescent="0.3">
      <c r="A3658" s="43" t="s">
        <v>8538</v>
      </c>
      <c r="B3658" s="21" t="s">
        <v>8539</v>
      </c>
      <c r="C3658" s="21" t="s">
        <v>22682</v>
      </c>
      <c r="D3658" s="22">
        <v>46034</v>
      </c>
      <c r="E3658" s="23" t="s">
        <v>22658</v>
      </c>
      <c r="F3658" s="24" t="s">
        <v>22657</v>
      </c>
      <c r="G3658" s="25">
        <v>4</v>
      </c>
      <c r="H3658" s="26"/>
      <c r="I3658" s="27"/>
    </row>
    <row r="3659" spans="1:9" ht="15.75" thickBot="1" x14ac:dyDescent="0.3">
      <c r="A3659" s="43" t="s">
        <v>8540</v>
      </c>
      <c r="B3659" s="21" t="s">
        <v>8541</v>
      </c>
      <c r="C3659" s="21" t="s">
        <v>22682</v>
      </c>
      <c r="D3659" s="22">
        <v>46034</v>
      </c>
      <c r="E3659" s="23" t="s">
        <v>22658</v>
      </c>
      <c r="F3659" s="24" t="s">
        <v>22657</v>
      </c>
      <c r="G3659" s="25">
        <v>4</v>
      </c>
      <c r="H3659" s="29"/>
      <c r="I3659" s="30"/>
    </row>
    <row r="3660" spans="1:9" ht="15.75" thickBot="1" x14ac:dyDescent="0.3">
      <c r="A3660" s="43" t="s">
        <v>8542</v>
      </c>
      <c r="B3660" s="21" t="s">
        <v>8543</v>
      </c>
      <c r="C3660" s="21" t="s">
        <v>22682</v>
      </c>
      <c r="D3660" s="22">
        <v>46034</v>
      </c>
      <c r="E3660" s="23" t="s">
        <v>22658</v>
      </c>
      <c r="F3660" s="24" t="s">
        <v>22657</v>
      </c>
      <c r="G3660" s="25">
        <v>4</v>
      </c>
      <c r="H3660" s="26"/>
      <c r="I3660" s="27"/>
    </row>
    <row r="3661" spans="1:9" ht="15.75" thickBot="1" x14ac:dyDescent="0.3">
      <c r="A3661" s="43" t="s">
        <v>8544</v>
      </c>
      <c r="B3661" s="21" t="s">
        <v>8545</v>
      </c>
      <c r="C3661" s="21" t="s">
        <v>22682</v>
      </c>
      <c r="D3661" s="22">
        <v>46034</v>
      </c>
      <c r="E3661" s="23" t="s">
        <v>22656</v>
      </c>
      <c r="F3661" s="24" t="s">
        <v>22657</v>
      </c>
      <c r="G3661" s="25">
        <v>4</v>
      </c>
      <c r="H3661" s="29"/>
      <c r="I3661" s="30"/>
    </row>
    <row r="3662" spans="1:9" ht="15.75" thickBot="1" x14ac:dyDescent="0.3">
      <c r="A3662" s="43" t="s">
        <v>8546</v>
      </c>
      <c r="B3662" s="21" t="s">
        <v>8547</v>
      </c>
      <c r="C3662" s="21" t="s">
        <v>22682</v>
      </c>
      <c r="D3662" s="22">
        <v>46034</v>
      </c>
      <c r="E3662" s="23" t="s">
        <v>22658</v>
      </c>
      <c r="F3662" s="24" t="s">
        <v>22657</v>
      </c>
      <c r="G3662" s="25">
        <v>4</v>
      </c>
      <c r="H3662" s="26"/>
      <c r="I3662" s="27"/>
    </row>
    <row r="3663" spans="1:9" ht="15.75" thickBot="1" x14ac:dyDescent="0.3">
      <c r="A3663" s="43" t="s">
        <v>8548</v>
      </c>
      <c r="B3663" s="21" t="s">
        <v>8549</v>
      </c>
      <c r="C3663" s="21" t="s">
        <v>22682</v>
      </c>
      <c r="D3663" s="22">
        <v>46034</v>
      </c>
      <c r="E3663" s="23" t="s">
        <v>22658</v>
      </c>
      <c r="F3663" s="24" t="s">
        <v>22657</v>
      </c>
      <c r="G3663" s="25">
        <v>4</v>
      </c>
      <c r="H3663" s="29"/>
      <c r="I3663" s="30"/>
    </row>
    <row r="3664" spans="1:9" ht="15.75" thickBot="1" x14ac:dyDescent="0.3">
      <c r="A3664" s="43" t="s">
        <v>8550</v>
      </c>
      <c r="B3664" s="21" t="s">
        <v>8551</v>
      </c>
      <c r="C3664" s="21" t="s">
        <v>22682</v>
      </c>
      <c r="D3664" s="22">
        <v>46034</v>
      </c>
      <c r="E3664" s="23" t="s">
        <v>22658</v>
      </c>
      <c r="F3664" s="24" t="s">
        <v>22657</v>
      </c>
      <c r="G3664" s="25">
        <v>4</v>
      </c>
      <c r="H3664" s="26"/>
      <c r="I3664" s="27"/>
    </row>
    <row r="3665" spans="1:9" ht="15.75" thickBot="1" x14ac:dyDescent="0.3">
      <c r="A3665" s="43" t="s">
        <v>8552</v>
      </c>
      <c r="B3665" s="21" t="s">
        <v>8553</v>
      </c>
      <c r="C3665" s="21" t="s">
        <v>22655</v>
      </c>
      <c r="D3665" s="22">
        <v>46028</v>
      </c>
      <c r="E3665" s="23" t="s">
        <v>22658</v>
      </c>
      <c r="F3665" s="24" t="s">
        <v>22657</v>
      </c>
      <c r="G3665" s="25">
        <v>2</v>
      </c>
      <c r="H3665" s="29"/>
      <c r="I3665" s="30"/>
    </row>
    <row r="3666" spans="1:9" ht="15.75" thickBot="1" x14ac:dyDescent="0.3">
      <c r="A3666" s="43" t="s">
        <v>8554</v>
      </c>
      <c r="B3666" s="21" t="s">
        <v>8555</v>
      </c>
      <c r="C3666" s="21" t="s">
        <v>22780</v>
      </c>
      <c r="D3666" s="22">
        <v>46037</v>
      </c>
      <c r="E3666" s="23" t="s">
        <v>22656</v>
      </c>
      <c r="F3666" s="24" t="s">
        <v>22657</v>
      </c>
      <c r="G3666" s="25">
        <v>5</v>
      </c>
      <c r="H3666" s="26"/>
      <c r="I3666" s="27"/>
    </row>
    <row r="3667" spans="1:9" ht="15.75" thickBot="1" x14ac:dyDescent="0.3">
      <c r="A3667" s="43" t="s">
        <v>8556</v>
      </c>
      <c r="B3667" s="21" t="s">
        <v>8557</v>
      </c>
      <c r="C3667" s="21" t="s">
        <v>22780</v>
      </c>
      <c r="D3667" s="22">
        <v>46037</v>
      </c>
      <c r="E3667" s="23" t="s">
        <v>22656</v>
      </c>
      <c r="F3667" s="24" t="s">
        <v>22657</v>
      </c>
      <c r="G3667" s="25">
        <v>5</v>
      </c>
      <c r="H3667" s="29"/>
      <c r="I3667" s="30"/>
    </row>
    <row r="3668" spans="1:9" ht="15.75" thickBot="1" x14ac:dyDescent="0.3">
      <c r="A3668" s="43" t="s">
        <v>8558</v>
      </c>
      <c r="B3668" s="21" t="s">
        <v>8559</v>
      </c>
      <c r="C3668" s="21" t="s">
        <v>22780</v>
      </c>
      <c r="D3668" s="22">
        <v>46037</v>
      </c>
      <c r="E3668" s="23" t="s">
        <v>22656</v>
      </c>
      <c r="F3668" s="24" t="s">
        <v>22657</v>
      </c>
      <c r="G3668" s="25">
        <v>5</v>
      </c>
      <c r="H3668" s="26"/>
      <c r="I3668" s="27"/>
    </row>
    <row r="3669" spans="1:9" ht="15.75" thickBot="1" x14ac:dyDescent="0.3">
      <c r="A3669" s="43" t="s">
        <v>8560</v>
      </c>
      <c r="B3669" s="21" t="s">
        <v>8561</v>
      </c>
      <c r="C3669" s="21" t="s">
        <v>22780</v>
      </c>
      <c r="D3669" s="22">
        <v>46037</v>
      </c>
      <c r="E3669" s="23" t="s">
        <v>22656</v>
      </c>
      <c r="F3669" s="24" t="s">
        <v>22657</v>
      </c>
      <c r="G3669" s="25">
        <v>5</v>
      </c>
      <c r="H3669" s="29"/>
      <c r="I3669" s="30"/>
    </row>
    <row r="3670" spans="1:9" ht="15.75" thickBot="1" x14ac:dyDescent="0.3">
      <c r="A3670" s="43" t="s">
        <v>8562</v>
      </c>
      <c r="B3670" s="21" t="s">
        <v>8563</v>
      </c>
      <c r="C3670" s="21" t="s">
        <v>22780</v>
      </c>
      <c r="D3670" s="22">
        <v>46037</v>
      </c>
      <c r="E3670" s="23" t="s">
        <v>22656</v>
      </c>
      <c r="F3670" s="24" t="s">
        <v>22657</v>
      </c>
      <c r="G3670" s="25">
        <v>5</v>
      </c>
      <c r="H3670" s="26"/>
      <c r="I3670" s="27"/>
    </row>
    <row r="3671" spans="1:9" ht="15.75" thickBot="1" x14ac:dyDescent="0.3">
      <c r="A3671" s="43" t="s">
        <v>8564</v>
      </c>
      <c r="B3671" s="21" t="s">
        <v>8565</v>
      </c>
      <c r="C3671" s="21" t="s">
        <v>22780</v>
      </c>
      <c r="D3671" s="22">
        <v>46037</v>
      </c>
      <c r="E3671" s="23" t="s">
        <v>22656</v>
      </c>
      <c r="F3671" s="24" t="s">
        <v>22657</v>
      </c>
      <c r="G3671" s="25">
        <v>5</v>
      </c>
      <c r="H3671" s="29"/>
      <c r="I3671" s="30"/>
    </row>
    <row r="3672" spans="1:9" ht="15.75" thickBot="1" x14ac:dyDescent="0.3">
      <c r="A3672" s="43" t="s">
        <v>8566</v>
      </c>
      <c r="B3672" s="21" t="s">
        <v>8567</v>
      </c>
      <c r="C3672" s="21" t="s">
        <v>22780</v>
      </c>
      <c r="D3672" s="22">
        <v>46037</v>
      </c>
      <c r="E3672" s="23" t="s">
        <v>22656</v>
      </c>
      <c r="F3672" s="24" t="s">
        <v>22657</v>
      </c>
      <c r="G3672" s="25">
        <v>5</v>
      </c>
      <c r="H3672" s="26"/>
      <c r="I3672" s="27"/>
    </row>
    <row r="3673" spans="1:9" ht="15.75" thickBot="1" x14ac:dyDescent="0.3">
      <c r="A3673" s="43" t="s">
        <v>8568</v>
      </c>
      <c r="B3673" s="21" t="s">
        <v>8569</v>
      </c>
      <c r="C3673" s="21" t="s">
        <v>22780</v>
      </c>
      <c r="D3673" s="22">
        <v>46037</v>
      </c>
      <c r="E3673" s="23" t="s">
        <v>22656</v>
      </c>
      <c r="F3673" s="24" t="s">
        <v>22657</v>
      </c>
      <c r="G3673" s="25">
        <v>5</v>
      </c>
      <c r="H3673" s="29"/>
      <c r="I3673" s="30"/>
    </row>
    <row r="3674" spans="1:9" ht="15.75" thickBot="1" x14ac:dyDescent="0.3">
      <c r="A3674" s="43" t="s">
        <v>8570</v>
      </c>
      <c r="B3674" s="21" t="s">
        <v>8571</v>
      </c>
      <c r="C3674" s="21" t="s">
        <v>22655</v>
      </c>
      <c r="D3674" s="22">
        <v>46030</v>
      </c>
      <c r="E3674" s="23" t="s">
        <v>22656</v>
      </c>
      <c r="F3674" s="24" t="s">
        <v>22657</v>
      </c>
      <c r="G3674" s="25">
        <v>3</v>
      </c>
      <c r="H3674" s="26"/>
      <c r="I3674" s="27"/>
    </row>
    <row r="3675" spans="1:9" ht="15.75" thickBot="1" x14ac:dyDescent="0.3">
      <c r="A3675" s="43" t="s">
        <v>8572</v>
      </c>
      <c r="B3675" s="21" t="s">
        <v>8573</v>
      </c>
      <c r="C3675" s="21" t="s">
        <v>22780</v>
      </c>
      <c r="D3675" s="22">
        <v>46034</v>
      </c>
      <c r="E3675" s="23" t="s">
        <v>22656</v>
      </c>
      <c r="F3675" s="24" t="s">
        <v>22657</v>
      </c>
      <c r="G3675" s="25">
        <v>4</v>
      </c>
      <c r="H3675" s="29"/>
      <c r="I3675" s="30"/>
    </row>
    <row r="3676" spans="1:9" ht="15.75" thickBot="1" x14ac:dyDescent="0.3">
      <c r="A3676" s="43" t="s">
        <v>8574</v>
      </c>
      <c r="B3676" s="21" t="s">
        <v>8575</v>
      </c>
      <c r="C3676" s="21" t="s">
        <v>22780</v>
      </c>
      <c r="D3676" s="22">
        <v>46034</v>
      </c>
      <c r="E3676" s="23" t="s">
        <v>22656</v>
      </c>
      <c r="F3676" s="24" t="s">
        <v>22657</v>
      </c>
      <c r="G3676" s="25">
        <v>4</v>
      </c>
      <c r="H3676" s="26"/>
      <c r="I3676" s="27"/>
    </row>
    <row r="3677" spans="1:9" ht="15.75" thickBot="1" x14ac:dyDescent="0.3">
      <c r="A3677" s="43" t="s">
        <v>8576</v>
      </c>
      <c r="B3677" s="21" t="s">
        <v>8577</v>
      </c>
      <c r="C3677" s="21" t="s">
        <v>22780</v>
      </c>
      <c r="D3677" s="22">
        <v>46030</v>
      </c>
      <c r="E3677" s="23" t="s">
        <v>22656</v>
      </c>
      <c r="F3677" s="24" t="s">
        <v>22657</v>
      </c>
      <c r="G3677" s="25">
        <v>3</v>
      </c>
      <c r="H3677" s="29"/>
      <c r="I3677" s="30"/>
    </row>
    <row r="3678" spans="1:9" ht="15.75" thickBot="1" x14ac:dyDescent="0.3">
      <c r="A3678" s="43" t="s">
        <v>8578</v>
      </c>
      <c r="B3678" s="21" t="s">
        <v>8579</v>
      </c>
      <c r="C3678" s="21" t="s">
        <v>22780</v>
      </c>
      <c r="D3678" s="22">
        <v>46030</v>
      </c>
      <c r="E3678" s="23" t="s">
        <v>22656</v>
      </c>
      <c r="F3678" s="24" t="s">
        <v>22657</v>
      </c>
      <c r="G3678" s="25">
        <v>3</v>
      </c>
      <c r="H3678" s="26"/>
      <c r="I3678" s="27"/>
    </row>
    <row r="3679" spans="1:9" ht="15.75" thickBot="1" x14ac:dyDescent="0.3">
      <c r="A3679" s="43" t="s">
        <v>8580</v>
      </c>
      <c r="B3679" s="21" t="s">
        <v>8581</v>
      </c>
      <c r="C3679" s="21" t="s">
        <v>22655</v>
      </c>
      <c r="D3679" s="22">
        <v>46034</v>
      </c>
      <c r="E3679" s="23" t="s">
        <v>22658</v>
      </c>
      <c r="F3679" s="24" t="s">
        <v>22657</v>
      </c>
      <c r="G3679" s="25">
        <v>4</v>
      </c>
      <c r="H3679" s="29"/>
      <c r="I3679" s="30"/>
    </row>
    <row r="3680" spans="1:9" ht="15.75" thickBot="1" x14ac:dyDescent="0.3">
      <c r="A3680" s="43" t="s">
        <v>8582</v>
      </c>
      <c r="B3680" s="21" t="s">
        <v>8583</v>
      </c>
      <c r="C3680" s="21" t="s">
        <v>22682</v>
      </c>
      <c r="D3680" s="22">
        <v>46034</v>
      </c>
      <c r="E3680" s="23" t="s">
        <v>22656</v>
      </c>
      <c r="F3680" s="24" t="s">
        <v>22657</v>
      </c>
      <c r="G3680" s="25">
        <v>2</v>
      </c>
      <c r="H3680" s="26"/>
      <c r="I3680" s="27"/>
    </row>
    <row r="3681" spans="1:9" ht="15.75" thickBot="1" x14ac:dyDescent="0.3">
      <c r="A3681" s="43" t="s">
        <v>8584</v>
      </c>
      <c r="B3681" s="21" t="s">
        <v>8585</v>
      </c>
      <c r="C3681" s="21" t="s">
        <v>22682</v>
      </c>
      <c r="D3681" s="22">
        <v>46034</v>
      </c>
      <c r="E3681" s="23" t="s">
        <v>22656</v>
      </c>
      <c r="F3681" s="24" t="s">
        <v>22657</v>
      </c>
      <c r="G3681" s="25">
        <v>2</v>
      </c>
      <c r="H3681" s="29"/>
      <c r="I3681" s="30"/>
    </row>
    <row r="3682" spans="1:9" ht="15.75" thickBot="1" x14ac:dyDescent="0.3">
      <c r="A3682" s="43" t="s">
        <v>8586</v>
      </c>
      <c r="B3682" s="21" t="s">
        <v>8587</v>
      </c>
      <c r="C3682" s="21" t="s">
        <v>22672</v>
      </c>
      <c r="D3682" s="22">
        <v>46034</v>
      </c>
      <c r="E3682" s="23" t="s">
        <v>22658</v>
      </c>
      <c r="F3682" s="24" t="s">
        <v>22657</v>
      </c>
      <c r="G3682" s="25">
        <v>4</v>
      </c>
      <c r="H3682" s="26"/>
      <c r="I3682" s="27"/>
    </row>
    <row r="3683" spans="1:9" ht="15.75" thickBot="1" x14ac:dyDescent="0.3">
      <c r="A3683" s="43" t="s">
        <v>8588</v>
      </c>
      <c r="B3683" s="21" t="s">
        <v>8589</v>
      </c>
      <c r="C3683" s="21" t="s">
        <v>22655</v>
      </c>
      <c r="D3683" s="22">
        <v>46042</v>
      </c>
      <c r="E3683" s="23" t="s">
        <v>22656</v>
      </c>
      <c r="F3683" s="24" t="s">
        <v>22657</v>
      </c>
      <c r="G3683" s="25">
        <v>7</v>
      </c>
      <c r="H3683" s="29"/>
      <c r="I3683" s="30"/>
    </row>
    <row r="3684" spans="1:9" ht="15.75" thickBot="1" x14ac:dyDescent="0.3">
      <c r="A3684" s="43" t="s">
        <v>8590</v>
      </c>
      <c r="B3684" s="21" t="s">
        <v>8591</v>
      </c>
      <c r="C3684" s="21" t="s">
        <v>22655</v>
      </c>
      <c r="D3684" s="22">
        <v>46028</v>
      </c>
      <c r="E3684" s="23" t="s">
        <v>22656</v>
      </c>
      <c r="F3684" s="24" t="s">
        <v>22657</v>
      </c>
      <c r="G3684" s="25">
        <v>2</v>
      </c>
      <c r="H3684" s="26"/>
      <c r="I3684" s="27"/>
    </row>
    <row r="3685" spans="1:9" ht="15.75" thickBot="1" x14ac:dyDescent="0.3">
      <c r="A3685" s="43" t="s">
        <v>8594</v>
      </c>
      <c r="B3685" s="21" t="s">
        <v>8593</v>
      </c>
      <c r="C3685" s="21" t="s">
        <v>22655</v>
      </c>
      <c r="D3685" s="22">
        <v>46034</v>
      </c>
      <c r="E3685" s="23" t="s">
        <v>22658</v>
      </c>
      <c r="F3685" s="24" t="s">
        <v>22657</v>
      </c>
      <c r="G3685" s="25">
        <v>4</v>
      </c>
      <c r="H3685" s="29"/>
      <c r="I3685" s="30"/>
    </row>
    <row r="3686" spans="1:9" ht="15.75" thickBot="1" x14ac:dyDescent="0.3">
      <c r="A3686" s="43" t="s">
        <v>8592</v>
      </c>
      <c r="B3686" s="21" t="s">
        <v>8593</v>
      </c>
      <c r="C3686" s="21" t="s">
        <v>22655</v>
      </c>
      <c r="D3686" s="22">
        <v>46034</v>
      </c>
      <c r="E3686" s="23" t="s">
        <v>22656</v>
      </c>
      <c r="F3686" s="24" t="s">
        <v>22657</v>
      </c>
      <c r="G3686" s="25">
        <v>4</v>
      </c>
      <c r="H3686" s="26"/>
      <c r="I3686" s="27"/>
    </row>
    <row r="3687" spans="1:9" ht="15.75" thickBot="1" x14ac:dyDescent="0.3">
      <c r="A3687" s="43" t="s">
        <v>8595</v>
      </c>
      <c r="B3687" s="21" t="s">
        <v>8596</v>
      </c>
      <c r="C3687" s="21" t="s">
        <v>22663</v>
      </c>
      <c r="D3687" s="31">
        <v>1</v>
      </c>
      <c r="E3687" s="23" t="s">
        <v>22656</v>
      </c>
      <c r="F3687" s="24" t="s">
        <v>22657</v>
      </c>
      <c r="G3687" s="25">
        <v>2</v>
      </c>
      <c r="H3687" s="29"/>
      <c r="I3687" s="30"/>
    </row>
    <row r="3688" spans="1:9" ht="15.75" thickBot="1" x14ac:dyDescent="0.3">
      <c r="A3688" s="43" t="s">
        <v>8597</v>
      </c>
      <c r="B3688" s="21" t="s">
        <v>8598</v>
      </c>
      <c r="C3688" s="21" t="s">
        <v>22698</v>
      </c>
      <c r="D3688" s="31">
        <v>1</v>
      </c>
      <c r="E3688" s="23" t="s">
        <v>22656</v>
      </c>
      <c r="F3688" s="24" t="s">
        <v>22657</v>
      </c>
      <c r="G3688" s="25">
        <v>2</v>
      </c>
      <c r="H3688" s="26"/>
      <c r="I3688" s="27"/>
    </row>
    <row r="3689" spans="1:9" ht="15.75" thickBot="1" x14ac:dyDescent="0.3">
      <c r="A3689" s="43" t="s">
        <v>8599</v>
      </c>
      <c r="B3689" s="21" t="s">
        <v>8600</v>
      </c>
      <c r="C3689" s="21" t="s">
        <v>22663</v>
      </c>
      <c r="D3689" s="31">
        <v>1</v>
      </c>
      <c r="E3689" s="23" t="s">
        <v>22656</v>
      </c>
      <c r="F3689" s="24" t="s">
        <v>22657</v>
      </c>
      <c r="G3689" s="25">
        <v>4</v>
      </c>
      <c r="H3689" s="29"/>
      <c r="I3689" s="30"/>
    </row>
    <row r="3690" spans="1:9" ht="15.75" thickBot="1" x14ac:dyDescent="0.3">
      <c r="A3690" s="43" t="s">
        <v>8601</v>
      </c>
      <c r="B3690" s="21" t="s">
        <v>8602</v>
      </c>
      <c r="C3690" s="21" t="s">
        <v>22663</v>
      </c>
      <c r="D3690" s="31">
        <v>1</v>
      </c>
      <c r="E3690" s="23" t="s">
        <v>22656</v>
      </c>
      <c r="F3690" s="24" t="s">
        <v>22657</v>
      </c>
      <c r="G3690" s="25">
        <v>2</v>
      </c>
      <c r="H3690" s="26"/>
      <c r="I3690" s="27"/>
    </row>
    <row r="3691" spans="1:9" ht="15.75" thickBot="1" x14ac:dyDescent="0.3">
      <c r="A3691" s="43" t="s">
        <v>8604</v>
      </c>
      <c r="B3691" s="21" t="s">
        <v>8605</v>
      </c>
      <c r="C3691" s="21" t="s">
        <v>22655</v>
      </c>
      <c r="D3691" s="22">
        <v>46028</v>
      </c>
      <c r="E3691" s="23" t="s">
        <v>22656</v>
      </c>
      <c r="F3691" s="24" t="s">
        <v>22657</v>
      </c>
      <c r="G3691" s="25">
        <v>2</v>
      </c>
      <c r="H3691" s="29"/>
      <c r="I3691" s="30"/>
    </row>
    <row r="3692" spans="1:9" ht="15.75" thickBot="1" x14ac:dyDescent="0.3">
      <c r="A3692" s="43" t="s">
        <v>8606</v>
      </c>
      <c r="B3692" s="21" t="s">
        <v>8607</v>
      </c>
      <c r="C3692" s="21" t="s">
        <v>22655</v>
      </c>
      <c r="D3692" s="22">
        <v>46034</v>
      </c>
      <c r="E3692" s="23" t="s">
        <v>22656</v>
      </c>
      <c r="F3692" s="24" t="s">
        <v>22657</v>
      </c>
      <c r="G3692" s="25">
        <v>4</v>
      </c>
      <c r="H3692" s="26"/>
      <c r="I3692" s="27"/>
    </row>
    <row r="3693" spans="1:9" ht="15.75" thickBot="1" x14ac:dyDescent="0.3">
      <c r="A3693" s="43" t="s">
        <v>8608</v>
      </c>
      <c r="B3693" s="21" t="s">
        <v>8609</v>
      </c>
      <c r="C3693" s="21" t="s">
        <v>22663</v>
      </c>
      <c r="D3693" s="31">
        <v>1</v>
      </c>
      <c r="E3693" s="23" t="s">
        <v>22656</v>
      </c>
      <c r="F3693" s="24" t="s">
        <v>22657</v>
      </c>
      <c r="G3693" s="25">
        <v>2</v>
      </c>
      <c r="H3693" s="29"/>
      <c r="I3693" s="30"/>
    </row>
    <row r="3694" spans="1:9" ht="15.75" thickBot="1" x14ac:dyDescent="0.3">
      <c r="A3694" s="43" t="s">
        <v>8610</v>
      </c>
      <c r="B3694" s="21" t="s">
        <v>8611</v>
      </c>
      <c r="C3694" s="21" t="s">
        <v>22709</v>
      </c>
      <c r="D3694" s="31">
        <v>1</v>
      </c>
      <c r="E3694" s="23" t="s">
        <v>22656</v>
      </c>
      <c r="F3694" s="24" t="s">
        <v>22657</v>
      </c>
      <c r="G3694" s="25">
        <v>2</v>
      </c>
      <c r="H3694" s="26"/>
      <c r="I3694" s="27"/>
    </row>
    <row r="3695" spans="1:9" ht="15.75" thickBot="1" x14ac:dyDescent="0.3">
      <c r="A3695" s="43" t="s">
        <v>8612</v>
      </c>
      <c r="B3695" s="21" t="s">
        <v>8613</v>
      </c>
      <c r="C3695" s="21" t="s">
        <v>22698</v>
      </c>
      <c r="D3695" s="31">
        <v>1</v>
      </c>
      <c r="E3695" s="23" t="s">
        <v>22656</v>
      </c>
      <c r="F3695" s="24" t="s">
        <v>22657</v>
      </c>
      <c r="G3695" s="25">
        <v>3</v>
      </c>
      <c r="H3695" s="29"/>
      <c r="I3695" s="30"/>
    </row>
    <row r="3696" spans="1:9" ht="15.75" thickBot="1" x14ac:dyDescent="0.3">
      <c r="A3696" s="43" t="s">
        <v>8614</v>
      </c>
      <c r="B3696" s="21" t="s">
        <v>8615</v>
      </c>
      <c r="C3696" s="21" t="s">
        <v>22663</v>
      </c>
      <c r="D3696" s="31">
        <v>1</v>
      </c>
      <c r="E3696" s="23" t="s">
        <v>22656</v>
      </c>
      <c r="F3696" s="24" t="s">
        <v>22657</v>
      </c>
      <c r="G3696" s="25">
        <v>4</v>
      </c>
      <c r="H3696" s="26"/>
      <c r="I3696" s="27"/>
    </row>
    <row r="3697" spans="1:9" ht="15.75" thickBot="1" x14ac:dyDescent="0.3">
      <c r="A3697" s="43" t="s">
        <v>8616</v>
      </c>
      <c r="B3697" s="21" t="s">
        <v>8617</v>
      </c>
      <c r="C3697" s="21" t="s">
        <v>22682</v>
      </c>
      <c r="D3697" s="22">
        <v>46034</v>
      </c>
      <c r="E3697" s="23" t="s">
        <v>22658</v>
      </c>
      <c r="F3697" s="24" t="s">
        <v>22657</v>
      </c>
      <c r="G3697" s="25">
        <v>2</v>
      </c>
      <c r="H3697" s="29"/>
      <c r="I3697" s="30"/>
    </row>
    <row r="3698" spans="1:9" ht="15.75" thickBot="1" x14ac:dyDescent="0.3">
      <c r="A3698" s="43" t="s">
        <v>8618</v>
      </c>
      <c r="B3698" s="21" t="s">
        <v>8619</v>
      </c>
      <c r="C3698" s="21" t="s">
        <v>22655</v>
      </c>
      <c r="D3698" s="22">
        <v>46032</v>
      </c>
      <c r="E3698" s="23" t="s">
        <v>22656</v>
      </c>
      <c r="F3698" s="24" t="s">
        <v>22657</v>
      </c>
      <c r="G3698" s="25">
        <v>2</v>
      </c>
      <c r="H3698" s="26"/>
      <c r="I3698" s="27"/>
    </row>
    <row r="3699" spans="1:9" ht="15.75" thickBot="1" x14ac:dyDescent="0.3">
      <c r="A3699" s="43" t="s">
        <v>8620</v>
      </c>
      <c r="B3699" s="21" t="s">
        <v>8621</v>
      </c>
      <c r="C3699" s="21" t="s">
        <v>22655</v>
      </c>
      <c r="D3699" s="22">
        <v>46032</v>
      </c>
      <c r="E3699" s="23" t="s">
        <v>22656</v>
      </c>
      <c r="F3699" s="24" t="s">
        <v>22657</v>
      </c>
      <c r="G3699" s="25">
        <v>6</v>
      </c>
      <c r="H3699" s="32">
        <v>6</v>
      </c>
      <c r="I3699" s="33">
        <v>10</v>
      </c>
    </row>
    <row r="3700" spans="1:9" ht="15.75" thickBot="1" x14ac:dyDescent="0.3">
      <c r="A3700" s="43" t="s">
        <v>22529</v>
      </c>
      <c r="B3700" s="21" t="s">
        <v>22530</v>
      </c>
      <c r="C3700" s="21" t="s">
        <v>22655</v>
      </c>
      <c r="D3700" s="22">
        <v>46032</v>
      </c>
      <c r="E3700" s="23" t="s">
        <v>22658</v>
      </c>
      <c r="F3700" s="28" t="s">
        <v>22659</v>
      </c>
      <c r="G3700" s="25">
        <v>1</v>
      </c>
      <c r="H3700" s="26"/>
      <c r="I3700" s="27"/>
    </row>
    <row r="3701" spans="1:9" ht="15.75" thickBot="1" x14ac:dyDescent="0.3">
      <c r="A3701" s="43" t="s">
        <v>8622</v>
      </c>
      <c r="B3701" s="21" t="s">
        <v>8623</v>
      </c>
      <c r="C3701" s="21" t="s">
        <v>22682</v>
      </c>
      <c r="D3701" s="22">
        <v>46034</v>
      </c>
      <c r="E3701" s="23" t="s">
        <v>22658</v>
      </c>
      <c r="F3701" s="24" t="s">
        <v>22657</v>
      </c>
      <c r="G3701" s="25">
        <v>4</v>
      </c>
      <c r="H3701" s="29"/>
      <c r="I3701" s="30"/>
    </row>
    <row r="3702" spans="1:9" ht="15.75" thickBot="1" x14ac:dyDescent="0.3">
      <c r="A3702" s="43" t="s">
        <v>8624</v>
      </c>
      <c r="B3702" s="21" t="s">
        <v>8625</v>
      </c>
      <c r="C3702" s="21" t="s">
        <v>22682</v>
      </c>
      <c r="D3702" s="22">
        <v>46034</v>
      </c>
      <c r="E3702" s="23" t="s">
        <v>22658</v>
      </c>
      <c r="F3702" s="24" t="s">
        <v>22657</v>
      </c>
      <c r="G3702" s="25">
        <v>4</v>
      </c>
      <c r="H3702" s="26"/>
      <c r="I3702" s="27"/>
    </row>
    <row r="3703" spans="1:9" ht="15.75" thickBot="1" x14ac:dyDescent="0.3">
      <c r="A3703" s="43" t="s">
        <v>8626</v>
      </c>
      <c r="B3703" s="21" t="s">
        <v>8627</v>
      </c>
      <c r="C3703" s="21" t="s">
        <v>22655</v>
      </c>
      <c r="D3703" s="22">
        <v>46042</v>
      </c>
      <c r="E3703" s="23" t="s">
        <v>22656</v>
      </c>
      <c r="F3703" s="24" t="s">
        <v>22657</v>
      </c>
      <c r="G3703" s="25">
        <v>4</v>
      </c>
      <c r="H3703" s="29"/>
      <c r="I3703" s="30"/>
    </row>
    <row r="3704" spans="1:9" ht="15.75" thickBot="1" x14ac:dyDescent="0.3">
      <c r="A3704" s="43" t="s">
        <v>8628</v>
      </c>
      <c r="B3704" s="21" t="s">
        <v>8629</v>
      </c>
      <c r="C3704" s="21" t="s">
        <v>22682</v>
      </c>
      <c r="D3704" s="22">
        <v>46034</v>
      </c>
      <c r="E3704" s="23" t="s">
        <v>22656</v>
      </c>
      <c r="F3704" s="24" t="s">
        <v>22657</v>
      </c>
      <c r="G3704" s="25">
        <v>4</v>
      </c>
      <c r="H3704" s="26"/>
      <c r="I3704" s="27"/>
    </row>
    <row r="3705" spans="1:9" ht="15.75" thickBot="1" x14ac:dyDescent="0.3">
      <c r="A3705" s="43" t="s">
        <v>8630</v>
      </c>
      <c r="B3705" s="21" t="s">
        <v>8631</v>
      </c>
      <c r="C3705" s="21" t="s">
        <v>22682</v>
      </c>
      <c r="D3705" s="22">
        <v>46034</v>
      </c>
      <c r="E3705" s="23" t="s">
        <v>22658</v>
      </c>
      <c r="F3705" s="24" t="s">
        <v>22657</v>
      </c>
      <c r="G3705" s="25">
        <v>4</v>
      </c>
      <c r="H3705" s="29"/>
      <c r="I3705" s="30"/>
    </row>
    <row r="3706" spans="1:9" ht="15.75" thickBot="1" x14ac:dyDescent="0.3">
      <c r="A3706" s="43" t="s">
        <v>8632</v>
      </c>
      <c r="B3706" s="21" t="s">
        <v>8633</v>
      </c>
      <c r="C3706" s="21" t="s">
        <v>22682</v>
      </c>
      <c r="D3706" s="22">
        <v>46034</v>
      </c>
      <c r="E3706" s="23" t="s">
        <v>22658</v>
      </c>
      <c r="F3706" s="24" t="s">
        <v>22657</v>
      </c>
      <c r="G3706" s="25">
        <v>4</v>
      </c>
      <c r="H3706" s="26"/>
      <c r="I3706" s="27"/>
    </row>
    <row r="3707" spans="1:9" ht="15.75" thickBot="1" x14ac:dyDescent="0.3">
      <c r="A3707" s="43" t="s">
        <v>8634</v>
      </c>
      <c r="B3707" s="21" t="s">
        <v>8635</v>
      </c>
      <c r="C3707" s="21" t="s">
        <v>22682</v>
      </c>
      <c r="D3707" s="22">
        <v>46034</v>
      </c>
      <c r="E3707" s="23" t="s">
        <v>22658</v>
      </c>
      <c r="F3707" s="24" t="s">
        <v>22657</v>
      </c>
      <c r="G3707" s="25">
        <v>4</v>
      </c>
      <c r="H3707" s="29"/>
      <c r="I3707" s="30"/>
    </row>
    <row r="3708" spans="1:9" ht="15.75" thickBot="1" x14ac:dyDescent="0.3">
      <c r="A3708" s="43" t="s">
        <v>8636</v>
      </c>
      <c r="B3708" s="21" t="s">
        <v>8637</v>
      </c>
      <c r="C3708" s="21" t="s">
        <v>22682</v>
      </c>
      <c r="D3708" s="22">
        <v>46034</v>
      </c>
      <c r="E3708" s="23" t="s">
        <v>22658</v>
      </c>
      <c r="F3708" s="24" t="s">
        <v>22657</v>
      </c>
      <c r="G3708" s="25">
        <v>4</v>
      </c>
      <c r="H3708" s="26"/>
      <c r="I3708" s="27"/>
    </row>
    <row r="3709" spans="1:9" ht="15.75" thickBot="1" x14ac:dyDescent="0.3">
      <c r="A3709" s="43" t="s">
        <v>8638</v>
      </c>
      <c r="B3709" s="21" t="s">
        <v>8639</v>
      </c>
      <c r="C3709" s="21" t="s">
        <v>22682</v>
      </c>
      <c r="D3709" s="22">
        <v>46034</v>
      </c>
      <c r="E3709" s="23" t="s">
        <v>22656</v>
      </c>
      <c r="F3709" s="24" t="s">
        <v>22657</v>
      </c>
      <c r="G3709" s="25">
        <v>4</v>
      </c>
      <c r="H3709" s="29"/>
      <c r="I3709" s="30"/>
    </row>
    <row r="3710" spans="1:9" ht="15.75" thickBot="1" x14ac:dyDescent="0.3">
      <c r="A3710" s="43" t="s">
        <v>8640</v>
      </c>
      <c r="B3710" s="21" t="s">
        <v>8641</v>
      </c>
      <c r="C3710" s="21" t="s">
        <v>22655</v>
      </c>
      <c r="D3710" s="22">
        <v>46034</v>
      </c>
      <c r="E3710" s="23" t="s">
        <v>22658</v>
      </c>
      <c r="F3710" s="24" t="s">
        <v>22657</v>
      </c>
      <c r="G3710" s="25">
        <v>4</v>
      </c>
      <c r="H3710" s="26"/>
      <c r="I3710" s="27"/>
    </row>
    <row r="3711" spans="1:9" ht="15.75" thickBot="1" x14ac:dyDescent="0.3">
      <c r="A3711" s="43" t="s">
        <v>8642</v>
      </c>
      <c r="B3711" s="21" t="s">
        <v>8643</v>
      </c>
      <c r="C3711" s="21" t="s">
        <v>22655</v>
      </c>
      <c r="D3711" s="22">
        <v>46034</v>
      </c>
      <c r="E3711" s="23" t="s">
        <v>22658</v>
      </c>
      <c r="F3711" s="24" t="s">
        <v>22657</v>
      </c>
      <c r="G3711" s="25">
        <v>4</v>
      </c>
      <c r="H3711" s="29"/>
      <c r="I3711" s="30"/>
    </row>
    <row r="3712" spans="1:9" ht="15.75" thickBot="1" x14ac:dyDescent="0.3">
      <c r="A3712" s="43" t="s">
        <v>8644</v>
      </c>
      <c r="B3712" s="21" t="s">
        <v>8645</v>
      </c>
      <c r="C3712" s="21" t="s">
        <v>22655</v>
      </c>
      <c r="D3712" s="22">
        <v>46052</v>
      </c>
      <c r="E3712" s="23" t="s">
        <v>22658</v>
      </c>
      <c r="F3712" s="24" t="s">
        <v>22657</v>
      </c>
      <c r="G3712" s="25">
        <v>4</v>
      </c>
      <c r="H3712" s="26"/>
      <c r="I3712" s="27"/>
    </row>
    <row r="3713" spans="1:9" ht="15.75" thickBot="1" x14ac:dyDescent="0.3">
      <c r="A3713" s="43" t="s">
        <v>8646</v>
      </c>
      <c r="B3713" s="21" t="s">
        <v>8647</v>
      </c>
      <c r="C3713" s="21" t="s">
        <v>22682</v>
      </c>
      <c r="D3713" s="22">
        <v>46034</v>
      </c>
      <c r="E3713" s="23" t="s">
        <v>22658</v>
      </c>
      <c r="F3713" s="24" t="s">
        <v>22657</v>
      </c>
      <c r="G3713" s="25">
        <v>4</v>
      </c>
      <c r="H3713" s="29"/>
      <c r="I3713" s="30"/>
    </row>
    <row r="3714" spans="1:9" ht="15.75" thickBot="1" x14ac:dyDescent="0.3">
      <c r="A3714" s="43" t="s">
        <v>8648</v>
      </c>
      <c r="B3714" s="21" t="s">
        <v>8649</v>
      </c>
      <c r="C3714" s="21" t="s">
        <v>22655</v>
      </c>
      <c r="D3714" s="22">
        <v>46042</v>
      </c>
      <c r="E3714" s="23" t="s">
        <v>22656</v>
      </c>
      <c r="F3714" s="24" t="s">
        <v>22657</v>
      </c>
      <c r="G3714" s="25">
        <v>4</v>
      </c>
      <c r="H3714" s="34">
        <v>4</v>
      </c>
      <c r="I3714" s="35">
        <v>6</v>
      </c>
    </row>
    <row r="3715" spans="1:9" ht="15.75" thickBot="1" x14ac:dyDescent="0.3">
      <c r="A3715" s="43" t="s">
        <v>8650</v>
      </c>
      <c r="B3715" s="21" t="s">
        <v>8651</v>
      </c>
      <c r="C3715" s="21" t="s">
        <v>22690</v>
      </c>
      <c r="D3715" s="31" t="s">
        <v>22803</v>
      </c>
      <c r="E3715" s="23" t="s">
        <v>22661</v>
      </c>
      <c r="F3715" s="24" t="s">
        <v>22657</v>
      </c>
      <c r="G3715" s="25">
        <v>17</v>
      </c>
      <c r="H3715" s="29"/>
      <c r="I3715" s="30"/>
    </row>
    <row r="3716" spans="1:9" ht="15.75" thickBot="1" x14ac:dyDescent="0.3">
      <c r="A3716" s="43" t="s">
        <v>8652</v>
      </c>
      <c r="B3716" s="21" t="s">
        <v>8653</v>
      </c>
      <c r="C3716" s="21" t="s">
        <v>22682</v>
      </c>
      <c r="D3716" s="22">
        <v>46034</v>
      </c>
      <c r="E3716" s="23" t="s">
        <v>22656</v>
      </c>
      <c r="F3716" s="24" t="s">
        <v>22657</v>
      </c>
      <c r="G3716" s="25">
        <v>4</v>
      </c>
      <c r="H3716" s="26"/>
      <c r="I3716" s="27"/>
    </row>
    <row r="3717" spans="1:9" ht="15.75" thickBot="1" x14ac:dyDescent="0.3">
      <c r="A3717" s="43" t="s">
        <v>8654</v>
      </c>
      <c r="B3717" s="21" t="s">
        <v>8655</v>
      </c>
      <c r="C3717" s="21" t="s">
        <v>22682</v>
      </c>
      <c r="D3717" s="22">
        <v>46034</v>
      </c>
      <c r="E3717" s="23" t="s">
        <v>22656</v>
      </c>
      <c r="F3717" s="24" t="s">
        <v>22657</v>
      </c>
      <c r="G3717" s="25">
        <v>4</v>
      </c>
      <c r="H3717" s="29"/>
      <c r="I3717" s="30"/>
    </row>
    <row r="3718" spans="1:9" ht="15.75" thickBot="1" x14ac:dyDescent="0.3">
      <c r="A3718" s="43" t="s">
        <v>8656</v>
      </c>
      <c r="B3718" s="21" t="s">
        <v>8657</v>
      </c>
      <c r="C3718" s="21" t="s">
        <v>22682</v>
      </c>
      <c r="D3718" s="22">
        <v>46034</v>
      </c>
      <c r="E3718" s="23" t="s">
        <v>22656</v>
      </c>
      <c r="F3718" s="24" t="s">
        <v>22657</v>
      </c>
      <c r="G3718" s="25">
        <v>4</v>
      </c>
      <c r="H3718" s="26"/>
      <c r="I3718" s="27"/>
    </row>
    <row r="3719" spans="1:9" ht="15.75" thickBot="1" x14ac:dyDescent="0.3">
      <c r="A3719" s="43" t="s">
        <v>8658</v>
      </c>
      <c r="B3719" s="21" t="s">
        <v>8659</v>
      </c>
      <c r="C3719" s="21" t="s">
        <v>22682</v>
      </c>
      <c r="D3719" s="22">
        <v>46034</v>
      </c>
      <c r="E3719" s="23" t="s">
        <v>22656</v>
      </c>
      <c r="F3719" s="24" t="s">
        <v>22657</v>
      </c>
      <c r="G3719" s="25">
        <v>4</v>
      </c>
      <c r="H3719" s="29"/>
      <c r="I3719" s="30"/>
    </row>
    <row r="3720" spans="1:9" ht="15.75" thickBot="1" x14ac:dyDescent="0.3">
      <c r="A3720" s="43" t="s">
        <v>8660</v>
      </c>
      <c r="B3720" s="21" t="s">
        <v>8661</v>
      </c>
      <c r="C3720" s="21" t="s">
        <v>22655</v>
      </c>
      <c r="D3720" s="22">
        <v>46026</v>
      </c>
      <c r="E3720" s="23" t="s">
        <v>22658</v>
      </c>
      <c r="F3720" s="24" t="s">
        <v>22657</v>
      </c>
      <c r="G3720" s="25">
        <v>1</v>
      </c>
      <c r="H3720" s="26"/>
      <c r="I3720" s="27"/>
    </row>
    <row r="3721" spans="1:9" ht="15.75" thickBot="1" x14ac:dyDescent="0.3">
      <c r="A3721" s="43" t="s">
        <v>8662</v>
      </c>
      <c r="B3721" s="21" t="s">
        <v>8663</v>
      </c>
      <c r="C3721" s="21" t="s">
        <v>22694</v>
      </c>
      <c r="D3721" s="22">
        <v>46042</v>
      </c>
      <c r="E3721" s="23" t="s">
        <v>22656</v>
      </c>
      <c r="F3721" s="24" t="s">
        <v>22657</v>
      </c>
      <c r="G3721" s="25">
        <v>7</v>
      </c>
      <c r="H3721" s="29"/>
      <c r="I3721" s="30"/>
    </row>
    <row r="3722" spans="1:9" ht="15.75" thickBot="1" x14ac:dyDescent="0.3">
      <c r="A3722" s="43" t="s">
        <v>8664</v>
      </c>
      <c r="B3722" s="21" t="s">
        <v>8665</v>
      </c>
      <c r="C3722" s="21" t="s">
        <v>22690</v>
      </c>
      <c r="D3722" s="31" t="s">
        <v>22730</v>
      </c>
      <c r="E3722" s="23" t="s">
        <v>22661</v>
      </c>
      <c r="F3722" s="24" t="s">
        <v>22657</v>
      </c>
      <c r="G3722" s="25">
        <v>10</v>
      </c>
      <c r="H3722" s="26"/>
      <c r="I3722" s="27"/>
    </row>
    <row r="3723" spans="1:9" ht="15.75" thickBot="1" x14ac:dyDescent="0.3">
      <c r="A3723" s="43" t="s">
        <v>8666</v>
      </c>
      <c r="B3723" s="21" t="s">
        <v>8667</v>
      </c>
      <c r="C3723" s="21" t="s">
        <v>22690</v>
      </c>
      <c r="D3723" s="31" t="s">
        <v>22730</v>
      </c>
      <c r="E3723" s="23" t="s">
        <v>22656</v>
      </c>
      <c r="F3723" s="24" t="s">
        <v>22657</v>
      </c>
      <c r="G3723" s="25">
        <v>7</v>
      </c>
      <c r="H3723" s="29"/>
      <c r="I3723" s="30"/>
    </row>
    <row r="3724" spans="1:9" ht="15.75" thickBot="1" x14ac:dyDescent="0.3">
      <c r="A3724" s="43" t="s">
        <v>8668</v>
      </c>
      <c r="B3724" s="21" t="s">
        <v>8669</v>
      </c>
      <c r="C3724" s="21" t="s">
        <v>22690</v>
      </c>
      <c r="D3724" s="31" t="s">
        <v>22730</v>
      </c>
      <c r="E3724" s="23" t="s">
        <v>22661</v>
      </c>
      <c r="F3724" s="24" t="s">
        <v>22657</v>
      </c>
      <c r="G3724" s="25">
        <v>6</v>
      </c>
      <c r="H3724" s="26"/>
      <c r="I3724" s="27"/>
    </row>
    <row r="3725" spans="1:9" ht="15.75" thickBot="1" x14ac:dyDescent="0.3">
      <c r="A3725" s="43" t="s">
        <v>8670</v>
      </c>
      <c r="B3725" s="21" t="s">
        <v>8671</v>
      </c>
      <c r="C3725" s="21" t="s">
        <v>22686</v>
      </c>
      <c r="D3725" s="31" t="s">
        <v>22713</v>
      </c>
      <c r="E3725" s="23" t="s">
        <v>22661</v>
      </c>
      <c r="F3725" s="24" t="s">
        <v>22657</v>
      </c>
      <c r="G3725" s="25">
        <v>13</v>
      </c>
      <c r="H3725" s="29"/>
      <c r="I3725" s="30"/>
    </row>
    <row r="3726" spans="1:9" ht="15.75" thickBot="1" x14ac:dyDescent="0.3">
      <c r="A3726" s="43" t="s">
        <v>8672</v>
      </c>
      <c r="B3726" s="21" t="s">
        <v>8673</v>
      </c>
      <c r="C3726" s="21" t="s">
        <v>22686</v>
      </c>
      <c r="D3726" s="31" t="s">
        <v>22713</v>
      </c>
      <c r="E3726" s="23" t="s">
        <v>22656</v>
      </c>
      <c r="F3726" s="24" t="s">
        <v>22657</v>
      </c>
      <c r="G3726" s="25">
        <v>4</v>
      </c>
      <c r="H3726" s="26"/>
      <c r="I3726" s="27"/>
    </row>
    <row r="3727" spans="1:9" ht="15.75" thickBot="1" x14ac:dyDescent="0.3">
      <c r="A3727" s="43" t="s">
        <v>8674</v>
      </c>
      <c r="B3727" s="21" t="s">
        <v>8675</v>
      </c>
      <c r="C3727" s="21" t="s">
        <v>22686</v>
      </c>
      <c r="D3727" s="31" t="s">
        <v>22713</v>
      </c>
      <c r="E3727" s="23" t="s">
        <v>22656</v>
      </c>
      <c r="F3727" s="24" t="s">
        <v>22657</v>
      </c>
      <c r="G3727" s="25">
        <v>4</v>
      </c>
      <c r="H3727" s="29"/>
      <c r="I3727" s="30"/>
    </row>
    <row r="3728" spans="1:9" ht="15.75" thickBot="1" x14ac:dyDescent="0.3">
      <c r="A3728" s="43" t="s">
        <v>8676</v>
      </c>
      <c r="B3728" s="21" t="s">
        <v>8677</v>
      </c>
      <c r="C3728" s="21" t="s">
        <v>22686</v>
      </c>
      <c r="D3728" s="31" t="s">
        <v>22713</v>
      </c>
      <c r="E3728" s="23" t="s">
        <v>22656</v>
      </c>
      <c r="F3728" s="24" t="s">
        <v>22657</v>
      </c>
      <c r="G3728" s="25">
        <v>4</v>
      </c>
      <c r="H3728" s="26"/>
      <c r="I3728" s="27"/>
    </row>
    <row r="3729" spans="1:9" ht="15.75" thickBot="1" x14ac:dyDescent="0.3">
      <c r="A3729" s="43" t="s">
        <v>8678</v>
      </c>
      <c r="B3729" s="21" t="s">
        <v>8679</v>
      </c>
      <c r="C3729" s="21" t="s">
        <v>22686</v>
      </c>
      <c r="D3729" s="31" t="s">
        <v>22713</v>
      </c>
      <c r="E3729" s="23" t="s">
        <v>22656</v>
      </c>
      <c r="F3729" s="24" t="s">
        <v>22657</v>
      </c>
      <c r="G3729" s="25">
        <v>4</v>
      </c>
      <c r="H3729" s="29"/>
      <c r="I3729" s="30"/>
    </row>
    <row r="3730" spans="1:9" ht="15.75" thickBot="1" x14ac:dyDescent="0.3">
      <c r="A3730" s="43" t="s">
        <v>8680</v>
      </c>
      <c r="B3730" s="21" t="s">
        <v>8681</v>
      </c>
      <c r="C3730" s="21" t="s">
        <v>22686</v>
      </c>
      <c r="D3730" s="31" t="s">
        <v>22713</v>
      </c>
      <c r="E3730" s="23" t="s">
        <v>22656</v>
      </c>
      <c r="F3730" s="24" t="s">
        <v>22657</v>
      </c>
      <c r="G3730" s="25">
        <v>4</v>
      </c>
      <c r="H3730" s="26"/>
      <c r="I3730" s="27"/>
    </row>
    <row r="3731" spans="1:9" ht="15.75" thickBot="1" x14ac:dyDescent="0.3">
      <c r="A3731" s="43" t="s">
        <v>8682</v>
      </c>
      <c r="B3731" s="21" t="s">
        <v>8683</v>
      </c>
      <c r="C3731" s="21" t="s">
        <v>22694</v>
      </c>
      <c r="D3731" s="22">
        <v>46046</v>
      </c>
      <c r="E3731" s="23" t="s">
        <v>22656</v>
      </c>
      <c r="F3731" s="24" t="s">
        <v>22657</v>
      </c>
      <c r="G3731" s="25">
        <v>8</v>
      </c>
      <c r="H3731" s="29"/>
      <c r="I3731" s="30"/>
    </row>
    <row r="3732" spans="1:9" ht="15.75" thickBot="1" x14ac:dyDescent="0.3">
      <c r="A3732" s="43" t="s">
        <v>8684</v>
      </c>
      <c r="B3732" s="21" t="s">
        <v>8685</v>
      </c>
      <c r="C3732" s="21" t="s">
        <v>22655</v>
      </c>
      <c r="D3732" s="22">
        <v>46046</v>
      </c>
      <c r="E3732" s="23" t="s">
        <v>22656</v>
      </c>
      <c r="F3732" s="24" t="s">
        <v>22657</v>
      </c>
      <c r="G3732" s="25">
        <v>8</v>
      </c>
      <c r="H3732" s="26"/>
      <c r="I3732" s="27"/>
    </row>
    <row r="3733" spans="1:9" ht="15.75" thickBot="1" x14ac:dyDescent="0.3">
      <c r="A3733" s="43" t="s">
        <v>8686</v>
      </c>
      <c r="B3733" s="21" t="s">
        <v>8687</v>
      </c>
      <c r="C3733" s="21" t="s">
        <v>22655</v>
      </c>
      <c r="D3733" s="22">
        <v>46046</v>
      </c>
      <c r="E3733" s="23" t="s">
        <v>22656</v>
      </c>
      <c r="F3733" s="24" t="s">
        <v>22657</v>
      </c>
      <c r="G3733" s="25">
        <v>8</v>
      </c>
      <c r="H3733" s="29"/>
      <c r="I3733" s="30"/>
    </row>
    <row r="3734" spans="1:9" ht="15.75" thickBot="1" x14ac:dyDescent="0.3">
      <c r="A3734" s="43" t="s">
        <v>8688</v>
      </c>
      <c r="B3734" s="21" t="s">
        <v>8689</v>
      </c>
      <c r="C3734" s="21" t="s">
        <v>22804</v>
      </c>
      <c r="D3734" s="22">
        <v>46032</v>
      </c>
      <c r="E3734" s="23" t="s">
        <v>22656</v>
      </c>
      <c r="F3734" s="24" t="s">
        <v>22657</v>
      </c>
      <c r="G3734" s="25">
        <v>4</v>
      </c>
      <c r="H3734" s="26"/>
      <c r="I3734" s="27"/>
    </row>
    <row r="3735" spans="1:9" ht="15.75" thickBot="1" x14ac:dyDescent="0.3">
      <c r="A3735" s="43" t="s">
        <v>8690</v>
      </c>
      <c r="B3735" s="21" t="s">
        <v>8691</v>
      </c>
      <c r="C3735" s="21" t="s">
        <v>22804</v>
      </c>
      <c r="D3735" s="22">
        <v>46032</v>
      </c>
      <c r="E3735" s="23" t="s">
        <v>22656</v>
      </c>
      <c r="F3735" s="24" t="s">
        <v>22657</v>
      </c>
      <c r="G3735" s="25">
        <v>4</v>
      </c>
      <c r="H3735" s="29"/>
      <c r="I3735" s="30"/>
    </row>
    <row r="3736" spans="1:9" ht="15.75" thickBot="1" x14ac:dyDescent="0.3">
      <c r="A3736" s="43" t="s">
        <v>8692</v>
      </c>
      <c r="B3736" s="21" t="s">
        <v>8693</v>
      </c>
      <c r="C3736" s="21" t="s">
        <v>22655</v>
      </c>
      <c r="D3736" s="22">
        <v>46046</v>
      </c>
      <c r="E3736" s="23" t="s">
        <v>22656</v>
      </c>
      <c r="F3736" s="24" t="s">
        <v>22657</v>
      </c>
      <c r="G3736" s="25">
        <v>8</v>
      </c>
      <c r="H3736" s="26"/>
      <c r="I3736" s="27"/>
    </row>
    <row r="3737" spans="1:9" ht="15.75" thickBot="1" x14ac:dyDescent="0.3">
      <c r="A3737" s="43" t="s">
        <v>8694</v>
      </c>
      <c r="B3737" s="21" t="s">
        <v>8695</v>
      </c>
      <c r="C3737" s="21" t="s">
        <v>22655</v>
      </c>
      <c r="D3737" s="22">
        <v>46046</v>
      </c>
      <c r="E3737" s="23" t="s">
        <v>22656</v>
      </c>
      <c r="F3737" s="24" t="s">
        <v>22657</v>
      </c>
      <c r="G3737" s="25">
        <v>2</v>
      </c>
      <c r="H3737" s="29"/>
      <c r="I3737" s="30"/>
    </row>
    <row r="3738" spans="1:9" ht="15.75" thickBot="1" x14ac:dyDescent="0.3">
      <c r="A3738" s="43" t="s">
        <v>8696</v>
      </c>
      <c r="B3738" s="21" t="s">
        <v>8697</v>
      </c>
      <c r="C3738" s="21" t="s">
        <v>22655</v>
      </c>
      <c r="D3738" s="22">
        <v>46032</v>
      </c>
      <c r="E3738" s="23" t="s">
        <v>22656</v>
      </c>
      <c r="F3738" s="24" t="s">
        <v>22657</v>
      </c>
      <c r="G3738" s="25">
        <v>4</v>
      </c>
      <c r="H3738" s="26"/>
      <c r="I3738" s="27"/>
    </row>
    <row r="3739" spans="1:9" ht="15.75" thickBot="1" x14ac:dyDescent="0.3">
      <c r="A3739" s="43" t="s">
        <v>8698</v>
      </c>
      <c r="B3739" s="21" t="s">
        <v>8699</v>
      </c>
      <c r="C3739" s="21" t="s">
        <v>22655</v>
      </c>
      <c r="D3739" s="22">
        <v>46046</v>
      </c>
      <c r="E3739" s="23" t="s">
        <v>22656</v>
      </c>
      <c r="F3739" s="24" t="s">
        <v>22657</v>
      </c>
      <c r="G3739" s="25">
        <v>4</v>
      </c>
      <c r="H3739" s="29"/>
      <c r="I3739" s="30"/>
    </row>
    <row r="3740" spans="1:9" ht="15.75" thickBot="1" x14ac:dyDescent="0.3">
      <c r="A3740" s="43" t="s">
        <v>8700</v>
      </c>
      <c r="B3740" s="21" t="s">
        <v>8701</v>
      </c>
      <c r="C3740" s="21" t="s">
        <v>22655</v>
      </c>
      <c r="D3740" s="22">
        <v>46046</v>
      </c>
      <c r="E3740" s="23" t="s">
        <v>22656</v>
      </c>
      <c r="F3740" s="24" t="s">
        <v>22657</v>
      </c>
      <c r="G3740" s="25">
        <v>8</v>
      </c>
      <c r="H3740" s="26"/>
      <c r="I3740" s="27"/>
    </row>
    <row r="3741" spans="1:9" ht="15.75" thickBot="1" x14ac:dyDescent="0.3">
      <c r="A3741" s="43" t="s">
        <v>8702</v>
      </c>
      <c r="B3741" s="21" t="s">
        <v>8703</v>
      </c>
      <c r="C3741" s="21" t="s">
        <v>22655</v>
      </c>
      <c r="D3741" s="22">
        <v>46046</v>
      </c>
      <c r="E3741" s="23" t="s">
        <v>22656</v>
      </c>
      <c r="F3741" s="24" t="s">
        <v>22657</v>
      </c>
      <c r="G3741" s="25">
        <v>8</v>
      </c>
      <c r="H3741" s="29"/>
      <c r="I3741" s="30"/>
    </row>
    <row r="3742" spans="1:9" ht="15.75" thickBot="1" x14ac:dyDescent="0.3">
      <c r="A3742" s="43" t="s">
        <v>8704</v>
      </c>
      <c r="B3742" s="21" t="s">
        <v>8705</v>
      </c>
      <c r="C3742" s="21" t="s">
        <v>22655</v>
      </c>
      <c r="D3742" s="22">
        <v>46046</v>
      </c>
      <c r="E3742" s="23" t="s">
        <v>22656</v>
      </c>
      <c r="F3742" s="24" t="s">
        <v>22657</v>
      </c>
      <c r="G3742" s="25">
        <v>8</v>
      </c>
      <c r="H3742" s="26"/>
      <c r="I3742" s="27"/>
    </row>
    <row r="3743" spans="1:9" ht="15.75" thickBot="1" x14ac:dyDescent="0.3">
      <c r="A3743" s="43" t="s">
        <v>8706</v>
      </c>
      <c r="B3743" s="21" t="s">
        <v>8707</v>
      </c>
      <c r="C3743" s="21" t="s">
        <v>22655</v>
      </c>
      <c r="D3743" s="22">
        <v>46046</v>
      </c>
      <c r="E3743" s="23" t="s">
        <v>22656</v>
      </c>
      <c r="F3743" s="24" t="s">
        <v>22657</v>
      </c>
      <c r="G3743" s="25">
        <v>8</v>
      </c>
      <c r="H3743" s="29"/>
      <c r="I3743" s="30"/>
    </row>
    <row r="3744" spans="1:9" ht="15.75" thickBot="1" x14ac:dyDescent="0.3">
      <c r="A3744" s="43" t="s">
        <v>8708</v>
      </c>
      <c r="B3744" s="21" t="s">
        <v>8709</v>
      </c>
      <c r="C3744" s="21" t="s">
        <v>22655</v>
      </c>
      <c r="D3744" s="22">
        <v>46046</v>
      </c>
      <c r="E3744" s="23" t="s">
        <v>22656</v>
      </c>
      <c r="F3744" s="24" t="s">
        <v>22657</v>
      </c>
      <c r="G3744" s="25">
        <v>8</v>
      </c>
      <c r="H3744" s="26"/>
      <c r="I3744" s="27"/>
    </row>
    <row r="3745" spans="1:9" ht="15.75" thickBot="1" x14ac:dyDescent="0.3">
      <c r="A3745" s="43" t="s">
        <v>8710</v>
      </c>
      <c r="B3745" s="21" t="s">
        <v>8711</v>
      </c>
      <c r="C3745" s="21" t="s">
        <v>22655</v>
      </c>
      <c r="D3745" s="22">
        <v>46042</v>
      </c>
      <c r="E3745" s="23" t="s">
        <v>22656</v>
      </c>
      <c r="F3745" s="24" t="s">
        <v>22657</v>
      </c>
      <c r="G3745" s="25">
        <v>7</v>
      </c>
      <c r="H3745" s="29"/>
      <c r="I3745" s="30"/>
    </row>
    <row r="3746" spans="1:9" ht="15.75" thickBot="1" x14ac:dyDescent="0.3">
      <c r="A3746" s="43" t="s">
        <v>8712</v>
      </c>
      <c r="B3746" s="21" t="s">
        <v>8713</v>
      </c>
      <c r="C3746" s="21" t="s">
        <v>22655</v>
      </c>
      <c r="D3746" s="22">
        <v>46034</v>
      </c>
      <c r="E3746" s="23" t="s">
        <v>22658</v>
      </c>
      <c r="F3746" s="24" t="s">
        <v>22657</v>
      </c>
      <c r="G3746" s="25">
        <v>4</v>
      </c>
      <c r="H3746" s="26"/>
      <c r="I3746" s="27"/>
    </row>
    <row r="3747" spans="1:9" ht="15.75" thickBot="1" x14ac:dyDescent="0.3">
      <c r="A3747" s="43" t="s">
        <v>8714</v>
      </c>
      <c r="B3747" s="21" t="s">
        <v>8715</v>
      </c>
      <c r="C3747" s="21" t="s">
        <v>22655</v>
      </c>
      <c r="D3747" s="22">
        <v>46034</v>
      </c>
      <c r="E3747" s="23" t="s">
        <v>22661</v>
      </c>
      <c r="F3747" s="24" t="s">
        <v>22657</v>
      </c>
      <c r="G3747" s="25">
        <v>8</v>
      </c>
      <c r="H3747" s="32">
        <v>8</v>
      </c>
      <c r="I3747" s="33">
        <v>16</v>
      </c>
    </row>
    <row r="3748" spans="1:9" ht="15.75" thickBot="1" x14ac:dyDescent="0.3">
      <c r="A3748" s="43" t="s">
        <v>8716</v>
      </c>
      <c r="B3748" s="21" t="s">
        <v>8717</v>
      </c>
      <c r="C3748" s="21" t="s">
        <v>22682</v>
      </c>
      <c r="D3748" s="22">
        <v>46034</v>
      </c>
      <c r="E3748" s="23" t="s">
        <v>22658</v>
      </c>
      <c r="F3748" s="24" t="s">
        <v>22657</v>
      </c>
      <c r="G3748" s="25">
        <v>4</v>
      </c>
      <c r="H3748" s="26"/>
      <c r="I3748" s="27"/>
    </row>
    <row r="3749" spans="1:9" ht="15.75" thickBot="1" x14ac:dyDescent="0.3">
      <c r="A3749" s="43" t="s">
        <v>8718</v>
      </c>
      <c r="B3749" s="21" t="s">
        <v>8719</v>
      </c>
      <c r="C3749" s="21" t="s">
        <v>22682</v>
      </c>
      <c r="D3749" s="22">
        <v>46034</v>
      </c>
      <c r="E3749" s="23" t="s">
        <v>22656</v>
      </c>
      <c r="F3749" s="24" t="s">
        <v>22657</v>
      </c>
      <c r="G3749" s="25">
        <v>4</v>
      </c>
      <c r="H3749" s="29"/>
      <c r="I3749" s="30"/>
    </row>
    <row r="3750" spans="1:9" ht="15.75" thickBot="1" x14ac:dyDescent="0.3">
      <c r="A3750" s="43" t="s">
        <v>8720</v>
      </c>
      <c r="B3750" s="21" t="s">
        <v>8721</v>
      </c>
      <c r="C3750" s="21" t="s">
        <v>22655</v>
      </c>
      <c r="D3750" s="22">
        <v>46028</v>
      </c>
      <c r="E3750" s="23" t="s">
        <v>22656</v>
      </c>
      <c r="F3750" s="24" t="s">
        <v>22657</v>
      </c>
      <c r="G3750" s="25">
        <v>2</v>
      </c>
      <c r="H3750" s="26"/>
      <c r="I3750" s="27"/>
    </row>
    <row r="3751" spans="1:9" ht="15.75" thickBot="1" x14ac:dyDescent="0.3">
      <c r="A3751" s="43" t="s">
        <v>8722</v>
      </c>
      <c r="B3751" s="21" t="s">
        <v>8723</v>
      </c>
      <c r="C3751" s="21" t="s">
        <v>22712</v>
      </c>
      <c r="D3751" s="22">
        <v>46032</v>
      </c>
      <c r="E3751" s="23" t="s">
        <v>22656</v>
      </c>
      <c r="F3751" s="24" t="s">
        <v>22657</v>
      </c>
      <c r="G3751" s="25">
        <v>4</v>
      </c>
      <c r="H3751" s="29"/>
      <c r="I3751" s="30"/>
    </row>
    <row r="3752" spans="1:9" ht="15.75" thickBot="1" x14ac:dyDescent="0.3">
      <c r="A3752" s="43" t="s">
        <v>8724</v>
      </c>
      <c r="B3752" s="21" t="s">
        <v>8725</v>
      </c>
      <c r="C3752" s="21" t="s">
        <v>22655</v>
      </c>
      <c r="D3752" s="22">
        <v>46028</v>
      </c>
      <c r="E3752" s="23" t="s">
        <v>22656</v>
      </c>
      <c r="F3752" s="24" t="s">
        <v>22657</v>
      </c>
      <c r="G3752" s="25">
        <v>2</v>
      </c>
      <c r="H3752" s="26"/>
      <c r="I3752" s="27"/>
    </row>
    <row r="3753" spans="1:9" ht="15.75" thickBot="1" x14ac:dyDescent="0.3">
      <c r="A3753" s="43" t="s">
        <v>8726</v>
      </c>
      <c r="B3753" s="21" t="s">
        <v>8727</v>
      </c>
      <c r="C3753" s="21" t="s">
        <v>22655</v>
      </c>
      <c r="D3753" s="22">
        <v>46034</v>
      </c>
      <c r="E3753" s="23" t="s">
        <v>22656</v>
      </c>
      <c r="F3753" s="24" t="s">
        <v>22657</v>
      </c>
      <c r="G3753" s="25">
        <v>7</v>
      </c>
      <c r="H3753" s="29"/>
      <c r="I3753" s="30"/>
    </row>
    <row r="3754" spans="1:9" ht="15.75" thickBot="1" x14ac:dyDescent="0.3">
      <c r="A3754" s="43" t="s">
        <v>8728</v>
      </c>
      <c r="B3754" s="21" t="s">
        <v>8729</v>
      </c>
      <c r="C3754" s="21" t="s">
        <v>22655</v>
      </c>
      <c r="D3754" s="22">
        <v>46034</v>
      </c>
      <c r="E3754" s="23" t="s">
        <v>22656</v>
      </c>
      <c r="F3754" s="24" t="s">
        <v>22657</v>
      </c>
      <c r="G3754" s="25">
        <v>4</v>
      </c>
      <c r="H3754" s="26"/>
      <c r="I3754" s="27"/>
    </row>
    <row r="3755" spans="1:9" ht="15.75" thickBot="1" x14ac:dyDescent="0.3">
      <c r="A3755" s="43" t="s">
        <v>8730</v>
      </c>
      <c r="B3755" s="21" t="s">
        <v>8731</v>
      </c>
      <c r="C3755" s="21" t="s">
        <v>22682</v>
      </c>
      <c r="D3755" s="22">
        <v>46034</v>
      </c>
      <c r="E3755" s="23" t="s">
        <v>22658</v>
      </c>
      <c r="F3755" s="24" t="s">
        <v>22657</v>
      </c>
      <c r="G3755" s="25">
        <v>4</v>
      </c>
      <c r="H3755" s="29"/>
      <c r="I3755" s="30"/>
    </row>
    <row r="3756" spans="1:9" ht="15.75" thickBot="1" x14ac:dyDescent="0.3">
      <c r="A3756" s="43" t="s">
        <v>8732</v>
      </c>
      <c r="B3756" s="21" t="s">
        <v>8733</v>
      </c>
      <c r="C3756" s="21" t="s">
        <v>22655</v>
      </c>
      <c r="D3756" s="22">
        <v>46027</v>
      </c>
      <c r="E3756" s="23" t="s">
        <v>22656</v>
      </c>
      <c r="F3756" s="24" t="s">
        <v>22657</v>
      </c>
      <c r="G3756" s="25">
        <v>2</v>
      </c>
      <c r="H3756" s="26"/>
      <c r="I3756" s="27"/>
    </row>
    <row r="3757" spans="1:9" ht="15.75" thickBot="1" x14ac:dyDescent="0.3">
      <c r="A3757" s="43" t="s">
        <v>8734</v>
      </c>
      <c r="B3757" s="21" t="s">
        <v>8735</v>
      </c>
      <c r="C3757" s="21" t="s">
        <v>22655</v>
      </c>
      <c r="D3757" s="22">
        <v>46047</v>
      </c>
      <c r="E3757" s="23" t="s">
        <v>22656</v>
      </c>
      <c r="F3757" s="24" t="s">
        <v>22657</v>
      </c>
      <c r="G3757" s="25">
        <v>2</v>
      </c>
      <c r="H3757" s="29"/>
      <c r="I3757" s="30"/>
    </row>
    <row r="3758" spans="1:9" ht="15.75" thickBot="1" x14ac:dyDescent="0.3">
      <c r="A3758" s="43" t="s">
        <v>8736</v>
      </c>
      <c r="B3758" s="21" t="s">
        <v>8737</v>
      </c>
      <c r="C3758" s="21" t="s">
        <v>22805</v>
      </c>
      <c r="D3758" s="31">
        <v>1</v>
      </c>
      <c r="E3758" s="23" t="s">
        <v>22656</v>
      </c>
      <c r="F3758" s="24" t="s">
        <v>22657</v>
      </c>
      <c r="G3758" s="25">
        <v>4</v>
      </c>
      <c r="H3758" s="26"/>
      <c r="I3758" s="27"/>
    </row>
    <row r="3759" spans="1:9" ht="15.75" thickBot="1" x14ac:dyDescent="0.3">
      <c r="A3759" s="43" t="s">
        <v>8738</v>
      </c>
      <c r="B3759" s="21" t="s">
        <v>8739</v>
      </c>
      <c r="C3759" s="21" t="s">
        <v>22655</v>
      </c>
      <c r="D3759" s="22">
        <v>46027</v>
      </c>
      <c r="E3759" s="23" t="s">
        <v>22656</v>
      </c>
      <c r="F3759" s="24" t="s">
        <v>22657</v>
      </c>
      <c r="G3759" s="25">
        <v>2</v>
      </c>
      <c r="H3759" s="29"/>
      <c r="I3759" s="30"/>
    </row>
    <row r="3760" spans="1:9" ht="15.75" thickBot="1" x14ac:dyDescent="0.3">
      <c r="A3760" s="43" t="s">
        <v>8740</v>
      </c>
      <c r="B3760" s="21" t="s">
        <v>8741</v>
      </c>
      <c r="C3760" s="21" t="s">
        <v>22798</v>
      </c>
      <c r="D3760" s="39">
        <v>37036</v>
      </c>
      <c r="E3760" s="23" t="s">
        <v>22658</v>
      </c>
      <c r="F3760" s="24" t="s">
        <v>22657</v>
      </c>
      <c r="G3760" s="25">
        <v>2</v>
      </c>
      <c r="H3760" s="26"/>
      <c r="I3760" s="27"/>
    </row>
    <row r="3761" spans="1:9" ht="15.75" thickBot="1" x14ac:dyDescent="0.3">
      <c r="A3761" s="43" t="s">
        <v>8742</v>
      </c>
      <c r="B3761" s="21" t="s">
        <v>8743</v>
      </c>
      <c r="C3761" s="21" t="s">
        <v>22655</v>
      </c>
      <c r="D3761" s="22">
        <v>46046</v>
      </c>
      <c r="E3761" s="23" t="s">
        <v>22656</v>
      </c>
      <c r="F3761" s="24" t="s">
        <v>22657</v>
      </c>
      <c r="G3761" s="25">
        <v>8</v>
      </c>
      <c r="H3761" s="29"/>
      <c r="I3761" s="30"/>
    </row>
    <row r="3762" spans="1:9" ht="15.75" thickBot="1" x14ac:dyDescent="0.3">
      <c r="A3762" s="43" t="s">
        <v>8744</v>
      </c>
      <c r="B3762" s="21" t="s">
        <v>8745</v>
      </c>
      <c r="C3762" s="21" t="s">
        <v>22655</v>
      </c>
      <c r="D3762" s="31" t="s">
        <v>22669</v>
      </c>
      <c r="E3762" s="23" t="s">
        <v>22656</v>
      </c>
      <c r="F3762" s="24" t="s">
        <v>22657</v>
      </c>
      <c r="G3762" s="25">
        <v>4</v>
      </c>
      <c r="H3762" s="26"/>
      <c r="I3762" s="27"/>
    </row>
    <row r="3763" spans="1:9" ht="15.75" thickBot="1" x14ac:dyDescent="0.3">
      <c r="A3763" s="43" t="s">
        <v>8746</v>
      </c>
      <c r="B3763" s="21" t="s">
        <v>8747</v>
      </c>
      <c r="C3763" s="21" t="s">
        <v>22655</v>
      </c>
      <c r="D3763" s="31" t="s">
        <v>22666</v>
      </c>
      <c r="E3763" s="23" t="s">
        <v>22656</v>
      </c>
      <c r="F3763" s="24" t="s">
        <v>22657</v>
      </c>
      <c r="G3763" s="25">
        <v>7</v>
      </c>
      <c r="H3763" s="29"/>
      <c r="I3763" s="30"/>
    </row>
    <row r="3764" spans="1:9" ht="15.75" thickBot="1" x14ac:dyDescent="0.3">
      <c r="A3764" s="43" t="s">
        <v>8748</v>
      </c>
      <c r="B3764" s="21" t="s">
        <v>8749</v>
      </c>
      <c r="C3764" s="21" t="s">
        <v>22655</v>
      </c>
      <c r="D3764" s="22">
        <v>46046</v>
      </c>
      <c r="E3764" s="23" t="s">
        <v>22656</v>
      </c>
      <c r="F3764" s="24" t="s">
        <v>22657</v>
      </c>
      <c r="G3764" s="25">
        <v>3</v>
      </c>
      <c r="H3764" s="26"/>
      <c r="I3764" s="27"/>
    </row>
    <row r="3765" spans="1:9" ht="15.75" thickBot="1" x14ac:dyDescent="0.3">
      <c r="A3765" s="43" t="s">
        <v>8750</v>
      </c>
      <c r="B3765" s="21" t="s">
        <v>8751</v>
      </c>
      <c r="C3765" s="21" t="s">
        <v>22655</v>
      </c>
      <c r="D3765" s="22">
        <v>46034</v>
      </c>
      <c r="E3765" s="23" t="s">
        <v>22656</v>
      </c>
      <c r="F3765" s="24" t="s">
        <v>22657</v>
      </c>
      <c r="G3765" s="25">
        <v>4</v>
      </c>
      <c r="H3765" s="29"/>
      <c r="I3765" s="30"/>
    </row>
    <row r="3766" spans="1:9" ht="15.75" thickBot="1" x14ac:dyDescent="0.3">
      <c r="A3766" s="43" t="s">
        <v>8752</v>
      </c>
      <c r="B3766" s="21" t="s">
        <v>8753</v>
      </c>
      <c r="C3766" s="21" t="s">
        <v>22655</v>
      </c>
      <c r="D3766" s="22">
        <v>46028</v>
      </c>
      <c r="E3766" s="23" t="s">
        <v>22661</v>
      </c>
      <c r="F3766" s="24" t="s">
        <v>22657</v>
      </c>
      <c r="G3766" s="25">
        <v>23</v>
      </c>
      <c r="H3766" s="26"/>
      <c r="I3766" s="27"/>
    </row>
    <row r="3767" spans="1:9" ht="15.75" thickBot="1" x14ac:dyDescent="0.3">
      <c r="A3767" s="43" t="s">
        <v>8754</v>
      </c>
      <c r="B3767" s="21" t="s">
        <v>8755</v>
      </c>
      <c r="C3767" s="21" t="s">
        <v>22655</v>
      </c>
      <c r="D3767" s="22">
        <v>46034</v>
      </c>
      <c r="E3767" s="23" t="s">
        <v>22656</v>
      </c>
      <c r="F3767" s="24" t="s">
        <v>22657</v>
      </c>
      <c r="G3767" s="25">
        <v>4</v>
      </c>
      <c r="H3767" s="29"/>
      <c r="I3767" s="30"/>
    </row>
    <row r="3768" spans="1:9" ht="15.75" thickBot="1" x14ac:dyDescent="0.3">
      <c r="A3768" s="43" t="s">
        <v>8756</v>
      </c>
      <c r="B3768" s="21" t="s">
        <v>8755</v>
      </c>
      <c r="C3768" s="21" t="s">
        <v>22655</v>
      </c>
      <c r="D3768" s="22">
        <v>46034</v>
      </c>
      <c r="E3768" s="23" t="s">
        <v>22656</v>
      </c>
      <c r="F3768" s="24" t="s">
        <v>22657</v>
      </c>
      <c r="G3768" s="25">
        <v>4</v>
      </c>
      <c r="H3768" s="26"/>
      <c r="I3768" s="27"/>
    </row>
    <row r="3769" spans="1:9" ht="15.75" thickBot="1" x14ac:dyDescent="0.3">
      <c r="A3769" s="43" t="s">
        <v>8757</v>
      </c>
      <c r="B3769" s="21" t="s">
        <v>8758</v>
      </c>
      <c r="C3769" s="21" t="s">
        <v>22655</v>
      </c>
      <c r="D3769" s="22">
        <v>46034</v>
      </c>
      <c r="E3769" s="23" t="s">
        <v>22656</v>
      </c>
      <c r="F3769" s="24" t="s">
        <v>22657</v>
      </c>
      <c r="G3769" s="25">
        <v>4</v>
      </c>
      <c r="H3769" s="29"/>
      <c r="I3769" s="30"/>
    </row>
    <row r="3770" spans="1:9" ht="15.75" thickBot="1" x14ac:dyDescent="0.3">
      <c r="A3770" s="43" t="s">
        <v>8761</v>
      </c>
      <c r="B3770" s="21" t="s">
        <v>8760</v>
      </c>
      <c r="C3770" s="21" t="s">
        <v>22655</v>
      </c>
      <c r="D3770" s="22">
        <v>46034</v>
      </c>
      <c r="E3770" s="23" t="s">
        <v>22658</v>
      </c>
      <c r="F3770" s="24" t="s">
        <v>22657</v>
      </c>
      <c r="G3770" s="25">
        <v>4</v>
      </c>
      <c r="H3770" s="26"/>
      <c r="I3770" s="27"/>
    </row>
    <row r="3771" spans="1:9" ht="15.75" thickBot="1" x14ac:dyDescent="0.3">
      <c r="A3771" s="43" t="s">
        <v>8759</v>
      </c>
      <c r="B3771" s="21" t="s">
        <v>8760</v>
      </c>
      <c r="C3771" s="21" t="s">
        <v>22655</v>
      </c>
      <c r="D3771" s="22">
        <v>46034</v>
      </c>
      <c r="E3771" s="23" t="s">
        <v>22656</v>
      </c>
      <c r="F3771" s="24" t="s">
        <v>22657</v>
      </c>
      <c r="G3771" s="25">
        <v>5</v>
      </c>
      <c r="H3771" s="29"/>
      <c r="I3771" s="30"/>
    </row>
    <row r="3772" spans="1:9" ht="15.75" thickBot="1" x14ac:dyDescent="0.3">
      <c r="A3772" s="43" t="s">
        <v>8762</v>
      </c>
      <c r="B3772" s="21" t="s">
        <v>8763</v>
      </c>
      <c r="C3772" s="21" t="s">
        <v>22655</v>
      </c>
      <c r="D3772" s="22">
        <v>46034</v>
      </c>
      <c r="E3772" s="23" t="s">
        <v>22656</v>
      </c>
      <c r="F3772" s="24" t="s">
        <v>22657</v>
      </c>
      <c r="G3772" s="25">
        <v>4</v>
      </c>
      <c r="H3772" s="26"/>
      <c r="I3772" s="27"/>
    </row>
    <row r="3773" spans="1:9" ht="15.75" thickBot="1" x14ac:dyDescent="0.3">
      <c r="A3773" s="43" t="s">
        <v>8764</v>
      </c>
      <c r="B3773" s="21" t="s">
        <v>8765</v>
      </c>
      <c r="C3773" s="21" t="s">
        <v>22655</v>
      </c>
      <c r="D3773" s="22">
        <v>46034</v>
      </c>
      <c r="E3773" s="23" t="s">
        <v>22656</v>
      </c>
      <c r="F3773" s="24" t="s">
        <v>22657</v>
      </c>
      <c r="G3773" s="25">
        <v>4</v>
      </c>
      <c r="H3773" s="29"/>
      <c r="I3773" s="30"/>
    </row>
    <row r="3774" spans="1:9" ht="15.75" thickBot="1" x14ac:dyDescent="0.3">
      <c r="A3774" s="43" t="s">
        <v>8766</v>
      </c>
      <c r="B3774" s="21" t="s">
        <v>8767</v>
      </c>
      <c r="C3774" s="21" t="s">
        <v>22655</v>
      </c>
      <c r="D3774" s="31" t="s">
        <v>22660</v>
      </c>
      <c r="E3774" s="23" t="s">
        <v>22656</v>
      </c>
      <c r="F3774" s="24" t="s">
        <v>22657</v>
      </c>
      <c r="G3774" s="25">
        <v>6</v>
      </c>
      <c r="H3774" s="26"/>
      <c r="I3774" s="27"/>
    </row>
    <row r="3775" spans="1:9" ht="15.75" thickBot="1" x14ac:dyDescent="0.3">
      <c r="A3775" s="43" t="s">
        <v>8768</v>
      </c>
      <c r="B3775" s="21" t="s">
        <v>8769</v>
      </c>
      <c r="C3775" s="21" t="s">
        <v>22655</v>
      </c>
      <c r="D3775" s="22">
        <v>46046</v>
      </c>
      <c r="E3775" s="23" t="s">
        <v>22656</v>
      </c>
      <c r="F3775" s="24" t="s">
        <v>22657</v>
      </c>
      <c r="G3775" s="25">
        <v>8</v>
      </c>
      <c r="H3775" s="29"/>
      <c r="I3775" s="30"/>
    </row>
    <row r="3776" spans="1:9" ht="15.75" thickBot="1" x14ac:dyDescent="0.3">
      <c r="A3776" s="43" t="s">
        <v>440</v>
      </c>
      <c r="B3776" s="21" t="s">
        <v>441</v>
      </c>
      <c r="C3776" s="21" t="s">
        <v>22663</v>
      </c>
      <c r="D3776" s="31">
        <v>1</v>
      </c>
      <c r="E3776" s="23" t="s">
        <v>22656</v>
      </c>
      <c r="F3776" s="24" t="s">
        <v>22657</v>
      </c>
      <c r="G3776" s="25">
        <v>3</v>
      </c>
      <c r="H3776" s="26"/>
      <c r="I3776" s="27"/>
    </row>
    <row r="3777" spans="1:9" ht="15.75" thickBot="1" x14ac:dyDescent="0.3">
      <c r="A3777" s="43" t="s">
        <v>1283</v>
      </c>
      <c r="B3777" s="21" t="s">
        <v>22531</v>
      </c>
      <c r="C3777" s="21" t="s">
        <v>22655</v>
      </c>
      <c r="D3777" s="22">
        <v>46034</v>
      </c>
      <c r="E3777" s="23" t="s">
        <v>22661</v>
      </c>
      <c r="F3777" s="24" t="s">
        <v>22657</v>
      </c>
      <c r="G3777" s="25">
        <v>19</v>
      </c>
      <c r="H3777" s="29"/>
      <c r="I3777" s="30"/>
    </row>
    <row r="3778" spans="1:9" ht="15.75" thickBot="1" x14ac:dyDescent="0.3">
      <c r="A3778" s="43" t="s">
        <v>8770</v>
      </c>
      <c r="B3778" s="21" t="s">
        <v>8771</v>
      </c>
      <c r="C3778" s="21" t="s">
        <v>22655</v>
      </c>
      <c r="D3778" s="22">
        <v>46042</v>
      </c>
      <c r="E3778" s="23" t="s">
        <v>22661</v>
      </c>
      <c r="F3778" s="24" t="s">
        <v>22657</v>
      </c>
      <c r="G3778" s="25">
        <v>22</v>
      </c>
      <c r="H3778" s="26"/>
      <c r="I3778" s="27"/>
    </row>
    <row r="3779" spans="1:9" ht="15.75" thickBot="1" x14ac:dyDescent="0.3">
      <c r="A3779" s="43" t="s">
        <v>8772</v>
      </c>
      <c r="B3779" s="21" t="s">
        <v>8773</v>
      </c>
      <c r="C3779" s="21" t="s">
        <v>22694</v>
      </c>
      <c r="D3779" s="22">
        <v>46046</v>
      </c>
      <c r="E3779" s="23" t="s">
        <v>22656</v>
      </c>
      <c r="F3779" s="24" t="s">
        <v>22657</v>
      </c>
      <c r="G3779" s="25">
        <v>11</v>
      </c>
      <c r="H3779" s="29"/>
      <c r="I3779" s="30"/>
    </row>
    <row r="3780" spans="1:9" ht="15.75" thickBot="1" x14ac:dyDescent="0.3">
      <c r="A3780" s="43" t="s">
        <v>8774</v>
      </c>
      <c r="B3780" s="21" t="s">
        <v>8775</v>
      </c>
      <c r="C3780" s="21" t="s">
        <v>22694</v>
      </c>
      <c r="D3780" s="22">
        <v>46046</v>
      </c>
      <c r="E3780" s="23" t="s">
        <v>22661</v>
      </c>
      <c r="F3780" s="24" t="s">
        <v>22657</v>
      </c>
      <c r="G3780" s="25">
        <v>8</v>
      </c>
      <c r="H3780" s="26"/>
      <c r="I3780" s="27"/>
    </row>
    <row r="3781" spans="1:9" ht="15.75" thickBot="1" x14ac:dyDescent="0.3">
      <c r="A3781" s="43" t="s">
        <v>8776</v>
      </c>
      <c r="B3781" s="21" t="s">
        <v>8777</v>
      </c>
      <c r="C3781" s="21" t="s">
        <v>22694</v>
      </c>
      <c r="D3781" s="22">
        <v>46046</v>
      </c>
      <c r="E3781" s="23" t="s">
        <v>22656</v>
      </c>
      <c r="F3781" s="24" t="s">
        <v>22657</v>
      </c>
      <c r="G3781" s="25">
        <v>8</v>
      </c>
      <c r="H3781" s="29"/>
      <c r="I3781" s="30"/>
    </row>
    <row r="3782" spans="1:9" ht="15.75" thickBot="1" x14ac:dyDescent="0.3">
      <c r="A3782" s="43" t="s">
        <v>8778</v>
      </c>
      <c r="B3782" s="21" t="s">
        <v>8779</v>
      </c>
      <c r="C3782" s="21" t="s">
        <v>22694</v>
      </c>
      <c r="D3782" s="22">
        <v>46046</v>
      </c>
      <c r="E3782" s="23" t="s">
        <v>22656</v>
      </c>
      <c r="F3782" s="24" t="s">
        <v>22657</v>
      </c>
      <c r="G3782" s="25">
        <v>8</v>
      </c>
      <c r="H3782" s="26"/>
      <c r="I3782" s="27"/>
    </row>
    <row r="3783" spans="1:9" ht="15.75" thickBot="1" x14ac:dyDescent="0.3">
      <c r="A3783" s="43" t="s">
        <v>8780</v>
      </c>
      <c r="B3783" s="21" t="s">
        <v>8781</v>
      </c>
      <c r="C3783" s="21" t="s">
        <v>22655</v>
      </c>
      <c r="D3783" s="31" t="s">
        <v>22660</v>
      </c>
      <c r="E3783" s="23" t="s">
        <v>22661</v>
      </c>
      <c r="F3783" s="24" t="s">
        <v>22657</v>
      </c>
      <c r="G3783" s="25">
        <v>6</v>
      </c>
      <c r="H3783" s="29"/>
      <c r="I3783" s="30"/>
    </row>
    <row r="3784" spans="1:9" ht="15.75" thickBot="1" x14ac:dyDescent="0.3">
      <c r="A3784" s="43" t="s">
        <v>8782</v>
      </c>
      <c r="B3784" s="21" t="s">
        <v>8783</v>
      </c>
      <c r="C3784" s="21" t="s">
        <v>22655</v>
      </c>
      <c r="D3784" s="22">
        <v>46032</v>
      </c>
      <c r="E3784" s="23" t="s">
        <v>22656</v>
      </c>
      <c r="F3784" s="24" t="s">
        <v>22657</v>
      </c>
      <c r="G3784" s="25">
        <v>4</v>
      </c>
      <c r="H3784" s="26"/>
      <c r="I3784" s="27"/>
    </row>
    <row r="3785" spans="1:9" ht="15.75" thickBot="1" x14ac:dyDescent="0.3">
      <c r="A3785" s="43" t="s">
        <v>8784</v>
      </c>
      <c r="B3785" s="21" t="s">
        <v>8785</v>
      </c>
      <c r="C3785" s="21" t="s">
        <v>22655</v>
      </c>
      <c r="D3785" s="22">
        <v>46046</v>
      </c>
      <c r="E3785" s="23" t="s">
        <v>22656</v>
      </c>
      <c r="F3785" s="24" t="s">
        <v>22657</v>
      </c>
      <c r="G3785" s="25">
        <v>8</v>
      </c>
      <c r="H3785" s="29"/>
      <c r="I3785" s="30"/>
    </row>
    <row r="3786" spans="1:9" ht="15.75" thickBot="1" x14ac:dyDescent="0.3">
      <c r="A3786" s="43" t="s">
        <v>8786</v>
      </c>
      <c r="B3786" s="21" t="s">
        <v>8787</v>
      </c>
      <c r="C3786" s="21" t="s">
        <v>22655</v>
      </c>
      <c r="D3786" s="31" t="s">
        <v>22660</v>
      </c>
      <c r="E3786" s="23" t="s">
        <v>22656</v>
      </c>
      <c r="F3786" s="24" t="s">
        <v>22657</v>
      </c>
      <c r="G3786" s="25">
        <v>4</v>
      </c>
      <c r="H3786" s="26"/>
      <c r="I3786" s="27"/>
    </row>
    <row r="3787" spans="1:9" ht="15.75" thickBot="1" x14ac:dyDescent="0.3">
      <c r="A3787" s="43" t="s">
        <v>8788</v>
      </c>
      <c r="B3787" s="21" t="s">
        <v>8789</v>
      </c>
      <c r="C3787" s="21" t="s">
        <v>22655</v>
      </c>
      <c r="D3787" s="31" t="s">
        <v>22660</v>
      </c>
      <c r="E3787" s="23" t="s">
        <v>22656</v>
      </c>
      <c r="F3787" s="24" t="s">
        <v>22657</v>
      </c>
      <c r="G3787" s="25">
        <v>4</v>
      </c>
      <c r="H3787" s="29"/>
      <c r="I3787" s="30"/>
    </row>
    <row r="3788" spans="1:9" ht="15.75" thickBot="1" x14ac:dyDescent="0.3">
      <c r="A3788" s="43" t="s">
        <v>8790</v>
      </c>
      <c r="B3788" s="21" t="s">
        <v>8791</v>
      </c>
      <c r="C3788" s="21" t="s">
        <v>22655</v>
      </c>
      <c r="D3788" s="22">
        <v>46046</v>
      </c>
      <c r="E3788" s="23" t="s">
        <v>22656</v>
      </c>
      <c r="F3788" s="24" t="s">
        <v>22657</v>
      </c>
      <c r="G3788" s="25">
        <v>3</v>
      </c>
      <c r="H3788" s="26"/>
      <c r="I3788" s="27"/>
    </row>
    <row r="3789" spans="1:9" ht="15.75" thickBot="1" x14ac:dyDescent="0.3">
      <c r="A3789" s="43" t="s">
        <v>8792</v>
      </c>
      <c r="B3789" s="21" t="s">
        <v>8793</v>
      </c>
      <c r="C3789" s="21" t="s">
        <v>22655</v>
      </c>
      <c r="D3789" s="22">
        <v>46046</v>
      </c>
      <c r="E3789" s="23" t="s">
        <v>22656</v>
      </c>
      <c r="F3789" s="24" t="s">
        <v>22657</v>
      </c>
      <c r="G3789" s="25">
        <v>3</v>
      </c>
      <c r="H3789" s="29"/>
      <c r="I3789" s="30"/>
    </row>
    <row r="3790" spans="1:9" ht="15.75" thickBot="1" x14ac:dyDescent="0.3">
      <c r="A3790" s="43" t="s">
        <v>8794</v>
      </c>
      <c r="B3790" s="21" t="s">
        <v>8795</v>
      </c>
      <c r="C3790" s="21" t="s">
        <v>22655</v>
      </c>
      <c r="D3790" s="31" t="s">
        <v>22660</v>
      </c>
      <c r="E3790" s="23" t="s">
        <v>22656</v>
      </c>
      <c r="F3790" s="24" t="s">
        <v>22657</v>
      </c>
      <c r="G3790" s="25">
        <v>6</v>
      </c>
      <c r="H3790" s="26"/>
      <c r="I3790" s="27"/>
    </row>
    <row r="3791" spans="1:9" ht="15.75" thickBot="1" x14ac:dyDescent="0.3">
      <c r="A3791" s="43" t="s">
        <v>8796</v>
      </c>
      <c r="B3791" s="21" t="s">
        <v>8797</v>
      </c>
      <c r="C3791" s="21" t="s">
        <v>22655</v>
      </c>
      <c r="D3791" s="22">
        <v>46032</v>
      </c>
      <c r="E3791" s="23" t="s">
        <v>22656</v>
      </c>
      <c r="F3791" s="24" t="s">
        <v>22657</v>
      </c>
      <c r="G3791" s="25">
        <v>4</v>
      </c>
      <c r="H3791" s="29"/>
      <c r="I3791" s="30"/>
    </row>
    <row r="3792" spans="1:9" ht="15.75" thickBot="1" x14ac:dyDescent="0.3">
      <c r="A3792" s="43" t="s">
        <v>8798</v>
      </c>
      <c r="B3792" s="21" t="s">
        <v>8799</v>
      </c>
      <c r="C3792" s="21" t="s">
        <v>22655</v>
      </c>
      <c r="D3792" s="22">
        <v>46046</v>
      </c>
      <c r="E3792" s="23" t="s">
        <v>22656</v>
      </c>
      <c r="F3792" s="24" t="s">
        <v>22657</v>
      </c>
      <c r="G3792" s="25">
        <v>3</v>
      </c>
      <c r="H3792" s="26"/>
      <c r="I3792" s="27"/>
    </row>
    <row r="3793" spans="1:9" ht="15.75" thickBot="1" x14ac:dyDescent="0.3">
      <c r="A3793" s="43" t="s">
        <v>8800</v>
      </c>
      <c r="B3793" s="21" t="s">
        <v>8801</v>
      </c>
      <c r="C3793" s="21" t="s">
        <v>22655</v>
      </c>
      <c r="D3793" s="31" t="s">
        <v>22660</v>
      </c>
      <c r="E3793" s="23" t="s">
        <v>22656</v>
      </c>
      <c r="F3793" s="24" t="s">
        <v>22657</v>
      </c>
      <c r="G3793" s="25">
        <v>6</v>
      </c>
      <c r="H3793" s="29"/>
      <c r="I3793" s="30"/>
    </row>
    <row r="3794" spans="1:9" ht="15.75" thickBot="1" x14ac:dyDescent="0.3">
      <c r="A3794" s="43" t="s">
        <v>8802</v>
      </c>
      <c r="B3794" s="21" t="s">
        <v>8803</v>
      </c>
      <c r="C3794" s="21" t="s">
        <v>22655</v>
      </c>
      <c r="D3794" s="22">
        <v>46034</v>
      </c>
      <c r="E3794" s="23" t="s">
        <v>22658</v>
      </c>
      <c r="F3794" s="24" t="s">
        <v>22657</v>
      </c>
      <c r="G3794" s="25">
        <v>32</v>
      </c>
      <c r="H3794" s="26"/>
      <c r="I3794" s="27"/>
    </row>
    <row r="3795" spans="1:9" ht="15.75" thickBot="1" x14ac:dyDescent="0.3">
      <c r="A3795" s="43" t="s">
        <v>621</v>
      </c>
      <c r="B3795" s="21" t="s">
        <v>622</v>
      </c>
      <c r="C3795" s="21" t="s">
        <v>22655</v>
      </c>
      <c r="D3795" s="22">
        <v>46034</v>
      </c>
      <c r="E3795" s="23" t="s">
        <v>22665</v>
      </c>
      <c r="F3795" s="24" t="s">
        <v>22657</v>
      </c>
      <c r="G3795" s="25">
        <v>360</v>
      </c>
      <c r="H3795" s="32">
        <v>360</v>
      </c>
      <c r="I3795" s="33">
        <v>600</v>
      </c>
    </row>
    <row r="3796" spans="1:9" ht="15.75" thickBot="1" x14ac:dyDescent="0.3">
      <c r="A3796" s="43" t="s">
        <v>8804</v>
      </c>
      <c r="B3796" s="21" t="s">
        <v>8805</v>
      </c>
      <c r="C3796" s="21" t="s">
        <v>22655</v>
      </c>
      <c r="D3796" s="31" t="s">
        <v>22660</v>
      </c>
      <c r="E3796" s="23" t="s">
        <v>22656</v>
      </c>
      <c r="F3796" s="24" t="s">
        <v>22657</v>
      </c>
      <c r="G3796" s="25">
        <v>8</v>
      </c>
      <c r="H3796" s="26"/>
      <c r="I3796" s="27"/>
    </row>
    <row r="3797" spans="1:9" ht="15.75" thickBot="1" x14ac:dyDescent="0.3">
      <c r="A3797" s="43" t="s">
        <v>8806</v>
      </c>
      <c r="B3797" s="21" t="s">
        <v>8807</v>
      </c>
      <c r="C3797" s="21" t="s">
        <v>22655</v>
      </c>
      <c r="D3797" s="22">
        <v>46046</v>
      </c>
      <c r="E3797" s="23" t="s">
        <v>22656</v>
      </c>
      <c r="F3797" s="24" t="s">
        <v>22657</v>
      </c>
      <c r="G3797" s="25">
        <v>8</v>
      </c>
      <c r="H3797" s="29"/>
      <c r="I3797" s="30"/>
    </row>
    <row r="3798" spans="1:9" ht="15.75" thickBot="1" x14ac:dyDescent="0.3">
      <c r="A3798" s="43" t="s">
        <v>8808</v>
      </c>
      <c r="B3798" s="21" t="s">
        <v>8809</v>
      </c>
      <c r="C3798" s="21" t="s">
        <v>22655</v>
      </c>
      <c r="D3798" s="22">
        <v>46042</v>
      </c>
      <c r="E3798" s="23" t="s">
        <v>22661</v>
      </c>
      <c r="F3798" s="24" t="s">
        <v>22657</v>
      </c>
      <c r="G3798" s="25">
        <v>7</v>
      </c>
      <c r="H3798" s="26"/>
      <c r="I3798" s="27"/>
    </row>
    <row r="3799" spans="1:9" ht="15.75" thickBot="1" x14ac:dyDescent="0.3">
      <c r="A3799" s="43" t="s">
        <v>8810</v>
      </c>
      <c r="B3799" s="21" t="s">
        <v>8811</v>
      </c>
      <c r="C3799" s="21" t="s">
        <v>22655</v>
      </c>
      <c r="D3799" s="31" t="s">
        <v>22660</v>
      </c>
      <c r="E3799" s="23" t="s">
        <v>22661</v>
      </c>
      <c r="F3799" s="24" t="s">
        <v>22657</v>
      </c>
      <c r="G3799" s="25">
        <v>8</v>
      </c>
      <c r="H3799" s="29"/>
      <c r="I3799" s="30"/>
    </row>
    <row r="3800" spans="1:9" ht="15.75" thickBot="1" x14ac:dyDescent="0.3">
      <c r="A3800" s="43" t="s">
        <v>585</v>
      </c>
      <c r="B3800" s="21" t="s">
        <v>586</v>
      </c>
      <c r="C3800" s="21" t="s">
        <v>22655</v>
      </c>
      <c r="D3800" s="22">
        <v>46046</v>
      </c>
      <c r="E3800" s="23" t="s">
        <v>22665</v>
      </c>
      <c r="F3800" s="24" t="s">
        <v>22657</v>
      </c>
      <c r="G3800" s="25">
        <v>48</v>
      </c>
      <c r="H3800" s="34">
        <v>48</v>
      </c>
      <c r="I3800" s="35">
        <v>72</v>
      </c>
    </row>
    <row r="3801" spans="1:9" ht="15.75" thickBot="1" x14ac:dyDescent="0.3">
      <c r="A3801" s="43" t="s">
        <v>8812</v>
      </c>
      <c r="B3801" s="21" t="s">
        <v>8813</v>
      </c>
      <c r="C3801" s="21" t="s">
        <v>22655</v>
      </c>
      <c r="D3801" s="22">
        <v>46042</v>
      </c>
      <c r="E3801" s="23" t="s">
        <v>22662</v>
      </c>
      <c r="F3801" s="24" t="s">
        <v>22657</v>
      </c>
      <c r="G3801" s="25">
        <v>24</v>
      </c>
      <c r="H3801" s="32">
        <v>24</v>
      </c>
      <c r="I3801" s="33">
        <v>48</v>
      </c>
    </row>
    <row r="3802" spans="1:9" ht="15.75" thickBot="1" x14ac:dyDescent="0.3">
      <c r="A3802" s="43" t="s">
        <v>8816</v>
      </c>
      <c r="B3802" s="21" t="s">
        <v>8817</v>
      </c>
      <c r="C3802" s="21" t="s">
        <v>22655</v>
      </c>
      <c r="D3802" s="22">
        <v>46034</v>
      </c>
      <c r="E3802" s="23" t="s">
        <v>22656</v>
      </c>
      <c r="F3802" s="24" t="s">
        <v>22657</v>
      </c>
      <c r="G3802" s="25">
        <v>4</v>
      </c>
      <c r="H3802" s="26"/>
      <c r="I3802" s="27"/>
    </row>
    <row r="3803" spans="1:9" ht="15.75" thickBot="1" x14ac:dyDescent="0.3">
      <c r="A3803" s="43" t="s">
        <v>22532</v>
      </c>
      <c r="B3803" s="21" t="s">
        <v>22533</v>
      </c>
      <c r="C3803" s="21" t="s">
        <v>22655</v>
      </c>
      <c r="D3803" s="22">
        <v>46046</v>
      </c>
      <c r="E3803" s="23" t="s">
        <v>22658</v>
      </c>
      <c r="F3803" s="28" t="s">
        <v>22659</v>
      </c>
      <c r="G3803" s="25">
        <v>1</v>
      </c>
      <c r="H3803" s="29"/>
      <c r="I3803" s="30"/>
    </row>
    <row r="3804" spans="1:9" ht="15.75" thickBot="1" x14ac:dyDescent="0.3">
      <c r="A3804" s="43" t="s">
        <v>22534</v>
      </c>
      <c r="B3804" s="21" t="s">
        <v>22535</v>
      </c>
      <c r="C3804" s="36" t="e">
        <v>#N/A</v>
      </c>
      <c r="D3804" s="37" t="e">
        <v>#N/A</v>
      </c>
      <c r="E3804" s="23" t="e">
        <v>#N/A</v>
      </c>
      <c r="F3804" s="28" t="s">
        <v>22659</v>
      </c>
      <c r="G3804" s="25" t="e">
        <v>#N/A</v>
      </c>
      <c r="H3804" s="26"/>
      <c r="I3804" s="27"/>
    </row>
    <row r="3805" spans="1:9" ht="15.75" thickBot="1" x14ac:dyDescent="0.3">
      <c r="A3805" s="43" t="s">
        <v>22536</v>
      </c>
      <c r="B3805" s="21" t="s">
        <v>22537</v>
      </c>
      <c r="C3805" s="36" t="e">
        <v>#N/A</v>
      </c>
      <c r="D3805" s="37" t="e">
        <v>#N/A</v>
      </c>
      <c r="E3805" s="23" t="e">
        <v>#N/A</v>
      </c>
      <c r="F3805" s="28" t="s">
        <v>22659</v>
      </c>
      <c r="G3805" s="25" t="e">
        <v>#N/A</v>
      </c>
      <c r="H3805" s="29"/>
      <c r="I3805" s="30"/>
    </row>
    <row r="3806" spans="1:9" ht="15.75" thickBot="1" x14ac:dyDescent="0.3">
      <c r="A3806" s="43" t="s">
        <v>8818</v>
      </c>
      <c r="B3806" s="21" t="s">
        <v>8819</v>
      </c>
      <c r="C3806" s="21" t="s">
        <v>22655</v>
      </c>
      <c r="D3806" s="22">
        <v>46042</v>
      </c>
      <c r="E3806" s="23" t="s">
        <v>22658</v>
      </c>
      <c r="F3806" s="28" t="s">
        <v>22659</v>
      </c>
      <c r="G3806" s="25">
        <v>1</v>
      </c>
      <c r="H3806" s="26"/>
      <c r="I3806" s="27"/>
    </row>
    <row r="3807" spans="1:9" ht="15.75" thickBot="1" x14ac:dyDescent="0.3">
      <c r="A3807" s="43" t="s">
        <v>8820</v>
      </c>
      <c r="B3807" s="21" t="s">
        <v>8821</v>
      </c>
      <c r="C3807" s="21" t="s">
        <v>22655</v>
      </c>
      <c r="D3807" s="22">
        <v>46046</v>
      </c>
      <c r="E3807" s="23" t="s">
        <v>22658</v>
      </c>
      <c r="F3807" s="28" t="s">
        <v>22659</v>
      </c>
      <c r="G3807" s="25">
        <v>1</v>
      </c>
      <c r="H3807" s="29"/>
      <c r="I3807" s="30"/>
    </row>
    <row r="3808" spans="1:9" ht="15.75" thickBot="1" x14ac:dyDescent="0.3">
      <c r="A3808" s="43" t="s">
        <v>22538</v>
      </c>
      <c r="B3808" s="21" t="s">
        <v>22539</v>
      </c>
      <c r="C3808" s="21" t="s">
        <v>22655</v>
      </c>
      <c r="D3808" s="22">
        <v>46046</v>
      </c>
      <c r="E3808" s="23" t="s">
        <v>22658</v>
      </c>
      <c r="F3808" s="28" t="s">
        <v>22659</v>
      </c>
      <c r="G3808" s="25">
        <v>1</v>
      </c>
      <c r="H3808" s="26"/>
      <c r="I3808" s="27"/>
    </row>
    <row r="3809" spans="1:9" ht="15.75" thickBot="1" x14ac:dyDescent="0.3">
      <c r="A3809" s="43" t="s">
        <v>8822</v>
      </c>
      <c r="B3809" s="21" t="s">
        <v>8823</v>
      </c>
      <c r="C3809" s="21" t="s">
        <v>22682</v>
      </c>
      <c r="D3809" s="22">
        <v>46034</v>
      </c>
      <c r="E3809" s="23" t="s">
        <v>22658</v>
      </c>
      <c r="F3809" s="24" t="s">
        <v>22657</v>
      </c>
      <c r="G3809" s="25">
        <v>4</v>
      </c>
      <c r="H3809" s="29"/>
      <c r="I3809" s="30"/>
    </row>
    <row r="3810" spans="1:9" ht="15.75" thickBot="1" x14ac:dyDescent="0.3">
      <c r="A3810" s="43" t="s">
        <v>8824</v>
      </c>
      <c r="B3810" s="21" t="s">
        <v>8825</v>
      </c>
      <c r="C3810" s="21" t="s">
        <v>22682</v>
      </c>
      <c r="D3810" s="22">
        <v>46034</v>
      </c>
      <c r="E3810" s="23" t="s">
        <v>22658</v>
      </c>
      <c r="F3810" s="24" t="s">
        <v>22657</v>
      </c>
      <c r="G3810" s="25">
        <v>4</v>
      </c>
      <c r="H3810" s="26"/>
      <c r="I3810" s="27"/>
    </row>
    <row r="3811" spans="1:9" ht="15.75" thickBot="1" x14ac:dyDescent="0.3">
      <c r="A3811" s="43" t="s">
        <v>8826</v>
      </c>
      <c r="B3811" s="21" t="s">
        <v>8827</v>
      </c>
      <c r="C3811" s="21" t="s">
        <v>22672</v>
      </c>
      <c r="D3811" s="22">
        <v>46032</v>
      </c>
      <c r="E3811" s="23" t="s">
        <v>22656</v>
      </c>
      <c r="F3811" s="24" t="s">
        <v>22657</v>
      </c>
      <c r="G3811" s="25">
        <v>4</v>
      </c>
      <c r="H3811" s="29"/>
      <c r="I3811" s="30"/>
    </row>
    <row r="3812" spans="1:9" ht="15.75" thickBot="1" x14ac:dyDescent="0.3">
      <c r="A3812" s="43" t="s">
        <v>8828</v>
      </c>
      <c r="B3812" s="21" t="s">
        <v>8829</v>
      </c>
      <c r="C3812" s="21" t="s">
        <v>22672</v>
      </c>
      <c r="D3812" s="22">
        <v>46032</v>
      </c>
      <c r="E3812" s="23" t="s">
        <v>22656</v>
      </c>
      <c r="F3812" s="24" t="s">
        <v>22657</v>
      </c>
      <c r="G3812" s="25">
        <v>4</v>
      </c>
      <c r="H3812" s="26"/>
      <c r="I3812" s="27"/>
    </row>
    <row r="3813" spans="1:9" ht="15.75" thickBot="1" x14ac:dyDescent="0.3">
      <c r="A3813" s="43" t="s">
        <v>8830</v>
      </c>
      <c r="B3813" s="21" t="s">
        <v>8831</v>
      </c>
      <c r="C3813" s="21" t="s">
        <v>22672</v>
      </c>
      <c r="D3813" s="22">
        <v>46032</v>
      </c>
      <c r="E3813" s="23" t="s">
        <v>22656</v>
      </c>
      <c r="F3813" s="24" t="s">
        <v>22657</v>
      </c>
      <c r="G3813" s="25">
        <v>4</v>
      </c>
      <c r="H3813" s="29"/>
      <c r="I3813" s="30"/>
    </row>
    <row r="3814" spans="1:9" ht="15.75" thickBot="1" x14ac:dyDescent="0.3">
      <c r="A3814" s="43" t="s">
        <v>8832</v>
      </c>
      <c r="B3814" s="21" t="s">
        <v>8833</v>
      </c>
      <c r="C3814" s="21" t="s">
        <v>22672</v>
      </c>
      <c r="D3814" s="22">
        <v>46032</v>
      </c>
      <c r="E3814" s="23" t="s">
        <v>22656</v>
      </c>
      <c r="F3814" s="24" t="s">
        <v>22657</v>
      </c>
      <c r="G3814" s="25">
        <v>4</v>
      </c>
      <c r="H3814" s="26"/>
      <c r="I3814" s="27"/>
    </row>
    <row r="3815" spans="1:9" ht="15.75" thickBot="1" x14ac:dyDescent="0.3">
      <c r="A3815" s="43" t="s">
        <v>8834</v>
      </c>
      <c r="B3815" s="21" t="s">
        <v>8835</v>
      </c>
      <c r="C3815" s="21" t="s">
        <v>22672</v>
      </c>
      <c r="D3815" s="22">
        <v>46032</v>
      </c>
      <c r="E3815" s="23" t="s">
        <v>22656</v>
      </c>
      <c r="F3815" s="24" t="s">
        <v>22657</v>
      </c>
      <c r="G3815" s="25">
        <v>4</v>
      </c>
      <c r="H3815" s="29"/>
      <c r="I3815" s="30"/>
    </row>
    <row r="3816" spans="1:9" ht="15.75" thickBot="1" x14ac:dyDescent="0.3">
      <c r="A3816" s="43" t="s">
        <v>22540</v>
      </c>
      <c r="B3816" s="21" t="s">
        <v>22541</v>
      </c>
      <c r="C3816" s="36" t="e">
        <v>#N/A</v>
      </c>
      <c r="D3816" s="37" t="e">
        <v>#N/A</v>
      </c>
      <c r="E3816" s="23" t="e">
        <v>#N/A</v>
      </c>
      <c r="F3816" s="24" t="s">
        <v>22657</v>
      </c>
      <c r="G3816" s="25" t="e">
        <v>#N/A</v>
      </c>
      <c r="H3816" s="26"/>
      <c r="I3816" s="27"/>
    </row>
    <row r="3817" spans="1:9" ht="15.75" thickBot="1" x14ac:dyDescent="0.3">
      <c r="A3817" s="43" t="s">
        <v>1411</v>
      </c>
      <c r="B3817" s="21" t="s">
        <v>1412</v>
      </c>
      <c r="C3817" s="21" t="s">
        <v>22655</v>
      </c>
      <c r="D3817" s="22">
        <v>46046</v>
      </c>
      <c r="E3817" s="23" t="s">
        <v>22662</v>
      </c>
      <c r="F3817" s="24" t="s">
        <v>22657</v>
      </c>
      <c r="G3817" s="25">
        <v>48</v>
      </c>
      <c r="H3817" s="32">
        <v>48</v>
      </c>
      <c r="I3817" s="33">
        <v>60</v>
      </c>
    </row>
    <row r="3818" spans="1:9" ht="15.75" thickBot="1" x14ac:dyDescent="0.3">
      <c r="A3818" s="43" t="s">
        <v>8836</v>
      </c>
      <c r="B3818" s="21" t="s">
        <v>8837</v>
      </c>
      <c r="C3818" s="21" t="s">
        <v>22663</v>
      </c>
      <c r="D3818" s="31">
        <v>1</v>
      </c>
      <c r="E3818" s="23" t="s">
        <v>22656</v>
      </c>
      <c r="F3818" s="24" t="s">
        <v>22657</v>
      </c>
      <c r="G3818" s="25">
        <v>5</v>
      </c>
      <c r="H3818" s="26"/>
      <c r="I3818" s="27"/>
    </row>
    <row r="3819" spans="1:9" ht="15.75" thickBot="1" x14ac:dyDescent="0.3">
      <c r="A3819" s="43" t="s">
        <v>8838</v>
      </c>
      <c r="B3819" s="21" t="s">
        <v>8839</v>
      </c>
      <c r="C3819" s="21" t="s">
        <v>22698</v>
      </c>
      <c r="D3819" s="31">
        <v>1</v>
      </c>
      <c r="E3819" s="23" t="s">
        <v>22656</v>
      </c>
      <c r="F3819" s="24" t="s">
        <v>22657</v>
      </c>
      <c r="G3819" s="25">
        <v>4</v>
      </c>
      <c r="H3819" s="29"/>
      <c r="I3819" s="30"/>
    </row>
    <row r="3820" spans="1:9" ht="15.75" thickBot="1" x14ac:dyDescent="0.3">
      <c r="A3820" s="43" t="s">
        <v>8840</v>
      </c>
      <c r="B3820" s="21" t="s">
        <v>8841</v>
      </c>
      <c r="C3820" s="21" t="s">
        <v>22663</v>
      </c>
      <c r="D3820" s="31">
        <v>1</v>
      </c>
      <c r="E3820" s="23" t="s">
        <v>22661</v>
      </c>
      <c r="F3820" s="24" t="s">
        <v>22657</v>
      </c>
      <c r="G3820" s="25">
        <v>7</v>
      </c>
      <c r="H3820" s="26"/>
      <c r="I3820" s="27"/>
    </row>
    <row r="3821" spans="1:9" ht="15.75" thickBot="1" x14ac:dyDescent="0.3">
      <c r="A3821" s="43" t="s">
        <v>8842</v>
      </c>
      <c r="B3821" s="21" t="s">
        <v>8843</v>
      </c>
      <c r="C3821" s="21" t="s">
        <v>22663</v>
      </c>
      <c r="D3821" s="31">
        <v>1</v>
      </c>
      <c r="E3821" s="23" t="s">
        <v>22656</v>
      </c>
      <c r="F3821" s="24" t="s">
        <v>22657</v>
      </c>
      <c r="G3821" s="25">
        <v>2</v>
      </c>
      <c r="H3821" s="29"/>
      <c r="I3821" s="30"/>
    </row>
    <row r="3822" spans="1:9" ht="15.75" thickBot="1" x14ac:dyDescent="0.3">
      <c r="A3822" s="43" t="s">
        <v>8844</v>
      </c>
      <c r="B3822" s="21" t="s">
        <v>8845</v>
      </c>
      <c r="C3822" s="21" t="s">
        <v>22698</v>
      </c>
      <c r="D3822" s="31">
        <v>1</v>
      </c>
      <c r="E3822" s="23" t="s">
        <v>22658</v>
      </c>
      <c r="F3822" s="28" t="s">
        <v>22659</v>
      </c>
      <c r="G3822" s="25">
        <v>1</v>
      </c>
      <c r="H3822" s="26"/>
      <c r="I3822" s="27"/>
    </row>
    <row r="3823" spans="1:9" ht="15.75" thickBot="1" x14ac:dyDescent="0.3">
      <c r="A3823" s="43" t="s">
        <v>8846</v>
      </c>
      <c r="B3823" s="21" t="s">
        <v>8847</v>
      </c>
      <c r="C3823" s="21" t="s">
        <v>22663</v>
      </c>
      <c r="D3823" s="31">
        <v>1</v>
      </c>
      <c r="E3823" s="23" t="s">
        <v>22656</v>
      </c>
      <c r="F3823" s="24" t="s">
        <v>22657</v>
      </c>
      <c r="G3823" s="25">
        <v>4</v>
      </c>
      <c r="H3823" s="29"/>
      <c r="I3823" s="30"/>
    </row>
    <row r="3824" spans="1:9" ht="15.75" thickBot="1" x14ac:dyDescent="0.3">
      <c r="A3824" s="43" t="s">
        <v>8848</v>
      </c>
      <c r="B3824" s="21" t="s">
        <v>8849</v>
      </c>
      <c r="C3824" s="21" t="s">
        <v>22682</v>
      </c>
      <c r="D3824" s="22">
        <v>46034</v>
      </c>
      <c r="E3824" s="23" t="s">
        <v>22658</v>
      </c>
      <c r="F3824" s="24" t="s">
        <v>22657</v>
      </c>
      <c r="G3824" s="25">
        <v>4</v>
      </c>
      <c r="H3824" s="26"/>
      <c r="I3824" s="27"/>
    </row>
    <row r="3825" spans="1:9" ht="15.75" thickBot="1" x14ac:dyDescent="0.3">
      <c r="A3825" s="43" t="s">
        <v>8850</v>
      </c>
      <c r="B3825" s="21" t="s">
        <v>8851</v>
      </c>
      <c r="C3825" s="21" t="s">
        <v>22655</v>
      </c>
      <c r="D3825" s="22">
        <v>46032</v>
      </c>
      <c r="E3825" s="23" t="s">
        <v>22656</v>
      </c>
      <c r="F3825" s="24" t="s">
        <v>22657</v>
      </c>
      <c r="G3825" s="25">
        <v>4</v>
      </c>
      <c r="H3825" s="29"/>
      <c r="I3825" s="30"/>
    </row>
    <row r="3826" spans="1:9" ht="15.75" thickBot="1" x14ac:dyDescent="0.3">
      <c r="A3826" s="43" t="s">
        <v>8852</v>
      </c>
      <c r="B3826" s="21" t="s">
        <v>8853</v>
      </c>
      <c r="C3826" s="21" t="s">
        <v>22655</v>
      </c>
      <c r="D3826" s="22">
        <v>46034</v>
      </c>
      <c r="E3826" s="23" t="s">
        <v>22658</v>
      </c>
      <c r="F3826" s="24" t="s">
        <v>22657</v>
      </c>
      <c r="G3826" s="25">
        <v>4</v>
      </c>
      <c r="H3826" s="26"/>
      <c r="I3826" s="27"/>
    </row>
    <row r="3827" spans="1:9" ht="15.75" thickBot="1" x14ac:dyDescent="0.3">
      <c r="A3827" s="43" t="s">
        <v>8854</v>
      </c>
      <c r="B3827" s="21" t="s">
        <v>8855</v>
      </c>
      <c r="C3827" s="21" t="s">
        <v>22655</v>
      </c>
      <c r="D3827" s="22">
        <v>46032</v>
      </c>
      <c r="E3827" s="23" t="s">
        <v>22656</v>
      </c>
      <c r="F3827" s="24" t="s">
        <v>22657</v>
      </c>
      <c r="G3827" s="25">
        <v>4</v>
      </c>
      <c r="H3827" s="29"/>
      <c r="I3827" s="30"/>
    </row>
    <row r="3828" spans="1:9" ht="15.75" thickBot="1" x14ac:dyDescent="0.3">
      <c r="A3828" s="43" t="s">
        <v>8856</v>
      </c>
      <c r="B3828" s="21" t="s">
        <v>8857</v>
      </c>
      <c r="C3828" s="21" t="s">
        <v>22655</v>
      </c>
      <c r="D3828" s="22">
        <v>46032</v>
      </c>
      <c r="E3828" s="23" t="s">
        <v>22656</v>
      </c>
      <c r="F3828" s="24" t="s">
        <v>22657</v>
      </c>
      <c r="G3828" s="25">
        <v>4</v>
      </c>
      <c r="H3828" s="26"/>
      <c r="I3828" s="27"/>
    </row>
    <row r="3829" spans="1:9" ht="15.75" thickBot="1" x14ac:dyDescent="0.3">
      <c r="A3829" s="43" t="s">
        <v>8858</v>
      </c>
      <c r="B3829" s="21" t="s">
        <v>8859</v>
      </c>
      <c r="C3829" s="21" t="s">
        <v>22655</v>
      </c>
      <c r="D3829" s="22">
        <v>46034</v>
      </c>
      <c r="E3829" s="23" t="s">
        <v>22656</v>
      </c>
      <c r="F3829" s="24" t="s">
        <v>22657</v>
      </c>
      <c r="G3829" s="25">
        <v>4</v>
      </c>
      <c r="H3829" s="29"/>
      <c r="I3829" s="30"/>
    </row>
    <row r="3830" spans="1:9" ht="15.75" thickBot="1" x14ac:dyDescent="0.3">
      <c r="A3830" s="43" t="s">
        <v>8860</v>
      </c>
      <c r="B3830" s="21" t="s">
        <v>8861</v>
      </c>
      <c r="C3830" s="21" t="s">
        <v>22655</v>
      </c>
      <c r="D3830" s="22">
        <v>46032</v>
      </c>
      <c r="E3830" s="23" t="s">
        <v>22656</v>
      </c>
      <c r="F3830" s="24" t="s">
        <v>22657</v>
      </c>
      <c r="G3830" s="25">
        <v>4</v>
      </c>
      <c r="H3830" s="26"/>
      <c r="I3830" s="27"/>
    </row>
    <row r="3831" spans="1:9" ht="15.75" thickBot="1" x14ac:dyDescent="0.3">
      <c r="A3831" s="43" t="s">
        <v>8862</v>
      </c>
      <c r="B3831" s="21" t="s">
        <v>8863</v>
      </c>
      <c r="C3831" s="21" t="s">
        <v>22655</v>
      </c>
      <c r="D3831" s="22">
        <v>46032</v>
      </c>
      <c r="E3831" s="23" t="s">
        <v>22656</v>
      </c>
      <c r="F3831" s="24" t="s">
        <v>22657</v>
      </c>
      <c r="G3831" s="25">
        <v>4</v>
      </c>
      <c r="H3831" s="29"/>
      <c r="I3831" s="30"/>
    </row>
    <row r="3832" spans="1:9" ht="15.75" thickBot="1" x14ac:dyDescent="0.3">
      <c r="A3832" s="43" t="s">
        <v>8864</v>
      </c>
      <c r="B3832" s="21" t="s">
        <v>8865</v>
      </c>
      <c r="C3832" s="21" t="s">
        <v>22655</v>
      </c>
      <c r="D3832" s="22">
        <v>46034</v>
      </c>
      <c r="E3832" s="23" t="s">
        <v>22658</v>
      </c>
      <c r="F3832" s="24" t="s">
        <v>22657</v>
      </c>
      <c r="G3832" s="25">
        <v>4</v>
      </c>
      <c r="H3832" s="26"/>
      <c r="I3832" s="27"/>
    </row>
    <row r="3833" spans="1:9" ht="15.75" thickBot="1" x14ac:dyDescent="0.3">
      <c r="A3833" s="43" t="s">
        <v>8866</v>
      </c>
      <c r="B3833" s="21" t="s">
        <v>8867</v>
      </c>
      <c r="C3833" s="21" t="s">
        <v>22655</v>
      </c>
      <c r="D3833" s="22">
        <v>46032</v>
      </c>
      <c r="E3833" s="23" t="s">
        <v>22656</v>
      </c>
      <c r="F3833" s="24" t="s">
        <v>22657</v>
      </c>
      <c r="G3833" s="25">
        <v>4</v>
      </c>
      <c r="H3833" s="29"/>
      <c r="I3833" s="30"/>
    </row>
    <row r="3834" spans="1:9" ht="15.75" thickBot="1" x14ac:dyDescent="0.3">
      <c r="A3834" s="43" t="s">
        <v>8868</v>
      </c>
      <c r="B3834" s="21" t="s">
        <v>8869</v>
      </c>
      <c r="C3834" s="21" t="s">
        <v>22698</v>
      </c>
      <c r="D3834" s="31">
        <v>1</v>
      </c>
      <c r="E3834" s="23" t="s">
        <v>22658</v>
      </c>
      <c r="F3834" s="28" t="s">
        <v>22659</v>
      </c>
      <c r="G3834" s="25">
        <v>1</v>
      </c>
      <c r="H3834" s="26"/>
      <c r="I3834" s="27"/>
    </row>
    <row r="3835" spans="1:9" ht="15.75" thickBot="1" x14ac:dyDescent="0.3">
      <c r="A3835" s="43" t="s">
        <v>8870</v>
      </c>
      <c r="B3835" s="21" t="s">
        <v>8871</v>
      </c>
      <c r="C3835" s="21" t="s">
        <v>22663</v>
      </c>
      <c r="D3835" s="31">
        <v>1</v>
      </c>
      <c r="E3835" s="23" t="s">
        <v>22661</v>
      </c>
      <c r="F3835" s="24" t="s">
        <v>22657</v>
      </c>
      <c r="G3835" s="25">
        <v>4</v>
      </c>
      <c r="H3835" s="29"/>
      <c r="I3835" s="30"/>
    </row>
    <row r="3836" spans="1:9" ht="15.75" thickBot="1" x14ac:dyDescent="0.3">
      <c r="A3836" s="43" t="s">
        <v>8872</v>
      </c>
      <c r="B3836" s="21" t="s">
        <v>8873</v>
      </c>
      <c r="C3836" s="21" t="s">
        <v>22682</v>
      </c>
      <c r="D3836" s="22">
        <v>46034</v>
      </c>
      <c r="E3836" s="23" t="s">
        <v>22658</v>
      </c>
      <c r="F3836" s="24" t="s">
        <v>22657</v>
      </c>
      <c r="G3836" s="25">
        <v>4</v>
      </c>
      <c r="H3836" s="26"/>
      <c r="I3836" s="27"/>
    </row>
    <row r="3837" spans="1:9" ht="15.75" thickBot="1" x14ac:dyDescent="0.3">
      <c r="A3837" s="43" t="s">
        <v>8874</v>
      </c>
      <c r="B3837" s="21" t="s">
        <v>8875</v>
      </c>
      <c r="C3837" s="21" t="s">
        <v>22655</v>
      </c>
      <c r="D3837" s="22">
        <v>46052</v>
      </c>
      <c r="E3837" s="23" t="s">
        <v>22656</v>
      </c>
      <c r="F3837" s="24" t="s">
        <v>22657</v>
      </c>
      <c r="G3837" s="25">
        <v>4</v>
      </c>
      <c r="H3837" s="29"/>
      <c r="I3837" s="30"/>
    </row>
    <row r="3838" spans="1:9" ht="15.75" thickBot="1" x14ac:dyDescent="0.3">
      <c r="A3838" s="43" t="s">
        <v>8876</v>
      </c>
      <c r="B3838" s="21" t="s">
        <v>8877</v>
      </c>
      <c r="C3838" s="21" t="s">
        <v>22655</v>
      </c>
      <c r="D3838" s="22">
        <v>46042</v>
      </c>
      <c r="E3838" s="23" t="s">
        <v>22656</v>
      </c>
      <c r="F3838" s="24" t="s">
        <v>22657</v>
      </c>
      <c r="G3838" s="25">
        <v>7</v>
      </c>
      <c r="H3838" s="26"/>
      <c r="I3838" s="27"/>
    </row>
    <row r="3839" spans="1:9" ht="15.75" thickBot="1" x14ac:dyDescent="0.3">
      <c r="A3839" s="43" t="s">
        <v>8878</v>
      </c>
      <c r="B3839" s="21" t="s">
        <v>8879</v>
      </c>
      <c r="C3839" s="21" t="s">
        <v>22655</v>
      </c>
      <c r="D3839" s="22">
        <v>46034</v>
      </c>
      <c r="E3839" s="23" t="s">
        <v>22656</v>
      </c>
      <c r="F3839" s="24" t="s">
        <v>22657</v>
      </c>
      <c r="G3839" s="25">
        <v>4</v>
      </c>
      <c r="H3839" s="29"/>
      <c r="I3839" s="30"/>
    </row>
    <row r="3840" spans="1:9" ht="15.75" thickBot="1" x14ac:dyDescent="0.3">
      <c r="A3840" s="43" t="s">
        <v>8880</v>
      </c>
      <c r="B3840" s="21" t="s">
        <v>8881</v>
      </c>
      <c r="C3840" s="21" t="s">
        <v>22655</v>
      </c>
      <c r="D3840" s="22">
        <v>46032</v>
      </c>
      <c r="E3840" s="23" t="s">
        <v>22656</v>
      </c>
      <c r="F3840" s="24" t="s">
        <v>22657</v>
      </c>
      <c r="G3840" s="25">
        <v>4</v>
      </c>
      <c r="H3840" s="26"/>
      <c r="I3840" s="27"/>
    </row>
    <row r="3841" spans="1:9" ht="15.75" thickBot="1" x14ac:dyDescent="0.3">
      <c r="A3841" s="43" t="s">
        <v>8882</v>
      </c>
      <c r="B3841" s="21" t="s">
        <v>8883</v>
      </c>
      <c r="C3841" s="21" t="s">
        <v>22712</v>
      </c>
      <c r="D3841" s="22">
        <v>46032</v>
      </c>
      <c r="E3841" s="23" t="s">
        <v>22658</v>
      </c>
      <c r="F3841" s="24" t="s">
        <v>22657</v>
      </c>
      <c r="G3841" s="25">
        <v>1</v>
      </c>
      <c r="H3841" s="29"/>
      <c r="I3841" s="30"/>
    </row>
    <row r="3842" spans="1:9" ht="15.75" thickBot="1" x14ac:dyDescent="0.3">
      <c r="A3842" s="43" t="s">
        <v>8884</v>
      </c>
      <c r="B3842" s="21" t="s">
        <v>8885</v>
      </c>
      <c r="C3842" s="21" t="s">
        <v>22655</v>
      </c>
      <c r="D3842" s="22">
        <v>46032</v>
      </c>
      <c r="E3842" s="23" t="s">
        <v>22656</v>
      </c>
      <c r="F3842" s="24" t="s">
        <v>22657</v>
      </c>
      <c r="G3842" s="25">
        <v>4</v>
      </c>
      <c r="H3842" s="26"/>
      <c r="I3842" s="27"/>
    </row>
    <row r="3843" spans="1:9" ht="15.75" thickBot="1" x14ac:dyDescent="0.3">
      <c r="A3843" s="43" t="s">
        <v>8886</v>
      </c>
      <c r="B3843" s="21" t="s">
        <v>8887</v>
      </c>
      <c r="C3843" s="21" t="s">
        <v>22655</v>
      </c>
      <c r="D3843" s="22">
        <v>46032</v>
      </c>
      <c r="E3843" s="23" t="s">
        <v>22656</v>
      </c>
      <c r="F3843" s="24" t="s">
        <v>22657</v>
      </c>
      <c r="G3843" s="25">
        <v>4</v>
      </c>
      <c r="H3843" s="29"/>
      <c r="I3843" s="30"/>
    </row>
    <row r="3844" spans="1:9" ht="15.75" thickBot="1" x14ac:dyDescent="0.3">
      <c r="A3844" s="43" t="s">
        <v>8888</v>
      </c>
      <c r="B3844" s="21" t="s">
        <v>8889</v>
      </c>
      <c r="C3844" s="21" t="s">
        <v>22655</v>
      </c>
      <c r="D3844" s="22">
        <v>46032</v>
      </c>
      <c r="E3844" s="23" t="s">
        <v>22656</v>
      </c>
      <c r="F3844" s="24" t="s">
        <v>22657</v>
      </c>
      <c r="G3844" s="25">
        <v>3</v>
      </c>
      <c r="H3844" s="26"/>
      <c r="I3844" s="27"/>
    </row>
    <row r="3845" spans="1:9" ht="15.75" thickBot="1" x14ac:dyDescent="0.3">
      <c r="A3845" s="43" t="s">
        <v>8890</v>
      </c>
      <c r="B3845" s="21" t="s">
        <v>8891</v>
      </c>
      <c r="C3845" s="21" t="s">
        <v>22655</v>
      </c>
      <c r="D3845" s="22">
        <v>46032</v>
      </c>
      <c r="E3845" s="23" t="s">
        <v>22656</v>
      </c>
      <c r="F3845" s="24" t="s">
        <v>22657</v>
      </c>
      <c r="G3845" s="25">
        <v>4</v>
      </c>
      <c r="H3845" s="29"/>
      <c r="I3845" s="30"/>
    </row>
    <row r="3846" spans="1:9" ht="15.75" thickBot="1" x14ac:dyDescent="0.3">
      <c r="A3846" s="43" t="s">
        <v>8892</v>
      </c>
      <c r="B3846" s="21" t="s">
        <v>8893</v>
      </c>
      <c r="C3846" s="21" t="s">
        <v>22655</v>
      </c>
      <c r="D3846" s="22">
        <v>46034</v>
      </c>
      <c r="E3846" s="23" t="s">
        <v>22656</v>
      </c>
      <c r="F3846" s="24" t="s">
        <v>22657</v>
      </c>
      <c r="G3846" s="25">
        <v>4</v>
      </c>
      <c r="H3846" s="26"/>
      <c r="I3846" s="27"/>
    </row>
    <row r="3847" spans="1:9" ht="15.75" thickBot="1" x14ac:dyDescent="0.3">
      <c r="A3847" s="43" t="s">
        <v>8894</v>
      </c>
      <c r="B3847" s="21" t="s">
        <v>8895</v>
      </c>
      <c r="C3847" s="21" t="s">
        <v>22655</v>
      </c>
      <c r="D3847" s="22">
        <v>46032</v>
      </c>
      <c r="E3847" s="23" t="s">
        <v>22658</v>
      </c>
      <c r="F3847" s="24" t="s">
        <v>22657</v>
      </c>
      <c r="G3847" s="25">
        <v>4</v>
      </c>
      <c r="H3847" s="29"/>
      <c r="I3847" s="30"/>
    </row>
    <row r="3848" spans="1:9" ht="15.75" thickBot="1" x14ac:dyDescent="0.3">
      <c r="A3848" s="43" t="s">
        <v>8896</v>
      </c>
      <c r="B3848" s="21" t="s">
        <v>8897</v>
      </c>
      <c r="C3848" s="21" t="s">
        <v>22655</v>
      </c>
      <c r="D3848" s="22">
        <v>46032</v>
      </c>
      <c r="E3848" s="23" t="s">
        <v>22658</v>
      </c>
      <c r="F3848" s="24" t="s">
        <v>22657</v>
      </c>
      <c r="G3848" s="25">
        <v>4</v>
      </c>
      <c r="H3848" s="26"/>
      <c r="I3848" s="27"/>
    </row>
    <row r="3849" spans="1:9" ht="15.75" thickBot="1" x14ac:dyDescent="0.3">
      <c r="A3849" s="43" t="s">
        <v>8898</v>
      </c>
      <c r="B3849" s="21" t="s">
        <v>8899</v>
      </c>
      <c r="C3849" s="21" t="s">
        <v>22655</v>
      </c>
      <c r="D3849" s="22">
        <v>46034</v>
      </c>
      <c r="E3849" s="23" t="s">
        <v>22656</v>
      </c>
      <c r="F3849" s="24" t="s">
        <v>22657</v>
      </c>
      <c r="G3849" s="25">
        <v>4</v>
      </c>
      <c r="H3849" s="29"/>
      <c r="I3849" s="30"/>
    </row>
    <row r="3850" spans="1:9" ht="15.75" thickBot="1" x14ac:dyDescent="0.3">
      <c r="A3850" s="43" t="s">
        <v>8900</v>
      </c>
      <c r="B3850" s="21" t="s">
        <v>8901</v>
      </c>
      <c r="C3850" s="21" t="s">
        <v>22655</v>
      </c>
      <c r="D3850" s="22">
        <v>46034</v>
      </c>
      <c r="E3850" s="23" t="s">
        <v>22656</v>
      </c>
      <c r="F3850" s="24" t="s">
        <v>22657</v>
      </c>
      <c r="G3850" s="25">
        <v>4</v>
      </c>
      <c r="H3850" s="26"/>
      <c r="I3850" s="27"/>
    </row>
    <row r="3851" spans="1:9" ht="15.75" thickBot="1" x14ac:dyDescent="0.3">
      <c r="A3851" s="43" t="s">
        <v>8902</v>
      </c>
      <c r="B3851" s="21" t="s">
        <v>8903</v>
      </c>
      <c r="C3851" s="21" t="s">
        <v>22655</v>
      </c>
      <c r="D3851" s="22">
        <v>46032</v>
      </c>
      <c r="E3851" s="23" t="s">
        <v>22656</v>
      </c>
      <c r="F3851" s="24" t="s">
        <v>22657</v>
      </c>
      <c r="G3851" s="25">
        <v>4</v>
      </c>
      <c r="H3851" s="29"/>
      <c r="I3851" s="30"/>
    </row>
    <row r="3852" spans="1:9" ht="15.75" thickBot="1" x14ac:dyDescent="0.3">
      <c r="A3852" s="43" t="s">
        <v>8904</v>
      </c>
      <c r="B3852" s="21" t="s">
        <v>8905</v>
      </c>
      <c r="C3852" s="21" t="s">
        <v>22655</v>
      </c>
      <c r="D3852" s="22">
        <v>46032</v>
      </c>
      <c r="E3852" s="23" t="s">
        <v>22656</v>
      </c>
      <c r="F3852" s="24" t="s">
        <v>22657</v>
      </c>
      <c r="G3852" s="25">
        <v>4</v>
      </c>
      <c r="H3852" s="26"/>
      <c r="I3852" s="27"/>
    </row>
    <row r="3853" spans="1:9" ht="15.75" thickBot="1" x14ac:dyDescent="0.3">
      <c r="A3853" s="43" t="s">
        <v>8906</v>
      </c>
      <c r="B3853" s="21" t="s">
        <v>8907</v>
      </c>
      <c r="C3853" s="21" t="s">
        <v>22655</v>
      </c>
      <c r="D3853" s="22">
        <v>46032</v>
      </c>
      <c r="E3853" s="23" t="s">
        <v>22656</v>
      </c>
      <c r="F3853" s="24" t="s">
        <v>22657</v>
      </c>
      <c r="G3853" s="25">
        <v>4</v>
      </c>
      <c r="H3853" s="29"/>
      <c r="I3853" s="30"/>
    </row>
    <row r="3854" spans="1:9" ht="15.75" thickBot="1" x14ac:dyDescent="0.3">
      <c r="A3854" s="43" t="s">
        <v>8908</v>
      </c>
      <c r="B3854" s="21" t="s">
        <v>8909</v>
      </c>
      <c r="C3854" s="21" t="s">
        <v>22655</v>
      </c>
      <c r="D3854" s="22">
        <v>46032</v>
      </c>
      <c r="E3854" s="23" t="s">
        <v>22656</v>
      </c>
      <c r="F3854" s="24" t="s">
        <v>22657</v>
      </c>
      <c r="G3854" s="25">
        <v>4</v>
      </c>
      <c r="H3854" s="26"/>
      <c r="I3854" s="27"/>
    </row>
    <row r="3855" spans="1:9" ht="15.75" thickBot="1" x14ac:dyDescent="0.3">
      <c r="A3855" s="43" t="s">
        <v>8910</v>
      </c>
      <c r="B3855" s="21" t="s">
        <v>8911</v>
      </c>
      <c r="C3855" s="21" t="s">
        <v>22655</v>
      </c>
      <c r="D3855" s="22">
        <v>46032</v>
      </c>
      <c r="E3855" s="23" t="s">
        <v>22656</v>
      </c>
      <c r="F3855" s="24" t="s">
        <v>22657</v>
      </c>
      <c r="G3855" s="25">
        <v>4</v>
      </c>
      <c r="H3855" s="29"/>
      <c r="I3855" s="30"/>
    </row>
    <row r="3856" spans="1:9" ht="15.75" thickBot="1" x14ac:dyDescent="0.3">
      <c r="A3856" s="43" t="s">
        <v>8912</v>
      </c>
      <c r="B3856" s="21" t="s">
        <v>8913</v>
      </c>
      <c r="C3856" s="21" t="s">
        <v>22655</v>
      </c>
      <c r="D3856" s="22">
        <v>46034</v>
      </c>
      <c r="E3856" s="23" t="s">
        <v>22656</v>
      </c>
      <c r="F3856" s="24" t="s">
        <v>22657</v>
      </c>
      <c r="G3856" s="25">
        <v>4</v>
      </c>
      <c r="H3856" s="26"/>
      <c r="I3856" s="27"/>
    </row>
    <row r="3857" spans="1:9" ht="15.75" thickBot="1" x14ac:dyDescent="0.3">
      <c r="A3857" s="43" t="s">
        <v>8914</v>
      </c>
      <c r="B3857" s="21" t="s">
        <v>8915</v>
      </c>
      <c r="C3857" s="21" t="s">
        <v>22655</v>
      </c>
      <c r="D3857" s="22">
        <v>46032</v>
      </c>
      <c r="E3857" s="23" t="s">
        <v>22658</v>
      </c>
      <c r="F3857" s="24" t="s">
        <v>22657</v>
      </c>
      <c r="G3857" s="25">
        <v>4</v>
      </c>
      <c r="H3857" s="29"/>
      <c r="I3857" s="30"/>
    </row>
    <row r="3858" spans="1:9" ht="15.75" thickBot="1" x14ac:dyDescent="0.3">
      <c r="A3858" s="43" t="s">
        <v>8916</v>
      </c>
      <c r="B3858" s="21" t="s">
        <v>8917</v>
      </c>
      <c r="C3858" s="21" t="s">
        <v>22655</v>
      </c>
      <c r="D3858" s="22">
        <v>46032</v>
      </c>
      <c r="E3858" s="23" t="s">
        <v>22656</v>
      </c>
      <c r="F3858" s="24" t="s">
        <v>22657</v>
      </c>
      <c r="G3858" s="25">
        <v>4</v>
      </c>
      <c r="H3858" s="26"/>
      <c r="I3858" s="27"/>
    </row>
    <row r="3859" spans="1:9" ht="15.75" thickBot="1" x14ac:dyDescent="0.3">
      <c r="A3859" s="43" t="s">
        <v>8918</v>
      </c>
      <c r="B3859" s="21" t="s">
        <v>8919</v>
      </c>
      <c r="C3859" s="21" t="s">
        <v>22655</v>
      </c>
      <c r="D3859" s="22">
        <v>46032</v>
      </c>
      <c r="E3859" s="23" t="s">
        <v>22656</v>
      </c>
      <c r="F3859" s="24" t="s">
        <v>22657</v>
      </c>
      <c r="G3859" s="25">
        <v>4</v>
      </c>
      <c r="H3859" s="29"/>
      <c r="I3859" s="30"/>
    </row>
    <row r="3860" spans="1:9" ht="15.75" thickBot="1" x14ac:dyDescent="0.3">
      <c r="A3860" s="43" t="s">
        <v>8920</v>
      </c>
      <c r="B3860" s="21" t="s">
        <v>8921</v>
      </c>
      <c r="C3860" s="21" t="s">
        <v>22655</v>
      </c>
      <c r="D3860" s="22">
        <v>46032</v>
      </c>
      <c r="E3860" s="23" t="s">
        <v>22661</v>
      </c>
      <c r="F3860" s="24" t="s">
        <v>22657</v>
      </c>
      <c r="G3860" s="25">
        <v>4</v>
      </c>
      <c r="H3860" s="26"/>
      <c r="I3860" s="27"/>
    </row>
    <row r="3861" spans="1:9" ht="15.75" thickBot="1" x14ac:dyDescent="0.3">
      <c r="A3861" s="43" t="s">
        <v>8922</v>
      </c>
      <c r="B3861" s="21" t="s">
        <v>8923</v>
      </c>
      <c r="C3861" s="21" t="s">
        <v>22655</v>
      </c>
      <c r="D3861" s="22">
        <v>46032</v>
      </c>
      <c r="E3861" s="23" t="s">
        <v>22656</v>
      </c>
      <c r="F3861" s="24" t="s">
        <v>22657</v>
      </c>
      <c r="G3861" s="25">
        <v>4</v>
      </c>
      <c r="H3861" s="29"/>
      <c r="I3861" s="30"/>
    </row>
    <row r="3862" spans="1:9" ht="15.75" thickBot="1" x14ac:dyDescent="0.3">
      <c r="A3862" s="43" t="s">
        <v>8924</v>
      </c>
      <c r="B3862" s="21" t="s">
        <v>8925</v>
      </c>
      <c r="C3862" s="21" t="s">
        <v>22655</v>
      </c>
      <c r="D3862" s="22">
        <v>46032</v>
      </c>
      <c r="E3862" s="23" t="s">
        <v>22656</v>
      </c>
      <c r="F3862" s="24" t="s">
        <v>22657</v>
      </c>
      <c r="G3862" s="25">
        <v>4</v>
      </c>
      <c r="H3862" s="26"/>
      <c r="I3862" s="27"/>
    </row>
    <row r="3863" spans="1:9" ht="15.75" thickBot="1" x14ac:dyDescent="0.3">
      <c r="A3863" s="43" t="s">
        <v>8926</v>
      </c>
      <c r="B3863" s="21" t="s">
        <v>8927</v>
      </c>
      <c r="C3863" s="21" t="s">
        <v>22655</v>
      </c>
      <c r="D3863" s="22">
        <v>46034</v>
      </c>
      <c r="E3863" s="23" t="s">
        <v>22656</v>
      </c>
      <c r="F3863" s="24" t="s">
        <v>22657</v>
      </c>
      <c r="G3863" s="25">
        <v>4</v>
      </c>
      <c r="H3863" s="29"/>
      <c r="I3863" s="30"/>
    </row>
    <row r="3864" spans="1:9" ht="15.75" thickBot="1" x14ac:dyDescent="0.3">
      <c r="A3864" s="43" t="s">
        <v>8928</v>
      </c>
      <c r="B3864" s="21" t="s">
        <v>8929</v>
      </c>
      <c r="C3864" s="21" t="s">
        <v>22655</v>
      </c>
      <c r="D3864" s="22">
        <v>46034</v>
      </c>
      <c r="E3864" s="23" t="s">
        <v>22656</v>
      </c>
      <c r="F3864" s="24" t="s">
        <v>22657</v>
      </c>
      <c r="G3864" s="25">
        <v>4</v>
      </c>
      <c r="H3864" s="26"/>
      <c r="I3864" s="27"/>
    </row>
    <row r="3865" spans="1:9" ht="15.75" thickBot="1" x14ac:dyDescent="0.3">
      <c r="A3865" s="43" t="s">
        <v>8930</v>
      </c>
      <c r="B3865" s="21" t="s">
        <v>8931</v>
      </c>
      <c r="C3865" s="21" t="s">
        <v>22655</v>
      </c>
      <c r="D3865" s="22">
        <v>46034</v>
      </c>
      <c r="E3865" s="23" t="s">
        <v>22656</v>
      </c>
      <c r="F3865" s="24" t="s">
        <v>22657</v>
      </c>
      <c r="G3865" s="25">
        <v>4</v>
      </c>
      <c r="H3865" s="29"/>
      <c r="I3865" s="30"/>
    </row>
    <row r="3866" spans="1:9" ht="15.75" thickBot="1" x14ac:dyDescent="0.3">
      <c r="A3866" s="43" t="s">
        <v>8932</v>
      </c>
      <c r="B3866" s="21" t="s">
        <v>8933</v>
      </c>
      <c r="C3866" s="21" t="s">
        <v>22655</v>
      </c>
      <c r="D3866" s="22">
        <v>46034</v>
      </c>
      <c r="E3866" s="23" t="s">
        <v>22656</v>
      </c>
      <c r="F3866" s="24" t="s">
        <v>22657</v>
      </c>
      <c r="G3866" s="25">
        <v>4</v>
      </c>
      <c r="H3866" s="26"/>
      <c r="I3866" s="27"/>
    </row>
    <row r="3867" spans="1:9" ht="15.75" thickBot="1" x14ac:dyDescent="0.3">
      <c r="A3867" s="43" t="s">
        <v>8934</v>
      </c>
      <c r="B3867" s="21" t="s">
        <v>8935</v>
      </c>
      <c r="C3867" s="21" t="s">
        <v>22655</v>
      </c>
      <c r="D3867" s="22">
        <v>46032</v>
      </c>
      <c r="E3867" s="23" t="s">
        <v>22656</v>
      </c>
      <c r="F3867" s="24" t="s">
        <v>22657</v>
      </c>
      <c r="G3867" s="25">
        <v>4</v>
      </c>
      <c r="H3867" s="29"/>
      <c r="I3867" s="30"/>
    </row>
    <row r="3868" spans="1:9" ht="15.75" thickBot="1" x14ac:dyDescent="0.3">
      <c r="A3868" s="43" t="s">
        <v>8936</v>
      </c>
      <c r="B3868" s="21" t="s">
        <v>8937</v>
      </c>
      <c r="C3868" s="21" t="s">
        <v>22655</v>
      </c>
      <c r="D3868" s="22">
        <v>46034</v>
      </c>
      <c r="E3868" s="23" t="s">
        <v>22656</v>
      </c>
      <c r="F3868" s="24" t="s">
        <v>22657</v>
      </c>
      <c r="G3868" s="25">
        <v>4</v>
      </c>
      <c r="H3868" s="26"/>
      <c r="I3868" s="27"/>
    </row>
    <row r="3869" spans="1:9" ht="15.75" thickBot="1" x14ac:dyDescent="0.3">
      <c r="A3869" s="43" t="s">
        <v>8938</v>
      </c>
      <c r="B3869" s="21" t="s">
        <v>8939</v>
      </c>
      <c r="C3869" s="21" t="s">
        <v>22655</v>
      </c>
      <c r="D3869" s="22">
        <v>46032</v>
      </c>
      <c r="E3869" s="23" t="s">
        <v>22656</v>
      </c>
      <c r="F3869" s="24" t="s">
        <v>22657</v>
      </c>
      <c r="G3869" s="25">
        <v>4</v>
      </c>
      <c r="H3869" s="29"/>
      <c r="I3869" s="30"/>
    </row>
    <row r="3870" spans="1:9" ht="15.75" thickBot="1" x14ac:dyDescent="0.3">
      <c r="A3870" s="43" t="s">
        <v>8940</v>
      </c>
      <c r="B3870" s="21" t="s">
        <v>8941</v>
      </c>
      <c r="C3870" s="21" t="s">
        <v>22712</v>
      </c>
      <c r="D3870" s="22">
        <v>46032</v>
      </c>
      <c r="E3870" s="23" t="s">
        <v>22656</v>
      </c>
      <c r="F3870" s="24" t="s">
        <v>22657</v>
      </c>
      <c r="G3870" s="25">
        <v>2</v>
      </c>
      <c r="H3870" s="26"/>
      <c r="I3870" s="27"/>
    </row>
    <row r="3871" spans="1:9" ht="15.75" thickBot="1" x14ac:dyDescent="0.3">
      <c r="A3871" s="43" t="s">
        <v>8942</v>
      </c>
      <c r="B3871" s="21" t="s">
        <v>8943</v>
      </c>
      <c r="C3871" s="21" t="s">
        <v>22655</v>
      </c>
      <c r="D3871" s="22">
        <v>46032</v>
      </c>
      <c r="E3871" s="23" t="s">
        <v>22656</v>
      </c>
      <c r="F3871" s="24" t="s">
        <v>22657</v>
      </c>
      <c r="G3871" s="25">
        <v>4</v>
      </c>
      <c r="H3871" s="29"/>
      <c r="I3871" s="30"/>
    </row>
    <row r="3872" spans="1:9" ht="15.75" thickBot="1" x14ac:dyDescent="0.3">
      <c r="A3872" s="43" t="s">
        <v>8944</v>
      </c>
      <c r="B3872" s="21" t="s">
        <v>8945</v>
      </c>
      <c r="C3872" s="21" t="s">
        <v>22655</v>
      </c>
      <c r="D3872" s="22">
        <v>46032</v>
      </c>
      <c r="E3872" s="23" t="s">
        <v>22656</v>
      </c>
      <c r="F3872" s="24" t="s">
        <v>22657</v>
      </c>
      <c r="G3872" s="25">
        <v>4</v>
      </c>
      <c r="H3872" s="26"/>
      <c r="I3872" s="27"/>
    </row>
    <row r="3873" spans="1:9" ht="15.75" thickBot="1" x14ac:dyDescent="0.3">
      <c r="A3873" s="43" t="s">
        <v>8946</v>
      </c>
      <c r="B3873" s="21" t="s">
        <v>8947</v>
      </c>
      <c r="C3873" s="21" t="s">
        <v>22655</v>
      </c>
      <c r="D3873" s="22">
        <v>46032</v>
      </c>
      <c r="E3873" s="23" t="s">
        <v>22656</v>
      </c>
      <c r="F3873" s="24" t="s">
        <v>22657</v>
      </c>
      <c r="G3873" s="25">
        <v>4</v>
      </c>
      <c r="H3873" s="29"/>
      <c r="I3873" s="30"/>
    </row>
    <row r="3874" spans="1:9" ht="15.75" thickBot="1" x14ac:dyDescent="0.3">
      <c r="A3874" s="43" t="s">
        <v>8948</v>
      </c>
      <c r="B3874" s="21" t="s">
        <v>8949</v>
      </c>
      <c r="C3874" s="21" t="s">
        <v>22655</v>
      </c>
      <c r="D3874" s="22">
        <v>46032</v>
      </c>
      <c r="E3874" s="23" t="s">
        <v>22656</v>
      </c>
      <c r="F3874" s="24" t="s">
        <v>22657</v>
      </c>
      <c r="G3874" s="25">
        <v>4</v>
      </c>
      <c r="H3874" s="26"/>
      <c r="I3874" s="27"/>
    </row>
    <row r="3875" spans="1:9" ht="15.75" thickBot="1" x14ac:dyDescent="0.3">
      <c r="A3875" s="43" t="s">
        <v>8950</v>
      </c>
      <c r="B3875" s="21" t="s">
        <v>8951</v>
      </c>
      <c r="C3875" s="21" t="s">
        <v>22655</v>
      </c>
      <c r="D3875" s="22">
        <v>46032</v>
      </c>
      <c r="E3875" s="23" t="s">
        <v>22656</v>
      </c>
      <c r="F3875" s="24" t="s">
        <v>22657</v>
      </c>
      <c r="G3875" s="25">
        <v>4</v>
      </c>
      <c r="H3875" s="29"/>
      <c r="I3875" s="30"/>
    </row>
    <row r="3876" spans="1:9" ht="15.75" thickBot="1" x14ac:dyDescent="0.3">
      <c r="A3876" s="43" t="s">
        <v>8952</v>
      </c>
      <c r="B3876" s="21" t="s">
        <v>8953</v>
      </c>
      <c r="C3876" s="21" t="s">
        <v>22655</v>
      </c>
      <c r="D3876" s="22">
        <v>46032</v>
      </c>
      <c r="E3876" s="23" t="s">
        <v>22656</v>
      </c>
      <c r="F3876" s="24" t="s">
        <v>22657</v>
      </c>
      <c r="G3876" s="25">
        <v>4</v>
      </c>
      <c r="H3876" s="26"/>
      <c r="I3876" s="27"/>
    </row>
    <row r="3877" spans="1:9" ht="15.75" thickBot="1" x14ac:dyDescent="0.3">
      <c r="A3877" s="43" t="s">
        <v>8954</v>
      </c>
      <c r="B3877" s="21" t="s">
        <v>8955</v>
      </c>
      <c r="C3877" s="21" t="s">
        <v>22655</v>
      </c>
      <c r="D3877" s="22">
        <v>46032</v>
      </c>
      <c r="E3877" s="23" t="s">
        <v>22656</v>
      </c>
      <c r="F3877" s="24" t="s">
        <v>22657</v>
      </c>
      <c r="G3877" s="25">
        <v>4</v>
      </c>
      <c r="H3877" s="29"/>
      <c r="I3877" s="30"/>
    </row>
    <row r="3878" spans="1:9" ht="15.75" thickBot="1" x14ac:dyDescent="0.3">
      <c r="A3878" s="43" t="s">
        <v>8956</v>
      </c>
      <c r="B3878" s="21" t="s">
        <v>8957</v>
      </c>
      <c r="C3878" s="21" t="s">
        <v>22655</v>
      </c>
      <c r="D3878" s="22">
        <v>46032</v>
      </c>
      <c r="E3878" s="23" t="s">
        <v>22656</v>
      </c>
      <c r="F3878" s="24" t="s">
        <v>22657</v>
      </c>
      <c r="G3878" s="25">
        <v>4</v>
      </c>
      <c r="H3878" s="26"/>
      <c r="I3878" s="27"/>
    </row>
    <row r="3879" spans="1:9" ht="15.75" thickBot="1" x14ac:dyDescent="0.3">
      <c r="A3879" s="43" t="s">
        <v>8958</v>
      </c>
      <c r="B3879" s="21" t="s">
        <v>8959</v>
      </c>
      <c r="C3879" s="21" t="s">
        <v>22712</v>
      </c>
      <c r="D3879" s="22">
        <v>46032</v>
      </c>
      <c r="E3879" s="23" t="s">
        <v>22656</v>
      </c>
      <c r="F3879" s="24" t="s">
        <v>22657</v>
      </c>
      <c r="G3879" s="25">
        <v>2</v>
      </c>
      <c r="H3879" s="29"/>
      <c r="I3879" s="30"/>
    </row>
    <row r="3880" spans="1:9" ht="15.75" thickBot="1" x14ac:dyDescent="0.3">
      <c r="A3880" s="43" t="s">
        <v>8960</v>
      </c>
      <c r="B3880" s="21" t="s">
        <v>8961</v>
      </c>
      <c r="C3880" s="21" t="s">
        <v>22655</v>
      </c>
      <c r="D3880" s="22">
        <v>46032</v>
      </c>
      <c r="E3880" s="23" t="s">
        <v>22656</v>
      </c>
      <c r="F3880" s="24" t="s">
        <v>22657</v>
      </c>
      <c r="G3880" s="25">
        <v>5</v>
      </c>
      <c r="H3880" s="26"/>
      <c r="I3880" s="27"/>
    </row>
    <row r="3881" spans="1:9" ht="15.75" thickBot="1" x14ac:dyDescent="0.3">
      <c r="A3881" s="43" t="s">
        <v>8962</v>
      </c>
      <c r="B3881" s="21" t="s">
        <v>8963</v>
      </c>
      <c r="C3881" s="21" t="s">
        <v>22655</v>
      </c>
      <c r="D3881" s="22">
        <v>46032</v>
      </c>
      <c r="E3881" s="23" t="s">
        <v>22656</v>
      </c>
      <c r="F3881" s="24" t="s">
        <v>22657</v>
      </c>
      <c r="G3881" s="25">
        <v>4</v>
      </c>
      <c r="H3881" s="29"/>
      <c r="I3881" s="30"/>
    </row>
    <row r="3882" spans="1:9" ht="15.75" thickBot="1" x14ac:dyDescent="0.3">
      <c r="A3882" s="43" t="s">
        <v>8964</v>
      </c>
      <c r="B3882" s="21" t="s">
        <v>8965</v>
      </c>
      <c r="C3882" s="21" t="s">
        <v>22712</v>
      </c>
      <c r="D3882" s="22">
        <v>46032</v>
      </c>
      <c r="E3882" s="23" t="s">
        <v>22658</v>
      </c>
      <c r="F3882" s="24" t="s">
        <v>22657</v>
      </c>
      <c r="G3882" s="25">
        <v>1</v>
      </c>
      <c r="H3882" s="26"/>
      <c r="I3882" s="27"/>
    </row>
    <row r="3883" spans="1:9" ht="15.75" thickBot="1" x14ac:dyDescent="0.3">
      <c r="A3883" s="43" t="s">
        <v>8966</v>
      </c>
      <c r="B3883" s="21" t="s">
        <v>8967</v>
      </c>
      <c r="C3883" s="21" t="s">
        <v>22655</v>
      </c>
      <c r="D3883" s="22">
        <v>46032</v>
      </c>
      <c r="E3883" s="23" t="s">
        <v>22656</v>
      </c>
      <c r="F3883" s="24" t="s">
        <v>22657</v>
      </c>
      <c r="G3883" s="25">
        <v>4</v>
      </c>
      <c r="H3883" s="29"/>
      <c r="I3883" s="30"/>
    </row>
    <row r="3884" spans="1:9" ht="15.75" thickBot="1" x14ac:dyDescent="0.3">
      <c r="A3884" s="43" t="s">
        <v>8968</v>
      </c>
      <c r="B3884" s="21" t="s">
        <v>8969</v>
      </c>
      <c r="C3884" s="21" t="s">
        <v>22655</v>
      </c>
      <c r="D3884" s="22">
        <v>46032</v>
      </c>
      <c r="E3884" s="23" t="s">
        <v>22656</v>
      </c>
      <c r="F3884" s="24" t="s">
        <v>22657</v>
      </c>
      <c r="G3884" s="25">
        <v>4</v>
      </c>
      <c r="H3884" s="26"/>
      <c r="I3884" s="27"/>
    </row>
    <row r="3885" spans="1:9" ht="15.75" thickBot="1" x14ac:dyDescent="0.3">
      <c r="A3885" s="43" t="s">
        <v>8970</v>
      </c>
      <c r="B3885" s="21" t="s">
        <v>8971</v>
      </c>
      <c r="C3885" s="21" t="s">
        <v>22655</v>
      </c>
      <c r="D3885" s="22">
        <v>46034</v>
      </c>
      <c r="E3885" s="23" t="s">
        <v>22656</v>
      </c>
      <c r="F3885" s="24" t="s">
        <v>22657</v>
      </c>
      <c r="G3885" s="25">
        <v>4</v>
      </c>
      <c r="H3885" s="29"/>
      <c r="I3885" s="30"/>
    </row>
    <row r="3886" spans="1:9" ht="15.75" thickBot="1" x14ac:dyDescent="0.3">
      <c r="A3886" s="43" t="s">
        <v>8972</v>
      </c>
      <c r="B3886" s="21" t="s">
        <v>8973</v>
      </c>
      <c r="C3886" s="21" t="s">
        <v>22655</v>
      </c>
      <c r="D3886" s="22">
        <v>46034</v>
      </c>
      <c r="E3886" s="23" t="s">
        <v>22656</v>
      </c>
      <c r="F3886" s="24" t="s">
        <v>22657</v>
      </c>
      <c r="G3886" s="25">
        <v>4</v>
      </c>
      <c r="H3886" s="26"/>
      <c r="I3886" s="27"/>
    </row>
    <row r="3887" spans="1:9" ht="15.75" thickBot="1" x14ac:dyDescent="0.3">
      <c r="A3887" s="43" t="s">
        <v>8974</v>
      </c>
      <c r="B3887" s="21" t="s">
        <v>8975</v>
      </c>
      <c r="C3887" s="21" t="s">
        <v>22655</v>
      </c>
      <c r="D3887" s="22">
        <v>46032</v>
      </c>
      <c r="E3887" s="23" t="s">
        <v>22656</v>
      </c>
      <c r="F3887" s="24" t="s">
        <v>22657</v>
      </c>
      <c r="G3887" s="25">
        <v>4</v>
      </c>
      <c r="H3887" s="29"/>
      <c r="I3887" s="30"/>
    </row>
    <row r="3888" spans="1:9" ht="15.75" thickBot="1" x14ac:dyDescent="0.3">
      <c r="A3888" s="43" t="s">
        <v>8976</v>
      </c>
      <c r="B3888" s="21" t="s">
        <v>8977</v>
      </c>
      <c r="C3888" s="21" t="s">
        <v>22655</v>
      </c>
      <c r="D3888" s="22">
        <v>46034</v>
      </c>
      <c r="E3888" s="23" t="s">
        <v>22656</v>
      </c>
      <c r="F3888" s="24" t="s">
        <v>22657</v>
      </c>
      <c r="G3888" s="25">
        <v>4</v>
      </c>
      <c r="H3888" s="26"/>
      <c r="I3888" s="27"/>
    </row>
    <row r="3889" spans="1:9" ht="15.75" thickBot="1" x14ac:dyDescent="0.3">
      <c r="A3889" s="43" t="s">
        <v>8978</v>
      </c>
      <c r="B3889" s="21" t="s">
        <v>8979</v>
      </c>
      <c r="C3889" s="21" t="s">
        <v>22655</v>
      </c>
      <c r="D3889" s="22">
        <v>46032</v>
      </c>
      <c r="E3889" s="23" t="s">
        <v>22656</v>
      </c>
      <c r="F3889" s="24" t="s">
        <v>22657</v>
      </c>
      <c r="G3889" s="25">
        <v>4</v>
      </c>
      <c r="H3889" s="29"/>
      <c r="I3889" s="30"/>
    </row>
    <row r="3890" spans="1:9" ht="15.75" thickBot="1" x14ac:dyDescent="0.3">
      <c r="A3890" s="43" t="s">
        <v>8980</v>
      </c>
      <c r="B3890" s="21" t="s">
        <v>8981</v>
      </c>
      <c r="C3890" s="21" t="s">
        <v>22655</v>
      </c>
      <c r="D3890" s="22">
        <v>46032</v>
      </c>
      <c r="E3890" s="23" t="s">
        <v>22656</v>
      </c>
      <c r="F3890" s="24" t="s">
        <v>22657</v>
      </c>
      <c r="G3890" s="25">
        <v>4</v>
      </c>
      <c r="H3890" s="26"/>
      <c r="I3890" s="27"/>
    </row>
    <row r="3891" spans="1:9" ht="15.75" thickBot="1" x14ac:dyDescent="0.3">
      <c r="A3891" s="43" t="s">
        <v>8982</v>
      </c>
      <c r="B3891" s="21" t="s">
        <v>8983</v>
      </c>
      <c r="C3891" s="21" t="s">
        <v>22655</v>
      </c>
      <c r="D3891" s="22">
        <v>46032</v>
      </c>
      <c r="E3891" s="23" t="s">
        <v>22656</v>
      </c>
      <c r="F3891" s="24" t="s">
        <v>22657</v>
      </c>
      <c r="G3891" s="25">
        <v>4</v>
      </c>
      <c r="H3891" s="29"/>
      <c r="I3891" s="30"/>
    </row>
    <row r="3892" spans="1:9" ht="15.75" thickBot="1" x14ac:dyDescent="0.3">
      <c r="A3892" s="43" t="s">
        <v>8984</v>
      </c>
      <c r="B3892" s="21" t="s">
        <v>8985</v>
      </c>
      <c r="C3892" s="21" t="s">
        <v>22655</v>
      </c>
      <c r="D3892" s="22">
        <v>46032</v>
      </c>
      <c r="E3892" s="23" t="s">
        <v>22656</v>
      </c>
      <c r="F3892" s="24" t="s">
        <v>22657</v>
      </c>
      <c r="G3892" s="25">
        <v>4</v>
      </c>
      <c r="H3892" s="26"/>
      <c r="I3892" s="27"/>
    </row>
    <row r="3893" spans="1:9" ht="15.75" thickBot="1" x14ac:dyDescent="0.3">
      <c r="A3893" s="43" t="s">
        <v>8986</v>
      </c>
      <c r="B3893" s="21" t="s">
        <v>8987</v>
      </c>
      <c r="C3893" s="21" t="s">
        <v>22663</v>
      </c>
      <c r="D3893" s="31">
        <v>1</v>
      </c>
      <c r="E3893" s="23" t="s">
        <v>22658</v>
      </c>
      <c r="F3893" s="24" t="s">
        <v>22657</v>
      </c>
      <c r="G3893" s="25">
        <v>2</v>
      </c>
      <c r="H3893" s="29"/>
      <c r="I3893" s="30"/>
    </row>
    <row r="3894" spans="1:9" ht="15.75" thickBot="1" x14ac:dyDescent="0.3">
      <c r="A3894" s="43" t="s">
        <v>1407</v>
      </c>
      <c r="B3894" s="21" t="s">
        <v>1408</v>
      </c>
      <c r="C3894" s="21" t="s">
        <v>22655</v>
      </c>
      <c r="D3894" s="22">
        <v>46037</v>
      </c>
      <c r="E3894" s="23" t="s">
        <v>22665</v>
      </c>
      <c r="F3894" s="24" t="s">
        <v>22657</v>
      </c>
      <c r="G3894" s="25">
        <v>20</v>
      </c>
      <c r="H3894" s="34">
        <v>20</v>
      </c>
      <c r="I3894" s="35">
        <v>35</v>
      </c>
    </row>
    <row r="3895" spans="1:9" ht="15.75" thickBot="1" x14ac:dyDescent="0.3">
      <c r="A3895" s="43" t="s">
        <v>8988</v>
      </c>
      <c r="B3895" s="21" t="s">
        <v>8989</v>
      </c>
      <c r="C3895" s="21" t="s">
        <v>22682</v>
      </c>
      <c r="D3895" s="22">
        <v>46034</v>
      </c>
      <c r="E3895" s="23" t="s">
        <v>22658</v>
      </c>
      <c r="F3895" s="24" t="s">
        <v>22657</v>
      </c>
      <c r="G3895" s="25">
        <v>4</v>
      </c>
      <c r="H3895" s="29"/>
      <c r="I3895" s="30"/>
    </row>
    <row r="3896" spans="1:9" ht="15.75" thickBot="1" x14ac:dyDescent="0.3">
      <c r="A3896" s="43" t="s">
        <v>8990</v>
      </c>
      <c r="B3896" s="21" t="s">
        <v>8991</v>
      </c>
      <c r="C3896" s="21" t="s">
        <v>22682</v>
      </c>
      <c r="D3896" s="22">
        <v>46034</v>
      </c>
      <c r="E3896" s="23" t="s">
        <v>22656</v>
      </c>
      <c r="F3896" s="24" t="s">
        <v>22657</v>
      </c>
      <c r="G3896" s="25">
        <v>4</v>
      </c>
      <c r="H3896" s="26"/>
      <c r="I3896" s="27"/>
    </row>
    <row r="3897" spans="1:9" ht="15.75" thickBot="1" x14ac:dyDescent="0.3">
      <c r="A3897" s="43" t="s">
        <v>8992</v>
      </c>
      <c r="B3897" s="21" t="s">
        <v>8993</v>
      </c>
      <c r="C3897" s="21" t="s">
        <v>22682</v>
      </c>
      <c r="D3897" s="22">
        <v>46034</v>
      </c>
      <c r="E3897" s="23" t="s">
        <v>22658</v>
      </c>
      <c r="F3897" s="24" t="s">
        <v>22657</v>
      </c>
      <c r="G3897" s="25">
        <v>4</v>
      </c>
      <c r="H3897" s="29"/>
      <c r="I3897" s="30"/>
    </row>
    <row r="3898" spans="1:9" ht="15.75" thickBot="1" x14ac:dyDescent="0.3">
      <c r="A3898" s="43" t="s">
        <v>8994</v>
      </c>
      <c r="B3898" s="21" t="s">
        <v>8995</v>
      </c>
      <c r="C3898" s="21" t="s">
        <v>22682</v>
      </c>
      <c r="D3898" s="22">
        <v>46034</v>
      </c>
      <c r="E3898" s="23" t="s">
        <v>22658</v>
      </c>
      <c r="F3898" s="24" t="s">
        <v>22657</v>
      </c>
      <c r="G3898" s="25">
        <v>4</v>
      </c>
      <c r="H3898" s="26"/>
      <c r="I3898" s="27"/>
    </row>
    <row r="3899" spans="1:9" ht="15.75" thickBot="1" x14ac:dyDescent="0.3">
      <c r="A3899" s="43" t="s">
        <v>8996</v>
      </c>
      <c r="B3899" s="21" t="s">
        <v>8997</v>
      </c>
      <c r="C3899" s="21" t="s">
        <v>22682</v>
      </c>
      <c r="D3899" s="22">
        <v>46034</v>
      </c>
      <c r="E3899" s="23" t="s">
        <v>22658</v>
      </c>
      <c r="F3899" s="24" t="s">
        <v>22657</v>
      </c>
      <c r="G3899" s="25">
        <v>4</v>
      </c>
      <c r="H3899" s="29"/>
      <c r="I3899" s="30"/>
    </row>
    <row r="3900" spans="1:9" ht="15.75" thickBot="1" x14ac:dyDescent="0.3">
      <c r="A3900" s="43" t="s">
        <v>8998</v>
      </c>
      <c r="B3900" s="21" t="s">
        <v>8999</v>
      </c>
      <c r="C3900" s="21" t="s">
        <v>22682</v>
      </c>
      <c r="D3900" s="22">
        <v>46034</v>
      </c>
      <c r="E3900" s="23" t="s">
        <v>22658</v>
      </c>
      <c r="F3900" s="24" t="s">
        <v>22657</v>
      </c>
      <c r="G3900" s="25">
        <v>4</v>
      </c>
      <c r="H3900" s="26"/>
      <c r="I3900" s="27"/>
    </row>
    <row r="3901" spans="1:9" ht="15.75" thickBot="1" x14ac:dyDescent="0.3">
      <c r="A3901" s="43" t="s">
        <v>9000</v>
      </c>
      <c r="B3901" s="21" t="s">
        <v>9001</v>
      </c>
      <c r="C3901" s="21" t="s">
        <v>22682</v>
      </c>
      <c r="D3901" s="22">
        <v>46034</v>
      </c>
      <c r="E3901" s="23" t="s">
        <v>22658</v>
      </c>
      <c r="F3901" s="24" t="s">
        <v>22657</v>
      </c>
      <c r="G3901" s="25">
        <v>4</v>
      </c>
      <c r="H3901" s="29"/>
      <c r="I3901" s="30"/>
    </row>
    <row r="3902" spans="1:9" ht="15.75" thickBot="1" x14ac:dyDescent="0.3">
      <c r="A3902" s="43" t="s">
        <v>9002</v>
      </c>
      <c r="B3902" s="21" t="s">
        <v>9003</v>
      </c>
      <c r="C3902" s="21" t="s">
        <v>22682</v>
      </c>
      <c r="D3902" s="22">
        <v>46034</v>
      </c>
      <c r="E3902" s="23" t="s">
        <v>22658</v>
      </c>
      <c r="F3902" s="24" t="s">
        <v>22657</v>
      </c>
      <c r="G3902" s="25">
        <v>4</v>
      </c>
      <c r="H3902" s="26"/>
      <c r="I3902" s="27"/>
    </row>
    <row r="3903" spans="1:9" ht="15.75" thickBot="1" x14ac:dyDescent="0.3">
      <c r="A3903" s="43" t="s">
        <v>9004</v>
      </c>
      <c r="B3903" s="21" t="s">
        <v>9005</v>
      </c>
      <c r="C3903" s="21" t="s">
        <v>22694</v>
      </c>
      <c r="D3903" s="22">
        <v>46034</v>
      </c>
      <c r="E3903" s="23" t="s">
        <v>22656</v>
      </c>
      <c r="F3903" s="24" t="s">
        <v>22657</v>
      </c>
      <c r="G3903" s="25">
        <v>4</v>
      </c>
      <c r="H3903" s="29"/>
      <c r="I3903" s="30"/>
    </row>
    <row r="3904" spans="1:9" ht="15.75" thickBot="1" x14ac:dyDescent="0.3">
      <c r="A3904" s="43" t="s">
        <v>9006</v>
      </c>
      <c r="B3904" s="21" t="s">
        <v>9007</v>
      </c>
      <c r="C3904" s="21" t="s">
        <v>22663</v>
      </c>
      <c r="D3904" s="31">
        <v>1</v>
      </c>
      <c r="E3904" s="23" t="s">
        <v>22656</v>
      </c>
      <c r="F3904" s="24" t="s">
        <v>22657</v>
      </c>
      <c r="G3904" s="25">
        <v>4</v>
      </c>
      <c r="H3904" s="26"/>
      <c r="I3904" s="27"/>
    </row>
    <row r="3905" spans="1:9" ht="15.75" thickBot="1" x14ac:dyDescent="0.3">
      <c r="A3905" s="43" t="s">
        <v>9008</v>
      </c>
      <c r="B3905" s="21" t="s">
        <v>9009</v>
      </c>
      <c r="C3905" s="21" t="s">
        <v>22655</v>
      </c>
      <c r="D3905" s="22">
        <v>46034</v>
      </c>
      <c r="E3905" s="23" t="s">
        <v>22658</v>
      </c>
      <c r="F3905" s="24" t="s">
        <v>22657</v>
      </c>
      <c r="G3905" s="25">
        <v>4</v>
      </c>
      <c r="H3905" s="29"/>
      <c r="I3905" s="30"/>
    </row>
    <row r="3906" spans="1:9" ht="15.75" thickBot="1" x14ac:dyDescent="0.3">
      <c r="A3906" s="43" t="s">
        <v>9010</v>
      </c>
      <c r="B3906" s="21" t="s">
        <v>9011</v>
      </c>
      <c r="C3906" s="21" t="s">
        <v>22663</v>
      </c>
      <c r="D3906" s="31">
        <v>1</v>
      </c>
      <c r="E3906" s="23" t="s">
        <v>22656</v>
      </c>
      <c r="F3906" s="24" t="s">
        <v>22657</v>
      </c>
      <c r="G3906" s="25">
        <v>3</v>
      </c>
      <c r="H3906" s="26"/>
      <c r="I3906" s="27"/>
    </row>
    <row r="3907" spans="1:9" ht="15.75" thickBot="1" x14ac:dyDescent="0.3">
      <c r="A3907" s="43" t="s">
        <v>9012</v>
      </c>
      <c r="B3907" s="21" t="s">
        <v>9013</v>
      </c>
      <c r="C3907" s="21" t="s">
        <v>22663</v>
      </c>
      <c r="D3907" s="31">
        <v>1</v>
      </c>
      <c r="E3907" s="23" t="s">
        <v>22656</v>
      </c>
      <c r="F3907" s="24" t="s">
        <v>22657</v>
      </c>
      <c r="G3907" s="25">
        <v>4</v>
      </c>
      <c r="H3907" s="29"/>
      <c r="I3907" s="30"/>
    </row>
    <row r="3908" spans="1:9" ht="15.75" thickBot="1" x14ac:dyDescent="0.3">
      <c r="A3908" s="43" t="s">
        <v>9014</v>
      </c>
      <c r="B3908" s="21" t="s">
        <v>9015</v>
      </c>
      <c r="C3908" s="21" t="s">
        <v>22663</v>
      </c>
      <c r="D3908" s="31">
        <v>1</v>
      </c>
      <c r="E3908" s="23" t="s">
        <v>22658</v>
      </c>
      <c r="F3908" s="24" t="s">
        <v>22657</v>
      </c>
      <c r="G3908" s="25">
        <v>2</v>
      </c>
      <c r="H3908" s="26"/>
      <c r="I3908" s="27"/>
    </row>
    <row r="3909" spans="1:9" ht="15.75" thickBot="1" x14ac:dyDescent="0.3">
      <c r="A3909" s="43" t="s">
        <v>9016</v>
      </c>
      <c r="B3909" s="21" t="s">
        <v>9017</v>
      </c>
      <c r="C3909" s="21" t="s">
        <v>22698</v>
      </c>
      <c r="D3909" s="31">
        <v>1</v>
      </c>
      <c r="E3909" s="23" t="s">
        <v>22658</v>
      </c>
      <c r="F3909" s="24" t="s">
        <v>22657</v>
      </c>
      <c r="G3909" s="25">
        <v>2</v>
      </c>
      <c r="H3909" s="29"/>
      <c r="I3909" s="30"/>
    </row>
    <row r="3910" spans="1:9" ht="15.75" thickBot="1" x14ac:dyDescent="0.3">
      <c r="A3910" s="43" t="s">
        <v>9018</v>
      </c>
      <c r="B3910" s="21" t="s">
        <v>9019</v>
      </c>
      <c r="C3910" s="21" t="s">
        <v>22663</v>
      </c>
      <c r="D3910" s="31">
        <v>1</v>
      </c>
      <c r="E3910" s="23" t="s">
        <v>22658</v>
      </c>
      <c r="F3910" s="24" t="s">
        <v>22657</v>
      </c>
      <c r="G3910" s="25">
        <v>4</v>
      </c>
      <c r="H3910" s="26"/>
      <c r="I3910" s="27"/>
    </row>
    <row r="3911" spans="1:9" ht="15.75" thickBot="1" x14ac:dyDescent="0.3">
      <c r="A3911" s="43" t="s">
        <v>9020</v>
      </c>
      <c r="B3911" s="21" t="s">
        <v>9021</v>
      </c>
      <c r="C3911" s="21" t="s">
        <v>22663</v>
      </c>
      <c r="D3911" s="31">
        <v>1</v>
      </c>
      <c r="E3911" s="23" t="s">
        <v>22658</v>
      </c>
      <c r="F3911" s="24" t="s">
        <v>22657</v>
      </c>
      <c r="G3911" s="25">
        <v>3</v>
      </c>
      <c r="H3911" s="29"/>
      <c r="I3911" s="30"/>
    </row>
    <row r="3912" spans="1:9" ht="15.75" thickBot="1" x14ac:dyDescent="0.3">
      <c r="A3912" s="43" t="s">
        <v>9022</v>
      </c>
      <c r="B3912" s="21" t="s">
        <v>9023</v>
      </c>
      <c r="C3912" s="21" t="s">
        <v>22663</v>
      </c>
      <c r="D3912" s="31">
        <v>1</v>
      </c>
      <c r="E3912" s="23" t="s">
        <v>22658</v>
      </c>
      <c r="F3912" s="24" t="s">
        <v>22657</v>
      </c>
      <c r="G3912" s="25">
        <v>4</v>
      </c>
      <c r="H3912" s="26"/>
      <c r="I3912" s="27"/>
    </row>
    <row r="3913" spans="1:9" ht="15.75" thickBot="1" x14ac:dyDescent="0.3">
      <c r="A3913" s="43" t="s">
        <v>9024</v>
      </c>
      <c r="B3913" s="21" t="s">
        <v>9025</v>
      </c>
      <c r="C3913" s="21" t="s">
        <v>22663</v>
      </c>
      <c r="D3913" s="31">
        <v>1</v>
      </c>
      <c r="E3913" s="23" t="s">
        <v>22656</v>
      </c>
      <c r="F3913" s="24" t="s">
        <v>22657</v>
      </c>
      <c r="G3913" s="25">
        <v>4</v>
      </c>
      <c r="H3913" s="29"/>
      <c r="I3913" s="30"/>
    </row>
    <row r="3914" spans="1:9" ht="15.75" thickBot="1" x14ac:dyDescent="0.3">
      <c r="A3914" s="43" t="s">
        <v>9026</v>
      </c>
      <c r="B3914" s="21" t="s">
        <v>9027</v>
      </c>
      <c r="C3914" s="21" t="s">
        <v>22698</v>
      </c>
      <c r="D3914" s="31">
        <v>1</v>
      </c>
      <c r="E3914" s="23" t="s">
        <v>22658</v>
      </c>
      <c r="F3914" s="24" t="s">
        <v>22657</v>
      </c>
      <c r="G3914" s="25">
        <v>2</v>
      </c>
      <c r="H3914" s="26"/>
      <c r="I3914" s="27"/>
    </row>
    <row r="3915" spans="1:9" ht="15.75" thickBot="1" x14ac:dyDescent="0.3">
      <c r="A3915" s="43" t="s">
        <v>9028</v>
      </c>
      <c r="B3915" s="21" t="s">
        <v>9029</v>
      </c>
      <c r="C3915" s="21" t="s">
        <v>22663</v>
      </c>
      <c r="D3915" s="31">
        <v>1</v>
      </c>
      <c r="E3915" s="23" t="s">
        <v>22656</v>
      </c>
      <c r="F3915" s="24" t="s">
        <v>22657</v>
      </c>
      <c r="G3915" s="25">
        <v>3</v>
      </c>
      <c r="H3915" s="29"/>
      <c r="I3915" s="30"/>
    </row>
    <row r="3916" spans="1:9" ht="15.75" thickBot="1" x14ac:dyDescent="0.3">
      <c r="A3916" s="43" t="s">
        <v>9030</v>
      </c>
      <c r="B3916" s="21" t="s">
        <v>9031</v>
      </c>
      <c r="C3916" s="21" t="s">
        <v>22663</v>
      </c>
      <c r="D3916" s="31">
        <v>1</v>
      </c>
      <c r="E3916" s="23" t="s">
        <v>22658</v>
      </c>
      <c r="F3916" s="24" t="s">
        <v>22657</v>
      </c>
      <c r="G3916" s="25">
        <v>2</v>
      </c>
      <c r="H3916" s="26"/>
      <c r="I3916" s="27"/>
    </row>
    <row r="3917" spans="1:9" ht="15.75" thickBot="1" x14ac:dyDescent="0.3">
      <c r="A3917" s="43" t="s">
        <v>9032</v>
      </c>
      <c r="B3917" s="21" t="s">
        <v>9033</v>
      </c>
      <c r="C3917" s="21" t="s">
        <v>22663</v>
      </c>
      <c r="D3917" s="31">
        <v>1</v>
      </c>
      <c r="E3917" s="23" t="s">
        <v>22656</v>
      </c>
      <c r="F3917" s="24" t="s">
        <v>22657</v>
      </c>
      <c r="G3917" s="25">
        <v>4</v>
      </c>
      <c r="H3917" s="29"/>
      <c r="I3917" s="30"/>
    </row>
    <row r="3918" spans="1:9" ht="15.75" thickBot="1" x14ac:dyDescent="0.3">
      <c r="A3918" s="43" t="s">
        <v>9034</v>
      </c>
      <c r="B3918" s="21" t="s">
        <v>9035</v>
      </c>
      <c r="C3918" s="21" t="s">
        <v>22682</v>
      </c>
      <c r="D3918" s="22">
        <v>46034</v>
      </c>
      <c r="E3918" s="23" t="s">
        <v>22658</v>
      </c>
      <c r="F3918" s="24" t="s">
        <v>22657</v>
      </c>
      <c r="G3918" s="25">
        <v>4</v>
      </c>
      <c r="H3918" s="26"/>
      <c r="I3918" s="27"/>
    </row>
    <row r="3919" spans="1:9" ht="15.75" thickBot="1" x14ac:dyDescent="0.3">
      <c r="A3919" s="43" t="s">
        <v>9036</v>
      </c>
      <c r="B3919" s="21" t="s">
        <v>9037</v>
      </c>
      <c r="C3919" s="21" t="s">
        <v>22682</v>
      </c>
      <c r="D3919" s="22">
        <v>46034</v>
      </c>
      <c r="E3919" s="23" t="s">
        <v>22658</v>
      </c>
      <c r="F3919" s="24" t="s">
        <v>22657</v>
      </c>
      <c r="G3919" s="25">
        <v>4</v>
      </c>
      <c r="H3919" s="29"/>
      <c r="I3919" s="30"/>
    </row>
    <row r="3920" spans="1:9" ht="15.75" thickBot="1" x14ac:dyDescent="0.3">
      <c r="A3920" s="43" t="s">
        <v>9038</v>
      </c>
      <c r="B3920" s="21" t="s">
        <v>9039</v>
      </c>
      <c r="C3920" s="21" t="s">
        <v>22655</v>
      </c>
      <c r="D3920" s="22">
        <v>46052</v>
      </c>
      <c r="E3920" s="23" t="s">
        <v>22656</v>
      </c>
      <c r="F3920" s="24" t="s">
        <v>22657</v>
      </c>
      <c r="G3920" s="25">
        <v>4</v>
      </c>
      <c r="H3920" s="26"/>
      <c r="I3920" s="27"/>
    </row>
    <row r="3921" spans="1:9" ht="15.75" thickBot="1" x14ac:dyDescent="0.3">
      <c r="A3921" s="43" t="s">
        <v>9040</v>
      </c>
      <c r="B3921" s="21" t="s">
        <v>9041</v>
      </c>
      <c r="C3921" s="21" t="s">
        <v>22655</v>
      </c>
      <c r="D3921" s="22">
        <v>46032</v>
      </c>
      <c r="E3921" s="23" t="s">
        <v>22658</v>
      </c>
      <c r="F3921" s="24" t="s">
        <v>22657</v>
      </c>
      <c r="G3921" s="25">
        <v>4</v>
      </c>
      <c r="H3921" s="29"/>
      <c r="I3921" s="30"/>
    </row>
    <row r="3922" spans="1:9" ht="15.75" thickBot="1" x14ac:dyDescent="0.3">
      <c r="A3922" s="43" t="s">
        <v>9042</v>
      </c>
      <c r="B3922" s="21" t="s">
        <v>9043</v>
      </c>
      <c r="C3922" s="21" t="s">
        <v>22655</v>
      </c>
      <c r="D3922" s="22">
        <v>46042</v>
      </c>
      <c r="E3922" s="23" t="s">
        <v>22656</v>
      </c>
      <c r="F3922" s="24" t="s">
        <v>22657</v>
      </c>
      <c r="G3922" s="25">
        <v>7</v>
      </c>
      <c r="H3922" s="26"/>
      <c r="I3922" s="27"/>
    </row>
    <row r="3923" spans="1:9" ht="15.75" thickBot="1" x14ac:dyDescent="0.3">
      <c r="A3923" s="43" t="s">
        <v>9044</v>
      </c>
      <c r="B3923" s="21" t="s">
        <v>9045</v>
      </c>
      <c r="C3923" s="21" t="s">
        <v>22663</v>
      </c>
      <c r="D3923" s="31">
        <v>1</v>
      </c>
      <c r="E3923" s="23" t="s">
        <v>22656</v>
      </c>
      <c r="F3923" s="24" t="s">
        <v>22657</v>
      </c>
      <c r="G3923" s="25">
        <v>4</v>
      </c>
      <c r="H3923" s="29"/>
      <c r="I3923" s="30"/>
    </row>
    <row r="3924" spans="1:9" ht="15.75" thickBot="1" x14ac:dyDescent="0.3">
      <c r="A3924" s="43" t="s">
        <v>931</v>
      </c>
      <c r="B3924" s="21" t="s">
        <v>932</v>
      </c>
      <c r="C3924" s="21" t="s">
        <v>22655</v>
      </c>
      <c r="D3924" s="22">
        <v>46034</v>
      </c>
      <c r="E3924" s="23" t="s">
        <v>22656</v>
      </c>
      <c r="F3924" s="24" t="s">
        <v>22657</v>
      </c>
      <c r="G3924" s="25">
        <v>4</v>
      </c>
      <c r="H3924" s="34">
        <v>4</v>
      </c>
      <c r="I3924" s="35">
        <v>6</v>
      </c>
    </row>
    <row r="3925" spans="1:9" ht="15.75" thickBot="1" x14ac:dyDescent="0.3">
      <c r="A3925" s="43" t="s">
        <v>779</v>
      </c>
      <c r="B3925" s="21" t="s">
        <v>780</v>
      </c>
      <c r="C3925" s="21" t="s">
        <v>22709</v>
      </c>
      <c r="D3925" s="31">
        <v>1</v>
      </c>
      <c r="E3925" s="23" t="s">
        <v>22656</v>
      </c>
      <c r="F3925" s="24" t="s">
        <v>22657</v>
      </c>
      <c r="G3925" s="25">
        <v>2</v>
      </c>
      <c r="H3925" s="29"/>
      <c r="I3925" s="30"/>
    </row>
    <row r="3926" spans="1:9" ht="15.75" thickBot="1" x14ac:dyDescent="0.3">
      <c r="A3926" s="43" t="s">
        <v>9046</v>
      </c>
      <c r="B3926" s="21" t="s">
        <v>9047</v>
      </c>
      <c r="C3926" s="21" t="s">
        <v>22655</v>
      </c>
      <c r="D3926" s="31" t="s">
        <v>22660</v>
      </c>
      <c r="E3926" s="23" t="s">
        <v>22656</v>
      </c>
      <c r="F3926" s="24" t="s">
        <v>22657</v>
      </c>
      <c r="G3926" s="25">
        <v>6</v>
      </c>
      <c r="H3926" s="26"/>
      <c r="I3926" s="27"/>
    </row>
    <row r="3927" spans="1:9" ht="15.75" thickBot="1" x14ac:dyDescent="0.3">
      <c r="A3927" s="43" t="s">
        <v>9048</v>
      </c>
      <c r="B3927" s="21" t="s">
        <v>9049</v>
      </c>
      <c r="C3927" s="21" t="s">
        <v>22655</v>
      </c>
      <c r="D3927" s="31" t="s">
        <v>22660</v>
      </c>
      <c r="E3927" s="23" t="s">
        <v>22656</v>
      </c>
      <c r="F3927" s="24" t="s">
        <v>22657</v>
      </c>
      <c r="G3927" s="25">
        <v>6</v>
      </c>
      <c r="H3927" s="29"/>
      <c r="I3927" s="30"/>
    </row>
    <row r="3928" spans="1:9" ht="15.75" thickBot="1" x14ac:dyDescent="0.3">
      <c r="A3928" s="43" t="s">
        <v>9050</v>
      </c>
      <c r="B3928" s="21" t="s">
        <v>9051</v>
      </c>
      <c r="C3928" s="21" t="s">
        <v>22663</v>
      </c>
      <c r="D3928" s="31">
        <v>1</v>
      </c>
      <c r="E3928" s="23" t="s">
        <v>22656</v>
      </c>
      <c r="F3928" s="24" t="s">
        <v>22657</v>
      </c>
      <c r="G3928" s="25">
        <v>7</v>
      </c>
      <c r="H3928" s="26"/>
      <c r="I3928" s="27"/>
    </row>
    <row r="3929" spans="1:9" ht="15.75" thickBot="1" x14ac:dyDescent="0.3">
      <c r="A3929" s="43" t="s">
        <v>9052</v>
      </c>
      <c r="B3929" s="21" t="s">
        <v>9053</v>
      </c>
      <c r="C3929" s="21" t="s">
        <v>22663</v>
      </c>
      <c r="D3929" s="31">
        <v>1</v>
      </c>
      <c r="E3929" s="23" t="s">
        <v>22658</v>
      </c>
      <c r="F3929" s="24" t="s">
        <v>22657</v>
      </c>
      <c r="G3929" s="25">
        <v>4</v>
      </c>
      <c r="H3929" s="29"/>
      <c r="I3929" s="30"/>
    </row>
    <row r="3930" spans="1:9" ht="15.75" thickBot="1" x14ac:dyDescent="0.3">
      <c r="A3930" s="43" t="s">
        <v>9054</v>
      </c>
      <c r="B3930" s="21" t="s">
        <v>9055</v>
      </c>
      <c r="C3930" s="21" t="s">
        <v>22663</v>
      </c>
      <c r="D3930" s="31">
        <v>1</v>
      </c>
      <c r="E3930" s="23" t="s">
        <v>22658</v>
      </c>
      <c r="F3930" s="24" t="s">
        <v>22657</v>
      </c>
      <c r="G3930" s="25">
        <v>1</v>
      </c>
      <c r="H3930" s="26"/>
      <c r="I3930" s="27"/>
    </row>
    <row r="3931" spans="1:9" ht="15.75" thickBot="1" x14ac:dyDescent="0.3">
      <c r="A3931" s="43" t="s">
        <v>9056</v>
      </c>
      <c r="B3931" s="21" t="s">
        <v>9057</v>
      </c>
      <c r="C3931" s="21" t="s">
        <v>22663</v>
      </c>
      <c r="D3931" s="31">
        <v>1</v>
      </c>
      <c r="E3931" s="23" t="s">
        <v>22658</v>
      </c>
      <c r="F3931" s="24" t="s">
        <v>22657</v>
      </c>
      <c r="G3931" s="25">
        <v>1</v>
      </c>
      <c r="H3931" s="29"/>
      <c r="I3931" s="30"/>
    </row>
    <row r="3932" spans="1:9" ht="15.75" thickBot="1" x14ac:dyDescent="0.3">
      <c r="A3932" s="43" t="s">
        <v>9058</v>
      </c>
      <c r="B3932" s="21" t="s">
        <v>9059</v>
      </c>
      <c r="C3932" s="21" t="s">
        <v>22663</v>
      </c>
      <c r="D3932" s="31">
        <v>1</v>
      </c>
      <c r="E3932" s="23" t="s">
        <v>22656</v>
      </c>
      <c r="F3932" s="24" t="s">
        <v>22657</v>
      </c>
      <c r="G3932" s="25">
        <v>4</v>
      </c>
      <c r="H3932" s="26"/>
      <c r="I3932" s="27"/>
    </row>
    <row r="3933" spans="1:9" ht="15.75" thickBot="1" x14ac:dyDescent="0.3">
      <c r="A3933" s="43" t="s">
        <v>9060</v>
      </c>
      <c r="B3933" s="21" t="s">
        <v>9061</v>
      </c>
      <c r="C3933" s="21" t="s">
        <v>22663</v>
      </c>
      <c r="D3933" s="31">
        <v>1</v>
      </c>
      <c r="E3933" s="23" t="s">
        <v>22658</v>
      </c>
      <c r="F3933" s="24" t="s">
        <v>22657</v>
      </c>
      <c r="G3933" s="25">
        <v>4</v>
      </c>
      <c r="H3933" s="29"/>
      <c r="I3933" s="30"/>
    </row>
    <row r="3934" spans="1:9" ht="15.75" thickBot="1" x14ac:dyDescent="0.3">
      <c r="A3934" s="43" t="s">
        <v>9062</v>
      </c>
      <c r="B3934" s="21" t="s">
        <v>9063</v>
      </c>
      <c r="C3934" s="21" t="s">
        <v>22663</v>
      </c>
      <c r="D3934" s="31">
        <v>1</v>
      </c>
      <c r="E3934" s="23" t="s">
        <v>22658</v>
      </c>
      <c r="F3934" s="24" t="s">
        <v>22657</v>
      </c>
      <c r="G3934" s="25">
        <v>1</v>
      </c>
      <c r="H3934" s="26"/>
      <c r="I3934" s="27"/>
    </row>
    <row r="3935" spans="1:9" ht="15.75" thickBot="1" x14ac:dyDescent="0.3">
      <c r="A3935" s="43" t="s">
        <v>9064</v>
      </c>
      <c r="B3935" s="21" t="s">
        <v>9065</v>
      </c>
      <c r="C3935" s="21" t="s">
        <v>22663</v>
      </c>
      <c r="D3935" s="31">
        <v>1</v>
      </c>
      <c r="E3935" s="23" t="s">
        <v>22656</v>
      </c>
      <c r="F3935" s="24" t="s">
        <v>22657</v>
      </c>
      <c r="G3935" s="25">
        <v>4</v>
      </c>
      <c r="H3935" s="29"/>
      <c r="I3935" s="30"/>
    </row>
    <row r="3936" spans="1:9" ht="15.75" thickBot="1" x14ac:dyDescent="0.3">
      <c r="A3936" s="43" t="s">
        <v>9066</v>
      </c>
      <c r="B3936" s="21" t="s">
        <v>9067</v>
      </c>
      <c r="C3936" s="21" t="s">
        <v>22663</v>
      </c>
      <c r="D3936" s="31">
        <v>1</v>
      </c>
      <c r="E3936" s="23" t="s">
        <v>22658</v>
      </c>
      <c r="F3936" s="24" t="s">
        <v>22657</v>
      </c>
      <c r="G3936" s="25">
        <v>1</v>
      </c>
      <c r="H3936" s="26"/>
      <c r="I3936" s="27"/>
    </row>
    <row r="3937" spans="1:9" ht="15.75" thickBot="1" x14ac:dyDescent="0.3">
      <c r="A3937" s="43" t="s">
        <v>9068</v>
      </c>
      <c r="B3937" s="21" t="s">
        <v>9069</v>
      </c>
      <c r="C3937" s="21" t="s">
        <v>22663</v>
      </c>
      <c r="D3937" s="31">
        <v>1</v>
      </c>
      <c r="E3937" s="23" t="s">
        <v>22656</v>
      </c>
      <c r="F3937" s="24" t="s">
        <v>22657</v>
      </c>
      <c r="G3937" s="25">
        <v>4</v>
      </c>
      <c r="H3937" s="29"/>
      <c r="I3937" s="30"/>
    </row>
    <row r="3938" spans="1:9" ht="15.75" thickBot="1" x14ac:dyDescent="0.3">
      <c r="A3938" s="43" t="s">
        <v>9070</v>
      </c>
      <c r="B3938" s="21" t="s">
        <v>9071</v>
      </c>
      <c r="C3938" s="21" t="s">
        <v>22663</v>
      </c>
      <c r="D3938" s="31">
        <v>1</v>
      </c>
      <c r="E3938" s="23" t="s">
        <v>22658</v>
      </c>
      <c r="F3938" s="24" t="s">
        <v>22657</v>
      </c>
      <c r="G3938" s="25">
        <v>1</v>
      </c>
      <c r="H3938" s="26"/>
      <c r="I3938" s="27"/>
    </row>
    <row r="3939" spans="1:9" ht="15.75" thickBot="1" x14ac:dyDescent="0.3">
      <c r="A3939" s="43" t="s">
        <v>9072</v>
      </c>
      <c r="B3939" s="21" t="s">
        <v>9073</v>
      </c>
      <c r="C3939" s="21" t="s">
        <v>22663</v>
      </c>
      <c r="D3939" s="31">
        <v>1</v>
      </c>
      <c r="E3939" s="23" t="s">
        <v>22656</v>
      </c>
      <c r="F3939" s="24" t="s">
        <v>22657</v>
      </c>
      <c r="G3939" s="25">
        <v>7</v>
      </c>
      <c r="H3939" s="29"/>
      <c r="I3939" s="30"/>
    </row>
    <row r="3940" spans="1:9" ht="15.75" thickBot="1" x14ac:dyDescent="0.3">
      <c r="A3940" s="43" t="s">
        <v>9074</v>
      </c>
      <c r="B3940" s="21" t="s">
        <v>9075</v>
      </c>
      <c r="C3940" s="21" t="s">
        <v>22663</v>
      </c>
      <c r="D3940" s="31">
        <v>1</v>
      </c>
      <c r="E3940" s="23" t="s">
        <v>22658</v>
      </c>
      <c r="F3940" s="24" t="s">
        <v>22657</v>
      </c>
      <c r="G3940" s="25">
        <v>1</v>
      </c>
      <c r="H3940" s="26"/>
      <c r="I3940" s="27"/>
    </row>
    <row r="3941" spans="1:9" ht="15.75" thickBot="1" x14ac:dyDescent="0.3">
      <c r="A3941" s="43" t="s">
        <v>9076</v>
      </c>
      <c r="B3941" s="21" t="s">
        <v>9077</v>
      </c>
      <c r="C3941" s="21" t="s">
        <v>22655</v>
      </c>
      <c r="D3941" s="31" t="s">
        <v>22688</v>
      </c>
      <c r="E3941" s="23" t="s">
        <v>22656</v>
      </c>
      <c r="F3941" s="24" t="s">
        <v>22657</v>
      </c>
      <c r="G3941" s="25">
        <v>14</v>
      </c>
      <c r="H3941" s="29"/>
      <c r="I3941" s="30"/>
    </row>
    <row r="3942" spans="1:9" ht="15.75" thickBot="1" x14ac:dyDescent="0.3">
      <c r="A3942" s="43" t="s">
        <v>9078</v>
      </c>
      <c r="B3942" s="21" t="s">
        <v>9079</v>
      </c>
      <c r="C3942" s="21" t="s">
        <v>22716</v>
      </c>
      <c r="D3942" s="22">
        <v>46032</v>
      </c>
      <c r="E3942" s="23" t="s">
        <v>22656</v>
      </c>
      <c r="F3942" s="24" t="s">
        <v>22657</v>
      </c>
      <c r="G3942" s="25">
        <v>4</v>
      </c>
      <c r="H3942" s="26"/>
      <c r="I3942" s="27"/>
    </row>
    <row r="3943" spans="1:9" ht="15.75" thickBot="1" x14ac:dyDescent="0.3">
      <c r="A3943" s="43" t="s">
        <v>9080</v>
      </c>
      <c r="B3943" s="21" t="s">
        <v>9081</v>
      </c>
      <c r="C3943" s="21" t="s">
        <v>22716</v>
      </c>
      <c r="D3943" s="22">
        <v>46032</v>
      </c>
      <c r="E3943" s="23" t="s">
        <v>22656</v>
      </c>
      <c r="F3943" s="24" t="s">
        <v>22657</v>
      </c>
      <c r="G3943" s="25">
        <v>4</v>
      </c>
      <c r="H3943" s="29"/>
      <c r="I3943" s="30"/>
    </row>
    <row r="3944" spans="1:9" ht="15.75" thickBot="1" x14ac:dyDescent="0.3">
      <c r="A3944" s="43" t="s">
        <v>9082</v>
      </c>
      <c r="B3944" s="21" t="s">
        <v>9083</v>
      </c>
      <c r="C3944" s="21" t="s">
        <v>22716</v>
      </c>
      <c r="D3944" s="22">
        <v>46032</v>
      </c>
      <c r="E3944" s="23" t="s">
        <v>22656</v>
      </c>
      <c r="F3944" s="24" t="s">
        <v>22657</v>
      </c>
      <c r="G3944" s="25">
        <v>4</v>
      </c>
      <c r="H3944" s="26"/>
      <c r="I3944" s="27"/>
    </row>
    <row r="3945" spans="1:9" ht="15.75" thickBot="1" x14ac:dyDescent="0.3">
      <c r="A3945" s="43" t="s">
        <v>9084</v>
      </c>
      <c r="B3945" s="21" t="s">
        <v>9085</v>
      </c>
      <c r="C3945" s="21" t="s">
        <v>22716</v>
      </c>
      <c r="D3945" s="22">
        <v>46032</v>
      </c>
      <c r="E3945" s="23" t="s">
        <v>22656</v>
      </c>
      <c r="F3945" s="24" t="s">
        <v>22657</v>
      </c>
      <c r="G3945" s="25">
        <v>4</v>
      </c>
      <c r="H3945" s="29"/>
      <c r="I3945" s="30"/>
    </row>
    <row r="3946" spans="1:9" ht="15.75" thickBot="1" x14ac:dyDescent="0.3">
      <c r="A3946" s="43" t="s">
        <v>9086</v>
      </c>
      <c r="B3946" s="21" t="s">
        <v>9087</v>
      </c>
      <c r="C3946" s="21" t="s">
        <v>22655</v>
      </c>
      <c r="D3946" s="22">
        <v>46032</v>
      </c>
      <c r="E3946" s="23" t="s">
        <v>22658</v>
      </c>
      <c r="F3946" s="24" t="s">
        <v>22657</v>
      </c>
      <c r="G3946" s="25">
        <v>4</v>
      </c>
      <c r="H3946" s="26"/>
      <c r="I3946" s="27"/>
    </row>
    <row r="3947" spans="1:9" ht="15.75" thickBot="1" x14ac:dyDescent="0.3">
      <c r="A3947" s="43" t="s">
        <v>9088</v>
      </c>
      <c r="B3947" s="21" t="s">
        <v>9089</v>
      </c>
      <c r="C3947" s="21" t="s">
        <v>22663</v>
      </c>
      <c r="D3947" s="31">
        <v>1</v>
      </c>
      <c r="E3947" s="23" t="s">
        <v>22658</v>
      </c>
      <c r="F3947" s="24" t="s">
        <v>22657</v>
      </c>
      <c r="G3947" s="25">
        <v>1</v>
      </c>
      <c r="H3947" s="29"/>
      <c r="I3947" s="30"/>
    </row>
    <row r="3948" spans="1:9" ht="15.75" thickBot="1" x14ac:dyDescent="0.3">
      <c r="A3948" s="43" t="s">
        <v>9090</v>
      </c>
      <c r="B3948" s="21" t="s">
        <v>9091</v>
      </c>
      <c r="C3948" s="21" t="s">
        <v>22663</v>
      </c>
      <c r="D3948" s="31">
        <v>1</v>
      </c>
      <c r="E3948" s="23" t="s">
        <v>22658</v>
      </c>
      <c r="F3948" s="24" t="s">
        <v>22657</v>
      </c>
      <c r="G3948" s="25">
        <v>1</v>
      </c>
      <c r="H3948" s="26"/>
      <c r="I3948" s="27"/>
    </row>
    <row r="3949" spans="1:9" ht="15.75" thickBot="1" x14ac:dyDescent="0.3">
      <c r="A3949" s="43" t="s">
        <v>9092</v>
      </c>
      <c r="B3949" s="21" t="s">
        <v>9093</v>
      </c>
      <c r="C3949" s="21" t="s">
        <v>22663</v>
      </c>
      <c r="D3949" s="31">
        <v>1</v>
      </c>
      <c r="E3949" s="23" t="s">
        <v>22656</v>
      </c>
      <c r="F3949" s="24" t="s">
        <v>22657</v>
      </c>
      <c r="G3949" s="25">
        <v>4</v>
      </c>
      <c r="H3949" s="29"/>
      <c r="I3949" s="30"/>
    </row>
    <row r="3950" spans="1:9" ht="15.75" thickBot="1" x14ac:dyDescent="0.3">
      <c r="A3950" s="43" t="s">
        <v>9094</v>
      </c>
      <c r="B3950" s="21" t="s">
        <v>9095</v>
      </c>
      <c r="C3950" s="21" t="s">
        <v>22663</v>
      </c>
      <c r="D3950" s="31">
        <v>1</v>
      </c>
      <c r="E3950" s="23" t="s">
        <v>22658</v>
      </c>
      <c r="F3950" s="24" t="s">
        <v>22657</v>
      </c>
      <c r="G3950" s="25">
        <v>4</v>
      </c>
      <c r="H3950" s="26"/>
      <c r="I3950" s="27"/>
    </row>
    <row r="3951" spans="1:9" ht="15.75" thickBot="1" x14ac:dyDescent="0.3">
      <c r="A3951" s="43" t="s">
        <v>9096</v>
      </c>
      <c r="B3951" s="21" t="s">
        <v>9097</v>
      </c>
      <c r="C3951" s="21" t="s">
        <v>22655</v>
      </c>
      <c r="D3951" s="22">
        <v>46052</v>
      </c>
      <c r="E3951" s="23" t="s">
        <v>22656</v>
      </c>
      <c r="F3951" s="24" t="s">
        <v>22657</v>
      </c>
      <c r="G3951" s="25">
        <v>6</v>
      </c>
      <c r="H3951" s="32">
        <v>6</v>
      </c>
      <c r="I3951" s="33">
        <v>12</v>
      </c>
    </row>
    <row r="3952" spans="1:9" ht="15.75" thickBot="1" x14ac:dyDescent="0.3">
      <c r="A3952" s="43" t="s">
        <v>9098</v>
      </c>
      <c r="B3952" s="21" t="s">
        <v>9099</v>
      </c>
      <c r="C3952" s="21" t="s">
        <v>22655</v>
      </c>
      <c r="D3952" s="22">
        <v>46042</v>
      </c>
      <c r="E3952" s="23" t="s">
        <v>22656</v>
      </c>
      <c r="F3952" s="24" t="s">
        <v>22657</v>
      </c>
      <c r="G3952" s="25">
        <v>7</v>
      </c>
      <c r="H3952" s="26"/>
      <c r="I3952" s="27"/>
    </row>
    <row r="3953" spans="1:9" ht="15.75" thickBot="1" x14ac:dyDescent="0.3">
      <c r="A3953" s="43" t="s">
        <v>9100</v>
      </c>
      <c r="B3953" s="21" t="s">
        <v>9101</v>
      </c>
      <c r="C3953" s="21" t="s">
        <v>22663</v>
      </c>
      <c r="D3953" s="31">
        <v>1</v>
      </c>
      <c r="E3953" s="23" t="s">
        <v>22656</v>
      </c>
      <c r="F3953" s="24" t="s">
        <v>22657</v>
      </c>
      <c r="G3953" s="25">
        <v>4</v>
      </c>
      <c r="H3953" s="29"/>
      <c r="I3953" s="30"/>
    </row>
    <row r="3954" spans="1:9" ht="15.75" thickBot="1" x14ac:dyDescent="0.3">
      <c r="A3954" s="43" t="s">
        <v>9102</v>
      </c>
      <c r="B3954" s="21" t="s">
        <v>9103</v>
      </c>
      <c r="C3954" s="21" t="s">
        <v>22663</v>
      </c>
      <c r="D3954" s="31">
        <v>1</v>
      </c>
      <c r="E3954" s="23" t="s">
        <v>22656</v>
      </c>
      <c r="F3954" s="24" t="s">
        <v>22657</v>
      </c>
      <c r="G3954" s="25">
        <v>4</v>
      </c>
      <c r="H3954" s="26"/>
      <c r="I3954" s="27"/>
    </row>
    <row r="3955" spans="1:9" ht="15.75" thickBot="1" x14ac:dyDescent="0.3">
      <c r="A3955" s="43" t="s">
        <v>9104</v>
      </c>
      <c r="B3955" s="21" t="s">
        <v>9105</v>
      </c>
      <c r="C3955" s="21" t="s">
        <v>22709</v>
      </c>
      <c r="D3955" s="31">
        <v>1</v>
      </c>
      <c r="E3955" s="23" t="s">
        <v>22656</v>
      </c>
      <c r="F3955" s="24" t="s">
        <v>22657</v>
      </c>
      <c r="G3955" s="25">
        <v>2</v>
      </c>
      <c r="H3955" s="29"/>
      <c r="I3955" s="30"/>
    </row>
    <row r="3956" spans="1:9" ht="15.75" thickBot="1" x14ac:dyDescent="0.3">
      <c r="A3956" s="43" t="s">
        <v>9106</v>
      </c>
      <c r="B3956" s="21" t="s">
        <v>9107</v>
      </c>
      <c r="C3956" s="21" t="s">
        <v>22663</v>
      </c>
      <c r="D3956" s="31">
        <v>1</v>
      </c>
      <c r="E3956" s="23" t="s">
        <v>22656</v>
      </c>
      <c r="F3956" s="24" t="s">
        <v>22657</v>
      </c>
      <c r="G3956" s="25">
        <v>4</v>
      </c>
      <c r="H3956" s="26"/>
      <c r="I3956" s="27"/>
    </row>
    <row r="3957" spans="1:9" ht="15.75" thickBot="1" x14ac:dyDescent="0.3">
      <c r="A3957" s="43" t="s">
        <v>9108</v>
      </c>
      <c r="B3957" s="21" t="s">
        <v>9109</v>
      </c>
      <c r="C3957" s="21" t="s">
        <v>22663</v>
      </c>
      <c r="D3957" s="31">
        <v>1</v>
      </c>
      <c r="E3957" s="23" t="s">
        <v>22656</v>
      </c>
      <c r="F3957" s="24" t="s">
        <v>22657</v>
      </c>
      <c r="G3957" s="25">
        <v>4</v>
      </c>
      <c r="H3957" s="29"/>
      <c r="I3957" s="30"/>
    </row>
    <row r="3958" spans="1:9" ht="15.75" thickBot="1" x14ac:dyDescent="0.3">
      <c r="A3958" s="43" t="s">
        <v>9110</v>
      </c>
      <c r="B3958" s="21" t="s">
        <v>9111</v>
      </c>
      <c r="C3958" s="21" t="s">
        <v>22709</v>
      </c>
      <c r="D3958" s="31">
        <v>1</v>
      </c>
      <c r="E3958" s="23" t="s">
        <v>22658</v>
      </c>
      <c r="F3958" s="24" t="s">
        <v>22657</v>
      </c>
      <c r="G3958" s="25">
        <v>1</v>
      </c>
      <c r="H3958" s="26"/>
      <c r="I3958" s="27"/>
    </row>
    <row r="3959" spans="1:9" ht="15.75" thickBot="1" x14ac:dyDescent="0.3">
      <c r="A3959" s="43" t="s">
        <v>9112</v>
      </c>
      <c r="B3959" s="21" t="s">
        <v>9113</v>
      </c>
      <c r="C3959" s="21" t="s">
        <v>22663</v>
      </c>
      <c r="D3959" s="31">
        <v>1</v>
      </c>
      <c r="E3959" s="23" t="s">
        <v>22656</v>
      </c>
      <c r="F3959" s="24" t="s">
        <v>22657</v>
      </c>
      <c r="G3959" s="25">
        <v>4</v>
      </c>
      <c r="H3959" s="29"/>
      <c r="I3959" s="30"/>
    </row>
    <row r="3960" spans="1:9" ht="15.75" thickBot="1" x14ac:dyDescent="0.3">
      <c r="A3960" s="43" t="s">
        <v>9114</v>
      </c>
      <c r="B3960" s="21" t="s">
        <v>9115</v>
      </c>
      <c r="C3960" s="21" t="s">
        <v>22663</v>
      </c>
      <c r="D3960" s="31">
        <v>1</v>
      </c>
      <c r="E3960" s="23" t="s">
        <v>22656</v>
      </c>
      <c r="F3960" s="24" t="s">
        <v>22657</v>
      </c>
      <c r="G3960" s="25">
        <v>4</v>
      </c>
      <c r="H3960" s="26"/>
      <c r="I3960" s="27"/>
    </row>
    <row r="3961" spans="1:9" ht="15.75" thickBot="1" x14ac:dyDescent="0.3">
      <c r="A3961" s="43" t="s">
        <v>9116</v>
      </c>
      <c r="B3961" s="21" t="s">
        <v>9117</v>
      </c>
      <c r="C3961" s="21" t="s">
        <v>22663</v>
      </c>
      <c r="D3961" s="31">
        <v>1</v>
      </c>
      <c r="E3961" s="23" t="s">
        <v>22658</v>
      </c>
      <c r="F3961" s="24" t="s">
        <v>22657</v>
      </c>
      <c r="G3961" s="25">
        <v>1</v>
      </c>
      <c r="H3961" s="29"/>
      <c r="I3961" s="30"/>
    </row>
    <row r="3962" spans="1:9" ht="15.75" thickBot="1" x14ac:dyDescent="0.3">
      <c r="A3962" s="43" t="s">
        <v>9118</v>
      </c>
      <c r="B3962" s="21" t="s">
        <v>9119</v>
      </c>
      <c r="C3962" s="21" t="s">
        <v>22655</v>
      </c>
      <c r="D3962" s="22">
        <v>46046</v>
      </c>
      <c r="E3962" s="23" t="s">
        <v>22656</v>
      </c>
      <c r="F3962" s="24" t="s">
        <v>22657</v>
      </c>
      <c r="G3962" s="25">
        <v>8</v>
      </c>
      <c r="H3962" s="26"/>
      <c r="I3962" s="27"/>
    </row>
    <row r="3963" spans="1:9" ht="15.75" thickBot="1" x14ac:dyDescent="0.3">
      <c r="A3963" s="43" t="s">
        <v>9120</v>
      </c>
      <c r="B3963" s="21" t="s">
        <v>9121</v>
      </c>
      <c r="C3963" s="21" t="s">
        <v>22663</v>
      </c>
      <c r="D3963" s="31">
        <v>1</v>
      </c>
      <c r="E3963" s="23" t="s">
        <v>22658</v>
      </c>
      <c r="F3963" s="24" t="s">
        <v>22657</v>
      </c>
      <c r="G3963" s="25">
        <v>1</v>
      </c>
      <c r="H3963" s="29"/>
      <c r="I3963" s="30"/>
    </row>
    <row r="3964" spans="1:9" ht="15.75" thickBot="1" x14ac:dyDescent="0.3">
      <c r="A3964" s="43" t="s">
        <v>9122</v>
      </c>
      <c r="B3964" s="21" t="s">
        <v>9123</v>
      </c>
      <c r="C3964" s="21" t="s">
        <v>22655</v>
      </c>
      <c r="D3964" s="22">
        <v>46042</v>
      </c>
      <c r="E3964" s="23" t="s">
        <v>22658</v>
      </c>
      <c r="F3964" s="24" t="s">
        <v>22657</v>
      </c>
      <c r="G3964" s="25">
        <v>7</v>
      </c>
      <c r="H3964" s="26"/>
      <c r="I3964" s="27"/>
    </row>
    <row r="3965" spans="1:9" ht="15.75" thickBot="1" x14ac:dyDescent="0.3">
      <c r="A3965" s="43" t="s">
        <v>9124</v>
      </c>
      <c r="B3965" s="21" t="s">
        <v>9125</v>
      </c>
      <c r="C3965" s="21" t="s">
        <v>22663</v>
      </c>
      <c r="D3965" s="31">
        <v>1</v>
      </c>
      <c r="E3965" s="23" t="s">
        <v>22656</v>
      </c>
      <c r="F3965" s="24" t="s">
        <v>22657</v>
      </c>
      <c r="G3965" s="25">
        <v>4</v>
      </c>
      <c r="H3965" s="29"/>
      <c r="I3965" s="30"/>
    </row>
    <row r="3966" spans="1:9" ht="15.75" thickBot="1" x14ac:dyDescent="0.3">
      <c r="A3966" s="43" t="s">
        <v>9126</v>
      </c>
      <c r="B3966" s="21" t="s">
        <v>9127</v>
      </c>
      <c r="C3966" s="21" t="s">
        <v>22663</v>
      </c>
      <c r="D3966" s="31">
        <v>1</v>
      </c>
      <c r="E3966" s="23" t="s">
        <v>22658</v>
      </c>
      <c r="F3966" s="24" t="s">
        <v>22657</v>
      </c>
      <c r="G3966" s="25">
        <v>1</v>
      </c>
      <c r="H3966" s="26"/>
      <c r="I3966" s="27"/>
    </row>
    <row r="3967" spans="1:9" ht="15.75" thickBot="1" x14ac:dyDescent="0.3">
      <c r="A3967" s="43" t="s">
        <v>9128</v>
      </c>
      <c r="B3967" s="21" t="s">
        <v>9129</v>
      </c>
      <c r="C3967" s="21" t="s">
        <v>22716</v>
      </c>
      <c r="D3967" s="22">
        <v>46032</v>
      </c>
      <c r="E3967" s="23" t="s">
        <v>22658</v>
      </c>
      <c r="F3967" s="24" t="s">
        <v>22657</v>
      </c>
      <c r="G3967" s="25">
        <v>4</v>
      </c>
      <c r="H3967" s="29"/>
      <c r="I3967" s="30"/>
    </row>
    <row r="3968" spans="1:9" ht="15.75" thickBot="1" x14ac:dyDescent="0.3">
      <c r="A3968" s="43" t="s">
        <v>9130</v>
      </c>
      <c r="B3968" s="21" t="s">
        <v>9131</v>
      </c>
      <c r="C3968" s="21" t="s">
        <v>22806</v>
      </c>
      <c r="D3968" s="31">
        <v>1</v>
      </c>
      <c r="E3968" s="23" t="s">
        <v>22658</v>
      </c>
      <c r="F3968" s="24" t="s">
        <v>22657</v>
      </c>
      <c r="G3968" s="25">
        <v>1</v>
      </c>
      <c r="H3968" s="26"/>
      <c r="I3968" s="27"/>
    </row>
    <row r="3969" spans="1:9" ht="15.75" thickBot="1" x14ac:dyDescent="0.3">
      <c r="A3969" s="43" t="s">
        <v>9132</v>
      </c>
      <c r="B3969" s="21" t="s">
        <v>9133</v>
      </c>
      <c r="C3969" s="21" t="s">
        <v>22663</v>
      </c>
      <c r="D3969" s="31">
        <v>1</v>
      </c>
      <c r="E3969" s="23" t="s">
        <v>22656</v>
      </c>
      <c r="F3969" s="24" t="s">
        <v>22657</v>
      </c>
      <c r="G3969" s="25">
        <v>4</v>
      </c>
      <c r="H3969" s="29"/>
      <c r="I3969" s="30"/>
    </row>
    <row r="3970" spans="1:9" ht="15.75" thickBot="1" x14ac:dyDescent="0.3">
      <c r="A3970" s="43" t="s">
        <v>9134</v>
      </c>
      <c r="B3970" s="21" t="s">
        <v>9135</v>
      </c>
      <c r="C3970" s="21" t="s">
        <v>22663</v>
      </c>
      <c r="D3970" s="31">
        <v>1</v>
      </c>
      <c r="E3970" s="23" t="s">
        <v>22658</v>
      </c>
      <c r="F3970" s="24" t="s">
        <v>22657</v>
      </c>
      <c r="G3970" s="25">
        <v>1</v>
      </c>
      <c r="H3970" s="26"/>
      <c r="I3970" s="27"/>
    </row>
    <row r="3971" spans="1:9" ht="15.75" thickBot="1" x14ac:dyDescent="0.3">
      <c r="A3971" s="43" t="s">
        <v>9136</v>
      </c>
      <c r="B3971" s="21" t="s">
        <v>9137</v>
      </c>
      <c r="C3971" s="21" t="s">
        <v>22663</v>
      </c>
      <c r="D3971" s="31">
        <v>1</v>
      </c>
      <c r="E3971" s="23" t="s">
        <v>22656</v>
      </c>
      <c r="F3971" s="24" t="s">
        <v>22657</v>
      </c>
      <c r="G3971" s="25">
        <v>4</v>
      </c>
      <c r="H3971" s="29"/>
      <c r="I3971" s="30"/>
    </row>
    <row r="3972" spans="1:9" ht="15.75" thickBot="1" x14ac:dyDescent="0.3">
      <c r="A3972" s="43" t="s">
        <v>9138</v>
      </c>
      <c r="B3972" s="21" t="s">
        <v>9139</v>
      </c>
      <c r="C3972" s="21" t="s">
        <v>22663</v>
      </c>
      <c r="D3972" s="31">
        <v>1</v>
      </c>
      <c r="E3972" s="23" t="s">
        <v>22656</v>
      </c>
      <c r="F3972" s="24" t="s">
        <v>22657</v>
      </c>
      <c r="G3972" s="25">
        <v>2</v>
      </c>
      <c r="H3972" s="26"/>
      <c r="I3972" s="27"/>
    </row>
    <row r="3973" spans="1:9" ht="15.75" thickBot="1" x14ac:dyDescent="0.3">
      <c r="A3973" s="43" t="s">
        <v>9140</v>
      </c>
      <c r="B3973" s="21" t="s">
        <v>9141</v>
      </c>
      <c r="C3973" s="21" t="s">
        <v>22655</v>
      </c>
      <c r="D3973" s="22">
        <v>46032</v>
      </c>
      <c r="E3973" s="23" t="s">
        <v>22656</v>
      </c>
      <c r="F3973" s="24" t="s">
        <v>22657</v>
      </c>
      <c r="G3973" s="25">
        <v>5</v>
      </c>
      <c r="H3973" s="29"/>
      <c r="I3973" s="30"/>
    </row>
    <row r="3974" spans="1:9" ht="15.75" thickBot="1" x14ac:dyDescent="0.3">
      <c r="A3974" s="43" t="s">
        <v>9144</v>
      </c>
      <c r="B3974" s="21" t="s">
        <v>9145</v>
      </c>
      <c r="C3974" s="21" t="s">
        <v>22655</v>
      </c>
      <c r="D3974" s="22">
        <v>46042</v>
      </c>
      <c r="E3974" s="23" t="s">
        <v>22656</v>
      </c>
      <c r="F3974" s="24" t="s">
        <v>22657</v>
      </c>
      <c r="G3974" s="25">
        <v>7</v>
      </c>
      <c r="H3974" s="26"/>
      <c r="I3974" s="27"/>
    </row>
    <row r="3975" spans="1:9" ht="15.75" thickBot="1" x14ac:dyDescent="0.3">
      <c r="A3975" s="43" t="s">
        <v>9142</v>
      </c>
      <c r="B3975" s="21" t="s">
        <v>9143</v>
      </c>
      <c r="C3975" s="21" t="s">
        <v>22655</v>
      </c>
      <c r="D3975" s="22">
        <v>46032</v>
      </c>
      <c r="E3975" s="23" t="s">
        <v>22656</v>
      </c>
      <c r="F3975" s="24" t="s">
        <v>22657</v>
      </c>
      <c r="G3975" s="25">
        <v>4</v>
      </c>
      <c r="H3975" s="29"/>
      <c r="I3975" s="30"/>
    </row>
    <row r="3976" spans="1:9" ht="15.75" thickBot="1" x14ac:dyDescent="0.3">
      <c r="A3976" s="43" t="s">
        <v>9146</v>
      </c>
      <c r="B3976" s="21" t="s">
        <v>9147</v>
      </c>
      <c r="C3976" s="21" t="s">
        <v>22663</v>
      </c>
      <c r="D3976" s="31">
        <v>1</v>
      </c>
      <c r="E3976" s="23" t="s">
        <v>22656</v>
      </c>
      <c r="F3976" s="24" t="s">
        <v>22657</v>
      </c>
      <c r="G3976" s="25">
        <v>2</v>
      </c>
      <c r="H3976" s="26"/>
      <c r="I3976" s="27"/>
    </row>
    <row r="3977" spans="1:9" ht="15.75" thickBot="1" x14ac:dyDescent="0.3">
      <c r="A3977" s="43" t="s">
        <v>9148</v>
      </c>
      <c r="B3977" s="21" t="s">
        <v>9149</v>
      </c>
      <c r="C3977" s="21" t="s">
        <v>22655</v>
      </c>
      <c r="D3977" s="22">
        <v>46032</v>
      </c>
      <c r="E3977" s="23" t="s">
        <v>22656</v>
      </c>
      <c r="F3977" s="24" t="s">
        <v>22657</v>
      </c>
      <c r="G3977" s="25">
        <v>4</v>
      </c>
      <c r="H3977" s="29"/>
      <c r="I3977" s="30"/>
    </row>
    <row r="3978" spans="1:9" ht="15.75" thickBot="1" x14ac:dyDescent="0.3">
      <c r="A3978" s="43" t="s">
        <v>9150</v>
      </c>
      <c r="B3978" s="21" t="s">
        <v>9151</v>
      </c>
      <c r="C3978" s="21" t="s">
        <v>22663</v>
      </c>
      <c r="D3978" s="31">
        <v>1</v>
      </c>
      <c r="E3978" s="23" t="s">
        <v>22658</v>
      </c>
      <c r="F3978" s="24" t="s">
        <v>22657</v>
      </c>
      <c r="G3978" s="25">
        <v>4</v>
      </c>
      <c r="H3978" s="26"/>
      <c r="I3978" s="27"/>
    </row>
    <row r="3979" spans="1:9" ht="15.75" thickBot="1" x14ac:dyDescent="0.3">
      <c r="A3979" s="43" t="s">
        <v>9152</v>
      </c>
      <c r="B3979" s="21" t="s">
        <v>9153</v>
      </c>
      <c r="C3979" s="21" t="s">
        <v>22663</v>
      </c>
      <c r="D3979" s="31">
        <v>1</v>
      </c>
      <c r="E3979" s="23" t="s">
        <v>22658</v>
      </c>
      <c r="F3979" s="24" t="s">
        <v>22657</v>
      </c>
      <c r="G3979" s="25">
        <v>1</v>
      </c>
      <c r="H3979" s="29"/>
      <c r="I3979" s="30"/>
    </row>
    <row r="3980" spans="1:9" ht="15.75" thickBot="1" x14ac:dyDescent="0.3">
      <c r="A3980" s="43" t="s">
        <v>9154</v>
      </c>
      <c r="B3980" s="21" t="s">
        <v>9155</v>
      </c>
      <c r="C3980" s="21" t="s">
        <v>22663</v>
      </c>
      <c r="D3980" s="31">
        <v>1</v>
      </c>
      <c r="E3980" s="23" t="s">
        <v>22656</v>
      </c>
      <c r="F3980" s="24" t="s">
        <v>22657</v>
      </c>
      <c r="G3980" s="25">
        <v>4</v>
      </c>
      <c r="H3980" s="26"/>
      <c r="I3980" s="27"/>
    </row>
    <row r="3981" spans="1:9" ht="15.75" thickBot="1" x14ac:dyDescent="0.3">
      <c r="A3981" s="43" t="s">
        <v>9156</v>
      </c>
      <c r="B3981" s="21" t="s">
        <v>9157</v>
      </c>
      <c r="C3981" s="21" t="s">
        <v>22655</v>
      </c>
      <c r="D3981" s="22">
        <v>46032</v>
      </c>
      <c r="E3981" s="23" t="s">
        <v>22656</v>
      </c>
      <c r="F3981" s="24" t="s">
        <v>22657</v>
      </c>
      <c r="G3981" s="25">
        <v>4</v>
      </c>
      <c r="H3981" s="29"/>
      <c r="I3981" s="30"/>
    </row>
    <row r="3982" spans="1:9" ht="15.75" thickBot="1" x14ac:dyDescent="0.3">
      <c r="A3982" s="43" t="s">
        <v>9158</v>
      </c>
      <c r="B3982" s="21" t="s">
        <v>9159</v>
      </c>
      <c r="C3982" s="21" t="s">
        <v>22663</v>
      </c>
      <c r="D3982" s="31">
        <v>1</v>
      </c>
      <c r="E3982" s="23" t="s">
        <v>22656</v>
      </c>
      <c r="F3982" s="24" t="s">
        <v>22657</v>
      </c>
      <c r="G3982" s="25">
        <v>2</v>
      </c>
      <c r="H3982" s="26"/>
      <c r="I3982" s="27"/>
    </row>
    <row r="3983" spans="1:9" ht="15.75" thickBot="1" x14ac:dyDescent="0.3">
      <c r="A3983" s="43" t="s">
        <v>9160</v>
      </c>
      <c r="B3983" s="21" t="s">
        <v>9161</v>
      </c>
      <c r="C3983" s="21" t="s">
        <v>22663</v>
      </c>
      <c r="D3983" s="31">
        <v>1</v>
      </c>
      <c r="E3983" s="23" t="s">
        <v>22658</v>
      </c>
      <c r="F3983" s="24" t="s">
        <v>22657</v>
      </c>
      <c r="G3983" s="25">
        <v>1</v>
      </c>
      <c r="H3983" s="29"/>
      <c r="I3983" s="30"/>
    </row>
    <row r="3984" spans="1:9" ht="15.75" thickBot="1" x14ac:dyDescent="0.3">
      <c r="A3984" s="43" t="s">
        <v>9162</v>
      </c>
      <c r="B3984" s="21" t="s">
        <v>9163</v>
      </c>
      <c r="C3984" s="21" t="s">
        <v>22663</v>
      </c>
      <c r="D3984" s="31">
        <v>1</v>
      </c>
      <c r="E3984" s="23" t="s">
        <v>22658</v>
      </c>
      <c r="F3984" s="24" t="s">
        <v>22657</v>
      </c>
      <c r="G3984" s="25">
        <v>4</v>
      </c>
      <c r="H3984" s="26"/>
      <c r="I3984" s="27"/>
    </row>
    <row r="3985" spans="1:9" ht="15.75" thickBot="1" x14ac:dyDescent="0.3">
      <c r="A3985" s="43" t="s">
        <v>9164</v>
      </c>
      <c r="B3985" s="21" t="s">
        <v>9165</v>
      </c>
      <c r="C3985" s="21" t="s">
        <v>22663</v>
      </c>
      <c r="D3985" s="31">
        <v>1</v>
      </c>
      <c r="E3985" s="23" t="s">
        <v>22658</v>
      </c>
      <c r="F3985" s="24" t="s">
        <v>22657</v>
      </c>
      <c r="G3985" s="25">
        <v>1</v>
      </c>
      <c r="H3985" s="29"/>
      <c r="I3985" s="30"/>
    </row>
    <row r="3986" spans="1:9" ht="15.75" thickBot="1" x14ac:dyDescent="0.3">
      <c r="A3986" s="43" t="s">
        <v>9166</v>
      </c>
      <c r="B3986" s="21" t="s">
        <v>9167</v>
      </c>
      <c r="C3986" s="21" t="s">
        <v>22663</v>
      </c>
      <c r="D3986" s="31">
        <v>1</v>
      </c>
      <c r="E3986" s="23" t="s">
        <v>22656</v>
      </c>
      <c r="F3986" s="24" t="s">
        <v>22657</v>
      </c>
      <c r="G3986" s="25">
        <v>4</v>
      </c>
      <c r="H3986" s="26"/>
      <c r="I3986" s="27"/>
    </row>
    <row r="3987" spans="1:9" ht="15.75" thickBot="1" x14ac:dyDescent="0.3">
      <c r="A3987" s="43" t="s">
        <v>9168</v>
      </c>
      <c r="B3987" s="21" t="s">
        <v>9169</v>
      </c>
      <c r="C3987" s="21" t="s">
        <v>22663</v>
      </c>
      <c r="D3987" s="31">
        <v>1</v>
      </c>
      <c r="E3987" s="23" t="s">
        <v>22656</v>
      </c>
      <c r="F3987" s="24" t="s">
        <v>22657</v>
      </c>
      <c r="G3987" s="25">
        <v>4</v>
      </c>
      <c r="H3987" s="29"/>
      <c r="I3987" s="30"/>
    </row>
    <row r="3988" spans="1:9" ht="15.75" thickBot="1" x14ac:dyDescent="0.3">
      <c r="A3988" s="43" t="s">
        <v>9170</v>
      </c>
      <c r="B3988" s="21" t="s">
        <v>9171</v>
      </c>
      <c r="C3988" s="21" t="s">
        <v>22663</v>
      </c>
      <c r="D3988" s="31">
        <v>1</v>
      </c>
      <c r="E3988" s="23" t="s">
        <v>22658</v>
      </c>
      <c r="F3988" s="24" t="s">
        <v>22657</v>
      </c>
      <c r="G3988" s="25">
        <v>1</v>
      </c>
      <c r="H3988" s="26"/>
      <c r="I3988" s="27"/>
    </row>
    <row r="3989" spans="1:9" ht="15.75" thickBot="1" x14ac:dyDescent="0.3">
      <c r="A3989" s="43" t="s">
        <v>9172</v>
      </c>
      <c r="B3989" s="21" t="s">
        <v>9173</v>
      </c>
      <c r="C3989" s="21" t="s">
        <v>22663</v>
      </c>
      <c r="D3989" s="31">
        <v>1</v>
      </c>
      <c r="E3989" s="23" t="s">
        <v>22656</v>
      </c>
      <c r="F3989" s="24" t="s">
        <v>22657</v>
      </c>
      <c r="G3989" s="25">
        <v>4</v>
      </c>
      <c r="H3989" s="29"/>
      <c r="I3989" s="30"/>
    </row>
    <row r="3990" spans="1:9" ht="15.75" thickBot="1" x14ac:dyDescent="0.3">
      <c r="A3990" s="43" t="s">
        <v>9174</v>
      </c>
      <c r="B3990" s="21" t="s">
        <v>9175</v>
      </c>
      <c r="C3990" s="21" t="s">
        <v>22663</v>
      </c>
      <c r="D3990" s="31">
        <v>1</v>
      </c>
      <c r="E3990" s="23" t="s">
        <v>22658</v>
      </c>
      <c r="F3990" s="24" t="s">
        <v>22657</v>
      </c>
      <c r="G3990" s="25">
        <v>1</v>
      </c>
      <c r="H3990" s="26"/>
      <c r="I3990" s="27"/>
    </row>
    <row r="3991" spans="1:9" ht="15.75" thickBot="1" x14ac:dyDescent="0.3">
      <c r="A3991" s="43" t="s">
        <v>9176</v>
      </c>
      <c r="B3991" s="21" t="s">
        <v>9177</v>
      </c>
      <c r="C3991" s="21" t="s">
        <v>22663</v>
      </c>
      <c r="D3991" s="31">
        <v>1</v>
      </c>
      <c r="E3991" s="23" t="s">
        <v>22656</v>
      </c>
      <c r="F3991" s="24" t="s">
        <v>22657</v>
      </c>
      <c r="G3991" s="25">
        <v>4</v>
      </c>
      <c r="H3991" s="29"/>
      <c r="I3991" s="30"/>
    </row>
    <row r="3992" spans="1:9" ht="15.75" thickBot="1" x14ac:dyDescent="0.3">
      <c r="A3992" s="43" t="s">
        <v>9178</v>
      </c>
      <c r="B3992" s="21" t="s">
        <v>9179</v>
      </c>
      <c r="C3992" s="21" t="s">
        <v>22663</v>
      </c>
      <c r="D3992" s="31">
        <v>1</v>
      </c>
      <c r="E3992" s="23" t="s">
        <v>22656</v>
      </c>
      <c r="F3992" s="24" t="s">
        <v>22657</v>
      </c>
      <c r="G3992" s="25">
        <v>2</v>
      </c>
      <c r="H3992" s="26"/>
      <c r="I3992" s="27"/>
    </row>
    <row r="3993" spans="1:9" ht="15.75" thickBot="1" x14ac:dyDescent="0.3">
      <c r="A3993" s="43" t="s">
        <v>9180</v>
      </c>
      <c r="B3993" s="21" t="s">
        <v>9181</v>
      </c>
      <c r="C3993" s="21" t="s">
        <v>22663</v>
      </c>
      <c r="D3993" s="31">
        <v>1</v>
      </c>
      <c r="E3993" s="23" t="s">
        <v>22658</v>
      </c>
      <c r="F3993" s="24" t="s">
        <v>22657</v>
      </c>
      <c r="G3993" s="25">
        <v>4</v>
      </c>
      <c r="H3993" s="29"/>
      <c r="I3993" s="30"/>
    </row>
    <row r="3994" spans="1:9" ht="15.75" thickBot="1" x14ac:dyDescent="0.3">
      <c r="A3994" s="43" t="s">
        <v>9182</v>
      </c>
      <c r="B3994" s="21" t="s">
        <v>9183</v>
      </c>
      <c r="C3994" s="21" t="s">
        <v>22663</v>
      </c>
      <c r="D3994" s="31">
        <v>1</v>
      </c>
      <c r="E3994" s="23" t="s">
        <v>22656</v>
      </c>
      <c r="F3994" s="24" t="s">
        <v>22657</v>
      </c>
      <c r="G3994" s="25">
        <v>2</v>
      </c>
      <c r="H3994" s="26"/>
      <c r="I3994" s="27"/>
    </row>
    <row r="3995" spans="1:9" ht="15.75" thickBot="1" x14ac:dyDescent="0.3">
      <c r="A3995" s="43" t="s">
        <v>9184</v>
      </c>
      <c r="B3995" s="21" t="s">
        <v>9185</v>
      </c>
      <c r="C3995" s="21" t="s">
        <v>22663</v>
      </c>
      <c r="D3995" s="31">
        <v>1</v>
      </c>
      <c r="E3995" s="23" t="s">
        <v>22656</v>
      </c>
      <c r="F3995" s="24" t="s">
        <v>22657</v>
      </c>
      <c r="G3995" s="25">
        <v>4</v>
      </c>
      <c r="H3995" s="29"/>
      <c r="I3995" s="30"/>
    </row>
    <row r="3996" spans="1:9" ht="15.75" thickBot="1" x14ac:dyDescent="0.3">
      <c r="A3996" s="43" t="s">
        <v>9186</v>
      </c>
      <c r="B3996" s="21" t="s">
        <v>9187</v>
      </c>
      <c r="C3996" s="21" t="s">
        <v>22709</v>
      </c>
      <c r="D3996" s="31">
        <v>1</v>
      </c>
      <c r="E3996" s="23" t="s">
        <v>22656</v>
      </c>
      <c r="F3996" s="24" t="s">
        <v>22657</v>
      </c>
      <c r="G3996" s="25">
        <v>2</v>
      </c>
      <c r="H3996" s="26"/>
      <c r="I3996" s="27"/>
    </row>
    <row r="3997" spans="1:9" ht="15.75" thickBot="1" x14ac:dyDescent="0.3">
      <c r="A3997" s="43" t="s">
        <v>9188</v>
      </c>
      <c r="B3997" s="21" t="s">
        <v>9189</v>
      </c>
      <c r="C3997" s="21" t="s">
        <v>22663</v>
      </c>
      <c r="D3997" s="31">
        <v>1</v>
      </c>
      <c r="E3997" s="23" t="s">
        <v>22656</v>
      </c>
      <c r="F3997" s="24" t="s">
        <v>22657</v>
      </c>
      <c r="G3997" s="25">
        <v>4</v>
      </c>
      <c r="H3997" s="29"/>
      <c r="I3997" s="30"/>
    </row>
    <row r="3998" spans="1:9" ht="15.75" thickBot="1" x14ac:dyDescent="0.3">
      <c r="A3998" s="43" t="s">
        <v>9190</v>
      </c>
      <c r="B3998" s="21" t="s">
        <v>9191</v>
      </c>
      <c r="C3998" s="21" t="s">
        <v>22663</v>
      </c>
      <c r="D3998" s="31">
        <v>1</v>
      </c>
      <c r="E3998" s="23" t="s">
        <v>22656</v>
      </c>
      <c r="F3998" s="24" t="s">
        <v>22657</v>
      </c>
      <c r="G3998" s="25">
        <v>2</v>
      </c>
      <c r="H3998" s="26"/>
      <c r="I3998" s="27"/>
    </row>
    <row r="3999" spans="1:9" ht="15.75" thickBot="1" x14ac:dyDescent="0.3">
      <c r="A3999" s="43" t="s">
        <v>9192</v>
      </c>
      <c r="B3999" s="21" t="s">
        <v>9193</v>
      </c>
      <c r="C3999" s="21" t="s">
        <v>22655</v>
      </c>
      <c r="D3999" s="22">
        <v>46052</v>
      </c>
      <c r="E3999" s="23" t="s">
        <v>22656</v>
      </c>
      <c r="F3999" s="24" t="s">
        <v>22657</v>
      </c>
      <c r="G3999" s="25">
        <v>4</v>
      </c>
      <c r="H3999" s="29"/>
      <c r="I3999" s="30"/>
    </row>
    <row r="4000" spans="1:9" ht="15.75" thickBot="1" x14ac:dyDescent="0.3">
      <c r="A4000" s="43" t="s">
        <v>9194</v>
      </c>
      <c r="B4000" s="21" t="s">
        <v>9195</v>
      </c>
      <c r="C4000" s="21" t="s">
        <v>22655</v>
      </c>
      <c r="D4000" s="22">
        <v>46032</v>
      </c>
      <c r="E4000" s="23" t="s">
        <v>22656</v>
      </c>
      <c r="F4000" s="24" t="s">
        <v>22657</v>
      </c>
      <c r="G4000" s="25">
        <v>4</v>
      </c>
      <c r="H4000" s="26"/>
      <c r="I4000" s="27"/>
    </row>
    <row r="4001" spans="1:9" ht="15.75" thickBot="1" x14ac:dyDescent="0.3">
      <c r="A4001" s="43" t="s">
        <v>9196</v>
      </c>
      <c r="B4001" s="21" t="s">
        <v>9197</v>
      </c>
      <c r="C4001" s="21" t="s">
        <v>22663</v>
      </c>
      <c r="D4001" s="31">
        <v>1</v>
      </c>
      <c r="E4001" s="23" t="s">
        <v>22656</v>
      </c>
      <c r="F4001" s="24" t="s">
        <v>22657</v>
      </c>
      <c r="G4001" s="25">
        <v>4</v>
      </c>
      <c r="H4001" s="29"/>
      <c r="I4001" s="30"/>
    </row>
    <row r="4002" spans="1:9" ht="15.75" thickBot="1" x14ac:dyDescent="0.3">
      <c r="A4002" s="43" t="s">
        <v>9198</v>
      </c>
      <c r="B4002" s="21" t="s">
        <v>9199</v>
      </c>
      <c r="C4002" s="21" t="s">
        <v>22663</v>
      </c>
      <c r="D4002" s="31">
        <v>1</v>
      </c>
      <c r="E4002" s="23" t="s">
        <v>22656</v>
      </c>
      <c r="F4002" s="24" t="s">
        <v>22657</v>
      </c>
      <c r="G4002" s="25">
        <v>2</v>
      </c>
      <c r="H4002" s="26"/>
      <c r="I4002" s="27"/>
    </row>
    <row r="4003" spans="1:9" ht="15.75" thickBot="1" x14ac:dyDescent="0.3">
      <c r="A4003" s="43" t="s">
        <v>9200</v>
      </c>
      <c r="B4003" s="21" t="s">
        <v>9201</v>
      </c>
      <c r="C4003" s="21" t="s">
        <v>22663</v>
      </c>
      <c r="D4003" s="31">
        <v>1</v>
      </c>
      <c r="E4003" s="23" t="s">
        <v>22656</v>
      </c>
      <c r="F4003" s="24" t="s">
        <v>22657</v>
      </c>
      <c r="G4003" s="25">
        <v>4</v>
      </c>
      <c r="H4003" s="29"/>
      <c r="I4003" s="30"/>
    </row>
    <row r="4004" spans="1:9" ht="15.75" thickBot="1" x14ac:dyDescent="0.3">
      <c r="A4004" s="43" t="s">
        <v>9202</v>
      </c>
      <c r="B4004" s="21" t="s">
        <v>9203</v>
      </c>
      <c r="C4004" s="21" t="s">
        <v>22663</v>
      </c>
      <c r="D4004" s="31">
        <v>1</v>
      </c>
      <c r="E4004" s="23" t="s">
        <v>22658</v>
      </c>
      <c r="F4004" s="24" t="s">
        <v>22657</v>
      </c>
      <c r="G4004" s="25">
        <v>1</v>
      </c>
      <c r="H4004" s="26"/>
      <c r="I4004" s="27"/>
    </row>
    <row r="4005" spans="1:9" ht="15.75" thickBot="1" x14ac:dyDescent="0.3">
      <c r="A4005" s="43" t="s">
        <v>9204</v>
      </c>
      <c r="B4005" s="21" t="s">
        <v>9205</v>
      </c>
      <c r="C4005" s="21" t="s">
        <v>22709</v>
      </c>
      <c r="D4005" s="31">
        <v>1</v>
      </c>
      <c r="E4005" s="23" t="s">
        <v>22658</v>
      </c>
      <c r="F4005" s="24" t="s">
        <v>22657</v>
      </c>
      <c r="G4005" s="25">
        <v>1</v>
      </c>
      <c r="H4005" s="29"/>
      <c r="I4005" s="30"/>
    </row>
    <row r="4006" spans="1:9" ht="15.75" thickBot="1" x14ac:dyDescent="0.3">
      <c r="A4006" s="43" t="s">
        <v>9206</v>
      </c>
      <c r="B4006" s="21" t="s">
        <v>9207</v>
      </c>
      <c r="C4006" s="21" t="s">
        <v>22655</v>
      </c>
      <c r="D4006" s="22">
        <v>46047</v>
      </c>
      <c r="E4006" s="23" t="s">
        <v>22656</v>
      </c>
      <c r="F4006" s="24" t="s">
        <v>22657</v>
      </c>
      <c r="G4006" s="25">
        <v>4</v>
      </c>
      <c r="H4006" s="26"/>
      <c r="I4006" s="27"/>
    </row>
    <row r="4007" spans="1:9" ht="15.75" thickBot="1" x14ac:dyDescent="0.3">
      <c r="A4007" s="43" t="s">
        <v>9208</v>
      </c>
      <c r="B4007" s="21" t="s">
        <v>9209</v>
      </c>
      <c r="C4007" s="21" t="s">
        <v>22655</v>
      </c>
      <c r="D4007" s="31" t="s">
        <v>22673</v>
      </c>
      <c r="E4007" s="23" t="s">
        <v>22656</v>
      </c>
      <c r="F4007" s="24" t="s">
        <v>22657</v>
      </c>
      <c r="G4007" s="25">
        <v>9</v>
      </c>
      <c r="H4007" s="29"/>
      <c r="I4007" s="30"/>
    </row>
    <row r="4008" spans="1:9" ht="15.75" thickBot="1" x14ac:dyDescent="0.3">
      <c r="A4008" s="43" t="s">
        <v>9210</v>
      </c>
      <c r="B4008" s="21" t="s">
        <v>9211</v>
      </c>
      <c r="C4008" s="21" t="s">
        <v>22655</v>
      </c>
      <c r="D4008" s="22">
        <v>46032</v>
      </c>
      <c r="E4008" s="23" t="s">
        <v>22658</v>
      </c>
      <c r="F4008" s="24" t="s">
        <v>22657</v>
      </c>
      <c r="G4008" s="25">
        <v>4</v>
      </c>
      <c r="H4008" s="26"/>
      <c r="I4008" s="27"/>
    </row>
    <row r="4009" spans="1:9" ht="15.75" thickBot="1" x14ac:dyDescent="0.3">
      <c r="A4009" s="43" t="s">
        <v>9212</v>
      </c>
      <c r="B4009" s="21" t="s">
        <v>9213</v>
      </c>
      <c r="C4009" s="21" t="s">
        <v>22655</v>
      </c>
      <c r="D4009" s="22">
        <v>46032</v>
      </c>
      <c r="E4009" s="23" t="s">
        <v>22656</v>
      </c>
      <c r="F4009" s="24" t="s">
        <v>22657</v>
      </c>
      <c r="G4009" s="25">
        <v>4</v>
      </c>
      <c r="H4009" s="29"/>
      <c r="I4009" s="30"/>
    </row>
    <row r="4010" spans="1:9" ht="15.75" thickBot="1" x14ac:dyDescent="0.3">
      <c r="A4010" s="43" t="s">
        <v>9214</v>
      </c>
      <c r="B4010" s="21" t="s">
        <v>9215</v>
      </c>
      <c r="C4010" s="21" t="s">
        <v>22663</v>
      </c>
      <c r="D4010" s="31">
        <v>1</v>
      </c>
      <c r="E4010" s="23" t="s">
        <v>22658</v>
      </c>
      <c r="F4010" s="24" t="s">
        <v>22657</v>
      </c>
      <c r="G4010" s="25">
        <v>4</v>
      </c>
      <c r="H4010" s="26"/>
      <c r="I4010" s="27"/>
    </row>
    <row r="4011" spans="1:9" ht="15.75" thickBot="1" x14ac:dyDescent="0.3">
      <c r="A4011" s="43" t="s">
        <v>9216</v>
      </c>
      <c r="B4011" s="21" t="s">
        <v>9217</v>
      </c>
      <c r="C4011" s="21" t="s">
        <v>22663</v>
      </c>
      <c r="D4011" s="31">
        <v>1</v>
      </c>
      <c r="E4011" s="23" t="s">
        <v>22658</v>
      </c>
      <c r="F4011" s="24" t="s">
        <v>22657</v>
      </c>
      <c r="G4011" s="25">
        <v>1</v>
      </c>
      <c r="H4011" s="29"/>
      <c r="I4011" s="30"/>
    </row>
    <row r="4012" spans="1:9" ht="15.75" thickBot="1" x14ac:dyDescent="0.3">
      <c r="A4012" s="43" t="s">
        <v>9218</v>
      </c>
      <c r="B4012" s="21" t="s">
        <v>9219</v>
      </c>
      <c r="C4012" s="21" t="s">
        <v>22709</v>
      </c>
      <c r="D4012" s="31">
        <v>1</v>
      </c>
      <c r="E4012" s="23" t="s">
        <v>22658</v>
      </c>
      <c r="F4012" s="24" t="s">
        <v>22657</v>
      </c>
      <c r="G4012" s="25">
        <v>1</v>
      </c>
      <c r="H4012" s="26"/>
      <c r="I4012" s="27"/>
    </row>
    <row r="4013" spans="1:9" ht="15.75" thickBot="1" x14ac:dyDescent="0.3">
      <c r="A4013" s="43" t="s">
        <v>9222</v>
      </c>
      <c r="B4013" s="21" t="s">
        <v>9223</v>
      </c>
      <c r="C4013" s="21" t="s">
        <v>22663</v>
      </c>
      <c r="D4013" s="31">
        <v>1</v>
      </c>
      <c r="E4013" s="23" t="s">
        <v>22656</v>
      </c>
      <c r="F4013" s="24" t="s">
        <v>22657</v>
      </c>
      <c r="G4013" s="25">
        <v>4</v>
      </c>
      <c r="H4013" s="29"/>
      <c r="I4013" s="30"/>
    </row>
    <row r="4014" spans="1:9" ht="15.75" thickBot="1" x14ac:dyDescent="0.3">
      <c r="A4014" s="43" t="s">
        <v>9226</v>
      </c>
      <c r="B4014" s="21" t="s">
        <v>9227</v>
      </c>
      <c r="C4014" s="21" t="s">
        <v>22663</v>
      </c>
      <c r="D4014" s="31">
        <v>1</v>
      </c>
      <c r="E4014" s="23" t="s">
        <v>22656</v>
      </c>
      <c r="F4014" s="24" t="s">
        <v>22657</v>
      </c>
      <c r="G4014" s="25">
        <v>4</v>
      </c>
      <c r="H4014" s="26"/>
      <c r="I4014" s="27"/>
    </row>
    <row r="4015" spans="1:9" ht="15.75" thickBot="1" x14ac:dyDescent="0.3">
      <c r="A4015" s="43" t="s">
        <v>9224</v>
      </c>
      <c r="B4015" s="21" t="s">
        <v>22542</v>
      </c>
      <c r="C4015" s="21" t="s">
        <v>22663</v>
      </c>
      <c r="D4015" s="31">
        <v>1</v>
      </c>
      <c r="E4015" s="23" t="s">
        <v>22656</v>
      </c>
      <c r="F4015" s="24" t="s">
        <v>22657</v>
      </c>
      <c r="G4015" s="25">
        <v>4</v>
      </c>
      <c r="H4015" s="32">
        <v>4</v>
      </c>
      <c r="I4015" s="33">
        <v>6</v>
      </c>
    </row>
    <row r="4016" spans="1:9" ht="15.75" thickBot="1" x14ac:dyDescent="0.3">
      <c r="A4016" s="43" t="s">
        <v>9228</v>
      </c>
      <c r="B4016" s="21" t="s">
        <v>22543</v>
      </c>
      <c r="C4016" s="21" t="s">
        <v>22727</v>
      </c>
      <c r="D4016" s="31">
        <v>1</v>
      </c>
      <c r="E4016" s="23" t="s">
        <v>22658</v>
      </c>
      <c r="F4016" s="28" t="s">
        <v>22659</v>
      </c>
      <c r="G4016" s="25">
        <v>1</v>
      </c>
      <c r="H4016" s="26"/>
      <c r="I4016" s="27"/>
    </row>
    <row r="4017" spans="1:9" ht="15.75" thickBot="1" x14ac:dyDescent="0.3">
      <c r="A4017" s="43" t="s">
        <v>9230</v>
      </c>
      <c r="B4017" s="21" t="s">
        <v>9231</v>
      </c>
      <c r="C4017" s="21" t="s">
        <v>22698</v>
      </c>
      <c r="D4017" s="31">
        <v>1</v>
      </c>
      <c r="E4017" s="23" t="s">
        <v>22656</v>
      </c>
      <c r="F4017" s="24" t="s">
        <v>22657</v>
      </c>
      <c r="G4017" s="25">
        <v>2</v>
      </c>
      <c r="H4017" s="29"/>
      <c r="I4017" s="30"/>
    </row>
    <row r="4018" spans="1:9" ht="15.75" thickBot="1" x14ac:dyDescent="0.3">
      <c r="A4018" s="43" t="s">
        <v>9232</v>
      </c>
      <c r="B4018" s="21" t="s">
        <v>9233</v>
      </c>
      <c r="C4018" s="21" t="s">
        <v>22663</v>
      </c>
      <c r="D4018" s="31">
        <v>1</v>
      </c>
      <c r="E4018" s="23" t="s">
        <v>22656</v>
      </c>
      <c r="F4018" s="24" t="s">
        <v>22657</v>
      </c>
      <c r="G4018" s="25">
        <v>2</v>
      </c>
      <c r="H4018" s="26"/>
      <c r="I4018" s="27"/>
    </row>
    <row r="4019" spans="1:9" ht="15.75" thickBot="1" x14ac:dyDescent="0.3">
      <c r="A4019" s="43" t="s">
        <v>9234</v>
      </c>
      <c r="B4019" s="21" t="s">
        <v>9235</v>
      </c>
      <c r="C4019" s="21" t="s">
        <v>22663</v>
      </c>
      <c r="D4019" s="31">
        <v>1</v>
      </c>
      <c r="E4019" s="23" t="s">
        <v>22656</v>
      </c>
      <c r="F4019" s="24" t="s">
        <v>22657</v>
      </c>
      <c r="G4019" s="25">
        <v>4</v>
      </c>
      <c r="H4019" s="29"/>
      <c r="I4019" s="30"/>
    </row>
    <row r="4020" spans="1:9" ht="15.75" thickBot="1" x14ac:dyDescent="0.3">
      <c r="A4020" s="43" t="s">
        <v>9236</v>
      </c>
      <c r="B4020" s="21" t="s">
        <v>9237</v>
      </c>
      <c r="C4020" s="21" t="s">
        <v>22727</v>
      </c>
      <c r="D4020" s="31">
        <v>1</v>
      </c>
      <c r="E4020" s="23" t="s">
        <v>22658</v>
      </c>
      <c r="F4020" s="28" t="s">
        <v>22659</v>
      </c>
      <c r="G4020" s="25">
        <v>1</v>
      </c>
      <c r="H4020" s="26"/>
      <c r="I4020" s="27"/>
    </row>
    <row r="4021" spans="1:9" ht="15.75" thickBot="1" x14ac:dyDescent="0.3">
      <c r="A4021" s="43" t="s">
        <v>9238</v>
      </c>
      <c r="B4021" s="21" t="s">
        <v>9239</v>
      </c>
      <c r="C4021" s="21" t="s">
        <v>22663</v>
      </c>
      <c r="D4021" s="31">
        <v>1</v>
      </c>
      <c r="E4021" s="23" t="s">
        <v>22658</v>
      </c>
      <c r="F4021" s="24" t="s">
        <v>22657</v>
      </c>
      <c r="G4021" s="25">
        <v>4</v>
      </c>
      <c r="H4021" s="29"/>
      <c r="I4021" s="30"/>
    </row>
    <row r="4022" spans="1:9" ht="15.75" thickBot="1" x14ac:dyDescent="0.3">
      <c r="A4022" s="43" t="s">
        <v>9240</v>
      </c>
      <c r="B4022" s="21" t="s">
        <v>9241</v>
      </c>
      <c r="C4022" s="21" t="s">
        <v>22663</v>
      </c>
      <c r="D4022" s="31">
        <v>1</v>
      </c>
      <c r="E4022" s="23" t="s">
        <v>22658</v>
      </c>
      <c r="F4022" s="24" t="s">
        <v>22657</v>
      </c>
      <c r="G4022" s="25">
        <v>2</v>
      </c>
      <c r="H4022" s="26"/>
      <c r="I4022" s="27"/>
    </row>
    <row r="4023" spans="1:9" ht="15.75" thickBot="1" x14ac:dyDescent="0.3">
      <c r="A4023" s="43" t="s">
        <v>9242</v>
      </c>
      <c r="B4023" s="21" t="s">
        <v>9243</v>
      </c>
      <c r="C4023" s="21" t="s">
        <v>22663</v>
      </c>
      <c r="D4023" s="31">
        <v>1</v>
      </c>
      <c r="E4023" s="23" t="s">
        <v>22661</v>
      </c>
      <c r="F4023" s="24" t="s">
        <v>22657</v>
      </c>
      <c r="G4023" s="25">
        <v>11</v>
      </c>
      <c r="H4023" s="29"/>
      <c r="I4023" s="30"/>
    </row>
    <row r="4024" spans="1:9" ht="15.75" thickBot="1" x14ac:dyDescent="0.3">
      <c r="A4024" s="43" t="s">
        <v>852</v>
      </c>
      <c r="B4024" s="21" t="s">
        <v>853</v>
      </c>
      <c r="C4024" s="21" t="s">
        <v>22663</v>
      </c>
      <c r="D4024" s="31">
        <v>1</v>
      </c>
      <c r="E4024" s="23" t="s">
        <v>22665</v>
      </c>
      <c r="F4024" s="24" t="s">
        <v>22657</v>
      </c>
      <c r="G4024" s="25">
        <v>12</v>
      </c>
      <c r="H4024" s="34">
        <v>12</v>
      </c>
      <c r="I4024" s="35">
        <v>18</v>
      </c>
    </row>
    <row r="4025" spans="1:9" ht="15.75" thickBot="1" x14ac:dyDescent="0.3">
      <c r="A4025" s="43" t="s">
        <v>898</v>
      </c>
      <c r="B4025" s="21" t="s">
        <v>899</v>
      </c>
      <c r="C4025" s="21" t="s">
        <v>22655</v>
      </c>
      <c r="D4025" s="22">
        <v>46024</v>
      </c>
      <c r="E4025" s="23" t="s">
        <v>22656</v>
      </c>
      <c r="F4025" s="24" t="s">
        <v>22657</v>
      </c>
      <c r="G4025" s="25">
        <v>2</v>
      </c>
      <c r="H4025" s="29"/>
      <c r="I4025" s="30"/>
    </row>
    <row r="4026" spans="1:9" ht="15.75" thickBot="1" x14ac:dyDescent="0.3">
      <c r="A4026" s="43" t="s">
        <v>9244</v>
      </c>
      <c r="B4026" s="21" t="s">
        <v>9245</v>
      </c>
      <c r="C4026" s="21" t="s">
        <v>22655</v>
      </c>
      <c r="D4026" s="22">
        <v>46024</v>
      </c>
      <c r="E4026" s="23" t="s">
        <v>22658</v>
      </c>
      <c r="F4026" s="24" t="s">
        <v>22657</v>
      </c>
      <c r="G4026" s="25">
        <v>1</v>
      </c>
      <c r="H4026" s="26"/>
      <c r="I4026" s="27"/>
    </row>
    <row r="4027" spans="1:9" ht="15.75" thickBot="1" x14ac:dyDescent="0.3">
      <c r="A4027" s="43" t="s">
        <v>9246</v>
      </c>
      <c r="B4027" s="21" t="s">
        <v>9247</v>
      </c>
      <c r="C4027" s="21" t="s">
        <v>22655</v>
      </c>
      <c r="D4027" s="22">
        <v>46024</v>
      </c>
      <c r="E4027" s="23" t="s">
        <v>22656</v>
      </c>
      <c r="F4027" s="24" t="s">
        <v>22657</v>
      </c>
      <c r="G4027" s="25">
        <v>2</v>
      </c>
      <c r="H4027" s="29"/>
      <c r="I4027" s="30"/>
    </row>
    <row r="4028" spans="1:9" ht="15.75" thickBot="1" x14ac:dyDescent="0.3">
      <c r="A4028" s="43" t="s">
        <v>9248</v>
      </c>
      <c r="B4028" s="21" t="s">
        <v>9249</v>
      </c>
      <c r="C4028" s="21" t="s">
        <v>22655</v>
      </c>
      <c r="D4028" s="22">
        <v>46032</v>
      </c>
      <c r="E4028" s="23" t="s">
        <v>22658</v>
      </c>
      <c r="F4028" s="24" t="s">
        <v>22657</v>
      </c>
      <c r="G4028" s="25">
        <v>4</v>
      </c>
      <c r="H4028" s="26"/>
      <c r="I4028" s="27"/>
    </row>
    <row r="4029" spans="1:9" ht="15.75" thickBot="1" x14ac:dyDescent="0.3">
      <c r="A4029" s="43" t="s">
        <v>9250</v>
      </c>
      <c r="B4029" s="21" t="s">
        <v>9251</v>
      </c>
      <c r="C4029" s="21" t="s">
        <v>22663</v>
      </c>
      <c r="D4029" s="31">
        <v>1</v>
      </c>
      <c r="E4029" s="23" t="s">
        <v>22661</v>
      </c>
      <c r="F4029" s="24" t="s">
        <v>22657</v>
      </c>
      <c r="G4029" s="25">
        <v>20</v>
      </c>
      <c r="H4029" s="29"/>
      <c r="I4029" s="30"/>
    </row>
    <row r="4030" spans="1:9" ht="15.75" thickBot="1" x14ac:dyDescent="0.3">
      <c r="A4030" s="43" t="s">
        <v>133</v>
      </c>
      <c r="B4030" s="21" t="s">
        <v>9252</v>
      </c>
      <c r="C4030" s="21" t="s">
        <v>22655</v>
      </c>
      <c r="D4030" s="22">
        <v>46027</v>
      </c>
      <c r="E4030" s="23" t="s">
        <v>22656</v>
      </c>
      <c r="F4030" s="24" t="s">
        <v>22657</v>
      </c>
      <c r="G4030" s="25">
        <v>18</v>
      </c>
      <c r="H4030" s="26"/>
      <c r="I4030" s="27"/>
    </row>
    <row r="4031" spans="1:9" ht="15.75" thickBot="1" x14ac:dyDescent="0.3">
      <c r="A4031" s="43" t="s">
        <v>9253</v>
      </c>
      <c r="B4031" s="21" t="s">
        <v>9254</v>
      </c>
      <c r="C4031" s="21" t="s">
        <v>22663</v>
      </c>
      <c r="D4031" s="31">
        <v>1</v>
      </c>
      <c r="E4031" s="23" t="s">
        <v>22656</v>
      </c>
      <c r="F4031" s="24" t="s">
        <v>22657</v>
      </c>
      <c r="G4031" s="25">
        <v>4</v>
      </c>
      <c r="H4031" s="29"/>
      <c r="I4031" s="30"/>
    </row>
    <row r="4032" spans="1:9" ht="15.75" thickBot="1" x14ac:dyDescent="0.3">
      <c r="A4032" s="43" t="s">
        <v>9255</v>
      </c>
      <c r="B4032" s="21" t="s">
        <v>9256</v>
      </c>
      <c r="C4032" s="21" t="s">
        <v>22698</v>
      </c>
      <c r="D4032" s="31">
        <v>1</v>
      </c>
      <c r="E4032" s="23" t="s">
        <v>22658</v>
      </c>
      <c r="F4032" s="24" t="s">
        <v>22657</v>
      </c>
      <c r="G4032" s="25">
        <v>1</v>
      </c>
      <c r="H4032" s="26"/>
      <c r="I4032" s="27"/>
    </row>
    <row r="4033" spans="1:9" ht="15.75" thickBot="1" x14ac:dyDescent="0.3">
      <c r="A4033" s="43" t="s">
        <v>9257</v>
      </c>
      <c r="B4033" s="21" t="s">
        <v>9258</v>
      </c>
      <c r="C4033" s="21" t="s">
        <v>22768</v>
      </c>
      <c r="D4033" s="22">
        <v>46024</v>
      </c>
      <c r="E4033" s="23" t="s">
        <v>22656</v>
      </c>
      <c r="F4033" s="24" t="s">
        <v>22657</v>
      </c>
      <c r="G4033" s="25">
        <v>2</v>
      </c>
      <c r="H4033" s="32">
        <v>2</v>
      </c>
      <c r="I4033" s="33">
        <v>4</v>
      </c>
    </row>
    <row r="4034" spans="1:9" ht="15.75" thickBot="1" x14ac:dyDescent="0.3">
      <c r="A4034" s="43" t="s">
        <v>9259</v>
      </c>
      <c r="B4034" s="21" t="s">
        <v>9260</v>
      </c>
      <c r="C4034" s="21" t="s">
        <v>22768</v>
      </c>
      <c r="D4034" s="22">
        <v>46026</v>
      </c>
      <c r="E4034" s="23" t="s">
        <v>22656</v>
      </c>
      <c r="F4034" s="24" t="s">
        <v>22657</v>
      </c>
      <c r="G4034" s="25">
        <v>2</v>
      </c>
      <c r="H4034" s="26"/>
      <c r="I4034" s="27"/>
    </row>
    <row r="4035" spans="1:9" ht="15.75" thickBot="1" x14ac:dyDescent="0.3">
      <c r="A4035" s="43" t="s">
        <v>9261</v>
      </c>
      <c r="B4035" s="21" t="s">
        <v>9262</v>
      </c>
      <c r="C4035" s="21" t="s">
        <v>22663</v>
      </c>
      <c r="D4035" s="31">
        <v>1</v>
      </c>
      <c r="E4035" s="23" t="s">
        <v>22656</v>
      </c>
      <c r="F4035" s="24" t="s">
        <v>22657</v>
      </c>
      <c r="G4035" s="25">
        <v>6</v>
      </c>
      <c r="H4035" s="29"/>
      <c r="I4035" s="30"/>
    </row>
    <row r="4036" spans="1:9" ht="15.75" thickBot="1" x14ac:dyDescent="0.3">
      <c r="A4036" s="43" t="s">
        <v>9263</v>
      </c>
      <c r="B4036" s="21" t="s">
        <v>9264</v>
      </c>
      <c r="C4036" s="21" t="s">
        <v>22698</v>
      </c>
      <c r="D4036" s="31">
        <v>1</v>
      </c>
      <c r="E4036" s="23" t="s">
        <v>22656</v>
      </c>
      <c r="F4036" s="24" t="s">
        <v>22657</v>
      </c>
      <c r="G4036" s="25">
        <v>4</v>
      </c>
      <c r="H4036" s="26"/>
      <c r="I4036" s="27"/>
    </row>
    <row r="4037" spans="1:9" ht="15.75" thickBot="1" x14ac:dyDescent="0.3">
      <c r="A4037" s="43" t="s">
        <v>9265</v>
      </c>
      <c r="B4037" s="21" t="s">
        <v>9266</v>
      </c>
      <c r="C4037" s="21" t="s">
        <v>22663</v>
      </c>
      <c r="D4037" s="31">
        <v>1</v>
      </c>
      <c r="E4037" s="23" t="s">
        <v>22661</v>
      </c>
      <c r="F4037" s="24" t="s">
        <v>22657</v>
      </c>
      <c r="G4037" s="25">
        <v>7</v>
      </c>
      <c r="H4037" s="29"/>
      <c r="I4037" s="30"/>
    </row>
    <row r="4038" spans="1:9" ht="15.75" thickBot="1" x14ac:dyDescent="0.3">
      <c r="A4038" s="43" t="s">
        <v>9267</v>
      </c>
      <c r="B4038" s="21" t="s">
        <v>9268</v>
      </c>
      <c r="C4038" s="21" t="s">
        <v>22663</v>
      </c>
      <c r="D4038" s="31">
        <v>1</v>
      </c>
      <c r="E4038" s="23" t="s">
        <v>22658</v>
      </c>
      <c r="F4038" s="24" t="s">
        <v>22657</v>
      </c>
      <c r="G4038" s="25">
        <v>4</v>
      </c>
      <c r="H4038" s="26"/>
      <c r="I4038" s="27"/>
    </row>
    <row r="4039" spans="1:9" ht="15.75" thickBot="1" x14ac:dyDescent="0.3">
      <c r="A4039" s="43" t="s">
        <v>9271</v>
      </c>
      <c r="B4039" s="21" t="s">
        <v>9272</v>
      </c>
      <c r="C4039" s="21" t="s">
        <v>22663</v>
      </c>
      <c r="D4039" s="31">
        <v>1</v>
      </c>
      <c r="E4039" s="23" t="s">
        <v>22656</v>
      </c>
      <c r="F4039" s="24" t="s">
        <v>22657</v>
      </c>
      <c r="G4039" s="25">
        <v>10</v>
      </c>
      <c r="H4039" s="32">
        <v>10</v>
      </c>
      <c r="I4039" s="33">
        <v>20</v>
      </c>
    </row>
    <row r="4040" spans="1:9" ht="15.75" thickBot="1" x14ac:dyDescent="0.3">
      <c r="A4040" s="43" t="s">
        <v>9273</v>
      </c>
      <c r="B4040" s="21" t="s">
        <v>9274</v>
      </c>
      <c r="C4040" s="21" t="s">
        <v>22663</v>
      </c>
      <c r="D4040" s="31">
        <v>1</v>
      </c>
      <c r="E4040" s="23" t="s">
        <v>22658</v>
      </c>
      <c r="F4040" s="24" t="s">
        <v>22657</v>
      </c>
      <c r="G4040" s="25">
        <v>1</v>
      </c>
      <c r="H4040" s="26"/>
      <c r="I4040" s="27"/>
    </row>
    <row r="4041" spans="1:9" ht="15.75" thickBot="1" x14ac:dyDescent="0.3">
      <c r="A4041" s="43" t="s">
        <v>9275</v>
      </c>
      <c r="B4041" s="21" t="s">
        <v>9276</v>
      </c>
      <c r="C4041" s="21" t="s">
        <v>22682</v>
      </c>
      <c r="D4041" s="22">
        <v>46034</v>
      </c>
      <c r="E4041" s="23" t="s">
        <v>22658</v>
      </c>
      <c r="F4041" s="24" t="s">
        <v>22657</v>
      </c>
      <c r="G4041" s="25">
        <v>4</v>
      </c>
      <c r="H4041" s="29"/>
      <c r="I4041" s="30"/>
    </row>
    <row r="4042" spans="1:9" ht="15.75" thickBot="1" x14ac:dyDescent="0.3">
      <c r="A4042" s="43" t="s">
        <v>9277</v>
      </c>
      <c r="B4042" s="21" t="s">
        <v>9278</v>
      </c>
      <c r="C4042" s="21" t="s">
        <v>22663</v>
      </c>
      <c r="D4042" s="31">
        <v>1</v>
      </c>
      <c r="E4042" s="23" t="s">
        <v>22658</v>
      </c>
      <c r="F4042" s="24" t="s">
        <v>22657</v>
      </c>
      <c r="G4042" s="25">
        <v>4</v>
      </c>
      <c r="H4042" s="26"/>
      <c r="I4042" s="27"/>
    </row>
    <row r="4043" spans="1:9" ht="15.75" thickBot="1" x14ac:dyDescent="0.3">
      <c r="A4043" s="43" t="s">
        <v>9279</v>
      </c>
      <c r="B4043" s="21" t="s">
        <v>9280</v>
      </c>
      <c r="C4043" s="21" t="s">
        <v>22682</v>
      </c>
      <c r="D4043" s="22">
        <v>46034</v>
      </c>
      <c r="E4043" s="23" t="s">
        <v>22656</v>
      </c>
      <c r="F4043" s="24" t="s">
        <v>22657</v>
      </c>
      <c r="G4043" s="25">
        <v>4</v>
      </c>
      <c r="H4043" s="29"/>
      <c r="I4043" s="30"/>
    </row>
    <row r="4044" spans="1:9" ht="15.75" thickBot="1" x14ac:dyDescent="0.3">
      <c r="A4044" s="43" t="s">
        <v>9281</v>
      </c>
      <c r="B4044" s="21" t="s">
        <v>9282</v>
      </c>
      <c r="C4044" s="21" t="s">
        <v>22682</v>
      </c>
      <c r="D4044" s="22">
        <v>46034</v>
      </c>
      <c r="E4044" s="23" t="s">
        <v>22658</v>
      </c>
      <c r="F4044" s="24" t="s">
        <v>22657</v>
      </c>
      <c r="G4044" s="25">
        <v>4</v>
      </c>
      <c r="H4044" s="26"/>
      <c r="I4044" s="27"/>
    </row>
    <row r="4045" spans="1:9" ht="15.75" thickBot="1" x14ac:dyDescent="0.3">
      <c r="A4045" s="43" t="s">
        <v>1910</v>
      </c>
      <c r="B4045" s="21" t="s">
        <v>1911</v>
      </c>
      <c r="C4045" s="21" t="s">
        <v>22655</v>
      </c>
      <c r="D4045" s="22">
        <v>46042</v>
      </c>
      <c r="E4045" s="23" t="s">
        <v>22665</v>
      </c>
      <c r="F4045" s="24" t="s">
        <v>22657</v>
      </c>
      <c r="G4045" s="25">
        <v>20</v>
      </c>
      <c r="H4045" s="32">
        <v>20</v>
      </c>
      <c r="I4045" s="33">
        <v>40</v>
      </c>
    </row>
    <row r="4046" spans="1:9" ht="15.75" thickBot="1" x14ac:dyDescent="0.3">
      <c r="A4046" s="43" t="s">
        <v>9283</v>
      </c>
      <c r="B4046" s="21" t="s">
        <v>9284</v>
      </c>
      <c r="C4046" s="21" t="s">
        <v>22655</v>
      </c>
      <c r="D4046" s="22">
        <v>46052</v>
      </c>
      <c r="E4046" s="23" t="s">
        <v>22656</v>
      </c>
      <c r="F4046" s="24" t="s">
        <v>22657</v>
      </c>
      <c r="G4046" s="25">
        <v>2</v>
      </c>
      <c r="H4046" s="26"/>
      <c r="I4046" s="27"/>
    </row>
    <row r="4047" spans="1:9" ht="15.75" thickBot="1" x14ac:dyDescent="0.3">
      <c r="A4047" s="43" t="s">
        <v>9285</v>
      </c>
      <c r="B4047" s="21" t="s">
        <v>9286</v>
      </c>
      <c r="C4047" s="21" t="s">
        <v>22655</v>
      </c>
      <c r="D4047" s="22">
        <v>46042</v>
      </c>
      <c r="E4047" s="23" t="s">
        <v>22656</v>
      </c>
      <c r="F4047" s="28" t="s">
        <v>22659</v>
      </c>
      <c r="G4047" s="25">
        <v>2</v>
      </c>
      <c r="H4047" s="29"/>
      <c r="I4047" s="30"/>
    </row>
    <row r="4048" spans="1:9" ht="15.75" thickBot="1" x14ac:dyDescent="0.3">
      <c r="A4048" s="43" t="s">
        <v>22544</v>
      </c>
      <c r="B4048" s="21" t="s">
        <v>22545</v>
      </c>
      <c r="C4048" s="36" t="e">
        <v>#N/A</v>
      </c>
      <c r="D4048" s="37" t="e">
        <v>#N/A</v>
      </c>
      <c r="E4048" s="23" t="e">
        <v>#N/A</v>
      </c>
      <c r="F4048" s="28" t="s">
        <v>22659</v>
      </c>
      <c r="G4048" s="25" t="e">
        <v>#N/A</v>
      </c>
      <c r="H4048" s="26"/>
      <c r="I4048" s="27"/>
    </row>
    <row r="4049" spans="1:9" ht="15.75" thickBot="1" x14ac:dyDescent="0.3">
      <c r="A4049" s="43" t="s">
        <v>22546</v>
      </c>
      <c r="B4049" s="21" t="s">
        <v>22547</v>
      </c>
      <c r="C4049" s="36" t="e">
        <v>#N/A</v>
      </c>
      <c r="D4049" s="37" t="e">
        <v>#N/A</v>
      </c>
      <c r="E4049" s="23" t="e">
        <v>#N/A</v>
      </c>
      <c r="F4049" s="28" t="s">
        <v>22659</v>
      </c>
      <c r="G4049" s="25" t="e">
        <v>#N/A</v>
      </c>
      <c r="H4049" s="29"/>
      <c r="I4049" s="30"/>
    </row>
    <row r="4050" spans="1:9" ht="15.75" thickBot="1" x14ac:dyDescent="0.3">
      <c r="A4050" s="43" t="s">
        <v>22548</v>
      </c>
      <c r="B4050" s="21" t="s">
        <v>22549</v>
      </c>
      <c r="C4050" s="36" t="e">
        <v>#N/A</v>
      </c>
      <c r="D4050" s="37" t="e">
        <v>#N/A</v>
      </c>
      <c r="E4050" s="23" t="e">
        <v>#N/A</v>
      </c>
      <c r="F4050" s="28" t="s">
        <v>22659</v>
      </c>
      <c r="G4050" s="25" t="e">
        <v>#N/A</v>
      </c>
      <c r="H4050" s="26"/>
      <c r="I4050" s="27"/>
    </row>
    <row r="4051" spans="1:9" ht="15.75" thickBot="1" x14ac:dyDescent="0.3">
      <c r="A4051" s="43" t="s">
        <v>22550</v>
      </c>
      <c r="B4051" s="21" t="s">
        <v>22551</v>
      </c>
      <c r="C4051" s="36" t="e">
        <v>#N/A</v>
      </c>
      <c r="D4051" s="37" t="e">
        <v>#N/A</v>
      </c>
      <c r="E4051" s="23" t="e">
        <v>#N/A</v>
      </c>
      <c r="F4051" s="28" t="s">
        <v>22659</v>
      </c>
      <c r="G4051" s="25" t="e">
        <v>#N/A</v>
      </c>
      <c r="H4051" s="29"/>
      <c r="I4051" s="30"/>
    </row>
    <row r="4052" spans="1:9" ht="15.75" thickBot="1" x14ac:dyDescent="0.3">
      <c r="A4052" s="43" t="s">
        <v>22552</v>
      </c>
      <c r="B4052" s="21" t="s">
        <v>22553</v>
      </c>
      <c r="C4052" s="36" t="e">
        <v>#N/A</v>
      </c>
      <c r="D4052" s="37" t="e">
        <v>#N/A</v>
      </c>
      <c r="E4052" s="23" t="e">
        <v>#N/A</v>
      </c>
      <c r="F4052" s="28" t="s">
        <v>22659</v>
      </c>
      <c r="G4052" s="25" t="e">
        <v>#N/A</v>
      </c>
      <c r="H4052" s="26"/>
      <c r="I4052" s="27"/>
    </row>
    <row r="4053" spans="1:9" ht="15.75" thickBot="1" x14ac:dyDescent="0.3">
      <c r="A4053" s="43" t="s">
        <v>22554</v>
      </c>
      <c r="B4053" s="21" t="s">
        <v>22555</v>
      </c>
      <c r="C4053" s="36" t="e">
        <v>#N/A</v>
      </c>
      <c r="D4053" s="37" t="e">
        <v>#N/A</v>
      </c>
      <c r="E4053" s="23" t="e">
        <v>#N/A</v>
      </c>
      <c r="F4053" s="28" t="s">
        <v>22659</v>
      </c>
      <c r="G4053" s="25" t="e">
        <v>#N/A</v>
      </c>
      <c r="H4053" s="29"/>
      <c r="I4053" s="30"/>
    </row>
    <row r="4054" spans="1:9" ht="15.75" thickBot="1" x14ac:dyDescent="0.3">
      <c r="A4054" s="43" t="s">
        <v>9287</v>
      </c>
      <c r="B4054" s="21" t="s">
        <v>9288</v>
      </c>
      <c r="C4054" s="21" t="s">
        <v>22655</v>
      </c>
      <c r="D4054" s="22">
        <v>46042</v>
      </c>
      <c r="E4054" s="23" t="s">
        <v>22661</v>
      </c>
      <c r="F4054" s="24" t="s">
        <v>22657</v>
      </c>
      <c r="G4054" s="25">
        <v>3</v>
      </c>
      <c r="H4054" s="34">
        <v>3</v>
      </c>
      <c r="I4054" s="35">
        <v>6</v>
      </c>
    </row>
    <row r="4055" spans="1:9" ht="15.75" thickBot="1" x14ac:dyDescent="0.3">
      <c r="A4055" s="43" t="s">
        <v>9289</v>
      </c>
      <c r="B4055" s="21" t="s">
        <v>9290</v>
      </c>
      <c r="C4055" s="21" t="s">
        <v>22655</v>
      </c>
      <c r="D4055" s="22">
        <v>46040</v>
      </c>
      <c r="E4055" s="23" t="s">
        <v>22656</v>
      </c>
      <c r="F4055" s="24" t="s">
        <v>22657</v>
      </c>
      <c r="G4055" s="25">
        <v>2</v>
      </c>
      <c r="H4055" s="29"/>
      <c r="I4055" s="30"/>
    </row>
    <row r="4056" spans="1:9" ht="15.75" thickBot="1" x14ac:dyDescent="0.3">
      <c r="A4056" s="43" t="s">
        <v>9291</v>
      </c>
      <c r="B4056" s="21" t="s">
        <v>9292</v>
      </c>
      <c r="C4056" s="21" t="s">
        <v>22655</v>
      </c>
      <c r="D4056" s="22">
        <v>46042</v>
      </c>
      <c r="E4056" s="23" t="s">
        <v>22661</v>
      </c>
      <c r="F4056" s="24" t="s">
        <v>22657</v>
      </c>
      <c r="G4056" s="25">
        <v>8</v>
      </c>
      <c r="H4056" s="26"/>
      <c r="I4056" s="27"/>
    </row>
    <row r="4057" spans="1:9" ht="15.75" thickBot="1" x14ac:dyDescent="0.3">
      <c r="A4057" s="43" t="s">
        <v>9293</v>
      </c>
      <c r="B4057" s="21" t="s">
        <v>9294</v>
      </c>
      <c r="C4057" s="21" t="s">
        <v>22655</v>
      </c>
      <c r="D4057" s="22">
        <v>46042</v>
      </c>
      <c r="E4057" s="23" t="s">
        <v>22661</v>
      </c>
      <c r="F4057" s="24" t="s">
        <v>22657</v>
      </c>
      <c r="G4057" s="25">
        <v>6</v>
      </c>
      <c r="H4057" s="32">
        <v>6</v>
      </c>
      <c r="I4057" s="33">
        <v>12</v>
      </c>
    </row>
    <row r="4058" spans="1:9" ht="15.75" thickBot="1" x14ac:dyDescent="0.3">
      <c r="A4058" s="43" t="s">
        <v>9295</v>
      </c>
      <c r="B4058" s="21" t="s">
        <v>9296</v>
      </c>
      <c r="C4058" s="21" t="s">
        <v>22655</v>
      </c>
      <c r="D4058" s="22">
        <v>46042</v>
      </c>
      <c r="E4058" s="23" t="s">
        <v>22661</v>
      </c>
      <c r="F4058" s="24" t="s">
        <v>22657</v>
      </c>
      <c r="G4058" s="25">
        <v>6</v>
      </c>
      <c r="H4058" s="34">
        <v>6</v>
      </c>
      <c r="I4058" s="35">
        <v>12</v>
      </c>
    </row>
    <row r="4059" spans="1:9" ht="15.75" thickBot="1" x14ac:dyDescent="0.3">
      <c r="A4059" s="43" t="s">
        <v>9297</v>
      </c>
      <c r="B4059" s="21" t="s">
        <v>9298</v>
      </c>
      <c r="C4059" s="21" t="s">
        <v>22655</v>
      </c>
      <c r="D4059" s="22">
        <v>46042</v>
      </c>
      <c r="E4059" s="23" t="s">
        <v>22656</v>
      </c>
      <c r="F4059" s="24" t="s">
        <v>22657</v>
      </c>
      <c r="G4059" s="25">
        <v>2</v>
      </c>
      <c r="H4059" s="29"/>
      <c r="I4059" s="30"/>
    </row>
    <row r="4060" spans="1:9" ht="15.75" thickBot="1" x14ac:dyDescent="0.3">
      <c r="A4060" s="43" t="s">
        <v>9299</v>
      </c>
      <c r="B4060" s="21" t="s">
        <v>9300</v>
      </c>
      <c r="C4060" s="21" t="s">
        <v>22655</v>
      </c>
      <c r="D4060" s="22">
        <v>46042</v>
      </c>
      <c r="E4060" s="23" t="s">
        <v>22656</v>
      </c>
      <c r="F4060" s="24" t="s">
        <v>22657</v>
      </c>
      <c r="G4060" s="25">
        <v>2</v>
      </c>
      <c r="H4060" s="26"/>
      <c r="I4060" s="27"/>
    </row>
    <row r="4061" spans="1:9" ht="15.75" thickBot="1" x14ac:dyDescent="0.3">
      <c r="A4061" s="43" t="s">
        <v>9301</v>
      </c>
      <c r="B4061" s="21" t="s">
        <v>9302</v>
      </c>
      <c r="C4061" s="21" t="s">
        <v>22690</v>
      </c>
      <c r="D4061" s="31" t="s">
        <v>22729</v>
      </c>
      <c r="E4061" s="23" t="s">
        <v>22661</v>
      </c>
      <c r="F4061" s="24" t="s">
        <v>22657</v>
      </c>
      <c r="G4061" s="25">
        <v>9</v>
      </c>
      <c r="H4061" s="29"/>
      <c r="I4061" s="30"/>
    </row>
    <row r="4062" spans="1:9" ht="15.75" thickBot="1" x14ac:dyDescent="0.3">
      <c r="A4062" s="43" t="s">
        <v>9303</v>
      </c>
      <c r="B4062" s="21" t="s">
        <v>9304</v>
      </c>
      <c r="C4062" s="21" t="s">
        <v>22690</v>
      </c>
      <c r="D4062" s="31" t="s">
        <v>22729</v>
      </c>
      <c r="E4062" s="23" t="s">
        <v>22665</v>
      </c>
      <c r="F4062" s="24" t="s">
        <v>22657</v>
      </c>
      <c r="G4062" s="25">
        <v>24</v>
      </c>
      <c r="H4062" s="34">
        <v>24</v>
      </c>
      <c r="I4062" s="35">
        <v>36</v>
      </c>
    </row>
    <row r="4063" spans="1:9" ht="15.75" thickBot="1" x14ac:dyDescent="0.3">
      <c r="A4063" s="43" t="s">
        <v>9305</v>
      </c>
      <c r="B4063" s="21" t="s">
        <v>9306</v>
      </c>
      <c r="C4063" s="21" t="s">
        <v>22690</v>
      </c>
      <c r="D4063" s="31" t="s">
        <v>22729</v>
      </c>
      <c r="E4063" s="23" t="s">
        <v>22656</v>
      </c>
      <c r="F4063" s="24" t="s">
        <v>22657</v>
      </c>
      <c r="G4063" s="25">
        <v>5</v>
      </c>
      <c r="H4063" s="29"/>
      <c r="I4063" s="30"/>
    </row>
    <row r="4064" spans="1:9" ht="15.75" thickBot="1" x14ac:dyDescent="0.3">
      <c r="A4064" s="43" t="s">
        <v>9307</v>
      </c>
      <c r="B4064" s="21" t="s">
        <v>9308</v>
      </c>
      <c r="C4064" s="21" t="s">
        <v>22690</v>
      </c>
      <c r="D4064" s="31" t="s">
        <v>22729</v>
      </c>
      <c r="E4064" s="23" t="s">
        <v>22656</v>
      </c>
      <c r="F4064" s="24" t="s">
        <v>22657</v>
      </c>
      <c r="G4064" s="25">
        <v>4</v>
      </c>
      <c r="H4064" s="26"/>
      <c r="I4064" s="27"/>
    </row>
    <row r="4065" spans="1:9" ht="15.75" thickBot="1" x14ac:dyDescent="0.3">
      <c r="A4065" s="43" t="s">
        <v>9309</v>
      </c>
      <c r="B4065" s="21" t="s">
        <v>9310</v>
      </c>
      <c r="C4065" s="21" t="s">
        <v>22690</v>
      </c>
      <c r="D4065" s="31" t="s">
        <v>22729</v>
      </c>
      <c r="E4065" s="23" t="s">
        <v>22662</v>
      </c>
      <c r="F4065" s="24" t="s">
        <v>22657</v>
      </c>
      <c r="G4065" s="25">
        <v>24</v>
      </c>
      <c r="H4065" s="32">
        <v>24</v>
      </c>
      <c r="I4065" s="33">
        <v>48</v>
      </c>
    </row>
    <row r="4066" spans="1:9" ht="15.75" thickBot="1" x14ac:dyDescent="0.3">
      <c r="A4066" s="43" t="s">
        <v>9311</v>
      </c>
      <c r="B4066" s="21" t="s">
        <v>9312</v>
      </c>
      <c r="C4066" s="21" t="s">
        <v>22690</v>
      </c>
      <c r="D4066" s="31" t="s">
        <v>22729</v>
      </c>
      <c r="E4066" s="23" t="s">
        <v>22665</v>
      </c>
      <c r="F4066" s="24" t="s">
        <v>22657</v>
      </c>
      <c r="G4066" s="25">
        <v>24</v>
      </c>
      <c r="H4066" s="34">
        <v>24</v>
      </c>
      <c r="I4066" s="35">
        <v>36</v>
      </c>
    </row>
    <row r="4067" spans="1:9" ht="15.75" thickBot="1" x14ac:dyDescent="0.3">
      <c r="A4067" s="43" t="s">
        <v>9313</v>
      </c>
      <c r="B4067" s="21" t="s">
        <v>9314</v>
      </c>
      <c r="C4067" s="21" t="s">
        <v>22690</v>
      </c>
      <c r="D4067" s="31" t="s">
        <v>22729</v>
      </c>
      <c r="E4067" s="23" t="s">
        <v>22665</v>
      </c>
      <c r="F4067" s="24" t="s">
        <v>22657</v>
      </c>
      <c r="G4067" s="25">
        <v>16</v>
      </c>
      <c r="H4067" s="29"/>
      <c r="I4067" s="30"/>
    </row>
    <row r="4068" spans="1:9" ht="15.75" thickBot="1" x14ac:dyDescent="0.3">
      <c r="A4068" s="43" t="s">
        <v>9315</v>
      </c>
      <c r="B4068" s="21" t="s">
        <v>9316</v>
      </c>
      <c r="C4068" s="21" t="s">
        <v>22690</v>
      </c>
      <c r="D4068" s="31" t="s">
        <v>22729</v>
      </c>
      <c r="E4068" s="23" t="s">
        <v>22665</v>
      </c>
      <c r="F4068" s="24" t="s">
        <v>22657</v>
      </c>
      <c r="G4068" s="25">
        <v>13</v>
      </c>
      <c r="H4068" s="26"/>
      <c r="I4068" s="27"/>
    </row>
    <row r="4069" spans="1:9" ht="15.75" thickBot="1" x14ac:dyDescent="0.3">
      <c r="A4069" s="43" t="s">
        <v>1157</v>
      </c>
      <c r="B4069" s="21" t="s">
        <v>1158</v>
      </c>
      <c r="C4069" s="21" t="s">
        <v>22655</v>
      </c>
      <c r="D4069" s="22">
        <v>46034</v>
      </c>
      <c r="E4069" s="23" t="s">
        <v>22661</v>
      </c>
      <c r="F4069" s="24" t="s">
        <v>22657</v>
      </c>
      <c r="G4069" s="25">
        <v>6</v>
      </c>
      <c r="H4069" s="32">
        <v>6</v>
      </c>
      <c r="I4069" s="33">
        <v>10</v>
      </c>
    </row>
    <row r="4070" spans="1:9" ht="15.75" thickBot="1" x14ac:dyDescent="0.3">
      <c r="A4070" s="43" t="s">
        <v>1189</v>
      </c>
      <c r="B4070" s="21" t="s">
        <v>1190</v>
      </c>
      <c r="C4070" s="21" t="s">
        <v>22655</v>
      </c>
      <c r="D4070" s="22">
        <v>46042</v>
      </c>
      <c r="E4070" s="23" t="s">
        <v>22665</v>
      </c>
      <c r="F4070" s="24" t="s">
        <v>22657</v>
      </c>
      <c r="G4070" s="25">
        <v>12</v>
      </c>
      <c r="H4070" s="34">
        <v>12</v>
      </c>
      <c r="I4070" s="35">
        <v>16</v>
      </c>
    </row>
    <row r="4071" spans="1:9" ht="15.75" thickBot="1" x14ac:dyDescent="0.3">
      <c r="A4071" s="43" t="s">
        <v>9317</v>
      </c>
      <c r="B4071" s="21" t="s">
        <v>9318</v>
      </c>
      <c r="C4071" s="21" t="s">
        <v>22690</v>
      </c>
      <c r="D4071" s="31" t="s">
        <v>22668</v>
      </c>
      <c r="E4071" s="23" t="s">
        <v>22665</v>
      </c>
      <c r="F4071" s="24" t="s">
        <v>22657</v>
      </c>
      <c r="G4071" s="25">
        <v>15</v>
      </c>
      <c r="H4071" s="29"/>
      <c r="I4071" s="30"/>
    </row>
    <row r="4072" spans="1:9" ht="15.75" thickBot="1" x14ac:dyDescent="0.3">
      <c r="A4072" s="43" t="s">
        <v>9319</v>
      </c>
      <c r="B4072" s="21" t="s">
        <v>9320</v>
      </c>
      <c r="C4072" s="21" t="s">
        <v>22655</v>
      </c>
      <c r="D4072" s="22">
        <v>46034</v>
      </c>
      <c r="E4072" s="23" t="s">
        <v>22656</v>
      </c>
      <c r="F4072" s="24" t="s">
        <v>22657</v>
      </c>
      <c r="G4072" s="25">
        <v>2</v>
      </c>
      <c r="H4072" s="26"/>
      <c r="I4072" s="27"/>
    </row>
    <row r="4073" spans="1:9" ht="15.75" thickBot="1" x14ac:dyDescent="0.3">
      <c r="A4073" s="43" t="s">
        <v>9321</v>
      </c>
      <c r="B4073" s="21" t="s">
        <v>9322</v>
      </c>
      <c r="C4073" s="21" t="s">
        <v>22655</v>
      </c>
      <c r="D4073" s="22">
        <v>46031</v>
      </c>
      <c r="E4073" s="23" t="s">
        <v>22656</v>
      </c>
      <c r="F4073" s="24" t="s">
        <v>22657</v>
      </c>
      <c r="G4073" s="25">
        <v>3</v>
      </c>
      <c r="H4073" s="29"/>
      <c r="I4073" s="30"/>
    </row>
    <row r="4074" spans="1:9" ht="15.75" thickBot="1" x14ac:dyDescent="0.3">
      <c r="A4074" s="43" t="s">
        <v>9323</v>
      </c>
      <c r="B4074" s="21" t="s">
        <v>9324</v>
      </c>
      <c r="C4074" s="21" t="s">
        <v>22655</v>
      </c>
      <c r="D4074" s="22">
        <v>46028</v>
      </c>
      <c r="E4074" s="23" t="s">
        <v>22656</v>
      </c>
      <c r="F4074" s="24" t="s">
        <v>22657</v>
      </c>
      <c r="G4074" s="25">
        <v>2</v>
      </c>
      <c r="H4074" s="26"/>
      <c r="I4074" s="27"/>
    </row>
    <row r="4075" spans="1:9" ht="15.75" thickBot="1" x14ac:dyDescent="0.3">
      <c r="A4075" s="43" t="s">
        <v>1013</v>
      </c>
      <c r="B4075" s="21" t="s">
        <v>1014</v>
      </c>
      <c r="C4075" s="21" t="s">
        <v>22655</v>
      </c>
      <c r="D4075" s="22">
        <v>46046</v>
      </c>
      <c r="E4075" s="23" t="s">
        <v>22665</v>
      </c>
      <c r="F4075" s="24" t="s">
        <v>22657</v>
      </c>
      <c r="G4075" s="25">
        <v>24</v>
      </c>
      <c r="H4075" s="32">
        <v>24</v>
      </c>
      <c r="I4075" s="33">
        <v>60</v>
      </c>
    </row>
    <row r="4076" spans="1:9" ht="15.75" thickBot="1" x14ac:dyDescent="0.3">
      <c r="A4076" s="43" t="s">
        <v>9325</v>
      </c>
      <c r="B4076" s="21" t="s">
        <v>9326</v>
      </c>
      <c r="C4076" s="21" t="s">
        <v>22655</v>
      </c>
      <c r="D4076" s="22">
        <v>46034</v>
      </c>
      <c r="E4076" s="23" t="s">
        <v>22656</v>
      </c>
      <c r="F4076" s="24" t="s">
        <v>22657</v>
      </c>
      <c r="G4076" s="25">
        <v>4</v>
      </c>
      <c r="H4076" s="26"/>
      <c r="I4076" s="27"/>
    </row>
    <row r="4077" spans="1:9" ht="15.75" thickBot="1" x14ac:dyDescent="0.3">
      <c r="A4077" s="43" t="s">
        <v>9327</v>
      </c>
      <c r="B4077" s="21" t="s">
        <v>9328</v>
      </c>
      <c r="C4077" s="21" t="s">
        <v>22686</v>
      </c>
      <c r="D4077" s="31" t="s">
        <v>22791</v>
      </c>
      <c r="E4077" s="23" t="s">
        <v>22656</v>
      </c>
      <c r="F4077" s="24" t="s">
        <v>22657</v>
      </c>
      <c r="G4077" s="25">
        <v>4</v>
      </c>
      <c r="H4077" s="29"/>
      <c r="I4077" s="30"/>
    </row>
    <row r="4078" spans="1:9" ht="15.75" thickBot="1" x14ac:dyDescent="0.3">
      <c r="A4078" s="43" t="s">
        <v>9329</v>
      </c>
      <c r="B4078" s="21" t="s">
        <v>9330</v>
      </c>
      <c r="C4078" s="21" t="s">
        <v>22655</v>
      </c>
      <c r="D4078" s="31" t="s">
        <v>22673</v>
      </c>
      <c r="E4078" s="23" t="s">
        <v>22656</v>
      </c>
      <c r="F4078" s="24" t="s">
        <v>22657</v>
      </c>
      <c r="G4078" s="25">
        <v>4</v>
      </c>
      <c r="H4078" s="26"/>
      <c r="I4078" s="27"/>
    </row>
    <row r="4079" spans="1:9" ht="15.75" thickBot="1" x14ac:dyDescent="0.3">
      <c r="A4079" s="43" t="s">
        <v>9331</v>
      </c>
      <c r="B4079" s="21" t="s">
        <v>9332</v>
      </c>
      <c r="C4079" s="21" t="s">
        <v>22655</v>
      </c>
      <c r="D4079" s="22">
        <v>46034</v>
      </c>
      <c r="E4079" s="23" t="s">
        <v>22656</v>
      </c>
      <c r="F4079" s="24" t="s">
        <v>22657</v>
      </c>
      <c r="G4079" s="25">
        <v>4</v>
      </c>
      <c r="H4079" s="29"/>
      <c r="I4079" s="30"/>
    </row>
    <row r="4080" spans="1:9" ht="15.75" thickBot="1" x14ac:dyDescent="0.3">
      <c r="A4080" s="43" t="s">
        <v>9333</v>
      </c>
      <c r="B4080" s="21" t="s">
        <v>9334</v>
      </c>
      <c r="C4080" s="21" t="s">
        <v>22655</v>
      </c>
      <c r="D4080" s="22">
        <v>46032</v>
      </c>
      <c r="E4080" s="23" t="s">
        <v>22656</v>
      </c>
      <c r="F4080" s="24" t="s">
        <v>22657</v>
      </c>
      <c r="G4080" s="25">
        <v>4</v>
      </c>
      <c r="H4080" s="26"/>
      <c r="I4080" s="27"/>
    </row>
    <row r="4081" spans="1:9" ht="15.75" thickBot="1" x14ac:dyDescent="0.3">
      <c r="A4081" s="43" t="s">
        <v>9335</v>
      </c>
      <c r="B4081" s="21" t="s">
        <v>9336</v>
      </c>
      <c r="C4081" s="21" t="s">
        <v>22655</v>
      </c>
      <c r="D4081" s="22">
        <v>46042</v>
      </c>
      <c r="E4081" s="23" t="s">
        <v>22656</v>
      </c>
      <c r="F4081" s="24" t="s">
        <v>22657</v>
      </c>
      <c r="G4081" s="25">
        <v>4</v>
      </c>
      <c r="H4081" s="29"/>
      <c r="I4081" s="30"/>
    </row>
    <row r="4082" spans="1:9" ht="15.75" thickBot="1" x14ac:dyDescent="0.3">
      <c r="A4082" s="43" t="s">
        <v>9337</v>
      </c>
      <c r="B4082" s="21" t="s">
        <v>9338</v>
      </c>
      <c r="C4082" s="21" t="s">
        <v>22655</v>
      </c>
      <c r="D4082" s="22">
        <v>46031</v>
      </c>
      <c r="E4082" s="23" t="s">
        <v>22656</v>
      </c>
      <c r="F4082" s="24" t="s">
        <v>22657</v>
      </c>
      <c r="G4082" s="25">
        <v>3</v>
      </c>
      <c r="H4082" s="26"/>
      <c r="I4082" s="27"/>
    </row>
    <row r="4083" spans="1:9" ht="15.75" thickBot="1" x14ac:dyDescent="0.3">
      <c r="A4083" s="43" t="s">
        <v>9339</v>
      </c>
      <c r="B4083" s="21" t="s">
        <v>9340</v>
      </c>
      <c r="C4083" s="21" t="s">
        <v>22655</v>
      </c>
      <c r="D4083" s="22">
        <v>46042</v>
      </c>
      <c r="E4083" s="23" t="s">
        <v>22656</v>
      </c>
      <c r="F4083" s="24" t="s">
        <v>22657</v>
      </c>
      <c r="G4083" s="25">
        <v>7</v>
      </c>
      <c r="H4083" s="29"/>
      <c r="I4083" s="30"/>
    </row>
    <row r="4084" spans="1:9" ht="15.75" thickBot="1" x14ac:dyDescent="0.3">
      <c r="A4084" s="43" t="s">
        <v>9341</v>
      </c>
      <c r="B4084" s="21" t="s">
        <v>9342</v>
      </c>
      <c r="C4084" s="21" t="s">
        <v>22655</v>
      </c>
      <c r="D4084" s="22">
        <v>46028</v>
      </c>
      <c r="E4084" s="23" t="s">
        <v>22656</v>
      </c>
      <c r="F4084" s="24" t="s">
        <v>22657</v>
      </c>
      <c r="G4084" s="25">
        <v>2</v>
      </c>
      <c r="H4084" s="26"/>
      <c r="I4084" s="27"/>
    </row>
    <row r="4085" spans="1:9" ht="15.75" thickBot="1" x14ac:dyDescent="0.3">
      <c r="A4085" s="43" t="s">
        <v>9343</v>
      </c>
      <c r="B4085" s="21" t="s">
        <v>9344</v>
      </c>
      <c r="C4085" s="21" t="s">
        <v>22663</v>
      </c>
      <c r="D4085" s="31">
        <v>1</v>
      </c>
      <c r="E4085" s="23" t="s">
        <v>22658</v>
      </c>
      <c r="F4085" s="24" t="s">
        <v>22657</v>
      </c>
      <c r="G4085" s="25">
        <v>7</v>
      </c>
      <c r="H4085" s="29"/>
      <c r="I4085" s="30"/>
    </row>
    <row r="4086" spans="1:9" ht="15.75" thickBot="1" x14ac:dyDescent="0.3">
      <c r="A4086" s="43" t="s">
        <v>9345</v>
      </c>
      <c r="B4086" s="21" t="s">
        <v>9346</v>
      </c>
      <c r="C4086" s="21" t="s">
        <v>22698</v>
      </c>
      <c r="D4086" s="31">
        <v>1</v>
      </c>
      <c r="E4086" s="23" t="s">
        <v>22658</v>
      </c>
      <c r="F4086" s="24" t="s">
        <v>22657</v>
      </c>
      <c r="G4086" s="25">
        <v>1</v>
      </c>
      <c r="H4086" s="26"/>
      <c r="I4086" s="27"/>
    </row>
    <row r="4087" spans="1:9" ht="15.75" thickBot="1" x14ac:dyDescent="0.3">
      <c r="A4087" s="43" t="s">
        <v>9347</v>
      </c>
      <c r="B4087" s="21" t="s">
        <v>9348</v>
      </c>
      <c r="C4087" s="21" t="s">
        <v>22663</v>
      </c>
      <c r="D4087" s="31">
        <v>1</v>
      </c>
      <c r="E4087" s="23" t="s">
        <v>22656</v>
      </c>
      <c r="F4087" s="24" t="s">
        <v>22657</v>
      </c>
      <c r="G4087" s="25">
        <v>2</v>
      </c>
      <c r="H4087" s="29"/>
      <c r="I4087" s="30"/>
    </row>
    <row r="4088" spans="1:9" ht="15.75" thickBot="1" x14ac:dyDescent="0.3">
      <c r="A4088" s="43" t="s">
        <v>9349</v>
      </c>
      <c r="B4088" s="21" t="s">
        <v>9350</v>
      </c>
      <c r="C4088" s="21" t="s">
        <v>22663</v>
      </c>
      <c r="D4088" s="31">
        <v>1</v>
      </c>
      <c r="E4088" s="23" t="s">
        <v>22656</v>
      </c>
      <c r="F4088" s="24" t="s">
        <v>22657</v>
      </c>
      <c r="G4088" s="25">
        <v>4</v>
      </c>
      <c r="H4088" s="26"/>
      <c r="I4088" s="27"/>
    </row>
    <row r="4089" spans="1:9" ht="15.75" thickBot="1" x14ac:dyDescent="0.3">
      <c r="A4089" s="43" t="s">
        <v>9351</v>
      </c>
      <c r="B4089" s="21" t="s">
        <v>9352</v>
      </c>
      <c r="C4089" s="21" t="s">
        <v>22663</v>
      </c>
      <c r="D4089" s="31">
        <v>1</v>
      </c>
      <c r="E4089" s="23" t="s">
        <v>22656</v>
      </c>
      <c r="F4089" s="24" t="s">
        <v>22657</v>
      </c>
      <c r="G4089" s="25">
        <v>4</v>
      </c>
      <c r="H4089" s="29"/>
      <c r="I4089" s="30"/>
    </row>
    <row r="4090" spans="1:9" ht="15.75" thickBot="1" x14ac:dyDescent="0.3">
      <c r="A4090" s="43" t="s">
        <v>9353</v>
      </c>
      <c r="B4090" s="21" t="s">
        <v>9354</v>
      </c>
      <c r="C4090" s="21" t="s">
        <v>22663</v>
      </c>
      <c r="D4090" s="31">
        <v>1</v>
      </c>
      <c r="E4090" s="23" t="s">
        <v>22656</v>
      </c>
      <c r="F4090" s="24" t="s">
        <v>22657</v>
      </c>
      <c r="G4090" s="25">
        <v>7</v>
      </c>
      <c r="H4090" s="26"/>
      <c r="I4090" s="27"/>
    </row>
    <row r="4091" spans="1:9" ht="15.75" thickBot="1" x14ac:dyDescent="0.3">
      <c r="A4091" s="43" t="s">
        <v>9356</v>
      </c>
      <c r="B4091" s="21" t="s">
        <v>9357</v>
      </c>
      <c r="C4091" s="21" t="s">
        <v>22663</v>
      </c>
      <c r="D4091" s="31">
        <v>1</v>
      </c>
      <c r="E4091" s="23" t="s">
        <v>22658</v>
      </c>
      <c r="F4091" s="24" t="s">
        <v>22657</v>
      </c>
      <c r="G4091" s="25">
        <v>2</v>
      </c>
      <c r="H4091" s="29"/>
      <c r="I4091" s="30"/>
    </row>
    <row r="4092" spans="1:9" ht="15.75" thickBot="1" x14ac:dyDescent="0.3">
      <c r="A4092" s="43" t="s">
        <v>9358</v>
      </c>
      <c r="B4092" s="21" t="s">
        <v>9359</v>
      </c>
      <c r="C4092" s="21" t="s">
        <v>22663</v>
      </c>
      <c r="D4092" s="31">
        <v>1</v>
      </c>
      <c r="E4092" s="23" t="s">
        <v>22658</v>
      </c>
      <c r="F4092" s="24" t="s">
        <v>22657</v>
      </c>
      <c r="G4092" s="25">
        <v>4</v>
      </c>
      <c r="H4092" s="26"/>
      <c r="I4092" s="27"/>
    </row>
    <row r="4093" spans="1:9" ht="15.75" thickBot="1" x14ac:dyDescent="0.3">
      <c r="A4093" s="43" t="s">
        <v>9360</v>
      </c>
      <c r="B4093" s="21" t="s">
        <v>9361</v>
      </c>
      <c r="C4093" s="21" t="s">
        <v>22663</v>
      </c>
      <c r="D4093" s="31">
        <v>1</v>
      </c>
      <c r="E4093" s="23" t="s">
        <v>22656</v>
      </c>
      <c r="F4093" s="24" t="s">
        <v>22657</v>
      </c>
      <c r="G4093" s="25">
        <v>7</v>
      </c>
      <c r="H4093" s="29"/>
      <c r="I4093" s="30"/>
    </row>
    <row r="4094" spans="1:9" ht="15.75" thickBot="1" x14ac:dyDescent="0.3">
      <c r="A4094" s="43" t="s">
        <v>1611</v>
      </c>
      <c r="B4094" s="21" t="s">
        <v>1612</v>
      </c>
      <c r="C4094" s="21" t="s">
        <v>22655</v>
      </c>
      <c r="D4094" s="22">
        <v>46034</v>
      </c>
      <c r="E4094" s="23" t="s">
        <v>22656</v>
      </c>
      <c r="F4094" s="24" t="s">
        <v>22657</v>
      </c>
      <c r="G4094" s="25">
        <v>3</v>
      </c>
      <c r="H4094" s="34">
        <v>3</v>
      </c>
      <c r="I4094" s="35">
        <v>6</v>
      </c>
    </row>
    <row r="4095" spans="1:9" ht="15.75" thickBot="1" x14ac:dyDescent="0.3">
      <c r="A4095" s="43" t="s">
        <v>1139</v>
      </c>
      <c r="B4095" s="21" t="s">
        <v>1140</v>
      </c>
      <c r="C4095" s="21" t="s">
        <v>22655</v>
      </c>
      <c r="D4095" s="22">
        <v>46028</v>
      </c>
      <c r="E4095" s="23" t="s">
        <v>22661</v>
      </c>
      <c r="F4095" s="24" t="s">
        <v>22657</v>
      </c>
      <c r="G4095" s="25">
        <v>2</v>
      </c>
      <c r="H4095" s="32">
        <v>2</v>
      </c>
      <c r="I4095" s="33">
        <v>6</v>
      </c>
    </row>
    <row r="4096" spans="1:9" ht="15.75" thickBot="1" x14ac:dyDescent="0.3">
      <c r="A4096" s="43" t="s">
        <v>1179</v>
      </c>
      <c r="B4096" s="21" t="s">
        <v>1180</v>
      </c>
      <c r="C4096" s="21" t="s">
        <v>22655</v>
      </c>
      <c r="D4096" s="22">
        <v>46026</v>
      </c>
      <c r="E4096" s="23" t="s">
        <v>22656</v>
      </c>
      <c r="F4096" s="24" t="s">
        <v>22657</v>
      </c>
      <c r="G4096" s="25">
        <v>2</v>
      </c>
      <c r="H4096" s="26"/>
      <c r="I4096" s="27"/>
    </row>
    <row r="4097" spans="1:9" ht="15.75" thickBot="1" x14ac:dyDescent="0.3">
      <c r="A4097" s="43" t="s">
        <v>805</v>
      </c>
      <c r="B4097" s="21" t="s">
        <v>9362</v>
      </c>
      <c r="C4097" s="21" t="s">
        <v>22655</v>
      </c>
      <c r="D4097" s="22">
        <v>46028</v>
      </c>
      <c r="E4097" s="23" t="s">
        <v>22662</v>
      </c>
      <c r="F4097" s="24" t="s">
        <v>22657</v>
      </c>
      <c r="G4097" s="25">
        <v>60</v>
      </c>
      <c r="H4097" s="32">
        <v>60</v>
      </c>
      <c r="I4097" s="33">
        <v>120</v>
      </c>
    </row>
    <row r="4098" spans="1:9" ht="15.75" thickBot="1" x14ac:dyDescent="0.3">
      <c r="A4098" s="43" t="s">
        <v>9365</v>
      </c>
      <c r="B4098" s="21" t="s">
        <v>9366</v>
      </c>
      <c r="C4098" s="21" t="s">
        <v>22655</v>
      </c>
      <c r="D4098" s="22">
        <v>46034</v>
      </c>
      <c r="E4098" s="23" t="s">
        <v>22661</v>
      </c>
      <c r="F4098" s="24" t="s">
        <v>22657</v>
      </c>
      <c r="G4098" s="25">
        <v>4</v>
      </c>
      <c r="H4098" s="26"/>
      <c r="I4098" s="27"/>
    </row>
    <row r="4099" spans="1:9" ht="15.75" thickBot="1" x14ac:dyDescent="0.3">
      <c r="A4099" s="43" t="s">
        <v>9363</v>
      </c>
      <c r="B4099" s="21" t="s">
        <v>9364</v>
      </c>
      <c r="C4099" s="21" t="s">
        <v>22655</v>
      </c>
      <c r="D4099" s="22">
        <v>46028</v>
      </c>
      <c r="E4099" s="23" t="s">
        <v>22656</v>
      </c>
      <c r="F4099" s="24" t="s">
        <v>22657</v>
      </c>
      <c r="G4099" s="25">
        <v>4</v>
      </c>
      <c r="H4099" s="29"/>
      <c r="I4099" s="30"/>
    </row>
    <row r="4100" spans="1:9" ht="15.75" thickBot="1" x14ac:dyDescent="0.3">
      <c r="A4100" s="43" t="s">
        <v>927</v>
      </c>
      <c r="B4100" s="21" t="s">
        <v>9367</v>
      </c>
      <c r="C4100" s="21" t="s">
        <v>22655</v>
      </c>
      <c r="D4100" s="22">
        <v>46028</v>
      </c>
      <c r="E4100" s="23" t="s">
        <v>22665</v>
      </c>
      <c r="F4100" s="24" t="s">
        <v>22657</v>
      </c>
      <c r="G4100" s="25">
        <v>30</v>
      </c>
      <c r="H4100" s="34">
        <v>30</v>
      </c>
      <c r="I4100" s="35">
        <v>60</v>
      </c>
    </row>
    <row r="4101" spans="1:9" ht="15.75" thickBot="1" x14ac:dyDescent="0.3">
      <c r="A4101" s="43" t="s">
        <v>991</v>
      </c>
      <c r="B4101" s="21" t="s">
        <v>992</v>
      </c>
      <c r="C4101" s="21" t="s">
        <v>22655</v>
      </c>
      <c r="D4101" s="22">
        <v>46034</v>
      </c>
      <c r="E4101" s="23" t="s">
        <v>22656</v>
      </c>
      <c r="F4101" s="24" t="s">
        <v>22657</v>
      </c>
      <c r="G4101" s="25">
        <v>60</v>
      </c>
      <c r="H4101" s="32">
        <v>60</v>
      </c>
      <c r="I4101" s="33">
        <v>96</v>
      </c>
    </row>
    <row r="4102" spans="1:9" ht="15.75" thickBot="1" x14ac:dyDescent="0.3">
      <c r="A4102" s="43" t="s">
        <v>1339</v>
      </c>
      <c r="B4102" s="21" t="s">
        <v>1340</v>
      </c>
      <c r="C4102" s="21" t="s">
        <v>22655</v>
      </c>
      <c r="D4102" s="22">
        <v>46032</v>
      </c>
      <c r="E4102" s="23" t="s">
        <v>22665</v>
      </c>
      <c r="F4102" s="24" t="s">
        <v>22657</v>
      </c>
      <c r="G4102" s="25">
        <v>60</v>
      </c>
      <c r="H4102" s="34">
        <v>60</v>
      </c>
      <c r="I4102" s="35">
        <v>120</v>
      </c>
    </row>
    <row r="4103" spans="1:9" ht="15.75" thickBot="1" x14ac:dyDescent="0.3">
      <c r="A4103" s="43" t="s">
        <v>9368</v>
      </c>
      <c r="B4103" s="21" t="s">
        <v>9369</v>
      </c>
      <c r="C4103" s="21" t="s">
        <v>22746</v>
      </c>
      <c r="D4103" s="31" t="s">
        <v>22670</v>
      </c>
      <c r="E4103" s="23" t="s">
        <v>22661</v>
      </c>
      <c r="F4103" s="24" t="s">
        <v>22657</v>
      </c>
      <c r="G4103" s="25">
        <v>4</v>
      </c>
      <c r="H4103" s="29"/>
      <c r="I4103" s="30"/>
    </row>
    <row r="4104" spans="1:9" ht="15.75" thickBot="1" x14ac:dyDescent="0.3">
      <c r="A4104" s="43" t="s">
        <v>9370</v>
      </c>
      <c r="B4104" s="21" t="s">
        <v>9371</v>
      </c>
      <c r="C4104" s="21" t="s">
        <v>22746</v>
      </c>
      <c r="D4104" s="31" t="s">
        <v>22670</v>
      </c>
      <c r="E4104" s="23" t="s">
        <v>22656</v>
      </c>
      <c r="F4104" s="24" t="s">
        <v>22657</v>
      </c>
      <c r="G4104" s="25">
        <v>4</v>
      </c>
      <c r="H4104" s="26"/>
      <c r="I4104" s="27"/>
    </row>
    <row r="4105" spans="1:9" ht="15.75" thickBot="1" x14ac:dyDescent="0.3">
      <c r="A4105" s="43" t="s">
        <v>9372</v>
      </c>
      <c r="B4105" s="21" t="s">
        <v>9373</v>
      </c>
      <c r="C4105" s="21" t="s">
        <v>22655</v>
      </c>
      <c r="D4105" s="22">
        <v>46038</v>
      </c>
      <c r="E4105" s="23" t="s">
        <v>22656</v>
      </c>
      <c r="F4105" s="24" t="s">
        <v>22657</v>
      </c>
      <c r="G4105" s="25">
        <v>2</v>
      </c>
      <c r="H4105" s="29"/>
      <c r="I4105" s="30"/>
    </row>
    <row r="4106" spans="1:9" ht="15.75" thickBot="1" x14ac:dyDescent="0.3">
      <c r="A4106" s="43" t="s">
        <v>9374</v>
      </c>
      <c r="B4106" s="21" t="s">
        <v>9375</v>
      </c>
      <c r="C4106" s="21" t="s">
        <v>22655</v>
      </c>
      <c r="D4106" s="22">
        <v>46038</v>
      </c>
      <c r="E4106" s="23" t="s">
        <v>22656</v>
      </c>
      <c r="F4106" s="24" t="s">
        <v>22657</v>
      </c>
      <c r="G4106" s="25">
        <v>2</v>
      </c>
      <c r="H4106" s="26"/>
      <c r="I4106" s="27"/>
    </row>
    <row r="4107" spans="1:9" ht="15.75" thickBot="1" x14ac:dyDescent="0.3">
      <c r="A4107" s="43" t="s">
        <v>9376</v>
      </c>
      <c r="B4107" s="21" t="s">
        <v>9377</v>
      </c>
      <c r="C4107" s="21" t="s">
        <v>22655</v>
      </c>
      <c r="D4107" s="22">
        <v>46038</v>
      </c>
      <c r="E4107" s="23" t="s">
        <v>22656</v>
      </c>
      <c r="F4107" s="24" t="s">
        <v>22657</v>
      </c>
      <c r="G4107" s="25">
        <v>2</v>
      </c>
      <c r="H4107" s="29"/>
      <c r="I4107" s="30"/>
    </row>
    <row r="4108" spans="1:9" ht="15.75" thickBot="1" x14ac:dyDescent="0.3">
      <c r="A4108" s="43" t="s">
        <v>9378</v>
      </c>
      <c r="B4108" s="21" t="s">
        <v>9379</v>
      </c>
      <c r="C4108" s="21" t="s">
        <v>22655</v>
      </c>
      <c r="D4108" s="22">
        <v>46038</v>
      </c>
      <c r="E4108" s="23" t="s">
        <v>22656</v>
      </c>
      <c r="F4108" s="24" t="s">
        <v>22657</v>
      </c>
      <c r="G4108" s="25">
        <v>2</v>
      </c>
      <c r="H4108" s="26"/>
      <c r="I4108" s="27"/>
    </row>
    <row r="4109" spans="1:9" ht="15.75" thickBot="1" x14ac:dyDescent="0.3">
      <c r="A4109" s="43" t="s">
        <v>9380</v>
      </c>
      <c r="B4109" s="21" t="s">
        <v>9381</v>
      </c>
      <c r="C4109" s="21" t="s">
        <v>22655</v>
      </c>
      <c r="D4109" s="22">
        <v>46038</v>
      </c>
      <c r="E4109" s="23" t="s">
        <v>22656</v>
      </c>
      <c r="F4109" s="24" t="s">
        <v>22657</v>
      </c>
      <c r="G4109" s="25">
        <v>2</v>
      </c>
      <c r="H4109" s="29"/>
      <c r="I4109" s="30"/>
    </row>
    <row r="4110" spans="1:9" ht="15.75" thickBot="1" x14ac:dyDescent="0.3">
      <c r="A4110" s="43" t="s">
        <v>9382</v>
      </c>
      <c r="B4110" s="21" t="s">
        <v>9383</v>
      </c>
      <c r="C4110" s="21" t="s">
        <v>22663</v>
      </c>
      <c r="D4110" s="31">
        <v>1</v>
      </c>
      <c r="E4110" s="23" t="s">
        <v>22656</v>
      </c>
      <c r="F4110" s="24" t="s">
        <v>22657</v>
      </c>
      <c r="G4110" s="25">
        <v>4</v>
      </c>
      <c r="H4110" s="26"/>
      <c r="I4110" s="27"/>
    </row>
    <row r="4111" spans="1:9" ht="15.75" thickBot="1" x14ac:dyDescent="0.3">
      <c r="A4111" s="43" t="s">
        <v>9384</v>
      </c>
      <c r="B4111" s="21" t="s">
        <v>9385</v>
      </c>
      <c r="C4111" s="21" t="s">
        <v>22698</v>
      </c>
      <c r="D4111" s="31">
        <v>1</v>
      </c>
      <c r="E4111" s="23" t="s">
        <v>22658</v>
      </c>
      <c r="F4111" s="28" t="s">
        <v>22659</v>
      </c>
      <c r="G4111" s="25">
        <v>1</v>
      </c>
      <c r="H4111" s="29"/>
      <c r="I4111" s="30"/>
    </row>
    <row r="4112" spans="1:9" ht="15.75" thickBot="1" x14ac:dyDescent="0.3">
      <c r="A4112" s="43" t="s">
        <v>9386</v>
      </c>
      <c r="B4112" s="21" t="s">
        <v>9387</v>
      </c>
      <c r="C4112" s="21" t="s">
        <v>22663</v>
      </c>
      <c r="D4112" s="31">
        <v>1</v>
      </c>
      <c r="E4112" s="23" t="s">
        <v>22658</v>
      </c>
      <c r="F4112" s="24" t="s">
        <v>22657</v>
      </c>
      <c r="G4112" s="25">
        <v>2</v>
      </c>
      <c r="H4112" s="26"/>
      <c r="I4112" s="27"/>
    </row>
    <row r="4113" spans="1:9" ht="15.75" thickBot="1" x14ac:dyDescent="0.3">
      <c r="A4113" s="43" t="s">
        <v>9388</v>
      </c>
      <c r="B4113" s="21" t="s">
        <v>9389</v>
      </c>
      <c r="C4113" s="21" t="s">
        <v>22663</v>
      </c>
      <c r="D4113" s="31">
        <v>1</v>
      </c>
      <c r="E4113" s="23" t="s">
        <v>22656</v>
      </c>
      <c r="F4113" s="24" t="s">
        <v>22657</v>
      </c>
      <c r="G4113" s="25">
        <v>4</v>
      </c>
      <c r="H4113" s="29"/>
      <c r="I4113" s="30"/>
    </row>
    <row r="4114" spans="1:9" ht="15.75" thickBot="1" x14ac:dyDescent="0.3">
      <c r="A4114" s="43" t="s">
        <v>9390</v>
      </c>
      <c r="B4114" s="21" t="s">
        <v>9391</v>
      </c>
      <c r="C4114" s="21" t="s">
        <v>22655</v>
      </c>
      <c r="D4114" s="22">
        <v>46042</v>
      </c>
      <c r="E4114" s="23" t="s">
        <v>22656</v>
      </c>
      <c r="F4114" s="28" t="s">
        <v>22659</v>
      </c>
      <c r="G4114" s="25">
        <v>2</v>
      </c>
      <c r="H4114" s="26"/>
      <c r="I4114" s="27"/>
    </row>
    <row r="4115" spans="1:9" ht="15.75" thickBot="1" x14ac:dyDescent="0.3">
      <c r="A4115" s="43" t="s">
        <v>9392</v>
      </c>
      <c r="B4115" s="21" t="s">
        <v>9393</v>
      </c>
      <c r="C4115" s="21" t="s">
        <v>22655</v>
      </c>
      <c r="D4115" s="31" t="s">
        <v>22683</v>
      </c>
      <c r="E4115" s="23" t="s">
        <v>22658</v>
      </c>
      <c r="F4115" s="24" t="s">
        <v>22657</v>
      </c>
      <c r="G4115" s="25">
        <v>10</v>
      </c>
      <c r="H4115" s="29"/>
      <c r="I4115" s="30"/>
    </row>
    <row r="4116" spans="1:9" ht="15.75" thickBot="1" x14ac:dyDescent="0.3">
      <c r="A4116" s="43" t="s">
        <v>9394</v>
      </c>
      <c r="B4116" s="21" t="s">
        <v>9395</v>
      </c>
      <c r="C4116" s="21" t="s">
        <v>22663</v>
      </c>
      <c r="D4116" s="31">
        <v>1</v>
      </c>
      <c r="E4116" s="23" t="s">
        <v>22658</v>
      </c>
      <c r="F4116" s="24" t="s">
        <v>22657</v>
      </c>
      <c r="G4116" s="25">
        <v>7</v>
      </c>
      <c r="H4116" s="26"/>
      <c r="I4116" s="27"/>
    </row>
    <row r="4117" spans="1:9" ht="15.75" thickBot="1" x14ac:dyDescent="0.3">
      <c r="A4117" s="43" t="s">
        <v>9396</v>
      </c>
      <c r="B4117" s="21" t="s">
        <v>9397</v>
      </c>
      <c r="C4117" s="21" t="s">
        <v>22663</v>
      </c>
      <c r="D4117" s="31">
        <v>1</v>
      </c>
      <c r="E4117" s="23" t="s">
        <v>22658</v>
      </c>
      <c r="F4117" s="28" t="s">
        <v>22659</v>
      </c>
      <c r="G4117" s="25">
        <v>1</v>
      </c>
      <c r="H4117" s="29"/>
      <c r="I4117" s="30"/>
    </row>
    <row r="4118" spans="1:9" ht="15.75" thickBot="1" x14ac:dyDescent="0.3">
      <c r="A4118" s="43" t="s">
        <v>9398</v>
      </c>
      <c r="B4118" s="21" t="s">
        <v>9399</v>
      </c>
      <c r="C4118" s="21" t="s">
        <v>22663</v>
      </c>
      <c r="D4118" s="31">
        <v>1</v>
      </c>
      <c r="E4118" s="23" t="s">
        <v>22656</v>
      </c>
      <c r="F4118" s="24" t="s">
        <v>22657</v>
      </c>
      <c r="G4118" s="25">
        <v>4</v>
      </c>
      <c r="H4118" s="26"/>
      <c r="I4118" s="27"/>
    </row>
    <row r="4119" spans="1:9" ht="15.75" thickBot="1" x14ac:dyDescent="0.3">
      <c r="A4119" s="43" t="s">
        <v>9400</v>
      </c>
      <c r="B4119" s="21" t="s">
        <v>9401</v>
      </c>
      <c r="C4119" s="21" t="s">
        <v>22682</v>
      </c>
      <c r="D4119" s="22">
        <v>46034</v>
      </c>
      <c r="E4119" s="23" t="s">
        <v>22661</v>
      </c>
      <c r="F4119" s="24" t="s">
        <v>22657</v>
      </c>
      <c r="G4119" s="25">
        <v>11</v>
      </c>
      <c r="H4119" s="29"/>
      <c r="I4119" s="30"/>
    </row>
    <row r="4120" spans="1:9" ht="15.75" thickBot="1" x14ac:dyDescent="0.3">
      <c r="A4120" s="43" t="s">
        <v>9402</v>
      </c>
      <c r="B4120" s="21" t="s">
        <v>9403</v>
      </c>
      <c r="C4120" s="21" t="s">
        <v>22655</v>
      </c>
      <c r="D4120" s="22">
        <v>46046</v>
      </c>
      <c r="E4120" s="23" t="s">
        <v>22656</v>
      </c>
      <c r="F4120" s="24" t="s">
        <v>22657</v>
      </c>
      <c r="G4120" s="25">
        <v>4</v>
      </c>
      <c r="H4120" s="26"/>
      <c r="I4120" s="27"/>
    </row>
    <row r="4121" spans="1:9" ht="15.75" thickBot="1" x14ac:dyDescent="0.3">
      <c r="A4121" s="43" t="s">
        <v>9404</v>
      </c>
      <c r="B4121" s="21" t="s">
        <v>9405</v>
      </c>
      <c r="C4121" s="21" t="s">
        <v>22655</v>
      </c>
      <c r="D4121" s="22">
        <v>46034</v>
      </c>
      <c r="E4121" s="23" t="s">
        <v>22656</v>
      </c>
      <c r="F4121" s="24" t="s">
        <v>22657</v>
      </c>
      <c r="G4121" s="25">
        <v>4</v>
      </c>
      <c r="H4121" s="29"/>
      <c r="I4121" s="30"/>
    </row>
    <row r="4122" spans="1:9" ht="15.75" thickBot="1" x14ac:dyDescent="0.3">
      <c r="A4122" s="43" t="s">
        <v>9406</v>
      </c>
      <c r="B4122" s="21" t="s">
        <v>9407</v>
      </c>
      <c r="C4122" s="21" t="s">
        <v>22682</v>
      </c>
      <c r="D4122" s="22">
        <v>46034</v>
      </c>
      <c r="E4122" s="23" t="s">
        <v>22661</v>
      </c>
      <c r="F4122" s="24" t="s">
        <v>22657</v>
      </c>
      <c r="G4122" s="25">
        <v>6</v>
      </c>
      <c r="H4122" s="26"/>
      <c r="I4122" s="27"/>
    </row>
    <row r="4123" spans="1:9" ht="15.75" thickBot="1" x14ac:dyDescent="0.3">
      <c r="A4123" s="43" t="s">
        <v>9408</v>
      </c>
      <c r="B4123" s="21" t="s">
        <v>9409</v>
      </c>
      <c r="C4123" s="21" t="s">
        <v>22655</v>
      </c>
      <c r="D4123" s="22">
        <v>46046</v>
      </c>
      <c r="E4123" s="23" t="s">
        <v>22661</v>
      </c>
      <c r="F4123" s="24" t="s">
        <v>22657</v>
      </c>
      <c r="G4123" s="25">
        <v>4</v>
      </c>
      <c r="H4123" s="29"/>
      <c r="I4123" s="30"/>
    </row>
    <row r="4124" spans="1:9" ht="15.75" thickBot="1" x14ac:dyDescent="0.3">
      <c r="A4124" s="43" t="s">
        <v>9410</v>
      </c>
      <c r="B4124" s="21" t="s">
        <v>9411</v>
      </c>
      <c r="C4124" s="21" t="s">
        <v>22655</v>
      </c>
      <c r="D4124" s="22">
        <v>46034</v>
      </c>
      <c r="E4124" s="23" t="s">
        <v>22656</v>
      </c>
      <c r="F4124" s="24" t="s">
        <v>22657</v>
      </c>
      <c r="G4124" s="25">
        <v>24</v>
      </c>
      <c r="H4124" s="34">
        <v>24</v>
      </c>
      <c r="I4124" s="35">
        <v>36</v>
      </c>
    </row>
    <row r="4125" spans="1:9" ht="15.75" thickBot="1" x14ac:dyDescent="0.3">
      <c r="A4125" s="43" t="s">
        <v>9412</v>
      </c>
      <c r="B4125" s="21" t="s">
        <v>9413</v>
      </c>
      <c r="C4125" s="21" t="s">
        <v>22655</v>
      </c>
      <c r="D4125" s="31" t="s">
        <v>22666</v>
      </c>
      <c r="E4125" s="23" t="s">
        <v>22661</v>
      </c>
      <c r="F4125" s="24" t="s">
        <v>22657</v>
      </c>
      <c r="G4125" s="25">
        <v>9</v>
      </c>
      <c r="H4125" s="29"/>
      <c r="I4125" s="30"/>
    </row>
    <row r="4126" spans="1:9" ht="15.75" thickBot="1" x14ac:dyDescent="0.3">
      <c r="A4126" s="43" t="s">
        <v>9414</v>
      </c>
      <c r="B4126" s="21" t="s">
        <v>9415</v>
      </c>
      <c r="C4126" s="21" t="s">
        <v>22655</v>
      </c>
      <c r="D4126" s="22">
        <v>46046</v>
      </c>
      <c r="E4126" s="23" t="s">
        <v>22656</v>
      </c>
      <c r="F4126" s="24" t="s">
        <v>22657</v>
      </c>
      <c r="G4126" s="25">
        <v>8</v>
      </c>
      <c r="H4126" s="26"/>
      <c r="I4126" s="27"/>
    </row>
    <row r="4127" spans="1:9" ht="15.75" thickBot="1" x14ac:dyDescent="0.3">
      <c r="A4127" s="43" t="s">
        <v>9416</v>
      </c>
      <c r="B4127" s="21" t="s">
        <v>9417</v>
      </c>
      <c r="C4127" s="21" t="s">
        <v>22672</v>
      </c>
      <c r="D4127" s="22">
        <v>46028</v>
      </c>
      <c r="E4127" s="23" t="s">
        <v>22656</v>
      </c>
      <c r="F4127" s="24" t="s">
        <v>22657</v>
      </c>
      <c r="G4127" s="25">
        <v>4</v>
      </c>
      <c r="H4127" s="29"/>
      <c r="I4127" s="30"/>
    </row>
    <row r="4128" spans="1:9" ht="15.75" thickBot="1" x14ac:dyDescent="0.3">
      <c r="A4128" s="43" t="s">
        <v>9418</v>
      </c>
      <c r="B4128" s="21" t="s">
        <v>9419</v>
      </c>
      <c r="C4128" s="21" t="s">
        <v>22655</v>
      </c>
      <c r="D4128" s="22">
        <v>46046</v>
      </c>
      <c r="E4128" s="23" t="s">
        <v>22656</v>
      </c>
      <c r="F4128" s="24" t="s">
        <v>22657</v>
      </c>
      <c r="G4128" s="25">
        <v>4</v>
      </c>
      <c r="H4128" s="26"/>
      <c r="I4128" s="27"/>
    </row>
    <row r="4129" spans="1:9" ht="15.75" thickBot="1" x14ac:dyDescent="0.3">
      <c r="A4129" s="43" t="s">
        <v>9420</v>
      </c>
      <c r="B4129" s="21" t="s">
        <v>9421</v>
      </c>
      <c r="C4129" s="21" t="s">
        <v>22655</v>
      </c>
      <c r="D4129" s="22">
        <v>46034</v>
      </c>
      <c r="E4129" s="23" t="s">
        <v>22656</v>
      </c>
      <c r="F4129" s="24" t="s">
        <v>22657</v>
      </c>
      <c r="G4129" s="25">
        <v>4</v>
      </c>
      <c r="H4129" s="29"/>
      <c r="I4129" s="30"/>
    </row>
    <row r="4130" spans="1:9" ht="15.75" thickBot="1" x14ac:dyDescent="0.3">
      <c r="A4130" s="43" t="s">
        <v>1331</v>
      </c>
      <c r="B4130" s="21" t="s">
        <v>1332</v>
      </c>
      <c r="C4130" s="21" t="s">
        <v>22655</v>
      </c>
      <c r="D4130" s="22">
        <v>46034</v>
      </c>
      <c r="E4130" s="23" t="s">
        <v>22661</v>
      </c>
      <c r="F4130" s="24" t="s">
        <v>22657</v>
      </c>
      <c r="G4130" s="25">
        <v>12</v>
      </c>
      <c r="H4130" s="34">
        <v>12</v>
      </c>
      <c r="I4130" s="35">
        <v>24</v>
      </c>
    </row>
    <row r="4131" spans="1:9" ht="15.75" thickBot="1" x14ac:dyDescent="0.3">
      <c r="A4131" s="43" t="s">
        <v>9422</v>
      </c>
      <c r="B4131" s="21" t="s">
        <v>9423</v>
      </c>
      <c r="C4131" s="21" t="s">
        <v>22655</v>
      </c>
      <c r="D4131" s="31" t="s">
        <v>22660</v>
      </c>
      <c r="E4131" s="23" t="s">
        <v>22656</v>
      </c>
      <c r="F4131" s="24" t="s">
        <v>22657</v>
      </c>
      <c r="G4131" s="25">
        <v>4</v>
      </c>
      <c r="H4131" s="29"/>
      <c r="I4131" s="30"/>
    </row>
    <row r="4132" spans="1:9" ht="15.75" thickBot="1" x14ac:dyDescent="0.3">
      <c r="A4132" s="43" t="s">
        <v>9424</v>
      </c>
      <c r="B4132" s="21" t="s">
        <v>9425</v>
      </c>
      <c r="C4132" s="21" t="s">
        <v>22655</v>
      </c>
      <c r="D4132" s="22">
        <v>46046</v>
      </c>
      <c r="E4132" s="23" t="s">
        <v>22656</v>
      </c>
      <c r="F4132" s="24" t="s">
        <v>22657</v>
      </c>
      <c r="G4132" s="25">
        <v>8</v>
      </c>
      <c r="H4132" s="26"/>
      <c r="I4132" s="27"/>
    </row>
    <row r="4133" spans="1:9" ht="15.75" thickBot="1" x14ac:dyDescent="0.3">
      <c r="A4133" s="43" t="s">
        <v>9426</v>
      </c>
      <c r="B4133" s="21" t="s">
        <v>9427</v>
      </c>
      <c r="C4133" s="21" t="s">
        <v>22655</v>
      </c>
      <c r="D4133" s="22">
        <v>46034</v>
      </c>
      <c r="E4133" s="23" t="s">
        <v>22656</v>
      </c>
      <c r="F4133" s="24" t="s">
        <v>22657</v>
      </c>
      <c r="G4133" s="25">
        <v>4</v>
      </c>
      <c r="H4133" s="29"/>
      <c r="I4133" s="30"/>
    </row>
    <row r="4134" spans="1:9" ht="15.75" thickBot="1" x14ac:dyDescent="0.3">
      <c r="A4134" s="43" t="s">
        <v>9428</v>
      </c>
      <c r="B4134" s="21" t="s">
        <v>9429</v>
      </c>
      <c r="C4134" s="21" t="s">
        <v>22690</v>
      </c>
      <c r="D4134" s="31" t="s">
        <v>22807</v>
      </c>
      <c r="E4134" s="23" t="s">
        <v>22661</v>
      </c>
      <c r="F4134" s="24" t="s">
        <v>22657</v>
      </c>
      <c r="G4134" s="25">
        <v>12</v>
      </c>
      <c r="H4134" s="34">
        <v>12</v>
      </c>
      <c r="I4134" s="35">
        <v>24</v>
      </c>
    </row>
    <row r="4135" spans="1:9" ht="15.75" thickBot="1" x14ac:dyDescent="0.3">
      <c r="A4135" s="43" t="s">
        <v>723</v>
      </c>
      <c r="B4135" s="21" t="s">
        <v>9430</v>
      </c>
      <c r="C4135" s="21" t="s">
        <v>22655</v>
      </c>
      <c r="D4135" s="22">
        <v>46030</v>
      </c>
      <c r="E4135" s="23" t="s">
        <v>22661</v>
      </c>
      <c r="F4135" s="24" t="s">
        <v>22657</v>
      </c>
      <c r="G4135" s="25">
        <v>16</v>
      </c>
      <c r="H4135" s="32">
        <v>16</v>
      </c>
      <c r="I4135" s="33">
        <v>24</v>
      </c>
    </row>
    <row r="4136" spans="1:9" ht="15.75" thickBot="1" x14ac:dyDescent="0.3">
      <c r="A4136" s="43" t="s">
        <v>9431</v>
      </c>
      <c r="B4136" s="21" t="s">
        <v>9432</v>
      </c>
      <c r="C4136" s="21" t="s">
        <v>22655</v>
      </c>
      <c r="D4136" s="31" t="s">
        <v>22660</v>
      </c>
      <c r="E4136" s="23" t="s">
        <v>22658</v>
      </c>
      <c r="F4136" s="24" t="s">
        <v>22657</v>
      </c>
      <c r="G4136" s="25">
        <v>4</v>
      </c>
      <c r="H4136" s="26"/>
      <c r="I4136" s="27"/>
    </row>
    <row r="4137" spans="1:9" ht="15.75" thickBot="1" x14ac:dyDescent="0.3">
      <c r="A4137" s="43" t="s">
        <v>9433</v>
      </c>
      <c r="B4137" s="21" t="s">
        <v>9434</v>
      </c>
      <c r="C4137" s="21" t="s">
        <v>22712</v>
      </c>
      <c r="D4137" s="22">
        <v>46028</v>
      </c>
      <c r="E4137" s="23" t="s">
        <v>22658</v>
      </c>
      <c r="F4137" s="24" t="s">
        <v>22657</v>
      </c>
      <c r="G4137" s="25">
        <v>1</v>
      </c>
      <c r="H4137" s="29"/>
      <c r="I4137" s="30"/>
    </row>
    <row r="4138" spans="1:9" ht="15.75" thickBot="1" x14ac:dyDescent="0.3">
      <c r="A4138" s="43" t="s">
        <v>131</v>
      </c>
      <c r="B4138" s="21" t="s">
        <v>9435</v>
      </c>
      <c r="C4138" s="21" t="s">
        <v>22655</v>
      </c>
      <c r="D4138" s="22">
        <v>46040</v>
      </c>
      <c r="E4138" s="23" t="s">
        <v>22656</v>
      </c>
      <c r="F4138" s="24" t="s">
        <v>22657</v>
      </c>
      <c r="G4138" s="25">
        <v>6</v>
      </c>
      <c r="H4138" s="26"/>
      <c r="I4138" s="27"/>
    </row>
    <row r="4139" spans="1:9" ht="15.75" thickBot="1" x14ac:dyDescent="0.3">
      <c r="A4139" s="43" t="s">
        <v>1964</v>
      </c>
      <c r="B4139" s="21" t="s">
        <v>9436</v>
      </c>
      <c r="C4139" s="21" t="s">
        <v>22655</v>
      </c>
      <c r="D4139" s="31" t="s">
        <v>22660</v>
      </c>
      <c r="E4139" s="23" t="s">
        <v>22665</v>
      </c>
      <c r="F4139" s="24" t="s">
        <v>22657</v>
      </c>
      <c r="G4139" s="25">
        <v>24</v>
      </c>
      <c r="H4139" s="32">
        <v>24</v>
      </c>
      <c r="I4139" s="33">
        <v>48</v>
      </c>
    </row>
    <row r="4140" spans="1:9" ht="15.75" thickBot="1" x14ac:dyDescent="0.3">
      <c r="A4140" s="43" t="s">
        <v>1319</v>
      </c>
      <c r="B4140" s="21" t="s">
        <v>9437</v>
      </c>
      <c r="C4140" s="21" t="s">
        <v>22655</v>
      </c>
      <c r="D4140" s="22">
        <v>46030</v>
      </c>
      <c r="E4140" s="23" t="s">
        <v>22661</v>
      </c>
      <c r="F4140" s="24" t="s">
        <v>22657</v>
      </c>
      <c r="G4140" s="25">
        <v>8</v>
      </c>
      <c r="H4140" s="34">
        <v>8</v>
      </c>
      <c r="I4140" s="35">
        <v>16</v>
      </c>
    </row>
    <row r="4141" spans="1:9" ht="15.75" thickBot="1" x14ac:dyDescent="0.3">
      <c r="A4141" s="43" t="s">
        <v>813</v>
      </c>
      <c r="B4141" s="21" t="s">
        <v>814</v>
      </c>
      <c r="C4141" s="21" t="s">
        <v>22655</v>
      </c>
      <c r="D4141" s="31" t="s">
        <v>22660</v>
      </c>
      <c r="E4141" s="23" t="s">
        <v>22665</v>
      </c>
      <c r="F4141" s="24" t="s">
        <v>22657</v>
      </c>
      <c r="G4141" s="25">
        <v>24</v>
      </c>
      <c r="H4141" s="32">
        <v>24</v>
      </c>
      <c r="I4141" s="33">
        <v>48</v>
      </c>
    </row>
    <row r="4142" spans="1:9" ht="15.75" thickBot="1" x14ac:dyDescent="0.3">
      <c r="A4142" s="43" t="s">
        <v>1890</v>
      </c>
      <c r="B4142" s="21" t="s">
        <v>9438</v>
      </c>
      <c r="C4142" s="21" t="s">
        <v>22655</v>
      </c>
      <c r="D4142" s="22">
        <v>46030</v>
      </c>
      <c r="E4142" s="23" t="s">
        <v>22656</v>
      </c>
      <c r="F4142" s="24" t="s">
        <v>22657</v>
      </c>
      <c r="G4142" s="25">
        <v>4</v>
      </c>
      <c r="H4142" s="34">
        <v>4</v>
      </c>
      <c r="I4142" s="35">
        <v>8</v>
      </c>
    </row>
    <row r="4143" spans="1:9" ht="15.75" thickBot="1" x14ac:dyDescent="0.3">
      <c r="A4143" s="43" t="s">
        <v>9439</v>
      </c>
      <c r="B4143" s="21" t="s">
        <v>9440</v>
      </c>
      <c r="C4143" s="21" t="s">
        <v>22655</v>
      </c>
      <c r="D4143" s="31" t="s">
        <v>22660</v>
      </c>
      <c r="E4143" s="23" t="s">
        <v>22656</v>
      </c>
      <c r="F4143" s="24" t="s">
        <v>22657</v>
      </c>
      <c r="G4143" s="25">
        <v>8</v>
      </c>
      <c r="H4143" s="29"/>
      <c r="I4143" s="30"/>
    </row>
    <row r="4144" spans="1:9" ht="15.75" thickBot="1" x14ac:dyDescent="0.3">
      <c r="A4144" s="43" t="s">
        <v>9441</v>
      </c>
      <c r="B4144" s="21" t="s">
        <v>9442</v>
      </c>
      <c r="C4144" s="21" t="s">
        <v>22655</v>
      </c>
      <c r="D4144" s="31" t="s">
        <v>22775</v>
      </c>
      <c r="E4144" s="23" t="s">
        <v>22656</v>
      </c>
      <c r="F4144" s="24" t="s">
        <v>22657</v>
      </c>
      <c r="G4144" s="25">
        <v>8</v>
      </c>
      <c r="H4144" s="26"/>
      <c r="I4144" s="27"/>
    </row>
    <row r="4145" spans="1:9" ht="15.75" thickBot="1" x14ac:dyDescent="0.3">
      <c r="A4145" s="43" t="s">
        <v>231</v>
      </c>
      <c r="B4145" s="21" t="s">
        <v>9443</v>
      </c>
      <c r="C4145" s="21" t="s">
        <v>22655</v>
      </c>
      <c r="D4145" s="31" t="s">
        <v>22660</v>
      </c>
      <c r="E4145" s="23" t="s">
        <v>22665</v>
      </c>
      <c r="F4145" s="24" t="s">
        <v>22657</v>
      </c>
      <c r="G4145" s="25">
        <v>19</v>
      </c>
      <c r="H4145" s="29"/>
      <c r="I4145" s="30"/>
    </row>
    <row r="4146" spans="1:9" ht="15.75" thickBot="1" x14ac:dyDescent="0.3">
      <c r="A4146" s="43" t="s">
        <v>9444</v>
      </c>
      <c r="B4146" s="21" t="s">
        <v>9445</v>
      </c>
      <c r="C4146" s="21" t="s">
        <v>22655</v>
      </c>
      <c r="D4146" s="31" t="s">
        <v>22808</v>
      </c>
      <c r="E4146" s="23" t="s">
        <v>22656</v>
      </c>
      <c r="F4146" s="24" t="s">
        <v>22657</v>
      </c>
      <c r="G4146" s="25">
        <v>4</v>
      </c>
      <c r="H4146" s="26"/>
      <c r="I4146" s="27"/>
    </row>
    <row r="4147" spans="1:9" ht="15.75" thickBot="1" x14ac:dyDescent="0.3">
      <c r="A4147" s="43" t="s">
        <v>9446</v>
      </c>
      <c r="B4147" s="21" t="s">
        <v>9447</v>
      </c>
      <c r="C4147" s="21" t="s">
        <v>22655</v>
      </c>
      <c r="D4147" s="22">
        <v>46052</v>
      </c>
      <c r="E4147" s="23" t="s">
        <v>22656</v>
      </c>
      <c r="F4147" s="24" t="s">
        <v>22657</v>
      </c>
      <c r="G4147" s="25">
        <v>10</v>
      </c>
      <c r="H4147" s="29"/>
      <c r="I4147" s="30"/>
    </row>
    <row r="4148" spans="1:9" ht="15.75" thickBot="1" x14ac:dyDescent="0.3">
      <c r="A4148" s="43" t="s">
        <v>9448</v>
      </c>
      <c r="B4148" s="21" t="s">
        <v>9449</v>
      </c>
      <c r="C4148" s="21" t="s">
        <v>22655</v>
      </c>
      <c r="D4148" s="22">
        <v>46030</v>
      </c>
      <c r="E4148" s="23" t="s">
        <v>22656</v>
      </c>
      <c r="F4148" s="24" t="s">
        <v>22657</v>
      </c>
      <c r="G4148" s="25">
        <v>3</v>
      </c>
      <c r="H4148" s="26"/>
      <c r="I4148" s="27"/>
    </row>
    <row r="4149" spans="1:9" ht="15.75" thickBot="1" x14ac:dyDescent="0.3">
      <c r="A4149" s="43" t="s">
        <v>9450</v>
      </c>
      <c r="B4149" s="21" t="s">
        <v>9451</v>
      </c>
      <c r="C4149" s="21" t="s">
        <v>22655</v>
      </c>
      <c r="D4149" s="31" t="s">
        <v>22660</v>
      </c>
      <c r="E4149" s="23" t="s">
        <v>22661</v>
      </c>
      <c r="F4149" s="24" t="s">
        <v>22657</v>
      </c>
      <c r="G4149" s="25">
        <v>8</v>
      </c>
      <c r="H4149" s="29"/>
      <c r="I4149" s="30"/>
    </row>
    <row r="4150" spans="1:9" ht="15.75" thickBot="1" x14ac:dyDescent="0.3">
      <c r="A4150" s="43" t="s">
        <v>9452</v>
      </c>
      <c r="B4150" s="21" t="s">
        <v>9453</v>
      </c>
      <c r="C4150" s="21" t="s">
        <v>22655</v>
      </c>
      <c r="D4150" s="22">
        <v>46046</v>
      </c>
      <c r="E4150" s="23" t="s">
        <v>22656</v>
      </c>
      <c r="F4150" s="24" t="s">
        <v>22657</v>
      </c>
      <c r="G4150" s="25">
        <v>8</v>
      </c>
      <c r="H4150" s="26"/>
      <c r="I4150" s="27"/>
    </row>
    <row r="4151" spans="1:9" ht="15.75" thickBot="1" x14ac:dyDescent="0.3">
      <c r="A4151" s="43" t="s">
        <v>9454</v>
      </c>
      <c r="B4151" s="21" t="s">
        <v>9455</v>
      </c>
      <c r="C4151" s="21" t="s">
        <v>22655</v>
      </c>
      <c r="D4151" s="31" t="s">
        <v>22715</v>
      </c>
      <c r="E4151" s="23" t="s">
        <v>22665</v>
      </c>
      <c r="F4151" s="24" t="s">
        <v>22657</v>
      </c>
      <c r="G4151" s="25">
        <v>24</v>
      </c>
      <c r="H4151" s="32">
        <v>24</v>
      </c>
      <c r="I4151" s="33">
        <v>48</v>
      </c>
    </row>
    <row r="4152" spans="1:9" ht="15.75" thickBot="1" x14ac:dyDescent="0.3">
      <c r="A4152" s="43" t="s">
        <v>1441</v>
      </c>
      <c r="B4152" s="21" t="s">
        <v>1442</v>
      </c>
      <c r="C4152" s="21" t="s">
        <v>22655</v>
      </c>
      <c r="D4152" s="22">
        <v>46030</v>
      </c>
      <c r="E4152" s="23" t="s">
        <v>22656</v>
      </c>
      <c r="F4152" s="24" t="s">
        <v>22657</v>
      </c>
      <c r="G4152" s="25">
        <v>3</v>
      </c>
      <c r="H4152" s="26"/>
      <c r="I4152" s="27"/>
    </row>
    <row r="4153" spans="1:9" ht="15.75" thickBot="1" x14ac:dyDescent="0.3">
      <c r="A4153" s="43" t="s">
        <v>9456</v>
      </c>
      <c r="B4153" s="21" t="s">
        <v>9457</v>
      </c>
      <c r="C4153" s="21" t="s">
        <v>22690</v>
      </c>
      <c r="D4153" s="31" t="s">
        <v>22809</v>
      </c>
      <c r="E4153" s="23" t="s">
        <v>22665</v>
      </c>
      <c r="F4153" s="24" t="s">
        <v>22657</v>
      </c>
      <c r="G4153" s="25">
        <v>24</v>
      </c>
      <c r="H4153" s="32">
        <v>24</v>
      </c>
      <c r="I4153" s="33">
        <v>48</v>
      </c>
    </row>
    <row r="4154" spans="1:9" ht="15.75" thickBot="1" x14ac:dyDescent="0.3">
      <c r="A4154" s="43" t="s">
        <v>319</v>
      </c>
      <c r="B4154" s="21" t="s">
        <v>320</v>
      </c>
      <c r="C4154" s="21" t="s">
        <v>22655</v>
      </c>
      <c r="D4154" s="22">
        <v>46030</v>
      </c>
      <c r="E4154" s="23" t="s">
        <v>22656</v>
      </c>
      <c r="F4154" s="24" t="s">
        <v>22657</v>
      </c>
      <c r="G4154" s="25">
        <v>8</v>
      </c>
      <c r="H4154" s="34">
        <v>8</v>
      </c>
      <c r="I4154" s="35">
        <v>12</v>
      </c>
    </row>
    <row r="4155" spans="1:9" ht="15.75" thickBot="1" x14ac:dyDescent="0.3">
      <c r="A4155" s="43" t="s">
        <v>1259</v>
      </c>
      <c r="B4155" s="21" t="s">
        <v>1260</v>
      </c>
      <c r="C4155" s="21" t="s">
        <v>22655</v>
      </c>
      <c r="D4155" s="31" t="s">
        <v>22660</v>
      </c>
      <c r="E4155" s="23" t="s">
        <v>22665</v>
      </c>
      <c r="F4155" s="24" t="s">
        <v>22657</v>
      </c>
      <c r="G4155" s="25">
        <v>24</v>
      </c>
      <c r="H4155" s="32">
        <v>24</v>
      </c>
      <c r="I4155" s="33">
        <v>48</v>
      </c>
    </row>
    <row r="4156" spans="1:9" ht="15.75" thickBot="1" x14ac:dyDescent="0.3">
      <c r="A4156" s="43" t="s">
        <v>1321</v>
      </c>
      <c r="B4156" s="21" t="s">
        <v>1322</v>
      </c>
      <c r="C4156" s="21" t="s">
        <v>22655</v>
      </c>
      <c r="D4156" s="31" t="s">
        <v>22660</v>
      </c>
      <c r="E4156" s="23" t="s">
        <v>22662</v>
      </c>
      <c r="F4156" s="24" t="s">
        <v>22657</v>
      </c>
      <c r="G4156" s="25">
        <v>240</v>
      </c>
      <c r="H4156" s="34">
        <v>240</v>
      </c>
      <c r="I4156" s="35">
        <v>480</v>
      </c>
    </row>
    <row r="4157" spans="1:9" ht="15.75" thickBot="1" x14ac:dyDescent="0.3">
      <c r="A4157" s="43" t="s">
        <v>953</v>
      </c>
      <c r="B4157" s="21" t="s">
        <v>954</v>
      </c>
      <c r="C4157" s="21" t="s">
        <v>22655</v>
      </c>
      <c r="D4157" s="22">
        <v>46030</v>
      </c>
      <c r="E4157" s="23" t="s">
        <v>22662</v>
      </c>
      <c r="F4157" s="24" t="s">
        <v>22657</v>
      </c>
      <c r="G4157" s="25">
        <v>24</v>
      </c>
      <c r="H4157" s="32">
        <v>24</v>
      </c>
      <c r="I4157" s="33">
        <v>40</v>
      </c>
    </row>
    <row r="4158" spans="1:9" ht="15.75" thickBot="1" x14ac:dyDescent="0.3">
      <c r="A4158" s="43" t="s">
        <v>9458</v>
      </c>
      <c r="B4158" s="21" t="s">
        <v>9459</v>
      </c>
      <c r="C4158" s="21" t="s">
        <v>22690</v>
      </c>
      <c r="D4158" s="31" t="s">
        <v>22810</v>
      </c>
      <c r="E4158" s="23" t="s">
        <v>22661</v>
      </c>
      <c r="F4158" s="24" t="s">
        <v>22657</v>
      </c>
      <c r="G4158" s="25">
        <v>8</v>
      </c>
      <c r="H4158" s="26"/>
      <c r="I4158" s="27"/>
    </row>
    <row r="4159" spans="1:9" ht="15.75" thickBot="1" x14ac:dyDescent="0.3">
      <c r="A4159" s="43" t="s">
        <v>55</v>
      </c>
      <c r="B4159" s="21" t="s">
        <v>56</v>
      </c>
      <c r="C4159" s="21" t="s">
        <v>22655</v>
      </c>
      <c r="D4159" s="22">
        <v>46046</v>
      </c>
      <c r="E4159" s="23" t="s">
        <v>22661</v>
      </c>
      <c r="F4159" s="24" t="s">
        <v>22657</v>
      </c>
      <c r="G4159" s="25">
        <v>28</v>
      </c>
      <c r="H4159" s="29"/>
      <c r="I4159" s="30"/>
    </row>
    <row r="4160" spans="1:9" ht="15.75" thickBot="1" x14ac:dyDescent="0.3">
      <c r="A4160" s="43" t="s">
        <v>139</v>
      </c>
      <c r="B4160" s="21" t="s">
        <v>140</v>
      </c>
      <c r="C4160" s="21" t="s">
        <v>22655</v>
      </c>
      <c r="D4160" s="31" t="s">
        <v>22660</v>
      </c>
      <c r="E4160" s="23" t="s">
        <v>22665</v>
      </c>
      <c r="F4160" s="24" t="s">
        <v>22657</v>
      </c>
      <c r="G4160" s="25">
        <v>24</v>
      </c>
      <c r="H4160" s="34">
        <v>24</v>
      </c>
      <c r="I4160" s="35">
        <v>48</v>
      </c>
    </row>
    <row r="4161" spans="1:9" ht="15.75" thickBot="1" x14ac:dyDescent="0.3">
      <c r="A4161" s="43" t="s">
        <v>1287</v>
      </c>
      <c r="B4161" s="21" t="s">
        <v>1288</v>
      </c>
      <c r="C4161" s="21" t="s">
        <v>22655</v>
      </c>
      <c r="D4161" s="22">
        <v>46030</v>
      </c>
      <c r="E4161" s="23" t="s">
        <v>22665</v>
      </c>
      <c r="F4161" s="24" t="s">
        <v>22657</v>
      </c>
      <c r="G4161" s="25">
        <v>16</v>
      </c>
      <c r="H4161" s="32">
        <v>16</v>
      </c>
      <c r="I4161" s="33">
        <v>24</v>
      </c>
    </row>
    <row r="4162" spans="1:9" ht="15.75" thickBot="1" x14ac:dyDescent="0.3">
      <c r="A4162" s="43" t="s">
        <v>9460</v>
      </c>
      <c r="B4162" s="21" t="s">
        <v>9461</v>
      </c>
      <c r="C4162" s="21" t="s">
        <v>22655</v>
      </c>
      <c r="D4162" s="31" t="s">
        <v>22660</v>
      </c>
      <c r="E4162" s="23" t="s">
        <v>22656</v>
      </c>
      <c r="F4162" s="24" t="s">
        <v>22657</v>
      </c>
      <c r="G4162" s="25">
        <v>22</v>
      </c>
      <c r="H4162" s="26"/>
      <c r="I4162" s="27"/>
    </row>
    <row r="4163" spans="1:9" ht="15.75" thickBot="1" x14ac:dyDescent="0.3">
      <c r="A4163" s="43" t="s">
        <v>67</v>
      </c>
      <c r="B4163" s="21" t="s">
        <v>68</v>
      </c>
      <c r="C4163" s="21" t="s">
        <v>22655</v>
      </c>
      <c r="D4163" s="31" t="s">
        <v>22660</v>
      </c>
      <c r="E4163" s="23" t="s">
        <v>22665</v>
      </c>
      <c r="F4163" s="24" t="s">
        <v>22657</v>
      </c>
      <c r="G4163" s="25">
        <v>96</v>
      </c>
      <c r="H4163" s="32">
        <v>96</v>
      </c>
      <c r="I4163" s="33">
        <v>120</v>
      </c>
    </row>
    <row r="4164" spans="1:9" ht="15.75" thickBot="1" x14ac:dyDescent="0.3">
      <c r="A4164" s="43" t="s">
        <v>633</v>
      </c>
      <c r="B4164" s="21" t="s">
        <v>634</v>
      </c>
      <c r="C4164" s="21" t="s">
        <v>22655</v>
      </c>
      <c r="D4164" s="22">
        <v>46046</v>
      </c>
      <c r="E4164" s="23" t="s">
        <v>22661</v>
      </c>
      <c r="F4164" s="24" t="s">
        <v>22657</v>
      </c>
      <c r="G4164" s="25">
        <v>20</v>
      </c>
      <c r="H4164" s="26"/>
      <c r="I4164" s="27"/>
    </row>
    <row r="4165" spans="1:9" ht="15.75" thickBot="1" x14ac:dyDescent="0.3">
      <c r="A4165" s="43" t="s">
        <v>425</v>
      </c>
      <c r="B4165" s="21" t="s">
        <v>426</v>
      </c>
      <c r="C4165" s="21" t="s">
        <v>22655</v>
      </c>
      <c r="D4165" s="31" t="s">
        <v>22660</v>
      </c>
      <c r="E4165" s="23" t="s">
        <v>22661</v>
      </c>
      <c r="F4165" s="24" t="s">
        <v>22657</v>
      </c>
      <c r="G4165" s="25">
        <v>16</v>
      </c>
      <c r="H4165" s="29"/>
      <c r="I4165" s="30"/>
    </row>
    <row r="4166" spans="1:9" ht="15.75" thickBot="1" x14ac:dyDescent="0.3">
      <c r="A4166" s="43" t="s">
        <v>1511</v>
      </c>
      <c r="B4166" s="21" t="s">
        <v>1512</v>
      </c>
      <c r="C4166" s="21" t="s">
        <v>22655</v>
      </c>
      <c r="D4166" s="31" t="s">
        <v>22660</v>
      </c>
      <c r="E4166" s="23" t="s">
        <v>22662</v>
      </c>
      <c r="F4166" s="24" t="s">
        <v>22657</v>
      </c>
      <c r="G4166" s="25">
        <v>96</v>
      </c>
      <c r="H4166" s="34">
        <v>96</v>
      </c>
      <c r="I4166" s="35">
        <v>192</v>
      </c>
    </row>
    <row r="4167" spans="1:9" ht="15.75" thickBot="1" x14ac:dyDescent="0.3">
      <c r="A4167" s="43" t="s">
        <v>1553</v>
      </c>
      <c r="B4167" s="21" t="s">
        <v>1554</v>
      </c>
      <c r="C4167" s="21" t="s">
        <v>22655</v>
      </c>
      <c r="D4167" s="22">
        <v>46030</v>
      </c>
      <c r="E4167" s="23" t="s">
        <v>22665</v>
      </c>
      <c r="F4167" s="24" t="s">
        <v>22657</v>
      </c>
      <c r="G4167" s="25">
        <v>20</v>
      </c>
      <c r="H4167" s="32">
        <v>20</v>
      </c>
      <c r="I4167" s="33">
        <v>40</v>
      </c>
    </row>
    <row r="4168" spans="1:9" ht="15.75" thickBot="1" x14ac:dyDescent="0.3">
      <c r="A4168" s="43" t="s">
        <v>1515</v>
      </c>
      <c r="B4168" s="21" t="s">
        <v>1516</v>
      </c>
      <c r="C4168" s="21" t="s">
        <v>22655</v>
      </c>
      <c r="D4168" s="22">
        <v>46030</v>
      </c>
      <c r="E4168" s="23" t="s">
        <v>22661</v>
      </c>
      <c r="F4168" s="24" t="s">
        <v>22657</v>
      </c>
      <c r="G4168" s="25">
        <v>8</v>
      </c>
      <c r="H4168" s="34">
        <v>8</v>
      </c>
      <c r="I4168" s="35">
        <v>16</v>
      </c>
    </row>
    <row r="4169" spans="1:9" ht="15.75" thickBot="1" x14ac:dyDescent="0.3">
      <c r="A4169" s="43" t="s">
        <v>864</v>
      </c>
      <c r="B4169" s="21" t="s">
        <v>865</v>
      </c>
      <c r="C4169" s="21" t="s">
        <v>22655</v>
      </c>
      <c r="D4169" s="31" t="s">
        <v>22811</v>
      </c>
      <c r="E4169" s="23" t="s">
        <v>22661</v>
      </c>
      <c r="F4169" s="24" t="s">
        <v>22657</v>
      </c>
      <c r="G4169" s="25">
        <v>64</v>
      </c>
      <c r="H4169" s="32">
        <v>64</v>
      </c>
      <c r="I4169" s="33">
        <v>128</v>
      </c>
    </row>
    <row r="4170" spans="1:9" ht="15.75" thickBot="1" x14ac:dyDescent="0.3">
      <c r="A4170" s="43" t="s">
        <v>1055</v>
      </c>
      <c r="B4170" s="21" t="s">
        <v>9462</v>
      </c>
      <c r="C4170" s="21" t="s">
        <v>22667</v>
      </c>
      <c r="D4170" s="31" t="s">
        <v>22809</v>
      </c>
      <c r="E4170" s="23" t="s">
        <v>22662</v>
      </c>
      <c r="F4170" s="24" t="s">
        <v>22657</v>
      </c>
      <c r="G4170" s="25">
        <v>240</v>
      </c>
      <c r="H4170" s="34">
        <v>240</v>
      </c>
      <c r="I4170" s="35">
        <v>320</v>
      </c>
    </row>
    <row r="4171" spans="1:9" ht="15.75" thickBot="1" x14ac:dyDescent="0.3">
      <c r="A4171" s="43" t="s">
        <v>393</v>
      </c>
      <c r="B4171" s="21" t="s">
        <v>394</v>
      </c>
      <c r="C4171" s="21" t="s">
        <v>22655</v>
      </c>
      <c r="D4171" s="31" t="s">
        <v>22660</v>
      </c>
      <c r="E4171" s="23" t="s">
        <v>22661</v>
      </c>
      <c r="F4171" s="24" t="s">
        <v>22657</v>
      </c>
      <c r="G4171" s="25">
        <v>16</v>
      </c>
      <c r="H4171" s="29"/>
      <c r="I4171" s="30"/>
    </row>
    <row r="4172" spans="1:9" ht="15.75" thickBot="1" x14ac:dyDescent="0.3">
      <c r="A4172" s="43" t="s">
        <v>369</v>
      </c>
      <c r="B4172" s="21" t="s">
        <v>370</v>
      </c>
      <c r="C4172" s="21" t="s">
        <v>22655</v>
      </c>
      <c r="D4172" s="22">
        <v>46030</v>
      </c>
      <c r="E4172" s="23" t="s">
        <v>22656</v>
      </c>
      <c r="F4172" s="24" t="s">
        <v>22657</v>
      </c>
      <c r="G4172" s="25">
        <v>3</v>
      </c>
      <c r="H4172" s="26"/>
      <c r="I4172" s="27"/>
    </row>
    <row r="4173" spans="1:9" ht="15.75" thickBot="1" x14ac:dyDescent="0.3">
      <c r="A4173" s="43" t="s">
        <v>874</v>
      </c>
      <c r="B4173" s="21" t="s">
        <v>9465</v>
      </c>
      <c r="C4173" s="21" t="s">
        <v>22655</v>
      </c>
      <c r="D4173" s="22">
        <v>46030</v>
      </c>
      <c r="E4173" s="23" t="s">
        <v>22662</v>
      </c>
      <c r="F4173" s="24" t="s">
        <v>22657</v>
      </c>
      <c r="G4173" s="25">
        <v>24</v>
      </c>
      <c r="H4173" s="32">
        <v>24</v>
      </c>
      <c r="I4173" s="33">
        <v>40</v>
      </c>
    </row>
    <row r="4174" spans="1:9" ht="15.75" thickBot="1" x14ac:dyDescent="0.3">
      <c r="A4174" s="43" t="s">
        <v>1559</v>
      </c>
      <c r="B4174" s="21" t="s">
        <v>1560</v>
      </c>
      <c r="C4174" s="21" t="s">
        <v>22655</v>
      </c>
      <c r="D4174" s="31" t="s">
        <v>22660</v>
      </c>
      <c r="E4174" s="23" t="s">
        <v>22665</v>
      </c>
      <c r="F4174" s="24" t="s">
        <v>22657</v>
      </c>
      <c r="G4174" s="25">
        <v>20</v>
      </c>
      <c r="H4174" s="26"/>
      <c r="I4174" s="27"/>
    </row>
    <row r="4175" spans="1:9" ht="15.75" thickBot="1" x14ac:dyDescent="0.3">
      <c r="A4175" s="43" t="s">
        <v>1167</v>
      </c>
      <c r="B4175" s="21" t="s">
        <v>1168</v>
      </c>
      <c r="C4175" s="21" t="s">
        <v>22655</v>
      </c>
      <c r="D4175" s="22">
        <v>46030</v>
      </c>
      <c r="E4175" s="23" t="s">
        <v>22661</v>
      </c>
      <c r="F4175" s="24" t="s">
        <v>22657</v>
      </c>
      <c r="G4175" s="25">
        <v>8</v>
      </c>
      <c r="H4175" s="32">
        <v>8</v>
      </c>
      <c r="I4175" s="33">
        <v>16</v>
      </c>
    </row>
    <row r="4176" spans="1:9" ht="15.75" thickBot="1" x14ac:dyDescent="0.3">
      <c r="A4176" s="43" t="s">
        <v>9466</v>
      </c>
      <c r="B4176" s="21" t="s">
        <v>9467</v>
      </c>
      <c r="C4176" s="21" t="s">
        <v>22663</v>
      </c>
      <c r="D4176" s="31">
        <v>1</v>
      </c>
      <c r="E4176" s="23" t="s">
        <v>22656</v>
      </c>
      <c r="F4176" s="24" t="s">
        <v>22657</v>
      </c>
      <c r="G4176" s="25">
        <v>6</v>
      </c>
      <c r="H4176" s="34">
        <v>6</v>
      </c>
      <c r="I4176" s="35">
        <v>12</v>
      </c>
    </row>
    <row r="4177" spans="1:9" ht="15.75" thickBot="1" x14ac:dyDescent="0.3">
      <c r="A4177" s="43" t="s">
        <v>9468</v>
      </c>
      <c r="B4177" s="21" t="s">
        <v>9469</v>
      </c>
      <c r="C4177" s="21" t="s">
        <v>22698</v>
      </c>
      <c r="D4177" s="31">
        <v>1</v>
      </c>
      <c r="E4177" s="23" t="s">
        <v>22656</v>
      </c>
      <c r="F4177" s="24" t="s">
        <v>22657</v>
      </c>
      <c r="G4177" s="25">
        <v>2</v>
      </c>
      <c r="H4177" s="29"/>
      <c r="I4177" s="30"/>
    </row>
    <row r="4178" spans="1:9" ht="15.75" thickBot="1" x14ac:dyDescent="0.3">
      <c r="A4178" s="43" t="s">
        <v>9470</v>
      </c>
      <c r="B4178" s="21" t="s">
        <v>22556</v>
      </c>
      <c r="C4178" s="21" t="s">
        <v>22727</v>
      </c>
      <c r="D4178" s="31">
        <v>1</v>
      </c>
      <c r="E4178" s="23" t="s">
        <v>22658</v>
      </c>
      <c r="F4178" s="28" t="s">
        <v>22659</v>
      </c>
      <c r="G4178" s="25">
        <v>1</v>
      </c>
      <c r="H4178" s="26"/>
      <c r="I4178" s="27"/>
    </row>
    <row r="4179" spans="1:9" ht="15.75" thickBot="1" x14ac:dyDescent="0.3">
      <c r="A4179" s="43" t="s">
        <v>1974</v>
      </c>
      <c r="B4179" s="21" t="s">
        <v>1975</v>
      </c>
      <c r="C4179" s="21" t="s">
        <v>22663</v>
      </c>
      <c r="D4179" s="31">
        <v>1</v>
      </c>
      <c r="E4179" s="23" t="s">
        <v>22661</v>
      </c>
      <c r="F4179" s="24" t="s">
        <v>22657</v>
      </c>
      <c r="G4179" s="25">
        <v>6</v>
      </c>
      <c r="H4179" s="32">
        <v>6</v>
      </c>
      <c r="I4179" s="33">
        <v>12</v>
      </c>
    </row>
    <row r="4180" spans="1:9" ht="15.75" thickBot="1" x14ac:dyDescent="0.3">
      <c r="A4180" s="43" t="s">
        <v>9472</v>
      </c>
      <c r="B4180" s="21" t="s">
        <v>9473</v>
      </c>
      <c r="C4180" s="21" t="s">
        <v>22655</v>
      </c>
      <c r="D4180" s="22">
        <v>46040</v>
      </c>
      <c r="E4180" s="23" t="s">
        <v>22656</v>
      </c>
      <c r="F4180" s="24" t="s">
        <v>22657</v>
      </c>
      <c r="G4180" s="25">
        <v>6</v>
      </c>
      <c r="H4180" s="34">
        <v>6</v>
      </c>
      <c r="I4180" s="35">
        <v>12</v>
      </c>
    </row>
    <row r="4181" spans="1:9" ht="15.75" thickBot="1" x14ac:dyDescent="0.3">
      <c r="A4181" s="43" t="s">
        <v>9474</v>
      </c>
      <c r="B4181" s="21" t="s">
        <v>9475</v>
      </c>
      <c r="C4181" s="21" t="s">
        <v>22655</v>
      </c>
      <c r="D4181" s="22">
        <v>46040</v>
      </c>
      <c r="E4181" s="23" t="s">
        <v>22656</v>
      </c>
      <c r="F4181" s="24" t="s">
        <v>22657</v>
      </c>
      <c r="G4181" s="25">
        <v>2</v>
      </c>
      <c r="H4181" s="29"/>
      <c r="I4181" s="30"/>
    </row>
    <row r="4182" spans="1:9" ht="15.75" thickBot="1" x14ac:dyDescent="0.3">
      <c r="A4182" s="43" t="s">
        <v>9476</v>
      </c>
      <c r="B4182" s="21" t="s">
        <v>9477</v>
      </c>
      <c r="C4182" s="21" t="s">
        <v>22655</v>
      </c>
      <c r="D4182" s="22">
        <v>46040</v>
      </c>
      <c r="E4182" s="23" t="s">
        <v>22656</v>
      </c>
      <c r="F4182" s="24" t="s">
        <v>22657</v>
      </c>
      <c r="G4182" s="25">
        <v>2</v>
      </c>
      <c r="H4182" s="26"/>
      <c r="I4182" s="27"/>
    </row>
    <row r="4183" spans="1:9" ht="15.75" thickBot="1" x14ac:dyDescent="0.3">
      <c r="A4183" s="43" t="s">
        <v>9478</v>
      </c>
      <c r="B4183" s="21" t="s">
        <v>9479</v>
      </c>
      <c r="C4183" s="21" t="s">
        <v>22655</v>
      </c>
      <c r="D4183" s="22">
        <v>46046</v>
      </c>
      <c r="E4183" s="23" t="s">
        <v>22656</v>
      </c>
      <c r="F4183" s="24" t="s">
        <v>22657</v>
      </c>
      <c r="G4183" s="25">
        <v>4</v>
      </c>
      <c r="H4183" s="29"/>
      <c r="I4183" s="30"/>
    </row>
    <row r="4184" spans="1:9" ht="15.75" thickBot="1" x14ac:dyDescent="0.3">
      <c r="A4184" s="43" t="s">
        <v>9480</v>
      </c>
      <c r="B4184" s="21" t="s">
        <v>9481</v>
      </c>
      <c r="C4184" s="21" t="s">
        <v>22684</v>
      </c>
      <c r="D4184" s="22">
        <v>46042</v>
      </c>
      <c r="E4184" s="23" t="s">
        <v>22656</v>
      </c>
      <c r="F4184" s="24" t="s">
        <v>22657</v>
      </c>
      <c r="G4184" s="25">
        <v>7</v>
      </c>
      <c r="H4184" s="26"/>
      <c r="I4184" s="27"/>
    </row>
    <row r="4185" spans="1:9" ht="15.75" thickBot="1" x14ac:dyDescent="0.3">
      <c r="A4185" s="43" t="s">
        <v>9482</v>
      </c>
      <c r="B4185" s="21" t="s">
        <v>9483</v>
      </c>
      <c r="C4185" s="21" t="s">
        <v>22684</v>
      </c>
      <c r="D4185" s="22">
        <v>46042</v>
      </c>
      <c r="E4185" s="23" t="s">
        <v>22658</v>
      </c>
      <c r="F4185" s="24" t="s">
        <v>22657</v>
      </c>
      <c r="G4185" s="25">
        <v>7</v>
      </c>
      <c r="H4185" s="29"/>
      <c r="I4185" s="30"/>
    </row>
    <row r="4186" spans="1:9" ht="15.75" thickBot="1" x14ac:dyDescent="0.3">
      <c r="A4186" s="43" t="s">
        <v>9484</v>
      </c>
      <c r="B4186" s="21" t="s">
        <v>9485</v>
      </c>
      <c r="C4186" s="21" t="s">
        <v>22684</v>
      </c>
      <c r="D4186" s="22">
        <v>46042</v>
      </c>
      <c r="E4186" s="23" t="s">
        <v>22656</v>
      </c>
      <c r="F4186" s="24" t="s">
        <v>22657</v>
      </c>
      <c r="G4186" s="25">
        <v>7</v>
      </c>
      <c r="H4186" s="26"/>
      <c r="I4186" s="27"/>
    </row>
    <row r="4187" spans="1:9" ht="15.75" thickBot="1" x14ac:dyDescent="0.3">
      <c r="A4187" s="43" t="s">
        <v>9486</v>
      </c>
      <c r="B4187" s="21" t="s">
        <v>9487</v>
      </c>
      <c r="C4187" s="21" t="s">
        <v>22672</v>
      </c>
      <c r="D4187" s="22">
        <v>46032</v>
      </c>
      <c r="E4187" s="23" t="s">
        <v>22656</v>
      </c>
      <c r="F4187" s="24" t="s">
        <v>22657</v>
      </c>
      <c r="G4187" s="25">
        <v>3</v>
      </c>
      <c r="H4187" s="29"/>
      <c r="I4187" s="30"/>
    </row>
    <row r="4188" spans="1:9" ht="15.75" thickBot="1" x14ac:dyDescent="0.3">
      <c r="A4188" s="43" t="s">
        <v>9488</v>
      </c>
      <c r="B4188" s="21" t="s">
        <v>9489</v>
      </c>
      <c r="C4188" s="21" t="s">
        <v>22698</v>
      </c>
      <c r="D4188" s="31">
        <v>1</v>
      </c>
      <c r="E4188" s="23" t="s">
        <v>22658</v>
      </c>
      <c r="F4188" s="28" t="s">
        <v>22659</v>
      </c>
      <c r="G4188" s="25">
        <v>1</v>
      </c>
      <c r="H4188" s="26"/>
      <c r="I4188" s="27"/>
    </row>
    <row r="4189" spans="1:9" ht="15.75" thickBot="1" x14ac:dyDescent="0.3">
      <c r="A4189" s="43" t="s">
        <v>9490</v>
      </c>
      <c r="B4189" s="21" t="s">
        <v>9491</v>
      </c>
      <c r="C4189" s="21" t="s">
        <v>22663</v>
      </c>
      <c r="D4189" s="31">
        <v>1</v>
      </c>
      <c r="E4189" s="23" t="s">
        <v>22658</v>
      </c>
      <c r="F4189" s="24" t="s">
        <v>22657</v>
      </c>
      <c r="G4189" s="25">
        <v>2</v>
      </c>
      <c r="H4189" s="29"/>
      <c r="I4189" s="30"/>
    </row>
    <row r="4190" spans="1:9" ht="15.75" thickBot="1" x14ac:dyDescent="0.3">
      <c r="A4190" s="43" t="s">
        <v>9492</v>
      </c>
      <c r="B4190" s="21" t="s">
        <v>9493</v>
      </c>
      <c r="C4190" s="21" t="s">
        <v>22655</v>
      </c>
      <c r="D4190" s="22">
        <v>46037</v>
      </c>
      <c r="E4190" s="23" t="s">
        <v>22658</v>
      </c>
      <c r="F4190" s="24" t="s">
        <v>22657</v>
      </c>
      <c r="G4190" s="25">
        <v>2</v>
      </c>
      <c r="H4190" s="26"/>
      <c r="I4190" s="27"/>
    </row>
    <row r="4191" spans="1:9" ht="15.75" thickBot="1" x14ac:dyDescent="0.3">
      <c r="A4191" s="43" t="s">
        <v>9494</v>
      </c>
      <c r="B4191" s="21" t="s">
        <v>9495</v>
      </c>
      <c r="C4191" s="21" t="s">
        <v>22655</v>
      </c>
      <c r="D4191" s="22">
        <v>46034</v>
      </c>
      <c r="E4191" s="23" t="s">
        <v>22658</v>
      </c>
      <c r="F4191" s="24" t="s">
        <v>22657</v>
      </c>
      <c r="G4191" s="25">
        <v>2</v>
      </c>
      <c r="H4191" s="29"/>
      <c r="I4191" s="30"/>
    </row>
    <row r="4192" spans="1:9" ht="15.75" thickBot="1" x14ac:dyDescent="0.3">
      <c r="A4192" s="43" t="s">
        <v>9496</v>
      </c>
      <c r="B4192" s="21" t="s">
        <v>9497</v>
      </c>
      <c r="C4192" s="21" t="s">
        <v>22655</v>
      </c>
      <c r="D4192" s="22">
        <v>46034</v>
      </c>
      <c r="E4192" s="23" t="s">
        <v>22658</v>
      </c>
      <c r="F4192" s="24" t="s">
        <v>22657</v>
      </c>
      <c r="G4192" s="25">
        <v>2</v>
      </c>
      <c r="H4192" s="26"/>
      <c r="I4192" s="27"/>
    </row>
    <row r="4193" spans="1:9" ht="15.75" thickBot="1" x14ac:dyDescent="0.3">
      <c r="A4193" s="43" t="s">
        <v>9498</v>
      </c>
      <c r="B4193" s="21" t="s">
        <v>9499</v>
      </c>
      <c r="C4193" s="21" t="s">
        <v>22655</v>
      </c>
      <c r="D4193" s="22">
        <v>46046</v>
      </c>
      <c r="E4193" s="23" t="s">
        <v>22656</v>
      </c>
      <c r="F4193" s="24" t="s">
        <v>22657</v>
      </c>
      <c r="G4193" s="25">
        <v>3</v>
      </c>
      <c r="H4193" s="29"/>
      <c r="I4193" s="30"/>
    </row>
    <row r="4194" spans="1:9" ht="15.75" thickBot="1" x14ac:dyDescent="0.3">
      <c r="A4194" s="43" t="s">
        <v>9500</v>
      </c>
      <c r="B4194" s="21" t="s">
        <v>9501</v>
      </c>
      <c r="C4194" s="21" t="s">
        <v>22655</v>
      </c>
      <c r="D4194" s="22">
        <v>46046</v>
      </c>
      <c r="E4194" s="23" t="s">
        <v>22656</v>
      </c>
      <c r="F4194" s="24" t="s">
        <v>22657</v>
      </c>
      <c r="G4194" s="25">
        <v>3</v>
      </c>
      <c r="H4194" s="26"/>
      <c r="I4194" s="27"/>
    </row>
    <row r="4195" spans="1:9" ht="15.75" thickBot="1" x14ac:dyDescent="0.3">
      <c r="A4195" s="43" t="s">
        <v>9502</v>
      </c>
      <c r="B4195" s="21" t="s">
        <v>9503</v>
      </c>
      <c r="C4195" s="21" t="s">
        <v>22655</v>
      </c>
      <c r="D4195" s="22">
        <v>46046</v>
      </c>
      <c r="E4195" s="23" t="s">
        <v>22656</v>
      </c>
      <c r="F4195" s="24" t="s">
        <v>22657</v>
      </c>
      <c r="G4195" s="25">
        <v>3</v>
      </c>
      <c r="H4195" s="29"/>
      <c r="I4195" s="30"/>
    </row>
    <row r="4196" spans="1:9" ht="15.75" thickBot="1" x14ac:dyDescent="0.3">
      <c r="A4196" s="43" t="s">
        <v>22376</v>
      </c>
      <c r="B4196" s="21" t="s">
        <v>22377</v>
      </c>
      <c r="C4196" s="36" t="e">
        <v>#N/A</v>
      </c>
      <c r="D4196" s="37" t="e">
        <v>#N/A</v>
      </c>
      <c r="E4196" s="23" t="e">
        <v>#N/A</v>
      </c>
      <c r="F4196" s="24" t="s">
        <v>22657</v>
      </c>
      <c r="G4196" s="25" t="e">
        <v>#N/A</v>
      </c>
      <c r="H4196" s="26"/>
      <c r="I4196" s="27"/>
    </row>
    <row r="4197" spans="1:9" ht="15.75" thickBot="1" x14ac:dyDescent="0.3">
      <c r="A4197" s="43" t="s">
        <v>9504</v>
      </c>
      <c r="B4197" s="21" t="s">
        <v>9505</v>
      </c>
      <c r="C4197" s="21" t="s">
        <v>22655</v>
      </c>
      <c r="D4197" s="22">
        <v>46046</v>
      </c>
      <c r="E4197" s="23" t="s">
        <v>22656</v>
      </c>
      <c r="F4197" s="24" t="s">
        <v>22657</v>
      </c>
      <c r="G4197" s="25">
        <v>3</v>
      </c>
      <c r="H4197" s="29"/>
      <c r="I4197" s="30"/>
    </row>
    <row r="4198" spans="1:9" ht="15.75" thickBot="1" x14ac:dyDescent="0.3">
      <c r="A4198" s="43" t="s">
        <v>9506</v>
      </c>
      <c r="B4198" s="21" t="s">
        <v>9507</v>
      </c>
      <c r="C4198" s="21" t="s">
        <v>22655</v>
      </c>
      <c r="D4198" s="22">
        <v>46046</v>
      </c>
      <c r="E4198" s="23" t="s">
        <v>22656</v>
      </c>
      <c r="F4198" s="24" t="s">
        <v>22657</v>
      </c>
      <c r="G4198" s="25">
        <v>3</v>
      </c>
      <c r="H4198" s="26"/>
      <c r="I4198" s="27"/>
    </row>
    <row r="4199" spans="1:9" ht="15.75" thickBot="1" x14ac:dyDescent="0.3">
      <c r="A4199" s="43" t="s">
        <v>9508</v>
      </c>
      <c r="B4199" s="21" t="s">
        <v>9509</v>
      </c>
      <c r="C4199" s="21" t="s">
        <v>22682</v>
      </c>
      <c r="D4199" s="22">
        <v>46034</v>
      </c>
      <c r="E4199" s="23" t="s">
        <v>22658</v>
      </c>
      <c r="F4199" s="24" t="s">
        <v>22657</v>
      </c>
      <c r="G4199" s="25">
        <v>2</v>
      </c>
      <c r="H4199" s="29"/>
      <c r="I4199" s="30"/>
    </row>
    <row r="4200" spans="1:9" ht="15.75" thickBot="1" x14ac:dyDescent="0.3">
      <c r="A4200" s="43" t="s">
        <v>9510</v>
      </c>
      <c r="B4200" s="21" t="s">
        <v>9511</v>
      </c>
      <c r="C4200" s="21" t="s">
        <v>22682</v>
      </c>
      <c r="D4200" s="22">
        <v>46034</v>
      </c>
      <c r="E4200" s="23" t="s">
        <v>22658</v>
      </c>
      <c r="F4200" s="24" t="s">
        <v>22657</v>
      </c>
      <c r="G4200" s="25">
        <v>2</v>
      </c>
      <c r="H4200" s="26"/>
      <c r="I4200" s="27"/>
    </row>
    <row r="4201" spans="1:9" ht="15.75" thickBot="1" x14ac:dyDescent="0.3">
      <c r="A4201" s="43" t="s">
        <v>9512</v>
      </c>
      <c r="B4201" s="21" t="s">
        <v>9513</v>
      </c>
      <c r="C4201" s="21" t="s">
        <v>22682</v>
      </c>
      <c r="D4201" s="22">
        <v>46034</v>
      </c>
      <c r="E4201" s="23" t="s">
        <v>22658</v>
      </c>
      <c r="F4201" s="24" t="s">
        <v>22657</v>
      </c>
      <c r="G4201" s="25">
        <v>1</v>
      </c>
      <c r="H4201" s="29"/>
      <c r="I4201" s="30"/>
    </row>
    <row r="4202" spans="1:9" ht="15.75" thickBot="1" x14ac:dyDescent="0.3">
      <c r="A4202" s="43" t="s">
        <v>9514</v>
      </c>
      <c r="B4202" s="21" t="s">
        <v>9515</v>
      </c>
      <c r="C4202" s="21" t="s">
        <v>22682</v>
      </c>
      <c r="D4202" s="22">
        <v>46034</v>
      </c>
      <c r="E4202" s="23" t="s">
        <v>22658</v>
      </c>
      <c r="F4202" s="24" t="s">
        <v>22657</v>
      </c>
      <c r="G4202" s="25">
        <v>1</v>
      </c>
      <c r="H4202" s="26"/>
      <c r="I4202" s="27"/>
    </row>
    <row r="4203" spans="1:9" ht="15.75" thickBot="1" x14ac:dyDescent="0.3">
      <c r="A4203" s="43" t="s">
        <v>9516</v>
      </c>
      <c r="B4203" s="21" t="s">
        <v>9517</v>
      </c>
      <c r="C4203" s="21" t="s">
        <v>22682</v>
      </c>
      <c r="D4203" s="22">
        <v>46034</v>
      </c>
      <c r="E4203" s="23" t="s">
        <v>22658</v>
      </c>
      <c r="F4203" s="24" t="s">
        <v>22657</v>
      </c>
      <c r="G4203" s="25">
        <v>2</v>
      </c>
      <c r="H4203" s="29"/>
      <c r="I4203" s="30"/>
    </row>
    <row r="4204" spans="1:9" ht="15.75" thickBot="1" x14ac:dyDescent="0.3">
      <c r="A4204" s="43" t="s">
        <v>9518</v>
      </c>
      <c r="B4204" s="21" t="s">
        <v>9519</v>
      </c>
      <c r="C4204" s="21" t="s">
        <v>22682</v>
      </c>
      <c r="D4204" s="22">
        <v>46034</v>
      </c>
      <c r="E4204" s="23" t="s">
        <v>22658</v>
      </c>
      <c r="F4204" s="24" t="s">
        <v>22657</v>
      </c>
      <c r="G4204" s="25">
        <v>2</v>
      </c>
      <c r="H4204" s="26"/>
      <c r="I4204" s="27"/>
    </row>
    <row r="4205" spans="1:9" ht="15.75" thickBot="1" x14ac:dyDescent="0.3">
      <c r="A4205" s="43" t="s">
        <v>9520</v>
      </c>
      <c r="B4205" s="21" t="s">
        <v>9521</v>
      </c>
      <c r="C4205" s="21" t="s">
        <v>22682</v>
      </c>
      <c r="D4205" s="22">
        <v>46034</v>
      </c>
      <c r="E4205" s="23" t="s">
        <v>22658</v>
      </c>
      <c r="F4205" s="24" t="s">
        <v>22657</v>
      </c>
      <c r="G4205" s="25">
        <v>2</v>
      </c>
      <c r="H4205" s="29"/>
      <c r="I4205" s="30"/>
    </row>
    <row r="4206" spans="1:9" ht="15.75" thickBot="1" x14ac:dyDescent="0.3">
      <c r="A4206" s="43" t="s">
        <v>9522</v>
      </c>
      <c r="B4206" s="21" t="s">
        <v>9523</v>
      </c>
      <c r="C4206" s="21" t="s">
        <v>22682</v>
      </c>
      <c r="D4206" s="22">
        <v>46034</v>
      </c>
      <c r="E4206" s="23" t="s">
        <v>22658</v>
      </c>
      <c r="F4206" s="24" t="s">
        <v>22657</v>
      </c>
      <c r="G4206" s="25">
        <v>2</v>
      </c>
      <c r="H4206" s="26"/>
      <c r="I4206" s="27"/>
    </row>
    <row r="4207" spans="1:9" ht="15.75" thickBot="1" x14ac:dyDescent="0.3">
      <c r="A4207" s="43" t="s">
        <v>9524</v>
      </c>
      <c r="B4207" s="21" t="s">
        <v>9525</v>
      </c>
      <c r="C4207" s="21" t="s">
        <v>22682</v>
      </c>
      <c r="D4207" s="22">
        <v>46034</v>
      </c>
      <c r="E4207" s="23" t="s">
        <v>22658</v>
      </c>
      <c r="F4207" s="24" t="s">
        <v>22657</v>
      </c>
      <c r="G4207" s="25">
        <v>2</v>
      </c>
      <c r="H4207" s="29"/>
      <c r="I4207" s="30"/>
    </row>
    <row r="4208" spans="1:9" ht="15.75" thickBot="1" x14ac:dyDescent="0.3">
      <c r="A4208" s="43" t="s">
        <v>9526</v>
      </c>
      <c r="B4208" s="21" t="s">
        <v>9527</v>
      </c>
      <c r="C4208" s="21" t="s">
        <v>22682</v>
      </c>
      <c r="D4208" s="22">
        <v>46034</v>
      </c>
      <c r="E4208" s="23" t="s">
        <v>22658</v>
      </c>
      <c r="F4208" s="24" t="s">
        <v>22657</v>
      </c>
      <c r="G4208" s="25">
        <v>2</v>
      </c>
      <c r="H4208" s="26"/>
      <c r="I4208" s="27"/>
    </row>
    <row r="4209" spans="1:9" ht="15.75" thickBot="1" x14ac:dyDescent="0.3">
      <c r="A4209" s="43" t="s">
        <v>9528</v>
      </c>
      <c r="B4209" s="21" t="s">
        <v>9529</v>
      </c>
      <c r="C4209" s="21" t="s">
        <v>22682</v>
      </c>
      <c r="D4209" s="22">
        <v>46034</v>
      </c>
      <c r="E4209" s="23" t="s">
        <v>22658</v>
      </c>
      <c r="F4209" s="24" t="s">
        <v>22657</v>
      </c>
      <c r="G4209" s="25">
        <v>2</v>
      </c>
      <c r="H4209" s="29"/>
      <c r="I4209" s="30"/>
    </row>
    <row r="4210" spans="1:9" ht="15.75" thickBot="1" x14ac:dyDescent="0.3">
      <c r="A4210" s="43" t="s">
        <v>9530</v>
      </c>
      <c r="B4210" s="21" t="s">
        <v>9531</v>
      </c>
      <c r="C4210" s="21" t="s">
        <v>22684</v>
      </c>
      <c r="D4210" s="22">
        <v>46042</v>
      </c>
      <c r="E4210" s="23" t="s">
        <v>22656</v>
      </c>
      <c r="F4210" s="24" t="s">
        <v>22657</v>
      </c>
      <c r="G4210" s="25">
        <v>4</v>
      </c>
      <c r="H4210" s="26"/>
      <c r="I4210" s="27"/>
    </row>
    <row r="4211" spans="1:9" ht="15.75" thickBot="1" x14ac:dyDescent="0.3">
      <c r="A4211" s="43" t="s">
        <v>9532</v>
      </c>
      <c r="B4211" s="21" t="s">
        <v>9533</v>
      </c>
      <c r="C4211" s="21" t="s">
        <v>22682</v>
      </c>
      <c r="D4211" s="22">
        <v>46034</v>
      </c>
      <c r="E4211" s="23" t="s">
        <v>22656</v>
      </c>
      <c r="F4211" s="24" t="s">
        <v>22657</v>
      </c>
      <c r="G4211" s="25">
        <v>4</v>
      </c>
      <c r="H4211" s="29"/>
      <c r="I4211" s="30"/>
    </row>
    <row r="4212" spans="1:9" ht="15.75" thickBot="1" x14ac:dyDescent="0.3">
      <c r="A4212" s="43" t="s">
        <v>9534</v>
      </c>
      <c r="B4212" s="21" t="s">
        <v>9535</v>
      </c>
      <c r="C4212" s="21" t="s">
        <v>22663</v>
      </c>
      <c r="D4212" s="31">
        <v>1</v>
      </c>
      <c r="E4212" s="23" t="s">
        <v>22658</v>
      </c>
      <c r="F4212" s="24" t="s">
        <v>22657</v>
      </c>
      <c r="G4212" s="25">
        <v>2</v>
      </c>
      <c r="H4212" s="26"/>
      <c r="I4212" s="27"/>
    </row>
    <row r="4213" spans="1:9" ht="15.75" thickBot="1" x14ac:dyDescent="0.3">
      <c r="A4213" s="43" t="s">
        <v>9536</v>
      </c>
      <c r="B4213" s="21" t="s">
        <v>9537</v>
      </c>
      <c r="C4213" s="21" t="s">
        <v>22655</v>
      </c>
      <c r="D4213" s="22">
        <v>46046</v>
      </c>
      <c r="E4213" s="23" t="s">
        <v>22656</v>
      </c>
      <c r="F4213" s="24" t="s">
        <v>22657</v>
      </c>
      <c r="G4213" s="25">
        <v>8</v>
      </c>
      <c r="H4213" s="29"/>
      <c r="I4213" s="30"/>
    </row>
    <row r="4214" spans="1:9" ht="15.75" thickBot="1" x14ac:dyDescent="0.3">
      <c r="A4214" s="43" t="s">
        <v>9538</v>
      </c>
      <c r="B4214" s="21" t="s">
        <v>9539</v>
      </c>
      <c r="C4214" s="21" t="s">
        <v>22655</v>
      </c>
      <c r="D4214" s="31" t="s">
        <v>22673</v>
      </c>
      <c r="E4214" s="23" t="s">
        <v>22656</v>
      </c>
      <c r="F4214" s="24" t="s">
        <v>22657</v>
      </c>
      <c r="G4214" s="25">
        <v>5</v>
      </c>
      <c r="H4214" s="26"/>
      <c r="I4214" s="27"/>
    </row>
    <row r="4215" spans="1:9" ht="15.75" thickBot="1" x14ac:dyDescent="0.3">
      <c r="A4215" s="43" t="s">
        <v>1003</v>
      </c>
      <c r="B4215" s="21" t="s">
        <v>9540</v>
      </c>
      <c r="C4215" s="21" t="s">
        <v>22717</v>
      </c>
      <c r="D4215" s="39">
        <v>37041</v>
      </c>
      <c r="E4215" s="23" t="s">
        <v>22665</v>
      </c>
      <c r="F4215" s="24" t="s">
        <v>22657</v>
      </c>
      <c r="G4215" s="25">
        <v>5</v>
      </c>
      <c r="H4215" s="29"/>
      <c r="I4215" s="30"/>
    </row>
    <row r="4216" spans="1:9" ht="15.75" thickBot="1" x14ac:dyDescent="0.3">
      <c r="A4216" s="43" t="s">
        <v>9541</v>
      </c>
      <c r="B4216" s="21" t="s">
        <v>9542</v>
      </c>
      <c r="C4216" s="21" t="s">
        <v>22655</v>
      </c>
      <c r="D4216" s="22">
        <v>46052</v>
      </c>
      <c r="E4216" s="23" t="s">
        <v>22661</v>
      </c>
      <c r="F4216" s="24" t="s">
        <v>22657</v>
      </c>
      <c r="G4216" s="25">
        <v>10</v>
      </c>
      <c r="H4216" s="26"/>
      <c r="I4216" s="27"/>
    </row>
    <row r="4217" spans="1:9" ht="15.75" thickBot="1" x14ac:dyDescent="0.3">
      <c r="A4217" s="43" t="s">
        <v>9543</v>
      </c>
      <c r="B4217" s="21" t="s">
        <v>9544</v>
      </c>
      <c r="C4217" s="21" t="s">
        <v>22655</v>
      </c>
      <c r="D4217" s="31" t="s">
        <v>22673</v>
      </c>
      <c r="E4217" s="23" t="s">
        <v>22656</v>
      </c>
      <c r="F4217" s="24" t="s">
        <v>22657</v>
      </c>
      <c r="G4217" s="25">
        <v>17</v>
      </c>
      <c r="H4217" s="29"/>
      <c r="I4217" s="30"/>
    </row>
    <row r="4218" spans="1:9" ht="15.75" thickBot="1" x14ac:dyDescent="0.3">
      <c r="A4218" s="43" t="s">
        <v>1099</v>
      </c>
      <c r="B4218" s="21" t="s">
        <v>1100</v>
      </c>
      <c r="C4218" s="21" t="s">
        <v>22812</v>
      </c>
      <c r="D4218" s="31" t="s">
        <v>22748</v>
      </c>
      <c r="E4218" s="23" t="s">
        <v>22662</v>
      </c>
      <c r="F4218" s="24" t="s">
        <v>22657</v>
      </c>
      <c r="G4218" s="25">
        <v>500</v>
      </c>
      <c r="H4218" s="34">
        <v>500</v>
      </c>
      <c r="I4218" s="35">
        <v>1000</v>
      </c>
    </row>
    <row r="4219" spans="1:9" ht="15.75" thickBot="1" x14ac:dyDescent="0.3">
      <c r="A4219" s="43" t="s">
        <v>9545</v>
      </c>
      <c r="B4219" s="21" t="s">
        <v>9546</v>
      </c>
      <c r="C4219" s="21" t="s">
        <v>22655</v>
      </c>
      <c r="D4219" s="31" t="s">
        <v>22813</v>
      </c>
      <c r="E4219" s="23" t="s">
        <v>22658</v>
      </c>
      <c r="F4219" s="24" t="s">
        <v>22657</v>
      </c>
      <c r="G4219" s="25">
        <v>167</v>
      </c>
      <c r="H4219" s="29"/>
      <c r="I4219" s="30"/>
    </row>
    <row r="4220" spans="1:9" ht="15.75" thickBot="1" x14ac:dyDescent="0.3">
      <c r="A4220" s="43" t="s">
        <v>9547</v>
      </c>
      <c r="B4220" s="21" t="s">
        <v>9548</v>
      </c>
      <c r="C4220" s="21" t="s">
        <v>22655</v>
      </c>
      <c r="D4220" s="22">
        <v>46052</v>
      </c>
      <c r="E4220" s="23" t="s">
        <v>22656</v>
      </c>
      <c r="F4220" s="24" t="s">
        <v>22657</v>
      </c>
      <c r="G4220" s="25">
        <v>4</v>
      </c>
      <c r="H4220" s="26"/>
      <c r="I4220" s="27"/>
    </row>
    <row r="4221" spans="1:9" ht="15.75" thickBot="1" x14ac:dyDescent="0.3">
      <c r="A4221" s="43" t="s">
        <v>9549</v>
      </c>
      <c r="B4221" s="21" t="s">
        <v>9550</v>
      </c>
      <c r="C4221" s="21" t="s">
        <v>22655</v>
      </c>
      <c r="D4221" s="22">
        <v>46052</v>
      </c>
      <c r="E4221" s="23" t="s">
        <v>22656</v>
      </c>
      <c r="F4221" s="24" t="s">
        <v>22657</v>
      </c>
      <c r="G4221" s="25">
        <v>200</v>
      </c>
      <c r="H4221" s="32">
        <v>200</v>
      </c>
      <c r="I4221" s="33">
        <v>500</v>
      </c>
    </row>
    <row r="4222" spans="1:9" ht="15.75" thickBot="1" x14ac:dyDescent="0.3">
      <c r="A4222" s="43" t="s">
        <v>9551</v>
      </c>
      <c r="B4222" s="21" t="s">
        <v>9552</v>
      </c>
      <c r="C4222" s="21" t="s">
        <v>22655</v>
      </c>
      <c r="D4222" s="22">
        <v>46042</v>
      </c>
      <c r="E4222" s="23" t="s">
        <v>22656</v>
      </c>
      <c r="F4222" s="24" t="s">
        <v>22657</v>
      </c>
      <c r="G4222" s="25">
        <v>4</v>
      </c>
      <c r="H4222" s="26"/>
      <c r="I4222" s="27"/>
    </row>
    <row r="4223" spans="1:9" ht="15.75" thickBot="1" x14ac:dyDescent="0.3">
      <c r="A4223" s="43" t="s">
        <v>9553</v>
      </c>
      <c r="B4223" s="21" t="s">
        <v>9554</v>
      </c>
      <c r="C4223" s="21" t="s">
        <v>22663</v>
      </c>
      <c r="D4223" s="31">
        <v>1</v>
      </c>
      <c r="E4223" s="23" t="s">
        <v>22658</v>
      </c>
      <c r="F4223" s="24" t="s">
        <v>22657</v>
      </c>
      <c r="G4223" s="25">
        <v>167</v>
      </c>
      <c r="H4223" s="29"/>
      <c r="I4223" s="30"/>
    </row>
    <row r="4224" spans="1:9" ht="15.75" thickBot="1" x14ac:dyDescent="0.3">
      <c r="A4224" s="43" t="s">
        <v>9557</v>
      </c>
      <c r="B4224" s="21" t="s">
        <v>9558</v>
      </c>
      <c r="C4224" s="21" t="s">
        <v>22663</v>
      </c>
      <c r="D4224" s="31">
        <v>1</v>
      </c>
      <c r="E4224" s="23" t="s">
        <v>22656</v>
      </c>
      <c r="F4224" s="24" t="s">
        <v>22657</v>
      </c>
      <c r="G4224" s="25">
        <v>4</v>
      </c>
      <c r="H4224" s="26"/>
      <c r="I4224" s="27"/>
    </row>
    <row r="4225" spans="1:9" ht="15.75" thickBot="1" x14ac:dyDescent="0.3">
      <c r="A4225" s="43" t="s">
        <v>9559</v>
      </c>
      <c r="B4225" s="21" t="s">
        <v>9560</v>
      </c>
      <c r="C4225" s="21" t="s">
        <v>22698</v>
      </c>
      <c r="D4225" s="31">
        <v>1</v>
      </c>
      <c r="E4225" s="23" t="s">
        <v>22658</v>
      </c>
      <c r="F4225" s="24" t="s">
        <v>22657</v>
      </c>
      <c r="G4225" s="25">
        <v>2</v>
      </c>
      <c r="H4225" s="29"/>
      <c r="I4225" s="30"/>
    </row>
    <row r="4226" spans="1:9" ht="15.75" thickBot="1" x14ac:dyDescent="0.3">
      <c r="A4226" s="43" t="s">
        <v>9561</v>
      </c>
      <c r="B4226" s="21" t="s">
        <v>9562</v>
      </c>
      <c r="C4226" s="21" t="s">
        <v>22727</v>
      </c>
      <c r="D4226" s="31">
        <v>1</v>
      </c>
      <c r="E4226" s="23" t="s">
        <v>22658</v>
      </c>
      <c r="F4226" s="28" t="s">
        <v>22659</v>
      </c>
      <c r="G4226" s="25">
        <v>1</v>
      </c>
      <c r="H4226" s="26"/>
      <c r="I4226" s="27"/>
    </row>
    <row r="4227" spans="1:9" ht="15.75" thickBot="1" x14ac:dyDescent="0.3">
      <c r="A4227" s="43" t="s">
        <v>9563</v>
      </c>
      <c r="B4227" s="21" t="s">
        <v>9564</v>
      </c>
      <c r="C4227" s="21" t="s">
        <v>22663</v>
      </c>
      <c r="D4227" s="31">
        <v>1</v>
      </c>
      <c r="E4227" s="23" t="s">
        <v>22656</v>
      </c>
      <c r="F4227" s="24" t="s">
        <v>22657</v>
      </c>
      <c r="G4227" s="25">
        <v>4</v>
      </c>
      <c r="H4227" s="29"/>
      <c r="I4227" s="30"/>
    </row>
    <row r="4228" spans="1:9" ht="15.75" thickBot="1" x14ac:dyDescent="0.3">
      <c r="A4228" s="43" t="s">
        <v>9565</v>
      </c>
      <c r="B4228" s="21" t="s">
        <v>9566</v>
      </c>
      <c r="C4228" s="21" t="s">
        <v>22663</v>
      </c>
      <c r="D4228" s="31">
        <v>1</v>
      </c>
      <c r="E4228" s="23" t="s">
        <v>22656</v>
      </c>
      <c r="F4228" s="24" t="s">
        <v>22657</v>
      </c>
      <c r="G4228" s="25">
        <v>5</v>
      </c>
      <c r="H4228" s="26"/>
      <c r="I4228" s="27"/>
    </row>
    <row r="4229" spans="1:9" ht="15.75" thickBot="1" x14ac:dyDescent="0.3">
      <c r="A4229" s="43" t="s">
        <v>9567</v>
      </c>
      <c r="B4229" s="21" t="s">
        <v>9568</v>
      </c>
      <c r="C4229" s="21" t="s">
        <v>22663</v>
      </c>
      <c r="D4229" s="31">
        <v>1</v>
      </c>
      <c r="E4229" s="23" t="s">
        <v>22658</v>
      </c>
      <c r="F4229" s="24" t="s">
        <v>22657</v>
      </c>
      <c r="G4229" s="25">
        <v>2</v>
      </c>
      <c r="H4229" s="29"/>
      <c r="I4229" s="30"/>
    </row>
    <row r="4230" spans="1:9" ht="15.75" thickBot="1" x14ac:dyDescent="0.3">
      <c r="A4230" s="43" t="s">
        <v>9569</v>
      </c>
      <c r="B4230" s="21" t="s">
        <v>9570</v>
      </c>
      <c r="C4230" s="21" t="s">
        <v>22663</v>
      </c>
      <c r="D4230" s="31">
        <v>1</v>
      </c>
      <c r="E4230" s="23" t="s">
        <v>22658</v>
      </c>
      <c r="F4230" s="24" t="s">
        <v>22657</v>
      </c>
      <c r="G4230" s="25">
        <v>4</v>
      </c>
      <c r="H4230" s="26"/>
      <c r="I4230" s="27"/>
    </row>
    <row r="4231" spans="1:9" ht="15.75" thickBot="1" x14ac:dyDescent="0.3">
      <c r="A4231" s="43" t="s">
        <v>9571</v>
      </c>
      <c r="B4231" s="21" t="s">
        <v>9572</v>
      </c>
      <c r="C4231" s="21" t="s">
        <v>22698</v>
      </c>
      <c r="D4231" s="31">
        <v>1</v>
      </c>
      <c r="E4231" s="23" t="s">
        <v>22658</v>
      </c>
      <c r="F4231" s="28" t="s">
        <v>22659</v>
      </c>
      <c r="G4231" s="25">
        <v>2</v>
      </c>
      <c r="H4231" s="29"/>
      <c r="I4231" s="30"/>
    </row>
    <row r="4232" spans="1:9" ht="15.75" thickBot="1" x14ac:dyDescent="0.3">
      <c r="A4232" s="43" t="s">
        <v>9573</v>
      </c>
      <c r="B4232" s="21" t="s">
        <v>9574</v>
      </c>
      <c r="C4232" s="21" t="s">
        <v>22663</v>
      </c>
      <c r="D4232" s="31">
        <v>1</v>
      </c>
      <c r="E4232" s="23" t="s">
        <v>22658</v>
      </c>
      <c r="F4232" s="24" t="s">
        <v>22657</v>
      </c>
      <c r="G4232" s="25">
        <v>4</v>
      </c>
      <c r="H4232" s="26"/>
      <c r="I4232" s="27"/>
    </row>
    <row r="4233" spans="1:9" ht="15.75" thickBot="1" x14ac:dyDescent="0.3">
      <c r="A4233" s="43" t="s">
        <v>9575</v>
      </c>
      <c r="B4233" s="21" t="s">
        <v>9576</v>
      </c>
      <c r="C4233" s="21" t="s">
        <v>22663</v>
      </c>
      <c r="D4233" s="31">
        <v>1</v>
      </c>
      <c r="E4233" s="23" t="s">
        <v>22658</v>
      </c>
      <c r="F4233" s="24" t="s">
        <v>22657</v>
      </c>
      <c r="G4233" s="25">
        <v>4</v>
      </c>
      <c r="H4233" s="29"/>
      <c r="I4233" s="30"/>
    </row>
    <row r="4234" spans="1:9" ht="15.75" thickBot="1" x14ac:dyDescent="0.3">
      <c r="A4234" s="43" t="s">
        <v>9577</v>
      </c>
      <c r="B4234" s="21" t="s">
        <v>9578</v>
      </c>
      <c r="C4234" s="21" t="s">
        <v>22663</v>
      </c>
      <c r="D4234" s="31">
        <v>1</v>
      </c>
      <c r="E4234" s="23" t="s">
        <v>22658</v>
      </c>
      <c r="F4234" s="24" t="s">
        <v>22657</v>
      </c>
      <c r="G4234" s="25">
        <v>2</v>
      </c>
      <c r="H4234" s="26"/>
      <c r="I4234" s="27"/>
    </row>
    <row r="4235" spans="1:9" ht="15.75" thickBot="1" x14ac:dyDescent="0.3">
      <c r="A4235" s="43" t="s">
        <v>9579</v>
      </c>
      <c r="B4235" s="21" t="s">
        <v>9580</v>
      </c>
      <c r="C4235" s="21" t="s">
        <v>22663</v>
      </c>
      <c r="D4235" s="31">
        <v>1</v>
      </c>
      <c r="E4235" s="23" t="s">
        <v>22656</v>
      </c>
      <c r="F4235" s="24" t="s">
        <v>22657</v>
      </c>
      <c r="G4235" s="25">
        <v>4</v>
      </c>
      <c r="H4235" s="29"/>
      <c r="I4235" s="30"/>
    </row>
    <row r="4236" spans="1:9" ht="15.75" thickBot="1" x14ac:dyDescent="0.3">
      <c r="A4236" s="43" t="s">
        <v>9581</v>
      </c>
      <c r="B4236" s="21" t="s">
        <v>9582</v>
      </c>
      <c r="C4236" s="21" t="s">
        <v>22698</v>
      </c>
      <c r="D4236" s="31">
        <v>1</v>
      </c>
      <c r="E4236" s="23" t="s">
        <v>22658</v>
      </c>
      <c r="F4236" s="24" t="s">
        <v>22657</v>
      </c>
      <c r="G4236" s="25">
        <v>1</v>
      </c>
      <c r="H4236" s="26"/>
      <c r="I4236" s="27"/>
    </row>
    <row r="4237" spans="1:9" ht="15.75" thickBot="1" x14ac:dyDescent="0.3">
      <c r="A4237" s="43" t="s">
        <v>9583</v>
      </c>
      <c r="B4237" s="21" t="s">
        <v>9584</v>
      </c>
      <c r="C4237" s="21" t="s">
        <v>22663</v>
      </c>
      <c r="D4237" s="31">
        <v>1</v>
      </c>
      <c r="E4237" s="23" t="s">
        <v>22656</v>
      </c>
      <c r="F4237" s="24" t="s">
        <v>22657</v>
      </c>
      <c r="G4237" s="25">
        <v>4</v>
      </c>
      <c r="H4237" s="29"/>
      <c r="I4237" s="30"/>
    </row>
    <row r="4238" spans="1:9" ht="15.75" thickBot="1" x14ac:dyDescent="0.3">
      <c r="A4238" s="43" t="s">
        <v>9585</v>
      </c>
      <c r="B4238" s="21" t="s">
        <v>9586</v>
      </c>
      <c r="C4238" s="21" t="s">
        <v>22663</v>
      </c>
      <c r="D4238" s="31">
        <v>1</v>
      </c>
      <c r="E4238" s="23" t="s">
        <v>22656</v>
      </c>
      <c r="F4238" s="24" t="s">
        <v>22657</v>
      </c>
      <c r="G4238" s="25">
        <v>4</v>
      </c>
      <c r="H4238" s="26"/>
      <c r="I4238" s="27"/>
    </row>
    <row r="4239" spans="1:9" ht="15.75" thickBot="1" x14ac:dyDescent="0.3">
      <c r="A4239" s="43" t="s">
        <v>9587</v>
      </c>
      <c r="B4239" s="21" t="s">
        <v>9588</v>
      </c>
      <c r="C4239" s="21" t="s">
        <v>22663</v>
      </c>
      <c r="D4239" s="31">
        <v>1</v>
      </c>
      <c r="E4239" s="23" t="s">
        <v>22656</v>
      </c>
      <c r="F4239" s="24" t="s">
        <v>22657</v>
      </c>
      <c r="G4239" s="25">
        <v>4</v>
      </c>
      <c r="H4239" s="29"/>
      <c r="I4239" s="30"/>
    </row>
    <row r="4240" spans="1:9" ht="15.75" thickBot="1" x14ac:dyDescent="0.3">
      <c r="A4240" s="43" t="s">
        <v>9589</v>
      </c>
      <c r="B4240" s="21" t="s">
        <v>9590</v>
      </c>
      <c r="C4240" s="21" t="s">
        <v>22663</v>
      </c>
      <c r="D4240" s="31">
        <v>1</v>
      </c>
      <c r="E4240" s="23" t="s">
        <v>22656</v>
      </c>
      <c r="F4240" s="24" t="s">
        <v>22657</v>
      </c>
      <c r="G4240" s="25">
        <v>4</v>
      </c>
      <c r="H4240" s="26"/>
      <c r="I4240" s="27"/>
    </row>
    <row r="4241" spans="1:9" ht="15.75" thickBot="1" x14ac:dyDescent="0.3">
      <c r="A4241" s="43" t="s">
        <v>9593</v>
      </c>
      <c r="B4241" s="21" t="s">
        <v>9594</v>
      </c>
      <c r="C4241" s="21" t="s">
        <v>22655</v>
      </c>
      <c r="D4241" s="31" t="s">
        <v>22683</v>
      </c>
      <c r="E4241" s="23" t="s">
        <v>22656</v>
      </c>
      <c r="F4241" s="24" t="s">
        <v>22657</v>
      </c>
      <c r="G4241" s="25">
        <v>7</v>
      </c>
      <c r="H4241" s="29"/>
      <c r="I4241" s="30"/>
    </row>
    <row r="4242" spans="1:9" ht="15.75" thickBot="1" x14ac:dyDescent="0.3">
      <c r="A4242" s="43" t="s">
        <v>9599</v>
      </c>
      <c r="B4242" s="21" t="s">
        <v>9600</v>
      </c>
      <c r="C4242" s="21" t="s">
        <v>22655</v>
      </c>
      <c r="D4242" s="22">
        <v>46034</v>
      </c>
      <c r="E4242" s="23" t="s">
        <v>22656</v>
      </c>
      <c r="F4242" s="24" t="s">
        <v>22657</v>
      </c>
      <c r="G4242" s="25">
        <v>6</v>
      </c>
      <c r="H4242" s="34">
        <v>6</v>
      </c>
      <c r="I4242" s="35">
        <v>12</v>
      </c>
    </row>
    <row r="4243" spans="1:9" ht="15.75" thickBot="1" x14ac:dyDescent="0.3">
      <c r="A4243" s="43" t="s">
        <v>9601</v>
      </c>
      <c r="B4243" s="21" t="s">
        <v>9602</v>
      </c>
      <c r="C4243" s="21" t="s">
        <v>22655</v>
      </c>
      <c r="D4243" s="22">
        <v>46046</v>
      </c>
      <c r="E4243" s="23" t="s">
        <v>22656</v>
      </c>
      <c r="F4243" s="24" t="s">
        <v>22657</v>
      </c>
      <c r="G4243" s="25">
        <v>8</v>
      </c>
      <c r="H4243" s="29"/>
      <c r="I4243" s="30"/>
    </row>
    <row r="4244" spans="1:9" ht="15.75" thickBot="1" x14ac:dyDescent="0.3">
      <c r="A4244" s="43" t="s">
        <v>9607</v>
      </c>
      <c r="B4244" s="21" t="s">
        <v>9608</v>
      </c>
      <c r="C4244" s="21" t="s">
        <v>22655</v>
      </c>
      <c r="D4244" s="22">
        <v>46034</v>
      </c>
      <c r="E4244" s="23" t="s">
        <v>22658</v>
      </c>
      <c r="F4244" s="24" t="s">
        <v>22657</v>
      </c>
      <c r="G4244" s="25">
        <v>4</v>
      </c>
      <c r="H4244" s="26"/>
      <c r="I4244" s="27"/>
    </row>
    <row r="4245" spans="1:9" ht="15.75" thickBot="1" x14ac:dyDescent="0.3">
      <c r="A4245" s="43" t="s">
        <v>9609</v>
      </c>
      <c r="B4245" s="21" t="s">
        <v>9610</v>
      </c>
      <c r="C4245" s="21" t="s">
        <v>22655</v>
      </c>
      <c r="D4245" s="22">
        <v>46034</v>
      </c>
      <c r="E4245" s="23" t="s">
        <v>22656</v>
      </c>
      <c r="F4245" s="24" t="s">
        <v>22657</v>
      </c>
      <c r="G4245" s="25">
        <v>4</v>
      </c>
      <c r="H4245" s="29"/>
      <c r="I4245" s="30"/>
    </row>
    <row r="4246" spans="1:9" ht="15.75" thickBot="1" x14ac:dyDescent="0.3">
      <c r="A4246" s="43" t="s">
        <v>9611</v>
      </c>
      <c r="B4246" s="21" t="s">
        <v>9612</v>
      </c>
      <c r="C4246" s="21" t="s">
        <v>22655</v>
      </c>
      <c r="D4246" s="22">
        <v>46034</v>
      </c>
      <c r="E4246" s="23" t="s">
        <v>22656</v>
      </c>
      <c r="F4246" s="24" t="s">
        <v>22657</v>
      </c>
      <c r="G4246" s="25">
        <v>4</v>
      </c>
      <c r="H4246" s="26"/>
      <c r="I4246" s="27"/>
    </row>
    <row r="4247" spans="1:9" ht="15.75" thickBot="1" x14ac:dyDescent="0.3">
      <c r="A4247" s="43" t="s">
        <v>9613</v>
      </c>
      <c r="B4247" s="21" t="s">
        <v>9614</v>
      </c>
      <c r="C4247" s="21" t="s">
        <v>22655</v>
      </c>
      <c r="D4247" s="22">
        <v>46034</v>
      </c>
      <c r="E4247" s="23" t="s">
        <v>22658</v>
      </c>
      <c r="F4247" s="24" t="s">
        <v>22657</v>
      </c>
      <c r="G4247" s="25">
        <v>4</v>
      </c>
      <c r="H4247" s="29"/>
      <c r="I4247" s="30"/>
    </row>
    <row r="4248" spans="1:9" ht="15.75" thickBot="1" x14ac:dyDescent="0.3">
      <c r="A4248" s="43" t="s">
        <v>1479</v>
      </c>
      <c r="B4248" s="21" t="s">
        <v>1480</v>
      </c>
      <c r="C4248" s="21" t="s">
        <v>22655</v>
      </c>
      <c r="D4248" s="22">
        <v>46028</v>
      </c>
      <c r="E4248" s="23" t="s">
        <v>22656</v>
      </c>
      <c r="F4248" s="24" t="s">
        <v>22657</v>
      </c>
      <c r="G4248" s="25">
        <v>2</v>
      </c>
      <c r="H4248" s="26"/>
      <c r="I4248" s="27"/>
    </row>
    <row r="4249" spans="1:9" ht="15.75" thickBot="1" x14ac:dyDescent="0.3">
      <c r="A4249" s="43" t="s">
        <v>9616</v>
      </c>
      <c r="B4249" s="21" t="s">
        <v>9617</v>
      </c>
      <c r="C4249" s="21" t="s">
        <v>22655</v>
      </c>
      <c r="D4249" s="22">
        <v>46034</v>
      </c>
      <c r="E4249" s="23" t="s">
        <v>22656</v>
      </c>
      <c r="F4249" s="24" t="s">
        <v>22657</v>
      </c>
      <c r="G4249" s="25">
        <v>4</v>
      </c>
      <c r="H4249" s="29"/>
      <c r="I4249" s="30"/>
    </row>
    <row r="4250" spans="1:9" ht="15.75" thickBot="1" x14ac:dyDescent="0.3">
      <c r="A4250" s="43" t="s">
        <v>9618</v>
      </c>
      <c r="B4250" s="21" t="s">
        <v>9619</v>
      </c>
      <c r="C4250" s="21" t="s">
        <v>22655</v>
      </c>
      <c r="D4250" s="22">
        <v>46034</v>
      </c>
      <c r="E4250" s="23" t="s">
        <v>22656</v>
      </c>
      <c r="F4250" s="24" t="s">
        <v>22657</v>
      </c>
      <c r="G4250" s="25">
        <v>4</v>
      </c>
      <c r="H4250" s="26"/>
      <c r="I4250" s="27"/>
    </row>
    <row r="4251" spans="1:9" ht="15.75" thickBot="1" x14ac:dyDescent="0.3">
      <c r="A4251" s="43" t="s">
        <v>9622</v>
      </c>
      <c r="B4251" s="21" t="s">
        <v>9623</v>
      </c>
      <c r="C4251" s="21" t="s">
        <v>22655</v>
      </c>
      <c r="D4251" s="22">
        <v>46034</v>
      </c>
      <c r="E4251" s="23" t="s">
        <v>22656</v>
      </c>
      <c r="F4251" s="24" t="s">
        <v>22657</v>
      </c>
      <c r="G4251" s="25">
        <v>4</v>
      </c>
      <c r="H4251" s="29"/>
      <c r="I4251" s="30"/>
    </row>
    <row r="4252" spans="1:9" ht="15.75" thickBot="1" x14ac:dyDescent="0.3">
      <c r="A4252" s="43" t="s">
        <v>9628</v>
      </c>
      <c r="B4252" s="21" t="s">
        <v>9629</v>
      </c>
      <c r="C4252" s="21" t="s">
        <v>22655</v>
      </c>
      <c r="D4252" s="31" t="s">
        <v>22688</v>
      </c>
      <c r="E4252" s="23" t="s">
        <v>22658</v>
      </c>
      <c r="F4252" s="24" t="s">
        <v>22657</v>
      </c>
      <c r="G4252" s="25">
        <v>4</v>
      </c>
      <c r="H4252" s="26"/>
      <c r="I4252" s="27"/>
    </row>
    <row r="4253" spans="1:9" ht="15.75" thickBot="1" x14ac:dyDescent="0.3">
      <c r="A4253" s="43" t="s">
        <v>9632</v>
      </c>
      <c r="B4253" s="21" t="s">
        <v>9633</v>
      </c>
      <c r="C4253" s="21" t="s">
        <v>22655</v>
      </c>
      <c r="D4253" s="31" t="s">
        <v>22683</v>
      </c>
      <c r="E4253" s="23" t="s">
        <v>22661</v>
      </c>
      <c r="F4253" s="24" t="s">
        <v>22657</v>
      </c>
      <c r="G4253" s="25">
        <v>4</v>
      </c>
      <c r="H4253" s="29"/>
      <c r="I4253" s="30"/>
    </row>
    <row r="4254" spans="1:9" ht="15.75" thickBot="1" x14ac:dyDescent="0.3">
      <c r="A4254" s="43" t="s">
        <v>9634</v>
      </c>
      <c r="B4254" s="21" t="s">
        <v>9635</v>
      </c>
      <c r="C4254" s="21" t="s">
        <v>22655</v>
      </c>
      <c r="D4254" s="22">
        <v>46034</v>
      </c>
      <c r="E4254" s="23" t="s">
        <v>22656</v>
      </c>
      <c r="F4254" s="24" t="s">
        <v>22657</v>
      </c>
      <c r="G4254" s="25">
        <v>4</v>
      </c>
      <c r="H4254" s="26"/>
      <c r="I4254" s="27"/>
    </row>
    <row r="4255" spans="1:9" ht="15.75" thickBot="1" x14ac:dyDescent="0.3">
      <c r="A4255" s="43" t="s">
        <v>9636</v>
      </c>
      <c r="B4255" s="21" t="s">
        <v>9637</v>
      </c>
      <c r="C4255" s="21" t="s">
        <v>22655</v>
      </c>
      <c r="D4255" s="22">
        <v>46026</v>
      </c>
      <c r="E4255" s="23" t="s">
        <v>22656</v>
      </c>
      <c r="F4255" s="24" t="s">
        <v>22657</v>
      </c>
      <c r="G4255" s="25">
        <v>2</v>
      </c>
      <c r="H4255" s="29"/>
      <c r="I4255" s="30"/>
    </row>
    <row r="4256" spans="1:9" ht="15.75" thickBot="1" x14ac:dyDescent="0.3">
      <c r="A4256" s="43" t="s">
        <v>9638</v>
      </c>
      <c r="B4256" s="21" t="s">
        <v>9639</v>
      </c>
      <c r="C4256" s="21" t="s">
        <v>22655</v>
      </c>
      <c r="D4256" s="22">
        <v>46034</v>
      </c>
      <c r="E4256" s="23" t="s">
        <v>22656</v>
      </c>
      <c r="F4256" s="24" t="s">
        <v>22657</v>
      </c>
      <c r="G4256" s="25">
        <v>4</v>
      </c>
      <c r="H4256" s="26"/>
      <c r="I4256" s="27"/>
    </row>
    <row r="4257" spans="1:9" ht="15.75" thickBot="1" x14ac:dyDescent="0.3">
      <c r="A4257" s="43" t="s">
        <v>9640</v>
      </c>
      <c r="B4257" s="21" t="s">
        <v>9641</v>
      </c>
      <c r="C4257" s="21" t="s">
        <v>22655</v>
      </c>
      <c r="D4257" s="22">
        <v>46034</v>
      </c>
      <c r="E4257" s="23" t="s">
        <v>22656</v>
      </c>
      <c r="F4257" s="24" t="s">
        <v>22657</v>
      </c>
      <c r="G4257" s="25">
        <v>4</v>
      </c>
      <c r="H4257" s="29"/>
      <c r="I4257" s="30"/>
    </row>
    <row r="4258" spans="1:9" ht="15.75" thickBot="1" x14ac:dyDescent="0.3">
      <c r="A4258" s="43" t="s">
        <v>9642</v>
      </c>
      <c r="B4258" s="21" t="s">
        <v>9643</v>
      </c>
      <c r="C4258" s="21" t="s">
        <v>22655</v>
      </c>
      <c r="D4258" s="22">
        <v>46024</v>
      </c>
      <c r="E4258" s="23" t="s">
        <v>22656</v>
      </c>
      <c r="F4258" s="24" t="s">
        <v>22657</v>
      </c>
      <c r="G4258" s="25">
        <v>2</v>
      </c>
      <c r="H4258" s="26"/>
      <c r="I4258" s="27"/>
    </row>
    <row r="4259" spans="1:9" ht="15.75" thickBot="1" x14ac:dyDescent="0.3">
      <c r="A4259" s="43" t="s">
        <v>9644</v>
      </c>
      <c r="B4259" s="21" t="s">
        <v>9645</v>
      </c>
      <c r="C4259" s="21" t="s">
        <v>22655</v>
      </c>
      <c r="D4259" s="22">
        <v>46026</v>
      </c>
      <c r="E4259" s="23" t="s">
        <v>22656</v>
      </c>
      <c r="F4259" s="24" t="s">
        <v>22657</v>
      </c>
      <c r="G4259" s="25">
        <v>2</v>
      </c>
      <c r="H4259" s="29"/>
      <c r="I4259" s="30"/>
    </row>
    <row r="4260" spans="1:9" ht="15.75" thickBot="1" x14ac:dyDescent="0.3">
      <c r="A4260" s="43" t="s">
        <v>9646</v>
      </c>
      <c r="B4260" s="21" t="s">
        <v>9647</v>
      </c>
      <c r="C4260" s="21" t="s">
        <v>22655</v>
      </c>
      <c r="D4260" s="22">
        <v>46024</v>
      </c>
      <c r="E4260" s="23" t="s">
        <v>22658</v>
      </c>
      <c r="F4260" s="24" t="s">
        <v>22657</v>
      </c>
      <c r="G4260" s="25">
        <v>1</v>
      </c>
      <c r="H4260" s="26"/>
      <c r="I4260" s="27"/>
    </row>
    <row r="4261" spans="1:9" ht="15.75" thickBot="1" x14ac:dyDescent="0.3">
      <c r="A4261" s="43" t="s">
        <v>9648</v>
      </c>
      <c r="B4261" s="21" t="s">
        <v>9649</v>
      </c>
      <c r="C4261" s="21" t="s">
        <v>22655</v>
      </c>
      <c r="D4261" s="22">
        <v>46034</v>
      </c>
      <c r="E4261" s="23" t="s">
        <v>22656</v>
      </c>
      <c r="F4261" s="24" t="s">
        <v>22657</v>
      </c>
      <c r="G4261" s="25">
        <v>4</v>
      </c>
      <c r="H4261" s="29"/>
      <c r="I4261" s="30"/>
    </row>
    <row r="4262" spans="1:9" ht="15.75" thickBot="1" x14ac:dyDescent="0.3">
      <c r="A4262" s="43" t="s">
        <v>9650</v>
      </c>
      <c r="B4262" s="21" t="s">
        <v>9651</v>
      </c>
      <c r="C4262" s="21" t="s">
        <v>22655</v>
      </c>
      <c r="D4262" s="22">
        <v>46034</v>
      </c>
      <c r="E4262" s="23" t="s">
        <v>22656</v>
      </c>
      <c r="F4262" s="24" t="s">
        <v>22657</v>
      </c>
      <c r="G4262" s="25">
        <v>4</v>
      </c>
      <c r="H4262" s="26"/>
      <c r="I4262" s="27"/>
    </row>
    <row r="4263" spans="1:9" ht="15.75" thickBot="1" x14ac:dyDescent="0.3">
      <c r="A4263" s="43" t="s">
        <v>9652</v>
      </c>
      <c r="B4263" s="21" t="s">
        <v>9653</v>
      </c>
      <c r="C4263" s="21" t="s">
        <v>22655</v>
      </c>
      <c r="D4263" s="22">
        <v>46032</v>
      </c>
      <c r="E4263" s="23" t="s">
        <v>22658</v>
      </c>
      <c r="F4263" s="24" t="s">
        <v>22657</v>
      </c>
      <c r="G4263" s="25">
        <v>4</v>
      </c>
      <c r="H4263" s="29"/>
      <c r="I4263" s="30"/>
    </row>
    <row r="4264" spans="1:9" ht="15.75" thickBot="1" x14ac:dyDescent="0.3">
      <c r="A4264" s="43" t="s">
        <v>9654</v>
      </c>
      <c r="B4264" s="21" t="s">
        <v>9655</v>
      </c>
      <c r="C4264" s="21" t="s">
        <v>22655</v>
      </c>
      <c r="D4264" s="22">
        <v>46034</v>
      </c>
      <c r="E4264" s="23" t="s">
        <v>22656</v>
      </c>
      <c r="F4264" s="24" t="s">
        <v>22657</v>
      </c>
      <c r="G4264" s="25">
        <v>4</v>
      </c>
      <c r="H4264" s="26"/>
      <c r="I4264" s="27"/>
    </row>
    <row r="4265" spans="1:9" ht="15.75" thickBot="1" x14ac:dyDescent="0.3">
      <c r="A4265" s="43" t="s">
        <v>9656</v>
      </c>
      <c r="B4265" s="21" t="s">
        <v>9657</v>
      </c>
      <c r="C4265" s="21" t="s">
        <v>22655</v>
      </c>
      <c r="D4265" s="22">
        <v>46034</v>
      </c>
      <c r="E4265" s="23" t="s">
        <v>22656</v>
      </c>
      <c r="F4265" s="24" t="s">
        <v>22657</v>
      </c>
      <c r="G4265" s="25">
        <v>4</v>
      </c>
      <c r="H4265" s="29"/>
      <c r="I4265" s="30"/>
    </row>
    <row r="4266" spans="1:9" ht="15.75" thickBot="1" x14ac:dyDescent="0.3">
      <c r="A4266" s="43" t="s">
        <v>9658</v>
      </c>
      <c r="B4266" s="21" t="s">
        <v>9659</v>
      </c>
      <c r="C4266" s="21" t="s">
        <v>22655</v>
      </c>
      <c r="D4266" s="22">
        <v>46034</v>
      </c>
      <c r="E4266" s="23" t="s">
        <v>22656</v>
      </c>
      <c r="F4266" s="24" t="s">
        <v>22657</v>
      </c>
      <c r="G4266" s="25">
        <v>4</v>
      </c>
      <c r="H4266" s="26"/>
      <c r="I4266" s="27"/>
    </row>
    <row r="4267" spans="1:9" ht="15.75" thickBot="1" x14ac:dyDescent="0.3">
      <c r="A4267" s="43" t="s">
        <v>9660</v>
      </c>
      <c r="B4267" s="21" t="s">
        <v>9661</v>
      </c>
      <c r="C4267" s="21" t="s">
        <v>22655</v>
      </c>
      <c r="D4267" s="22">
        <v>46034</v>
      </c>
      <c r="E4267" s="23" t="s">
        <v>22656</v>
      </c>
      <c r="F4267" s="24" t="s">
        <v>22657</v>
      </c>
      <c r="G4267" s="25">
        <v>4</v>
      </c>
      <c r="H4267" s="29"/>
      <c r="I4267" s="30"/>
    </row>
    <row r="4268" spans="1:9" ht="15.75" thickBot="1" x14ac:dyDescent="0.3">
      <c r="A4268" s="43" t="s">
        <v>9662</v>
      </c>
      <c r="B4268" s="21" t="s">
        <v>9663</v>
      </c>
      <c r="C4268" s="21" t="s">
        <v>22655</v>
      </c>
      <c r="D4268" s="22">
        <v>46034</v>
      </c>
      <c r="E4268" s="23" t="s">
        <v>22656</v>
      </c>
      <c r="F4268" s="24" t="s">
        <v>22657</v>
      </c>
      <c r="G4268" s="25">
        <v>4</v>
      </c>
      <c r="H4268" s="26"/>
      <c r="I4268" s="27"/>
    </row>
    <row r="4269" spans="1:9" ht="15.75" thickBot="1" x14ac:dyDescent="0.3">
      <c r="A4269" s="43" t="s">
        <v>9664</v>
      </c>
      <c r="B4269" s="21" t="s">
        <v>9665</v>
      </c>
      <c r="C4269" s="21" t="s">
        <v>22655</v>
      </c>
      <c r="D4269" s="22">
        <v>46034</v>
      </c>
      <c r="E4269" s="23" t="s">
        <v>22656</v>
      </c>
      <c r="F4269" s="24" t="s">
        <v>22657</v>
      </c>
      <c r="G4269" s="25">
        <v>5</v>
      </c>
      <c r="H4269" s="29"/>
      <c r="I4269" s="30"/>
    </row>
    <row r="4270" spans="1:9" ht="15.75" thickBot="1" x14ac:dyDescent="0.3">
      <c r="A4270" s="43" t="s">
        <v>9666</v>
      </c>
      <c r="B4270" s="21" t="s">
        <v>9667</v>
      </c>
      <c r="C4270" s="21" t="s">
        <v>22655</v>
      </c>
      <c r="D4270" s="22">
        <v>46034</v>
      </c>
      <c r="E4270" s="23" t="s">
        <v>22656</v>
      </c>
      <c r="F4270" s="24" t="s">
        <v>22657</v>
      </c>
      <c r="G4270" s="25">
        <v>4</v>
      </c>
      <c r="H4270" s="26"/>
      <c r="I4270" s="27"/>
    </row>
    <row r="4271" spans="1:9" ht="15.75" thickBot="1" x14ac:dyDescent="0.3">
      <c r="A4271" s="43" t="s">
        <v>9668</v>
      </c>
      <c r="B4271" s="21" t="s">
        <v>9669</v>
      </c>
      <c r="C4271" s="21" t="s">
        <v>22655</v>
      </c>
      <c r="D4271" s="22">
        <v>46034</v>
      </c>
      <c r="E4271" s="23" t="s">
        <v>22656</v>
      </c>
      <c r="F4271" s="24" t="s">
        <v>22657</v>
      </c>
      <c r="G4271" s="25">
        <v>4</v>
      </c>
      <c r="H4271" s="29"/>
      <c r="I4271" s="30"/>
    </row>
    <row r="4272" spans="1:9" ht="15.75" thickBot="1" x14ac:dyDescent="0.3">
      <c r="A4272" s="43" t="s">
        <v>9670</v>
      </c>
      <c r="B4272" s="21" t="s">
        <v>9671</v>
      </c>
      <c r="C4272" s="21" t="s">
        <v>22655</v>
      </c>
      <c r="D4272" s="22">
        <v>46024</v>
      </c>
      <c r="E4272" s="23" t="s">
        <v>22656</v>
      </c>
      <c r="F4272" s="24" t="s">
        <v>22657</v>
      </c>
      <c r="G4272" s="25">
        <v>2</v>
      </c>
      <c r="H4272" s="26"/>
      <c r="I4272" s="27"/>
    </row>
    <row r="4273" spans="1:9" ht="15.75" thickBot="1" x14ac:dyDescent="0.3">
      <c r="A4273" s="43" t="s">
        <v>9672</v>
      </c>
      <c r="B4273" s="21" t="s">
        <v>9673</v>
      </c>
      <c r="C4273" s="21" t="s">
        <v>22663</v>
      </c>
      <c r="D4273" s="31">
        <v>1</v>
      </c>
      <c r="E4273" s="23" t="s">
        <v>22656</v>
      </c>
      <c r="F4273" s="24" t="s">
        <v>22657</v>
      </c>
      <c r="G4273" s="25">
        <v>2</v>
      </c>
      <c r="H4273" s="29"/>
      <c r="I4273" s="30"/>
    </row>
    <row r="4274" spans="1:9" ht="15.75" thickBot="1" x14ac:dyDescent="0.3">
      <c r="A4274" s="43" t="s">
        <v>9674</v>
      </c>
      <c r="B4274" s="21" t="s">
        <v>9675</v>
      </c>
      <c r="C4274" s="21" t="s">
        <v>22655</v>
      </c>
      <c r="D4274" s="22">
        <v>46034</v>
      </c>
      <c r="E4274" s="23" t="s">
        <v>22656</v>
      </c>
      <c r="F4274" s="24" t="s">
        <v>22657</v>
      </c>
      <c r="G4274" s="25">
        <v>4</v>
      </c>
      <c r="H4274" s="26"/>
      <c r="I4274" s="27"/>
    </row>
    <row r="4275" spans="1:9" ht="15.75" thickBot="1" x14ac:dyDescent="0.3">
      <c r="A4275" s="43" t="s">
        <v>9676</v>
      </c>
      <c r="B4275" s="21" t="s">
        <v>9677</v>
      </c>
      <c r="C4275" s="21" t="s">
        <v>22655</v>
      </c>
      <c r="D4275" s="22">
        <v>46026</v>
      </c>
      <c r="E4275" s="23" t="s">
        <v>22656</v>
      </c>
      <c r="F4275" s="24" t="s">
        <v>22657</v>
      </c>
      <c r="G4275" s="25">
        <v>2</v>
      </c>
      <c r="H4275" s="29"/>
      <c r="I4275" s="30"/>
    </row>
    <row r="4276" spans="1:9" ht="15.75" thickBot="1" x14ac:dyDescent="0.3">
      <c r="A4276" s="43" t="s">
        <v>9678</v>
      </c>
      <c r="B4276" s="21" t="s">
        <v>9679</v>
      </c>
      <c r="C4276" s="21" t="s">
        <v>22655</v>
      </c>
      <c r="D4276" s="22">
        <v>46034</v>
      </c>
      <c r="E4276" s="23" t="s">
        <v>22656</v>
      </c>
      <c r="F4276" s="24" t="s">
        <v>22657</v>
      </c>
      <c r="G4276" s="25">
        <v>4</v>
      </c>
      <c r="H4276" s="26"/>
      <c r="I4276" s="27"/>
    </row>
    <row r="4277" spans="1:9" ht="15.75" thickBot="1" x14ac:dyDescent="0.3">
      <c r="A4277" s="43" t="s">
        <v>9680</v>
      </c>
      <c r="B4277" s="21" t="s">
        <v>9681</v>
      </c>
      <c r="C4277" s="21" t="s">
        <v>22655</v>
      </c>
      <c r="D4277" s="22">
        <v>46025</v>
      </c>
      <c r="E4277" s="23" t="s">
        <v>22658</v>
      </c>
      <c r="F4277" s="24" t="s">
        <v>22657</v>
      </c>
      <c r="G4277" s="25">
        <v>1</v>
      </c>
      <c r="H4277" s="29"/>
      <c r="I4277" s="30"/>
    </row>
    <row r="4278" spans="1:9" ht="15.75" thickBot="1" x14ac:dyDescent="0.3">
      <c r="A4278" s="43" t="s">
        <v>9682</v>
      </c>
      <c r="B4278" s="21" t="s">
        <v>9683</v>
      </c>
      <c r="C4278" s="21" t="s">
        <v>22655</v>
      </c>
      <c r="D4278" s="22">
        <v>46034</v>
      </c>
      <c r="E4278" s="23" t="s">
        <v>22656</v>
      </c>
      <c r="F4278" s="24" t="s">
        <v>22657</v>
      </c>
      <c r="G4278" s="25">
        <v>4</v>
      </c>
      <c r="H4278" s="26"/>
      <c r="I4278" s="27"/>
    </row>
    <row r="4279" spans="1:9" ht="15.75" thickBot="1" x14ac:dyDescent="0.3">
      <c r="A4279" s="43" t="s">
        <v>9684</v>
      </c>
      <c r="B4279" s="21" t="s">
        <v>9685</v>
      </c>
      <c r="C4279" s="21" t="s">
        <v>22655</v>
      </c>
      <c r="D4279" s="22">
        <v>46032</v>
      </c>
      <c r="E4279" s="23" t="s">
        <v>22656</v>
      </c>
      <c r="F4279" s="24" t="s">
        <v>22657</v>
      </c>
      <c r="G4279" s="25">
        <v>4</v>
      </c>
      <c r="H4279" s="29"/>
      <c r="I4279" s="30"/>
    </row>
    <row r="4280" spans="1:9" ht="15.75" thickBot="1" x14ac:dyDescent="0.3">
      <c r="A4280" s="43" t="s">
        <v>9686</v>
      </c>
      <c r="B4280" s="21" t="s">
        <v>9687</v>
      </c>
      <c r="C4280" s="21" t="s">
        <v>22655</v>
      </c>
      <c r="D4280" s="22">
        <v>46042</v>
      </c>
      <c r="E4280" s="23" t="s">
        <v>22656</v>
      </c>
      <c r="F4280" s="24" t="s">
        <v>22657</v>
      </c>
      <c r="G4280" s="25">
        <v>7</v>
      </c>
      <c r="H4280" s="26"/>
      <c r="I4280" s="27"/>
    </row>
    <row r="4281" spans="1:9" ht="15.75" thickBot="1" x14ac:dyDescent="0.3">
      <c r="A4281" s="43" t="s">
        <v>9688</v>
      </c>
      <c r="B4281" s="21" t="s">
        <v>9689</v>
      </c>
      <c r="C4281" s="21" t="s">
        <v>22655</v>
      </c>
      <c r="D4281" s="22">
        <v>46032</v>
      </c>
      <c r="E4281" s="23" t="s">
        <v>22658</v>
      </c>
      <c r="F4281" s="24" t="s">
        <v>22657</v>
      </c>
      <c r="G4281" s="25">
        <v>4</v>
      </c>
      <c r="H4281" s="29"/>
      <c r="I4281" s="30"/>
    </row>
    <row r="4282" spans="1:9" ht="15.75" thickBot="1" x14ac:dyDescent="0.3">
      <c r="A4282" s="43" t="s">
        <v>9690</v>
      </c>
      <c r="B4282" s="21" t="s">
        <v>9691</v>
      </c>
      <c r="C4282" s="21" t="s">
        <v>22655</v>
      </c>
      <c r="D4282" s="22">
        <v>46042</v>
      </c>
      <c r="E4282" s="23" t="s">
        <v>22656</v>
      </c>
      <c r="F4282" s="24" t="s">
        <v>22657</v>
      </c>
      <c r="G4282" s="25">
        <v>7</v>
      </c>
      <c r="H4282" s="26"/>
      <c r="I4282" s="27"/>
    </row>
    <row r="4283" spans="1:9" ht="15.75" thickBot="1" x14ac:dyDescent="0.3">
      <c r="A4283" s="43" t="s">
        <v>1241</v>
      </c>
      <c r="B4283" s="21" t="s">
        <v>1242</v>
      </c>
      <c r="C4283" s="21" t="s">
        <v>22690</v>
      </c>
      <c r="D4283" s="31" t="s">
        <v>22779</v>
      </c>
      <c r="E4283" s="23" t="s">
        <v>22661</v>
      </c>
      <c r="F4283" s="24" t="s">
        <v>22657</v>
      </c>
      <c r="G4283" s="25">
        <v>16</v>
      </c>
      <c r="H4283" s="32">
        <v>16</v>
      </c>
      <c r="I4283" s="33">
        <v>24</v>
      </c>
    </row>
    <row r="4284" spans="1:9" ht="15.75" thickBot="1" x14ac:dyDescent="0.3">
      <c r="A4284" s="43" t="s">
        <v>9692</v>
      </c>
      <c r="B4284" s="21" t="s">
        <v>9693</v>
      </c>
      <c r="C4284" s="21" t="s">
        <v>22655</v>
      </c>
      <c r="D4284" s="31" t="s">
        <v>22673</v>
      </c>
      <c r="E4284" s="23" t="s">
        <v>22656</v>
      </c>
      <c r="F4284" s="24" t="s">
        <v>22657</v>
      </c>
      <c r="G4284" s="25">
        <v>4</v>
      </c>
      <c r="H4284" s="26"/>
      <c r="I4284" s="27"/>
    </row>
    <row r="4285" spans="1:9" ht="15.75" thickBot="1" x14ac:dyDescent="0.3">
      <c r="A4285" s="43" t="s">
        <v>9694</v>
      </c>
      <c r="B4285" s="21" t="s">
        <v>9695</v>
      </c>
      <c r="C4285" s="21" t="s">
        <v>22655</v>
      </c>
      <c r="D4285" s="22">
        <v>46046</v>
      </c>
      <c r="E4285" s="23" t="s">
        <v>22656</v>
      </c>
      <c r="F4285" s="24" t="s">
        <v>22657</v>
      </c>
      <c r="G4285" s="25">
        <v>2</v>
      </c>
      <c r="H4285" s="29"/>
      <c r="I4285" s="30"/>
    </row>
    <row r="4286" spans="1:9" ht="15.75" thickBot="1" x14ac:dyDescent="0.3">
      <c r="A4286" s="43" t="s">
        <v>9696</v>
      </c>
      <c r="B4286" s="21" t="s">
        <v>9697</v>
      </c>
      <c r="C4286" s="21" t="s">
        <v>22655</v>
      </c>
      <c r="D4286" s="31" t="s">
        <v>22673</v>
      </c>
      <c r="E4286" s="23" t="s">
        <v>22656</v>
      </c>
      <c r="F4286" s="24" t="s">
        <v>22657</v>
      </c>
      <c r="G4286" s="25">
        <v>4</v>
      </c>
      <c r="H4286" s="26"/>
      <c r="I4286" s="27"/>
    </row>
    <row r="4287" spans="1:9" ht="15.75" thickBot="1" x14ac:dyDescent="0.3">
      <c r="A4287" s="43" t="s">
        <v>9698</v>
      </c>
      <c r="B4287" s="21" t="s">
        <v>9699</v>
      </c>
      <c r="C4287" s="21" t="s">
        <v>22655</v>
      </c>
      <c r="D4287" s="22">
        <v>46046</v>
      </c>
      <c r="E4287" s="23" t="s">
        <v>22656</v>
      </c>
      <c r="F4287" s="24" t="s">
        <v>22657</v>
      </c>
      <c r="G4287" s="25">
        <v>2</v>
      </c>
      <c r="H4287" s="29"/>
      <c r="I4287" s="30"/>
    </row>
    <row r="4288" spans="1:9" ht="15.75" thickBot="1" x14ac:dyDescent="0.3">
      <c r="A4288" s="43" t="s">
        <v>9700</v>
      </c>
      <c r="B4288" s="21" t="s">
        <v>9701</v>
      </c>
      <c r="C4288" s="21" t="s">
        <v>22655</v>
      </c>
      <c r="D4288" s="31" t="s">
        <v>22673</v>
      </c>
      <c r="E4288" s="23" t="s">
        <v>22656</v>
      </c>
      <c r="F4288" s="24" t="s">
        <v>22657</v>
      </c>
      <c r="G4288" s="25">
        <v>4</v>
      </c>
      <c r="H4288" s="26"/>
      <c r="I4288" s="27"/>
    </row>
    <row r="4289" spans="1:9" ht="15.75" thickBot="1" x14ac:dyDescent="0.3">
      <c r="A4289" s="43" t="s">
        <v>9702</v>
      </c>
      <c r="B4289" s="21" t="s">
        <v>9703</v>
      </c>
      <c r="C4289" s="21" t="s">
        <v>22655</v>
      </c>
      <c r="D4289" s="22">
        <v>46046</v>
      </c>
      <c r="E4289" s="23" t="s">
        <v>22656</v>
      </c>
      <c r="F4289" s="24" t="s">
        <v>22657</v>
      </c>
      <c r="G4289" s="25">
        <v>2</v>
      </c>
      <c r="H4289" s="29"/>
      <c r="I4289" s="30"/>
    </row>
    <row r="4290" spans="1:9" ht="15.75" thickBot="1" x14ac:dyDescent="0.3">
      <c r="A4290" s="43" t="s">
        <v>9704</v>
      </c>
      <c r="B4290" s="21" t="s">
        <v>9705</v>
      </c>
      <c r="C4290" s="21" t="s">
        <v>22655</v>
      </c>
      <c r="D4290" s="31" t="s">
        <v>22673</v>
      </c>
      <c r="E4290" s="23" t="s">
        <v>22656</v>
      </c>
      <c r="F4290" s="24" t="s">
        <v>22657</v>
      </c>
      <c r="G4290" s="25">
        <v>4</v>
      </c>
      <c r="H4290" s="26"/>
      <c r="I4290" s="27"/>
    </row>
    <row r="4291" spans="1:9" ht="15.75" thickBot="1" x14ac:dyDescent="0.3">
      <c r="A4291" s="43" t="s">
        <v>9706</v>
      </c>
      <c r="B4291" s="21" t="s">
        <v>9707</v>
      </c>
      <c r="C4291" s="21" t="s">
        <v>22655</v>
      </c>
      <c r="D4291" s="22">
        <v>46046</v>
      </c>
      <c r="E4291" s="23" t="s">
        <v>22656</v>
      </c>
      <c r="F4291" s="24" t="s">
        <v>22657</v>
      </c>
      <c r="G4291" s="25">
        <v>6</v>
      </c>
      <c r="H4291" s="29"/>
      <c r="I4291" s="30"/>
    </row>
    <row r="4292" spans="1:9" ht="15.75" thickBot="1" x14ac:dyDescent="0.3">
      <c r="A4292" s="43" t="s">
        <v>9708</v>
      </c>
      <c r="B4292" s="21" t="s">
        <v>9709</v>
      </c>
      <c r="C4292" s="21" t="s">
        <v>22655</v>
      </c>
      <c r="D4292" s="31" t="s">
        <v>22673</v>
      </c>
      <c r="E4292" s="23" t="s">
        <v>22656</v>
      </c>
      <c r="F4292" s="24" t="s">
        <v>22657</v>
      </c>
      <c r="G4292" s="25">
        <v>4</v>
      </c>
      <c r="H4292" s="26"/>
      <c r="I4292" s="27"/>
    </row>
    <row r="4293" spans="1:9" ht="15.75" thickBot="1" x14ac:dyDescent="0.3">
      <c r="A4293" s="43" t="s">
        <v>9710</v>
      </c>
      <c r="B4293" s="21" t="s">
        <v>9711</v>
      </c>
      <c r="C4293" s="21" t="s">
        <v>22655</v>
      </c>
      <c r="D4293" s="22">
        <v>46046</v>
      </c>
      <c r="E4293" s="23" t="s">
        <v>22656</v>
      </c>
      <c r="F4293" s="24" t="s">
        <v>22657</v>
      </c>
      <c r="G4293" s="25">
        <v>2</v>
      </c>
      <c r="H4293" s="29"/>
      <c r="I4293" s="30"/>
    </row>
    <row r="4294" spans="1:9" ht="15.75" thickBot="1" x14ac:dyDescent="0.3">
      <c r="A4294" s="43" t="s">
        <v>9712</v>
      </c>
      <c r="B4294" s="21" t="s">
        <v>9713</v>
      </c>
      <c r="C4294" s="21" t="s">
        <v>22663</v>
      </c>
      <c r="D4294" s="31">
        <v>1</v>
      </c>
      <c r="E4294" s="23" t="s">
        <v>22656</v>
      </c>
      <c r="F4294" s="24" t="s">
        <v>22657</v>
      </c>
      <c r="G4294" s="25">
        <v>4</v>
      </c>
      <c r="H4294" s="26"/>
      <c r="I4294" s="27"/>
    </row>
    <row r="4295" spans="1:9" ht="15.75" thickBot="1" x14ac:dyDescent="0.3">
      <c r="A4295" s="43" t="s">
        <v>9714</v>
      </c>
      <c r="B4295" s="21" t="s">
        <v>9715</v>
      </c>
      <c r="C4295" s="21" t="s">
        <v>22663</v>
      </c>
      <c r="D4295" s="31">
        <v>1</v>
      </c>
      <c r="E4295" s="23" t="s">
        <v>22656</v>
      </c>
      <c r="F4295" s="24" t="s">
        <v>22657</v>
      </c>
      <c r="G4295" s="25">
        <v>7</v>
      </c>
      <c r="H4295" s="29"/>
      <c r="I4295" s="30"/>
    </row>
    <row r="4296" spans="1:9" ht="15.75" thickBot="1" x14ac:dyDescent="0.3">
      <c r="A4296" s="43" t="s">
        <v>9716</v>
      </c>
      <c r="B4296" s="21" t="s">
        <v>9717</v>
      </c>
      <c r="C4296" s="21" t="s">
        <v>22709</v>
      </c>
      <c r="D4296" s="31">
        <v>1</v>
      </c>
      <c r="E4296" s="23" t="s">
        <v>22658</v>
      </c>
      <c r="F4296" s="28" t="s">
        <v>22659</v>
      </c>
      <c r="G4296" s="25">
        <v>1</v>
      </c>
      <c r="H4296" s="26"/>
      <c r="I4296" s="27"/>
    </row>
    <row r="4297" spans="1:9" ht="15.75" thickBot="1" x14ac:dyDescent="0.3">
      <c r="A4297" s="43" t="s">
        <v>9718</v>
      </c>
      <c r="B4297" s="21" t="s">
        <v>9719</v>
      </c>
      <c r="C4297" s="21" t="s">
        <v>22698</v>
      </c>
      <c r="D4297" s="31">
        <v>1</v>
      </c>
      <c r="E4297" s="23" t="s">
        <v>22656</v>
      </c>
      <c r="F4297" s="24" t="s">
        <v>22657</v>
      </c>
      <c r="G4297" s="25">
        <v>2</v>
      </c>
      <c r="H4297" s="29"/>
      <c r="I4297" s="30"/>
    </row>
    <row r="4298" spans="1:9" ht="15.75" thickBot="1" x14ac:dyDescent="0.3">
      <c r="A4298" s="43" t="s">
        <v>9720</v>
      </c>
      <c r="B4298" s="21" t="s">
        <v>9721</v>
      </c>
      <c r="C4298" s="21" t="s">
        <v>22663</v>
      </c>
      <c r="D4298" s="31">
        <v>1</v>
      </c>
      <c r="E4298" s="23" t="s">
        <v>22656</v>
      </c>
      <c r="F4298" s="24" t="s">
        <v>22657</v>
      </c>
      <c r="G4298" s="25">
        <v>7</v>
      </c>
      <c r="H4298" s="26"/>
      <c r="I4298" s="27"/>
    </row>
    <row r="4299" spans="1:9" ht="15.75" thickBot="1" x14ac:dyDescent="0.3">
      <c r="A4299" s="43" t="s">
        <v>9722</v>
      </c>
      <c r="B4299" s="21" t="s">
        <v>9723</v>
      </c>
      <c r="C4299" s="21" t="s">
        <v>22663</v>
      </c>
      <c r="D4299" s="31">
        <v>1</v>
      </c>
      <c r="E4299" s="23" t="s">
        <v>22656</v>
      </c>
      <c r="F4299" s="24" t="s">
        <v>22657</v>
      </c>
      <c r="G4299" s="25">
        <v>4</v>
      </c>
      <c r="H4299" s="29"/>
      <c r="I4299" s="30"/>
    </row>
    <row r="4300" spans="1:9" ht="15.75" thickBot="1" x14ac:dyDescent="0.3">
      <c r="A4300" s="43" t="s">
        <v>9724</v>
      </c>
      <c r="B4300" s="21" t="s">
        <v>9725</v>
      </c>
      <c r="C4300" s="21" t="s">
        <v>22663</v>
      </c>
      <c r="D4300" s="31">
        <v>1</v>
      </c>
      <c r="E4300" s="23" t="s">
        <v>22656</v>
      </c>
      <c r="F4300" s="24" t="s">
        <v>22657</v>
      </c>
      <c r="G4300" s="25">
        <v>7</v>
      </c>
      <c r="H4300" s="26"/>
      <c r="I4300" s="27"/>
    </row>
    <row r="4301" spans="1:9" ht="15.75" thickBot="1" x14ac:dyDescent="0.3">
      <c r="A4301" s="43" t="s">
        <v>9728</v>
      </c>
      <c r="B4301" s="21" t="s">
        <v>9729</v>
      </c>
      <c r="C4301" s="21" t="s">
        <v>22698</v>
      </c>
      <c r="D4301" s="31">
        <v>1</v>
      </c>
      <c r="E4301" s="23" t="s">
        <v>22658</v>
      </c>
      <c r="F4301" s="24" t="s">
        <v>22657</v>
      </c>
      <c r="G4301" s="25">
        <v>2</v>
      </c>
      <c r="H4301" s="29"/>
      <c r="I4301" s="30"/>
    </row>
    <row r="4302" spans="1:9" ht="15.75" thickBot="1" x14ac:dyDescent="0.3">
      <c r="A4302" s="43" t="s">
        <v>9730</v>
      </c>
      <c r="B4302" s="21" t="s">
        <v>9731</v>
      </c>
      <c r="C4302" s="21" t="s">
        <v>22663</v>
      </c>
      <c r="D4302" s="31">
        <v>1</v>
      </c>
      <c r="E4302" s="23" t="s">
        <v>22656</v>
      </c>
      <c r="F4302" s="24" t="s">
        <v>22657</v>
      </c>
      <c r="G4302" s="25">
        <v>7</v>
      </c>
      <c r="H4302" s="26"/>
      <c r="I4302" s="27"/>
    </row>
    <row r="4303" spans="1:9" ht="15.75" thickBot="1" x14ac:dyDescent="0.3">
      <c r="A4303" s="43" t="s">
        <v>9732</v>
      </c>
      <c r="B4303" s="21" t="s">
        <v>9733</v>
      </c>
      <c r="C4303" s="21" t="s">
        <v>22682</v>
      </c>
      <c r="D4303" s="22">
        <v>46034</v>
      </c>
      <c r="E4303" s="23" t="s">
        <v>22658</v>
      </c>
      <c r="F4303" s="24" t="s">
        <v>22657</v>
      </c>
      <c r="G4303" s="25">
        <v>4</v>
      </c>
      <c r="H4303" s="29"/>
      <c r="I4303" s="30"/>
    </row>
    <row r="4304" spans="1:9" ht="15.75" thickBot="1" x14ac:dyDescent="0.3">
      <c r="A4304" s="43" t="s">
        <v>9734</v>
      </c>
      <c r="B4304" s="21" t="s">
        <v>9735</v>
      </c>
      <c r="C4304" s="21" t="s">
        <v>22682</v>
      </c>
      <c r="D4304" s="22">
        <v>46034</v>
      </c>
      <c r="E4304" s="23" t="s">
        <v>22658</v>
      </c>
      <c r="F4304" s="24" t="s">
        <v>22657</v>
      </c>
      <c r="G4304" s="25">
        <v>4</v>
      </c>
      <c r="H4304" s="26"/>
      <c r="I4304" s="27"/>
    </row>
    <row r="4305" spans="1:9" ht="15.75" thickBot="1" x14ac:dyDescent="0.3">
      <c r="A4305" s="43" t="s">
        <v>9736</v>
      </c>
      <c r="B4305" s="21" t="s">
        <v>9737</v>
      </c>
      <c r="C4305" s="21" t="s">
        <v>22682</v>
      </c>
      <c r="D4305" s="22">
        <v>46034</v>
      </c>
      <c r="E4305" s="23" t="s">
        <v>22658</v>
      </c>
      <c r="F4305" s="24" t="s">
        <v>22657</v>
      </c>
      <c r="G4305" s="25">
        <v>4</v>
      </c>
      <c r="H4305" s="29"/>
      <c r="I4305" s="30"/>
    </row>
    <row r="4306" spans="1:9" ht="15.75" thickBot="1" x14ac:dyDescent="0.3">
      <c r="A4306" s="43" t="s">
        <v>9738</v>
      </c>
      <c r="B4306" s="21" t="s">
        <v>9739</v>
      </c>
      <c r="C4306" s="21" t="s">
        <v>22682</v>
      </c>
      <c r="D4306" s="22">
        <v>46034</v>
      </c>
      <c r="E4306" s="23" t="s">
        <v>22658</v>
      </c>
      <c r="F4306" s="24" t="s">
        <v>22657</v>
      </c>
      <c r="G4306" s="25">
        <v>4</v>
      </c>
      <c r="H4306" s="26"/>
      <c r="I4306" s="27"/>
    </row>
    <row r="4307" spans="1:9" ht="15.75" thickBot="1" x14ac:dyDescent="0.3">
      <c r="A4307" s="43" t="s">
        <v>9740</v>
      </c>
      <c r="B4307" s="21" t="s">
        <v>9741</v>
      </c>
      <c r="C4307" s="21" t="s">
        <v>22655</v>
      </c>
      <c r="D4307" s="22">
        <v>46034</v>
      </c>
      <c r="E4307" s="23" t="s">
        <v>22656</v>
      </c>
      <c r="F4307" s="24" t="s">
        <v>22657</v>
      </c>
      <c r="G4307" s="25">
        <v>4</v>
      </c>
      <c r="H4307" s="29"/>
      <c r="I4307" s="30"/>
    </row>
    <row r="4308" spans="1:9" ht="15.75" thickBot="1" x14ac:dyDescent="0.3">
      <c r="A4308" s="43" t="s">
        <v>9742</v>
      </c>
      <c r="B4308" s="21" t="s">
        <v>9743</v>
      </c>
      <c r="C4308" s="21" t="s">
        <v>22655</v>
      </c>
      <c r="D4308" s="22">
        <v>46034</v>
      </c>
      <c r="E4308" s="23" t="s">
        <v>22656</v>
      </c>
      <c r="F4308" s="24" t="s">
        <v>22657</v>
      </c>
      <c r="G4308" s="25">
        <v>4</v>
      </c>
      <c r="H4308" s="26"/>
      <c r="I4308" s="27"/>
    </row>
    <row r="4309" spans="1:9" ht="15.75" thickBot="1" x14ac:dyDescent="0.3">
      <c r="A4309" s="43" t="s">
        <v>9744</v>
      </c>
      <c r="B4309" s="21" t="s">
        <v>9745</v>
      </c>
      <c r="C4309" s="21" t="s">
        <v>22655</v>
      </c>
      <c r="D4309" s="22">
        <v>46034</v>
      </c>
      <c r="E4309" s="23" t="s">
        <v>22656</v>
      </c>
      <c r="F4309" s="24" t="s">
        <v>22657</v>
      </c>
      <c r="G4309" s="25">
        <v>4</v>
      </c>
      <c r="H4309" s="29"/>
      <c r="I4309" s="30"/>
    </row>
    <row r="4310" spans="1:9" ht="15.75" thickBot="1" x14ac:dyDescent="0.3">
      <c r="A4310" s="43" t="s">
        <v>801</v>
      </c>
      <c r="B4310" s="21" t="s">
        <v>802</v>
      </c>
      <c r="C4310" s="21" t="s">
        <v>22655</v>
      </c>
      <c r="D4310" s="31" t="s">
        <v>22688</v>
      </c>
      <c r="E4310" s="23" t="s">
        <v>22661</v>
      </c>
      <c r="F4310" s="24" t="s">
        <v>22657</v>
      </c>
      <c r="G4310" s="25">
        <v>38</v>
      </c>
      <c r="H4310" s="26"/>
      <c r="I4310" s="27"/>
    </row>
    <row r="4311" spans="1:9" ht="15.75" thickBot="1" x14ac:dyDescent="0.3">
      <c r="A4311" s="43" t="s">
        <v>9746</v>
      </c>
      <c r="B4311" s="21" t="s">
        <v>9747</v>
      </c>
      <c r="C4311" s="21" t="s">
        <v>22655</v>
      </c>
      <c r="D4311" s="22">
        <v>46042</v>
      </c>
      <c r="E4311" s="23" t="s">
        <v>22656</v>
      </c>
      <c r="F4311" s="24" t="s">
        <v>22657</v>
      </c>
      <c r="G4311" s="25">
        <v>7</v>
      </c>
      <c r="H4311" s="29"/>
      <c r="I4311" s="30"/>
    </row>
    <row r="4312" spans="1:9" ht="15.75" thickBot="1" x14ac:dyDescent="0.3">
      <c r="A4312" s="43" t="s">
        <v>9748</v>
      </c>
      <c r="B4312" s="21" t="s">
        <v>9749</v>
      </c>
      <c r="C4312" s="21" t="s">
        <v>22655</v>
      </c>
      <c r="D4312" s="31" t="s">
        <v>22683</v>
      </c>
      <c r="E4312" s="23" t="s">
        <v>22661</v>
      </c>
      <c r="F4312" s="24" t="s">
        <v>22657</v>
      </c>
      <c r="G4312" s="25">
        <v>34</v>
      </c>
      <c r="H4312" s="26"/>
      <c r="I4312" s="27"/>
    </row>
    <row r="4313" spans="1:9" ht="15.75" thickBot="1" x14ac:dyDescent="0.3">
      <c r="A4313" s="43" t="s">
        <v>9750</v>
      </c>
      <c r="B4313" s="21" t="s">
        <v>9751</v>
      </c>
      <c r="C4313" s="21" t="s">
        <v>22655</v>
      </c>
      <c r="D4313" s="31" t="s">
        <v>22683</v>
      </c>
      <c r="E4313" s="23" t="s">
        <v>22656</v>
      </c>
      <c r="F4313" s="24" t="s">
        <v>22657</v>
      </c>
      <c r="G4313" s="25">
        <v>34</v>
      </c>
      <c r="H4313" s="29"/>
      <c r="I4313" s="30"/>
    </row>
    <row r="4314" spans="1:9" ht="15.75" thickBot="1" x14ac:dyDescent="0.3">
      <c r="A4314" s="43" t="s">
        <v>9752</v>
      </c>
      <c r="B4314" s="21" t="s">
        <v>9753</v>
      </c>
      <c r="C4314" s="21" t="s">
        <v>22655</v>
      </c>
      <c r="D4314" s="22">
        <v>46042</v>
      </c>
      <c r="E4314" s="23" t="s">
        <v>22656</v>
      </c>
      <c r="F4314" s="24" t="s">
        <v>22657</v>
      </c>
      <c r="G4314" s="25">
        <v>7</v>
      </c>
      <c r="H4314" s="26"/>
      <c r="I4314" s="27"/>
    </row>
    <row r="4315" spans="1:9" ht="15.75" thickBot="1" x14ac:dyDescent="0.3">
      <c r="A4315" s="43" t="s">
        <v>9754</v>
      </c>
      <c r="B4315" s="21" t="s">
        <v>9755</v>
      </c>
      <c r="C4315" s="21" t="s">
        <v>22655</v>
      </c>
      <c r="D4315" s="22">
        <v>46042</v>
      </c>
      <c r="E4315" s="23" t="s">
        <v>22661</v>
      </c>
      <c r="F4315" s="24" t="s">
        <v>22657</v>
      </c>
      <c r="G4315" s="25">
        <v>20</v>
      </c>
      <c r="H4315" s="32">
        <v>20</v>
      </c>
      <c r="I4315" s="33">
        <v>40</v>
      </c>
    </row>
    <row r="4316" spans="1:9" ht="15.75" thickBot="1" x14ac:dyDescent="0.3">
      <c r="A4316" s="43" t="s">
        <v>9756</v>
      </c>
      <c r="B4316" s="21" t="s">
        <v>9757</v>
      </c>
      <c r="C4316" s="21" t="s">
        <v>22655</v>
      </c>
      <c r="D4316" s="22">
        <v>46042</v>
      </c>
      <c r="E4316" s="23" t="s">
        <v>22656</v>
      </c>
      <c r="F4316" s="24" t="s">
        <v>22657</v>
      </c>
      <c r="G4316" s="25">
        <v>7</v>
      </c>
      <c r="H4316" s="26"/>
      <c r="I4316" s="27"/>
    </row>
    <row r="4317" spans="1:9" ht="15.75" thickBot="1" x14ac:dyDescent="0.3">
      <c r="A4317" s="43" t="s">
        <v>9758</v>
      </c>
      <c r="B4317" s="21" t="s">
        <v>9759</v>
      </c>
      <c r="C4317" s="21" t="s">
        <v>22655</v>
      </c>
      <c r="D4317" s="22">
        <v>46042</v>
      </c>
      <c r="E4317" s="23" t="s">
        <v>22656</v>
      </c>
      <c r="F4317" s="24" t="s">
        <v>22657</v>
      </c>
      <c r="G4317" s="25">
        <v>7</v>
      </c>
      <c r="H4317" s="29"/>
      <c r="I4317" s="30"/>
    </row>
    <row r="4318" spans="1:9" ht="15.75" thickBot="1" x14ac:dyDescent="0.3">
      <c r="A4318" s="43" t="s">
        <v>9760</v>
      </c>
      <c r="B4318" s="21" t="s">
        <v>9761</v>
      </c>
      <c r="C4318" s="21" t="s">
        <v>22655</v>
      </c>
      <c r="D4318" s="22">
        <v>46042</v>
      </c>
      <c r="E4318" s="23" t="s">
        <v>22656</v>
      </c>
      <c r="F4318" s="24" t="s">
        <v>22657</v>
      </c>
      <c r="G4318" s="25">
        <v>7</v>
      </c>
      <c r="H4318" s="26"/>
      <c r="I4318" s="27"/>
    </row>
    <row r="4319" spans="1:9" ht="15.75" thickBot="1" x14ac:dyDescent="0.3">
      <c r="A4319" s="43" t="s">
        <v>531</v>
      </c>
      <c r="B4319" s="21" t="s">
        <v>532</v>
      </c>
      <c r="C4319" s="21" t="s">
        <v>22655</v>
      </c>
      <c r="D4319" s="22">
        <v>46042</v>
      </c>
      <c r="E4319" s="23" t="s">
        <v>22661</v>
      </c>
      <c r="F4319" s="24" t="s">
        <v>22657</v>
      </c>
      <c r="G4319" s="25">
        <v>15</v>
      </c>
      <c r="H4319" s="29"/>
      <c r="I4319" s="30"/>
    </row>
    <row r="4320" spans="1:9" ht="15.75" thickBot="1" x14ac:dyDescent="0.3">
      <c r="A4320" s="43" t="s">
        <v>709</v>
      </c>
      <c r="B4320" s="21" t="s">
        <v>710</v>
      </c>
      <c r="C4320" s="21" t="s">
        <v>22655</v>
      </c>
      <c r="D4320" s="22">
        <v>46042</v>
      </c>
      <c r="E4320" s="23" t="s">
        <v>22661</v>
      </c>
      <c r="F4320" s="24" t="s">
        <v>22657</v>
      </c>
      <c r="G4320" s="25">
        <v>7</v>
      </c>
      <c r="H4320" s="26"/>
      <c r="I4320" s="27"/>
    </row>
    <row r="4321" spans="1:9" ht="15.75" thickBot="1" x14ac:dyDescent="0.3">
      <c r="A4321" s="43" t="s">
        <v>341</v>
      </c>
      <c r="B4321" s="21" t="s">
        <v>342</v>
      </c>
      <c r="C4321" s="21" t="s">
        <v>22655</v>
      </c>
      <c r="D4321" s="22">
        <v>46042</v>
      </c>
      <c r="E4321" s="23" t="s">
        <v>22661</v>
      </c>
      <c r="F4321" s="24" t="s">
        <v>22657</v>
      </c>
      <c r="G4321" s="25">
        <v>12</v>
      </c>
      <c r="H4321" s="32">
        <v>12</v>
      </c>
      <c r="I4321" s="33">
        <v>20</v>
      </c>
    </row>
    <row r="4322" spans="1:9" ht="15.75" thickBot="1" x14ac:dyDescent="0.3">
      <c r="A4322" s="43" t="s">
        <v>9762</v>
      </c>
      <c r="B4322" s="21" t="s">
        <v>9763</v>
      </c>
      <c r="C4322" s="21" t="s">
        <v>22655</v>
      </c>
      <c r="D4322" s="22">
        <v>46034</v>
      </c>
      <c r="E4322" s="23" t="s">
        <v>22656</v>
      </c>
      <c r="F4322" s="24" t="s">
        <v>22657</v>
      </c>
      <c r="G4322" s="25">
        <v>4</v>
      </c>
      <c r="H4322" s="26"/>
      <c r="I4322" s="27"/>
    </row>
    <row r="4323" spans="1:9" ht="15.75" thickBot="1" x14ac:dyDescent="0.3">
      <c r="A4323" s="43" t="s">
        <v>9764</v>
      </c>
      <c r="B4323" s="21" t="s">
        <v>9765</v>
      </c>
      <c r="C4323" s="21" t="s">
        <v>22655</v>
      </c>
      <c r="D4323" s="22">
        <v>46034</v>
      </c>
      <c r="E4323" s="23" t="s">
        <v>22656</v>
      </c>
      <c r="F4323" s="24" t="s">
        <v>22657</v>
      </c>
      <c r="G4323" s="25">
        <v>4</v>
      </c>
      <c r="H4323" s="29"/>
      <c r="I4323" s="30"/>
    </row>
    <row r="4324" spans="1:9" ht="15.75" thickBot="1" x14ac:dyDescent="0.3">
      <c r="A4324" s="43" t="s">
        <v>9766</v>
      </c>
      <c r="B4324" s="21" t="s">
        <v>9767</v>
      </c>
      <c r="C4324" s="21" t="s">
        <v>22655</v>
      </c>
      <c r="D4324" s="22">
        <v>46034</v>
      </c>
      <c r="E4324" s="23" t="s">
        <v>22656</v>
      </c>
      <c r="F4324" s="24" t="s">
        <v>22657</v>
      </c>
      <c r="G4324" s="25">
        <v>4</v>
      </c>
      <c r="H4324" s="26"/>
      <c r="I4324" s="27"/>
    </row>
    <row r="4325" spans="1:9" ht="15.75" thickBot="1" x14ac:dyDescent="0.3">
      <c r="A4325" s="43" t="s">
        <v>9768</v>
      </c>
      <c r="B4325" s="21" t="s">
        <v>9769</v>
      </c>
      <c r="C4325" s="21" t="s">
        <v>22655</v>
      </c>
      <c r="D4325" s="22">
        <v>46042</v>
      </c>
      <c r="E4325" s="23" t="s">
        <v>22656</v>
      </c>
      <c r="F4325" s="24" t="s">
        <v>22657</v>
      </c>
      <c r="G4325" s="25">
        <v>7</v>
      </c>
      <c r="H4325" s="29"/>
      <c r="I4325" s="30"/>
    </row>
    <row r="4326" spans="1:9" ht="15.75" thickBot="1" x14ac:dyDescent="0.3">
      <c r="A4326" s="43" t="s">
        <v>9770</v>
      </c>
      <c r="B4326" s="21" t="s">
        <v>9771</v>
      </c>
      <c r="C4326" s="21" t="s">
        <v>22655</v>
      </c>
      <c r="D4326" s="22">
        <v>46042</v>
      </c>
      <c r="E4326" s="23" t="s">
        <v>22656</v>
      </c>
      <c r="F4326" s="24" t="s">
        <v>22657</v>
      </c>
      <c r="G4326" s="25">
        <v>20</v>
      </c>
      <c r="H4326" s="34">
        <v>20</v>
      </c>
      <c r="I4326" s="35">
        <v>40</v>
      </c>
    </row>
    <row r="4327" spans="1:9" ht="15.75" thickBot="1" x14ac:dyDescent="0.3">
      <c r="A4327" s="43" t="s">
        <v>9772</v>
      </c>
      <c r="B4327" s="21" t="s">
        <v>9773</v>
      </c>
      <c r="C4327" s="21" t="s">
        <v>22655</v>
      </c>
      <c r="D4327" s="22">
        <v>46042</v>
      </c>
      <c r="E4327" s="23" t="s">
        <v>22656</v>
      </c>
      <c r="F4327" s="24" t="s">
        <v>22657</v>
      </c>
      <c r="G4327" s="25">
        <v>7</v>
      </c>
      <c r="H4327" s="29"/>
      <c r="I4327" s="30"/>
    </row>
    <row r="4328" spans="1:9" ht="15.75" thickBot="1" x14ac:dyDescent="0.3">
      <c r="A4328" s="43" t="s">
        <v>223</v>
      </c>
      <c r="B4328" s="21" t="s">
        <v>224</v>
      </c>
      <c r="C4328" s="21" t="s">
        <v>22655</v>
      </c>
      <c r="D4328" s="22">
        <v>46042</v>
      </c>
      <c r="E4328" s="23" t="s">
        <v>22661</v>
      </c>
      <c r="F4328" s="24" t="s">
        <v>22657</v>
      </c>
      <c r="G4328" s="25">
        <v>16</v>
      </c>
      <c r="H4328" s="26"/>
      <c r="I4328" s="27"/>
    </row>
    <row r="4329" spans="1:9" ht="15.75" thickBot="1" x14ac:dyDescent="0.3">
      <c r="A4329" s="43" t="s">
        <v>237</v>
      </c>
      <c r="B4329" s="21" t="s">
        <v>238</v>
      </c>
      <c r="C4329" s="21" t="s">
        <v>22655</v>
      </c>
      <c r="D4329" s="22">
        <v>46042</v>
      </c>
      <c r="E4329" s="23" t="s">
        <v>22665</v>
      </c>
      <c r="F4329" s="24" t="s">
        <v>22657</v>
      </c>
      <c r="G4329" s="25">
        <v>20</v>
      </c>
      <c r="H4329" s="32">
        <v>20</v>
      </c>
      <c r="I4329" s="33">
        <v>40</v>
      </c>
    </row>
    <row r="4330" spans="1:9" ht="15.75" thickBot="1" x14ac:dyDescent="0.3">
      <c r="A4330" s="43" t="s">
        <v>593</v>
      </c>
      <c r="B4330" s="21" t="s">
        <v>594</v>
      </c>
      <c r="C4330" s="21" t="s">
        <v>22655</v>
      </c>
      <c r="D4330" s="22">
        <v>46042</v>
      </c>
      <c r="E4330" s="23" t="s">
        <v>22661</v>
      </c>
      <c r="F4330" s="24" t="s">
        <v>22657</v>
      </c>
      <c r="G4330" s="25">
        <v>20</v>
      </c>
      <c r="H4330" s="34">
        <v>20</v>
      </c>
      <c r="I4330" s="35">
        <v>30</v>
      </c>
    </row>
    <row r="4331" spans="1:9" ht="15.75" thickBot="1" x14ac:dyDescent="0.3">
      <c r="A4331" s="43" t="s">
        <v>9774</v>
      </c>
      <c r="B4331" s="21" t="s">
        <v>9775</v>
      </c>
      <c r="C4331" s="21" t="s">
        <v>22655</v>
      </c>
      <c r="D4331" s="22">
        <v>46034</v>
      </c>
      <c r="E4331" s="23" t="s">
        <v>22656</v>
      </c>
      <c r="F4331" s="24" t="s">
        <v>22657</v>
      </c>
      <c r="G4331" s="25">
        <v>4</v>
      </c>
      <c r="H4331" s="29"/>
      <c r="I4331" s="30"/>
    </row>
    <row r="4332" spans="1:9" ht="15.75" thickBot="1" x14ac:dyDescent="0.3">
      <c r="A4332" s="43" t="s">
        <v>9776</v>
      </c>
      <c r="B4332" s="21" t="s">
        <v>9777</v>
      </c>
      <c r="C4332" s="21" t="s">
        <v>22655</v>
      </c>
      <c r="D4332" s="22">
        <v>46034</v>
      </c>
      <c r="E4332" s="23" t="s">
        <v>22658</v>
      </c>
      <c r="F4332" s="24" t="s">
        <v>22657</v>
      </c>
      <c r="G4332" s="25">
        <v>4</v>
      </c>
      <c r="H4332" s="26"/>
      <c r="I4332" s="27"/>
    </row>
    <row r="4333" spans="1:9" ht="15.75" thickBot="1" x14ac:dyDescent="0.3">
      <c r="A4333" s="43" t="s">
        <v>9778</v>
      </c>
      <c r="B4333" s="21" t="s">
        <v>9779</v>
      </c>
      <c r="C4333" s="21" t="s">
        <v>22655</v>
      </c>
      <c r="D4333" s="22">
        <v>46034</v>
      </c>
      <c r="E4333" s="23" t="s">
        <v>22658</v>
      </c>
      <c r="F4333" s="24" t="s">
        <v>22657</v>
      </c>
      <c r="G4333" s="25">
        <v>4</v>
      </c>
      <c r="H4333" s="29"/>
      <c r="I4333" s="30"/>
    </row>
    <row r="4334" spans="1:9" ht="15.75" thickBot="1" x14ac:dyDescent="0.3">
      <c r="A4334" s="43" t="s">
        <v>9780</v>
      </c>
      <c r="B4334" s="21" t="s">
        <v>9781</v>
      </c>
      <c r="C4334" s="21" t="s">
        <v>22655</v>
      </c>
      <c r="D4334" s="22">
        <v>46034</v>
      </c>
      <c r="E4334" s="23" t="s">
        <v>22658</v>
      </c>
      <c r="F4334" s="24" t="s">
        <v>22657</v>
      </c>
      <c r="G4334" s="25">
        <v>4</v>
      </c>
      <c r="H4334" s="26"/>
      <c r="I4334" s="27"/>
    </row>
    <row r="4335" spans="1:9" ht="15.75" thickBot="1" x14ac:dyDescent="0.3">
      <c r="A4335" s="43" t="s">
        <v>9782</v>
      </c>
      <c r="B4335" s="21" t="s">
        <v>9783</v>
      </c>
      <c r="C4335" s="21" t="s">
        <v>22655</v>
      </c>
      <c r="D4335" s="22">
        <v>46034</v>
      </c>
      <c r="E4335" s="23" t="s">
        <v>22656</v>
      </c>
      <c r="F4335" s="24" t="s">
        <v>22657</v>
      </c>
      <c r="G4335" s="25">
        <v>4</v>
      </c>
      <c r="H4335" s="29"/>
      <c r="I4335" s="30"/>
    </row>
    <row r="4336" spans="1:9" ht="15.75" thickBot="1" x14ac:dyDescent="0.3">
      <c r="A4336" s="43" t="s">
        <v>9784</v>
      </c>
      <c r="B4336" s="21" t="s">
        <v>9785</v>
      </c>
      <c r="C4336" s="21" t="s">
        <v>22655</v>
      </c>
      <c r="D4336" s="22">
        <v>46034</v>
      </c>
      <c r="E4336" s="23" t="s">
        <v>22656</v>
      </c>
      <c r="F4336" s="24" t="s">
        <v>22657</v>
      </c>
      <c r="G4336" s="25">
        <v>4</v>
      </c>
      <c r="H4336" s="26"/>
      <c r="I4336" s="27"/>
    </row>
    <row r="4337" spans="1:9" ht="15.75" thickBot="1" x14ac:dyDescent="0.3">
      <c r="A4337" s="43" t="s">
        <v>9786</v>
      </c>
      <c r="B4337" s="21" t="s">
        <v>9787</v>
      </c>
      <c r="C4337" s="21" t="s">
        <v>22655</v>
      </c>
      <c r="D4337" s="22">
        <v>46034</v>
      </c>
      <c r="E4337" s="23" t="s">
        <v>22656</v>
      </c>
      <c r="F4337" s="24" t="s">
        <v>22657</v>
      </c>
      <c r="G4337" s="25">
        <v>4</v>
      </c>
      <c r="H4337" s="29"/>
      <c r="I4337" s="30"/>
    </row>
    <row r="4338" spans="1:9" ht="15.75" thickBot="1" x14ac:dyDescent="0.3">
      <c r="A4338" s="43" t="s">
        <v>9788</v>
      </c>
      <c r="B4338" s="21" t="s">
        <v>9789</v>
      </c>
      <c r="C4338" s="21" t="s">
        <v>22655</v>
      </c>
      <c r="D4338" s="22">
        <v>46042</v>
      </c>
      <c r="E4338" s="23" t="s">
        <v>22656</v>
      </c>
      <c r="F4338" s="24" t="s">
        <v>22657</v>
      </c>
      <c r="G4338" s="25">
        <v>7</v>
      </c>
      <c r="H4338" s="26"/>
      <c r="I4338" s="27"/>
    </row>
    <row r="4339" spans="1:9" ht="15.75" thickBot="1" x14ac:dyDescent="0.3">
      <c r="A4339" s="43" t="s">
        <v>9790</v>
      </c>
      <c r="B4339" s="21" t="s">
        <v>9791</v>
      </c>
      <c r="C4339" s="21" t="s">
        <v>22655</v>
      </c>
      <c r="D4339" s="22">
        <v>46034</v>
      </c>
      <c r="E4339" s="23" t="s">
        <v>22656</v>
      </c>
      <c r="F4339" s="24" t="s">
        <v>22657</v>
      </c>
      <c r="G4339" s="25">
        <v>4</v>
      </c>
      <c r="H4339" s="29"/>
      <c r="I4339" s="30"/>
    </row>
    <row r="4340" spans="1:9" ht="15.75" thickBot="1" x14ac:dyDescent="0.3">
      <c r="A4340" s="43" t="s">
        <v>9792</v>
      </c>
      <c r="B4340" s="21" t="s">
        <v>9793</v>
      </c>
      <c r="C4340" s="21" t="s">
        <v>22655</v>
      </c>
      <c r="D4340" s="22">
        <v>46042</v>
      </c>
      <c r="E4340" s="23" t="s">
        <v>22661</v>
      </c>
      <c r="F4340" s="24" t="s">
        <v>22657</v>
      </c>
      <c r="G4340" s="25">
        <v>19</v>
      </c>
      <c r="H4340" s="26"/>
      <c r="I4340" s="27"/>
    </row>
    <row r="4341" spans="1:9" ht="15.75" thickBot="1" x14ac:dyDescent="0.3">
      <c r="A4341" s="43" t="s">
        <v>9794</v>
      </c>
      <c r="B4341" s="21" t="s">
        <v>9795</v>
      </c>
      <c r="C4341" s="21" t="s">
        <v>22655</v>
      </c>
      <c r="D4341" s="22">
        <v>46042</v>
      </c>
      <c r="E4341" s="23" t="s">
        <v>22656</v>
      </c>
      <c r="F4341" s="24" t="s">
        <v>22657</v>
      </c>
      <c r="G4341" s="25">
        <v>12</v>
      </c>
      <c r="H4341" s="32">
        <v>12</v>
      </c>
      <c r="I4341" s="33">
        <v>20</v>
      </c>
    </row>
    <row r="4342" spans="1:9" ht="15.75" thickBot="1" x14ac:dyDescent="0.3">
      <c r="A4342" s="43" t="s">
        <v>9796</v>
      </c>
      <c r="B4342" s="21" t="s">
        <v>9797</v>
      </c>
      <c r="C4342" s="21" t="s">
        <v>22655</v>
      </c>
      <c r="D4342" s="22">
        <v>46042</v>
      </c>
      <c r="E4342" s="23" t="s">
        <v>22661</v>
      </c>
      <c r="F4342" s="24" t="s">
        <v>22657</v>
      </c>
      <c r="G4342" s="25">
        <v>20</v>
      </c>
      <c r="H4342" s="34">
        <v>20</v>
      </c>
      <c r="I4342" s="35">
        <v>40</v>
      </c>
    </row>
    <row r="4343" spans="1:9" ht="15.75" thickBot="1" x14ac:dyDescent="0.3">
      <c r="A4343" s="43" t="s">
        <v>9798</v>
      </c>
      <c r="B4343" s="21" t="s">
        <v>9799</v>
      </c>
      <c r="C4343" s="21" t="s">
        <v>22655</v>
      </c>
      <c r="D4343" s="22">
        <v>46042</v>
      </c>
      <c r="E4343" s="23" t="s">
        <v>22656</v>
      </c>
      <c r="F4343" s="24" t="s">
        <v>22657</v>
      </c>
      <c r="G4343" s="25">
        <v>7</v>
      </c>
      <c r="H4343" s="29"/>
      <c r="I4343" s="30"/>
    </row>
    <row r="4344" spans="1:9" ht="15.75" thickBot="1" x14ac:dyDescent="0.3">
      <c r="A4344" s="43" t="s">
        <v>22557</v>
      </c>
      <c r="B4344" s="21" t="s">
        <v>22558</v>
      </c>
      <c r="C4344" s="36" t="e">
        <v>#N/A</v>
      </c>
      <c r="D4344" s="37" t="e">
        <v>#N/A</v>
      </c>
      <c r="E4344" s="23" t="e">
        <v>#N/A</v>
      </c>
      <c r="F4344" s="24" t="s">
        <v>22657</v>
      </c>
      <c r="G4344" s="25" t="e">
        <v>#N/A</v>
      </c>
      <c r="H4344" s="26"/>
      <c r="I4344" s="27"/>
    </row>
    <row r="4345" spans="1:9" ht="15.75" thickBot="1" x14ac:dyDescent="0.3">
      <c r="A4345" s="43" t="s">
        <v>9800</v>
      </c>
      <c r="B4345" s="21" t="s">
        <v>9801</v>
      </c>
      <c r="C4345" s="21" t="s">
        <v>22655</v>
      </c>
      <c r="D4345" s="31" t="s">
        <v>22688</v>
      </c>
      <c r="E4345" s="23" t="s">
        <v>22656</v>
      </c>
      <c r="F4345" s="24" t="s">
        <v>22657</v>
      </c>
      <c r="G4345" s="25">
        <v>14</v>
      </c>
      <c r="H4345" s="29"/>
      <c r="I4345" s="30"/>
    </row>
    <row r="4346" spans="1:9" ht="15.75" thickBot="1" x14ac:dyDescent="0.3">
      <c r="A4346" s="43" t="s">
        <v>711</v>
      </c>
      <c r="B4346" s="21" t="s">
        <v>712</v>
      </c>
      <c r="C4346" s="21" t="s">
        <v>22655</v>
      </c>
      <c r="D4346" s="31" t="s">
        <v>22688</v>
      </c>
      <c r="E4346" s="23" t="s">
        <v>22661</v>
      </c>
      <c r="F4346" s="24" t="s">
        <v>22657</v>
      </c>
      <c r="G4346" s="25">
        <v>26</v>
      </c>
      <c r="H4346" s="26"/>
      <c r="I4346" s="27"/>
    </row>
    <row r="4347" spans="1:9" ht="15.75" thickBot="1" x14ac:dyDescent="0.3">
      <c r="A4347" s="43" t="s">
        <v>613</v>
      </c>
      <c r="B4347" s="21" t="s">
        <v>614</v>
      </c>
      <c r="C4347" s="21" t="s">
        <v>22655</v>
      </c>
      <c r="D4347" s="31" t="s">
        <v>22688</v>
      </c>
      <c r="E4347" s="23" t="s">
        <v>22661</v>
      </c>
      <c r="F4347" s="24" t="s">
        <v>22657</v>
      </c>
      <c r="G4347" s="25">
        <v>16</v>
      </c>
      <c r="H4347" s="29"/>
      <c r="I4347" s="30"/>
    </row>
    <row r="4348" spans="1:9" ht="15.75" thickBot="1" x14ac:dyDescent="0.3">
      <c r="A4348" s="43" t="s">
        <v>1359</v>
      </c>
      <c r="B4348" s="21" t="s">
        <v>1360</v>
      </c>
      <c r="C4348" s="21" t="s">
        <v>22655</v>
      </c>
      <c r="D4348" s="22">
        <v>46046</v>
      </c>
      <c r="E4348" s="23" t="s">
        <v>22661</v>
      </c>
      <c r="F4348" s="24" t="s">
        <v>22657</v>
      </c>
      <c r="G4348" s="25">
        <v>8</v>
      </c>
      <c r="H4348" s="26"/>
      <c r="I4348" s="27"/>
    </row>
    <row r="4349" spans="1:9" ht="15.75" thickBot="1" x14ac:dyDescent="0.3">
      <c r="A4349" s="43" t="s">
        <v>9802</v>
      </c>
      <c r="B4349" s="21" t="s">
        <v>9803</v>
      </c>
      <c r="C4349" s="21" t="s">
        <v>22655</v>
      </c>
      <c r="D4349" s="22">
        <v>46028</v>
      </c>
      <c r="E4349" s="23" t="s">
        <v>22656</v>
      </c>
      <c r="F4349" s="24" t="s">
        <v>22657</v>
      </c>
      <c r="G4349" s="25">
        <v>2</v>
      </c>
      <c r="H4349" s="29"/>
      <c r="I4349" s="30"/>
    </row>
    <row r="4350" spans="1:9" ht="15.75" thickBot="1" x14ac:dyDescent="0.3">
      <c r="A4350" s="43" t="s">
        <v>205</v>
      </c>
      <c r="B4350" s="21" t="s">
        <v>206</v>
      </c>
      <c r="C4350" s="21" t="s">
        <v>22655</v>
      </c>
      <c r="D4350" s="22">
        <v>46042</v>
      </c>
      <c r="E4350" s="23" t="s">
        <v>22661</v>
      </c>
      <c r="F4350" s="24" t="s">
        <v>22657</v>
      </c>
      <c r="G4350" s="25">
        <v>72</v>
      </c>
      <c r="H4350" s="34">
        <v>72</v>
      </c>
      <c r="I4350" s="35">
        <v>120</v>
      </c>
    </row>
    <row r="4351" spans="1:9" ht="15.75" thickBot="1" x14ac:dyDescent="0.3">
      <c r="A4351" s="43" t="s">
        <v>833</v>
      </c>
      <c r="B4351" s="21" t="s">
        <v>834</v>
      </c>
      <c r="C4351" s="21" t="s">
        <v>22655</v>
      </c>
      <c r="D4351" s="22">
        <v>46028</v>
      </c>
      <c r="E4351" s="23" t="s">
        <v>22656</v>
      </c>
      <c r="F4351" s="24" t="s">
        <v>22657</v>
      </c>
      <c r="G4351" s="25">
        <v>3</v>
      </c>
      <c r="H4351" s="29"/>
      <c r="I4351" s="30"/>
    </row>
    <row r="4352" spans="1:9" ht="15.75" thickBot="1" x14ac:dyDescent="0.3">
      <c r="A4352" s="43" t="s">
        <v>609</v>
      </c>
      <c r="B4352" s="21" t="s">
        <v>610</v>
      </c>
      <c r="C4352" s="21" t="s">
        <v>22655</v>
      </c>
      <c r="D4352" s="22">
        <v>46042</v>
      </c>
      <c r="E4352" s="23" t="s">
        <v>22661</v>
      </c>
      <c r="F4352" s="24" t="s">
        <v>22657</v>
      </c>
      <c r="G4352" s="25">
        <v>16</v>
      </c>
      <c r="H4352" s="26"/>
      <c r="I4352" s="27"/>
    </row>
    <row r="4353" spans="1:9" ht="15.75" thickBot="1" x14ac:dyDescent="0.3">
      <c r="A4353" s="43" t="s">
        <v>9804</v>
      </c>
      <c r="B4353" s="21" t="s">
        <v>9805</v>
      </c>
      <c r="C4353" s="21" t="s">
        <v>22655</v>
      </c>
      <c r="D4353" s="22">
        <v>46028</v>
      </c>
      <c r="E4353" s="23" t="s">
        <v>22656</v>
      </c>
      <c r="F4353" s="24" t="s">
        <v>22657</v>
      </c>
      <c r="G4353" s="25">
        <v>12</v>
      </c>
      <c r="H4353" s="32">
        <v>12</v>
      </c>
      <c r="I4353" s="33">
        <v>18</v>
      </c>
    </row>
    <row r="4354" spans="1:9" ht="15.75" thickBot="1" x14ac:dyDescent="0.3">
      <c r="A4354" s="43" t="s">
        <v>9806</v>
      </c>
      <c r="B4354" s="21" t="s">
        <v>9807</v>
      </c>
      <c r="C4354" s="21" t="s">
        <v>22655</v>
      </c>
      <c r="D4354" s="22">
        <v>46028</v>
      </c>
      <c r="E4354" s="23" t="s">
        <v>22656</v>
      </c>
      <c r="F4354" s="24" t="s">
        <v>22657</v>
      </c>
      <c r="G4354" s="25">
        <v>2</v>
      </c>
      <c r="H4354" s="26"/>
      <c r="I4354" s="27"/>
    </row>
    <row r="4355" spans="1:9" ht="15.75" thickBot="1" x14ac:dyDescent="0.3">
      <c r="A4355" s="43" t="s">
        <v>9808</v>
      </c>
      <c r="B4355" s="21" t="s">
        <v>9809</v>
      </c>
      <c r="C4355" s="21" t="s">
        <v>22655</v>
      </c>
      <c r="D4355" s="22">
        <v>46042</v>
      </c>
      <c r="E4355" s="23" t="s">
        <v>22656</v>
      </c>
      <c r="F4355" s="24" t="s">
        <v>22657</v>
      </c>
      <c r="G4355" s="25">
        <v>12</v>
      </c>
      <c r="H4355" s="32">
        <v>12</v>
      </c>
      <c r="I4355" s="33">
        <v>20</v>
      </c>
    </row>
    <row r="4356" spans="1:9" ht="15.75" thickBot="1" x14ac:dyDescent="0.3">
      <c r="A4356" s="43" t="s">
        <v>9810</v>
      </c>
      <c r="B4356" s="21" t="s">
        <v>9811</v>
      </c>
      <c r="C4356" s="21" t="s">
        <v>22655</v>
      </c>
      <c r="D4356" s="22">
        <v>46042</v>
      </c>
      <c r="E4356" s="23" t="s">
        <v>22661</v>
      </c>
      <c r="F4356" s="24" t="s">
        <v>22657</v>
      </c>
      <c r="G4356" s="25">
        <v>12</v>
      </c>
      <c r="H4356" s="34">
        <v>12</v>
      </c>
      <c r="I4356" s="35">
        <v>20</v>
      </c>
    </row>
    <row r="4357" spans="1:9" ht="15.75" thickBot="1" x14ac:dyDescent="0.3">
      <c r="A4357" s="43" t="s">
        <v>9812</v>
      </c>
      <c r="B4357" s="21" t="s">
        <v>9813</v>
      </c>
      <c r="C4357" s="21" t="s">
        <v>22655</v>
      </c>
      <c r="D4357" s="22">
        <v>46038</v>
      </c>
      <c r="E4357" s="23" t="s">
        <v>22656</v>
      </c>
      <c r="F4357" s="24" t="s">
        <v>22657</v>
      </c>
      <c r="G4357" s="25">
        <v>6</v>
      </c>
      <c r="H4357" s="29"/>
      <c r="I4357" s="30"/>
    </row>
    <row r="4358" spans="1:9" ht="15.75" thickBot="1" x14ac:dyDescent="0.3">
      <c r="A4358" s="43" t="s">
        <v>9814</v>
      </c>
      <c r="B4358" s="21" t="s">
        <v>9815</v>
      </c>
      <c r="C4358" s="21" t="s">
        <v>22663</v>
      </c>
      <c r="D4358" s="31">
        <v>1</v>
      </c>
      <c r="E4358" s="23" t="s">
        <v>22658</v>
      </c>
      <c r="F4358" s="24" t="s">
        <v>22657</v>
      </c>
      <c r="G4358" s="25">
        <v>4</v>
      </c>
      <c r="H4358" s="26"/>
      <c r="I4358" s="27"/>
    </row>
    <row r="4359" spans="1:9" ht="15.75" thickBot="1" x14ac:dyDescent="0.3">
      <c r="A4359" s="43" t="s">
        <v>9816</v>
      </c>
      <c r="B4359" s="21" t="s">
        <v>9817</v>
      </c>
      <c r="C4359" s="21" t="s">
        <v>22682</v>
      </c>
      <c r="D4359" s="22">
        <v>46034</v>
      </c>
      <c r="E4359" s="23" t="s">
        <v>22658</v>
      </c>
      <c r="F4359" s="24" t="s">
        <v>22657</v>
      </c>
      <c r="G4359" s="25">
        <v>4</v>
      </c>
      <c r="H4359" s="29"/>
      <c r="I4359" s="30"/>
    </row>
    <row r="4360" spans="1:9" ht="15.75" thickBot="1" x14ac:dyDescent="0.3">
      <c r="A4360" s="43" t="s">
        <v>9818</v>
      </c>
      <c r="B4360" s="21" t="s">
        <v>9819</v>
      </c>
      <c r="C4360" s="21" t="s">
        <v>22682</v>
      </c>
      <c r="D4360" s="22">
        <v>46034</v>
      </c>
      <c r="E4360" s="23" t="s">
        <v>22658</v>
      </c>
      <c r="F4360" s="24" t="s">
        <v>22657</v>
      </c>
      <c r="G4360" s="25">
        <v>4</v>
      </c>
      <c r="H4360" s="26"/>
      <c r="I4360" s="27"/>
    </row>
    <row r="4361" spans="1:9" ht="15.75" thickBot="1" x14ac:dyDescent="0.3">
      <c r="A4361" s="43" t="s">
        <v>9820</v>
      </c>
      <c r="B4361" s="21" t="s">
        <v>9821</v>
      </c>
      <c r="C4361" s="21" t="s">
        <v>22682</v>
      </c>
      <c r="D4361" s="22">
        <v>46034</v>
      </c>
      <c r="E4361" s="23" t="s">
        <v>22658</v>
      </c>
      <c r="F4361" s="24" t="s">
        <v>22657</v>
      </c>
      <c r="G4361" s="25">
        <v>4</v>
      </c>
      <c r="H4361" s="29"/>
      <c r="I4361" s="30"/>
    </row>
    <row r="4362" spans="1:9" ht="15.75" thickBot="1" x14ac:dyDescent="0.3">
      <c r="A4362" s="43" t="s">
        <v>9822</v>
      </c>
      <c r="B4362" s="21" t="s">
        <v>9823</v>
      </c>
      <c r="C4362" s="21" t="s">
        <v>22682</v>
      </c>
      <c r="D4362" s="22">
        <v>46034</v>
      </c>
      <c r="E4362" s="23" t="s">
        <v>22658</v>
      </c>
      <c r="F4362" s="24" t="s">
        <v>22657</v>
      </c>
      <c r="G4362" s="25">
        <v>4</v>
      </c>
      <c r="H4362" s="26"/>
      <c r="I4362" s="27"/>
    </row>
    <row r="4363" spans="1:9" ht="15.75" thickBot="1" x14ac:dyDescent="0.3">
      <c r="A4363" s="43" t="s">
        <v>9824</v>
      </c>
      <c r="B4363" s="21" t="s">
        <v>9825</v>
      </c>
      <c r="C4363" s="21" t="s">
        <v>22682</v>
      </c>
      <c r="D4363" s="22">
        <v>46034</v>
      </c>
      <c r="E4363" s="23" t="s">
        <v>22658</v>
      </c>
      <c r="F4363" s="24" t="s">
        <v>22657</v>
      </c>
      <c r="G4363" s="25">
        <v>4</v>
      </c>
      <c r="H4363" s="29"/>
      <c r="I4363" s="30"/>
    </row>
    <row r="4364" spans="1:9" ht="15.75" thickBot="1" x14ac:dyDescent="0.3">
      <c r="A4364" s="43" t="s">
        <v>9826</v>
      </c>
      <c r="B4364" s="21" t="s">
        <v>9827</v>
      </c>
      <c r="C4364" s="21" t="s">
        <v>22682</v>
      </c>
      <c r="D4364" s="22">
        <v>46034</v>
      </c>
      <c r="E4364" s="23" t="s">
        <v>22658</v>
      </c>
      <c r="F4364" s="24" t="s">
        <v>22657</v>
      </c>
      <c r="G4364" s="25">
        <v>4</v>
      </c>
      <c r="H4364" s="26"/>
      <c r="I4364" s="27"/>
    </row>
    <row r="4365" spans="1:9" ht="15.75" thickBot="1" x14ac:dyDescent="0.3">
      <c r="A4365" s="43" t="s">
        <v>9828</v>
      </c>
      <c r="B4365" s="21" t="s">
        <v>9829</v>
      </c>
      <c r="C4365" s="21" t="s">
        <v>22682</v>
      </c>
      <c r="D4365" s="22">
        <v>46034</v>
      </c>
      <c r="E4365" s="23" t="s">
        <v>22656</v>
      </c>
      <c r="F4365" s="24" t="s">
        <v>22657</v>
      </c>
      <c r="G4365" s="25">
        <v>4</v>
      </c>
      <c r="H4365" s="29"/>
      <c r="I4365" s="30"/>
    </row>
    <row r="4366" spans="1:9" ht="15.75" thickBot="1" x14ac:dyDescent="0.3">
      <c r="A4366" s="43" t="s">
        <v>9830</v>
      </c>
      <c r="B4366" s="21" t="s">
        <v>9831</v>
      </c>
      <c r="C4366" s="21" t="s">
        <v>22655</v>
      </c>
      <c r="D4366" s="22">
        <v>46028</v>
      </c>
      <c r="E4366" s="23" t="s">
        <v>22656</v>
      </c>
      <c r="F4366" s="24" t="s">
        <v>22657</v>
      </c>
      <c r="G4366" s="25">
        <v>2</v>
      </c>
      <c r="H4366" s="26"/>
      <c r="I4366" s="27"/>
    </row>
    <row r="4367" spans="1:9" ht="15.75" thickBot="1" x14ac:dyDescent="0.3">
      <c r="A4367" s="43" t="s">
        <v>135</v>
      </c>
      <c r="B4367" s="21" t="s">
        <v>136</v>
      </c>
      <c r="C4367" s="21" t="s">
        <v>22655</v>
      </c>
      <c r="D4367" s="22">
        <v>46028</v>
      </c>
      <c r="E4367" s="23" t="s">
        <v>22656</v>
      </c>
      <c r="F4367" s="24" t="s">
        <v>22657</v>
      </c>
      <c r="G4367" s="25">
        <v>9</v>
      </c>
      <c r="H4367" s="29"/>
      <c r="I4367" s="30"/>
    </row>
    <row r="4368" spans="1:9" ht="15.75" thickBot="1" x14ac:dyDescent="0.3">
      <c r="A4368" s="43" t="s">
        <v>657</v>
      </c>
      <c r="B4368" s="21" t="s">
        <v>9833</v>
      </c>
      <c r="C4368" s="21" t="s">
        <v>22655</v>
      </c>
      <c r="D4368" s="22">
        <v>46040</v>
      </c>
      <c r="E4368" s="23" t="s">
        <v>22661</v>
      </c>
      <c r="F4368" s="24" t="s">
        <v>22657</v>
      </c>
      <c r="G4368" s="25">
        <v>6</v>
      </c>
      <c r="H4368" s="26"/>
      <c r="I4368" s="27"/>
    </row>
    <row r="4369" spans="1:9" ht="15.75" thickBot="1" x14ac:dyDescent="0.3">
      <c r="A4369" s="43" t="s">
        <v>489</v>
      </c>
      <c r="B4369" s="21" t="s">
        <v>490</v>
      </c>
      <c r="C4369" s="21" t="s">
        <v>22655</v>
      </c>
      <c r="D4369" s="22">
        <v>46028</v>
      </c>
      <c r="E4369" s="23" t="s">
        <v>22661</v>
      </c>
      <c r="F4369" s="24" t="s">
        <v>22657</v>
      </c>
      <c r="G4369" s="25">
        <v>18</v>
      </c>
      <c r="H4369" s="32">
        <v>18</v>
      </c>
      <c r="I4369" s="33">
        <v>24</v>
      </c>
    </row>
    <row r="4370" spans="1:9" ht="15.75" thickBot="1" x14ac:dyDescent="0.3">
      <c r="A4370" s="43" t="s">
        <v>9834</v>
      </c>
      <c r="B4370" s="21" t="s">
        <v>9835</v>
      </c>
      <c r="C4370" s="21" t="s">
        <v>22655</v>
      </c>
      <c r="D4370" s="22">
        <v>46028</v>
      </c>
      <c r="E4370" s="23" t="s">
        <v>22658</v>
      </c>
      <c r="F4370" s="24" t="s">
        <v>22657</v>
      </c>
      <c r="G4370" s="25">
        <v>2</v>
      </c>
      <c r="H4370" s="26"/>
      <c r="I4370" s="27"/>
    </row>
    <row r="4371" spans="1:9" ht="15.75" thickBot="1" x14ac:dyDescent="0.3">
      <c r="A4371" s="43" t="s">
        <v>9836</v>
      </c>
      <c r="B4371" s="21" t="s">
        <v>9837</v>
      </c>
      <c r="C4371" s="21" t="s">
        <v>22655</v>
      </c>
      <c r="D4371" s="22">
        <v>46028</v>
      </c>
      <c r="E4371" s="23" t="s">
        <v>22658</v>
      </c>
      <c r="F4371" s="24" t="s">
        <v>22657</v>
      </c>
      <c r="G4371" s="25">
        <v>2</v>
      </c>
      <c r="H4371" s="29"/>
      <c r="I4371" s="30"/>
    </row>
    <row r="4372" spans="1:9" ht="15.75" thickBot="1" x14ac:dyDescent="0.3">
      <c r="A4372" s="43" t="s">
        <v>1163</v>
      </c>
      <c r="B4372" s="21" t="s">
        <v>9838</v>
      </c>
      <c r="C4372" s="21" t="s">
        <v>22655</v>
      </c>
      <c r="D4372" s="22">
        <v>46028</v>
      </c>
      <c r="E4372" s="23" t="s">
        <v>22656</v>
      </c>
      <c r="F4372" s="24" t="s">
        <v>22657</v>
      </c>
      <c r="G4372" s="25">
        <v>2</v>
      </c>
      <c r="H4372" s="26"/>
      <c r="I4372" s="27"/>
    </row>
    <row r="4373" spans="1:9" ht="15.75" thickBot="1" x14ac:dyDescent="0.3">
      <c r="A4373" s="43" t="s">
        <v>9839</v>
      </c>
      <c r="B4373" s="21" t="s">
        <v>9840</v>
      </c>
      <c r="C4373" s="21" t="s">
        <v>22655</v>
      </c>
      <c r="D4373" s="22">
        <v>46034</v>
      </c>
      <c r="E4373" s="23" t="s">
        <v>22658</v>
      </c>
      <c r="F4373" s="24" t="s">
        <v>22657</v>
      </c>
      <c r="G4373" s="25">
        <v>4</v>
      </c>
      <c r="H4373" s="29"/>
      <c r="I4373" s="30"/>
    </row>
    <row r="4374" spans="1:9" ht="15.75" thickBot="1" x14ac:dyDescent="0.3">
      <c r="A4374" s="43" t="s">
        <v>9841</v>
      </c>
      <c r="B4374" s="21" t="s">
        <v>9842</v>
      </c>
      <c r="C4374" s="21" t="s">
        <v>22655</v>
      </c>
      <c r="D4374" s="22">
        <v>46034</v>
      </c>
      <c r="E4374" s="23" t="s">
        <v>22658</v>
      </c>
      <c r="F4374" s="24" t="s">
        <v>22657</v>
      </c>
      <c r="G4374" s="25">
        <v>1</v>
      </c>
      <c r="H4374" s="26"/>
      <c r="I4374" s="27"/>
    </row>
    <row r="4375" spans="1:9" ht="15.75" thickBot="1" x14ac:dyDescent="0.3">
      <c r="A4375" s="43" t="s">
        <v>9843</v>
      </c>
      <c r="B4375" s="21" t="s">
        <v>9844</v>
      </c>
      <c r="C4375" s="21" t="s">
        <v>22655</v>
      </c>
      <c r="D4375" s="22">
        <v>46028</v>
      </c>
      <c r="E4375" s="23" t="s">
        <v>22656</v>
      </c>
      <c r="F4375" s="24" t="s">
        <v>22657</v>
      </c>
      <c r="G4375" s="25">
        <v>2</v>
      </c>
      <c r="H4375" s="29"/>
      <c r="I4375" s="30"/>
    </row>
    <row r="4376" spans="1:9" ht="15.75" thickBot="1" x14ac:dyDescent="0.3">
      <c r="A4376" s="43" t="s">
        <v>9845</v>
      </c>
      <c r="B4376" s="21" t="s">
        <v>9846</v>
      </c>
      <c r="C4376" s="21" t="s">
        <v>22655</v>
      </c>
      <c r="D4376" s="22">
        <v>46034</v>
      </c>
      <c r="E4376" s="23" t="s">
        <v>22656</v>
      </c>
      <c r="F4376" s="24" t="s">
        <v>22657</v>
      </c>
      <c r="G4376" s="25">
        <v>4</v>
      </c>
      <c r="H4376" s="26"/>
      <c r="I4376" s="27"/>
    </row>
    <row r="4377" spans="1:9" ht="15.75" thickBot="1" x14ac:dyDescent="0.3">
      <c r="A4377" s="43" t="s">
        <v>429</v>
      </c>
      <c r="B4377" s="21" t="s">
        <v>430</v>
      </c>
      <c r="C4377" s="21" t="s">
        <v>22663</v>
      </c>
      <c r="D4377" s="31">
        <v>1</v>
      </c>
      <c r="E4377" s="23" t="s">
        <v>22656</v>
      </c>
      <c r="F4377" s="24" t="s">
        <v>22657</v>
      </c>
      <c r="G4377" s="25">
        <v>2</v>
      </c>
      <c r="H4377" s="32">
        <v>2</v>
      </c>
      <c r="I4377" s="33">
        <v>4</v>
      </c>
    </row>
    <row r="4378" spans="1:9" ht="15.75" thickBot="1" x14ac:dyDescent="0.3">
      <c r="A4378" s="43" t="s">
        <v>797</v>
      </c>
      <c r="B4378" s="21" t="s">
        <v>798</v>
      </c>
      <c r="C4378" s="21" t="s">
        <v>22655</v>
      </c>
      <c r="D4378" s="22">
        <v>46028</v>
      </c>
      <c r="E4378" s="23" t="s">
        <v>22656</v>
      </c>
      <c r="F4378" s="24" t="s">
        <v>22657</v>
      </c>
      <c r="G4378" s="25">
        <v>2</v>
      </c>
      <c r="H4378" s="26"/>
      <c r="I4378" s="27"/>
    </row>
    <row r="4379" spans="1:9" ht="15.75" thickBot="1" x14ac:dyDescent="0.3">
      <c r="A4379" s="43" t="s">
        <v>9847</v>
      </c>
      <c r="B4379" s="21" t="s">
        <v>9848</v>
      </c>
      <c r="C4379" s="21" t="s">
        <v>22655</v>
      </c>
      <c r="D4379" s="22">
        <v>46040</v>
      </c>
      <c r="E4379" s="23" t="s">
        <v>22658</v>
      </c>
      <c r="F4379" s="24" t="s">
        <v>22657</v>
      </c>
      <c r="G4379" s="25">
        <v>6</v>
      </c>
      <c r="H4379" s="29"/>
      <c r="I4379" s="30"/>
    </row>
    <row r="4380" spans="1:9" ht="15.75" thickBot="1" x14ac:dyDescent="0.3">
      <c r="A4380" s="43" t="s">
        <v>9849</v>
      </c>
      <c r="B4380" s="21" t="s">
        <v>9850</v>
      </c>
      <c r="C4380" s="21" t="s">
        <v>22655</v>
      </c>
      <c r="D4380" s="22">
        <v>46028</v>
      </c>
      <c r="E4380" s="23" t="s">
        <v>22656</v>
      </c>
      <c r="F4380" s="24" t="s">
        <v>22657</v>
      </c>
      <c r="G4380" s="25">
        <v>2</v>
      </c>
      <c r="H4380" s="26"/>
      <c r="I4380" s="27"/>
    </row>
    <row r="4381" spans="1:9" ht="15.75" thickBot="1" x14ac:dyDescent="0.3">
      <c r="A4381" s="43" t="s">
        <v>9851</v>
      </c>
      <c r="B4381" s="21" t="s">
        <v>9852</v>
      </c>
      <c r="C4381" s="21" t="s">
        <v>22655</v>
      </c>
      <c r="D4381" s="31" t="s">
        <v>22737</v>
      </c>
      <c r="E4381" s="23" t="s">
        <v>22656</v>
      </c>
      <c r="F4381" s="24" t="s">
        <v>22657</v>
      </c>
      <c r="G4381" s="25">
        <v>8</v>
      </c>
      <c r="H4381" s="29"/>
      <c r="I4381" s="30"/>
    </row>
    <row r="4382" spans="1:9" ht="15.75" thickBot="1" x14ac:dyDescent="0.3">
      <c r="A4382" s="43" t="s">
        <v>9853</v>
      </c>
      <c r="B4382" s="21" t="s">
        <v>9854</v>
      </c>
      <c r="C4382" s="21" t="s">
        <v>22655</v>
      </c>
      <c r="D4382" s="22">
        <v>46046</v>
      </c>
      <c r="E4382" s="23" t="s">
        <v>22656</v>
      </c>
      <c r="F4382" s="24" t="s">
        <v>22657</v>
      </c>
      <c r="G4382" s="25">
        <v>8</v>
      </c>
      <c r="H4382" s="26"/>
      <c r="I4382" s="27"/>
    </row>
    <row r="4383" spans="1:9" ht="15.75" thickBot="1" x14ac:dyDescent="0.3">
      <c r="A4383" s="43" t="s">
        <v>9855</v>
      </c>
      <c r="B4383" s="21" t="s">
        <v>9856</v>
      </c>
      <c r="C4383" s="21" t="s">
        <v>22655</v>
      </c>
      <c r="D4383" s="31" t="s">
        <v>22737</v>
      </c>
      <c r="E4383" s="23" t="s">
        <v>22658</v>
      </c>
      <c r="F4383" s="24" t="s">
        <v>22657</v>
      </c>
      <c r="G4383" s="25">
        <v>7</v>
      </c>
      <c r="H4383" s="29"/>
      <c r="I4383" s="30"/>
    </row>
    <row r="4384" spans="1:9" ht="15.75" thickBot="1" x14ac:dyDescent="0.3">
      <c r="A4384" s="43" t="s">
        <v>9857</v>
      </c>
      <c r="B4384" s="21" t="s">
        <v>9858</v>
      </c>
      <c r="C4384" s="21" t="s">
        <v>22655</v>
      </c>
      <c r="D4384" s="22">
        <v>46046</v>
      </c>
      <c r="E4384" s="23" t="s">
        <v>22658</v>
      </c>
      <c r="F4384" s="24" t="s">
        <v>22657</v>
      </c>
      <c r="G4384" s="25">
        <v>8</v>
      </c>
      <c r="H4384" s="26"/>
      <c r="I4384" s="27"/>
    </row>
    <row r="4385" spans="1:9" ht="15.75" thickBot="1" x14ac:dyDescent="0.3">
      <c r="A4385" s="43" t="s">
        <v>9859</v>
      </c>
      <c r="B4385" s="21" t="s">
        <v>9860</v>
      </c>
      <c r="C4385" s="21" t="s">
        <v>22655</v>
      </c>
      <c r="D4385" s="31" t="s">
        <v>22775</v>
      </c>
      <c r="E4385" s="23" t="s">
        <v>22656</v>
      </c>
      <c r="F4385" s="24" t="s">
        <v>22657</v>
      </c>
      <c r="G4385" s="25">
        <v>8</v>
      </c>
      <c r="H4385" s="29"/>
      <c r="I4385" s="30"/>
    </row>
    <row r="4386" spans="1:9" ht="15.75" thickBot="1" x14ac:dyDescent="0.3">
      <c r="A4386" s="43" t="s">
        <v>9861</v>
      </c>
      <c r="B4386" s="21" t="s">
        <v>9862</v>
      </c>
      <c r="C4386" s="21" t="s">
        <v>22655</v>
      </c>
      <c r="D4386" s="31" t="s">
        <v>22775</v>
      </c>
      <c r="E4386" s="23" t="s">
        <v>22656</v>
      </c>
      <c r="F4386" s="24" t="s">
        <v>22657</v>
      </c>
      <c r="G4386" s="25">
        <v>4</v>
      </c>
      <c r="H4386" s="26"/>
      <c r="I4386" s="27"/>
    </row>
    <row r="4387" spans="1:9" ht="15.75" thickBot="1" x14ac:dyDescent="0.3">
      <c r="A4387" s="43" t="s">
        <v>9863</v>
      </c>
      <c r="B4387" s="21" t="s">
        <v>9864</v>
      </c>
      <c r="C4387" s="21" t="s">
        <v>22655</v>
      </c>
      <c r="D4387" s="31" t="s">
        <v>22786</v>
      </c>
      <c r="E4387" s="23" t="s">
        <v>22656</v>
      </c>
      <c r="F4387" s="24" t="s">
        <v>22657</v>
      </c>
      <c r="G4387" s="25">
        <v>4</v>
      </c>
      <c r="H4387" s="29"/>
      <c r="I4387" s="30"/>
    </row>
    <row r="4388" spans="1:9" ht="15.75" thickBot="1" x14ac:dyDescent="0.3">
      <c r="A4388" s="43" t="s">
        <v>9865</v>
      </c>
      <c r="B4388" s="21" t="s">
        <v>9866</v>
      </c>
      <c r="C4388" s="21" t="s">
        <v>22655</v>
      </c>
      <c r="D4388" s="31" t="s">
        <v>22660</v>
      </c>
      <c r="E4388" s="23" t="s">
        <v>22656</v>
      </c>
      <c r="F4388" s="24" t="s">
        <v>22657</v>
      </c>
      <c r="G4388" s="25">
        <v>8</v>
      </c>
      <c r="H4388" s="26"/>
      <c r="I4388" s="27"/>
    </row>
    <row r="4389" spans="1:9" ht="15.75" thickBot="1" x14ac:dyDescent="0.3">
      <c r="A4389" s="43" t="s">
        <v>9867</v>
      </c>
      <c r="B4389" s="21" t="s">
        <v>9868</v>
      </c>
      <c r="C4389" s="21" t="s">
        <v>22655</v>
      </c>
      <c r="D4389" s="22">
        <v>46046</v>
      </c>
      <c r="E4389" s="23" t="s">
        <v>22656</v>
      </c>
      <c r="F4389" s="24" t="s">
        <v>22657</v>
      </c>
      <c r="G4389" s="25">
        <v>8</v>
      </c>
      <c r="H4389" s="29"/>
      <c r="I4389" s="30"/>
    </row>
    <row r="4390" spans="1:9" ht="15.75" thickBot="1" x14ac:dyDescent="0.3">
      <c r="A4390" s="43" t="s">
        <v>9869</v>
      </c>
      <c r="B4390" s="21" t="s">
        <v>9870</v>
      </c>
      <c r="C4390" s="21" t="s">
        <v>22655</v>
      </c>
      <c r="D4390" s="22">
        <v>46046</v>
      </c>
      <c r="E4390" s="23" t="s">
        <v>22656</v>
      </c>
      <c r="F4390" s="24" t="s">
        <v>22657</v>
      </c>
      <c r="G4390" s="25">
        <v>8</v>
      </c>
      <c r="H4390" s="26"/>
      <c r="I4390" s="27"/>
    </row>
    <row r="4391" spans="1:9" ht="15.75" thickBot="1" x14ac:dyDescent="0.3">
      <c r="A4391" s="43" t="s">
        <v>9871</v>
      </c>
      <c r="B4391" s="21" t="s">
        <v>9872</v>
      </c>
      <c r="C4391" s="21" t="s">
        <v>22655</v>
      </c>
      <c r="D4391" s="31" t="s">
        <v>22786</v>
      </c>
      <c r="E4391" s="23" t="s">
        <v>22656</v>
      </c>
      <c r="F4391" s="24" t="s">
        <v>22657</v>
      </c>
      <c r="G4391" s="25">
        <v>4</v>
      </c>
      <c r="H4391" s="29"/>
      <c r="I4391" s="30"/>
    </row>
    <row r="4392" spans="1:9" ht="15.75" thickBot="1" x14ac:dyDescent="0.3">
      <c r="A4392" s="43" t="s">
        <v>9873</v>
      </c>
      <c r="B4392" s="21" t="s">
        <v>9874</v>
      </c>
      <c r="C4392" s="21" t="s">
        <v>22655</v>
      </c>
      <c r="D4392" s="31" t="s">
        <v>22786</v>
      </c>
      <c r="E4392" s="23" t="s">
        <v>22656</v>
      </c>
      <c r="F4392" s="24" t="s">
        <v>22657</v>
      </c>
      <c r="G4392" s="25">
        <v>4</v>
      </c>
      <c r="H4392" s="26"/>
      <c r="I4392" s="27"/>
    </row>
    <row r="4393" spans="1:9" ht="15.75" thickBot="1" x14ac:dyDescent="0.3">
      <c r="A4393" s="43" t="s">
        <v>9875</v>
      </c>
      <c r="B4393" s="21" t="s">
        <v>9876</v>
      </c>
      <c r="C4393" s="21" t="s">
        <v>22655</v>
      </c>
      <c r="D4393" s="22">
        <v>46046</v>
      </c>
      <c r="E4393" s="23" t="s">
        <v>22656</v>
      </c>
      <c r="F4393" s="24" t="s">
        <v>22657</v>
      </c>
      <c r="G4393" s="25">
        <v>8</v>
      </c>
      <c r="H4393" s="29"/>
      <c r="I4393" s="30"/>
    </row>
    <row r="4394" spans="1:9" ht="15.75" thickBot="1" x14ac:dyDescent="0.3">
      <c r="A4394" s="43" t="s">
        <v>9877</v>
      </c>
      <c r="B4394" s="21" t="s">
        <v>9878</v>
      </c>
      <c r="C4394" s="21" t="s">
        <v>22655</v>
      </c>
      <c r="D4394" s="22">
        <v>46046</v>
      </c>
      <c r="E4394" s="23" t="s">
        <v>22656</v>
      </c>
      <c r="F4394" s="24" t="s">
        <v>22657</v>
      </c>
      <c r="G4394" s="25">
        <v>8</v>
      </c>
      <c r="H4394" s="26"/>
      <c r="I4394" s="27"/>
    </row>
    <row r="4395" spans="1:9" ht="15.75" thickBot="1" x14ac:dyDescent="0.3">
      <c r="A4395" s="43" t="s">
        <v>9879</v>
      </c>
      <c r="B4395" s="21" t="s">
        <v>9880</v>
      </c>
      <c r="C4395" s="21" t="s">
        <v>22655</v>
      </c>
      <c r="D4395" s="22">
        <v>46034</v>
      </c>
      <c r="E4395" s="23" t="s">
        <v>22656</v>
      </c>
      <c r="F4395" s="24" t="s">
        <v>22657</v>
      </c>
      <c r="G4395" s="25">
        <v>4</v>
      </c>
      <c r="H4395" s="29"/>
      <c r="I4395" s="30"/>
    </row>
    <row r="4396" spans="1:9" ht="15.75" thickBot="1" x14ac:dyDescent="0.3">
      <c r="A4396" s="43" t="s">
        <v>9881</v>
      </c>
      <c r="B4396" s="21" t="s">
        <v>9882</v>
      </c>
      <c r="C4396" s="21" t="s">
        <v>22663</v>
      </c>
      <c r="D4396" s="31">
        <v>1</v>
      </c>
      <c r="E4396" s="23" t="s">
        <v>22658</v>
      </c>
      <c r="F4396" s="24" t="s">
        <v>22657</v>
      </c>
      <c r="G4396" s="25">
        <v>7</v>
      </c>
      <c r="H4396" s="26"/>
      <c r="I4396" s="27"/>
    </row>
    <row r="4397" spans="1:9" ht="15.75" thickBot="1" x14ac:dyDescent="0.3">
      <c r="A4397" s="43" t="s">
        <v>1207</v>
      </c>
      <c r="B4397" s="21" t="s">
        <v>1208</v>
      </c>
      <c r="C4397" s="21" t="s">
        <v>22655</v>
      </c>
      <c r="D4397" s="22">
        <v>46034</v>
      </c>
      <c r="E4397" s="23" t="s">
        <v>22661</v>
      </c>
      <c r="F4397" s="24" t="s">
        <v>22657</v>
      </c>
      <c r="G4397" s="25">
        <v>12</v>
      </c>
      <c r="H4397" s="32">
        <v>12</v>
      </c>
      <c r="I4397" s="33">
        <v>24</v>
      </c>
    </row>
    <row r="4398" spans="1:9" ht="15.75" thickBot="1" x14ac:dyDescent="0.3">
      <c r="A4398" s="43" t="s">
        <v>9883</v>
      </c>
      <c r="B4398" s="21" t="s">
        <v>9884</v>
      </c>
      <c r="C4398" s="21" t="s">
        <v>22655</v>
      </c>
      <c r="D4398" s="22">
        <v>46046</v>
      </c>
      <c r="E4398" s="23" t="s">
        <v>22661</v>
      </c>
      <c r="F4398" s="24" t="s">
        <v>22657</v>
      </c>
      <c r="G4398" s="25">
        <v>8</v>
      </c>
      <c r="H4398" s="26"/>
      <c r="I4398" s="27"/>
    </row>
    <row r="4399" spans="1:9" ht="15.75" thickBot="1" x14ac:dyDescent="0.3">
      <c r="A4399" s="43" t="s">
        <v>9885</v>
      </c>
      <c r="B4399" s="21" t="s">
        <v>9886</v>
      </c>
      <c r="C4399" s="21" t="s">
        <v>22655</v>
      </c>
      <c r="D4399" s="31" t="s">
        <v>22786</v>
      </c>
      <c r="E4399" s="23" t="s">
        <v>22656</v>
      </c>
      <c r="F4399" s="24" t="s">
        <v>22657</v>
      </c>
      <c r="G4399" s="25">
        <v>10</v>
      </c>
      <c r="H4399" s="29"/>
      <c r="I4399" s="30"/>
    </row>
    <row r="4400" spans="1:9" ht="15.75" thickBot="1" x14ac:dyDescent="0.3">
      <c r="A4400" s="43" t="s">
        <v>9887</v>
      </c>
      <c r="B4400" s="21" t="s">
        <v>9888</v>
      </c>
      <c r="C4400" s="21" t="s">
        <v>22655</v>
      </c>
      <c r="D4400" s="31" t="s">
        <v>22775</v>
      </c>
      <c r="E4400" s="23" t="s">
        <v>22656</v>
      </c>
      <c r="F4400" s="24" t="s">
        <v>22657</v>
      </c>
      <c r="G4400" s="25">
        <v>12</v>
      </c>
      <c r="H4400" s="26"/>
      <c r="I4400" s="27"/>
    </row>
    <row r="4401" spans="1:9" ht="15.75" thickBot="1" x14ac:dyDescent="0.3">
      <c r="A4401" s="43" t="s">
        <v>9889</v>
      </c>
      <c r="B4401" s="21" t="s">
        <v>9890</v>
      </c>
      <c r="C4401" s="21" t="s">
        <v>22655</v>
      </c>
      <c r="D4401" s="22">
        <v>46046</v>
      </c>
      <c r="E4401" s="23" t="s">
        <v>22661</v>
      </c>
      <c r="F4401" s="24" t="s">
        <v>22657</v>
      </c>
      <c r="G4401" s="25">
        <v>8</v>
      </c>
      <c r="H4401" s="29"/>
      <c r="I4401" s="30"/>
    </row>
    <row r="4402" spans="1:9" ht="15.75" thickBot="1" x14ac:dyDescent="0.3">
      <c r="A4402" s="43" t="s">
        <v>9893</v>
      </c>
      <c r="B4402" s="21" t="s">
        <v>9894</v>
      </c>
      <c r="C4402" s="21" t="s">
        <v>22655</v>
      </c>
      <c r="D4402" s="22">
        <v>46046</v>
      </c>
      <c r="E4402" s="23" t="s">
        <v>22656</v>
      </c>
      <c r="F4402" s="24" t="s">
        <v>22657</v>
      </c>
      <c r="G4402" s="25">
        <v>8</v>
      </c>
      <c r="H4402" s="26"/>
      <c r="I4402" s="27"/>
    </row>
    <row r="4403" spans="1:9" ht="15.75" thickBot="1" x14ac:dyDescent="0.3">
      <c r="A4403" s="43" t="s">
        <v>9895</v>
      </c>
      <c r="B4403" s="21" t="s">
        <v>9896</v>
      </c>
      <c r="C4403" s="21" t="s">
        <v>22655</v>
      </c>
      <c r="D4403" s="31" t="s">
        <v>22786</v>
      </c>
      <c r="E4403" s="23" t="s">
        <v>22656</v>
      </c>
      <c r="F4403" s="24" t="s">
        <v>22657</v>
      </c>
      <c r="G4403" s="25">
        <v>10</v>
      </c>
      <c r="H4403" s="29"/>
      <c r="I4403" s="30"/>
    </row>
    <row r="4404" spans="1:9" ht="15.75" thickBot="1" x14ac:dyDescent="0.3">
      <c r="A4404" s="43" t="s">
        <v>9891</v>
      </c>
      <c r="B4404" s="21" t="s">
        <v>9892</v>
      </c>
      <c r="C4404" s="21" t="s">
        <v>22655</v>
      </c>
      <c r="D4404" s="31" t="s">
        <v>22775</v>
      </c>
      <c r="E4404" s="23" t="s">
        <v>22658</v>
      </c>
      <c r="F4404" s="24" t="s">
        <v>22657</v>
      </c>
      <c r="G4404" s="25">
        <v>12</v>
      </c>
      <c r="H4404" s="26"/>
      <c r="I4404" s="27"/>
    </row>
    <row r="4405" spans="1:9" ht="15.75" thickBot="1" x14ac:dyDescent="0.3">
      <c r="A4405" s="43" t="s">
        <v>9897</v>
      </c>
      <c r="B4405" s="21" t="s">
        <v>9898</v>
      </c>
      <c r="C4405" s="21" t="s">
        <v>22655</v>
      </c>
      <c r="D4405" s="31" t="s">
        <v>22775</v>
      </c>
      <c r="E4405" s="23" t="s">
        <v>22658</v>
      </c>
      <c r="F4405" s="24" t="s">
        <v>22657</v>
      </c>
      <c r="G4405" s="25">
        <v>12</v>
      </c>
      <c r="H4405" s="29"/>
      <c r="I4405" s="30"/>
    </row>
    <row r="4406" spans="1:9" ht="15.75" thickBot="1" x14ac:dyDescent="0.3">
      <c r="A4406" s="43" t="s">
        <v>9899</v>
      </c>
      <c r="B4406" s="21" t="s">
        <v>9900</v>
      </c>
      <c r="C4406" s="21" t="s">
        <v>22682</v>
      </c>
      <c r="D4406" s="22">
        <v>46034</v>
      </c>
      <c r="E4406" s="23" t="s">
        <v>22656</v>
      </c>
      <c r="F4406" s="24" t="s">
        <v>22657</v>
      </c>
      <c r="G4406" s="25">
        <v>4</v>
      </c>
      <c r="H4406" s="26"/>
      <c r="I4406" s="27"/>
    </row>
    <row r="4407" spans="1:9" ht="15.75" thickBot="1" x14ac:dyDescent="0.3">
      <c r="A4407" s="43" t="s">
        <v>9901</v>
      </c>
      <c r="B4407" s="21" t="s">
        <v>9902</v>
      </c>
      <c r="C4407" s="21" t="s">
        <v>22682</v>
      </c>
      <c r="D4407" s="22">
        <v>46034</v>
      </c>
      <c r="E4407" s="23" t="s">
        <v>22656</v>
      </c>
      <c r="F4407" s="24" t="s">
        <v>22657</v>
      </c>
      <c r="G4407" s="25">
        <v>4</v>
      </c>
      <c r="H4407" s="29"/>
      <c r="I4407" s="30"/>
    </row>
    <row r="4408" spans="1:9" ht="15.75" thickBot="1" x14ac:dyDescent="0.3">
      <c r="A4408" s="43" t="s">
        <v>9903</v>
      </c>
      <c r="B4408" s="21" t="s">
        <v>9904</v>
      </c>
      <c r="C4408" s="21" t="s">
        <v>22663</v>
      </c>
      <c r="D4408" s="31">
        <v>1</v>
      </c>
      <c r="E4408" s="23" t="s">
        <v>22658</v>
      </c>
      <c r="F4408" s="24" t="s">
        <v>22657</v>
      </c>
      <c r="G4408" s="25">
        <v>2</v>
      </c>
      <c r="H4408" s="26"/>
      <c r="I4408" s="27"/>
    </row>
    <row r="4409" spans="1:9" ht="15.75" thickBot="1" x14ac:dyDescent="0.3">
      <c r="A4409" s="43" t="s">
        <v>9905</v>
      </c>
      <c r="B4409" s="21" t="s">
        <v>9906</v>
      </c>
      <c r="C4409" s="21" t="s">
        <v>22663</v>
      </c>
      <c r="D4409" s="31">
        <v>1</v>
      </c>
      <c r="E4409" s="23" t="s">
        <v>22658</v>
      </c>
      <c r="F4409" s="24" t="s">
        <v>22657</v>
      </c>
      <c r="G4409" s="25">
        <v>2</v>
      </c>
      <c r="H4409" s="29"/>
      <c r="I4409" s="30"/>
    </row>
    <row r="4410" spans="1:9" ht="15.75" thickBot="1" x14ac:dyDescent="0.3">
      <c r="A4410" s="43" t="s">
        <v>9907</v>
      </c>
      <c r="B4410" s="21" t="s">
        <v>9908</v>
      </c>
      <c r="C4410" s="21" t="s">
        <v>22663</v>
      </c>
      <c r="D4410" s="31">
        <v>1</v>
      </c>
      <c r="E4410" s="23" t="s">
        <v>22658</v>
      </c>
      <c r="F4410" s="24" t="s">
        <v>22657</v>
      </c>
      <c r="G4410" s="25">
        <v>2</v>
      </c>
      <c r="H4410" s="26"/>
      <c r="I4410" s="27"/>
    </row>
    <row r="4411" spans="1:9" ht="15.75" thickBot="1" x14ac:dyDescent="0.3">
      <c r="A4411" s="43" t="s">
        <v>9909</v>
      </c>
      <c r="B4411" s="21" t="s">
        <v>9910</v>
      </c>
      <c r="C4411" s="21" t="s">
        <v>22682</v>
      </c>
      <c r="D4411" s="22">
        <v>46034</v>
      </c>
      <c r="E4411" s="23" t="s">
        <v>22658</v>
      </c>
      <c r="F4411" s="24" t="s">
        <v>22657</v>
      </c>
      <c r="G4411" s="25">
        <v>4</v>
      </c>
      <c r="H4411" s="29"/>
      <c r="I4411" s="30"/>
    </row>
    <row r="4412" spans="1:9" ht="15.75" thickBot="1" x14ac:dyDescent="0.3">
      <c r="A4412" s="43" t="s">
        <v>9911</v>
      </c>
      <c r="B4412" s="21" t="s">
        <v>9912</v>
      </c>
      <c r="C4412" s="21" t="s">
        <v>22663</v>
      </c>
      <c r="D4412" s="31">
        <v>1</v>
      </c>
      <c r="E4412" s="23" t="s">
        <v>22658</v>
      </c>
      <c r="F4412" s="24" t="s">
        <v>22657</v>
      </c>
      <c r="G4412" s="25">
        <v>1</v>
      </c>
      <c r="H4412" s="26"/>
      <c r="I4412" s="27"/>
    </row>
    <row r="4413" spans="1:9" ht="15.75" thickBot="1" x14ac:dyDescent="0.3">
      <c r="A4413" s="43" t="s">
        <v>1275</v>
      </c>
      <c r="B4413" s="21" t="s">
        <v>1276</v>
      </c>
      <c r="C4413" s="21" t="s">
        <v>22655</v>
      </c>
      <c r="D4413" s="22">
        <v>46032</v>
      </c>
      <c r="E4413" s="23" t="s">
        <v>22656</v>
      </c>
      <c r="F4413" s="24" t="s">
        <v>22657</v>
      </c>
      <c r="G4413" s="25">
        <v>3</v>
      </c>
      <c r="H4413" s="32">
        <v>3</v>
      </c>
      <c r="I4413" s="33">
        <v>6</v>
      </c>
    </row>
    <row r="4414" spans="1:9" ht="15.75" thickBot="1" x14ac:dyDescent="0.3">
      <c r="A4414" s="43" t="s">
        <v>1591</v>
      </c>
      <c r="B4414" s="21" t="s">
        <v>9913</v>
      </c>
      <c r="C4414" s="21" t="s">
        <v>22667</v>
      </c>
      <c r="D4414" s="31" t="s">
        <v>22678</v>
      </c>
      <c r="E4414" s="23" t="s">
        <v>22662</v>
      </c>
      <c r="F4414" s="24" t="s">
        <v>22657</v>
      </c>
      <c r="G4414" s="25">
        <v>24</v>
      </c>
      <c r="H4414" s="34">
        <v>24</v>
      </c>
      <c r="I4414" s="35">
        <v>48</v>
      </c>
    </row>
    <row r="4415" spans="1:9" ht="15.75" thickBot="1" x14ac:dyDescent="0.3">
      <c r="A4415" s="43" t="s">
        <v>9914</v>
      </c>
      <c r="B4415" s="21" t="s">
        <v>9915</v>
      </c>
      <c r="C4415" s="21" t="s">
        <v>22667</v>
      </c>
      <c r="D4415" s="31" t="s">
        <v>22678</v>
      </c>
      <c r="E4415" s="23" t="s">
        <v>22665</v>
      </c>
      <c r="F4415" s="24" t="s">
        <v>22657</v>
      </c>
      <c r="G4415" s="25">
        <v>6</v>
      </c>
      <c r="H4415" s="29"/>
      <c r="I4415" s="30"/>
    </row>
    <row r="4416" spans="1:9" ht="15.75" thickBot="1" x14ac:dyDescent="0.3">
      <c r="A4416" s="43" t="s">
        <v>9916</v>
      </c>
      <c r="B4416" s="21" t="s">
        <v>9917</v>
      </c>
      <c r="C4416" s="21" t="s">
        <v>22667</v>
      </c>
      <c r="D4416" s="31" t="s">
        <v>22678</v>
      </c>
      <c r="E4416" s="23" t="s">
        <v>22656</v>
      </c>
      <c r="F4416" s="24" t="s">
        <v>22657</v>
      </c>
      <c r="G4416" s="25">
        <v>2</v>
      </c>
      <c r="H4416" s="26"/>
      <c r="I4416" s="27"/>
    </row>
    <row r="4417" spans="1:9" ht="15.75" thickBot="1" x14ac:dyDescent="0.3">
      <c r="A4417" s="43" t="s">
        <v>9918</v>
      </c>
      <c r="B4417" s="21" t="s">
        <v>9919</v>
      </c>
      <c r="C4417" s="21" t="s">
        <v>22667</v>
      </c>
      <c r="D4417" s="31" t="s">
        <v>22678</v>
      </c>
      <c r="E4417" s="23" t="s">
        <v>22656</v>
      </c>
      <c r="F4417" s="24" t="s">
        <v>22657</v>
      </c>
      <c r="G4417" s="25">
        <v>2</v>
      </c>
      <c r="H4417" s="29"/>
      <c r="I4417" s="30"/>
    </row>
    <row r="4418" spans="1:9" ht="15.75" thickBot="1" x14ac:dyDescent="0.3">
      <c r="A4418" s="43" t="s">
        <v>9920</v>
      </c>
      <c r="B4418" s="21" t="s">
        <v>9921</v>
      </c>
      <c r="C4418" s="21" t="s">
        <v>22667</v>
      </c>
      <c r="D4418" s="31" t="s">
        <v>22678</v>
      </c>
      <c r="E4418" s="23" t="s">
        <v>22661</v>
      </c>
      <c r="F4418" s="24" t="s">
        <v>22657</v>
      </c>
      <c r="G4418" s="25">
        <v>2</v>
      </c>
      <c r="H4418" s="26"/>
      <c r="I4418" s="27"/>
    </row>
    <row r="4419" spans="1:9" ht="15.75" thickBot="1" x14ac:dyDescent="0.3">
      <c r="A4419" s="43" t="s">
        <v>9922</v>
      </c>
      <c r="B4419" s="21" t="s">
        <v>9923</v>
      </c>
      <c r="C4419" s="21" t="s">
        <v>22667</v>
      </c>
      <c r="D4419" s="31" t="s">
        <v>22678</v>
      </c>
      <c r="E4419" s="23" t="s">
        <v>22656</v>
      </c>
      <c r="F4419" s="24" t="s">
        <v>22657</v>
      </c>
      <c r="G4419" s="25">
        <v>2</v>
      </c>
      <c r="H4419" s="29"/>
      <c r="I4419" s="30"/>
    </row>
    <row r="4420" spans="1:9" ht="15.75" thickBot="1" x14ac:dyDescent="0.3">
      <c r="A4420" s="43" t="s">
        <v>9924</v>
      </c>
      <c r="B4420" s="21" t="s">
        <v>9925</v>
      </c>
      <c r="C4420" s="21" t="s">
        <v>22667</v>
      </c>
      <c r="D4420" s="31" t="s">
        <v>22678</v>
      </c>
      <c r="E4420" s="23" t="s">
        <v>22656</v>
      </c>
      <c r="F4420" s="24" t="s">
        <v>22657</v>
      </c>
      <c r="G4420" s="25">
        <v>2</v>
      </c>
      <c r="H4420" s="26"/>
      <c r="I4420" s="27"/>
    </row>
    <row r="4421" spans="1:9" ht="15.75" thickBot="1" x14ac:dyDescent="0.3">
      <c r="A4421" s="43" t="s">
        <v>9926</v>
      </c>
      <c r="B4421" s="21" t="s">
        <v>9927</v>
      </c>
      <c r="C4421" s="21" t="s">
        <v>22667</v>
      </c>
      <c r="D4421" s="31" t="s">
        <v>22678</v>
      </c>
      <c r="E4421" s="23" t="s">
        <v>22661</v>
      </c>
      <c r="F4421" s="24" t="s">
        <v>22657</v>
      </c>
      <c r="G4421" s="25">
        <v>12</v>
      </c>
      <c r="H4421" s="32">
        <v>12</v>
      </c>
      <c r="I4421" s="33">
        <v>2</v>
      </c>
    </row>
    <row r="4422" spans="1:9" ht="15.75" thickBot="1" x14ac:dyDescent="0.3">
      <c r="A4422" s="43" t="s">
        <v>1477</v>
      </c>
      <c r="B4422" s="21" t="s">
        <v>1478</v>
      </c>
      <c r="C4422" s="21" t="s">
        <v>22655</v>
      </c>
      <c r="D4422" s="22">
        <v>46032</v>
      </c>
      <c r="E4422" s="23" t="s">
        <v>22661</v>
      </c>
      <c r="F4422" s="24" t="s">
        <v>22657</v>
      </c>
      <c r="G4422" s="25">
        <v>2</v>
      </c>
      <c r="H4422" s="34">
        <v>2</v>
      </c>
      <c r="I4422" s="35">
        <v>4</v>
      </c>
    </row>
    <row r="4423" spans="1:9" ht="15.75" thickBot="1" x14ac:dyDescent="0.3">
      <c r="A4423" s="43" t="s">
        <v>9928</v>
      </c>
      <c r="B4423" s="21" t="s">
        <v>9929</v>
      </c>
      <c r="C4423" s="21" t="s">
        <v>22667</v>
      </c>
      <c r="D4423" s="31" t="s">
        <v>22678</v>
      </c>
      <c r="E4423" s="23" t="s">
        <v>22661</v>
      </c>
      <c r="F4423" s="24" t="s">
        <v>22657</v>
      </c>
      <c r="G4423" s="25">
        <v>7</v>
      </c>
      <c r="H4423" s="29"/>
      <c r="I4423" s="30"/>
    </row>
    <row r="4424" spans="1:9" ht="15.75" thickBot="1" x14ac:dyDescent="0.3">
      <c r="A4424" s="43" t="s">
        <v>9930</v>
      </c>
      <c r="B4424" s="21" t="s">
        <v>9931</v>
      </c>
      <c r="C4424" s="21" t="s">
        <v>22655</v>
      </c>
      <c r="D4424" s="22">
        <v>46032</v>
      </c>
      <c r="E4424" s="23" t="s">
        <v>22656</v>
      </c>
      <c r="F4424" s="24" t="s">
        <v>22657</v>
      </c>
      <c r="G4424" s="25">
        <v>4</v>
      </c>
      <c r="H4424" s="26"/>
      <c r="I4424" s="27"/>
    </row>
    <row r="4425" spans="1:9" ht="15.75" thickBot="1" x14ac:dyDescent="0.3">
      <c r="A4425" s="43" t="s">
        <v>9932</v>
      </c>
      <c r="B4425" s="21" t="s">
        <v>9933</v>
      </c>
      <c r="C4425" s="21" t="s">
        <v>22667</v>
      </c>
      <c r="D4425" s="31" t="s">
        <v>22678</v>
      </c>
      <c r="E4425" s="23" t="s">
        <v>22656</v>
      </c>
      <c r="F4425" s="24" t="s">
        <v>22657</v>
      </c>
      <c r="G4425" s="25">
        <v>3</v>
      </c>
      <c r="H4425" s="29"/>
      <c r="I4425" s="30"/>
    </row>
    <row r="4426" spans="1:9" ht="15.75" thickBot="1" x14ac:dyDescent="0.3">
      <c r="A4426" s="43" t="s">
        <v>9934</v>
      </c>
      <c r="B4426" s="21" t="s">
        <v>9935</v>
      </c>
      <c r="C4426" s="21" t="s">
        <v>22667</v>
      </c>
      <c r="D4426" s="31" t="s">
        <v>22678</v>
      </c>
      <c r="E4426" s="23" t="s">
        <v>22656</v>
      </c>
      <c r="F4426" s="24" t="s">
        <v>22657</v>
      </c>
      <c r="G4426" s="25">
        <v>2</v>
      </c>
      <c r="H4426" s="26"/>
      <c r="I4426" s="27"/>
    </row>
    <row r="4427" spans="1:9" ht="15.75" thickBot="1" x14ac:dyDescent="0.3">
      <c r="A4427" s="43" t="s">
        <v>9936</v>
      </c>
      <c r="B4427" s="21" t="s">
        <v>9937</v>
      </c>
      <c r="C4427" s="21" t="s">
        <v>22655</v>
      </c>
      <c r="D4427" s="22">
        <v>46032</v>
      </c>
      <c r="E4427" s="23" t="s">
        <v>22656</v>
      </c>
      <c r="F4427" s="24" t="s">
        <v>22657</v>
      </c>
      <c r="G4427" s="25">
        <v>4</v>
      </c>
      <c r="H4427" s="29"/>
      <c r="I4427" s="30"/>
    </row>
    <row r="4428" spans="1:9" ht="15.75" thickBot="1" x14ac:dyDescent="0.3">
      <c r="A4428" s="43" t="s">
        <v>9938</v>
      </c>
      <c r="B4428" s="21" t="s">
        <v>9939</v>
      </c>
      <c r="C4428" s="21" t="s">
        <v>22667</v>
      </c>
      <c r="D4428" s="31" t="s">
        <v>22678</v>
      </c>
      <c r="E4428" s="23" t="s">
        <v>22656</v>
      </c>
      <c r="F4428" s="24" t="s">
        <v>22657</v>
      </c>
      <c r="G4428" s="25">
        <v>2</v>
      </c>
      <c r="H4428" s="26"/>
      <c r="I4428" s="27"/>
    </row>
    <row r="4429" spans="1:9" ht="15.75" thickBot="1" x14ac:dyDescent="0.3">
      <c r="A4429" s="43" t="s">
        <v>9940</v>
      </c>
      <c r="B4429" s="21" t="s">
        <v>9941</v>
      </c>
      <c r="C4429" s="21" t="s">
        <v>22667</v>
      </c>
      <c r="D4429" s="31" t="s">
        <v>22678</v>
      </c>
      <c r="E4429" s="23" t="s">
        <v>22656</v>
      </c>
      <c r="F4429" s="24" t="s">
        <v>22657</v>
      </c>
      <c r="G4429" s="25">
        <v>2</v>
      </c>
      <c r="H4429" s="29"/>
      <c r="I4429" s="30"/>
    </row>
    <row r="4430" spans="1:9" ht="15.75" thickBot="1" x14ac:dyDescent="0.3">
      <c r="A4430" s="43" t="s">
        <v>9942</v>
      </c>
      <c r="B4430" s="21" t="s">
        <v>9943</v>
      </c>
      <c r="C4430" s="21" t="s">
        <v>22667</v>
      </c>
      <c r="D4430" s="31" t="s">
        <v>22678</v>
      </c>
      <c r="E4430" s="23" t="s">
        <v>22661</v>
      </c>
      <c r="F4430" s="24" t="s">
        <v>22657</v>
      </c>
      <c r="G4430" s="25">
        <v>9</v>
      </c>
      <c r="H4430" s="26"/>
      <c r="I4430" s="27"/>
    </row>
    <row r="4431" spans="1:9" ht="15.75" thickBot="1" x14ac:dyDescent="0.3">
      <c r="A4431" s="43" t="s">
        <v>9944</v>
      </c>
      <c r="B4431" s="21" t="s">
        <v>9945</v>
      </c>
      <c r="C4431" s="21" t="s">
        <v>22667</v>
      </c>
      <c r="D4431" s="31" t="s">
        <v>22678</v>
      </c>
      <c r="E4431" s="23" t="s">
        <v>22656</v>
      </c>
      <c r="F4431" s="24" t="s">
        <v>22657</v>
      </c>
      <c r="G4431" s="25">
        <v>2</v>
      </c>
      <c r="H4431" s="29"/>
      <c r="I4431" s="30"/>
    </row>
    <row r="4432" spans="1:9" ht="15.75" thickBot="1" x14ac:dyDescent="0.3">
      <c r="A4432" s="43" t="s">
        <v>1087</v>
      </c>
      <c r="B4432" s="21" t="s">
        <v>1088</v>
      </c>
      <c r="C4432" s="21" t="s">
        <v>22655</v>
      </c>
      <c r="D4432" s="22">
        <v>46032</v>
      </c>
      <c r="E4432" s="23" t="s">
        <v>22665</v>
      </c>
      <c r="F4432" s="24" t="s">
        <v>22657</v>
      </c>
      <c r="G4432" s="25">
        <v>36</v>
      </c>
      <c r="H4432" s="34">
        <v>36</v>
      </c>
      <c r="I4432" s="35">
        <v>50</v>
      </c>
    </row>
    <row r="4433" spans="1:9" ht="15.75" thickBot="1" x14ac:dyDescent="0.3">
      <c r="A4433" s="43" t="s">
        <v>1377</v>
      </c>
      <c r="B4433" s="21" t="s">
        <v>1378</v>
      </c>
      <c r="C4433" s="21" t="s">
        <v>22655</v>
      </c>
      <c r="D4433" s="22">
        <v>46025</v>
      </c>
      <c r="E4433" s="23" t="s">
        <v>22661</v>
      </c>
      <c r="F4433" s="24" t="s">
        <v>22657</v>
      </c>
      <c r="G4433" s="25">
        <v>6</v>
      </c>
      <c r="H4433" s="32">
        <v>6</v>
      </c>
      <c r="I4433" s="33">
        <v>12</v>
      </c>
    </row>
    <row r="4434" spans="1:9" ht="15.75" thickBot="1" x14ac:dyDescent="0.3">
      <c r="A4434" s="43" t="s">
        <v>247</v>
      </c>
      <c r="B4434" s="21" t="s">
        <v>248</v>
      </c>
      <c r="C4434" s="21" t="s">
        <v>22655</v>
      </c>
      <c r="D4434" s="22">
        <v>46032</v>
      </c>
      <c r="E4434" s="23" t="s">
        <v>22665</v>
      </c>
      <c r="F4434" s="24" t="s">
        <v>22657</v>
      </c>
      <c r="G4434" s="25">
        <v>24</v>
      </c>
      <c r="H4434" s="34">
        <v>24</v>
      </c>
      <c r="I4434" s="35">
        <v>48</v>
      </c>
    </row>
    <row r="4435" spans="1:9" ht="15.75" thickBot="1" x14ac:dyDescent="0.3">
      <c r="A4435" s="43" t="s">
        <v>95</v>
      </c>
      <c r="B4435" s="21" t="s">
        <v>96</v>
      </c>
      <c r="C4435" s="21" t="s">
        <v>22655</v>
      </c>
      <c r="D4435" s="22">
        <v>46025</v>
      </c>
      <c r="E4435" s="23" t="s">
        <v>22661</v>
      </c>
      <c r="F4435" s="24" t="s">
        <v>22657</v>
      </c>
      <c r="G4435" s="25">
        <v>8</v>
      </c>
      <c r="H4435" s="32">
        <v>8</v>
      </c>
      <c r="I4435" s="33">
        <v>12</v>
      </c>
    </row>
    <row r="4436" spans="1:9" ht="15.75" thickBot="1" x14ac:dyDescent="0.3">
      <c r="A4436" s="43" t="s">
        <v>9946</v>
      </c>
      <c r="B4436" s="21" t="s">
        <v>9947</v>
      </c>
      <c r="C4436" s="21" t="s">
        <v>22667</v>
      </c>
      <c r="D4436" s="31" t="s">
        <v>22678</v>
      </c>
      <c r="E4436" s="23" t="s">
        <v>22656</v>
      </c>
      <c r="F4436" s="24" t="s">
        <v>22657</v>
      </c>
      <c r="G4436" s="25">
        <v>2</v>
      </c>
      <c r="H4436" s="26"/>
      <c r="I4436" s="27"/>
    </row>
    <row r="4437" spans="1:9" ht="15.75" thickBot="1" x14ac:dyDescent="0.3">
      <c r="A4437" s="43" t="s">
        <v>9948</v>
      </c>
      <c r="B4437" s="21" t="s">
        <v>9949</v>
      </c>
      <c r="C4437" s="21" t="s">
        <v>22667</v>
      </c>
      <c r="D4437" s="31" t="s">
        <v>22678</v>
      </c>
      <c r="E4437" s="23" t="s">
        <v>22661</v>
      </c>
      <c r="F4437" s="24" t="s">
        <v>22657</v>
      </c>
      <c r="G4437" s="25">
        <v>4</v>
      </c>
      <c r="H4437" s="29"/>
      <c r="I4437" s="30"/>
    </row>
    <row r="4438" spans="1:9" ht="15.75" thickBot="1" x14ac:dyDescent="0.3">
      <c r="A4438" s="43" t="s">
        <v>9950</v>
      </c>
      <c r="B4438" s="21" t="s">
        <v>9951</v>
      </c>
      <c r="C4438" s="21" t="s">
        <v>22667</v>
      </c>
      <c r="D4438" s="31" t="s">
        <v>22678</v>
      </c>
      <c r="E4438" s="23" t="s">
        <v>22656</v>
      </c>
      <c r="F4438" s="24" t="s">
        <v>22657</v>
      </c>
      <c r="G4438" s="25">
        <v>2</v>
      </c>
      <c r="H4438" s="26"/>
      <c r="I4438" s="27"/>
    </row>
    <row r="4439" spans="1:9" ht="15.75" thickBot="1" x14ac:dyDescent="0.3">
      <c r="A4439" s="43" t="s">
        <v>9952</v>
      </c>
      <c r="B4439" s="21" t="s">
        <v>9953</v>
      </c>
      <c r="C4439" s="21" t="s">
        <v>22667</v>
      </c>
      <c r="D4439" s="31" t="s">
        <v>22678</v>
      </c>
      <c r="E4439" s="23" t="s">
        <v>22656</v>
      </c>
      <c r="F4439" s="24" t="s">
        <v>22657</v>
      </c>
      <c r="G4439" s="25">
        <v>2</v>
      </c>
      <c r="H4439" s="29"/>
      <c r="I4439" s="30"/>
    </row>
    <row r="4440" spans="1:9" ht="15.75" thickBot="1" x14ac:dyDescent="0.3">
      <c r="A4440" s="43" t="s">
        <v>9954</v>
      </c>
      <c r="B4440" s="21" t="s">
        <v>9955</v>
      </c>
      <c r="C4440" s="21" t="s">
        <v>22667</v>
      </c>
      <c r="D4440" s="31" t="s">
        <v>22678</v>
      </c>
      <c r="E4440" s="23" t="s">
        <v>22656</v>
      </c>
      <c r="F4440" s="24" t="s">
        <v>22657</v>
      </c>
      <c r="G4440" s="25">
        <v>2</v>
      </c>
      <c r="H4440" s="26"/>
      <c r="I4440" s="27"/>
    </row>
    <row r="4441" spans="1:9" ht="15.75" thickBot="1" x14ac:dyDescent="0.3">
      <c r="A4441" s="43" t="s">
        <v>9956</v>
      </c>
      <c r="B4441" s="21" t="s">
        <v>9957</v>
      </c>
      <c r="C4441" s="21" t="s">
        <v>22667</v>
      </c>
      <c r="D4441" s="31" t="s">
        <v>22678</v>
      </c>
      <c r="E4441" s="23" t="s">
        <v>22656</v>
      </c>
      <c r="F4441" s="24" t="s">
        <v>22657</v>
      </c>
      <c r="G4441" s="25">
        <v>3</v>
      </c>
      <c r="H4441" s="29"/>
      <c r="I4441" s="30"/>
    </row>
    <row r="4442" spans="1:9" ht="15.75" thickBot="1" x14ac:dyDescent="0.3">
      <c r="A4442" s="43" t="s">
        <v>9958</v>
      </c>
      <c r="B4442" s="21" t="s">
        <v>9959</v>
      </c>
      <c r="C4442" s="21" t="s">
        <v>22667</v>
      </c>
      <c r="D4442" s="31" t="s">
        <v>22678</v>
      </c>
      <c r="E4442" s="23" t="s">
        <v>22661</v>
      </c>
      <c r="F4442" s="24" t="s">
        <v>22657</v>
      </c>
      <c r="G4442" s="25">
        <v>4</v>
      </c>
      <c r="H4442" s="26"/>
      <c r="I4442" s="27"/>
    </row>
    <row r="4443" spans="1:9" ht="15.75" thickBot="1" x14ac:dyDescent="0.3">
      <c r="A4443" s="43" t="s">
        <v>9960</v>
      </c>
      <c r="B4443" s="21" t="s">
        <v>9961</v>
      </c>
      <c r="C4443" s="21" t="s">
        <v>22667</v>
      </c>
      <c r="D4443" s="31" t="s">
        <v>22678</v>
      </c>
      <c r="E4443" s="23" t="s">
        <v>22661</v>
      </c>
      <c r="F4443" s="24" t="s">
        <v>22657</v>
      </c>
      <c r="G4443" s="25">
        <v>2</v>
      </c>
      <c r="H4443" s="29"/>
      <c r="I4443" s="30"/>
    </row>
    <row r="4444" spans="1:9" ht="15.75" thickBot="1" x14ac:dyDescent="0.3">
      <c r="A4444" s="43" t="s">
        <v>9962</v>
      </c>
      <c r="B4444" s="21" t="s">
        <v>9963</v>
      </c>
      <c r="C4444" s="21" t="s">
        <v>22667</v>
      </c>
      <c r="D4444" s="31" t="s">
        <v>22678</v>
      </c>
      <c r="E4444" s="23" t="s">
        <v>22656</v>
      </c>
      <c r="F4444" s="24" t="s">
        <v>22657</v>
      </c>
      <c r="G4444" s="25">
        <v>2</v>
      </c>
      <c r="H4444" s="26"/>
      <c r="I4444" s="27"/>
    </row>
    <row r="4445" spans="1:9" ht="15.75" thickBot="1" x14ac:dyDescent="0.3">
      <c r="A4445" s="43" t="s">
        <v>9964</v>
      </c>
      <c r="B4445" s="21" t="s">
        <v>9965</v>
      </c>
      <c r="C4445" s="21" t="s">
        <v>22667</v>
      </c>
      <c r="D4445" s="31" t="s">
        <v>22678</v>
      </c>
      <c r="E4445" s="23" t="s">
        <v>22656</v>
      </c>
      <c r="F4445" s="24" t="s">
        <v>22657</v>
      </c>
      <c r="G4445" s="25">
        <v>4</v>
      </c>
      <c r="H4445" s="29"/>
      <c r="I4445" s="30"/>
    </row>
    <row r="4446" spans="1:9" ht="15.75" thickBot="1" x14ac:dyDescent="0.3">
      <c r="A4446" s="43" t="s">
        <v>9966</v>
      </c>
      <c r="B4446" s="21" t="s">
        <v>9967</v>
      </c>
      <c r="C4446" s="21" t="s">
        <v>22655</v>
      </c>
      <c r="D4446" s="22">
        <v>46032</v>
      </c>
      <c r="E4446" s="23" t="s">
        <v>22656</v>
      </c>
      <c r="F4446" s="24" t="s">
        <v>22657</v>
      </c>
      <c r="G4446" s="25">
        <v>4</v>
      </c>
      <c r="H4446" s="26"/>
      <c r="I4446" s="27"/>
    </row>
    <row r="4447" spans="1:9" ht="15.75" thickBot="1" x14ac:dyDescent="0.3">
      <c r="A4447" s="43" t="s">
        <v>9968</v>
      </c>
      <c r="B4447" s="21" t="s">
        <v>9969</v>
      </c>
      <c r="C4447" s="21" t="s">
        <v>22667</v>
      </c>
      <c r="D4447" s="31" t="s">
        <v>22678</v>
      </c>
      <c r="E4447" s="23" t="s">
        <v>22656</v>
      </c>
      <c r="F4447" s="24" t="s">
        <v>22657</v>
      </c>
      <c r="G4447" s="25">
        <v>4</v>
      </c>
      <c r="H4447" s="29"/>
      <c r="I4447" s="30"/>
    </row>
    <row r="4448" spans="1:9" ht="15.75" thickBot="1" x14ac:dyDescent="0.3">
      <c r="A4448" s="43" t="s">
        <v>9970</v>
      </c>
      <c r="B4448" s="21" t="s">
        <v>9971</v>
      </c>
      <c r="C4448" s="21" t="s">
        <v>22667</v>
      </c>
      <c r="D4448" s="31" t="s">
        <v>22678</v>
      </c>
      <c r="E4448" s="23" t="s">
        <v>22665</v>
      </c>
      <c r="F4448" s="24" t="s">
        <v>22657</v>
      </c>
      <c r="G4448" s="25">
        <v>16</v>
      </c>
      <c r="H4448" s="26"/>
      <c r="I4448" s="27"/>
    </row>
    <row r="4449" spans="1:9" ht="15.75" thickBot="1" x14ac:dyDescent="0.3">
      <c r="A4449" s="43" t="s">
        <v>9972</v>
      </c>
      <c r="B4449" s="21" t="s">
        <v>9973</v>
      </c>
      <c r="C4449" s="21" t="s">
        <v>22667</v>
      </c>
      <c r="D4449" s="31" t="s">
        <v>22678</v>
      </c>
      <c r="E4449" s="23" t="s">
        <v>22656</v>
      </c>
      <c r="F4449" s="24" t="s">
        <v>22657</v>
      </c>
      <c r="G4449" s="25">
        <v>5</v>
      </c>
      <c r="H4449" s="29"/>
      <c r="I4449" s="30"/>
    </row>
    <row r="4450" spans="1:9" ht="15.75" thickBot="1" x14ac:dyDescent="0.3">
      <c r="A4450" s="43" t="s">
        <v>9974</v>
      </c>
      <c r="B4450" s="21" t="s">
        <v>9975</v>
      </c>
      <c r="C4450" s="21" t="s">
        <v>22667</v>
      </c>
      <c r="D4450" s="31" t="s">
        <v>22678</v>
      </c>
      <c r="E4450" s="23" t="s">
        <v>22656</v>
      </c>
      <c r="F4450" s="24" t="s">
        <v>22657</v>
      </c>
      <c r="G4450" s="25">
        <v>2</v>
      </c>
      <c r="H4450" s="26"/>
      <c r="I4450" s="27"/>
    </row>
    <row r="4451" spans="1:9" ht="15.75" thickBot="1" x14ac:dyDescent="0.3">
      <c r="A4451" s="43" t="s">
        <v>9976</v>
      </c>
      <c r="B4451" s="21" t="s">
        <v>9977</v>
      </c>
      <c r="C4451" s="21" t="s">
        <v>22667</v>
      </c>
      <c r="D4451" s="31" t="s">
        <v>22678</v>
      </c>
      <c r="E4451" s="23" t="s">
        <v>22656</v>
      </c>
      <c r="F4451" s="24" t="s">
        <v>22657</v>
      </c>
      <c r="G4451" s="25">
        <v>2</v>
      </c>
      <c r="H4451" s="29"/>
      <c r="I4451" s="30"/>
    </row>
    <row r="4452" spans="1:9" ht="15.75" thickBot="1" x14ac:dyDescent="0.3">
      <c r="A4452" s="43" t="s">
        <v>9978</v>
      </c>
      <c r="B4452" s="21" t="s">
        <v>9979</v>
      </c>
      <c r="C4452" s="21" t="s">
        <v>22655</v>
      </c>
      <c r="D4452" s="22">
        <v>46032</v>
      </c>
      <c r="E4452" s="23" t="s">
        <v>22656</v>
      </c>
      <c r="F4452" s="24" t="s">
        <v>22657</v>
      </c>
      <c r="G4452" s="25">
        <v>4</v>
      </c>
      <c r="H4452" s="26"/>
      <c r="I4452" s="27"/>
    </row>
    <row r="4453" spans="1:9" ht="15.75" thickBot="1" x14ac:dyDescent="0.3">
      <c r="A4453" s="43" t="s">
        <v>9982</v>
      </c>
      <c r="B4453" s="21" t="s">
        <v>9983</v>
      </c>
      <c r="C4453" s="21" t="s">
        <v>22667</v>
      </c>
      <c r="D4453" s="31" t="s">
        <v>22678</v>
      </c>
      <c r="E4453" s="23" t="s">
        <v>22665</v>
      </c>
      <c r="F4453" s="24" t="s">
        <v>22657</v>
      </c>
      <c r="G4453" s="25">
        <v>12</v>
      </c>
      <c r="H4453" s="32">
        <v>12</v>
      </c>
      <c r="I4453" s="33">
        <v>24</v>
      </c>
    </row>
    <row r="4454" spans="1:9" ht="15.75" thickBot="1" x14ac:dyDescent="0.3">
      <c r="A4454" s="43" t="s">
        <v>9980</v>
      </c>
      <c r="B4454" s="21" t="s">
        <v>9981</v>
      </c>
      <c r="C4454" s="21" t="s">
        <v>22667</v>
      </c>
      <c r="D4454" s="31" t="s">
        <v>22678</v>
      </c>
      <c r="E4454" s="23" t="s">
        <v>22665</v>
      </c>
      <c r="F4454" s="24" t="s">
        <v>22657</v>
      </c>
      <c r="G4454" s="25">
        <v>12</v>
      </c>
      <c r="H4454" s="26"/>
      <c r="I4454" s="27"/>
    </row>
    <row r="4455" spans="1:9" ht="15.75" thickBot="1" x14ac:dyDescent="0.3">
      <c r="A4455" s="43" t="s">
        <v>9984</v>
      </c>
      <c r="B4455" s="21" t="s">
        <v>9985</v>
      </c>
      <c r="C4455" s="21" t="s">
        <v>22667</v>
      </c>
      <c r="D4455" s="31" t="s">
        <v>22678</v>
      </c>
      <c r="E4455" s="23" t="s">
        <v>22661</v>
      </c>
      <c r="F4455" s="24" t="s">
        <v>22657</v>
      </c>
      <c r="G4455" s="25">
        <v>4</v>
      </c>
      <c r="H4455" s="29"/>
      <c r="I4455" s="30"/>
    </row>
    <row r="4456" spans="1:9" ht="15.75" thickBot="1" x14ac:dyDescent="0.3">
      <c r="A4456" s="43" t="s">
        <v>9986</v>
      </c>
      <c r="B4456" s="21" t="s">
        <v>9987</v>
      </c>
      <c r="C4456" s="21" t="s">
        <v>22667</v>
      </c>
      <c r="D4456" s="31" t="s">
        <v>22678</v>
      </c>
      <c r="E4456" s="23" t="s">
        <v>22656</v>
      </c>
      <c r="F4456" s="24" t="s">
        <v>22657</v>
      </c>
      <c r="G4456" s="25">
        <v>2</v>
      </c>
      <c r="H4456" s="26"/>
      <c r="I4456" s="27"/>
    </row>
    <row r="4457" spans="1:9" ht="15.75" thickBot="1" x14ac:dyDescent="0.3">
      <c r="A4457" s="43" t="s">
        <v>9988</v>
      </c>
      <c r="B4457" s="21" t="s">
        <v>9989</v>
      </c>
      <c r="C4457" s="21" t="s">
        <v>22667</v>
      </c>
      <c r="D4457" s="31" t="s">
        <v>22678</v>
      </c>
      <c r="E4457" s="23" t="s">
        <v>22656</v>
      </c>
      <c r="F4457" s="24" t="s">
        <v>22657</v>
      </c>
      <c r="G4457" s="25">
        <v>2</v>
      </c>
      <c r="H4457" s="29"/>
      <c r="I4457" s="30"/>
    </row>
    <row r="4458" spans="1:9" ht="15.75" thickBot="1" x14ac:dyDescent="0.3">
      <c r="A4458" s="43" t="s">
        <v>9990</v>
      </c>
      <c r="B4458" s="21" t="s">
        <v>9991</v>
      </c>
      <c r="C4458" s="21" t="s">
        <v>22667</v>
      </c>
      <c r="D4458" s="31" t="s">
        <v>22678</v>
      </c>
      <c r="E4458" s="23" t="s">
        <v>22656</v>
      </c>
      <c r="F4458" s="24" t="s">
        <v>22657</v>
      </c>
      <c r="G4458" s="25">
        <v>2</v>
      </c>
      <c r="H4458" s="26"/>
      <c r="I4458" s="27"/>
    </row>
    <row r="4459" spans="1:9" ht="15.75" thickBot="1" x14ac:dyDescent="0.3">
      <c r="A4459" s="43" t="s">
        <v>9992</v>
      </c>
      <c r="B4459" s="21" t="s">
        <v>9993</v>
      </c>
      <c r="C4459" s="21" t="s">
        <v>22667</v>
      </c>
      <c r="D4459" s="31" t="s">
        <v>22678</v>
      </c>
      <c r="E4459" s="23" t="s">
        <v>22656</v>
      </c>
      <c r="F4459" s="24" t="s">
        <v>22657</v>
      </c>
      <c r="G4459" s="25">
        <v>5</v>
      </c>
      <c r="H4459" s="29"/>
      <c r="I4459" s="30"/>
    </row>
    <row r="4460" spans="1:9" ht="15.75" thickBot="1" x14ac:dyDescent="0.3">
      <c r="A4460" s="43" t="s">
        <v>1661</v>
      </c>
      <c r="B4460" s="21" t="s">
        <v>1662</v>
      </c>
      <c r="C4460" s="21" t="s">
        <v>22667</v>
      </c>
      <c r="D4460" s="31" t="s">
        <v>22678</v>
      </c>
      <c r="E4460" s="23" t="s">
        <v>22662</v>
      </c>
      <c r="F4460" s="24" t="s">
        <v>22657</v>
      </c>
      <c r="G4460" s="25">
        <v>24</v>
      </c>
      <c r="H4460" s="34">
        <v>24</v>
      </c>
      <c r="I4460" s="35">
        <v>36</v>
      </c>
    </row>
    <row r="4461" spans="1:9" ht="15.75" thickBot="1" x14ac:dyDescent="0.3">
      <c r="A4461" s="43" t="s">
        <v>9994</v>
      </c>
      <c r="B4461" s="21" t="s">
        <v>9995</v>
      </c>
      <c r="C4461" s="21" t="s">
        <v>22655</v>
      </c>
      <c r="D4461" s="22">
        <v>46032</v>
      </c>
      <c r="E4461" s="23" t="s">
        <v>22656</v>
      </c>
      <c r="F4461" s="24" t="s">
        <v>22657</v>
      </c>
      <c r="G4461" s="25">
        <v>4</v>
      </c>
      <c r="H4461" s="29"/>
      <c r="I4461" s="30"/>
    </row>
    <row r="4462" spans="1:9" ht="15.75" thickBot="1" x14ac:dyDescent="0.3">
      <c r="A4462" s="43" t="s">
        <v>1729</v>
      </c>
      <c r="B4462" s="21" t="s">
        <v>9996</v>
      </c>
      <c r="C4462" s="21" t="s">
        <v>22667</v>
      </c>
      <c r="D4462" s="31" t="s">
        <v>22678</v>
      </c>
      <c r="E4462" s="23" t="s">
        <v>22656</v>
      </c>
      <c r="F4462" s="24" t="s">
        <v>22657</v>
      </c>
      <c r="G4462" s="25">
        <v>4</v>
      </c>
      <c r="H4462" s="26"/>
      <c r="I4462" s="27"/>
    </row>
    <row r="4463" spans="1:9" ht="15.75" thickBot="1" x14ac:dyDescent="0.3">
      <c r="A4463" s="43" t="s">
        <v>9997</v>
      </c>
      <c r="B4463" s="21" t="s">
        <v>9998</v>
      </c>
      <c r="C4463" s="21" t="s">
        <v>22667</v>
      </c>
      <c r="D4463" s="31" t="s">
        <v>22728</v>
      </c>
      <c r="E4463" s="23" t="s">
        <v>22656</v>
      </c>
      <c r="F4463" s="24" t="s">
        <v>22657</v>
      </c>
      <c r="G4463" s="25">
        <v>2</v>
      </c>
      <c r="H4463" s="29"/>
      <c r="I4463" s="30"/>
    </row>
    <row r="4464" spans="1:9" ht="15.75" thickBot="1" x14ac:dyDescent="0.3">
      <c r="A4464" s="43" t="s">
        <v>9999</v>
      </c>
      <c r="B4464" s="21" t="s">
        <v>10000</v>
      </c>
      <c r="C4464" s="21" t="s">
        <v>22667</v>
      </c>
      <c r="D4464" s="31" t="s">
        <v>22728</v>
      </c>
      <c r="E4464" s="23" t="s">
        <v>22658</v>
      </c>
      <c r="F4464" s="24" t="s">
        <v>22657</v>
      </c>
      <c r="G4464" s="25">
        <v>2</v>
      </c>
      <c r="H4464" s="26"/>
      <c r="I4464" s="27"/>
    </row>
    <row r="4465" spans="1:9" ht="15.75" thickBot="1" x14ac:dyDescent="0.3">
      <c r="A4465" s="43" t="s">
        <v>10001</v>
      </c>
      <c r="B4465" s="21" t="s">
        <v>10002</v>
      </c>
      <c r="C4465" s="21" t="s">
        <v>22667</v>
      </c>
      <c r="D4465" s="31" t="s">
        <v>22728</v>
      </c>
      <c r="E4465" s="23" t="s">
        <v>22656</v>
      </c>
      <c r="F4465" s="24" t="s">
        <v>22657</v>
      </c>
      <c r="G4465" s="25">
        <v>2</v>
      </c>
      <c r="H4465" s="29"/>
      <c r="I4465" s="30"/>
    </row>
    <row r="4466" spans="1:9" ht="15.75" thickBot="1" x14ac:dyDescent="0.3">
      <c r="A4466" s="43" t="s">
        <v>10003</v>
      </c>
      <c r="B4466" s="21" t="s">
        <v>10004</v>
      </c>
      <c r="C4466" s="21" t="s">
        <v>22667</v>
      </c>
      <c r="D4466" s="31" t="s">
        <v>22678</v>
      </c>
      <c r="E4466" s="23" t="s">
        <v>22656</v>
      </c>
      <c r="F4466" s="24" t="s">
        <v>22657</v>
      </c>
      <c r="G4466" s="25">
        <v>2</v>
      </c>
      <c r="H4466" s="26"/>
      <c r="I4466" s="27"/>
    </row>
    <row r="4467" spans="1:9" ht="15.75" thickBot="1" x14ac:dyDescent="0.3">
      <c r="A4467" s="43" t="s">
        <v>10005</v>
      </c>
      <c r="B4467" s="21" t="s">
        <v>10006</v>
      </c>
      <c r="C4467" s="21" t="s">
        <v>22667</v>
      </c>
      <c r="D4467" s="31" t="s">
        <v>22728</v>
      </c>
      <c r="E4467" s="23" t="s">
        <v>22661</v>
      </c>
      <c r="F4467" s="24" t="s">
        <v>22657</v>
      </c>
      <c r="G4467" s="25">
        <v>3</v>
      </c>
      <c r="H4467" s="29"/>
      <c r="I4467" s="30"/>
    </row>
    <row r="4468" spans="1:9" ht="15.75" thickBot="1" x14ac:dyDescent="0.3">
      <c r="A4468" s="43" t="s">
        <v>10007</v>
      </c>
      <c r="B4468" s="21" t="s">
        <v>10008</v>
      </c>
      <c r="C4468" s="21" t="s">
        <v>22667</v>
      </c>
      <c r="D4468" s="31" t="s">
        <v>22728</v>
      </c>
      <c r="E4468" s="23" t="s">
        <v>22656</v>
      </c>
      <c r="F4468" s="24" t="s">
        <v>22657</v>
      </c>
      <c r="G4468" s="25">
        <v>2</v>
      </c>
      <c r="H4468" s="26"/>
      <c r="I4468" s="27"/>
    </row>
    <row r="4469" spans="1:9" ht="15.75" thickBot="1" x14ac:dyDescent="0.3">
      <c r="A4469" s="43" t="s">
        <v>10009</v>
      </c>
      <c r="B4469" s="21" t="s">
        <v>10010</v>
      </c>
      <c r="C4469" s="21" t="s">
        <v>22667</v>
      </c>
      <c r="D4469" s="31" t="s">
        <v>22728</v>
      </c>
      <c r="E4469" s="23" t="s">
        <v>22656</v>
      </c>
      <c r="F4469" s="24" t="s">
        <v>22657</v>
      </c>
      <c r="G4469" s="25">
        <v>2</v>
      </c>
      <c r="H4469" s="29"/>
      <c r="I4469" s="30"/>
    </row>
    <row r="4470" spans="1:9" ht="15.75" thickBot="1" x14ac:dyDescent="0.3">
      <c r="A4470" s="43" t="s">
        <v>10011</v>
      </c>
      <c r="B4470" s="21" t="s">
        <v>10012</v>
      </c>
      <c r="C4470" s="21" t="s">
        <v>22667</v>
      </c>
      <c r="D4470" s="31" t="s">
        <v>22678</v>
      </c>
      <c r="E4470" s="23" t="s">
        <v>22656</v>
      </c>
      <c r="F4470" s="24" t="s">
        <v>22657</v>
      </c>
      <c r="G4470" s="25">
        <v>2</v>
      </c>
      <c r="H4470" s="26"/>
      <c r="I4470" s="27"/>
    </row>
    <row r="4471" spans="1:9" ht="15.75" thickBot="1" x14ac:dyDescent="0.3">
      <c r="A4471" s="43" t="s">
        <v>10013</v>
      </c>
      <c r="B4471" s="21" t="s">
        <v>10014</v>
      </c>
      <c r="C4471" s="21" t="s">
        <v>22667</v>
      </c>
      <c r="D4471" s="31" t="s">
        <v>22728</v>
      </c>
      <c r="E4471" s="23" t="s">
        <v>22656</v>
      </c>
      <c r="F4471" s="24" t="s">
        <v>22657</v>
      </c>
      <c r="G4471" s="25">
        <v>2</v>
      </c>
      <c r="H4471" s="29"/>
      <c r="I4471" s="30"/>
    </row>
    <row r="4472" spans="1:9" ht="15.75" thickBot="1" x14ac:dyDescent="0.3">
      <c r="A4472" s="43" t="s">
        <v>10015</v>
      </c>
      <c r="B4472" s="21" t="s">
        <v>10016</v>
      </c>
      <c r="C4472" s="21" t="s">
        <v>22667</v>
      </c>
      <c r="D4472" s="31" t="s">
        <v>22678</v>
      </c>
      <c r="E4472" s="23" t="s">
        <v>22656</v>
      </c>
      <c r="F4472" s="24" t="s">
        <v>22657</v>
      </c>
      <c r="G4472" s="25">
        <v>2</v>
      </c>
      <c r="H4472" s="26"/>
      <c r="I4472" s="27"/>
    </row>
    <row r="4473" spans="1:9" ht="15.75" thickBot="1" x14ac:dyDescent="0.3">
      <c r="A4473" s="43" t="s">
        <v>10017</v>
      </c>
      <c r="B4473" s="21" t="s">
        <v>10018</v>
      </c>
      <c r="C4473" s="21" t="s">
        <v>22667</v>
      </c>
      <c r="D4473" s="31" t="s">
        <v>22728</v>
      </c>
      <c r="E4473" s="23" t="s">
        <v>22656</v>
      </c>
      <c r="F4473" s="24" t="s">
        <v>22657</v>
      </c>
      <c r="G4473" s="25">
        <v>2</v>
      </c>
      <c r="H4473" s="29"/>
      <c r="I4473" s="30"/>
    </row>
    <row r="4474" spans="1:9" ht="15.75" thickBot="1" x14ac:dyDescent="0.3">
      <c r="A4474" s="43" t="s">
        <v>10019</v>
      </c>
      <c r="B4474" s="21" t="s">
        <v>10020</v>
      </c>
      <c r="C4474" s="21" t="s">
        <v>22667</v>
      </c>
      <c r="D4474" s="31" t="s">
        <v>22728</v>
      </c>
      <c r="E4474" s="23" t="s">
        <v>22656</v>
      </c>
      <c r="F4474" s="24" t="s">
        <v>22657</v>
      </c>
      <c r="G4474" s="25">
        <v>2</v>
      </c>
      <c r="H4474" s="26"/>
      <c r="I4474" s="27"/>
    </row>
    <row r="4475" spans="1:9" ht="15.75" thickBot="1" x14ac:dyDescent="0.3">
      <c r="A4475" s="43" t="s">
        <v>10021</v>
      </c>
      <c r="B4475" s="21" t="s">
        <v>10022</v>
      </c>
      <c r="C4475" s="21" t="s">
        <v>22667</v>
      </c>
      <c r="D4475" s="31" t="s">
        <v>22728</v>
      </c>
      <c r="E4475" s="23" t="s">
        <v>22656</v>
      </c>
      <c r="F4475" s="24" t="s">
        <v>22657</v>
      </c>
      <c r="G4475" s="25">
        <v>2</v>
      </c>
      <c r="H4475" s="29"/>
      <c r="I4475" s="30"/>
    </row>
    <row r="4476" spans="1:9" ht="15.75" thickBot="1" x14ac:dyDescent="0.3">
      <c r="A4476" s="43" t="s">
        <v>10023</v>
      </c>
      <c r="B4476" s="21" t="s">
        <v>10024</v>
      </c>
      <c r="C4476" s="21" t="s">
        <v>22667</v>
      </c>
      <c r="D4476" s="31" t="s">
        <v>22678</v>
      </c>
      <c r="E4476" s="23" t="s">
        <v>22656</v>
      </c>
      <c r="F4476" s="24" t="s">
        <v>22657</v>
      </c>
      <c r="G4476" s="25">
        <v>2</v>
      </c>
      <c r="H4476" s="26"/>
      <c r="I4476" s="27"/>
    </row>
    <row r="4477" spans="1:9" ht="15.75" thickBot="1" x14ac:dyDescent="0.3">
      <c r="A4477" s="43" t="s">
        <v>10025</v>
      </c>
      <c r="B4477" s="21" t="s">
        <v>10026</v>
      </c>
      <c r="C4477" s="21" t="s">
        <v>22667</v>
      </c>
      <c r="D4477" s="31" t="s">
        <v>22728</v>
      </c>
      <c r="E4477" s="23" t="s">
        <v>22656</v>
      </c>
      <c r="F4477" s="24" t="s">
        <v>22657</v>
      </c>
      <c r="G4477" s="25">
        <v>2</v>
      </c>
      <c r="H4477" s="29"/>
      <c r="I4477" s="30"/>
    </row>
    <row r="4478" spans="1:9" ht="15.75" thickBot="1" x14ac:dyDescent="0.3">
      <c r="A4478" s="43" t="s">
        <v>10027</v>
      </c>
      <c r="B4478" s="21" t="s">
        <v>10028</v>
      </c>
      <c r="C4478" s="21" t="s">
        <v>22667</v>
      </c>
      <c r="D4478" s="31" t="s">
        <v>22728</v>
      </c>
      <c r="E4478" s="23" t="s">
        <v>22656</v>
      </c>
      <c r="F4478" s="24" t="s">
        <v>22657</v>
      </c>
      <c r="G4478" s="25">
        <v>2</v>
      </c>
      <c r="H4478" s="26"/>
      <c r="I4478" s="27"/>
    </row>
    <row r="4479" spans="1:9" ht="15.75" thickBot="1" x14ac:dyDescent="0.3">
      <c r="A4479" s="43" t="s">
        <v>10029</v>
      </c>
      <c r="B4479" s="21" t="s">
        <v>10030</v>
      </c>
      <c r="C4479" s="21" t="s">
        <v>22667</v>
      </c>
      <c r="D4479" s="31" t="s">
        <v>22678</v>
      </c>
      <c r="E4479" s="23" t="s">
        <v>22656</v>
      </c>
      <c r="F4479" s="24" t="s">
        <v>22657</v>
      </c>
      <c r="G4479" s="25">
        <v>2</v>
      </c>
      <c r="H4479" s="29"/>
      <c r="I4479" s="30"/>
    </row>
    <row r="4480" spans="1:9" ht="15.75" thickBot="1" x14ac:dyDescent="0.3">
      <c r="A4480" s="43" t="s">
        <v>10031</v>
      </c>
      <c r="B4480" s="21" t="s">
        <v>10032</v>
      </c>
      <c r="C4480" s="21" t="s">
        <v>22667</v>
      </c>
      <c r="D4480" s="31" t="s">
        <v>22728</v>
      </c>
      <c r="E4480" s="23" t="s">
        <v>22665</v>
      </c>
      <c r="F4480" s="24" t="s">
        <v>22657</v>
      </c>
      <c r="G4480" s="25">
        <v>7</v>
      </c>
      <c r="H4480" s="26"/>
      <c r="I4480" s="27"/>
    </row>
    <row r="4481" spans="1:9" ht="15.75" thickBot="1" x14ac:dyDescent="0.3">
      <c r="A4481" s="43" t="s">
        <v>10033</v>
      </c>
      <c r="B4481" s="21" t="s">
        <v>10034</v>
      </c>
      <c r="C4481" s="21" t="s">
        <v>22667</v>
      </c>
      <c r="D4481" s="31" t="s">
        <v>22678</v>
      </c>
      <c r="E4481" s="23" t="s">
        <v>22665</v>
      </c>
      <c r="F4481" s="24" t="s">
        <v>22657</v>
      </c>
      <c r="G4481" s="25">
        <v>14</v>
      </c>
      <c r="H4481" s="29"/>
      <c r="I4481" s="30"/>
    </row>
    <row r="4482" spans="1:9" ht="15.75" thickBot="1" x14ac:dyDescent="0.3">
      <c r="A4482" s="43" t="s">
        <v>10035</v>
      </c>
      <c r="B4482" s="21" t="s">
        <v>10036</v>
      </c>
      <c r="C4482" s="21" t="s">
        <v>22667</v>
      </c>
      <c r="D4482" s="31" t="s">
        <v>22728</v>
      </c>
      <c r="E4482" s="23" t="s">
        <v>22656</v>
      </c>
      <c r="F4482" s="24" t="s">
        <v>22657</v>
      </c>
      <c r="G4482" s="25">
        <v>2</v>
      </c>
      <c r="H4482" s="26"/>
      <c r="I4482" s="27"/>
    </row>
    <row r="4483" spans="1:9" ht="15.75" thickBot="1" x14ac:dyDescent="0.3">
      <c r="A4483" s="43" t="s">
        <v>10037</v>
      </c>
      <c r="B4483" s="21" t="s">
        <v>10038</v>
      </c>
      <c r="C4483" s="21" t="s">
        <v>22667</v>
      </c>
      <c r="D4483" s="31" t="s">
        <v>22678</v>
      </c>
      <c r="E4483" s="23" t="s">
        <v>22656</v>
      </c>
      <c r="F4483" s="24" t="s">
        <v>22657</v>
      </c>
      <c r="G4483" s="25">
        <v>2</v>
      </c>
      <c r="H4483" s="29"/>
      <c r="I4483" s="30"/>
    </row>
    <row r="4484" spans="1:9" ht="15.75" thickBot="1" x14ac:dyDescent="0.3">
      <c r="A4484" s="43" t="s">
        <v>10039</v>
      </c>
      <c r="B4484" s="21" t="s">
        <v>10040</v>
      </c>
      <c r="C4484" s="21" t="s">
        <v>22667</v>
      </c>
      <c r="D4484" s="31" t="s">
        <v>22728</v>
      </c>
      <c r="E4484" s="23" t="s">
        <v>22661</v>
      </c>
      <c r="F4484" s="24" t="s">
        <v>22657</v>
      </c>
      <c r="G4484" s="25">
        <v>3</v>
      </c>
      <c r="H4484" s="26"/>
      <c r="I4484" s="27"/>
    </row>
    <row r="4485" spans="1:9" ht="15.75" thickBot="1" x14ac:dyDescent="0.3">
      <c r="A4485" s="43" t="s">
        <v>10041</v>
      </c>
      <c r="B4485" s="21" t="s">
        <v>10042</v>
      </c>
      <c r="C4485" s="21" t="s">
        <v>22667</v>
      </c>
      <c r="D4485" s="31" t="s">
        <v>22728</v>
      </c>
      <c r="E4485" s="23" t="s">
        <v>22656</v>
      </c>
      <c r="F4485" s="24" t="s">
        <v>22657</v>
      </c>
      <c r="G4485" s="25">
        <v>2</v>
      </c>
      <c r="H4485" s="29"/>
      <c r="I4485" s="30"/>
    </row>
    <row r="4486" spans="1:9" ht="15.75" thickBot="1" x14ac:dyDescent="0.3">
      <c r="A4486" s="43" t="s">
        <v>1525</v>
      </c>
      <c r="B4486" s="21" t="s">
        <v>10043</v>
      </c>
      <c r="C4486" s="21" t="s">
        <v>22667</v>
      </c>
      <c r="D4486" s="31" t="s">
        <v>22728</v>
      </c>
      <c r="E4486" s="23" t="s">
        <v>22662</v>
      </c>
      <c r="F4486" s="24" t="s">
        <v>22657</v>
      </c>
      <c r="G4486" s="25">
        <v>48</v>
      </c>
      <c r="H4486" s="34">
        <v>48</v>
      </c>
      <c r="I4486" s="35">
        <v>60</v>
      </c>
    </row>
    <row r="4487" spans="1:9" ht="15.75" thickBot="1" x14ac:dyDescent="0.3">
      <c r="A4487" s="43" t="s">
        <v>10044</v>
      </c>
      <c r="B4487" s="21" t="s">
        <v>10045</v>
      </c>
      <c r="C4487" s="21" t="s">
        <v>22655</v>
      </c>
      <c r="D4487" s="22">
        <v>46046</v>
      </c>
      <c r="E4487" s="23" t="s">
        <v>22656</v>
      </c>
      <c r="F4487" s="24" t="s">
        <v>22657</v>
      </c>
      <c r="G4487" s="25">
        <v>2</v>
      </c>
      <c r="H4487" s="29"/>
      <c r="I4487" s="30"/>
    </row>
    <row r="4488" spans="1:9" ht="15.75" thickBot="1" x14ac:dyDescent="0.3">
      <c r="A4488" s="43" t="s">
        <v>10046</v>
      </c>
      <c r="B4488" s="21" t="s">
        <v>10047</v>
      </c>
      <c r="C4488" s="21" t="s">
        <v>22663</v>
      </c>
      <c r="D4488" s="31">
        <v>1</v>
      </c>
      <c r="E4488" s="23" t="s">
        <v>22665</v>
      </c>
      <c r="F4488" s="24" t="s">
        <v>22657</v>
      </c>
      <c r="G4488" s="25">
        <v>34</v>
      </c>
      <c r="H4488" s="26"/>
      <c r="I4488" s="27"/>
    </row>
    <row r="4489" spans="1:9" ht="15.75" thickBot="1" x14ac:dyDescent="0.3">
      <c r="A4489" s="43" t="s">
        <v>10048</v>
      </c>
      <c r="B4489" s="21" t="s">
        <v>10049</v>
      </c>
      <c r="C4489" s="21" t="s">
        <v>22690</v>
      </c>
      <c r="D4489" s="31" t="s">
        <v>22814</v>
      </c>
      <c r="E4489" s="23" t="s">
        <v>22656</v>
      </c>
      <c r="F4489" s="24" t="s">
        <v>22657</v>
      </c>
      <c r="G4489" s="25">
        <v>8</v>
      </c>
      <c r="H4489" s="29"/>
      <c r="I4489" s="30"/>
    </row>
    <row r="4490" spans="1:9" ht="15.75" thickBot="1" x14ac:dyDescent="0.3">
      <c r="A4490" s="43" t="s">
        <v>10050</v>
      </c>
      <c r="B4490" s="21" t="s">
        <v>10051</v>
      </c>
      <c r="C4490" s="21" t="s">
        <v>22690</v>
      </c>
      <c r="D4490" s="31" t="s">
        <v>22814</v>
      </c>
      <c r="E4490" s="23" t="s">
        <v>22658</v>
      </c>
      <c r="F4490" s="24" t="s">
        <v>22657</v>
      </c>
      <c r="G4490" s="25">
        <v>8</v>
      </c>
      <c r="H4490" s="26"/>
      <c r="I4490" s="27"/>
    </row>
    <row r="4491" spans="1:9" ht="15.75" thickBot="1" x14ac:dyDescent="0.3">
      <c r="A4491" s="43" t="s">
        <v>10052</v>
      </c>
      <c r="B4491" s="21" t="s">
        <v>10053</v>
      </c>
      <c r="C4491" s="21" t="s">
        <v>22690</v>
      </c>
      <c r="D4491" s="31" t="s">
        <v>22814</v>
      </c>
      <c r="E4491" s="23" t="s">
        <v>22658</v>
      </c>
      <c r="F4491" s="24" t="s">
        <v>22657</v>
      </c>
      <c r="G4491" s="25">
        <v>8</v>
      </c>
      <c r="H4491" s="29"/>
      <c r="I4491" s="30"/>
    </row>
    <row r="4492" spans="1:9" ht="15.75" thickBot="1" x14ac:dyDescent="0.3">
      <c r="A4492" s="43" t="s">
        <v>10054</v>
      </c>
      <c r="B4492" s="21" t="s">
        <v>10055</v>
      </c>
      <c r="C4492" s="21" t="s">
        <v>22667</v>
      </c>
      <c r="D4492" s="31" t="s">
        <v>22728</v>
      </c>
      <c r="E4492" s="23" t="s">
        <v>22661</v>
      </c>
      <c r="F4492" s="24" t="s">
        <v>22657</v>
      </c>
      <c r="G4492" s="25">
        <v>12</v>
      </c>
      <c r="H4492" s="26"/>
      <c r="I4492" s="27"/>
    </row>
    <row r="4493" spans="1:9" ht="15.75" thickBot="1" x14ac:dyDescent="0.3">
      <c r="A4493" s="43" t="s">
        <v>10056</v>
      </c>
      <c r="B4493" s="21" t="s">
        <v>10057</v>
      </c>
      <c r="C4493" s="21" t="s">
        <v>22690</v>
      </c>
      <c r="D4493" s="31" t="s">
        <v>22692</v>
      </c>
      <c r="E4493" s="23" t="s">
        <v>22656</v>
      </c>
      <c r="F4493" s="24" t="s">
        <v>22657</v>
      </c>
      <c r="G4493" s="25">
        <v>8</v>
      </c>
      <c r="H4493" s="29"/>
      <c r="I4493" s="30"/>
    </row>
    <row r="4494" spans="1:9" ht="15.75" thickBot="1" x14ac:dyDescent="0.3">
      <c r="A4494" s="43" t="s">
        <v>10058</v>
      </c>
      <c r="B4494" s="21" t="s">
        <v>10059</v>
      </c>
      <c r="C4494" s="21" t="s">
        <v>22667</v>
      </c>
      <c r="D4494" s="31" t="s">
        <v>22728</v>
      </c>
      <c r="E4494" s="23" t="s">
        <v>22661</v>
      </c>
      <c r="F4494" s="24" t="s">
        <v>22657</v>
      </c>
      <c r="G4494" s="25">
        <v>9</v>
      </c>
      <c r="H4494" s="26"/>
      <c r="I4494" s="27"/>
    </row>
    <row r="4495" spans="1:9" ht="15.75" thickBot="1" x14ac:dyDescent="0.3">
      <c r="A4495" s="43" t="s">
        <v>10060</v>
      </c>
      <c r="B4495" s="21" t="s">
        <v>10061</v>
      </c>
      <c r="C4495" s="21" t="s">
        <v>22690</v>
      </c>
      <c r="D4495" s="31" t="s">
        <v>22692</v>
      </c>
      <c r="E4495" s="23" t="s">
        <v>22656</v>
      </c>
      <c r="F4495" s="24" t="s">
        <v>22657</v>
      </c>
      <c r="G4495" s="25">
        <v>8</v>
      </c>
      <c r="H4495" s="29"/>
      <c r="I4495" s="30"/>
    </row>
    <row r="4496" spans="1:9" ht="15.75" thickBot="1" x14ac:dyDescent="0.3">
      <c r="A4496" s="43" t="s">
        <v>10062</v>
      </c>
      <c r="B4496" s="21" t="s">
        <v>10063</v>
      </c>
      <c r="C4496" s="21" t="s">
        <v>22667</v>
      </c>
      <c r="D4496" s="31" t="s">
        <v>22728</v>
      </c>
      <c r="E4496" s="23" t="s">
        <v>22661</v>
      </c>
      <c r="F4496" s="24" t="s">
        <v>22657</v>
      </c>
      <c r="G4496" s="25">
        <v>2</v>
      </c>
      <c r="H4496" s="26"/>
      <c r="I4496" s="27"/>
    </row>
    <row r="4497" spans="1:9" ht="15.75" thickBot="1" x14ac:dyDescent="0.3">
      <c r="A4497" s="43" t="s">
        <v>10064</v>
      </c>
      <c r="B4497" s="21" t="s">
        <v>10065</v>
      </c>
      <c r="C4497" s="21" t="s">
        <v>22690</v>
      </c>
      <c r="D4497" s="31" t="s">
        <v>22692</v>
      </c>
      <c r="E4497" s="23" t="s">
        <v>22656</v>
      </c>
      <c r="F4497" s="24" t="s">
        <v>22657</v>
      </c>
      <c r="G4497" s="25">
        <v>8</v>
      </c>
      <c r="H4497" s="29"/>
      <c r="I4497" s="30"/>
    </row>
    <row r="4498" spans="1:9" ht="15.75" thickBot="1" x14ac:dyDescent="0.3">
      <c r="A4498" s="43" t="s">
        <v>1427</v>
      </c>
      <c r="B4498" s="21" t="s">
        <v>10066</v>
      </c>
      <c r="C4498" s="21" t="s">
        <v>22667</v>
      </c>
      <c r="D4498" s="31" t="s">
        <v>22728</v>
      </c>
      <c r="E4498" s="23" t="s">
        <v>22665</v>
      </c>
      <c r="F4498" s="24" t="s">
        <v>22657</v>
      </c>
      <c r="G4498" s="25">
        <v>14</v>
      </c>
      <c r="H4498" s="26"/>
      <c r="I4498" s="27"/>
    </row>
    <row r="4499" spans="1:9" ht="15.75" thickBot="1" x14ac:dyDescent="0.3">
      <c r="A4499" s="43" t="s">
        <v>10067</v>
      </c>
      <c r="B4499" s="21" t="s">
        <v>10068</v>
      </c>
      <c r="C4499" s="21" t="s">
        <v>22667</v>
      </c>
      <c r="D4499" s="31" t="s">
        <v>22728</v>
      </c>
      <c r="E4499" s="23" t="s">
        <v>22661</v>
      </c>
      <c r="F4499" s="24" t="s">
        <v>22657</v>
      </c>
      <c r="G4499" s="25">
        <v>14</v>
      </c>
      <c r="H4499" s="29"/>
      <c r="I4499" s="30"/>
    </row>
    <row r="4500" spans="1:9" ht="15.75" thickBot="1" x14ac:dyDescent="0.3">
      <c r="A4500" s="43" t="s">
        <v>10069</v>
      </c>
      <c r="B4500" s="21" t="s">
        <v>10070</v>
      </c>
      <c r="C4500" s="21" t="s">
        <v>22690</v>
      </c>
      <c r="D4500" s="31" t="s">
        <v>22692</v>
      </c>
      <c r="E4500" s="23" t="s">
        <v>22656</v>
      </c>
      <c r="F4500" s="24" t="s">
        <v>22657</v>
      </c>
      <c r="G4500" s="25">
        <v>8</v>
      </c>
      <c r="H4500" s="26"/>
      <c r="I4500" s="27"/>
    </row>
    <row r="4501" spans="1:9" ht="15.75" thickBot="1" x14ac:dyDescent="0.3">
      <c r="A4501" s="43" t="s">
        <v>10071</v>
      </c>
      <c r="B4501" s="21" t="s">
        <v>10072</v>
      </c>
      <c r="C4501" s="21" t="s">
        <v>22667</v>
      </c>
      <c r="D4501" s="31" t="s">
        <v>22728</v>
      </c>
      <c r="E4501" s="23" t="s">
        <v>22665</v>
      </c>
      <c r="F4501" s="24" t="s">
        <v>22657</v>
      </c>
      <c r="G4501" s="25">
        <v>11</v>
      </c>
      <c r="H4501" s="29"/>
      <c r="I4501" s="30"/>
    </row>
    <row r="4502" spans="1:9" ht="15.75" thickBot="1" x14ac:dyDescent="0.3">
      <c r="A4502" s="43" t="s">
        <v>10073</v>
      </c>
      <c r="B4502" s="21" t="s">
        <v>10074</v>
      </c>
      <c r="C4502" s="21" t="s">
        <v>22667</v>
      </c>
      <c r="D4502" s="31" t="s">
        <v>22728</v>
      </c>
      <c r="E4502" s="23" t="s">
        <v>22665</v>
      </c>
      <c r="F4502" s="24" t="s">
        <v>22657</v>
      </c>
      <c r="G4502" s="25">
        <v>48</v>
      </c>
      <c r="H4502" s="26"/>
      <c r="I4502" s="27"/>
    </row>
    <row r="4503" spans="1:9" ht="15.75" thickBot="1" x14ac:dyDescent="0.3">
      <c r="A4503" s="43" t="s">
        <v>10075</v>
      </c>
      <c r="B4503" s="21" t="s">
        <v>10076</v>
      </c>
      <c r="C4503" s="21" t="s">
        <v>22667</v>
      </c>
      <c r="D4503" s="31" t="s">
        <v>22728</v>
      </c>
      <c r="E4503" s="23" t="s">
        <v>22665</v>
      </c>
      <c r="F4503" s="24" t="s">
        <v>22657</v>
      </c>
      <c r="G4503" s="25">
        <v>48</v>
      </c>
      <c r="H4503" s="29"/>
      <c r="I4503" s="30"/>
    </row>
    <row r="4504" spans="1:9" ht="15.75" thickBot="1" x14ac:dyDescent="0.3">
      <c r="A4504" s="43" t="s">
        <v>10077</v>
      </c>
      <c r="B4504" s="21" t="s">
        <v>10078</v>
      </c>
      <c r="C4504" s="21" t="s">
        <v>22690</v>
      </c>
      <c r="D4504" s="31" t="s">
        <v>22692</v>
      </c>
      <c r="E4504" s="23" t="s">
        <v>22656</v>
      </c>
      <c r="F4504" s="24" t="s">
        <v>22657</v>
      </c>
      <c r="G4504" s="25">
        <v>8</v>
      </c>
      <c r="H4504" s="26"/>
      <c r="I4504" s="27"/>
    </row>
    <row r="4505" spans="1:9" ht="15.75" thickBot="1" x14ac:dyDescent="0.3">
      <c r="A4505" s="43" t="s">
        <v>10079</v>
      </c>
      <c r="B4505" s="21" t="s">
        <v>10080</v>
      </c>
      <c r="C4505" s="21" t="s">
        <v>22667</v>
      </c>
      <c r="D4505" s="31" t="s">
        <v>22728</v>
      </c>
      <c r="E4505" s="23" t="s">
        <v>22661</v>
      </c>
      <c r="F4505" s="24" t="s">
        <v>22657</v>
      </c>
      <c r="G4505" s="25">
        <v>10</v>
      </c>
      <c r="H4505" s="29"/>
      <c r="I4505" s="30"/>
    </row>
    <row r="4506" spans="1:9" ht="15.75" thickBot="1" x14ac:dyDescent="0.3">
      <c r="A4506" s="43" t="s">
        <v>10081</v>
      </c>
      <c r="B4506" s="21" t="s">
        <v>10082</v>
      </c>
      <c r="C4506" s="21" t="s">
        <v>22667</v>
      </c>
      <c r="D4506" s="31" t="s">
        <v>22728</v>
      </c>
      <c r="E4506" s="23" t="s">
        <v>22665</v>
      </c>
      <c r="F4506" s="24" t="s">
        <v>22657</v>
      </c>
      <c r="G4506" s="25">
        <v>48</v>
      </c>
      <c r="H4506" s="26"/>
      <c r="I4506" s="27"/>
    </row>
    <row r="4507" spans="1:9" ht="15.75" thickBot="1" x14ac:dyDescent="0.3">
      <c r="A4507" s="43" t="s">
        <v>10083</v>
      </c>
      <c r="B4507" s="21" t="s">
        <v>10084</v>
      </c>
      <c r="C4507" s="21" t="s">
        <v>22690</v>
      </c>
      <c r="D4507" s="31" t="s">
        <v>22692</v>
      </c>
      <c r="E4507" s="23" t="s">
        <v>22661</v>
      </c>
      <c r="F4507" s="24" t="s">
        <v>22657</v>
      </c>
      <c r="G4507" s="25">
        <v>8</v>
      </c>
      <c r="H4507" s="29"/>
      <c r="I4507" s="30"/>
    </row>
    <row r="4508" spans="1:9" ht="15.75" thickBot="1" x14ac:dyDescent="0.3">
      <c r="A4508" s="43" t="s">
        <v>10085</v>
      </c>
      <c r="B4508" s="21" t="s">
        <v>10086</v>
      </c>
      <c r="C4508" s="21" t="s">
        <v>22667</v>
      </c>
      <c r="D4508" s="31" t="s">
        <v>22728</v>
      </c>
      <c r="E4508" s="23" t="s">
        <v>22665</v>
      </c>
      <c r="F4508" s="24" t="s">
        <v>22657</v>
      </c>
      <c r="G4508" s="25">
        <v>22</v>
      </c>
      <c r="H4508" s="26"/>
      <c r="I4508" s="27"/>
    </row>
    <row r="4509" spans="1:9" ht="15.75" thickBot="1" x14ac:dyDescent="0.3">
      <c r="A4509" s="43" t="s">
        <v>10087</v>
      </c>
      <c r="B4509" s="21" t="s">
        <v>10088</v>
      </c>
      <c r="C4509" s="21" t="s">
        <v>22667</v>
      </c>
      <c r="D4509" s="31" t="s">
        <v>22728</v>
      </c>
      <c r="E4509" s="23" t="s">
        <v>22661</v>
      </c>
      <c r="F4509" s="24" t="s">
        <v>22657</v>
      </c>
      <c r="G4509" s="25">
        <v>48</v>
      </c>
      <c r="H4509" s="29"/>
      <c r="I4509" s="30"/>
    </row>
    <row r="4510" spans="1:9" ht="15.75" thickBot="1" x14ac:dyDescent="0.3">
      <c r="A4510" s="43" t="s">
        <v>10089</v>
      </c>
      <c r="B4510" s="21" t="s">
        <v>10090</v>
      </c>
      <c r="C4510" s="21" t="s">
        <v>22667</v>
      </c>
      <c r="D4510" s="31" t="s">
        <v>22728</v>
      </c>
      <c r="E4510" s="23" t="s">
        <v>22656</v>
      </c>
      <c r="F4510" s="24" t="s">
        <v>22657</v>
      </c>
      <c r="G4510" s="25">
        <v>3</v>
      </c>
      <c r="H4510" s="26"/>
      <c r="I4510" s="27"/>
    </row>
    <row r="4511" spans="1:9" ht="15.75" thickBot="1" x14ac:dyDescent="0.3">
      <c r="A4511" s="43" t="s">
        <v>10091</v>
      </c>
      <c r="B4511" s="21" t="s">
        <v>10092</v>
      </c>
      <c r="C4511" s="21" t="s">
        <v>22690</v>
      </c>
      <c r="D4511" s="31" t="s">
        <v>22692</v>
      </c>
      <c r="E4511" s="23" t="s">
        <v>22656</v>
      </c>
      <c r="F4511" s="24" t="s">
        <v>22657</v>
      </c>
      <c r="G4511" s="25">
        <v>8</v>
      </c>
      <c r="H4511" s="29"/>
      <c r="I4511" s="30"/>
    </row>
    <row r="4512" spans="1:9" ht="15.75" thickBot="1" x14ac:dyDescent="0.3">
      <c r="A4512" s="43" t="s">
        <v>10093</v>
      </c>
      <c r="B4512" s="21" t="s">
        <v>10094</v>
      </c>
      <c r="C4512" s="21" t="s">
        <v>22667</v>
      </c>
      <c r="D4512" s="31" t="s">
        <v>22728</v>
      </c>
      <c r="E4512" s="23" t="s">
        <v>22661</v>
      </c>
      <c r="F4512" s="24" t="s">
        <v>22657</v>
      </c>
      <c r="G4512" s="25">
        <v>8</v>
      </c>
      <c r="H4512" s="26"/>
      <c r="I4512" s="27"/>
    </row>
    <row r="4513" spans="1:9" ht="15.75" thickBot="1" x14ac:dyDescent="0.3">
      <c r="A4513" s="43" t="s">
        <v>10095</v>
      </c>
      <c r="B4513" s="21" t="s">
        <v>10096</v>
      </c>
      <c r="C4513" s="21" t="s">
        <v>22690</v>
      </c>
      <c r="D4513" s="31" t="s">
        <v>22692</v>
      </c>
      <c r="E4513" s="23" t="s">
        <v>22656</v>
      </c>
      <c r="F4513" s="24" t="s">
        <v>22657</v>
      </c>
      <c r="G4513" s="25">
        <v>8</v>
      </c>
      <c r="H4513" s="29"/>
      <c r="I4513" s="30"/>
    </row>
    <row r="4514" spans="1:9" ht="15.75" thickBot="1" x14ac:dyDescent="0.3">
      <c r="A4514" s="43" t="s">
        <v>10097</v>
      </c>
      <c r="B4514" s="21" t="s">
        <v>10098</v>
      </c>
      <c r="C4514" s="21" t="s">
        <v>22667</v>
      </c>
      <c r="D4514" s="31" t="s">
        <v>22678</v>
      </c>
      <c r="E4514" s="23" t="s">
        <v>22656</v>
      </c>
      <c r="F4514" s="24" t="s">
        <v>22657</v>
      </c>
      <c r="G4514" s="25">
        <v>2</v>
      </c>
      <c r="H4514" s="26"/>
      <c r="I4514" s="27"/>
    </row>
    <row r="4515" spans="1:9" ht="15.75" thickBot="1" x14ac:dyDescent="0.3">
      <c r="A4515" s="43" t="s">
        <v>10099</v>
      </c>
      <c r="B4515" s="21" t="s">
        <v>10100</v>
      </c>
      <c r="C4515" s="21" t="s">
        <v>22667</v>
      </c>
      <c r="D4515" s="31" t="s">
        <v>22678</v>
      </c>
      <c r="E4515" s="23" t="s">
        <v>22656</v>
      </c>
      <c r="F4515" s="24" t="s">
        <v>22657</v>
      </c>
      <c r="G4515" s="25">
        <v>2</v>
      </c>
      <c r="H4515" s="29"/>
      <c r="I4515" s="30"/>
    </row>
    <row r="4516" spans="1:9" ht="15.75" thickBot="1" x14ac:dyDescent="0.3">
      <c r="A4516" s="43" t="s">
        <v>10101</v>
      </c>
      <c r="B4516" s="21" t="s">
        <v>10102</v>
      </c>
      <c r="C4516" s="21" t="s">
        <v>22667</v>
      </c>
      <c r="D4516" s="31" t="s">
        <v>22678</v>
      </c>
      <c r="E4516" s="23" t="s">
        <v>22658</v>
      </c>
      <c r="F4516" s="24" t="s">
        <v>22657</v>
      </c>
      <c r="G4516" s="25">
        <v>2</v>
      </c>
      <c r="H4516" s="26"/>
      <c r="I4516" s="27"/>
    </row>
    <row r="4517" spans="1:9" ht="15.75" thickBot="1" x14ac:dyDescent="0.3">
      <c r="A4517" s="43" t="s">
        <v>1497</v>
      </c>
      <c r="B4517" s="21" t="s">
        <v>1498</v>
      </c>
      <c r="C4517" s="21" t="s">
        <v>22655</v>
      </c>
      <c r="D4517" s="22">
        <v>46032</v>
      </c>
      <c r="E4517" s="23" t="s">
        <v>22656</v>
      </c>
      <c r="F4517" s="24" t="s">
        <v>22657</v>
      </c>
      <c r="G4517" s="25">
        <v>4</v>
      </c>
      <c r="H4517" s="29"/>
      <c r="I4517" s="30"/>
    </row>
    <row r="4518" spans="1:9" ht="15.75" thickBot="1" x14ac:dyDescent="0.3">
      <c r="A4518" s="43" t="s">
        <v>1749</v>
      </c>
      <c r="B4518" s="21" t="s">
        <v>10103</v>
      </c>
      <c r="C4518" s="21" t="s">
        <v>22667</v>
      </c>
      <c r="D4518" s="31" t="s">
        <v>22678</v>
      </c>
      <c r="E4518" s="23" t="s">
        <v>22662</v>
      </c>
      <c r="F4518" s="24" t="s">
        <v>22657</v>
      </c>
      <c r="G4518" s="25">
        <v>36</v>
      </c>
      <c r="H4518" s="34">
        <v>36</v>
      </c>
      <c r="I4518" s="35">
        <v>48</v>
      </c>
    </row>
    <row r="4519" spans="1:9" ht="15.75" thickBot="1" x14ac:dyDescent="0.3">
      <c r="A4519" s="43" t="s">
        <v>761</v>
      </c>
      <c r="B4519" s="21" t="s">
        <v>762</v>
      </c>
      <c r="C4519" s="21" t="s">
        <v>22663</v>
      </c>
      <c r="D4519" s="31">
        <v>1</v>
      </c>
      <c r="E4519" s="23" t="s">
        <v>22656</v>
      </c>
      <c r="F4519" s="24" t="s">
        <v>22657</v>
      </c>
      <c r="G4519" s="25">
        <v>2</v>
      </c>
      <c r="H4519" s="32">
        <v>2</v>
      </c>
      <c r="I4519" s="33">
        <v>4</v>
      </c>
    </row>
    <row r="4520" spans="1:9" ht="15.75" thickBot="1" x14ac:dyDescent="0.3">
      <c r="A4520" s="43" t="s">
        <v>1351</v>
      </c>
      <c r="B4520" s="21" t="s">
        <v>1352</v>
      </c>
      <c r="C4520" s="21" t="s">
        <v>22655</v>
      </c>
      <c r="D4520" s="22">
        <v>46026</v>
      </c>
      <c r="E4520" s="23" t="s">
        <v>22665</v>
      </c>
      <c r="F4520" s="24" t="s">
        <v>22657</v>
      </c>
      <c r="G4520" s="25">
        <v>6</v>
      </c>
      <c r="H4520" s="34">
        <v>6</v>
      </c>
      <c r="I4520" s="35">
        <v>12</v>
      </c>
    </row>
    <row r="4521" spans="1:9" ht="15.75" thickBot="1" x14ac:dyDescent="0.3">
      <c r="A4521" s="43" t="s">
        <v>955</v>
      </c>
      <c r="B4521" s="21" t="s">
        <v>10104</v>
      </c>
      <c r="C4521" s="21" t="s">
        <v>22667</v>
      </c>
      <c r="D4521" s="31" t="s">
        <v>22678</v>
      </c>
      <c r="E4521" s="23" t="s">
        <v>22662</v>
      </c>
      <c r="F4521" s="24" t="s">
        <v>22657</v>
      </c>
      <c r="G4521" s="25">
        <v>24</v>
      </c>
      <c r="H4521" s="32">
        <v>24</v>
      </c>
      <c r="I4521" s="33">
        <v>48</v>
      </c>
    </row>
    <row r="4522" spans="1:9" ht="15.75" thickBot="1" x14ac:dyDescent="0.3">
      <c r="A4522" s="43" t="s">
        <v>1249</v>
      </c>
      <c r="B4522" s="21" t="s">
        <v>10105</v>
      </c>
      <c r="C4522" s="21" t="s">
        <v>22667</v>
      </c>
      <c r="D4522" s="31" t="s">
        <v>22678</v>
      </c>
      <c r="E4522" s="23" t="s">
        <v>22662</v>
      </c>
      <c r="F4522" s="24" t="s">
        <v>22657</v>
      </c>
      <c r="G4522" s="25">
        <v>36</v>
      </c>
      <c r="H4522" s="34">
        <v>36</v>
      </c>
      <c r="I4522" s="35">
        <v>72</v>
      </c>
    </row>
    <row r="4523" spans="1:9" ht="15.75" thickBot="1" x14ac:dyDescent="0.3">
      <c r="A4523" s="43" t="s">
        <v>10106</v>
      </c>
      <c r="B4523" s="21" t="s">
        <v>10107</v>
      </c>
      <c r="C4523" s="21" t="s">
        <v>22667</v>
      </c>
      <c r="D4523" s="31" t="s">
        <v>22678</v>
      </c>
      <c r="E4523" s="23" t="s">
        <v>22661</v>
      </c>
      <c r="F4523" s="24" t="s">
        <v>22657</v>
      </c>
      <c r="G4523" s="25">
        <v>11</v>
      </c>
      <c r="H4523" s="29"/>
      <c r="I4523" s="30"/>
    </row>
    <row r="4524" spans="1:9" ht="15.75" thickBot="1" x14ac:dyDescent="0.3">
      <c r="A4524" s="43" t="s">
        <v>10108</v>
      </c>
      <c r="B4524" s="21" t="s">
        <v>10109</v>
      </c>
      <c r="C4524" s="21" t="s">
        <v>22667</v>
      </c>
      <c r="D4524" s="31" t="s">
        <v>22815</v>
      </c>
      <c r="E4524" s="23" t="s">
        <v>22661</v>
      </c>
      <c r="F4524" s="24" t="s">
        <v>22657</v>
      </c>
      <c r="G4524" s="25">
        <v>6</v>
      </c>
      <c r="H4524" s="34">
        <v>6</v>
      </c>
      <c r="I4524" s="35">
        <v>12</v>
      </c>
    </row>
    <row r="4525" spans="1:9" ht="15.75" thickBot="1" x14ac:dyDescent="0.3">
      <c r="A4525" s="43" t="s">
        <v>1323</v>
      </c>
      <c r="B4525" s="21" t="s">
        <v>10110</v>
      </c>
      <c r="C4525" s="21" t="s">
        <v>22667</v>
      </c>
      <c r="D4525" s="31" t="s">
        <v>22728</v>
      </c>
      <c r="E4525" s="23" t="s">
        <v>22662</v>
      </c>
      <c r="F4525" s="24" t="s">
        <v>22657</v>
      </c>
      <c r="G4525" s="25">
        <v>28</v>
      </c>
      <c r="H4525" s="32">
        <v>28</v>
      </c>
      <c r="I4525" s="33">
        <v>48</v>
      </c>
    </row>
    <row r="4526" spans="1:9" ht="15.75" thickBot="1" x14ac:dyDescent="0.3">
      <c r="A4526" s="43" t="s">
        <v>10111</v>
      </c>
      <c r="B4526" s="21" t="s">
        <v>10112</v>
      </c>
      <c r="C4526" s="21" t="s">
        <v>22667</v>
      </c>
      <c r="D4526" s="31" t="s">
        <v>22678</v>
      </c>
      <c r="E4526" s="23" t="s">
        <v>22656</v>
      </c>
      <c r="F4526" s="24" t="s">
        <v>22657</v>
      </c>
      <c r="G4526" s="25">
        <v>2</v>
      </c>
      <c r="H4526" s="26"/>
      <c r="I4526" s="27"/>
    </row>
    <row r="4527" spans="1:9" ht="15.75" thickBot="1" x14ac:dyDescent="0.3">
      <c r="A4527" s="43" t="s">
        <v>10113</v>
      </c>
      <c r="B4527" s="21" t="s">
        <v>10114</v>
      </c>
      <c r="C4527" s="21" t="s">
        <v>22667</v>
      </c>
      <c r="D4527" s="31" t="s">
        <v>22678</v>
      </c>
      <c r="E4527" s="23" t="s">
        <v>22661</v>
      </c>
      <c r="F4527" s="24" t="s">
        <v>22657</v>
      </c>
      <c r="G4527" s="25">
        <v>4</v>
      </c>
      <c r="H4527" s="29"/>
      <c r="I4527" s="30"/>
    </row>
    <row r="4528" spans="1:9" ht="15.75" thickBot="1" x14ac:dyDescent="0.3">
      <c r="A4528" s="43" t="s">
        <v>10115</v>
      </c>
      <c r="B4528" s="21" t="s">
        <v>10116</v>
      </c>
      <c r="C4528" s="21" t="s">
        <v>22804</v>
      </c>
      <c r="D4528" s="22">
        <v>46032</v>
      </c>
      <c r="E4528" s="23" t="s">
        <v>22656</v>
      </c>
      <c r="F4528" s="24" t="s">
        <v>22657</v>
      </c>
      <c r="G4528" s="25">
        <v>4</v>
      </c>
      <c r="H4528" s="26"/>
      <c r="I4528" s="27"/>
    </row>
    <row r="4529" spans="1:9" ht="15.75" thickBot="1" x14ac:dyDescent="0.3">
      <c r="A4529" s="43" t="s">
        <v>10117</v>
      </c>
      <c r="B4529" s="21" t="s">
        <v>10118</v>
      </c>
      <c r="C4529" s="21" t="s">
        <v>22804</v>
      </c>
      <c r="D4529" s="22">
        <v>46032</v>
      </c>
      <c r="E4529" s="23" t="s">
        <v>22656</v>
      </c>
      <c r="F4529" s="24" t="s">
        <v>22657</v>
      </c>
      <c r="G4529" s="25">
        <v>6</v>
      </c>
      <c r="H4529" s="29"/>
      <c r="I4529" s="30"/>
    </row>
    <row r="4530" spans="1:9" ht="15.75" thickBot="1" x14ac:dyDescent="0.3">
      <c r="A4530" s="43" t="s">
        <v>10119</v>
      </c>
      <c r="B4530" s="21" t="s">
        <v>10120</v>
      </c>
      <c r="C4530" s="21" t="s">
        <v>22804</v>
      </c>
      <c r="D4530" s="22">
        <v>46032</v>
      </c>
      <c r="E4530" s="23" t="s">
        <v>22656</v>
      </c>
      <c r="F4530" s="24" t="s">
        <v>22657</v>
      </c>
      <c r="G4530" s="25">
        <v>4</v>
      </c>
      <c r="H4530" s="26"/>
      <c r="I4530" s="27"/>
    </row>
    <row r="4531" spans="1:9" ht="15.75" thickBot="1" x14ac:dyDescent="0.3">
      <c r="A4531" s="43" t="s">
        <v>10121</v>
      </c>
      <c r="B4531" s="21" t="s">
        <v>10122</v>
      </c>
      <c r="C4531" s="21" t="s">
        <v>22655</v>
      </c>
      <c r="D4531" s="22">
        <v>46040</v>
      </c>
      <c r="E4531" s="23" t="s">
        <v>22656</v>
      </c>
      <c r="F4531" s="24" t="s">
        <v>22657</v>
      </c>
      <c r="G4531" s="25">
        <v>6</v>
      </c>
      <c r="H4531" s="29"/>
      <c r="I4531" s="30"/>
    </row>
    <row r="4532" spans="1:9" ht="15.75" thickBot="1" x14ac:dyDescent="0.3">
      <c r="A4532" s="43" t="s">
        <v>10123</v>
      </c>
      <c r="B4532" s="21" t="s">
        <v>10124</v>
      </c>
      <c r="C4532" s="21" t="s">
        <v>22663</v>
      </c>
      <c r="D4532" s="31">
        <v>1</v>
      </c>
      <c r="E4532" s="23" t="s">
        <v>22658</v>
      </c>
      <c r="F4532" s="24" t="s">
        <v>22657</v>
      </c>
      <c r="G4532" s="25">
        <v>1</v>
      </c>
      <c r="H4532" s="26"/>
      <c r="I4532" s="27"/>
    </row>
    <row r="4533" spans="1:9" ht="15.75" thickBot="1" x14ac:dyDescent="0.3">
      <c r="A4533" s="43" t="s">
        <v>10125</v>
      </c>
      <c r="B4533" s="21" t="s">
        <v>10126</v>
      </c>
      <c r="C4533" s="21" t="s">
        <v>22655</v>
      </c>
      <c r="D4533" s="22">
        <v>46034</v>
      </c>
      <c r="E4533" s="23" t="s">
        <v>22656</v>
      </c>
      <c r="F4533" s="24" t="s">
        <v>22657</v>
      </c>
      <c r="G4533" s="25">
        <v>4</v>
      </c>
      <c r="H4533" s="29"/>
      <c r="I4533" s="30"/>
    </row>
    <row r="4534" spans="1:9" ht="15.75" thickBot="1" x14ac:dyDescent="0.3">
      <c r="A4534" s="43" t="s">
        <v>10127</v>
      </c>
      <c r="B4534" s="21" t="s">
        <v>10128</v>
      </c>
      <c r="C4534" s="21" t="s">
        <v>22663</v>
      </c>
      <c r="D4534" s="31">
        <v>1</v>
      </c>
      <c r="E4534" s="23" t="s">
        <v>22656</v>
      </c>
      <c r="F4534" s="24" t="s">
        <v>22657</v>
      </c>
      <c r="G4534" s="25">
        <v>2</v>
      </c>
      <c r="H4534" s="26"/>
      <c r="I4534" s="27"/>
    </row>
    <row r="4535" spans="1:9" ht="15.75" thickBot="1" x14ac:dyDescent="0.3">
      <c r="A4535" s="43" t="s">
        <v>10129</v>
      </c>
      <c r="B4535" s="21" t="s">
        <v>10130</v>
      </c>
      <c r="C4535" s="21" t="s">
        <v>22663</v>
      </c>
      <c r="D4535" s="31">
        <v>1</v>
      </c>
      <c r="E4535" s="23" t="s">
        <v>22656</v>
      </c>
      <c r="F4535" s="24" t="s">
        <v>22657</v>
      </c>
      <c r="G4535" s="25">
        <v>2</v>
      </c>
      <c r="H4535" s="29"/>
      <c r="I4535" s="30"/>
    </row>
    <row r="4536" spans="1:9" ht="15.75" thickBot="1" x14ac:dyDescent="0.3">
      <c r="A4536" s="43" t="s">
        <v>10131</v>
      </c>
      <c r="B4536" s="21" t="s">
        <v>10132</v>
      </c>
      <c r="C4536" s="21" t="s">
        <v>22663</v>
      </c>
      <c r="D4536" s="31">
        <v>1</v>
      </c>
      <c r="E4536" s="23" t="s">
        <v>22656</v>
      </c>
      <c r="F4536" s="24" t="s">
        <v>22657</v>
      </c>
      <c r="G4536" s="25">
        <v>2</v>
      </c>
      <c r="H4536" s="26"/>
      <c r="I4536" s="27"/>
    </row>
    <row r="4537" spans="1:9" ht="15.75" thickBot="1" x14ac:dyDescent="0.3">
      <c r="A4537" s="43" t="s">
        <v>10133</v>
      </c>
      <c r="B4537" s="21" t="s">
        <v>10134</v>
      </c>
      <c r="C4537" s="21" t="s">
        <v>22663</v>
      </c>
      <c r="D4537" s="31">
        <v>1</v>
      </c>
      <c r="E4537" s="23" t="s">
        <v>22658</v>
      </c>
      <c r="F4537" s="24" t="s">
        <v>22657</v>
      </c>
      <c r="G4537" s="25">
        <v>2</v>
      </c>
      <c r="H4537" s="29"/>
      <c r="I4537" s="30"/>
    </row>
    <row r="4538" spans="1:9" ht="15.75" thickBot="1" x14ac:dyDescent="0.3">
      <c r="A4538" s="43" t="s">
        <v>10135</v>
      </c>
      <c r="B4538" s="21" t="s">
        <v>10136</v>
      </c>
      <c r="C4538" s="21" t="s">
        <v>22663</v>
      </c>
      <c r="D4538" s="31">
        <v>1</v>
      </c>
      <c r="E4538" s="23" t="s">
        <v>22658</v>
      </c>
      <c r="F4538" s="24" t="s">
        <v>22657</v>
      </c>
      <c r="G4538" s="25">
        <v>1</v>
      </c>
      <c r="H4538" s="26"/>
      <c r="I4538" s="27"/>
    </row>
    <row r="4539" spans="1:9" ht="15.75" thickBot="1" x14ac:dyDescent="0.3">
      <c r="A4539" s="43" t="s">
        <v>10137</v>
      </c>
      <c r="B4539" s="21" t="s">
        <v>10138</v>
      </c>
      <c r="C4539" s="21" t="s">
        <v>22663</v>
      </c>
      <c r="D4539" s="31">
        <v>1</v>
      </c>
      <c r="E4539" s="23" t="s">
        <v>22658</v>
      </c>
      <c r="F4539" s="24" t="s">
        <v>22657</v>
      </c>
      <c r="G4539" s="25">
        <v>1</v>
      </c>
      <c r="H4539" s="29"/>
      <c r="I4539" s="30"/>
    </row>
    <row r="4540" spans="1:9" ht="15.75" thickBot="1" x14ac:dyDescent="0.3">
      <c r="A4540" s="43" t="s">
        <v>10139</v>
      </c>
      <c r="B4540" s="21" t="s">
        <v>10140</v>
      </c>
      <c r="C4540" s="21" t="s">
        <v>22684</v>
      </c>
      <c r="D4540" s="22">
        <v>46042</v>
      </c>
      <c r="E4540" s="23" t="s">
        <v>22656</v>
      </c>
      <c r="F4540" s="24" t="s">
        <v>22657</v>
      </c>
      <c r="G4540" s="25">
        <v>2</v>
      </c>
      <c r="H4540" s="26"/>
      <c r="I4540" s="27"/>
    </row>
    <row r="4541" spans="1:9" ht="15.75" thickBot="1" x14ac:dyDescent="0.3">
      <c r="A4541" s="43" t="s">
        <v>10141</v>
      </c>
      <c r="B4541" s="21" t="s">
        <v>10142</v>
      </c>
      <c r="C4541" s="21" t="s">
        <v>22684</v>
      </c>
      <c r="D4541" s="22">
        <v>46042</v>
      </c>
      <c r="E4541" s="23" t="s">
        <v>22658</v>
      </c>
      <c r="F4541" s="24" t="s">
        <v>22657</v>
      </c>
      <c r="G4541" s="25">
        <v>1</v>
      </c>
      <c r="H4541" s="29"/>
      <c r="I4541" s="30"/>
    </row>
    <row r="4542" spans="1:9" ht="15.75" thickBot="1" x14ac:dyDescent="0.3">
      <c r="A4542" s="43" t="s">
        <v>10143</v>
      </c>
      <c r="B4542" s="21" t="s">
        <v>10144</v>
      </c>
      <c r="C4542" s="21" t="s">
        <v>22684</v>
      </c>
      <c r="D4542" s="22">
        <v>46042</v>
      </c>
      <c r="E4542" s="23" t="s">
        <v>22658</v>
      </c>
      <c r="F4542" s="24" t="s">
        <v>22657</v>
      </c>
      <c r="G4542" s="25">
        <v>1</v>
      </c>
      <c r="H4542" s="26"/>
      <c r="I4542" s="27"/>
    </row>
    <row r="4543" spans="1:9" ht="15.75" thickBot="1" x14ac:dyDescent="0.3">
      <c r="A4543" s="43" t="s">
        <v>10145</v>
      </c>
      <c r="B4543" s="21" t="s">
        <v>10146</v>
      </c>
      <c r="C4543" s="21" t="s">
        <v>22684</v>
      </c>
      <c r="D4543" s="22">
        <v>46042</v>
      </c>
      <c r="E4543" s="23" t="s">
        <v>22656</v>
      </c>
      <c r="F4543" s="24" t="s">
        <v>22657</v>
      </c>
      <c r="G4543" s="25">
        <v>2</v>
      </c>
      <c r="H4543" s="29"/>
      <c r="I4543" s="30"/>
    </row>
    <row r="4544" spans="1:9" ht="15.75" thickBot="1" x14ac:dyDescent="0.3">
      <c r="A4544" s="43" t="s">
        <v>10147</v>
      </c>
      <c r="B4544" s="21" t="s">
        <v>10148</v>
      </c>
      <c r="C4544" s="21" t="s">
        <v>22684</v>
      </c>
      <c r="D4544" s="22">
        <v>46042</v>
      </c>
      <c r="E4544" s="23" t="s">
        <v>22658</v>
      </c>
      <c r="F4544" s="24" t="s">
        <v>22657</v>
      </c>
      <c r="G4544" s="25">
        <v>1</v>
      </c>
      <c r="H4544" s="26"/>
      <c r="I4544" s="27"/>
    </row>
    <row r="4545" spans="1:9" ht="15.75" thickBot="1" x14ac:dyDescent="0.3">
      <c r="A4545" s="43" t="s">
        <v>10149</v>
      </c>
      <c r="B4545" s="21" t="s">
        <v>10150</v>
      </c>
      <c r="C4545" s="21" t="s">
        <v>22684</v>
      </c>
      <c r="D4545" s="22">
        <v>46042</v>
      </c>
      <c r="E4545" s="23" t="s">
        <v>22658</v>
      </c>
      <c r="F4545" s="24" t="s">
        <v>22657</v>
      </c>
      <c r="G4545" s="25">
        <v>1</v>
      </c>
      <c r="H4545" s="29"/>
      <c r="I4545" s="30"/>
    </row>
    <row r="4546" spans="1:9" ht="15.75" thickBot="1" x14ac:dyDescent="0.3">
      <c r="A4546" s="43" t="s">
        <v>10151</v>
      </c>
      <c r="B4546" s="21" t="s">
        <v>10152</v>
      </c>
      <c r="C4546" s="21" t="s">
        <v>22684</v>
      </c>
      <c r="D4546" s="22">
        <v>46042</v>
      </c>
      <c r="E4546" s="23" t="s">
        <v>22658</v>
      </c>
      <c r="F4546" s="24" t="s">
        <v>22657</v>
      </c>
      <c r="G4546" s="25">
        <v>1</v>
      </c>
      <c r="H4546" s="26"/>
      <c r="I4546" s="27"/>
    </row>
    <row r="4547" spans="1:9" ht="15.75" thickBot="1" x14ac:dyDescent="0.3">
      <c r="A4547" s="43" t="s">
        <v>10153</v>
      </c>
      <c r="B4547" s="21" t="s">
        <v>10154</v>
      </c>
      <c r="C4547" s="21" t="s">
        <v>22684</v>
      </c>
      <c r="D4547" s="22">
        <v>46042</v>
      </c>
      <c r="E4547" s="23" t="s">
        <v>22658</v>
      </c>
      <c r="F4547" s="24" t="s">
        <v>22657</v>
      </c>
      <c r="G4547" s="25">
        <v>1</v>
      </c>
      <c r="H4547" s="29"/>
      <c r="I4547" s="30"/>
    </row>
    <row r="4548" spans="1:9" ht="15.75" thickBot="1" x14ac:dyDescent="0.3">
      <c r="A4548" s="43" t="s">
        <v>10155</v>
      </c>
      <c r="B4548" s="21" t="s">
        <v>10156</v>
      </c>
      <c r="C4548" s="21" t="s">
        <v>22684</v>
      </c>
      <c r="D4548" s="22">
        <v>46042</v>
      </c>
      <c r="E4548" s="23" t="s">
        <v>22656</v>
      </c>
      <c r="F4548" s="24" t="s">
        <v>22657</v>
      </c>
      <c r="G4548" s="25">
        <v>2</v>
      </c>
      <c r="H4548" s="26"/>
      <c r="I4548" s="27"/>
    </row>
    <row r="4549" spans="1:9" ht="15.75" thickBot="1" x14ac:dyDescent="0.3">
      <c r="A4549" s="43" t="s">
        <v>10157</v>
      </c>
      <c r="B4549" s="21" t="s">
        <v>10158</v>
      </c>
      <c r="C4549" s="21" t="s">
        <v>22684</v>
      </c>
      <c r="D4549" s="22">
        <v>46042</v>
      </c>
      <c r="E4549" s="23" t="s">
        <v>22658</v>
      </c>
      <c r="F4549" s="24" t="s">
        <v>22657</v>
      </c>
      <c r="G4549" s="25">
        <v>1</v>
      </c>
      <c r="H4549" s="29"/>
      <c r="I4549" s="30"/>
    </row>
    <row r="4550" spans="1:9" ht="15.75" thickBot="1" x14ac:dyDescent="0.3">
      <c r="A4550" s="43" t="s">
        <v>10159</v>
      </c>
      <c r="B4550" s="21" t="s">
        <v>10160</v>
      </c>
      <c r="C4550" s="21" t="s">
        <v>22684</v>
      </c>
      <c r="D4550" s="22">
        <v>46042</v>
      </c>
      <c r="E4550" s="23" t="s">
        <v>22658</v>
      </c>
      <c r="F4550" s="24" t="s">
        <v>22657</v>
      </c>
      <c r="G4550" s="25">
        <v>1</v>
      </c>
      <c r="H4550" s="26"/>
      <c r="I4550" s="27"/>
    </row>
    <row r="4551" spans="1:9" ht="15.75" thickBot="1" x14ac:dyDescent="0.3">
      <c r="A4551" s="43" t="s">
        <v>10161</v>
      </c>
      <c r="B4551" s="21" t="s">
        <v>10162</v>
      </c>
      <c r="C4551" s="21" t="s">
        <v>22684</v>
      </c>
      <c r="D4551" s="22">
        <v>46042</v>
      </c>
      <c r="E4551" s="23" t="s">
        <v>22658</v>
      </c>
      <c r="F4551" s="24" t="s">
        <v>22657</v>
      </c>
      <c r="G4551" s="25">
        <v>1</v>
      </c>
      <c r="H4551" s="29"/>
      <c r="I4551" s="30"/>
    </row>
    <row r="4552" spans="1:9" ht="15.75" thickBot="1" x14ac:dyDescent="0.3">
      <c r="A4552" s="43" t="s">
        <v>10163</v>
      </c>
      <c r="B4552" s="21" t="s">
        <v>10164</v>
      </c>
      <c r="C4552" s="21" t="s">
        <v>22682</v>
      </c>
      <c r="D4552" s="22">
        <v>46034</v>
      </c>
      <c r="E4552" s="23" t="s">
        <v>22656</v>
      </c>
      <c r="F4552" s="24" t="s">
        <v>22657</v>
      </c>
      <c r="G4552" s="25">
        <v>4</v>
      </c>
      <c r="H4552" s="26"/>
      <c r="I4552" s="27"/>
    </row>
    <row r="4553" spans="1:9" ht="15.75" thickBot="1" x14ac:dyDescent="0.3">
      <c r="A4553" s="43" t="s">
        <v>10165</v>
      </c>
      <c r="B4553" s="21" t="s">
        <v>10166</v>
      </c>
      <c r="C4553" s="21" t="s">
        <v>22682</v>
      </c>
      <c r="D4553" s="22">
        <v>46034</v>
      </c>
      <c r="E4553" s="23" t="s">
        <v>22658</v>
      </c>
      <c r="F4553" s="24" t="s">
        <v>22657</v>
      </c>
      <c r="G4553" s="25">
        <v>4</v>
      </c>
      <c r="H4553" s="29"/>
      <c r="I4553" s="30"/>
    </row>
    <row r="4554" spans="1:9" ht="15.75" thickBot="1" x14ac:dyDescent="0.3">
      <c r="A4554" s="43" t="s">
        <v>10167</v>
      </c>
      <c r="B4554" s="21" t="s">
        <v>10168</v>
      </c>
      <c r="C4554" s="21" t="s">
        <v>22682</v>
      </c>
      <c r="D4554" s="22">
        <v>46034</v>
      </c>
      <c r="E4554" s="23" t="s">
        <v>22658</v>
      </c>
      <c r="F4554" s="24" t="s">
        <v>22657</v>
      </c>
      <c r="G4554" s="25">
        <v>4</v>
      </c>
      <c r="H4554" s="26"/>
      <c r="I4554" s="27"/>
    </row>
    <row r="4555" spans="1:9" ht="15.75" thickBot="1" x14ac:dyDescent="0.3">
      <c r="A4555" s="43" t="s">
        <v>10169</v>
      </c>
      <c r="B4555" s="21" t="s">
        <v>10170</v>
      </c>
      <c r="C4555" s="21" t="s">
        <v>22663</v>
      </c>
      <c r="D4555" s="31">
        <v>1</v>
      </c>
      <c r="E4555" s="23" t="s">
        <v>22658</v>
      </c>
      <c r="F4555" s="24" t="s">
        <v>22657</v>
      </c>
      <c r="G4555" s="25">
        <v>1</v>
      </c>
      <c r="H4555" s="29"/>
      <c r="I4555" s="30"/>
    </row>
    <row r="4556" spans="1:9" ht="15.75" thickBot="1" x14ac:dyDescent="0.3">
      <c r="A4556" s="43" t="s">
        <v>10171</v>
      </c>
      <c r="B4556" s="21" t="s">
        <v>10172</v>
      </c>
      <c r="C4556" s="21" t="s">
        <v>22682</v>
      </c>
      <c r="D4556" s="22">
        <v>46034</v>
      </c>
      <c r="E4556" s="23" t="s">
        <v>22656</v>
      </c>
      <c r="F4556" s="24" t="s">
        <v>22657</v>
      </c>
      <c r="G4556" s="25">
        <v>4</v>
      </c>
      <c r="H4556" s="26"/>
      <c r="I4556" s="27"/>
    </row>
    <row r="4557" spans="1:9" ht="15.75" thickBot="1" x14ac:dyDescent="0.3">
      <c r="A4557" s="43" t="s">
        <v>10173</v>
      </c>
      <c r="B4557" s="21" t="s">
        <v>10174</v>
      </c>
      <c r="C4557" s="21" t="s">
        <v>22682</v>
      </c>
      <c r="D4557" s="22">
        <v>46034</v>
      </c>
      <c r="E4557" s="23" t="s">
        <v>22656</v>
      </c>
      <c r="F4557" s="24" t="s">
        <v>22657</v>
      </c>
      <c r="G4557" s="25">
        <v>14</v>
      </c>
      <c r="H4557" s="29"/>
      <c r="I4557" s="30"/>
    </row>
    <row r="4558" spans="1:9" ht="15.75" thickBot="1" x14ac:dyDescent="0.3">
      <c r="A4558" s="43" t="s">
        <v>10175</v>
      </c>
      <c r="B4558" s="21" t="s">
        <v>10176</v>
      </c>
      <c r="C4558" s="21" t="s">
        <v>22682</v>
      </c>
      <c r="D4558" s="22">
        <v>46034</v>
      </c>
      <c r="E4558" s="23" t="s">
        <v>22656</v>
      </c>
      <c r="F4558" s="24" t="s">
        <v>22657</v>
      </c>
      <c r="G4558" s="25">
        <v>24</v>
      </c>
      <c r="H4558" s="26"/>
      <c r="I4558" s="27"/>
    </row>
    <row r="4559" spans="1:9" ht="15.75" thickBot="1" x14ac:dyDescent="0.3">
      <c r="A4559" s="43" t="s">
        <v>10177</v>
      </c>
      <c r="B4559" s="21" t="s">
        <v>10178</v>
      </c>
      <c r="C4559" s="21" t="s">
        <v>22682</v>
      </c>
      <c r="D4559" s="22">
        <v>46034</v>
      </c>
      <c r="E4559" s="23" t="s">
        <v>22656</v>
      </c>
      <c r="F4559" s="24" t="s">
        <v>22657</v>
      </c>
      <c r="G4559" s="25">
        <v>8</v>
      </c>
      <c r="H4559" s="29"/>
      <c r="I4559" s="30"/>
    </row>
    <row r="4560" spans="1:9" ht="15.75" thickBot="1" x14ac:dyDescent="0.3">
      <c r="A4560" s="43" t="s">
        <v>10179</v>
      </c>
      <c r="B4560" s="21" t="s">
        <v>10180</v>
      </c>
      <c r="C4560" s="21" t="s">
        <v>22663</v>
      </c>
      <c r="D4560" s="31">
        <v>1</v>
      </c>
      <c r="E4560" s="23" t="s">
        <v>22658</v>
      </c>
      <c r="F4560" s="24" t="s">
        <v>22657</v>
      </c>
      <c r="G4560" s="25">
        <v>1</v>
      </c>
      <c r="H4560" s="26"/>
      <c r="I4560" s="27"/>
    </row>
    <row r="4561" spans="1:9" ht="15.75" thickBot="1" x14ac:dyDescent="0.3">
      <c r="A4561" s="43" t="s">
        <v>10181</v>
      </c>
      <c r="B4561" s="21" t="s">
        <v>10182</v>
      </c>
      <c r="C4561" s="21" t="s">
        <v>22682</v>
      </c>
      <c r="D4561" s="22">
        <v>46034</v>
      </c>
      <c r="E4561" s="23" t="s">
        <v>22658</v>
      </c>
      <c r="F4561" s="24" t="s">
        <v>22657</v>
      </c>
      <c r="G4561" s="25">
        <v>4</v>
      </c>
      <c r="H4561" s="29"/>
      <c r="I4561" s="30"/>
    </row>
    <row r="4562" spans="1:9" ht="15.75" thickBot="1" x14ac:dyDescent="0.3">
      <c r="A4562" s="43" t="s">
        <v>10183</v>
      </c>
      <c r="B4562" s="21" t="s">
        <v>10184</v>
      </c>
      <c r="C4562" s="21" t="s">
        <v>22682</v>
      </c>
      <c r="D4562" s="22">
        <v>46034</v>
      </c>
      <c r="E4562" s="23" t="s">
        <v>22658</v>
      </c>
      <c r="F4562" s="24" t="s">
        <v>22657</v>
      </c>
      <c r="G4562" s="25">
        <v>4</v>
      </c>
      <c r="H4562" s="26"/>
      <c r="I4562" s="27"/>
    </row>
    <row r="4563" spans="1:9" ht="15.75" thickBot="1" x14ac:dyDescent="0.3">
      <c r="A4563" s="43" t="s">
        <v>10185</v>
      </c>
      <c r="B4563" s="21" t="s">
        <v>10186</v>
      </c>
      <c r="C4563" s="21" t="s">
        <v>22682</v>
      </c>
      <c r="D4563" s="22">
        <v>46034</v>
      </c>
      <c r="E4563" s="23" t="s">
        <v>22656</v>
      </c>
      <c r="F4563" s="24" t="s">
        <v>22657</v>
      </c>
      <c r="G4563" s="25">
        <v>4</v>
      </c>
      <c r="H4563" s="29"/>
      <c r="I4563" s="30"/>
    </row>
    <row r="4564" spans="1:9" ht="15.75" thickBot="1" x14ac:dyDescent="0.3">
      <c r="A4564" s="43" t="s">
        <v>10187</v>
      </c>
      <c r="B4564" s="21" t="s">
        <v>10188</v>
      </c>
      <c r="C4564" s="21" t="s">
        <v>22682</v>
      </c>
      <c r="D4564" s="22">
        <v>46034</v>
      </c>
      <c r="E4564" s="23" t="s">
        <v>22658</v>
      </c>
      <c r="F4564" s="24" t="s">
        <v>22657</v>
      </c>
      <c r="G4564" s="25">
        <v>4</v>
      </c>
      <c r="H4564" s="26"/>
      <c r="I4564" s="27"/>
    </row>
    <row r="4565" spans="1:9" ht="15.75" thickBot="1" x14ac:dyDescent="0.3">
      <c r="A4565" s="43" t="s">
        <v>10189</v>
      </c>
      <c r="B4565" s="21" t="s">
        <v>10190</v>
      </c>
      <c r="C4565" s="21" t="s">
        <v>22682</v>
      </c>
      <c r="D4565" s="22">
        <v>46034</v>
      </c>
      <c r="E4565" s="23" t="s">
        <v>22661</v>
      </c>
      <c r="F4565" s="24" t="s">
        <v>22657</v>
      </c>
      <c r="G4565" s="25">
        <v>19</v>
      </c>
      <c r="H4565" s="29"/>
      <c r="I4565" s="30"/>
    </row>
    <row r="4566" spans="1:9" ht="15.75" thickBot="1" x14ac:dyDescent="0.3">
      <c r="A4566" s="43" t="s">
        <v>10191</v>
      </c>
      <c r="B4566" s="21" t="s">
        <v>10192</v>
      </c>
      <c r="C4566" s="21" t="s">
        <v>22682</v>
      </c>
      <c r="D4566" s="22">
        <v>46034</v>
      </c>
      <c r="E4566" s="23" t="s">
        <v>22656</v>
      </c>
      <c r="F4566" s="24" t="s">
        <v>22657</v>
      </c>
      <c r="G4566" s="25">
        <v>4</v>
      </c>
      <c r="H4566" s="26"/>
      <c r="I4566" s="27"/>
    </row>
    <row r="4567" spans="1:9" ht="15.75" thickBot="1" x14ac:dyDescent="0.3">
      <c r="A4567" s="43" t="s">
        <v>10193</v>
      </c>
      <c r="B4567" s="21" t="s">
        <v>10194</v>
      </c>
      <c r="C4567" s="21" t="s">
        <v>22682</v>
      </c>
      <c r="D4567" s="22">
        <v>46034</v>
      </c>
      <c r="E4567" s="23" t="s">
        <v>22656</v>
      </c>
      <c r="F4567" s="24" t="s">
        <v>22657</v>
      </c>
      <c r="G4567" s="25">
        <v>4</v>
      </c>
      <c r="H4567" s="29"/>
      <c r="I4567" s="30"/>
    </row>
    <row r="4568" spans="1:9" ht="15.75" thickBot="1" x14ac:dyDescent="0.3">
      <c r="A4568" s="43" t="s">
        <v>10195</v>
      </c>
      <c r="B4568" s="21" t="s">
        <v>10196</v>
      </c>
      <c r="C4568" s="21" t="s">
        <v>22682</v>
      </c>
      <c r="D4568" s="22">
        <v>46034</v>
      </c>
      <c r="E4568" s="23" t="s">
        <v>22661</v>
      </c>
      <c r="F4568" s="24" t="s">
        <v>22657</v>
      </c>
      <c r="G4568" s="25">
        <v>7</v>
      </c>
      <c r="H4568" s="26"/>
      <c r="I4568" s="27"/>
    </row>
    <row r="4569" spans="1:9" ht="15.75" thickBot="1" x14ac:dyDescent="0.3">
      <c r="A4569" s="43" t="s">
        <v>10197</v>
      </c>
      <c r="B4569" s="21" t="s">
        <v>10198</v>
      </c>
      <c r="C4569" s="21" t="s">
        <v>22682</v>
      </c>
      <c r="D4569" s="22">
        <v>46034</v>
      </c>
      <c r="E4569" s="23" t="s">
        <v>22661</v>
      </c>
      <c r="F4569" s="24" t="s">
        <v>22657</v>
      </c>
      <c r="G4569" s="25">
        <v>7</v>
      </c>
      <c r="H4569" s="29"/>
      <c r="I4569" s="30"/>
    </row>
    <row r="4570" spans="1:9" ht="15.75" thickBot="1" x14ac:dyDescent="0.3">
      <c r="A4570" s="43" t="s">
        <v>10199</v>
      </c>
      <c r="B4570" s="21" t="s">
        <v>10200</v>
      </c>
      <c r="C4570" s="21" t="s">
        <v>22684</v>
      </c>
      <c r="D4570" s="22">
        <v>46042</v>
      </c>
      <c r="E4570" s="23" t="s">
        <v>22661</v>
      </c>
      <c r="F4570" s="24" t="s">
        <v>22657</v>
      </c>
      <c r="G4570" s="25">
        <v>4</v>
      </c>
      <c r="H4570" s="26"/>
      <c r="I4570" s="27"/>
    </row>
    <row r="4571" spans="1:9" ht="15.75" thickBot="1" x14ac:dyDescent="0.3">
      <c r="A4571" s="43" t="s">
        <v>10201</v>
      </c>
      <c r="B4571" s="21" t="s">
        <v>10202</v>
      </c>
      <c r="C4571" s="21" t="s">
        <v>22694</v>
      </c>
      <c r="D4571" s="22">
        <v>46034</v>
      </c>
      <c r="E4571" s="23" t="s">
        <v>22658</v>
      </c>
      <c r="F4571" s="24" t="s">
        <v>22657</v>
      </c>
      <c r="G4571" s="25">
        <v>4</v>
      </c>
      <c r="H4571" s="29"/>
      <c r="I4571" s="30"/>
    </row>
    <row r="4572" spans="1:9" ht="15.75" thickBot="1" x14ac:dyDescent="0.3">
      <c r="A4572" s="43" t="s">
        <v>10203</v>
      </c>
      <c r="B4572" s="21" t="s">
        <v>10204</v>
      </c>
      <c r="C4572" s="21" t="s">
        <v>22694</v>
      </c>
      <c r="D4572" s="22">
        <v>46034</v>
      </c>
      <c r="E4572" s="23" t="s">
        <v>22658</v>
      </c>
      <c r="F4572" s="24" t="s">
        <v>22657</v>
      </c>
      <c r="G4572" s="25">
        <v>4</v>
      </c>
      <c r="H4572" s="26"/>
      <c r="I4572" s="27"/>
    </row>
    <row r="4573" spans="1:9" ht="15.75" thickBot="1" x14ac:dyDescent="0.3">
      <c r="A4573" s="43" t="s">
        <v>10205</v>
      </c>
      <c r="B4573" s="21" t="s">
        <v>10206</v>
      </c>
      <c r="C4573" s="21" t="s">
        <v>22682</v>
      </c>
      <c r="D4573" s="22">
        <v>46034</v>
      </c>
      <c r="E4573" s="23" t="s">
        <v>22658</v>
      </c>
      <c r="F4573" s="24" t="s">
        <v>22657</v>
      </c>
      <c r="G4573" s="25">
        <v>4</v>
      </c>
      <c r="H4573" s="29"/>
      <c r="I4573" s="30"/>
    </row>
    <row r="4574" spans="1:9" ht="15.75" thickBot="1" x14ac:dyDescent="0.3">
      <c r="A4574" s="43" t="s">
        <v>10207</v>
      </c>
      <c r="B4574" s="21" t="s">
        <v>10208</v>
      </c>
      <c r="C4574" s="21" t="s">
        <v>22682</v>
      </c>
      <c r="D4574" s="22">
        <v>46034</v>
      </c>
      <c r="E4574" s="23" t="s">
        <v>22658</v>
      </c>
      <c r="F4574" s="24" t="s">
        <v>22657</v>
      </c>
      <c r="G4574" s="25">
        <v>4</v>
      </c>
      <c r="H4574" s="26"/>
      <c r="I4574" s="27"/>
    </row>
    <row r="4575" spans="1:9" ht="15.75" thickBot="1" x14ac:dyDescent="0.3">
      <c r="A4575" s="43" t="s">
        <v>10209</v>
      </c>
      <c r="B4575" s="21" t="s">
        <v>10210</v>
      </c>
      <c r="C4575" s="21" t="s">
        <v>22682</v>
      </c>
      <c r="D4575" s="22">
        <v>46034</v>
      </c>
      <c r="E4575" s="23" t="s">
        <v>22658</v>
      </c>
      <c r="F4575" s="24" t="s">
        <v>22657</v>
      </c>
      <c r="G4575" s="25">
        <v>4</v>
      </c>
      <c r="H4575" s="29"/>
      <c r="I4575" s="30"/>
    </row>
    <row r="4576" spans="1:9" ht="15.75" thickBot="1" x14ac:dyDescent="0.3">
      <c r="A4576" s="43" t="s">
        <v>10211</v>
      </c>
      <c r="B4576" s="21" t="s">
        <v>10212</v>
      </c>
      <c r="C4576" s="21" t="s">
        <v>22682</v>
      </c>
      <c r="D4576" s="22">
        <v>46034</v>
      </c>
      <c r="E4576" s="23" t="s">
        <v>22656</v>
      </c>
      <c r="F4576" s="24" t="s">
        <v>22657</v>
      </c>
      <c r="G4576" s="25">
        <v>4</v>
      </c>
      <c r="H4576" s="26"/>
      <c r="I4576" s="27"/>
    </row>
    <row r="4577" spans="1:9" ht="15.75" thickBot="1" x14ac:dyDescent="0.3">
      <c r="A4577" s="43" t="s">
        <v>10215</v>
      </c>
      <c r="B4577" s="21" t="s">
        <v>10216</v>
      </c>
      <c r="C4577" s="21" t="s">
        <v>22694</v>
      </c>
      <c r="D4577" s="31" t="s">
        <v>22673</v>
      </c>
      <c r="E4577" s="23" t="s">
        <v>22656</v>
      </c>
      <c r="F4577" s="24" t="s">
        <v>22657</v>
      </c>
      <c r="G4577" s="25">
        <v>4</v>
      </c>
      <c r="H4577" s="29"/>
      <c r="I4577" s="30"/>
    </row>
    <row r="4578" spans="1:9" ht="15.75" thickBot="1" x14ac:dyDescent="0.3">
      <c r="A4578" s="43" t="s">
        <v>10217</v>
      </c>
      <c r="B4578" s="21" t="s">
        <v>10218</v>
      </c>
      <c r="C4578" s="21" t="s">
        <v>22694</v>
      </c>
      <c r="D4578" s="31" t="s">
        <v>22673</v>
      </c>
      <c r="E4578" s="23" t="s">
        <v>22656</v>
      </c>
      <c r="F4578" s="24" t="s">
        <v>22657</v>
      </c>
      <c r="G4578" s="25">
        <v>2</v>
      </c>
      <c r="H4578" s="26"/>
      <c r="I4578" s="27"/>
    </row>
    <row r="4579" spans="1:9" ht="15.75" thickBot="1" x14ac:dyDescent="0.3">
      <c r="A4579" s="43" t="s">
        <v>10219</v>
      </c>
      <c r="B4579" s="21" t="s">
        <v>10220</v>
      </c>
      <c r="C4579" s="21" t="s">
        <v>22682</v>
      </c>
      <c r="D4579" s="22">
        <v>46034</v>
      </c>
      <c r="E4579" s="23" t="s">
        <v>22658</v>
      </c>
      <c r="F4579" s="24" t="s">
        <v>22657</v>
      </c>
      <c r="G4579" s="25">
        <v>4</v>
      </c>
      <c r="H4579" s="29"/>
      <c r="I4579" s="30"/>
    </row>
    <row r="4580" spans="1:9" ht="15.75" thickBot="1" x14ac:dyDescent="0.3">
      <c r="A4580" s="43" t="s">
        <v>10221</v>
      </c>
      <c r="B4580" s="21" t="s">
        <v>10222</v>
      </c>
      <c r="C4580" s="21" t="s">
        <v>22682</v>
      </c>
      <c r="D4580" s="22">
        <v>46034</v>
      </c>
      <c r="E4580" s="23" t="s">
        <v>22656</v>
      </c>
      <c r="F4580" s="24" t="s">
        <v>22657</v>
      </c>
      <c r="G4580" s="25">
        <v>4</v>
      </c>
      <c r="H4580" s="26"/>
      <c r="I4580" s="27"/>
    </row>
    <row r="4581" spans="1:9" ht="15.75" thickBot="1" x14ac:dyDescent="0.3">
      <c r="A4581" s="43" t="s">
        <v>10223</v>
      </c>
      <c r="B4581" s="21" t="s">
        <v>10224</v>
      </c>
      <c r="C4581" s="21" t="s">
        <v>22682</v>
      </c>
      <c r="D4581" s="22">
        <v>46034</v>
      </c>
      <c r="E4581" s="23" t="s">
        <v>22658</v>
      </c>
      <c r="F4581" s="24" t="s">
        <v>22657</v>
      </c>
      <c r="G4581" s="25">
        <v>4</v>
      </c>
      <c r="H4581" s="29"/>
      <c r="I4581" s="30"/>
    </row>
    <row r="4582" spans="1:9" ht="15.75" thickBot="1" x14ac:dyDescent="0.3">
      <c r="A4582" s="43" t="s">
        <v>10225</v>
      </c>
      <c r="B4582" s="21" t="s">
        <v>10226</v>
      </c>
      <c r="C4582" s="21" t="s">
        <v>22682</v>
      </c>
      <c r="D4582" s="22">
        <v>46034</v>
      </c>
      <c r="E4582" s="23" t="s">
        <v>22658</v>
      </c>
      <c r="F4582" s="24" t="s">
        <v>22657</v>
      </c>
      <c r="G4582" s="25">
        <v>4</v>
      </c>
      <c r="H4582" s="26"/>
      <c r="I4582" s="27"/>
    </row>
    <row r="4583" spans="1:9" ht="15.75" thickBot="1" x14ac:dyDescent="0.3">
      <c r="A4583" s="43" t="s">
        <v>10227</v>
      </c>
      <c r="B4583" s="21" t="s">
        <v>10228</v>
      </c>
      <c r="C4583" s="21" t="s">
        <v>22682</v>
      </c>
      <c r="D4583" s="22">
        <v>46034</v>
      </c>
      <c r="E4583" s="23" t="s">
        <v>22658</v>
      </c>
      <c r="F4583" s="24" t="s">
        <v>22657</v>
      </c>
      <c r="G4583" s="25">
        <v>4</v>
      </c>
      <c r="H4583" s="29"/>
      <c r="I4583" s="30"/>
    </row>
    <row r="4584" spans="1:9" ht="15.75" thickBot="1" x14ac:dyDescent="0.3">
      <c r="A4584" s="43" t="s">
        <v>10229</v>
      </c>
      <c r="B4584" s="21" t="s">
        <v>10230</v>
      </c>
      <c r="C4584" s="21" t="s">
        <v>22682</v>
      </c>
      <c r="D4584" s="22">
        <v>46034</v>
      </c>
      <c r="E4584" s="23" t="s">
        <v>22658</v>
      </c>
      <c r="F4584" s="24" t="s">
        <v>22657</v>
      </c>
      <c r="G4584" s="25">
        <v>4</v>
      </c>
      <c r="H4584" s="26"/>
      <c r="I4584" s="27"/>
    </row>
    <row r="4585" spans="1:9" ht="15.75" thickBot="1" x14ac:dyDescent="0.3">
      <c r="A4585" s="43" t="s">
        <v>10231</v>
      </c>
      <c r="B4585" s="21" t="s">
        <v>10232</v>
      </c>
      <c r="C4585" s="21" t="s">
        <v>22682</v>
      </c>
      <c r="D4585" s="22">
        <v>46034</v>
      </c>
      <c r="E4585" s="23" t="s">
        <v>22658</v>
      </c>
      <c r="F4585" s="24" t="s">
        <v>22657</v>
      </c>
      <c r="G4585" s="25">
        <v>4</v>
      </c>
      <c r="H4585" s="29"/>
      <c r="I4585" s="30"/>
    </row>
    <row r="4586" spans="1:9" ht="15.75" thickBot="1" x14ac:dyDescent="0.3">
      <c r="A4586" s="43" t="s">
        <v>10233</v>
      </c>
      <c r="B4586" s="21" t="s">
        <v>10234</v>
      </c>
      <c r="C4586" s="21" t="s">
        <v>22682</v>
      </c>
      <c r="D4586" s="22">
        <v>46034</v>
      </c>
      <c r="E4586" s="23" t="s">
        <v>22658</v>
      </c>
      <c r="F4586" s="24" t="s">
        <v>22657</v>
      </c>
      <c r="G4586" s="25">
        <v>4</v>
      </c>
      <c r="H4586" s="26"/>
      <c r="I4586" s="27"/>
    </row>
    <row r="4587" spans="1:9" ht="15.75" thickBot="1" x14ac:dyDescent="0.3">
      <c r="A4587" s="43" t="s">
        <v>10235</v>
      </c>
      <c r="B4587" s="21" t="s">
        <v>10236</v>
      </c>
      <c r="C4587" s="21" t="s">
        <v>22682</v>
      </c>
      <c r="D4587" s="22">
        <v>46034</v>
      </c>
      <c r="E4587" s="23" t="s">
        <v>22658</v>
      </c>
      <c r="F4587" s="24" t="s">
        <v>22657</v>
      </c>
      <c r="G4587" s="25">
        <v>4</v>
      </c>
      <c r="H4587" s="29"/>
      <c r="I4587" s="30"/>
    </row>
    <row r="4588" spans="1:9" ht="15.75" thickBot="1" x14ac:dyDescent="0.3">
      <c r="A4588" s="43" t="s">
        <v>10237</v>
      </c>
      <c r="B4588" s="21" t="s">
        <v>10238</v>
      </c>
      <c r="C4588" s="21" t="s">
        <v>22682</v>
      </c>
      <c r="D4588" s="22">
        <v>46034</v>
      </c>
      <c r="E4588" s="23" t="s">
        <v>22658</v>
      </c>
      <c r="F4588" s="24" t="s">
        <v>22657</v>
      </c>
      <c r="G4588" s="25">
        <v>4</v>
      </c>
      <c r="H4588" s="26"/>
      <c r="I4588" s="27"/>
    </row>
    <row r="4589" spans="1:9" ht="15.75" thickBot="1" x14ac:dyDescent="0.3">
      <c r="A4589" s="43" t="s">
        <v>10239</v>
      </c>
      <c r="B4589" s="21" t="s">
        <v>10240</v>
      </c>
      <c r="C4589" s="21" t="s">
        <v>22682</v>
      </c>
      <c r="D4589" s="22">
        <v>46034</v>
      </c>
      <c r="E4589" s="23" t="s">
        <v>22658</v>
      </c>
      <c r="F4589" s="24" t="s">
        <v>22657</v>
      </c>
      <c r="G4589" s="25">
        <v>4</v>
      </c>
      <c r="H4589" s="29"/>
      <c r="I4589" s="30"/>
    </row>
    <row r="4590" spans="1:9" ht="15.75" thickBot="1" x14ac:dyDescent="0.3">
      <c r="A4590" s="43" t="s">
        <v>10241</v>
      </c>
      <c r="B4590" s="21" t="s">
        <v>10242</v>
      </c>
      <c r="C4590" s="21" t="s">
        <v>22682</v>
      </c>
      <c r="D4590" s="22">
        <v>46034</v>
      </c>
      <c r="E4590" s="23" t="s">
        <v>22658</v>
      </c>
      <c r="F4590" s="24" t="s">
        <v>22657</v>
      </c>
      <c r="G4590" s="25">
        <v>4</v>
      </c>
      <c r="H4590" s="26"/>
      <c r="I4590" s="27"/>
    </row>
    <row r="4591" spans="1:9" ht="15.75" thickBot="1" x14ac:dyDescent="0.3">
      <c r="A4591" s="43" t="s">
        <v>10243</v>
      </c>
      <c r="B4591" s="21" t="s">
        <v>10244</v>
      </c>
      <c r="C4591" s="21" t="s">
        <v>22682</v>
      </c>
      <c r="D4591" s="22">
        <v>46034</v>
      </c>
      <c r="E4591" s="23" t="s">
        <v>22658</v>
      </c>
      <c r="F4591" s="24" t="s">
        <v>22657</v>
      </c>
      <c r="G4591" s="25">
        <v>4</v>
      </c>
      <c r="H4591" s="29"/>
      <c r="I4591" s="30"/>
    </row>
    <row r="4592" spans="1:9" ht="15.75" thickBot="1" x14ac:dyDescent="0.3">
      <c r="A4592" s="43" t="s">
        <v>10245</v>
      </c>
      <c r="B4592" s="21" t="s">
        <v>10246</v>
      </c>
      <c r="C4592" s="21" t="s">
        <v>22682</v>
      </c>
      <c r="D4592" s="22">
        <v>46034</v>
      </c>
      <c r="E4592" s="23" t="s">
        <v>22658</v>
      </c>
      <c r="F4592" s="24" t="s">
        <v>22657</v>
      </c>
      <c r="G4592" s="25">
        <v>4</v>
      </c>
      <c r="H4592" s="26"/>
      <c r="I4592" s="27"/>
    </row>
    <row r="4593" spans="1:9" ht="15.75" thickBot="1" x14ac:dyDescent="0.3">
      <c r="A4593" s="43" t="s">
        <v>10247</v>
      </c>
      <c r="B4593" s="21" t="s">
        <v>10248</v>
      </c>
      <c r="C4593" s="21" t="s">
        <v>22682</v>
      </c>
      <c r="D4593" s="22">
        <v>46034</v>
      </c>
      <c r="E4593" s="23" t="s">
        <v>22658</v>
      </c>
      <c r="F4593" s="24" t="s">
        <v>22657</v>
      </c>
      <c r="G4593" s="25">
        <v>4</v>
      </c>
      <c r="H4593" s="29"/>
      <c r="I4593" s="30"/>
    </row>
    <row r="4594" spans="1:9" ht="15.75" thickBot="1" x14ac:dyDescent="0.3">
      <c r="A4594" s="43" t="s">
        <v>10249</v>
      </c>
      <c r="B4594" s="21" t="s">
        <v>10250</v>
      </c>
      <c r="C4594" s="21" t="s">
        <v>22682</v>
      </c>
      <c r="D4594" s="22">
        <v>46034</v>
      </c>
      <c r="E4594" s="23" t="s">
        <v>22658</v>
      </c>
      <c r="F4594" s="24" t="s">
        <v>22657</v>
      </c>
      <c r="G4594" s="25">
        <v>4</v>
      </c>
      <c r="H4594" s="26"/>
      <c r="I4594" s="27"/>
    </row>
    <row r="4595" spans="1:9" ht="15.75" thickBot="1" x14ac:dyDescent="0.3">
      <c r="A4595" s="43" t="s">
        <v>10251</v>
      </c>
      <c r="B4595" s="21" t="s">
        <v>10252</v>
      </c>
      <c r="C4595" s="21" t="s">
        <v>22682</v>
      </c>
      <c r="D4595" s="22">
        <v>46034</v>
      </c>
      <c r="E4595" s="23" t="s">
        <v>22656</v>
      </c>
      <c r="F4595" s="24" t="s">
        <v>22657</v>
      </c>
      <c r="G4595" s="25">
        <v>4</v>
      </c>
      <c r="H4595" s="29"/>
      <c r="I4595" s="30"/>
    </row>
    <row r="4596" spans="1:9" ht="15.75" thickBot="1" x14ac:dyDescent="0.3">
      <c r="A4596" s="43" t="s">
        <v>10253</v>
      </c>
      <c r="B4596" s="21" t="s">
        <v>10254</v>
      </c>
      <c r="C4596" s="21" t="s">
        <v>22682</v>
      </c>
      <c r="D4596" s="22">
        <v>46034</v>
      </c>
      <c r="E4596" s="23" t="s">
        <v>22658</v>
      </c>
      <c r="F4596" s="24" t="s">
        <v>22657</v>
      </c>
      <c r="G4596" s="25">
        <v>4</v>
      </c>
      <c r="H4596" s="26"/>
      <c r="I4596" s="27"/>
    </row>
    <row r="4597" spans="1:9" ht="15.75" thickBot="1" x14ac:dyDescent="0.3">
      <c r="A4597" s="43" t="s">
        <v>10255</v>
      </c>
      <c r="B4597" s="21" t="s">
        <v>10256</v>
      </c>
      <c r="C4597" s="21" t="s">
        <v>22682</v>
      </c>
      <c r="D4597" s="22">
        <v>46034</v>
      </c>
      <c r="E4597" s="23" t="s">
        <v>22658</v>
      </c>
      <c r="F4597" s="24" t="s">
        <v>22657</v>
      </c>
      <c r="G4597" s="25">
        <v>4</v>
      </c>
      <c r="H4597" s="29"/>
      <c r="I4597" s="30"/>
    </row>
    <row r="4598" spans="1:9" ht="15.75" thickBot="1" x14ac:dyDescent="0.3">
      <c r="A4598" s="43" t="s">
        <v>10257</v>
      </c>
      <c r="B4598" s="21" t="s">
        <v>10258</v>
      </c>
      <c r="C4598" s="21" t="s">
        <v>22682</v>
      </c>
      <c r="D4598" s="22">
        <v>46034</v>
      </c>
      <c r="E4598" s="23" t="s">
        <v>22656</v>
      </c>
      <c r="F4598" s="24" t="s">
        <v>22657</v>
      </c>
      <c r="G4598" s="25">
        <v>4</v>
      </c>
      <c r="H4598" s="26"/>
      <c r="I4598" s="27"/>
    </row>
    <row r="4599" spans="1:9" ht="15.75" thickBot="1" x14ac:dyDescent="0.3">
      <c r="A4599" s="43" t="s">
        <v>1633</v>
      </c>
      <c r="B4599" s="21" t="s">
        <v>1634</v>
      </c>
      <c r="C4599" s="21" t="s">
        <v>22655</v>
      </c>
      <c r="D4599" s="31" t="s">
        <v>22688</v>
      </c>
      <c r="E4599" s="23" t="s">
        <v>22661</v>
      </c>
      <c r="F4599" s="24" t="s">
        <v>22657</v>
      </c>
      <c r="G4599" s="25">
        <v>16</v>
      </c>
      <c r="H4599" s="32">
        <v>16</v>
      </c>
      <c r="I4599" s="33">
        <v>24</v>
      </c>
    </row>
    <row r="4600" spans="1:9" ht="15.75" thickBot="1" x14ac:dyDescent="0.3">
      <c r="A4600" s="43" t="s">
        <v>10259</v>
      </c>
      <c r="B4600" s="21" t="s">
        <v>10260</v>
      </c>
      <c r="C4600" s="21" t="s">
        <v>22760</v>
      </c>
      <c r="D4600" s="22">
        <v>46025</v>
      </c>
      <c r="E4600" s="23" t="s">
        <v>22656</v>
      </c>
      <c r="F4600" s="24" t="s">
        <v>22657</v>
      </c>
      <c r="G4600" s="25">
        <v>2</v>
      </c>
      <c r="H4600" s="26"/>
      <c r="I4600" s="27"/>
    </row>
    <row r="4601" spans="1:9" ht="15.75" thickBot="1" x14ac:dyDescent="0.3">
      <c r="A4601" s="43" t="s">
        <v>10261</v>
      </c>
      <c r="B4601" s="21" t="s">
        <v>10262</v>
      </c>
      <c r="C4601" s="21" t="s">
        <v>22760</v>
      </c>
      <c r="D4601" s="22">
        <v>46025</v>
      </c>
      <c r="E4601" s="23" t="s">
        <v>22656</v>
      </c>
      <c r="F4601" s="24" t="s">
        <v>22657</v>
      </c>
      <c r="G4601" s="25">
        <v>2</v>
      </c>
      <c r="H4601" s="29"/>
      <c r="I4601" s="30"/>
    </row>
    <row r="4602" spans="1:9" ht="15.75" thickBot="1" x14ac:dyDescent="0.3">
      <c r="A4602" s="43" t="s">
        <v>10263</v>
      </c>
      <c r="B4602" s="21" t="s">
        <v>10264</v>
      </c>
      <c r="C4602" s="21" t="s">
        <v>22760</v>
      </c>
      <c r="D4602" s="22">
        <v>46025</v>
      </c>
      <c r="E4602" s="23" t="s">
        <v>22656</v>
      </c>
      <c r="F4602" s="24" t="s">
        <v>22657</v>
      </c>
      <c r="G4602" s="25">
        <v>2</v>
      </c>
      <c r="H4602" s="26"/>
      <c r="I4602" s="27"/>
    </row>
    <row r="4603" spans="1:9" ht="15.75" thickBot="1" x14ac:dyDescent="0.3">
      <c r="A4603" s="43" t="s">
        <v>10265</v>
      </c>
      <c r="B4603" s="21" t="s">
        <v>10266</v>
      </c>
      <c r="C4603" s="21" t="s">
        <v>22760</v>
      </c>
      <c r="D4603" s="22">
        <v>46025</v>
      </c>
      <c r="E4603" s="23" t="s">
        <v>22656</v>
      </c>
      <c r="F4603" s="24" t="s">
        <v>22657</v>
      </c>
      <c r="G4603" s="25">
        <v>2</v>
      </c>
      <c r="H4603" s="29"/>
      <c r="I4603" s="30"/>
    </row>
    <row r="4604" spans="1:9" ht="15.75" thickBot="1" x14ac:dyDescent="0.3">
      <c r="A4604" s="43" t="s">
        <v>10267</v>
      </c>
      <c r="B4604" s="21" t="s">
        <v>10268</v>
      </c>
      <c r="C4604" s="21" t="s">
        <v>22760</v>
      </c>
      <c r="D4604" s="22">
        <v>46025</v>
      </c>
      <c r="E4604" s="23" t="s">
        <v>22656</v>
      </c>
      <c r="F4604" s="24" t="s">
        <v>22657</v>
      </c>
      <c r="G4604" s="25">
        <v>1</v>
      </c>
      <c r="H4604" s="34">
        <v>1</v>
      </c>
      <c r="I4604" s="35">
        <v>1</v>
      </c>
    </row>
    <row r="4605" spans="1:9" ht="15.75" thickBot="1" x14ac:dyDescent="0.3">
      <c r="A4605" s="43" t="s">
        <v>10269</v>
      </c>
      <c r="B4605" s="21" t="s">
        <v>10270</v>
      </c>
      <c r="C4605" s="21" t="s">
        <v>22760</v>
      </c>
      <c r="D4605" s="22">
        <v>46025</v>
      </c>
      <c r="E4605" s="23" t="s">
        <v>22656</v>
      </c>
      <c r="F4605" s="24" t="s">
        <v>22657</v>
      </c>
      <c r="G4605" s="25">
        <v>2</v>
      </c>
      <c r="H4605" s="29"/>
      <c r="I4605" s="30"/>
    </row>
    <row r="4606" spans="1:9" ht="15.75" thickBot="1" x14ac:dyDescent="0.3">
      <c r="A4606" s="43" t="s">
        <v>10271</v>
      </c>
      <c r="B4606" s="21" t="s">
        <v>10272</v>
      </c>
      <c r="C4606" s="21" t="s">
        <v>22760</v>
      </c>
      <c r="D4606" s="22">
        <v>46025</v>
      </c>
      <c r="E4606" s="23" t="s">
        <v>22656</v>
      </c>
      <c r="F4606" s="24" t="s">
        <v>22657</v>
      </c>
      <c r="G4606" s="25">
        <v>2</v>
      </c>
      <c r="H4606" s="26"/>
      <c r="I4606" s="27"/>
    </row>
    <row r="4607" spans="1:9" ht="15.75" thickBot="1" x14ac:dyDescent="0.3">
      <c r="A4607" s="43" t="s">
        <v>10273</v>
      </c>
      <c r="B4607" s="21" t="s">
        <v>10274</v>
      </c>
      <c r="C4607" s="21" t="s">
        <v>22760</v>
      </c>
      <c r="D4607" s="22">
        <v>46024</v>
      </c>
      <c r="E4607" s="23" t="s">
        <v>22656</v>
      </c>
      <c r="F4607" s="24" t="s">
        <v>22657</v>
      </c>
      <c r="G4607" s="25">
        <v>2</v>
      </c>
      <c r="H4607" s="29"/>
      <c r="I4607" s="30"/>
    </row>
    <row r="4608" spans="1:9" ht="15.75" thickBot="1" x14ac:dyDescent="0.3">
      <c r="A4608" s="43" t="s">
        <v>10275</v>
      </c>
      <c r="B4608" s="21" t="s">
        <v>10276</v>
      </c>
      <c r="C4608" s="21" t="s">
        <v>22760</v>
      </c>
      <c r="D4608" s="22">
        <v>46024</v>
      </c>
      <c r="E4608" s="23" t="s">
        <v>22656</v>
      </c>
      <c r="F4608" s="24" t="s">
        <v>22657</v>
      </c>
      <c r="G4608" s="25">
        <v>1</v>
      </c>
      <c r="H4608" s="34">
        <v>1</v>
      </c>
      <c r="I4608" s="35">
        <v>2</v>
      </c>
    </row>
    <row r="4609" spans="1:9" ht="15.75" thickBot="1" x14ac:dyDescent="0.3">
      <c r="A4609" s="43" t="s">
        <v>10277</v>
      </c>
      <c r="B4609" s="21" t="s">
        <v>10278</v>
      </c>
      <c r="C4609" s="21" t="s">
        <v>22760</v>
      </c>
      <c r="D4609" s="22">
        <v>46024</v>
      </c>
      <c r="E4609" s="23" t="s">
        <v>22656</v>
      </c>
      <c r="F4609" s="24" t="s">
        <v>22657</v>
      </c>
      <c r="G4609" s="25">
        <v>2</v>
      </c>
      <c r="H4609" s="32">
        <v>2</v>
      </c>
      <c r="I4609" s="33">
        <v>4</v>
      </c>
    </row>
    <row r="4610" spans="1:9" ht="15.75" thickBot="1" x14ac:dyDescent="0.3">
      <c r="A4610" s="43" t="s">
        <v>10279</v>
      </c>
      <c r="B4610" s="21" t="s">
        <v>10280</v>
      </c>
      <c r="C4610" s="21" t="s">
        <v>22655</v>
      </c>
      <c r="D4610" s="22">
        <v>46034</v>
      </c>
      <c r="E4610" s="23" t="s">
        <v>22658</v>
      </c>
      <c r="F4610" s="24" t="s">
        <v>22657</v>
      </c>
      <c r="G4610" s="25">
        <v>4</v>
      </c>
      <c r="H4610" s="26"/>
      <c r="I4610" s="27"/>
    </row>
    <row r="4611" spans="1:9" ht="15.75" thickBot="1" x14ac:dyDescent="0.3">
      <c r="A4611" s="43" t="s">
        <v>10281</v>
      </c>
      <c r="B4611" s="21" t="s">
        <v>10282</v>
      </c>
      <c r="C4611" s="21" t="s">
        <v>22655</v>
      </c>
      <c r="D4611" s="22">
        <v>46032</v>
      </c>
      <c r="E4611" s="23" t="s">
        <v>22656</v>
      </c>
      <c r="F4611" s="24" t="s">
        <v>22657</v>
      </c>
      <c r="G4611" s="25">
        <v>4</v>
      </c>
      <c r="H4611" s="29"/>
      <c r="I4611" s="30"/>
    </row>
    <row r="4612" spans="1:9" ht="15.75" thickBot="1" x14ac:dyDescent="0.3">
      <c r="A4612" s="43" t="s">
        <v>10283</v>
      </c>
      <c r="B4612" s="21" t="s">
        <v>10284</v>
      </c>
      <c r="C4612" s="21" t="s">
        <v>22655</v>
      </c>
      <c r="D4612" s="22">
        <v>46046</v>
      </c>
      <c r="E4612" s="23" t="s">
        <v>22656</v>
      </c>
      <c r="F4612" s="24" t="s">
        <v>22657</v>
      </c>
      <c r="G4612" s="25">
        <v>8</v>
      </c>
      <c r="H4612" s="26"/>
      <c r="I4612" s="27"/>
    </row>
    <row r="4613" spans="1:9" ht="15.75" thickBot="1" x14ac:dyDescent="0.3">
      <c r="A4613" s="43" t="s">
        <v>10285</v>
      </c>
      <c r="B4613" s="21" t="s">
        <v>10286</v>
      </c>
      <c r="C4613" s="21" t="s">
        <v>22655</v>
      </c>
      <c r="D4613" s="22">
        <v>46034</v>
      </c>
      <c r="E4613" s="23" t="s">
        <v>22656</v>
      </c>
      <c r="F4613" s="24" t="s">
        <v>22657</v>
      </c>
      <c r="G4613" s="25">
        <v>4</v>
      </c>
      <c r="H4613" s="29"/>
      <c r="I4613" s="30"/>
    </row>
    <row r="4614" spans="1:9" ht="15.75" thickBot="1" x14ac:dyDescent="0.3">
      <c r="A4614" s="43" t="s">
        <v>485</v>
      </c>
      <c r="B4614" s="21" t="s">
        <v>486</v>
      </c>
      <c r="C4614" s="21" t="s">
        <v>22663</v>
      </c>
      <c r="D4614" s="31">
        <v>1</v>
      </c>
      <c r="E4614" s="23" t="s">
        <v>22665</v>
      </c>
      <c r="F4614" s="24" t="s">
        <v>22657</v>
      </c>
      <c r="G4614" s="25">
        <v>40</v>
      </c>
      <c r="H4614" s="34">
        <v>40</v>
      </c>
      <c r="I4614" s="35">
        <v>70</v>
      </c>
    </row>
    <row r="4615" spans="1:9" ht="15.75" thickBot="1" x14ac:dyDescent="0.3">
      <c r="A4615" s="43" t="s">
        <v>509</v>
      </c>
      <c r="B4615" s="21" t="s">
        <v>510</v>
      </c>
      <c r="C4615" s="21" t="s">
        <v>22663</v>
      </c>
      <c r="D4615" s="31">
        <v>1</v>
      </c>
      <c r="E4615" s="23" t="s">
        <v>22662</v>
      </c>
      <c r="F4615" s="24" t="s">
        <v>22657</v>
      </c>
      <c r="G4615" s="25">
        <v>50</v>
      </c>
      <c r="H4615" s="32">
        <v>50</v>
      </c>
      <c r="I4615" s="33">
        <v>70</v>
      </c>
    </row>
    <row r="4616" spans="1:9" ht="15.75" thickBot="1" x14ac:dyDescent="0.3">
      <c r="A4616" s="43" t="s">
        <v>10287</v>
      </c>
      <c r="B4616" s="21" t="s">
        <v>10288</v>
      </c>
      <c r="C4616" s="21" t="s">
        <v>22663</v>
      </c>
      <c r="D4616" s="31">
        <v>1</v>
      </c>
      <c r="E4616" s="23" t="s">
        <v>22656</v>
      </c>
      <c r="F4616" s="24" t="s">
        <v>22657</v>
      </c>
      <c r="G4616" s="25">
        <v>3</v>
      </c>
      <c r="H4616" s="26"/>
      <c r="I4616" s="27"/>
    </row>
    <row r="4617" spans="1:9" ht="15.75" thickBot="1" x14ac:dyDescent="0.3">
      <c r="A4617" s="43" t="s">
        <v>10289</v>
      </c>
      <c r="B4617" s="21" t="s">
        <v>10290</v>
      </c>
      <c r="C4617" s="21" t="s">
        <v>22698</v>
      </c>
      <c r="D4617" s="31">
        <v>1</v>
      </c>
      <c r="E4617" s="23" t="s">
        <v>22658</v>
      </c>
      <c r="F4617" s="28" t="s">
        <v>22659</v>
      </c>
      <c r="G4617" s="25">
        <v>1</v>
      </c>
      <c r="H4617" s="29"/>
      <c r="I4617" s="30"/>
    </row>
    <row r="4618" spans="1:9" ht="15.75" thickBot="1" x14ac:dyDescent="0.3">
      <c r="A4618" s="43" t="s">
        <v>10291</v>
      </c>
      <c r="B4618" s="21" t="s">
        <v>10292</v>
      </c>
      <c r="C4618" s="21" t="s">
        <v>22663</v>
      </c>
      <c r="D4618" s="31">
        <v>1</v>
      </c>
      <c r="E4618" s="23" t="s">
        <v>22656</v>
      </c>
      <c r="F4618" s="24" t="s">
        <v>22657</v>
      </c>
      <c r="G4618" s="25">
        <v>2</v>
      </c>
      <c r="H4618" s="26"/>
      <c r="I4618" s="27"/>
    </row>
    <row r="4619" spans="1:9" ht="15.75" thickBot="1" x14ac:dyDescent="0.3">
      <c r="A4619" s="43" t="s">
        <v>10293</v>
      </c>
      <c r="B4619" s="21" t="s">
        <v>10294</v>
      </c>
      <c r="C4619" s="21" t="s">
        <v>22663</v>
      </c>
      <c r="D4619" s="31">
        <v>1</v>
      </c>
      <c r="E4619" s="23" t="s">
        <v>22656</v>
      </c>
      <c r="F4619" s="24" t="s">
        <v>22657</v>
      </c>
      <c r="G4619" s="25">
        <v>5</v>
      </c>
      <c r="H4619" s="29"/>
      <c r="I4619" s="30"/>
    </row>
    <row r="4620" spans="1:9" ht="15.75" thickBot="1" x14ac:dyDescent="0.3">
      <c r="A4620" s="43" t="s">
        <v>10295</v>
      </c>
      <c r="B4620" s="21" t="s">
        <v>10296</v>
      </c>
      <c r="C4620" s="21" t="s">
        <v>22663</v>
      </c>
      <c r="D4620" s="31">
        <v>1</v>
      </c>
      <c r="E4620" s="23" t="s">
        <v>22656</v>
      </c>
      <c r="F4620" s="24" t="s">
        <v>22657</v>
      </c>
      <c r="G4620" s="25">
        <v>3</v>
      </c>
      <c r="H4620" s="26"/>
      <c r="I4620" s="27"/>
    </row>
    <row r="4621" spans="1:9" ht="15.75" thickBot="1" x14ac:dyDescent="0.3">
      <c r="A4621" s="43" t="s">
        <v>10297</v>
      </c>
      <c r="B4621" s="21" t="s">
        <v>10298</v>
      </c>
      <c r="C4621" s="21" t="s">
        <v>22663</v>
      </c>
      <c r="D4621" s="31">
        <v>1</v>
      </c>
      <c r="E4621" s="23" t="s">
        <v>22656</v>
      </c>
      <c r="F4621" s="24" t="s">
        <v>22657</v>
      </c>
      <c r="G4621" s="25">
        <v>2</v>
      </c>
      <c r="H4621" s="29"/>
      <c r="I4621" s="30"/>
    </row>
    <row r="4622" spans="1:9" ht="15.75" thickBot="1" x14ac:dyDescent="0.3">
      <c r="A4622" s="43" t="s">
        <v>10299</v>
      </c>
      <c r="B4622" s="21" t="s">
        <v>10300</v>
      </c>
      <c r="C4622" s="21" t="s">
        <v>22663</v>
      </c>
      <c r="D4622" s="31">
        <v>1</v>
      </c>
      <c r="E4622" s="23" t="s">
        <v>22656</v>
      </c>
      <c r="F4622" s="24" t="s">
        <v>22657</v>
      </c>
      <c r="G4622" s="25">
        <v>2</v>
      </c>
      <c r="H4622" s="26"/>
      <c r="I4622" s="27"/>
    </row>
    <row r="4623" spans="1:9" ht="15.75" thickBot="1" x14ac:dyDescent="0.3">
      <c r="A4623" s="43" t="s">
        <v>10301</v>
      </c>
      <c r="B4623" s="21" t="s">
        <v>10302</v>
      </c>
      <c r="C4623" s="21" t="s">
        <v>22663</v>
      </c>
      <c r="D4623" s="31">
        <v>1</v>
      </c>
      <c r="E4623" s="23" t="s">
        <v>22656</v>
      </c>
      <c r="F4623" s="24" t="s">
        <v>22657</v>
      </c>
      <c r="G4623" s="25">
        <v>2</v>
      </c>
      <c r="H4623" s="29"/>
      <c r="I4623" s="30"/>
    </row>
    <row r="4624" spans="1:9" ht="15.75" thickBot="1" x14ac:dyDescent="0.3">
      <c r="A4624" s="43" t="s">
        <v>10303</v>
      </c>
      <c r="B4624" s="21" t="s">
        <v>10304</v>
      </c>
      <c r="C4624" s="21" t="s">
        <v>22663</v>
      </c>
      <c r="D4624" s="31">
        <v>1</v>
      </c>
      <c r="E4624" s="23" t="s">
        <v>22658</v>
      </c>
      <c r="F4624" s="24" t="s">
        <v>22657</v>
      </c>
      <c r="G4624" s="25">
        <v>1</v>
      </c>
      <c r="H4624" s="26"/>
      <c r="I4624" s="27"/>
    </row>
    <row r="4625" spans="1:9" ht="15.75" thickBot="1" x14ac:dyDescent="0.3">
      <c r="A4625" s="43" t="s">
        <v>10305</v>
      </c>
      <c r="B4625" s="21" t="s">
        <v>10306</v>
      </c>
      <c r="C4625" s="21" t="s">
        <v>22698</v>
      </c>
      <c r="D4625" s="31">
        <v>1</v>
      </c>
      <c r="E4625" s="23" t="s">
        <v>22658</v>
      </c>
      <c r="F4625" s="28" t="s">
        <v>22659</v>
      </c>
      <c r="G4625" s="25">
        <v>1</v>
      </c>
      <c r="H4625" s="29"/>
      <c r="I4625" s="30"/>
    </row>
    <row r="4626" spans="1:9" ht="15.75" thickBot="1" x14ac:dyDescent="0.3">
      <c r="A4626" s="43" t="s">
        <v>10307</v>
      </c>
      <c r="B4626" s="21" t="s">
        <v>10308</v>
      </c>
      <c r="C4626" s="21" t="s">
        <v>22663</v>
      </c>
      <c r="D4626" s="31">
        <v>1</v>
      </c>
      <c r="E4626" s="23" t="s">
        <v>22656</v>
      </c>
      <c r="F4626" s="24" t="s">
        <v>22657</v>
      </c>
      <c r="G4626" s="25">
        <v>2</v>
      </c>
      <c r="H4626" s="26"/>
      <c r="I4626" s="27"/>
    </row>
    <row r="4627" spans="1:9" ht="15.75" thickBot="1" x14ac:dyDescent="0.3">
      <c r="A4627" s="43" t="s">
        <v>10309</v>
      </c>
      <c r="B4627" s="21" t="s">
        <v>10310</v>
      </c>
      <c r="C4627" s="21" t="s">
        <v>22667</v>
      </c>
      <c r="D4627" s="31" t="s">
        <v>22670</v>
      </c>
      <c r="E4627" s="23" t="s">
        <v>22656</v>
      </c>
      <c r="F4627" s="24" t="s">
        <v>22657</v>
      </c>
      <c r="G4627" s="25">
        <v>3</v>
      </c>
      <c r="H4627" s="29"/>
      <c r="I4627" s="30"/>
    </row>
    <row r="4628" spans="1:9" ht="15.75" thickBot="1" x14ac:dyDescent="0.3">
      <c r="A4628" s="43" t="s">
        <v>10311</v>
      </c>
      <c r="B4628" s="21" t="s">
        <v>10312</v>
      </c>
      <c r="C4628" s="21" t="s">
        <v>22682</v>
      </c>
      <c r="D4628" s="22">
        <v>46034</v>
      </c>
      <c r="E4628" s="23" t="s">
        <v>22658</v>
      </c>
      <c r="F4628" s="24" t="s">
        <v>22657</v>
      </c>
      <c r="G4628" s="25">
        <v>4</v>
      </c>
      <c r="H4628" s="26"/>
      <c r="I4628" s="27"/>
    </row>
    <row r="4629" spans="1:9" ht="15.75" thickBot="1" x14ac:dyDescent="0.3">
      <c r="A4629" s="43" t="s">
        <v>10313</v>
      </c>
      <c r="B4629" s="21" t="s">
        <v>10314</v>
      </c>
      <c r="C4629" s="21" t="s">
        <v>22682</v>
      </c>
      <c r="D4629" s="22">
        <v>46034</v>
      </c>
      <c r="E4629" s="23" t="s">
        <v>22656</v>
      </c>
      <c r="F4629" s="24" t="s">
        <v>22657</v>
      </c>
      <c r="G4629" s="25">
        <v>4</v>
      </c>
      <c r="H4629" s="29"/>
      <c r="I4629" s="30"/>
    </row>
    <row r="4630" spans="1:9" ht="15.75" thickBot="1" x14ac:dyDescent="0.3">
      <c r="A4630" s="43" t="s">
        <v>10315</v>
      </c>
      <c r="B4630" s="21" t="s">
        <v>10316</v>
      </c>
      <c r="C4630" s="21" t="s">
        <v>22682</v>
      </c>
      <c r="D4630" s="22">
        <v>46034</v>
      </c>
      <c r="E4630" s="23" t="s">
        <v>22656</v>
      </c>
      <c r="F4630" s="24" t="s">
        <v>22657</v>
      </c>
      <c r="G4630" s="25">
        <v>4</v>
      </c>
      <c r="H4630" s="26"/>
      <c r="I4630" s="27"/>
    </row>
    <row r="4631" spans="1:9" ht="15.75" thickBot="1" x14ac:dyDescent="0.3">
      <c r="A4631" s="43" t="s">
        <v>10317</v>
      </c>
      <c r="B4631" s="21" t="s">
        <v>10318</v>
      </c>
      <c r="C4631" s="21" t="s">
        <v>22682</v>
      </c>
      <c r="D4631" s="22">
        <v>46034</v>
      </c>
      <c r="E4631" s="23" t="s">
        <v>22656</v>
      </c>
      <c r="F4631" s="24" t="s">
        <v>22657</v>
      </c>
      <c r="G4631" s="25">
        <v>4</v>
      </c>
      <c r="H4631" s="29"/>
      <c r="I4631" s="30"/>
    </row>
    <row r="4632" spans="1:9" ht="15.75" thickBot="1" x14ac:dyDescent="0.3">
      <c r="A4632" s="43" t="s">
        <v>10319</v>
      </c>
      <c r="B4632" s="21" t="s">
        <v>10320</v>
      </c>
      <c r="C4632" s="21" t="s">
        <v>22682</v>
      </c>
      <c r="D4632" s="22">
        <v>46034</v>
      </c>
      <c r="E4632" s="23" t="s">
        <v>22658</v>
      </c>
      <c r="F4632" s="24" t="s">
        <v>22657</v>
      </c>
      <c r="G4632" s="25">
        <v>4</v>
      </c>
      <c r="H4632" s="26"/>
      <c r="I4632" s="27"/>
    </row>
    <row r="4633" spans="1:9" ht="15.75" thickBot="1" x14ac:dyDescent="0.3">
      <c r="A4633" s="43" t="s">
        <v>10321</v>
      </c>
      <c r="B4633" s="21" t="s">
        <v>10322</v>
      </c>
      <c r="C4633" s="21" t="s">
        <v>22682</v>
      </c>
      <c r="D4633" s="22">
        <v>46034</v>
      </c>
      <c r="E4633" s="23" t="s">
        <v>22656</v>
      </c>
      <c r="F4633" s="24" t="s">
        <v>22657</v>
      </c>
      <c r="G4633" s="25">
        <v>4</v>
      </c>
      <c r="H4633" s="29"/>
      <c r="I4633" s="30"/>
    </row>
    <row r="4634" spans="1:9" ht="15.75" thickBot="1" x14ac:dyDescent="0.3">
      <c r="A4634" s="43" t="s">
        <v>10323</v>
      </c>
      <c r="B4634" s="21" t="s">
        <v>10324</v>
      </c>
      <c r="C4634" s="21" t="s">
        <v>22682</v>
      </c>
      <c r="D4634" s="22">
        <v>46034</v>
      </c>
      <c r="E4634" s="23" t="s">
        <v>22656</v>
      </c>
      <c r="F4634" s="24" t="s">
        <v>22657</v>
      </c>
      <c r="G4634" s="25">
        <v>4</v>
      </c>
      <c r="H4634" s="26"/>
      <c r="I4634" s="27"/>
    </row>
    <row r="4635" spans="1:9" ht="15.75" thickBot="1" x14ac:dyDescent="0.3">
      <c r="A4635" s="43" t="s">
        <v>10325</v>
      </c>
      <c r="B4635" s="21" t="s">
        <v>10326</v>
      </c>
      <c r="C4635" s="21" t="s">
        <v>22682</v>
      </c>
      <c r="D4635" s="22">
        <v>46034</v>
      </c>
      <c r="E4635" s="23" t="s">
        <v>22656</v>
      </c>
      <c r="F4635" s="24" t="s">
        <v>22657</v>
      </c>
      <c r="G4635" s="25">
        <v>4</v>
      </c>
      <c r="H4635" s="29"/>
      <c r="I4635" s="30"/>
    </row>
    <row r="4636" spans="1:9" ht="15.75" thickBot="1" x14ac:dyDescent="0.3">
      <c r="A4636" s="43" t="s">
        <v>10327</v>
      </c>
      <c r="B4636" s="21" t="s">
        <v>10328</v>
      </c>
      <c r="C4636" s="21" t="s">
        <v>22682</v>
      </c>
      <c r="D4636" s="22">
        <v>46034</v>
      </c>
      <c r="E4636" s="23" t="s">
        <v>22658</v>
      </c>
      <c r="F4636" s="24" t="s">
        <v>22657</v>
      </c>
      <c r="G4636" s="25">
        <v>4</v>
      </c>
      <c r="H4636" s="26"/>
      <c r="I4636" s="27"/>
    </row>
    <row r="4637" spans="1:9" ht="15.75" thickBot="1" x14ac:dyDescent="0.3">
      <c r="A4637" s="43" t="s">
        <v>10329</v>
      </c>
      <c r="B4637" s="21" t="s">
        <v>10330</v>
      </c>
      <c r="C4637" s="21" t="s">
        <v>22682</v>
      </c>
      <c r="D4637" s="22">
        <v>46034</v>
      </c>
      <c r="E4637" s="23" t="s">
        <v>22658</v>
      </c>
      <c r="F4637" s="24" t="s">
        <v>22657</v>
      </c>
      <c r="G4637" s="25">
        <v>4</v>
      </c>
      <c r="H4637" s="29"/>
      <c r="I4637" s="30"/>
    </row>
    <row r="4638" spans="1:9" ht="15.75" thickBot="1" x14ac:dyDescent="0.3">
      <c r="A4638" s="43" t="s">
        <v>10331</v>
      </c>
      <c r="B4638" s="21" t="s">
        <v>10332</v>
      </c>
      <c r="C4638" s="21" t="s">
        <v>22682</v>
      </c>
      <c r="D4638" s="22">
        <v>46034</v>
      </c>
      <c r="E4638" s="23" t="s">
        <v>22658</v>
      </c>
      <c r="F4638" s="24" t="s">
        <v>22657</v>
      </c>
      <c r="G4638" s="25">
        <v>4</v>
      </c>
      <c r="H4638" s="26"/>
      <c r="I4638" s="27"/>
    </row>
    <row r="4639" spans="1:9" ht="15.75" thickBot="1" x14ac:dyDescent="0.3">
      <c r="A4639" s="43" t="s">
        <v>10333</v>
      </c>
      <c r="B4639" s="21" t="s">
        <v>10334</v>
      </c>
      <c r="C4639" s="21" t="s">
        <v>22682</v>
      </c>
      <c r="D4639" s="22">
        <v>46034</v>
      </c>
      <c r="E4639" s="23" t="s">
        <v>22656</v>
      </c>
      <c r="F4639" s="24" t="s">
        <v>22657</v>
      </c>
      <c r="G4639" s="25">
        <v>4</v>
      </c>
      <c r="H4639" s="29"/>
      <c r="I4639" s="30"/>
    </row>
    <row r="4640" spans="1:9" ht="15.75" thickBot="1" x14ac:dyDescent="0.3">
      <c r="A4640" s="43" t="s">
        <v>10335</v>
      </c>
      <c r="B4640" s="21" t="s">
        <v>10336</v>
      </c>
      <c r="C4640" s="21" t="s">
        <v>22682</v>
      </c>
      <c r="D4640" s="22">
        <v>46034</v>
      </c>
      <c r="E4640" s="23" t="s">
        <v>22656</v>
      </c>
      <c r="F4640" s="24" t="s">
        <v>22657</v>
      </c>
      <c r="G4640" s="25">
        <v>4</v>
      </c>
      <c r="H4640" s="26"/>
      <c r="I4640" s="27"/>
    </row>
    <row r="4641" spans="1:9" ht="15.75" thickBot="1" x14ac:dyDescent="0.3">
      <c r="A4641" s="43" t="s">
        <v>10337</v>
      </c>
      <c r="B4641" s="21" t="s">
        <v>10338</v>
      </c>
      <c r="C4641" s="21" t="s">
        <v>22682</v>
      </c>
      <c r="D4641" s="22">
        <v>46034</v>
      </c>
      <c r="E4641" s="23" t="s">
        <v>22658</v>
      </c>
      <c r="F4641" s="24" t="s">
        <v>22657</v>
      </c>
      <c r="G4641" s="25">
        <v>4</v>
      </c>
      <c r="H4641" s="29"/>
      <c r="I4641" s="30"/>
    </row>
    <row r="4642" spans="1:9" ht="15.75" thickBot="1" x14ac:dyDescent="0.3">
      <c r="A4642" s="43" t="s">
        <v>10339</v>
      </c>
      <c r="B4642" s="21" t="s">
        <v>10340</v>
      </c>
      <c r="C4642" s="21" t="s">
        <v>22682</v>
      </c>
      <c r="D4642" s="22">
        <v>46034</v>
      </c>
      <c r="E4642" s="23" t="s">
        <v>22658</v>
      </c>
      <c r="F4642" s="24" t="s">
        <v>22657</v>
      </c>
      <c r="G4642" s="25">
        <v>4</v>
      </c>
      <c r="H4642" s="26"/>
      <c r="I4642" s="27"/>
    </row>
    <row r="4643" spans="1:9" ht="15.75" thickBot="1" x14ac:dyDescent="0.3">
      <c r="A4643" s="43" t="s">
        <v>10341</v>
      </c>
      <c r="B4643" s="21" t="s">
        <v>10342</v>
      </c>
      <c r="C4643" s="21" t="s">
        <v>22682</v>
      </c>
      <c r="D4643" s="22">
        <v>46034</v>
      </c>
      <c r="E4643" s="23" t="s">
        <v>22658</v>
      </c>
      <c r="F4643" s="24" t="s">
        <v>22657</v>
      </c>
      <c r="G4643" s="25">
        <v>4</v>
      </c>
      <c r="H4643" s="29"/>
      <c r="I4643" s="30"/>
    </row>
    <row r="4644" spans="1:9" ht="15.75" thickBot="1" x14ac:dyDescent="0.3">
      <c r="A4644" s="43" t="s">
        <v>10343</v>
      </c>
      <c r="B4644" s="21" t="s">
        <v>10344</v>
      </c>
      <c r="C4644" s="21" t="s">
        <v>22682</v>
      </c>
      <c r="D4644" s="22">
        <v>46034</v>
      </c>
      <c r="E4644" s="23" t="s">
        <v>22658</v>
      </c>
      <c r="F4644" s="24" t="s">
        <v>22657</v>
      </c>
      <c r="G4644" s="25">
        <v>4</v>
      </c>
      <c r="H4644" s="26"/>
      <c r="I4644" s="27"/>
    </row>
    <row r="4645" spans="1:9" ht="15.75" thickBot="1" x14ac:dyDescent="0.3">
      <c r="A4645" s="43" t="s">
        <v>10345</v>
      </c>
      <c r="B4645" s="21" t="s">
        <v>10346</v>
      </c>
      <c r="C4645" s="21" t="s">
        <v>22655</v>
      </c>
      <c r="D4645" s="22">
        <v>46037</v>
      </c>
      <c r="E4645" s="23" t="s">
        <v>22658</v>
      </c>
      <c r="F4645" s="24" t="s">
        <v>22657</v>
      </c>
      <c r="G4645" s="25">
        <v>5</v>
      </c>
      <c r="H4645" s="29"/>
      <c r="I4645" s="30"/>
    </row>
    <row r="4646" spans="1:9" ht="15.75" thickBot="1" x14ac:dyDescent="0.3">
      <c r="A4646" s="43" t="s">
        <v>10347</v>
      </c>
      <c r="B4646" s="21" t="s">
        <v>10348</v>
      </c>
      <c r="C4646" s="21" t="s">
        <v>22655</v>
      </c>
      <c r="D4646" s="22">
        <v>46037</v>
      </c>
      <c r="E4646" s="23" t="s">
        <v>22658</v>
      </c>
      <c r="F4646" s="24" t="s">
        <v>22657</v>
      </c>
      <c r="G4646" s="25">
        <v>5</v>
      </c>
      <c r="H4646" s="26"/>
      <c r="I4646" s="27"/>
    </row>
    <row r="4647" spans="1:9" ht="15.75" thickBot="1" x14ac:dyDescent="0.3">
      <c r="A4647" s="43" t="s">
        <v>189</v>
      </c>
      <c r="B4647" s="21" t="s">
        <v>190</v>
      </c>
      <c r="C4647" s="21" t="s">
        <v>22709</v>
      </c>
      <c r="D4647" s="31">
        <v>1</v>
      </c>
      <c r="E4647" s="23" t="s">
        <v>22656</v>
      </c>
      <c r="F4647" s="24" t="s">
        <v>22657</v>
      </c>
      <c r="G4647" s="25">
        <v>4</v>
      </c>
      <c r="H4647" s="29"/>
      <c r="I4647" s="30"/>
    </row>
    <row r="4648" spans="1:9" ht="15.75" thickBot="1" x14ac:dyDescent="0.3">
      <c r="A4648" s="43" t="s">
        <v>10349</v>
      </c>
      <c r="B4648" s="21" t="s">
        <v>10350</v>
      </c>
      <c r="C4648" s="21" t="s">
        <v>22663</v>
      </c>
      <c r="D4648" s="31">
        <v>1</v>
      </c>
      <c r="E4648" s="23" t="s">
        <v>22656</v>
      </c>
      <c r="F4648" s="24" t="s">
        <v>22657</v>
      </c>
      <c r="G4648" s="25">
        <v>2</v>
      </c>
      <c r="H4648" s="26"/>
      <c r="I4648" s="27"/>
    </row>
    <row r="4649" spans="1:9" ht="15.75" thickBot="1" x14ac:dyDescent="0.3">
      <c r="A4649" s="43" t="s">
        <v>10351</v>
      </c>
      <c r="B4649" s="21" t="s">
        <v>10352</v>
      </c>
      <c r="C4649" s="21" t="s">
        <v>22655</v>
      </c>
      <c r="D4649" s="22">
        <v>46034</v>
      </c>
      <c r="E4649" s="23" t="s">
        <v>22658</v>
      </c>
      <c r="F4649" s="24" t="s">
        <v>22657</v>
      </c>
      <c r="G4649" s="25">
        <v>4</v>
      </c>
      <c r="H4649" s="29"/>
      <c r="I4649" s="30"/>
    </row>
    <row r="4650" spans="1:9" ht="15.75" thickBot="1" x14ac:dyDescent="0.3">
      <c r="A4650" s="43" t="s">
        <v>10353</v>
      </c>
      <c r="B4650" s="21" t="s">
        <v>10354</v>
      </c>
      <c r="C4650" s="21" t="s">
        <v>22768</v>
      </c>
      <c r="D4650" s="22">
        <v>46024</v>
      </c>
      <c r="E4650" s="23" t="s">
        <v>22658</v>
      </c>
      <c r="F4650" s="24" t="s">
        <v>22657</v>
      </c>
      <c r="G4650" s="25">
        <v>1</v>
      </c>
      <c r="H4650" s="26"/>
      <c r="I4650" s="27"/>
    </row>
    <row r="4651" spans="1:9" ht="15.75" thickBot="1" x14ac:dyDescent="0.3">
      <c r="A4651" s="43" t="s">
        <v>10355</v>
      </c>
      <c r="B4651" s="21" t="s">
        <v>22559</v>
      </c>
      <c r="C4651" s="21" t="s">
        <v>22655</v>
      </c>
      <c r="D4651" s="22">
        <v>46032</v>
      </c>
      <c r="E4651" s="23" t="s">
        <v>22658</v>
      </c>
      <c r="F4651" s="24" t="s">
        <v>22657</v>
      </c>
      <c r="G4651" s="25">
        <v>4</v>
      </c>
      <c r="H4651" s="29"/>
      <c r="I4651" s="30"/>
    </row>
    <row r="4652" spans="1:9" ht="15.75" thickBot="1" x14ac:dyDescent="0.3">
      <c r="A4652" s="43" t="s">
        <v>10358</v>
      </c>
      <c r="B4652" s="21" t="s">
        <v>10359</v>
      </c>
      <c r="C4652" s="21" t="s">
        <v>22655</v>
      </c>
      <c r="D4652" s="22">
        <v>46038</v>
      </c>
      <c r="E4652" s="23" t="s">
        <v>22658</v>
      </c>
      <c r="F4652" s="24" t="s">
        <v>22657</v>
      </c>
      <c r="G4652" s="25">
        <v>6</v>
      </c>
      <c r="H4652" s="26"/>
      <c r="I4652" s="27"/>
    </row>
    <row r="4653" spans="1:9" ht="15.75" thickBot="1" x14ac:dyDescent="0.3">
      <c r="A4653" s="43" t="s">
        <v>121</v>
      </c>
      <c r="B4653" s="21" t="s">
        <v>10360</v>
      </c>
      <c r="C4653" s="21" t="s">
        <v>22709</v>
      </c>
      <c r="D4653" s="31">
        <v>1</v>
      </c>
      <c r="E4653" s="23" t="s">
        <v>22656</v>
      </c>
      <c r="F4653" s="24" t="s">
        <v>22657</v>
      </c>
      <c r="G4653" s="25">
        <v>2</v>
      </c>
      <c r="H4653" s="29"/>
      <c r="I4653" s="30"/>
    </row>
    <row r="4654" spans="1:9" ht="15.75" thickBot="1" x14ac:dyDescent="0.3">
      <c r="A4654" s="43" t="s">
        <v>10361</v>
      </c>
      <c r="B4654" s="21" t="s">
        <v>10362</v>
      </c>
      <c r="C4654" s="21" t="s">
        <v>22663</v>
      </c>
      <c r="D4654" s="31">
        <v>1</v>
      </c>
      <c r="E4654" s="23" t="s">
        <v>22656</v>
      </c>
      <c r="F4654" s="24" t="s">
        <v>22657</v>
      </c>
      <c r="G4654" s="25">
        <v>1</v>
      </c>
      <c r="H4654" s="34">
        <v>1</v>
      </c>
      <c r="I4654" s="35">
        <v>3</v>
      </c>
    </row>
    <row r="4655" spans="1:9" ht="15.75" thickBot="1" x14ac:dyDescent="0.3">
      <c r="A4655" s="43" t="s">
        <v>10363</v>
      </c>
      <c r="B4655" s="21" t="s">
        <v>10364</v>
      </c>
      <c r="C4655" s="21" t="s">
        <v>22655</v>
      </c>
      <c r="D4655" s="22">
        <v>46034</v>
      </c>
      <c r="E4655" s="23" t="s">
        <v>22658</v>
      </c>
      <c r="F4655" s="24" t="s">
        <v>22657</v>
      </c>
      <c r="G4655" s="25">
        <v>4</v>
      </c>
      <c r="H4655" s="29"/>
      <c r="I4655" s="30"/>
    </row>
    <row r="4656" spans="1:9" ht="15.75" thickBot="1" x14ac:dyDescent="0.3">
      <c r="A4656" s="43" t="s">
        <v>10365</v>
      </c>
      <c r="B4656" s="21" t="s">
        <v>10366</v>
      </c>
      <c r="C4656" s="21" t="s">
        <v>22663</v>
      </c>
      <c r="D4656" s="31">
        <v>1</v>
      </c>
      <c r="E4656" s="23" t="s">
        <v>22658</v>
      </c>
      <c r="F4656" s="24" t="s">
        <v>22657</v>
      </c>
      <c r="G4656" s="25">
        <v>1</v>
      </c>
      <c r="H4656" s="26"/>
      <c r="I4656" s="27"/>
    </row>
    <row r="4657" spans="1:9" ht="15.75" thickBot="1" x14ac:dyDescent="0.3">
      <c r="A4657" s="43" t="s">
        <v>10367</v>
      </c>
      <c r="B4657" s="21" t="s">
        <v>10368</v>
      </c>
      <c r="C4657" s="21" t="s">
        <v>22682</v>
      </c>
      <c r="D4657" s="22">
        <v>46034</v>
      </c>
      <c r="E4657" s="23" t="s">
        <v>22658</v>
      </c>
      <c r="F4657" s="24" t="s">
        <v>22657</v>
      </c>
      <c r="G4657" s="25">
        <v>4</v>
      </c>
      <c r="H4657" s="29"/>
      <c r="I4657" s="30"/>
    </row>
    <row r="4658" spans="1:9" ht="15.75" thickBot="1" x14ac:dyDescent="0.3">
      <c r="A4658" s="43" t="s">
        <v>10369</v>
      </c>
      <c r="B4658" s="21" t="s">
        <v>10370</v>
      </c>
      <c r="C4658" s="21" t="s">
        <v>22682</v>
      </c>
      <c r="D4658" s="22">
        <v>46034</v>
      </c>
      <c r="E4658" s="23" t="s">
        <v>22658</v>
      </c>
      <c r="F4658" s="24" t="s">
        <v>22657</v>
      </c>
      <c r="G4658" s="25">
        <v>4</v>
      </c>
      <c r="H4658" s="26"/>
      <c r="I4658" s="27"/>
    </row>
    <row r="4659" spans="1:9" ht="15.75" thickBot="1" x14ac:dyDescent="0.3">
      <c r="A4659" s="43" t="s">
        <v>10371</v>
      </c>
      <c r="B4659" s="21" t="s">
        <v>10372</v>
      </c>
      <c r="C4659" s="21" t="s">
        <v>22682</v>
      </c>
      <c r="D4659" s="22">
        <v>46034</v>
      </c>
      <c r="E4659" s="23" t="s">
        <v>22658</v>
      </c>
      <c r="F4659" s="24" t="s">
        <v>22657</v>
      </c>
      <c r="G4659" s="25">
        <v>4</v>
      </c>
      <c r="H4659" s="29"/>
      <c r="I4659" s="30"/>
    </row>
    <row r="4660" spans="1:9" ht="15.75" thickBot="1" x14ac:dyDescent="0.3">
      <c r="A4660" s="43" t="s">
        <v>22560</v>
      </c>
      <c r="B4660" s="21" t="s">
        <v>22561</v>
      </c>
      <c r="C4660" s="36" t="e">
        <v>#N/A</v>
      </c>
      <c r="D4660" s="37" t="e">
        <v>#N/A</v>
      </c>
      <c r="E4660" s="23" t="e">
        <v>#N/A</v>
      </c>
      <c r="F4660" s="24" t="s">
        <v>22657</v>
      </c>
      <c r="G4660" s="25" t="e">
        <v>#N/A</v>
      </c>
      <c r="H4660" s="26"/>
      <c r="I4660" s="27"/>
    </row>
    <row r="4661" spans="1:9" ht="15.75" thickBot="1" x14ac:dyDescent="0.3">
      <c r="A4661" s="43" t="s">
        <v>10373</v>
      </c>
      <c r="B4661" s="21" t="s">
        <v>10374</v>
      </c>
      <c r="C4661" s="21" t="s">
        <v>22672</v>
      </c>
      <c r="D4661" s="31" t="s">
        <v>22673</v>
      </c>
      <c r="E4661" s="23" t="s">
        <v>22656</v>
      </c>
      <c r="F4661" s="24" t="s">
        <v>22657</v>
      </c>
      <c r="G4661" s="25">
        <v>7</v>
      </c>
      <c r="H4661" s="29"/>
      <c r="I4661" s="30"/>
    </row>
    <row r="4662" spans="1:9" ht="15.75" thickBot="1" x14ac:dyDescent="0.3">
      <c r="A4662" s="43" t="s">
        <v>10375</v>
      </c>
      <c r="B4662" s="21" t="s">
        <v>10376</v>
      </c>
      <c r="C4662" s="21" t="s">
        <v>22655</v>
      </c>
      <c r="D4662" s="22">
        <v>46040</v>
      </c>
      <c r="E4662" s="23" t="s">
        <v>22656</v>
      </c>
      <c r="F4662" s="24" t="s">
        <v>22657</v>
      </c>
      <c r="G4662" s="25">
        <v>6</v>
      </c>
      <c r="H4662" s="34">
        <v>6</v>
      </c>
      <c r="I4662" s="35">
        <v>12</v>
      </c>
    </row>
    <row r="4663" spans="1:9" ht="15.75" thickBot="1" x14ac:dyDescent="0.3">
      <c r="A4663" s="43" t="s">
        <v>10377</v>
      </c>
      <c r="B4663" s="21" t="s">
        <v>10378</v>
      </c>
      <c r="C4663" s="21" t="s">
        <v>22655</v>
      </c>
      <c r="D4663" s="22">
        <v>46034</v>
      </c>
      <c r="E4663" s="23" t="s">
        <v>22656</v>
      </c>
      <c r="F4663" s="24" t="s">
        <v>22657</v>
      </c>
      <c r="G4663" s="25">
        <v>2</v>
      </c>
      <c r="H4663" s="29"/>
      <c r="I4663" s="30"/>
    </row>
    <row r="4664" spans="1:9" ht="15.75" thickBot="1" x14ac:dyDescent="0.3">
      <c r="A4664" s="43" t="s">
        <v>10379</v>
      </c>
      <c r="B4664" s="21" t="s">
        <v>10380</v>
      </c>
      <c r="C4664" s="21" t="s">
        <v>22655</v>
      </c>
      <c r="D4664" s="22">
        <v>46034</v>
      </c>
      <c r="E4664" s="23" t="s">
        <v>22656</v>
      </c>
      <c r="F4664" s="24" t="s">
        <v>22657</v>
      </c>
      <c r="G4664" s="25">
        <v>2</v>
      </c>
      <c r="H4664" s="26"/>
      <c r="I4664" s="27"/>
    </row>
    <row r="4665" spans="1:9" ht="15.75" thickBot="1" x14ac:dyDescent="0.3">
      <c r="A4665" s="43" t="s">
        <v>10381</v>
      </c>
      <c r="B4665" s="21" t="s">
        <v>10382</v>
      </c>
      <c r="C4665" s="21" t="s">
        <v>22655</v>
      </c>
      <c r="D4665" s="22">
        <v>46034</v>
      </c>
      <c r="E4665" s="23" t="s">
        <v>22656</v>
      </c>
      <c r="F4665" s="24" t="s">
        <v>22657</v>
      </c>
      <c r="G4665" s="25">
        <v>6</v>
      </c>
      <c r="H4665" s="32">
        <v>6</v>
      </c>
      <c r="I4665" s="33">
        <v>12</v>
      </c>
    </row>
    <row r="4666" spans="1:9" ht="15.75" thickBot="1" x14ac:dyDescent="0.3">
      <c r="A4666" s="43" t="s">
        <v>10383</v>
      </c>
      <c r="B4666" s="21" t="s">
        <v>10384</v>
      </c>
      <c r="C4666" s="21" t="s">
        <v>22655</v>
      </c>
      <c r="D4666" s="31" t="s">
        <v>22673</v>
      </c>
      <c r="E4666" s="23" t="s">
        <v>22656</v>
      </c>
      <c r="F4666" s="24" t="s">
        <v>22657</v>
      </c>
      <c r="G4666" s="25">
        <v>2</v>
      </c>
      <c r="H4666" s="26"/>
      <c r="I4666" s="27"/>
    </row>
    <row r="4667" spans="1:9" ht="15.75" thickBot="1" x14ac:dyDescent="0.3">
      <c r="A4667" s="43" t="s">
        <v>10385</v>
      </c>
      <c r="B4667" s="21" t="s">
        <v>10386</v>
      </c>
      <c r="C4667" s="21" t="s">
        <v>22655</v>
      </c>
      <c r="D4667" s="22">
        <v>46034</v>
      </c>
      <c r="E4667" s="23" t="s">
        <v>22656</v>
      </c>
      <c r="F4667" s="24" t="s">
        <v>22657</v>
      </c>
      <c r="G4667" s="25">
        <v>2</v>
      </c>
      <c r="H4667" s="29"/>
      <c r="I4667" s="30"/>
    </row>
    <row r="4668" spans="1:9" ht="15.75" thickBot="1" x14ac:dyDescent="0.3">
      <c r="A4668" s="43" t="s">
        <v>10387</v>
      </c>
      <c r="B4668" s="21" t="s">
        <v>10388</v>
      </c>
      <c r="C4668" s="21" t="s">
        <v>22663</v>
      </c>
      <c r="D4668" s="31">
        <v>1</v>
      </c>
      <c r="E4668" s="23" t="s">
        <v>22656</v>
      </c>
      <c r="F4668" s="24" t="s">
        <v>22657</v>
      </c>
      <c r="G4668" s="25">
        <v>2</v>
      </c>
      <c r="H4668" s="26"/>
      <c r="I4668" s="27"/>
    </row>
    <row r="4669" spans="1:9" ht="15.75" thickBot="1" x14ac:dyDescent="0.3">
      <c r="A4669" s="43" t="s">
        <v>10389</v>
      </c>
      <c r="B4669" s="21" t="s">
        <v>10390</v>
      </c>
      <c r="C4669" s="21" t="s">
        <v>22655</v>
      </c>
      <c r="D4669" s="22">
        <v>46034</v>
      </c>
      <c r="E4669" s="23" t="s">
        <v>22656</v>
      </c>
      <c r="F4669" s="24" t="s">
        <v>22657</v>
      </c>
      <c r="G4669" s="25">
        <v>2</v>
      </c>
      <c r="H4669" s="29"/>
      <c r="I4669" s="30"/>
    </row>
    <row r="4670" spans="1:9" ht="15.75" thickBot="1" x14ac:dyDescent="0.3">
      <c r="A4670" s="43" t="s">
        <v>10391</v>
      </c>
      <c r="B4670" s="21" t="s">
        <v>10392</v>
      </c>
      <c r="C4670" s="21" t="s">
        <v>22655</v>
      </c>
      <c r="D4670" s="22">
        <v>46034</v>
      </c>
      <c r="E4670" s="23" t="s">
        <v>22656</v>
      </c>
      <c r="F4670" s="24" t="s">
        <v>22657</v>
      </c>
      <c r="G4670" s="25">
        <v>2</v>
      </c>
      <c r="H4670" s="26"/>
      <c r="I4670" s="27"/>
    </row>
    <row r="4671" spans="1:9" ht="15.75" thickBot="1" x14ac:dyDescent="0.3">
      <c r="A4671" s="43" t="s">
        <v>10393</v>
      </c>
      <c r="B4671" s="21" t="s">
        <v>10394</v>
      </c>
      <c r="C4671" s="21" t="s">
        <v>22655</v>
      </c>
      <c r="D4671" s="22">
        <v>46046</v>
      </c>
      <c r="E4671" s="23" t="s">
        <v>22656</v>
      </c>
      <c r="F4671" s="24" t="s">
        <v>22657</v>
      </c>
      <c r="G4671" s="25">
        <v>2</v>
      </c>
      <c r="H4671" s="29"/>
      <c r="I4671" s="30"/>
    </row>
    <row r="4672" spans="1:9" ht="15.75" thickBot="1" x14ac:dyDescent="0.3">
      <c r="A4672" s="43" t="s">
        <v>10395</v>
      </c>
      <c r="B4672" s="21" t="s">
        <v>10396</v>
      </c>
      <c r="C4672" s="21" t="s">
        <v>22655</v>
      </c>
      <c r="D4672" s="22">
        <v>46046</v>
      </c>
      <c r="E4672" s="23" t="s">
        <v>22656</v>
      </c>
      <c r="F4672" s="24" t="s">
        <v>22657</v>
      </c>
      <c r="G4672" s="25">
        <v>2</v>
      </c>
      <c r="H4672" s="26"/>
      <c r="I4672" s="27"/>
    </row>
    <row r="4673" spans="1:9" ht="15.75" thickBot="1" x14ac:dyDescent="0.3">
      <c r="A4673" s="43" t="s">
        <v>10397</v>
      </c>
      <c r="B4673" s="21" t="s">
        <v>10398</v>
      </c>
      <c r="C4673" s="21" t="s">
        <v>22655</v>
      </c>
      <c r="D4673" s="22">
        <v>46034</v>
      </c>
      <c r="E4673" s="23" t="s">
        <v>22658</v>
      </c>
      <c r="F4673" s="24" t="s">
        <v>22657</v>
      </c>
      <c r="G4673" s="25">
        <v>2</v>
      </c>
      <c r="H4673" s="29"/>
      <c r="I4673" s="30"/>
    </row>
    <row r="4674" spans="1:9" ht="15.75" thickBot="1" x14ac:dyDescent="0.3">
      <c r="A4674" s="43" t="s">
        <v>10399</v>
      </c>
      <c r="B4674" s="21" t="s">
        <v>10400</v>
      </c>
      <c r="C4674" s="21" t="s">
        <v>22655</v>
      </c>
      <c r="D4674" s="22">
        <v>46046</v>
      </c>
      <c r="E4674" s="23" t="s">
        <v>22656</v>
      </c>
      <c r="F4674" s="24" t="s">
        <v>22657</v>
      </c>
      <c r="G4674" s="25">
        <v>2</v>
      </c>
      <c r="H4674" s="26"/>
      <c r="I4674" s="27"/>
    </row>
    <row r="4675" spans="1:9" ht="15.75" thickBot="1" x14ac:dyDescent="0.3">
      <c r="A4675" s="43" t="s">
        <v>10401</v>
      </c>
      <c r="B4675" s="21" t="s">
        <v>10402</v>
      </c>
      <c r="C4675" s="21" t="s">
        <v>22655</v>
      </c>
      <c r="D4675" s="22">
        <v>46046</v>
      </c>
      <c r="E4675" s="23" t="s">
        <v>22656</v>
      </c>
      <c r="F4675" s="24" t="s">
        <v>22657</v>
      </c>
      <c r="G4675" s="25">
        <v>2</v>
      </c>
      <c r="H4675" s="29"/>
      <c r="I4675" s="30"/>
    </row>
    <row r="4676" spans="1:9" ht="15.75" thickBot="1" x14ac:dyDescent="0.3">
      <c r="A4676" s="43" t="s">
        <v>10403</v>
      </c>
      <c r="B4676" s="21" t="s">
        <v>10404</v>
      </c>
      <c r="C4676" s="21" t="s">
        <v>22655</v>
      </c>
      <c r="D4676" s="22">
        <v>46034</v>
      </c>
      <c r="E4676" s="23" t="s">
        <v>22656</v>
      </c>
      <c r="F4676" s="24" t="s">
        <v>22657</v>
      </c>
      <c r="G4676" s="25">
        <v>2</v>
      </c>
      <c r="H4676" s="26"/>
      <c r="I4676" s="27"/>
    </row>
    <row r="4677" spans="1:9" ht="15.75" thickBot="1" x14ac:dyDescent="0.3">
      <c r="A4677" s="43" t="s">
        <v>10405</v>
      </c>
      <c r="B4677" s="21" t="s">
        <v>10406</v>
      </c>
      <c r="C4677" s="21" t="s">
        <v>22655</v>
      </c>
      <c r="D4677" s="22">
        <v>46046</v>
      </c>
      <c r="E4677" s="23" t="s">
        <v>22658</v>
      </c>
      <c r="F4677" s="24" t="s">
        <v>22657</v>
      </c>
      <c r="G4677" s="25">
        <v>2</v>
      </c>
      <c r="H4677" s="29"/>
      <c r="I4677" s="30"/>
    </row>
    <row r="4678" spans="1:9" ht="15.75" thickBot="1" x14ac:dyDescent="0.3">
      <c r="A4678" s="43" t="s">
        <v>10407</v>
      </c>
      <c r="B4678" s="21" t="s">
        <v>10408</v>
      </c>
      <c r="C4678" s="21" t="s">
        <v>22655</v>
      </c>
      <c r="D4678" s="31" t="s">
        <v>22660</v>
      </c>
      <c r="E4678" s="23" t="s">
        <v>22656</v>
      </c>
      <c r="F4678" s="24" t="s">
        <v>22657</v>
      </c>
      <c r="G4678" s="25">
        <v>2</v>
      </c>
      <c r="H4678" s="26"/>
      <c r="I4678" s="27"/>
    </row>
    <row r="4679" spans="1:9" ht="15.75" thickBot="1" x14ac:dyDescent="0.3">
      <c r="A4679" s="43" t="s">
        <v>10409</v>
      </c>
      <c r="B4679" s="21" t="s">
        <v>10410</v>
      </c>
      <c r="C4679" s="21" t="s">
        <v>22655</v>
      </c>
      <c r="D4679" s="31" t="s">
        <v>22660</v>
      </c>
      <c r="E4679" s="23" t="s">
        <v>22656</v>
      </c>
      <c r="F4679" s="24" t="s">
        <v>22657</v>
      </c>
      <c r="G4679" s="25">
        <v>2</v>
      </c>
      <c r="H4679" s="29"/>
      <c r="I4679" s="30"/>
    </row>
    <row r="4680" spans="1:9" ht="15.75" thickBot="1" x14ac:dyDescent="0.3">
      <c r="A4680" s="43" t="s">
        <v>10411</v>
      </c>
      <c r="B4680" s="21" t="s">
        <v>10412</v>
      </c>
      <c r="C4680" s="21" t="s">
        <v>22655</v>
      </c>
      <c r="D4680" s="31" t="s">
        <v>22660</v>
      </c>
      <c r="E4680" s="23" t="s">
        <v>22656</v>
      </c>
      <c r="F4680" s="24" t="s">
        <v>22657</v>
      </c>
      <c r="G4680" s="25">
        <v>2</v>
      </c>
      <c r="H4680" s="26"/>
      <c r="I4680" s="27"/>
    </row>
    <row r="4681" spans="1:9" ht="15.75" thickBot="1" x14ac:dyDescent="0.3">
      <c r="A4681" s="43" t="s">
        <v>10413</v>
      </c>
      <c r="B4681" s="21" t="s">
        <v>10414</v>
      </c>
      <c r="C4681" s="21" t="s">
        <v>22655</v>
      </c>
      <c r="D4681" s="31" t="s">
        <v>22660</v>
      </c>
      <c r="E4681" s="23" t="s">
        <v>22656</v>
      </c>
      <c r="F4681" s="24" t="s">
        <v>22657</v>
      </c>
      <c r="G4681" s="25">
        <v>2</v>
      </c>
      <c r="H4681" s="29"/>
      <c r="I4681" s="30"/>
    </row>
    <row r="4682" spans="1:9" ht="15.75" thickBot="1" x14ac:dyDescent="0.3">
      <c r="A4682" s="43" t="s">
        <v>10415</v>
      </c>
      <c r="B4682" s="21" t="s">
        <v>10416</v>
      </c>
      <c r="C4682" s="21" t="s">
        <v>22655</v>
      </c>
      <c r="D4682" s="31" t="s">
        <v>22660</v>
      </c>
      <c r="E4682" s="23" t="s">
        <v>22656</v>
      </c>
      <c r="F4682" s="24" t="s">
        <v>22657</v>
      </c>
      <c r="G4682" s="25">
        <v>2</v>
      </c>
      <c r="H4682" s="26"/>
      <c r="I4682" s="27"/>
    </row>
    <row r="4683" spans="1:9" ht="15.75" thickBot="1" x14ac:dyDescent="0.3">
      <c r="A4683" s="43" t="s">
        <v>10417</v>
      </c>
      <c r="B4683" s="21" t="s">
        <v>10418</v>
      </c>
      <c r="C4683" s="21" t="s">
        <v>22655</v>
      </c>
      <c r="D4683" s="31" t="s">
        <v>22660</v>
      </c>
      <c r="E4683" s="23" t="s">
        <v>22656</v>
      </c>
      <c r="F4683" s="24" t="s">
        <v>22657</v>
      </c>
      <c r="G4683" s="25">
        <v>4</v>
      </c>
      <c r="H4683" s="29"/>
      <c r="I4683" s="30"/>
    </row>
    <row r="4684" spans="1:9" ht="15.75" thickBot="1" x14ac:dyDescent="0.3">
      <c r="A4684" s="43" t="s">
        <v>10419</v>
      </c>
      <c r="B4684" s="21" t="s">
        <v>10420</v>
      </c>
      <c r="C4684" s="21" t="s">
        <v>22655</v>
      </c>
      <c r="D4684" s="31" t="s">
        <v>22660</v>
      </c>
      <c r="E4684" s="23" t="s">
        <v>22656</v>
      </c>
      <c r="F4684" s="24" t="s">
        <v>22657</v>
      </c>
      <c r="G4684" s="25">
        <v>2</v>
      </c>
      <c r="H4684" s="26"/>
      <c r="I4684" s="27"/>
    </row>
    <row r="4685" spans="1:9" ht="15.75" thickBot="1" x14ac:dyDescent="0.3">
      <c r="A4685" s="43" t="s">
        <v>10421</v>
      </c>
      <c r="B4685" s="21" t="s">
        <v>10422</v>
      </c>
      <c r="C4685" s="21" t="s">
        <v>22655</v>
      </c>
      <c r="D4685" s="31" t="s">
        <v>22660</v>
      </c>
      <c r="E4685" s="23" t="s">
        <v>22656</v>
      </c>
      <c r="F4685" s="24" t="s">
        <v>22657</v>
      </c>
      <c r="G4685" s="25">
        <v>2</v>
      </c>
      <c r="H4685" s="29"/>
      <c r="I4685" s="30"/>
    </row>
    <row r="4686" spans="1:9" ht="15.75" thickBot="1" x14ac:dyDescent="0.3">
      <c r="A4686" s="43" t="s">
        <v>10423</v>
      </c>
      <c r="B4686" s="21" t="s">
        <v>10424</v>
      </c>
      <c r="C4686" s="21" t="s">
        <v>22655</v>
      </c>
      <c r="D4686" s="31" t="s">
        <v>22660</v>
      </c>
      <c r="E4686" s="23" t="s">
        <v>22658</v>
      </c>
      <c r="F4686" s="24" t="s">
        <v>22657</v>
      </c>
      <c r="G4686" s="25">
        <v>2</v>
      </c>
      <c r="H4686" s="26"/>
      <c r="I4686" s="27"/>
    </row>
    <row r="4687" spans="1:9" ht="15.75" thickBot="1" x14ac:dyDescent="0.3">
      <c r="A4687" s="43" t="s">
        <v>10425</v>
      </c>
      <c r="B4687" s="21" t="s">
        <v>10426</v>
      </c>
      <c r="C4687" s="21" t="s">
        <v>22655</v>
      </c>
      <c r="D4687" s="31" t="s">
        <v>22660</v>
      </c>
      <c r="E4687" s="23" t="s">
        <v>22656</v>
      </c>
      <c r="F4687" s="24" t="s">
        <v>22657</v>
      </c>
      <c r="G4687" s="25">
        <v>2</v>
      </c>
      <c r="H4687" s="29"/>
      <c r="I4687" s="30"/>
    </row>
    <row r="4688" spans="1:9" ht="15.75" thickBot="1" x14ac:dyDescent="0.3">
      <c r="A4688" s="43" t="s">
        <v>10427</v>
      </c>
      <c r="B4688" s="21" t="s">
        <v>10428</v>
      </c>
      <c r="C4688" s="21" t="s">
        <v>22655</v>
      </c>
      <c r="D4688" s="31" t="s">
        <v>22660</v>
      </c>
      <c r="E4688" s="23" t="s">
        <v>22658</v>
      </c>
      <c r="F4688" s="24" t="s">
        <v>22657</v>
      </c>
      <c r="G4688" s="25">
        <v>2</v>
      </c>
      <c r="H4688" s="26"/>
      <c r="I4688" s="27"/>
    </row>
    <row r="4689" spans="1:9" ht="15.75" thickBot="1" x14ac:dyDescent="0.3">
      <c r="A4689" s="43" t="s">
        <v>10429</v>
      </c>
      <c r="B4689" s="21" t="s">
        <v>10430</v>
      </c>
      <c r="C4689" s="21" t="s">
        <v>22655</v>
      </c>
      <c r="D4689" s="22">
        <v>46042</v>
      </c>
      <c r="E4689" s="23" t="s">
        <v>22661</v>
      </c>
      <c r="F4689" s="24" t="s">
        <v>22657</v>
      </c>
      <c r="G4689" s="25">
        <v>11</v>
      </c>
      <c r="H4689" s="29"/>
      <c r="I4689" s="30"/>
    </row>
    <row r="4690" spans="1:9" ht="15.75" thickBot="1" x14ac:dyDescent="0.3">
      <c r="A4690" s="43" t="s">
        <v>10431</v>
      </c>
      <c r="B4690" s="21" t="s">
        <v>10432</v>
      </c>
      <c r="C4690" s="21" t="s">
        <v>22655</v>
      </c>
      <c r="D4690" s="22">
        <v>46042</v>
      </c>
      <c r="E4690" s="23" t="s">
        <v>22656</v>
      </c>
      <c r="F4690" s="24" t="s">
        <v>22657</v>
      </c>
      <c r="G4690" s="25">
        <v>7</v>
      </c>
      <c r="H4690" s="26"/>
      <c r="I4690" s="27"/>
    </row>
    <row r="4691" spans="1:9" ht="15.75" thickBot="1" x14ac:dyDescent="0.3">
      <c r="A4691" s="43" t="s">
        <v>10433</v>
      </c>
      <c r="B4691" s="21" t="s">
        <v>10434</v>
      </c>
      <c r="C4691" s="21" t="s">
        <v>22655</v>
      </c>
      <c r="D4691" s="22">
        <v>46042</v>
      </c>
      <c r="E4691" s="23" t="s">
        <v>22656</v>
      </c>
      <c r="F4691" s="24" t="s">
        <v>22657</v>
      </c>
      <c r="G4691" s="25">
        <v>7</v>
      </c>
      <c r="H4691" s="29"/>
      <c r="I4691" s="30"/>
    </row>
    <row r="4692" spans="1:9" ht="15.75" thickBot="1" x14ac:dyDescent="0.3">
      <c r="A4692" s="43" t="s">
        <v>10435</v>
      </c>
      <c r="B4692" s="21" t="s">
        <v>10436</v>
      </c>
      <c r="C4692" s="21" t="s">
        <v>22655</v>
      </c>
      <c r="D4692" s="31" t="s">
        <v>22688</v>
      </c>
      <c r="E4692" s="23" t="s">
        <v>22656</v>
      </c>
      <c r="F4692" s="24" t="s">
        <v>22657</v>
      </c>
      <c r="G4692" s="25">
        <v>4</v>
      </c>
      <c r="H4692" s="26"/>
      <c r="I4692" s="27"/>
    </row>
    <row r="4693" spans="1:9" ht="15.75" thickBot="1" x14ac:dyDescent="0.3">
      <c r="A4693" s="43" t="s">
        <v>10437</v>
      </c>
      <c r="B4693" s="21" t="s">
        <v>10438</v>
      </c>
      <c r="C4693" s="21" t="s">
        <v>22655</v>
      </c>
      <c r="D4693" s="31" t="s">
        <v>22688</v>
      </c>
      <c r="E4693" s="23" t="s">
        <v>22656</v>
      </c>
      <c r="F4693" s="24" t="s">
        <v>22657</v>
      </c>
      <c r="G4693" s="25">
        <v>14</v>
      </c>
      <c r="H4693" s="29"/>
      <c r="I4693" s="30"/>
    </row>
    <row r="4694" spans="1:9" ht="15.75" thickBot="1" x14ac:dyDescent="0.3">
      <c r="A4694" s="43" t="s">
        <v>1437</v>
      </c>
      <c r="B4694" s="21" t="s">
        <v>1438</v>
      </c>
      <c r="C4694" s="21" t="s">
        <v>22655</v>
      </c>
      <c r="D4694" s="22">
        <v>46042</v>
      </c>
      <c r="E4694" s="23" t="s">
        <v>22661</v>
      </c>
      <c r="F4694" s="24" t="s">
        <v>22657</v>
      </c>
      <c r="G4694" s="25">
        <v>7</v>
      </c>
      <c r="H4694" s="26"/>
      <c r="I4694" s="27"/>
    </row>
    <row r="4695" spans="1:9" ht="15.75" thickBot="1" x14ac:dyDescent="0.3">
      <c r="A4695" s="43" t="s">
        <v>10439</v>
      </c>
      <c r="B4695" s="21" t="s">
        <v>10440</v>
      </c>
      <c r="C4695" s="21" t="s">
        <v>22655</v>
      </c>
      <c r="D4695" s="22">
        <v>46042</v>
      </c>
      <c r="E4695" s="23" t="s">
        <v>22656</v>
      </c>
      <c r="F4695" s="24" t="s">
        <v>22657</v>
      </c>
      <c r="G4695" s="25">
        <v>7</v>
      </c>
      <c r="H4695" s="29"/>
      <c r="I4695" s="30"/>
    </row>
    <row r="4696" spans="1:9" ht="15.75" thickBot="1" x14ac:dyDescent="0.3">
      <c r="A4696" s="43" t="s">
        <v>10441</v>
      </c>
      <c r="B4696" s="21" t="s">
        <v>10442</v>
      </c>
      <c r="C4696" s="21" t="s">
        <v>22655</v>
      </c>
      <c r="D4696" s="22">
        <v>46046</v>
      </c>
      <c r="E4696" s="23" t="s">
        <v>22656</v>
      </c>
      <c r="F4696" s="24" t="s">
        <v>22657</v>
      </c>
      <c r="G4696" s="25">
        <v>8</v>
      </c>
      <c r="H4696" s="26"/>
      <c r="I4696" s="27"/>
    </row>
    <row r="4697" spans="1:9" ht="15.75" thickBot="1" x14ac:dyDescent="0.3">
      <c r="A4697" s="43" t="s">
        <v>10443</v>
      </c>
      <c r="B4697" s="21" t="s">
        <v>10444</v>
      </c>
      <c r="C4697" s="21" t="s">
        <v>22655</v>
      </c>
      <c r="D4697" s="22">
        <v>46038</v>
      </c>
      <c r="E4697" s="23" t="s">
        <v>22656</v>
      </c>
      <c r="F4697" s="24" t="s">
        <v>22657</v>
      </c>
      <c r="G4697" s="25">
        <v>6</v>
      </c>
      <c r="H4697" s="29"/>
      <c r="I4697" s="30"/>
    </row>
    <row r="4698" spans="1:9" ht="15.75" thickBot="1" x14ac:dyDescent="0.3">
      <c r="A4698" s="43" t="s">
        <v>10445</v>
      </c>
      <c r="B4698" s="21" t="s">
        <v>10446</v>
      </c>
      <c r="C4698" s="21" t="s">
        <v>22655</v>
      </c>
      <c r="D4698" s="31" t="s">
        <v>22688</v>
      </c>
      <c r="E4698" s="23" t="s">
        <v>22656</v>
      </c>
      <c r="F4698" s="24" t="s">
        <v>22657</v>
      </c>
      <c r="G4698" s="25">
        <v>7</v>
      </c>
      <c r="H4698" s="26"/>
      <c r="I4698" s="27"/>
    </row>
    <row r="4699" spans="1:9" ht="15.75" thickBot="1" x14ac:dyDescent="0.3">
      <c r="A4699" s="43" t="s">
        <v>10447</v>
      </c>
      <c r="B4699" s="21" t="s">
        <v>10448</v>
      </c>
      <c r="C4699" s="21" t="s">
        <v>22655</v>
      </c>
      <c r="D4699" s="31" t="s">
        <v>22669</v>
      </c>
      <c r="E4699" s="23" t="s">
        <v>22656</v>
      </c>
      <c r="F4699" s="24" t="s">
        <v>22657</v>
      </c>
      <c r="G4699" s="25">
        <v>2</v>
      </c>
      <c r="H4699" s="29"/>
      <c r="I4699" s="30"/>
    </row>
    <row r="4700" spans="1:9" ht="15.75" thickBot="1" x14ac:dyDescent="0.3">
      <c r="A4700" s="43" t="s">
        <v>10449</v>
      </c>
      <c r="B4700" s="21" t="s">
        <v>10450</v>
      </c>
      <c r="C4700" s="21" t="s">
        <v>22655</v>
      </c>
      <c r="D4700" s="31" t="s">
        <v>22688</v>
      </c>
      <c r="E4700" s="23" t="s">
        <v>22656</v>
      </c>
      <c r="F4700" s="24" t="s">
        <v>22657</v>
      </c>
      <c r="G4700" s="25">
        <v>7</v>
      </c>
      <c r="H4700" s="26"/>
      <c r="I4700" s="27"/>
    </row>
    <row r="4701" spans="1:9" ht="15.75" thickBot="1" x14ac:dyDescent="0.3">
      <c r="A4701" s="43" t="s">
        <v>10451</v>
      </c>
      <c r="B4701" s="21" t="s">
        <v>10452</v>
      </c>
      <c r="C4701" s="21" t="s">
        <v>22655</v>
      </c>
      <c r="D4701" s="31" t="s">
        <v>22688</v>
      </c>
      <c r="E4701" s="23" t="s">
        <v>22656</v>
      </c>
      <c r="F4701" s="24" t="s">
        <v>22657</v>
      </c>
      <c r="G4701" s="25">
        <v>4</v>
      </c>
      <c r="H4701" s="29"/>
      <c r="I4701" s="30"/>
    </row>
    <row r="4702" spans="1:9" ht="15.75" thickBot="1" x14ac:dyDescent="0.3">
      <c r="A4702" s="43" t="s">
        <v>10453</v>
      </c>
      <c r="B4702" s="21" t="s">
        <v>10454</v>
      </c>
      <c r="C4702" s="21" t="s">
        <v>22655</v>
      </c>
      <c r="D4702" s="22">
        <v>46042</v>
      </c>
      <c r="E4702" s="23" t="s">
        <v>22656</v>
      </c>
      <c r="F4702" s="24" t="s">
        <v>22657</v>
      </c>
      <c r="G4702" s="25">
        <v>7</v>
      </c>
      <c r="H4702" s="26"/>
      <c r="I4702" s="27"/>
    </row>
    <row r="4703" spans="1:9" ht="15.75" thickBot="1" x14ac:dyDescent="0.3">
      <c r="A4703" s="43" t="s">
        <v>173</v>
      </c>
      <c r="B4703" s="21" t="s">
        <v>174</v>
      </c>
      <c r="C4703" s="21" t="s">
        <v>22655</v>
      </c>
      <c r="D4703" s="22">
        <v>46042</v>
      </c>
      <c r="E4703" s="23" t="s">
        <v>22661</v>
      </c>
      <c r="F4703" s="24" t="s">
        <v>22657</v>
      </c>
      <c r="G4703" s="25">
        <v>45</v>
      </c>
      <c r="H4703" s="29"/>
      <c r="I4703" s="30"/>
    </row>
    <row r="4704" spans="1:9" ht="15.75" thickBot="1" x14ac:dyDescent="0.3">
      <c r="A4704" s="43" t="s">
        <v>219</v>
      </c>
      <c r="B4704" s="21" t="s">
        <v>220</v>
      </c>
      <c r="C4704" s="21" t="s">
        <v>22655</v>
      </c>
      <c r="D4704" s="22">
        <v>46042</v>
      </c>
      <c r="E4704" s="23" t="s">
        <v>22665</v>
      </c>
      <c r="F4704" s="24" t="s">
        <v>22657</v>
      </c>
      <c r="G4704" s="25">
        <v>31</v>
      </c>
      <c r="H4704" s="26"/>
      <c r="I4704" s="27"/>
    </row>
    <row r="4705" spans="1:9" ht="15.75" thickBot="1" x14ac:dyDescent="0.3">
      <c r="A4705" s="43" t="s">
        <v>10455</v>
      </c>
      <c r="B4705" s="21" t="s">
        <v>10456</v>
      </c>
      <c r="C4705" s="21" t="s">
        <v>22655</v>
      </c>
      <c r="D4705" s="22">
        <v>46040</v>
      </c>
      <c r="E4705" s="23" t="s">
        <v>22656</v>
      </c>
      <c r="F4705" s="24" t="s">
        <v>22657</v>
      </c>
      <c r="G4705" s="25">
        <v>6</v>
      </c>
      <c r="H4705" s="29"/>
      <c r="I4705" s="30"/>
    </row>
    <row r="4706" spans="1:9" ht="15.75" thickBot="1" x14ac:dyDescent="0.3">
      <c r="A4706" s="43" t="s">
        <v>10457</v>
      </c>
      <c r="B4706" s="21" t="s">
        <v>10458</v>
      </c>
      <c r="C4706" s="21" t="s">
        <v>22655</v>
      </c>
      <c r="D4706" s="22">
        <v>46040</v>
      </c>
      <c r="E4706" s="23" t="s">
        <v>22656</v>
      </c>
      <c r="F4706" s="24" t="s">
        <v>22657</v>
      </c>
      <c r="G4706" s="25">
        <v>3</v>
      </c>
      <c r="H4706" s="26"/>
      <c r="I4706" s="27"/>
    </row>
    <row r="4707" spans="1:9" ht="15.75" thickBot="1" x14ac:dyDescent="0.3">
      <c r="A4707" s="43" t="s">
        <v>10459</v>
      </c>
      <c r="B4707" s="21" t="s">
        <v>10460</v>
      </c>
      <c r="C4707" s="21" t="s">
        <v>22655</v>
      </c>
      <c r="D4707" s="31" t="s">
        <v>22688</v>
      </c>
      <c r="E4707" s="23" t="s">
        <v>22661</v>
      </c>
      <c r="F4707" s="24" t="s">
        <v>22657</v>
      </c>
      <c r="G4707" s="25">
        <v>14</v>
      </c>
      <c r="H4707" s="29"/>
      <c r="I4707" s="30"/>
    </row>
    <row r="4708" spans="1:9" ht="15.75" thickBot="1" x14ac:dyDescent="0.3">
      <c r="A4708" s="43" t="s">
        <v>1735</v>
      </c>
      <c r="B4708" s="21" t="s">
        <v>1736</v>
      </c>
      <c r="C4708" s="21" t="s">
        <v>22655</v>
      </c>
      <c r="D4708" s="22">
        <v>46042</v>
      </c>
      <c r="E4708" s="23" t="s">
        <v>22662</v>
      </c>
      <c r="F4708" s="24" t="s">
        <v>22657</v>
      </c>
      <c r="G4708" s="25">
        <v>20</v>
      </c>
      <c r="H4708" s="34">
        <v>20</v>
      </c>
      <c r="I4708" s="35">
        <v>40</v>
      </c>
    </row>
    <row r="4709" spans="1:9" ht="15.75" thickBot="1" x14ac:dyDescent="0.3">
      <c r="A4709" s="43" t="s">
        <v>1219</v>
      </c>
      <c r="B4709" s="21" t="s">
        <v>1220</v>
      </c>
      <c r="C4709" s="21" t="s">
        <v>22655</v>
      </c>
      <c r="D4709" s="22">
        <v>46042</v>
      </c>
      <c r="E4709" s="23" t="s">
        <v>22665</v>
      </c>
      <c r="F4709" s="24" t="s">
        <v>22657</v>
      </c>
      <c r="G4709" s="25">
        <v>20</v>
      </c>
      <c r="H4709" s="32">
        <v>20</v>
      </c>
      <c r="I4709" s="33">
        <v>40</v>
      </c>
    </row>
    <row r="4710" spans="1:9" ht="15.75" thickBot="1" x14ac:dyDescent="0.3">
      <c r="A4710" s="43" t="s">
        <v>10461</v>
      </c>
      <c r="B4710" s="21" t="s">
        <v>10462</v>
      </c>
      <c r="C4710" s="21" t="s">
        <v>22655</v>
      </c>
      <c r="D4710" s="31" t="s">
        <v>22688</v>
      </c>
      <c r="E4710" s="23" t="s">
        <v>22656</v>
      </c>
      <c r="F4710" s="24" t="s">
        <v>22657</v>
      </c>
      <c r="G4710" s="25">
        <v>7</v>
      </c>
      <c r="H4710" s="26"/>
      <c r="I4710" s="27"/>
    </row>
    <row r="4711" spans="1:9" ht="15.75" thickBot="1" x14ac:dyDescent="0.3">
      <c r="A4711" s="43" t="s">
        <v>10463</v>
      </c>
      <c r="B4711" s="21" t="s">
        <v>10464</v>
      </c>
      <c r="C4711" s="21" t="s">
        <v>22655</v>
      </c>
      <c r="D4711" s="31" t="s">
        <v>22688</v>
      </c>
      <c r="E4711" s="23" t="s">
        <v>22656</v>
      </c>
      <c r="F4711" s="24" t="s">
        <v>22657</v>
      </c>
      <c r="G4711" s="25">
        <v>6</v>
      </c>
      <c r="H4711" s="29"/>
      <c r="I4711" s="30"/>
    </row>
    <row r="4712" spans="1:9" ht="15.75" thickBot="1" x14ac:dyDescent="0.3">
      <c r="A4712" s="43" t="s">
        <v>10465</v>
      </c>
      <c r="B4712" s="21" t="s">
        <v>10466</v>
      </c>
      <c r="C4712" s="21" t="s">
        <v>22655</v>
      </c>
      <c r="D4712" s="22">
        <v>46028</v>
      </c>
      <c r="E4712" s="23" t="s">
        <v>22656</v>
      </c>
      <c r="F4712" s="24" t="s">
        <v>22657</v>
      </c>
      <c r="G4712" s="25">
        <v>2</v>
      </c>
      <c r="H4712" s="26"/>
      <c r="I4712" s="27"/>
    </row>
    <row r="4713" spans="1:9" ht="15.75" thickBot="1" x14ac:dyDescent="0.3">
      <c r="A4713" s="43" t="s">
        <v>10467</v>
      </c>
      <c r="B4713" s="21" t="s">
        <v>10468</v>
      </c>
      <c r="C4713" s="21" t="s">
        <v>22655</v>
      </c>
      <c r="D4713" s="22">
        <v>46028</v>
      </c>
      <c r="E4713" s="23" t="s">
        <v>22656</v>
      </c>
      <c r="F4713" s="24" t="s">
        <v>22657</v>
      </c>
      <c r="G4713" s="25">
        <v>2</v>
      </c>
      <c r="H4713" s="29"/>
      <c r="I4713" s="30"/>
    </row>
    <row r="4714" spans="1:9" ht="15.75" thickBot="1" x14ac:dyDescent="0.3">
      <c r="A4714" s="43" t="s">
        <v>1481</v>
      </c>
      <c r="B4714" s="21" t="s">
        <v>1482</v>
      </c>
      <c r="C4714" s="21" t="s">
        <v>22655</v>
      </c>
      <c r="D4714" s="22">
        <v>46028</v>
      </c>
      <c r="E4714" s="23" t="s">
        <v>22661</v>
      </c>
      <c r="F4714" s="24" t="s">
        <v>22657</v>
      </c>
      <c r="G4714" s="25">
        <v>6</v>
      </c>
      <c r="H4714" s="34">
        <v>6</v>
      </c>
      <c r="I4714" s="35">
        <v>12</v>
      </c>
    </row>
    <row r="4715" spans="1:9" ht="15.75" thickBot="1" x14ac:dyDescent="0.3">
      <c r="A4715" s="43" t="s">
        <v>10469</v>
      </c>
      <c r="B4715" s="21" t="s">
        <v>10470</v>
      </c>
      <c r="C4715" s="21" t="s">
        <v>22690</v>
      </c>
      <c r="D4715" s="31" t="s">
        <v>22816</v>
      </c>
      <c r="E4715" s="23" t="s">
        <v>22665</v>
      </c>
      <c r="F4715" s="24" t="s">
        <v>22657</v>
      </c>
      <c r="G4715" s="25">
        <v>24</v>
      </c>
      <c r="H4715" s="32">
        <v>24</v>
      </c>
      <c r="I4715" s="33">
        <v>48</v>
      </c>
    </row>
    <row r="4716" spans="1:9" ht="15.75" thickBot="1" x14ac:dyDescent="0.3">
      <c r="A4716" s="43" t="s">
        <v>821</v>
      </c>
      <c r="B4716" s="21" t="s">
        <v>822</v>
      </c>
      <c r="C4716" s="21" t="s">
        <v>22690</v>
      </c>
      <c r="D4716" s="31" t="s">
        <v>22779</v>
      </c>
      <c r="E4716" s="23" t="s">
        <v>22665</v>
      </c>
      <c r="F4716" s="24" t="s">
        <v>22657</v>
      </c>
      <c r="G4716" s="25">
        <v>36</v>
      </c>
      <c r="H4716" s="26"/>
      <c r="I4716" s="27"/>
    </row>
    <row r="4717" spans="1:9" ht="15.75" thickBot="1" x14ac:dyDescent="0.3">
      <c r="A4717" s="43" t="s">
        <v>10471</v>
      </c>
      <c r="B4717" s="21" t="s">
        <v>10472</v>
      </c>
      <c r="C4717" s="21" t="s">
        <v>22655</v>
      </c>
      <c r="D4717" s="22">
        <v>46028</v>
      </c>
      <c r="E4717" s="23" t="s">
        <v>22658</v>
      </c>
      <c r="F4717" s="24" t="s">
        <v>22657</v>
      </c>
      <c r="G4717" s="25">
        <v>2</v>
      </c>
      <c r="H4717" s="29"/>
      <c r="I4717" s="30"/>
    </row>
    <row r="4718" spans="1:9" ht="15.75" thickBot="1" x14ac:dyDescent="0.3">
      <c r="A4718" s="43" t="s">
        <v>10473</v>
      </c>
      <c r="B4718" s="21" t="s">
        <v>10474</v>
      </c>
      <c r="C4718" s="21" t="s">
        <v>22655</v>
      </c>
      <c r="D4718" s="22">
        <v>46028</v>
      </c>
      <c r="E4718" s="23" t="s">
        <v>22656</v>
      </c>
      <c r="F4718" s="24" t="s">
        <v>22657</v>
      </c>
      <c r="G4718" s="25">
        <v>2</v>
      </c>
      <c r="H4718" s="26"/>
      <c r="I4718" s="27"/>
    </row>
    <row r="4719" spans="1:9" ht="15.75" thickBot="1" x14ac:dyDescent="0.3">
      <c r="A4719" s="43" t="s">
        <v>10475</v>
      </c>
      <c r="B4719" s="21" t="s">
        <v>10476</v>
      </c>
      <c r="C4719" s="21" t="s">
        <v>22655</v>
      </c>
      <c r="D4719" s="31" t="s">
        <v>22775</v>
      </c>
      <c r="E4719" s="23" t="s">
        <v>22665</v>
      </c>
      <c r="F4719" s="24" t="s">
        <v>22657</v>
      </c>
      <c r="G4719" s="25">
        <v>12</v>
      </c>
      <c r="H4719" s="29"/>
      <c r="I4719" s="30"/>
    </row>
    <row r="4720" spans="1:9" ht="15.75" thickBot="1" x14ac:dyDescent="0.3">
      <c r="A4720" s="43" t="s">
        <v>10477</v>
      </c>
      <c r="B4720" s="21" t="s">
        <v>10478</v>
      </c>
      <c r="C4720" s="21" t="s">
        <v>22690</v>
      </c>
      <c r="D4720" s="31" t="s">
        <v>22779</v>
      </c>
      <c r="E4720" s="23" t="s">
        <v>22665</v>
      </c>
      <c r="F4720" s="24" t="s">
        <v>22657</v>
      </c>
      <c r="G4720" s="25">
        <v>10</v>
      </c>
      <c r="H4720" s="26"/>
      <c r="I4720" s="27"/>
    </row>
    <row r="4721" spans="1:9" ht="15.75" thickBot="1" x14ac:dyDescent="0.3">
      <c r="A4721" s="43" t="s">
        <v>10479</v>
      </c>
      <c r="B4721" s="21" t="s">
        <v>10480</v>
      </c>
      <c r="C4721" s="21" t="s">
        <v>22655</v>
      </c>
      <c r="D4721" s="22">
        <v>46028</v>
      </c>
      <c r="E4721" s="23" t="s">
        <v>22656</v>
      </c>
      <c r="F4721" s="24" t="s">
        <v>22657</v>
      </c>
      <c r="G4721" s="25">
        <v>3</v>
      </c>
      <c r="H4721" s="32">
        <v>3</v>
      </c>
      <c r="I4721" s="33">
        <v>6</v>
      </c>
    </row>
    <row r="4722" spans="1:9" ht="15.75" thickBot="1" x14ac:dyDescent="0.3">
      <c r="A4722" s="43" t="s">
        <v>10481</v>
      </c>
      <c r="B4722" s="21" t="s">
        <v>10482</v>
      </c>
      <c r="C4722" s="21" t="s">
        <v>22690</v>
      </c>
      <c r="D4722" s="31" t="s">
        <v>22779</v>
      </c>
      <c r="E4722" s="23" t="s">
        <v>22661</v>
      </c>
      <c r="F4722" s="24" t="s">
        <v>22657</v>
      </c>
      <c r="G4722" s="25">
        <v>12</v>
      </c>
      <c r="H4722" s="34">
        <v>12</v>
      </c>
      <c r="I4722" s="35">
        <v>24</v>
      </c>
    </row>
    <row r="4723" spans="1:9" ht="15.75" thickBot="1" x14ac:dyDescent="0.3">
      <c r="A4723" s="43" t="s">
        <v>473</v>
      </c>
      <c r="B4723" s="21" t="s">
        <v>474</v>
      </c>
      <c r="C4723" s="21" t="s">
        <v>22690</v>
      </c>
      <c r="D4723" s="31" t="s">
        <v>22730</v>
      </c>
      <c r="E4723" s="23" t="s">
        <v>22665</v>
      </c>
      <c r="F4723" s="24" t="s">
        <v>22657</v>
      </c>
      <c r="G4723" s="25">
        <v>12</v>
      </c>
      <c r="H4723" s="32">
        <v>12</v>
      </c>
      <c r="I4723" s="33">
        <v>24</v>
      </c>
    </row>
    <row r="4724" spans="1:9" ht="15.75" thickBot="1" x14ac:dyDescent="0.3">
      <c r="A4724" s="43" t="s">
        <v>10483</v>
      </c>
      <c r="B4724" s="21" t="s">
        <v>10484</v>
      </c>
      <c r="C4724" s="21" t="s">
        <v>22690</v>
      </c>
      <c r="D4724" s="31" t="s">
        <v>22779</v>
      </c>
      <c r="E4724" s="23" t="s">
        <v>22661</v>
      </c>
      <c r="F4724" s="24" t="s">
        <v>22657</v>
      </c>
      <c r="G4724" s="25">
        <v>10</v>
      </c>
      <c r="H4724" s="26"/>
      <c r="I4724" s="27"/>
    </row>
    <row r="4725" spans="1:9" ht="15.75" thickBot="1" x14ac:dyDescent="0.3">
      <c r="A4725" s="43" t="s">
        <v>10485</v>
      </c>
      <c r="B4725" s="21" t="s">
        <v>10486</v>
      </c>
      <c r="C4725" s="21" t="s">
        <v>22690</v>
      </c>
      <c r="D4725" s="31" t="s">
        <v>22817</v>
      </c>
      <c r="E4725" s="23" t="s">
        <v>22656</v>
      </c>
      <c r="F4725" s="24" t="s">
        <v>22657</v>
      </c>
      <c r="G4725" s="25">
        <v>8</v>
      </c>
      <c r="H4725" s="29"/>
      <c r="I4725" s="30"/>
    </row>
    <row r="4726" spans="1:9" ht="15.75" thickBot="1" x14ac:dyDescent="0.3">
      <c r="A4726" s="43" t="s">
        <v>10487</v>
      </c>
      <c r="B4726" s="21" t="s">
        <v>10488</v>
      </c>
      <c r="C4726" s="21" t="s">
        <v>22655</v>
      </c>
      <c r="D4726" s="22">
        <v>46028</v>
      </c>
      <c r="E4726" s="23" t="s">
        <v>22656</v>
      </c>
      <c r="F4726" s="24" t="s">
        <v>22657</v>
      </c>
      <c r="G4726" s="25">
        <v>2</v>
      </c>
      <c r="H4726" s="26"/>
      <c r="I4726" s="27"/>
    </row>
    <row r="4727" spans="1:9" ht="15.75" thickBot="1" x14ac:dyDescent="0.3">
      <c r="A4727" s="43" t="s">
        <v>10489</v>
      </c>
      <c r="B4727" s="21" t="s">
        <v>10490</v>
      </c>
      <c r="C4727" s="21" t="s">
        <v>22663</v>
      </c>
      <c r="D4727" s="31">
        <v>1</v>
      </c>
      <c r="E4727" s="23" t="s">
        <v>22656</v>
      </c>
      <c r="F4727" s="24" t="s">
        <v>22657</v>
      </c>
      <c r="G4727" s="25">
        <v>2</v>
      </c>
      <c r="H4727" s="29"/>
      <c r="I4727" s="30"/>
    </row>
    <row r="4728" spans="1:9" ht="15.75" thickBot="1" x14ac:dyDescent="0.3">
      <c r="A4728" s="43" t="s">
        <v>10491</v>
      </c>
      <c r="B4728" s="21" t="s">
        <v>10492</v>
      </c>
      <c r="C4728" s="21" t="s">
        <v>22655</v>
      </c>
      <c r="D4728" s="22">
        <v>46026</v>
      </c>
      <c r="E4728" s="23" t="s">
        <v>22656</v>
      </c>
      <c r="F4728" s="24" t="s">
        <v>22657</v>
      </c>
      <c r="G4728" s="25">
        <v>2</v>
      </c>
      <c r="H4728" s="26"/>
      <c r="I4728" s="27"/>
    </row>
    <row r="4729" spans="1:9" ht="15.75" thickBot="1" x14ac:dyDescent="0.3">
      <c r="A4729" s="43" t="s">
        <v>10493</v>
      </c>
      <c r="B4729" s="21" t="s">
        <v>10494</v>
      </c>
      <c r="C4729" s="21" t="s">
        <v>22655</v>
      </c>
      <c r="D4729" s="22">
        <v>46026</v>
      </c>
      <c r="E4729" s="23" t="s">
        <v>22656</v>
      </c>
      <c r="F4729" s="24" t="s">
        <v>22657</v>
      </c>
      <c r="G4729" s="25">
        <v>2</v>
      </c>
      <c r="H4729" s="29"/>
      <c r="I4729" s="30"/>
    </row>
    <row r="4730" spans="1:9" ht="15.75" thickBot="1" x14ac:dyDescent="0.3">
      <c r="A4730" s="43" t="s">
        <v>10495</v>
      </c>
      <c r="B4730" s="21" t="s">
        <v>10496</v>
      </c>
      <c r="C4730" s="21" t="s">
        <v>22663</v>
      </c>
      <c r="D4730" s="31">
        <v>1</v>
      </c>
      <c r="E4730" s="23" t="s">
        <v>22656</v>
      </c>
      <c r="F4730" s="24" t="s">
        <v>22657</v>
      </c>
      <c r="G4730" s="25">
        <v>2</v>
      </c>
      <c r="H4730" s="26"/>
      <c r="I4730" s="27"/>
    </row>
    <row r="4731" spans="1:9" ht="15.75" thickBot="1" x14ac:dyDescent="0.3">
      <c r="A4731" s="43" t="s">
        <v>10497</v>
      </c>
      <c r="B4731" s="21" t="s">
        <v>10498</v>
      </c>
      <c r="C4731" s="21" t="s">
        <v>22663</v>
      </c>
      <c r="D4731" s="31">
        <v>1</v>
      </c>
      <c r="E4731" s="23" t="s">
        <v>22656</v>
      </c>
      <c r="F4731" s="24" t="s">
        <v>22657</v>
      </c>
      <c r="G4731" s="25">
        <v>2</v>
      </c>
      <c r="H4731" s="29"/>
      <c r="I4731" s="30"/>
    </row>
    <row r="4732" spans="1:9" ht="15.75" thickBot="1" x14ac:dyDescent="0.3">
      <c r="A4732" s="43" t="s">
        <v>10499</v>
      </c>
      <c r="B4732" s="21" t="s">
        <v>10500</v>
      </c>
      <c r="C4732" s="21" t="s">
        <v>22655</v>
      </c>
      <c r="D4732" s="22">
        <v>46026</v>
      </c>
      <c r="E4732" s="23" t="s">
        <v>22658</v>
      </c>
      <c r="F4732" s="24" t="s">
        <v>22657</v>
      </c>
      <c r="G4732" s="25">
        <v>1</v>
      </c>
      <c r="H4732" s="26"/>
      <c r="I4732" s="27"/>
    </row>
    <row r="4733" spans="1:9" ht="15.75" thickBot="1" x14ac:dyDescent="0.3">
      <c r="A4733" s="43" t="s">
        <v>10501</v>
      </c>
      <c r="B4733" s="21" t="s">
        <v>10502</v>
      </c>
      <c r="C4733" s="21" t="s">
        <v>22655</v>
      </c>
      <c r="D4733" s="22">
        <v>46026</v>
      </c>
      <c r="E4733" s="23" t="s">
        <v>22656</v>
      </c>
      <c r="F4733" s="24" t="s">
        <v>22657</v>
      </c>
      <c r="G4733" s="25">
        <v>5</v>
      </c>
      <c r="H4733" s="29"/>
      <c r="I4733" s="30"/>
    </row>
    <row r="4734" spans="1:9" ht="15.75" thickBot="1" x14ac:dyDescent="0.3">
      <c r="A4734" s="43" t="s">
        <v>10503</v>
      </c>
      <c r="B4734" s="21" t="s">
        <v>10504</v>
      </c>
      <c r="C4734" s="21" t="s">
        <v>22663</v>
      </c>
      <c r="D4734" s="31">
        <v>1</v>
      </c>
      <c r="E4734" s="23" t="s">
        <v>22656</v>
      </c>
      <c r="F4734" s="24" t="s">
        <v>22657</v>
      </c>
      <c r="G4734" s="25">
        <v>2</v>
      </c>
      <c r="H4734" s="26"/>
      <c r="I4734" s="27"/>
    </row>
    <row r="4735" spans="1:9" ht="15.75" thickBot="1" x14ac:dyDescent="0.3">
      <c r="A4735" s="43" t="s">
        <v>10505</v>
      </c>
      <c r="B4735" s="21" t="s">
        <v>10506</v>
      </c>
      <c r="C4735" s="21" t="s">
        <v>22663</v>
      </c>
      <c r="D4735" s="31">
        <v>1</v>
      </c>
      <c r="E4735" s="23" t="s">
        <v>22656</v>
      </c>
      <c r="F4735" s="24" t="s">
        <v>22657</v>
      </c>
      <c r="G4735" s="25">
        <v>2</v>
      </c>
      <c r="H4735" s="29"/>
      <c r="I4735" s="30"/>
    </row>
    <row r="4736" spans="1:9" ht="15.75" thickBot="1" x14ac:dyDescent="0.3">
      <c r="A4736" s="43" t="s">
        <v>10507</v>
      </c>
      <c r="B4736" s="21" t="s">
        <v>10508</v>
      </c>
      <c r="C4736" s="21" t="s">
        <v>22655</v>
      </c>
      <c r="D4736" s="22">
        <v>46026</v>
      </c>
      <c r="E4736" s="23" t="s">
        <v>22656</v>
      </c>
      <c r="F4736" s="24" t="s">
        <v>22657</v>
      </c>
      <c r="G4736" s="25">
        <v>2</v>
      </c>
      <c r="H4736" s="26"/>
      <c r="I4736" s="27"/>
    </row>
    <row r="4737" spans="1:9" ht="15.75" thickBot="1" x14ac:dyDescent="0.3">
      <c r="A4737" s="43" t="s">
        <v>10509</v>
      </c>
      <c r="B4737" s="21" t="s">
        <v>10510</v>
      </c>
      <c r="C4737" s="21" t="s">
        <v>22663</v>
      </c>
      <c r="D4737" s="31">
        <v>1</v>
      </c>
      <c r="E4737" s="23" t="s">
        <v>22656</v>
      </c>
      <c r="F4737" s="24" t="s">
        <v>22657</v>
      </c>
      <c r="G4737" s="25">
        <v>2</v>
      </c>
      <c r="H4737" s="29"/>
      <c r="I4737" s="30"/>
    </row>
    <row r="4738" spans="1:9" ht="15.75" thickBot="1" x14ac:dyDescent="0.3">
      <c r="A4738" s="43" t="s">
        <v>10511</v>
      </c>
      <c r="B4738" s="21" t="s">
        <v>10512</v>
      </c>
      <c r="C4738" s="21" t="s">
        <v>22655</v>
      </c>
      <c r="D4738" s="22">
        <v>46026</v>
      </c>
      <c r="E4738" s="23" t="s">
        <v>22656</v>
      </c>
      <c r="F4738" s="24" t="s">
        <v>22657</v>
      </c>
      <c r="G4738" s="25">
        <v>2</v>
      </c>
      <c r="H4738" s="26"/>
      <c r="I4738" s="27"/>
    </row>
    <row r="4739" spans="1:9" ht="15.75" thickBot="1" x14ac:dyDescent="0.3">
      <c r="A4739" s="43" t="s">
        <v>10513</v>
      </c>
      <c r="B4739" s="21" t="s">
        <v>10514</v>
      </c>
      <c r="C4739" s="21" t="s">
        <v>22655</v>
      </c>
      <c r="D4739" s="22">
        <v>46046</v>
      </c>
      <c r="E4739" s="23" t="s">
        <v>22656</v>
      </c>
      <c r="F4739" s="24" t="s">
        <v>22657</v>
      </c>
      <c r="G4739" s="25">
        <v>8</v>
      </c>
      <c r="H4739" s="29"/>
      <c r="I4739" s="30"/>
    </row>
    <row r="4740" spans="1:9" ht="15.75" thickBot="1" x14ac:dyDescent="0.3">
      <c r="A4740" s="43" t="s">
        <v>10515</v>
      </c>
      <c r="B4740" s="21" t="s">
        <v>10516</v>
      </c>
      <c r="C4740" s="21" t="s">
        <v>22655</v>
      </c>
      <c r="D4740" s="22">
        <v>46046</v>
      </c>
      <c r="E4740" s="23" t="s">
        <v>22656</v>
      </c>
      <c r="F4740" s="24" t="s">
        <v>22657</v>
      </c>
      <c r="G4740" s="25">
        <v>8</v>
      </c>
      <c r="H4740" s="26"/>
      <c r="I4740" s="27"/>
    </row>
    <row r="4741" spans="1:9" ht="15.75" thickBot="1" x14ac:dyDescent="0.3">
      <c r="A4741" s="43" t="s">
        <v>10517</v>
      </c>
      <c r="B4741" s="21" t="s">
        <v>10518</v>
      </c>
      <c r="C4741" s="21" t="s">
        <v>22655</v>
      </c>
      <c r="D4741" s="22">
        <v>46046</v>
      </c>
      <c r="E4741" s="23" t="s">
        <v>22658</v>
      </c>
      <c r="F4741" s="24" t="s">
        <v>22657</v>
      </c>
      <c r="G4741" s="25">
        <v>8</v>
      </c>
      <c r="H4741" s="29"/>
      <c r="I4741" s="30"/>
    </row>
    <row r="4742" spans="1:9" ht="15.75" thickBot="1" x14ac:dyDescent="0.3">
      <c r="A4742" s="43" t="s">
        <v>10519</v>
      </c>
      <c r="B4742" s="21" t="s">
        <v>10520</v>
      </c>
      <c r="C4742" s="21" t="s">
        <v>22655</v>
      </c>
      <c r="D4742" s="22">
        <v>46046</v>
      </c>
      <c r="E4742" s="23" t="s">
        <v>22656</v>
      </c>
      <c r="F4742" s="24" t="s">
        <v>22657</v>
      </c>
      <c r="G4742" s="25">
        <v>8</v>
      </c>
      <c r="H4742" s="26"/>
      <c r="I4742" s="27"/>
    </row>
    <row r="4743" spans="1:9" ht="15.75" thickBot="1" x14ac:dyDescent="0.3">
      <c r="A4743" s="43" t="s">
        <v>10521</v>
      </c>
      <c r="B4743" s="21" t="s">
        <v>10522</v>
      </c>
      <c r="C4743" s="21" t="s">
        <v>22655</v>
      </c>
      <c r="D4743" s="22">
        <v>46046</v>
      </c>
      <c r="E4743" s="23" t="s">
        <v>22656</v>
      </c>
      <c r="F4743" s="24" t="s">
        <v>22657</v>
      </c>
      <c r="G4743" s="25">
        <v>8</v>
      </c>
      <c r="H4743" s="29"/>
      <c r="I4743" s="30"/>
    </row>
    <row r="4744" spans="1:9" ht="15.75" thickBot="1" x14ac:dyDescent="0.3">
      <c r="A4744" s="43" t="s">
        <v>10523</v>
      </c>
      <c r="B4744" s="21" t="s">
        <v>10524</v>
      </c>
      <c r="C4744" s="21" t="s">
        <v>22655</v>
      </c>
      <c r="D4744" s="22">
        <v>46046</v>
      </c>
      <c r="E4744" s="23" t="s">
        <v>22656</v>
      </c>
      <c r="F4744" s="24" t="s">
        <v>22657</v>
      </c>
      <c r="G4744" s="25">
        <v>8</v>
      </c>
      <c r="H4744" s="26"/>
      <c r="I4744" s="27"/>
    </row>
    <row r="4745" spans="1:9" ht="15.75" thickBot="1" x14ac:dyDescent="0.3">
      <c r="A4745" s="43" t="s">
        <v>10525</v>
      </c>
      <c r="B4745" s="21" t="s">
        <v>10526</v>
      </c>
      <c r="C4745" s="21" t="s">
        <v>22655</v>
      </c>
      <c r="D4745" s="22">
        <v>46046</v>
      </c>
      <c r="E4745" s="23" t="s">
        <v>22658</v>
      </c>
      <c r="F4745" s="24" t="s">
        <v>22657</v>
      </c>
      <c r="G4745" s="25">
        <v>8</v>
      </c>
      <c r="H4745" s="29"/>
      <c r="I4745" s="30"/>
    </row>
    <row r="4746" spans="1:9" ht="15.75" thickBot="1" x14ac:dyDescent="0.3">
      <c r="A4746" s="43" t="s">
        <v>10527</v>
      </c>
      <c r="B4746" s="21" t="s">
        <v>10528</v>
      </c>
      <c r="C4746" s="21" t="s">
        <v>22690</v>
      </c>
      <c r="D4746" s="39">
        <v>37066</v>
      </c>
      <c r="E4746" s="23" t="s">
        <v>22656</v>
      </c>
      <c r="F4746" s="24" t="s">
        <v>22657</v>
      </c>
      <c r="G4746" s="25">
        <v>8</v>
      </c>
      <c r="H4746" s="26"/>
      <c r="I4746" s="27"/>
    </row>
    <row r="4747" spans="1:9" ht="15.75" thickBot="1" x14ac:dyDescent="0.3">
      <c r="A4747" s="43" t="s">
        <v>10529</v>
      </c>
      <c r="B4747" s="21" t="s">
        <v>10530</v>
      </c>
      <c r="C4747" s="21" t="s">
        <v>22655</v>
      </c>
      <c r="D4747" s="22">
        <v>46046</v>
      </c>
      <c r="E4747" s="23" t="s">
        <v>22656</v>
      </c>
      <c r="F4747" s="24" t="s">
        <v>22657</v>
      </c>
      <c r="G4747" s="25">
        <v>8</v>
      </c>
      <c r="H4747" s="29"/>
      <c r="I4747" s="30"/>
    </row>
    <row r="4748" spans="1:9" ht="15.75" thickBot="1" x14ac:dyDescent="0.3">
      <c r="A4748" s="43" t="s">
        <v>10531</v>
      </c>
      <c r="B4748" s="21" t="s">
        <v>10532</v>
      </c>
      <c r="C4748" s="21" t="s">
        <v>22655</v>
      </c>
      <c r="D4748" s="22">
        <v>46046</v>
      </c>
      <c r="E4748" s="23" t="s">
        <v>22656</v>
      </c>
      <c r="F4748" s="24" t="s">
        <v>22657</v>
      </c>
      <c r="G4748" s="25">
        <v>8</v>
      </c>
      <c r="H4748" s="26"/>
      <c r="I4748" s="27"/>
    </row>
    <row r="4749" spans="1:9" ht="15.75" thickBot="1" x14ac:dyDescent="0.3">
      <c r="A4749" s="43" t="s">
        <v>10533</v>
      </c>
      <c r="B4749" s="21" t="s">
        <v>10534</v>
      </c>
      <c r="C4749" s="21" t="s">
        <v>22690</v>
      </c>
      <c r="D4749" s="39">
        <v>37066</v>
      </c>
      <c r="E4749" s="23" t="s">
        <v>22658</v>
      </c>
      <c r="F4749" s="24" t="s">
        <v>22657</v>
      </c>
      <c r="G4749" s="25">
        <v>8</v>
      </c>
      <c r="H4749" s="29"/>
      <c r="I4749" s="30"/>
    </row>
    <row r="4750" spans="1:9" ht="15.75" thickBot="1" x14ac:dyDescent="0.3">
      <c r="A4750" s="43" t="s">
        <v>10535</v>
      </c>
      <c r="B4750" s="21" t="s">
        <v>10536</v>
      </c>
      <c r="C4750" s="21" t="s">
        <v>22655</v>
      </c>
      <c r="D4750" s="22">
        <v>46026</v>
      </c>
      <c r="E4750" s="23" t="s">
        <v>22656</v>
      </c>
      <c r="F4750" s="24" t="s">
        <v>22657</v>
      </c>
      <c r="G4750" s="25">
        <v>2</v>
      </c>
      <c r="H4750" s="26"/>
      <c r="I4750" s="27"/>
    </row>
    <row r="4751" spans="1:9" ht="15.75" thickBot="1" x14ac:dyDescent="0.3">
      <c r="A4751" s="43" t="s">
        <v>10537</v>
      </c>
      <c r="B4751" s="21" t="s">
        <v>10538</v>
      </c>
      <c r="C4751" s="21" t="s">
        <v>22655</v>
      </c>
      <c r="D4751" s="22">
        <v>46046</v>
      </c>
      <c r="E4751" s="23" t="s">
        <v>22658</v>
      </c>
      <c r="F4751" s="24" t="s">
        <v>22657</v>
      </c>
      <c r="G4751" s="25">
        <v>8</v>
      </c>
      <c r="H4751" s="29"/>
      <c r="I4751" s="30"/>
    </row>
    <row r="4752" spans="1:9" ht="15.75" thickBot="1" x14ac:dyDescent="0.3">
      <c r="A4752" s="43" t="s">
        <v>10540</v>
      </c>
      <c r="B4752" s="21" t="s">
        <v>10541</v>
      </c>
      <c r="C4752" s="21" t="s">
        <v>22663</v>
      </c>
      <c r="D4752" s="31">
        <v>1</v>
      </c>
      <c r="E4752" s="23" t="s">
        <v>22656</v>
      </c>
      <c r="F4752" s="24" t="s">
        <v>22657</v>
      </c>
      <c r="G4752" s="25">
        <v>4</v>
      </c>
      <c r="H4752" s="26"/>
      <c r="I4752" s="27"/>
    </row>
    <row r="4753" spans="1:9" ht="15.75" thickBot="1" x14ac:dyDescent="0.3">
      <c r="A4753" s="43" t="s">
        <v>10542</v>
      </c>
      <c r="B4753" s="21" t="s">
        <v>10543</v>
      </c>
      <c r="C4753" s="21" t="s">
        <v>22655</v>
      </c>
      <c r="D4753" s="22">
        <v>46026</v>
      </c>
      <c r="E4753" s="23" t="s">
        <v>22656</v>
      </c>
      <c r="F4753" s="24" t="s">
        <v>22657</v>
      </c>
      <c r="G4753" s="25">
        <v>2</v>
      </c>
      <c r="H4753" s="29"/>
      <c r="I4753" s="30"/>
    </row>
    <row r="4754" spans="1:9" ht="15.75" thickBot="1" x14ac:dyDescent="0.3">
      <c r="A4754" s="43" t="s">
        <v>10544</v>
      </c>
      <c r="B4754" s="21" t="s">
        <v>10545</v>
      </c>
      <c r="C4754" s="21" t="s">
        <v>22655</v>
      </c>
      <c r="D4754" s="22">
        <v>46026</v>
      </c>
      <c r="E4754" s="23" t="s">
        <v>22656</v>
      </c>
      <c r="F4754" s="24" t="s">
        <v>22657</v>
      </c>
      <c r="G4754" s="25">
        <v>2</v>
      </c>
      <c r="H4754" s="26"/>
      <c r="I4754" s="27"/>
    </row>
    <row r="4755" spans="1:9" ht="15.75" thickBot="1" x14ac:dyDescent="0.3">
      <c r="A4755" s="43" t="s">
        <v>10546</v>
      </c>
      <c r="B4755" s="21" t="s">
        <v>10547</v>
      </c>
      <c r="C4755" s="21" t="s">
        <v>22663</v>
      </c>
      <c r="D4755" s="31">
        <v>1</v>
      </c>
      <c r="E4755" s="23" t="s">
        <v>22656</v>
      </c>
      <c r="F4755" s="24" t="s">
        <v>22657</v>
      </c>
      <c r="G4755" s="25">
        <v>2</v>
      </c>
      <c r="H4755" s="29"/>
      <c r="I4755" s="30"/>
    </row>
    <row r="4756" spans="1:9" ht="15.75" thickBot="1" x14ac:dyDescent="0.3">
      <c r="A4756" s="43" t="s">
        <v>10548</v>
      </c>
      <c r="B4756" s="21" t="s">
        <v>10549</v>
      </c>
      <c r="C4756" s="21" t="s">
        <v>22655</v>
      </c>
      <c r="D4756" s="22">
        <v>46026</v>
      </c>
      <c r="E4756" s="23" t="s">
        <v>22658</v>
      </c>
      <c r="F4756" s="24" t="s">
        <v>22657</v>
      </c>
      <c r="G4756" s="25">
        <v>1</v>
      </c>
      <c r="H4756" s="26"/>
      <c r="I4756" s="27"/>
    </row>
    <row r="4757" spans="1:9" ht="15.75" thickBot="1" x14ac:dyDescent="0.3">
      <c r="A4757" s="43" t="s">
        <v>10550</v>
      </c>
      <c r="B4757" s="21" t="s">
        <v>10551</v>
      </c>
      <c r="C4757" s="21" t="s">
        <v>22663</v>
      </c>
      <c r="D4757" s="31">
        <v>1</v>
      </c>
      <c r="E4757" s="23" t="s">
        <v>22658</v>
      </c>
      <c r="F4757" s="24" t="s">
        <v>22657</v>
      </c>
      <c r="G4757" s="25">
        <v>1</v>
      </c>
      <c r="H4757" s="29"/>
      <c r="I4757" s="30"/>
    </row>
    <row r="4758" spans="1:9" ht="15.75" thickBot="1" x14ac:dyDescent="0.3">
      <c r="A4758" s="43" t="s">
        <v>10552</v>
      </c>
      <c r="B4758" s="21" t="s">
        <v>10553</v>
      </c>
      <c r="C4758" s="21" t="s">
        <v>22663</v>
      </c>
      <c r="D4758" s="31">
        <v>1</v>
      </c>
      <c r="E4758" s="23" t="s">
        <v>22658</v>
      </c>
      <c r="F4758" s="24" t="s">
        <v>22657</v>
      </c>
      <c r="G4758" s="25">
        <v>1</v>
      </c>
      <c r="H4758" s="26"/>
      <c r="I4758" s="27"/>
    </row>
    <row r="4759" spans="1:9" ht="15.75" thickBot="1" x14ac:dyDescent="0.3">
      <c r="A4759" s="43" t="s">
        <v>10554</v>
      </c>
      <c r="B4759" s="21" t="s">
        <v>10555</v>
      </c>
      <c r="C4759" s="21" t="s">
        <v>22655</v>
      </c>
      <c r="D4759" s="22">
        <v>46026</v>
      </c>
      <c r="E4759" s="23" t="s">
        <v>22658</v>
      </c>
      <c r="F4759" s="24" t="s">
        <v>22657</v>
      </c>
      <c r="G4759" s="25">
        <v>1</v>
      </c>
      <c r="H4759" s="29"/>
      <c r="I4759" s="30"/>
    </row>
    <row r="4760" spans="1:9" ht="15.75" thickBot="1" x14ac:dyDescent="0.3">
      <c r="A4760" s="43" t="s">
        <v>10556</v>
      </c>
      <c r="B4760" s="21" t="s">
        <v>10557</v>
      </c>
      <c r="C4760" s="21" t="s">
        <v>22663</v>
      </c>
      <c r="D4760" s="31">
        <v>1</v>
      </c>
      <c r="E4760" s="23" t="s">
        <v>22656</v>
      </c>
      <c r="F4760" s="24" t="s">
        <v>22657</v>
      </c>
      <c r="G4760" s="25">
        <v>2</v>
      </c>
      <c r="H4760" s="26"/>
      <c r="I4760" s="27"/>
    </row>
    <row r="4761" spans="1:9" ht="15.75" thickBot="1" x14ac:dyDescent="0.3">
      <c r="A4761" s="43" t="s">
        <v>10558</v>
      </c>
      <c r="B4761" s="21" t="s">
        <v>10559</v>
      </c>
      <c r="C4761" s="21" t="s">
        <v>22655</v>
      </c>
      <c r="D4761" s="22">
        <v>46026</v>
      </c>
      <c r="E4761" s="23" t="s">
        <v>22656</v>
      </c>
      <c r="F4761" s="24" t="s">
        <v>22657</v>
      </c>
      <c r="G4761" s="25">
        <v>1</v>
      </c>
      <c r="H4761" s="32">
        <v>1</v>
      </c>
      <c r="I4761" s="33">
        <v>2</v>
      </c>
    </row>
    <row r="4762" spans="1:9" ht="15.75" thickBot="1" x14ac:dyDescent="0.3">
      <c r="A4762" s="43" t="s">
        <v>902</v>
      </c>
      <c r="B4762" s="21" t="s">
        <v>903</v>
      </c>
      <c r="C4762" s="21" t="s">
        <v>22655</v>
      </c>
      <c r="D4762" s="22">
        <v>46026</v>
      </c>
      <c r="E4762" s="23" t="s">
        <v>22656</v>
      </c>
      <c r="F4762" s="24" t="s">
        <v>22657</v>
      </c>
      <c r="G4762" s="25">
        <v>1</v>
      </c>
      <c r="H4762" s="34">
        <v>1</v>
      </c>
      <c r="I4762" s="35">
        <v>2</v>
      </c>
    </row>
    <row r="4763" spans="1:9" ht="15.75" thickBot="1" x14ac:dyDescent="0.3">
      <c r="A4763" s="43" t="s">
        <v>10560</v>
      </c>
      <c r="B4763" s="21" t="s">
        <v>10561</v>
      </c>
      <c r="C4763" s="21" t="s">
        <v>22663</v>
      </c>
      <c r="D4763" s="31">
        <v>1</v>
      </c>
      <c r="E4763" s="23" t="s">
        <v>22656</v>
      </c>
      <c r="F4763" s="24" t="s">
        <v>22657</v>
      </c>
      <c r="G4763" s="25">
        <v>5</v>
      </c>
      <c r="H4763" s="29"/>
      <c r="I4763" s="30"/>
    </row>
    <row r="4764" spans="1:9" ht="15.75" thickBot="1" x14ac:dyDescent="0.3">
      <c r="A4764" s="43" t="s">
        <v>10562</v>
      </c>
      <c r="B4764" s="21" t="s">
        <v>10563</v>
      </c>
      <c r="C4764" s="21" t="s">
        <v>22655</v>
      </c>
      <c r="D4764" s="22">
        <v>46026</v>
      </c>
      <c r="E4764" s="23" t="s">
        <v>22656</v>
      </c>
      <c r="F4764" s="24" t="s">
        <v>22657</v>
      </c>
      <c r="G4764" s="25">
        <v>2</v>
      </c>
      <c r="H4764" s="26"/>
      <c r="I4764" s="27"/>
    </row>
    <row r="4765" spans="1:9" ht="15.75" thickBot="1" x14ac:dyDescent="0.3">
      <c r="A4765" s="43" t="s">
        <v>10564</v>
      </c>
      <c r="B4765" s="21" t="s">
        <v>10565</v>
      </c>
      <c r="C4765" s="21" t="s">
        <v>22663</v>
      </c>
      <c r="D4765" s="31">
        <v>1</v>
      </c>
      <c r="E4765" s="23" t="s">
        <v>22656</v>
      </c>
      <c r="F4765" s="24" t="s">
        <v>22657</v>
      </c>
      <c r="G4765" s="25">
        <v>2</v>
      </c>
      <c r="H4765" s="29"/>
      <c r="I4765" s="30"/>
    </row>
    <row r="4766" spans="1:9" ht="15.75" thickBot="1" x14ac:dyDescent="0.3">
      <c r="A4766" s="43" t="s">
        <v>10566</v>
      </c>
      <c r="B4766" s="21" t="s">
        <v>10567</v>
      </c>
      <c r="C4766" s="21" t="s">
        <v>22727</v>
      </c>
      <c r="D4766" s="31">
        <v>1</v>
      </c>
      <c r="E4766" s="23" t="s">
        <v>22658</v>
      </c>
      <c r="F4766" s="24" t="s">
        <v>22657</v>
      </c>
      <c r="G4766" s="25">
        <v>1</v>
      </c>
      <c r="H4766" s="26"/>
      <c r="I4766" s="27"/>
    </row>
    <row r="4767" spans="1:9" ht="15.75" thickBot="1" x14ac:dyDescent="0.3">
      <c r="A4767" s="43" t="s">
        <v>10568</v>
      </c>
      <c r="B4767" s="21" t="s">
        <v>10569</v>
      </c>
      <c r="C4767" s="21" t="s">
        <v>22655</v>
      </c>
      <c r="D4767" s="22">
        <v>46042</v>
      </c>
      <c r="E4767" s="23" t="s">
        <v>22656</v>
      </c>
      <c r="F4767" s="24" t="s">
        <v>22657</v>
      </c>
      <c r="G4767" s="25">
        <v>7</v>
      </c>
      <c r="H4767" s="29"/>
      <c r="I4767" s="30"/>
    </row>
    <row r="4768" spans="1:9" ht="15.75" thickBot="1" x14ac:dyDescent="0.3">
      <c r="A4768" s="43" t="s">
        <v>10570</v>
      </c>
      <c r="B4768" s="21" t="s">
        <v>10571</v>
      </c>
      <c r="C4768" s="21" t="s">
        <v>22655</v>
      </c>
      <c r="D4768" s="22">
        <v>46032</v>
      </c>
      <c r="E4768" s="23" t="s">
        <v>22656</v>
      </c>
      <c r="F4768" s="24" t="s">
        <v>22657</v>
      </c>
      <c r="G4768" s="25">
        <v>4</v>
      </c>
      <c r="H4768" s="26"/>
      <c r="I4768" s="27"/>
    </row>
    <row r="4769" spans="1:9" ht="15.75" thickBot="1" x14ac:dyDescent="0.3">
      <c r="A4769" s="43" t="s">
        <v>10572</v>
      </c>
      <c r="B4769" s="21" t="s">
        <v>10573</v>
      </c>
      <c r="C4769" s="21" t="s">
        <v>22655</v>
      </c>
      <c r="D4769" s="22">
        <v>46042</v>
      </c>
      <c r="E4769" s="23" t="s">
        <v>22656</v>
      </c>
      <c r="F4769" s="24" t="s">
        <v>22657</v>
      </c>
      <c r="G4769" s="25">
        <v>7</v>
      </c>
      <c r="H4769" s="29"/>
      <c r="I4769" s="30"/>
    </row>
    <row r="4770" spans="1:9" ht="15.75" thickBot="1" x14ac:dyDescent="0.3">
      <c r="A4770" s="43" t="s">
        <v>10574</v>
      </c>
      <c r="B4770" s="21" t="s">
        <v>10575</v>
      </c>
      <c r="C4770" s="21" t="s">
        <v>22818</v>
      </c>
      <c r="D4770" s="22">
        <v>46034</v>
      </c>
      <c r="E4770" s="23" t="s">
        <v>22656</v>
      </c>
      <c r="F4770" s="24" t="s">
        <v>22657</v>
      </c>
      <c r="G4770" s="25">
        <v>2</v>
      </c>
      <c r="H4770" s="26"/>
      <c r="I4770" s="27"/>
    </row>
    <row r="4771" spans="1:9" ht="15.75" thickBot="1" x14ac:dyDescent="0.3">
      <c r="A4771" s="43" t="s">
        <v>10576</v>
      </c>
      <c r="B4771" s="21" t="s">
        <v>10577</v>
      </c>
      <c r="C4771" s="21" t="s">
        <v>22818</v>
      </c>
      <c r="D4771" s="22">
        <v>46026</v>
      </c>
      <c r="E4771" s="23" t="s">
        <v>22658</v>
      </c>
      <c r="F4771" s="24" t="s">
        <v>22657</v>
      </c>
      <c r="G4771" s="25">
        <v>1</v>
      </c>
      <c r="H4771" s="29"/>
      <c r="I4771" s="30"/>
    </row>
    <row r="4772" spans="1:9" ht="15.75" thickBot="1" x14ac:dyDescent="0.3">
      <c r="A4772" s="43" t="s">
        <v>10578</v>
      </c>
      <c r="B4772" s="21" t="s">
        <v>10579</v>
      </c>
      <c r="C4772" s="21" t="s">
        <v>22818</v>
      </c>
      <c r="D4772" s="22">
        <v>46034</v>
      </c>
      <c r="E4772" s="23" t="s">
        <v>22658</v>
      </c>
      <c r="F4772" s="24" t="s">
        <v>22657</v>
      </c>
      <c r="G4772" s="25">
        <v>2</v>
      </c>
      <c r="H4772" s="26"/>
      <c r="I4772" s="27"/>
    </row>
    <row r="4773" spans="1:9" ht="15.75" thickBot="1" x14ac:dyDescent="0.3">
      <c r="A4773" s="43" t="s">
        <v>10580</v>
      </c>
      <c r="B4773" s="21" t="s">
        <v>10581</v>
      </c>
      <c r="C4773" s="21" t="s">
        <v>22818</v>
      </c>
      <c r="D4773" s="22">
        <v>46026</v>
      </c>
      <c r="E4773" s="23" t="s">
        <v>22656</v>
      </c>
      <c r="F4773" s="24" t="s">
        <v>22657</v>
      </c>
      <c r="G4773" s="25">
        <v>2</v>
      </c>
      <c r="H4773" s="29"/>
      <c r="I4773" s="30"/>
    </row>
    <row r="4774" spans="1:9" ht="15.75" thickBot="1" x14ac:dyDescent="0.3">
      <c r="A4774" s="43" t="s">
        <v>10582</v>
      </c>
      <c r="B4774" s="21" t="s">
        <v>10583</v>
      </c>
      <c r="C4774" s="21" t="s">
        <v>22818</v>
      </c>
      <c r="D4774" s="22">
        <v>46034</v>
      </c>
      <c r="E4774" s="23" t="s">
        <v>22661</v>
      </c>
      <c r="F4774" s="24" t="s">
        <v>22657</v>
      </c>
      <c r="G4774" s="25">
        <v>6</v>
      </c>
      <c r="H4774" s="34">
        <v>6</v>
      </c>
      <c r="I4774" s="35">
        <v>12</v>
      </c>
    </row>
    <row r="4775" spans="1:9" ht="15.75" thickBot="1" x14ac:dyDescent="0.3">
      <c r="A4775" s="43" t="s">
        <v>451</v>
      </c>
      <c r="B4775" s="21" t="s">
        <v>452</v>
      </c>
      <c r="C4775" s="21" t="s">
        <v>22655</v>
      </c>
      <c r="D4775" s="22">
        <v>46028</v>
      </c>
      <c r="E4775" s="23" t="s">
        <v>22656</v>
      </c>
      <c r="F4775" s="24" t="s">
        <v>22657</v>
      </c>
      <c r="G4775" s="25">
        <v>3</v>
      </c>
      <c r="H4775" s="32">
        <v>3</v>
      </c>
      <c r="I4775" s="33">
        <v>6</v>
      </c>
    </row>
    <row r="4776" spans="1:9" ht="15.75" thickBot="1" x14ac:dyDescent="0.3">
      <c r="A4776" s="43" t="s">
        <v>10584</v>
      </c>
      <c r="B4776" s="21" t="s">
        <v>10585</v>
      </c>
      <c r="C4776" s="21" t="s">
        <v>22655</v>
      </c>
      <c r="D4776" s="31" t="s">
        <v>22669</v>
      </c>
      <c r="E4776" s="23" t="s">
        <v>22656</v>
      </c>
      <c r="F4776" s="24" t="s">
        <v>22657</v>
      </c>
      <c r="G4776" s="25">
        <v>2</v>
      </c>
      <c r="H4776" s="26"/>
      <c r="I4776" s="27"/>
    </row>
    <row r="4777" spans="1:9" ht="15.75" thickBot="1" x14ac:dyDescent="0.3">
      <c r="A4777" s="43" t="s">
        <v>967</v>
      </c>
      <c r="B4777" s="21" t="s">
        <v>968</v>
      </c>
      <c r="C4777" s="21" t="s">
        <v>22655</v>
      </c>
      <c r="D4777" s="22">
        <v>46028</v>
      </c>
      <c r="E4777" s="23" t="s">
        <v>22661</v>
      </c>
      <c r="F4777" s="24" t="s">
        <v>22657</v>
      </c>
      <c r="G4777" s="25">
        <v>6</v>
      </c>
      <c r="H4777" s="32">
        <v>6</v>
      </c>
      <c r="I4777" s="33">
        <v>12</v>
      </c>
    </row>
    <row r="4778" spans="1:9" ht="15.75" thickBot="1" x14ac:dyDescent="0.3">
      <c r="A4778" s="43" t="s">
        <v>449</v>
      </c>
      <c r="B4778" s="21" t="s">
        <v>450</v>
      </c>
      <c r="C4778" s="21" t="s">
        <v>22655</v>
      </c>
      <c r="D4778" s="31" t="s">
        <v>22669</v>
      </c>
      <c r="E4778" s="23" t="s">
        <v>22665</v>
      </c>
      <c r="F4778" s="24" t="s">
        <v>22657</v>
      </c>
      <c r="G4778" s="25">
        <v>24</v>
      </c>
      <c r="H4778" s="34">
        <v>24</v>
      </c>
      <c r="I4778" s="35">
        <v>30</v>
      </c>
    </row>
    <row r="4779" spans="1:9" ht="15.75" thickBot="1" x14ac:dyDescent="0.3">
      <c r="A4779" s="43" t="s">
        <v>10586</v>
      </c>
      <c r="B4779" s="21" t="s">
        <v>10587</v>
      </c>
      <c r="C4779" s="21" t="s">
        <v>22655</v>
      </c>
      <c r="D4779" s="22">
        <v>46034</v>
      </c>
      <c r="E4779" s="23" t="s">
        <v>22656</v>
      </c>
      <c r="F4779" s="24" t="s">
        <v>22657</v>
      </c>
      <c r="G4779" s="25">
        <v>12</v>
      </c>
      <c r="H4779" s="32">
        <v>12</v>
      </c>
      <c r="I4779" s="33">
        <v>24</v>
      </c>
    </row>
    <row r="4780" spans="1:9" ht="15.75" thickBot="1" x14ac:dyDescent="0.3">
      <c r="A4780" s="43" t="s">
        <v>10588</v>
      </c>
      <c r="B4780" s="21" t="s">
        <v>10589</v>
      </c>
      <c r="C4780" s="21" t="s">
        <v>22655</v>
      </c>
      <c r="D4780" s="31" t="s">
        <v>22673</v>
      </c>
      <c r="E4780" s="23" t="s">
        <v>22656</v>
      </c>
      <c r="F4780" s="24" t="s">
        <v>22657</v>
      </c>
      <c r="G4780" s="25">
        <v>5</v>
      </c>
      <c r="H4780" s="26"/>
      <c r="I4780" s="27"/>
    </row>
    <row r="4781" spans="1:9" ht="15.75" thickBot="1" x14ac:dyDescent="0.3">
      <c r="A4781" s="43" t="s">
        <v>10590</v>
      </c>
      <c r="B4781" s="21" t="s">
        <v>10591</v>
      </c>
      <c r="C4781" s="21" t="s">
        <v>22655</v>
      </c>
      <c r="D4781" s="22">
        <v>46026</v>
      </c>
      <c r="E4781" s="23" t="s">
        <v>22658</v>
      </c>
      <c r="F4781" s="24" t="s">
        <v>22657</v>
      </c>
      <c r="G4781" s="25">
        <v>2</v>
      </c>
      <c r="H4781" s="29"/>
      <c r="I4781" s="30"/>
    </row>
    <row r="4782" spans="1:9" ht="15.75" thickBot="1" x14ac:dyDescent="0.3">
      <c r="A4782" s="43" t="s">
        <v>10592</v>
      </c>
      <c r="B4782" s="21" t="s">
        <v>10593</v>
      </c>
      <c r="C4782" s="21" t="s">
        <v>22663</v>
      </c>
      <c r="D4782" s="31">
        <v>1</v>
      </c>
      <c r="E4782" s="23" t="s">
        <v>22658</v>
      </c>
      <c r="F4782" s="24" t="s">
        <v>22657</v>
      </c>
      <c r="G4782" s="25">
        <v>1</v>
      </c>
      <c r="H4782" s="26"/>
      <c r="I4782" s="27"/>
    </row>
    <row r="4783" spans="1:9" ht="15.75" thickBot="1" x14ac:dyDescent="0.3">
      <c r="A4783" s="43" t="s">
        <v>10594</v>
      </c>
      <c r="B4783" s="21" t="s">
        <v>10595</v>
      </c>
      <c r="C4783" s="21" t="s">
        <v>22655</v>
      </c>
      <c r="D4783" s="22">
        <v>46042</v>
      </c>
      <c r="E4783" s="23" t="s">
        <v>22656</v>
      </c>
      <c r="F4783" s="24" t="s">
        <v>22657</v>
      </c>
      <c r="G4783" s="25">
        <v>7</v>
      </c>
      <c r="H4783" s="29"/>
      <c r="I4783" s="30"/>
    </row>
    <row r="4784" spans="1:9" ht="15.75" thickBot="1" x14ac:dyDescent="0.3">
      <c r="A4784" s="43" t="s">
        <v>10596</v>
      </c>
      <c r="B4784" s="21" t="s">
        <v>10597</v>
      </c>
      <c r="C4784" s="21" t="s">
        <v>22655</v>
      </c>
      <c r="D4784" s="22">
        <v>46046</v>
      </c>
      <c r="E4784" s="23" t="s">
        <v>22661</v>
      </c>
      <c r="F4784" s="24" t="s">
        <v>22657</v>
      </c>
      <c r="G4784" s="25">
        <v>19</v>
      </c>
      <c r="H4784" s="26"/>
      <c r="I4784" s="27"/>
    </row>
    <row r="4785" spans="1:9" ht="15.75" thickBot="1" x14ac:dyDescent="0.3">
      <c r="A4785" s="43" t="s">
        <v>10598</v>
      </c>
      <c r="B4785" s="21" t="s">
        <v>10599</v>
      </c>
      <c r="C4785" s="21" t="s">
        <v>22655</v>
      </c>
      <c r="D4785" s="22">
        <v>46046</v>
      </c>
      <c r="E4785" s="23" t="s">
        <v>22661</v>
      </c>
      <c r="F4785" s="24" t="s">
        <v>22657</v>
      </c>
      <c r="G4785" s="25">
        <v>27</v>
      </c>
      <c r="H4785" s="29"/>
      <c r="I4785" s="30"/>
    </row>
    <row r="4786" spans="1:9" ht="15.75" thickBot="1" x14ac:dyDescent="0.3">
      <c r="A4786" s="43" t="s">
        <v>10600</v>
      </c>
      <c r="B4786" s="21" t="s">
        <v>10601</v>
      </c>
      <c r="C4786" s="21" t="s">
        <v>22655</v>
      </c>
      <c r="D4786" s="22">
        <v>46034</v>
      </c>
      <c r="E4786" s="23" t="s">
        <v>22658</v>
      </c>
      <c r="F4786" s="24" t="s">
        <v>22657</v>
      </c>
      <c r="G4786" s="25">
        <v>2</v>
      </c>
      <c r="H4786" s="26"/>
      <c r="I4786" s="27"/>
    </row>
    <row r="4787" spans="1:9" ht="15.75" thickBot="1" x14ac:dyDescent="0.3">
      <c r="A4787" s="43" t="s">
        <v>10602</v>
      </c>
      <c r="B4787" s="21" t="s">
        <v>10603</v>
      </c>
      <c r="C4787" s="21" t="s">
        <v>22655</v>
      </c>
      <c r="D4787" s="22">
        <v>46034</v>
      </c>
      <c r="E4787" s="23" t="s">
        <v>22658</v>
      </c>
      <c r="F4787" s="24" t="s">
        <v>22657</v>
      </c>
      <c r="G4787" s="25">
        <v>2</v>
      </c>
      <c r="H4787" s="29"/>
      <c r="I4787" s="30"/>
    </row>
    <row r="4788" spans="1:9" ht="15.75" thickBot="1" x14ac:dyDescent="0.3">
      <c r="A4788" s="43" t="s">
        <v>22562</v>
      </c>
      <c r="B4788" s="21" t="s">
        <v>22563</v>
      </c>
      <c r="C4788" s="36" t="e">
        <v>#N/A</v>
      </c>
      <c r="D4788" s="37" t="e">
        <v>#N/A</v>
      </c>
      <c r="E4788" s="23" t="e">
        <v>#N/A</v>
      </c>
      <c r="F4788" s="24" t="s">
        <v>22657</v>
      </c>
      <c r="G4788" s="25" t="e">
        <v>#N/A</v>
      </c>
      <c r="H4788" s="26"/>
      <c r="I4788" s="27"/>
    </row>
    <row r="4789" spans="1:9" ht="15.75" thickBot="1" x14ac:dyDescent="0.3">
      <c r="A4789" s="43" t="s">
        <v>22564</v>
      </c>
      <c r="B4789" s="21" t="s">
        <v>22565</v>
      </c>
      <c r="C4789" s="36" t="e">
        <v>#N/A</v>
      </c>
      <c r="D4789" s="37" t="e">
        <v>#N/A</v>
      </c>
      <c r="E4789" s="23" t="e">
        <v>#N/A</v>
      </c>
      <c r="F4789" s="24" t="s">
        <v>22657</v>
      </c>
      <c r="G4789" s="25" t="e">
        <v>#N/A</v>
      </c>
      <c r="H4789" s="29"/>
      <c r="I4789" s="30"/>
    </row>
    <row r="4790" spans="1:9" ht="15.75" thickBot="1" x14ac:dyDescent="0.3">
      <c r="A4790" s="43" t="s">
        <v>10604</v>
      </c>
      <c r="B4790" s="21" t="s">
        <v>10605</v>
      </c>
      <c r="C4790" s="21" t="s">
        <v>22682</v>
      </c>
      <c r="D4790" s="22">
        <v>46034</v>
      </c>
      <c r="E4790" s="23" t="s">
        <v>22658</v>
      </c>
      <c r="F4790" s="24" t="s">
        <v>22657</v>
      </c>
      <c r="G4790" s="25">
        <v>1</v>
      </c>
      <c r="H4790" s="26"/>
      <c r="I4790" s="27"/>
    </row>
    <row r="4791" spans="1:9" ht="15.75" thickBot="1" x14ac:dyDescent="0.3">
      <c r="A4791" s="43" t="s">
        <v>10606</v>
      </c>
      <c r="B4791" s="21" t="s">
        <v>10607</v>
      </c>
      <c r="C4791" s="21" t="s">
        <v>22682</v>
      </c>
      <c r="D4791" s="22">
        <v>46034</v>
      </c>
      <c r="E4791" s="23" t="s">
        <v>22658</v>
      </c>
      <c r="F4791" s="24" t="s">
        <v>22657</v>
      </c>
      <c r="G4791" s="25">
        <v>1</v>
      </c>
      <c r="H4791" s="29"/>
      <c r="I4791" s="30"/>
    </row>
    <row r="4792" spans="1:9" ht="15.75" thickBot="1" x14ac:dyDescent="0.3">
      <c r="A4792" s="43" t="s">
        <v>10608</v>
      </c>
      <c r="B4792" s="21" t="s">
        <v>10609</v>
      </c>
      <c r="C4792" s="21" t="s">
        <v>22655</v>
      </c>
      <c r="D4792" s="22">
        <v>46046</v>
      </c>
      <c r="E4792" s="23" t="s">
        <v>22658</v>
      </c>
      <c r="F4792" s="24" t="s">
        <v>22657</v>
      </c>
      <c r="G4792" s="25">
        <v>3</v>
      </c>
      <c r="H4792" s="26"/>
      <c r="I4792" s="27"/>
    </row>
    <row r="4793" spans="1:9" ht="15.75" thickBot="1" x14ac:dyDescent="0.3">
      <c r="A4793" s="43" t="s">
        <v>10610</v>
      </c>
      <c r="B4793" s="21" t="s">
        <v>10611</v>
      </c>
      <c r="C4793" s="21" t="s">
        <v>22655</v>
      </c>
      <c r="D4793" s="22">
        <v>46046</v>
      </c>
      <c r="E4793" s="23" t="s">
        <v>22658</v>
      </c>
      <c r="F4793" s="24" t="s">
        <v>22657</v>
      </c>
      <c r="G4793" s="25">
        <v>3</v>
      </c>
      <c r="H4793" s="29"/>
      <c r="I4793" s="30"/>
    </row>
    <row r="4794" spans="1:9" ht="15.75" thickBot="1" x14ac:dyDescent="0.3">
      <c r="A4794" s="43" t="s">
        <v>10612</v>
      </c>
      <c r="B4794" s="21" t="s">
        <v>10613</v>
      </c>
      <c r="C4794" s="21" t="s">
        <v>22655</v>
      </c>
      <c r="D4794" s="22">
        <v>46046</v>
      </c>
      <c r="E4794" s="23" t="s">
        <v>22656</v>
      </c>
      <c r="F4794" s="24" t="s">
        <v>22657</v>
      </c>
      <c r="G4794" s="25">
        <v>2</v>
      </c>
      <c r="H4794" s="26"/>
      <c r="I4794" s="27"/>
    </row>
    <row r="4795" spans="1:9" ht="15.75" thickBot="1" x14ac:dyDescent="0.3">
      <c r="A4795" s="43" t="s">
        <v>10614</v>
      </c>
      <c r="B4795" s="21" t="s">
        <v>10615</v>
      </c>
      <c r="C4795" s="21" t="s">
        <v>22655</v>
      </c>
      <c r="D4795" s="31" t="s">
        <v>22673</v>
      </c>
      <c r="E4795" s="23" t="s">
        <v>22661</v>
      </c>
      <c r="F4795" s="24" t="s">
        <v>22657</v>
      </c>
      <c r="G4795" s="25">
        <v>17</v>
      </c>
      <c r="H4795" s="29"/>
      <c r="I4795" s="30"/>
    </row>
    <row r="4796" spans="1:9" ht="15.75" thickBot="1" x14ac:dyDescent="0.3">
      <c r="A4796" s="43" t="s">
        <v>10616</v>
      </c>
      <c r="B4796" s="21" t="s">
        <v>10617</v>
      </c>
      <c r="C4796" s="21" t="s">
        <v>22655</v>
      </c>
      <c r="D4796" s="31" t="s">
        <v>22666</v>
      </c>
      <c r="E4796" s="23" t="s">
        <v>22656</v>
      </c>
      <c r="F4796" s="24" t="s">
        <v>22657</v>
      </c>
      <c r="G4796" s="25">
        <v>20</v>
      </c>
      <c r="H4796" s="26"/>
      <c r="I4796" s="27"/>
    </row>
    <row r="4797" spans="1:9" ht="15.75" thickBot="1" x14ac:dyDescent="0.3">
      <c r="A4797" s="43" t="s">
        <v>10618</v>
      </c>
      <c r="B4797" s="21" t="s">
        <v>10619</v>
      </c>
      <c r="C4797" s="21" t="s">
        <v>22655</v>
      </c>
      <c r="D4797" s="31" t="s">
        <v>22666</v>
      </c>
      <c r="E4797" s="23" t="s">
        <v>22661</v>
      </c>
      <c r="F4797" s="24" t="s">
        <v>22657</v>
      </c>
      <c r="G4797" s="25">
        <v>20</v>
      </c>
      <c r="H4797" s="29"/>
      <c r="I4797" s="30"/>
    </row>
    <row r="4798" spans="1:9" ht="15.75" thickBot="1" x14ac:dyDescent="0.3">
      <c r="A4798" s="43" t="s">
        <v>10620</v>
      </c>
      <c r="B4798" s="21" t="s">
        <v>10621</v>
      </c>
      <c r="C4798" s="21" t="s">
        <v>22655</v>
      </c>
      <c r="D4798" s="31" t="s">
        <v>22688</v>
      </c>
      <c r="E4798" s="23" t="s">
        <v>22656</v>
      </c>
      <c r="F4798" s="24" t="s">
        <v>22657</v>
      </c>
      <c r="G4798" s="25">
        <v>14</v>
      </c>
      <c r="H4798" s="26"/>
      <c r="I4798" s="27"/>
    </row>
    <row r="4799" spans="1:9" ht="15.75" thickBot="1" x14ac:dyDescent="0.3">
      <c r="A4799" s="43" t="s">
        <v>10622</v>
      </c>
      <c r="B4799" s="21" t="s">
        <v>10623</v>
      </c>
      <c r="C4799" s="21" t="s">
        <v>22655</v>
      </c>
      <c r="D4799" s="22">
        <v>46042</v>
      </c>
      <c r="E4799" s="23" t="s">
        <v>22658</v>
      </c>
      <c r="F4799" s="24" t="s">
        <v>22657</v>
      </c>
      <c r="G4799" s="25">
        <v>7</v>
      </c>
      <c r="H4799" s="29"/>
      <c r="I4799" s="30"/>
    </row>
    <row r="4800" spans="1:9" ht="15.75" thickBot="1" x14ac:dyDescent="0.3">
      <c r="A4800" s="43" t="s">
        <v>10624</v>
      </c>
      <c r="B4800" s="21" t="s">
        <v>10625</v>
      </c>
      <c r="C4800" s="21" t="s">
        <v>22655</v>
      </c>
      <c r="D4800" s="22">
        <v>46042</v>
      </c>
      <c r="E4800" s="23" t="s">
        <v>22658</v>
      </c>
      <c r="F4800" s="24" t="s">
        <v>22657</v>
      </c>
      <c r="G4800" s="25">
        <v>5</v>
      </c>
      <c r="H4800" s="26"/>
      <c r="I4800" s="27"/>
    </row>
    <row r="4801" spans="1:9" ht="15.75" thickBot="1" x14ac:dyDescent="0.3">
      <c r="A4801" s="43" t="s">
        <v>10626</v>
      </c>
      <c r="B4801" s="21" t="s">
        <v>10627</v>
      </c>
      <c r="C4801" s="21" t="s">
        <v>22682</v>
      </c>
      <c r="D4801" s="22">
        <v>46034</v>
      </c>
      <c r="E4801" s="23" t="s">
        <v>22658</v>
      </c>
      <c r="F4801" s="24" t="s">
        <v>22657</v>
      </c>
      <c r="G4801" s="25">
        <v>4</v>
      </c>
      <c r="H4801" s="29"/>
      <c r="I4801" s="30"/>
    </row>
    <row r="4802" spans="1:9" ht="15.75" thickBot="1" x14ac:dyDescent="0.3">
      <c r="A4802" s="43" t="s">
        <v>10628</v>
      </c>
      <c r="B4802" s="21" t="s">
        <v>10629</v>
      </c>
      <c r="C4802" s="21" t="s">
        <v>22694</v>
      </c>
      <c r="D4802" s="22">
        <v>46032</v>
      </c>
      <c r="E4802" s="23" t="s">
        <v>22658</v>
      </c>
      <c r="F4802" s="24" t="s">
        <v>22657</v>
      </c>
      <c r="G4802" s="25">
        <v>4</v>
      </c>
      <c r="H4802" s="26"/>
      <c r="I4802" s="27"/>
    </row>
    <row r="4803" spans="1:9" ht="15.75" thickBot="1" x14ac:dyDescent="0.3">
      <c r="A4803" s="43" t="s">
        <v>10630</v>
      </c>
      <c r="B4803" s="21" t="s">
        <v>10631</v>
      </c>
      <c r="C4803" s="21" t="s">
        <v>22682</v>
      </c>
      <c r="D4803" s="22">
        <v>46034</v>
      </c>
      <c r="E4803" s="23" t="s">
        <v>22658</v>
      </c>
      <c r="F4803" s="24" t="s">
        <v>22657</v>
      </c>
      <c r="G4803" s="25">
        <v>4</v>
      </c>
      <c r="H4803" s="29"/>
      <c r="I4803" s="30"/>
    </row>
    <row r="4804" spans="1:9" ht="15.75" thickBot="1" x14ac:dyDescent="0.3">
      <c r="A4804" s="43" t="s">
        <v>10632</v>
      </c>
      <c r="B4804" s="21" t="s">
        <v>10633</v>
      </c>
      <c r="C4804" s="21" t="s">
        <v>22682</v>
      </c>
      <c r="D4804" s="22">
        <v>46034</v>
      </c>
      <c r="E4804" s="23" t="s">
        <v>22658</v>
      </c>
      <c r="F4804" s="24" t="s">
        <v>22657</v>
      </c>
      <c r="G4804" s="25">
        <v>4</v>
      </c>
      <c r="H4804" s="26"/>
      <c r="I4804" s="27"/>
    </row>
    <row r="4805" spans="1:9" ht="15.75" thickBot="1" x14ac:dyDescent="0.3">
      <c r="A4805" s="43" t="s">
        <v>10634</v>
      </c>
      <c r="B4805" s="21" t="s">
        <v>10635</v>
      </c>
      <c r="C4805" s="21" t="s">
        <v>22694</v>
      </c>
      <c r="D4805" s="22">
        <v>46032</v>
      </c>
      <c r="E4805" s="23" t="s">
        <v>22658</v>
      </c>
      <c r="F4805" s="24" t="s">
        <v>22657</v>
      </c>
      <c r="G4805" s="25">
        <v>4</v>
      </c>
      <c r="H4805" s="29"/>
      <c r="I4805" s="30"/>
    </row>
    <row r="4806" spans="1:9" ht="15.75" thickBot="1" x14ac:dyDescent="0.3">
      <c r="A4806" s="43" t="s">
        <v>10636</v>
      </c>
      <c r="B4806" s="21" t="s">
        <v>10637</v>
      </c>
      <c r="C4806" s="21" t="s">
        <v>22682</v>
      </c>
      <c r="D4806" s="22">
        <v>46034</v>
      </c>
      <c r="E4806" s="23" t="s">
        <v>22658</v>
      </c>
      <c r="F4806" s="24" t="s">
        <v>22657</v>
      </c>
      <c r="G4806" s="25">
        <v>4</v>
      </c>
      <c r="H4806" s="26"/>
      <c r="I4806" s="27"/>
    </row>
    <row r="4807" spans="1:9" ht="15.75" thickBot="1" x14ac:dyDescent="0.3">
      <c r="A4807" s="43" t="s">
        <v>10638</v>
      </c>
      <c r="B4807" s="21" t="s">
        <v>10639</v>
      </c>
      <c r="C4807" s="21" t="s">
        <v>22694</v>
      </c>
      <c r="D4807" s="22">
        <v>46032</v>
      </c>
      <c r="E4807" s="23" t="s">
        <v>22658</v>
      </c>
      <c r="F4807" s="24" t="s">
        <v>22657</v>
      </c>
      <c r="G4807" s="25">
        <v>4</v>
      </c>
      <c r="H4807" s="29"/>
      <c r="I4807" s="30"/>
    </row>
    <row r="4808" spans="1:9" ht="15.75" thickBot="1" x14ac:dyDescent="0.3">
      <c r="A4808" s="43" t="s">
        <v>10640</v>
      </c>
      <c r="B4808" s="21" t="s">
        <v>10641</v>
      </c>
      <c r="C4808" s="21" t="s">
        <v>22694</v>
      </c>
      <c r="D4808" s="22">
        <v>46032</v>
      </c>
      <c r="E4808" s="23" t="s">
        <v>22658</v>
      </c>
      <c r="F4808" s="24" t="s">
        <v>22657</v>
      </c>
      <c r="G4808" s="25">
        <v>4</v>
      </c>
      <c r="H4808" s="26"/>
      <c r="I4808" s="27"/>
    </row>
    <row r="4809" spans="1:9" ht="15.75" thickBot="1" x14ac:dyDescent="0.3">
      <c r="A4809" s="43" t="s">
        <v>10642</v>
      </c>
      <c r="B4809" s="21" t="s">
        <v>10643</v>
      </c>
      <c r="C4809" s="21" t="s">
        <v>22694</v>
      </c>
      <c r="D4809" s="22">
        <v>46032</v>
      </c>
      <c r="E4809" s="23" t="s">
        <v>22658</v>
      </c>
      <c r="F4809" s="24" t="s">
        <v>22657</v>
      </c>
      <c r="G4809" s="25">
        <v>4</v>
      </c>
      <c r="H4809" s="29"/>
      <c r="I4809" s="30"/>
    </row>
    <row r="4810" spans="1:9" ht="15.75" thickBot="1" x14ac:dyDescent="0.3">
      <c r="A4810" s="43" t="s">
        <v>10644</v>
      </c>
      <c r="B4810" s="21" t="s">
        <v>10645</v>
      </c>
      <c r="C4810" s="21" t="s">
        <v>22682</v>
      </c>
      <c r="D4810" s="22">
        <v>46034</v>
      </c>
      <c r="E4810" s="23" t="s">
        <v>22658</v>
      </c>
      <c r="F4810" s="24" t="s">
        <v>22657</v>
      </c>
      <c r="G4810" s="25">
        <v>4</v>
      </c>
      <c r="H4810" s="26"/>
      <c r="I4810" s="27"/>
    </row>
    <row r="4811" spans="1:9" ht="15.75" thickBot="1" x14ac:dyDescent="0.3">
      <c r="A4811" s="43" t="s">
        <v>10646</v>
      </c>
      <c r="B4811" s="21" t="s">
        <v>10647</v>
      </c>
      <c r="C4811" s="21" t="s">
        <v>22694</v>
      </c>
      <c r="D4811" s="22">
        <v>46032</v>
      </c>
      <c r="E4811" s="23" t="s">
        <v>22658</v>
      </c>
      <c r="F4811" s="24" t="s">
        <v>22657</v>
      </c>
      <c r="G4811" s="25">
        <v>4</v>
      </c>
      <c r="H4811" s="29"/>
      <c r="I4811" s="30"/>
    </row>
    <row r="4812" spans="1:9" ht="15.75" thickBot="1" x14ac:dyDescent="0.3">
      <c r="A4812" s="43" t="s">
        <v>10648</v>
      </c>
      <c r="B4812" s="21" t="s">
        <v>10649</v>
      </c>
      <c r="C4812" s="21" t="s">
        <v>22682</v>
      </c>
      <c r="D4812" s="22">
        <v>46034</v>
      </c>
      <c r="E4812" s="23" t="s">
        <v>22658</v>
      </c>
      <c r="F4812" s="24" t="s">
        <v>22657</v>
      </c>
      <c r="G4812" s="25">
        <v>4</v>
      </c>
      <c r="H4812" s="26"/>
      <c r="I4812" s="27"/>
    </row>
    <row r="4813" spans="1:9" ht="15.75" thickBot="1" x14ac:dyDescent="0.3">
      <c r="A4813" s="43" t="s">
        <v>10650</v>
      </c>
      <c r="B4813" s="21" t="s">
        <v>10651</v>
      </c>
      <c r="C4813" s="21" t="s">
        <v>22682</v>
      </c>
      <c r="D4813" s="22">
        <v>46034</v>
      </c>
      <c r="E4813" s="23" t="s">
        <v>22658</v>
      </c>
      <c r="F4813" s="24" t="s">
        <v>22657</v>
      </c>
      <c r="G4813" s="25">
        <v>4</v>
      </c>
      <c r="H4813" s="29"/>
      <c r="I4813" s="30"/>
    </row>
    <row r="4814" spans="1:9" ht="15.75" thickBot="1" x14ac:dyDescent="0.3">
      <c r="A4814" s="43" t="s">
        <v>10652</v>
      </c>
      <c r="B4814" s="21" t="s">
        <v>10653</v>
      </c>
      <c r="C4814" s="21" t="s">
        <v>22682</v>
      </c>
      <c r="D4814" s="22">
        <v>46034</v>
      </c>
      <c r="E4814" s="23" t="s">
        <v>22656</v>
      </c>
      <c r="F4814" s="24" t="s">
        <v>22657</v>
      </c>
      <c r="G4814" s="25">
        <v>4</v>
      </c>
      <c r="H4814" s="26"/>
      <c r="I4814" s="27"/>
    </row>
    <row r="4815" spans="1:9" ht="15.75" thickBot="1" x14ac:dyDescent="0.3">
      <c r="A4815" s="43" t="s">
        <v>10654</v>
      </c>
      <c r="B4815" s="21" t="s">
        <v>10655</v>
      </c>
      <c r="C4815" s="21" t="s">
        <v>22694</v>
      </c>
      <c r="D4815" s="22">
        <v>46032</v>
      </c>
      <c r="E4815" s="23" t="s">
        <v>22658</v>
      </c>
      <c r="F4815" s="24" t="s">
        <v>22657</v>
      </c>
      <c r="G4815" s="25">
        <v>4</v>
      </c>
      <c r="H4815" s="29"/>
      <c r="I4815" s="30"/>
    </row>
    <row r="4816" spans="1:9" ht="15.75" thickBot="1" x14ac:dyDescent="0.3">
      <c r="A4816" s="43" t="s">
        <v>10656</v>
      </c>
      <c r="B4816" s="21" t="s">
        <v>10657</v>
      </c>
      <c r="C4816" s="21" t="s">
        <v>22682</v>
      </c>
      <c r="D4816" s="22">
        <v>46034</v>
      </c>
      <c r="E4816" s="23" t="s">
        <v>22656</v>
      </c>
      <c r="F4816" s="24" t="s">
        <v>22657</v>
      </c>
      <c r="G4816" s="25">
        <v>4</v>
      </c>
      <c r="H4816" s="26"/>
      <c r="I4816" s="27"/>
    </row>
    <row r="4817" spans="1:9" ht="15.75" thickBot="1" x14ac:dyDescent="0.3">
      <c r="A4817" s="43" t="s">
        <v>10658</v>
      </c>
      <c r="B4817" s="21" t="s">
        <v>10659</v>
      </c>
      <c r="C4817" s="21" t="s">
        <v>22694</v>
      </c>
      <c r="D4817" s="22">
        <v>46032</v>
      </c>
      <c r="E4817" s="23" t="s">
        <v>22658</v>
      </c>
      <c r="F4817" s="24" t="s">
        <v>22657</v>
      </c>
      <c r="G4817" s="25">
        <v>4</v>
      </c>
      <c r="H4817" s="29"/>
      <c r="I4817" s="30"/>
    </row>
    <row r="4818" spans="1:9" ht="15.75" thickBot="1" x14ac:dyDescent="0.3">
      <c r="A4818" s="43" t="s">
        <v>10660</v>
      </c>
      <c r="B4818" s="21" t="s">
        <v>10661</v>
      </c>
      <c r="C4818" s="21" t="s">
        <v>22694</v>
      </c>
      <c r="D4818" s="22">
        <v>46032</v>
      </c>
      <c r="E4818" s="23" t="s">
        <v>22658</v>
      </c>
      <c r="F4818" s="24" t="s">
        <v>22657</v>
      </c>
      <c r="G4818" s="25">
        <v>4</v>
      </c>
      <c r="H4818" s="26"/>
      <c r="I4818" s="27"/>
    </row>
    <row r="4819" spans="1:9" ht="15.75" thickBot="1" x14ac:dyDescent="0.3">
      <c r="A4819" s="43" t="s">
        <v>10662</v>
      </c>
      <c r="B4819" s="21" t="s">
        <v>10663</v>
      </c>
      <c r="C4819" s="21" t="s">
        <v>22682</v>
      </c>
      <c r="D4819" s="22">
        <v>46034</v>
      </c>
      <c r="E4819" s="23" t="s">
        <v>22658</v>
      </c>
      <c r="F4819" s="24" t="s">
        <v>22657</v>
      </c>
      <c r="G4819" s="25">
        <v>4</v>
      </c>
      <c r="H4819" s="29"/>
      <c r="I4819" s="30"/>
    </row>
    <row r="4820" spans="1:9" ht="15.75" thickBot="1" x14ac:dyDescent="0.3">
      <c r="A4820" s="43" t="s">
        <v>10664</v>
      </c>
      <c r="B4820" s="21" t="s">
        <v>10665</v>
      </c>
      <c r="C4820" s="21" t="s">
        <v>22694</v>
      </c>
      <c r="D4820" s="22">
        <v>46032</v>
      </c>
      <c r="E4820" s="23" t="s">
        <v>22658</v>
      </c>
      <c r="F4820" s="24" t="s">
        <v>22657</v>
      </c>
      <c r="G4820" s="25">
        <v>4</v>
      </c>
      <c r="H4820" s="26"/>
      <c r="I4820" s="27"/>
    </row>
    <row r="4821" spans="1:9" ht="15.75" thickBot="1" x14ac:dyDescent="0.3">
      <c r="A4821" s="43" t="s">
        <v>10666</v>
      </c>
      <c r="B4821" s="21" t="s">
        <v>10667</v>
      </c>
      <c r="C4821" s="21" t="s">
        <v>22682</v>
      </c>
      <c r="D4821" s="22">
        <v>46034</v>
      </c>
      <c r="E4821" s="23" t="s">
        <v>22658</v>
      </c>
      <c r="F4821" s="24" t="s">
        <v>22657</v>
      </c>
      <c r="G4821" s="25">
        <v>4</v>
      </c>
      <c r="H4821" s="29"/>
      <c r="I4821" s="30"/>
    </row>
    <row r="4822" spans="1:9" ht="15.75" thickBot="1" x14ac:dyDescent="0.3">
      <c r="A4822" s="43" t="s">
        <v>10668</v>
      </c>
      <c r="B4822" s="21" t="s">
        <v>10669</v>
      </c>
      <c r="C4822" s="21" t="s">
        <v>22682</v>
      </c>
      <c r="D4822" s="22">
        <v>46034</v>
      </c>
      <c r="E4822" s="23" t="s">
        <v>22658</v>
      </c>
      <c r="F4822" s="24" t="s">
        <v>22657</v>
      </c>
      <c r="G4822" s="25">
        <v>4</v>
      </c>
      <c r="H4822" s="26"/>
      <c r="I4822" s="27"/>
    </row>
    <row r="4823" spans="1:9" ht="15.75" thickBot="1" x14ac:dyDescent="0.3">
      <c r="A4823" s="43" t="s">
        <v>10670</v>
      </c>
      <c r="B4823" s="21" t="s">
        <v>10671</v>
      </c>
      <c r="C4823" s="21" t="s">
        <v>22694</v>
      </c>
      <c r="D4823" s="22">
        <v>46032</v>
      </c>
      <c r="E4823" s="23" t="s">
        <v>22656</v>
      </c>
      <c r="F4823" s="24" t="s">
        <v>22657</v>
      </c>
      <c r="G4823" s="25">
        <v>4</v>
      </c>
      <c r="H4823" s="29"/>
      <c r="I4823" s="30"/>
    </row>
    <row r="4824" spans="1:9" ht="15.75" thickBot="1" x14ac:dyDescent="0.3">
      <c r="A4824" s="43" t="s">
        <v>10672</v>
      </c>
      <c r="B4824" s="21" t="s">
        <v>10673</v>
      </c>
      <c r="C4824" s="21" t="s">
        <v>22682</v>
      </c>
      <c r="D4824" s="22">
        <v>46034</v>
      </c>
      <c r="E4824" s="23" t="s">
        <v>22656</v>
      </c>
      <c r="F4824" s="24" t="s">
        <v>22657</v>
      </c>
      <c r="G4824" s="25">
        <v>4</v>
      </c>
      <c r="H4824" s="26"/>
      <c r="I4824" s="27"/>
    </row>
    <row r="4825" spans="1:9" ht="15.75" thickBot="1" x14ac:dyDescent="0.3">
      <c r="A4825" s="43" t="s">
        <v>10674</v>
      </c>
      <c r="B4825" s="21" t="s">
        <v>10675</v>
      </c>
      <c r="C4825" s="21" t="s">
        <v>22694</v>
      </c>
      <c r="D4825" s="22">
        <v>46032</v>
      </c>
      <c r="E4825" s="23" t="s">
        <v>22658</v>
      </c>
      <c r="F4825" s="24" t="s">
        <v>22657</v>
      </c>
      <c r="G4825" s="25">
        <v>4</v>
      </c>
      <c r="H4825" s="29"/>
      <c r="I4825" s="30"/>
    </row>
    <row r="4826" spans="1:9" ht="15.75" thickBot="1" x14ac:dyDescent="0.3">
      <c r="A4826" s="43" t="s">
        <v>10676</v>
      </c>
      <c r="B4826" s="21" t="s">
        <v>10677</v>
      </c>
      <c r="C4826" s="21" t="s">
        <v>22682</v>
      </c>
      <c r="D4826" s="22">
        <v>46034</v>
      </c>
      <c r="E4826" s="23" t="s">
        <v>22658</v>
      </c>
      <c r="F4826" s="24" t="s">
        <v>22657</v>
      </c>
      <c r="G4826" s="25">
        <v>4</v>
      </c>
      <c r="H4826" s="26"/>
      <c r="I4826" s="27"/>
    </row>
    <row r="4827" spans="1:9" ht="15.75" thickBot="1" x14ac:dyDescent="0.3">
      <c r="A4827" s="43" t="s">
        <v>10678</v>
      </c>
      <c r="B4827" s="21" t="s">
        <v>10679</v>
      </c>
      <c r="C4827" s="21" t="s">
        <v>22694</v>
      </c>
      <c r="D4827" s="22">
        <v>46032</v>
      </c>
      <c r="E4827" s="23" t="s">
        <v>22656</v>
      </c>
      <c r="F4827" s="24" t="s">
        <v>22657</v>
      </c>
      <c r="G4827" s="25">
        <v>4</v>
      </c>
      <c r="H4827" s="29"/>
      <c r="I4827" s="30"/>
    </row>
    <row r="4828" spans="1:9" ht="15.75" thickBot="1" x14ac:dyDescent="0.3">
      <c r="A4828" s="43" t="s">
        <v>10680</v>
      </c>
      <c r="B4828" s="21" t="s">
        <v>10681</v>
      </c>
      <c r="C4828" s="21" t="s">
        <v>22694</v>
      </c>
      <c r="D4828" s="22">
        <v>46032</v>
      </c>
      <c r="E4828" s="23" t="s">
        <v>22658</v>
      </c>
      <c r="F4828" s="24" t="s">
        <v>22657</v>
      </c>
      <c r="G4828" s="25">
        <v>4</v>
      </c>
      <c r="H4828" s="26"/>
      <c r="I4828" s="27"/>
    </row>
    <row r="4829" spans="1:9" ht="15.75" thickBot="1" x14ac:dyDescent="0.3">
      <c r="A4829" s="43" t="s">
        <v>10682</v>
      </c>
      <c r="B4829" s="21" t="s">
        <v>10683</v>
      </c>
      <c r="C4829" s="21" t="s">
        <v>22682</v>
      </c>
      <c r="D4829" s="22">
        <v>46034</v>
      </c>
      <c r="E4829" s="23" t="s">
        <v>22658</v>
      </c>
      <c r="F4829" s="24" t="s">
        <v>22657</v>
      </c>
      <c r="G4829" s="25">
        <v>4</v>
      </c>
      <c r="H4829" s="29"/>
      <c r="I4829" s="30"/>
    </row>
    <row r="4830" spans="1:9" ht="15.75" thickBot="1" x14ac:dyDescent="0.3">
      <c r="A4830" s="43" t="s">
        <v>10684</v>
      </c>
      <c r="B4830" s="21" t="s">
        <v>10685</v>
      </c>
      <c r="C4830" s="21" t="s">
        <v>22694</v>
      </c>
      <c r="D4830" s="22">
        <v>46032</v>
      </c>
      <c r="E4830" s="23" t="s">
        <v>22658</v>
      </c>
      <c r="F4830" s="24" t="s">
        <v>22657</v>
      </c>
      <c r="G4830" s="25">
        <v>4</v>
      </c>
      <c r="H4830" s="26"/>
      <c r="I4830" s="27"/>
    </row>
    <row r="4831" spans="1:9" ht="15.75" thickBot="1" x14ac:dyDescent="0.3">
      <c r="A4831" s="43" t="s">
        <v>10686</v>
      </c>
      <c r="B4831" s="21" t="s">
        <v>10687</v>
      </c>
      <c r="C4831" s="21" t="s">
        <v>22682</v>
      </c>
      <c r="D4831" s="22">
        <v>46034</v>
      </c>
      <c r="E4831" s="23" t="s">
        <v>22656</v>
      </c>
      <c r="F4831" s="24" t="s">
        <v>22657</v>
      </c>
      <c r="G4831" s="25">
        <v>4</v>
      </c>
      <c r="H4831" s="29"/>
      <c r="I4831" s="30"/>
    </row>
    <row r="4832" spans="1:9" ht="15.75" thickBot="1" x14ac:dyDescent="0.3">
      <c r="A4832" s="43" t="s">
        <v>10688</v>
      </c>
      <c r="B4832" s="21" t="s">
        <v>10689</v>
      </c>
      <c r="C4832" s="21" t="s">
        <v>22682</v>
      </c>
      <c r="D4832" s="22">
        <v>46034</v>
      </c>
      <c r="E4832" s="23" t="s">
        <v>22658</v>
      </c>
      <c r="F4832" s="24" t="s">
        <v>22657</v>
      </c>
      <c r="G4832" s="25">
        <v>4</v>
      </c>
      <c r="H4832" s="26"/>
      <c r="I4832" s="27"/>
    </row>
    <row r="4833" spans="1:9" ht="15.75" thickBot="1" x14ac:dyDescent="0.3">
      <c r="A4833" s="43" t="s">
        <v>10690</v>
      </c>
      <c r="B4833" s="21" t="s">
        <v>10691</v>
      </c>
      <c r="C4833" s="21" t="s">
        <v>22694</v>
      </c>
      <c r="D4833" s="22">
        <v>46032</v>
      </c>
      <c r="E4833" s="23" t="s">
        <v>22658</v>
      </c>
      <c r="F4833" s="24" t="s">
        <v>22657</v>
      </c>
      <c r="G4833" s="25">
        <v>4</v>
      </c>
      <c r="H4833" s="29"/>
      <c r="I4833" s="30"/>
    </row>
    <row r="4834" spans="1:9" ht="15.75" thickBot="1" x14ac:dyDescent="0.3">
      <c r="A4834" s="43" t="s">
        <v>10692</v>
      </c>
      <c r="B4834" s="21" t="s">
        <v>10693</v>
      </c>
      <c r="C4834" s="21" t="s">
        <v>22682</v>
      </c>
      <c r="D4834" s="22">
        <v>46034</v>
      </c>
      <c r="E4834" s="23" t="s">
        <v>22658</v>
      </c>
      <c r="F4834" s="24" t="s">
        <v>22657</v>
      </c>
      <c r="G4834" s="25">
        <v>4</v>
      </c>
      <c r="H4834" s="26"/>
      <c r="I4834" s="27"/>
    </row>
    <row r="4835" spans="1:9" ht="15.75" thickBot="1" x14ac:dyDescent="0.3">
      <c r="A4835" s="43" t="s">
        <v>10694</v>
      </c>
      <c r="B4835" s="21" t="s">
        <v>10695</v>
      </c>
      <c r="C4835" s="21" t="s">
        <v>22694</v>
      </c>
      <c r="D4835" s="22">
        <v>46032</v>
      </c>
      <c r="E4835" s="23" t="s">
        <v>22658</v>
      </c>
      <c r="F4835" s="24" t="s">
        <v>22657</v>
      </c>
      <c r="G4835" s="25">
        <v>4</v>
      </c>
      <c r="H4835" s="29"/>
      <c r="I4835" s="30"/>
    </row>
    <row r="4836" spans="1:9" ht="15.75" thickBot="1" x14ac:dyDescent="0.3">
      <c r="A4836" s="43" t="s">
        <v>10696</v>
      </c>
      <c r="B4836" s="21" t="s">
        <v>10697</v>
      </c>
      <c r="C4836" s="21" t="s">
        <v>22682</v>
      </c>
      <c r="D4836" s="22">
        <v>46034</v>
      </c>
      <c r="E4836" s="23" t="s">
        <v>22658</v>
      </c>
      <c r="F4836" s="24" t="s">
        <v>22657</v>
      </c>
      <c r="G4836" s="25">
        <v>4</v>
      </c>
      <c r="H4836" s="26"/>
      <c r="I4836" s="27"/>
    </row>
    <row r="4837" spans="1:9" ht="15.75" thickBot="1" x14ac:dyDescent="0.3">
      <c r="A4837" s="43" t="s">
        <v>10698</v>
      </c>
      <c r="B4837" s="21" t="s">
        <v>10699</v>
      </c>
      <c r="C4837" s="21" t="s">
        <v>22694</v>
      </c>
      <c r="D4837" s="22">
        <v>46032</v>
      </c>
      <c r="E4837" s="23" t="s">
        <v>22656</v>
      </c>
      <c r="F4837" s="24" t="s">
        <v>22657</v>
      </c>
      <c r="G4837" s="25">
        <v>4</v>
      </c>
      <c r="H4837" s="29"/>
      <c r="I4837" s="30"/>
    </row>
    <row r="4838" spans="1:9" ht="15.75" thickBot="1" x14ac:dyDescent="0.3">
      <c r="A4838" s="43" t="s">
        <v>10700</v>
      </c>
      <c r="B4838" s="21" t="s">
        <v>10701</v>
      </c>
      <c r="C4838" s="21" t="s">
        <v>22694</v>
      </c>
      <c r="D4838" s="22">
        <v>46032</v>
      </c>
      <c r="E4838" s="23" t="s">
        <v>22658</v>
      </c>
      <c r="F4838" s="24" t="s">
        <v>22657</v>
      </c>
      <c r="G4838" s="25">
        <v>4</v>
      </c>
      <c r="H4838" s="26"/>
      <c r="I4838" s="27"/>
    </row>
    <row r="4839" spans="1:9" ht="15.75" thickBot="1" x14ac:dyDescent="0.3">
      <c r="A4839" s="43" t="s">
        <v>10702</v>
      </c>
      <c r="B4839" s="21" t="s">
        <v>10703</v>
      </c>
      <c r="C4839" s="21" t="s">
        <v>22682</v>
      </c>
      <c r="D4839" s="22">
        <v>46034</v>
      </c>
      <c r="E4839" s="23" t="s">
        <v>22658</v>
      </c>
      <c r="F4839" s="24" t="s">
        <v>22657</v>
      </c>
      <c r="G4839" s="25">
        <v>4</v>
      </c>
      <c r="H4839" s="29"/>
      <c r="I4839" s="30"/>
    </row>
    <row r="4840" spans="1:9" ht="15.75" thickBot="1" x14ac:dyDescent="0.3">
      <c r="A4840" s="43" t="s">
        <v>10704</v>
      </c>
      <c r="B4840" s="21" t="s">
        <v>10705</v>
      </c>
      <c r="C4840" s="21" t="s">
        <v>22694</v>
      </c>
      <c r="D4840" s="22">
        <v>46032</v>
      </c>
      <c r="E4840" s="23" t="s">
        <v>22658</v>
      </c>
      <c r="F4840" s="24" t="s">
        <v>22657</v>
      </c>
      <c r="G4840" s="25">
        <v>4</v>
      </c>
      <c r="H4840" s="26"/>
      <c r="I4840" s="27"/>
    </row>
    <row r="4841" spans="1:9" ht="15.75" thickBot="1" x14ac:dyDescent="0.3">
      <c r="A4841" s="43" t="s">
        <v>10706</v>
      </c>
      <c r="B4841" s="21" t="s">
        <v>10707</v>
      </c>
      <c r="C4841" s="21" t="s">
        <v>22682</v>
      </c>
      <c r="D4841" s="22">
        <v>46034</v>
      </c>
      <c r="E4841" s="23" t="s">
        <v>22656</v>
      </c>
      <c r="F4841" s="24" t="s">
        <v>22657</v>
      </c>
      <c r="G4841" s="25">
        <v>4</v>
      </c>
      <c r="H4841" s="29"/>
      <c r="I4841" s="30"/>
    </row>
    <row r="4842" spans="1:9" ht="15.75" thickBot="1" x14ac:dyDescent="0.3">
      <c r="A4842" s="43" t="s">
        <v>10708</v>
      </c>
      <c r="B4842" s="21" t="s">
        <v>10709</v>
      </c>
      <c r="C4842" s="21" t="s">
        <v>22682</v>
      </c>
      <c r="D4842" s="22">
        <v>46034</v>
      </c>
      <c r="E4842" s="23" t="s">
        <v>22656</v>
      </c>
      <c r="F4842" s="24" t="s">
        <v>22657</v>
      </c>
      <c r="G4842" s="25">
        <v>4</v>
      </c>
      <c r="H4842" s="26"/>
      <c r="I4842" s="27"/>
    </row>
    <row r="4843" spans="1:9" ht="15.75" thickBot="1" x14ac:dyDescent="0.3">
      <c r="A4843" s="43" t="s">
        <v>10710</v>
      </c>
      <c r="B4843" s="21" t="s">
        <v>10711</v>
      </c>
      <c r="C4843" s="21" t="s">
        <v>22694</v>
      </c>
      <c r="D4843" s="22">
        <v>46032</v>
      </c>
      <c r="E4843" s="23" t="s">
        <v>22658</v>
      </c>
      <c r="F4843" s="24" t="s">
        <v>22657</v>
      </c>
      <c r="G4843" s="25">
        <v>4</v>
      </c>
      <c r="H4843" s="29"/>
      <c r="I4843" s="30"/>
    </row>
    <row r="4844" spans="1:9" ht="15.75" thickBot="1" x14ac:dyDescent="0.3">
      <c r="A4844" s="43" t="s">
        <v>10712</v>
      </c>
      <c r="B4844" s="21" t="s">
        <v>10713</v>
      </c>
      <c r="C4844" s="21" t="s">
        <v>22682</v>
      </c>
      <c r="D4844" s="22">
        <v>46034</v>
      </c>
      <c r="E4844" s="23" t="s">
        <v>22658</v>
      </c>
      <c r="F4844" s="24" t="s">
        <v>22657</v>
      </c>
      <c r="G4844" s="25">
        <v>4</v>
      </c>
      <c r="H4844" s="26"/>
      <c r="I4844" s="27"/>
    </row>
    <row r="4845" spans="1:9" ht="15.75" thickBot="1" x14ac:dyDescent="0.3">
      <c r="A4845" s="43" t="s">
        <v>10714</v>
      </c>
      <c r="B4845" s="21" t="s">
        <v>10715</v>
      </c>
      <c r="C4845" s="21" t="s">
        <v>22694</v>
      </c>
      <c r="D4845" s="22">
        <v>46032</v>
      </c>
      <c r="E4845" s="23" t="s">
        <v>22656</v>
      </c>
      <c r="F4845" s="24" t="s">
        <v>22657</v>
      </c>
      <c r="G4845" s="25">
        <v>4</v>
      </c>
      <c r="H4845" s="29"/>
      <c r="I4845" s="30"/>
    </row>
    <row r="4846" spans="1:9" ht="15.75" thickBot="1" x14ac:dyDescent="0.3">
      <c r="A4846" s="43" t="s">
        <v>10716</v>
      </c>
      <c r="B4846" s="21" t="s">
        <v>10717</v>
      </c>
      <c r="C4846" s="21" t="s">
        <v>22682</v>
      </c>
      <c r="D4846" s="22">
        <v>46034</v>
      </c>
      <c r="E4846" s="23" t="s">
        <v>22658</v>
      </c>
      <c r="F4846" s="24" t="s">
        <v>22657</v>
      </c>
      <c r="G4846" s="25">
        <v>4</v>
      </c>
      <c r="H4846" s="26"/>
      <c r="I4846" s="27"/>
    </row>
    <row r="4847" spans="1:9" ht="15.75" thickBot="1" x14ac:dyDescent="0.3">
      <c r="A4847" s="43" t="s">
        <v>10718</v>
      </c>
      <c r="B4847" s="21" t="s">
        <v>10719</v>
      </c>
      <c r="C4847" s="21" t="s">
        <v>22694</v>
      </c>
      <c r="D4847" s="22">
        <v>46032</v>
      </c>
      <c r="E4847" s="23" t="s">
        <v>22656</v>
      </c>
      <c r="F4847" s="24" t="s">
        <v>22657</v>
      </c>
      <c r="G4847" s="25">
        <v>4</v>
      </c>
      <c r="H4847" s="29"/>
      <c r="I4847" s="30"/>
    </row>
    <row r="4848" spans="1:9" ht="15.75" thickBot="1" x14ac:dyDescent="0.3">
      <c r="A4848" s="43" t="s">
        <v>10720</v>
      </c>
      <c r="B4848" s="21" t="s">
        <v>10721</v>
      </c>
      <c r="C4848" s="21" t="s">
        <v>22694</v>
      </c>
      <c r="D4848" s="22">
        <v>46032</v>
      </c>
      <c r="E4848" s="23" t="s">
        <v>22658</v>
      </c>
      <c r="F4848" s="24" t="s">
        <v>22657</v>
      </c>
      <c r="G4848" s="25">
        <v>4</v>
      </c>
      <c r="H4848" s="26"/>
      <c r="I4848" s="27"/>
    </row>
    <row r="4849" spans="1:9" ht="15.75" thickBot="1" x14ac:dyDescent="0.3">
      <c r="A4849" s="43" t="s">
        <v>10722</v>
      </c>
      <c r="B4849" s="21" t="s">
        <v>10723</v>
      </c>
      <c r="C4849" s="21" t="s">
        <v>22682</v>
      </c>
      <c r="D4849" s="22">
        <v>46034</v>
      </c>
      <c r="E4849" s="23" t="s">
        <v>22658</v>
      </c>
      <c r="F4849" s="24" t="s">
        <v>22657</v>
      </c>
      <c r="G4849" s="25">
        <v>4</v>
      </c>
      <c r="H4849" s="29"/>
      <c r="I4849" s="30"/>
    </row>
    <row r="4850" spans="1:9" ht="15.75" thickBot="1" x14ac:dyDescent="0.3">
      <c r="A4850" s="43" t="s">
        <v>10724</v>
      </c>
      <c r="B4850" s="21" t="s">
        <v>10725</v>
      </c>
      <c r="C4850" s="21" t="s">
        <v>22694</v>
      </c>
      <c r="D4850" s="22">
        <v>46032</v>
      </c>
      <c r="E4850" s="23" t="s">
        <v>22658</v>
      </c>
      <c r="F4850" s="24" t="s">
        <v>22657</v>
      </c>
      <c r="G4850" s="25">
        <v>4</v>
      </c>
      <c r="H4850" s="26"/>
      <c r="I4850" s="27"/>
    </row>
    <row r="4851" spans="1:9" ht="15.75" thickBot="1" x14ac:dyDescent="0.3">
      <c r="A4851" s="43" t="s">
        <v>10726</v>
      </c>
      <c r="B4851" s="21" t="s">
        <v>10727</v>
      </c>
      <c r="C4851" s="21" t="s">
        <v>22682</v>
      </c>
      <c r="D4851" s="22">
        <v>46034</v>
      </c>
      <c r="E4851" s="23" t="s">
        <v>22656</v>
      </c>
      <c r="F4851" s="24" t="s">
        <v>22657</v>
      </c>
      <c r="G4851" s="25">
        <v>4</v>
      </c>
      <c r="H4851" s="29"/>
      <c r="I4851" s="30"/>
    </row>
    <row r="4852" spans="1:9" ht="15.75" thickBot="1" x14ac:dyDescent="0.3">
      <c r="A4852" s="43" t="s">
        <v>10728</v>
      </c>
      <c r="B4852" s="21" t="s">
        <v>10729</v>
      </c>
      <c r="C4852" s="21" t="s">
        <v>22682</v>
      </c>
      <c r="D4852" s="22">
        <v>46034</v>
      </c>
      <c r="E4852" s="23" t="s">
        <v>22656</v>
      </c>
      <c r="F4852" s="24" t="s">
        <v>22657</v>
      </c>
      <c r="G4852" s="25">
        <v>4</v>
      </c>
      <c r="H4852" s="26"/>
      <c r="I4852" s="27"/>
    </row>
    <row r="4853" spans="1:9" ht="15.75" thickBot="1" x14ac:dyDescent="0.3">
      <c r="A4853" s="43" t="s">
        <v>10730</v>
      </c>
      <c r="B4853" s="21" t="s">
        <v>10731</v>
      </c>
      <c r="C4853" s="21" t="s">
        <v>22694</v>
      </c>
      <c r="D4853" s="22">
        <v>46032</v>
      </c>
      <c r="E4853" s="23" t="s">
        <v>22656</v>
      </c>
      <c r="F4853" s="24" t="s">
        <v>22657</v>
      </c>
      <c r="G4853" s="25">
        <v>4</v>
      </c>
      <c r="H4853" s="29"/>
      <c r="I4853" s="30"/>
    </row>
    <row r="4854" spans="1:9" ht="15.75" thickBot="1" x14ac:dyDescent="0.3">
      <c r="A4854" s="43" t="s">
        <v>10732</v>
      </c>
      <c r="B4854" s="21" t="s">
        <v>10733</v>
      </c>
      <c r="C4854" s="21" t="s">
        <v>22682</v>
      </c>
      <c r="D4854" s="22">
        <v>46034</v>
      </c>
      <c r="E4854" s="23" t="s">
        <v>22658</v>
      </c>
      <c r="F4854" s="24" t="s">
        <v>22657</v>
      </c>
      <c r="G4854" s="25">
        <v>4</v>
      </c>
      <c r="H4854" s="26"/>
      <c r="I4854" s="27"/>
    </row>
    <row r="4855" spans="1:9" ht="15.75" thickBot="1" x14ac:dyDescent="0.3">
      <c r="A4855" s="43" t="s">
        <v>10734</v>
      </c>
      <c r="B4855" s="21" t="s">
        <v>10735</v>
      </c>
      <c r="C4855" s="21" t="s">
        <v>22694</v>
      </c>
      <c r="D4855" s="22">
        <v>46032</v>
      </c>
      <c r="E4855" s="23" t="s">
        <v>22658</v>
      </c>
      <c r="F4855" s="24" t="s">
        <v>22657</v>
      </c>
      <c r="G4855" s="25">
        <v>4</v>
      </c>
      <c r="H4855" s="29"/>
      <c r="I4855" s="30"/>
    </row>
    <row r="4856" spans="1:9" ht="15.75" thickBot="1" x14ac:dyDescent="0.3">
      <c r="A4856" s="43" t="s">
        <v>10736</v>
      </c>
      <c r="B4856" s="21" t="s">
        <v>10737</v>
      </c>
      <c r="C4856" s="21" t="s">
        <v>22694</v>
      </c>
      <c r="D4856" s="22">
        <v>46032</v>
      </c>
      <c r="E4856" s="23" t="s">
        <v>22656</v>
      </c>
      <c r="F4856" s="24" t="s">
        <v>22657</v>
      </c>
      <c r="G4856" s="25">
        <v>4</v>
      </c>
      <c r="H4856" s="26"/>
      <c r="I4856" s="27"/>
    </row>
    <row r="4857" spans="1:9" ht="15.75" thickBot="1" x14ac:dyDescent="0.3">
      <c r="A4857" s="43" t="s">
        <v>10738</v>
      </c>
      <c r="B4857" s="21" t="s">
        <v>10739</v>
      </c>
      <c r="C4857" s="21" t="s">
        <v>22694</v>
      </c>
      <c r="D4857" s="22">
        <v>46032</v>
      </c>
      <c r="E4857" s="23" t="s">
        <v>22658</v>
      </c>
      <c r="F4857" s="24" t="s">
        <v>22657</v>
      </c>
      <c r="G4857" s="25">
        <v>4</v>
      </c>
      <c r="H4857" s="29"/>
      <c r="I4857" s="30"/>
    </row>
    <row r="4858" spans="1:9" ht="15.75" thickBot="1" x14ac:dyDescent="0.3">
      <c r="A4858" s="43" t="s">
        <v>10740</v>
      </c>
      <c r="B4858" s="21" t="s">
        <v>10741</v>
      </c>
      <c r="C4858" s="21" t="s">
        <v>22682</v>
      </c>
      <c r="D4858" s="22">
        <v>46034</v>
      </c>
      <c r="E4858" s="23" t="s">
        <v>22658</v>
      </c>
      <c r="F4858" s="24" t="s">
        <v>22657</v>
      </c>
      <c r="G4858" s="25">
        <v>4</v>
      </c>
      <c r="H4858" s="26"/>
      <c r="I4858" s="27"/>
    </row>
    <row r="4859" spans="1:9" ht="15.75" thickBot="1" x14ac:dyDescent="0.3">
      <c r="A4859" s="43" t="s">
        <v>10742</v>
      </c>
      <c r="B4859" s="21" t="s">
        <v>10743</v>
      </c>
      <c r="C4859" s="21" t="s">
        <v>22694</v>
      </c>
      <c r="D4859" s="22">
        <v>46032</v>
      </c>
      <c r="E4859" s="23" t="s">
        <v>22658</v>
      </c>
      <c r="F4859" s="24" t="s">
        <v>22657</v>
      </c>
      <c r="G4859" s="25">
        <v>4</v>
      </c>
      <c r="H4859" s="29"/>
      <c r="I4859" s="30"/>
    </row>
    <row r="4860" spans="1:9" ht="15.75" thickBot="1" x14ac:dyDescent="0.3">
      <c r="A4860" s="43" t="s">
        <v>10744</v>
      </c>
      <c r="B4860" s="21" t="s">
        <v>10745</v>
      </c>
      <c r="C4860" s="21" t="s">
        <v>22682</v>
      </c>
      <c r="D4860" s="22">
        <v>46034</v>
      </c>
      <c r="E4860" s="23" t="s">
        <v>22656</v>
      </c>
      <c r="F4860" s="24" t="s">
        <v>22657</v>
      </c>
      <c r="G4860" s="25">
        <v>4</v>
      </c>
      <c r="H4860" s="26"/>
      <c r="I4860" s="27"/>
    </row>
    <row r="4861" spans="1:9" ht="15.75" thickBot="1" x14ac:dyDescent="0.3">
      <c r="A4861" s="43" t="s">
        <v>10746</v>
      </c>
      <c r="B4861" s="21" t="s">
        <v>10747</v>
      </c>
      <c r="C4861" s="21" t="s">
        <v>22682</v>
      </c>
      <c r="D4861" s="22">
        <v>46034</v>
      </c>
      <c r="E4861" s="23" t="s">
        <v>22656</v>
      </c>
      <c r="F4861" s="24" t="s">
        <v>22657</v>
      </c>
      <c r="G4861" s="25">
        <v>4</v>
      </c>
      <c r="H4861" s="29"/>
      <c r="I4861" s="30"/>
    </row>
    <row r="4862" spans="1:9" ht="15.75" thickBot="1" x14ac:dyDescent="0.3">
      <c r="A4862" s="43" t="s">
        <v>10748</v>
      </c>
      <c r="B4862" s="21" t="s">
        <v>10749</v>
      </c>
      <c r="C4862" s="21" t="s">
        <v>22694</v>
      </c>
      <c r="D4862" s="22">
        <v>46032</v>
      </c>
      <c r="E4862" s="23" t="s">
        <v>22658</v>
      </c>
      <c r="F4862" s="24" t="s">
        <v>22657</v>
      </c>
      <c r="G4862" s="25">
        <v>4</v>
      </c>
      <c r="H4862" s="26"/>
      <c r="I4862" s="27"/>
    </row>
    <row r="4863" spans="1:9" ht="15.75" thickBot="1" x14ac:dyDescent="0.3">
      <c r="A4863" s="43" t="s">
        <v>10750</v>
      </c>
      <c r="B4863" s="21" t="s">
        <v>10751</v>
      </c>
      <c r="C4863" s="21" t="s">
        <v>22682</v>
      </c>
      <c r="D4863" s="22">
        <v>46034</v>
      </c>
      <c r="E4863" s="23" t="s">
        <v>22658</v>
      </c>
      <c r="F4863" s="24" t="s">
        <v>22657</v>
      </c>
      <c r="G4863" s="25">
        <v>4</v>
      </c>
      <c r="H4863" s="29"/>
      <c r="I4863" s="30"/>
    </row>
    <row r="4864" spans="1:9" ht="15.75" thickBot="1" x14ac:dyDescent="0.3">
      <c r="A4864" s="43" t="s">
        <v>10752</v>
      </c>
      <c r="B4864" s="21" t="s">
        <v>10753</v>
      </c>
      <c r="C4864" s="21" t="s">
        <v>22694</v>
      </c>
      <c r="D4864" s="22">
        <v>46032</v>
      </c>
      <c r="E4864" s="23" t="s">
        <v>22656</v>
      </c>
      <c r="F4864" s="24" t="s">
        <v>22657</v>
      </c>
      <c r="G4864" s="25">
        <v>4</v>
      </c>
      <c r="H4864" s="26"/>
      <c r="I4864" s="27"/>
    </row>
    <row r="4865" spans="1:9" ht="15.75" thickBot="1" x14ac:dyDescent="0.3">
      <c r="A4865" s="43" t="s">
        <v>10754</v>
      </c>
      <c r="B4865" s="21" t="s">
        <v>10755</v>
      </c>
      <c r="C4865" s="21" t="s">
        <v>22682</v>
      </c>
      <c r="D4865" s="22">
        <v>46034</v>
      </c>
      <c r="E4865" s="23" t="s">
        <v>22658</v>
      </c>
      <c r="F4865" s="24" t="s">
        <v>22657</v>
      </c>
      <c r="G4865" s="25">
        <v>4</v>
      </c>
      <c r="H4865" s="29"/>
      <c r="I4865" s="30"/>
    </row>
    <row r="4866" spans="1:9" ht="15.75" thickBot="1" x14ac:dyDescent="0.3">
      <c r="A4866" s="43" t="s">
        <v>10756</v>
      </c>
      <c r="B4866" s="21" t="s">
        <v>10757</v>
      </c>
      <c r="C4866" s="21" t="s">
        <v>22694</v>
      </c>
      <c r="D4866" s="22">
        <v>46032</v>
      </c>
      <c r="E4866" s="23" t="s">
        <v>22658</v>
      </c>
      <c r="F4866" s="24" t="s">
        <v>22657</v>
      </c>
      <c r="G4866" s="25">
        <v>4</v>
      </c>
      <c r="H4866" s="26"/>
      <c r="I4866" s="27"/>
    </row>
    <row r="4867" spans="1:9" ht="15.75" thickBot="1" x14ac:dyDescent="0.3">
      <c r="A4867" s="43" t="s">
        <v>10758</v>
      </c>
      <c r="B4867" s="21" t="s">
        <v>10759</v>
      </c>
      <c r="C4867" s="21" t="s">
        <v>22694</v>
      </c>
      <c r="D4867" s="22">
        <v>46032</v>
      </c>
      <c r="E4867" s="23" t="s">
        <v>22656</v>
      </c>
      <c r="F4867" s="24" t="s">
        <v>22657</v>
      </c>
      <c r="G4867" s="25">
        <v>4</v>
      </c>
      <c r="H4867" s="29"/>
      <c r="I4867" s="30"/>
    </row>
    <row r="4868" spans="1:9" ht="15.75" thickBot="1" x14ac:dyDescent="0.3">
      <c r="A4868" s="43" t="s">
        <v>10760</v>
      </c>
      <c r="B4868" s="21" t="s">
        <v>10761</v>
      </c>
      <c r="C4868" s="21" t="s">
        <v>22682</v>
      </c>
      <c r="D4868" s="22">
        <v>46034</v>
      </c>
      <c r="E4868" s="23" t="s">
        <v>22658</v>
      </c>
      <c r="F4868" s="24" t="s">
        <v>22657</v>
      </c>
      <c r="G4868" s="25">
        <v>4</v>
      </c>
      <c r="H4868" s="26"/>
      <c r="I4868" s="27"/>
    </row>
    <row r="4869" spans="1:9" ht="15.75" thickBot="1" x14ac:dyDescent="0.3">
      <c r="A4869" s="43" t="s">
        <v>10762</v>
      </c>
      <c r="B4869" s="21" t="s">
        <v>10763</v>
      </c>
      <c r="C4869" s="21" t="s">
        <v>22694</v>
      </c>
      <c r="D4869" s="22">
        <v>46032</v>
      </c>
      <c r="E4869" s="23" t="s">
        <v>22658</v>
      </c>
      <c r="F4869" s="24" t="s">
        <v>22657</v>
      </c>
      <c r="G4869" s="25">
        <v>4</v>
      </c>
      <c r="H4869" s="29"/>
      <c r="I4869" s="30"/>
    </row>
    <row r="4870" spans="1:9" ht="15.75" thickBot="1" x14ac:dyDescent="0.3">
      <c r="A4870" s="43" t="s">
        <v>10764</v>
      </c>
      <c r="B4870" s="21" t="s">
        <v>10765</v>
      </c>
      <c r="C4870" s="21" t="s">
        <v>22682</v>
      </c>
      <c r="D4870" s="22">
        <v>46034</v>
      </c>
      <c r="E4870" s="23" t="s">
        <v>22656</v>
      </c>
      <c r="F4870" s="24" t="s">
        <v>22657</v>
      </c>
      <c r="G4870" s="25">
        <v>4</v>
      </c>
      <c r="H4870" s="26"/>
      <c r="I4870" s="27"/>
    </row>
    <row r="4871" spans="1:9" ht="15.75" thickBot="1" x14ac:dyDescent="0.3">
      <c r="A4871" s="43" t="s">
        <v>10766</v>
      </c>
      <c r="B4871" s="21" t="s">
        <v>10767</v>
      </c>
      <c r="C4871" s="21" t="s">
        <v>22682</v>
      </c>
      <c r="D4871" s="22">
        <v>46034</v>
      </c>
      <c r="E4871" s="23" t="s">
        <v>22658</v>
      </c>
      <c r="F4871" s="24" t="s">
        <v>22657</v>
      </c>
      <c r="G4871" s="25">
        <v>4</v>
      </c>
      <c r="H4871" s="29"/>
      <c r="I4871" s="30"/>
    </row>
    <row r="4872" spans="1:9" ht="15.75" thickBot="1" x14ac:dyDescent="0.3">
      <c r="A4872" s="43" t="s">
        <v>10768</v>
      </c>
      <c r="B4872" s="21" t="s">
        <v>10769</v>
      </c>
      <c r="C4872" s="21" t="s">
        <v>22694</v>
      </c>
      <c r="D4872" s="22">
        <v>46032</v>
      </c>
      <c r="E4872" s="23" t="s">
        <v>22656</v>
      </c>
      <c r="F4872" s="24" t="s">
        <v>22657</v>
      </c>
      <c r="G4872" s="25">
        <v>4</v>
      </c>
      <c r="H4872" s="26"/>
      <c r="I4872" s="27"/>
    </row>
    <row r="4873" spans="1:9" ht="15.75" thickBot="1" x14ac:dyDescent="0.3">
      <c r="A4873" s="43" t="s">
        <v>10770</v>
      </c>
      <c r="B4873" s="21" t="s">
        <v>10771</v>
      </c>
      <c r="C4873" s="21" t="s">
        <v>22682</v>
      </c>
      <c r="D4873" s="22">
        <v>46034</v>
      </c>
      <c r="E4873" s="23" t="s">
        <v>22658</v>
      </c>
      <c r="F4873" s="24" t="s">
        <v>22657</v>
      </c>
      <c r="G4873" s="25">
        <v>4</v>
      </c>
      <c r="H4873" s="29"/>
      <c r="I4873" s="30"/>
    </row>
    <row r="4874" spans="1:9" ht="15.75" thickBot="1" x14ac:dyDescent="0.3">
      <c r="A4874" s="43" t="s">
        <v>10772</v>
      </c>
      <c r="B4874" s="21" t="s">
        <v>10773</v>
      </c>
      <c r="C4874" s="21" t="s">
        <v>22694</v>
      </c>
      <c r="D4874" s="22">
        <v>46032</v>
      </c>
      <c r="E4874" s="23" t="s">
        <v>22656</v>
      </c>
      <c r="F4874" s="24" t="s">
        <v>22657</v>
      </c>
      <c r="G4874" s="25">
        <v>4</v>
      </c>
      <c r="H4874" s="26"/>
      <c r="I4874" s="27"/>
    </row>
    <row r="4875" spans="1:9" ht="15.75" thickBot="1" x14ac:dyDescent="0.3">
      <c r="A4875" s="43" t="s">
        <v>10774</v>
      </c>
      <c r="B4875" s="21" t="s">
        <v>10775</v>
      </c>
      <c r="C4875" s="21" t="s">
        <v>22694</v>
      </c>
      <c r="D4875" s="22">
        <v>46032</v>
      </c>
      <c r="E4875" s="23" t="s">
        <v>22656</v>
      </c>
      <c r="F4875" s="24" t="s">
        <v>22657</v>
      </c>
      <c r="G4875" s="25">
        <v>4</v>
      </c>
      <c r="H4875" s="29"/>
      <c r="I4875" s="30"/>
    </row>
    <row r="4876" spans="1:9" ht="15.75" thickBot="1" x14ac:dyDescent="0.3">
      <c r="A4876" s="43" t="s">
        <v>10776</v>
      </c>
      <c r="B4876" s="21" t="s">
        <v>10777</v>
      </c>
      <c r="C4876" s="21" t="s">
        <v>22694</v>
      </c>
      <c r="D4876" s="22">
        <v>46032</v>
      </c>
      <c r="E4876" s="23" t="s">
        <v>22658</v>
      </c>
      <c r="F4876" s="24" t="s">
        <v>22657</v>
      </c>
      <c r="G4876" s="25">
        <v>4</v>
      </c>
      <c r="H4876" s="26"/>
      <c r="I4876" s="27"/>
    </row>
    <row r="4877" spans="1:9" ht="15.75" thickBot="1" x14ac:dyDescent="0.3">
      <c r="A4877" s="43" t="s">
        <v>10778</v>
      </c>
      <c r="B4877" s="21" t="s">
        <v>10779</v>
      </c>
      <c r="C4877" s="21" t="s">
        <v>22682</v>
      </c>
      <c r="D4877" s="22">
        <v>46034</v>
      </c>
      <c r="E4877" s="23" t="s">
        <v>22658</v>
      </c>
      <c r="F4877" s="24" t="s">
        <v>22657</v>
      </c>
      <c r="G4877" s="25">
        <v>4</v>
      </c>
      <c r="H4877" s="29"/>
      <c r="I4877" s="30"/>
    </row>
    <row r="4878" spans="1:9" ht="15.75" thickBot="1" x14ac:dyDescent="0.3">
      <c r="A4878" s="43" t="s">
        <v>10780</v>
      </c>
      <c r="B4878" s="21" t="s">
        <v>10781</v>
      </c>
      <c r="C4878" s="21" t="s">
        <v>22694</v>
      </c>
      <c r="D4878" s="22">
        <v>46032</v>
      </c>
      <c r="E4878" s="23" t="s">
        <v>22658</v>
      </c>
      <c r="F4878" s="24" t="s">
        <v>22657</v>
      </c>
      <c r="G4878" s="25">
        <v>4</v>
      </c>
      <c r="H4878" s="26"/>
      <c r="I4878" s="27"/>
    </row>
    <row r="4879" spans="1:9" ht="15.75" thickBot="1" x14ac:dyDescent="0.3">
      <c r="A4879" s="43" t="s">
        <v>10782</v>
      </c>
      <c r="B4879" s="21" t="s">
        <v>10783</v>
      </c>
      <c r="C4879" s="21" t="s">
        <v>22682</v>
      </c>
      <c r="D4879" s="22">
        <v>46034</v>
      </c>
      <c r="E4879" s="23" t="s">
        <v>22656</v>
      </c>
      <c r="F4879" s="24" t="s">
        <v>22657</v>
      </c>
      <c r="G4879" s="25">
        <v>4</v>
      </c>
      <c r="H4879" s="29"/>
      <c r="I4879" s="30"/>
    </row>
    <row r="4880" spans="1:9" ht="15.75" thickBot="1" x14ac:dyDescent="0.3">
      <c r="A4880" s="43" t="s">
        <v>10784</v>
      </c>
      <c r="B4880" s="21" t="s">
        <v>10785</v>
      </c>
      <c r="C4880" s="21" t="s">
        <v>22682</v>
      </c>
      <c r="D4880" s="22">
        <v>46034</v>
      </c>
      <c r="E4880" s="23" t="s">
        <v>22658</v>
      </c>
      <c r="F4880" s="24" t="s">
        <v>22657</v>
      </c>
      <c r="G4880" s="25">
        <v>4</v>
      </c>
      <c r="H4880" s="26"/>
      <c r="I4880" s="27"/>
    </row>
    <row r="4881" spans="1:9" ht="15.75" thickBot="1" x14ac:dyDescent="0.3">
      <c r="A4881" s="43" t="s">
        <v>10786</v>
      </c>
      <c r="B4881" s="21" t="s">
        <v>10787</v>
      </c>
      <c r="C4881" s="21" t="s">
        <v>22694</v>
      </c>
      <c r="D4881" s="22">
        <v>46032</v>
      </c>
      <c r="E4881" s="23" t="s">
        <v>22658</v>
      </c>
      <c r="F4881" s="24" t="s">
        <v>22657</v>
      </c>
      <c r="G4881" s="25">
        <v>4</v>
      </c>
      <c r="H4881" s="29"/>
      <c r="I4881" s="30"/>
    </row>
    <row r="4882" spans="1:9" ht="15.75" thickBot="1" x14ac:dyDescent="0.3">
      <c r="A4882" s="43" t="s">
        <v>10788</v>
      </c>
      <c r="B4882" s="21" t="s">
        <v>10789</v>
      </c>
      <c r="C4882" s="21" t="s">
        <v>22682</v>
      </c>
      <c r="D4882" s="22">
        <v>46034</v>
      </c>
      <c r="E4882" s="23" t="s">
        <v>22656</v>
      </c>
      <c r="F4882" s="24" t="s">
        <v>22657</v>
      </c>
      <c r="G4882" s="25">
        <v>4</v>
      </c>
      <c r="H4882" s="26"/>
      <c r="I4882" s="27"/>
    </row>
    <row r="4883" spans="1:9" ht="15.75" thickBot="1" x14ac:dyDescent="0.3">
      <c r="A4883" s="43" t="s">
        <v>10790</v>
      </c>
      <c r="B4883" s="21" t="s">
        <v>10791</v>
      </c>
      <c r="C4883" s="21" t="s">
        <v>22694</v>
      </c>
      <c r="D4883" s="22">
        <v>46032</v>
      </c>
      <c r="E4883" s="23" t="s">
        <v>22658</v>
      </c>
      <c r="F4883" s="24" t="s">
        <v>22657</v>
      </c>
      <c r="G4883" s="25">
        <v>4</v>
      </c>
      <c r="H4883" s="29"/>
      <c r="I4883" s="30"/>
    </row>
    <row r="4884" spans="1:9" ht="15.75" thickBot="1" x14ac:dyDescent="0.3">
      <c r="A4884" s="43" t="s">
        <v>10792</v>
      </c>
      <c r="B4884" s="21" t="s">
        <v>10793</v>
      </c>
      <c r="C4884" s="21" t="s">
        <v>22694</v>
      </c>
      <c r="D4884" s="22">
        <v>46032</v>
      </c>
      <c r="E4884" s="23" t="s">
        <v>22656</v>
      </c>
      <c r="F4884" s="24" t="s">
        <v>22657</v>
      </c>
      <c r="G4884" s="25">
        <v>4</v>
      </c>
      <c r="H4884" s="26"/>
      <c r="I4884" s="27"/>
    </row>
    <row r="4885" spans="1:9" ht="15.75" thickBot="1" x14ac:dyDescent="0.3">
      <c r="A4885" s="43" t="s">
        <v>10794</v>
      </c>
      <c r="B4885" s="21" t="s">
        <v>10795</v>
      </c>
      <c r="C4885" s="21" t="s">
        <v>22694</v>
      </c>
      <c r="D4885" s="22">
        <v>46032</v>
      </c>
      <c r="E4885" s="23" t="s">
        <v>22656</v>
      </c>
      <c r="F4885" s="24" t="s">
        <v>22657</v>
      </c>
      <c r="G4885" s="25">
        <v>4</v>
      </c>
      <c r="H4885" s="29"/>
      <c r="I4885" s="30"/>
    </row>
    <row r="4886" spans="1:9" ht="15.75" thickBot="1" x14ac:dyDescent="0.3">
      <c r="A4886" s="43" t="s">
        <v>10796</v>
      </c>
      <c r="B4886" s="21" t="s">
        <v>10797</v>
      </c>
      <c r="C4886" s="21" t="s">
        <v>22682</v>
      </c>
      <c r="D4886" s="22">
        <v>46034</v>
      </c>
      <c r="E4886" s="23" t="s">
        <v>22658</v>
      </c>
      <c r="F4886" s="24" t="s">
        <v>22657</v>
      </c>
      <c r="G4886" s="25">
        <v>4</v>
      </c>
      <c r="H4886" s="26"/>
      <c r="I4886" s="27"/>
    </row>
    <row r="4887" spans="1:9" ht="15.75" thickBot="1" x14ac:dyDescent="0.3">
      <c r="A4887" s="43" t="s">
        <v>10798</v>
      </c>
      <c r="B4887" s="21" t="s">
        <v>10799</v>
      </c>
      <c r="C4887" s="21" t="s">
        <v>22694</v>
      </c>
      <c r="D4887" s="22">
        <v>46032</v>
      </c>
      <c r="E4887" s="23" t="s">
        <v>22658</v>
      </c>
      <c r="F4887" s="24" t="s">
        <v>22657</v>
      </c>
      <c r="G4887" s="25">
        <v>4</v>
      </c>
      <c r="H4887" s="29"/>
      <c r="I4887" s="30"/>
    </row>
    <row r="4888" spans="1:9" ht="15.75" thickBot="1" x14ac:dyDescent="0.3">
      <c r="A4888" s="43" t="s">
        <v>10800</v>
      </c>
      <c r="B4888" s="21" t="s">
        <v>10801</v>
      </c>
      <c r="C4888" s="21" t="s">
        <v>22682</v>
      </c>
      <c r="D4888" s="22">
        <v>46034</v>
      </c>
      <c r="E4888" s="23" t="s">
        <v>22658</v>
      </c>
      <c r="F4888" s="24" t="s">
        <v>22657</v>
      </c>
      <c r="G4888" s="25">
        <v>4</v>
      </c>
      <c r="H4888" s="26"/>
      <c r="I4888" s="27"/>
    </row>
    <row r="4889" spans="1:9" ht="15.75" thickBot="1" x14ac:dyDescent="0.3">
      <c r="A4889" s="43" t="s">
        <v>10802</v>
      </c>
      <c r="B4889" s="21" t="s">
        <v>10803</v>
      </c>
      <c r="C4889" s="21" t="s">
        <v>22682</v>
      </c>
      <c r="D4889" s="22">
        <v>46034</v>
      </c>
      <c r="E4889" s="23" t="s">
        <v>22658</v>
      </c>
      <c r="F4889" s="24" t="s">
        <v>22657</v>
      </c>
      <c r="G4889" s="25">
        <v>4</v>
      </c>
      <c r="H4889" s="29"/>
      <c r="I4889" s="30"/>
    </row>
    <row r="4890" spans="1:9" ht="15.75" thickBot="1" x14ac:dyDescent="0.3">
      <c r="A4890" s="43" t="s">
        <v>10804</v>
      </c>
      <c r="B4890" s="21" t="s">
        <v>10805</v>
      </c>
      <c r="C4890" s="21" t="s">
        <v>22694</v>
      </c>
      <c r="D4890" s="22">
        <v>46032</v>
      </c>
      <c r="E4890" s="23" t="s">
        <v>22658</v>
      </c>
      <c r="F4890" s="24" t="s">
        <v>22657</v>
      </c>
      <c r="G4890" s="25">
        <v>4</v>
      </c>
      <c r="H4890" s="26"/>
      <c r="I4890" s="27"/>
    </row>
    <row r="4891" spans="1:9" ht="15.75" thickBot="1" x14ac:dyDescent="0.3">
      <c r="A4891" s="43" t="s">
        <v>10806</v>
      </c>
      <c r="B4891" s="21" t="s">
        <v>10807</v>
      </c>
      <c r="C4891" s="21" t="s">
        <v>22682</v>
      </c>
      <c r="D4891" s="22">
        <v>46034</v>
      </c>
      <c r="E4891" s="23" t="s">
        <v>22656</v>
      </c>
      <c r="F4891" s="24" t="s">
        <v>22657</v>
      </c>
      <c r="G4891" s="25">
        <v>4</v>
      </c>
      <c r="H4891" s="29"/>
      <c r="I4891" s="30"/>
    </row>
    <row r="4892" spans="1:9" ht="15.75" thickBot="1" x14ac:dyDescent="0.3">
      <c r="A4892" s="43" t="s">
        <v>10808</v>
      </c>
      <c r="B4892" s="21" t="s">
        <v>10809</v>
      </c>
      <c r="C4892" s="21" t="s">
        <v>22694</v>
      </c>
      <c r="D4892" s="22">
        <v>46032</v>
      </c>
      <c r="E4892" s="23" t="s">
        <v>22656</v>
      </c>
      <c r="F4892" s="24" t="s">
        <v>22657</v>
      </c>
      <c r="G4892" s="25">
        <v>4</v>
      </c>
      <c r="H4892" s="26"/>
      <c r="I4892" s="27"/>
    </row>
    <row r="4893" spans="1:9" ht="15.75" thickBot="1" x14ac:dyDescent="0.3">
      <c r="A4893" s="43" t="s">
        <v>10810</v>
      </c>
      <c r="B4893" s="21" t="s">
        <v>10811</v>
      </c>
      <c r="C4893" s="21" t="s">
        <v>22694</v>
      </c>
      <c r="D4893" s="22">
        <v>46032</v>
      </c>
      <c r="E4893" s="23" t="s">
        <v>22658</v>
      </c>
      <c r="F4893" s="24" t="s">
        <v>22657</v>
      </c>
      <c r="G4893" s="25">
        <v>4</v>
      </c>
      <c r="H4893" s="29"/>
      <c r="I4893" s="30"/>
    </row>
    <row r="4894" spans="1:9" ht="15.75" thickBot="1" x14ac:dyDescent="0.3">
      <c r="A4894" s="43" t="s">
        <v>10812</v>
      </c>
      <c r="B4894" s="21" t="s">
        <v>10813</v>
      </c>
      <c r="C4894" s="21" t="s">
        <v>22694</v>
      </c>
      <c r="D4894" s="22">
        <v>46032</v>
      </c>
      <c r="E4894" s="23" t="s">
        <v>22656</v>
      </c>
      <c r="F4894" s="24" t="s">
        <v>22657</v>
      </c>
      <c r="G4894" s="25">
        <v>4</v>
      </c>
      <c r="H4894" s="26"/>
      <c r="I4894" s="27"/>
    </row>
    <row r="4895" spans="1:9" ht="15.75" thickBot="1" x14ac:dyDescent="0.3">
      <c r="A4895" s="43" t="s">
        <v>10814</v>
      </c>
      <c r="B4895" s="21" t="s">
        <v>10815</v>
      </c>
      <c r="C4895" s="21" t="s">
        <v>22663</v>
      </c>
      <c r="D4895" s="31">
        <v>1</v>
      </c>
      <c r="E4895" s="23" t="s">
        <v>22658</v>
      </c>
      <c r="F4895" s="24" t="s">
        <v>22657</v>
      </c>
      <c r="G4895" s="25">
        <v>1</v>
      </c>
      <c r="H4895" s="29"/>
      <c r="I4895" s="30"/>
    </row>
    <row r="4896" spans="1:9" ht="15.75" thickBot="1" x14ac:dyDescent="0.3">
      <c r="A4896" s="43" t="s">
        <v>10816</v>
      </c>
      <c r="B4896" s="21" t="s">
        <v>10817</v>
      </c>
      <c r="C4896" s="21" t="s">
        <v>22682</v>
      </c>
      <c r="D4896" s="22">
        <v>46034</v>
      </c>
      <c r="E4896" s="23" t="s">
        <v>22658</v>
      </c>
      <c r="F4896" s="24" t="s">
        <v>22657</v>
      </c>
      <c r="G4896" s="25">
        <v>4</v>
      </c>
      <c r="H4896" s="26"/>
      <c r="I4896" s="27"/>
    </row>
    <row r="4897" spans="1:9" ht="15.75" thickBot="1" x14ac:dyDescent="0.3">
      <c r="A4897" s="43" t="s">
        <v>10818</v>
      </c>
      <c r="B4897" s="21" t="s">
        <v>10819</v>
      </c>
      <c r="C4897" s="21" t="s">
        <v>22682</v>
      </c>
      <c r="D4897" s="22">
        <v>46034</v>
      </c>
      <c r="E4897" s="23" t="s">
        <v>22658</v>
      </c>
      <c r="F4897" s="24" t="s">
        <v>22657</v>
      </c>
      <c r="G4897" s="25">
        <v>4</v>
      </c>
      <c r="H4897" s="29"/>
      <c r="I4897" s="30"/>
    </row>
    <row r="4898" spans="1:9" ht="15.75" thickBot="1" x14ac:dyDescent="0.3">
      <c r="A4898" s="43" t="s">
        <v>10820</v>
      </c>
      <c r="B4898" s="21" t="s">
        <v>10821</v>
      </c>
      <c r="C4898" s="21" t="s">
        <v>22694</v>
      </c>
      <c r="D4898" s="22">
        <v>46032</v>
      </c>
      <c r="E4898" s="23" t="s">
        <v>22658</v>
      </c>
      <c r="F4898" s="24" t="s">
        <v>22657</v>
      </c>
      <c r="G4898" s="25">
        <v>4</v>
      </c>
      <c r="H4898" s="26"/>
      <c r="I4898" s="27"/>
    </row>
    <row r="4899" spans="1:9" ht="15.75" thickBot="1" x14ac:dyDescent="0.3">
      <c r="A4899" s="43" t="s">
        <v>10822</v>
      </c>
      <c r="B4899" s="21" t="s">
        <v>10823</v>
      </c>
      <c r="C4899" s="21" t="s">
        <v>22694</v>
      </c>
      <c r="D4899" s="22">
        <v>46032</v>
      </c>
      <c r="E4899" s="23" t="s">
        <v>22658</v>
      </c>
      <c r="F4899" s="24" t="s">
        <v>22657</v>
      </c>
      <c r="G4899" s="25">
        <v>4</v>
      </c>
      <c r="H4899" s="29"/>
      <c r="I4899" s="30"/>
    </row>
    <row r="4900" spans="1:9" ht="15.75" thickBot="1" x14ac:dyDescent="0.3">
      <c r="A4900" s="43" t="s">
        <v>10824</v>
      </c>
      <c r="B4900" s="21" t="s">
        <v>10825</v>
      </c>
      <c r="C4900" s="21" t="s">
        <v>22694</v>
      </c>
      <c r="D4900" s="22">
        <v>46032</v>
      </c>
      <c r="E4900" s="23" t="s">
        <v>22656</v>
      </c>
      <c r="F4900" s="24" t="s">
        <v>22657</v>
      </c>
      <c r="G4900" s="25">
        <v>4</v>
      </c>
      <c r="H4900" s="26"/>
      <c r="I4900" s="27"/>
    </row>
    <row r="4901" spans="1:9" ht="15.75" thickBot="1" x14ac:dyDescent="0.3">
      <c r="A4901" s="43" t="s">
        <v>10826</v>
      </c>
      <c r="B4901" s="21" t="s">
        <v>10827</v>
      </c>
      <c r="C4901" s="21" t="s">
        <v>22694</v>
      </c>
      <c r="D4901" s="22">
        <v>46032</v>
      </c>
      <c r="E4901" s="23" t="s">
        <v>22656</v>
      </c>
      <c r="F4901" s="24" t="s">
        <v>22657</v>
      </c>
      <c r="G4901" s="25">
        <v>4</v>
      </c>
      <c r="H4901" s="29"/>
      <c r="I4901" s="30"/>
    </row>
    <row r="4902" spans="1:9" ht="15.75" thickBot="1" x14ac:dyDescent="0.3">
      <c r="A4902" s="43" t="s">
        <v>10828</v>
      </c>
      <c r="B4902" s="21" t="s">
        <v>10829</v>
      </c>
      <c r="C4902" s="21" t="s">
        <v>22694</v>
      </c>
      <c r="D4902" s="22">
        <v>46032</v>
      </c>
      <c r="E4902" s="23" t="s">
        <v>22658</v>
      </c>
      <c r="F4902" s="24" t="s">
        <v>22657</v>
      </c>
      <c r="G4902" s="25">
        <v>4</v>
      </c>
      <c r="H4902" s="26"/>
      <c r="I4902" s="27"/>
    </row>
    <row r="4903" spans="1:9" ht="15.75" thickBot="1" x14ac:dyDescent="0.3">
      <c r="A4903" s="43" t="s">
        <v>10830</v>
      </c>
      <c r="B4903" s="21" t="s">
        <v>10831</v>
      </c>
      <c r="C4903" s="21" t="s">
        <v>22694</v>
      </c>
      <c r="D4903" s="22">
        <v>46032</v>
      </c>
      <c r="E4903" s="23" t="s">
        <v>22658</v>
      </c>
      <c r="F4903" s="24" t="s">
        <v>22657</v>
      </c>
      <c r="G4903" s="25">
        <v>4</v>
      </c>
      <c r="H4903" s="29"/>
      <c r="I4903" s="30"/>
    </row>
    <row r="4904" spans="1:9" ht="15.75" thickBot="1" x14ac:dyDescent="0.3">
      <c r="A4904" s="43" t="s">
        <v>10832</v>
      </c>
      <c r="B4904" s="21" t="s">
        <v>10833</v>
      </c>
      <c r="C4904" s="21" t="s">
        <v>22694</v>
      </c>
      <c r="D4904" s="22">
        <v>46032</v>
      </c>
      <c r="E4904" s="23" t="s">
        <v>22656</v>
      </c>
      <c r="F4904" s="24" t="s">
        <v>22657</v>
      </c>
      <c r="G4904" s="25">
        <v>4</v>
      </c>
      <c r="H4904" s="26"/>
      <c r="I4904" s="27"/>
    </row>
    <row r="4905" spans="1:9" ht="15.75" thickBot="1" x14ac:dyDescent="0.3">
      <c r="A4905" s="43" t="s">
        <v>10834</v>
      </c>
      <c r="B4905" s="21" t="s">
        <v>10835</v>
      </c>
      <c r="C4905" s="21" t="s">
        <v>22694</v>
      </c>
      <c r="D4905" s="22">
        <v>46032</v>
      </c>
      <c r="E4905" s="23" t="s">
        <v>22658</v>
      </c>
      <c r="F4905" s="24" t="s">
        <v>22657</v>
      </c>
      <c r="G4905" s="25">
        <v>4</v>
      </c>
      <c r="H4905" s="29"/>
      <c r="I4905" s="30"/>
    </row>
    <row r="4906" spans="1:9" ht="15.75" thickBot="1" x14ac:dyDescent="0.3">
      <c r="A4906" s="43" t="s">
        <v>10836</v>
      </c>
      <c r="B4906" s="21" t="s">
        <v>10837</v>
      </c>
      <c r="C4906" s="21" t="s">
        <v>22694</v>
      </c>
      <c r="D4906" s="22">
        <v>46032</v>
      </c>
      <c r="E4906" s="23" t="s">
        <v>22658</v>
      </c>
      <c r="F4906" s="24" t="s">
        <v>22657</v>
      </c>
      <c r="G4906" s="25">
        <v>4</v>
      </c>
      <c r="H4906" s="26"/>
      <c r="I4906" s="27"/>
    </row>
    <row r="4907" spans="1:9" ht="15.75" thickBot="1" x14ac:dyDescent="0.3">
      <c r="A4907" s="43" t="s">
        <v>10838</v>
      </c>
      <c r="B4907" s="21" t="s">
        <v>10839</v>
      </c>
      <c r="C4907" s="21" t="s">
        <v>22694</v>
      </c>
      <c r="D4907" s="22">
        <v>46032</v>
      </c>
      <c r="E4907" s="23" t="s">
        <v>22658</v>
      </c>
      <c r="F4907" s="24" t="s">
        <v>22657</v>
      </c>
      <c r="G4907" s="25">
        <v>4</v>
      </c>
      <c r="H4907" s="29"/>
      <c r="I4907" s="30"/>
    </row>
    <row r="4908" spans="1:9" ht="15.75" thickBot="1" x14ac:dyDescent="0.3">
      <c r="A4908" s="43" t="s">
        <v>10840</v>
      </c>
      <c r="B4908" s="21" t="s">
        <v>10841</v>
      </c>
      <c r="C4908" s="21" t="s">
        <v>22682</v>
      </c>
      <c r="D4908" s="22">
        <v>46034</v>
      </c>
      <c r="E4908" s="23" t="s">
        <v>22658</v>
      </c>
      <c r="F4908" s="24" t="s">
        <v>22657</v>
      </c>
      <c r="G4908" s="25">
        <v>4</v>
      </c>
      <c r="H4908" s="26"/>
      <c r="I4908" s="27"/>
    </row>
    <row r="4909" spans="1:9" ht="15.75" thickBot="1" x14ac:dyDescent="0.3">
      <c r="A4909" s="43" t="s">
        <v>10842</v>
      </c>
      <c r="B4909" s="21" t="s">
        <v>10843</v>
      </c>
      <c r="C4909" s="21" t="s">
        <v>22682</v>
      </c>
      <c r="D4909" s="22">
        <v>46034</v>
      </c>
      <c r="E4909" s="23" t="s">
        <v>22658</v>
      </c>
      <c r="F4909" s="24" t="s">
        <v>22657</v>
      </c>
      <c r="G4909" s="25">
        <v>4</v>
      </c>
      <c r="H4909" s="29"/>
      <c r="I4909" s="30"/>
    </row>
    <row r="4910" spans="1:9" ht="15.75" thickBot="1" x14ac:dyDescent="0.3">
      <c r="A4910" s="43" t="s">
        <v>10844</v>
      </c>
      <c r="B4910" s="21" t="s">
        <v>10845</v>
      </c>
      <c r="C4910" s="21" t="s">
        <v>22682</v>
      </c>
      <c r="D4910" s="22">
        <v>46034</v>
      </c>
      <c r="E4910" s="23" t="s">
        <v>22658</v>
      </c>
      <c r="F4910" s="24" t="s">
        <v>22657</v>
      </c>
      <c r="G4910" s="25">
        <v>4</v>
      </c>
      <c r="H4910" s="26"/>
      <c r="I4910" s="27"/>
    </row>
    <row r="4911" spans="1:9" ht="15.75" thickBot="1" x14ac:dyDescent="0.3">
      <c r="A4911" s="43" t="s">
        <v>10846</v>
      </c>
      <c r="B4911" s="21" t="s">
        <v>10847</v>
      </c>
      <c r="C4911" s="21" t="s">
        <v>22682</v>
      </c>
      <c r="D4911" s="22">
        <v>46034</v>
      </c>
      <c r="E4911" s="23" t="s">
        <v>22656</v>
      </c>
      <c r="F4911" s="24" t="s">
        <v>22657</v>
      </c>
      <c r="G4911" s="25">
        <v>4</v>
      </c>
      <c r="H4911" s="29"/>
      <c r="I4911" s="30"/>
    </row>
    <row r="4912" spans="1:9" ht="15.75" thickBot="1" x14ac:dyDescent="0.3">
      <c r="A4912" s="43" t="s">
        <v>10848</v>
      </c>
      <c r="B4912" s="21" t="s">
        <v>10849</v>
      </c>
      <c r="C4912" s="21" t="s">
        <v>22682</v>
      </c>
      <c r="D4912" s="22">
        <v>46034</v>
      </c>
      <c r="E4912" s="23" t="s">
        <v>22656</v>
      </c>
      <c r="F4912" s="24" t="s">
        <v>22657</v>
      </c>
      <c r="G4912" s="25">
        <v>4</v>
      </c>
      <c r="H4912" s="26"/>
      <c r="I4912" s="27"/>
    </row>
    <row r="4913" spans="1:9" ht="15.75" thickBot="1" x14ac:dyDescent="0.3">
      <c r="A4913" s="43" t="s">
        <v>10850</v>
      </c>
      <c r="B4913" s="21" t="s">
        <v>10851</v>
      </c>
      <c r="C4913" s="21" t="s">
        <v>22682</v>
      </c>
      <c r="D4913" s="22">
        <v>46034</v>
      </c>
      <c r="E4913" s="23" t="s">
        <v>22656</v>
      </c>
      <c r="F4913" s="24" t="s">
        <v>22657</v>
      </c>
      <c r="G4913" s="25">
        <v>4</v>
      </c>
      <c r="H4913" s="29"/>
      <c r="I4913" s="30"/>
    </row>
    <row r="4914" spans="1:9" ht="15.75" thickBot="1" x14ac:dyDescent="0.3">
      <c r="A4914" s="43" t="s">
        <v>10852</v>
      </c>
      <c r="B4914" s="21" t="s">
        <v>10853</v>
      </c>
      <c r="C4914" s="21" t="s">
        <v>22682</v>
      </c>
      <c r="D4914" s="22">
        <v>46034</v>
      </c>
      <c r="E4914" s="23" t="s">
        <v>22656</v>
      </c>
      <c r="F4914" s="24" t="s">
        <v>22657</v>
      </c>
      <c r="G4914" s="25">
        <v>4</v>
      </c>
      <c r="H4914" s="26"/>
      <c r="I4914" s="27"/>
    </row>
    <row r="4915" spans="1:9" ht="15.75" thickBot="1" x14ac:dyDescent="0.3">
      <c r="A4915" s="43" t="s">
        <v>10854</v>
      </c>
      <c r="B4915" s="21" t="s">
        <v>10855</v>
      </c>
      <c r="C4915" s="21" t="s">
        <v>22682</v>
      </c>
      <c r="D4915" s="22">
        <v>46034</v>
      </c>
      <c r="E4915" s="23" t="s">
        <v>22658</v>
      </c>
      <c r="F4915" s="24" t="s">
        <v>22657</v>
      </c>
      <c r="G4915" s="25">
        <v>4</v>
      </c>
      <c r="H4915" s="29"/>
      <c r="I4915" s="30"/>
    </row>
    <row r="4916" spans="1:9" ht="15.75" thickBot="1" x14ac:dyDescent="0.3">
      <c r="A4916" s="43" t="s">
        <v>10856</v>
      </c>
      <c r="B4916" s="21" t="s">
        <v>10857</v>
      </c>
      <c r="C4916" s="21" t="s">
        <v>22682</v>
      </c>
      <c r="D4916" s="22">
        <v>46034</v>
      </c>
      <c r="E4916" s="23" t="s">
        <v>22656</v>
      </c>
      <c r="F4916" s="24" t="s">
        <v>22657</v>
      </c>
      <c r="G4916" s="25">
        <v>4</v>
      </c>
      <c r="H4916" s="26"/>
      <c r="I4916" s="27"/>
    </row>
    <row r="4917" spans="1:9" ht="15.75" thickBot="1" x14ac:dyDescent="0.3">
      <c r="A4917" s="43" t="s">
        <v>10858</v>
      </c>
      <c r="B4917" s="21" t="s">
        <v>10859</v>
      </c>
      <c r="C4917" s="21" t="s">
        <v>22682</v>
      </c>
      <c r="D4917" s="22">
        <v>46034</v>
      </c>
      <c r="E4917" s="23" t="s">
        <v>22656</v>
      </c>
      <c r="F4917" s="24" t="s">
        <v>22657</v>
      </c>
      <c r="G4917" s="25">
        <v>4</v>
      </c>
      <c r="H4917" s="29"/>
      <c r="I4917" s="30"/>
    </row>
    <row r="4918" spans="1:9" ht="15.75" thickBot="1" x14ac:dyDescent="0.3">
      <c r="A4918" s="43" t="s">
        <v>10860</v>
      </c>
      <c r="B4918" s="21" t="s">
        <v>10861</v>
      </c>
      <c r="C4918" s="21" t="s">
        <v>22682</v>
      </c>
      <c r="D4918" s="22">
        <v>46034</v>
      </c>
      <c r="E4918" s="23" t="s">
        <v>22658</v>
      </c>
      <c r="F4918" s="24" t="s">
        <v>22657</v>
      </c>
      <c r="G4918" s="25">
        <v>4</v>
      </c>
      <c r="H4918" s="26"/>
      <c r="I4918" s="27"/>
    </row>
    <row r="4919" spans="1:9" ht="15.75" thickBot="1" x14ac:dyDescent="0.3">
      <c r="A4919" s="43" t="s">
        <v>10862</v>
      </c>
      <c r="B4919" s="21" t="s">
        <v>10863</v>
      </c>
      <c r="C4919" s="21" t="s">
        <v>22682</v>
      </c>
      <c r="D4919" s="22">
        <v>46034</v>
      </c>
      <c r="E4919" s="23" t="s">
        <v>22658</v>
      </c>
      <c r="F4919" s="24" t="s">
        <v>22657</v>
      </c>
      <c r="G4919" s="25">
        <v>4</v>
      </c>
      <c r="H4919" s="29"/>
      <c r="I4919" s="30"/>
    </row>
    <row r="4920" spans="1:9" ht="15.75" thickBot="1" x14ac:dyDescent="0.3">
      <c r="A4920" s="43" t="s">
        <v>10864</v>
      </c>
      <c r="B4920" s="21" t="s">
        <v>10865</v>
      </c>
      <c r="C4920" s="21" t="s">
        <v>22682</v>
      </c>
      <c r="D4920" s="22">
        <v>46034</v>
      </c>
      <c r="E4920" s="23" t="s">
        <v>22656</v>
      </c>
      <c r="F4920" s="24" t="s">
        <v>22657</v>
      </c>
      <c r="G4920" s="25">
        <v>4</v>
      </c>
      <c r="H4920" s="26"/>
      <c r="I4920" s="27"/>
    </row>
    <row r="4921" spans="1:9" ht="15.75" thickBot="1" x14ac:dyDescent="0.3">
      <c r="A4921" s="43" t="s">
        <v>10866</v>
      </c>
      <c r="B4921" s="21" t="s">
        <v>10867</v>
      </c>
      <c r="C4921" s="21" t="s">
        <v>22682</v>
      </c>
      <c r="D4921" s="22">
        <v>46034</v>
      </c>
      <c r="E4921" s="23" t="s">
        <v>22658</v>
      </c>
      <c r="F4921" s="24" t="s">
        <v>22657</v>
      </c>
      <c r="G4921" s="25">
        <v>4</v>
      </c>
      <c r="H4921" s="29"/>
      <c r="I4921" s="30"/>
    </row>
    <row r="4922" spans="1:9" ht="15.75" thickBot="1" x14ac:dyDescent="0.3">
      <c r="A4922" s="43" t="s">
        <v>10868</v>
      </c>
      <c r="B4922" s="21" t="s">
        <v>10869</v>
      </c>
      <c r="C4922" s="21" t="s">
        <v>22682</v>
      </c>
      <c r="D4922" s="22">
        <v>46034</v>
      </c>
      <c r="E4922" s="23" t="s">
        <v>22658</v>
      </c>
      <c r="F4922" s="24" t="s">
        <v>22657</v>
      </c>
      <c r="G4922" s="25">
        <v>4</v>
      </c>
      <c r="H4922" s="26"/>
      <c r="I4922" s="27"/>
    </row>
    <row r="4923" spans="1:9" ht="15.75" thickBot="1" x14ac:dyDescent="0.3">
      <c r="A4923" s="43" t="s">
        <v>10870</v>
      </c>
      <c r="B4923" s="21" t="s">
        <v>10871</v>
      </c>
      <c r="C4923" s="21" t="s">
        <v>22682</v>
      </c>
      <c r="D4923" s="22">
        <v>46034</v>
      </c>
      <c r="E4923" s="23" t="s">
        <v>22658</v>
      </c>
      <c r="F4923" s="24" t="s">
        <v>22657</v>
      </c>
      <c r="G4923" s="25">
        <v>4</v>
      </c>
      <c r="H4923" s="29"/>
      <c r="I4923" s="30"/>
    </row>
    <row r="4924" spans="1:9" ht="15.75" thickBot="1" x14ac:dyDescent="0.3">
      <c r="A4924" s="43" t="s">
        <v>10872</v>
      </c>
      <c r="B4924" s="21" t="s">
        <v>10873</v>
      </c>
      <c r="C4924" s="21" t="s">
        <v>22694</v>
      </c>
      <c r="D4924" s="22">
        <v>46032</v>
      </c>
      <c r="E4924" s="23" t="s">
        <v>22658</v>
      </c>
      <c r="F4924" s="24" t="s">
        <v>22657</v>
      </c>
      <c r="G4924" s="25">
        <v>4</v>
      </c>
      <c r="H4924" s="26"/>
      <c r="I4924" s="27"/>
    </row>
    <row r="4925" spans="1:9" ht="15.75" thickBot="1" x14ac:dyDescent="0.3">
      <c r="A4925" s="43" t="s">
        <v>10874</v>
      </c>
      <c r="B4925" s="21" t="s">
        <v>10875</v>
      </c>
      <c r="C4925" s="21" t="s">
        <v>22694</v>
      </c>
      <c r="D4925" s="22">
        <v>46032</v>
      </c>
      <c r="E4925" s="23" t="s">
        <v>22658</v>
      </c>
      <c r="F4925" s="24" t="s">
        <v>22657</v>
      </c>
      <c r="G4925" s="25">
        <v>4</v>
      </c>
      <c r="H4925" s="29"/>
      <c r="I4925" s="30"/>
    </row>
    <row r="4926" spans="1:9" ht="15.75" thickBot="1" x14ac:dyDescent="0.3">
      <c r="A4926" s="43" t="s">
        <v>10876</v>
      </c>
      <c r="B4926" s="21" t="s">
        <v>10877</v>
      </c>
      <c r="C4926" s="21" t="s">
        <v>22694</v>
      </c>
      <c r="D4926" s="22">
        <v>46032</v>
      </c>
      <c r="E4926" s="23" t="s">
        <v>22658</v>
      </c>
      <c r="F4926" s="24" t="s">
        <v>22657</v>
      </c>
      <c r="G4926" s="25">
        <v>4</v>
      </c>
      <c r="H4926" s="26"/>
      <c r="I4926" s="27"/>
    </row>
    <row r="4927" spans="1:9" ht="15.75" thickBot="1" x14ac:dyDescent="0.3">
      <c r="A4927" s="43" t="s">
        <v>10878</v>
      </c>
      <c r="B4927" s="21" t="s">
        <v>10879</v>
      </c>
      <c r="C4927" s="21" t="s">
        <v>22694</v>
      </c>
      <c r="D4927" s="22">
        <v>46032</v>
      </c>
      <c r="E4927" s="23" t="s">
        <v>22658</v>
      </c>
      <c r="F4927" s="24" t="s">
        <v>22657</v>
      </c>
      <c r="G4927" s="25">
        <v>4</v>
      </c>
      <c r="H4927" s="29"/>
      <c r="I4927" s="30"/>
    </row>
    <row r="4928" spans="1:9" ht="15.75" thickBot="1" x14ac:dyDescent="0.3">
      <c r="A4928" s="43" t="s">
        <v>10880</v>
      </c>
      <c r="B4928" s="21" t="s">
        <v>10881</v>
      </c>
      <c r="C4928" s="21" t="s">
        <v>22694</v>
      </c>
      <c r="D4928" s="22">
        <v>46032</v>
      </c>
      <c r="E4928" s="23" t="s">
        <v>22656</v>
      </c>
      <c r="F4928" s="24" t="s">
        <v>22657</v>
      </c>
      <c r="G4928" s="25">
        <v>4</v>
      </c>
      <c r="H4928" s="26"/>
      <c r="I4928" s="27"/>
    </row>
    <row r="4929" spans="1:9" ht="15.75" thickBot="1" x14ac:dyDescent="0.3">
      <c r="A4929" s="43" t="s">
        <v>10882</v>
      </c>
      <c r="B4929" s="21" t="s">
        <v>10883</v>
      </c>
      <c r="C4929" s="21" t="s">
        <v>22694</v>
      </c>
      <c r="D4929" s="22">
        <v>46032</v>
      </c>
      <c r="E4929" s="23" t="s">
        <v>22656</v>
      </c>
      <c r="F4929" s="24" t="s">
        <v>22657</v>
      </c>
      <c r="G4929" s="25">
        <v>4</v>
      </c>
      <c r="H4929" s="29"/>
      <c r="I4929" s="30"/>
    </row>
    <row r="4930" spans="1:9" ht="15.75" thickBot="1" x14ac:dyDescent="0.3">
      <c r="A4930" s="43" t="s">
        <v>10884</v>
      </c>
      <c r="B4930" s="21" t="s">
        <v>10885</v>
      </c>
      <c r="C4930" s="21" t="s">
        <v>22694</v>
      </c>
      <c r="D4930" s="22">
        <v>46032</v>
      </c>
      <c r="E4930" s="23" t="s">
        <v>22658</v>
      </c>
      <c r="F4930" s="24" t="s">
        <v>22657</v>
      </c>
      <c r="G4930" s="25">
        <v>4</v>
      </c>
      <c r="H4930" s="26"/>
      <c r="I4930" s="27"/>
    </row>
    <row r="4931" spans="1:9" ht="15.75" thickBot="1" x14ac:dyDescent="0.3">
      <c r="A4931" s="43" t="s">
        <v>10886</v>
      </c>
      <c r="B4931" s="21" t="s">
        <v>10887</v>
      </c>
      <c r="C4931" s="21" t="s">
        <v>22694</v>
      </c>
      <c r="D4931" s="22">
        <v>46032</v>
      </c>
      <c r="E4931" s="23" t="s">
        <v>22658</v>
      </c>
      <c r="F4931" s="24" t="s">
        <v>22657</v>
      </c>
      <c r="G4931" s="25">
        <v>4</v>
      </c>
      <c r="H4931" s="29"/>
      <c r="I4931" s="30"/>
    </row>
    <row r="4932" spans="1:9" ht="15.75" thickBot="1" x14ac:dyDescent="0.3">
      <c r="A4932" s="43" t="s">
        <v>10888</v>
      </c>
      <c r="B4932" s="21" t="s">
        <v>10889</v>
      </c>
      <c r="C4932" s="21" t="s">
        <v>22694</v>
      </c>
      <c r="D4932" s="22">
        <v>46032</v>
      </c>
      <c r="E4932" s="23" t="s">
        <v>22658</v>
      </c>
      <c r="F4932" s="24" t="s">
        <v>22657</v>
      </c>
      <c r="G4932" s="25">
        <v>4</v>
      </c>
      <c r="H4932" s="26"/>
      <c r="I4932" s="27"/>
    </row>
    <row r="4933" spans="1:9" ht="15.75" thickBot="1" x14ac:dyDescent="0.3">
      <c r="A4933" s="43" t="s">
        <v>10890</v>
      </c>
      <c r="B4933" s="21" t="s">
        <v>10891</v>
      </c>
      <c r="C4933" s="21" t="s">
        <v>22694</v>
      </c>
      <c r="D4933" s="22">
        <v>46032</v>
      </c>
      <c r="E4933" s="23" t="s">
        <v>22658</v>
      </c>
      <c r="F4933" s="24" t="s">
        <v>22657</v>
      </c>
      <c r="G4933" s="25">
        <v>4</v>
      </c>
      <c r="H4933" s="29"/>
      <c r="I4933" s="30"/>
    </row>
    <row r="4934" spans="1:9" ht="15.75" thickBot="1" x14ac:dyDescent="0.3">
      <c r="A4934" s="43" t="s">
        <v>10892</v>
      </c>
      <c r="B4934" s="21" t="s">
        <v>10893</v>
      </c>
      <c r="C4934" s="21" t="s">
        <v>22682</v>
      </c>
      <c r="D4934" s="22">
        <v>46034</v>
      </c>
      <c r="E4934" s="23" t="s">
        <v>22658</v>
      </c>
      <c r="F4934" s="24" t="s">
        <v>22657</v>
      </c>
      <c r="G4934" s="25">
        <v>4</v>
      </c>
      <c r="H4934" s="26"/>
      <c r="I4934" s="27"/>
    </row>
    <row r="4935" spans="1:9" ht="15.75" thickBot="1" x14ac:dyDescent="0.3">
      <c r="A4935" s="43" t="s">
        <v>10894</v>
      </c>
      <c r="B4935" s="21" t="s">
        <v>10895</v>
      </c>
      <c r="C4935" s="21" t="s">
        <v>22682</v>
      </c>
      <c r="D4935" s="22">
        <v>46034</v>
      </c>
      <c r="E4935" s="23" t="s">
        <v>22658</v>
      </c>
      <c r="F4935" s="24" t="s">
        <v>22657</v>
      </c>
      <c r="G4935" s="25">
        <v>4</v>
      </c>
      <c r="H4935" s="29"/>
      <c r="I4935" s="30"/>
    </row>
    <row r="4936" spans="1:9" ht="15.75" thickBot="1" x14ac:dyDescent="0.3">
      <c r="A4936" s="43" t="s">
        <v>10896</v>
      </c>
      <c r="B4936" s="21" t="s">
        <v>10897</v>
      </c>
      <c r="C4936" s="21" t="s">
        <v>22682</v>
      </c>
      <c r="D4936" s="22">
        <v>46034</v>
      </c>
      <c r="E4936" s="23" t="s">
        <v>22658</v>
      </c>
      <c r="F4936" s="24" t="s">
        <v>22657</v>
      </c>
      <c r="G4936" s="25">
        <v>4</v>
      </c>
      <c r="H4936" s="26"/>
      <c r="I4936" s="27"/>
    </row>
    <row r="4937" spans="1:9" ht="15.75" thickBot="1" x14ac:dyDescent="0.3">
      <c r="A4937" s="43" t="s">
        <v>10898</v>
      </c>
      <c r="B4937" s="21" t="s">
        <v>10899</v>
      </c>
      <c r="C4937" s="21" t="s">
        <v>22682</v>
      </c>
      <c r="D4937" s="22">
        <v>46034</v>
      </c>
      <c r="E4937" s="23" t="s">
        <v>22658</v>
      </c>
      <c r="F4937" s="24" t="s">
        <v>22657</v>
      </c>
      <c r="G4937" s="25">
        <v>4</v>
      </c>
      <c r="H4937" s="29"/>
      <c r="I4937" s="30"/>
    </row>
    <row r="4938" spans="1:9" ht="15.75" thickBot="1" x14ac:dyDescent="0.3">
      <c r="A4938" s="43" t="s">
        <v>10900</v>
      </c>
      <c r="B4938" s="21" t="s">
        <v>10901</v>
      </c>
      <c r="C4938" s="21" t="s">
        <v>22682</v>
      </c>
      <c r="D4938" s="22">
        <v>46034</v>
      </c>
      <c r="E4938" s="23" t="s">
        <v>22656</v>
      </c>
      <c r="F4938" s="24" t="s">
        <v>22657</v>
      </c>
      <c r="G4938" s="25">
        <v>4</v>
      </c>
      <c r="H4938" s="26"/>
      <c r="I4938" s="27"/>
    </row>
    <row r="4939" spans="1:9" ht="15.75" thickBot="1" x14ac:dyDescent="0.3">
      <c r="A4939" s="43" t="s">
        <v>10902</v>
      </c>
      <c r="B4939" s="21" t="s">
        <v>10903</v>
      </c>
      <c r="C4939" s="21" t="s">
        <v>22682</v>
      </c>
      <c r="D4939" s="22">
        <v>46034</v>
      </c>
      <c r="E4939" s="23" t="s">
        <v>22656</v>
      </c>
      <c r="F4939" s="24" t="s">
        <v>22657</v>
      </c>
      <c r="G4939" s="25">
        <v>4</v>
      </c>
      <c r="H4939" s="29"/>
      <c r="I4939" s="30"/>
    </row>
    <row r="4940" spans="1:9" ht="15.75" thickBot="1" x14ac:dyDescent="0.3">
      <c r="A4940" s="43" t="s">
        <v>10904</v>
      </c>
      <c r="B4940" s="21" t="s">
        <v>10905</v>
      </c>
      <c r="C4940" s="21" t="s">
        <v>22682</v>
      </c>
      <c r="D4940" s="22">
        <v>46034</v>
      </c>
      <c r="E4940" s="23" t="s">
        <v>22658</v>
      </c>
      <c r="F4940" s="24" t="s">
        <v>22657</v>
      </c>
      <c r="G4940" s="25">
        <v>4</v>
      </c>
      <c r="H4940" s="26"/>
      <c r="I4940" s="27"/>
    </row>
    <row r="4941" spans="1:9" ht="15.75" thickBot="1" x14ac:dyDescent="0.3">
      <c r="A4941" s="43" t="s">
        <v>10906</v>
      </c>
      <c r="B4941" s="21" t="s">
        <v>10907</v>
      </c>
      <c r="C4941" s="21" t="s">
        <v>22682</v>
      </c>
      <c r="D4941" s="22">
        <v>46034</v>
      </c>
      <c r="E4941" s="23" t="s">
        <v>22658</v>
      </c>
      <c r="F4941" s="24" t="s">
        <v>22657</v>
      </c>
      <c r="G4941" s="25">
        <v>4</v>
      </c>
      <c r="H4941" s="29"/>
      <c r="I4941" s="30"/>
    </row>
    <row r="4942" spans="1:9" ht="15.75" thickBot="1" x14ac:dyDescent="0.3">
      <c r="A4942" s="43" t="s">
        <v>10908</v>
      </c>
      <c r="B4942" s="21" t="s">
        <v>10909</v>
      </c>
      <c r="C4942" s="21" t="s">
        <v>22682</v>
      </c>
      <c r="D4942" s="22">
        <v>46034</v>
      </c>
      <c r="E4942" s="23" t="s">
        <v>22658</v>
      </c>
      <c r="F4942" s="24" t="s">
        <v>22657</v>
      </c>
      <c r="G4942" s="25">
        <v>4</v>
      </c>
      <c r="H4942" s="26"/>
      <c r="I4942" s="27"/>
    </row>
    <row r="4943" spans="1:9" ht="15.75" thickBot="1" x14ac:dyDescent="0.3">
      <c r="A4943" s="43" t="s">
        <v>10910</v>
      </c>
      <c r="B4943" s="21" t="s">
        <v>10911</v>
      </c>
      <c r="C4943" s="21" t="s">
        <v>22682</v>
      </c>
      <c r="D4943" s="22">
        <v>46034</v>
      </c>
      <c r="E4943" s="23" t="s">
        <v>22658</v>
      </c>
      <c r="F4943" s="24" t="s">
        <v>22657</v>
      </c>
      <c r="G4943" s="25">
        <v>4</v>
      </c>
      <c r="H4943" s="29"/>
      <c r="I4943" s="30"/>
    </row>
    <row r="4944" spans="1:9" ht="15.75" thickBot="1" x14ac:dyDescent="0.3">
      <c r="A4944" s="43" t="s">
        <v>10912</v>
      </c>
      <c r="B4944" s="21" t="s">
        <v>10913</v>
      </c>
      <c r="C4944" s="21" t="s">
        <v>22682</v>
      </c>
      <c r="D4944" s="22">
        <v>46034</v>
      </c>
      <c r="E4944" s="23" t="s">
        <v>22656</v>
      </c>
      <c r="F4944" s="24" t="s">
        <v>22657</v>
      </c>
      <c r="G4944" s="25">
        <v>4</v>
      </c>
      <c r="H4944" s="26"/>
      <c r="I4944" s="27"/>
    </row>
    <row r="4945" spans="1:9" ht="15.75" thickBot="1" x14ac:dyDescent="0.3">
      <c r="A4945" s="43" t="s">
        <v>10914</v>
      </c>
      <c r="B4945" s="21" t="s">
        <v>10915</v>
      </c>
      <c r="C4945" s="21" t="s">
        <v>22682</v>
      </c>
      <c r="D4945" s="22">
        <v>46034</v>
      </c>
      <c r="E4945" s="23" t="s">
        <v>22656</v>
      </c>
      <c r="F4945" s="24" t="s">
        <v>22657</v>
      </c>
      <c r="G4945" s="25">
        <v>4</v>
      </c>
      <c r="H4945" s="29"/>
      <c r="I4945" s="30"/>
    </row>
    <row r="4946" spans="1:9" ht="15.75" thickBot="1" x14ac:dyDescent="0.3">
      <c r="A4946" s="43" t="s">
        <v>10916</v>
      </c>
      <c r="B4946" s="21" t="s">
        <v>10917</v>
      </c>
      <c r="C4946" s="21" t="s">
        <v>22682</v>
      </c>
      <c r="D4946" s="22">
        <v>46034</v>
      </c>
      <c r="E4946" s="23" t="s">
        <v>22656</v>
      </c>
      <c r="F4946" s="24" t="s">
        <v>22657</v>
      </c>
      <c r="G4946" s="25">
        <v>4</v>
      </c>
      <c r="H4946" s="26"/>
      <c r="I4946" s="27"/>
    </row>
    <row r="4947" spans="1:9" ht="15.75" thickBot="1" x14ac:dyDescent="0.3">
      <c r="A4947" s="43" t="s">
        <v>10918</v>
      </c>
      <c r="B4947" s="21" t="s">
        <v>10919</v>
      </c>
      <c r="C4947" s="21" t="s">
        <v>22682</v>
      </c>
      <c r="D4947" s="22">
        <v>46034</v>
      </c>
      <c r="E4947" s="23" t="s">
        <v>22658</v>
      </c>
      <c r="F4947" s="24" t="s">
        <v>22657</v>
      </c>
      <c r="G4947" s="25">
        <v>4</v>
      </c>
      <c r="H4947" s="29"/>
      <c r="I4947" s="30"/>
    </row>
    <row r="4948" spans="1:9" ht="15.75" thickBot="1" x14ac:dyDescent="0.3">
      <c r="A4948" s="43" t="s">
        <v>10920</v>
      </c>
      <c r="B4948" s="21" t="s">
        <v>10921</v>
      </c>
      <c r="C4948" s="21" t="s">
        <v>22663</v>
      </c>
      <c r="D4948" s="31">
        <v>1</v>
      </c>
      <c r="E4948" s="23" t="s">
        <v>22656</v>
      </c>
      <c r="F4948" s="24" t="s">
        <v>22657</v>
      </c>
      <c r="G4948" s="25">
        <v>2</v>
      </c>
      <c r="H4948" s="26"/>
      <c r="I4948" s="27"/>
    </row>
    <row r="4949" spans="1:9" ht="15.75" thickBot="1" x14ac:dyDescent="0.3">
      <c r="A4949" s="43" t="s">
        <v>10922</v>
      </c>
      <c r="B4949" s="21" t="s">
        <v>10923</v>
      </c>
      <c r="C4949" s="21" t="s">
        <v>22682</v>
      </c>
      <c r="D4949" s="22">
        <v>46034</v>
      </c>
      <c r="E4949" s="23" t="s">
        <v>22658</v>
      </c>
      <c r="F4949" s="24" t="s">
        <v>22657</v>
      </c>
      <c r="G4949" s="25">
        <v>4</v>
      </c>
      <c r="H4949" s="29"/>
      <c r="I4949" s="30"/>
    </row>
    <row r="4950" spans="1:9" ht="15.75" thickBot="1" x14ac:dyDescent="0.3">
      <c r="A4950" s="43" t="s">
        <v>10924</v>
      </c>
      <c r="B4950" s="21" t="s">
        <v>10925</v>
      </c>
      <c r="C4950" s="21" t="s">
        <v>22682</v>
      </c>
      <c r="D4950" s="22">
        <v>46034</v>
      </c>
      <c r="E4950" s="23" t="s">
        <v>22658</v>
      </c>
      <c r="F4950" s="24" t="s">
        <v>22657</v>
      </c>
      <c r="G4950" s="25">
        <v>4</v>
      </c>
      <c r="H4950" s="26"/>
      <c r="I4950" s="27"/>
    </row>
    <row r="4951" spans="1:9" ht="15.75" thickBot="1" x14ac:dyDescent="0.3">
      <c r="A4951" s="43" t="s">
        <v>10926</v>
      </c>
      <c r="B4951" s="21" t="s">
        <v>10927</v>
      </c>
      <c r="C4951" s="21" t="s">
        <v>22694</v>
      </c>
      <c r="D4951" s="22">
        <v>46032</v>
      </c>
      <c r="E4951" s="23" t="s">
        <v>22658</v>
      </c>
      <c r="F4951" s="24" t="s">
        <v>22657</v>
      </c>
      <c r="G4951" s="25">
        <v>4</v>
      </c>
      <c r="H4951" s="29"/>
      <c r="I4951" s="30"/>
    </row>
    <row r="4952" spans="1:9" ht="15.75" thickBot="1" x14ac:dyDescent="0.3">
      <c r="A4952" s="43" t="s">
        <v>10928</v>
      </c>
      <c r="B4952" s="21" t="s">
        <v>10929</v>
      </c>
      <c r="C4952" s="21" t="s">
        <v>22694</v>
      </c>
      <c r="D4952" s="22">
        <v>46032</v>
      </c>
      <c r="E4952" s="23" t="s">
        <v>22658</v>
      </c>
      <c r="F4952" s="24" t="s">
        <v>22657</v>
      </c>
      <c r="G4952" s="25">
        <v>4</v>
      </c>
      <c r="H4952" s="26"/>
      <c r="I4952" s="27"/>
    </row>
    <row r="4953" spans="1:9" ht="15.75" thickBot="1" x14ac:dyDescent="0.3">
      <c r="A4953" s="43" t="s">
        <v>10930</v>
      </c>
      <c r="B4953" s="21" t="s">
        <v>10931</v>
      </c>
      <c r="C4953" s="21" t="s">
        <v>22694</v>
      </c>
      <c r="D4953" s="22">
        <v>46032</v>
      </c>
      <c r="E4953" s="23" t="s">
        <v>22656</v>
      </c>
      <c r="F4953" s="24" t="s">
        <v>22657</v>
      </c>
      <c r="G4953" s="25">
        <v>4</v>
      </c>
      <c r="H4953" s="29"/>
      <c r="I4953" s="30"/>
    </row>
    <row r="4954" spans="1:9" ht="15.75" thickBot="1" x14ac:dyDescent="0.3">
      <c r="A4954" s="43" t="s">
        <v>10932</v>
      </c>
      <c r="B4954" s="21" t="s">
        <v>10933</v>
      </c>
      <c r="C4954" s="21" t="s">
        <v>22694</v>
      </c>
      <c r="D4954" s="22">
        <v>46032</v>
      </c>
      <c r="E4954" s="23" t="s">
        <v>22656</v>
      </c>
      <c r="F4954" s="24" t="s">
        <v>22657</v>
      </c>
      <c r="G4954" s="25">
        <v>4</v>
      </c>
      <c r="H4954" s="26"/>
      <c r="I4954" s="27"/>
    </row>
    <row r="4955" spans="1:9" ht="15.75" thickBot="1" x14ac:dyDescent="0.3">
      <c r="A4955" s="43" t="s">
        <v>10934</v>
      </c>
      <c r="B4955" s="21" t="s">
        <v>10935</v>
      </c>
      <c r="C4955" s="21" t="s">
        <v>22694</v>
      </c>
      <c r="D4955" s="22">
        <v>46032</v>
      </c>
      <c r="E4955" s="23" t="s">
        <v>22656</v>
      </c>
      <c r="F4955" s="24" t="s">
        <v>22657</v>
      </c>
      <c r="G4955" s="25">
        <v>4</v>
      </c>
      <c r="H4955" s="29"/>
      <c r="I4955" s="30"/>
    </row>
    <row r="4956" spans="1:9" ht="15.75" thickBot="1" x14ac:dyDescent="0.3">
      <c r="A4956" s="43" t="s">
        <v>10936</v>
      </c>
      <c r="B4956" s="21" t="s">
        <v>10937</v>
      </c>
      <c r="C4956" s="21" t="s">
        <v>22694</v>
      </c>
      <c r="D4956" s="22">
        <v>46032</v>
      </c>
      <c r="E4956" s="23" t="s">
        <v>22656</v>
      </c>
      <c r="F4956" s="24" t="s">
        <v>22657</v>
      </c>
      <c r="G4956" s="25">
        <v>4</v>
      </c>
      <c r="H4956" s="26"/>
      <c r="I4956" s="27"/>
    </row>
    <row r="4957" spans="1:9" ht="15.75" thickBot="1" x14ac:dyDescent="0.3">
      <c r="A4957" s="43" t="s">
        <v>10938</v>
      </c>
      <c r="B4957" s="21" t="s">
        <v>10939</v>
      </c>
      <c r="C4957" s="21" t="s">
        <v>22694</v>
      </c>
      <c r="D4957" s="22">
        <v>46032</v>
      </c>
      <c r="E4957" s="23" t="s">
        <v>22658</v>
      </c>
      <c r="F4957" s="24" t="s">
        <v>22657</v>
      </c>
      <c r="G4957" s="25">
        <v>4</v>
      </c>
      <c r="H4957" s="29"/>
      <c r="I4957" s="30"/>
    </row>
    <row r="4958" spans="1:9" ht="15.75" thickBot="1" x14ac:dyDescent="0.3">
      <c r="A4958" s="43" t="s">
        <v>10940</v>
      </c>
      <c r="B4958" s="21" t="s">
        <v>10941</v>
      </c>
      <c r="C4958" s="21" t="s">
        <v>22694</v>
      </c>
      <c r="D4958" s="22">
        <v>46032</v>
      </c>
      <c r="E4958" s="23" t="s">
        <v>22656</v>
      </c>
      <c r="F4958" s="24" t="s">
        <v>22657</v>
      </c>
      <c r="G4958" s="25">
        <v>4</v>
      </c>
      <c r="H4958" s="26"/>
      <c r="I4958" s="27"/>
    </row>
    <row r="4959" spans="1:9" ht="15.75" thickBot="1" x14ac:dyDescent="0.3">
      <c r="A4959" s="43" t="s">
        <v>10942</v>
      </c>
      <c r="B4959" s="21" t="s">
        <v>10943</v>
      </c>
      <c r="C4959" s="21" t="s">
        <v>22694</v>
      </c>
      <c r="D4959" s="22">
        <v>46032</v>
      </c>
      <c r="E4959" s="23" t="s">
        <v>22658</v>
      </c>
      <c r="F4959" s="24" t="s">
        <v>22657</v>
      </c>
      <c r="G4959" s="25">
        <v>4</v>
      </c>
      <c r="H4959" s="29"/>
      <c r="I4959" s="30"/>
    </row>
    <row r="4960" spans="1:9" ht="15.75" thickBot="1" x14ac:dyDescent="0.3">
      <c r="A4960" s="43" t="s">
        <v>10944</v>
      </c>
      <c r="B4960" s="21" t="s">
        <v>10945</v>
      </c>
      <c r="C4960" s="21" t="s">
        <v>22694</v>
      </c>
      <c r="D4960" s="22">
        <v>46032</v>
      </c>
      <c r="E4960" s="23" t="s">
        <v>22658</v>
      </c>
      <c r="F4960" s="24" t="s">
        <v>22657</v>
      </c>
      <c r="G4960" s="25">
        <v>4</v>
      </c>
      <c r="H4960" s="26"/>
      <c r="I4960" s="27"/>
    </row>
    <row r="4961" spans="1:9" ht="15.75" thickBot="1" x14ac:dyDescent="0.3">
      <c r="A4961" s="43" t="s">
        <v>10946</v>
      </c>
      <c r="B4961" s="21" t="s">
        <v>10947</v>
      </c>
      <c r="C4961" s="21" t="s">
        <v>22694</v>
      </c>
      <c r="D4961" s="22">
        <v>46032</v>
      </c>
      <c r="E4961" s="23" t="s">
        <v>22658</v>
      </c>
      <c r="F4961" s="24" t="s">
        <v>22657</v>
      </c>
      <c r="G4961" s="25">
        <v>4</v>
      </c>
      <c r="H4961" s="29"/>
      <c r="I4961" s="30"/>
    </row>
    <row r="4962" spans="1:9" ht="15.75" thickBot="1" x14ac:dyDescent="0.3">
      <c r="A4962" s="43" t="s">
        <v>10948</v>
      </c>
      <c r="B4962" s="21" t="s">
        <v>10949</v>
      </c>
      <c r="C4962" s="21" t="s">
        <v>22694</v>
      </c>
      <c r="D4962" s="22">
        <v>46032</v>
      </c>
      <c r="E4962" s="23" t="s">
        <v>22658</v>
      </c>
      <c r="F4962" s="24" t="s">
        <v>22657</v>
      </c>
      <c r="G4962" s="25">
        <v>4</v>
      </c>
      <c r="H4962" s="26"/>
      <c r="I4962" s="27"/>
    </row>
    <row r="4963" spans="1:9" ht="15.75" thickBot="1" x14ac:dyDescent="0.3">
      <c r="A4963" s="43" t="s">
        <v>10950</v>
      </c>
      <c r="B4963" s="21" t="s">
        <v>10951</v>
      </c>
      <c r="C4963" s="21" t="s">
        <v>22694</v>
      </c>
      <c r="D4963" s="22">
        <v>46032</v>
      </c>
      <c r="E4963" s="23" t="s">
        <v>22656</v>
      </c>
      <c r="F4963" s="24" t="s">
        <v>22657</v>
      </c>
      <c r="G4963" s="25">
        <v>4</v>
      </c>
      <c r="H4963" s="29"/>
      <c r="I4963" s="30"/>
    </row>
    <row r="4964" spans="1:9" ht="15.75" thickBot="1" x14ac:dyDescent="0.3">
      <c r="A4964" s="43" t="s">
        <v>10952</v>
      </c>
      <c r="B4964" s="21" t="s">
        <v>10953</v>
      </c>
      <c r="C4964" s="21" t="s">
        <v>22672</v>
      </c>
      <c r="D4964" s="22">
        <v>46034</v>
      </c>
      <c r="E4964" s="23" t="s">
        <v>22656</v>
      </c>
      <c r="F4964" s="24" t="s">
        <v>22657</v>
      </c>
      <c r="G4964" s="25">
        <v>4</v>
      </c>
      <c r="H4964" s="26"/>
      <c r="I4964" s="27"/>
    </row>
    <row r="4965" spans="1:9" ht="15.75" thickBot="1" x14ac:dyDescent="0.3">
      <c r="A4965" s="43" t="s">
        <v>10954</v>
      </c>
      <c r="B4965" s="21" t="s">
        <v>10955</v>
      </c>
      <c r="C4965" s="21" t="s">
        <v>22672</v>
      </c>
      <c r="D4965" s="22">
        <v>46034</v>
      </c>
      <c r="E4965" s="23" t="s">
        <v>22656</v>
      </c>
      <c r="F4965" s="24" t="s">
        <v>22657</v>
      </c>
      <c r="G4965" s="25">
        <v>4</v>
      </c>
      <c r="H4965" s="29"/>
      <c r="I4965" s="30"/>
    </row>
    <row r="4966" spans="1:9" ht="15.75" thickBot="1" x14ac:dyDescent="0.3">
      <c r="A4966" s="43" t="s">
        <v>10956</v>
      </c>
      <c r="B4966" s="21" t="s">
        <v>10957</v>
      </c>
      <c r="C4966" s="21" t="s">
        <v>22672</v>
      </c>
      <c r="D4966" s="22">
        <v>46034</v>
      </c>
      <c r="E4966" s="23" t="s">
        <v>22656</v>
      </c>
      <c r="F4966" s="24" t="s">
        <v>22657</v>
      </c>
      <c r="G4966" s="25">
        <v>4</v>
      </c>
      <c r="H4966" s="26"/>
      <c r="I4966" s="27"/>
    </row>
    <row r="4967" spans="1:9" ht="15.75" thickBot="1" x14ac:dyDescent="0.3">
      <c r="A4967" s="43" t="s">
        <v>10958</v>
      </c>
      <c r="B4967" s="21" t="s">
        <v>10959</v>
      </c>
      <c r="C4967" s="21" t="s">
        <v>22672</v>
      </c>
      <c r="D4967" s="22">
        <v>46034</v>
      </c>
      <c r="E4967" s="23" t="s">
        <v>22656</v>
      </c>
      <c r="F4967" s="24" t="s">
        <v>22657</v>
      </c>
      <c r="G4967" s="25">
        <v>4</v>
      </c>
      <c r="H4967" s="29"/>
      <c r="I4967" s="30"/>
    </row>
    <row r="4968" spans="1:9" ht="15.75" thickBot="1" x14ac:dyDescent="0.3">
      <c r="A4968" s="43" t="s">
        <v>10960</v>
      </c>
      <c r="B4968" s="21" t="s">
        <v>10961</v>
      </c>
      <c r="C4968" s="21" t="s">
        <v>22672</v>
      </c>
      <c r="D4968" s="22">
        <v>46034</v>
      </c>
      <c r="E4968" s="23" t="s">
        <v>22656</v>
      </c>
      <c r="F4968" s="24" t="s">
        <v>22657</v>
      </c>
      <c r="G4968" s="25">
        <v>4</v>
      </c>
      <c r="H4968" s="26"/>
      <c r="I4968" s="27"/>
    </row>
    <row r="4969" spans="1:9" ht="15.75" thickBot="1" x14ac:dyDescent="0.3">
      <c r="A4969" s="43" t="s">
        <v>10962</v>
      </c>
      <c r="B4969" s="21" t="s">
        <v>10963</v>
      </c>
      <c r="C4969" s="21" t="s">
        <v>22672</v>
      </c>
      <c r="D4969" s="22">
        <v>46034</v>
      </c>
      <c r="E4969" s="23" t="s">
        <v>22656</v>
      </c>
      <c r="F4969" s="24" t="s">
        <v>22657</v>
      </c>
      <c r="G4969" s="25">
        <v>6</v>
      </c>
      <c r="H4969" s="29"/>
      <c r="I4969" s="30"/>
    </row>
    <row r="4970" spans="1:9" ht="15.75" thickBot="1" x14ac:dyDescent="0.3">
      <c r="A4970" s="43" t="s">
        <v>10964</v>
      </c>
      <c r="B4970" s="21" t="s">
        <v>10965</v>
      </c>
      <c r="C4970" s="21" t="s">
        <v>22672</v>
      </c>
      <c r="D4970" s="22">
        <v>46034</v>
      </c>
      <c r="E4970" s="23" t="s">
        <v>22656</v>
      </c>
      <c r="F4970" s="24" t="s">
        <v>22657</v>
      </c>
      <c r="G4970" s="25">
        <v>4</v>
      </c>
      <c r="H4970" s="26"/>
      <c r="I4970" s="27"/>
    </row>
    <row r="4971" spans="1:9" ht="15.75" thickBot="1" x14ac:dyDescent="0.3">
      <c r="A4971" s="43" t="s">
        <v>10966</v>
      </c>
      <c r="B4971" s="21" t="s">
        <v>10967</v>
      </c>
      <c r="C4971" s="21" t="s">
        <v>22672</v>
      </c>
      <c r="D4971" s="22">
        <v>46034</v>
      </c>
      <c r="E4971" s="23" t="s">
        <v>22656</v>
      </c>
      <c r="F4971" s="24" t="s">
        <v>22657</v>
      </c>
      <c r="G4971" s="25">
        <v>4</v>
      </c>
      <c r="H4971" s="29"/>
      <c r="I4971" s="30"/>
    </row>
    <row r="4972" spans="1:9" ht="15.75" thickBot="1" x14ac:dyDescent="0.3">
      <c r="A4972" s="43" t="s">
        <v>10968</v>
      </c>
      <c r="B4972" s="21" t="s">
        <v>10969</v>
      </c>
      <c r="C4972" s="21" t="s">
        <v>22672</v>
      </c>
      <c r="D4972" s="22">
        <v>46034</v>
      </c>
      <c r="E4972" s="23" t="s">
        <v>22656</v>
      </c>
      <c r="F4972" s="24" t="s">
        <v>22657</v>
      </c>
      <c r="G4972" s="25">
        <v>4</v>
      </c>
      <c r="H4972" s="26"/>
      <c r="I4972" s="27"/>
    </row>
    <row r="4973" spans="1:9" ht="15.75" thickBot="1" x14ac:dyDescent="0.3">
      <c r="A4973" s="43" t="s">
        <v>10970</v>
      </c>
      <c r="B4973" s="21" t="s">
        <v>10971</v>
      </c>
      <c r="C4973" s="21" t="s">
        <v>22672</v>
      </c>
      <c r="D4973" s="22">
        <v>46034</v>
      </c>
      <c r="E4973" s="23" t="s">
        <v>22656</v>
      </c>
      <c r="F4973" s="24" t="s">
        <v>22657</v>
      </c>
      <c r="G4973" s="25">
        <v>4</v>
      </c>
      <c r="H4973" s="29"/>
      <c r="I4973" s="30"/>
    </row>
    <row r="4974" spans="1:9" ht="15.75" thickBot="1" x14ac:dyDescent="0.3">
      <c r="A4974" s="43" t="s">
        <v>10972</v>
      </c>
      <c r="B4974" s="21" t="s">
        <v>10973</v>
      </c>
      <c r="C4974" s="21" t="s">
        <v>22682</v>
      </c>
      <c r="D4974" s="22">
        <v>46034</v>
      </c>
      <c r="E4974" s="23" t="s">
        <v>22658</v>
      </c>
      <c r="F4974" s="24" t="s">
        <v>22657</v>
      </c>
      <c r="G4974" s="25">
        <v>4</v>
      </c>
      <c r="H4974" s="26"/>
      <c r="I4974" s="27"/>
    </row>
    <row r="4975" spans="1:9" ht="15.75" thickBot="1" x14ac:dyDescent="0.3">
      <c r="A4975" s="43" t="s">
        <v>10974</v>
      </c>
      <c r="B4975" s="21" t="s">
        <v>10975</v>
      </c>
      <c r="C4975" s="21" t="s">
        <v>22694</v>
      </c>
      <c r="D4975" s="22">
        <v>46032</v>
      </c>
      <c r="E4975" s="23" t="s">
        <v>22658</v>
      </c>
      <c r="F4975" s="24" t="s">
        <v>22657</v>
      </c>
      <c r="G4975" s="25">
        <v>4</v>
      </c>
      <c r="H4975" s="29"/>
      <c r="I4975" s="30"/>
    </row>
    <row r="4976" spans="1:9" ht="15.75" thickBot="1" x14ac:dyDescent="0.3">
      <c r="A4976" s="43" t="s">
        <v>10976</v>
      </c>
      <c r="B4976" s="21" t="s">
        <v>10977</v>
      </c>
      <c r="C4976" s="21" t="s">
        <v>22694</v>
      </c>
      <c r="D4976" s="22">
        <v>46032</v>
      </c>
      <c r="E4976" s="23" t="s">
        <v>22658</v>
      </c>
      <c r="F4976" s="24" t="s">
        <v>22657</v>
      </c>
      <c r="G4976" s="25">
        <v>4</v>
      </c>
      <c r="H4976" s="26"/>
      <c r="I4976" s="27"/>
    </row>
    <row r="4977" spans="1:9" ht="15.75" thickBot="1" x14ac:dyDescent="0.3">
      <c r="A4977" s="43" t="s">
        <v>10978</v>
      </c>
      <c r="B4977" s="21" t="s">
        <v>10979</v>
      </c>
      <c r="C4977" s="21" t="s">
        <v>22682</v>
      </c>
      <c r="D4977" s="22">
        <v>46034</v>
      </c>
      <c r="E4977" s="23" t="s">
        <v>22658</v>
      </c>
      <c r="F4977" s="24" t="s">
        <v>22657</v>
      </c>
      <c r="G4977" s="25">
        <v>4</v>
      </c>
      <c r="H4977" s="29"/>
      <c r="I4977" s="30"/>
    </row>
    <row r="4978" spans="1:9" ht="15.75" thickBot="1" x14ac:dyDescent="0.3">
      <c r="A4978" s="43" t="s">
        <v>10980</v>
      </c>
      <c r="B4978" s="21" t="s">
        <v>10981</v>
      </c>
      <c r="C4978" s="21" t="s">
        <v>22682</v>
      </c>
      <c r="D4978" s="22">
        <v>46034</v>
      </c>
      <c r="E4978" s="23" t="s">
        <v>22658</v>
      </c>
      <c r="F4978" s="24" t="s">
        <v>22657</v>
      </c>
      <c r="G4978" s="25">
        <v>4</v>
      </c>
      <c r="H4978" s="26"/>
      <c r="I4978" s="27"/>
    </row>
    <row r="4979" spans="1:9" ht="15.75" thickBot="1" x14ac:dyDescent="0.3">
      <c r="A4979" s="43" t="s">
        <v>10982</v>
      </c>
      <c r="B4979" s="21" t="s">
        <v>10983</v>
      </c>
      <c r="C4979" s="21" t="s">
        <v>22682</v>
      </c>
      <c r="D4979" s="22">
        <v>46034</v>
      </c>
      <c r="E4979" s="23" t="s">
        <v>22658</v>
      </c>
      <c r="F4979" s="24" t="s">
        <v>22657</v>
      </c>
      <c r="G4979" s="25">
        <v>4</v>
      </c>
      <c r="H4979" s="29"/>
      <c r="I4979" s="30"/>
    </row>
    <row r="4980" spans="1:9" ht="15.75" thickBot="1" x14ac:dyDescent="0.3">
      <c r="A4980" s="43" t="s">
        <v>10984</v>
      </c>
      <c r="B4980" s="21" t="s">
        <v>10985</v>
      </c>
      <c r="C4980" s="21" t="s">
        <v>22682</v>
      </c>
      <c r="D4980" s="22">
        <v>46034</v>
      </c>
      <c r="E4980" s="23" t="s">
        <v>22658</v>
      </c>
      <c r="F4980" s="24" t="s">
        <v>22657</v>
      </c>
      <c r="G4980" s="25">
        <v>4</v>
      </c>
      <c r="H4980" s="26"/>
      <c r="I4980" s="27"/>
    </row>
    <row r="4981" spans="1:9" ht="15.75" thickBot="1" x14ac:dyDescent="0.3">
      <c r="A4981" s="43" t="s">
        <v>10986</v>
      </c>
      <c r="B4981" s="21" t="s">
        <v>10987</v>
      </c>
      <c r="C4981" s="21" t="s">
        <v>22682</v>
      </c>
      <c r="D4981" s="22">
        <v>46034</v>
      </c>
      <c r="E4981" s="23" t="s">
        <v>22658</v>
      </c>
      <c r="F4981" s="24" t="s">
        <v>22657</v>
      </c>
      <c r="G4981" s="25">
        <v>4</v>
      </c>
      <c r="H4981" s="29"/>
      <c r="I4981" s="30"/>
    </row>
    <row r="4982" spans="1:9" ht="15.75" thickBot="1" x14ac:dyDescent="0.3">
      <c r="A4982" s="43" t="s">
        <v>10988</v>
      </c>
      <c r="B4982" s="21" t="s">
        <v>10989</v>
      </c>
      <c r="C4982" s="21" t="s">
        <v>22682</v>
      </c>
      <c r="D4982" s="22">
        <v>46034</v>
      </c>
      <c r="E4982" s="23" t="s">
        <v>22658</v>
      </c>
      <c r="F4982" s="24" t="s">
        <v>22657</v>
      </c>
      <c r="G4982" s="25">
        <v>4</v>
      </c>
      <c r="H4982" s="26"/>
      <c r="I4982" s="27"/>
    </row>
    <row r="4983" spans="1:9" ht="15.75" thickBot="1" x14ac:dyDescent="0.3">
      <c r="A4983" s="43" t="s">
        <v>10990</v>
      </c>
      <c r="B4983" s="21" t="s">
        <v>10991</v>
      </c>
      <c r="C4983" s="21" t="s">
        <v>22682</v>
      </c>
      <c r="D4983" s="22">
        <v>46034</v>
      </c>
      <c r="E4983" s="23" t="s">
        <v>22658</v>
      </c>
      <c r="F4983" s="24" t="s">
        <v>22657</v>
      </c>
      <c r="G4983" s="25">
        <v>4</v>
      </c>
      <c r="H4983" s="29"/>
      <c r="I4983" s="30"/>
    </row>
    <row r="4984" spans="1:9" ht="15.75" thickBot="1" x14ac:dyDescent="0.3">
      <c r="A4984" s="43" t="s">
        <v>10992</v>
      </c>
      <c r="B4984" s="21" t="s">
        <v>10993</v>
      </c>
      <c r="C4984" s="21" t="s">
        <v>22694</v>
      </c>
      <c r="D4984" s="22">
        <v>46032</v>
      </c>
      <c r="E4984" s="23" t="s">
        <v>22658</v>
      </c>
      <c r="F4984" s="24" t="s">
        <v>22657</v>
      </c>
      <c r="G4984" s="25">
        <v>4</v>
      </c>
      <c r="H4984" s="26"/>
      <c r="I4984" s="27"/>
    </row>
    <row r="4985" spans="1:9" ht="15.75" thickBot="1" x14ac:dyDescent="0.3">
      <c r="A4985" s="43" t="s">
        <v>10994</v>
      </c>
      <c r="B4985" s="21" t="s">
        <v>10995</v>
      </c>
      <c r="C4985" s="21" t="s">
        <v>22694</v>
      </c>
      <c r="D4985" s="22">
        <v>46032</v>
      </c>
      <c r="E4985" s="23" t="s">
        <v>22658</v>
      </c>
      <c r="F4985" s="24" t="s">
        <v>22657</v>
      </c>
      <c r="G4985" s="25">
        <v>4</v>
      </c>
      <c r="H4985" s="29"/>
      <c r="I4985" s="30"/>
    </row>
    <row r="4986" spans="1:9" ht="15.75" thickBot="1" x14ac:dyDescent="0.3">
      <c r="A4986" s="43" t="s">
        <v>10996</v>
      </c>
      <c r="B4986" s="21" t="s">
        <v>10997</v>
      </c>
      <c r="C4986" s="21" t="s">
        <v>22694</v>
      </c>
      <c r="D4986" s="22">
        <v>46032</v>
      </c>
      <c r="E4986" s="23" t="s">
        <v>22658</v>
      </c>
      <c r="F4986" s="24" t="s">
        <v>22657</v>
      </c>
      <c r="G4986" s="25">
        <v>4</v>
      </c>
      <c r="H4986" s="26"/>
      <c r="I4986" s="27"/>
    </row>
    <row r="4987" spans="1:9" ht="15.75" thickBot="1" x14ac:dyDescent="0.3">
      <c r="A4987" s="43" t="s">
        <v>10998</v>
      </c>
      <c r="B4987" s="21" t="s">
        <v>10999</v>
      </c>
      <c r="C4987" s="21" t="s">
        <v>22682</v>
      </c>
      <c r="D4987" s="22">
        <v>46034</v>
      </c>
      <c r="E4987" s="23" t="s">
        <v>22658</v>
      </c>
      <c r="F4987" s="24" t="s">
        <v>22657</v>
      </c>
      <c r="G4987" s="25">
        <v>4</v>
      </c>
      <c r="H4987" s="29"/>
      <c r="I4987" s="30"/>
    </row>
    <row r="4988" spans="1:9" ht="15.75" thickBot="1" x14ac:dyDescent="0.3">
      <c r="A4988" s="43" t="s">
        <v>11000</v>
      </c>
      <c r="B4988" s="21" t="s">
        <v>11001</v>
      </c>
      <c r="C4988" s="21" t="s">
        <v>22694</v>
      </c>
      <c r="D4988" s="22">
        <v>46032</v>
      </c>
      <c r="E4988" s="23" t="s">
        <v>22658</v>
      </c>
      <c r="F4988" s="24" t="s">
        <v>22657</v>
      </c>
      <c r="G4988" s="25">
        <v>4</v>
      </c>
      <c r="H4988" s="26"/>
      <c r="I4988" s="27"/>
    </row>
    <row r="4989" spans="1:9" ht="15.75" thickBot="1" x14ac:dyDescent="0.3">
      <c r="A4989" s="43" t="s">
        <v>11002</v>
      </c>
      <c r="B4989" s="21" t="s">
        <v>11003</v>
      </c>
      <c r="C4989" s="21" t="s">
        <v>22682</v>
      </c>
      <c r="D4989" s="22">
        <v>46034</v>
      </c>
      <c r="E4989" s="23" t="s">
        <v>22656</v>
      </c>
      <c r="F4989" s="24" t="s">
        <v>22657</v>
      </c>
      <c r="G4989" s="25">
        <v>4</v>
      </c>
      <c r="H4989" s="29"/>
      <c r="I4989" s="30"/>
    </row>
    <row r="4990" spans="1:9" ht="15.75" thickBot="1" x14ac:dyDescent="0.3">
      <c r="A4990" s="43" t="s">
        <v>11004</v>
      </c>
      <c r="B4990" s="21" t="s">
        <v>11005</v>
      </c>
      <c r="C4990" s="21" t="s">
        <v>22694</v>
      </c>
      <c r="D4990" s="22">
        <v>46032</v>
      </c>
      <c r="E4990" s="23" t="s">
        <v>22656</v>
      </c>
      <c r="F4990" s="24" t="s">
        <v>22657</v>
      </c>
      <c r="G4990" s="25">
        <v>4</v>
      </c>
      <c r="H4990" s="26"/>
      <c r="I4990" s="27"/>
    </row>
    <row r="4991" spans="1:9" ht="15.75" thickBot="1" x14ac:dyDescent="0.3">
      <c r="A4991" s="43" t="s">
        <v>11006</v>
      </c>
      <c r="B4991" s="21" t="s">
        <v>11007</v>
      </c>
      <c r="C4991" s="21" t="s">
        <v>22682</v>
      </c>
      <c r="D4991" s="22">
        <v>46034</v>
      </c>
      <c r="E4991" s="23" t="s">
        <v>22658</v>
      </c>
      <c r="F4991" s="24" t="s">
        <v>22657</v>
      </c>
      <c r="G4991" s="25">
        <v>4</v>
      </c>
      <c r="H4991" s="29"/>
      <c r="I4991" s="30"/>
    </row>
    <row r="4992" spans="1:9" ht="15.75" thickBot="1" x14ac:dyDescent="0.3">
      <c r="A4992" s="43" t="s">
        <v>11008</v>
      </c>
      <c r="B4992" s="21" t="s">
        <v>11009</v>
      </c>
      <c r="C4992" s="21" t="s">
        <v>22682</v>
      </c>
      <c r="D4992" s="22">
        <v>46034</v>
      </c>
      <c r="E4992" s="23" t="s">
        <v>22658</v>
      </c>
      <c r="F4992" s="24" t="s">
        <v>22657</v>
      </c>
      <c r="G4992" s="25">
        <v>4</v>
      </c>
      <c r="H4992" s="26"/>
      <c r="I4992" s="27"/>
    </row>
    <row r="4993" spans="1:9" ht="15.75" thickBot="1" x14ac:dyDescent="0.3">
      <c r="A4993" s="43" t="s">
        <v>11010</v>
      </c>
      <c r="B4993" s="21" t="s">
        <v>11011</v>
      </c>
      <c r="C4993" s="21" t="s">
        <v>22694</v>
      </c>
      <c r="D4993" s="22">
        <v>46032</v>
      </c>
      <c r="E4993" s="23" t="s">
        <v>22658</v>
      </c>
      <c r="F4993" s="24" t="s">
        <v>22657</v>
      </c>
      <c r="G4993" s="25">
        <v>4</v>
      </c>
      <c r="H4993" s="29"/>
      <c r="I4993" s="30"/>
    </row>
    <row r="4994" spans="1:9" ht="15.75" thickBot="1" x14ac:dyDescent="0.3">
      <c r="A4994" s="43" t="s">
        <v>11012</v>
      </c>
      <c r="B4994" s="21" t="s">
        <v>11013</v>
      </c>
      <c r="C4994" s="21" t="s">
        <v>22682</v>
      </c>
      <c r="D4994" s="22">
        <v>46034</v>
      </c>
      <c r="E4994" s="23" t="s">
        <v>22656</v>
      </c>
      <c r="F4994" s="24" t="s">
        <v>22657</v>
      </c>
      <c r="G4994" s="25">
        <v>4</v>
      </c>
      <c r="H4994" s="26"/>
      <c r="I4994" s="27"/>
    </row>
    <row r="4995" spans="1:9" ht="15.75" thickBot="1" x14ac:dyDescent="0.3">
      <c r="A4995" s="43" t="s">
        <v>11014</v>
      </c>
      <c r="B4995" s="21" t="s">
        <v>11015</v>
      </c>
      <c r="C4995" s="21" t="s">
        <v>22694</v>
      </c>
      <c r="D4995" s="22">
        <v>46032</v>
      </c>
      <c r="E4995" s="23" t="s">
        <v>22658</v>
      </c>
      <c r="F4995" s="24" t="s">
        <v>22657</v>
      </c>
      <c r="G4995" s="25">
        <v>4</v>
      </c>
      <c r="H4995" s="29"/>
      <c r="I4995" s="30"/>
    </row>
    <row r="4996" spans="1:9" ht="15.75" thickBot="1" x14ac:dyDescent="0.3">
      <c r="A4996" s="43" t="s">
        <v>11016</v>
      </c>
      <c r="B4996" s="21" t="s">
        <v>11017</v>
      </c>
      <c r="C4996" s="21" t="s">
        <v>22667</v>
      </c>
      <c r="D4996" s="31" t="s">
        <v>22728</v>
      </c>
      <c r="E4996" s="23" t="s">
        <v>22656</v>
      </c>
      <c r="F4996" s="24" t="s">
        <v>22657</v>
      </c>
      <c r="G4996" s="25">
        <v>2</v>
      </c>
      <c r="H4996" s="26"/>
      <c r="I4996" s="27"/>
    </row>
    <row r="4997" spans="1:9" ht="15.75" thickBot="1" x14ac:dyDescent="0.3">
      <c r="A4997" s="43" t="s">
        <v>11018</v>
      </c>
      <c r="B4997" s="21" t="s">
        <v>11019</v>
      </c>
      <c r="C4997" s="21" t="s">
        <v>22667</v>
      </c>
      <c r="D4997" s="31" t="s">
        <v>22728</v>
      </c>
      <c r="E4997" s="23" t="s">
        <v>22656</v>
      </c>
      <c r="F4997" s="24" t="s">
        <v>22657</v>
      </c>
      <c r="G4997" s="25">
        <v>2</v>
      </c>
      <c r="H4997" s="29"/>
      <c r="I4997" s="30"/>
    </row>
    <row r="4998" spans="1:9" ht="15.75" thickBot="1" x14ac:dyDescent="0.3">
      <c r="A4998" s="43" t="s">
        <v>11020</v>
      </c>
      <c r="B4998" s="21" t="s">
        <v>11021</v>
      </c>
      <c r="C4998" s="21" t="s">
        <v>22667</v>
      </c>
      <c r="D4998" s="31" t="s">
        <v>22728</v>
      </c>
      <c r="E4998" s="23" t="s">
        <v>22656</v>
      </c>
      <c r="F4998" s="24" t="s">
        <v>22657</v>
      </c>
      <c r="G4998" s="25">
        <v>2</v>
      </c>
      <c r="H4998" s="26"/>
      <c r="I4998" s="27"/>
    </row>
    <row r="4999" spans="1:9" ht="15.75" thickBot="1" x14ac:dyDescent="0.3">
      <c r="A4999" s="43" t="s">
        <v>11022</v>
      </c>
      <c r="B4999" s="21" t="s">
        <v>11023</v>
      </c>
      <c r="C4999" s="21" t="s">
        <v>22667</v>
      </c>
      <c r="D4999" s="31" t="s">
        <v>22728</v>
      </c>
      <c r="E4999" s="23" t="s">
        <v>22656</v>
      </c>
      <c r="F4999" s="24" t="s">
        <v>22657</v>
      </c>
      <c r="G4999" s="25">
        <v>2</v>
      </c>
      <c r="H4999" s="29"/>
      <c r="I4999" s="30"/>
    </row>
    <row r="5000" spans="1:9" ht="15.75" thickBot="1" x14ac:dyDescent="0.3">
      <c r="A5000" s="43" t="s">
        <v>11024</v>
      </c>
      <c r="B5000" s="21" t="s">
        <v>11025</v>
      </c>
      <c r="C5000" s="21" t="s">
        <v>22667</v>
      </c>
      <c r="D5000" s="31" t="s">
        <v>22728</v>
      </c>
      <c r="E5000" s="23" t="s">
        <v>22656</v>
      </c>
      <c r="F5000" s="24" t="s">
        <v>22657</v>
      </c>
      <c r="G5000" s="25">
        <v>2</v>
      </c>
      <c r="H5000" s="26"/>
      <c r="I5000" s="27"/>
    </row>
    <row r="5001" spans="1:9" ht="15.75" thickBot="1" x14ac:dyDescent="0.3">
      <c r="A5001" s="43" t="s">
        <v>11026</v>
      </c>
      <c r="B5001" s="21" t="s">
        <v>11027</v>
      </c>
      <c r="C5001" s="21" t="s">
        <v>22667</v>
      </c>
      <c r="D5001" s="31" t="s">
        <v>22728</v>
      </c>
      <c r="E5001" s="23" t="s">
        <v>22656</v>
      </c>
      <c r="F5001" s="24" t="s">
        <v>22657</v>
      </c>
      <c r="G5001" s="25">
        <v>2</v>
      </c>
      <c r="H5001" s="29"/>
      <c r="I5001" s="30"/>
    </row>
    <row r="5002" spans="1:9" ht="15.75" thickBot="1" x14ac:dyDescent="0.3">
      <c r="A5002" s="43" t="s">
        <v>11028</v>
      </c>
      <c r="B5002" s="21" t="s">
        <v>11029</v>
      </c>
      <c r="C5002" s="21" t="s">
        <v>22667</v>
      </c>
      <c r="D5002" s="31" t="s">
        <v>22728</v>
      </c>
      <c r="E5002" s="23" t="s">
        <v>22656</v>
      </c>
      <c r="F5002" s="24" t="s">
        <v>22657</v>
      </c>
      <c r="G5002" s="25">
        <v>2</v>
      </c>
      <c r="H5002" s="26"/>
      <c r="I5002" s="27"/>
    </row>
    <row r="5003" spans="1:9" ht="15.75" thickBot="1" x14ac:dyDescent="0.3">
      <c r="A5003" s="43" t="s">
        <v>11030</v>
      </c>
      <c r="B5003" s="21" t="s">
        <v>11031</v>
      </c>
      <c r="C5003" s="21" t="s">
        <v>22667</v>
      </c>
      <c r="D5003" s="31" t="s">
        <v>22728</v>
      </c>
      <c r="E5003" s="23" t="s">
        <v>22656</v>
      </c>
      <c r="F5003" s="24" t="s">
        <v>22657</v>
      </c>
      <c r="G5003" s="25">
        <v>2</v>
      </c>
      <c r="H5003" s="29"/>
      <c r="I5003" s="30"/>
    </row>
    <row r="5004" spans="1:9" ht="15.75" thickBot="1" x14ac:dyDescent="0.3">
      <c r="A5004" s="43" t="s">
        <v>11032</v>
      </c>
      <c r="B5004" s="21" t="s">
        <v>11033</v>
      </c>
      <c r="C5004" s="21" t="s">
        <v>22655</v>
      </c>
      <c r="D5004" s="22">
        <v>46034</v>
      </c>
      <c r="E5004" s="23" t="s">
        <v>22658</v>
      </c>
      <c r="F5004" s="24" t="s">
        <v>22657</v>
      </c>
      <c r="G5004" s="25">
        <v>1</v>
      </c>
      <c r="H5004" s="26"/>
      <c r="I5004" s="27"/>
    </row>
    <row r="5005" spans="1:9" ht="15.75" thickBot="1" x14ac:dyDescent="0.3">
      <c r="A5005" s="43" t="s">
        <v>11034</v>
      </c>
      <c r="B5005" s="21" t="s">
        <v>11035</v>
      </c>
      <c r="C5005" s="21" t="s">
        <v>22655</v>
      </c>
      <c r="D5005" s="22">
        <v>46034</v>
      </c>
      <c r="E5005" s="23" t="s">
        <v>22658</v>
      </c>
      <c r="F5005" s="24" t="s">
        <v>22657</v>
      </c>
      <c r="G5005" s="25">
        <v>1</v>
      </c>
      <c r="H5005" s="29"/>
      <c r="I5005" s="30"/>
    </row>
    <row r="5006" spans="1:9" ht="15.75" thickBot="1" x14ac:dyDescent="0.3">
      <c r="A5006" s="43" t="s">
        <v>11036</v>
      </c>
      <c r="B5006" s="21" t="s">
        <v>11037</v>
      </c>
      <c r="C5006" s="21" t="s">
        <v>22655</v>
      </c>
      <c r="D5006" s="22">
        <v>46034</v>
      </c>
      <c r="E5006" s="23" t="s">
        <v>22658</v>
      </c>
      <c r="F5006" s="24" t="s">
        <v>22657</v>
      </c>
      <c r="G5006" s="25">
        <v>1</v>
      </c>
      <c r="H5006" s="26"/>
      <c r="I5006" s="27"/>
    </row>
    <row r="5007" spans="1:9" ht="15.75" thickBot="1" x14ac:dyDescent="0.3">
      <c r="A5007" s="43" t="s">
        <v>11038</v>
      </c>
      <c r="B5007" s="21" t="s">
        <v>11039</v>
      </c>
      <c r="C5007" s="21" t="s">
        <v>22655</v>
      </c>
      <c r="D5007" s="22">
        <v>46034</v>
      </c>
      <c r="E5007" s="23" t="s">
        <v>22656</v>
      </c>
      <c r="F5007" s="24" t="s">
        <v>22657</v>
      </c>
      <c r="G5007" s="25">
        <v>2</v>
      </c>
      <c r="H5007" s="29"/>
      <c r="I5007" s="30"/>
    </row>
    <row r="5008" spans="1:9" ht="15.75" thickBot="1" x14ac:dyDescent="0.3">
      <c r="A5008" s="43" t="s">
        <v>11040</v>
      </c>
      <c r="B5008" s="21" t="s">
        <v>11041</v>
      </c>
      <c r="C5008" s="21" t="s">
        <v>22655</v>
      </c>
      <c r="D5008" s="22">
        <v>46034</v>
      </c>
      <c r="E5008" s="23" t="s">
        <v>22656</v>
      </c>
      <c r="F5008" s="24" t="s">
        <v>22657</v>
      </c>
      <c r="G5008" s="25">
        <v>2</v>
      </c>
      <c r="H5008" s="26"/>
      <c r="I5008" s="27"/>
    </row>
    <row r="5009" spans="1:9" ht="15.75" thickBot="1" x14ac:dyDescent="0.3">
      <c r="A5009" s="43" t="s">
        <v>11042</v>
      </c>
      <c r="B5009" s="21" t="s">
        <v>11043</v>
      </c>
      <c r="C5009" s="21" t="s">
        <v>22655</v>
      </c>
      <c r="D5009" s="22">
        <v>46034</v>
      </c>
      <c r="E5009" s="23" t="s">
        <v>22658</v>
      </c>
      <c r="F5009" s="24" t="s">
        <v>22657</v>
      </c>
      <c r="G5009" s="25">
        <v>1</v>
      </c>
      <c r="H5009" s="29"/>
      <c r="I5009" s="30"/>
    </row>
    <row r="5010" spans="1:9" ht="15.75" thickBot="1" x14ac:dyDescent="0.3">
      <c r="A5010" s="43" t="s">
        <v>11044</v>
      </c>
      <c r="B5010" s="21" t="s">
        <v>11045</v>
      </c>
      <c r="C5010" s="21" t="s">
        <v>22667</v>
      </c>
      <c r="D5010" s="31" t="s">
        <v>22728</v>
      </c>
      <c r="E5010" s="23" t="s">
        <v>22656</v>
      </c>
      <c r="F5010" s="24" t="s">
        <v>22657</v>
      </c>
      <c r="G5010" s="25">
        <v>2</v>
      </c>
      <c r="H5010" s="26"/>
      <c r="I5010" s="27"/>
    </row>
    <row r="5011" spans="1:9" ht="15.75" thickBot="1" x14ac:dyDescent="0.3">
      <c r="A5011" s="43" t="s">
        <v>11046</v>
      </c>
      <c r="B5011" s="21" t="s">
        <v>11047</v>
      </c>
      <c r="C5011" s="21" t="s">
        <v>22667</v>
      </c>
      <c r="D5011" s="31" t="s">
        <v>22728</v>
      </c>
      <c r="E5011" s="23" t="s">
        <v>22656</v>
      </c>
      <c r="F5011" s="24" t="s">
        <v>22657</v>
      </c>
      <c r="G5011" s="25">
        <v>2</v>
      </c>
      <c r="H5011" s="29"/>
      <c r="I5011" s="30"/>
    </row>
    <row r="5012" spans="1:9" ht="15.75" thickBot="1" x14ac:dyDescent="0.3">
      <c r="A5012" s="43" t="s">
        <v>11048</v>
      </c>
      <c r="B5012" s="21" t="s">
        <v>11049</v>
      </c>
      <c r="C5012" s="21" t="s">
        <v>22667</v>
      </c>
      <c r="D5012" s="31" t="s">
        <v>22728</v>
      </c>
      <c r="E5012" s="23" t="s">
        <v>22656</v>
      </c>
      <c r="F5012" s="24" t="s">
        <v>22657</v>
      </c>
      <c r="G5012" s="25">
        <v>2</v>
      </c>
      <c r="H5012" s="26"/>
      <c r="I5012" s="27"/>
    </row>
    <row r="5013" spans="1:9" ht="15.75" thickBot="1" x14ac:dyDescent="0.3">
      <c r="A5013" s="43" t="s">
        <v>11050</v>
      </c>
      <c r="B5013" s="21" t="s">
        <v>11051</v>
      </c>
      <c r="C5013" s="21" t="s">
        <v>22667</v>
      </c>
      <c r="D5013" s="31" t="s">
        <v>22728</v>
      </c>
      <c r="E5013" s="23" t="s">
        <v>22658</v>
      </c>
      <c r="F5013" s="24" t="s">
        <v>22657</v>
      </c>
      <c r="G5013" s="25">
        <v>2</v>
      </c>
      <c r="H5013" s="29"/>
      <c r="I5013" s="30"/>
    </row>
    <row r="5014" spans="1:9" ht="15.75" thickBot="1" x14ac:dyDescent="0.3">
      <c r="A5014" s="43" t="s">
        <v>11052</v>
      </c>
      <c r="B5014" s="21" t="s">
        <v>11053</v>
      </c>
      <c r="C5014" s="21" t="s">
        <v>22667</v>
      </c>
      <c r="D5014" s="31" t="s">
        <v>22728</v>
      </c>
      <c r="E5014" s="23" t="s">
        <v>22656</v>
      </c>
      <c r="F5014" s="24" t="s">
        <v>22657</v>
      </c>
      <c r="G5014" s="25">
        <v>2</v>
      </c>
      <c r="H5014" s="26"/>
      <c r="I5014" s="27"/>
    </row>
    <row r="5015" spans="1:9" ht="15.75" thickBot="1" x14ac:dyDescent="0.3">
      <c r="A5015" s="43" t="s">
        <v>11054</v>
      </c>
      <c r="B5015" s="21" t="s">
        <v>11055</v>
      </c>
      <c r="C5015" s="21" t="s">
        <v>22667</v>
      </c>
      <c r="D5015" s="31" t="s">
        <v>22728</v>
      </c>
      <c r="E5015" s="23" t="s">
        <v>22656</v>
      </c>
      <c r="F5015" s="24" t="s">
        <v>22657</v>
      </c>
      <c r="G5015" s="25">
        <v>2</v>
      </c>
      <c r="H5015" s="29"/>
      <c r="I5015" s="30"/>
    </row>
    <row r="5016" spans="1:9" ht="15.75" thickBot="1" x14ac:dyDescent="0.3">
      <c r="A5016" s="43" t="s">
        <v>11056</v>
      </c>
      <c r="B5016" s="21" t="s">
        <v>11057</v>
      </c>
      <c r="C5016" s="21" t="s">
        <v>22667</v>
      </c>
      <c r="D5016" s="31" t="s">
        <v>22728</v>
      </c>
      <c r="E5016" s="23" t="s">
        <v>22658</v>
      </c>
      <c r="F5016" s="24" t="s">
        <v>22657</v>
      </c>
      <c r="G5016" s="25">
        <v>2</v>
      </c>
      <c r="H5016" s="26"/>
      <c r="I5016" s="27"/>
    </row>
    <row r="5017" spans="1:9" ht="15.75" thickBot="1" x14ac:dyDescent="0.3">
      <c r="A5017" s="43" t="s">
        <v>11058</v>
      </c>
      <c r="B5017" s="21" t="s">
        <v>11059</v>
      </c>
      <c r="C5017" s="21" t="s">
        <v>22667</v>
      </c>
      <c r="D5017" s="31" t="s">
        <v>22728</v>
      </c>
      <c r="E5017" s="23" t="s">
        <v>22658</v>
      </c>
      <c r="F5017" s="24" t="s">
        <v>22657</v>
      </c>
      <c r="G5017" s="25">
        <v>2</v>
      </c>
      <c r="H5017" s="29"/>
      <c r="I5017" s="30"/>
    </row>
    <row r="5018" spans="1:9" ht="15.75" thickBot="1" x14ac:dyDescent="0.3">
      <c r="A5018" s="43" t="s">
        <v>11060</v>
      </c>
      <c r="B5018" s="21" t="s">
        <v>11061</v>
      </c>
      <c r="C5018" s="21" t="s">
        <v>22667</v>
      </c>
      <c r="D5018" s="31" t="s">
        <v>22728</v>
      </c>
      <c r="E5018" s="23" t="s">
        <v>22656</v>
      </c>
      <c r="F5018" s="24" t="s">
        <v>22657</v>
      </c>
      <c r="G5018" s="25">
        <v>2</v>
      </c>
      <c r="H5018" s="26"/>
      <c r="I5018" s="27"/>
    </row>
    <row r="5019" spans="1:9" ht="15.75" thickBot="1" x14ac:dyDescent="0.3">
      <c r="A5019" s="43" t="s">
        <v>11062</v>
      </c>
      <c r="B5019" s="21" t="s">
        <v>11063</v>
      </c>
      <c r="C5019" s="21" t="s">
        <v>22667</v>
      </c>
      <c r="D5019" s="31" t="s">
        <v>22728</v>
      </c>
      <c r="E5019" s="23" t="s">
        <v>22656</v>
      </c>
      <c r="F5019" s="24" t="s">
        <v>22657</v>
      </c>
      <c r="G5019" s="25">
        <v>2</v>
      </c>
      <c r="H5019" s="29"/>
      <c r="I5019" s="30"/>
    </row>
    <row r="5020" spans="1:9" ht="15.75" thickBot="1" x14ac:dyDescent="0.3">
      <c r="A5020" s="43" t="s">
        <v>11064</v>
      </c>
      <c r="B5020" s="21" t="s">
        <v>11065</v>
      </c>
      <c r="C5020" s="21" t="s">
        <v>22667</v>
      </c>
      <c r="D5020" s="31" t="s">
        <v>22728</v>
      </c>
      <c r="E5020" s="23" t="s">
        <v>22658</v>
      </c>
      <c r="F5020" s="24" t="s">
        <v>22657</v>
      </c>
      <c r="G5020" s="25">
        <v>2</v>
      </c>
      <c r="H5020" s="26"/>
      <c r="I5020" s="27"/>
    </row>
    <row r="5021" spans="1:9" ht="15.75" thickBot="1" x14ac:dyDescent="0.3">
      <c r="A5021" s="43" t="s">
        <v>11066</v>
      </c>
      <c r="B5021" s="21" t="s">
        <v>11067</v>
      </c>
      <c r="C5021" s="21" t="s">
        <v>22667</v>
      </c>
      <c r="D5021" s="31" t="s">
        <v>22728</v>
      </c>
      <c r="E5021" s="23" t="s">
        <v>22656</v>
      </c>
      <c r="F5021" s="24" t="s">
        <v>22657</v>
      </c>
      <c r="G5021" s="25">
        <v>2</v>
      </c>
      <c r="H5021" s="29"/>
      <c r="I5021" s="30"/>
    </row>
    <row r="5022" spans="1:9" ht="15.75" thickBot="1" x14ac:dyDescent="0.3">
      <c r="A5022" s="43" t="s">
        <v>11068</v>
      </c>
      <c r="B5022" s="21" t="s">
        <v>11069</v>
      </c>
      <c r="C5022" s="21" t="s">
        <v>22655</v>
      </c>
      <c r="D5022" s="22">
        <v>46028</v>
      </c>
      <c r="E5022" s="23" t="s">
        <v>22656</v>
      </c>
      <c r="F5022" s="24" t="s">
        <v>22657</v>
      </c>
      <c r="G5022" s="25">
        <v>2</v>
      </c>
      <c r="H5022" s="26"/>
      <c r="I5022" s="27"/>
    </row>
    <row r="5023" spans="1:9" ht="15.75" thickBot="1" x14ac:dyDescent="0.3">
      <c r="A5023" s="43" t="s">
        <v>11070</v>
      </c>
      <c r="B5023" s="21" t="s">
        <v>11071</v>
      </c>
      <c r="C5023" s="21" t="s">
        <v>22655</v>
      </c>
      <c r="D5023" s="22">
        <v>46028</v>
      </c>
      <c r="E5023" s="23" t="s">
        <v>22658</v>
      </c>
      <c r="F5023" s="24" t="s">
        <v>22657</v>
      </c>
      <c r="G5023" s="25">
        <v>1</v>
      </c>
      <c r="H5023" s="29"/>
      <c r="I5023" s="30"/>
    </row>
    <row r="5024" spans="1:9" ht="15.75" thickBot="1" x14ac:dyDescent="0.3">
      <c r="A5024" s="43" t="s">
        <v>11072</v>
      </c>
      <c r="B5024" s="21" t="s">
        <v>11073</v>
      </c>
      <c r="C5024" s="21" t="s">
        <v>22655</v>
      </c>
      <c r="D5024" s="22">
        <v>46028</v>
      </c>
      <c r="E5024" s="23" t="s">
        <v>22656</v>
      </c>
      <c r="F5024" s="24" t="s">
        <v>22657</v>
      </c>
      <c r="G5024" s="25">
        <v>2</v>
      </c>
      <c r="H5024" s="26"/>
      <c r="I5024" s="27"/>
    </row>
    <row r="5025" spans="1:9" ht="15.75" thickBot="1" x14ac:dyDescent="0.3">
      <c r="A5025" s="43" t="s">
        <v>11074</v>
      </c>
      <c r="B5025" s="21" t="s">
        <v>11075</v>
      </c>
      <c r="C5025" s="21" t="s">
        <v>22655</v>
      </c>
      <c r="D5025" s="22">
        <v>46028</v>
      </c>
      <c r="E5025" s="23" t="s">
        <v>22656</v>
      </c>
      <c r="F5025" s="24" t="s">
        <v>22657</v>
      </c>
      <c r="G5025" s="25">
        <v>2</v>
      </c>
      <c r="H5025" s="29"/>
      <c r="I5025" s="30"/>
    </row>
    <row r="5026" spans="1:9" ht="15.75" thickBot="1" x14ac:dyDescent="0.3">
      <c r="A5026" s="43" t="s">
        <v>11076</v>
      </c>
      <c r="B5026" s="21" t="s">
        <v>11077</v>
      </c>
      <c r="C5026" s="21" t="s">
        <v>22655</v>
      </c>
      <c r="D5026" s="22">
        <v>46028</v>
      </c>
      <c r="E5026" s="23" t="s">
        <v>22656</v>
      </c>
      <c r="F5026" s="24" t="s">
        <v>22657</v>
      </c>
      <c r="G5026" s="25">
        <v>2</v>
      </c>
      <c r="H5026" s="26"/>
      <c r="I5026" s="27"/>
    </row>
    <row r="5027" spans="1:9" ht="15.75" thickBot="1" x14ac:dyDescent="0.3">
      <c r="A5027" s="43" t="s">
        <v>11078</v>
      </c>
      <c r="B5027" s="21" t="s">
        <v>11079</v>
      </c>
      <c r="C5027" s="21" t="s">
        <v>22655</v>
      </c>
      <c r="D5027" s="22">
        <v>46028</v>
      </c>
      <c r="E5027" s="23" t="s">
        <v>22656</v>
      </c>
      <c r="F5027" s="24" t="s">
        <v>22657</v>
      </c>
      <c r="G5027" s="25">
        <v>2</v>
      </c>
      <c r="H5027" s="29"/>
      <c r="I5027" s="30"/>
    </row>
    <row r="5028" spans="1:9" ht="15.75" thickBot="1" x14ac:dyDescent="0.3">
      <c r="A5028" s="43" t="s">
        <v>11080</v>
      </c>
      <c r="B5028" s="21" t="s">
        <v>11081</v>
      </c>
      <c r="C5028" s="21" t="s">
        <v>22655</v>
      </c>
      <c r="D5028" s="22">
        <v>46028</v>
      </c>
      <c r="E5028" s="23" t="s">
        <v>22658</v>
      </c>
      <c r="F5028" s="24" t="s">
        <v>22657</v>
      </c>
      <c r="G5028" s="25">
        <v>1</v>
      </c>
      <c r="H5028" s="26"/>
      <c r="I5028" s="27"/>
    </row>
    <row r="5029" spans="1:9" ht="15.75" thickBot="1" x14ac:dyDescent="0.3">
      <c r="A5029" s="43" t="s">
        <v>11082</v>
      </c>
      <c r="B5029" s="21" t="s">
        <v>11083</v>
      </c>
      <c r="C5029" s="21" t="s">
        <v>22655</v>
      </c>
      <c r="D5029" s="22">
        <v>46028</v>
      </c>
      <c r="E5029" s="23" t="s">
        <v>22656</v>
      </c>
      <c r="F5029" s="24" t="s">
        <v>22657</v>
      </c>
      <c r="G5029" s="25">
        <v>2</v>
      </c>
      <c r="H5029" s="29"/>
      <c r="I5029" s="30"/>
    </row>
    <row r="5030" spans="1:9" ht="15.75" thickBot="1" x14ac:dyDescent="0.3">
      <c r="A5030" s="43" t="s">
        <v>11084</v>
      </c>
      <c r="B5030" s="21" t="s">
        <v>11085</v>
      </c>
      <c r="C5030" s="21" t="s">
        <v>22655</v>
      </c>
      <c r="D5030" s="22">
        <v>46028</v>
      </c>
      <c r="E5030" s="23" t="s">
        <v>22656</v>
      </c>
      <c r="F5030" s="24" t="s">
        <v>22657</v>
      </c>
      <c r="G5030" s="25">
        <v>2</v>
      </c>
      <c r="H5030" s="26"/>
      <c r="I5030" s="27"/>
    </row>
    <row r="5031" spans="1:9" ht="15.75" thickBot="1" x14ac:dyDescent="0.3">
      <c r="A5031" s="43" t="s">
        <v>11086</v>
      </c>
      <c r="B5031" s="21" t="s">
        <v>11087</v>
      </c>
      <c r="C5031" s="21" t="s">
        <v>22655</v>
      </c>
      <c r="D5031" s="22">
        <v>46034</v>
      </c>
      <c r="E5031" s="23" t="s">
        <v>22656</v>
      </c>
      <c r="F5031" s="24" t="s">
        <v>22657</v>
      </c>
      <c r="G5031" s="25">
        <v>4</v>
      </c>
      <c r="H5031" s="29"/>
      <c r="I5031" s="30"/>
    </row>
    <row r="5032" spans="1:9" ht="15.75" thickBot="1" x14ac:dyDescent="0.3">
      <c r="A5032" s="43" t="s">
        <v>11088</v>
      </c>
      <c r="B5032" s="21" t="s">
        <v>11089</v>
      </c>
      <c r="C5032" s="21" t="s">
        <v>22655</v>
      </c>
      <c r="D5032" s="22">
        <v>46034</v>
      </c>
      <c r="E5032" s="23" t="s">
        <v>22656</v>
      </c>
      <c r="F5032" s="24" t="s">
        <v>22657</v>
      </c>
      <c r="G5032" s="25">
        <v>4</v>
      </c>
      <c r="H5032" s="26"/>
      <c r="I5032" s="27"/>
    </row>
    <row r="5033" spans="1:9" ht="15.75" thickBot="1" x14ac:dyDescent="0.3">
      <c r="A5033" s="43" t="s">
        <v>11090</v>
      </c>
      <c r="B5033" s="21" t="s">
        <v>11091</v>
      </c>
      <c r="C5033" s="21" t="s">
        <v>22655</v>
      </c>
      <c r="D5033" s="22">
        <v>46034</v>
      </c>
      <c r="E5033" s="23" t="s">
        <v>22658</v>
      </c>
      <c r="F5033" s="24" t="s">
        <v>22657</v>
      </c>
      <c r="G5033" s="25">
        <v>4</v>
      </c>
      <c r="H5033" s="29"/>
      <c r="I5033" s="30"/>
    </row>
    <row r="5034" spans="1:9" ht="15.75" thickBot="1" x14ac:dyDescent="0.3">
      <c r="A5034" s="43" t="s">
        <v>11092</v>
      </c>
      <c r="B5034" s="21" t="s">
        <v>11093</v>
      </c>
      <c r="C5034" s="21" t="s">
        <v>22655</v>
      </c>
      <c r="D5034" s="22">
        <v>46028</v>
      </c>
      <c r="E5034" s="23" t="s">
        <v>22656</v>
      </c>
      <c r="F5034" s="24" t="s">
        <v>22657</v>
      </c>
      <c r="G5034" s="25">
        <v>2</v>
      </c>
      <c r="H5034" s="26"/>
      <c r="I5034" s="27"/>
    </row>
    <row r="5035" spans="1:9" ht="15.75" thickBot="1" x14ac:dyDescent="0.3">
      <c r="A5035" s="43" t="s">
        <v>11094</v>
      </c>
      <c r="B5035" s="21" t="s">
        <v>11095</v>
      </c>
      <c r="C5035" s="21" t="s">
        <v>22655</v>
      </c>
      <c r="D5035" s="22">
        <v>46034</v>
      </c>
      <c r="E5035" s="23" t="s">
        <v>22656</v>
      </c>
      <c r="F5035" s="24" t="s">
        <v>22657</v>
      </c>
      <c r="G5035" s="25">
        <v>4</v>
      </c>
      <c r="H5035" s="29"/>
      <c r="I5035" s="30"/>
    </row>
    <row r="5036" spans="1:9" ht="15.75" thickBot="1" x14ac:dyDescent="0.3">
      <c r="A5036" s="43" t="s">
        <v>11096</v>
      </c>
      <c r="B5036" s="21" t="s">
        <v>11097</v>
      </c>
      <c r="C5036" s="21" t="s">
        <v>22655</v>
      </c>
      <c r="D5036" s="22">
        <v>46028</v>
      </c>
      <c r="E5036" s="23" t="s">
        <v>22656</v>
      </c>
      <c r="F5036" s="24" t="s">
        <v>22657</v>
      </c>
      <c r="G5036" s="25">
        <v>2</v>
      </c>
      <c r="H5036" s="26"/>
      <c r="I5036" s="27"/>
    </row>
    <row r="5037" spans="1:9" ht="15.75" thickBot="1" x14ac:dyDescent="0.3">
      <c r="A5037" s="43" t="s">
        <v>11098</v>
      </c>
      <c r="B5037" s="21" t="s">
        <v>11099</v>
      </c>
      <c r="C5037" s="21" t="s">
        <v>22682</v>
      </c>
      <c r="D5037" s="22">
        <v>46034</v>
      </c>
      <c r="E5037" s="23" t="s">
        <v>22658</v>
      </c>
      <c r="F5037" s="24" t="s">
        <v>22657</v>
      </c>
      <c r="G5037" s="25">
        <v>4</v>
      </c>
      <c r="H5037" s="29"/>
      <c r="I5037" s="30"/>
    </row>
    <row r="5038" spans="1:9" ht="15.75" thickBot="1" x14ac:dyDescent="0.3">
      <c r="A5038" s="43" t="s">
        <v>11100</v>
      </c>
      <c r="B5038" s="21" t="s">
        <v>11101</v>
      </c>
      <c r="C5038" s="21" t="s">
        <v>22682</v>
      </c>
      <c r="D5038" s="22">
        <v>46034</v>
      </c>
      <c r="E5038" s="23" t="s">
        <v>22658</v>
      </c>
      <c r="F5038" s="24" t="s">
        <v>22657</v>
      </c>
      <c r="G5038" s="25">
        <v>4</v>
      </c>
      <c r="H5038" s="26"/>
      <c r="I5038" s="27"/>
    </row>
    <row r="5039" spans="1:9" ht="15.75" thickBot="1" x14ac:dyDescent="0.3">
      <c r="A5039" s="43" t="s">
        <v>11102</v>
      </c>
      <c r="B5039" s="21" t="s">
        <v>11103</v>
      </c>
      <c r="C5039" s="21" t="s">
        <v>22682</v>
      </c>
      <c r="D5039" s="22">
        <v>46034</v>
      </c>
      <c r="E5039" s="23" t="s">
        <v>22658</v>
      </c>
      <c r="F5039" s="24" t="s">
        <v>22657</v>
      </c>
      <c r="G5039" s="25">
        <v>4</v>
      </c>
      <c r="H5039" s="29"/>
      <c r="I5039" s="30"/>
    </row>
    <row r="5040" spans="1:9" ht="15.75" thickBot="1" x14ac:dyDescent="0.3">
      <c r="A5040" s="43" t="s">
        <v>11104</v>
      </c>
      <c r="B5040" s="21" t="s">
        <v>11105</v>
      </c>
      <c r="C5040" s="21" t="s">
        <v>22682</v>
      </c>
      <c r="D5040" s="22">
        <v>46034</v>
      </c>
      <c r="E5040" s="23" t="s">
        <v>22658</v>
      </c>
      <c r="F5040" s="24" t="s">
        <v>22657</v>
      </c>
      <c r="G5040" s="25">
        <v>4</v>
      </c>
      <c r="H5040" s="26"/>
      <c r="I5040" s="27"/>
    </row>
    <row r="5041" spans="1:9" ht="15.75" thickBot="1" x14ac:dyDescent="0.3">
      <c r="A5041" s="43" t="s">
        <v>11106</v>
      </c>
      <c r="B5041" s="21" t="s">
        <v>11107</v>
      </c>
      <c r="C5041" s="21" t="s">
        <v>22682</v>
      </c>
      <c r="D5041" s="22">
        <v>46034</v>
      </c>
      <c r="E5041" s="23" t="s">
        <v>22658</v>
      </c>
      <c r="F5041" s="24" t="s">
        <v>22657</v>
      </c>
      <c r="G5041" s="25">
        <v>4</v>
      </c>
      <c r="H5041" s="29"/>
      <c r="I5041" s="30"/>
    </row>
    <row r="5042" spans="1:9" ht="15.75" thickBot="1" x14ac:dyDescent="0.3">
      <c r="A5042" s="43" t="s">
        <v>11108</v>
      </c>
      <c r="B5042" s="21" t="s">
        <v>11109</v>
      </c>
      <c r="C5042" s="21" t="s">
        <v>22682</v>
      </c>
      <c r="D5042" s="22">
        <v>46034</v>
      </c>
      <c r="E5042" s="23" t="s">
        <v>22658</v>
      </c>
      <c r="F5042" s="24" t="s">
        <v>22657</v>
      </c>
      <c r="G5042" s="25">
        <v>4</v>
      </c>
      <c r="H5042" s="26"/>
      <c r="I5042" s="27"/>
    </row>
    <row r="5043" spans="1:9" ht="15.75" thickBot="1" x14ac:dyDescent="0.3">
      <c r="A5043" s="43" t="s">
        <v>11110</v>
      </c>
      <c r="B5043" s="21" t="s">
        <v>11111</v>
      </c>
      <c r="C5043" s="21" t="s">
        <v>22682</v>
      </c>
      <c r="D5043" s="22">
        <v>46034</v>
      </c>
      <c r="E5043" s="23" t="s">
        <v>22658</v>
      </c>
      <c r="F5043" s="24" t="s">
        <v>22657</v>
      </c>
      <c r="G5043" s="25">
        <v>4</v>
      </c>
      <c r="H5043" s="29"/>
      <c r="I5043" s="30"/>
    </row>
    <row r="5044" spans="1:9" ht="15.75" thickBot="1" x14ac:dyDescent="0.3">
      <c r="A5044" s="43" t="s">
        <v>11112</v>
      </c>
      <c r="B5044" s="21" t="s">
        <v>11113</v>
      </c>
      <c r="C5044" s="21" t="s">
        <v>22682</v>
      </c>
      <c r="D5044" s="22">
        <v>46034</v>
      </c>
      <c r="E5044" s="23" t="s">
        <v>22658</v>
      </c>
      <c r="F5044" s="24" t="s">
        <v>22657</v>
      </c>
      <c r="G5044" s="25">
        <v>4</v>
      </c>
      <c r="H5044" s="26"/>
      <c r="I5044" s="27"/>
    </row>
    <row r="5045" spans="1:9" ht="15.75" thickBot="1" x14ac:dyDescent="0.3">
      <c r="A5045" s="43" t="s">
        <v>11114</v>
      </c>
      <c r="B5045" s="21" t="s">
        <v>11115</v>
      </c>
      <c r="C5045" s="21" t="s">
        <v>22663</v>
      </c>
      <c r="D5045" s="31">
        <v>1</v>
      </c>
      <c r="E5045" s="23" t="s">
        <v>22658</v>
      </c>
      <c r="F5045" s="24" t="s">
        <v>22657</v>
      </c>
      <c r="G5045" s="25">
        <v>1</v>
      </c>
      <c r="H5045" s="29"/>
      <c r="I5045" s="30"/>
    </row>
    <row r="5046" spans="1:9" ht="15.75" thickBot="1" x14ac:dyDescent="0.3">
      <c r="A5046" s="43" t="s">
        <v>11116</v>
      </c>
      <c r="B5046" s="21" t="s">
        <v>11117</v>
      </c>
      <c r="C5046" s="21" t="s">
        <v>22655</v>
      </c>
      <c r="D5046" s="22">
        <v>46046</v>
      </c>
      <c r="E5046" s="23" t="s">
        <v>22658</v>
      </c>
      <c r="F5046" s="24" t="s">
        <v>22657</v>
      </c>
      <c r="G5046" s="25">
        <v>1</v>
      </c>
      <c r="H5046" s="26"/>
      <c r="I5046" s="27"/>
    </row>
    <row r="5047" spans="1:9" ht="15.75" thickBot="1" x14ac:dyDescent="0.3">
      <c r="A5047" s="43" t="s">
        <v>11118</v>
      </c>
      <c r="B5047" s="21" t="s">
        <v>11119</v>
      </c>
      <c r="C5047" s="21" t="s">
        <v>22682</v>
      </c>
      <c r="D5047" s="22">
        <v>46034</v>
      </c>
      <c r="E5047" s="23" t="s">
        <v>22658</v>
      </c>
      <c r="F5047" s="24" t="s">
        <v>22657</v>
      </c>
      <c r="G5047" s="25">
        <v>4</v>
      </c>
      <c r="H5047" s="29"/>
      <c r="I5047" s="30"/>
    </row>
    <row r="5048" spans="1:9" ht="15.75" thickBot="1" x14ac:dyDescent="0.3">
      <c r="A5048" s="43" t="s">
        <v>11120</v>
      </c>
      <c r="B5048" s="21" t="s">
        <v>11121</v>
      </c>
      <c r="C5048" s="21" t="s">
        <v>22682</v>
      </c>
      <c r="D5048" s="22">
        <v>46034</v>
      </c>
      <c r="E5048" s="23" t="s">
        <v>22658</v>
      </c>
      <c r="F5048" s="24" t="s">
        <v>22657</v>
      </c>
      <c r="G5048" s="25">
        <v>4</v>
      </c>
      <c r="H5048" s="26"/>
      <c r="I5048" s="27"/>
    </row>
    <row r="5049" spans="1:9" ht="15.75" thickBot="1" x14ac:dyDescent="0.3">
      <c r="A5049" s="43" t="s">
        <v>11122</v>
      </c>
      <c r="B5049" s="21" t="s">
        <v>11123</v>
      </c>
      <c r="C5049" s="21" t="s">
        <v>22682</v>
      </c>
      <c r="D5049" s="22">
        <v>46034</v>
      </c>
      <c r="E5049" s="23" t="s">
        <v>22658</v>
      </c>
      <c r="F5049" s="24" t="s">
        <v>22657</v>
      </c>
      <c r="G5049" s="25">
        <v>4</v>
      </c>
      <c r="H5049" s="29"/>
      <c r="I5049" s="30"/>
    </row>
    <row r="5050" spans="1:9" ht="15.75" thickBot="1" x14ac:dyDescent="0.3">
      <c r="A5050" s="43" t="s">
        <v>11124</v>
      </c>
      <c r="B5050" s="21" t="s">
        <v>11125</v>
      </c>
      <c r="C5050" s="21" t="s">
        <v>22682</v>
      </c>
      <c r="D5050" s="22">
        <v>46034</v>
      </c>
      <c r="E5050" s="23" t="s">
        <v>22658</v>
      </c>
      <c r="F5050" s="24" t="s">
        <v>22657</v>
      </c>
      <c r="G5050" s="25">
        <v>4</v>
      </c>
      <c r="H5050" s="26"/>
      <c r="I5050" s="27"/>
    </row>
    <row r="5051" spans="1:9" ht="15.75" thickBot="1" x14ac:dyDescent="0.3">
      <c r="A5051" s="43" t="s">
        <v>11126</v>
      </c>
      <c r="B5051" s="21" t="s">
        <v>11127</v>
      </c>
      <c r="C5051" s="21" t="s">
        <v>22655</v>
      </c>
      <c r="D5051" s="22">
        <v>46046</v>
      </c>
      <c r="E5051" s="23" t="s">
        <v>22656</v>
      </c>
      <c r="F5051" s="24" t="s">
        <v>22657</v>
      </c>
      <c r="G5051" s="25">
        <v>8</v>
      </c>
      <c r="H5051" s="29"/>
      <c r="I5051" s="30"/>
    </row>
    <row r="5052" spans="1:9" ht="15.75" thickBot="1" x14ac:dyDescent="0.3">
      <c r="A5052" s="43" t="s">
        <v>11128</v>
      </c>
      <c r="B5052" s="21" t="s">
        <v>11129</v>
      </c>
      <c r="C5052" s="21" t="s">
        <v>22655</v>
      </c>
      <c r="D5052" s="31" t="s">
        <v>22666</v>
      </c>
      <c r="E5052" s="23" t="s">
        <v>22656</v>
      </c>
      <c r="F5052" s="24" t="s">
        <v>22657</v>
      </c>
      <c r="G5052" s="25">
        <v>6</v>
      </c>
      <c r="H5052" s="26"/>
      <c r="I5052" s="27"/>
    </row>
    <row r="5053" spans="1:9" ht="15.75" thickBot="1" x14ac:dyDescent="0.3">
      <c r="A5053" s="43" t="s">
        <v>11130</v>
      </c>
      <c r="B5053" s="21" t="s">
        <v>11131</v>
      </c>
      <c r="C5053" s="21" t="s">
        <v>22655</v>
      </c>
      <c r="D5053" s="22">
        <v>46046</v>
      </c>
      <c r="E5053" s="23" t="s">
        <v>22656</v>
      </c>
      <c r="F5053" s="24" t="s">
        <v>22657</v>
      </c>
      <c r="G5053" s="25">
        <v>8</v>
      </c>
      <c r="H5053" s="29"/>
      <c r="I5053" s="30"/>
    </row>
    <row r="5054" spans="1:9" ht="15.75" thickBot="1" x14ac:dyDescent="0.3">
      <c r="A5054" s="43" t="s">
        <v>11132</v>
      </c>
      <c r="B5054" s="21" t="s">
        <v>11133</v>
      </c>
      <c r="C5054" s="21" t="s">
        <v>22655</v>
      </c>
      <c r="D5054" s="31" t="s">
        <v>22666</v>
      </c>
      <c r="E5054" s="23" t="s">
        <v>22656</v>
      </c>
      <c r="F5054" s="24" t="s">
        <v>22657</v>
      </c>
      <c r="G5054" s="25">
        <v>4</v>
      </c>
      <c r="H5054" s="26"/>
      <c r="I5054" s="27"/>
    </row>
    <row r="5055" spans="1:9" ht="15.75" thickBot="1" x14ac:dyDescent="0.3">
      <c r="A5055" s="43" t="s">
        <v>11134</v>
      </c>
      <c r="B5055" s="21" t="s">
        <v>11135</v>
      </c>
      <c r="C5055" s="21" t="s">
        <v>22655</v>
      </c>
      <c r="D5055" s="22">
        <v>46046</v>
      </c>
      <c r="E5055" s="23" t="s">
        <v>22661</v>
      </c>
      <c r="F5055" s="24" t="s">
        <v>22657</v>
      </c>
      <c r="G5055" s="25">
        <v>12</v>
      </c>
      <c r="H5055" s="32">
        <v>12</v>
      </c>
      <c r="I5055" s="33">
        <v>24</v>
      </c>
    </row>
    <row r="5056" spans="1:9" ht="15.75" thickBot="1" x14ac:dyDescent="0.3">
      <c r="A5056" s="43" t="s">
        <v>11136</v>
      </c>
      <c r="B5056" s="21" t="s">
        <v>11137</v>
      </c>
      <c r="C5056" s="21" t="s">
        <v>22655</v>
      </c>
      <c r="D5056" s="31" t="s">
        <v>22666</v>
      </c>
      <c r="E5056" s="23" t="s">
        <v>22656</v>
      </c>
      <c r="F5056" s="24" t="s">
        <v>22657</v>
      </c>
      <c r="G5056" s="25">
        <v>4</v>
      </c>
      <c r="H5056" s="26"/>
      <c r="I5056" s="27"/>
    </row>
    <row r="5057" spans="1:9" ht="15.75" thickBot="1" x14ac:dyDescent="0.3">
      <c r="A5057" s="43" t="s">
        <v>11138</v>
      </c>
      <c r="B5057" s="21" t="s">
        <v>11139</v>
      </c>
      <c r="C5057" s="21" t="s">
        <v>22655</v>
      </c>
      <c r="D5057" s="31" t="s">
        <v>22666</v>
      </c>
      <c r="E5057" s="23" t="s">
        <v>22656</v>
      </c>
      <c r="F5057" s="24" t="s">
        <v>22657</v>
      </c>
      <c r="G5057" s="25">
        <v>5</v>
      </c>
      <c r="H5057" s="29"/>
      <c r="I5057" s="30"/>
    </row>
    <row r="5058" spans="1:9" ht="15.75" thickBot="1" x14ac:dyDescent="0.3">
      <c r="A5058" s="43" t="s">
        <v>11140</v>
      </c>
      <c r="B5058" s="21" t="s">
        <v>11141</v>
      </c>
      <c r="C5058" s="21" t="s">
        <v>22655</v>
      </c>
      <c r="D5058" s="31" t="s">
        <v>22708</v>
      </c>
      <c r="E5058" s="23" t="s">
        <v>22656</v>
      </c>
      <c r="F5058" s="24" t="s">
        <v>22657</v>
      </c>
      <c r="G5058" s="25">
        <v>7</v>
      </c>
      <c r="H5058" s="26"/>
      <c r="I5058" s="27"/>
    </row>
    <row r="5059" spans="1:9" ht="15.75" thickBot="1" x14ac:dyDescent="0.3">
      <c r="A5059" s="43" t="s">
        <v>11142</v>
      </c>
      <c r="B5059" s="21" t="s">
        <v>11143</v>
      </c>
      <c r="C5059" s="21" t="s">
        <v>22655</v>
      </c>
      <c r="D5059" s="31" t="s">
        <v>22666</v>
      </c>
      <c r="E5059" s="23" t="s">
        <v>22656</v>
      </c>
      <c r="F5059" s="24" t="s">
        <v>22657</v>
      </c>
      <c r="G5059" s="25">
        <v>4</v>
      </c>
      <c r="H5059" s="29"/>
      <c r="I5059" s="30"/>
    </row>
    <row r="5060" spans="1:9" ht="15.75" thickBot="1" x14ac:dyDescent="0.3">
      <c r="A5060" s="43" t="s">
        <v>11144</v>
      </c>
      <c r="B5060" s="21" t="s">
        <v>11145</v>
      </c>
      <c r="C5060" s="21" t="s">
        <v>22655</v>
      </c>
      <c r="D5060" s="31" t="s">
        <v>22666</v>
      </c>
      <c r="E5060" s="23" t="s">
        <v>22658</v>
      </c>
      <c r="F5060" s="24" t="s">
        <v>22657</v>
      </c>
      <c r="G5060" s="25">
        <v>4</v>
      </c>
      <c r="H5060" s="26"/>
      <c r="I5060" s="27"/>
    </row>
    <row r="5061" spans="1:9" ht="15.75" thickBot="1" x14ac:dyDescent="0.3">
      <c r="A5061" s="43" t="s">
        <v>11146</v>
      </c>
      <c r="B5061" s="21" t="s">
        <v>11147</v>
      </c>
      <c r="C5061" s="21" t="s">
        <v>22655</v>
      </c>
      <c r="D5061" s="31" t="s">
        <v>22660</v>
      </c>
      <c r="E5061" s="23" t="s">
        <v>22656</v>
      </c>
      <c r="F5061" s="24" t="s">
        <v>22657</v>
      </c>
      <c r="G5061" s="25">
        <v>8</v>
      </c>
      <c r="H5061" s="29"/>
      <c r="I5061" s="30"/>
    </row>
    <row r="5062" spans="1:9" ht="15.75" thickBot="1" x14ac:dyDescent="0.3">
      <c r="A5062" s="43" t="s">
        <v>11148</v>
      </c>
      <c r="B5062" s="21" t="s">
        <v>11149</v>
      </c>
      <c r="C5062" s="21" t="s">
        <v>22655</v>
      </c>
      <c r="D5062" s="22">
        <v>46034</v>
      </c>
      <c r="E5062" s="23" t="s">
        <v>22656</v>
      </c>
      <c r="F5062" s="24" t="s">
        <v>22657</v>
      </c>
      <c r="G5062" s="25">
        <v>4</v>
      </c>
      <c r="H5062" s="26"/>
      <c r="I5062" s="27"/>
    </row>
    <row r="5063" spans="1:9" ht="15.75" thickBot="1" x14ac:dyDescent="0.3">
      <c r="A5063" s="43" t="s">
        <v>11150</v>
      </c>
      <c r="B5063" s="21" t="s">
        <v>11151</v>
      </c>
      <c r="C5063" s="21" t="s">
        <v>22655</v>
      </c>
      <c r="D5063" s="22">
        <v>46034</v>
      </c>
      <c r="E5063" s="23" t="s">
        <v>22658</v>
      </c>
      <c r="F5063" s="24" t="s">
        <v>22657</v>
      </c>
      <c r="G5063" s="25">
        <v>4</v>
      </c>
      <c r="H5063" s="29"/>
      <c r="I5063" s="30"/>
    </row>
    <row r="5064" spans="1:9" ht="15.75" thickBot="1" x14ac:dyDescent="0.3">
      <c r="A5064" s="43" t="s">
        <v>11152</v>
      </c>
      <c r="B5064" s="21" t="s">
        <v>11153</v>
      </c>
      <c r="C5064" s="21" t="s">
        <v>22690</v>
      </c>
      <c r="D5064" s="31" t="s">
        <v>22730</v>
      </c>
      <c r="E5064" s="23" t="s">
        <v>22658</v>
      </c>
      <c r="F5064" s="24" t="s">
        <v>22657</v>
      </c>
      <c r="G5064" s="25">
        <v>4</v>
      </c>
      <c r="H5064" s="26"/>
      <c r="I5064" s="27"/>
    </row>
    <row r="5065" spans="1:9" ht="15.75" thickBot="1" x14ac:dyDescent="0.3">
      <c r="A5065" s="43" t="s">
        <v>11154</v>
      </c>
      <c r="B5065" s="21" t="s">
        <v>11155</v>
      </c>
      <c r="C5065" s="21" t="s">
        <v>22690</v>
      </c>
      <c r="D5065" s="31" t="s">
        <v>22730</v>
      </c>
      <c r="E5065" s="23" t="s">
        <v>22656</v>
      </c>
      <c r="F5065" s="24" t="s">
        <v>22657</v>
      </c>
      <c r="G5065" s="25">
        <v>4</v>
      </c>
      <c r="H5065" s="29"/>
      <c r="I5065" s="30"/>
    </row>
    <row r="5066" spans="1:9" ht="15.75" thickBot="1" x14ac:dyDescent="0.3">
      <c r="A5066" s="43" t="s">
        <v>11156</v>
      </c>
      <c r="B5066" s="21" t="s">
        <v>11157</v>
      </c>
      <c r="C5066" s="21" t="s">
        <v>22655</v>
      </c>
      <c r="D5066" s="22">
        <v>46034</v>
      </c>
      <c r="E5066" s="23" t="s">
        <v>22656</v>
      </c>
      <c r="F5066" s="24" t="s">
        <v>22657</v>
      </c>
      <c r="G5066" s="25">
        <v>4</v>
      </c>
      <c r="H5066" s="26"/>
      <c r="I5066" s="27"/>
    </row>
    <row r="5067" spans="1:9" ht="15.75" thickBot="1" x14ac:dyDescent="0.3">
      <c r="A5067" s="43" t="s">
        <v>11158</v>
      </c>
      <c r="B5067" s="21" t="s">
        <v>11159</v>
      </c>
      <c r="C5067" s="21" t="s">
        <v>22655</v>
      </c>
      <c r="D5067" s="22">
        <v>46034</v>
      </c>
      <c r="E5067" s="23" t="s">
        <v>22656</v>
      </c>
      <c r="F5067" s="24" t="s">
        <v>22657</v>
      </c>
      <c r="G5067" s="25">
        <v>4</v>
      </c>
      <c r="H5067" s="29"/>
      <c r="I5067" s="30"/>
    </row>
    <row r="5068" spans="1:9" ht="15.75" thickBot="1" x14ac:dyDescent="0.3">
      <c r="A5068" s="43" t="s">
        <v>11160</v>
      </c>
      <c r="B5068" s="21" t="s">
        <v>11161</v>
      </c>
      <c r="C5068" s="21" t="s">
        <v>22655</v>
      </c>
      <c r="D5068" s="22">
        <v>46034</v>
      </c>
      <c r="E5068" s="23" t="s">
        <v>22656</v>
      </c>
      <c r="F5068" s="24" t="s">
        <v>22657</v>
      </c>
      <c r="G5068" s="25">
        <v>4</v>
      </c>
      <c r="H5068" s="26"/>
      <c r="I5068" s="27"/>
    </row>
    <row r="5069" spans="1:9" ht="15.75" thickBot="1" x14ac:dyDescent="0.3">
      <c r="A5069" s="43" t="s">
        <v>11162</v>
      </c>
      <c r="B5069" s="21" t="s">
        <v>11163</v>
      </c>
      <c r="C5069" s="21" t="s">
        <v>22655</v>
      </c>
      <c r="D5069" s="22">
        <v>46034</v>
      </c>
      <c r="E5069" s="23" t="s">
        <v>22656</v>
      </c>
      <c r="F5069" s="24" t="s">
        <v>22657</v>
      </c>
      <c r="G5069" s="25">
        <v>4</v>
      </c>
      <c r="H5069" s="29"/>
      <c r="I5069" s="30"/>
    </row>
    <row r="5070" spans="1:9" ht="15.75" thickBot="1" x14ac:dyDescent="0.3">
      <c r="A5070" s="43" t="s">
        <v>11164</v>
      </c>
      <c r="B5070" s="21" t="s">
        <v>11165</v>
      </c>
      <c r="C5070" s="21" t="s">
        <v>22655</v>
      </c>
      <c r="D5070" s="22">
        <v>46034</v>
      </c>
      <c r="E5070" s="23" t="s">
        <v>22656</v>
      </c>
      <c r="F5070" s="24" t="s">
        <v>22657</v>
      </c>
      <c r="G5070" s="25">
        <v>4</v>
      </c>
      <c r="H5070" s="26"/>
      <c r="I5070" s="27"/>
    </row>
    <row r="5071" spans="1:9" ht="15.75" thickBot="1" x14ac:dyDescent="0.3">
      <c r="A5071" s="43" t="s">
        <v>1743</v>
      </c>
      <c r="B5071" s="21" t="s">
        <v>11166</v>
      </c>
      <c r="C5071" s="21" t="s">
        <v>22655</v>
      </c>
      <c r="D5071" s="22">
        <v>46034</v>
      </c>
      <c r="E5071" s="23" t="s">
        <v>22656</v>
      </c>
      <c r="F5071" s="24" t="s">
        <v>22657</v>
      </c>
      <c r="G5071" s="25">
        <v>4</v>
      </c>
      <c r="H5071" s="29"/>
      <c r="I5071" s="30"/>
    </row>
    <row r="5072" spans="1:9" ht="15.75" thickBot="1" x14ac:dyDescent="0.3">
      <c r="A5072" s="43" t="s">
        <v>1545</v>
      </c>
      <c r="B5072" s="21" t="s">
        <v>11167</v>
      </c>
      <c r="C5072" s="21" t="s">
        <v>22655</v>
      </c>
      <c r="D5072" s="22">
        <v>46034</v>
      </c>
      <c r="E5072" s="23" t="s">
        <v>22656</v>
      </c>
      <c r="F5072" s="24" t="s">
        <v>22657</v>
      </c>
      <c r="G5072" s="25">
        <v>4</v>
      </c>
      <c r="H5072" s="26"/>
      <c r="I5072" s="27"/>
    </row>
    <row r="5073" spans="1:9" ht="15.75" thickBot="1" x14ac:dyDescent="0.3">
      <c r="A5073" s="43" t="s">
        <v>11168</v>
      </c>
      <c r="B5073" s="21" t="s">
        <v>11169</v>
      </c>
      <c r="C5073" s="21" t="s">
        <v>22655</v>
      </c>
      <c r="D5073" s="22">
        <v>46034</v>
      </c>
      <c r="E5073" s="23" t="s">
        <v>22656</v>
      </c>
      <c r="F5073" s="24" t="s">
        <v>22657</v>
      </c>
      <c r="G5073" s="25">
        <v>4</v>
      </c>
      <c r="H5073" s="29"/>
      <c r="I5073" s="30"/>
    </row>
    <row r="5074" spans="1:9" ht="15.75" thickBot="1" x14ac:dyDescent="0.3">
      <c r="A5074" s="43" t="s">
        <v>11170</v>
      </c>
      <c r="B5074" s="21" t="s">
        <v>11171</v>
      </c>
      <c r="C5074" s="21" t="s">
        <v>22690</v>
      </c>
      <c r="D5074" s="31" t="s">
        <v>22699</v>
      </c>
      <c r="E5074" s="23" t="s">
        <v>22656</v>
      </c>
      <c r="F5074" s="24" t="s">
        <v>22657</v>
      </c>
      <c r="G5074" s="25">
        <v>4</v>
      </c>
      <c r="H5074" s="26"/>
      <c r="I5074" s="27"/>
    </row>
    <row r="5075" spans="1:9" ht="15.75" thickBot="1" x14ac:dyDescent="0.3">
      <c r="A5075" s="43" t="s">
        <v>11172</v>
      </c>
      <c r="B5075" s="21" t="s">
        <v>11173</v>
      </c>
      <c r="C5075" s="21" t="s">
        <v>22655</v>
      </c>
      <c r="D5075" s="22">
        <v>46034</v>
      </c>
      <c r="E5075" s="23" t="s">
        <v>22658</v>
      </c>
      <c r="F5075" s="24" t="s">
        <v>22657</v>
      </c>
      <c r="G5075" s="25">
        <v>4</v>
      </c>
      <c r="H5075" s="29"/>
      <c r="I5075" s="30"/>
    </row>
    <row r="5076" spans="1:9" ht="15.75" thickBot="1" x14ac:dyDescent="0.3">
      <c r="A5076" s="43" t="s">
        <v>11174</v>
      </c>
      <c r="B5076" s="21" t="s">
        <v>11175</v>
      </c>
      <c r="C5076" s="21" t="s">
        <v>22655</v>
      </c>
      <c r="D5076" s="22">
        <v>46034</v>
      </c>
      <c r="E5076" s="23" t="s">
        <v>22656</v>
      </c>
      <c r="F5076" s="24" t="s">
        <v>22657</v>
      </c>
      <c r="G5076" s="25">
        <v>4</v>
      </c>
      <c r="H5076" s="26"/>
      <c r="I5076" s="27"/>
    </row>
    <row r="5077" spans="1:9" ht="15.75" thickBot="1" x14ac:dyDescent="0.3">
      <c r="A5077" s="43" t="s">
        <v>11176</v>
      </c>
      <c r="B5077" s="21" t="s">
        <v>11177</v>
      </c>
      <c r="C5077" s="21" t="s">
        <v>22655</v>
      </c>
      <c r="D5077" s="22">
        <v>46034</v>
      </c>
      <c r="E5077" s="23" t="s">
        <v>22656</v>
      </c>
      <c r="F5077" s="24" t="s">
        <v>22657</v>
      </c>
      <c r="G5077" s="25">
        <v>4</v>
      </c>
      <c r="H5077" s="29"/>
      <c r="I5077" s="30"/>
    </row>
    <row r="5078" spans="1:9" ht="15.75" thickBot="1" x14ac:dyDescent="0.3">
      <c r="A5078" s="43" t="s">
        <v>11178</v>
      </c>
      <c r="B5078" s="21" t="s">
        <v>11179</v>
      </c>
      <c r="C5078" s="21" t="s">
        <v>22655</v>
      </c>
      <c r="D5078" s="22">
        <v>46034</v>
      </c>
      <c r="E5078" s="23" t="s">
        <v>22656</v>
      </c>
      <c r="F5078" s="24" t="s">
        <v>22657</v>
      </c>
      <c r="G5078" s="25">
        <v>4</v>
      </c>
      <c r="H5078" s="26"/>
      <c r="I5078" s="27"/>
    </row>
    <row r="5079" spans="1:9" ht="15.75" thickBot="1" x14ac:dyDescent="0.3">
      <c r="A5079" s="43" t="s">
        <v>11180</v>
      </c>
      <c r="B5079" s="21" t="s">
        <v>11181</v>
      </c>
      <c r="C5079" s="21" t="s">
        <v>22655</v>
      </c>
      <c r="D5079" s="22">
        <v>46034</v>
      </c>
      <c r="E5079" s="23" t="s">
        <v>22656</v>
      </c>
      <c r="F5079" s="24" t="s">
        <v>22657</v>
      </c>
      <c r="G5079" s="25">
        <v>4</v>
      </c>
      <c r="H5079" s="29"/>
      <c r="I5079" s="30"/>
    </row>
    <row r="5080" spans="1:9" ht="15.75" thickBot="1" x14ac:dyDescent="0.3">
      <c r="A5080" s="43" t="s">
        <v>22566</v>
      </c>
      <c r="B5080" s="21" t="s">
        <v>22567</v>
      </c>
      <c r="C5080" s="36" t="e">
        <v>#N/A</v>
      </c>
      <c r="D5080" s="37" t="e">
        <v>#N/A</v>
      </c>
      <c r="E5080" s="23" t="e">
        <v>#N/A</v>
      </c>
      <c r="F5080" s="24" t="s">
        <v>22657</v>
      </c>
      <c r="G5080" s="25" t="e">
        <v>#N/A</v>
      </c>
      <c r="H5080" s="26"/>
      <c r="I5080" s="27"/>
    </row>
    <row r="5081" spans="1:9" ht="15.75" thickBot="1" x14ac:dyDescent="0.3">
      <c r="A5081" s="43" t="s">
        <v>11182</v>
      </c>
      <c r="B5081" s="21" t="s">
        <v>11183</v>
      </c>
      <c r="C5081" s="21" t="s">
        <v>22655</v>
      </c>
      <c r="D5081" s="22">
        <v>46034</v>
      </c>
      <c r="E5081" s="23" t="s">
        <v>22656</v>
      </c>
      <c r="F5081" s="24" t="s">
        <v>22657</v>
      </c>
      <c r="G5081" s="25">
        <v>4</v>
      </c>
      <c r="H5081" s="29"/>
      <c r="I5081" s="30"/>
    </row>
    <row r="5082" spans="1:9" ht="15.75" thickBot="1" x14ac:dyDescent="0.3">
      <c r="A5082" s="43" t="s">
        <v>11184</v>
      </c>
      <c r="B5082" s="21" t="s">
        <v>11185</v>
      </c>
      <c r="C5082" s="21" t="s">
        <v>22655</v>
      </c>
      <c r="D5082" s="22">
        <v>46046</v>
      </c>
      <c r="E5082" s="23" t="s">
        <v>22661</v>
      </c>
      <c r="F5082" s="24" t="s">
        <v>22657</v>
      </c>
      <c r="G5082" s="25">
        <v>8</v>
      </c>
      <c r="H5082" s="26"/>
      <c r="I5082" s="27"/>
    </row>
    <row r="5083" spans="1:9" ht="15.75" thickBot="1" x14ac:dyDescent="0.3">
      <c r="A5083" s="43" t="s">
        <v>1239</v>
      </c>
      <c r="B5083" s="21" t="s">
        <v>11186</v>
      </c>
      <c r="C5083" s="21" t="s">
        <v>22655</v>
      </c>
      <c r="D5083" s="22">
        <v>46028</v>
      </c>
      <c r="E5083" s="23" t="s">
        <v>22665</v>
      </c>
      <c r="F5083" s="24" t="s">
        <v>22657</v>
      </c>
      <c r="G5083" s="25">
        <v>6</v>
      </c>
      <c r="H5083" s="29"/>
      <c r="I5083" s="30"/>
    </row>
    <row r="5084" spans="1:9" ht="15.75" thickBot="1" x14ac:dyDescent="0.3">
      <c r="A5084" s="43" t="s">
        <v>11187</v>
      </c>
      <c r="B5084" s="21" t="s">
        <v>11188</v>
      </c>
      <c r="C5084" s="21" t="s">
        <v>22655</v>
      </c>
      <c r="D5084" s="22">
        <v>46034</v>
      </c>
      <c r="E5084" s="23" t="s">
        <v>22656</v>
      </c>
      <c r="F5084" s="24" t="s">
        <v>22657</v>
      </c>
      <c r="G5084" s="25">
        <v>4</v>
      </c>
      <c r="H5084" s="26"/>
      <c r="I5084" s="27"/>
    </row>
    <row r="5085" spans="1:9" ht="15.75" thickBot="1" x14ac:dyDescent="0.3">
      <c r="A5085" s="43" t="s">
        <v>11191</v>
      </c>
      <c r="B5085" s="21" t="s">
        <v>11192</v>
      </c>
      <c r="C5085" s="21" t="s">
        <v>22655</v>
      </c>
      <c r="D5085" s="22">
        <v>46034</v>
      </c>
      <c r="E5085" s="23" t="s">
        <v>22656</v>
      </c>
      <c r="F5085" s="24" t="s">
        <v>22657</v>
      </c>
      <c r="G5085" s="25">
        <v>4</v>
      </c>
      <c r="H5085" s="29"/>
      <c r="I5085" s="30"/>
    </row>
    <row r="5086" spans="1:9" ht="15.75" thickBot="1" x14ac:dyDescent="0.3">
      <c r="A5086" s="43" t="s">
        <v>1898</v>
      </c>
      <c r="B5086" s="21" t="s">
        <v>11193</v>
      </c>
      <c r="C5086" s="21" t="s">
        <v>22655</v>
      </c>
      <c r="D5086" s="22">
        <v>46034</v>
      </c>
      <c r="E5086" s="23" t="s">
        <v>22661</v>
      </c>
      <c r="F5086" s="24" t="s">
        <v>22657</v>
      </c>
      <c r="G5086" s="25">
        <v>6</v>
      </c>
      <c r="H5086" s="26"/>
      <c r="I5086" s="27"/>
    </row>
    <row r="5087" spans="1:9" ht="15.75" thickBot="1" x14ac:dyDescent="0.3">
      <c r="A5087" s="43" t="s">
        <v>695</v>
      </c>
      <c r="B5087" s="21" t="s">
        <v>696</v>
      </c>
      <c r="C5087" s="21" t="s">
        <v>22655</v>
      </c>
      <c r="D5087" s="22">
        <v>46034</v>
      </c>
      <c r="E5087" s="23" t="s">
        <v>22656</v>
      </c>
      <c r="F5087" s="24" t="s">
        <v>22657</v>
      </c>
      <c r="G5087" s="25">
        <v>4</v>
      </c>
      <c r="H5087" s="29"/>
      <c r="I5087" s="30"/>
    </row>
    <row r="5088" spans="1:9" ht="15.75" thickBot="1" x14ac:dyDescent="0.3">
      <c r="A5088" s="43" t="s">
        <v>11194</v>
      </c>
      <c r="B5088" s="21" t="s">
        <v>11195</v>
      </c>
      <c r="C5088" s="21" t="s">
        <v>22655</v>
      </c>
      <c r="D5088" s="22">
        <v>46034</v>
      </c>
      <c r="E5088" s="23" t="s">
        <v>22658</v>
      </c>
      <c r="F5088" s="24" t="s">
        <v>22657</v>
      </c>
      <c r="G5088" s="25">
        <v>4</v>
      </c>
      <c r="H5088" s="26"/>
      <c r="I5088" s="27"/>
    </row>
    <row r="5089" spans="1:9" ht="15.75" thickBot="1" x14ac:dyDescent="0.3">
      <c r="A5089" s="43" t="s">
        <v>11196</v>
      </c>
      <c r="B5089" s="21" t="s">
        <v>11197</v>
      </c>
      <c r="C5089" s="21" t="s">
        <v>22655</v>
      </c>
      <c r="D5089" s="22">
        <v>46034</v>
      </c>
      <c r="E5089" s="23" t="s">
        <v>22658</v>
      </c>
      <c r="F5089" s="24" t="s">
        <v>22657</v>
      </c>
      <c r="G5089" s="25">
        <v>4</v>
      </c>
      <c r="H5089" s="29"/>
      <c r="I5089" s="30"/>
    </row>
    <row r="5090" spans="1:9" ht="15.75" thickBot="1" x14ac:dyDescent="0.3">
      <c r="A5090" s="43" t="s">
        <v>11198</v>
      </c>
      <c r="B5090" s="21" t="s">
        <v>11199</v>
      </c>
      <c r="C5090" s="21" t="s">
        <v>22690</v>
      </c>
      <c r="D5090" s="31" t="s">
        <v>22699</v>
      </c>
      <c r="E5090" s="23" t="s">
        <v>22656</v>
      </c>
      <c r="F5090" s="24" t="s">
        <v>22657</v>
      </c>
      <c r="G5090" s="25">
        <v>2</v>
      </c>
      <c r="H5090" s="26"/>
      <c r="I5090" s="27"/>
    </row>
    <row r="5091" spans="1:9" ht="15.75" thickBot="1" x14ac:dyDescent="0.3">
      <c r="A5091" s="43" t="s">
        <v>11200</v>
      </c>
      <c r="B5091" s="21" t="s">
        <v>11201</v>
      </c>
      <c r="C5091" s="21" t="s">
        <v>22663</v>
      </c>
      <c r="D5091" s="31">
        <v>1</v>
      </c>
      <c r="E5091" s="23" t="s">
        <v>22656</v>
      </c>
      <c r="F5091" s="24" t="s">
        <v>22657</v>
      </c>
      <c r="G5091" s="25">
        <v>5</v>
      </c>
      <c r="H5091" s="29"/>
      <c r="I5091" s="30"/>
    </row>
    <row r="5092" spans="1:9" ht="15.75" thickBot="1" x14ac:dyDescent="0.3">
      <c r="A5092" s="43" t="s">
        <v>11202</v>
      </c>
      <c r="B5092" s="21" t="s">
        <v>11203</v>
      </c>
      <c r="C5092" s="21" t="s">
        <v>22663</v>
      </c>
      <c r="D5092" s="31">
        <v>1</v>
      </c>
      <c r="E5092" s="23" t="s">
        <v>22656</v>
      </c>
      <c r="F5092" s="24" t="s">
        <v>22657</v>
      </c>
      <c r="G5092" s="25">
        <v>5</v>
      </c>
      <c r="H5092" s="26"/>
      <c r="I5092" s="27"/>
    </row>
    <row r="5093" spans="1:9" ht="15.75" thickBot="1" x14ac:dyDescent="0.3">
      <c r="A5093" s="43" t="s">
        <v>11204</v>
      </c>
      <c r="B5093" s="21" t="s">
        <v>11205</v>
      </c>
      <c r="C5093" s="21" t="s">
        <v>22663</v>
      </c>
      <c r="D5093" s="31">
        <v>1</v>
      </c>
      <c r="E5093" s="23" t="s">
        <v>22656</v>
      </c>
      <c r="F5093" s="24" t="s">
        <v>22657</v>
      </c>
      <c r="G5093" s="25">
        <v>2</v>
      </c>
      <c r="H5093" s="29"/>
      <c r="I5093" s="30"/>
    </row>
    <row r="5094" spans="1:9" ht="15.75" thickBot="1" x14ac:dyDescent="0.3">
      <c r="A5094" s="43" t="s">
        <v>11206</v>
      </c>
      <c r="B5094" s="21" t="s">
        <v>11207</v>
      </c>
      <c r="C5094" s="21" t="s">
        <v>22663</v>
      </c>
      <c r="D5094" s="31">
        <v>1</v>
      </c>
      <c r="E5094" s="23" t="s">
        <v>22658</v>
      </c>
      <c r="F5094" s="24" t="s">
        <v>22657</v>
      </c>
      <c r="G5094" s="25">
        <v>1</v>
      </c>
      <c r="H5094" s="26"/>
      <c r="I5094" s="27"/>
    </row>
    <row r="5095" spans="1:9" ht="15.75" thickBot="1" x14ac:dyDescent="0.3">
      <c r="A5095" s="43" t="s">
        <v>11208</v>
      </c>
      <c r="B5095" s="21" t="s">
        <v>11209</v>
      </c>
      <c r="C5095" s="21" t="s">
        <v>22682</v>
      </c>
      <c r="D5095" s="22">
        <v>46034</v>
      </c>
      <c r="E5095" s="23" t="s">
        <v>22658</v>
      </c>
      <c r="F5095" s="24" t="s">
        <v>22657</v>
      </c>
      <c r="G5095" s="25">
        <v>4</v>
      </c>
      <c r="H5095" s="29"/>
      <c r="I5095" s="30"/>
    </row>
    <row r="5096" spans="1:9" ht="15.75" thickBot="1" x14ac:dyDescent="0.3">
      <c r="A5096" s="43" t="s">
        <v>11210</v>
      </c>
      <c r="B5096" s="21" t="s">
        <v>11211</v>
      </c>
      <c r="C5096" s="21" t="s">
        <v>22682</v>
      </c>
      <c r="D5096" s="22">
        <v>46034</v>
      </c>
      <c r="E5096" s="23" t="s">
        <v>22656</v>
      </c>
      <c r="F5096" s="24" t="s">
        <v>22657</v>
      </c>
      <c r="G5096" s="25">
        <v>4</v>
      </c>
      <c r="H5096" s="26"/>
      <c r="I5096" s="27"/>
    </row>
    <row r="5097" spans="1:9" ht="15.75" thickBot="1" x14ac:dyDescent="0.3">
      <c r="A5097" s="43" t="s">
        <v>11212</v>
      </c>
      <c r="B5097" s="21" t="s">
        <v>11213</v>
      </c>
      <c r="C5097" s="21" t="s">
        <v>22682</v>
      </c>
      <c r="D5097" s="22">
        <v>46034</v>
      </c>
      <c r="E5097" s="23" t="s">
        <v>22658</v>
      </c>
      <c r="F5097" s="24" t="s">
        <v>22657</v>
      </c>
      <c r="G5097" s="25">
        <v>4</v>
      </c>
      <c r="H5097" s="29"/>
      <c r="I5097" s="30"/>
    </row>
    <row r="5098" spans="1:9" ht="15.75" thickBot="1" x14ac:dyDescent="0.3">
      <c r="A5098" s="43" t="s">
        <v>11214</v>
      </c>
      <c r="B5098" s="21" t="s">
        <v>11215</v>
      </c>
      <c r="C5098" s="21" t="s">
        <v>22682</v>
      </c>
      <c r="D5098" s="22">
        <v>46034</v>
      </c>
      <c r="E5098" s="23" t="s">
        <v>22658</v>
      </c>
      <c r="F5098" s="24" t="s">
        <v>22657</v>
      </c>
      <c r="G5098" s="25">
        <v>4</v>
      </c>
      <c r="H5098" s="26"/>
      <c r="I5098" s="27"/>
    </row>
    <row r="5099" spans="1:9" ht="15.75" thickBot="1" x14ac:dyDescent="0.3">
      <c r="A5099" s="43" t="s">
        <v>11216</v>
      </c>
      <c r="B5099" s="21" t="s">
        <v>11217</v>
      </c>
      <c r="C5099" s="21" t="s">
        <v>22682</v>
      </c>
      <c r="D5099" s="22">
        <v>46034</v>
      </c>
      <c r="E5099" s="23" t="s">
        <v>22658</v>
      </c>
      <c r="F5099" s="24" t="s">
        <v>22657</v>
      </c>
      <c r="G5099" s="25">
        <v>4</v>
      </c>
      <c r="H5099" s="29"/>
      <c r="I5099" s="30"/>
    </row>
    <row r="5100" spans="1:9" ht="15.75" thickBot="1" x14ac:dyDescent="0.3">
      <c r="A5100" s="43" t="s">
        <v>11218</v>
      </c>
      <c r="B5100" s="21" t="s">
        <v>11219</v>
      </c>
      <c r="C5100" s="21" t="s">
        <v>22682</v>
      </c>
      <c r="D5100" s="22">
        <v>46034</v>
      </c>
      <c r="E5100" s="23" t="s">
        <v>22658</v>
      </c>
      <c r="F5100" s="24" t="s">
        <v>22657</v>
      </c>
      <c r="G5100" s="25">
        <v>4</v>
      </c>
      <c r="H5100" s="26"/>
      <c r="I5100" s="27"/>
    </row>
    <row r="5101" spans="1:9" ht="15.75" thickBot="1" x14ac:dyDescent="0.3">
      <c r="A5101" s="43" t="s">
        <v>11220</v>
      </c>
      <c r="B5101" s="21" t="s">
        <v>11221</v>
      </c>
      <c r="C5101" s="21" t="s">
        <v>22682</v>
      </c>
      <c r="D5101" s="22">
        <v>46034</v>
      </c>
      <c r="E5101" s="23" t="s">
        <v>22658</v>
      </c>
      <c r="F5101" s="24" t="s">
        <v>22657</v>
      </c>
      <c r="G5101" s="25">
        <v>4</v>
      </c>
      <c r="H5101" s="29"/>
      <c r="I5101" s="30"/>
    </row>
    <row r="5102" spans="1:9" ht="15.75" thickBot="1" x14ac:dyDescent="0.3">
      <c r="A5102" s="43" t="s">
        <v>11222</v>
      </c>
      <c r="B5102" s="21" t="s">
        <v>11223</v>
      </c>
      <c r="C5102" s="21" t="s">
        <v>22682</v>
      </c>
      <c r="D5102" s="22">
        <v>46034</v>
      </c>
      <c r="E5102" s="23" t="s">
        <v>22656</v>
      </c>
      <c r="F5102" s="24" t="s">
        <v>22657</v>
      </c>
      <c r="G5102" s="25">
        <v>4</v>
      </c>
      <c r="H5102" s="26"/>
      <c r="I5102" s="27"/>
    </row>
    <row r="5103" spans="1:9" ht="15.75" thickBot="1" x14ac:dyDescent="0.3">
      <c r="A5103" s="43" t="s">
        <v>11224</v>
      </c>
      <c r="B5103" s="21" t="s">
        <v>11225</v>
      </c>
      <c r="C5103" s="21" t="s">
        <v>22655</v>
      </c>
      <c r="D5103" s="31" t="s">
        <v>22660</v>
      </c>
      <c r="E5103" s="23" t="s">
        <v>22656</v>
      </c>
      <c r="F5103" s="24" t="s">
        <v>22657</v>
      </c>
      <c r="G5103" s="25">
        <v>8</v>
      </c>
      <c r="H5103" s="29"/>
      <c r="I5103" s="30"/>
    </row>
    <row r="5104" spans="1:9" ht="15.75" thickBot="1" x14ac:dyDescent="0.3">
      <c r="A5104" s="43" t="s">
        <v>11226</v>
      </c>
      <c r="B5104" s="21" t="s">
        <v>11227</v>
      </c>
      <c r="C5104" s="21" t="s">
        <v>22655</v>
      </c>
      <c r="D5104" s="22">
        <v>46046</v>
      </c>
      <c r="E5104" s="23" t="s">
        <v>22656</v>
      </c>
      <c r="F5104" s="24" t="s">
        <v>22657</v>
      </c>
      <c r="G5104" s="25">
        <v>4</v>
      </c>
      <c r="H5104" s="26"/>
      <c r="I5104" s="27"/>
    </row>
    <row r="5105" spans="1:9" ht="15.75" thickBot="1" x14ac:dyDescent="0.3">
      <c r="A5105" s="43" t="s">
        <v>1912</v>
      </c>
      <c r="B5105" s="21" t="s">
        <v>1913</v>
      </c>
      <c r="C5105" s="21" t="s">
        <v>22655</v>
      </c>
      <c r="D5105" s="22">
        <v>46034</v>
      </c>
      <c r="E5105" s="23" t="s">
        <v>22661</v>
      </c>
      <c r="F5105" s="24" t="s">
        <v>22657</v>
      </c>
      <c r="G5105" s="25">
        <v>4</v>
      </c>
      <c r="H5105" s="32">
        <v>4</v>
      </c>
      <c r="I5105" s="33">
        <v>6</v>
      </c>
    </row>
    <row r="5106" spans="1:9" ht="15.75" thickBot="1" x14ac:dyDescent="0.3">
      <c r="A5106" s="43" t="s">
        <v>1956</v>
      </c>
      <c r="B5106" s="21" t="s">
        <v>1957</v>
      </c>
      <c r="C5106" s="21" t="s">
        <v>22655</v>
      </c>
      <c r="D5106" s="22">
        <v>46028</v>
      </c>
      <c r="E5106" s="23" t="s">
        <v>22661</v>
      </c>
      <c r="F5106" s="24" t="s">
        <v>22657</v>
      </c>
      <c r="G5106" s="25">
        <v>6</v>
      </c>
      <c r="H5106" s="34">
        <v>6</v>
      </c>
      <c r="I5106" s="35">
        <v>12</v>
      </c>
    </row>
    <row r="5107" spans="1:9" ht="15.75" thickBot="1" x14ac:dyDescent="0.3">
      <c r="A5107" s="43" t="s">
        <v>1105</v>
      </c>
      <c r="B5107" s="21" t="s">
        <v>1106</v>
      </c>
      <c r="C5107" s="21" t="s">
        <v>22655</v>
      </c>
      <c r="D5107" s="22">
        <v>46032</v>
      </c>
      <c r="E5107" s="23" t="s">
        <v>22665</v>
      </c>
      <c r="F5107" s="24" t="s">
        <v>22657</v>
      </c>
      <c r="G5107" s="25">
        <v>24</v>
      </c>
      <c r="H5107" s="32">
        <v>24</v>
      </c>
      <c r="I5107" s="33">
        <v>60</v>
      </c>
    </row>
    <row r="5108" spans="1:9" ht="15.75" thickBot="1" x14ac:dyDescent="0.3">
      <c r="A5108" s="43" t="s">
        <v>1771</v>
      </c>
      <c r="B5108" s="21" t="s">
        <v>1772</v>
      </c>
      <c r="C5108" s="21" t="s">
        <v>22655</v>
      </c>
      <c r="D5108" s="22">
        <v>46030</v>
      </c>
      <c r="E5108" s="23" t="s">
        <v>22656</v>
      </c>
      <c r="F5108" s="24" t="s">
        <v>22657</v>
      </c>
      <c r="G5108" s="25">
        <v>6</v>
      </c>
      <c r="H5108" s="34">
        <v>6</v>
      </c>
      <c r="I5108" s="35">
        <v>12</v>
      </c>
    </row>
    <row r="5109" spans="1:9" ht="15.75" thickBot="1" x14ac:dyDescent="0.3">
      <c r="A5109" s="43" t="s">
        <v>763</v>
      </c>
      <c r="B5109" s="21" t="s">
        <v>764</v>
      </c>
      <c r="C5109" s="21" t="s">
        <v>22655</v>
      </c>
      <c r="D5109" s="22">
        <v>46034</v>
      </c>
      <c r="E5109" s="23" t="s">
        <v>22656</v>
      </c>
      <c r="F5109" s="24" t="s">
        <v>22657</v>
      </c>
      <c r="G5109" s="25">
        <v>12</v>
      </c>
      <c r="H5109" s="32">
        <v>12</v>
      </c>
      <c r="I5109" s="33">
        <v>24</v>
      </c>
    </row>
    <row r="5110" spans="1:9" ht="15.75" thickBot="1" x14ac:dyDescent="0.3">
      <c r="A5110" s="43" t="s">
        <v>11228</v>
      </c>
      <c r="B5110" s="21" t="s">
        <v>11229</v>
      </c>
      <c r="C5110" s="21" t="s">
        <v>22655</v>
      </c>
      <c r="D5110" s="22">
        <v>46031</v>
      </c>
      <c r="E5110" s="23" t="s">
        <v>22656</v>
      </c>
      <c r="F5110" s="24" t="s">
        <v>22657</v>
      </c>
      <c r="G5110" s="25">
        <v>3</v>
      </c>
      <c r="H5110" s="26"/>
      <c r="I5110" s="27"/>
    </row>
    <row r="5111" spans="1:9" ht="15.75" thickBot="1" x14ac:dyDescent="0.3">
      <c r="A5111" s="43" t="s">
        <v>11230</v>
      </c>
      <c r="B5111" s="21" t="s">
        <v>11231</v>
      </c>
      <c r="C5111" s="21" t="s">
        <v>22655</v>
      </c>
      <c r="D5111" s="22">
        <v>46031</v>
      </c>
      <c r="E5111" s="23" t="s">
        <v>22656</v>
      </c>
      <c r="F5111" s="24" t="s">
        <v>22657</v>
      </c>
      <c r="G5111" s="25">
        <v>3</v>
      </c>
      <c r="H5111" s="29"/>
      <c r="I5111" s="30"/>
    </row>
    <row r="5112" spans="1:9" ht="15.75" thickBot="1" x14ac:dyDescent="0.3">
      <c r="A5112" s="43" t="s">
        <v>11232</v>
      </c>
      <c r="B5112" s="21" t="s">
        <v>11233</v>
      </c>
      <c r="C5112" s="21" t="s">
        <v>22655</v>
      </c>
      <c r="D5112" s="22">
        <v>46031</v>
      </c>
      <c r="E5112" s="23" t="s">
        <v>22656</v>
      </c>
      <c r="F5112" s="24" t="s">
        <v>22657</v>
      </c>
      <c r="G5112" s="25">
        <v>3</v>
      </c>
      <c r="H5112" s="26"/>
      <c r="I5112" s="27"/>
    </row>
    <row r="5113" spans="1:9" ht="15.75" thickBot="1" x14ac:dyDescent="0.3">
      <c r="A5113" s="43" t="s">
        <v>1183</v>
      </c>
      <c r="B5113" s="21" t="s">
        <v>1184</v>
      </c>
      <c r="C5113" s="21" t="s">
        <v>22655</v>
      </c>
      <c r="D5113" s="22">
        <v>46034</v>
      </c>
      <c r="E5113" s="23" t="s">
        <v>22665</v>
      </c>
      <c r="F5113" s="24" t="s">
        <v>22657</v>
      </c>
      <c r="G5113" s="25">
        <v>24</v>
      </c>
      <c r="H5113" s="32">
        <v>24</v>
      </c>
      <c r="I5113" s="33">
        <v>48</v>
      </c>
    </row>
    <row r="5114" spans="1:9" ht="15.75" thickBot="1" x14ac:dyDescent="0.3">
      <c r="A5114" s="43" t="s">
        <v>11234</v>
      </c>
      <c r="B5114" s="21" t="s">
        <v>11235</v>
      </c>
      <c r="C5114" s="21" t="s">
        <v>22682</v>
      </c>
      <c r="D5114" s="22">
        <v>46034</v>
      </c>
      <c r="E5114" s="23" t="s">
        <v>22658</v>
      </c>
      <c r="F5114" s="24" t="s">
        <v>22657</v>
      </c>
      <c r="G5114" s="25">
        <v>1</v>
      </c>
      <c r="H5114" s="26"/>
      <c r="I5114" s="27"/>
    </row>
    <row r="5115" spans="1:9" ht="15.75" thickBot="1" x14ac:dyDescent="0.3">
      <c r="A5115" s="43" t="s">
        <v>11236</v>
      </c>
      <c r="B5115" s="21" t="s">
        <v>11237</v>
      </c>
      <c r="C5115" s="21" t="s">
        <v>22682</v>
      </c>
      <c r="D5115" s="22">
        <v>46034</v>
      </c>
      <c r="E5115" s="23" t="s">
        <v>22656</v>
      </c>
      <c r="F5115" s="24" t="s">
        <v>22657</v>
      </c>
      <c r="G5115" s="25">
        <v>2</v>
      </c>
      <c r="H5115" s="29"/>
      <c r="I5115" s="30"/>
    </row>
    <row r="5116" spans="1:9" ht="15.75" thickBot="1" x14ac:dyDescent="0.3">
      <c r="A5116" s="43" t="s">
        <v>11238</v>
      </c>
      <c r="B5116" s="21" t="s">
        <v>11239</v>
      </c>
      <c r="C5116" s="21" t="s">
        <v>22682</v>
      </c>
      <c r="D5116" s="22">
        <v>46034</v>
      </c>
      <c r="E5116" s="23" t="s">
        <v>22658</v>
      </c>
      <c r="F5116" s="24" t="s">
        <v>22657</v>
      </c>
      <c r="G5116" s="25">
        <v>1</v>
      </c>
      <c r="H5116" s="26"/>
      <c r="I5116" s="27"/>
    </row>
    <row r="5117" spans="1:9" ht="15.75" thickBot="1" x14ac:dyDescent="0.3">
      <c r="A5117" s="43" t="s">
        <v>11240</v>
      </c>
      <c r="B5117" s="21" t="s">
        <v>11241</v>
      </c>
      <c r="C5117" s="21" t="s">
        <v>22682</v>
      </c>
      <c r="D5117" s="22">
        <v>46034</v>
      </c>
      <c r="E5117" s="23" t="s">
        <v>22658</v>
      </c>
      <c r="F5117" s="24" t="s">
        <v>22657</v>
      </c>
      <c r="G5117" s="25">
        <v>1</v>
      </c>
      <c r="H5117" s="29"/>
      <c r="I5117" s="30"/>
    </row>
    <row r="5118" spans="1:9" ht="15.75" thickBot="1" x14ac:dyDescent="0.3">
      <c r="A5118" s="43" t="s">
        <v>11242</v>
      </c>
      <c r="B5118" s="21" t="s">
        <v>11243</v>
      </c>
      <c r="C5118" s="21" t="s">
        <v>22682</v>
      </c>
      <c r="D5118" s="22">
        <v>46034</v>
      </c>
      <c r="E5118" s="23" t="s">
        <v>22658</v>
      </c>
      <c r="F5118" s="24" t="s">
        <v>22657</v>
      </c>
      <c r="G5118" s="25">
        <v>1</v>
      </c>
      <c r="H5118" s="26"/>
      <c r="I5118" s="27"/>
    </row>
    <row r="5119" spans="1:9" ht="15.75" thickBot="1" x14ac:dyDescent="0.3">
      <c r="A5119" s="43" t="s">
        <v>11244</v>
      </c>
      <c r="B5119" s="21" t="s">
        <v>11245</v>
      </c>
      <c r="C5119" s="21" t="s">
        <v>22682</v>
      </c>
      <c r="D5119" s="22">
        <v>46034</v>
      </c>
      <c r="E5119" s="23" t="s">
        <v>22658</v>
      </c>
      <c r="F5119" s="24" t="s">
        <v>22657</v>
      </c>
      <c r="G5119" s="25">
        <v>1</v>
      </c>
      <c r="H5119" s="29"/>
      <c r="I5119" s="30"/>
    </row>
    <row r="5120" spans="1:9" ht="15.75" thickBot="1" x14ac:dyDescent="0.3">
      <c r="A5120" s="43" t="s">
        <v>11246</v>
      </c>
      <c r="B5120" s="21" t="s">
        <v>11247</v>
      </c>
      <c r="C5120" s="21" t="s">
        <v>22682</v>
      </c>
      <c r="D5120" s="22">
        <v>46034</v>
      </c>
      <c r="E5120" s="23" t="s">
        <v>22658</v>
      </c>
      <c r="F5120" s="24" t="s">
        <v>22657</v>
      </c>
      <c r="G5120" s="25">
        <v>1</v>
      </c>
      <c r="H5120" s="26"/>
      <c r="I5120" s="27"/>
    </row>
    <row r="5121" spans="1:9" ht="15.75" thickBot="1" x14ac:dyDescent="0.3">
      <c r="A5121" s="43" t="s">
        <v>11248</v>
      </c>
      <c r="B5121" s="21" t="s">
        <v>11249</v>
      </c>
      <c r="C5121" s="21" t="s">
        <v>22682</v>
      </c>
      <c r="D5121" s="22">
        <v>46034</v>
      </c>
      <c r="E5121" s="23" t="s">
        <v>22658</v>
      </c>
      <c r="F5121" s="24" t="s">
        <v>22657</v>
      </c>
      <c r="G5121" s="25">
        <v>1</v>
      </c>
      <c r="H5121" s="29"/>
      <c r="I5121" s="30"/>
    </row>
    <row r="5122" spans="1:9" ht="15.75" thickBot="1" x14ac:dyDescent="0.3">
      <c r="A5122" s="43" t="s">
        <v>11250</v>
      </c>
      <c r="B5122" s="21" t="s">
        <v>11251</v>
      </c>
      <c r="C5122" s="21" t="s">
        <v>22682</v>
      </c>
      <c r="D5122" s="22">
        <v>46034</v>
      </c>
      <c r="E5122" s="23" t="s">
        <v>22658</v>
      </c>
      <c r="F5122" s="24" t="s">
        <v>22657</v>
      </c>
      <c r="G5122" s="25">
        <v>1</v>
      </c>
      <c r="H5122" s="26"/>
      <c r="I5122" s="27"/>
    </row>
    <row r="5123" spans="1:9" ht="15.75" thickBot="1" x14ac:dyDescent="0.3">
      <c r="A5123" s="43" t="s">
        <v>11252</v>
      </c>
      <c r="B5123" s="21" t="s">
        <v>11253</v>
      </c>
      <c r="C5123" s="21" t="s">
        <v>22682</v>
      </c>
      <c r="D5123" s="22">
        <v>46034</v>
      </c>
      <c r="E5123" s="23" t="s">
        <v>22656</v>
      </c>
      <c r="F5123" s="24" t="s">
        <v>22657</v>
      </c>
      <c r="G5123" s="25">
        <v>4</v>
      </c>
      <c r="H5123" s="29"/>
      <c r="I5123" s="30"/>
    </row>
    <row r="5124" spans="1:9" ht="15.75" thickBot="1" x14ac:dyDescent="0.3">
      <c r="A5124" s="43" t="s">
        <v>11254</v>
      </c>
      <c r="B5124" s="21" t="s">
        <v>11255</v>
      </c>
      <c r="C5124" s="21" t="s">
        <v>22682</v>
      </c>
      <c r="D5124" s="22">
        <v>46034</v>
      </c>
      <c r="E5124" s="23" t="s">
        <v>22656</v>
      </c>
      <c r="F5124" s="24" t="s">
        <v>22657</v>
      </c>
      <c r="G5124" s="25">
        <v>4</v>
      </c>
      <c r="H5124" s="26"/>
      <c r="I5124" s="27"/>
    </row>
    <row r="5125" spans="1:9" ht="15.75" thickBot="1" x14ac:dyDescent="0.3">
      <c r="A5125" s="43" t="s">
        <v>11256</v>
      </c>
      <c r="B5125" s="21" t="s">
        <v>11257</v>
      </c>
      <c r="C5125" s="21" t="s">
        <v>22682</v>
      </c>
      <c r="D5125" s="22">
        <v>46034</v>
      </c>
      <c r="E5125" s="23" t="s">
        <v>22656</v>
      </c>
      <c r="F5125" s="24" t="s">
        <v>22657</v>
      </c>
      <c r="G5125" s="25">
        <v>4</v>
      </c>
      <c r="H5125" s="29"/>
      <c r="I5125" s="30"/>
    </row>
    <row r="5126" spans="1:9" ht="15.75" thickBot="1" x14ac:dyDescent="0.3">
      <c r="A5126" s="43" t="s">
        <v>11258</v>
      </c>
      <c r="B5126" s="21" t="s">
        <v>11259</v>
      </c>
      <c r="C5126" s="21" t="s">
        <v>22682</v>
      </c>
      <c r="D5126" s="22">
        <v>46034</v>
      </c>
      <c r="E5126" s="23" t="s">
        <v>22656</v>
      </c>
      <c r="F5126" s="24" t="s">
        <v>22657</v>
      </c>
      <c r="G5126" s="25">
        <v>4</v>
      </c>
      <c r="H5126" s="26"/>
      <c r="I5126" s="27"/>
    </row>
    <row r="5127" spans="1:9" ht="15.75" thickBot="1" x14ac:dyDescent="0.3">
      <c r="A5127" s="43" t="s">
        <v>11260</v>
      </c>
      <c r="B5127" s="21" t="s">
        <v>11261</v>
      </c>
      <c r="C5127" s="21" t="s">
        <v>22682</v>
      </c>
      <c r="D5127" s="22">
        <v>46034</v>
      </c>
      <c r="E5127" s="23" t="s">
        <v>22656</v>
      </c>
      <c r="F5127" s="24" t="s">
        <v>22657</v>
      </c>
      <c r="G5127" s="25">
        <v>4</v>
      </c>
      <c r="H5127" s="29"/>
      <c r="I5127" s="30"/>
    </row>
    <row r="5128" spans="1:9" ht="15.75" thickBot="1" x14ac:dyDescent="0.3">
      <c r="A5128" s="43" t="s">
        <v>11262</v>
      </c>
      <c r="B5128" s="21" t="s">
        <v>11263</v>
      </c>
      <c r="C5128" s="21" t="s">
        <v>22682</v>
      </c>
      <c r="D5128" s="22">
        <v>46034</v>
      </c>
      <c r="E5128" s="23" t="s">
        <v>22656</v>
      </c>
      <c r="F5128" s="24" t="s">
        <v>22657</v>
      </c>
      <c r="G5128" s="25">
        <v>4</v>
      </c>
      <c r="H5128" s="26"/>
      <c r="I5128" s="27"/>
    </row>
    <row r="5129" spans="1:9" ht="15.75" thickBot="1" x14ac:dyDescent="0.3">
      <c r="A5129" s="43" t="s">
        <v>11264</v>
      </c>
      <c r="B5129" s="21" t="s">
        <v>11265</v>
      </c>
      <c r="C5129" s="21" t="s">
        <v>22682</v>
      </c>
      <c r="D5129" s="22">
        <v>46034</v>
      </c>
      <c r="E5129" s="23" t="s">
        <v>22656</v>
      </c>
      <c r="F5129" s="24" t="s">
        <v>22657</v>
      </c>
      <c r="G5129" s="25">
        <v>4</v>
      </c>
      <c r="H5129" s="29"/>
      <c r="I5129" s="30"/>
    </row>
    <row r="5130" spans="1:9" ht="15.75" thickBot="1" x14ac:dyDescent="0.3">
      <c r="A5130" s="43" t="s">
        <v>11266</v>
      </c>
      <c r="B5130" s="21" t="s">
        <v>11267</v>
      </c>
      <c r="C5130" s="21" t="s">
        <v>22682</v>
      </c>
      <c r="D5130" s="22">
        <v>46034</v>
      </c>
      <c r="E5130" s="23" t="s">
        <v>22656</v>
      </c>
      <c r="F5130" s="24" t="s">
        <v>22657</v>
      </c>
      <c r="G5130" s="25">
        <v>4</v>
      </c>
      <c r="H5130" s="26"/>
      <c r="I5130" s="27"/>
    </row>
    <row r="5131" spans="1:9" ht="15.75" thickBot="1" x14ac:dyDescent="0.3">
      <c r="A5131" s="43" t="s">
        <v>11268</v>
      </c>
      <c r="B5131" s="21" t="s">
        <v>11269</v>
      </c>
      <c r="C5131" s="21" t="s">
        <v>22682</v>
      </c>
      <c r="D5131" s="22">
        <v>46034</v>
      </c>
      <c r="E5131" s="23" t="s">
        <v>22656</v>
      </c>
      <c r="F5131" s="24" t="s">
        <v>22657</v>
      </c>
      <c r="G5131" s="25">
        <v>4</v>
      </c>
      <c r="H5131" s="29"/>
      <c r="I5131" s="30"/>
    </row>
    <row r="5132" spans="1:9" ht="15.75" thickBot="1" x14ac:dyDescent="0.3">
      <c r="A5132" s="43" t="s">
        <v>11270</v>
      </c>
      <c r="B5132" s="21" t="s">
        <v>11271</v>
      </c>
      <c r="C5132" s="21" t="s">
        <v>22682</v>
      </c>
      <c r="D5132" s="22">
        <v>46034</v>
      </c>
      <c r="E5132" s="23" t="s">
        <v>22656</v>
      </c>
      <c r="F5132" s="24" t="s">
        <v>22657</v>
      </c>
      <c r="G5132" s="25">
        <v>4</v>
      </c>
      <c r="H5132" s="26"/>
      <c r="I5132" s="27"/>
    </row>
    <row r="5133" spans="1:9" ht="15.75" thickBot="1" x14ac:dyDescent="0.3">
      <c r="A5133" s="43" t="s">
        <v>11272</v>
      </c>
      <c r="B5133" s="21" t="s">
        <v>11273</v>
      </c>
      <c r="C5133" s="21" t="s">
        <v>22682</v>
      </c>
      <c r="D5133" s="22">
        <v>46034</v>
      </c>
      <c r="E5133" s="23" t="s">
        <v>22656</v>
      </c>
      <c r="F5133" s="24" t="s">
        <v>22657</v>
      </c>
      <c r="G5133" s="25">
        <v>4</v>
      </c>
      <c r="H5133" s="29"/>
      <c r="I5133" s="30"/>
    </row>
    <row r="5134" spans="1:9" ht="15.75" thickBot="1" x14ac:dyDescent="0.3">
      <c r="A5134" s="43" t="s">
        <v>11274</v>
      </c>
      <c r="B5134" s="21" t="s">
        <v>11275</v>
      </c>
      <c r="C5134" s="21" t="s">
        <v>22682</v>
      </c>
      <c r="D5134" s="22">
        <v>46034</v>
      </c>
      <c r="E5134" s="23" t="s">
        <v>22656</v>
      </c>
      <c r="F5134" s="24" t="s">
        <v>22657</v>
      </c>
      <c r="G5134" s="25">
        <v>4</v>
      </c>
      <c r="H5134" s="26"/>
      <c r="I5134" s="27"/>
    </row>
    <row r="5135" spans="1:9" ht="15.75" thickBot="1" x14ac:dyDescent="0.3">
      <c r="A5135" s="43" t="s">
        <v>11276</v>
      </c>
      <c r="B5135" s="21" t="s">
        <v>11277</v>
      </c>
      <c r="C5135" s="21" t="s">
        <v>22682</v>
      </c>
      <c r="D5135" s="22">
        <v>46034</v>
      </c>
      <c r="E5135" s="23" t="s">
        <v>22656</v>
      </c>
      <c r="F5135" s="24" t="s">
        <v>22657</v>
      </c>
      <c r="G5135" s="25">
        <v>4</v>
      </c>
      <c r="H5135" s="29"/>
      <c r="I5135" s="30"/>
    </row>
    <row r="5136" spans="1:9" ht="15.75" thickBot="1" x14ac:dyDescent="0.3">
      <c r="A5136" s="43" t="s">
        <v>11278</v>
      </c>
      <c r="B5136" s="21" t="s">
        <v>11279</v>
      </c>
      <c r="C5136" s="21" t="s">
        <v>22682</v>
      </c>
      <c r="D5136" s="22">
        <v>46034</v>
      </c>
      <c r="E5136" s="23" t="s">
        <v>22658</v>
      </c>
      <c r="F5136" s="24" t="s">
        <v>22657</v>
      </c>
      <c r="G5136" s="25">
        <v>4</v>
      </c>
      <c r="H5136" s="26"/>
      <c r="I5136" s="27"/>
    </row>
    <row r="5137" spans="1:9" ht="15.75" thickBot="1" x14ac:dyDescent="0.3">
      <c r="A5137" s="43" t="s">
        <v>11280</v>
      </c>
      <c r="B5137" s="21" t="s">
        <v>11281</v>
      </c>
      <c r="C5137" s="21" t="s">
        <v>22682</v>
      </c>
      <c r="D5137" s="22">
        <v>46034</v>
      </c>
      <c r="E5137" s="23" t="s">
        <v>22656</v>
      </c>
      <c r="F5137" s="24" t="s">
        <v>22657</v>
      </c>
      <c r="G5137" s="25">
        <v>4</v>
      </c>
      <c r="H5137" s="29"/>
      <c r="I5137" s="30"/>
    </row>
    <row r="5138" spans="1:9" ht="15.75" thickBot="1" x14ac:dyDescent="0.3">
      <c r="A5138" s="43" t="s">
        <v>11282</v>
      </c>
      <c r="B5138" s="21" t="s">
        <v>11283</v>
      </c>
      <c r="C5138" s="21" t="s">
        <v>22682</v>
      </c>
      <c r="D5138" s="22">
        <v>46034</v>
      </c>
      <c r="E5138" s="23" t="s">
        <v>22656</v>
      </c>
      <c r="F5138" s="24" t="s">
        <v>22657</v>
      </c>
      <c r="G5138" s="25">
        <v>4</v>
      </c>
      <c r="H5138" s="26"/>
      <c r="I5138" s="27"/>
    </row>
    <row r="5139" spans="1:9" ht="15.75" thickBot="1" x14ac:dyDescent="0.3">
      <c r="A5139" s="43" t="s">
        <v>11284</v>
      </c>
      <c r="B5139" s="21" t="s">
        <v>11285</v>
      </c>
      <c r="C5139" s="21" t="s">
        <v>22682</v>
      </c>
      <c r="D5139" s="22">
        <v>46034</v>
      </c>
      <c r="E5139" s="23" t="s">
        <v>22656</v>
      </c>
      <c r="F5139" s="24" t="s">
        <v>22657</v>
      </c>
      <c r="G5139" s="25">
        <v>4</v>
      </c>
      <c r="H5139" s="29"/>
      <c r="I5139" s="30"/>
    </row>
    <row r="5140" spans="1:9" ht="15.75" thickBot="1" x14ac:dyDescent="0.3">
      <c r="A5140" s="43" t="s">
        <v>11286</v>
      </c>
      <c r="B5140" s="21" t="s">
        <v>11287</v>
      </c>
      <c r="C5140" s="21" t="s">
        <v>22682</v>
      </c>
      <c r="D5140" s="22">
        <v>46034</v>
      </c>
      <c r="E5140" s="23" t="s">
        <v>22658</v>
      </c>
      <c r="F5140" s="24" t="s">
        <v>22657</v>
      </c>
      <c r="G5140" s="25">
        <v>4</v>
      </c>
      <c r="H5140" s="26"/>
      <c r="I5140" s="27"/>
    </row>
    <row r="5141" spans="1:9" ht="15.75" thickBot="1" x14ac:dyDescent="0.3">
      <c r="A5141" s="43" t="s">
        <v>11288</v>
      </c>
      <c r="B5141" s="21" t="s">
        <v>11289</v>
      </c>
      <c r="C5141" s="21" t="s">
        <v>22682</v>
      </c>
      <c r="D5141" s="22">
        <v>46034</v>
      </c>
      <c r="E5141" s="23" t="s">
        <v>22658</v>
      </c>
      <c r="F5141" s="24" t="s">
        <v>22657</v>
      </c>
      <c r="G5141" s="25">
        <v>4</v>
      </c>
      <c r="H5141" s="29"/>
      <c r="I5141" s="30"/>
    </row>
    <row r="5142" spans="1:9" ht="15.75" thickBot="1" x14ac:dyDescent="0.3">
      <c r="A5142" s="43" t="s">
        <v>11290</v>
      </c>
      <c r="B5142" s="21" t="s">
        <v>11291</v>
      </c>
      <c r="C5142" s="21" t="s">
        <v>22682</v>
      </c>
      <c r="D5142" s="22">
        <v>46034</v>
      </c>
      <c r="E5142" s="23" t="s">
        <v>22656</v>
      </c>
      <c r="F5142" s="24" t="s">
        <v>22657</v>
      </c>
      <c r="G5142" s="25">
        <v>4</v>
      </c>
      <c r="H5142" s="26"/>
      <c r="I5142" s="27"/>
    </row>
    <row r="5143" spans="1:9" ht="15.75" thickBot="1" x14ac:dyDescent="0.3">
      <c r="A5143" s="43" t="s">
        <v>11292</v>
      </c>
      <c r="B5143" s="21" t="s">
        <v>11293</v>
      </c>
      <c r="C5143" s="21" t="s">
        <v>22682</v>
      </c>
      <c r="D5143" s="22">
        <v>46034</v>
      </c>
      <c r="E5143" s="23" t="s">
        <v>22656</v>
      </c>
      <c r="F5143" s="24" t="s">
        <v>22657</v>
      </c>
      <c r="G5143" s="25">
        <v>4</v>
      </c>
      <c r="H5143" s="29"/>
      <c r="I5143" s="30"/>
    </row>
    <row r="5144" spans="1:9" ht="15.75" thickBot="1" x14ac:dyDescent="0.3">
      <c r="A5144" s="43" t="s">
        <v>11294</v>
      </c>
      <c r="B5144" s="21" t="s">
        <v>11295</v>
      </c>
      <c r="C5144" s="21" t="s">
        <v>22682</v>
      </c>
      <c r="D5144" s="22">
        <v>46034</v>
      </c>
      <c r="E5144" s="23" t="s">
        <v>22656</v>
      </c>
      <c r="F5144" s="24" t="s">
        <v>22657</v>
      </c>
      <c r="G5144" s="25">
        <v>4</v>
      </c>
      <c r="H5144" s="26"/>
      <c r="I5144" s="27"/>
    </row>
    <row r="5145" spans="1:9" ht="15.75" thickBot="1" x14ac:dyDescent="0.3">
      <c r="A5145" s="43" t="s">
        <v>11296</v>
      </c>
      <c r="B5145" s="21" t="s">
        <v>11297</v>
      </c>
      <c r="C5145" s="21" t="s">
        <v>22682</v>
      </c>
      <c r="D5145" s="22">
        <v>46034</v>
      </c>
      <c r="E5145" s="23" t="s">
        <v>22656</v>
      </c>
      <c r="F5145" s="24" t="s">
        <v>22657</v>
      </c>
      <c r="G5145" s="25">
        <v>4</v>
      </c>
      <c r="H5145" s="29"/>
      <c r="I5145" s="30"/>
    </row>
    <row r="5146" spans="1:9" ht="15.75" thickBot="1" x14ac:dyDescent="0.3">
      <c r="A5146" s="43" t="s">
        <v>11298</v>
      </c>
      <c r="B5146" s="21" t="s">
        <v>11299</v>
      </c>
      <c r="C5146" s="21" t="s">
        <v>22682</v>
      </c>
      <c r="D5146" s="22">
        <v>46034</v>
      </c>
      <c r="E5146" s="23" t="s">
        <v>22656</v>
      </c>
      <c r="F5146" s="24" t="s">
        <v>22657</v>
      </c>
      <c r="G5146" s="25">
        <v>4</v>
      </c>
      <c r="H5146" s="26"/>
      <c r="I5146" s="27"/>
    </row>
    <row r="5147" spans="1:9" ht="15.75" thickBot="1" x14ac:dyDescent="0.3">
      <c r="A5147" s="43" t="s">
        <v>11300</v>
      </c>
      <c r="B5147" s="21" t="s">
        <v>11301</v>
      </c>
      <c r="C5147" s="21" t="s">
        <v>22682</v>
      </c>
      <c r="D5147" s="22">
        <v>46034</v>
      </c>
      <c r="E5147" s="23" t="s">
        <v>22656</v>
      </c>
      <c r="F5147" s="24" t="s">
        <v>22657</v>
      </c>
      <c r="G5147" s="25">
        <v>4</v>
      </c>
      <c r="H5147" s="29"/>
      <c r="I5147" s="30"/>
    </row>
    <row r="5148" spans="1:9" ht="15.75" thickBot="1" x14ac:dyDescent="0.3">
      <c r="A5148" s="43" t="s">
        <v>11302</v>
      </c>
      <c r="B5148" s="21" t="s">
        <v>11303</v>
      </c>
      <c r="C5148" s="21" t="s">
        <v>22682</v>
      </c>
      <c r="D5148" s="22">
        <v>46034</v>
      </c>
      <c r="E5148" s="23" t="s">
        <v>22656</v>
      </c>
      <c r="F5148" s="24" t="s">
        <v>22657</v>
      </c>
      <c r="G5148" s="25">
        <v>4</v>
      </c>
      <c r="H5148" s="26"/>
      <c r="I5148" s="27"/>
    </row>
    <row r="5149" spans="1:9" ht="15.75" thickBot="1" x14ac:dyDescent="0.3">
      <c r="A5149" s="43" t="s">
        <v>11304</v>
      </c>
      <c r="B5149" s="21" t="s">
        <v>11305</v>
      </c>
      <c r="C5149" s="21" t="s">
        <v>22682</v>
      </c>
      <c r="D5149" s="22">
        <v>46034</v>
      </c>
      <c r="E5149" s="23" t="s">
        <v>22656</v>
      </c>
      <c r="F5149" s="24" t="s">
        <v>22657</v>
      </c>
      <c r="G5149" s="25">
        <v>4</v>
      </c>
      <c r="H5149" s="29"/>
      <c r="I5149" s="30"/>
    </row>
    <row r="5150" spans="1:9" ht="15.75" thickBot="1" x14ac:dyDescent="0.3">
      <c r="A5150" s="43" t="s">
        <v>11306</v>
      </c>
      <c r="B5150" s="21" t="s">
        <v>11307</v>
      </c>
      <c r="C5150" s="21" t="s">
        <v>22682</v>
      </c>
      <c r="D5150" s="22">
        <v>46034</v>
      </c>
      <c r="E5150" s="23" t="s">
        <v>22656</v>
      </c>
      <c r="F5150" s="24" t="s">
        <v>22657</v>
      </c>
      <c r="G5150" s="25">
        <v>4</v>
      </c>
      <c r="H5150" s="26"/>
      <c r="I5150" s="27"/>
    </row>
    <row r="5151" spans="1:9" ht="15.75" thickBot="1" x14ac:dyDescent="0.3">
      <c r="A5151" s="43" t="s">
        <v>11308</v>
      </c>
      <c r="B5151" s="21" t="s">
        <v>11309</v>
      </c>
      <c r="C5151" s="21" t="s">
        <v>22682</v>
      </c>
      <c r="D5151" s="22">
        <v>46034</v>
      </c>
      <c r="E5151" s="23" t="s">
        <v>22656</v>
      </c>
      <c r="F5151" s="24" t="s">
        <v>22657</v>
      </c>
      <c r="G5151" s="25">
        <v>4</v>
      </c>
      <c r="H5151" s="29"/>
      <c r="I5151" s="30"/>
    </row>
    <row r="5152" spans="1:9" ht="15.75" thickBot="1" x14ac:dyDescent="0.3">
      <c r="A5152" s="43" t="s">
        <v>11310</v>
      </c>
      <c r="B5152" s="21" t="s">
        <v>11311</v>
      </c>
      <c r="C5152" s="21" t="s">
        <v>22682</v>
      </c>
      <c r="D5152" s="22">
        <v>46034</v>
      </c>
      <c r="E5152" s="23" t="s">
        <v>22656</v>
      </c>
      <c r="F5152" s="24" t="s">
        <v>22657</v>
      </c>
      <c r="G5152" s="25">
        <v>4</v>
      </c>
      <c r="H5152" s="26"/>
      <c r="I5152" s="27"/>
    </row>
    <row r="5153" spans="1:9" ht="15.75" thickBot="1" x14ac:dyDescent="0.3">
      <c r="A5153" s="43" t="s">
        <v>11312</v>
      </c>
      <c r="B5153" s="21" t="s">
        <v>11313</v>
      </c>
      <c r="C5153" s="21" t="s">
        <v>22682</v>
      </c>
      <c r="D5153" s="22">
        <v>46034</v>
      </c>
      <c r="E5153" s="23" t="s">
        <v>22656</v>
      </c>
      <c r="F5153" s="24" t="s">
        <v>22657</v>
      </c>
      <c r="G5153" s="25">
        <v>4</v>
      </c>
      <c r="H5153" s="29"/>
      <c r="I5153" s="30"/>
    </row>
    <row r="5154" spans="1:9" ht="15.75" thickBot="1" x14ac:dyDescent="0.3">
      <c r="A5154" s="43" t="s">
        <v>11314</v>
      </c>
      <c r="B5154" s="21" t="s">
        <v>11315</v>
      </c>
      <c r="C5154" s="21" t="s">
        <v>22682</v>
      </c>
      <c r="D5154" s="22">
        <v>46034</v>
      </c>
      <c r="E5154" s="23" t="s">
        <v>22656</v>
      </c>
      <c r="F5154" s="24" t="s">
        <v>22657</v>
      </c>
      <c r="G5154" s="25">
        <v>4</v>
      </c>
      <c r="H5154" s="26"/>
      <c r="I5154" s="27"/>
    </row>
    <row r="5155" spans="1:9" ht="15.75" thickBot="1" x14ac:dyDescent="0.3">
      <c r="A5155" s="43" t="s">
        <v>11316</v>
      </c>
      <c r="B5155" s="21" t="s">
        <v>11317</v>
      </c>
      <c r="C5155" s="21" t="s">
        <v>22682</v>
      </c>
      <c r="D5155" s="22">
        <v>46034</v>
      </c>
      <c r="E5155" s="23" t="s">
        <v>22656</v>
      </c>
      <c r="F5155" s="24" t="s">
        <v>22657</v>
      </c>
      <c r="G5155" s="25">
        <v>4</v>
      </c>
      <c r="H5155" s="29"/>
      <c r="I5155" s="30"/>
    </row>
    <row r="5156" spans="1:9" ht="15.75" thickBot="1" x14ac:dyDescent="0.3">
      <c r="A5156" s="43" t="s">
        <v>11318</v>
      </c>
      <c r="B5156" s="21" t="s">
        <v>11319</v>
      </c>
      <c r="C5156" s="21" t="s">
        <v>22663</v>
      </c>
      <c r="D5156" s="31">
        <v>1</v>
      </c>
      <c r="E5156" s="23" t="s">
        <v>22658</v>
      </c>
      <c r="F5156" s="24" t="s">
        <v>22657</v>
      </c>
      <c r="G5156" s="25">
        <v>2</v>
      </c>
      <c r="H5156" s="26"/>
      <c r="I5156" s="27"/>
    </row>
    <row r="5157" spans="1:9" ht="15.75" thickBot="1" x14ac:dyDescent="0.3">
      <c r="A5157" s="43" t="s">
        <v>11320</v>
      </c>
      <c r="B5157" s="21" t="s">
        <v>11321</v>
      </c>
      <c r="C5157" s="21" t="s">
        <v>22682</v>
      </c>
      <c r="D5157" s="22">
        <v>46034</v>
      </c>
      <c r="E5157" s="23" t="s">
        <v>22656</v>
      </c>
      <c r="F5157" s="24" t="s">
        <v>22657</v>
      </c>
      <c r="G5157" s="25">
        <v>4</v>
      </c>
      <c r="H5157" s="29"/>
      <c r="I5157" s="30"/>
    </row>
    <row r="5158" spans="1:9" ht="15.75" thickBot="1" x14ac:dyDescent="0.3">
      <c r="A5158" s="43" t="s">
        <v>11322</v>
      </c>
      <c r="B5158" s="21" t="s">
        <v>11323</v>
      </c>
      <c r="C5158" s="21" t="s">
        <v>22682</v>
      </c>
      <c r="D5158" s="22">
        <v>46034</v>
      </c>
      <c r="E5158" s="23" t="s">
        <v>22658</v>
      </c>
      <c r="F5158" s="24" t="s">
        <v>22657</v>
      </c>
      <c r="G5158" s="25">
        <v>4</v>
      </c>
      <c r="H5158" s="26"/>
      <c r="I5158" s="27"/>
    </row>
    <row r="5159" spans="1:9" ht="15.75" thickBot="1" x14ac:dyDescent="0.3">
      <c r="A5159" s="43" t="s">
        <v>11324</v>
      </c>
      <c r="B5159" s="21" t="s">
        <v>11325</v>
      </c>
      <c r="C5159" s="21" t="s">
        <v>22682</v>
      </c>
      <c r="D5159" s="22">
        <v>46034</v>
      </c>
      <c r="E5159" s="23" t="s">
        <v>22658</v>
      </c>
      <c r="F5159" s="24" t="s">
        <v>22657</v>
      </c>
      <c r="G5159" s="25">
        <v>4</v>
      </c>
      <c r="H5159" s="29"/>
      <c r="I5159" s="30"/>
    </row>
    <row r="5160" spans="1:9" ht="15.75" thickBot="1" x14ac:dyDescent="0.3">
      <c r="A5160" s="43" t="s">
        <v>11326</v>
      </c>
      <c r="B5160" s="21" t="s">
        <v>11327</v>
      </c>
      <c r="C5160" s="21" t="s">
        <v>22682</v>
      </c>
      <c r="D5160" s="22">
        <v>46034</v>
      </c>
      <c r="E5160" s="23" t="s">
        <v>22658</v>
      </c>
      <c r="F5160" s="24" t="s">
        <v>22657</v>
      </c>
      <c r="G5160" s="25">
        <v>4</v>
      </c>
      <c r="H5160" s="26"/>
      <c r="I5160" s="27"/>
    </row>
    <row r="5161" spans="1:9" ht="15.75" thickBot="1" x14ac:dyDescent="0.3">
      <c r="A5161" s="43" t="s">
        <v>11328</v>
      </c>
      <c r="B5161" s="21" t="s">
        <v>11329</v>
      </c>
      <c r="C5161" s="21" t="s">
        <v>22682</v>
      </c>
      <c r="D5161" s="22">
        <v>46034</v>
      </c>
      <c r="E5161" s="23" t="s">
        <v>22658</v>
      </c>
      <c r="F5161" s="24" t="s">
        <v>22657</v>
      </c>
      <c r="G5161" s="25">
        <v>4</v>
      </c>
      <c r="H5161" s="29"/>
      <c r="I5161" s="30"/>
    </row>
    <row r="5162" spans="1:9" ht="15.75" thickBot="1" x14ac:dyDescent="0.3">
      <c r="A5162" s="43" t="s">
        <v>11330</v>
      </c>
      <c r="B5162" s="21" t="s">
        <v>11331</v>
      </c>
      <c r="C5162" s="21" t="s">
        <v>22682</v>
      </c>
      <c r="D5162" s="22">
        <v>46034</v>
      </c>
      <c r="E5162" s="23" t="s">
        <v>22656</v>
      </c>
      <c r="F5162" s="24" t="s">
        <v>22657</v>
      </c>
      <c r="G5162" s="25">
        <v>4</v>
      </c>
      <c r="H5162" s="26"/>
      <c r="I5162" s="27"/>
    </row>
    <row r="5163" spans="1:9" ht="15.75" thickBot="1" x14ac:dyDescent="0.3">
      <c r="A5163" s="43" t="s">
        <v>11332</v>
      </c>
      <c r="B5163" s="21" t="s">
        <v>11333</v>
      </c>
      <c r="C5163" s="21" t="s">
        <v>22682</v>
      </c>
      <c r="D5163" s="22">
        <v>46034</v>
      </c>
      <c r="E5163" s="23" t="s">
        <v>22656</v>
      </c>
      <c r="F5163" s="24" t="s">
        <v>22657</v>
      </c>
      <c r="G5163" s="25">
        <v>4</v>
      </c>
      <c r="H5163" s="29"/>
      <c r="I5163" s="30"/>
    </row>
    <row r="5164" spans="1:9" ht="15.75" thickBot="1" x14ac:dyDescent="0.3">
      <c r="A5164" s="43" t="s">
        <v>11334</v>
      </c>
      <c r="B5164" s="21" t="s">
        <v>11335</v>
      </c>
      <c r="C5164" s="21" t="s">
        <v>22682</v>
      </c>
      <c r="D5164" s="22">
        <v>46034</v>
      </c>
      <c r="E5164" s="23" t="s">
        <v>22656</v>
      </c>
      <c r="F5164" s="24" t="s">
        <v>22657</v>
      </c>
      <c r="G5164" s="25">
        <v>4</v>
      </c>
      <c r="H5164" s="26"/>
      <c r="I5164" s="27"/>
    </row>
    <row r="5165" spans="1:9" ht="15.75" thickBot="1" x14ac:dyDescent="0.3">
      <c r="A5165" s="43" t="s">
        <v>11336</v>
      </c>
      <c r="B5165" s="21" t="s">
        <v>11337</v>
      </c>
      <c r="C5165" s="21" t="s">
        <v>22682</v>
      </c>
      <c r="D5165" s="22">
        <v>46034</v>
      </c>
      <c r="E5165" s="23" t="s">
        <v>22656</v>
      </c>
      <c r="F5165" s="24" t="s">
        <v>22657</v>
      </c>
      <c r="G5165" s="25">
        <v>4</v>
      </c>
      <c r="H5165" s="29"/>
      <c r="I5165" s="30"/>
    </row>
    <row r="5166" spans="1:9" ht="15.75" thickBot="1" x14ac:dyDescent="0.3">
      <c r="A5166" s="43" t="s">
        <v>11338</v>
      </c>
      <c r="B5166" s="21" t="s">
        <v>11339</v>
      </c>
      <c r="C5166" s="21" t="s">
        <v>22682</v>
      </c>
      <c r="D5166" s="22">
        <v>46034</v>
      </c>
      <c r="E5166" s="23" t="s">
        <v>22656</v>
      </c>
      <c r="F5166" s="24" t="s">
        <v>22657</v>
      </c>
      <c r="G5166" s="25">
        <v>4</v>
      </c>
      <c r="H5166" s="26"/>
      <c r="I5166" s="27"/>
    </row>
    <row r="5167" spans="1:9" ht="15.75" thickBot="1" x14ac:dyDescent="0.3">
      <c r="A5167" s="43" t="s">
        <v>11340</v>
      </c>
      <c r="B5167" s="21" t="s">
        <v>11341</v>
      </c>
      <c r="C5167" s="21" t="s">
        <v>22682</v>
      </c>
      <c r="D5167" s="22">
        <v>46034</v>
      </c>
      <c r="E5167" s="23" t="s">
        <v>22656</v>
      </c>
      <c r="F5167" s="24" t="s">
        <v>22657</v>
      </c>
      <c r="G5167" s="25">
        <v>4</v>
      </c>
      <c r="H5167" s="29"/>
      <c r="I5167" s="30"/>
    </row>
    <row r="5168" spans="1:9" ht="15.75" thickBot="1" x14ac:dyDescent="0.3">
      <c r="A5168" s="43" t="s">
        <v>11342</v>
      </c>
      <c r="B5168" s="21" t="s">
        <v>11343</v>
      </c>
      <c r="C5168" s="21" t="s">
        <v>22682</v>
      </c>
      <c r="D5168" s="22">
        <v>46034</v>
      </c>
      <c r="E5168" s="23" t="s">
        <v>22656</v>
      </c>
      <c r="F5168" s="24" t="s">
        <v>22657</v>
      </c>
      <c r="G5168" s="25">
        <v>4</v>
      </c>
      <c r="H5168" s="26"/>
      <c r="I5168" s="27"/>
    </row>
    <row r="5169" spans="1:9" ht="15.75" thickBot="1" x14ac:dyDescent="0.3">
      <c r="A5169" s="43" t="s">
        <v>11344</v>
      </c>
      <c r="B5169" s="21" t="s">
        <v>11345</v>
      </c>
      <c r="C5169" s="21" t="s">
        <v>22682</v>
      </c>
      <c r="D5169" s="22">
        <v>46034</v>
      </c>
      <c r="E5169" s="23" t="s">
        <v>22656</v>
      </c>
      <c r="F5169" s="24" t="s">
        <v>22657</v>
      </c>
      <c r="G5169" s="25">
        <v>4</v>
      </c>
      <c r="H5169" s="29"/>
      <c r="I5169" s="30"/>
    </row>
    <row r="5170" spans="1:9" ht="15.75" thickBot="1" x14ac:dyDescent="0.3">
      <c r="A5170" s="43" t="s">
        <v>11346</v>
      </c>
      <c r="B5170" s="21" t="s">
        <v>11347</v>
      </c>
      <c r="C5170" s="21" t="s">
        <v>22682</v>
      </c>
      <c r="D5170" s="22">
        <v>46034</v>
      </c>
      <c r="E5170" s="23" t="s">
        <v>22656</v>
      </c>
      <c r="F5170" s="24" t="s">
        <v>22657</v>
      </c>
      <c r="G5170" s="25">
        <v>4</v>
      </c>
      <c r="H5170" s="26"/>
      <c r="I5170" s="27"/>
    </row>
    <row r="5171" spans="1:9" ht="15.75" thickBot="1" x14ac:dyDescent="0.3">
      <c r="A5171" s="43" t="s">
        <v>11348</v>
      </c>
      <c r="B5171" s="21" t="s">
        <v>11349</v>
      </c>
      <c r="C5171" s="21" t="s">
        <v>22682</v>
      </c>
      <c r="D5171" s="22">
        <v>46034</v>
      </c>
      <c r="E5171" s="23" t="s">
        <v>22656</v>
      </c>
      <c r="F5171" s="24" t="s">
        <v>22657</v>
      </c>
      <c r="G5171" s="25">
        <v>4</v>
      </c>
      <c r="H5171" s="29"/>
      <c r="I5171" s="30"/>
    </row>
    <row r="5172" spans="1:9" ht="15.75" thickBot="1" x14ac:dyDescent="0.3">
      <c r="A5172" s="43" t="s">
        <v>11350</v>
      </c>
      <c r="B5172" s="21" t="s">
        <v>11351</v>
      </c>
      <c r="C5172" s="21" t="s">
        <v>22682</v>
      </c>
      <c r="D5172" s="22">
        <v>46034</v>
      </c>
      <c r="E5172" s="23" t="s">
        <v>22656</v>
      </c>
      <c r="F5172" s="24" t="s">
        <v>22657</v>
      </c>
      <c r="G5172" s="25">
        <v>4</v>
      </c>
      <c r="H5172" s="26"/>
      <c r="I5172" s="27"/>
    </row>
    <row r="5173" spans="1:9" ht="15.75" thickBot="1" x14ac:dyDescent="0.3">
      <c r="A5173" s="43" t="s">
        <v>11352</v>
      </c>
      <c r="B5173" s="21" t="s">
        <v>11353</v>
      </c>
      <c r="C5173" s="21" t="s">
        <v>22682</v>
      </c>
      <c r="D5173" s="22">
        <v>46034</v>
      </c>
      <c r="E5173" s="23" t="s">
        <v>22656</v>
      </c>
      <c r="F5173" s="24" t="s">
        <v>22657</v>
      </c>
      <c r="G5173" s="25">
        <v>4</v>
      </c>
      <c r="H5173" s="29"/>
      <c r="I5173" s="30"/>
    </row>
    <row r="5174" spans="1:9" ht="15.75" thickBot="1" x14ac:dyDescent="0.3">
      <c r="A5174" s="43" t="s">
        <v>11354</v>
      </c>
      <c r="B5174" s="21" t="s">
        <v>11355</v>
      </c>
      <c r="C5174" s="21" t="s">
        <v>22682</v>
      </c>
      <c r="D5174" s="22">
        <v>46034</v>
      </c>
      <c r="E5174" s="23" t="s">
        <v>22656</v>
      </c>
      <c r="F5174" s="24" t="s">
        <v>22657</v>
      </c>
      <c r="G5174" s="25">
        <v>4</v>
      </c>
      <c r="H5174" s="26"/>
      <c r="I5174" s="27"/>
    </row>
    <row r="5175" spans="1:9" ht="15.75" thickBot="1" x14ac:dyDescent="0.3">
      <c r="A5175" s="43" t="s">
        <v>11356</v>
      </c>
      <c r="B5175" s="21" t="s">
        <v>11357</v>
      </c>
      <c r="C5175" s="21" t="s">
        <v>22682</v>
      </c>
      <c r="D5175" s="22">
        <v>46034</v>
      </c>
      <c r="E5175" s="23" t="s">
        <v>22656</v>
      </c>
      <c r="F5175" s="24" t="s">
        <v>22657</v>
      </c>
      <c r="G5175" s="25">
        <v>4</v>
      </c>
      <c r="H5175" s="29"/>
      <c r="I5175" s="30"/>
    </row>
    <row r="5176" spans="1:9" ht="15.75" thickBot="1" x14ac:dyDescent="0.3">
      <c r="A5176" s="43" t="s">
        <v>11358</v>
      </c>
      <c r="B5176" s="21" t="s">
        <v>11359</v>
      </c>
      <c r="C5176" s="21" t="s">
        <v>22682</v>
      </c>
      <c r="D5176" s="22">
        <v>46034</v>
      </c>
      <c r="E5176" s="23" t="s">
        <v>22656</v>
      </c>
      <c r="F5176" s="24" t="s">
        <v>22657</v>
      </c>
      <c r="G5176" s="25">
        <v>4</v>
      </c>
      <c r="H5176" s="26"/>
      <c r="I5176" s="27"/>
    </row>
    <row r="5177" spans="1:9" ht="15.75" thickBot="1" x14ac:dyDescent="0.3">
      <c r="A5177" s="43" t="s">
        <v>11360</v>
      </c>
      <c r="B5177" s="21" t="s">
        <v>11361</v>
      </c>
      <c r="C5177" s="21" t="s">
        <v>22682</v>
      </c>
      <c r="D5177" s="22">
        <v>46034</v>
      </c>
      <c r="E5177" s="23" t="s">
        <v>22656</v>
      </c>
      <c r="F5177" s="24" t="s">
        <v>22657</v>
      </c>
      <c r="G5177" s="25">
        <v>4</v>
      </c>
      <c r="H5177" s="29"/>
      <c r="I5177" s="30"/>
    </row>
    <row r="5178" spans="1:9" ht="15.75" thickBot="1" x14ac:dyDescent="0.3">
      <c r="A5178" s="43" t="s">
        <v>11362</v>
      </c>
      <c r="B5178" s="21" t="s">
        <v>11363</v>
      </c>
      <c r="C5178" s="21" t="s">
        <v>22682</v>
      </c>
      <c r="D5178" s="22">
        <v>46034</v>
      </c>
      <c r="E5178" s="23" t="s">
        <v>22656</v>
      </c>
      <c r="F5178" s="24" t="s">
        <v>22657</v>
      </c>
      <c r="G5178" s="25">
        <v>4</v>
      </c>
      <c r="H5178" s="26"/>
      <c r="I5178" s="27"/>
    </row>
    <row r="5179" spans="1:9" ht="15.75" thickBot="1" x14ac:dyDescent="0.3">
      <c r="A5179" s="43" t="s">
        <v>11364</v>
      </c>
      <c r="B5179" s="21" t="s">
        <v>11365</v>
      </c>
      <c r="C5179" s="21" t="s">
        <v>22682</v>
      </c>
      <c r="D5179" s="22">
        <v>46034</v>
      </c>
      <c r="E5179" s="23" t="s">
        <v>22656</v>
      </c>
      <c r="F5179" s="24" t="s">
        <v>22657</v>
      </c>
      <c r="G5179" s="25">
        <v>4</v>
      </c>
      <c r="H5179" s="29"/>
      <c r="I5179" s="30"/>
    </row>
    <row r="5180" spans="1:9" ht="15.75" thickBot="1" x14ac:dyDescent="0.3">
      <c r="A5180" s="43" t="s">
        <v>11366</v>
      </c>
      <c r="B5180" s="21" t="s">
        <v>11367</v>
      </c>
      <c r="C5180" s="21" t="s">
        <v>22682</v>
      </c>
      <c r="D5180" s="22">
        <v>46034</v>
      </c>
      <c r="E5180" s="23" t="s">
        <v>22656</v>
      </c>
      <c r="F5180" s="24" t="s">
        <v>22657</v>
      </c>
      <c r="G5180" s="25">
        <v>3</v>
      </c>
      <c r="H5180" s="34">
        <v>3</v>
      </c>
      <c r="I5180" s="35">
        <v>6</v>
      </c>
    </row>
    <row r="5181" spans="1:9" ht="15.75" thickBot="1" x14ac:dyDescent="0.3">
      <c r="A5181" s="43" t="s">
        <v>11368</v>
      </c>
      <c r="B5181" s="21" t="s">
        <v>11369</v>
      </c>
      <c r="C5181" s="21" t="s">
        <v>22682</v>
      </c>
      <c r="D5181" s="22">
        <v>46034</v>
      </c>
      <c r="E5181" s="23" t="s">
        <v>22656</v>
      </c>
      <c r="F5181" s="24" t="s">
        <v>22657</v>
      </c>
      <c r="G5181" s="25">
        <v>4</v>
      </c>
      <c r="H5181" s="29"/>
      <c r="I5181" s="30"/>
    </row>
    <row r="5182" spans="1:9" ht="15.75" thickBot="1" x14ac:dyDescent="0.3">
      <c r="A5182" s="43" t="s">
        <v>11370</v>
      </c>
      <c r="B5182" s="21" t="s">
        <v>11371</v>
      </c>
      <c r="C5182" s="21" t="s">
        <v>22682</v>
      </c>
      <c r="D5182" s="22">
        <v>46034</v>
      </c>
      <c r="E5182" s="23" t="s">
        <v>22656</v>
      </c>
      <c r="F5182" s="24" t="s">
        <v>22657</v>
      </c>
      <c r="G5182" s="25">
        <v>4</v>
      </c>
      <c r="H5182" s="26"/>
      <c r="I5182" s="27"/>
    </row>
    <row r="5183" spans="1:9" ht="15.75" thickBot="1" x14ac:dyDescent="0.3">
      <c r="A5183" s="43" t="s">
        <v>11372</v>
      </c>
      <c r="B5183" s="21" t="s">
        <v>11373</v>
      </c>
      <c r="C5183" s="21" t="s">
        <v>22682</v>
      </c>
      <c r="D5183" s="22">
        <v>46034</v>
      </c>
      <c r="E5183" s="23" t="s">
        <v>22656</v>
      </c>
      <c r="F5183" s="24" t="s">
        <v>22657</v>
      </c>
      <c r="G5183" s="25">
        <v>4</v>
      </c>
      <c r="H5183" s="29"/>
      <c r="I5183" s="30"/>
    </row>
    <row r="5184" spans="1:9" ht="15.75" thickBot="1" x14ac:dyDescent="0.3">
      <c r="A5184" s="43" t="s">
        <v>11374</v>
      </c>
      <c r="B5184" s="21" t="s">
        <v>11375</v>
      </c>
      <c r="C5184" s="21" t="s">
        <v>22682</v>
      </c>
      <c r="D5184" s="22">
        <v>46034</v>
      </c>
      <c r="E5184" s="23" t="s">
        <v>22656</v>
      </c>
      <c r="F5184" s="24" t="s">
        <v>22657</v>
      </c>
      <c r="G5184" s="25">
        <v>4</v>
      </c>
      <c r="H5184" s="26"/>
      <c r="I5184" s="27"/>
    </row>
    <row r="5185" spans="1:9" ht="15.75" thickBot="1" x14ac:dyDescent="0.3">
      <c r="A5185" s="43" t="s">
        <v>11376</v>
      </c>
      <c r="B5185" s="21" t="s">
        <v>11377</v>
      </c>
      <c r="C5185" s="21" t="s">
        <v>22663</v>
      </c>
      <c r="D5185" s="31">
        <v>1</v>
      </c>
      <c r="E5185" s="23" t="s">
        <v>22656</v>
      </c>
      <c r="F5185" s="24" t="s">
        <v>22657</v>
      </c>
      <c r="G5185" s="25">
        <v>2</v>
      </c>
      <c r="H5185" s="29"/>
      <c r="I5185" s="30"/>
    </row>
    <row r="5186" spans="1:9" ht="15.75" thickBot="1" x14ac:dyDescent="0.3">
      <c r="A5186" s="43" t="s">
        <v>11378</v>
      </c>
      <c r="B5186" s="21" t="s">
        <v>11379</v>
      </c>
      <c r="C5186" s="21" t="s">
        <v>22663</v>
      </c>
      <c r="D5186" s="31">
        <v>1</v>
      </c>
      <c r="E5186" s="23" t="s">
        <v>22656</v>
      </c>
      <c r="F5186" s="24" t="s">
        <v>22657</v>
      </c>
      <c r="G5186" s="25">
        <v>2</v>
      </c>
      <c r="H5186" s="26"/>
      <c r="I5186" s="27"/>
    </row>
    <row r="5187" spans="1:9" ht="15.75" thickBot="1" x14ac:dyDescent="0.3">
      <c r="A5187" s="43" t="s">
        <v>11380</v>
      </c>
      <c r="B5187" s="21" t="s">
        <v>11381</v>
      </c>
      <c r="C5187" s="21" t="s">
        <v>22663</v>
      </c>
      <c r="D5187" s="31">
        <v>1</v>
      </c>
      <c r="E5187" s="23" t="s">
        <v>22656</v>
      </c>
      <c r="F5187" s="24" t="s">
        <v>22657</v>
      </c>
      <c r="G5187" s="25">
        <v>2</v>
      </c>
      <c r="H5187" s="29"/>
      <c r="I5187" s="30"/>
    </row>
    <row r="5188" spans="1:9" ht="15.75" thickBot="1" x14ac:dyDescent="0.3">
      <c r="A5188" s="43" t="s">
        <v>11382</v>
      </c>
      <c r="B5188" s="21" t="s">
        <v>11383</v>
      </c>
      <c r="C5188" s="21" t="s">
        <v>22663</v>
      </c>
      <c r="D5188" s="31">
        <v>1</v>
      </c>
      <c r="E5188" s="23" t="s">
        <v>22658</v>
      </c>
      <c r="F5188" s="24" t="s">
        <v>22657</v>
      </c>
      <c r="G5188" s="25">
        <v>2</v>
      </c>
      <c r="H5188" s="26"/>
      <c r="I5188" s="27"/>
    </row>
    <row r="5189" spans="1:9" ht="15.75" thickBot="1" x14ac:dyDescent="0.3">
      <c r="A5189" s="43" t="s">
        <v>11384</v>
      </c>
      <c r="B5189" s="21" t="s">
        <v>11385</v>
      </c>
      <c r="C5189" s="21" t="s">
        <v>22663</v>
      </c>
      <c r="D5189" s="31">
        <v>1</v>
      </c>
      <c r="E5189" s="23" t="s">
        <v>22656</v>
      </c>
      <c r="F5189" s="24" t="s">
        <v>22657</v>
      </c>
      <c r="G5189" s="25">
        <v>2</v>
      </c>
      <c r="H5189" s="29"/>
      <c r="I5189" s="30"/>
    </row>
    <row r="5190" spans="1:9" ht="15.75" thickBot="1" x14ac:dyDescent="0.3">
      <c r="A5190" s="43" t="s">
        <v>11386</v>
      </c>
      <c r="B5190" s="21" t="s">
        <v>11387</v>
      </c>
      <c r="C5190" s="21" t="s">
        <v>22663</v>
      </c>
      <c r="D5190" s="31">
        <v>1</v>
      </c>
      <c r="E5190" s="23" t="s">
        <v>22656</v>
      </c>
      <c r="F5190" s="24" t="s">
        <v>22657</v>
      </c>
      <c r="G5190" s="25">
        <v>2</v>
      </c>
      <c r="H5190" s="26"/>
      <c r="I5190" s="27"/>
    </row>
    <row r="5191" spans="1:9" ht="15.75" thickBot="1" x14ac:dyDescent="0.3">
      <c r="A5191" s="43" t="s">
        <v>11388</v>
      </c>
      <c r="B5191" s="21" t="s">
        <v>11389</v>
      </c>
      <c r="C5191" s="21" t="s">
        <v>22663</v>
      </c>
      <c r="D5191" s="31">
        <v>1</v>
      </c>
      <c r="E5191" s="23" t="s">
        <v>22658</v>
      </c>
      <c r="F5191" s="24" t="s">
        <v>22657</v>
      </c>
      <c r="G5191" s="25">
        <v>1</v>
      </c>
      <c r="H5191" s="29"/>
      <c r="I5191" s="30"/>
    </row>
    <row r="5192" spans="1:9" ht="15.75" thickBot="1" x14ac:dyDescent="0.3">
      <c r="A5192" s="43" t="s">
        <v>11390</v>
      </c>
      <c r="B5192" s="21" t="s">
        <v>11391</v>
      </c>
      <c r="C5192" s="21" t="s">
        <v>22663</v>
      </c>
      <c r="D5192" s="31">
        <v>1</v>
      </c>
      <c r="E5192" s="23" t="s">
        <v>22658</v>
      </c>
      <c r="F5192" s="24" t="s">
        <v>22657</v>
      </c>
      <c r="G5192" s="25">
        <v>2</v>
      </c>
      <c r="H5192" s="26"/>
      <c r="I5192" s="27"/>
    </row>
    <row r="5193" spans="1:9" ht="15.75" thickBot="1" x14ac:dyDescent="0.3">
      <c r="A5193" s="43" t="s">
        <v>11392</v>
      </c>
      <c r="B5193" s="21" t="s">
        <v>11393</v>
      </c>
      <c r="C5193" s="21" t="s">
        <v>22663</v>
      </c>
      <c r="D5193" s="31">
        <v>1</v>
      </c>
      <c r="E5193" s="23" t="s">
        <v>22656</v>
      </c>
      <c r="F5193" s="24" t="s">
        <v>22657</v>
      </c>
      <c r="G5193" s="25">
        <v>3</v>
      </c>
      <c r="H5193" s="29"/>
      <c r="I5193" s="30"/>
    </row>
    <row r="5194" spans="1:9" ht="15.75" thickBot="1" x14ac:dyDescent="0.3">
      <c r="A5194" s="43" t="s">
        <v>11394</v>
      </c>
      <c r="B5194" s="21" t="s">
        <v>11395</v>
      </c>
      <c r="C5194" s="21" t="s">
        <v>22663</v>
      </c>
      <c r="D5194" s="31">
        <v>1</v>
      </c>
      <c r="E5194" s="23" t="s">
        <v>22656</v>
      </c>
      <c r="F5194" s="24" t="s">
        <v>22657</v>
      </c>
      <c r="G5194" s="25">
        <v>2</v>
      </c>
      <c r="H5194" s="26"/>
      <c r="I5194" s="27"/>
    </row>
    <row r="5195" spans="1:9" ht="15.75" thickBot="1" x14ac:dyDescent="0.3">
      <c r="A5195" s="43" t="s">
        <v>11396</v>
      </c>
      <c r="B5195" s="21" t="s">
        <v>11397</v>
      </c>
      <c r="C5195" s="21" t="s">
        <v>22682</v>
      </c>
      <c r="D5195" s="22">
        <v>46034</v>
      </c>
      <c r="E5195" s="23" t="s">
        <v>22656</v>
      </c>
      <c r="F5195" s="24" t="s">
        <v>22657</v>
      </c>
      <c r="G5195" s="25">
        <v>4</v>
      </c>
      <c r="H5195" s="29"/>
      <c r="I5195" s="30"/>
    </row>
    <row r="5196" spans="1:9" ht="15.75" thickBot="1" x14ac:dyDescent="0.3">
      <c r="A5196" s="43" t="s">
        <v>11398</v>
      </c>
      <c r="B5196" s="21" t="s">
        <v>11399</v>
      </c>
      <c r="C5196" s="21" t="s">
        <v>22682</v>
      </c>
      <c r="D5196" s="22">
        <v>46034</v>
      </c>
      <c r="E5196" s="23" t="s">
        <v>22656</v>
      </c>
      <c r="F5196" s="24" t="s">
        <v>22657</v>
      </c>
      <c r="G5196" s="25">
        <v>4</v>
      </c>
      <c r="H5196" s="26"/>
      <c r="I5196" s="27"/>
    </row>
    <row r="5197" spans="1:9" ht="15.75" thickBot="1" x14ac:dyDescent="0.3">
      <c r="A5197" s="43" t="s">
        <v>11400</v>
      </c>
      <c r="B5197" s="21" t="s">
        <v>11401</v>
      </c>
      <c r="C5197" s="21" t="s">
        <v>22682</v>
      </c>
      <c r="D5197" s="22">
        <v>46034</v>
      </c>
      <c r="E5197" s="23" t="s">
        <v>22656</v>
      </c>
      <c r="F5197" s="24" t="s">
        <v>22657</v>
      </c>
      <c r="G5197" s="25">
        <v>4</v>
      </c>
      <c r="H5197" s="29"/>
      <c r="I5197" s="30"/>
    </row>
    <row r="5198" spans="1:9" ht="15.75" thickBot="1" x14ac:dyDescent="0.3">
      <c r="A5198" s="43" t="s">
        <v>11402</v>
      </c>
      <c r="B5198" s="21" t="s">
        <v>11403</v>
      </c>
      <c r="C5198" s="21" t="s">
        <v>22682</v>
      </c>
      <c r="D5198" s="22">
        <v>46034</v>
      </c>
      <c r="E5198" s="23" t="s">
        <v>22656</v>
      </c>
      <c r="F5198" s="24" t="s">
        <v>22657</v>
      </c>
      <c r="G5198" s="25">
        <v>4</v>
      </c>
      <c r="H5198" s="26"/>
      <c r="I5198" s="27"/>
    </row>
    <row r="5199" spans="1:9" ht="15.75" thickBot="1" x14ac:dyDescent="0.3">
      <c r="A5199" s="43" t="s">
        <v>11404</v>
      </c>
      <c r="B5199" s="21" t="s">
        <v>11405</v>
      </c>
      <c r="C5199" s="21" t="s">
        <v>22682</v>
      </c>
      <c r="D5199" s="22">
        <v>46034</v>
      </c>
      <c r="E5199" s="23" t="s">
        <v>22656</v>
      </c>
      <c r="F5199" s="24" t="s">
        <v>22657</v>
      </c>
      <c r="G5199" s="25">
        <v>5</v>
      </c>
      <c r="H5199" s="29"/>
      <c r="I5199" s="30"/>
    </row>
    <row r="5200" spans="1:9" ht="15.75" thickBot="1" x14ac:dyDescent="0.3">
      <c r="A5200" s="43" t="s">
        <v>11406</v>
      </c>
      <c r="B5200" s="21" t="s">
        <v>11407</v>
      </c>
      <c r="C5200" s="21" t="s">
        <v>22682</v>
      </c>
      <c r="D5200" s="22">
        <v>46034</v>
      </c>
      <c r="E5200" s="23" t="s">
        <v>22656</v>
      </c>
      <c r="F5200" s="24" t="s">
        <v>22657</v>
      </c>
      <c r="G5200" s="25">
        <v>4</v>
      </c>
      <c r="H5200" s="26"/>
      <c r="I5200" s="27"/>
    </row>
    <row r="5201" spans="1:9" ht="15.75" thickBot="1" x14ac:dyDescent="0.3">
      <c r="A5201" s="43" t="s">
        <v>11408</v>
      </c>
      <c r="B5201" s="21" t="s">
        <v>11409</v>
      </c>
      <c r="C5201" s="21" t="s">
        <v>22682</v>
      </c>
      <c r="D5201" s="22">
        <v>46034</v>
      </c>
      <c r="E5201" s="23" t="s">
        <v>22656</v>
      </c>
      <c r="F5201" s="24" t="s">
        <v>22657</v>
      </c>
      <c r="G5201" s="25">
        <v>4</v>
      </c>
      <c r="H5201" s="29"/>
      <c r="I5201" s="30"/>
    </row>
    <row r="5202" spans="1:9" ht="15.75" thickBot="1" x14ac:dyDescent="0.3">
      <c r="A5202" s="43" t="s">
        <v>11410</v>
      </c>
      <c r="B5202" s="21" t="s">
        <v>11411</v>
      </c>
      <c r="C5202" s="21" t="s">
        <v>22682</v>
      </c>
      <c r="D5202" s="22">
        <v>46034</v>
      </c>
      <c r="E5202" s="23" t="s">
        <v>22656</v>
      </c>
      <c r="F5202" s="24" t="s">
        <v>22657</v>
      </c>
      <c r="G5202" s="25">
        <v>4</v>
      </c>
      <c r="H5202" s="26"/>
      <c r="I5202" s="27"/>
    </row>
    <row r="5203" spans="1:9" ht="15.75" thickBot="1" x14ac:dyDescent="0.3">
      <c r="A5203" s="43" t="s">
        <v>11412</v>
      </c>
      <c r="B5203" s="21" t="s">
        <v>11413</v>
      </c>
      <c r="C5203" s="21" t="s">
        <v>22682</v>
      </c>
      <c r="D5203" s="22">
        <v>46034</v>
      </c>
      <c r="E5203" s="23" t="s">
        <v>22656</v>
      </c>
      <c r="F5203" s="24" t="s">
        <v>22657</v>
      </c>
      <c r="G5203" s="25">
        <v>4</v>
      </c>
      <c r="H5203" s="29"/>
      <c r="I5203" s="30"/>
    </row>
    <row r="5204" spans="1:9" ht="15.75" thickBot="1" x14ac:dyDescent="0.3">
      <c r="A5204" s="43" t="s">
        <v>11414</v>
      </c>
      <c r="B5204" s="21" t="s">
        <v>11415</v>
      </c>
      <c r="C5204" s="21" t="s">
        <v>22682</v>
      </c>
      <c r="D5204" s="22">
        <v>46034</v>
      </c>
      <c r="E5204" s="23" t="s">
        <v>22656</v>
      </c>
      <c r="F5204" s="24" t="s">
        <v>22657</v>
      </c>
      <c r="G5204" s="25">
        <v>4</v>
      </c>
      <c r="H5204" s="26"/>
      <c r="I5204" s="27"/>
    </row>
    <row r="5205" spans="1:9" ht="15.75" thickBot="1" x14ac:dyDescent="0.3">
      <c r="A5205" s="43" t="s">
        <v>11416</v>
      </c>
      <c r="B5205" s="21" t="s">
        <v>11417</v>
      </c>
      <c r="C5205" s="21" t="s">
        <v>22682</v>
      </c>
      <c r="D5205" s="22">
        <v>46034</v>
      </c>
      <c r="E5205" s="23" t="s">
        <v>22656</v>
      </c>
      <c r="F5205" s="24" t="s">
        <v>22657</v>
      </c>
      <c r="G5205" s="25">
        <v>4</v>
      </c>
      <c r="H5205" s="29"/>
      <c r="I5205" s="30"/>
    </row>
    <row r="5206" spans="1:9" ht="15.75" thickBot="1" x14ac:dyDescent="0.3">
      <c r="A5206" s="43" t="s">
        <v>11418</v>
      </c>
      <c r="B5206" s="21" t="s">
        <v>11419</v>
      </c>
      <c r="C5206" s="21" t="s">
        <v>22682</v>
      </c>
      <c r="D5206" s="22">
        <v>46034</v>
      </c>
      <c r="E5206" s="23" t="s">
        <v>22658</v>
      </c>
      <c r="F5206" s="24" t="s">
        <v>22657</v>
      </c>
      <c r="G5206" s="25">
        <v>4</v>
      </c>
      <c r="H5206" s="26"/>
      <c r="I5206" s="27"/>
    </row>
    <row r="5207" spans="1:9" ht="15.75" thickBot="1" x14ac:dyDescent="0.3">
      <c r="A5207" s="43" t="s">
        <v>11420</v>
      </c>
      <c r="B5207" s="21" t="s">
        <v>11421</v>
      </c>
      <c r="C5207" s="21" t="s">
        <v>22682</v>
      </c>
      <c r="D5207" s="22">
        <v>46034</v>
      </c>
      <c r="E5207" s="23" t="s">
        <v>22658</v>
      </c>
      <c r="F5207" s="24" t="s">
        <v>22657</v>
      </c>
      <c r="G5207" s="25">
        <v>4</v>
      </c>
      <c r="H5207" s="29"/>
      <c r="I5207" s="30"/>
    </row>
    <row r="5208" spans="1:9" ht="15.75" thickBot="1" x14ac:dyDescent="0.3">
      <c r="A5208" s="43" t="s">
        <v>11422</v>
      </c>
      <c r="B5208" s="21" t="s">
        <v>11423</v>
      </c>
      <c r="C5208" s="21" t="s">
        <v>22682</v>
      </c>
      <c r="D5208" s="22">
        <v>46034</v>
      </c>
      <c r="E5208" s="23" t="s">
        <v>22658</v>
      </c>
      <c r="F5208" s="24" t="s">
        <v>22657</v>
      </c>
      <c r="G5208" s="25">
        <v>4</v>
      </c>
      <c r="H5208" s="26"/>
      <c r="I5208" s="27"/>
    </row>
    <row r="5209" spans="1:9" ht="15.75" thickBot="1" x14ac:dyDescent="0.3">
      <c r="A5209" s="43" t="s">
        <v>11424</v>
      </c>
      <c r="B5209" s="21" t="s">
        <v>11425</v>
      </c>
      <c r="C5209" s="21" t="s">
        <v>22682</v>
      </c>
      <c r="D5209" s="22">
        <v>46034</v>
      </c>
      <c r="E5209" s="23" t="s">
        <v>22658</v>
      </c>
      <c r="F5209" s="24" t="s">
        <v>22657</v>
      </c>
      <c r="G5209" s="25">
        <v>4</v>
      </c>
      <c r="H5209" s="29"/>
      <c r="I5209" s="30"/>
    </row>
    <row r="5210" spans="1:9" ht="15.75" thickBot="1" x14ac:dyDescent="0.3">
      <c r="A5210" s="43" t="s">
        <v>11426</v>
      </c>
      <c r="B5210" s="21" t="s">
        <v>11427</v>
      </c>
      <c r="C5210" s="21" t="s">
        <v>22682</v>
      </c>
      <c r="D5210" s="22">
        <v>46034</v>
      </c>
      <c r="E5210" s="23" t="s">
        <v>22658</v>
      </c>
      <c r="F5210" s="24" t="s">
        <v>22657</v>
      </c>
      <c r="G5210" s="25">
        <v>4</v>
      </c>
      <c r="H5210" s="26"/>
      <c r="I5210" s="27"/>
    </row>
    <row r="5211" spans="1:9" ht="15.75" thickBot="1" x14ac:dyDescent="0.3">
      <c r="A5211" s="43" t="s">
        <v>11428</v>
      </c>
      <c r="B5211" s="21" t="s">
        <v>11429</v>
      </c>
      <c r="C5211" s="21" t="s">
        <v>22682</v>
      </c>
      <c r="D5211" s="22">
        <v>46034</v>
      </c>
      <c r="E5211" s="23" t="s">
        <v>22656</v>
      </c>
      <c r="F5211" s="24" t="s">
        <v>22657</v>
      </c>
      <c r="G5211" s="25">
        <v>4</v>
      </c>
      <c r="H5211" s="29"/>
      <c r="I5211" s="30"/>
    </row>
    <row r="5212" spans="1:9" ht="15.75" thickBot="1" x14ac:dyDescent="0.3">
      <c r="A5212" s="43" t="s">
        <v>11430</v>
      </c>
      <c r="B5212" s="21" t="s">
        <v>11431</v>
      </c>
      <c r="C5212" s="21" t="s">
        <v>22682</v>
      </c>
      <c r="D5212" s="22">
        <v>46034</v>
      </c>
      <c r="E5212" s="23" t="s">
        <v>22658</v>
      </c>
      <c r="F5212" s="24" t="s">
        <v>22657</v>
      </c>
      <c r="G5212" s="25">
        <v>4</v>
      </c>
      <c r="H5212" s="26"/>
      <c r="I5212" s="27"/>
    </row>
    <row r="5213" spans="1:9" ht="15.75" thickBot="1" x14ac:dyDescent="0.3">
      <c r="A5213" s="43" t="s">
        <v>11432</v>
      </c>
      <c r="B5213" s="21" t="s">
        <v>11433</v>
      </c>
      <c r="C5213" s="21" t="s">
        <v>22682</v>
      </c>
      <c r="D5213" s="22">
        <v>46034</v>
      </c>
      <c r="E5213" s="23" t="s">
        <v>22656</v>
      </c>
      <c r="F5213" s="24" t="s">
        <v>22657</v>
      </c>
      <c r="G5213" s="25">
        <v>4</v>
      </c>
      <c r="H5213" s="29"/>
      <c r="I5213" s="30"/>
    </row>
    <row r="5214" spans="1:9" ht="15.75" thickBot="1" x14ac:dyDescent="0.3">
      <c r="A5214" s="43" t="s">
        <v>11434</v>
      </c>
      <c r="B5214" s="21" t="s">
        <v>11435</v>
      </c>
      <c r="C5214" s="21" t="s">
        <v>22682</v>
      </c>
      <c r="D5214" s="22">
        <v>46034</v>
      </c>
      <c r="E5214" s="23" t="s">
        <v>22656</v>
      </c>
      <c r="F5214" s="24" t="s">
        <v>22657</v>
      </c>
      <c r="G5214" s="25">
        <v>4</v>
      </c>
      <c r="H5214" s="26"/>
      <c r="I5214" s="27"/>
    </row>
    <row r="5215" spans="1:9" ht="15.75" thickBot="1" x14ac:dyDescent="0.3">
      <c r="A5215" s="43" t="s">
        <v>11436</v>
      </c>
      <c r="B5215" s="21" t="s">
        <v>11437</v>
      </c>
      <c r="C5215" s="21" t="s">
        <v>22682</v>
      </c>
      <c r="D5215" s="22">
        <v>46034</v>
      </c>
      <c r="E5215" s="23" t="s">
        <v>22656</v>
      </c>
      <c r="F5215" s="24" t="s">
        <v>22657</v>
      </c>
      <c r="G5215" s="25">
        <v>4</v>
      </c>
      <c r="H5215" s="29"/>
      <c r="I5215" s="30"/>
    </row>
    <row r="5216" spans="1:9" ht="15.75" thickBot="1" x14ac:dyDescent="0.3">
      <c r="A5216" s="43" t="s">
        <v>11438</v>
      </c>
      <c r="B5216" s="21" t="s">
        <v>11439</v>
      </c>
      <c r="C5216" s="21" t="s">
        <v>22682</v>
      </c>
      <c r="D5216" s="22">
        <v>46034</v>
      </c>
      <c r="E5216" s="23" t="s">
        <v>22658</v>
      </c>
      <c r="F5216" s="24" t="s">
        <v>22657</v>
      </c>
      <c r="G5216" s="25">
        <v>4</v>
      </c>
      <c r="H5216" s="26"/>
      <c r="I5216" s="27"/>
    </row>
    <row r="5217" spans="1:9" ht="15.75" thickBot="1" x14ac:dyDescent="0.3">
      <c r="A5217" s="43" t="s">
        <v>11440</v>
      </c>
      <c r="B5217" s="21" t="s">
        <v>11441</v>
      </c>
      <c r="C5217" s="21" t="s">
        <v>22682</v>
      </c>
      <c r="D5217" s="22">
        <v>46034</v>
      </c>
      <c r="E5217" s="23" t="s">
        <v>22658</v>
      </c>
      <c r="F5217" s="24" t="s">
        <v>22657</v>
      </c>
      <c r="G5217" s="25">
        <v>4</v>
      </c>
      <c r="H5217" s="29"/>
      <c r="I5217" s="30"/>
    </row>
    <row r="5218" spans="1:9" ht="15.75" thickBot="1" x14ac:dyDescent="0.3">
      <c r="A5218" s="43" t="s">
        <v>11442</v>
      </c>
      <c r="B5218" s="21" t="s">
        <v>11443</v>
      </c>
      <c r="C5218" s="21" t="s">
        <v>22682</v>
      </c>
      <c r="D5218" s="22">
        <v>46034</v>
      </c>
      <c r="E5218" s="23" t="s">
        <v>22656</v>
      </c>
      <c r="F5218" s="24" t="s">
        <v>22657</v>
      </c>
      <c r="G5218" s="25">
        <v>4</v>
      </c>
      <c r="H5218" s="26"/>
      <c r="I5218" s="27"/>
    </row>
    <row r="5219" spans="1:9" ht="15.75" thickBot="1" x14ac:dyDescent="0.3">
      <c r="A5219" s="43" t="s">
        <v>11444</v>
      </c>
      <c r="B5219" s="21" t="s">
        <v>11445</v>
      </c>
      <c r="C5219" s="21" t="s">
        <v>22682</v>
      </c>
      <c r="D5219" s="22">
        <v>46034</v>
      </c>
      <c r="E5219" s="23" t="s">
        <v>22656</v>
      </c>
      <c r="F5219" s="24" t="s">
        <v>22657</v>
      </c>
      <c r="G5219" s="25">
        <v>4</v>
      </c>
      <c r="H5219" s="29"/>
      <c r="I5219" s="30"/>
    </row>
    <row r="5220" spans="1:9" ht="15.75" thickBot="1" x14ac:dyDescent="0.3">
      <c r="A5220" s="43" t="s">
        <v>11446</v>
      </c>
      <c r="B5220" s="21" t="s">
        <v>11447</v>
      </c>
      <c r="C5220" s="21" t="s">
        <v>22682</v>
      </c>
      <c r="D5220" s="22">
        <v>46034</v>
      </c>
      <c r="E5220" s="23" t="s">
        <v>22656</v>
      </c>
      <c r="F5220" s="24" t="s">
        <v>22657</v>
      </c>
      <c r="G5220" s="25">
        <v>4</v>
      </c>
      <c r="H5220" s="26"/>
      <c r="I5220" s="27"/>
    </row>
    <row r="5221" spans="1:9" ht="15.75" thickBot="1" x14ac:dyDescent="0.3">
      <c r="A5221" s="43" t="s">
        <v>11448</v>
      </c>
      <c r="B5221" s="21" t="s">
        <v>11449</v>
      </c>
      <c r="C5221" s="21" t="s">
        <v>22682</v>
      </c>
      <c r="D5221" s="22">
        <v>46034</v>
      </c>
      <c r="E5221" s="23" t="s">
        <v>22656</v>
      </c>
      <c r="F5221" s="24" t="s">
        <v>22657</v>
      </c>
      <c r="G5221" s="25">
        <v>4</v>
      </c>
      <c r="H5221" s="29"/>
      <c r="I5221" s="30"/>
    </row>
    <row r="5222" spans="1:9" ht="15.75" thickBot="1" x14ac:dyDescent="0.3">
      <c r="A5222" s="43" t="s">
        <v>11450</v>
      </c>
      <c r="B5222" s="21" t="s">
        <v>11451</v>
      </c>
      <c r="C5222" s="21" t="s">
        <v>22682</v>
      </c>
      <c r="D5222" s="22">
        <v>46034</v>
      </c>
      <c r="E5222" s="23" t="s">
        <v>22658</v>
      </c>
      <c r="F5222" s="24" t="s">
        <v>22657</v>
      </c>
      <c r="G5222" s="25">
        <v>4</v>
      </c>
      <c r="H5222" s="26"/>
      <c r="I5222" s="27"/>
    </row>
    <row r="5223" spans="1:9" ht="15.75" thickBot="1" x14ac:dyDescent="0.3">
      <c r="A5223" s="43" t="s">
        <v>11452</v>
      </c>
      <c r="B5223" s="21" t="s">
        <v>11453</v>
      </c>
      <c r="C5223" s="21" t="s">
        <v>22682</v>
      </c>
      <c r="D5223" s="22">
        <v>46034</v>
      </c>
      <c r="E5223" s="23" t="s">
        <v>22656</v>
      </c>
      <c r="F5223" s="24" t="s">
        <v>22657</v>
      </c>
      <c r="G5223" s="25">
        <v>4</v>
      </c>
      <c r="H5223" s="29"/>
      <c r="I5223" s="30"/>
    </row>
    <row r="5224" spans="1:9" ht="15.75" thickBot="1" x14ac:dyDescent="0.3">
      <c r="A5224" s="43" t="s">
        <v>11454</v>
      </c>
      <c r="B5224" s="21" t="s">
        <v>11455</v>
      </c>
      <c r="C5224" s="21" t="s">
        <v>22682</v>
      </c>
      <c r="D5224" s="22">
        <v>46034</v>
      </c>
      <c r="E5224" s="23" t="s">
        <v>22658</v>
      </c>
      <c r="F5224" s="24" t="s">
        <v>22657</v>
      </c>
      <c r="G5224" s="25">
        <v>4</v>
      </c>
      <c r="H5224" s="26"/>
      <c r="I5224" s="27"/>
    </row>
    <row r="5225" spans="1:9" ht="15.75" thickBot="1" x14ac:dyDescent="0.3">
      <c r="A5225" s="43" t="s">
        <v>11456</v>
      </c>
      <c r="B5225" s="21" t="s">
        <v>11457</v>
      </c>
      <c r="C5225" s="21" t="s">
        <v>22682</v>
      </c>
      <c r="D5225" s="22">
        <v>46034</v>
      </c>
      <c r="E5225" s="23" t="s">
        <v>22658</v>
      </c>
      <c r="F5225" s="24" t="s">
        <v>22657</v>
      </c>
      <c r="G5225" s="25">
        <v>4</v>
      </c>
      <c r="H5225" s="29"/>
      <c r="I5225" s="30"/>
    </row>
    <row r="5226" spans="1:9" ht="15.75" thickBot="1" x14ac:dyDescent="0.3">
      <c r="A5226" s="43" t="s">
        <v>11458</v>
      </c>
      <c r="B5226" s="21" t="s">
        <v>11459</v>
      </c>
      <c r="C5226" s="21" t="s">
        <v>22682</v>
      </c>
      <c r="D5226" s="22">
        <v>46034</v>
      </c>
      <c r="E5226" s="23" t="s">
        <v>22658</v>
      </c>
      <c r="F5226" s="24" t="s">
        <v>22657</v>
      </c>
      <c r="G5226" s="25">
        <v>4</v>
      </c>
      <c r="H5226" s="26"/>
      <c r="I5226" s="27"/>
    </row>
    <row r="5227" spans="1:9" ht="15.75" thickBot="1" x14ac:dyDescent="0.3">
      <c r="A5227" s="43" t="s">
        <v>11460</v>
      </c>
      <c r="B5227" s="21" t="s">
        <v>11461</v>
      </c>
      <c r="C5227" s="21" t="s">
        <v>22682</v>
      </c>
      <c r="D5227" s="22">
        <v>46034</v>
      </c>
      <c r="E5227" s="23" t="s">
        <v>22656</v>
      </c>
      <c r="F5227" s="24" t="s">
        <v>22657</v>
      </c>
      <c r="G5227" s="25">
        <v>4</v>
      </c>
      <c r="H5227" s="29"/>
      <c r="I5227" s="30"/>
    </row>
    <row r="5228" spans="1:9" ht="15.75" thickBot="1" x14ac:dyDescent="0.3">
      <c r="A5228" s="43" t="s">
        <v>11462</v>
      </c>
      <c r="B5228" s="21" t="s">
        <v>11463</v>
      </c>
      <c r="C5228" s="21" t="s">
        <v>22682</v>
      </c>
      <c r="D5228" s="22">
        <v>46034</v>
      </c>
      <c r="E5228" s="23" t="s">
        <v>22658</v>
      </c>
      <c r="F5228" s="24" t="s">
        <v>22657</v>
      </c>
      <c r="G5228" s="25">
        <v>4</v>
      </c>
      <c r="H5228" s="26"/>
      <c r="I5228" s="27"/>
    </row>
    <row r="5229" spans="1:9" ht="15.75" thickBot="1" x14ac:dyDescent="0.3">
      <c r="A5229" s="43" t="s">
        <v>11464</v>
      </c>
      <c r="B5229" s="21" t="s">
        <v>11465</v>
      </c>
      <c r="C5229" s="21" t="s">
        <v>22682</v>
      </c>
      <c r="D5229" s="22">
        <v>46034</v>
      </c>
      <c r="E5229" s="23" t="s">
        <v>22658</v>
      </c>
      <c r="F5229" s="24" t="s">
        <v>22657</v>
      </c>
      <c r="G5229" s="25">
        <v>4</v>
      </c>
      <c r="H5229" s="29"/>
      <c r="I5229" s="30"/>
    </row>
    <row r="5230" spans="1:9" ht="15.75" thickBot="1" x14ac:dyDescent="0.3">
      <c r="A5230" s="43" t="s">
        <v>11466</v>
      </c>
      <c r="B5230" s="21" t="s">
        <v>11467</v>
      </c>
      <c r="C5230" s="21" t="s">
        <v>22682</v>
      </c>
      <c r="D5230" s="22">
        <v>46034</v>
      </c>
      <c r="E5230" s="23" t="s">
        <v>22658</v>
      </c>
      <c r="F5230" s="24" t="s">
        <v>22657</v>
      </c>
      <c r="G5230" s="25">
        <v>4</v>
      </c>
      <c r="H5230" s="26"/>
      <c r="I5230" s="27"/>
    </row>
    <row r="5231" spans="1:9" ht="15.75" thickBot="1" x14ac:dyDescent="0.3">
      <c r="A5231" s="43" t="s">
        <v>11468</v>
      </c>
      <c r="B5231" s="21" t="s">
        <v>11469</v>
      </c>
      <c r="C5231" s="21" t="s">
        <v>22682</v>
      </c>
      <c r="D5231" s="22">
        <v>46034</v>
      </c>
      <c r="E5231" s="23" t="s">
        <v>22656</v>
      </c>
      <c r="F5231" s="24" t="s">
        <v>22657</v>
      </c>
      <c r="G5231" s="25">
        <v>4</v>
      </c>
      <c r="H5231" s="29"/>
      <c r="I5231" s="30"/>
    </row>
    <row r="5232" spans="1:9" ht="15.75" thickBot="1" x14ac:dyDescent="0.3">
      <c r="A5232" s="43" t="s">
        <v>11470</v>
      </c>
      <c r="B5232" s="21" t="s">
        <v>11471</v>
      </c>
      <c r="C5232" s="21" t="s">
        <v>22682</v>
      </c>
      <c r="D5232" s="22">
        <v>46034</v>
      </c>
      <c r="E5232" s="23" t="s">
        <v>22658</v>
      </c>
      <c r="F5232" s="24" t="s">
        <v>22657</v>
      </c>
      <c r="G5232" s="25">
        <v>4</v>
      </c>
      <c r="H5232" s="26"/>
      <c r="I5232" s="27"/>
    </row>
    <row r="5233" spans="1:9" ht="15.75" thickBot="1" x14ac:dyDescent="0.3">
      <c r="A5233" s="43" t="s">
        <v>11472</v>
      </c>
      <c r="B5233" s="21" t="s">
        <v>11473</v>
      </c>
      <c r="C5233" s="21" t="s">
        <v>22682</v>
      </c>
      <c r="D5233" s="22">
        <v>46034</v>
      </c>
      <c r="E5233" s="23" t="s">
        <v>22658</v>
      </c>
      <c r="F5233" s="24" t="s">
        <v>22657</v>
      </c>
      <c r="G5233" s="25">
        <v>4</v>
      </c>
      <c r="H5233" s="29"/>
      <c r="I5233" s="30"/>
    </row>
    <row r="5234" spans="1:9" ht="15.75" thickBot="1" x14ac:dyDescent="0.3">
      <c r="A5234" s="43" t="s">
        <v>11474</v>
      </c>
      <c r="B5234" s="21" t="s">
        <v>11475</v>
      </c>
      <c r="C5234" s="21" t="s">
        <v>22682</v>
      </c>
      <c r="D5234" s="22">
        <v>46034</v>
      </c>
      <c r="E5234" s="23" t="s">
        <v>22658</v>
      </c>
      <c r="F5234" s="24" t="s">
        <v>22657</v>
      </c>
      <c r="G5234" s="25">
        <v>4</v>
      </c>
      <c r="H5234" s="26"/>
      <c r="I5234" s="27"/>
    </row>
    <row r="5235" spans="1:9" ht="15.75" thickBot="1" x14ac:dyDescent="0.3">
      <c r="A5235" s="43" t="s">
        <v>11476</v>
      </c>
      <c r="B5235" s="21" t="s">
        <v>11477</v>
      </c>
      <c r="C5235" s="21" t="s">
        <v>22682</v>
      </c>
      <c r="D5235" s="22">
        <v>46034</v>
      </c>
      <c r="E5235" s="23" t="s">
        <v>22658</v>
      </c>
      <c r="F5235" s="24" t="s">
        <v>22657</v>
      </c>
      <c r="G5235" s="25">
        <v>4</v>
      </c>
      <c r="H5235" s="29"/>
      <c r="I5235" s="30"/>
    </row>
    <row r="5236" spans="1:9" ht="15.75" thickBot="1" x14ac:dyDescent="0.3">
      <c r="A5236" s="43" t="s">
        <v>11478</v>
      </c>
      <c r="B5236" s="21" t="s">
        <v>11479</v>
      </c>
      <c r="C5236" s="21" t="s">
        <v>22682</v>
      </c>
      <c r="D5236" s="22">
        <v>46034</v>
      </c>
      <c r="E5236" s="23" t="s">
        <v>22658</v>
      </c>
      <c r="F5236" s="24" t="s">
        <v>22657</v>
      </c>
      <c r="G5236" s="25">
        <v>4</v>
      </c>
      <c r="H5236" s="26"/>
      <c r="I5236" s="27"/>
    </row>
    <row r="5237" spans="1:9" ht="15.75" thickBot="1" x14ac:dyDescent="0.3">
      <c r="A5237" s="43" t="s">
        <v>11480</v>
      </c>
      <c r="B5237" s="21" t="s">
        <v>11481</v>
      </c>
      <c r="C5237" s="21" t="s">
        <v>22682</v>
      </c>
      <c r="D5237" s="22">
        <v>46034</v>
      </c>
      <c r="E5237" s="23" t="s">
        <v>22658</v>
      </c>
      <c r="F5237" s="24" t="s">
        <v>22657</v>
      </c>
      <c r="G5237" s="25">
        <v>4</v>
      </c>
      <c r="H5237" s="29"/>
      <c r="I5237" s="30"/>
    </row>
    <row r="5238" spans="1:9" ht="15.75" thickBot="1" x14ac:dyDescent="0.3">
      <c r="A5238" s="43" t="s">
        <v>11482</v>
      </c>
      <c r="B5238" s="21" t="s">
        <v>11483</v>
      </c>
      <c r="C5238" s="21" t="s">
        <v>22682</v>
      </c>
      <c r="D5238" s="22">
        <v>46034</v>
      </c>
      <c r="E5238" s="23" t="s">
        <v>22658</v>
      </c>
      <c r="F5238" s="24" t="s">
        <v>22657</v>
      </c>
      <c r="G5238" s="25">
        <v>4</v>
      </c>
      <c r="H5238" s="26"/>
      <c r="I5238" s="27"/>
    </row>
    <row r="5239" spans="1:9" ht="15.75" thickBot="1" x14ac:dyDescent="0.3">
      <c r="A5239" s="43" t="s">
        <v>11484</v>
      </c>
      <c r="B5239" s="21" t="s">
        <v>11485</v>
      </c>
      <c r="C5239" s="21" t="s">
        <v>22682</v>
      </c>
      <c r="D5239" s="22">
        <v>46034</v>
      </c>
      <c r="E5239" s="23" t="s">
        <v>22656</v>
      </c>
      <c r="F5239" s="24" t="s">
        <v>22657</v>
      </c>
      <c r="G5239" s="25">
        <v>4</v>
      </c>
      <c r="H5239" s="29"/>
      <c r="I5239" s="30"/>
    </row>
    <row r="5240" spans="1:9" ht="15.75" thickBot="1" x14ac:dyDescent="0.3">
      <c r="A5240" s="43" t="s">
        <v>11486</v>
      </c>
      <c r="B5240" s="21" t="s">
        <v>11487</v>
      </c>
      <c r="C5240" s="21" t="s">
        <v>22682</v>
      </c>
      <c r="D5240" s="22">
        <v>46034</v>
      </c>
      <c r="E5240" s="23" t="s">
        <v>22656</v>
      </c>
      <c r="F5240" s="24" t="s">
        <v>22657</v>
      </c>
      <c r="G5240" s="25">
        <v>4</v>
      </c>
      <c r="H5240" s="26"/>
      <c r="I5240" s="27"/>
    </row>
    <row r="5241" spans="1:9" ht="15.75" thickBot="1" x14ac:dyDescent="0.3">
      <c r="A5241" s="43" t="s">
        <v>11488</v>
      </c>
      <c r="B5241" s="21" t="s">
        <v>11489</v>
      </c>
      <c r="C5241" s="21" t="s">
        <v>22682</v>
      </c>
      <c r="D5241" s="22">
        <v>46034</v>
      </c>
      <c r="E5241" s="23" t="s">
        <v>22658</v>
      </c>
      <c r="F5241" s="24" t="s">
        <v>22657</v>
      </c>
      <c r="G5241" s="25">
        <v>4</v>
      </c>
      <c r="H5241" s="29"/>
      <c r="I5241" s="30"/>
    </row>
    <row r="5242" spans="1:9" ht="15.75" thickBot="1" x14ac:dyDescent="0.3">
      <c r="A5242" s="43" t="s">
        <v>11490</v>
      </c>
      <c r="B5242" s="21" t="s">
        <v>11491</v>
      </c>
      <c r="C5242" s="21" t="s">
        <v>22682</v>
      </c>
      <c r="D5242" s="22">
        <v>46034</v>
      </c>
      <c r="E5242" s="23" t="s">
        <v>22656</v>
      </c>
      <c r="F5242" s="24" t="s">
        <v>22657</v>
      </c>
      <c r="G5242" s="25">
        <v>4</v>
      </c>
      <c r="H5242" s="26"/>
      <c r="I5242" s="27"/>
    </row>
    <row r="5243" spans="1:9" ht="15.75" thickBot="1" x14ac:dyDescent="0.3">
      <c r="A5243" s="43" t="s">
        <v>11492</v>
      </c>
      <c r="B5243" s="21" t="s">
        <v>11493</v>
      </c>
      <c r="C5243" s="21" t="s">
        <v>22682</v>
      </c>
      <c r="D5243" s="22">
        <v>46034</v>
      </c>
      <c r="E5243" s="23" t="s">
        <v>22656</v>
      </c>
      <c r="F5243" s="24" t="s">
        <v>22657</v>
      </c>
      <c r="G5243" s="25">
        <v>4</v>
      </c>
      <c r="H5243" s="29"/>
      <c r="I5243" s="30"/>
    </row>
    <row r="5244" spans="1:9" ht="15.75" thickBot="1" x14ac:dyDescent="0.3">
      <c r="A5244" s="43" t="s">
        <v>11494</v>
      </c>
      <c r="B5244" s="21" t="s">
        <v>11495</v>
      </c>
      <c r="C5244" s="21" t="s">
        <v>22682</v>
      </c>
      <c r="D5244" s="22">
        <v>46034</v>
      </c>
      <c r="E5244" s="23" t="s">
        <v>22656</v>
      </c>
      <c r="F5244" s="24" t="s">
        <v>22657</v>
      </c>
      <c r="G5244" s="25">
        <v>4</v>
      </c>
      <c r="H5244" s="26"/>
      <c r="I5244" s="27"/>
    </row>
    <row r="5245" spans="1:9" ht="15.75" thickBot="1" x14ac:dyDescent="0.3">
      <c r="A5245" s="43" t="s">
        <v>11496</v>
      </c>
      <c r="B5245" s="21" t="s">
        <v>11497</v>
      </c>
      <c r="C5245" s="21" t="s">
        <v>22682</v>
      </c>
      <c r="D5245" s="22">
        <v>46034</v>
      </c>
      <c r="E5245" s="23" t="s">
        <v>22656</v>
      </c>
      <c r="F5245" s="24" t="s">
        <v>22657</v>
      </c>
      <c r="G5245" s="25">
        <v>4</v>
      </c>
      <c r="H5245" s="29"/>
      <c r="I5245" s="30"/>
    </row>
    <row r="5246" spans="1:9" ht="15.75" thickBot="1" x14ac:dyDescent="0.3">
      <c r="A5246" s="43" t="s">
        <v>11498</v>
      </c>
      <c r="B5246" s="21" t="s">
        <v>11499</v>
      </c>
      <c r="C5246" s="21" t="s">
        <v>22682</v>
      </c>
      <c r="D5246" s="22">
        <v>46034</v>
      </c>
      <c r="E5246" s="23" t="s">
        <v>22658</v>
      </c>
      <c r="F5246" s="24" t="s">
        <v>22657</v>
      </c>
      <c r="G5246" s="25">
        <v>4</v>
      </c>
      <c r="H5246" s="26"/>
      <c r="I5246" s="27"/>
    </row>
    <row r="5247" spans="1:9" ht="15.75" thickBot="1" x14ac:dyDescent="0.3">
      <c r="A5247" s="43" t="s">
        <v>11500</v>
      </c>
      <c r="B5247" s="21" t="s">
        <v>11501</v>
      </c>
      <c r="C5247" s="21" t="s">
        <v>22682</v>
      </c>
      <c r="D5247" s="22">
        <v>46034</v>
      </c>
      <c r="E5247" s="23" t="s">
        <v>22658</v>
      </c>
      <c r="F5247" s="24" t="s">
        <v>22657</v>
      </c>
      <c r="G5247" s="25">
        <v>4</v>
      </c>
      <c r="H5247" s="29"/>
      <c r="I5247" s="30"/>
    </row>
    <row r="5248" spans="1:9" ht="15.75" thickBot="1" x14ac:dyDescent="0.3">
      <c r="A5248" s="43" t="s">
        <v>11502</v>
      </c>
      <c r="B5248" s="21" t="s">
        <v>11503</v>
      </c>
      <c r="C5248" s="21" t="s">
        <v>22682</v>
      </c>
      <c r="D5248" s="22">
        <v>46034</v>
      </c>
      <c r="E5248" s="23" t="s">
        <v>22656</v>
      </c>
      <c r="F5248" s="24" t="s">
        <v>22657</v>
      </c>
      <c r="G5248" s="25">
        <v>5</v>
      </c>
      <c r="H5248" s="26"/>
      <c r="I5248" s="27"/>
    </row>
    <row r="5249" spans="1:9" ht="15.75" thickBot="1" x14ac:dyDescent="0.3">
      <c r="A5249" s="43" t="s">
        <v>11504</v>
      </c>
      <c r="B5249" s="21" t="s">
        <v>11505</v>
      </c>
      <c r="C5249" s="21" t="s">
        <v>22682</v>
      </c>
      <c r="D5249" s="22">
        <v>46034</v>
      </c>
      <c r="E5249" s="23" t="s">
        <v>22656</v>
      </c>
      <c r="F5249" s="24" t="s">
        <v>22657</v>
      </c>
      <c r="G5249" s="25">
        <v>4</v>
      </c>
      <c r="H5249" s="29"/>
      <c r="I5249" s="30"/>
    </row>
    <row r="5250" spans="1:9" ht="15.75" thickBot="1" x14ac:dyDescent="0.3">
      <c r="A5250" s="43" t="s">
        <v>11506</v>
      </c>
      <c r="B5250" s="21" t="s">
        <v>11507</v>
      </c>
      <c r="C5250" s="21" t="s">
        <v>22682</v>
      </c>
      <c r="D5250" s="22">
        <v>46034</v>
      </c>
      <c r="E5250" s="23" t="s">
        <v>22656</v>
      </c>
      <c r="F5250" s="24" t="s">
        <v>22657</v>
      </c>
      <c r="G5250" s="25">
        <v>4</v>
      </c>
      <c r="H5250" s="26"/>
      <c r="I5250" s="27"/>
    </row>
    <row r="5251" spans="1:9" ht="15.75" thickBot="1" x14ac:dyDescent="0.3">
      <c r="A5251" s="43" t="s">
        <v>11508</v>
      </c>
      <c r="B5251" s="21" t="s">
        <v>11509</v>
      </c>
      <c r="C5251" s="21" t="s">
        <v>22682</v>
      </c>
      <c r="D5251" s="22">
        <v>46034</v>
      </c>
      <c r="E5251" s="23" t="s">
        <v>22656</v>
      </c>
      <c r="F5251" s="24" t="s">
        <v>22657</v>
      </c>
      <c r="G5251" s="25">
        <v>4</v>
      </c>
      <c r="H5251" s="29"/>
      <c r="I5251" s="30"/>
    </row>
    <row r="5252" spans="1:9" ht="15.75" thickBot="1" x14ac:dyDescent="0.3">
      <c r="A5252" s="43" t="s">
        <v>11510</v>
      </c>
      <c r="B5252" s="21" t="s">
        <v>11511</v>
      </c>
      <c r="C5252" s="21" t="s">
        <v>22682</v>
      </c>
      <c r="D5252" s="22">
        <v>46034</v>
      </c>
      <c r="E5252" s="23" t="s">
        <v>22656</v>
      </c>
      <c r="F5252" s="24" t="s">
        <v>22657</v>
      </c>
      <c r="G5252" s="25">
        <v>4</v>
      </c>
      <c r="H5252" s="26"/>
      <c r="I5252" s="27"/>
    </row>
    <row r="5253" spans="1:9" ht="15.75" thickBot="1" x14ac:dyDescent="0.3">
      <c r="A5253" s="43" t="s">
        <v>11512</v>
      </c>
      <c r="B5253" s="21" t="s">
        <v>11513</v>
      </c>
      <c r="C5253" s="21" t="s">
        <v>22682</v>
      </c>
      <c r="D5253" s="22">
        <v>46034</v>
      </c>
      <c r="E5253" s="23" t="s">
        <v>22656</v>
      </c>
      <c r="F5253" s="24" t="s">
        <v>22657</v>
      </c>
      <c r="G5253" s="25">
        <v>4</v>
      </c>
      <c r="H5253" s="29"/>
      <c r="I5253" s="30"/>
    </row>
    <row r="5254" spans="1:9" ht="15.75" thickBot="1" x14ac:dyDescent="0.3">
      <c r="A5254" s="43" t="s">
        <v>11514</v>
      </c>
      <c r="B5254" s="21" t="s">
        <v>22568</v>
      </c>
      <c r="C5254" s="21" t="s">
        <v>22682</v>
      </c>
      <c r="D5254" s="22">
        <v>46034</v>
      </c>
      <c r="E5254" s="23" t="s">
        <v>22656</v>
      </c>
      <c r="F5254" s="24" t="s">
        <v>22657</v>
      </c>
      <c r="G5254" s="25">
        <v>4</v>
      </c>
      <c r="H5254" s="26"/>
      <c r="I5254" s="27"/>
    </row>
    <row r="5255" spans="1:9" ht="15.75" thickBot="1" x14ac:dyDescent="0.3">
      <c r="A5255" s="43" t="s">
        <v>11516</v>
      </c>
      <c r="B5255" s="21" t="s">
        <v>11517</v>
      </c>
      <c r="C5255" s="21" t="s">
        <v>22682</v>
      </c>
      <c r="D5255" s="22">
        <v>46034</v>
      </c>
      <c r="E5255" s="23" t="s">
        <v>22656</v>
      </c>
      <c r="F5255" s="24" t="s">
        <v>22657</v>
      </c>
      <c r="G5255" s="25">
        <v>4</v>
      </c>
      <c r="H5255" s="29"/>
      <c r="I5255" s="30"/>
    </row>
    <row r="5256" spans="1:9" ht="15.75" thickBot="1" x14ac:dyDescent="0.3">
      <c r="A5256" s="43" t="s">
        <v>11518</v>
      </c>
      <c r="B5256" s="21" t="s">
        <v>11519</v>
      </c>
      <c r="C5256" s="21" t="s">
        <v>22682</v>
      </c>
      <c r="D5256" s="22">
        <v>46034</v>
      </c>
      <c r="E5256" s="23" t="s">
        <v>22656</v>
      </c>
      <c r="F5256" s="24" t="s">
        <v>22657</v>
      </c>
      <c r="G5256" s="25">
        <v>4</v>
      </c>
      <c r="H5256" s="26"/>
      <c r="I5256" s="27"/>
    </row>
    <row r="5257" spans="1:9" ht="15.75" thickBot="1" x14ac:dyDescent="0.3">
      <c r="A5257" s="43" t="s">
        <v>689</v>
      </c>
      <c r="B5257" s="21" t="s">
        <v>690</v>
      </c>
      <c r="C5257" s="21" t="s">
        <v>22682</v>
      </c>
      <c r="D5257" s="22">
        <v>46034</v>
      </c>
      <c r="E5257" s="23" t="s">
        <v>22656</v>
      </c>
      <c r="F5257" s="24" t="s">
        <v>22657</v>
      </c>
      <c r="G5257" s="25">
        <v>4</v>
      </c>
      <c r="H5257" s="32">
        <v>4</v>
      </c>
      <c r="I5257" s="33">
        <v>6</v>
      </c>
    </row>
    <row r="5258" spans="1:9" ht="15.75" thickBot="1" x14ac:dyDescent="0.3">
      <c r="A5258" s="43" t="s">
        <v>11520</v>
      </c>
      <c r="B5258" s="21" t="s">
        <v>11521</v>
      </c>
      <c r="C5258" s="21" t="s">
        <v>22682</v>
      </c>
      <c r="D5258" s="22">
        <v>46034</v>
      </c>
      <c r="E5258" s="23" t="s">
        <v>22656</v>
      </c>
      <c r="F5258" s="24" t="s">
        <v>22657</v>
      </c>
      <c r="G5258" s="25">
        <v>4</v>
      </c>
      <c r="H5258" s="26"/>
      <c r="I5258" s="27"/>
    </row>
    <row r="5259" spans="1:9" ht="15.75" thickBot="1" x14ac:dyDescent="0.3">
      <c r="A5259" s="43" t="s">
        <v>11522</v>
      </c>
      <c r="B5259" s="21" t="s">
        <v>11523</v>
      </c>
      <c r="C5259" s="21" t="s">
        <v>22682</v>
      </c>
      <c r="D5259" s="22">
        <v>46034</v>
      </c>
      <c r="E5259" s="23" t="s">
        <v>22656</v>
      </c>
      <c r="F5259" s="24" t="s">
        <v>22657</v>
      </c>
      <c r="G5259" s="25">
        <v>4</v>
      </c>
      <c r="H5259" s="29"/>
      <c r="I5259" s="30"/>
    </row>
    <row r="5260" spans="1:9" ht="15.75" thickBot="1" x14ac:dyDescent="0.3">
      <c r="A5260" s="43" t="s">
        <v>11524</v>
      </c>
      <c r="B5260" s="21" t="s">
        <v>11525</v>
      </c>
      <c r="C5260" s="21" t="s">
        <v>22682</v>
      </c>
      <c r="D5260" s="22">
        <v>46034</v>
      </c>
      <c r="E5260" s="23" t="s">
        <v>22656</v>
      </c>
      <c r="F5260" s="24" t="s">
        <v>22657</v>
      </c>
      <c r="G5260" s="25">
        <v>4</v>
      </c>
      <c r="H5260" s="26"/>
      <c r="I5260" s="27"/>
    </row>
    <row r="5261" spans="1:9" ht="15.75" thickBot="1" x14ac:dyDescent="0.3">
      <c r="A5261" s="43" t="s">
        <v>11528</v>
      </c>
      <c r="B5261" s="21" t="s">
        <v>11529</v>
      </c>
      <c r="C5261" s="21" t="s">
        <v>22682</v>
      </c>
      <c r="D5261" s="22">
        <v>46034</v>
      </c>
      <c r="E5261" s="23" t="s">
        <v>22656</v>
      </c>
      <c r="F5261" s="24" t="s">
        <v>22657</v>
      </c>
      <c r="G5261" s="25">
        <v>4</v>
      </c>
      <c r="H5261" s="29"/>
      <c r="I5261" s="30"/>
    </row>
    <row r="5262" spans="1:9" ht="15.75" thickBot="1" x14ac:dyDescent="0.3">
      <c r="A5262" s="43" t="s">
        <v>11530</v>
      </c>
      <c r="B5262" s="21" t="s">
        <v>11531</v>
      </c>
      <c r="C5262" s="21" t="s">
        <v>22682</v>
      </c>
      <c r="D5262" s="22">
        <v>46034</v>
      </c>
      <c r="E5262" s="23" t="s">
        <v>22656</v>
      </c>
      <c r="F5262" s="24" t="s">
        <v>22657</v>
      </c>
      <c r="G5262" s="25">
        <v>4</v>
      </c>
      <c r="H5262" s="26"/>
      <c r="I5262" s="27"/>
    </row>
    <row r="5263" spans="1:9" ht="15.75" thickBot="1" x14ac:dyDescent="0.3">
      <c r="A5263" s="43" t="s">
        <v>11532</v>
      </c>
      <c r="B5263" s="21" t="s">
        <v>11533</v>
      </c>
      <c r="C5263" s="21" t="s">
        <v>22682</v>
      </c>
      <c r="D5263" s="22">
        <v>46034</v>
      </c>
      <c r="E5263" s="23" t="s">
        <v>22656</v>
      </c>
      <c r="F5263" s="24" t="s">
        <v>22657</v>
      </c>
      <c r="G5263" s="25">
        <v>4</v>
      </c>
      <c r="H5263" s="29"/>
      <c r="I5263" s="30"/>
    </row>
    <row r="5264" spans="1:9" ht="15.75" thickBot="1" x14ac:dyDescent="0.3">
      <c r="A5264" s="43" t="s">
        <v>11526</v>
      </c>
      <c r="B5264" s="21" t="s">
        <v>11527</v>
      </c>
      <c r="C5264" s="21" t="s">
        <v>22682</v>
      </c>
      <c r="D5264" s="22">
        <v>46034</v>
      </c>
      <c r="E5264" s="23" t="s">
        <v>22656</v>
      </c>
      <c r="F5264" s="24" t="s">
        <v>22657</v>
      </c>
      <c r="G5264" s="25">
        <v>4</v>
      </c>
      <c r="H5264" s="26"/>
      <c r="I5264" s="27"/>
    </row>
    <row r="5265" spans="1:9" ht="15.75" thickBot="1" x14ac:dyDescent="0.3">
      <c r="A5265" s="43" t="s">
        <v>11534</v>
      </c>
      <c r="B5265" s="21" t="s">
        <v>11535</v>
      </c>
      <c r="C5265" s="21" t="s">
        <v>22682</v>
      </c>
      <c r="D5265" s="22">
        <v>46034</v>
      </c>
      <c r="E5265" s="23" t="s">
        <v>22656</v>
      </c>
      <c r="F5265" s="24" t="s">
        <v>22657</v>
      </c>
      <c r="G5265" s="25">
        <v>4</v>
      </c>
      <c r="H5265" s="29"/>
      <c r="I5265" s="30"/>
    </row>
    <row r="5266" spans="1:9" ht="15.75" thickBot="1" x14ac:dyDescent="0.3">
      <c r="A5266" s="43" t="s">
        <v>11536</v>
      </c>
      <c r="B5266" s="21" t="s">
        <v>11537</v>
      </c>
      <c r="C5266" s="21" t="s">
        <v>22682</v>
      </c>
      <c r="D5266" s="22">
        <v>46034</v>
      </c>
      <c r="E5266" s="23" t="s">
        <v>22658</v>
      </c>
      <c r="F5266" s="24" t="s">
        <v>22657</v>
      </c>
      <c r="G5266" s="25">
        <v>1</v>
      </c>
      <c r="H5266" s="26"/>
      <c r="I5266" s="27"/>
    </row>
    <row r="5267" spans="1:9" ht="15.75" thickBot="1" x14ac:dyDescent="0.3">
      <c r="A5267" s="43" t="s">
        <v>11538</v>
      </c>
      <c r="B5267" s="21" t="s">
        <v>11539</v>
      </c>
      <c r="C5267" s="21" t="s">
        <v>22682</v>
      </c>
      <c r="D5267" s="22">
        <v>46034</v>
      </c>
      <c r="E5267" s="23" t="s">
        <v>22658</v>
      </c>
      <c r="F5267" s="24" t="s">
        <v>22657</v>
      </c>
      <c r="G5267" s="25">
        <v>1</v>
      </c>
      <c r="H5267" s="29"/>
      <c r="I5267" s="30"/>
    </row>
    <row r="5268" spans="1:9" ht="15.75" thickBot="1" x14ac:dyDescent="0.3">
      <c r="A5268" s="43" t="s">
        <v>11540</v>
      </c>
      <c r="B5268" s="21" t="s">
        <v>11541</v>
      </c>
      <c r="C5268" s="21" t="s">
        <v>22682</v>
      </c>
      <c r="D5268" s="22">
        <v>46034</v>
      </c>
      <c r="E5268" s="23" t="s">
        <v>22658</v>
      </c>
      <c r="F5268" s="24" t="s">
        <v>22657</v>
      </c>
      <c r="G5268" s="25">
        <v>1</v>
      </c>
      <c r="H5268" s="26"/>
      <c r="I5268" s="27"/>
    </row>
    <row r="5269" spans="1:9" ht="15.75" thickBot="1" x14ac:dyDescent="0.3">
      <c r="A5269" s="43" t="s">
        <v>11542</v>
      </c>
      <c r="B5269" s="21" t="s">
        <v>11543</v>
      </c>
      <c r="C5269" s="21" t="s">
        <v>22682</v>
      </c>
      <c r="D5269" s="22">
        <v>46034</v>
      </c>
      <c r="E5269" s="23" t="s">
        <v>22658</v>
      </c>
      <c r="F5269" s="24" t="s">
        <v>22657</v>
      </c>
      <c r="G5269" s="25">
        <v>1</v>
      </c>
      <c r="H5269" s="29"/>
      <c r="I5269" s="30"/>
    </row>
    <row r="5270" spans="1:9" ht="15.75" thickBot="1" x14ac:dyDescent="0.3">
      <c r="A5270" s="43" t="s">
        <v>11544</v>
      </c>
      <c r="B5270" s="21" t="s">
        <v>11545</v>
      </c>
      <c r="C5270" s="21" t="s">
        <v>22682</v>
      </c>
      <c r="D5270" s="22">
        <v>46034</v>
      </c>
      <c r="E5270" s="23" t="s">
        <v>22658</v>
      </c>
      <c r="F5270" s="24" t="s">
        <v>22657</v>
      </c>
      <c r="G5270" s="25">
        <v>1</v>
      </c>
      <c r="H5270" s="26"/>
      <c r="I5270" s="27"/>
    </row>
    <row r="5271" spans="1:9" ht="15.75" thickBot="1" x14ac:dyDescent="0.3">
      <c r="A5271" s="43" t="s">
        <v>11546</v>
      </c>
      <c r="B5271" s="21" t="s">
        <v>11547</v>
      </c>
      <c r="C5271" s="21" t="s">
        <v>22682</v>
      </c>
      <c r="D5271" s="22">
        <v>46034</v>
      </c>
      <c r="E5271" s="23" t="s">
        <v>22658</v>
      </c>
      <c r="F5271" s="24" t="s">
        <v>22657</v>
      </c>
      <c r="G5271" s="25">
        <v>1</v>
      </c>
      <c r="H5271" s="29"/>
      <c r="I5271" s="30"/>
    </row>
    <row r="5272" spans="1:9" ht="15.75" thickBot="1" x14ac:dyDescent="0.3">
      <c r="A5272" s="43" t="s">
        <v>11548</v>
      </c>
      <c r="B5272" s="21" t="s">
        <v>11549</v>
      </c>
      <c r="C5272" s="21" t="s">
        <v>22682</v>
      </c>
      <c r="D5272" s="22">
        <v>46034</v>
      </c>
      <c r="E5272" s="23" t="s">
        <v>22658</v>
      </c>
      <c r="F5272" s="24" t="s">
        <v>22657</v>
      </c>
      <c r="G5272" s="25">
        <v>1</v>
      </c>
      <c r="H5272" s="26"/>
      <c r="I5272" s="27"/>
    </row>
    <row r="5273" spans="1:9" ht="15.75" thickBot="1" x14ac:dyDescent="0.3">
      <c r="A5273" s="43" t="s">
        <v>11550</v>
      </c>
      <c r="B5273" s="21" t="s">
        <v>11551</v>
      </c>
      <c r="C5273" s="21" t="s">
        <v>22682</v>
      </c>
      <c r="D5273" s="22">
        <v>46034</v>
      </c>
      <c r="E5273" s="23" t="s">
        <v>22658</v>
      </c>
      <c r="F5273" s="24" t="s">
        <v>22657</v>
      </c>
      <c r="G5273" s="25">
        <v>1</v>
      </c>
      <c r="H5273" s="29"/>
      <c r="I5273" s="30"/>
    </row>
    <row r="5274" spans="1:9" ht="15.75" thickBot="1" x14ac:dyDescent="0.3">
      <c r="A5274" s="43" t="s">
        <v>11552</v>
      </c>
      <c r="B5274" s="21" t="s">
        <v>11553</v>
      </c>
      <c r="C5274" s="21" t="s">
        <v>22682</v>
      </c>
      <c r="D5274" s="22">
        <v>46034</v>
      </c>
      <c r="E5274" s="23" t="s">
        <v>22656</v>
      </c>
      <c r="F5274" s="24" t="s">
        <v>22657</v>
      </c>
      <c r="G5274" s="25">
        <v>4</v>
      </c>
      <c r="H5274" s="26"/>
      <c r="I5274" s="27"/>
    </row>
    <row r="5275" spans="1:9" ht="15.75" thickBot="1" x14ac:dyDescent="0.3">
      <c r="A5275" s="43" t="s">
        <v>11554</v>
      </c>
      <c r="B5275" s="21" t="s">
        <v>11555</v>
      </c>
      <c r="C5275" s="21" t="s">
        <v>22682</v>
      </c>
      <c r="D5275" s="22">
        <v>46034</v>
      </c>
      <c r="E5275" s="23" t="s">
        <v>22656</v>
      </c>
      <c r="F5275" s="24" t="s">
        <v>22657</v>
      </c>
      <c r="G5275" s="25">
        <v>4</v>
      </c>
      <c r="H5275" s="29"/>
      <c r="I5275" s="30"/>
    </row>
    <row r="5276" spans="1:9" ht="15.75" thickBot="1" x14ac:dyDescent="0.3">
      <c r="A5276" s="43" t="s">
        <v>11556</v>
      </c>
      <c r="B5276" s="21" t="s">
        <v>11557</v>
      </c>
      <c r="C5276" s="21" t="s">
        <v>22682</v>
      </c>
      <c r="D5276" s="22">
        <v>46034</v>
      </c>
      <c r="E5276" s="23" t="s">
        <v>22656</v>
      </c>
      <c r="F5276" s="24" t="s">
        <v>22657</v>
      </c>
      <c r="G5276" s="25">
        <v>4</v>
      </c>
      <c r="H5276" s="26"/>
      <c r="I5276" s="27"/>
    </row>
    <row r="5277" spans="1:9" ht="15.75" thickBot="1" x14ac:dyDescent="0.3">
      <c r="A5277" s="43" t="s">
        <v>11558</v>
      </c>
      <c r="B5277" s="21" t="s">
        <v>11559</v>
      </c>
      <c r="C5277" s="21" t="s">
        <v>22682</v>
      </c>
      <c r="D5277" s="22">
        <v>46034</v>
      </c>
      <c r="E5277" s="23" t="s">
        <v>22656</v>
      </c>
      <c r="F5277" s="24" t="s">
        <v>22657</v>
      </c>
      <c r="G5277" s="25">
        <v>4</v>
      </c>
      <c r="H5277" s="29"/>
      <c r="I5277" s="30"/>
    </row>
    <row r="5278" spans="1:9" ht="15.75" thickBot="1" x14ac:dyDescent="0.3">
      <c r="A5278" s="43" t="s">
        <v>11560</v>
      </c>
      <c r="B5278" s="21" t="s">
        <v>11561</v>
      </c>
      <c r="C5278" s="21" t="s">
        <v>22682</v>
      </c>
      <c r="D5278" s="22">
        <v>46034</v>
      </c>
      <c r="E5278" s="23" t="s">
        <v>22656</v>
      </c>
      <c r="F5278" s="24" t="s">
        <v>22657</v>
      </c>
      <c r="G5278" s="25">
        <v>4</v>
      </c>
      <c r="H5278" s="26"/>
      <c r="I5278" s="27"/>
    </row>
    <row r="5279" spans="1:9" ht="15.75" thickBot="1" x14ac:dyDescent="0.3">
      <c r="A5279" s="43" t="s">
        <v>11562</v>
      </c>
      <c r="B5279" s="21" t="s">
        <v>11563</v>
      </c>
      <c r="C5279" s="21" t="s">
        <v>22682</v>
      </c>
      <c r="D5279" s="22">
        <v>46034</v>
      </c>
      <c r="E5279" s="23" t="s">
        <v>22656</v>
      </c>
      <c r="F5279" s="24" t="s">
        <v>22657</v>
      </c>
      <c r="G5279" s="25">
        <v>4</v>
      </c>
      <c r="H5279" s="29"/>
      <c r="I5279" s="30"/>
    </row>
    <row r="5280" spans="1:9" ht="15.75" thickBot="1" x14ac:dyDescent="0.3">
      <c r="A5280" s="43" t="s">
        <v>11564</v>
      </c>
      <c r="B5280" s="21" t="s">
        <v>11565</v>
      </c>
      <c r="C5280" s="21" t="s">
        <v>22682</v>
      </c>
      <c r="D5280" s="22">
        <v>46034</v>
      </c>
      <c r="E5280" s="23" t="s">
        <v>22658</v>
      </c>
      <c r="F5280" s="24" t="s">
        <v>22657</v>
      </c>
      <c r="G5280" s="25">
        <v>4</v>
      </c>
      <c r="H5280" s="26"/>
      <c r="I5280" s="27"/>
    </row>
    <row r="5281" spans="1:9" ht="15.75" thickBot="1" x14ac:dyDescent="0.3">
      <c r="A5281" s="43" t="s">
        <v>11566</v>
      </c>
      <c r="B5281" s="21" t="s">
        <v>11567</v>
      </c>
      <c r="C5281" s="21" t="s">
        <v>22682</v>
      </c>
      <c r="D5281" s="22">
        <v>46034</v>
      </c>
      <c r="E5281" s="23" t="s">
        <v>22656</v>
      </c>
      <c r="F5281" s="24" t="s">
        <v>22657</v>
      </c>
      <c r="G5281" s="25">
        <v>4</v>
      </c>
      <c r="H5281" s="29"/>
      <c r="I5281" s="30"/>
    </row>
    <row r="5282" spans="1:9" ht="15.75" thickBot="1" x14ac:dyDescent="0.3">
      <c r="A5282" s="43" t="s">
        <v>11568</v>
      </c>
      <c r="B5282" s="21" t="s">
        <v>11569</v>
      </c>
      <c r="C5282" s="21" t="s">
        <v>22682</v>
      </c>
      <c r="D5282" s="22">
        <v>46034</v>
      </c>
      <c r="E5282" s="23" t="s">
        <v>22656</v>
      </c>
      <c r="F5282" s="24" t="s">
        <v>22657</v>
      </c>
      <c r="G5282" s="25">
        <v>4</v>
      </c>
      <c r="H5282" s="26"/>
      <c r="I5282" s="27"/>
    </row>
    <row r="5283" spans="1:9" ht="15.75" thickBot="1" x14ac:dyDescent="0.3">
      <c r="A5283" s="43" t="s">
        <v>11570</v>
      </c>
      <c r="B5283" s="21" t="s">
        <v>11571</v>
      </c>
      <c r="C5283" s="21" t="s">
        <v>22682</v>
      </c>
      <c r="D5283" s="22">
        <v>46034</v>
      </c>
      <c r="E5283" s="23" t="s">
        <v>22656</v>
      </c>
      <c r="F5283" s="24" t="s">
        <v>22657</v>
      </c>
      <c r="G5283" s="25">
        <v>4</v>
      </c>
      <c r="H5283" s="29"/>
      <c r="I5283" s="30"/>
    </row>
    <row r="5284" spans="1:9" ht="15.75" thickBot="1" x14ac:dyDescent="0.3">
      <c r="A5284" s="43" t="s">
        <v>11572</v>
      </c>
      <c r="B5284" s="21" t="s">
        <v>11573</v>
      </c>
      <c r="C5284" s="21" t="s">
        <v>22682</v>
      </c>
      <c r="D5284" s="22">
        <v>46034</v>
      </c>
      <c r="E5284" s="23" t="s">
        <v>22656</v>
      </c>
      <c r="F5284" s="24" t="s">
        <v>22657</v>
      </c>
      <c r="G5284" s="25">
        <v>4</v>
      </c>
      <c r="H5284" s="26"/>
      <c r="I5284" s="27"/>
    </row>
    <row r="5285" spans="1:9" ht="15.75" thickBot="1" x14ac:dyDescent="0.3">
      <c r="A5285" s="43" t="s">
        <v>11574</v>
      </c>
      <c r="B5285" s="21" t="s">
        <v>11575</v>
      </c>
      <c r="C5285" s="21" t="s">
        <v>22682</v>
      </c>
      <c r="D5285" s="22">
        <v>46034</v>
      </c>
      <c r="E5285" s="23" t="s">
        <v>22656</v>
      </c>
      <c r="F5285" s="24" t="s">
        <v>22657</v>
      </c>
      <c r="G5285" s="25">
        <v>4</v>
      </c>
      <c r="H5285" s="29"/>
      <c r="I5285" s="30"/>
    </row>
    <row r="5286" spans="1:9" ht="15.75" thickBot="1" x14ac:dyDescent="0.3">
      <c r="A5286" s="43" t="s">
        <v>11576</v>
      </c>
      <c r="B5286" s="21" t="s">
        <v>11577</v>
      </c>
      <c r="C5286" s="21" t="s">
        <v>22682</v>
      </c>
      <c r="D5286" s="22">
        <v>46034</v>
      </c>
      <c r="E5286" s="23" t="s">
        <v>22656</v>
      </c>
      <c r="F5286" s="24" t="s">
        <v>22657</v>
      </c>
      <c r="G5286" s="25">
        <v>4</v>
      </c>
      <c r="H5286" s="26"/>
      <c r="I5286" s="27"/>
    </row>
    <row r="5287" spans="1:9" ht="15.75" thickBot="1" x14ac:dyDescent="0.3">
      <c r="A5287" s="43" t="s">
        <v>11578</v>
      </c>
      <c r="B5287" s="21" t="s">
        <v>11579</v>
      </c>
      <c r="C5287" s="21" t="s">
        <v>22682</v>
      </c>
      <c r="D5287" s="22">
        <v>46034</v>
      </c>
      <c r="E5287" s="23" t="s">
        <v>22656</v>
      </c>
      <c r="F5287" s="24" t="s">
        <v>22657</v>
      </c>
      <c r="G5287" s="25">
        <v>4</v>
      </c>
      <c r="H5287" s="29"/>
      <c r="I5287" s="30"/>
    </row>
    <row r="5288" spans="1:9" ht="15.75" thickBot="1" x14ac:dyDescent="0.3">
      <c r="A5288" s="43" t="s">
        <v>11580</v>
      </c>
      <c r="B5288" s="21" t="s">
        <v>11581</v>
      </c>
      <c r="C5288" s="21" t="s">
        <v>22682</v>
      </c>
      <c r="D5288" s="22">
        <v>46034</v>
      </c>
      <c r="E5288" s="23" t="s">
        <v>22658</v>
      </c>
      <c r="F5288" s="24" t="s">
        <v>22657</v>
      </c>
      <c r="G5288" s="25">
        <v>4</v>
      </c>
      <c r="H5288" s="26"/>
      <c r="I5288" s="27"/>
    </row>
    <row r="5289" spans="1:9" ht="15.75" thickBot="1" x14ac:dyDescent="0.3">
      <c r="A5289" s="43" t="s">
        <v>11582</v>
      </c>
      <c r="B5289" s="21" t="s">
        <v>11583</v>
      </c>
      <c r="C5289" s="21" t="s">
        <v>22682</v>
      </c>
      <c r="D5289" s="22">
        <v>46034</v>
      </c>
      <c r="E5289" s="23" t="s">
        <v>22656</v>
      </c>
      <c r="F5289" s="24" t="s">
        <v>22657</v>
      </c>
      <c r="G5289" s="25">
        <v>4</v>
      </c>
      <c r="H5289" s="29"/>
      <c r="I5289" s="30"/>
    </row>
    <row r="5290" spans="1:9" ht="15.75" thickBot="1" x14ac:dyDescent="0.3">
      <c r="A5290" s="43" t="s">
        <v>11584</v>
      </c>
      <c r="B5290" s="21" t="s">
        <v>11585</v>
      </c>
      <c r="C5290" s="21" t="s">
        <v>22682</v>
      </c>
      <c r="D5290" s="22">
        <v>46034</v>
      </c>
      <c r="E5290" s="23" t="s">
        <v>22656</v>
      </c>
      <c r="F5290" s="24" t="s">
        <v>22657</v>
      </c>
      <c r="G5290" s="25">
        <v>4</v>
      </c>
      <c r="H5290" s="26"/>
      <c r="I5290" s="27"/>
    </row>
    <row r="5291" spans="1:9" ht="15.75" thickBot="1" x14ac:dyDescent="0.3">
      <c r="A5291" s="43" t="s">
        <v>11586</v>
      </c>
      <c r="B5291" s="21" t="s">
        <v>11587</v>
      </c>
      <c r="C5291" s="21" t="s">
        <v>22682</v>
      </c>
      <c r="D5291" s="22">
        <v>46034</v>
      </c>
      <c r="E5291" s="23" t="s">
        <v>22656</v>
      </c>
      <c r="F5291" s="24" t="s">
        <v>22657</v>
      </c>
      <c r="G5291" s="25">
        <v>4</v>
      </c>
      <c r="H5291" s="29"/>
      <c r="I5291" s="30"/>
    </row>
    <row r="5292" spans="1:9" ht="15.75" thickBot="1" x14ac:dyDescent="0.3">
      <c r="A5292" s="43" t="s">
        <v>11588</v>
      </c>
      <c r="B5292" s="21" t="s">
        <v>11589</v>
      </c>
      <c r="C5292" s="21" t="s">
        <v>22682</v>
      </c>
      <c r="D5292" s="22">
        <v>46034</v>
      </c>
      <c r="E5292" s="23" t="s">
        <v>22656</v>
      </c>
      <c r="F5292" s="24" t="s">
        <v>22657</v>
      </c>
      <c r="G5292" s="25">
        <v>4</v>
      </c>
      <c r="H5292" s="26"/>
      <c r="I5292" s="27"/>
    </row>
    <row r="5293" spans="1:9" ht="15.75" thickBot="1" x14ac:dyDescent="0.3">
      <c r="A5293" s="43" t="s">
        <v>11590</v>
      </c>
      <c r="B5293" s="21" t="s">
        <v>11591</v>
      </c>
      <c r="C5293" s="21" t="s">
        <v>22682</v>
      </c>
      <c r="D5293" s="22">
        <v>46034</v>
      </c>
      <c r="E5293" s="23" t="s">
        <v>22656</v>
      </c>
      <c r="F5293" s="24" t="s">
        <v>22657</v>
      </c>
      <c r="G5293" s="25">
        <v>4</v>
      </c>
      <c r="H5293" s="29"/>
      <c r="I5293" s="30"/>
    </row>
    <row r="5294" spans="1:9" ht="15.75" thickBot="1" x14ac:dyDescent="0.3">
      <c r="A5294" s="43" t="s">
        <v>11592</v>
      </c>
      <c r="B5294" s="21" t="s">
        <v>11593</v>
      </c>
      <c r="C5294" s="21" t="s">
        <v>22682</v>
      </c>
      <c r="D5294" s="22">
        <v>46034</v>
      </c>
      <c r="E5294" s="23" t="s">
        <v>22656</v>
      </c>
      <c r="F5294" s="24" t="s">
        <v>22657</v>
      </c>
      <c r="G5294" s="25">
        <v>4</v>
      </c>
      <c r="H5294" s="26"/>
      <c r="I5294" s="27"/>
    </row>
    <row r="5295" spans="1:9" ht="15.75" thickBot="1" x14ac:dyDescent="0.3">
      <c r="A5295" s="43" t="s">
        <v>11594</v>
      </c>
      <c r="B5295" s="21" t="s">
        <v>11595</v>
      </c>
      <c r="C5295" s="21" t="s">
        <v>22682</v>
      </c>
      <c r="D5295" s="22">
        <v>46034</v>
      </c>
      <c r="E5295" s="23" t="s">
        <v>22656</v>
      </c>
      <c r="F5295" s="24" t="s">
        <v>22657</v>
      </c>
      <c r="G5295" s="25">
        <v>4</v>
      </c>
      <c r="H5295" s="29"/>
      <c r="I5295" s="30"/>
    </row>
    <row r="5296" spans="1:9" ht="15.75" thickBot="1" x14ac:dyDescent="0.3">
      <c r="A5296" s="43" t="s">
        <v>11596</v>
      </c>
      <c r="B5296" s="21" t="s">
        <v>11597</v>
      </c>
      <c r="C5296" s="21" t="s">
        <v>22682</v>
      </c>
      <c r="D5296" s="22">
        <v>46034</v>
      </c>
      <c r="E5296" s="23" t="s">
        <v>22656</v>
      </c>
      <c r="F5296" s="24" t="s">
        <v>22657</v>
      </c>
      <c r="G5296" s="25">
        <v>4</v>
      </c>
      <c r="H5296" s="26"/>
      <c r="I5296" s="27"/>
    </row>
    <row r="5297" spans="1:9" ht="15.75" thickBot="1" x14ac:dyDescent="0.3">
      <c r="A5297" s="43" t="s">
        <v>11598</v>
      </c>
      <c r="B5297" s="21" t="s">
        <v>11599</v>
      </c>
      <c r="C5297" s="21" t="s">
        <v>22663</v>
      </c>
      <c r="D5297" s="31">
        <v>1</v>
      </c>
      <c r="E5297" s="23" t="s">
        <v>22658</v>
      </c>
      <c r="F5297" s="24" t="s">
        <v>22657</v>
      </c>
      <c r="G5297" s="25">
        <v>1</v>
      </c>
      <c r="H5297" s="29"/>
      <c r="I5297" s="30"/>
    </row>
    <row r="5298" spans="1:9" ht="15.75" thickBot="1" x14ac:dyDescent="0.3">
      <c r="A5298" s="43" t="s">
        <v>11600</v>
      </c>
      <c r="B5298" s="21" t="s">
        <v>11601</v>
      </c>
      <c r="C5298" s="21" t="s">
        <v>22682</v>
      </c>
      <c r="D5298" s="22">
        <v>46034</v>
      </c>
      <c r="E5298" s="23" t="s">
        <v>22656</v>
      </c>
      <c r="F5298" s="24" t="s">
        <v>22657</v>
      </c>
      <c r="G5298" s="25">
        <v>4</v>
      </c>
      <c r="H5298" s="26"/>
      <c r="I5298" s="27"/>
    </row>
    <row r="5299" spans="1:9" ht="15.75" thickBot="1" x14ac:dyDescent="0.3">
      <c r="A5299" s="43" t="s">
        <v>11602</v>
      </c>
      <c r="B5299" s="21" t="s">
        <v>11603</v>
      </c>
      <c r="C5299" s="21" t="s">
        <v>22682</v>
      </c>
      <c r="D5299" s="22">
        <v>46034</v>
      </c>
      <c r="E5299" s="23" t="s">
        <v>22656</v>
      </c>
      <c r="F5299" s="24" t="s">
        <v>22657</v>
      </c>
      <c r="G5299" s="25">
        <v>4</v>
      </c>
      <c r="H5299" s="29"/>
      <c r="I5299" s="30"/>
    </row>
    <row r="5300" spans="1:9" ht="15.75" thickBot="1" x14ac:dyDescent="0.3">
      <c r="A5300" s="43" t="s">
        <v>11604</v>
      </c>
      <c r="B5300" s="21" t="s">
        <v>11605</v>
      </c>
      <c r="C5300" s="21" t="s">
        <v>22682</v>
      </c>
      <c r="D5300" s="22">
        <v>46034</v>
      </c>
      <c r="E5300" s="23" t="s">
        <v>22656</v>
      </c>
      <c r="F5300" s="24" t="s">
        <v>22657</v>
      </c>
      <c r="G5300" s="25">
        <v>4</v>
      </c>
      <c r="H5300" s="26"/>
      <c r="I5300" s="27"/>
    </row>
    <row r="5301" spans="1:9" ht="15.75" thickBot="1" x14ac:dyDescent="0.3">
      <c r="A5301" s="43" t="s">
        <v>11606</v>
      </c>
      <c r="B5301" s="21" t="s">
        <v>11607</v>
      </c>
      <c r="C5301" s="21" t="s">
        <v>22682</v>
      </c>
      <c r="D5301" s="22">
        <v>46034</v>
      </c>
      <c r="E5301" s="23" t="s">
        <v>22656</v>
      </c>
      <c r="F5301" s="24" t="s">
        <v>22657</v>
      </c>
      <c r="G5301" s="25">
        <v>4</v>
      </c>
      <c r="H5301" s="29"/>
      <c r="I5301" s="30"/>
    </row>
    <row r="5302" spans="1:9" ht="15.75" thickBot="1" x14ac:dyDescent="0.3">
      <c r="A5302" s="43" t="s">
        <v>11608</v>
      </c>
      <c r="B5302" s="21" t="s">
        <v>11609</v>
      </c>
      <c r="C5302" s="21" t="s">
        <v>22682</v>
      </c>
      <c r="D5302" s="22">
        <v>46034</v>
      </c>
      <c r="E5302" s="23" t="s">
        <v>22656</v>
      </c>
      <c r="F5302" s="24" t="s">
        <v>22657</v>
      </c>
      <c r="G5302" s="25">
        <v>4</v>
      </c>
      <c r="H5302" s="26"/>
      <c r="I5302" s="27"/>
    </row>
    <row r="5303" spans="1:9" ht="15.75" thickBot="1" x14ac:dyDescent="0.3">
      <c r="A5303" s="43" t="s">
        <v>11610</v>
      </c>
      <c r="B5303" s="21" t="s">
        <v>11611</v>
      </c>
      <c r="C5303" s="21" t="s">
        <v>22682</v>
      </c>
      <c r="D5303" s="22">
        <v>46034</v>
      </c>
      <c r="E5303" s="23" t="s">
        <v>22656</v>
      </c>
      <c r="F5303" s="24" t="s">
        <v>22657</v>
      </c>
      <c r="G5303" s="25">
        <v>4</v>
      </c>
      <c r="H5303" s="29"/>
      <c r="I5303" s="30"/>
    </row>
    <row r="5304" spans="1:9" ht="15.75" thickBot="1" x14ac:dyDescent="0.3">
      <c r="A5304" s="43" t="s">
        <v>11612</v>
      </c>
      <c r="B5304" s="21" t="s">
        <v>11613</v>
      </c>
      <c r="C5304" s="21" t="s">
        <v>22682</v>
      </c>
      <c r="D5304" s="22">
        <v>46034</v>
      </c>
      <c r="E5304" s="23" t="s">
        <v>22656</v>
      </c>
      <c r="F5304" s="24" t="s">
        <v>22657</v>
      </c>
      <c r="G5304" s="25">
        <v>4</v>
      </c>
      <c r="H5304" s="26"/>
      <c r="I5304" s="27"/>
    </row>
    <row r="5305" spans="1:9" ht="15.75" thickBot="1" x14ac:dyDescent="0.3">
      <c r="A5305" s="43" t="s">
        <v>11614</v>
      </c>
      <c r="B5305" s="21" t="s">
        <v>11615</v>
      </c>
      <c r="C5305" s="21" t="s">
        <v>22682</v>
      </c>
      <c r="D5305" s="22">
        <v>46034</v>
      </c>
      <c r="E5305" s="23" t="s">
        <v>22656</v>
      </c>
      <c r="F5305" s="24" t="s">
        <v>22657</v>
      </c>
      <c r="G5305" s="25">
        <v>4</v>
      </c>
      <c r="H5305" s="29"/>
      <c r="I5305" s="30"/>
    </row>
    <row r="5306" spans="1:9" ht="15.75" thickBot="1" x14ac:dyDescent="0.3">
      <c r="A5306" s="43" t="s">
        <v>11616</v>
      </c>
      <c r="B5306" s="21" t="s">
        <v>11617</v>
      </c>
      <c r="C5306" s="21" t="s">
        <v>22682</v>
      </c>
      <c r="D5306" s="22">
        <v>46034</v>
      </c>
      <c r="E5306" s="23" t="s">
        <v>22658</v>
      </c>
      <c r="F5306" s="24" t="s">
        <v>22657</v>
      </c>
      <c r="G5306" s="25">
        <v>4</v>
      </c>
      <c r="H5306" s="26"/>
      <c r="I5306" s="27"/>
    </row>
    <row r="5307" spans="1:9" ht="15.75" thickBot="1" x14ac:dyDescent="0.3">
      <c r="A5307" s="43" t="s">
        <v>11618</v>
      </c>
      <c r="B5307" s="21" t="s">
        <v>11619</v>
      </c>
      <c r="C5307" s="21" t="s">
        <v>22682</v>
      </c>
      <c r="D5307" s="22">
        <v>46034</v>
      </c>
      <c r="E5307" s="23" t="s">
        <v>22658</v>
      </c>
      <c r="F5307" s="24" t="s">
        <v>22657</v>
      </c>
      <c r="G5307" s="25">
        <v>4</v>
      </c>
      <c r="H5307" s="29"/>
      <c r="I5307" s="30"/>
    </row>
    <row r="5308" spans="1:9" ht="15.75" thickBot="1" x14ac:dyDescent="0.3">
      <c r="A5308" s="43" t="s">
        <v>11620</v>
      </c>
      <c r="B5308" s="21" t="s">
        <v>11621</v>
      </c>
      <c r="C5308" s="21" t="s">
        <v>22682</v>
      </c>
      <c r="D5308" s="22">
        <v>46034</v>
      </c>
      <c r="E5308" s="23" t="s">
        <v>22656</v>
      </c>
      <c r="F5308" s="24" t="s">
        <v>22657</v>
      </c>
      <c r="G5308" s="25">
        <v>4</v>
      </c>
      <c r="H5308" s="26"/>
      <c r="I5308" s="27"/>
    </row>
    <row r="5309" spans="1:9" ht="15.75" thickBot="1" x14ac:dyDescent="0.3">
      <c r="A5309" s="43" t="s">
        <v>11622</v>
      </c>
      <c r="B5309" s="21" t="s">
        <v>11623</v>
      </c>
      <c r="C5309" s="21" t="s">
        <v>22682</v>
      </c>
      <c r="D5309" s="22">
        <v>46034</v>
      </c>
      <c r="E5309" s="23" t="s">
        <v>22656</v>
      </c>
      <c r="F5309" s="24" t="s">
        <v>22657</v>
      </c>
      <c r="G5309" s="25">
        <v>4</v>
      </c>
      <c r="H5309" s="29"/>
      <c r="I5309" s="30"/>
    </row>
    <row r="5310" spans="1:9" ht="15.75" thickBot="1" x14ac:dyDescent="0.3">
      <c r="A5310" s="43" t="s">
        <v>11624</v>
      </c>
      <c r="B5310" s="21" t="s">
        <v>11625</v>
      </c>
      <c r="C5310" s="21" t="s">
        <v>22682</v>
      </c>
      <c r="D5310" s="22">
        <v>46034</v>
      </c>
      <c r="E5310" s="23" t="s">
        <v>22658</v>
      </c>
      <c r="F5310" s="24" t="s">
        <v>22657</v>
      </c>
      <c r="G5310" s="25">
        <v>4</v>
      </c>
      <c r="H5310" s="26"/>
      <c r="I5310" s="27"/>
    </row>
    <row r="5311" spans="1:9" ht="15.75" thickBot="1" x14ac:dyDescent="0.3">
      <c r="A5311" s="43" t="s">
        <v>11626</v>
      </c>
      <c r="B5311" s="21" t="s">
        <v>11627</v>
      </c>
      <c r="C5311" s="21" t="s">
        <v>22682</v>
      </c>
      <c r="D5311" s="22">
        <v>46034</v>
      </c>
      <c r="E5311" s="23" t="s">
        <v>22658</v>
      </c>
      <c r="F5311" s="24" t="s">
        <v>22657</v>
      </c>
      <c r="G5311" s="25">
        <v>4</v>
      </c>
      <c r="H5311" s="29"/>
      <c r="I5311" s="30"/>
    </row>
    <row r="5312" spans="1:9" ht="15.75" thickBot="1" x14ac:dyDescent="0.3">
      <c r="A5312" s="43" t="s">
        <v>11628</v>
      </c>
      <c r="B5312" s="21" t="s">
        <v>11629</v>
      </c>
      <c r="C5312" s="21" t="s">
        <v>22682</v>
      </c>
      <c r="D5312" s="22">
        <v>46034</v>
      </c>
      <c r="E5312" s="23" t="s">
        <v>22658</v>
      </c>
      <c r="F5312" s="24" t="s">
        <v>22657</v>
      </c>
      <c r="G5312" s="25">
        <v>4</v>
      </c>
      <c r="H5312" s="26"/>
      <c r="I5312" s="27"/>
    </row>
    <row r="5313" spans="1:9" ht="15.75" thickBot="1" x14ac:dyDescent="0.3">
      <c r="A5313" s="43" t="s">
        <v>11630</v>
      </c>
      <c r="B5313" s="21" t="s">
        <v>11631</v>
      </c>
      <c r="C5313" s="21" t="s">
        <v>22682</v>
      </c>
      <c r="D5313" s="22">
        <v>46034</v>
      </c>
      <c r="E5313" s="23" t="s">
        <v>22658</v>
      </c>
      <c r="F5313" s="24" t="s">
        <v>22657</v>
      </c>
      <c r="G5313" s="25">
        <v>4</v>
      </c>
      <c r="H5313" s="29"/>
      <c r="I5313" s="30"/>
    </row>
    <row r="5314" spans="1:9" ht="15.75" thickBot="1" x14ac:dyDescent="0.3">
      <c r="A5314" s="43" t="s">
        <v>11632</v>
      </c>
      <c r="B5314" s="21" t="s">
        <v>11633</v>
      </c>
      <c r="C5314" s="21" t="s">
        <v>22682</v>
      </c>
      <c r="D5314" s="22">
        <v>46034</v>
      </c>
      <c r="E5314" s="23" t="s">
        <v>22658</v>
      </c>
      <c r="F5314" s="24" t="s">
        <v>22657</v>
      </c>
      <c r="G5314" s="25">
        <v>4</v>
      </c>
      <c r="H5314" s="26"/>
      <c r="I5314" s="27"/>
    </row>
    <row r="5315" spans="1:9" ht="15.75" thickBot="1" x14ac:dyDescent="0.3">
      <c r="A5315" s="43" t="s">
        <v>11634</v>
      </c>
      <c r="B5315" s="21" t="s">
        <v>11635</v>
      </c>
      <c r="C5315" s="21" t="s">
        <v>22682</v>
      </c>
      <c r="D5315" s="22">
        <v>46034</v>
      </c>
      <c r="E5315" s="23" t="s">
        <v>22658</v>
      </c>
      <c r="F5315" s="24" t="s">
        <v>22657</v>
      </c>
      <c r="G5315" s="25">
        <v>4</v>
      </c>
      <c r="H5315" s="29"/>
      <c r="I5315" s="30"/>
    </row>
    <row r="5316" spans="1:9" ht="15.75" thickBot="1" x14ac:dyDescent="0.3">
      <c r="A5316" s="43" t="s">
        <v>11636</v>
      </c>
      <c r="B5316" s="21" t="s">
        <v>11637</v>
      </c>
      <c r="C5316" s="21" t="s">
        <v>22682</v>
      </c>
      <c r="D5316" s="22">
        <v>46034</v>
      </c>
      <c r="E5316" s="23" t="s">
        <v>22658</v>
      </c>
      <c r="F5316" s="24" t="s">
        <v>22657</v>
      </c>
      <c r="G5316" s="25">
        <v>4</v>
      </c>
      <c r="H5316" s="26"/>
      <c r="I5316" s="27"/>
    </row>
    <row r="5317" spans="1:9" ht="15.75" thickBot="1" x14ac:dyDescent="0.3">
      <c r="A5317" s="43" t="s">
        <v>11638</v>
      </c>
      <c r="B5317" s="21" t="s">
        <v>11639</v>
      </c>
      <c r="C5317" s="21" t="s">
        <v>22682</v>
      </c>
      <c r="D5317" s="22">
        <v>46034</v>
      </c>
      <c r="E5317" s="23" t="s">
        <v>22658</v>
      </c>
      <c r="F5317" s="24" t="s">
        <v>22657</v>
      </c>
      <c r="G5317" s="25">
        <v>4</v>
      </c>
      <c r="H5317" s="29"/>
      <c r="I5317" s="30"/>
    </row>
    <row r="5318" spans="1:9" ht="15.75" thickBot="1" x14ac:dyDescent="0.3">
      <c r="A5318" s="43" t="s">
        <v>11640</v>
      </c>
      <c r="B5318" s="21" t="s">
        <v>11641</v>
      </c>
      <c r="C5318" s="21" t="s">
        <v>22682</v>
      </c>
      <c r="D5318" s="22">
        <v>46034</v>
      </c>
      <c r="E5318" s="23" t="s">
        <v>22658</v>
      </c>
      <c r="F5318" s="24" t="s">
        <v>22657</v>
      </c>
      <c r="G5318" s="25">
        <v>4</v>
      </c>
      <c r="H5318" s="26"/>
      <c r="I5318" s="27"/>
    </row>
    <row r="5319" spans="1:9" ht="15.75" thickBot="1" x14ac:dyDescent="0.3">
      <c r="A5319" s="43" t="s">
        <v>11642</v>
      </c>
      <c r="B5319" s="21" t="s">
        <v>11643</v>
      </c>
      <c r="C5319" s="21" t="s">
        <v>22682</v>
      </c>
      <c r="D5319" s="22">
        <v>46034</v>
      </c>
      <c r="E5319" s="23" t="s">
        <v>22658</v>
      </c>
      <c r="F5319" s="24" t="s">
        <v>22657</v>
      </c>
      <c r="G5319" s="25">
        <v>4</v>
      </c>
      <c r="H5319" s="29"/>
      <c r="I5319" s="30"/>
    </row>
    <row r="5320" spans="1:9" ht="15.75" thickBot="1" x14ac:dyDescent="0.3">
      <c r="A5320" s="43" t="s">
        <v>11644</v>
      </c>
      <c r="B5320" s="21" t="s">
        <v>11645</v>
      </c>
      <c r="C5320" s="21" t="s">
        <v>22682</v>
      </c>
      <c r="D5320" s="22">
        <v>46034</v>
      </c>
      <c r="E5320" s="23" t="s">
        <v>22658</v>
      </c>
      <c r="F5320" s="24" t="s">
        <v>22657</v>
      </c>
      <c r="G5320" s="25">
        <v>4</v>
      </c>
      <c r="H5320" s="26"/>
      <c r="I5320" s="27"/>
    </row>
    <row r="5321" spans="1:9" ht="15.75" thickBot="1" x14ac:dyDescent="0.3">
      <c r="A5321" s="43" t="s">
        <v>11646</v>
      </c>
      <c r="B5321" s="21" t="s">
        <v>11647</v>
      </c>
      <c r="C5321" s="21" t="s">
        <v>22682</v>
      </c>
      <c r="D5321" s="22">
        <v>46034</v>
      </c>
      <c r="E5321" s="23" t="s">
        <v>22658</v>
      </c>
      <c r="F5321" s="24" t="s">
        <v>22657</v>
      </c>
      <c r="G5321" s="25">
        <v>4</v>
      </c>
      <c r="H5321" s="29"/>
      <c r="I5321" s="30"/>
    </row>
    <row r="5322" spans="1:9" ht="15.75" thickBot="1" x14ac:dyDescent="0.3">
      <c r="A5322" s="43" t="s">
        <v>11648</v>
      </c>
      <c r="B5322" s="21" t="s">
        <v>11649</v>
      </c>
      <c r="C5322" s="21" t="s">
        <v>22682</v>
      </c>
      <c r="D5322" s="22">
        <v>46034</v>
      </c>
      <c r="E5322" s="23" t="s">
        <v>22658</v>
      </c>
      <c r="F5322" s="24" t="s">
        <v>22657</v>
      </c>
      <c r="G5322" s="25">
        <v>4</v>
      </c>
      <c r="H5322" s="26"/>
      <c r="I5322" s="27"/>
    </row>
    <row r="5323" spans="1:9" ht="15.75" thickBot="1" x14ac:dyDescent="0.3">
      <c r="A5323" s="43" t="s">
        <v>11650</v>
      </c>
      <c r="B5323" s="21" t="s">
        <v>11651</v>
      </c>
      <c r="C5323" s="21" t="s">
        <v>22682</v>
      </c>
      <c r="D5323" s="22">
        <v>46034</v>
      </c>
      <c r="E5323" s="23" t="s">
        <v>22658</v>
      </c>
      <c r="F5323" s="24" t="s">
        <v>22657</v>
      </c>
      <c r="G5323" s="25">
        <v>4</v>
      </c>
      <c r="H5323" s="29"/>
      <c r="I5323" s="30"/>
    </row>
    <row r="5324" spans="1:9" ht="15.75" thickBot="1" x14ac:dyDescent="0.3">
      <c r="A5324" s="43" t="s">
        <v>11652</v>
      </c>
      <c r="B5324" s="21" t="s">
        <v>11653</v>
      </c>
      <c r="C5324" s="21" t="s">
        <v>22682</v>
      </c>
      <c r="D5324" s="22">
        <v>46034</v>
      </c>
      <c r="E5324" s="23" t="s">
        <v>22658</v>
      </c>
      <c r="F5324" s="24" t="s">
        <v>22657</v>
      </c>
      <c r="G5324" s="25">
        <v>4</v>
      </c>
      <c r="H5324" s="26"/>
      <c r="I5324" s="27"/>
    </row>
    <row r="5325" spans="1:9" ht="15.75" thickBot="1" x14ac:dyDescent="0.3">
      <c r="A5325" s="43" t="s">
        <v>11654</v>
      </c>
      <c r="B5325" s="21" t="s">
        <v>11655</v>
      </c>
      <c r="C5325" s="21" t="s">
        <v>22682</v>
      </c>
      <c r="D5325" s="22">
        <v>46034</v>
      </c>
      <c r="E5325" s="23" t="s">
        <v>22658</v>
      </c>
      <c r="F5325" s="24" t="s">
        <v>22657</v>
      </c>
      <c r="G5325" s="25">
        <v>4</v>
      </c>
      <c r="H5325" s="29"/>
      <c r="I5325" s="30"/>
    </row>
    <row r="5326" spans="1:9" ht="15.75" thickBot="1" x14ac:dyDescent="0.3">
      <c r="A5326" s="43" t="s">
        <v>11656</v>
      </c>
      <c r="B5326" s="21" t="s">
        <v>11657</v>
      </c>
      <c r="C5326" s="21" t="s">
        <v>22685</v>
      </c>
      <c r="D5326" s="31">
        <v>1</v>
      </c>
      <c r="E5326" s="23" t="s">
        <v>22656</v>
      </c>
      <c r="F5326" s="24" t="s">
        <v>22657</v>
      </c>
      <c r="G5326" s="25">
        <v>4</v>
      </c>
      <c r="H5326" s="26"/>
      <c r="I5326" s="27"/>
    </row>
    <row r="5327" spans="1:9" ht="15.75" thickBot="1" x14ac:dyDescent="0.3">
      <c r="A5327" s="43" t="s">
        <v>11658</v>
      </c>
      <c r="B5327" s="21" t="s">
        <v>11659</v>
      </c>
      <c r="C5327" s="21" t="s">
        <v>22682</v>
      </c>
      <c r="D5327" s="22">
        <v>46034</v>
      </c>
      <c r="E5327" s="23" t="s">
        <v>22658</v>
      </c>
      <c r="F5327" s="24" t="s">
        <v>22657</v>
      </c>
      <c r="G5327" s="25">
        <v>4</v>
      </c>
      <c r="H5327" s="29"/>
      <c r="I5327" s="30"/>
    </row>
    <row r="5328" spans="1:9" ht="15.75" thickBot="1" x14ac:dyDescent="0.3">
      <c r="A5328" s="43" t="s">
        <v>11660</v>
      </c>
      <c r="B5328" s="21" t="s">
        <v>11661</v>
      </c>
      <c r="C5328" s="21" t="s">
        <v>22682</v>
      </c>
      <c r="D5328" s="22">
        <v>46034</v>
      </c>
      <c r="E5328" s="23" t="s">
        <v>22658</v>
      </c>
      <c r="F5328" s="24" t="s">
        <v>22657</v>
      </c>
      <c r="G5328" s="25">
        <v>4</v>
      </c>
      <c r="H5328" s="26"/>
      <c r="I5328" s="27"/>
    </row>
    <row r="5329" spans="1:9" ht="15.75" thickBot="1" x14ac:dyDescent="0.3">
      <c r="A5329" s="43" t="s">
        <v>11662</v>
      </c>
      <c r="B5329" s="21" t="s">
        <v>11663</v>
      </c>
      <c r="C5329" s="21" t="s">
        <v>22663</v>
      </c>
      <c r="D5329" s="31">
        <v>1</v>
      </c>
      <c r="E5329" s="23" t="s">
        <v>22656</v>
      </c>
      <c r="F5329" s="24" t="s">
        <v>22657</v>
      </c>
      <c r="G5329" s="25">
        <v>4</v>
      </c>
      <c r="H5329" s="29"/>
      <c r="I5329" s="30"/>
    </row>
    <row r="5330" spans="1:9" ht="15.75" thickBot="1" x14ac:dyDescent="0.3">
      <c r="A5330" s="43" t="s">
        <v>11664</v>
      </c>
      <c r="B5330" s="21" t="s">
        <v>11665</v>
      </c>
      <c r="C5330" s="21" t="s">
        <v>22663</v>
      </c>
      <c r="D5330" s="31">
        <v>1</v>
      </c>
      <c r="E5330" s="23" t="s">
        <v>22656</v>
      </c>
      <c r="F5330" s="24" t="s">
        <v>22657</v>
      </c>
      <c r="G5330" s="25">
        <v>4</v>
      </c>
      <c r="H5330" s="26"/>
      <c r="I5330" s="27"/>
    </row>
    <row r="5331" spans="1:9" ht="15.75" thickBot="1" x14ac:dyDescent="0.3">
      <c r="A5331" s="43" t="s">
        <v>11666</v>
      </c>
      <c r="B5331" s="21" t="s">
        <v>11667</v>
      </c>
      <c r="C5331" s="21" t="s">
        <v>22682</v>
      </c>
      <c r="D5331" s="22">
        <v>46034</v>
      </c>
      <c r="E5331" s="23" t="s">
        <v>22656</v>
      </c>
      <c r="F5331" s="24" t="s">
        <v>22657</v>
      </c>
      <c r="G5331" s="25">
        <v>12</v>
      </c>
      <c r="H5331" s="29"/>
      <c r="I5331" s="30"/>
    </row>
    <row r="5332" spans="1:9" ht="15.75" thickBot="1" x14ac:dyDescent="0.3">
      <c r="A5332" s="43" t="s">
        <v>11668</v>
      </c>
      <c r="B5332" s="21" t="s">
        <v>11669</v>
      </c>
      <c r="C5332" s="21" t="s">
        <v>22682</v>
      </c>
      <c r="D5332" s="22">
        <v>46034</v>
      </c>
      <c r="E5332" s="23" t="s">
        <v>22656</v>
      </c>
      <c r="F5332" s="24" t="s">
        <v>22657</v>
      </c>
      <c r="G5332" s="25">
        <v>4</v>
      </c>
      <c r="H5332" s="26"/>
      <c r="I5332" s="27"/>
    </row>
    <row r="5333" spans="1:9" ht="15.75" thickBot="1" x14ac:dyDescent="0.3">
      <c r="A5333" s="43" t="s">
        <v>11670</v>
      </c>
      <c r="B5333" s="21" t="s">
        <v>11671</v>
      </c>
      <c r="C5333" s="21" t="s">
        <v>22682</v>
      </c>
      <c r="D5333" s="22">
        <v>46034</v>
      </c>
      <c r="E5333" s="23" t="s">
        <v>22656</v>
      </c>
      <c r="F5333" s="24" t="s">
        <v>22657</v>
      </c>
      <c r="G5333" s="25">
        <v>4</v>
      </c>
      <c r="H5333" s="29"/>
      <c r="I5333" s="30"/>
    </row>
    <row r="5334" spans="1:9" ht="15.75" thickBot="1" x14ac:dyDescent="0.3">
      <c r="A5334" s="43" t="s">
        <v>11672</v>
      </c>
      <c r="B5334" s="21" t="s">
        <v>11673</v>
      </c>
      <c r="C5334" s="21" t="s">
        <v>22682</v>
      </c>
      <c r="D5334" s="22">
        <v>46034</v>
      </c>
      <c r="E5334" s="23" t="s">
        <v>22656</v>
      </c>
      <c r="F5334" s="24" t="s">
        <v>22657</v>
      </c>
      <c r="G5334" s="25">
        <v>4</v>
      </c>
      <c r="H5334" s="26"/>
      <c r="I5334" s="27"/>
    </row>
    <row r="5335" spans="1:9" ht="15.75" thickBot="1" x14ac:dyDescent="0.3">
      <c r="A5335" s="43" t="s">
        <v>11674</v>
      </c>
      <c r="B5335" s="21" t="s">
        <v>11675</v>
      </c>
      <c r="C5335" s="21" t="s">
        <v>22682</v>
      </c>
      <c r="D5335" s="22">
        <v>46034</v>
      </c>
      <c r="E5335" s="23" t="s">
        <v>22656</v>
      </c>
      <c r="F5335" s="24" t="s">
        <v>22657</v>
      </c>
      <c r="G5335" s="25">
        <v>5</v>
      </c>
      <c r="H5335" s="29"/>
      <c r="I5335" s="30"/>
    </row>
    <row r="5336" spans="1:9" ht="15.75" thickBot="1" x14ac:dyDescent="0.3">
      <c r="A5336" s="43" t="s">
        <v>11676</v>
      </c>
      <c r="B5336" s="21" t="s">
        <v>11677</v>
      </c>
      <c r="C5336" s="21" t="s">
        <v>22682</v>
      </c>
      <c r="D5336" s="22">
        <v>46034</v>
      </c>
      <c r="E5336" s="23" t="s">
        <v>22656</v>
      </c>
      <c r="F5336" s="24" t="s">
        <v>22657</v>
      </c>
      <c r="G5336" s="25">
        <v>4</v>
      </c>
      <c r="H5336" s="26"/>
      <c r="I5336" s="27"/>
    </row>
    <row r="5337" spans="1:9" ht="15.75" thickBot="1" x14ac:dyDescent="0.3">
      <c r="A5337" s="43" t="s">
        <v>11678</v>
      </c>
      <c r="B5337" s="21" t="s">
        <v>11679</v>
      </c>
      <c r="C5337" s="21" t="s">
        <v>22682</v>
      </c>
      <c r="D5337" s="22">
        <v>46034</v>
      </c>
      <c r="E5337" s="23" t="s">
        <v>22656</v>
      </c>
      <c r="F5337" s="24" t="s">
        <v>22657</v>
      </c>
      <c r="G5337" s="25">
        <v>4</v>
      </c>
      <c r="H5337" s="29"/>
      <c r="I5337" s="30"/>
    </row>
    <row r="5338" spans="1:9" ht="15.75" thickBot="1" x14ac:dyDescent="0.3">
      <c r="A5338" s="43" t="s">
        <v>11680</v>
      </c>
      <c r="B5338" s="21" t="s">
        <v>11681</v>
      </c>
      <c r="C5338" s="21" t="s">
        <v>22682</v>
      </c>
      <c r="D5338" s="22">
        <v>46034</v>
      </c>
      <c r="E5338" s="23" t="s">
        <v>22656</v>
      </c>
      <c r="F5338" s="24" t="s">
        <v>22657</v>
      </c>
      <c r="G5338" s="25">
        <v>4</v>
      </c>
      <c r="H5338" s="26"/>
      <c r="I5338" s="27"/>
    </row>
    <row r="5339" spans="1:9" ht="15.75" thickBot="1" x14ac:dyDescent="0.3">
      <c r="A5339" s="43" t="s">
        <v>11682</v>
      </c>
      <c r="B5339" s="21" t="s">
        <v>11683</v>
      </c>
      <c r="C5339" s="21" t="s">
        <v>22672</v>
      </c>
      <c r="D5339" s="22">
        <v>46034</v>
      </c>
      <c r="E5339" s="23" t="s">
        <v>22656</v>
      </c>
      <c r="F5339" s="24" t="s">
        <v>22657</v>
      </c>
      <c r="G5339" s="25">
        <v>4</v>
      </c>
      <c r="H5339" s="29"/>
      <c r="I5339" s="30"/>
    </row>
    <row r="5340" spans="1:9" ht="15.75" thickBot="1" x14ac:dyDescent="0.3">
      <c r="A5340" s="43" t="s">
        <v>11684</v>
      </c>
      <c r="B5340" s="21" t="s">
        <v>11685</v>
      </c>
      <c r="C5340" s="21" t="s">
        <v>22682</v>
      </c>
      <c r="D5340" s="22">
        <v>46034</v>
      </c>
      <c r="E5340" s="23" t="s">
        <v>22656</v>
      </c>
      <c r="F5340" s="24" t="s">
        <v>22657</v>
      </c>
      <c r="G5340" s="25">
        <v>4</v>
      </c>
      <c r="H5340" s="26"/>
      <c r="I5340" s="27"/>
    </row>
    <row r="5341" spans="1:9" ht="15.75" thickBot="1" x14ac:dyDescent="0.3">
      <c r="A5341" s="43" t="s">
        <v>11686</v>
      </c>
      <c r="B5341" s="21" t="s">
        <v>11687</v>
      </c>
      <c r="C5341" s="21" t="s">
        <v>22682</v>
      </c>
      <c r="D5341" s="22">
        <v>46034</v>
      </c>
      <c r="E5341" s="23" t="s">
        <v>22656</v>
      </c>
      <c r="F5341" s="24" t="s">
        <v>22657</v>
      </c>
      <c r="G5341" s="25">
        <v>4</v>
      </c>
      <c r="H5341" s="29"/>
      <c r="I5341" s="30"/>
    </row>
    <row r="5342" spans="1:9" ht="15.75" thickBot="1" x14ac:dyDescent="0.3">
      <c r="A5342" s="43" t="s">
        <v>11688</v>
      </c>
      <c r="B5342" s="21" t="s">
        <v>11689</v>
      </c>
      <c r="C5342" s="21" t="s">
        <v>22682</v>
      </c>
      <c r="D5342" s="22">
        <v>46034</v>
      </c>
      <c r="E5342" s="23" t="s">
        <v>22658</v>
      </c>
      <c r="F5342" s="24" t="s">
        <v>22657</v>
      </c>
      <c r="G5342" s="25">
        <v>4</v>
      </c>
      <c r="H5342" s="26"/>
      <c r="I5342" s="27"/>
    </row>
    <row r="5343" spans="1:9" ht="15.75" thickBot="1" x14ac:dyDescent="0.3">
      <c r="A5343" s="43" t="s">
        <v>11690</v>
      </c>
      <c r="B5343" s="21" t="s">
        <v>11691</v>
      </c>
      <c r="C5343" s="21" t="s">
        <v>22682</v>
      </c>
      <c r="D5343" s="22">
        <v>46034</v>
      </c>
      <c r="E5343" s="23" t="s">
        <v>22658</v>
      </c>
      <c r="F5343" s="24" t="s">
        <v>22657</v>
      </c>
      <c r="G5343" s="25">
        <v>4</v>
      </c>
      <c r="H5343" s="29"/>
      <c r="I5343" s="30"/>
    </row>
    <row r="5344" spans="1:9" ht="15.75" thickBot="1" x14ac:dyDescent="0.3">
      <c r="A5344" s="43" t="s">
        <v>11692</v>
      </c>
      <c r="B5344" s="21" t="s">
        <v>11693</v>
      </c>
      <c r="C5344" s="21" t="s">
        <v>22682</v>
      </c>
      <c r="D5344" s="22">
        <v>46034</v>
      </c>
      <c r="E5344" s="23" t="s">
        <v>22658</v>
      </c>
      <c r="F5344" s="24" t="s">
        <v>22657</v>
      </c>
      <c r="G5344" s="25">
        <v>4</v>
      </c>
      <c r="H5344" s="26"/>
      <c r="I5344" s="27"/>
    </row>
    <row r="5345" spans="1:9" ht="15.75" thickBot="1" x14ac:dyDescent="0.3">
      <c r="A5345" s="43" t="s">
        <v>11694</v>
      </c>
      <c r="B5345" s="21" t="s">
        <v>11695</v>
      </c>
      <c r="C5345" s="21" t="s">
        <v>22682</v>
      </c>
      <c r="D5345" s="22">
        <v>46034</v>
      </c>
      <c r="E5345" s="23" t="s">
        <v>22658</v>
      </c>
      <c r="F5345" s="24" t="s">
        <v>22657</v>
      </c>
      <c r="G5345" s="25">
        <v>4</v>
      </c>
      <c r="H5345" s="29"/>
      <c r="I5345" s="30"/>
    </row>
    <row r="5346" spans="1:9" ht="15.75" thickBot="1" x14ac:dyDescent="0.3">
      <c r="A5346" s="43" t="s">
        <v>11698</v>
      </c>
      <c r="B5346" s="21" t="s">
        <v>11699</v>
      </c>
      <c r="C5346" s="21" t="s">
        <v>22682</v>
      </c>
      <c r="D5346" s="22">
        <v>46034</v>
      </c>
      <c r="E5346" s="23" t="s">
        <v>22658</v>
      </c>
      <c r="F5346" s="24" t="s">
        <v>22657</v>
      </c>
      <c r="G5346" s="25">
        <v>4</v>
      </c>
      <c r="H5346" s="26"/>
      <c r="I5346" s="27"/>
    </row>
    <row r="5347" spans="1:9" ht="15.75" thickBot="1" x14ac:dyDescent="0.3">
      <c r="A5347" s="43" t="s">
        <v>11696</v>
      </c>
      <c r="B5347" s="21" t="s">
        <v>11697</v>
      </c>
      <c r="C5347" s="21" t="s">
        <v>22682</v>
      </c>
      <c r="D5347" s="22">
        <v>46034</v>
      </c>
      <c r="E5347" s="23" t="s">
        <v>22658</v>
      </c>
      <c r="F5347" s="24" t="s">
        <v>22657</v>
      </c>
      <c r="G5347" s="25">
        <v>4</v>
      </c>
      <c r="H5347" s="29"/>
      <c r="I5347" s="30"/>
    </row>
    <row r="5348" spans="1:9" ht="15.75" thickBot="1" x14ac:dyDescent="0.3">
      <c r="A5348" s="43" t="s">
        <v>11700</v>
      </c>
      <c r="B5348" s="21" t="s">
        <v>11701</v>
      </c>
      <c r="C5348" s="21" t="s">
        <v>22672</v>
      </c>
      <c r="D5348" s="22">
        <v>46034</v>
      </c>
      <c r="E5348" s="23" t="s">
        <v>22656</v>
      </c>
      <c r="F5348" s="24" t="s">
        <v>22657</v>
      </c>
      <c r="G5348" s="25">
        <v>4</v>
      </c>
      <c r="H5348" s="26"/>
      <c r="I5348" s="27"/>
    </row>
    <row r="5349" spans="1:9" ht="15.75" thickBot="1" x14ac:dyDescent="0.3">
      <c r="A5349" s="43" t="s">
        <v>11702</v>
      </c>
      <c r="B5349" s="21" t="s">
        <v>11703</v>
      </c>
      <c r="C5349" s="21" t="s">
        <v>22672</v>
      </c>
      <c r="D5349" s="22">
        <v>46034</v>
      </c>
      <c r="E5349" s="23" t="s">
        <v>22656</v>
      </c>
      <c r="F5349" s="24" t="s">
        <v>22657</v>
      </c>
      <c r="G5349" s="25">
        <v>6</v>
      </c>
      <c r="H5349" s="29"/>
      <c r="I5349" s="30"/>
    </row>
    <row r="5350" spans="1:9" ht="15.75" thickBot="1" x14ac:dyDescent="0.3">
      <c r="A5350" s="43" t="s">
        <v>11704</v>
      </c>
      <c r="B5350" s="21" t="s">
        <v>11705</v>
      </c>
      <c r="C5350" s="21" t="s">
        <v>22672</v>
      </c>
      <c r="D5350" s="22">
        <v>46034</v>
      </c>
      <c r="E5350" s="23" t="s">
        <v>22656</v>
      </c>
      <c r="F5350" s="24" t="s">
        <v>22657</v>
      </c>
      <c r="G5350" s="25">
        <v>4</v>
      </c>
      <c r="H5350" s="26"/>
      <c r="I5350" s="27"/>
    </row>
    <row r="5351" spans="1:9" ht="15.75" thickBot="1" x14ac:dyDescent="0.3">
      <c r="A5351" s="43" t="s">
        <v>11706</v>
      </c>
      <c r="B5351" s="21" t="s">
        <v>11707</v>
      </c>
      <c r="C5351" s="21" t="s">
        <v>22672</v>
      </c>
      <c r="D5351" s="22">
        <v>46034</v>
      </c>
      <c r="E5351" s="23" t="s">
        <v>22656</v>
      </c>
      <c r="F5351" s="24" t="s">
        <v>22657</v>
      </c>
      <c r="G5351" s="25">
        <v>4</v>
      </c>
      <c r="H5351" s="29"/>
      <c r="I5351" s="30"/>
    </row>
    <row r="5352" spans="1:9" ht="15.75" thickBot="1" x14ac:dyDescent="0.3">
      <c r="A5352" s="43" t="s">
        <v>11708</v>
      </c>
      <c r="B5352" s="21" t="s">
        <v>11709</v>
      </c>
      <c r="C5352" s="21" t="s">
        <v>22672</v>
      </c>
      <c r="D5352" s="22">
        <v>46034</v>
      </c>
      <c r="E5352" s="23" t="s">
        <v>22656</v>
      </c>
      <c r="F5352" s="24" t="s">
        <v>22657</v>
      </c>
      <c r="G5352" s="25">
        <v>4</v>
      </c>
      <c r="H5352" s="26"/>
      <c r="I5352" s="27"/>
    </row>
    <row r="5353" spans="1:9" ht="15.75" thickBot="1" x14ac:dyDescent="0.3">
      <c r="A5353" s="43" t="s">
        <v>11710</v>
      </c>
      <c r="B5353" s="21" t="s">
        <v>11711</v>
      </c>
      <c r="C5353" s="21" t="s">
        <v>22672</v>
      </c>
      <c r="D5353" s="22">
        <v>46034</v>
      </c>
      <c r="E5353" s="23" t="s">
        <v>22656</v>
      </c>
      <c r="F5353" s="24" t="s">
        <v>22657</v>
      </c>
      <c r="G5353" s="25">
        <v>4</v>
      </c>
      <c r="H5353" s="29"/>
      <c r="I5353" s="30"/>
    </row>
    <row r="5354" spans="1:9" ht="15.75" thickBot="1" x14ac:dyDescent="0.3">
      <c r="A5354" s="43" t="s">
        <v>11712</v>
      </c>
      <c r="B5354" s="21" t="s">
        <v>11713</v>
      </c>
      <c r="C5354" s="21" t="s">
        <v>22682</v>
      </c>
      <c r="D5354" s="22">
        <v>46034</v>
      </c>
      <c r="E5354" s="23" t="s">
        <v>22656</v>
      </c>
      <c r="F5354" s="24" t="s">
        <v>22657</v>
      </c>
      <c r="G5354" s="25">
        <v>4</v>
      </c>
      <c r="H5354" s="26"/>
      <c r="I5354" s="27"/>
    </row>
    <row r="5355" spans="1:9" ht="15.75" thickBot="1" x14ac:dyDescent="0.3">
      <c r="A5355" s="43" t="s">
        <v>11714</v>
      </c>
      <c r="B5355" s="21" t="s">
        <v>11715</v>
      </c>
      <c r="C5355" s="21" t="s">
        <v>22682</v>
      </c>
      <c r="D5355" s="22">
        <v>46034</v>
      </c>
      <c r="E5355" s="23" t="s">
        <v>22656</v>
      </c>
      <c r="F5355" s="24" t="s">
        <v>22657</v>
      </c>
      <c r="G5355" s="25">
        <v>4</v>
      </c>
      <c r="H5355" s="29"/>
      <c r="I5355" s="30"/>
    </row>
    <row r="5356" spans="1:9" ht="15.75" thickBot="1" x14ac:dyDescent="0.3">
      <c r="A5356" s="43" t="s">
        <v>11716</v>
      </c>
      <c r="B5356" s="21" t="s">
        <v>11717</v>
      </c>
      <c r="C5356" s="21" t="s">
        <v>22682</v>
      </c>
      <c r="D5356" s="22">
        <v>46034</v>
      </c>
      <c r="E5356" s="23" t="s">
        <v>22656</v>
      </c>
      <c r="F5356" s="24" t="s">
        <v>22657</v>
      </c>
      <c r="G5356" s="25">
        <v>4</v>
      </c>
      <c r="H5356" s="26"/>
      <c r="I5356" s="27"/>
    </row>
    <row r="5357" spans="1:9" ht="15.75" thickBot="1" x14ac:dyDescent="0.3">
      <c r="A5357" s="43" t="s">
        <v>11718</v>
      </c>
      <c r="B5357" s="21" t="s">
        <v>11719</v>
      </c>
      <c r="C5357" s="21" t="s">
        <v>22682</v>
      </c>
      <c r="D5357" s="22">
        <v>46034</v>
      </c>
      <c r="E5357" s="23" t="s">
        <v>22656</v>
      </c>
      <c r="F5357" s="24" t="s">
        <v>22657</v>
      </c>
      <c r="G5357" s="25">
        <v>4</v>
      </c>
      <c r="H5357" s="29"/>
      <c r="I5357" s="30"/>
    </row>
    <row r="5358" spans="1:9" ht="15.75" thickBot="1" x14ac:dyDescent="0.3">
      <c r="A5358" s="43" t="s">
        <v>11720</v>
      </c>
      <c r="B5358" s="21" t="s">
        <v>11721</v>
      </c>
      <c r="C5358" s="21" t="s">
        <v>22682</v>
      </c>
      <c r="D5358" s="22">
        <v>46034</v>
      </c>
      <c r="E5358" s="23" t="s">
        <v>22656</v>
      </c>
      <c r="F5358" s="24" t="s">
        <v>22657</v>
      </c>
      <c r="G5358" s="25">
        <v>4</v>
      </c>
      <c r="H5358" s="26"/>
      <c r="I5358" s="27"/>
    </row>
    <row r="5359" spans="1:9" ht="15.75" thickBot="1" x14ac:dyDescent="0.3">
      <c r="A5359" s="43" t="s">
        <v>11722</v>
      </c>
      <c r="B5359" s="21" t="s">
        <v>11723</v>
      </c>
      <c r="C5359" s="21" t="s">
        <v>22682</v>
      </c>
      <c r="D5359" s="22">
        <v>46034</v>
      </c>
      <c r="E5359" s="23" t="s">
        <v>22656</v>
      </c>
      <c r="F5359" s="24" t="s">
        <v>22657</v>
      </c>
      <c r="G5359" s="25">
        <v>4</v>
      </c>
      <c r="H5359" s="29"/>
      <c r="I5359" s="30"/>
    </row>
    <row r="5360" spans="1:9" ht="15.75" thickBot="1" x14ac:dyDescent="0.3">
      <c r="A5360" s="43" t="s">
        <v>11724</v>
      </c>
      <c r="B5360" s="21" t="s">
        <v>11725</v>
      </c>
      <c r="C5360" s="21" t="s">
        <v>22682</v>
      </c>
      <c r="D5360" s="22">
        <v>46034</v>
      </c>
      <c r="E5360" s="23" t="s">
        <v>22656</v>
      </c>
      <c r="F5360" s="24" t="s">
        <v>22657</v>
      </c>
      <c r="G5360" s="25">
        <v>4</v>
      </c>
      <c r="H5360" s="26"/>
      <c r="I5360" s="27"/>
    </row>
    <row r="5361" spans="1:9" ht="15.75" thickBot="1" x14ac:dyDescent="0.3">
      <c r="A5361" s="43" t="s">
        <v>11726</v>
      </c>
      <c r="B5361" s="21" t="s">
        <v>11727</v>
      </c>
      <c r="C5361" s="21" t="s">
        <v>22682</v>
      </c>
      <c r="D5361" s="22">
        <v>46034</v>
      </c>
      <c r="E5361" s="23" t="s">
        <v>22656</v>
      </c>
      <c r="F5361" s="24" t="s">
        <v>22657</v>
      </c>
      <c r="G5361" s="25">
        <v>4</v>
      </c>
      <c r="H5361" s="29"/>
      <c r="I5361" s="30"/>
    </row>
    <row r="5362" spans="1:9" ht="15.75" thickBot="1" x14ac:dyDescent="0.3">
      <c r="A5362" s="43" t="s">
        <v>11728</v>
      </c>
      <c r="B5362" s="21" t="s">
        <v>11729</v>
      </c>
      <c r="C5362" s="21" t="s">
        <v>22682</v>
      </c>
      <c r="D5362" s="22">
        <v>46034</v>
      </c>
      <c r="E5362" s="23" t="s">
        <v>22658</v>
      </c>
      <c r="F5362" s="24" t="s">
        <v>22657</v>
      </c>
      <c r="G5362" s="25">
        <v>4</v>
      </c>
      <c r="H5362" s="26"/>
      <c r="I5362" s="27"/>
    </row>
    <row r="5363" spans="1:9" ht="15.75" thickBot="1" x14ac:dyDescent="0.3">
      <c r="A5363" s="43" t="s">
        <v>11730</v>
      </c>
      <c r="B5363" s="21" t="s">
        <v>11731</v>
      </c>
      <c r="C5363" s="21" t="s">
        <v>22682</v>
      </c>
      <c r="D5363" s="22">
        <v>46034</v>
      </c>
      <c r="E5363" s="23" t="s">
        <v>22656</v>
      </c>
      <c r="F5363" s="24" t="s">
        <v>22657</v>
      </c>
      <c r="G5363" s="25">
        <v>4</v>
      </c>
      <c r="H5363" s="29"/>
      <c r="I5363" s="30"/>
    </row>
    <row r="5364" spans="1:9" ht="15.75" thickBot="1" x14ac:dyDescent="0.3">
      <c r="A5364" s="43" t="s">
        <v>11732</v>
      </c>
      <c r="B5364" s="21" t="s">
        <v>11733</v>
      </c>
      <c r="C5364" s="21" t="s">
        <v>22682</v>
      </c>
      <c r="D5364" s="22">
        <v>46034</v>
      </c>
      <c r="E5364" s="23" t="s">
        <v>22656</v>
      </c>
      <c r="F5364" s="24" t="s">
        <v>22657</v>
      </c>
      <c r="G5364" s="25">
        <v>4</v>
      </c>
      <c r="H5364" s="26"/>
      <c r="I5364" s="27"/>
    </row>
    <row r="5365" spans="1:9" ht="15.75" thickBot="1" x14ac:dyDescent="0.3">
      <c r="A5365" s="43" t="s">
        <v>11734</v>
      </c>
      <c r="B5365" s="21" t="s">
        <v>11735</v>
      </c>
      <c r="C5365" s="21" t="s">
        <v>22682</v>
      </c>
      <c r="D5365" s="22">
        <v>46034</v>
      </c>
      <c r="E5365" s="23" t="s">
        <v>22656</v>
      </c>
      <c r="F5365" s="24" t="s">
        <v>22657</v>
      </c>
      <c r="G5365" s="25">
        <v>4</v>
      </c>
      <c r="H5365" s="29"/>
      <c r="I5365" s="30"/>
    </row>
    <row r="5366" spans="1:9" ht="15.75" thickBot="1" x14ac:dyDescent="0.3">
      <c r="A5366" s="43" t="s">
        <v>11736</v>
      </c>
      <c r="B5366" s="21" t="s">
        <v>11737</v>
      </c>
      <c r="C5366" s="21" t="s">
        <v>22682</v>
      </c>
      <c r="D5366" s="22">
        <v>46034</v>
      </c>
      <c r="E5366" s="23" t="s">
        <v>22656</v>
      </c>
      <c r="F5366" s="24" t="s">
        <v>22657</v>
      </c>
      <c r="G5366" s="25">
        <v>4</v>
      </c>
      <c r="H5366" s="26"/>
      <c r="I5366" s="27"/>
    </row>
    <row r="5367" spans="1:9" ht="15.75" thickBot="1" x14ac:dyDescent="0.3">
      <c r="A5367" s="43" t="s">
        <v>11738</v>
      </c>
      <c r="B5367" s="21" t="s">
        <v>11739</v>
      </c>
      <c r="C5367" s="21" t="s">
        <v>22682</v>
      </c>
      <c r="D5367" s="22">
        <v>46034</v>
      </c>
      <c r="E5367" s="23" t="s">
        <v>22656</v>
      </c>
      <c r="F5367" s="24" t="s">
        <v>22657</v>
      </c>
      <c r="G5367" s="25">
        <v>4</v>
      </c>
      <c r="H5367" s="29"/>
      <c r="I5367" s="30"/>
    </row>
    <row r="5368" spans="1:9" ht="15.75" thickBot="1" x14ac:dyDescent="0.3">
      <c r="A5368" s="43" t="s">
        <v>11740</v>
      </c>
      <c r="B5368" s="21" t="s">
        <v>11741</v>
      </c>
      <c r="C5368" s="21" t="s">
        <v>22682</v>
      </c>
      <c r="D5368" s="22">
        <v>46034</v>
      </c>
      <c r="E5368" s="23" t="s">
        <v>22656</v>
      </c>
      <c r="F5368" s="24" t="s">
        <v>22657</v>
      </c>
      <c r="G5368" s="25">
        <v>4</v>
      </c>
      <c r="H5368" s="26"/>
      <c r="I5368" s="27"/>
    </row>
    <row r="5369" spans="1:9" ht="15.75" thickBot="1" x14ac:dyDescent="0.3">
      <c r="A5369" s="43" t="s">
        <v>11742</v>
      </c>
      <c r="B5369" s="21" t="s">
        <v>11743</v>
      </c>
      <c r="C5369" s="21" t="s">
        <v>22682</v>
      </c>
      <c r="D5369" s="22">
        <v>46034</v>
      </c>
      <c r="E5369" s="23" t="s">
        <v>22656</v>
      </c>
      <c r="F5369" s="24" t="s">
        <v>22657</v>
      </c>
      <c r="G5369" s="25">
        <v>4</v>
      </c>
      <c r="H5369" s="29"/>
      <c r="I5369" s="30"/>
    </row>
    <row r="5370" spans="1:9" ht="15.75" thickBot="1" x14ac:dyDescent="0.3">
      <c r="A5370" s="43" t="s">
        <v>11744</v>
      </c>
      <c r="B5370" s="21" t="s">
        <v>11745</v>
      </c>
      <c r="C5370" s="21" t="s">
        <v>22682</v>
      </c>
      <c r="D5370" s="22">
        <v>46034</v>
      </c>
      <c r="E5370" s="23" t="s">
        <v>22656</v>
      </c>
      <c r="F5370" s="24" t="s">
        <v>22657</v>
      </c>
      <c r="G5370" s="25">
        <v>4</v>
      </c>
      <c r="H5370" s="26"/>
      <c r="I5370" s="27"/>
    </row>
    <row r="5371" spans="1:9" ht="15.75" thickBot="1" x14ac:dyDescent="0.3">
      <c r="A5371" s="43" t="s">
        <v>11746</v>
      </c>
      <c r="B5371" s="21" t="s">
        <v>11747</v>
      </c>
      <c r="C5371" s="21" t="s">
        <v>22682</v>
      </c>
      <c r="D5371" s="22">
        <v>46034</v>
      </c>
      <c r="E5371" s="23" t="s">
        <v>22656</v>
      </c>
      <c r="F5371" s="24" t="s">
        <v>22657</v>
      </c>
      <c r="G5371" s="25">
        <v>4</v>
      </c>
      <c r="H5371" s="32">
        <v>4</v>
      </c>
      <c r="I5371" s="33">
        <v>6</v>
      </c>
    </row>
    <row r="5372" spans="1:9" ht="15.75" thickBot="1" x14ac:dyDescent="0.3">
      <c r="A5372" s="43" t="s">
        <v>11748</v>
      </c>
      <c r="B5372" s="21" t="s">
        <v>11749</v>
      </c>
      <c r="C5372" s="21" t="s">
        <v>22682</v>
      </c>
      <c r="D5372" s="22">
        <v>46034</v>
      </c>
      <c r="E5372" s="23" t="s">
        <v>22656</v>
      </c>
      <c r="F5372" s="24" t="s">
        <v>22657</v>
      </c>
      <c r="G5372" s="25">
        <v>4</v>
      </c>
      <c r="H5372" s="26"/>
      <c r="I5372" s="27"/>
    </row>
    <row r="5373" spans="1:9" ht="15.75" thickBot="1" x14ac:dyDescent="0.3">
      <c r="A5373" s="43" t="s">
        <v>11750</v>
      </c>
      <c r="B5373" s="21" t="s">
        <v>11751</v>
      </c>
      <c r="C5373" s="21" t="s">
        <v>22682</v>
      </c>
      <c r="D5373" s="22">
        <v>46034</v>
      </c>
      <c r="E5373" s="23" t="s">
        <v>22658</v>
      </c>
      <c r="F5373" s="24" t="s">
        <v>22657</v>
      </c>
      <c r="G5373" s="25">
        <v>4</v>
      </c>
      <c r="H5373" s="29"/>
      <c r="I5373" s="30"/>
    </row>
    <row r="5374" spans="1:9" ht="15.75" thickBot="1" x14ac:dyDescent="0.3">
      <c r="A5374" s="43" t="s">
        <v>11752</v>
      </c>
      <c r="B5374" s="21" t="s">
        <v>11753</v>
      </c>
      <c r="C5374" s="21" t="s">
        <v>22682</v>
      </c>
      <c r="D5374" s="22">
        <v>46034</v>
      </c>
      <c r="E5374" s="23" t="s">
        <v>22656</v>
      </c>
      <c r="F5374" s="24" t="s">
        <v>22657</v>
      </c>
      <c r="G5374" s="25">
        <v>4</v>
      </c>
      <c r="H5374" s="26"/>
      <c r="I5374" s="27"/>
    </row>
    <row r="5375" spans="1:9" ht="15.75" thickBot="1" x14ac:dyDescent="0.3">
      <c r="A5375" s="43" t="s">
        <v>11754</v>
      </c>
      <c r="B5375" s="21" t="s">
        <v>11755</v>
      </c>
      <c r="C5375" s="21" t="s">
        <v>22682</v>
      </c>
      <c r="D5375" s="22">
        <v>46034</v>
      </c>
      <c r="E5375" s="23" t="s">
        <v>22658</v>
      </c>
      <c r="F5375" s="24" t="s">
        <v>22657</v>
      </c>
      <c r="G5375" s="25">
        <v>4</v>
      </c>
      <c r="H5375" s="29"/>
      <c r="I5375" s="30"/>
    </row>
    <row r="5376" spans="1:9" ht="15.75" thickBot="1" x14ac:dyDescent="0.3">
      <c r="A5376" s="43" t="s">
        <v>11756</v>
      </c>
      <c r="B5376" s="21" t="s">
        <v>11757</v>
      </c>
      <c r="C5376" s="21" t="s">
        <v>22682</v>
      </c>
      <c r="D5376" s="22">
        <v>46034</v>
      </c>
      <c r="E5376" s="23" t="s">
        <v>22656</v>
      </c>
      <c r="F5376" s="24" t="s">
        <v>22657</v>
      </c>
      <c r="G5376" s="25">
        <v>3</v>
      </c>
      <c r="H5376" s="34">
        <v>3</v>
      </c>
      <c r="I5376" s="35">
        <v>6</v>
      </c>
    </row>
    <row r="5377" spans="1:9" ht="15.75" thickBot="1" x14ac:dyDescent="0.3">
      <c r="A5377" s="43" t="s">
        <v>11758</v>
      </c>
      <c r="B5377" s="21" t="s">
        <v>11759</v>
      </c>
      <c r="C5377" s="21" t="s">
        <v>22682</v>
      </c>
      <c r="D5377" s="22">
        <v>46034</v>
      </c>
      <c r="E5377" s="23" t="s">
        <v>22656</v>
      </c>
      <c r="F5377" s="24" t="s">
        <v>22657</v>
      </c>
      <c r="G5377" s="25">
        <v>4</v>
      </c>
      <c r="H5377" s="29"/>
      <c r="I5377" s="30"/>
    </row>
    <row r="5378" spans="1:9" ht="15.75" thickBot="1" x14ac:dyDescent="0.3">
      <c r="A5378" s="43" t="s">
        <v>11760</v>
      </c>
      <c r="B5378" s="21" t="s">
        <v>11761</v>
      </c>
      <c r="C5378" s="21" t="s">
        <v>22682</v>
      </c>
      <c r="D5378" s="22">
        <v>46034</v>
      </c>
      <c r="E5378" s="23" t="s">
        <v>22656</v>
      </c>
      <c r="F5378" s="24" t="s">
        <v>22657</v>
      </c>
      <c r="G5378" s="25">
        <v>4</v>
      </c>
      <c r="H5378" s="26"/>
      <c r="I5378" s="27"/>
    </row>
    <row r="5379" spans="1:9" ht="15.75" thickBot="1" x14ac:dyDescent="0.3">
      <c r="A5379" s="43" t="s">
        <v>11762</v>
      </c>
      <c r="B5379" s="21" t="s">
        <v>11763</v>
      </c>
      <c r="C5379" s="21" t="s">
        <v>22682</v>
      </c>
      <c r="D5379" s="22">
        <v>46034</v>
      </c>
      <c r="E5379" s="23" t="s">
        <v>22656</v>
      </c>
      <c r="F5379" s="24" t="s">
        <v>22657</v>
      </c>
      <c r="G5379" s="25">
        <v>4</v>
      </c>
      <c r="H5379" s="29"/>
      <c r="I5379" s="30"/>
    </row>
    <row r="5380" spans="1:9" ht="15.75" thickBot="1" x14ac:dyDescent="0.3">
      <c r="A5380" s="43" t="s">
        <v>11764</v>
      </c>
      <c r="B5380" s="21" t="s">
        <v>11765</v>
      </c>
      <c r="C5380" s="21" t="s">
        <v>22682</v>
      </c>
      <c r="D5380" s="22">
        <v>46034</v>
      </c>
      <c r="E5380" s="23" t="s">
        <v>22656</v>
      </c>
      <c r="F5380" s="24" t="s">
        <v>22657</v>
      </c>
      <c r="G5380" s="25">
        <v>4</v>
      </c>
      <c r="H5380" s="26"/>
      <c r="I5380" s="27"/>
    </row>
    <row r="5381" spans="1:9" ht="15.75" thickBot="1" x14ac:dyDescent="0.3">
      <c r="A5381" s="43" t="s">
        <v>11766</v>
      </c>
      <c r="B5381" s="21" t="s">
        <v>11767</v>
      </c>
      <c r="C5381" s="21" t="s">
        <v>22682</v>
      </c>
      <c r="D5381" s="22">
        <v>46034</v>
      </c>
      <c r="E5381" s="23" t="s">
        <v>22656</v>
      </c>
      <c r="F5381" s="24" t="s">
        <v>22657</v>
      </c>
      <c r="G5381" s="25">
        <v>4</v>
      </c>
      <c r="H5381" s="29"/>
      <c r="I5381" s="30"/>
    </row>
    <row r="5382" spans="1:9" ht="15.75" thickBot="1" x14ac:dyDescent="0.3">
      <c r="A5382" s="43" t="s">
        <v>11768</v>
      </c>
      <c r="B5382" s="21" t="s">
        <v>11769</v>
      </c>
      <c r="C5382" s="21" t="s">
        <v>22682</v>
      </c>
      <c r="D5382" s="22">
        <v>46034</v>
      </c>
      <c r="E5382" s="23" t="s">
        <v>22656</v>
      </c>
      <c r="F5382" s="24" t="s">
        <v>22657</v>
      </c>
      <c r="G5382" s="25">
        <v>4</v>
      </c>
      <c r="H5382" s="26"/>
      <c r="I5382" s="27"/>
    </row>
    <row r="5383" spans="1:9" ht="15.75" thickBot="1" x14ac:dyDescent="0.3">
      <c r="A5383" s="43" t="s">
        <v>11770</v>
      </c>
      <c r="B5383" s="21" t="s">
        <v>11771</v>
      </c>
      <c r="C5383" s="21" t="s">
        <v>22682</v>
      </c>
      <c r="D5383" s="22">
        <v>46034</v>
      </c>
      <c r="E5383" s="23" t="s">
        <v>22656</v>
      </c>
      <c r="F5383" s="24" t="s">
        <v>22657</v>
      </c>
      <c r="G5383" s="25">
        <v>4</v>
      </c>
      <c r="H5383" s="29"/>
      <c r="I5383" s="30"/>
    </row>
    <row r="5384" spans="1:9" ht="15.75" thickBot="1" x14ac:dyDescent="0.3">
      <c r="A5384" s="43" t="s">
        <v>11772</v>
      </c>
      <c r="B5384" s="21" t="s">
        <v>11773</v>
      </c>
      <c r="C5384" s="21" t="s">
        <v>22682</v>
      </c>
      <c r="D5384" s="22">
        <v>46034</v>
      </c>
      <c r="E5384" s="23" t="s">
        <v>22658</v>
      </c>
      <c r="F5384" s="24" t="s">
        <v>22657</v>
      </c>
      <c r="G5384" s="25">
        <v>4</v>
      </c>
      <c r="H5384" s="26"/>
      <c r="I5384" s="27"/>
    </row>
    <row r="5385" spans="1:9" ht="15.75" thickBot="1" x14ac:dyDescent="0.3">
      <c r="A5385" s="43" t="s">
        <v>11774</v>
      </c>
      <c r="B5385" s="21" t="s">
        <v>11775</v>
      </c>
      <c r="C5385" s="21" t="s">
        <v>22682</v>
      </c>
      <c r="D5385" s="22">
        <v>46034</v>
      </c>
      <c r="E5385" s="23" t="s">
        <v>22656</v>
      </c>
      <c r="F5385" s="24" t="s">
        <v>22657</v>
      </c>
      <c r="G5385" s="25">
        <v>4</v>
      </c>
      <c r="H5385" s="29"/>
      <c r="I5385" s="30"/>
    </row>
    <row r="5386" spans="1:9" ht="15.75" thickBot="1" x14ac:dyDescent="0.3">
      <c r="A5386" s="43" t="s">
        <v>11776</v>
      </c>
      <c r="B5386" s="21" t="s">
        <v>11777</v>
      </c>
      <c r="C5386" s="21" t="s">
        <v>22682</v>
      </c>
      <c r="D5386" s="22">
        <v>46034</v>
      </c>
      <c r="E5386" s="23" t="s">
        <v>22658</v>
      </c>
      <c r="F5386" s="24" t="s">
        <v>22657</v>
      </c>
      <c r="G5386" s="25">
        <v>4</v>
      </c>
      <c r="H5386" s="26"/>
      <c r="I5386" s="27"/>
    </row>
    <row r="5387" spans="1:9" ht="15.75" thickBot="1" x14ac:dyDescent="0.3">
      <c r="A5387" s="43" t="s">
        <v>11778</v>
      </c>
      <c r="B5387" s="21" t="s">
        <v>11779</v>
      </c>
      <c r="C5387" s="21" t="s">
        <v>22682</v>
      </c>
      <c r="D5387" s="22">
        <v>46034</v>
      </c>
      <c r="E5387" s="23" t="s">
        <v>22658</v>
      </c>
      <c r="F5387" s="24" t="s">
        <v>22657</v>
      </c>
      <c r="G5387" s="25">
        <v>4</v>
      </c>
      <c r="H5387" s="29"/>
      <c r="I5387" s="30"/>
    </row>
    <row r="5388" spans="1:9" ht="15.75" thickBot="1" x14ac:dyDescent="0.3">
      <c r="A5388" s="43" t="s">
        <v>11780</v>
      </c>
      <c r="B5388" s="21" t="s">
        <v>11781</v>
      </c>
      <c r="C5388" s="21" t="s">
        <v>22682</v>
      </c>
      <c r="D5388" s="22">
        <v>46034</v>
      </c>
      <c r="E5388" s="23" t="s">
        <v>22658</v>
      </c>
      <c r="F5388" s="24" t="s">
        <v>22657</v>
      </c>
      <c r="G5388" s="25">
        <v>4</v>
      </c>
      <c r="H5388" s="26"/>
      <c r="I5388" s="27"/>
    </row>
    <row r="5389" spans="1:9" ht="15.75" thickBot="1" x14ac:dyDescent="0.3">
      <c r="A5389" s="43" t="s">
        <v>11782</v>
      </c>
      <c r="B5389" s="21" t="s">
        <v>11783</v>
      </c>
      <c r="C5389" s="21" t="s">
        <v>22682</v>
      </c>
      <c r="D5389" s="22">
        <v>46034</v>
      </c>
      <c r="E5389" s="23" t="s">
        <v>22656</v>
      </c>
      <c r="F5389" s="24" t="s">
        <v>22657</v>
      </c>
      <c r="G5389" s="25">
        <v>4</v>
      </c>
      <c r="H5389" s="29"/>
      <c r="I5389" s="30"/>
    </row>
    <row r="5390" spans="1:9" ht="15.75" thickBot="1" x14ac:dyDescent="0.3">
      <c r="A5390" s="43" t="s">
        <v>11784</v>
      </c>
      <c r="B5390" s="21" t="s">
        <v>11785</v>
      </c>
      <c r="C5390" s="21" t="s">
        <v>22682</v>
      </c>
      <c r="D5390" s="22">
        <v>46034</v>
      </c>
      <c r="E5390" s="23" t="s">
        <v>22656</v>
      </c>
      <c r="F5390" s="24" t="s">
        <v>22657</v>
      </c>
      <c r="G5390" s="25">
        <v>4</v>
      </c>
      <c r="H5390" s="26"/>
      <c r="I5390" s="27"/>
    </row>
    <row r="5391" spans="1:9" ht="15.75" thickBot="1" x14ac:dyDescent="0.3">
      <c r="A5391" s="43" t="s">
        <v>11786</v>
      </c>
      <c r="B5391" s="21" t="s">
        <v>11787</v>
      </c>
      <c r="C5391" s="21" t="s">
        <v>22682</v>
      </c>
      <c r="D5391" s="22">
        <v>46034</v>
      </c>
      <c r="E5391" s="23" t="s">
        <v>22656</v>
      </c>
      <c r="F5391" s="24" t="s">
        <v>22657</v>
      </c>
      <c r="G5391" s="25">
        <v>4</v>
      </c>
      <c r="H5391" s="29"/>
      <c r="I5391" s="30"/>
    </row>
    <row r="5392" spans="1:9" ht="15.75" thickBot="1" x14ac:dyDescent="0.3">
      <c r="A5392" s="43" t="s">
        <v>11788</v>
      </c>
      <c r="B5392" s="21" t="s">
        <v>11789</v>
      </c>
      <c r="C5392" s="21" t="s">
        <v>22682</v>
      </c>
      <c r="D5392" s="22">
        <v>46034</v>
      </c>
      <c r="E5392" s="23" t="s">
        <v>22656</v>
      </c>
      <c r="F5392" s="24" t="s">
        <v>22657</v>
      </c>
      <c r="G5392" s="25">
        <v>4</v>
      </c>
      <c r="H5392" s="26"/>
      <c r="I5392" s="27"/>
    </row>
    <row r="5393" spans="1:9" ht="15.75" thickBot="1" x14ac:dyDescent="0.3">
      <c r="A5393" s="43" t="s">
        <v>11790</v>
      </c>
      <c r="B5393" s="21" t="s">
        <v>11791</v>
      </c>
      <c r="C5393" s="21" t="s">
        <v>22682</v>
      </c>
      <c r="D5393" s="22">
        <v>46034</v>
      </c>
      <c r="E5393" s="23" t="s">
        <v>22656</v>
      </c>
      <c r="F5393" s="24" t="s">
        <v>22657</v>
      </c>
      <c r="G5393" s="25">
        <v>4</v>
      </c>
      <c r="H5393" s="29"/>
      <c r="I5393" s="30"/>
    </row>
    <row r="5394" spans="1:9" ht="15.75" thickBot="1" x14ac:dyDescent="0.3">
      <c r="A5394" s="43" t="s">
        <v>11792</v>
      </c>
      <c r="B5394" s="21" t="s">
        <v>11793</v>
      </c>
      <c r="C5394" s="21" t="s">
        <v>22682</v>
      </c>
      <c r="D5394" s="22">
        <v>46034</v>
      </c>
      <c r="E5394" s="23" t="s">
        <v>22656</v>
      </c>
      <c r="F5394" s="24" t="s">
        <v>22657</v>
      </c>
      <c r="G5394" s="25">
        <v>4</v>
      </c>
      <c r="H5394" s="26"/>
      <c r="I5394" s="27"/>
    </row>
    <row r="5395" spans="1:9" ht="15.75" thickBot="1" x14ac:dyDescent="0.3">
      <c r="A5395" s="43" t="s">
        <v>11794</v>
      </c>
      <c r="B5395" s="21" t="s">
        <v>11795</v>
      </c>
      <c r="C5395" s="21" t="s">
        <v>22682</v>
      </c>
      <c r="D5395" s="22">
        <v>46034</v>
      </c>
      <c r="E5395" s="23" t="s">
        <v>22656</v>
      </c>
      <c r="F5395" s="24" t="s">
        <v>22657</v>
      </c>
      <c r="G5395" s="25">
        <v>4</v>
      </c>
      <c r="H5395" s="29"/>
      <c r="I5395" s="30"/>
    </row>
    <row r="5396" spans="1:9" ht="15.75" thickBot="1" x14ac:dyDescent="0.3">
      <c r="A5396" s="43" t="s">
        <v>11796</v>
      </c>
      <c r="B5396" s="21" t="s">
        <v>11797</v>
      </c>
      <c r="C5396" s="21" t="s">
        <v>22682</v>
      </c>
      <c r="D5396" s="22">
        <v>46034</v>
      </c>
      <c r="E5396" s="23" t="s">
        <v>22658</v>
      </c>
      <c r="F5396" s="24" t="s">
        <v>22657</v>
      </c>
      <c r="G5396" s="25">
        <v>4</v>
      </c>
      <c r="H5396" s="26"/>
      <c r="I5396" s="27"/>
    </row>
    <row r="5397" spans="1:9" ht="15.75" thickBot="1" x14ac:dyDescent="0.3">
      <c r="A5397" s="43" t="s">
        <v>11798</v>
      </c>
      <c r="B5397" s="21" t="s">
        <v>11799</v>
      </c>
      <c r="C5397" s="21" t="s">
        <v>22682</v>
      </c>
      <c r="D5397" s="22">
        <v>46034</v>
      </c>
      <c r="E5397" s="23" t="s">
        <v>22658</v>
      </c>
      <c r="F5397" s="24" t="s">
        <v>22657</v>
      </c>
      <c r="G5397" s="25">
        <v>4</v>
      </c>
      <c r="H5397" s="29"/>
      <c r="I5397" s="30"/>
    </row>
    <row r="5398" spans="1:9" ht="15.75" thickBot="1" x14ac:dyDescent="0.3">
      <c r="A5398" s="43" t="s">
        <v>11800</v>
      </c>
      <c r="B5398" s="21" t="s">
        <v>11801</v>
      </c>
      <c r="C5398" s="21" t="s">
        <v>22682</v>
      </c>
      <c r="D5398" s="22">
        <v>46034</v>
      </c>
      <c r="E5398" s="23" t="s">
        <v>22658</v>
      </c>
      <c r="F5398" s="24" t="s">
        <v>22657</v>
      </c>
      <c r="G5398" s="25">
        <v>4</v>
      </c>
      <c r="H5398" s="26"/>
      <c r="I5398" s="27"/>
    </row>
    <row r="5399" spans="1:9" ht="15.75" thickBot="1" x14ac:dyDescent="0.3">
      <c r="A5399" s="43" t="s">
        <v>11802</v>
      </c>
      <c r="B5399" s="21" t="s">
        <v>11803</v>
      </c>
      <c r="C5399" s="21" t="s">
        <v>22682</v>
      </c>
      <c r="D5399" s="22">
        <v>46034</v>
      </c>
      <c r="E5399" s="23" t="s">
        <v>22658</v>
      </c>
      <c r="F5399" s="24" t="s">
        <v>22657</v>
      </c>
      <c r="G5399" s="25">
        <v>4</v>
      </c>
      <c r="H5399" s="29"/>
      <c r="I5399" s="30"/>
    </row>
    <row r="5400" spans="1:9" ht="15.75" thickBot="1" x14ac:dyDescent="0.3">
      <c r="A5400" s="43" t="s">
        <v>11804</v>
      </c>
      <c r="B5400" s="21" t="s">
        <v>11805</v>
      </c>
      <c r="C5400" s="21" t="s">
        <v>22682</v>
      </c>
      <c r="D5400" s="22">
        <v>46034</v>
      </c>
      <c r="E5400" s="23" t="s">
        <v>22658</v>
      </c>
      <c r="F5400" s="24" t="s">
        <v>22657</v>
      </c>
      <c r="G5400" s="25">
        <v>4</v>
      </c>
      <c r="H5400" s="26"/>
      <c r="I5400" s="27"/>
    </row>
    <row r="5401" spans="1:9" ht="15.75" thickBot="1" x14ac:dyDescent="0.3">
      <c r="A5401" s="43" t="s">
        <v>11806</v>
      </c>
      <c r="B5401" s="21" t="s">
        <v>11807</v>
      </c>
      <c r="C5401" s="21" t="s">
        <v>22682</v>
      </c>
      <c r="D5401" s="22">
        <v>46034</v>
      </c>
      <c r="E5401" s="23" t="s">
        <v>22658</v>
      </c>
      <c r="F5401" s="24" t="s">
        <v>22657</v>
      </c>
      <c r="G5401" s="25">
        <v>4</v>
      </c>
      <c r="H5401" s="29"/>
      <c r="I5401" s="30"/>
    </row>
    <row r="5402" spans="1:9" ht="15.75" thickBot="1" x14ac:dyDescent="0.3">
      <c r="A5402" s="43" t="s">
        <v>11808</v>
      </c>
      <c r="B5402" s="21" t="s">
        <v>11809</v>
      </c>
      <c r="C5402" s="21" t="s">
        <v>22682</v>
      </c>
      <c r="D5402" s="22">
        <v>46034</v>
      </c>
      <c r="E5402" s="23" t="s">
        <v>22656</v>
      </c>
      <c r="F5402" s="24" t="s">
        <v>22657</v>
      </c>
      <c r="G5402" s="25">
        <v>4</v>
      </c>
      <c r="H5402" s="26"/>
      <c r="I5402" s="27"/>
    </row>
    <row r="5403" spans="1:9" ht="15.75" thickBot="1" x14ac:dyDescent="0.3">
      <c r="A5403" s="43" t="s">
        <v>11810</v>
      </c>
      <c r="B5403" s="21" t="s">
        <v>11811</v>
      </c>
      <c r="C5403" s="21" t="s">
        <v>22682</v>
      </c>
      <c r="D5403" s="22">
        <v>46034</v>
      </c>
      <c r="E5403" s="23" t="s">
        <v>22656</v>
      </c>
      <c r="F5403" s="24" t="s">
        <v>22657</v>
      </c>
      <c r="G5403" s="25">
        <v>4</v>
      </c>
      <c r="H5403" s="29"/>
      <c r="I5403" s="30"/>
    </row>
    <row r="5404" spans="1:9" ht="15.75" thickBot="1" x14ac:dyDescent="0.3">
      <c r="A5404" s="43" t="s">
        <v>11812</v>
      </c>
      <c r="B5404" s="21" t="s">
        <v>11813</v>
      </c>
      <c r="C5404" s="21" t="s">
        <v>22682</v>
      </c>
      <c r="D5404" s="22">
        <v>46034</v>
      </c>
      <c r="E5404" s="23" t="s">
        <v>22656</v>
      </c>
      <c r="F5404" s="24" t="s">
        <v>22657</v>
      </c>
      <c r="G5404" s="25">
        <v>4</v>
      </c>
      <c r="H5404" s="26"/>
      <c r="I5404" s="27"/>
    </row>
    <row r="5405" spans="1:9" ht="15.75" thickBot="1" x14ac:dyDescent="0.3">
      <c r="A5405" s="43" t="s">
        <v>11814</v>
      </c>
      <c r="B5405" s="21" t="s">
        <v>11815</v>
      </c>
      <c r="C5405" s="21" t="s">
        <v>22682</v>
      </c>
      <c r="D5405" s="22">
        <v>46034</v>
      </c>
      <c r="E5405" s="23" t="s">
        <v>22658</v>
      </c>
      <c r="F5405" s="24" t="s">
        <v>22657</v>
      </c>
      <c r="G5405" s="25">
        <v>4</v>
      </c>
      <c r="H5405" s="29"/>
      <c r="I5405" s="30"/>
    </row>
    <row r="5406" spans="1:9" ht="15.75" thickBot="1" x14ac:dyDescent="0.3">
      <c r="A5406" s="43" t="s">
        <v>11816</v>
      </c>
      <c r="B5406" s="21" t="s">
        <v>11817</v>
      </c>
      <c r="C5406" s="21" t="s">
        <v>22682</v>
      </c>
      <c r="D5406" s="22">
        <v>46034</v>
      </c>
      <c r="E5406" s="23" t="s">
        <v>22658</v>
      </c>
      <c r="F5406" s="24" t="s">
        <v>22657</v>
      </c>
      <c r="G5406" s="25">
        <v>4</v>
      </c>
      <c r="H5406" s="26"/>
      <c r="I5406" s="27"/>
    </row>
    <row r="5407" spans="1:9" ht="15.75" thickBot="1" x14ac:dyDescent="0.3">
      <c r="A5407" s="43" t="s">
        <v>11818</v>
      </c>
      <c r="B5407" s="21" t="s">
        <v>11819</v>
      </c>
      <c r="C5407" s="21" t="s">
        <v>22682</v>
      </c>
      <c r="D5407" s="22">
        <v>46034</v>
      </c>
      <c r="E5407" s="23" t="s">
        <v>22658</v>
      </c>
      <c r="F5407" s="24" t="s">
        <v>22657</v>
      </c>
      <c r="G5407" s="25">
        <v>4</v>
      </c>
      <c r="H5407" s="29"/>
      <c r="I5407" s="30"/>
    </row>
    <row r="5408" spans="1:9" ht="15.75" thickBot="1" x14ac:dyDescent="0.3">
      <c r="A5408" s="43" t="s">
        <v>11820</v>
      </c>
      <c r="B5408" s="21" t="s">
        <v>11821</v>
      </c>
      <c r="C5408" s="21" t="s">
        <v>22682</v>
      </c>
      <c r="D5408" s="22">
        <v>46034</v>
      </c>
      <c r="E5408" s="23" t="s">
        <v>22656</v>
      </c>
      <c r="F5408" s="24" t="s">
        <v>22657</v>
      </c>
      <c r="G5408" s="25">
        <v>4</v>
      </c>
      <c r="H5408" s="26"/>
      <c r="I5408" s="27"/>
    </row>
    <row r="5409" spans="1:9" ht="15.75" thickBot="1" x14ac:dyDescent="0.3">
      <c r="A5409" s="43" t="s">
        <v>11822</v>
      </c>
      <c r="B5409" s="21" t="s">
        <v>11823</v>
      </c>
      <c r="C5409" s="21" t="s">
        <v>22682</v>
      </c>
      <c r="D5409" s="22">
        <v>46034</v>
      </c>
      <c r="E5409" s="23" t="s">
        <v>22656</v>
      </c>
      <c r="F5409" s="24" t="s">
        <v>22657</v>
      </c>
      <c r="G5409" s="25">
        <v>4</v>
      </c>
      <c r="H5409" s="29"/>
      <c r="I5409" s="30"/>
    </row>
    <row r="5410" spans="1:9" ht="15.75" thickBot="1" x14ac:dyDescent="0.3">
      <c r="A5410" s="43" t="s">
        <v>11824</v>
      </c>
      <c r="B5410" s="21" t="s">
        <v>11825</v>
      </c>
      <c r="C5410" s="21" t="s">
        <v>22682</v>
      </c>
      <c r="D5410" s="22">
        <v>46034</v>
      </c>
      <c r="E5410" s="23" t="s">
        <v>22658</v>
      </c>
      <c r="F5410" s="24" t="s">
        <v>22657</v>
      </c>
      <c r="G5410" s="25">
        <v>4</v>
      </c>
      <c r="H5410" s="26"/>
      <c r="I5410" s="27"/>
    </row>
    <row r="5411" spans="1:9" ht="15.75" thickBot="1" x14ac:dyDescent="0.3">
      <c r="A5411" s="43" t="s">
        <v>11826</v>
      </c>
      <c r="B5411" s="21" t="s">
        <v>11827</v>
      </c>
      <c r="C5411" s="21" t="s">
        <v>22682</v>
      </c>
      <c r="D5411" s="22">
        <v>46034</v>
      </c>
      <c r="E5411" s="23" t="s">
        <v>22656</v>
      </c>
      <c r="F5411" s="24" t="s">
        <v>22657</v>
      </c>
      <c r="G5411" s="25">
        <v>4</v>
      </c>
      <c r="H5411" s="29"/>
      <c r="I5411" s="30"/>
    </row>
    <row r="5412" spans="1:9" ht="15.75" thickBot="1" x14ac:dyDescent="0.3">
      <c r="A5412" s="43" t="s">
        <v>11828</v>
      </c>
      <c r="B5412" s="21" t="s">
        <v>11829</v>
      </c>
      <c r="C5412" s="21" t="s">
        <v>22682</v>
      </c>
      <c r="D5412" s="22">
        <v>46034</v>
      </c>
      <c r="E5412" s="23" t="s">
        <v>22658</v>
      </c>
      <c r="F5412" s="24" t="s">
        <v>22657</v>
      </c>
      <c r="G5412" s="25">
        <v>4</v>
      </c>
      <c r="H5412" s="26"/>
      <c r="I5412" s="27"/>
    </row>
    <row r="5413" spans="1:9" ht="15.75" thickBot="1" x14ac:dyDescent="0.3">
      <c r="A5413" s="43" t="s">
        <v>11830</v>
      </c>
      <c r="B5413" s="21" t="s">
        <v>11831</v>
      </c>
      <c r="C5413" s="21" t="s">
        <v>22682</v>
      </c>
      <c r="D5413" s="22">
        <v>46034</v>
      </c>
      <c r="E5413" s="23" t="s">
        <v>22656</v>
      </c>
      <c r="F5413" s="24" t="s">
        <v>22657</v>
      </c>
      <c r="G5413" s="25">
        <v>4</v>
      </c>
      <c r="H5413" s="29"/>
      <c r="I5413" s="30"/>
    </row>
    <row r="5414" spans="1:9" ht="15.75" thickBot="1" x14ac:dyDescent="0.3">
      <c r="A5414" s="43" t="s">
        <v>11832</v>
      </c>
      <c r="B5414" s="21" t="s">
        <v>11833</v>
      </c>
      <c r="C5414" s="21" t="s">
        <v>22682</v>
      </c>
      <c r="D5414" s="22">
        <v>46034</v>
      </c>
      <c r="E5414" s="23" t="s">
        <v>22658</v>
      </c>
      <c r="F5414" s="24" t="s">
        <v>22657</v>
      </c>
      <c r="G5414" s="25">
        <v>4</v>
      </c>
      <c r="H5414" s="26"/>
      <c r="I5414" s="27"/>
    </row>
    <row r="5415" spans="1:9" ht="15.75" thickBot="1" x14ac:dyDescent="0.3">
      <c r="A5415" s="43" t="s">
        <v>11834</v>
      </c>
      <c r="B5415" s="21" t="s">
        <v>11835</v>
      </c>
      <c r="C5415" s="21" t="s">
        <v>22682</v>
      </c>
      <c r="D5415" s="22">
        <v>46034</v>
      </c>
      <c r="E5415" s="23" t="s">
        <v>22658</v>
      </c>
      <c r="F5415" s="24" t="s">
        <v>22657</v>
      </c>
      <c r="G5415" s="25">
        <v>4</v>
      </c>
      <c r="H5415" s="29"/>
      <c r="I5415" s="30"/>
    </row>
    <row r="5416" spans="1:9" ht="15.75" thickBot="1" x14ac:dyDescent="0.3">
      <c r="A5416" s="43" t="s">
        <v>11836</v>
      </c>
      <c r="B5416" s="21" t="s">
        <v>11837</v>
      </c>
      <c r="C5416" s="21" t="s">
        <v>22682</v>
      </c>
      <c r="D5416" s="22">
        <v>46034</v>
      </c>
      <c r="E5416" s="23" t="s">
        <v>22658</v>
      </c>
      <c r="F5416" s="24" t="s">
        <v>22657</v>
      </c>
      <c r="G5416" s="25">
        <v>4</v>
      </c>
      <c r="H5416" s="26"/>
      <c r="I5416" s="27"/>
    </row>
    <row r="5417" spans="1:9" ht="15.75" thickBot="1" x14ac:dyDescent="0.3">
      <c r="A5417" s="43" t="s">
        <v>11838</v>
      </c>
      <c r="B5417" s="21" t="s">
        <v>11839</v>
      </c>
      <c r="C5417" s="21" t="s">
        <v>22682</v>
      </c>
      <c r="D5417" s="22">
        <v>46034</v>
      </c>
      <c r="E5417" s="23" t="s">
        <v>22658</v>
      </c>
      <c r="F5417" s="24" t="s">
        <v>22657</v>
      </c>
      <c r="G5417" s="25">
        <v>4</v>
      </c>
      <c r="H5417" s="29"/>
      <c r="I5417" s="30"/>
    </row>
    <row r="5418" spans="1:9" ht="15.75" thickBot="1" x14ac:dyDescent="0.3">
      <c r="A5418" s="43" t="s">
        <v>11840</v>
      </c>
      <c r="B5418" s="21" t="s">
        <v>11841</v>
      </c>
      <c r="C5418" s="21" t="s">
        <v>22682</v>
      </c>
      <c r="D5418" s="22">
        <v>46034</v>
      </c>
      <c r="E5418" s="23" t="s">
        <v>22656</v>
      </c>
      <c r="F5418" s="24" t="s">
        <v>22657</v>
      </c>
      <c r="G5418" s="25">
        <v>4</v>
      </c>
      <c r="H5418" s="26"/>
      <c r="I5418" s="27"/>
    </row>
    <row r="5419" spans="1:9" ht="15.75" thickBot="1" x14ac:dyDescent="0.3">
      <c r="A5419" s="43" t="s">
        <v>11842</v>
      </c>
      <c r="B5419" s="21" t="s">
        <v>11843</v>
      </c>
      <c r="C5419" s="21" t="s">
        <v>22682</v>
      </c>
      <c r="D5419" s="22">
        <v>46034</v>
      </c>
      <c r="E5419" s="23" t="s">
        <v>22658</v>
      </c>
      <c r="F5419" s="24" t="s">
        <v>22657</v>
      </c>
      <c r="G5419" s="25">
        <v>4</v>
      </c>
      <c r="H5419" s="29"/>
      <c r="I5419" s="30"/>
    </row>
    <row r="5420" spans="1:9" ht="15.75" thickBot="1" x14ac:dyDescent="0.3">
      <c r="A5420" s="43" t="s">
        <v>11844</v>
      </c>
      <c r="B5420" s="21" t="s">
        <v>11845</v>
      </c>
      <c r="C5420" s="21" t="s">
        <v>22682</v>
      </c>
      <c r="D5420" s="22">
        <v>46034</v>
      </c>
      <c r="E5420" s="23" t="s">
        <v>22658</v>
      </c>
      <c r="F5420" s="24" t="s">
        <v>22657</v>
      </c>
      <c r="G5420" s="25">
        <v>4</v>
      </c>
      <c r="H5420" s="26"/>
      <c r="I5420" s="27"/>
    </row>
    <row r="5421" spans="1:9" ht="15.75" thickBot="1" x14ac:dyDescent="0.3">
      <c r="A5421" s="43" t="s">
        <v>11846</v>
      </c>
      <c r="B5421" s="21" t="s">
        <v>11847</v>
      </c>
      <c r="C5421" s="21" t="s">
        <v>22655</v>
      </c>
      <c r="D5421" s="22">
        <v>46046</v>
      </c>
      <c r="E5421" s="23" t="s">
        <v>22656</v>
      </c>
      <c r="F5421" s="24" t="s">
        <v>22657</v>
      </c>
      <c r="G5421" s="25">
        <v>8</v>
      </c>
      <c r="H5421" s="29"/>
      <c r="I5421" s="30"/>
    </row>
    <row r="5422" spans="1:9" ht="15.75" thickBot="1" x14ac:dyDescent="0.3">
      <c r="A5422" s="43" t="s">
        <v>11848</v>
      </c>
      <c r="B5422" s="21" t="s">
        <v>11849</v>
      </c>
      <c r="C5422" s="21" t="s">
        <v>22655</v>
      </c>
      <c r="D5422" s="31" t="s">
        <v>22748</v>
      </c>
      <c r="E5422" s="23" t="s">
        <v>22656</v>
      </c>
      <c r="F5422" s="24" t="s">
        <v>22657</v>
      </c>
      <c r="G5422" s="25">
        <v>167</v>
      </c>
      <c r="H5422" s="26"/>
      <c r="I5422" s="27"/>
    </row>
    <row r="5423" spans="1:9" ht="15.75" thickBot="1" x14ac:dyDescent="0.3">
      <c r="A5423" s="43" t="s">
        <v>11850</v>
      </c>
      <c r="B5423" s="21" t="s">
        <v>11851</v>
      </c>
      <c r="C5423" s="21" t="s">
        <v>22655</v>
      </c>
      <c r="D5423" s="31" t="s">
        <v>22748</v>
      </c>
      <c r="E5423" s="23" t="s">
        <v>22656</v>
      </c>
      <c r="F5423" s="24" t="s">
        <v>22657</v>
      </c>
      <c r="G5423" s="25">
        <v>167</v>
      </c>
      <c r="H5423" s="29"/>
      <c r="I5423" s="30"/>
    </row>
    <row r="5424" spans="1:9" ht="15.75" thickBot="1" x14ac:dyDescent="0.3">
      <c r="A5424" s="43" t="s">
        <v>1801</v>
      </c>
      <c r="B5424" s="21" t="s">
        <v>1802</v>
      </c>
      <c r="C5424" s="21" t="s">
        <v>22655</v>
      </c>
      <c r="D5424" s="22">
        <v>46032</v>
      </c>
      <c r="E5424" s="23" t="s">
        <v>22656</v>
      </c>
      <c r="F5424" s="24" t="s">
        <v>22657</v>
      </c>
      <c r="G5424" s="25">
        <v>4</v>
      </c>
      <c r="H5424" s="26"/>
      <c r="I5424" s="27"/>
    </row>
    <row r="5425" spans="1:9" ht="15.75" thickBot="1" x14ac:dyDescent="0.3">
      <c r="A5425" s="43" t="s">
        <v>1271</v>
      </c>
      <c r="B5425" s="21" t="s">
        <v>1272</v>
      </c>
      <c r="C5425" s="21" t="s">
        <v>22655</v>
      </c>
      <c r="D5425" s="22">
        <v>46032</v>
      </c>
      <c r="E5425" s="23" t="s">
        <v>22661</v>
      </c>
      <c r="F5425" s="24" t="s">
        <v>22657</v>
      </c>
      <c r="G5425" s="25">
        <v>4</v>
      </c>
      <c r="H5425" s="32">
        <v>4</v>
      </c>
      <c r="I5425" s="33">
        <v>8</v>
      </c>
    </row>
    <row r="5426" spans="1:9" ht="15.75" thickBot="1" x14ac:dyDescent="0.3">
      <c r="A5426" s="43" t="s">
        <v>11852</v>
      </c>
      <c r="B5426" s="21" t="s">
        <v>11853</v>
      </c>
      <c r="C5426" s="21" t="s">
        <v>22655</v>
      </c>
      <c r="D5426" s="22">
        <v>46042</v>
      </c>
      <c r="E5426" s="23" t="s">
        <v>22658</v>
      </c>
      <c r="F5426" s="24" t="s">
        <v>22657</v>
      </c>
      <c r="G5426" s="25">
        <v>7</v>
      </c>
      <c r="H5426" s="26"/>
      <c r="I5426" s="27"/>
    </row>
    <row r="5427" spans="1:9" ht="15.75" thickBot="1" x14ac:dyDescent="0.3">
      <c r="A5427" s="43" t="s">
        <v>22569</v>
      </c>
      <c r="B5427" s="21" t="s">
        <v>22570</v>
      </c>
      <c r="C5427" s="21" t="s">
        <v>22727</v>
      </c>
      <c r="D5427" s="31">
        <v>1</v>
      </c>
      <c r="E5427" s="23" t="s">
        <v>22658</v>
      </c>
      <c r="F5427" s="28" t="s">
        <v>22659</v>
      </c>
      <c r="G5427" s="25">
        <v>1</v>
      </c>
      <c r="H5427" s="29"/>
      <c r="I5427" s="30"/>
    </row>
    <row r="5428" spans="1:9" ht="15.75" thickBot="1" x14ac:dyDescent="0.3">
      <c r="A5428" s="43" t="s">
        <v>11854</v>
      </c>
      <c r="B5428" s="21" t="s">
        <v>11855</v>
      </c>
      <c r="C5428" s="21" t="s">
        <v>22663</v>
      </c>
      <c r="D5428" s="31">
        <v>1</v>
      </c>
      <c r="E5428" s="23" t="s">
        <v>22658</v>
      </c>
      <c r="F5428" s="24" t="s">
        <v>22657</v>
      </c>
      <c r="G5428" s="25">
        <v>1</v>
      </c>
      <c r="H5428" s="26"/>
      <c r="I5428" s="27"/>
    </row>
    <row r="5429" spans="1:9" ht="15.75" thickBot="1" x14ac:dyDescent="0.3">
      <c r="A5429" s="43" t="s">
        <v>11856</v>
      </c>
      <c r="B5429" s="21" t="s">
        <v>11857</v>
      </c>
      <c r="C5429" s="21" t="s">
        <v>22796</v>
      </c>
      <c r="D5429" s="22">
        <v>46032</v>
      </c>
      <c r="E5429" s="23" t="s">
        <v>22658</v>
      </c>
      <c r="F5429" s="24" t="s">
        <v>22657</v>
      </c>
      <c r="G5429" s="25">
        <v>2</v>
      </c>
      <c r="H5429" s="29"/>
      <c r="I5429" s="30"/>
    </row>
    <row r="5430" spans="1:9" ht="15.75" thickBot="1" x14ac:dyDescent="0.3">
      <c r="A5430" s="43" t="s">
        <v>11858</v>
      </c>
      <c r="B5430" s="21" t="s">
        <v>11859</v>
      </c>
      <c r="C5430" s="21" t="s">
        <v>22655</v>
      </c>
      <c r="D5430" s="22">
        <v>46046</v>
      </c>
      <c r="E5430" s="23" t="s">
        <v>22656</v>
      </c>
      <c r="F5430" s="24" t="s">
        <v>22657</v>
      </c>
      <c r="G5430" s="25">
        <v>8</v>
      </c>
      <c r="H5430" s="26"/>
      <c r="I5430" s="27"/>
    </row>
    <row r="5431" spans="1:9" ht="15.75" thickBot="1" x14ac:dyDescent="0.3">
      <c r="A5431" s="43" t="s">
        <v>11860</v>
      </c>
      <c r="B5431" s="21" t="s">
        <v>11861</v>
      </c>
      <c r="C5431" s="21" t="s">
        <v>22682</v>
      </c>
      <c r="D5431" s="22">
        <v>46034</v>
      </c>
      <c r="E5431" s="23" t="s">
        <v>22658</v>
      </c>
      <c r="F5431" s="24" t="s">
        <v>22657</v>
      </c>
      <c r="G5431" s="25">
        <v>4</v>
      </c>
      <c r="H5431" s="29"/>
      <c r="I5431" s="30"/>
    </row>
    <row r="5432" spans="1:9" ht="15.75" thickBot="1" x14ac:dyDescent="0.3">
      <c r="A5432" s="43" t="s">
        <v>11862</v>
      </c>
      <c r="B5432" s="21" t="s">
        <v>11863</v>
      </c>
      <c r="C5432" s="21" t="s">
        <v>22682</v>
      </c>
      <c r="D5432" s="22">
        <v>46034</v>
      </c>
      <c r="E5432" s="23" t="s">
        <v>22658</v>
      </c>
      <c r="F5432" s="24" t="s">
        <v>22657</v>
      </c>
      <c r="G5432" s="25">
        <v>4</v>
      </c>
      <c r="H5432" s="26"/>
      <c r="I5432" s="27"/>
    </row>
    <row r="5433" spans="1:9" ht="15.75" thickBot="1" x14ac:dyDescent="0.3">
      <c r="A5433" s="43" t="s">
        <v>11864</v>
      </c>
      <c r="B5433" s="21" t="s">
        <v>11865</v>
      </c>
      <c r="C5433" s="21" t="s">
        <v>22682</v>
      </c>
      <c r="D5433" s="22">
        <v>46034</v>
      </c>
      <c r="E5433" s="23" t="s">
        <v>22656</v>
      </c>
      <c r="F5433" s="24" t="s">
        <v>22657</v>
      </c>
      <c r="G5433" s="25">
        <v>4</v>
      </c>
      <c r="H5433" s="29"/>
      <c r="I5433" s="30"/>
    </row>
    <row r="5434" spans="1:9" ht="15.75" thickBot="1" x14ac:dyDescent="0.3">
      <c r="A5434" s="43" t="s">
        <v>11866</v>
      </c>
      <c r="B5434" s="21" t="s">
        <v>11867</v>
      </c>
      <c r="C5434" s="21" t="s">
        <v>22682</v>
      </c>
      <c r="D5434" s="22">
        <v>46034</v>
      </c>
      <c r="E5434" s="23" t="s">
        <v>22658</v>
      </c>
      <c r="F5434" s="24" t="s">
        <v>22657</v>
      </c>
      <c r="G5434" s="25">
        <v>4</v>
      </c>
      <c r="H5434" s="26"/>
      <c r="I5434" s="27"/>
    </row>
    <row r="5435" spans="1:9" ht="15.75" thickBot="1" x14ac:dyDescent="0.3">
      <c r="A5435" s="43" t="s">
        <v>11868</v>
      </c>
      <c r="B5435" s="21" t="s">
        <v>11869</v>
      </c>
      <c r="C5435" s="21" t="s">
        <v>22682</v>
      </c>
      <c r="D5435" s="22">
        <v>46034</v>
      </c>
      <c r="E5435" s="23" t="s">
        <v>22658</v>
      </c>
      <c r="F5435" s="24" t="s">
        <v>22657</v>
      </c>
      <c r="G5435" s="25">
        <v>4</v>
      </c>
      <c r="H5435" s="29"/>
      <c r="I5435" s="30"/>
    </row>
    <row r="5436" spans="1:9" ht="15.75" thickBot="1" x14ac:dyDescent="0.3">
      <c r="A5436" s="43" t="s">
        <v>11870</v>
      </c>
      <c r="B5436" s="21" t="s">
        <v>11871</v>
      </c>
      <c r="C5436" s="21" t="s">
        <v>22682</v>
      </c>
      <c r="D5436" s="22">
        <v>46034</v>
      </c>
      <c r="E5436" s="23" t="s">
        <v>22658</v>
      </c>
      <c r="F5436" s="24" t="s">
        <v>22657</v>
      </c>
      <c r="G5436" s="25">
        <v>4</v>
      </c>
      <c r="H5436" s="26"/>
      <c r="I5436" s="27"/>
    </row>
    <row r="5437" spans="1:9" ht="15.75" thickBot="1" x14ac:dyDescent="0.3">
      <c r="A5437" s="43" t="s">
        <v>11872</v>
      </c>
      <c r="B5437" s="21" t="s">
        <v>11873</v>
      </c>
      <c r="C5437" s="21" t="s">
        <v>22682</v>
      </c>
      <c r="D5437" s="22">
        <v>46034</v>
      </c>
      <c r="E5437" s="23" t="s">
        <v>22658</v>
      </c>
      <c r="F5437" s="24" t="s">
        <v>22657</v>
      </c>
      <c r="G5437" s="25">
        <v>4</v>
      </c>
      <c r="H5437" s="29"/>
      <c r="I5437" s="30"/>
    </row>
    <row r="5438" spans="1:9" ht="15.75" thickBot="1" x14ac:dyDescent="0.3">
      <c r="A5438" s="43" t="s">
        <v>11874</v>
      </c>
      <c r="B5438" s="21" t="s">
        <v>11875</v>
      </c>
      <c r="C5438" s="21" t="s">
        <v>22682</v>
      </c>
      <c r="D5438" s="22">
        <v>46034</v>
      </c>
      <c r="E5438" s="23" t="s">
        <v>22658</v>
      </c>
      <c r="F5438" s="24" t="s">
        <v>22657</v>
      </c>
      <c r="G5438" s="25">
        <v>4</v>
      </c>
      <c r="H5438" s="26"/>
      <c r="I5438" s="27"/>
    </row>
    <row r="5439" spans="1:9" ht="15.75" thickBot="1" x14ac:dyDescent="0.3">
      <c r="A5439" s="43" t="s">
        <v>11876</v>
      </c>
      <c r="B5439" s="21" t="s">
        <v>11877</v>
      </c>
      <c r="C5439" s="21" t="s">
        <v>22682</v>
      </c>
      <c r="D5439" s="22">
        <v>46034</v>
      </c>
      <c r="E5439" s="23" t="s">
        <v>22658</v>
      </c>
      <c r="F5439" s="24" t="s">
        <v>22657</v>
      </c>
      <c r="G5439" s="25">
        <v>4</v>
      </c>
      <c r="H5439" s="29"/>
      <c r="I5439" s="30"/>
    </row>
    <row r="5440" spans="1:9" ht="15.75" thickBot="1" x14ac:dyDescent="0.3">
      <c r="A5440" s="43" t="s">
        <v>11878</v>
      </c>
      <c r="B5440" s="21" t="s">
        <v>11879</v>
      </c>
      <c r="C5440" s="21" t="s">
        <v>22682</v>
      </c>
      <c r="D5440" s="22">
        <v>46034</v>
      </c>
      <c r="E5440" s="23" t="s">
        <v>22658</v>
      </c>
      <c r="F5440" s="24" t="s">
        <v>22657</v>
      </c>
      <c r="G5440" s="25">
        <v>4</v>
      </c>
      <c r="H5440" s="26"/>
      <c r="I5440" s="27"/>
    </row>
    <row r="5441" spans="1:9" ht="15.75" thickBot="1" x14ac:dyDescent="0.3">
      <c r="A5441" s="43" t="s">
        <v>11880</v>
      </c>
      <c r="B5441" s="21" t="s">
        <v>11881</v>
      </c>
      <c r="C5441" s="21" t="s">
        <v>22682</v>
      </c>
      <c r="D5441" s="22">
        <v>46034</v>
      </c>
      <c r="E5441" s="23" t="s">
        <v>22656</v>
      </c>
      <c r="F5441" s="24" t="s">
        <v>22657</v>
      </c>
      <c r="G5441" s="25">
        <v>4</v>
      </c>
      <c r="H5441" s="29"/>
      <c r="I5441" s="30"/>
    </row>
    <row r="5442" spans="1:9" ht="15.75" thickBot="1" x14ac:dyDescent="0.3">
      <c r="A5442" s="43" t="s">
        <v>11882</v>
      </c>
      <c r="B5442" s="21" t="s">
        <v>11883</v>
      </c>
      <c r="C5442" s="21" t="s">
        <v>22682</v>
      </c>
      <c r="D5442" s="22">
        <v>46034</v>
      </c>
      <c r="E5442" s="23" t="s">
        <v>22658</v>
      </c>
      <c r="F5442" s="24" t="s">
        <v>22657</v>
      </c>
      <c r="G5442" s="25">
        <v>4</v>
      </c>
      <c r="H5442" s="26"/>
      <c r="I5442" s="27"/>
    </row>
    <row r="5443" spans="1:9" ht="15.75" thickBot="1" x14ac:dyDescent="0.3">
      <c r="A5443" s="43" t="s">
        <v>11884</v>
      </c>
      <c r="B5443" s="21" t="s">
        <v>11885</v>
      </c>
      <c r="C5443" s="21" t="s">
        <v>22655</v>
      </c>
      <c r="D5443" s="22">
        <v>46034</v>
      </c>
      <c r="E5443" s="23" t="s">
        <v>22656</v>
      </c>
      <c r="F5443" s="24" t="s">
        <v>22657</v>
      </c>
      <c r="G5443" s="25">
        <v>2</v>
      </c>
      <c r="H5443" s="29"/>
      <c r="I5443" s="30"/>
    </row>
    <row r="5444" spans="1:9" ht="15.75" thickBot="1" x14ac:dyDescent="0.3">
      <c r="A5444" s="43" t="s">
        <v>11892</v>
      </c>
      <c r="B5444" s="21" t="s">
        <v>11893</v>
      </c>
      <c r="C5444" s="21" t="s">
        <v>22655</v>
      </c>
      <c r="D5444" s="22">
        <v>46026</v>
      </c>
      <c r="E5444" s="23" t="s">
        <v>22658</v>
      </c>
      <c r="F5444" s="24" t="s">
        <v>22657</v>
      </c>
      <c r="G5444" s="25">
        <v>2</v>
      </c>
      <c r="H5444" s="26"/>
      <c r="I5444" s="27"/>
    </row>
    <row r="5445" spans="1:9" ht="15.75" thickBot="1" x14ac:dyDescent="0.3">
      <c r="A5445" s="43" t="s">
        <v>11894</v>
      </c>
      <c r="B5445" s="21" t="s">
        <v>11895</v>
      </c>
      <c r="C5445" s="21" t="s">
        <v>22655</v>
      </c>
      <c r="D5445" s="22">
        <v>46034</v>
      </c>
      <c r="E5445" s="23" t="s">
        <v>22656</v>
      </c>
      <c r="F5445" s="24" t="s">
        <v>22657</v>
      </c>
      <c r="G5445" s="25">
        <v>4</v>
      </c>
      <c r="H5445" s="29"/>
      <c r="I5445" s="30"/>
    </row>
    <row r="5446" spans="1:9" ht="15.75" thickBot="1" x14ac:dyDescent="0.3">
      <c r="A5446" s="43" t="s">
        <v>1355</v>
      </c>
      <c r="B5446" s="21" t="s">
        <v>1356</v>
      </c>
      <c r="C5446" s="21" t="s">
        <v>22655</v>
      </c>
      <c r="D5446" s="22">
        <v>46028</v>
      </c>
      <c r="E5446" s="23" t="s">
        <v>22656</v>
      </c>
      <c r="F5446" s="24" t="s">
        <v>22657</v>
      </c>
      <c r="G5446" s="25">
        <v>6</v>
      </c>
      <c r="H5446" s="34">
        <v>6</v>
      </c>
      <c r="I5446" s="35">
        <v>12</v>
      </c>
    </row>
    <row r="5447" spans="1:9" ht="15.75" thickBot="1" x14ac:dyDescent="0.3">
      <c r="A5447" s="43" t="s">
        <v>11896</v>
      </c>
      <c r="B5447" s="21" t="s">
        <v>11897</v>
      </c>
      <c r="C5447" s="21" t="s">
        <v>22655</v>
      </c>
      <c r="D5447" s="22">
        <v>46026</v>
      </c>
      <c r="E5447" s="23" t="s">
        <v>22656</v>
      </c>
      <c r="F5447" s="24" t="s">
        <v>22657</v>
      </c>
      <c r="G5447" s="25">
        <v>2</v>
      </c>
      <c r="H5447" s="29"/>
      <c r="I5447" s="30"/>
    </row>
    <row r="5448" spans="1:9" ht="15.75" thickBot="1" x14ac:dyDescent="0.3">
      <c r="A5448" s="43" t="s">
        <v>11898</v>
      </c>
      <c r="B5448" s="21" t="s">
        <v>11899</v>
      </c>
      <c r="C5448" s="21" t="s">
        <v>22655</v>
      </c>
      <c r="D5448" s="22">
        <v>46034</v>
      </c>
      <c r="E5448" s="23" t="s">
        <v>22656</v>
      </c>
      <c r="F5448" s="24" t="s">
        <v>22657</v>
      </c>
      <c r="G5448" s="25">
        <v>4</v>
      </c>
      <c r="H5448" s="26"/>
      <c r="I5448" s="27"/>
    </row>
    <row r="5449" spans="1:9" ht="15.75" thickBot="1" x14ac:dyDescent="0.3">
      <c r="A5449" s="43" t="s">
        <v>11900</v>
      </c>
      <c r="B5449" s="21" t="s">
        <v>11901</v>
      </c>
      <c r="C5449" s="21" t="s">
        <v>22655</v>
      </c>
      <c r="D5449" s="31" t="s">
        <v>22688</v>
      </c>
      <c r="E5449" s="23" t="s">
        <v>22661</v>
      </c>
      <c r="F5449" s="24" t="s">
        <v>22657</v>
      </c>
      <c r="G5449" s="25">
        <v>4</v>
      </c>
      <c r="H5449" s="29"/>
      <c r="I5449" s="30"/>
    </row>
    <row r="5450" spans="1:9" ht="15.75" thickBot="1" x14ac:dyDescent="0.3">
      <c r="A5450" s="43" t="s">
        <v>11902</v>
      </c>
      <c r="B5450" s="21" t="s">
        <v>11903</v>
      </c>
      <c r="C5450" s="21" t="s">
        <v>22655</v>
      </c>
      <c r="D5450" s="22">
        <v>46046</v>
      </c>
      <c r="E5450" s="23" t="s">
        <v>22661</v>
      </c>
      <c r="F5450" s="24" t="s">
        <v>22657</v>
      </c>
      <c r="G5450" s="25">
        <v>8</v>
      </c>
      <c r="H5450" s="26"/>
      <c r="I5450" s="27"/>
    </row>
    <row r="5451" spans="1:9" ht="15.75" thickBot="1" x14ac:dyDescent="0.3">
      <c r="A5451" s="43" t="s">
        <v>11904</v>
      </c>
      <c r="B5451" s="21" t="s">
        <v>11905</v>
      </c>
      <c r="C5451" s="21" t="s">
        <v>22655</v>
      </c>
      <c r="D5451" s="31" t="s">
        <v>22732</v>
      </c>
      <c r="E5451" s="23" t="s">
        <v>22656</v>
      </c>
      <c r="F5451" s="24" t="s">
        <v>22657</v>
      </c>
      <c r="G5451" s="25">
        <v>7</v>
      </c>
      <c r="H5451" s="29"/>
      <c r="I5451" s="30"/>
    </row>
    <row r="5452" spans="1:9" ht="15.75" thickBot="1" x14ac:dyDescent="0.3">
      <c r="A5452" s="43" t="s">
        <v>11906</v>
      </c>
      <c r="B5452" s="21" t="s">
        <v>11907</v>
      </c>
      <c r="C5452" s="21" t="s">
        <v>22655</v>
      </c>
      <c r="D5452" s="22">
        <v>46034</v>
      </c>
      <c r="E5452" s="23" t="s">
        <v>22656</v>
      </c>
      <c r="F5452" s="24" t="s">
        <v>22657</v>
      </c>
      <c r="G5452" s="25">
        <v>4</v>
      </c>
      <c r="H5452" s="26"/>
      <c r="I5452" s="27"/>
    </row>
    <row r="5453" spans="1:9" ht="15.75" thickBot="1" x14ac:dyDescent="0.3">
      <c r="A5453" s="43" t="s">
        <v>11908</v>
      </c>
      <c r="B5453" s="21" t="s">
        <v>11909</v>
      </c>
      <c r="C5453" s="21" t="s">
        <v>22655</v>
      </c>
      <c r="D5453" s="22">
        <v>46046</v>
      </c>
      <c r="E5453" s="23" t="s">
        <v>22656</v>
      </c>
      <c r="F5453" s="24" t="s">
        <v>22657</v>
      </c>
      <c r="G5453" s="25">
        <v>8</v>
      </c>
      <c r="H5453" s="29"/>
      <c r="I5453" s="30"/>
    </row>
    <row r="5454" spans="1:9" ht="15.75" thickBot="1" x14ac:dyDescent="0.3">
      <c r="A5454" s="43" t="s">
        <v>1325</v>
      </c>
      <c r="B5454" s="21" t="s">
        <v>11910</v>
      </c>
      <c r="C5454" s="21" t="s">
        <v>22655</v>
      </c>
      <c r="D5454" s="22">
        <v>46032</v>
      </c>
      <c r="E5454" s="23" t="s">
        <v>22665</v>
      </c>
      <c r="F5454" s="24" t="s">
        <v>22657</v>
      </c>
      <c r="G5454" s="25">
        <v>50</v>
      </c>
      <c r="H5454" s="34">
        <v>50</v>
      </c>
      <c r="I5454" s="35">
        <v>100</v>
      </c>
    </row>
    <row r="5455" spans="1:9" ht="15.75" thickBot="1" x14ac:dyDescent="0.3">
      <c r="A5455" s="43" t="s">
        <v>11911</v>
      </c>
      <c r="B5455" s="21" t="s">
        <v>11912</v>
      </c>
      <c r="C5455" s="21" t="s">
        <v>22655</v>
      </c>
      <c r="D5455" s="31" t="s">
        <v>22688</v>
      </c>
      <c r="E5455" s="23" t="s">
        <v>22656</v>
      </c>
      <c r="F5455" s="24" t="s">
        <v>22657</v>
      </c>
      <c r="G5455" s="25">
        <v>8</v>
      </c>
      <c r="H5455" s="29"/>
      <c r="I5455" s="30"/>
    </row>
    <row r="5456" spans="1:9" ht="15.75" thickBot="1" x14ac:dyDescent="0.3">
      <c r="A5456" s="43" t="s">
        <v>1781</v>
      </c>
      <c r="B5456" s="21" t="s">
        <v>11913</v>
      </c>
      <c r="C5456" s="21" t="s">
        <v>22655</v>
      </c>
      <c r="D5456" s="22">
        <v>46032</v>
      </c>
      <c r="E5456" s="23" t="s">
        <v>22656</v>
      </c>
      <c r="F5456" s="24" t="s">
        <v>22657</v>
      </c>
      <c r="G5456" s="25">
        <v>4</v>
      </c>
      <c r="H5456" s="26"/>
      <c r="I5456" s="27"/>
    </row>
    <row r="5457" spans="1:9" ht="15.75" thickBot="1" x14ac:dyDescent="0.3">
      <c r="A5457" s="43" t="s">
        <v>11914</v>
      </c>
      <c r="B5457" s="21" t="s">
        <v>11915</v>
      </c>
      <c r="C5457" s="21" t="s">
        <v>22655</v>
      </c>
      <c r="D5457" s="22">
        <v>46046</v>
      </c>
      <c r="E5457" s="23" t="s">
        <v>22656</v>
      </c>
      <c r="F5457" s="24" t="s">
        <v>22657</v>
      </c>
      <c r="G5457" s="25">
        <v>8</v>
      </c>
      <c r="H5457" s="29"/>
      <c r="I5457" s="30"/>
    </row>
    <row r="5458" spans="1:9" ht="15.75" thickBot="1" x14ac:dyDescent="0.3">
      <c r="A5458" s="43" t="s">
        <v>11916</v>
      </c>
      <c r="B5458" s="21" t="s">
        <v>11917</v>
      </c>
      <c r="C5458" s="21" t="s">
        <v>22655</v>
      </c>
      <c r="D5458" s="22">
        <v>46032</v>
      </c>
      <c r="E5458" s="23" t="s">
        <v>22656</v>
      </c>
      <c r="F5458" s="24" t="s">
        <v>22657</v>
      </c>
      <c r="G5458" s="25">
        <v>4</v>
      </c>
      <c r="H5458" s="26"/>
      <c r="I5458" s="27"/>
    </row>
    <row r="5459" spans="1:9" ht="15.75" thickBot="1" x14ac:dyDescent="0.3">
      <c r="A5459" s="43" t="s">
        <v>11918</v>
      </c>
      <c r="B5459" s="21" t="s">
        <v>11919</v>
      </c>
      <c r="C5459" s="21" t="s">
        <v>22655</v>
      </c>
      <c r="D5459" s="22">
        <v>46042</v>
      </c>
      <c r="E5459" s="23" t="s">
        <v>22656</v>
      </c>
      <c r="F5459" s="24" t="s">
        <v>22657</v>
      </c>
      <c r="G5459" s="25">
        <v>7</v>
      </c>
      <c r="H5459" s="29"/>
      <c r="I5459" s="30"/>
    </row>
    <row r="5460" spans="1:9" ht="15.75" thickBot="1" x14ac:dyDescent="0.3">
      <c r="A5460" s="43" t="s">
        <v>11920</v>
      </c>
      <c r="B5460" s="21" t="s">
        <v>11921</v>
      </c>
      <c r="C5460" s="21" t="s">
        <v>22655</v>
      </c>
      <c r="D5460" s="22">
        <v>46046</v>
      </c>
      <c r="E5460" s="23" t="s">
        <v>22656</v>
      </c>
      <c r="F5460" s="24" t="s">
        <v>22657</v>
      </c>
      <c r="G5460" s="25">
        <v>4</v>
      </c>
      <c r="H5460" s="26"/>
      <c r="I5460" s="27"/>
    </row>
    <row r="5461" spans="1:9" ht="15.75" thickBot="1" x14ac:dyDescent="0.3">
      <c r="A5461" s="43" t="s">
        <v>11922</v>
      </c>
      <c r="B5461" s="21" t="s">
        <v>11923</v>
      </c>
      <c r="C5461" s="21" t="s">
        <v>22655</v>
      </c>
      <c r="D5461" s="22">
        <v>46046</v>
      </c>
      <c r="E5461" s="23" t="s">
        <v>22656</v>
      </c>
      <c r="F5461" s="24" t="s">
        <v>22657</v>
      </c>
      <c r="G5461" s="25">
        <v>8</v>
      </c>
      <c r="H5461" s="29"/>
      <c r="I5461" s="30"/>
    </row>
    <row r="5462" spans="1:9" ht="15.75" thickBot="1" x14ac:dyDescent="0.3">
      <c r="A5462" s="43" t="s">
        <v>11924</v>
      </c>
      <c r="B5462" s="21" t="s">
        <v>11925</v>
      </c>
      <c r="C5462" s="21" t="s">
        <v>22655</v>
      </c>
      <c r="D5462" s="31" t="s">
        <v>22688</v>
      </c>
      <c r="E5462" s="23" t="s">
        <v>22656</v>
      </c>
      <c r="F5462" s="24" t="s">
        <v>22657</v>
      </c>
      <c r="G5462" s="25">
        <v>4</v>
      </c>
      <c r="H5462" s="26"/>
      <c r="I5462" s="27"/>
    </row>
    <row r="5463" spans="1:9" ht="15.75" thickBot="1" x14ac:dyDescent="0.3">
      <c r="A5463" s="43" t="s">
        <v>11926</v>
      </c>
      <c r="B5463" s="21" t="s">
        <v>11927</v>
      </c>
      <c r="C5463" s="21" t="s">
        <v>22655</v>
      </c>
      <c r="D5463" s="22">
        <v>46046</v>
      </c>
      <c r="E5463" s="23" t="s">
        <v>22656</v>
      </c>
      <c r="F5463" s="24" t="s">
        <v>22657</v>
      </c>
      <c r="G5463" s="25">
        <v>8</v>
      </c>
      <c r="H5463" s="29"/>
      <c r="I5463" s="30"/>
    </row>
    <row r="5464" spans="1:9" ht="15.75" thickBot="1" x14ac:dyDescent="0.3">
      <c r="A5464" s="43" t="s">
        <v>11928</v>
      </c>
      <c r="B5464" s="21" t="s">
        <v>11929</v>
      </c>
      <c r="C5464" s="21" t="s">
        <v>22655</v>
      </c>
      <c r="D5464" s="22">
        <v>46032</v>
      </c>
      <c r="E5464" s="23" t="s">
        <v>22656</v>
      </c>
      <c r="F5464" s="24" t="s">
        <v>22657</v>
      </c>
      <c r="G5464" s="25">
        <v>4</v>
      </c>
      <c r="H5464" s="26"/>
      <c r="I5464" s="27"/>
    </row>
    <row r="5465" spans="1:9" ht="15.75" thickBot="1" x14ac:dyDescent="0.3">
      <c r="A5465" s="43" t="s">
        <v>11930</v>
      </c>
      <c r="B5465" s="21" t="s">
        <v>11931</v>
      </c>
      <c r="C5465" s="21" t="s">
        <v>22655</v>
      </c>
      <c r="D5465" s="22">
        <v>46034</v>
      </c>
      <c r="E5465" s="23" t="s">
        <v>22656</v>
      </c>
      <c r="F5465" s="24" t="s">
        <v>22657</v>
      </c>
      <c r="G5465" s="25">
        <v>4</v>
      </c>
      <c r="H5465" s="29"/>
      <c r="I5465" s="30"/>
    </row>
    <row r="5466" spans="1:9" ht="15.75" thickBot="1" x14ac:dyDescent="0.3">
      <c r="A5466" s="43" t="s">
        <v>11932</v>
      </c>
      <c r="B5466" s="21" t="s">
        <v>11933</v>
      </c>
      <c r="C5466" s="21" t="s">
        <v>22655</v>
      </c>
      <c r="D5466" s="31" t="s">
        <v>22688</v>
      </c>
      <c r="E5466" s="23" t="s">
        <v>22661</v>
      </c>
      <c r="F5466" s="24" t="s">
        <v>22657</v>
      </c>
      <c r="G5466" s="25">
        <v>14</v>
      </c>
      <c r="H5466" s="26"/>
      <c r="I5466" s="27"/>
    </row>
    <row r="5467" spans="1:9" ht="15.75" thickBot="1" x14ac:dyDescent="0.3">
      <c r="A5467" s="43" t="s">
        <v>11934</v>
      </c>
      <c r="B5467" s="21" t="s">
        <v>11935</v>
      </c>
      <c r="C5467" s="21" t="s">
        <v>22655</v>
      </c>
      <c r="D5467" s="22">
        <v>46034</v>
      </c>
      <c r="E5467" s="23" t="s">
        <v>22656</v>
      </c>
      <c r="F5467" s="24" t="s">
        <v>22657</v>
      </c>
      <c r="G5467" s="25">
        <v>4</v>
      </c>
      <c r="H5467" s="29"/>
      <c r="I5467" s="30"/>
    </row>
    <row r="5468" spans="1:9" ht="15.75" thickBot="1" x14ac:dyDescent="0.3">
      <c r="A5468" s="43" t="s">
        <v>11936</v>
      </c>
      <c r="B5468" s="21" t="s">
        <v>11937</v>
      </c>
      <c r="C5468" s="21" t="s">
        <v>22655</v>
      </c>
      <c r="D5468" s="22">
        <v>46046</v>
      </c>
      <c r="E5468" s="23" t="s">
        <v>22656</v>
      </c>
      <c r="F5468" s="24" t="s">
        <v>22657</v>
      </c>
      <c r="G5468" s="25">
        <v>8</v>
      </c>
      <c r="H5468" s="26"/>
      <c r="I5468" s="27"/>
    </row>
    <row r="5469" spans="1:9" ht="15.75" thickBot="1" x14ac:dyDescent="0.3">
      <c r="A5469" s="43" t="s">
        <v>11938</v>
      </c>
      <c r="B5469" s="21" t="s">
        <v>11939</v>
      </c>
      <c r="C5469" s="21" t="s">
        <v>22655</v>
      </c>
      <c r="D5469" s="22">
        <v>46046</v>
      </c>
      <c r="E5469" s="23" t="s">
        <v>22656</v>
      </c>
      <c r="F5469" s="24" t="s">
        <v>22657</v>
      </c>
      <c r="G5469" s="25">
        <v>8</v>
      </c>
      <c r="H5469" s="29"/>
      <c r="I5469" s="30"/>
    </row>
    <row r="5470" spans="1:9" ht="15.75" thickBot="1" x14ac:dyDescent="0.3">
      <c r="A5470" s="43" t="s">
        <v>11940</v>
      </c>
      <c r="B5470" s="21" t="s">
        <v>11941</v>
      </c>
      <c r="C5470" s="21" t="s">
        <v>22655</v>
      </c>
      <c r="D5470" s="22">
        <v>46046</v>
      </c>
      <c r="E5470" s="23" t="s">
        <v>22658</v>
      </c>
      <c r="F5470" s="24" t="s">
        <v>22657</v>
      </c>
      <c r="G5470" s="25">
        <v>8</v>
      </c>
      <c r="H5470" s="26"/>
      <c r="I5470" s="27"/>
    </row>
    <row r="5471" spans="1:9" ht="15.75" thickBot="1" x14ac:dyDescent="0.3">
      <c r="A5471" s="43" t="s">
        <v>11942</v>
      </c>
      <c r="B5471" s="21" t="s">
        <v>11943</v>
      </c>
      <c r="C5471" s="21" t="s">
        <v>22655</v>
      </c>
      <c r="D5471" s="22">
        <v>46028</v>
      </c>
      <c r="E5471" s="23" t="s">
        <v>22656</v>
      </c>
      <c r="F5471" s="24" t="s">
        <v>22657</v>
      </c>
      <c r="G5471" s="25">
        <v>2</v>
      </c>
      <c r="H5471" s="29"/>
      <c r="I5471" s="30"/>
    </row>
    <row r="5472" spans="1:9" ht="15.75" thickBot="1" x14ac:dyDescent="0.3">
      <c r="A5472" s="43" t="s">
        <v>11944</v>
      </c>
      <c r="B5472" s="21" t="s">
        <v>11945</v>
      </c>
      <c r="C5472" s="21" t="s">
        <v>22655</v>
      </c>
      <c r="D5472" s="22">
        <v>46046</v>
      </c>
      <c r="E5472" s="23" t="s">
        <v>22656</v>
      </c>
      <c r="F5472" s="24" t="s">
        <v>22657</v>
      </c>
      <c r="G5472" s="25">
        <v>8</v>
      </c>
      <c r="H5472" s="26"/>
      <c r="I5472" s="27"/>
    </row>
    <row r="5473" spans="1:9" ht="15.75" thickBot="1" x14ac:dyDescent="0.3">
      <c r="A5473" s="43" t="s">
        <v>11946</v>
      </c>
      <c r="B5473" s="21" t="s">
        <v>11947</v>
      </c>
      <c r="C5473" s="21" t="s">
        <v>22655</v>
      </c>
      <c r="D5473" s="22">
        <v>46046</v>
      </c>
      <c r="E5473" s="23" t="s">
        <v>22656</v>
      </c>
      <c r="F5473" s="24" t="s">
        <v>22657</v>
      </c>
      <c r="G5473" s="25">
        <v>8</v>
      </c>
      <c r="H5473" s="29"/>
      <c r="I5473" s="30"/>
    </row>
    <row r="5474" spans="1:9" ht="15.75" thickBot="1" x14ac:dyDescent="0.3">
      <c r="A5474" s="43" t="s">
        <v>11948</v>
      </c>
      <c r="B5474" s="21" t="s">
        <v>11949</v>
      </c>
      <c r="C5474" s="21" t="s">
        <v>22655</v>
      </c>
      <c r="D5474" s="22">
        <v>46024</v>
      </c>
      <c r="E5474" s="23" t="s">
        <v>22656</v>
      </c>
      <c r="F5474" s="24" t="s">
        <v>22657</v>
      </c>
      <c r="G5474" s="25">
        <v>2</v>
      </c>
      <c r="H5474" s="26"/>
      <c r="I5474" s="27"/>
    </row>
    <row r="5475" spans="1:9" ht="15.75" thickBot="1" x14ac:dyDescent="0.3">
      <c r="A5475" s="43" t="s">
        <v>11950</v>
      </c>
      <c r="B5475" s="21" t="s">
        <v>11951</v>
      </c>
      <c r="C5475" s="21" t="s">
        <v>22655</v>
      </c>
      <c r="D5475" s="22">
        <v>46046</v>
      </c>
      <c r="E5475" s="23" t="s">
        <v>22656</v>
      </c>
      <c r="F5475" s="24" t="s">
        <v>22657</v>
      </c>
      <c r="G5475" s="25">
        <v>2</v>
      </c>
      <c r="H5475" s="29"/>
      <c r="I5475" s="30"/>
    </row>
    <row r="5476" spans="1:9" ht="15.75" thickBot="1" x14ac:dyDescent="0.3">
      <c r="A5476" s="43" t="s">
        <v>11952</v>
      </c>
      <c r="B5476" s="21" t="s">
        <v>11953</v>
      </c>
      <c r="C5476" s="21" t="s">
        <v>22655</v>
      </c>
      <c r="D5476" s="22">
        <v>46046</v>
      </c>
      <c r="E5476" s="23" t="s">
        <v>22656</v>
      </c>
      <c r="F5476" s="24" t="s">
        <v>22657</v>
      </c>
      <c r="G5476" s="25">
        <v>2</v>
      </c>
      <c r="H5476" s="26"/>
      <c r="I5476" s="27"/>
    </row>
    <row r="5477" spans="1:9" ht="15.75" thickBot="1" x14ac:dyDescent="0.3">
      <c r="A5477" s="43" t="s">
        <v>11954</v>
      </c>
      <c r="B5477" s="21" t="s">
        <v>11955</v>
      </c>
      <c r="C5477" s="21" t="s">
        <v>22655</v>
      </c>
      <c r="D5477" s="22">
        <v>46046</v>
      </c>
      <c r="E5477" s="23" t="s">
        <v>22656</v>
      </c>
      <c r="F5477" s="24" t="s">
        <v>22657</v>
      </c>
      <c r="G5477" s="25">
        <v>2</v>
      </c>
      <c r="H5477" s="29"/>
      <c r="I5477" s="30"/>
    </row>
    <row r="5478" spans="1:9" ht="15.75" thickBot="1" x14ac:dyDescent="0.3">
      <c r="A5478" s="43" t="s">
        <v>11956</v>
      </c>
      <c r="B5478" s="21" t="s">
        <v>11957</v>
      </c>
      <c r="C5478" s="21" t="s">
        <v>22655</v>
      </c>
      <c r="D5478" s="22">
        <v>46046</v>
      </c>
      <c r="E5478" s="23" t="s">
        <v>22656</v>
      </c>
      <c r="F5478" s="24" t="s">
        <v>22657</v>
      </c>
      <c r="G5478" s="25">
        <v>2</v>
      </c>
      <c r="H5478" s="26"/>
      <c r="I5478" s="27"/>
    </row>
    <row r="5479" spans="1:9" ht="15.75" thickBot="1" x14ac:dyDescent="0.3">
      <c r="A5479" s="43" t="s">
        <v>11958</v>
      </c>
      <c r="B5479" s="21" t="s">
        <v>11959</v>
      </c>
      <c r="C5479" s="21" t="s">
        <v>22655</v>
      </c>
      <c r="D5479" s="22">
        <v>46046</v>
      </c>
      <c r="E5479" s="23" t="s">
        <v>22656</v>
      </c>
      <c r="F5479" s="24" t="s">
        <v>22657</v>
      </c>
      <c r="G5479" s="25">
        <v>2</v>
      </c>
      <c r="H5479" s="29"/>
      <c r="I5479" s="30"/>
    </row>
    <row r="5480" spans="1:9" ht="15.75" thickBot="1" x14ac:dyDescent="0.3">
      <c r="A5480" s="43" t="s">
        <v>11960</v>
      </c>
      <c r="B5480" s="21" t="s">
        <v>11961</v>
      </c>
      <c r="C5480" s="21" t="s">
        <v>22655</v>
      </c>
      <c r="D5480" s="22">
        <v>46046</v>
      </c>
      <c r="E5480" s="23" t="s">
        <v>22656</v>
      </c>
      <c r="F5480" s="24" t="s">
        <v>22657</v>
      </c>
      <c r="G5480" s="25">
        <v>2</v>
      </c>
      <c r="H5480" s="26"/>
      <c r="I5480" s="27"/>
    </row>
    <row r="5481" spans="1:9" ht="15.75" thickBot="1" x14ac:dyDescent="0.3">
      <c r="A5481" s="43" t="s">
        <v>11962</v>
      </c>
      <c r="B5481" s="21" t="s">
        <v>11963</v>
      </c>
      <c r="C5481" s="21" t="s">
        <v>22655</v>
      </c>
      <c r="D5481" s="22">
        <v>46034</v>
      </c>
      <c r="E5481" s="23" t="s">
        <v>22658</v>
      </c>
      <c r="F5481" s="24" t="s">
        <v>22657</v>
      </c>
      <c r="G5481" s="25">
        <v>1</v>
      </c>
      <c r="H5481" s="29"/>
      <c r="I5481" s="30"/>
    </row>
    <row r="5482" spans="1:9" ht="15.75" thickBot="1" x14ac:dyDescent="0.3">
      <c r="A5482" s="43" t="s">
        <v>11964</v>
      </c>
      <c r="B5482" s="21" t="s">
        <v>11965</v>
      </c>
      <c r="C5482" s="21" t="s">
        <v>22655</v>
      </c>
      <c r="D5482" s="22">
        <v>46046</v>
      </c>
      <c r="E5482" s="23" t="s">
        <v>22658</v>
      </c>
      <c r="F5482" s="24" t="s">
        <v>22657</v>
      </c>
      <c r="G5482" s="25">
        <v>2</v>
      </c>
      <c r="H5482" s="26"/>
      <c r="I5482" s="27"/>
    </row>
    <row r="5483" spans="1:9" ht="15.75" thickBot="1" x14ac:dyDescent="0.3">
      <c r="A5483" s="43" t="s">
        <v>11966</v>
      </c>
      <c r="B5483" s="21" t="s">
        <v>11967</v>
      </c>
      <c r="C5483" s="21" t="s">
        <v>22655</v>
      </c>
      <c r="D5483" s="22">
        <v>46046</v>
      </c>
      <c r="E5483" s="23" t="s">
        <v>22656</v>
      </c>
      <c r="F5483" s="24" t="s">
        <v>22657</v>
      </c>
      <c r="G5483" s="25">
        <v>2</v>
      </c>
      <c r="H5483" s="29"/>
      <c r="I5483" s="30"/>
    </row>
    <row r="5484" spans="1:9" ht="15.75" thickBot="1" x14ac:dyDescent="0.3">
      <c r="A5484" s="43" t="s">
        <v>11968</v>
      </c>
      <c r="B5484" s="21" t="s">
        <v>11969</v>
      </c>
      <c r="C5484" s="21" t="s">
        <v>22655</v>
      </c>
      <c r="D5484" s="22">
        <v>46046</v>
      </c>
      <c r="E5484" s="23" t="s">
        <v>22656</v>
      </c>
      <c r="F5484" s="24" t="s">
        <v>22657</v>
      </c>
      <c r="G5484" s="25">
        <v>2</v>
      </c>
      <c r="H5484" s="26"/>
      <c r="I5484" s="27"/>
    </row>
    <row r="5485" spans="1:9" ht="15.75" thickBot="1" x14ac:dyDescent="0.3">
      <c r="A5485" s="43" t="s">
        <v>11970</v>
      </c>
      <c r="B5485" s="21" t="s">
        <v>11971</v>
      </c>
      <c r="C5485" s="21" t="s">
        <v>22655</v>
      </c>
      <c r="D5485" s="22">
        <v>46046</v>
      </c>
      <c r="E5485" s="23" t="s">
        <v>22656</v>
      </c>
      <c r="F5485" s="24" t="s">
        <v>22657</v>
      </c>
      <c r="G5485" s="25">
        <v>2</v>
      </c>
      <c r="H5485" s="29"/>
      <c r="I5485" s="30"/>
    </row>
    <row r="5486" spans="1:9" ht="15.75" thickBot="1" x14ac:dyDescent="0.3">
      <c r="A5486" s="43" t="s">
        <v>11972</v>
      </c>
      <c r="B5486" s="21" t="s">
        <v>11973</v>
      </c>
      <c r="C5486" s="21" t="s">
        <v>22655</v>
      </c>
      <c r="D5486" s="22">
        <v>46046</v>
      </c>
      <c r="E5486" s="23" t="s">
        <v>22656</v>
      </c>
      <c r="F5486" s="24" t="s">
        <v>22657</v>
      </c>
      <c r="G5486" s="25">
        <v>2</v>
      </c>
      <c r="H5486" s="26"/>
      <c r="I5486" s="27"/>
    </row>
    <row r="5487" spans="1:9" ht="15.75" thickBot="1" x14ac:dyDescent="0.3">
      <c r="A5487" s="43" t="s">
        <v>11974</v>
      </c>
      <c r="B5487" s="21" t="s">
        <v>11975</v>
      </c>
      <c r="C5487" s="21" t="s">
        <v>22655</v>
      </c>
      <c r="D5487" s="22">
        <v>46046</v>
      </c>
      <c r="E5487" s="23" t="s">
        <v>22656</v>
      </c>
      <c r="F5487" s="24" t="s">
        <v>22657</v>
      </c>
      <c r="G5487" s="25">
        <v>2</v>
      </c>
      <c r="H5487" s="29"/>
      <c r="I5487" s="30"/>
    </row>
    <row r="5488" spans="1:9" ht="15.75" thickBot="1" x14ac:dyDescent="0.3">
      <c r="A5488" s="43" t="s">
        <v>11976</v>
      </c>
      <c r="B5488" s="21" t="s">
        <v>11977</v>
      </c>
      <c r="C5488" s="21" t="s">
        <v>22684</v>
      </c>
      <c r="D5488" s="22">
        <v>46042</v>
      </c>
      <c r="E5488" s="23" t="s">
        <v>22658</v>
      </c>
      <c r="F5488" s="24" t="s">
        <v>22657</v>
      </c>
      <c r="G5488" s="25">
        <v>7</v>
      </c>
      <c r="H5488" s="26"/>
      <c r="I5488" s="27"/>
    </row>
    <row r="5489" spans="1:9" ht="15.75" thickBot="1" x14ac:dyDescent="0.3">
      <c r="A5489" s="43" t="s">
        <v>11978</v>
      </c>
      <c r="B5489" s="21" t="s">
        <v>11979</v>
      </c>
      <c r="C5489" s="21" t="s">
        <v>22682</v>
      </c>
      <c r="D5489" s="22">
        <v>46034</v>
      </c>
      <c r="E5489" s="23" t="s">
        <v>22656</v>
      </c>
      <c r="F5489" s="24" t="s">
        <v>22657</v>
      </c>
      <c r="G5489" s="25">
        <v>4</v>
      </c>
      <c r="H5489" s="29"/>
      <c r="I5489" s="30"/>
    </row>
    <row r="5490" spans="1:9" ht="15.75" thickBot="1" x14ac:dyDescent="0.3">
      <c r="A5490" s="43" t="s">
        <v>11980</v>
      </c>
      <c r="B5490" s="21" t="s">
        <v>11981</v>
      </c>
      <c r="C5490" s="21" t="s">
        <v>22655</v>
      </c>
      <c r="D5490" s="22">
        <v>46032</v>
      </c>
      <c r="E5490" s="23" t="s">
        <v>22656</v>
      </c>
      <c r="F5490" s="24" t="s">
        <v>22657</v>
      </c>
      <c r="G5490" s="25">
        <v>4</v>
      </c>
      <c r="H5490" s="26"/>
      <c r="I5490" s="27"/>
    </row>
    <row r="5491" spans="1:9" ht="15.75" thickBot="1" x14ac:dyDescent="0.3">
      <c r="A5491" s="43" t="s">
        <v>11982</v>
      </c>
      <c r="B5491" s="21" t="s">
        <v>11983</v>
      </c>
      <c r="C5491" s="21" t="s">
        <v>22655</v>
      </c>
      <c r="D5491" s="22">
        <v>46032</v>
      </c>
      <c r="E5491" s="23" t="s">
        <v>22656</v>
      </c>
      <c r="F5491" s="24" t="s">
        <v>22657</v>
      </c>
      <c r="G5491" s="25">
        <v>4</v>
      </c>
      <c r="H5491" s="29"/>
      <c r="I5491" s="30"/>
    </row>
    <row r="5492" spans="1:9" ht="15.75" thickBot="1" x14ac:dyDescent="0.3">
      <c r="A5492" s="43" t="s">
        <v>11984</v>
      </c>
      <c r="B5492" s="21" t="s">
        <v>11985</v>
      </c>
      <c r="C5492" s="21" t="s">
        <v>22694</v>
      </c>
      <c r="D5492" s="22">
        <v>46046</v>
      </c>
      <c r="E5492" s="23" t="s">
        <v>22656</v>
      </c>
      <c r="F5492" s="24" t="s">
        <v>22657</v>
      </c>
      <c r="G5492" s="25">
        <v>8</v>
      </c>
      <c r="H5492" s="26"/>
      <c r="I5492" s="27"/>
    </row>
    <row r="5493" spans="1:9" ht="15.75" thickBot="1" x14ac:dyDescent="0.3">
      <c r="A5493" s="43" t="s">
        <v>11986</v>
      </c>
      <c r="B5493" s="21" t="s">
        <v>11987</v>
      </c>
      <c r="C5493" s="21" t="s">
        <v>22655</v>
      </c>
      <c r="D5493" s="22">
        <v>46034</v>
      </c>
      <c r="E5493" s="23" t="s">
        <v>22658</v>
      </c>
      <c r="F5493" s="24" t="s">
        <v>22657</v>
      </c>
      <c r="G5493" s="25">
        <v>2</v>
      </c>
      <c r="H5493" s="29"/>
      <c r="I5493" s="30"/>
    </row>
    <row r="5494" spans="1:9" ht="15.75" thickBot="1" x14ac:dyDescent="0.3">
      <c r="A5494" s="43" t="s">
        <v>11988</v>
      </c>
      <c r="B5494" s="21" t="s">
        <v>11989</v>
      </c>
      <c r="C5494" s="21" t="s">
        <v>22694</v>
      </c>
      <c r="D5494" s="22">
        <v>46046</v>
      </c>
      <c r="E5494" s="23" t="s">
        <v>22656</v>
      </c>
      <c r="F5494" s="24" t="s">
        <v>22657</v>
      </c>
      <c r="G5494" s="25">
        <v>8</v>
      </c>
      <c r="H5494" s="26"/>
      <c r="I5494" s="27"/>
    </row>
    <row r="5495" spans="1:9" ht="15.75" thickBot="1" x14ac:dyDescent="0.3">
      <c r="A5495" s="43" t="s">
        <v>11990</v>
      </c>
      <c r="B5495" s="21" t="s">
        <v>11991</v>
      </c>
      <c r="C5495" s="21" t="s">
        <v>22663</v>
      </c>
      <c r="D5495" s="31">
        <v>1</v>
      </c>
      <c r="E5495" s="23" t="s">
        <v>22656</v>
      </c>
      <c r="F5495" s="24" t="s">
        <v>22657</v>
      </c>
      <c r="G5495" s="25">
        <v>15</v>
      </c>
      <c r="H5495" s="32">
        <v>15</v>
      </c>
      <c r="I5495" s="33">
        <v>30</v>
      </c>
    </row>
    <row r="5496" spans="1:9" ht="15.75" thickBot="1" x14ac:dyDescent="0.3">
      <c r="A5496" s="43" t="s">
        <v>11992</v>
      </c>
      <c r="B5496" s="21" t="s">
        <v>11993</v>
      </c>
      <c r="C5496" s="21" t="s">
        <v>22698</v>
      </c>
      <c r="D5496" s="31">
        <v>1</v>
      </c>
      <c r="E5496" s="23" t="s">
        <v>22656</v>
      </c>
      <c r="F5496" s="24" t="s">
        <v>22657</v>
      </c>
      <c r="G5496" s="25">
        <v>7</v>
      </c>
      <c r="H5496" s="26"/>
      <c r="I5496" s="27"/>
    </row>
    <row r="5497" spans="1:9" ht="15.75" thickBot="1" x14ac:dyDescent="0.3">
      <c r="A5497" s="43" t="s">
        <v>1093</v>
      </c>
      <c r="B5497" s="21" t="s">
        <v>1094</v>
      </c>
      <c r="C5497" s="21" t="s">
        <v>22655</v>
      </c>
      <c r="D5497" s="22">
        <v>46032</v>
      </c>
      <c r="E5497" s="23" t="s">
        <v>22665</v>
      </c>
      <c r="F5497" s="24" t="s">
        <v>22657</v>
      </c>
      <c r="G5497" s="25">
        <v>40</v>
      </c>
      <c r="H5497" s="32">
        <v>40</v>
      </c>
      <c r="I5497" s="33">
        <v>60</v>
      </c>
    </row>
    <row r="5498" spans="1:9" ht="15.75" thickBot="1" x14ac:dyDescent="0.3">
      <c r="A5498" s="43" t="s">
        <v>11996</v>
      </c>
      <c r="B5498" s="21" t="s">
        <v>11997</v>
      </c>
      <c r="C5498" s="21" t="s">
        <v>22655</v>
      </c>
      <c r="D5498" s="22">
        <v>46046</v>
      </c>
      <c r="E5498" s="23" t="s">
        <v>22662</v>
      </c>
      <c r="F5498" s="24" t="s">
        <v>22657</v>
      </c>
      <c r="G5498" s="25">
        <v>24</v>
      </c>
      <c r="H5498" s="34">
        <v>24</v>
      </c>
      <c r="I5498" s="35">
        <v>36</v>
      </c>
    </row>
    <row r="5499" spans="1:9" ht="15.75" thickBot="1" x14ac:dyDescent="0.3">
      <c r="A5499" s="43" t="s">
        <v>11994</v>
      </c>
      <c r="B5499" s="21" t="s">
        <v>11995</v>
      </c>
      <c r="C5499" s="21" t="s">
        <v>22727</v>
      </c>
      <c r="D5499" s="31">
        <v>1</v>
      </c>
      <c r="E5499" s="23" t="s">
        <v>22658</v>
      </c>
      <c r="F5499" s="24" t="s">
        <v>22657</v>
      </c>
      <c r="G5499" s="25">
        <v>1</v>
      </c>
      <c r="H5499" s="29"/>
      <c r="I5499" s="30"/>
    </row>
    <row r="5500" spans="1:9" ht="15.75" thickBot="1" x14ac:dyDescent="0.3">
      <c r="A5500" s="43" t="s">
        <v>1203</v>
      </c>
      <c r="B5500" s="21" t="s">
        <v>1204</v>
      </c>
      <c r="C5500" s="21" t="s">
        <v>22655</v>
      </c>
      <c r="D5500" s="22">
        <v>46042</v>
      </c>
      <c r="E5500" s="23" t="s">
        <v>22665</v>
      </c>
      <c r="F5500" s="24" t="s">
        <v>22657</v>
      </c>
      <c r="G5500" s="25">
        <v>20</v>
      </c>
      <c r="H5500" s="34">
        <v>20</v>
      </c>
      <c r="I5500" s="35">
        <v>40</v>
      </c>
    </row>
    <row r="5501" spans="1:9" ht="15.75" thickBot="1" x14ac:dyDescent="0.3">
      <c r="A5501" s="43" t="s">
        <v>11998</v>
      </c>
      <c r="B5501" s="21" t="s">
        <v>11999</v>
      </c>
      <c r="C5501" s="21" t="s">
        <v>22655</v>
      </c>
      <c r="D5501" s="31" t="s">
        <v>22819</v>
      </c>
      <c r="E5501" s="23" t="s">
        <v>22665</v>
      </c>
      <c r="F5501" s="24" t="s">
        <v>22657</v>
      </c>
      <c r="G5501" s="25">
        <v>24</v>
      </c>
      <c r="H5501" s="32">
        <v>24</v>
      </c>
      <c r="I5501" s="33">
        <v>48</v>
      </c>
    </row>
    <row r="5502" spans="1:9" ht="15.75" thickBot="1" x14ac:dyDescent="0.3">
      <c r="A5502" s="43" t="s">
        <v>12000</v>
      </c>
      <c r="B5502" s="21" t="s">
        <v>12001</v>
      </c>
      <c r="C5502" s="21" t="s">
        <v>22655</v>
      </c>
      <c r="D5502" s="31" t="s">
        <v>22819</v>
      </c>
      <c r="E5502" s="23" t="s">
        <v>22656</v>
      </c>
      <c r="F5502" s="24" t="s">
        <v>22657</v>
      </c>
      <c r="G5502" s="25">
        <v>24</v>
      </c>
      <c r="H5502" s="26"/>
      <c r="I5502" s="27"/>
    </row>
    <row r="5503" spans="1:9" ht="15.75" thickBot="1" x14ac:dyDescent="0.3">
      <c r="A5503" s="43" t="s">
        <v>12004</v>
      </c>
      <c r="B5503" s="21" t="s">
        <v>12005</v>
      </c>
      <c r="C5503" s="21" t="s">
        <v>22727</v>
      </c>
      <c r="D5503" s="31">
        <v>1</v>
      </c>
      <c r="E5503" s="23" t="s">
        <v>22658</v>
      </c>
      <c r="F5503" s="24" t="s">
        <v>22657</v>
      </c>
      <c r="G5503" s="25">
        <v>1</v>
      </c>
      <c r="H5503" s="29"/>
      <c r="I5503" s="30"/>
    </row>
    <row r="5504" spans="1:9" ht="15.75" thickBot="1" x14ac:dyDescent="0.3">
      <c r="A5504" s="43" t="s">
        <v>12006</v>
      </c>
      <c r="B5504" s="21" t="s">
        <v>12007</v>
      </c>
      <c r="C5504" s="21" t="s">
        <v>22655</v>
      </c>
      <c r="D5504" s="31" t="s">
        <v>22666</v>
      </c>
      <c r="E5504" s="23" t="s">
        <v>22661</v>
      </c>
      <c r="F5504" s="24" t="s">
        <v>22657</v>
      </c>
      <c r="G5504" s="25">
        <v>20</v>
      </c>
      <c r="H5504" s="26"/>
      <c r="I5504" s="27"/>
    </row>
    <row r="5505" spans="1:9" ht="15.75" thickBot="1" x14ac:dyDescent="0.3">
      <c r="A5505" s="43" t="s">
        <v>12008</v>
      </c>
      <c r="B5505" s="21" t="s">
        <v>12009</v>
      </c>
      <c r="C5505" s="21" t="s">
        <v>22655</v>
      </c>
      <c r="D5505" s="31" t="s">
        <v>22688</v>
      </c>
      <c r="E5505" s="23" t="s">
        <v>22661</v>
      </c>
      <c r="F5505" s="24" t="s">
        <v>22657</v>
      </c>
      <c r="G5505" s="25">
        <v>16</v>
      </c>
      <c r="H5505" s="29"/>
      <c r="I5505" s="30"/>
    </row>
    <row r="5506" spans="1:9" ht="15.75" thickBot="1" x14ac:dyDescent="0.3">
      <c r="A5506" s="43" t="s">
        <v>285</v>
      </c>
      <c r="B5506" s="21" t="s">
        <v>286</v>
      </c>
      <c r="C5506" s="21" t="s">
        <v>22655</v>
      </c>
      <c r="D5506" s="22">
        <v>46032</v>
      </c>
      <c r="E5506" s="23" t="s">
        <v>22665</v>
      </c>
      <c r="F5506" s="24" t="s">
        <v>22657</v>
      </c>
      <c r="G5506" s="25">
        <v>8</v>
      </c>
      <c r="H5506" s="26"/>
      <c r="I5506" s="27"/>
    </row>
    <row r="5507" spans="1:9" ht="15.75" thickBot="1" x14ac:dyDescent="0.3">
      <c r="A5507" s="43" t="s">
        <v>12010</v>
      </c>
      <c r="B5507" s="21" t="s">
        <v>12011</v>
      </c>
      <c r="C5507" s="21" t="s">
        <v>22655</v>
      </c>
      <c r="D5507" s="31" t="s">
        <v>22819</v>
      </c>
      <c r="E5507" s="23" t="s">
        <v>22662</v>
      </c>
      <c r="F5507" s="24" t="s">
        <v>22657</v>
      </c>
      <c r="G5507" s="25">
        <v>24</v>
      </c>
      <c r="H5507" s="32">
        <v>24</v>
      </c>
      <c r="I5507" s="33">
        <v>48</v>
      </c>
    </row>
    <row r="5508" spans="1:9" ht="15.75" thickBot="1" x14ac:dyDescent="0.3">
      <c r="A5508" s="43" t="s">
        <v>12002</v>
      </c>
      <c r="B5508" s="21" t="s">
        <v>22571</v>
      </c>
      <c r="C5508" s="21" t="s">
        <v>22727</v>
      </c>
      <c r="D5508" s="31">
        <v>1</v>
      </c>
      <c r="E5508" s="23" t="s">
        <v>22658</v>
      </c>
      <c r="F5508" s="24" t="s">
        <v>22657</v>
      </c>
      <c r="G5508" s="25">
        <v>1</v>
      </c>
      <c r="H5508" s="26"/>
      <c r="I5508" s="27"/>
    </row>
    <row r="5509" spans="1:9" ht="15.75" thickBot="1" x14ac:dyDescent="0.3">
      <c r="A5509" s="43" t="s">
        <v>329</v>
      </c>
      <c r="B5509" s="21" t="s">
        <v>330</v>
      </c>
      <c r="C5509" s="21" t="s">
        <v>22655</v>
      </c>
      <c r="D5509" s="22">
        <v>46042</v>
      </c>
      <c r="E5509" s="23" t="s">
        <v>22661</v>
      </c>
      <c r="F5509" s="24" t="s">
        <v>22657</v>
      </c>
      <c r="G5509" s="25">
        <v>15</v>
      </c>
      <c r="H5509" s="29"/>
      <c r="I5509" s="30"/>
    </row>
    <row r="5510" spans="1:9" ht="15.75" thickBot="1" x14ac:dyDescent="0.3">
      <c r="A5510" s="43" t="s">
        <v>617</v>
      </c>
      <c r="B5510" s="21" t="s">
        <v>618</v>
      </c>
      <c r="C5510" s="21" t="s">
        <v>22655</v>
      </c>
      <c r="D5510" s="31" t="s">
        <v>22688</v>
      </c>
      <c r="E5510" s="23" t="s">
        <v>22665</v>
      </c>
      <c r="F5510" s="24" t="s">
        <v>22657</v>
      </c>
      <c r="G5510" s="25">
        <v>14</v>
      </c>
      <c r="H5510" s="26"/>
      <c r="I5510" s="27"/>
    </row>
    <row r="5511" spans="1:9" ht="15.75" thickBot="1" x14ac:dyDescent="0.3">
      <c r="A5511" s="43" t="s">
        <v>12012</v>
      </c>
      <c r="B5511" s="21" t="s">
        <v>12013</v>
      </c>
      <c r="C5511" s="21" t="s">
        <v>22655</v>
      </c>
      <c r="D5511" s="31" t="s">
        <v>22666</v>
      </c>
      <c r="E5511" s="23" t="s">
        <v>22662</v>
      </c>
      <c r="F5511" s="24" t="s">
        <v>22657</v>
      </c>
      <c r="G5511" s="25">
        <v>24</v>
      </c>
      <c r="H5511" s="32">
        <v>24</v>
      </c>
      <c r="I5511" s="33">
        <v>48</v>
      </c>
    </row>
    <row r="5512" spans="1:9" ht="15.75" thickBot="1" x14ac:dyDescent="0.3">
      <c r="A5512" s="43" t="s">
        <v>705</v>
      </c>
      <c r="B5512" s="21" t="s">
        <v>706</v>
      </c>
      <c r="C5512" s="21" t="s">
        <v>22655</v>
      </c>
      <c r="D5512" s="22">
        <v>46040</v>
      </c>
      <c r="E5512" s="23" t="s">
        <v>22665</v>
      </c>
      <c r="F5512" s="24" t="s">
        <v>22657</v>
      </c>
      <c r="G5512" s="25">
        <v>14</v>
      </c>
      <c r="H5512" s="26"/>
      <c r="I5512" s="27"/>
    </row>
    <row r="5513" spans="1:9" ht="15.75" thickBot="1" x14ac:dyDescent="0.3">
      <c r="A5513" s="43" t="s">
        <v>1085</v>
      </c>
      <c r="B5513" s="21" t="s">
        <v>1086</v>
      </c>
      <c r="C5513" s="21" t="s">
        <v>22655</v>
      </c>
      <c r="D5513" s="22">
        <v>46046</v>
      </c>
      <c r="E5513" s="23" t="s">
        <v>22661</v>
      </c>
      <c r="F5513" s="24" t="s">
        <v>22657</v>
      </c>
      <c r="G5513" s="25">
        <v>24</v>
      </c>
      <c r="H5513" s="32">
        <v>24</v>
      </c>
      <c r="I5513" s="33">
        <v>48</v>
      </c>
    </row>
    <row r="5514" spans="1:9" ht="15.75" thickBot="1" x14ac:dyDescent="0.3">
      <c r="A5514" s="43" t="s">
        <v>1509</v>
      </c>
      <c r="B5514" s="21" t="s">
        <v>1510</v>
      </c>
      <c r="C5514" s="21" t="s">
        <v>22655</v>
      </c>
      <c r="D5514" s="31" t="s">
        <v>22666</v>
      </c>
      <c r="E5514" s="23" t="s">
        <v>22665</v>
      </c>
      <c r="F5514" s="24" t="s">
        <v>22657</v>
      </c>
      <c r="G5514" s="25">
        <v>24</v>
      </c>
      <c r="H5514" s="34">
        <v>24</v>
      </c>
      <c r="I5514" s="35">
        <v>48</v>
      </c>
    </row>
    <row r="5515" spans="1:9" ht="15.75" thickBot="1" x14ac:dyDescent="0.3">
      <c r="A5515" s="43" t="s">
        <v>1551</v>
      </c>
      <c r="B5515" s="21" t="s">
        <v>1552</v>
      </c>
      <c r="C5515" s="21" t="s">
        <v>22655</v>
      </c>
      <c r="D5515" s="31" t="s">
        <v>22688</v>
      </c>
      <c r="E5515" s="23" t="s">
        <v>22665</v>
      </c>
      <c r="F5515" s="24" t="s">
        <v>22657</v>
      </c>
      <c r="G5515" s="25">
        <v>24</v>
      </c>
      <c r="H5515" s="32">
        <v>24</v>
      </c>
      <c r="I5515" s="33">
        <v>48</v>
      </c>
    </row>
    <row r="5516" spans="1:9" ht="15.75" thickBot="1" x14ac:dyDescent="0.3">
      <c r="A5516" s="43" t="s">
        <v>9726</v>
      </c>
      <c r="B5516" s="21" t="s">
        <v>22572</v>
      </c>
      <c r="C5516" s="21" t="s">
        <v>22709</v>
      </c>
      <c r="D5516" s="31">
        <v>1</v>
      </c>
      <c r="E5516" s="23" t="s">
        <v>22658</v>
      </c>
      <c r="F5516" s="28" t="s">
        <v>22659</v>
      </c>
      <c r="G5516" s="25">
        <v>1</v>
      </c>
      <c r="H5516" s="26"/>
      <c r="I5516" s="27"/>
    </row>
    <row r="5517" spans="1:9" ht="15.75" thickBot="1" x14ac:dyDescent="0.3">
      <c r="A5517" s="43" t="s">
        <v>12014</v>
      </c>
      <c r="B5517" s="21" t="s">
        <v>12015</v>
      </c>
      <c r="C5517" s="21" t="s">
        <v>22663</v>
      </c>
      <c r="D5517" s="31">
        <v>1</v>
      </c>
      <c r="E5517" s="23" t="s">
        <v>22658</v>
      </c>
      <c r="F5517" s="24" t="s">
        <v>22657</v>
      </c>
      <c r="G5517" s="25">
        <v>1</v>
      </c>
      <c r="H5517" s="29"/>
      <c r="I5517" s="30"/>
    </row>
    <row r="5518" spans="1:9" ht="15.75" thickBot="1" x14ac:dyDescent="0.3">
      <c r="A5518" s="43" t="s">
        <v>12016</v>
      </c>
      <c r="B5518" s="21" t="s">
        <v>12017</v>
      </c>
      <c r="C5518" s="21" t="s">
        <v>22760</v>
      </c>
      <c r="D5518" s="22">
        <v>46032</v>
      </c>
      <c r="E5518" s="23" t="s">
        <v>22656</v>
      </c>
      <c r="F5518" s="24" t="s">
        <v>22657</v>
      </c>
      <c r="G5518" s="25">
        <v>4</v>
      </c>
      <c r="H5518" s="26"/>
      <c r="I5518" s="27"/>
    </row>
    <row r="5519" spans="1:9" ht="15.75" thickBot="1" x14ac:dyDescent="0.3">
      <c r="A5519" s="43" t="s">
        <v>1894</v>
      </c>
      <c r="B5519" s="21" t="s">
        <v>1895</v>
      </c>
      <c r="C5519" s="21" t="s">
        <v>22655</v>
      </c>
      <c r="D5519" s="22">
        <v>46032</v>
      </c>
      <c r="E5519" s="23" t="s">
        <v>22665</v>
      </c>
      <c r="F5519" s="24" t="s">
        <v>22657</v>
      </c>
      <c r="G5519" s="25">
        <v>20</v>
      </c>
      <c r="H5519" s="32">
        <v>20</v>
      </c>
      <c r="I5519" s="33">
        <v>60</v>
      </c>
    </row>
    <row r="5520" spans="1:9" ht="15.75" thickBot="1" x14ac:dyDescent="0.3">
      <c r="A5520" s="43" t="s">
        <v>1731</v>
      </c>
      <c r="B5520" s="21" t="s">
        <v>12020</v>
      </c>
      <c r="C5520" s="21" t="s">
        <v>22655</v>
      </c>
      <c r="D5520" s="22">
        <v>46032</v>
      </c>
      <c r="E5520" s="23" t="s">
        <v>22661</v>
      </c>
      <c r="F5520" s="24" t="s">
        <v>22657</v>
      </c>
      <c r="G5520" s="25">
        <v>9</v>
      </c>
      <c r="H5520" s="26"/>
      <c r="I5520" s="27"/>
    </row>
    <row r="5521" spans="1:9" ht="15.75" thickBot="1" x14ac:dyDescent="0.3">
      <c r="A5521" s="43" t="s">
        <v>12018</v>
      </c>
      <c r="B5521" s="21" t="s">
        <v>22573</v>
      </c>
      <c r="C5521" s="21" t="s">
        <v>22655</v>
      </c>
      <c r="D5521" s="22">
        <v>46032</v>
      </c>
      <c r="E5521" s="23" t="s">
        <v>22656</v>
      </c>
      <c r="F5521" s="24" t="s">
        <v>22657</v>
      </c>
      <c r="G5521" s="25">
        <v>4</v>
      </c>
      <c r="H5521" s="29"/>
      <c r="I5521" s="30"/>
    </row>
    <row r="5522" spans="1:9" ht="15.75" thickBot="1" x14ac:dyDescent="0.3">
      <c r="A5522" s="43" t="s">
        <v>12021</v>
      </c>
      <c r="B5522" s="21" t="s">
        <v>12022</v>
      </c>
      <c r="C5522" s="21" t="s">
        <v>22663</v>
      </c>
      <c r="D5522" s="31">
        <v>1</v>
      </c>
      <c r="E5522" s="23" t="s">
        <v>22656</v>
      </c>
      <c r="F5522" s="24" t="s">
        <v>22657</v>
      </c>
      <c r="G5522" s="25">
        <v>4</v>
      </c>
      <c r="H5522" s="26"/>
      <c r="I5522" s="27"/>
    </row>
    <row r="5523" spans="1:9" ht="15.75" thickBot="1" x14ac:dyDescent="0.3">
      <c r="A5523" s="43" t="s">
        <v>12023</v>
      </c>
      <c r="B5523" s="21" t="s">
        <v>12024</v>
      </c>
      <c r="C5523" s="21" t="s">
        <v>22663</v>
      </c>
      <c r="D5523" s="31">
        <v>1</v>
      </c>
      <c r="E5523" s="23" t="s">
        <v>22656</v>
      </c>
      <c r="F5523" s="24" t="s">
        <v>22657</v>
      </c>
      <c r="G5523" s="25">
        <v>4</v>
      </c>
      <c r="H5523" s="29"/>
      <c r="I5523" s="30"/>
    </row>
    <row r="5524" spans="1:9" ht="15.75" thickBot="1" x14ac:dyDescent="0.3">
      <c r="A5524" s="43" t="s">
        <v>12025</v>
      </c>
      <c r="B5524" s="21" t="s">
        <v>12026</v>
      </c>
      <c r="C5524" s="21" t="s">
        <v>22663</v>
      </c>
      <c r="D5524" s="31">
        <v>1</v>
      </c>
      <c r="E5524" s="23" t="s">
        <v>22656</v>
      </c>
      <c r="F5524" s="24" t="s">
        <v>22657</v>
      </c>
      <c r="G5524" s="25">
        <v>4</v>
      </c>
      <c r="H5524" s="26"/>
      <c r="I5524" s="27"/>
    </row>
    <row r="5525" spans="1:9" ht="15.75" thickBot="1" x14ac:dyDescent="0.3">
      <c r="A5525" s="43" t="s">
        <v>12029</v>
      </c>
      <c r="B5525" s="21" t="s">
        <v>12030</v>
      </c>
      <c r="C5525" s="21" t="s">
        <v>22663</v>
      </c>
      <c r="D5525" s="31">
        <v>1</v>
      </c>
      <c r="E5525" s="23" t="s">
        <v>22661</v>
      </c>
      <c r="F5525" s="24" t="s">
        <v>22657</v>
      </c>
      <c r="G5525" s="25">
        <v>3</v>
      </c>
      <c r="H5525" s="29"/>
      <c r="I5525" s="30"/>
    </row>
    <row r="5526" spans="1:9" ht="15.75" thickBot="1" x14ac:dyDescent="0.3">
      <c r="A5526" s="43" t="s">
        <v>1599</v>
      </c>
      <c r="B5526" s="21" t="s">
        <v>1600</v>
      </c>
      <c r="C5526" s="21" t="s">
        <v>22709</v>
      </c>
      <c r="D5526" s="31">
        <v>1</v>
      </c>
      <c r="E5526" s="23" t="s">
        <v>22656</v>
      </c>
      <c r="F5526" s="24" t="s">
        <v>22657</v>
      </c>
      <c r="G5526" s="25">
        <v>2</v>
      </c>
      <c r="H5526" s="34">
        <v>2</v>
      </c>
      <c r="I5526" s="35">
        <v>4</v>
      </c>
    </row>
    <row r="5527" spans="1:9" ht="15.75" thickBot="1" x14ac:dyDescent="0.3">
      <c r="A5527" s="43" t="s">
        <v>1737</v>
      </c>
      <c r="B5527" s="21" t="s">
        <v>12031</v>
      </c>
      <c r="C5527" s="21" t="s">
        <v>22698</v>
      </c>
      <c r="D5527" s="31">
        <v>1</v>
      </c>
      <c r="E5527" s="23" t="s">
        <v>22665</v>
      </c>
      <c r="F5527" s="24" t="s">
        <v>22657</v>
      </c>
      <c r="G5527" s="25">
        <v>15</v>
      </c>
      <c r="H5527" s="32">
        <v>15</v>
      </c>
      <c r="I5527" s="33">
        <v>30</v>
      </c>
    </row>
    <row r="5528" spans="1:9" ht="15.75" thickBot="1" x14ac:dyDescent="0.3">
      <c r="A5528" s="43" t="s">
        <v>12032</v>
      </c>
      <c r="B5528" s="21" t="s">
        <v>12033</v>
      </c>
      <c r="C5528" s="21" t="s">
        <v>22663</v>
      </c>
      <c r="D5528" s="31">
        <v>1</v>
      </c>
      <c r="E5528" s="23" t="s">
        <v>22656</v>
      </c>
      <c r="F5528" s="24" t="s">
        <v>22657</v>
      </c>
      <c r="G5528" s="25">
        <v>9</v>
      </c>
      <c r="H5528" s="26"/>
      <c r="I5528" s="27"/>
    </row>
    <row r="5529" spans="1:9" ht="15.75" thickBot="1" x14ac:dyDescent="0.3">
      <c r="A5529" s="43" t="s">
        <v>947</v>
      </c>
      <c r="B5529" s="21" t="s">
        <v>948</v>
      </c>
      <c r="C5529" s="21" t="s">
        <v>22709</v>
      </c>
      <c r="D5529" s="31">
        <v>1</v>
      </c>
      <c r="E5529" s="23" t="s">
        <v>22656</v>
      </c>
      <c r="F5529" s="24" t="s">
        <v>22657</v>
      </c>
      <c r="G5529" s="25">
        <v>1</v>
      </c>
      <c r="H5529" s="32">
        <v>1</v>
      </c>
      <c r="I5529" s="33">
        <v>2</v>
      </c>
    </row>
    <row r="5530" spans="1:9" ht="15.75" thickBot="1" x14ac:dyDescent="0.3">
      <c r="A5530" s="43" t="s">
        <v>943</v>
      </c>
      <c r="B5530" s="21" t="s">
        <v>12034</v>
      </c>
      <c r="C5530" s="21" t="s">
        <v>22698</v>
      </c>
      <c r="D5530" s="31">
        <v>1</v>
      </c>
      <c r="E5530" s="23" t="s">
        <v>22661</v>
      </c>
      <c r="F5530" s="24" t="s">
        <v>22657</v>
      </c>
      <c r="G5530" s="25">
        <v>12</v>
      </c>
      <c r="H5530" s="34">
        <v>12</v>
      </c>
      <c r="I5530" s="35">
        <v>15</v>
      </c>
    </row>
    <row r="5531" spans="1:9" ht="15.75" thickBot="1" x14ac:dyDescent="0.3">
      <c r="A5531" s="43" t="s">
        <v>22574</v>
      </c>
      <c r="B5531" s="21" t="s">
        <v>22575</v>
      </c>
      <c r="C5531" s="36" t="e">
        <v>#N/A</v>
      </c>
      <c r="D5531" s="37" t="e">
        <v>#N/A</v>
      </c>
      <c r="E5531" s="23" t="e">
        <v>#N/A</v>
      </c>
      <c r="F5531" s="24" t="s">
        <v>22657</v>
      </c>
      <c r="G5531" s="25" t="e">
        <v>#N/A</v>
      </c>
      <c r="H5531" s="29"/>
      <c r="I5531" s="30"/>
    </row>
    <row r="5532" spans="1:9" ht="15.75" thickBot="1" x14ac:dyDescent="0.3">
      <c r="A5532" s="43" t="s">
        <v>12035</v>
      </c>
      <c r="B5532" s="21" t="s">
        <v>12036</v>
      </c>
      <c r="C5532" s="21" t="s">
        <v>22655</v>
      </c>
      <c r="D5532" s="31" t="s">
        <v>22688</v>
      </c>
      <c r="E5532" s="23" t="s">
        <v>22658</v>
      </c>
      <c r="F5532" s="24" t="s">
        <v>22657</v>
      </c>
      <c r="G5532" s="25">
        <v>4</v>
      </c>
      <c r="H5532" s="26"/>
      <c r="I5532" s="27"/>
    </row>
    <row r="5533" spans="1:9" ht="15.75" thickBot="1" x14ac:dyDescent="0.3">
      <c r="A5533" s="43" t="s">
        <v>12037</v>
      </c>
      <c r="B5533" s="21" t="s">
        <v>12038</v>
      </c>
      <c r="C5533" s="21" t="s">
        <v>22672</v>
      </c>
      <c r="D5533" s="22">
        <v>46024</v>
      </c>
      <c r="E5533" s="23" t="s">
        <v>22658</v>
      </c>
      <c r="F5533" s="24" t="s">
        <v>22657</v>
      </c>
      <c r="G5533" s="25">
        <v>1</v>
      </c>
      <c r="H5533" s="29"/>
      <c r="I5533" s="30"/>
    </row>
    <row r="5534" spans="1:9" ht="15.75" thickBot="1" x14ac:dyDescent="0.3">
      <c r="A5534" s="43" t="s">
        <v>12039</v>
      </c>
      <c r="B5534" s="21" t="s">
        <v>12040</v>
      </c>
      <c r="C5534" s="21" t="s">
        <v>22655</v>
      </c>
      <c r="D5534" s="31" t="s">
        <v>22688</v>
      </c>
      <c r="E5534" s="23" t="s">
        <v>22656</v>
      </c>
      <c r="F5534" s="24" t="s">
        <v>22657</v>
      </c>
      <c r="G5534" s="25">
        <v>4</v>
      </c>
      <c r="H5534" s="26"/>
      <c r="I5534" s="27"/>
    </row>
    <row r="5535" spans="1:9" ht="15.75" thickBot="1" x14ac:dyDescent="0.3">
      <c r="A5535" s="43" t="s">
        <v>12041</v>
      </c>
      <c r="B5535" s="21" t="s">
        <v>12042</v>
      </c>
      <c r="C5535" s="21" t="s">
        <v>22667</v>
      </c>
      <c r="D5535" s="31" t="s">
        <v>22701</v>
      </c>
      <c r="E5535" s="23" t="s">
        <v>22656</v>
      </c>
      <c r="F5535" s="24" t="s">
        <v>22657</v>
      </c>
      <c r="G5535" s="25">
        <v>7</v>
      </c>
      <c r="H5535" s="29"/>
      <c r="I5535" s="30"/>
    </row>
    <row r="5536" spans="1:9" ht="15.75" thickBot="1" x14ac:dyDescent="0.3">
      <c r="A5536" s="43" t="s">
        <v>12043</v>
      </c>
      <c r="B5536" s="21" t="s">
        <v>12044</v>
      </c>
      <c r="C5536" s="21" t="s">
        <v>22667</v>
      </c>
      <c r="D5536" s="31" t="s">
        <v>22701</v>
      </c>
      <c r="E5536" s="23" t="s">
        <v>22656</v>
      </c>
      <c r="F5536" s="24" t="s">
        <v>22657</v>
      </c>
      <c r="G5536" s="25">
        <v>7</v>
      </c>
      <c r="H5536" s="26"/>
      <c r="I5536" s="27"/>
    </row>
    <row r="5537" spans="1:9" ht="15.75" thickBot="1" x14ac:dyDescent="0.3">
      <c r="A5537" s="43" t="s">
        <v>12045</v>
      </c>
      <c r="B5537" s="21" t="s">
        <v>12046</v>
      </c>
      <c r="C5537" s="21" t="s">
        <v>22667</v>
      </c>
      <c r="D5537" s="31" t="s">
        <v>22701</v>
      </c>
      <c r="E5537" s="23" t="s">
        <v>22656</v>
      </c>
      <c r="F5537" s="24" t="s">
        <v>22657</v>
      </c>
      <c r="G5537" s="25">
        <v>7</v>
      </c>
      <c r="H5537" s="29"/>
      <c r="I5537" s="30"/>
    </row>
    <row r="5538" spans="1:9" ht="15.75" thickBot="1" x14ac:dyDescent="0.3">
      <c r="A5538" s="43" t="s">
        <v>12047</v>
      </c>
      <c r="B5538" s="21" t="s">
        <v>12048</v>
      </c>
      <c r="C5538" s="21" t="s">
        <v>22655</v>
      </c>
      <c r="D5538" s="22">
        <v>46046</v>
      </c>
      <c r="E5538" s="23" t="s">
        <v>22656</v>
      </c>
      <c r="F5538" s="24" t="s">
        <v>22657</v>
      </c>
      <c r="G5538" s="25">
        <v>8</v>
      </c>
      <c r="H5538" s="26"/>
      <c r="I5538" s="27"/>
    </row>
    <row r="5539" spans="1:9" ht="15.75" thickBot="1" x14ac:dyDescent="0.3">
      <c r="A5539" s="43" t="s">
        <v>12049</v>
      </c>
      <c r="B5539" s="21" t="s">
        <v>12050</v>
      </c>
      <c r="C5539" s="21" t="s">
        <v>22655</v>
      </c>
      <c r="D5539" s="22">
        <v>46046</v>
      </c>
      <c r="E5539" s="23" t="s">
        <v>22658</v>
      </c>
      <c r="F5539" s="24" t="s">
        <v>22657</v>
      </c>
      <c r="G5539" s="25">
        <v>8</v>
      </c>
      <c r="H5539" s="29"/>
      <c r="I5539" s="30"/>
    </row>
    <row r="5540" spans="1:9" ht="15.75" thickBot="1" x14ac:dyDescent="0.3">
      <c r="A5540" s="43" t="s">
        <v>22576</v>
      </c>
      <c r="B5540" s="21" t="s">
        <v>22577</v>
      </c>
      <c r="C5540" s="36" t="e">
        <v>#N/A</v>
      </c>
      <c r="D5540" s="37" t="e">
        <v>#N/A</v>
      </c>
      <c r="E5540" s="23" t="e">
        <v>#N/A</v>
      </c>
      <c r="F5540" s="24" t="s">
        <v>22657</v>
      </c>
      <c r="G5540" s="25" t="e">
        <v>#N/A</v>
      </c>
      <c r="H5540" s="26"/>
      <c r="I5540" s="27"/>
    </row>
    <row r="5541" spans="1:9" ht="15.75" thickBot="1" x14ac:dyDescent="0.3">
      <c r="A5541" s="43" t="s">
        <v>12051</v>
      </c>
      <c r="B5541" s="21" t="s">
        <v>12052</v>
      </c>
      <c r="C5541" s="21" t="s">
        <v>22655</v>
      </c>
      <c r="D5541" s="22">
        <v>46046</v>
      </c>
      <c r="E5541" s="23" t="s">
        <v>22656</v>
      </c>
      <c r="F5541" s="24" t="s">
        <v>22657</v>
      </c>
      <c r="G5541" s="25">
        <v>8</v>
      </c>
      <c r="H5541" s="29"/>
      <c r="I5541" s="30"/>
    </row>
    <row r="5542" spans="1:9" ht="15.75" thickBot="1" x14ac:dyDescent="0.3">
      <c r="A5542" s="43" t="s">
        <v>880</v>
      </c>
      <c r="B5542" s="21" t="s">
        <v>881</v>
      </c>
      <c r="C5542" s="21" t="s">
        <v>22655</v>
      </c>
      <c r="D5542" s="22">
        <v>46034</v>
      </c>
      <c r="E5542" s="23" t="s">
        <v>22662</v>
      </c>
      <c r="F5542" s="24" t="s">
        <v>22657</v>
      </c>
      <c r="G5542" s="25">
        <v>24</v>
      </c>
      <c r="H5542" s="34">
        <v>24</v>
      </c>
      <c r="I5542" s="35">
        <v>48</v>
      </c>
    </row>
    <row r="5543" spans="1:9" ht="15.75" thickBot="1" x14ac:dyDescent="0.3">
      <c r="A5543" s="43" t="s">
        <v>12053</v>
      </c>
      <c r="B5543" s="21" t="s">
        <v>12054</v>
      </c>
      <c r="C5543" s="21" t="s">
        <v>22655</v>
      </c>
      <c r="D5543" s="22">
        <v>46034</v>
      </c>
      <c r="E5543" s="23" t="s">
        <v>22656</v>
      </c>
      <c r="F5543" s="24" t="s">
        <v>22657</v>
      </c>
      <c r="G5543" s="25">
        <v>4</v>
      </c>
      <c r="H5543" s="29"/>
      <c r="I5543" s="30"/>
    </row>
    <row r="5544" spans="1:9" ht="15.75" thickBot="1" x14ac:dyDescent="0.3">
      <c r="A5544" s="43" t="s">
        <v>12055</v>
      </c>
      <c r="B5544" s="21" t="s">
        <v>12056</v>
      </c>
      <c r="C5544" s="21" t="s">
        <v>22655</v>
      </c>
      <c r="D5544" s="22">
        <v>46034</v>
      </c>
      <c r="E5544" s="23" t="s">
        <v>22656</v>
      </c>
      <c r="F5544" s="24" t="s">
        <v>22657</v>
      </c>
      <c r="G5544" s="25">
        <v>6</v>
      </c>
      <c r="H5544" s="34">
        <v>6</v>
      </c>
      <c r="I5544" s="35">
        <v>12</v>
      </c>
    </row>
    <row r="5545" spans="1:9" ht="15.75" thickBot="1" x14ac:dyDescent="0.3">
      <c r="A5545" s="43" t="s">
        <v>12057</v>
      </c>
      <c r="B5545" s="21" t="s">
        <v>12058</v>
      </c>
      <c r="C5545" s="21" t="s">
        <v>22655</v>
      </c>
      <c r="D5545" s="22">
        <v>46034</v>
      </c>
      <c r="E5545" s="23" t="s">
        <v>22656</v>
      </c>
      <c r="F5545" s="24" t="s">
        <v>22657</v>
      </c>
      <c r="G5545" s="25">
        <v>4</v>
      </c>
      <c r="H5545" s="29"/>
      <c r="I5545" s="30"/>
    </row>
    <row r="5546" spans="1:9" ht="15.75" thickBot="1" x14ac:dyDescent="0.3">
      <c r="A5546" s="43" t="s">
        <v>12059</v>
      </c>
      <c r="B5546" s="21" t="s">
        <v>12060</v>
      </c>
      <c r="C5546" s="21" t="s">
        <v>22655</v>
      </c>
      <c r="D5546" s="22">
        <v>46034</v>
      </c>
      <c r="E5546" s="23" t="s">
        <v>22656</v>
      </c>
      <c r="F5546" s="24" t="s">
        <v>22657</v>
      </c>
      <c r="G5546" s="25">
        <v>4</v>
      </c>
      <c r="H5546" s="26"/>
      <c r="I5546" s="27"/>
    </row>
    <row r="5547" spans="1:9" ht="15.75" thickBot="1" x14ac:dyDescent="0.3">
      <c r="A5547" s="43" t="s">
        <v>12061</v>
      </c>
      <c r="B5547" s="21" t="s">
        <v>12062</v>
      </c>
      <c r="C5547" s="21" t="s">
        <v>22655</v>
      </c>
      <c r="D5547" s="22">
        <v>46034</v>
      </c>
      <c r="E5547" s="23" t="s">
        <v>22656</v>
      </c>
      <c r="F5547" s="24" t="s">
        <v>22657</v>
      </c>
      <c r="G5547" s="25">
        <v>4</v>
      </c>
      <c r="H5547" s="29"/>
      <c r="I5547" s="30"/>
    </row>
    <row r="5548" spans="1:9" ht="15.75" thickBot="1" x14ac:dyDescent="0.3">
      <c r="A5548" s="43" t="s">
        <v>12063</v>
      </c>
      <c r="B5548" s="21" t="s">
        <v>12064</v>
      </c>
      <c r="C5548" s="21" t="s">
        <v>22655</v>
      </c>
      <c r="D5548" s="22">
        <v>46046</v>
      </c>
      <c r="E5548" s="23" t="s">
        <v>22656</v>
      </c>
      <c r="F5548" s="24" t="s">
        <v>22657</v>
      </c>
      <c r="G5548" s="25">
        <v>4</v>
      </c>
      <c r="H5548" s="34">
        <v>4</v>
      </c>
      <c r="I5548" s="35">
        <v>6</v>
      </c>
    </row>
    <row r="5549" spans="1:9" ht="15.75" thickBot="1" x14ac:dyDescent="0.3">
      <c r="A5549" s="43" t="s">
        <v>175</v>
      </c>
      <c r="B5549" s="21" t="s">
        <v>176</v>
      </c>
      <c r="C5549" s="21" t="s">
        <v>22655</v>
      </c>
      <c r="D5549" s="22">
        <v>46034</v>
      </c>
      <c r="E5549" s="23" t="s">
        <v>22656</v>
      </c>
      <c r="F5549" s="24" t="s">
        <v>22657</v>
      </c>
      <c r="G5549" s="25">
        <v>4</v>
      </c>
      <c r="H5549" s="29"/>
      <c r="I5549" s="30"/>
    </row>
    <row r="5550" spans="1:9" ht="15.75" thickBot="1" x14ac:dyDescent="0.3">
      <c r="A5550" s="43" t="s">
        <v>12065</v>
      </c>
      <c r="B5550" s="21" t="s">
        <v>12066</v>
      </c>
      <c r="C5550" s="21" t="s">
        <v>22655</v>
      </c>
      <c r="D5550" s="22">
        <v>46046</v>
      </c>
      <c r="E5550" s="23" t="s">
        <v>22656</v>
      </c>
      <c r="F5550" s="24" t="s">
        <v>22657</v>
      </c>
      <c r="G5550" s="25">
        <v>8</v>
      </c>
      <c r="H5550" s="26"/>
      <c r="I5550" s="27"/>
    </row>
    <row r="5551" spans="1:9" ht="15.75" thickBot="1" x14ac:dyDescent="0.3">
      <c r="A5551" s="43" t="s">
        <v>12067</v>
      </c>
      <c r="B5551" s="21" t="s">
        <v>12068</v>
      </c>
      <c r="C5551" s="21" t="s">
        <v>22655</v>
      </c>
      <c r="D5551" s="31" t="s">
        <v>22669</v>
      </c>
      <c r="E5551" s="23" t="s">
        <v>22656</v>
      </c>
      <c r="F5551" s="24" t="s">
        <v>22657</v>
      </c>
      <c r="G5551" s="25">
        <v>4</v>
      </c>
      <c r="H5551" s="29"/>
      <c r="I5551" s="30"/>
    </row>
    <row r="5552" spans="1:9" ht="15.75" thickBot="1" x14ac:dyDescent="0.3">
      <c r="A5552" s="43" t="s">
        <v>12069</v>
      </c>
      <c r="B5552" s="21" t="s">
        <v>12070</v>
      </c>
      <c r="C5552" s="21" t="s">
        <v>22655</v>
      </c>
      <c r="D5552" s="22">
        <v>46046</v>
      </c>
      <c r="E5552" s="23" t="s">
        <v>22656</v>
      </c>
      <c r="F5552" s="24" t="s">
        <v>22657</v>
      </c>
      <c r="G5552" s="25">
        <v>8</v>
      </c>
      <c r="H5552" s="26"/>
      <c r="I5552" s="27"/>
    </row>
    <row r="5553" spans="1:9" ht="15.75" thickBot="1" x14ac:dyDescent="0.3">
      <c r="A5553" s="43" t="s">
        <v>12071</v>
      </c>
      <c r="B5553" s="21" t="s">
        <v>12072</v>
      </c>
      <c r="C5553" s="21" t="s">
        <v>22655</v>
      </c>
      <c r="D5553" s="22">
        <v>46046</v>
      </c>
      <c r="E5553" s="23" t="s">
        <v>22656</v>
      </c>
      <c r="F5553" s="24" t="s">
        <v>22657</v>
      </c>
      <c r="G5553" s="25">
        <v>8</v>
      </c>
      <c r="H5553" s="29"/>
      <c r="I5553" s="30"/>
    </row>
    <row r="5554" spans="1:9" ht="15.75" thickBot="1" x14ac:dyDescent="0.3">
      <c r="A5554" s="43" t="s">
        <v>625</v>
      </c>
      <c r="B5554" s="21" t="s">
        <v>626</v>
      </c>
      <c r="C5554" s="21" t="s">
        <v>22655</v>
      </c>
      <c r="D5554" s="22">
        <v>46034</v>
      </c>
      <c r="E5554" s="23" t="s">
        <v>22662</v>
      </c>
      <c r="F5554" s="24" t="s">
        <v>22657</v>
      </c>
      <c r="G5554" s="25">
        <v>72</v>
      </c>
      <c r="H5554" s="34">
        <v>72</v>
      </c>
      <c r="I5554" s="35">
        <v>180</v>
      </c>
    </row>
    <row r="5555" spans="1:9" ht="15.75" thickBot="1" x14ac:dyDescent="0.3">
      <c r="A5555" s="43" t="s">
        <v>12073</v>
      </c>
      <c r="B5555" s="21" t="s">
        <v>12074</v>
      </c>
      <c r="C5555" s="21" t="s">
        <v>22655</v>
      </c>
      <c r="D5555" s="22">
        <v>46046</v>
      </c>
      <c r="E5555" s="23" t="s">
        <v>22661</v>
      </c>
      <c r="F5555" s="24" t="s">
        <v>22657</v>
      </c>
      <c r="G5555" s="25">
        <v>9</v>
      </c>
      <c r="H5555" s="29"/>
      <c r="I5555" s="30"/>
    </row>
    <row r="5556" spans="1:9" ht="15.75" thickBot="1" x14ac:dyDescent="0.3">
      <c r="A5556" s="43" t="s">
        <v>245</v>
      </c>
      <c r="B5556" s="21" t="s">
        <v>246</v>
      </c>
      <c r="C5556" s="21" t="s">
        <v>22655</v>
      </c>
      <c r="D5556" s="22">
        <v>46046</v>
      </c>
      <c r="E5556" s="23" t="s">
        <v>22665</v>
      </c>
      <c r="F5556" s="24" t="s">
        <v>22657</v>
      </c>
      <c r="G5556" s="25">
        <v>10</v>
      </c>
      <c r="H5556" s="26"/>
      <c r="I5556" s="27"/>
    </row>
    <row r="5557" spans="1:9" ht="15.75" thickBot="1" x14ac:dyDescent="0.3">
      <c r="A5557" s="43" t="s">
        <v>12075</v>
      </c>
      <c r="B5557" s="21" t="s">
        <v>12076</v>
      </c>
      <c r="C5557" s="21" t="s">
        <v>22682</v>
      </c>
      <c r="D5557" s="22">
        <v>46034</v>
      </c>
      <c r="E5557" s="23" t="s">
        <v>22658</v>
      </c>
      <c r="F5557" s="24" t="s">
        <v>22657</v>
      </c>
      <c r="G5557" s="25">
        <v>1</v>
      </c>
      <c r="H5557" s="29"/>
      <c r="I5557" s="30"/>
    </row>
    <row r="5558" spans="1:9" ht="15.75" thickBot="1" x14ac:dyDescent="0.3">
      <c r="A5558" s="43" t="s">
        <v>12077</v>
      </c>
      <c r="B5558" s="21" t="s">
        <v>12078</v>
      </c>
      <c r="C5558" s="21" t="s">
        <v>22682</v>
      </c>
      <c r="D5558" s="22">
        <v>46034</v>
      </c>
      <c r="E5558" s="23" t="s">
        <v>22658</v>
      </c>
      <c r="F5558" s="24" t="s">
        <v>22657</v>
      </c>
      <c r="G5558" s="25">
        <v>1</v>
      </c>
      <c r="H5558" s="26"/>
      <c r="I5558" s="27"/>
    </row>
    <row r="5559" spans="1:9" ht="15.75" thickBot="1" x14ac:dyDescent="0.3">
      <c r="A5559" s="43" t="s">
        <v>12079</v>
      </c>
      <c r="B5559" s="21" t="s">
        <v>12080</v>
      </c>
      <c r="C5559" s="21" t="s">
        <v>22682</v>
      </c>
      <c r="D5559" s="22">
        <v>46034</v>
      </c>
      <c r="E5559" s="23" t="s">
        <v>22658</v>
      </c>
      <c r="F5559" s="24" t="s">
        <v>22657</v>
      </c>
      <c r="G5559" s="25">
        <v>1</v>
      </c>
      <c r="H5559" s="29"/>
      <c r="I5559" s="30"/>
    </row>
    <row r="5560" spans="1:9" ht="15.75" thickBot="1" x14ac:dyDescent="0.3">
      <c r="A5560" s="43" t="s">
        <v>12081</v>
      </c>
      <c r="B5560" s="21" t="s">
        <v>12082</v>
      </c>
      <c r="C5560" s="21" t="s">
        <v>22682</v>
      </c>
      <c r="D5560" s="22">
        <v>46034</v>
      </c>
      <c r="E5560" s="23" t="s">
        <v>22658</v>
      </c>
      <c r="F5560" s="24" t="s">
        <v>22657</v>
      </c>
      <c r="G5560" s="25">
        <v>1</v>
      </c>
      <c r="H5560" s="26"/>
      <c r="I5560" s="27"/>
    </row>
    <row r="5561" spans="1:9" ht="15.75" thickBot="1" x14ac:dyDescent="0.3">
      <c r="A5561" s="43" t="s">
        <v>12083</v>
      </c>
      <c r="B5561" s="21" t="s">
        <v>12084</v>
      </c>
      <c r="C5561" s="21" t="s">
        <v>22682</v>
      </c>
      <c r="D5561" s="22">
        <v>46034</v>
      </c>
      <c r="E5561" s="23" t="s">
        <v>22658</v>
      </c>
      <c r="F5561" s="24" t="s">
        <v>22657</v>
      </c>
      <c r="G5561" s="25">
        <v>1</v>
      </c>
      <c r="H5561" s="29"/>
      <c r="I5561" s="30"/>
    </row>
    <row r="5562" spans="1:9" ht="15.75" thickBot="1" x14ac:dyDescent="0.3">
      <c r="A5562" s="43" t="s">
        <v>12085</v>
      </c>
      <c r="B5562" s="21" t="s">
        <v>12086</v>
      </c>
      <c r="C5562" s="21" t="s">
        <v>22682</v>
      </c>
      <c r="D5562" s="22">
        <v>46034</v>
      </c>
      <c r="E5562" s="23" t="s">
        <v>22658</v>
      </c>
      <c r="F5562" s="24" t="s">
        <v>22657</v>
      </c>
      <c r="G5562" s="25">
        <v>1</v>
      </c>
      <c r="H5562" s="26"/>
      <c r="I5562" s="27"/>
    </row>
    <row r="5563" spans="1:9" ht="15.75" thickBot="1" x14ac:dyDescent="0.3">
      <c r="A5563" s="43" t="s">
        <v>12087</v>
      </c>
      <c r="B5563" s="21" t="s">
        <v>12088</v>
      </c>
      <c r="C5563" s="21" t="s">
        <v>22682</v>
      </c>
      <c r="D5563" s="22">
        <v>46034</v>
      </c>
      <c r="E5563" s="23" t="s">
        <v>22658</v>
      </c>
      <c r="F5563" s="24" t="s">
        <v>22657</v>
      </c>
      <c r="G5563" s="25">
        <v>1</v>
      </c>
      <c r="H5563" s="29"/>
      <c r="I5563" s="30"/>
    </row>
    <row r="5564" spans="1:9" ht="15.75" thickBot="1" x14ac:dyDescent="0.3">
      <c r="A5564" s="43" t="s">
        <v>12089</v>
      </c>
      <c r="B5564" s="21" t="s">
        <v>12090</v>
      </c>
      <c r="C5564" s="21" t="s">
        <v>22682</v>
      </c>
      <c r="D5564" s="22">
        <v>46034</v>
      </c>
      <c r="E5564" s="23" t="s">
        <v>22658</v>
      </c>
      <c r="F5564" s="24" t="s">
        <v>22657</v>
      </c>
      <c r="G5564" s="25">
        <v>1</v>
      </c>
      <c r="H5564" s="26"/>
      <c r="I5564" s="27"/>
    </row>
    <row r="5565" spans="1:9" ht="15.75" thickBot="1" x14ac:dyDescent="0.3">
      <c r="A5565" s="43" t="s">
        <v>12091</v>
      </c>
      <c r="B5565" s="21" t="s">
        <v>12092</v>
      </c>
      <c r="C5565" s="21" t="s">
        <v>22682</v>
      </c>
      <c r="D5565" s="22">
        <v>46034</v>
      </c>
      <c r="E5565" s="23" t="s">
        <v>22656</v>
      </c>
      <c r="F5565" s="24" t="s">
        <v>22657</v>
      </c>
      <c r="G5565" s="25">
        <v>2</v>
      </c>
      <c r="H5565" s="29"/>
      <c r="I5565" s="30"/>
    </row>
    <row r="5566" spans="1:9" ht="15.75" thickBot="1" x14ac:dyDescent="0.3">
      <c r="A5566" s="43" t="s">
        <v>12093</v>
      </c>
      <c r="B5566" s="21" t="s">
        <v>12094</v>
      </c>
      <c r="C5566" s="21" t="s">
        <v>22682</v>
      </c>
      <c r="D5566" s="22">
        <v>46034</v>
      </c>
      <c r="E5566" s="23" t="s">
        <v>22658</v>
      </c>
      <c r="F5566" s="24" t="s">
        <v>22657</v>
      </c>
      <c r="G5566" s="25">
        <v>1</v>
      </c>
      <c r="H5566" s="26"/>
      <c r="I5566" s="27"/>
    </row>
    <row r="5567" spans="1:9" ht="15.75" thickBot="1" x14ac:dyDescent="0.3">
      <c r="A5567" s="43" t="s">
        <v>12095</v>
      </c>
      <c r="B5567" s="21" t="s">
        <v>12096</v>
      </c>
      <c r="C5567" s="21" t="s">
        <v>22655</v>
      </c>
      <c r="D5567" s="31" t="s">
        <v>22688</v>
      </c>
      <c r="E5567" s="23" t="s">
        <v>22656</v>
      </c>
      <c r="F5567" s="24" t="s">
        <v>22657</v>
      </c>
      <c r="G5567" s="25">
        <v>14</v>
      </c>
      <c r="H5567" s="29"/>
      <c r="I5567" s="30"/>
    </row>
    <row r="5568" spans="1:9" ht="15.75" thickBot="1" x14ac:dyDescent="0.3">
      <c r="A5568" s="43" t="s">
        <v>12097</v>
      </c>
      <c r="B5568" s="21" t="s">
        <v>12098</v>
      </c>
      <c r="C5568" s="21" t="s">
        <v>22655</v>
      </c>
      <c r="D5568" s="31" t="s">
        <v>22688</v>
      </c>
      <c r="E5568" s="23" t="s">
        <v>22656</v>
      </c>
      <c r="F5568" s="24" t="s">
        <v>22657</v>
      </c>
      <c r="G5568" s="25">
        <v>14</v>
      </c>
      <c r="H5568" s="26"/>
      <c r="I5568" s="27"/>
    </row>
    <row r="5569" spans="1:9" ht="15.75" thickBot="1" x14ac:dyDescent="0.3">
      <c r="A5569" s="43" t="s">
        <v>12099</v>
      </c>
      <c r="B5569" s="21" t="s">
        <v>12100</v>
      </c>
      <c r="C5569" s="21" t="s">
        <v>22655</v>
      </c>
      <c r="D5569" s="22">
        <v>46042</v>
      </c>
      <c r="E5569" s="23" t="s">
        <v>22656</v>
      </c>
      <c r="F5569" s="24" t="s">
        <v>22657</v>
      </c>
      <c r="G5569" s="25">
        <v>7</v>
      </c>
      <c r="H5569" s="29"/>
      <c r="I5569" s="30"/>
    </row>
    <row r="5570" spans="1:9" ht="15.75" thickBot="1" x14ac:dyDescent="0.3">
      <c r="A5570" s="43" t="s">
        <v>12101</v>
      </c>
      <c r="B5570" s="21" t="s">
        <v>12102</v>
      </c>
      <c r="C5570" s="21" t="s">
        <v>22655</v>
      </c>
      <c r="D5570" s="22">
        <v>46038</v>
      </c>
      <c r="E5570" s="23" t="s">
        <v>22658</v>
      </c>
      <c r="F5570" s="24" t="s">
        <v>22657</v>
      </c>
      <c r="G5570" s="25">
        <v>6</v>
      </c>
      <c r="H5570" s="26"/>
      <c r="I5570" s="27"/>
    </row>
    <row r="5571" spans="1:9" ht="15.75" thickBot="1" x14ac:dyDescent="0.3">
      <c r="A5571" s="43" t="s">
        <v>12103</v>
      </c>
      <c r="B5571" s="21" t="s">
        <v>12104</v>
      </c>
      <c r="C5571" s="21" t="s">
        <v>22663</v>
      </c>
      <c r="D5571" s="31">
        <v>1</v>
      </c>
      <c r="E5571" s="23" t="s">
        <v>22658</v>
      </c>
      <c r="F5571" s="24" t="s">
        <v>22657</v>
      </c>
      <c r="G5571" s="25">
        <v>1</v>
      </c>
      <c r="H5571" s="29"/>
      <c r="I5571" s="30"/>
    </row>
    <row r="5572" spans="1:9" ht="15.75" thickBot="1" x14ac:dyDescent="0.3">
      <c r="A5572" s="43" t="s">
        <v>12105</v>
      </c>
      <c r="B5572" s="21" t="s">
        <v>12106</v>
      </c>
      <c r="C5572" s="21" t="s">
        <v>22682</v>
      </c>
      <c r="D5572" s="22">
        <v>46034</v>
      </c>
      <c r="E5572" s="23" t="s">
        <v>22656</v>
      </c>
      <c r="F5572" s="24" t="s">
        <v>22657</v>
      </c>
      <c r="G5572" s="25">
        <v>2</v>
      </c>
      <c r="H5572" s="26"/>
      <c r="I5572" s="27"/>
    </row>
    <row r="5573" spans="1:9" ht="15.75" thickBot="1" x14ac:dyDescent="0.3">
      <c r="A5573" s="43" t="s">
        <v>12107</v>
      </c>
      <c r="B5573" s="21" t="s">
        <v>12108</v>
      </c>
      <c r="C5573" s="21" t="s">
        <v>22698</v>
      </c>
      <c r="D5573" s="31">
        <v>1</v>
      </c>
      <c r="E5573" s="23" t="s">
        <v>22658</v>
      </c>
      <c r="F5573" s="28" t="s">
        <v>22659</v>
      </c>
      <c r="G5573" s="25">
        <v>1</v>
      </c>
      <c r="H5573" s="29"/>
      <c r="I5573" s="30"/>
    </row>
    <row r="5574" spans="1:9" ht="15.75" thickBot="1" x14ac:dyDescent="0.3">
      <c r="A5574" s="43" t="s">
        <v>12109</v>
      </c>
      <c r="B5574" s="21" t="s">
        <v>12110</v>
      </c>
      <c r="C5574" s="21" t="s">
        <v>22663</v>
      </c>
      <c r="D5574" s="31">
        <v>1</v>
      </c>
      <c r="E5574" s="23" t="s">
        <v>22658</v>
      </c>
      <c r="F5574" s="24" t="s">
        <v>22657</v>
      </c>
      <c r="G5574" s="25">
        <v>1</v>
      </c>
      <c r="H5574" s="26"/>
      <c r="I5574" s="27"/>
    </row>
    <row r="5575" spans="1:9" ht="15.75" thickBot="1" x14ac:dyDescent="0.3">
      <c r="A5575" s="43" t="s">
        <v>57</v>
      </c>
      <c r="B5575" s="21" t="s">
        <v>58</v>
      </c>
      <c r="C5575" s="21" t="s">
        <v>22655</v>
      </c>
      <c r="D5575" s="22">
        <v>46046</v>
      </c>
      <c r="E5575" s="23" t="s">
        <v>22656</v>
      </c>
      <c r="F5575" s="24" t="s">
        <v>22657</v>
      </c>
      <c r="G5575" s="25">
        <v>12</v>
      </c>
      <c r="H5575" s="32">
        <v>12</v>
      </c>
      <c r="I5575" s="33">
        <v>24</v>
      </c>
    </row>
    <row r="5576" spans="1:9" ht="15.75" thickBot="1" x14ac:dyDescent="0.3">
      <c r="A5576" s="43" t="s">
        <v>12111</v>
      </c>
      <c r="B5576" s="21" t="s">
        <v>12112</v>
      </c>
      <c r="C5576" s="21" t="s">
        <v>22655</v>
      </c>
      <c r="D5576" s="31" t="s">
        <v>22660</v>
      </c>
      <c r="E5576" s="23" t="s">
        <v>22656</v>
      </c>
      <c r="F5576" s="24" t="s">
        <v>22657</v>
      </c>
      <c r="G5576" s="25">
        <v>24</v>
      </c>
      <c r="H5576" s="34">
        <v>24</v>
      </c>
      <c r="I5576" s="35">
        <v>48</v>
      </c>
    </row>
    <row r="5577" spans="1:9" ht="15.75" thickBot="1" x14ac:dyDescent="0.3">
      <c r="A5577" s="43" t="s">
        <v>12113</v>
      </c>
      <c r="B5577" s="21" t="s">
        <v>12114</v>
      </c>
      <c r="C5577" s="21" t="s">
        <v>22682</v>
      </c>
      <c r="D5577" s="22">
        <v>46034</v>
      </c>
      <c r="E5577" s="23" t="s">
        <v>22656</v>
      </c>
      <c r="F5577" s="24" t="s">
        <v>22657</v>
      </c>
      <c r="G5577" s="25">
        <v>4</v>
      </c>
      <c r="H5577" s="29"/>
      <c r="I5577" s="30"/>
    </row>
    <row r="5578" spans="1:9" ht="15.75" thickBot="1" x14ac:dyDescent="0.3">
      <c r="A5578" s="43" t="s">
        <v>12115</v>
      </c>
      <c r="B5578" s="21" t="s">
        <v>12116</v>
      </c>
      <c r="C5578" s="21" t="s">
        <v>22682</v>
      </c>
      <c r="D5578" s="22">
        <v>46034</v>
      </c>
      <c r="E5578" s="23" t="s">
        <v>22658</v>
      </c>
      <c r="F5578" s="24" t="s">
        <v>22657</v>
      </c>
      <c r="G5578" s="25">
        <v>4</v>
      </c>
      <c r="H5578" s="26"/>
      <c r="I5578" s="27"/>
    </row>
    <row r="5579" spans="1:9" ht="15.75" thickBot="1" x14ac:dyDescent="0.3">
      <c r="A5579" s="43" t="s">
        <v>12117</v>
      </c>
      <c r="B5579" s="21" t="s">
        <v>12118</v>
      </c>
      <c r="C5579" s="21" t="s">
        <v>22682</v>
      </c>
      <c r="D5579" s="22">
        <v>46034</v>
      </c>
      <c r="E5579" s="23" t="s">
        <v>22656</v>
      </c>
      <c r="F5579" s="24" t="s">
        <v>22657</v>
      </c>
      <c r="G5579" s="25">
        <v>4</v>
      </c>
      <c r="H5579" s="29"/>
      <c r="I5579" s="30"/>
    </row>
    <row r="5580" spans="1:9" ht="15.75" thickBot="1" x14ac:dyDescent="0.3">
      <c r="A5580" s="43" t="s">
        <v>12119</v>
      </c>
      <c r="B5580" s="21" t="s">
        <v>12120</v>
      </c>
      <c r="C5580" s="21" t="s">
        <v>22682</v>
      </c>
      <c r="D5580" s="22">
        <v>46034</v>
      </c>
      <c r="E5580" s="23" t="s">
        <v>22658</v>
      </c>
      <c r="F5580" s="24" t="s">
        <v>22657</v>
      </c>
      <c r="G5580" s="25">
        <v>4</v>
      </c>
      <c r="H5580" s="26"/>
      <c r="I5580" s="27"/>
    </row>
    <row r="5581" spans="1:9" ht="15.75" thickBot="1" x14ac:dyDescent="0.3">
      <c r="A5581" s="43" t="s">
        <v>12121</v>
      </c>
      <c r="B5581" s="21" t="s">
        <v>12122</v>
      </c>
      <c r="C5581" s="21" t="s">
        <v>22682</v>
      </c>
      <c r="D5581" s="22">
        <v>46034</v>
      </c>
      <c r="E5581" s="23" t="s">
        <v>22656</v>
      </c>
      <c r="F5581" s="24" t="s">
        <v>22657</v>
      </c>
      <c r="G5581" s="25">
        <v>4</v>
      </c>
      <c r="H5581" s="29"/>
      <c r="I5581" s="30"/>
    </row>
    <row r="5582" spans="1:9" ht="15.75" thickBot="1" x14ac:dyDescent="0.3">
      <c r="A5582" s="43" t="s">
        <v>12123</v>
      </c>
      <c r="B5582" s="21" t="s">
        <v>12124</v>
      </c>
      <c r="C5582" s="21" t="s">
        <v>22682</v>
      </c>
      <c r="D5582" s="22">
        <v>46034</v>
      </c>
      <c r="E5582" s="23" t="s">
        <v>22656</v>
      </c>
      <c r="F5582" s="24" t="s">
        <v>22657</v>
      </c>
      <c r="G5582" s="25">
        <v>4</v>
      </c>
      <c r="H5582" s="26"/>
      <c r="I5582" s="27"/>
    </row>
    <row r="5583" spans="1:9" ht="15.75" thickBot="1" x14ac:dyDescent="0.3">
      <c r="A5583" s="43" t="s">
        <v>12125</v>
      </c>
      <c r="B5583" s="21" t="s">
        <v>12126</v>
      </c>
      <c r="C5583" s="21" t="s">
        <v>22682</v>
      </c>
      <c r="D5583" s="22">
        <v>46034</v>
      </c>
      <c r="E5583" s="23" t="s">
        <v>22656</v>
      </c>
      <c r="F5583" s="24" t="s">
        <v>22657</v>
      </c>
      <c r="G5583" s="25">
        <v>4</v>
      </c>
      <c r="H5583" s="29"/>
      <c r="I5583" s="30"/>
    </row>
    <row r="5584" spans="1:9" ht="15.75" thickBot="1" x14ac:dyDescent="0.3">
      <c r="A5584" s="43" t="s">
        <v>12127</v>
      </c>
      <c r="B5584" s="21" t="s">
        <v>12128</v>
      </c>
      <c r="C5584" s="21" t="s">
        <v>22682</v>
      </c>
      <c r="D5584" s="22">
        <v>46034</v>
      </c>
      <c r="E5584" s="23" t="s">
        <v>22658</v>
      </c>
      <c r="F5584" s="24" t="s">
        <v>22657</v>
      </c>
      <c r="G5584" s="25">
        <v>4</v>
      </c>
      <c r="H5584" s="26"/>
      <c r="I5584" s="27"/>
    </row>
    <row r="5585" spans="1:9" ht="15.75" thickBot="1" x14ac:dyDescent="0.3">
      <c r="A5585" s="43" t="s">
        <v>12129</v>
      </c>
      <c r="B5585" s="21" t="s">
        <v>12130</v>
      </c>
      <c r="C5585" s="21" t="s">
        <v>22682</v>
      </c>
      <c r="D5585" s="22">
        <v>46034</v>
      </c>
      <c r="E5585" s="23" t="s">
        <v>22656</v>
      </c>
      <c r="F5585" s="24" t="s">
        <v>22657</v>
      </c>
      <c r="G5585" s="25">
        <v>4</v>
      </c>
      <c r="H5585" s="29"/>
      <c r="I5585" s="30"/>
    </row>
    <row r="5586" spans="1:9" ht="15.75" thickBot="1" x14ac:dyDescent="0.3">
      <c r="A5586" s="43" t="s">
        <v>12131</v>
      </c>
      <c r="B5586" s="21" t="s">
        <v>12132</v>
      </c>
      <c r="C5586" s="21" t="s">
        <v>22682</v>
      </c>
      <c r="D5586" s="22">
        <v>46034</v>
      </c>
      <c r="E5586" s="23" t="s">
        <v>22656</v>
      </c>
      <c r="F5586" s="24" t="s">
        <v>22657</v>
      </c>
      <c r="G5586" s="25">
        <v>4</v>
      </c>
      <c r="H5586" s="26"/>
      <c r="I5586" s="27"/>
    </row>
    <row r="5587" spans="1:9" ht="15.75" thickBot="1" x14ac:dyDescent="0.3">
      <c r="A5587" s="43" t="s">
        <v>12133</v>
      </c>
      <c r="B5587" s="21" t="s">
        <v>12134</v>
      </c>
      <c r="C5587" s="21" t="s">
        <v>22682</v>
      </c>
      <c r="D5587" s="22">
        <v>46034</v>
      </c>
      <c r="E5587" s="23" t="s">
        <v>22658</v>
      </c>
      <c r="F5587" s="24" t="s">
        <v>22657</v>
      </c>
      <c r="G5587" s="25">
        <v>4</v>
      </c>
      <c r="H5587" s="29"/>
      <c r="I5587" s="30"/>
    </row>
    <row r="5588" spans="1:9" ht="15.75" thickBot="1" x14ac:dyDescent="0.3">
      <c r="A5588" s="43" t="s">
        <v>12135</v>
      </c>
      <c r="B5588" s="21" t="s">
        <v>12136</v>
      </c>
      <c r="C5588" s="21" t="s">
        <v>22682</v>
      </c>
      <c r="D5588" s="22">
        <v>46034</v>
      </c>
      <c r="E5588" s="23" t="s">
        <v>22656</v>
      </c>
      <c r="F5588" s="24" t="s">
        <v>22657</v>
      </c>
      <c r="G5588" s="25">
        <v>7</v>
      </c>
      <c r="H5588" s="26"/>
      <c r="I5588" s="27"/>
    </row>
    <row r="5589" spans="1:9" ht="15.75" thickBot="1" x14ac:dyDescent="0.3">
      <c r="A5589" s="43" t="s">
        <v>12137</v>
      </c>
      <c r="B5589" s="21" t="s">
        <v>12138</v>
      </c>
      <c r="C5589" s="21" t="s">
        <v>22682</v>
      </c>
      <c r="D5589" s="22">
        <v>46034</v>
      </c>
      <c r="E5589" s="23" t="s">
        <v>22656</v>
      </c>
      <c r="F5589" s="24" t="s">
        <v>22657</v>
      </c>
      <c r="G5589" s="25">
        <v>4</v>
      </c>
      <c r="H5589" s="29"/>
      <c r="I5589" s="30"/>
    </row>
    <row r="5590" spans="1:9" ht="15.75" thickBot="1" x14ac:dyDescent="0.3">
      <c r="A5590" s="43" t="s">
        <v>12139</v>
      </c>
      <c r="B5590" s="21" t="s">
        <v>12140</v>
      </c>
      <c r="C5590" s="21" t="s">
        <v>22663</v>
      </c>
      <c r="D5590" s="31">
        <v>1</v>
      </c>
      <c r="E5590" s="23" t="s">
        <v>22658</v>
      </c>
      <c r="F5590" s="24" t="s">
        <v>22657</v>
      </c>
      <c r="G5590" s="25">
        <v>1</v>
      </c>
      <c r="H5590" s="26"/>
      <c r="I5590" s="27"/>
    </row>
    <row r="5591" spans="1:9" ht="15.75" thickBot="1" x14ac:dyDescent="0.3">
      <c r="A5591" s="43" t="s">
        <v>12141</v>
      </c>
      <c r="B5591" s="21" t="s">
        <v>12142</v>
      </c>
      <c r="C5591" s="21" t="s">
        <v>22655</v>
      </c>
      <c r="D5591" s="22">
        <v>46034</v>
      </c>
      <c r="E5591" s="23" t="s">
        <v>22656</v>
      </c>
      <c r="F5591" s="24" t="s">
        <v>22657</v>
      </c>
      <c r="G5591" s="25">
        <v>2</v>
      </c>
      <c r="H5591" s="29"/>
      <c r="I5591" s="30"/>
    </row>
    <row r="5592" spans="1:9" ht="15.75" thickBot="1" x14ac:dyDescent="0.3">
      <c r="A5592" s="43" t="s">
        <v>209</v>
      </c>
      <c r="B5592" s="21" t="s">
        <v>210</v>
      </c>
      <c r="C5592" s="21" t="s">
        <v>22655</v>
      </c>
      <c r="D5592" s="22">
        <v>46026</v>
      </c>
      <c r="E5592" s="23" t="s">
        <v>22656</v>
      </c>
      <c r="F5592" s="24" t="s">
        <v>22657</v>
      </c>
      <c r="G5592" s="25">
        <v>2</v>
      </c>
      <c r="H5592" s="26"/>
      <c r="I5592" s="27"/>
    </row>
    <row r="5593" spans="1:9" ht="15.75" thickBot="1" x14ac:dyDescent="0.3">
      <c r="A5593" s="43" t="s">
        <v>12143</v>
      </c>
      <c r="B5593" s="21" t="s">
        <v>12144</v>
      </c>
      <c r="C5593" s="21" t="s">
        <v>22655</v>
      </c>
      <c r="D5593" s="22">
        <v>46034</v>
      </c>
      <c r="E5593" s="23" t="s">
        <v>22658</v>
      </c>
      <c r="F5593" s="24" t="s">
        <v>22657</v>
      </c>
      <c r="G5593" s="25">
        <v>1</v>
      </c>
      <c r="H5593" s="29"/>
      <c r="I5593" s="30"/>
    </row>
    <row r="5594" spans="1:9" ht="15.75" thickBot="1" x14ac:dyDescent="0.3">
      <c r="A5594" s="43" t="s">
        <v>12147</v>
      </c>
      <c r="B5594" s="21" t="s">
        <v>12148</v>
      </c>
      <c r="C5594" s="21" t="s">
        <v>22698</v>
      </c>
      <c r="D5594" s="31">
        <v>1</v>
      </c>
      <c r="E5594" s="23" t="s">
        <v>22661</v>
      </c>
      <c r="F5594" s="24" t="s">
        <v>22657</v>
      </c>
      <c r="G5594" s="25">
        <v>15</v>
      </c>
      <c r="H5594" s="34">
        <v>15</v>
      </c>
      <c r="I5594" s="35">
        <v>30</v>
      </c>
    </row>
    <row r="5595" spans="1:9" ht="15.75" thickBot="1" x14ac:dyDescent="0.3">
      <c r="A5595" s="43" t="s">
        <v>12149</v>
      </c>
      <c r="B5595" s="21" t="s">
        <v>12150</v>
      </c>
      <c r="C5595" s="21" t="s">
        <v>22663</v>
      </c>
      <c r="D5595" s="31">
        <v>1</v>
      </c>
      <c r="E5595" s="23" t="s">
        <v>22656</v>
      </c>
      <c r="F5595" s="24" t="s">
        <v>22657</v>
      </c>
      <c r="G5595" s="25">
        <v>2</v>
      </c>
      <c r="H5595" s="29"/>
      <c r="I5595" s="30"/>
    </row>
    <row r="5596" spans="1:9" ht="15.75" thickBot="1" x14ac:dyDescent="0.3">
      <c r="A5596" s="43" t="s">
        <v>407</v>
      </c>
      <c r="B5596" s="21" t="s">
        <v>408</v>
      </c>
      <c r="C5596" s="21" t="s">
        <v>22709</v>
      </c>
      <c r="D5596" s="31">
        <v>1</v>
      </c>
      <c r="E5596" s="23" t="s">
        <v>22656</v>
      </c>
      <c r="F5596" s="24" t="s">
        <v>22657</v>
      </c>
      <c r="G5596" s="25">
        <v>2</v>
      </c>
      <c r="H5596" s="26"/>
      <c r="I5596" s="27"/>
    </row>
    <row r="5597" spans="1:9" ht="15.75" thickBot="1" x14ac:dyDescent="0.3">
      <c r="A5597" s="43" t="s">
        <v>12151</v>
      </c>
      <c r="B5597" s="21" t="s">
        <v>12152</v>
      </c>
      <c r="C5597" s="21" t="s">
        <v>22655</v>
      </c>
      <c r="D5597" s="22">
        <v>46046</v>
      </c>
      <c r="E5597" s="23" t="s">
        <v>22661</v>
      </c>
      <c r="F5597" s="24" t="s">
        <v>22657</v>
      </c>
      <c r="G5597" s="25">
        <v>9</v>
      </c>
      <c r="H5597" s="29"/>
      <c r="I5597" s="30"/>
    </row>
    <row r="5598" spans="1:9" ht="15.75" thickBot="1" x14ac:dyDescent="0.3">
      <c r="A5598" s="43" t="s">
        <v>12153</v>
      </c>
      <c r="B5598" s="21" t="s">
        <v>12154</v>
      </c>
      <c r="C5598" s="21" t="s">
        <v>22682</v>
      </c>
      <c r="D5598" s="22">
        <v>46034</v>
      </c>
      <c r="E5598" s="23" t="s">
        <v>22658</v>
      </c>
      <c r="F5598" s="24" t="s">
        <v>22657</v>
      </c>
      <c r="G5598" s="25">
        <v>4</v>
      </c>
      <c r="H5598" s="26"/>
      <c r="I5598" s="27"/>
    </row>
    <row r="5599" spans="1:9" ht="15.75" thickBot="1" x14ac:dyDescent="0.3">
      <c r="A5599" s="43" t="s">
        <v>12155</v>
      </c>
      <c r="B5599" s="21" t="s">
        <v>12156</v>
      </c>
      <c r="C5599" s="21" t="s">
        <v>22655</v>
      </c>
      <c r="D5599" s="22">
        <v>46034</v>
      </c>
      <c r="E5599" s="23" t="s">
        <v>22658</v>
      </c>
      <c r="F5599" s="24" t="s">
        <v>22657</v>
      </c>
      <c r="G5599" s="25">
        <v>4</v>
      </c>
      <c r="H5599" s="29"/>
      <c r="I5599" s="30"/>
    </row>
    <row r="5600" spans="1:9" ht="15.75" thickBot="1" x14ac:dyDescent="0.3">
      <c r="A5600" s="43" t="s">
        <v>12157</v>
      </c>
      <c r="B5600" s="21" t="s">
        <v>12158</v>
      </c>
      <c r="C5600" s="21" t="s">
        <v>22655</v>
      </c>
      <c r="D5600" s="22">
        <v>46034</v>
      </c>
      <c r="E5600" s="23" t="s">
        <v>22656</v>
      </c>
      <c r="F5600" s="24" t="s">
        <v>22657</v>
      </c>
      <c r="G5600" s="25">
        <v>4</v>
      </c>
      <c r="H5600" s="26"/>
      <c r="I5600" s="27"/>
    </row>
    <row r="5601" spans="1:9" ht="15.75" thickBot="1" x14ac:dyDescent="0.3">
      <c r="A5601" s="43" t="s">
        <v>12159</v>
      </c>
      <c r="B5601" s="21" t="s">
        <v>12160</v>
      </c>
      <c r="C5601" s="21" t="s">
        <v>22655</v>
      </c>
      <c r="D5601" s="22">
        <v>46034</v>
      </c>
      <c r="E5601" s="23" t="s">
        <v>22658</v>
      </c>
      <c r="F5601" s="24" t="s">
        <v>22657</v>
      </c>
      <c r="G5601" s="25">
        <v>4</v>
      </c>
      <c r="H5601" s="29"/>
      <c r="I5601" s="30"/>
    </row>
    <row r="5602" spans="1:9" ht="15.75" thickBot="1" x14ac:dyDescent="0.3">
      <c r="A5602" s="43" t="s">
        <v>12161</v>
      </c>
      <c r="B5602" s="21" t="s">
        <v>12162</v>
      </c>
      <c r="C5602" s="21" t="s">
        <v>22655</v>
      </c>
      <c r="D5602" s="22">
        <v>46034</v>
      </c>
      <c r="E5602" s="23" t="s">
        <v>22656</v>
      </c>
      <c r="F5602" s="24" t="s">
        <v>22657</v>
      </c>
      <c r="G5602" s="25">
        <v>4</v>
      </c>
      <c r="H5602" s="26"/>
      <c r="I5602" s="27"/>
    </row>
    <row r="5603" spans="1:9" ht="15.75" thickBot="1" x14ac:dyDescent="0.3">
      <c r="A5603" s="43" t="s">
        <v>12163</v>
      </c>
      <c r="B5603" s="21" t="s">
        <v>12164</v>
      </c>
      <c r="C5603" s="21" t="s">
        <v>22655</v>
      </c>
      <c r="D5603" s="22">
        <v>46034</v>
      </c>
      <c r="E5603" s="23" t="s">
        <v>22656</v>
      </c>
      <c r="F5603" s="24" t="s">
        <v>22657</v>
      </c>
      <c r="G5603" s="25">
        <v>4</v>
      </c>
      <c r="H5603" s="29"/>
      <c r="I5603" s="30"/>
    </row>
    <row r="5604" spans="1:9" ht="15.75" thickBot="1" x14ac:dyDescent="0.3">
      <c r="A5604" s="43" t="s">
        <v>12165</v>
      </c>
      <c r="B5604" s="21" t="s">
        <v>12166</v>
      </c>
      <c r="C5604" s="21" t="s">
        <v>22655</v>
      </c>
      <c r="D5604" s="22">
        <v>46034</v>
      </c>
      <c r="E5604" s="23" t="s">
        <v>22658</v>
      </c>
      <c r="F5604" s="24" t="s">
        <v>22657</v>
      </c>
      <c r="G5604" s="25">
        <v>4</v>
      </c>
      <c r="H5604" s="26"/>
      <c r="I5604" s="27"/>
    </row>
    <row r="5605" spans="1:9" ht="15.75" thickBot="1" x14ac:dyDescent="0.3">
      <c r="A5605" s="43" t="s">
        <v>12167</v>
      </c>
      <c r="B5605" s="21" t="s">
        <v>12168</v>
      </c>
      <c r="C5605" s="21" t="s">
        <v>22655</v>
      </c>
      <c r="D5605" s="22">
        <v>46034</v>
      </c>
      <c r="E5605" s="23" t="s">
        <v>22656</v>
      </c>
      <c r="F5605" s="24" t="s">
        <v>22657</v>
      </c>
      <c r="G5605" s="25">
        <v>4</v>
      </c>
      <c r="H5605" s="29"/>
      <c r="I5605" s="30"/>
    </row>
    <row r="5606" spans="1:9" ht="15.75" thickBot="1" x14ac:dyDescent="0.3">
      <c r="A5606" s="43" t="s">
        <v>12169</v>
      </c>
      <c r="B5606" s="21" t="s">
        <v>12170</v>
      </c>
      <c r="C5606" s="21" t="s">
        <v>22655</v>
      </c>
      <c r="D5606" s="22">
        <v>46034</v>
      </c>
      <c r="E5606" s="23" t="s">
        <v>22656</v>
      </c>
      <c r="F5606" s="24" t="s">
        <v>22657</v>
      </c>
      <c r="G5606" s="25">
        <v>4</v>
      </c>
      <c r="H5606" s="26"/>
      <c r="I5606" s="27"/>
    </row>
    <row r="5607" spans="1:9" ht="15.75" thickBot="1" x14ac:dyDescent="0.3">
      <c r="A5607" s="43" t="s">
        <v>12171</v>
      </c>
      <c r="B5607" s="21" t="s">
        <v>12172</v>
      </c>
      <c r="C5607" s="21" t="s">
        <v>22655</v>
      </c>
      <c r="D5607" s="22">
        <v>46034</v>
      </c>
      <c r="E5607" s="23" t="s">
        <v>22656</v>
      </c>
      <c r="F5607" s="24" t="s">
        <v>22657</v>
      </c>
      <c r="G5607" s="25">
        <v>4</v>
      </c>
      <c r="H5607" s="29"/>
      <c r="I5607" s="30"/>
    </row>
    <row r="5608" spans="1:9" ht="15.75" thickBot="1" x14ac:dyDescent="0.3">
      <c r="A5608" s="43" t="s">
        <v>12173</v>
      </c>
      <c r="B5608" s="21" t="s">
        <v>12174</v>
      </c>
      <c r="C5608" s="21" t="s">
        <v>22655</v>
      </c>
      <c r="D5608" s="22">
        <v>46034</v>
      </c>
      <c r="E5608" s="23" t="s">
        <v>22656</v>
      </c>
      <c r="F5608" s="24" t="s">
        <v>22657</v>
      </c>
      <c r="G5608" s="25">
        <v>4</v>
      </c>
      <c r="H5608" s="26"/>
      <c r="I5608" s="27"/>
    </row>
    <row r="5609" spans="1:9" ht="15.75" thickBot="1" x14ac:dyDescent="0.3">
      <c r="A5609" s="43" t="s">
        <v>12175</v>
      </c>
      <c r="B5609" s="21" t="s">
        <v>12176</v>
      </c>
      <c r="C5609" s="21" t="s">
        <v>22655</v>
      </c>
      <c r="D5609" s="22">
        <v>46046</v>
      </c>
      <c r="E5609" s="23" t="s">
        <v>22656</v>
      </c>
      <c r="F5609" s="24" t="s">
        <v>22657</v>
      </c>
      <c r="G5609" s="25">
        <v>8</v>
      </c>
      <c r="H5609" s="29"/>
      <c r="I5609" s="30"/>
    </row>
    <row r="5610" spans="1:9" ht="15.75" thickBot="1" x14ac:dyDescent="0.3">
      <c r="A5610" s="43" t="s">
        <v>12177</v>
      </c>
      <c r="B5610" s="21" t="s">
        <v>12178</v>
      </c>
      <c r="C5610" s="21" t="s">
        <v>22655</v>
      </c>
      <c r="D5610" s="22">
        <v>46034</v>
      </c>
      <c r="E5610" s="23" t="s">
        <v>22658</v>
      </c>
      <c r="F5610" s="24" t="s">
        <v>22657</v>
      </c>
      <c r="G5610" s="25">
        <v>4</v>
      </c>
      <c r="H5610" s="26"/>
      <c r="I5610" s="27"/>
    </row>
    <row r="5611" spans="1:9" ht="15.75" thickBot="1" x14ac:dyDescent="0.3">
      <c r="A5611" s="43" t="s">
        <v>12179</v>
      </c>
      <c r="B5611" s="21" t="s">
        <v>12180</v>
      </c>
      <c r="C5611" s="21" t="s">
        <v>22655</v>
      </c>
      <c r="D5611" s="22">
        <v>46046</v>
      </c>
      <c r="E5611" s="23" t="s">
        <v>22656</v>
      </c>
      <c r="F5611" s="24" t="s">
        <v>22657</v>
      </c>
      <c r="G5611" s="25">
        <v>8</v>
      </c>
      <c r="H5611" s="29"/>
      <c r="I5611" s="30"/>
    </row>
    <row r="5612" spans="1:9" ht="15.75" thickBot="1" x14ac:dyDescent="0.3">
      <c r="A5612" s="43" t="s">
        <v>12181</v>
      </c>
      <c r="B5612" s="21" t="s">
        <v>12182</v>
      </c>
      <c r="C5612" s="21" t="s">
        <v>22655</v>
      </c>
      <c r="D5612" s="22">
        <v>46046</v>
      </c>
      <c r="E5612" s="23" t="s">
        <v>22656</v>
      </c>
      <c r="F5612" s="24" t="s">
        <v>22657</v>
      </c>
      <c r="G5612" s="25">
        <v>4</v>
      </c>
      <c r="H5612" s="26"/>
      <c r="I5612" s="27"/>
    </row>
    <row r="5613" spans="1:9" ht="15.75" thickBot="1" x14ac:dyDescent="0.3">
      <c r="A5613" s="43" t="s">
        <v>12183</v>
      </c>
      <c r="B5613" s="21" t="s">
        <v>12184</v>
      </c>
      <c r="C5613" s="21" t="s">
        <v>22655</v>
      </c>
      <c r="D5613" s="22">
        <v>46046</v>
      </c>
      <c r="E5613" s="23" t="s">
        <v>22656</v>
      </c>
      <c r="F5613" s="24" t="s">
        <v>22657</v>
      </c>
      <c r="G5613" s="25">
        <v>4</v>
      </c>
      <c r="H5613" s="29"/>
      <c r="I5613" s="30"/>
    </row>
    <row r="5614" spans="1:9" ht="15.75" thickBot="1" x14ac:dyDescent="0.3">
      <c r="A5614" s="43" t="s">
        <v>12185</v>
      </c>
      <c r="B5614" s="21" t="s">
        <v>12186</v>
      </c>
      <c r="C5614" s="21" t="s">
        <v>22655</v>
      </c>
      <c r="D5614" s="22">
        <v>46046</v>
      </c>
      <c r="E5614" s="23" t="s">
        <v>22658</v>
      </c>
      <c r="F5614" s="24" t="s">
        <v>22657</v>
      </c>
      <c r="G5614" s="25">
        <v>8</v>
      </c>
      <c r="H5614" s="26"/>
      <c r="I5614" s="27"/>
    </row>
    <row r="5615" spans="1:9" ht="15.75" thickBot="1" x14ac:dyDescent="0.3">
      <c r="A5615" s="43" t="s">
        <v>12187</v>
      </c>
      <c r="B5615" s="21" t="s">
        <v>12188</v>
      </c>
      <c r="C5615" s="21" t="s">
        <v>22655</v>
      </c>
      <c r="D5615" s="22">
        <v>46034</v>
      </c>
      <c r="E5615" s="23" t="s">
        <v>22658</v>
      </c>
      <c r="F5615" s="24" t="s">
        <v>22657</v>
      </c>
      <c r="G5615" s="25">
        <v>4</v>
      </c>
      <c r="H5615" s="29"/>
      <c r="I5615" s="30"/>
    </row>
    <row r="5616" spans="1:9" ht="15.75" thickBot="1" x14ac:dyDescent="0.3">
      <c r="A5616" s="43" t="s">
        <v>12189</v>
      </c>
      <c r="B5616" s="21" t="s">
        <v>12190</v>
      </c>
      <c r="C5616" s="21" t="s">
        <v>22655</v>
      </c>
      <c r="D5616" s="22">
        <v>46034</v>
      </c>
      <c r="E5616" s="23" t="s">
        <v>22656</v>
      </c>
      <c r="F5616" s="24" t="s">
        <v>22657</v>
      </c>
      <c r="G5616" s="25">
        <v>4</v>
      </c>
      <c r="H5616" s="26"/>
      <c r="I5616" s="27"/>
    </row>
    <row r="5617" spans="1:9" ht="15.75" thickBot="1" x14ac:dyDescent="0.3">
      <c r="A5617" s="43" t="s">
        <v>1988</v>
      </c>
      <c r="B5617" s="21" t="s">
        <v>1989</v>
      </c>
      <c r="C5617" s="21" t="s">
        <v>22655</v>
      </c>
      <c r="D5617" s="22">
        <v>46034</v>
      </c>
      <c r="E5617" s="23" t="s">
        <v>22665</v>
      </c>
      <c r="F5617" s="24" t="s">
        <v>22657</v>
      </c>
      <c r="G5617" s="25">
        <v>24</v>
      </c>
      <c r="H5617" s="32">
        <v>24</v>
      </c>
      <c r="I5617" s="33">
        <v>36</v>
      </c>
    </row>
    <row r="5618" spans="1:9" ht="15.75" thickBot="1" x14ac:dyDescent="0.3">
      <c r="A5618" s="43" t="s">
        <v>12191</v>
      </c>
      <c r="B5618" s="21" t="s">
        <v>12192</v>
      </c>
      <c r="C5618" s="21" t="s">
        <v>22655</v>
      </c>
      <c r="D5618" s="22">
        <v>46034</v>
      </c>
      <c r="E5618" s="23" t="s">
        <v>22656</v>
      </c>
      <c r="F5618" s="24" t="s">
        <v>22657</v>
      </c>
      <c r="G5618" s="25">
        <v>4</v>
      </c>
      <c r="H5618" s="26"/>
      <c r="I5618" s="27"/>
    </row>
    <row r="5619" spans="1:9" ht="15.75" thickBot="1" x14ac:dyDescent="0.3">
      <c r="A5619" s="43" t="s">
        <v>12193</v>
      </c>
      <c r="B5619" s="21" t="s">
        <v>12194</v>
      </c>
      <c r="C5619" s="21" t="s">
        <v>22655</v>
      </c>
      <c r="D5619" s="22">
        <v>46034</v>
      </c>
      <c r="E5619" s="23" t="s">
        <v>22656</v>
      </c>
      <c r="F5619" s="24" t="s">
        <v>22657</v>
      </c>
      <c r="G5619" s="25">
        <v>4</v>
      </c>
      <c r="H5619" s="29"/>
      <c r="I5619" s="30"/>
    </row>
    <row r="5620" spans="1:9" ht="15.75" thickBot="1" x14ac:dyDescent="0.3">
      <c r="A5620" s="43" t="s">
        <v>337</v>
      </c>
      <c r="B5620" s="21" t="s">
        <v>338</v>
      </c>
      <c r="C5620" s="21" t="s">
        <v>22655</v>
      </c>
      <c r="D5620" s="22">
        <v>46034</v>
      </c>
      <c r="E5620" s="23" t="s">
        <v>22661</v>
      </c>
      <c r="F5620" s="24" t="s">
        <v>22657</v>
      </c>
      <c r="G5620" s="25">
        <v>18</v>
      </c>
      <c r="H5620" s="26"/>
      <c r="I5620" s="27"/>
    </row>
    <row r="5621" spans="1:9" ht="15.75" thickBot="1" x14ac:dyDescent="0.3">
      <c r="A5621" s="43" t="s">
        <v>1940</v>
      </c>
      <c r="B5621" s="21" t="s">
        <v>1941</v>
      </c>
      <c r="C5621" s="21" t="s">
        <v>22655</v>
      </c>
      <c r="D5621" s="22">
        <v>46034</v>
      </c>
      <c r="E5621" s="23" t="s">
        <v>22661</v>
      </c>
      <c r="F5621" s="24" t="s">
        <v>22657</v>
      </c>
      <c r="G5621" s="25">
        <v>6</v>
      </c>
      <c r="H5621" s="32">
        <v>6</v>
      </c>
      <c r="I5621" s="33">
        <v>12</v>
      </c>
    </row>
    <row r="5622" spans="1:9" ht="15.75" thickBot="1" x14ac:dyDescent="0.3">
      <c r="A5622" s="43" t="s">
        <v>12195</v>
      </c>
      <c r="B5622" s="21" t="s">
        <v>12196</v>
      </c>
      <c r="C5622" s="21" t="s">
        <v>22655</v>
      </c>
      <c r="D5622" s="22">
        <v>46034</v>
      </c>
      <c r="E5622" s="23" t="s">
        <v>22661</v>
      </c>
      <c r="F5622" s="24" t="s">
        <v>22657</v>
      </c>
      <c r="G5622" s="25">
        <v>24</v>
      </c>
      <c r="H5622" s="34">
        <v>24</v>
      </c>
      <c r="I5622" s="35">
        <v>36</v>
      </c>
    </row>
    <row r="5623" spans="1:9" ht="15.75" thickBot="1" x14ac:dyDescent="0.3">
      <c r="A5623" s="43" t="s">
        <v>1918</v>
      </c>
      <c r="B5623" s="21" t="s">
        <v>12197</v>
      </c>
      <c r="C5623" s="21" t="s">
        <v>22655</v>
      </c>
      <c r="D5623" s="22">
        <v>46034</v>
      </c>
      <c r="E5623" s="23" t="s">
        <v>22665</v>
      </c>
      <c r="F5623" s="24" t="s">
        <v>22657</v>
      </c>
      <c r="G5623" s="25">
        <v>24</v>
      </c>
      <c r="H5623" s="32">
        <v>24</v>
      </c>
      <c r="I5623" s="33">
        <v>36</v>
      </c>
    </row>
    <row r="5624" spans="1:9" ht="15.75" thickBot="1" x14ac:dyDescent="0.3">
      <c r="A5624" s="43" t="s">
        <v>12198</v>
      </c>
      <c r="B5624" s="21" t="s">
        <v>12199</v>
      </c>
      <c r="C5624" s="21" t="s">
        <v>22655</v>
      </c>
      <c r="D5624" s="22">
        <v>46034</v>
      </c>
      <c r="E5624" s="23" t="s">
        <v>22661</v>
      </c>
      <c r="F5624" s="24" t="s">
        <v>22657</v>
      </c>
      <c r="G5624" s="25">
        <v>12</v>
      </c>
      <c r="H5624" s="34">
        <v>12</v>
      </c>
      <c r="I5624" s="35">
        <v>24</v>
      </c>
    </row>
    <row r="5625" spans="1:9" ht="15.75" thickBot="1" x14ac:dyDescent="0.3">
      <c r="A5625" s="43" t="s">
        <v>12200</v>
      </c>
      <c r="B5625" s="21" t="s">
        <v>12201</v>
      </c>
      <c r="C5625" s="21" t="s">
        <v>22655</v>
      </c>
      <c r="D5625" s="22">
        <v>46034</v>
      </c>
      <c r="E5625" s="23" t="s">
        <v>22656</v>
      </c>
      <c r="F5625" s="24" t="s">
        <v>22657</v>
      </c>
      <c r="G5625" s="25">
        <v>4</v>
      </c>
      <c r="H5625" s="29"/>
      <c r="I5625" s="30"/>
    </row>
    <row r="5626" spans="1:9" ht="15.75" thickBot="1" x14ac:dyDescent="0.3">
      <c r="A5626" s="43" t="s">
        <v>1423</v>
      </c>
      <c r="B5626" s="21" t="s">
        <v>1424</v>
      </c>
      <c r="C5626" s="21" t="s">
        <v>22655</v>
      </c>
      <c r="D5626" s="22">
        <v>46034</v>
      </c>
      <c r="E5626" s="23" t="s">
        <v>22661</v>
      </c>
      <c r="F5626" s="24" t="s">
        <v>22657</v>
      </c>
      <c r="G5626" s="25">
        <v>24</v>
      </c>
      <c r="H5626" s="34">
        <v>24</v>
      </c>
      <c r="I5626" s="35">
        <v>36</v>
      </c>
    </row>
    <row r="5627" spans="1:9" ht="15.75" thickBot="1" x14ac:dyDescent="0.3">
      <c r="A5627" s="43" t="s">
        <v>12202</v>
      </c>
      <c r="B5627" s="21" t="s">
        <v>12203</v>
      </c>
      <c r="C5627" s="21" t="s">
        <v>22655</v>
      </c>
      <c r="D5627" s="22">
        <v>46028</v>
      </c>
      <c r="E5627" s="23" t="s">
        <v>22656</v>
      </c>
      <c r="F5627" s="24" t="s">
        <v>22657</v>
      </c>
      <c r="G5627" s="25">
        <v>2</v>
      </c>
      <c r="H5627" s="29"/>
      <c r="I5627" s="30"/>
    </row>
    <row r="5628" spans="1:9" ht="15.75" thickBot="1" x14ac:dyDescent="0.3">
      <c r="A5628" s="43" t="s">
        <v>12204</v>
      </c>
      <c r="B5628" s="21" t="s">
        <v>12205</v>
      </c>
      <c r="C5628" s="21" t="s">
        <v>22655</v>
      </c>
      <c r="D5628" s="22">
        <v>46028</v>
      </c>
      <c r="E5628" s="23" t="s">
        <v>22656</v>
      </c>
      <c r="F5628" s="24" t="s">
        <v>22657</v>
      </c>
      <c r="G5628" s="25">
        <v>2</v>
      </c>
      <c r="H5628" s="26"/>
      <c r="I5628" s="27"/>
    </row>
    <row r="5629" spans="1:9" ht="15.75" thickBot="1" x14ac:dyDescent="0.3">
      <c r="A5629" s="43" t="s">
        <v>12206</v>
      </c>
      <c r="B5629" s="21" t="s">
        <v>12207</v>
      </c>
      <c r="C5629" s="21" t="s">
        <v>22655</v>
      </c>
      <c r="D5629" s="22">
        <v>46028</v>
      </c>
      <c r="E5629" s="23" t="s">
        <v>22656</v>
      </c>
      <c r="F5629" s="24" t="s">
        <v>22657</v>
      </c>
      <c r="G5629" s="25">
        <v>2</v>
      </c>
      <c r="H5629" s="29"/>
      <c r="I5629" s="30"/>
    </row>
    <row r="5630" spans="1:9" ht="15.75" thickBot="1" x14ac:dyDescent="0.3">
      <c r="A5630" s="43" t="s">
        <v>12208</v>
      </c>
      <c r="B5630" s="21" t="s">
        <v>12209</v>
      </c>
      <c r="C5630" s="21" t="s">
        <v>22655</v>
      </c>
      <c r="D5630" s="22">
        <v>46034</v>
      </c>
      <c r="E5630" s="23" t="s">
        <v>22661</v>
      </c>
      <c r="F5630" s="24" t="s">
        <v>22657</v>
      </c>
      <c r="G5630" s="25">
        <v>24</v>
      </c>
      <c r="H5630" s="34">
        <v>24</v>
      </c>
      <c r="I5630" s="35">
        <v>48</v>
      </c>
    </row>
    <row r="5631" spans="1:9" ht="15.75" thickBot="1" x14ac:dyDescent="0.3">
      <c r="A5631" s="43" t="s">
        <v>12210</v>
      </c>
      <c r="B5631" s="21" t="s">
        <v>12211</v>
      </c>
      <c r="C5631" s="21" t="s">
        <v>22655</v>
      </c>
      <c r="D5631" s="22">
        <v>46034</v>
      </c>
      <c r="E5631" s="23" t="s">
        <v>22656</v>
      </c>
      <c r="F5631" s="24" t="s">
        <v>22657</v>
      </c>
      <c r="G5631" s="25">
        <v>4</v>
      </c>
      <c r="H5631" s="29"/>
      <c r="I5631" s="30"/>
    </row>
    <row r="5632" spans="1:9" ht="15.75" thickBot="1" x14ac:dyDescent="0.3">
      <c r="A5632" s="43" t="s">
        <v>12212</v>
      </c>
      <c r="B5632" s="21" t="s">
        <v>12213</v>
      </c>
      <c r="C5632" s="21" t="s">
        <v>22655</v>
      </c>
      <c r="D5632" s="22">
        <v>46034</v>
      </c>
      <c r="E5632" s="23" t="s">
        <v>22656</v>
      </c>
      <c r="F5632" s="24" t="s">
        <v>22657</v>
      </c>
      <c r="G5632" s="25">
        <v>4</v>
      </c>
      <c r="H5632" s="26"/>
      <c r="I5632" s="27"/>
    </row>
    <row r="5633" spans="1:9" ht="15.75" thickBot="1" x14ac:dyDescent="0.3">
      <c r="A5633" s="43" t="s">
        <v>481</v>
      </c>
      <c r="B5633" s="21" t="s">
        <v>482</v>
      </c>
      <c r="C5633" s="21" t="s">
        <v>22655</v>
      </c>
      <c r="D5633" s="22">
        <v>46034</v>
      </c>
      <c r="E5633" s="23" t="s">
        <v>22665</v>
      </c>
      <c r="F5633" s="24" t="s">
        <v>22657</v>
      </c>
      <c r="G5633" s="25">
        <v>24</v>
      </c>
      <c r="H5633" s="32">
        <v>24</v>
      </c>
      <c r="I5633" s="33">
        <v>48</v>
      </c>
    </row>
    <row r="5634" spans="1:9" ht="15.75" thickBot="1" x14ac:dyDescent="0.3">
      <c r="A5634" s="43" t="s">
        <v>1119</v>
      </c>
      <c r="B5634" s="21" t="s">
        <v>1120</v>
      </c>
      <c r="C5634" s="21" t="s">
        <v>22655</v>
      </c>
      <c r="D5634" s="22">
        <v>46034</v>
      </c>
      <c r="E5634" s="23" t="s">
        <v>22661</v>
      </c>
      <c r="F5634" s="24" t="s">
        <v>22657</v>
      </c>
      <c r="G5634" s="25">
        <v>12</v>
      </c>
      <c r="H5634" s="34">
        <v>12</v>
      </c>
      <c r="I5634" s="35">
        <v>24</v>
      </c>
    </row>
    <row r="5635" spans="1:9" ht="15.75" thickBot="1" x14ac:dyDescent="0.3">
      <c r="A5635" s="43" t="s">
        <v>1996</v>
      </c>
      <c r="B5635" s="21" t="s">
        <v>1997</v>
      </c>
      <c r="C5635" s="21" t="s">
        <v>22655</v>
      </c>
      <c r="D5635" s="22">
        <v>46034</v>
      </c>
      <c r="E5635" s="23" t="s">
        <v>22661</v>
      </c>
      <c r="F5635" s="24" t="s">
        <v>22657</v>
      </c>
      <c r="G5635" s="25">
        <v>12</v>
      </c>
      <c r="H5635" s="32">
        <v>12</v>
      </c>
      <c r="I5635" s="33">
        <v>24</v>
      </c>
    </row>
    <row r="5636" spans="1:9" ht="15.75" thickBot="1" x14ac:dyDescent="0.3">
      <c r="A5636" s="43" t="s">
        <v>12214</v>
      </c>
      <c r="B5636" s="21" t="s">
        <v>12215</v>
      </c>
      <c r="C5636" s="21" t="s">
        <v>22655</v>
      </c>
      <c r="D5636" s="22">
        <v>46034</v>
      </c>
      <c r="E5636" s="23" t="s">
        <v>22661</v>
      </c>
      <c r="F5636" s="24" t="s">
        <v>22657</v>
      </c>
      <c r="G5636" s="25">
        <v>5</v>
      </c>
      <c r="H5636" s="26"/>
      <c r="I5636" s="27"/>
    </row>
    <row r="5637" spans="1:9" ht="15.75" thickBot="1" x14ac:dyDescent="0.3">
      <c r="A5637" s="43" t="s">
        <v>12216</v>
      </c>
      <c r="B5637" s="21" t="s">
        <v>12217</v>
      </c>
      <c r="C5637" s="21" t="s">
        <v>22655</v>
      </c>
      <c r="D5637" s="22">
        <v>46034</v>
      </c>
      <c r="E5637" s="23" t="s">
        <v>22661</v>
      </c>
      <c r="F5637" s="24" t="s">
        <v>22657</v>
      </c>
      <c r="G5637" s="25">
        <v>12</v>
      </c>
      <c r="H5637" s="32">
        <v>12</v>
      </c>
      <c r="I5637" s="33">
        <v>24</v>
      </c>
    </row>
    <row r="5638" spans="1:9" ht="15.75" thickBot="1" x14ac:dyDescent="0.3">
      <c r="A5638" s="43" t="s">
        <v>12218</v>
      </c>
      <c r="B5638" s="21" t="s">
        <v>12219</v>
      </c>
      <c r="C5638" s="21" t="s">
        <v>22655</v>
      </c>
      <c r="D5638" s="22">
        <v>46034</v>
      </c>
      <c r="E5638" s="23" t="s">
        <v>22656</v>
      </c>
      <c r="F5638" s="24" t="s">
        <v>22657</v>
      </c>
      <c r="G5638" s="25">
        <v>4</v>
      </c>
      <c r="H5638" s="26"/>
      <c r="I5638" s="27"/>
    </row>
    <row r="5639" spans="1:9" ht="15.75" thickBot="1" x14ac:dyDescent="0.3">
      <c r="A5639" s="43" t="s">
        <v>12220</v>
      </c>
      <c r="B5639" s="21" t="s">
        <v>12221</v>
      </c>
      <c r="C5639" s="21" t="s">
        <v>22655</v>
      </c>
      <c r="D5639" s="22">
        <v>46034</v>
      </c>
      <c r="E5639" s="23" t="s">
        <v>22661</v>
      </c>
      <c r="F5639" s="24" t="s">
        <v>22657</v>
      </c>
      <c r="G5639" s="25">
        <v>11</v>
      </c>
      <c r="H5639" s="29"/>
      <c r="I5639" s="30"/>
    </row>
    <row r="5640" spans="1:9" ht="15.75" thickBot="1" x14ac:dyDescent="0.3">
      <c r="A5640" s="43" t="s">
        <v>12222</v>
      </c>
      <c r="B5640" s="21" t="s">
        <v>12223</v>
      </c>
      <c r="C5640" s="21" t="s">
        <v>22663</v>
      </c>
      <c r="D5640" s="31">
        <v>1</v>
      </c>
      <c r="E5640" s="23" t="s">
        <v>22656</v>
      </c>
      <c r="F5640" s="24" t="s">
        <v>22657</v>
      </c>
      <c r="G5640" s="25">
        <v>2</v>
      </c>
      <c r="H5640" s="26"/>
      <c r="I5640" s="27"/>
    </row>
    <row r="5641" spans="1:9" ht="15.75" thickBot="1" x14ac:dyDescent="0.3">
      <c r="A5641" s="43" t="s">
        <v>12224</v>
      </c>
      <c r="B5641" s="21" t="s">
        <v>12225</v>
      </c>
      <c r="C5641" s="21" t="s">
        <v>22709</v>
      </c>
      <c r="D5641" s="31">
        <v>1</v>
      </c>
      <c r="E5641" s="23" t="s">
        <v>22658</v>
      </c>
      <c r="F5641" s="24" t="s">
        <v>22657</v>
      </c>
      <c r="G5641" s="25">
        <v>1</v>
      </c>
      <c r="H5641" s="29"/>
      <c r="I5641" s="30"/>
    </row>
    <row r="5642" spans="1:9" ht="15.75" thickBot="1" x14ac:dyDescent="0.3">
      <c r="A5642" s="43" t="s">
        <v>12226</v>
      </c>
      <c r="B5642" s="21" t="s">
        <v>12227</v>
      </c>
      <c r="C5642" s="21" t="s">
        <v>22655</v>
      </c>
      <c r="D5642" s="31" t="s">
        <v>22666</v>
      </c>
      <c r="E5642" s="23" t="s">
        <v>22661</v>
      </c>
      <c r="F5642" s="24" t="s">
        <v>22657</v>
      </c>
      <c r="G5642" s="25">
        <v>7</v>
      </c>
      <c r="H5642" s="26"/>
      <c r="I5642" s="27"/>
    </row>
    <row r="5643" spans="1:9" ht="15.75" thickBot="1" x14ac:dyDescent="0.3">
      <c r="A5643" s="43" t="s">
        <v>12228</v>
      </c>
      <c r="B5643" s="21" t="s">
        <v>12229</v>
      </c>
      <c r="C5643" s="21" t="s">
        <v>22709</v>
      </c>
      <c r="D5643" s="31">
        <v>1</v>
      </c>
      <c r="E5643" s="23" t="s">
        <v>22658</v>
      </c>
      <c r="F5643" s="24" t="s">
        <v>22657</v>
      </c>
      <c r="G5643" s="25">
        <v>1</v>
      </c>
      <c r="H5643" s="29"/>
      <c r="I5643" s="30"/>
    </row>
    <row r="5644" spans="1:9" ht="15.75" thickBot="1" x14ac:dyDescent="0.3">
      <c r="A5644" s="43" t="s">
        <v>12230</v>
      </c>
      <c r="B5644" s="21" t="s">
        <v>12231</v>
      </c>
      <c r="C5644" s="21" t="s">
        <v>22655</v>
      </c>
      <c r="D5644" s="22">
        <v>46028</v>
      </c>
      <c r="E5644" s="23" t="s">
        <v>22656</v>
      </c>
      <c r="F5644" s="24" t="s">
        <v>22657</v>
      </c>
      <c r="G5644" s="25">
        <v>3</v>
      </c>
      <c r="H5644" s="26"/>
      <c r="I5644" s="27"/>
    </row>
    <row r="5645" spans="1:9" ht="15.75" thickBot="1" x14ac:dyDescent="0.3">
      <c r="A5645" s="43" t="s">
        <v>12232</v>
      </c>
      <c r="B5645" s="21" t="s">
        <v>12233</v>
      </c>
      <c r="C5645" s="21" t="s">
        <v>22655</v>
      </c>
      <c r="D5645" s="22">
        <v>46034</v>
      </c>
      <c r="E5645" s="23" t="s">
        <v>22656</v>
      </c>
      <c r="F5645" s="24" t="s">
        <v>22657</v>
      </c>
      <c r="G5645" s="25">
        <v>4</v>
      </c>
      <c r="H5645" s="29"/>
      <c r="I5645" s="30"/>
    </row>
    <row r="5646" spans="1:9" ht="15.75" thickBot="1" x14ac:dyDescent="0.3">
      <c r="A5646" s="43" t="s">
        <v>12234</v>
      </c>
      <c r="B5646" s="21" t="s">
        <v>12235</v>
      </c>
      <c r="C5646" s="21" t="s">
        <v>22655</v>
      </c>
      <c r="D5646" s="22">
        <v>46028</v>
      </c>
      <c r="E5646" s="23" t="s">
        <v>22656</v>
      </c>
      <c r="F5646" s="24" t="s">
        <v>22657</v>
      </c>
      <c r="G5646" s="25">
        <v>2</v>
      </c>
      <c r="H5646" s="26"/>
      <c r="I5646" s="27"/>
    </row>
    <row r="5647" spans="1:9" ht="15.75" thickBot="1" x14ac:dyDescent="0.3">
      <c r="A5647" s="43" t="s">
        <v>12236</v>
      </c>
      <c r="B5647" s="21" t="s">
        <v>12237</v>
      </c>
      <c r="C5647" s="21" t="s">
        <v>22655</v>
      </c>
      <c r="D5647" s="22">
        <v>46028</v>
      </c>
      <c r="E5647" s="23" t="s">
        <v>22656</v>
      </c>
      <c r="F5647" s="24" t="s">
        <v>22657</v>
      </c>
      <c r="G5647" s="25">
        <v>2</v>
      </c>
      <c r="H5647" s="29"/>
      <c r="I5647" s="30"/>
    </row>
    <row r="5648" spans="1:9" ht="15.75" thickBot="1" x14ac:dyDescent="0.3">
      <c r="A5648" s="43" t="s">
        <v>12238</v>
      </c>
      <c r="B5648" s="21" t="s">
        <v>12239</v>
      </c>
      <c r="C5648" s="21" t="s">
        <v>22655</v>
      </c>
      <c r="D5648" s="22">
        <v>46028</v>
      </c>
      <c r="E5648" s="23" t="s">
        <v>22656</v>
      </c>
      <c r="F5648" s="24" t="s">
        <v>22657</v>
      </c>
      <c r="G5648" s="25">
        <v>2</v>
      </c>
      <c r="H5648" s="26"/>
      <c r="I5648" s="27"/>
    </row>
    <row r="5649" spans="1:9" ht="15.75" thickBot="1" x14ac:dyDescent="0.3">
      <c r="A5649" s="43" t="s">
        <v>12240</v>
      </c>
      <c r="B5649" s="21" t="s">
        <v>12241</v>
      </c>
      <c r="C5649" s="21" t="s">
        <v>22655</v>
      </c>
      <c r="D5649" s="22">
        <v>46034</v>
      </c>
      <c r="E5649" s="23" t="s">
        <v>22656</v>
      </c>
      <c r="F5649" s="24" t="s">
        <v>22657</v>
      </c>
      <c r="G5649" s="25">
        <v>4</v>
      </c>
      <c r="H5649" s="29"/>
      <c r="I5649" s="30"/>
    </row>
    <row r="5650" spans="1:9" ht="15.75" thickBot="1" x14ac:dyDescent="0.3">
      <c r="A5650" s="43" t="s">
        <v>12242</v>
      </c>
      <c r="B5650" s="21" t="s">
        <v>12243</v>
      </c>
      <c r="C5650" s="21" t="s">
        <v>22655</v>
      </c>
      <c r="D5650" s="22">
        <v>46028</v>
      </c>
      <c r="E5650" s="23" t="s">
        <v>22656</v>
      </c>
      <c r="F5650" s="24" t="s">
        <v>22657</v>
      </c>
      <c r="G5650" s="25">
        <v>2</v>
      </c>
      <c r="H5650" s="26"/>
      <c r="I5650" s="27"/>
    </row>
    <row r="5651" spans="1:9" ht="15.75" thickBot="1" x14ac:dyDescent="0.3">
      <c r="A5651" s="43" t="s">
        <v>12244</v>
      </c>
      <c r="B5651" s="21" t="s">
        <v>12245</v>
      </c>
      <c r="C5651" s="21" t="s">
        <v>22655</v>
      </c>
      <c r="D5651" s="31" t="s">
        <v>22666</v>
      </c>
      <c r="E5651" s="23" t="s">
        <v>22656</v>
      </c>
      <c r="F5651" s="24" t="s">
        <v>22657</v>
      </c>
      <c r="G5651" s="25">
        <v>12</v>
      </c>
      <c r="H5651" s="32">
        <v>12</v>
      </c>
      <c r="I5651" s="33">
        <v>24</v>
      </c>
    </row>
    <row r="5652" spans="1:9" ht="15.75" thickBot="1" x14ac:dyDescent="0.3">
      <c r="A5652" s="43" t="s">
        <v>12246</v>
      </c>
      <c r="B5652" s="21" t="s">
        <v>12247</v>
      </c>
      <c r="C5652" s="21" t="s">
        <v>22655</v>
      </c>
      <c r="D5652" s="31" t="s">
        <v>22688</v>
      </c>
      <c r="E5652" s="23" t="s">
        <v>22658</v>
      </c>
      <c r="F5652" s="24" t="s">
        <v>22657</v>
      </c>
      <c r="G5652" s="25">
        <v>1</v>
      </c>
      <c r="H5652" s="26"/>
      <c r="I5652" s="27"/>
    </row>
    <row r="5653" spans="1:9" ht="15.75" thickBot="1" x14ac:dyDescent="0.3">
      <c r="A5653" s="43" t="s">
        <v>12248</v>
      </c>
      <c r="B5653" s="21" t="s">
        <v>12249</v>
      </c>
      <c r="C5653" s="21" t="s">
        <v>22655</v>
      </c>
      <c r="D5653" s="31" t="s">
        <v>22688</v>
      </c>
      <c r="E5653" s="23" t="s">
        <v>22658</v>
      </c>
      <c r="F5653" s="24" t="s">
        <v>22657</v>
      </c>
      <c r="G5653" s="25">
        <v>1</v>
      </c>
      <c r="H5653" s="29"/>
      <c r="I5653" s="30"/>
    </row>
    <row r="5654" spans="1:9" ht="15.75" thickBot="1" x14ac:dyDescent="0.3">
      <c r="A5654" s="43" t="s">
        <v>12250</v>
      </c>
      <c r="B5654" s="21" t="s">
        <v>12251</v>
      </c>
      <c r="C5654" s="21" t="s">
        <v>22655</v>
      </c>
      <c r="D5654" s="31" t="s">
        <v>22660</v>
      </c>
      <c r="E5654" s="23" t="s">
        <v>22656</v>
      </c>
      <c r="F5654" s="24" t="s">
        <v>22657</v>
      </c>
      <c r="G5654" s="25">
        <v>4</v>
      </c>
      <c r="H5654" s="26"/>
      <c r="I5654" s="27"/>
    </row>
    <row r="5655" spans="1:9" ht="15.75" thickBot="1" x14ac:dyDescent="0.3">
      <c r="A5655" s="43" t="s">
        <v>1872</v>
      </c>
      <c r="B5655" s="21" t="s">
        <v>1873</v>
      </c>
      <c r="C5655" s="21" t="s">
        <v>22655</v>
      </c>
      <c r="D5655" s="22">
        <v>46034</v>
      </c>
      <c r="E5655" s="23" t="s">
        <v>22661</v>
      </c>
      <c r="F5655" s="24" t="s">
        <v>22657</v>
      </c>
      <c r="G5655" s="25">
        <v>4</v>
      </c>
      <c r="H5655" s="29"/>
      <c r="I5655" s="30"/>
    </row>
    <row r="5656" spans="1:9" ht="15.75" thickBot="1" x14ac:dyDescent="0.3">
      <c r="A5656" s="43" t="s">
        <v>12252</v>
      </c>
      <c r="B5656" s="21" t="s">
        <v>12253</v>
      </c>
      <c r="C5656" s="21" t="s">
        <v>22655</v>
      </c>
      <c r="D5656" s="31" t="s">
        <v>22660</v>
      </c>
      <c r="E5656" s="23" t="s">
        <v>22661</v>
      </c>
      <c r="F5656" s="24" t="s">
        <v>22657</v>
      </c>
      <c r="G5656" s="25">
        <v>7</v>
      </c>
      <c r="H5656" s="26"/>
      <c r="I5656" s="27"/>
    </row>
    <row r="5657" spans="1:9" ht="15.75" thickBot="1" x14ac:dyDescent="0.3">
      <c r="A5657" s="43" t="s">
        <v>12254</v>
      </c>
      <c r="B5657" s="21" t="s">
        <v>12255</v>
      </c>
      <c r="C5657" s="21" t="s">
        <v>22655</v>
      </c>
      <c r="D5657" s="31" t="s">
        <v>22660</v>
      </c>
      <c r="E5657" s="23" t="s">
        <v>22656</v>
      </c>
      <c r="F5657" s="24" t="s">
        <v>22657</v>
      </c>
      <c r="G5657" s="25">
        <v>4</v>
      </c>
      <c r="H5657" s="29"/>
      <c r="I5657" s="30"/>
    </row>
    <row r="5658" spans="1:9" ht="15.75" thickBot="1" x14ac:dyDescent="0.3">
      <c r="A5658" s="43" t="s">
        <v>12256</v>
      </c>
      <c r="B5658" s="21" t="s">
        <v>12257</v>
      </c>
      <c r="C5658" s="21" t="s">
        <v>22655</v>
      </c>
      <c r="D5658" s="22">
        <v>46046</v>
      </c>
      <c r="E5658" s="23" t="s">
        <v>22656</v>
      </c>
      <c r="F5658" s="24" t="s">
        <v>22657</v>
      </c>
      <c r="G5658" s="25">
        <v>4</v>
      </c>
      <c r="H5658" s="26"/>
      <c r="I5658" s="27"/>
    </row>
    <row r="5659" spans="1:9" ht="15.75" thickBot="1" x14ac:dyDescent="0.3">
      <c r="A5659" s="43" t="s">
        <v>12258</v>
      </c>
      <c r="B5659" s="21" t="s">
        <v>12259</v>
      </c>
      <c r="C5659" s="21" t="s">
        <v>22655</v>
      </c>
      <c r="D5659" s="31" t="s">
        <v>22708</v>
      </c>
      <c r="E5659" s="23" t="s">
        <v>22656</v>
      </c>
      <c r="F5659" s="24" t="s">
        <v>22657</v>
      </c>
      <c r="G5659" s="25">
        <v>4</v>
      </c>
      <c r="H5659" s="29"/>
      <c r="I5659" s="30"/>
    </row>
    <row r="5660" spans="1:9" ht="15.75" thickBot="1" x14ac:dyDescent="0.3">
      <c r="A5660" s="43" t="s">
        <v>12260</v>
      </c>
      <c r="B5660" s="21" t="s">
        <v>12261</v>
      </c>
      <c r="C5660" s="21" t="s">
        <v>22655</v>
      </c>
      <c r="D5660" s="31" t="s">
        <v>22708</v>
      </c>
      <c r="E5660" s="23" t="s">
        <v>22656</v>
      </c>
      <c r="F5660" s="24" t="s">
        <v>22657</v>
      </c>
      <c r="G5660" s="25">
        <v>4</v>
      </c>
      <c r="H5660" s="26"/>
      <c r="I5660" s="27"/>
    </row>
    <row r="5661" spans="1:9" ht="15.75" thickBot="1" x14ac:dyDescent="0.3">
      <c r="A5661" s="43" t="s">
        <v>12262</v>
      </c>
      <c r="B5661" s="21" t="s">
        <v>12263</v>
      </c>
      <c r="C5661" s="21" t="s">
        <v>22655</v>
      </c>
      <c r="D5661" s="31" t="s">
        <v>22660</v>
      </c>
      <c r="E5661" s="23" t="s">
        <v>22656</v>
      </c>
      <c r="F5661" s="24" t="s">
        <v>22657</v>
      </c>
      <c r="G5661" s="25">
        <v>4</v>
      </c>
      <c r="H5661" s="29"/>
      <c r="I5661" s="30"/>
    </row>
    <row r="5662" spans="1:9" ht="15.75" thickBot="1" x14ac:dyDescent="0.3">
      <c r="A5662" s="43" t="s">
        <v>12264</v>
      </c>
      <c r="B5662" s="21" t="s">
        <v>12265</v>
      </c>
      <c r="C5662" s="21" t="s">
        <v>22655</v>
      </c>
      <c r="D5662" s="22">
        <v>46034</v>
      </c>
      <c r="E5662" s="23" t="s">
        <v>22656</v>
      </c>
      <c r="F5662" s="24" t="s">
        <v>22657</v>
      </c>
      <c r="G5662" s="25">
        <v>4</v>
      </c>
      <c r="H5662" s="26"/>
      <c r="I5662" s="27"/>
    </row>
    <row r="5663" spans="1:9" ht="15.75" thickBot="1" x14ac:dyDescent="0.3">
      <c r="A5663" s="43" t="s">
        <v>12266</v>
      </c>
      <c r="B5663" s="21" t="s">
        <v>12267</v>
      </c>
      <c r="C5663" s="21" t="s">
        <v>22655</v>
      </c>
      <c r="D5663" s="31" t="s">
        <v>22660</v>
      </c>
      <c r="E5663" s="23" t="s">
        <v>22656</v>
      </c>
      <c r="F5663" s="24" t="s">
        <v>22657</v>
      </c>
      <c r="G5663" s="25">
        <v>4</v>
      </c>
      <c r="H5663" s="29"/>
      <c r="I5663" s="30"/>
    </row>
    <row r="5664" spans="1:9" ht="15.75" thickBot="1" x14ac:dyDescent="0.3">
      <c r="A5664" s="43" t="s">
        <v>12268</v>
      </c>
      <c r="B5664" s="21" t="s">
        <v>12269</v>
      </c>
      <c r="C5664" s="21" t="s">
        <v>22655</v>
      </c>
      <c r="D5664" s="31" t="s">
        <v>22660</v>
      </c>
      <c r="E5664" s="23" t="s">
        <v>22656</v>
      </c>
      <c r="F5664" s="24" t="s">
        <v>22657</v>
      </c>
      <c r="G5664" s="25">
        <v>4</v>
      </c>
      <c r="H5664" s="26"/>
      <c r="I5664" s="27"/>
    </row>
    <row r="5665" spans="1:9" ht="15.75" thickBot="1" x14ac:dyDescent="0.3">
      <c r="A5665" s="43" t="s">
        <v>357</v>
      </c>
      <c r="B5665" s="21" t="s">
        <v>12270</v>
      </c>
      <c r="C5665" s="21" t="s">
        <v>22655</v>
      </c>
      <c r="D5665" s="22">
        <v>46028</v>
      </c>
      <c r="E5665" s="23" t="s">
        <v>22656</v>
      </c>
      <c r="F5665" s="24" t="s">
        <v>22657</v>
      </c>
      <c r="G5665" s="25">
        <v>6</v>
      </c>
      <c r="H5665" s="32">
        <v>6</v>
      </c>
      <c r="I5665" s="33">
        <v>10</v>
      </c>
    </row>
    <row r="5666" spans="1:9" ht="15.75" thickBot="1" x14ac:dyDescent="0.3">
      <c r="A5666" s="43" t="s">
        <v>1805</v>
      </c>
      <c r="B5666" s="21" t="s">
        <v>1806</v>
      </c>
      <c r="C5666" s="21" t="s">
        <v>22655</v>
      </c>
      <c r="D5666" s="22">
        <v>46034</v>
      </c>
      <c r="E5666" s="23" t="s">
        <v>22656</v>
      </c>
      <c r="F5666" s="24" t="s">
        <v>22657</v>
      </c>
      <c r="G5666" s="25">
        <v>8</v>
      </c>
      <c r="H5666" s="34">
        <v>8</v>
      </c>
      <c r="I5666" s="35">
        <v>15</v>
      </c>
    </row>
    <row r="5667" spans="1:9" ht="15.75" thickBot="1" x14ac:dyDescent="0.3">
      <c r="A5667" s="43" t="s">
        <v>12271</v>
      </c>
      <c r="B5667" s="21" t="s">
        <v>12272</v>
      </c>
      <c r="C5667" s="21" t="s">
        <v>22698</v>
      </c>
      <c r="D5667" s="31">
        <v>1</v>
      </c>
      <c r="E5667" s="23" t="s">
        <v>22658</v>
      </c>
      <c r="F5667" s="28" t="s">
        <v>22659</v>
      </c>
      <c r="G5667" s="25">
        <v>1</v>
      </c>
      <c r="H5667" s="29"/>
      <c r="I5667" s="30"/>
    </row>
    <row r="5668" spans="1:9" ht="15.75" thickBot="1" x14ac:dyDescent="0.3">
      <c r="A5668" s="43" t="s">
        <v>12273</v>
      </c>
      <c r="B5668" s="21" t="s">
        <v>12274</v>
      </c>
      <c r="C5668" s="21" t="s">
        <v>22663</v>
      </c>
      <c r="D5668" s="31">
        <v>1</v>
      </c>
      <c r="E5668" s="23" t="s">
        <v>22656</v>
      </c>
      <c r="F5668" s="24" t="s">
        <v>22657</v>
      </c>
      <c r="G5668" s="25">
        <v>2</v>
      </c>
      <c r="H5668" s="26"/>
      <c r="I5668" s="27"/>
    </row>
    <row r="5669" spans="1:9" ht="15.75" thickBot="1" x14ac:dyDescent="0.3">
      <c r="A5669" s="43" t="s">
        <v>395</v>
      </c>
      <c r="B5669" s="21" t="s">
        <v>396</v>
      </c>
      <c r="C5669" s="21" t="s">
        <v>22655</v>
      </c>
      <c r="D5669" s="22">
        <v>46034</v>
      </c>
      <c r="E5669" s="23" t="s">
        <v>22656</v>
      </c>
      <c r="F5669" s="24" t="s">
        <v>22657</v>
      </c>
      <c r="G5669" s="25">
        <v>6</v>
      </c>
      <c r="H5669" s="32">
        <v>6</v>
      </c>
      <c r="I5669" s="33">
        <v>10</v>
      </c>
    </row>
    <row r="5670" spans="1:9" ht="15.75" thickBot="1" x14ac:dyDescent="0.3">
      <c r="A5670" s="43" t="s">
        <v>12275</v>
      </c>
      <c r="B5670" s="21" t="s">
        <v>12276</v>
      </c>
      <c r="C5670" s="21" t="s">
        <v>22663</v>
      </c>
      <c r="D5670" s="31">
        <v>1</v>
      </c>
      <c r="E5670" s="23" t="s">
        <v>22658</v>
      </c>
      <c r="F5670" s="24" t="s">
        <v>22657</v>
      </c>
      <c r="G5670" s="25">
        <v>1</v>
      </c>
      <c r="H5670" s="26"/>
      <c r="I5670" s="27"/>
    </row>
    <row r="5671" spans="1:9" ht="15.75" thickBot="1" x14ac:dyDescent="0.3">
      <c r="A5671" s="43" t="s">
        <v>12277</v>
      </c>
      <c r="B5671" s="21" t="s">
        <v>12278</v>
      </c>
      <c r="C5671" s="21" t="s">
        <v>22682</v>
      </c>
      <c r="D5671" s="22">
        <v>46034</v>
      </c>
      <c r="E5671" s="23" t="s">
        <v>22658</v>
      </c>
      <c r="F5671" s="24" t="s">
        <v>22657</v>
      </c>
      <c r="G5671" s="25">
        <v>4</v>
      </c>
      <c r="H5671" s="29"/>
      <c r="I5671" s="30"/>
    </row>
    <row r="5672" spans="1:9" ht="15.75" thickBot="1" x14ac:dyDescent="0.3">
      <c r="A5672" s="43" t="s">
        <v>12279</v>
      </c>
      <c r="B5672" s="21" t="s">
        <v>12280</v>
      </c>
      <c r="C5672" s="21" t="s">
        <v>22682</v>
      </c>
      <c r="D5672" s="22">
        <v>46034</v>
      </c>
      <c r="E5672" s="23" t="s">
        <v>22658</v>
      </c>
      <c r="F5672" s="24" t="s">
        <v>22657</v>
      </c>
      <c r="G5672" s="25">
        <v>4</v>
      </c>
      <c r="H5672" s="26"/>
      <c r="I5672" s="27"/>
    </row>
    <row r="5673" spans="1:9" ht="15.75" thickBot="1" x14ac:dyDescent="0.3">
      <c r="A5673" s="43" t="s">
        <v>12281</v>
      </c>
      <c r="B5673" s="21" t="s">
        <v>12282</v>
      </c>
      <c r="C5673" s="21" t="s">
        <v>22682</v>
      </c>
      <c r="D5673" s="22">
        <v>46034</v>
      </c>
      <c r="E5673" s="23" t="s">
        <v>22658</v>
      </c>
      <c r="F5673" s="24" t="s">
        <v>22657</v>
      </c>
      <c r="G5673" s="25">
        <v>4</v>
      </c>
      <c r="H5673" s="29"/>
      <c r="I5673" s="30"/>
    </row>
    <row r="5674" spans="1:9" ht="15.75" thickBot="1" x14ac:dyDescent="0.3">
      <c r="A5674" s="43" t="s">
        <v>12285</v>
      </c>
      <c r="B5674" s="21" t="s">
        <v>12286</v>
      </c>
      <c r="C5674" s="21" t="s">
        <v>22682</v>
      </c>
      <c r="D5674" s="22">
        <v>46034</v>
      </c>
      <c r="E5674" s="23" t="s">
        <v>22658</v>
      </c>
      <c r="F5674" s="24" t="s">
        <v>22657</v>
      </c>
      <c r="G5674" s="25">
        <v>4</v>
      </c>
      <c r="H5674" s="26"/>
      <c r="I5674" s="27"/>
    </row>
    <row r="5675" spans="1:9" ht="15.75" thickBot="1" x14ac:dyDescent="0.3">
      <c r="A5675" s="43" t="s">
        <v>12287</v>
      </c>
      <c r="B5675" s="21" t="s">
        <v>12288</v>
      </c>
      <c r="C5675" s="21" t="s">
        <v>22682</v>
      </c>
      <c r="D5675" s="22">
        <v>46034</v>
      </c>
      <c r="E5675" s="23" t="s">
        <v>22656</v>
      </c>
      <c r="F5675" s="24" t="s">
        <v>22657</v>
      </c>
      <c r="G5675" s="25">
        <v>4</v>
      </c>
      <c r="H5675" s="29"/>
      <c r="I5675" s="30"/>
    </row>
    <row r="5676" spans="1:9" ht="15.75" thickBot="1" x14ac:dyDescent="0.3">
      <c r="A5676" s="43" t="s">
        <v>12289</v>
      </c>
      <c r="B5676" s="21" t="s">
        <v>12290</v>
      </c>
      <c r="C5676" s="21" t="s">
        <v>22682</v>
      </c>
      <c r="D5676" s="22">
        <v>46034</v>
      </c>
      <c r="E5676" s="23" t="s">
        <v>22658</v>
      </c>
      <c r="F5676" s="24" t="s">
        <v>22657</v>
      </c>
      <c r="G5676" s="25">
        <v>4</v>
      </c>
      <c r="H5676" s="26"/>
      <c r="I5676" s="27"/>
    </row>
    <row r="5677" spans="1:9" ht="15.75" thickBot="1" x14ac:dyDescent="0.3">
      <c r="A5677" s="43" t="s">
        <v>12283</v>
      </c>
      <c r="B5677" s="21" t="s">
        <v>12284</v>
      </c>
      <c r="C5677" s="21" t="s">
        <v>22682</v>
      </c>
      <c r="D5677" s="22">
        <v>46034</v>
      </c>
      <c r="E5677" s="23" t="s">
        <v>22656</v>
      </c>
      <c r="F5677" s="24" t="s">
        <v>22657</v>
      </c>
      <c r="G5677" s="25">
        <v>4</v>
      </c>
      <c r="H5677" s="29"/>
      <c r="I5677" s="30"/>
    </row>
    <row r="5678" spans="1:9" ht="15.75" thickBot="1" x14ac:dyDescent="0.3">
      <c r="A5678" s="43" t="s">
        <v>12291</v>
      </c>
      <c r="B5678" s="21" t="s">
        <v>12292</v>
      </c>
      <c r="C5678" s="21" t="s">
        <v>22682</v>
      </c>
      <c r="D5678" s="22">
        <v>46034</v>
      </c>
      <c r="E5678" s="23" t="s">
        <v>22658</v>
      </c>
      <c r="F5678" s="24" t="s">
        <v>22657</v>
      </c>
      <c r="G5678" s="25">
        <v>4</v>
      </c>
      <c r="H5678" s="26"/>
      <c r="I5678" s="27"/>
    </row>
    <row r="5679" spans="1:9" ht="15.75" thickBot="1" x14ac:dyDescent="0.3">
      <c r="A5679" s="43" t="s">
        <v>12293</v>
      </c>
      <c r="B5679" s="21" t="s">
        <v>12294</v>
      </c>
      <c r="C5679" s="21" t="s">
        <v>22682</v>
      </c>
      <c r="D5679" s="22">
        <v>46034</v>
      </c>
      <c r="E5679" s="23" t="s">
        <v>22658</v>
      </c>
      <c r="F5679" s="24" t="s">
        <v>22657</v>
      </c>
      <c r="G5679" s="25">
        <v>4</v>
      </c>
      <c r="H5679" s="29"/>
      <c r="I5679" s="30"/>
    </row>
    <row r="5680" spans="1:9" ht="15.75" thickBot="1" x14ac:dyDescent="0.3">
      <c r="A5680" s="43" t="s">
        <v>12295</v>
      </c>
      <c r="B5680" s="21" t="s">
        <v>12296</v>
      </c>
      <c r="C5680" s="21" t="s">
        <v>22682</v>
      </c>
      <c r="D5680" s="22">
        <v>46034</v>
      </c>
      <c r="E5680" s="23" t="s">
        <v>22658</v>
      </c>
      <c r="F5680" s="24" t="s">
        <v>22657</v>
      </c>
      <c r="G5680" s="25">
        <v>4</v>
      </c>
      <c r="H5680" s="26"/>
      <c r="I5680" s="27"/>
    </row>
    <row r="5681" spans="1:9" ht="15.75" thickBot="1" x14ac:dyDescent="0.3">
      <c r="A5681" s="43" t="s">
        <v>12297</v>
      </c>
      <c r="B5681" s="21" t="s">
        <v>12298</v>
      </c>
      <c r="C5681" s="21" t="s">
        <v>22682</v>
      </c>
      <c r="D5681" s="22">
        <v>46034</v>
      </c>
      <c r="E5681" s="23" t="s">
        <v>22656</v>
      </c>
      <c r="F5681" s="24" t="s">
        <v>22657</v>
      </c>
      <c r="G5681" s="25">
        <v>4</v>
      </c>
      <c r="H5681" s="29"/>
      <c r="I5681" s="30"/>
    </row>
    <row r="5682" spans="1:9" ht="15.75" thickBot="1" x14ac:dyDescent="0.3">
      <c r="A5682" s="43" t="s">
        <v>12299</v>
      </c>
      <c r="B5682" s="21" t="s">
        <v>12300</v>
      </c>
      <c r="C5682" s="21" t="s">
        <v>22682</v>
      </c>
      <c r="D5682" s="22">
        <v>46034</v>
      </c>
      <c r="E5682" s="23" t="s">
        <v>22658</v>
      </c>
      <c r="F5682" s="24" t="s">
        <v>22657</v>
      </c>
      <c r="G5682" s="25">
        <v>4</v>
      </c>
      <c r="H5682" s="26"/>
      <c r="I5682" s="27"/>
    </row>
    <row r="5683" spans="1:9" ht="15.75" thickBot="1" x14ac:dyDescent="0.3">
      <c r="A5683" s="43" t="s">
        <v>12301</v>
      </c>
      <c r="B5683" s="21" t="s">
        <v>12302</v>
      </c>
      <c r="C5683" s="21" t="s">
        <v>22672</v>
      </c>
      <c r="D5683" s="22">
        <v>46028</v>
      </c>
      <c r="E5683" s="23" t="s">
        <v>22656</v>
      </c>
      <c r="F5683" s="24" t="s">
        <v>22657</v>
      </c>
      <c r="G5683" s="25">
        <v>2</v>
      </c>
      <c r="H5683" s="29"/>
      <c r="I5683" s="30"/>
    </row>
    <row r="5684" spans="1:9" ht="15.75" thickBot="1" x14ac:dyDescent="0.3">
      <c r="A5684" s="43" t="s">
        <v>12303</v>
      </c>
      <c r="B5684" s="21" t="s">
        <v>12304</v>
      </c>
      <c r="C5684" s="21" t="s">
        <v>22672</v>
      </c>
      <c r="D5684" s="22">
        <v>46028</v>
      </c>
      <c r="E5684" s="23" t="s">
        <v>22656</v>
      </c>
      <c r="F5684" s="24" t="s">
        <v>22657</v>
      </c>
      <c r="G5684" s="25">
        <v>2</v>
      </c>
      <c r="H5684" s="26"/>
      <c r="I5684" s="27"/>
    </row>
    <row r="5685" spans="1:9" ht="15.75" thickBot="1" x14ac:dyDescent="0.3">
      <c r="A5685" s="43" t="s">
        <v>12305</v>
      </c>
      <c r="B5685" s="21" t="s">
        <v>12306</v>
      </c>
      <c r="C5685" s="21" t="s">
        <v>22672</v>
      </c>
      <c r="D5685" s="22">
        <v>46028</v>
      </c>
      <c r="E5685" s="23" t="s">
        <v>22658</v>
      </c>
      <c r="F5685" s="24" t="s">
        <v>22657</v>
      </c>
      <c r="G5685" s="25">
        <v>2</v>
      </c>
      <c r="H5685" s="29"/>
      <c r="I5685" s="30"/>
    </row>
    <row r="5686" spans="1:9" ht="15.75" thickBot="1" x14ac:dyDescent="0.3">
      <c r="A5686" s="43" t="s">
        <v>12307</v>
      </c>
      <c r="B5686" s="21" t="s">
        <v>12308</v>
      </c>
      <c r="C5686" s="21" t="s">
        <v>22672</v>
      </c>
      <c r="D5686" s="22">
        <v>46028</v>
      </c>
      <c r="E5686" s="23" t="s">
        <v>22658</v>
      </c>
      <c r="F5686" s="24" t="s">
        <v>22657</v>
      </c>
      <c r="G5686" s="25">
        <v>2</v>
      </c>
      <c r="H5686" s="26"/>
      <c r="I5686" s="27"/>
    </row>
    <row r="5687" spans="1:9" ht="15.75" thickBot="1" x14ac:dyDescent="0.3">
      <c r="A5687" s="43" t="s">
        <v>12309</v>
      </c>
      <c r="B5687" s="21" t="s">
        <v>12310</v>
      </c>
      <c r="C5687" s="21" t="s">
        <v>22682</v>
      </c>
      <c r="D5687" s="22">
        <v>46034</v>
      </c>
      <c r="E5687" s="23" t="s">
        <v>22658</v>
      </c>
      <c r="F5687" s="24" t="s">
        <v>22657</v>
      </c>
      <c r="G5687" s="25">
        <v>4</v>
      </c>
      <c r="H5687" s="29"/>
      <c r="I5687" s="30"/>
    </row>
    <row r="5688" spans="1:9" ht="15.75" thickBot="1" x14ac:dyDescent="0.3">
      <c r="A5688" s="43" t="s">
        <v>12311</v>
      </c>
      <c r="B5688" s="21" t="s">
        <v>12312</v>
      </c>
      <c r="C5688" s="21" t="s">
        <v>22672</v>
      </c>
      <c r="D5688" s="22">
        <v>46028</v>
      </c>
      <c r="E5688" s="23" t="s">
        <v>22658</v>
      </c>
      <c r="F5688" s="24" t="s">
        <v>22657</v>
      </c>
      <c r="G5688" s="25">
        <v>2</v>
      </c>
      <c r="H5688" s="26"/>
      <c r="I5688" s="27"/>
    </row>
    <row r="5689" spans="1:9" ht="15.75" thickBot="1" x14ac:dyDescent="0.3">
      <c r="A5689" s="43" t="s">
        <v>12313</v>
      </c>
      <c r="B5689" s="21" t="s">
        <v>12314</v>
      </c>
      <c r="C5689" s="21" t="s">
        <v>22672</v>
      </c>
      <c r="D5689" s="22">
        <v>46028</v>
      </c>
      <c r="E5689" s="23" t="s">
        <v>22658</v>
      </c>
      <c r="F5689" s="24" t="s">
        <v>22657</v>
      </c>
      <c r="G5689" s="25">
        <v>2</v>
      </c>
      <c r="H5689" s="29"/>
      <c r="I5689" s="30"/>
    </row>
    <row r="5690" spans="1:9" ht="15.75" thickBot="1" x14ac:dyDescent="0.3">
      <c r="A5690" s="43" t="s">
        <v>12315</v>
      </c>
      <c r="B5690" s="21" t="s">
        <v>12316</v>
      </c>
      <c r="C5690" s="21" t="s">
        <v>22672</v>
      </c>
      <c r="D5690" s="22">
        <v>46028</v>
      </c>
      <c r="E5690" s="23" t="s">
        <v>22658</v>
      </c>
      <c r="F5690" s="24" t="s">
        <v>22657</v>
      </c>
      <c r="G5690" s="25">
        <v>2</v>
      </c>
      <c r="H5690" s="26"/>
      <c r="I5690" s="27"/>
    </row>
    <row r="5691" spans="1:9" ht="15.75" thickBot="1" x14ac:dyDescent="0.3">
      <c r="A5691" s="43" t="s">
        <v>12317</v>
      </c>
      <c r="B5691" s="21" t="s">
        <v>12318</v>
      </c>
      <c r="C5691" s="21" t="s">
        <v>22682</v>
      </c>
      <c r="D5691" s="22">
        <v>46034</v>
      </c>
      <c r="E5691" s="23" t="s">
        <v>22658</v>
      </c>
      <c r="F5691" s="24" t="s">
        <v>22657</v>
      </c>
      <c r="G5691" s="25">
        <v>1</v>
      </c>
      <c r="H5691" s="29"/>
      <c r="I5691" s="30"/>
    </row>
    <row r="5692" spans="1:9" ht="15.75" thickBot="1" x14ac:dyDescent="0.3">
      <c r="A5692" s="43" t="s">
        <v>12319</v>
      </c>
      <c r="B5692" s="21" t="s">
        <v>12320</v>
      </c>
      <c r="C5692" s="21" t="s">
        <v>22655</v>
      </c>
      <c r="D5692" s="22">
        <v>46046</v>
      </c>
      <c r="E5692" s="23" t="s">
        <v>22656</v>
      </c>
      <c r="F5692" s="24" t="s">
        <v>22657</v>
      </c>
      <c r="G5692" s="25">
        <v>4</v>
      </c>
      <c r="H5692" s="26"/>
      <c r="I5692" s="27"/>
    </row>
    <row r="5693" spans="1:9" ht="15.75" thickBot="1" x14ac:dyDescent="0.3">
      <c r="A5693" s="43" t="s">
        <v>12321</v>
      </c>
      <c r="B5693" s="21" t="s">
        <v>12322</v>
      </c>
      <c r="C5693" s="21" t="s">
        <v>22655</v>
      </c>
      <c r="D5693" s="22">
        <v>46034</v>
      </c>
      <c r="E5693" s="23" t="s">
        <v>22656</v>
      </c>
      <c r="F5693" s="24" t="s">
        <v>22657</v>
      </c>
      <c r="G5693" s="25">
        <v>4</v>
      </c>
      <c r="H5693" s="29"/>
      <c r="I5693" s="30"/>
    </row>
    <row r="5694" spans="1:9" ht="15.75" thickBot="1" x14ac:dyDescent="0.3">
      <c r="A5694" s="43" t="s">
        <v>563</v>
      </c>
      <c r="B5694" s="21" t="s">
        <v>564</v>
      </c>
      <c r="C5694" s="21" t="s">
        <v>22655</v>
      </c>
      <c r="D5694" s="22">
        <v>46046</v>
      </c>
      <c r="E5694" s="23" t="s">
        <v>22662</v>
      </c>
      <c r="F5694" s="24" t="s">
        <v>22657</v>
      </c>
      <c r="G5694" s="25">
        <v>60</v>
      </c>
      <c r="H5694" s="34">
        <v>60</v>
      </c>
      <c r="I5694" s="35">
        <v>120</v>
      </c>
    </row>
    <row r="5695" spans="1:9" ht="15.75" thickBot="1" x14ac:dyDescent="0.3">
      <c r="A5695" s="43" t="s">
        <v>12323</v>
      </c>
      <c r="B5695" s="21" t="s">
        <v>12324</v>
      </c>
      <c r="C5695" s="21" t="s">
        <v>22655</v>
      </c>
      <c r="D5695" s="22">
        <v>46034</v>
      </c>
      <c r="E5695" s="23" t="s">
        <v>22656</v>
      </c>
      <c r="F5695" s="24" t="s">
        <v>22657</v>
      </c>
      <c r="G5695" s="25">
        <v>4</v>
      </c>
      <c r="H5695" s="29"/>
      <c r="I5695" s="30"/>
    </row>
    <row r="5696" spans="1:9" ht="15.75" thickBot="1" x14ac:dyDescent="0.3">
      <c r="A5696" s="43" t="s">
        <v>12325</v>
      </c>
      <c r="B5696" s="21" t="s">
        <v>12326</v>
      </c>
      <c r="C5696" s="21" t="s">
        <v>22805</v>
      </c>
      <c r="D5696" s="31">
        <v>1</v>
      </c>
      <c r="E5696" s="23" t="s">
        <v>22658</v>
      </c>
      <c r="F5696" s="24" t="s">
        <v>22657</v>
      </c>
      <c r="G5696" s="25">
        <v>1</v>
      </c>
      <c r="H5696" s="26"/>
      <c r="I5696" s="27"/>
    </row>
    <row r="5697" spans="1:9" ht="15.75" thickBot="1" x14ac:dyDescent="0.3">
      <c r="A5697" s="43" t="s">
        <v>1313</v>
      </c>
      <c r="B5697" s="21" t="s">
        <v>1314</v>
      </c>
      <c r="C5697" s="21" t="s">
        <v>22655</v>
      </c>
      <c r="D5697" s="22">
        <v>46034</v>
      </c>
      <c r="E5697" s="23" t="s">
        <v>22661</v>
      </c>
      <c r="F5697" s="24" t="s">
        <v>22657</v>
      </c>
      <c r="G5697" s="25">
        <v>6</v>
      </c>
      <c r="H5697" s="32">
        <v>6</v>
      </c>
      <c r="I5697" s="33">
        <v>12</v>
      </c>
    </row>
    <row r="5698" spans="1:9" ht="15.75" thickBot="1" x14ac:dyDescent="0.3">
      <c r="A5698" s="43" t="s">
        <v>12327</v>
      </c>
      <c r="B5698" s="21" t="s">
        <v>12328</v>
      </c>
      <c r="C5698" s="21" t="s">
        <v>22655</v>
      </c>
      <c r="D5698" s="22">
        <v>46034</v>
      </c>
      <c r="E5698" s="23" t="s">
        <v>22656</v>
      </c>
      <c r="F5698" s="24" t="s">
        <v>22657</v>
      </c>
      <c r="G5698" s="25">
        <v>4</v>
      </c>
      <c r="H5698" s="26"/>
      <c r="I5698" s="27"/>
    </row>
    <row r="5699" spans="1:9" ht="15.75" thickBot="1" x14ac:dyDescent="0.3">
      <c r="A5699" s="43" t="s">
        <v>12329</v>
      </c>
      <c r="B5699" s="21" t="s">
        <v>12330</v>
      </c>
      <c r="C5699" s="21" t="s">
        <v>22805</v>
      </c>
      <c r="D5699" s="31">
        <v>1</v>
      </c>
      <c r="E5699" s="23" t="s">
        <v>22656</v>
      </c>
      <c r="F5699" s="24" t="s">
        <v>22657</v>
      </c>
      <c r="G5699" s="25">
        <v>4</v>
      </c>
      <c r="H5699" s="29"/>
      <c r="I5699" s="30"/>
    </row>
    <row r="5700" spans="1:9" ht="15.75" thickBot="1" x14ac:dyDescent="0.3">
      <c r="A5700" s="43" t="s">
        <v>12331</v>
      </c>
      <c r="B5700" s="21" t="s">
        <v>12332</v>
      </c>
      <c r="C5700" s="21" t="s">
        <v>22655</v>
      </c>
      <c r="D5700" s="22">
        <v>46027</v>
      </c>
      <c r="E5700" s="23" t="s">
        <v>22656</v>
      </c>
      <c r="F5700" s="24" t="s">
        <v>22657</v>
      </c>
      <c r="G5700" s="25">
        <v>2</v>
      </c>
      <c r="H5700" s="26"/>
      <c r="I5700" s="27"/>
    </row>
    <row r="5701" spans="1:9" ht="15.75" thickBot="1" x14ac:dyDescent="0.3">
      <c r="A5701" s="43" t="s">
        <v>12333</v>
      </c>
      <c r="B5701" s="21" t="s">
        <v>12334</v>
      </c>
      <c r="C5701" s="21" t="s">
        <v>22655</v>
      </c>
      <c r="D5701" s="22">
        <v>46030</v>
      </c>
      <c r="E5701" s="23" t="s">
        <v>22656</v>
      </c>
      <c r="F5701" s="24" t="s">
        <v>22657</v>
      </c>
      <c r="G5701" s="25">
        <v>3</v>
      </c>
      <c r="H5701" s="29"/>
      <c r="I5701" s="30"/>
    </row>
    <row r="5702" spans="1:9" ht="15.75" thickBot="1" x14ac:dyDescent="0.3">
      <c r="A5702" s="43" t="s">
        <v>12337</v>
      </c>
      <c r="B5702" s="21" t="s">
        <v>12338</v>
      </c>
      <c r="C5702" s="21" t="s">
        <v>22655</v>
      </c>
      <c r="D5702" s="22">
        <v>46046</v>
      </c>
      <c r="E5702" s="23" t="s">
        <v>22658</v>
      </c>
      <c r="F5702" s="24" t="s">
        <v>22657</v>
      </c>
      <c r="G5702" s="25">
        <v>8</v>
      </c>
      <c r="H5702" s="26"/>
      <c r="I5702" s="27"/>
    </row>
    <row r="5703" spans="1:9" ht="15.75" thickBot="1" x14ac:dyDescent="0.3">
      <c r="A5703" s="43" t="s">
        <v>12339</v>
      </c>
      <c r="B5703" s="21" t="s">
        <v>12340</v>
      </c>
      <c r="C5703" s="21" t="s">
        <v>22667</v>
      </c>
      <c r="D5703" s="31" t="s">
        <v>22791</v>
      </c>
      <c r="E5703" s="23" t="s">
        <v>22661</v>
      </c>
      <c r="F5703" s="24" t="s">
        <v>22657</v>
      </c>
      <c r="G5703" s="25">
        <v>5</v>
      </c>
      <c r="H5703" s="29"/>
      <c r="I5703" s="30"/>
    </row>
    <row r="5704" spans="1:9" ht="15.75" thickBot="1" x14ac:dyDescent="0.3">
      <c r="A5704" s="43" t="s">
        <v>12341</v>
      </c>
      <c r="B5704" s="21" t="s">
        <v>12342</v>
      </c>
      <c r="C5704" s="21" t="s">
        <v>22667</v>
      </c>
      <c r="D5704" s="31" t="s">
        <v>22791</v>
      </c>
      <c r="E5704" s="23" t="s">
        <v>22656</v>
      </c>
      <c r="F5704" s="24" t="s">
        <v>22657</v>
      </c>
      <c r="G5704" s="25">
        <v>4</v>
      </c>
      <c r="H5704" s="26"/>
      <c r="I5704" s="27"/>
    </row>
    <row r="5705" spans="1:9" ht="15.75" thickBot="1" x14ac:dyDescent="0.3">
      <c r="A5705" s="43" t="s">
        <v>12343</v>
      </c>
      <c r="B5705" s="21" t="s">
        <v>12344</v>
      </c>
      <c r="C5705" s="21" t="s">
        <v>22667</v>
      </c>
      <c r="D5705" s="31" t="s">
        <v>22791</v>
      </c>
      <c r="E5705" s="23" t="s">
        <v>22656</v>
      </c>
      <c r="F5705" s="24" t="s">
        <v>22657</v>
      </c>
      <c r="G5705" s="25">
        <v>4</v>
      </c>
      <c r="H5705" s="29"/>
      <c r="I5705" s="30"/>
    </row>
    <row r="5706" spans="1:9" ht="15.75" thickBot="1" x14ac:dyDescent="0.3">
      <c r="A5706" s="43" t="s">
        <v>693</v>
      </c>
      <c r="B5706" s="21" t="s">
        <v>12345</v>
      </c>
      <c r="C5706" s="21" t="s">
        <v>22655</v>
      </c>
      <c r="D5706" s="22">
        <v>46032</v>
      </c>
      <c r="E5706" s="23" t="s">
        <v>22656</v>
      </c>
      <c r="F5706" s="24" t="s">
        <v>22657</v>
      </c>
      <c r="G5706" s="25">
        <v>4</v>
      </c>
      <c r="H5706" s="34">
        <v>4</v>
      </c>
      <c r="I5706" s="35">
        <v>6</v>
      </c>
    </row>
    <row r="5707" spans="1:9" ht="15.75" thickBot="1" x14ac:dyDescent="0.3">
      <c r="A5707" s="43" t="s">
        <v>12346</v>
      </c>
      <c r="B5707" s="21" t="s">
        <v>12347</v>
      </c>
      <c r="C5707" s="21" t="s">
        <v>22655</v>
      </c>
      <c r="D5707" s="22">
        <v>46034</v>
      </c>
      <c r="E5707" s="23" t="s">
        <v>22656</v>
      </c>
      <c r="F5707" s="24" t="s">
        <v>22657</v>
      </c>
      <c r="G5707" s="25">
        <v>4</v>
      </c>
      <c r="H5707" s="29"/>
      <c r="I5707" s="30"/>
    </row>
    <row r="5708" spans="1:9" ht="15.75" thickBot="1" x14ac:dyDescent="0.3">
      <c r="A5708" s="43" t="s">
        <v>12348</v>
      </c>
      <c r="B5708" s="21" t="s">
        <v>12349</v>
      </c>
      <c r="C5708" s="21" t="s">
        <v>22655</v>
      </c>
      <c r="D5708" s="22">
        <v>46034</v>
      </c>
      <c r="E5708" s="23" t="s">
        <v>22658</v>
      </c>
      <c r="F5708" s="24" t="s">
        <v>22657</v>
      </c>
      <c r="G5708" s="25">
        <v>1</v>
      </c>
      <c r="H5708" s="26"/>
      <c r="I5708" s="27"/>
    </row>
    <row r="5709" spans="1:9" ht="15.75" thickBot="1" x14ac:dyDescent="0.3">
      <c r="A5709" s="43" t="s">
        <v>12350</v>
      </c>
      <c r="B5709" s="21" t="s">
        <v>12351</v>
      </c>
      <c r="C5709" s="21" t="s">
        <v>22655</v>
      </c>
      <c r="D5709" s="22">
        <v>46034</v>
      </c>
      <c r="E5709" s="23" t="s">
        <v>22656</v>
      </c>
      <c r="F5709" s="24" t="s">
        <v>22657</v>
      </c>
      <c r="G5709" s="25">
        <v>4</v>
      </c>
      <c r="H5709" s="29"/>
      <c r="I5709" s="30"/>
    </row>
    <row r="5710" spans="1:9" ht="15.75" thickBot="1" x14ac:dyDescent="0.3">
      <c r="A5710" s="43" t="s">
        <v>12352</v>
      </c>
      <c r="B5710" s="21" t="s">
        <v>12353</v>
      </c>
      <c r="C5710" s="21" t="s">
        <v>22655</v>
      </c>
      <c r="D5710" s="22">
        <v>46042</v>
      </c>
      <c r="E5710" s="23" t="s">
        <v>22658</v>
      </c>
      <c r="F5710" s="24" t="s">
        <v>22657</v>
      </c>
      <c r="G5710" s="25">
        <v>1</v>
      </c>
      <c r="H5710" s="26"/>
      <c r="I5710" s="27"/>
    </row>
    <row r="5711" spans="1:9" ht="15.75" thickBot="1" x14ac:dyDescent="0.3">
      <c r="A5711" s="43" t="s">
        <v>12354</v>
      </c>
      <c r="B5711" s="21" t="s">
        <v>12355</v>
      </c>
      <c r="C5711" s="21" t="s">
        <v>22655</v>
      </c>
      <c r="D5711" s="22">
        <v>46034</v>
      </c>
      <c r="E5711" s="23" t="s">
        <v>22656</v>
      </c>
      <c r="F5711" s="24" t="s">
        <v>22657</v>
      </c>
      <c r="G5711" s="25">
        <v>4</v>
      </c>
      <c r="H5711" s="29"/>
      <c r="I5711" s="30"/>
    </row>
    <row r="5712" spans="1:9" ht="15.75" thickBot="1" x14ac:dyDescent="0.3">
      <c r="A5712" s="43" t="s">
        <v>12356</v>
      </c>
      <c r="B5712" s="21" t="s">
        <v>12357</v>
      </c>
      <c r="C5712" s="21" t="s">
        <v>22655</v>
      </c>
      <c r="D5712" s="22">
        <v>46034</v>
      </c>
      <c r="E5712" s="23" t="s">
        <v>22656</v>
      </c>
      <c r="F5712" s="24" t="s">
        <v>22657</v>
      </c>
      <c r="G5712" s="25">
        <v>4</v>
      </c>
      <c r="H5712" s="26"/>
      <c r="I5712" s="27"/>
    </row>
    <row r="5713" spans="1:9" ht="15.75" thickBot="1" x14ac:dyDescent="0.3">
      <c r="A5713" s="43" t="s">
        <v>12358</v>
      </c>
      <c r="B5713" s="21" t="s">
        <v>12359</v>
      </c>
      <c r="C5713" s="21" t="s">
        <v>22655</v>
      </c>
      <c r="D5713" s="22">
        <v>46028</v>
      </c>
      <c r="E5713" s="23" t="s">
        <v>22656</v>
      </c>
      <c r="F5713" s="24" t="s">
        <v>22657</v>
      </c>
      <c r="G5713" s="25">
        <v>2</v>
      </c>
      <c r="H5713" s="29"/>
      <c r="I5713" s="30"/>
    </row>
    <row r="5714" spans="1:9" ht="15.75" thickBot="1" x14ac:dyDescent="0.3">
      <c r="A5714" s="43" t="s">
        <v>12360</v>
      </c>
      <c r="B5714" s="21" t="s">
        <v>12361</v>
      </c>
      <c r="C5714" s="21" t="s">
        <v>22655</v>
      </c>
      <c r="D5714" s="22">
        <v>46034</v>
      </c>
      <c r="E5714" s="23" t="s">
        <v>22656</v>
      </c>
      <c r="F5714" s="24" t="s">
        <v>22657</v>
      </c>
      <c r="G5714" s="25">
        <v>4</v>
      </c>
      <c r="H5714" s="26"/>
      <c r="I5714" s="27"/>
    </row>
    <row r="5715" spans="1:9" ht="15.75" thickBot="1" x14ac:dyDescent="0.3">
      <c r="A5715" s="43" t="s">
        <v>12362</v>
      </c>
      <c r="B5715" s="21" t="s">
        <v>12363</v>
      </c>
      <c r="C5715" s="21" t="s">
        <v>22655</v>
      </c>
      <c r="D5715" s="22">
        <v>46037</v>
      </c>
      <c r="E5715" s="23" t="s">
        <v>22656</v>
      </c>
      <c r="F5715" s="24" t="s">
        <v>22657</v>
      </c>
      <c r="G5715" s="25">
        <v>7</v>
      </c>
      <c r="H5715" s="29"/>
      <c r="I5715" s="30"/>
    </row>
    <row r="5716" spans="1:9" ht="15.75" thickBot="1" x14ac:dyDescent="0.3">
      <c r="A5716" s="43" t="s">
        <v>12364</v>
      </c>
      <c r="B5716" s="21" t="s">
        <v>12365</v>
      </c>
      <c r="C5716" s="21" t="s">
        <v>22682</v>
      </c>
      <c r="D5716" s="22">
        <v>46034</v>
      </c>
      <c r="E5716" s="23" t="s">
        <v>22658</v>
      </c>
      <c r="F5716" s="24" t="s">
        <v>22657</v>
      </c>
      <c r="G5716" s="25">
        <v>4</v>
      </c>
      <c r="H5716" s="26"/>
      <c r="I5716" s="27"/>
    </row>
    <row r="5717" spans="1:9" ht="15.75" thickBot="1" x14ac:dyDescent="0.3">
      <c r="A5717" s="43" t="s">
        <v>12366</v>
      </c>
      <c r="B5717" s="21" t="s">
        <v>12367</v>
      </c>
      <c r="C5717" s="21" t="s">
        <v>22682</v>
      </c>
      <c r="D5717" s="22">
        <v>46034</v>
      </c>
      <c r="E5717" s="23" t="s">
        <v>22658</v>
      </c>
      <c r="F5717" s="24" t="s">
        <v>22657</v>
      </c>
      <c r="G5717" s="25">
        <v>4</v>
      </c>
      <c r="H5717" s="29"/>
      <c r="I5717" s="30"/>
    </row>
    <row r="5718" spans="1:9" ht="15.75" thickBot="1" x14ac:dyDescent="0.3">
      <c r="A5718" s="43" t="s">
        <v>12368</v>
      </c>
      <c r="B5718" s="21" t="s">
        <v>12369</v>
      </c>
      <c r="C5718" s="21" t="s">
        <v>22682</v>
      </c>
      <c r="D5718" s="22">
        <v>46034</v>
      </c>
      <c r="E5718" s="23" t="s">
        <v>22656</v>
      </c>
      <c r="F5718" s="24" t="s">
        <v>22657</v>
      </c>
      <c r="G5718" s="25">
        <v>4</v>
      </c>
      <c r="H5718" s="26"/>
      <c r="I5718" s="27"/>
    </row>
    <row r="5719" spans="1:9" ht="15.75" thickBot="1" x14ac:dyDescent="0.3">
      <c r="A5719" s="43" t="s">
        <v>12370</v>
      </c>
      <c r="B5719" s="21" t="s">
        <v>12371</v>
      </c>
      <c r="C5719" s="21" t="s">
        <v>22682</v>
      </c>
      <c r="D5719" s="22">
        <v>46034</v>
      </c>
      <c r="E5719" s="23" t="s">
        <v>22656</v>
      </c>
      <c r="F5719" s="24" t="s">
        <v>22657</v>
      </c>
      <c r="G5719" s="25">
        <v>4</v>
      </c>
      <c r="H5719" s="29"/>
      <c r="I5719" s="30"/>
    </row>
    <row r="5720" spans="1:9" ht="15.75" thickBot="1" x14ac:dyDescent="0.3">
      <c r="A5720" s="43" t="s">
        <v>12372</v>
      </c>
      <c r="B5720" s="21" t="s">
        <v>12373</v>
      </c>
      <c r="C5720" s="21" t="s">
        <v>22682</v>
      </c>
      <c r="D5720" s="22">
        <v>46034</v>
      </c>
      <c r="E5720" s="23" t="s">
        <v>22658</v>
      </c>
      <c r="F5720" s="24" t="s">
        <v>22657</v>
      </c>
      <c r="G5720" s="25">
        <v>4</v>
      </c>
      <c r="H5720" s="26"/>
      <c r="I5720" s="27"/>
    </row>
    <row r="5721" spans="1:9" ht="15.75" thickBot="1" x14ac:dyDescent="0.3">
      <c r="A5721" s="43" t="s">
        <v>12374</v>
      </c>
      <c r="B5721" s="21" t="s">
        <v>12375</v>
      </c>
      <c r="C5721" s="21" t="s">
        <v>22682</v>
      </c>
      <c r="D5721" s="22">
        <v>46034</v>
      </c>
      <c r="E5721" s="23" t="s">
        <v>22658</v>
      </c>
      <c r="F5721" s="24" t="s">
        <v>22657</v>
      </c>
      <c r="G5721" s="25">
        <v>4</v>
      </c>
      <c r="H5721" s="29"/>
      <c r="I5721" s="30"/>
    </row>
    <row r="5722" spans="1:9" ht="15.75" thickBot="1" x14ac:dyDescent="0.3">
      <c r="A5722" s="43" t="s">
        <v>973</v>
      </c>
      <c r="B5722" s="21" t="s">
        <v>974</v>
      </c>
      <c r="C5722" s="21" t="s">
        <v>22655</v>
      </c>
      <c r="D5722" s="22">
        <v>46034</v>
      </c>
      <c r="E5722" s="23" t="s">
        <v>22661</v>
      </c>
      <c r="F5722" s="24" t="s">
        <v>22657</v>
      </c>
      <c r="G5722" s="25">
        <v>12</v>
      </c>
      <c r="H5722" s="34">
        <v>12</v>
      </c>
      <c r="I5722" s="35">
        <v>24</v>
      </c>
    </row>
    <row r="5723" spans="1:9" ht="15.75" thickBot="1" x14ac:dyDescent="0.3">
      <c r="A5723" s="43" t="s">
        <v>12376</v>
      </c>
      <c r="B5723" s="21" t="s">
        <v>12377</v>
      </c>
      <c r="C5723" s="21" t="s">
        <v>22655</v>
      </c>
      <c r="D5723" s="22">
        <v>46042</v>
      </c>
      <c r="E5723" s="23" t="s">
        <v>22661</v>
      </c>
      <c r="F5723" s="24" t="s">
        <v>22657</v>
      </c>
      <c r="G5723" s="25">
        <v>7</v>
      </c>
      <c r="H5723" s="29"/>
      <c r="I5723" s="30"/>
    </row>
    <row r="5724" spans="1:9" ht="15.75" thickBot="1" x14ac:dyDescent="0.3">
      <c r="A5724" s="43" t="s">
        <v>12378</v>
      </c>
      <c r="B5724" s="21" t="s">
        <v>12379</v>
      </c>
      <c r="C5724" s="21" t="s">
        <v>22655</v>
      </c>
      <c r="D5724" s="22">
        <v>46034</v>
      </c>
      <c r="E5724" s="23" t="s">
        <v>22656</v>
      </c>
      <c r="F5724" s="24" t="s">
        <v>22657</v>
      </c>
      <c r="G5724" s="25">
        <v>12</v>
      </c>
      <c r="H5724" s="34">
        <v>12</v>
      </c>
      <c r="I5724" s="35">
        <v>24</v>
      </c>
    </row>
    <row r="5725" spans="1:9" ht="15.75" thickBot="1" x14ac:dyDescent="0.3">
      <c r="A5725" s="43" t="s">
        <v>12380</v>
      </c>
      <c r="B5725" s="21" t="s">
        <v>12381</v>
      </c>
      <c r="C5725" s="21" t="s">
        <v>22667</v>
      </c>
      <c r="D5725" s="39">
        <v>37001</v>
      </c>
      <c r="E5725" s="23" t="s">
        <v>22665</v>
      </c>
      <c r="F5725" s="24" t="s">
        <v>22657</v>
      </c>
      <c r="G5725" s="25">
        <v>24</v>
      </c>
      <c r="H5725" s="32">
        <v>24</v>
      </c>
      <c r="I5725" s="33">
        <v>48</v>
      </c>
    </row>
    <row r="5726" spans="1:9" ht="15.75" thickBot="1" x14ac:dyDescent="0.3">
      <c r="A5726" s="43" t="s">
        <v>12382</v>
      </c>
      <c r="B5726" s="21" t="s">
        <v>12383</v>
      </c>
      <c r="C5726" s="21" t="s">
        <v>22655</v>
      </c>
      <c r="D5726" s="22">
        <v>46046</v>
      </c>
      <c r="E5726" s="23" t="s">
        <v>22656</v>
      </c>
      <c r="F5726" s="24" t="s">
        <v>22657</v>
      </c>
      <c r="G5726" s="25">
        <v>8</v>
      </c>
      <c r="H5726" s="26"/>
      <c r="I5726" s="27"/>
    </row>
    <row r="5727" spans="1:9" ht="15.75" thickBot="1" x14ac:dyDescent="0.3">
      <c r="A5727" s="43" t="s">
        <v>12384</v>
      </c>
      <c r="B5727" s="21" t="s">
        <v>12385</v>
      </c>
      <c r="C5727" s="21" t="s">
        <v>22655</v>
      </c>
      <c r="D5727" s="22">
        <v>46032</v>
      </c>
      <c r="E5727" s="23" t="s">
        <v>22656</v>
      </c>
      <c r="F5727" s="24" t="s">
        <v>22657</v>
      </c>
      <c r="G5727" s="25">
        <v>4</v>
      </c>
      <c r="H5727" s="29"/>
      <c r="I5727" s="30"/>
    </row>
    <row r="5728" spans="1:9" ht="15.75" thickBot="1" x14ac:dyDescent="0.3">
      <c r="A5728" s="43" t="s">
        <v>12386</v>
      </c>
      <c r="B5728" s="21" t="s">
        <v>12387</v>
      </c>
      <c r="C5728" s="21" t="s">
        <v>22655</v>
      </c>
      <c r="D5728" s="22">
        <v>46025</v>
      </c>
      <c r="E5728" s="23" t="s">
        <v>22658</v>
      </c>
      <c r="F5728" s="24" t="s">
        <v>22657</v>
      </c>
      <c r="G5728" s="25">
        <v>1</v>
      </c>
      <c r="H5728" s="26"/>
      <c r="I5728" s="27"/>
    </row>
    <row r="5729" spans="1:9" ht="15.75" thickBot="1" x14ac:dyDescent="0.3">
      <c r="A5729" s="43" t="s">
        <v>475</v>
      </c>
      <c r="B5729" s="21" t="s">
        <v>476</v>
      </c>
      <c r="C5729" s="21" t="s">
        <v>22655</v>
      </c>
      <c r="D5729" s="22">
        <v>46034</v>
      </c>
      <c r="E5729" s="23" t="s">
        <v>22662</v>
      </c>
      <c r="F5729" s="24" t="s">
        <v>22657</v>
      </c>
      <c r="G5729" s="25">
        <v>120</v>
      </c>
      <c r="H5729" s="32">
        <v>120</v>
      </c>
      <c r="I5729" s="33">
        <v>240</v>
      </c>
    </row>
    <row r="5730" spans="1:9" ht="15.75" thickBot="1" x14ac:dyDescent="0.3">
      <c r="A5730" s="43" t="s">
        <v>12388</v>
      </c>
      <c r="B5730" s="21" t="s">
        <v>12389</v>
      </c>
      <c r="C5730" s="21" t="s">
        <v>22655</v>
      </c>
      <c r="D5730" s="22">
        <v>46046</v>
      </c>
      <c r="E5730" s="23" t="s">
        <v>22661</v>
      </c>
      <c r="F5730" s="24" t="s">
        <v>22657</v>
      </c>
      <c r="G5730" s="25">
        <v>8</v>
      </c>
      <c r="H5730" s="26"/>
      <c r="I5730" s="27"/>
    </row>
    <row r="5731" spans="1:9" ht="15.75" thickBot="1" x14ac:dyDescent="0.3">
      <c r="A5731" s="43" t="s">
        <v>195</v>
      </c>
      <c r="B5731" s="21" t="s">
        <v>196</v>
      </c>
      <c r="C5731" s="21" t="s">
        <v>22655</v>
      </c>
      <c r="D5731" s="22">
        <v>46025</v>
      </c>
      <c r="E5731" s="23" t="s">
        <v>22656</v>
      </c>
      <c r="F5731" s="24" t="s">
        <v>22657</v>
      </c>
      <c r="G5731" s="25">
        <v>5</v>
      </c>
      <c r="H5731" s="29"/>
      <c r="I5731" s="30"/>
    </row>
    <row r="5732" spans="1:9" ht="15.75" thickBot="1" x14ac:dyDescent="0.3">
      <c r="A5732" s="43" t="s">
        <v>1847</v>
      </c>
      <c r="B5732" s="21" t="s">
        <v>1848</v>
      </c>
      <c r="C5732" s="21" t="s">
        <v>22655</v>
      </c>
      <c r="D5732" s="22">
        <v>46052</v>
      </c>
      <c r="E5732" s="23" t="s">
        <v>22661</v>
      </c>
      <c r="F5732" s="24" t="s">
        <v>22657</v>
      </c>
      <c r="G5732" s="25">
        <v>60</v>
      </c>
      <c r="H5732" s="34">
        <v>60</v>
      </c>
      <c r="I5732" s="35">
        <v>120</v>
      </c>
    </row>
    <row r="5733" spans="1:9" ht="15.75" thickBot="1" x14ac:dyDescent="0.3">
      <c r="A5733" s="43" t="s">
        <v>12390</v>
      </c>
      <c r="B5733" s="21" t="s">
        <v>12391</v>
      </c>
      <c r="C5733" s="21" t="s">
        <v>22655</v>
      </c>
      <c r="D5733" s="22">
        <v>46046</v>
      </c>
      <c r="E5733" s="23" t="s">
        <v>22656</v>
      </c>
      <c r="F5733" s="24" t="s">
        <v>22657</v>
      </c>
      <c r="G5733" s="25">
        <v>8</v>
      </c>
      <c r="H5733" s="29"/>
      <c r="I5733" s="30"/>
    </row>
    <row r="5734" spans="1:9" ht="15.75" thickBot="1" x14ac:dyDescent="0.3">
      <c r="A5734" s="43" t="s">
        <v>573</v>
      </c>
      <c r="B5734" s="21" t="s">
        <v>574</v>
      </c>
      <c r="C5734" s="21" t="s">
        <v>22655</v>
      </c>
      <c r="D5734" s="22">
        <v>46034</v>
      </c>
      <c r="E5734" s="23" t="s">
        <v>22662</v>
      </c>
      <c r="F5734" s="24" t="s">
        <v>22657</v>
      </c>
      <c r="G5734" s="25">
        <v>60</v>
      </c>
      <c r="H5734" s="34">
        <v>60</v>
      </c>
      <c r="I5734" s="35">
        <v>84</v>
      </c>
    </row>
    <row r="5735" spans="1:9" ht="15.75" thickBot="1" x14ac:dyDescent="0.3">
      <c r="A5735" s="43" t="s">
        <v>1123</v>
      </c>
      <c r="B5735" s="21" t="s">
        <v>1124</v>
      </c>
      <c r="C5735" s="21" t="s">
        <v>22655</v>
      </c>
      <c r="D5735" s="22">
        <v>46034</v>
      </c>
      <c r="E5735" s="23" t="s">
        <v>22662</v>
      </c>
      <c r="F5735" s="24" t="s">
        <v>22657</v>
      </c>
      <c r="G5735" s="25">
        <v>60</v>
      </c>
      <c r="H5735" s="32">
        <v>60</v>
      </c>
      <c r="I5735" s="33">
        <v>120</v>
      </c>
    </row>
    <row r="5736" spans="1:9" ht="15.75" thickBot="1" x14ac:dyDescent="0.3">
      <c r="A5736" s="43" t="s">
        <v>12392</v>
      </c>
      <c r="B5736" s="21" t="s">
        <v>12393</v>
      </c>
      <c r="C5736" s="21" t="s">
        <v>22655</v>
      </c>
      <c r="D5736" s="22">
        <v>46034</v>
      </c>
      <c r="E5736" s="23" t="s">
        <v>22658</v>
      </c>
      <c r="F5736" s="24" t="s">
        <v>22657</v>
      </c>
      <c r="G5736" s="25">
        <v>4</v>
      </c>
      <c r="H5736" s="26"/>
      <c r="I5736" s="27"/>
    </row>
    <row r="5737" spans="1:9" ht="15.75" thickBot="1" x14ac:dyDescent="0.3">
      <c r="A5737" s="43" t="s">
        <v>12394</v>
      </c>
      <c r="B5737" s="21" t="s">
        <v>12395</v>
      </c>
      <c r="C5737" s="21" t="s">
        <v>22667</v>
      </c>
      <c r="D5737" s="31" t="s">
        <v>22721</v>
      </c>
      <c r="E5737" s="23" t="s">
        <v>22656</v>
      </c>
      <c r="F5737" s="24" t="s">
        <v>22657</v>
      </c>
      <c r="G5737" s="25">
        <v>4</v>
      </c>
      <c r="H5737" s="29"/>
      <c r="I5737" s="30"/>
    </row>
    <row r="5738" spans="1:9" ht="15.75" thickBot="1" x14ac:dyDescent="0.3">
      <c r="A5738" s="43" t="s">
        <v>888</v>
      </c>
      <c r="B5738" s="21" t="s">
        <v>889</v>
      </c>
      <c r="C5738" s="21" t="s">
        <v>22655</v>
      </c>
      <c r="D5738" s="22">
        <v>46034</v>
      </c>
      <c r="E5738" s="23" t="s">
        <v>22662</v>
      </c>
      <c r="F5738" s="24" t="s">
        <v>22657</v>
      </c>
      <c r="G5738" s="25">
        <v>36</v>
      </c>
      <c r="H5738" s="34">
        <v>36</v>
      </c>
      <c r="I5738" s="35">
        <v>60</v>
      </c>
    </row>
    <row r="5739" spans="1:9" ht="15.75" thickBot="1" x14ac:dyDescent="0.3">
      <c r="A5739" s="43" t="s">
        <v>12396</v>
      </c>
      <c r="B5739" s="21" t="s">
        <v>12397</v>
      </c>
      <c r="C5739" s="21" t="s">
        <v>22655</v>
      </c>
      <c r="D5739" s="22">
        <v>46046</v>
      </c>
      <c r="E5739" s="23" t="s">
        <v>22665</v>
      </c>
      <c r="F5739" s="24" t="s">
        <v>22657</v>
      </c>
      <c r="G5739" s="25">
        <v>8</v>
      </c>
      <c r="H5739" s="29"/>
      <c r="I5739" s="30"/>
    </row>
    <row r="5740" spans="1:9" ht="15.75" thickBot="1" x14ac:dyDescent="0.3">
      <c r="A5740" s="43" t="s">
        <v>12398</v>
      </c>
      <c r="B5740" s="21" t="s">
        <v>12399</v>
      </c>
      <c r="C5740" s="21" t="s">
        <v>22655</v>
      </c>
      <c r="D5740" s="22">
        <v>46034</v>
      </c>
      <c r="E5740" s="23" t="s">
        <v>22658</v>
      </c>
      <c r="F5740" s="24" t="s">
        <v>22657</v>
      </c>
      <c r="G5740" s="25">
        <v>4</v>
      </c>
      <c r="H5740" s="26"/>
      <c r="I5740" s="27"/>
    </row>
    <row r="5741" spans="1:9" ht="15.75" thickBot="1" x14ac:dyDescent="0.3">
      <c r="A5741" s="43" t="s">
        <v>269</v>
      </c>
      <c r="B5741" s="21" t="s">
        <v>270</v>
      </c>
      <c r="C5741" s="21" t="s">
        <v>22655</v>
      </c>
      <c r="D5741" s="22">
        <v>46025</v>
      </c>
      <c r="E5741" s="23" t="s">
        <v>22656</v>
      </c>
      <c r="F5741" s="24" t="s">
        <v>22657</v>
      </c>
      <c r="G5741" s="25">
        <v>4</v>
      </c>
      <c r="H5741" s="29"/>
      <c r="I5741" s="30"/>
    </row>
    <row r="5742" spans="1:9" ht="15.75" thickBot="1" x14ac:dyDescent="0.3">
      <c r="A5742" s="43" t="s">
        <v>12400</v>
      </c>
      <c r="B5742" s="21" t="s">
        <v>12401</v>
      </c>
      <c r="C5742" s="21" t="s">
        <v>22655</v>
      </c>
      <c r="D5742" s="22">
        <v>46032</v>
      </c>
      <c r="E5742" s="23" t="s">
        <v>22656</v>
      </c>
      <c r="F5742" s="24" t="s">
        <v>22657</v>
      </c>
      <c r="G5742" s="25">
        <v>4</v>
      </c>
      <c r="H5742" s="26"/>
      <c r="I5742" s="27"/>
    </row>
    <row r="5743" spans="1:9" ht="15.75" thickBot="1" x14ac:dyDescent="0.3">
      <c r="A5743" s="43" t="s">
        <v>12402</v>
      </c>
      <c r="B5743" s="21" t="s">
        <v>12403</v>
      </c>
      <c r="C5743" s="21" t="s">
        <v>22655</v>
      </c>
      <c r="D5743" s="22">
        <v>46046</v>
      </c>
      <c r="E5743" s="23" t="s">
        <v>22656</v>
      </c>
      <c r="F5743" s="24" t="s">
        <v>22657</v>
      </c>
      <c r="G5743" s="25">
        <v>8</v>
      </c>
      <c r="H5743" s="29"/>
      <c r="I5743" s="30"/>
    </row>
    <row r="5744" spans="1:9" ht="15.75" thickBot="1" x14ac:dyDescent="0.3">
      <c r="A5744" s="43" t="s">
        <v>12404</v>
      </c>
      <c r="B5744" s="21" t="s">
        <v>12405</v>
      </c>
      <c r="C5744" s="21" t="s">
        <v>22655</v>
      </c>
      <c r="D5744" s="22">
        <v>46042</v>
      </c>
      <c r="E5744" s="23" t="s">
        <v>22661</v>
      </c>
      <c r="F5744" s="24" t="s">
        <v>22657</v>
      </c>
      <c r="G5744" s="25">
        <v>7</v>
      </c>
      <c r="H5744" s="26"/>
      <c r="I5744" s="27"/>
    </row>
    <row r="5745" spans="1:9" ht="15.75" thickBot="1" x14ac:dyDescent="0.3">
      <c r="A5745" s="43" t="s">
        <v>12406</v>
      </c>
      <c r="B5745" s="21" t="s">
        <v>12407</v>
      </c>
      <c r="C5745" s="21" t="s">
        <v>22655</v>
      </c>
      <c r="D5745" s="22">
        <v>46042</v>
      </c>
      <c r="E5745" s="23" t="s">
        <v>22658</v>
      </c>
      <c r="F5745" s="24" t="s">
        <v>22657</v>
      </c>
      <c r="G5745" s="25">
        <v>7</v>
      </c>
      <c r="H5745" s="29"/>
      <c r="I5745" s="30"/>
    </row>
    <row r="5746" spans="1:9" ht="15.75" thickBot="1" x14ac:dyDescent="0.3">
      <c r="A5746" s="43" t="s">
        <v>1097</v>
      </c>
      <c r="B5746" s="21" t="s">
        <v>1098</v>
      </c>
      <c r="C5746" s="21" t="s">
        <v>22655</v>
      </c>
      <c r="D5746" s="22">
        <v>46034</v>
      </c>
      <c r="E5746" s="23" t="s">
        <v>22665</v>
      </c>
      <c r="F5746" s="24" t="s">
        <v>22657</v>
      </c>
      <c r="G5746" s="25">
        <v>24</v>
      </c>
      <c r="H5746" s="34">
        <v>24</v>
      </c>
      <c r="I5746" s="35">
        <v>36</v>
      </c>
    </row>
    <row r="5747" spans="1:9" ht="15.75" thickBot="1" x14ac:dyDescent="0.3">
      <c r="A5747" s="43" t="s">
        <v>12408</v>
      </c>
      <c r="B5747" s="21" t="s">
        <v>12409</v>
      </c>
      <c r="C5747" s="21" t="s">
        <v>22655</v>
      </c>
      <c r="D5747" s="22">
        <v>46034</v>
      </c>
      <c r="E5747" s="23" t="s">
        <v>22658</v>
      </c>
      <c r="F5747" s="24" t="s">
        <v>22657</v>
      </c>
      <c r="G5747" s="25">
        <v>4</v>
      </c>
      <c r="H5747" s="29"/>
      <c r="I5747" s="30"/>
    </row>
    <row r="5748" spans="1:9" ht="15.75" thickBot="1" x14ac:dyDescent="0.3">
      <c r="A5748" s="43" t="s">
        <v>12410</v>
      </c>
      <c r="B5748" s="21" t="s">
        <v>12411</v>
      </c>
      <c r="C5748" s="21" t="s">
        <v>22655</v>
      </c>
      <c r="D5748" s="22">
        <v>46042</v>
      </c>
      <c r="E5748" s="23" t="s">
        <v>22656</v>
      </c>
      <c r="F5748" s="24" t="s">
        <v>22657</v>
      </c>
      <c r="G5748" s="25">
        <v>7</v>
      </c>
      <c r="H5748" s="26"/>
      <c r="I5748" s="27"/>
    </row>
    <row r="5749" spans="1:9" ht="15.75" thickBot="1" x14ac:dyDescent="0.3">
      <c r="A5749" s="43" t="s">
        <v>12412</v>
      </c>
      <c r="B5749" s="21" t="s">
        <v>12413</v>
      </c>
      <c r="C5749" s="21" t="s">
        <v>22655</v>
      </c>
      <c r="D5749" s="22">
        <v>46034</v>
      </c>
      <c r="E5749" s="23" t="s">
        <v>22656</v>
      </c>
      <c r="F5749" s="24" t="s">
        <v>22657</v>
      </c>
      <c r="G5749" s="25">
        <v>11</v>
      </c>
      <c r="H5749" s="29"/>
      <c r="I5749" s="30"/>
    </row>
    <row r="5750" spans="1:9" ht="15.75" thickBot="1" x14ac:dyDescent="0.3">
      <c r="A5750" s="43" t="s">
        <v>12414</v>
      </c>
      <c r="B5750" s="21" t="s">
        <v>12415</v>
      </c>
      <c r="C5750" s="21" t="s">
        <v>22655</v>
      </c>
      <c r="D5750" s="22">
        <v>46042</v>
      </c>
      <c r="E5750" s="23" t="s">
        <v>22656</v>
      </c>
      <c r="F5750" s="24" t="s">
        <v>22657</v>
      </c>
      <c r="G5750" s="25">
        <v>7</v>
      </c>
      <c r="H5750" s="26"/>
      <c r="I5750" s="27"/>
    </row>
    <row r="5751" spans="1:9" ht="15.75" thickBot="1" x14ac:dyDescent="0.3">
      <c r="A5751" s="43" t="s">
        <v>12416</v>
      </c>
      <c r="B5751" s="21" t="s">
        <v>12417</v>
      </c>
      <c r="C5751" s="21" t="s">
        <v>22655</v>
      </c>
      <c r="D5751" s="22">
        <v>46025</v>
      </c>
      <c r="E5751" s="23" t="s">
        <v>22656</v>
      </c>
      <c r="F5751" s="24" t="s">
        <v>22657</v>
      </c>
      <c r="G5751" s="25">
        <v>6</v>
      </c>
      <c r="H5751" s="32">
        <v>6</v>
      </c>
      <c r="I5751" s="33">
        <v>10</v>
      </c>
    </row>
    <row r="5752" spans="1:9" ht="15.75" thickBot="1" x14ac:dyDescent="0.3">
      <c r="A5752" s="43" t="s">
        <v>12418</v>
      </c>
      <c r="B5752" s="21" t="s">
        <v>12419</v>
      </c>
      <c r="C5752" s="21" t="s">
        <v>22655</v>
      </c>
      <c r="D5752" s="22">
        <v>46046</v>
      </c>
      <c r="E5752" s="23" t="s">
        <v>22661</v>
      </c>
      <c r="F5752" s="24" t="s">
        <v>22657</v>
      </c>
      <c r="G5752" s="25">
        <v>8</v>
      </c>
      <c r="H5752" s="26"/>
      <c r="I5752" s="27"/>
    </row>
    <row r="5753" spans="1:9" ht="15.75" thickBot="1" x14ac:dyDescent="0.3">
      <c r="A5753" s="43" t="s">
        <v>965</v>
      </c>
      <c r="B5753" s="21" t="s">
        <v>12420</v>
      </c>
      <c r="C5753" s="21" t="s">
        <v>22655</v>
      </c>
      <c r="D5753" s="22">
        <v>46034</v>
      </c>
      <c r="E5753" s="23" t="s">
        <v>22662</v>
      </c>
      <c r="F5753" s="24" t="s">
        <v>22657</v>
      </c>
      <c r="G5753" s="25">
        <v>36</v>
      </c>
      <c r="H5753" s="32">
        <v>36</v>
      </c>
      <c r="I5753" s="33">
        <v>60</v>
      </c>
    </row>
    <row r="5754" spans="1:9" ht="15.75" thickBot="1" x14ac:dyDescent="0.3">
      <c r="A5754" s="43" t="s">
        <v>12421</v>
      </c>
      <c r="B5754" s="21" t="s">
        <v>12422</v>
      </c>
      <c r="C5754" s="21" t="s">
        <v>22655</v>
      </c>
      <c r="D5754" s="22">
        <v>46052</v>
      </c>
      <c r="E5754" s="23" t="s">
        <v>22656</v>
      </c>
      <c r="F5754" s="24" t="s">
        <v>22657</v>
      </c>
      <c r="G5754" s="25">
        <v>10</v>
      </c>
      <c r="H5754" s="26"/>
      <c r="I5754" s="27"/>
    </row>
    <row r="5755" spans="1:9" ht="15.75" thickBot="1" x14ac:dyDescent="0.3">
      <c r="A5755" s="43" t="s">
        <v>12423</v>
      </c>
      <c r="B5755" s="21" t="s">
        <v>12424</v>
      </c>
      <c r="C5755" s="21" t="s">
        <v>22655</v>
      </c>
      <c r="D5755" s="22">
        <v>46025</v>
      </c>
      <c r="E5755" s="23" t="s">
        <v>22658</v>
      </c>
      <c r="F5755" s="24" t="s">
        <v>22657</v>
      </c>
      <c r="G5755" s="25">
        <v>1</v>
      </c>
      <c r="H5755" s="29"/>
      <c r="I5755" s="30"/>
    </row>
    <row r="5756" spans="1:9" ht="15.75" thickBot="1" x14ac:dyDescent="0.3">
      <c r="A5756" s="43" t="s">
        <v>1137</v>
      </c>
      <c r="B5756" s="21" t="s">
        <v>1138</v>
      </c>
      <c r="C5756" s="21" t="s">
        <v>22655</v>
      </c>
      <c r="D5756" s="22">
        <v>46034</v>
      </c>
      <c r="E5756" s="23" t="s">
        <v>22665</v>
      </c>
      <c r="F5756" s="24" t="s">
        <v>22657</v>
      </c>
      <c r="G5756" s="25">
        <v>120</v>
      </c>
      <c r="H5756" s="34">
        <v>120</v>
      </c>
      <c r="I5756" s="35">
        <v>240</v>
      </c>
    </row>
    <row r="5757" spans="1:9" ht="15.75" thickBot="1" x14ac:dyDescent="0.3">
      <c r="A5757" s="43" t="s">
        <v>12427</v>
      </c>
      <c r="B5757" s="21" t="s">
        <v>12426</v>
      </c>
      <c r="C5757" s="21" t="s">
        <v>22682</v>
      </c>
      <c r="D5757" s="22">
        <v>46034</v>
      </c>
      <c r="E5757" s="23" t="s">
        <v>22656</v>
      </c>
      <c r="F5757" s="24" t="s">
        <v>22657</v>
      </c>
      <c r="G5757" s="25">
        <v>4</v>
      </c>
      <c r="H5757" s="29"/>
      <c r="I5757" s="30"/>
    </row>
    <row r="5758" spans="1:9" ht="15.75" thickBot="1" x14ac:dyDescent="0.3">
      <c r="A5758" s="43" t="s">
        <v>12425</v>
      </c>
      <c r="B5758" s="21" t="s">
        <v>12426</v>
      </c>
      <c r="C5758" s="21" t="s">
        <v>22663</v>
      </c>
      <c r="D5758" s="31">
        <v>1</v>
      </c>
      <c r="E5758" s="23" t="s">
        <v>22658</v>
      </c>
      <c r="F5758" s="24" t="s">
        <v>22657</v>
      </c>
      <c r="G5758" s="25">
        <v>4</v>
      </c>
      <c r="H5758" s="26"/>
      <c r="I5758" s="27"/>
    </row>
    <row r="5759" spans="1:9" ht="15.75" thickBot="1" x14ac:dyDescent="0.3">
      <c r="A5759" s="43" t="s">
        <v>12430</v>
      </c>
      <c r="B5759" s="21" t="s">
        <v>12429</v>
      </c>
      <c r="C5759" s="21" t="s">
        <v>22682</v>
      </c>
      <c r="D5759" s="22">
        <v>46034</v>
      </c>
      <c r="E5759" s="23" t="s">
        <v>22656</v>
      </c>
      <c r="F5759" s="24" t="s">
        <v>22657</v>
      </c>
      <c r="G5759" s="25">
        <v>4</v>
      </c>
      <c r="H5759" s="29"/>
      <c r="I5759" s="30"/>
    </row>
    <row r="5760" spans="1:9" ht="15.75" thickBot="1" x14ac:dyDescent="0.3">
      <c r="A5760" s="43" t="s">
        <v>12428</v>
      </c>
      <c r="B5760" s="21" t="s">
        <v>12429</v>
      </c>
      <c r="C5760" s="21" t="s">
        <v>22663</v>
      </c>
      <c r="D5760" s="31">
        <v>1</v>
      </c>
      <c r="E5760" s="23" t="s">
        <v>22658</v>
      </c>
      <c r="F5760" s="24" t="s">
        <v>22657</v>
      </c>
      <c r="G5760" s="25">
        <v>4</v>
      </c>
      <c r="H5760" s="26"/>
      <c r="I5760" s="27"/>
    </row>
    <row r="5761" spans="1:9" ht="15.75" thickBot="1" x14ac:dyDescent="0.3">
      <c r="A5761" s="43" t="s">
        <v>12431</v>
      </c>
      <c r="B5761" s="21" t="s">
        <v>12432</v>
      </c>
      <c r="C5761" s="21" t="s">
        <v>22682</v>
      </c>
      <c r="D5761" s="22">
        <v>46034</v>
      </c>
      <c r="E5761" s="23" t="s">
        <v>22656</v>
      </c>
      <c r="F5761" s="24" t="s">
        <v>22657</v>
      </c>
      <c r="G5761" s="25">
        <v>4</v>
      </c>
      <c r="H5761" s="29"/>
      <c r="I5761" s="30"/>
    </row>
    <row r="5762" spans="1:9" ht="15.75" thickBot="1" x14ac:dyDescent="0.3">
      <c r="A5762" s="43" t="s">
        <v>12433</v>
      </c>
      <c r="B5762" s="21" t="s">
        <v>12434</v>
      </c>
      <c r="C5762" s="21" t="s">
        <v>22682</v>
      </c>
      <c r="D5762" s="22">
        <v>46034</v>
      </c>
      <c r="E5762" s="23" t="s">
        <v>22656</v>
      </c>
      <c r="F5762" s="24" t="s">
        <v>22657</v>
      </c>
      <c r="G5762" s="25">
        <v>4</v>
      </c>
      <c r="H5762" s="26"/>
      <c r="I5762" s="27"/>
    </row>
    <row r="5763" spans="1:9" ht="15.75" thickBot="1" x14ac:dyDescent="0.3">
      <c r="A5763" s="43" t="s">
        <v>12435</v>
      </c>
      <c r="B5763" s="21" t="s">
        <v>12436</v>
      </c>
      <c r="C5763" s="21" t="s">
        <v>22682</v>
      </c>
      <c r="D5763" s="22">
        <v>46034</v>
      </c>
      <c r="E5763" s="23" t="s">
        <v>22656</v>
      </c>
      <c r="F5763" s="24" t="s">
        <v>22657</v>
      </c>
      <c r="G5763" s="25">
        <v>4</v>
      </c>
      <c r="H5763" s="29"/>
      <c r="I5763" s="30"/>
    </row>
    <row r="5764" spans="1:9" ht="15.75" thickBot="1" x14ac:dyDescent="0.3">
      <c r="A5764" s="43" t="s">
        <v>12437</v>
      </c>
      <c r="B5764" s="21" t="s">
        <v>12438</v>
      </c>
      <c r="C5764" s="21" t="s">
        <v>22682</v>
      </c>
      <c r="D5764" s="22">
        <v>46034</v>
      </c>
      <c r="E5764" s="23" t="s">
        <v>22656</v>
      </c>
      <c r="F5764" s="24" t="s">
        <v>22657</v>
      </c>
      <c r="G5764" s="25">
        <v>4</v>
      </c>
      <c r="H5764" s="26"/>
      <c r="I5764" s="27"/>
    </row>
    <row r="5765" spans="1:9" ht="15.75" thickBot="1" x14ac:dyDescent="0.3">
      <c r="A5765" s="43" t="s">
        <v>12439</v>
      </c>
      <c r="B5765" s="21" t="s">
        <v>12440</v>
      </c>
      <c r="C5765" s="21" t="s">
        <v>22682</v>
      </c>
      <c r="D5765" s="22">
        <v>46034</v>
      </c>
      <c r="E5765" s="23" t="s">
        <v>22656</v>
      </c>
      <c r="F5765" s="24" t="s">
        <v>22657</v>
      </c>
      <c r="G5765" s="25">
        <v>4</v>
      </c>
      <c r="H5765" s="29"/>
      <c r="I5765" s="30"/>
    </row>
    <row r="5766" spans="1:9" ht="15.75" thickBot="1" x14ac:dyDescent="0.3">
      <c r="A5766" s="43" t="s">
        <v>12441</v>
      </c>
      <c r="B5766" s="21" t="s">
        <v>12442</v>
      </c>
      <c r="C5766" s="21" t="s">
        <v>22663</v>
      </c>
      <c r="D5766" s="31">
        <v>1</v>
      </c>
      <c r="E5766" s="23" t="s">
        <v>22658</v>
      </c>
      <c r="F5766" s="24" t="s">
        <v>22657</v>
      </c>
      <c r="G5766" s="25">
        <v>1</v>
      </c>
      <c r="H5766" s="26"/>
      <c r="I5766" s="27"/>
    </row>
    <row r="5767" spans="1:9" ht="15.75" thickBot="1" x14ac:dyDescent="0.3">
      <c r="A5767" s="43" t="s">
        <v>12443</v>
      </c>
      <c r="B5767" s="21" t="s">
        <v>12444</v>
      </c>
      <c r="C5767" s="21" t="s">
        <v>22682</v>
      </c>
      <c r="D5767" s="22">
        <v>46034</v>
      </c>
      <c r="E5767" s="23" t="s">
        <v>22656</v>
      </c>
      <c r="F5767" s="24" t="s">
        <v>22657</v>
      </c>
      <c r="G5767" s="25">
        <v>4</v>
      </c>
      <c r="H5767" s="29"/>
      <c r="I5767" s="30"/>
    </row>
    <row r="5768" spans="1:9" ht="15.75" thickBot="1" x14ac:dyDescent="0.3">
      <c r="A5768" s="43" t="s">
        <v>12445</v>
      </c>
      <c r="B5768" s="21" t="s">
        <v>12446</v>
      </c>
      <c r="C5768" s="21" t="s">
        <v>22682</v>
      </c>
      <c r="D5768" s="22">
        <v>46034</v>
      </c>
      <c r="E5768" s="23" t="s">
        <v>22656</v>
      </c>
      <c r="F5768" s="24" t="s">
        <v>22657</v>
      </c>
      <c r="G5768" s="25">
        <v>7</v>
      </c>
      <c r="H5768" s="26"/>
      <c r="I5768" s="27"/>
    </row>
    <row r="5769" spans="1:9" ht="15.75" thickBot="1" x14ac:dyDescent="0.3">
      <c r="A5769" s="43" t="s">
        <v>12447</v>
      </c>
      <c r="B5769" s="21" t="s">
        <v>12448</v>
      </c>
      <c r="C5769" s="21" t="s">
        <v>22682</v>
      </c>
      <c r="D5769" s="22">
        <v>46034</v>
      </c>
      <c r="E5769" s="23" t="s">
        <v>22656</v>
      </c>
      <c r="F5769" s="24" t="s">
        <v>22657</v>
      </c>
      <c r="G5769" s="25">
        <v>4</v>
      </c>
      <c r="H5769" s="29"/>
      <c r="I5769" s="30"/>
    </row>
    <row r="5770" spans="1:9" ht="15.75" thickBot="1" x14ac:dyDescent="0.3">
      <c r="A5770" s="43" t="s">
        <v>12449</v>
      </c>
      <c r="B5770" s="21" t="s">
        <v>12450</v>
      </c>
      <c r="C5770" s="21" t="s">
        <v>22682</v>
      </c>
      <c r="D5770" s="22">
        <v>46034</v>
      </c>
      <c r="E5770" s="23" t="s">
        <v>22658</v>
      </c>
      <c r="F5770" s="24" t="s">
        <v>22657</v>
      </c>
      <c r="G5770" s="25">
        <v>4</v>
      </c>
      <c r="H5770" s="26"/>
      <c r="I5770" s="27"/>
    </row>
    <row r="5771" spans="1:9" ht="15.75" thickBot="1" x14ac:dyDescent="0.3">
      <c r="A5771" s="43" t="s">
        <v>12451</v>
      </c>
      <c r="B5771" s="21" t="s">
        <v>12452</v>
      </c>
      <c r="C5771" s="21" t="s">
        <v>22682</v>
      </c>
      <c r="D5771" s="22">
        <v>46034</v>
      </c>
      <c r="E5771" s="23" t="s">
        <v>22658</v>
      </c>
      <c r="F5771" s="24" t="s">
        <v>22657</v>
      </c>
      <c r="G5771" s="25">
        <v>4</v>
      </c>
      <c r="H5771" s="29"/>
      <c r="I5771" s="30"/>
    </row>
    <row r="5772" spans="1:9" ht="15.75" thickBot="1" x14ac:dyDescent="0.3">
      <c r="A5772" s="43" t="s">
        <v>12453</v>
      </c>
      <c r="B5772" s="21" t="s">
        <v>12454</v>
      </c>
      <c r="C5772" s="21" t="s">
        <v>22663</v>
      </c>
      <c r="D5772" s="31">
        <v>1</v>
      </c>
      <c r="E5772" s="23" t="s">
        <v>22658</v>
      </c>
      <c r="F5772" s="24" t="s">
        <v>22657</v>
      </c>
      <c r="G5772" s="25">
        <v>1</v>
      </c>
      <c r="H5772" s="26"/>
      <c r="I5772" s="27"/>
    </row>
    <row r="5773" spans="1:9" ht="15.75" thickBot="1" x14ac:dyDescent="0.3">
      <c r="A5773" s="43" t="s">
        <v>12455</v>
      </c>
      <c r="B5773" s="21" t="s">
        <v>12456</v>
      </c>
      <c r="C5773" s="21" t="s">
        <v>22709</v>
      </c>
      <c r="D5773" s="31">
        <v>1</v>
      </c>
      <c r="E5773" s="23" t="s">
        <v>22658</v>
      </c>
      <c r="F5773" s="24" t="s">
        <v>22657</v>
      </c>
      <c r="G5773" s="25">
        <v>1</v>
      </c>
      <c r="H5773" s="29"/>
      <c r="I5773" s="30"/>
    </row>
    <row r="5774" spans="1:9" ht="15.75" thickBot="1" x14ac:dyDescent="0.3">
      <c r="A5774" s="43" t="s">
        <v>12457</v>
      </c>
      <c r="B5774" s="21" t="s">
        <v>12458</v>
      </c>
      <c r="C5774" s="21" t="s">
        <v>22698</v>
      </c>
      <c r="D5774" s="31">
        <v>1</v>
      </c>
      <c r="E5774" s="23" t="s">
        <v>22658</v>
      </c>
      <c r="F5774" s="24" t="s">
        <v>22657</v>
      </c>
      <c r="G5774" s="25">
        <v>1</v>
      </c>
      <c r="H5774" s="26"/>
      <c r="I5774" s="27"/>
    </row>
    <row r="5775" spans="1:9" ht="15.75" thickBot="1" x14ac:dyDescent="0.3">
      <c r="A5775" s="43" t="s">
        <v>12459</v>
      </c>
      <c r="B5775" s="21" t="s">
        <v>12460</v>
      </c>
      <c r="C5775" s="21" t="s">
        <v>22663</v>
      </c>
      <c r="D5775" s="31">
        <v>1</v>
      </c>
      <c r="E5775" s="23" t="s">
        <v>22658</v>
      </c>
      <c r="F5775" s="24" t="s">
        <v>22657</v>
      </c>
      <c r="G5775" s="25">
        <v>1</v>
      </c>
      <c r="H5775" s="29"/>
      <c r="I5775" s="30"/>
    </row>
    <row r="5776" spans="1:9" ht="15.75" thickBot="1" x14ac:dyDescent="0.3">
      <c r="A5776" s="43" t="s">
        <v>12461</v>
      </c>
      <c r="B5776" s="21" t="s">
        <v>12462</v>
      </c>
      <c r="C5776" s="21" t="s">
        <v>22709</v>
      </c>
      <c r="D5776" s="31">
        <v>1</v>
      </c>
      <c r="E5776" s="23" t="s">
        <v>22656</v>
      </c>
      <c r="F5776" s="24" t="s">
        <v>22657</v>
      </c>
      <c r="G5776" s="25">
        <v>2</v>
      </c>
      <c r="H5776" s="26"/>
      <c r="I5776" s="27"/>
    </row>
    <row r="5777" spans="1:9" ht="15.75" thickBot="1" x14ac:dyDescent="0.3">
      <c r="A5777" s="43" t="s">
        <v>12463</v>
      </c>
      <c r="B5777" s="21" t="s">
        <v>12464</v>
      </c>
      <c r="C5777" s="21" t="s">
        <v>22698</v>
      </c>
      <c r="D5777" s="31">
        <v>1</v>
      </c>
      <c r="E5777" s="23" t="s">
        <v>22658</v>
      </c>
      <c r="F5777" s="24" t="s">
        <v>22657</v>
      </c>
      <c r="G5777" s="25">
        <v>1</v>
      </c>
      <c r="H5777" s="29"/>
      <c r="I5777" s="30"/>
    </row>
    <row r="5778" spans="1:9" ht="15.75" thickBot="1" x14ac:dyDescent="0.3">
      <c r="A5778" s="43" t="s">
        <v>12465</v>
      </c>
      <c r="B5778" s="21" t="s">
        <v>12466</v>
      </c>
      <c r="C5778" s="21" t="s">
        <v>22682</v>
      </c>
      <c r="D5778" s="22">
        <v>46034</v>
      </c>
      <c r="E5778" s="23" t="s">
        <v>22658</v>
      </c>
      <c r="F5778" s="24" t="s">
        <v>22657</v>
      </c>
      <c r="G5778" s="25">
        <v>4</v>
      </c>
      <c r="H5778" s="26"/>
      <c r="I5778" s="27"/>
    </row>
    <row r="5779" spans="1:9" ht="15.75" thickBot="1" x14ac:dyDescent="0.3">
      <c r="A5779" s="43" t="s">
        <v>12467</v>
      </c>
      <c r="B5779" s="21" t="s">
        <v>12468</v>
      </c>
      <c r="C5779" s="21" t="s">
        <v>22682</v>
      </c>
      <c r="D5779" s="22">
        <v>46034</v>
      </c>
      <c r="E5779" s="23" t="s">
        <v>22658</v>
      </c>
      <c r="F5779" s="24" t="s">
        <v>22657</v>
      </c>
      <c r="G5779" s="25">
        <v>4</v>
      </c>
      <c r="H5779" s="29"/>
      <c r="I5779" s="30"/>
    </row>
    <row r="5780" spans="1:9" ht="15.75" thickBot="1" x14ac:dyDescent="0.3">
      <c r="A5780" s="43" t="s">
        <v>12469</v>
      </c>
      <c r="B5780" s="21" t="s">
        <v>12470</v>
      </c>
      <c r="C5780" s="21" t="s">
        <v>22682</v>
      </c>
      <c r="D5780" s="22">
        <v>46034</v>
      </c>
      <c r="E5780" s="23" t="s">
        <v>22658</v>
      </c>
      <c r="F5780" s="24" t="s">
        <v>22657</v>
      </c>
      <c r="G5780" s="25">
        <v>4</v>
      </c>
      <c r="H5780" s="26"/>
      <c r="I5780" s="27"/>
    </row>
    <row r="5781" spans="1:9" ht="15.75" thickBot="1" x14ac:dyDescent="0.3">
      <c r="A5781" s="43" t="s">
        <v>12471</v>
      </c>
      <c r="B5781" s="21" t="s">
        <v>12472</v>
      </c>
      <c r="C5781" s="21" t="s">
        <v>22655</v>
      </c>
      <c r="D5781" s="31" t="s">
        <v>22666</v>
      </c>
      <c r="E5781" s="23" t="s">
        <v>22656</v>
      </c>
      <c r="F5781" s="24" t="s">
        <v>22657</v>
      </c>
      <c r="G5781" s="25">
        <v>2</v>
      </c>
      <c r="H5781" s="29"/>
      <c r="I5781" s="30"/>
    </row>
    <row r="5782" spans="1:9" ht="15.75" thickBot="1" x14ac:dyDescent="0.3">
      <c r="A5782" s="43" t="s">
        <v>12473</v>
      </c>
      <c r="B5782" s="21" t="s">
        <v>12474</v>
      </c>
      <c r="C5782" s="21" t="s">
        <v>22682</v>
      </c>
      <c r="D5782" s="22">
        <v>46034</v>
      </c>
      <c r="E5782" s="23" t="s">
        <v>22656</v>
      </c>
      <c r="F5782" s="24" t="s">
        <v>22657</v>
      </c>
      <c r="G5782" s="25">
        <v>4</v>
      </c>
      <c r="H5782" s="26"/>
      <c r="I5782" s="27"/>
    </row>
    <row r="5783" spans="1:9" ht="15.75" thickBot="1" x14ac:dyDescent="0.3">
      <c r="A5783" s="43" t="s">
        <v>12475</v>
      </c>
      <c r="B5783" s="21" t="s">
        <v>12476</v>
      </c>
      <c r="C5783" s="21" t="s">
        <v>22682</v>
      </c>
      <c r="D5783" s="22">
        <v>46034</v>
      </c>
      <c r="E5783" s="23" t="s">
        <v>22658</v>
      </c>
      <c r="F5783" s="24" t="s">
        <v>22657</v>
      </c>
      <c r="G5783" s="25">
        <v>4</v>
      </c>
      <c r="H5783" s="29"/>
      <c r="I5783" s="30"/>
    </row>
    <row r="5784" spans="1:9" ht="15.75" thickBot="1" x14ac:dyDescent="0.3">
      <c r="A5784" s="43" t="s">
        <v>12477</v>
      </c>
      <c r="B5784" s="21" t="s">
        <v>12478</v>
      </c>
      <c r="C5784" s="21" t="s">
        <v>22682</v>
      </c>
      <c r="D5784" s="22">
        <v>46034</v>
      </c>
      <c r="E5784" s="23" t="s">
        <v>22658</v>
      </c>
      <c r="F5784" s="24" t="s">
        <v>22657</v>
      </c>
      <c r="G5784" s="25">
        <v>4</v>
      </c>
      <c r="H5784" s="26"/>
      <c r="I5784" s="27"/>
    </row>
    <row r="5785" spans="1:9" ht="15.75" thickBot="1" x14ac:dyDescent="0.3">
      <c r="A5785" s="43" t="s">
        <v>12479</v>
      </c>
      <c r="B5785" s="21" t="s">
        <v>12480</v>
      </c>
      <c r="C5785" s="21" t="s">
        <v>22682</v>
      </c>
      <c r="D5785" s="22">
        <v>46034</v>
      </c>
      <c r="E5785" s="23" t="s">
        <v>22658</v>
      </c>
      <c r="F5785" s="24" t="s">
        <v>22657</v>
      </c>
      <c r="G5785" s="25">
        <v>4</v>
      </c>
      <c r="H5785" s="29"/>
      <c r="I5785" s="30"/>
    </row>
    <row r="5786" spans="1:9" ht="15.75" thickBot="1" x14ac:dyDescent="0.3">
      <c r="A5786" s="43" t="s">
        <v>12481</v>
      </c>
      <c r="B5786" s="21" t="s">
        <v>12482</v>
      </c>
      <c r="C5786" s="21" t="s">
        <v>22682</v>
      </c>
      <c r="D5786" s="22">
        <v>46034</v>
      </c>
      <c r="E5786" s="23" t="s">
        <v>22658</v>
      </c>
      <c r="F5786" s="24" t="s">
        <v>22657</v>
      </c>
      <c r="G5786" s="25">
        <v>4</v>
      </c>
      <c r="H5786" s="26"/>
      <c r="I5786" s="27"/>
    </row>
    <row r="5787" spans="1:9" ht="15.75" thickBot="1" x14ac:dyDescent="0.3">
      <c r="A5787" s="43" t="s">
        <v>12483</v>
      </c>
      <c r="B5787" s="21" t="s">
        <v>12484</v>
      </c>
      <c r="C5787" s="21" t="s">
        <v>22663</v>
      </c>
      <c r="D5787" s="31">
        <v>1</v>
      </c>
      <c r="E5787" s="23" t="s">
        <v>22661</v>
      </c>
      <c r="F5787" s="24" t="s">
        <v>22657</v>
      </c>
      <c r="G5787" s="25">
        <v>5</v>
      </c>
      <c r="H5787" s="29"/>
      <c r="I5787" s="30"/>
    </row>
    <row r="5788" spans="1:9" ht="15.75" thickBot="1" x14ac:dyDescent="0.3">
      <c r="A5788" s="43" t="s">
        <v>707</v>
      </c>
      <c r="B5788" s="21" t="s">
        <v>708</v>
      </c>
      <c r="C5788" s="21" t="s">
        <v>22663</v>
      </c>
      <c r="D5788" s="31">
        <v>1</v>
      </c>
      <c r="E5788" s="23" t="s">
        <v>22665</v>
      </c>
      <c r="F5788" s="24" t="s">
        <v>22657</v>
      </c>
      <c r="G5788" s="25">
        <v>25</v>
      </c>
      <c r="H5788" s="34">
        <v>25</v>
      </c>
      <c r="I5788" s="35">
        <v>50</v>
      </c>
    </row>
    <row r="5789" spans="1:9" ht="15.75" thickBot="1" x14ac:dyDescent="0.3">
      <c r="A5789" s="43" t="s">
        <v>1353</v>
      </c>
      <c r="B5789" s="21" t="s">
        <v>1354</v>
      </c>
      <c r="C5789" s="21" t="s">
        <v>22727</v>
      </c>
      <c r="D5789" s="31">
        <v>1</v>
      </c>
      <c r="E5789" s="23" t="s">
        <v>22658</v>
      </c>
      <c r="F5789" s="24" t="s">
        <v>22657</v>
      </c>
      <c r="G5789" s="25">
        <v>1</v>
      </c>
      <c r="H5789" s="29"/>
      <c r="I5789" s="30"/>
    </row>
    <row r="5790" spans="1:9" ht="15.75" thickBot="1" x14ac:dyDescent="0.3">
      <c r="A5790" s="43" t="s">
        <v>12485</v>
      </c>
      <c r="B5790" s="21" t="s">
        <v>12486</v>
      </c>
      <c r="C5790" s="21" t="s">
        <v>22663</v>
      </c>
      <c r="D5790" s="31">
        <v>1</v>
      </c>
      <c r="E5790" s="23" t="s">
        <v>22661</v>
      </c>
      <c r="F5790" s="24" t="s">
        <v>22657</v>
      </c>
      <c r="G5790" s="25">
        <v>15</v>
      </c>
      <c r="H5790" s="34">
        <v>15</v>
      </c>
      <c r="I5790" s="35">
        <v>30</v>
      </c>
    </row>
    <row r="5791" spans="1:9" ht="15.75" thickBot="1" x14ac:dyDescent="0.3">
      <c r="A5791" s="43" t="s">
        <v>23</v>
      </c>
      <c r="B5791" s="21" t="s">
        <v>24</v>
      </c>
      <c r="C5791" s="21" t="s">
        <v>22709</v>
      </c>
      <c r="D5791" s="31">
        <v>1</v>
      </c>
      <c r="E5791" s="23" t="s">
        <v>22656</v>
      </c>
      <c r="F5791" s="24" t="s">
        <v>22657</v>
      </c>
      <c r="G5791" s="25">
        <v>2</v>
      </c>
      <c r="H5791" s="32">
        <v>2</v>
      </c>
      <c r="I5791" s="33">
        <v>4</v>
      </c>
    </row>
    <row r="5792" spans="1:9" ht="15.75" thickBot="1" x14ac:dyDescent="0.3">
      <c r="A5792" s="43" t="s">
        <v>747</v>
      </c>
      <c r="B5792" s="21" t="s">
        <v>748</v>
      </c>
      <c r="C5792" s="21" t="s">
        <v>22698</v>
      </c>
      <c r="D5792" s="31">
        <v>1</v>
      </c>
      <c r="E5792" s="23" t="s">
        <v>22665</v>
      </c>
      <c r="F5792" s="24" t="s">
        <v>22657</v>
      </c>
      <c r="G5792" s="25">
        <v>15</v>
      </c>
      <c r="H5792" s="34">
        <v>15</v>
      </c>
      <c r="I5792" s="35">
        <v>30</v>
      </c>
    </row>
    <row r="5793" spans="1:9" ht="15.75" thickBot="1" x14ac:dyDescent="0.3">
      <c r="A5793" s="43" t="s">
        <v>12487</v>
      </c>
      <c r="B5793" s="21" t="s">
        <v>12488</v>
      </c>
      <c r="C5793" s="21" t="s">
        <v>22663</v>
      </c>
      <c r="D5793" s="31">
        <v>1</v>
      </c>
      <c r="E5793" s="23" t="s">
        <v>22658</v>
      </c>
      <c r="F5793" s="28" t="s">
        <v>22659</v>
      </c>
      <c r="G5793" s="25">
        <v>1</v>
      </c>
      <c r="H5793" s="29"/>
      <c r="I5793" s="30"/>
    </row>
    <row r="5794" spans="1:9" ht="15.75" thickBot="1" x14ac:dyDescent="0.3">
      <c r="A5794" s="43" t="s">
        <v>12489</v>
      </c>
      <c r="B5794" s="21" t="s">
        <v>22578</v>
      </c>
      <c r="C5794" s="21" t="s">
        <v>22663</v>
      </c>
      <c r="D5794" s="31">
        <v>1</v>
      </c>
      <c r="E5794" s="23" t="s">
        <v>22658</v>
      </c>
      <c r="F5794" s="24" t="s">
        <v>22657</v>
      </c>
      <c r="G5794" s="25">
        <v>2</v>
      </c>
      <c r="H5794" s="26"/>
      <c r="I5794" s="27"/>
    </row>
    <row r="5795" spans="1:9" ht="15.75" thickBot="1" x14ac:dyDescent="0.3">
      <c r="A5795" s="43" t="s">
        <v>12491</v>
      </c>
      <c r="B5795" s="21" t="s">
        <v>12492</v>
      </c>
      <c r="C5795" s="21" t="s">
        <v>22655</v>
      </c>
      <c r="D5795" s="22">
        <v>46034</v>
      </c>
      <c r="E5795" s="23" t="s">
        <v>22656</v>
      </c>
      <c r="F5795" s="24" t="s">
        <v>22657</v>
      </c>
      <c r="G5795" s="25">
        <v>4</v>
      </c>
      <c r="H5795" s="29"/>
      <c r="I5795" s="30"/>
    </row>
    <row r="5796" spans="1:9" ht="15.75" thickBot="1" x14ac:dyDescent="0.3">
      <c r="A5796" s="43" t="s">
        <v>12493</v>
      </c>
      <c r="B5796" s="21" t="s">
        <v>12494</v>
      </c>
      <c r="C5796" s="21" t="s">
        <v>22663</v>
      </c>
      <c r="D5796" s="31">
        <v>1</v>
      </c>
      <c r="E5796" s="23" t="s">
        <v>22656</v>
      </c>
      <c r="F5796" s="24" t="s">
        <v>22657</v>
      </c>
      <c r="G5796" s="25">
        <v>2</v>
      </c>
      <c r="H5796" s="26"/>
      <c r="I5796" s="27"/>
    </row>
    <row r="5797" spans="1:9" ht="15.75" thickBot="1" x14ac:dyDescent="0.3">
      <c r="A5797" s="43" t="s">
        <v>12495</v>
      </c>
      <c r="B5797" s="21" t="s">
        <v>12496</v>
      </c>
      <c r="C5797" s="21" t="s">
        <v>22655</v>
      </c>
      <c r="D5797" s="22">
        <v>46034</v>
      </c>
      <c r="E5797" s="23" t="s">
        <v>22656</v>
      </c>
      <c r="F5797" s="24" t="s">
        <v>22657</v>
      </c>
      <c r="G5797" s="25">
        <v>4</v>
      </c>
      <c r="H5797" s="29"/>
      <c r="I5797" s="30"/>
    </row>
    <row r="5798" spans="1:9" ht="15.75" thickBot="1" x14ac:dyDescent="0.3">
      <c r="A5798" s="43" t="s">
        <v>12497</v>
      </c>
      <c r="B5798" s="21" t="s">
        <v>12498</v>
      </c>
      <c r="C5798" s="21" t="s">
        <v>22663</v>
      </c>
      <c r="D5798" s="31">
        <v>1</v>
      </c>
      <c r="E5798" s="23" t="s">
        <v>22656</v>
      </c>
      <c r="F5798" s="24" t="s">
        <v>22657</v>
      </c>
      <c r="G5798" s="25">
        <v>2</v>
      </c>
      <c r="H5798" s="26"/>
      <c r="I5798" s="27"/>
    </row>
    <row r="5799" spans="1:9" ht="15.75" thickBot="1" x14ac:dyDescent="0.3">
      <c r="A5799" s="43" t="s">
        <v>12499</v>
      </c>
      <c r="B5799" s="21" t="s">
        <v>12500</v>
      </c>
      <c r="C5799" s="21" t="s">
        <v>22667</v>
      </c>
      <c r="D5799" s="31" t="s">
        <v>22678</v>
      </c>
      <c r="E5799" s="23" t="s">
        <v>22656</v>
      </c>
      <c r="F5799" s="24" t="s">
        <v>22657</v>
      </c>
      <c r="G5799" s="25">
        <v>2</v>
      </c>
      <c r="H5799" s="29"/>
      <c r="I5799" s="30"/>
    </row>
    <row r="5800" spans="1:9" ht="15.75" thickBot="1" x14ac:dyDescent="0.3">
      <c r="A5800" s="43" t="s">
        <v>12501</v>
      </c>
      <c r="B5800" s="21" t="s">
        <v>12502</v>
      </c>
      <c r="C5800" s="21" t="s">
        <v>22655</v>
      </c>
      <c r="D5800" s="22">
        <v>46034</v>
      </c>
      <c r="E5800" s="23" t="s">
        <v>22656</v>
      </c>
      <c r="F5800" s="24" t="s">
        <v>22657</v>
      </c>
      <c r="G5800" s="25">
        <v>4</v>
      </c>
      <c r="H5800" s="26"/>
      <c r="I5800" s="27"/>
    </row>
    <row r="5801" spans="1:9" ht="15.75" thickBot="1" x14ac:dyDescent="0.3">
      <c r="A5801" s="43" t="s">
        <v>12503</v>
      </c>
      <c r="B5801" s="21" t="s">
        <v>12504</v>
      </c>
      <c r="C5801" s="21" t="s">
        <v>22663</v>
      </c>
      <c r="D5801" s="31">
        <v>1</v>
      </c>
      <c r="E5801" s="23" t="s">
        <v>22656</v>
      </c>
      <c r="F5801" s="24" t="s">
        <v>22657</v>
      </c>
      <c r="G5801" s="25">
        <v>2</v>
      </c>
      <c r="H5801" s="29"/>
      <c r="I5801" s="30"/>
    </row>
    <row r="5802" spans="1:9" ht="15.75" thickBot="1" x14ac:dyDescent="0.3">
      <c r="A5802" s="43" t="s">
        <v>12505</v>
      </c>
      <c r="B5802" s="21" t="s">
        <v>12506</v>
      </c>
      <c r="C5802" s="21" t="s">
        <v>22655</v>
      </c>
      <c r="D5802" s="22">
        <v>46034</v>
      </c>
      <c r="E5802" s="23" t="s">
        <v>22656</v>
      </c>
      <c r="F5802" s="24" t="s">
        <v>22657</v>
      </c>
      <c r="G5802" s="25">
        <v>4</v>
      </c>
      <c r="H5802" s="26"/>
      <c r="I5802" s="27"/>
    </row>
    <row r="5803" spans="1:9" ht="15.75" thickBot="1" x14ac:dyDescent="0.3">
      <c r="A5803" s="43" t="s">
        <v>12507</v>
      </c>
      <c r="B5803" s="21" t="s">
        <v>12508</v>
      </c>
      <c r="C5803" s="21" t="s">
        <v>22663</v>
      </c>
      <c r="D5803" s="31">
        <v>1</v>
      </c>
      <c r="E5803" s="23" t="s">
        <v>22656</v>
      </c>
      <c r="F5803" s="24" t="s">
        <v>22657</v>
      </c>
      <c r="G5803" s="25">
        <v>2</v>
      </c>
      <c r="H5803" s="29"/>
      <c r="I5803" s="30"/>
    </row>
    <row r="5804" spans="1:9" ht="15.75" thickBot="1" x14ac:dyDescent="0.3">
      <c r="A5804" s="43" t="s">
        <v>949</v>
      </c>
      <c r="B5804" s="21" t="s">
        <v>950</v>
      </c>
      <c r="C5804" s="21" t="s">
        <v>22667</v>
      </c>
      <c r="D5804" s="31" t="s">
        <v>22678</v>
      </c>
      <c r="E5804" s="23" t="s">
        <v>22662</v>
      </c>
      <c r="F5804" s="24" t="s">
        <v>22657</v>
      </c>
      <c r="G5804" s="25">
        <v>48</v>
      </c>
      <c r="H5804" s="34">
        <v>48</v>
      </c>
      <c r="I5804" s="35">
        <v>72</v>
      </c>
    </row>
    <row r="5805" spans="1:9" ht="15.75" thickBot="1" x14ac:dyDescent="0.3">
      <c r="A5805" s="43" t="s">
        <v>1391</v>
      </c>
      <c r="B5805" s="21" t="s">
        <v>12511</v>
      </c>
      <c r="C5805" s="21" t="s">
        <v>22655</v>
      </c>
      <c r="D5805" s="22">
        <v>46034</v>
      </c>
      <c r="E5805" s="23" t="s">
        <v>22665</v>
      </c>
      <c r="F5805" s="24" t="s">
        <v>22657</v>
      </c>
      <c r="G5805" s="25">
        <v>24</v>
      </c>
      <c r="H5805" s="32">
        <v>24</v>
      </c>
      <c r="I5805" s="33">
        <v>60</v>
      </c>
    </row>
    <row r="5806" spans="1:9" ht="15.75" thickBot="1" x14ac:dyDescent="0.3">
      <c r="A5806" s="43" t="s">
        <v>12509</v>
      </c>
      <c r="B5806" s="21" t="s">
        <v>12510</v>
      </c>
      <c r="C5806" s="21" t="s">
        <v>22663</v>
      </c>
      <c r="D5806" s="31">
        <v>1</v>
      </c>
      <c r="E5806" s="23" t="s">
        <v>22658</v>
      </c>
      <c r="F5806" s="24" t="s">
        <v>22657</v>
      </c>
      <c r="G5806" s="25">
        <v>5</v>
      </c>
      <c r="H5806" s="26"/>
      <c r="I5806" s="27"/>
    </row>
    <row r="5807" spans="1:9" ht="15.75" thickBot="1" x14ac:dyDescent="0.3">
      <c r="A5807" s="43" t="s">
        <v>12512</v>
      </c>
      <c r="B5807" s="21" t="s">
        <v>12513</v>
      </c>
      <c r="C5807" s="21" t="s">
        <v>22663</v>
      </c>
      <c r="D5807" s="31">
        <v>1</v>
      </c>
      <c r="E5807" s="23" t="s">
        <v>22656</v>
      </c>
      <c r="F5807" s="24" t="s">
        <v>22657</v>
      </c>
      <c r="G5807" s="25">
        <v>2</v>
      </c>
      <c r="H5807" s="29"/>
      <c r="I5807" s="30"/>
    </row>
    <row r="5808" spans="1:9" ht="15.75" thickBot="1" x14ac:dyDescent="0.3">
      <c r="A5808" s="43" t="s">
        <v>12514</v>
      </c>
      <c r="B5808" s="21" t="s">
        <v>12515</v>
      </c>
      <c r="C5808" s="21" t="s">
        <v>22655</v>
      </c>
      <c r="D5808" s="22">
        <v>46034</v>
      </c>
      <c r="E5808" s="23" t="s">
        <v>22656</v>
      </c>
      <c r="F5808" s="24" t="s">
        <v>22657</v>
      </c>
      <c r="G5808" s="25">
        <v>12</v>
      </c>
      <c r="H5808" s="34">
        <v>12</v>
      </c>
      <c r="I5808" s="35">
        <v>24</v>
      </c>
    </row>
    <row r="5809" spans="1:9" ht="15.75" thickBot="1" x14ac:dyDescent="0.3">
      <c r="A5809" s="43" t="s">
        <v>12516</v>
      </c>
      <c r="B5809" s="21" t="s">
        <v>12517</v>
      </c>
      <c r="C5809" s="21" t="s">
        <v>22655</v>
      </c>
      <c r="D5809" s="22">
        <v>46034</v>
      </c>
      <c r="E5809" s="23" t="s">
        <v>22656</v>
      </c>
      <c r="F5809" s="24" t="s">
        <v>22657</v>
      </c>
      <c r="G5809" s="25">
        <v>4</v>
      </c>
      <c r="H5809" s="29"/>
      <c r="I5809" s="30"/>
    </row>
    <row r="5810" spans="1:9" ht="15.75" thickBot="1" x14ac:dyDescent="0.3">
      <c r="A5810" s="43" t="s">
        <v>12518</v>
      </c>
      <c r="B5810" s="21" t="s">
        <v>12519</v>
      </c>
      <c r="C5810" s="21" t="s">
        <v>22663</v>
      </c>
      <c r="D5810" s="31">
        <v>1</v>
      </c>
      <c r="E5810" s="23" t="s">
        <v>22656</v>
      </c>
      <c r="F5810" s="24" t="s">
        <v>22657</v>
      </c>
      <c r="G5810" s="25">
        <v>4</v>
      </c>
      <c r="H5810" s="26"/>
      <c r="I5810" s="27"/>
    </row>
    <row r="5811" spans="1:9" ht="15.75" thickBot="1" x14ac:dyDescent="0.3">
      <c r="A5811" s="43" t="s">
        <v>12520</v>
      </c>
      <c r="B5811" s="21" t="s">
        <v>12521</v>
      </c>
      <c r="C5811" s="21" t="s">
        <v>22655</v>
      </c>
      <c r="D5811" s="22">
        <v>46034</v>
      </c>
      <c r="E5811" s="23" t="s">
        <v>22656</v>
      </c>
      <c r="F5811" s="24" t="s">
        <v>22657</v>
      </c>
      <c r="G5811" s="25">
        <v>4</v>
      </c>
      <c r="H5811" s="29"/>
      <c r="I5811" s="30"/>
    </row>
    <row r="5812" spans="1:9" ht="15.75" thickBot="1" x14ac:dyDescent="0.3">
      <c r="A5812" s="43" t="s">
        <v>12522</v>
      </c>
      <c r="B5812" s="21" t="s">
        <v>12523</v>
      </c>
      <c r="C5812" s="21" t="s">
        <v>22663</v>
      </c>
      <c r="D5812" s="31">
        <v>1</v>
      </c>
      <c r="E5812" s="23" t="s">
        <v>22656</v>
      </c>
      <c r="F5812" s="24" t="s">
        <v>22657</v>
      </c>
      <c r="G5812" s="25">
        <v>2</v>
      </c>
      <c r="H5812" s="26"/>
      <c r="I5812" s="27"/>
    </row>
    <row r="5813" spans="1:9" ht="15.75" thickBot="1" x14ac:dyDescent="0.3">
      <c r="A5813" s="43" t="s">
        <v>12524</v>
      </c>
      <c r="B5813" s="21" t="s">
        <v>12525</v>
      </c>
      <c r="C5813" s="21" t="s">
        <v>22655</v>
      </c>
      <c r="D5813" s="22">
        <v>46034</v>
      </c>
      <c r="E5813" s="23" t="s">
        <v>22658</v>
      </c>
      <c r="F5813" s="24" t="s">
        <v>22657</v>
      </c>
      <c r="G5813" s="25">
        <v>2</v>
      </c>
      <c r="H5813" s="29"/>
      <c r="I5813" s="30"/>
    </row>
    <row r="5814" spans="1:9" ht="15.75" thickBot="1" x14ac:dyDescent="0.3">
      <c r="A5814" s="43" t="s">
        <v>12526</v>
      </c>
      <c r="B5814" s="21" t="s">
        <v>12527</v>
      </c>
      <c r="C5814" s="21" t="s">
        <v>22663</v>
      </c>
      <c r="D5814" s="31">
        <v>1</v>
      </c>
      <c r="E5814" s="23" t="s">
        <v>22658</v>
      </c>
      <c r="F5814" s="24" t="s">
        <v>22657</v>
      </c>
      <c r="G5814" s="25">
        <v>2</v>
      </c>
      <c r="H5814" s="26"/>
      <c r="I5814" s="27"/>
    </row>
    <row r="5815" spans="1:9" ht="15.75" thickBot="1" x14ac:dyDescent="0.3">
      <c r="A5815" s="43" t="s">
        <v>12528</v>
      </c>
      <c r="B5815" s="21" t="s">
        <v>12529</v>
      </c>
      <c r="C5815" s="21" t="s">
        <v>22655</v>
      </c>
      <c r="D5815" s="22">
        <v>46034</v>
      </c>
      <c r="E5815" s="23" t="s">
        <v>22656</v>
      </c>
      <c r="F5815" s="24" t="s">
        <v>22657</v>
      </c>
      <c r="G5815" s="25">
        <v>6</v>
      </c>
      <c r="H5815" s="32">
        <v>6</v>
      </c>
      <c r="I5815" s="33">
        <v>12</v>
      </c>
    </row>
    <row r="5816" spans="1:9" ht="15.75" thickBot="1" x14ac:dyDescent="0.3">
      <c r="A5816" s="43" t="s">
        <v>12530</v>
      </c>
      <c r="B5816" s="21" t="s">
        <v>12531</v>
      </c>
      <c r="C5816" s="21" t="s">
        <v>22663</v>
      </c>
      <c r="D5816" s="31">
        <v>1</v>
      </c>
      <c r="E5816" s="23" t="s">
        <v>22656</v>
      </c>
      <c r="F5816" s="24" t="s">
        <v>22657</v>
      </c>
      <c r="G5816" s="25">
        <v>2</v>
      </c>
      <c r="H5816" s="26"/>
      <c r="I5816" s="27"/>
    </row>
    <row r="5817" spans="1:9" ht="15.75" thickBot="1" x14ac:dyDescent="0.3">
      <c r="A5817" s="43" t="s">
        <v>12532</v>
      </c>
      <c r="B5817" s="21" t="s">
        <v>12533</v>
      </c>
      <c r="C5817" s="21" t="s">
        <v>22667</v>
      </c>
      <c r="D5817" s="31" t="s">
        <v>22678</v>
      </c>
      <c r="E5817" s="23" t="s">
        <v>22661</v>
      </c>
      <c r="F5817" s="24" t="s">
        <v>22657</v>
      </c>
      <c r="G5817" s="25">
        <v>24</v>
      </c>
      <c r="H5817" s="32">
        <v>24</v>
      </c>
      <c r="I5817" s="33">
        <v>48</v>
      </c>
    </row>
    <row r="5818" spans="1:9" ht="15.75" thickBot="1" x14ac:dyDescent="0.3">
      <c r="A5818" s="43" t="s">
        <v>12534</v>
      </c>
      <c r="B5818" s="21" t="s">
        <v>12535</v>
      </c>
      <c r="C5818" s="21" t="s">
        <v>22663</v>
      </c>
      <c r="D5818" s="31">
        <v>1</v>
      </c>
      <c r="E5818" s="23" t="s">
        <v>22656</v>
      </c>
      <c r="F5818" s="24" t="s">
        <v>22657</v>
      </c>
      <c r="G5818" s="25">
        <v>2</v>
      </c>
      <c r="H5818" s="26"/>
      <c r="I5818" s="27"/>
    </row>
    <row r="5819" spans="1:9" ht="15.75" thickBot="1" x14ac:dyDescent="0.3">
      <c r="A5819" s="43" t="s">
        <v>12536</v>
      </c>
      <c r="B5819" s="21" t="s">
        <v>12537</v>
      </c>
      <c r="C5819" s="21" t="s">
        <v>22655</v>
      </c>
      <c r="D5819" s="22">
        <v>46034</v>
      </c>
      <c r="E5819" s="23" t="s">
        <v>22656</v>
      </c>
      <c r="F5819" s="24" t="s">
        <v>22657</v>
      </c>
      <c r="G5819" s="25">
        <v>4</v>
      </c>
      <c r="H5819" s="29"/>
      <c r="I5819" s="30"/>
    </row>
    <row r="5820" spans="1:9" ht="15.75" thickBot="1" x14ac:dyDescent="0.3">
      <c r="A5820" s="43" t="s">
        <v>12538</v>
      </c>
      <c r="B5820" s="21" t="s">
        <v>12539</v>
      </c>
      <c r="C5820" s="21" t="s">
        <v>22667</v>
      </c>
      <c r="D5820" s="31" t="s">
        <v>22678</v>
      </c>
      <c r="E5820" s="23" t="s">
        <v>22661</v>
      </c>
      <c r="F5820" s="24" t="s">
        <v>22657</v>
      </c>
      <c r="G5820" s="25">
        <v>24</v>
      </c>
      <c r="H5820" s="26"/>
      <c r="I5820" s="27"/>
    </row>
    <row r="5821" spans="1:9" ht="15.75" thickBot="1" x14ac:dyDescent="0.3">
      <c r="A5821" s="43" t="s">
        <v>1547</v>
      </c>
      <c r="B5821" s="21" t="s">
        <v>12540</v>
      </c>
      <c r="C5821" s="21" t="s">
        <v>22655</v>
      </c>
      <c r="D5821" s="22">
        <v>46034</v>
      </c>
      <c r="E5821" s="23" t="s">
        <v>22656</v>
      </c>
      <c r="F5821" s="24" t="s">
        <v>22657</v>
      </c>
      <c r="G5821" s="25">
        <v>4</v>
      </c>
      <c r="H5821" s="29"/>
      <c r="I5821" s="30"/>
    </row>
    <row r="5822" spans="1:9" ht="15.75" thickBot="1" x14ac:dyDescent="0.3">
      <c r="A5822" s="43" t="s">
        <v>12541</v>
      </c>
      <c r="B5822" s="21" t="s">
        <v>12542</v>
      </c>
      <c r="C5822" s="21" t="s">
        <v>22663</v>
      </c>
      <c r="D5822" s="31">
        <v>1</v>
      </c>
      <c r="E5822" s="23" t="s">
        <v>22656</v>
      </c>
      <c r="F5822" s="24" t="s">
        <v>22657</v>
      </c>
      <c r="G5822" s="25">
        <v>3</v>
      </c>
      <c r="H5822" s="26"/>
      <c r="I5822" s="27"/>
    </row>
    <row r="5823" spans="1:9" ht="15.75" thickBot="1" x14ac:dyDescent="0.3">
      <c r="A5823" s="43" t="s">
        <v>12543</v>
      </c>
      <c r="B5823" s="21" t="s">
        <v>12544</v>
      </c>
      <c r="C5823" s="21" t="s">
        <v>22667</v>
      </c>
      <c r="D5823" s="31" t="s">
        <v>22678</v>
      </c>
      <c r="E5823" s="23" t="s">
        <v>22656</v>
      </c>
      <c r="F5823" s="24" t="s">
        <v>22657</v>
      </c>
      <c r="G5823" s="25">
        <v>3</v>
      </c>
      <c r="H5823" s="29"/>
      <c r="I5823" s="30"/>
    </row>
    <row r="5824" spans="1:9" ht="15.75" thickBot="1" x14ac:dyDescent="0.3">
      <c r="A5824" s="43" t="s">
        <v>12545</v>
      </c>
      <c r="B5824" s="21" t="s">
        <v>12546</v>
      </c>
      <c r="C5824" s="21" t="s">
        <v>22655</v>
      </c>
      <c r="D5824" s="22">
        <v>46034</v>
      </c>
      <c r="E5824" s="23" t="s">
        <v>22656</v>
      </c>
      <c r="F5824" s="24" t="s">
        <v>22657</v>
      </c>
      <c r="G5824" s="25">
        <v>4</v>
      </c>
      <c r="H5824" s="26"/>
      <c r="I5824" s="27"/>
    </row>
    <row r="5825" spans="1:9" ht="15.75" thickBot="1" x14ac:dyDescent="0.3">
      <c r="A5825" s="43" t="s">
        <v>12547</v>
      </c>
      <c r="B5825" s="21" t="s">
        <v>12548</v>
      </c>
      <c r="C5825" s="21" t="s">
        <v>22663</v>
      </c>
      <c r="D5825" s="31">
        <v>1</v>
      </c>
      <c r="E5825" s="23" t="s">
        <v>22658</v>
      </c>
      <c r="F5825" s="24" t="s">
        <v>22657</v>
      </c>
      <c r="G5825" s="25">
        <v>2</v>
      </c>
      <c r="H5825" s="29"/>
      <c r="I5825" s="30"/>
    </row>
    <row r="5826" spans="1:9" ht="15.75" thickBot="1" x14ac:dyDescent="0.3">
      <c r="A5826" s="43" t="s">
        <v>896</v>
      </c>
      <c r="B5826" s="21" t="s">
        <v>897</v>
      </c>
      <c r="C5826" s="21" t="s">
        <v>22655</v>
      </c>
      <c r="D5826" s="22">
        <v>46034</v>
      </c>
      <c r="E5826" s="23" t="s">
        <v>22656</v>
      </c>
      <c r="F5826" s="24" t="s">
        <v>22657</v>
      </c>
      <c r="G5826" s="25">
        <v>12</v>
      </c>
      <c r="H5826" s="34">
        <v>12</v>
      </c>
      <c r="I5826" s="35">
        <v>24</v>
      </c>
    </row>
    <row r="5827" spans="1:9" ht="15.75" thickBot="1" x14ac:dyDescent="0.3">
      <c r="A5827" s="43" t="s">
        <v>12549</v>
      </c>
      <c r="B5827" s="21" t="s">
        <v>12550</v>
      </c>
      <c r="C5827" s="21" t="s">
        <v>22663</v>
      </c>
      <c r="D5827" s="31">
        <v>1</v>
      </c>
      <c r="E5827" s="23" t="s">
        <v>22656</v>
      </c>
      <c r="F5827" s="24" t="s">
        <v>22657</v>
      </c>
      <c r="G5827" s="25">
        <v>4</v>
      </c>
      <c r="H5827" s="29"/>
      <c r="I5827" s="30"/>
    </row>
    <row r="5828" spans="1:9" ht="15.75" thickBot="1" x14ac:dyDescent="0.3">
      <c r="A5828" s="43" t="s">
        <v>12551</v>
      </c>
      <c r="B5828" s="21" t="s">
        <v>12552</v>
      </c>
      <c r="C5828" s="21" t="s">
        <v>22655</v>
      </c>
      <c r="D5828" s="22">
        <v>46052</v>
      </c>
      <c r="E5828" s="23" t="s">
        <v>22656</v>
      </c>
      <c r="F5828" s="24" t="s">
        <v>22657</v>
      </c>
      <c r="G5828" s="25">
        <v>2</v>
      </c>
      <c r="H5828" s="26"/>
      <c r="I5828" s="27"/>
    </row>
    <row r="5829" spans="1:9" ht="15.75" thickBot="1" x14ac:dyDescent="0.3">
      <c r="A5829" s="43" t="s">
        <v>12553</v>
      </c>
      <c r="B5829" s="21" t="s">
        <v>12554</v>
      </c>
      <c r="C5829" s="21" t="s">
        <v>22655</v>
      </c>
      <c r="D5829" s="22">
        <v>46052</v>
      </c>
      <c r="E5829" s="23" t="s">
        <v>22656</v>
      </c>
      <c r="F5829" s="24" t="s">
        <v>22657</v>
      </c>
      <c r="G5829" s="25">
        <v>2</v>
      </c>
      <c r="H5829" s="29"/>
      <c r="I5829" s="30"/>
    </row>
    <row r="5830" spans="1:9" ht="15.75" thickBot="1" x14ac:dyDescent="0.3">
      <c r="A5830" s="43" t="s">
        <v>12555</v>
      </c>
      <c r="B5830" s="21" t="s">
        <v>12556</v>
      </c>
      <c r="C5830" s="21" t="s">
        <v>22655</v>
      </c>
      <c r="D5830" s="22">
        <v>46052</v>
      </c>
      <c r="E5830" s="23" t="s">
        <v>22656</v>
      </c>
      <c r="F5830" s="24" t="s">
        <v>22657</v>
      </c>
      <c r="G5830" s="25">
        <v>2</v>
      </c>
      <c r="H5830" s="26"/>
      <c r="I5830" s="27"/>
    </row>
    <row r="5831" spans="1:9" ht="15.75" thickBot="1" x14ac:dyDescent="0.3">
      <c r="A5831" s="43" t="s">
        <v>12557</v>
      </c>
      <c r="B5831" s="21" t="s">
        <v>12558</v>
      </c>
      <c r="C5831" s="21" t="s">
        <v>22655</v>
      </c>
      <c r="D5831" s="22">
        <v>46052</v>
      </c>
      <c r="E5831" s="23" t="s">
        <v>22656</v>
      </c>
      <c r="F5831" s="24" t="s">
        <v>22657</v>
      </c>
      <c r="G5831" s="25">
        <v>2</v>
      </c>
      <c r="H5831" s="29"/>
      <c r="I5831" s="30"/>
    </row>
    <row r="5832" spans="1:9" ht="15.75" thickBot="1" x14ac:dyDescent="0.3">
      <c r="A5832" s="43" t="s">
        <v>12559</v>
      </c>
      <c r="B5832" s="21" t="s">
        <v>12560</v>
      </c>
      <c r="C5832" s="21" t="s">
        <v>22663</v>
      </c>
      <c r="D5832" s="31">
        <v>1</v>
      </c>
      <c r="E5832" s="23" t="s">
        <v>22656</v>
      </c>
      <c r="F5832" s="24" t="s">
        <v>22657</v>
      </c>
      <c r="G5832" s="25">
        <v>2</v>
      </c>
      <c r="H5832" s="26"/>
      <c r="I5832" s="27"/>
    </row>
    <row r="5833" spans="1:9" ht="15.75" thickBot="1" x14ac:dyDescent="0.3">
      <c r="A5833" s="43" t="s">
        <v>12561</v>
      </c>
      <c r="B5833" s="21" t="s">
        <v>12562</v>
      </c>
      <c r="C5833" s="21" t="s">
        <v>22663</v>
      </c>
      <c r="D5833" s="31">
        <v>1</v>
      </c>
      <c r="E5833" s="23" t="s">
        <v>22656</v>
      </c>
      <c r="F5833" s="24" t="s">
        <v>22657</v>
      </c>
      <c r="G5833" s="25">
        <v>7</v>
      </c>
      <c r="H5833" s="29"/>
      <c r="I5833" s="30"/>
    </row>
    <row r="5834" spans="1:9" ht="15.75" thickBot="1" x14ac:dyDescent="0.3">
      <c r="A5834" s="43" t="s">
        <v>12563</v>
      </c>
      <c r="B5834" s="21" t="s">
        <v>12564</v>
      </c>
      <c r="C5834" s="21" t="s">
        <v>22663</v>
      </c>
      <c r="D5834" s="31">
        <v>1</v>
      </c>
      <c r="E5834" s="23" t="s">
        <v>22656</v>
      </c>
      <c r="F5834" s="24" t="s">
        <v>22657</v>
      </c>
      <c r="G5834" s="25">
        <v>4</v>
      </c>
      <c r="H5834" s="26"/>
      <c r="I5834" s="27"/>
    </row>
    <row r="5835" spans="1:9" ht="15.75" thickBot="1" x14ac:dyDescent="0.3">
      <c r="A5835" s="43" t="s">
        <v>12565</v>
      </c>
      <c r="B5835" s="21" t="s">
        <v>12566</v>
      </c>
      <c r="C5835" s="21" t="s">
        <v>22663</v>
      </c>
      <c r="D5835" s="31">
        <v>1</v>
      </c>
      <c r="E5835" s="23" t="s">
        <v>22661</v>
      </c>
      <c r="F5835" s="24" t="s">
        <v>22657</v>
      </c>
      <c r="G5835" s="25">
        <v>6</v>
      </c>
      <c r="H5835" s="29"/>
      <c r="I5835" s="30"/>
    </row>
    <row r="5836" spans="1:9" ht="15.75" thickBot="1" x14ac:dyDescent="0.3">
      <c r="A5836" s="43" t="s">
        <v>12567</v>
      </c>
      <c r="B5836" s="21" t="s">
        <v>12568</v>
      </c>
      <c r="C5836" s="21" t="s">
        <v>22663</v>
      </c>
      <c r="D5836" s="31">
        <v>1</v>
      </c>
      <c r="E5836" s="23" t="s">
        <v>22656</v>
      </c>
      <c r="F5836" s="24" t="s">
        <v>22657</v>
      </c>
      <c r="G5836" s="25">
        <v>2</v>
      </c>
      <c r="H5836" s="26"/>
      <c r="I5836" s="27"/>
    </row>
    <row r="5837" spans="1:9" ht="15.75" thickBot="1" x14ac:dyDescent="0.3">
      <c r="A5837" s="43" t="s">
        <v>12569</v>
      </c>
      <c r="B5837" s="21" t="s">
        <v>12570</v>
      </c>
      <c r="C5837" s="21" t="s">
        <v>22663</v>
      </c>
      <c r="D5837" s="31">
        <v>1</v>
      </c>
      <c r="E5837" s="23" t="s">
        <v>22656</v>
      </c>
      <c r="F5837" s="24" t="s">
        <v>22657</v>
      </c>
      <c r="G5837" s="25">
        <v>4</v>
      </c>
      <c r="H5837" s="29"/>
      <c r="I5837" s="30"/>
    </row>
    <row r="5838" spans="1:9" ht="15.75" thickBot="1" x14ac:dyDescent="0.3">
      <c r="A5838" s="43" t="s">
        <v>12571</v>
      </c>
      <c r="B5838" s="21" t="s">
        <v>12572</v>
      </c>
      <c r="C5838" s="21" t="s">
        <v>22698</v>
      </c>
      <c r="D5838" s="31">
        <v>1</v>
      </c>
      <c r="E5838" s="23" t="s">
        <v>22656</v>
      </c>
      <c r="F5838" s="24" t="s">
        <v>22657</v>
      </c>
      <c r="G5838" s="25">
        <v>2</v>
      </c>
      <c r="H5838" s="26"/>
      <c r="I5838" s="27"/>
    </row>
    <row r="5839" spans="1:9" ht="15.75" thickBot="1" x14ac:dyDescent="0.3">
      <c r="A5839" s="43" t="s">
        <v>12573</v>
      </c>
      <c r="B5839" s="21" t="s">
        <v>12574</v>
      </c>
      <c r="C5839" s="21" t="s">
        <v>22663</v>
      </c>
      <c r="D5839" s="31">
        <v>1</v>
      </c>
      <c r="E5839" s="23" t="s">
        <v>22656</v>
      </c>
      <c r="F5839" s="24" t="s">
        <v>22657</v>
      </c>
      <c r="G5839" s="25">
        <v>4</v>
      </c>
      <c r="H5839" s="29"/>
      <c r="I5839" s="30"/>
    </row>
    <row r="5840" spans="1:9" ht="15.75" thickBot="1" x14ac:dyDescent="0.3">
      <c r="A5840" s="43" t="s">
        <v>12575</v>
      </c>
      <c r="B5840" s="21" t="s">
        <v>12576</v>
      </c>
      <c r="C5840" s="21" t="s">
        <v>22663</v>
      </c>
      <c r="D5840" s="31">
        <v>1</v>
      </c>
      <c r="E5840" s="23" t="s">
        <v>22656</v>
      </c>
      <c r="F5840" s="24" t="s">
        <v>22657</v>
      </c>
      <c r="G5840" s="25">
        <v>4</v>
      </c>
      <c r="H5840" s="26"/>
      <c r="I5840" s="27"/>
    </row>
    <row r="5841" spans="1:9" ht="15.75" thickBot="1" x14ac:dyDescent="0.3">
      <c r="A5841" s="43" t="s">
        <v>12577</v>
      </c>
      <c r="B5841" s="21" t="s">
        <v>12578</v>
      </c>
      <c r="C5841" s="21" t="s">
        <v>22663</v>
      </c>
      <c r="D5841" s="31">
        <v>1</v>
      </c>
      <c r="E5841" s="23" t="s">
        <v>22656</v>
      </c>
      <c r="F5841" s="24" t="s">
        <v>22657</v>
      </c>
      <c r="G5841" s="25">
        <v>4</v>
      </c>
      <c r="H5841" s="29"/>
      <c r="I5841" s="30"/>
    </row>
    <row r="5842" spans="1:9" ht="15.75" thickBot="1" x14ac:dyDescent="0.3">
      <c r="A5842" s="43" t="s">
        <v>12579</v>
      </c>
      <c r="B5842" s="21" t="s">
        <v>12580</v>
      </c>
      <c r="C5842" s="21" t="s">
        <v>22663</v>
      </c>
      <c r="D5842" s="31">
        <v>1</v>
      </c>
      <c r="E5842" s="23" t="s">
        <v>22656</v>
      </c>
      <c r="F5842" s="24" t="s">
        <v>22657</v>
      </c>
      <c r="G5842" s="25">
        <v>4</v>
      </c>
      <c r="H5842" s="26"/>
      <c r="I5842" s="27"/>
    </row>
    <row r="5843" spans="1:9" ht="15.75" thickBot="1" x14ac:dyDescent="0.3">
      <c r="A5843" s="43" t="s">
        <v>12583</v>
      </c>
      <c r="B5843" s="21" t="s">
        <v>12584</v>
      </c>
      <c r="C5843" s="21" t="s">
        <v>22663</v>
      </c>
      <c r="D5843" s="31">
        <v>1</v>
      </c>
      <c r="E5843" s="23" t="s">
        <v>22656</v>
      </c>
      <c r="F5843" s="24" t="s">
        <v>22657</v>
      </c>
      <c r="G5843" s="25">
        <v>2</v>
      </c>
      <c r="H5843" s="29"/>
      <c r="I5843" s="30"/>
    </row>
    <row r="5844" spans="1:9" ht="15.75" thickBot="1" x14ac:dyDescent="0.3">
      <c r="A5844" s="43" t="s">
        <v>12585</v>
      </c>
      <c r="B5844" s="21" t="s">
        <v>12586</v>
      </c>
      <c r="C5844" s="21" t="s">
        <v>22663</v>
      </c>
      <c r="D5844" s="31">
        <v>1</v>
      </c>
      <c r="E5844" s="23" t="s">
        <v>22656</v>
      </c>
      <c r="F5844" s="24" t="s">
        <v>22657</v>
      </c>
      <c r="G5844" s="25">
        <v>4</v>
      </c>
      <c r="H5844" s="26"/>
      <c r="I5844" s="27"/>
    </row>
    <row r="5845" spans="1:9" ht="15.75" thickBot="1" x14ac:dyDescent="0.3">
      <c r="A5845" s="43" t="s">
        <v>12587</v>
      </c>
      <c r="B5845" s="21" t="s">
        <v>12588</v>
      </c>
      <c r="C5845" s="21" t="s">
        <v>22663</v>
      </c>
      <c r="D5845" s="31">
        <v>1</v>
      </c>
      <c r="E5845" s="23" t="s">
        <v>22656</v>
      </c>
      <c r="F5845" s="24" t="s">
        <v>22657</v>
      </c>
      <c r="G5845" s="25">
        <v>4</v>
      </c>
      <c r="H5845" s="29"/>
      <c r="I5845" s="30"/>
    </row>
    <row r="5846" spans="1:9" ht="15.75" thickBot="1" x14ac:dyDescent="0.3">
      <c r="A5846" s="43" t="s">
        <v>12589</v>
      </c>
      <c r="B5846" s="21" t="s">
        <v>12590</v>
      </c>
      <c r="C5846" s="21" t="s">
        <v>22663</v>
      </c>
      <c r="D5846" s="31">
        <v>1</v>
      </c>
      <c r="E5846" s="23" t="s">
        <v>22656</v>
      </c>
      <c r="F5846" s="24" t="s">
        <v>22657</v>
      </c>
      <c r="G5846" s="25">
        <v>4</v>
      </c>
      <c r="H5846" s="26"/>
      <c r="I5846" s="27"/>
    </row>
    <row r="5847" spans="1:9" ht="15.75" thickBot="1" x14ac:dyDescent="0.3">
      <c r="A5847" s="43" t="s">
        <v>12581</v>
      </c>
      <c r="B5847" s="21" t="s">
        <v>12582</v>
      </c>
      <c r="C5847" s="21" t="s">
        <v>22697</v>
      </c>
      <c r="D5847" s="22">
        <v>46047</v>
      </c>
      <c r="E5847" s="23" t="s">
        <v>22656</v>
      </c>
      <c r="F5847" s="24" t="s">
        <v>22657</v>
      </c>
      <c r="G5847" s="25">
        <v>2</v>
      </c>
      <c r="H5847" s="29"/>
      <c r="I5847" s="30"/>
    </row>
    <row r="5848" spans="1:9" ht="15.75" thickBot="1" x14ac:dyDescent="0.3">
      <c r="A5848" s="43" t="s">
        <v>12591</v>
      </c>
      <c r="B5848" s="21" t="s">
        <v>12592</v>
      </c>
      <c r="C5848" s="21" t="s">
        <v>22820</v>
      </c>
      <c r="D5848" s="22">
        <v>46046</v>
      </c>
      <c r="E5848" s="23" t="s">
        <v>22656</v>
      </c>
      <c r="F5848" s="24" t="s">
        <v>22657</v>
      </c>
      <c r="G5848" s="25">
        <v>8</v>
      </c>
      <c r="H5848" s="26"/>
      <c r="I5848" s="27"/>
    </row>
    <row r="5849" spans="1:9" ht="15.75" thickBot="1" x14ac:dyDescent="0.3">
      <c r="A5849" s="43" t="s">
        <v>12593</v>
      </c>
      <c r="B5849" s="21" t="s">
        <v>12594</v>
      </c>
      <c r="C5849" s="21" t="s">
        <v>22682</v>
      </c>
      <c r="D5849" s="22">
        <v>46034</v>
      </c>
      <c r="E5849" s="23" t="s">
        <v>22656</v>
      </c>
      <c r="F5849" s="24" t="s">
        <v>22657</v>
      </c>
      <c r="G5849" s="25">
        <v>4</v>
      </c>
      <c r="H5849" s="29"/>
      <c r="I5849" s="30"/>
    </row>
    <row r="5850" spans="1:9" ht="15.75" thickBot="1" x14ac:dyDescent="0.3">
      <c r="A5850" s="43" t="s">
        <v>12595</v>
      </c>
      <c r="B5850" s="21" t="s">
        <v>12596</v>
      </c>
      <c r="C5850" s="21" t="s">
        <v>22655</v>
      </c>
      <c r="D5850" s="22">
        <v>46032</v>
      </c>
      <c r="E5850" s="23" t="s">
        <v>22656</v>
      </c>
      <c r="F5850" s="24" t="s">
        <v>22657</v>
      </c>
      <c r="G5850" s="25">
        <v>4</v>
      </c>
      <c r="H5850" s="26"/>
      <c r="I5850" s="27"/>
    </row>
    <row r="5851" spans="1:9" ht="15.75" thickBot="1" x14ac:dyDescent="0.3">
      <c r="A5851" s="43" t="s">
        <v>12597</v>
      </c>
      <c r="B5851" s="21" t="s">
        <v>12598</v>
      </c>
      <c r="C5851" s="21" t="s">
        <v>22655</v>
      </c>
      <c r="D5851" s="22">
        <v>46032</v>
      </c>
      <c r="E5851" s="23" t="s">
        <v>22656</v>
      </c>
      <c r="F5851" s="24" t="s">
        <v>22657</v>
      </c>
      <c r="G5851" s="25">
        <v>12</v>
      </c>
      <c r="H5851" s="29"/>
      <c r="I5851" s="30"/>
    </row>
    <row r="5852" spans="1:9" ht="15.75" thickBot="1" x14ac:dyDescent="0.3">
      <c r="A5852" s="43" t="s">
        <v>12599</v>
      </c>
      <c r="B5852" s="21" t="s">
        <v>12600</v>
      </c>
      <c r="C5852" s="21" t="s">
        <v>22655</v>
      </c>
      <c r="D5852" s="22">
        <v>46032</v>
      </c>
      <c r="E5852" s="23" t="s">
        <v>22656</v>
      </c>
      <c r="F5852" s="24" t="s">
        <v>22657</v>
      </c>
      <c r="G5852" s="25">
        <v>6</v>
      </c>
      <c r="H5852" s="26"/>
      <c r="I5852" s="27"/>
    </row>
    <row r="5853" spans="1:9" ht="15.75" thickBot="1" x14ac:dyDescent="0.3">
      <c r="A5853" s="43" t="s">
        <v>12601</v>
      </c>
      <c r="B5853" s="21" t="s">
        <v>12602</v>
      </c>
      <c r="C5853" s="21" t="s">
        <v>22655</v>
      </c>
      <c r="D5853" s="22">
        <v>46032</v>
      </c>
      <c r="E5853" s="23" t="s">
        <v>22656</v>
      </c>
      <c r="F5853" s="24" t="s">
        <v>22657</v>
      </c>
      <c r="G5853" s="25">
        <v>11</v>
      </c>
      <c r="H5853" s="29"/>
      <c r="I5853" s="30"/>
    </row>
    <row r="5854" spans="1:9" ht="15.75" thickBot="1" x14ac:dyDescent="0.3">
      <c r="A5854" s="43" t="s">
        <v>1175</v>
      </c>
      <c r="B5854" s="21" t="s">
        <v>12603</v>
      </c>
      <c r="C5854" s="21" t="s">
        <v>22655</v>
      </c>
      <c r="D5854" s="22">
        <v>46032</v>
      </c>
      <c r="E5854" s="23" t="s">
        <v>22661</v>
      </c>
      <c r="F5854" s="24" t="s">
        <v>22657</v>
      </c>
      <c r="G5854" s="25">
        <v>12</v>
      </c>
      <c r="H5854" s="34">
        <v>12</v>
      </c>
      <c r="I5854" s="35">
        <v>20</v>
      </c>
    </row>
    <row r="5855" spans="1:9" ht="15.75" thickBot="1" x14ac:dyDescent="0.3">
      <c r="A5855" s="43" t="s">
        <v>12604</v>
      </c>
      <c r="B5855" s="21" t="s">
        <v>12605</v>
      </c>
      <c r="C5855" s="21" t="s">
        <v>22663</v>
      </c>
      <c r="D5855" s="31">
        <v>1</v>
      </c>
      <c r="E5855" s="23" t="s">
        <v>22656</v>
      </c>
      <c r="F5855" s="24" t="s">
        <v>22657</v>
      </c>
      <c r="G5855" s="25">
        <v>2</v>
      </c>
      <c r="H5855" s="29"/>
      <c r="I5855" s="30"/>
    </row>
    <row r="5856" spans="1:9" ht="15.75" thickBot="1" x14ac:dyDescent="0.3">
      <c r="A5856" s="43" t="s">
        <v>12606</v>
      </c>
      <c r="B5856" s="21" t="s">
        <v>12607</v>
      </c>
      <c r="C5856" s="21" t="s">
        <v>22663</v>
      </c>
      <c r="D5856" s="31">
        <v>1</v>
      </c>
      <c r="E5856" s="23" t="s">
        <v>22656</v>
      </c>
      <c r="F5856" s="24" t="s">
        <v>22657</v>
      </c>
      <c r="G5856" s="25">
        <v>1</v>
      </c>
      <c r="H5856" s="34">
        <v>1</v>
      </c>
      <c r="I5856" s="35">
        <v>1</v>
      </c>
    </row>
    <row r="5857" spans="1:9" ht="15.75" thickBot="1" x14ac:dyDescent="0.3">
      <c r="A5857" s="43" t="s">
        <v>12608</v>
      </c>
      <c r="B5857" s="21" t="s">
        <v>12609</v>
      </c>
      <c r="C5857" s="21" t="s">
        <v>22698</v>
      </c>
      <c r="D5857" s="31">
        <v>1</v>
      </c>
      <c r="E5857" s="23" t="s">
        <v>22656</v>
      </c>
      <c r="F5857" s="24" t="s">
        <v>22657</v>
      </c>
      <c r="G5857" s="25">
        <v>2</v>
      </c>
      <c r="H5857" s="29"/>
      <c r="I5857" s="30"/>
    </row>
    <row r="5858" spans="1:9" ht="15.75" thickBot="1" x14ac:dyDescent="0.3">
      <c r="A5858" s="43" t="s">
        <v>12610</v>
      </c>
      <c r="B5858" s="21" t="s">
        <v>12611</v>
      </c>
      <c r="C5858" s="21" t="s">
        <v>22663</v>
      </c>
      <c r="D5858" s="31">
        <v>1</v>
      </c>
      <c r="E5858" s="23" t="s">
        <v>22656</v>
      </c>
      <c r="F5858" s="24" t="s">
        <v>22657</v>
      </c>
      <c r="G5858" s="25">
        <v>2</v>
      </c>
      <c r="H5858" s="26"/>
      <c r="I5858" s="27"/>
    </row>
    <row r="5859" spans="1:9" ht="15.75" thickBot="1" x14ac:dyDescent="0.3">
      <c r="A5859" s="43" t="s">
        <v>12612</v>
      </c>
      <c r="B5859" s="21" t="s">
        <v>12613</v>
      </c>
      <c r="C5859" s="21" t="s">
        <v>22663</v>
      </c>
      <c r="D5859" s="31">
        <v>1</v>
      </c>
      <c r="E5859" s="23" t="s">
        <v>22658</v>
      </c>
      <c r="F5859" s="24" t="s">
        <v>22657</v>
      </c>
      <c r="G5859" s="25">
        <v>1</v>
      </c>
      <c r="H5859" s="29"/>
      <c r="I5859" s="30"/>
    </row>
    <row r="5860" spans="1:9" ht="15.75" thickBot="1" x14ac:dyDescent="0.3">
      <c r="A5860" s="43" t="s">
        <v>12614</v>
      </c>
      <c r="B5860" s="21" t="s">
        <v>12615</v>
      </c>
      <c r="C5860" s="21" t="s">
        <v>22655</v>
      </c>
      <c r="D5860" s="22">
        <v>46032</v>
      </c>
      <c r="E5860" s="23" t="s">
        <v>22658</v>
      </c>
      <c r="F5860" s="24" t="s">
        <v>22657</v>
      </c>
      <c r="G5860" s="25">
        <v>1</v>
      </c>
      <c r="H5860" s="26"/>
      <c r="I5860" s="27"/>
    </row>
    <row r="5861" spans="1:9" ht="15.75" thickBot="1" x14ac:dyDescent="0.3">
      <c r="A5861" s="43" t="s">
        <v>12616</v>
      </c>
      <c r="B5861" s="21" t="s">
        <v>12617</v>
      </c>
      <c r="C5861" s="21" t="s">
        <v>22663</v>
      </c>
      <c r="D5861" s="31">
        <v>1</v>
      </c>
      <c r="E5861" s="23" t="s">
        <v>22658</v>
      </c>
      <c r="F5861" s="24" t="s">
        <v>22657</v>
      </c>
      <c r="G5861" s="25">
        <v>1</v>
      </c>
      <c r="H5861" s="29"/>
      <c r="I5861" s="30"/>
    </row>
    <row r="5862" spans="1:9" ht="15.75" thickBot="1" x14ac:dyDescent="0.3">
      <c r="A5862" s="43" t="s">
        <v>6105</v>
      </c>
      <c r="B5862" s="21" t="s">
        <v>22579</v>
      </c>
      <c r="C5862" s="21" t="s">
        <v>22655</v>
      </c>
      <c r="D5862" s="22">
        <v>46024</v>
      </c>
      <c r="E5862" s="23" t="s">
        <v>22658</v>
      </c>
      <c r="F5862" s="28" t="s">
        <v>22659</v>
      </c>
      <c r="G5862" s="25">
        <v>1</v>
      </c>
      <c r="H5862" s="26"/>
      <c r="I5862" s="27"/>
    </row>
    <row r="5863" spans="1:9" ht="15.75" thickBot="1" x14ac:dyDescent="0.3">
      <c r="A5863" s="43" t="s">
        <v>12618</v>
      </c>
      <c r="B5863" s="21" t="s">
        <v>12619</v>
      </c>
      <c r="C5863" s="21" t="s">
        <v>22698</v>
      </c>
      <c r="D5863" s="31">
        <v>1</v>
      </c>
      <c r="E5863" s="23" t="s">
        <v>22656</v>
      </c>
      <c r="F5863" s="24" t="s">
        <v>22657</v>
      </c>
      <c r="G5863" s="25">
        <v>2</v>
      </c>
      <c r="H5863" s="29"/>
      <c r="I5863" s="30"/>
    </row>
    <row r="5864" spans="1:9" ht="15.75" thickBot="1" x14ac:dyDescent="0.3">
      <c r="A5864" s="43" t="s">
        <v>12620</v>
      </c>
      <c r="B5864" s="21" t="s">
        <v>12621</v>
      </c>
      <c r="C5864" s="21" t="s">
        <v>22663</v>
      </c>
      <c r="D5864" s="31">
        <v>1</v>
      </c>
      <c r="E5864" s="23" t="s">
        <v>22656</v>
      </c>
      <c r="F5864" s="24" t="s">
        <v>22657</v>
      </c>
      <c r="G5864" s="25">
        <v>2</v>
      </c>
      <c r="H5864" s="26"/>
      <c r="I5864" s="27"/>
    </row>
    <row r="5865" spans="1:9" ht="15.75" thickBot="1" x14ac:dyDescent="0.3">
      <c r="A5865" s="43" t="s">
        <v>12622</v>
      </c>
      <c r="B5865" s="21" t="s">
        <v>12623</v>
      </c>
      <c r="C5865" s="21" t="s">
        <v>22663</v>
      </c>
      <c r="D5865" s="31">
        <v>1</v>
      </c>
      <c r="E5865" s="23" t="s">
        <v>22658</v>
      </c>
      <c r="F5865" s="24" t="s">
        <v>22657</v>
      </c>
      <c r="G5865" s="25">
        <v>1</v>
      </c>
      <c r="H5865" s="29"/>
      <c r="I5865" s="30"/>
    </row>
    <row r="5866" spans="1:9" ht="15.75" thickBot="1" x14ac:dyDescent="0.3">
      <c r="A5866" s="43" t="s">
        <v>1990</v>
      </c>
      <c r="B5866" s="21" t="s">
        <v>1991</v>
      </c>
      <c r="C5866" s="21" t="s">
        <v>22663</v>
      </c>
      <c r="D5866" s="31">
        <v>1</v>
      </c>
      <c r="E5866" s="23" t="s">
        <v>22661</v>
      </c>
      <c r="F5866" s="24" t="s">
        <v>22657</v>
      </c>
      <c r="G5866" s="25">
        <v>10</v>
      </c>
      <c r="H5866" s="34">
        <v>10</v>
      </c>
      <c r="I5866" s="35">
        <v>12</v>
      </c>
    </row>
    <row r="5867" spans="1:9" ht="15.75" thickBot="1" x14ac:dyDescent="0.3">
      <c r="A5867" s="43" t="s">
        <v>137</v>
      </c>
      <c r="B5867" s="21" t="s">
        <v>138</v>
      </c>
      <c r="C5867" s="21" t="s">
        <v>22663</v>
      </c>
      <c r="D5867" s="31">
        <v>1</v>
      </c>
      <c r="E5867" s="23" t="s">
        <v>22665</v>
      </c>
      <c r="F5867" s="24" t="s">
        <v>22657</v>
      </c>
      <c r="G5867" s="25">
        <v>20</v>
      </c>
      <c r="H5867" s="32">
        <v>20</v>
      </c>
      <c r="I5867" s="33">
        <v>36</v>
      </c>
    </row>
    <row r="5868" spans="1:9" ht="15.75" thickBot="1" x14ac:dyDescent="0.3">
      <c r="A5868" s="43" t="s">
        <v>999</v>
      </c>
      <c r="B5868" s="21" t="s">
        <v>1000</v>
      </c>
      <c r="C5868" s="21" t="s">
        <v>22698</v>
      </c>
      <c r="D5868" s="31">
        <v>1</v>
      </c>
      <c r="E5868" s="23" t="s">
        <v>22661</v>
      </c>
      <c r="F5868" s="24" t="s">
        <v>22657</v>
      </c>
      <c r="G5868" s="25">
        <v>6</v>
      </c>
      <c r="H5868" s="34">
        <v>6</v>
      </c>
      <c r="I5868" s="35">
        <v>10</v>
      </c>
    </row>
    <row r="5869" spans="1:9" ht="15.75" thickBot="1" x14ac:dyDescent="0.3">
      <c r="A5869" s="43" t="s">
        <v>1998</v>
      </c>
      <c r="B5869" s="21" t="s">
        <v>1999</v>
      </c>
      <c r="C5869" s="21" t="s">
        <v>22663</v>
      </c>
      <c r="D5869" s="31">
        <v>1</v>
      </c>
      <c r="E5869" s="23" t="s">
        <v>22661</v>
      </c>
      <c r="F5869" s="24" t="s">
        <v>22657</v>
      </c>
      <c r="G5869" s="25">
        <v>10</v>
      </c>
      <c r="H5869" s="32">
        <v>10</v>
      </c>
      <c r="I5869" s="33">
        <v>15</v>
      </c>
    </row>
    <row r="5870" spans="1:9" ht="15.75" thickBot="1" x14ac:dyDescent="0.3">
      <c r="A5870" s="43" t="s">
        <v>12624</v>
      </c>
      <c r="B5870" s="21" t="s">
        <v>12625</v>
      </c>
      <c r="C5870" s="21" t="s">
        <v>22655</v>
      </c>
      <c r="D5870" s="22">
        <v>46024</v>
      </c>
      <c r="E5870" s="23" t="s">
        <v>22658</v>
      </c>
      <c r="F5870" s="28" t="s">
        <v>22659</v>
      </c>
      <c r="G5870" s="25">
        <v>1</v>
      </c>
      <c r="H5870" s="26"/>
      <c r="I5870" s="27"/>
    </row>
    <row r="5871" spans="1:9" ht="15.75" thickBot="1" x14ac:dyDescent="0.3">
      <c r="A5871" s="43" t="s">
        <v>12626</v>
      </c>
      <c r="B5871" s="21" t="s">
        <v>12627</v>
      </c>
      <c r="C5871" s="21" t="s">
        <v>22655</v>
      </c>
      <c r="D5871" s="22">
        <v>46024</v>
      </c>
      <c r="E5871" s="23" t="s">
        <v>22658</v>
      </c>
      <c r="F5871" s="28" t="s">
        <v>22659</v>
      </c>
      <c r="G5871" s="25">
        <v>1</v>
      </c>
      <c r="H5871" s="29"/>
      <c r="I5871" s="30"/>
    </row>
    <row r="5872" spans="1:9" ht="15.75" thickBot="1" x14ac:dyDescent="0.3">
      <c r="A5872" s="43" t="s">
        <v>12628</v>
      </c>
      <c r="B5872" s="21" t="s">
        <v>12629</v>
      </c>
      <c r="C5872" s="21" t="s">
        <v>22655</v>
      </c>
      <c r="D5872" s="31" t="s">
        <v>22748</v>
      </c>
      <c r="E5872" s="23" t="s">
        <v>22658</v>
      </c>
      <c r="F5872" s="24" t="s">
        <v>22657</v>
      </c>
      <c r="G5872" s="25">
        <v>167</v>
      </c>
      <c r="H5872" s="26"/>
      <c r="I5872" s="27"/>
    </row>
    <row r="5873" spans="1:9" ht="15.75" thickBot="1" x14ac:dyDescent="0.3">
      <c r="A5873" s="43" t="s">
        <v>12630</v>
      </c>
      <c r="B5873" s="21" t="s">
        <v>12631</v>
      </c>
      <c r="C5873" s="21" t="s">
        <v>22655</v>
      </c>
      <c r="D5873" s="22">
        <v>46034</v>
      </c>
      <c r="E5873" s="23" t="s">
        <v>22658</v>
      </c>
      <c r="F5873" s="24" t="s">
        <v>22657</v>
      </c>
      <c r="G5873" s="25">
        <v>4</v>
      </c>
      <c r="H5873" s="29"/>
      <c r="I5873" s="30"/>
    </row>
    <row r="5874" spans="1:9" ht="15.75" thickBot="1" x14ac:dyDescent="0.3">
      <c r="A5874" s="43" t="s">
        <v>12632</v>
      </c>
      <c r="B5874" s="21" t="s">
        <v>12633</v>
      </c>
      <c r="C5874" s="21" t="s">
        <v>22655</v>
      </c>
      <c r="D5874" s="22">
        <v>46028</v>
      </c>
      <c r="E5874" s="23" t="s">
        <v>22656</v>
      </c>
      <c r="F5874" s="24" t="s">
        <v>22657</v>
      </c>
      <c r="G5874" s="25">
        <v>2</v>
      </c>
      <c r="H5874" s="26"/>
      <c r="I5874" s="27"/>
    </row>
    <row r="5875" spans="1:9" ht="15.75" thickBot="1" x14ac:dyDescent="0.3">
      <c r="A5875" s="43" t="s">
        <v>12634</v>
      </c>
      <c r="B5875" s="21" t="s">
        <v>12635</v>
      </c>
      <c r="C5875" s="21" t="s">
        <v>22655</v>
      </c>
      <c r="D5875" s="22">
        <v>46026</v>
      </c>
      <c r="E5875" s="23" t="s">
        <v>22658</v>
      </c>
      <c r="F5875" s="24" t="s">
        <v>22657</v>
      </c>
      <c r="G5875" s="25">
        <v>1</v>
      </c>
      <c r="H5875" s="29"/>
      <c r="I5875" s="30"/>
    </row>
    <row r="5876" spans="1:9" ht="15.75" thickBot="1" x14ac:dyDescent="0.3">
      <c r="A5876" s="43" t="s">
        <v>12636</v>
      </c>
      <c r="B5876" s="21" t="s">
        <v>12637</v>
      </c>
      <c r="C5876" s="21" t="s">
        <v>22655</v>
      </c>
      <c r="D5876" s="22">
        <v>46034</v>
      </c>
      <c r="E5876" s="23" t="s">
        <v>22656</v>
      </c>
      <c r="F5876" s="24" t="s">
        <v>22657</v>
      </c>
      <c r="G5876" s="25">
        <v>4</v>
      </c>
      <c r="H5876" s="34">
        <v>4</v>
      </c>
      <c r="I5876" s="35">
        <v>6</v>
      </c>
    </row>
    <row r="5877" spans="1:9" ht="15.75" thickBot="1" x14ac:dyDescent="0.3">
      <c r="A5877" s="43" t="s">
        <v>12638</v>
      </c>
      <c r="B5877" s="21" t="s">
        <v>12639</v>
      </c>
      <c r="C5877" s="21" t="s">
        <v>22655</v>
      </c>
      <c r="D5877" s="22">
        <v>46028</v>
      </c>
      <c r="E5877" s="23" t="s">
        <v>22656</v>
      </c>
      <c r="F5877" s="24" t="s">
        <v>22657</v>
      </c>
      <c r="G5877" s="25">
        <v>2</v>
      </c>
      <c r="H5877" s="32">
        <v>2</v>
      </c>
      <c r="I5877" s="33">
        <v>6</v>
      </c>
    </row>
    <row r="5878" spans="1:9" ht="15.75" thickBot="1" x14ac:dyDescent="0.3">
      <c r="A5878" s="43" t="s">
        <v>12640</v>
      </c>
      <c r="B5878" s="21" t="s">
        <v>12641</v>
      </c>
      <c r="C5878" s="21" t="s">
        <v>22655</v>
      </c>
      <c r="D5878" s="22">
        <v>46034</v>
      </c>
      <c r="E5878" s="23" t="s">
        <v>22661</v>
      </c>
      <c r="F5878" s="24" t="s">
        <v>22657</v>
      </c>
      <c r="G5878" s="25">
        <v>8</v>
      </c>
      <c r="H5878" s="34">
        <v>8</v>
      </c>
      <c r="I5878" s="35">
        <v>12</v>
      </c>
    </row>
    <row r="5879" spans="1:9" ht="15.75" thickBot="1" x14ac:dyDescent="0.3">
      <c r="A5879" s="43" t="s">
        <v>1083</v>
      </c>
      <c r="B5879" s="21" t="s">
        <v>1084</v>
      </c>
      <c r="C5879" s="21" t="s">
        <v>22655</v>
      </c>
      <c r="D5879" s="22">
        <v>46028</v>
      </c>
      <c r="E5879" s="23" t="s">
        <v>22661</v>
      </c>
      <c r="F5879" s="24" t="s">
        <v>22657</v>
      </c>
      <c r="G5879" s="25">
        <v>9</v>
      </c>
      <c r="H5879" s="29"/>
      <c r="I5879" s="30"/>
    </row>
    <row r="5880" spans="1:9" ht="15.75" thickBot="1" x14ac:dyDescent="0.3">
      <c r="A5880" s="43" t="s">
        <v>12642</v>
      </c>
      <c r="B5880" s="21" t="s">
        <v>12643</v>
      </c>
      <c r="C5880" s="21" t="s">
        <v>22655</v>
      </c>
      <c r="D5880" s="22">
        <v>46026</v>
      </c>
      <c r="E5880" s="23" t="s">
        <v>22656</v>
      </c>
      <c r="F5880" s="24" t="s">
        <v>22657</v>
      </c>
      <c r="G5880" s="25">
        <v>1</v>
      </c>
      <c r="H5880" s="34">
        <v>1</v>
      </c>
      <c r="I5880" s="35">
        <v>2</v>
      </c>
    </row>
    <row r="5881" spans="1:9" ht="15.75" thickBot="1" x14ac:dyDescent="0.3">
      <c r="A5881" s="43" t="s">
        <v>12644</v>
      </c>
      <c r="B5881" s="21" t="s">
        <v>12645</v>
      </c>
      <c r="C5881" s="21" t="s">
        <v>22655</v>
      </c>
      <c r="D5881" s="22">
        <v>46034</v>
      </c>
      <c r="E5881" s="23" t="s">
        <v>22661</v>
      </c>
      <c r="F5881" s="24" t="s">
        <v>22657</v>
      </c>
      <c r="G5881" s="25">
        <v>5</v>
      </c>
      <c r="H5881" s="29"/>
      <c r="I5881" s="30"/>
    </row>
    <row r="5882" spans="1:9" ht="15.75" thickBot="1" x14ac:dyDescent="0.3">
      <c r="A5882" s="43" t="s">
        <v>785</v>
      </c>
      <c r="B5882" s="21" t="s">
        <v>786</v>
      </c>
      <c r="C5882" s="21" t="s">
        <v>22655</v>
      </c>
      <c r="D5882" s="22">
        <v>46028</v>
      </c>
      <c r="E5882" s="23" t="s">
        <v>22661</v>
      </c>
      <c r="F5882" s="24" t="s">
        <v>22657</v>
      </c>
      <c r="G5882" s="25">
        <v>12</v>
      </c>
      <c r="H5882" s="34">
        <v>12</v>
      </c>
      <c r="I5882" s="35">
        <v>18</v>
      </c>
    </row>
    <row r="5883" spans="1:9" ht="15.75" thickBot="1" x14ac:dyDescent="0.3">
      <c r="A5883" s="43" t="s">
        <v>12646</v>
      </c>
      <c r="B5883" s="21" t="s">
        <v>12647</v>
      </c>
      <c r="C5883" s="21" t="s">
        <v>22655</v>
      </c>
      <c r="D5883" s="22">
        <v>46026</v>
      </c>
      <c r="E5883" s="23" t="s">
        <v>22656</v>
      </c>
      <c r="F5883" s="24" t="s">
        <v>22657</v>
      </c>
      <c r="G5883" s="25">
        <v>2</v>
      </c>
      <c r="H5883" s="29"/>
      <c r="I5883" s="30"/>
    </row>
    <row r="5884" spans="1:9" ht="15.75" thickBot="1" x14ac:dyDescent="0.3">
      <c r="A5884" s="43" t="s">
        <v>12648</v>
      </c>
      <c r="B5884" s="21" t="s">
        <v>12649</v>
      </c>
      <c r="C5884" s="21" t="s">
        <v>22655</v>
      </c>
      <c r="D5884" s="22">
        <v>46034</v>
      </c>
      <c r="E5884" s="23" t="s">
        <v>22656</v>
      </c>
      <c r="F5884" s="24" t="s">
        <v>22657</v>
      </c>
      <c r="G5884" s="25">
        <v>4</v>
      </c>
      <c r="H5884" s="26"/>
      <c r="I5884" s="27"/>
    </row>
    <row r="5885" spans="1:9" ht="15.75" thickBot="1" x14ac:dyDescent="0.3">
      <c r="A5885" s="43" t="s">
        <v>12650</v>
      </c>
      <c r="B5885" s="21" t="s">
        <v>12651</v>
      </c>
      <c r="C5885" s="21" t="s">
        <v>22655</v>
      </c>
      <c r="D5885" s="22">
        <v>46028</v>
      </c>
      <c r="E5885" s="23" t="s">
        <v>22656</v>
      </c>
      <c r="F5885" s="24" t="s">
        <v>22657</v>
      </c>
      <c r="G5885" s="25">
        <v>2</v>
      </c>
      <c r="H5885" s="29"/>
      <c r="I5885" s="30"/>
    </row>
    <row r="5886" spans="1:9" ht="15.75" thickBot="1" x14ac:dyDescent="0.3">
      <c r="A5886" s="43" t="s">
        <v>12652</v>
      </c>
      <c r="B5886" s="21" t="s">
        <v>12653</v>
      </c>
      <c r="C5886" s="21" t="s">
        <v>22655</v>
      </c>
      <c r="D5886" s="22">
        <v>46034</v>
      </c>
      <c r="E5886" s="23" t="s">
        <v>22656</v>
      </c>
      <c r="F5886" s="24" t="s">
        <v>22657</v>
      </c>
      <c r="G5886" s="25">
        <v>4</v>
      </c>
      <c r="H5886" s="26"/>
      <c r="I5886" s="27"/>
    </row>
    <row r="5887" spans="1:9" ht="15.75" thickBot="1" x14ac:dyDescent="0.3">
      <c r="A5887" s="43" t="s">
        <v>1868</v>
      </c>
      <c r="B5887" s="21" t="s">
        <v>1869</v>
      </c>
      <c r="C5887" s="21" t="s">
        <v>22655</v>
      </c>
      <c r="D5887" s="22">
        <v>46028</v>
      </c>
      <c r="E5887" s="23" t="s">
        <v>22656</v>
      </c>
      <c r="F5887" s="24" t="s">
        <v>22657</v>
      </c>
      <c r="G5887" s="25">
        <v>12</v>
      </c>
      <c r="H5887" s="32">
        <v>12</v>
      </c>
      <c r="I5887" s="33">
        <v>24</v>
      </c>
    </row>
    <row r="5888" spans="1:9" ht="15.75" thickBot="1" x14ac:dyDescent="0.3">
      <c r="A5888" s="43" t="s">
        <v>12654</v>
      </c>
      <c r="B5888" s="21" t="s">
        <v>12655</v>
      </c>
      <c r="C5888" s="21" t="s">
        <v>22655</v>
      </c>
      <c r="D5888" s="22">
        <v>46026</v>
      </c>
      <c r="E5888" s="23" t="s">
        <v>22656</v>
      </c>
      <c r="F5888" s="24" t="s">
        <v>22657</v>
      </c>
      <c r="G5888" s="25">
        <v>2</v>
      </c>
      <c r="H5888" s="26"/>
      <c r="I5888" s="27"/>
    </row>
    <row r="5889" spans="1:9" ht="15.75" thickBot="1" x14ac:dyDescent="0.3">
      <c r="A5889" s="43" t="s">
        <v>12656</v>
      </c>
      <c r="B5889" s="21" t="s">
        <v>12657</v>
      </c>
      <c r="C5889" s="21" t="s">
        <v>22655</v>
      </c>
      <c r="D5889" s="22">
        <v>46028</v>
      </c>
      <c r="E5889" s="23" t="s">
        <v>22658</v>
      </c>
      <c r="F5889" s="24" t="s">
        <v>22657</v>
      </c>
      <c r="G5889" s="25">
        <v>2</v>
      </c>
      <c r="H5889" s="29"/>
      <c r="I5889" s="30"/>
    </row>
    <row r="5890" spans="1:9" ht="15.75" thickBot="1" x14ac:dyDescent="0.3">
      <c r="A5890" s="43" t="s">
        <v>12658</v>
      </c>
      <c r="B5890" s="21" t="s">
        <v>12659</v>
      </c>
      <c r="C5890" s="21" t="s">
        <v>22655</v>
      </c>
      <c r="D5890" s="22">
        <v>46028</v>
      </c>
      <c r="E5890" s="23" t="s">
        <v>22656</v>
      </c>
      <c r="F5890" s="24" t="s">
        <v>22657</v>
      </c>
      <c r="G5890" s="25">
        <v>6</v>
      </c>
      <c r="H5890" s="34">
        <v>6</v>
      </c>
      <c r="I5890" s="35">
        <v>12</v>
      </c>
    </row>
    <row r="5891" spans="1:9" ht="15.75" thickBot="1" x14ac:dyDescent="0.3">
      <c r="A5891" s="43" t="s">
        <v>12660</v>
      </c>
      <c r="B5891" s="21" t="s">
        <v>12661</v>
      </c>
      <c r="C5891" s="21" t="s">
        <v>22655</v>
      </c>
      <c r="D5891" s="22">
        <v>46034</v>
      </c>
      <c r="E5891" s="23" t="s">
        <v>22658</v>
      </c>
      <c r="F5891" s="24" t="s">
        <v>22657</v>
      </c>
      <c r="G5891" s="25">
        <v>4</v>
      </c>
      <c r="H5891" s="29"/>
      <c r="I5891" s="30"/>
    </row>
    <row r="5892" spans="1:9" ht="15.75" thickBot="1" x14ac:dyDescent="0.3">
      <c r="A5892" s="43" t="s">
        <v>12662</v>
      </c>
      <c r="B5892" s="21" t="s">
        <v>12663</v>
      </c>
      <c r="C5892" s="21" t="s">
        <v>22655</v>
      </c>
      <c r="D5892" s="22">
        <v>46028</v>
      </c>
      <c r="E5892" s="23" t="s">
        <v>22661</v>
      </c>
      <c r="F5892" s="24" t="s">
        <v>22657</v>
      </c>
      <c r="G5892" s="25">
        <v>6</v>
      </c>
      <c r="H5892" s="34">
        <v>6</v>
      </c>
      <c r="I5892" s="35">
        <v>12</v>
      </c>
    </row>
    <row r="5893" spans="1:9" ht="15.75" thickBot="1" x14ac:dyDescent="0.3">
      <c r="A5893" s="43" t="s">
        <v>12664</v>
      </c>
      <c r="B5893" s="21" t="s">
        <v>12665</v>
      </c>
      <c r="C5893" s="21" t="s">
        <v>22655</v>
      </c>
      <c r="D5893" s="22">
        <v>46028</v>
      </c>
      <c r="E5893" s="23" t="s">
        <v>22656</v>
      </c>
      <c r="F5893" s="24" t="s">
        <v>22657</v>
      </c>
      <c r="G5893" s="25">
        <v>2</v>
      </c>
      <c r="H5893" s="29"/>
      <c r="I5893" s="30"/>
    </row>
    <row r="5894" spans="1:9" ht="15.75" thickBot="1" x14ac:dyDescent="0.3">
      <c r="A5894" s="43" t="s">
        <v>12666</v>
      </c>
      <c r="B5894" s="21" t="s">
        <v>12667</v>
      </c>
      <c r="C5894" s="21" t="s">
        <v>22655</v>
      </c>
      <c r="D5894" s="22">
        <v>46034</v>
      </c>
      <c r="E5894" s="23" t="s">
        <v>22658</v>
      </c>
      <c r="F5894" s="24" t="s">
        <v>22657</v>
      </c>
      <c r="G5894" s="25">
        <v>4</v>
      </c>
      <c r="H5894" s="26"/>
      <c r="I5894" s="27"/>
    </row>
    <row r="5895" spans="1:9" ht="15.75" thickBot="1" x14ac:dyDescent="0.3">
      <c r="A5895" s="43" t="s">
        <v>12668</v>
      </c>
      <c r="B5895" s="21" t="s">
        <v>12669</v>
      </c>
      <c r="C5895" s="21" t="s">
        <v>22655</v>
      </c>
      <c r="D5895" s="22">
        <v>46034</v>
      </c>
      <c r="E5895" s="23" t="s">
        <v>22656</v>
      </c>
      <c r="F5895" s="24" t="s">
        <v>22657</v>
      </c>
      <c r="G5895" s="25">
        <v>4</v>
      </c>
      <c r="H5895" s="29"/>
      <c r="I5895" s="30"/>
    </row>
    <row r="5896" spans="1:9" ht="15.75" thickBot="1" x14ac:dyDescent="0.3">
      <c r="A5896" s="43" t="s">
        <v>12670</v>
      </c>
      <c r="B5896" s="21" t="s">
        <v>12671</v>
      </c>
      <c r="C5896" s="21" t="s">
        <v>22655</v>
      </c>
      <c r="D5896" s="22">
        <v>46028</v>
      </c>
      <c r="E5896" s="23" t="s">
        <v>22661</v>
      </c>
      <c r="F5896" s="24" t="s">
        <v>22657</v>
      </c>
      <c r="G5896" s="25">
        <v>6</v>
      </c>
      <c r="H5896" s="34">
        <v>6</v>
      </c>
      <c r="I5896" s="35">
        <v>18</v>
      </c>
    </row>
    <row r="5897" spans="1:9" ht="15.75" thickBot="1" x14ac:dyDescent="0.3">
      <c r="A5897" s="43" t="s">
        <v>12672</v>
      </c>
      <c r="B5897" s="21" t="s">
        <v>12673</v>
      </c>
      <c r="C5897" s="21" t="s">
        <v>22655</v>
      </c>
      <c r="D5897" s="22">
        <v>46034</v>
      </c>
      <c r="E5897" s="23" t="s">
        <v>22661</v>
      </c>
      <c r="F5897" s="24" t="s">
        <v>22657</v>
      </c>
      <c r="G5897" s="25">
        <v>12</v>
      </c>
      <c r="H5897" s="32">
        <v>12</v>
      </c>
      <c r="I5897" s="33">
        <v>24</v>
      </c>
    </row>
    <row r="5898" spans="1:9" ht="15.75" thickBot="1" x14ac:dyDescent="0.3">
      <c r="A5898" s="43" t="s">
        <v>1807</v>
      </c>
      <c r="B5898" s="21" t="s">
        <v>1808</v>
      </c>
      <c r="C5898" s="21" t="s">
        <v>22655</v>
      </c>
      <c r="D5898" s="22">
        <v>46028</v>
      </c>
      <c r="E5898" s="23" t="s">
        <v>22661</v>
      </c>
      <c r="F5898" s="24" t="s">
        <v>22657</v>
      </c>
      <c r="G5898" s="25">
        <v>6</v>
      </c>
      <c r="H5898" s="34">
        <v>6</v>
      </c>
      <c r="I5898" s="35">
        <v>12</v>
      </c>
    </row>
    <row r="5899" spans="1:9" ht="15.75" thickBot="1" x14ac:dyDescent="0.3">
      <c r="A5899" s="43" t="s">
        <v>12674</v>
      </c>
      <c r="B5899" s="21" t="s">
        <v>12675</v>
      </c>
      <c r="C5899" s="21" t="s">
        <v>22655</v>
      </c>
      <c r="D5899" s="22">
        <v>46026</v>
      </c>
      <c r="E5899" s="23" t="s">
        <v>22656</v>
      </c>
      <c r="F5899" s="24" t="s">
        <v>22657</v>
      </c>
      <c r="G5899" s="25">
        <v>2</v>
      </c>
      <c r="H5899" s="29"/>
      <c r="I5899" s="30"/>
    </row>
    <row r="5900" spans="1:9" ht="15.75" thickBot="1" x14ac:dyDescent="0.3">
      <c r="A5900" s="43" t="s">
        <v>12676</v>
      </c>
      <c r="B5900" s="21" t="s">
        <v>12677</v>
      </c>
      <c r="C5900" s="21" t="s">
        <v>22655</v>
      </c>
      <c r="D5900" s="22">
        <v>46034</v>
      </c>
      <c r="E5900" s="23" t="s">
        <v>22658</v>
      </c>
      <c r="F5900" s="24" t="s">
        <v>22657</v>
      </c>
      <c r="G5900" s="25">
        <v>4</v>
      </c>
      <c r="H5900" s="26"/>
      <c r="I5900" s="27"/>
    </row>
    <row r="5901" spans="1:9" ht="15.75" thickBot="1" x14ac:dyDescent="0.3">
      <c r="A5901" s="43" t="s">
        <v>12678</v>
      </c>
      <c r="B5901" s="21" t="s">
        <v>12679</v>
      </c>
      <c r="C5901" s="21" t="s">
        <v>22655</v>
      </c>
      <c r="D5901" s="22">
        <v>46028</v>
      </c>
      <c r="E5901" s="23" t="s">
        <v>22656</v>
      </c>
      <c r="F5901" s="24" t="s">
        <v>22657</v>
      </c>
      <c r="G5901" s="25">
        <v>2</v>
      </c>
      <c r="H5901" s="29"/>
      <c r="I5901" s="30"/>
    </row>
    <row r="5902" spans="1:9" ht="15.75" thickBot="1" x14ac:dyDescent="0.3">
      <c r="A5902" s="43" t="s">
        <v>12680</v>
      </c>
      <c r="B5902" s="21" t="s">
        <v>12681</v>
      </c>
      <c r="C5902" s="21" t="s">
        <v>22655</v>
      </c>
      <c r="D5902" s="22">
        <v>46026</v>
      </c>
      <c r="E5902" s="23" t="s">
        <v>22656</v>
      </c>
      <c r="F5902" s="24" t="s">
        <v>22657</v>
      </c>
      <c r="G5902" s="25">
        <v>2</v>
      </c>
      <c r="H5902" s="26"/>
      <c r="I5902" s="27"/>
    </row>
    <row r="5903" spans="1:9" ht="15.75" thickBot="1" x14ac:dyDescent="0.3">
      <c r="A5903" s="43" t="s">
        <v>383</v>
      </c>
      <c r="B5903" s="21" t="s">
        <v>384</v>
      </c>
      <c r="C5903" s="21" t="s">
        <v>22655</v>
      </c>
      <c r="D5903" s="22">
        <v>46034</v>
      </c>
      <c r="E5903" s="23" t="s">
        <v>22661</v>
      </c>
      <c r="F5903" s="24" t="s">
        <v>22657</v>
      </c>
      <c r="G5903" s="25">
        <v>8</v>
      </c>
      <c r="H5903" s="32">
        <v>8</v>
      </c>
      <c r="I5903" s="33">
        <v>12</v>
      </c>
    </row>
    <row r="5904" spans="1:9" ht="15.75" thickBot="1" x14ac:dyDescent="0.3">
      <c r="A5904" s="43" t="s">
        <v>565</v>
      </c>
      <c r="B5904" s="21" t="s">
        <v>566</v>
      </c>
      <c r="C5904" s="21" t="s">
        <v>22655</v>
      </c>
      <c r="D5904" s="22">
        <v>46028</v>
      </c>
      <c r="E5904" s="23" t="s">
        <v>22665</v>
      </c>
      <c r="F5904" s="24" t="s">
        <v>22657</v>
      </c>
      <c r="G5904" s="25">
        <v>60</v>
      </c>
      <c r="H5904" s="34">
        <v>60</v>
      </c>
      <c r="I5904" s="35">
        <v>120</v>
      </c>
    </row>
    <row r="5905" spans="1:9" ht="15.75" thickBot="1" x14ac:dyDescent="0.3">
      <c r="A5905" s="43" t="s">
        <v>12682</v>
      </c>
      <c r="B5905" s="21" t="s">
        <v>12683</v>
      </c>
      <c r="C5905" s="21" t="s">
        <v>22655</v>
      </c>
      <c r="D5905" s="22">
        <v>46034</v>
      </c>
      <c r="E5905" s="23" t="s">
        <v>22661</v>
      </c>
      <c r="F5905" s="24" t="s">
        <v>22657</v>
      </c>
      <c r="G5905" s="25">
        <v>6</v>
      </c>
      <c r="H5905" s="29"/>
      <c r="I5905" s="30"/>
    </row>
    <row r="5906" spans="1:9" ht="15.75" thickBot="1" x14ac:dyDescent="0.3">
      <c r="A5906" s="43" t="s">
        <v>1033</v>
      </c>
      <c r="B5906" s="21" t="s">
        <v>1034</v>
      </c>
      <c r="C5906" s="21" t="s">
        <v>22655</v>
      </c>
      <c r="D5906" s="22">
        <v>46028</v>
      </c>
      <c r="E5906" s="23" t="s">
        <v>22661</v>
      </c>
      <c r="F5906" s="24" t="s">
        <v>22657</v>
      </c>
      <c r="G5906" s="25">
        <v>6</v>
      </c>
      <c r="H5906" s="34">
        <v>6</v>
      </c>
      <c r="I5906" s="35">
        <v>12</v>
      </c>
    </row>
    <row r="5907" spans="1:9" ht="15.75" thickBot="1" x14ac:dyDescent="0.3">
      <c r="A5907" s="43" t="s">
        <v>12684</v>
      </c>
      <c r="B5907" s="21" t="s">
        <v>12685</v>
      </c>
      <c r="C5907" s="21" t="s">
        <v>22655</v>
      </c>
      <c r="D5907" s="22">
        <v>46026</v>
      </c>
      <c r="E5907" s="23" t="s">
        <v>22656</v>
      </c>
      <c r="F5907" s="24" t="s">
        <v>22657</v>
      </c>
      <c r="G5907" s="25">
        <v>2</v>
      </c>
      <c r="H5907" s="29"/>
      <c r="I5907" s="30"/>
    </row>
    <row r="5908" spans="1:9" ht="15.75" thickBot="1" x14ac:dyDescent="0.3">
      <c r="A5908" s="43" t="s">
        <v>12686</v>
      </c>
      <c r="B5908" s="21" t="s">
        <v>12687</v>
      </c>
      <c r="C5908" s="21" t="s">
        <v>22655</v>
      </c>
      <c r="D5908" s="22">
        <v>46034</v>
      </c>
      <c r="E5908" s="23" t="s">
        <v>22656</v>
      </c>
      <c r="F5908" s="24" t="s">
        <v>22657</v>
      </c>
      <c r="G5908" s="25">
        <v>4</v>
      </c>
      <c r="H5908" s="26"/>
      <c r="I5908" s="27"/>
    </row>
    <row r="5909" spans="1:9" ht="15.75" thickBot="1" x14ac:dyDescent="0.3">
      <c r="A5909" s="43" t="s">
        <v>12688</v>
      </c>
      <c r="B5909" s="21" t="s">
        <v>12689</v>
      </c>
      <c r="C5909" s="21" t="s">
        <v>22655</v>
      </c>
      <c r="D5909" s="22">
        <v>46028</v>
      </c>
      <c r="E5909" s="23" t="s">
        <v>22656</v>
      </c>
      <c r="F5909" s="24" t="s">
        <v>22657</v>
      </c>
      <c r="G5909" s="25">
        <v>2</v>
      </c>
      <c r="H5909" s="29"/>
      <c r="I5909" s="30"/>
    </row>
    <row r="5910" spans="1:9" ht="15.75" thickBot="1" x14ac:dyDescent="0.3">
      <c r="A5910" s="43" t="s">
        <v>1215</v>
      </c>
      <c r="B5910" s="21" t="s">
        <v>1216</v>
      </c>
      <c r="C5910" s="21" t="s">
        <v>22709</v>
      </c>
      <c r="D5910" s="31">
        <v>1</v>
      </c>
      <c r="E5910" s="23" t="s">
        <v>22656</v>
      </c>
      <c r="F5910" s="24" t="s">
        <v>22657</v>
      </c>
      <c r="G5910" s="25">
        <v>3</v>
      </c>
      <c r="H5910" s="34">
        <v>3</v>
      </c>
      <c r="I5910" s="35">
        <v>4</v>
      </c>
    </row>
    <row r="5911" spans="1:9" ht="15.75" thickBot="1" x14ac:dyDescent="0.3">
      <c r="A5911" s="43" t="s">
        <v>12690</v>
      </c>
      <c r="B5911" s="21" t="s">
        <v>12691</v>
      </c>
      <c r="C5911" s="21" t="s">
        <v>22663</v>
      </c>
      <c r="D5911" s="31">
        <v>1</v>
      </c>
      <c r="E5911" s="23" t="s">
        <v>22656</v>
      </c>
      <c r="F5911" s="24" t="s">
        <v>22657</v>
      </c>
      <c r="G5911" s="25">
        <v>5</v>
      </c>
      <c r="H5911" s="29"/>
      <c r="I5911" s="30"/>
    </row>
    <row r="5912" spans="1:9" ht="15.75" thickBot="1" x14ac:dyDescent="0.3">
      <c r="A5912" s="43" t="s">
        <v>12692</v>
      </c>
      <c r="B5912" s="21" t="s">
        <v>12693</v>
      </c>
      <c r="C5912" s="21" t="s">
        <v>22663</v>
      </c>
      <c r="D5912" s="31">
        <v>1</v>
      </c>
      <c r="E5912" s="23" t="s">
        <v>22656</v>
      </c>
      <c r="F5912" s="24" t="s">
        <v>22657</v>
      </c>
      <c r="G5912" s="25">
        <v>3</v>
      </c>
      <c r="H5912" s="26"/>
      <c r="I5912" s="27"/>
    </row>
    <row r="5913" spans="1:9" ht="15.75" thickBot="1" x14ac:dyDescent="0.3">
      <c r="A5913" s="43" t="s">
        <v>12694</v>
      </c>
      <c r="B5913" s="21" t="s">
        <v>12695</v>
      </c>
      <c r="C5913" s="21" t="s">
        <v>22663</v>
      </c>
      <c r="D5913" s="31">
        <v>1</v>
      </c>
      <c r="E5913" s="23" t="s">
        <v>22656</v>
      </c>
      <c r="F5913" s="24" t="s">
        <v>22657</v>
      </c>
      <c r="G5913" s="25">
        <v>2</v>
      </c>
      <c r="H5913" s="29"/>
      <c r="I5913" s="30"/>
    </row>
    <row r="5914" spans="1:9" ht="15.75" thickBot="1" x14ac:dyDescent="0.3">
      <c r="A5914" s="43" t="s">
        <v>1367</v>
      </c>
      <c r="B5914" s="21" t="s">
        <v>1368</v>
      </c>
      <c r="C5914" s="21" t="s">
        <v>22709</v>
      </c>
      <c r="D5914" s="31">
        <v>1</v>
      </c>
      <c r="E5914" s="23" t="s">
        <v>22656</v>
      </c>
      <c r="F5914" s="24" t="s">
        <v>22657</v>
      </c>
      <c r="G5914" s="25">
        <v>2</v>
      </c>
      <c r="H5914" s="26"/>
      <c r="I5914" s="27"/>
    </row>
    <row r="5915" spans="1:9" ht="15.75" thickBot="1" x14ac:dyDescent="0.3">
      <c r="A5915" s="43" t="s">
        <v>12696</v>
      </c>
      <c r="B5915" s="21" t="s">
        <v>12697</v>
      </c>
      <c r="C5915" s="21" t="s">
        <v>22698</v>
      </c>
      <c r="D5915" s="31">
        <v>1</v>
      </c>
      <c r="E5915" s="23" t="s">
        <v>22656</v>
      </c>
      <c r="F5915" s="24" t="s">
        <v>22657</v>
      </c>
      <c r="G5915" s="25">
        <v>3</v>
      </c>
      <c r="H5915" s="29"/>
      <c r="I5915" s="30"/>
    </row>
    <row r="5916" spans="1:9" ht="15.75" thickBot="1" x14ac:dyDescent="0.3">
      <c r="A5916" s="43" t="s">
        <v>12698</v>
      </c>
      <c r="B5916" s="21" t="s">
        <v>12699</v>
      </c>
      <c r="C5916" s="21" t="s">
        <v>22682</v>
      </c>
      <c r="D5916" s="22">
        <v>46034</v>
      </c>
      <c r="E5916" s="23" t="s">
        <v>22658</v>
      </c>
      <c r="F5916" s="24" t="s">
        <v>22657</v>
      </c>
      <c r="G5916" s="25">
        <v>4</v>
      </c>
      <c r="H5916" s="26"/>
      <c r="I5916" s="27"/>
    </row>
    <row r="5917" spans="1:9" ht="15.75" thickBot="1" x14ac:dyDescent="0.3">
      <c r="A5917" s="43" t="s">
        <v>12700</v>
      </c>
      <c r="B5917" s="21" t="s">
        <v>12701</v>
      </c>
      <c r="C5917" s="21" t="s">
        <v>22682</v>
      </c>
      <c r="D5917" s="22">
        <v>46034</v>
      </c>
      <c r="E5917" s="23" t="s">
        <v>22658</v>
      </c>
      <c r="F5917" s="24" t="s">
        <v>22657</v>
      </c>
      <c r="G5917" s="25">
        <v>4</v>
      </c>
      <c r="H5917" s="29"/>
      <c r="I5917" s="30"/>
    </row>
    <row r="5918" spans="1:9" ht="15.75" thickBot="1" x14ac:dyDescent="0.3">
      <c r="A5918" s="43" t="s">
        <v>12702</v>
      </c>
      <c r="B5918" s="21" t="s">
        <v>12703</v>
      </c>
      <c r="C5918" s="21" t="s">
        <v>22682</v>
      </c>
      <c r="D5918" s="22">
        <v>46034</v>
      </c>
      <c r="E5918" s="23" t="s">
        <v>22658</v>
      </c>
      <c r="F5918" s="24" t="s">
        <v>22657</v>
      </c>
      <c r="G5918" s="25">
        <v>4</v>
      </c>
      <c r="H5918" s="26"/>
      <c r="I5918" s="27"/>
    </row>
    <row r="5919" spans="1:9" ht="15.75" thickBot="1" x14ac:dyDescent="0.3">
      <c r="A5919" s="43" t="s">
        <v>12704</v>
      </c>
      <c r="B5919" s="21" t="s">
        <v>12705</v>
      </c>
      <c r="C5919" s="21" t="s">
        <v>22682</v>
      </c>
      <c r="D5919" s="22">
        <v>46034</v>
      </c>
      <c r="E5919" s="23" t="s">
        <v>22658</v>
      </c>
      <c r="F5919" s="24" t="s">
        <v>22657</v>
      </c>
      <c r="G5919" s="25">
        <v>4</v>
      </c>
      <c r="H5919" s="29"/>
      <c r="I5919" s="30"/>
    </row>
    <row r="5920" spans="1:9" ht="15.75" thickBot="1" x14ac:dyDescent="0.3">
      <c r="A5920" s="43" t="s">
        <v>12706</v>
      </c>
      <c r="B5920" s="21" t="s">
        <v>12707</v>
      </c>
      <c r="C5920" s="21" t="s">
        <v>22682</v>
      </c>
      <c r="D5920" s="22">
        <v>46034</v>
      </c>
      <c r="E5920" s="23" t="s">
        <v>22658</v>
      </c>
      <c r="F5920" s="24" t="s">
        <v>22657</v>
      </c>
      <c r="G5920" s="25">
        <v>4</v>
      </c>
      <c r="H5920" s="26"/>
      <c r="I5920" s="27"/>
    </row>
    <row r="5921" spans="1:9" ht="15.75" thickBot="1" x14ac:dyDescent="0.3">
      <c r="A5921" s="43" t="s">
        <v>1247</v>
      </c>
      <c r="B5921" s="21" t="s">
        <v>1248</v>
      </c>
      <c r="C5921" s="21" t="s">
        <v>22655</v>
      </c>
      <c r="D5921" s="22">
        <v>46042</v>
      </c>
      <c r="E5921" s="23" t="s">
        <v>22661</v>
      </c>
      <c r="F5921" s="24" t="s">
        <v>22657</v>
      </c>
      <c r="G5921" s="25">
        <v>36</v>
      </c>
      <c r="H5921" s="32">
        <v>36</v>
      </c>
      <c r="I5921" s="33">
        <v>60</v>
      </c>
    </row>
    <row r="5922" spans="1:9" ht="15.75" thickBot="1" x14ac:dyDescent="0.3">
      <c r="A5922" s="43" t="s">
        <v>12708</v>
      </c>
      <c r="B5922" s="21" t="s">
        <v>12709</v>
      </c>
      <c r="C5922" s="21" t="s">
        <v>22663</v>
      </c>
      <c r="D5922" s="31">
        <v>1</v>
      </c>
      <c r="E5922" s="23" t="s">
        <v>22656</v>
      </c>
      <c r="F5922" s="24" t="s">
        <v>22657</v>
      </c>
      <c r="G5922" s="25">
        <v>2</v>
      </c>
      <c r="H5922" s="26"/>
      <c r="I5922" s="27"/>
    </row>
    <row r="5923" spans="1:9" ht="15.75" thickBot="1" x14ac:dyDescent="0.3">
      <c r="A5923" s="43" t="s">
        <v>12710</v>
      </c>
      <c r="B5923" s="21" t="s">
        <v>12711</v>
      </c>
      <c r="C5923" s="21" t="s">
        <v>22655</v>
      </c>
      <c r="D5923" s="22">
        <v>46042</v>
      </c>
      <c r="E5923" s="23" t="s">
        <v>22656</v>
      </c>
      <c r="F5923" s="24" t="s">
        <v>22657</v>
      </c>
      <c r="G5923" s="25">
        <v>7</v>
      </c>
      <c r="H5923" s="29"/>
      <c r="I5923" s="30"/>
    </row>
    <row r="5924" spans="1:9" ht="15.75" thickBot="1" x14ac:dyDescent="0.3">
      <c r="A5924" s="43" t="s">
        <v>12712</v>
      </c>
      <c r="B5924" s="21" t="s">
        <v>12713</v>
      </c>
      <c r="C5924" s="21" t="s">
        <v>22655</v>
      </c>
      <c r="D5924" s="31" t="s">
        <v>22669</v>
      </c>
      <c r="E5924" s="23" t="s">
        <v>22661</v>
      </c>
      <c r="F5924" s="24" t="s">
        <v>22657</v>
      </c>
      <c r="G5924" s="25">
        <v>12</v>
      </c>
      <c r="H5924" s="26"/>
      <c r="I5924" s="27"/>
    </row>
    <row r="5925" spans="1:9" ht="15.75" thickBot="1" x14ac:dyDescent="0.3">
      <c r="A5925" s="43" t="s">
        <v>12714</v>
      </c>
      <c r="B5925" s="21" t="s">
        <v>12715</v>
      </c>
      <c r="C5925" s="21" t="s">
        <v>22655</v>
      </c>
      <c r="D5925" s="22">
        <v>46031</v>
      </c>
      <c r="E5925" s="23" t="s">
        <v>22661</v>
      </c>
      <c r="F5925" s="24" t="s">
        <v>22657</v>
      </c>
      <c r="G5925" s="25">
        <v>8</v>
      </c>
      <c r="H5925" s="29"/>
      <c r="I5925" s="30"/>
    </row>
    <row r="5926" spans="1:9" ht="15.75" thickBot="1" x14ac:dyDescent="0.3">
      <c r="A5926" s="43" t="s">
        <v>12716</v>
      </c>
      <c r="B5926" s="21" t="s">
        <v>12717</v>
      </c>
      <c r="C5926" s="21" t="s">
        <v>22655</v>
      </c>
      <c r="D5926" s="22">
        <v>46034</v>
      </c>
      <c r="E5926" s="23" t="s">
        <v>22661</v>
      </c>
      <c r="F5926" s="24" t="s">
        <v>22657</v>
      </c>
      <c r="G5926" s="25">
        <v>5</v>
      </c>
      <c r="H5926" s="26"/>
      <c r="I5926" s="27"/>
    </row>
    <row r="5927" spans="1:9" ht="15.75" thickBot="1" x14ac:dyDescent="0.3">
      <c r="A5927" s="43" t="s">
        <v>12718</v>
      </c>
      <c r="B5927" s="21" t="s">
        <v>12719</v>
      </c>
      <c r="C5927" s="21" t="s">
        <v>22655</v>
      </c>
      <c r="D5927" s="22">
        <v>46042</v>
      </c>
      <c r="E5927" s="23" t="s">
        <v>22661</v>
      </c>
      <c r="F5927" s="24" t="s">
        <v>22657</v>
      </c>
      <c r="G5927" s="25">
        <v>7</v>
      </c>
      <c r="H5927" s="29"/>
      <c r="I5927" s="30"/>
    </row>
    <row r="5928" spans="1:9" ht="15.75" thickBot="1" x14ac:dyDescent="0.3">
      <c r="A5928" s="43" t="s">
        <v>12720</v>
      </c>
      <c r="B5928" s="21" t="s">
        <v>12721</v>
      </c>
      <c r="C5928" s="21" t="s">
        <v>22655</v>
      </c>
      <c r="D5928" s="22">
        <v>46042</v>
      </c>
      <c r="E5928" s="23" t="s">
        <v>22661</v>
      </c>
      <c r="F5928" s="24" t="s">
        <v>22657</v>
      </c>
      <c r="G5928" s="25">
        <v>11</v>
      </c>
      <c r="H5928" s="26"/>
      <c r="I5928" s="27"/>
    </row>
    <row r="5929" spans="1:9" ht="15.75" thickBot="1" x14ac:dyDescent="0.3">
      <c r="A5929" s="43" t="s">
        <v>12722</v>
      </c>
      <c r="B5929" s="21" t="s">
        <v>12723</v>
      </c>
      <c r="C5929" s="21" t="s">
        <v>22655</v>
      </c>
      <c r="D5929" s="22">
        <v>46046</v>
      </c>
      <c r="E5929" s="23" t="s">
        <v>22656</v>
      </c>
      <c r="F5929" s="24" t="s">
        <v>22657</v>
      </c>
      <c r="G5929" s="25">
        <v>8</v>
      </c>
      <c r="H5929" s="29"/>
      <c r="I5929" s="30"/>
    </row>
    <row r="5930" spans="1:9" ht="15.75" thickBot="1" x14ac:dyDescent="0.3">
      <c r="A5930" s="43" t="s">
        <v>1281</v>
      </c>
      <c r="B5930" s="21" t="s">
        <v>1282</v>
      </c>
      <c r="C5930" s="21" t="s">
        <v>22655</v>
      </c>
      <c r="D5930" s="22">
        <v>46046</v>
      </c>
      <c r="E5930" s="23" t="s">
        <v>22665</v>
      </c>
      <c r="F5930" s="24" t="s">
        <v>22657</v>
      </c>
      <c r="G5930" s="25">
        <v>240</v>
      </c>
      <c r="H5930" s="34">
        <v>240</v>
      </c>
      <c r="I5930" s="35">
        <v>480</v>
      </c>
    </row>
    <row r="5931" spans="1:9" ht="15.75" thickBot="1" x14ac:dyDescent="0.3">
      <c r="A5931" s="43" t="s">
        <v>12724</v>
      </c>
      <c r="B5931" s="21" t="s">
        <v>12725</v>
      </c>
      <c r="C5931" s="21" t="s">
        <v>22655</v>
      </c>
      <c r="D5931" s="22">
        <v>46046</v>
      </c>
      <c r="E5931" s="23" t="s">
        <v>22661</v>
      </c>
      <c r="F5931" s="24" t="s">
        <v>22657</v>
      </c>
      <c r="G5931" s="25">
        <v>27</v>
      </c>
      <c r="H5931" s="29"/>
      <c r="I5931" s="30"/>
    </row>
    <row r="5932" spans="1:9" ht="15.75" thickBot="1" x14ac:dyDescent="0.3">
      <c r="A5932" s="43" t="s">
        <v>12726</v>
      </c>
      <c r="B5932" s="21" t="s">
        <v>12727</v>
      </c>
      <c r="C5932" s="21" t="s">
        <v>22655</v>
      </c>
      <c r="D5932" s="31" t="s">
        <v>22673</v>
      </c>
      <c r="E5932" s="23" t="s">
        <v>22656</v>
      </c>
      <c r="F5932" s="24" t="s">
        <v>22657</v>
      </c>
      <c r="G5932" s="25">
        <v>9</v>
      </c>
      <c r="H5932" s="26"/>
      <c r="I5932" s="27"/>
    </row>
    <row r="5933" spans="1:9" ht="15.75" thickBot="1" x14ac:dyDescent="0.3">
      <c r="A5933" s="43" t="s">
        <v>12728</v>
      </c>
      <c r="B5933" s="21" t="s">
        <v>12729</v>
      </c>
      <c r="C5933" s="21" t="s">
        <v>22655</v>
      </c>
      <c r="D5933" s="31" t="s">
        <v>22673</v>
      </c>
      <c r="E5933" s="23" t="s">
        <v>22656</v>
      </c>
      <c r="F5933" s="24" t="s">
        <v>22657</v>
      </c>
      <c r="G5933" s="25">
        <v>9</v>
      </c>
      <c r="H5933" s="29"/>
      <c r="I5933" s="30"/>
    </row>
    <row r="5934" spans="1:9" ht="15.75" thickBot="1" x14ac:dyDescent="0.3">
      <c r="A5934" s="43" t="s">
        <v>12730</v>
      </c>
      <c r="B5934" s="21" t="s">
        <v>12731</v>
      </c>
      <c r="C5934" s="21" t="s">
        <v>22655</v>
      </c>
      <c r="D5934" s="31" t="s">
        <v>22673</v>
      </c>
      <c r="E5934" s="23" t="s">
        <v>22656</v>
      </c>
      <c r="F5934" s="24" t="s">
        <v>22657</v>
      </c>
      <c r="G5934" s="25">
        <v>17</v>
      </c>
      <c r="H5934" s="26"/>
      <c r="I5934" s="27"/>
    </row>
    <row r="5935" spans="1:9" ht="15.75" thickBot="1" x14ac:dyDescent="0.3">
      <c r="A5935" s="43" t="s">
        <v>1109</v>
      </c>
      <c r="B5935" s="21" t="s">
        <v>12732</v>
      </c>
      <c r="C5935" s="21" t="s">
        <v>22655</v>
      </c>
      <c r="D5935" s="31" t="s">
        <v>22732</v>
      </c>
      <c r="E5935" s="23" t="s">
        <v>22661</v>
      </c>
      <c r="F5935" s="24" t="s">
        <v>22657</v>
      </c>
      <c r="G5935" s="25">
        <v>160</v>
      </c>
      <c r="H5935" s="32">
        <v>160</v>
      </c>
      <c r="I5935" s="33">
        <v>240</v>
      </c>
    </row>
    <row r="5936" spans="1:9" ht="15.75" thickBot="1" x14ac:dyDescent="0.3">
      <c r="A5936" s="43" t="s">
        <v>12733</v>
      </c>
      <c r="B5936" s="21" t="s">
        <v>12734</v>
      </c>
      <c r="C5936" s="21" t="s">
        <v>22663</v>
      </c>
      <c r="D5936" s="31">
        <v>1</v>
      </c>
      <c r="E5936" s="23" t="s">
        <v>22656</v>
      </c>
      <c r="F5936" s="24" t="s">
        <v>22657</v>
      </c>
      <c r="G5936" s="25">
        <v>6</v>
      </c>
      <c r="H5936" s="26"/>
      <c r="I5936" s="27"/>
    </row>
    <row r="5937" spans="1:9" ht="15.75" thickBot="1" x14ac:dyDescent="0.3">
      <c r="A5937" s="43" t="s">
        <v>12735</v>
      </c>
      <c r="B5937" s="21" t="s">
        <v>12736</v>
      </c>
      <c r="C5937" s="21" t="s">
        <v>22655</v>
      </c>
      <c r="D5937" s="22">
        <v>46028</v>
      </c>
      <c r="E5937" s="23" t="s">
        <v>22665</v>
      </c>
      <c r="F5937" s="24" t="s">
        <v>22657</v>
      </c>
      <c r="G5937" s="25">
        <v>8</v>
      </c>
      <c r="H5937" s="29"/>
      <c r="I5937" s="30"/>
    </row>
    <row r="5938" spans="1:9" ht="15.75" thickBot="1" x14ac:dyDescent="0.3">
      <c r="A5938" s="43" t="s">
        <v>12737</v>
      </c>
      <c r="B5938" s="21" t="s">
        <v>12738</v>
      </c>
      <c r="C5938" s="21" t="s">
        <v>22655</v>
      </c>
      <c r="D5938" s="22">
        <v>46042</v>
      </c>
      <c r="E5938" s="23" t="s">
        <v>22661</v>
      </c>
      <c r="F5938" s="24" t="s">
        <v>22657</v>
      </c>
      <c r="G5938" s="25">
        <v>24</v>
      </c>
      <c r="H5938" s="26"/>
      <c r="I5938" s="27"/>
    </row>
    <row r="5939" spans="1:9" ht="15.75" thickBot="1" x14ac:dyDescent="0.3">
      <c r="A5939" s="43" t="s">
        <v>12739</v>
      </c>
      <c r="B5939" s="21" t="s">
        <v>12740</v>
      </c>
      <c r="C5939" s="21" t="s">
        <v>22655</v>
      </c>
      <c r="D5939" s="31" t="s">
        <v>22819</v>
      </c>
      <c r="E5939" s="23" t="s">
        <v>22661</v>
      </c>
      <c r="F5939" s="24" t="s">
        <v>22657</v>
      </c>
      <c r="G5939" s="25">
        <v>8</v>
      </c>
      <c r="H5939" s="29"/>
      <c r="I5939" s="30"/>
    </row>
    <row r="5940" spans="1:9" ht="15.75" thickBot="1" x14ac:dyDescent="0.3">
      <c r="A5940" s="43" t="s">
        <v>12741</v>
      </c>
      <c r="B5940" s="21" t="s">
        <v>12742</v>
      </c>
      <c r="C5940" s="21" t="s">
        <v>22655</v>
      </c>
      <c r="D5940" s="31" t="s">
        <v>22688</v>
      </c>
      <c r="E5940" s="23" t="s">
        <v>22656</v>
      </c>
      <c r="F5940" s="24" t="s">
        <v>22657</v>
      </c>
      <c r="G5940" s="25">
        <v>4</v>
      </c>
      <c r="H5940" s="26"/>
      <c r="I5940" s="27"/>
    </row>
    <row r="5941" spans="1:9" ht="15.75" thickBot="1" x14ac:dyDescent="0.3">
      <c r="A5941" s="43" t="s">
        <v>12743</v>
      </c>
      <c r="B5941" s="21" t="s">
        <v>12744</v>
      </c>
      <c r="C5941" s="21" t="s">
        <v>22655</v>
      </c>
      <c r="D5941" s="22">
        <v>46042</v>
      </c>
      <c r="E5941" s="23" t="s">
        <v>22656</v>
      </c>
      <c r="F5941" s="24" t="s">
        <v>22657</v>
      </c>
      <c r="G5941" s="25">
        <v>7</v>
      </c>
      <c r="H5941" s="29"/>
      <c r="I5941" s="30"/>
    </row>
    <row r="5942" spans="1:9" ht="15.75" thickBot="1" x14ac:dyDescent="0.3">
      <c r="A5942" s="43" t="s">
        <v>12745</v>
      </c>
      <c r="B5942" s="21" t="s">
        <v>12746</v>
      </c>
      <c r="C5942" s="21" t="s">
        <v>22655</v>
      </c>
      <c r="D5942" s="31" t="s">
        <v>22688</v>
      </c>
      <c r="E5942" s="23" t="s">
        <v>22656</v>
      </c>
      <c r="F5942" s="24" t="s">
        <v>22657</v>
      </c>
      <c r="G5942" s="25">
        <v>4</v>
      </c>
      <c r="H5942" s="26"/>
      <c r="I5942" s="27"/>
    </row>
    <row r="5943" spans="1:9" ht="15.75" thickBot="1" x14ac:dyDescent="0.3">
      <c r="A5943" s="43" t="s">
        <v>12747</v>
      </c>
      <c r="B5943" s="21" t="s">
        <v>12748</v>
      </c>
      <c r="C5943" s="21" t="s">
        <v>22655</v>
      </c>
      <c r="D5943" s="31" t="s">
        <v>22821</v>
      </c>
      <c r="E5943" s="23" t="s">
        <v>22656</v>
      </c>
      <c r="F5943" s="24" t="s">
        <v>22657</v>
      </c>
      <c r="G5943" s="25">
        <v>239</v>
      </c>
      <c r="H5943" s="29"/>
      <c r="I5943" s="30"/>
    </row>
    <row r="5944" spans="1:9" ht="15.75" thickBot="1" x14ac:dyDescent="0.3">
      <c r="A5944" s="43" t="s">
        <v>12749</v>
      </c>
      <c r="B5944" s="21" t="s">
        <v>12750</v>
      </c>
      <c r="C5944" s="21" t="s">
        <v>22682</v>
      </c>
      <c r="D5944" s="22">
        <v>46034</v>
      </c>
      <c r="E5944" s="23" t="s">
        <v>22658</v>
      </c>
      <c r="F5944" s="24" t="s">
        <v>22657</v>
      </c>
      <c r="G5944" s="25">
        <v>4</v>
      </c>
      <c r="H5944" s="26"/>
      <c r="I5944" s="27"/>
    </row>
    <row r="5945" spans="1:9" ht="15.75" thickBot="1" x14ac:dyDescent="0.3">
      <c r="A5945" s="43" t="s">
        <v>12751</v>
      </c>
      <c r="B5945" s="21" t="s">
        <v>12752</v>
      </c>
      <c r="C5945" s="21" t="s">
        <v>22682</v>
      </c>
      <c r="D5945" s="22">
        <v>46034</v>
      </c>
      <c r="E5945" s="23" t="s">
        <v>22656</v>
      </c>
      <c r="F5945" s="24" t="s">
        <v>22657</v>
      </c>
      <c r="G5945" s="25">
        <v>4</v>
      </c>
      <c r="H5945" s="29"/>
      <c r="I5945" s="30"/>
    </row>
    <row r="5946" spans="1:9" ht="15.75" thickBot="1" x14ac:dyDescent="0.3">
      <c r="A5946" s="43" t="s">
        <v>12753</v>
      </c>
      <c r="B5946" s="21" t="s">
        <v>12754</v>
      </c>
      <c r="C5946" s="21" t="s">
        <v>22682</v>
      </c>
      <c r="D5946" s="22">
        <v>46034</v>
      </c>
      <c r="E5946" s="23" t="s">
        <v>22658</v>
      </c>
      <c r="F5946" s="24" t="s">
        <v>22657</v>
      </c>
      <c r="G5946" s="25">
        <v>4</v>
      </c>
      <c r="H5946" s="26"/>
      <c r="I5946" s="27"/>
    </row>
    <row r="5947" spans="1:9" ht="15.75" thickBot="1" x14ac:dyDescent="0.3">
      <c r="A5947" s="43" t="s">
        <v>12755</v>
      </c>
      <c r="B5947" s="21" t="s">
        <v>12756</v>
      </c>
      <c r="C5947" s="21" t="s">
        <v>22682</v>
      </c>
      <c r="D5947" s="22">
        <v>46034</v>
      </c>
      <c r="E5947" s="23" t="s">
        <v>22658</v>
      </c>
      <c r="F5947" s="24" t="s">
        <v>22657</v>
      </c>
      <c r="G5947" s="25">
        <v>4</v>
      </c>
      <c r="H5947" s="29"/>
      <c r="I5947" s="30"/>
    </row>
    <row r="5948" spans="1:9" ht="15.75" thickBot="1" x14ac:dyDescent="0.3">
      <c r="A5948" s="43" t="s">
        <v>12757</v>
      </c>
      <c r="B5948" s="21" t="s">
        <v>12758</v>
      </c>
      <c r="C5948" s="21" t="s">
        <v>22682</v>
      </c>
      <c r="D5948" s="22">
        <v>46034</v>
      </c>
      <c r="E5948" s="23" t="s">
        <v>22658</v>
      </c>
      <c r="F5948" s="24" t="s">
        <v>22657</v>
      </c>
      <c r="G5948" s="25">
        <v>4</v>
      </c>
      <c r="H5948" s="26"/>
      <c r="I5948" s="27"/>
    </row>
    <row r="5949" spans="1:9" ht="15.75" thickBot="1" x14ac:dyDescent="0.3">
      <c r="A5949" s="43" t="s">
        <v>12759</v>
      </c>
      <c r="B5949" s="21" t="s">
        <v>12760</v>
      </c>
      <c r="C5949" s="21" t="s">
        <v>22682</v>
      </c>
      <c r="D5949" s="22">
        <v>46034</v>
      </c>
      <c r="E5949" s="23" t="s">
        <v>22658</v>
      </c>
      <c r="F5949" s="24" t="s">
        <v>22657</v>
      </c>
      <c r="G5949" s="25">
        <v>4</v>
      </c>
      <c r="H5949" s="29"/>
      <c r="I5949" s="30"/>
    </row>
    <row r="5950" spans="1:9" ht="15.75" thickBot="1" x14ac:dyDescent="0.3">
      <c r="A5950" s="43" t="s">
        <v>12761</v>
      </c>
      <c r="B5950" s="21" t="s">
        <v>12762</v>
      </c>
      <c r="C5950" s="21" t="s">
        <v>22655</v>
      </c>
      <c r="D5950" s="31" t="s">
        <v>22749</v>
      </c>
      <c r="E5950" s="23" t="s">
        <v>22658</v>
      </c>
      <c r="F5950" s="24" t="s">
        <v>22657</v>
      </c>
      <c r="G5950" s="25">
        <v>100</v>
      </c>
      <c r="H5950" s="26"/>
      <c r="I5950" s="27"/>
    </row>
    <row r="5951" spans="1:9" ht="15.75" thickBot="1" x14ac:dyDescent="0.3">
      <c r="A5951" s="43" t="s">
        <v>12763</v>
      </c>
      <c r="B5951" s="21" t="s">
        <v>12764</v>
      </c>
      <c r="C5951" s="21" t="s">
        <v>22655</v>
      </c>
      <c r="D5951" s="31" t="s">
        <v>22749</v>
      </c>
      <c r="E5951" s="23" t="s">
        <v>22658</v>
      </c>
      <c r="F5951" s="24" t="s">
        <v>22657</v>
      </c>
      <c r="G5951" s="25">
        <v>100</v>
      </c>
      <c r="H5951" s="29"/>
      <c r="I5951" s="30"/>
    </row>
    <row r="5952" spans="1:9" ht="15.75" thickBot="1" x14ac:dyDescent="0.3">
      <c r="A5952" s="43" t="s">
        <v>12765</v>
      </c>
      <c r="B5952" s="21" t="s">
        <v>12766</v>
      </c>
      <c r="C5952" s="21" t="s">
        <v>22663</v>
      </c>
      <c r="D5952" s="31">
        <v>1</v>
      </c>
      <c r="E5952" s="23" t="s">
        <v>22658</v>
      </c>
      <c r="F5952" s="24" t="s">
        <v>22657</v>
      </c>
      <c r="G5952" s="25">
        <v>4</v>
      </c>
      <c r="H5952" s="26"/>
      <c r="I5952" s="27"/>
    </row>
    <row r="5953" spans="1:9" ht="15.75" thickBot="1" x14ac:dyDescent="0.3">
      <c r="A5953" s="43" t="s">
        <v>12767</v>
      </c>
      <c r="B5953" s="21" t="s">
        <v>12768</v>
      </c>
      <c r="C5953" s="21" t="s">
        <v>22655</v>
      </c>
      <c r="D5953" s="22">
        <v>46032</v>
      </c>
      <c r="E5953" s="23" t="s">
        <v>22656</v>
      </c>
      <c r="F5953" s="24" t="s">
        <v>22657</v>
      </c>
      <c r="G5953" s="25">
        <v>4</v>
      </c>
      <c r="H5953" s="29"/>
      <c r="I5953" s="30"/>
    </row>
    <row r="5954" spans="1:9" ht="15.75" thickBot="1" x14ac:dyDescent="0.3">
      <c r="A5954" s="43" t="s">
        <v>12769</v>
      </c>
      <c r="B5954" s="21" t="s">
        <v>12770</v>
      </c>
      <c r="C5954" s="21" t="s">
        <v>22663</v>
      </c>
      <c r="D5954" s="31">
        <v>1</v>
      </c>
      <c r="E5954" s="23" t="s">
        <v>22658</v>
      </c>
      <c r="F5954" s="24" t="s">
        <v>22657</v>
      </c>
      <c r="G5954" s="25">
        <v>1</v>
      </c>
      <c r="H5954" s="26"/>
      <c r="I5954" s="27"/>
    </row>
    <row r="5955" spans="1:9" ht="15.75" thickBot="1" x14ac:dyDescent="0.3">
      <c r="A5955" s="43" t="s">
        <v>12771</v>
      </c>
      <c r="B5955" s="21" t="s">
        <v>12772</v>
      </c>
      <c r="C5955" s="21" t="s">
        <v>22663</v>
      </c>
      <c r="D5955" s="31">
        <v>1</v>
      </c>
      <c r="E5955" s="23" t="s">
        <v>22658</v>
      </c>
      <c r="F5955" s="24" t="s">
        <v>22657</v>
      </c>
      <c r="G5955" s="25">
        <v>1</v>
      </c>
      <c r="H5955" s="29"/>
      <c r="I5955" s="30"/>
    </row>
    <row r="5956" spans="1:9" ht="15.75" thickBot="1" x14ac:dyDescent="0.3">
      <c r="A5956" s="43" t="s">
        <v>12773</v>
      </c>
      <c r="B5956" s="21" t="s">
        <v>12774</v>
      </c>
      <c r="C5956" s="21" t="s">
        <v>22709</v>
      </c>
      <c r="D5956" s="31">
        <v>1</v>
      </c>
      <c r="E5956" s="23" t="s">
        <v>22658</v>
      </c>
      <c r="F5956" s="24" t="s">
        <v>22657</v>
      </c>
      <c r="G5956" s="25">
        <v>1</v>
      </c>
      <c r="H5956" s="26"/>
      <c r="I5956" s="27"/>
    </row>
    <row r="5957" spans="1:9" ht="15.75" thickBot="1" x14ac:dyDescent="0.3">
      <c r="A5957" s="43" t="s">
        <v>12775</v>
      </c>
      <c r="B5957" s="21" t="s">
        <v>12776</v>
      </c>
      <c r="C5957" s="21" t="s">
        <v>22655</v>
      </c>
      <c r="D5957" s="31" t="s">
        <v>22822</v>
      </c>
      <c r="E5957" s="23" t="s">
        <v>22658</v>
      </c>
      <c r="F5957" s="24" t="s">
        <v>22657</v>
      </c>
      <c r="G5957" s="25">
        <v>67</v>
      </c>
      <c r="H5957" s="29"/>
      <c r="I5957" s="30"/>
    </row>
    <row r="5958" spans="1:9" ht="15.75" thickBot="1" x14ac:dyDescent="0.3">
      <c r="A5958" s="43" t="s">
        <v>12777</v>
      </c>
      <c r="B5958" s="21" t="s">
        <v>12778</v>
      </c>
      <c r="C5958" s="21" t="s">
        <v>22663</v>
      </c>
      <c r="D5958" s="31">
        <v>1</v>
      </c>
      <c r="E5958" s="23" t="s">
        <v>22658</v>
      </c>
      <c r="F5958" s="24" t="s">
        <v>22657</v>
      </c>
      <c r="G5958" s="25">
        <v>1</v>
      </c>
      <c r="H5958" s="26"/>
      <c r="I5958" s="27"/>
    </row>
    <row r="5959" spans="1:9" ht="15.75" thickBot="1" x14ac:dyDescent="0.3">
      <c r="A5959" s="43" t="s">
        <v>12779</v>
      </c>
      <c r="B5959" s="21" t="s">
        <v>12780</v>
      </c>
      <c r="C5959" s="21" t="s">
        <v>22663</v>
      </c>
      <c r="D5959" s="31">
        <v>1</v>
      </c>
      <c r="E5959" s="23" t="s">
        <v>22658</v>
      </c>
      <c r="F5959" s="24" t="s">
        <v>22657</v>
      </c>
      <c r="G5959" s="25">
        <v>1</v>
      </c>
      <c r="H5959" s="29"/>
      <c r="I5959" s="30"/>
    </row>
    <row r="5960" spans="1:9" ht="15.75" thickBot="1" x14ac:dyDescent="0.3">
      <c r="A5960" s="43" t="s">
        <v>12781</v>
      </c>
      <c r="B5960" s="21" t="s">
        <v>12782</v>
      </c>
      <c r="C5960" s="21" t="s">
        <v>22655</v>
      </c>
      <c r="D5960" s="22">
        <v>46030</v>
      </c>
      <c r="E5960" s="23" t="s">
        <v>22658</v>
      </c>
      <c r="F5960" s="24" t="s">
        <v>22657</v>
      </c>
      <c r="G5960" s="25">
        <v>3</v>
      </c>
      <c r="H5960" s="26"/>
      <c r="I5960" s="27"/>
    </row>
    <row r="5961" spans="1:9" ht="15.75" thickBot="1" x14ac:dyDescent="0.3">
      <c r="A5961" s="43" t="s">
        <v>12783</v>
      </c>
      <c r="B5961" s="21" t="s">
        <v>12784</v>
      </c>
      <c r="C5961" s="21" t="s">
        <v>22663</v>
      </c>
      <c r="D5961" s="31">
        <v>1</v>
      </c>
      <c r="E5961" s="23" t="s">
        <v>22656</v>
      </c>
      <c r="F5961" s="24" t="s">
        <v>22657</v>
      </c>
      <c r="G5961" s="25">
        <v>3</v>
      </c>
      <c r="H5961" s="29"/>
      <c r="I5961" s="30"/>
    </row>
    <row r="5962" spans="1:9" ht="15.75" thickBot="1" x14ac:dyDescent="0.3">
      <c r="A5962" s="43" t="s">
        <v>12785</v>
      </c>
      <c r="B5962" s="21" t="s">
        <v>12786</v>
      </c>
      <c r="C5962" s="21" t="s">
        <v>22709</v>
      </c>
      <c r="D5962" s="31">
        <v>1</v>
      </c>
      <c r="E5962" s="23" t="s">
        <v>22658</v>
      </c>
      <c r="F5962" s="24" t="s">
        <v>22657</v>
      </c>
      <c r="G5962" s="25">
        <v>1</v>
      </c>
      <c r="H5962" s="26"/>
      <c r="I5962" s="27"/>
    </row>
    <row r="5963" spans="1:9" ht="15.75" thickBot="1" x14ac:dyDescent="0.3">
      <c r="A5963" s="43" t="s">
        <v>12787</v>
      </c>
      <c r="B5963" s="21" t="s">
        <v>12788</v>
      </c>
      <c r="C5963" s="21" t="s">
        <v>22655</v>
      </c>
      <c r="D5963" s="22">
        <v>46026</v>
      </c>
      <c r="E5963" s="23" t="s">
        <v>22656</v>
      </c>
      <c r="F5963" s="24" t="s">
        <v>22657</v>
      </c>
      <c r="G5963" s="25">
        <v>4</v>
      </c>
      <c r="H5963" s="32">
        <v>4</v>
      </c>
      <c r="I5963" s="33">
        <v>6</v>
      </c>
    </row>
    <row r="5964" spans="1:9" ht="15.75" thickBot="1" x14ac:dyDescent="0.3">
      <c r="A5964" s="43" t="s">
        <v>12789</v>
      </c>
      <c r="B5964" s="21" t="s">
        <v>12790</v>
      </c>
      <c r="C5964" s="21" t="s">
        <v>22663</v>
      </c>
      <c r="D5964" s="31">
        <v>1</v>
      </c>
      <c r="E5964" s="23" t="s">
        <v>22658</v>
      </c>
      <c r="F5964" s="24" t="s">
        <v>22657</v>
      </c>
      <c r="G5964" s="25">
        <v>1</v>
      </c>
      <c r="H5964" s="26"/>
      <c r="I5964" s="27"/>
    </row>
    <row r="5965" spans="1:9" ht="15.75" thickBot="1" x14ac:dyDescent="0.3">
      <c r="A5965" s="43" t="s">
        <v>12791</v>
      </c>
      <c r="B5965" s="21" t="s">
        <v>12792</v>
      </c>
      <c r="C5965" s="21" t="s">
        <v>22663</v>
      </c>
      <c r="D5965" s="31">
        <v>1</v>
      </c>
      <c r="E5965" s="23" t="s">
        <v>22658</v>
      </c>
      <c r="F5965" s="24" t="s">
        <v>22657</v>
      </c>
      <c r="G5965" s="25">
        <v>1</v>
      </c>
      <c r="H5965" s="29"/>
      <c r="I5965" s="30"/>
    </row>
    <row r="5966" spans="1:9" ht="15.75" thickBot="1" x14ac:dyDescent="0.3">
      <c r="A5966" s="43" t="s">
        <v>12793</v>
      </c>
      <c r="B5966" s="21" t="s">
        <v>12794</v>
      </c>
      <c r="C5966" s="21" t="s">
        <v>22709</v>
      </c>
      <c r="D5966" s="31">
        <v>1</v>
      </c>
      <c r="E5966" s="23" t="s">
        <v>22658</v>
      </c>
      <c r="F5966" s="24" t="s">
        <v>22657</v>
      </c>
      <c r="G5966" s="25">
        <v>1</v>
      </c>
      <c r="H5966" s="26"/>
      <c r="I5966" s="27"/>
    </row>
    <row r="5967" spans="1:9" ht="15.75" thickBot="1" x14ac:dyDescent="0.3">
      <c r="A5967" s="43" t="s">
        <v>12795</v>
      </c>
      <c r="B5967" s="21" t="s">
        <v>12796</v>
      </c>
      <c r="C5967" s="21" t="s">
        <v>22663</v>
      </c>
      <c r="D5967" s="31">
        <v>1</v>
      </c>
      <c r="E5967" s="23" t="s">
        <v>22656</v>
      </c>
      <c r="F5967" s="24" t="s">
        <v>22657</v>
      </c>
      <c r="G5967" s="25">
        <v>3</v>
      </c>
      <c r="H5967" s="29"/>
      <c r="I5967" s="30"/>
    </row>
    <row r="5968" spans="1:9" ht="15.75" thickBot="1" x14ac:dyDescent="0.3">
      <c r="A5968" s="43" t="s">
        <v>12797</v>
      </c>
      <c r="B5968" s="21" t="s">
        <v>12798</v>
      </c>
      <c r="C5968" s="21" t="s">
        <v>22655</v>
      </c>
      <c r="D5968" s="22">
        <v>46026</v>
      </c>
      <c r="E5968" s="23" t="s">
        <v>22656</v>
      </c>
      <c r="F5968" s="24" t="s">
        <v>22657</v>
      </c>
      <c r="G5968" s="25">
        <v>4</v>
      </c>
      <c r="H5968" s="34">
        <v>4</v>
      </c>
      <c r="I5968" s="35">
        <v>6</v>
      </c>
    </row>
    <row r="5969" spans="1:9" ht="15.75" thickBot="1" x14ac:dyDescent="0.3">
      <c r="A5969" s="43" t="s">
        <v>12799</v>
      </c>
      <c r="B5969" s="21" t="s">
        <v>12800</v>
      </c>
      <c r="C5969" s="21" t="s">
        <v>22663</v>
      </c>
      <c r="D5969" s="31">
        <v>1</v>
      </c>
      <c r="E5969" s="23" t="s">
        <v>22656</v>
      </c>
      <c r="F5969" s="24" t="s">
        <v>22657</v>
      </c>
      <c r="G5969" s="25">
        <v>6</v>
      </c>
      <c r="H5969" s="29"/>
      <c r="I5969" s="30"/>
    </row>
    <row r="5970" spans="1:9" ht="15.75" thickBot="1" x14ac:dyDescent="0.3">
      <c r="A5970" s="43" t="s">
        <v>12801</v>
      </c>
      <c r="B5970" s="21" t="s">
        <v>12802</v>
      </c>
      <c r="C5970" s="21" t="s">
        <v>22663</v>
      </c>
      <c r="D5970" s="31">
        <v>1</v>
      </c>
      <c r="E5970" s="23" t="s">
        <v>22658</v>
      </c>
      <c r="F5970" s="24" t="s">
        <v>22657</v>
      </c>
      <c r="G5970" s="25">
        <v>1</v>
      </c>
      <c r="H5970" s="26"/>
      <c r="I5970" s="27"/>
    </row>
    <row r="5971" spans="1:9" ht="15.75" thickBot="1" x14ac:dyDescent="0.3">
      <c r="A5971" s="43" t="s">
        <v>12803</v>
      </c>
      <c r="B5971" s="21" t="s">
        <v>12804</v>
      </c>
      <c r="C5971" s="21" t="s">
        <v>22709</v>
      </c>
      <c r="D5971" s="31">
        <v>1</v>
      </c>
      <c r="E5971" s="23" t="s">
        <v>22658</v>
      </c>
      <c r="F5971" s="24" t="s">
        <v>22657</v>
      </c>
      <c r="G5971" s="25">
        <v>1</v>
      </c>
      <c r="H5971" s="29"/>
      <c r="I5971" s="30"/>
    </row>
    <row r="5972" spans="1:9" ht="15.75" thickBot="1" x14ac:dyDescent="0.3">
      <c r="A5972" s="43" t="s">
        <v>12805</v>
      </c>
      <c r="B5972" s="21" t="s">
        <v>12806</v>
      </c>
      <c r="C5972" s="21" t="s">
        <v>22685</v>
      </c>
      <c r="D5972" s="31">
        <v>1</v>
      </c>
      <c r="E5972" s="23" t="s">
        <v>22658</v>
      </c>
      <c r="F5972" s="24" t="s">
        <v>22657</v>
      </c>
      <c r="G5972" s="25">
        <v>1</v>
      </c>
      <c r="H5972" s="26"/>
      <c r="I5972" s="27"/>
    </row>
    <row r="5973" spans="1:9" ht="15.75" thickBot="1" x14ac:dyDescent="0.3">
      <c r="A5973" s="43" t="s">
        <v>12807</v>
      </c>
      <c r="B5973" s="21" t="s">
        <v>12808</v>
      </c>
      <c r="C5973" s="21" t="s">
        <v>22655</v>
      </c>
      <c r="D5973" s="22">
        <v>46030</v>
      </c>
      <c r="E5973" s="23" t="s">
        <v>22658</v>
      </c>
      <c r="F5973" s="24" t="s">
        <v>22657</v>
      </c>
      <c r="G5973" s="25">
        <v>3</v>
      </c>
      <c r="H5973" s="29"/>
      <c r="I5973" s="30"/>
    </row>
    <row r="5974" spans="1:9" ht="15.75" thickBot="1" x14ac:dyDescent="0.3">
      <c r="A5974" s="43" t="s">
        <v>12809</v>
      </c>
      <c r="B5974" s="21" t="s">
        <v>12810</v>
      </c>
      <c r="C5974" s="21" t="s">
        <v>22663</v>
      </c>
      <c r="D5974" s="31">
        <v>1</v>
      </c>
      <c r="E5974" s="23" t="s">
        <v>22656</v>
      </c>
      <c r="F5974" s="24" t="s">
        <v>22657</v>
      </c>
      <c r="G5974" s="25">
        <v>4</v>
      </c>
      <c r="H5974" s="26"/>
      <c r="I5974" s="27"/>
    </row>
    <row r="5975" spans="1:9" ht="15.75" thickBot="1" x14ac:dyDescent="0.3">
      <c r="A5975" s="43" t="s">
        <v>12811</v>
      </c>
      <c r="B5975" s="21" t="s">
        <v>12812</v>
      </c>
      <c r="C5975" s="21" t="s">
        <v>22655</v>
      </c>
      <c r="D5975" s="22">
        <v>46028</v>
      </c>
      <c r="E5975" s="23" t="s">
        <v>22656</v>
      </c>
      <c r="F5975" s="24" t="s">
        <v>22657</v>
      </c>
      <c r="G5975" s="25">
        <v>2</v>
      </c>
      <c r="H5975" s="29"/>
      <c r="I5975" s="30"/>
    </row>
    <row r="5976" spans="1:9" ht="15.75" thickBot="1" x14ac:dyDescent="0.3">
      <c r="A5976" s="43" t="s">
        <v>12813</v>
      </c>
      <c r="B5976" s="21" t="s">
        <v>12814</v>
      </c>
      <c r="C5976" s="21" t="s">
        <v>22663</v>
      </c>
      <c r="D5976" s="31">
        <v>1</v>
      </c>
      <c r="E5976" s="23" t="s">
        <v>22656</v>
      </c>
      <c r="F5976" s="24" t="s">
        <v>22657</v>
      </c>
      <c r="G5976" s="25">
        <v>4</v>
      </c>
      <c r="H5976" s="26"/>
      <c r="I5976" s="27"/>
    </row>
    <row r="5977" spans="1:9" ht="15.75" thickBot="1" x14ac:dyDescent="0.3">
      <c r="A5977" s="43" t="s">
        <v>12815</v>
      </c>
      <c r="B5977" s="21" t="s">
        <v>12816</v>
      </c>
      <c r="C5977" s="21" t="s">
        <v>22663</v>
      </c>
      <c r="D5977" s="31">
        <v>1</v>
      </c>
      <c r="E5977" s="23" t="s">
        <v>22658</v>
      </c>
      <c r="F5977" s="24" t="s">
        <v>22657</v>
      </c>
      <c r="G5977" s="25">
        <v>1</v>
      </c>
      <c r="H5977" s="29"/>
      <c r="I5977" s="30"/>
    </row>
    <row r="5978" spans="1:9" ht="15.75" thickBot="1" x14ac:dyDescent="0.3">
      <c r="A5978" s="43" t="s">
        <v>12817</v>
      </c>
      <c r="B5978" s="21" t="s">
        <v>12818</v>
      </c>
      <c r="C5978" s="21" t="s">
        <v>22655</v>
      </c>
      <c r="D5978" s="31" t="s">
        <v>22748</v>
      </c>
      <c r="E5978" s="23" t="s">
        <v>22658</v>
      </c>
      <c r="F5978" s="24" t="s">
        <v>22657</v>
      </c>
      <c r="G5978" s="25">
        <v>167</v>
      </c>
      <c r="H5978" s="26"/>
      <c r="I5978" s="27"/>
    </row>
    <row r="5979" spans="1:9" ht="15.75" thickBot="1" x14ac:dyDescent="0.3">
      <c r="A5979" s="43" t="s">
        <v>12819</v>
      </c>
      <c r="B5979" s="21" t="s">
        <v>12820</v>
      </c>
      <c r="C5979" s="21" t="s">
        <v>22655</v>
      </c>
      <c r="D5979" s="31" t="s">
        <v>22683</v>
      </c>
      <c r="E5979" s="23" t="s">
        <v>22658</v>
      </c>
      <c r="F5979" s="24" t="s">
        <v>22657</v>
      </c>
      <c r="G5979" s="25">
        <v>34</v>
      </c>
      <c r="H5979" s="29"/>
      <c r="I5979" s="30"/>
    </row>
    <row r="5980" spans="1:9" ht="15.75" thickBot="1" x14ac:dyDescent="0.3">
      <c r="A5980" s="43" t="s">
        <v>12821</v>
      </c>
      <c r="B5980" s="21" t="s">
        <v>12822</v>
      </c>
      <c r="C5980" s="21" t="s">
        <v>22667</v>
      </c>
      <c r="D5980" s="31" t="s">
        <v>22761</v>
      </c>
      <c r="E5980" s="23" t="s">
        <v>22656</v>
      </c>
      <c r="F5980" s="24" t="s">
        <v>22657</v>
      </c>
      <c r="G5980" s="25">
        <v>33</v>
      </c>
      <c r="H5980" s="26"/>
      <c r="I5980" s="27"/>
    </row>
    <row r="5981" spans="1:9" ht="15.75" thickBot="1" x14ac:dyDescent="0.3">
      <c r="A5981" s="43" t="s">
        <v>12823</v>
      </c>
      <c r="B5981" s="21" t="s">
        <v>12824</v>
      </c>
      <c r="C5981" s="21" t="s">
        <v>22667</v>
      </c>
      <c r="D5981" s="31" t="s">
        <v>22761</v>
      </c>
      <c r="E5981" s="23" t="s">
        <v>22656</v>
      </c>
      <c r="F5981" s="24" t="s">
        <v>22657</v>
      </c>
      <c r="G5981" s="25">
        <v>18</v>
      </c>
      <c r="H5981" s="29"/>
      <c r="I5981" s="30"/>
    </row>
    <row r="5982" spans="1:9" ht="15.75" thickBot="1" x14ac:dyDescent="0.3">
      <c r="A5982" s="43" t="s">
        <v>12825</v>
      </c>
      <c r="B5982" s="21" t="s">
        <v>12826</v>
      </c>
      <c r="C5982" s="21" t="s">
        <v>22655</v>
      </c>
      <c r="D5982" s="31" t="s">
        <v>22823</v>
      </c>
      <c r="E5982" s="23" t="s">
        <v>22656</v>
      </c>
      <c r="F5982" s="24" t="s">
        <v>22657</v>
      </c>
      <c r="G5982" s="25">
        <v>84</v>
      </c>
      <c r="H5982" s="26"/>
      <c r="I5982" s="27"/>
    </row>
    <row r="5983" spans="1:9" ht="15.75" thickBot="1" x14ac:dyDescent="0.3">
      <c r="A5983" s="43" t="s">
        <v>12827</v>
      </c>
      <c r="B5983" s="21" t="s">
        <v>12828</v>
      </c>
      <c r="C5983" s="21" t="s">
        <v>22655</v>
      </c>
      <c r="D5983" s="31" t="s">
        <v>22822</v>
      </c>
      <c r="E5983" s="23" t="s">
        <v>22661</v>
      </c>
      <c r="F5983" s="24" t="s">
        <v>22657</v>
      </c>
      <c r="G5983" s="25">
        <v>71</v>
      </c>
      <c r="H5983" s="29"/>
      <c r="I5983" s="30"/>
    </row>
    <row r="5984" spans="1:9" ht="15.75" thickBot="1" x14ac:dyDescent="0.3">
      <c r="A5984" s="43" t="s">
        <v>12829</v>
      </c>
      <c r="B5984" s="21" t="s">
        <v>12830</v>
      </c>
      <c r="C5984" s="21" t="s">
        <v>22655</v>
      </c>
      <c r="D5984" s="22">
        <v>46042</v>
      </c>
      <c r="E5984" s="23" t="s">
        <v>22658</v>
      </c>
      <c r="F5984" s="24" t="s">
        <v>22657</v>
      </c>
      <c r="G5984" s="25">
        <v>7</v>
      </c>
      <c r="H5984" s="26"/>
      <c r="I5984" s="27"/>
    </row>
    <row r="5985" spans="1:9" ht="15.75" thickBot="1" x14ac:dyDescent="0.3">
      <c r="A5985" s="43" t="s">
        <v>12831</v>
      </c>
      <c r="B5985" s="21" t="s">
        <v>12832</v>
      </c>
      <c r="C5985" s="21" t="s">
        <v>22655</v>
      </c>
      <c r="D5985" s="22">
        <v>46047</v>
      </c>
      <c r="E5985" s="23" t="s">
        <v>22658</v>
      </c>
      <c r="F5985" s="24" t="s">
        <v>22657</v>
      </c>
      <c r="G5985" s="25">
        <v>1</v>
      </c>
      <c r="H5985" s="29"/>
      <c r="I5985" s="30"/>
    </row>
    <row r="5986" spans="1:9" ht="15.75" thickBot="1" x14ac:dyDescent="0.3">
      <c r="A5986" s="43" t="s">
        <v>1531</v>
      </c>
      <c r="B5986" s="21" t="s">
        <v>12833</v>
      </c>
      <c r="C5986" s="21" t="s">
        <v>22655</v>
      </c>
      <c r="D5986" s="31" t="s">
        <v>22748</v>
      </c>
      <c r="E5986" s="23" t="s">
        <v>22661</v>
      </c>
      <c r="F5986" s="24" t="s">
        <v>22657</v>
      </c>
      <c r="G5986" s="25">
        <v>167</v>
      </c>
      <c r="H5986" s="26"/>
      <c r="I5986" s="27"/>
    </row>
    <row r="5987" spans="1:9" ht="15.75" thickBot="1" x14ac:dyDescent="0.3">
      <c r="A5987" s="43" t="s">
        <v>421</v>
      </c>
      <c r="B5987" s="21" t="s">
        <v>12834</v>
      </c>
      <c r="C5987" s="21" t="s">
        <v>22655</v>
      </c>
      <c r="D5987" s="31" t="s">
        <v>22813</v>
      </c>
      <c r="E5987" s="23" t="s">
        <v>22656</v>
      </c>
      <c r="F5987" s="24" t="s">
        <v>22657</v>
      </c>
      <c r="G5987" s="25">
        <v>334</v>
      </c>
      <c r="H5987" s="29"/>
      <c r="I5987" s="30"/>
    </row>
    <row r="5988" spans="1:9" ht="15.75" thickBot="1" x14ac:dyDescent="0.3">
      <c r="A5988" s="43" t="s">
        <v>1059</v>
      </c>
      <c r="B5988" s="21" t="s">
        <v>1060</v>
      </c>
      <c r="C5988" s="21" t="s">
        <v>22655</v>
      </c>
      <c r="D5988" s="22">
        <v>46042</v>
      </c>
      <c r="E5988" s="23" t="s">
        <v>22656</v>
      </c>
      <c r="F5988" s="24" t="s">
        <v>22657</v>
      </c>
      <c r="G5988" s="25">
        <v>7</v>
      </c>
      <c r="H5988" s="26"/>
      <c r="I5988" s="27"/>
    </row>
    <row r="5989" spans="1:9" ht="15.75" thickBot="1" x14ac:dyDescent="0.3">
      <c r="A5989" s="43" t="s">
        <v>1617</v>
      </c>
      <c r="B5989" s="21" t="s">
        <v>1618</v>
      </c>
      <c r="C5989" s="21" t="s">
        <v>22655</v>
      </c>
      <c r="D5989" s="22">
        <v>46042</v>
      </c>
      <c r="E5989" s="23" t="s">
        <v>22656</v>
      </c>
      <c r="F5989" s="24" t="s">
        <v>22657</v>
      </c>
      <c r="G5989" s="25">
        <v>7</v>
      </c>
      <c r="H5989" s="29"/>
      <c r="I5989" s="30"/>
    </row>
    <row r="5990" spans="1:9" ht="15.75" thickBot="1" x14ac:dyDescent="0.3">
      <c r="A5990" s="43" t="s">
        <v>1361</v>
      </c>
      <c r="B5990" s="21" t="s">
        <v>1362</v>
      </c>
      <c r="C5990" s="21" t="s">
        <v>22655</v>
      </c>
      <c r="D5990" s="22">
        <v>46042</v>
      </c>
      <c r="E5990" s="23" t="s">
        <v>22656</v>
      </c>
      <c r="F5990" s="24" t="s">
        <v>22657</v>
      </c>
      <c r="G5990" s="25">
        <v>7</v>
      </c>
      <c r="H5990" s="26"/>
      <c r="I5990" s="27"/>
    </row>
    <row r="5991" spans="1:9" ht="15.75" thickBot="1" x14ac:dyDescent="0.3">
      <c r="A5991" s="43" t="s">
        <v>12835</v>
      </c>
      <c r="B5991" s="21" t="s">
        <v>12836</v>
      </c>
      <c r="C5991" s="21" t="s">
        <v>22655</v>
      </c>
      <c r="D5991" s="22">
        <v>46042</v>
      </c>
      <c r="E5991" s="23" t="s">
        <v>22656</v>
      </c>
      <c r="F5991" s="24" t="s">
        <v>22657</v>
      </c>
      <c r="G5991" s="25">
        <v>7</v>
      </c>
      <c r="H5991" s="29"/>
      <c r="I5991" s="30"/>
    </row>
    <row r="5992" spans="1:9" ht="15.75" thickBot="1" x14ac:dyDescent="0.3">
      <c r="A5992" s="43" t="s">
        <v>12837</v>
      </c>
      <c r="B5992" s="21" t="s">
        <v>12838</v>
      </c>
      <c r="C5992" s="21" t="s">
        <v>22655</v>
      </c>
      <c r="D5992" s="22">
        <v>46042</v>
      </c>
      <c r="E5992" s="23" t="s">
        <v>22661</v>
      </c>
      <c r="F5992" s="24" t="s">
        <v>22657</v>
      </c>
      <c r="G5992" s="25">
        <v>7</v>
      </c>
      <c r="H5992" s="26"/>
      <c r="I5992" s="27"/>
    </row>
    <row r="5993" spans="1:9" ht="15.75" thickBot="1" x14ac:dyDescent="0.3">
      <c r="A5993" s="43" t="s">
        <v>987</v>
      </c>
      <c r="B5993" s="21" t="s">
        <v>988</v>
      </c>
      <c r="C5993" s="21" t="s">
        <v>22655</v>
      </c>
      <c r="D5993" s="22">
        <v>46042</v>
      </c>
      <c r="E5993" s="23" t="s">
        <v>22661</v>
      </c>
      <c r="F5993" s="24" t="s">
        <v>22657</v>
      </c>
      <c r="G5993" s="25">
        <v>10</v>
      </c>
      <c r="H5993" s="32">
        <v>10</v>
      </c>
      <c r="I5993" s="33">
        <v>14</v>
      </c>
    </row>
    <row r="5994" spans="1:9" ht="15.75" thickBot="1" x14ac:dyDescent="0.3">
      <c r="A5994" s="43" t="s">
        <v>12839</v>
      </c>
      <c r="B5994" s="21" t="s">
        <v>12840</v>
      </c>
      <c r="C5994" s="21" t="s">
        <v>22655</v>
      </c>
      <c r="D5994" s="22">
        <v>46052</v>
      </c>
      <c r="E5994" s="23" t="s">
        <v>22661</v>
      </c>
      <c r="F5994" s="24" t="s">
        <v>22657</v>
      </c>
      <c r="G5994" s="25">
        <v>10</v>
      </c>
      <c r="H5994" s="26"/>
      <c r="I5994" s="27"/>
    </row>
    <row r="5995" spans="1:9" ht="15.75" thickBot="1" x14ac:dyDescent="0.3">
      <c r="A5995" s="43" t="s">
        <v>12841</v>
      </c>
      <c r="B5995" s="21" t="s">
        <v>12842</v>
      </c>
      <c r="C5995" s="21" t="s">
        <v>22655</v>
      </c>
      <c r="D5995" s="22">
        <v>46052</v>
      </c>
      <c r="E5995" s="23" t="s">
        <v>22656</v>
      </c>
      <c r="F5995" s="24" t="s">
        <v>22657</v>
      </c>
      <c r="G5995" s="25">
        <v>10</v>
      </c>
      <c r="H5995" s="29"/>
      <c r="I5995" s="30"/>
    </row>
    <row r="5996" spans="1:9" ht="15.75" thickBot="1" x14ac:dyDescent="0.3">
      <c r="A5996" s="43" t="s">
        <v>12843</v>
      </c>
      <c r="B5996" s="21" t="s">
        <v>12844</v>
      </c>
      <c r="C5996" s="21" t="s">
        <v>22655</v>
      </c>
      <c r="D5996" s="22">
        <v>46052</v>
      </c>
      <c r="E5996" s="23" t="s">
        <v>22661</v>
      </c>
      <c r="F5996" s="24" t="s">
        <v>22657</v>
      </c>
      <c r="G5996" s="25">
        <v>10</v>
      </c>
      <c r="H5996" s="26"/>
      <c r="I5996" s="27"/>
    </row>
    <row r="5997" spans="1:9" ht="15.75" thickBot="1" x14ac:dyDescent="0.3">
      <c r="A5997" s="43" t="s">
        <v>12845</v>
      </c>
      <c r="B5997" s="21" t="s">
        <v>12846</v>
      </c>
      <c r="C5997" s="21" t="s">
        <v>22655</v>
      </c>
      <c r="D5997" s="22">
        <v>46052</v>
      </c>
      <c r="E5997" s="23" t="s">
        <v>22656</v>
      </c>
      <c r="F5997" s="24" t="s">
        <v>22657</v>
      </c>
      <c r="G5997" s="25">
        <v>10</v>
      </c>
      <c r="H5997" s="29"/>
      <c r="I5997" s="30"/>
    </row>
    <row r="5998" spans="1:9" ht="15.75" thickBot="1" x14ac:dyDescent="0.3">
      <c r="A5998" s="43" t="s">
        <v>12847</v>
      </c>
      <c r="B5998" s="21" t="s">
        <v>12848</v>
      </c>
      <c r="C5998" s="21" t="s">
        <v>22655</v>
      </c>
      <c r="D5998" s="31" t="s">
        <v>22666</v>
      </c>
      <c r="E5998" s="23" t="s">
        <v>22661</v>
      </c>
      <c r="F5998" s="24" t="s">
        <v>22657</v>
      </c>
      <c r="G5998" s="25">
        <v>20</v>
      </c>
      <c r="H5998" s="26"/>
      <c r="I5998" s="27"/>
    </row>
    <row r="5999" spans="1:9" ht="15.75" thickBot="1" x14ac:dyDescent="0.3">
      <c r="A5999" s="43" t="s">
        <v>12849</v>
      </c>
      <c r="B5999" s="21" t="s">
        <v>12850</v>
      </c>
      <c r="C5999" s="21" t="s">
        <v>22655</v>
      </c>
      <c r="D5999" s="31" t="s">
        <v>22688</v>
      </c>
      <c r="E5999" s="23" t="s">
        <v>22661</v>
      </c>
      <c r="F5999" s="24" t="s">
        <v>22657</v>
      </c>
      <c r="G5999" s="25">
        <v>14</v>
      </c>
      <c r="H5999" s="29"/>
      <c r="I5999" s="30"/>
    </row>
    <row r="6000" spans="1:9" ht="15.75" thickBot="1" x14ac:dyDescent="0.3">
      <c r="A6000" s="43" t="s">
        <v>12851</v>
      </c>
      <c r="B6000" s="21" t="s">
        <v>12852</v>
      </c>
      <c r="C6000" s="21" t="s">
        <v>22655</v>
      </c>
      <c r="D6000" s="22">
        <v>46042</v>
      </c>
      <c r="E6000" s="23" t="s">
        <v>22658</v>
      </c>
      <c r="F6000" s="24" t="s">
        <v>22657</v>
      </c>
      <c r="G6000" s="25">
        <v>7</v>
      </c>
      <c r="H6000" s="26"/>
      <c r="I6000" s="27"/>
    </row>
    <row r="6001" spans="1:9" ht="15.75" thickBot="1" x14ac:dyDescent="0.3">
      <c r="A6001" s="43" t="s">
        <v>1667</v>
      </c>
      <c r="B6001" s="21" t="s">
        <v>1668</v>
      </c>
      <c r="C6001" s="21" t="s">
        <v>22655</v>
      </c>
      <c r="D6001" s="22">
        <v>46042</v>
      </c>
      <c r="E6001" s="23" t="s">
        <v>22661</v>
      </c>
      <c r="F6001" s="24" t="s">
        <v>22657</v>
      </c>
      <c r="G6001" s="25">
        <v>8</v>
      </c>
      <c r="H6001" s="29"/>
      <c r="I6001" s="30"/>
    </row>
    <row r="6002" spans="1:9" ht="15.75" thickBot="1" x14ac:dyDescent="0.3">
      <c r="A6002" s="43" t="s">
        <v>12853</v>
      </c>
      <c r="B6002" s="21" t="s">
        <v>12854</v>
      </c>
      <c r="C6002" s="21" t="s">
        <v>22655</v>
      </c>
      <c r="D6002" s="31" t="s">
        <v>22823</v>
      </c>
      <c r="E6002" s="23" t="s">
        <v>22656</v>
      </c>
      <c r="F6002" s="24" t="s">
        <v>22657</v>
      </c>
      <c r="G6002" s="25">
        <v>84</v>
      </c>
      <c r="H6002" s="26"/>
      <c r="I6002" s="27"/>
    </row>
    <row r="6003" spans="1:9" ht="15.75" thickBot="1" x14ac:dyDescent="0.3">
      <c r="A6003" s="43" t="s">
        <v>12855</v>
      </c>
      <c r="B6003" s="21" t="s">
        <v>12856</v>
      </c>
      <c r="C6003" s="21" t="s">
        <v>22655</v>
      </c>
      <c r="D6003" s="22">
        <v>46052</v>
      </c>
      <c r="E6003" s="23" t="s">
        <v>22656</v>
      </c>
      <c r="F6003" s="24" t="s">
        <v>22657</v>
      </c>
      <c r="G6003" s="25">
        <v>10</v>
      </c>
      <c r="H6003" s="29"/>
      <c r="I6003" s="30"/>
    </row>
    <row r="6004" spans="1:9" ht="15.75" thickBot="1" x14ac:dyDescent="0.3">
      <c r="A6004" s="43" t="s">
        <v>12857</v>
      </c>
      <c r="B6004" s="21" t="s">
        <v>12858</v>
      </c>
      <c r="C6004" s="21" t="s">
        <v>22655</v>
      </c>
      <c r="D6004" s="22">
        <v>46034</v>
      </c>
      <c r="E6004" s="23" t="s">
        <v>22658</v>
      </c>
      <c r="F6004" s="24" t="s">
        <v>22657</v>
      </c>
      <c r="G6004" s="25">
        <v>4</v>
      </c>
      <c r="H6004" s="26"/>
      <c r="I6004" s="27"/>
    </row>
    <row r="6005" spans="1:9" ht="15.75" thickBot="1" x14ac:dyDescent="0.3">
      <c r="A6005" s="43" t="s">
        <v>12859</v>
      </c>
      <c r="B6005" s="21" t="s">
        <v>12860</v>
      </c>
      <c r="C6005" s="21" t="s">
        <v>22655</v>
      </c>
      <c r="D6005" s="22">
        <v>46032</v>
      </c>
      <c r="E6005" s="23" t="s">
        <v>22658</v>
      </c>
      <c r="F6005" s="24" t="s">
        <v>22657</v>
      </c>
      <c r="G6005" s="25">
        <v>4</v>
      </c>
      <c r="H6005" s="29"/>
      <c r="I6005" s="30"/>
    </row>
    <row r="6006" spans="1:9" ht="15.75" thickBot="1" x14ac:dyDescent="0.3">
      <c r="A6006" s="43" t="s">
        <v>12861</v>
      </c>
      <c r="B6006" s="21" t="s">
        <v>12862</v>
      </c>
      <c r="C6006" s="21" t="s">
        <v>22655</v>
      </c>
      <c r="D6006" s="22">
        <v>46032</v>
      </c>
      <c r="E6006" s="23" t="s">
        <v>22658</v>
      </c>
      <c r="F6006" s="24" t="s">
        <v>22657</v>
      </c>
      <c r="G6006" s="25">
        <v>4</v>
      </c>
      <c r="H6006" s="26"/>
      <c r="I6006" s="27"/>
    </row>
    <row r="6007" spans="1:9" ht="15.75" thickBot="1" x14ac:dyDescent="0.3">
      <c r="A6007" s="43" t="s">
        <v>12863</v>
      </c>
      <c r="B6007" s="21" t="s">
        <v>12864</v>
      </c>
      <c r="C6007" s="21" t="s">
        <v>22655</v>
      </c>
      <c r="D6007" s="22">
        <v>46042</v>
      </c>
      <c r="E6007" s="23" t="s">
        <v>22658</v>
      </c>
      <c r="F6007" s="24" t="s">
        <v>22657</v>
      </c>
      <c r="G6007" s="25">
        <v>7</v>
      </c>
      <c r="H6007" s="29"/>
      <c r="I6007" s="30"/>
    </row>
    <row r="6008" spans="1:9" ht="15.75" thickBot="1" x14ac:dyDescent="0.3">
      <c r="A6008" s="43" t="s">
        <v>12865</v>
      </c>
      <c r="B6008" s="21" t="s">
        <v>12866</v>
      </c>
      <c r="C6008" s="21" t="s">
        <v>22655</v>
      </c>
      <c r="D6008" s="22">
        <v>46042</v>
      </c>
      <c r="E6008" s="23" t="s">
        <v>22658</v>
      </c>
      <c r="F6008" s="24" t="s">
        <v>22657</v>
      </c>
      <c r="G6008" s="25">
        <v>7</v>
      </c>
      <c r="H6008" s="26"/>
      <c r="I6008" s="27"/>
    </row>
    <row r="6009" spans="1:9" ht="15.75" thickBot="1" x14ac:dyDescent="0.3">
      <c r="A6009" s="43" t="s">
        <v>12867</v>
      </c>
      <c r="B6009" s="21" t="s">
        <v>12868</v>
      </c>
      <c r="C6009" s="21" t="s">
        <v>22655</v>
      </c>
      <c r="D6009" s="22">
        <v>46042</v>
      </c>
      <c r="E6009" s="23" t="s">
        <v>22658</v>
      </c>
      <c r="F6009" s="24" t="s">
        <v>22657</v>
      </c>
      <c r="G6009" s="25">
        <v>7</v>
      </c>
      <c r="H6009" s="29"/>
      <c r="I6009" s="30"/>
    </row>
    <row r="6010" spans="1:9" ht="15.75" thickBot="1" x14ac:dyDescent="0.3">
      <c r="A6010" s="43" t="s">
        <v>12869</v>
      </c>
      <c r="B6010" s="21" t="s">
        <v>12870</v>
      </c>
      <c r="C6010" s="21" t="s">
        <v>22655</v>
      </c>
      <c r="D6010" s="22">
        <v>46042</v>
      </c>
      <c r="E6010" s="23" t="s">
        <v>22656</v>
      </c>
      <c r="F6010" s="24" t="s">
        <v>22657</v>
      </c>
      <c r="G6010" s="25">
        <v>7</v>
      </c>
      <c r="H6010" s="26"/>
      <c r="I6010" s="27"/>
    </row>
    <row r="6011" spans="1:9" ht="15.75" thickBot="1" x14ac:dyDescent="0.3">
      <c r="A6011" s="43" t="s">
        <v>12871</v>
      </c>
      <c r="B6011" s="21" t="s">
        <v>12872</v>
      </c>
      <c r="C6011" s="21" t="s">
        <v>22655</v>
      </c>
      <c r="D6011" s="22">
        <v>46042</v>
      </c>
      <c r="E6011" s="23" t="s">
        <v>22658</v>
      </c>
      <c r="F6011" s="24" t="s">
        <v>22657</v>
      </c>
      <c r="G6011" s="25">
        <v>7</v>
      </c>
      <c r="H6011" s="29"/>
      <c r="I6011" s="30"/>
    </row>
    <row r="6012" spans="1:9" ht="15.75" thickBot="1" x14ac:dyDescent="0.3">
      <c r="A6012" s="43" t="s">
        <v>12873</v>
      </c>
      <c r="B6012" s="21" t="s">
        <v>12874</v>
      </c>
      <c r="C6012" s="21" t="s">
        <v>22672</v>
      </c>
      <c r="D6012" s="22">
        <v>46042</v>
      </c>
      <c r="E6012" s="23" t="s">
        <v>22658</v>
      </c>
      <c r="F6012" s="24" t="s">
        <v>22657</v>
      </c>
      <c r="G6012" s="25">
        <v>7</v>
      </c>
      <c r="H6012" s="26"/>
      <c r="I6012" s="27"/>
    </row>
    <row r="6013" spans="1:9" ht="15.75" thickBot="1" x14ac:dyDescent="0.3">
      <c r="A6013" s="43" t="s">
        <v>12875</v>
      </c>
      <c r="B6013" s="21" t="s">
        <v>12876</v>
      </c>
      <c r="C6013" s="21" t="s">
        <v>22655</v>
      </c>
      <c r="D6013" s="22">
        <v>46042</v>
      </c>
      <c r="E6013" s="23" t="s">
        <v>22658</v>
      </c>
      <c r="F6013" s="24" t="s">
        <v>22657</v>
      </c>
      <c r="G6013" s="25">
        <v>7</v>
      </c>
      <c r="H6013" s="29"/>
      <c r="I6013" s="30"/>
    </row>
    <row r="6014" spans="1:9" ht="15.75" thickBot="1" x14ac:dyDescent="0.3">
      <c r="A6014" s="43" t="s">
        <v>12877</v>
      </c>
      <c r="B6014" s="21" t="s">
        <v>12878</v>
      </c>
      <c r="C6014" s="21" t="s">
        <v>22655</v>
      </c>
      <c r="D6014" s="22">
        <v>46052</v>
      </c>
      <c r="E6014" s="23" t="s">
        <v>22656</v>
      </c>
      <c r="F6014" s="24" t="s">
        <v>22657</v>
      </c>
      <c r="G6014" s="25">
        <v>10</v>
      </c>
      <c r="H6014" s="26"/>
      <c r="I6014" s="27"/>
    </row>
    <row r="6015" spans="1:9" ht="15.75" thickBot="1" x14ac:dyDescent="0.3">
      <c r="A6015" s="43" t="s">
        <v>12879</v>
      </c>
      <c r="B6015" s="21" t="s">
        <v>12880</v>
      </c>
      <c r="C6015" s="21" t="s">
        <v>22655</v>
      </c>
      <c r="D6015" s="22">
        <v>46052</v>
      </c>
      <c r="E6015" s="23" t="s">
        <v>22656</v>
      </c>
      <c r="F6015" s="24" t="s">
        <v>22657</v>
      </c>
      <c r="G6015" s="25">
        <v>10</v>
      </c>
      <c r="H6015" s="29"/>
      <c r="I6015" s="30"/>
    </row>
    <row r="6016" spans="1:9" ht="15.75" thickBot="1" x14ac:dyDescent="0.3">
      <c r="A6016" s="43" t="s">
        <v>12881</v>
      </c>
      <c r="B6016" s="21" t="s">
        <v>12882</v>
      </c>
      <c r="C6016" s="21" t="s">
        <v>22655</v>
      </c>
      <c r="D6016" s="22">
        <v>46052</v>
      </c>
      <c r="E6016" s="23" t="s">
        <v>22656</v>
      </c>
      <c r="F6016" s="24" t="s">
        <v>22657</v>
      </c>
      <c r="G6016" s="25">
        <v>10</v>
      </c>
      <c r="H6016" s="26"/>
      <c r="I6016" s="27"/>
    </row>
    <row r="6017" spans="1:9" ht="15.75" thickBot="1" x14ac:dyDescent="0.3">
      <c r="A6017" s="43" t="s">
        <v>12883</v>
      </c>
      <c r="B6017" s="21" t="s">
        <v>12884</v>
      </c>
      <c r="C6017" s="21" t="s">
        <v>22655</v>
      </c>
      <c r="D6017" s="31" t="s">
        <v>22666</v>
      </c>
      <c r="E6017" s="23" t="s">
        <v>22656</v>
      </c>
      <c r="F6017" s="24" t="s">
        <v>22657</v>
      </c>
      <c r="G6017" s="25">
        <v>20</v>
      </c>
      <c r="H6017" s="29"/>
      <c r="I6017" s="30"/>
    </row>
    <row r="6018" spans="1:9" ht="15.75" thickBot="1" x14ac:dyDescent="0.3">
      <c r="A6018" s="43" t="s">
        <v>12885</v>
      </c>
      <c r="B6018" s="21" t="s">
        <v>12886</v>
      </c>
      <c r="C6018" s="21" t="s">
        <v>22655</v>
      </c>
      <c r="D6018" s="31" t="s">
        <v>22688</v>
      </c>
      <c r="E6018" s="23" t="s">
        <v>22658</v>
      </c>
      <c r="F6018" s="24" t="s">
        <v>22657</v>
      </c>
      <c r="G6018" s="25">
        <v>14</v>
      </c>
      <c r="H6018" s="26"/>
      <c r="I6018" s="27"/>
    </row>
    <row r="6019" spans="1:9" ht="15.75" thickBot="1" x14ac:dyDescent="0.3">
      <c r="A6019" s="43" t="s">
        <v>12887</v>
      </c>
      <c r="B6019" s="21" t="s">
        <v>12888</v>
      </c>
      <c r="C6019" s="21" t="s">
        <v>22655</v>
      </c>
      <c r="D6019" s="22">
        <v>46030</v>
      </c>
      <c r="E6019" s="23" t="s">
        <v>22656</v>
      </c>
      <c r="F6019" s="24" t="s">
        <v>22657</v>
      </c>
      <c r="G6019" s="25">
        <v>3</v>
      </c>
      <c r="H6019" s="29"/>
      <c r="I6019" s="30"/>
    </row>
    <row r="6020" spans="1:9" ht="15.75" thickBot="1" x14ac:dyDescent="0.3">
      <c r="A6020" s="43" t="s">
        <v>12889</v>
      </c>
      <c r="B6020" s="21" t="s">
        <v>12890</v>
      </c>
      <c r="C6020" s="21" t="s">
        <v>22655</v>
      </c>
      <c r="D6020" s="31" t="s">
        <v>22673</v>
      </c>
      <c r="E6020" s="23" t="s">
        <v>22658</v>
      </c>
      <c r="F6020" s="24" t="s">
        <v>22657</v>
      </c>
      <c r="G6020" s="25">
        <v>1</v>
      </c>
      <c r="H6020" s="26"/>
      <c r="I6020" s="27"/>
    </row>
    <row r="6021" spans="1:9" ht="15.75" thickBot="1" x14ac:dyDescent="0.3">
      <c r="A6021" s="43" t="s">
        <v>12891</v>
      </c>
      <c r="B6021" s="21" t="s">
        <v>12892</v>
      </c>
      <c r="C6021" s="21" t="s">
        <v>22655</v>
      </c>
      <c r="D6021" s="22">
        <v>46032</v>
      </c>
      <c r="E6021" s="23" t="s">
        <v>22658</v>
      </c>
      <c r="F6021" s="24" t="s">
        <v>22657</v>
      </c>
      <c r="G6021" s="25">
        <v>4</v>
      </c>
      <c r="H6021" s="29"/>
      <c r="I6021" s="30"/>
    </row>
    <row r="6022" spans="1:9" ht="15.75" thickBot="1" x14ac:dyDescent="0.3">
      <c r="A6022" s="43" t="s">
        <v>12893</v>
      </c>
      <c r="B6022" s="21" t="s">
        <v>12894</v>
      </c>
      <c r="C6022" s="21" t="s">
        <v>22663</v>
      </c>
      <c r="D6022" s="31">
        <v>1</v>
      </c>
      <c r="E6022" s="23" t="s">
        <v>22658</v>
      </c>
      <c r="F6022" s="24" t="s">
        <v>22657</v>
      </c>
      <c r="G6022" s="25">
        <v>1</v>
      </c>
      <c r="H6022" s="26"/>
      <c r="I6022" s="27"/>
    </row>
    <row r="6023" spans="1:9" ht="15.75" thickBot="1" x14ac:dyDescent="0.3">
      <c r="A6023" s="43" t="s">
        <v>12895</v>
      </c>
      <c r="B6023" s="21" t="s">
        <v>12896</v>
      </c>
      <c r="C6023" s="21" t="s">
        <v>22655</v>
      </c>
      <c r="D6023" s="22">
        <v>46042</v>
      </c>
      <c r="E6023" s="23" t="s">
        <v>22658</v>
      </c>
      <c r="F6023" s="24" t="s">
        <v>22657</v>
      </c>
      <c r="G6023" s="25">
        <v>7</v>
      </c>
      <c r="H6023" s="29"/>
      <c r="I6023" s="30"/>
    </row>
    <row r="6024" spans="1:9" ht="15.75" thickBot="1" x14ac:dyDescent="0.3">
      <c r="A6024" s="43" t="s">
        <v>12897</v>
      </c>
      <c r="B6024" s="21" t="s">
        <v>12898</v>
      </c>
      <c r="C6024" s="21" t="s">
        <v>22663</v>
      </c>
      <c r="D6024" s="31">
        <v>1</v>
      </c>
      <c r="E6024" s="23" t="s">
        <v>22658</v>
      </c>
      <c r="F6024" s="24" t="s">
        <v>22657</v>
      </c>
      <c r="G6024" s="25">
        <v>1</v>
      </c>
      <c r="H6024" s="26"/>
      <c r="I6024" s="27"/>
    </row>
    <row r="6025" spans="1:9" ht="15.75" thickBot="1" x14ac:dyDescent="0.3">
      <c r="A6025" s="43" t="s">
        <v>12899</v>
      </c>
      <c r="B6025" s="21" t="s">
        <v>12900</v>
      </c>
      <c r="C6025" s="21" t="s">
        <v>22663</v>
      </c>
      <c r="D6025" s="31">
        <v>1</v>
      </c>
      <c r="E6025" s="23" t="s">
        <v>22658</v>
      </c>
      <c r="F6025" s="24" t="s">
        <v>22657</v>
      </c>
      <c r="G6025" s="25">
        <v>1</v>
      </c>
      <c r="H6025" s="29"/>
      <c r="I6025" s="30"/>
    </row>
    <row r="6026" spans="1:9" ht="15.75" thickBot="1" x14ac:dyDescent="0.3">
      <c r="A6026" s="43" t="s">
        <v>12901</v>
      </c>
      <c r="B6026" s="21" t="s">
        <v>12902</v>
      </c>
      <c r="C6026" s="21" t="s">
        <v>22663</v>
      </c>
      <c r="D6026" s="31">
        <v>1</v>
      </c>
      <c r="E6026" s="23" t="s">
        <v>22658</v>
      </c>
      <c r="F6026" s="24" t="s">
        <v>22657</v>
      </c>
      <c r="G6026" s="25">
        <v>1</v>
      </c>
      <c r="H6026" s="26"/>
      <c r="I6026" s="27"/>
    </row>
    <row r="6027" spans="1:9" ht="15.75" thickBot="1" x14ac:dyDescent="0.3">
      <c r="A6027" s="43" t="s">
        <v>12903</v>
      </c>
      <c r="B6027" s="21" t="s">
        <v>12904</v>
      </c>
      <c r="C6027" s="21" t="s">
        <v>22663</v>
      </c>
      <c r="D6027" s="31">
        <v>1</v>
      </c>
      <c r="E6027" s="23" t="s">
        <v>22656</v>
      </c>
      <c r="F6027" s="24" t="s">
        <v>22657</v>
      </c>
      <c r="G6027" s="25">
        <v>2</v>
      </c>
      <c r="H6027" s="29"/>
      <c r="I6027" s="30"/>
    </row>
    <row r="6028" spans="1:9" ht="15.75" thickBot="1" x14ac:dyDescent="0.3">
      <c r="A6028" s="43" t="s">
        <v>12905</v>
      </c>
      <c r="B6028" s="21" t="s">
        <v>12906</v>
      </c>
      <c r="C6028" s="21" t="s">
        <v>22663</v>
      </c>
      <c r="D6028" s="31">
        <v>1</v>
      </c>
      <c r="E6028" s="23" t="s">
        <v>22658</v>
      </c>
      <c r="F6028" s="24" t="s">
        <v>22657</v>
      </c>
      <c r="G6028" s="25">
        <v>1</v>
      </c>
      <c r="H6028" s="26"/>
      <c r="I6028" s="27"/>
    </row>
    <row r="6029" spans="1:9" ht="15.75" thickBot="1" x14ac:dyDescent="0.3">
      <c r="A6029" s="43" t="s">
        <v>12907</v>
      </c>
      <c r="B6029" s="21" t="s">
        <v>12908</v>
      </c>
      <c r="C6029" s="21" t="s">
        <v>22663</v>
      </c>
      <c r="D6029" s="31">
        <v>1</v>
      </c>
      <c r="E6029" s="23" t="s">
        <v>22658</v>
      </c>
      <c r="F6029" s="24" t="s">
        <v>22657</v>
      </c>
      <c r="G6029" s="25">
        <v>4</v>
      </c>
      <c r="H6029" s="29"/>
      <c r="I6029" s="30"/>
    </row>
    <row r="6030" spans="1:9" ht="15.75" thickBot="1" x14ac:dyDescent="0.3">
      <c r="A6030" s="43" t="s">
        <v>12909</v>
      </c>
      <c r="B6030" s="21" t="s">
        <v>12910</v>
      </c>
      <c r="C6030" s="21" t="s">
        <v>22682</v>
      </c>
      <c r="D6030" s="22">
        <v>46034</v>
      </c>
      <c r="E6030" s="23" t="s">
        <v>22658</v>
      </c>
      <c r="F6030" s="24" t="s">
        <v>22657</v>
      </c>
      <c r="G6030" s="25">
        <v>4</v>
      </c>
      <c r="H6030" s="26"/>
      <c r="I6030" s="27"/>
    </row>
    <row r="6031" spans="1:9" ht="15.75" thickBot="1" x14ac:dyDescent="0.3">
      <c r="A6031" s="43" t="s">
        <v>12911</v>
      </c>
      <c r="B6031" s="21" t="s">
        <v>12912</v>
      </c>
      <c r="C6031" s="21" t="s">
        <v>22682</v>
      </c>
      <c r="D6031" s="22">
        <v>46034</v>
      </c>
      <c r="E6031" s="23" t="s">
        <v>22658</v>
      </c>
      <c r="F6031" s="24" t="s">
        <v>22657</v>
      </c>
      <c r="G6031" s="25">
        <v>4</v>
      </c>
      <c r="H6031" s="29"/>
      <c r="I6031" s="30"/>
    </row>
    <row r="6032" spans="1:9" ht="15.75" thickBot="1" x14ac:dyDescent="0.3">
      <c r="A6032" s="43" t="s">
        <v>12913</v>
      </c>
      <c r="B6032" s="21" t="s">
        <v>12914</v>
      </c>
      <c r="C6032" s="21" t="s">
        <v>22655</v>
      </c>
      <c r="D6032" s="22">
        <v>46032</v>
      </c>
      <c r="E6032" s="23" t="s">
        <v>22658</v>
      </c>
      <c r="F6032" s="24" t="s">
        <v>22657</v>
      </c>
      <c r="G6032" s="25">
        <v>4</v>
      </c>
      <c r="H6032" s="26"/>
      <c r="I6032" s="27"/>
    </row>
    <row r="6033" spans="1:9" ht="15.75" thickBot="1" x14ac:dyDescent="0.3">
      <c r="A6033" s="43" t="s">
        <v>12915</v>
      </c>
      <c r="B6033" s="21" t="s">
        <v>12916</v>
      </c>
      <c r="C6033" s="21" t="s">
        <v>22655</v>
      </c>
      <c r="D6033" s="22">
        <v>46032</v>
      </c>
      <c r="E6033" s="23" t="s">
        <v>22656</v>
      </c>
      <c r="F6033" s="24" t="s">
        <v>22657</v>
      </c>
      <c r="G6033" s="25">
        <v>4</v>
      </c>
      <c r="H6033" s="29"/>
      <c r="I6033" s="30"/>
    </row>
    <row r="6034" spans="1:9" ht="15.75" thickBot="1" x14ac:dyDescent="0.3">
      <c r="A6034" s="43" t="s">
        <v>12917</v>
      </c>
      <c r="B6034" s="21" t="s">
        <v>12918</v>
      </c>
      <c r="C6034" s="21" t="s">
        <v>22655</v>
      </c>
      <c r="D6034" s="22">
        <v>46028</v>
      </c>
      <c r="E6034" s="23" t="s">
        <v>22658</v>
      </c>
      <c r="F6034" s="24" t="s">
        <v>22657</v>
      </c>
      <c r="G6034" s="25">
        <v>2</v>
      </c>
      <c r="H6034" s="26"/>
      <c r="I6034" s="27"/>
    </row>
    <row r="6035" spans="1:9" ht="15.75" thickBot="1" x14ac:dyDescent="0.3">
      <c r="A6035" s="43" t="s">
        <v>12919</v>
      </c>
      <c r="B6035" s="21" t="s">
        <v>12920</v>
      </c>
      <c r="C6035" s="21" t="s">
        <v>22663</v>
      </c>
      <c r="D6035" s="31">
        <v>1</v>
      </c>
      <c r="E6035" s="23" t="s">
        <v>22658</v>
      </c>
      <c r="F6035" s="24" t="s">
        <v>22657</v>
      </c>
      <c r="G6035" s="25">
        <v>1</v>
      </c>
      <c r="H6035" s="29"/>
      <c r="I6035" s="30"/>
    </row>
    <row r="6036" spans="1:9" ht="15.75" thickBot="1" x14ac:dyDescent="0.3">
      <c r="A6036" s="43" t="s">
        <v>12921</v>
      </c>
      <c r="B6036" s="21" t="s">
        <v>12922</v>
      </c>
      <c r="C6036" s="21" t="s">
        <v>22655</v>
      </c>
      <c r="D6036" s="31" t="s">
        <v>22824</v>
      </c>
      <c r="E6036" s="23" t="s">
        <v>22658</v>
      </c>
      <c r="F6036" s="24" t="s">
        <v>22657</v>
      </c>
      <c r="G6036" s="25">
        <v>1</v>
      </c>
      <c r="H6036" s="26"/>
      <c r="I6036" s="27"/>
    </row>
    <row r="6037" spans="1:9" ht="15.75" thickBot="1" x14ac:dyDescent="0.3">
      <c r="A6037" s="43" t="s">
        <v>12923</v>
      </c>
      <c r="B6037" s="21" t="s">
        <v>12924</v>
      </c>
      <c r="C6037" s="21" t="s">
        <v>22655</v>
      </c>
      <c r="D6037" s="31" t="s">
        <v>22666</v>
      </c>
      <c r="E6037" s="23" t="s">
        <v>22658</v>
      </c>
      <c r="F6037" s="24" t="s">
        <v>22657</v>
      </c>
      <c r="G6037" s="25">
        <v>1</v>
      </c>
      <c r="H6037" s="29"/>
      <c r="I6037" s="30"/>
    </row>
    <row r="6038" spans="1:9" ht="15.75" thickBot="1" x14ac:dyDescent="0.3">
      <c r="A6038" s="43" t="s">
        <v>12925</v>
      </c>
      <c r="B6038" s="21" t="s">
        <v>12926</v>
      </c>
      <c r="C6038" s="21" t="s">
        <v>22663</v>
      </c>
      <c r="D6038" s="31">
        <v>1</v>
      </c>
      <c r="E6038" s="23" t="s">
        <v>22658</v>
      </c>
      <c r="F6038" s="24" t="s">
        <v>22657</v>
      </c>
      <c r="G6038" s="25">
        <v>1</v>
      </c>
      <c r="H6038" s="26"/>
      <c r="I6038" s="27"/>
    </row>
    <row r="6039" spans="1:9" ht="15.75" thickBot="1" x14ac:dyDescent="0.3">
      <c r="A6039" s="43" t="s">
        <v>12927</v>
      </c>
      <c r="B6039" s="21" t="s">
        <v>12928</v>
      </c>
      <c r="C6039" s="21" t="s">
        <v>22655</v>
      </c>
      <c r="D6039" s="22">
        <v>46052</v>
      </c>
      <c r="E6039" s="23" t="s">
        <v>22658</v>
      </c>
      <c r="F6039" s="24" t="s">
        <v>22657</v>
      </c>
      <c r="G6039" s="25">
        <v>10</v>
      </c>
      <c r="H6039" s="29"/>
      <c r="I6039" s="30"/>
    </row>
    <row r="6040" spans="1:9" ht="15.75" thickBot="1" x14ac:dyDescent="0.3">
      <c r="A6040" s="43" t="s">
        <v>1435</v>
      </c>
      <c r="B6040" s="21" t="s">
        <v>1436</v>
      </c>
      <c r="C6040" s="21" t="s">
        <v>22667</v>
      </c>
      <c r="D6040" s="31" t="s">
        <v>22761</v>
      </c>
      <c r="E6040" s="23" t="s">
        <v>22661</v>
      </c>
      <c r="F6040" s="24" t="s">
        <v>22657</v>
      </c>
      <c r="G6040" s="25">
        <v>200</v>
      </c>
      <c r="H6040" s="34">
        <v>200</v>
      </c>
      <c r="I6040" s="35">
        <v>400</v>
      </c>
    </row>
    <row r="6041" spans="1:9" ht="15.75" thickBot="1" x14ac:dyDescent="0.3">
      <c r="A6041" s="43" t="s">
        <v>12929</v>
      </c>
      <c r="B6041" s="21" t="s">
        <v>12930</v>
      </c>
      <c r="C6041" s="21" t="s">
        <v>22682</v>
      </c>
      <c r="D6041" s="22">
        <v>46034</v>
      </c>
      <c r="E6041" s="23" t="s">
        <v>22658</v>
      </c>
      <c r="F6041" s="24" t="s">
        <v>22657</v>
      </c>
      <c r="G6041" s="25">
        <v>4</v>
      </c>
      <c r="H6041" s="29"/>
      <c r="I6041" s="30"/>
    </row>
    <row r="6042" spans="1:9" ht="15.75" thickBot="1" x14ac:dyDescent="0.3">
      <c r="A6042" s="43" t="s">
        <v>12931</v>
      </c>
      <c r="B6042" s="21" t="s">
        <v>12932</v>
      </c>
      <c r="C6042" s="21" t="s">
        <v>22655</v>
      </c>
      <c r="D6042" s="31" t="s">
        <v>22660</v>
      </c>
      <c r="E6042" s="23" t="s">
        <v>22661</v>
      </c>
      <c r="F6042" s="24" t="s">
        <v>22657</v>
      </c>
      <c r="G6042" s="25">
        <v>12</v>
      </c>
      <c r="H6042" s="34">
        <v>12</v>
      </c>
      <c r="I6042" s="35">
        <v>24</v>
      </c>
    </row>
    <row r="6043" spans="1:9" ht="15.75" thickBot="1" x14ac:dyDescent="0.3">
      <c r="A6043" s="43" t="s">
        <v>1655</v>
      </c>
      <c r="B6043" s="21" t="s">
        <v>1656</v>
      </c>
      <c r="C6043" s="21" t="s">
        <v>22655</v>
      </c>
      <c r="D6043" s="22">
        <v>46046</v>
      </c>
      <c r="E6043" s="23" t="s">
        <v>22656</v>
      </c>
      <c r="F6043" s="24" t="s">
        <v>22657</v>
      </c>
      <c r="G6043" s="25">
        <v>6</v>
      </c>
      <c r="H6043" s="32">
        <v>6</v>
      </c>
      <c r="I6043" s="33">
        <v>12</v>
      </c>
    </row>
    <row r="6044" spans="1:9" ht="15.75" thickBot="1" x14ac:dyDescent="0.3">
      <c r="A6044" s="43" t="s">
        <v>12933</v>
      </c>
      <c r="B6044" s="21" t="s">
        <v>12934</v>
      </c>
      <c r="C6044" s="21" t="s">
        <v>22655</v>
      </c>
      <c r="D6044" s="22">
        <v>46046</v>
      </c>
      <c r="E6044" s="23" t="s">
        <v>22656</v>
      </c>
      <c r="F6044" s="24" t="s">
        <v>22657</v>
      </c>
      <c r="G6044" s="25">
        <v>4</v>
      </c>
      <c r="H6044" s="26"/>
      <c r="I6044" s="27"/>
    </row>
    <row r="6045" spans="1:9" ht="15.75" thickBot="1" x14ac:dyDescent="0.3">
      <c r="A6045" s="43" t="s">
        <v>12935</v>
      </c>
      <c r="B6045" s="21" t="s">
        <v>22580</v>
      </c>
      <c r="C6045" s="21" t="s">
        <v>22655</v>
      </c>
      <c r="D6045" s="22">
        <v>46034</v>
      </c>
      <c r="E6045" s="23" t="s">
        <v>22656</v>
      </c>
      <c r="F6045" s="24" t="s">
        <v>22657</v>
      </c>
      <c r="G6045" s="25">
        <v>4</v>
      </c>
      <c r="H6045" s="29"/>
      <c r="I6045" s="30"/>
    </row>
    <row r="6046" spans="1:9" ht="15.75" thickBot="1" x14ac:dyDescent="0.3">
      <c r="A6046" s="43" t="s">
        <v>417</v>
      </c>
      <c r="B6046" s="21" t="s">
        <v>418</v>
      </c>
      <c r="C6046" s="21" t="s">
        <v>22655</v>
      </c>
      <c r="D6046" s="22">
        <v>46034</v>
      </c>
      <c r="E6046" s="23" t="s">
        <v>22656</v>
      </c>
      <c r="F6046" s="24" t="s">
        <v>22657</v>
      </c>
      <c r="G6046" s="25">
        <v>6</v>
      </c>
      <c r="H6046" s="26"/>
      <c r="I6046" s="27"/>
    </row>
    <row r="6047" spans="1:9" ht="15.75" thickBot="1" x14ac:dyDescent="0.3">
      <c r="A6047" s="43" t="s">
        <v>12937</v>
      </c>
      <c r="B6047" s="21" t="s">
        <v>12938</v>
      </c>
      <c r="C6047" s="21" t="s">
        <v>22655</v>
      </c>
      <c r="D6047" s="31" t="s">
        <v>22673</v>
      </c>
      <c r="E6047" s="23" t="s">
        <v>22656</v>
      </c>
      <c r="F6047" s="24" t="s">
        <v>22657</v>
      </c>
      <c r="G6047" s="25">
        <v>9</v>
      </c>
      <c r="H6047" s="29"/>
      <c r="I6047" s="30"/>
    </row>
    <row r="6048" spans="1:9" ht="15.75" thickBot="1" x14ac:dyDescent="0.3">
      <c r="A6048" s="43" t="s">
        <v>1569</v>
      </c>
      <c r="B6048" s="21" t="s">
        <v>1570</v>
      </c>
      <c r="C6048" s="21" t="s">
        <v>22655</v>
      </c>
      <c r="D6048" s="22">
        <v>46046</v>
      </c>
      <c r="E6048" s="23" t="s">
        <v>22665</v>
      </c>
      <c r="F6048" s="24" t="s">
        <v>22657</v>
      </c>
      <c r="G6048" s="25">
        <v>14</v>
      </c>
      <c r="H6048" s="34">
        <v>14</v>
      </c>
      <c r="I6048" s="35">
        <v>16</v>
      </c>
    </row>
    <row r="6049" spans="1:9" ht="15.75" thickBot="1" x14ac:dyDescent="0.3">
      <c r="A6049" s="43" t="s">
        <v>12939</v>
      </c>
      <c r="B6049" s="21" t="s">
        <v>12940</v>
      </c>
      <c r="C6049" s="21" t="s">
        <v>22655</v>
      </c>
      <c r="D6049" s="31" t="s">
        <v>22660</v>
      </c>
      <c r="E6049" s="23" t="s">
        <v>22658</v>
      </c>
      <c r="F6049" s="24" t="s">
        <v>22657</v>
      </c>
      <c r="G6049" s="25">
        <v>4</v>
      </c>
      <c r="H6049" s="29"/>
      <c r="I6049" s="30"/>
    </row>
    <row r="6050" spans="1:9" ht="15.75" thickBot="1" x14ac:dyDescent="0.3">
      <c r="A6050" s="43" t="s">
        <v>623</v>
      </c>
      <c r="B6050" s="21" t="s">
        <v>624</v>
      </c>
      <c r="C6050" s="21" t="s">
        <v>22655</v>
      </c>
      <c r="D6050" s="22">
        <v>46046</v>
      </c>
      <c r="E6050" s="23" t="s">
        <v>22661</v>
      </c>
      <c r="F6050" s="24" t="s">
        <v>22657</v>
      </c>
      <c r="G6050" s="25">
        <v>12</v>
      </c>
      <c r="H6050" s="34">
        <v>12</v>
      </c>
      <c r="I6050" s="35">
        <v>24</v>
      </c>
    </row>
    <row r="6051" spans="1:9" ht="15.75" thickBot="1" x14ac:dyDescent="0.3">
      <c r="A6051" s="43" t="s">
        <v>12941</v>
      </c>
      <c r="B6051" s="21" t="s">
        <v>12942</v>
      </c>
      <c r="C6051" s="21" t="s">
        <v>22655</v>
      </c>
      <c r="D6051" s="31" t="s">
        <v>22660</v>
      </c>
      <c r="E6051" s="23" t="s">
        <v>22661</v>
      </c>
      <c r="F6051" s="24" t="s">
        <v>22657</v>
      </c>
      <c r="G6051" s="25">
        <v>28</v>
      </c>
      <c r="H6051" s="29"/>
      <c r="I6051" s="30"/>
    </row>
    <row r="6052" spans="1:9" ht="15.75" thickBot="1" x14ac:dyDescent="0.3">
      <c r="A6052" s="43" t="s">
        <v>12943</v>
      </c>
      <c r="B6052" s="21" t="s">
        <v>12944</v>
      </c>
      <c r="C6052" s="21" t="s">
        <v>22655</v>
      </c>
      <c r="D6052" s="31" t="s">
        <v>22660</v>
      </c>
      <c r="E6052" s="23" t="s">
        <v>22658</v>
      </c>
      <c r="F6052" s="24" t="s">
        <v>22657</v>
      </c>
      <c r="G6052" s="25">
        <v>8</v>
      </c>
      <c r="H6052" s="26"/>
      <c r="I6052" s="27"/>
    </row>
    <row r="6053" spans="1:9" ht="15.75" thickBot="1" x14ac:dyDescent="0.3">
      <c r="A6053" s="43" t="s">
        <v>12945</v>
      </c>
      <c r="B6053" s="21" t="s">
        <v>12946</v>
      </c>
      <c r="C6053" s="21" t="s">
        <v>22655</v>
      </c>
      <c r="D6053" s="31" t="s">
        <v>22660</v>
      </c>
      <c r="E6053" s="23" t="s">
        <v>22656</v>
      </c>
      <c r="F6053" s="24" t="s">
        <v>22657</v>
      </c>
      <c r="G6053" s="25">
        <v>18</v>
      </c>
      <c r="H6053" s="29"/>
      <c r="I6053" s="30"/>
    </row>
    <row r="6054" spans="1:9" ht="15.75" thickBot="1" x14ac:dyDescent="0.3">
      <c r="A6054" s="43" t="s">
        <v>12947</v>
      </c>
      <c r="B6054" s="21" t="s">
        <v>12948</v>
      </c>
      <c r="C6054" s="21" t="s">
        <v>22655</v>
      </c>
      <c r="D6054" s="31" t="s">
        <v>22660</v>
      </c>
      <c r="E6054" s="23" t="s">
        <v>22656</v>
      </c>
      <c r="F6054" s="24" t="s">
        <v>22657</v>
      </c>
      <c r="G6054" s="25">
        <v>16</v>
      </c>
      <c r="H6054" s="26"/>
      <c r="I6054" s="27"/>
    </row>
    <row r="6055" spans="1:9" ht="15.75" thickBot="1" x14ac:dyDescent="0.3">
      <c r="A6055" s="43" t="s">
        <v>12949</v>
      </c>
      <c r="B6055" s="21" t="s">
        <v>12950</v>
      </c>
      <c r="C6055" s="21" t="s">
        <v>22655</v>
      </c>
      <c r="D6055" s="22">
        <v>46046</v>
      </c>
      <c r="E6055" s="23" t="s">
        <v>22656</v>
      </c>
      <c r="F6055" s="24" t="s">
        <v>22657</v>
      </c>
      <c r="G6055" s="25">
        <v>8</v>
      </c>
      <c r="H6055" s="29"/>
      <c r="I6055" s="30"/>
    </row>
    <row r="6056" spans="1:9" ht="15.75" thickBot="1" x14ac:dyDescent="0.3">
      <c r="A6056" s="43" t="s">
        <v>1129</v>
      </c>
      <c r="B6056" s="21" t="s">
        <v>1130</v>
      </c>
      <c r="C6056" s="21" t="s">
        <v>22655</v>
      </c>
      <c r="D6056" s="22">
        <v>46042</v>
      </c>
      <c r="E6056" s="23" t="s">
        <v>22665</v>
      </c>
      <c r="F6056" s="24" t="s">
        <v>22657</v>
      </c>
      <c r="G6056" s="25">
        <v>72</v>
      </c>
      <c r="H6056" s="34">
        <v>72</v>
      </c>
      <c r="I6056" s="35">
        <v>120</v>
      </c>
    </row>
    <row r="6057" spans="1:9" ht="15.75" thickBot="1" x14ac:dyDescent="0.3">
      <c r="A6057" s="43" t="s">
        <v>1127</v>
      </c>
      <c r="B6057" s="21" t="s">
        <v>1128</v>
      </c>
      <c r="C6057" s="21" t="s">
        <v>22655</v>
      </c>
      <c r="D6057" s="22">
        <v>46030</v>
      </c>
      <c r="E6057" s="23" t="s">
        <v>22662</v>
      </c>
      <c r="F6057" s="24" t="s">
        <v>22657</v>
      </c>
      <c r="G6057" s="25">
        <v>40</v>
      </c>
      <c r="H6057" s="32">
        <v>40</v>
      </c>
      <c r="I6057" s="33">
        <v>80</v>
      </c>
    </row>
    <row r="6058" spans="1:9" ht="15.75" thickBot="1" x14ac:dyDescent="0.3">
      <c r="A6058" s="43" t="s">
        <v>12951</v>
      </c>
      <c r="B6058" s="21" t="s">
        <v>12952</v>
      </c>
      <c r="C6058" s="21" t="s">
        <v>22655</v>
      </c>
      <c r="D6058" s="22">
        <v>46042</v>
      </c>
      <c r="E6058" s="23" t="s">
        <v>22656</v>
      </c>
      <c r="F6058" s="24" t="s">
        <v>22657</v>
      </c>
      <c r="G6058" s="25">
        <v>7</v>
      </c>
      <c r="H6058" s="26"/>
      <c r="I6058" s="27"/>
    </row>
    <row r="6059" spans="1:9" ht="15.75" thickBot="1" x14ac:dyDescent="0.3">
      <c r="A6059" s="43" t="s">
        <v>295</v>
      </c>
      <c r="B6059" s="21" t="s">
        <v>296</v>
      </c>
      <c r="C6059" s="21" t="s">
        <v>22655</v>
      </c>
      <c r="D6059" s="22">
        <v>46034</v>
      </c>
      <c r="E6059" s="23" t="s">
        <v>22656</v>
      </c>
      <c r="F6059" s="24" t="s">
        <v>22657</v>
      </c>
      <c r="G6059" s="25">
        <v>12</v>
      </c>
      <c r="H6059" s="32">
        <v>12</v>
      </c>
      <c r="I6059" s="33">
        <v>36</v>
      </c>
    </row>
    <row r="6060" spans="1:9" ht="15.75" thickBot="1" x14ac:dyDescent="0.3">
      <c r="A6060" s="43" t="s">
        <v>713</v>
      </c>
      <c r="B6060" s="21" t="s">
        <v>714</v>
      </c>
      <c r="C6060" s="21" t="s">
        <v>22655</v>
      </c>
      <c r="D6060" s="22">
        <v>46034</v>
      </c>
      <c r="E6060" s="23" t="s">
        <v>22661</v>
      </c>
      <c r="F6060" s="24" t="s">
        <v>22657</v>
      </c>
      <c r="G6060" s="25">
        <v>36</v>
      </c>
      <c r="H6060" s="34">
        <v>36</v>
      </c>
      <c r="I6060" s="35">
        <v>60</v>
      </c>
    </row>
    <row r="6061" spans="1:9" ht="15.75" thickBot="1" x14ac:dyDescent="0.3">
      <c r="A6061" s="43" t="s">
        <v>12953</v>
      </c>
      <c r="B6061" s="21" t="s">
        <v>12954</v>
      </c>
      <c r="C6061" s="21" t="s">
        <v>22655</v>
      </c>
      <c r="D6061" s="22">
        <v>46034</v>
      </c>
      <c r="E6061" s="23" t="s">
        <v>22656</v>
      </c>
      <c r="F6061" s="24" t="s">
        <v>22657</v>
      </c>
      <c r="G6061" s="25">
        <v>10</v>
      </c>
      <c r="H6061" s="29"/>
      <c r="I6061" s="30"/>
    </row>
    <row r="6062" spans="1:9" ht="15.75" thickBot="1" x14ac:dyDescent="0.3">
      <c r="A6062" s="43" t="s">
        <v>12955</v>
      </c>
      <c r="B6062" s="21" t="s">
        <v>12956</v>
      </c>
      <c r="C6062" s="21" t="s">
        <v>22655</v>
      </c>
      <c r="D6062" s="22">
        <v>46042</v>
      </c>
      <c r="E6062" s="23" t="s">
        <v>22661</v>
      </c>
      <c r="F6062" s="24" t="s">
        <v>22657</v>
      </c>
      <c r="G6062" s="25">
        <v>7</v>
      </c>
      <c r="H6062" s="26"/>
      <c r="I6062" s="27"/>
    </row>
    <row r="6063" spans="1:9" ht="15.75" thickBot="1" x14ac:dyDescent="0.3">
      <c r="A6063" s="43" t="s">
        <v>12957</v>
      </c>
      <c r="B6063" s="21" t="s">
        <v>12958</v>
      </c>
      <c r="C6063" s="21" t="s">
        <v>22655</v>
      </c>
      <c r="D6063" s="22">
        <v>46042</v>
      </c>
      <c r="E6063" s="23" t="s">
        <v>22661</v>
      </c>
      <c r="F6063" s="24" t="s">
        <v>22657</v>
      </c>
      <c r="G6063" s="25">
        <v>7</v>
      </c>
      <c r="H6063" s="29"/>
      <c r="I6063" s="30"/>
    </row>
    <row r="6064" spans="1:9" ht="15.75" thickBot="1" x14ac:dyDescent="0.3">
      <c r="A6064" s="43" t="s">
        <v>1695</v>
      </c>
      <c r="B6064" s="21" t="s">
        <v>1696</v>
      </c>
      <c r="C6064" s="21" t="s">
        <v>22655</v>
      </c>
      <c r="D6064" s="22">
        <v>46034</v>
      </c>
      <c r="E6064" s="23" t="s">
        <v>22656</v>
      </c>
      <c r="F6064" s="24" t="s">
        <v>22657</v>
      </c>
      <c r="G6064" s="25">
        <v>4</v>
      </c>
      <c r="H6064" s="26"/>
      <c r="I6064" s="27"/>
    </row>
    <row r="6065" spans="1:9" ht="15.75" thickBot="1" x14ac:dyDescent="0.3">
      <c r="A6065" s="43" t="s">
        <v>1888</v>
      </c>
      <c r="B6065" s="21" t="s">
        <v>1889</v>
      </c>
      <c r="C6065" s="21" t="s">
        <v>22655</v>
      </c>
      <c r="D6065" s="22">
        <v>46034</v>
      </c>
      <c r="E6065" s="23" t="s">
        <v>22656</v>
      </c>
      <c r="F6065" s="24" t="s">
        <v>22657</v>
      </c>
      <c r="G6065" s="25">
        <v>6</v>
      </c>
      <c r="H6065" s="32">
        <v>6</v>
      </c>
      <c r="I6065" s="33">
        <v>12</v>
      </c>
    </row>
    <row r="6066" spans="1:9" ht="15.75" thickBot="1" x14ac:dyDescent="0.3">
      <c r="A6066" s="43" t="s">
        <v>1992</v>
      </c>
      <c r="B6066" s="21" t="s">
        <v>12959</v>
      </c>
      <c r="C6066" s="21" t="s">
        <v>22655</v>
      </c>
      <c r="D6066" s="22">
        <v>46034</v>
      </c>
      <c r="E6066" s="23" t="s">
        <v>22656</v>
      </c>
      <c r="F6066" s="24" t="s">
        <v>22657</v>
      </c>
      <c r="G6066" s="25">
        <v>6</v>
      </c>
      <c r="H6066" s="34">
        <v>6</v>
      </c>
      <c r="I6066" s="35">
        <v>12</v>
      </c>
    </row>
    <row r="6067" spans="1:9" ht="15.75" thickBot="1" x14ac:dyDescent="0.3">
      <c r="A6067" s="43" t="s">
        <v>1567</v>
      </c>
      <c r="B6067" s="21" t="s">
        <v>1568</v>
      </c>
      <c r="C6067" s="21" t="s">
        <v>22780</v>
      </c>
      <c r="D6067" s="22">
        <v>46042</v>
      </c>
      <c r="E6067" s="23" t="s">
        <v>22661</v>
      </c>
      <c r="F6067" s="24" t="s">
        <v>22657</v>
      </c>
      <c r="G6067" s="25">
        <v>8</v>
      </c>
      <c r="H6067" s="32">
        <v>8</v>
      </c>
      <c r="I6067" s="33">
        <v>10</v>
      </c>
    </row>
    <row r="6068" spans="1:9" ht="15.75" thickBot="1" x14ac:dyDescent="0.3">
      <c r="A6068" s="43" t="s">
        <v>12960</v>
      </c>
      <c r="B6068" s="21" t="s">
        <v>12961</v>
      </c>
      <c r="C6068" s="21" t="s">
        <v>22655</v>
      </c>
      <c r="D6068" s="22">
        <v>46046</v>
      </c>
      <c r="E6068" s="23" t="s">
        <v>22656</v>
      </c>
      <c r="F6068" s="24" t="s">
        <v>22657</v>
      </c>
      <c r="G6068" s="25">
        <v>8</v>
      </c>
      <c r="H6068" s="26"/>
      <c r="I6068" s="27"/>
    </row>
    <row r="6069" spans="1:9" ht="15.75" thickBot="1" x14ac:dyDescent="0.3">
      <c r="A6069" s="43" t="s">
        <v>12962</v>
      </c>
      <c r="B6069" s="21" t="s">
        <v>12963</v>
      </c>
      <c r="C6069" s="21" t="s">
        <v>22655</v>
      </c>
      <c r="D6069" s="22">
        <v>46034</v>
      </c>
      <c r="E6069" s="23" t="s">
        <v>22656</v>
      </c>
      <c r="F6069" s="24" t="s">
        <v>22657</v>
      </c>
      <c r="G6069" s="25">
        <v>2</v>
      </c>
      <c r="H6069" s="32">
        <v>2</v>
      </c>
      <c r="I6069" s="33">
        <v>4</v>
      </c>
    </row>
    <row r="6070" spans="1:9" ht="15.75" thickBot="1" x14ac:dyDescent="0.3">
      <c r="A6070" s="43" t="s">
        <v>12964</v>
      </c>
      <c r="B6070" s="21" t="s">
        <v>12965</v>
      </c>
      <c r="C6070" s="21" t="s">
        <v>22655</v>
      </c>
      <c r="D6070" s="22">
        <v>46038</v>
      </c>
      <c r="E6070" s="23" t="s">
        <v>22656</v>
      </c>
      <c r="F6070" s="24" t="s">
        <v>22657</v>
      </c>
      <c r="G6070" s="25">
        <v>3</v>
      </c>
      <c r="H6070" s="34">
        <v>3</v>
      </c>
      <c r="I6070" s="35">
        <v>6</v>
      </c>
    </row>
    <row r="6071" spans="1:9" ht="15.75" thickBot="1" x14ac:dyDescent="0.3">
      <c r="A6071" s="43" t="s">
        <v>12966</v>
      </c>
      <c r="B6071" s="21" t="s">
        <v>12967</v>
      </c>
      <c r="C6071" s="21" t="s">
        <v>22655</v>
      </c>
      <c r="D6071" s="22">
        <v>46034</v>
      </c>
      <c r="E6071" s="23" t="s">
        <v>22656</v>
      </c>
      <c r="F6071" s="24" t="s">
        <v>22657</v>
      </c>
      <c r="G6071" s="25">
        <v>4</v>
      </c>
      <c r="H6071" s="29"/>
      <c r="I6071" s="30"/>
    </row>
    <row r="6072" spans="1:9" ht="15.75" thickBot="1" x14ac:dyDescent="0.3">
      <c r="A6072" s="43" t="s">
        <v>1681</v>
      </c>
      <c r="B6072" s="21" t="s">
        <v>1682</v>
      </c>
      <c r="C6072" s="21" t="s">
        <v>22655</v>
      </c>
      <c r="D6072" s="22">
        <v>46034</v>
      </c>
      <c r="E6072" s="23" t="s">
        <v>22656</v>
      </c>
      <c r="F6072" s="24" t="s">
        <v>22657</v>
      </c>
      <c r="G6072" s="25">
        <v>4</v>
      </c>
      <c r="H6072" s="26"/>
      <c r="I6072" s="27"/>
    </row>
    <row r="6073" spans="1:9" ht="15.75" thickBot="1" x14ac:dyDescent="0.3">
      <c r="A6073" s="43" t="s">
        <v>787</v>
      </c>
      <c r="B6073" s="21" t="s">
        <v>788</v>
      </c>
      <c r="C6073" s="21" t="s">
        <v>22655</v>
      </c>
      <c r="D6073" s="22">
        <v>46034</v>
      </c>
      <c r="E6073" s="23" t="s">
        <v>22656</v>
      </c>
      <c r="F6073" s="24" t="s">
        <v>22657</v>
      </c>
      <c r="G6073" s="25">
        <v>2</v>
      </c>
      <c r="H6073" s="32">
        <v>2</v>
      </c>
      <c r="I6073" s="33">
        <v>4</v>
      </c>
    </row>
    <row r="6074" spans="1:9" ht="15.75" thickBot="1" x14ac:dyDescent="0.3">
      <c r="A6074" s="43" t="s">
        <v>12968</v>
      </c>
      <c r="B6074" s="21" t="s">
        <v>12969</v>
      </c>
      <c r="C6074" s="21" t="s">
        <v>22655</v>
      </c>
      <c r="D6074" s="22">
        <v>46034</v>
      </c>
      <c r="E6074" s="23" t="s">
        <v>22656</v>
      </c>
      <c r="F6074" s="24" t="s">
        <v>22657</v>
      </c>
      <c r="G6074" s="25">
        <v>4</v>
      </c>
      <c r="H6074" s="26"/>
      <c r="I6074" s="27"/>
    </row>
    <row r="6075" spans="1:9" ht="15.75" thickBot="1" x14ac:dyDescent="0.3">
      <c r="A6075" s="43" t="s">
        <v>12970</v>
      </c>
      <c r="B6075" s="21" t="s">
        <v>12971</v>
      </c>
      <c r="C6075" s="21" t="s">
        <v>22655</v>
      </c>
      <c r="D6075" s="22">
        <v>46040</v>
      </c>
      <c r="E6075" s="23" t="s">
        <v>22656</v>
      </c>
      <c r="F6075" s="24" t="s">
        <v>22657</v>
      </c>
      <c r="G6075" s="25">
        <v>6</v>
      </c>
      <c r="H6075" s="29"/>
      <c r="I6075" s="30"/>
    </row>
    <row r="6076" spans="1:9" ht="15.75" thickBot="1" x14ac:dyDescent="0.3">
      <c r="A6076" s="43" t="s">
        <v>12972</v>
      </c>
      <c r="B6076" s="21" t="s">
        <v>12973</v>
      </c>
      <c r="C6076" s="21" t="s">
        <v>22663</v>
      </c>
      <c r="D6076" s="31">
        <v>1</v>
      </c>
      <c r="E6076" s="23" t="s">
        <v>22656</v>
      </c>
      <c r="F6076" s="24" t="s">
        <v>22657</v>
      </c>
      <c r="G6076" s="25">
        <v>4</v>
      </c>
      <c r="H6076" s="26"/>
      <c r="I6076" s="27"/>
    </row>
    <row r="6077" spans="1:9" ht="15.75" thickBot="1" x14ac:dyDescent="0.3">
      <c r="A6077" s="43" t="s">
        <v>12974</v>
      </c>
      <c r="B6077" s="21" t="s">
        <v>12975</v>
      </c>
      <c r="C6077" s="21" t="s">
        <v>22663</v>
      </c>
      <c r="D6077" s="31">
        <v>1</v>
      </c>
      <c r="E6077" s="23" t="s">
        <v>22656</v>
      </c>
      <c r="F6077" s="24" t="s">
        <v>22657</v>
      </c>
      <c r="G6077" s="25">
        <v>4</v>
      </c>
      <c r="H6077" s="29"/>
      <c r="I6077" s="30"/>
    </row>
    <row r="6078" spans="1:9" ht="15.75" thickBot="1" x14ac:dyDescent="0.3">
      <c r="A6078" s="43" t="s">
        <v>12976</v>
      </c>
      <c r="B6078" s="21" t="s">
        <v>12977</v>
      </c>
      <c r="C6078" s="21" t="s">
        <v>22663</v>
      </c>
      <c r="D6078" s="31">
        <v>1</v>
      </c>
      <c r="E6078" s="23" t="s">
        <v>22656</v>
      </c>
      <c r="F6078" s="24" t="s">
        <v>22657</v>
      </c>
      <c r="G6078" s="25">
        <v>4</v>
      </c>
      <c r="H6078" s="26"/>
      <c r="I6078" s="27"/>
    </row>
    <row r="6079" spans="1:9" ht="15.75" thickBot="1" x14ac:dyDescent="0.3">
      <c r="A6079" s="43" t="s">
        <v>12978</v>
      </c>
      <c r="B6079" s="21" t="s">
        <v>12979</v>
      </c>
      <c r="C6079" s="21" t="s">
        <v>22663</v>
      </c>
      <c r="D6079" s="31">
        <v>1</v>
      </c>
      <c r="E6079" s="23" t="s">
        <v>22656</v>
      </c>
      <c r="F6079" s="24" t="s">
        <v>22657</v>
      </c>
      <c r="G6079" s="25">
        <v>4</v>
      </c>
      <c r="H6079" s="29"/>
      <c r="I6079" s="30"/>
    </row>
    <row r="6080" spans="1:9" ht="15.75" thickBot="1" x14ac:dyDescent="0.3">
      <c r="A6080" s="43" t="s">
        <v>1886</v>
      </c>
      <c r="B6080" s="21" t="s">
        <v>1887</v>
      </c>
      <c r="C6080" s="21" t="s">
        <v>22663</v>
      </c>
      <c r="D6080" s="31">
        <v>1</v>
      </c>
      <c r="E6080" s="23" t="s">
        <v>22661</v>
      </c>
      <c r="F6080" s="24" t="s">
        <v>22657</v>
      </c>
      <c r="G6080" s="25">
        <v>6</v>
      </c>
      <c r="H6080" s="26"/>
      <c r="I6080" s="27"/>
    </row>
    <row r="6081" spans="1:9" ht="15.75" thickBot="1" x14ac:dyDescent="0.3">
      <c r="A6081" s="43" t="s">
        <v>12980</v>
      </c>
      <c r="B6081" s="21" t="s">
        <v>12981</v>
      </c>
      <c r="C6081" s="21" t="s">
        <v>22682</v>
      </c>
      <c r="D6081" s="22">
        <v>46034</v>
      </c>
      <c r="E6081" s="23" t="s">
        <v>22658</v>
      </c>
      <c r="F6081" s="24" t="s">
        <v>22657</v>
      </c>
      <c r="G6081" s="25">
        <v>4</v>
      </c>
      <c r="H6081" s="29"/>
      <c r="I6081" s="30"/>
    </row>
    <row r="6082" spans="1:9" ht="15.75" thickBot="1" x14ac:dyDescent="0.3">
      <c r="A6082" s="43" t="s">
        <v>12982</v>
      </c>
      <c r="B6082" s="21" t="s">
        <v>12983</v>
      </c>
      <c r="C6082" s="21" t="s">
        <v>22667</v>
      </c>
      <c r="D6082" s="31" t="s">
        <v>22704</v>
      </c>
      <c r="E6082" s="23" t="s">
        <v>22656</v>
      </c>
      <c r="F6082" s="24" t="s">
        <v>22657</v>
      </c>
      <c r="G6082" s="25">
        <v>16</v>
      </c>
      <c r="H6082" s="26"/>
      <c r="I6082" s="27"/>
    </row>
    <row r="6083" spans="1:9" ht="15.75" thickBot="1" x14ac:dyDescent="0.3">
      <c r="A6083" s="43" t="s">
        <v>12984</v>
      </c>
      <c r="B6083" s="21" t="s">
        <v>12985</v>
      </c>
      <c r="C6083" s="21" t="s">
        <v>22663</v>
      </c>
      <c r="D6083" s="31">
        <v>1</v>
      </c>
      <c r="E6083" s="23" t="s">
        <v>22656</v>
      </c>
      <c r="F6083" s="24" t="s">
        <v>22657</v>
      </c>
      <c r="G6083" s="25">
        <v>2</v>
      </c>
      <c r="H6083" s="29"/>
      <c r="I6083" s="30"/>
    </row>
    <row r="6084" spans="1:9" ht="15.75" thickBot="1" x14ac:dyDescent="0.3">
      <c r="A6084" s="43" t="s">
        <v>1693</v>
      </c>
      <c r="B6084" s="21" t="s">
        <v>1694</v>
      </c>
      <c r="C6084" s="21" t="s">
        <v>22655</v>
      </c>
      <c r="D6084" s="22">
        <v>46028</v>
      </c>
      <c r="E6084" s="23" t="s">
        <v>22656</v>
      </c>
      <c r="F6084" s="24" t="s">
        <v>22657</v>
      </c>
      <c r="G6084" s="25">
        <v>2</v>
      </c>
      <c r="H6084" s="26"/>
      <c r="I6084" s="27"/>
    </row>
    <row r="6085" spans="1:9" ht="15.75" thickBot="1" x14ac:dyDescent="0.3">
      <c r="A6085" s="43" t="s">
        <v>12986</v>
      </c>
      <c r="B6085" s="21" t="s">
        <v>12987</v>
      </c>
      <c r="C6085" s="21" t="s">
        <v>22655</v>
      </c>
      <c r="D6085" s="31" t="s">
        <v>22666</v>
      </c>
      <c r="E6085" s="23" t="s">
        <v>22656</v>
      </c>
      <c r="F6085" s="24" t="s">
        <v>22657</v>
      </c>
      <c r="G6085" s="25">
        <v>7</v>
      </c>
      <c r="H6085" s="29"/>
      <c r="I6085" s="30"/>
    </row>
    <row r="6086" spans="1:9" ht="15.75" thickBot="1" x14ac:dyDescent="0.3">
      <c r="A6086" s="43" t="s">
        <v>12988</v>
      </c>
      <c r="B6086" s="21" t="s">
        <v>12989</v>
      </c>
      <c r="C6086" s="21" t="s">
        <v>22672</v>
      </c>
      <c r="D6086" s="22">
        <v>46028</v>
      </c>
      <c r="E6086" s="23" t="s">
        <v>22665</v>
      </c>
      <c r="F6086" s="24" t="s">
        <v>22657</v>
      </c>
      <c r="G6086" s="25">
        <v>9</v>
      </c>
      <c r="H6086" s="26"/>
      <c r="I6086" s="27"/>
    </row>
    <row r="6087" spans="1:9" ht="15.75" thickBot="1" x14ac:dyDescent="0.3">
      <c r="A6087" s="43" t="s">
        <v>1785</v>
      </c>
      <c r="B6087" s="21" t="s">
        <v>1786</v>
      </c>
      <c r="C6087" s="21" t="s">
        <v>22655</v>
      </c>
      <c r="D6087" s="22">
        <v>46046</v>
      </c>
      <c r="E6087" s="23" t="s">
        <v>22661</v>
      </c>
      <c r="F6087" s="24" t="s">
        <v>22657</v>
      </c>
      <c r="G6087" s="25">
        <v>11</v>
      </c>
      <c r="H6087" s="29"/>
      <c r="I6087" s="30"/>
    </row>
    <row r="6088" spans="1:9" ht="15.75" thickBot="1" x14ac:dyDescent="0.3">
      <c r="A6088" s="43" t="s">
        <v>12990</v>
      </c>
      <c r="B6088" s="21" t="s">
        <v>12991</v>
      </c>
      <c r="C6088" s="21" t="s">
        <v>22655</v>
      </c>
      <c r="D6088" s="22">
        <v>46034</v>
      </c>
      <c r="E6088" s="23" t="s">
        <v>22661</v>
      </c>
      <c r="F6088" s="24" t="s">
        <v>22657</v>
      </c>
      <c r="G6088" s="25">
        <v>4</v>
      </c>
      <c r="H6088" s="26"/>
      <c r="I6088" s="27"/>
    </row>
    <row r="6089" spans="1:9" ht="15.75" thickBot="1" x14ac:dyDescent="0.3">
      <c r="A6089" s="43" t="s">
        <v>12992</v>
      </c>
      <c r="B6089" s="21" t="s">
        <v>12993</v>
      </c>
      <c r="C6089" s="21" t="s">
        <v>22655</v>
      </c>
      <c r="D6089" s="22">
        <v>46042</v>
      </c>
      <c r="E6089" s="23" t="s">
        <v>22658</v>
      </c>
      <c r="F6089" s="24" t="s">
        <v>22657</v>
      </c>
      <c r="G6089" s="25">
        <v>7</v>
      </c>
      <c r="H6089" s="29"/>
      <c r="I6089" s="30"/>
    </row>
    <row r="6090" spans="1:9" ht="15.75" thickBot="1" x14ac:dyDescent="0.3">
      <c r="A6090" s="43" t="s">
        <v>113</v>
      </c>
      <c r="B6090" s="21" t="s">
        <v>114</v>
      </c>
      <c r="C6090" s="21" t="s">
        <v>22709</v>
      </c>
      <c r="D6090" s="31">
        <v>1</v>
      </c>
      <c r="E6090" s="23" t="s">
        <v>22656</v>
      </c>
      <c r="F6090" s="24" t="s">
        <v>22657</v>
      </c>
      <c r="G6090" s="25">
        <v>2</v>
      </c>
      <c r="H6090" s="26"/>
      <c r="I6090" s="27"/>
    </row>
    <row r="6091" spans="1:9" ht="15.75" thickBot="1" x14ac:dyDescent="0.3">
      <c r="A6091" s="43" t="s">
        <v>413</v>
      </c>
      <c r="B6091" s="21" t="s">
        <v>414</v>
      </c>
      <c r="C6091" s="21" t="s">
        <v>22698</v>
      </c>
      <c r="D6091" s="31">
        <v>1</v>
      </c>
      <c r="E6091" s="23" t="s">
        <v>22661</v>
      </c>
      <c r="F6091" s="24" t="s">
        <v>22657</v>
      </c>
      <c r="G6091" s="25">
        <v>5</v>
      </c>
      <c r="H6091" s="29"/>
      <c r="I6091" s="30"/>
    </row>
    <row r="6092" spans="1:9" ht="15.75" thickBot="1" x14ac:dyDescent="0.3">
      <c r="A6092" s="43" t="s">
        <v>12994</v>
      </c>
      <c r="B6092" s="21" t="s">
        <v>12995</v>
      </c>
      <c r="C6092" s="21" t="s">
        <v>22663</v>
      </c>
      <c r="D6092" s="31">
        <v>1</v>
      </c>
      <c r="E6092" s="23" t="s">
        <v>22656</v>
      </c>
      <c r="F6092" s="24" t="s">
        <v>22657</v>
      </c>
      <c r="G6092" s="25">
        <v>2</v>
      </c>
      <c r="H6092" s="26"/>
      <c r="I6092" s="27"/>
    </row>
    <row r="6093" spans="1:9" ht="15.75" thickBot="1" x14ac:dyDescent="0.3">
      <c r="A6093" s="43" t="s">
        <v>22382</v>
      </c>
      <c r="B6093" s="21" t="s">
        <v>22383</v>
      </c>
      <c r="C6093" s="36" t="e">
        <v>#N/A</v>
      </c>
      <c r="D6093" s="37" t="e">
        <v>#N/A</v>
      </c>
      <c r="E6093" s="23" t="e">
        <v>#N/A</v>
      </c>
      <c r="F6093" s="24" t="s">
        <v>22657</v>
      </c>
      <c r="G6093" s="25" t="e">
        <v>#N/A</v>
      </c>
      <c r="H6093" s="29"/>
      <c r="I6093" s="30"/>
    </row>
    <row r="6094" spans="1:9" ht="15.75" thickBot="1" x14ac:dyDescent="0.3">
      <c r="A6094" s="43" t="s">
        <v>12996</v>
      </c>
      <c r="B6094" s="21" t="s">
        <v>12997</v>
      </c>
      <c r="C6094" s="21" t="s">
        <v>22663</v>
      </c>
      <c r="D6094" s="31">
        <v>1</v>
      </c>
      <c r="E6094" s="23" t="s">
        <v>22656</v>
      </c>
      <c r="F6094" s="24" t="s">
        <v>22657</v>
      </c>
      <c r="G6094" s="25">
        <v>2</v>
      </c>
      <c r="H6094" s="26"/>
      <c r="I6094" s="27"/>
    </row>
    <row r="6095" spans="1:9" ht="15.75" thickBot="1" x14ac:dyDescent="0.3">
      <c r="A6095" s="43" t="s">
        <v>12998</v>
      </c>
      <c r="B6095" s="21" t="s">
        <v>12999</v>
      </c>
      <c r="C6095" s="21" t="s">
        <v>22663</v>
      </c>
      <c r="D6095" s="31">
        <v>1</v>
      </c>
      <c r="E6095" s="23" t="s">
        <v>22656</v>
      </c>
      <c r="F6095" s="24" t="s">
        <v>22657</v>
      </c>
      <c r="G6095" s="25">
        <v>2</v>
      </c>
      <c r="H6095" s="29"/>
      <c r="I6095" s="30"/>
    </row>
    <row r="6096" spans="1:9" ht="15.75" thickBot="1" x14ac:dyDescent="0.3">
      <c r="A6096" s="43" t="s">
        <v>13000</v>
      </c>
      <c r="B6096" s="21" t="s">
        <v>13001</v>
      </c>
      <c r="C6096" s="21" t="s">
        <v>22709</v>
      </c>
      <c r="D6096" s="31">
        <v>1</v>
      </c>
      <c r="E6096" s="23" t="s">
        <v>22656</v>
      </c>
      <c r="F6096" s="24" t="s">
        <v>22657</v>
      </c>
      <c r="G6096" s="25">
        <v>2</v>
      </c>
      <c r="H6096" s="26"/>
      <c r="I6096" s="27"/>
    </row>
    <row r="6097" spans="1:9" ht="15.75" thickBot="1" x14ac:dyDescent="0.3">
      <c r="A6097" s="43" t="s">
        <v>13002</v>
      </c>
      <c r="B6097" s="21" t="s">
        <v>13003</v>
      </c>
      <c r="C6097" s="21" t="s">
        <v>22663</v>
      </c>
      <c r="D6097" s="31">
        <v>1</v>
      </c>
      <c r="E6097" s="23" t="s">
        <v>22656</v>
      </c>
      <c r="F6097" s="24" t="s">
        <v>22657</v>
      </c>
      <c r="G6097" s="25">
        <v>2</v>
      </c>
      <c r="H6097" s="29"/>
      <c r="I6097" s="30"/>
    </row>
    <row r="6098" spans="1:9" ht="15.75" thickBot="1" x14ac:dyDescent="0.3">
      <c r="A6098" s="43" t="s">
        <v>13004</v>
      </c>
      <c r="B6098" s="21" t="s">
        <v>13005</v>
      </c>
      <c r="C6098" s="21" t="s">
        <v>22663</v>
      </c>
      <c r="D6098" s="31">
        <v>1</v>
      </c>
      <c r="E6098" s="23" t="s">
        <v>22656</v>
      </c>
      <c r="F6098" s="24" t="s">
        <v>22657</v>
      </c>
      <c r="G6098" s="25">
        <v>2</v>
      </c>
      <c r="H6098" s="26"/>
      <c r="I6098" s="27"/>
    </row>
    <row r="6099" spans="1:9" ht="15.75" thickBot="1" x14ac:dyDescent="0.3">
      <c r="A6099" s="43" t="s">
        <v>13006</v>
      </c>
      <c r="B6099" s="21" t="s">
        <v>13007</v>
      </c>
      <c r="C6099" s="21" t="s">
        <v>22663</v>
      </c>
      <c r="D6099" s="31">
        <v>1</v>
      </c>
      <c r="E6099" s="23" t="s">
        <v>22656</v>
      </c>
      <c r="F6099" s="24" t="s">
        <v>22657</v>
      </c>
      <c r="G6099" s="25">
        <v>2</v>
      </c>
      <c r="H6099" s="29"/>
      <c r="I6099" s="30"/>
    </row>
    <row r="6100" spans="1:9" ht="15.75" thickBot="1" x14ac:dyDescent="0.3">
      <c r="A6100" s="43" t="s">
        <v>13008</v>
      </c>
      <c r="B6100" s="21" t="s">
        <v>13009</v>
      </c>
      <c r="C6100" s="21" t="s">
        <v>22709</v>
      </c>
      <c r="D6100" s="31">
        <v>1</v>
      </c>
      <c r="E6100" s="23" t="s">
        <v>22656</v>
      </c>
      <c r="F6100" s="24" t="s">
        <v>22657</v>
      </c>
      <c r="G6100" s="25">
        <v>2</v>
      </c>
      <c r="H6100" s="26"/>
      <c r="I6100" s="27"/>
    </row>
    <row r="6101" spans="1:9" ht="15.75" thickBot="1" x14ac:dyDescent="0.3">
      <c r="A6101" s="43" t="s">
        <v>13010</v>
      </c>
      <c r="B6101" s="21" t="s">
        <v>13011</v>
      </c>
      <c r="C6101" s="21" t="s">
        <v>22663</v>
      </c>
      <c r="D6101" s="31">
        <v>1</v>
      </c>
      <c r="E6101" s="23" t="s">
        <v>22656</v>
      </c>
      <c r="F6101" s="24" t="s">
        <v>22657</v>
      </c>
      <c r="G6101" s="25">
        <v>2</v>
      </c>
      <c r="H6101" s="29"/>
      <c r="I6101" s="30"/>
    </row>
    <row r="6102" spans="1:9" ht="15.75" thickBot="1" x14ac:dyDescent="0.3">
      <c r="A6102" s="43" t="s">
        <v>13012</v>
      </c>
      <c r="B6102" s="21" t="s">
        <v>13013</v>
      </c>
      <c r="C6102" s="21" t="s">
        <v>22663</v>
      </c>
      <c r="D6102" s="31">
        <v>1</v>
      </c>
      <c r="E6102" s="23" t="s">
        <v>22656</v>
      </c>
      <c r="F6102" s="24" t="s">
        <v>22657</v>
      </c>
      <c r="G6102" s="25">
        <v>2</v>
      </c>
      <c r="H6102" s="26"/>
      <c r="I6102" s="27"/>
    </row>
    <row r="6103" spans="1:9" ht="15.75" thickBot="1" x14ac:dyDescent="0.3">
      <c r="A6103" s="43" t="s">
        <v>13014</v>
      </c>
      <c r="B6103" s="21" t="s">
        <v>13015</v>
      </c>
      <c r="C6103" s="21" t="s">
        <v>22663</v>
      </c>
      <c r="D6103" s="31">
        <v>1</v>
      </c>
      <c r="E6103" s="23" t="s">
        <v>22656</v>
      </c>
      <c r="F6103" s="24" t="s">
        <v>22657</v>
      </c>
      <c r="G6103" s="25">
        <v>2</v>
      </c>
      <c r="H6103" s="29"/>
      <c r="I6103" s="30"/>
    </row>
    <row r="6104" spans="1:9" ht="15.75" thickBot="1" x14ac:dyDescent="0.3">
      <c r="A6104" s="43" t="s">
        <v>13016</v>
      </c>
      <c r="B6104" s="21" t="s">
        <v>13017</v>
      </c>
      <c r="C6104" s="21" t="s">
        <v>22709</v>
      </c>
      <c r="D6104" s="31">
        <v>1</v>
      </c>
      <c r="E6104" s="23" t="s">
        <v>22656</v>
      </c>
      <c r="F6104" s="24" t="s">
        <v>22657</v>
      </c>
      <c r="G6104" s="25">
        <v>2</v>
      </c>
      <c r="H6104" s="26"/>
      <c r="I6104" s="27"/>
    </row>
    <row r="6105" spans="1:9" ht="15.75" thickBot="1" x14ac:dyDescent="0.3">
      <c r="A6105" s="43" t="s">
        <v>13018</v>
      </c>
      <c r="B6105" s="21" t="s">
        <v>13019</v>
      </c>
      <c r="C6105" s="21" t="s">
        <v>22663</v>
      </c>
      <c r="D6105" s="31">
        <v>1</v>
      </c>
      <c r="E6105" s="23" t="s">
        <v>22656</v>
      </c>
      <c r="F6105" s="24" t="s">
        <v>22657</v>
      </c>
      <c r="G6105" s="25">
        <v>2</v>
      </c>
      <c r="H6105" s="29"/>
      <c r="I6105" s="30"/>
    </row>
    <row r="6106" spans="1:9" ht="15.75" thickBot="1" x14ac:dyDescent="0.3">
      <c r="A6106" s="43" t="s">
        <v>13020</v>
      </c>
      <c r="B6106" s="21" t="s">
        <v>13021</v>
      </c>
      <c r="C6106" s="21" t="s">
        <v>22663</v>
      </c>
      <c r="D6106" s="31">
        <v>1</v>
      </c>
      <c r="E6106" s="23" t="s">
        <v>22656</v>
      </c>
      <c r="F6106" s="24" t="s">
        <v>22657</v>
      </c>
      <c r="G6106" s="25">
        <v>2</v>
      </c>
      <c r="H6106" s="26"/>
      <c r="I6106" s="27"/>
    </row>
    <row r="6107" spans="1:9" ht="15.75" thickBot="1" x14ac:dyDescent="0.3">
      <c r="A6107" s="43" t="s">
        <v>13022</v>
      </c>
      <c r="B6107" s="21" t="s">
        <v>13023</v>
      </c>
      <c r="C6107" s="21" t="s">
        <v>22663</v>
      </c>
      <c r="D6107" s="31">
        <v>1</v>
      </c>
      <c r="E6107" s="23" t="s">
        <v>22656</v>
      </c>
      <c r="F6107" s="24" t="s">
        <v>22657</v>
      </c>
      <c r="G6107" s="25">
        <v>2</v>
      </c>
      <c r="H6107" s="29"/>
      <c r="I6107" s="30"/>
    </row>
    <row r="6108" spans="1:9" ht="15.75" thickBot="1" x14ac:dyDescent="0.3">
      <c r="A6108" s="43" t="s">
        <v>13024</v>
      </c>
      <c r="B6108" s="21" t="s">
        <v>13025</v>
      </c>
      <c r="C6108" s="21" t="s">
        <v>22709</v>
      </c>
      <c r="D6108" s="31">
        <v>1</v>
      </c>
      <c r="E6108" s="23" t="s">
        <v>22658</v>
      </c>
      <c r="F6108" s="24" t="s">
        <v>22657</v>
      </c>
      <c r="G6108" s="25">
        <v>1</v>
      </c>
      <c r="H6108" s="26"/>
      <c r="I6108" s="27"/>
    </row>
    <row r="6109" spans="1:9" ht="15.75" thickBot="1" x14ac:dyDescent="0.3">
      <c r="A6109" s="43" t="s">
        <v>13026</v>
      </c>
      <c r="B6109" s="21" t="s">
        <v>13027</v>
      </c>
      <c r="C6109" s="21" t="s">
        <v>22663</v>
      </c>
      <c r="D6109" s="31">
        <v>1</v>
      </c>
      <c r="E6109" s="23" t="s">
        <v>22656</v>
      </c>
      <c r="F6109" s="24" t="s">
        <v>22657</v>
      </c>
      <c r="G6109" s="25">
        <v>2</v>
      </c>
      <c r="H6109" s="29"/>
      <c r="I6109" s="30"/>
    </row>
    <row r="6110" spans="1:9" ht="15.75" thickBot="1" x14ac:dyDescent="0.3">
      <c r="A6110" s="43" t="s">
        <v>13028</v>
      </c>
      <c r="B6110" s="21" t="s">
        <v>13029</v>
      </c>
      <c r="C6110" s="21" t="s">
        <v>22663</v>
      </c>
      <c r="D6110" s="31">
        <v>1</v>
      </c>
      <c r="E6110" s="23" t="s">
        <v>22656</v>
      </c>
      <c r="F6110" s="24" t="s">
        <v>22657</v>
      </c>
      <c r="G6110" s="25">
        <v>2</v>
      </c>
      <c r="H6110" s="26"/>
      <c r="I6110" s="27"/>
    </row>
    <row r="6111" spans="1:9" ht="15.75" thickBot="1" x14ac:dyDescent="0.3">
      <c r="A6111" s="43" t="s">
        <v>13030</v>
      </c>
      <c r="B6111" s="21" t="s">
        <v>13031</v>
      </c>
      <c r="C6111" s="21" t="s">
        <v>22663</v>
      </c>
      <c r="D6111" s="31">
        <v>1</v>
      </c>
      <c r="E6111" s="23" t="s">
        <v>22658</v>
      </c>
      <c r="F6111" s="24" t="s">
        <v>22657</v>
      </c>
      <c r="G6111" s="25">
        <v>1</v>
      </c>
      <c r="H6111" s="29"/>
      <c r="I6111" s="30"/>
    </row>
    <row r="6112" spans="1:9" ht="15.75" thickBot="1" x14ac:dyDescent="0.3">
      <c r="A6112" s="43" t="s">
        <v>13032</v>
      </c>
      <c r="B6112" s="21" t="s">
        <v>13033</v>
      </c>
      <c r="C6112" s="21" t="s">
        <v>22709</v>
      </c>
      <c r="D6112" s="31">
        <v>1</v>
      </c>
      <c r="E6112" s="23" t="s">
        <v>22658</v>
      </c>
      <c r="F6112" s="24" t="s">
        <v>22657</v>
      </c>
      <c r="G6112" s="25">
        <v>1</v>
      </c>
      <c r="H6112" s="26"/>
      <c r="I6112" s="27"/>
    </row>
    <row r="6113" spans="1:9" ht="15.75" thickBot="1" x14ac:dyDescent="0.3">
      <c r="A6113" s="43" t="s">
        <v>929</v>
      </c>
      <c r="B6113" s="21" t="s">
        <v>930</v>
      </c>
      <c r="C6113" s="21" t="s">
        <v>22709</v>
      </c>
      <c r="D6113" s="31">
        <v>1</v>
      </c>
      <c r="E6113" s="23" t="s">
        <v>22656</v>
      </c>
      <c r="F6113" s="24" t="s">
        <v>22657</v>
      </c>
      <c r="G6113" s="25">
        <v>2</v>
      </c>
      <c r="H6113" s="32">
        <v>2</v>
      </c>
      <c r="I6113" s="33">
        <v>4</v>
      </c>
    </row>
    <row r="6114" spans="1:9" ht="15.75" thickBot="1" x14ac:dyDescent="0.3">
      <c r="A6114" s="43" t="s">
        <v>1557</v>
      </c>
      <c r="B6114" s="21" t="s">
        <v>1558</v>
      </c>
      <c r="C6114" s="21" t="s">
        <v>22698</v>
      </c>
      <c r="D6114" s="31">
        <v>1</v>
      </c>
      <c r="E6114" s="23" t="s">
        <v>22665</v>
      </c>
      <c r="F6114" s="24" t="s">
        <v>22657</v>
      </c>
      <c r="G6114" s="25">
        <v>12</v>
      </c>
      <c r="H6114" s="34">
        <v>12</v>
      </c>
      <c r="I6114" s="35">
        <v>24</v>
      </c>
    </row>
    <row r="6115" spans="1:9" ht="15.75" thickBot="1" x14ac:dyDescent="0.3">
      <c r="A6115" s="43" t="s">
        <v>13034</v>
      </c>
      <c r="B6115" s="21" t="s">
        <v>13035</v>
      </c>
      <c r="C6115" s="21" t="s">
        <v>22663</v>
      </c>
      <c r="D6115" s="31">
        <v>1</v>
      </c>
      <c r="E6115" s="23" t="s">
        <v>22665</v>
      </c>
      <c r="F6115" s="24" t="s">
        <v>22657</v>
      </c>
      <c r="G6115" s="25">
        <v>6</v>
      </c>
      <c r="H6115" s="29"/>
      <c r="I6115" s="30"/>
    </row>
    <row r="6116" spans="1:9" ht="15.75" thickBot="1" x14ac:dyDescent="0.3">
      <c r="A6116" s="43" t="s">
        <v>13036</v>
      </c>
      <c r="B6116" s="21" t="s">
        <v>13037</v>
      </c>
      <c r="C6116" s="21" t="s">
        <v>22663</v>
      </c>
      <c r="D6116" s="31">
        <v>1</v>
      </c>
      <c r="E6116" s="23" t="s">
        <v>22661</v>
      </c>
      <c r="F6116" s="24" t="s">
        <v>22657</v>
      </c>
      <c r="G6116" s="25">
        <v>12</v>
      </c>
      <c r="H6116" s="34">
        <v>12</v>
      </c>
      <c r="I6116" s="35">
        <v>24</v>
      </c>
    </row>
    <row r="6117" spans="1:9" ht="15.75" thickBot="1" x14ac:dyDescent="0.3">
      <c r="A6117" s="43" t="s">
        <v>13038</v>
      </c>
      <c r="B6117" s="21" t="s">
        <v>13039</v>
      </c>
      <c r="C6117" s="21" t="s">
        <v>22663</v>
      </c>
      <c r="D6117" s="31">
        <v>1</v>
      </c>
      <c r="E6117" s="23" t="s">
        <v>22661</v>
      </c>
      <c r="F6117" s="24" t="s">
        <v>22657</v>
      </c>
      <c r="G6117" s="25">
        <v>7</v>
      </c>
      <c r="H6117" s="29"/>
      <c r="I6117" s="30"/>
    </row>
    <row r="6118" spans="1:9" ht="15.75" thickBot="1" x14ac:dyDescent="0.3">
      <c r="A6118" s="43" t="s">
        <v>1173</v>
      </c>
      <c r="B6118" s="21" t="s">
        <v>1174</v>
      </c>
      <c r="C6118" s="21" t="s">
        <v>22709</v>
      </c>
      <c r="D6118" s="31">
        <v>1</v>
      </c>
      <c r="E6118" s="23" t="s">
        <v>22656</v>
      </c>
      <c r="F6118" s="24" t="s">
        <v>22657</v>
      </c>
      <c r="G6118" s="25">
        <v>4</v>
      </c>
      <c r="H6118" s="34">
        <v>4</v>
      </c>
      <c r="I6118" s="35">
        <v>6</v>
      </c>
    </row>
    <row r="6119" spans="1:9" ht="15.75" thickBot="1" x14ac:dyDescent="0.3">
      <c r="A6119" s="43" t="s">
        <v>1221</v>
      </c>
      <c r="B6119" s="21" t="s">
        <v>1222</v>
      </c>
      <c r="C6119" s="21" t="s">
        <v>22698</v>
      </c>
      <c r="D6119" s="31">
        <v>1</v>
      </c>
      <c r="E6119" s="23" t="s">
        <v>22665</v>
      </c>
      <c r="F6119" s="24" t="s">
        <v>22657</v>
      </c>
      <c r="G6119" s="25">
        <v>12</v>
      </c>
      <c r="H6119" s="32">
        <v>12</v>
      </c>
      <c r="I6119" s="33">
        <v>24</v>
      </c>
    </row>
    <row r="6120" spans="1:9" ht="15.75" thickBot="1" x14ac:dyDescent="0.3">
      <c r="A6120" s="43" t="s">
        <v>13040</v>
      </c>
      <c r="B6120" s="21" t="s">
        <v>13041</v>
      </c>
      <c r="C6120" s="21" t="s">
        <v>22663</v>
      </c>
      <c r="D6120" s="31">
        <v>1</v>
      </c>
      <c r="E6120" s="23" t="s">
        <v>22661</v>
      </c>
      <c r="F6120" s="24" t="s">
        <v>22657</v>
      </c>
      <c r="G6120" s="25">
        <v>12</v>
      </c>
      <c r="H6120" s="26"/>
      <c r="I6120" s="27"/>
    </row>
    <row r="6121" spans="1:9" ht="15.75" thickBot="1" x14ac:dyDescent="0.3">
      <c r="A6121" s="43" t="s">
        <v>13042</v>
      </c>
      <c r="B6121" s="21" t="s">
        <v>13043</v>
      </c>
      <c r="C6121" s="21" t="s">
        <v>22655</v>
      </c>
      <c r="D6121" s="22">
        <v>46034</v>
      </c>
      <c r="E6121" s="23" t="s">
        <v>22656</v>
      </c>
      <c r="F6121" s="24" t="s">
        <v>22657</v>
      </c>
      <c r="G6121" s="25">
        <v>5</v>
      </c>
      <c r="H6121" s="29"/>
      <c r="I6121" s="30"/>
    </row>
    <row r="6122" spans="1:9" ht="15.75" thickBot="1" x14ac:dyDescent="0.3">
      <c r="A6122" s="43" t="s">
        <v>13044</v>
      </c>
      <c r="B6122" s="21" t="s">
        <v>13045</v>
      </c>
      <c r="C6122" s="21" t="s">
        <v>22655</v>
      </c>
      <c r="D6122" s="31" t="s">
        <v>22732</v>
      </c>
      <c r="E6122" s="23" t="s">
        <v>22656</v>
      </c>
      <c r="F6122" s="24" t="s">
        <v>22657</v>
      </c>
      <c r="G6122" s="25">
        <v>7</v>
      </c>
      <c r="H6122" s="26"/>
      <c r="I6122" s="27"/>
    </row>
    <row r="6123" spans="1:9" ht="15.75" thickBot="1" x14ac:dyDescent="0.3">
      <c r="A6123" s="43" t="s">
        <v>13046</v>
      </c>
      <c r="B6123" s="21" t="s">
        <v>13047</v>
      </c>
      <c r="C6123" s="21" t="s">
        <v>22655</v>
      </c>
      <c r="D6123" s="22">
        <v>46046</v>
      </c>
      <c r="E6123" s="23" t="s">
        <v>22656</v>
      </c>
      <c r="F6123" s="24" t="s">
        <v>22657</v>
      </c>
      <c r="G6123" s="25">
        <v>8</v>
      </c>
      <c r="H6123" s="29"/>
      <c r="I6123" s="30"/>
    </row>
    <row r="6124" spans="1:9" ht="15.75" thickBot="1" x14ac:dyDescent="0.3">
      <c r="A6124" s="43" t="s">
        <v>13048</v>
      </c>
      <c r="B6124" s="21" t="s">
        <v>13049</v>
      </c>
      <c r="C6124" s="21" t="s">
        <v>22655</v>
      </c>
      <c r="D6124" s="31" t="s">
        <v>22688</v>
      </c>
      <c r="E6124" s="23" t="s">
        <v>22656</v>
      </c>
      <c r="F6124" s="24" t="s">
        <v>22657</v>
      </c>
      <c r="G6124" s="25">
        <v>4</v>
      </c>
      <c r="H6124" s="26"/>
      <c r="I6124" s="27"/>
    </row>
    <row r="6125" spans="1:9" ht="15.75" thickBot="1" x14ac:dyDescent="0.3">
      <c r="A6125" s="43" t="s">
        <v>13050</v>
      </c>
      <c r="B6125" s="21" t="s">
        <v>13051</v>
      </c>
      <c r="C6125" s="21" t="s">
        <v>22655</v>
      </c>
      <c r="D6125" s="22">
        <v>46040</v>
      </c>
      <c r="E6125" s="23" t="s">
        <v>22656</v>
      </c>
      <c r="F6125" s="24" t="s">
        <v>22657</v>
      </c>
      <c r="G6125" s="25">
        <v>6</v>
      </c>
      <c r="H6125" s="29"/>
      <c r="I6125" s="30"/>
    </row>
    <row r="6126" spans="1:9" ht="15.75" thickBot="1" x14ac:dyDescent="0.3">
      <c r="A6126" s="43" t="s">
        <v>13052</v>
      </c>
      <c r="B6126" s="21" t="s">
        <v>13053</v>
      </c>
      <c r="C6126" s="21" t="s">
        <v>22655</v>
      </c>
      <c r="D6126" s="22">
        <v>46044</v>
      </c>
      <c r="E6126" s="23" t="s">
        <v>22656</v>
      </c>
      <c r="F6126" s="24" t="s">
        <v>22657</v>
      </c>
      <c r="G6126" s="25">
        <v>2</v>
      </c>
      <c r="H6126" s="34">
        <v>2</v>
      </c>
      <c r="I6126" s="35">
        <v>4</v>
      </c>
    </row>
    <row r="6127" spans="1:9" ht="15.75" thickBot="1" x14ac:dyDescent="0.3">
      <c r="A6127" s="43" t="s">
        <v>13054</v>
      </c>
      <c r="B6127" s="21" t="s">
        <v>13055</v>
      </c>
      <c r="C6127" s="21" t="s">
        <v>22655</v>
      </c>
      <c r="D6127" s="22">
        <v>46032</v>
      </c>
      <c r="E6127" s="23" t="s">
        <v>22656</v>
      </c>
      <c r="F6127" s="24" t="s">
        <v>22657</v>
      </c>
      <c r="G6127" s="25">
        <v>2</v>
      </c>
      <c r="H6127" s="29"/>
      <c r="I6127" s="30"/>
    </row>
    <row r="6128" spans="1:9" ht="15.75" thickBot="1" x14ac:dyDescent="0.3">
      <c r="A6128" s="43" t="s">
        <v>13056</v>
      </c>
      <c r="B6128" s="21" t="s">
        <v>13057</v>
      </c>
      <c r="C6128" s="21" t="s">
        <v>22682</v>
      </c>
      <c r="D6128" s="22">
        <v>46034</v>
      </c>
      <c r="E6128" s="23" t="s">
        <v>22658</v>
      </c>
      <c r="F6128" s="24" t="s">
        <v>22657</v>
      </c>
      <c r="G6128" s="25">
        <v>4</v>
      </c>
      <c r="H6128" s="26"/>
      <c r="I6128" s="27"/>
    </row>
    <row r="6129" spans="1:9" ht="15.75" thickBot="1" x14ac:dyDescent="0.3">
      <c r="A6129" s="43" t="s">
        <v>13058</v>
      </c>
      <c r="B6129" s="21" t="s">
        <v>13059</v>
      </c>
      <c r="C6129" s="21" t="s">
        <v>22682</v>
      </c>
      <c r="D6129" s="22">
        <v>46034</v>
      </c>
      <c r="E6129" s="23" t="s">
        <v>22658</v>
      </c>
      <c r="F6129" s="24" t="s">
        <v>22657</v>
      </c>
      <c r="G6129" s="25">
        <v>4</v>
      </c>
      <c r="H6129" s="29"/>
      <c r="I6129" s="30"/>
    </row>
    <row r="6130" spans="1:9" ht="15.75" thickBot="1" x14ac:dyDescent="0.3">
      <c r="A6130" s="43" t="s">
        <v>13060</v>
      </c>
      <c r="B6130" s="21" t="s">
        <v>13061</v>
      </c>
      <c r="C6130" s="21" t="s">
        <v>22682</v>
      </c>
      <c r="D6130" s="22">
        <v>46034</v>
      </c>
      <c r="E6130" s="23" t="s">
        <v>22656</v>
      </c>
      <c r="F6130" s="24" t="s">
        <v>22657</v>
      </c>
      <c r="G6130" s="25">
        <v>4</v>
      </c>
      <c r="H6130" s="26"/>
      <c r="I6130" s="27"/>
    </row>
    <row r="6131" spans="1:9" ht="15.75" thickBot="1" x14ac:dyDescent="0.3">
      <c r="A6131" s="43" t="s">
        <v>13062</v>
      </c>
      <c r="B6131" s="21" t="s">
        <v>13063</v>
      </c>
      <c r="C6131" s="21" t="s">
        <v>22682</v>
      </c>
      <c r="D6131" s="22">
        <v>46034</v>
      </c>
      <c r="E6131" s="23" t="s">
        <v>22658</v>
      </c>
      <c r="F6131" s="24" t="s">
        <v>22657</v>
      </c>
      <c r="G6131" s="25">
        <v>4</v>
      </c>
      <c r="H6131" s="29"/>
      <c r="I6131" s="30"/>
    </row>
    <row r="6132" spans="1:9" ht="15.75" thickBot="1" x14ac:dyDescent="0.3">
      <c r="A6132" s="43" t="s">
        <v>13064</v>
      </c>
      <c r="B6132" s="21" t="s">
        <v>13065</v>
      </c>
      <c r="C6132" s="21" t="s">
        <v>22682</v>
      </c>
      <c r="D6132" s="22">
        <v>46034</v>
      </c>
      <c r="E6132" s="23" t="s">
        <v>22656</v>
      </c>
      <c r="F6132" s="24" t="s">
        <v>22657</v>
      </c>
      <c r="G6132" s="25">
        <v>4</v>
      </c>
      <c r="H6132" s="26"/>
      <c r="I6132" s="27"/>
    </row>
    <row r="6133" spans="1:9" ht="15.75" thickBot="1" x14ac:dyDescent="0.3">
      <c r="A6133" s="43" t="s">
        <v>13066</v>
      </c>
      <c r="B6133" s="21" t="s">
        <v>13067</v>
      </c>
      <c r="C6133" s="21" t="s">
        <v>22682</v>
      </c>
      <c r="D6133" s="22">
        <v>46034</v>
      </c>
      <c r="E6133" s="23" t="s">
        <v>22656</v>
      </c>
      <c r="F6133" s="24" t="s">
        <v>22657</v>
      </c>
      <c r="G6133" s="25">
        <v>4</v>
      </c>
      <c r="H6133" s="29"/>
      <c r="I6133" s="30"/>
    </row>
    <row r="6134" spans="1:9" ht="15.75" thickBot="1" x14ac:dyDescent="0.3">
      <c r="A6134" s="43" t="s">
        <v>13068</v>
      </c>
      <c r="B6134" s="21" t="s">
        <v>13069</v>
      </c>
      <c r="C6134" s="21" t="s">
        <v>22682</v>
      </c>
      <c r="D6134" s="22">
        <v>46034</v>
      </c>
      <c r="E6134" s="23" t="s">
        <v>22656</v>
      </c>
      <c r="F6134" s="24" t="s">
        <v>22657</v>
      </c>
      <c r="G6134" s="25">
        <v>4</v>
      </c>
      <c r="H6134" s="26"/>
      <c r="I6134" s="27"/>
    </row>
    <row r="6135" spans="1:9" ht="15.75" thickBot="1" x14ac:dyDescent="0.3">
      <c r="A6135" s="43" t="s">
        <v>13070</v>
      </c>
      <c r="B6135" s="21" t="s">
        <v>13071</v>
      </c>
      <c r="C6135" s="21" t="s">
        <v>22682</v>
      </c>
      <c r="D6135" s="22">
        <v>46034</v>
      </c>
      <c r="E6135" s="23" t="s">
        <v>22656</v>
      </c>
      <c r="F6135" s="24" t="s">
        <v>22657</v>
      </c>
      <c r="G6135" s="25">
        <v>4</v>
      </c>
      <c r="H6135" s="29"/>
      <c r="I6135" s="30"/>
    </row>
    <row r="6136" spans="1:9" ht="15.75" thickBot="1" x14ac:dyDescent="0.3">
      <c r="A6136" s="43" t="s">
        <v>13072</v>
      </c>
      <c r="B6136" s="21" t="s">
        <v>13073</v>
      </c>
      <c r="C6136" s="21" t="s">
        <v>22682</v>
      </c>
      <c r="D6136" s="22">
        <v>46034</v>
      </c>
      <c r="E6136" s="23" t="s">
        <v>22656</v>
      </c>
      <c r="F6136" s="24" t="s">
        <v>22657</v>
      </c>
      <c r="G6136" s="25">
        <v>4</v>
      </c>
      <c r="H6136" s="26"/>
      <c r="I6136" s="27"/>
    </row>
    <row r="6137" spans="1:9" ht="15.75" thickBot="1" x14ac:dyDescent="0.3">
      <c r="A6137" s="43" t="s">
        <v>13074</v>
      </c>
      <c r="B6137" s="21" t="s">
        <v>13075</v>
      </c>
      <c r="C6137" s="21" t="s">
        <v>22682</v>
      </c>
      <c r="D6137" s="22">
        <v>46034</v>
      </c>
      <c r="E6137" s="23" t="s">
        <v>22656</v>
      </c>
      <c r="F6137" s="24" t="s">
        <v>22657</v>
      </c>
      <c r="G6137" s="25">
        <v>4</v>
      </c>
      <c r="H6137" s="29"/>
      <c r="I6137" s="30"/>
    </row>
    <row r="6138" spans="1:9" ht="15.75" thickBot="1" x14ac:dyDescent="0.3">
      <c r="A6138" s="43" t="s">
        <v>13076</v>
      </c>
      <c r="B6138" s="21" t="s">
        <v>13077</v>
      </c>
      <c r="C6138" s="21" t="s">
        <v>22682</v>
      </c>
      <c r="D6138" s="22">
        <v>46034</v>
      </c>
      <c r="E6138" s="23" t="s">
        <v>22656</v>
      </c>
      <c r="F6138" s="24" t="s">
        <v>22657</v>
      </c>
      <c r="G6138" s="25">
        <v>4</v>
      </c>
      <c r="H6138" s="26"/>
      <c r="I6138" s="27"/>
    </row>
    <row r="6139" spans="1:9" ht="15.75" thickBot="1" x14ac:dyDescent="0.3">
      <c r="A6139" s="43" t="s">
        <v>13078</v>
      </c>
      <c r="B6139" s="21" t="s">
        <v>13079</v>
      </c>
      <c r="C6139" s="21" t="s">
        <v>22682</v>
      </c>
      <c r="D6139" s="22">
        <v>46034</v>
      </c>
      <c r="E6139" s="23" t="s">
        <v>22656</v>
      </c>
      <c r="F6139" s="24" t="s">
        <v>22657</v>
      </c>
      <c r="G6139" s="25">
        <v>4</v>
      </c>
      <c r="H6139" s="29"/>
      <c r="I6139" s="30"/>
    </row>
    <row r="6140" spans="1:9" ht="15.75" thickBot="1" x14ac:dyDescent="0.3">
      <c r="A6140" s="43" t="s">
        <v>13080</v>
      </c>
      <c r="B6140" s="21" t="s">
        <v>13081</v>
      </c>
      <c r="C6140" s="21" t="s">
        <v>22682</v>
      </c>
      <c r="D6140" s="22">
        <v>46034</v>
      </c>
      <c r="E6140" s="23" t="s">
        <v>22656</v>
      </c>
      <c r="F6140" s="24" t="s">
        <v>22657</v>
      </c>
      <c r="G6140" s="25">
        <v>4</v>
      </c>
      <c r="H6140" s="26"/>
      <c r="I6140" s="27"/>
    </row>
    <row r="6141" spans="1:9" ht="15.75" thickBot="1" x14ac:dyDescent="0.3">
      <c r="A6141" s="43" t="s">
        <v>13082</v>
      </c>
      <c r="B6141" s="21" t="s">
        <v>13083</v>
      </c>
      <c r="C6141" s="21" t="s">
        <v>22682</v>
      </c>
      <c r="D6141" s="22">
        <v>46034</v>
      </c>
      <c r="E6141" s="23" t="s">
        <v>22658</v>
      </c>
      <c r="F6141" s="24" t="s">
        <v>22657</v>
      </c>
      <c r="G6141" s="25">
        <v>4</v>
      </c>
      <c r="H6141" s="29"/>
      <c r="I6141" s="30"/>
    </row>
    <row r="6142" spans="1:9" ht="15.75" thickBot="1" x14ac:dyDescent="0.3">
      <c r="A6142" s="43" t="s">
        <v>13084</v>
      </c>
      <c r="B6142" s="21" t="s">
        <v>13085</v>
      </c>
      <c r="C6142" s="21" t="s">
        <v>22682</v>
      </c>
      <c r="D6142" s="22">
        <v>46034</v>
      </c>
      <c r="E6142" s="23" t="s">
        <v>22658</v>
      </c>
      <c r="F6142" s="24" t="s">
        <v>22657</v>
      </c>
      <c r="G6142" s="25">
        <v>4</v>
      </c>
      <c r="H6142" s="26"/>
      <c r="I6142" s="27"/>
    </row>
    <row r="6143" spans="1:9" ht="15.75" thickBot="1" x14ac:dyDescent="0.3">
      <c r="A6143" s="43" t="s">
        <v>13086</v>
      </c>
      <c r="B6143" s="21" t="s">
        <v>13087</v>
      </c>
      <c r="C6143" s="21" t="s">
        <v>22682</v>
      </c>
      <c r="D6143" s="22">
        <v>46034</v>
      </c>
      <c r="E6143" s="23" t="s">
        <v>22656</v>
      </c>
      <c r="F6143" s="24" t="s">
        <v>22657</v>
      </c>
      <c r="G6143" s="25">
        <v>4</v>
      </c>
      <c r="H6143" s="29"/>
      <c r="I6143" s="30"/>
    </row>
    <row r="6144" spans="1:9" ht="15.75" thickBot="1" x14ac:dyDescent="0.3">
      <c r="A6144" s="43" t="s">
        <v>13088</v>
      </c>
      <c r="B6144" s="21" t="s">
        <v>13089</v>
      </c>
      <c r="C6144" s="21" t="s">
        <v>22682</v>
      </c>
      <c r="D6144" s="22">
        <v>46034</v>
      </c>
      <c r="E6144" s="23" t="s">
        <v>22658</v>
      </c>
      <c r="F6144" s="24" t="s">
        <v>22657</v>
      </c>
      <c r="G6144" s="25">
        <v>4</v>
      </c>
      <c r="H6144" s="26"/>
      <c r="I6144" s="27"/>
    </row>
    <row r="6145" spans="1:9" ht="15.75" thickBot="1" x14ac:dyDescent="0.3">
      <c r="A6145" s="43" t="s">
        <v>13090</v>
      </c>
      <c r="B6145" s="21" t="s">
        <v>13091</v>
      </c>
      <c r="C6145" s="21" t="s">
        <v>22682</v>
      </c>
      <c r="D6145" s="22">
        <v>46034</v>
      </c>
      <c r="E6145" s="23" t="s">
        <v>22658</v>
      </c>
      <c r="F6145" s="24" t="s">
        <v>22657</v>
      </c>
      <c r="G6145" s="25">
        <v>4</v>
      </c>
      <c r="H6145" s="29"/>
      <c r="I6145" s="30"/>
    </row>
    <row r="6146" spans="1:9" ht="15.75" thickBot="1" x14ac:dyDescent="0.3">
      <c r="A6146" s="43" t="s">
        <v>13092</v>
      </c>
      <c r="B6146" s="21" t="s">
        <v>13093</v>
      </c>
      <c r="C6146" s="21" t="s">
        <v>22682</v>
      </c>
      <c r="D6146" s="22">
        <v>46034</v>
      </c>
      <c r="E6146" s="23" t="s">
        <v>22658</v>
      </c>
      <c r="F6146" s="24" t="s">
        <v>22657</v>
      </c>
      <c r="G6146" s="25">
        <v>4</v>
      </c>
      <c r="H6146" s="26"/>
      <c r="I6146" s="27"/>
    </row>
    <row r="6147" spans="1:9" ht="15.75" thickBot="1" x14ac:dyDescent="0.3">
      <c r="A6147" s="43" t="s">
        <v>13094</v>
      </c>
      <c r="B6147" s="21" t="s">
        <v>13095</v>
      </c>
      <c r="C6147" s="21" t="s">
        <v>22682</v>
      </c>
      <c r="D6147" s="22">
        <v>46034</v>
      </c>
      <c r="E6147" s="23" t="s">
        <v>22658</v>
      </c>
      <c r="F6147" s="24" t="s">
        <v>22657</v>
      </c>
      <c r="G6147" s="25">
        <v>4</v>
      </c>
      <c r="H6147" s="29"/>
      <c r="I6147" s="30"/>
    </row>
    <row r="6148" spans="1:9" ht="15.75" thickBot="1" x14ac:dyDescent="0.3">
      <c r="A6148" s="43" t="s">
        <v>13096</v>
      </c>
      <c r="B6148" s="21" t="s">
        <v>13097</v>
      </c>
      <c r="C6148" s="21" t="s">
        <v>22682</v>
      </c>
      <c r="D6148" s="22">
        <v>46034</v>
      </c>
      <c r="E6148" s="23" t="s">
        <v>22658</v>
      </c>
      <c r="F6148" s="24" t="s">
        <v>22657</v>
      </c>
      <c r="G6148" s="25">
        <v>4</v>
      </c>
      <c r="H6148" s="26"/>
      <c r="I6148" s="27"/>
    </row>
    <row r="6149" spans="1:9" ht="15.75" thickBot="1" x14ac:dyDescent="0.3">
      <c r="A6149" s="43" t="s">
        <v>13098</v>
      </c>
      <c r="B6149" s="21" t="s">
        <v>13099</v>
      </c>
      <c r="C6149" s="21" t="s">
        <v>22682</v>
      </c>
      <c r="D6149" s="22">
        <v>46034</v>
      </c>
      <c r="E6149" s="23" t="s">
        <v>22656</v>
      </c>
      <c r="F6149" s="24" t="s">
        <v>22657</v>
      </c>
      <c r="G6149" s="25">
        <v>4</v>
      </c>
      <c r="H6149" s="29"/>
      <c r="I6149" s="30"/>
    </row>
    <row r="6150" spans="1:9" ht="15.75" thickBot="1" x14ac:dyDescent="0.3">
      <c r="A6150" s="43" t="s">
        <v>13100</v>
      </c>
      <c r="B6150" s="21" t="s">
        <v>13101</v>
      </c>
      <c r="C6150" s="21" t="s">
        <v>22682</v>
      </c>
      <c r="D6150" s="22">
        <v>46034</v>
      </c>
      <c r="E6150" s="23" t="s">
        <v>22658</v>
      </c>
      <c r="F6150" s="24" t="s">
        <v>22657</v>
      </c>
      <c r="G6150" s="25">
        <v>4</v>
      </c>
      <c r="H6150" s="26"/>
      <c r="I6150" s="27"/>
    </row>
    <row r="6151" spans="1:9" ht="15.75" thickBot="1" x14ac:dyDescent="0.3">
      <c r="A6151" s="43" t="s">
        <v>13102</v>
      </c>
      <c r="B6151" s="21" t="s">
        <v>13103</v>
      </c>
      <c r="C6151" s="21" t="s">
        <v>22682</v>
      </c>
      <c r="D6151" s="22">
        <v>46034</v>
      </c>
      <c r="E6151" s="23" t="s">
        <v>22656</v>
      </c>
      <c r="F6151" s="24" t="s">
        <v>22657</v>
      </c>
      <c r="G6151" s="25">
        <v>4</v>
      </c>
      <c r="H6151" s="29"/>
      <c r="I6151" s="30"/>
    </row>
    <row r="6152" spans="1:9" ht="15.75" thickBot="1" x14ac:dyDescent="0.3">
      <c r="A6152" s="43" t="s">
        <v>13104</v>
      </c>
      <c r="B6152" s="21" t="s">
        <v>13105</v>
      </c>
      <c r="C6152" s="21" t="s">
        <v>22682</v>
      </c>
      <c r="D6152" s="22">
        <v>46034</v>
      </c>
      <c r="E6152" s="23" t="s">
        <v>22658</v>
      </c>
      <c r="F6152" s="24" t="s">
        <v>22657</v>
      </c>
      <c r="G6152" s="25">
        <v>4</v>
      </c>
      <c r="H6152" s="26"/>
      <c r="I6152" s="27"/>
    </row>
    <row r="6153" spans="1:9" ht="15.75" thickBot="1" x14ac:dyDescent="0.3">
      <c r="A6153" s="43" t="s">
        <v>13106</v>
      </c>
      <c r="B6153" s="21" t="s">
        <v>13107</v>
      </c>
      <c r="C6153" s="21" t="s">
        <v>22682</v>
      </c>
      <c r="D6153" s="22">
        <v>46034</v>
      </c>
      <c r="E6153" s="23" t="s">
        <v>22656</v>
      </c>
      <c r="F6153" s="24" t="s">
        <v>22657</v>
      </c>
      <c r="G6153" s="25">
        <v>4</v>
      </c>
      <c r="H6153" s="29"/>
      <c r="I6153" s="30"/>
    </row>
    <row r="6154" spans="1:9" ht="15.75" thickBot="1" x14ac:dyDescent="0.3">
      <c r="A6154" s="43" t="s">
        <v>13108</v>
      </c>
      <c r="B6154" s="21" t="s">
        <v>13109</v>
      </c>
      <c r="C6154" s="21" t="s">
        <v>22682</v>
      </c>
      <c r="D6154" s="22">
        <v>46034</v>
      </c>
      <c r="E6154" s="23" t="s">
        <v>22658</v>
      </c>
      <c r="F6154" s="24" t="s">
        <v>22657</v>
      </c>
      <c r="G6154" s="25">
        <v>4</v>
      </c>
      <c r="H6154" s="26"/>
      <c r="I6154" s="27"/>
    </row>
    <row r="6155" spans="1:9" ht="15.75" thickBot="1" x14ac:dyDescent="0.3">
      <c r="A6155" s="43" t="s">
        <v>13110</v>
      </c>
      <c r="B6155" s="21" t="s">
        <v>13111</v>
      </c>
      <c r="C6155" s="21" t="s">
        <v>22682</v>
      </c>
      <c r="D6155" s="22">
        <v>46034</v>
      </c>
      <c r="E6155" s="23" t="s">
        <v>22656</v>
      </c>
      <c r="F6155" s="24" t="s">
        <v>22657</v>
      </c>
      <c r="G6155" s="25">
        <v>4</v>
      </c>
      <c r="H6155" s="29"/>
      <c r="I6155" s="30"/>
    </row>
    <row r="6156" spans="1:9" ht="15.75" thickBot="1" x14ac:dyDescent="0.3">
      <c r="A6156" s="43" t="s">
        <v>13112</v>
      </c>
      <c r="B6156" s="21" t="s">
        <v>13113</v>
      </c>
      <c r="C6156" s="21" t="s">
        <v>22682</v>
      </c>
      <c r="D6156" s="22">
        <v>46034</v>
      </c>
      <c r="E6156" s="23" t="s">
        <v>22658</v>
      </c>
      <c r="F6156" s="24" t="s">
        <v>22657</v>
      </c>
      <c r="G6156" s="25">
        <v>4</v>
      </c>
      <c r="H6156" s="26"/>
      <c r="I6156" s="27"/>
    </row>
    <row r="6157" spans="1:9" ht="15.75" thickBot="1" x14ac:dyDescent="0.3">
      <c r="A6157" s="43" t="s">
        <v>13114</v>
      </c>
      <c r="B6157" s="21" t="s">
        <v>13115</v>
      </c>
      <c r="C6157" s="21" t="s">
        <v>22682</v>
      </c>
      <c r="D6157" s="22">
        <v>46034</v>
      </c>
      <c r="E6157" s="23" t="s">
        <v>22656</v>
      </c>
      <c r="F6157" s="24" t="s">
        <v>22657</v>
      </c>
      <c r="G6157" s="25">
        <v>4</v>
      </c>
      <c r="H6157" s="29"/>
      <c r="I6157" s="30"/>
    </row>
    <row r="6158" spans="1:9" ht="15.75" thickBot="1" x14ac:dyDescent="0.3">
      <c r="A6158" s="43" t="s">
        <v>13116</v>
      </c>
      <c r="B6158" s="21" t="s">
        <v>13117</v>
      </c>
      <c r="C6158" s="21" t="s">
        <v>22682</v>
      </c>
      <c r="D6158" s="22">
        <v>46034</v>
      </c>
      <c r="E6158" s="23" t="s">
        <v>22656</v>
      </c>
      <c r="F6158" s="24" t="s">
        <v>22657</v>
      </c>
      <c r="G6158" s="25">
        <v>4</v>
      </c>
      <c r="H6158" s="26"/>
      <c r="I6158" s="27"/>
    </row>
    <row r="6159" spans="1:9" ht="15.75" thickBot="1" x14ac:dyDescent="0.3">
      <c r="A6159" s="43" t="s">
        <v>13118</v>
      </c>
      <c r="B6159" s="21" t="s">
        <v>13119</v>
      </c>
      <c r="C6159" s="21" t="s">
        <v>22682</v>
      </c>
      <c r="D6159" s="22">
        <v>46034</v>
      </c>
      <c r="E6159" s="23" t="s">
        <v>22656</v>
      </c>
      <c r="F6159" s="24" t="s">
        <v>22657</v>
      </c>
      <c r="G6159" s="25">
        <v>4</v>
      </c>
      <c r="H6159" s="29"/>
      <c r="I6159" s="30"/>
    </row>
    <row r="6160" spans="1:9" ht="15.75" thickBot="1" x14ac:dyDescent="0.3">
      <c r="A6160" s="43" t="s">
        <v>13120</v>
      </c>
      <c r="B6160" s="21" t="s">
        <v>13121</v>
      </c>
      <c r="C6160" s="21" t="s">
        <v>22682</v>
      </c>
      <c r="D6160" s="22">
        <v>46034</v>
      </c>
      <c r="E6160" s="23" t="s">
        <v>22656</v>
      </c>
      <c r="F6160" s="24" t="s">
        <v>22657</v>
      </c>
      <c r="G6160" s="25">
        <v>4</v>
      </c>
      <c r="H6160" s="26"/>
      <c r="I6160" s="27"/>
    </row>
    <row r="6161" spans="1:9" ht="15.75" thickBot="1" x14ac:dyDescent="0.3">
      <c r="A6161" s="43" t="s">
        <v>13122</v>
      </c>
      <c r="B6161" s="21" t="s">
        <v>13123</v>
      </c>
      <c r="C6161" s="21" t="s">
        <v>22682</v>
      </c>
      <c r="D6161" s="22">
        <v>46034</v>
      </c>
      <c r="E6161" s="23" t="s">
        <v>22656</v>
      </c>
      <c r="F6161" s="24" t="s">
        <v>22657</v>
      </c>
      <c r="G6161" s="25">
        <v>4</v>
      </c>
      <c r="H6161" s="29"/>
      <c r="I6161" s="30"/>
    </row>
    <row r="6162" spans="1:9" ht="15.75" thickBot="1" x14ac:dyDescent="0.3">
      <c r="A6162" s="43" t="s">
        <v>13124</v>
      </c>
      <c r="B6162" s="21" t="s">
        <v>13125</v>
      </c>
      <c r="C6162" s="21" t="s">
        <v>22682</v>
      </c>
      <c r="D6162" s="22">
        <v>46034</v>
      </c>
      <c r="E6162" s="23" t="s">
        <v>22658</v>
      </c>
      <c r="F6162" s="24" t="s">
        <v>22657</v>
      </c>
      <c r="G6162" s="25">
        <v>4</v>
      </c>
      <c r="H6162" s="26"/>
      <c r="I6162" s="27"/>
    </row>
    <row r="6163" spans="1:9" ht="15.75" thickBot="1" x14ac:dyDescent="0.3">
      <c r="A6163" s="43" t="s">
        <v>13126</v>
      </c>
      <c r="B6163" s="21" t="s">
        <v>13127</v>
      </c>
      <c r="C6163" s="21" t="s">
        <v>22682</v>
      </c>
      <c r="D6163" s="22">
        <v>46034</v>
      </c>
      <c r="E6163" s="23" t="s">
        <v>22656</v>
      </c>
      <c r="F6163" s="24" t="s">
        <v>22657</v>
      </c>
      <c r="G6163" s="25">
        <v>4</v>
      </c>
      <c r="H6163" s="29"/>
      <c r="I6163" s="30"/>
    </row>
    <row r="6164" spans="1:9" ht="15.75" thickBot="1" x14ac:dyDescent="0.3">
      <c r="A6164" s="43" t="s">
        <v>13128</v>
      </c>
      <c r="B6164" s="21" t="s">
        <v>13129</v>
      </c>
      <c r="C6164" s="21" t="s">
        <v>22682</v>
      </c>
      <c r="D6164" s="22">
        <v>46034</v>
      </c>
      <c r="E6164" s="23" t="s">
        <v>22656</v>
      </c>
      <c r="F6164" s="24" t="s">
        <v>22657</v>
      </c>
      <c r="G6164" s="25">
        <v>4</v>
      </c>
      <c r="H6164" s="26"/>
      <c r="I6164" s="27"/>
    </row>
    <row r="6165" spans="1:9" ht="15.75" thickBot="1" x14ac:dyDescent="0.3">
      <c r="A6165" s="43" t="s">
        <v>13130</v>
      </c>
      <c r="B6165" s="21" t="s">
        <v>13131</v>
      </c>
      <c r="C6165" s="21" t="s">
        <v>22682</v>
      </c>
      <c r="D6165" s="22">
        <v>46034</v>
      </c>
      <c r="E6165" s="23" t="s">
        <v>22656</v>
      </c>
      <c r="F6165" s="24" t="s">
        <v>22657</v>
      </c>
      <c r="G6165" s="25">
        <v>4</v>
      </c>
      <c r="H6165" s="29"/>
      <c r="I6165" s="30"/>
    </row>
    <row r="6166" spans="1:9" ht="15.75" thickBot="1" x14ac:dyDescent="0.3">
      <c r="A6166" s="43" t="s">
        <v>13132</v>
      </c>
      <c r="B6166" s="21" t="s">
        <v>13133</v>
      </c>
      <c r="C6166" s="21" t="s">
        <v>22682</v>
      </c>
      <c r="D6166" s="22">
        <v>46034</v>
      </c>
      <c r="E6166" s="23" t="s">
        <v>22658</v>
      </c>
      <c r="F6166" s="24" t="s">
        <v>22657</v>
      </c>
      <c r="G6166" s="25">
        <v>4</v>
      </c>
      <c r="H6166" s="26"/>
      <c r="I6166" s="27"/>
    </row>
    <row r="6167" spans="1:9" ht="15.75" thickBot="1" x14ac:dyDescent="0.3">
      <c r="A6167" s="43" t="s">
        <v>13134</v>
      </c>
      <c r="B6167" s="21" t="s">
        <v>13135</v>
      </c>
      <c r="C6167" s="21" t="s">
        <v>22682</v>
      </c>
      <c r="D6167" s="22">
        <v>46034</v>
      </c>
      <c r="E6167" s="23" t="s">
        <v>22656</v>
      </c>
      <c r="F6167" s="24" t="s">
        <v>22657</v>
      </c>
      <c r="G6167" s="25">
        <v>4</v>
      </c>
      <c r="H6167" s="29"/>
      <c r="I6167" s="30"/>
    </row>
    <row r="6168" spans="1:9" ht="15.75" thickBot="1" x14ac:dyDescent="0.3">
      <c r="A6168" s="43" t="s">
        <v>13136</v>
      </c>
      <c r="B6168" s="21" t="s">
        <v>13137</v>
      </c>
      <c r="C6168" s="21" t="s">
        <v>22682</v>
      </c>
      <c r="D6168" s="22">
        <v>46034</v>
      </c>
      <c r="E6168" s="23" t="s">
        <v>22656</v>
      </c>
      <c r="F6168" s="24" t="s">
        <v>22657</v>
      </c>
      <c r="G6168" s="25">
        <v>4</v>
      </c>
      <c r="H6168" s="26"/>
      <c r="I6168" s="27"/>
    </row>
    <row r="6169" spans="1:9" ht="15.75" thickBot="1" x14ac:dyDescent="0.3">
      <c r="A6169" s="43" t="s">
        <v>13138</v>
      </c>
      <c r="B6169" s="21" t="s">
        <v>13139</v>
      </c>
      <c r="C6169" s="21" t="s">
        <v>22682</v>
      </c>
      <c r="D6169" s="22">
        <v>46034</v>
      </c>
      <c r="E6169" s="23" t="s">
        <v>22656</v>
      </c>
      <c r="F6169" s="24" t="s">
        <v>22657</v>
      </c>
      <c r="G6169" s="25">
        <v>4</v>
      </c>
      <c r="H6169" s="29"/>
      <c r="I6169" s="30"/>
    </row>
    <row r="6170" spans="1:9" ht="15.75" thickBot="1" x14ac:dyDescent="0.3">
      <c r="A6170" s="43" t="s">
        <v>13140</v>
      </c>
      <c r="B6170" s="21" t="s">
        <v>13141</v>
      </c>
      <c r="C6170" s="21" t="s">
        <v>22682</v>
      </c>
      <c r="D6170" s="22">
        <v>46034</v>
      </c>
      <c r="E6170" s="23" t="s">
        <v>22656</v>
      </c>
      <c r="F6170" s="24" t="s">
        <v>22657</v>
      </c>
      <c r="G6170" s="25">
        <v>4</v>
      </c>
      <c r="H6170" s="26"/>
      <c r="I6170" s="27"/>
    </row>
    <row r="6171" spans="1:9" ht="15.75" thickBot="1" x14ac:dyDescent="0.3">
      <c r="A6171" s="43" t="s">
        <v>13142</v>
      </c>
      <c r="B6171" s="21" t="s">
        <v>13143</v>
      </c>
      <c r="C6171" s="21" t="s">
        <v>22682</v>
      </c>
      <c r="D6171" s="22">
        <v>46034</v>
      </c>
      <c r="E6171" s="23" t="s">
        <v>22658</v>
      </c>
      <c r="F6171" s="24" t="s">
        <v>22657</v>
      </c>
      <c r="G6171" s="25">
        <v>4</v>
      </c>
      <c r="H6171" s="29"/>
      <c r="I6171" s="30"/>
    </row>
    <row r="6172" spans="1:9" ht="15.75" thickBot="1" x14ac:dyDescent="0.3">
      <c r="A6172" s="43" t="s">
        <v>13144</v>
      </c>
      <c r="B6172" s="21" t="s">
        <v>13145</v>
      </c>
      <c r="C6172" s="21" t="s">
        <v>22682</v>
      </c>
      <c r="D6172" s="22">
        <v>46034</v>
      </c>
      <c r="E6172" s="23" t="s">
        <v>22656</v>
      </c>
      <c r="F6172" s="24" t="s">
        <v>22657</v>
      </c>
      <c r="G6172" s="25">
        <v>4</v>
      </c>
      <c r="H6172" s="26"/>
      <c r="I6172" s="27"/>
    </row>
    <row r="6173" spans="1:9" ht="15.75" thickBot="1" x14ac:dyDescent="0.3">
      <c r="A6173" s="43" t="s">
        <v>13146</v>
      </c>
      <c r="B6173" s="21" t="s">
        <v>13147</v>
      </c>
      <c r="C6173" s="21" t="s">
        <v>22682</v>
      </c>
      <c r="D6173" s="22">
        <v>46034</v>
      </c>
      <c r="E6173" s="23" t="s">
        <v>22656</v>
      </c>
      <c r="F6173" s="24" t="s">
        <v>22657</v>
      </c>
      <c r="G6173" s="25">
        <v>4</v>
      </c>
      <c r="H6173" s="29"/>
      <c r="I6173" s="30"/>
    </row>
    <row r="6174" spans="1:9" ht="15.75" thickBot="1" x14ac:dyDescent="0.3">
      <c r="A6174" s="43" t="s">
        <v>13148</v>
      </c>
      <c r="B6174" s="21" t="s">
        <v>13149</v>
      </c>
      <c r="C6174" s="21" t="s">
        <v>22682</v>
      </c>
      <c r="D6174" s="22">
        <v>46034</v>
      </c>
      <c r="E6174" s="23" t="s">
        <v>22658</v>
      </c>
      <c r="F6174" s="24" t="s">
        <v>22657</v>
      </c>
      <c r="G6174" s="25">
        <v>4</v>
      </c>
      <c r="H6174" s="26"/>
      <c r="I6174" s="27"/>
    </row>
    <row r="6175" spans="1:9" ht="15.75" thickBot="1" x14ac:dyDescent="0.3">
      <c r="A6175" s="43" t="s">
        <v>13150</v>
      </c>
      <c r="B6175" s="21" t="s">
        <v>13151</v>
      </c>
      <c r="C6175" s="21" t="s">
        <v>22682</v>
      </c>
      <c r="D6175" s="22">
        <v>46034</v>
      </c>
      <c r="E6175" s="23" t="s">
        <v>22656</v>
      </c>
      <c r="F6175" s="24" t="s">
        <v>22657</v>
      </c>
      <c r="G6175" s="25">
        <v>4</v>
      </c>
      <c r="H6175" s="29"/>
      <c r="I6175" s="30"/>
    </row>
    <row r="6176" spans="1:9" ht="15.75" thickBot="1" x14ac:dyDescent="0.3">
      <c r="A6176" s="43" t="s">
        <v>13152</v>
      </c>
      <c r="B6176" s="21" t="s">
        <v>13153</v>
      </c>
      <c r="C6176" s="21" t="s">
        <v>22682</v>
      </c>
      <c r="D6176" s="22">
        <v>46034</v>
      </c>
      <c r="E6176" s="23" t="s">
        <v>22656</v>
      </c>
      <c r="F6176" s="24" t="s">
        <v>22657</v>
      </c>
      <c r="G6176" s="25">
        <v>4</v>
      </c>
      <c r="H6176" s="26"/>
      <c r="I6176" s="27"/>
    </row>
    <row r="6177" spans="1:9" ht="15.75" thickBot="1" x14ac:dyDescent="0.3">
      <c r="A6177" s="43" t="s">
        <v>13154</v>
      </c>
      <c r="B6177" s="21" t="s">
        <v>13155</v>
      </c>
      <c r="C6177" s="21" t="s">
        <v>22682</v>
      </c>
      <c r="D6177" s="22">
        <v>46034</v>
      </c>
      <c r="E6177" s="23" t="s">
        <v>22656</v>
      </c>
      <c r="F6177" s="24" t="s">
        <v>22657</v>
      </c>
      <c r="G6177" s="25">
        <v>4</v>
      </c>
      <c r="H6177" s="29"/>
      <c r="I6177" s="30"/>
    </row>
    <row r="6178" spans="1:9" ht="15.75" thickBot="1" x14ac:dyDescent="0.3">
      <c r="A6178" s="43" t="s">
        <v>13156</v>
      </c>
      <c r="B6178" s="21" t="s">
        <v>13157</v>
      </c>
      <c r="C6178" s="21" t="s">
        <v>22682</v>
      </c>
      <c r="D6178" s="22">
        <v>46034</v>
      </c>
      <c r="E6178" s="23" t="s">
        <v>22658</v>
      </c>
      <c r="F6178" s="24" t="s">
        <v>22657</v>
      </c>
      <c r="G6178" s="25">
        <v>4</v>
      </c>
      <c r="H6178" s="26"/>
      <c r="I6178" s="27"/>
    </row>
    <row r="6179" spans="1:9" ht="15.75" thickBot="1" x14ac:dyDescent="0.3">
      <c r="A6179" s="43" t="s">
        <v>13158</v>
      </c>
      <c r="B6179" s="21" t="s">
        <v>13159</v>
      </c>
      <c r="C6179" s="21" t="s">
        <v>22682</v>
      </c>
      <c r="D6179" s="22">
        <v>46034</v>
      </c>
      <c r="E6179" s="23" t="s">
        <v>22658</v>
      </c>
      <c r="F6179" s="24" t="s">
        <v>22657</v>
      </c>
      <c r="G6179" s="25">
        <v>4</v>
      </c>
      <c r="H6179" s="29"/>
      <c r="I6179" s="30"/>
    </row>
    <row r="6180" spans="1:9" ht="15.75" thickBot="1" x14ac:dyDescent="0.3">
      <c r="A6180" s="43" t="s">
        <v>13160</v>
      </c>
      <c r="B6180" s="21" t="s">
        <v>13161</v>
      </c>
      <c r="C6180" s="21" t="s">
        <v>22682</v>
      </c>
      <c r="D6180" s="22">
        <v>46034</v>
      </c>
      <c r="E6180" s="23" t="s">
        <v>22656</v>
      </c>
      <c r="F6180" s="24" t="s">
        <v>22657</v>
      </c>
      <c r="G6180" s="25">
        <v>4</v>
      </c>
      <c r="H6180" s="26"/>
      <c r="I6180" s="27"/>
    </row>
    <row r="6181" spans="1:9" ht="15.75" thickBot="1" x14ac:dyDescent="0.3">
      <c r="A6181" s="43" t="s">
        <v>13162</v>
      </c>
      <c r="B6181" s="21" t="s">
        <v>13163</v>
      </c>
      <c r="C6181" s="21" t="s">
        <v>22682</v>
      </c>
      <c r="D6181" s="22">
        <v>46034</v>
      </c>
      <c r="E6181" s="23" t="s">
        <v>22656</v>
      </c>
      <c r="F6181" s="24" t="s">
        <v>22657</v>
      </c>
      <c r="G6181" s="25">
        <v>4</v>
      </c>
      <c r="H6181" s="29"/>
      <c r="I6181" s="30"/>
    </row>
    <row r="6182" spans="1:9" ht="15.75" thickBot="1" x14ac:dyDescent="0.3">
      <c r="A6182" s="43" t="s">
        <v>13164</v>
      </c>
      <c r="B6182" s="21" t="s">
        <v>13165</v>
      </c>
      <c r="C6182" s="21" t="s">
        <v>22682</v>
      </c>
      <c r="D6182" s="22">
        <v>46034</v>
      </c>
      <c r="E6182" s="23" t="s">
        <v>22656</v>
      </c>
      <c r="F6182" s="24" t="s">
        <v>22657</v>
      </c>
      <c r="G6182" s="25">
        <v>4</v>
      </c>
      <c r="H6182" s="26"/>
      <c r="I6182" s="27"/>
    </row>
    <row r="6183" spans="1:9" ht="15.75" thickBot="1" x14ac:dyDescent="0.3">
      <c r="A6183" s="43" t="s">
        <v>13166</v>
      </c>
      <c r="B6183" s="21" t="s">
        <v>13167</v>
      </c>
      <c r="C6183" s="21" t="s">
        <v>22682</v>
      </c>
      <c r="D6183" s="22">
        <v>46034</v>
      </c>
      <c r="E6183" s="23" t="s">
        <v>22658</v>
      </c>
      <c r="F6183" s="24" t="s">
        <v>22657</v>
      </c>
      <c r="G6183" s="25">
        <v>4</v>
      </c>
      <c r="H6183" s="29"/>
      <c r="I6183" s="30"/>
    </row>
    <row r="6184" spans="1:9" ht="15.75" thickBot="1" x14ac:dyDescent="0.3">
      <c r="A6184" s="43" t="s">
        <v>13168</v>
      </c>
      <c r="B6184" s="21" t="s">
        <v>13169</v>
      </c>
      <c r="C6184" s="21" t="s">
        <v>22682</v>
      </c>
      <c r="D6184" s="22">
        <v>46034</v>
      </c>
      <c r="E6184" s="23" t="s">
        <v>22658</v>
      </c>
      <c r="F6184" s="24" t="s">
        <v>22657</v>
      </c>
      <c r="G6184" s="25">
        <v>4</v>
      </c>
      <c r="H6184" s="26"/>
      <c r="I6184" s="27"/>
    </row>
    <row r="6185" spans="1:9" ht="15.75" thickBot="1" x14ac:dyDescent="0.3">
      <c r="A6185" s="43" t="s">
        <v>13170</v>
      </c>
      <c r="B6185" s="21" t="s">
        <v>13171</v>
      </c>
      <c r="C6185" s="21" t="s">
        <v>22682</v>
      </c>
      <c r="D6185" s="22">
        <v>46034</v>
      </c>
      <c r="E6185" s="23" t="s">
        <v>22658</v>
      </c>
      <c r="F6185" s="24" t="s">
        <v>22657</v>
      </c>
      <c r="G6185" s="25">
        <v>4</v>
      </c>
      <c r="H6185" s="29"/>
      <c r="I6185" s="30"/>
    </row>
    <row r="6186" spans="1:9" ht="15.75" thickBot="1" x14ac:dyDescent="0.3">
      <c r="A6186" s="43" t="s">
        <v>13172</v>
      </c>
      <c r="B6186" s="21" t="s">
        <v>13173</v>
      </c>
      <c r="C6186" s="21" t="s">
        <v>22682</v>
      </c>
      <c r="D6186" s="22">
        <v>46034</v>
      </c>
      <c r="E6186" s="23" t="s">
        <v>22656</v>
      </c>
      <c r="F6186" s="24" t="s">
        <v>22657</v>
      </c>
      <c r="G6186" s="25">
        <v>4</v>
      </c>
      <c r="H6186" s="26"/>
      <c r="I6186" s="27"/>
    </row>
    <row r="6187" spans="1:9" ht="15.75" thickBot="1" x14ac:dyDescent="0.3">
      <c r="A6187" s="43" t="s">
        <v>13174</v>
      </c>
      <c r="B6187" s="21" t="s">
        <v>13175</v>
      </c>
      <c r="C6187" s="21" t="s">
        <v>22682</v>
      </c>
      <c r="D6187" s="22">
        <v>46034</v>
      </c>
      <c r="E6187" s="23" t="s">
        <v>22658</v>
      </c>
      <c r="F6187" s="24" t="s">
        <v>22657</v>
      </c>
      <c r="G6187" s="25">
        <v>4</v>
      </c>
      <c r="H6187" s="29"/>
      <c r="I6187" s="30"/>
    </row>
    <row r="6188" spans="1:9" ht="15.75" thickBot="1" x14ac:dyDescent="0.3">
      <c r="A6188" s="43" t="s">
        <v>13176</v>
      </c>
      <c r="B6188" s="21" t="s">
        <v>13177</v>
      </c>
      <c r="C6188" s="21" t="s">
        <v>22682</v>
      </c>
      <c r="D6188" s="22">
        <v>46034</v>
      </c>
      <c r="E6188" s="23" t="s">
        <v>22656</v>
      </c>
      <c r="F6188" s="24" t="s">
        <v>22657</v>
      </c>
      <c r="G6188" s="25">
        <v>4</v>
      </c>
      <c r="H6188" s="26"/>
      <c r="I6188" s="27"/>
    </row>
    <row r="6189" spans="1:9" ht="15.75" thickBot="1" x14ac:dyDescent="0.3">
      <c r="A6189" s="43" t="s">
        <v>13178</v>
      </c>
      <c r="B6189" s="21" t="s">
        <v>13179</v>
      </c>
      <c r="C6189" s="21" t="s">
        <v>22682</v>
      </c>
      <c r="D6189" s="22">
        <v>46034</v>
      </c>
      <c r="E6189" s="23" t="s">
        <v>22658</v>
      </c>
      <c r="F6189" s="24" t="s">
        <v>22657</v>
      </c>
      <c r="G6189" s="25">
        <v>4</v>
      </c>
      <c r="H6189" s="29"/>
      <c r="I6189" s="30"/>
    </row>
    <row r="6190" spans="1:9" ht="15.75" thickBot="1" x14ac:dyDescent="0.3">
      <c r="A6190" s="43" t="s">
        <v>13180</v>
      </c>
      <c r="B6190" s="21" t="s">
        <v>13181</v>
      </c>
      <c r="C6190" s="21" t="s">
        <v>22682</v>
      </c>
      <c r="D6190" s="22">
        <v>46034</v>
      </c>
      <c r="E6190" s="23" t="s">
        <v>22656</v>
      </c>
      <c r="F6190" s="24" t="s">
        <v>22657</v>
      </c>
      <c r="G6190" s="25">
        <v>4</v>
      </c>
      <c r="H6190" s="26"/>
      <c r="I6190" s="27"/>
    </row>
    <row r="6191" spans="1:9" ht="15.75" thickBot="1" x14ac:dyDescent="0.3">
      <c r="A6191" s="43" t="s">
        <v>13182</v>
      </c>
      <c r="B6191" s="21" t="s">
        <v>13183</v>
      </c>
      <c r="C6191" s="21" t="s">
        <v>22682</v>
      </c>
      <c r="D6191" s="22">
        <v>46034</v>
      </c>
      <c r="E6191" s="23" t="s">
        <v>22656</v>
      </c>
      <c r="F6191" s="24" t="s">
        <v>22657</v>
      </c>
      <c r="G6191" s="25">
        <v>4</v>
      </c>
      <c r="H6191" s="29"/>
      <c r="I6191" s="30"/>
    </row>
    <row r="6192" spans="1:9" ht="15.75" thickBot="1" x14ac:dyDescent="0.3">
      <c r="A6192" s="43" t="s">
        <v>13184</v>
      </c>
      <c r="B6192" s="21" t="s">
        <v>13185</v>
      </c>
      <c r="C6192" s="21" t="s">
        <v>22682</v>
      </c>
      <c r="D6192" s="22">
        <v>46034</v>
      </c>
      <c r="E6192" s="23" t="s">
        <v>22656</v>
      </c>
      <c r="F6192" s="24" t="s">
        <v>22657</v>
      </c>
      <c r="G6192" s="25">
        <v>4</v>
      </c>
      <c r="H6192" s="26"/>
      <c r="I6192" s="27"/>
    </row>
    <row r="6193" spans="1:9" ht="15.75" thickBot="1" x14ac:dyDescent="0.3">
      <c r="A6193" s="43" t="s">
        <v>13186</v>
      </c>
      <c r="B6193" s="21" t="s">
        <v>13187</v>
      </c>
      <c r="C6193" s="21" t="s">
        <v>22682</v>
      </c>
      <c r="D6193" s="22">
        <v>46034</v>
      </c>
      <c r="E6193" s="23" t="s">
        <v>22656</v>
      </c>
      <c r="F6193" s="24" t="s">
        <v>22657</v>
      </c>
      <c r="G6193" s="25">
        <v>4</v>
      </c>
      <c r="H6193" s="29"/>
      <c r="I6193" s="30"/>
    </row>
    <row r="6194" spans="1:9" ht="15.75" thickBot="1" x14ac:dyDescent="0.3">
      <c r="A6194" s="43" t="s">
        <v>13188</v>
      </c>
      <c r="B6194" s="21" t="s">
        <v>13189</v>
      </c>
      <c r="C6194" s="21" t="s">
        <v>22682</v>
      </c>
      <c r="D6194" s="22">
        <v>46034</v>
      </c>
      <c r="E6194" s="23" t="s">
        <v>22656</v>
      </c>
      <c r="F6194" s="24" t="s">
        <v>22657</v>
      </c>
      <c r="G6194" s="25">
        <v>4</v>
      </c>
      <c r="H6194" s="26"/>
      <c r="I6194" s="27"/>
    </row>
    <row r="6195" spans="1:9" ht="15.75" thickBot="1" x14ac:dyDescent="0.3">
      <c r="A6195" s="43" t="s">
        <v>13190</v>
      </c>
      <c r="B6195" s="21" t="s">
        <v>13191</v>
      </c>
      <c r="C6195" s="21" t="s">
        <v>22682</v>
      </c>
      <c r="D6195" s="22">
        <v>46034</v>
      </c>
      <c r="E6195" s="23" t="s">
        <v>22656</v>
      </c>
      <c r="F6195" s="24" t="s">
        <v>22657</v>
      </c>
      <c r="G6195" s="25">
        <v>4</v>
      </c>
      <c r="H6195" s="29"/>
      <c r="I6195" s="30"/>
    </row>
    <row r="6196" spans="1:9" ht="15.75" thickBot="1" x14ac:dyDescent="0.3">
      <c r="A6196" s="43" t="s">
        <v>13192</v>
      </c>
      <c r="B6196" s="21" t="s">
        <v>13193</v>
      </c>
      <c r="C6196" s="21" t="s">
        <v>22682</v>
      </c>
      <c r="D6196" s="22">
        <v>46034</v>
      </c>
      <c r="E6196" s="23" t="s">
        <v>22656</v>
      </c>
      <c r="F6196" s="24" t="s">
        <v>22657</v>
      </c>
      <c r="G6196" s="25">
        <v>4</v>
      </c>
      <c r="H6196" s="26"/>
      <c r="I6196" s="27"/>
    </row>
    <row r="6197" spans="1:9" ht="15.75" thickBot="1" x14ac:dyDescent="0.3">
      <c r="A6197" s="43" t="s">
        <v>13194</v>
      </c>
      <c r="B6197" s="21" t="s">
        <v>13195</v>
      </c>
      <c r="C6197" s="21" t="s">
        <v>22682</v>
      </c>
      <c r="D6197" s="22">
        <v>46034</v>
      </c>
      <c r="E6197" s="23" t="s">
        <v>22656</v>
      </c>
      <c r="F6197" s="24" t="s">
        <v>22657</v>
      </c>
      <c r="G6197" s="25">
        <v>4</v>
      </c>
      <c r="H6197" s="29"/>
      <c r="I6197" s="30"/>
    </row>
    <row r="6198" spans="1:9" ht="15.75" thickBot="1" x14ac:dyDescent="0.3">
      <c r="A6198" s="43" t="s">
        <v>13196</v>
      </c>
      <c r="B6198" s="21" t="s">
        <v>13197</v>
      </c>
      <c r="C6198" s="21" t="s">
        <v>22682</v>
      </c>
      <c r="D6198" s="22">
        <v>46034</v>
      </c>
      <c r="E6198" s="23" t="s">
        <v>22656</v>
      </c>
      <c r="F6198" s="24" t="s">
        <v>22657</v>
      </c>
      <c r="G6198" s="25">
        <v>4</v>
      </c>
      <c r="H6198" s="26"/>
      <c r="I6198" s="27"/>
    </row>
    <row r="6199" spans="1:9" ht="15.75" thickBot="1" x14ac:dyDescent="0.3">
      <c r="A6199" s="43" t="s">
        <v>13198</v>
      </c>
      <c r="B6199" s="21" t="s">
        <v>13199</v>
      </c>
      <c r="C6199" s="21" t="s">
        <v>22682</v>
      </c>
      <c r="D6199" s="22">
        <v>46034</v>
      </c>
      <c r="E6199" s="23" t="s">
        <v>22656</v>
      </c>
      <c r="F6199" s="24" t="s">
        <v>22657</v>
      </c>
      <c r="G6199" s="25">
        <v>4</v>
      </c>
      <c r="H6199" s="29"/>
      <c r="I6199" s="30"/>
    </row>
    <row r="6200" spans="1:9" ht="15.75" thickBot="1" x14ac:dyDescent="0.3">
      <c r="A6200" s="43" t="s">
        <v>13200</v>
      </c>
      <c r="B6200" s="21" t="s">
        <v>13201</v>
      </c>
      <c r="C6200" s="21" t="s">
        <v>22682</v>
      </c>
      <c r="D6200" s="22">
        <v>46034</v>
      </c>
      <c r="E6200" s="23" t="s">
        <v>22656</v>
      </c>
      <c r="F6200" s="24" t="s">
        <v>22657</v>
      </c>
      <c r="G6200" s="25">
        <v>4</v>
      </c>
      <c r="H6200" s="26"/>
      <c r="I6200" s="27"/>
    </row>
    <row r="6201" spans="1:9" ht="15.75" thickBot="1" x14ac:dyDescent="0.3">
      <c r="A6201" s="43" t="s">
        <v>13202</v>
      </c>
      <c r="B6201" s="21" t="s">
        <v>13203</v>
      </c>
      <c r="C6201" s="21" t="s">
        <v>22682</v>
      </c>
      <c r="D6201" s="22">
        <v>46034</v>
      </c>
      <c r="E6201" s="23" t="s">
        <v>22658</v>
      </c>
      <c r="F6201" s="24" t="s">
        <v>22657</v>
      </c>
      <c r="G6201" s="25">
        <v>4</v>
      </c>
      <c r="H6201" s="29"/>
      <c r="I6201" s="30"/>
    </row>
    <row r="6202" spans="1:9" ht="15.75" thickBot="1" x14ac:dyDescent="0.3">
      <c r="A6202" s="43" t="s">
        <v>13204</v>
      </c>
      <c r="B6202" s="21" t="s">
        <v>13205</v>
      </c>
      <c r="C6202" s="21" t="s">
        <v>22682</v>
      </c>
      <c r="D6202" s="22">
        <v>46034</v>
      </c>
      <c r="E6202" s="23" t="s">
        <v>22656</v>
      </c>
      <c r="F6202" s="24" t="s">
        <v>22657</v>
      </c>
      <c r="G6202" s="25">
        <v>4</v>
      </c>
      <c r="H6202" s="26"/>
      <c r="I6202" s="27"/>
    </row>
    <row r="6203" spans="1:9" ht="15.75" thickBot="1" x14ac:dyDescent="0.3">
      <c r="A6203" s="43" t="s">
        <v>13206</v>
      </c>
      <c r="B6203" s="21" t="s">
        <v>13207</v>
      </c>
      <c r="C6203" s="21" t="s">
        <v>22682</v>
      </c>
      <c r="D6203" s="22">
        <v>46034</v>
      </c>
      <c r="E6203" s="23" t="s">
        <v>22656</v>
      </c>
      <c r="F6203" s="24" t="s">
        <v>22657</v>
      </c>
      <c r="G6203" s="25">
        <v>4</v>
      </c>
      <c r="H6203" s="29"/>
      <c r="I6203" s="30"/>
    </row>
    <row r="6204" spans="1:9" ht="15.75" thickBot="1" x14ac:dyDescent="0.3">
      <c r="A6204" s="43" t="s">
        <v>13208</v>
      </c>
      <c r="B6204" s="21" t="s">
        <v>13209</v>
      </c>
      <c r="C6204" s="21" t="s">
        <v>22682</v>
      </c>
      <c r="D6204" s="22">
        <v>46034</v>
      </c>
      <c r="E6204" s="23" t="s">
        <v>22656</v>
      </c>
      <c r="F6204" s="24" t="s">
        <v>22657</v>
      </c>
      <c r="G6204" s="25">
        <v>4</v>
      </c>
      <c r="H6204" s="26"/>
      <c r="I6204" s="27"/>
    </row>
    <row r="6205" spans="1:9" ht="15.75" thickBot="1" x14ac:dyDescent="0.3">
      <c r="A6205" s="43" t="s">
        <v>13210</v>
      </c>
      <c r="B6205" s="21" t="s">
        <v>13211</v>
      </c>
      <c r="C6205" s="21" t="s">
        <v>22682</v>
      </c>
      <c r="D6205" s="22">
        <v>46034</v>
      </c>
      <c r="E6205" s="23" t="s">
        <v>22658</v>
      </c>
      <c r="F6205" s="24" t="s">
        <v>22657</v>
      </c>
      <c r="G6205" s="25">
        <v>4</v>
      </c>
      <c r="H6205" s="29"/>
      <c r="I6205" s="30"/>
    </row>
    <row r="6206" spans="1:9" ht="15.75" thickBot="1" x14ac:dyDescent="0.3">
      <c r="A6206" s="43" t="s">
        <v>13212</v>
      </c>
      <c r="B6206" s="21" t="s">
        <v>13213</v>
      </c>
      <c r="C6206" s="21" t="s">
        <v>22682</v>
      </c>
      <c r="D6206" s="22">
        <v>46034</v>
      </c>
      <c r="E6206" s="23" t="s">
        <v>22658</v>
      </c>
      <c r="F6206" s="24" t="s">
        <v>22657</v>
      </c>
      <c r="G6206" s="25">
        <v>4</v>
      </c>
      <c r="H6206" s="26"/>
      <c r="I6206" s="27"/>
    </row>
    <row r="6207" spans="1:9" ht="15.75" thickBot="1" x14ac:dyDescent="0.3">
      <c r="A6207" s="43" t="s">
        <v>13214</v>
      </c>
      <c r="B6207" s="21" t="s">
        <v>13215</v>
      </c>
      <c r="C6207" s="21" t="s">
        <v>22682</v>
      </c>
      <c r="D6207" s="22">
        <v>46034</v>
      </c>
      <c r="E6207" s="23" t="s">
        <v>22658</v>
      </c>
      <c r="F6207" s="24" t="s">
        <v>22657</v>
      </c>
      <c r="G6207" s="25">
        <v>4</v>
      </c>
      <c r="H6207" s="29"/>
      <c r="I6207" s="30"/>
    </row>
    <row r="6208" spans="1:9" ht="15.75" thickBot="1" x14ac:dyDescent="0.3">
      <c r="A6208" s="43" t="s">
        <v>13216</v>
      </c>
      <c r="B6208" s="21" t="s">
        <v>13217</v>
      </c>
      <c r="C6208" s="21" t="s">
        <v>22682</v>
      </c>
      <c r="D6208" s="22">
        <v>46034</v>
      </c>
      <c r="E6208" s="23" t="s">
        <v>22658</v>
      </c>
      <c r="F6208" s="24" t="s">
        <v>22657</v>
      </c>
      <c r="G6208" s="25">
        <v>4</v>
      </c>
      <c r="H6208" s="26"/>
      <c r="I6208" s="27"/>
    </row>
    <row r="6209" spans="1:9" ht="15.75" thickBot="1" x14ac:dyDescent="0.3">
      <c r="A6209" s="43" t="s">
        <v>13218</v>
      </c>
      <c r="B6209" s="21" t="s">
        <v>13219</v>
      </c>
      <c r="C6209" s="21" t="s">
        <v>22682</v>
      </c>
      <c r="D6209" s="22">
        <v>46034</v>
      </c>
      <c r="E6209" s="23" t="s">
        <v>22658</v>
      </c>
      <c r="F6209" s="24" t="s">
        <v>22657</v>
      </c>
      <c r="G6209" s="25">
        <v>4</v>
      </c>
      <c r="H6209" s="29"/>
      <c r="I6209" s="30"/>
    </row>
    <row r="6210" spans="1:9" ht="15.75" thickBot="1" x14ac:dyDescent="0.3">
      <c r="A6210" s="43" t="s">
        <v>13220</v>
      </c>
      <c r="B6210" s="21" t="s">
        <v>13221</v>
      </c>
      <c r="C6210" s="21" t="s">
        <v>22682</v>
      </c>
      <c r="D6210" s="22">
        <v>46034</v>
      </c>
      <c r="E6210" s="23" t="s">
        <v>22658</v>
      </c>
      <c r="F6210" s="24" t="s">
        <v>22657</v>
      </c>
      <c r="G6210" s="25">
        <v>4</v>
      </c>
      <c r="H6210" s="26"/>
      <c r="I6210" s="27"/>
    </row>
    <row r="6211" spans="1:9" ht="15.75" thickBot="1" x14ac:dyDescent="0.3">
      <c r="A6211" s="43" t="s">
        <v>13222</v>
      </c>
      <c r="B6211" s="21" t="s">
        <v>13223</v>
      </c>
      <c r="C6211" s="21" t="s">
        <v>22682</v>
      </c>
      <c r="D6211" s="22">
        <v>46034</v>
      </c>
      <c r="E6211" s="23" t="s">
        <v>22656</v>
      </c>
      <c r="F6211" s="24" t="s">
        <v>22657</v>
      </c>
      <c r="G6211" s="25">
        <v>4</v>
      </c>
      <c r="H6211" s="29"/>
      <c r="I6211" s="30"/>
    </row>
    <row r="6212" spans="1:9" ht="15.75" thickBot="1" x14ac:dyDescent="0.3">
      <c r="A6212" s="43" t="s">
        <v>13224</v>
      </c>
      <c r="B6212" s="21" t="s">
        <v>13225</v>
      </c>
      <c r="C6212" s="21" t="s">
        <v>22682</v>
      </c>
      <c r="D6212" s="22">
        <v>46034</v>
      </c>
      <c r="E6212" s="23" t="s">
        <v>22656</v>
      </c>
      <c r="F6212" s="24" t="s">
        <v>22657</v>
      </c>
      <c r="G6212" s="25">
        <v>4</v>
      </c>
      <c r="H6212" s="26"/>
      <c r="I6212" s="27"/>
    </row>
    <row r="6213" spans="1:9" ht="15.75" thickBot="1" x14ac:dyDescent="0.3">
      <c r="A6213" s="43" t="s">
        <v>13226</v>
      </c>
      <c r="B6213" s="21" t="s">
        <v>13227</v>
      </c>
      <c r="C6213" s="21" t="s">
        <v>22682</v>
      </c>
      <c r="D6213" s="22">
        <v>46034</v>
      </c>
      <c r="E6213" s="23" t="s">
        <v>22658</v>
      </c>
      <c r="F6213" s="24" t="s">
        <v>22657</v>
      </c>
      <c r="G6213" s="25">
        <v>4</v>
      </c>
      <c r="H6213" s="29"/>
      <c r="I6213" s="30"/>
    </row>
    <row r="6214" spans="1:9" ht="15.75" thickBot="1" x14ac:dyDescent="0.3">
      <c r="A6214" s="43" t="s">
        <v>13228</v>
      </c>
      <c r="B6214" s="21" t="s">
        <v>13229</v>
      </c>
      <c r="C6214" s="21" t="s">
        <v>22682</v>
      </c>
      <c r="D6214" s="22">
        <v>46034</v>
      </c>
      <c r="E6214" s="23" t="s">
        <v>22658</v>
      </c>
      <c r="F6214" s="24" t="s">
        <v>22657</v>
      </c>
      <c r="G6214" s="25">
        <v>4</v>
      </c>
      <c r="H6214" s="26"/>
      <c r="I6214" s="27"/>
    </row>
    <row r="6215" spans="1:9" ht="15.75" thickBot="1" x14ac:dyDescent="0.3">
      <c r="A6215" s="43" t="s">
        <v>13230</v>
      </c>
      <c r="B6215" s="21" t="s">
        <v>13231</v>
      </c>
      <c r="C6215" s="21" t="s">
        <v>22682</v>
      </c>
      <c r="D6215" s="22">
        <v>46034</v>
      </c>
      <c r="E6215" s="23" t="s">
        <v>22656</v>
      </c>
      <c r="F6215" s="24" t="s">
        <v>22657</v>
      </c>
      <c r="G6215" s="25">
        <v>4</v>
      </c>
      <c r="H6215" s="29"/>
      <c r="I6215" s="30"/>
    </row>
    <row r="6216" spans="1:9" ht="15.75" thickBot="1" x14ac:dyDescent="0.3">
      <c r="A6216" s="43" t="s">
        <v>13232</v>
      </c>
      <c r="B6216" s="21" t="s">
        <v>13233</v>
      </c>
      <c r="C6216" s="21" t="s">
        <v>22682</v>
      </c>
      <c r="D6216" s="22">
        <v>46034</v>
      </c>
      <c r="E6216" s="23" t="s">
        <v>22658</v>
      </c>
      <c r="F6216" s="24" t="s">
        <v>22657</v>
      </c>
      <c r="G6216" s="25">
        <v>4</v>
      </c>
      <c r="H6216" s="26"/>
      <c r="I6216" s="27"/>
    </row>
    <row r="6217" spans="1:9" ht="15.75" thickBot="1" x14ac:dyDescent="0.3">
      <c r="A6217" s="43" t="s">
        <v>13234</v>
      </c>
      <c r="B6217" s="21" t="s">
        <v>13235</v>
      </c>
      <c r="C6217" s="21" t="s">
        <v>22682</v>
      </c>
      <c r="D6217" s="22">
        <v>46034</v>
      </c>
      <c r="E6217" s="23" t="s">
        <v>22656</v>
      </c>
      <c r="F6217" s="24" t="s">
        <v>22657</v>
      </c>
      <c r="G6217" s="25">
        <v>4</v>
      </c>
      <c r="H6217" s="29"/>
      <c r="I6217" s="30"/>
    </row>
    <row r="6218" spans="1:9" ht="15.75" thickBot="1" x14ac:dyDescent="0.3">
      <c r="A6218" s="43" t="s">
        <v>13236</v>
      </c>
      <c r="B6218" s="21" t="s">
        <v>13237</v>
      </c>
      <c r="C6218" s="21" t="s">
        <v>22682</v>
      </c>
      <c r="D6218" s="22">
        <v>46034</v>
      </c>
      <c r="E6218" s="23" t="s">
        <v>22656</v>
      </c>
      <c r="F6218" s="24" t="s">
        <v>22657</v>
      </c>
      <c r="G6218" s="25">
        <v>4</v>
      </c>
      <c r="H6218" s="26"/>
      <c r="I6218" s="27"/>
    </row>
    <row r="6219" spans="1:9" ht="15.75" thickBot="1" x14ac:dyDescent="0.3">
      <c r="A6219" s="43" t="s">
        <v>13238</v>
      </c>
      <c r="B6219" s="21" t="s">
        <v>13239</v>
      </c>
      <c r="C6219" s="21" t="s">
        <v>22682</v>
      </c>
      <c r="D6219" s="22">
        <v>46034</v>
      </c>
      <c r="E6219" s="23" t="s">
        <v>22658</v>
      </c>
      <c r="F6219" s="24" t="s">
        <v>22657</v>
      </c>
      <c r="G6219" s="25">
        <v>4</v>
      </c>
      <c r="H6219" s="29"/>
      <c r="I6219" s="30"/>
    </row>
    <row r="6220" spans="1:9" ht="15.75" thickBot="1" x14ac:dyDescent="0.3">
      <c r="A6220" s="43" t="s">
        <v>13240</v>
      </c>
      <c r="B6220" s="21" t="s">
        <v>13241</v>
      </c>
      <c r="C6220" s="21" t="s">
        <v>22682</v>
      </c>
      <c r="D6220" s="22">
        <v>46034</v>
      </c>
      <c r="E6220" s="23" t="s">
        <v>22656</v>
      </c>
      <c r="F6220" s="24" t="s">
        <v>22657</v>
      </c>
      <c r="G6220" s="25">
        <v>4</v>
      </c>
      <c r="H6220" s="26"/>
      <c r="I6220" s="27"/>
    </row>
    <row r="6221" spans="1:9" ht="15.75" thickBot="1" x14ac:dyDescent="0.3">
      <c r="A6221" s="43" t="s">
        <v>13242</v>
      </c>
      <c r="B6221" s="21" t="s">
        <v>13243</v>
      </c>
      <c r="C6221" s="21" t="s">
        <v>22682</v>
      </c>
      <c r="D6221" s="22">
        <v>46034</v>
      </c>
      <c r="E6221" s="23" t="s">
        <v>22658</v>
      </c>
      <c r="F6221" s="24" t="s">
        <v>22657</v>
      </c>
      <c r="G6221" s="25">
        <v>4</v>
      </c>
      <c r="H6221" s="29"/>
      <c r="I6221" s="30"/>
    </row>
    <row r="6222" spans="1:9" ht="15.75" thickBot="1" x14ac:dyDescent="0.3">
      <c r="A6222" s="43" t="s">
        <v>13244</v>
      </c>
      <c r="B6222" s="21" t="s">
        <v>13245</v>
      </c>
      <c r="C6222" s="21" t="s">
        <v>22682</v>
      </c>
      <c r="D6222" s="22">
        <v>46034</v>
      </c>
      <c r="E6222" s="23" t="s">
        <v>22656</v>
      </c>
      <c r="F6222" s="24" t="s">
        <v>22657</v>
      </c>
      <c r="G6222" s="25">
        <v>4</v>
      </c>
      <c r="H6222" s="26"/>
      <c r="I6222" s="27"/>
    </row>
    <row r="6223" spans="1:9" ht="15.75" thickBot="1" x14ac:dyDescent="0.3">
      <c r="A6223" s="43" t="s">
        <v>13246</v>
      </c>
      <c r="B6223" s="21" t="s">
        <v>13247</v>
      </c>
      <c r="C6223" s="21" t="s">
        <v>22682</v>
      </c>
      <c r="D6223" s="22">
        <v>46034</v>
      </c>
      <c r="E6223" s="23" t="s">
        <v>22656</v>
      </c>
      <c r="F6223" s="24" t="s">
        <v>22657</v>
      </c>
      <c r="G6223" s="25">
        <v>4</v>
      </c>
      <c r="H6223" s="29"/>
      <c r="I6223" s="30"/>
    </row>
    <row r="6224" spans="1:9" ht="15.75" thickBot="1" x14ac:dyDescent="0.3">
      <c r="A6224" s="43" t="s">
        <v>13248</v>
      </c>
      <c r="B6224" s="21" t="s">
        <v>13249</v>
      </c>
      <c r="C6224" s="21" t="s">
        <v>22682</v>
      </c>
      <c r="D6224" s="22">
        <v>46034</v>
      </c>
      <c r="E6224" s="23" t="s">
        <v>22658</v>
      </c>
      <c r="F6224" s="24" t="s">
        <v>22657</v>
      </c>
      <c r="G6224" s="25">
        <v>4</v>
      </c>
      <c r="H6224" s="26"/>
      <c r="I6224" s="27"/>
    </row>
    <row r="6225" spans="1:9" ht="15.75" thickBot="1" x14ac:dyDescent="0.3">
      <c r="A6225" s="43" t="s">
        <v>13250</v>
      </c>
      <c r="B6225" s="21" t="s">
        <v>13251</v>
      </c>
      <c r="C6225" s="21" t="s">
        <v>22682</v>
      </c>
      <c r="D6225" s="22">
        <v>46034</v>
      </c>
      <c r="E6225" s="23" t="s">
        <v>22658</v>
      </c>
      <c r="F6225" s="24" t="s">
        <v>22657</v>
      </c>
      <c r="G6225" s="25">
        <v>4</v>
      </c>
      <c r="H6225" s="29"/>
      <c r="I6225" s="30"/>
    </row>
    <row r="6226" spans="1:9" ht="15.75" thickBot="1" x14ac:dyDescent="0.3">
      <c r="A6226" s="43" t="s">
        <v>13252</v>
      </c>
      <c r="B6226" s="21" t="s">
        <v>13253</v>
      </c>
      <c r="C6226" s="21" t="s">
        <v>22682</v>
      </c>
      <c r="D6226" s="22">
        <v>46034</v>
      </c>
      <c r="E6226" s="23" t="s">
        <v>22656</v>
      </c>
      <c r="F6226" s="24" t="s">
        <v>22657</v>
      </c>
      <c r="G6226" s="25">
        <v>4</v>
      </c>
      <c r="H6226" s="26"/>
      <c r="I6226" s="27"/>
    </row>
    <row r="6227" spans="1:9" ht="15.75" thickBot="1" x14ac:dyDescent="0.3">
      <c r="A6227" s="43" t="s">
        <v>13254</v>
      </c>
      <c r="B6227" s="21" t="s">
        <v>13255</v>
      </c>
      <c r="C6227" s="21" t="s">
        <v>22682</v>
      </c>
      <c r="D6227" s="22">
        <v>46034</v>
      </c>
      <c r="E6227" s="23" t="s">
        <v>22658</v>
      </c>
      <c r="F6227" s="24" t="s">
        <v>22657</v>
      </c>
      <c r="G6227" s="25">
        <v>4</v>
      </c>
      <c r="H6227" s="29"/>
      <c r="I6227" s="30"/>
    </row>
    <row r="6228" spans="1:9" ht="15.75" thickBot="1" x14ac:dyDescent="0.3">
      <c r="A6228" s="43" t="s">
        <v>13256</v>
      </c>
      <c r="B6228" s="21" t="s">
        <v>13257</v>
      </c>
      <c r="C6228" s="21" t="s">
        <v>22682</v>
      </c>
      <c r="D6228" s="22">
        <v>46034</v>
      </c>
      <c r="E6228" s="23" t="s">
        <v>22656</v>
      </c>
      <c r="F6228" s="24" t="s">
        <v>22657</v>
      </c>
      <c r="G6228" s="25">
        <v>4</v>
      </c>
      <c r="H6228" s="26"/>
      <c r="I6228" s="27"/>
    </row>
    <row r="6229" spans="1:9" ht="15.75" thickBot="1" x14ac:dyDescent="0.3">
      <c r="A6229" s="43" t="s">
        <v>13258</v>
      </c>
      <c r="B6229" s="21" t="s">
        <v>13259</v>
      </c>
      <c r="C6229" s="21" t="s">
        <v>22682</v>
      </c>
      <c r="D6229" s="22">
        <v>46034</v>
      </c>
      <c r="E6229" s="23" t="s">
        <v>22656</v>
      </c>
      <c r="F6229" s="24" t="s">
        <v>22657</v>
      </c>
      <c r="G6229" s="25">
        <v>4</v>
      </c>
      <c r="H6229" s="29"/>
      <c r="I6229" s="30"/>
    </row>
    <row r="6230" spans="1:9" ht="15.75" thickBot="1" x14ac:dyDescent="0.3">
      <c r="A6230" s="43" t="s">
        <v>13260</v>
      </c>
      <c r="B6230" s="21" t="s">
        <v>13261</v>
      </c>
      <c r="C6230" s="21" t="s">
        <v>22682</v>
      </c>
      <c r="D6230" s="22">
        <v>46034</v>
      </c>
      <c r="E6230" s="23" t="s">
        <v>22656</v>
      </c>
      <c r="F6230" s="24" t="s">
        <v>22657</v>
      </c>
      <c r="G6230" s="25">
        <v>4</v>
      </c>
      <c r="H6230" s="26"/>
      <c r="I6230" s="27"/>
    </row>
    <row r="6231" spans="1:9" ht="15.75" thickBot="1" x14ac:dyDescent="0.3">
      <c r="A6231" s="43" t="s">
        <v>13262</v>
      </c>
      <c r="B6231" s="21" t="s">
        <v>13263</v>
      </c>
      <c r="C6231" s="21" t="s">
        <v>22682</v>
      </c>
      <c r="D6231" s="22">
        <v>46034</v>
      </c>
      <c r="E6231" s="23" t="s">
        <v>22658</v>
      </c>
      <c r="F6231" s="24" t="s">
        <v>22657</v>
      </c>
      <c r="G6231" s="25">
        <v>4</v>
      </c>
      <c r="H6231" s="29"/>
      <c r="I6231" s="30"/>
    </row>
    <row r="6232" spans="1:9" ht="15.75" thickBot="1" x14ac:dyDescent="0.3">
      <c r="A6232" s="43" t="s">
        <v>13264</v>
      </c>
      <c r="B6232" s="21" t="s">
        <v>13265</v>
      </c>
      <c r="C6232" s="21" t="s">
        <v>22682</v>
      </c>
      <c r="D6232" s="22">
        <v>46034</v>
      </c>
      <c r="E6232" s="23" t="s">
        <v>22658</v>
      </c>
      <c r="F6232" s="24" t="s">
        <v>22657</v>
      </c>
      <c r="G6232" s="25">
        <v>4</v>
      </c>
      <c r="H6232" s="26"/>
      <c r="I6232" s="27"/>
    </row>
    <row r="6233" spans="1:9" ht="15.75" thickBot="1" x14ac:dyDescent="0.3">
      <c r="A6233" s="43" t="s">
        <v>13266</v>
      </c>
      <c r="B6233" s="21" t="s">
        <v>13267</v>
      </c>
      <c r="C6233" s="21" t="s">
        <v>22682</v>
      </c>
      <c r="D6233" s="22">
        <v>46034</v>
      </c>
      <c r="E6233" s="23" t="s">
        <v>22658</v>
      </c>
      <c r="F6233" s="24" t="s">
        <v>22657</v>
      </c>
      <c r="G6233" s="25">
        <v>4</v>
      </c>
      <c r="H6233" s="29"/>
      <c r="I6233" s="30"/>
    </row>
    <row r="6234" spans="1:9" ht="15.75" thickBot="1" x14ac:dyDescent="0.3">
      <c r="A6234" s="43" t="s">
        <v>13268</v>
      </c>
      <c r="B6234" s="21" t="s">
        <v>13269</v>
      </c>
      <c r="C6234" s="21" t="s">
        <v>22682</v>
      </c>
      <c r="D6234" s="22">
        <v>46034</v>
      </c>
      <c r="E6234" s="23" t="s">
        <v>22658</v>
      </c>
      <c r="F6234" s="24" t="s">
        <v>22657</v>
      </c>
      <c r="G6234" s="25">
        <v>4</v>
      </c>
      <c r="H6234" s="26"/>
      <c r="I6234" s="27"/>
    </row>
    <row r="6235" spans="1:9" ht="15.75" thickBot="1" x14ac:dyDescent="0.3">
      <c r="A6235" s="43" t="s">
        <v>13270</v>
      </c>
      <c r="B6235" s="21" t="s">
        <v>13271</v>
      </c>
      <c r="C6235" s="21" t="s">
        <v>22682</v>
      </c>
      <c r="D6235" s="22">
        <v>46034</v>
      </c>
      <c r="E6235" s="23" t="s">
        <v>22658</v>
      </c>
      <c r="F6235" s="24" t="s">
        <v>22657</v>
      </c>
      <c r="G6235" s="25">
        <v>4</v>
      </c>
      <c r="H6235" s="29"/>
      <c r="I6235" s="30"/>
    </row>
    <row r="6236" spans="1:9" ht="15.75" thickBot="1" x14ac:dyDescent="0.3">
      <c r="A6236" s="43" t="s">
        <v>13272</v>
      </c>
      <c r="B6236" s="21" t="s">
        <v>13273</v>
      </c>
      <c r="C6236" s="21" t="s">
        <v>22682</v>
      </c>
      <c r="D6236" s="22">
        <v>46034</v>
      </c>
      <c r="E6236" s="23" t="s">
        <v>22658</v>
      </c>
      <c r="F6236" s="24" t="s">
        <v>22657</v>
      </c>
      <c r="G6236" s="25">
        <v>4</v>
      </c>
      <c r="H6236" s="26"/>
      <c r="I6236" s="27"/>
    </row>
    <row r="6237" spans="1:9" ht="15.75" thickBot="1" x14ac:dyDescent="0.3">
      <c r="A6237" s="43" t="s">
        <v>13274</v>
      </c>
      <c r="B6237" s="21" t="s">
        <v>13275</v>
      </c>
      <c r="C6237" s="21" t="s">
        <v>22682</v>
      </c>
      <c r="D6237" s="22">
        <v>46034</v>
      </c>
      <c r="E6237" s="23" t="s">
        <v>22658</v>
      </c>
      <c r="F6237" s="24" t="s">
        <v>22657</v>
      </c>
      <c r="G6237" s="25">
        <v>4</v>
      </c>
      <c r="H6237" s="29"/>
      <c r="I6237" s="30"/>
    </row>
    <row r="6238" spans="1:9" ht="15.75" thickBot="1" x14ac:dyDescent="0.3">
      <c r="A6238" s="43" t="s">
        <v>13276</v>
      </c>
      <c r="B6238" s="21" t="s">
        <v>13277</v>
      </c>
      <c r="C6238" s="21" t="s">
        <v>22682</v>
      </c>
      <c r="D6238" s="22">
        <v>46034</v>
      </c>
      <c r="E6238" s="23" t="s">
        <v>22658</v>
      </c>
      <c r="F6238" s="24" t="s">
        <v>22657</v>
      </c>
      <c r="G6238" s="25">
        <v>4</v>
      </c>
      <c r="H6238" s="26"/>
      <c r="I6238" s="27"/>
    </row>
    <row r="6239" spans="1:9" ht="15.75" thickBot="1" x14ac:dyDescent="0.3">
      <c r="A6239" s="43" t="s">
        <v>13278</v>
      </c>
      <c r="B6239" s="21" t="s">
        <v>13279</v>
      </c>
      <c r="C6239" s="21" t="s">
        <v>22682</v>
      </c>
      <c r="D6239" s="22">
        <v>46034</v>
      </c>
      <c r="E6239" s="23" t="s">
        <v>22658</v>
      </c>
      <c r="F6239" s="24" t="s">
        <v>22657</v>
      </c>
      <c r="G6239" s="25">
        <v>4</v>
      </c>
      <c r="H6239" s="29"/>
      <c r="I6239" s="30"/>
    </row>
    <row r="6240" spans="1:9" ht="15.75" thickBot="1" x14ac:dyDescent="0.3">
      <c r="A6240" s="43" t="s">
        <v>13280</v>
      </c>
      <c r="B6240" s="21" t="s">
        <v>13281</v>
      </c>
      <c r="C6240" s="21" t="s">
        <v>22682</v>
      </c>
      <c r="D6240" s="22">
        <v>46034</v>
      </c>
      <c r="E6240" s="23" t="s">
        <v>22658</v>
      </c>
      <c r="F6240" s="24" t="s">
        <v>22657</v>
      </c>
      <c r="G6240" s="25">
        <v>4</v>
      </c>
      <c r="H6240" s="26"/>
      <c r="I6240" s="27"/>
    </row>
    <row r="6241" spans="1:9" ht="15.75" thickBot="1" x14ac:dyDescent="0.3">
      <c r="A6241" s="43" t="s">
        <v>13282</v>
      </c>
      <c r="B6241" s="21" t="s">
        <v>13283</v>
      </c>
      <c r="C6241" s="21" t="s">
        <v>22672</v>
      </c>
      <c r="D6241" s="31" t="s">
        <v>22673</v>
      </c>
      <c r="E6241" s="23" t="s">
        <v>22658</v>
      </c>
      <c r="F6241" s="24" t="s">
        <v>22657</v>
      </c>
      <c r="G6241" s="25">
        <v>4</v>
      </c>
      <c r="H6241" s="29"/>
      <c r="I6241" s="30"/>
    </row>
    <row r="6242" spans="1:9" ht="15.75" thickBot="1" x14ac:dyDescent="0.3">
      <c r="A6242" s="43" t="s">
        <v>13284</v>
      </c>
      <c r="B6242" s="21" t="s">
        <v>13285</v>
      </c>
      <c r="C6242" s="21" t="s">
        <v>22672</v>
      </c>
      <c r="D6242" s="31" t="s">
        <v>22673</v>
      </c>
      <c r="E6242" s="23" t="s">
        <v>22658</v>
      </c>
      <c r="F6242" s="24" t="s">
        <v>22657</v>
      </c>
      <c r="G6242" s="25">
        <v>4</v>
      </c>
      <c r="H6242" s="26"/>
      <c r="I6242" s="27"/>
    </row>
    <row r="6243" spans="1:9" ht="15.75" thickBot="1" x14ac:dyDescent="0.3">
      <c r="A6243" s="43" t="s">
        <v>13286</v>
      </c>
      <c r="B6243" s="21" t="s">
        <v>13287</v>
      </c>
      <c r="C6243" s="21" t="s">
        <v>22672</v>
      </c>
      <c r="D6243" s="31" t="s">
        <v>22673</v>
      </c>
      <c r="E6243" s="23" t="s">
        <v>22656</v>
      </c>
      <c r="F6243" s="24" t="s">
        <v>22657</v>
      </c>
      <c r="G6243" s="25">
        <v>4</v>
      </c>
      <c r="H6243" s="29"/>
      <c r="I6243" s="30"/>
    </row>
    <row r="6244" spans="1:9" ht="15.75" thickBot="1" x14ac:dyDescent="0.3">
      <c r="A6244" s="43" t="s">
        <v>13288</v>
      </c>
      <c r="B6244" s="21" t="s">
        <v>13289</v>
      </c>
      <c r="C6244" s="21" t="s">
        <v>22672</v>
      </c>
      <c r="D6244" s="31" t="s">
        <v>22673</v>
      </c>
      <c r="E6244" s="23" t="s">
        <v>22656</v>
      </c>
      <c r="F6244" s="24" t="s">
        <v>22657</v>
      </c>
      <c r="G6244" s="25">
        <v>4</v>
      </c>
      <c r="H6244" s="26"/>
      <c r="I6244" s="27"/>
    </row>
    <row r="6245" spans="1:9" ht="15.75" thickBot="1" x14ac:dyDescent="0.3">
      <c r="A6245" s="43" t="s">
        <v>13290</v>
      </c>
      <c r="B6245" s="21" t="s">
        <v>13291</v>
      </c>
      <c r="C6245" s="21" t="s">
        <v>22672</v>
      </c>
      <c r="D6245" s="31" t="s">
        <v>22673</v>
      </c>
      <c r="E6245" s="23" t="s">
        <v>22658</v>
      </c>
      <c r="F6245" s="24" t="s">
        <v>22657</v>
      </c>
      <c r="G6245" s="25">
        <v>4</v>
      </c>
      <c r="H6245" s="29"/>
      <c r="I6245" s="30"/>
    </row>
    <row r="6246" spans="1:9" ht="15.75" thickBot="1" x14ac:dyDescent="0.3">
      <c r="A6246" s="43" t="s">
        <v>13292</v>
      </c>
      <c r="B6246" s="21" t="s">
        <v>13293</v>
      </c>
      <c r="C6246" s="21" t="s">
        <v>22672</v>
      </c>
      <c r="D6246" s="31" t="s">
        <v>22673</v>
      </c>
      <c r="E6246" s="23" t="s">
        <v>22656</v>
      </c>
      <c r="F6246" s="24" t="s">
        <v>22657</v>
      </c>
      <c r="G6246" s="25">
        <v>4</v>
      </c>
      <c r="H6246" s="26"/>
      <c r="I6246" s="27"/>
    </row>
    <row r="6247" spans="1:9" ht="15.75" thickBot="1" x14ac:dyDescent="0.3">
      <c r="A6247" s="43" t="s">
        <v>13294</v>
      </c>
      <c r="B6247" s="21" t="s">
        <v>13295</v>
      </c>
      <c r="C6247" s="21" t="s">
        <v>22682</v>
      </c>
      <c r="D6247" s="22">
        <v>46034</v>
      </c>
      <c r="E6247" s="23" t="s">
        <v>22658</v>
      </c>
      <c r="F6247" s="24" t="s">
        <v>22657</v>
      </c>
      <c r="G6247" s="25">
        <v>4</v>
      </c>
      <c r="H6247" s="29"/>
      <c r="I6247" s="30"/>
    </row>
    <row r="6248" spans="1:9" ht="15.75" thickBot="1" x14ac:dyDescent="0.3">
      <c r="A6248" s="43" t="s">
        <v>13296</v>
      </c>
      <c r="B6248" s="21" t="s">
        <v>13297</v>
      </c>
      <c r="C6248" s="21" t="s">
        <v>22682</v>
      </c>
      <c r="D6248" s="22">
        <v>46034</v>
      </c>
      <c r="E6248" s="23" t="s">
        <v>22658</v>
      </c>
      <c r="F6248" s="24" t="s">
        <v>22657</v>
      </c>
      <c r="G6248" s="25">
        <v>4</v>
      </c>
      <c r="H6248" s="26"/>
      <c r="I6248" s="27"/>
    </row>
    <row r="6249" spans="1:9" ht="15.75" thickBot="1" x14ac:dyDescent="0.3">
      <c r="A6249" s="43" t="s">
        <v>13298</v>
      </c>
      <c r="B6249" s="21" t="s">
        <v>13299</v>
      </c>
      <c r="C6249" s="21" t="s">
        <v>22682</v>
      </c>
      <c r="D6249" s="22">
        <v>46034</v>
      </c>
      <c r="E6249" s="23" t="s">
        <v>22656</v>
      </c>
      <c r="F6249" s="24" t="s">
        <v>22657</v>
      </c>
      <c r="G6249" s="25">
        <v>4</v>
      </c>
      <c r="H6249" s="29"/>
      <c r="I6249" s="30"/>
    </row>
    <row r="6250" spans="1:9" ht="15.75" thickBot="1" x14ac:dyDescent="0.3">
      <c r="A6250" s="43" t="s">
        <v>13300</v>
      </c>
      <c r="B6250" s="21" t="s">
        <v>13301</v>
      </c>
      <c r="C6250" s="21" t="s">
        <v>22682</v>
      </c>
      <c r="D6250" s="22">
        <v>46034</v>
      </c>
      <c r="E6250" s="23" t="s">
        <v>22658</v>
      </c>
      <c r="F6250" s="24" t="s">
        <v>22657</v>
      </c>
      <c r="G6250" s="25">
        <v>4</v>
      </c>
      <c r="H6250" s="26"/>
      <c r="I6250" s="27"/>
    </row>
    <row r="6251" spans="1:9" ht="15.75" thickBot="1" x14ac:dyDescent="0.3">
      <c r="A6251" s="43" t="s">
        <v>13302</v>
      </c>
      <c r="B6251" s="21" t="s">
        <v>13303</v>
      </c>
      <c r="C6251" s="21" t="s">
        <v>22682</v>
      </c>
      <c r="D6251" s="22">
        <v>46034</v>
      </c>
      <c r="E6251" s="23" t="s">
        <v>22656</v>
      </c>
      <c r="F6251" s="24" t="s">
        <v>22657</v>
      </c>
      <c r="G6251" s="25">
        <v>5</v>
      </c>
      <c r="H6251" s="29"/>
      <c r="I6251" s="30"/>
    </row>
    <row r="6252" spans="1:9" ht="15.75" thickBot="1" x14ac:dyDescent="0.3">
      <c r="A6252" s="43" t="s">
        <v>13304</v>
      </c>
      <c r="B6252" s="21" t="s">
        <v>13305</v>
      </c>
      <c r="C6252" s="21" t="s">
        <v>22655</v>
      </c>
      <c r="D6252" s="31" t="s">
        <v>22669</v>
      </c>
      <c r="E6252" s="23" t="s">
        <v>22661</v>
      </c>
      <c r="F6252" s="24" t="s">
        <v>22657</v>
      </c>
      <c r="G6252" s="25">
        <v>12</v>
      </c>
      <c r="H6252" s="26"/>
      <c r="I6252" s="27"/>
    </row>
    <row r="6253" spans="1:9" ht="15.75" thickBot="1" x14ac:dyDescent="0.3">
      <c r="A6253" s="43" t="s">
        <v>13306</v>
      </c>
      <c r="B6253" s="21" t="s">
        <v>13307</v>
      </c>
      <c r="C6253" s="21" t="s">
        <v>22655</v>
      </c>
      <c r="D6253" s="31" t="s">
        <v>22688</v>
      </c>
      <c r="E6253" s="23" t="s">
        <v>22656</v>
      </c>
      <c r="F6253" s="24" t="s">
        <v>22657</v>
      </c>
      <c r="G6253" s="25">
        <v>14</v>
      </c>
      <c r="H6253" s="29"/>
      <c r="I6253" s="30"/>
    </row>
    <row r="6254" spans="1:9" ht="15.75" thickBot="1" x14ac:dyDescent="0.3">
      <c r="A6254" s="43" t="s">
        <v>13308</v>
      </c>
      <c r="B6254" s="21" t="s">
        <v>13309</v>
      </c>
      <c r="C6254" s="21" t="s">
        <v>22655</v>
      </c>
      <c r="D6254" s="31" t="s">
        <v>22688</v>
      </c>
      <c r="E6254" s="23" t="s">
        <v>22661</v>
      </c>
      <c r="F6254" s="24" t="s">
        <v>22657</v>
      </c>
      <c r="G6254" s="25">
        <v>6</v>
      </c>
      <c r="H6254" s="26"/>
      <c r="I6254" s="27"/>
    </row>
    <row r="6255" spans="1:9" ht="15.75" thickBot="1" x14ac:dyDescent="0.3">
      <c r="A6255" s="43" t="s">
        <v>13310</v>
      </c>
      <c r="B6255" s="21" t="s">
        <v>13311</v>
      </c>
      <c r="C6255" s="21" t="s">
        <v>22655</v>
      </c>
      <c r="D6255" s="22">
        <v>46046</v>
      </c>
      <c r="E6255" s="23" t="s">
        <v>22656</v>
      </c>
      <c r="F6255" s="24" t="s">
        <v>22657</v>
      </c>
      <c r="G6255" s="25">
        <v>8</v>
      </c>
      <c r="H6255" s="29"/>
      <c r="I6255" s="30"/>
    </row>
    <row r="6256" spans="1:9" ht="15.75" thickBot="1" x14ac:dyDescent="0.3">
      <c r="A6256" s="43" t="s">
        <v>13312</v>
      </c>
      <c r="B6256" s="21" t="s">
        <v>13313</v>
      </c>
      <c r="C6256" s="21" t="s">
        <v>22655</v>
      </c>
      <c r="D6256" s="22">
        <v>46046</v>
      </c>
      <c r="E6256" s="23" t="s">
        <v>22656</v>
      </c>
      <c r="F6256" s="24" t="s">
        <v>22657</v>
      </c>
      <c r="G6256" s="25">
        <v>6</v>
      </c>
      <c r="H6256" s="34">
        <v>6</v>
      </c>
      <c r="I6256" s="35">
        <v>12</v>
      </c>
    </row>
    <row r="6257" spans="1:9" ht="15.75" thickBot="1" x14ac:dyDescent="0.3">
      <c r="A6257" s="43" t="s">
        <v>13314</v>
      </c>
      <c r="B6257" s="21" t="s">
        <v>13315</v>
      </c>
      <c r="C6257" s="21" t="s">
        <v>22655</v>
      </c>
      <c r="D6257" s="22">
        <v>46046</v>
      </c>
      <c r="E6257" s="23" t="s">
        <v>22656</v>
      </c>
      <c r="F6257" s="24" t="s">
        <v>22657</v>
      </c>
      <c r="G6257" s="25">
        <v>8</v>
      </c>
      <c r="H6257" s="29"/>
      <c r="I6257" s="30"/>
    </row>
    <row r="6258" spans="1:9" ht="15.75" thickBot="1" x14ac:dyDescent="0.3">
      <c r="A6258" s="43" t="s">
        <v>13316</v>
      </c>
      <c r="B6258" s="21" t="s">
        <v>13317</v>
      </c>
      <c r="C6258" s="21" t="s">
        <v>22655</v>
      </c>
      <c r="D6258" s="22">
        <v>46034</v>
      </c>
      <c r="E6258" s="23" t="s">
        <v>22656</v>
      </c>
      <c r="F6258" s="24" t="s">
        <v>22657</v>
      </c>
      <c r="G6258" s="25">
        <v>4</v>
      </c>
      <c r="H6258" s="26"/>
      <c r="I6258" s="27"/>
    </row>
    <row r="6259" spans="1:9" ht="15.75" thickBot="1" x14ac:dyDescent="0.3">
      <c r="A6259" s="43" t="s">
        <v>13318</v>
      </c>
      <c r="B6259" s="21" t="s">
        <v>13319</v>
      </c>
      <c r="C6259" s="21" t="s">
        <v>22655</v>
      </c>
      <c r="D6259" s="22">
        <v>46046</v>
      </c>
      <c r="E6259" s="23" t="s">
        <v>22656</v>
      </c>
      <c r="F6259" s="24" t="s">
        <v>22657</v>
      </c>
      <c r="G6259" s="25">
        <v>8</v>
      </c>
      <c r="H6259" s="29"/>
      <c r="I6259" s="30"/>
    </row>
    <row r="6260" spans="1:9" ht="15.75" thickBot="1" x14ac:dyDescent="0.3">
      <c r="A6260" s="43" t="s">
        <v>13320</v>
      </c>
      <c r="B6260" s="21" t="s">
        <v>13321</v>
      </c>
      <c r="C6260" s="21" t="s">
        <v>22655</v>
      </c>
      <c r="D6260" s="22">
        <v>46034</v>
      </c>
      <c r="E6260" s="23" t="s">
        <v>22656</v>
      </c>
      <c r="F6260" s="24" t="s">
        <v>22657</v>
      </c>
      <c r="G6260" s="25">
        <v>4</v>
      </c>
      <c r="H6260" s="26"/>
      <c r="I6260" s="27"/>
    </row>
    <row r="6261" spans="1:9" ht="15.75" thickBot="1" x14ac:dyDescent="0.3">
      <c r="A6261" s="43" t="s">
        <v>13322</v>
      </c>
      <c r="B6261" s="21" t="s">
        <v>13323</v>
      </c>
      <c r="C6261" s="21" t="s">
        <v>22655</v>
      </c>
      <c r="D6261" s="22">
        <v>46046</v>
      </c>
      <c r="E6261" s="23" t="s">
        <v>22656</v>
      </c>
      <c r="F6261" s="24" t="s">
        <v>22657</v>
      </c>
      <c r="G6261" s="25">
        <v>8</v>
      </c>
      <c r="H6261" s="29"/>
      <c r="I6261" s="30"/>
    </row>
    <row r="6262" spans="1:9" ht="15.75" thickBot="1" x14ac:dyDescent="0.3">
      <c r="A6262" s="43" t="s">
        <v>13324</v>
      </c>
      <c r="B6262" s="21" t="s">
        <v>13325</v>
      </c>
      <c r="C6262" s="21" t="s">
        <v>22655</v>
      </c>
      <c r="D6262" s="22">
        <v>46034</v>
      </c>
      <c r="E6262" s="23" t="s">
        <v>22656</v>
      </c>
      <c r="F6262" s="24" t="s">
        <v>22657</v>
      </c>
      <c r="G6262" s="25">
        <v>4</v>
      </c>
      <c r="H6262" s="26"/>
      <c r="I6262" s="27"/>
    </row>
    <row r="6263" spans="1:9" ht="15.75" thickBot="1" x14ac:dyDescent="0.3">
      <c r="A6263" s="43" t="s">
        <v>13326</v>
      </c>
      <c r="B6263" s="21" t="s">
        <v>13327</v>
      </c>
      <c r="C6263" s="21" t="s">
        <v>22655</v>
      </c>
      <c r="D6263" s="22">
        <v>46046</v>
      </c>
      <c r="E6263" s="23" t="s">
        <v>22656</v>
      </c>
      <c r="F6263" s="24" t="s">
        <v>22657</v>
      </c>
      <c r="G6263" s="25">
        <v>4</v>
      </c>
      <c r="H6263" s="29"/>
      <c r="I6263" s="30"/>
    </row>
    <row r="6264" spans="1:9" ht="15.75" thickBot="1" x14ac:dyDescent="0.3">
      <c r="A6264" s="43" t="s">
        <v>13328</v>
      </c>
      <c r="B6264" s="21" t="s">
        <v>13329</v>
      </c>
      <c r="C6264" s="21" t="s">
        <v>22655</v>
      </c>
      <c r="D6264" s="22">
        <v>46034</v>
      </c>
      <c r="E6264" s="23" t="s">
        <v>22656</v>
      </c>
      <c r="F6264" s="24" t="s">
        <v>22657</v>
      </c>
      <c r="G6264" s="25">
        <v>4</v>
      </c>
      <c r="H6264" s="26"/>
      <c r="I6264" s="27"/>
    </row>
    <row r="6265" spans="1:9" ht="15.75" thickBot="1" x14ac:dyDescent="0.3">
      <c r="A6265" s="43" t="s">
        <v>1169</v>
      </c>
      <c r="B6265" s="21" t="s">
        <v>1170</v>
      </c>
      <c r="C6265" s="21" t="s">
        <v>22655</v>
      </c>
      <c r="D6265" s="22">
        <v>46025</v>
      </c>
      <c r="E6265" s="23" t="s">
        <v>22656</v>
      </c>
      <c r="F6265" s="24" t="s">
        <v>22657</v>
      </c>
      <c r="G6265" s="25">
        <v>2</v>
      </c>
      <c r="H6265" s="29"/>
      <c r="I6265" s="30"/>
    </row>
    <row r="6266" spans="1:9" ht="15.75" thickBot="1" x14ac:dyDescent="0.3">
      <c r="A6266" s="43" t="s">
        <v>13330</v>
      </c>
      <c r="B6266" s="21" t="s">
        <v>13331</v>
      </c>
      <c r="C6266" s="21" t="s">
        <v>22655</v>
      </c>
      <c r="D6266" s="22">
        <v>46046</v>
      </c>
      <c r="E6266" s="23" t="s">
        <v>22656</v>
      </c>
      <c r="F6266" s="24" t="s">
        <v>22657</v>
      </c>
      <c r="G6266" s="25">
        <v>8</v>
      </c>
      <c r="H6266" s="26"/>
      <c r="I6266" s="27"/>
    </row>
    <row r="6267" spans="1:9" ht="15.75" thickBot="1" x14ac:dyDescent="0.3">
      <c r="A6267" s="43" t="s">
        <v>1025</v>
      </c>
      <c r="B6267" s="21" t="s">
        <v>1026</v>
      </c>
      <c r="C6267" s="21" t="s">
        <v>22655</v>
      </c>
      <c r="D6267" s="22">
        <v>46030</v>
      </c>
      <c r="E6267" s="23" t="s">
        <v>22665</v>
      </c>
      <c r="F6267" s="24" t="s">
        <v>22657</v>
      </c>
      <c r="G6267" s="25">
        <v>12</v>
      </c>
      <c r="H6267" s="32">
        <v>12</v>
      </c>
      <c r="I6267" s="33">
        <v>24</v>
      </c>
    </row>
    <row r="6268" spans="1:9" ht="15.75" thickBot="1" x14ac:dyDescent="0.3">
      <c r="A6268" s="43" t="s">
        <v>13332</v>
      </c>
      <c r="B6268" s="21" t="s">
        <v>13333</v>
      </c>
      <c r="C6268" s="21" t="s">
        <v>22655</v>
      </c>
      <c r="D6268" s="22">
        <v>46034</v>
      </c>
      <c r="E6268" s="23" t="s">
        <v>22656</v>
      </c>
      <c r="F6268" s="24" t="s">
        <v>22657</v>
      </c>
      <c r="G6268" s="25">
        <v>4</v>
      </c>
      <c r="H6268" s="26"/>
      <c r="I6268" s="27"/>
    </row>
    <row r="6269" spans="1:9" ht="15.75" thickBot="1" x14ac:dyDescent="0.3">
      <c r="A6269" s="43" t="s">
        <v>795</v>
      </c>
      <c r="B6269" s="21" t="s">
        <v>796</v>
      </c>
      <c r="C6269" s="21" t="s">
        <v>22655</v>
      </c>
      <c r="D6269" s="22">
        <v>46025</v>
      </c>
      <c r="E6269" s="23" t="s">
        <v>22656</v>
      </c>
      <c r="F6269" s="24" t="s">
        <v>22657</v>
      </c>
      <c r="G6269" s="25">
        <v>4</v>
      </c>
      <c r="H6269" s="32">
        <v>4</v>
      </c>
      <c r="I6269" s="33">
        <v>6</v>
      </c>
    </row>
    <row r="6270" spans="1:9" ht="15.75" thickBot="1" x14ac:dyDescent="0.3">
      <c r="A6270" s="43" t="s">
        <v>13334</v>
      </c>
      <c r="B6270" s="21" t="s">
        <v>13335</v>
      </c>
      <c r="C6270" s="21" t="s">
        <v>22655</v>
      </c>
      <c r="D6270" s="22">
        <v>46046</v>
      </c>
      <c r="E6270" s="23" t="s">
        <v>22656</v>
      </c>
      <c r="F6270" s="24" t="s">
        <v>22657</v>
      </c>
      <c r="G6270" s="25">
        <v>8</v>
      </c>
      <c r="H6270" s="26"/>
      <c r="I6270" s="27"/>
    </row>
    <row r="6271" spans="1:9" ht="15.75" thickBot="1" x14ac:dyDescent="0.3">
      <c r="A6271" s="43" t="s">
        <v>13336</v>
      </c>
      <c r="B6271" s="21" t="s">
        <v>13337</v>
      </c>
      <c r="C6271" s="21" t="s">
        <v>22655</v>
      </c>
      <c r="D6271" s="22">
        <v>46046</v>
      </c>
      <c r="E6271" s="23" t="s">
        <v>22656</v>
      </c>
      <c r="F6271" s="24" t="s">
        <v>22657</v>
      </c>
      <c r="G6271" s="25">
        <v>8</v>
      </c>
      <c r="H6271" s="29"/>
      <c r="I6271" s="30"/>
    </row>
    <row r="6272" spans="1:9" ht="15.75" thickBot="1" x14ac:dyDescent="0.3">
      <c r="A6272" s="43" t="s">
        <v>13338</v>
      </c>
      <c r="B6272" s="21" t="s">
        <v>13339</v>
      </c>
      <c r="C6272" s="21" t="s">
        <v>22655</v>
      </c>
      <c r="D6272" s="22">
        <v>46034</v>
      </c>
      <c r="E6272" s="23" t="s">
        <v>22656</v>
      </c>
      <c r="F6272" s="24" t="s">
        <v>22657</v>
      </c>
      <c r="G6272" s="25">
        <v>4</v>
      </c>
      <c r="H6272" s="26"/>
      <c r="I6272" s="27"/>
    </row>
    <row r="6273" spans="1:9" ht="15.75" thickBot="1" x14ac:dyDescent="0.3">
      <c r="A6273" s="43" t="s">
        <v>13340</v>
      </c>
      <c r="B6273" s="21" t="s">
        <v>13341</v>
      </c>
      <c r="C6273" s="21" t="s">
        <v>22655</v>
      </c>
      <c r="D6273" s="22">
        <v>46046</v>
      </c>
      <c r="E6273" s="23" t="s">
        <v>22656</v>
      </c>
      <c r="F6273" s="24" t="s">
        <v>22657</v>
      </c>
      <c r="G6273" s="25">
        <v>8</v>
      </c>
      <c r="H6273" s="29"/>
      <c r="I6273" s="30"/>
    </row>
    <row r="6274" spans="1:9" ht="15.75" thickBot="1" x14ac:dyDescent="0.3">
      <c r="A6274" s="43" t="s">
        <v>13342</v>
      </c>
      <c r="B6274" s="21" t="s">
        <v>13343</v>
      </c>
      <c r="C6274" s="21" t="s">
        <v>22655</v>
      </c>
      <c r="D6274" s="22">
        <v>46034</v>
      </c>
      <c r="E6274" s="23" t="s">
        <v>22656</v>
      </c>
      <c r="F6274" s="24" t="s">
        <v>22657</v>
      </c>
      <c r="G6274" s="25">
        <v>4</v>
      </c>
      <c r="H6274" s="26"/>
      <c r="I6274" s="27"/>
    </row>
    <row r="6275" spans="1:9" ht="15.75" thickBot="1" x14ac:dyDescent="0.3">
      <c r="A6275" s="43" t="s">
        <v>13344</v>
      </c>
      <c r="B6275" s="21" t="s">
        <v>13345</v>
      </c>
      <c r="C6275" s="21" t="s">
        <v>22655</v>
      </c>
      <c r="D6275" s="22">
        <v>46046</v>
      </c>
      <c r="E6275" s="23" t="s">
        <v>22656</v>
      </c>
      <c r="F6275" s="24" t="s">
        <v>22657</v>
      </c>
      <c r="G6275" s="25">
        <v>8</v>
      </c>
      <c r="H6275" s="29"/>
      <c r="I6275" s="30"/>
    </row>
    <row r="6276" spans="1:9" ht="15.75" thickBot="1" x14ac:dyDescent="0.3">
      <c r="A6276" s="43" t="s">
        <v>13346</v>
      </c>
      <c r="B6276" s="21" t="s">
        <v>13347</v>
      </c>
      <c r="C6276" s="21" t="s">
        <v>22655</v>
      </c>
      <c r="D6276" s="22">
        <v>46034</v>
      </c>
      <c r="E6276" s="23" t="s">
        <v>22656</v>
      </c>
      <c r="F6276" s="24" t="s">
        <v>22657</v>
      </c>
      <c r="G6276" s="25">
        <v>4</v>
      </c>
      <c r="H6276" s="26"/>
      <c r="I6276" s="27"/>
    </row>
    <row r="6277" spans="1:9" ht="15.75" thickBot="1" x14ac:dyDescent="0.3">
      <c r="A6277" s="43" t="s">
        <v>13348</v>
      </c>
      <c r="B6277" s="21" t="s">
        <v>13349</v>
      </c>
      <c r="C6277" s="21" t="s">
        <v>22655</v>
      </c>
      <c r="D6277" s="31" t="s">
        <v>22688</v>
      </c>
      <c r="E6277" s="23" t="s">
        <v>22658</v>
      </c>
      <c r="F6277" s="24" t="s">
        <v>22657</v>
      </c>
      <c r="G6277" s="25">
        <v>7</v>
      </c>
      <c r="H6277" s="29"/>
      <c r="I6277" s="30"/>
    </row>
    <row r="6278" spans="1:9" ht="15.75" thickBot="1" x14ac:dyDescent="0.3">
      <c r="A6278" s="43" t="s">
        <v>13350</v>
      </c>
      <c r="B6278" s="21" t="s">
        <v>13351</v>
      </c>
      <c r="C6278" s="21" t="s">
        <v>22655</v>
      </c>
      <c r="D6278" s="31" t="s">
        <v>22688</v>
      </c>
      <c r="E6278" s="23" t="s">
        <v>22658</v>
      </c>
      <c r="F6278" s="24" t="s">
        <v>22657</v>
      </c>
      <c r="G6278" s="25">
        <v>7</v>
      </c>
      <c r="H6278" s="26"/>
      <c r="I6278" s="27"/>
    </row>
    <row r="6279" spans="1:9" ht="15.75" thickBot="1" x14ac:dyDescent="0.3">
      <c r="A6279" s="43" t="s">
        <v>13354</v>
      </c>
      <c r="B6279" s="21" t="s">
        <v>13355</v>
      </c>
      <c r="C6279" s="21" t="s">
        <v>22655</v>
      </c>
      <c r="D6279" s="31" t="s">
        <v>22688</v>
      </c>
      <c r="E6279" s="23" t="s">
        <v>22656</v>
      </c>
      <c r="F6279" s="24" t="s">
        <v>22657</v>
      </c>
      <c r="G6279" s="25">
        <v>7</v>
      </c>
      <c r="H6279" s="29"/>
      <c r="I6279" s="30"/>
    </row>
    <row r="6280" spans="1:9" ht="15.75" thickBot="1" x14ac:dyDescent="0.3">
      <c r="A6280" s="43" t="s">
        <v>13356</v>
      </c>
      <c r="B6280" s="21" t="s">
        <v>13357</v>
      </c>
      <c r="C6280" s="21" t="s">
        <v>22655</v>
      </c>
      <c r="D6280" s="31" t="s">
        <v>22688</v>
      </c>
      <c r="E6280" s="23" t="s">
        <v>22656</v>
      </c>
      <c r="F6280" s="24" t="s">
        <v>22657</v>
      </c>
      <c r="G6280" s="25">
        <v>7</v>
      </c>
      <c r="H6280" s="26"/>
      <c r="I6280" s="27"/>
    </row>
    <row r="6281" spans="1:9" ht="15.75" thickBot="1" x14ac:dyDescent="0.3">
      <c r="A6281" s="43" t="s">
        <v>13358</v>
      </c>
      <c r="B6281" s="21" t="s">
        <v>13359</v>
      </c>
      <c r="C6281" s="21" t="s">
        <v>22655</v>
      </c>
      <c r="D6281" s="31" t="s">
        <v>22688</v>
      </c>
      <c r="E6281" s="23" t="s">
        <v>22658</v>
      </c>
      <c r="F6281" s="24" t="s">
        <v>22657</v>
      </c>
      <c r="G6281" s="25">
        <v>7</v>
      </c>
      <c r="H6281" s="29"/>
      <c r="I6281" s="30"/>
    </row>
    <row r="6282" spans="1:9" ht="15.75" thickBot="1" x14ac:dyDescent="0.3">
      <c r="A6282" s="43" t="s">
        <v>13360</v>
      </c>
      <c r="B6282" s="21" t="s">
        <v>13361</v>
      </c>
      <c r="C6282" s="21" t="s">
        <v>22655</v>
      </c>
      <c r="D6282" s="31" t="s">
        <v>22660</v>
      </c>
      <c r="E6282" s="23" t="s">
        <v>22661</v>
      </c>
      <c r="F6282" s="24" t="s">
        <v>22657</v>
      </c>
      <c r="G6282" s="25">
        <v>8</v>
      </c>
      <c r="H6282" s="26"/>
      <c r="I6282" s="27"/>
    </row>
    <row r="6283" spans="1:9" ht="15.75" thickBot="1" x14ac:dyDescent="0.3">
      <c r="A6283" s="43" t="s">
        <v>13362</v>
      </c>
      <c r="B6283" s="21" t="s">
        <v>13363</v>
      </c>
      <c r="C6283" s="21" t="s">
        <v>22655</v>
      </c>
      <c r="D6283" s="22">
        <v>46042</v>
      </c>
      <c r="E6283" s="23" t="s">
        <v>22656</v>
      </c>
      <c r="F6283" s="24" t="s">
        <v>22657</v>
      </c>
      <c r="G6283" s="25">
        <v>7</v>
      </c>
      <c r="H6283" s="29"/>
      <c r="I6283" s="30"/>
    </row>
    <row r="6284" spans="1:9" ht="15.75" thickBot="1" x14ac:dyDescent="0.3">
      <c r="A6284" s="43" t="s">
        <v>13364</v>
      </c>
      <c r="B6284" s="21" t="s">
        <v>22581</v>
      </c>
      <c r="C6284" s="21" t="s">
        <v>22655</v>
      </c>
      <c r="D6284" s="31" t="s">
        <v>22660</v>
      </c>
      <c r="E6284" s="23" t="s">
        <v>22656</v>
      </c>
      <c r="F6284" s="24" t="s">
        <v>22657</v>
      </c>
      <c r="G6284" s="25">
        <v>8</v>
      </c>
      <c r="H6284" s="26"/>
      <c r="I6284" s="27"/>
    </row>
    <row r="6285" spans="1:9" ht="15.75" thickBot="1" x14ac:dyDescent="0.3">
      <c r="A6285" s="43" t="s">
        <v>13366</v>
      </c>
      <c r="B6285" s="21" t="s">
        <v>13367</v>
      </c>
      <c r="C6285" s="21" t="s">
        <v>22655</v>
      </c>
      <c r="D6285" s="31" t="s">
        <v>22660</v>
      </c>
      <c r="E6285" s="23" t="s">
        <v>22661</v>
      </c>
      <c r="F6285" s="24" t="s">
        <v>22657</v>
      </c>
      <c r="G6285" s="25">
        <v>16</v>
      </c>
      <c r="H6285" s="29"/>
      <c r="I6285" s="30"/>
    </row>
    <row r="6286" spans="1:9" ht="15.75" thickBot="1" x14ac:dyDescent="0.3">
      <c r="A6286" s="43" t="s">
        <v>1111</v>
      </c>
      <c r="B6286" s="21" t="s">
        <v>1112</v>
      </c>
      <c r="C6286" s="21" t="s">
        <v>22655</v>
      </c>
      <c r="D6286" s="22">
        <v>46042</v>
      </c>
      <c r="E6286" s="23" t="s">
        <v>22661</v>
      </c>
      <c r="F6286" s="24" t="s">
        <v>22657</v>
      </c>
      <c r="G6286" s="25">
        <v>7</v>
      </c>
      <c r="H6286" s="26"/>
      <c r="I6286" s="27"/>
    </row>
    <row r="6287" spans="1:9" ht="15.75" thickBot="1" x14ac:dyDescent="0.3">
      <c r="A6287" s="43" t="s">
        <v>13368</v>
      </c>
      <c r="B6287" s="21" t="s">
        <v>13369</v>
      </c>
      <c r="C6287" s="21" t="s">
        <v>22655</v>
      </c>
      <c r="D6287" s="31" t="s">
        <v>22660</v>
      </c>
      <c r="E6287" s="23" t="s">
        <v>22656</v>
      </c>
      <c r="F6287" s="24" t="s">
        <v>22657</v>
      </c>
      <c r="G6287" s="25">
        <v>4</v>
      </c>
      <c r="H6287" s="29"/>
      <c r="I6287" s="30"/>
    </row>
    <row r="6288" spans="1:9" ht="15.75" thickBot="1" x14ac:dyDescent="0.3">
      <c r="A6288" s="43" t="s">
        <v>13370</v>
      </c>
      <c r="B6288" s="21" t="s">
        <v>13371</v>
      </c>
      <c r="C6288" s="21" t="s">
        <v>22655</v>
      </c>
      <c r="D6288" s="31" t="s">
        <v>22660</v>
      </c>
      <c r="E6288" s="23" t="s">
        <v>22656</v>
      </c>
      <c r="F6288" s="24" t="s">
        <v>22657</v>
      </c>
      <c r="G6288" s="25">
        <v>4</v>
      </c>
      <c r="H6288" s="26"/>
      <c r="I6288" s="27"/>
    </row>
    <row r="6289" spans="1:9" ht="15.75" thickBot="1" x14ac:dyDescent="0.3">
      <c r="A6289" s="43" t="s">
        <v>13372</v>
      </c>
      <c r="B6289" s="21" t="s">
        <v>13373</v>
      </c>
      <c r="C6289" s="21" t="s">
        <v>22655</v>
      </c>
      <c r="D6289" s="31" t="s">
        <v>22688</v>
      </c>
      <c r="E6289" s="23" t="s">
        <v>22656</v>
      </c>
      <c r="F6289" s="24" t="s">
        <v>22657</v>
      </c>
      <c r="G6289" s="25">
        <v>4</v>
      </c>
      <c r="H6289" s="29"/>
      <c r="I6289" s="30"/>
    </row>
    <row r="6290" spans="1:9" ht="15.75" thickBot="1" x14ac:dyDescent="0.3">
      <c r="A6290" s="43" t="s">
        <v>13374</v>
      </c>
      <c r="B6290" s="21" t="s">
        <v>13375</v>
      </c>
      <c r="C6290" s="21" t="s">
        <v>22655</v>
      </c>
      <c r="D6290" s="31" t="s">
        <v>22688</v>
      </c>
      <c r="E6290" s="23" t="s">
        <v>22656</v>
      </c>
      <c r="F6290" s="24" t="s">
        <v>22657</v>
      </c>
      <c r="G6290" s="25">
        <v>4</v>
      </c>
      <c r="H6290" s="26"/>
      <c r="I6290" s="27"/>
    </row>
    <row r="6291" spans="1:9" ht="15.75" thickBot="1" x14ac:dyDescent="0.3">
      <c r="A6291" s="43" t="s">
        <v>471</v>
      </c>
      <c r="B6291" s="21" t="s">
        <v>13376</v>
      </c>
      <c r="C6291" s="21" t="s">
        <v>22655</v>
      </c>
      <c r="D6291" s="22">
        <v>46030</v>
      </c>
      <c r="E6291" s="23" t="s">
        <v>22665</v>
      </c>
      <c r="F6291" s="24" t="s">
        <v>22657</v>
      </c>
      <c r="G6291" s="25">
        <v>18</v>
      </c>
      <c r="H6291" s="32">
        <v>18</v>
      </c>
      <c r="I6291" s="33">
        <v>48</v>
      </c>
    </row>
    <row r="6292" spans="1:9" ht="15.75" thickBot="1" x14ac:dyDescent="0.3">
      <c r="A6292" s="43" t="s">
        <v>13377</v>
      </c>
      <c r="B6292" s="21" t="s">
        <v>13378</v>
      </c>
      <c r="C6292" s="21" t="s">
        <v>22655</v>
      </c>
      <c r="D6292" s="22">
        <v>46038</v>
      </c>
      <c r="E6292" s="23" t="s">
        <v>22658</v>
      </c>
      <c r="F6292" s="24" t="s">
        <v>22657</v>
      </c>
      <c r="G6292" s="25">
        <v>6</v>
      </c>
      <c r="H6292" s="26"/>
      <c r="I6292" s="27"/>
    </row>
    <row r="6293" spans="1:9" ht="15.75" thickBot="1" x14ac:dyDescent="0.3">
      <c r="A6293" s="43" t="s">
        <v>13379</v>
      </c>
      <c r="B6293" s="21" t="s">
        <v>13380</v>
      </c>
      <c r="C6293" s="21" t="s">
        <v>22655</v>
      </c>
      <c r="D6293" s="22">
        <v>46034</v>
      </c>
      <c r="E6293" s="23" t="s">
        <v>22658</v>
      </c>
      <c r="F6293" s="24" t="s">
        <v>22657</v>
      </c>
      <c r="G6293" s="25">
        <v>4</v>
      </c>
      <c r="H6293" s="29"/>
      <c r="I6293" s="30"/>
    </row>
    <row r="6294" spans="1:9" ht="15.75" thickBot="1" x14ac:dyDescent="0.3">
      <c r="A6294" s="43" t="s">
        <v>13381</v>
      </c>
      <c r="B6294" s="21" t="s">
        <v>13382</v>
      </c>
      <c r="C6294" s="21" t="s">
        <v>22655</v>
      </c>
      <c r="D6294" s="22">
        <v>46038</v>
      </c>
      <c r="E6294" s="23" t="s">
        <v>22658</v>
      </c>
      <c r="F6294" s="24" t="s">
        <v>22657</v>
      </c>
      <c r="G6294" s="25">
        <v>6</v>
      </c>
      <c r="H6294" s="26"/>
      <c r="I6294" s="27"/>
    </row>
    <row r="6295" spans="1:9" ht="15.75" thickBot="1" x14ac:dyDescent="0.3">
      <c r="A6295" s="43" t="s">
        <v>13383</v>
      </c>
      <c r="B6295" s="21" t="s">
        <v>13384</v>
      </c>
      <c r="C6295" s="21" t="s">
        <v>22655</v>
      </c>
      <c r="D6295" s="22">
        <v>46034</v>
      </c>
      <c r="E6295" s="23" t="s">
        <v>22658</v>
      </c>
      <c r="F6295" s="24" t="s">
        <v>22657</v>
      </c>
      <c r="G6295" s="25">
        <v>4</v>
      </c>
      <c r="H6295" s="29"/>
      <c r="I6295" s="30"/>
    </row>
    <row r="6296" spans="1:9" ht="15.75" thickBot="1" x14ac:dyDescent="0.3">
      <c r="A6296" s="43" t="s">
        <v>13385</v>
      </c>
      <c r="B6296" s="21" t="s">
        <v>13386</v>
      </c>
      <c r="C6296" s="21" t="s">
        <v>22655</v>
      </c>
      <c r="D6296" s="22">
        <v>46046</v>
      </c>
      <c r="E6296" s="23" t="s">
        <v>22656</v>
      </c>
      <c r="F6296" s="24" t="s">
        <v>22657</v>
      </c>
      <c r="G6296" s="25">
        <v>8</v>
      </c>
      <c r="H6296" s="26"/>
      <c r="I6296" s="27"/>
    </row>
    <row r="6297" spans="1:9" ht="15.75" thickBot="1" x14ac:dyDescent="0.3">
      <c r="A6297" s="43" t="s">
        <v>13387</v>
      </c>
      <c r="B6297" s="21" t="s">
        <v>13388</v>
      </c>
      <c r="C6297" s="21" t="s">
        <v>22655</v>
      </c>
      <c r="D6297" s="22">
        <v>46046</v>
      </c>
      <c r="E6297" s="23" t="s">
        <v>22656</v>
      </c>
      <c r="F6297" s="24" t="s">
        <v>22657</v>
      </c>
      <c r="G6297" s="25">
        <v>8</v>
      </c>
      <c r="H6297" s="29"/>
      <c r="I6297" s="30"/>
    </row>
    <row r="6298" spans="1:9" ht="15.75" thickBot="1" x14ac:dyDescent="0.3">
      <c r="A6298" s="43" t="s">
        <v>862</v>
      </c>
      <c r="B6298" s="21" t="s">
        <v>863</v>
      </c>
      <c r="C6298" s="21" t="s">
        <v>22655</v>
      </c>
      <c r="D6298" s="31" t="s">
        <v>22688</v>
      </c>
      <c r="E6298" s="23" t="s">
        <v>22661</v>
      </c>
      <c r="F6298" s="24" t="s">
        <v>22657</v>
      </c>
      <c r="G6298" s="25">
        <v>14</v>
      </c>
      <c r="H6298" s="26"/>
      <c r="I6298" s="27"/>
    </row>
    <row r="6299" spans="1:9" ht="15.75" thickBot="1" x14ac:dyDescent="0.3">
      <c r="A6299" s="43" t="s">
        <v>22582</v>
      </c>
      <c r="B6299" s="21" t="s">
        <v>22583</v>
      </c>
      <c r="C6299" s="36" t="e">
        <v>#N/A</v>
      </c>
      <c r="D6299" s="37" t="e">
        <v>#N/A</v>
      </c>
      <c r="E6299" s="23" t="e">
        <v>#N/A</v>
      </c>
      <c r="F6299" s="24" t="s">
        <v>22657</v>
      </c>
      <c r="G6299" s="25" t="e">
        <v>#N/A</v>
      </c>
      <c r="H6299" s="29"/>
      <c r="I6299" s="30"/>
    </row>
    <row r="6300" spans="1:9" ht="15.75" thickBot="1" x14ac:dyDescent="0.3">
      <c r="A6300" s="43" t="s">
        <v>13389</v>
      </c>
      <c r="B6300" s="21" t="s">
        <v>13390</v>
      </c>
      <c r="C6300" s="21" t="s">
        <v>22655</v>
      </c>
      <c r="D6300" s="31" t="s">
        <v>22688</v>
      </c>
      <c r="E6300" s="23" t="s">
        <v>22656</v>
      </c>
      <c r="F6300" s="24" t="s">
        <v>22657</v>
      </c>
      <c r="G6300" s="25">
        <v>4</v>
      </c>
      <c r="H6300" s="26"/>
      <c r="I6300" s="27"/>
    </row>
    <row r="6301" spans="1:9" ht="15.75" thickBot="1" x14ac:dyDescent="0.3">
      <c r="A6301" s="43" t="s">
        <v>22584</v>
      </c>
      <c r="B6301" s="21" t="s">
        <v>22585</v>
      </c>
      <c r="C6301" s="36" t="e">
        <v>#N/A</v>
      </c>
      <c r="D6301" s="37" t="e">
        <v>#N/A</v>
      </c>
      <c r="E6301" s="23" t="e">
        <v>#N/A</v>
      </c>
      <c r="F6301" s="24" t="s">
        <v>22657</v>
      </c>
      <c r="G6301" s="25" t="e">
        <v>#N/A</v>
      </c>
      <c r="H6301" s="29"/>
      <c r="I6301" s="30"/>
    </row>
    <row r="6302" spans="1:9" ht="15.75" thickBot="1" x14ac:dyDescent="0.3">
      <c r="A6302" s="43" t="s">
        <v>13391</v>
      </c>
      <c r="B6302" s="21" t="s">
        <v>13392</v>
      </c>
      <c r="C6302" s="21" t="s">
        <v>22655</v>
      </c>
      <c r="D6302" s="31" t="s">
        <v>22688</v>
      </c>
      <c r="E6302" s="23" t="s">
        <v>22656</v>
      </c>
      <c r="F6302" s="24" t="s">
        <v>22657</v>
      </c>
      <c r="G6302" s="25">
        <v>4</v>
      </c>
      <c r="H6302" s="26"/>
      <c r="I6302" s="27"/>
    </row>
    <row r="6303" spans="1:9" ht="15.75" thickBot="1" x14ac:dyDescent="0.3">
      <c r="A6303" s="43" t="s">
        <v>13393</v>
      </c>
      <c r="B6303" s="21" t="s">
        <v>13394</v>
      </c>
      <c r="C6303" s="21" t="s">
        <v>22655</v>
      </c>
      <c r="D6303" s="31" t="s">
        <v>22732</v>
      </c>
      <c r="E6303" s="23" t="s">
        <v>22658</v>
      </c>
      <c r="F6303" s="24" t="s">
        <v>22657</v>
      </c>
      <c r="G6303" s="25">
        <v>7</v>
      </c>
      <c r="H6303" s="29"/>
      <c r="I6303" s="30"/>
    </row>
    <row r="6304" spans="1:9" ht="15.75" thickBot="1" x14ac:dyDescent="0.3">
      <c r="A6304" s="43" t="s">
        <v>13395</v>
      </c>
      <c r="B6304" s="21" t="s">
        <v>13396</v>
      </c>
      <c r="C6304" s="21" t="s">
        <v>22655</v>
      </c>
      <c r="D6304" s="31" t="s">
        <v>22732</v>
      </c>
      <c r="E6304" s="23" t="s">
        <v>22656</v>
      </c>
      <c r="F6304" s="24" t="s">
        <v>22657</v>
      </c>
      <c r="G6304" s="25">
        <v>7</v>
      </c>
      <c r="H6304" s="26"/>
      <c r="I6304" s="27"/>
    </row>
    <row r="6305" spans="1:9" ht="15.75" thickBot="1" x14ac:dyDescent="0.3">
      <c r="A6305" s="43" t="s">
        <v>13397</v>
      </c>
      <c r="B6305" s="21" t="s">
        <v>13398</v>
      </c>
      <c r="C6305" s="21" t="s">
        <v>22655</v>
      </c>
      <c r="D6305" s="22">
        <v>46046</v>
      </c>
      <c r="E6305" s="23" t="s">
        <v>22656</v>
      </c>
      <c r="F6305" s="24" t="s">
        <v>22657</v>
      </c>
      <c r="G6305" s="25">
        <v>8</v>
      </c>
      <c r="H6305" s="29"/>
      <c r="I6305" s="30"/>
    </row>
    <row r="6306" spans="1:9" ht="15.75" thickBot="1" x14ac:dyDescent="0.3">
      <c r="A6306" s="43" t="s">
        <v>1231</v>
      </c>
      <c r="B6306" s="21" t="s">
        <v>13399</v>
      </c>
      <c r="C6306" s="21" t="s">
        <v>22655</v>
      </c>
      <c r="D6306" s="22">
        <v>46030</v>
      </c>
      <c r="E6306" s="23" t="s">
        <v>22661</v>
      </c>
      <c r="F6306" s="24" t="s">
        <v>22657</v>
      </c>
      <c r="G6306" s="25">
        <v>40</v>
      </c>
      <c r="H6306" s="34">
        <v>40</v>
      </c>
      <c r="I6306" s="35">
        <v>60</v>
      </c>
    </row>
    <row r="6307" spans="1:9" ht="15.75" thickBot="1" x14ac:dyDescent="0.3">
      <c r="A6307" s="43" t="s">
        <v>13400</v>
      </c>
      <c r="B6307" s="21" t="s">
        <v>13401</v>
      </c>
      <c r="C6307" s="21" t="s">
        <v>22655</v>
      </c>
      <c r="D6307" s="31" t="s">
        <v>22688</v>
      </c>
      <c r="E6307" s="23" t="s">
        <v>22656</v>
      </c>
      <c r="F6307" s="24" t="s">
        <v>22657</v>
      </c>
      <c r="G6307" s="25">
        <v>4</v>
      </c>
      <c r="H6307" s="29"/>
      <c r="I6307" s="30"/>
    </row>
    <row r="6308" spans="1:9" ht="15.75" thickBot="1" x14ac:dyDescent="0.3">
      <c r="A6308" s="43" t="s">
        <v>13402</v>
      </c>
      <c r="B6308" s="21" t="s">
        <v>13403</v>
      </c>
      <c r="C6308" s="21" t="s">
        <v>22655</v>
      </c>
      <c r="D6308" s="31" t="s">
        <v>22688</v>
      </c>
      <c r="E6308" s="23" t="s">
        <v>22658</v>
      </c>
      <c r="F6308" s="24" t="s">
        <v>22657</v>
      </c>
      <c r="G6308" s="25">
        <v>4</v>
      </c>
      <c r="H6308" s="26"/>
      <c r="I6308" s="27"/>
    </row>
    <row r="6309" spans="1:9" ht="15.75" thickBot="1" x14ac:dyDescent="0.3">
      <c r="A6309" s="43" t="s">
        <v>13404</v>
      </c>
      <c r="B6309" s="21" t="s">
        <v>13405</v>
      </c>
      <c r="C6309" s="21" t="s">
        <v>22655</v>
      </c>
      <c r="D6309" s="31" t="s">
        <v>22688</v>
      </c>
      <c r="E6309" s="23" t="s">
        <v>22658</v>
      </c>
      <c r="F6309" s="24" t="s">
        <v>22657</v>
      </c>
      <c r="G6309" s="25">
        <v>4</v>
      </c>
      <c r="H6309" s="29"/>
      <c r="I6309" s="30"/>
    </row>
    <row r="6310" spans="1:9" ht="15.75" thickBot="1" x14ac:dyDescent="0.3">
      <c r="A6310" s="43" t="s">
        <v>1393</v>
      </c>
      <c r="B6310" s="21" t="s">
        <v>1394</v>
      </c>
      <c r="C6310" s="21" t="s">
        <v>22655</v>
      </c>
      <c r="D6310" s="22">
        <v>46030</v>
      </c>
      <c r="E6310" s="23" t="s">
        <v>22661</v>
      </c>
      <c r="F6310" s="24" t="s">
        <v>22657</v>
      </c>
      <c r="G6310" s="25">
        <v>12</v>
      </c>
      <c r="H6310" s="34">
        <v>12</v>
      </c>
      <c r="I6310" s="35">
        <v>24</v>
      </c>
    </row>
    <row r="6311" spans="1:9" ht="15.75" thickBot="1" x14ac:dyDescent="0.3">
      <c r="A6311" s="43" t="s">
        <v>13406</v>
      </c>
      <c r="B6311" s="21" t="s">
        <v>13407</v>
      </c>
      <c r="C6311" s="21" t="s">
        <v>22690</v>
      </c>
      <c r="D6311" s="31" t="s">
        <v>22730</v>
      </c>
      <c r="E6311" s="23" t="s">
        <v>22656</v>
      </c>
      <c r="F6311" s="24" t="s">
        <v>22657</v>
      </c>
      <c r="G6311" s="25">
        <v>4</v>
      </c>
      <c r="H6311" s="29"/>
      <c r="I6311" s="30"/>
    </row>
    <row r="6312" spans="1:9" ht="15.75" thickBot="1" x14ac:dyDescent="0.3">
      <c r="A6312" s="43" t="s">
        <v>13408</v>
      </c>
      <c r="B6312" s="21" t="s">
        <v>13409</v>
      </c>
      <c r="C6312" s="21" t="s">
        <v>22690</v>
      </c>
      <c r="D6312" s="31" t="s">
        <v>22730</v>
      </c>
      <c r="E6312" s="23" t="s">
        <v>22656</v>
      </c>
      <c r="F6312" s="24" t="s">
        <v>22657</v>
      </c>
      <c r="G6312" s="25">
        <v>4</v>
      </c>
      <c r="H6312" s="26"/>
      <c r="I6312" s="27"/>
    </row>
    <row r="6313" spans="1:9" ht="15.75" thickBot="1" x14ac:dyDescent="0.3">
      <c r="A6313" s="43" t="s">
        <v>13410</v>
      </c>
      <c r="B6313" s="21" t="s">
        <v>13411</v>
      </c>
      <c r="C6313" s="21" t="s">
        <v>22667</v>
      </c>
      <c r="D6313" s="31" t="s">
        <v>22825</v>
      </c>
      <c r="E6313" s="23" t="s">
        <v>22656</v>
      </c>
      <c r="F6313" s="24" t="s">
        <v>22657</v>
      </c>
      <c r="G6313" s="25">
        <v>11</v>
      </c>
      <c r="H6313" s="29"/>
      <c r="I6313" s="30"/>
    </row>
    <row r="6314" spans="1:9" ht="15.75" thickBot="1" x14ac:dyDescent="0.3">
      <c r="A6314" s="43" t="s">
        <v>13412</v>
      </c>
      <c r="B6314" s="21" t="s">
        <v>13413</v>
      </c>
      <c r="C6314" s="21" t="s">
        <v>22655</v>
      </c>
      <c r="D6314" s="31" t="s">
        <v>22715</v>
      </c>
      <c r="E6314" s="23" t="s">
        <v>22656</v>
      </c>
      <c r="F6314" s="24" t="s">
        <v>22657</v>
      </c>
      <c r="G6314" s="25">
        <v>3</v>
      </c>
      <c r="H6314" s="26"/>
      <c r="I6314" s="27"/>
    </row>
    <row r="6315" spans="1:9" ht="15.75" thickBot="1" x14ac:dyDescent="0.3">
      <c r="A6315" s="43" t="s">
        <v>13414</v>
      </c>
      <c r="B6315" s="21" t="s">
        <v>13415</v>
      </c>
      <c r="C6315" s="21" t="s">
        <v>22655</v>
      </c>
      <c r="D6315" s="22">
        <v>46042</v>
      </c>
      <c r="E6315" s="23" t="s">
        <v>22658</v>
      </c>
      <c r="F6315" s="24" t="s">
        <v>22657</v>
      </c>
      <c r="G6315" s="25">
        <v>7</v>
      </c>
      <c r="H6315" s="29"/>
      <c r="I6315" s="30"/>
    </row>
    <row r="6316" spans="1:9" ht="15.75" thickBot="1" x14ac:dyDescent="0.3">
      <c r="A6316" s="43" t="s">
        <v>13416</v>
      </c>
      <c r="B6316" s="21" t="s">
        <v>13417</v>
      </c>
      <c r="C6316" s="21" t="s">
        <v>22655</v>
      </c>
      <c r="D6316" s="31" t="s">
        <v>22688</v>
      </c>
      <c r="E6316" s="23" t="s">
        <v>22656</v>
      </c>
      <c r="F6316" s="24" t="s">
        <v>22657</v>
      </c>
      <c r="G6316" s="25">
        <v>4</v>
      </c>
      <c r="H6316" s="26"/>
      <c r="I6316" s="27"/>
    </row>
    <row r="6317" spans="1:9" ht="15.75" thickBot="1" x14ac:dyDescent="0.3">
      <c r="A6317" s="43" t="s">
        <v>13418</v>
      </c>
      <c r="B6317" s="21" t="s">
        <v>13419</v>
      </c>
      <c r="C6317" s="21" t="s">
        <v>22667</v>
      </c>
      <c r="D6317" s="31" t="s">
        <v>22826</v>
      </c>
      <c r="E6317" s="23" t="s">
        <v>22656</v>
      </c>
      <c r="F6317" s="24" t="s">
        <v>22657</v>
      </c>
      <c r="G6317" s="25">
        <v>3</v>
      </c>
      <c r="H6317" s="29"/>
      <c r="I6317" s="30"/>
    </row>
    <row r="6318" spans="1:9" ht="15.75" thickBot="1" x14ac:dyDescent="0.3">
      <c r="A6318" s="43" t="s">
        <v>13420</v>
      </c>
      <c r="B6318" s="21" t="s">
        <v>13421</v>
      </c>
      <c r="C6318" s="21" t="s">
        <v>22667</v>
      </c>
      <c r="D6318" s="31" t="s">
        <v>22826</v>
      </c>
      <c r="E6318" s="23" t="s">
        <v>22656</v>
      </c>
      <c r="F6318" s="24" t="s">
        <v>22657</v>
      </c>
      <c r="G6318" s="25">
        <v>3</v>
      </c>
      <c r="H6318" s="26"/>
      <c r="I6318" s="27"/>
    </row>
    <row r="6319" spans="1:9" ht="15.75" thickBot="1" x14ac:dyDescent="0.3">
      <c r="A6319" s="43" t="s">
        <v>13422</v>
      </c>
      <c r="B6319" s="21" t="s">
        <v>13423</v>
      </c>
      <c r="C6319" s="21" t="s">
        <v>22667</v>
      </c>
      <c r="D6319" s="31" t="s">
        <v>22826</v>
      </c>
      <c r="E6319" s="23" t="s">
        <v>22656</v>
      </c>
      <c r="F6319" s="24" t="s">
        <v>22657</v>
      </c>
      <c r="G6319" s="25">
        <v>3</v>
      </c>
      <c r="H6319" s="29"/>
      <c r="I6319" s="30"/>
    </row>
    <row r="6320" spans="1:9" ht="15.75" thickBot="1" x14ac:dyDescent="0.3">
      <c r="A6320" s="43" t="s">
        <v>13424</v>
      </c>
      <c r="B6320" s="21" t="s">
        <v>13425</v>
      </c>
      <c r="C6320" s="21" t="s">
        <v>22667</v>
      </c>
      <c r="D6320" s="31" t="s">
        <v>22827</v>
      </c>
      <c r="E6320" s="23" t="s">
        <v>22656</v>
      </c>
      <c r="F6320" s="24" t="s">
        <v>22657</v>
      </c>
      <c r="G6320" s="25">
        <v>2</v>
      </c>
      <c r="H6320" s="26"/>
      <c r="I6320" s="27"/>
    </row>
    <row r="6321" spans="1:9" ht="15.75" thickBot="1" x14ac:dyDescent="0.3">
      <c r="A6321" s="43" t="s">
        <v>13426</v>
      </c>
      <c r="B6321" s="21" t="s">
        <v>13427</v>
      </c>
      <c r="C6321" s="21" t="s">
        <v>22655</v>
      </c>
      <c r="D6321" s="22">
        <v>46032</v>
      </c>
      <c r="E6321" s="23" t="s">
        <v>22656</v>
      </c>
      <c r="F6321" s="24" t="s">
        <v>22657</v>
      </c>
      <c r="G6321" s="25">
        <v>4</v>
      </c>
      <c r="H6321" s="29"/>
      <c r="I6321" s="30"/>
    </row>
    <row r="6322" spans="1:9" ht="15.75" thickBot="1" x14ac:dyDescent="0.3">
      <c r="A6322" s="43" t="s">
        <v>13428</v>
      </c>
      <c r="B6322" s="21" t="s">
        <v>13429</v>
      </c>
      <c r="C6322" s="21" t="s">
        <v>22655</v>
      </c>
      <c r="D6322" s="22">
        <v>46032</v>
      </c>
      <c r="E6322" s="23" t="s">
        <v>22661</v>
      </c>
      <c r="F6322" s="24" t="s">
        <v>22657</v>
      </c>
      <c r="G6322" s="25">
        <v>4</v>
      </c>
      <c r="H6322" s="26"/>
      <c r="I6322" s="27"/>
    </row>
    <row r="6323" spans="1:9" ht="15.75" thickBot="1" x14ac:dyDescent="0.3">
      <c r="A6323" s="43" t="s">
        <v>13430</v>
      </c>
      <c r="B6323" s="21" t="s">
        <v>13431</v>
      </c>
      <c r="C6323" s="21" t="s">
        <v>22667</v>
      </c>
      <c r="D6323" s="31" t="s">
        <v>22826</v>
      </c>
      <c r="E6323" s="23" t="s">
        <v>22656</v>
      </c>
      <c r="F6323" s="24" t="s">
        <v>22657</v>
      </c>
      <c r="G6323" s="25">
        <v>3</v>
      </c>
      <c r="H6323" s="29"/>
      <c r="I6323" s="30"/>
    </row>
    <row r="6324" spans="1:9" ht="15.75" thickBot="1" x14ac:dyDescent="0.3">
      <c r="A6324" s="43" t="s">
        <v>13432</v>
      </c>
      <c r="B6324" s="21" t="s">
        <v>13433</v>
      </c>
      <c r="C6324" s="21" t="s">
        <v>22667</v>
      </c>
      <c r="D6324" s="31" t="s">
        <v>22826</v>
      </c>
      <c r="E6324" s="23" t="s">
        <v>22656</v>
      </c>
      <c r="F6324" s="24" t="s">
        <v>22657</v>
      </c>
      <c r="G6324" s="25">
        <v>3</v>
      </c>
      <c r="H6324" s="26"/>
      <c r="I6324" s="27"/>
    </row>
    <row r="6325" spans="1:9" ht="15.75" thickBot="1" x14ac:dyDescent="0.3">
      <c r="A6325" s="43" t="s">
        <v>13434</v>
      </c>
      <c r="B6325" s="21" t="s">
        <v>13435</v>
      </c>
      <c r="C6325" s="21" t="s">
        <v>22655</v>
      </c>
      <c r="D6325" s="22">
        <v>46032</v>
      </c>
      <c r="E6325" s="23" t="s">
        <v>22656</v>
      </c>
      <c r="F6325" s="24" t="s">
        <v>22657</v>
      </c>
      <c r="G6325" s="25">
        <v>4</v>
      </c>
      <c r="H6325" s="29"/>
      <c r="I6325" s="30"/>
    </row>
    <row r="6326" spans="1:9" ht="15.75" thickBot="1" x14ac:dyDescent="0.3">
      <c r="A6326" s="43" t="s">
        <v>13436</v>
      </c>
      <c r="B6326" s="21" t="s">
        <v>13437</v>
      </c>
      <c r="C6326" s="21" t="s">
        <v>22667</v>
      </c>
      <c r="D6326" s="31" t="s">
        <v>22826</v>
      </c>
      <c r="E6326" s="23" t="s">
        <v>22656</v>
      </c>
      <c r="F6326" s="24" t="s">
        <v>22657</v>
      </c>
      <c r="G6326" s="25">
        <v>3</v>
      </c>
      <c r="H6326" s="26"/>
      <c r="I6326" s="27"/>
    </row>
    <row r="6327" spans="1:9" ht="15.75" thickBot="1" x14ac:dyDescent="0.3">
      <c r="A6327" s="43" t="s">
        <v>13438</v>
      </c>
      <c r="B6327" s="21" t="s">
        <v>13439</v>
      </c>
      <c r="C6327" s="21" t="s">
        <v>22667</v>
      </c>
      <c r="D6327" s="31" t="s">
        <v>22826</v>
      </c>
      <c r="E6327" s="23" t="s">
        <v>22656</v>
      </c>
      <c r="F6327" s="24" t="s">
        <v>22657</v>
      </c>
      <c r="G6327" s="25">
        <v>3</v>
      </c>
      <c r="H6327" s="29"/>
      <c r="I6327" s="30"/>
    </row>
    <row r="6328" spans="1:9" ht="15.75" thickBot="1" x14ac:dyDescent="0.3">
      <c r="A6328" s="43" t="s">
        <v>265</v>
      </c>
      <c r="B6328" s="21" t="s">
        <v>266</v>
      </c>
      <c r="C6328" s="21" t="s">
        <v>22655</v>
      </c>
      <c r="D6328" s="22">
        <v>46028</v>
      </c>
      <c r="E6328" s="23" t="s">
        <v>22656</v>
      </c>
      <c r="F6328" s="24" t="s">
        <v>22657</v>
      </c>
      <c r="G6328" s="25">
        <v>2</v>
      </c>
      <c r="H6328" s="26"/>
      <c r="I6328" s="27"/>
    </row>
    <row r="6329" spans="1:9" ht="15.75" thickBot="1" x14ac:dyDescent="0.3">
      <c r="A6329" s="43" t="s">
        <v>13440</v>
      </c>
      <c r="B6329" s="21" t="s">
        <v>13441</v>
      </c>
      <c r="C6329" s="21" t="s">
        <v>22655</v>
      </c>
      <c r="D6329" s="31" t="s">
        <v>22786</v>
      </c>
      <c r="E6329" s="23" t="s">
        <v>22656</v>
      </c>
      <c r="F6329" s="24" t="s">
        <v>22657</v>
      </c>
      <c r="G6329" s="25">
        <v>4</v>
      </c>
      <c r="H6329" s="29"/>
      <c r="I6329" s="30"/>
    </row>
    <row r="6330" spans="1:9" ht="15.75" thickBot="1" x14ac:dyDescent="0.3">
      <c r="A6330" s="43" t="s">
        <v>13442</v>
      </c>
      <c r="B6330" s="21" t="s">
        <v>13443</v>
      </c>
      <c r="C6330" s="21" t="s">
        <v>22655</v>
      </c>
      <c r="D6330" s="22">
        <v>46032</v>
      </c>
      <c r="E6330" s="23" t="s">
        <v>22656</v>
      </c>
      <c r="F6330" s="24" t="s">
        <v>22657</v>
      </c>
      <c r="G6330" s="25">
        <v>4</v>
      </c>
      <c r="H6330" s="26"/>
      <c r="I6330" s="27"/>
    </row>
    <row r="6331" spans="1:9" ht="15.75" thickBot="1" x14ac:dyDescent="0.3">
      <c r="A6331" s="43" t="s">
        <v>13444</v>
      </c>
      <c r="B6331" s="21" t="s">
        <v>13445</v>
      </c>
      <c r="C6331" s="21" t="s">
        <v>22655</v>
      </c>
      <c r="D6331" s="31" t="s">
        <v>22688</v>
      </c>
      <c r="E6331" s="23" t="s">
        <v>22656</v>
      </c>
      <c r="F6331" s="24" t="s">
        <v>22657</v>
      </c>
      <c r="G6331" s="25">
        <v>4</v>
      </c>
      <c r="H6331" s="29"/>
      <c r="I6331" s="30"/>
    </row>
    <row r="6332" spans="1:9" ht="15.75" thickBot="1" x14ac:dyDescent="0.3">
      <c r="A6332" s="43" t="s">
        <v>13446</v>
      </c>
      <c r="B6332" s="21" t="s">
        <v>13447</v>
      </c>
      <c r="C6332" s="21" t="s">
        <v>22682</v>
      </c>
      <c r="D6332" s="22">
        <v>46034</v>
      </c>
      <c r="E6332" s="23" t="s">
        <v>22658</v>
      </c>
      <c r="F6332" s="24" t="s">
        <v>22657</v>
      </c>
      <c r="G6332" s="25">
        <v>4</v>
      </c>
      <c r="H6332" s="26"/>
      <c r="I6332" s="27"/>
    </row>
    <row r="6333" spans="1:9" ht="15.75" thickBot="1" x14ac:dyDescent="0.3">
      <c r="A6333" s="43" t="s">
        <v>13448</v>
      </c>
      <c r="B6333" s="21" t="s">
        <v>13449</v>
      </c>
      <c r="C6333" s="21" t="s">
        <v>22682</v>
      </c>
      <c r="D6333" s="22">
        <v>46034</v>
      </c>
      <c r="E6333" s="23" t="s">
        <v>22658</v>
      </c>
      <c r="F6333" s="24" t="s">
        <v>22657</v>
      </c>
      <c r="G6333" s="25">
        <v>4</v>
      </c>
      <c r="H6333" s="29"/>
      <c r="I6333" s="30"/>
    </row>
    <row r="6334" spans="1:9" ht="15.75" thickBot="1" x14ac:dyDescent="0.3">
      <c r="A6334" s="43" t="s">
        <v>13450</v>
      </c>
      <c r="B6334" s="21" t="s">
        <v>13451</v>
      </c>
      <c r="C6334" s="21" t="s">
        <v>22682</v>
      </c>
      <c r="D6334" s="22">
        <v>46034</v>
      </c>
      <c r="E6334" s="23" t="s">
        <v>22658</v>
      </c>
      <c r="F6334" s="24" t="s">
        <v>22657</v>
      </c>
      <c r="G6334" s="25">
        <v>4</v>
      </c>
      <c r="H6334" s="26"/>
      <c r="I6334" s="27"/>
    </row>
    <row r="6335" spans="1:9" ht="15.75" thickBot="1" x14ac:dyDescent="0.3">
      <c r="A6335" s="43" t="s">
        <v>13452</v>
      </c>
      <c r="B6335" s="21" t="s">
        <v>13453</v>
      </c>
      <c r="C6335" s="21" t="s">
        <v>22682</v>
      </c>
      <c r="D6335" s="22">
        <v>46034</v>
      </c>
      <c r="E6335" s="23" t="s">
        <v>22658</v>
      </c>
      <c r="F6335" s="24" t="s">
        <v>22657</v>
      </c>
      <c r="G6335" s="25">
        <v>4</v>
      </c>
      <c r="H6335" s="29"/>
      <c r="I6335" s="30"/>
    </row>
    <row r="6336" spans="1:9" ht="15.75" thickBot="1" x14ac:dyDescent="0.3">
      <c r="A6336" s="43" t="s">
        <v>13454</v>
      </c>
      <c r="B6336" s="21" t="s">
        <v>13455</v>
      </c>
      <c r="C6336" s="21" t="s">
        <v>22682</v>
      </c>
      <c r="D6336" s="22">
        <v>46034</v>
      </c>
      <c r="E6336" s="23" t="s">
        <v>22658</v>
      </c>
      <c r="F6336" s="24" t="s">
        <v>22657</v>
      </c>
      <c r="G6336" s="25">
        <v>4</v>
      </c>
      <c r="H6336" s="26"/>
      <c r="I6336" s="27"/>
    </row>
    <row r="6337" spans="1:9" ht="15.75" thickBot="1" x14ac:dyDescent="0.3">
      <c r="A6337" s="43" t="s">
        <v>13456</v>
      </c>
      <c r="B6337" s="21" t="s">
        <v>13457</v>
      </c>
      <c r="C6337" s="21" t="s">
        <v>22682</v>
      </c>
      <c r="D6337" s="22">
        <v>46034</v>
      </c>
      <c r="E6337" s="23" t="s">
        <v>22658</v>
      </c>
      <c r="F6337" s="24" t="s">
        <v>22657</v>
      </c>
      <c r="G6337" s="25">
        <v>4</v>
      </c>
      <c r="H6337" s="29"/>
      <c r="I6337" s="30"/>
    </row>
    <row r="6338" spans="1:9" ht="15.75" thickBot="1" x14ac:dyDescent="0.3">
      <c r="A6338" s="43" t="s">
        <v>13458</v>
      </c>
      <c r="B6338" s="21" t="s">
        <v>13459</v>
      </c>
      <c r="C6338" s="21" t="s">
        <v>22682</v>
      </c>
      <c r="D6338" s="22">
        <v>46034</v>
      </c>
      <c r="E6338" s="23" t="s">
        <v>22656</v>
      </c>
      <c r="F6338" s="24" t="s">
        <v>22657</v>
      </c>
      <c r="G6338" s="25">
        <v>4</v>
      </c>
      <c r="H6338" s="26"/>
      <c r="I6338" s="27"/>
    </row>
    <row r="6339" spans="1:9" ht="15.75" thickBot="1" x14ac:dyDescent="0.3">
      <c r="A6339" s="43" t="s">
        <v>13460</v>
      </c>
      <c r="B6339" s="21" t="s">
        <v>13461</v>
      </c>
      <c r="C6339" s="21" t="s">
        <v>22682</v>
      </c>
      <c r="D6339" s="22">
        <v>46034</v>
      </c>
      <c r="E6339" s="23" t="s">
        <v>22658</v>
      </c>
      <c r="F6339" s="28" t="s">
        <v>22659</v>
      </c>
      <c r="G6339" s="25">
        <v>4</v>
      </c>
      <c r="H6339" s="29"/>
      <c r="I6339" s="30"/>
    </row>
    <row r="6340" spans="1:9" ht="15.75" thickBot="1" x14ac:dyDescent="0.3">
      <c r="A6340" s="43" t="s">
        <v>13462</v>
      </c>
      <c r="B6340" s="21" t="s">
        <v>13463</v>
      </c>
      <c r="C6340" s="21" t="s">
        <v>22655</v>
      </c>
      <c r="D6340" s="22">
        <v>46028</v>
      </c>
      <c r="E6340" s="23" t="s">
        <v>22656</v>
      </c>
      <c r="F6340" s="24" t="s">
        <v>22657</v>
      </c>
      <c r="G6340" s="25">
        <v>2</v>
      </c>
      <c r="H6340" s="34">
        <v>2</v>
      </c>
      <c r="I6340" s="35">
        <v>3</v>
      </c>
    </row>
    <row r="6341" spans="1:9" ht="15.75" thickBot="1" x14ac:dyDescent="0.3">
      <c r="A6341" s="43" t="s">
        <v>13464</v>
      </c>
      <c r="B6341" s="21" t="s">
        <v>13465</v>
      </c>
      <c r="C6341" s="21" t="s">
        <v>22655</v>
      </c>
      <c r="D6341" s="22">
        <v>46028</v>
      </c>
      <c r="E6341" s="23" t="s">
        <v>22656</v>
      </c>
      <c r="F6341" s="24" t="s">
        <v>22657</v>
      </c>
      <c r="G6341" s="25">
        <v>2</v>
      </c>
      <c r="H6341" s="29"/>
      <c r="I6341" s="30"/>
    </row>
    <row r="6342" spans="1:9" ht="15.75" thickBot="1" x14ac:dyDescent="0.3">
      <c r="A6342" s="43" t="s">
        <v>13466</v>
      </c>
      <c r="B6342" s="21" t="s">
        <v>13467</v>
      </c>
      <c r="C6342" s="21" t="s">
        <v>22655</v>
      </c>
      <c r="D6342" s="22">
        <v>46028</v>
      </c>
      <c r="E6342" s="23" t="s">
        <v>22656</v>
      </c>
      <c r="F6342" s="24" t="s">
        <v>22657</v>
      </c>
      <c r="G6342" s="25">
        <v>2</v>
      </c>
      <c r="H6342" s="26"/>
      <c r="I6342" s="27"/>
    </row>
    <row r="6343" spans="1:9" ht="15.75" thickBot="1" x14ac:dyDescent="0.3">
      <c r="A6343" s="43" t="s">
        <v>13468</v>
      </c>
      <c r="B6343" s="21" t="s">
        <v>13469</v>
      </c>
      <c r="C6343" s="21" t="s">
        <v>22655</v>
      </c>
      <c r="D6343" s="22">
        <v>46028</v>
      </c>
      <c r="E6343" s="23" t="s">
        <v>22656</v>
      </c>
      <c r="F6343" s="24" t="s">
        <v>22657</v>
      </c>
      <c r="G6343" s="25">
        <v>2</v>
      </c>
      <c r="H6343" s="29"/>
      <c r="I6343" s="30"/>
    </row>
    <row r="6344" spans="1:9" ht="15.75" thickBot="1" x14ac:dyDescent="0.3">
      <c r="A6344" s="43" t="s">
        <v>13470</v>
      </c>
      <c r="B6344" s="21" t="s">
        <v>13471</v>
      </c>
      <c r="C6344" s="21" t="s">
        <v>22655</v>
      </c>
      <c r="D6344" s="22">
        <v>46028</v>
      </c>
      <c r="E6344" s="23" t="s">
        <v>22656</v>
      </c>
      <c r="F6344" s="24" t="s">
        <v>22657</v>
      </c>
      <c r="G6344" s="25">
        <v>2</v>
      </c>
      <c r="H6344" s="26"/>
      <c r="I6344" s="27"/>
    </row>
    <row r="6345" spans="1:9" ht="15.75" thickBot="1" x14ac:dyDescent="0.3">
      <c r="A6345" s="43" t="s">
        <v>13472</v>
      </c>
      <c r="B6345" s="21" t="s">
        <v>13473</v>
      </c>
      <c r="C6345" s="21" t="s">
        <v>22655</v>
      </c>
      <c r="D6345" s="22">
        <v>46028</v>
      </c>
      <c r="E6345" s="23" t="s">
        <v>22656</v>
      </c>
      <c r="F6345" s="24" t="s">
        <v>22657</v>
      </c>
      <c r="G6345" s="25">
        <v>2</v>
      </c>
      <c r="H6345" s="29"/>
      <c r="I6345" s="30"/>
    </row>
    <row r="6346" spans="1:9" ht="15.75" thickBot="1" x14ac:dyDescent="0.3">
      <c r="A6346" s="43" t="s">
        <v>13474</v>
      </c>
      <c r="B6346" s="21" t="s">
        <v>13475</v>
      </c>
      <c r="C6346" s="21" t="s">
        <v>22655</v>
      </c>
      <c r="D6346" s="22">
        <v>46028</v>
      </c>
      <c r="E6346" s="23" t="s">
        <v>22656</v>
      </c>
      <c r="F6346" s="24" t="s">
        <v>22657</v>
      </c>
      <c r="G6346" s="25">
        <v>2</v>
      </c>
      <c r="H6346" s="26"/>
      <c r="I6346" s="27"/>
    </row>
    <row r="6347" spans="1:9" ht="15.75" thickBot="1" x14ac:dyDescent="0.3">
      <c r="A6347" s="43" t="s">
        <v>13476</v>
      </c>
      <c r="B6347" s="21" t="s">
        <v>13477</v>
      </c>
      <c r="C6347" s="21" t="s">
        <v>22655</v>
      </c>
      <c r="D6347" s="22">
        <v>46028</v>
      </c>
      <c r="E6347" s="23" t="s">
        <v>22656</v>
      </c>
      <c r="F6347" s="24" t="s">
        <v>22657</v>
      </c>
      <c r="G6347" s="25">
        <v>2</v>
      </c>
      <c r="H6347" s="32">
        <v>2</v>
      </c>
      <c r="I6347" s="33">
        <v>4</v>
      </c>
    </row>
    <row r="6348" spans="1:9" ht="15.75" thickBot="1" x14ac:dyDescent="0.3">
      <c r="A6348" s="43" t="s">
        <v>13478</v>
      </c>
      <c r="B6348" s="21" t="s">
        <v>13479</v>
      </c>
      <c r="C6348" s="21" t="s">
        <v>22655</v>
      </c>
      <c r="D6348" s="22">
        <v>46028</v>
      </c>
      <c r="E6348" s="23" t="s">
        <v>22656</v>
      </c>
      <c r="F6348" s="24" t="s">
        <v>22657</v>
      </c>
      <c r="G6348" s="25">
        <v>2</v>
      </c>
      <c r="H6348" s="26"/>
      <c r="I6348" s="27"/>
    </row>
    <row r="6349" spans="1:9" ht="15.75" thickBot="1" x14ac:dyDescent="0.3">
      <c r="A6349" s="43" t="s">
        <v>13480</v>
      </c>
      <c r="B6349" s="21" t="s">
        <v>13481</v>
      </c>
      <c r="C6349" s="21" t="s">
        <v>22655</v>
      </c>
      <c r="D6349" s="22">
        <v>46028</v>
      </c>
      <c r="E6349" s="23" t="s">
        <v>22656</v>
      </c>
      <c r="F6349" s="24" t="s">
        <v>22657</v>
      </c>
      <c r="G6349" s="25">
        <v>2</v>
      </c>
      <c r="H6349" s="29"/>
      <c r="I6349" s="30"/>
    </row>
    <row r="6350" spans="1:9" ht="15.75" thickBot="1" x14ac:dyDescent="0.3">
      <c r="A6350" s="43" t="s">
        <v>13482</v>
      </c>
      <c r="B6350" s="21" t="s">
        <v>13483</v>
      </c>
      <c r="C6350" s="21" t="s">
        <v>22655</v>
      </c>
      <c r="D6350" s="22">
        <v>46028</v>
      </c>
      <c r="E6350" s="23" t="s">
        <v>22656</v>
      </c>
      <c r="F6350" s="24" t="s">
        <v>22657</v>
      </c>
      <c r="G6350" s="25">
        <v>3</v>
      </c>
      <c r="H6350" s="34">
        <v>3</v>
      </c>
      <c r="I6350" s="35">
        <v>6</v>
      </c>
    </row>
    <row r="6351" spans="1:9" ht="15.75" thickBot="1" x14ac:dyDescent="0.3">
      <c r="A6351" s="43" t="s">
        <v>13484</v>
      </c>
      <c r="B6351" s="21" t="s">
        <v>13485</v>
      </c>
      <c r="C6351" s="21" t="s">
        <v>22655</v>
      </c>
      <c r="D6351" s="22">
        <v>46028</v>
      </c>
      <c r="E6351" s="23" t="s">
        <v>22656</v>
      </c>
      <c r="F6351" s="24" t="s">
        <v>22657</v>
      </c>
      <c r="G6351" s="25">
        <v>2</v>
      </c>
      <c r="H6351" s="29"/>
      <c r="I6351" s="30"/>
    </row>
    <row r="6352" spans="1:9" ht="15.75" thickBot="1" x14ac:dyDescent="0.3">
      <c r="A6352" s="43" t="s">
        <v>1135</v>
      </c>
      <c r="B6352" s="21" t="s">
        <v>1136</v>
      </c>
      <c r="C6352" s="21" t="s">
        <v>22655</v>
      </c>
      <c r="D6352" s="22">
        <v>46028</v>
      </c>
      <c r="E6352" s="23" t="s">
        <v>22656</v>
      </c>
      <c r="F6352" s="24" t="s">
        <v>22657</v>
      </c>
      <c r="G6352" s="25">
        <v>4</v>
      </c>
      <c r="H6352" s="26"/>
      <c r="I6352" s="27"/>
    </row>
    <row r="6353" spans="1:9" ht="15.75" thickBot="1" x14ac:dyDescent="0.3">
      <c r="A6353" s="43" t="s">
        <v>13486</v>
      </c>
      <c r="B6353" s="21" t="s">
        <v>13487</v>
      </c>
      <c r="C6353" s="21" t="s">
        <v>22655</v>
      </c>
      <c r="D6353" s="22">
        <v>46028</v>
      </c>
      <c r="E6353" s="23" t="s">
        <v>22656</v>
      </c>
      <c r="F6353" s="24" t="s">
        <v>22657</v>
      </c>
      <c r="G6353" s="25">
        <v>2</v>
      </c>
      <c r="H6353" s="29"/>
      <c r="I6353" s="30"/>
    </row>
    <row r="6354" spans="1:9" ht="15.75" thickBot="1" x14ac:dyDescent="0.3">
      <c r="A6354" s="43" t="s">
        <v>13488</v>
      </c>
      <c r="B6354" s="21" t="s">
        <v>13489</v>
      </c>
      <c r="C6354" s="21" t="s">
        <v>22655</v>
      </c>
      <c r="D6354" s="22">
        <v>46028</v>
      </c>
      <c r="E6354" s="23" t="s">
        <v>22656</v>
      </c>
      <c r="F6354" s="24" t="s">
        <v>22657</v>
      </c>
      <c r="G6354" s="25">
        <v>2</v>
      </c>
      <c r="H6354" s="26"/>
      <c r="I6354" s="27"/>
    </row>
    <row r="6355" spans="1:9" ht="15.75" thickBot="1" x14ac:dyDescent="0.3">
      <c r="A6355" s="43" t="s">
        <v>13490</v>
      </c>
      <c r="B6355" s="21" t="s">
        <v>13491</v>
      </c>
      <c r="C6355" s="21" t="s">
        <v>22655</v>
      </c>
      <c r="D6355" s="22">
        <v>46028</v>
      </c>
      <c r="E6355" s="23" t="s">
        <v>22656</v>
      </c>
      <c r="F6355" s="24" t="s">
        <v>22657</v>
      </c>
      <c r="G6355" s="25">
        <v>2</v>
      </c>
      <c r="H6355" s="29"/>
      <c r="I6355" s="30"/>
    </row>
    <row r="6356" spans="1:9" ht="15.75" thickBot="1" x14ac:dyDescent="0.3">
      <c r="A6356" s="43" t="s">
        <v>13492</v>
      </c>
      <c r="B6356" s="21" t="s">
        <v>13493</v>
      </c>
      <c r="C6356" s="21" t="s">
        <v>22655</v>
      </c>
      <c r="D6356" s="22">
        <v>46028</v>
      </c>
      <c r="E6356" s="23" t="s">
        <v>22656</v>
      </c>
      <c r="F6356" s="24" t="s">
        <v>22657</v>
      </c>
      <c r="G6356" s="25">
        <v>2</v>
      </c>
      <c r="H6356" s="26"/>
      <c r="I6356" s="27"/>
    </row>
    <row r="6357" spans="1:9" ht="15.75" thickBot="1" x14ac:dyDescent="0.3">
      <c r="A6357" s="43" t="s">
        <v>13494</v>
      </c>
      <c r="B6357" s="21" t="s">
        <v>13495</v>
      </c>
      <c r="C6357" s="21" t="s">
        <v>22655</v>
      </c>
      <c r="D6357" s="22">
        <v>46028</v>
      </c>
      <c r="E6357" s="23" t="s">
        <v>22656</v>
      </c>
      <c r="F6357" s="24" t="s">
        <v>22657</v>
      </c>
      <c r="G6357" s="25">
        <v>2</v>
      </c>
      <c r="H6357" s="29"/>
      <c r="I6357" s="30"/>
    </row>
    <row r="6358" spans="1:9" ht="15.75" thickBot="1" x14ac:dyDescent="0.3">
      <c r="A6358" s="43" t="s">
        <v>13496</v>
      </c>
      <c r="B6358" s="21" t="s">
        <v>13497</v>
      </c>
      <c r="C6358" s="21" t="s">
        <v>22655</v>
      </c>
      <c r="D6358" s="22">
        <v>46028</v>
      </c>
      <c r="E6358" s="23" t="s">
        <v>22656</v>
      </c>
      <c r="F6358" s="24" t="s">
        <v>22657</v>
      </c>
      <c r="G6358" s="25">
        <v>2</v>
      </c>
      <c r="H6358" s="34">
        <v>2</v>
      </c>
      <c r="I6358" s="35">
        <v>4</v>
      </c>
    </row>
    <row r="6359" spans="1:9" ht="15.75" thickBot="1" x14ac:dyDescent="0.3">
      <c r="A6359" s="43" t="s">
        <v>13498</v>
      </c>
      <c r="B6359" s="21" t="s">
        <v>13499</v>
      </c>
      <c r="C6359" s="21" t="s">
        <v>22655</v>
      </c>
      <c r="D6359" s="22">
        <v>46028</v>
      </c>
      <c r="E6359" s="23" t="s">
        <v>22656</v>
      </c>
      <c r="F6359" s="24" t="s">
        <v>22657</v>
      </c>
      <c r="G6359" s="25">
        <v>2</v>
      </c>
      <c r="H6359" s="29"/>
      <c r="I6359" s="30"/>
    </row>
    <row r="6360" spans="1:9" ht="15.75" thickBot="1" x14ac:dyDescent="0.3">
      <c r="A6360" s="43" t="s">
        <v>13500</v>
      </c>
      <c r="B6360" s="21" t="s">
        <v>13501</v>
      </c>
      <c r="C6360" s="21" t="s">
        <v>22655</v>
      </c>
      <c r="D6360" s="22">
        <v>46028</v>
      </c>
      <c r="E6360" s="23" t="s">
        <v>22656</v>
      </c>
      <c r="F6360" s="24" t="s">
        <v>22657</v>
      </c>
      <c r="G6360" s="25">
        <v>2</v>
      </c>
      <c r="H6360" s="26"/>
      <c r="I6360" s="27"/>
    </row>
    <row r="6361" spans="1:9" ht="15.75" thickBot="1" x14ac:dyDescent="0.3">
      <c r="A6361" s="43" t="s">
        <v>13502</v>
      </c>
      <c r="B6361" s="21" t="s">
        <v>13503</v>
      </c>
      <c r="C6361" s="21" t="s">
        <v>22655</v>
      </c>
      <c r="D6361" s="22">
        <v>46028</v>
      </c>
      <c r="E6361" s="23" t="s">
        <v>22656</v>
      </c>
      <c r="F6361" s="24" t="s">
        <v>22657</v>
      </c>
      <c r="G6361" s="25">
        <v>4</v>
      </c>
      <c r="H6361" s="29"/>
      <c r="I6361" s="30"/>
    </row>
    <row r="6362" spans="1:9" ht="15.75" thickBot="1" x14ac:dyDescent="0.3">
      <c r="A6362" s="43" t="s">
        <v>13504</v>
      </c>
      <c r="B6362" s="21" t="s">
        <v>13505</v>
      </c>
      <c r="C6362" s="21" t="s">
        <v>22655</v>
      </c>
      <c r="D6362" s="22">
        <v>46028</v>
      </c>
      <c r="E6362" s="23" t="s">
        <v>22656</v>
      </c>
      <c r="F6362" s="24" t="s">
        <v>22657</v>
      </c>
      <c r="G6362" s="25">
        <v>2</v>
      </c>
      <c r="H6362" s="26"/>
      <c r="I6362" s="27"/>
    </row>
    <row r="6363" spans="1:9" ht="15.75" thickBot="1" x14ac:dyDescent="0.3">
      <c r="A6363" s="43" t="s">
        <v>13506</v>
      </c>
      <c r="B6363" s="21" t="s">
        <v>13507</v>
      </c>
      <c r="C6363" s="21" t="s">
        <v>22655</v>
      </c>
      <c r="D6363" s="22">
        <v>46028</v>
      </c>
      <c r="E6363" s="23" t="s">
        <v>22656</v>
      </c>
      <c r="F6363" s="24" t="s">
        <v>22657</v>
      </c>
      <c r="G6363" s="25">
        <v>3</v>
      </c>
      <c r="H6363" s="29"/>
      <c r="I6363" s="30"/>
    </row>
    <row r="6364" spans="1:9" ht="15.75" thickBot="1" x14ac:dyDescent="0.3">
      <c r="A6364" s="43" t="s">
        <v>539</v>
      </c>
      <c r="B6364" s="21" t="s">
        <v>540</v>
      </c>
      <c r="C6364" s="21" t="s">
        <v>22655</v>
      </c>
      <c r="D6364" s="22">
        <v>46034</v>
      </c>
      <c r="E6364" s="23" t="s">
        <v>22656</v>
      </c>
      <c r="F6364" s="24" t="s">
        <v>22657</v>
      </c>
      <c r="G6364" s="25">
        <v>4</v>
      </c>
      <c r="H6364" s="26"/>
      <c r="I6364" s="27"/>
    </row>
    <row r="6365" spans="1:9" ht="15.75" thickBot="1" x14ac:dyDescent="0.3">
      <c r="A6365" s="43" t="s">
        <v>13508</v>
      </c>
      <c r="B6365" s="21" t="s">
        <v>13509</v>
      </c>
      <c r="C6365" s="21" t="s">
        <v>22655</v>
      </c>
      <c r="D6365" s="31" t="s">
        <v>22660</v>
      </c>
      <c r="E6365" s="23" t="s">
        <v>22656</v>
      </c>
      <c r="F6365" s="24" t="s">
        <v>22657</v>
      </c>
      <c r="G6365" s="25">
        <v>4</v>
      </c>
      <c r="H6365" s="29"/>
      <c r="I6365" s="30"/>
    </row>
    <row r="6366" spans="1:9" ht="15.75" thickBot="1" x14ac:dyDescent="0.3">
      <c r="A6366" s="43" t="s">
        <v>13510</v>
      </c>
      <c r="B6366" s="21" t="s">
        <v>13511</v>
      </c>
      <c r="C6366" s="21" t="s">
        <v>22655</v>
      </c>
      <c r="D6366" s="22">
        <v>46034</v>
      </c>
      <c r="E6366" s="23" t="s">
        <v>22661</v>
      </c>
      <c r="F6366" s="24" t="s">
        <v>22657</v>
      </c>
      <c r="G6366" s="25">
        <v>6</v>
      </c>
      <c r="H6366" s="26"/>
      <c r="I6366" s="27"/>
    </row>
    <row r="6367" spans="1:9" ht="15.75" thickBot="1" x14ac:dyDescent="0.3">
      <c r="A6367" s="43" t="s">
        <v>13512</v>
      </c>
      <c r="B6367" s="21" t="s">
        <v>13513</v>
      </c>
      <c r="C6367" s="21" t="s">
        <v>22655</v>
      </c>
      <c r="D6367" s="31" t="s">
        <v>22660</v>
      </c>
      <c r="E6367" s="23" t="s">
        <v>22661</v>
      </c>
      <c r="F6367" s="24" t="s">
        <v>22657</v>
      </c>
      <c r="G6367" s="25">
        <v>17</v>
      </c>
      <c r="H6367" s="29"/>
      <c r="I6367" s="30"/>
    </row>
    <row r="6368" spans="1:9" ht="15.75" thickBot="1" x14ac:dyDescent="0.3">
      <c r="A6368" s="43" t="s">
        <v>13514</v>
      </c>
      <c r="B6368" s="21" t="s">
        <v>13515</v>
      </c>
      <c r="C6368" s="21" t="s">
        <v>22655</v>
      </c>
      <c r="D6368" s="31" t="s">
        <v>22666</v>
      </c>
      <c r="E6368" s="23" t="s">
        <v>22656</v>
      </c>
      <c r="F6368" s="24" t="s">
        <v>22657</v>
      </c>
      <c r="G6368" s="25">
        <v>10</v>
      </c>
      <c r="H6368" s="26"/>
      <c r="I6368" s="27"/>
    </row>
    <row r="6369" spans="1:9" ht="15.75" thickBot="1" x14ac:dyDescent="0.3">
      <c r="A6369" s="43" t="s">
        <v>13516</v>
      </c>
      <c r="B6369" s="21" t="s">
        <v>13517</v>
      </c>
      <c r="C6369" s="21" t="s">
        <v>22655</v>
      </c>
      <c r="D6369" s="22">
        <v>46038</v>
      </c>
      <c r="E6369" s="23" t="s">
        <v>22656</v>
      </c>
      <c r="F6369" s="24" t="s">
        <v>22657</v>
      </c>
      <c r="G6369" s="25">
        <v>6</v>
      </c>
      <c r="H6369" s="29"/>
      <c r="I6369" s="30"/>
    </row>
    <row r="6370" spans="1:9" ht="15.75" thickBot="1" x14ac:dyDescent="0.3">
      <c r="A6370" s="43" t="s">
        <v>13518</v>
      </c>
      <c r="B6370" s="21" t="s">
        <v>13519</v>
      </c>
      <c r="C6370" s="21" t="s">
        <v>22655</v>
      </c>
      <c r="D6370" s="31" t="s">
        <v>22660</v>
      </c>
      <c r="E6370" s="23" t="s">
        <v>22656</v>
      </c>
      <c r="F6370" s="24" t="s">
        <v>22657</v>
      </c>
      <c r="G6370" s="25">
        <v>16</v>
      </c>
      <c r="H6370" s="26"/>
      <c r="I6370" s="27"/>
    </row>
    <row r="6371" spans="1:9" ht="15.75" thickBot="1" x14ac:dyDescent="0.3">
      <c r="A6371" s="43" t="s">
        <v>13520</v>
      </c>
      <c r="B6371" s="21" t="s">
        <v>13521</v>
      </c>
      <c r="C6371" s="21" t="s">
        <v>22663</v>
      </c>
      <c r="D6371" s="31">
        <v>1</v>
      </c>
      <c r="E6371" s="23" t="s">
        <v>22658</v>
      </c>
      <c r="F6371" s="24" t="s">
        <v>22657</v>
      </c>
      <c r="G6371" s="25">
        <v>1</v>
      </c>
      <c r="H6371" s="29"/>
      <c r="I6371" s="30"/>
    </row>
    <row r="6372" spans="1:9" ht="15.75" thickBot="1" x14ac:dyDescent="0.3">
      <c r="A6372" s="43" t="s">
        <v>13524</v>
      </c>
      <c r="B6372" s="21" t="s">
        <v>13525</v>
      </c>
      <c r="C6372" s="21" t="s">
        <v>22655</v>
      </c>
      <c r="D6372" s="22">
        <v>46034</v>
      </c>
      <c r="E6372" s="23" t="s">
        <v>22656</v>
      </c>
      <c r="F6372" s="24" t="s">
        <v>22657</v>
      </c>
      <c r="G6372" s="25">
        <v>2</v>
      </c>
      <c r="H6372" s="26"/>
      <c r="I6372" s="27"/>
    </row>
    <row r="6373" spans="1:9" ht="15.75" thickBot="1" x14ac:dyDescent="0.3">
      <c r="A6373" s="43" t="s">
        <v>13526</v>
      </c>
      <c r="B6373" s="21" t="s">
        <v>13527</v>
      </c>
      <c r="C6373" s="21" t="s">
        <v>22655</v>
      </c>
      <c r="D6373" s="22">
        <v>46046</v>
      </c>
      <c r="E6373" s="23" t="s">
        <v>22656</v>
      </c>
      <c r="F6373" s="24" t="s">
        <v>22657</v>
      </c>
      <c r="G6373" s="25">
        <v>3</v>
      </c>
      <c r="H6373" s="29"/>
      <c r="I6373" s="30"/>
    </row>
    <row r="6374" spans="1:9" ht="15.75" thickBot="1" x14ac:dyDescent="0.3">
      <c r="A6374" s="43" t="s">
        <v>13528</v>
      </c>
      <c r="B6374" s="21" t="s">
        <v>13529</v>
      </c>
      <c r="C6374" s="21" t="s">
        <v>22655</v>
      </c>
      <c r="D6374" s="22">
        <v>46046</v>
      </c>
      <c r="E6374" s="23" t="s">
        <v>22656</v>
      </c>
      <c r="F6374" s="24" t="s">
        <v>22657</v>
      </c>
      <c r="G6374" s="25">
        <v>3</v>
      </c>
      <c r="H6374" s="26"/>
      <c r="I6374" s="27"/>
    </row>
    <row r="6375" spans="1:9" ht="15.75" thickBot="1" x14ac:dyDescent="0.3">
      <c r="A6375" s="43" t="s">
        <v>13530</v>
      </c>
      <c r="B6375" s="21" t="s">
        <v>13531</v>
      </c>
      <c r="C6375" s="21" t="s">
        <v>22655</v>
      </c>
      <c r="D6375" s="22">
        <v>46034</v>
      </c>
      <c r="E6375" s="23" t="s">
        <v>22656</v>
      </c>
      <c r="F6375" s="24" t="s">
        <v>22657</v>
      </c>
      <c r="G6375" s="25">
        <v>2</v>
      </c>
      <c r="H6375" s="29"/>
      <c r="I6375" s="30"/>
    </row>
    <row r="6376" spans="1:9" ht="15.75" thickBot="1" x14ac:dyDescent="0.3">
      <c r="A6376" s="43" t="s">
        <v>13532</v>
      </c>
      <c r="B6376" s="21" t="s">
        <v>13533</v>
      </c>
      <c r="C6376" s="21" t="s">
        <v>22655</v>
      </c>
      <c r="D6376" s="22">
        <v>46034</v>
      </c>
      <c r="E6376" s="23" t="s">
        <v>22656</v>
      </c>
      <c r="F6376" s="24" t="s">
        <v>22657</v>
      </c>
      <c r="G6376" s="25">
        <v>2</v>
      </c>
      <c r="H6376" s="26"/>
      <c r="I6376" s="27"/>
    </row>
    <row r="6377" spans="1:9" ht="15.75" thickBot="1" x14ac:dyDescent="0.3">
      <c r="A6377" s="43" t="s">
        <v>13534</v>
      </c>
      <c r="B6377" s="21" t="s">
        <v>13535</v>
      </c>
      <c r="C6377" s="21" t="s">
        <v>22655</v>
      </c>
      <c r="D6377" s="22">
        <v>46046</v>
      </c>
      <c r="E6377" s="23" t="s">
        <v>22658</v>
      </c>
      <c r="F6377" s="24" t="s">
        <v>22657</v>
      </c>
      <c r="G6377" s="25">
        <v>3</v>
      </c>
      <c r="H6377" s="29"/>
      <c r="I6377" s="30"/>
    </row>
    <row r="6378" spans="1:9" ht="15.75" thickBot="1" x14ac:dyDescent="0.3">
      <c r="A6378" s="43" t="s">
        <v>13536</v>
      </c>
      <c r="B6378" s="21" t="s">
        <v>13537</v>
      </c>
      <c r="C6378" s="21" t="s">
        <v>22655</v>
      </c>
      <c r="D6378" s="22">
        <v>46046</v>
      </c>
      <c r="E6378" s="23" t="s">
        <v>22656</v>
      </c>
      <c r="F6378" s="24" t="s">
        <v>22657</v>
      </c>
      <c r="G6378" s="25">
        <v>4</v>
      </c>
      <c r="H6378" s="26"/>
      <c r="I6378" s="27"/>
    </row>
    <row r="6379" spans="1:9" ht="15.75" thickBot="1" x14ac:dyDescent="0.3">
      <c r="A6379" s="43" t="s">
        <v>13538</v>
      </c>
      <c r="B6379" s="21" t="s">
        <v>13539</v>
      </c>
      <c r="C6379" s="21" t="s">
        <v>22655</v>
      </c>
      <c r="D6379" s="22">
        <v>46034</v>
      </c>
      <c r="E6379" s="23" t="s">
        <v>22656</v>
      </c>
      <c r="F6379" s="24" t="s">
        <v>22657</v>
      </c>
      <c r="G6379" s="25">
        <v>2</v>
      </c>
      <c r="H6379" s="29"/>
      <c r="I6379" s="30"/>
    </row>
    <row r="6380" spans="1:9" ht="15.75" thickBot="1" x14ac:dyDescent="0.3">
      <c r="A6380" s="43" t="s">
        <v>13540</v>
      </c>
      <c r="B6380" s="21" t="s">
        <v>13541</v>
      </c>
      <c r="C6380" s="21" t="s">
        <v>22655</v>
      </c>
      <c r="D6380" s="22">
        <v>46034</v>
      </c>
      <c r="E6380" s="23" t="s">
        <v>22656</v>
      </c>
      <c r="F6380" s="24" t="s">
        <v>22657</v>
      </c>
      <c r="G6380" s="25">
        <v>2</v>
      </c>
      <c r="H6380" s="26"/>
      <c r="I6380" s="27"/>
    </row>
    <row r="6381" spans="1:9" ht="15.75" thickBot="1" x14ac:dyDescent="0.3">
      <c r="A6381" s="43" t="s">
        <v>13542</v>
      </c>
      <c r="B6381" s="21" t="s">
        <v>13543</v>
      </c>
      <c r="C6381" s="21" t="s">
        <v>22655</v>
      </c>
      <c r="D6381" s="22">
        <v>46046</v>
      </c>
      <c r="E6381" s="23" t="s">
        <v>22656</v>
      </c>
      <c r="F6381" s="24" t="s">
        <v>22657</v>
      </c>
      <c r="G6381" s="25">
        <v>3</v>
      </c>
      <c r="H6381" s="29"/>
      <c r="I6381" s="30"/>
    </row>
    <row r="6382" spans="1:9" ht="15.75" thickBot="1" x14ac:dyDescent="0.3">
      <c r="A6382" s="43" t="s">
        <v>13544</v>
      </c>
      <c r="B6382" s="21" t="s">
        <v>13545</v>
      </c>
      <c r="C6382" s="21" t="s">
        <v>22655</v>
      </c>
      <c r="D6382" s="22">
        <v>46046</v>
      </c>
      <c r="E6382" s="23" t="s">
        <v>22656</v>
      </c>
      <c r="F6382" s="24" t="s">
        <v>22657</v>
      </c>
      <c r="G6382" s="25">
        <v>3</v>
      </c>
      <c r="H6382" s="26"/>
      <c r="I6382" s="27"/>
    </row>
    <row r="6383" spans="1:9" ht="15.75" thickBot="1" x14ac:dyDescent="0.3">
      <c r="A6383" s="43" t="s">
        <v>13546</v>
      </c>
      <c r="B6383" s="21" t="s">
        <v>13547</v>
      </c>
      <c r="C6383" s="21" t="s">
        <v>22655</v>
      </c>
      <c r="D6383" s="22">
        <v>46034</v>
      </c>
      <c r="E6383" s="23" t="s">
        <v>22656</v>
      </c>
      <c r="F6383" s="24" t="s">
        <v>22657</v>
      </c>
      <c r="G6383" s="25">
        <v>2</v>
      </c>
      <c r="H6383" s="29"/>
      <c r="I6383" s="30"/>
    </row>
    <row r="6384" spans="1:9" ht="15.75" thickBot="1" x14ac:dyDescent="0.3">
      <c r="A6384" s="43" t="s">
        <v>13548</v>
      </c>
      <c r="B6384" s="21" t="s">
        <v>13549</v>
      </c>
      <c r="C6384" s="21" t="s">
        <v>22655</v>
      </c>
      <c r="D6384" s="22">
        <v>46046</v>
      </c>
      <c r="E6384" s="23" t="s">
        <v>22656</v>
      </c>
      <c r="F6384" s="24" t="s">
        <v>22657</v>
      </c>
      <c r="G6384" s="25">
        <v>3</v>
      </c>
      <c r="H6384" s="26"/>
      <c r="I6384" s="27"/>
    </row>
    <row r="6385" spans="1:9" ht="15.75" thickBot="1" x14ac:dyDescent="0.3">
      <c r="A6385" s="43" t="s">
        <v>13550</v>
      </c>
      <c r="B6385" s="21" t="s">
        <v>13551</v>
      </c>
      <c r="C6385" s="21" t="s">
        <v>22655</v>
      </c>
      <c r="D6385" s="22">
        <v>46046</v>
      </c>
      <c r="E6385" s="23" t="s">
        <v>22656</v>
      </c>
      <c r="F6385" s="24" t="s">
        <v>22657</v>
      </c>
      <c r="G6385" s="25">
        <v>4</v>
      </c>
      <c r="H6385" s="29"/>
      <c r="I6385" s="30"/>
    </row>
    <row r="6386" spans="1:9" ht="15.75" thickBot="1" x14ac:dyDescent="0.3">
      <c r="A6386" s="43" t="s">
        <v>13552</v>
      </c>
      <c r="B6386" s="21" t="s">
        <v>13553</v>
      </c>
      <c r="C6386" s="21" t="s">
        <v>22655</v>
      </c>
      <c r="D6386" s="22">
        <v>46046</v>
      </c>
      <c r="E6386" s="23" t="s">
        <v>22656</v>
      </c>
      <c r="F6386" s="24" t="s">
        <v>22657</v>
      </c>
      <c r="G6386" s="25">
        <v>4</v>
      </c>
      <c r="H6386" s="26"/>
      <c r="I6386" s="27"/>
    </row>
    <row r="6387" spans="1:9" ht="15.75" thickBot="1" x14ac:dyDescent="0.3">
      <c r="A6387" s="43" t="s">
        <v>13554</v>
      </c>
      <c r="B6387" s="21" t="s">
        <v>13555</v>
      </c>
      <c r="C6387" s="21" t="s">
        <v>22655</v>
      </c>
      <c r="D6387" s="22">
        <v>46034</v>
      </c>
      <c r="E6387" s="23" t="s">
        <v>22656</v>
      </c>
      <c r="F6387" s="24" t="s">
        <v>22657</v>
      </c>
      <c r="G6387" s="25">
        <v>2</v>
      </c>
      <c r="H6387" s="29"/>
      <c r="I6387" s="30"/>
    </row>
    <row r="6388" spans="1:9" ht="15.75" thickBot="1" x14ac:dyDescent="0.3">
      <c r="A6388" s="43" t="s">
        <v>13556</v>
      </c>
      <c r="B6388" s="21" t="s">
        <v>13557</v>
      </c>
      <c r="C6388" s="21" t="s">
        <v>22655</v>
      </c>
      <c r="D6388" s="22">
        <v>46046</v>
      </c>
      <c r="E6388" s="23" t="s">
        <v>22658</v>
      </c>
      <c r="F6388" s="24" t="s">
        <v>22657</v>
      </c>
      <c r="G6388" s="25">
        <v>3</v>
      </c>
      <c r="H6388" s="26"/>
      <c r="I6388" s="27"/>
    </row>
    <row r="6389" spans="1:9" ht="15.75" thickBot="1" x14ac:dyDescent="0.3">
      <c r="A6389" s="43" t="s">
        <v>13558</v>
      </c>
      <c r="B6389" s="21" t="s">
        <v>13559</v>
      </c>
      <c r="C6389" s="21" t="s">
        <v>22655</v>
      </c>
      <c r="D6389" s="22">
        <v>46046</v>
      </c>
      <c r="E6389" s="23" t="s">
        <v>22656</v>
      </c>
      <c r="F6389" s="24" t="s">
        <v>22657</v>
      </c>
      <c r="G6389" s="25">
        <v>2</v>
      </c>
      <c r="H6389" s="29"/>
      <c r="I6389" s="30"/>
    </row>
    <row r="6390" spans="1:9" ht="15.75" thickBot="1" x14ac:dyDescent="0.3">
      <c r="A6390" s="43" t="s">
        <v>13560</v>
      </c>
      <c r="B6390" s="21" t="s">
        <v>13561</v>
      </c>
      <c r="C6390" s="21" t="s">
        <v>22655</v>
      </c>
      <c r="D6390" s="22">
        <v>46046</v>
      </c>
      <c r="E6390" s="23" t="s">
        <v>22656</v>
      </c>
      <c r="F6390" s="24" t="s">
        <v>22657</v>
      </c>
      <c r="G6390" s="25">
        <v>2</v>
      </c>
      <c r="H6390" s="26"/>
      <c r="I6390" s="27"/>
    </row>
    <row r="6391" spans="1:9" ht="15.75" thickBot="1" x14ac:dyDescent="0.3">
      <c r="A6391" s="43" t="s">
        <v>13562</v>
      </c>
      <c r="B6391" s="21" t="s">
        <v>13563</v>
      </c>
      <c r="C6391" s="21" t="s">
        <v>22655</v>
      </c>
      <c r="D6391" s="22">
        <v>46046</v>
      </c>
      <c r="E6391" s="23" t="s">
        <v>22656</v>
      </c>
      <c r="F6391" s="24" t="s">
        <v>22657</v>
      </c>
      <c r="G6391" s="25">
        <v>2</v>
      </c>
      <c r="H6391" s="29"/>
      <c r="I6391" s="30"/>
    </row>
    <row r="6392" spans="1:9" ht="15.75" thickBot="1" x14ac:dyDescent="0.3">
      <c r="A6392" s="43" t="s">
        <v>13564</v>
      </c>
      <c r="B6392" s="21" t="s">
        <v>13565</v>
      </c>
      <c r="C6392" s="21" t="s">
        <v>22655</v>
      </c>
      <c r="D6392" s="22">
        <v>46046</v>
      </c>
      <c r="E6392" s="23" t="s">
        <v>22656</v>
      </c>
      <c r="F6392" s="24" t="s">
        <v>22657</v>
      </c>
      <c r="G6392" s="25">
        <v>2</v>
      </c>
      <c r="H6392" s="26"/>
      <c r="I6392" s="27"/>
    </row>
    <row r="6393" spans="1:9" ht="15.75" thickBot="1" x14ac:dyDescent="0.3">
      <c r="A6393" s="43" t="s">
        <v>13566</v>
      </c>
      <c r="B6393" s="21" t="s">
        <v>13567</v>
      </c>
      <c r="C6393" s="21" t="s">
        <v>22655</v>
      </c>
      <c r="D6393" s="22">
        <v>46046</v>
      </c>
      <c r="E6393" s="23" t="s">
        <v>22656</v>
      </c>
      <c r="F6393" s="24" t="s">
        <v>22657</v>
      </c>
      <c r="G6393" s="25">
        <v>2</v>
      </c>
      <c r="H6393" s="29"/>
      <c r="I6393" s="30"/>
    </row>
    <row r="6394" spans="1:9" ht="15.75" thickBot="1" x14ac:dyDescent="0.3">
      <c r="A6394" s="43" t="s">
        <v>13568</v>
      </c>
      <c r="B6394" s="21" t="s">
        <v>13569</v>
      </c>
      <c r="C6394" s="21" t="s">
        <v>22655</v>
      </c>
      <c r="D6394" s="22">
        <v>46046</v>
      </c>
      <c r="E6394" s="23" t="s">
        <v>22658</v>
      </c>
      <c r="F6394" s="24" t="s">
        <v>22657</v>
      </c>
      <c r="G6394" s="25">
        <v>2</v>
      </c>
      <c r="H6394" s="26"/>
      <c r="I6394" s="27"/>
    </row>
    <row r="6395" spans="1:9" ht="15.75" thickBot="1" x14ac:dyDescent="0.3">
      <c r="A6395" s="43" t="s">
        <v>13570</v>
      </c>
      <c r="B6395" s="21" t="s">
        <v>13571</v>
      </c>
      <c r="C6395" s="21" t="s">
        <v>22655</v>
      </c>
      <c r="D6395" s="22">
        <v>46046</v>
      </c>
      <c r="E6395" s="23" t="s">
        <v>22656</v>
      </c>
      <c r="F6395" s="24" t="s">
        <v>22657</v>
      </c>
      <c r="G6395" s="25">
        <v>2</v>
      </c>
      <c r="H6395" s="29"/>
      <c r="I6395" s="30"/>
    </row>
    <row r="6396" spans="1:9" ht="15.75" thickBot="1" x14ac:dyDescent="0.3">
      <c r="A6396" s="43" t="s">
        <v>13572</v>
      </c>
      <c r="B6396" s="21" t="s">
        <v>13573</v>
      </c>
      <c r="C6396" s="21" t="s">
        <v>22655</v>
      </c>
      <c r="D6396" s="31" t="s">
        <v>22669</v>
      </c>
      <c r="E6396" s="23" t="s">
        <v>22656</v>
      </c>
      <c r="F6396" s="24" t="s">
        <v>22657</v>
      </c>
      <c r="G6396" s="25">
        <v>4</v>
      </c>
      <c r="H6396" s="26"/>
      <c r="I6396" s="27"/>
    </row>
    <row r="6397" spans="1:9" ht="15.75" thickBot="1" x14ac:dyDescent="0.3">
      <c r="A6397" s="43" t="s">
        <v>13574</v>
      </c>
      <c r="B6397" s="21" t="s">
        <v>13575</v>
      </c>
      <c r="C6397" s="21" t="s">
        <v>22655</v>
      </c>
      <c r="D6397" s="31" t="s">
        <v>22669</v>
      </c>
      <c r="E6397" s="23" t="s">
        <v>22656</v>
      </c>
      <c r="F6397" s="24" t="s">
        <v>22657</v>
      </c>
      <c r="G6397" s="25">
        <v>4</v>
      </c>
      <c r="H6397" s="29"/>
      <c r="I6397" s="30"/>
    </row>
    <row r="6398" spans="1:9" ht="15.75" thickBot="1" x14ac:dyDescent="0.3">
      <c r="A6398" s="43" t="s">
        <v>13576</v>
      </c>
      <c r="B6398" s="21" t="s">
        <v>13577</v>
      </c>
      <c r="C6398" s="21" t="s">
        <v>22663</v>
      </c>
      <c r="D6398" s="31">
        <v>1</v>
      </c>
      <c r="E6398" s="23" t="s">
        <v>22661</v>
      </c>
      <c r="F6398" s="24" t="s">
        <v>22657</v>
      </c>
      <c r="G6398" s="25">
        <v>30</v>
      </c>
      <c r="H6398" s="34">
        <v>30</v>
      </c>
      <c r="I6398" s="35">
        <v>60</v>
      </c>
    </row>
    <row r="6399" spans="1:9" ht="15.75" thickBot="1" x14ac:dyDescent="0.3">
      <c r="A6399" s="43" t="s">
        <v>9</v>
      </c>
      <c r="B6399" s="21" t="s">
        <v>10</v>
      </c>
      <c r="C6399" s="21" t="s">
        <v>22709</v>
      </c>
      <c r="D6399" s="31">
        <v>1</v>
      </c>
      <c r="E6399" s="23" t="s">
        <v>22661</v>
      </c>
      <c r="F6399" s="24" t="s">
        <v>22657</v>
      </c>
      <c r="G6399" s="25">
        <v>3</v>
      </c>
      <c r="H6399" s="32">
        <v>3</v>
      </c>
      <c r="I6399" s="33">
        <v>6</v>
      </c>
    </row>
    <row r="6400" spans="1:9" ht="15.75" thickBot="1" x14ac:dyDescent="0.3">
      <c r="A6400" s="43" t="s">
        <v>107</v>
      </c>
      <c r="B6400" s="21" t="s">
        <v>13578</v>
      </c>
      <c r="C6400" s="21" t="s">
        <v>22698</v>
      </c>
      <c r="D6400" s="31">
        <v>1</v>
      </c>
      <c r="E6400" s="23" t="s">
        <v>22665</v>
      </c>
      <c r="F6400" s="24" t="s">
        <v>22657</v>
      </c>
      <c r="G6400" s="25">
        <v>15</v>
      </c>
      <c r="H6400" s="34">
        <v>15</v>
      </c>
      <c r="I6400" s="35">
        <v>30</v>
      </c>
    </row>
    <row r="6401" spans="1:9" ht="15.75" thickBot="1" x14ac:dyDescent="0.3">
      <c r="A6401" s="43" t="s">
        <v>13579</v>
      </c>
      <c r="B6401" s="21" t="s">
        <v>13580</v>
      </c>
      <c r="C6401" s="21" t="s">
        <v>22655</v>
      </c>
      <c r="D6401" s="22">
        <v>46026</v>
      </c>
      <c r="E6401" s="23" t="s">
        <v>22658</v>
      </c>
      <c r="F6401" s="24" t="s">
        <v>22657</v>
      </c>
      <c r="G6401" s="25">
        <v>2</v>
      </c>
      <c r="H6401" s="29"/>
      <c r="I6401" s="30"/>
    </row>
    <row r="6402" spans="1:9" ht="15.75" thickBot="1" x14ac:dyDescent="0.3">
      <c r="A6402" s="43" t="s">
        <v>13581</v>
      </c>
      <c r="B6402" s="21" t="s">
        <v>13582</v>
      </c>
      <c r="C6402" s="21" t="s">
        <v>22655</v>
      </c>
      <c r="D6402" s="22">
        <v>46032</v>
      </c>
      <c r="E6402" s="23" t="s">
        <v>22658</v>
      </c>
      <c r="F6402" s="24" t="s">
        <v>22657</v>
      </c>
      <c r="G6402" s="25">
        <v>4</v>
      </c>
      <c r="H6402" s="26"/>
      <c r="I6402" s="27"/>
    </row>
    <row r="6403" spans="1:9" ht="15.75" thickBot="1" x14ac:dyDescent="0.3">
      <c r="A6403" s="43" t="s">
        <v>13583</v>
      </c>
      <c r="B6403" s="21" t="s">
        <v>13584</v>
      </c>
      <c r="C6403" s="21" t="s">
        <v>22655</v>
      </c>
      <c r="D6403" s="22">
        <v>46028</v>
      </c>
      <c r="E6403" s="23" t="s">
        <v>22658</v>
      </c>
      <c r="F6403" s="24" t="s">
        <v>22657</v>
      </c>
      <c r="G6403" s="25">
        <v>1</v>
      </c>
      <c r="H6403" s="29"/>
      <c r="I6403" s="30"/>
    </row>
    <row r="6404" spans="1:9" ht="15.75" thickBot="1" x14ac:dyDescent="0.3">
      <c r="A6404" s="43" t="s">
        <v>13585</v>
      </c>
      <c r="B6404" s="21" t="s">
        <v>13586</v>
      </c>
      <c r="C6404" s="21" t="s">
        <v>22655</v>
      </c>
      <c r="D6404" s="22">
        <v>46032</v>
      </c>
      <c r="E6404" s="23" t="s">
        <v>22658</v>
      </c>
      <c r="F6404" s="24" t="s">
        <v>22657</v>
      </c>
      <c r="G6404" s="25">
        <v>4</v>
      </c>
      <c r="H6404" s="26"/>
      <c r="I6404" s="27"/>
    </row>
    <row r="6405" spans="1:9" ht="15.75" thickBot="1" x14ac:dyDescent="0.3">
      <c r="A6405" s="43" t="s">
        <v>13587</v>
      </c>
      <c r="B6405" s="21" t="s">
        <v>13588</v>
      </c>
      <c r="C6405" s="21" t="s">
        <v>22655</v>
      </c>
      <c r="D6405" s="22">
        <v>46032</v>
      </c>
      <c r="E6405" s="23" t="s">
        <v>22658</v>
      </c>
      <c r="F6405" s="24" t="s">
        <v>22657</v>
      </c>
      <c r="G6405" s="25">
        <v>4</v>
      </c>
      <c r="H6405" s="29"/>
      <c r="I6405" s="30"/>
    </row>
    <row r="6406" spans="1:9" ht="15.75" thickBot="1" x14ac:dyDescent="0.3">
      <c r="A6406" s="43" t="s">
        <v>13589</v>
      </c>
      <c r="B6406" s="21" t="s">
        <v>13590</v>
      </c>
      <c r="C6406" s="21" t="s">
        <v>22655</v>
      </c>
      <c r="D6406" s="22">
        <v>46032</v>
      </c>
      <c r="E6406" s="23" t="s">
        <v>22658</v>
      </c>
      <c r="F6406" s="24" t="s">
        <v>22657</v>
      </c>
      <c r="G6406" s="25">
        <v>4</v>
      </c>
      <c r="H6406" s="26"/>
      <c r="I6406" s="27"/>
    </row>
    <row r="6407" spans="1:9" ht="15.75" thickBot="1" x14ac:dyDescent="0.3">
      <c r="A6407" s="43" t="s">
        <v>13591</v>
      </c>
      <c r="B6407" s="21" t="s">
        <v>13592</v>
      </c>
      <c r="C6407" s="21" t="s">
        <v>22667</v>
      </c>
      <c r="D6407" s="31" t="s">
        <v>22700</v>
      </c>
      <c r="E6407" s="23" t="s">
        <v>22661</v>
      </c>
      <c r="F6407" s="24" t="s">
        <v>22657</v>
      </c>
      <c r="G6407" s="25">
        <v>20</v>
      </c>
      <c r="H6407" s="29"/>
      <c r="I6407" s="30"/>
    </row>
    <row r="6408" spans="1:9" ht="15.75" thickBot="1" x14ac:dyDescent="0.3">
      <c r="A6408" s="43" t="s">
        <v>13593</v>
      </c>
      <c r="B6408" s="21" t="s">
        <v>13594</v>
      </c>
      <c r="C6408" s="21" t="s">
        <v>22667</v>
      </c>
      <c r="D6408" s="31" t="s">
        <v>22700</v>
      </c>
      <c r="E6408" s="23" t="s">
        <v>22656</v>
      </c>
      <c r="F6408" s="24" t="s">
        <v>22657</v>
      </c>
      <c r="G6408" s="25">
        <v>4</v>
      </c>
      <c r="H6408" s="26"/>
      <c r="I6408" s="27"/>
    </row>
    <row r="6409" spans="1:9" ht="15.75" thickBot="1" x14ac:dyDescent="0.3">
      <c r="A6409" s="43" t="s">
        <v>13595</v>
      </c>
      <c r="B6409" s="21" t="s">
        <v>13596</v>
      </c>
      <c r="C6409" s="21" t="s">
        <v>22667</v>
      </c>
      <c r="D6409" s="31" t="s">
        <v>22700</v>
      </c>
      <c r="E6409" s="23" t="s">
        <v>22658</v>
      </c>
      <c r="F6409" s="24" t="s">
        <v>22657</v>
      </c>
      <c r="G6409" s="25">
        <v>4</v>
      </c>
      <c r="H6409" s="29"/>
      <c r="I6409" s="30"/>
    </row>
    <row r="6410" spans="1:9" ht="15.75" thickBot="1" x14ac:dyDescent="0.3">
      <c r="A6410" s="43" t="s">
        <v>13597</v>
      </c>
      <c r="B6410" s="21" t="s">
        <v>13598</v>
      </c>
      <c r="C6410" s="21" t="s">
        <v>22655</v>
      </c>
      <c r="D6410" s="22">
        <v>46034</v>
      </c>
      <c r="E6410" s="23" t="s">
        <v>22656</v>
      </c>
      <c r="F6410" s="24" t="s">
        <v>22657</v>
      </c>
      <c r="G6410" s="25">
        <v>2</v>
      </c>
      <c r="H6410" s="26"/>
      <c r="I6410" s="27"/>
    </row>
    <row r="6411" spans="1:9" ht="15.75" thickBot="1" x14ac:dyDescent="0.3">
      <c r="A6411" s="43" t="s">
        <v>13599</v>
      </c>
      <c r="B6411" s="21" t="s">
        <v>13600</v>
      </c>
      <c r="C6411" s="21" t="s">
        <v>22655</v>
      </c>
      <c r="D6411" s="22">
        <v>46032</v>
      </c>
      <c r="E6411" s="23" t="s">
        <v>22658</v>
      </c>
      <c r="F6411" s="24" t="s">
        <v>22657</v>
      </c>
      <c r="G6411" s="25">
        <v>1</v>
      </c>
      <c r="H6411" s="29"/>
      <c r="I6411" s="30"/>
    </row>
    <row r="6412" spans="1:9" ht="15.75" thickBot="1" x14ac:dyDescent="0.3">
      <c r="A6412" s="43" t="s">
        <v>13601</v>
      </c>
      <c r="B6412" s="21" t="s">
        <v>13602</v>
      </c>
      <c r="C6412" s="21" t="s">
        <v>22667</v>
      </c>
      <c r="D6412" s="31" t="s">
        <v>22700</v>
      </c>
      <c r="E6412" s="23" t="s">
        <v>22656</v>
      </c>
      <c r="F6412" s="24" t="s">
        <v>22657</v>
      </c>
      <c r="G6412" s="25">
        <v>4</v>
      </c>
      <c r="H6412" s="26"/>
      <c r="I6412" s="27"/>
    </row>
    <row r="6413" spans="1:9" ht="15.75" thickBot="1" x14ac:dyDescent="0.3">
      <c r="A6413" s="43" t="s">
        <v>13603</v>
      </c>
      <c r="B6413" s="21" t="s">
        <v>13604</v>
      </c>
      <c r="C6413" s="21" t="s">
        <v>22655</v>
      </c>
      <c r="D6413" s="22">
        <v>46032</v>
      </c>
      <c r="E6413" s="23" t="s">
        <v>22658</v>
      </c>
      <c r="F6413" s="24" t="s">
        <v>22657</v>
      </c>
      <c r="G6413" s="25">
        <v>1</v>
      </c>
      <c r="H6413" s="29"/>
      <c r="I6413" s="30"/>
    </row>
    <row r="6414" spans="1:9" ht="15.75" thickBot="1" x14ac:dyDescent="0.3">
      <c r="A6414" s="43" t="s">
        <v>13605</v>
      </c>
      <c r="B6414" s="21" t="s">
        <v>13606</v>
      </c>
      <c r="C6414" s="21" t="s">
        <v>22655</v>
      </c>
      <c r="D6414" s="22">
        <v>46032</v>
      </c>
      <c r="E6414" s="23" t="s">
        <v>22658</v>
      </c>
      <c r="F6414" s="24" t="s">
        <v>22657</v>
      </c>
      <c r="G6414" s="25">
        <v>1</v>
      </c>
      <c r="H6414" s="26"/>
      <c r="I6414" s="27"/>
    </row>
    <row r="6415" spans="1:9" ht="15.75" thickBot="1" x14ac:dyDescent="0.3">
      <c r="A6415" s="43" t="s">
        <v>13607</v>
      </c>
      <c r="B6415" s="21" t="s">
        <v>13608</v>
      </c>
      <c r="C6415" s="21" t="s">
        <v>22655</v>
      </c>
      <c r="D6415" s="22">
        <v>46032</v>
      </c>
      <c r="E6415" s="23" t="s">
        <v>22658</v>
      </c>
      <c r="F6415" s="24" t="s">
        <v>22657</v>
      </c>
      <c r="G6415" s="25">
        <v>1</v>
      </c>
      <c r="H6415" s="29"/>
      <c r="I6415" s="30"/>
    </row>
    <row r="6416" spans="1:9" ht="15.75" thickBot="1" x14ac:dyDescent="0.3">
      <c r="A6416" s="43" t="s">
        <v>13609</v>
      </c>
      <c r="B6416" s="21" t="s">
        <v>13610</v>
      </c>
      <c r="C6416" s="21" t="s">
        <v>22663</v>
      </c>
      <c r="D6416" s="31">
        <v>1</v>
      </c>
      <c r="E6416" s="23" t="s">
        <v>22658</v>
      </c>
      <c r="F6416" s="24" t="s">
        <v>22657</v>
      </c>
      <c r="G6416" s="25">
        <v>1</v>
      </c>
      <c r="H6416" s="26"/>
      <c r="I6416" s="27"/>
    </row>
    <row r="6417" spans="1:9" ht="15.75" thickBot="1" x14ac:dyDescent="0.3">
      <c r="A6417" s="43" t="s">
        <v>13611</v>
      </c>
      <c r="B6417" s="21" t="s">
        <v>13612</v>
      </c>
      <c r="C6417" s="21" t="s">
        <v>22667</v>
      </c>
      <c r="D6417" s="31" t="s">
        <v>22700</v>
      </c>
      <c r="E6417" s="23" t="s">
        <v>22656</v>
      </c>
      <c r="F6417" s="24" t="s">
        <v>22657</v>
      </c>
      <c r="G6417" s="25">
        <v>2</v>
      </c>
      <c r="H6417" s="29"/>
      <c r="I6417" s="30"/>
    </row>
    <row r="6418" spans="1:9" ht="15.75" thickBot="1" x14ac:dyDescent="0.3">
      <c r="A6418" s="43" t="s">
        <v>13613</v>
      </c>
      <c r="B6418" s="21" t="s">
        <v>13614</v>
      </c>
      <c r="C6418" s="21" t="s">
        <v>22672</v>
      </c>
      <c r="D6418" s="22">
        <v>46032</v>
      </c>
      <c r="E6418" s="23" t="s">
        <v>22658</v>
      </c>
      <c r="F6418" s="24" t="s">
        <v>22657</v>
      </c>
      <c r="G6418" s="25">
        <v>4</v>
      </c>
      <c r="H6418" s="26"/>
      <c r="I6418" s="27"/>
    </row>
    <row r="6419" spans="1:9" ht="15.75" thickBot="1" x14ac:dyDescent="0.3">
      <c r="A6419" s="43" t="s">
        <v>13615</v>
      </c>
      <c r="B6419" s="21" t="s">
        <v>13616</v>
      </c>
      <c r="C6419" s="21" t="s">
        <v>22672</v>
      </c>
      <c r="D6419" s="22">
        <v>46030</v>
      </c>
      <c r="E6419" s="23" t="s">
        <v>22658</v>
      </c>
      <c r="F6419" s="24" t="s">
        <v>22657</v>
      </c>
      <c r="G6419" s="25">
        <v>3</v>
      </c>
      <c r="H6419" s="29"/>
      <c r="I6419" s="30"/>
    </row>
    <row r="6420" spans="1:9" ht="15.75" thickBot="1" x14ac:dyDescent="0.3">
      <c r="A6420" s="43" t="s">
        <v>13617</v>
      </c>
      <c r="B6420" s="21" t="s">
        <v>13618</v>
      </c>
      <c r="C6420" s="21" t="s">
        <v>22663</v>
      </c>
      <c r="D6420" s="31">
        <v>1</v>
      </c>
      <c r="E6420" s="23" t="s">
        <v>22658</v>
      </c>
      <c r="F6420" s="24" t="s">
        <v>22657</v>
      </c>
      <c r="G6420" s="25">
        <v>1</v>
      </c>
      <c r="H6420" s="26"/>
      <c r="I6420" s="27"/>
    </row>
    <row r="6421" spans="1:9" ht="15.75" thickBot="1" x14ac:dyDescent="0.3">
      <c r="A6421" s="43" t="s">
        <v>13619</v>
      </c>
      <c r="B6421" s="21" t="s">
        <v>13620</v>
      </c>
      <c r="C6421" s="21" t="s">
        <v>22655</v>
      </c>
      <c r="D6421" s="31" t="s">
        <v>22666</v>
      </c>
      <c r="E6421" s="23" t="s">
        <v>22656</v>
      </c>
      <c r="F6421" s="24" t="s">
        <v>22657</v>
      </c>
      <c r="G6421" s="25">
        <v>4</v>
      </c>
      <c r="H6421" s="29"/>
      <c r="I6421" s="30"/>
    </row>
    <row r="6422" spans="1:9" ht="15.75" thickBot="1" x14ac:dyDescent="0.3">
      <c r="A6422" s="43" t="s">
        <v>13621</v>
      </c>
      <c r="B6422" s="21" t="s">
        <v>13622</v>
      </c>
      <c r="C6422" s="21" t="s">
        <v>22667</v>
      </c>
      <c r="D6422" s="31" t="s">
        <v>22828</v>
      </c>
      <c r="E6422" s="23" t="s">
        <v>22656</v>
      </c>
      <c r="F6422" s="24" t="s">
        <v>22657</v>
      </c>
      <c r="G6422" s="25">
        <v>4</v>
      </c>
      <c r="H6422" s="26"/>
      <c r="I6422" s="27"/>
    </row>
    <row r="6423" spans="1:9" ht="15.75" thickBot="1" x14ac:dyDescent="0.3">
      <c r="A6423" s="43" t="s">
        <v>13623</v>
      </c>
      <c r="B6423" s="21" t="s">
        <v>13624</v>
      </c>
      <c r="C6423" s="21" t="s">
        <v>22655</v>
      </c>
      <c r="D6423" s="22">
        <v>46038</v>
      </c>
      <c r="E6423" s="23" t="s">
        <v>22656</v>
      </c>
      <c r="F6423" s="24" t="s">
        <v>22657</v>
      </c>
      <c r="G6423" s="25">
        <v>6</v>
      </c>
      <c r="H6423" s="29"/>
      <c r="I6423" s="30"/>
    </row>
    <row r="6424" spans="1:9" ht="15.75" thickBot="1" x14ac:dyDescent="0.3">
      <c r="A6424" s="43" t="s">
        <v>13625</v>
      </c>
      <c r="B6424" s="21" t="s">
        <v>13626</v>
      </c>
      <c r="C6424" s="21" t="s">
        <v>22655</v>
      </c>
      <c r="D6424" s="22">
        <v>46038</v>
      </c>
      <c r="E6424" s="23" t="s">
        <v>22656</v>
      </c>
      <c r="F6424" s="24" t="s">
        <v>22657</v>
      </c>
      <c r="G6424" s="25">
        <v>6</v>
      </c>
      <c r="H6424" s="26"/>
      <c r="I6424" s="27"/>
    </row>
    <row r="6425" spans="1:9" ht="15.75" thickBot="1" x14ac:dyDescent="0.3">
      <c r="A6425" s="43" t="s">
        <v>13627</v>
      </c>
      <c r="B6425" s="21" t="s">
        <v>13628</v>
      </c>
      <c r="C6425" s="21" t="s">
        <v>22667</v>
      </c>
      <c r="D6425" s="31" t="s">
        <v>22670</v>
      </c>
      <c r="E6425" s="23" t="s">
        <v>22656</v>
      </c>
      <c r="F6425" s="24" t="s">
        <v>22657</v>
      </c>
      <c r="G6425" s="25">
        <v>7</v>
      </c>
      <c r="H6425" s="29"/>
      <c r="I6425" s="30"/>
    </row>
    <row r="6426" spans="1:9" ht="15.75" thickBot="1" x14ac:dyDescent="0.3">
      <c r="A6426" s="43" t="s">
        <v>13629</v>
      </c>
      <c r="B6426" s="21" t="s">
        <v>13630</v>
      </c>
      <c r="C6426" s="21" t="s">
        <v>22655</v>
      </c>
      <c r="D6426" s="22">
        <v>46034</v>
      </c>
      <c r="E6426" s="23" t="s">
        <v>22658</v>
      </c>
      <c r="F6426" s="28" t="s">
        <v>22659</v>
      </c>
      <c r="G6426" s="25">
        <v>1</v>
      </c>
      <c r="H6426" s="26"/>
      <c r="I6426" s="27"/>
    </row>
    <row r="6427" spans="1:9" ht="15.75" thickBot="1" x14ac:dyDescent="0.3">
      <c r="A6427" s="43" t="s">
        <v>13631</v>
      </c>
      <c r="B6427" s="21" t="s">
        <v>13632</v>
      </c>
      <c r="C6427" s="21" t="s">
        <v>22655</v>
      </c>
      <c r="D6427" s="22">
        <v>46050</v>
      </c>
      <c r="E6427" s="23" t="s">
        <v>22661</v>
      </c>
      <c r="F6427" s="24" t="s">
        <v>22657</v>
      </c>
      <c r="G6427" s="25">
        <v>8</v>
      </c>
      <c r="H6427" s="29"/>
      <c r="I6427" s="30"/>
    </row>
    <row r="6428" spans="1:9" ht="15.75" thickBot="1" x14ac:dyDescent="0.3">
      <c r="A6428" s="43" t="s">
        <v>13633</v>
      </c>
      <c r="B6428" s="21" t="s">
        <v>13634</v>
      </c>
      <c r="C6428" s="21" t="s">
        <v>22655</v>
      </c>
      <c r="D6428" s="22">
        <v>46046</v>
      </c>
      <c r="E6428" s="23" t="s">
        <v>22658</v>
      </c>
      <c r="F6428" s="24" t="s">
        <v>22657</v>
      </c>
      <c r="G6428" s="25">
        <v>2</v>
      </c>
      <c r="H6428" s="26"/>
      <c r="I6428" s="27"/>
    </row>
    <row r="6429" spans="1:9" ht="15.75" thickBot="1" x14ac:dyDescent="0.3">
      <c r="A6429" s="43" t="s">
        <v>13635</v>
      </c>
      <c r="B6429" s="21" t="s">
        <v>13636</v>
      </c>
      <c r="C6429" s="21" t="s">
        <v>22655</v>
      </c>
      <c r="D6429" s="31" t="s">
        <v>22708</v>
      </c>
      <c r="E6429" s="23" t="s">
        <v>22661</v>
      </c>
      <c r="F6429" s="24" t="s">
        <v>22657</v>
      </c>
      <c r="G6429" s="25">
        <v>24</v>
      </c>
      <c r="H6429" s="29"/>
      <c r="I6429" s="30"/>
    </row>
    <row r="6430" spans="1:9" ht="15.75" thickBot="1" x14ac:dyDescent="0.3">
      <c r="A6430" s="43" t="s">
        <v>1685</v>
      </c>
      <c r="B6430" s="21" t="s">
        <v>1686</v>
      </c>
      <c r="C6430" s="21" t="s">
        <v>22655</v>
      </c>
      <c r="D6430" s="31" t="s">
        <v>22708</v>
      </c>
      <c r="E6430" s="23" t="s">
        <v>22665</v>
      </c>
      <c r="F6430" s="24" t="s">
        <v>22657</v>
      </c>
      <c r="G6430" s="25">
        <v>24</v>
      </c>
      <c r="H6430" s="34">
        <v>24</v>
      </c>
      <c r="I6430" s="35">
        <v>60</v>
      </c>
    </row>
    <row r="6431" spans="1:9" ht="15.75" thickBot="1" x14ac:dyDescent="0.3">
      <c r="A6431" s="43" t="s">
        <v>13637</v>
      </c>
      <c r="B6431" s="21" t="s">
        <v>13638</v>
      </c>
      <c r="C6431" s="21" t="s">
        <v>22655</v>
      </c>
      <c r="D6431" s="22">
        <v>46034</v>
      </c>
      <c r="E6431" s="23" t="s">
        <v>22656</v>
      </c>
      <c r="F6431" s="24" t="s">
        <v>22657</v>
      </c>
      <c r="G6431" s="25">
        <v>12</v>
      </c>
      <c r="H6431" s="32">
        <v>12</v>
      </c>
      <c r="I6431" s="33">
        <v>24</v>
      </c>
    </row>
    <row r="6432" spans="1:9" ht="15.75" thickBot="1" x14ac:dyDescent="0.3">
      <c r="A6432" s="43" t="s">
        <v>13639</v>
      </c>
      <c r="B6432" s="21" t="s">
        <v>13640</v>
      </c>
      <c r="C6432" s="21" t="s">
        <v>22655</v>
      </c>
      <c r="D6432" s="22">
        <v>46034</v>
      </c>
      <c r="E6432" s="23" t="s">
        <v>22661</v>
      </c>
      <c r="F6432" s="24" t="s">
        <v>22657</v>
      </c>
      <c r="G6432" s="25">
        <v>12</v>
      </c>
      <c r="H6432" s="34">
        <v>12</v>
      </c>
      <c r="I6432" s="35">
        <v>24</v>
      </c>
    </row>
    <row r="6433" spans="1:9" ht="15.75" thickBot="1" x14ac:dyDescent="0.3">
      <c r="A6433" s="43" t="s">
        <v>13641</v>
      </c>
      <c r="B6433" s="21" t="s">
        <v>13642</v>
      </c>
      <c r="C6433" s="21" t="s">
        <v>22655</v>
      </c>
      <c r="D6433" s="22">
        <v>46046</v>
      </c>
      <c r="E6433" s="23" t="s">
        <v>22656</v>
      </c>
      <c r="F6433" s="24" t="s">
        <v>22657</v>
      </c>
      <c r="G6433" s="25">
        <v>8</v>
      </c>
      <c r="H6433" s="29"/>
      <c r="I6433" s="30"/>
    </row>
    <row r="6434" spans="1:9" ht="15.75" thickBot="1" x14ac:dyDescent="0.3">
      <c r="A6434" s="43" t="s">
        <v>13643</v>
      </c>
      <c r="B6434" s="21" t="s">
        <v>13644</v>
      </c>
      <c r="C6434" s="21" t="s">
        <v>22655</v>
      </c>
      <c r="D6434" s="22">
        <v>46034</v>
      </c>
      <c r="E6434" s="23" t="s">
        <v>22656</v>
      </c>
      <c r="F6434" s="24" t="s">
        <v>22657</v>
      </c>
      <c r="G6434" s="25">
        <v>2</v>
      </c>
      <c r="H6434" s="26"/>
      <c r="I6434" s="27"/>
    </row>
    <row r="6435" spans="1:9" ht="15.75" thickBot="1" x14ac:dyDescent="0.3">
      <c r="A6435" s="43" t="s">
        <v>13645</v>
      </c>
      <c r="B6435" s="21" t="s">
        <v>13646</v>
      </c>
      <c r="C6435" s="21" t="s">
        <v>22655</v>
      </c>
      <c r="D6435" s="22">
        <v>46034</v>
      </c>
      <c r="E6435" s="23" t="s">
        <v>22656</v>
      </c>
      <c r="F6435" s="24" t="s">
        <v>22657</v>
      </c>
      <c r="G6435" s="25">
        <v>2</v>
      </c>
      <c r="H6435" s="29"/>
      <c r="I6435" s="30"/>
    </row>
    <row r="6436" spans="1:9" ht="15.75" thickBot="1" x14ac:dyDescent="0.3">
      <c r="A6436" s="43" t="s">
        <v>13647</v>
      </c>
      <c r="B6436" s="21" t="s">
        <v>13648</v>
      </c>
      <c r="C6436" s="21" t="s">
        <v>22655</v>
      </c>
      <c r="D6436" s="22">
        <v>46034</v>
      </c>
      <c r="E6436" s="23" t="s">
        <v>22656</v>
      </c>
      <c r="F6436" s="24" t="s">
        <v>22657</v>
      </c>
      <c r="G6436" s="25">
        <v>2</v>
      </c>
      <c r="H6436" s="26"/>
      <c r="I6436" s="27"/>
    </row>
    <row r="6437" spans="1:9" ht="15.75" thickBot="1" x14ac:dyDescent="0.3">
      <c r="A6437" s="43" t="s">
        <v>13649</v>
      </c>
      <c r="B6437" s="21" t="s">
        <v>13650</v>
      </c>
      <c r="C6437" s="21" t="s">
        <v>22655</v>
      </c>
      <c r="D6437" s="22">
        <v>46034</v>
      </c>
      <c r="E6437" s="23" t="s">
        <v>22656</v>
      </c>
      <c r="F6437" s="24" t="s">
        <v>22657</v>
      </c>
      <c r="G6437" s="25">
        <v>2</v>
      </c>
      <c r="H6437" s="29"/>
      <c r="I6437" s="30"/>
    </row>
    <row r="6438" spans="1:9" ht="15.75" thickBot="1" x14ac:dyDescent="0.3">
      <c r="A6438" s="43" t="s">
        <v>13651</v>
      </c>
      <c r="B6438" s="21" t="s">
        <v>13652</v>
      </c>
      <c r="C6438" s="21" t="s">
        <v>22655</v>
      </c>
      <c r="D6438" s="31" t="s">
        <v>22822</v>
      </c>
      <c r="E6438" s="23" t="s">
        <v>22658</v>
      </c>
      <c r="F6438" s="24" t="s">
        <v>22657</v>
      </c>
      <c r="G6438" s="25">
        <v>67</v>
      </c>
      <c r="H6438" s="26"/>
      <c r="I6438" s="27"/>
    </row>
    <row r="6439" spans="1:9" ht="15.75" thickBot="1" x14ac:dyDescent="0.3">
      <c r="A6439" s="43" t="s">
        <v>13653</v>
      </c>
      <c r="B6439" s="21" t="s">
        <v>13654</v>
      </c>
      <c r="C6439" s="21" t="s">
        <v>22655</v>
      </c>
      <c r="D6439" s="31" t="s">
        <v>22753</v>
      </c>
      <c r="E6439" s="23" t="s">
        <v>22656</v>
      </c>
      <c r="F6439" s="24" t="s">
        <v>22657</v>
      </c>
      <c r="G6439" s="25">
        <v>50</v>
      </c>
      <c r="H6439" s="29"/>
      <c r="I6439" s="30"/>
    </row>
    <row r="6440" spans="1:9" ht="15.75" thickBot="1" x14ac:dyDescent="0.3">
      <c r="A6440" s="43" t="s">
        <v>13655</v>
      </c>
      <c r="B6440" s="21" t="s">
        <v>13656</v>
      </c>
      <c r="C6440" s="21" t="s">
        <v>22655</v>
      </c>
      <c r="D6440" s="31" t="s">
        <v>22683</v>
      </c>
      <c r="E6440" s="23" t="s">
        <v>22656</v>
      </c>
      <c r="F6440" s="24" t="s">
        <v>22657</v>
      </c>
      <c r="G6440" s="25">
        <v>34</v>
      </c>
      <c r="H6440" s="26"/>
      <c r="I6440" s="27"/>
    </row>
    <row r="6441" spans="1:9" ht="15.75" thickBot="1" x14ac:dyDescent="0.3">
      <c r="A6441" s="43" t="s">
        <v>13657</v>
      </c>
      <c r="B6441" s="21" t="s">
        <v>13658</v>
      </c>
      <c r="C6441" s="21" t="s">
        <v>22667</v>
      </c>
      <c r="D6441" s="31" t="s">
        <v>22670</v>
      </c>
      <c r="E6441" s="23" t="s">
        <v>22658</v>
      </c>
      <c r="F6441" s="24" t="s">
        <v>22657</v>
      </c>
      <c r="G6441" s="25">
        <v>34</v>
      </c>
      <c r="H6441" s="29"/>
      <c r="I6441" s="30"/>
    </row>
    <row r="6442" spans="1:9" ht="15.75" thickBot="1" x14ac:dyDescent="0.3">
      <c r="A6442" s="43" t="s">
        <v>13659</v>
      </c>
      <c r="B6442" s="21" t="s">
        <v>13660</v>
      </c>
      <c r="C6442" s="21" t="s">
        <v>22667</v>
      </c>
      <c r="D6442" s="31" t="s">
        <v>22763</v>
      </c>
      <c r="E6442" s="23" t="s">
        <v>22658</v>
      </c>
      <c r="F6442" s="24" t="s">
        <v>22657</v>
      </c>
      <c r="G6442" s="25">
        <v>67</v>
      </c>
      <c r="H6442" s="26"/>
      <c r="I6442" s="27"/>
    </row>
    <row r="6443" spans="1:9" ht="15.75" thickBot="1" x14ac:dyDescent="0.3">
      <c r="A6443" s="43" t="s">
        <v>13663</v>
      </c>
      <c r="B6443" s="21" t="s">
        <v>13664</v>
      </c>
      <c r="C6443" s="21" t="s">
        <v>22655</v>
      </c>
      <c r="D6443" s="22">
        <v>46046</v>
      </c>
      <c r="E6443" s="23" t="s">
        <v>22658</v>
      </c>
      <c r="F6443" s="24" t="s">
        <v>22657</v>
      </c>
      <c r="G6443" s="25">
        <v>8</v>
      </c>
      <c r="H6443" s="29"/>
      <c r="I6443" s="30"/>
    </row>
    <row r="6444" spans="1:9" ht="15.75" thickBot="1" x14ac:dyDescent="0.3">
      <c r="A6444" s="43" t="s">
        <v>13665</v>
      </c>
      <c r="B6444" s="21" t="s">
        <v>13666</v>
      </c>
      <c r="C6444" s="21" t="s">
        <v>22655</v>
      </c>
      <c r="D6444" s="22">
        <v>46034</v>
      </c>
      <c r="E6444" s="23" t="s">
        <v>22656</v>
      </c>
      <c r="F6444" s="24" t="s">
        <v>22657</v>
      </c>
      <c r="G6444" s="25">
        <v>4</v>
      </c>
      <c r="H6444" s="26"/>
      <c r="I6444" s="27"/>
    </row>
    <row r="6445" spans="1:9" ht="15.75" thickBot="1" x14ac:dyDescent="0.3">
      <c r="A6445" s="43" t="s">
        <v>13667</v>
      </c>
      <c r="B6445" s="21" t="s">
        <v>13668</v>
      </c>
      <c r="C6445" s="21" t="s">
        <v>22655</v>
      </c>
      <c r="D6445" s="22">
        <v>46046</v>
      </c>
      <c r="E6445" s="23" t="s">
        <v>22656</v>
      </c>
      <c r="F6445" s="24" t="s">
        <v>22657</v>
      </c>
      <c r="G6445" s="25">
        <v>8</v>
      </c>
      <c r="H6445" s="29"/>
      <c r="I6445" s="30"/>
    </row>
    <row r="6446" spans="1:9" ht="15.75" thickBot="1" x14ac:dyDescent="0.3">
      <c r="A6446" s="43" t="s">
        <v>645</v>
      </c>
      <c r="B6446" s="21" t="s">
        <v>646</v>
      </c>
      <c r="C6446" s="21" t="s">
        <v>22655</v>
      </c>
      <c r="D6446" s="22">
        <v>46034</v>
      </c>
      <c r="E6446" s="23" t="s">
        <v>22661</v>
      </c>
      <c r="F6446" s="24" t="s">
        <v>22657</v>
      </c>
      <c r="G6446" s="25">
        <v>12</v>
      </c>
      <c r="H6446" s="34">
        <v>12</v>
      </c>
      <c r="I6446" s="35">
        <v>36</v>
      </c>
    </row>
    <row r="6447" spans="1:9" ht="15.75" thickBot="1" x14ac:dyDescent="0.3">
      <c r="A6447" s="43" t="s">
        <v>379</v>
      </c>
      <c r="B6447" s="21" t="s">
        <v>380</v>
      </c>
      <c r="C6447" s="21" t="s">
        <v>22655</v>
      </c>
      <c r="D6447" s="22">
        <v>46034</v>
      </c>
      <c r="E6447" s="23" t="s">
        <v>22656</v>
      </c>
      <c r="F6447" s="24" t="s">
        <v>22657</v>
      </c>
      <c r="G6447" s="25">
        <v>4</v>
      </c>
      <c r="H6447" s="29"/>
      <c r="I6447" s="30"/>
    </row>
    <row r="6448" spans="1:9" ht="15.75" thickBot="1" x14ac:dyDescent="0.3">
      <c r="A6448" s="43" t="s">
        <v>1159</v>
      </c>
      <c r="B6448" s="21" t="s">
        <v>1160</v>
      </c>
      <c r="C6448" s="21" t="s">
        <v>22655</v>
      </c>
      <c r="D6448" s="22">
        <v>46046</v>
      </c>
      <c r="E6448" s="23" t="s">
        <v>22656</v>
      </c>
      <c r="F6448" s="24" t="s">
        <v>22657</v>
      </c>
      <c r="G6448" s="25">
        <v>8</v>
      </c>
      <c r="H6448" s="26"/>
      <c r="I6448" s="27"/>
    </row>
    <row r="6449" spans="1:9" ht="15.75" thickBot="1" x14ac:dyDescent="0.3">
      <c r="A6449" s="43" t="s">
        <v>13669</v>
      </c>
      <c r="B6449" s="21" t="s">
        <v>13670</v>
      </c>
      <c r="C6449" s="21" t="s">
        <v>22655</v>
      </c>
      <c r="D6449" s="22">
        <v>46046</v>
      </c>
      <c r="E6449" s="23" t="s">
        <v>22656</v>
      </c>
      <c r="F6449" s="24" t="s">
        <v>22657</v>
      </c>
      <c r="G6449" s="25">
        <v>8</v>
      </c>
      <c r="H6449" s="29"/>
      <c r="I6449" s="30"/>
    </row>
    <row r="6450" spans="1:9" ht="15.75" thickBot="1" x14ac:dyDescent="0.3">
      <c r="A6450" s="43" t="s">
        <v>13671</v>
      </c>
      <c r="B6450" s="21" t="s">
        <v>13672</v>
      </c>
      <c r="C6450" s="21" t="s">
        <v>22655</v>
      </c>
      <c r="D6450" s="22">
        <v>46034</v>
      </c>
      <c r="E6450" s="23" t="s">
        <v>22658</v>
      </c>
      <c r="F6450" s="24" t="s">
        <v>22657</v>
      </c>
      <c r="G6450" s="25">
        <v>4</v>
      </c>
      <c r="H6450" s="26"/>
      <c r="I6450" s="27"/>
    </row>
    <row r="6451" spans="1:9" ht="15.75" thickBot="1" x14ac:dyDescent="0.3">
      <c r="A6451" s="43" t="s">
        <v>13661</v>
      </c>
      <c r="B6451" s="21" t="s">
        <v>13662</v>
      </c>
      <c r="C6451" s="21" t="s">
        <v>22655</v>
      </c>
      <c r="D6451" s="22">
        <v>46034</v>
      </c>
      <c r="E6451" s="23" t="s">
        <v>22656</v>
      </c>
      <c r="F6451" s="24" t="s">
        <v>22657</v>
      </c>
      <c r="G6451" s="25">
        <v>4</v>
      </c>
      <c r="H6451" s="29"/>
      <c r="I6451" s="30"/>
    </row>
    <row r="6452" spans="1:9" ht="15.75" thickBot="1" x14ac:dyDescent="0.3">
      <c r="A6452" s="43" t="s">
        <v>13673</v>
      </c>
      <c r="B6452" s="21" t="s">
        <v>13674</v>
      </c>
      <c r="C6452" s="21" t="s">
        <v>22655</v>
      </c>
      <c r="D6452" s="22">
        <v>46046</v>
      </c>
      <c r="E6452" s="23" t="s">
        <v>22656</v>
      </c>
      <c r="F6452" s="24" t="s">
        <v>22657</v>
      </c>
      <c r="G6452" s="25">
        <v>8</v>
      </c>
      <c r="H6452" s="26"/>
      <c r="I6452" s="27"/>
    </row>
    <row r="6453" spans="1:9" ht="15.75" thickBot="1" x14ac:dyDescent="0.3">
      <c r="A6453" s="43" t="s">
        <v>13675</v>
      </c>
      <c r="B6453" s="21" t="s">
        <v>13676</v>
      </c>
      <c r="C6453" s="21" t="s">
        <v>22682</v>
      </c>
      <c r="D6453" s="22">
        <v>46034</v>
      </c>
      <c r="E6453" s="23" t="s">
        <v>22656</v>
      </c>
      <c r="F6453" s="24" t="s">
        <v>22657</v>
      </c>
      <c r="G6453" s="25">
        <v>4</v>
      </c>
      <c r="H6453" s="29"/>
      <c r="I6453" s="30"/>
    </row>
    <row r="6454" spans="1:9" ht="15.75" thickBot="1" x14ac:dyDescent="0.3">
      <c r="A6454" s="43" t="s">
        <v>13677</v>
      </c>
      <c r="B6454" s="21" t="s">
        <v>13678</v>
      </c>
      <c r="C6454" s="21" t="s">
        <v>22682</v>
      </c>
      <c r="D6454" s="22">
        <v>46034</v>
      </c>
      <c r="E6454" s="23" t="s">
        <v>22656</v>
      </c>
      <c r="F6454" s="24" t="s">
        <v>22657</v>
      </c>
      <c r="G6454" s="25">
        <v>4</v>
      </c>
      <c r="H6454" s="26"/>
      <c r="I6454" s="27"/>
    </row>
    <row r="6455" spans="1:9" ht="15.75" thickBot="1" x14ac:dyDescent="0.3">
      <c r="A6455" s="43" t="s">
        <v>13679</v>
      </c>
      <c r="B6455" s="21" t="s">
        <v>13680</v>
      </c>
      <c r="C6455" s="21" t="s">
        <v>22682</v>
      </c>
      <c r="D6455" s="22">
        <v>46034</v>
      </c>
      <c r="E6455" s="23" t="s">
        <v>22656</v>
      </c>
      <c r="F6455" s="24" t="s">
        <v>22657</v>
      </c>
      <c r="G6455" s="25">
        <v>4</v>
      </c>
      <c r="H6455" s="29"/>
      <c r="I6455" s="30"/>
    </row>
    <row r="6456" spans="1:9" ht="15.75" thickBot="1" x14ac:dyDescent="0.3">
      <c r="A6456" s="43" t="s">
        <v>13683</v>
      </c>
      <c r="B6456" s="21" t="s">
        <v>13684</v>
      </c>
      <c r="C6456" s="21" t="s">
        <v>22655</v>
      </c>
      <c r="D6456" s="22">
        <v>46046</v>
      </c>
      <c r="E6456" s="23" t="s">
        <v>22656</v>
      </c>
      <c r="F6456" s="24" t="s">
        <v>22657</v>
      </c>
      <c r="G6456" s="25">
        <v>8</v>
      </c>
      <c r="H6456" s="26"/>
      <c r="I6456" s="27"/>
    </row>
    <row r="6457" spans="1:9" ht="15.75" thickBot="1" x14ac:dyDescent="0.3">
      <c r="A6457" s="43" t="s">
        <v>13685</v>
      </c>
      <c r="B6457" s="21" t="s">
        <v>13686</v>
      </c>
      <c r="C6457" s="21" t="s">
        <v>22655</v>
      </c>
      <c r="D6457" s="22">
        <v>46046</v>
      </c>
      <c r="E6457" s="23" t="s">
        <v>22656</v>
      </c>
      <c r="F6457" s="24" t="s">
        <v>22657</v>
      </c>
      <c r="G6457" s="25">
        <v>8</v>
      </c>
      <c r="H6457" s="29"/>
      <c r="I6457" s="30"/>
    </row>
    <row r="6458" spans="1:9" ht="15.75" thickBot="1" x14ac:dyDescent="0.3">
      <c r="A6458" s="43" t="s">
        <v>13687</v>
      </c>
      <c r="B6458" s="21" t="s">
        <v>13688</v>
      </c>
      <c r="C6458" s="21" t="s">
        <v>22655</v>
      </c>
      <c r="D6458" s="22">
        <v>46046</v>
      </c>
      <c r="E6458" s="23" t="s">
        <v>22656</v>
      </c>
      <c r="F6458" s="24" t="s">
        <v>22657</v>
      </c>
      <c r="G6458" s="25">
        <v>8</v>
      </c>
      <c r="H6458" s="26"/>
      <c r="I6458" s="27"/>
    </row>
    <row r="6459" spans="1:9" ht="15.75" thickBot="1" x14ac:dyDescent="0.3">
      <c r="A6459" s="43" t="s">
        <v>13681</v>
      </c>
      <c r="B6459" s="21" t="s">
        <v>13682</v>
      </c>
      <c r="C6459" s="21" t="s">
        <v>22655</v>
      </c>
      <c r="D6459" s="22">
        <v>46046</v>
      </c>
      <c r="E6459" s="23" t="s">
        <v>22656</v>
      </c>
      <c r="F6459" s="24" t="s">
        <v>22657</v>
      </c>
      <c r="G6459" s="25">
        <v>8</v>
      </c>
      <c r="H6459" s="29"/>
      <c r="I6459" s="30"/>
    </row>
    <row r="6460" spans="1:9" ht="15.75" thickBot="1" x14ac:dyDescent="0.3">
      <c r="A6460" s="43" t="s">
        <v>13689</v>
      </c>
      <c r="B6460" s="21" t="s">
        <v>13690</v>
      </c>
      <c r="C6460" s="21" t="s">
        <v>22655</v>
      </c>
      <c r="D6460" s="22">
        <v>46046</v>
      </c>
      <c r="E6460" s="23" t="s">
        <v>22656</v>
      </c>
      <c r="F6460" s="24" t="s">
        <v>22657</v>
      </c>
      <c r="G6460" s="25">
        <v>8</v>
      </c>
      <c r="H6460" s="26"/>
      <c r="I6460" s="27"/>
    </row>
    <row r="6461" spans="1:9" ht="15.75" thickBot="1" x14ac:dyDescent="0.3">
      <c r="A6461" s="43" t="s">
        <v>13691</v>
      </c>
      <c r="B6461" s="21" t="s">
        <v>13692</v>
      </c>
      <c r="C6461" s="21" t="s">
        <v>22655</v>
      </c>
      <c r="D6461" s="22">
        <v>46046</v>
      </c>
      <c r="E6461" s="23" t="s">
        <v>22656</v>
      </c>
      <c r="F6461" s="24" t="s">
        <v>22657</v>
      </c>
      <c r="G6461" s="25">
        <v>8</v>
      </c>
      <c r="H6461" s="29"/>
      <c r="I6461" s="30"/>
    </row>
    <row r="6462" spans="1:9" ht="15.75" thickBot="1" x14ac:dyDescent="0.3">
      <c r="A6462" s="43" t="s">
        <v>755</v>
      </c>
      <c r="B6462" s="21" t="s">
        <v>756</v>
      </c>
      <c r="C6462" s="21" t="s">
        <v>22655</v>
      </c>
      <c r="D6462" s="22">
        <v>46028</v>
      </c>
      <c r="E6462" s="23" t="s">
        <v>22662</v>
      </c>
      <c r="F6462" s="24" t="s">
        <v>22657</v>
      </c>
      <c r="G6462" s="25">
        <v>60</v>
      </c>
      <c r="H6462" s="34">
        <v>60</v>
      </c>
      <c r="I6462" s="35">
        <v>120</v>
      </c>
    </row>
    <row r="6463" spans="1:9" ht="15.75" thickBot="1" x14ac:dyDescent="0.3">
      <c r="A6463" s="43" t="s">
        <v>1015</v>
      </c>
      <c r="B6463" s="21" t="s">
        <v>1016</v>
      </c>
      <c r="C6463" s="21" t="s">
        <v>22655</v>
      </c>
      <c r="D6463" s="31" t="s">
        <v>22660</v>
      </c>
      <c r="E6463" s="23" t="s">
        <v>22665</v>
      </c>
      <c r="F6463" s="24" t="s">
        <v>22657</v>
      </c>
      <c r="G6463" s="25">
        <v>70</v>
      </c>
      <c r="H6463" s="32">
        <v>70</v>
      </c>
      <c r="I6463" s="33">
        <v>120</v>
      </c>
    </row>
    <row r="6464" spans="1:9" ht="15.75" thickBot="1" x14ac:dyDescent="0.3">
      <c r="A6464" s="43" t="s">
        <v>1517</v>
      </c>
      <c r="B6464" s="21" t="s">
        <v>1518</v>
      </c>
      <c r="C6464" s="21" t="s">
        <v>22655</v>
      </c>
      <c r="D6464" s="22">
        <v>46032</v>
      </c>
      <c r="E6464" s="23" t="s">
        <v>22661</v>
      </c>
      <c r="F6464" s="24" t="s">
        <v>22657</v>
      </c>
      <c r="G6464" s="25">
        <v>24</v>
      </c>
      <c r="H6464" s="34">
        <v>24</v>
      </c>
      <c r="I6464" s="35">
        <v>36</v>
      </c>
    </row>
    <row r="6465" spans="1:9" ht="15.75" thickBot="1" x14ac:dyDescent="0.3">
      <c r="A6465" s="43" t="s">
        <v>1193</v>
      </c>
      <c r="B6465" s="21" t="s">
        <v>1194</v>
      </c>
      <c r="C6465" s="21" t="s">
        <v>22655</v>
      </c>
      <c r="D6465" s="22">
        <v>46046</v>
      </c>
      <c r="E6465" s="23" t="s">
        <v>22665</v>
      </c>
      <c r="F6465" s="24" t="s">
        <v>22657</v>
      </c>
      <c r="G6465" s="25">
        <v>24</v>
      </c>
      <c r="H6465" s="32">
        <v>24</v>
      </c>
      <c r="I6465" s="33">
        <v>36</v>
      </c>
    </row>
    <row r="6466" spans="1:9" ht="15.75" thickBot="1" x14ac:dyDescent="0.3">
      <c r="A6466" s="43" t="s">
        <v>13693</v>
      </c>
      <c r="B6466" s="21" t="s">
        <v>13694</v>
      </c>
      <c r="C6466" s="21" t="s">
        <v>22655</v>
      </c>
      <c r="D6466" s="22">
        <v>46052</v>
      </c>
      <c r="E6466" s="23" t="s">
        <v>22661</v>
      </c>
      <c r="F6466" s="24" t="s">
        <v>22657</v>
      </c>
      <c r="G6466" s="25">
        <v>10</v>
      </c>
      <c r="H6466" s="26"/>
      <c r="I6466" s="27"/>
    </row>
    <row r="6467" spans="1:9" ht="15.75" thickBot="1" x14ac:dyDescent="0.3">
      <c r="A6467" s="43" t="s">
        <v>13696</v>
      </c>
      <c r="B6467" s="21" t="s">
        <v>13697</v>
      </c>
      <c r="C6467" s="21" t="s">
        <v>22655</v>
      </c>
      <c r="D6467" s="22">
        <v>46026</v>
      </c>
      <c r="E6467" s="23" t="s">
        <v>22658</v>
      </c>
      <c r="F6467" s="24" t="s">
        <v>22657</v>
      </c>
      <c r="G6467" s="25">
        <v>2</v>
      </c>
      <c r="H6467" s="29"/>
      <c r="I6467" s="30"/>
    </row>
    <row r="6468" spans="1:9" ht="15.75" thickBot="1" x14ac:dyDescent="0.3">
      <c r="A6468" s="43" t="s">
        <v>13698</v>
      </c>
      <c r="B6468" s="21" t="s">
        <v>13699</v>
      </c>
      <c r="C6468" s="21" t="s">
        <v>22663</v>
      </c>
      <c r="D6468" s="31">
        <v>1</v>
      </c>
      <c r="E6468" s="23" t="s">
        <v>22658</v>
      </c>
      <c r="F6468" s="24" t="s">
        <v>22657</v>
      </c>
      <c r="G6468" s="25">
        <v>1</v>
      </c>
      <c r="H6468" s="26"/>
      <c r="I6468" s="27"/>
    </row>
    <row r="6469" spans="1:9" ht="15.75" thickBot="1" x14ac:dyDescent="0.3">
      <c r="A6469" s="43" t="s">
        <v>13700</v>
      </c>
      <c r="B6469" s="21" t="s">
        <v>13701</v>
      </c>
      <c r="C6469" s="21" t="s">
        <v>22663</v>
      </c>
      <c r="D6469" s="31">
        <v>1</v>
      </c>
      <c r="E6469" s="23" t="s">
        <v>22656</v>
      </c>
      <c r="F6469" s="24" t="s">
        <v>22657</v>
      </c>
      <c r="G6469" s="25">
        <v>2</v>
      </c>
      <c r="H6469" s="29"/>
      <c r="I6469" s="30"/>
    </row>
    <row r="6470" spans="1:9" ht="15.75" thickBot="1" x14ac:dyDescent="0.3">
      <c r="A6470" s="43" t="s">
        <v>13702</v>
      </c>
      <c r="B6470" s="21" t="s">
        <v>13703</v>
      </c>
      <c r="C6470" s="21" t="s">
        <v>22655</v>
      </c>
      <c r="D6470" s="22">
        <v>46026</v>
      </c>
      <c r="E6470" s="23" t="s">
        <v>22656</v>
      </c>
      <c r="F6470" s="24" t="s">
        <v>22657</v>
      </c>
      <c r="G6470" s="25">
        <v>2</v>
      </c>
      <c r="H6470" s="26"/>
      <c r="I6470" s="27"/>
    </row>
    <row r="6471" spans="1:9" ht="15.75" thickBot="1" x14ac:dyDescent="0.3">
      <c r="A6471" s="43" t="s">
        <v>13704</v>
      </c>
      <c r="B6471" s="21" t="s">
        <v>13705</v>
      </c>
      <c r="C6471" s="21" t="s">
        <v>22727</v>
      </c>
      <c r="D6471" s="31">
        <v>1</v>
      </c>
      <c r="E6471" s="23" t="s">
        <v>22658</v>
      </c>
      <c r="F6471" s="28" t="s">
        <v>22659</v>
      </c>
      <c r="G6471" s="25">
        <v>1</v>
      </c>
      <c r="H6471" s="29"/>
      <c r="I6471" s="30"/>
    </row>
    <row r="6472" spans="1:9" ht="15.75" thickBot="1" x14ac:dyDescent="0.3">
      <c r="A6472" s="43" t="s">
        <v>1091</v>
      </c>
      <c r="B6472" s="21" t="s">
        <v>1092</v>
      </c>
      <c r="C6472" s="21" t="s">
        <v>22655</v>
      </c>
      <c r="D6472" s="22">
        <v>46034</v>
      </c>
      <c r="E6472" s="23" t="s">
        <v>22661</v>
      </c>
      <c r="F6472" s="24" t="s">
        <v>22657</v>
      </c>
      <c r="G6472" s="25">
        <v>6</v>
      </c>
      <c r="H6472" s="34">
        <v>6</v>
      </c>
      <c r="I6472" s="35">
        <v>8</v>
      </c>
    </row>
    <row r="6473" spans="1:9" ht="15.75" thickBot="1" x14ac:dyDescent="0.3">
      <c r="A6473" s="43" t="s">
        <v>1519</v>
      </c>
      <c r="B6473" s="21" t="s">
        <v>1520</v>
      </c>
      <c r="C6473" s="21" t="s">
        <v>22655</v>
      </c>
      <c r="D6473" s="22">
        <v>46038</v>
      </c>
      <c r="E6473" s="23" t="s">
        <v>22661</v>
      </c>
      <c r="F6473" s="24" t="s">
        <v>22657</v>
      </c>
      <c r="G6473" s="25">
        <v>2</v>
      </c>
      <c r="H6473" s="32">
        <v>2</v>
      </c>
      <c r="I6473" s="33">
        <v>4</v>
      </c>
    </row>
    <row r="6474" spans="1:9" ht="15.75" thickBot="1" x14ac:dyDescent="0.3">
      <c r="A6474" s="43" t="s">
        <v>13706</v>
      </c>
      <c r="B6474" s="21" t="s">
        <v>13707</v>
      </c>
      <c r="C6474" s="21" t="s">
        <v>22655</v>
      </c>
      <c r="D6474" s="22">
        <v>46038</v>
      </c>
      <c r="E6474" s="23" t="s">
        <v>22656</v>
      </c>
      <c r="F6474" s="24" t="s">
        <v>22657</v>
      </c>
      <c r="G6474" s="25">
        <v>4</v>
      </c>
      <c r="H6474" s="34">
        <v>4</v>
      </c>
      <c r="I6474" s="35">
        <v>6</v>
      </c>
    </row>
    <row r="6475" spans="1:9" ht="15.75" thickBot="1" x14ac:dyDescent="0.3">
      <c r="A6475" s="43" t="s">
        <v>1823</v>
      </c>
      <c r="B6475" s="21" t="s">
        <v>1824</v>
      </c>
      <c r="C6475" s="21" t="s">
        <v>22655</v>
      </c>
      <c r="D6475" s="22">
        <v>46046</v>
      </c>
      <c r="E6475" s="23" t="s">
        <v>22661</v>
      </c>
      <c r="F6475" s="24" t="s">
        <v>22657</v>
      </c>
      <c r="G6475" s="25">
        <v>20</v>
      </c>
      <c r="H6475" s="32">
        <v>20</v>
      </c>
      <c r="I6475" s="33">
        <v>24</v>
      </c>
    </row>
    <row r="6476" spans="1:9" ht="15.75" thickBot="1" x14ac:dyDescent="0.3">
      <c r="A6476" s="43" t="s">
        <v>13708</v>
      </c>
      <c r="B6476" s="21" t="s">
        <v>13709</v>
      </c>
      <c r="C6476" s="21" t="s">
        <v>22655</v>
      </c>
      <c r="D6476" s="22">
        <v>46034</v>
      </c>
      <c r="E6476" s="23" t="s">
        <v>22656</v>
      </c>
      <c r="F6476" s="24" t="s">
        <v>22657</v>
      </c>
      <c r="G6476" s="25">
        <v>2</v>
      </c>
      <c r="H6476" s="26"/>
      <c r="I6476" s="27"/>
    </row>
    <row r="6477" spans="1:9" ht="15.75" thickBot="1" x14ac:dyDescent="0.3">
      <c r="A6477" s="43" t="s">
        <v>13710</v>
      </c>
      <c r="B6477" s="21" t="s">
        <v>13711</v>
      </c>
      <c r="C6477" s="21" t="s">
        <v>22655</v>
      </c>
      <c r="D6477" s="22">
        <v>46040</v>
      </c>
      <c r="E6477" s="23" t="s">
        <v>22656</v>
      </c>
      <c r="F6477" s="24" t="s">
        <v>22657</v>
      </c>
      <c r="G6477" s="25">
        <v>6</v>
      </c>
      <c r="H6477" s="29"/>
      <c r="I6477" s="30"/>
    </row>
    <row r="6478" spans="1:9" ht="15.75" thickBot="1" x14ac:dyDescent="0.3">
      <c r="A6478" s="43" t="s">
        <v>13712</v>
      </c>
      <c r="B6478" s="21" t="s">
        <v>13713</v>
      </c>
      <c r="C6478" s="21" t="s">
        <v>22655</v>
      </c>
      <c r="D6478" s="22">
        <v>46040</v>
      </c>
      <c r="E6478" s="23" t="s">
        <v>22656</v>
      </c>
      <c r="F6478" s="24" t="s">
        <v>22657</v>
      </c>
      <c r="G6478" s="25">
        <v>6</v>
      </c>
      <c r="H6478" s="26"/>
      <c r="I6478" s="27"/>
    </row>
    <row r="6479" spans="1:9" ht="15.75" thickBot="1" x14ac:dyDescent="0.3">
      <c r="A6479" s="43" t="s">
        <v>1870</v>
      </c>
      <c r="B6479" s="21" t="s">
        <v>1871</v>
      </c>
      <c r="C6479" s="21" t="s">
        <v>22655</v>
      </c>
      <c r="D6479" s="22">
        <v>46034</v>
      </c>
      <c r="E6479" s="23" t="s">
        <v>22656</v>
      </c>
      <c r="F6479" s="24" t="s">
        <v>22657</v>
      </c>
      <c r="G6479" s="25">
        <v>6</v>
      </c>
      <c r="H6479" s="32">
        <v>6</v>
      </c>
      <c r="I6479" s="33">
        <v>12</v>
      </c>
    </row>
    <row r="6480" spans="1:9" ht="15.75" thickBot="1" x14ac:dyDescent="0.3">
      <c r="A6480" s="43" t="s">
        <v>13714</v>
      </c>
      <c r="B6480" s="21" t="s">
        <v>13715</v>
      </c>
      <c r="C6480" s="21" t="s">
        <v>22655</v>
      </c>
      <c r="D6480" s="22">
        <v>46030</v>
      </c>
      <c r="E6480" s="23" t="s">
        <v>22656</v>
      </c>
      <c r="F6480" s="24" t="s">
        <v>22657</v>
      </c>
      <c r="G6480" s="25">
        <v>2</v>
      </c>
      <c r="H6480" s="26"/>
      <c r="I6480" s="27"/>
    </row>
    <row r="6481" spans="1:9" ht="15.75" thickBot="1" x14ac:dyDescent="0.3">
      <c r="A6481" s="43" t="s">
        <v>13716</v>
      </c>
      <c r="B6481" s="21" t="s">
        <v>13717</v>
      </c>
      <c r="C6481" s="21" t="s">
        <v>22655</v>
      </c>
      <c r="D6481" s="22">
        <v>46040</v>
      </c>
      <c r="E6481" s="23" t="s">
        <v>22656</v>
      </c>
      <c r="F6481" s="24" t="s">
        <v>22657</v>
      </c>
      <c r="G6481" s="25">
        <v>6</v>
      </c>
      <c r="H6481" s="29"/>
      <c r="I6481" s="30"/>
    </row>
    <row r="6482" spans="1:9" ht="15.75" thickBot="1" x14ac:dyDescent="0.3">
      <c r="A6482" s="43" t="s">
        <v>1419</v>
      </c>
      <c r="B6482" s="21" t="s">
        <v>1420</v>
      </c>
      <c r="C6482" s="21" t="s">
        <v>22655</v>
      </c>
      <c r="D6482" s="22">
        <v>46034</v>
      </c>
      <c r="E6482" s="23" t="s">
        <v>22661</v>
      </c>
      <c r="F6482" s="24" t="s">
        <v>22657</v>
      </c>
      <c r="G6482" s="25">
        <v>6</v>
      </c>
      <c r="H6482" s="34">
        <v>6</v>
      </c>
      <c r="I6482" s="35">
        <v>8</v>
      </c>
    </row>
    <row r="6483" spans="1:9" ht="15.75" thickBot="1" x14ac:dyDescent="0.3">
      <c r="A6483" s="43" t="s">
        <v>13718</v>
      </c>
      <c r="B6483" s="21" t="s">
        <v>13719</v>
      </c>
      <c r="C6483" s="21" t="s">
        <v>22655</v>
      </c>
      <c r="D6483" s="22">
        <v>46034</v>
      </c>
      <c r="E6483" s="23" t="s">
        <v>22661</v>
      </c>
      <c r="F6483" s="24" t="s">
        <v>22657</v>
      </c>
      <c r="G6483" s="25">
        <v>13</v>
      </c>
      <c r="H6483" s="29"/>
      <c r="I6483" s="30"/>
    </row>
    <row r="6484" spans="1:9" ht="15.75" thickBot="1" x14ac:dyDescent="0.3">
      <c r="A6484" s="43" t="s">
        <v>13720</v>
      </c>
      <c r="B6484" s="21" t="s">
        <v>13721</v>
      </c>
      <c r="C6484" s="21" t="s">
        <v>22655</v>
      </c>
      <c r="D6484" s="22">
        <v>46046</v>
      </c>
      <c r="E6484" s="23" t="s">
        <v>22661</v>
      </c>
      <c r="F6484" s="24" t="s">
        <v>22657</v>
      </c>
      <c r="G6484" s="25">
        <v>19</v>
      </c>
      <c r="H6484" s="26"/>
      <c r="I6484" s="27"/>
    </row>
    <row r="6485" spans="1:9" ht="15.75" thickBot="1" x14ac:dyDescent="0.3">
      <c r="A6485" s="43" t="s">
        <v>13722</v>
      </c>
      <c r="B6485" s="21" t="s">
        <v>13723</v>
      </c>
      <c r="C6485" s="21" t="s">
        <v>22655</v>
      </c>
      <c r="D6485" s="31" t="s">
        <v>22786</v>
      </c>
      <c r="E6485" s="23" t="s">
        <v>22658</v>
      </c>
      <c r="F6485" s="24" t="s">
        <v>22657</v>
      </c>
      <c r="G6485" s="25">
        <v>1</v>
      </c>
      <c r="H6485" s="29"/>
      <c r="I6485" s="30"/>
    </row>
    <row r="6486" spans="1:9" ht="15.75" thickBot="1" x14ac:dyDescent="0.3">
      <c r="A6486" s="43" t="s">
        <v>13724</v>
      </c>
      <c r="B6486" s="21" t="s">
        <v>13725</v>
      </c>
      <c r="C6486" s="21" t="s">
        <v>22655</v>
      </c>
      <c r="D6486" s="31" t="s">
        <v>22669</v>
      </c>
      <c r="E6486" s="23" t="s">
        <v>22656</v>
      </c>
      <c r="F6486" s="24" t="s">
        <v>22657</v>
      </c>
      <c r="G6486" s="25">
        <v>4</v>
      </c>
      <c r="H6486" s="26"/>
      <c r="I6486" s="27"/>
    </row>
    <row r="6487" spans="1:9" ht="15.75" thickBot="1" x14ac:dyDescent="0.3">
      <c r="A6487" s="43" t="s">
        <v>13726</v>
      </c>
      <c r="B6487" s="21" t="s">
        <v>13727</v>
      </c>
      <c r="C6487" s="21" t="s">
        <v>22655</v>
      </c>
      <c r="D6487" s="31" t="s">
        <v>22666</v>
      </c>
      <c r="E6487" s="23" t="s">
        <v>22656</v>
      </c>
      <c r="F6487" s="24" t="s">
        <v>22657</v>
      </c>
      <c r="G6487" s="25">
        <v>7</v>
      </c>
      <c r="H6487" s="29"/>
      <c r="I6487" s="30"/>
    </row>
    <row r="6488" spans="1:9" ht="15.75" thickBot="1" x14ac:dyDescent="0.3">
      <c r="A6488" s="43" t="s">
        <v>13728</v>
      </c>
      <c r="B6488" s="21" t="s">
        <v>13729</v>
      </c>
      <c r="C6488" s="21" t="s">
        <v>22655</v>
      </c>
      <c r="D6488" s="31" t="s">
        <v>22683</v>
      </c>
      <c r="E6488" s="23" t="s">
        <v>22656</v>
      </c>
      <c r="F6488" s="24" t="s">
        <v>22657</v>
      </c>
      <c r="G6488" s="25">
        <v>10</v>
      </c>
      <c r="H6488" s="26"/>
      <c r="I6488" s="27"/>
    </row>
    <row r="6489" spans="1:9" ht="15.75" thickBot="1" x14ac:dyDescent="0.3">
      <c r="A6489" s="43" t="s">
        <v>13730</v>
      </c>
      <c r="B6489" s="21" t="s">
        <v>13731</v>
      </c>
      <c r="C6489" s="21" t="s">
        <v>22655</v>
      </c>
      <c r="D6489" s="22">
        <v>46042</v>
      </c>
      <c r="E6489" s="23" t="s">
        <v>22661</v>
      </c>
      <c r="F6489" s="24" t="s">
        <v>22657</v>
      </c>
      <c r="G6489" s="25">
        <v>12</v>
      </c>
      <c r="H6489" s="32">
        <v>12</v>
      </c>
      <c r="I6489" s="33">
        <v>24</v>
      </c>
    </row>
    <row r="6490" spans="1:9" ht="15.75" thickBot="1" x14ac:dyDescent="0.3">
      <c r="A6490" s="43" t="s">
        <v>13732</v>
      </c>
      <c r="B6490" s="21" t="s">
        <v>13733</v>
      </c>
      <c r="C6490" s="21" t="s">
        <v>22682</v>
      </c>
      <c r="D6490" s="22">
        <v>46034</v>
      </c>
      <c r="E6490" s="23" t="s">
        <v>22658</v>
      </c>
      <c r="F6490" s="24" t="s">
        <v>22657</v>
      </c>
      <c r="G6490" s="25">
        <v>4</v>
      </c>
      <c r="H6490" s="26"/>
      <c r="I6490" s="27"/>
    </row>
    <row r="6491" spans="1:9" ht="15.75" thickBot="1" x14ac:dyDescent="0.3">
      <c r="A6491" s="43" t="s">
        <v>13734</v>
      </c>
      <c r="B6491" s="21" t="s">
        <v>13735</v>
      </c>
      <c r="C6491" s="21" t="s">
        <v>22655</v>
      </c>
      <c r="D6491" s="22">
        <v>46052</v>
      </c>
      <c r="E6491" s="23" t="s">
        <v>22656</v>
      </c>
      <c r="F6491" s="24" t="s">
        <v>22657</v>
      </c>
      <c r="G6491" s="25">
        <v>4</v>
      </c>
      <c r="H6491" s="29"/>
      <c r="I6491" s="30"/>
    </row>
    <row r="6492" spans="1:9" ht="15.75" thickBot="1" x14ac:dyDescent="0.3">
      <c r="A6492" s="43" t="s">
        <v>13736</v>
      </c>
      <c r="B6492" s="21" t="s">
        <v>13737</v>
      </c>
      <c r="C6492" s="21" t="s">
        <v>22655</v>
      </c>
      <c r="D6492" s="22">
        <v>46032</v>
      </c>
      <c r="E6492" s="23" t="s">
        <v>22658</v>
      </c>
      <c r="F6492" s="24" t="s">
        <v>22657</v>
      </c>
      <c r="G6492" s="25">
        <v>4</v>
      </c>
      <c r="H6492" s="26"/>
      <c r="I6492" s="27"/>
    </row>
    <row r="6493" spans="1:9" ht="15.75" thickBot="1" x14ac:dyDescent="0.3">
      <c r="A6493" s="43" t="s">
        <v>13738</v>
      </c>
      <c r="B6493" s="21" t="s">
        <v>13739</v>
      </c>
      <c r="C6493" s="21" t="s">
        <v>22682</v>
      </c>
      <c r="D6493" s="22">
        <v>46034</v>
      </c>
      <c r="E6493" s="23" t="s">
        <v>22658</v>
      </c>
      <c r="F6493" s="24" t="s">
        <v>22657</v>
      </c>
      <c r="G6493" s="25">
        <v>4</v>
      </c>
      <c r="H6493" s="29"/>
      <c r="I6493" s="30"/>
    </row>
    <row r="6494" spans="1:9" ht="15.75" thickBot="1" x14ac:dyDescent="0.3">
      <c r="A6494" s="43" t="s">
        <v>1581</v>
      </c>
      <c r="B6494" s="21" t="s">
        <v>13740</v>
      </c>
      <c r="C6494" s="21" t="s">
        <v>22655</v>
      </c>
      <c r="D6494" s="22">
        <v>46028</v>
      </c>
      <c r="E6494" s="23" t="s">
        <v>22661</v>
      </c>
      <c r="F6494" s="24" t="s">
        <v>22657</v>
      </c>
      <c r="G6494" s="25">
        <v>12</v>
      </c>
      <c r="H6494" s="34">
        <v>12</v>
      </c>
      <c r="I6494" s="35">
        <v>24</v>
      </c>
    </row>
    <row r="6495" spans="1:9" ht="15.75" thickBot="1" x14ac:dyDescent="0.3">
      <c r="A6495" s="43" t="s">
        <v>169</v>
      </c>
      <c r="B6495" s="21" t="s">
        <v>13741</v>
      </c>
      <c r="C6495" s="21" t="s">
        <v>22655</v>
      </c>
      <c r="D6495" s="22">
        <v>46034</v>
      </c>
      <c r="E6495" s="23" t="s">
        <v>22661</v>
      </c>
      <c r="F6495" s="24" t="s">
        <v>22657</v>
      </c>
      <c r="G6495" s="25">
        <v>10</v>
      </c>
      <c r="H6495" s="32">
        <v>10</v>
      </c>
      <c r="I6495" s="33">
        <v>12</v>
      </c>
    </row>
    <row r="6496" spans="1:9" ht="15.75" thickBot="1" x14ac:dyDescent="0.3">
      <c r="A6496" s="43" t="s">
        <v>850</v>
      </c>
      <c r="B6496" s="21" t="s">
        <v>13742</v>
      </c>
      <c r="C6496" s="21" t="s">
        <v>22655</v>
      </c>
      <c r="D6496" s="22">
        <v>46034</v>
      </c>
      <c r="E6496" s="23" t="s">
        <v>22661</v>
      </c>
      <c r="F6496" s="24" t="s">
        <v>22657</v>
      </c>
      <c r="G6496" s="25">
        <v>6</v>
      </c>
      <c r="H6496" s="34">
        <v>6</v>
      </c>
      <c r="I6496" s="35">
        <v>12</v>
      </c>
    </row>
    <row r="6497" spans="1:9" ht="15.75" thickBot="1" x14ac:dyDescent="0.3">
      <c r="A6497" s="43" t="s">
        <v>3</v>
      </c>
      <c r="B6497" s="21" t="s">
        <v>4</v>
      </c>
      <c r="C6497" s="21" t="s">
        <v>22655</v>
      </c>
      <c r="D6497" s="22">
        <v>46024</v>
      </c>
      <c r="E6497" s="23" t="s">
        <v>22661</v>
      </c>
      <c r="F6497" s="24" t="s">
        <v>22657</v>
      </c>
      <c r="G6497" s="25">
        <v>6</v>
      </c>
      <c r="H6497" s="32">
        <v>6</v>
      </c>
      <c r="I6497" s="33">
        <v>12</v>
      </c>
    </row>
    <row r="6498" spans="1:9" ht="15.75" thickBot="1" x14ac:dyDescent="0.3">
      <c r="A6498" s="43" t="s">
        <v>1299</v>
      </c>
      <c r="B6498" s="21" t="s">
        <v>13743</v>
      </c>
      <c r="C6498" s="21" t="s">
        <v>22655</v>
      </c>
      <c r="D6498" s="22">
        <v>46031</v>
      </c>
      <c r="E6498" s="23" t="s">
        <v>22661</v>
      </c>
      <c r="F6498" s="24" t="s">
        <v>22657</v>
      </c>
      <c r="G6498" s="25">
        <v>6</v>
      </c>
      <c r="H6498" s="34">
        <v>6</v>
      </c>
      <c r="I6498" s="35">
        <v>12</v>
      </c>
    </row>
    <row r="6499" spans="1:9" ht="15.75" thickBot="1" x14ac:dyDescent="0.3">
      <c r="A6499" s="43" t="s">
        <v>13744</v>
      </c>
      <c r="B6499" s="21" t="s">
        <v>13745</v>
      </c>
      <c r="C6499" s="21" t="s">
        <v>22655</v>
      </c>
      <c r="D6499" s="22">
        <v>46038</v>
      </c>
      <c r="E6499" s="23" t="s">
        <v>22656</v>
      </c>
      <c r="F6499" s="24" t="s">
        <v>22657</v>
      </c>
      <c r="G6499" s="25">
        <v>6</v>
      </c>
      <c r="H6499" s="29"/>
      <c r="I6499" s="30"/>
    </row>
    <row r="6500" spans="1:9" ht="15.75" thickBot="1" x14ac:dyDescent="0.3">
      <c r="A6500" s="43" t="s">
        <v>13746</v>
      </c>
      <c r="B6500" s="21" t="s">
        <v>13747</v>
      </c>
      <c r="C6500" s="21" t="s">
        <v>22690</v>
      </c>
      <c r="D6500" s="31" t="s">
        <v>22816</v>
      </c>
      <c r="E6500" s="23" t="s">
        <v>22656</v>
      </c>
      <c r="F6500" s="24" t="s">
        <v>22657</v>
      </c>
      <c r="G6500" s="25">
        <v>12</v>
      </c>
      <c r="H6500" s="26"/>
      <c r="I6500" s="27"/>
    </row>
    <row r="6501" spans="1:9" ht="15.75" thickBot="1" x14ac:dyDescent="0.3">
      <c r="A6501" s="43" t="s">
        <v>13748</v>
      </c>
      <c r="B6501" s="21" t="s">
        <v>13749</v>
      </c>
      <c r="C6501" s="21" t="s">
        <v>22655</v>
      </c>
      <c r="D6501" s="31" t="s">
        <v>22669</v>
      </c>
      <c r="E6501" s="23" t="s">
        <v>22661</v>
      </c>
      <c r="F6501" s="24" t="s">
        <v>22657</v>
      </c>
      <c r="G6501" s="25">
        <v>5</v>
      </c>
      <c r="H6501" s="29"/>
      <c r="I6501" s="30"/>
    </row>
    <row r="6502" spans="1:9" ht="15.75" thickBot="1" x14ac:dyDescent="0.3">
      <c r="A6502" s="43" t="s">
        <v>13750</v>
      </c>
      <c r="B6502" s="21" t="s">
        <v>13751</v>
      </c>
      <c r="C6502" s="21" t="s">
        <v>22655</v>
      </c>
      <c r="D6502" s="31" t="s">
        <v>22669</v>
      </c>
      <c r="E6502" s="23" t="s">
        <v>22658</v>
      </c>
      <c r="F6502" s="24" t="s">
        <v>22657</v>
      </c>
      <c r="G6502" s="25">
        <v>4</v>
      </c>
      <c r="H6502" s="26"/>
      <c r="I6502" s="27"/>
    </row>
    <row r="6503" spans="1:9" ht="15.75" thickBot="1" x14ac:dyDescent="0.3">
      <c r="A6503" s="43" t="s">
        <v>1649</v>
      </c>
      <c r="B6503" s="21" t="s">
        <v>13752</v>
      </c>
      <c r="C6503" s="21" t="s">
        <v>22690</v>
      </c>
      <c r="D6503" s="31" t="s">
        <v>22829</v>
      </c>
      <c r="E6503" s="23" t="s">
        <v>22665</v>
      </c>
      <c r="F6503" s="24" t="s">
        <v>22657</v>
      </c>
      <c r="G6503" s="25">
        <v>72</v>
      </c>
      <c r="H6503" s="32">
        <v>72</v>
      </c>
      <c r="I6503" s="33">
        <v>144</v>
      </c>
    </row>
    <row r="6504" spans="1:9" ht="15.75" thickBot="1" x14ac:dyDescent="0.3">
      <c r="A6504" s="43" t="s">
        <v>1449</v>
      </c>
      <c r="B6504" s="21" t="s">
        <v>1450</v>
      </c>
      <c r="C6504" s="21" t="s">
        <v>22690</v>
      </c>
      <c r="D6504" s="31" t="s">
        <v>22829</v>
      </c>
      <c r="E6504" s="23" t="s">
        <v>22661</v>
      </c>
      <c r="F6504" s="24" t="s">
        <v>22657</v>
      </c>
      <c r="G6504" s="25">
        <v>21</v>
      </c>
      <c r="H6504" s="26"/>
      <c r="I6504" s="27"/>
    </row>
    <row r="6505" spans="1:9" ht="15.75" thickBot="1" x14ac:dyDescent="0.3">
      <c r="A6505" s="43" t="s">
        <v>13753</v>
      </c>
      <c r="B6505" s="21" t="s">
        <v>13754</v>
      </c>
      <c r="C6505" s="21" t="s">
        <v>22690</v>
      </c>
      <c r="D6505" s="31" t="s">
        <v>22829</v>
      </c>
      <c r="E6505" s="23" t="s">
        <v>22661</v>
      </c>
      <c r="F6505" s="24" t="s">
        <v>22657</v>
      </c>
      <c r="G6505" s="25">
        <v>8</v>
      </c>
      <c r="H6505" s="29"/>
      <c r="I6505" s="30"/>
    </row>
    <row r="6506" spans="1:9" ht="15.75" thickBot="1" x14ac:dyDescent="0.3">
      <c r="A6506" s="43" t="s">
        <v>13755</v>
      </c>
      <c r="B6506" s="21" t="s">
        <v>13756</v>
      </c>
      <c r="C6506" s="21" t="s">
        <v>22690</v>
      </c>
      <c r="D6506" s="31" t="s">
        <v>22829</v>
      </c>
      <c r="E6506" s="23" t="s">
        <v>22661</v>
      </c>
      <c r="F6506" s="24" t="s">
        <v>22657</v>
      </c>
      <c r="G6506" s="25">
        <v>6</v>
      </c>
      <c r="H6506" s="26"/>
      <c r="I6506" s="27"/>
    </row>
    <row r="6507" spans="1:9" ht="15.75" thickBot="1" x14ac:dyDescent="0.3">
      <c r="A6507" s="43" t="s">
        <v>13757</v>
      </c>
      <c r="B6507" s="21" t="s">
        <v>13758</v>
      </c>
      <c r="C6507" s="21" t="s">
        <v>22690</v>
      </c>
      <c r="D6507" s="31" t="s">
        <v>22829</v>
      </c>
      <c r="E6507" s="23" t="s">
        <v>22661</v>
      </c>
      <c r="F6507" s="24" t="s">
        <v>22657</v>
      </c>
      <c r="G6507" s="25">
        <v>4</v>
      </c>
      <c r="H6507" s="29"/>
      <c r="I6507" s="30"/>
    </row>
    <row r="6508" spans="1:9" ht="15.75" thickBot="1" x14ac:dyDescent="0.3">
      <c r="A6508" s="43" t="s">
        <v>13759</v>
      </c>
      <c r="B6508" s="21" t="s">
        <v>13760</v>
      </c>
      <c r="C6508" s="21" t="s">
        <v>22690</v>
      </c>
      <c r="D6508" s="31" t="s">
        <v>22829</v>
      </c>
      <c r="E6508" s="23" t="s">
        <v>22656</v>
      </c>
      <c r="F6508" s="24" t="s">
        <v>22657</v>
      </c>
      <c r="G6508" s="25">
        <v>9</v>
      </c>
      <c r="H6508" s="26"/>
      <c r="I6508" s="27"/>
    </row>
    <row r="6509" spans="1:9" ht="15.75" thickBot="1" x14ac:dyDescent="0.3">
      <c r="A6509" s="43" t="s">
        <v>685</v>
      </c>
      <c r="B6509" s="21" t="s">
        <v>686</v>
      </c>
      <c r="C6509" s="21" t="s">
        <v>22690</v>
      </c>
      <c r="D6509" s="31" t="s">
        <v>22829</v>
      </c>
      <c r="E6509" s="23" t="s">
        <v>22665</v>
      </c>
      <c r="F6509" s="24" t="s">
        <v>22657</v>
      </c>
      <c r="G6509" s="25">
        <v>48</v>
      </c>
      <c r="H6509" s="29"/>
      <c r="I6509" s="30"/>
    </row>
    <row r="6510" spans="1:9" ht="15.75" thickBot="1" x14ac:dyDescent="0.3">
      <c r="A6510" s="43" t="s">
        <v>1415</v>
      </c>
      <c r="B6510" s="21" t="s">
        <v>1416</v>
      </c>
      <c r="C6510" s="21" t="s">
        <v>22690</v>
      </c>
      <c r="D6510" s="31" t="s">
        <v>22829</v>
      </c>
      <c r="E6510" s="23" t="s">
        <v>22662</v>
      </c>
      <c r="F6510" s="24" t="s">
        <v>22657</v>
      </c>
      <c r="G6510" s="25">
        <v>144</v>
      </c>
      <c r="H6510" s="34">
        <v>144</v>
      </c>
      <c r="I6510" s="35">
        <v>288</v>
      </c>
    </row>
    <row r="6511" spans="1:9" ht="15.75" thickBot="1" x14ac:dyDescent="0.3">
      <c r="A6511" s="43" t="s">
        <v>1447</v>
      </c>
      <c r="B6511" s="21" t="s">
        <v>1448</v>
      </c>
      <c r="C6511" s="21" t="s">
        <v>22690</v>
      </c>
      <c r="D6511" s="31" t="s">
        <v>22829</v>
      </c>
      <c r="E6511" s="23" t="s">
        <v>22665</v>
      </c>
      <c r="F6511" s="24" t="s">
        <v>22657</v>
      </c>
      <c r="G6511" s="25">
        <v>72</v>
      </c>
      <c r="H6511" s="32">
        <v>72</v>
      </c>
      <c r="I6511" s="33">
        <v>144</v>
      </c>
    </row>
    <row r="6512" spans="1:9" ht="15.75" thickBot="1" x14ac:dyDescent="0.3">
      <c r="A6512" s="43" t="s">
        <v>13761</v>
      </c>
      <c r="B6512" s="21" t="s">
        <v>13762</v>
      </c>
      <c r="C6512" s="21" t="s">
        <v>22690</v>
      </c>
      <c r="D6512" s="31" t="s">
        <v>22829</v>
      </c>
      <c r="E6512" s="23" t="s">
        <v>22661</v>
      </c>
      <c r="F6512" s="24" t="s">
        <v>22657</v>
      </c>
      <c r="G6512" s="25">
        <v>5</v>
      </c>
      <c r="H6512" s="26"/>
      <c r="I6512" s="27"/>
    </row>
    <row r="6513" spans="1:9" ht="15.75" thickBot="1" x14ac:dyDescent="0.3">
      <c r="A6513" s="43" t="s">
        <v>387</v>
      </c>
      <c r="B6513" s="21" t="s">
        <v>388</v>
      </c>
      <c r="C6513" s="21" t="s">
        <v>22690</v>
      </c>
      <c r="D6513" s="31" t="s">
        <v>22829</v>
      </c>
      <c r="E6513" s="23" t="s">
        <v>22661</v>
      </c>
      <c r="F6513" s="24" t="s">
        <v>22657</v>
      </c>
      <c r="G6513" s="25">
        <v>72</v>
      </c>
      <c r="H6513" s="32">
        <v>72</v>
      </c>
      <c r="I6513" s="33">
        <v>144</v>
      </c>
    </row>
    <row r="6514" spans="1:9" ht="15.75" thickBot="1" x14ac:dyDescent="0.3">
      <c r="A6514" s="43" t="s">
        <v>1882</v>
      </c>
      <c r="B6514" s="21" t="s">
        <v>1883</v>
      </c>
      <c r="C6514" s="21" t="s">
        <v>22690</v>
      </c>
      <c r="D6514" s="31" t="s">
        <v>22829</v>
      </c>
      <c r="E6514" s="23" t="s">
        <v>22661</v>
      </c>
      <c r="F6514" s="24" t="s">
        <v>22657</v>
      </c>
      <c r="G6514" s="25">
        <v>48</v>
      </c>
      <c r="H6514" s="26"/>
      <c r="I6514" s="27"/>
    </row>
    <row r="6515" spans="1:9" ht="15.75" thickBot="1" x14ac:dyDescent="0.3">
      <c r="A6515" s="43" t="s">
        <v>13763</v>
      </c>
      <c r="B6515" s="21" t="s">
        <v>13764</v>
      </c>
      <c r="C6515" s="21" t="s">
        <v>22690</v>
      </c>
      <c r="D6515" s="31" t="s">
        <v>22829</v>
      </c>
      <c r="E6515" s="23" t="s">
        <v>22656</v>
      </c>
      <c r="F6515" s="24" t="s">
        <v>22657</v>
      </c>
      <c r="G6515" s="25">
        <v>48</v>
      </c>
      <c r="H6515" s="29"/>
      <c r="I6515" s="30"/>
    </row>
    <row r="6516" spans="1:9" ht="15.75" thickBot="1" x14ac:dyDescent="0.3">
      <c r="A6516" s="43" t="s">
        <v>13765</v>
      </c>
      <c r="B6516" s="21" t="s">
        <v>13766</v>
      </c>
      <c r="C6516" s="21" t="s">
        <v>22690</v>
      </c>
      <c r="D6516" s="31" t="s">
        <v>22829</v>
      </c>
      <c r="E6516" s="23" t="s">
        <v>22656</v>
      </c>
      <c r="F6516" s="24" t="s">
        <v>22657</v>
      </c>
      <c r="G6516" s="25">
        <v>48</v>
      </c>
      <c r="H6516" s="26"/>
      <c r="I6516" s="27"/>
    </row>
    <row r="6517" spans="1:9" ht="15.75" thickBot="1" x14ac:dyDescent="0.3">
      <c r="A6517" s="43" t="s">
        <v>13767</v>
      </c>
      <c r="B6517" s="21" t="s">
        <v>13768</v>
      </c>
      <c r="C6517" s="21" t="s">
        <v>22690</v>
      </c>
      <c r="D6517" s="31" t="s">
        <v>22829</v>
      </c>
      <c r="E6517" s="23" t="s">
        <v>22656</v>
      </c>
      <c r="F6517" s="24" t="s">
        <v>22657</v>
      </c>
      <c r="G6517" s="25">
        <v>4</v>
      </c>
      <c r="H6517" s="29"/>
      <c r="I6517" s="30"/>
    </row>
    <row r="6518" spans="1:9" ht="15.75" thickBot="1" x14ac:dyDescent="0.3">
      <c r="A6518" s="43" t="s">
        <v>1643</v>
      </c>
      <c r="B6518" s="21" t="s">
        <v>1644</v>
      </c>
      <c r="C6518" s="21" t="s">
        <v>22690</v>
      </c>
      <c r="D6518" s="31" t="s">
        <v>22829</v>
      </c>
      <c r="E6518" s="23" t="s">
        <v>22665</v>
      </c>
      <c r="F6518" s="24" t="s">
        <v>22657</v>
      </c>
      <c r="G6518" s="25">
        <v>72</v>
      </c>
      <c r="H6518" s="34">
        <v>72</v>
      </c>
      <c r="I6518" s="35">
        <v>144</v>
      </c>
    </row>
    <row r="6519" spans="1:9" ht="15.75" thickBot="1" x14ac:dyDescent="0.3">
      <c r="A6519" s="43" t="s">
        <v>13769</v>
      </c>
      <c r="B6519" s="21" t="s">
        <v>13770</v>
      </c>
      <c r="C6519" s="21" t="s">
        <v>22690</v>
      </c>
      <c r="D6519" s="31" t="s">
        <v>22829</v>
      </c>
      <c r="E6519" s="23" t="s">
        <v>22656</v>
      </c>
      <c r="F6519" s="24" t="s">
        <v>22657</v>
      </c>
      <c r="G6519" s="25">
        <v>4</v>
      </c>
      <c r="H6519" s="29"/>
      <c r="I6519" s="30"/>
    </row>
    <row r="6520" spans="1:9" ht="15.75" thickBot="1" x14ac:dyDescent="0.3">
      <c r="A6520" s="43" t="s">
        <v>13771</v>
      </c>
      <c r="B6520" s="21" t="s">
        <v>13772</v>
      </c>
      <c r="C6520" s="21" t="s">
        <v>22690</v>
      </c>
      <c r="D6520" s="31" t="s">
        <v>22829</v>
      </c>
      <c r="E6520" s="23" t="s">
        <v>22661</v>
      </c>
      <c r="F6520" s="24" t="s">
        <v>22657</v>
      </c>
      <c r="G6520" s="25">
        <v>48</v>
      </c>
      <c r="H6520" s="26"/>
      <c r="I6520" s="27"/>
    </row>
    <row r="6521" spans="1:9" ht="15.75" thickBot="1" x14ac:dyDescent="0.3">
      <c r="A6521" s="43" t="s">
        <v>749</v>
      </c>
      <c r="B6521" s="21" t="s">
        <v>750</v>
      </c>
      <c r="C6521" s="21" t="s">
        <v>22690</v>
      </c>
      <c r="D6521" s="31" t="s">
        <v>22829</v>
      </c>
      <c r="E6521" s="23" t="s">
        <v>22661</v>
      </c>
      <c r="F6521" s="24" t="s">
        <v>22657</v>
      </c>
      <c r="G6521" s="25">
        <v>48</v>
      </c>
      <c r="H6521" s="29"/>
      <c r="I6521" s="30"/>
    </row>
    <row r="6522" spans="1:9" ht="15.75" thickBot="1" x14ac:dyDescent="0.3">
      <c r="A6522" s="43" t="s">
        <v>1103</v>
      </c>
      <c r="B6522" s="21" t="s">
        <v>1104</v>
      </c>
      <c r="C6522" s="21" t="s">
        <v>22690</v>
      </c>
      <c r="D6522" s="31" t="s">
        <v>22829</v>
      </c>
      <c r="E6522" s="23" t="s">
        <v>22665</v>
      </c>
      <c r="F6522" s="24" t="s">
        <v>22657</v>
      </c>
      <c r="G6522" s="25">
        <v>48</v>
      </c>
      <c r="H6522" s="26"/>
      <c r="I6522" s="27"/>
    </row>
    <row r="6523" spans="1:9" ht="15.75" thickBot="1" x14ac:dyDescent="0.3">
      <c r="A6523" s="43" t="s">
        <v>13773</v>
      </c>
      <c r="B6523" s="21" t="s">
        <v>13774</v>
      </c>
      <c r="C6523" s="21" t="s">
        <v>22690</v>
      </c>
      <c r="D6523" s="31" t="s">
        <v>22829</v>
      </c>
      <c r="E6523" s="23" t="s">
        <v>22656</v>
      </c>
      <c r="F6523" s="24" t="s">
        <v>22657</v>
      </c>
      <c r="G6523" s="25">
        <v>48</v>
      </c>
      <c r="H6523" s="29"/>
      <c r="I6523" s="30"/>
    </row>
    <row r="6524" spans="1:9" ht="15.75" thickBot="1" x14ac:dyDescent="0.3">
      <c r="A6524" s="43" t="s">
        <v>1755</v>
      </c>
      <c r="B6524" s="21" t="s">
        <v>1756</v>
      </c>
      <c r="C6524" s="21" t="s">
        <v>22690</v>
      </c>
      <c r="D6524" s="31" t="s">
        <v>22829</v>
      </c>
      <c r="E6524" s="23" t="s">
        <v>22661</v>
      </c>
      <c r="F6524" s="24" t="s">
        <v>22657</v>
      </c>
      <c r="G6524" s="25">
        <v>48</v>
      </c>
      <c r="H6524" s="26"/>
      <c r="I6524" s="27"/>
    </row>
    <row r="6525" spans="1:9" ht="15.75" thickBot="1" x14ac:dyDescent="0.3">
      <c r="A6525" s="43" t="s">
        <v>13775</v>
      </c>
      <c r="B6525" s="21" t="s">
        <v>13776</v>
      </c>
      <c r="C6525" s="21" t="s">
        <v>22690</v>
      </c>
      <c r="D6525" s="31" t="s">
        <v>22829</v>
      </c>
      <c r="E6525" s="23" t="s">
        <v>22665</v>
      </c>
      <c r="F6525" s="24" t="s">
        <v>22657</v>
      </c>
      <c r="G6525" s="25">
        <v>48</v>
      </c>
      <c r="H6525" s="29"/>
      <c r="I6525" s="30"/>
    </row>
    <row r="6526" spans="1:9" ht="15.75" thickBot="1" x14ac:dyDescent="0.3">
      <c r="A6526" s="43" t="s">
        <v>13777</v>
      </c>
      <c r="B6526" s="21" t="s">
        <v>13778</v>
      </c>
      <c r="C6526" s="21" t="s">
        <v>22690</v>
      </c>
      <c r="D6526" s="31" t="s">
        <v>22829</v>
      </c>
      <c r="E6526" s="23" t="s">
        <v>22661</v>
      </c>
      <c r="F6526" s="24" t="s">
        <v>22657</v>
      </c>
      <c r="G6526" s="25">
        <v>48</v>
      </c>
      <c r="H6526" s="26"/>
      <c r="I6526" s="27"/>
    </row>
    <row r="6527" spans="1:9" ht="15.75" thickBot="1" x14ac:dyDescent="0.3">
      <c r="A6527" s="43" t="s">
        <v>739</v>
      </c>
      <c r="B6527" s="21" t="s">
        <v>740</v>
      </c>
      <c r="C6527" s="21" t="s">
        <v>22690</v>
      </c>
      <c r="D6527" s="31" t="s">
        <v>22829</v>
      </c>
      <c r="E6527" s="23" t="s">
        <v>22662</v>
      </c>
      <c r="F6527" s="24" t="s">
        <v>22657</v>
      </c>
      <c r="G6527" s="25">
        <v>144</v>
      </c>
      <c r="H6527" s="32">
        <v>144</v>
      </c>
      <c r="I6527" s="33">
        <v>288</v>
      </c>
    </row>
    <row r="6528" spans="1:9" ht="15.75" thickBot="1" x14ac:dyDescent="0.3">
      <c r="A6528" s="43" t="s">
        <v>13779</v>
      </c>
      <c r="B6528" s="21" t="s">
        <v>13780</v>
      </c>
      <c r="C6528" s="21" t="s">
        <v>22655</v>
      </c>
      <c r="D6528" s="31" t="s">
        <v>22775</v>
      </c>
      <c r="E6528" s="23" t="s">
        <v>22661</v>
      </c>
      <c r="F6528" s="24" t="s">
        <v>22657</v>
      </c>
      <c r="G6528" s="25">
        <v>48</v>
      </c>
      <c r="H6528" s="26"/>
      <c r="I6528" s="27"/>
    </row>
    <row r="6529" spans="1:9" ht="15.75" thickBot="1" x14ac:dyDescent="0.3">
      <c r="A6529" s="43" t="s">
        <v>13781</v>
      </c>
      <c r="B6529" s="21" t="s">
        <v>13782</v>
      </c>
      <c r="C6529" s="21" t="s">
        <v>22690</v>
      </c>
      <c r="D6529" s="31" t="s">
        <v>22829</v>
      </c>
      <c r="E6529" s="23" t="s">
        <v>22661</v>
      </c>
      <c r="F6529" s="24" t="s">
        <v>22657</v>
      </c>
      <c r="G6529" s="25">
        <v>48</v>
      </c>
      <c r="H6529" s="29"/>
      <c r="I6529" s="30"/>
    </row>
    <row r="6530" spans="1:9" ht="15.75" thickBot="1" x14ac:dyDescent="0.3">
      <c r="A6530" s="43" t="s">
        <v>1051</v>
      </c>
      <c r="B6530" s="21" t="s">
        <v>1052</v>
      </c>
      <c r="C6530" s="21" t="s">
        <v>22690</v>
      </c>
      <c r="D6530" s="31" t="s">
        <v>22829</v>
      </c>
      <c r="E6530" s="23" t="s">
        <v>22665</v>
      </c>
      <c r="F6530" s="24" t="s">
        <v>22657</v>
      </c>
      <c r="G6530" s="25">
        <v>72</v>
      </c>
      <c r="H6530" s="34">
        <v>72</v>
      </c>
      <c r="I6530" s="35">
        <v>144</v>
      </c>
    </row>
    <row r="6531" spans="1:9" ht="15.75" thickBot="1" x14ac:dyDescent="0.3">
      <c r="A6531" s="43" t="s">
        <v>431</v>
      </c>
      <c r="B6531" s="21" t="s">
        <v>432</v>
      </c>
      <c r="C6531" s="21" t="s">
        <v>22690</v>
      </c>
      <c r="D6531" s="31" t="s">
        <v>22829</v>
      </c>
      <c r="E6531" s="23" t="s">
        <v>22665</v>
      </c>
      <c r="F6531" s="24" t="s">
        <v>22657</v>
      </c>
      <c r="G6531" s="25">
        <v>48</v>
      </c>
      <c r="H6531" s="29"/>
      <c r="I6531" s="30"/>
    </row>
    <row r="6532" spans="1:9" ht="15.75" thickBot="1" x14ac:dyDescent="0.3">
      <c r="A6532" s="43" t="s">
        <v>1505</v>
      </c>
      <c r="B6532" s="21" t="s">
        <v>1506</v>
      </c>
      <c r="C6532" s="21" t="s">
        <v>22690</v>
      </c>
      <c r="D6532" s="31" t="s">
        <v>22829</v>
      </c>
      <c r="E6532" s="23" t="s">
        <v>22662</v>
      </c>
      <c r="F6532" s="24" t="s">
        <v>22657</v>
      </c>
      <c r="G6532" s="25">
        <v>60</v>
      </c>
      <c r="H6532" s="34">
        <v>60</v>
      </c>
      <c r="I6532" s="35">
        <v>144</v>
      </c>
    </row>
    <row r="6533" spans="1:9" ht="15.75" thickBot="1" x14ac:dyDescent="0.3">
      <c r="A6533" s="43" t="s">
        <v>653</v>
      </c>
      <c r="B6533" s="21" t="s">
        <v>654</v>
      </c>
      <c r="C6533" s="21" t="s">
        <v>22690</v>
      </c>
      <c r="D6533" s="31" t="s">
        <v>22829</v>
      </c>
      <c r="E6533" s="23" t="s">
        <v>22662</v>
      </c>
      <c r="F6533" s="24" t="s">
        <v>22657</v>
      </c>
      <c r="G6533" s="25">
        <v>144</v>
      </c>
      <c r="H6533" s="32">
        <v>144</v>
      </c>
      <c r="I6533" s="33">
        <v>288</v>
      </c>
    </row>
    <row r="6534" spans="1:9" ht="15.75" thickBot="1" x14ac:dyDescent="0.3">
      <c r="A6534" s="43" t="s">
        <v>1445</v>
      </c>
      <c r="B6534" s="21" t="s">
        <v>1446</v>
      </c>
      <c r="C6534" s="21" t="s">
        <v>22690</v>
      </c>
      <c r="D6534" s="31" t="s">
        <v>22829</v>
      </c>
      <c r="E6534" s="23" t="s">
        <v>22661</v>
      </c>
      <c r="F6534" s="24" t="s">
        <v>22657</v>
      </c>
      <c r="G6534" s="25">
        <v>48</v>
      </c>
      <c r="H6534" s="26"/>
      <c r="I6534" s="27"/>
    </row>
    <row r="6535" spans="1:9" ht="15.75" thickBot="1" x14ac:dyDescent="0.3">
      <c r="A6535" s="43" t="s">
        <v>1555</v>
      </c>
      <c r="B6535" s="21" t="s">
        <v>1556</v>
      </c>
      <c r="C6535" s="21" t="s">
        <v>22690</v>
      </c>
      <c r="D6535" s="31" t="s">
        <v>22829</v>
      </c>
      <c r="E6535" s="23" t="s">
        <v>22662</v>
      </c>
      <c r="F6535" s="24" t="s">
        <v>22657</v>
      </c>
      <c r="G6535" s="25">
        <v>144</v>
      </c>
      <c r="H6535" s="32">
        <v>144</v>
      </c>
      <c r="I6535" s="33">
        <v>288</v>
      </c>
    </row>
    <row r="6536" spans="1:9" ht="15.75" thickBot="1" x14ac:dyDescent="0.3">
      <c r="A6536" s="43" t="s">
        <v>13783</v>
      </c>
      <c r="B6536" s="21" t="s">
        <v>13784</v>
      </c>
      <c r="C6536" s="21" t="s">
        <v>22655</v>
      </c>
      <c r="D6536" s="31" t="s">
        <v>22669</v>
      </c>
      <c r="E6536" s="23" t="s">
        <v>22656</v>
      </c>
      <c r="F6536" s="24" t="s">
        <v>22657</v>
      </c>
      <c r="G6536" s="25">
        <v>4</v>
      </c>
      <c r="H6536" s="26"/>
      <c r="I6536" s="27"/>
    </row>
    <row r="6537" spans="1:9" ht="15.75" thickBot="1" x14ac:dyDescent="0.3">
      <c r="A6537" s="43" t="s">
        <v>13785</v>
      </c>
      <c r="B6537" s="21" t="s">
        <v>13786</v>
      </c>
      <c r="C6537" s="21" t="s">
        <v>22655</v>
      </c>
      <c r="D6537" s="31" t="s">
        <v>22669</v>
      </c>
      <c r="E6537" s="23" t="s">
        <v>22656</v>
      </c>
      <c r="F6537" s="24" t="s">
        <v>22657</v>
      </c>
      <c r="G6537" s="25">
        <v>4</v>
      </c>
      <c r="H6537" s="29"/>
      <c r="I6537" s="30"/>
    </row>
    <row r="6538" spans="1:9" ht="15.75" thickBot="1" x14ac:dyDescent="0.3">
      <c r="A6538" s="43" t="s">
        <v>13787</v>
      </c>
      <c r="B6538" s="21" t="s">
        <v>13788</v>
      </c>
      <c r="C6538" s="21" t="s">
        <v>22655</v>
      </c>
      <c r="D6538" s="31" t="s">
        <v>22669</v>
      </c>
      <c r="E6538" s="23" t="s">
        <v>22656</v>
      </c>
      <c r="F6538" s="24" t="s">
        <v>22657</v>
      </c>
      <c r="G6538" s="25">
        <v>4</v>
      </c>
      <c r="H6538" s="26"/>
      <c r="I6538" s="27"/>
    </row>
    <row r="6539" spans="1:9" ht="15.75" thickBot="1" x14ac:dyDescent="0.3">
      <c r="A6539" s="43" t="s">
        <v>335</v>
      </c>
      <c r="B6539" s="21" t="s">
        <v>336</v>
      </c>
      <c r="C6539" s="21" t="s">
        <v>22655</v>
      </c>
      <c r="D6539" s="31" t="s">
        <v>22669</v>
      </c>
      <c r="E6539" s="23" t="s">
        <v>22665</v>
      </c>
      <c r="F6539" s="24" t="s">
        <v>22657</v>
      </c>
      <c r="G6539" s="25">
        <v>19</v>
      </c>
      <c r="H6539" s="29"/>
      <c r="I6539" s="30"/>
    </row>
    <row r="6540" spans="1:9" ht="15.75" thickBot="1" x14ac:dyDescent="0.3">
      <c r="A6540" s="43" t="s">
        <v>13789</v>
      </c>
      <c r="B6540" s="21" t="s">
        <v>13790</v>
      </c>
      <c r="C6540" s="21" t="s">
        <v>22655</v>
      </c>
      <c r="D6540" s="31" t="s">
        <v>22669</v>
      </c>
      <c r="E6540" s="23" t="s">
        <v>22656</v>
      </c>
      <c r="F6540" s="24" t="s">
        <v>22657</v>
      </c>
      <c r="G6540" s="25">
        <v>4</v>
      </c>
      <c r="H6540" s="26"/>
      <c r="I6540" s="27"/>
    </row>
    <row r="6541" spans="1:9" ht="15.75" thickBot="1" x14ac:dyDescent="0.3">
      <c r="A6541" s="43" t="s">
        <v>1053</v>
      </c>
      <c r="B6541" s="21" t="s">
        <v>1054</v>
      </c>
      <c r="C6541" s="21" t="s">
        <v>22655</v>
      </c>
      <c r="D6541" s="31" t="s">
        <v>22669</v>
      </c>
      <c r="E6541" s="23" t="s">
        <v>22662</v>
      </c>
      <c r="F6541" s="24" t="s">
        <v>22657</v>
      </c>
      <c r="G6541" s="25">
        <v>36</v>
      </c>
      <c r="H6541" s="32">
        <v>36</v>
      </c>
      <c r="I6541" s="33">
        <v>72</v>
      </c>
    </row>
    <row r="6542" spans="1:9" ht="15.75" thickBot="1" x14ac:dyDescent="0.3">
      <c r="A6542" s="43" t="s">
        <v>13791</v>
      </c>
      <c r="B6542" s="21" t="s">
        <v>13792</v>
      </c>
      <c r="C6542" s="21" t="s">
        <v>22655</v>
      </c>
      <c r="D6542" s="31" t="s">
        <v>22669</v>
      </c>
      <c r="E6542" s="23" t="s">
        <v>22656</v>
      </c>
      <c r="F6542" s="24" t="s">
        <v>22657</v>
      </c>
      <c r="G6542" s="25">
        <v>9</v>
      </c>
      <c r="H6542" s="26"/>
      <c r="I6542" s="27"/>
    </row>
    <row r="6543" spans="1:9" ht="15.75" thickBot="1" x14ac:dyDescent="0.3">
      <c r="A6543" s="43" t="s">
        <v>13793</v>
      </c>
      <c r="B6543" s="21" t="s">
        <v>13794</v>
      </c>
      <c r="C6543" s="21" t="s">
        <v>22655</v>
      </c>
      <c r="D6543" s="31" t="s">
        <v>22669</v>
      </c>
      <c r="E6543" s="23" t="s">
        <v>22661</v>
      </c>
      <c r="F6543" s="24" t="s">
        <v>22657</v>
      </c>
      <c r="G6543" s="25">
        <v>5</v>
      </c>
      <c r="H6543" s="29"/>
      <c r="I6543" s="30"/>
    </row>
    <row r="6544" spans="1:9" ht="15.75" thickBot="1" x14ac:dyDescent="0.3">
      <c r="A6544" s="43" t="s">
        <v>569</v>
      </c>
      <c r="B6544" s="21" t="s">
        <v>570</v>
      </c>
      <c r="C6544" s="21" t="s">
        <v>22655</v>
      </c>
      <c r="D6544" s="31" t="s">
        <v>22669</v>
      </c>
      <c r="E6544" s="23" t="s">
        <v>22665</v>
      </c>
      <c r="F6544" s="24" t="s">
        <v>22657</v>
      </c>
      <c r="G6544" s="25">
        <v>47</v>
      </c>
      <c r="H6544" s="26"/>
      <c r="I6544" s="27"/>
    </row>
    <row r="6545" spans="1:9" ht="15.75" thickBot="1" x14ac:dyDescent="0.3">
      <c r="A6545" s="43" t="s">
        <v>13795</v>
      </c>
      <c r="B6545" s="21" t="s">
        <v>13796</v>
      </c>
      <c r="C6545" s="21" t="s">
        <v>22655</v>
      </c>
      <c r="D6545" s="31" t="s">
        <v>22669</v>
      </c>
      <c r="E6545" s="23" t="s">
        <v>22656</v>
      </c>
      <c r="F6545" s="24" t="s">
        <v>22657</v>
      </c>
      <c r="G6545" s="25">
        <v>72</v>
      </c>
      <c r="H6545" s="32">
        <v>72</v>
      </c>
      <c r="I6545" s="33">
        <v>144</v>
      </c>
    </row>
    <row r="6546" spans="1:9" ht="15.75" thickBot="1" x14ac:dyDescent="0.3">
      <c r="A6546" s="43" t="s">
        <v>13797</v>
      </c>
      <c r="B6546" s="21" t="s">
        <v>13798</v>
      </c>
      <c r="C6546" s="21" t="s">
        <v>22655</v>
      </c>
      <c r="D6546" s="31" t="s">
        <v>22669</v>
      </c>
      <c r="E6546" s="23" t="s">
        <v>22656</v>
      </c>
      <c r="F6546" s="24" t="s">
        <v>22657</v>
      </c>
      <c r="G6546" s="25">
        <v>4</v>
      </c>
      <c r="H6546" s="26"/>
      <c r="I6546" s="27"/>
    </row>
    <row r="6547" spans="1:9" ht="15.75" thickBot="1" x14ac:dyDescent="0.3">
      <c r="A6547" s="43" t="s">
        <v>13799</v>
      </c>
      <c r="B6547" s="21" t="s">
        <v>13800</v>
      </c>
      <c r="C6547" s="21" t="s">
        <v>22655</v>
      </c>
      <c r="D6547" s="31" t="s">
        <v>22669</v>
      </c>
      <c r="E6547" s="23" t="s">
        <v>22661</v>
      </c>
      <c r="F6547" s="24" t="s">
        <v>22657</v>
      </c>
      <c r="G6547" s="25">
        <v>11</v>
      </c>
      <c r="H6547" s="29"/>
      <c r="I6547" s="30"/>
    </row>
    <row r="6548" spans="1:9" ht="15.75" thickBot="1" x14ac:dyDescent="0.3">
      <c r="A6548" s="43" t="s">
        <v>13801</v>
      </c>
      <c r="B6548" s="21" t="s">
        <v>13802</v>
      </c>
      <c r="C6548" s="21" t="s">
        <v>22655</v>
      </c>
      <c r="D6548" s="31" t="s">
        <v>22669</v>
      </c>
      <c r="E6548" s="23" t="s">
        <v>22661</v>
      </c>
      <c r="F6548" s="24" t="s">
        <v>22657</v>
      </c>
      <c r="G6548" s="25">
        <v>12</v>
      </c>
      <c r="H6548" s="26"/>
      <c r="I6548" s="27"/>
    </row>
    <row r="6549" spans="1:9" ht="15.75" thickBot="1" x14ac:dyDescent="0.3">
      <c r="A6549" s="43" t="s">
        <v>1579</v>
      </c>
      <c r="B6549" s="21" t="s">
        <v>1580</v>
      </c>
      <c r="C6549" s="21" t="s">
        <v>22690</v>
      </c>
      <c r="D6549" s="31" t="s">
        <v>22829</v>
      </c>
      <c r="E6549" s="23" t="s">
        <v>22665</v>
      </c>
      <c r="F6549" s="24" t="s">
        <v>22657</v>
      </c>
      <c r="G6549" s="25">
        <v>50</v>
      </c>
      <c r="H6549" s="29"/>
      <c r="I6549" s="30"/>
    </row>
    <row r="6550" spans="1:9" ht="15.75" thickBot="1" x14ac:dyDescent="0.3">
      <c r="A6550" s="43" t="s">
        <v>13803</v>
      </c>
      <c r="B6550" s="21" t="s">
        <v>13804</v>
      </c>
      <c r="C6550" s="21" t="s">
        <v>22690</v>
      </c>
      <c r="D6550" s="31" t="s">
        <v>22829</v>
      </c>
      <c r="E6550" s="23" t="s">
        <v>22661</v>
      </c>
      <c r="F6550" s="24" t="s">
        <v>22657</v>
      </c>
      <c r="G6550" s="25">
        <v>4</v>
      </c>
      <c r="H6550" s="26"/>
      <c r="I6550" s="27"/>
    </row>
    <row r="6551" spans="1:9" ht="15.75" thickBot="1" x14ac:dyDescent="0.3">
      <c r="A6551" s="43" t="s">
        <v>13805</v>
      </c>
      <c r="B6551" s="21" t="s">
        <v>13806</v>
      </c>
      <c r="C6551" s="21" t="s">
        <v>22690</v>
      </c>
      <c r="D6551" s="31" t="s">
        <v>22829</v>
      </c>
      <c r="E6551" s="23" t="s">
        <v>22661</v>
      </c>
      <c r="F6551" s="24" t="s">
        <v>22657</v>
      </c>
      <c r="G6551" s="25">
        <v>4</v>
      </c>
      <c r="H6551" s="29"/>
      <c r="I6551" s="30"/>
    </row>
    <row r="6552" spans="1:9" ht="15.75" thickBot="1" x14ac:dyDescent="0.3">
      <c r="A6552" s="43" t="s">
        <v>13807</v>
      </c>
      <c r="B6552" s="21" t="s">
        <v>13808</v>
      </c>
      <c r="C6552" s="21" t="s">
        <v>22667</v>
      </c>
      <c r="D6552" s="39">
        <v>36997</v>
      </c>
      <c r="E6552" s="23" t="s">
        <v>22656</v>
      </c>
      <c r="F6552" s="24" t="s">
        <v>22657</v>
      </c>
      <c r="G6552" s="25">
        <v>2</v>
      </c>
      <c r="H6552" s="26"/>
      <c r="I6552" s="27"/>
    </row>
    <row r="6553" spans="1:9" ht="15.75" thickBot="1" x14ac:dyDescent="0.3">
      <c r="A6553" s="43" t="s">
        <v>13809</v>
      </c>
      <c r="B6553" s="21" t="s">
        <v>13810</v>
      </c>
      <c r="C6553" s="21" t="s">
        <v>22667</v>
      </c>
      <c r="D6553" s="31" t="s">
        <v>22830</v>
      </c>
      <c r="E6553" s="23" t="s">
        <v>22656</v>
      </c>
      <c r="F6553" s="24" t="s">
        <v>22657</v>
      </c>
      <c r="G6553" s="25">
        <v>4</v>
      </c>
      <c r="H6553" s="29"/>
      <c r="I6553" s="30"/>
    </row>
    <row r="6554" spans="1:9" ht="15.75" thickBot="1" x14ac:dyDescent="0.3">
      <c r="A6554" s="43" t="s">
        <v>13813</v>
      </c>
      <c r="B6554" s="21" t="s">
        <v>13814</v>
      </c>
      <c r="C6554" s="21" t="s">
        <v>22667</v>
      </c>
      <c r="D6554" s="39">
        <v>36997</v>
      </c>
      <c r="E6554" s="23" t="s">
        <v>22656</v>
      </c>
      <c r="F6554" s="24" t="s">
        <v>22657</v>
      </c>
      <c r="G6554" s="25">
        <v>2</v>
      </c>
      <c r="H6554" s="26"/>
      <c r="I6554" s="27"/>
    </row>
    <row r="6555" spans="1:9" ht="15.75" thickBot="1" x14ac:dyDescent="0.3">
      <c r="A6555" s="43" t="s">
        <v>13811</v>
      </c>
      <c r="B6555" s="21" t="s">
        <v>13812</v>
      </c>
      <c r="C6555" s="21" t="s">
        <v>22667</v>
      </c>
      <c r="D6555" s="39">
        <v>36997</v>
      </c>
      <c r="E6555" s="23" t="s">
        <v>22656</v>
      </c>
      <c r="F6555" s="24" t="s">
        <v>22657</v>
      </c>
      <c r="G6555" s="25">
        <v>2</v>
      </c>
      <c r="H6555" s="29"/>
      <c r="I6555" s="30"/>
    </row>
    <row r="6556" spans="1:9" ht="15.75" thickBot="1" x14ac:dyDescent="0.3">
      <c r="A6556" s="43" t="s">
        <v>13815</v>
      </c>
      <c r="B6556" s="21" t="s">
        <v>13816</v>
      </c>
      <c r="C6556" s="21" t="s">
        <v>22667</v>
      </c>
      <c r="D6556" s="39">
        <v>36997</v>
      </c>
      <c r="E6556" s="23" t="s">
        <v>22656</v>
      </c>
      <c r="F6556" s="24" t="s">
        <v>22657</v>
      </c>
      <c r="G6556" s="25">
        <v>2</v>
      </c>
      <c r="H6556" s="26"/>
      <c r="I6556" s="27"/>
    </row>
    <row r="6557" spans="1:9" ht="15.75" thickBot="1" x14ac:dyDescent="0.3">
      <c r="A6557" s="43" t="s">
        <v>13817</v>
      </c>
      <c r="B6557" s="21" t="s">
        <v>13818</v>
      </c>
      <c r="C6557" s="21" t="s">
        <v>22667</v>
      </c>
      <c r="D6557" s="39">
        <v>36997</v>
      </c>
      <c r="E6557" s="23" t="s">
        <v>22656</v>
      </c>
      <c r="F6557" s="24" t="s">
        <v>22657</v>
      </c>
      <c r="G6557" s="25">
        <v>2</v>
      </c>
      <c r="H6557" s="29"/>
      <c r="I6557" s="30"/>
    </row>
    <row r="6558" spans="1:9" ht="15.75" thickBot="1" x14ac:dyDescent="0.3">
      <c r="A6558" s="43" t="s">
        <v>13819</v>
      </c>
      <c r="B6558" s="21" t="s">
        <v>13820</v>
      </c>
      <c r="C6558" s="21" t="s">
        <v>22667</v>
      </c>
      <c r="D6558" s="39">
        <v>36997</v>
      </c>
      <c r="E6558" s="23" t="s">
        <v>22656</v>
      </c>
      <c r="F6558" s="24" t="s">
        <v>22657</v>
      </c>
      <c r="G6558" s="25">
        <v>2</v>
      </c>
      <c r="H6558" s="26"/>
      <c r="I6558" s="27"/>
    </row>
    <row r="6559" spans="1:9" ht="15.75" thickBot="1" x14ac:dyDescent="0.3">
      <c r="A6559" s="43" t="s">
        <v>13821</v>
      </c>
      <c r="B6559" s="21" t="s">
        <v>13822</v>
      </c>
      <c r="C6559" s="21" t="s">
        <v>22667</v>
      </c>
      <c r="D6559" s="39">
        <v>36997</v>
      </c>
      <c r="E6559" s="23" t="s">
        <v>22656</v>
      </c>
      <c r="F6559" s="24" t="s">
        <v>22657</v>
      </c>
      <c r="G6559" s="25">
        <v>2</v>
      </c>
      <c r="H6559" s="29"/>
      <c r="I6559" s="30"/>
    </row>
    <row r="6560" spans="1:9" ht="15.75" thickBot="1" x14ac:dyDescent="0.3">
      <c r="A6560" s="43" t="s">
        <v>13823</v>
      </c>
      <c r="B6560" s="21" t="s">
        <v>13824</v>
      </c>
      <c r="C6560" s="21" t="s">
        <v>22667</v>
      </c>
      <c r="D6560" s="39">
        <v>36997</v>
      </c>
      <c r="E6560" s="23" t="s">
        <v>22656</v>
      </c>
      <c r="F6560" s="24" t="s">
        <v>22657</v>
      </c>
      <c r="G6560" s="25">
        <v>2</v>
      </c>
      <c r="H6560" s="26"/>
      <c r="I6560" s="27"/>
    </row>
    <row r="6561" spans="1:9" ht="15.75" thickBot="1" x14ac:dyDescent="0.3">
      <c r="A6561" s="43" t="s">
        <v>13825</v>
      </c>
      <c r="B6561" s="21" t="s">
        <v>13826</v>
      </c>
      <c r="C6561" s="21" t="s">
        <v>22667</v>
      </c>
      <c r="D6561" s="39">
        <v>36997</v>
      </c>
      <c r="E6561" s="23" t="s">
        <v>22656</v>
      </c>
      <c r="F6561" s="24" t="s">
        <v>22657</v>
      </c>
      <c r="G6561" s="25">
        <v>2</v>
      </c>
      <c r="H6561" s="29"/>
      <c r="I6561" s="30"/>
    </row>
    <row r="6562" spans="1:9" ht="15.75" thickBot="1" x14ac:dyDescent="0.3">
      <c r="A6562" s="43" t="s">
        <v>13827</v>
      </c>
      <c r="B6562" s="21" t="s">
        <v>13828</v>
      </c>
      <c r="C6562" s="21" t="s">
        <v>22667</v>
      </c>
      <c r="D6562" s="39">
        <v>36997</v>
      </c>
      <c r="E6562" s="23" t="s">
        <v>22656</v>
      </c>
      <c r="F6562" s="24" t="s">
        <v>22657</v>
      </c>
      <c r="G6562" s="25">
        <v>2</v>
      </c>
      <c r="H6562" s="26"/>
      <c r="I6562" s="27"/>
    </row>
    <row r="6563" spans="1:9" ht="15.75" thickBot="1" x14ac:dyDescent="0.3">
      <c r="A6563" s="43" t="s">
        <v>13829</v>
      </c>
      <c r="B6563" s="21" t="s">
        <v>13830</v>
      </c>
      <c r="C6563" s="21" t="s">
        <v>22655</v>
      </c>
      <c r="D6563" s="22">
        <v>46046</v>
      </c>
      <c r="E6563" s="23" t="s">
        <v>22656</v>
      </c>
      <c r="F6563" s="24" t="s">
        <v>22657</v>
      </c>
      <c r="G6563" s="25">
        <v>8</v>
      </c>
      <c r="H6563" s="29"/>
      <c r="I6563" s="30"/>
    </row>
    <row r="6564" spans="1:9" ht="15.75" thickBot="1" x14ac:dyDescent="0.3">
      <c r="A6564" s="43" t="s">
        <v>13831</v>
      </c>
      <c r="B6564" s="21" t="s">
        <v>13832</v>
      </c>
      <c r="C6564" s="21" t="s">
        <v>22667</v>
      </c>
      <c r="D6564" s="39">
        <v>36997</v>
      </c>
      <c r="E6564" s="23" t="s">
        <v>22656</v>
      </c>
      <c r="F6564" s="24" t="s">
        <v>22657</v>
      </c>
      <c r="G6564" s="25">
        <v>2</v>
      </c>
      <c r="H6564" s="26"/>
      <c r="I6564" s="27"/>
    </row>
    <row r="6565" spans="1:9" ht="15.75" thickBot="1" x14ac:dyDescent="0.3">
      <c r="A6565" s="43" t="s">
        <v>13833</v>
      </c>
      <c r="B6565" s="21" t="s">
        <v>13834</v>
      </c>
      <c r="C6565" s="21" t="s">
        <v>22667</v>
      </c>
      <c r="D6565" s="39">
        <v>36997</v>
      </c>
      <c r="E6565" s="23" t="s">
        <v>22658</v>
      </c>
      <c r="F6565" s="24" t="s">
        <v>22657</v>
      </c>
      <c r="G6565" s="25">
        <v>2</v>
      </c>
      <c r="H6565" s="29"/>
      <c r="I6565" s="30"/>
    </row>
    <row r="6566" spans="1:9" ht="15.75" thickBot="1" x14ac:dyDescent="0.3">
      <c r="A6566" s="43" t="s">
        <v>13835</v>
      </c>
      <c r="B6566" s="21" t="s">
        <v>13836</v>
      </c>
      <c r="C6566" s="21" t="s">
        <v>22667</v>
      </c>
      <c r="D6566" s="39">
        <v>36997</v>
      </c>
      <c r="E6566" s="23" t="s">
        <v>22656</v>
      </c>
      <c r="F6566" s="24" t="s">
        <v>22657</v>
      </c>
      <c r="G6566" s="25">
        <v>2</v>
      </c>
      <c r="H6566" s="26"/>
      <c r="I6566" s="27"/>
    </row>
    <row r="6567" spans="1:9" ht="15.75" thickBot="1" x14ac:dyDescent="0.3">
      <c r="A6567" s="43" t="s">
        <v>13837</v>
      </c>
      <c r="B6567" s="21" t="s">
        <v>13838</v>
      </c>
      <c r="C6567" s="21" t="s">
        <v>22667</v>
      </c>
      <c r="D6567" s="39">
        <v>36997</v>
      </c>
      <c r="E6567" s="23" t="s">
        <v>22656</v>
      </c>
      <c r="F6567" s="24" t="s">
        <v>22657</v>
      </c>
      <c r="G6567" s="25">
        <v>2</v>
      </c>
      <c r="H6567" s="29"/>
      <c r="I6567" s="30"/>
    </row>
    <row r="6568" spans="1:9" ht="15.75" thickBot="1" x14ac:dyDescent="0.3">
      <c r="A6568" s="43" t="s">
        <v>13839</v>
      </c>
      <c r="B6568" s="21" t="s">
        <v>13840</v>
      </c>
      <c r="C6568" s="21" t="s">
        <v>22667</v>
      </c>
      <c r="D6568" s="39">
        <v>36997</v>
      </c>
      <c r="E6568" s="23" t="s">
        <v>22656</v>
      </c>
      <c r="F6568" s="24" t="s">
        <v>22657</v>
      </c>
      <c r="G6568" s="25">
        <v>2</v>
      </c>
      <c r="H6568" s="26"/>
      <c r="I6568" s="27"/>
    </row>
    <row r="6569" spans="1:9" ht="15.75" thickBot="1" x14ac:dyDescent="0.3">
      <c r="A6569" s="43" t="s">
        <v>13841</v>
      </c>
      <c r="B6569" s="21" t="s">
        <v>13842</v>
      </c>
      <c r="C6569" s="21" t="s">
        <v>22667</v>
      </c>
      <c r="D6569" s="39">
        <v>36997</v>
      </c>
      <c r="E6569" s="23" t="s">
        <v>22661</v>
      </c>
      <c r="F6569" s="24" t="s">
        <v>22657</v>
      </c>
      <c r="G6569" s="25">
        <v>5</v>
      </c>
      <c r="H6569" s="29"/>
      <c r="I6569" s="30"/>
    </row>
    <row r="6570" spans="1:9" ht="15.75" thickBot="1" x14ac:dyDescent="0.3">
      <c r="A6570" s="43" t="s">
        <v>13843</v>
      </c>
      <c r="B6570" s="21" t="s">
        <v>13844</v>
      </c>
      <c r="C6570" s="21" t="s">
        <v>22667</v>
      </c>
      <c r="D6570" s="31" t="s">
        <v>22831</v>
      </c>
      <c r="E6570" s="23" t="s">
        <v>22661</v>
      </c>
      <c r="F6570" s="24" t="s">
        <v>22657</v>
      </c>
      <c r="G6570" s="25">
        <v>3</v>
      </c>
      <c r="H6570" s="26"/>
      <c r="I6570" s="27"/>
    </row>
    <row r="6571" spans="1:9" ht="15.75" thickBot="1" x14ac:dyDescent="0.3">
      <c r="A6571" s="43" t="s">
        <v>13845</v>
      </c>
      <c r="B6571" s="21" t="s">
        <v>13846</v>
      </c>
      <c r="C6571" s="21" t="s">
        <v>22667</v>
      </c>
      <c r="D6571" s="39">
        <v>36997</v>
      </c>
      <c r="E6571" s="23" t="s">
        <v>22656</v>
      </c>
      <c r="F6571" s="24" t="s">
        <v>22657</v>
      </c>
      <c r="G6571" s="25">
        <v>2</v>
      </c>
      <c r="H6571" s="29"/>
      <c r="I6571" s="30"/>
    </row>
    <row r="6572" spans="1:9" ht="15.75" thickBot="1" x14ac:dyDescent="0.3">
      <c r="A6572" s="43" t="s">
        <v>13847</v>
      </c>
      <c r="B6572" s="21" t="s">
        <v>13848</v>
      </c>
      <c r="C6572" s="21" t="s">
        <v>22667</v>
      </c>
      <c r="D6572" s="39">
        <v>36997</v>
      </c>
      <c r="E6572" s="23" t="s">
        <v>22656</v>
      </c>
      <c r="F6572" s="24" t="s">
        <v>22657</v>
      </c>
      <c r="G6572" s="25">
        <v>2</v>
      </c>
      <c r="H6572" s="26"/>
      <c r="I6572" s="27"/>
    </row>
    <row r="6573" spans="1:9" ht="15.75" thickBot="1" x14ac:dyDescent="0.3">
      <c r="A6573" s="43" t="s">
        <v>13849</v>
      </c>
      <c r="B6573" s="21" t="s">
        <v>13850</v>
      </c>
      <c r="C6573" s="21" t="s">
        <v>22667</v>
      </c>
      <c r="D6573" s="39">
        <v>36997</v>
      </c>
      <c r="E6573" s="23" t="s">
        <v>22656</v>
      </c>
      <c r="F6573" s="24" t="s">
        <v>22657</v>
      </c>
      <c r="G6573" s="25">
        <v>2</v>
      </c>
      <c r="H6573" s="29"/>
      <c r="I6573" s="30"/>
    </row>
    <row r="6574" spans="1:9" ht="15.75" thickBot="1" x14ac:dyDescent="0.3">
      <c r="A6574" s="43" t="s">
        <v>13851</v>
      </c>
      <c r="B6574" s="21" t="s">
        <v>13852</v>
      </c>
      <c r="C6574" s="21" t="s">
        <v>22655</v>
      </c>
      <c r="D6574" s="22">
        <v>46034</v>
      </c>
      <c r="E6574" s="23" t="s">
        <v>22656</v>
      </c>
      <c r="F6574" s="24" t="s">
        <v>22657</v>
      </c>
      <c r="G6574" s="25">
        <v>4</v>
      </c>
      <c r="H6574" s="26"/>
      <c r="I6574" s="27"/>
    </row>
    <row r="6575" spans="1:9" ht="15.75" thickBot="1" x14ac:dyDescent="0.3">
      <c r="A6575" s="43" t="s">
        <v>13853</v>
      </c>
      <c r="B6575" s="21" t="s">
        <v>13854</v>
      </c>
      <c r="C6575" s="21" t="s">
        <v>22667</v>
      </c>
      <c r="D6575" s="39">
        <v>36997</v>
      </c>
      <c r="E6575" s="23" t="s">
        <v>22656</v>
      </c>
      <c r="F6575" s="24" t="s">
        <v>22657</v>
      </c>
      <c r="G6575" s="25">
        <v>2</v>
      </c>
      <c r="H6575" s="29"/>
      <c r="I6575" s="30"/>
    </row>
    <row r="6576" spans="1:9" ht="15.75" thickBot="1" x14ac:dyDescent="0.3">
      <c r="A6576" s="43" t="s">
        <v>13855</v>
      </c>
      <c r="B6576" s="21" t="s">
        <v>13856</v>
      </c>
      <c r="C6576" s="21" t="s">
        <v>22667</v>
      </c>
      <c r="D6576" s="39">
        <v>36997</v>
      </c>
      <c r="E6576" s="23" t="s">
        <v>22658</v>
      </c>
      <c r="F6576" s="24" t="s">
        <v>22657</v>
      </c>
      <c r="G6576" s="25">
        <v>2</v>
      </c>
      <c r="H6576" s="26"/>
      <c r="I6576" s="27"/>
    </row>
    <row r="6577" spans="1:9" ht="15.75" thickBot="1" x14ac:dyDescent="0.3">
      <c r="A6577" s="43" t="s">
        <v>13857</v>
      </c>
      <c r="B6577" s="21" t="s">
        <v>13858</v>
      </c>
      <c r="C6577" s="21" t="s">
        <v>22667</v>
      </c>
      <c r="D6577" s="39">
        <v>36997</v>
      </c>
      <c r="E6577" s="23" t="s">
        <v>22656</v>
      </c>
      <c r="F6577" s="24" t="s">
        <v>22657</v>
      </c>
      <c r="G6577" s="25">
        <v>2</v>
      </c>
      <c r="H6577" s="29"/>
      <c r="I6577" s="30"/>
    </row>
    <row r="6578" spans="1:9" ht="15.75" thickBot="1" x14ac:dyDescent="0.3">
      <c r="A6578" s="43" t="s">
        <v>13859</v>
      </c>
      <c r="B6578" s="21" t="s">
        <v>13860</v>
      </c>
      <c r="C6578" s="21" t="s">
        <v>22655</v>
      </c>
      <c r="D6578" s="22">
        <v>46034</v>
      </c>
      <c r="E6578" s="23" t="s">
        <v>22656</v>
      </c>
      <c r="F6578" s="24" t="s">
        <v>22657</v>
      </c>
      <c r="G6578" s="25">
        <v>4</v>
      </c>
      <c r="H6578" s="26"/>
      <c r="I6578" s="27"/>
    </row>
    <row r="6579" spans="1:9" ht="15.75" thickBot="1" x14ac:dyDescent="0.3">
      <c r="A6579" s="43" t="s">
        <v>13861</v>
      </c>
      <c r="B6579" s="21" t="s">
        <v>13862</v>
      </c>
      <c r="C6579" s="21" t="s">
        <v>22667</v>
      </c>
      <c r="D6579" s="39">
        <v>36997</v>
      </c>
      <c r="E6579" s="23" t="s">
        <v>22656</v>
      </c>
      <c r="F6579" s="24" t="s">
        <v>22657</v>
      </c>
      <c r="G6579" s="25">
        <v>2</v>
      </c>
      <c r="H6579" s="29"/>
      <c r="I6579" s="30"/>
    </row>
    <row r="6580" spans="1:9" ht="15.75" thickBot="1" x14ac:dyDescent="0.3">
      <c r="A6580" s="43" t="s">
        <v>13863</v>
      </c>
      <c r="B6580" s="21" t="s">
        <v>13864</v>
      </c>
      <c r="C6580" s="21" t="s">
        <v>22667</v>
      </c>
      <c r="D6580" s="39">
        <v>36997</v>
      </c>
      <c r="E6580" s="23" t="s">
        <v>22658</v>
      </c>
      <c r="F6580" s="24" t="s">
        <v>22657</v>
      </c>
      <c r="G6580" s="25">
        <v>2</v>
      </c>
      <c r="H6580" s="26"/>
      <c r="I6580" s="27"/>
    </row>
    <row r="6581" spans="1:9" ht="15.75" thickBot="1" x14ac:dyDescent="0.3">
      <c r="A6581" s="43" t="s">
        <v>13865</v>
      </c>
      <c r="B6581" s="21" t="s">
        <v>13866</v>
      </c>
      <c r="C6581" s="21" t="s">
        <v>22667</v>
      </c>
      <c r="D6581" s="39">
        <v>36997</v>
      </c>
      <c r="E6581" s="23" t="s">
        <v>22656</v>
      </c>
      <c r="F6581" s="24" t="s">
        <v>22657</v>
      </c>
      <c r="G6581" s="25">
        <v>2</v>
      </c>
      <c r="H6581" s="29"/>
      <c r="I6581" s="30"/>
    </row>
    <row r="6582" spans="1:9" ht="15.75" thickBot="1" x14ac:dyDescent="0.3">
      <c r="A6582" s="43" t="s">
        <v>13867</v>
      </c>
      <c r="B6582" s="21" t="s">
        <v>13868</v>
      </c>
      <c r="C6582" s="21" t="s">
        <v>22667</v>
      </c>
      <c r="D6582" s="39">
        <v>36997</v>
      </c>
      <c r="E6582" s="23" t="s">
        <v>22656</v>
      </c>
      <c r="F6582" s="24" t="s">
        <v>22657</v>
      </c>
      <c r="G6582" s="25">
        <v>2</v>
      </c>
      <c r="H6582" s="26"/>
      <c r="I6582" s="27"/>
    </row>
    <row r="6583" spans="1:9" ht="15.75" thickBot="1" x14ac:dyDescent="0.3">
      <c r="A6583" s="43" t="s">
        <v>13869</v>
      </c>
      <c r="B6583" s="21" t="s">
        <v>13870</v>
      </c>
      <c r="C6583" s="21" t="s">
        <v>22667</v>
      </c>
      <c r="D6583" s="39">
        <v>36997</v>
      </c>
      <c r="E6583" s="23" t="s">
        <v>22656</v>
      </c>
      <c r="F6583" s="24" t="s">
        <v>22657</v>
      </c>
      <c r="G6583" s="25">
        <v>2</v>
      </c>
      <c r="H6583" s="29"/>
      <c r="I6583" s="30"/>
    </row>
    <row r="6584" spans="1:9" ht="15.75" thickBot="1" x14ac:dyDescent="0.3">
      <c r="A6584" s="43" t="s">
        <v>13871</v>
      </c>
      <c r="B6584" s="21" t="s">
        <v>13872</v>
      </c>
      <c r="C6584" s="21" t="s">
        <v>22667</v>
      </c>
      <c r="D6584" s="39">
        <v>36997</v>
      </c>
      <c r="E6584" s="23" t="s">
        <v>22656</v>
      </c>
      <c r="F6584" s="24" t="s">
        <v>22657</v>
      </c>
      <c r="G6584" s="25">
        <v>2</v>
      </c>
      <c r="H6584" s="26"/>
      <c r="I6584" s="27"/>
    </row>
    <row r="6585" spans="1:9" ht="15.75" thickBot="1" x14ac:dyDescent="0.3">
      <c r="A6585" s="43" t="s">
        <v>13873</v>
      </c>
      <c r="B6585" s="21" t="s">
        <v>13874</v>
      </c>
      <c r="C6585" s="21" t="s">
        <v>22667</v>
      </c>
      <c r="D6585" s="39">
        <v>36997</v>
      </c>
      <c r="E6585" s="23" t="s">
        <v>22656</v>
      </c>
      <c r="F6585" s="24" t="s">
        <v>22657</v>
      </c>
      <c r="G6585" s="25">
        <v>2</v>
      </c>
      <c r="H6585" s="29"/>
      <c r="I6585" s="30"/>
    </row>
    <row r="6586" spans="1:9" ht="15.75" thickBot="1" x14ac:dyDescent="0.3">
      <c r="A6586" s="43" t="s">
        <v>13875</v>
      </c>
      <c r="B6586" s="21" t="s">
        <v>13876</v>
      </c>
      <c r="C6586" s="21" t="s">
        <v>22667</v>
      </c>
      <c r="D6586" s="39">
        <v>36997</v>
      </c>
      <c r="E6586" s="23" t="s">
        <v>22656</v>
      </c>
      <c r="F6586" s="24" t="s">
        <v>22657</v>
      </c>
      <c r="G6586" s="25">
        <v>2</v>
      </c>
      <c r="H6586" s="26"/>
      <c r="I6586" s="27"/>
    </row>
    <row r="6587" spans="1:9" ht="15.75" thickBot="1" x14ac:dyDescent="0.3">
      <c r="A6587" s="43" t="s">
        <v>13877</v>
      </c>
      <c r="B6587" s="21" t="s">
        <v>13878</v>
      </c>
      <c r="C6587" s="21" t="s">
        <v>22667</v>
      </c>
      <c r="D6587" s="39">
        <v>36997</v>
      </c>
      <c r="E6587" s="23" t="s">
        <v>22656</v>
      </c>
      <c r="F6587" s="24" t="s">
        <v>22657</v>
      </c>
      <c r="G6587" s="25">
        <v>2</v>
      </c>
      <c r="H6587" s="29"/>
      <c r="I6587" s="30"/>
    </row>
    <row r="6588" spans="1:9" ht="15.75" thickBot="1" x14ac:dyDescent="0.3">
      <c r="A6588" s="43" t="s">
        <v>13879</v>
      </c>
      <c r="B6588" s="21" t="s">
        <v>13880</v>
      </c>
      <c r="C6588" s="21" t="s">
        <v>22667</v>
      </c>
      <c r="D6588" s="39">
        <v>36997</v>
      </c>
      <c r="E6588" s="23" t="s">
        <v>22656</v>
      </c>
      <c r="F6588" s="24" t="s">
        <v>22657</v>
      </c>
      <c r="G6588" s="25">
        <v>2</v>
      </c>
      <c r="H6588" s="26"/>
      <c r="I6588" s="27"/>
    </row>
    <row r="6589" spans="1:9" ht="15.75" thickBot="1" x14ac:dyDescent="0.3">
      <c r="A6589" s="43" t="s">
        <v>13881</v>
      </c>
      <c r="B6589" s="21" t="s">
        <v>13882</v>
      </c>
      <c r="C6589" s="21" t="s">
        <v>22667</v>
      </c>
      <c r="D6589" s="39">
        <v>36997</v>
      </c>
      <c r="E6589" s="23" t="s">
        <v>22656</v>
      </c>
      <c r="F6589" s="24" t="s">
        <v>22657</v>
      </c>
      <c r="G6589" s="25">
        <v>4</v>
      </c>
      <c r="H6589" s="29"/>
      <c r="I6589" s="30"/>
    </row>
    <row r="6590" spans="1:9" ht="15.75" thickBot="1" x14ac:dyDescent="0.3">
      <c r="A6590" s="43" t="s">
        <v>13883</v>
      </c>
      <c r="B6590" s="21" t="s">
        <v>13884</v>
      </c>
      <c r="C6590" s="21" t="s">
        <v>22667</v>
      </c>
      <c r="D6590" s="39">
        <v>36997</v>
      </c>
      <c r="E6590" s="23" t="s">
        <v>22656</v>
      </c>
      <c r="F6590" s="24" t="s">
        <v>22657</v>
      </c>
      <c r="G6590" s="25">
        <v>2</v>
      </c>
      <c r="H6590" s="26"/>
      <c r="I6590" s="27"/>
    </row>
    <row r="6591" spans="1:9" ht="15.75" thickBot="1" x14ac:dyDescent="0.3">
      <c r="A6591" s="43" t="s">
        <v>13885</v>
      </c>
      <c r="B6591" s="21" t="s">
        <v>13886</v>
      </c>
      <c r="C6591" s="21" t="s">
        <v>22694</v>
      </c>
      <c r="D6591" s="22">
        <v>46034</v>
      </c>
      <c r="E6591" s="23" t="s">
        <v>22656</v>
      </c>
      <c r="F6591" s="24" t="s">
        <v>22657</v>
      </c>
      <c r="G6591" s="25">
        <v>4</v>
      </c>
      <c r="H6591" s="29"/>
      <c r="I6591" s="30"/>
    </row>
    <row r="6592" spans="1:9" ht="15.75" thickBot="1" x14ac:dyDescent="0.3">
      <c r="A6592" s="43" t="s">
        <v>13887</v>
      </c>
      <c r="B6592" s="21" t="s">
        <v>13888</v>
      </c>
      <c r="C6592" s="21" t="s">
        <v>22655</v>
      </c>
      <c r="D6592" s="22">
        <v>46046</v>
      </c>
      <c r="E6592" s="23" t="s">
        <v>22658</v>
      </c>
      <c r="F6592" s="24" t="s">
        <v>22657</v>
      </c>
      <c r="G6592" s="25">
        <v>2</v>
      </c>
      <c r="H6592" s="26"/>
      <c r="I6592" s="27"/>
    </row>
    <row r="6593" spans="1:9" ht="15.75" thickBot="1" x14ac:dyDescent="0.3">
      <c r="A6593" s="43" t="s">
        <v>13889</v>
      </c>
      <c r="B6593" s="21" t="s">
        <v>13890</v>
      </c>
      <c r="C6593" s="21" t="s">
        <v>22655</v>
      </c>
      <c r="D6593" s="22">
        <v>46046</v>
      </c>
      <c r="E6593" s="23" t="s">
        <v>22658</v>
      </c>
      <c r="F6593" s="24" t="s">
        <v>22657</v>
      </c>
      <c r="G6593" s="25">
        <v>2</v>
      </c>
      <c r="H6593" s="29"/>
      <c r="I6593" s="30"/>
    </row>
    <row r="6594" spans="1:9" ht="15.75" thickBot="1" x14ac:dyDescent="0.3">
      <c r="A6594" s="43" t="s">
        <v>13891</v>
      </c>
      <c r="B6594" s="21" t="s">
        <v>13892</v>
      </c>
      <c r="C6594" s="21" t="s">
        <v>22655</v>
      </c>
      <c r="D6594" s="22">
        <v>46046</v>
      </c>
      <c r="E6594" s="23" t="s">
        <v>22658</v>
      </c>
      <c r="F6594" s="24" t="s">
        <v>22657</v>
      </c>
      <c r="G6594" s="25">
        <v>2</v>
      </c>
      <c r="H6594" s="26"/>
      <c r="I6594" s="27"/>
    </row>
    <row r="6595" spans="1:9" ht="15.75" thickBot="1" x14ac:dyDescent="0.3">
      <c r="A6595" s="43" t="s">
        <v>13893</v>
      </c>
      <c r="B6595" s="21" t="s">
        <v>13894</v>
      </c>
      <c r="C6595" s="21" t="s">
        <v>22655</v>
      </c>
      <c r="D6595" s="22">
        <v>46046</v>
      </c>
      <c r="E6595" s="23" t="s">
        <v>22658</v>
      </c>
      <c r="F6595" s="24" t="s">
        <v>22657</v>
      </c>
      <c r="G6595" s="25">
        <v>2</v>
      </c>
      <c r="H6595" s="29"/>
      <c r="I6595" s="30"/>
    </row>
    <row r="6596" spans="1:9" ht="15.75" thickBot="1" x14ac:dyDescent="0.3">
      <c r="A6596" s="43" t="s">
        <v>13895</v>
      </c>
      <c r="B6596" s="21" t="s">
        <v>13896</v>
      </c>
      <c r="C6596" s="21" t="s">
        <v>22655</v>
      </c>
      <c r="D6596" s="22">
        <v>46034</v>
      </c>
      <c r="E6596" s="23" t="s">
        <v>22658</v>
      </c>
      <c r="F6596" s="24" t="s">
        <v>22657</v>
      </c>
      <c r="G6596" s="25">
        <v>2</v>
      </c>
      <c r="H6596" s="26"/>
      <c r="I6596" s="27"/>
    </row>
    <row r="6597" spans="1:9" ht="15.75" thickBot="1" x14ac:dyDescent="0.3">
      <c r="A6597" s="43" t="s">
        <v>13897</v>
      </c>
      <c r="B6597" s="21" t="s">
        <v>13898</v>
      </c>
      <c r="C6597" s="21" t="s">
        <v>22655</v>
      </c>
      <c r="D6597" s="31" t="s">
        <v>22660</v>
      </c>
      <c r="E6597" s="23" t="s">
        <v>22658</v>
      </c>
      <c r="F6597" s="24" t="s">
        <v>22657</v>
      </c>
      <c r="G6597" s="25">
        <v>2</v>
      </c>
      <c r="H6597" s="29"/>
      <c r="I6597" s="30"/>
    </row>
    <row r="6598" spans="1:9" ht="15.75" thickBot="1" x14ac:dyDescent="0.3">
      <c r="A6598" s="43" t="s">
        <v>13899</v>
      </c>
      <c r="B6598" s="21" t="s">
        <v>13900</v>
      </c>
      <c r="C6598" s="21" t="s">
        <v>22655</v>
      </c>
      <c r="D6598" s="31" t="s">
        <v>22660</v>
      </c>
      <c r="E6598" s="23" t="s">
        <v>22656</v>
      </c>
      <c r="F6598" s="24" t="s">
        <v>22657</v>
      </c>
      <c r="G6598" s="25">
        <v>2</v>
      </c>
      <c r="H6598" s="26"/>
      <c r="I6598" s="27"/>
    </row>
    <row r="6599" spans="1:9" ht="15.75" thickBot="1" x14ac:dyDescent="0.3">
      <c r="A6599" s="43" t="s">
        <v>13901</v>
      </c>
      <c r="B6599" s="21" t="s">
        <v>13902</v>
      </c>
      <c r="C6599" s="21" t="s">
        <v>22655</v>
      </c>
      <c r="D6599" s="22">
        <v>46046</v>
      </c>
      <c r="E6599" s="23" t="s">
        <v>22658</v>
      </c>
      <c r="F6599" s="24" t="s">
        <v>22657</v>
      </c>
      <c r="G6599" s="25">
        <v>2</v>
      </c>
      <c r="H6599" s="29"/>
      <c r="I6599" s="30"/>
    </row>
    <row r="6600" spans="1:9" ht="15.75" thickBot="1" x14ac:dyDescent="0.3">
      <c r="A6600" s="43" t="s">
        <v>13903</v>
      </c>
      <c r="B6600" s="21" t="s">
        <v>13904</v>
      </c>
      <c r="C6600" s="21" t="s">
        <v>22655</v>
      </c>
      <c r="D6600" s="22">
        <v>46046</v>
      </c>
      <c r="E6600" s="23" t="s">
        <v>22658</v>
      </c>
      <c r="F6600" s="24" t="s">
        <v>22657</v>
      </c>
      <c r="G6600" s="25">
        <v>2</v>
      </c>
      <c r="H6600" s="26"/>
      <c r="I6600" s="27"/>
    </row>
    <row r="6601" spans="1:9" ht="15.75" thickBot="1" x14ac:dyDescent="0.3">
      <c r="A6601" s="43" t="s">
        <v>13905</v>
      </c>
      <c r="B6601" s="21" t="s">
        <v>13906</v>
      </c>
      <c r="C6601" s="21" t="s">
        <v>22655</v>
      </c>
      <c r="D6601" s="22">
        <v>46046</v>
      </c>
      <c r="E6601" s="23" t="s">
        <v>22658</v>
      </c>
      <c r="F6601" s="24" t="s">
        <v>22657</v>
      </c>
      <c r="G6601" s="25">
        <v>2</v>
      </c>
      <c r="H6601" s="29"/>
      <c r="I6601" s="30"/>
    </row>
    <row r="6602" spans="1:9" ht="15.75" thickBot="1" x14ac:dyDescent="0.3">
      <c r="A6602" s="43" t="s">
        <v>13907</v>
      </c>
      <c r="B6602" s="21" t="s">
        <v>13908</v>
      </c>
      <c r="C6602" s="21" t="s">
        <v>22672</v>
      </c>
      <c r="D6602" s="22">
        <v>46028</v>
      </c>
      <c r="E6602" s="23" t="s">
        <v>22658</v>
      </c>
      <c r="F6602" s="24" t="s">
        <v>22657</v>
      </c>
      <c r="G6602" s="25">
        <v>4</v>
      </c>
      <c r="H6602" s="26"/>
      <c r="I6602" s="27"/>
    </row>
    <row r="6603" spans="1:9" ht="15.75" thickBot="1" x14ac:dyDescent="0.3">
      <c r="A6603" s="43" t="s">
        <v>13909</v>
      </c>
      <c r="B6603" s="21" t="s">
        <v>13910</v>
      </c>
      <c r="C6603" s="21" t="s">
        <v>22672</v>
      </c>
      <c r="D6603" s="22">
        <v>46028</v>
      </c>
      <c r="E6603" s="23" t="s">
        <v>22658</v>
      </c>
      <c r="F6603" s="24" t="s">
        <v>22657</v>
      </c>
      <c r="G6603" s="25">
        <v>4</v>
      </c>
      <c r="H6603" s="29"/>
      <c r="I6603" s="30"/>
    </row>
    <row r="6604" spans="1:9" ht="15.75" thickBot="1" x14ac:dyDescent="0.3">
      <c r="A6604" s="43" t="s">
        <v>13911</v>
      </c>
      <c r="B6604" s="21" t="s">
        <v>13912</v>
      </c>
      <c r="C6604" s="21" t="s">
        <v>22655</v>
      </c>
      <c r="D6604" s="22">
        <v>46046</v>
      </c>
      <c r="E6604" s="23" t="s">
        <v>22658</v>
      </c>
      <c r="F6604" s="24" t="s">
        <v>22657</v>
      </c>
      <c r="G6604" s="25">
        <v>2</v>
      </c>
      <c r="H6604" s="26"/>
      <c r="I6604" s="27"/>
    </row>
    <row r="6605" spans="1:9" ht="15.75" thickBot="1" x14ac:dyDescent="0.3">
      <c r="A6605" s="43" t="s">
        <v>13913</v>
      </c>
      <c r="B6605" s="21" t="s">
        <v>13914</v>
      </c>
      <c r="C6605" s="21" t="s">
        <v>22655</v>
      </c>
      <c r="D6605" s="22">
        <v>46046</v>
      </c>
      <c r="E6605" s="23" t="s">
        <v>22656</v>
      </c>
      <c r="F6605" s="24" t="s">
        <v>22657</v>
      </c>
      <c r="G6605" s="25">
        <v>2</v>
      </c>
      <c r="H6605" s="29"/>
      <c r="I6605" s="30"/>
    </row>
    <row r="6606" spans="1:9" ht="15.75" thickBot="1" x14ac:dyDescent="0.3">
      <c r="A6606" s="43" t="s">
        <v>13915</v>
      </c>
      <c r="B6606" s="21" t="s">
        <v>13916</v>
      </c>
      <c r="C6606" s="21" t="s">
        <v>22655</v>
      </c>
      <c r="D6606" s="22">
        <v>46046</v>
      </c>
      <c r="E6606" s="23" t="s">
        <v>22658</v>
      </c>
      <c r="F6606" s="24" t="s">
        <v>22657</v>
      </c>
      <c r="G6606" s="25">
        <v>2</v>
      </c>
      <c r="H6606" s="26"/>
      <c r="I6606" s="27"/>
    </row>
    <row r="6607" spans="1:9" ht="15.75" thickBot="1" x14ac:dyDescent="0.3">
      <c r="A6607" s="43" t="s">
        <v>13917</v>
      </c>
      <c r="B6607" s="21" t="s">
        <v>13918</v>
      </c>
      <c r="C6607" s="21" t="s">
        <v>22655</v>
      </c>
      <c r="D6607" s="31" t="s">
        <v>22660</v>
      </c>
      <c r="E6607" s="23" t="s">
        <v>22658</v>
      </c>
      <c r="F6607" s="24" t="s">
        <v>22657</v>
      </c>
      <c r="G6607" s="25">
        <v>1</v>
      </c>
      <c r="H6607" s="29"/>
      <c r="I6607" s="30"/>
    </row>
    <row r="6608" spans="1:9" ht="15.75" thickBot="1" x14ac:dyDescent="0.3">
      <c r="A6608" s="43" t="s">
        <v>13919</v>
      </c>
      <c r="B6608" s="21" t="s">
        <v>13920</v>
      </c>
      <c r="C6608" s="21" t="s">
        <v>22655</v>
      </c>
      <c r="D6608" s="22">
        <v>46046</v>
      </c>
      <c r="E6608" s="23" t="s">
        <v>22656</v>
      </c>
      <c r="F6608" s="24" t="s">
        <v>22657</v>
      </c>
      <c r="G6608" s="25">
        <v>4</v>
      </c>
      <c r="H6608" s="26"/>
      <c r="I6608" s="27"/>
    </row>
    <row r="6609" spans="1:9" ht="15.75" thickBot="1" x14ac:dyDescent="0.3">
      <c r="A6609" s="43" t="s">
        <v>13921</v>
      </c>
      <c r="B6609" s="21" t="s">
        <v>13922</v>
      </c>
      <c r="C6609" s="21" t="s">
        <v>22655</v>
      </c>
      <c r="D6609" s="22">
        <v>46046</v>
      </c>
      <c r="E6609" s="23" t="s">
        <v>22658</v>
      </c>
      <c r="F6609" s="24" t="s">
        <v>22657</v>
      </c>
      <c r="G6609" s="25">
        <v>4</v>
      </c>
      <c r="H6609" s="29"/>
      <c r="I6609" s="30"/>
    </row>
    <row r="6610" spans="1:9" ht="15.75" thickBot="1" x14ac:dyDescent="0.3">
      <c r="A6610" s="43" t="s">
        <v>13923</v>
      </c>
      <c r="B6610" s="21" t="s">
        <v>13924</v>
      </c>
      <c r="C6610" s="21" t="s">
        <v>22655</v>
      </c>
      <c r="D6610" s="22">
        <v>46034</v>
      </c>
      <c r="E6610" s="23" t="s">
        <v>22656</v>
      </c>
      <c r="F6610" s="24" t="s">
        <v>22657</v>
      </c>
      <c r="G6610" s="25">
        <v>2</v>
      </c>
      <c r="H6610" s="26"/>
      <c r="I6610" s="27"/>
    </row>
    <row r="6611" spans="1:9" ht="15.75" thickBot="1" x14ac:dyDescent="0.3">
      <c r="A6611" s="43" t="s">
        <v>13925</v>
      </c>
      <c r="B6611" s="21" t="s">
        <v>13926</v>
      </c>
      <c r="C6611" s="21" t="s">
        <v>22655</v>
      </c>
      <c r="D6611" s="22">
        <v>46046</v>
      </c>
      <c r="E6611" s="23" t="s">
        <v>22656</v>
      </c>
      <c r="F6611" s="24" t="s">
        <v>22657</v>
      </c>
      <c r="G6611" s="25">
        <v>2</v>
      </c>
      <c r="H6611" s="29"/>
      <c r="I6611" s="30"/>
    </row>
    <row r="6612" spans="1:9" ht="15.75" thickBot="1" x14ac:dyDescent="0.3">
      <c r="A6612" s="43" t="s">
        <v>179</v>
      </c>
      <c r="B6612" s="21" t="s">
        <v>180</v>
      </c>
      <c r="C6612" s="21" t="s">
        <v>22655</v>
      </c>
      <c r="D6612" s="22">
        <v>46028</v>
      </c>
      <c r="E6612" s="23" t="s">
        <v>22661</v>
      </c>
      <c r="F6612" s="24" t="s">
        <v>22657</v>
      </c>
      <c r="G6612" s="25">
        <v>6</v>
      </c>
      <c r="H6612" s="34">
        <v>6</v>
      </c>
      <c r="I6612" s="35">
        <v>12</v>
      </c>
    </row>
    <row r="6613" spans="1:9" ht="15.75" thickBot="1" x14ac:dyDescent="0.3">
      <c r="A6613" s="43" t="s">
        <v>13927</v>
      </c>
      <c r="B6613" s="21" t="s">
        <v>13928</v>
      </c>
      <c r="C6613" s="21" t="s">
        <v>22655</v>
      </c>
      <c r="D6613" s="22">
        <v>46028</v>
      </c>
      <c r="E6613" s="23" t="s">
        <v>22656</v>
      </c>
      <c r="F6613" s="24" t="s">
        <v>22657</v>
      </c>
      <c r="G6613" s="25">
        <v>2</v>
      </c>
      <c r="H6613" s="29"/>
      <c r="I6613" s="30"/>
    </row>
    <row r="6614" spans="1:9" ht="15.75" thickBot="1" x14ac:dyDescent="0.3">
      <c r="A6614" s="43" t="s">
        <v>13929</v>
      </c>
      <c r="B6614" s="21" t="s">
        <v>13930</v>
      </c>
      <c r="C6614" s="21" t="s">
        <v>22655</v>
      </c>
      <c r="D6614" s="22">
        <v>46028</v>
      </c>
      <c r="E6614" s="23" t="s">
        <v>22656</v>
      </c>
      <c r="F6614" s="24" t="s">
        <v>22657</v>
      </c>
      <c r="G6614" s="25">
        <v>2</v>
      </c>
      <c r="H6614" s="26"/>
      <c r="I6614" s="27"/>
    </row>
    <row r="6615" spans="1:9" ht="15.75" thickBot="1" x14ac:dyDescent="0.3">
      <c r="A6615" s="43" t="s">
        <v>22586</v>
      </c>
      <c r="B6615" s="21" t="s">
        <v>22587</v>
      </c>
      <c r="C6615" s="36" t="e">
        <v>#N/A</v>
      </c>
      <c r="D6615" s="37" t="e">
        <v>#N/A</v>
      </c>
      <c r="E6615" s="23" t="e">
        <v>#N/A</v>
      </c>
      <c r="F6615" s="28" t="s">
        <v>22659</v>
      </c>
      <c r="G6615" s="25" t="e">
        <v>#N/A</v>
      </c>
      <c r="H6615" s="29"/>
      <c r="I6615" s="30"/>
    </row>
    <row r="6616" spans="1:9" ht="15.75" thickBot="1" x14ac:dyDescent="0.3">
      <c r="A6616" s="43" t="s">
        <v>22588</v>
      </c>
      <c r="B6616" s="21" t="s">
        <v>22589</v>
      </c>
      <c r="C6616" s="36" t="e">
        <v>#N/A</v>
      </c>
      <c r="D6616" s="37" t="e">
        <v>#N/A</v>
      </c>
      <c r="E6616" s="23" t="e">
        <v>#N/A</v>
      </c>
      <c r="F6616" s="28" t="s">
        <v>22659</v>
      </c>
      <c r="G6616" s="25" t="e">
        <v>#N/A</v>
      </c>
      <c r="H6616" s="26"/>
      <c r="I6616" s="27"/>
    </row>
    <row r="6617" spans="1:9" ht="15.75" thickBot="1" x14ac:dyDescent="0.3">
      <c r="A6617" s="43" t="s">
        <v>22590</v>
      </c>
      <c r="B6617" s="21" t="s">
        <v>22591</v>
      </c>
      <c r="C6617" s="36" t="e">
        <v>#N/A</v>
      </c>
      <c r="D6617" s="37" t="e">
        <v>#N/A</v>
      </c>
      <c r="E6617" s="23" t="e">
        <v>#N/A</v>
      </c>
      <c r="F6617" s="28" t="s">
        <v>22659</v>
      </c>
      <c r="G6617" s="25" t="e">
        <v>#N/A</v>
      </c>
      <c r="H6617" s="29"/>
      <c r="I6617" s="30"/>
    </row>
    <row r="6618" spans="1:9" ht="15.75" thickBot="1" x14ac:dyDescent="0.3">
      <c r="A6618" s="43" t="s">
        <v>22592</v>
      </c>
      <c r="B6618" s="21" t="s">
        <v>22593</v>
      </c>
      <c r="C6618" s="36" t="e">
        <v>#N/A</v>
      </c>
      <c r="D6618" s="37" t="e">
        <v>#N/A</v>
      </c>
      <c r="E6618" s="23" t="e">
        <v>#N/A</v>
      </c>
      <c r="F6618" s="28" t="s">
        <v>22659</v>
      </c>
      <c r="G6618" s="25" t="e">
        <v>#N/A</v>
      </c>
      <c r="H6618" s="26"/>
      <c r="I6618" s="27"/>
    </row>
    <row r="6619" spans="1:9" ht="15.75" thickBot="1" x14ac:dyDescent="0.3">
      <c r="A6619" s="43" t="s">
        <v>22594</v>
      </c>
      <c r="B6619" s="21" t="s">
        <v>22595</v>
      </c>
      <c r="C6619" s="36" t="e">
        <v>#N/A</v>
      </c>
      <c r="D6619" s="37" t="e">
        <v>#N/A</v>
      </c>
      <c r="E6619" s="23" t="e">
        <v>#N/A</v>
      </c>
      <c r="F6619" s="28" t="s">
        <v>22659</v>
      </c>
      <c r="G6619" s="25" t="e">
        <v>#N/A</v>
      </c>
      <c r="H6619" s="29"/>
      <c r="I6619" s="30"/>
    </row>
    <row r="6620" spans="1:9" ht="15.75" thickBot="1" x14ac:dyDescent="0.3">
      <c r="A6620" s="43" t="s">
        <v>13931</v>
      </c>
      <c r="B6620" s="21" t="s">
        <v>13932</v>
      </c>
      <c r="C6620" s="21" t="s">
        <v>22655</v>
      </c>
      <c r="D6620" s="22">
        <v>46046</v>
      </c>
      <c r="E6620" s="23" t="s">
        <v>22658</v>
      </c>
      <c r="F6620" s="28" t="s">
        <v>22659</v>
      </c>
      <c r="G6620" s="25">
        <v>8</v>
      </c>
      <c r="H6620" s="26"/>
      <c r="I6620" s="27"/>
    </row>
    <row r="6621" spans="1:9" ht="15.75" thickBot="1" x14ac:dyDescent="0.3">
      <c r="A6621" s="43" t="s">
        <v>22596</v>
      </c>
      <c r="B6621" s="21" t="s">
        <v>22597</v>
      </c>
      <c r="C6621" s="36" t="e">
        <v>#N/A</v>
      </c>
      <c r="D6621" s="37" t="e">
        <v>#N/A</v>
      </c>
      <c r="E6621" s="23" t="e">
        <v>#N/A</v>
      </c>
      <c r="F6621" s="28" t="s">
        <v>22659</v>
      </c>
      <c r="G6621" s="25" t="e">
        <v>#N/A</v>
      </c>
      <c r="H6621" s="29"/>
      <c r="I6621" s="30"/>
    </row>
    <row r="6622" spans="1:9" ht="15.75" thickBot="1" x14ac:dyDescent="0.3">
      <c r="A6622" s="43" t="s">
        <v>13933</v>
      </c>
      <c r="B6622" s="21" t="s">
        <v>13934</v>
      </c>
      <c r="C6622" s="21" t="s">
        <v>22663</v>
      </c>
      <c r="D6622" s="31">
        <v>1</v>
      </c>
      <c r="E6622" s="23" t="s">
        <v>22658</v>
      </c>
      <c r="F6622" s="24" t="s">
        <v>22657</v>
      </c>
      <c r="G6622" s="25">
        <v>2</v>
      </c>
      <c r="H6622" s="26"/>
      <c r="I6622" s="27"/>
    </row>
    <row r="6623" spans="1:9" ht="15.75" thickBot="1" x14ac:dyDescent="0.3">
      <c r="A6623" s="43" t="s">
        <v>13935</v>
      </c>
      <c r="B6623" s="21" t="s">
        <v>13936</v>
      </c>
      <c r="C6623" s="21" t="s">
        <v>22663</v>
      </c>
      <c r="D6623" s="31">
        <v>1</v>
      </c>
      <c r="E6623" s="23" t="s">
        <v>22656</v>
      </c>
      <c r="F6623" s="24" t="s">
        <v>22657</v>
      </c>
      <c r="G6623" s="25">
        <v>2</v>
      </c>
      <c r="H6623" s="29"/>
      <c r="I6623" s="30"/>
    </row>
    <row r="6624" spans="1:9" ht="15.75" thickBot="1" x14ac:dyDescent="0.3">
      <c r="A6624" s="43" t="s">
        <v>13937</v>
      </c>
      <c r="B6624" s="21" t="s">
        <v>13938</v>
      </c>
      <c r="C6624" s="21" t="s">
        <v>22663</v>
      </c>
      <c r="D6624" s="31">
        <v>1</v>
      </c>
      <c r="E6624" s="23" t="s">
        <v>22656</v>
      </c>
      <c r="F6624" s="24" t="s">
        <v>22657</v>
      </c>
      <c r="G6624" s="25">
        <v>2</v>
      </c>
      <c r="H6624" s="26"/>
      <c r="I6624" s="27"/>
    </row>
    <row r="6625" spans="1:9" ht="15.75" thickBot="1" x14ac:dyDescent="0.3">
      <c r="A6625" s="43" t="s">
        <v>13939</v>
      </c>
      <c r="B6625" s="21" t="s">
        <v>13940</v>
      </c>
      <c r="C6625" s="21" t="s">
        <v>22663</v>
      </c>
      <c r="D6625" s="31">
        <v>1</v>
      </c>
      <c r="E6625" s="23" t="s">
        <v>22658</v>
      </c>
      <c r="F6625" s="24" t="s">
        <v>22657</v>
      </c>
      <c r="G6625" s="25">
        <v>2</v>
      </c>
      <c r="H6625" s="29"/>
      <c r="I6625" s="30"/>
    </row>
    <row r="6626" spans="1:9" ht="15.75" thickBot="1" x14ac:dyDescent="0.3">
      <c r="A6626" s="43" t="s">
        <v>13941</v>
      </c>
      <c r="B6626" s="21" t="s">
        <v>13942</v>
      </c>
      <c r="C6626" s="21" t="s">
        <v>22663</v>
      </c>
      <c r="D6626" s="31">
        <v>1</v>
      </c>
      <c r="E6626" s="23" t="s">
        <v>22656</v>
      </c>
      <c r="F6626" s="24" t="s">
        <v>22657</v>
      </c>
      <c r="G6626" s="25">
        <v>2</v>
      </c>
      <c r="H6626" s="26"/>
      <c r="I6626" s="27"/>
    </row>
    <row r="6627" spans="1:9" ht="15.75" thickBot="1" x14ac:dyDescent="0.3">
      <c r="A6627" s="43" t="s">
        <v>13943</v>
      </c>
      <c r="B6627" s="21" t="s">
        <v>13944</v>
      </c>
      <c r="C6627" s="21" t="s">
        <v>22663</v>
      </c>
      <c r="D6627" s="31">
        <v>1</v>
      </c>
      <c r="E6627" s="23" t="s">
        <v>22656</v>
      </c>
      <c r="F6627" s="24" t="s">
        <v>22657</v>
      </c>
      <c r="G6627" s="25">
        <v>2</v>
      </c>
      <c r="H6627" s="29"/>
      <c r="I6627" s="30"/>
    </row>
    <row r="6628" spans="1:9" ht="15.75" thickBot="1" x14ac:dyDescent="0.3">
      <c r="A6628" s="43" t="s">
        <v>13945</v>
      </c>
      <c r="B6628" s="21" t="s">
        <v>13946</v>
      </c>
      <c r="C6628" s="21" t="s">
        <v>22663</v>
      </c>
      <c r="D6628" s="31">
        <v>1</v>
      </c>
      <c r="E6628" s="23" t="s">
        <v>22656</v>
      </c>
      <c r="F6628" s="24" t="s">
        <v>22657</v>
      </c>
      <c r="G6628" s="25">
        <v>2</v>
      </c>
      <c r="H6628" s="26"/>
      <c r="I6628" s="27"/>
    </row>
    <row r="6629" spans="1:9" ht="15.75" thickBot="1" x14ac:dyDescent="0.3">
      <c r="A6629" s="43" t="s">
        <v>13947</v>
      </c>
      <c r="B6629" s="21" t="s">
        <v>13948</v>
      </c>
      <c r="C6629" s="21" t="s">
        <v>22663</v>
      </c>
      <c r="D6629" s="31">
        <v>1</v>
      </c>
      <c r="E6629" s="23" t="s">
        <v>22656</v>
      </c>
      <c r="F6629" s="24" t="s">
        <v>22657</v>
      </c>
      <c r="G6629" s="25">
        <v>2</v>
      </c>
      <c r="H6629" s="29"/>
      <c r="I6629" s="30"/>
    </row>
    <row r="6630" spans="1:9" ht="15.75" thickBot="1" x14ac:dyDescent="0.3">
      <c r="A6630" s="43" t="s">
        <v>13949</v>
      </c>
      <c r="B6630" s="21" t="s">
        <v>13950</v>
      </c>
      <c r="C6630" s="21" t="s">
        <v>22663</v>
      </c>
      <c r="D6630" s="31">
        <v>1</v>
      </c>
      <c r="E6630" s="23" t="s">
        <v>22656</v>
      </c>
      <c r="F6630" s="24" t="s">
        <v>22657</v>
      </c>
      <c r="G6630" s="25">
        <v>2</v>
      </c>
      <c r="H6630" s="26"/>
      <c r="I6630" s="27"/>
    </row>
    <row r="6631" spans="1:9" ht="15.75" thickBot="1" x14ac:dyDescent="0.3">
      <c r="A6631" s="43" t="s">
        <v>13951</v>
      </c>
      <c r="B6631" s="21" t="s">
        <v>13952</v>
      </c>
      <c r="C6631" s="21" t="s">
        <v>22663</v>
      </c>
      <c r="D6631" s="31">
        <v>1</v>
      </c>
      <c r="E6631" s="23" t="s">
        <v>22656</v>
      </c>
      <c r="F6631" s="24" t="s">
        <v>22657</v>
      </c>
      <c r="G6631" s="25">
        <v>2</v>
      </c>
      <c r="H6631" s="29"/>
      <c r="I6631" s="30"/>
    </row>
    <row r="6632" spans="1:9" ht="15.75" thickBot="1" x14ac:dyDescent="0.3">
      <c r="A6632" s="43" t="s">
        <v>13953</v>
      </c>
      <c r="B6632" s="21" t="s">
        <v>13954</v>
      </c>
      <c r="C6632" s="21" t="s">
        <v>22663</v>
      </c>
      <c r="D6632" s="31">
        <v>1</v>
      </c>
      <c r="E6632" s="23" t="s">
        <v>22656</v>
      </c>
      <c r="F6632" s="24" t="s">
        <v>22657</v>
      </c>
      <c r="G6632" s="25">
        <v>2</v>
      </c>
      <c r="H6632" s="26"/>
      <c r="I6632" s="27"/>
    </row>
    <row r="6633" spans="1:9" ht="15.75" thickBot="1" x14ac:dyDescent="0.3">
      <c r="A6633" s="43" t="s">
        <v>13955</v>
      </c>
      <c r="B6633" s="21" t="s">
        <v>13956</v>
      </c>
      <c r="C6633" s="21" t="s">
        <v>22663</v>
      </c>
      <c r="D6633" s="31">
        <v>1</v>
      </c>
      <c r="E6633" s="23" t="s">
        <v>22658</v>
      </c>
      <c r="F6633" s="24" t="s">
        <v>22657</v>
      </c>
      <c r="G6633" s="25">
        <v>2</v>
      </c>
      <c r="H6633" s="29"/>
      <c r="I6633" s="30"/>
    </row>
    <row r="6634" spans="1:9" ht="15.75" thickBot="1" x14ac:dyDescent="0.3">
      <c r="A6634" s="43" t="s">
        <v>13957</v>
      </c>
      <c r="B6634" s="21" t="s">
        <v>13958</v>
      </c>
      <c r="C6634" s="21" t="s">
        <v>22663</v>
      </c>
      <c r="D6634" s="31">
        <v>1</v>
      </c>
      <c r="E6634" s="23" t="s">
        <v>22656</v>
      </c>
      <c r="F6634" s="24" t="s">
        <v>22657</v>
      </c>
      <c r="G6634" s="25">
        <v>2</v>
      </c>
      <c r="H6634" s="26"/>
      <c r="I6634" s="27"/>
    </row>
    <row r="6635" spans="1:9" ht="15.75" thickBot="1" x14ac:dyDescent="0.3">
      <c r="A6635" s="43" t="s">
        <v>13959</v>
      </c>
      <c r="B6635" s="21" t="s">
        <v>13960</v>
      </c>
      <c r="C6635" s="21" t="s">
        <v>22655</v>
      </c>
      <c r="D6635" s="22">
        <v>46042</v>
      </c>
      <c r="E6635" s="23" t="s">
        <v>22656</v>
      </c>
      <c r="F6635" s="24" t="s">
        <v>22657</v>
      </c>
      <c r="G6635" s="25">
        <v>2</v>
      </c>
      <c r="H6635" s="29"/>
      <c r="I6635" s="30"/>
    </row>
    <row r="6636" spans="1:9" ht="15.75" thickBot="1" x14ac:dyDescent="0.3">
      <c r="A6636" s="43" t="s">
        <v>13961</v>
      </c>
      <c r="B6636" s="21" t="s">
        <v>13962</v>
      </c>
      <c r="C6636" s="21" t="s">
        <v>22655</v>
      </c>
      <c r="D6636" s="22">
        <v>46042</v>
      </c>
      <c r="E6636" s="23" t="s">
        <v>22656</v>
      </c>
      <c r="F6636" s="24" t="s">
        <v>22657</v>
      </c>
      <c r="G6636" s="25">
        <v>2</v>
      </c>
      <c r="H6636" s="26"/>
      <c r="I6636" s="27"/>
    </row>
    <row r="6637" spans="1:9" ht="15.75" thickBot="1" x14ac:dyDescent="0.3">
      <c r="A6637" s="43" t="s">
        <v>13963</v>
      </c>
      <c r="B6637" s="21" t="s">
        <v>13964</v>
      </c>
      <c r="C6637" s="21" t="s">
        <v>22655</v>
      </c>
      <c r="D6637" s="22">
        <v>46042</v>
      </c>
      <c r="E6637" s="23" t="s">
        <v>22656</v>
      </c>
      <c r="F6637" s="24" t="s">
        <v>22657</v>
      </c>
      <c r="G6637" s="25">
        <v>2</v>
      </c>
      <c r="H6637" s="29"/>
      <c r="I6637" s="30"/>
    </row>
    <row r="6638" spans="1:9" ht="15.75" thickBot="1" x14ac:dyDescent="0.3">
      <c r="A6638" s="43" t="s">
        <v>13965</v>
      </c>
      <c r="B6638" s="21" t="s">
        <v>13966</v>
      </c>
      <c r="C6638" s="21" t="s">
        <v>22655</v>
      </c>
      <c r="D6638" s="22">
        <v>46034</v>
      </c>
      <c r="E6638" s="23" t="s">
        <v>22656</v>
      </c>
      <c r="F6638" s="24" t="s">
        <v>22657</v>
      </c>
      <c r="G6638" s="25">
        <v>2</v>
      </c>
      <c r="H6638" s="26"/>
      <c r="I6638" s="27"/>
    </row>
    <row r="6639" spans="1:9" ht="15.75" thickBot="1" x14ac:dyDescent="0.3">
      <c r="A6639" s="43" t="s">
        <v>13967</v>
      </c>
      <c r="B6639" s="21" t="s">
        <v>13968</v>
      </c>
      <c r="C6639" s="21" t="s">
        <v>22663</v>
      </c>
      <c r="D6639" s="31">
        <v>1</v>
      </c>
      <c r="E6639" s="23" t="s">
        <v>22656</v>
      </c>
      <c r="F6639" s="24" t="s">
        <v>22657</v>
      </c>
      <c r="G6639" s="25">
        <v>2</v>
      </c>
      <c r="H6639" s="29"/>
      <c r="I6639" s="30"/>
    </row>
    <row r="6640" spans="1:9" ht="15.75" thickBot="1" x14ac:dyDescent="0.3">
      <c r="A6640" s="43" t="s">
        <v>13969</v>
      </c>
      <c r="B6640" s="21" t="s">
        <v>13970</v>
      </c>
      <c r="C6640" s="21" t="s">
        <v>22655</v>
      </c>
      <c r="D6640" s="22">
        <v>46042</v>
      </c>
      <c r="E6640" s="23" t="s">
        <v>22656</v>
      </c>
      <c r="F6640" s="24" t="s">
        <v>22657</v>
      </c>
      <c r="G6640" s="25">
        <v>2</v>
      </c>
      <c r="H6640" s="26"/>
      <c r="I6640" s="27"/>
    </row>
    <row r="6641" spans="1:9" ht="15.75" thickBot="1" x14ac:dyDescent="0.3">
      <c r="A6641" s="43" t="s">
        <v>13971</v>
      </c>
      <c r="B6641" s="21" t="s">
        <v>13972</v>
      </c>
      <c r="C6641" s="21" t="s">
        <v>22655</v>
      </c>
      <c r="D6641" s="22">
        <v>46034</v>
      </c>
      <c r="E6641" s="23" t="s">
        <v>22656</v>
      </c>
      <c r="F6641" s="24" t="s">
        <v>22657</v>
      </c>
      <c r="G6641" s="25">
        <v>4</v>
      </c>
      <c r="H6641" s="29"/>
      <c r="I6641" s="30"/>
    </row>
    <row r="6642" spans="1:9" ht="15.75" thickBot="1" x14ac:dyDescent="0.3">
      <c r="A6642" s="43" t="s">
        <v>1315</v>
      </c>
      <c r="B6642" s="21" t="s">
        <v>1316</v>
      </c>
      <c r="C6642" s="21" t="s">
        <v>22655</v>
      </c>
      <c r="D6642" s="31" t="s">
        <v>22660</v>
      </c>
      <c r="E6642" s="23" t="s">
        <v>22661</v>
      </c>
      <c r="F6642" s="24" t="s">
        <v>22657</v>
      </c>
      <c r="G6642" s="25">
        <v>12</v>
      </c>
      <c r="H6642" s="34">
        <v>12</v>
      </c>
      <c r="I6642" s="35">
        <v>24</v>
      </c>
    </row>
    <row r="6643" spans="1:9" ht="15.75" thickBot="1" x14ac:dyDescent="0.3">
      <c r="A6643" s="43" t="s">
        <v>263</v>
      </c>
      <c r="B6643" s="21" t="s">
        <v>264</v>
      </c>
      <c r="C6643" s="21" t="s">
        <v>22655</v>
      </c>
      <c r="D6643" s="22">
        <v>46046</v>
      </c>
      <c r="E6643" s="23" t="s">
        <v>22661</v>
      </c>
      <c r="F6643" s="24" t="s">
        <v>22657</v>
      </c>
      <c r="G6643" s="25">
        <v>8</v>
      </c>
      <c r="H6643" s="29"/>
      <c r="I6643" s="30"/>
    </row>
    <row r="6644" spans="1:9" ht="15.75" thickBot="1" x14ac:dyDescent="0.3">
      <c r="A6644" s="43" t="s">
        <v>1065</v>
      </c>
      <c r="B6644" s="21" t="s">
        <v>1066</v>
      </c>
      <c r="C6644" s="21" t="s">
        <v>22655</v>
      </c>
      <c r="D6644" s="22">
        <v>46046</v>
      </c>
      <c r="E6644" s="23" t="s">
        <v>22662</v>
      </c>
      <c r="F6644" s="24" t="s">
        <v>22657</v>
      </c>
      <c r="G6644" s="25">
        <v>24</v>
      </c>
      <c r="H6644" s="34">
        <v>24</v>
      </c>
      <c r="I6644" s="35">
        <v>48</v>
      </c>
    </row>
    <row r="6645" spans="1:9" ht="15.75" thickBot="1" x14ac:dyDescent="0.3">
      <c r="A6645" s="43" t="s">
        <v>13973</v>
      </c>
      <c r="B6645" s="21" t="s">
        <v>13974</v>
      </c>
      <c r="C6645" s="21" t="s">
        <v>22655</v>
      </c>
      <c r="D6645" s="22">
        <v>46032</v>
      </c>
      <c r="E6645" s="23" t="s">
        <v>22661</v>
      </c>
      <c r="F6645" s="24" t="s">
        <v>22657</v>
      </c>
      <c r="G6645" s="25">
        <v>10</v>
      </c>
      <c r="H6645" s="32">
        <v>10</v>
      </c>
      <c r="I6645" s="33">
        <v>20</v>
      </c>
    </row>
    <row r="6646" spans="1:9" ht="15.75" thickBot="1" x14ac:dyDescent="0.3">
      <c r="A6646" s="43" t="s">
        <v>1303</v>
      </c>
      <c r="B6646" s="21" t="s">
        <v>1304</v>
      </c>
      <c r="C6646" s="21" t="s">
        <v>22655</v>
      </c>
      <c r="D6646" s="22">
        <v>46032</v>
      </c>
      <c r="E6646" s="23" t="s">
        <v>22665</v>
      </c>
      <c r="F6646" s="24" t="s">
        <v>22657</v>
      </c>
      <c r="G6646" s="25">
        <v>12</v>
      </c>
      <c r="H6646" s="34">
        <v>12</v>
      </c>
      <c r="I6646" s="35">
        <v>24</v>
      </c>
    </row>
    <row r="6647" spans="1:9" ht="15.75" thickBot="1" x14ac:dyDescent="0.3">
      <c r="A6647" s="43" t="s">
        <v>13975</v>
      </c>
      <c r="B6647" s="21" t="s">
        <v>13976</v>
      </c>
      <c r="C6647" s="21" t="s">
        <v>22655</v>
      </c>
      <c r="D6647" s="22">
        <v>46042</v>
      </c>
      <c r="E6647" s="23" t="s">
        <v>22665</v>
      </c>
      <c r="F6647" s="24" t="s">
        <v>22657</v>
      </c>
      <c r="G6647" s="25">
        <v>12</v>
      </c>
      <c r="H6647" s="32">
        <v>12</v>
      </c>
      <c r="I6647" s="33">
        <v>24</v>
      </c>
    </row>
    <row r="6648" spans="1:9" ht="15.75" thickBot="1" x14ac:dyDescent="0.3">
      <c r="A6648" s="43" t="s">
        <v>13977</v>
      </c>
      <c r="B6648" s="21" t="s">
        <v>13978</v>
      </c>
      <c r="C6648" s="21" t="s">
        <v>22655</v>
      </c>
      <c r="D6648" s="22">
        <v>46027</v>
      </c>
      <c r="E6648" s="23" t="s">
        <v>22661</v>
      </c>
      <c r="F6648" s="24" t="s">
        <v>22657</v>
      </c>
      <c r="G6648" s="25">
        <v>5</v>
      </c>
      <c r="H6648" s="34">
        <v>5</v>
      </c>
      <c r="I6648" s="35">
        <v>15</v>
      </c>
    </row>
    <row r="6649" spans="1:9" ht="15.75" thickBot="1" x14ac:dyDescent="0.3">
      <c r="A6649" s="43" t="s">
        <v>13979</v>
      </c>
      <c r="B6649" s="21" t="s">
        <v>13980</v>
      </c>
      <c r="C6649" s="21" t="s">
        <v>22655</v>
      </c>
      <c r="D6649" s="22">
        <v>46032</v>
      </c>
      <c r="E6649" s="23" t="s">
        <v>22661</v>
      </c>
      <c r="F6649" s="24" t="s">
        <v>22657</v>
      </c>
      <c r="G6649" s="25">
        <v>24</v>
      </c>
      <c r="H6649" s="32">
        <v>24</v>
      </c>
      <c r="I6649" s="33">
        <v>48</v>
      </c>
    </row>
    <row r="6650" spans="1:9" ht="15.75" thickBot="1" x14ac:dyDescent="0.3">
      <c r="A6650" s="43" t="s">
        <v>13981</v>
      </c>
      <c r="B6650" s="21" t="s">
        <v>13982</v>
      </c>
      <c r="C6650" s="21" t="s">
        <v>22655</v>
      </c>
      <c r="D6650" s="22">
        <v>46034</v>
      </c>
      <c r="E6650" s="23" t="s">
        <v>22656</v>
      </c>
      <c r="F6650" s="24" t="s">
        <v>22657</v>
      </c>
      <c r="G6650" s="25">
        <v>2</v>
      </c>
      <c r="H6650" s="26"/>
      <c r="I6650" s="27"/>
    </row>
    <row r="6651" spans="1:9" ht="15.75" thickBot="1" x14ac:dyDescent="0.3">
      <c r="A6651" s="43" t="s">
        <v>13983</v>
      </c>
      <c r="B6651" s="21" t="s">
        <v>13984</v>
      </c>
      <c r="C6651" s="21" t="s">
        <v>22663</v>
      </c>
      <c r="D6651" s="31">
        <v>1</v>
      </c>
      <c r="E6651" s="23" t="s">
        <v>22658</v>
      </c>
      <c r="F6651" s="24" t="s">
        <v>22657</v>
      </c>
      <c r="G6651" s="25">
        <v>1</v>
      </c>
      <c r="H6651" s="29"/>
      <c r="I6651" s="30"/>
    </row>
    <row r="6652" spans="1:9" ht="15.75" thickBot="1" x14ac:dyDescent="0.3">
      <c r="A6652" s="43" t="s">
        <v>13985</v>
      </c>
      <c r="B6652" s="21" t="s">
        <v>13986</v>
      </c>
      <c r="C6652" s="21" t="s">
        <v>22655</v>
      </c>
      <c r="D6652" s="22">
        <v>46034</v>
      </c>
      <c r="E6652" s="23" t="s">
        <v>22656</v>
      </c>
      <c r="F6652" s="24" t="s">
        <v>22657</v>
      </c>
      <c r="G6652" s="25">
        <v>2</v>
      </c>
      <c r="H6652" s="26"/>
      <c r="I6652" s="27"/>
    </row>
    <row r="6653" spans="1:9" ht="15.75" thickBot="1" x14ac:dyDescent="0.3">
      <c r="A6653" s="43" t="s">
        <v>13987</v>
      </c>
      <c r="B6653" s="21" t="s">
        <v>13988</v>
      </c>
      <c r="C6653" s="21" t="s">
        <v>22655</v>
      </c>
      <c r="D6653" s="22">
        <v>46034</v>
      </c>
      <c r="E6653" s="23" t="s">
        <v>22656</v>
      </c>
      <c r="F6653" s="24" t="s">
        <v>22657</v>
      </c>
      <c r="G6653" s="25">
        <v>2</v>
      </c>
      <c r="H6653" s="29"/>
      <c r="I6653" s="30"/>
    </row>
    <row r="6654" spans="1:9" ht="15.75" thickBot="1" x14ac:dyDescent="0.3">
      <c r="A6654" s="43" t="s">
        <v>910</v>
      </c>
      <c r="B6654" s="21" t="s">
        <v>911</v>
      </c>
      <c r="C6654" s="21" t="s">
        <v>22655</v>
      </c>
      <c r="D6654" s="22">
        <v>46028</v>
      </c>
      <c r="E6654" s="23" t="s">
        <v>22656</v>
      </c>
      <c r="F6654" s="24" t="s">
        <v>22657</v>
      </c>
      <c r="G6654" s="25">
        <v>2</v>
      </c>
      <c r="H6654" s="26"/>
      <c r="I6654" s="27"/>
    </row>
    <row r="6655" spans="1:9" ht="15.75" thickBot="1" x14ac:dyDescent="0.3">
      <c r="A6655" s="43" t="s">
        <v>13989</v>
      </c>
      <c r="B6655" s="21" t="s">
        <v>13990</v>
      </c>
      <c r="C6655" s="21" t="s">
        <v>22655</v>
      </c>
      <c r="D6655" s="22">
        <v>46034</v>
      </c>
      <c r="E6655" s="23" t="s">
        <v>22656</v>
      </c>
      <c r="F6655" s="24" t="s">
        <v>22657</v>
      </c>
      <c r="G6655" s="25">
        <v>2</v>
      </c>
      <c r="H6655" s="29"/>
      <c r="I6655" s="30"/>
    </row>
    <row r="6656" spans="1:9" ht="15.75" thickBot="1" x14ac:dyDescent="0.3">
      <c r="A6656" s="43" t="s">
        <v>13991</v>
      </c>
      <c r="B6656" s="21" t="s">
        <v>13992</v>
      </c>
      <c r="C6656" s="21" t="s">
        <v>22655</v>
      </c>
      <c r="D6656" s="22">
        <v>46034</v>
      </c>
      <c r="E6656" s="23" t="s">
        <v>22656</v>
      </c>
      <c r="F6656" s="24" t="s">
        <v>22657</v>
      </c>
      <c r="G6656" s="25">
        <v>2</v>
      </c>
      <c r="H6656" s="26"/>
      <c r="I6656" s="27"/>
    </row>
    <row r="6657" spans="1:9" ht="15.75" thickBot="1" x14ac:dyDescent="0.3">
      <c r="A6657" s="43" t="s">
        <v>13993</v>
      </c>
      <c r="B6657" s="21" t="s">
        <v>13994</v>
      </c>
      <c r="C6657" s="21" t="s">
        <v>22655</v>
      </c>
      <c r="D6657" s="22">
        <v>46032</v>
      </c>
      <c r="E6657" s="23" t="s">
        <v>22658</v>
      </c>
      <c r="F6657" s="24" t="s">
        <v>22657</v>
      </c>
      <c r="G6657" s="25">
        <v>1</v>
      </c>
      <c r="H6657" s="29"/>
      <c r="I6657" s="30"/>
    </row>
    <row r="6658" spans="1:9" ht="15.75" thickBot="1" x14ac:dyDescent="0.3">
      <c r="A6658" s="43" t="s">
        <v>13995</v>
      </c>
      <c r="B6658" s="21" t="s">
        <v>13996</v>
      </c>
      <c r="C6658" s="21" t="s">
        <v>22682</v>
      </c>
      <c r="D6658" s="22">
        <v>46034</v>
      </c>
      <c r="E6658" s="23" t="s">
        <v>22656</v>
      </c>
      <c r="F6658" s="24" t="s">
        <v>22657</v>
      </c>
      <c r="G6658" s="25">
        <v>4</v>
      </c>
      <c r="H6658" s="26"/>
      <c r="I6658" s="27"/>
    </row>
    <row r="6659" spans="1:9" ht="15.75" thickBot="1" x14ac:dyDescent="0.3">
      <c r="A6659" s="43" t="s">
        <v>13997</v>
      </c>
      <c r="B6659" s="21" t="s">
        <v>13998</v>
      </c>
      <c r="C6659" s="21" t="s">
        <v>22663</v>
      </c>
      <c r="D6659" s="31">
        <v>1</v>
      </c>
      <c r="E6659" s="23" t="s">
        <v>22656</v>
      </c>
      <c r="F6659" s="24" t="s">
        <v>22657</v>
      </c>
      <c r="G6659" s="25">
        <v>7</v>
      </c>
      <c r="H6659" s="29"/>
      <c r="I6659" s="30"/>
    </row>
    <row r="6660" spans="1:9" ht="15.75" thickBot="1" x14ac:dyDescent="0.3">
      <c r="A6660" s="43" t="s">
        <v>13999</v>
      </c>
      <c r="B6660" s="21" t="s">
        <v>14000</v>
      </c>
      <c r="C6660" s="21" t="s">
        <v>22655</v>
      </c>
      <c r="D6660" s="22">
        <v>46046</v>
      </c>
      <c r="E6660" s="23" t="s">
        <v>22661</v>
      </c>
      <c r="F6660" s="24" t="s">
        <v>22657</v>
      </c>
      <c r="G6660" s="25">
        <v>8</v>
      </c>
      <c r="H6660" s="26"/>
      <c r="I6660" s="27"/>
    </row>
    <row r="6661" spans="1:9" ht="15.75" thickBot="1" x14ac:dyDescent="0.3">
      <c r="A6661" s="43" t="s">
        <v>14001</v>
      </c>
      <c r="B6661" s="21" t="s">
        <v>14002</v>
      </c>
      <c r="C6661" s="21" t="s">
        <v>22655</v>
      </c>
      <c r="D6661" s="22">
        <v>46046</v>
      </c>
      <c r="E6661" s="23" t="s">
        <v>22656</v>
      </c>
      <c r="F6661" s="24" t="s">
        <v>22657</v>
      </c>
      <c r="G6661" s="25">
        <v>8</v>
      </c>
      <c r="H6661" s="29"/>
      <c r="I6661" s="30"/>
    </row>
    <row r="6662" spans="1:9" ht="15.75" thickBot="1" x14ac:dyDescent="0.3">
      <c r="A6662" s="43" t="s">
        <v>14003</v>
      </c>
      <c r="B6662" s="21" t="s">
        <v>14004</v>
      </c>
      <c r="C6662" s="21" t="s">
        <v>22655</v>
      </c>
      <c r="D6662" s="22">
        <v>46046</v>
      </c>
      <c r="E6662" s="23" t="s">
        <v>22661</v>
      </c>
      <c r="F6662" s="24" t="s">
        <v>22657</v>
      </c>
      <c r="G6662" s="25">
        <v>8</v>
      </c>
      <c r="H6662" s="26"/>
      <c r="I6662" s="27"/>
    </row>
    <row r="6663" spans="1:9" ht="15.75" thickBot="1" x14ac:dyDescent="0.3">
      <c r="A6663" s="43" t="s">
        <v>14005</v>
      </c>
      <c r="B6663" s="21" t="s">
        <v>14006</v>
      </c>
      <c r="C6663" s="21" t="s">
        <v>22663</v>
      </c>
      <c r="D6663" s="31">
        <v>1</v>
      </c>
      <c r="E6663" s="23" t="s">
        <v>22661</v>
      </c>
      <c r="F6663" s="24" t="s">
        <v>22657</v>
      </c>
      <c r="G6663" s="25">
        <v>5</v>
      </c>
      <c r="H6663" s="29"/>
      <c r="I6663" s="30"/>
    </row>
    <row r="6664" spans="1:9" ht="15.75" thickBot="1" x14ac:dyDescent="0.3">
      <c r="A6664" s="43" t="s">
        <v>14007</v>
      </c>
      <c r="B6664" s="21" t="s">
        <v>14008</v>
      </c>
      <c r="C6664" s="21" t="s">
        <v>22709</v>
      </c>
      <c r="D6664" s="31">
        <v>1</v>
      </c>
      <c r="E6664" s="23" t="s">
        <v>22658</v>
      </c>
      <c r="F6664" s="28" t="s">
        <v>22659</v>
      </c>
      <c r="G6664" s="25">
        <v>1</v>
      </c>
      <c r="H6664" s="26"/>
      <c r="I6664" s="27"/>
    </row>
    <row r="6665" spans="1:9" ht="15.75" thickBot="1" x14ac:dyDescent="0.3">
      <c r="A6665" s="43" t="s">
        <v>14009</v>
      </c>
      <c r="B6665" s="21" t="s">
        <v>14010</v>
      </c>
      <c r="C6665" s="21" t="s">
        <v>22663</v>
      </c>
      <c r="D6665" s="31">
        <v>1</v>
      </c>
      <c r="E6665" s="23" t="s">
        <v>22665</v>
      </c>
      <c r="F6665" s="24" t="s">
        <v>22657</v>
      </c>
      <c r="G6665" s="25">
        <v>8</v>
      </c>
      <c r="H6665" s="29"/>
      <c r="I6665" s="30"/>
    </row>
    <row r="6666" spans="1:9" ht="15.75" thickBot="1" x14ac:dyDescent="0.3">
      <c r="A6666" s="43" t="s">
        <v>14011</v>
      </c>
      <c r="B6666" s="21" t="s">
        <v>14012</v>
      </c>
      <c r="C6666" s="21" t="s">
        <v>22690</v>
      </c>
      <c r="D6666" s="31" t="s">
        <v>22829</v>
      </c>
      <c r="E6666" s="23" t="s">
        <v>22656</v>
      </c>
      <c r="F6666" s="24" t="s">
        <v>22657</v>
      </c>
      <c r="G6666" s="25">
        <v>4</v>
      </c>
      <c r="H6666" s="26"/>
      <c r="I6666" s="27"/>
    </row>
    <row r="6667" spans="1:9" ht="15.75" thickBot="1" x14ac:dyDescent="0.3">
      <c r="A6667" s="43" t="s">
        <v>1341</v>
      </c>
      <c r="B6667" s="21" t="s">
        <v>1342</v>
      </c>
      <c r="C6667" s="21" t="s">
        <v>22655</v>
      </c>
      <c r="D6667" s="22">
        <v>46030</v>
      </c>
      <c r="E6667" s="23" t="s">
        <v>22662</v>
      </c>
      <c r="F6667" s="24" t="s">
        <v>22657</v>
      </c>
      <c r="G6667" s="25">
        <v>40</v>
      </c>
      <c r="H6667" s="32">
        <v>40</v>
      </c>
      <c r="I6667" s="33">
        <v>80</v>
      </c>
    </row>
    <row r="6668" spans="1:9" ht="15.75" thickBot="1" x14ac:dyDescent="0.3">
      <c r="A6668" s="43" t="s">
        <v>14013</v>
      </c>
      <c r="B6668" s="21" t="s">
        <v>14014</v>
      </c>
      <c r="C6668" s="21" t="s">
        <v>22655</v>
      </c>
      <c r="D6668" s="22">
        <v>46046</v>
      </c>
      <c r="E6668" s="23" t="s">
        <v>22661</v>
      </c>
      <c r="F6668" s="24" t="s">
        <v>22657</v>
      </c>
      <c r="G6668" s="25">
        <v>8</v>
      </c>
      <c r="H6668" s="26"/>
      <c r="I6668" s="27"/>
    </row>
    <row r="6669" spans="1:9" ht="15.75" thickBot="1" x14ac:dyDescent="0.3">
      <c r="A6669" s="43" t="s">
        <v>14015</v>
      </c>
      <c r="B6669" s="21" t="s">
        <v>14016</v>
      </c>
      <c r="C6669" s="21" t="s">
        <v>22655</v>
      </c>
      <c r="D6669" s="22">
        <v>46034</v>
      </c>
      <c r="E6669" s="23" t="s">
        <v>22658</v>
      </c>
      <c r="F6669" s="24" t="s">
        <v>22657</v>
      </c>
      <c r="G6669" s="25">
        <v>4</v>
      </c>
      <c r="H6669" s="29"/>
      <c r="I6669" s="30"/>
    </row>
    <row r="6670" spans="1:9" ht="15.75" thickBot="1" x14ac:dyDescent="0.3">
      <c r="A6670" s="43" t="s">
        <v>14017</v>
      </c>
      <c r="B6670" s="21" t="s">
        <v>14018</v>
      </c>
      <c r="C6670" s="21" t="s">
        <v>22655</v>
      </c>
      <c r="D6670" s="22">
        <v>46034</v>
      </c>
      <c r="E6670" s="23" t="s">
        <v>22658</v>
      </c>
      <c r="F6670" s="24" t="s">
        <v>22657</v>
      </c>
      <c r="G6670" s="25">
        <v>4</v>
      </c>
      <c r="H6670" s="26"/>
      <c r="I6670" s="27"/>
    </row>
    <row r="6671" spans="1:9" ht="15.75" thickBot="1" x14ac:dyDescent="0.3">
      <c r="A6671" s="43" t="s">
        <v>14019</v>
      </c>
      <c r="B6671" s="21" t="s">
        <v>14020</v>
      </c>
      <c r="C6671" s="21" t="s">
        <v>22655</v>
      </c>
      <c r="D6671" s="22">
        <v>46034</v>
      </c>
      <c r="E6671" s="23" t="s">
        <v>22656</v>
      </c>
      <c r="F6671" s="24" t="s">
        <v>22657</v>
      </c>
      <c r="G6671" s="25">
        <v>4</v>
      </c>
      <c r="H6671" s="29"/>
      <c r="I6671" s="30"/>
    </row>
    <row r="6672" spans="1:9" ht="15.75" thickBot="1" x14ac:dyDescent="0.3">
      <c r="A6672" s="43" t="s">
        <v>14021</v>
      </c>
      <c r="B6672" s="21" t="s">
        <v>14022</v>
      </c>
      <c r="C6672" s="21" t="s">
        <v>22690</v>
      </c>
      <c r="D6672" s="31" t="s">
        <v>22832</v>
      </c>
      <c r="E6672" s="23" t="s">
        <v>22665</v>
      </c>
      <c r="F6672" s="24" t="s">
        <v>22657</v>
      </c>
      <c r="G6672" s="25">
        <v>20</v>
      </c>
      <c r="H6672" s="26"/>
      <c r="I6672" s="27"/>
    </row>
    <row r="6673" spans="1:9" ht="15.75" thickBot="1" x14ac:dyDescent="0.3">
      <c r="A6673" s="43" t="s">
        <v>14023</v>
      </c>
      <c r="B6673" s="21" t="s">
        <v>14024</v>
      </c>
      <c r="C6673" s="21" t="s">
        <v>22655</v>
      </c>
      <c r="D6673" s="22">
        <v>46046</v>
      </c>
      <c r="E6673" s="23" t="s">
        <v>22658</v>
      </c>
      <c r="F6673" s="24" t="s">
        <v>22657</v>
      </c>
      <c r="G6673" s="25">
        <v>8</v>
      </c>
      <c r="H6673" s="29"/>
      <c r="I6673" s="30"/>
    </row>
    <row r="6674" spans="1:9" ht="15.75" thickBot="1" x14ac:dyDescent="0.3">
      <c r="A6674" s="43" t="s">
        <v>14025</v>
      </c>
      <c r="B6674" s="21" t="s">
        <v>14026</v>
      </c>
      <c r="C6674" s="21" t="s">
        <v>22690</v>
      </c>
      <c r="D6674" s="31" t="s">
        <v>22832</v>
      </c>
      <c r="E6674" s="23" t="s">
        <v>22662</v>
      </c>
      <c r="F6674" s="24" t="s">
        <v>22657</v>
      </c>
      <c r="G6674" s="25">
        <v>27</v>
      </c>
      <c r="H6674" s="26"/>
      <c r="I6674" s="27"/>
    </row>
    <row r="6675" spans="1:9" ht="15.75" thickBot="1" x14ac:dyDescent="0.3">
      <c r="A6675" s="43" t="s">
        <v>14027</v>
      </c>
      <c r="B6675" s="21" t="s">
        <v>14028</v>
      </c>
      <c r="C6675" s="21" t="s">
        <v>22655</v>
      </c>
      <c r="D6675" s="22">
        <v>46046</v>
      </c>
      <c r="E6675" s="23" t="s">
        <v>22656</v>
      </c>
      <c r="F6675" s="24" t="s">
        <v>22657</v>
      </c>
      <c r="G6675" s="25">
        <v>8</v>
      </c>
      <c r="H6675" s="29"/>
      <c r="I6675" s="30"/>
    </row>
    <row r="6676" spans="1:9" ht="15.75" thickBot="1" x14ac:dyDescent="0.3">
      <c r="A6676" s="43" t="s">
        <v>14029</v>
      </c>
      <c r="B6676" s="21" t="s">
        <v>14030</v>
      </c>
      <c r="C6676" s="21" t="s">
        <v>22690</v>
      </c>
      <c r="D6676" s="31" t="s">
        <v>22832</v>
      </c>
      <c r="E6676" s="23" t="s">
        <v>22665</v>
      </c>
      <c r="F6676" s="24" t="s">
        <v>22657</v>
      </c>
      <c r="G6676" s="25">
        <v>20</v>
      </c>
      <c r="H6676" s="26"/>
      <c r="I6676" s="27"/>
    </row>
    <row r="6677" spans="1:9" ht="15.75" thickBot="1" x14ac:dyDescent="0.3">
      <c r="A6677" s="43" t="s">
        <v>14031</v>
      </c>
      <c r="B6677" s="21" t="s">
        <v>14032</v>
      </c>
      <c r="C6677" s="21" t="s">
        <v>22655</v>
      </c>
      <c r="D6677" s="22">
        <v>46046</v>
      </c>
      <c r="E6677" s="23" t="s">
        <v>22656</v>
      </c>
      <c r="F6677" s="24" t="s">
        <v>22657</v>
      </c>
      <c r="G6677" s="25">
        <v>8</v>
      </c>
      <c r="H6677" s="29"/>
      <c r="I6677" s="30"/>
    </row>
    <row r="6678" spans="1:9" ht="15.75" thickBot="1" x14ac:dyDescent="0.3">
      <c r="A6678" s="43" t="s">
        <v>14033</v>
      </c>
      <c r="B6678" s="21" t="s">
        <v>14034</v>
      </c>
      <c r="C6678" s="21" t="s">
        <v>22655</v>
      </c>
      <c r="D6678" s="22">
        <v>46046</v>
      </c>
      <c r="E6678" s="23" t="s">
        <v>22656</v>
      </c>
      <c r="F6678" s="24" t="s">
        <v>22657</v>
      </c>
      <c r="G6678" s="25">
        <v>8</v>
      </c>
      <c r="H6678" s="26"/>
      <c r="I6678" s="27"/>
    </row>
    <row r="6679" spans="1:9" ht="15.75" thickBot="1" x14ac:dyDescent="0.3">
      <c r="A6679" s="43" t="s">
        <v>14035</v>
      </c>
      <c r="B6679" s="21" t="s">
        <v>14036</v>
      </c>
      <c r="C6679" s="21" t="s">
        <v>22655</v>
      </c>
      <c r="D6679" s="22">
        <v>46046</v>
      </c>
      <c r="E6679" s="23" t="s">
        <v>22661</v>
      </c>
      <c r="F6679" s="24" t="s">
        <v>22657</v>
      </c>
      <c r="G6679" s="25">
        <v>11</v>
      </c>
      <c r="H6679" s="29"/>
      <c r="I6679" s="30"/>
    </row>
    <row r="6680" spans="1:9" ht="15.75" thickBot="1" x14ac:dyDescent="0.3">
      <c r="A6680" s="43" t="s">
        <v>14037</v>
      </c>
      <c r="B6680" s="21" t="s">
        <v>14038</v>
      </c>
      <c r="C6680" s="21" t="s">
        <v>22663</v>
      </c>
      <c r="D6680" s="31">
        <v>1</v>
      </c>
      <c r="E6680" s="23" t="s">
        <v>22658</v>
      </c>
      <c r="F6680" s="24" t="s">
        <v>22657</v>
      </c>
      <c r="G6680" s="25">
        <v>4</v>
      </c>
      <c r="H6680" s="26"/>
      <c r="I6680" s="27"/>
    </row>
    <row r="6681" spans="1:9" ht="15.75" thickBot="1" x14ac:dyDescent="0.3">
      <c r="A6681" s="43" t="s">
        <v>14039</v>
      </c>
      <c r="B6681" s="21" t="s">
        <v>14040</v>
      </c>
      <c r="C6681" s="21" t="s">
        <v>22655</v>
      </c>
      <c r="D6681" s="22">
        <v>46046</v>
      </c>
      <c r="E6681" s="23" t="s">
        <v>22661</v>
      </c>
      <c r="F6681" s="24" t="s">
        <v>22657</v>
      </c>
      <c r="G6681" s="25">
        <v>8</v>
      </c>
      <c r="H6681" s="29"/>
      <c r="I6681" s="30"/>
    </row>
    <row r="6682" spans="1:9" ht="15.75" thickBot="1" x14ac:dyDescent="0.3">
      <c r="A6682" s="43" t="s">
        <v>1233</v>
      </c>
      <c r="B6682" s="21" t="s">
        <v>14041</v>
      </c>
      <c r="C6682" s="21" t="s">
        <v>22655</v>
      </c>
      <c r="D6682" s="22">
        <v>46046</v>
      </c>
      <c r="E6682" s="23" t="s">
        <v>22662</v>
      </c>
      <c r="F6682" s="24" t="s">
        <v>22657</v>
      </c>
      <c r="G6682" s="25">
        <v>12</v>
      </c>
      <c r="H6682" s="34">
        <v>12</v>
      </c>
      <c r="I6682" s="35">
        <v>24</v>
      </c>
    </row>
    <row r="6683" spans="1:9" ht="15.75" thickBot="1" x14ac:dyDescent="0.3">
      <c r="A6683" s="43" t="s">
        <v>14042</v>
      </c>
      <c r="B6683" s="21" t="s">
        <v>14043</v>
      </c>
      <c r="C6683" s="21" t="s">
        <v>22655</v>
      </c>
      <c r="D6683" s="22">
        <v>46046</v>
      </c>
      <c r="E6683" s="23" t="s">
        <v>22656</v>
      </c>
      <c r="F6683" s="24" t="s">
        <v>22657</v>
      </c>
      <c r="G6683" s="25">
        <v>8</v>
      </c>
      <c r="H6683" s="29"/>
      <c r="I6683" s="30"/>
    </row>
    <row r="6684" spans="1:9" ht="15.75" thickBot="1" x14ac:dyDescent="0.3">
      <c r="A6684" s="43" t="s">
        <v>14044</v>
      </c>
      <c r="B6684" s="21" t="s">
        <v>14045</v>
      </c>
      <c r="C6684" s="21" t="s">
        <v>22690</v>
      </c>
      <c r="D6684" s="31" t="s">
        <v>22833</v>
      </c>
      <c r="E6684" s="23" t="s">
        <v>22661</v>
      </c>
      <c r="F6684" s="24" t="s">
        <v>22657</v>
      </c>
      <c r="G6684" s="25">
        <v>9</v>
      </c>
      <c r="H6684" s="26"/>
      <c r="I6684" s="27"/>
    </row>
    <row r="6685" spans="1:9" ht="15.75" thickBot="1" x14ac:dyDescent="0.3">
      <c r="A6685" s="43" t="s">
        <v>14046</v>
      </c>
      <c r="B6685" s="21" t="s">
        <v>14047</v>
      </c>
      <c r="C6685" s="21" t="s">
        <v>22655</v>
      </c>
      <c r="D6685" s="22">
        <v>46030</v>
      </c>
      <c r="E6685" s="23" t="s">
        <v>22656</v>
      </c>
      <c r="F6685" s="24" t="s">
        <v>22657</v>
      </c>
      <c r="G6685" s="25">
        <v>4</v>
      </c>
      <c r="H6685" s="29"/>
      <c r="I6685" s="30"/>
    </row>
    <row r="6686" spans="1:9" ht="15.75" thickBot="1" x14ac:dyDescent="0.3">
      <c r="A6686" s="43" t="s">
        <v>14048</v>
      </c>
      <c r="B6686" s="21" t="s">
        <v>14049</v>
      </c>
      <c r="C6686" s="21" t="s">
        <v>22655</v>
      </c>
      <c r="D6686" s="22">
        <v>46034</v>
      </c>
      <c r="E6686" s="23" t="s">
        <v>22658</v>
      </c>
      <c r="F6686" s="24" t="s">
        <v>22657</v>
      </c>
      <c r="G6686" s="25">
        <v>1</v>
      </c>
      <c r="H6686" s="26"/>
      <c r="I6686" s="27"/>
    </row>
    <row r="6687" spans="1:9" ht="15.75" thickBot="1" x14ac:dyDescent="0.3">
      <c r="A6687" s="43" t="s">
        <v>1429</v>
      </c>
      <c r="B6687" s="21" t="s">
        <v>1430</v>
      </c>
      <c r="C6687" s="21" t="s">
        <v>22655</v>
      </c>
      <c r="D6687" s="22">
        <v>46034</v>
      </c>
      <c r="E6687" s="23" t="s">
        <v>22656</v>
      </c>
      <c r="F6687" s="24" t="s">
        <v>22657</v>
      </c>
      <c r="G6687" s="25">
        <v>4</v>
      </c>
      <c r="H6687" s="29"/>
      <c r="I6687" s="30"/>
    </row>
    <row r="6688" spans="1:9" ht="15.75" thickBot="1" x14ac:dyDescent="0.3">
      <c r="A6688" s="43" t="s">
        <v>14050</v>
      </c>
      <c r="B6688" s="21" t="s">
        <v>14051</v>
      </c>
      <c r="C6688" s="21" t="s">
        <v>22663</v>
      </c>
      <c r="D6688" s="31">
        <v>1</v>
      </c>
      <c r="E6688" s="23" t="s">
        <v>22658</v>
      </c>
      <c r="F6688" s="24" t="s">
        <v>22657</v>
      </c>
      <c r="G6688" s="25">
        <v>1</v>
      </c>
      <c r="H6688" s="26"/>
      <c r="I6688" s="27"/>
    </row>
    <row r="6689" spans="1:9" ht="15.75" thickBot="1" x14ac:dyDescent="0.3">
      <c r="A6689" s="43" t="s">
        <v>14052</v>
      </c>
      <c r="B6689" s="21" t="s">
        <v>14053</v>
      </c>
      <c r="C6689" s="21" t="s">
        <v>22655</v>
      </c>
      <c r="D6689" s="22">
        <v>46046</v>
      </c>
      <c r="E6689" s="23" t="s">
        <v>22656</v>
      </c>
      <c r="F6689" s="24" t="s">
        <v>22657</v>
      </c>
      <c r="G6689" s="25">
        <v>8</v>
      </c>
      <c r="H6689" s="29"/>
      <c r="I6689" s="30"/>
    </row>
    <row r="6690" spans="1:9" ht="15.75" thickBot="1" x14ac:dyDescent="0.3">
      <c r="A6690" s="43" t="s">
        <v>14054</v>
      </c>
      <c r="B6690" s="21" t="s">
        <v>14055</v>
      </c>
      <c r="C6690" s="21" t="s">
        <v>22655</v>
      </c>
      <c r="D6690" s="22">
        <v>46034</v>
      </c>
      <c r="E6690" s="23" t="s">
        <v>22656</v>
      </c>
      <c r="F6690" s="24" t="s">
        <v>22657</v>
      </c>
      <c r="G6690" s="25">
        <v>4</v>
      </c>
      <c r="H6690" s="26"/>
      <c r="I6690" s="27"/>
    </row>
    <row r="6691" spans="1:9" ht="15.75" thickBot="1" x14ac:dyDescent="0.3">
      <c r="A6691" s="43" t="s">
        <v>14056</v>
      </c>
      <c r="B6691" s="21" t="s">
        <v>14057</v>
      </c>
      <c r="C6691" s="21" t="s">
        <v>22655</v>
      </c>
      <c r="D6691" s="22">
        <v>46034</v>
      </c>
      <c r="E6691" s="23" t="s">
        <v>22656</v>
      </c>
      <c r="F6691" s="24" t="s">
        <v>22657</v>
      </c>
      <c r="G6691" s="25">
        <v>4</v>
      </c>
      <c r="H6691" s="29"/>
      <c r="I6691" s="30"/>
    </row>
    <row r="6692" spans="1:9" ht="15.75" thickBot="1" x14ac:dyDescent="0.3">
      <c r="A6692" s="43" t="s">
        <v>14058</v>
      </c>
      <c r="B6692" s="21" t="s">
        <v>14059</v>
      </c>
      <c r="C6692" s="21" t="s">
        <v>22798</v>
      </c>
      <c r="D6692" s="39">
        <v>36974</v>
      </c>
      <c r="E6692" s="23" t="s">
        <v>22656</v>
      </c>
      <c r="F6692" s="24" t="s">
        <v>22657</v>
      </c>
      <c r="G6692" s="25">
        <v>8</v>
      </c>
      <c r="H6692" s="26"/>
      <c r="I6692" s="27"/>
    </row>
    <row r="6693" spans="1:9" ht="15.75" thickBot="1" x14ac:dyDescent="0.3">
      <c r="A6693" s="43" t="s">
        <v>14060</v>
      </c>
      <c r="B6693" s="21" t="s">
        <v>14061</v>
      </c>
      <c r="C6693" s="21" t="s">
        <v>22655</v>
      </c>
      <c r="D6693" s="22">
        <v>46046</v>
      </c>
      <c r="E6693" s="23" t="s">
        <v>22656</v>
      </c>
      <c r="F6693" s="24" t="s">
        <v>22657</v>
      </c>
      <c r="G6693" s="25">
        <v>8</v>
      </c>
      <c r="H6693" s="29"/>
      <c r="I6693" s="30"/>
    </row>
    <row r="6694" spans="1:9" ht="15.75" thickBot="1" x14ac:dyDescent="0.3">
      <c r="A6694" s="43" t="s">
        <v>14062</v>
      </c>
      <c r="B6694" s="21" t="s">
        <v>14063</v>
      </c>
      <c r="C6694" s="21" t="s">
        <v>22655</v>
      </c>
      <c r="D6694" s="22">
        <v>46034</v>
      </c>
      <c r="E6694" s="23" t="s">
        <v>22656</v>
      </c>
      <c r="F6694" s="24" t="s">
        <v>22657</v>
      </c>
      <c r="G6694" s="25">
        <v>4</v>
      </c>
      <c r="H6694" s="26"/>
      <c r="I6694" s="27"/>
    </row>
    <row r="6695" spans="1:9" ht="15.75" thickBot="1" x14ac:dyDescent="0.3">
      <c r="A6695" s="43" t="s">
        <v>14064</v>
      </c>
      <c r="B6695" s="21" t="s">
        <v>14065</v>
      </c>
      <c r="C6695" s="21" t="s">
        <v>22655</v>
      </c>
      <c r="D6695" s="22">
        <v>46034</v>
      </c>
      <c r="E6695" s="23" t="s">
        <v>22656</v>
      </c>
      <c r="F6695" s="24" t="s">
        <v>22657</v>
      </c>
      <c r="G6695" s="25">
        <v>4</v>
      </c>
      <c r="H6695" s="29"/>
      <c r="I6695" s="30"/>
    </row>
    <row r="6696" spans="1:9" ht="15.75" thickBot="1" x14ac:dyDescent="0.3">
      <c r="A6696" s="43" t="s">
        <v>155</v>
      </c>
      <c r="B6696" s="21" t="s">
        <v>156</v>
      </c>
      <c r="C6696" s="21" t="s">
        <v>22663</v>
      </c>
      <c r="D6696" s="31">
        <v>1</v>
      </c>
      <c r="E6696" s="23" t="s">
        <v>22656</v>
      </c>
      <c r="F6696" s="24" t="s">
        <v>22657</v>
      </c>
      <c r="G6696" s="25">
        <v>1</v>
      </c>
      <c r="H6696" s="34">
        <v>1</v>
      </c>
      <c r="I6696" s="35">
        <v>1</v>
      </c>
    </row>
    <row r="6697" spans="1:9" ht="15.75" thickBot="1" x14ac:dyDescent="0.3">
      <c r="A6697" s="43" t="s">
        <v>14066</v>
      </c>
      <c r="B6697" s="21" t="s">
        <v>14067</v>
      </c>
      <c r="C6697" s="21" t="s">
        <v>22663</v>
      </c>
      <c r="D6697" s="31">
        <v>1</v>
      </c>
      <c r="E6697" s="23" t="s">
        <v>22658</v>
      </c>
      <c r="F6697" s="24" t="s">
        <v>22657</v>
      </c>
      <c r="G6697" s="25">
        <v>1</v>
      </c>
      <c r="H6697" s="29"/>
      <c r="I6697" s="30"/>
    </row>
    <row r="6698" spans="1:9" ht="15.75" thickBot="1" x14ac:dyDescent="0.3">
      <c r="A6698" s="43" t="s">
        <v>281</v>
      </c>
      <c r="B6698" s="21" t="s">
        <v>282</v>
      </c>
      <c r="C6698" s="21" t="s">
        <v>22663</v>
      </c>
      <c r="D6698" s="31">
        <v>1</v>
      </c>
      <c r="E6698" s="23" t="s">
        <v>22658</v>
      </c>
      <c r="F6698" s="24" t="s">
        <v>22657</v>
      </c>
      <c r="G6698" s="25">
        <v>1</v>
      </c>
      <c r="H6698" s="26"/>
      <c r="I6698" s="27"/>
    </row>
    <row r="6699" spans="1:9" ht="15.75" thickBot="1" x14ac:dyDescent="0.3">
      <c r="A6699" s="43" t="s">
        <v>14068</v>
      </c>
      <c r="B6699" s="21" t="s">
        <v>14069</v>
      </c>
      <c r="C6699" s="21" t="s">
        <v>22663</v>
      </c>
      <c r="D6699" s="31">
        <v>1</v>
      </c>
      <c r="E6699" s="23" t="s">
        <v>22656</v>
      </c>
      <c r="F6699" s="24" t="s">
        <v>22657</v>
      </c>
      <c r="G6699" s="25">
        <v>1</v>
      </c>
      <c r="H6699" s="32">
        <v>1</v>
      </c>
      <c r="I6699" s="33">
        <v>2</v>
      </c>
    </row>
    <row r="6700" spans="1:9" ht="15.75" thickBot="1" x14ac:dyDescent="0.3">
      <c r="A6700" s="43" t="s">
        <v>14070</v>
      </c>
      <c r="B6700" s="21" t="s">
        <v>14071</v>
      </c>
      <c r="C6700" s="21" t="s">
        <v>22663</v>
      </c>
      <c r="D6700" s="31">
        <v>1</v>
      </c>
      <c r="E6700" s="23" t="s">
        <v>22658</v>
      </c>
      <c r="F6700" s="24" t="s">
        <v>22657</v>
      </c>
      <c r="G6700" s="25">
        <v>1</v>
      </c>
      <c r="H6700" s="26"/>
      <c r="I6700" s="27"/>
    </row>
    <row r="6701" spans="1:9" ht="15.75" thickBot="1" x14ac:dyDescent="0.3">
      <c r="A6701" s="43" t="s">
        <v>14072</v>
      </c>
      <c r="B6701" s="21" t="s">
        <v>14073</v>
      </c>
      <c r="C6701" s="21" t="s">
        <v>22663</v>
      </c>
      <c r="D6701" s="31">
        <v>1</v>
      </c>
      <c r="E6701" s="23" t="s">
        <v>22656</v>
      </c>
      <c r="F6701" s="24" t="s">
        <v>22657</v>
      </c>
      <c r="G6701" s="25">
        <v>2</v>
      </c>
      <c r="H6701" s="29"/>
      <c r="I6701" s="30"/>
    </row>
    <row r="6702" spans="1:9" ht="15.75" thickBot="1" x14ac:dyDescent="0.3">
      <c r="A6702" s="43" t="s">
        <v>908</v>
      </c>
      <c r="B6702" s="21" t="s">
        <v>909</v>
      </c>
      <c r="C6702" s="21" t="s">
        <v>22663</v>
      </c>
      <c r="D6702" s="31">
        <v>1</v>
      </c>
      <c r="E6702" s="23" t="s">
        <v>22656</v>
      </c>
      <c r="F6702" s="24" t="s">
        <v>22657</v>
      </c>
      <c r="G6702" s="25">
        <v>1</v>
      </c>
      <c r="H6702" s="34">
        <v>1</v>
      </c>
      <c r="I6702" s="35">
        <v>1</v>
      </c>
    </row>
    <row r="6703" spans="1:9" ht="15.75" thickBot="1" x14ac:dyDescent="0.3">
      <c r="A6703" s="43" t="s">
        <v>14074</v>
      </c>
      <c r="B6703" s="21" t="s">
        <v>14075</v>
      </c>
      <c r="C6703" s="21" t="s">
        <v>22663</v>
      </c>
      <c r="D6703" s="31">
        <v>1</v>
      </c>
      <c r="E6703" s="23" t="s">
        <v>22658</v>
      </c>
      <c r="F6703" s="24" t="s">
        <v>22657</v>
      </c>
      <c r="G6703" s="25">
        <v>1</v>
      </c>
      <c r="H6703" s="29"/>
      <c r="I6703" s="30"/>
    </row>
    <row r="6704" spans="1:9" ht="15.75" thickBot="1" x14ac:dyDescent="0.3">
      <c r="A6704" s="43" t="s">
        <v>401</v>
      </c>
      <c r="B6704" s="21" t="s">
        <v>402</v>
      </c>
      <c r="C6704" s="21" t="s">
        <v>22663</v>
      </c>
      <c r="D6704" s="31">
        <v>1</v>
      </c>
      <c r="E6704" s="23" t="s">
        <v>22656</v>
      </c>
      <c r="F6704" s="24" t="s">
        <v>22657</v>
      </c>
      <c r="G6704" s="25">
        <v>2</v>
      </c>
      <c r="H6704" s="26"/>
      <c r="I6704" s="27"/>
    </row>
    <row r="6705" spans="1:9" ht="15.75" thickBot="1" x14ac:dyDescent="0.3">
      <c r="A6705" s="43" t="s">
        <v>14076</v>
      </c>
      <c r="B6705" s="21" t="s">
        <v>14077</v>
      </c>
      <c r="C6705" s="21" t="s">
        <v>22663</v>
      </c>
      <c r="D6705" s="31">
        <v>1</v>
      </c>
      <c r="E6705" s="23" t="s">
        <v>22658</v>
      </c>
      <c r="F6705" s="24" t="s">
        <v>22657</v>
      </c>
      <c r="G6705" s="25">
        <v>1</v>
      </c>
      <c r="H6705" s="29"/>
      <c r="I6705" s="30"/>
    </row>
    <row r="6706" spans="1:9" ht="15.75" thickBot="1" x14ac:dyDescent="0.3">
      <c r="A6706" s="43" t="s">
        <v>14078</v>
      </c>
      <c r="B6706" s="21" t="s">
        <v>14079</v>
      </c>
      <c r="C6706" s="21" t="s">
        <v>22663</v>
      </c>
      <c r="D6706" s="31">
        <v>1</v>
      </c>
      <c r="E6706" s="23" t="s">
        <v>22658</v>
      </c>
      <c r="F6706" s="24" t="s">
        <v>22657</v>
      </c>
      <c r="G6706" s="25">
        <v>1</v>
      </c>
      <c r="H6706" s="26"/>
      <c r="I6706" s="27"/>
    </row>
    <row r="6707" spans="1:9" ht="15.75" thickBot="1" x14ac:dyDescent="0.3">
      <c r="A6707" s="43" t="s">
        <v>14080</v>
      </c>
      <c r="B6707" s="21" t="s">
        <v>14081</v>
      </c>
      <c r="C6707" s="21" t="s">
        <v>22663</v>
      </c>
      <c r="D6707" s="31">
        <v>1</v>
      </c>
      <c r="E6707" s="23" t="s">
        <v>22656</v>
      </c>
      <c r="F6707" s="24" t="s">
        <v>22657</v>
      </c>
      <c r="G6707" s="25">
        <v>2</v>
      </c>
      <c r="H6707" s="29"/>
      <c r="I6707" s="30"/>
    </row>
    <row r="6708" spans="1:9" ht="15.75" thickBot="1" x14ac:dyDescent="0.3">
      <c r="A6708" s="43" t="s">
        <v>14082</v>
      </c>
      <c r="B6708" s="21" t="s">
        <v>14083</v>
      </c>
      <c r="C6708" s="21" t="s">
        <v>22663</v>
      </c>
      <c r="D6708" s="31">
        <v>1</v>
      </c>
      <c r="E6708" s="23" t="s">
        <v>22658</v>
      </c>
      <c r="F6708" s="24" t="s">
        <v>22657</v>
      </c>
      <c r="G6708" s="25">
        <v>1</v>
      </c>
      <c r="H6708" s="26"/>
      <c r="I6708" s="27"/>
    </row>
    <row r="6709" spans="1:9" ht="15.75" thickBot="1" x14ac:dyDescent="0.3">
      <c r="A6709" s="43" t="s">
        <v>353</v>
      </c>
      <c r="B6709" s="21" t="s">
        <v>354</v>
      </c>
      <c r="C6709" s="21" t="s">
        <v>22663</v>
      </c>
      <c r="D6709" s="31">
        <v>1</v>
      </c>
      <c r="E6709" s="23" t="s">
        <v>22658</v>
      </c>
      <c r="F6709" s="24" t="s">
        <v>22657</v>
      </c>
      <c r="G6709" s="25">
        <v>1</v>
      </c>
      <c r="H6709" s="29"/>
      <c r="I6709" s="30"/>
    </row>
    <row r="6710" spans="1:9" ht="15.75" thickBot="1" x14ac:dyDescent="0.3">
      <c r="A6710" s="43" t="s">
        <v>14084</v>
      </c>
      <c r="B6710" s="21" t="s">
        <v>14085</v>
      </c>
      <c r="C6710" s="21" t="s">
        <v>22663</v>
      </c>
      <c r="D6710" s="31">
        <v>1</v>
      </c>
      <c r="E6710" s="23" t="s">
        <v>22656</v>
      </c>
      <c r="F6710" s="24" t="s">
        <v>22657</v>
      </c>
      <c r="G6710" s="25">
        <v>2</v>
      </c>
      <c r="H6710" s="26"/>
      <c r="I6710" s="27"/>
    </row>
    <row r="6711" spans="1:9" ht="15.75" thickBot="1" x14ac:dyDescent="0.3">
      <c r="A6711" s="43" t="s">
        <v>14086</v>
      </c>
      <c r="B6711" s="21" t="s">
        <v>14087</v>
      </c>
      <c r="C6711" s="21" t="s">
        <v>22663</v>
      </c>
      <c r="D6711" s="31">
        <v>1</v>
      </c>
      <c r="E6711" s="23" t="s">
        <v>22658</v>
      </c>
      <c r="F6711" s="24" t="s">
        <v>22657</v>
      </c>
      <c r="G6711" s="25">
        <v>1</v>
      </c>
      <c r="H6711" s="29"/>
      <c r="I6711" s="30"/>
    </row>
    <row r="6712" spans="1:9" ht="15.75" thickBot="1" x14ac:dyDescent="0.3">
      <c r="A6712" s="43" t="s">
        <v>371</v>
      </c>
      <c r="B6712" s="21" t="s">
        <v>372</v>
      </c>
      <c r="C6712" s="21" t="s">
        <v>22663</v>
      </c>
      <c r="D6712" s="31">
        <v>1</v>
      </c>
      <c r="E6712" s="23" t="s">
        <v>22656</v>
      </c>
      <c r="F6712" s="24" t="s">
        <v>22657</v>
      </c>
      <c r="G6712" s="25">
        <v>1</v>
      </c>
      <c r="H6712" s="34">
        <v>1</v>
      </c>
      <c r="I6712" s="35">
        <v>2</v>
      </c>
    </row>
    <row r="6713" spans="1:9" ht="15.75" thickBot="1" x14ac:dyDescent="0.3">
      <c r="A6713" s="43" t="s">
        <v>14088</v>
      </c>
      <c r="B6713" s="21" t="s">
        <v>14089</v>
      </c>
      <c r="C6713" s="21" t="s">
        <v>22663</v>
      </c>
      <c r="D6713" s="31">
        <v>1</v>
      </c>
      <c r="E6713" s="23" t="s">
        <v>22658</v>
      </c>
      <c r="F6713" s="24" t="s">
        <v>22657</v>
      </c>
      <c r="G6713" s="25">
        <v>1</v>
      </c>
      <c r="H6713" s="29"/>
      <c r="I6713" s="30"/>
    </row>
    <row r="6714" spans="1:9" ht="15.75" thickBot="1" x14ac:dyDescent="0.3">
      <c r="A6714" s="43" t="s">
        <v>14090</v>
      </c>
      <c r="B6714" s="21" t="s">
        <v>14091</v>
      </c>
      <c r="C6714" s="21" t="s">
        <v>22663</v>
      </c>
      <c r="D6714" s="31">
        <v>1</v>
      </c>
      <c r="E6714" s="23" t="s">
        <v>22658</v>
      </c>
      <c r="F6714" s="24" t="s">
        <v>22657</v>
      </c>
      <c r="G6714" s="25">
        <v>1</v>
      </c>
      <c r="H6714" s="26"/>
      <c r="I6714" s="27"/>
    </row>
    <row r="6715" spans="1:9" ht="15.75" thickBot="1" x14ac:dyDescent="0.3">
      <c r="A6715" s="43" t="s">
        <v>14092</v>
      </c>
      <c r="B6715" s="21" t="s">
        <v>14093</v>
      </c>
      <c r="C6715" s="21" t="s">
        <v>22682</v>
      </c>
      <c r="D6715" s="22">
        <v>46034</v>
      </c>
      <c r="E6715" s="23" t="s">
        <v>22658</v>
      </c>
      <c r="F6715" s="24" t="s">
        <v>22657</v>
      </c>
      <c r="G6715" s="25">
        <v>4</v>
      </c>
      <c r="H6715" s="29"/>
      <c r="I6715" s="30"/>
    </row>
    <row r="6716" spans="1:9" ht="15.75" thickBot="1" x14ac:dyDescent="0.3">
      <c r="A6716" s="43" t="s">
        <v>14094</v>
      </c>
      <c r="B6716" s="21" t="s">
        <v>14095</v>
      </c>
      <c r="C6716" s="21" t="s">
        <v>22655</v>
      </c>
      <c r="D6716" s="22">
        <v>46028</v>
      </c>
      <c r="E6716" s="23" t="s">
        <v>22658</v>
      </c>
      <c r="F6716" s="24" t="s">
        <v>22657</v>
      </c>
      <c r="G6716" s="25">
        <v>2</v>
      </c>
      <c r="H6716" s="26"/>
      <c r="I6716" s="27"/>
    </row>
    <row r="6717" spans="1:9" ht="15.75" thickBot="1" x14ac:dyDescent="0.3">
      <c r="A6717" s="43" t="s">
        <v>14096</v>
      </c>
      <c r="B6717" s="21" t="s">
        <v>14097</v>
      </c>
      <c r="C6717" s="21" t="s">
        <v>22682</v>
      </c>
      <c r="D6717" s="22">
        <v>46034</v>
      </c>
      <c r="E6717" s="23" t="s">
        <v>22658</v>
      </c>
      <c r="F6717" s="24" t="s">
        <v>22657</v>
      </c>
      <c r="G6717" s="25">
        <v>4</v>
      </c>
      <c r="H6717" s="29"/>
      <c r="I6717" s="30"/>
    </row>
    <row r="6718" spans="1:9" ht="15.75" thickBot="1" x14ac:dyDescent="0.3">
      <c r="A6718" s="43" t="s">
        <v>14098</v>
      </c>
      <c r="B6718" s="21" t="s">
        <v>14099</v>
      </c>
      <c r="C6718" s="21" t="s">
        <v>22663</v>
      </c>
      <c r="D6718" s="31">
        <v>1</v>
      </c>
      <c r="E6718" s="23" t="s">
        <v>22658</v>
      </c>
      <c r="F6718" s="24" t="s">
        <v>22657</v>
      </c>
      <c r="G6718" s="25">
        <v>1</v>
      </c>
      <c r="H6718" s="26"/>
      <c r="I6718" s="27"/>
    </row>
    <row r="6719" spans="1:9" ht="15.75" thickBot="1" x14ac:dyDescent="0.3">
      <c r="A6719" s="43" t="s">
        <v>14100</v>
      </c>
      <c r="B6719" s="21" t="s">
        <v>14101</v>
      </c>
      <c r="C6719" s="21" t="s">
        <v>22682</v>
      </c>
      <c r="D6719" s="22">
        <v>46034</v>
      </c>
      <c r="E6719" s="23" t="s">
        <v>22656</v>
      </c>
      <c r="F6719" s="24" t="s">
        <v>22657</v>
      </c>
      <c r="G6719" s="25">
        <v>4</v>
      </c>
      <c r="H6719" s="29"/>
      <c r="I6719" s="30"/>
    </row>
    <row r="6720" spans="1:9" ht="15.75" thickBot="1" x14ac:dyDescent="0.3">
      <c r="A6720" s="43" t="s">
        <v>14106</v>
      </c>
      <c r="B6720" s="21" t="s">
        <v>14107</v>
      </c>
      <c r="C6720" s="21" t="s">
        <v>22663</v>
      </c>
      <c r="D6720" s="31">
        <v>1</v>
      </c>
      <c r="E6720" s="23" t="s">
        <v>22658</v>
      </c>
      <c r="F6720" s="24" t="s">
        <v>22657</v>
      </c>
      <c r="G6720" s="25">
        <v>1</v>
      </c>
      <c r="H6720" s="26"/>
      <c r="I6720" s="27"/>
    </row>
    <row r="6721" spans="1:9" ht="15.75" thickBot="1" x14ac:dyDescent="0.3">
      <c r="A6721" s="43" t="s">
        <v>14108</v>
      </c>
      <c r="B6721" s="21" t="s">
        <v>14109</v>
      </c>
      <c r="C6721" s="21" t="s">
        <v>22663</v>
      </c>
      <c r="D6721" s="31">
        <v>1</v>
      </c>
      <c r="E6721" s="23" t="s">
        <v>22656</v>
      </c>
      <c r="F6721" s="24" t="s">
        <v>22657</v>
      </c>
      <c r="G6721" s="25">
        <v>2</v>
      </c>
      <c r="H6721" s="29"/>
      <c r="I6721" s="30"/>
    </row>
    <row r="6722" spans="1:9" ht="15.75" thickBot="1" x14ac:dyDescent="0.3">
      <c r="A6722" s="43" t="s">
        <v>14110</v>
      </c>
      <c r="B6722" s="21" t="s">
        <v>14111</v>
      </c>
      <c r="C6722" s="21" t="s">
        <v>22698</v>
      </c>
      <c r="D6722" s="31">
        <v>1</v>
      </c>
      <c r="E6722" s="23" t="s">
        <v>22658</v>
      </c>
      <c r="F6722" s="28" t="s">
        <v>22659</v>
      </c>
      <c r="G6722" s="25">
        <v>1</v>
      </c>
      <c r="H6722" s="26"/>
      <c r="I6722" s="27"/>
    </row>
    <row r="6723" spans="1:9" ht="15.75" thickBot="1" x14ac:dyDescent="0.3">
      <c r="A6723" s="43" t="s">
        <v>14112</v>
      </c>
      <c r="B6723" s="21" t="s">
        <v>14113</v>
      </c>
      <c r="C6723" s="21" t="s">
        <v>22663</v>
      </c>
      <c r="D6723" s="31">
        <v>1</v>
      </c>
      <c r="E6723" s="23" t="s">
        <v>22658</v>
      </c>
      <c r="F6723" s="24" t="s">
        <v>22657</v>
      </c>
      <c r="G6723" s="25">
        <v>1</v>
      </c>
      <c r="H6723" s="29"/>
      <c r="I6723" s="30"/>
    </row>
    <row r="6724" spans="1:9" ht="15.75" thickBot="1" x14ac:dyDescent="0.3">
      <c r="A6724" s="43" t="s">
        <v>14102</v>
      </c>
      <c r="B6724" s="21" t="s">
        <v>14103</v>
      </c>
      <c r="C6724" s="21" t="s">
        <v>22663</v>
      </c>
      <c r="D6724" s="31">
        <v>1</v>
      </c>
      <c r="E6724" s="23" t="s">
        <v>22656</v>
      </c>
      <c r="F6724" s="24" t="s">
        <v>22657</v>
      </c>
      <c r="G6724" s="25">
        <v>2</v>
      </c>
      <c r="H6724" s="26"/>
      <c r="I6724" s="27"/>
    </row>
    <row r="6725" spans="1:9" ht="15.75" thickBot="1" x14ac:dyDescent="0.3">
      <c r="A6725" s="43" t="s">
        <v>14104</v>
      </c>
      <c r="B6725" s="21" t="s">
        <v>14105</v>
      </c>
      <c r="C6725" s="21" t="s">
        <v>22663</v>
      </c>
      <c r="D6725" s="31">
        <v>1</v>
      </c>
      <c r="E6725" s="23" t="s">
        <v>22656</v>
      </c>
      <c r="F6725" s="24" t="s">
        <v>22657</v>
      </c>
      <c r="G6725" s="25">
        <v>2</v>
      </c>
      <c r="H6725" s="29"/>
      <c r="I6725" s="30"/>
    </row>
    <row r="6726" spans="1:9" ht="15.75" thickBot="1" x14ac:dyDescent="0.3">
      <c r="A6726" s="43" t="s">
        <v>14114</v>
      </c>
      <c r="B6726" s="21" t="s">
        <v>14115</v>
      </c>
      <c r="C6726" s="21" t="s">
        <v>22663</v>
      </c>
      <c r="D6726" s="31">
        <v>1</v>
      </c>
      <c r="E6726" s="23" t="s">
        <v>22656</v>
      </c>
      <c r="F6726" s="24" t="s">
        <v>22657</v>
      </c>
      <c r="G6726" s="25">
        <v>2</v>
      </c>
      <c r="H6726" s="26"/>
      <c r="I6726" s="27"/>
    </row>
    <row r="6727" spans="1:9" ht="15.75" thickBot="1" x14ac:dyDescent="0.3">
      <c r="A6727" s="43" t="s">
        <v>14116</v>
      </c>
      <c r="B6727" s="21" t="s">
        <v>14117</v>
      </c>
      <c r="C6727" s="21" t="s">
        <v>22663</v>
      </c>
      <c r="D6727" s="31">
        <v>1</v>
      </c>
      <c r="E6727" s="23" t="s">
        <v>22656</v>
      </c>
      <c r="F6727" s="24" t="s">
        <v>22657</v>
      </c>
      <c r="G6727" s="25">
        <v>2</v>
      </c>
      <c r="H6727" s="29"/>
      <c r="I6727" s="30"/>
    </row>
    <row r="6728" spans="1:9" ht="15.75" thickBot="1" x14ac:dyDescent="0.3">
      <c r="A6728" s="43" t="s">
        <v>14118</v>
      </c>
      <c r="B6728" s="21" t="s">
        <v>22598</v>
      </c>
      <c r="C6728" s="21" t="s">
        <v>22663</v>
      </c>
      <c r="D6728" s="31">
        <v>1</v>
      </c>
      <c r="E6728" s="23" t="s">
        <v>22656</v>
      </c>
      <c r="F6728" s="24" t="s">
        <v>22657</v>
      </c>
      <c r="G6728" s="25">
        <v>4</v>
      </c>
      <c r="H6728" s="26"/>
      <c r="I6728" s="27"/>
    </row>
    <row r="6729" spans="1:9" ht="15.75" thickBot="1" x14ac:dyDescent="0.3">
      <c r="A6729" s="43" t="s">
        <v>14120</v>
      </c>
      <c r="B6729" s="21" t="s">
        <v>22599</v>
      </c>
      <c r="C6729" s="21" t="s">
        <v>22663</v>
      </c>
      <c r="D6729" s="31">
        <v>1</v>
      </c>
      <c r="E6729" s="23" t="s">
        <v>22661</v>
      </c>
      <c r="F6729" s="24" t="s">
        <v>22657</v>
      </c>
      <c r="G6729" s="25">
        <v>5</v>
      </c>
      <c r="H6729" s="29"/>
      <c r="I6729" s="30"/>
    </row>
    <row r="6730" spans="1:9" ht="15.75" thickBot="1" x14ac:dyDescent="0.3">
      <c r="A6730" s="43" t="s">
        <v>419</v>
      </c>
      <c r="B6730" s="21" t="s">
        <v>420</v>
      </c>
      <c r="C6730" s="21" t="s">
        <v>22698</v>
      </c>
      <c r="D6730" s="31">
        <v>1</v>
      </c>
      <c r="E6730" s="23" t="s">
        <v>22656</v>
      </c>
      <c r="F6730" s="24" t="s">
        <v>22657</v>
      </c>
      <c r="G6730" s="25">
        <v>2</v>
      </c>
      <c r="H6730" s="26"/>
      <c r="I6730" s="27"/>
    </row>
    <row r="6731" spans="1:9" ht="15.75" thickBot="1" x14ac:dyDescent="0.3">
      <c r="A6731" s="43" t="s">
        <v>14122</v>
      </c>
      <c r="B6731" s="21" t="s">
        <v>14123</v>
      </c>
      <c r="C6731" s="21" t="s">
        <v>22663</v>
      </c>
      <c r="D6731" s="31">
        <v>1</v>
      </c>
      <c r="E6731" s="23" t="s">
        <v>22656</v>
      </c>
      <c r="F6731" s="28" t="s">
        <v>22659</v>
      </c>
      <c r="G6731" s="25">
        <v>2</v>
      </c>
      <c r="H6731" s="29"/>
      <c r="I6731" s="30"/>
    </row>
    <row r="6732" spans="1:9" ht="15.75" thickBot="1" x14ac:dyDescent="0.3">
      <c r="A6732" s="43" t="s">
        <v>1705</v>
      </c>
      <c r="B6732" s="21" t="s">
        <v>1706</v>
      </c>
      <c r="C6732" s="21" t="s">
        <v>22655</v>
      </c>
      <c r="D6732" s="22">
        <v>46026</v>
      </c>
      <c r="E6732" s="23" t="s">
        <v>22656</v>
      </c>
      <c r="F6732" s="24" t="s">
        <v>22657</v>
      </c>
      <c r="G6732" s="25">
        <v>2</v>
      </c>
      <c r="H6732" s="34">
        <v>2</v>
      </c>
      <c r="I6732" s="35">
        <v>4</v>
      </c>
    </row>
    <row r="6733" spans="1:9" ht="15.75" thickBot="1" x14ac:dyDescent="0.3">
      <c r="A6733" s="43" t="s">
        <v>14124</v>
      </c>
      <c r="B6733" s="21" t="s">
        <v>14125</v>
      </c>
      <c r="C6733" s="21" t="s">
        <v>22655</v>
      </c>
      <c r="D6733" s="22">
        <v>46034</v>
      </c>
      <c r="E6733" s="23" t="s">
        <v>22656</v>
      </c>
      <c r="F6733" s="24" t="s">
        <v>22657</v>
      </c>
      <c r="G6733" s="25">
        <v>4</v>
      </c>
      <c r="H6733" s="29"/>
      <c r="I6733" s="30"/>
    </row>
    <row r="6734" spans="1:9" ht="15.75" thickBot="1" x14ac:dyDescent="0.3">
      <c r="A6734" s="43" t="s">
        <v>14126</v>
      </c>
      <c r="B6734" s="21" t="s">
        <v>14127</v>
      </c>
      <c r="C6734" s="21" t="s">
        <v>22655</v>
      </c>
      <c r="D6734" s="22">
        <v>46044</v>
      </c>
      <c r="E6734" s="23" t="s">
        <v>22656</v>
      </c>
      <c r="F6734" s="24" t="s">
        <v>22657</v>
      </c>
      <c r="G6734" s="25">
        <v>8</v>
      </c>
      <c r="H6734" s="26"/>
      <c r="I6734" s="27"/>
    </row>
    <row r="6735" spans="1:9" ht="15.75" thickBot="1" x14ac:dyDescent="0.3">
      <c r="A6735" s="43" t="s">
        <v>14129</v>
      </c>
      <c r="B6735" s="21" t="s">
        <v>14130</v>
      </c>
      <c r="C6735" s="21" t="s">
        <v>22663</v>
      </c>
      <c r="D6735" s="31">
        <v>1</v>
      </c>
      <c r="E6735" s="23" t="s">
        <v>22656</v>
      </c>
      <c r="F6735" s="24" t="s">
        <v>22657</v>
      </c>
      <c r="G6735" s="25">
        <v>2</v>
      </c>
      <c r="H6735" s="29"/>
      <c r="I6735" s="30"/>
    </row>
    <row r="6736" spans="1:9" ht="15.75" thickBot="1" x14ac:dyDescent="0.3">
      <c r="A6736" s="43" t="s">
        <v>361</v>
      </c>
      <c r="B6736" s="21" t="s">
        <v>14128</v>
      </c>
      <c r="C6736" s="21" t="s">
        <v>22698</v>
      </c>
      <c r="D6736" s="31">
        <v>1</v>
      </c>
      <c r="E6736" s="23" t="s">
        <v>22661</v>
      </c>
      <c r="F6736" s="24" t="s">
        <v>22657</v>
      </c>
      <c r="G6736" s="25">
        <v>5</v>
      </c>
      <c r="H6736" s="34">
        <v>5</v>
      </c>
      <c r="I6736" s="35">
        <v>10</v>
      </c>
    </row>
    <row r="6737" spans="1:9" ht="15.75" thickBot="1" x14ac:dyDescent="0.3">
      <c r="A6737" s="43" t="s">
        <v>14131</v>
      </c>
      <c r="B6737" s="21" t="s">
        <v>14132</v>
      </c>
      <c r="C6737" s="21" t="s">
        <v>22663</v>
      </c>
      <c r="D6737" s="31">
        <v>1</v>
      </c>
      <c r="E6737" s="23" t="s">
        <v>22658</v>
      </c>
      <c r="F6737" s="28" t="s">
        <v>22659</v>
      </c>
      <c r="G6737" s="25">
        <v>1</v>
      </c>
      <c r="H6737" s="29"/>
      <c r="I6737" s="30"/>
    </row>
    <row r="6738" spans="1:9" ht="15.75" thickBot="1" x14ac:dyDescent="0.3">
      <c r="A6738" s="43" t="s">
        <v>793</v>
      </c>
      <c r="B6738" s="21" t="s">
        <v>794</v>
      </c>
      <c r="C6738" s="21" t="s">
        <v>22655</v>
      </c>
      <c r="D6738" s="22">
        <v>46026</v>
      </c>
      <c r="E6738" s="23" t="s">
        <v>22656</v>
      </c>
      <c r="F6738" s="24" t="s">
        <v>22657</v>
      </c>
      <c r="G6738" s="25">
        <v>2</v>
      </c>
      <c r="H6738" s="34">
        <v>2</v>
      </c>
      <c r="I6738" s="35">
        <v>4</v>
      </c>
    </row>
    <row r="6739" spans="1:9" ht="15.75" thickBot="1" x14ac:dyDescent="0.3">
      <c r="A6739" s="43" t="s">
        <v>14133</v>
      </c>
      <c r="B6739" s="21" t="s">
        <v>14134</v>
      </c>
      <c r="C6739" s="21" t="s">
        <v>22663</v>
      </c>
      <c r="D6739" s="31">
        <v>1</v>
      </c>
      <c r="E6739" s="23" t="s">
        <v>22661</v>
      </c>
      <c r="F6739" s="24" t="s">
        <v>22657</v>
      </c>
      <c r="G6739" s="25">
        <v>6</v>
      </c>
      <c r="H6739" s="32">
        <v>6</v>
      </c>
      <c r="I6739" s="33">
        <v>12</v>
      </c>
    </row>
    <row r="6740" spans="1:9" ht="15.75" thickBot="1" x14ac:dyDescent="0.3">
      <c r="A6740" s="43" t="s">
        <v>14135</v>
      </c>
      <c r="B6740" s="21" t="s">
        <v>14136</v>
      </c>
      <c r="C6740" s="21" t="s">
        <v>22655</v>
      </c>
      <c r="D6740" s="22">
        <v>46032</v>
      </c>
      <c r="E6740" s="23" t="s">
        <v>22658</v>
      </c>
      <c r="F6740" s="24" t="s">
        <v>22657</v>
      </c>
      <c r="G6740" s="25">
        <v>4</v>
      </c>
      <c r="H6740" s="26"/>
      <c r="I6740" s="27"/>
    </row>
    <row r="6741" spans="1:9" ht="15.75" thickBot="1" x14ac:dyDescent="0.3">
      <c r="A6741" s="43" t="s">
        <v>14137</v>
      </c>
      <c r="B6741" s="21" t="s">
        <v>14138</v>
      </c>
      <c r="C6741" s="21" t="s">
        <v>22655</v>
      </c>
      <c r="D6741" s="22">
        <v>46032</v>
      </c>
      <c r="E6741" s="23" t="s">
        <v>22658</v>
      </c>
      <c r="F6741" s="24" t="s">
        <v>22657</v>
      </c>
      <c r="G6741" s="25">
        <v>4</v>
      </c>
      <c r="H6741" s="29"/>
      <c r="I6741" s="30"/>
    </row>
    <row r="6742" spans="1:9" ht="15.75" thickBot="1" x14ac:dyDescent="0.3">
      <c r="A6742" s="43" t="s">
        <v>14139</v>
      </c>
      <c r="B6742" s="21" t="s">
        <v>14140</v>
      </c>
      <c r="C6742" s="21" t="s">
        <v>22655</v>
      </c>
      <c r="D6742" s="22">
        <v>46032</v>
      </c>
      <c r="E6742" s="23" t="s">
        <v>22658</v>
      </c>
      <c r="F6742" s="24" t="s">
        <v>22657</v>
      </c>
      <c r="G6742" s="25">
        <v>4</v>
      </c>
      <c r="H6742" s="26"/>
      <c r="I6742" s="27"/>
    </row>
    <row r="6743" spans="1:9" ht="15.75" thickBot="1" x14ac:dyDescent="0.3">
      <c r="A6743" s="43" t="s">
        <v>14141</v>
      </c>
      <c r="B6743" s="21" t="s">
        <v>14142</v>
      </c>
      <c r="C6743" s="21" t="s">
        <v>22655</v>
      </c>
      <c r="D6743" s="22">
        <v>46032</v>
      </c>
      <c r="E6743" s="23" t="s">
        <v>22658</v>
      </c>
      <c r="F6743" s="24" t="s">
        <v>22657</v>
      </c>
      <c r="G6743" s="25">
        <v>4</v>
      </c>
      <c r="H6743" s="29"/>
      <c r="I6743" s="30"/>
    </row>
    <row r="6744" spans="1:9" ht="15.75" thickBot="1" x14ac:dyDescent="0.3">
      <c r="A6744" s="43" t="s">
        <v>14143</v>
      </c>
      <c r="B6744" s="21" t="s">
        <v>14144</v>
      </c>
      <c r="C6744" s="21" t="s">
        <v>22663</v>
      </c>
      <c r="D6744" s="31">
        <v>1</v>
      </c>
      <c r="E6744" s="23" t="s">
        <v>22658</v>
      </c>
      <c r="F6744" s="24" t="s">
        <v>22657</v>
      </c>
      <c r="G6744" s="25">
        <v>1</v>
      </c>
      <c r="H6744" s="26"/>
      <c r="I6744" s="27"/>
    </row>
    <row r="6745" spans="1:9" ht="15.75" thickBot="1" x14ac:dyDescent="0.3">
      <c r="A6745" s="43" t="s">
        <v>14145</v>
      </c>
      <c r="B6745" s="21" t="s">
        <v>14146</v>
      </c>
      <c r="C6745" s="21" t="s">
        <v>22655</v>
      </c>
      <c r="D6745" s="22">
        <v>46046</v>
      </c>
      <c r="E6745" s="23" t="s">
        <v>22658</v>
      </c>
      <c r="F6745" s="24" t="s">
        <v>22657</v>
      </c>
      <c r="G6745" s="25">
        <v>8</v>
      </c>
      <c r="H6745" s="29"/>
      <c r="I6745" s="30"/>
    </row>
    <row r="6746" spans="1:9" ht="15.75" thickBot="1" x14ac:dyDescent="0.3">
      <c r="A6746" s="43" t="s">
        <v>809</v>
      </c>
      <c r="B6746" s="21" t="s">
        <v>810</v>
      </c>
      <c r="C6746" s="21" t="s">
        <v>22667</v>
      </c>
      <c r="D6746" s="31" t="s">
        <v>22834</v>
      </c>
      <c r="E6746" s="23" t="s">
        <v>22662</v>
      </c>
      <c r="F6746" s="24" t="s">
        <v>22657</v>
      </c>
      <c r="G6746" s="25">
        <v>36</v>
      </c>
      <c r="H6746" s="34">
        <v>36</v>
      </c>
      <c r="I6746" s="35">
        <v>120</v>
      </c>
    </row>
    <row r="6747" spans="1:9" ht="15.75" thickBot="1" x14ac:dyDescent="0.3">
      <c r="A6747" s="43" t="s">
        <v>14147</v>
      </c>
      <c r="B6747" s="21" t="s">
        <v>14148</v>
      </c>
      <c r="C6747" s="21" t="s">
        <v>22663</v>
      </c>
      <c r="D6747" s="31">
        <v>1</v>
      </c>
      <c r="E6747" s="23" t="s">
        <v>22656</v>
      </c>
      <c r="F6747" s="24" t="s">
        <v>22657</v>
      </c>
      <c r="G6747" s="25">
        <v>3</v>
      </c>
      <c r="H6747" s="32">
        <v>3</v>
      </c>
      <c r="I6747" s="33">
        <v>6</v>
      </c>
    </row>
    <row r="6748" spans="1:9" ht="15.75" thickBot="1" x14ac:dyDescent="0.3">
      <c r="A6748" s="43" t="s">
        <v>14149</v>
      </c>
      <c r="B6748" s="21" t="s">
        <v>14150</v>
      </c>
      <c r="C6748" s="21" t="s">
        <v>22709</v>
      </c>
      <c r="D6748" s="31">
        <v>1</v>
      </c>
      <c r="E6748" s="23" t="s">
        <v>22658</v>
      </c>
      <c r="F6748" s="24" t="s">
        <v>22657</v>
      </c>
      <c r="G6748" s="25">
        <v>1</v>
      </c>
      <c r="H6748" s="26"/>
      <c r="I6748" s="27"/>
    </row>
    <row r="6749" spans="1:9" ht="15.75" thickBot="1" x14ac:dyDescent="0.3">
      <c r="A6749" s="43" t="s">
        <v>14151</v>
      </c>
      <c r="B6749" s="21" t="s">
        <v>14152</v>
      </c>
      <c r="C6749" s="21" t="s">
        <v>22663</v>
      </c>
      <c r="D6749" s="31">
        <v>1</v>
      </c>
      <c r="E6749" s="23" t="s">
        <v>22656</v>
      </c>
      <c r="F6749" s="24" t="s">
        <v>22657</v>
      </c>
      <c r="G6749" s="25">
        <v>2</v>
      </c>
      <c r="H6749" s="29"/>
      <c r="I6749" s="30"/>
    </row>
    <row r="6750" spans="1:9" ht="15.75" thickBot="1" x14ac:dyDescent="0.3">
      <c r="A6750" s="43" t="s">
        <v>14153</v>
      </c>
      <c r="B6750" s="21" t="s">
        <v>14154</v>
      </c>
      <c r="C6750" s="21" t="s">
        <v>22663</v>
      </c>
      <c r="D6750" s="31">
        <v>1</v>
      </c>
      <c r="E6750" s="23" t="s">
        <v>22656</v>
      </c>
      <c r="F6750" s="24" t="s">
        <v>22657</v>
      </c>
      <c r="G6750" s="25">
        <v>2</v>
      </c>
      <c r="H6750" s="26"/>
      <c r="I6750" s="27"/>
    </row>
    <row r="6751" spans="1:9" ht="15.75" thickBot="1" x14ac:dyDescent="0.3">
      <c r="A6751" s="43" t="s">
        <v>14155</v>
      </c>
      <c r="B6751" s="21" t="s">
        <v>14156</v>
      </c>
      <c r="C6751" s="21" t="s">
        <v>22709</v>
      </c>
      <c r="D6751" s="31">
        <v>1</v>
      </c>
      <c r="E6751" s="23" t="s">
        <v>22658</v>
      </c>
      <c r="F6751" s="24" t="s">
        <v>22657</v>
      </c>
      <c r="G6751" s="25">
        <v>1</v>
      </c>
      <c r="H6751" s="29"/>
      <c r="I6751" s="30"/>
    </row>
    <row r="6752" spans="1:9" ht="15.75" thickBot="1" x14ac:dyDescent="0.3">
      <c r="A6752" s="43" t="s">
        <v>14157</v>
      </c>
      <c r="B6752" s="21" t="s">
        <v>14158</v>
      </c>
      <c r="C6752" s="21" t="s">
        <v>22698</v>
      </c>
      <c r="D6752" s="31">
        <v>1</v>
      </c>
      <c r="E6752" s="23" t="s">
        <v>22656</v>
      </c>
      <c r="F6752" s="24" t="s">
        <v>22657</v>
      </c>
      <c r="G6752" s="25">
        <v>2</v>
      </c>
      <c r="H6752" s="26"/>
      <c r="I6752" s="27"/>
    </row>
    <row r="6753" spans="1:9" ht="15.75" thickBot="1" x14ac:dyDescent="0.3">
      <c r="A6753" s="43" t="s">
        <v>14159</v>
      </c>
      <c r="B6753" s="21" t="s">
        <v>14160</v>
      </c>
      <c r="C6753" s="21" t="s">
        <v>22663</v>
      </c>
      <c r="D6753" s="31">
        <v>1</v>
      </c>
      <c r="E6753" s="23" t="s">
        <v>22656</v>
      </c>
      <c r="F6753" s="24" t="s">
        <v>22657</v>
      </c>
      <c r="G6753" s="25">
        <v>2</v>
      </c>
      <c r="H6753" s="29"/>
      <c r="I6753" s="30"/>
    </row>
    <row r="6754" spans="1:9" ht="15.75" thickBot="1" x14ac:dyDescent="0.3">
      <c r="A6754" s="43" t="s">
        <v>1007</v>
      </c>
      <c r="B6754" s="21" t="s">
        <v>1008</v>
      </c>
      <c r="C6754" s="21" t="s">
        <v>22709</v>
      </c>
      <c r="D6754" s="31">
        <v>1</v>
      </c>
      <c r="E6754" s="23" t="s">
        <v>22661</v>
      </c>
      <c r="F6754" s="24" t="s">
        <v>22657</v>
      </c>
      <c r="G6754" s="25">
        <v>3</v>
      </c>
      <c r="H6754" s="34">
        <v>3</v>
      </c>
      <c r="I6754" s="35">
        <v>6</v>
      </c>
    </row>
    <row r="6755" spans="1:9" ht="15.75" thickBot="1" x14ac:dyDescent="0.3">
      <c r="A6755" s="43" t="s">
        <v>848</v>
      </c>
      <c r="B6755" s="21" t="s">
        <v>849</v>
      </c>
      <c r="C6755" s="21" t="s">
        <v>22663</v>
      </c>
      <c r="D6755" s="31">
        <v>1</v>
      </c>
      <c r="E6755" s="23" t="s">
        <v>22665</v>
      </c>
      <c r="F6755" s="24" t="s">
        <v>22657</v>
      </c>
      <c r="G6755" s="25">
        <v>30</v>
      </c>
      <c r="H6755" s="32">
        <v>30</v>
      </c>
      <c r="I6755" s="33">
        <v>45</v>
      </c>
    </row>
    <row r="6756" spans="1:9" ht="15.75" thickBot="1" x14ac:dyDescent="0.3">
      <c r="A6756" s="43" t="s">
        <v>1117</v>
      </c>
      <c r="B6756" s="21" t="s">
        <v>1118</v>
      </c>
      <c r="C6756" s="21" t="s">
        <v>22663</v>
      </c>
      <c r="D6756" s="31">
        <v>1</v>
      </c>
      <c r="E6756" s="23" t="s">
        <v>22665</v>
      </c>
      <c r="F6756" s="24" t="s">
        <v>22657</v>
      </c>
      <c r="G6756" s="25">
        <v>15</v>
      </c>
      <c r="H6756" s="34">
        <v>15</v>
      </c>
      <c r="I6756" s="35">
        <v>30</v>
      </c>
    </row>
    <row r="6757" spans="1:9" ht="15.75" thickBot="1" x14ac:dyDescent="0.3">
      <c r="A6757" s="43" t="s">
        <v>14161</v>
      </c>
      <c r="B6757" s="21" t="s">
        <v>14162</v>
      </c>
      <c r="C6757" s="21" t="s">
        <v>22663</v>
      </c>
      <c r="D6757" s="31">
        <v>1</v>
      </c>
      <c r="E6757" s="23" t="s">
        <v>22661</v>
      </c>
      <c r="F6757" s="24" t="s">
        <v>22657</v>
      </c>
      <c r="G6757" s="25">
        <v>5</v>
      </c>
      <c r="H6757" s="29"/>
      <c r="I6757" s="30"/>
    </row>
    <row r="6758" spans="1:9" ht="15.75" thickBot="1" x14ac:dyDescent="0.3">
      <c r="A6758" s="43" t="s">
        <v>14163</v>
      </c>
      <c r="B6758" s="21" t="s">
        <v>14164</v>
      </c>
      <c r="C6758" s="21" t="s">
        <v>22663</v>
      </c>
      <c r="D6758" s="31">
        <v>1</v>
      </c>
      <c r="E6758" s="23" t="s">
        <v>22661</v>
      </c>
      <c r="F6758" s="24" t="s">
        <v>22657</v>
      </c>
      <c r="G6758" s="25">
        <v>15</v>
      </c>
      <c r="H6758" s="34">
        <v>15</v>
      </c>
      <c r="I6758" s="35">
        <v>30</v>
      </c>
    </row>
    <row r="6759" spans="1:9" ht="15.75" thickBot="1" x14ac:dyDescent="0.3">
      <c r="A6759" s="43" t="s">
        <v>157</v>
      </c>
      <c r="B6759" s="21" t="s">
        <v>158</v>
      </c>
      <c r="C6759" s="21" t="s">
        <v>22709</v>
      </c>
      <c r="D6759" s="31">
        <v>1</v>
      </c>
      <c r="E6759" s="23" t="s">
        <v>22656</v>
      </c>
      <c r="F6759" s="24" t="s">
        <v>22657</v>
      </c>
      <c r="G6759" s="25">
        <v>2</v>
      </c>
      <c r="H6759" s="32">
        <v>2</v>
      </c>
      <c r="I6759" s="33">
        <v>4</v>
      </c>
    </row>
    <row r="6760" spans="1:9" ht="15.75" thickBot="1" x14ac:dyDescent="0.3">
      <c r="A6760" s="43" t="s">
        <v>14165</v>
      </c>
      <c r="B6760" s="21" t="s">
        <v>14166</v>
      </c>
      <c r="C6760" s="21" t="s">
        <v>22698</v>
      </c>
      <c r="D6760" s="31">
        <v>1</v>
      </c>
      <c r="E6760" s="23" t="s">
        <v>22656</v>
      </c>
      <c r="F6760" s="24" t="s">
        <v>22657</v>
      </c>
      <c r="G6760" s="25">
        <v>2</v>
      </c>
      <c r="H6760" s="26"/>
      <c r="I6760" s="27"/>
    </row>
    <row r="6761" spans="1:9" ht="15.75" thickBot="1" x14ac:dyDescent="0.3">
      <c r="A6761" s="43" t="s">
        <v>14167</v>
      </c>
      <c r="B6761" s="21" t="s">
        <v>14168</v>
      </c>
      <c r="C6761" s="21" t="s">
        <v>22709</v>
      </c>
      <c r="D6761" s="31">
        <v>1</v>
      </c>
      <c r="E6761" s="23" t="s">
        <v>22656</v>
      </c>
      <c r="F6761" s="24" t="s">
        <v>22657</v>
      </c>
      <c r="G6761" s="25">
        <v>1</v>
      </c>
      <c r="H6761" s="32">
        <v>1</v>
      </c>
      <c r="I6761" s="33">
        <v>2</v>
      </c>
    </row>
    <row r="6762" spans="1:9" ht="15.75" thickBot="1" x14ac:dyDescent="0.3">
      <c r="A6762" s="43" t="s">
        <v>14169</v>
      </c>
      <c r="B6762" s="21" t="s">
        <v>14170</v>
      </c>
      <c r="C6762" s="21" t="s">
        <v>22698</v>
      </c>
      <c r="D6762" s="31">
        <v>1</v>
      </c>
      <c r="E6762" s="23" t="s">
        <v>22656</v>
      </c>
      <c r="F6762" s="24" t="s">
        <v>22657</v>
      </c>
      <c r="G6762" s="25">
        <v>15</v>
      </c>
      <c r="H6762" s="34">
        <v>15</v>
      </c>
      <c r="I6762" s="35">
        <v>30</v>
      </c>
    </row>
    <row r="6763" spans="1:9" ht="15.75" thickBot="1" x14ac:dyDescent="0.3">
      <c r="A6763" s="43" t="s">
        <v>14171</v>
      </c>
      <c r="B6763" s="21" t="s">
        <v>14172</v>
      </c>
      <c r="C6763" s="21" t="s">
        <v>22663</v>
      </c>
      <c r="D6763" s="31">
        <v>1</v>
      </c>
      <c r="E6763" s="23" t="s">
        <v>22656</v>
      </c>
      <c r="F6763" s="24" t="s">
        <v>22657</v>
      </c>
      <c r="G6763" s="25">
        <v>4</v>
      </c>
      <c r="H6763" s="32">
        <v>4</v>
      </c>
      <c r="I6763" s="33">
        <v>6</v>
      </c>
    </row>
    <row r="6764" spans="1:9" ht="15.75" thickBot="1" x14ac:dyDescent="0.3">
      <c r="A6764" s="43" t="s">
        <v>14173</v>
      </c>
      <c r="B6764" s="21" t="s">
        <v>14174</v>
      </c>
      <c r="C6764" s="21" t="s">
        <v>22663</v>
      </c>
      <c r="D6764" s="31">
        <v>1</v>
      </c>
      <c r="E6764" s="23" t="s">
        <v>22656</v>
      </c>
      <c r="F6764" s="24" t="s">
        <v>22657</v>
      </c>
      <c r="G6764" s="25">
        <v>2</v>
      </c>
      <c r="H6764" s="34">
        <v>2</v>
      </c>
      <c r="I6764" s="35">
        <v>4</v>
      </c>
    </row>
    <row r="6765" spans="1:9" ht="15.75" thickBot="1" x14ac:dyDescent="0.3">
      <c r="A6765" s="43" t="s">
        <v>14175</v>
      </c>
      <c r="B6765" s="21" t="s">
        <v>14176</v>
      </c>
      <c r="C6765" s="21" t="s">
        <v>22663</v>
      </c>
      <c r="D6765" s="31">
        <v>1</v>
      </c>
      <c r="E6765" s="23" t="s">
        <v>22656</v>
      </c>
      <c r="F6765" s="24" t="s">
        <v>22657</v>
      </c>
      <c r="G6765" s="25">
        <v>2</v>
      </c>
      <c r="H6765" s="29"/>
      <c r="I6765" s="30"/>
    </row>
    <row r="6766" spans="1:9" ht="15.75" thickBot="1" x14ac:dyDescent="0.3">
      <c r="A6766" s="43" t="s">
        <v>14177</v>
      </c>
      <c r="B6766" s="21" t="s">
        <v>14178</v>
      </c>
      <c r="C6766" s="21" t="s">
        <v>22835</v>
      </c>
      <c r="D6766" s="31">
        <v>1</v>
      </c>
      <c r="E6766" s="23" t="s">
        <v>22658</v>
      </c>
      <c r="F6766" s="24" t="s">
        <v>22657</v>
      </c>
      <c r="G6766" s="25">
        <v>1</v>
      </c>
      <c r="H6766" s="26"/>
      <c r="I6766" s="27"/>
    </row>
    <row r="6767" spans="1:9" ht="15.75" thickBot="1" x14ac:dyDescent="0.3">
      <c r="A6767" s="43" t="s">
        <v>14179</v>
      </c>
      <c r="B6767" s="21" t="s">
        <v>14180</v>
      </c>
      <c r="C6767" s="21" t="s">
        <v>22663</v>
      </c>
      <c r="D6767" s="31">
        <v>1</v>
      </c>
      <c r="E6767" s="23" t="s">
        <v>22656</v>
      </c>
      <c r="F6767" s="24" t="s">
        <v>22657</v>
      </c>
      <c r="G6767" s="25">
        <v>2</v>
      </c>
      <c r="H6767" s="29"/>
      <c r="I6767" s="30"/>
    </row>
    <row r="6768" spans="1:9" ht="15.75" thickBot="1" x14ac:dyDescent="0.3">
      <c r="A6768" s="43" t="s">
        <v>14181</v>
      </c>
      <c r="B6768" s="21" t="s">
        <v>14182</v>
      </c>
      <c r="C6768" s="21" t="s">
        <v>22663</v>
      </c>
      <c r="D6768" s="31">
        <v>1</v>
      </c>
      <c r="E6768" s="23" t="s">
        <v>22656</v>
      </c>
      <c r="F6768" s="24" t="s">
        <v>22657</v>
      </c>
      <c r="G6768" s="25">
        <v>2</v>
      </c>
      <c r="H6768" s="26"/>
      <c r="I6768" s="27"/>
    </row>
    <row r="6769" spans="1:9" ht="15.75" thickBot="1" x14ac:dyDescent="0.3">
      <c r="A6769" s="43" t="s">
        <v>14183</v>
      </c>
      <c r="B6769" s="21" t="s">
        <v>14184</v>
      </c>
      <c r="C6769" s="21" t="s">
        <v>22709</v>
      </c>
      <c r="D6769" s="31">
        <v>1</v>
      </c>
      <c r="E6769" s="23" t="s">
        <v>22656</v>
      </c>
      <c r="F6769" s="24" t="s">
        <v>22657</v>
      </c>
      <c r="G6769" s="25">
        <v>2</v>
      </c>
      <c r="H6769" s="29"/>
      <c r="I6769" s="30"/>
    </row>
    <row r="6770" spans="1:9" ht="15.75" thickBot="1" x14ac:dyDescent="0.3">
      <c r="A6770" s="43" t="s">
        <v>1145</v>
      </c>
      <c r="B6770" s="21" t="s">
        <v>1146</v>
      </c>
      <c r="C6770" s="21" t="s">
        <v>22709</v>
      </c>
      <c r="D6770" s="31">
        <v>1</v>
      </c>
      <c r="E6770" s="23" t="s">
        <v>22656</v>
      </c>
      <c r="F6770" s="24" t="s">
        <v>22657</v>
      </c>
      <c r="G6770" s="25">
        <v>2</v>
      </c>
      <c r="H6770" s="34">
        <v>2</v>
      </c>
      <c r="I6770" s="35">
        <v>3</v>
      </c>
    </row>
    <row r="6771" spans="1:9" ht="15.75" thickBot="1" x14ac:dyDescent="0.3">
      <c r="A6771" s="43" t="s">
        <v>819</v>
      </c>
      <c r="B6771" s="21" t="s">
        <v>820</v>
      </c>
      <c r="C6771" s="21" t="s">
        <v>22663</v>
      </c>
      <c r="D6771" s="31">
        <v>1</v>
      </c>
      <c r="E6771" s="23" t="s">
        <v>22665</v>
      </c>
      <c r="F6771" s="24" t="s">
        <v>22657</v>
      </c>
      <c r="G6771" s="25">
        <v>15</v>
      </c>
      <c r="H6771" s="32">
        <v>15</v>
      </c>
      <c r="I6771" s="33">
        <v>30</v>
      </c>
    </row>
    <row r="6772" spans="1:9" ht="15.75" thickBot="1" x14ac:dyDescent="0.3">
      <c r="A6772" s="43" t="s">
        <v>14185</v>
      </c>
      <c r="B6772" s="21" t="s">
        <v>14186</v>
      </c>
      <c r="C6772" s="21" t="s">
        <v>22663</v>
      </c>
      <c r="D6772" s="31">
        <v>1</v>
      </c>
      <c r="E6772" s="23" t="s">
        <v>22661</v>
      </c>
      <c r="F6772" s="24" t="s">
        <v>22657</v>
      </c>
      <c r="G6772" s="25">
        <v>9</v>
      </c>
      <c r="H6772" s="26"/>
      <c r="I6772" s="27"/>
    </row>
    <row r="6773" spans="1:9" ht="15.75" thickBot="1" x14ac:dyDescent="0.3">
      <c r="A6773" s="43" t="s">
        <v>14187</v>
      </c>
      <c r="B6773" s="21" t="s">
        <v>14188</v>
      </c>
      <c r="C6773" s="21" t="s">
        <v>22663</v>
      </c>
      <c r="D6773" s="31">
        <v>1</v>
      </c>
      <c r="E6773" s="23" t="s">
        <v>22661</v>
      </c>
      <c r="F6773" s="24" t="s">
        <v>22657</v>
      </c>
      <c r="G6773" s="25">
        <v>8</v>
      </c>
      <c r="H6773" s="29"/>
      <c r="I6773" s="30"/>
    </row>
    <row r="6774" spans="1:9" ht="15.75" thickBot="1" x14ac:dyDescent="0.3">
      <c r="A6774" s="43" t="s">
        <v>1837</v>
      </c>
      <c r="B6774" s="21" t="s">
        <v>1838</v>
      </c>
      <c r="C6774" s="21" t="s">
        <v>22698</v>
      </c>
      <c r="D6774" s="31">
        <v>1</v>
      </c>
      <c r="E6774" s="23" t="s">
        <v>22656</v>
      </c>
      <c r="F6774" s="24" t="s">
        <v>22657</v>
      </c>
      <c r="G6774" s="25">
        <v>15</v>
      </c>
      <c r="H6774" s="34">
        <v>15</v>
      </c>
      <c r="I6774" s="35">
        <v>30</v>
      </c>
    </row>
    <row r="6775" spans="1:9" ht="15.75" thickBot="1" x14ac:dyDescent="0.3">
      <c r="A6775" s="43" t="s">
        <v>14189</v>
      </c>
      <c r="B6775" s="21" t="s">
        <v>14190</v>
      </c>
      <c r="C6775" s="21" t="s">
        <v>22709</v>
      </c>
      <c r="D6775" s="31">
        <v>1</v>
      </c>
      <c r="E6775" s="23" t="s">
        <v>22656</v>
      </c>
      <c r="F6775" s="24" t="s">
        <v>22657</v>
      </c>
      <c r="G6775" s="25">
        <v>2</v>
      </c>
      <c r="H6775" s="29"/>
      <c r="I6775" s="30"/>
    </row>
    <row r="6776" spans="1:9" ht="15.75" thickBot="1" x14ac:dyDescent="0.3">
      <c r="A6776" s="43" t="s">
        <v>143</v>
      </c>
      <c r="B6776" s="21" t="s">
        <v>144</v>
      </c>
      <c r="C6776" s="21" t="s">
        <v>22709</v>
      </c>
      <c r="D6776" s="31">
        <v>1</v>
      </c>
      <c r="E6776" s="23" t="s">
        <v>22656</v>
      </c>
      <c r="F6776" s="24" t="s">
        <v>22657</v>
      </c>
      <c r="G6776" s="25">
        <v>2</v>
      </c>
      <c r="H6776" s="26"/>
      <c r="I6776" s="27"/>
    </row>
    <row r="6777" spans="1:9" ht="15.75" thickBot="1" x14ac:dyDescent="0.3">
      <c r="A6777" s="43" t="s">
        <v>14191</v>
      </c>
      <c r="B6777" s="21" t="s">
        <v>14192</v>
      </c>
      <c r="C6777" s="21" t="s">
        <v>22663</v>
      </c>
      <c r="D6777" s="31">
        <v>1</v>
      </c>
      <c r="E6777" s="23" t="s">
        <v>22656</v>
      </c>
      <c r="F6777" s="24" t="s">
        <v>22657</v>
      </c>
      <c r="G6777" s="25">
        <v>1</v>
      </c>
      <c r="H6777" s="32">
        <v>1</v>
      </c>
      <c r="I6777" s="33">
        <v>2</v>
      </c>
    </row>
    <row r="6778" spans="1:9" ht="15.75" thickBot="1" x14ac:dyDescent="0.3">
      <c r="A6778" s="43" t="s">
        <v>1966</v>
      </c>
      <c r="B6778" s="21" t="s">
        <v>1967</v>
      </c>
      <c r="C6778" s="21" t="s">
        <v>22698</v>
      </c>
      <c r="D6778" s="31">
        <v>1</v>
      </c>
      <c r="E6778" s="23" t="s">
        <v>22656</v>
      </c>
      <c r="F6778" s="24" t="s">
        <v>22657</v>
      </c>
      <c r="G6778" s="25">
        <v>2</v>
      </c>
      <c r="H6778" s="26"/>
      <c r="I6778" s="27"/>
    </row>
    <row r="6779" spans="1:9" ht="15.75" thickBot="1" x14ac:dyDescent="0.3">
      <c r="A6779" s="43" t="s">
        <v>14193</v>
      </c>
      <c r="B6779" s="21" t="s">
        <v>14194</v>
      </c>
      <c r="C6779" s="21" t="s">
        <v>22663</v>
      </c>
      <c r="D6779" s="31">
        <v>1</v>
      </c>
      <c r="E6779" s="23" t="s">
        <v>22661</v>
      </c>
      <c r="F6779" s="24" t="s">
        <v>22657</v>
      </c>
      <c r="G6779" s="25">
        <v>2</v>
      </c>
      <c r="H6779" s="29"/>
      <c r="I6779" s="30"/>
    </row>
    <row r="6780" spans="1:9" ht="15.75" thickBot="1" x14ac:dyDescent="0.3">
      <c r="A6780" s="43" t="s">
        <v>14195</v>
      </c>
      <c r="B6780" s="21" t="s">
        <v>14196</v>
      </c>
      <c r="C6780" s="21" t="s">
        <v>22663</v>
      </c>
      <c r="D6780" s="31">
        <v>1</v>
      </c>
      <c r="E6780" s="23" t="s">
        <v>22656</v>
      </c>
      <c r="F6780" s="24" t="s">
        <v>22657</v>
      </c>
      <c r="G6780" s="25">
        <v>3</v>
      </c>
      <c r="H6780" s="34">
        <v>3</v>
      </c>
      <c r="I6780" s="35">
        <v>6</v>
      </c>
    </row>
    <row r="6781" spans="1:9" ht="15.75" thickBot="1" x14ac:dyDescent="0.3">
      <c r="A6781" s="43" t="s">
        <v>1689</v>
      </c>
      <c r="B6781" s="21" t="s">
        <v>1690</v>
      </c>
      <c r="C6781" s="21" t="s">
        <v>22709</v>
      </c>
      <c r="D6781" s="31">
        <v>1</v>
      </c>
      <c r="E6781" s="23" t="s">
        <v>22656</v>
      </c>
      <c r="F6781" s="24" t="s">
        <v>22657</v>
      </c>
      <c r="G6781" s="25">
        <v>2</v>
      </c>
      <c r="H6781" s="32">
        <v>2</v>
      </c>
      <c r="I6781" s="33">
        <v>4</v>
      </c>
    </row>
    <row r="6782" spans="1:9" ht="15.75" thickBot="1" x14ac:dyDescent="0.3">
      <c r="A6782" s="43" t="s">
        <v>14197</v>
      </c>
      <c r="B6782" s="21" t="s">
        <v>14198</v>
      </c>
      <c r="C6782" s="21" t="s">
        <v>22698</v>
      </c>
      <c r="D6782" s="31">
        <v>1</v>
      </c>
      <c r="E6782" s="23" t="s">
        <v>22656</v>
      </c>
      <c r="F6782" s="24" t="s">
        <v>22657</v>
      </c>
      <c r="G6782" s="25">
        <v>2</v>
      </c>
      <c r="H6782" s="26"/>
      <c r="I6782" s="27"/>
    </row>
    <row r="6783" spans="1:9" ht="15.75" thickBot="1" x14ac:dyDescent="0.3">
      <c r="A6783" s="43" t="s">
        <v>14199</v>
      </c>
      <c r="B6783" s="21" t="s">
        <v>14200</v>
      </c>
      <c r="C6783" s="21" t="s">
        <v>22682</v>
      </c>
      <c r="D6783" s="22">
        <v>46034</v>
      </c>
      <c r="E6783" s="23" t="s">
        <v>22658</v>
      </c>
      <c r="F6783" s="24" t="s">
        <v>22657</v>
      </c>
      <c r="G6783" s="25">
        <v>4</v>
      </c>
      <c r="H6783" s="29"/>
      <c r="I6783" s="30"/>
    </row>
    <row r="6784" spans="1:9" ht="15.75" thickBot="1" x14ac:dyDescent="0.3">
      <c r="A6784" s="43" t="s">
        <v>14201</v>
      </c>
      <c r="B6784" s="21" t="s">
        <v>14202</v>
      </c>
      <c r="C6784" s="21" t="s">
        <v>22682</v>
      </c>
      <c r="D6784" s="22">
        <v>46034</v>
      </c>
      <c r="E6784" s="23" t="s">
        <v>22658</v>
      </c>
      <c r="F6784" s="24" t="s">
        <v>22657</v>
      </c>
      <c r="G6784" s="25">
        <v>2</v>
      </c>
      <c r="H6784" s="26"/>
      <c r="I6784" s="27"/>
    </row>
    <row r="6785" spans="1:9" ht="15.75" thickBot="1" x14ac:dyDescent="0.3">
      <c r="A6785" s="43" t="s">
        <v>14203</v>
      </c>
      <c r="B6785" s="21" t="s">
        <v>14204</v>
      </c>
      <c r="C6785" s="21" t="s">
        <v>22682</v>
      </c>
      <c r="D6785" s="22">
        <v>46034</v>
      </c>
      <c r="E6785" s="23" t="s">
        <v>22658</v>
      </c>
      <c r="F6785" s="24" t="s">
        <v>22657</v>
      </c>
      <c r="G6785" s="25">
        <v>2</v>
      </c>
      <c r="H6785" s="29"/>
      <c r="I6785" s="30"/>
    </row>
    <row r="6786" spans="1:9" ht="15.75" thickBot="1" x14ac:dyDescent="0.3">
      <c r="A6786" s="43" t="s">
        <v>14205</v>
      </c>
      <c r="B6786" s="21" t="s">
        <v>14206</v>
      </c>
      <c r="C6786" s="21" t="s">
        <v>22682</v>
      </c>
      <c r="D6786" s="22">
        <v>46034</v>
      </c>
      <c r="E6786" s="23" t="s">
        <v>22658</v>
      </c>
      <c r="F6786" s="24" t="s">
        <v>22657</v>
      </c>
      <c r="G6786" s="25">
        <v>4</v>
      </c>
      <c r="H6786" s="26"/>
      <c r="I6786" s="27"/>
    </row>
    <row r="6787" spans="1:9" ht="15.75" thickBot="1" x14ac:dyDescent="0.3">
      <c r="A6787" s="43" t="s">
        <v>14207</v>
      </c>
      <c r="B6787" s="21" t="s">
        <v>14208</v>
      </c>
      <c r="C6787" s="21" t="s">
        <v>22682</v>
      </c>
      <c r="D6787" s="22">
        <v>46034</v>
      </c>
      <c r="E6787" s="23" t="s">
        <v>22658</v>
      </c>
      <c r="F6787" s="24" t="s">
        <v>22657</v>
      </c>
      <c r="G6787" s="25">
        <v>2</v>
      </c>
      <c r="H6787" s="29"/>
      <c r="I6787" s="30"/>
    </row>
    <row r="6788" spans="1:9" ht="15.75" thickBot="1" x14ac:dyDescent="0.3">
      <c r="A6788" s="43" t="s">
        <v>14209</v>
      </c>
      <c r="B6788" s="21" t="s">
        <v>14210</v>
      </c>
      <c r="C6788" s="21" t="s">
        <v>22682</v>
      </c>
      <c r="D6788" s="22">
        <v>46034</v>
      </c>
      <c r="E6788" s="23" t="s">
        <v>22658</v>
      </c>
      <c r="F6788" s="24" t="s">
        <v>22657</v>
      </c>
      <c r="G6788" s="25">
        <v>2</v>
      </c>
      <c r="H6788" s="26"/>
      <c r="I6788" s="27"/>
    </row>
    <row r="6789" spans="1:9" ht="15.75" thickBot="1" x14ac:dyDescent="0.3">
      <c r="A6789" s="43" t="s">
        <v>14211</v>
      </c>
      <c r="B6789" s="21" t="s">
        <v>14212</v>
      </c>
      <c r="C6789" s="21" t="s">
        <v>22682</v>
      </c>
      <c r="D6789" s="22">
        <v>46034</v>
      </c>
      <c r="E6789" s="23" t="s">
        <v>22658</v>
      </c>
      <c r="F6789" s="24" t="s">
        <v>22657</v>
      </c>
      <c r="G6789" s="25">
        <v>4</v>
      </c>
      <c r="H6789" s="29"/>
      <c r="I6789" s="30"/>
    </row>
    <row r="6790" spans="1:9" ht="15.75" thickBot="1" x14ac:dyDescent="0.3">
      <c r="A6790" s="43" t="s">
        <v>14213</v>
      </c>
      <c r="B6790" s="21" t="s">
        <v>14214</v>
      </c>
      <c r="C6790" s="21" t="s">
        <v>22682</v>
      </c>
      <c r="D6790" s="22">
        <v>46034</v>
      </c>
      <c r="E6790" s="23" t="s">
        <v>22658</v>
      </c>
      <c r="F6790" s="24" t="s">
        <v>22657</v>
      </c>
      <c r="G6790" s="25">
        <v>2</v>
      </c>
      <c r="H6790" s="26"/>
      <c r="I6790" s="27"/>
    </row>
    <row r="6791" spans="1:9" ht="15.75" thickBot="1" x14ac:dyDescent="0.3">
      <c r="A6791" s="43" t="s">
        <v>14215</v>
      </c>
      <c r="B6791" s="21" t="s">
        <v>14216</v>
      </c>
      <c r="C6791" s="21" t="s">
        <v>22682</v>
      </c>
      <c r="D6791" s="22">
        <v>46034</v>
      </c>
      <c r="E6791" s="23" t="s">
        <v>22658</v>
      </c>
      <c r="F6791" s="24" t="s">
        <v>22657</v>
      </c>
      <c r="G6791" s="25">
        <v>2</v>
      </c>
      <c r="H6791" s="29"/>
      <c r="I6791" s="30"/>
    </row>
    <row r="6792" spans="1:9" ht="15.75" thickBot="1" x14ac:dyDescent="0.3">
      <c r="A6792" s="43" t="s">
        <v>14217</v>
      </c>
      <c r="B6792" s="21" t="s">
        <v>14218</v>
      </c>
      <c r="C6792" s="21" t="s">
        <v>22682</v>
      </c>
      <c r="D6792" s="22">
        <v>46034</v>
      </c>
      <c r="E6792" s="23" t="s">
        <v>22658</v>
      </c>
      <c r="F6792" s="24" t="s">
        <v>22657</v>
      </c>
      <c r="G6792" s="25">
        <v>2</v>
      </c>
      <c r="H6792" s="26"/>
      <c r="I6792" s="27"/>
    </row>
    <row r="6793" spans="1:9" ht="15.75" thickBot="1" x14ac:dyDescent="0.3">
      <c r="A6793" s="43" t="s">
        <v>14219</v>
      </c>
      <c r="B6793" s="21" t="s">
        <v>14220</v>
      </c>
      <c r="C6793" s="21" t="s">
        <v>22682</v>
      </c>
      <c r="D6793" s="22">
        <v>46034</v>
      </c>
      <c r="E6793" s="23" t="s">
        <v>22658</v>
      </c>
      <c r="F6793" s="24" t="s">
        <v>22657</v>
      </c>
      <c r="G6793" s="25">
        <v>2</v>
      </c>
      <c r="H6793" s="29"/>
      <c r="I6793" s="30"/>
    </row>
    <row r="6794" spans="1:9" ht="15.75" thickBot="1" x14ac:dyDescent="0.3">
      <c r="A6794" s="43" t="s">
        <v>14221</v>
      </c>
      <c r="B6794" s="21" t="s">
        <v>14222</v>
      </c>
      <c r="C6794" s="21" t="s">
        <v>22682</v>
      </c>
      <c r="D6794" s="22">
        <v>46034</v>
      </c>
      <c r="E6794" s="23" t="s">
        <v>22656</v>
      </c>
      <c r="F6794" s="24" t="s">
        <v>22657</v>
      </c>
      <c r="G6794" s="25">
        <v>4</v>
      </c>
      <c r="H6794" s="26"/>
      <c r="I6794" s="27"/>
    </row>
    <row r="6795" spans="1:9" ht="15.75" thickBot="1" x14ac:dyDescent="0.3">
      <c r="A6795" s="43" t="s">
        <v>14223</v>
      </c>
      <c r="B6795" s="21" t="s">
        <v>14224</v>
      </c>
      <c r="C6795" s="21" t="s">
        <v>22727</v>
      </c>
      <c r="D6795" s="31">
        <v>1</v>
      </c>
      <c r="E6795" s="23" t="s">
        <v>22658</v>
      </c>
      <c r="F6795" s="24" t="s">
        <v>22657</v>
      </c>
      <c r="G6795" s="25">
        <v>1</v>
      </c>
      <c r="H6795" s="29"/>
      <c r="I6795" s="30"/>
    </row>
    <row r="6796" spans="1:9" ht="15.75" thickBot="1" x14ac:dyDescent="0.3">
      <c r="A6796" s="43" t="s">
        <v>14225</v>
      </c>
      <c r="B6796" s="21" t="s">
        <v>14226</v>
      </c>
      <c r="C6796" s="21" t="s">
        <v>22655</v>
      </c>
      <c r="D6796" s="22">
        <v>46032</v>
      </c>
      <c r="E6796" s="23" t="s">
        <v>22658</v>
      </c>
      <c r="F6796" s="24" t="s">
        <v>22657</v>
      </c>
      <c r="G6796" s="25">
        <v>4</v>
      </c>
      <c r="H6796" s="26"/>
      <c r="I6796" s="27"/>
    </row>
    <row r="6797" spans="1:9" ht="15.75" thickBot="1" x14ac:dyDescent="0.3">
      <c r="A6797" s="43" t="s">
        <v>1265</v>
      </c>
      <c r="B6797" s="21" t="s">
        <v>19972</v>
      </c>
      <c r="C6797" s="21" t="s">
        <v>22727</v>
      </c>
      <c r="D6797" s="31">
        <v>1</v>
      </c>
      <c r="E6797" s="23" t="s">
        <v>22661</v>
      </c>
      <c r="F6797" s="24" t="s">
        <v>22657</v>
      </c>
      <c r="G6797" s="25">
        <v>8</v>
      </c>
      <c r="H6797" s="29"/>
      <c r="I6797" s="30"/>
    </row>
    <row r="6798" spans="1:9" ht="15.75" thickBot="1" x14ac:dyDescent="0.3">
      <c r="A6798" s="43" t="s">
        <v>193</v>
      </c>
      <c r="B6798" s="21" t="s">
        <v>14227</v>
      </c>
      <c r="C6798" s="21" t="s">
        <v>22727</v>
      </c>
      <c r="D6798" s="31">
        <v>1</v>
      </c>
      <c r="E6798" s="23" t="s">
        <v>22656</v>
      </c>
      <c r="F6798" s="24" t="s">
        <v>22657</v>
      </c>
      <c r="G6798" s="25">
        <v>3</v>
      </c>
      <c r="H6798" s="26"/>
      <c r="I6798" s="27"/>
    </row>
    <row r="6799" spans="1:9" ht="15.75" thickBot="1" x14ac:dyDescent="0.3">
      <c r="A6799" s="43" t="s">
        <v>14228</v>
      </c>
      <c r="B6799" s="21" t="s">
        <v>14229</v>
      </c>
      <c r="C6799" s="21" t="s">
        <v>22698</v>
      </c>
      <c r="D6799" s="31">
        <v>1</v>
      </c>
      <c r="E6799" s="23" t="s">
        <v>22661</v>
      </c>
      <c r="F6799" s="24" t="s">
        <v>22657</v>
      </c>
      <c r="G6799" s="25">
        <v>10</v>
      </c>
      <c r="H6799" s="29"/>
      <c r="I6799" s="30"/>
    </row>
    <row r="6800" spans="1:9" ht="15.75" thickBot="1" x14ac:dyDescent="0.3">
      <c r="A6800" s="43" t="s">
        <v>14230</v>
      </c>
      <c r="B6800" s="21" t="s">
        <v>14231</v>
      </c>
      <c r="C6800" s="21" t="s">
        <v>22663</v>
      </c>
      <c r="D6800" s="31">
        <v>1</v>
      </c>
      <c r="E6800" s="23" t="s">
        <v>22661</v>
      </c>
      <c r="F6800" s="24" t="s">
        <v>22657</v>
      </c>
      <c r="G6800" s="25">
        <v>5</v>
      </c>
      <c r="H6800" s="26"/>
      <c r="I6800" s="27"/>
    </row>
    <row r="6801" spans="1:9" ht="15.75" thickBot="1" x14ac:dyDescent="0.3">
      <c r="A6801" s="43" t="s">
        <v>675</v>
      </c>
      <c r="B6801" s="21" t="s">
        <v>676</v>
      </c>
      <c r="C6801" s="21" t="s">
        <v>22698</v>
      </c>
      <c r="D6801" s="31">
        <v>1</v>
      </c>
      <c r="E6801" s="23" t="s">
        <v>22662</v>
      </c>
      <c r="F6801" s="24" t="s">
        <v>22657</v>
      </c>
      <c r="G6801" s="25">
        <v>40</v>
      </c>
      <c r="H6801" s="32">
        <v>40</v>
      </c>
      <c r="I6801" s="33">
        <v>60</v>
      </c>
    </row>
    <row r="6802" spans="1:9" ht="15.75" thickBot="1" x14ac:dyDescent="0.3">
      <c r="A6802" s="43" t="s">
        <v>14232</v>
      </c>
      <c r="B6802" s="21" t="s">
        <v>14233</v>
      </c>
      <c r="C6802" s="21" t="s">
        <v>22663</v>
      </c>
      <c r="D6802" s="31">
        <v>1</v>
      </c>
      <c r="E6802" s="23" t="s">
        <v>22661</v>
      </c>
      <c r="F6802" s="24" t="s">
        <v>22657</v>
      </c>
      <c r="G6802" s="25">
        <v>25</v>
      </c>
      <c r="H6802" s="26"/>
      <c r="I6802" s="27"/>
    </row>
    <row r="6803" spans="1:9" ht="15.75" thickBot="1" x14ac:dyDescent="0.3">
      <c r="A6803" s="43" t="s">
        <v>14234</v>
      </c>
      <c r="B6803" s="21" t="s">
        <v>14235</v>
      </c>
      <c r="C6803" s="21" t="s">
        <v>22727</v>
      </c>
      <c r="D6803" s="31">
        <v>1</v>
      </c>
      <c r="E6803" s="23" t="s">
        <v>22658</v>
      </c>
      <c r="F6803" s="24" t="s">
        <v>22657</v>
      </c>
      <c r="G6803" s="25">
        <v>1</v>
      </c>
      <c r="H6803" s="29"/>
      <c r="I6803" s="30"/>
    </row>
    <row r="6804" spans="1:9" ht="15.75" thickBot="1" x14ac:dyDescent="0.3">
      <c r="A6804" s="43" t="s">
        <v>1932</v>
      </c>
      <c r="B6804" s="21" t="s">
        <v>1933</v>
      </c>
      <c r="C6804" s="21" t="s">
        <v>22727</v>
      </c>
      <c r="D6804" s="31">
        <v>1</v>
      </c>
      <c r="E6804" s="23" t="s">
        <v>22656</v>
      </c>
      <c r="F6804" s="24" t="s">
        <v>22657</v>
      </c>
      <c r="G6804" s="25">
        <v>2</v>
      </c>
      <c r="H6804" s="34">
        <v>2</v>
      </c>
      <c r="I6804" s="35">
        <v>4</v>
      </c>
    </row>
    <row r="6805" spans="1:9" ht="15.75" thickBot="1" x14ac:dyDescent="0.3">
      <c r="A6805" s="43" t="s">
        <v>14236</v>
      </c>
      <c r="B6805" s="21" t="s">
        <v>14237</v>
      </c>
      <c r="C6805" s="21" t="s">
        <v>22787</v>
      </c>
      <c r="D6805" s="22">
        <v>46042</v>
      </c>
      <c r="E6805" s="23" t="s">
        <v>22656</v>
      </c>
      <c r="F6805" s="24" t="s">
        <v>22657</v>
      </c>
      <c r="G6805" s="25">
        <v>6</v>
      </c>
      <c r="H6805" s="29"/>
      <c r="I6805" s="30"/>
    </row>
    <row r="6806" spans="1:9" ht="15.75" thickBot="1" x14ac:dyDescent="0.3">
      <c r="A6806" s="43" t="s">
        <v>14238</v>
      </c>
      <c r="B6806" s="21" t="s">
        <v>14239</v>
      </c>
      <c r="C6806" s="21" t="s">
        <v>22787</v>
      </c>
      <c r="D6806" s="22">
        <v>46042</v>
      </c>
      <c r="E6806" s="23" t="s">
        <v>22661</v>
      </c>
      <c r="F6806" s="24" t="s">
        <v>22657</v>
      </c>
      <c r="G6806" s="25">
        <v>19</v>
      </c>
      <c r="H6806" s="26"/>
      <c r="I6806" s="27"/>
    </row>
    <row r="6807" spans="1:9" ht="15.75" thickBot="1" x14ac:dyDescent="0.3">
      <c r="A6807" s="43" t="s">
        <v>14240</v>
      </c>
      <c r="B6807" s="21" t="s">
        <v>14241</v>
      </c>
      <c r="C6807" s="21" t="s">
        <v>22663</v>
      </c>
      <c r="D6807" s="31">
        <v>1</v>
      </c>
      <c r="E6807" s="23" t="s">
        <v>22656</v>
      </c>
      <c r="F6807" s="24" t="s">
        <v>22657</v>
      </c>
      <c r="G6807" s="25">
        <v>3</v>
      </c>
      <c r="H6807" s="29"/>
      <c r="I6807" s="30"/>
    </row>
    <row r="6808" spans="1:9" ht="15.75" thickBot="1" x14ac:dyDescent="0.3">
      <c r="A6808" s="43" t="s">
        <v>14242</v>
      </c>
      <c r="B6808" s="21" t="s">
        <v>14243</v>
      </c>
      <c r="C6808" s="21" t="s">
        <v>22663</v>
      </c>
      <c r="D6808" s="31">
        <v>1</v>
      </c>
      <c r="E6808" s="23" t="s">
        <v>22656</v>
      </c>
      <c r="F6808" s="24" t="s">
        <v>22657</v>
      </c>
      <c r="G6808" s="25">
        <v>6</v>
      </c>
      <c r="H6808" s="26"/>
      <c r="I6808" s="27"/>
    </row>
    <row r="6809" spans="1:9" ht="15.75" thickBot="1" x14ac:dyDescent="0.3">
      <c r="A6809" s="43" t="s">
        <v>14244</v>
      </c>
      <c r="B6809" s="21" t="s">
        <v>14245</v>
      </c>
      <c r="C6809" s="21" t="s">
        <v>22698</v>
      </c>
      <c r="D6809" s="31">
        <v>1</v>
      </c>
      <c r="E6809" s="23" t="s">
        <v>22656</v>
      </c>
      <c r="F6809" s="24" t="s">
        <v>22657</v>
      </c>
      <c r="G6809" s="25">
        <v>3</v>
      </c>
      <c r="H6809" s="32">
        <v>3</v>
      </c>
      <c r="I6809" s="33">
        <v>6</v>
      </c>
    </row>
    <row r="6810" spans="1:9" ht="15.75" thickBot="1" x14ac:dyDescent="0.3">
      <c r="A6810" s="43" t="s">
        <v>14246</v>
      </c>
      <c r="B6810" s="21" t="s">
        <v>14247</v>
      </c>
      <c r="C6810" s="21" t="s">
        <v>22663</v>
      </c>
      <c r="D6810" s="31">
        <v>1</v>
      </c>
      <c r="E6810" s="23" t="s">
        <v>22656</v>
      </c>
      <c r="F6810" s="24" t="s">
        <v>22657</v>
      </c>
      <c r="G6810" s="25">
        <v>2</v>
      </c>
      <c r="H6810" s="26"/>
      <c r="I6810" s="27"/>
    </row>
    <row r="6811" spans="1:9" ht="15.75" thickBot="1" x14ac:dyDescent="0.3">
      <c r="A6811" s="43" t="s">
        <v>14248</v>
      </c>
      <c r="B6811" s="21" t="s">
        <v>14249</v>
      </c>
      <c r="C6811" s="21" t="s">
        <v>22663</v>
      </c>
      <c r="D6811" s="31">
        <v>1</v>
      </c>
      <c r="E6811" s="23" t="s">
        <v>22656</v>
      </c>
      <c r="F6811" s="24" t="s">
        <v>22657</v>
      </c>
      <c r="G6811" s="25">
        <v>2</v>
      </c>
      <c r="H6811" s="29"/>
      <c r="I6811" s="30"/>
    </row>
    <row r="6812" spans="1:9" ht="15.75" thickBot="1" x14ac:dyDescent="0.3">
      <c r="A6812" s="43" t="s">
        <v>14250</v>
      </c>
      <c r="B6812" s="21" t="s">
        <v>14251</v>
      </c>
      <c r="C6812" s="21" t="s">
        <v>22682</v>
      </c>
      <c r="D6812" s="22">
        <v>46034</v>
      </c>
      <c r="E6812" s="23" t="s">
        <v>22658</v>
      </c>
      <c r="F6812" s="24" t="s">
        <v>22657</v>
      </c>
      <c r="G6812" s="25">
        <v>4</v>
      </c>
      <c r="H6812" s="26"/>
      <c r="I6812" s="27"/>
    </row>
    <row r="6813" spans="1:9" ht="15.75" thickBot="1" x14ac:dyDescent="0.3">
      <c r="A6813" s="43" t="s">
        <v>14252</v>
      </c>
      <c r="B6813" s="21" t="s">
        <v>14253</v>
      </c>
      <c r="C6813" s="21" t="s">
        <v>22672</v>
      </c>
      <c r="D6813" s="22">
        <v>46042</v>
      </c>
      <c r="E6813" s="23" t="s">
        <v>22658</v>
      </c>
      <c r="F6813" s="24" t="s">
        <v>22657</v>
      </c>
      <c r="G6813" s="25">
        <v>7</v>
      </c>
      <c r="H6813" s="29"/>
      <c r="I6813" s="30"/>
    </row>
    <row r="6814" spans="1:9" ht="15.75" thickBot="1" x14ac:dyDescent="0.3">
      <c r="A6814" s="43" t="s">
        <v>14254</v>
      </c>
      <c r="B6814" s="21" t="s">
        <v>14255</v>
      </c>
      <c r="C6814" s="21" t="s">
        <v>22672</v>
      </c>
      <c r="D6814" s="22">
        <v>46042</v>
      </c>
      <c r="E6814" s="23" t="s">
        <v>22658</v>
      </c>
      <c r="F6814" s="24" t="s">
        <v>22657</v>
      </c>
      <c r="G6814" s="25">
        <v>7</v>
      </c>
      <c r="H6814" s="26"/>
      <c r="I6814" s="27"/>
    </row>
    <row r="6815" spans="1:9" ht="15.75" thickBot="1" x14ac:dyDescent="0.3">
      <c r="A6815" s="43" t="s">
        <v>14256</v>
      </c>
      <c r="B6815" s="21" t="s">
        <v>14257</v>
      </c>
      <c r="C6815" s="21" t="s">
        <v>22655</v>
      </c>
      <c r="D6815" s="22">
        <v>46042</v>
      </c>
      <c r="E6815" s="23" t="s">
        <v>22658</v>
      </c>
      <c r="F6815" s="24" t="s">
        <v>22657</v>
      </c>
      <c r="G6815" s="25">
        <v>7</v>
      </c>
      <c r="H6815" s="29"/>
      <c r="I6815" s="30"/>
    </row>
    <row r="6816" spans="1:9" ht="15.75" thickBot="1" x14ac:dyDescent="0.3">
      <c r="A6816" s="43" t="s">
        <v>14258</v>
      </c>
      <c r="B6816" s="21" t="s">
        <v>14259</v>
      </c>
      <c r="C6816" s="21" t="s">
        <v>22663</v>
      </c>
      <c r="D6816" s="31">
        <v>1</v>
      </c>
      <c r="E6816" s="23" t="s">
        <v>22658</v>
      </c>
      <c r="F6816" s="24" t="s">
        <v>22657</v>
      </c>
      <c r="G6816" s="25">
        <v>2</v>
      </c>
      <c r="H6816" s="26"/>
      <c r="I6816" s="27"/>
    </row>
    <row r="6817" spans="1:9" ht="15.75" thickBot="1" x14ac:dyDescent="0.3">
      <c r="A6817" s="43" t="s">
        <v>14260</v>
      </c>
      <c r="B6817" s="21" t="s">
        <v>14261</v>
      </c>
      <c r="C6817" s="21" t="s">
        <v>22663</v>
      </c>
      <c r="D6817" s="31">
        <v>1</v>
      </c>
      <c r="E6817" s="23" t="s">
        <v>22658</v>
      </c>
      <c r="F6817" s="24" t="s">
        <v>22657</v>
      </c>
      <c r="G6817" s="25">
        <v>2</v>
      </c>
      <c r="H6817" s="29"/>
      <c r="I6817" s="30"/>
    </row>
    <row r="6818" spans="1:9" ht="15.75" thickBot="1" x14ac:dyDescent="0.3">
      <c r="A6818" s="43" t="s">
        <v>14262</v>
      </c>
      <c r="B6818" s="21" t="s">
        <v>14263</v>
      </c>
      <c r="C6818" s="21" t="s">
        <v>22663</v>
      </c>
      <c r="D6818" s="31">
        <v>1</v>
      </c>
      <c r="E6818" s="23" t="s">
        <v>22658</v>
      </c>
      <c r="F6818" s="24" t="s">
        <v>22657</v>
      </c>
      <c r="G6818" s="25">
        <v>2</v>
      </c>
      <c r="H6818" s="26"/>
      <c r="I6818" s="27"/>
    </row>
    <row r="6819" spans="1:9" ht="15.75" thickBot="1" x14ac:dyDescent="0.3">
      <c r="A6819" s="43" t="s">
        <v>14264</v>
      </c>
      <c r="B6819" s="21" t="s">
        <v>14265</v>
      </c>
      <c r="C6819" s="21" t="s">
        <v>22663</v>
      </c>
      <c r="D6819" s="31">
        <v>1</v>
      </c>
      <c r="E6819" s="23" t="s">
        <v>22658</v>
      </c>
      <c r="F6819" s="24" t="s">
        <v>22657</v>
      </c>
      <c r="G6819" s="25">
        <v>1</v>
      </c>
      <c r="H6819" s="29"/>
      <c r="I6819" s="30"/>
    </row>
    <row r="6820" spans="1:9" ht="15.75" thickBot="1" x14ac:dyDescent="0.3">
      <c r="A6820" s="43" t="s">
        <v>14266</v>
      </c>
      <c r="B6820" s="21" t="s">
        <v>14267</v>
      </c>
      <c r="C6820" s="21" t="s">
        <v>22663</v>
      </c>
      <c r="D6820" s="31">
        <v>1</v>
      </c>
      <c r="E6820" s="23" t="s">
        <v>22658</v>
      </c>
      <c r="F6820" s="24" t="s">
        <v>22657</v>
      </c>
      <c r="G6820" s="25">
        <v>2</v>
      </c>
      <c r="H6820" s="26"/>
      <c r="I6820" s="27"/>
    </row>
    <row r="6821" spans="1:9" ht="15.75" thickBot="1" x14ac:dyDescent="0.3">
      <c r="A6821" s="43" t="s">
        <v>14268</v>
      </c>
      <c r="B6821" s="21" t="s">
        <v>14269</v>
      </c>
      <c r="C6821" s="21" t="s">
        <v>22663</v>
      </c>
      <c r="D6821" s="31">
        <v>1</v>
      </c>
      <c r="E6821" s="23" t="s">
        <v>22658</v>
      </c>
      <c r="F6821" s="24" t="s">
        <v>22657</v>
      </c>
      <c r="G6821" s="25">
        <v>10</v>
      </c>
      <c r="H6821" s="29"/>
      <c r="I6821" s="30"/>
    </row>
    <row r="6822" spans="1:9" ht="15.75" thickBot="1" x14ac:dyDescent="0.3">
      <c r="A6822" s="43" t="s">
        <v>14270</v>
      </c>
      <c r="B6822" s="21" t="s">
        <v>14271</v>
      </c>
      <c r="C6822" s="21" t="s">
        <v>22663</v>
      </c>
      <c r="D6822" s="31">
        <v>1</v>
      </c>
      <c r="E6822" s="23" t="s">
        <v>22658</v>
      </c>
      <c r="F6822" s="24" t="s">
        <v>22657</v>
      </c>
      <c r="G6822" s="25">
        <v>2</v>
      </c>
      <c r="H6822" s="26"/>
      <c r="I6822" s="27"/>
    </row>
    <row r="6823" spans="1:9" ht="15.75" thickBot="1" x14ac:dyDescent="0.3">
      <c r="A6823" s="43" t="s">
        <v>14272</v>
      </c>
      <c r="B6823" s="21" t="s">
        <v>14273</v>
      </c>
      <c r="C6823" s="21" t="s">
        <v>22663</v>
      </c>
      <c r="D6823" s="31">
        <v>1</v>
      </c>
      <c r="E6823" s="23" t="s">
        <v>22658</v>
      </c>
      <c r="F6823" s="24" t="s">
        <v>22657</v>
      </c>
      <c r="G6823" s="25">
        <v>10</v>
      </c>
      <c r="H6823" s="29"/>
      <c r="I6823" s="30"/>
    </row>
    <row r="6824" spans="1:9" ht="15.75" thickBot="1" x14ac:dyDescent="0.3">
      <c r="A6824" s="43" t="s">
        <v>14274</v>
      </c>
      <c r="B6824" s="21" t="s">
        <v>14275</v>
      </c>
      <c r="C6824" s="21" t="s">
        <v>22663</v>
      </c>
      <c r="D6824" s="31">
        <v>1</v>
      </c>
      <c r="E6824" s="23" t="s">
        <v>22658</v>
      </c>
      <c r="F6824" s="24" t="s">
        <v>22657</v>
      </c>
      <c r="G6824" s="25">
        <v>2</v>
      </c>
      <c r="H6824" s="26"/>
      <c r="I6824" s="27"/>
    </row>
    <row r="6825" spans="1:9" ht="15.75" thickBot="1" x14ac:dyDescent="0.3">
      <c r="A6825" s="43" t="s">
        <v>14276</v>
      </c>
      <c r="B6825" s="21" t="s">
        <v>14277</v>
      </c>
      <c r="C6825" s="21" t="s">
        <v>22663</v>
      </c>
      <c r="D6825" s="31">
        <v>1</v>
      </c>
      <c r="E6825" s="23" t="s">
        <v>22658</v>
      </c>
      <c r="F6825" s="24" t="s">
        <v>22657</v>
      </c>
      <c r="G6825" s="25">
        <v>1</v>
      </c>
      <c r="H6825" s="29"/>
      <c r="I6825" s="30"/>
    </row>
    <row r="6826" spans="1:9" ht="15.75" thickBot="1" x14ac:dyDescent="0.3">
      <c r="A6826" s="43" t="s">
        <v>14278</v>
      </c>
      <c r="B6826" s="21" t="s">
        <v>14279</v>
      </c>
      <c r="C6826" s="21" t="s">
        <v>22663</v>
      </c>
      <c r="D6826" s="31">
        <v>1</v>
      </c>
      <c r="E6826" s="23" t="s">
        <v>22658</v>
      </c>
      <c r="F6826" s="24" t="s">
        <v>22657</v>
      </c>
      <c r="G6826" s="25">
        <v>2</v>
      </c>
      <c r="H6826" s="26"/>
      <c r="I6826" s="27"/>
    </row>
    <row r="6827" spans="1:9" ht="15.75" thickBot="1" x14ac:dyDescent="0.3">
      <c r="A6827" s="43" t="s">
        <v>14280</v>
      </c>
      <c r="B6827" s="21" t="s">
        <v>14281</v>
      </c>
      <c r="C6827" s="21" t="s">
        <v>22663</v>
      </c>
      <c r="D6827" s="31">
        <v>1</v>
      </c>
      <c r="E6827" s="23" t="s">
        <v>22658</v>
      </c>
      <c r="F6827" s="24" t="s">
        <v>22657</v>
      </c>
      <c r="G6827" s="25">
        <v>10</v>
      </c>
      <c r="H6827" s="29"/>
      <c r="I6827" s="30"/>
    </row>
    <row r="6828" spans="1:9" ht="15.75" thickBot="1" x14ac:dyDescent="0.3">
      <c r="A6828" s="43" t="s">
        <v>14282</v>
      </c>
      <c r="B6828" s="21" t="s">
        <v>14283</v>
      </c>
      <c r="C6828" s="21" t="s">
        <v>22663</v>
      </c>
      <c r="D6828" s="31">
        <v>1</v>
      </c>
      <c r="E6828" s="23" t="s">
        <v>22658</v>
      </c>
      <c r="F6828" s="24" t="s">
        <v>22657</v>
      </c>
      <c r="G6828" s="25">
        <v>2</v>
      </c>
      <c r="H6828" s="26"/>
      <c r="I6828" s="27"/>
    </row>
    <row r="6829" spans="1:9" ht="15.75" thickBot="1" x14ac:dyDescent="0.3">
      <c r="A6829" s="43" t="s">
        <v>14284</v>
      </c>
      <c r="B6829" s="21" t="s">
        <v>14285</v>
      </c>
      <c r="C6829" s="21" t="s">
        <v>22663</v>
      </c>
      <c r="D6829" s="31">
        <v>1</v>
      </c>
      <c r="E6829" s="23" t="s">
        <v>22658</v>
      </c>
      <c r="F6829" s="24" t="s">
        <v>22657</v>
      </c>
      <c r="G6829" s="25">
        <v>1</v>
      </c>
      <c r="H6829" s="29"/>
      <c r="I6829" s="30"/>
    </row>
    <row r="6830" spans="1:9" ht="15.75" thickBot="1" x14ac:dyDescent="0.3">
      <c r="A6830" s="43" t="s">
        <v>14286</v>
      </c>
      <c r="B6830" s="21" t="s">
        <v>14287</v>
      </c>
      <c r="C6830" s="21" t="s">
        <v>22663</v>
      </c>
      <c r="D6830" s="31">
        <v>1</v>
      </c>
      <c r="E6830" s="23" t="s">
        <v>22656</v>
      </c>
      <c r="F6830" s="24" t="s">
        <v>22657</v>
      </c>
      <c r="G6830" s="25">
        <v>2</v>
      </c>
      <c r="H6830" s="26"/>
      <c r="I6830" s="27"/>
    </row>
    <row r="6831" spans="1:9" ht="15.75" thickBot="1" x14ac:dyDescent="0.3">
      <c r="A6831" s="43" t="s">
        <v>14288</v>
      </c>
      <c r="B6831" s="21" t="s">
        <v>14289</v>
      </c>
      <c r="C6831" s="21" t="s">
        <v>22655</v>
      </c>
      <c r="D6831" s="22">
        <v>46052</v>
      </c>
      <c r="E6831" s="23" t="s">
        <v>22658</v>
      </c>
      <c r="F6831" s="24" t="s">
        <v>22657</v>
      </c>
      <c r="G6831" s="25">
        <v>10</v>
      </c>
      <c r="H6831" s="29"/>
      <c r="I6831" s="30"/>
    </row>
    <row r="6832" spans="1:9" ht="15.75" thickBot="1" x14ac:dyDescent="0.3">
      <c r="A6832" s="43" t="s">
        <v>14290</v>
      </c>
      <c r="B6832" s="21" t="s">
        <v>14291</v>
      </c>
      <c r="C6832" s="21" t="s">
        <v>22655</v>
      </c>
      <c r="D6832" s="22">
        <v>46042</v>
      </c>
      <c r="E6832" s="23" t="s">
        <v>22656</v>
      </c>
      <c r="F6832" s="24" t="s">
        <v>22657</v>
      </c>
      <c r="G6832" s="25">
        <v>7</v>
      </c>
      <c r="H6832" s="26"/>
      <c r="I6832" s="27"/>
    </row>
    <row r="6833" spans="1:9" ht="15.75" thickBot="1" x14ac:dyDescent="0.3">
      <c r="A6833" s="43" t="s">
        <v>14292</v>
      </c>
      <c r="B6833" s="21" t="s">
        <v>14293</v>
      </c>
      <c r="C6833" s="21" t="s">
        <v>22663</v>
      </c>
      <c r="D6833" s="31">
        <v>1</v>
      </c>
      <c r="E6833" s="23" t="s">
        <v>22658</v>
      </c>
      <c r="F6833" s="24" t="s">
        <v>22657</v>
      </c>
      <c r="G6833" s="25">
        <v>4</v>
      </c>
      <c r="H6833" s="29"/>
      <c r="I6833" s="30"/>
    </row>
    <row r="6834" spans="1:9" ht="15.75" thickBot="1" x14ac:dyDescent="0.3">
      <c r="A6834" s="43" t="s">
        <v>14294</v>
      </c>
      <c r="B6834" s="21" t="s">
        <v>14295</v>
      </c>
      <c r="C6834" s="21" t="s">
        <v>22663</v>
      </c>
      <c r="D6834" s="31">
        <v>1</v>
      </c>
      <c r="E6834" s="23" t="s">
        <v>22658</v>
      </c>
      <c r="F6834" s="24" t="s">
        <v>22657</v>
      </c>
      <c r="G6834" s="25">
        <v>17</v>
      </c>
      <c r="H6834" s="26"/>
      <c r="I6834" s="27"/>
    </row>
    <row r="6835" spans="1:9" ht="15.75" thickBot="1" x14ac:dyDescent="0.3">
      <c r="A6835" s="43" t="s">
        <v>14296</v>
      </c>
      <c r="B6835" s="21" t="s">
        <v>14297</v>
      </c>
      <c r="C6835" s="21" t="s">
        <v>22655</v>
      </c>
      <c r="D6835" s="22">
        <v>46042</v>
      </c>
      <c r="E6835" s="23" t="s">
        <v>22658</v>
      </c>
      <c r="F6835" s="24" t="s">
        <v>22657</v>
      </c>
      <c r="G6835" s="25">
        <v>7</v>
      </c>
      <c r="H6835" s="29"/>
      <c r="I6835" s="30"/>
    </row>
    <row r="6836" spans="1:9" ht="15.75" thickBot="1" x14ac:dyDescent="0.3">
      <c r="A6836" s="43" t="s">
        <v>14298</v>
      </c>
      <c r="B6836" s="21" t="s">
        <v>14299</v>
      </c>
      <c r="C6836" s="21" t="s">
        <v>22663</v>
      </c>
      <c r="D6836" s="31">
        <v>1</v>
      </c>
      <c r="E6836" s="23" t="s">
        <v>22658</v>
      </c>
      <c r="F6836" s="24" t="s">
        <v>22657</v>
      </c>
      <c r="G6836" s="25">
        <v>7</v>
      </c>
      <c r="H6836" s="26"/>
      <c r="I6836" s="27"/>
    </row>
    <row r="6837" spans="1:9" ht="15.75" thickBot="1" x14ac:dyDescent="0.3">
      <c r="A6837" s="43" t="s">
        <v>14300</v>
      </c>
      <c r="B6837" s="21" t="s">
        <v>14301</v>
      </c>
      <c r="C6837" s="21" t="s">
        <v>22655</v>
      </c>
      <c r="D6837" s="22">
        <v>46042</v>
      </c>
      <c r="E6837" s="23" t="s">
        <v>22658</v>
      </c>
      <c r="F6837" s="24" t="s">
        <v>22657</v>
      </c>
      <c r="G6837" s="25">
        <v>7</v>
      </c>
      <c r="H6837" s="29"/>
      <c r="I6837" s="30"/>
    </row>
    <row r="6838" spans="1:9" ht="15.75" thickBot="1" x14ac:dyDescent="0.3">
      <c r="A6838" s="43" t="s">
        <v>14302</v>
      </c>
      <c r="B6838" s="21" t="s">
        <v>14303</v>
      </c>
      <c r="C6838" s="21" t="s">
        <v>22655</v>
      </c>
      <c r="D6838" s="22">
        <v>46042</v>
      </c>
      <c r="E6838" s="23" t="s">
        <v>22656</v>
      </c>
      <c r="F6838" s="24" t="s">
        <v>22657</v>
      </c>
      <c r="G6838" s="25">
        <v>7</v>
      </c>
      <c r="H6838" s="26"/>
      <c r="I6838" s="27"/>
    </row>
    <row r="6839" spans="1:9" ht="15.75" thickBot="1" x14ac:dyDescent="0.3">
      <c r="A6839" s="43" t="s">
        <v>14304</v>
      </c>
      <c r="B6839" s="21" t="s">
        <v>14305</v>
      </c>
      <c r="C6839" s="21" t="s">
        <v>22655</v>
      </c>
      <c r="D6839" s="22">
        <v>46042</v>
      </c>
      <c r="E6839" s="23" t="s">
        <v>22656</v>
      </c>
      <c r="F6839" s="24" t="s">
        <v>22657</v>
      </c>
      <c r="G6839" s="25">
        <v>7</v>
      </c>
      <c r="H6839" s="29"/>
      <c r="I6839" s="30"/>
    </row>
    <row r="6840" spans="1:9" ht="15.75" thickBot="1" x14ac:dyDescent="0.3">
      <c r="A6840" s="43" t="s">
        <v>14306</v>
      </c>
      <c r="B6840" s="21" t="s">
        <v>14307</v>
      </c>
      <c r="C6840" s="21" t="s">
        <v>22655</v>
      </c>
      <c r="D6840" s="22">
        <v>46042</v>
      </c>
      <c r="E6840" s="23" t="s">
        <v>22656</v>
      </c>
      <c r="F6840" s="24" t="s">
        <v>22657</v>
      </c>
      <c r="G6840" s="25">
        <v>7</v>
      </c>
      <c r="H6840" s="26"/>
      <c r="I6840" s="27"/>
    </row>
    <row r="6841" spans="1:9" ht="15.75" thickBot="1" x14ac:dyDescent="0.3">
      <c r="A6841" s="43" t="s">
        <v>14308</v>
      </c>
      <c r="B6841" s="21" t="s">
        <v>14309</v>
      </c>
      <c r="C6841" s="21" t="s">
        <v>22655</v>
      </c>
      <c r="D6841" s="22">
        <v>46042</v>
      </c>
      <c r="E6841" s="23" t="s">
        <v>22658</v>
      </c>
      <c r="F6841" s="24" t="s">
        <v>22657</v>
      </c>
      <c r="G6841" s="25">
        <v>7</v>
      </c>
      <c r="H6841" s="29"/>
      <c r="I6841" s="30"/>
    </row>
    <row r="6842" spans="1:9" ht="15.75" thickBot="1" x14ac:dyDescent="0.3">
      <c r="A6842" s="43" t="s">
        <v>14310</v>
      </c>
      <c r="B6842" s="21" t="s">
        <v>14311</v>
      </c>
      <c r="C6842" s="21" t="s">
        <v>22655</v>
      </c>
      <c r="D6842" s="22">
        <v>46042</v>
      </c>
      <c r="E6842" s="23" t="s">
        <v>22658</v>
      </c>
      <c r="F6842" s="24" t="s">
        <v>22657</v>
      </c>
      <c r="G6842" s="25">
        <v>7</v>
      </c>
      <c r="H6842" s="26"/>
      <c r="I6842" s="27"/>
    </row>
    <row r="6843" spans="1:9" ht="15.75" thickBot="1" x14ac:dyDescent="0.3">
      <c r="A6843" s="43" t="s">
        <v>14312</v>
      </c>
      <c r="B6843" s="21" t="s">
        <v>14313</v>
      </c>
      <c r="C6843" s="21" t="s">
        <v>22655</v>
      </c>
      <c r="D6843" s="22">
        <v>46042</v>
      </c>
      <c r="E6843" s="23" t="s">
        <v>22656</v>
      </c>
      <c r="F6843" s="24" t="s">
        <v>22657</v>
      </c>
      <c r="G6843" s="25">
        <v>7</v>
      </c>
      <c r="H6843" s="29"/>
      <c r="I6843" s="30"/>
    </row>
    <row r="6844" spans="1:9" ht="15.75" thickBot="1" x14ac:dyDescent="0.3">
      <c r="A6844" s="43" t="s">
        <v>14314</v>
      </c>
      <c r="B6844" s="21" t="s">
        <v>14315</v>
      </c>
      <c r="C6844" s="21" t="s">
        <v>22655</v>
      </c>
      <c r="D6844" s="22">
        <v>46042</v>
      </c>
      <c r="E6844" s="23" t="s">
        <v>22656</v>
      </c>
      <c r="F6844" s="24" t="s">
        <v>22657</v>
      </c>
      <c r="G6844" s="25">
        <v>9</v>
      </c>
      <c r="H6844" s="26"/>
      <c r="I6844" s="27"/>
    </row>
    <row r="6845" spans="1:9" ht="15.75" thickBot="1" x14ac:dyDescent="0.3">
      <c r="A6845" s="43" t="s">
        <v>14316</v>
      </c>
      <c r="B6845" s="21" t="s">
        <v>14317</v>
      </c>
      <c r="C6845" s="21" t="s">
        <v>22655</v>
      </c>
      <c r="D6845" s="22">
        <v>46042</v>
      </c>
      <c r="E6845" s="23" t="s">
        <v>22658</v>
      </c>
      <c r="F6845" s="24" t="s">
        <v>22657</v>
      </c>
      <c r="G6845" s="25">
        <v>7</v>
      </c>
      <c r="H6845" s="29"/>
      <c r="I6845" s="30"/>
    </row>
    <row r="6846" spans="1:9" ht="15.75" thickBot="1" x14ac:dyDescent="0.3">
      <c r="A6846" s="43" t="s">
        <v>14318</v>
      </c>
      <c r="B6846" s="21" t="s">
        <v>14319</v>
      </c>
      <c r="C6846" s="21" t="s">
        <v>22655</v>
      </c>
      <c r="D6846" s="22">
        <v>46032</v>
      </c>
      <c r="E6846" s="23" t="s">
        <v>22658</v>
      </c>
      <c r="F6846" s="24" t="s">
        <v>22657</v>
      </c>
      <c r="G6846" s="25">
        <v>4</v>
      </c>
      <c r="H6846" s="26"/>
      <c r="I6846" s="27"/>
    </row>
    <row r="6847" spans="1:9" ht="15.75" thickBot="1" x14ac:dyDescent="0.3">
      <c r="A6847" s="43" t="s">
        <v>14320</v>
      </c>
      <c r="B6847" s="21" t="s">
        <v>14321</v>
      </c>
      <c r="C6847" s="21" t="s">
        <v>22655</v>
      </c>
      <c r="D6847" s="22">
        <v>46042</v>
      </c>
      <c r="E6847" s="23" t="s">
        <v>22658</v>
      </c>
      <c r="F6847" s="24" t="s">
        <v>22657</v>
      </c>
      <c r="G6847" s="25">
        <v>7</v>
      </c>
      <c r="H6847" s="29"/>
      <c r="I6847" s="30"/>
    </row>
    <row r="6848" spans="1:9" ht="15.75" thickBot="1" x14ac:dyDescent="0.3">
      <c r="A6848" s="43" t="s">
        <v>14322</v>
      </c>
      <c r="B6848" s="21" t="s">
        <v>14323</v>
      </c>
      <c r="C6848" s="21" t="s">
        <v>22655</v>
      </c>
      <c r="D6848" s="22">
        <v>46042</v>
      </c>
      <c r="E6848" s="23" t="s">
        <v>22658</v>
      </c>
      <c r="F6848" s="24" t="s">
        <v>22657</v>
      </c>
      <c r="G6848" s="25">
        <v>7</v>
      </c>
      <c r="H6848" s="26"/>
      <c r="I6848" s="27"/>
    </row>
    <row r="6849" spans="1:9" ht="15.75" thickBot="1" x14ac:dyDescent="0.3">
      <c r="A6849" s="43" t="s">
        <v>14324</v>
      </c>
      <c r="B6849" s="21" t="s">
        <v>14325</v>
      </c>
      <c r="C6849" s="21" t="s">
        <v>22655</v>
      </c>
      <c r="D6849" s="22">
        <v>46042</v>
      </c>
      <c r="E6849" s="23" t="s">
        <v>22658</v>
      </c>
      <c r="F6849" s="24" t="s">
        <v>22657</v>
      </c>
      <c r="G6849" s="25">
        <v>7</v>
      </c>
      <c r="H6849" s="29"/>
      <c r="I6849" s="30"/>
    </row>
    <row r="6850" spans="1:9" ht="15.75" thickBot="1" x14ac:dyDescent="0.3">
      <c r="A6850" s="43" t="s">
        <v>14326</v>
      </c>
      <c r="B6850" s="21" t="s">
        <v>14327</v>
      </c>
      <c r="C6850" s="21" t="s">
        <v>22655</v>
      </c>
      <c r="D6850" s="22">
        <v>46042</v>
      </c>
      <c r="E6850" s="23" t="s">
        <v>22656</v>
      </c>
      <c r="F6850" s="24" t="s">
        <v>22657</v>
      </c>
      <c r="G6850" s="25">
        <v>7</v>
      </c>
      <c r="H6850" s="26"/>
      <c r="I6850" s="27"/>
    </row>
    <row r="6851" spans="1:9" ht="15.75" thickBot="1" x14ac:dyDescent="0.3">
      <c r="A6851" s="43" t="s">
        <v>14328</v>
      </c>
      <c r="B6851" s="21" t="s">
        <v>14329</v>
      </c>
      <c r="C6851" s="21" t="s">
        <v>22655</v>
      </c>
      <c r="D6851" s="22">
        <v>46042</v>
      </c>
      <c r="E6851" s="23" t="s">
        <v>22661</v>
      </c>
      <c r="F6851" s="24" t="s">
        <v>22657</v>
      </c>
      <c r="G6851" s="25">
        <v>11</v>
      </c>
      <c r="H6851" s="29"/>
      <c r="I6851" s="30"/>
    </row>
    <row r="6852" spans="1:9" ht="15.75" thickBot="1" x14ac:dyDescent="0.3">
      <c r="A6852" s="43" t="s">
        <v>14330</v>
      </c>
      <c r="B6852" s="21" t="s">
        <v>14331</v>
      </c>
      <c r="C6852" s="21" t="s">
        <v>22655</v>
      </c>
      <c r="D6852" s="22">
        <v>46042</v>
      </c>
      <c r="E6852" s="23" t="s">
        <v>22658</v>
      </c>
      <c r="F6852" s="24" t="s">
        <v>22657</v>
      </c>
      <c r="G6852" s="25">
        <v>7</v>
      </c>
      <c r="H6852" s="26"/>
      <c r="I6852" s="27"/>
    </row>
    <row r="6853" spans="1:9" ht="15.75" thickBot="1" x14ac:dyDescent="0.3">
      <c r="A6853" s="43" t="s">
        <v>14332</v>
      </c>
      <c r="B6853" s="21" t="s">
        <v>14333</v>
      </c>
      <c r="C6853" s="21" t="s">
        <v>22655</v>
      </c>
      <c r="D6853" s="22">
        <v>46042</v>
      </c>
      <c r="E6853" s="23" t="s">
        <v>22658</v>
      </c>
      <c r="F6853" s="24" t="s">
        <v>22657</v>
      </c>
      <c r="G6853" s="25">
        <v>7</v>
      </c>
      <c r="H6853" s="29"/>
      <c r="I6853" s="30"/>
    </row>
    <row r="6854" spans="1:9" ht="15.75" thickBot="1" x14ac:dyDescent="0.3">
      <c r="A6854" s="43" t="s">
        <v>14334</v>
      </c>
      <c r="B6854" s="21" t="s">
        <v>14335</v>
      </c>
      <c r="C6854" s="21" t="s">
        <v>22655</v>
      </c>
      <c r="D6854" s="22">
        <v>46042</v>
      </c>
      <c r="E6854" s="23" t="s">
        <v>22658</v>
      </c>
      <c r="F6854" s="24" t="s">
        <v>22657</v>
      </c>
      <c r="G6854" s="25">
        <v>7</v>
      </c>
      <c r="H6854" s="26"/>
      <c r="I6854" s="27"/>
    </row>
    <row r="6855" spans="1:9" ht="15.75" thickBot="1" x14ac:dyDescent="0.3">
      <c r="A6855" s="43" t="s">
        <v>14336</v>
      </c>
      <c r="B6855" s="21" t="s">
        <v>14337</v>
      </c>
      <c r="C6855" s="21" t="s">
        <v>22655</v>
      </c>
      <c r="D6855" s="22">
        <v>46042</v>
      </c>
      <c r="E6855" s="23" t="s">
        <v>22656</v>
      </c>
      <c r="F6855" s="24" t="s">
        <v>22657</v>
      </c>
      <c r="G6855" s="25">
        <v>7</v>
      </c>
      <c r="H6855" s="29"/>
      <c r="I6855" s="30"/>
    </row>
    <row r="6856" spans="1:9" ht="15.75" thickBot="1" x14ac:dyDescent="0.3">
      <c r="A6856" s="43" t="s">
        <v>14338</v>
      </c>
      <c r="B6856" s="21" t="s">
        <v>14339</v>
      </c>
      <c r="C6856" s="21" t="s">
        <v>22655</v>
      </c>
      <c r="D6856" s="22">
        <v>46042</v>
      </c>
      <c r="E6856" s="23" t="s">
        <v>22656</v>
      </c>
      <c r="F6856" s="24" t="s">
        <v>22657</v>
      </c>
      <c r="G6856" s="25">
        <v>7</v>
      </c>
      <c r="H6856" s="26"/>
      <c r="I6856" s="27"/>
    </row>
    <row r="6857" spans="1:9" ht="15.75" thickBot="1" x14ac:dyDescent="0.3">
      <c r="A6857" s="43" t="s">
        <v>14340</v>
      </c>
      <c r="B6857" s="21" t="s">
        <v>14341</v>
      </c>
      <c r="C6857" s="21" t="s">
        <v>22655</v>
      </c>
      <c r="D6857" s="22">
        <v>46042</v>
      </c>
      <c r="E6857" s="23" t="s">
        <v>22658</v>
      </c>
      <c r="F6857" s="24" t="s">
        <v>22657</v>
      </c>
      <c r="G6857" s="25">
        <v>7</v>
      </c>
      <c r="H6857" s="29"/>
      <c r="I6857" s="30"/>
    </row>
    <row r="6858" spans="1:9" ht="15.75" thickBot="1" x14ac:dyDescent="0.3">
      <c r="A6858" s="43" t="s">
        <v>14342</v>
      </c>
      <c r="B6858" s="21" t="s">
        <v>14343</v>
      </c>
      <c r="C6858" s="21" t="s">
        <v>22655</v>
      </c>
      <c r="D6858" s="22">
        <v>46042</v>
      </c>
      <c r="E6858" s="23" t="s">
        <v>22658</v>
      </c>
      <c r="F6858" s="24" t="s">
        <v>22657</v>
      </c>
      <c r="G6858" s="25">
        <v>7</v>
      </c>
      <c r="H6858" s="26"/>
      <c r="I6858" s="27"/>
    </row>
    <row r="6859" spans="1:9" ht="15.75" thickBot="1" x14ac:dyDescent="0.3">
      <c r="A6859" s="43" t="s">
        <v>14344</v>
      </c>
      <c r="B6859" s="21" t="s">
        <v>14345</v>
      </c>
      <c r="C6859" s="21" t="s">
        <v>22684</v>
      </c>
      <c r="D6859" s="22">
        <v>46042</v>
      </c>
      <c r="E6859" s="23" t="s">
        <v>22658</v>
      </c>
      <c r="F6859" s="24" t="s">
        <v>22657</v>
      </c>
      <c r="G6859" s="25">
        <v>7</v>
      </c>
      <c r="H6859" s="29"/>
      <c r="I6859" s="30"/>
    </row>
    <row r="6860" spans="1:9" ht="15.75" thickBot="1" x14ac:dyDescent="0.3">
      <c r="A6860" s="43" t="s">
        <v>14346</v>
      </c>
      <c r="B6860" s="21" t="s">
        <v>14347</v>
      </c>
      <c r="C6860" s="21" t="s">
        <v>22655</v>
      </c>
      <c r="D6860" s="22">
        <v>46042</v>
      </c>
      <c r="E6860" s="23" t="s">
        <v>22656</v>
      </c>
      <c r="F6860" s="24" t="s">
        <v>22657</v>
      </c>
      <c r="G6860" s="25">
        <v>7</v>
      </c>
      <c r="H6860" s="26"/>
      <c r="I6860" s="27"/>
    </row>
    <row r="6861" spans="1:9" ht="15.75" thickBot="1" x14ac:dyDescent="0.3">
      <c r="A6861" s="43" t="s">
        <v>14348</v>
      </c>
      <c r="B6861" s="21" t="s">
        <v>14349</v>
      </c>
      <c r="C6861" s="21" t="s">
        <v>22663</v>
      </c>
      <c r="D6861" s="31">
        <v>1</v>
      </c>
      <c r="E6861" s="23" t="s">
        <v>22656</v>
      </c>
      <c r="F6861" s="24" t="s">
        <v>22657</v>
      </c>
      <c r="G6861" s="25">
        <v>3</v>
      </c>
      <c r="H6861" s="29"/>
      <c r="I6861" s="30"/>
    </row>
    <row r="6862" spans="1:9" ht="15.75" thickBot="1" x14ac:dyDescent="0.3">
      <c r="A6862" s="43" t="s">
        <v>14350</v>
      </c>
      <c r="B6862" s="21" t="s">
        <v>14351</v>
      </c>
      <c r="C6862" s="21" t="s">
        <v>22682</v>
      </c>
      <c r="D6862" s="22">
        <v>46034</v>
      </c>
      <c r="E6862" s="23" t="s">
        <v>22658</v>
      </c>
      <c r="F6862" s="24" t="s">
        <v>22657</v>
      </c>
      <c r="G6862" s="25">
        <v>4</v>
      </c>
      <c r="H6862" s="26"/>
      <c r="I6862" s="27"/>
    </row>
    <row r="6863" spans="1:9" ht="15.75" thickBot="1" x14ac:dyDescent="0.3">
      <c r="A6863" s="43" t="s">
        <v>14354</v>
      </c>
      <c r="B6863" s="21" t="s">
        <v>14353</v>
      </c>
      <c r="C6863" s="21" t="s">
        <v>22655</v>
      </c>
      <c r="D6863" s="22">
        <v>46042</v>
      </c>
      <c r="E6863" s="23" t="s">
        <v>22656</v>
      </c>
      <c r="F6863" s="24" t="s">
        <v>22657</v>
      </c>
      <c r="G6863" s="25">
        <v>7</v>
      </c>
      <c r="H6863" s="29"/>
      <c r="I6863" s="30"/>
    </row>
    <row r="6864" spans="1:9" ht="15.75" thickBot="1" x14ac:dyDescent="0.3">
      <c r="A6864" s="43" t="s">
        <v>14352</v>
      </c>
      <c r="B6864" s="21" t="s">
        <v>14353</v>
      </c>
      <c r="C6864" s="21" t="s">
        <v>22655</v>
      </c>
      <c r="D6864" s="22">
        <v>46042</v>
      </c>
      <c r="E6864" s="23" t="s">
        <v>22658</v>
      </c>
      <c r="F6864" s="24" t="s">
        <v>22657</v>
      </c>
      <c r="G6864" s="25">
        <v>10</v>
      </c>
      <c r="H6864" s="34">
        <v>10</v>
      </c>
      <c r="I6864" s="35">
        <v>15</v>
      </c>
    </row>
    <row r="6865" spans="1:9" ht="15.75" thickBot="1" x14ac:dyDescent="0.3">
      <c r="A6865" s="43" t="s">
        <v>22385</v>
      </c>
      <c r="B6865" s="21" t="s">
        <v>14356</v>
      </c>
      <c r="C6865" s="36" t="e">
        <v>#N/A</v>
      </c>
      <c r="D6865" s="37" t="e">
        <v>#N/A</v>
      </c>
      <c r="E6865" s="23" t="e">
        <v>#N/A</v>
      </c>
      <c r="F6865" s="24" t="s">
        <v>22657</v>
      </c>
      <c r="G6865" s="25" t="e">
        <v>#N/A</v>
      </c>
      <c r="H6865" s="32">
        <v>6</v>
      </c>
      <c r="I6865" s="33">
        <v>10</v>
      </c>
    </row>
    <row r="6866" spans="1:9" ht="15.75" thickBot="1" x14ac:dyDescent="0.3">
      <c r="A6866" s="43" t="s">
        <v>14355</v>
      </c>
      <c r="B6866" s="21" t="s">
        <v>14356</v>
      </c>
      <c r="C6866" s="21" t="s">
        <v>22655</v>
      </c>
      <c r="D6866" s="22">
        <v>46042</v>
      </c>
      <c r="E6866" s="23" t="s">
        <v>22656</v>
      </c>
      <c r="F6866" s="24" t="s">
        <v>22657</v>
      </c>
      <c r="G6866" s="25">
        <v>7</v>
      </c>
      <c r="H6866" s="26"/>
      <c r="I6866" s="27"/>
    </row>
    <row r="6867" spans="1:9" ht="15.75" thickBot="1" x14ac:dyDescent="0.3">
      <c r="A6867" s="43" t="s">
        <v>14357</v>
      </c>
      <c r="B6867" s="21" t="s">
        <v>14358</v>
      </c>
      <c r="C6867" s="21" t="s">
        <v>22655</v>
      </c>
      <c r="D6867" s="22">
        <v>46042</v>
      </c>
      <c r="E6867" s="23" t="s">
        <v>22658</v>
      </c>
      <c r="F6867" s="24" t="s">
        <v>22657</v>
      </c>
      <c r="G6867" s="25">
        <v>7</v>
      </c>
      <c r="H6867" s="29"/>
      <c r="I6867" s="30"/>
    </row>
    <row r="6868" spans="1:9" ht="15.75" thickBot="1" x14ac:dyDescent="0.3">
      <c r="A6868" s="43" t="s">
        <v>14359</v>
      </c>
      <c r="B6868" s="21" t="s">
        <v>14360</v>
      </c>
      <c r="C6868" s="21" t="s">
        <v>22655</v>
      </c>
      <c r="D6868" s="22">
        <v>46030</v>
      </c>
      <c r="E6868" s="23" t="s">
        <v>22656</v>
      </c>
      <c r="F6868" s="24" t="s">
        <v>22657</v>
      </c>
      <c r="G6868" s="25">
        <v>4</v>
      </c>
      <c r="H6868" s="26"/>
      <c r="I6868" s="27"/>
    </row>
    <row r="6869" spans="1:9" ht="15.75" thickBot="1" x14ac:dyDescent="0.3">
      <c r="A6869" s="43" t="s">
        <v>14361</v>
      </c>
      <c r="B6869" s="21" t="s">
        <v>14362</v>
      </c>
      <c r="C6869" s="21" t="s">
        <v>22655</v>
      </c>
      <c r="D6869" s="22">
        <v>46042</v>
      </c>
      <c r="E6869" s="23" t="s">
        <v>22658</v>
      </c>
      <c r="F6869" s="24" t="s">
        <v>22657</v>
      </c>
      <c r="G6869" s="25">
        <v>7</v>
      </c>
      <c r="H6869" s="29"/>
      <c r="I6869" s="30"/>
    </row>
    <row r="6870" spans="1:9" ht="15.75" thickBot="1" x14ac:dyDescent="0.3">
      <c r="A6870" s="43" t="s">
        <v>14363</v>
      </c>
      <c r="B6870" s="21" t="s">
        <v>14364</v>
      </c>
      <c r="C6870" s="21" t="s">
        <v>22655</v>
      </c>
      <c r="D6870" s="22">
        <v>46030</v>
      </c>
      <c r="E6870" s="23" t="s">
        <v>22656</v>
      </c>
      <c r="F6870" s="24" t="s">
        <v>22657</v>
      </c>
      <c r="G6870" s="25">
        <v>3</v>
      </c>
      <c r="H6870" s="26"/>
      <c r="I6870" s="27"/>
    </row>
    <row r="6871" spans="1:9" ht="15.75" thickBot="1" x14ac:dyDescent="0.3">
      <c r="A6871" s="43" t="s">
        <v>14365</v>
      </c>
      <c r="B6871" s="21" t="s">
        <v>14366</v>
      </c>
      <c r="C6871" s="21" t="s">
        <v>22655</v>
      </c>
      <c r="D6871" s="22">
        <v>46032</v>
      </c>
      <c r="E6871" s="23" t="s">
        <v>22658</v>
      </c>
      <c r="F6871" s="24" t="s">
        <v>22657</v>
      </c>
      <c r="G6871" s="25">
        <v>4</v>
      </c>
      <c r="H6871" s="29"/>
      <c r="I6871" s="30"/>
    </row>
    <row r="6872" spans="1:9" ht="15.75" thickBot="1" x14ac:dyDescent="0.3">
      <c r="A6872" s="43" t="s">
        <v>14367</v>
      </c>
      <c r="B6872" s="21" t="s">
        <v>14368</v>
      </c>
      <c r="C6872" s="21" t="s">
        <v>22655</v>
      </c>
      <c r="D6872" s="22">
        <v>46032</v>
      </c>
      <c r="E6872" s="23" t="s">
        <v>22658</v>
      </c>
      <c r="F6872" s="24" t="s">
        <v>22657</v>
      </c>
      <c r="G6872" s="25">
        <v>4</v>
      </c>
      <c r="H6872" s="26"/>
      <c r="I6872" s="27"/>
    </row>
    <row r="6873" spans="1:9" ht="15.75" thickBot="1" x14ac:dyDescent="0.3">
      <c r="A6873" s="43" t="s">
        <v>14369</v>
      </c>
      <c r="B6873" s="21" t="s">
        <v>14370</v>
      </c>
      <c r="C6873" s="21" t="s">
        <v>22655</v>
      </c>
      <c r="D6873" s="22">
        <v>46030</v>
      </c>
      <c r="E6873" s="23" t="s">
        <v>22656</v>
      </c>
      <c r="F6873" s="24" t="s">
        <v>22657</v>
      </c>
      <c r="G6873" s="25">
        <v>3</v>
      </c>
      <c r="H6873" s="29"/>
      <c r="I6873" s="30"/>
    </row>
    <row r="6874" spans="1:9" ht="15.75" thickBot="1" x14ac:dyDescent="0.3">
      <c r="A6874" s="43" t="s">
        <v>14371</v>
      </c>
      <c r="B6874" s="21" t="s">
        <v>14372</v>
      </c>
      <c r="C6874" s="21" t="s">
        <v>22655</v>
      </c>
      <c r="D6874" s="22">
        <v>46030</v>
      </c>
      <c r="E6874" s="23" t="s">
        <v>22656</v>
      </c>
      <c r="F6874" s="24" t="s">
        <v>22657</v>
      </c>
      <c r="G6874" s="25">
        <v>3</v>
      </c>
      <c r="H6874" s="26"/>
      <c r="I6874" s="27"/>
    </row>
    <row r="6875" spans="1:9" ht="15.75" thickBot="1" x14ac:dyDescent="0.3">
      <c r="A6875" s="43" t="s">
        <v>14373</v>
      </c>
      <c r="B6875" s="21" t="s">
        <v>14374</v>
      </c>
      <c r="C6875" s="21" t="s">
        <v>22655</v>
      </c>
      <c r="D6875" s="22">
        <v>46030</v>
      </c>
      <c r="E6875" s="23" t="s">
        <v>22656</v>
      </c>
      <c r="F6875" s="24" t="s">
        <v>22657</v>
      </c>
      <c r="G6875" s="25">
        <v>3</v>
      </c>
      <c r="H6875" s="29"/>
      <c r="I6875" s="30"/>
    </row>
    <row r="6876" spans="1:9" ht="15.75" thickBot="1" x14ac:dyDescent="0.3">
      <c r="A6876" s="43" t="s">
        <v>2002</v>
      </c>
      <c r="B6876" s="21" t="s">
        <v>2003</v>
      </c>
      <c r="C6876" s="21" t="s">
        <v>22655</v>
      </c>
      <c r="D6876" s="22">
        <v>46030</v>
      </c>
      <c r="E6876" s="23" t="s">
        <v>22656</v>
      </c>
      <c r="F6876" s="24" t="s">
        <v>22657</v>
      </c>
      <c r="G6876" s="25">
        <v>6</v>
      </c>
      <c r="H6876" s="34">
        <v>6</v>
      </c>
      <c r="I6876" s="35">
        <v>12</v>
      </c>
    </row>
    <row r="6877" spans="1:9" ht="15.75" thickBot="1" x14ac:dyDescent="0.3">
      <c r="A6877" s="43" t="s">
        <v>14375</v>
      </c>
      <c r="B6877" s="21" t="s">
        <v>14376</v>
      </c>
      <c r="C6877" s="21" t="s">
        <v>22655</v>
      </c>
      <c r="D6877" s="22">
        <v>46030</v>
      </c>
      <c r="E6877" s="23" t="s">
        <v>22656</v>
      </c>
      <c r="F6877" s="24" t="s">
        <v>22657</v>
      </c>
      <c r="G6877" s="25">
        <v>3</v>
      </c>
      <c r="H6877" s="29"/>
      <c r="I6877" s="30"/>
    </row>
    <row r="6878" spans="1:9" ht="15.75" thickBot="1" x14ac:dyDescent="0.3">
      <c r="A6878" s="43" t="s">
        <v>14377</v>
      </c>
      <c r="B6878" s="21" t="s">
        <v>14378</v>
      </c>
      <c r="C6878" s="21" t="s">
        <v>22655</v>
      </c>
      <c r="D6878" s="22">
        <v>46030</v>
      </c>
      <c r="E6878" s="23" t="s">
        <v>22656</v>
      </c>
      <c r="F6878" s="24" t="s">
        <v>22657</v>
      </c>
      <c r="G6878" s="25">
        <v>3</v>
      </c>
      <c r="H6878" s="26"/>
      <c r="I6878" s="27"/>
    </row>
    <row r="6879" spans="1:9" ht="15.75" thickBot="1" x14ac:dyDescent="0.3">
      <c r="A6879" s="43" t="s">
        <v>14379</v>
      </c>
      <c r="B6879" s="21" t="s">
        <v>14380</v>
      </c>
      <c r="C6879" s="21" t="s">
        <v>22655</v>
      </c>
      <c r="D6879" s="22">
        <v>46030</v>
      </c>
      <c r="E6879" s="23" t="s">
        <v>22656</v>
      </c>
      <c r="F6879" s="24" t="s">
        <v>22657</v>
      </c>
      <c r="G6879" s="25">
        <v>3</v>
      </c>
      <c r="H6879" s="29"/>
      <c r="I6879" s="30"/>
    </row>
    <row r="6880" spans="1:9" ht="15.75" thickBot="1" x14ac:dyDescent="0.3">
      <c r="A6880" s="43" t="s">
        <v>14381</v>
      </c>
      <c r="B6880" s="21" t="s">
        <v>14382</v>
      </c>
      <c r="C6880" s="21" t="s">
        <v>22655</v>
      </c>
      <c r="D6880" s="22">
        <v>46042</v>
      </c>
      <c r="E6880" s="23" t="s">
        <v>22656</v>
      </c>
      <c r="F6880" s="24" t="s">
        <v>22657</v>
      </c>
      <c r="G6880" s="25">
        <v>7</v>
      </c>
      <c r="H6880" s="26"/>
      <c r="I6880" s="27"/>
    </row>
    <row r="6881" spans="1:9" ht="15.75" thickBot="1" x14ac:dyDescent="0.3">
      <c r="A6881" s="43" t="s">
        <v>14383</v>
      </c>
      <c r="B6881" s="21" t="s">
        <v>14384</v>
      </c>
      <c r="C6881" s="21" t="s">
        <v>22655</v>
      </c>
      <c r="D6881" s="22">
        <v>46042</v>
      </c>
      <c r="E6881" s="23" t="s">
        <v>22656</v>
      </c>
      <c r="F6881" s="24" t="s">
        <v>22657</v>
      </c>
      <c r="G6881" s="25">
        <v>7</v>
      </c>
      <c r="H6881" s="29"/>
      <c r="I6881" s="30"/>
    </row>
    <row r="6882" spans="1:9" ht="15.75" thickBot="1" x14ac:dyDescent="0.3">
      <c r="A6882" s="43" t="s">
        <v>14385</v>
      </c>
      <c r="B6882" s="21" t="s">
        <v>14386</v>
      </c>
      <c r="C6882" s="21" t="s">
        <v>22655</v>
      </c>
      <c r="D6882" s="22">
        <v>46030</v>
      </c>
      <c r="E6882" s="23" t="s">
        <v>22656</v>
      </c>
      <c r="F6882" s="24" t="s">
        <v>22657</v>
      </c>
      <c r="G6882" s="25">
        <v>3</v>
      </c>
      <c r="H6882" s="26"/>
      <c r="I6882" s="27"/>
    </row>
    <row r="6883" spans="1:9" ht="15.75" thickBot="1" x14ac:dyDescent="0.3">
      <c r="A6883" s="43" t="s">
        <v>14387</v>
      </c>
      <c r="B6883" s="21" t="s">
        <v>14388</v>
      </c>
      <c r="C6883" s="21" t="s">
        <v>22655</v>
      </c>
      <c r="D6883" s="22">
        <v>46030</v>
      </c>
      <c r="E6883" s="23" t="s">
        <v>22656</v>
      </c>
      <c r="F6883" s="24" t="s">
        <v>22657</v>
      </c>
      <c r="G6883" s="25">
        <v>3</v>
      </c>
      <c r="H6883" s="29"/>
      <c r="I6883" s="30"/>
    </row>
    <row r="6884" spans="1:9" ht="15.75" thickBot="1" x14ac:dyDescent="0.3">
      <c r="A6884" s="43" t="s">
        <v>14389</v>
      </c>
      <c r="B6884" s="21" t="s">
        <v>14390</v>
      </c>
      <c r="C6884" s="21" t="s">
        <v>22655</v>
      </c>
      <c r="D6884" s="31" t="s">
        <v>22673</v>
      </c>
      <c r="E6884" s="23" t="s">
        <v>22658</v>
      </c>
      <c r="F6884" s="24" t="s">
        <v>22657</v>
      </c>
      <c r="G6884" s="25">
        <v>1</v>
      </c>
      <c r="H6884" s="26"/>
      <c r="I6884" s="27"/>
    </row>
    <row r="6885" spans="1:9" ht="15.75" thickBot="1" x14ac:dyDescent="0.3">
      <c r="A6885" s="43" t="s">
        <v>14391</v>
      </c>
      <c r="B6885" s="21" t="s">
        <v>14392</v>
      </c>
      <c r="C6885" s="21" t="s">
        <v>22655</v>
      </c>
      <c r="D6885" s="31" t="s">
        <v>22673</v>
      </c>
      <c r="E6885" s="23" t="s">
        <v>22658</v>
      </c>
      <c r="F6885" s="24" t="s">
        <v>22657</v>
      </c>
      <c r="G6885" s="25">
        <v>1</v>
      </c>
      <c r="H6885" s="29"/>
      <c r="I6885" s="30"/>
    </row>
    <row r="6886" spans="1:9" ht="15.75" thickBot="1" x14ac:dyDescent="0.3">
      <c r="A6886" s="43" t="s">
        <v>14393</v>
      </c>
      <c r="B6886" s="21" t="s">
        <v>14394</v>
      </c>
      <c r="C6886" s="21" t="s">
        <v>22655</v>
      </c>
      <c r="D6886" s="31" t="s">
        <v>22673</v>
      </c>
      <c r="E6886" s="23" t="s">
        <v>22658</v>
      </c>
      <c r="F6886" s="24" t="s">
        <v>22657</v>
      </c>
      <c r="G6886" s="25">
        <v>1</v>
      </c>
      <c r="H6886" s="26"/>
      <c r="I6886" s="27"/>
    </row>
    <row r="6887" spans="1:9" ht="15.75" thickBot="1" x14ac:dyDescent="0.3">
      <c r="A6887" s="43" t="s">
        <v>14395</v>
      </c>
      <c r="B6887" s="21" t="s">
        <v>14396</v>
      </c>
      <c r="C6887" s="21" t="s">
        <v>22655</v>
      </c>
      <c r="D6887" s="22">
        <v>46042</v>
      </c>
      <c r="E6887" s="23" t="s">
        <v>22658</v>
      </c>
      <c r="F6887" s="24" t="s">
        <v>22657</v>
      </c>
      <c r="G6887" s="25">
        <v>4</v>
      </c>
      <c r="H6887" s="29"/>
      <c r="I6887" s="30"/>
    </row>
    <row r="6888" spans="1:9" ht="15.75" thickBot="1" x14ac:dyDescent="0.3">
      <c r="A6888" s="43" t="s">
        <v>14397</v>
      </c>
      <c r="B6888" s="21" t="s">
        <v>14398</v>
      </c>
      <c r="C6888" s="21" t="s">
        <v>22655</v>
      </c>
      <c r="D6888" s="22">
        <v>46042</v>
      </c>
      <c r="E6888" s="23" t="s">
        <v>22658</v>
      </c>
      <c r="F6888" s="24" t="s">
        <v>22657</v>
      </c>
      <c r="G6888" s="25">
        <v>7</v>
      </c>
      <c r="H6888" s="26"/>
      <c r="I6888" s="27"/>
    </row>
    <row r="6889" spans="1:9" ht="15.75" thickBot="1" x14ac:dyDescent="0.3">
      <c r="A6889" s="43" t="s">
        <v>14399</v>
      </c>
      <c r="B6889" s="21" t="s">
        <v>14400</v>
      </c>
      <c r="C6889" s="21" t="s">
        <v>22655</v>
      </c>
      <c r="D6889" s="22">
        <v>46032</v>
      </c>
      <c r="E6889" s="23" t="s">
        <v>22658</v>
      </c>
      <c r="F6889" s="24" t="s">
        <v>22657</v>
      </c>
      <c r="G6889" s="25">
        <v>4</v>
      </c>
      <c r="H6889" s="29"/>
      <c r="I6889" s="30"/>
    </row>
    <row r="6890" spans="1:9" ht="15.75" thickBot="1" x14ac:dyDescent="0.3">
      <c r="A6890" s="43" t="s">
        <v>14401</v>
      </c>
      <c r="B6890" s="21" t="s">
        <v>14402</v>
      </c>
      <c r="C6890" s="21" t="s">
        <v>22655</v>
      </c>
      <c r="D6890" s="22">
        <v>46042</v>
      </c>
      <c r="E6890" s="23" t="s">
        <v>22658</v>
      </c>
      <c r="F6890" s="24" t="s">
        <v>22657</v>
      </c>
      <c r="G6890" s="25">
        <v>7</v>
      </c>
      <c r="H6890" s="26"/>
      <c r="I6890" s="27"/>
    </row>
    <row r="6891" spans="1:9" ht="15.75" thickBot="1" x14ac:dyDescent="0.3">
      <c r="A6891" s="43" t="s">
        <v>14403</v>
      </c>
      <c r="B6891" s="21" t="s">
        <v>14404</v>
      </c>
      <c r="C6891" s="21" t="s">
        <v>22655</v>
      </c>
      <c r="D6891" s="22">
        <v>46042</v>
      </c>
      <c r="E6891" s="23" t="s">
        <v>22658</v>
      </c>
      <c r="F6891" s="24" t="s">
        <v>22657</v>
      </c>
      <c r="G6891" s="25">
        <v>4</v>
      </c>
      <c r="H6891" s="29"/>
      <c r="I6891" s="30"/>
    </row>
    <row r="6892" spans="1:9" ht="15.75" thickBot="1" x14ac:dyDescent="0.3">
      <c r="A6892" s="43" t="s">
        <v>14405</v>
      </c>
      <c r="B6892" s="21" t="s">
        <v>14406</v>
      </c>
      <c r="C6892" s="21" t="s">
        <v>22655</v>
      </c>
      <c r="D6892" s="22">
        <v>46042</v>
      </c>
      <c r="E6892" s="23" t="s">
        <v>22658</v>
      </c>
      <c r="F6892" s="24" t="s">
        <v>22657</v>
      </c>
      <c r="G6892" s="25">
        <v>4</v>
      </c>
      <c r="H6892" s="26"/>
      <c r="I6892" s="27"/>
    </row>
    <row r="6893" spans="1:9" ht="15.75" thickBot="1" x14ac:dyDescent="0.3">
      <c r="A6893" s="43" t="s">
        <v>14407</v>
      </c>
      <c r="B6893" s="21" t="s">
        <v>14408</v>
      </c>
      <c r="C6893" s="21" t="s">
        <v>22663</v>
      </c>
      <c r="D6893" s="31">
        <v>1</v>
      </c>
      <c r="E6893" s="23" t="s">
        <v>22656</v>
      </c>
      <c r="F6893" s="24" t="s">
        <v>22657</v>
      </c>
      <c r="G6893" s="25">
        <v>7</v>
      </c>
      <c r="H6893" s="29"/>
      <c r="I6893" s="30"/>
    </row>
    <row r="6894" spans="1:9" ht="15.75" thickBot="1" x14ac:dyDescent="0.3">
      <c r="A6894" s="43" t="s">
        <v>14409</v>
      </c>
      <c r="B6894" s="21" t="s">
        <v>14410</v>
      </c>
      <c r="C6894" s="21" t="s">
        <v>22682</v>
      </c>
      <c r="D6894" s="22">
        <v>46034</v>
      </c>
      <c r="E6894" s="23" t="s">
        <v>22656</v>
      </c>
      <c r="F6894" s="24" t="s">
        <v>22657</v>
      </c>
      <c r="G6894" s="25">
        <v>4</v>
      </c>
      <c r="H6894" s="26"/>
      <c r="I6894" s="27"/>
    </row>
    <row r="6895" spans="1:9" ht="15.75" thickBot="1" x14ac:dyDescent="0.3">
      <c r="A6895" s="43" t="s">
        <v>14411</v>
      </c>
      <c r="B6895" s="21" t="s">
        <v>14412</v>
      </c>
      <c r="C6895" s="21" t="s">
        <v>22682</v>
      </c>
      <c r="D6895" s="22">
        <v>46034</v>
      </c>
      <c r="E6895" s="23" t="s">
        <v>22658</v>
      </c>
      <c r="F6895" s="24" t="s">
        <v>22657</v>
      </c>
      <c r="G6895" s="25">
        <v>4</v>
      </c>
      <c r="H6895" s="29"/>
      <c r="I6895" s="30"/>
    </row>
    <row r="6896" spans="1:9" ht="15.75" thickBot="1" x14ac:dyDescent="0.3">
      <c r="A6896" s="43" t="s">
        <v>14413</v>
      </c>
      <c r="B6896" s="21" t="s">
        <v>14414</v>
      </c>
      <c r="C6896" s="21" t="s">
        <v>22682</v>
      </c>
      <c r="D6896" s="22">
        <v>46034</v>
      </c>
      <c r="E6896" s="23" t="s">
        <v>22656</v>
      </c>
      <c r="F6896" s="24" t="s">
        <v>22657</v>
      </c>
      <c r="G6896" s="25">
        <v>4</v>
      </c>
      <c r="H6896" s="26"/>
      <c r="I6896" s="27"/>
    </row>
    <row r="6897" spans="1:9" ht="15.75" thickBot="1" x14ac:dyDescent="0.3">
      <c r="A6897" s="43" t="s">
        <v>14415</v>
      </c>
      <c r="B6897" s="21" t="s">
        <v>14416</v>
      </c>
      <c r="C6897" s="21" t="s">
        <v>22682</v>
      </c>
      <c r="D6897" s="22">
        <v>46034</v>
      </c>
      <c r="E6897" s="23" t="s">
        <v>22658</v>
      </c>
      <c r="F6897" s="24" t="s">
        <v>22657</v>
      </c>
      <c r="G6897" s="25">
        <v>4</v>
      </c>
      <c r="H6897" s="29"/>
      <c r="I6897" s="30"/>
    </row>
    <row r="6898" spans="1:9" ht="15.75" thickBot="1" x14ac:dyDescent="0.3">
      <c r="A6898" s="43" t="s">
        <v>14417</v>
      </c>
      <c r="B6898" s="21" t="s">
        <v>14418</v>
      </c>
      <c r="C6898" s="21" t="s">
        <v>22682</v>
      </c>
      <c r="D6898" s="22">
        <v>46034</v>
      </c>
      <c r="E6898" s="23" t="s">
        <v>22656</v>
      </c>
      <c r="F6898" s="24" t="s">
        <v>22657</v>
      </c>
      <c r="G6898" s="25">
        <v>4</v>
      </c>
      <c r="H6898" s="26"/>
      <c r="I6898" s="27"/>
    </row>
    <row r="6899" spans="1:9" ht="15.75" thickBot="1" x14ac:dyDescent="0.3">
      <c r="A6899" s="43" t="s">
        <v>14419</v>
      </c>
      <c r="B6899" s="21" t="s">
        <v>14420</v>
      </c>
      <c r="C6899" s="21" t="s">
        <v>22663</v>
      </c>
      <c r="D6899" s="31">
        <v>1</v>
      </c>
      <c r="E6899" s="23" t="s">
        <v>22658</v>
      </c>
      <c r="F6899" s="24" t="s">
        <v>22657</v>
      </c>
      <c r="G6899" s="25">
        <v>1</v>
      </c>
      <c r="H6899" s="29"/>
      <c r="I6899" s="30"/>
    </row>
    <row r="6900" spans="1:9" ht="15.75" thickBot="1" x14ac:dyDescent="0.3">
      <c r="A6900" s="43" t="s">
        <v>14421</v>
      </c>
      <c r="B6900" s="21" t="s">
        <v>14422</v>
      </c>
      <c r="C6900" s="21" t="s">
        <v>22682</v>
      </c>
      <c r="D6900" s="22">
        <v>46034</v>
      </c>
      <c r="E6900" s="23" t="s">
        <v>22658</v>
      </c>
      <c r="F6900" s="24" t="s">
        <v>22657</v>
      </c>
      <c r="G6900" s="25">
        <v>4</v>
      </c>
      <c r="H6900" s="26"/>
      <c r="I6900" s="27"/>
    </row>
    <row r="6901" spans="1:9" ht="15.75" thickBot="1" x14ac:dyDescent="0.3">
      <c r="A6901" s="43" t="s">
        <v>14423</v>
      </c>
      <c r="B6901" s="21" t="s">
        <v>14424</v>
      </c>
      <c r="C6901" s="21" t="s">
        <v>22663</v>
      </c>
      <c r="D6901" s="31">
        <v>1</v>
      </c>
      <c r="E6901" s="23" t="s">
        <v>22656</v>
      </c>
      <c r="F6901" s="24" t="s">
        <v>22657</v>
      </c>
      <c r="G6901" s="25">
        <v>2</v>
      </c>
      <c r="H6901" s="29"/>
      <c r="I6901" s="30"/>
    </row>
    <row r="6902" spans="1:9" ht="15.75" thickBot="1" x14ac:dyDescent="0.3">
      <c r="A6902" s="43" t="s">
        <v>14425</v>
      </c>
      <c r="B6902" s="21" t="s">
        <v>14426</v>
      </c>
      <c r="C6902" s="21" t="s">
        <v>22682</v>
      </c>
      <c r="D6902" s="22">
        <v>46034</v>
      </c>
      <c r="E6902" s="23" t="s">
        <v>22656</v>
      </c>
      <c r="F6902" s="24" t="s">
        <v>22657</v>
      </c>
      <c r="G6902" s="25">
        <v>4</v>
      </c>
      <c r="H6902" s="26"/>
      <c r="I6902" s="27"/>
    </row>
    <row r="6903" spans="1:9" ht="15.75" thickBot="1" x14ac:dyDescent="0.3">
      <c r="A6903" s="43" t="s">
        <v>14427</v>
      </c>
      <c r="B6903" s="21" t="s">
        <v>14428</v>
      </c>
      <c r="C6903" s="21" t="s">
        <v>22682</v>
      </c>
      <c r="D6903" s="22">
        <v>46034</v>
      </c>
      <c r="E6903" s="23" t="s">
        <v>22656</v>
      </c>
      <c r="F6903" s="24" t="s">
        <v>22657</v>
      </c>
      <c r="G6903" s="25">
        <v>4</v>
      </c>
      <c r="H6903" s="29"/>
      <c r="I6903" s="30"/>
    </row>
    <row r="6904" spans="1:9" ht="15.75" thickBot="1" x14ac:dyDescent="0.3">
      <c r="A6904" s="43" t="s">
        <v>14429</v>
      </c>
      <c r="B6904" s="21" t="s">
        <v>14430</v>
      </c>
      <c r="C6904" s="21" t="s">
        <v>22655</v>
      </c>
      <c r="D6904" s="31" t="s">
        <v>22688</v>
      </c>
      <c r="E6904" s="23" t="s">
        <v>22656</v>
      </c>
      <c r="F6904" s="24" t="s">
        <v>22657</v>
      </c>
      <c r="G6904" s="25">
        <v>4</v>
      </c>
      <c r="H6904" s="26"/>
      <c r="I6904" s="27"/>
    </row>
    <row r="6905" spans="1:9" ht="15.75" thickBot="1" x14ac:dyDescent="0.3">
      <c r="A6905" s="43" t="s">
        <v>14431</v>
      </c>
      <c r="B6905" s="21" t="s">
        <v>14432</v>
      </c>
      <c r="C6905" s="21" t="s">
        <v>22655</v>
      </c>
      <c r="D6905" s="31" t="s">
        <v>22666</v>
      </c>
      <c r="E6905" s="23" t="s">
        <v>22658</v>
      </c>
      <c r="F6905" s="24" t="s">
        <v>22657</v>
      </c>
      <c r="G6905" s="25">
        <v>4</v>
      </c>
      <c r="H6905" s="29"/>
      <c r="I6905" s="30"/>
    </row>
    <row r="6906" spans="1:9" ht="15.75" thickBot="1" x14ac:dyDescent="0.3">
      <c r="A6906" s="43" t="s">
        <v>14433</v>
      </c>
      <c r="B6906" s="21" t="s">
        <v>14434</v>
      </c>
      <c r="C6906" s="21" t="s">
        <v>22655</v>
      </c>
      <c r="D6906" s="31" t="s">
        <v>22732</v>
      </c>
      <c r="E6906" s="23" t="s">
        <v>22656</v>
      </c>
      <c r="F6906" s="24" t="s">
        <v>22657</v>
      </c>
      <c r="G6906" s="25">
        <v>7</v>
      </c>
      <c r="H6906" s="26"/>
      <c r="I6906" s="27"/>
    </row>
    <row r="6907" spans="1:9" ht="15.75" thickBot="1" x14ac:dyDescent="0.3">
      <c r="A6907" s="43" t="s">
        <v>14435</v>
      </c>
      <c r="B6907" s="21" t="s">
        <v>14436</v>
      </c>
      <c r="C6907" s="21" t="s">
        <v>22655</v>
      </c>
      <c r="D6907" s="31" t="s">
        <v>22660</v>
      </c>
      <c r="E6907" s="23" t="s">
        <v>22661</v>
      </c>
      <c r="F6907" s="24" t="s">
        <v>22657</v>
      </c>
      <c r="G6907" s="25">
        <v>10</v>
      </c>
      <c r="H6907" s="29"/>
      <c r="I6907" s="30"/>
    </row>
    <row r="6908" spans="1:9" ht="15.75" thickBot="1" x14ac:dyDescent="0.3">
      <c r="A6908" s="43" t="s">
        <v>14437</v>
      </c>
      <c r="B6908" s="21" t="s">
        <v>14438</v>
      </c>
      <c r="C6908" s="21" t="s">
        <v>22655</v>
      </c>
      <c r="D6908" s="31" t="s">
        <v>22708</v>
      </c>
      <c r="E6908" s="23" t="s">
        <v>22661</v>
      </c>
      <c r="F6908" s="24" t="s">
        <v>22657</v>
      </c>
      <c r="G6908" s="25">
        <v>8</v>
      </c>
      <c r="H6908" s="26"/>
      <c r="I6908" s="27"/>
    </row>
    <row r="6909" spans="1:9" ht="15.75" thickBot="1" x14ac:dyDescent="0.3">
      <c r="A6909" s="43" t="s">
        <v>14439</v>
      </c>
      <c r="B6909" s="21" t="s">
        <v>14440</v>
      </c>
      <c r="C6909" s="21" t="s">
        <v>22655</v>
      </c>
      <c r="D6909" s="22">
        <v>46040</v>
      </c>
      <c r="E6909" s="23" t="s">
        <v>22661</v>
      </c>
      <c r="F6909" s="24" t="s">
        <v>22657</v>
      </c>
      <c r="G6909" s="25">
        <v>3</v>
      </c>
      <c r="H6909" s="29"/>
      <c r="I6909" s="30"/>
    </row>
    <row r="6910" spans="1:9" ht="15.75" thickBot="1" x14ac:dyDescent="0.3">
      <c r="A6910" s="43" t="s">
        <v>14441</v>
      </c>
      <c r="B6910" s="21" t="s">
        <v>14442</v>
      </c>
      <c r="C6910" s="21" t="s">
        <v>22655</v>
      </c>
      <c r="D6910" s="22">
        <v>46028</v>
      </c>
      <c r="E6910" s="23" t="s">
        <v>22656</v>
      </c>
      <c r="F6910" s="24" t="s">
        <v>22657</v>
      </c>
      <c r="G6910" s="25">
        <v>8</v>
      </c>
      <c r="H6910" s="26"/>
      <c r="I6910" s="27"/>
    </row>
    <row r="6911" spans="1:9" ht="15.75" thickBot="1" x14ac:dyDescent="0.3">
      <c r="A6911" s="43" t="s">
        <v>14443</v>
      </c>
      <c r="B6911" s="21" t="s">
        <v>14444</v>
      </c>
      <c r="C6911" s="21" t="s">
        <v>22655</v>
      </c>
      <c r="D6911" s="31" t="s">
        <v>22732</v>
      </c>
      <c r="E6911" s="23" t="s">
        <v>22656</v>
      </c>
      <c r="F6911" s="24" t="s">
        <v>22657</v>
      </c>
      <c r="G6911" s="25">
        <v>2</v>
      </c>
      <c r="H6911" s="29"/>
      <c r="I6911" s="30"/>
    </row>
    <row r="6912" spans="1:9" ht="15.75" thickBot="1" x14ac:dyDescent="0.3">
      <c r="A6912" s="43" t="s">
        <v>14445</v>
      </c>
      <c r="B6912" s="21" t="s">
        <v>14446</v>
      </c>
      <c r="C6912" s="21" t="s">
        <v>22682</v>
      </c>
      <c r="D6912" s="22">
        <v>46034</v>
      </c>
      <c r="E6912" s="23" t="s">
        <v>22658</v>
      </c>
      <c r="F6912" s="24" t="s">
        <v>22657</v>
      </c>
      <c r="G6912" s="25">
        <v>4</v>
      </c>
      <c r="H6912" s="26"/>
      <c r="I6912" s="27"/>
    </row>
    <row r="6913" spans="1:9" ht="15.75" thickBot="1" x14ac:dyDescent="0.3">
      <c r="A6913" s="43" t="s">
        <v>14447</v>
      </c>
      <c r="B6913" s="21" t="s">
        <v>14448</v>
      </c>
      <c r="C6913" s="21" t="s">
        <v>22655</v>
      </c>
      <c r="D6913" s="22">
        <v>46034</v>
      </c>
      <c r="E6913" s="23" t="s">
        <v>22656</v>
      </c>
      <c r="F6913" s="24" t="s">
        <v>22657</v>
      </c>
      <c r="G6913" s="25">
        <v>4</v>
      </c>
      <c r="H6913" s="29"/>
      <c r="I6913" s="30"/>
    </row>
    <row r="6914" spans="1:9" ht="15.75" thickBot="1" x14ac:dyDescent="0.3">
      <c r="A6914" s="43" t="s">
        <v>14449</v>
      </c>
      <c r="B6914" s="21" t="s">
        <v>14450</v>
      </c>
      <c r="C6914" s="21" t="s">
        <v>22655</v>
      </c>
      <c r="D6914" s="22">
        <v>46046</v>
      </c>
      <c r="E6914" s="23" t="s">
        <v>22658</v>
      </c>
      <c r="F6914" s="24" t="s">
        <v>22657</v>
      </c>
      <c r="G6914" s="25">
        <v>8</v>
      </c>
      <c r="H6914" s="26"/>
      <c r="I6914" s="27"/>
    </row>
    <row r="6915" spans="1:9" ht="15.75" thickBot="1" x14ac:dyDescent="0.3">
      <c r="A6915" s="43" t="s">
        <v>14451</v>
      </c>
      <c r="B6915" s="21" t="s">
        <v>14452</v>
      </c>
      <c r="C6915" s="21" t="s">
        <v>22682</v>
      </c>
      <c r="D6915" s="22">
        <v>46034</v>
      </c>
      <c r="E6915" s="23" t="s">
        <v>22656</v>
      </c>
      <c r="F6915" s="24" t="s">
        <v>22657</v>
      </c>
      <c r="G6915" s="25">
        <v>4</v>
      </c>
      <c r="H6915" s="29"/>
      <c r="I6915" s="30"/>
    </row>
    <row r="6916" spans="1:9" ht="15.75" thickBot="1" x14ac:dyDescent="0.3">
      <c r="A6916" s="43" t="s">
        <v>14453</v>
      </c>
      <c r="B6916" s="21" t="s">
        <v>14454</v>
      </c>
      <c r="C6916" s="21" t="s">
        <v>22682</v>
      </c>
      <c r="D6916" s="22">
        <v>46034</v>
      </c>
      <c r="E6916" s="23" t="s">
        <v>22658</v>
      </c>
      <c r="F6916" s="24" t="s">
        <v>22657</v>
      </c>
      <c r="G6916" s="25">
        <v>4</v>
      </c>
      <c r="H6916" s="26"/>
      <c r="I6916" s="27"/>
    </row>
    <row r="6917" spans="1:9" ht="15.75" thickBot="1" x14ac:dyDescent="0.3">
      <c r="A6917" s="43" t="s">
        <v>14457</v>
      </c>
      <c r="B6917" s="21" t="s">
        <v>14458</v>
      </c>
      <c r="C6917" s="21" t="s">
        <v>22667</v>
      </c>
      <c r="D6917" s="31" t="s">
        <v>22668</v>
      </c>
      <c r="E6917" s="23" t="s">
        <v>22661</v>
      </c>
      <c r="F6917" s="24" t="s">
        <v>22657</v>
      </c>
      <c r="G6917" s="25">
        <v>4</v>
      </c>
      <c r="H6917" s="29"/>
      <c r="I6917" s="30"/>
    </row>
    <row r="6918" spans="1:9" ht="15.75" thickBot="1" x14ac:dyDescent="0.3">
      <c r="A6918" s="43" t="s">
        <v>14459</v>
      </c>
      <c r="B6918" s="21" t="s">
        <v>14460</v>
      </c>
      <c r="C6918" s="21" t="s">
        <v>22655</v>
      </c>
      <c r="D6918" s="31" t="s">
        <v>22666</v>
      </c>
      <c r="E6918" s="23" t="s">
        <v>22656</v>
      </c>
      <c r="F6918" s="24" t="s">
        <v>22657</v>
      </c>
      <c r="G6918" s="25">
        <v>4</v>
      </c>
      <c r="H6918" s="26"/>
      <c r="I6918" s="27"/>
    </row>
    <row r="6919" spans="1:9" ht="15.75" thickBot="1" x14ac:dyDescent="0.3">
      <c r="A6919" s="43" t="s">
        <v>14455</v>
      </c>
      <c r="B6919" s="21" t="s">
        <v>14456</v>
      </c>
      <c r="C6919" s="21" t="s">
        <v>22667</v>
      </c>
      <c r="D6919" s="31" t="s">
        <v>22668</v>
      </c>
      <c r="E6919" s="23" t="s">
        <v>22656</v>
      </c>
      <c r="F6919" s="24" t="s">
        <v>22657</v>
      </c>
      <c r="G6919" s="25">
        <v>4</v>
      </c>
      <c r="H6919" s="29"/>
      <c r="I6919" s="30"/>
    </row>
    <row r="6920" spans="1:9" ht="15.75" thickBot="1" x14ac:dyDescent="0.3">
      <c r="A6920" s="43" t="s">
        <v>14461</v>
      </c>
      <c r="B6920" s="21" t="s">
        <v>14462</v>
      </c>
      <c r="C6920" s="21" t="s">
        <v>22655</v>
      </c>
      <c r="D6920" s="31" t="s">
        <v>22786</v>
      </c>
      <c r="E6920" s="23" t="s">
        <v>22656</v>
      </c>
      <c r="F6920" s="24" t="s">
        <v>22657</v>
      </c>
      <c r="G6920" s="25">
        <v>4</v>
      </c>
      <c r="H6920" s="26"/>
      <c r="I6920" s="27"/>
    </row>
    <row r="6921" spans="1:9" ht="15.75" thickBot="1" x14ac:dyDescent="0.3">
      <c r="A6921" s="43" t="s">
        <v>14463</v>
      </c>
      <c r="B6921" s="21" t="s">
        <v>14464</v>
      </c>
      <c r="C6921" s="21" t="s">
        <v>22663</v>
      </c>
      <c r="D6921" s="31">
        <v>1</v>
      </c>
      <c r="E6921" s="23" t="s">
        <v>22656</v>
      </c>
      <c r="F6921" s="24" t="s">
        <v>22657</v>
      </c>
      <c r="G6921" s="25">
        <v>2</v>
      </c>
      <c r="H6921" s="29"/>
      <c r="I6921" s="30"/>
    </row>
    <row r="6922" spans="1:9" ht="15.75" thickBot="1" x14ac:dyDescent="0.3">
      <c r="A6922" s="43" t="s">
        <v>14465</v>
      </c>
      <c r="B6922" s="21" t="s">
        <v>14466</v>
      </c>
      <c r="C6922" s="21" t="s">
        <v>22712</v>
      </c>
      <c r="D6922" s="22">
        <v>46032</v>
      </c>
      <c r="E6922" s="23" t="s">
        <v>22656</v>
      </c>
      <c r="F6922" s="24" t="s">
        <v>22657</v>
      </c>
      <c r="G6922" s="25">
        <v>2</v>
      </c>
      <c r="H6922" s="26"/>
      <c r="I6922" s="27"/>
    </row>
    <row r="6923" spans="1:9" ht="15.75" thickBot="1" x14ac:dyDescent="0.3">
      <c r="A6923" s="43" t="s">
        <v>14467</v>
      </c>
      <c r="B6923" s="21" t="s">
        <v>14468</v>
      </c>
      <c r="C6923" s="21" t="s">
        <v>22663</v>
      </c>
      <c r="D6923" s="31">
        <v>1</v>
      </c>
      <c r="E6923" s="23" t="s">
        <v>22656</v>
      </c>
      <c r="F6923" s="24" t="s">
        <v>22657</v>
      </c>
      <c r="G6923" s="25">
        <v>2</v>
      </c>
      <c r="H6923" s="29"/>
      <c r="I6923" s="30"/>
    </row>
    <row r="6924" spans="1:9" ht="15.75" thickBot="1" x14ac:dyDescent="0.3">
      <c r="A6924" s="43" t="s">
        <v>14469</v>
      </c>
      <c r="B6924" s="21" t="s">
        <v>14470</v>
      </c>
      <c r="C6924" s="21" t="s">
        <v>22663</v>
      </c>
      <c r="D6924" s="31">
        <v>1</v>
      </c>
      <c r="E6924" s="23" t="s">
        <v>22661</v>
      </c>
      <c r="F6924" s="24" t="s">
        <v>22657</v>
      </c>
      <c r="G6924" s="25">
        <v>5</v>
      </c>
      <c r="H6924" s="26"/>
      <c r="I6924" s="27"/>
    </row>
    <row r="6925" spans="1:9" ht="15.75" thickBot="1" x14ac:dyDescent="0.3">
      <c r="A6925" s="43" t="s">
        <v>14471</v>
      </c>
      <c r="B6925" s="21" t="s">
        <v>14472</v>
      </c>
      <c r="C6925" s="21" t="s">
        <v>22672</v>
      </c>
      <c r="D6925" s="31" t="s">
        <v>22673</v>
      </c>
      <c r="E6925" s="23" t="s">
        <v>22656</v>
      </c>
      <c r="F6925" s="24" t="s">
        <v>22657</v>
      </c>
      <c r="G6925" s="25">
        <v>2</v>
      </c>
      <c r="H6925" s="29"/>
      <c r="I6925" s="30"/>
    </row>
    <row r="6926" spans="1:9" ht="15.75" thickBot="1" x14ac:dyDescent="0.3">
      <c r="A6926" s="43" t="s">
        <v>14473</v>
      </c>
      <c r="B6926" s="21" t="s">
        <v>14474</v>
      </c>
      <c r="C6926" s="21" t="s">
        <v>22667</v>
      </c>
      <c r="D6926" s="31" t="s">
        <v>22836</v>
      </c>
      <c r="E6926" s="23" t="s">
        <v>22656</v>
      </c>
      <c r="F6926" s="24" t="s">
        <v>22657</v>
      </c>
      <c r="G6926" s="25">
        <v>4</v>
      </c>
      <c r="H6926" s="26"/>
      <c r="I6926" s="27"/>
    </row>
    <row r="6927" spans="1:9" ht="15.75" thickBot="1" x14ac:dyDescent="0.3">
      <c r="A6927" s="43" t="s">
        <v>14475</v>
      </c>
      <c r="B6927" s="21" t="s">
        <v>14476</v>
      </c>
      <c r="C6927" s="21" t="s">
        <v>22655</v>
      </c>
      <c r="D6927" s="22">
        <v>46042</v>
      </c>
      <c r="E6927" s="23" t="s">
        <v>22656</v>
      </c>
      <c r="F6927" s="24" t="s">
        <v>22657</v>
      </c>
      <c r="G6927" s="25">
        <v>2</v>
      </c>
      <c r="H6927" s="29"/>
      <c r="I6927" s="30"/>
    </row>
    <row r="6928" spans="1:9" ht="15.75" thickBot="1" x14ac:dyDescent="0.3">
      <c r="A6928" s="43" t="s">
        <v>14477</v>
      </c>
      <c r="B6928" s="21" t="s">
        <v>14478</v>
      </c>
      <c r="C6928" s="21" t="s">
        <v>22667</v>
      </c>
      <c r="D6928" s="31" t="s">
        <v>22836</v>
      </c>
      <c r="E6928" s="23" t="s">
        <v>22656</v>
      </c>
      <c r="F6928" s="24" t="s">
        <v>22657</v>
      </c>
      <c r="G6928" s="25">
        <v>5</v>
      </c>
      <c r="H6928" s="26"/>
      <c r="I6928" s="27"/>
    </row>
    <row r="6929" spans="1:9" ht="15.75" thickBot="1" x14ac:dyDescent="0.3">
      <c r="A6929" s="43" t="s">
        <v>14479</v>
      </c>
      <c r="B6929" s="21" t="s">
        <v>14480</v>
      </c>
      <c r="C6929" s="21" t="s">
        <v>22682</v>
      </c>
      <c r="D6929" s="22">
        <v>46034</v>
      </c>
      <c r="E6929" s="23" t="s">
        <v>22656</v>
      </c>
      <c r="F6929" s="24" t="s">
        <v>22657</v>
      </c>
      <c r="G6929" s="25">
        <v>4</v>
      </c>
      <c r="H6929" s="29"/>
      <c r="I6929" s="30"/>
    </row>
    <row r="6930" spans="1:9" ht="15.75" thickBot="1" x14ac:dyDescent="0.3">
      <c r="A6930" s="43" t="s">
        <v>14481</v>
      </c>
      <c r="B6930" s="21" t="s">
        <v>14482</v>
      </c>
      <c r="C6930" s="21" t="s">
        <v>22682</v>
      </c>
      <c r="D6930" s="22">
        <v>46034</v>
      </c>
      <c r="E6930" s="23" t="s">
        <v>22658</v>
      </c>
      <c r="F6930" s="24" t="s">
        <v>22657</v>
      </c>
      <c r="G6930" s="25">
        <v>4</v>
      </c>
      <c r="H6930" s="26"/>
      <c r="I6930" s="27"/>
    </row>
    <row r="6931" spans="1:9" ht="15.75" thickBot="1" x14ac:dyDescent="0.3">
      <c r="A6931" s="43" t="s">
        <v>14483</v>
      </c>
      <c r="B6931" s="21" t="s">
        <v>14484</v>
      </c>
      <c r="C6931" s="21" t="s">
        <v>22682</v>
      </c>
      <c r="D6931" s="22">
        <v>46034</v>
      </c>
      <c r="E6931" s="23" t="s">
        <v>22656</v>
      </c>
      <c r="F6931" s="24" t="s">
        <v>22657</v>
      </c>
      <c r="G6931" s="25">
        <v>4</v>
      </c>
      <c r="H6931" s="29"/>
      <c r="I6931" s="30"/>
    </row>
    <row r="6932" spans="1:9" ht="15.75" thickBot="1" x14ac:dyDescent="0.3">
      <c r="A6932" s="43" t="s">
        <v>14485</v>
      </c>
      <c r="B6932" s="21" t="s">
        <v>14486</v>
      </c>
      <c r="C6932" s="21" t="s">
        <v>22682</v>
      </c>
      <c r="D6932" s="22">
        <v>46034</v>
      </c>
      <c r="E6932" s="23" t="s">
        <v>22658</v>
      </c>
      <c r="F6932" s="24" t="s">
        <v>22657</v>
      </c>
      <c r="G6932" s="25">
        <v>4</v>
      </c>
      <c r="H6932" s="26"/>
      <c r="I6932" s="27"/>
    </row>
    <row r="6933" spans="1:9" ht="15.75" thickBot="1" x14ac:dyDescent="0.3">
      <c r="A6933" s="43" t="s">
        <v>14487</v>
      </c>
      <c r="B6933" s="21" t="s">
        <v>14488</v>
      </c>
      <c r="C6933" s="21" t="s">
        <v>22682</v>
      </c>
      <c r="D6933" s="22">
        <v>46034</v>
      </c>
      <c r="E6933" s="23" t="s">
        <v>22658</v>
      </c>
      <c r="F6933" s="24" t="s">
        <v>22657</v>
      </c>
      <c r="G6933" s="25">
        <v>4</v>
      </c>
      <c r="H6933" s="29"/>
      <c r="I6933" s="30"/>
    </row>
    <row r="6934" spans="1:9" ht="15.75" thickBot="1" x14ac:dyDescent="0.3">
      <c r="A6934" s="43" t="s">
        <v>14489</v>
      </c>
      <c r="B6934" s="21" t="s">
        <v>14490</v>
      </c>
      <c r="C6934" s="21" t="s">
        <v>22682</v>
      </c>
      <c r="D6934" s="22">
        <v>46034</v>
      </c>
      <c r="E6934" s="23" t="s">
        <v>22658</v>
      </c>
      <c r="F6934" s="24" t="s">
        <v>22657</v>
      </c>
      <c r="G6934" s="25">
        <v>4</v>
      </c>
      <c r="H6934" s="26"/>
      <c r="I6934" s="27"/>
    </row>
    <row r="6935" spans="1:9" ht="15.75" thickBot="1" x14ac:dyDescent="0.3">
      <c r="A6935" s="43" t="s">
        <v>14491</v>
      </c>
      <c r="B6935" s="21" t="s">
        <v>14492</v>
      </c>
      <c r="C6935" s="21" t="s">
        <v>22682</v>
      </c>
      <c r="D6935" s="22">
        <v>46034</v>
      </c>
      <c r="E6935" s="23" t="s">
        <v>22656</v>
      </c>
      <c r="F6935" s="24" t="s">
        <v>22657</v>
      </c>
      <c r="G6935" s="25">
        <v>4</v>
      </c>
      <c r="H6935" s="29"/>
      <c r="I6935" s="30"/>
    </row>
    <row r="6936" spans="1:9" ht="15.75" thickBot="1" x14ac:dyDescent="0.3">
      <c r="A6936" s="43" t="s">
        <v>14493</v>
      </c>
      <c r="B6936" s="21" t="s">
        <v>14494</v>
      </c>
      <c r="C6936" s="21" t="s">
        <v>22682</v>
      </c>
      <c r="D6936" s="22">
        <v>46034</v>
      </c>
      <c r="E6936" s="23" t="s">
        <v>22656</v>
      </c>
      <c r="F6936" s="24" t="s">
        <v>22657</v>
      </c>
      <c r="G6936" s="25">
        <v>4</v>
      </c>
      <c r="H6936" s="26"/>
      <c r="I6936" s="27"/>
    </row>
    <row r="6937" spans="1:9" ht="15.75" thickBot="1" x14ac:dyDescent="0.3">
      <c r="A6937" s="43" t="s">
        <v>14495</v>
      </c>
      <c r="B6937" s="21" t="s">
        <v>14496</v>
      </c>
      <c r="C6937" s="21" t="s">
        <v>22682</v>
      </c>
      <c r="D6937" s="22">
        <v>46034</v>
      </c>
      <c r="E6937" s="23" t="s">
        <v>22656</v>
      </c>
      <c r="F6937" s="24" t="s">
        <v>22657</v>
      </c>
      <c r="G6937" s="25">
        <v>4</v>
      </c>
      <c r="H6937" s="29"/>
      <c r="I6937" s="30"/>
    </row>
    <row r="6938" spans="1:9" ht="15.75" thickBot="1" x14ac:dyDescent="0.3">
      <c r="A6938" s="43" t="s">
        <v>14497</v>
      </c>
      <c r="B6938" s="21" t="s">
        <v>14498</v>
      </c>
      <c r="C6938" s="21" t="s">
        <v>22682</v>
      </c>
      <c r="D6938" s="22">
        <v>46034</v>
      </c>
      <c r="E6938" s="23" t="s">
        <v>22658</v>
      </c>
      <c r="F6938" s="24" t="s">
        <v>22657</v>
      </c>
      <c r="G6938" s="25">
        <v>4</v>
      </c>
      <c r="H6938" s="26"/>
      <c r="I6938" s="27"/>
    </row>
    <row r="6939" spans="1:9" ht="15.75" thickBot="1" x14ac:dyDescent="0.3">
      <c r="A6939" s="43" t="s">
        <v>14499</v>
      </c>
      <c r="B6939" s="21" t="s">
        <v>14500</v>
      </c>
      <c r="C6939" s="21" t="s">
        <v>22682</v>
      </c>
      <c r="D6939" s="22">
        <v>46034</v>
      </c>
      <c r="E6939" s="23" t="s">
        <v>22656</v>
      </c>
      <c r="F6939" s="24" t="s">
        <v>22657</v>
      </c>
      <c r="G6939" s="25">
        <v>4</v>
      </c>
      <c r="H6939" s="29"/>
      <c r="I6939" s="30"/>
    </row>
    <row r="6940" spans="1:9" ht="15.75" thickBot="1" x14ac:dyDescent="0.3">
      <c r="A6940" s="43" t="s">
        <v>14501</v>
      </c>
      <c r="B6940" s="21" t="s">
        <v>14502</v>
      </c>
      <c r="C6940" s="21" t="s">
        <v>22682</v>
      </c>
      <c r="D6940" s="22">
        <v>46034</v>
      </c>
      <c r="E6940" s="23" t="s">
        <v>22656</v>
      </c>
      <c r="F6940" s="24" t="s">
        <v>22657</v>
      </c>
      <c r="G6940" s="25">
        <v>4</v>
      </c>
      <c r="H6940" s="26"/>
      <c r="I6940" s="27"/>
    </row>
    <row r="6941" spans="1:9" ht="15.75" thickBot="1" x14ac:dyDescent="0.3">
      <c r="A6941" s="43" t="s">
        <v>14503</v>
      </c>
      <c r="B6941" s="21" t="s">
        <v>14504</v>
      </c>
      <c r="C6941" s="21" t="s">
        <v>22663</v>
      </c>
      <c r="D6941" s="31">
        <v>1</v>
      </c>
      <c r="E6941" s="23" t="s">
        <v>22658</v>
      </c>
      <c r="F6941" s="24" t="s">
        <v>22657</v>
      </c>
      <c r="G6941" s="25">
        <v>2</v>
      </c>
      <c r="H6941" s="29"/>
      <c r="I6941" s="30"/>
    </row>
    <row r="6942" spans="1:9" ht="15.75" thickBot="1" x14ac:dyDescent="0.3">
      <c r="A6942" s="43" t="s">
        <v>14505</v>
      </c>
      <c r="B6942" s="21" t="s">
        <v>14506</v>
      </c>
      <c r="C6942" s="21" t="s">
        <v>22663</v>
      </c>
      <c r="D6942" s="31">
        <v>1</v>
      </c>
      <c r="E6942" s="23" t="s">
        <v>22658</v>
      </c>
      <c r="F6942" s="24" t="s">
        <v>22657</v>
      </c>
      <c r="G6942" s="25">
        <v>2</v>
      </c>
      <c r="H6942" s="26"/>
      <c r="I6942" s="27"/>
    </row>
    <row r="6943" spans="1:9" ht="15.75" thickBot="1" x14ac:dyDescent="0.3">
      <c r="A6943" s="43" t="s">
        <v>14507</v>
      </c>
      <c r="B6943" s="21" t="s">
        <v>14508</v>
      </c>
      <c r="C6943" s="21" t="s">
        <v>22663</v>
      </c>
      <c r="D6943" s="31">
        <v>1</v>
      </c>
      <c r="E6943" s="23" t="s">
        <v>22658</v>
      </c>
      <c r="F6943" s="24" t="s">
        <v>22657</v>
      </c>
      <c r="G6943" s="25">
        <v>2</v>
      </c>
      <c r="H6943" s="29"/>
      <c r="I6943" s="30"/>
    </row>
    <row r="6944" spans="1:9" ht="15.75" thickBot="1" x14ac:dyDescent="0.3">
      <c r="A6944" s="43" t="s">
        <v>14509</v>
      </c>
      <c r="B6944" s="21" t="s">
        <v>14510</v>
      </c>
      <c r="C6944" s="21" t="s">
        <v>22682</v>
      </c>
      <c r="D6944" s="22">
        <v>46034</v>
      </c>
      <c r="E6944" s="23" t="s">
        <v>22658</v>
      </c>
      <c r="F6944" s="24" t="s">
        <v>22657</v>
      </c>
      <c r="G6944" s="25">
        <v>4</v>
      </c>
      <c r="H6944" s="26"/>
      <c r="I6944" s="27"/>
    </row>
    <row r="6945" spans="1:9" ht="15.75" thickBot="1" x14ac:dyDescent="0.3">
      <c r="A6945" s="43" t="s">
        <v>14511</v>
      </c>
      <c r="B6945" s="21" t="s">
        <v>14512</v>
      </c>
      <c r="C6945" s="21" t="s">
        <v>22682</v>
      </c>
      <c r="D6945" s="22">
        <v>46034</v>
      </c>
      <c r="E6945" s="23" t="s">
        <v>22658</v>
      </c>
      <c r="F6945" s="24" t="s">
        <v>22657</v>
      </c>
      <c r="G6945" s="25">
        <v>4</v>
      </c>
      <c r="H6945" s="29"/>
      <c r="I6945" s="30"/>
    </row>
    <row r="6946" spans="1:9" ht="15.75" thickBot="1" x14ac:dyDescent="0.3">
      <c r="A6946" s="43" t="s">
        <v>14513</v>
      </c>
      <c r="B6946" s="21" t="s">
        <v>14514</v>
      </c>
      <c r="C6946" s="21" t="s">
        <v>22682</v>
      </c>
      <c r="D6946" s="22">
        <v>46034</v>
      </c>
      <c r="E6946" s="23" t="s">
        <v>22658</v>
      </c>
      <c r="F6946" s="24" t="s">
        <v>22657</v>
      </c>
      <c r="G6946" s="25">
        <v>4</v>
      </c>
      <c r="H6946" s="26"/>
      <c r="I6946" s="27"/>
    </row>
    <row r="6947" spans="1:9" ht="15.75" thickBot="1" x14ac:dyDescent="0.3">
      <c r="A6947" s="43" t="s">
        <v>14515</v>
      </c>
      <c r="B6947" s="21" t="s">
        <v>14516</v>
      </c>
      <c r="C6947" s="21" t="s">
        <v>22682</v>
      </c>
      <c r="D6947" s="22">
        <v>46034</v>
      </c>
      <c r="E6947" s="23" t="s">
        <v>22658</v>
      </c>
      <c r="F6947" s="24" t="s">
        <v>22657</v>
      </c>
      <c r="G6947" s="25">
        <v>4</v>
      </c>
      <c r="H6947" s="29"/>
      <c r="I6947" s="30"/>
    </row>
    <row r="6948" spans="1:9" ht="15.75" thickBot="1" x14ac:dyDescent="0.3">
      <c r="A6948" s="43" t="s">
        <v>14517</v>
      </c>
      <c r="B6948" s="21" t="s">
        <v>14518</v>
      </c>
      <c r="C6948" s="21" t="s">
        <v>22682</v>
      </c>
      <c r="D6948" s="22">
        <v>46034</v>
      </c>
      <c r="E6948" s="23" t="s">
        <v>22658</v>
      </c>
      <c r="F6948" s="24" t="s">
        <v>22657</v>
      </c>
      <c r="G6948" s="25">
        <v>4</v>
      </c>
      <c r="H6948" s="26"/>
      <c r="I6948" s="27"/>
    </row>
    <row r="6949" spans="1:9" ht="15.75" thickBot="1" x14ac:dyDescent="0.3">
      <c r="A6949" s="43" t="s">
        <v>14519</v>
      </c>
      <c r="B6949" s="21" t="s">
        <v>14520</v>
      </c>
      <c r="C6949" s="21" t="s">
        <v>22682</v>
      </c>
      <c r="D6949" s="22">
        <v>46034</v>
      </c>
      <c r="E6949" s="23" t="s">
        <v>22658</v>
      </c>
      <c r="F6949" s="24" t="s">
        <v>22657</v>
      </c>
      <c r="G6949" s="25">
        <v>4</v>
      </c>
      <c r="H6949" s="29"/>
      <c r="I6949" s="30"/>
    </row>
    <row r="6950" spans="1:9" ht="15.75" thickBot="1" x14ac:dyDescent="0.3">
      <c r="A6950" s="43" t="s">
        <v>14521</v>
      </c>
      <c r="B6950" s="21" t="s">
        <v>14522</v>
      </c>
      <c r="C6950" s="21" t="s">
        <v>22682</v>
      </c>
      <c r="D6950" s="22">
        <v>46034</v>
      </c>
      <c r="E6950" s="23" t="s">
        <v>22658</v>
      </c>
      <c r="F6950" s="24" t="s">
        <v>22657</v>
      </c>
      <c r="G6950" s="25">
        <v>4</v>
      </c>
      <c r="H6950" s="26"/>
      <c r="I6950" s="27"/>
    </row>
    <row r="6951" spans="1:9" ht="15.75" thickBot="1" x14ac:dyDescent="0.3">
      <c r="A6951" s="43" t="s">
        <v>14523</v>
      </c>
      <c r="B6951" s="21" t="s">
        <v>14524</v>
      </c>
      <c r="C6951" s="21" t="s">
        <v>22682</v>
      </c>
      <c r="D6951" s="22">
        <v>46034</v>
      </c>
      <c r="E6951" s="23" t="s">
        <v>22656</v>
      </c>
      <c r="F6951" s="24" t="s">
        <v>22657</v>
      </c>
      <c r="G6951" s="25">
        <v>4</v>
      </c>
      <c r="H6951" s="29"/>
      <c r="I6951" s="30"/>
    </row>
    <row r="6952" spans="1:9" ht="15.75" thickBot="1" x14ac:dyDescent="0.3">
      <c r="A6952" s="43" t="s">
        <v>14525</v>
      </c>
      <c r="B6952" s="21" t="s">
        <v>14526</v>
      </c>
      <c r="C6952" s="21" t="s">
        <v>22682</v>
      </c>
      <c r="D6952" s="22">
        <v>46034</v>
      </c>
      <c r="E6952" s="23" t="s">
        <v>22658</v>
      </c>
      <c r="F6952" s="24" t="s">
        <v>22657</v>
      </c>
      <c r="G6952" s="25">
        <v>4</v>
      </c>
      <c r="H6952" s="26"/>
      <c r="I6952" s="27"/>
    </row>
    <row r="6953" spans="1:9" ht="15.75" thickBot="1" x14ac:dyDescent="0.3">
      <c r="A6953" s="43" t="s">
        <v>14527</v>
      </c>
      <c r="B6953" s="21" t="s">
        <v>14528</v>
      </c>
      <c r="C6953" s="21" t="s">
        <v>22682</v>
      </c>
      <c r="D6953" s="22">
        <v>46034</v>
      </c>
      <c r="E6953" s="23" t="s">
        <v>22658</v>
      </c>
      <c r="F6953" s="24" t="s">
        <v>22657</v>
      </c>
      <c r="G6953" s="25">
        <v>4</v>
      </c>
      <c r="H6953" s="29"/>
      <c r="I6953" s="30"/>
    </row>
    <row r="6954" spans="1:9" ht="15.75" thickBot="1" x14ac:dyDescent="0.3">
      <c r="A6954" s="43" t="s">
        <v>14529</v>
      </c>
      <c r="B6954" s="21" t="s">
        <v>14530</v>
      </c>
      <c r="C6954" s="21" t="s">
        <v>22682</v>
      </c>
      <c r="D6954" s="22">
        <v>46034</v>
      </c>
      <c r="E6954" s="23" t="s">
        <v>22658</v>
      </c>
      <c r="F6954" s="24" t="s">
        <v>22657</v>
      </c>
      <c r="G6954" s="25">
        <v>4</v>
      </c>
      <c r="H6954" s="26"/>
      <c r="I6954" s="27"/>
    </row>
    <row r="6955" spans="1:9" ht="15.75" thickBot="1" x14ac:dyDescent="0.3">
      <c r="A6955" s="43" t="s">
        <v>14531</v>
      </c>
      <c r="B6955" s="21" t="s">
        <v>14532</v>
      </c>
      <c r="C6955" s="21" t="s">
        <v>22682</v>
      </c>
      <c r="D6955" s="22">
        <v>46034</v>
      </c>
      <c r="E6955" s="23" t="s">
        <v>22658</v>
      </c>
      <c r="F6955" s="24" t="s">
        <v>22657</v>
      </c>
      <c r="G6955" s="25">
        <v>4</v>
      </c>
      <c r="H6955" s="29"/>
      <c r="I6955" s="30"/>
    </row>
    <row r="6956" spans="1:9" ht="15.75" thickBot="1" x14ac:dyDescent="0.3">
      <c r="A6956" s="43" t="s">
        <v>14533</v>
      </c>
      <c r="B6956" s="21" t="s">
        <v>14534</v>
      </c>
      <c r="C6956" s="21" t="s">
        <v>22682</v>
      </c>
      <c r="D6956" s="22">
        <v>46034</v>
      </c>
      <c r="E6956" s="23" t="s">
        <v>22658</v>
      </c>
      <c r="F6956" s="24" t="s">
        <v>22657</v>
      </c>
      <c r="G6956" s="25">
        <v>4</v>
      </c>
      <c r="H6956" s="26"/>
      <c r="I6956" s="27"/>
    </row>
    <row r="6957" spans="1:9" ht="15.75" thickBot="1" x14ac:dyDescent="0.3">
      <c r="A6957" s="43" t="s">
        <v>14535</v>
      </c>
      <c r="B6957" s="21" t="s">
        <v>14536</v>
      </c>
      <c r="C6957" s="21" t="s">
        <v>22682</v>
      </c>
      <c r="D6957" s="22">
        <v>46034</v>
      </c>
      <c r="E6957" s="23" t="s">
        <v>22658</v>
      </c>
      <c r="F6957" s="24" t="s">
        <v>22657</v>
      </c>
      <c r="G6957" s="25">
        <v>4</v>
      </c>
      <c r="H6957" s="29"/>
      <c r="I6957" s="30"/>
    </row>
    <row r="6958" spans="1:9" ht="15.75" thickBot="1" x14ac:dyDescent="0.3">
      <c r="A6958" s="43" t="s">
        <v>14537</v>
      </c>
      <c r="B6958" s="21" t="s">
        <v>14538</v>
      </c>
      <c r="C6958" s="21" t="s">
        <v>22682</v>
      </c>
      <c r="D6958" s="22">
        <v>46034</v>
      </c>
      <c r="E6958" s="23" t="s">
        <v>22658</v>
      </c>
      <c r="F6958" s="24" t="s">
        <v>22657</v>
      </c>
      <c r="G6958" s="25">
        <v>4</v>
      </c>
      <c r="H6958" s="26"/>
      <c r="I6958" s="27"/>
    </row>
    <row r="6959" spans="1:9" ht="15.75" thickBot="1" x14ac:dyDescent="0.3">
      <c r="A6959" s="43" t="s">
        <v>14539</v>
      </c>
      <c r="B6959" s="21" t="s">
        <v>14540</v>
      </c>
      <c r="C6959" s="21" t="s">
        <v>22682</v>
      </c>
      <c r="D6959" s="22">
        <v>46034</v>
      </c>
      <c r="E6959" s="23" t="s">
        <v>22658</v>
      </c>
      <c r="F6959" s="24" t="s">
        <v>22657</v>
      </c>
      <c r="G6959" s="25">
        <v>4</v>
      </c>
      <c r="H6959" s="29"/>
      <c r="I6959" s="30"/>
    </row>
    <row r="6960" spans="1:9" ht="15.75" thickBot="1" x14ac:dyDescent="0.3">
      <c r="A6960" s="43" t="s">
        <v>14541</v>
      </c>
      <c r="B6960" s="21" t="s">
        <v>14542</v>
      </c>
      <c r="C6960" s="21" t="s">
        <v>22682</v>
      </c>
      <c r="D6960" s="22">
        <v>46034</v>
      </c>
      <c r="E6960" s="23" t="s">
        <v>22658</v>
      </c>
      <c r="F6960" s="24" t="s">
        <v>22657</v>
      </c>
      <c r="G6960" s="25">
        <v>4</v>
      </c>
      <c r="H6960" s="26"/>
      <c r="I6960" s="27"/>
    </row>
    <row r="6961" spans="1:9" ht="15.75" thickBot="1" x14ac:dyDescent="0.3">
      <c r="A6961" s="43" t="s">
        <v>14543</v>
      </c>
      <c r="B6961" s="21" t="s">
        <v>14544</v>
      </c>
      <c r="C6961" s="21" t="s">
        <v>22682</v>
      </c>
      <c r="D6961" s="22">
        <v>46034</v>
      </c>
      <c r="E6961" s="23" t="s">
        <v>22656</v>
      </c>
      <c r="F6961" s="24" t="s">
        <v>22657</v>
      </c>
      <c r="G6961" s="25">
        <v>4</v>
      </c>
      <c r="H6961" s="29"/>
      <c r="I6961" s="30"/>
    </row>
    <row r="6962" spans="1:9" ht="15.75" thickBot="1" x14ac:dyDescent="0.3">
      <c r="A6962" s="43" t="s">
        <v>14545</v>
      </c>
      <c r="B6962" s="21" t="s">
        <v>14546</v>
      </c>
      <c r="C6962" s="21" t="s">
        <v>22725</v>
      </c>
      <c r="D6962" s="31" t="s">
        <v>22688</v>
      </c>
      <c r="E6962" s="23" t="s">
        <v>22661</v>
      </c>
      <c r="F6962" s="24" t="s">
        <v>22657</v>
      </c>
      <c r="G6962" s="25">
        <v>14</v>
      </c>
      <c r="H6962" s="26"/>
      <c r="I6962" s="27"/>
    </row>
    <row r="6963" spans="1:9" ht="15.75" thickBot="1" x14ac:dyDescent="0.3">
      <c r="A6963" s="43" t="s">
        <v>14547</v>
      </c>
      <c r="B6963" s="21" t="s">
        <v>14548</v>
      </c>
      <c r="C6963" s="21" t="s">
        <v>22746</v>
      </c>
      <c r="D6963" s="31" t="s">
        <v>22837</v>
      </c>
      <c r="E6963" s="23" t="s">
        <v>22656</v>
      </c>
      <c r="F6963" s="24" t="s">
        <v>22657</v>
      </c>
      <c r="G6963" s="25">
        <v>2</v>
      </c>
      <c r="H6963" s="29"/>
      <c r="I6963" s="30"/>
    </row>
    <row r="6964" spans="1:9" ht="15.75" thickBot="1" x14ac:dyDescent="0.3">
      <c r="A6964" s="43" t="s">
        <v>1629</v>
      </c>
      <c r="B6964" s="21" t="s">
        <v>1630</v>
      </c>
      <c r="C6964" s="21" t="s">
        <v>22655</v>
      </c>
      <c r="D6964" s="31" t="s">
        <v>22660</v>
      </c>
      <c r="E6964" s="23" t="s">
        <v>22665</v>
      </c>
      <c r="F6964" s="24" t="s">
        <v>22657</v>
      </c>
      <c r="G6964" s="25">
        <v>6</v>
      </c>
      <c r="H6964" s="34">
        <v>6</v>
      </c>
      <c r="I6964" s="35">
        <v>12</v>
      </c>
    </row>
    <row r="6965" spans="1:9" ht="15.75" thickBot="1" x14ac:dyDescent="0.3">
      <c r="A6965" s="43" t="s">
        <v>14549</v>
      </c>
      <c r="B6965" s="21" t="s">
        <v>14550</v>
      </c>
      <c r="C6965" s="21" t="s">
        <v>22663</v>
      </c>
      <c r="D6965" s="31">
        <v>1</v>
      </c>
      <c r="E6965" s="23" t="s">
        <v>22656</v>
      </c>
      <c r="F6965" s="24" t="s">
        <v>22657</v>
      </c>
      <c r="G6965" s="25">
        <v>5</v>
      </c>
      <c r="H6965" s="29"/>
      <c r="I6965" s="30"/>
    </row>
    <row r="6966" spans="1:9" ht="15.75" thickBot="1" x14ac:dyDescent="0.3">
      <c r="A6966" s="43" t="s">
        <v>14551</v>
      </c>
      <c r="B6966" s="21" t="s">
        <v>14552</v>
      </c>
      <c r="C6966" s="21" t="s">
        <v>22655</v>
      </c>
      <c r="D6966" s="22">
        <v>46042</v>
      </c>
      <c r="E6966" s="23" t="s">
        <v>22656</v>
      </c>
      <c r="F6966" s="24" t="s">
        <v>22657</v>
      </c>
      <c r="G6966" s="25">
        <v>7</v>
      </c>
      <c r="H6966" s="26"/>
      <c r="I6966" s="27"/>
    </row>
    <row r="6967" spans="1:9" ht="15.75" thickBot="1" x14ac:dyDescent="0.3">
      <c r="A6967" s="43" t="s">
        <v>14553</v>
      </c>
      <c r="B6967" s="21" t="s">
        <v>14554</v>
      </c>
      <c r="C6967" s="21" t="s">
        <v>22655</v>
      </c>
      <c r="D6967" s="22">
        <v>46042</v>
      </c>
      <c r="E6967" s="23" t="s">
        <v>22656</v>
      </c>
      <c r="F6967" s="24" t="s">
        <v>22657</v>
      </c>
      <c r="G6967" s="25">
        <v>7</v>
      </c>
      <c r="H6967" s="29"/>
      <c r="I6967" s="30"/>
    </row>
    <row r="6968" spans="1:9" ht="15.75" thickBot="1" x14ac:dyDescent="0.3">
      <c r="A6968" s="43" t="s">
        <v>377</v>
      </c>
      <c r="B6968" s="21" t="s">
        <v>14555</v>
      </c>
      <c r="C6968" s="21" t="s">
        <v>22655</v>
      </c>
      <c r="D6968" s="22">
        <v>46042</v>
      </c>
      <c r="E6968" s="23" t="s">
        <v>22656</v>
      </c>
      <c r="F6968" s="24" t="s">
        <v>22657</v>
      </c>
      <c r="G6968" s="25">
        <v>7</v>
      </c>
      <c r="H6968" s="26"/>
      <c r="I6968" s="27"/>
    </row>
    <row r="6969" spans="1:9" ht="15.75" thickBot="1" x14ac:dyDescent="0.3">
      <c r="A6969" s="43" t="s">
        <v>14556</v>
      </c>
      <c r="B6969" s="21" t="s">
        <v>14557</v>
      </c>
      <c r="C6969" s="21" t="s">
        <v>22655</v>
      </c>
      <c r="D6969" s="22">
        <v>46042</v>
      </c>
      <c r="E6969" s="23" t="s">
        <v>22656</v>
      </c>
      <c r="F6969" s="24" t="s">
        <v>22657</v>
      </c>
      <c r="G6969" s="25">
        <v>2</v>
      </c>
      <c r="H6969" s="29"/>
      <c r="I6969" s="30"/>
    </row>
    <row r="6970" spans="1:9" ht="15.75" thickBot="1" x14ac:dyDescent="0.3">
      <c r="A6970" s="43" t="s">
        <v>14558</v>
      </c>
      <c r="B6970" s="21" t="s">
        <v>14559</v>
      </c>
      <c r="C6970" s="21" t="s">
        <v>22655</v>
      </c>
      <c r="D6970" s="22">
        <v>46046</v>
      </c>
      <c r="E6970" s="23" t="s">
        <v>22656</v>
      </c>
      <c r="F6970" s="24" t="s">
        <v>22657</v>
      </c>
      <c r="G6970" s="25">
        <v>2</v>
      </c>
      <c r="H6970" s="26"/>
      <c r="I6970" s="27"/>
    </row>
    <row r="6971" spans="1:9" ht="15.75" thickBot="1" x14ac:dyDescent="0.3">
      <c r="A6971" s="43" t="s">
        <v>1211</v>
      </c>
      <c r="B6971" s="21" t="s">
        <v>1212</v>
      </c>
      <c r="C6971" s="21" t="s">
        <v>22655</v>
      </c>
      <c r="D6971" s="22">
        <v>46026</v>
      </c>
      <c r="E6971" s="23" t="s">
        <v>22656</v>
      </c>
      <c r="F6971" s="24" t="s">
        <v>22657</v>
      </c>
      <c r="G6971" s="25">
        <v>5</v>
      </c>
      <c r="H6971" s="29"/>
      <c r="I6971" s="30"/>
    </row>
    <row r="6972" spans="1:9" ht="15.75" thickBot="1" x14ac:dyDescent="0.3">
      <c r="A6972" s="43" t="s">
        <v>14560</v>
      </c>
      <c r="B6972" s="21" t="s">
        <v>14561</v>
      </c>
      <c r="C6972" s="21" t="s">
        <v>22655</v>
      </c>
      <c r="D6972" s="22">
        <v>46046</v>
      </c>
      <c r="E6972" s="23" t="s">
        <v>22656</v>
      </c>
      <c r="F6972" s="24" t="s">
        <v>22657</v>
      </c>
      <c r="G6972" s="25">
        <v>2</v>
      </c>
      <c r="H6972" s="26"/>
      <c r="I6972" s="27"/>
    </row>
    <row r="6973" spans="1:9" ht="15.75" thickBot="1" x14ac:dyDescent="0.3">
      <c r="A6973" s="43" t="s">
        <v>14562</v>
      </c>
      <c r="B6973" s="21" t="s">
        <v>14563</v>
      </c>
      <c r="C6973" s="21" t="s">
        <v>22655</v>
      </c>
      <c r="D6973" s="22">
        <v>46037</v>
      </c>
      <c r="E6973" s="23" t="s">
        <v>22656</v>
      </c>
      <c r="F6973" s="24" t="s">
        <v>22657</v>
      </c>
      <c r="G6973" s="25">
        <v>5</v>
      </c>
      <c r="H6973" s="29"/>
      <c r="I6973" s="30"/>
    </row>
    <row r="6974" spans="1:9" ht="15.75" thickBot="1" x14ac:dyDescent="0.3">
      <c r="A6974" s="43" t="s">
        <v>14564</v>
      </c>
      <c r="B6974" s="21" t="s">
        <v>14565</v>
      </c>
      <c r="C6974" s="21" t="s">
        <v>22655</v>
      </c>
      <c r="D6974" s="22">
        <v>46042</v>
      </c>
      <c r="E6974" s="23" t="s">
        <v>22656</v>
      </c>
      <c r="F6974" s="24" t="s">
        <v>22657</v>
      </c>
      <c r="G6974" s="25">
        <v>7</v>
      </c>
      <c r="H6974" s="26"/>
      <c r="I6974" s="27"/>
    </row>
    <row r="6975" spans="1:9" ht="15.75" thickBot="1" x14ac:dyDescent="0.3">
      <c r="A6975" s="43" t="s">
        <v>14566</v>
      </c>
      <c r="B6975" s="21" t="s">
        <v>14567</v>
      </c>
      <c r="C6975" s="21" t="s">
        <v>22655</v>
      </c>
      <c r="D6975" s="22">
        <v>46042</v>
      </c>
      <c r="E6975" s="23" t="s">
        <v>22658</v>
      </c>
      <c r="F6975" s="24" t="s">
        <v>22657</v>
      </c>
      <c r="G6975" s="25">
        <v>7</v>
      </c>
      <c r="H6975" s="29"/>
      <c r="I6975" s="30"/>
    </row>
    <row r="6976" spans="1:9" ht="15.75" thickBot="1" x14ac:dyDescent="0.3">
      <c r="A6976" s="43" t="s">
        <v>14568</v>
      </c>
      <c r="B6976" s="21" t="s">
        <v>14569</v>
      </c>
      <c r="C6976" s="21" t="s">
        <v>22746</v>
      </c>
      <c r="D6976" s="31" t="s">
        <v>22670</v>
      </c>
      <c r="E6976" s="23" t="s">
        <v>22661</v>
      </c>
      <c r="F6976" s="24" t="s">
        <v>22657</v>
      </c>
      <c r="G6976" s="25">
        <v>10</v>
      </c>
      <c r="H6976" s="26"/>
      <c r="I6976" s="27"/>
    </row>
    <row r="6977" spans="1:9" ht="15.75" thickBot="1" x14ac:dyDescent="0.3">
      <c r="A6977" s="43" t="s">
        <v>14570</v>
      </c>
      <c r="B6977" s="21" t="s">
        <v>14571</v>
      </c>
      <c r="C6977" s="21" t="s">
        <v>22716</v>
      </c>
      <c r="D6977" s="22">
        <v>46028</v>
      </c>
      <c r="E6977" s="23" t="s">
        <v>22656</v>
      </c>
      <c r="F6977" s="24" t="s">
        <v>22657</v>
      </c>
      <c r="G6977" s="25">
        <v>2</v>
      </c>
      <c r="H6977" s="29"/>
      <c r="I6977" s="30"/>
    </row>
    <row r="6978" spans="1:9" ht="15.75" thickBot="1" x14ac:dyDescent="0.3">
      <c r="A6978" s="43" t="s">
        <v>14572</v>
      </c>
      <c r="B6978" s="21" t="s">
        <v>14573</v>
      </c>
      <c r="C6978" s="21" t="s">
        <v>22746</v>
      </c>
      <c r="D6978" s="31" t="s">
        <v>22670</v>
      </c>
      <c r="E6978" s="23" t="s">
        <v>22661</v>
      </c>
      <c r="F6978" s="24" t="s">
        <v>22657</v>
      </c>
      <c r="G6978" s="25">
        <v>34</v>
      </c>
      <c r="H6978" s="26"/>
      <c r="I6978" s="27"/>
    </row>
    <row r="6979" spans="1:9" ht="15.75" thickBot="1" x14ac:dyDescent="0.3">
      <c r="A6979" s="43" t="s">
        <v>14574</v>
      </c>
      <c r="B6979" s="21" t="s">
        <v>14575</v>
      </c>
      <c r="C6979" s="21" t="s">
        <v>22655</v>
      </c>
      <c r="D6979" s="31" t="s">
        <v>22673</v>
      </c>
      <c r="E6979" s="23" t="s">
        <v>22658</v>
      </c>
      <c r="F6979" s="24" t="s">
        <v>22657</v>
      </c>
      <c r="G6979" s="25">
        <v>17</v>
      </c>
      <c r="H6979" s="29"/>
      <c r="I6979" s="30"/>
    </row>
    <row r="6980" spans="1:9" ht="15.75" thickBot="1" x14ac:dyDescent="0.3">
      <c r="A6980" s="43" t="s">
        <v>14576</v>
      </c>
      <c r="B6980" s="21" t="s">
        <v>14577</v>
      </c>
      <c r="C6980" s="21" t="s">
        <v>22655</v>
      </c>
      <c r="D6980" s="31" t="s">
        <v>22673</v>
      </c>
      <c r="E6980" s="23" t="s">
        <v>22658</v>
      </c>
      <c r="F6980" s="24" t="s">
        <v>22657</v>
      </c>
      <c r="G6980" s="25">
        <v>17</v>
      </c>
      <c r="H6980" s="26"/>
      <c r="I6980" s="27"/>
    </row>
    <row r="6981" spans="1:9" ht="15.75" thickBot="1" x14ac:dyDescent="0.3">
      <c r="A6981" s="43" t="s">
        <v>14578</v>
      </c>
      <c r="B6981" s="21" t="s">
        <v>14579</v>
      </c>
      <c r="C6981" s="21" t="s">
        <v>22655</v>
      </c>
      <c r="D6981" s="31" t="s">
        <v>22673</v>
      </c>
      <c r="E6981" s="23" t="s">
        <v>22658</v>
      </c>
      <c r="F6981" s="24" t="s">
        <v>22657</v>
      </c>
      <c r="G6981" s="25">
        <v>17</v>
      </c>
      <c r="H6981" s="29"/>
      <c r="I6981" s="30"/>
    </row>
    <row r="6982" spans="1:9" ht="15.75" thickBot="1" x14ac:dyDescent="0.3">
      <c r="A6982" s="43" t="s">
        <v>22600</v>
      </c>
      <c r="B6982" s="21" t="s">
        <v>22601</v>
      </c>
      <c r="C6982" s="36" t="e">
        <v>#N/A</v>
      </c>
      <c r="D6982" s="37" t="e">
        <v>#N/A</v>
      </c>
      <c r="E6982" s="23" t="e">
        <v>#N/A</v>
      </c>
      <c r="F6982" s="24" t="s">
        <v>22657</v>
      </c>
      <c r="G6982" s="25" t="e">
        <v>#N/A</v>
      </c>
      <c r="H6982" s="26"/>
      <c r="I6982" s="27"/>
    </row>
    <row r="6983" spans="1:9" ht="15.75" thickBot="1" x14ac:dyDescent="0.3">
      <c r="A6983" s="43" t="s">
        <v>14580</v>
      </c>
      <c r="B6983" s="21" t="s">
        <v>14581</v>
      </c>
      <c r="C6983" s="21" t="s">
        <v>22746</v>
      </c>
      <c r="D6983" s="31" t="s">
        <v>22670</v>
      </c>
      <c r="E6983" s="23" t="s">
        <v>22658</v>
      </c>
      <c r="F6983" s="24" t="s">
        <v>22657</v>
      </c>
      <c r="G6983" s="25">
        <v>34</v>
      </c>
      <c r="H6983" s="29"/>
      <c r="I6983" s="30"/>
    </row>
    <row r="6984" spans="1:9" ht="15.75" thickBot="1" x14ac:dyDescent="0.3">
      <c r="A6984" s="43" t="s">
        <v>14582</v>
      </c>
      <c r="B6984" s="21" t="s">
        <v>14583</v>
      </c>
      <c r="C6984" s="21" t="s">
        <v>22746</v>
      </c>
      <c r="D6984" s="31" t="s">
        <v>22670</v>
      </c>
      <c r="E6984" s="23" t="s">
        <v>22661</v>
      </c>
      <c r="F6984" s="24" t="s">
        <v>22657</v>
      </c>
      <c r="G6984" s="25">
        <v>34</v>
      </c>
      <c r="H6984" s="26"/>
      <c r="I6984" s="27"/>
    </row>
    <row r="6985" spans="1:9" ht="15.75" thickBot="1" x14ac:dyDescent="0.3">
      <c r="A6985" s="43" t="s">
        <v>14584</v>
      </c>
      <c r="B6985" s="21" t="s">
        <v>14585</v>
      </c>
      <c r="C6985" s="21" t="s">
        <v>22655</v>
      </c>
      <c r="D6985" s="31" t="s">
        <v>22673</v>
      </c>
      <c r="E6985" s="23" t="s">
        <v>22656</v>
      </c>
      <c r="F6985" s="24" t="s">
        <v>22657</v>
      </c>
      <c r="G6985" s="25">
        <v>4</v>
      </c>
      <c r="H6985" s="29"/>
      <c r="I6985" s="30"/>
    </row>
    <row r="6986" spans="1:9" ht="15.75" thickBot="1" x14ac:dyDescent="0.3">
      <c r="A6986" s="43" t="s">
        <v>14586</v>
      </c>
      <c r="B6986" s="21" t="s">
        <v>14587</v>
      </c>
      <c r="C6986" s="21" t="s">
        <v>22655</v>
      </c>
      <c r="D6986" s="22">
        <v>46046</v>
      </c>
      <c r="E6986" s="23" t="s">
        <v>22656</v>
      </c>
      <c r="F6986" s="24" t="s">
        <v>22657</v>
      </c>
      <c r="G6986" s="25">
        <v>8</v>
      </c>
      <c r="H6986" s="26"/>
      <c r="I6986" s="27"/>
    </row>
    <row r="6987" spans="1:9" ht="15.75" thickBot="1" x14ac:dyDescent="0.3">
      <c r="A6987" s="43" t="s">
        <v>14588</v>
      </c>
      <c r="B6987" s="21" t="s">
        <v>14589</v>
      </c>
      <c r="C6987" s="21" t="s">
        <v>22655</v>
      </c>
      <c r="D6987" s="22">
        <v>46046</v>
      </c>
      <c r="E6987" s="23" t="s">
        <v>22658</v>
      </c>
      <c r="F6987" s="24" t="s">
        <v>22657</v>
      </c>
      <c r="G6987" s="25">
        <v>8</v>
      </c>
      <c r="H6987" s="29"/>
      <c r="I6987" s="30"/>
    </row>
    <row r="6988" spans="1:9" ht="15.75" thickBot="1" x14ac:dyDescent="0.3">
      <c r="A6988" s="43" t="s">
        <v>14590</v>
      </c>
      <c r="B6988" s="21" t="s">
        <v>14591</v>
      </c>
      <c r="C6988" s="21" t="s">
        <v>22725</v>
      </c>
      <c r="D6988" s="22">
        <v>46038</v>
      </c>
      <c r="E6988" s="23" t="s">
        <v>22658</v>
      </c>
      <c r="F6988" s="24" t="s">
        <v>22657</v>
      </c>
      <c r="G6988" s="25">
        <v>6</v>
      </c>
      <c r="H6988" s="26"/>
      <c r="I6988" s="27"/>
    </row>
    <row r="6989" spans="1:9" ht="15.75" thickBot="1" x14ac:dyDescent="0.3">
      <c r="A6989" s="43" t="s">
        <v>14592</v>
      </c>
      <c r="B6989" s="21" t="s">
        <v>14593</v>
      </c>
      <c r="C6989" s="21" t="s">
        <v>22725</v>
      </c>
      <c r="D6989" s="22">
        <v>46036</v>
      </c>
      <c r="E6989" s="23" t="s">
        <v>22656</v>
      </c>
      <c r="F6989" s="24" t="s">
        <v>22657</v>
      </c>
      <c r="G6989" s="25">
        <v>5</v>
      </c>
      <c r="H6989" s="29"/>
      <c r="I6989" s="30"/>
    </row>
    <row r="6990" spans="1:9" ht="15.75" thickBot="1" x14ac:dyDescent="0.3">
      <c r="A6990" s="43" t="s">
        <v>14594</v>
      </c>
      <c r="B6990" s="21" t="s">
        <v>14595</v>
      </c>
      <c r="C6990" s="21" t="s">
        <v>22725</v>
      </c>
      <c r="D6990" s="22">
        <v>46038</v>
      </c>
      <c r="E6990" s="23" t="s">
        <v>22658</v>
      </c>
      <c r="F6990" s="24" t="s">
        <v>22657</v>
      </c>
      <c r="G6990" s="25">
        <v>6</v>
      </c>
      <c r="H6990" s="26"/>
      <c r="I6990" s="27"/>
    </row>
    <row r="6991" spans="1:9" ht="15.75" thickBot="1" x14ac:dyDescent="0.3">
      <c r="A6991" s="43" t="s">
        <v>14596</v>
      </c>
      <c r="B6991" s="21" t="s">
        <v>14597</v>
      </c>
      <c r="C6991" s="21" t="s">
        <v>22655</v>
      </c>
      <c r="D6991" s="31" t="s">
        <v>22688</v>
      </c>
      <c r="E6991" s="23" t="s">
        <v>22658</v>
      </c>
      <c r="F6991" s="24" t="s">
        <v>22657</v>
      </c>
      <c r="G6991" s="25">
        <v>14</v>
      </c>
      <c r="H6991" s="29"/>
      <c r="I6991" s="30"/>
    </row>
    <row r="6992" spans="1:9" ht="15.75" thickBot="1" x14ac:dyDescent="0.3">
      <c r="A6992" s="43" t="s">
        <v>22602</v>
      </c>
      <c r="B6992" s="21" t="s">
        <v>22603</v>
      </c>
      <c r="C6992" s="36" t="e">
        <v>#N/A</v>
      </c>
      <c r="D6992" s="37" t="e">
        <v>#N/A</v>
      </c>
      <c r="E6992" s="23" t="e">
        <v>#N/A</v>
      </c>
      <c r="F6992" s="24" t="s">
        <v>22657</v>
      </c>
      <c r="G6992" s="25" t="e">
        <v>#N/A</v>
      </c>
      <c r="H6992" s="26"/>
      <c r="I6992" s="27"/>
    </row>
    <row r="6993" spans="1:9" ht="15.75" thickBot="1" x14ac:dyDescent="0.3">
      <c r="A6993" s="43" t="s">
        <v>615</v>
      </c>
      <c r="B6993" s="21" t="s">
        <v>616</v>
      </c>
      <c r="C6993" s="21" t="s">
        <v>22655</v>
      </c>
      <c r="D6993" s="31" t="s">
        <v>22688</v>
      </c>
      <c r="E6993" s="23" t="s">
        <v>22665</v>
      </c>
      <c r="F6993" s="24" t="s">
        <v>22657</v>
      </c>
      <c r="G6993" s="25">
        <v>14</v>
      </c>
      <c r="H6993" s="29"/>
      <c r="I6993" s="30"/>
    </row>
    <row r="6994" spans="1:9" ht="15.75" thickBot="1" x14ac:dyDescent="0.3">
      <c r="A6994" s="43" t="s">
        <v>22604</v>
      </c>
      <c r="B6994" s="21" t="s">
        <v>22605</v>
      </c>
      <c r="C6994" s="36" t="e">
        <v>#N/A</v>
      </c>
      <c r="D6994" s="37" t="e">
        <v>#N/A</v>
      </c>
      <c r="E6994" s="23" t="e">
        <v>#N/A</v>
      </c>
      <c r="F6994" s="24" t="s">
        <v>22657</v>
      </c>
      <c r="G6994" s="25" t="e">
        <v>#N/A</v>
      </c>
      <c r="H6994" s="26"/>
      <c r="I6994" s="27"/>
    </row>
    <row r="6995" spans="1:9" ht="15.75" thickBot="1" x14ac:dyDescent="0.3">
      <c r="A6995" s="43" t="s">
        <v>22606</v>
      </c>
      <c r="B6995" s="21" t="s">
        <v>22607</v>
      </c>
      <c r="C6995" s="36" t="e">
        <v>#N/A</v>
      </c>
      <c r="D6995" s="37" t="e">
        <v>#N/A</v>
      </c>
      <c r="E6995" s="23" t="e">
        <v>#N/A</v>
      </c>
      <c r="F6995" s="24" t="s">
        <v>22657</v>
      </c>
      <c r="G6995" s="25" t="e">
        <v>#N/A</v>
      </c>
      <c r="H6995" s="29"/>
      <c r="I6995" s="30"/>
    </row>
    <row r="6996" spans="1:9" ht="15.75" thickBot="1" x14ac:dyDescent="0.3">
      <c r="A6996" s="43" t="s">
        <v>14600</v>
      </c>
      <c r="B6996" s="21" t="s">
        <v>14601</v>
      </c>
      <c r="C6996" s="21" t="s">
        <v>22655</v>
      </c>
      <c r="D6996" s="22">
        <v>46042</v>
      </c>
      <c r="E6996" s="23" t="s">
        <v>22658</v>
      </c>
      <c r="F6996" s="24" t="s">
        <v>22657</v>
      </c>
      <c r="G6996" s="25">
        <v>7</v>
      </c>
      <c r="H6996" s="26"/>
      <c r="I6996" s="27"/>
    </row>
    <row r="6997" spans="1:9" ht="15.75" thickBot="1" x14ac:dyDescent="0.3">
      <c r="A6997" s="43" t="s">
        <v>14602</v>
      </c>
      <c r="B6997" s="21" t="s">
        <v>22608</v>
      </c>
      <c r="C6997" s="21" t="s">
        <v>22655</v>
      </c>
      <c r="D6997" s="22">
        <v>46042</v>
      </c>
      <c r="E6997" s="23" t="s">
        <v>22658</v>
      </c>
      <c r="F6997" s="24" t="s">
        <v>22657</v>
      </c>
      <c r="G6997" s="25">
        <v>7</v>
      </c>
      <c r="H6997" s="29"/>
      <c r="I6997" s="30"/>
    </row>
    <row r="6998" spans="1:9" ht="15.75" thickBot="1" x14ac:dyDescent="0.3">
      <c r="A6998" s="43" t="s">
        <v>14604</v>
      </c>
      <c r="B6998" s="21" t="s">
        <v>14605</v>
      </c>
      <c r="C6998" s="21" t="s">
        <v>22682</v>
      </c>
      <c r="D6998" s="22">
        <v>46034</v>
      </c>
      <c r="E6998" s="23" t="s">
        <v>22656</v>
      </c>
      <c r="F6998" s="24" t="s">
        <v>22657</v>
      </c>
      <c r="G6998" s="25">
        <v>4</v>
      </c>
      <c r="H6998" s="26"/>
      <c r="I6998" s="27"/>
    </row>
    <row r="6999" spans="1:9" ht="15.75" thickBot="1" x14ac:dyDescent="0.3">
      <c r="A6999" s="43" t="s">
        <v>14606</v>
      </c>
      <c r="B6999" s="21" t="s">
        <v>14607</v>
      </c>
      <c r="C6999" s="21" t="s">
        <v>22685</v>
      </c>
      <c r="D6999" s="31">
        <v>1</v>
      </c>
      <c r="E6999" s="23" t="s">
        <v>22658</v>
      </c>
      <c r="F6999" s="24" t="s">
        <v>22657</v>
      </c>
      <c r="G6999" s="25">
        <v>1</v>
      </c>
      <c r="H6999" s="29"/>
      <c r="I6999" s="30"/>
    </row>
    <row r="7000" spans="1:9" ht="15.75" thickBot="1" x14ac:dyDescent="0.3">
      <c r="A7000" s="43" t="s">
        <v>14608</v>
      </c>
      <c r="B7000" s="21" t="s">
        <v>14609</v>
      </c>
      <c r="C7000" s="21" t="s">
        <v>22685</v>
      </c>
      <c r="D7000" s="31">
        <v>1</v>
      </c>
      <c r="E7000" s="23" t="s">
        <v>22658</v>
      </c>
      <c r="F7000" s="24" t="s">
        <v>22657</v>
      </c>
      <c r="G7000" s="25">
        <v>1</v>
      </c>
      <c r="H7000" s="26"/>
      <c r="I7000" s="27"/>
    </row>
    <row r="7001" spans="1:9" ht="15.75" thickBot="1" x14ac:dyDescent="0.3">
      <c r="A7001" s="43" t="s">
        <v>14610</v>
      </c>
      <c r="B7001" s="21" t="s">
        <v>14611</v>
      </c>
      <c r="C7001" s="21" t="s">
        <v>22655</v>
      </c>
      <c r="D7001" s="22">
        <v>46032</v>
      </c>
      <c r="E7001" s="23" t="s">
        <v>22656</v>
      </c>
      <c r="F7001" s="24" t="s">
        <v>22657</v>
      </c>
      <c r="G7001" s="25">
        <v>4</v>
      </c>
      <c r="H7001" s="29"/>
      <c r="I7001" s="30"/>
    </row>
    <row r="7002" spans="1:9" ht="15.75" thickBot="1" x14ac:dyDescent="0.3">
      <c r="A7002" s="43" t="s">
        <v>14612</v>
      </c>
      <c r="B7002" s="21" t="s">
        <v>14613</v>
      </c>
      <c r="C7002" s="21" t="s">
        <v>22655</v>
      </c>
      <c r="D7002" s="31" t="s">
        <v>22688</v>
      </c>
      <c r="E7002" s="23" t="s">
        <v>22658</v>
      </c>
      <c r="F7002" s="24" t="s">
        <v>22657</v>
      </c>
      <c r="G7002" s="25">
        <v>14</v>
      </c>
      <c r="H7002" s="26"/>
      <c r="I7002" s="27"/>
    </row>
    <row r="7003" spans="1:9" ht="15.75" thickBot="1" x14ac:dyDescent="0.3">
      <c r="A7003" s="43" t="s">
        <v>14614</v>
      </c>
      <c r="B7003" s="21" t="s">
        <v>14615</v>
      </c>
      <c r="C7003" s="21" t="s">
        <v>22655</v>
      </c>
      <c r="D7003" s="22">
        <v>46042</v>
      </c>
      <c r="E7003" s="23" t="s">
        <v>22661</v>
      </c>
      <c r="F7003" s="24" t="s">
        <v>22657</v>
      </c>
      <c r="G7003" s="25">
        <v>7</v>
      </c>
      <c r="H7003" s="29"/>
      <c r="I7003" s="30"/>
    </row>
    <row r="7004" spans="1:9" ht="15.75" thickBot="1" x14ac:dyDescent="0.3">
      <c r="A7004" s="43" t="s">
        <v>14616</v>
      </c>
      <c r="B7004" s="21" t="s">
        <v>14617</v>
      </c>
      <c r="C7004" s="21" t="s">
        <v>22655</v>
      </c>
      <c r="D7004" s="22">
        <v>46032</v>
      </c>
      <c r="E7004" s="23" t="s">
        <v>22658</v>
      </c>
      <c r="F7004" s="24" t="s">
        <v>22657</v>
      </c>
      <c r="G7004" s="25">
        <v>4</v>
      </c>
      <c r="H7004" s="26"/>
      <c r="I7004" s="27"/>
    </row>
    <row r="7005" spans="1:9" ht="15.75" thickBot="1" x14ac:dyDescent="0.3">
      <c r="A7005" s="43" t="s">
        <v>14618</v>
      </c>
      <c r="B7005" s="21" t="s">
        <v>14619</v>
      </c>
      <c r="C7005" s="21" t="s">
        <v>22725</v>
      </c>
      <c r="D7005" s="31" t="s">
        <v>22823</v>
      </c>
      <c r="E7005" s="23" t="s">
        <v>22658</v>
      </c>
      <c r="F7005" s="24" t="s">
        <v>22657</v>
      </c>
      <c r="G7005" s="25">
        <v>84</v>
      </c>
      <c r="H7005" s="29"/>
      <c r="I7005" s="30"/>
    </row>
    <row r="7006" spans="1:9" ht="15.75" thickBot="1" x14ac:dyDescent="0.3">
      <c r="A7006" s="43" t="s">
        <v>22609</v>
      </c>
      <c r="B7006" s="21" t="s">
        <v>22610</v>
      </c>
      <c r="C7006" s="36" t="e">
        <v>#N/A</v>
      </c>
      <c r="D7006" s="37" t="e">
        <v>#N/A</v>
      </c>
      <c r="E7006" s="23" t="e">
        <v>#N/A</v>
      </c>
      <c r="F7006" s="24" t="s">
        <v>22657</v>
      </c>
      <c r="G7006" s="25" t="e">
        <v>#N/A</v>
      </c>
      <c r="H7006" s="26"/>
      <c r="I7006" s="27"/>
    </row>
    <row r="7007" spans="1:9" ht="15.75" thickBot="1" x14ac:dyDescent="0.3">
      <c r="A7007" s="43" t="s">
        <v>14620</v>
      </c>
      <c r="B7007" s="21" t="s">
        <v>14621</v>
      </c>
      <c r="C7007" s="21" t="s">
        <v>22838</v>
      </c>
      <c r="D7007" s="31">
        <v>1</v>
      </c>
      <c r="E7007" s="23" t="s">
        <v>22658</v>
      </c>
      <c r="F7007" s="28" t="s">
        <v>22659</v>
      </c>
      <c r="G7007" s="25">
        <v>1</v>
      </c>
      <c r="H7007" s="29"/>
      <c r="I7007" s="30"/>
    </row>
    <row r="7008" spans="1:9" ht="15.75" thickBot="1" x14ac:dyDescent="0.3">
      <c r="A7008" s="43" t="s">
        <v>14622</v>
      </c>
      <c r="B7008" s="21" t="s">
        <v>14623</v>
      </c>
      <c r="C7008" s="21" t="s">
        <v>22672</v>
      </c>
      <c r="D7008" s="31" t="s">
        <v>22673</v>
      </c>
      <c r="E7008" s="23" t="s">
        <v>22656</v>
      </c>
      <c r="F7008" s="24" t="s">
        <v>22657</v>
      </c>
      <c r="G7008" s="25">
        <v>5</v>
      </c>
      <c r="H7008" s="26"/>
      <c r="I7008" s="27"/>
    </row>
    <row r="7009" spans="1:9" ht="15.75" thickBot="1" x14ac:dyDescent="0.3">
      <c r="A7009" s="43" t="s">
        <v>14624</v>
      </c>
      <c r="B7009" s="21" t="s">
        <v>14625</v>
      </c>
      <c r="C7009" s="21" t="s">
        <v>22655</v>
      </c>
      <c r="D7009" s="31" t="s">
        <v>22688</v>
      </c>
      <c r="E7009" s="23" t="s">
        <v>22661</v>
      </c>
      <c r="F7009" s="24" t="s">
        <v>22657</v>
      </c>
      <c r="G7009" s="25">
        <v>14</v>
      </c>
      <c r="H7009" s="29"/>
      <c r="I7009" s="30"/>
    </row>
    <row r="7010" spans="1:9" ht="15.75" thickBot="1" x14ac:dyDescent="0.3">
      <c r="A7010" s="43" t="s">
        <v>14626</v>
      </c>
      <c r="B7010" s="21" t="s">
        <v>14627</v>
      </c>
      <c r="C7010" s="21" t="s">
        <v>22655</v>
      </c>
      <c r="D7010" s="22">
        <v>46042</v>
      </c>
      <c r="E7010" s="23" t="s">
        <v>22656</v>
      </c>
      <c r="F7010" s="24" t="s">
        <v>22657</v>
      </c>
      <c r="G7010" s="25">
        <v>7</v>
      </c>
      <c r="H7010" s="26"/>
      <c r="I7010" s="27"/>
    </row>
    <row r="7011" spans="1:9" ht="15.75" thickBot="1" x14ac:dyDescent="0.3">
      <c r="A7011" s="43" t="s">
        <v>14628</v>
      </c>
      <c r="B7011" s="21" t="s">
        <v>14629</v>
      </c>
      <c r="C7011" s="21" t="s">
        <v>22682</v>
      </c>
      <c r="D7011" s="22">
        <v>46034</v>
      </c>
      <c r="E7011" s="23" t="s">
        <v>22656</v>
      </c>
      <c r="F7011" s="24" t="s">
        <v>22657</v>
      </c>
      <c r="G7011" s="25">
        <v>6</v>
      </c>
      <c r="H7011" s="32">
        <v>6</v>
      </c>
      <c r="I7011" s="33">
        <v>8</v>
      </c>
    </row>
    <row r="7012" spans="1:9" ht="15.75" thickBot="1" x14ac:dyDescent="0.3">
      <c r="A7012" s="43" t="s">
        <v>14630</v>
      </c>
      <c r="B7012" s="21" t="s">
        <v>14631</v>
      </c>
      <c r="C7012" s="21" t="s">
        <v>22682</v>
      </c>
      <c r="D7012" s="22">
        <v>46034</v>
      </c>
      <c r="E7012" s="23" t="s">
        <v>22656</v>
      </c>
      <c r="F7012" s="24" t="s">
        <v>22657</v>
      </c>
      <c r="G7012" s="25">
        <v>4</v>
      </c>
      <c r="H7012" s="26"/>
      <c r="I7012" s="27"/>
    </row>
    <row r="7013" spans="1:9" ht="15.75" thickBot="1" x14ac:dyDescent="0.3">
      <c r="A7013" s="43" t="s">
        <v>14632</v>
      </c>
      <c r="B7013" s="21" t="s">
        <v>14633</v>
      </c>
      <c r="C7013" s="21" t="s">
        <v>22682</v>
      </c>
      <c r="D7013" s="22">
        <v>46034</v>
      </c>
      <c r="E7013" s="23" t="s">
        <v>22656</v>
      </c>
      <c r="F7013" s="24" t="s">
        <v>22657</v>
      </c>
      <c r="G7013" s="25">
        <v>4</v>
      </c>
      <c r="H7013" s="29"/>
      <c r="I7013" s="30"/>
    </row>
    <row r="7014" spans="1:9" ht="15.75" thickBot="1" x14ac:dyDescent="0.3">
      <c r="A7014" s="43" t="s">
        <v>14634</v>
      </c>
      <c r="B7014" s="21" t="s">
        <v>14635</v>
      </c>
      <c r="C7014" s="21" t="s">
        <v>22663</v>
      </c>
      <c r="D7014" s="31">
        <v>1</v>
      </c>
      <c r="E7014" s="23" t="s">
        <v>22656</v>
      </c>
      <c r="F7014" s="24" t="s">
        <v>22657</v>
      </c>
      <c r="G7014" s="25">
        <v>2</v>
      </c>
      <c r="H7014" s="26"/>
      <c r="I7014" s="27"/>
    </row>
    <row r="7015" spans="1:9" ht="15.75" thickBot="1" x14ac:dyDescent="0.3">
      <c r="A7015" s="43" t="s">
        <v>14636</v>
      </c>
      <c r="B7015" s="21" t="s">
        <v>14637</v>
      </c>
      <c r="C7015" s="21" t="s">
        <v>22682</v>
      </c>
      <c r="D7015" s="22">
        <v>46034</v>
      </c>
      <c r="E7015" s="23" t="s">
        <v>22656</v>
      </c>
      <c r="F7015" s="24" t="s">
        <v>22657</v>
      </c>
      <c r="G7015" s="25">
        <v>4</v>
      </c>
      <c r="H7015" s="29"/>
      <c r="I7015" s="30"/>
    </row>
    <row r="7016" spans="1:9" ht="15.75" thickBot="1" x14ac:dyDescent="0.3">
      <c r="A7016" s="43" t="s">
        <v>14638</v>
      </c>
      <c r="B7016" s="21" t="s">
        <v>14639</v>
      </c>
      <c r="C7016" s="21" t="s">
        <v>22682</v>
      </c>
      <c r="D7016" s="22">
        <v>46034</v>
      </c>
      <c r="E7016" s="23" t="s">
        <v>22658</v>
      </c>
      <c r="F7016" s="24" t="s">
        <v>22657</v>
      </c>
      <c r="G7016" s="25">
        <v>4</v>
      </c>
      <c r="H7016" s="26"/>
      <c r="I7016" s="27"/>
    </row>
    <row r="7017" spans="1:9" ht="15.75" thickBot="1" x14ac:dyDescent="0.3">
      <c r="A7017" s="43" t="s">
        <v>14640</v>
      </c>
      <c r="B7017" s="21" t="s">
        <v>14641</v>
      </c>
      <c r="C7017" s="21" t="s">
        <v>22682</v>
      </c>
      <c r="D7017" s="22">
        <v>46034</v>
      </c>
      <c r="E7017" s="23" t="s">
        <v>22658</v>
      </c>
      <c r="F7017" s="24" t="s">
        <v>22657</v>
      </c>
      <c r="G7017" s="25">
        <v>4</v>
      </c>
      <c r="H7017" s="29"/>
      <c r="I7017" s="30"/>
    </row>
    <row r="7018" spans="1:9" ht="15.75" thickBot="1" x14ac:dyDescent="0.3">
      <c r="A7018" s="43" t="s">
        <v>14642</v>
      </c>
      <c r="B7018" s="21" t="s">
        <v>14643</v>
      </c>
      <c r="C7018" s="21" t="s">
        <v>22682</v>
      </c>
      <c r="D7018" s="22">
        <v>46034</v>
      </c>
      <c r="E7018" s="23" t="s">
        <v>22658</v>
      </c>
      <c r="F7018" s="24" t="s">
        <v>22657</v>
      </c>
      <c r="G7018" s="25">
        <v>4</v>
      </c>
      <c r="H7018" s="26"/>
      <c r="I7018" s="27"/>
    </row>
    <row r="7019" spans="1:9" ht="15.75" thickBot="1" x14ac:dyDescent="0.3">
      <c r="A7019" s="43" t="s">
        <v>14644</v>
      </c>
      <c r="B7019" s="21" t="s">
        <v>14645</v>
      </c>
      <c r="C7019" s="21" t="s">
        <v>22682</v>
      </c>
      <c r="D7019" s="22">
        <v>46034</v>
      </c>
      <c r="E7019" s="23" t="s">
        <v>22658</v>
      </c>
      <c r="F7019" s="24" t="s">
        <v>22657</v>
      </c>
      <c r="G7019" s="25">
        <v>4</v>
      </c>
      <c r="H7019" s="29"/>
      <c r="I7019" s="30"/>
    </row>
    <row r="7020" spans="1:9" ht="15.75" thickBot="1" x14ac:dyDescent="0.3">
      <c r="A7020" s="43" t="s">
        <v>14646</v>
      </c>
      <c r="B7020" s="21" t="s">
        <v>14647</v>
      </c>
      <c r="C7020" s="21" t="s">
        <v>22682</v>
      </c>
      <c r="D7020" s="22">
        <v>46034</v>
      </c>
      <c r="E7020" s="23" t="s">
        <v>22658</v>
      </c>
      <c r="F7020" s="24" t="s">
        <v>22657</v>
      </c>
      <c r="G7020" s="25">
        <v>4</v>
      </c>
      <c r="H7020" s="26"/>
      <c r="I7020" s="27"/>
    </row>
    <row r="7021" spans="1:9" ht="15.75" thickBot="1" x14ac:dyDescent="0.3">
      <c r="A7021" s="43" t="s">
        <v>14648</v>
      </c>
      <c r="B7021" s="21" t="s">
        <v>14649</v>
      </c>
      <c r="C7021" s="21" t="s">
        <v>22682</v>
      </c>
      <c r="D7021" s="22">
        <v>46034</v>
      </c>
      <c r="E7021" s="23" t="s">
        <v>22658</v>
      </c>
      <c r="F7021" s="24" t="s">
        <v>22657</v>
      </c>
      <c r="G7021" s="25">
        <v>4</v>
      </c>
      <c r="H7021" s="29"/>
      <c r="I7021" s="30"/>
    </row>
    <row r="7022" spans="1:9" ht="15.75" thickBot="1" x14ac:dyDescent="0.3">
      <c r="A7022" s="43" t="s">
        <v>14650</v>
      </c>
      <c r="B7022" s="21" t="s">
        <v>14651</v>
      </c>
      <c r="C7022" s="21" t="s">
        <v>22682</v>
      </c>
      <c r="D7022" s="22">
        <v>46034</v>
      </c>
      <c r="E7022" s="23" t="s">
        <v>22656</v>
      </c>
      <c r="F7022" s="24" t="s">
        <v>22657</v>
      </c>
      <c r="G7022" s="25">
        <v>4</v>
      </c>
      <c r="H7022" s="26"/>
      <c r="I7022" s="27"/>
    </row>
    <row r="7023" spans="1:9" ht="15.75" thickBot="1" x14ac:dyDescent="0.3">
      <c r="A7023" s="43" t="s">
        <v>14652</v>
      </c>
      <c r="B7023" s="21" t="s">
        <v>14653</v>
      </c>
      <c r="C7023" s="21" t="s">
        <v>22682</v>
      </c>
      <c r="D7023" s="22">
        <v>46034</v>
      </c>
      <c r="E7023" s="23" t="s">
        <v>22658</v>
      </c>
      <c r="F7023" s="24" t="s">
        <v>22657</v>
      </c>
      <c r="G7023" s="25">
        <v>4</v>
      </c>
      <c r="H7023" s="29"/>
      <c r="I7023" s="30"/>
    </row>
    <row r="7024" spans="1:9" ht="15.75" thickBot="1" x14ac:dyDescent="0.3">
      <c r="A7024" s="43" t="s">
        <v>14654</v>
      </c>
      <c r="B7024" s="21" t="s">
        <v>14655</v>
      </c>
      <c r="C7024" s="21" t="s">
        <v>22682</v>
      </c>
      <c r="D7024" s="22">
        <v>46034</v>
      </c>
      <c r="E7024" s="23" t="s">
        <v>22658</v>
      </c>
      <c r="F7024" s="24" t="s">
        <v>22657</v>
      </c>
      <c r="G7024" s="25">
        <v>4</v>
      </c>
      <c r="H7024" s="26"/>
      <c r="I7024" s="27"/>
    </row>
    <row r="7025" spans="1:9" ht="15.75" thickBot="1" x14ac:dyDescent="0.3">
      <c r="A7025" s="43" t="s">
        <v>14656</v>
      </c>
      <c r="B7025" s="21" t="s">
        <v>14657</v>
      </c>
      <c r="C7025" s="21" t="s">
        <v>22682</v>
      </c>
      <c r="D7025" s="22">
        <v>46034</v>
      </c>
      <c r="E7025" s="23" t="s">
        <v>22656</v>
      </c>
      <c r="F7025" s="24" t="s">
        <v>22657</v>
      </c>
      <c r="G7025" s="25">
        <v>4</v>
      </c>
      <c r="H7025" s="29"/>
      <c r="I7025" s="30"/>
    </row>
    <row r="7026" spans="1:9" ht="15.75" thickBot="1" x14ac:dyDescent="0.3">
      <c r="A7026" s="43" t="s">
        <v>14658</v>
      </c>
      <c r="B7026" s="21" t="s">
        <v>14659</v>
      </c>
      <c r="C7026" s="21" t="s">
        <v>22682</v>
      </c>
      <c r="D7026" s="22">
        <v>46034</v>
      </c>
      <c r="E7026" s="23" t="s">
        <v>22658</v>
      </c>
      <c r="F7026" s="24" t="s">
        <v>22657</v>
      </c>
      <c r="G7026" s="25">
        <v>4</v>
      </c>
      <c r="H7026" s="26"/>
      <c r="I7026" s="27"/>
    </row>
    <row r="7027" spans="1:9" ht="15.75" thickBot="1" x14ac:dyDescent="0.3">
      <c r="A7027" s="43" t="s">
        <v>14660</v>
      </c>
      <c r="B7027" s="21" t="s">
        <v>14661</v>
      </c>
      <c r="C7027" s="21" t="s">
        <v>22682</v>
      </c>
      <c r="D7027" s="22">
        <v>46034</v>
      </c>
      <c r="E7027" s="23" t="s">
        <v>22658</v>
      </c>
      <c r="F7027" s="24" t="s">
        <v>22657</v>
      </c>
      <c r="G7027" s="25">
        <v>4</v>
      </c>
      <c r="H7027" s="29"/>
      <c r="I7027" s="30"/>
    </row>
    <row r="7028" spans="1:9" ht="15.75" thickBot="1" x14ac:dyDescent="0.3">
      <c r="A7028" s="43" t="s">
        <v>14662</v>
      </c>
      <c r="B7028" s="21" t="s">
        <v>14663</v>
      </c>
      <c r="C7028" s="21" t="s">
        <v>22682</v>
      </c>
      <c r="D7028" s="22">
        <v>46034</v>
      </c>
      <c r="E7028" s="23" t="s">
        <v>22658</v>
      </c>
      <c r="F7028" s="24" t="s">
        <v>22657</v>
      </c>
      <c r="G7028" s="25">
        <v>4</v>
      </c>
      <c r="H7028" s="26"/>
      <c r="I7028" s="27"/>
    </row>
    <row r="7029" spans="1:9" ht="15.75" thickBot="1" x14ac:dyDescent="0.3">
      <c r="A7029" s="43" t="s">
        <v>14664</v>
      </c>
      <c r="B7029" s="21" t="s">
        <v>14665</v>
      </c>
      <c r="C7029" s="21" t="s">
        <v>22682</v>
      </c>
      <c r="D7029" s="22">
        <v>46034</v>
      </c>
      <c r="E7029" s="23" t="s">
        <v>22658</v>
      </c>
      <c r="F7029" s="24" t="s">
        <v>22657</v>
      </c>
      <c r="G7029" s="25">
        <v>4</v>
      </c>
      <c r="H7029" s="29"/>
      <c r="I7029" s="30"/>
    </row>
    <row r="7030" spans="1:9" ht="15.75" thickBot="1" x14ac:dyDescent="0.3">
      <c r="A7030" s="43" t="s">
        <v>14666</v>
      </c>
      <c r="B7030" s="21" t="s">
        <v>14667</v>
      </c>
      <c r="C7030" s="21" t="s">
        <v>22682</v>
      </c>
      <c r="D7030" s="22">
        <v>46034</v>
      </c>
      <c r="E7030" s="23" t="s">
        <v>22658</v>
      </c>
      <c r="F7030" s="24" t="s">
        <v>22657</v>
      </c>
      <c r="G7030" s="25">
        <v>4</v>
      </c>
      <c r="H7030" s="26"/>
      <c r="I7030" s="27"/>
    </row>
    <row r="7031" spans="1:9" ht="15.75" thickBot="1" x14ac:dyDescent="0.3">
      <c r="A7031" s="43" t="s">
        <v>14668</v>
      </c>
      <c r="B7031" s="21" t="s">
        <v>14669</v>
      </c>
      <c r="C7031" s="21" t="s">
        <v>22682</v>
      </c>
      <c r="D7031" s="22">
        <v>46034</v>
      </c>
      <c r="E7031" s="23" t="s">
        <v>22656</v>
      </c>
      <c r="F7031" s="24" t="s">
        <v>22657</v>
      </c>
      <c r="G7031" s="25">
        <v>4</v>
      </c>
      <c r="H7031" s="29"/>
      <c r="I7031" s="30"/>
    </row>
    <row r="7032" spans="1:9" ht="15.75" thickBot="1" x14ac:dyDescent="0.3">
      <c r="A7032" s="43" t="s">
        <v>14670</v>
      </c>
      <c r="B7032" s="21" t="s">
        <v>14671</v>
      </c>
      <c r="C7032" s="21" t="s">
        <v>22682</v>
      </c>
      <c r="D7032" s="22">
        <v>46034</v>
      </c>
      <c r="E7032" s="23" t="s">
        <v>22656</v>
      </c>
      <c r="F7032" s="24" t="s">
        <v>22657</v>
      </c>
      <c r="G7032" s="25">
        <v>4</v>
      </c>
      <c r="H7032" s="26"/>
      <c r="I7032" s="27"/>
    </row>
    <row r="7033" spans="1:9" ht="15.75" thickBot="1" x14ac:dyDescent="0.3">
      <c r="A7033" s="43" t="s">
        <v>14672</v>
      </c>
      <c r="B7033" s="21" t="s">
        <v>14673</v>
      </c>
      <c r="C7033" s="21" t="s">
        <v>22682</v>
      </c>
      <c r="D7033" s="22">
        <v>46034</v>
      </c>
      <c r="E7033" s="23" t="s">
        <v>22658</v>
      </c>
      <c r="F7033" s="24" t="s">
        <v>22657</v>
      </c>
      <c r="G7033" s="25">
        <v>4</v>
      </c>
      <c r="H7033" s="29"/>
      <c r="I7033" s="30"/>
    </row>
    <row r="7034" spans="1:9" ht="15.75" thickBot="1" x14ac:dyDescent="0.3">
      <c r="A7034" s="43" t="s">
        <v>14674</v>
      </c>
      <c r="B7034" s="21" t="s">
        <v>14675</v>
      </c>
      <c r="C7034" s="21" t="s">
        <v>22682</v>
      </c>
      <c r="D7034" s="22">
        <v>46034</v>
      </c>
      <c r="E7034" s="23" t="s">
        <v>22658</v>
      </c>
      <c r="F7034" s="24" t="s">
        <v>22657</v>
      </c>
      <c r="G7034" s="25">
        <v>4</v>
      </c>
      <c r="H7034" s="26"/>
      <c r="I7034" s="27"/>
    </row>
    <row r="7035" spans="1:9" ht="15.75" thickBot="1" x14ac:dyDescent="0.3">
      <c r="A7035" s="43" t="s">
        <v>14676</v>
      </c>
      <c r="B7035" s="21" t="s">
        <v>14677</v>
      </c>
      <c r="C7035" s="21" t="s">
        <v>22682</v>
      </c>
      <c r="D7035" s="22">
        <v>46034</v>
      </c>
      <c r="E7035" s="23" t="s">
        <v>22656</v>
      </c>
      <c r="F7035" s="24" t="s">
        <v>22657</v>
      </c>
      <c r="G7035" s="25">
        <v>4</v>
      </c>
      <c r="H7035" s="29"/>
      <c r="I7035" s="30"/>
    </row>
    <row r="7036" spans="1:9" ht="15.75" thickBot="1" x14ac:dyDescent="0.3">
      <c r="A7036" s="43" t="s">
        <v>14678</v>
      </c>
      <c r="B7036" s="21" t="s">
        <v>14679</v>
      </c>
      <c r="C7036" s="21" t="s">
        <v>22682</v>
      </c>
      <c r="D7036" s="22">
        <v>46034</v>
      </c>
      <c r="E7036" s="23" t="s">
        <v>22658</v>
      </c>
      <c r="F7036" s="24" t="s">
        <v>22657</v>
      </c>
      <c r="G7036" s="25">
        <v>4</v>
      </c>
      <c r="H7036" s="26"/>
      <c r="I7036" s="27"/>
    </row>
    <row r="7037" spans="1:9" ht="15.75" thickBot="1" x14ac:dyDescent="0.3">
      <c r="A7037" s="43" t="s">
        <v>14680</v>
      </c>
      <c r="B7037" s="21" t="s">
        <v>14681</v>
      </c>
      <c r="C7037" s="21" t="s">
        <v>22682</v>
      </c>
      <c r="D7037" s="22">
        <v>46034</v>
      </c>
      <c r="E7037" s="23" t="s">
        <v>22658</v>
      </c>
      <c r="F7037" s="24" t="s">
        <v>22657</v>
      </c>
      <c r="G7037" s="25">
        <v>4</v>
      </c>
      <c r="H7037" s="29"/>
      <c r="I7037" s="30"/>
    </row>
    <row r="7038" spans="1:9" ht="15.75" thickBot="1" x14ac:dyDescent="0.3">
      <c r="A7038" s="43" t="s">
        <v>14682</v>
      </c>
      <c r="B7038" s="21" t="s">
        <v>14683</v>
      </c>
      <c r="C7038" s="21" t="s">
        <v>22682</v>
      </c>
      <c r="D7038" s="22">
        <v>46034</v>
      </c>
      <c r="E7038" s="23" t="s">
        <v>22656</v>
      </c>
      <c r="F7038" s="24" t="s">
        <v>22657</v>
      </c>
      <c r="G7038" s="25">
        <v>4</v>
      </c>
      <c r="H7038" s="26"/>
      <c r="I7038" s="27"/>
    </row>
    <row r="7039" spans="1:9" ht="15.75" thickBot="1" x14ac:dyDescent="0.3">
      <c r="A7039" s="43" t="s">
        <v>14684</v>
      </c>
      <c r="B7039" s="21" t="s">
        <v>14685</v>
      </c>
      <c r="C7039" s="21" t="s">
        <v>22682</v>
      </c>
      <c r="D7039" s="22">
        <v>46034</v>
      </c>
      <c r="E7039" s="23" t="s">
        <v>22656</v>
      </c>
      <c r="F7039" s="24" t="s">
        <v>22657</v>
      </c>
      <c r="G7039" s="25">
        <v>4</v>
      </c>
      <c r="H7039" s="29"/>
      <c r="I7039" s="30"/>
    </row>
    <row r="7040" spans="1:9" ht="15.75" thickBot="1" x14ac:dyDescent="0.3">
      <c r="A7040" s="43" t="s">
        <v>14686</v>
      </c>
      <c r="B7040" s="21" t="s">
        <v>14687</v>
      </c>
      <c r="C7040" s="21" t="s">
        <v>22682</v>
      </c>
      <c r="D7040" s="22">
        <v>46034</v>
      </c>
      <c r="E7040" s="23" t="s">
        <v>22656</v>
      </c>
      <c r="F7040" s="24" t="s">
        <v>22657</v>
      </c>
      <c r="G7040" s="25">
        <v>4</v>
      </c>
      <c r="H7040" s="26"/>
      <c r="I7040" s="27"/>
    </row>
    <row r="7041" spans="1:9" ht="15.75" thickBot="1" x14ac:dyDescent="0.3">
      <c r="A7041" s="43" t="s">
        <v>14688</v>
      </c>
      <c r="B7041" s="21" t="s">
        <v>14689</v>
      </c>
      <c r="C7041" s="21" t="s">
        <v>22682</v>
      </c>
      <c r="D7041" s="22">
        <v>46034</v>
      </c>
      <c r="E7041" s="23" t="s">
        <v>22656</v>
      </c>
      <c r="F7041" s="24" t="s">
        <v>22657</v>
      </c>
      <c r="G7041" s="25">
        <v>4</v>
      </c>
      <c r="H7041" s="29"/>
      <c r="I7041" s="30"/>
    </row>
    <row r="7042" spans="1:9" ht="15.75" thickBot="1" x14ac:dyDescent="0.3">
      <c r="A7042" s="43" t="s">
        <v>14690</v>
      </c>
      <c r="B7042" s="21" t="s">
        <v>14691</v>
      </c>
      <c r="C7042" s="21" t="s">
        <v>22682</v>
      </c>
      <c r="D7042" s="22">
        <v>46034</v>
      </c>
      <c r="E7042" s="23" t="s">
        <v>22658</v>
      </c>
      <c r="F7042" s="24" t="s">
        <v>22657</v>
      </c>
      <c r="G7042" s="25">
        <v>4</v>
      </c>
      <c r="H7042" s="26"/>
      <c r="I7042" s="27"/>
    </row>
    <row r="7043" spans="1:9" ht="15.75" thickBot="1" x14ac:dyDescent="0.3">
      <c r="A7043" s="43" t="s">
        <v>14692</v>
      </c>
      <c r="B7043" s="21" t="s">
        <v>14693</v>
      </c>
      <c r="C7043" s="21" t="s">
        <v>22655</v>
      </c>
      <c r="D7043" s="31" t="s">
        <v>22813</v>
      </c>
      <c r="E7043" s="23" t="s">
        <v>22656</v>
      </c>
      <c r="F7043" s="24" t="s">
        <v>22657</v>
      </c>
      <c r="G7043" s="25">
        <v>334</v>
      </c>
      <c r="H7043" s="29"/>
      <c r="I7043" s="30"/>
    </row>
    <row r="7044" spans="1:9" ht="15.75" thickBot="1" x14ac:dyDescent="0.3">
      <c r="A7044" s="43" t="s">
        <v>14694</v>
      </c>
      <c r="B7044" s="21" t="s">
        <v>14695</v>
      </c>
      <c r="C7044" s="21" t="s">
        <v>22682</v>
      </c>
      <c r="D7044" s="22">
        <v>46034</v>
      </c>
      <c r="E7044" s="23" t="s">
        <v>22658</v>
      </c>
      <c r="F7044" s="24" t="s">
        <v>22657</v>
      </c>
      <c r="G7044" s="25">
        <v>4</v>
      </c>
      <c r="H7044" s="26"/>
      <c r="I7044" s="27"/>
    </row>
    <row r="7045" spans="1:9" ht="15.75" thickBot="1" x14ac:dyDescent="0.3">
      <c r="A7045" s="43" t="s">
        <v>14696</v>
      </c>
      <c r="B7045" s="21" t="s">
        <v>14697</v>
      </c>
      <c r="C7045" s="21" t="s">
        <v>22682</v>
      </c>
      <c r="D7045" s="22">
        <v>46034</v>
      </c>
      <c r="E7045" s="23" t="s">
        <v>22656</v>
      </c>
      <c r="F7045" s="24" t="s">
        <v>22657</v>
      </c>
      <c r="G7045" s="25">
        <v>4</v>
      </c>
      <c r="H7045" s="29"/>
      <c r="I7045" s="30"/>
    </row>
    <row r="7046" spans="1:9" ht="15.75" thickBot="1" x14ac:dyDescent="0.3">
      <c r="A7046" s="43" t="s">
        <v>14698</v>
      </c>
      <c r="B7046" s="21" t="s">
        <v>14699</v>
      </c>
      <c r="C7046" s="21" t="s">
        <v>22682</v>
      </c>
      <c r="D7046" s="22">
        <v>46034</v>
      </c>
      <c r="E7046" s="23" t="s">
        <v>22656</v>
      </c>
      <c r="F7046" s="24" t="s">
        <v>22657</v>
      </c>
      <c r="G7046" s="25">
        <v>4</v>
      </c>
      <c r="H7046" s="26"/>
      <c r="I7046" s="27"/>
    </row>
    <row r="7047" spans="1:9" ht="15.75" thickBot="1" x14ac:dyDescent="0.3">
      <c r="A7047" s="43" t="s">
        <v>14700</v>
      </c>
      <c r="B7047" s="21" t="s">
        <v>14701</v>
      </c>
      <c r="C7047" s="21" t="s">
        <v>22655</v>
      </c>
      <c r="D7047" s="22">
        <v>46052</v>
      </c>
      <c r="E7047" s="23" t="s">
        <v>22661</v>
      </c>
      <c r="F7047" s="24" t="s">
        <v>22657</v>
      </c>
      <c r="G7047" s="25">
        <v>10</v>
      </c>
      <c r="H7047" s="29"/>
      <c r="I7047" s="30"/>
    </row>
    <row r="7048" spans="1:9" ht="15.75" thickBot="1" x14ac:dyDescent="0.3">
      <c r="A7048" s="43" t="s">
        <v>14702</v>
      </c>
      <c r="B7048" s="21" t="s">
        <v>14703</v>
      </c>
      <c r="C7048" s="21" t="s">
        <v>22655</v>
      </c>
      <c r="D7048" s="22">
        <v>46052</v>
      </c>
      <c r="E7048" s="23" t="s">
        <v>22658</v>
      </c>
      <c r="F7048" s="24" t="s">
        <v>22657</v>
      </c>
      <c r="G7048" s="25">
        <v>10</v>
      </c>
      <c r="H7048" s="26"/>
      <c r="I7048" s="27"/>
    </row>
    <row r="7049" spans="1:9" ht="15.75" thickBot="1" x14ac:dyDescent="0.3">
      <c r="A7049" s="43" t="s">
        <v>14704</v>
      </c>
      <c r="B7049" s="21" t="s">
        <v>14705</v>
      </c>
      <c r="C7049" s="21" t="s">
        <v>22655</v>
      </c>
      <c r="D7049" s="22">
        <v>46052</v>
      </c>
      <c r="E7049" s="23" t="s">
        <v>22656</v>
      </c>
      <c r="F7049" s="24" t="s">
        <v>22657</v>
      </c>
      <c r="G7049" s="25">
        <v>10</v>
      </c>
      <c r="H7049" s="29"/>
      <c r="I7049" s="30"/>
    </row>
    <row r="7050" spans="1:9" ht="15.75" thickBot="1" x14ac:dyDescent="0.3">
      <c r="A7050" s="43" t="s">
        <v>14706</v>
      </c>
      <c r="B7050" s="21" t="s">
        <v>14707</v>
      </c>
      <c r="C7050" s="21" t="s">
        <v>22682</v>
      </c>
      <c r="D7050" s="22">
        <v>46034</v>
      </c>
      <c r="E7050" s="23" t="s">
        <v>22658</v>
      </c>
      <c r="F7050" s="24" t="s">
        <v>22657</v>
      </c>
      <c r="G7050" s="25">
        <v>4</v>
      </c>
      <c r="H7050" s="26"/>
      <c r="I7050" s="27"/>
    </row>
    <row r="7051" spans="1:9" ht="15.75" thickBot="1" x14ac:dyDescent="0.3">
      <c r="A7051" s="43" t="s">
        <v>14708</v>
      </c>
      <c r="B7051" s="21" t="s">
        <v>14709</v>
      </c>
      <c r="C7051" s="21" t="s">
        <v>22663</v>
      </c>
      <c r="D7051" s="31">
        <v>1</v>
      </c>
      <c r="E7051" s="23" t="s">
        <v>22658</v>
      </c>
      <c r="F7051" s="24" t="s">
        <v>22657</v>
      </c>
      <c r="G7051" s="25">
        <v>4</v>
      </c>
      <c r="H7051" s="29"/>
      <c r="I7051" s="30"/>
    </row>
    <row r="7052" spans="1:9" ht="15.75" thickBot="1" x14ac:dyDescent="0.3">
      <c r="A7052" s="43" t="s">
        <v>14710</v>
      </c>
      <c r="B7052" s="21" t="s">
        <v>14711</v>
      </c>
      <c r="C7052" s="21" t="s">
        <v>22682</v>
      </c>
      <c r="D7052" s="22">
        <v>46034</v>
      </c>
      <c r="E7052" s="23" t="s">
        <v>22656</v>
      </c>
      <c r="F7052" s="24" t="s">
        <v>22657</v>
      </c>
      <c r="G7052" s="25">
        <v>4</v>
      </c>
      <c r="H7052" s="26"/>
      <c r="I7052" s="27"/>
    </row>
    <row r="7053" spans="1:9" ht="15.75" thickBot="1" x14ac:dyDescent="0.3">
      <c r="A7053" s="43" t="s">
        <v>14712</v>
      </c>
      <c r="B7053" s="21" t="s">
        <v>14713</v>
      </c>
      <c r="C7053" s="21" t="s">
        <v>22682</v>
      </c>
      <c r="D7053" s="22">
        <v>46034</v>
      </c>
      <c r="E7053" s="23" t="s">
        <v>22656</v>
      </c>
      <c r="F7053" s="24" t="s">
        <v>22657</v>
      </c>
      <c r="G7053" s="25">
        <v>4</v>
      </c>
      <c r="H7053" s="29"/>
      <c r="I7053" s="30"/>
    </row>
    <row r="7054" spans="1:9" ht="15.75" thickBot="1" x14ac:dyDescent="0.3">
      <c r="A7054" s="43" t="s">
        <v>14714</v>
      </c>
      <c r="B7054" s="21" t="s">
        <v>14715</v>
      </c>
      <c r="C7054" s="21" t="s">
        <v>22682</v>
      </c>
      <c r="D7054" s="22">
        <v>46034</v>
      </c>
      <c r="E7054" s="23" t="s">
        <v>22658</v>
      </c>
      <c r="F7054" s="24" t="s">
        <v>22657</v>
      </c>
      <c r="G7054" s="25">
        <v>4</v>
      </c>
      <c r="H7054" s="26"/>
      <c r="I7054" s="27"/>
    </row>
    <row r="7055" spans="1:9" ht="15.75" thickBot="1" x14ac:dyDescent="0.3">
      <c r="A7055" s="43" t="s">
        <v>14716</v>
      </c>
      <c r="B7055" s="21" t="s">
        <v>14717</v>
      </c>
      <c r="C7055" s="21" t="s">
        <v>22682</v>
      </c>
      <c r="D7055" s="22">
        <v>46034</v>
      </c>
      <c r="E7055" s="23" t="s">
        <v>22656</v>
      </c>
      <c r="F7055" s="24" t="s">
        <v>22657</v>
      </c>
      <c r="G7055" s="25">
        <v>4</v>
      </c>
      <c r="H7055" s="29"/>
      <c r="I7055" s="30"/>
    </row>
    <row r="7056" spans="1:9" ht="15.75" thickBot="1" x14ac:dyDescent="0.3">
      <c r="A7056" s="43" t="s">
        <v>14718</v>
      </c>
      <c r="B7056" s="21" t="s">
        <v>14719</v>
      </c>
      <c r="C7056" s="21" t="s">
        <v>22682</v>
      </c>
      <c r="D7056" s="22">
        <v>46034</v>
      </c>
      <c r="E7056" s="23" t="s">
        <v>22658</v>
      </c>
      <c r="F7056" s="24" t="s">
        <v>22657</v>
      </c>
      <c r="G7056" s="25">
        <v>4</v>
      </c>
      <c r="H7056" s="26"/>
      <c r="I7056" s="27"/>
    </row>
    <row r="7057" spans="1:9" ht="15.75" thickBot="1" x14ac:dyDescent="0.3">
      <c r="A7057" s="43" t="s">
        <v>14720</v>
      </c>
      <c r="B7057" s="21" t="s">
        <v>14721</v>
      </c>
      <c r="C7057" s="21" t="s">
        <v>22682</v>
      </c>
      <c r="D7057" s="22">
        <v>46034</v>
      </c>
      <c r="E7057" s="23" t="s">
        <v>22658</v>
      </c>
      <c r="F7057" s="24" t="s">
        <v>22657</v>
      </c>
      <c r="G7057" s="25">
        <v>4</v>
      </c>
      <c r="H7057" s="29"/>
      <c r="I7057" s="30"/>
    </row>
    <row r="7058" spans="1:9" ht="15.75" thickBot="1" x14ac:dyDescent="0.3">
      <c r="A7058" s="43" t="s">
        <v>14722</v>
      </c>
      <c r="B7058" s="21" t="s">
        <v>14723</v>
      </c>
      <c r="C7058" s="21" t="s">
        <v>22682</v>
      </c>
      <c r="D7058" s="22">
        <v>46034</v>
      </c>
      <c r="E7058" s="23" t="s">
        <v>22658</v>
      </c>
      <c r="F7058" s="24" t="s">
        <v>22657</v>
      </c>
      <c r="G7058" s="25">
        <v>4</v>
      </c>
      <c r="H7058" s="26"/>
      <c r="I7058" s="27"/>
    </row>
    <row r="7059" spans="1:9" ht="15.75" thickBot="1" x14ac:dyDescent="0.3">
      <c r="A7059" s="43" t="s">
        <v>14724</v>
      </c>
      <c r="B7059" s="21" t="s">
        <v>14725</v>
      </c>
      <c r="C7059" s="21" t="s">
        <v>22682</v>
      </c>
      <c r="D7059" s="22">
        <v>46034</v>
      </c>
      <c r="E7059" s="23" t="s">
        <v>22658</v>
      </c>
      <c r="F7059" s="24" t="s">
        <v>22657</v>
      </c>
      <c r="G7059" s="25">
        <v>4</v>
      </c>
      <c r="H7059" s="29"/>
      <c r="I7059" s="30"/>
    </row>
    <row r="7060" spans="1:9" ht="15.75" thickBot="1" x14ac:dyDescent="0.3">
      <c r="A7060" s="43" t="s">
        <v>14726</v>
      </c>
      <c r="B7060" s="21" t="s">
        <v>14727</v>
      </c>
      <c r="C7060" s="21" t="s">
        <v>22682</v>
      </c>
      <c r="D7060" s="22">
        <v>46034</v>
      </c>
      <c r="E7060" s="23" t="s">
        <v>22656</v>
      </c>
      <c r="F7060" s="24" t="s">
        <v>22657</v>
      </c>
      <c r="G7060" s="25">
        <v>4</v>
      </c>
      <c r="H7060" s="26"/>
      <c r="I7060" s="27"/>
    </row>
    <row r="7061" spans="1:9" ht="15.75" thickBot="1" x14ac:dyDescent="0.3">
      <c r="A7061" s="43" t="s">
        <v>14728</v>
      </c>
      <c r="B7061" s="21" t="s">
        <v>14729</v>
      </c>
      <c r="C7061" s="21" t="s">
        <v>22682</v>
      </c>
      <c r="D7061" s="22">
        <v>46034</v>
      </c>
      <c r="E7061" s="23" t="s">
        <v>22656</v>
      </c>
      <c r="F7061" s="24" t="s">
        <v>22657</v>
      </c>
      <c r="G7061" s="25">
        <v>4</v>
      </c>
      <c r="H7061" s="29"/>
      <c r="I7061" s="30"/>
    </row>
    <row r="7062" spans="1:9" ht="15.75" thickBot="1" x14ac:dyDescent="0.3">
      <c r="A7062" s="43" t="s">
        <v>14730</v>
      </c>
      <c r="B7062" s="21" t="s">
        <v>14731</v>
      </c>
      <c r="C7062" s="21" t="s">
        <v>22682</v>
      </c>
      <c r="D7062" s="22">
        <v>46034</v>
      </c>
      <c r="E7062" s="23" t="s">
        <v>22658</v>
      </c>
      <c r="F7062" s="24" t="s">
        <v>22657</v>
      </c>
      <c r="G7062" s="25">
        <v>4</v>
      </c>
      <c r="H7062" s="26"/>
      <c r="I7062" s="27"/>
    </row>
    <row r="7063" spans="1:9" ht="15.75" thickBot="1" x14ac:dyDescent="0.3">
      <c r="A7063" s="43" t="s">
        <v>14732</v>
      </c>
      <c r="B7063" s="21" t="s">
        <v>14733</v>
      </c>
      <c r="C7063" s="21" t="s">
        <v>22682</v>
      </c>
      <c r="D7063" s="22">
        <v>46034</v>
      </c>
      <c r="E7063" s="23" t="s">
        <v>22656</v>
      </c>
      <c r="F7063" s="24" t="s">
        <v>22657</v>
      </c>
      <c r="G7063" s="25">
        <v>4</v>
      </c>
      <c r="H7063" s="29"/>
      <c r="I7063" s="30"/>
    </row>
    <row r="7064" spans="1:9" ht="15.75" thickBot="1" x14ac:dyDescent="0.3">
      <c r="A7064" s="43" t="s">
        <v>14734</v>
      </c>
      <c r="B7064" s="21" t="s">
        <v>14735</v>
      </c>
      <c r="C7064" s="21" t="s">
        <v>22682</v>
      </c>
      <c r="D7064" s="22">
        <v>46034</v>
      </c>
      <c r="E7064" s="23" t="s">
        <v>22656</v>
      </c>
      <c r="F7064" s="24" t="s">
        <v>22657</v>
      </c>
      <c r="G7064" s="25">
        <v>4</v>
      </c>
      <c r="H7064" s="26"/>
      <c r="I7064" s="27"/>
    </row>
    <row r="7065" spans="1:9" ht="15.75" thickBot="1" x14ac:dyDescent="0.3">
      <c r="A7065" s="43" t="s">
        <v>14736</v>
      </c>
      <c r="B7065" s="21" t="s">
        <v>14737</v>
      </c>
      <c r="C7065" s="21" t="s">
        <v>22682</v>
      </c>
      <c r="D7065" s="22">
        <v>46034</v>
      </c>
      <c r="E7065" s="23" t="s">
        <v>22656</v>
      </c>
      <c r="F7065" s="24" t="s">
        <v>22657</v>
      </c>
      <c r="G7065" s="25">
        <v>4</v>
      </c>
      <c r="H7065" s="29"/>
      <c r="I7065" s="30"/>
    </row>
    <row r="7066" spans="1:9" ht="15.75" thickBot="1" x14ac:dyDescent="0.3">
      <c r="A7066" s="43" t="s">
        <v>14738</v>
      </c>
      <c r="B7066" s="21" t="s">
        <v>14739</v>
      </c>
      <c r="C7066" s="21" t="s">
        <v>22682</v>
      </c>
      <c r="D7066" s="22">
        <v>46034</v>
      </c>
      <c r="E7066" s="23" t="s">
        <v>22656</v>
      </c>
      <c r="F7066" s="24" t="s">
        <v>22657</v>
      </c>
      <c r="G7066" s="25">
        <v>4</v>
      </c>
      <c r="H7066" s="26"/>
      <c r="I7066" s="27"/>
    </row>
    <row r="7067" spans="1:9" ht="15.75" thickBot="1" x14ac:dyDescent="0.3">
      <c r="A7067" s="43" t="s">
        <v>14740</v>
      </c>
      <c r="B7067" s="21" t="s">
        <v>14741</v>
      </c>
      <c r="C7067" s="21" t="s">
        <v>22682</v>
      </c>
      <c r="D7067" s="22">
        <v>46034</v>
      </c>
      <c r="E7067" s="23" t="s">
        <v>22658</v>
      </c>
      <c r="F7067" s="24" t="s">
        <v>22657</v>
      </c>
      <c r="G7067" s="25">
        <v>4</v>
      </c>
      <c r="H7067" s="29"/>
      <c r="I7067" s="30"/>
    </row>
    <row r="7068" spans="1:9" ht="15.75" thickBot="1" x14ac:dyDescent="0.3">
      <c r="A7068" s="43" t="s">
        <v>14742</v>
      </c>
      <c r="B7068" s="21" t="s">
        <v>14743</v>
      </c>
      <c r="C7068" s="21" t="s">
        <v>22682</v>
      </c>
      <c r="D7068" s="22">
        <v>46034</v>
      </c>
      <c r="E7068" s="23" t="s">
        <v>22658</v>
      </c>
      <c r="F7068" s="24" t="s">
        <v>22657</v>
      </c>
      <c r="G7068" s="25">
        <v>4</v>
      </c>
      <c r="H7068" s="26"/>
      <c r="I7068" s="27"/>
    </row>
    <row r="7069" spans="1:9" ht="15.75" thickBot="1" x14ac:dyDescent="0.3">
      <c r="A7069" s="43" t="s">
        <v>14744</v>
      </c>
      <c r="B7069" s="21" t="s">
        <v>14745</v>
      </c>
      <c r="C7069" s="21" t="s">
        <v>22663</v>
      </c>
      <c r="D7069" s="31">
        <v>1</v>
      </c>
      <c r="E7069" s="23" t="s">
        <v>22658</v>
      </c>
      <c r="F7069" s="24" t="s">
        <v>22657</v>
      </c>
      <c r="G7069" s="25">
        <v>4</v>
      </c>
      <c r="H7069" s="29"/>
      <c r="I7069" s="30"/>
    </row>
    <row r="7070" spans="1:9" ht="15.75" thickBot="1" x14ac:dyDescent="0.3">
      <c r="A7070" s="43" t="s">
        <v>14746</v>
      </c>
      <c r="B7070" s="21" t="s">
        <v>14747</v>
      </c>
      <c r="C7070" s="21" t="s">
        <v>22682</v>
      </c>
      <c r="D7070" s="22">
        <v>46034</v>
      </c>
      <c r="E7070" s="23" t="s">
        <v>22658</v>
      </c>
      <c r="F7070" s="24" t="s">
        <v>22657</v>
      </c>
      <c r="G7070" s="25">
        <v>4</v>
      </c>
      <c r="H7070" s="26"/>
      <c r="I7070" s="27"/>
    </row>
    <row r="7071" spans="1:9" ht="15.75" thickBot="1" x14ac:dyDescent="0.3">
      <c r="A7071" s="43" t="s">
        <v>14748</v>
      </c>
      <c r="B7071" s="21" t="s">
        <v>14749</v>
      </c>
      <c r="C7071" s="21" t="s">
        <v>22682</v>
      </c>
      <c r="D7071" s="22">
        <v>46034</v>
      </c>
      <c r="E7071" s="23" t="s">
        <v>22658</v>
      </c>
      <c r="F7071" s="24" t="s">
        <v>22657</v>
      </c>
      <c r="G7071" s="25">
        <v>4</v>
      </c>
      <c r="H7071" s="29"/>
      <c r="I7071" s="30"/>
    </row>
    <row r="7072" spans="1:9" ht="15.75" thickBot="1" x14ac:dyDescent="0.3">
      <c r="A7072" s="43" t="s">
        <v>14750</v>
      </c>
      <c r="B7072" s="21" t="s">
        <v>14751</v>
      </c>
      <c r="C7072" s="21" t="s">
        <v>22682</v>
      </c>
      <c r="D7072" s="22">
        <v>46034</v>
      </c>
      <c r="E7072" s="23" t="s">
        <v>22658</v>
      </c>
      <c r="F7072" s="24" t="s">
        <v>22657</v>
      </c>
      <c r="G7072" s="25">
        <v>4</v>
      </c>
      <c r="H7072" s="26"/>
      <c r="I7072" s="27"/>
    </row>
    <row r="7073" spans="1:9" ht="15.75" thickBot="1" x14ac:dyDescent="0.3">
      <c r="A7073" s="43" t="s">
        <v>14752</v>
      </c>
      <c r="B7073" s="21" t="s">
        <v>14753</v>
      </c>
      <c r="C7073" s="21" t="s">
        <v>22682</v>
      </c>
      <c r="D7073" s="22">
        <v>46034</v>
      </c>
      <c r="E7073" s="23" t="s">
        <v>22658</v>
      </c>
      <c r="F7073" s="24" t="s">
        <v>22657</v>
      </c>
      <c r="G7073" s="25">
        <v>4</v>
      </c>
      <c r="H7073" s="29"/>
      <c r="I7073" s="30"/>
    </row>
    <row r="7074" spans="1:9" ht="15.75" thickBot="1" x14ac:dyDescent="0.3">
      <c r="A7074" s="43" t="s">
        <v>14754</v>
      </c>
      <c r="B7074" s="21" t="s">
        <v>14755</v>
      </c>
      <c r="C7074" s="21" t="s">
        <v>22682</v>
      </c>
      <c r="D7074" s="22">
        <v>46034</v>
      </c>
      <c r="E7074" s="23" t="s">
        <v>22658</v>
      </c>
      <c r="F7074" s="24" t="s">
        <v>22657</v>
      </c>
      <c r="G7074" s="25">
        <v>4</v>
      </c>
      <c r="H7074" s="26"/>
      <c r="I7074" s="27"/>
    </row>
    <row r="7075" spans="1:9" ht="15.75" thickBot="1" x14ac:dyDescent="0.3">
      <c r="A7075" s="43" t="s">
        <v>14756</v>
      </c>
      <c r="B7075" s="21" t="s">
        <v>14757</v>
      </c>
      <c r="C7075" s="21" t="s">
        <v>22682</v>
      </c>
      <c r="D7075" s="22">
        <v>46034</v>
      </c>
      <c r="E7075" s="23" t="s">
        <v>22658</v>
      </c>
      <c r="F7075" s="24" t="s">
        <v>22657</v>
      </c>
      <c r="G7075" s="25">
        <v>4</v>
      </c>
      <c r="H7075" s="29"/>
      <c r="I7075" s="30"/>
    </row>
    <row r="7076" spans="1:9" ht="15.75" thickBot="1" x14ac:dyDescent="0.3">
      <c r="A7076" s="43" t="s">
        <v>14758</v>
      </c>
      <c r="B7076" s="21" t="s">
        <v>14759</v>
      </c>
      <c r="C7076" s="21" t="s">
        <v>22682</v>
      </c>
      <c r="D7076" s="22">
        <v>46034</v>
      </c>
      <c r="E7076" s="23" t="s">
        <v>22656</v>
      </c>
      <c r="F7076" s="24" t="s">
        <v>22657</v>
      </c>
      <c r="G7076" s="25">
        <v>4</v>
      </c>
      <c r="H7076" s="26"/>
      <c r="I7076" s="27"/>
    </row>
    <row r="7077" spans="1:9" ht="15.75" thickBot="1" x14ac:dyDescent="0.3">
      <c r="A7077" s="43" t="s">
        <v>14760</v>
      </c>
      <c r="B7077" s="21" t="s">
        <v>14761</v>
      </c>
      <c r="C7077" s="21" t="s">
        <v>22682</v>
      </c>
      <c r="D7077" s="22">
        <v>46034</v>
      </c>
      <c r="E7077" s="23" t="s">
        <v>22658</v>
      </c>
      <c r="F7077" s="24" t="s">
        <v>22657</v>
      </c>
      <c r="G7077" s="25">
        <v>4</v>
      </c>
      <c r="H7077" s="29"/>
      <c r="I7077" s="30"/>
    </row>
    <row r="7078" spans="1:9" ht="15.75" thickBot="1" x14ac:dyDescent="0.3">
      <c r="A7078" s="43" t="s">
        <v>14762</v>
      </c>
      <c r="B7078" s="21" t="s">
        <v>14763</v>
      </c>
      <c r="C7078" s="21" t="s">
        <v>22682</v>
      </c>
      <c r="D7078" s="22">
        <v>46034</v>
      </c>
      <c r="E7078" s="23" t="s">
        <v>22656</v>
      </c>
      <c r="F7078" s="24" t="s">
        <v>22657</v>
      </c>
      <c r="G7078" s="25">
        <v>4</v>
      </c>
      <c r="H7078" s="26"/>
      <c r="I7078" s="27"/>
    </row>
    <row r="7079" spans="1:9" ht="15.75" thickBot="1" x14ac:dyDescent="0.3">
      <c r="A7079" s="43" t="s">
        <v>14764</v>
      </c>
      <c r="B7079" s="21" t="s">
        <v>14765</v>
      </c>
      <c r="C7079" s="21" t="s">
        <v>22682</v>
      </c>
      <c r="D7079" s="22">
        <v>46034</v>
      </c>
      <c r="E7079" s="23" t="s">
        <v>22658</v>
      </c>
      <c r="F7079" s="24" t="s">
        <v>22657</v>
      </c>
      <c r="G7079" s="25">
        <v>4</v>
      </c>
      <c r="H7079" s="29"/>
      <c r="I7079" s="30"/>
    </row>
    <row r="7080" spans="1:9" ht="15.75" thickBot="1" x14ac:dyDescent="0.3">
      <c r="A7080" s="43" t="s">
        <v>14766</v>
      </c>
      <c r="B7080" s="21" t="s">
        <v>14767</v>
      </c>
      <c r="C7080" s="21" t="s">
        <v>22682</v>
      </c>
      <c r="D7080" s="22">
        <v>46034</v>
      </c>
      <c r="E7080" s="23" t="s">
        <v>22658</v>
      </c>
      <c r="F7080" s="24" t="s">
        <v>22657</v>
      </c>
      <c r="G7080" s="25">
        <v>4</v>
      </c>
      <c r="H7080" s="26"/>
      <c r="I7080" s="27"/>
    </row>
    <row r="7081" spans="1:9" ht="15.75" thickBot="1" x14ac:dyDescent="0.3">
      <c r="A7081" s="43" t="s">
        <v>14768</v>
      </c>
      <c r="B7081" s="21" t="s">
        <v>14769</v>
      </c>
      <c r="C7081" s="21" t="s">
        <v>22682</v>
      </c>
      <c r="D7081" s="22">
        <v>46034</v>
      </c>
      <c r="E7081" s="23" t="s">
        <v>22658</v>
      </c>
      <c r="F7081" s="24" t="s">
        <v>22657</v>
      </c>
      <c r="G7081" s="25">
        <v>4</v>
      </c>
      <c r="H7081" s="29"/>
      <c r="I7081" s="30"/>
    </row>
    <row r="7082" spans="1:9" ht="15.75" thickBot="1" x14ac:dyDescent="0.3">
      <c r="A7082" s="43" t="s">
        <v>14770</v>
      </c>
      <c r="B7082" s="21" t="s">
        <v>14771</v>
      </c>
      <c r="C7082" s="21" t="s">
        <v>22682</v>
      </c>
      <c r="D7082" s="22">
        <v>46034</v>
      </c>
      <c r="E7082" s="23" t="s">
        <v>22658</v>
      </c>
      <c r="F7082" s="24" t="s">
        <v>22657</v>
      </c>
      <c r="G7082" s="25">
        <v>4</v>
      </c>
      <c r="H7082" s="26"/>
      <c r="I7082" s="27"/>
    </row>
    <row r="7083" spans="1:9" ht="15.75" thickBot="1" x14ac:dyDescent="0.3">
      <c r="A7083" s="43" t="s">
        <v>14772</v>
      </c>
      <c r="B7083" s="21" t="s">
        <v>14773</v>
      </c>
      <c r="C7083" s="21" t="s">
        <v>22682</v>
      </c>
      <c r="D7083" s="22">
        <v>46034</v>
      </c>
      <c r="E7083" s="23" t="s">
        <v>22656</v>
      </c>
      <c r="F7083" s="24" t="s">
        <v>22657</v>
      </c>
      <c r="G7083" s="25">
        <v>4</v>
      </c>
      <c r="H7083" s="29"/>
      <c r="I7083" s="30"/>
    </row>
    <row r="7084" spans="1:9" ht="15.75" thickBot="1" x14ac:dyDescent="0.3">
      <c r="A7084" s="43" t="s">
        <v>14774</v>
      </c>
      <c r="B7084" s="21" t="s">
        <v>14775</v>
      </c>
      <c r="C7084" s="21" t="s">
        <v>22682</v>
      </c>
      <c r="D7084" s="22">
        <v>46034</v>
      </c>
      <c r="E7084" s="23" t="s">
        <v>22658</v>
      </c>
      <c r="F7084" s="24" t="s">
        <v>22657</v>
      </c>
      <c r="G7084" s="25">
        <v>4</v>
      </c>
      <c r="H7084" s="26"/>
      <c r="I7084" s="27"/>
    </row>
    <row r="7085" spans="1:9" ht="15.75" thickBot="1" x14ac:dyDescent="0.3">
      <c r="A7085" s="43" t="s">
        <v>14776</v>
      </c>
      <c r="B7085" s="21" t="s">
        <v>14777</v>
      </c>
      <c r="C7085" s="21" t="s">
        <v>22682</v>
      </c>
      <c r="D7085" s="22">
        <v>46034</v>
      </c>
      <c r="E7085" s="23" t="s">
        <v>22656</v>
      </c>
      <c r="F7085" s="24" t="s">
        <v>22657</v>
      </c>
      <c r="G7085" s="25">
        <v>4</v>
      </c>
      <c r="H7085" s="29"/>
      <c r="I7085" s="30"/>
    </row>
    <row r="7086" spans="1:9" ht="15.75" thickBot="1" x14ac:dyDescent="0.3">
      <c r="A7086" s="43" t="s">
        <v>14778</v>
      </c>
      <c r="B7086" s="21" t="s">
        <v>14779</v>
      </c>
      <c r="C7086" s="21" t="s">
        <v>22682</v>
      </c>
      <c r="D7086" s="22">
        <v>46034</v>
      </c>
      <c r="E7086" s="23" t="s">
        <v>22658</v>
      </c>
      <c r="F7086" s="24" t="s">
        <v>22657</v>
      </c>
      <c r="G7086" s="25">
        <v>4</v>
      </c>
      <c r="H7086" s="26"/>
      <c r="I7086" s="27"/>
    </row>
    <row r="7087" spans="1:9" ht="15.75" thickBot="1" x14ac:dyDescent="0.3">
      <c r="A7087" s="43" t="s">
        <v>14780</v>
      </c>
      <c r="B7087" s="21" t="s">
        <v>14781</v>
      </c>
      <c r="C7087" s="21" t="s">
        <v>22682</v>
      </c>
      <c r="D7087" s="22">
        <v>46034</v>
      </c>
      <c r="E7087" s="23" t="s">
        <v>22658</v>
      </c>
      <c r="F7087" s="24" t="s">
        <v>22657</v>
      </c>
      <c r="G7087" s="25">
        <v>4</v>
      </c>
      <c r="H7087" s="29"/>
      <c r="I7087" s="30"/>
    </row>
    <row r="7088" spans="1:9" ht="15.75" thickBot="1" x14ac:dyDescent="0.3">
      <c r="A7088" s="43" t="s">
        <v>14782</v>
      </c>
      <c r="B7088" s="21" t="s">
        <v>14783</v>
      </c>
      <c r="C7088" s="21" t="s">
        <v>22682</v>
      </c>
      <c r="D7088" s="22">
        <v>46034</v>
      </c>
      <c r="E7088" s="23" t="s">
        <v>22656</v>
      </c>
      <c r="F7088" s="24" t="s">
        <v>22657</v>
      </c>
      <c r="G7088" s="25">
        <v>4</v>
      </c>
      <c r="H7088" s="26"/>
      <c r="I7088" s="27"/>
    </row>
    <row r="7089" spans="1:9" ht="15.75" thickBot="1" x14ac:dyDescent="0.3">
      <c r="A7089" s="43" t="s">
        <v>14784</v>
      </c>
      <c r="B7089" s="21" t="s">
        <v>14785</v>
      </c>
      <c r="C7089" s="21" t="s">
        <v>22682</v>
      </c>
      <c r="D7089" s="22">
        <v>46034</v>
      </c>
      <c r="E7089" s="23" t="s">
        <v>22656</v>
      </c>
      <c r="F7089" s="24" t="s">
        <v>22657</v>
      </c>
      <c r="G7089" s="25">
        <v>4</v>
      </c>
      <c r="H7089" s="29"/>
      <c r="I7089" s="30"/>
    </row>
    <row r="7090" spans="1:9" ht="15.75" thickBot="1" x14ac:dyDescent="0.3">
      <c r="A7090" s="43" t="s">
        <v>14786</v>
      </c>
      <c r="B7090" s="21" t="s">
        <v>14787</v>
      </c>
      <c r="C7090" s="21" t="s">
        <v>22682</v>
      </c>
      <c r="D7090" s="22">
        <v>46034</v>
      </c>
      <c r="E7090" s="23" t="s">
        <v>22658</v>
      </c>
      <c r="F7090" s="24" t="s">
        <v>22657</v>
      </c>
      <c r="G7090" s="25">
        <v>4</v>
      </c>
      <c r="H7090" s="26"/>
      <c r="I7090" s="27"/>
    </row>
    <row r="7091" spans="1:9" ht="15.75" thickBot="1" x14ac:dyDescent="0.3">
      <c r="A7091" s="43" t="s">
        <v>14788</v>
      </c>
      <c r="B7091" s="21" t="s">
        <v>14789</v>
      </c>
      <c r="C7091" s="21" t="s">
        <v>22682</v>
      </c>
      <c r="D7091" s="22">
        <v>46034</v>
      </c>
      <c r="E7091" s="23" t="s">
        <v>22656</v>
      </c>
      <c r="F7091" s="24" t="s">
        <v>22657</v>
      </c>
      <c r="G7091" s="25">
        <v>4</v>
      </c>
      <c r="H7091" s="29"/>
      <c r="I7091" s="30"/>
    </row>
    <row r="7092" spans="1:9" ht="15.75" thickBot="1" x14ac:dyDescent="0.3">
      <c r="A7092" s="43" t="s">
        <v>14790</v>
      </c>
      <c r="B7092" s="21" t="s">
        <v>14791</v>
      </c>
      <c r="C7092" s="21" t="s">
        <v>22682</v>
      </c>
      <c r="D7092" s="22">
        <v>46034</v>
      </c>
      <c r="E7092" s="23" t="s">
        <v>22658</v>
      </c>
      <c r="F7092" s="24" t="s">
        <v>22657</v>
      </c>
      <c r="G7092" s="25">
        <v>4</v>
      </c>
      <c r="H7092" s="26"/>
      <c r="I7092" s="27"/>
    </row>
    <row r="7093" spans="1:9" ht="15.75" thickBot="1" x14ac:dyDescent="0.3">
      <c r="A7093" s="43" t="s">
        <v>14792</v>
      </c>
      <c r="B7093" s="21" t="s">
        <v>14793</v>
      </c>
      <c r="C7093" s="21" t="s">
        <v>22682</v>
      </c>
      <c r="D7093" s="22">
        <v>46034</v>
      </c>
      <c r="E7093" s="23" t="s">
        <v>22656</v>
      </c>
      <c r="F7093" s="24" t="s">
        <v>22657</v>
      </c>
      <c r="G7093" s="25">
        <v>4</v>
      </c>
      <c r="H7093" s="29"/>
      <c r="I7093" s="30"/>
    </row>
    <row r="7094" spans="1:9" ht="15.75" thickBot="1" x14ac:dyDescent="0.3">
      <c r="A7094" s="43" t="s">
        <v>14794</v>
      </c>
      <c r="B7094" s="21" t="s">
        <v>14795</v>
      </c>
      <c r="C7094" s="21" t="s">
        <v>22682</v>
      </c>
      <c r="D7094" s="22">
        <v>46034</v>
      </c>
      <c r="E7094" s="23" t="s">
        <v>22656</v>
      </c>
      <c r="F7094" s="24" t="s">
        <v>22657</v>
      </c>
      <c r="G7094" s="25">
        <v>4</v>
      </c>
      <c r="H7094" s="26"/>
      <c r="I7094" s="27"/>
    </row>
    <row r="7095" spans="1:9" ht="15.75" thickBot="1" x14ac:dyDescent="0.3">
      <c r="A7095" s="43" t="s">
        <v>14796</v>
      </c>
      <c r="B7095" s="21" t="s">
        <v>14797</v>
      </c>
      <c r="C7095" s="21" t="s">
        <v>22682</v>
      </c>
      <c r="D7095" s="22">
        <v>46034</v>
      </c>
      <c r="E7095" s="23" t="s">
        <v>22656</v>
      </c>
      <c r="F7095" s="24" t="s">
        <v>22657</v>
      </c>
      <c r="G7095" s="25">
        <v>4</v>
      </c>
      <c r="H7095" s="29"/>
      <c r="I7095" s="30"/>
    </row>
    <row r="7096" spans="1:9" ht="15.75" thickBot="1" x14ac:dyDescent="0.3">
      <c r="A7096" s="43" t="s">
        <v>14798</v>
      </c>
      <c r="B7096" s="21" t="s">
        <v>14799</v>
      </c>
      <c r="C7096" s="21" t="s">
        <v>22682</v>
      </c>
      <c r="D7096" s="22">
        <v>46034</v>
      </c>
      <c r="E7096" s="23" t="s">
        <v>22658</v>
      </c>
      <c r="F7096" s="24" t="s">
        <v>22657</v>
      </c>
      <c r="G7096" s="25">
        <v>4</v>
      </c>
      <c r="H7096" s="26"/>
      <c r="I7096" s="27"/>
    </row>
    <row r="7097" spans="1:9" ht="15.75" thickBot="1" x14ac:dyDescent="0.3">
      <c r="A7097" s="43" t="s">
        <v>14800</v>
      </c>
      <c r="B7097" s="21" t="s">
        <v>14801</v>
      </c>
      <c r="C7097" s="21" t="s">
        <v>22682</v>
      </c>
      <c r="D7097" s="22">
        <v>46034</v>
      </c>
      <c r="E7097" s="23" t="s">
        <v>22656</v>
      </c>
      <c r="F7097" s="24" t="s">
        <v>22657</v>
      </c>
      <c r="G7097" s="25">
        <v>4</v>
      </c>
      <c r="H7097" s="29"/>
      <c r="I7097" s="30"/>
    </row>
    <row r="7098" spans="1:9" ht="15.75" thickBot="1" x14ac:dyDescent="0.3">
      <c r="A7098" s="43" t="s">
        <v>14802</v>
      </c>
      <c r="B7098" s="21" t="s">
        <v>14803</v>
      </c>
      <c r="C7098" s="21" t="s">
        <v>22682</v>
      </c>
      <c r="D7098" s="22">
        <v>46034</v>
      </c>
      <c r="E7098" s="23" t="s">
        <v>22656</v>
      </c>
      <c r="F7098" s="24" t="s">
        <v>22657</v>
      </c>
      <c r="G7098" s="25">
        <v>4</v>
      </c>
      <c r="H7098" s="26"/>
      <c r="I7098" s="27"/>
    </row>
    <row r="7099" spans="1:9" ht="15.75" thickBot="1" x14ac:dyDescent="0.3">
      <c r="A7099" s="43" t="s">
        <v>14804</v>
      </c>
      <c r="B7099" s="21" t="s">
        <v>14805</v>
      </c>
      <c r="C7099" s="21" t="s">
        <v>22682</v>
      </c>
      <c r="D7099" s="22">
        <v>46034</v>
      </c>
      <c r="E7099" s="23" t="s">
        <v>22656</v>
      </c>
      <c r="F7099" s="24" t="s">
        <v>22657</v>
      </c>
      <c r="G7099" s="25">
        <v>4</v>
      </c>
      <c r="H7099" s="29"/>
      <c r="I7099" s="30"/>
    </row>
    <row r="7100" spans="1:9" ht="15.75" thickBot="1" x14ac:dyDescent="0.3">
      <c r="A7100" s="43" t="s">
        <v>14806</v>
      </c>
      <c r="B7100" s="21" t="s">
        <v>14807</v>
      </c>
      <c r="C7100" s="21" t="s">
        <v>22682</v>
      </c>
      <c r="D7100" s="22">
        <v>46034</v>
      </c>
      <c r="E7100" s="23" t="s">
        <v>22656</v>
      </c>
      <c r="F7100" s="24" t="s">
        <v>22657</v>
      </c>
      <c r="G7100" s="25">
        <v>4</v>
      </c>
      <c r="H7100" s="26"/>
      <c r="I7100" s="27"/>
    </row>
    <row r="7101" spans="1:9" ht="15.75" thickBot="1" x14ac:dyDescent="0.3">
      <c r="A7101" s="43" t="s">
        <v>14808</v>
      </c>
      <c r="B7101" s="21" t="s">
        <v>14809</v>
      </c>
      <c r="C7101" s="21" t="s">
        <v>22682</v>
      </c>
      <c r="D7101" s="22">
        <v>46034</v>
      </c>
      <c r="E7101" s="23" t="s">
        <v>22658</v>
      </c>
      <c r="F7101" s="24" t="s">
        <v>22657</v>
      </c>
      <c r="G7101" s="25">
        <v>4</v>
      </c>
      <c r="H7101" s="29"/>
      <c r="I7101" s="30"/>
    </row>
    <row r="7102" spans="1:9" ht="15.75" thickBot="1" x14ac:dyDescent="0.3">
      <c r="A7102" s="43" t="s">
        <v>14810</v>
      </c>
      <c r="B7102" s="21" t="s">
        <v>14811</v>
      </c>
      <c r="C7102" s="21" t="s">
        <v>22682</v>
      </c>
      <c r="D7102" s="22">
        <v>46034</v>
      </c>
      <c r="E7102" s="23" t="s">
        <v>22658</v>
      </c>
      <c r="F7102" s="24" t="s">
        <v>22657</v>
      </c>
      <c r="G7102" s="25">
        <v>4</v>
      </c>
      <c r="H7102" s="26"/>
      <c r="I7102" s="27"/>
    </row>
    <row r="7103" spans="1:9" ht="15.75" thickBot="1" x14ac:dyDescent="0.3">
      <c r="A7103" s="43" t="s">
        <v>14812</v>
      </c>
      <c r="B7103" s="21" t="s">
        <v>14813</v>
      </c>
      <c r="C7103" s="21" t="s">
        <v>22682</v>
      </c>
      <c r="D7103" s="22">
        <v>46034</v>
      </c>
      <c r="E7103" s="23" t="s">
        <v>22656</v>
      </c>
      <c r="F7103" s="24" t="s">
        <v>22657</v>
      </c>
      <c r="G7103" s="25">
        <v>4</v>
      </c>
      <c r="H7103" s="29"/>
      <c r="I7103" s="30"/>
    </row>
    <row r="7104" spans="1:9" ht="15.75" thickBot="1" x14ac:dyDescent="0.3">
      <c r="A7104" s="43" t="s">
        <v>14814</v>
      </c>
      <c r="B7104" s="21" t="s">
        <v>14815</v>
      </c>
      <c r="C7104" s="21" t="s">
        <v>22682</v>
      </c>
      <c r="D7104" s="22">
        <v>46034</v>
      </c>
      <c r="E7104" s="23" t="s">
        <v>22658</v>
      </c>
      <c r="F7104" s="24" t="s">
        <v>22657</v>
      </c>
      <c r="G7104" s="25">
        <v>4</v>
      </c>
      <c r="H7104" s="26"/>
      <c r="I7104" s="27"/>
    </row>
    <row r="7105" spans="1:9" ht="15.75" thickBot="1" x14ac:dyDescent="0.3">
      <c r="A7105" s="43" t="s">
        <v>14816</v>
      </c>
      <c r="B7105" s="21" t="s">
        <v>14817</v>
      </c>
      <c r="C7105" s="21" t="s">
        <v>22682</v>
      </c>
      <c r="D7105" s="22">
        <v>46034</v>
      </c>
      <c r="E7105" s="23" t="s">
        <v>22656</v>
      </c>
      <c r="F7105" s="24" t="s">
        <v>22657</v>
      </c>
      <c r="G7105" s="25">
        <v>4</v>
      </c>
      <c r="H7105" s="29"/>
      <c r="I7105" s="30"/>
    </row>
    <row r="7106" spans="1:9" ht="15.75" thickBot="1" x14ac:dyDescent="0.3">
      <c r="A7106" s="43" t="s">
        <v>14818</v>
      </c>
      <c r="B7106" s="21" t="s">
        <v>14819</v>
      </c>
      <c r="C7106" s="21" t="s">
        <v>22682</v>
      </c>
      <c r="D7106" s="22">
        <v>46034</v>
      </c>
      <c r="E7106" s="23" t="s">
        <v>22658</v>
      </c>
      <c r="F7106" s="24" t="s">
        <v>22657</v>
      </c>
      <c r="G7106" s="25">
        <v>4</v>
      </c>
      <c r="H7106" s="26"/>
      <c r="I7106" s="27"/>
    </row>
    <row r="7107" spans="1:9" ht="15.75" thickBot="1" x14ac:dyDescent="0.3">
      <c r="A7107" s="43" t="s">
        <v>14820</v>
      </c>
      <c r="B7107" s="21" t="s">
        <v>14821</v>
      </c>
      <c r="C7107" s="21" t="s">
        <v>22682</v>
      </c>
      <c r="D7107" s="22">
        <v>46034</v>
      </c>
      <c r="E7107" s="23" t="s">
        <v>22658</v>
      </c>
      <c r="F7107" s="24" t="s">
        <v>22657</v>
      </c>
      <c r="G7107" s="25">
        <v>4</v>
      </c>
      <c r="H7107" s="29"/>
      <c r="I7107" s="30"/>
    </row>
    <row r="7108" spans="1:9" ht="15.75" thickBot="1" x14ac:dyDescent="0.3">
      <c r="A7108" s="43" t="s">
        <v>14822</v>
      </c>
      <c r="B7108" s="21" t="s">
        <v>14823</v>
      </c>
      <c r="C7108" s="21" t="s">
        <v>22682</v>
      </c>
      <c r="D7108" s="22">
        <v>46034</v>
      </c>
      <c r="E7108" s="23" t="s">
        <v>22658</v>
      </c>
      <c r="F7108" s="24" t="s">
        <v>22657</v>
      </c>
      <c r="G7108" s="25">
        <v>4</v>
      </c>
      <c r="H7108" s="26"/>
      <c r="I7108" s="27"/>
    </row>
    <row r="7109" spans="1:9" ht="15.75" thickBot="1" x14ac:dyDescent="0.3">
      <c r="A7109" s="43" t="s">
        <v>14824</v>
      </c>
      <c r="B7109" s="21" t="s">
        <v>14825</v>
      </c>
      <c r="C7109" s="21" t="s">
        <v>22682</v>
      </c>
      <c r="D7109" s="22">
        <v>46034</v>
      </c>
      <c r="E7109" s="23" t="s">
        <v>22656</v>
      </c>
      <c r="F7109" s="24" t="s">
        <v>22657</v>
      </c>
      <c r="G7109" s="25">
        <v>4</v>
      </c>
      <c r="H7109" s="29"/>
      <c r="I7109" s="30"/>
    </row>
    <row r="7110" spans="1:9" ht="15.75" thickBot="1" x14ac:dyDescent="0.3">
      <c r="A7110" s="43" t="s">
        <v>14826</v>
      </c>
      <c r="B7110" s="21" t="s">
        <v>14827</v>
      </c>
      <c r="C7110" s="21" t="s">
        <v>22682</v>
      </c>
      <c r="D7110" s="22">
        <v>46034</v>
      </c>
      <c r="E7110" s="23" t="s">
        <v>22658</v>
      </c>
      <c r="F7110" s="24" t="s">
        <v>22657</v>
      </c>
      <c r="G7110" s="25">
        <v>4</v>
      </c>
      <c r="H7110" s="26"/>
      <c r="I7110" s="27"/>
    </row>
    <row r="7111" spans="1:9" ht="15.75" thickBot="1" x14ac:dyDescent="0.3">
      <c r="A7111" s="43" t="s">
        <v>14828</v>
      </c>
      <c r="B7111" s="21" t="s">
        <v>14829</v>
      </c>
      <c r="C7111" s="21" t="s">
        <v>22682</v>
      </c>
      <c r="D7111" s="22">
        <v>46034</v>
      </c>
      <c r="E7111" s="23" t="s">
        <v>22658</v>
      </c>
      <c r="F7111" s="24" t="s">
        <v>22657</v>
      </c>
      <c r="G7111" s="25">
        <v>4</v>
      </c>
      <c r="H7111" s="29"/>
      <c r="I7111" s="30"/>
    </row>
    <row r="7112" spans="1:9" ht="15.75" thickBot="1" x14ac:dyDescent="0.3">
      <c r="A7112" s="43" t="s">
        <v>14830</v>
      </c>
      <c r="B7112" s="21" t="s">
        <v>14831</v>
      </c>
      <c r="C7112" s="21" t="s">
        <v>22682</v>
      </c>
      <c r="D7112" s="22">
        <v>46034</v>
      </c>
      <c r="E7112" s="23" t="s">
        <v>22658</v>
      </c>
      <c r="F7112" s="24" t="s">
        <v>22657</v>
      </c>
      <c r="G7112" s="25">
        <v>4</v>
      </c>
      <c r="H7112" s="26"/>
      <c r="I7112" s="27"/>
    </row>
    <row r="7113" spans="1:9" ht="15.75" thickBot="1" x14ac:dyDescent="0.3">
      <c r="A7113" s="43" t="s">
        <v>14832</v>
      </c>
      <c r="B7113" s="21" t="s">
        <v>14833</v>
      </c>
      <c r="C7113" s="21" t="s">
        <v>22682</v>
      </c>
      <c r="D7113" s="22">
        <v>46034</v>
      </c>
      <c r="E7113" s="23" t="s">
        <v>22656</v>
      </c>
      <c r="F7113" s="24" t="s">
        <v>22657</v>
      </c>
      <c r="G7113" s="25">
        <v>4</v>
      </c>
      <c r="H7113" s="29"/>
      <c r="I7113" s="30"/>
    </row>
    <row r="7114" spans="1:9" ht="15.75" thickBot="1" x14ac:dyDescent="0.3">
      <c r="A7114" s="43" t="s">
        <v>14834</v>
      </c>
      <c r="B7114" s="21" t="s">
        <v>14835</v>
      </c>
      <c r="C7114" s="21" t="s">
        <v>22682</v>
      </c>
      <c r="D7114" s="22">
        <v>46034</v>
      </c>
      <c r="E7114" s="23" t="s">
        <v>22658</v>
      </c>
      <c r="F7114" s="24" t="s">
        <v>22657</v>
      </c>
      <c r="G7114" s="25">
        <v>4</v>
      </c>
      <c r="H7114" s="26"/>
      <c r="I7114" s="27"/>
    </row>
    <row r="7115" spans="1:9" ht="15.75" thickBot="1" x14ac:dyDescent="0.3">
      <c r="A7115" s="43" t="s">
        <v>14836</v>
      </c>
      <c r="B7115" s="21" t="s">
        <v>14837</v>
      </c>
      <c r="C7115" s="21" t="s">
        <v>22682</v>
      </c>
      <c r="D7115" s="22">
        <v>46034</v>
      </c>
      <c r="E7115" s="23" t="s">
        <v>22658</v>
      </c>
      <c r="F7115" s="24" t="s">
        <v>22657</v>
      </c>
      <c r="G7115" s="25">
        <v>4</v>
      </c>
      <c r="H7115" s="29"/>
      <c r="I7115" s="30"/>
    </row>
    <row r="7116" spans="1:9" ht="15.75" thickBot="1" x14ac:dyDescent="0.3">
      <c r="A7116" s="43" t="s">
        <v>14838</v>
      </c>
      <c r="B7116" s="21" t="s">
        <v>14839</v>
      </c>
      <c r="C7116" s="21" t="s">
        <v>22682</v>
      </c>
      <c r="D7116" s="22">
        <v>46034</v>
      </c>
      <c r="E7116" s="23" t="s">
        <v>22656</v>
      </c>
      <c r="F7116" s="24" t="s">
        <v>22657</v>
      </c>
      <c r="G7116" s="25">
        <v>4</v>
      </c>
      <c r="H7116" s="26"/>
      <c r="I7116" s="27"/>
    </row>
    <row r="7117" spans="1:9" ht="15.75" thickBot="1" x14ac:dyDescent="0.3">
      <c r="A7117" s="43" t="s">
        <v>14840</v>
      </c>
      <c r="B7117" s="21" t="s">
        <v>14841</v>
      </c>
      <c r="C7117" s="21" t="s">
        <v>22682</v>
      </c>
      <c r="D7117" s="22">
        <v>46034</v>
      </c>
      <c r="E7117" s="23" t="s">
        <v>22656</v>
      </c>
      <c r="F7117" s="24" t="s">
        <v>22657</v>
      </c>
      <c r="G7117" s="25">
        <v>4</v>
      </c>
      <c r="H7117" s="29"/>
      <c r="I7117" s="30"/>
    </row>
    <row r="7118" spans="1:9" ht="15.75" thickBot="1" x14ac:dyDescent="0.3">
      <c r="A7118" s="43" t="s">
        <v>14842</v>
      </c>
      <c r="B7118" s="21" t="s">
        <v>14843</v>
      </c>
      <c r="C7118" s="21" t="s">
        <v>22682</v>
      </c>
      <c r="D7118" s="22">
        <v>46034</v>
      </c>
      <c r="E7118" s="23" t="s">
        <v>22658</v>
      </c>
      <c r="F7118" s="24" t="s">
        <v>22657</v>
      </c>
      <c r="G7118" s="25">
        <v>4</v>
      </c>
      <c r="H7118" s="26"/>
      <c r="I7118" s="27"/>
    </row>
    <row r="7119" spans="1:9" ht="15.75" thickBot="1" x14ac:dyDescent="0.3">
      <c r="A7119" s="43" t="s">
        <v>14844</v>
      </c>
      <c r="B7119" s="21" t="s">
        <v>14845</v>
      </c>
      <c r="C7119" s="21" t="s">
        <v>22682</v>
      </c>
      <c r="D7119" s="22">
        <v>46034</v>
      </c>
      <c r="E7119" s="23" t="s">
        <v>22658</v>
      </c>
      <c r="F7119" s="24" t="s">
        <v>22657</v>
      </c>
      <c r="G7119" s="25">
        <v>4</v>
      </c>
      <c r="H7119" s="29"/>
      <c r="I7119" s="30"/>
    </row>
    <row r="7120" spans="1:9" ht="15.75" thickBot="1" x14ac:dyDescent="0.3">
      <c r="A7120" s="43" t="s">
        <v>14846</v>
      </c>
      <c r="B7120" s="21" t="s">
        <v>14847</v>
      </c>
      <c r="C7120" s="21" t="s">
        <v>22682</v>
      </c>
      <c r="D7120" s="22">
        <v>46034</v>
      </c>
      <c r="E7120" s="23" t="s">
        <v>22656</v>
      </c>
      <c r="F7120" s="24" t="s">
        <v>22657</v>
      </c>
      <c r="G7120" s="25">
        <v>4</v>
      </c>
      <c r="H7120" s="26"/>
      <c r="I7120" s="27"/>
    </row>
    <row r="7121" spans="1:9" ht="15.75" thickBot="1" x14ac:dyDescent="0.3">
      <c r="A7121" s="43" t="s">
        <v>14848</v>
      </c>
      <c r="B7121" s="21" t="s">
        <v>14849</v>
      </c>
      <c r="C7121" s="21" t="s">
        <v>22682</v>
      </c>
      <c r="D7121" s="22">
        <v>46034</v>
      </c>
      <c r="E7121" s="23" t="s">
        <v>22658</v>
      </c>
      <c r="F7121" s="24" t="s">
        <v>22657</v>
      </c>
      <c r="G7121" s="25">
        <v>4</v>
      </c>
      <c r="H7121" s="29"/>
      <c r="I7121" s="30"/>
    </row>
    <row r="7122" spans="1:9" ht="15.75" thickBot="1" x14ac:dyDescent="0.3">
      <c r="A7122" s="43" t="s">
        <v>14850</v>
      </c>
      <c r="B7122" s="21" t="s">
        <v>14851</v>
      </c>
      <c r="C7122" s="21" t="s">
        <v>22682</v>
      </c>
      <c r="D7122" s="22">
        <v>46034</v>
      </c>
      <c r="E7122" s="23" t="s">
        <v>22656</v>
      </c>
      <c r="F7122" s="24" t="s">
        <v>22657</v>
      </c>
      <c r="G7122" s="25">
        <v>4</v>
      </c>
      <c r="H7122" s="26"/>
      <c r="I7122" s="27"/>
    </row>
    <row r="7123" spans="1:9" ht="15.75" thickBot="1" x14ac:dyDescent="0.3">
      <c r="A7123" s="43" t="s">
        <v>14852</v>
      </c>
      <c r="B7123" s="21" t="s">
        <v>14853</v>
      </c>
      <c r="C7123" s="21" t="s">
        <v>22682</v>
      </c>
      <c r="D7123" s="22">
        <v>46034</v>
      </c>
      <c r="E7123" s="23" t="s">
        <v>22658</v>
      </c>
      <c r="F7123" s="24" t="s">
        <v>22657</v>
      </c>
      <c r="G7123" s="25">
        <v>4</v>
      </c>
      <c r="H7123" s="29"/>
      <c r="I7123" s="30"/>
    </row>
    <row r="7124" spans="1:9" ht="15.75" thickBot="1" x14ac:dyDescent="0.3">
      <c r="A7124" s="43" t="s">
        <v>14854</v>
      </c>
      <c r="B7124" s="21" t="s">
        <v>14855</v>
      </c>
      <c r="C7124" s="21" t="s">
        <v>22682</v>
      </c>
      <c r="D7124" s="22">
        <v>46034</v>
      </c>
      <c r="E7124" s="23" t="s">
        <v>22656</v>
      </c>
      <c r="F7124" s="24" t="s">
        <v>22657</v>
      </c>
      <c r="G7124" s="25">
        <v>4</v>
      </c>
      <c r="H7124" s="26"/>
      <c r="I7124" s="27"/>
    </row>
    <row r="7125" spans="1:9" ht="15.75" thickBot="1" x14ac:dyDescent="0.3">
      <c r="A7125" s="43" t="s">
        <v>14856</v>
      </c>
      <c r="B7125" s="21" t="s">
        <v>14857</v>
      </c>
      <c r="C7125" s="21" t="s">
        <v>22682</v>
      </c>
      <c r="D7125" s="22">
        <v>46034</v>
      </c>
      <c r="E7125" s="23" t="s">
        <v>22658</v>
      </c>
      <c r="F7125" s="24" t="s">
        <v>22657</v>
      </c>
      <c r="G7125" s="25">
        <v>4</v>
      </c>
      <c r="H7125" s="29"/>
      <c r="I7125" s="30"/>
    </row>
    <row r="7126" spans="1:9" ht="15.75" thickBot="1" x14ac:dyDescent="0.3">
      <c r="A7126" s="43" t="s">
        <v>14858</v>
      </c>
      <c r="B7126" s="21" t="s">
        <v>14859</v>
      </c>
      <c r="C7126" s="21" t="s">
        <v>22682</v>
      </c>
      <c r="D7126" s="22">
        <v>46034</v>
      </c>
      <c r="E7126" s="23" t="s">
        <v>22658</v>
      </c>
      <c r="F7126" s="28" t="s">
        <v>22659</v>
      </c>
      <c r="G7126" s="25">
        <v>1</v>
      </c>
      <c r="H7126" s="26"/>
      <c r="I7126" s="27"/>
    </row>
    <row r="7127" spans="1:9" ht="15.75" thickBot="1" x14ac:dyDescent="0.3">
      <c r="A7127" s="43" t="s">
        <v>14860</v>
      </c>
      <c r="B7127" s="21" t="s">
        <v>14861</v>
      </c>
      <c r="C7127" s="21" t="s">
        <v>22682</v>
      </c>
      <c r="D7127" s="22">
        <v>46034</v>
      </c>
      <c r="E7127" s="23" t="s">
        <v>22658</v>
      </c>
      <c r="F7127" s="24" t="s">
        <v>22657</v>
      </c>
      <c r="G7127" s="25">
        <v>4</v>
      </c>
      <c r="H7127" s="29"/>
      <c r="I7127" s="30"/>
    </row>
    <row r="7128" spans="1:9" ht="15.75" thickBot="1" x14ac:dyDescent="0.3">
      <c r="A7128" s="43" t="s">
        <v>14862</v>
      </c>
      <c r="B7128" s="21" t="s">
        <v>14863</v>
      </c>
      <c r="C7128" s="21" t="s">
        <v>22682</v>
      </c>
      <c r="D7128" s="22">
        <v>46034</v>
      </c>
      <c r="E7128" s="23" t="s">
        <v>22658</v>
      </c>
      <c r="F7128" s="24" t="s">
        <v>22657</v>
      </c>
      <c r="G7128" s="25">
        <v>4</v>
      </c>
      <c r="H7128" s="26"/>
      <c r="I7128" s="27"/>
    </row>
    <row r="7129" spans="1:9" ht="15.75" thickBot="1" x14ac:dyDescent="0.3">
      <c r="A7129" s="43" t="s">
        <v>14864</v>
      </c>
      <c r="B7129" s="21" t="s">
        <v>14865</v>
      </c>
      <c r="C7129" s="21" t="s">
        <v>22682</v>
      </c>
      <c r="D7129" s="22">
        <v>46034</v>
      </c>
      <c r="E7129" s="23" t="s">
        <v>22658</v>
      </c>
      <c r="F7129" s="24" t="s">
        <v>22657</v>
      </c>
      <c r="G7129" s="25">
        <v>4</v>
      </c>
      <c r="H7129" s="29"/>
      <c r="I7129" s="30"/>
    </row>
    <row r="7130" spans="1:9" ht="15.75" thickBot="1" x14ac:dyDescent="0.3">
      <c r="A7130" s="43" t="s">
        <v>14866</v>
      </c>
      <c r="B7130" s="21" t="s">
        <v>14867</v>
      </c>
      <c r="C7130" s="21" t="s">
        <v>22682</v>
      </c>
      <c r="D7130" s="22">
        <v>46034</v>
      </c>
      <c r="E7130" s="23" t="s">
        <v>22656</v>
      </c>
      <c r="F7130" s="24" t="s">
        <v>22657</v>
      </c>
      <c r="G7130" s="25">
        <v>4</v>
      </c>
      <c r="H7130" s="26"/>
      <c r="I7130" s="27"/>
    </row>
    <row r="7131" spans="1:9" ht="15.75" thickBot="1" x14ac:dyDescent="0.3">
      <c r="A7131" s="43" t="s">
        <v>14868</v>
      </c>
      <c r="B7131" s="21" t="s">
        <v>14869</v>
      </c>
      <c r="C7131" s="21" t="s">
        <v>22682</v>
      </c>
      <c r="D7131" s="22">
        <v>46034</v>
      </c>
      <c r="E7131" s="23" t="s">
        <v>22658</v>
      </c>
      <c r="F7131" s="24" t="s">
        <v>22657</v>
      </c>
      <c r="G7131" s="25">
        <v>4</v>
      </c>
      <c r="H7131" s="29"/>
      <c r="I7131" s="30"/>
    </row>
    <row r="7132" spans="1:9" ht="15.75" thickBot="1" x14ac:dyDescent="0.3">
      <c r="A7132" s="43" t="s">
        <v>14870</v>
      </c>
      <c r="B7132" s="21" t="s">
        <v>14871</v>
      </c>
      <c r="C7132" s="21" t="s">
        <v>22682</v>
      </c>
      <c r="D7132" s="22">
        <v>46034</v>
      </c>
      <c r="E7132" s="23" t="s">
        <v>22658</v>
      </c>
      <c r="F7132" s="24" t="s">
        <v>22657</v>
      </c>
      <c r="G7132" s="25">
        <v>4</v>
      </c>
      <c r="H7132" s="26"/>
      <c r="I7132" s="27"/>
    </row>
    <row r="7133" spans="1:9" ht="15.75" thickBot="1" x14ac:dyDescent="0.3">
      <c r="A7133" s="43" t="s">
        <v>14872</v>
      </c>
      <c r="B7133" s="21" t="s">
        <v>14873</v>
      </c>
      <c r="C7133" s="21" t="s">
        <v>22682</v>
      </c>
      <c r="D7133" s="22">
        <v>46034</v>
      </c>
      <c r="E7133" s="23" t="s">
        <v>22658</v>
      </c>
      <c r="F7133" s="24" t="s">
        <v>22657</v>
      </c>
      <c r="G7133" s="25">
        <v>4</v>
      </c>
      <c r="H7133" s="29"/>
      <c r="I7133" s="30"/>
    </row>
    <row r="7134" spans="1:9" ht="15.75" thickBot="1" x14ac:dyDescent="0.3">
      <c r="A7134" s="43" t="s">
        <v>14874</v>
      </c>
      <c r="B7134" s="21" t="s">
        <v>14875</v>
      </c>
      <c r="C7134" s="21" t="s">
        <v>22682</v>
      </c>
      <c r="D7134" s="22">
        <v>46034</v>
      </c>
      <c r="E7134" s="23" t="s">
        <v>22658</v>
      </c>
      <c r="F7134" s="24" t="s">
        <v>22657</v>
      </c>
      <c r="G7134" s="25">
        <v>4</v>
      </c>
      <c r="H7134" s="26"/>
      <c r="I7134" s="27"/>
    </row>
    <row r="7135" spans="1:9" ht="15.75" thickBot="1" x14ac:dyDescent="0.3">
      <c r="A7135" s="43" t="s">
        <v>14876</v>
      </c>
      <c r="B7135" s="21" t="s">
        <v>14877</v>
      </c>
      <c r="C7135" s="21" t="s">
        <v>22655</v>
      </c>
      <c r="D7135" s="22">
        <v>46037</v>
      </c>
      <c r="E7135" s="23" t="s">
        <v>22658</v>
      </c>
      <c r="F7135" s="24" t="s">
        <v>22657</v>
      </c>
      <c r="G7135" s="25">
        <v>2</v>
      </c>
      <c r="H7135" s="29"/>
      <c r="I7135" s="30"/>
    </row>
    <row r="7136" spans="1:9" ht="15.75" thickBot="1" x14ac:dyDescent="0.3">
      <c r="A7136" s="43" t="s">
        <v>14878</v>
      </c>
      <c r="B7136" s="21" t="s">
        <v>14879</v>
      </c>
      <c r="C7136" s="21" t="s">
        <v>22682</v>
      </c>
      <c r="D7136" s="22">
        <v>46034</v>
      </c>
      <c r="E7136" s="23" t="s">
        <v>22658</v>
      </c>
      <c r="F7136" s="24" t="s">
        <v>22657</v>
      </c>
      <c r="G7136" s="25">
        <v>4</v>
      </c>
      <c r="H7136" s="26"/>
      <c r="I7136" s="27"/>
    </row>
    <row r="7137" spans="1:9" ht="15.75" thickBot="1" x14ac:dyDescent="0.3">
      <c r="A7137" s="43" t="s">
        <v>14880</v>
      </c>
      <c r="B7137" s="21" t="s">
        <v>14881</v>
      </c>
      <c r="C7137" s="21" t="s">
        <v>22682</v>
      </c>
      <c r="D7137" s="22">
        <v>46034</v>
      </c>
      <c r="E7137" s="23" t="s">
        <v>22658</v>
      </c>
      <c r="F7137" s="24" t="s">
        <v>22657</v>
      </c>
      <c r="G7137" s="25">
        <v>4</v>
      </c>
      <c r="H7137" s="29"/>
      <c r="I7137" s="30"/>
    </row>
    <row r="7138" spans="1:9" ht="15.75" thickBot="1" x14ac:dyDescent="0.3">
      <c r="A7138" s="43" t="s">
        <v>14882</v>
      </c>
      <c r="B7138" s="21" t="s">
        <v>14883</v>
      </c>
      <c r="C7138" s="21" t="s">
        <v>22682</v>
      </c>
      <c r="D7138" s="22">
        <v>46034</v>
      </c>
      <c r="E7138" s="23" t="s">
        <v>22658</v>
      </c>
      <c r="F7138" s="24" t="s">
        <v>22657</v>
      </c>
      <c r="G7138" s="25">
        <v>4</v>
      </c>
      <c r="H7138" s="26"/>
      <c r="I7138" s="27"/>
    </row>
    <row r="7139" spans="1:9" ht="15.75" thickBot="1" x14ac:dyDescent="0.3">
      <c r="A7139" s="43" t="s">
        <v>14884</v>
      </c>
      <c r="B7139" s="21" t="s">
        <v>14885</v>
      </c>
      <c r="C7139" s="21" t="s">
        <v>22682</v>
      </c>
      <c r="D7139" s="22">
        <v>46034</v>
      </c>
      <c r="E7139" s="23" t="s">
        <v>22658</v>
      </c>
      <c r="F7139" s="24" t="s">
        <v>22657</v>
      </c>
      <c r="G7139" s="25">
        <v>4</v>
      </c>
      <c r="H7139" s="29"/>
      <c r="I7139" s="30"/>
    </row>
    <row r="7140" spans="1:9" ht="15.75" thickBot="1" x14ac:dyDescent="0.3">
      <c r="A7140" s="43" t="s">
        <v>14886</v>
      </c>
      <c r="B7140" s="21" t="s">
        <v>14887</v>
      </c>
      <c r="C7140" s="21" t="s">
        <v>22682</v>
      </c>
      <c r="D7140" s="22">
        <v>46034</v>
      </c>
      <c r="E7140" s="23" t="s">
        <v>22658</v>
      </c>
      <c r="F7140" s="24" t="s">
        <v>22657</v>
      </c>
      <c r="G7140" s="25">
        <v>4</v>
      </c>
      <c r="H7140" s="26"/>
      <c r="I7140" s="27"/>
    </row>
    <row r="7141" spans="1:9" ht="15.75" thickBot="1" x14ac:dyDescent="0.3">
      <c r="A7141" s="43" t="s">
        <v>14888</v>
      </c>
      <c r="B7141" s="21" t="s">
        <v>14889</v>
      </c>
      <c r="C7141" s="21" t="s">
        <v>22682</v>
      </c>
      <c r="D7141" s="22">
        <v>46034</v>
      </c>
      <c r="E7141" s="23" t="s">
        <v>22658</v>
      </c>
      <c r="F7141" s="24" t="s">
        <v>22657</v>
      </c>
      <c r="G7141" s="25">
        <v>4</v>
      </c>
      <c r="H7141" s="29"/>
      <c r="I7141" s="30"/>
    </row>
    <row r="7142" spans="1:9" ht="15.75" thickBot="1" x14ac:dyDescent="0.3">
      <c r="A7142" s="43" t="s">
        <v>14890</v>
      </c>
      <c r="B7142" s="21" t="s">
        <v>14891</v>
      </c>
      <c r="C7142" s="21" t="s">
        <v>22682</v>
      </c>
      <c r="D7142" s="22">
        <v>46034</v>
      </c>
      <c r="E7142" s="23" t="s">
        <v>22658</v>
      </c>
      <c r="F7142" s="24" t="s">
        <v>22657</v>
      </c>
      <c r="G7142" s="25">
        <v>4</v>
      </c>
      <c r="H7142" s="26"/>
      <c r="I7142" s="27"/>
    </row>
    <row r="7143" spans="1:9" ht="15.75" thickBot="1" x14ac:dyDescent="0.3">
      <c r="A7143" s="43" t="s">
        <v>14892</v>
      </c>
      <c r="B7143" s="21" t="s">
        <v>14893</v>
      </c>
      <c r="C7143" s="21" t="s">
        <v>22655</v>
      </c>
      <c r="D7143" s="31" t="s">
        <v>22732</v>
      </c>
      <c r="E7143" s="23" t="s">
        <v>22661</v>
      </c>
      <c r="F7143" s="24" t="s">
        <v>22657</v>
      </c>
      <c r="G7143" s="25">
        <v>4</v>
      </c>
      <c r="H7143" s="29"/>
      <c r="I7143" s="30"/>
    </row>
    <row r="7144" spans="1:9" ht="15.75" thickBot="1" x14ac:dyDescent="0.3">
      <c r="A7144" s="43" t="s">
        <v>14894</v>
      </c>
      <c r="B7144" s="21" t="s">
        <v>14895</v>
      </c>
      <c r="C7144" s="21" t="s">
        <v>22655</v>
      </c>
      <c r="D7144" s="31" t="s">
        <v>22673</v>
      </c>
      <c r="E7144" s="23" t="s">
        <v>22656</v>
      </c>
      <c r="F7144" s="24" t="s">
        <v>22657</v>
      </c>
      <c r="G7144" s="25">
        <v>4</v>
      </c>
      <c r="H7144" s="26"/>
      <c r="I7144" s="27"/>
    </row>
    <row r="7145" spans="1:9" ht="15.75" thickBot="1" x14ac:dyDescent="0.3">
      <c r="A7145" s="43" t="s">
        <v>14896</v>
      </c>
      <c r="B7145" s="21" t="s">
        <v>14897</v>
      </c>
      <c r="C7145" s="21" t="s">
        <v>22655</v>
      </c>
      <c r="D7145" s="22">
        <v>46051</v>
      </c>
      <c r="E7145" s="23" t="s">
        <v>22656</v>
      </c>
      <c r="F7145" s="24" t="s">
        <v>22657</v>
      </c>
      <c r="G7145" s="25">
        <v>4</v>
      </c>
      <c r="H7145" s="29"/>
      <c r="I7145" s="30"/>
    </row>
    <row r="7146" spans="1:9" ht="15.75" thickBot="1" x14ac:dyDescent="0.3">
      <c r="A7146" s="43" t="s">
        <v>14898</v>
      </c>
      <c r="B7146" s="21" t="s">
        <v>14899</v>
      </c>
      <c r="C7146" s="21" t="s">
        <v>22655</v>
      </c>
      <c r="D7146" s="22">
        <v>46037</v>
      </c>
      <c r="E7146" s="23" t="s">
        <v>22656</v>
      </c>
      <c r="F7146" s="24" t="s">
        <v>22657</v>
      </c>
      <c r="G7146" s="25">
        <v>5</v>
      </c>
      <c r="H7146" s="26"/>
      <c r="I7146" s="27"/>
    </row>
    <row r="7147" spans="1:9" ht="15.75" thickBot="1" x14ac:dyDescent="0.3">
      <c r="A7147" s="43" t="s">
        <v>14900</v>
      </c>
      <c r="B7147" s="21" t="s">
        <v>14901</v>
      </c>
      <c r="C7147" s="21" t="s">
        <v>22655</v>
      </c>
      <c r="D7147" s="22">
        <v>46034</v>
      </c>
      <c r="E7147" s="23" t="s">
        <v>22656</v>
      </c>
      <c r="F7147" s="24" t="s">
        <v>22657</v>
      </c>
      <c r="G7147" s="25">
        <v>4</v>
      </c>
      <c r="H7147" s="29"/>
      <c r="I7147" s="30"/>
    </row>
    <row r="7148" spans="1:9" ht="15.75" thickBot="1" x14ac:dyDescent="0.3">
      <c r="A7148" s="43" t="s">
        <v>14902</v>
      </c>
      <c r="B7148" s="21" t="s">
        <v>14903</v>
      </c>
      <c r="C7148" s="21" t="s">
        <v>22655</v>
      </c>
      <c r="D7148" s="22">
        <v>46030</v>
      </c>
      <c r="E7148" s="23" t="s">
        <v>22656</v>
      </c>
      <c r="F7148" s="24" t="s">
        <v>22657</v>
      </c>
      <c r="G7148" s="25">
        <v>3</v>
      </c>
      <c r="H7148" s="26"/>
      <c r="I7148" s="27"/>
    </row>
    <row r="7149" spans="1:9" ht="15.75" thickBot="1" x14ac:dyDescent="0.3">
      <c r="A7149" s="43" t="s">
        <v>14904</v>
      </c>
      <c r="B7149" s="21" t="s">
        <v>14905</v>
      </c>
      <c r="C7149" s="21" t="s">
        <v>22655</v>
      </c>
      <c r="D7149" s="31" t="s">
        <v>22839</v>
      </c>
      <c r="E7149" s="23" t="s">
        <v>22661</v>
      </c>
      <c r="F7149" s="24" t="s">
        <v>22657</v>
      </c>
      <c r="G7149" s="25">
        <v>17</v>
      </c>
      <c r="H7149" s="29"/>
      <c r="I7149" s="30"/>
    </row>
    <row r="7150" spans="1:9" ht="15.75" thickBot="1" x14ac:dyDescent="0.3">
      <c r="A7150" s="43" t="s">
        <v>14906</v>
      </c>
      <c r="B7150" s="21" t="s">
        <v>14907</v>
      </c>
      <c r="C7150" s="21" t="s">
        <v>22672</v>
      </c>
      <c r="D7150" s="22">
        <v>46027</v>
      </c>
      <c r="E7150" s="23" t="s">
        <v>22661</v>
      </c>
      <c r="F7150" s="24" t="s">
        <v>22657</v>
      </c>
      <c r="G7150" s="25">
        <v>6</v>
      </c>
      <c r="H7150" s="26"/>
      <c r="I7150" s="27"/>
    </row>
    <row r="7151" spans="1:9" ht="15.75" thickBot="1" x14ac:dyDescent="0.3">
      <c r="A7151" s="43" t="s">
        <v>14908</v>
      </c>
      <c r="B7151" s="21" t="s">
        <v>14909</v>
      </c>
      <c r="C7151" s="21" t="s">
        <v>22667</v>
      </c>
      <c r="D7151" s="31" t="s">
        <v>22840</v>
      </c>
      <c r="E7151" s="23" t="s">
        <v>22665</v>
      </c>
      <c r="F7151" s="24" t="s">
        <v>22657</v>
      </c>
      <c r="G7151" s="25">
        <v>30</v>
      </c>
      <c r="H7151" s="32">
        <v>30</v>
      </c>
      <c r="I7151" s="33">
        <v>60</v>
      </c>
    </row>
    <row r="7152" spans="1:9" ht="15.75" thickBot="1" x14ac:dyDescent="0.3">
      <c r="A7152" s="43" t="s">
        <v>14910</v>
      </c>
      <c r="B7152" s="21" t="s">
        <v>14911</v>
      </c>
      <c r="C7152" s="21" t="s">
        <v>22667</v>
      </c>
      <c r="D7152" s="31" t="s">
        <v>22841</v>
      </c>
      <c r="E7152" s="23" t="s">
        <v>22661</v>
      </c>
      <c r="F7152" s="24" t="s">
        <v>22657</v>
      </c>
      <c r="G7152" s="25">
        <v>20</v>
      </c>
      <c r="H7152" s="26"/>
      <c r="I7152" s="27"/>
    </row>
    <row r="7153" spans="1:9" ht="15.75" thickBot="1" x14ac:dyDescent="0.3">
      <c r="A7153" s="43" t="s">
        <v>14912</v>
      </c>
      <c r="B7153" s="21" t="s">
        <v>14913</v>
      </c>
      <c r="C7153" s="21" t="s">
        <v>22655</v>
      </c>
      <c r="D7153" s="31" t="s">
        <v>22842</v>
      </c>
      <c r="E7153" s="23" t="s">
        <v>22661</v>
      </c>
      <c r="F7153" s="24" t="s">
        <v>22657</v>
      </c>
      <c r="G7153" s="25">
        <v>5</v>
      </c>
      <c r="H7153" s="29"/>
      <c r="I7153" s="30"/>
    </row>
    <row r="7154" spans="1:9" ht="15.75" thickBot="1" x14ac:dyDescent="0.3">
      <c r="A7154" s="43" t="s">
        <v>14914</v>
      </c>
      <c r="B7154" s="21" t="s">
        <v>14915</v>
      </c>
      <c r="C7154" s="21" t="s">
        <v>22655</v>
      </c>
      <c r="D7154" s="31" t="s">
        <v>22843</v>
      </c>
      <c r="E7154" s="23" t="s">
        <v>22656</v>
      </c>
      <c r="F7154" s="24" t="s">
        <v>22657</v>
      </c>
      <c r="G7154" s="25">
        <v>6</v>
      </c>
      <c r="H7154" s="26"/>
      <c r="I7154" s="27"/>
    </row>
    <row r="7155" spans="1:9" ht="15.75" thickBot="1" x14ac:dyDescent="0.3">
      <c r="A7155" s="43" t="s">
        <v>14916</v>
      </c>
      <c r="B7155" s="21" t="s">
        <v>14917</v>
      </c>
      <c r="C7155" s="21" t="s">
        <v>22682</v>
      </c>
      <c r="D7155" s="22">
        <v>46034</v>
      </c>
      <c r="E7155" s="23" t="s">
        <v>22658</v>
      </c>
      <c r="F7155" s="24" t="s">
        <v>22657</v>
      </c>
      <c r="G7155" s="25">
        <v>4</v>
      </c>
      <c r="H7155" s="29"/>
      <c r="I7155" s="30"/>
    </row>
    <row r="7156" spans="1:9" ht="15.75" thickBot="1" x14ac:dyDescent="0.3">
      <c r="A7156" s="43" t="s">
        <v>14918</v>
      </c>
      <c r="B7156" s="21" t="s">
        <v>14919</v>
      </c>
      <c r="C7156" s="21" t="s">
        <v>22663</v>
      </c>
      <c r="D7156" s="31">
        <v>1</v>
      </c>
      <c r="E7156" s="23" t="s">
        <v>22656</v>
      </c>
      <c r="F7156" s="24" t="s">
        <v>22657</v>
      </c>
      <c r="G7156" s="25">
        <v>2</v>
      </c>
      <c r="H7156" s="26"/>
      <c r="I7156" s="27"/>
    </row>
    <row r="7157" spans="1:9" ht="15.75" thickBot="1" x14ac:dyDescent="0.3">
      <c r="A7157" s="43" t="s">
        <v>14920</v>
      </c>
      <c r="B7157" s="21" t="s">
        <v>14921</v>
      </c>
      <c r="C7157" s="21" t="s">
        <v>22663</v>
      </c>
      <c r="D7157" s="31">
        <v>1</v>
      </c>
      <c r="E7157" s="23" t="s">
        <v>22656</v>
      </c>
      <c r="F7157" s="24" t="s">
        <v>22657</v>
      </c>
      <c r="G7157" s="25">
        <v>8</v>
      </c>
      <c r="H7157" s="29"/>
      <c r="I7157" s="30"/>
    </row>
    <row r="7158" spans="1:9" ht="15.75" thickBot="1" x14ac:dyDescent="0.3">
      <c r="A7158" s="43" t="s">
        <v>14922</v>
      </c>
      <c r="B7158" s="21" t="s">
        <v>14923</v>
      </c>
      <c r="C7158" s="21" t="s">
        <v>22663</v>
      </c>
      <c r="D7158" s="31">
        <v>1</v>
      </c>
      <c r="E7158" s="23" t="s">
        <v>22658</v>
      </c>
      <c r="F7158" s="24" t="s">
        <v>22657</v>
      </c>
      <c r="G7158" s="25">
        <v>1</v>
      </c>
      <c r="H7158" s="26"/>
      <c r="I7158" s="27"/>
    </row>
    <row r="7159" spans="1:9" ht="15.75" thickBot="1" x14ac:dyDescent="0.3">
      <c r="A7159" s="43" t="s">
        <v>14924</v>
      </c>
      <c r="B7159" s="21" t="s">
        <v>14925</v>
      </c>
      <c r="C7159" s="21" t="s">
        <v>22663</v>
      </c>
      <c r="D7159" s="31">
        <v>1</v>
      </c>
      <c r="E7159" s="23" t="s">
        <v>22656</v>
      </c>
      <c r="F7159" s="24" t="s">
        <v>22657</v>
      </c>
      <c r="G7159" s="25">
        <v>4</v>
      </c>
      <c r="H7159" s="29"/>
      <c r="I7159" s="30"/>
    </row>
    <row r="7160" spans="1:9" ht="15.75" thickBot="1" x14ac:dyDescent="0.3">
      <c r="A7160" s="43" t="s">
        <v>14926</v>
      </c>
      <c r="B7160" s="21" t="s">
        <v>14927</v>
      </c>
      <c r="C7160" s="21" t="s">
        <v>22663</v>
      </c>
      <c r="D7160" s="31">
        <v>1</v>
      </c>
      <c r="E7160" s="23" t="s">
        <v>22656</v>
      </c>
      <c r="F7160" s="24" t="s">
        <v>22657</v>
      </c>
      <c r="G7160" s="25">
        <v>2</v>
      </c>
      <c r="H7160" s="26"/>
      <c r="I7160" s="27"/>
    </row>
    <row r="7161" spans="1:9" ht="15.75" thickBot="1" x14ac:dyDescent="0.3">
      <c r="A7161" s="43" t="s">
        <v>14928</v>
      </c>
      <c r="B7161" s="21" t="s">
        <v>14929</v>
      </c>
      <c r="C7161" s="21" t="s">
        <v>22663</v>
      </c>
      <c r="D7161" s="31">
        <v>1</v>
      </c>
      <c r="E7161" s="23" t="s">
        <v>22656</v>
      </c>
      <c r="F7161" s="24" t="s">
        <v>22657</v>
      </c>
      <c r="G7161" s="25">
        <v>4</v>
      </c>
      <c r="H7161" s="29"/>
      <c r="I7161" s="30"/>
    </row>
    <row r="7162" spans="1:9" ht="15.75" thickBot="1" x14ac:dyDescent="0.3">
      <c r="A7162" s="43" t="s">
        <v>14930</v>
      </c>
      <c r="B7162" s="21" t="s">
        <v>14931</v>
      </c>
      <c r="C7162" s="21" t="s">
        <v>22663</v>
      </c>
      <c r="D7162" s="31">
        <v>1</v>
      </c>
      <c r="E7162" s="23" t="s">
        <v>22656</v>
      </c>
      <c r="F7162" s="24" t="s">
        <v>22657</v>
      </c>
      <c r="G7162" s="25">
        <v>4</v>
      </c>
      <c r="H7162" s="26"/>
      <c r="I7162" s="27"/>
    </row>
    <row r="7163" spans="1:9" ht="15.75" thickBot="1" x14ac:dyDescent="0.3">
      <c r="A7163" s="43" t="s">
        <v>14932</v>
      </c>
      <c r="B7163" s="21" t="s">
        <v>14933</v>
      </c>
      <c r="C7163" s="21" t="s">
        <v>22663</v>
      </c>
      <c r="D7163" s="31">
        <v>1</v>
      </c>
      <c r="E7163" s="23" t="s">
        <v>22656</v>
      </c>
      <c r="F7163" s="24" t="s">
        <v>22657</v>
      </c>
      <c r="G7163" s="25">
        <v>2</v>
      </c>
      <c r="H7163" s="29"/>
      <c r="I7163" s="30"/>
    </row>
    <row r="7164" spans="1:9" ht="15.75" thickBot="1" x14ac:dyDescent="0.3">
      <c r="A7164" s="43" t="s">
        <v>14934</v>
      </c>
      <c r="B7164" s="21" t="s">
        <v>14935</v>
      </c>
      <c r="C7164" s="21" t="s">
        <v>22663</v>
      </c>
      <c r="D7164" s="31">
        <v>1</v>
      </c>
      <c r="E7164" s="23" t="s">
        <v>22656</v>
      </c>
      <c r="F7164" s="24" t="s">
        <v>22657</v>
      </c>
      <c r="G7164" s="25">
        <v>4</v>
      </c>
      <c r="H7164" s="26"/>
      <c r="I7164" s="27"/>
    </row>
    <row r="7165" spans="1:9" ht="15.75" thickBot="1" x14ac:dyDescent="0.3">
      <c r="A7165" s="43" t="s">
        <v>14936</v>
      </c>
      <c r="B7165" s="21" t="s">
        <v>14937</v>
      </c>
      <c r="C7165" s="21" t="s">
        <v>22663</v>
      </c>
      <c r="D7165" s="31">
        <v>1</v>
      </c>
      <c r="E7165" s="23" t="s">
        <v>22658</v>
      </c>
      <c r="F7165" s="24" t="s">
        <v>22657</v>
      </c>
      <c r="G7165" s="25">
        <v>4</v>
      </c>
      <c r="H7165" s="29"/>
      <c r="I7165" s="30"/>
    </row>
    <row r="7166" spans="1:9" ht="15.75" thickBot="1" x14ac:dyDescent="0.3">
      <c r="A7166" s="43" t="s">
        <v>14938</v>
      </c>
      <c r="B7166" s="21" t="s">
        <v>14939</v>
      </c>
      <c r="C7166" s="21" t="s">
        <v>22663</v>
      </c>
      <c r="D7166" s="31">
        <v>1</v>
      </c>
      <c r="E7166" s="23" t="s">
        <v>22658</v>
      </c>
      <c r="F7166" s="24" t="s">
        <v>22657</v>
      </c>
      <c r="G7166" s="25">
        <v>1</v>
      </c>
      <c r="H7166" s="26"/>
      <c r="I7166" s="27"/>
    </row>
    <row r="7167" spans="1:9" ht="15.75" thickBot="1" x14ac:dyDescent="0.3">
      <c r="A7167" s="43" t="s">
        <v>14940</v>
      </c>
      <c r="B7167" s="21" t="s">
        <v>14941</v>
      </c>
      <c r="C7167" s="21" t="s">
        <v>22663</v>
      </c>
      <c r="D7167" s="31">
        <v>1</v>
      </c>
      <c r="E7167" s="23" t="s">
        <v>22661</v>
      </c>
      <c r="F7167" s="24" t="s">
        <v>22657</v>
      </c>
      <c r="G7167" s="25">
        <v>7</v>
      </c>
      <c r="H7167" s="29"/>
      <c r="I7167" s="30"/>
    </row>
    <row r="7168" spans="1:9" ht="15.75" thickBot="1" x14ac:dyDescent="0.3">
      <c r="A7168" s="43" t="s">
        <v>14942</v>
      </c>
      <c r="B7168" s="21" t="s">
        <v>14943</v>
      </c>
      <c r="C7168" s="21" t="s">
        <v>22663</v>
      </c>
      <c r="D7168" s="31">
        <v>1</v>
      </c>
      <c r="E7168" s="23" t="s">
        <v>22656</v>
      </c>
      <c r="F7168" s="24" t="s">
        <v>22657</v>
      </c>
      <c r="G7168" s="25">
        <v>2</v>
      </c>
      <c r="H7168" s="26"/>
      <c r="I7168" s="27"/>
    </row>
    <row r="7169" spans="1:9" ht="15.75" thickBot="1" x14ac:dyDescent="0.3">
      <c r="A7169" s="43" t="s">
        <v>14944</v>
      </c>
      <c r="B7169" s="21" t="s">
        <v>14945</v>
      </c>
      <c r="C7169" s="21" t="s">
        <v>22663</v>
      </c>
      <c r="D7169" s="31">
        <v>1</v>
      </c>
      <c r="E7169" s="23" t="s">
        <v>22656</v>
      </c>
      <c r="F7169" s="24" t="s">
        <v>22657</v>
      </c>
      <c r="G7169" s="25">
        <v>4</v>
      </c>
      <c r="H7169" s="29"/>
      <c r="I7169" s="30"/>
    </row>
    <row r="7170" spans="1:9" ht="15.75" thickBot="1" x14ac:dyDescent="0.3">
      <c r="A7170" s="43" t="s">
        <v>22611</v>
      </c>
      <c r="B7170" s="21" t="s">
        <v>22612</v>
      </c>
      <c r="C7170" s="21" t="s">
        <v>22663</v>
      </c>
      <c r="D7170" s="31">
        <v>1</v>
      </c>
      <c r="E7170" s="23" t="s">
        <v>22658</v>
      </c>
      <c r="F7170" s="24" t="s">
        <v>22657</v>
      </c>
      <c r="G7170" s="25">
        <v>1</v>
      </c>
      <c r="H7170" s="26"/>
      <c r="I7170" s="27"/>
    </row>
    <row r="7171" spans="1:9" ht="15.75" thickBot="1" x14ac:dyDescent="0.3">
      <c r="A7171" s="43" t="s">
        <v>14946</v>
      </c>
      <c r="B7171" s="21" t="s">
        <v>14947</v>
      </c>
      <c r="C7171" s="21" t="s">
        <v>22663</v>
      </c>
      <c r="D7171" s="31">
        <v>1</v>
      </c>
      <c r="E7171" s="23" t="s">
        <v>22656</v>
      </c>
      <c r="F7171" s="24" t="s">
        <v>22657</v>
      </c>
      <c r="G7171" s="25">
        <v>4</v>
      </c>
      <c r="H7171" s="29"/>
      <c r="I7171" s="30"/>
    </row>
    <row r="7172" spans="1:9" ht="15.75" thickBot="1" x14ac:dyDescent="0.3">
      <c r="A7172" s="43" t="s">
        <v>14948</v>
      </c>
      <c r="B7172" s="21" t="s">
        <v>14949</v>
      </c>
      <c r="C7172" s="21" t="s">
        <v>22663</v>
      </c>
      <c r="D7172" s="31">
        <v>1</v>
      </c>
      <c r="E7172" s="23" t="s">
        <v>22656</v>
      </c>
      <c r="F7172" s="24" t="s">
        <v>22657</v>
      </c>
      <c r="G7172" s="25">
        <v>2</v>
      </c>
      <c r="H7172" s="26"/>
      <c r="I7172" s="27"/>
    </row>
    <row r="7173" spans="1:9" ht="15.75" thickBot="1" x14ac:dyDescent="0.3">
      <c r="A7173" s="43" t="s">
        <v>14950</v>
      </c>
      <c r="B7173" s="21" t="s">
        <v>14951</v>
      </c>
      <c r="C7173" s="21" t="s">
        <v>22663</v>
      </c>
      <c r="D7173" s="31">
        <v>1</v>
      </c>
      <c r="E7173" s="23" t="s">
        <v>22656</v>
      </c>
      <c r="F7173" s="24" t="s">
        <v>22657</v>
      </c>
      <c r="G7173" s="25">
        <v>8</v>
      </c>
      <c r="H7173" s="29"/>
      <c r="I7173" s="30"/>
    </row>
    <row r="7174" spans="1:9" ht="15.75" thickBot="1" x14ac:dyDescent="0.3">
      <c r="A7174" s="43" t="s">
        <v>14952</v>
      </c>
      <c r="B7174" s="21" t="s">
        <v>14953</v>
      </c>
      <c r="C7174" s="21" t="s">
        <v>22663</v>
      </c>
      <c r="D7174" s="31">
        <v>1</v>
      </c>
      <c r="E7174" s="23" t="s">
        <v>22656</v>
      </c>
      <c r="F7174" s="24" t="s">
        <v>22657</v>
      </c>
      <c r="G7174" s="25">
        <v>2</v>
      </c>
      <c r="H7174" s="26"/>
      <c r="I7174" s="27"/>
    </row>
    <row r="7175" spans="1:9" ht="15.75" thickBot="1" x14ac:dyDescent="0.3">
      <c r="A7175" s="43" t="s">
        <v>14954</v>
      </c>
      <c r="B7175" s="21" t="s">
        <v>14955</v>
      </c>
      <c r="C7175" s="21" t="s">
        <v>22663</v>
      </c>
      <c r="D7175" s="31">
        <v>1</v>
      </c>
      <c r="E7175" s="23" t="s">
        <v>22656</v>
      </c>
      <c r="F7175" s="24" t="s">
        <v>22657</v>
      </c>
      <c r="G7175" s="25">
        <v>6</v>
      </c>
      <c r="H7175" s="29"/>
      <c r="I7175" s="30"/>
    </row>
    <row r="7176" spans="1:9" ht="15.75" thickBot="1" x14ac:dyDescent="0.3">
      <c r="A7176" s="43" t="s">
        <v>14956</v>
      </c>
      <c r="B7176" s="21" t="s">
        <v>14957</v>
      </c>
      <c r="C7176" s="21" t="s">
        <v>22663</v>
      </c>
      <c r="D7176" s="31">
        <v>1</v>
      </c>
      <c r="E7176" s="23" t="s">
        <v>22656</v>
      </c>
      <c r="F7176" s="24" t="s">
        <v>22657</v>
      </c>
      <c r="G7176" s="25">
        <v>4</v>
      </c>
      <c r="H7176" s="26"/>
      <c r="I7176" s="27"/>
    </row>
    <row r="7177" spans="1:9" ht="15.75" thickBot="1" x14ac:dyDescent="0.3">
      <c r="A7177" s="43" t="s">
        <v>14958</v>
      </c>
      <c r="B7177" s="21" t="s">
        <v>14959</v>
      </c>
      <c r="C7177" s="21" t="s">
        <v>22663</v>
      </c>
      <c r="D7177" s="31">
        <v>1</v>
      </c>
      <c r="E7177" s="23" t="s">
        <v>22656</v>
      </c>
      <c r="F7177" s="24" t="s">
        <v>22657</v>
      </c>
      <c r="G7177" s="25">
        <v>5</v>
      </c>
      <c r="H7177" s="29"/>
      <c r="I7177" s="30"/>
    </row>
    <row r="7178" spans="1:9" ht="15.75" thickBot="1" x14ac:dyDescent="0.3">
      <c r="A7178" s="43" t="s">
        <v>14960</v>
      </c>
      <c r="B7178" s="21" t="s">
        <v>14961</v>
      </c>
      <c r="C7178" s="21" t="s">
        <v>22663</v>
      </c>
      <c r="D7178" s="31">
        <v>1</v>
      </c>
      <c r="E7178" s="23" t="s">
        <v>22656</v>
      </c>
      <c r="F7178" s="24" t="s">
        <v>22657</v>
      </c>
      <c r="G7178" s="25">
        <v>2</v>
      </c>
      <c r="H7178" s="26"/>
      <c r="I7178" s="27"/>
    </row>
    <row r="7179" spans="1:9" ht="15.75" thickBot="1" x14ac:dyDescent="0.3">
      <c r="A7179" s="43" t="s">
        <v>14962</v>
      </c>
      <c r="B7179" s="21" t="s">
        <v>14963</v>
      </c>
      <c r="C7179" s="21" t="s">
        <v>22663</v>
      </c>
      <c r="D7179" s="31">
        <v>1</v>
      </c>
      <c r="E7179" s="23" t="s">
        <v>22656</v>
      </c>
      <c r="F7179" s="24" t="s">
        <v>22657</v>
      </c>
      <c r="G7179" s="25">
        <v>4</v>
      </c>
      <c r="H7179" s="29"/>
      <c r="I7179" s="30"/>
    </row>
    <row r="7180" spans="1:9" ht="15.75" thickBot="1" x14ac:dyDescent="0.3">
      <c r="A7180" s="43" t="s">
        <v>14964</v>
      </c>
      <c r="B7180" s="21" t="s">
        <v>14965</v>
      </c>
      <c r="C7180" s="21" t="s">
        <v>22663</v>
      </c>
      <c r="D7180" s="31">
        <v>1</v>
      </c>
      <c r="E7180" s="23" t="s">
        <v>22656</v>
      </c>
      <c r="F7180" s="24" t="s">
        <v>22657</v>
      </c>
      <c r="G7180" s="25">
        <v>2</v>
      </c>
      <c r="H7180" s="26"/>
      <c r="I7180" s="27"/>
    </row>
    <row r="7181" spans="1:9" ht="15.75" thickBot="1" x14ac:dyDescent="0.3">
      <c r="A7181" s="43" t="s">
        <v>14966</v>
      </c>
      <c r="B7181" s="21" t="s">
        <v>14967</v>
      </c>
      <c r="C7181" s="21" t="s">
        <v>22663</v>
      </c>
      <c r="D7181" s="31">
        <v>1</v>
      </c>
      <c r="E7181" s="23" t="s">
        <v>22656</v>
      </c>
      <c r="F7181" s="24" t="s">
        <v>22657</v>
      </c>
      <c r="G7181" s="25">
        <v>7</v>
      </c>
      <c r="H7181" s="29"/>
      <c r="I7181" s="30"/>
    </row>
    <row r="7182" spans="1:9" ht="15.75" thickBot="1" x14ac:dyDescent="0.3">
      <c r="A7182" s="43" t="s">
        <v>14968</v>
      </c>
      <c r="B7182" s="21" t="s">
        <v>14969</v>
      </c>
      <c r="C7182" s="21" t="s">
        <v>22663</v>
      </c>
      <c r="D7182" s="31">
        <v>1</v>
      </c>
      <c r="E7182" s="23" t="s">
        <v>22656</v>
      </c>
      <c r="F7182" s="24" t="s">
        <v>22657</v>
      </c>
      <c r="G7182" s="25">
        <v>2</v>
      </c>
      <c r="H7182" s="26"/>
      <c r="I7182" s="27"/>
    </row>
    <row r="7183" spans="1:9" ht="15.75" thickBot="1" x14ac:dyDescent="0.3">
      <c r="A7183" s="43" t="s">
        <v>14970</v>
      </c>
      <c r="B7183" s="21" t="s">
        <v>14971</v>
      </c>
      <c r="C7183" s="21" t="s">
        <v>22663</v>
      </c>
      <c r="D7183" s="31">
        <v>1</v>
      </c>
      <c r="E7183" s="23" t="s">
        <v>22658</v>
      </c>
      <c r="F7183" s="24" t="s">
        <v>22657</v>
      </c>
      <c r="G7183" s="25">
        <v>4</v>
      </c>
      <c r="H7183" s="29"/>
      <c r="I7183" s="30"/>
    </row>
    <row r="7184" spans="1:9" ht="15.75" thickBot="1" x14ac:dyDescent="0.3">
      <c r="A7184" s="43" t="s">
        <v>14972</v>
      </c>
      <c r="B7184" s="21" t="s">
        <v>14973</v>
      </c>
      <c r="C7184" s="21" t="s">
        <v>22663</v>
      </c>
      <c r="D7184" s="31">
        <v>1</v>
      </c>
      <c r="E7184" s="23" t="s">
        <v>22656</v>
      </c>
      <c r="F7184" s="24" t="s">
        <v>22657</v>
      </c>
      <c r="G7184" s="25">
        <v>4</v>
      </c>
      <c r="H7184" s="26"/>
      <c r="I7184" s="27"/>
    </row>
    <row r="7185" spans="1:9" ht="15.75" thickBot="1" x14ac:dyDescent="0.3">
      <c r="A7185" s="43" t="s">
        <v>904</v>
      </c>
      <c r="B7185" s="21" t="s">
        <v>905</v>
      </c>
      <c r="C7185" s="21" t="s">
        <v>22663</v>
      </c>
      <c r="D7185" s="31">
        <v>1</v>
      </c>
      <c r="E7185" s="23" t="s">
        <v>22656</v>
      </c>
      <c r="F7185" s="24" t="s">
        <v>22657</v>
      </c>
      <c r="G7185" s="25">
        <v>2</v>
      </c>
      <c r="H7185" s="29"/>
      <c r="I7185" s="30"/>
    </row>
    <row r="7186" spans="1:9" ht="15.75" thickBot="1" x14ac:dyDescent="0.3">
      <c r="A7186" s="43" t="s">
        <v>14974</v>
      </c>
      <c r="B7186" s="21" t="s">
        <v>14975</v>
      </c>
      <c r="C7186" s="21" t="s">
        <v>22663</v>
      </c>
      <c r="D7186" s="31">
        <v>1</v>
      </c>
      <c r="E7186" s="23" t="s">
        <v>22656</v>
      </c>
      <c r="F7186" s="24" t="s">
        <v>22657</v>
      </c>
      <c r="G7186" s="25">
        <v>6</v>
      </c>
      <c r="H7186" s="26"/>
      <c r="I7186" s="27"/>
    </row>
    <row r="7187" spans="1:9" ht="15.75" thickBot="1" x14ac:dyDescent="0.3">
      <c r="A7187" s="43" t="s">
        <v>14976</v>
      </c>
      <c r="B7187" s="21" t="s">
        <v>14977</v>
      </c>
      <c r="C7187" s="21" t="s">
        <v>22663</v>
      </c>
      <c r="D7187" s="31">
        <v>1</v>
      </c>
      <c r="E7187" s="23" t="s">
        <v>22656</v>
      </c>
      <c r="F7187" s="24" t="s">
        <v>22657</v>
      </c>
      <c r="G7187" s="25">
        <v>2</v>
      </c>
      <c r="H7187" s="29"/>
      <c r="I7187" s="30"/>
    </row>
    <row r="7188" spans="1:9" ht="15.75" thickBot="1" x14ac:dyDescent="0.3">
      <c r="A7188" s="43" t="s">
        <v>14978</v>
      </c>
      <c r="B7188" s="21" t="s">
        <v>14979</v>
      </c>
      <c r="C7188" s="21" t="s">
        <v>22663</v>
      </c>
      <c r="D7188" s="31">
        <v>1</v>
      </c>
      <c r="E7188" s="23" t="s">
        <v>22656</v>
      </c>
      <c r="F7188" s="24" t="s">
        <v>22657</v>
      </c>
      <c r="G7188" s="25">
        <v>2</v>
      </c>
      <c r="H7188" s="26"/>
      <c r="I7188" s="27"/>
    </row>
    <row r="7189" spans="1:9" ht="15.75" thickBot="1" x14ac:dyDescent="0.3">
      <c r="A7189" s="43" t="s">
        <v>14980</v>
      </c>
      <c r="B7189" s="21" t="s">
        <v>14981</v>
      </c>
      <c r="C7189" s="21" t="s">
        <v>22663</v>
      </c>
      <c r="D7189" s="31">
        <v>1</v>
      </c>
      <c r="E7189" s="23" t="s">
        <v>22656</v>
      </c>
      <c r="F7189" s="24" t="s">
        <v>22657</v>
      </c>
      <c r="G7189" s="25">
        <v>2</v>
      </c>
      <c r="H7189" s="29"/>
      <c r="I7189" s="30"/>
    </row>
    <row r="7190" spans="1:9" ht="15.75" thickBot="1" x14ac:dyDescent="0.3">
      <c r="A7190" s="43" t="s">
        <v>14982</v>
      </c>
      <c r="B7190" s="21" t="s">
        <v>14983</v>
      </c>
      <c r="C7190" s="21" t="s">
        <v>22663</v>
      </c>
      <c r="D7190" s="31">
        <v>1</v>
      </c>
      <c r="E7190" s="23" t="s">
        <v>22656</v>
      </c>
      <c r="F7190" s="24" t="s">
        <v>22657</v>
      </c>
      <c r="G7190" s="25">
        <v>2</v>
      </c>
      <c r="H7190" s="26"/>
      <c r="I7190" s="27"/>
    </row>
    <row r="7191" spans="1:9" ht="15.75" thickBot="1" x14ac:dyDescent="0.3">
      <c r="A7191" s="43" t="s">
        <v>14984</v>
      </c>
      <c r="B7191" s="21" t="s">
        <v>14985</v>
      </c>
      <c r="C7191" s="21" t="s">
        <v>22663</v>
      </c>
      <c r="D7191" s="31">
        <v>1</v>
      </c>
      <c r="E7191" s="23" t="s">
        <v>22656</v>
      </c>
      <c r="F7191" s="24" t="s">
        <v>22657</v>
      </c>
      <c r="G7191" s="25">
        <v>2</v>
      </c>
      <c r="H7191" s="29"/>
      <c r="I7191" s="30"/>
    </row>
    <row r="7192" spans="1:9" ht="15.75" thickBot="1" x14ac:dyDescent="0.3">
      <c r="A7192" s="43" t="s">
        <v>14986</v>
      </c>
      <c r="B7192" s="21" t="s">
        <v>14987</v>
      </c>
      <c r="C7192" s="21" t="s">
        <v>22663</v>
      </c>
      <c r="D7192" s="31">
        <v>1</v>
      </c>
      <c r="E7192" s="23" t="s">
        <v>22656</v>
      </c>
      <c r="F7192" s="24" t="s">
        <v>22657</v>
      </c>
      <c r="G7192" s="25">
        <v>2</v>
      </c>
      <c r="H7192" s="26"/>
      <c r="I7192" s="27"/>
    </row>
    <row r="7193" spans="1:9" ht="15.75" thickBot="1" x14ac:dyDescent="0.3">
      <c r="A7193" s="43" t="s">
        <v>14988</v>
      </c>
      <c r="B7193" s="21" t="s">
        <v>14989</v>
      </c>
      <c r="C7193" s="21" t="s">
        <v>22663</v>
      </c>
      <c r="D7193" s="31">
        <v>1</v>
      </c>
      <c r="E7193" s="23" t="s">
        <v>22656</v>
      </c>
      <c r="F7193" s="24" t="s">
        <v>22657</v>
      </c>
      <c r="G7193" s="25">
        <v>3</v>
      </c>
      <c r="H7193" s="29"/>
      <c r="I7193" s="30"/>
    </row>
    <row r="7194" spans="1:9" ht="15.75" thickBot="1" x14ac:dyDescent="0.3">
      <c r="A7194" s="43" t="s">
        <v>14990</v>
      </c>
      <c r="B7194" s="21" t="s">
        <v>14991</v>
      </c>
      <c r="C7194" s="21" t="s">
        <v>22663</v>
      </c>
      <c r="D7194" s="31">
        <v>1</v>
      </c>
      <c r="E7194" s="23" t="s">
        <v>22656</v>
      </c>
      <c r="F7194" s="24" t="s">
        <v>22657</v>
      </c>
      <c r="G7194" s="25">
        <v>2</v>
      </c>
      <c r="H7194" s="26"/>
      <c r="I7194" s="27"/>
    </row>
    <row r="7195" spans="1:9" ht="15.75" thickBot="1" x14ac:dyDescent="0.3">
      <c r="A7195" s="43" t="s">
        <v>14992</v>
      </c>
      <c r="B7195" s="21" t="s">
        <v>14993</v>
      </c>
      <c r="C7195" s="21" t="s">
        <v>22663</v>
      </c>
      <c r="D7195" s="31">
        <v>1</v>
      </c>
      <c r="E7195" s="23" t="s">
        <v>22656</v>
      </c>
      <c r="F7195" s="24" t="s">
        <v>22657</v>
      </c>
      <c r="G7195" s="25">
        <v>2</v>
      </c>
      <c r="H7195" s="29"/>
      <c r="I7195" s="30"/>
    </row>
    <row r="7196" spans="1:9" ht="15.75" thickBot="1" x14ac:dyDescent="0.3">
      <c r="A7196" s="43" t="s">
        <v>14994</v>
      </c>
      <c r="B7196" s="21" t="s">
        <v>14995</v>
      </c>
      <c r="C7196" s="21" t="s">
        <v>22663</v>
      </c>
      <c r="D7196" s="31">
        <v>1</v>
      </c>
      <c r="E7196" s="23" t="s">
        <v>22656</v>
      </c>
      <c r="F7196" s="24" t="s">
        <v>22657</v>
      </c>
      <c r="G7196" s="25">
        <v>2</v>
      </c>
      <c r="H7196" s="26"/>
      <c r="I7196" s="27"/>
    </row>
    <row r="7197" spans="1:9" ht="15.75" thickBot="1" x14ac:dyDescent="0.3">
      <c r="A7197" s="43" t="s">
        <v>14996</v>
      </c>
      <c r="B7197" s="21" t="s">
        <v>14997</v>
      </c>
      <c r="C7197" s="21" t="s">
        <v>22663</v>
      </c>
      <c r="D7197" s="31">
        <v>1</v>
      </c>
      <c r="E7197" s="23" t="s">
        <v>22658</v>
      </c>
      <c r="F7197" s="24" t="s">
        <v>22657</v>
      </c>
      <c r="G7197" s="25">
        <v>1</v>
      </c>
      <c r="H7197" s="29"/>
      <c r="I7197" s="30"/>
    </row>
    <row r="7198" spans="1:9" ht="15.75" thickBot="1" x14ac:dyDescent="0.3">
      <c r="A7198" s="43" t="s">
        <v>14998</v>
      </c>
      <c r="B7198" s="21" t="s">
        <v>14999</v>
      </c>
      <c r="C7198" s="21" t="s">
        <v>22663</v>
      </c>
      <c r="D7198" s="31">
        <v>1</v>
      </c>
      <c r="E7198" s="23" t="s">
        <v>22656</v>
      </c>
      <c r="F7198" s="24" t="s">
        <v>22657</v>
      </c>
      <c r="G7198" s="25">
        <v>4</v>
      </c>
      <c r="H7198" s="26"/>
      <c r="I7198" s="27"/>
    </row>
    <row r="7199" spans="1:9" ht="15.75" thickBot="1" x14ac:dyDescent="0.3">
      <c r="A7199" s="43" t="s">
        <v>15000</v>
      </c>
      <c r="B7199" s="21" t="s">
        <v>15001</v>
      </c>
      <c r="C7199" s="21" t="s">
        <v>22663</v>
      </c>
      <c r="D7199" s="31">
        <v>1</v>
      </c>
      <c r="E7199" s="23" t="s">
        <v>22656</v>
      </c>
      <c r="F7199" s="24" t="s">
        <v>22657</v>
      </c>
      <c r="G7199" s="25">
        <v>4</v>
      </c>
      <c r="H7199" s="29"/>
      <c r="I7199" s="30"/>
    </row>
    <row r="7200" spans="1:9" ht="15.75" thickBot="1" x14ac:dyDescent="0.3">
      <c r="A7200" s="43" t="s">
        <v>15002</v>
      </c>
      <c r="B7200" s="21" t="s">
        <v>15003</v>
      </c>
      <c r="C7200" s="21" t="s">
        <v>22663</v>
      </c>
      <c r="D7200" s="31">
        <v>1</v>
      </c>
      <c r="E7200" s="23" t="s">
        <v>22656</v>
      </c>
      <c r="F7200" s="24" t="s">
        <v>22657</v>
      </c>
      <c r="G7200" s="25">
        <v>2</v>
      </c>
      <c r="H7200" s="26"/>
      <c r="I7200" s="27"/>
    </row>
    <row r="7201" spans="1:9" ht="15.75" thickBot="1" x14ac:dyDescent="0.3">
      <c r="A7201" s="43" t="s">
        <v>15004</v>
      </c>
      <c r="B7201" s="21" t="s">
        <v>15005</v>
      </c>
      <c r="C7201" s="21" t="s">
        <v>22663</v>
      </c>
      <c r="D7201" s="31">
        <v>1</v>
      </c>
      <c r="E7201" s="23" t="s">
        <v>22656</v>
      </c>
      <c r="F7201" s="24" t="s">
        <v>22657</v>
      </c>
      <c r="G7201" s="25">
        <v>5</v>
      </c>
      <c r="H7201" s="29"/>
      <c r="I7201" s="30"/>
    </row>
    <row r="7202" spans="1:9" ht="15.75" thickBot="1" x14ac:dyDescent="0.3">
      <c r="A7202" s="43" t="s">
        <v>15006</v>
      </c>
      <c r="B7202" s="21" t="s">
        <v>15007</v>
      </c>
      <c r="C7202" s="21" t="s">
        <v>22663</v>
      </c>
      <c r="D7202" s="31">
        <v>1</v>
      </c>
      <c r="E7202" s="23" t="s">
        <v>22658</v>
      </c>
      <c r="F7202" s="24" t="s">
        <v>22657</v>
      </c>
      <c r="G7202" s="25">
        <v>4</v>
      </c>
      <c r="H7202" s="26"/>
      <c r="I7202" s="27"/>
    </row>
    <row r="7203" spans="1:9" ht="15.75" thickBot="1" x14ac:dyDescent="0.3">
      <c r="A7203" s="43" t="s">
        <v>15008</v>
      </c>
      <c r="B7203" s="21" t="s">
        <v>15009</v>
      </c>
      <c r="C7203" s="21" t="s">
        <v>22663</v>
      </c>
      <c r="D7203" s="31">
        <v>1</v>
      </c>
      <c r="E7203" s="23" t="s">
        <v>22656</v>
      </c>
      <c r="F7203" s="24" t="s">
        <v>22657</v>
      </c>
      <c r="G7203" s="25">
        <v>2</v>
      </c>
      <c r="H7203" s="29"/>
      <c r="I7203" s="30"/>
    </row>
    <row r="7204" spans="1:9" ht="15.75" thickBot="1" x14ac:dyDescent="0.3">
      <c r="A7204" s="43" t="s">
        <v>15010</v>
      </c>
      <c r="B7204" s="21" t="s">
        <v>15011</v>
      </c>
      <c r="C7204" s="21" t="s">
        <v>22663</v>
      </c>
      <c r="D7204" s="31">
        <v>1</v>
      </c>
      <c r="E7204" s="23" t="s">
        <v>22661</v>
      </c>
      <c r="F7204" s="24" t="s">
        <v>22657</v>
      </c>
      <c r="G7204" s="25">
        <v>3</v>
      </c>
      <c r="H7204" s="26"/>
      <c r="I7204" s="27"/>
    </row>
    <row r="7205" spans="1:9" ht="15.75" thickBot="1" x14ac:dyDescent="0.3">
      <c r="A7205" s="43" t="s">
        <v>15012</v>
      </c>
      <c r="B7205" s="21" t="s">
        <v>15013</v>
      </c>
      <c r="C7205" s="21" t="s">
        <v>22663</v>
      </c>
      <c r="D7205" s="31">
        <v>1</v>
      </c>
      <c r="E7205" s="23" t="s">
        <v>22656</v>
      </c>
      <c r="F7205" s="24" t="s">
        <v>22657</v>
      </c>
      <c r="G7205" s="25">
        <v>4</v>
      </c>
      <c r="H7205" s="29"/>
      <c r="I7205" s="30"/>
    </row>
    <row r="7206" spans="1:9" ht="15.75" thickBot="1" x14ac:dyDescent="0.3">
      <c r="A7206" s="43" t="s">
        <v>15014</v>
      </c>
      <c r="B7206" s="21" t="s">
        <v>15015</v>
      </c>
      <c r="C7206" s="21" t="s">
        <v>22663</v>
      </c>
      <c r="D7206" s="31">
        <v>1</v>
      </c>
      <c r="E7206" s="23" t="s">
        <v>22656</v>
      </c>
      <c r="F7206" s="24" t="s">
        <v>22657</v>
      </c>
      <c r="G7206" s="25">
        <v>2</v>
      </c>
      <c r="H7206" s="26"/>
      <c r="I7206" s="27"/>
    </row>
    <row r="7207" spans="1:9" ht="15.75" thickBot="1" x14ac:dyDescent="0.3">
      <c r="A7207" s="43" t="s">
        <v>15016</v>
      </c>
      <c r="B7207" s="21" t="s">
        <v>15017</v>
      </c>
      <c r="C7207" s="21" t="s">
        <v>22663</v>
      </c>
      <c r="D7207" s="31">
        <v>1</v>
      </c>
      <c r="E7207" s="23" t="s">
        <v>22658</v>
      </c>
      <c r="F7207" s="24" t="s">
        <v>22657</v>
      </c>
      <c r="G7207" s="25">
        <v>4</v>
      </c>
      <c r="H7207" s="29"/>
      <c r="I7207" s="30"/>
    </row>
    <row r="7208" spans="1:9" ht="15.75" thickBot="1" x14ac:dyDescent="0.3">
      <c r="A7208" s="43" t="s">
        <v>15018</v>
      </c>
      <c r="B7208" s="21" t="s">
        <v>15019</v>
      </c>
      <c r="C7208" s="21" t="s">
        <v>22663</v>
      </c>
      <c r="D7208" s="31">
        <v>1</v>
      </c>
      <c r="E7208" s="23" t="s">
        <v>22656</v>
      </c>
      <c r="F7208" s="24" t="s">
        <v>22657</v>
      </c>
      <c r="G7208" s="25">
        <v>2</v>
      </c>
      <c r="H7208" s="26"/>
      <c r="I7208" s="27"/>
    </row>
    <row r="7209" spans="1:9" ht="15.75" thickBot="1" x14ac:dyDescent="0.3">
      <c r="A7209" s="43" t="s">
        <v>15020</v>
      </c>
      <c r="B7209" s="21" t="s">
        <v>15021</v>
      </c>
      <c r="C7209" s="21" t="s">
        <v>22663</v>
      </c>
      <c r="D7209" s="31">
        <v>1</v>
      </c>
      <c r="E7209" s="23" t="s">
        <v>22658</v>
      </c>
      <c r="F7209" s="24" t="s">
        <v>22657</v>
      </c>
      <c r="G7209" s="25">
        <v>4</v>
      </c>
      <c r="H7209" s="29"/>
      <c r="I7209" s="30"/>
    </row>
    <row r="7210" spans="1:9" ht="15.75" thickBot="1" x14ac:dyDescent="0.3">
      <c r="A7210" s="43" t="s">
        <v>15022</v>
      </c>
      <c r="B7210" s="21" t="s">
        <v>15023</v>
      </c>
      <c r="C7210" s="21" t="s">
        <v>22663</v>
      </c>
      <c r="D7210" s="31">
        <v>1</v>
      </c>
      <c r="E7210" s="23" t="s">
        <v>22656</v>
      </c>
      <c r="F7210" s="24" t="s">
        <v>22657</v>
      </c>
      <c r="G7210" s="25">
        <v>2</v>
      </c>
      <c r="H7210" s="26"/>
      <c r="I7210" s="27"/>
    </row>
    <row r="7211" spans="1:9" ht="15.75" thickBot="1" x14ac:dyDescent="0.3">
      <c r="A7211" s="43" t="s">
        <v>15024</v>
      </c>
      <c r="B7211" s="21" t="s">
        <v>15025</v>
      </c>
      <c r="C7211" s="21" t="s">
        <v>22663</v>
      </c>
      <c r="D7211" s="31">
        <v>1</v>
      </c>
      <c r="E7211" s="23" t="s">
        <v>22656</v>
      </c>
      <c r="F7211" s="24" t="s">
        <v>22657</v>
      </c>
      <c r="G7211" s="25">
        <v>4</v>
      </c>
      <c r="H7211" s="29"/>
      <c r="I7211" s="30"/>
    </row>
    <row r="7212" spans="1:9" ht="15.75" thickBot="1" x14ac:dyDescent="0.3">
      <c r="A7212" s="43" t="s">
        <v>15026</v>
      </c>
      <c r="B7212" s="21" t="s">
        <v>15027</v>
      </c>
      <c r="C7212" s="21" t="s">
        <v>22663</v>
      </c>
      <c r="D7212" s="31">
        <v>1</v>
      </c>
      <c r="E7212" s="23" t="s">
        <v>22656</v>
      </c>
      <c r="F7212" s="24" t="s">
        <v>22657</v>
      </c>
      <c r="G7212" s="25">
        <v>2</v>
      </c>
      <c r="H7212" s="26"/>
      <c r="I7212" s="27"/>
    </row>
    <row r="7213" spans="1:9" ht="15.75" thickBot="1" x14ac:dyDescent="0.3">
      <c r="A7213" s="43" t="s">
        <v>15028</v>
      </c>
      <c r="B7213" s="21" t="s">
        <v>15029</v>
      </c>
      <c r="C7213" s="21" t="s">
        <v>22663</v>
      </c>
      <c r="D7213" s="31">
        <v>1</v>
      </c>
      <c r="E7213" s="23" t="s">
        <v>22656</v>
      </c>
      <c r="F7213" s="24" t="s">
        <v>22657</v>
      </c>
      <c r="G7213" s="25">
        <v>4</v>
      </c>
      <c r="H7213" s="29"/>
      <c r="I7213" s="30"/>
    </row>
    <row r="7214" spans="1:9" ht="15.75" thickBot="1" x14ac:dyDescent="0.3">
      <c r="A7214" s="43" t="s">
        <v>15030</v>
      </c>
      <c r="B7214" s="21" t="s">
        <v>15031</v>
      </c>
      <c r="C7214" s="21" t="s">
        <v>22698</v>
      </c>
      <c r="D7214" s="31">
        <v>1</v>
      </c>
      <c r="E7214" s="23" t="s">
        <v>22658</v>
      </c>
      <c r="F7214" s="24" t="s">
        <v>22657</v>
      </c>
      <c r="G7214" s="25">
        <v>1</v>
      </c>
      <c r="H7214" s="26"/>
      <c r="I7214" s="27"/>
    </row>
    <row r="7215" spans="1:9" ht="15.75" thickBot="1" x14ac:dyDescent="0.3">
      <c r="A7215" s="43" t="s">
        <v>15032</v>
      </c>
      <c r="B7215" s="21" t="s">
        <v>15033</v>
      </c>
      <c r="C7215" s="21" t="s">
        <v>22663</v>
      </c>
      <c r="D7215" s="31">
        <v>1</v>
      </c>
      <c r="E7215" s="23" t="s">
        <v>22656</v>
      </c>
      <c r="F7215" s="24" t="s">
        <v>22657</v>
      </c>
      <c r="G7215" s="25">
        <v>4</v>
      </c>
      <c r="H7215" s="29"/>
      <c r="I7215" s="30"/>
    </row>
    <row r="7216" spans="1:9" ht="15.75" thickBot="1" x14ac:dyDescent="0.3">
      <c r="A7216" s="43" t="s">
        <v>15034</v>
      </c>
      <c r="B7216" s="21" t="s">
        <v>15035</v>
      </c>
      <c r="C7216" s="21" t="s">
        <v>22663</v>
      </c>
      <c r="D7216" s="31">
        <v>1</v>
      </c>
      <c r="E7216" s="23" t="s">
        <v>22656</v>
      </c>
      <c r="F7216" s="24" t="s">
        <v>22657</v>
      </c>
      <c r="G7216" s="25">
        <v>2</v>
      </c>
      <c r="H7216" s="26"/>
      <c r="I7216" s="27"/>
    </row>
    <row r="7217" spans="1:9" ht="15.75" thickBot="1" x14ac:dyDescent="0.3">
      <c r="A7217" s="43" t="s">
        <v>15036</v>
      </c>
      <c r="B7217" s="21" t="s">
        <v>15037</v>
      </c>
      <c r="C7217" s="21" t="s">
        <v>22663</v>
      </c>
      <c r="D7217" s="31">
        <v>1</v>
      </c>
      <c r="E7217" s="23" t="s">
        <v>22658</v>
      </c>
      <c r="F7217" s="24" t="s">
        <v>22657</v>
      </c>
      <c r="G7217" s="25">
        <v>4</v>
      </c>
      <c r="H7217" s="29"/>
      <c r="I7217" s="30"/>
    </row>
    <row r="7218" spans="1:9" ht="15.75" thickBot="1" x14ac:dyDescent="0.3">
      <c r="A7218" s="43" t="s">
        <v>15038</v>
      </c>
      <c r="B7218" s="21" t="s">
        <v>15039</v>
      </c>
      <c r="C7218" s="21" t="s">
        <v>22663</v>
      </c>
      <c r="D7218" s="31">
        <v>1</v>
      </c>
      <c r="E7218" s="23" t="s">
        <v>22658</v>
      </c>
      <c r="F7218" s="24" t="s">
        <v>22657</v>
      </c>
      <c r="G7218" s="25">
        <v>1</v>
      </c>
      <c r="H7218" s="26"/>
      <c r="I7218" s="27"/>
    </row>
    <row r="7219" spans="1:9" ht="15.75" thickBot="1" x14ac:dyDescent="0.3">
      <c r="A7219" s="43" t="s">
        <v>15040</v>
      </c>
      <c r="B7219" s="21" t="s">
        <v>15041</v>
      </c>
      <c r="C7219" s="21" t="s">
        <v>22663</v>
      </c>
      <c r="D7219" s="31">
        <v>1</v>
      </c>
      <c r="E7219" s="23" t="s">
        <v>22656</v>
      </c>
      <c r="F7219" s="24" t="s">
        <v>22657</v>
      </c>
      <c r="G7219" s="25">
        <v>4</v>
      </c>
      <c r="H7219" s="29"/>
      <c r="I7219" s="30"/>
    </row>
    <row r="7220" spans="1:9" ht="15.75" thickBot="1" x14ac:dyDescent="0.3">
      <c r="A7220" s="43" t="s">
        <v>15042</v>
      </c>
      <c r="B7220" s="21" t="s">
        <v>15043</v>
      </c>
      <c r="C7220" s="21" t="s">
        <v>22663</v>
      </c>
      <c r="D7220" s="31">
        <v>1</v>
      </c>
      <c r="E7220" s="23" t="s">
        <v>22656</v>
      </c>
      <c r="F7220" s="24" t="s">
        <v>22657</v>
      </c>
      <c r="G7220" s="25">
        <v>2</v>
      </c>
      <c r="H7220" s="26"/>
      <c r="I7220" s="27"/>
    </row>
    <row r="7221" spans="1:9" ht="15.75" thickBot="1" x14ac:dyDescent="0.3">
      <c r="A7221" s="43" t="s">
        <v>15044</v>
      </c>
      <c r="B7221" s="21" t="s">
        <v>15045</v>
      </c>
      <c r="C7221" s="21" t="s">
        <v>22663</v>
      </c>
      <c r="D7221" s="31">
        <v>1</v>
      </c>
      <c r="E7221" s="23" t="s">
        <v>22656</v>
      </c>
      <c r="F7221" s="24" t="s">
        <v>22657</v>
      </c>
      <c r="G7221" s="25">
        <v>4</v>
      </c>
      <c r="H7221" s="29"/>
      <c r="I7221" s="30"/>
    </row>
    <row r="7222" spans="1:9" ht="15.75" thickBot="1" x14ac:dyDescent="0.3">
      <c r="A7222" s="43" t="s">
        <v>15046</v>
      </c>
      <c r="B7222" s="21" t="s">
        <v>15047</v>
      </c>
      <c r="C7222" s="21" t="s">
        <v>22663</v>
      </c>
      <c r="D7222" s="31">
        <v>1</v>
      </c>
      <c r="E7222" s="23" t="s">
        <v>22656</v>
      </c>
      <c r="F7222" s="24" t="s">
        <v>22657</v>
      </c>
      <c r="G7222" s="25">
        <v>2</v>
      </c>
      <c r="H7222" s="26"/>
      <c r="I7222" s="27"/>
    </row>
    <row r="7223" spans="1:9" ht="15.75" thickBot="1" x14ac:dyDescent="0.3">
      <c r="A7223" s="43" t="s">
        <v>15048</v>
      </c>
      <c r="B7223" s="21" t="s">
        <v>15049</v>
      </c>
      <c r="C7223" s="21" t="s">
        <v>22663</v>
      </c>
      <c r="D7223" s="31">
        <v>1</v>
      </c>
      <c r="E7223" s="23" t="s">
        <v>22656</v>
      </c>
      <c r="F7223" s="24" t="s">
        <v>22657</v>
      </c>
      <c r="G7223" s="25">
        <v>4</v>
      </c>
      <c r="H7223" s="29"/>
      <c r="I7223" s="30"/>
    </row>
    <row r="7224" spans="1:9" ht="15.75" thickBot="1" x14ac:dyDescent="0.3">
      <c r="A7224" s="43" t="s">
        <v>15050</v>
      </c>
      <c r="B7224" s="21" t="s">
        <v>15051</v>
      </c>
      <c r="C7224" s="21" t="s">
        <v>22663</v>
      </c>
      <c r="D7224" s="31">
        <v>1</v>
      </c>
      <c r="E7224" s="23" t="s">
        <v>22658</v>
      </c>
      <c r="F7224" s="24" t="s">
        <v>22657</v>
      </c>
      <c r="G7224" s="25">
        <v>1</v>
      </c>
      <c r="H7224" s="26"/>
      <c r="I7224" s="27"/>
    </row>
    <row r="7225" spans="1:9" ht="15.75" thickBot="1" x14ac:dyDescent="0.3">
      <c r="A7225" s="43" t="s">
        <v>15052</v>
      </c>
      <c r="B7225" s="21" t="s">
        <v>15053</v>
      </c>
      <c r="C7225" s="21" t="s">
        <v>22663</v>
      </c>
      <c r="D7225" s="31">
        <v>1</v>
      </c>
      <c r="E7225" s="23" t="s">
        <v>22656</v>
      </c>
      <c r="F7225" s="24" t="s">
        <v>22657</v>
      </c>
      <c r="G7225" s="25">
        <v>4</v>
      </c>
      <c r="H7225" s="29"/>
      <c r="I7225" s="30"/>
    </row>
    <row r="7226" spans="1:9" ht="15.75" thickBot="1" x14ac:dyDescent="0.3">
      <c r="A7226" s="43" t="s">
        <v>15054</v>
      </c>
      <c r="B7226" s="21" t="s">
        <v>15055</v>
      </c>
      <c r="C7226" s="21" t="s">
        <v>22682</v>
      </c>
      <c r="D7226" s="22">
        <v>46034</v>
      </c>
      <c r="E7226" s="23" t="s">
        <v>22658</v>
      </c>
      <c r="F7226" s="24" t="s">
        <v>22657</v>
      </c>
      <c r="G7226" s="25">
        <v>4</v>
      </c>
      <c r="H7226" s="26"/>
      <c r="I7226" s="27"/>
    </row>
    <row r="7227" spans="1:9" ht="15.75" thickBot="1" x14ac:dyDescent="0.3">
      <c r="A7227" s="43" t="s">
        <v>15056</v>
      </c>
      <c r="B7227" s="21" t="s">
        <v>15057</v>
      </c>
      <c r="C7227" s="21" t="s">
        <v>22682</v>
      </c>
      <c r="D7227" s="22">
        <v>46034</v>
      </c>
      <c r="E7227" s="23" t="s">
        <v>22658</v>
      </c>
      <c r="F7227" s="24" t="s">
        <v>22657</v>
      </c>
      <c r="G7227" s="25">
        <v>4</v>
      </c>
      <c r="H7227" s="29"/>
      <c r="I7227" s="30"/>
    </row>
    <row r="7228" spans="1:9" ht="15.75" thickBot="1" x14ac:dyDescent="0.3">
      <c r="A7228" s="43" t="s">
        <v>15058</v>
      </c>
      <c r="B7228" s="21" t="s">
        <v>15059</v>
      </c>
      <c r="C7228" s="21" t="s">
        <v>22663</v>
      </c>
      <c r="D7228" s="31">
        <v>1</v>
      </c>
      <c r="E7228" s="23" t="s">
        <v>22658</v>
      </c>
      <c r="F7228" s="24" t="s">
        <v>22657</v>
      </c>
      <c r="G7228" s="25">
        <v>4</v>
      </c>
      <c r="H7228" s="26"/>
      <c r="I7228" s="27"/>
    </row>
    <row r="7229" spans="1:9" ht="15.75" thickBot="1" x14ac:dyDescent="0.3">
      <c r="A7229" s="43" t="s">
        <v>15060</v>
      </c>
      <c r="B7229" s="21" t="s">
        <v>15061</v>
      </c>
      <c r="C7229" s="21" t="s">
        <v>22655</v>
      </c>
      <c r="D7229" s="22">
        <v>46046</v>
      </c>
      <c r="E7229" s="23" t="s">
        <v>22656</v>
      </c>
      <c r="F7229" s="24" t="s">
        <v>22657</v>
      </c>
      <c r="G7229" s="25">
        <v>8</v>
      </c>
      <c r="H7229" s="29"/>
      <c r="I7229" s="30"/>
    </row>
    <row r="7230" spans="1:9" ht="15.75" thickBot="1" x14ac:dyDescent="0.3">
      <c r="A7230" s="43" t="s">
        <v>15062</v>
      </c>
      <c r="B7230" s="21" t="s">
        <v>15063</v>
      </c>
      <c r="C7230" s="21" t="s">
        <v>22655</v>
      </c>
      <c r="D7230" s="22">
        <v>46046</v>
      </c>
      <c r="E7230" s="23" t="s">
        <v>22658</v>
      </c>
      <c r="F7230" s="24" t="s">
        <v>22657</v>
      </c>
      <c r="G7230" s="25">
        <v>8</v>
      </c>
      <c r="H7230" s="26"/>
      <c r="I7230" s="27"/>
    </row>
    <row r="7231" spans="1:9" ht="15.75" thickBot="1" x14ac:dyDescent="0.3">
      <c r="A7231" s="43" t="s">
        <v>15064</v>
      </c>
      <c r="B7231" s="21" t="s">
        <v>15065</v>
      </c>
      <c r="C7231" s="21" t="s">
        <v>22655</v>
      </c>
      <c r="D7231" s="22">
        <v>46046</v>
      </c>
      <c r="E7231" s="23" t="s">
        <v>22656</v>
      </c>
      <c r="F7231" s="24" t="s">
        <v>22657</v>
      </c>
      <c r="G7231" s="25">
        <v>8</v>
      </c>
      <c r="H7231" s="29"/>
      <c r="I7231" s="30"/>
    </row>
    <row r="7232" spans="1:9" ht="15.75" thickBot="1" x14ac:dyDescent="0.3">
      <c r="A7232" s="43" t="s">
        <v>15066</v>
      </c>
      <c r="B7232" s="21" t="s">
        <v>15067</v>
      </c>
      <c r="C7232" s="21" t="s">
        <v>22655</v>
      </c>
      <c r="D7232" s="31" t="s">
        <v>22673</v>
      </c>
      <c r="E7232" s="23" t="s">
        <v>22661</v>
      </c>
      <c r="F7232" s="24" t="s">
        <v>22657</v>
      </c>
      <c r="G7232" s="25">
        <v>9</v>
      </c>
      <c r="H7232" s="26"/>
      <c r="I7232" s="27"/>
    </row>
    <row r="7233" spans="1:9" ht="15.75" thickBot="1" x14ac:dyDescent="0.3">
      <c r="A7233" s="43" t="s">
        <v>15068</v>
      </c>
      <c r="B7233" s="21" t="s">
        <v>15069</v>
      </c>
      <c r="C7233" s="21" t="s">
        <v>22655</v>
      </c>
      <c r="D7233" s="31" t="s">
        <v>22844</v>
      </c>
      <c r="E7233" s="23" t="s">
        <v>22656</v>
      </c>
      <c r="F7233" s="24" t="s">
        <v>22657</v>
      </c>
      <c r="G7233" s="25">
        <v>9</v>
      </c>
      <c r="H7233" s="29"/>
      <c r="I7233" s="30"/>
    </row>
    <row r="7234" spans="1:9" ht="15.75" thickBot="1" x14ac:dyDescent="0.3">
      <c r="A7234" s="43" t="s">
        <v>15070</v>
      </c>
      <c r="B7234" s="21" t="s">
        <v>15071</v>
      </c>
      <c r="C7234" s="21" t="s">
        <v>22655</v>
      </c>
      <c r="D7234" s="22">
        <v>46046</v>
      </c>
      <c r="E7234" s="23" t="s">
        <v>22656</v>
      </c>
      <c r="F7234" s="24" t="s">
        <v>22657</v>
      </c>
      <c r="G7234" s="25">
        <v>4</v>
      </c>
      <c r="H7234" s="26"/>
      <c r="I7234" s="27"/>
    </row>
    <row r="7235" spans="1:9" ht="15.75" thickBot="1" x14ac:dyDescent="0.3">
      <c r="A7235" s="43" t="s">
        <v>321</v>
      </c>
      <c r="B7235" s="21" t="s">
        <v>322</v>
      </c>
      <c r="C7235" s="21" t="s">
        <v>22663</v>
      </c>
      <c r="D7235" s="31">
        <v>1</v>
      </c>
      <c r="E7235" s="23" t="s">
        <v>22656</v>
      </c>
      <c r="F7235" s="24" t="s">
        <v>22657</v>
      </c>
      <c r="G7235" s="25">
        <v>10</v>
      </c>
      <c r="H7235" s="29"/>
      <c r="I7235" s="30"/>
    </row>
    <row r="7236" spans="1:9" ht="15.75" thickBot="1" x14ac:dyDescent="0.3">
      <c r="A7236" s="43" t="s">
        <v>15076</v>
      </c>
      <c r="B7236" s="21" t="s">
        <v>15077</v>
      </c>
      <c r="C7236" s="21" t="s">
        <v>22663</v>
      </c>
      <c r="D7236" s="31">
        <v>1</v>
      </c>
      <c r="E7236" s="23" t="s">
        <v>22656</v>
      </c>
      <c r="F7236" s="24" t="s">
        <v>22657</v>
      </c>
      <c r="G7236" s="25">
        <v>10</v>
      </c>
      <c r="H7236" s="26"/>
      <c r="I7236" s="27"/>
    </row>
    <row r="7237" spans="1:9" ht="15.75" thickBot="1" x14ac:dyDescent="0.3">
      <c r="A7237" s="43" t="s">
        <v>15078</v>
      </c>
      <c r="B7237" s="21" t="s">
        <v>15079</v>
      </c>
      <c r="C7237" s="21" t="s">
        <v>22663</v>
      </c>
      <c r="D7237" s="31">
        <v>1</v>
      </c>
      <c r="E7237" s="23" t="s">
        <v>22658</v>
      </c>
      <c r="F7237" s="24" t="s">
        <v>22657</v>
      </c>
      <c r="G7237" s="25">
        <v>10</v>
      </c>
      <c r="H7237" s="29"/>
      <c r="I7237" s="30"/>
    </row>
    <row r="7238" spans="1:9" ht="15.75" thickBot="1" x14ac:dyDescent="0.3">
      <c r="A7238" s="43" t="s">
        <v>15080</v>
      </c>
      <c r="B7238" s="21" t="s">
        <v>15081</v>
      </c>
      <c r="C7238" s="21" t="s">
        <v>22663</v>
      </c>
      <c r="D7238" s="31">
        <v>1</v>
      </c>
      <c r="E7238" s="23" t="s">
        <v>22656</v>
      </c>
      <c r="F7238" s="24" t="s">
        <v>22657</v>
      </c>
      <c r="G7238" s="25">
        <v>4</v>
      </c>
      <c r="H7238" s="26"/>
      <c r="I7238" s="27"/>
    </row>
    <row r="7239" spans="1:9" ht="15.75" thickBot="1" x14ac:dyDescent="0.3">
      <c r="A7239" s="43" t="s">
        <v>15082</v>
      </c>
      <c r="B7239" s="21" t="s">
        <v>15083</v>
      </c>
      <c r="C7239" s="21" t="s">
        <v>22655</v>
      </c>
      <c r="D7239" s="31" t="s">
        <v>22673</v>
      </c>
      <c r="E7239" s="23" t="s">
        <v>22658</v>
      </c>
      <c r="F7239" s="24" t="s">
        <v>22657</v>
      </c>
      <c r="G7239" s="25">
        <v>17</v>
      </c>
      <c r="H7239" s="29"/>
      <c r="I7239" s="30"/>
    </row>
    <row r="7240" spans="1:9" ht="15.75" thickBot="1" x14ac:dyDescent="0.3">
      <c r="A7240" s="43" t="s">
        <v>15084</v>
      </c>
      <c r="B7240" s="21" t="s">
        <v>15085</v>
      </c>
      <c r="C7240" s="21" t="s">
        <v>22672</v>
      </c>
      <c r="D7240" s="22">
        <v>46034</v>
      </c>
      <c r="E7240" s="23" t="s">
        <v>22658</v>
      </c>
      <c r="F7240" s="24" t="s">
        <v>22657</v>
      </c>
      <c r="G7240" s="25">
        <v>4</v>
      </c>
      <c r="H7240" s="26"/>
      <c r="I7240" s="27"/>
    </row>
    <row r="7241" spans="1:9" ht="15.75" thickBot="1" x14ac:dyDescent="0.3">
      <c r="A7241" s="43" t="s">
        <v>15086</v>
      </c>
      <c r="B7241" s="21" t="s">
        <v>15087</v>
      </c>
      <c r="C7241" s="21" t="s">
        <v>22663</v>
      </c>
      <c r="D7241" s="31">
        <v>1</v>
      </c>
      <c r="E7241" s="23" t="s">
        <v>22658</v>
      </c>
      <c r="F7241" s="24" t="s">
        <v>22657</v>
      </c>
      <c r="G7241" s="25">
        <v>7</v>
      </c>
      <c r="H7241" s="29"/>
      <c r="I7241" s="30"/>
    </row>
    <row r="7242" spans="1:9" ht="15.75" thickBot="1" x14ac:dyDescent="0.3">
      <c r="A7242" s="43" t="s">
        <v>15088</v>
      </c>
      <c r="B7242" s="21" t="s">
        <v>15089</v>
      </c>
      <c r="C7242" s="21" t="s">
        <v>22655</v>
      </c>
      <c r="D7242" s="31" t="s">
        <v>22683</v>
      </c>
      <c r="E7242" s="23" t="s">
        <v>22658</v>
      </c>
      <c r="F7242" s="24" t="s">
        <v>22657</v>
      </c>
      <c r="G7242" s="25">
        <v>34</v>
      </c>
      <c r="H7242" s="26"/>
      <c r="I7242" s="27"/>
    </row>
    <row r="7243" spans="1:9" ht="15.75" thickBot="1" x14ac:dyDescent="0.3">
      <c r="A7243" s="43" t="s">
        <v>15090</v>
      </c>
      <c r="B7243" s="21" t="s">
        <v>15091</v>
      </c>
      <c r="C7243" s="21" t="s">
        <v>22663</v>
      </c>
      <c r="D7243" s="31">
        <v>1</v>
      </c>
      <c r="E7243" s="23" t="s">
        <v>22656</v>
      </c>
      <c r="F7243" s="24" t="s">
        <v>22657</v>
      </c>
      <c r="G7243" s="25">
        <v>12</v>
      </c>
      <c r="H7243" s="29"/>
      <c r="I7243" s="30"/>
    </row>
    <row r="7244" spans="1:9" ht="15.75" thickBot="1" x14ac:dyDescent="0.3">
      <c r="A7244" s="43" t="s">
        <v>15092</v>
      </c>
      <c r="B7244" s="21" t="s">
        <v>15093</v>
      </c>
      <c r="C7244" s="21" t="s">
        <v>22655</v>
      </c>
      <c r="D7244" s="31" t="s">
        <v>22844</v>
      </c>
      <c r="E7244" s="23" t="s">
        <v>22656</v>
      </c>
      <c r="F7244" s="24" t="s">
        <v>22657</v>
      </c>
      <c r="G7244" s="25">
        <v>2</v>
      </c>
      <c r="H7244" s="26"/>
      <c r="I7244" s="27"/>
    </row>
    <row r="7245" spans="1:9" ht="15.75" thickBot="1" x14ac:dyDescent="0.3">
      <c r="A7245" s="43" t="s">
        <v>15094</v>
      </c>
      <c r="B7245" s="21" t="s">
        <v>15095</v>
      </c>
      <c r="C7245" s="21" t="s">
        <v>22655</v>
      </c>
      <c r="D7245" s="22">
        <v>46047</v>
      </c>
      <c r="E7245" s="23" t="s">
        <v>22656</v>
      </c>
      <c r="F7245" s="24" t="s">
        <v>22657</v>
      </c>
      <c r="G7245" s="25">
        <v>2</v>
      </c>
      <c r="H7245" s="29"/>
      <c r="I7245" s="30"/>
    </row>
    <row r="7246" spans="1:9" ht="15.75" thickBot="1" x14ac:dyDescent="0.3">
      <c r="A7246" s="43" t="s">
        <v>15096</v>
      </c>
      <c r="B7246" s="21" t="s">
        <v>15097</v>
      </c>
      <c r="C7246" s="21" t="s">
        <v>22655</v>
      </c>
      <c r="D7246" s="22">
        <v>46047</v>
      </c>
      <c r="E7246" s="23" t="s">
        <v>22656</v>
      </c>
      <c r="F7246" s="24" t="s">
        <v>22657</v>
      </c>
      <c r="G7246" s="25">
        <v>2</v>
      </c>
      <c r="H7246" s="26"/>
      <c r="I7246" s="27"/>
    </row>
    <row r="7247" spans="1:9" ht="15.75" thickBot="1" x14ac:dyDescent="0.3">
      <c r="A7247" s="43" t="s">
        <v>15098</v>
      </c>
      <c r="B7247" s="21" t="s">
        <v>15099</v>
      </c>
      <c r="C7247" s="21" t="s">
        <v>22655</v>
      </c>
      <c r="D7247" s="22">
        <v>46037</v>
      </c>
      <c r="E7247" s="23" t="s">
        <v>22656</v>
      </c>
      <c r="F7247" s="24" t="s">
        <v>22657</v>
      </c>
      <c r="G7247" s="25">
        <v>2</v>
      </c>
      <c r="H7247" s="29"/>
      <c r="I7247" s="30"/>
    </row>
    <row r="7248" spans="1:9" ht="15.75" thickBot="1" x14ac:dyDescent="0.3">
      <c r="A7248" s="43" t="s">
        <v>15100</v>
      </c>
      <c r="B7248" s="21" t="s">
        <v>15101</v>
      </c>
      <c r="C7248" s="21" t="s">
        <v>22655</v>
      </c>
      <c r="D7248" s="22">
        <v>46047</v>
      </c>
      <c r="E7248" s="23" t="s">
        <v>22658</v>
      </c>
      <c r="F7248" s="24" t="s">
        <v>22657</v>
      </c>
      <c r="G7248" s="25">
        <v>2</v>
      </c>
      <c r="H7248" s="26"/>
      <c r="I7248" s="27"/>
    </row>
    <row r="7249" spans="1:9" ht="15.75" thickBot="1" x14ac:dyDescent="0.3">
      <c r="A7249" s="43" t="s">
        <v>15102</v>
      </c>
      <c r="B7249" s="21" t="s">
        <v>15103</v>
      </c>
      <c r="C7249" s="21" t="s">
        <v>22655</v>
      </c>
      <c r="D7249" s="22">
        <v>46047</v>
      </c>
      <c r="E7249" s="23" t="s">
        <v>22656</v>
      </c>
      <c r="F7249" s="24" t="s">
        <v>22657</v>
      </c>
      <c r="G7249" s="25">
        <v>2</v>
      </c>
      <c r="H7249" s="29"/>
      <c r="I7249" s="30"/>
    </row>
    <row r="7250" spans="1:9" ht="15.75" thickBot="1" x14ac:dyDescent="0.3">
      <c r="A7250" s="43" t="s">
        <v>15104</v>
      </c>
      <c r="B7250" s="21" t="s">
        <v>15105</v>
      </c>
      <c r="C7250" s="21" t="s">
        <v>22655</v>
      </c>
      <c r="D7250" s="22">
        <v>46047</v>
      </c>
      <c r="E7250" s="23" t="s">
        <v>22656</v>
      </c>
      <c r="F7250" s="24" t="s">
        <v>22657</v>
      </c>
      <c r="G7250" s="25">
        <v>2</v>
      </c>
      <c r="H7250" s="26"/>
      <c r="I7250" s="27"/>
    </row>
    <row r="7251" spans="1:9" ht="15.75" thickBot="1" x14ac:dyDescent="0.3">
      <c r="A7251" s="43" t="s">
        <v>15106</v>
      </c>
      <c r="B7251" s="21" t="s">
        <v>15107</v>
      </c>
      <c r="C7251" s="21" t="s">
        <v>22655</v>
      </c>
      <c r="D7251" s="22">
        <v>46047</v>
      </c>
      <c r="E7251" s="23" t="s">
        <v>22658</v>
      </c>
      <c r="F7251" s="24" t="s">
        <v>22657</v>
      </c>
      <c r="G7251" s="25">
        <v>2</v>
      </c>
      <c r="H7251" s="29"/>
      <c r="I7251" s="30"/>
    </row>
    <row r="7252" spans="1:9" ht="15.75" thickBot="1" x14ac:dyDescent="0.3">
      <c r="A7252" s="43" t="s">
        <v>15108</v>
      </c>
      <c r="B7252" s="21" t="s">
        <v>15109</v>
      </c>
      <c r="C7252" s="21" t="s">
        <v>22655</v>
      </c>
      <c r="D7252" s="22">
        <v>46047</v>
      </c>
      <c r="E7252" s="23" t="s">
        <v>22658</v>
      </c>
      <c r="F7252" s="24" t="s">
        <v>22657</v>
      </c>
      <c r="G7252" s="25">
        <v>2</v>
      </c>
      <c r="H7252" s="26"/>
      <c r="I7252" s="27"/>
    </row>
    <row r="7253" spans="1:9" ht="15.75" thickBot="1" x14ac:dyDescent="0.3">
      <c r="A7253" s="43" t="s">
        <v>15110</v>
      </c>
      <c r="B7253" s="21" t="s">
        <v>15111</v>
      </c>
      <c r="C7253" s="21" t="s">
        <v>22655</v>
      </c>
      <c r="D7253" s="22">
        <v>46031</v>
      </c>
      <c r="E7253" s="23" t="s">
        <v>22658</v>
      </c>
      <c r="F7253" s="24" t="s">
        <v>22657</v>
      </c>
      <c r="G7253" s="25">
        <v>2</v>
      </c>
      <c r="H7253" s="29"/>
      <c r="I7253" s="30"/>
    </row>
    <row r="7254" spans="1:9" ht="15.75" thickBot="1" x14ac:dyDescent="0.3">
      <c r="A7254" s="43" t="s">
        <v>15112</v>
      </c>
      <c r="B7254" s="21" t="s">
        <v>15113</v>
      </c>
      <c r="C7254" s="21" t="s">
        <v>22655</v>
      </c>
      <c r="D7254" s="22">
        <v>46047</v>
      </c>
      <c r="E7254" s="23" t="s">
        <v>22658</v>
      </c>
      <c r="F7254" s="24" t="s">
        <v>22657</v>
      </c>
      <c r="G7254" s="25">
        <v>2</v>
      </c>
      <c r="H7254" s="26"/>
      <c r="I7254" s="27"/>
    </row>
    <row r="7255" spans="1:9" ht="15.75" thickBot="1" x14ac:dyDescent="0.3">
      <c r="A7255" s="43" t="s">
        <v>15114</v>
      </c>
      <c r="B7255" s="21" t="s">
        <v>15115</v>
      </c>
      <c r="C7255" s="21" t="s">
        <v>22655</v>
      </c>
      <c r="D7255" s="31" t="s">
        <v>22732</v>
      </c>
      <c r="E7255" s="23" t="s">
        <v>22656</v>
      </c>
      <c r="F7255" s="24" t="s">
        <v>22657</v>
      </c>
      <c r="G7255" s="25">
        <v>2</v>
      </c>
      <c r="H7255" s="29"/>
      <c r="I7255" s="30"/>
    </row>
    <row r="7256" spans="1:9" ht="15.75" thickBot="1" x14ac:dyDescent="0.3">
      <c r="A7256" s="43" t="s">
        <v>15116</v>
      </c>
      <c r="B7256" s="21" t="s">
        <v>15117</v>
      </c>
      <c r="C7256" s="21" t="s">
        <v>22655</v>
      </c>
      <c r="D7256" s="31" t="s">
        <v>22845</v>
      </c>
      <c r="E7256" s="23" t="s">
        <v>22656</v>
      </c>
      <c r="F7256" s="24" t="s">
        <v>22657</v>
      </c>
      <c r="G7256" s="25">
        <v>2</v>
      </c>
      <c r="H7256" s="26"/>
      <c r="I7256" s="27"/>
    </row>
    <row r="7257" spans="1:9" ht="15.75" thickBot="1" x14ac:dyDescent="0.3">
      <c r="A7257" s="43" t="s">
        <v>15118</v>
      </c>
      <c r="B7257" s="21" t="s">
        <v>15119</v>
      </c>
      <c r="C7257" s="21" t="s">
        <v>22655</v>
      </c>
      <c r="D7257" s="31" t="s">
        <v>22666</v>
      </c>
      <c r="E7257" s="23" t="s">
        <v>22656</v>
      </c>
      <c r="F7257" s="24" t="s">
        <v>22657</v>
      </c>
      <c r="G7257" s="25">
        <v>2</v>
      </c>
      <c r="H7257" s="29"/>
      <c r="I7257" s="30"/>
    </row>
    <row r="7258" spans="1:9" ht="15.75" thickBot="1" x14ac:dyDescent="0.3">
      <c r="A7258" s="43" t="s">
        <v>15120</v>
      </c>
      <c r="B7258" s="21" t="s">
        <v>15121</v>
      </c>
      <c r="C7258" s="21" t="s">
        <v>22655</v>
      </c>
      <c r="D7258" s="31" t="s">
        <v>22660</v>
      </c>
      <c r="E7258" s="23" t="s">
        <v>22656</v>
      </c>
      <c r="F7258" s="24" t="s">
        <v>22657</v>
      </c>
      <c r="G7258" s="25">
        <v>4</v>
      </c>
      <c r="H7258" s="34">
        <v>4</v>
      </c>
      <c r="I7258" s="35">
        <v>6</v>
      </c>
    </row>
    <row r="7259" spans="1:9" ht="15.75" thickBot="1" x14ac:dyDescent="0.3">
      <c r="A7259" s="43" t="s">
        <v>15122</v>
      </c>
      <c r="B7259" s="21" t="s">
        <v>15123</v>
      </c>
      <c r="C7259" s="21" t="s">
        <v>22655</v>
      </c>
      <c r="D7259" s="22">
        <v>46038</v>
      </c>
      <c r="E7259" s="23" t="s">
        <v>22656</v>
      </c>
      <c r="F7259" s="24" t="s">
        <v>22657</v>
      </c>
      <c r="G7259" s="25">
        <v>2</v>
      </c>
      <c r="H7259" s="29"/>
      <c r="I7259" s="30"/>
    </row>
    <row r="7260" spans="1:9" ht="15.75" thickBot="1" x14ac:dyDescent="0.3">
      <c r="A7260" s="43" t="s">
        <v>15124</v>
      </c>
      <c r="B7260" s="21" t="s">
        <v>15125</v>
      </c>
      <c r="C7260" s="21" t="s">
        <v>22655</v>
      </c>
      <c r="D7260" s="31" t="s">
        <v>22673</v>
      </c>
      <c r="E7260" s="23" t="s">
        <v>22656</v>
      </c>
      <c r="F7260" s="24" t="s">
        <v>22657</v>
      </c>
      <c r="G7260" s="25">
        <v>3</v>
      </c>
      <c r="H7260" s="34">
        <v>3</v>
      </c>
      <c r="I7260" s="35">
        <v>6</v>
      </c>
    </row>
    <row r="7261" spans="1:9" ht="15.75" thickBot="1" x14ac:dyDescent="0.3">
      <c r="A7261" s="43" t="s">
        <v>15126</v>
      </c>
      <c r="B7261" s="21" t="s">
        <v>15127</v>
      </c>
      <c r="C7261" s="21" t="s">
        <v>22655</v>
      </c>
      <c r="D7261" s="22">
        <v>46050</v>
      </c>
      <c r="E7261" s="23" t="s">
        <v>22656</v>
      </c>
      <c r="F7261" s="24" t="s">
        <v>22657</v>
      </c>
      <c r="G7261" s="25">
        <v>2</v>
      </c>
      <c r="H7261" s="29"/>
      <c r="I7261" s="30"/>
    </row>
    <row r="7262" spans="1:9" ht="15.75" thickBot="1" x14ac:dyDescent="0.3">
      <c r="A7262" s="43" t="s">
        <v>15128</v>
      </c>
      <c r="B7262" s="21" t="s">
        <v>15129</v>
      </c>
      <c r="C7262" s="21" t="s">
        <v>22655</v>
      </c>
      <c r="D7262" s="22">
        <v>46049</v>
      </c>
      <c r="E7262" s="23" t="s">
        <v>22658</v>
      </c>
      <c r="F7262" s="24" t="s">
        <v>22657</v>
      </c>
      <c r="G7262" s="25">
        <v>2</v>
      </c>
      <c r="H7262" s="26"/>
      <c r="I7262" s="27"/>
    </row>
    <row r="7263" spans="1:9" ht="15.75" thickBot="1" x14ac:dyDescent="0.3">
      <c r="A7263" s="43" t="s">
        <v>15130</v>
      </c>
      <c r="B7263" s="21" t="s">
        <v>15131</v>
      </c>
      <c r="C7263" s="21" t="s">
        <v>22655</v>
      </c>
      <c r="D7263" s="22">
        <v>46037</v>
      </c>
      <c r="E7263" s="23" t="s">
        <v>22656</v>
      </c>
      <c r="F7263" s="24" t="s">
        <v>22657</v>
      </c>
      <c r="G7263" s="25">
        <v>2</v>
      </c>
      <c r="H7263" s="29"/>
      <c r="I7263" s="30"/>
    </row>
    <row r="7264" spans="1:9" ht="15.75" thickBot="1" x14ac:dyDescent="0.3">
      <c r="A7264" s="43" t="s">
        <v>15132</v>
      </c>
      <c r="B7264" s="21" t="s">
        <v>15133</v>
      </c>
      <c r="C7264" s="21" t="s">
        <v>22655</v>
      </c>
      <c r="D7264" s="22">
        <v>46039</v>
      </c>
      <c r="E7264" s="23" t="s">
        <v>22656</v>
      </c>
      <c r="F7264" s="24" t="s">
        <v>22657</v>
      </c>
      <c r="G7264" s="25">
        <v>4</v>
      </c>
      <c r="H7264" s="26"/>
      <c r="I7264" s="27"/>
    </row>
    <row r="7265" spans="1:9" ht="15.75" thickBot="1" x14ac:dyDescent="0.3">
      <c r="A7265" s="43" t="s">
        <v>15134</v>
      </c>
      <c r="B7265" s="21" t="s">
        <v>15135</v>
      </c>
      <c r="C7265" s="21" t="s">
        <v>22655</v>
      </c>
      <c r="D7265" s="22">
        <v>46035</v>
      </c>
      <c r="E7265" s="23" t="s">
        <v>22656</v>
      </c>
      <c r="F7265" s="24" t="s">
        <v>22657</v>
      </c>
      <c r="G7265" s="25">
        <v>2</v>
      </c>
      <c r="H7265" s="29"/>
      <c r="I7265" s="30"/>
    </row>
    <row r="7266" spans="1:9" ht="15.75" thickBot="1" x14ac:dyDescent="0.3">
      <c r="A7266" s="43" t="s">
        <v>15136</v>
      </c>
      <c r="B7266" s="21" t="s">
        <v>15137</v>
      </c>
      <c r="C7266" s="21" t="s">
        <v>22655</v>
      </c>
      <c r="D7266" s="22">
        <v>46033</v>
      </c>
      <c r="E7266" s="23" t="s">
        <v>22658</v>
      </c>
      <c r="F7266" s="24" t="s">
        <v>22657</v>
      </c>
      <c r="G7266" s="25">
        <v>2</v>
      </c>
      <c r="H7266" s="26"/>
      <c r="I7266" s="27"/>
    </row>
    <row r="7267" spans="1:9" ht="15.75" thickBot="1" x14ac:dyDescent="0.3">
      <c r="A7267" s="43" t="s">
        <v>15138</v>
      </c>
      <c r="B7267" s="21" t="s">
        <v>15139</v>
      </c>
      <c r="C7267" s="21" t="s">
        <v>22655</v>
      </c>
      <c r="D7267" s="22">
        <v>46048</v>
      </c>
      <c r="E7267" s="23" t="s">
        <v>22656</v>
      </c>
      <c r="F7267" s="24" t="s">
        <v>22657</v>
      </c>
      <c r="G7267" s="25">
        <v>5</v>
      </c>
      <c r="H7267" s="32">
        <v>5</v>
      </c>
      <c r="I7267" s="33">
        <v>10</v>
      </c>
    </row>
    <row r="7268" spans="1:9" ht="15.75" thickBot="1" x14ac:dyDescent="0.3">
      <c r="A7268" s="43" t="s">
        <v>15140</v>
      </c>
      <c r="B7268" s="21" t="s">
        <v>15141</v>
      </c>
      <c r="C7268" s="21" t="s">
        <v>22655</v>
      </c>
      <c r="D7268" s="22">
        <v>46040</v>
      </c>
      <c r="E7268" s="23" t="s">
        <v>22658</v>
      </c>
      <c r="F7268" s="24" t="s">
        <v>22657</v>
      </c>
      <c r="G7268" s="25">
        <v>2</v>
      </c>
      <c r="H7268" s="26"/>
      <c r="I7268" s="27"/>
    </row>
    <row r="7269" spans="1:9" ht="15.75" thickBot="1" x14ac:dyDescent="0.3">
      <c r="A7269" s="43" t="s">
        <v>15142</v>
      </c>
      <c r="B7269" s="21" t="s">
        <v>15143</v>
      </c>
      <c r="C7269" s="21" t="s">
        <v>22655</v>
      </c>
      <c r="D7269" s="22">
        <v>46024</v>
      </c>
      <c r="E7269" s="23" t="s">
        <v>22656</v>
      </c>
      <c r="F7269" s="24" t="s">
        <v>22657</v>
      </c>
      <c r="G7269" s="25">
        <v>2</v>
      </c>
      <c r="H7269" s="29"/>
      <c r="I7269" s="30"/>
    </row>
    <row r="7270" spans="1:9" ht="15.75" thickBot="1" x14ac:dyDescent="0.3">
      <c r="A7270" s="43" t="s">
        <v>15144</v>
      </c>
      <c r="B7270" s="21" t="s">
        <v>15145</v>
      </c>
      <c r="C7270" s="21" t="s">
        <v>22663</v>
      </c>
      <c r="D7270" s="31">
        <v>1</v>
      </c>
      <c r="E7270" s="23" t="s">
        <v>22656</v>
      </c>
      <c r="F7270" s="24" t="s">
        <v>22657</v>
      </c>
      <c r="G7270" s="25">
        <v>2</v>
      </c>
      <c r="H7270" s="26"/>
      <c r="I7270" s="27"/>
    </row>
    <row r="7271" spans="1:9" ht="15.75" thickBot="1" x14ac:dyDescent="0.3">
      <c r="A7271" s="43" t="s">
        <v>15146</v>
      </c>
      <c r="B7271" s="21" t="s">
        <v>15147</v>
      </c>
      <c r="C7271" s="21" t="s">
        <v>22709</v>
      </c>
      <c r="D7271" s="31">
        <v>1</v>
      </c>
      <c r="E7271" s="23" t="s">
        <v>22656</v>
      </c>
      <c r="F7271" s="24" t="s">
        <v>22657</v>
      </c>
      <c r="G7271" s="25">
        <v>2</v>
      </c>
      <c r="H7271" s="29"/>
      <c r="I7271" s="30"/>
    </row>
    <row r="7272" spans="1:9" ht="15.75" thickBot="1" x14ac:dyDescent="0.3">
      <c r="A7272" s="43" t="s">
        <v>15148</v>
      </c>
      <c r="B7272" s="21" t="s">
        <v>15149</v>
      </c>
      <c r="C7272" s="21" t="s">
        <v>22698</v>
      </c>
      <c r="D7272" s="31">
        <v>1</v>
      </c>
      <c r="E7272" s="23" t="s">
        <v>22656</v>
      </c>
      <c r="F7272" s="24" t="s">
        <v>22657</v>
      </c>
      <c r="G7272" s="25">
        <v>2</v>
      </c>
      <c r="H7272" s="26"/>
      <c r="I7272" s="27"/>
    </row>
    <row r="7273" spans="1:9" ht="15.75" thickBot="1" x14ac:dyDescent="0.3">
      <c r="A7273" s="43" t="s">
        <v>15150</v>
      </c>
      <c r="B7273" s="21" t="s">
        <v>15151</v>
      </c>
      <c r="C7273" s="21" t="s">
        <v>22663</v>
      </c>
      <c r="D7273" s="31">
        <v>1</v>
      </c>
      <c r="E7273" s="23" t="s">
        <v>22661</v>
      </c>
      <c r="F7273" s="24" t="s">
        <v>22657</v>
      </c>
      <c r="G7273" s="25">
        <v>6</v>
      </c>
      <c r="H7273" s="29"/>
      <c r="I7273" s="30"/>
    </row>
    <row r="7274" spans="1:9" ht="15.75" thickBot="1" x14ac:dyDescent="0.3">
      <c r="A7274" s="43" t="s">
        <v>15152</v>
      </c>
      <c r="B7274" s="21" t="s">
        <v>15153</v>
      </c>
      <c r="C7274" s="21" t="s">
        <v>22663</v>
      </c>
      <c r="D7274" s="31">
        <v>1</v>
      </c>
      <c r="E7274" s="23" t="s">
        <v>22656</v>
      </c>
      <c r="F7274" s="24" t="s">
        <v>22657</v>
      </c>
      <c r="G7274" s="25">
        <v>2</v>
      </c>
      <c r="H7274" s="26"/>
      <c r="I7274" s="27"/>
    </row>
    <row r="7275" spans="1:9" ht="15.75" thickBot="1" x14ac:dyDescent="0.3">
      <c r="A7275" s="43" t="s">
        <v>15154</v>
      </c>
      <c r="B7275" s="21" t="s">
        <v>15155</v>
      </c>
      <c r="C7275" s="21" t="s">
        <v>22709</v>
      </c>
      <c r="D7275" s="31">
        <v>1</v>
      </c>
      <c r="E7275" s="23" t="s">
        <v>22656</v>
      </c>
      <c r="F7275" s="24" t="s">
        <v>22657</v>
      </c>
      <c r="G7275" s="25">
        <v>2</v>
      </c>
      <c r="H7275" s="29"/>
      <c r="I7275" s="30"/>
    </row>
    <row r="7276" spans="1:9" ht="15.75" thickBot="1" x14ac:dyDescent="0.3">
      <c r="A7276" s="43" t="s">
        <v>15156</v>
      </c>
      <c r="B7276" s="21" t="s">
        <v>15157</v>
      </c>
      <c r="C7276" s="21" t="s">
        <v>22698</v>
      </c>
      <c r="D7276" s="31">
        <v>1</v>
      </c>
      <c r="E7276" s="23" t="s">
        <v>22656</v>
      </c>
      <c r="F7276" s="24" t="s">
        <v>22657</v>
      </c>
      <c r="G7276" s="25">
        <v>2</v>
      </c>
      <c r="H7276" s="26"/>
      <c r="I7276" s="27"/>
    </row>
    <row r="7277" spans="1:9" ht="15.75" thickBot="1" x14ac:dyDescent="0.3">
      <c r="A7277" s="43" t="s">
        <v>15158</v>
      </c>
      <c r="B7277" s="21" t="s">
        <v>15159</v>
      </c>
      <c r="C7277" s="21" t="s">
        <v>22663</v>
      </c>
      <c r="D7277" s="31">
        <v>1</v>
      </c>
      <c r="E7277" s="23" t="s">
        <v>22661</v>
      </c>
      <c r="F7277" s="24" t="s">
        <v>22657</v>
      </c>
      <c r="G7277" s="25">
        <v>4</v>
      </c>
      <c r="H7277" s="29"/>
      <c r="I7277" s="30"/>
    </row>
    <row r="7278" spans="1:9" ht="15.75" thickBot="1" x14ac:dyDescent="0.3">
      <c r="A7278" s="43" t="s">
        <v>53</v>
      </c>
      <c r="B7278" s="21" t="s">
        <v>54</v>
      </c>
      <c r="C7278" s="21" t="s">
        <v>22655</v>
      </c>
      <c r="D7278" s="22">
        <v>46034</v>
      </c>
      <c r="E7278" s="23" t="s">
        <v>22665</v>
      </c>
      <c r="F7278" s="24" t="s">
        <v>22657</v>
      </c>
      <c r="G7278" s="25">
        <v>12</v>
      </c>
      <c r="H7278" s="34">
        <v>12</v>
      </c>
      <c r="I7278" s="35">
        <v>24</v>
      </c>
    </row>
    <row r="7279" spans="1:9" ht="15.75" thickBot="1" x14ac:dyDescent="0.3">
      <c r="A7279" s="43" t="s">
        <v>15160</v>
      </c>
      <c r="B7279" s="21" t="s">
        <v>15161</v>
      </c>
      <c r="C7279" s="21" t="s">
        <v>22663</v>
      </c>
      <c r="D7279" s="31">
        <v>1</v>
      </c>
      <c r="E7279" s="23" t="s">
        <v>22658</v>
      </c>
      <c r="F7279" s="24" t="s">
        <v>22657</v>
      </c>
      <c r="G7279" s="25">
        <v>1</v>
      </c>
      <c r="H7279" s="29"/>
      <c r="I7279" s="30"/>
    </row>
    <row r="7280" spans="1:9" ht="15.75" thickBot="1" x14ac:dyDescent="0.3">
      <c r="A7280" s="43" t="s">
        <v>15162</v>
      </c>
      <c r="B7280" s="21" t="s">
        <v>15163</v>
      </c>
      <c r="C7280" s="21" t="s">
        <v>22655</v>
      </c>
      <c r="D7280" s="22">
        <v>46046</v>
      </c>
      <c r="E7280" s="23" t="s">
        <v>22656</v>
      </c>
      <c r="F7280" s="24" t="s">
        <v>22657</v>
      </c>
      <c r="G7280" s="25">
        <v>8</v>
      </c>
      <c r="H7280" s="26"/>
      <c r="I7280" s="27"/>
    </row>
    <row r="7281" spans="1:9" ht="15.75" thickBot="1" x14ac:dyDescent="0.3">
      <c r="A7281" s="43" t="s">
        <v>15164</v>
      </c>
      <c r="B7281" s="21" t="s">
        <v>15165</v>
      </c>
      <c r="C7281" s="21" t="s">
        <v>22663</v>
      </c>
      <c r="D7281" s="31">
        <v>1</v>
      </c>
      <c r="E7281" s="23" t="s">
        <v>22656</v>
      </c>
      <c r="F7281" s="24" t="s">
        <v>22657</v>
      </c>
      <c r="G7281" s="25">
        <v>7</v>
      </c>
      <c r="H7281" s="29"/>
      <c r="I7281" s="30"/>
    </row>
    <row r="7282" spans="1:9" ht="15.75" thickBot="1" x14ac:dyDescent="0.3">
      <c r="A7282" s="43" t="s">
        <v>15166</v>
      </c>
      <c r="B7282" s="21" t="s">
        <v>15167</v>
      </c>
      <c r="C7282" s="21" t="s">
        <v>22698</v>
      </c>
      <c r="D7282" s="31">
        <v>1</v>
      </c>
      <c r="E7282" s="23" t="s">
        <v>22661</v>
      </c>
      <c r="F7282" s="24" t="s">
        <v>22657</v>
      </c>
      <c r="G7282" s="25">
        <v>5</v>
      </c>
      <c r="H7282" s="26"/>
      <c r="I7282" s="27"/>
    </row>
    <row r="7283" spans="1:9" ht="15.75" thickBot="1" x14ac:dyDescent="0.3">
      <c r="A7283" s="43" t="s">
        <v>15168</v>
      </c>
      <c r="B7283" s="21" t="s">
        <v>15169</v>
      </c>
      <c r="C7283" s="21" t="s">
        <v>22663</v>
      </c>
      <c r="D7283" s="31">
        <v>1</v>
      </c>
      <c r="E7283" s="23" t="s">
        <v>22656</v>
      </c>
      <c r="F7283" s="24" t="s">
        <v>22657</v>
      </c>
      <c r="G7283" s="25">
        <v>3</v>
      </c>
      <c r="H7283" s="29"/>
      <c r="I7283" s="30"/>
    </row>
    <row r="7284" spans="1:9" ht="15.75" thickBot="1" x14ac:dyDescent="0.3">
      <c r="A7284" s="43" t="s">
        <v>15170</v>
      </c>
      <c r="B7284" s="21" t="s">
        <v>15171</v>
      </c>
      <c r="C7284" s="21" t="s">
        <v>22655</v>
      </c>
      <c r="D7284" s="22">
        <v>46034</v>
      </c>
      <c r="E7284" s="23" t="s">
        <v>22656</v>
      </c>
      <c r="F7284" s="24" t="s">
        <v>22657</v>
      </c>
      <c r="G7284" s="25">
        <v>4</v>
      </c>
      <c r="H7284" s="26"/>
      <c r="I7284" s="27"/>
    </row>
    <row r="7285" spans="1:9" ht="15.75" thickBot="1" x14ac:dyDescent="0.3">
      <c r="A7285" s="43" t="s">
        <v>1994</v>
      </c>
      <c r="B7285" s="21" t="s">
        <v>15172</v>
      </c>
      <c r="C7285" s="21" t="s">
        <v>22655</v>
      </c>
      <c r="D7285" s="22">
        <v>46026</v>
      </c>
      <c r="E7285" s="23" t="s">
        <v>22656</v>
      </c>
      <c r="F7285" s="24" t="s">
        <v>22657</v>
      </c>
      <c r="G7285" s="25">
        <v>4</v>
      </c>
      <c r="H7285" s="32">
        <v>4</v>
      </c>
      <c r="I7285" s="33">
        <v>8</v>
      </c>
    </row>
    <row r="7286" spans="1:9" ht="15.75" thickBot="1" x14ac:dyDescent="0.3">
      <c r="A7286" s="43" t="s">
        <v>1397</v>
      </c>
      <c r="B7286" s="21" t="s">
        <v>1398</v>
      </c>
      <c r="C7286" s="21" t="s">
        <v>22655</v>
      </c>
      <c r="D7286" s="22">
        <v>46034</v>
      </c>
      <c r="E7286" s="23" t="s">
        <v>22665</v>
      </c>
      <c r="F7286" s="24" t="s">
        <v>22657</v>
      </c>
      <c r="G7286" s="25">
        <v>8</v>
      </c>
      <c r="H7286" s="26"/>
      <c r="I7286" s="27"/>
    </row>
    <row r="7287" spans="1:9" ht="15.75" thickBot="1" x14ac:dyDescent="0.3">
      <c r="A7287" s="43" t="s">
        <v>1876</v>
      </c>
      <c r="B7287" s="21" t="s">
        <v>1877</v>
      </c>
      <c r="C7287" s="21" t="s">
        <v>22655</v>
      </c>
      <c r="D7287" s="22">
        <v>46026</v>
      </c>
      <c r="E7287" s="23" t="s">
        <v>22656</v>
      </c>
      <c r="F7287" s="24" t="s">
        <v>22657</v>
      </c>
      <c r="G7287" s="25">
        <v>2</v>
      </c>
      <c r="H7287" s="29"/>
      <c r="I7287" s="30"/>
    </row>
    <row r="7288" spans="1:9" ht="15.75" thickBot="1" x14ac:dyDescent="0.3">
      <c r="A7288" s="43" t="s">
        <v>997</v>
      </c>
      <c r="B7288" s="21" t="s">
        <v>998</v>
      </c>
      <c r="C7288" s="21" t="s">
        <v>22655</v>
      </c>
      <c r="D7288" s="22">
        <v>46026</v>
      </c>
      <c r="E7288" s="23" t="s">
        <v>22661</v>
      </c>
      <c r="F7288" s="24" t="s">
        <v>22657</v>
      </c>
      <c r="G7288" s="25">
        <v>12</v>
      </c>
      <c r="H7288" s="34">
        <v>12</v>
      </c>
      <c r="I7288" s="35">
        <v>18</v>
      </c>
    </row>
    <row r="7289" spans="1:9" ht="15.75" thickBot="1" x14ac:dyDescent="0.3">
      <c r="A7289" s="43" t="s">
        <v>15173</v>
      </c>
      <c r="B7289" s="21" t="s">
        <v>15174</v>
      </c>
      <c r="C7289" s="21" t="s">
        <v>22655</v>
      </c>
      <c r="D7289" s="22">
        <v>46046</v>
      </c>
      <c r="E7289" s="23" t="s">
        <v>22661</v>
      </c>
      <c r="F7289" s="24" t="s">
        <v>22657</v>
      </c>
      <c r="G7289" s="25">
        <v>12</v>
      </c>
      <c r="H7289" s="32">
        <v>12</v>
      </c>
      <c r="I7289" s="33">
        <v>24</v>
      </c>
    </row>
    <row r="7290" spans="1:9" ht="15.75" thickBot="1" x14ac:dyDescent="0.3">
      <c r="A7290" s="43" t="s">
        <v>1473</v>
      </c>
      <c r="B7290" s="21" t="s">
        <v>1474</v>
      </c>
      <c r="C7290" s="21" t="s">
        <v>22655</v>
      </c>
      <c r="D7290" s="22">
        <v>46026</v>
      </c>
      <c r="E7290" s="23" t="s">
        <v>22656</v>
      </c>
      <c r="F7290" s="24" t="s">
        <v>22657</v>
      </c>
      <c r="G7290" s="25">
        <v>2</v>
      </c>
      <c r="H7290" s="26"/>
      <c r="I7290" s="27"/>
    </row>
    <row r="7291" spans="1:9" ht="15.75" thickBot="1" x14ac:dyDescent="0.3">
      <c r="A7291" s="43" t="s">
        <v>49</v>
      </c>
      <c r="B7291" s="21" t="s">
        <v>50</v>
      </c>
      <c r="C7291" s="21" t="s">
        <v>22655</v>
      </c>
      <c r="D7291" s="22">
        <v>46026</v>
      </c>
      <c r="E7291" s="23" t="s">
        <v>22656</v>
      </c>
      <c r="F7291" s="24" t="s">
        <v>22657</v>
      </c>
      <c r="G7291" s="25">
        <v>2</v>
      </c>
      <c r="H7291" s="32">
        <v>2</v>
      </c>
      <c r="I7291" s="33">
        <v>4</v>
      </c>
    </row>
    <row r="7292" spans="1:9" ht="15.75" thickBot="1" x14ac:dyDescent="0.3">
      <c r="A7292" s="43" t="s">
        <v>15175</v>
      </c>
      <c r="B7292" s="21" t="s">
        <v>15176</v>
      </c>
      <c r="C7292" s="21" t="s">
        <v>22655</v>
      </c>
      <c r="D7292" s="22">
        <v>46028</v>
      </c>
      <c r="E7292" s="23" t="s">
        <v>22658</v>
      </c>
      <c r="F7292" s="24" t="s">
        <v>22657</v>
      </c>
      <c r="G7292" s="25">
        <v>2</v>
      </c>
      <c r="H7292" s="26"/>
      <c r="I7292" s="27"/>
    </row>
    <row r="7293" spans="1:9" ht="15.75" thickBot="1" x14ac:dyDescent="0.3">
      <c r="A7293" s="43" t="s">
        <v>15177</v>
      </c>
      <c r="B7293" s="21" t="s">
        <v>15178</v>
      </c>
      <c r="C7293" s="21" t="s">
        <v>22655</v>
      </c>
      <c r="D7293" s="22">
        <v>46024</v>
      </c>
      <c r="E7293" s="23" t="s">
        <v>22658</v>
      </c>
      <c r="F7293" s="24" t="s">
        <v>22657</v>
      </c>
      <c r="G7293" s="25">
        <v>1</v>
      </c>
      <c r="H7293" s="29"/>
      <c r="I7293" s="30"/>
    </row>
    <row r="7294" spans="1:9" ht="15.75" thickBot="1" x14ac:dyDescent="0.3">
      <c r="A7294" s="43" t="s">
        <v>15179</v>
      </c>
      <c r="B7294" s="21" t="s">
        <v>15180</v>
      </c>
      <c r="C7294" s="21" t="s">
        <v>22655</v>
      </c>
      <c r="D7294" s="22">
        <v>46028</v>
      </c>
      <c r="E7294" s="23" t="s">
        <v>22661</v>
      </c>
      <c r="F7294" s="24" t="s">
        <v>22657</v>
      </c>
      <c r="G7294" s="25">
        <v>6</v>
      </c>
      <c r="H7294" s="34">
        <v>6</v>
      </c>
      <c r="I7294" s="35">
        <v>12</v>
      </c>
    </row>
    <row r="7295" spans="1:9" ht="15.75" thickBot="1" x14ac:dyDescent="0.3">
      <c r="A7295" s="43" t="s">
        <v>15181</v>
      </c>
      <c r="B7295" s="21" t="s">
        <v>15182</v>
      </c>
      <c r="C7295" s="21" t="s">
        <v>22655</v>
      </c>
      <c r="D7295" s="22">
        <v>46024</v>
      </c>
      <c r="E7295" s="23" t="s">
        <v>22656</v>
      </c>
      <c r="F7295" s="24" t="s">
        <v>22657</v>
      </c>
      <c r="G7295" s="25">
        <v>2</v>
      </c>
      <c r="H7295" s="29"/>
      <c r="I7295" s="30"/>
    </row>
    <row r="7296" spans="1:9" ht="15.75" thickBot="1" x14ac:dyDescent="0.3">
      <c r="A7296" s="43" t="s">
        <v>15183</v>
      </c>
      <c r="B7296" s="21" t="s">
        <v>15184</v>
      </c>
      <c r="C7296" s="21" t="s">
        <v>22655</v>
      </c>
      <c r="D7296" s="22">
        <v>46028</v>
      </c>
      <c r="E7296" s="23" t="s">
        <v>22656</v>
      </c>
      <c r="F7296" s="24" t="s">
        <v>22657</v>
      </c>
      <c r="G7296" s="25">
        <v>3</v>
      </c>
      <c r="H7296" s="26"/>
      <c r="I7296" s="27"/>
    </row>
    <row r="7297" spans="1:9" ht="15.75" thickBot="1" x14ac:dyDescent="0.3">
      <c r="A7297" s="43" t="s">
        <v>15185</v>
      </c>
      <c r="B7297" s="21" t="s">
        <v>15186</v>
      </c>
      <c r="C7297" s="21" t="s">
        <v>22655</v>
      </c>
      <c r="D7297" s="22">
        <v>46024</v>
      </c>
      <c r="E7297" s="23" t="s">
        <v>22656</v>
      </c>
      <c r="F7297" s="24" t="s">
        <v>22657</v>
      </c>
      <c r="G7297" s="25">
        <v>2</v>
      </c>
      <c r="H7297" s="29"/>
      <c r="I7297" s="30"/>
    </row>
    <row r="7298" spans="1:9" ht="15.75" thickBot="1" x14ac:dyDescent="0.3">
      <c r="A7298" s="43" t="s">
        <v>1529</v>
      </c>
      <c r="B7298" s="21" t="s">
        <v>1530</v>
      </c>
      <c r="C7298" s="21" t="s">
        <v>22655</v>
      </c>
      <c r="D7298" s="22">
        <v>46028</v>
      </c>
      <c r="E7298" s="23" t="s">
        <v>22661</v>
      </c>
      <c r="F7298" s="24" t="s">
        <v>22657</v>
      </c>
      <c r="G7298" s="25">
        <v>7</v>
      </c>
      <c r="H7298" s="26"/>
      <c r="I7298" s="27"/>
    </row>
    <row r="7299" spans="1:9" ht="15.75" thickBot="1" x14ac:dyDescent="0.3">
      <c r="A7299" s="43" t="s">
        <v>1779</v>
      </c>
      <c r="B7299" s="21" t="s">
        <v>1780</v>
      </c>
      <c r="C7299" s="21" t="s">
        <v>22655</v>
      </c>
      <c r="D7299" s="22">
        <v>46024</v>
      </c>
      <c r="E7299" s="23" t="s">
        <v>22656</v>
      </c>
      <c r="F7299" s="24" t="s">
        <v>22657</v>
      </c>
      <c r="G7299" s="25">
        <v>2</v>
      </c>
      <c r="H7299" s="32">
        <v>2</v>
      </c>
      <c r="I7299" s="33">
        <v>4</v>
      </c>
    </row>
    <row r="7300" spans="1:9" ht="15.75" thickBot="1" x14ac:dyDescent="0.3">
      <c r="A7300" s="43" t="s">
        <v>1809</v>
      </c>
      <c r="B7300" s="21" t="s">
        <v>1810</v>
      </c>
      <c r="C7300" s="21" t="s">
        <v>22655</v>
      </c>
      <c r="D7300" s="22">
        <v>46028</v>
      </c>
      <c r="E7300" s="23" t="s">
        <v>22661</v>
      </c>
      <c r="F7300" s="24" t="s">
        <v>22657</v>
      </c>
      <c r="G7300" s="25">
        <v>4</v>
      </c>
      <c r="H7300" s="26"/>
      <c r="I7300" s="27"/>
    </row>
    <row r="7301" spans="1:9" ht="15.75" thickBot="1" x14ac:dyDescent="0.3">
      <c r="A7301" s="43" t="s">
        <v>15187</v>
      </c>
      <c r="B7301" s="21" t="s">
        <v>15188</v>
      </c>
      <c r="C7301" s="21" t="s">
        <v>22655</v>
      </c>
      <c r="D7301" s="22">
        <v>46024</v>
      </c>
      <c r="E7301" s="23" t="s">
        <v>22656</v>
      </c>
      <c r="F7301" s="24" t="s">
        <v>22657</v>
      </c>
      <c r="G7301" s="25">
        <v>1</v>
      </c>
      <c r="H7301" s="32">
        <v>1</v>
      </c>
      <c r="I7301" s="33">
        <v>2</v>
      </c>
    </row>
    <row r="7302" spans="1:9" ht="15.75" thickBot="1" x14ac:dyDescent="0.3">
      <c r="A7302" s="43" t="s">
        <v>455</v>
      </c>
      <c r="B7302" s="21" t="s">
        <v>456</v>
      </c>
      <c r="C7302" s="21" t="s">
        <v>22655</v>
      </c>
      <c r="D7302" s="22">
        <v>46028</v>
      </c>
      <c r="E7302" s="23" t="s">
        <v>22662</v>
      </c>
      <c r="F7302" s="24" t="s">
        <v>22657</v>
      </c>
      <c r="G7302" s="25">
        <v>30</v>
      </c>
      <c r="H7302" s="34">
        <v>30</v>
      </c>
      <c r="I7302" s="35">
        <v>48</v>
      </c>
    </row>
    <row r="7303" spans="1:9" ht="15.75" thickBot="1" x14ac:dyDescent="0.3">
      <c r="A7303" s="43" t="s">
        <v>22613</v>
      </c>
      <c r="B7303" s="21" t="s">
        <v>1879</v>
      </c>
      <c r="C7303" s="36" t="e">
        <v>#N/A</v>
      </c>
      <c r="D7303" s="37" t="e">
        <v>#N/A</v>
      </c>
      <c r="E7303" s="23" t="e">
        <v>#N/A</v>
      </c>
      <c r="F7303" s="24" t="s">
        <v>22657</v>
      </c>
      <c r="G7303" s="25" t="e">
        <v>#N/A</v>
      </c>
      <c r="H7303" s="29"/>
      <c r="I7303" s="30"/>
    </row>
    <row r="7304" spans="1:9" ht="15.75" thickBot="1" x14ac:dyDescent="0.3">
      <c r="A7304" s="43" t="s">
        <v>1878</v>
      </c>
      <c r="B7304" s="21" t="s">
        <v>1879</v>
      </c>
      <c r="C7304" s="21" t="s">
        <v>22667</v>
      </c>
      <c r="D7304" s="31" t="s">
        <v>22788</v>
      </c>
      <c r="E7304" s="23" t="s">
        <v>22661</v>
      </c>
      <c r="F7304" s="24" t="s">
        <v>22657</v>
      </c>
      <c r="G7304" s="25">
        <v>15</v>
      </c>
      <c r="H7304" s="26"/>
      <c r="I7304" s="27"/>
    </row>
    <row r="7305" spans="1:9" ht="15.75" thickBot="1" x14ac:dyDescent="0.3">
      <c r="A7305" s="43" t="s">
        <v>981</v>
      </c>
      <c r="B7305" s="21" t="s">
        <v>982</v>
      </c>
      <c r="C7305" s="21" t="s">
        <v>22655</v>
      </c>
      <c r="D7305" s="22">
        <v>46024</v>
      </c>
      <c r="E7305" s="23" t="s">
        <v>22661</v>
      </c>
      <c r="F7305" s="24" t="s">
        <v>22657</v>
      </c>
      <c r="G7305" s="25">
        <v>10</v>
      </c>
      <c r="H7305" s="32">
        <v>10</v>
      </c>
      <c r="I7305" s="33">
        <v>16</v>
      </c>
    </row>
    <row r="7306" spans="1:9" ht="15.75" thickBot="1" x14ac:dyDescent="0.3">
      <c r="A7306" s="43" t="s">
        <v>147</v>
      </c>
      <c r="B7306" s="21" t="s">
        <v>148</v>
      </c>
      <c r="C7306" s="21" t="s">
        <v>22655</v>
      </c>
      <c r="D7306" s="22">
        <v>46028</v>
      </c>
      <c r="E7306" s="23" t="s">
        <v>22665</v>
      </c>
      <c r="F7306" s="24" t="s">
        <v>22657</v>
      </c>
      <c r="G7306" s="25">
        <v>30</v>
      </c>
      <c r="H7306" s="34">
        <v>30</v>
      </c>
      <c r="I7306" s="35">
        <v>48</v>
      </c>
    </row>
    <row r="7307" spans="1:9" ht="15.75" thickBot="1" x14ac:dyDescent="0.3">
      <c r="A7307" s="43" t="s">
        <v>15190</v>
      </c>
      <c r="B7307" s="21" t="s">
        <v>15191</v>
      </c>
      <c r="C7307" s="21" t="s">
        <v>22667</v>
      </c>
      <c r="D7307" s="31" t="s">
        <v>22788</v>
      </c>
      <c r="E7307" s="23" t="s">
        <v>22661</v>
      </c>
      <c r="F7307" s="24" t="s">
        <v>22657</v>
      </c>
      <c r="G7307" s="25">
        <v>10</v>
      </c>
      <c r="H7307" s="29"/>
      <c r="I7307" s="30"/>
    </row>
    <row r="7308" spans="1:9" ht="15.75" thickBot="1" x14ac:dyDescent="0.3">
      <c r="A7308" s="43" t="s">
        <v>1371</v>
      </c>
      <c r="B7308" s="21" t="s">
        <v>1372</v>
      </c>
      <c r="C7308" s="21" t="s">
        <v>22655</v>
      </c>
      <c r="D7308" s="22">
        <v>46024</v>
      </c>
      <c r="E7308" s="23" t="s">
        <v>22656</v>
      </c>
      <c r="F7308" s="24" t="s">
        <v>22657</v>
      </c>
      <c r="G7308" s="25">
        <v>2</v>
      </c>
      <c r="H7308" s="34">
        <v>2</v>
      </c>
      <c r="I7308" s="35">
        <v>4</v>
      </c>
    </row>
    <row r="7309" spans="1:9" ht="15.75" thickBot="1" x14ac:dyDescent="0.3">
      <c r="A7309" s="43" t="s">
        <v>1267</v>
      </c>
      <c r="B7309" s="21" t="s">
        <v>1268</v>
      </c>
      <c r="C7309" s="21" t="s">
        <v>22655</v>
      </c>
      <c r="D7309" s="22">
        <v>46028</v>
      </c>
      <c r="E7309" s="23" t="s">
        <v>22661</v>
      </c>
      <c r="F7309" s="24" t="s">
        <v>22657</v>
      </c>
      <c r="G7309" s="25">
        <v>9</v>
      </c>
      <c r="H7309" s="29"/>
      <c r="I7309" s="30"/>
    </row>
    <row r="7310" spans="1:9" ht="15.75" thickBot="1" x14ac:dyDescent="0.3">
      <c r="A7310" s="43" t="s">
        <v>1623</v>
      </c>
      <c r="B7310" s="21" t="s">
        <v>1624</v>
      </c>
      <c r="C7310" s="21" t="s">
        <v>22655</v>
      </c>
      <c r="D7310" s="22">
        <v>46024</v>
      </c>
      <c r="E7310" s="23" t="s">
        <v>22656</v>
      </c>
      <c r="F7310" s="24" t="s">
        <v>22657</v>
      </c>
      <c r="G7310" s="25">
        <v>2</v>
      </c>
      <c r="H7310" s="26"/>
      <c r="I7310" s="27"/>
    </row>
    <row r="7311" spans="1:9" ht="15.75" thickBot="1" x14ac:dyDescent="0.3">
      <c r="A7311" s="43" t="s">
        <v>1607</v>
      </c>
      <c r="B7311" s="21" t="s">
        <v>1608</v>
      </c>
      <c r="C7311" s="21" t="s">
        <v>22655</v>
      </c>
      <c r="D7311" s="22">
        <v>46028</v>
      </c>
      <c r="E7311" s="23" t="s">
        <v>22656</v>
      </c>
      <c r="F7311" s="24" t="s">
        <v>22657</v>
      </c>
      <c r="G7311" s="25">
        <v>2</v>
      </c>
      <c r="H7311" s="29"/>
      <c r="I7311" s="30"/>
    </row>
    <row r="7312" spans="1:9" ht="15.75" thickBot="1" x14ac:dyDescent="0.3">
      <c r="A7312" s="43" t="s">
        <v>15194</v>
      </c>
      <c r="B7312" s="21" t="s">
        <v>15195</v>
      </c>
      <c r="C7312" s="21" t="s">
        <v>22667</v>
      </c>
      <c r="D7312" s="31" t="s">
        <v>22788</v>
      </c>
      <c r="E7312" s="23" t="s">
        <v>22661</v>
      </c>
      <c r="F7312" s="24" t="s">
        <v>22657</v>
      </c>
      <c r="G7312" s="25">
        <v>4</v>
      </c>
      <c r="H7312" s="26"/>
      <c r="I7312" s="27"/>
    </row>
    <row r="7313" spans="1:9" ht="15.75" thickBot="1" x14ac:dyDescent="0.3">
      <c r="A7313" s="43" t="s">
        <v>1853</v>
      </c>
      <c r="B7313" s="21" t="s">
        <v>1854</v>
      </c>
      <c r="C7313" s="21" t="s">
        <v>22655</v>
      </c>
      <c r="D7313" s="22">
        <v>46024</v>
      </c>
      <c r="E7313" s="23" t="s">
        <v>22656</v>
      </c>
      <c r="F7313" s="24" t="s">
        <v>22657</v>
      </c>
      <c r="G7313" s="25">
        <v>2</v>
      </c>
      <c r="H7313" s="29"/>
      <c r="I7313" s="30"/>
    </row>
    <row r="7314" spans="1:9" ht="15.75" thickBot="1" x14ac:dyDescent="0.3">
      <c r="A7314" s="43" t="s">
        <v>587</v>
      </c>
      <c r="B7314" s="21" t="s">
        <v>588</v>
      </c>
      <c r="C7314" s="21" t="s">
        <v>22655</v>
      </c>
      <c r="D7314" s="22">
        <v>46028</v>
      </c>
      <c r="E7314" s="23" t="s">
        <v>22665</v>
      </c>
      <c r="F7314" s="24" t="s">
        <v>22657</v>
      </c>
      <c r="G7314" s="25">
        <v>30</v>
      </c>
      <c r="H7314" s="34">
        <v>30</v>
      </c>
      <c r="I7314" s="35">
        <v>72</v>
      </c>
    </row>
    <row r="7315" spans="1:9" ht="15.75" thickBot="1" x14ac:dyDescent="0.3">
      <c r="A7315" s="43" t="s">
        <v>15197</v>
      </c>
      <c r="B7315" s="21" t="s">
        <v>15198</v>
      </c>
      <c r="C7315" s="21" t="s">
        <v>22667</v>
      </c>
      <c r="D7315" s="31" t="s">
        <v>22788</v>
      </c>
      <c r="E7315" s="23" t="s">
        <v>22665</v>
      </c>
      <c r="F7315" s="24" t="s">
        <v>22657</v>
      </c>
      <c r="G7315" s="25">
        <v>10</v>
      </c>
      <c r="H7315" s="29"/>
      <c r="I7315" s="30"/>
    </row>
    <row r="7316" spans="1:9" ht="15.75" thickBot="1" x14ac:dyDescent="0.3">
      <c r="A7316" s="43" t="s">
        <v>1841</v>
      </c>
      <c r="B7316" s="21" t="s">
        <v>1842</v>
      </c>
      <c r="C7316" s="21" t="s">
        <v>22655</v>
      </c>
      <c r="D7316" s="22">
        <v>46024</v>
      </c>
      <c r="E7316" s="23" t="s">
        <v>22661</v>
      </c>
      <c r="F7316" s="24" t="s">
        <v>22657</v>
      </c>
      <c r="G7316" s="25">
        <v>8</v>
      </c>
      <c r="H7316" s="34">
        <v>8</v>
      </c>
      <c r="I7316" s="35">
        <v>16</v>
      </c>
    </row>
    <row r="7317" spans="1:9" ht="15.75" thickBot="1" x14ac:dyDescent="0.3">
      <c r="A7317" s="43" t="s">
        <v>1305</v>
      </c>
      <c r="B7317" s="21" t="s">
        <v>1306</v>
      </c>
      <c r="C7317" s="21" t="s">
        <v>22655</v>
      </c>
      <c r="D7317" s="22">
        <v>46028</v>
      </c>
      <c r="E7317" s="23" t="s">
        <v>22665</v>
      </c>
      <c r="F7317" s="24" t="s">
        <v>22657</v>
      </c>
      <c r="G7317" s="25">
        <v>12</v>
      </c>
      <c r="H7317" s="32">
        <v>12</v>
      </c>
      <c r="I7317" s="33">
        <v>24</v>
      </c>
    </row>
    <row r="7318" spans="1:9" ht="15.75" thickBot="1" x14ac:dyDescent="0.3">
      <c r="A7318" s="43" t="s">
        <v>15199</v>
      </c>
      <c r="B7318" s="21" t="s">
        <v>15200</v>
      </c>
      <c r="C7318" s="21" t="s">
        <v>22667</v>
      </c>
      <c r="D7318" s="31" t="s">
        <v>22788</v>
      </c>
      <c r="E7318" s="23" t="s">
        <v>22661</v>
      </c>
      <c r="F7318" s="24" t="s">
        <v>22657</v>
      </c>
      <c r="G7318" s="25">
        <v>6</v>
      </c>
      <c r="H7318" s="26"/>
      <c r="I7318" s="27"/>
    </row>
    <row r="7319" spans="1:9" ht="15.75" thickBot="1" x14ac:dyDescent="0.3">
      <c r="A7319" s="43" t="s">
        <v>783</v>
      </c>
      <c r="B7319" s="21" t="s">
        <v>784</v>
      </c>
      <c r="C7319" s="21" t="s">
        <v>22655</v>
      </c>
      <c r="D7319" s="22">
        <v>46024</v>
      </c>
      <c r="E7319" s="23" t="s">
        <v>22656</v>
      </c>
      <c r="F7319" s="24" t="s">
        <v>22657</v>
      </c>
      <c r="G7319" s="25">
        <v>2</v>
      </c>
      <c r="H7319" s="32">
        <v>2</v>
      </c>
      <c r="I7319" s="33">
        <v>4</v>
      </c>
    </row>
    <row r="7320" spans="1:9" ht="15.75" thickBot="1" x14ac:dyDescent="0.3">
      <c r="A7320" s="43" t="s">
        <v>15201</v>
      </c>
      <c r="B7320" s="21" t="s">
        <v>15202</v>
      </c>
      <c r="C7320" s="21" t="s">
        <v>22655</v>
      </c>
      <c r="D7320" s="22">
        <v>46024</v>
      </c>
      <c r="E7320" s="23" t="s">
        <v>22656</v>
      </c>
      <c r="F7320" s="24" t="s">
        <v>22657</v>
      </c>
      <c r="G7320" s="25">
        <v>2</v>
      </c>
      <c r="H7320" s="26"/>
      <c r="I7320" s="27"/>
    </row>
    <row r="7321" spans="1:9" ht="15.75" thickBot="1" x14ac:dyDescent="0.3">
      <c r="A7321" s="43" t="s">
        <v>15203</v>
      </c>
      <c r="B7321" s="21" t="s">
        <v>15204</v>
      </c>
      <c r="C7321" s="21" t="s">
        <v>22655</v>
      </c>
      <c r="D7321" s="22">
        <v>46028</v>
      </c>
      <c r="E7321" s="23" t="s">
        <v>22656</v>
      </c>
      <c r="F7321" s="24" t="s">
        <v>22657</v>
      </c>
      <c r="G7321" s="25">
        <v>2</v>
      </c>
      <c r="H7321" s="29"/>
      <c r="I7321" s="30"/>
    </row>
    <row r="7322" spans="1:9" ht="15.75" thickBot="1" x14ac:dyDescent="0.3">
      <c r="A7322" s="43" t="s">
        <v>15205</v>
      </c>
      <c r="B7322" s="21" t="s">
        <v>15206</v>
      </c>
      <c r="C7322" s="21" t="s">
        <v>22655</v>
      </c>
      <c r="D7322" s="22">
        <v>46024</v>
      </c>
      <c r="E7322" s="23" t="s">
        <v>22658</v>
      </c>
      <c r="F7322" s="24" t="s">
        <v>22657</v>
      </c>
      <c r="G7322" s="25">
        <v>1</v>
      </c>
      <c r="H7322" s="26"/>
      <c r="I7322" s="27"/>
    </row>
    <row r="7323" spans="1:9" ht="15.75" thickBot="1" x14ac:dyDescent="0.3">
      <c r="A7323" s="43" t="s">
        <v>15207</v>
      </c>
      <c r="B7323" s="21" t="s">
        <v>15208</v>
      </c>
      <c r="C7323" s="21" t="s">
        <v>22655</v>
      </c>
      <c r="D7323" s="22">
        <v>46028</v>
      </c>
      <c r="E7323" s="23" t="s">
        <v>22658</v>
      </c>
      <c r="F7323" s="24" t="s">
        <v>22657</v>
      </c>
      <c r="G7323" s="25">
        <v>2</v>
      </c>
      <c r="H7323" s="29"/>
      <c r="I7323" s="30"/>
    </row>
    <row r="7324" spans="1:9" ht="15.75" thickBot="1" x14ac:dyDescent="0.3">
      <c r="A7324" s="43" t="s">
        <v>15209</v>
      </c>
      <c r="B7324" s="21" t="s">
        <v>15210</v>
      </c>
      <c r="C7324" s="21" t="s">
        <v>22655</v>
      </c>
      <c r="D7324" s="22">
        <v>46028</v>
      </c>
      <c r="E7324" s="23" t="s">
        <v>22656</v>
      </c>
      <c r="F7324" s="24" t="s">
        <v>22657</v>
      </c>
      <c r="G7324" s="25">
        <v>2</v>
      </c>
      <c r="H7324" s="26"/>
      <c r="I7324" s="27"/>
    </row>
    <row r="7325" spans="1:9" ht="15.75" thickBot="1" x14ac:dyDescent="0.3">
      <c r="A7325" s="43" t="s">
        <v>15211</v>
      </c>
      <c r="B7325" s="21" t="s">
        <v>15212</v>
      </c>
      <c r="C7325" s="21" t="s">
        <v>22655</v>
      </c>
      <c r="D7325" s="22">
        <v>46024</v>
      </c>
      <c r="E7325" s="23" t="s">
        <v>22658</v>
      </c>
      <c r="F7325" s="24" t="s">
        <v>22657</v>
      </c>
      <c r="G7325" s="25">
        <v>1</v>
      </c>
      <c r="H7325" s="29"/>
      <c r="I7325" s="30"/>
    </row>
    <row r="7326" spans="1:9" ht="15.75" thickBot="1" x14ac:dyDescent="0.3">
      <c r="A7326" s="43" t="s">
        <v>15213</v>
      </c>
      <c r="B7326" s="21" t="s">
        <v>15214</v>
      </c>
      <c r="C7326" s="21" t="s">
        <v>22846</v>
      </c>
      <c r="D7326" s="22">
        <v>46028</v>
      </c>
      <c r="E7326" s="23" t="s">
        <v>22656</v>
      </c>
      <c r="F7326" s="24" t="s">
        <v>22657</v>
      </c>
      <c r="G7326" s="25">
        <v>2</v>
      </c>
      <c r="H7326" s="26"/>
      <c r="I7326" s="27"/>
    </row>
    <row r="7327" spans="1:9" ht="15.75" thickBot="1" x14ac:dyDescent="0.3">
      <c r="A7327" s="43" t="s">
        <v>15215</v>
      </c>
      <c r="B7327" s="21" t="s">
        <v>15216</v>
      </c>
      <c r="C7327" s="21" t="s">
        <v>22655</v>
      </c>
      <c r="D7327" s="22">
        <v>46028</v>
      </c>
      <c r="E7327" s="23" t="s">
        <v>22658</v>
      </c>
      <c r="F7327" s="24" t="s">
        <v>22657</v>
      </c>
      <c r="G7327" s="25">
        <v>2</v>
      </c>
      <c r="H7327" s="29"/>
      <c r="I7327" s="30"/>
    </row>
    <row r="7328" spans="1:9" ht="15.75" thickBot="1" x14ac:dyDescent="0.3">
      <c r="A7328" s="43" t="s">
        <v>15217</v>
      </c>
      <c r="B7328" s="21" t="s">
        <v>15218</v>
      </c>
      <c r="C7328" s="21" t="s">
        <v>22655</v>
      </c>
      <c r="D7328" s="22">
        <v>46024</v>
      </c>
      <c r="E7328" s="23" t="s">
        <v>22658</v>
      </c>
      <c r="F7328" s="24" t="s">
        <v>22657</v>
      </c>
      <c r="G7328" s="25">
        <v>1</v>
      </c>
      <c r="H7328" s="26"/>
      <c r="I7328" s="27"/>
    </row>
    <row r="7329" spans="1:9" ht="15.75" thickBot="1" x14ac:dyDescent="0.3">
      <c r="A7329" s="43" t="s">
        <v>15219</v>
      </c>
      <c r="B7329" s="21" t="s">
        <v>15220</v>
      </c>
      <c r="C7329" s="21" t="s">
        <v>22655</v>
      </c>
      <c r="D7329" s="22">
        <v>46028</v>
      </c>
      <c r="E7329" s="23" t="s">
        <v>22658</v>
      </c>
      <c r="F7329" s="24" t="s">
        <v>22657</v>
      </c>
      <c r="G7329" s="25">
        <v>2</v>
      </c>
      <c r="H7329" s="29"/>
      <c r="I7329" s="30"/>
    </row>
    <row r="7330" spans="1:9" ht="15.75" thickBot="1" x14ac:dyDescent="0.3">
      <c r="A7330" s="43" t="s">
        <v>15221</v>
      </c>
      <c r="B7330" s="21" t="s">
        <v>15222</v>
      </c>
      <c r="C7330" s="21" t="s">
        <v>22655</v>
      </c>
      <c r="D7330" s="22">
        <v>46024</v>
      </c>
      <c r="E7330" s="23" t="s">
        <v>22656</v>
      </c>
      <c r="F7330" s="24" t="s">
        <v>22657</v>
      </c>
      <c r="G7330" s="25">
        <v>2</v>
      </c>
      <c r="H7330" s="26"/>
      <c r="I7330" s="27"/>
    </row>
    <row r="7331" spans="1:9" ht="15.75" thickBot="1" x14ac:dyDescent="0.3">
      <c r="A7331" s="43" t="s">
        <v>15223</v>
      </c>
      <c r="B7331" s="21" t="s">
        <v>15224</v>
      </c>
      <c r="C7331" s="21" t="s">
        <v>22655</v>
      </c>
      <c r="D7331" s="22">
        <v>46028</v>
      </c>
      <c r="E7331" s="23" t="s">
        <v>22656</v>
      </c>
      <c r="F7331" s="24" t="s">
        <v>22657</v>
      </c>
      <c r="G7331" s="25">
        <v>2</v>
      </c>
      <c r="H7331" s="29"/>
      <c r="I7331" s="30"/>
    </row>
    <row r="7332" spans="1:9" ht="15.75" thickBot="1" x14ac:dyDescent="0.3">
      <c r="A7332" s="43" t="s">
        <v>15225</v>
      </c>
      <c r="B7332" s="21" t="s">
        <v>15226</v>
      </c>
      <c r="C7332" s="21" t="s">
        <v>22655</v>
      </c>
      <c r="D7332" s="22">
        <v>46024</v>
      </c>
      <c r="E7332" s="23" t="s">
        <v>22658</v>
      </c>
      <c r="F7332" s="24" t="s">
        <v>22657</v>
      </c>
      <c r="G7332" s="25">
        <v>1</v>
      </c>
      <c r="H7332" s="26"/>
      <c r="I7332" s="27"/>
    </row>
    <row r="7333" spans="1:9" ht="15.75" thickBot="1" x14ac:dyDescent="0.3">
      <c r="A7333" s="43" t="s">
        <v>15227</v>
      </c>
      <c r="B7333" s="21" t="s">
        <v>15228</v>
      </c>
      <c r="C7333" s="21" t="s">
        <v>22655</v>
      </c>
      <c r="D7333" s="22">
        <v>46028</v>
      </c>
      <c r="E7333" s="23" t="s">
        <v>22658</v>
      </c>
      <c r="F7333" s="24" t="s">
        <v>22657</v>
      </c>
      <c r="G7333" s="25">
        <v>2</v>
      </c>
      <c r="H7333" s="29"/>
      <c r="I7333" s="30"/>
    </row>
    <row r="7334" spans="1:9" ht="15.75" thickBot="1" x14ac:dyDescent="0.3">
      <c r="A7334" s="43" t="s">
        <v>15229</v>
      </c>
      <c r="B7334" s="21" t="s">
        <v>15230</v>
      </c>
      <c r="C7334" s="21" t="s">
        <v>22655</v>
      </c>
      <c r="D7334" s="22">
        <v>46024</v>
      </c>
      <c r="E7334" s="23" t="s">
        <v>22658</v>
      </c>
      <c r="F7334" s="24" t="s">
        <v>22657</v>
      </c>
      <c r="G7334" s="25">
        <v>1</v>
      </c>
      <c r="H7334" s="26"/>
      <c r="I7334" s="27"/>
    </row>
    <row r="7335" spans="1:9" ht="15.75" thickBot="1" x14ac:dyDescent="0.3">
      <c r="A7335" s="43" t="s">
        <v>15231</v>
      </c>
      <c r="B7335" s="21" t="s">
        <v>15232</v>
      </c>
      <c r="C7335" s="21" t="s">
        <v>22655</v>
      </c>
      <c r="D7335" s="22">
        <v>46028</v>
      </c>
      <c r="E7335" s="23" t="s">
        <v>22656</v>
      </c>
      <c r="F7335" s="24" t="s">
        <v>22657</v>
      </c>
      <c r="G7335" s="25">
        <v>2</v>
      </c>
      <c r="H7335" s="29"/>
      <c r="I7335" s="30"/>
    </row>
    <row r="7336" spans="1:9" ht="15.75" thickBot="1" x14ac:dyDescent="0.3">
      <c r="A7336" s="43" t="s">
        <v>15233</v>
      </c>
      <c r="B7336" s="21" t="s">
        <v>15234</v>
      </c>
      <c r="C7336" s="21" t="s">
        <v>22655</v>
      </c>
      <c r="D7336" s="22">
        <v>46024</v>
      </c>
      <c r="E7336" s="23" t="s">
        <v>22656</v>
      </c>
      <c r="F7336" s="24" t="s">
        <v>22657</v>
      </c>
      <c r="G7336" s="25">
        <v>2</v>
      </c>
      <c r="H7336" s="26"/>
      <c r="I7336" s="27"/>
    </row>
    <row r="7337" spans="1:9" ht="15.75" thickBot="1" x14ac:dyDescent="0.3">
      <c r="A7337" s="43" t="s">
        <v>15235</v>
      </c>
      <c r="B7337" s="21" t="s">
        <v>15236</v>
      </c>
      <c r="C7337" s="21" t="s">
        <v>22655</v>
      </c>
      <c r="D7337" s="22">
        <v>46028</v>
      </c>
      <c r="E7337" s="23" t="s">
        <v>22658</v>
      </c>
      <c r="F7337" s="24" t="s">
        <v>22657</v>
      </c>
      <c r="G7337" s="25">
        <v>2</v>
      </c>
      <c r="H7337" s="29"/>
      <c r="I7337" s="30"/>
    </row>
    <row r="7338" spans="1:9" ht="15.75" thickBot="1" x14ac:dyDescent="0.3">
      <c r="A7338" s="43" t="s">
        <v>15237</v>
      </c>
      <c r="B7338" s="21" t="s">
        <v>15238</v>
      </c>
      <c r="C7338" s="21" t="s">
        <v>22655</v>
      </c>
      <c r="D7338" s="22">
        <v>46024</v>
      </c>
      <c r="E7338" s="23" t="s">
        <v>22658</v>
      </c>
      <c r="F7338" s="24" t="s">
        <v>22657</v>
      </c>
      <c r="G7338" s="25">
        <v>1</v>
      </c>
      <c r="H7338" s="26"/>
      <c r="I7338" s="27"/>
    </row>
    <row r="7339" spans="1:9" ht="15.75" thickBot="1" x14ac:dyDescent="0.3">
      <c r="A7339" s="43" t="s">
        <v>15239</v>
      </c>
      <c r="B7339" s="21" t="s">
        <v>15240</v>
      </c>
      <c r="C7339" s="21" t="s">
        <v>22655</v>
      </c>
      <c r="D7339" s="22">
        <v>46028</v>
      </c>
      <c r="E7339" s="23" t="s">
        <v>22656</v>
      </c>
      <c r="F7339" s="24" t="s">
        <v>22657</v>
      </c>
      <c r="G7339" s="25">
        <v>2</v>
      </c>
      <c r="H7339" s="29"/>
      <c r="I7339" s="30"/>
    </row>
    <row r="7340" spans="1:9" ht="15.75" thickBot="1" x14ac:dyDescent="0.3">
      <c r="A7340" s="43" t="s">
        <v>15241</v>
      </c>
      <c r="B7340" s="21" t="s">
        <v>15242</v>
      </c>
      <c r="C7340" s="21" t="s">
        <v>22655</v>
      </c>
      <c r="D7340" s="22">
        <v>46024</v>
      </c>
      <c r="E7340" s="23" t="s">
        <v>22656</v>
      </c>
      <c r="F7340" s="24" t="s">
        <v>22657</v>
      </c>
      <c r="G7340" s="25">
        <v>2</v>
      </c>
      <c r="H7340" s="26"/>
      <c r="I7340" s="27"/>
    </row>
    <row r="7341" spans="1:9" ht="15.75" thickBot="1" x14ac:dyDescent="0.3">
      <c r="A7341" s="43" t="s">
        <v>261</v>
      </c>
      <c r="B7341" s="21" t="s">
        <v>262</v>
      </c>
      <c r="C7341" s="21" t="s">
        <v>22655</v>
      </c>
      <c r="D7341" s="22">
        <v>46028</v>
      </c>
      <c r="E7341" s="23" t="s">
        <v>22656</v>
      </c>
      <c r="F7341" s="24" t="s">
        <v>22657</v>
      </c>
      <c r="G7341" s="25">
        <v>3</v>
      </c>
      <c r="H7341" s="29"/>
      <c r="I7341" s="30"/>
    </row>
    <row r="7342" spans="1:9" ht="15.75" thickBot="1" x14ac:dyDescent="0.3">
      <c r="A7342" s="43" t="s">
        <v>389</v>
      </c>
      <c r="B7342" s="21" t="s">
        <v>390</v>
      </c>
      <c r="C7342" s="21" t="s">
        <v>22655</v>
      </c>
      <c r="D7342" s="22">
        <v>46028</v>
      </c>
      <c r="E7342" s="23" t="s">
        <v>22656</v>
      </c>
      <c r="F7342" s="24" t="s">
        <v>22657</v>
      </c>
      <c r="G7342" s="25">
        <v>6</v>
      </c>
      <c r="H7342" s="26"/>
      <c r="I7342" s="27"/>
    </row>
    <row r="7343" spans="1:9" ht="15.75" thickBot="1" x14ac:dyDescent="0.3">
      <c r="A7343" s="43" t="s">
        <v>497</v>
      </c>
      <c r="B7343" s="21" t="s">
        <v>498</v>
      </c>
      <c r="C7343" s="21" t="s">
        <v>22655</v>
      </c>
      <c r="D7343" s="22">
        <v>46034</v>
      </c>
      <c r="E7343" s="23" t="s">
        <v>22656</v>
      </c>
      <c r="F7343" s="24" t="s">
        <v>22657</v>
      </c>
      <c r="G7343" s="25">
        <v>4</v>
      </c>
      <c r="H7343" s="32">
        <v>4</v>
      </c>
      <c r="I7343" s="33">
        <v>6</v>
      </c>
    </row>
    <row r="7344" spans="1:9" ht="15.75" thickBot="1" x14ac:dyDescent="0.3">
      <c r="A7344" s="43" t="s">
        <v>15243</v>
      </c>
      <c r="B7344" s="21" t="s">
        <v>15244</v>
      </c>
      <c r="C7344" s="21" t="s">
        <v>22682</v>
      </c>
      <c r="D7344" s="22">
        <v>46034</v>
      </c>
      <c r="E7344" s="23" t="s">
        <v>22658</v>
      </c>
      <c r="F7344" s="24" t="s">
        <v>22657</v>
      </c>
      <c r="G7344" s="25">
        <v>4</v>
      </c>
      <c r="H7344" s="26"/>
      <c r="I7344" s="27"/>
    </row>
    <row r="7345" spans="1:9" ht="15.75" thickBot="1" x14ac:dyDescent="0.3">
      <c r="A7345" s="43" t="s">
        <v>15245</v>
      </c>
      <c r="B7345" s="21" t="s">
        <v>15246</v>
      </c>
      <c r="C7345" s="21" t="s">
        <v>22682</v>
      </c>
      <c r="D7345" s="22">
        <v>46034</v>
      </c>
      <c r="E7345" s="23" t="s">
        <v>22658</v>
      </c>
      <c r="F7345" s="24" t="s">
        <v>22657</v>
      </c>
      <c r="G7345" s="25">
        <v>4</v>
      </c>
      <c r="H7345" s="29"/>
      <c r="I7345" s="30"/>
    </row>
    <row r="7346" spans="1:9" ht="15.75" thickBot="1" x14ac:dyDescent="0.3">
      <c r="A7346" s="43" t="s">
        <v>15247</v>
      </c>
      <c r="B7346" s="21" t="s">
        <v>15248</v>
      </c>
      <c r="C7346" s="21" t="s">
        <v>22682</v>
      </c>
      <c r="D7346" s="22">
        <v>46034</v>
      </c>
      <c r="E7346" s="23" t="s">
        <v>22658</v>
      </c>
      <c r="F7346" s="24" t="s">
        <v>22657</v>
      </c>
      <c r="G7346" s="25">
        <v>4</v>
      </c>
      <c r="H7346" s="26"/>
      <c r="I7346" s="27"/>
    </row>
    <row r="7347" spans="1:9" ht="15.75" thickBot="1" x14ac:dyDescent="0.3">
      <c r="A7347" s="43" t="s">
        <v>15249</v>
      </c>
      <c r="B7347" s="21" t="s">
        <v>15250</v>
      </c>
      <c r="C7347" s="21" t="s">
        <v>22682</v>
      </c>
      <c r="D7347" s="22">
        <v>46034</v>
      </c>
      <c r="E7347" s="23" t="s">
        <v>22656</v>
      </c>
      <c r="F7347" s="24" t="s">
        <v>22657</v>
      </c>
      <c r="G7347" s="25">
        <v>4</v>
      </c>
      <c r="H7347" s="29"/>
      <c r="I7347" s="30"/>
    </row>
    <row r="7348" spans="1:9" ht="15.75" thickBot="1" x14ac:dyDescent="0.3">
      <c r="A7348" s="43" t="s">
        <v>15251</v>
      </c>
      <c r="B7348" s="21" t="s">
        <v>15252</v>
      </c>
      <c r="C7348" s="21" t="s">
        <v>22682</v>
      </c>
      <c r="D7348" s="22">
        <v>46034</v>
      </c>
      <c r="E7348" s="23" t="s">
        <v>22658</v>
      </c>
      <c r="F7348" s="24" t="s">
        <v>22657</v>
      </c>
      <c r="G7348" s="25">
        <v>4</v>
      </c>
      <c r="H7348" s="26"/>
      <c r="I7348" s="27"/>
    </row>
    <row r="7349" spans="1:9" ht="15.75" thickBot="1" x14ac:dyDescent="0.3">
      <c r="A7349" s="43" t="s">
        <v>15253</v>
      </c>
      <c r="B7349" s="21" t="s">
        <v>15254</v>
      </c>
      <c r="C7349" s="21" t="s">
        <v>22682</v>
      </c>
      <c r="D7349" s="22">
        <v>46034</v>
      </c>
      <c r="E7349" s="23" t="s">
        <v>22658</v>
      </c>
      <c r="F7349" s="24" t="s">
        <v>22657</v>
      </c>
      <c r="G7349" s="25">
        <v>4</v>
      </c>
      <c r="H7349" s="29"/>
      <c r="I7349" s="30"/>
    </row>
    <row r="7350" spans="1:9" ht="15.75" thickBot="1" x14ac:dyDescent="0.3">
      <c r="A7350" s="43" t="s">
        <v>15255</v>
      </c>
      <c r="B7350" s="21" t="s">
        <v>15256</v>
      </c>
      <c r="C7350" s="21" t="s">
        <v>22682</v>
      </c>
      <c r="D7350" s="22">
        <v>46034</v>
      </c>
      <c r="E7350" s="23" t="s">
        <v>22658</v>
      </c>
      <c r="F7350" s="24" t="s">
        <v>22657</v>
      </c>
      <c r="G7350" s="25">
        <v>4</v>
      </c>
      <c r="H7350" s="26"/>
      <c r="I7350" s="27"/>
    </row>
    <row r="7351" spans="1:9" ht="15.75" thickBot="1" x14ac:dyDescent="0.3">
      <c r="A7351" s="43" t="s">
        <v>15257</v>
      </c>
      <c r="B7351" s="21" t="s">
        <v>15258</v>
      </c>
      <c r="C7351" s="21" t="s">
        <v>22682</v>
      </c>
      <c r="D7351" s="22">
        <v>46034</v>
      </c>
      <c r="E7351" s="23" t="s">
        <v>22658</v>
      </c>
      <c r="F7351" s="24" t="s">
        <v>22657</v>
      </c>
      <c r="G7351" s="25">
        <v>4</v>
      </c>
      <c r="H7351" s="29"/>
      <c r="I7351" s="30"/>
    </row>
    <row r="7352" spans="1:9" ht="15.75" thickBot="1" x14ac:dyDescent="0.3">
      <c r="A7352" s="43" t="s">
        <v>15259</v>
      </c>
      <c r="B7352" s="21" t="s">
        <v>15260</v>
      </c>
      <c r="C7352" s="21" t="s">
        <v>22682</v>
      </c>
      <c r="D7352" s="22">
        <v>46034</v>
      </c>
      <c r="E7352" s="23" t="s">
        <v>22658</v>
      </c>
      <c r="F7352" s="24" t="s">
        <v>22657</v>
      </c>
      <c r="G7352" s="25">
        <v>4</v>
      </c>
      <c r="H7352" s="26"/>
      <c r="I7352" s="27"/>
    </row>
    <row r="7353" spans="1:9" ht="15.75" thickBot="1" x14ac:dyDescent="0.3">
      <c r="A7353" s="43" t="s">
        <v>15261</v>
      </c>
      <c r="B7353" s="21" t="s">
        <v>15262</v>
      </c>
      <c r="C7353" s="21" t="s">
        <v>22682</v>
      </c>
      <c r="D7353" s="22">
        <v>46034</v>
      </c>
      <c r="E7353" s="23" t="s">
        <v>22658</v>
      </c>
      <c r="F7353" s="24" t="s">
        <v>22657</v>
      </c>
      <c r="G7353" s="25">
        <v>4</v>
      </c>
      <c r="H7353" s="29"/>
      <c r="I7353" s="30"/>
    </row>
    <row r="7354" spans="1:9" ht="15.75" thickBot="1" x14ac:dyDescent="0.3">
      <c r="A7354" s="43" t="s">
        <v>15263</v>
      </c>
      <c r="B7354" s="21" t="s">
        <v>15264</v>
      </c>
      <c r="C7354" s="21" t="s">
        <v>22682</v>
      </c>
      <c r="D7354" s="22">
        <v>46034</v>
      </c>
      <c r="E7354" s="23" t="s">
        <v>22656</v>
      </c>
      <c r="F7354" s="24" t="s">
        <v>22657</v>
      </c>
      <c r="G7354" s="25">
        <v>4</v>
      </c>
      <c r="H7354" s="26"/>
      <c r="I7354" s="27"/>
    </row>
    <row r="7355" spans="1:9" ht="15.75" thickBot="1" x14ac:dyDescent="0.3">
      <c r="A7355" s="43" t="s">
        <v>15265</v>
      </c>
      <c r="B7355" s="21" t="s">
        <v>15266</v>
      </c>
      <c r="C7355" s="21" t="s">
        <v>22682</v>
      </c>
      <c r="D7355" s="22">
        <v>46034</v>
      </c>
      <c r="E7355" s="23" t="s">
        <v>22656</v>
      </c>
      <c r="F7355" s="24" t="s">
        <v>22657</v>
      </c>
      <c r="G7355" s="25">
        <v>4</v>
      </c>
      <c r="H7355" s="29"/>
      <c r="I7355" s="30"/>
    </row>
    <row r="7356" spans="1:9" ht="15.75" thickBot="1" x14ac:dyDescent="0.3">
      <c r="A7356" s="43" t="s">
        <v>15267</v>
      </c>
      <c r="B7356" s="21" t="s">
        <v>15268</v>
      </c>
      <c r="C7356" s="21" t="s">
        <v>22682</v>
      </c>
      <c r="D7356" s="22">
        <v>46034</v>
      </c>
      <c r="E7356" s="23" t="s">
        <v>22658</v>
      </c>
      <c r="F7356" s="24" t="s">
        <v>22657</v>
      </c>
      <c r="G7356" s="25">
        <v>4</v>
      </c>
      <c r="H7356" s="26"/>
      <c r="I7356" s="27"/>
    </row>
    <row r="7357" spans="1:9" ht="15.75" thickBot="1" x14ac:dyDescent="0.3">
      <c r="A7357" s="43" t="s">
        <v>15269</v>
      </c>
      <c r="B7357" s="21" t="s">
        <v>15270</v>
      </c>
      <c r="C7357" s="21" t="s">
        <v>22682</v>
      </c>
      <c r="D7357" s="22">
        <v>46034</v>
      </c>
      <c r="E7357" s="23" t="s">
        <v>22658</v>
      </c>
      <c r="F7357" s="24" t="s">
        <v>22657</v>
      </c>
      <c r="G7357" s="25">
        <v>4</v>
      </c>
      <c r="H7357" s="29"/>
      <c r="I7357" s="30"/>
    </row>
    <row r="7358" spans="1:9" ht="15.75" thickBot="1" x14ac:dyDescent="0.3">
      <c r="A7358" s="43" t="s">
        <v>15271</v>
      </c>
      <c r="B7358" s="21" t="s">
        <v>15272</v>
      </c>
      <c r="C7358" s="21" t="s">
        <v>22682</v>
      </c>
      <c r="D7358" s="22">
        <v>46034</v>
      </c>
      <c r="E7358" s="23" t="s">
        <v>22658</v>
      </c>
      <c r="F7358" s="24" t="s">
        <v>22657</v>
      </c>
      <c r="G7358" s="25">
        <v>4</v>
      </c>
      <c r="H7358" s="26"/>
      <c r="I7358" s="27"/>
    </row>
    <row r="7359" spans="1:9" ht="15.75" thickBot="1" x14ac:dyDescent="0.3">
      <c r="A7359" s="43" t="s">
        <v>15273</v>
      </c>
      <c r="B7359" s="21" t="s">
        <v>15274</v>
      </c>
      <c r="C7359" s="21" t="s">
        <v>22682</v>
      </c>
      <c r="D7359" s="22">
        <v>46034</v>
      </c>
      <c r="E7359" s="23" t="s">
        <v>22658</v>
      </c>
      <c r="F7359" s="24" t="s">
        <v>22657</v>
      </c>
      <c r="G7359" s="25">
        <v>4</v>
      </c>
      <c r="H7359" s="29"/>
      <c r="I7359" s="30"/>
    </row>
    <row r="7360" spans="1:9" ht="15.75" thickBot="1" x14ac:dyDescent="0.3">
      <c r="A7360" s="43" t="s">
        <v>15275</v>
      </c>
      <c r="B7360" s="21" t="s">
        <v>15276</v>
      </c>
      <c r="C7360" s="21" t="s">
        <v>22682</v>
      </c>
      <c r="D7360" s="22">
        <v>46034</v>
      </c>
      <c r="E7360" s="23" t="s">
        <v>22658</v>
      </c>
      <c r="F7360" s="24" t="s">
        <v>22657</v>
      </c>
      <c r="G7360" s="25">
        <v>4</v>
      </c>
      <c r="H7360" s="26"/>
      <c r="I7360" s="27"/>
    </row>
    <row r="7361" spans="1:9" ht="15.75" thickBot="1" x14ac:dyDescent="0.3">
      <c r="A7361" s="43" t="s">
        <v>15277</v>
      </c>
      <c r="B7361" s="21" t="s">
        <v>15278</v>
      </c>
      <c r="C7361" s="21" t="s">
        <v>22682</v>
      </c>
      <c r="D7361" s="22">
        <v>46034</v>
      </c>
      <c r="E7361" s="23" t="s">
        <v>22658</v>
      </c>
      <c r="F7361" s="24" t="s">
        <v>22657</v>
      </c>
      <c r="G7361" s="25">
        <v>4</v>
      </c>
      <c r="H7361" s="29"/>
      <c r="I7361" s="30"/>
    </row>
    <row r="7362" spans="1:9" ht="15.75" thickBot="1" x14ac:dyDescent="0.3">
      <c r="A7362" s="43" t="s">
        <v>15279</v>
      </c>
      <c r="B7362" s="21" t="s">
        <v>15280</v>
      </c>
      <c r="C7362" s="21" t="s">
        <v>22682</v>
      </c>
      <c r="D7362" s="22">
        <v>46034</v>
      </c>
      <c r="E7362" s="23" t="s">
        <v>22658</v>
      </c>
      <c r="F7362" s="24" t="s">
        <v>22657</v>
      </c>
      <c r="G7362" s="25">
        <v>4</v>
      </c>
      <c r="H7362" s="26"/>
      <c r="I7362" s="27"/>
    </row>
    <row r="7363" spans="1:9" ht="15.75" thickBot="1" x14ac:dyDescent="0.3">
      <c r="A7363" s="43" t="s">
        <v>15281</v>
      </c>
      <c r="B7363" s="21" t="s">
        <v>15282</v>
      </c>
      <c r="C7363" s="21" t="s">
        <v>22682</v>
      </c>
      <c r="D7363" s="22">
        <v>46034</v>
      </c>
      <c r="E7363" s="23" t="s">
        <v>22658</v>
      </c>
      <c r="F7363" s="24" t="s">
        <v>22657</v>
      </c>
      <c r="G7363" s="25">
        <v>4</v>
      </c>
      <c r="H7363" s="29"/>
      <c r="I7363" s="30"/>
    </row>
    <row r="7364" spans="1:9" ht="15.75" thickBot="1" x14ac:dyDescent="0.3">
      <c r="A7364" s="43" t="s">
        <v>15283</v>
      </c>
      <c r="B7364" s="21" t="s">
        <v>15284</v>
      </c>
      <c r="C7364" s="21" t="s">
        <v>22682</v>
      </c>
      <c r="D7364" s="22">
        <v>46034</v>
      </c>
      <c r="E7364" s="23" t="s">
        <v>22658</v>
      </c>
      <c r="F7364" s="24" t="s">
        <v>22657</v>
      </c>
      <c r="G7364" s="25">
        <v>4</v>
      </c>
      <c r="H7364" s="26"/>
      <c r="I7364" s="27"/>
    </row>
    <row r="7365" spans="1:9" ht="15.75" thickBot="1" x14ac:dyDescent="0.3">
      <c r="A7365" s="43" t="s">
        <v>15285</v>
      </c>
      <c r="B7365" s="21" t="s">
        <v>15286</v>
      </c>
      <c r="C7365" s="21" t="s">
        <v>22682</v>
      </c>
      <c r="D7365" s="22">
        <v>46034</v>
      </c>
      <c r="E7365" s="23" t="s">
        <v>22658</v>
      </c>
      <c r="F7365" s="24" t="s">
        <v>22657</v>
      </c>
      <c r="G7365" s="25">
        <v>4</v>
      </c>
      <c r="H7365" s="29"/>
      <c r="I7365" s="30"/>
    </row>
    <row r="7366" spans="1:9" ht="15.75" thickBot="1" x14ac:dyDescent="0.3">
      <c r="A7366" s="43" t="s">
        <v>15287</v>
      </c>
      <c r="B7366" s="21" t="s">
        <v>15288</v>
      </c>
      <c r="C7366" s="21" t="s">
        <v>22682</v>
      </c>
      <c r="D7366" s="22">
        <v>46034</v>
      </c>
      <c r="E7366" s="23" t="s">
        <v>22658</v>
      </c>
      <c r="F7366" s="24" t="s">
        <v>22657</v>
      </c>
      <c r="G7366" s="25">
        <v>4</v>
      </c>
      <c r="H7366" s="26"/>
      <c r="I7366" s="27"/>
    </row>
    <row r="7367" spans="1:9" ht="15.75" thickBot="1" x14ac:dyDescent="0.3">
      <c r="A7367" s="43" t="s">
        <v>15289</v>
      </c>
      <c r="B7367" s="21" t="s">
        <v>15290</v>
      </c>
      <c r="C7367" s="21" t="s">
        <v>22682</v>
      </c>
      <c r="D7367" s="22">
        <v>46034</v>
      </c>
      <c r="E7367" s="23" t="s">
        <v>22658</v>
      </c>
      <c r="F7367" s="24" t="s">
        <v>22657</v>
      </c>
      <c r="G7367" s="25">
        <v>4</v>
      </c>
      <c r="H7367" s="29"/>
      <c r="I7367" s="30"/>
    </row>
    <row r="7368" spans="1:9" ht="15.75" thickBot="1" x14ac:dyDescent="0.3">
      <c r="A7368" s="43" t="s">
        <v>15291</v>
      </c>
      <c r="B7368" s="21" t="s">
        <v>15292</v>
      </c>
      <c r="C7368" s="21" t="s">
        <v>22682</v>
      </c>
      <c r="D7368" s="22">
        <v>46034</v>
      </c>
      <c r="E7368" s="23" t="s">
        <v>22658</v>
      </c>
      <c r="F7368" s="24" t="s">
        <v>22657</v>
      </c>
      <c r="G7368" s="25">
        <v>4</v>
      </c>
      <c r="H7368" s="26"/>
      <c r="I7368" s="27"/>
    </row>
    <row r="7369" spans="1:9" ht="15.75" thickBot="1" x14ac:dyDescent="0.3">
      <c r="A7369" s="43" t="s">
        <v>15293</v>
      </c>
      <c r="B7369" s="21" t="s">
        <v>15294</v>
      </c>
      <c r="C7369" s="21" t="s">
        <v>22682</v>
      </c>
      <c r="D7369" s="22">
        <v>46034</v>
      </c>
      <c r="E7369" s="23" t="s">
        <v>22658</v>
      </c>
      <c r="F7369" s="24" t="s">
        <v>22657</v>
      </c>
      <c r="G7369" s="25">
        <v>4</v>
      </c>
      <c r="H7369" s="29"/>
      <c r="I7369" s="30"/>
    </row>
    <row r="7370" spans="1:9" ht="15.75" thickBot="1" x14ac:dyDescent="0.3">
      <c r="A7370" s="43" t="s">
        <v>15295</v>
      </c>
      <c r="B7370" s="21" t="s">
        <v>15296</v>
      </c>
      <c r="C7370" s="21" t="s">
        <v>22682</v>
      </c>
      <c r="D7370" s="22">
        <v>46034</v>
      </c>
      <c r="E7370" s="23" t="s">
        <v>22658</v>
      </c>
      <c r="F7370" s="24" t="s">
        <v>22657</v>
      </c>
      <c r="G7370" s="25">
        <v>4</v>
      </c>
      <c r="H7370" s="26"/>
      <c r="I7370" s="27"/>
    </row>
    <row r="7371" spans="1:9" ht="15.75" thickBot="1" x14ac:dyDescent="0.3">
      <c r="A7371" s="43" t="s">
        <v>15297</v>
      </c>
      <c r="B7371" s="21" t="s">
        <v>15298</v>
      </c>
      <c r="C7371" s="21" t="s">
        <v>22682</v>
      </c>
      <c r="D7371" s="22">
        <v>46034</v>
      </c>
      <c r="E7371" s="23" t="s">
        <v>22658</v>
      </c>
      <c r="F7371" s="24" t="s">
        <v>22657</v>
      </c>
      <c r="G7371" s="25">
        <v>4</v>
      </c>
      <c r="H7371" s="29"/>
      <c r="I7371" s="30"/>
    </row>
    <row r="7372" spans="1:9" ht="15.75" thickBot="1" x14ac:dyDescent="0.3">
      <c r="A7372" s="43" t="s">
        <v>15299</v>
      </c>
      <c r="B7372" s="21" t="s">
        <v>15300</v>
      </c>
      <c r="C7372" s="21" t="s">
        <v>22682</v>
      </c>
      <c r="D7372" s="22">
        <v>46034</v>
      </c>
      <c r="E7372" s="23" t="s">
        <v>22658</v>
      </c>
      <c r="F7372" s="24" t="s">
        <v>22657</v>
      </c>
      <c r="G7372" s="25">
        <v>4</v>
      </c>
      <c r="H7372" s="26"/>
      <c r="I7372" s="27"/>
    </row>
    <row r="7373" spans="1:9" ht="15.75" thickBot="1" x14ac:dyDescent="0.3">
      <c r="A7373" s="43" t="s">
        <v>15301</v>
      </c>
      <c r="B7373" s="21" t="s">
        <v>15302</v>
      </c>
      <c r="C7373" s="21" t="s">
        <v>22682</v>
      </c>
      <c r="D7373" s="22">
        <v>46034</v>
      </c>
      <c r="E7373" s="23" t="s">
        <v>22658</v>
      </c>
      <c r="F7373" s="24" t="s">
        <v>22657</v>
      </c>
      <c r="G7373" s="25">
        <v>4</v>
      </c>
      <c r="H7373" s="29"/>
      <c r="I7373" s="30"/>
    </row>
    <row r="7374" spans="1:9" ht="15.75" thickBot="1" x14ac:dyDescent="0.3">
      <c r="A7374" s="43" t="s">
        <v>15303</v>
      </c>
      <c r="B7374" s="21" t="s">
        <v>15304</v>
      </c>
      <c r="C7374" s="21" t="s">
        <v>22682</v>
      </c>
      <c r="D7374" s="22">
        <v>46034</v>
      </c>
      <c r="E7374" s="23" t="s">
        <v>22658</v>
      </c>
      <c r="F7374" s="24" t="s">
        <v>22657</v>
      </c>
      <c r="G7374" s="25">
        <v>4</v>
      </c>
      <c r="H7374" s="26"/>
      <c r="I7374" s="27"/>
    </row>
    <row r="7375" spans="1:9" ht="15.75" thickBot="1" x14ac:dyDescent="0.3">
      <c r="A7375" s="43" t="s">
        <v>15305</v>
      </c>
      <c r="B7375" s="21" t="s">
        <v>15306</v>
      </c>
      <c r="C7375" s="21" t="s">
        <v>22682</v>
      </c>
      <c r="D7375" s="22">
        <v>46034</v>
      </c>
      <c r="E7375" s="23" t="s">
        <v>22658</v>
      </c>
      <c r="F7375" s="24" t="s">
        <v>22657</v>
      </c>
      <c r="G7375" s="25">
        <v>4</v>
      </c>
      <c r="H7375" s="29"/>
      <c r="I7375" s="30"/>
    </row>
    <row r="7376" spans="1:9" ht="15.75" thickBot="1" x14ac:dyDescent="0.3">
      <c r="A7376" s="43" t="s">
        <v>15307</v>
      </c>
      <c r="B7376" s="21" t="s">
        <v>15308</v>
      </c>
      <c r="C7376" s="21" t="s">
        <v>22682</v>
      </c>
      <c r="D7376" s="22">
        <v>46034</v>
      </c>
      <c r="E7376" s="23" t="s">
        <v>22656</v>
      </c>
      <c r="F7376" s="24" t="s">
        <v>22657</v>
      </c>
      <c r="G7376" s="25">
        <v>4</v>
      </c>
      <c r="H7376" s="26"/>
      <c r="I7376" s="27"/>
    </row>
    <row r="7377" spans="1:9" ht="15.75" thickBot="1" x14ac:dyDescent="0.3">
      <c r="A7377" s="43" t="s">
        <v>15309</v>
      </c>
      <c r="B7377" s="21" t="s">
        <v>15310</v>
      </c>
      <c r="C7377" s="21" t="s">
        <v>22682</v>
      </c>
      <c r="D7377" s="22">
        <v>46034</v>
      </c>
      <c r="E7377" s="23" t="s">
        <v>22658</v>
      </c>
      <c r="F7377" s="24" t="s">
        <v>22657</v>
      </c>
      <c r="G7377" s="25">
        <v>4</v>
      </c>
      <c r="H7377" s="29"/>
      <c r="I7377" s="30"/>
    </row>
    <row r="7378" spans="1:9" ht="15.75" thickBot="1" x14ac:dyDescent="0.3">
      <c r="A7378" s="43" t="s">
        <v>15311</v>
      </c>
      <c r="B7378" s="21" t="s">
        <v>15312</v>
      </c>
      <c r="C7378" s="21" t="s">
        <v>22682</v>
      </c>
      <c r="D7378" s="22">
        <v>46034</v>
      </c>
      <c r="E7378" s="23" t="s">
        <v>22658</v>
      </c>
      <c r="F7378" s="24" t="s">
        <v>22657</v>
      </c>
      <c r="G7378" s="25">
        <v>4</v>
      </c>
      <c r="H7378" s="26"/>
      <c r="I7378" s="27"/>
    </row>
    <row r="7379" spans="1:9" ht="15.75" thickBot="1" x14ac:dyDescent="0.3">
      <c r="A7379" s="43" t="s">
        <v>15313</v>
      </c>
      <c r="B7379" s="21" t="s">
        <v>15314</v>
      </c>
      <c r="C7379" s="21" t="s">
        <v>22682</v>
      </c>
      <c r="D7379" s="22">
        <v>46034</v>
      </c>
      <c r="E7379" s="23" t="s">
        <v>22658</v>
      </c>
      <c r="F7379" s="24" t="s">
        <v>22657</v>
      </c>
      <c r="G7379" s="25">
        <v>4</v>
      </c>
      <c r="H7379" s="29"/>
      <c r="I7379" s="30"/>
    </row>
    <row r="7380" spans="1:9" ht="15.75" thickBot="1" x14ac:dyDescent="0.3">
      <c r="A7380" s="43" t="s">
        <v>15315</v>
      </c>
      <c r="B7380" s="21" t="s">
        <v>15316</v>
      </c>
      <c r="C7380" s="21" t="s">
        <v>22682</v>
      </c>
      <c r="D7380" s="22">
        <v>46034</v>
      </c>
      <c r="E7380" s="23" t="s">
        <v>22658</v>
      </c>
      <c r="F7380" s="24" t="s">
        <v>22657</v>
      </c>
      <c r="G7380" s="25">
        <v>4</v>
      </c>
      <c r="H7380" s="26"/>
      <c r="I7380" s="27"/>
    </row>
    <row r="7381" spans="1:9" ht="15.75" thickBot="1" x14ac:dyDescent="0.3">
      <c r="A7381" s="43" t="s">
        <v>15317</v>
      </c>
      <c r="B7381" s="21" t="s">
        <v>15318</v>
      </c>
      <c r="C7381" s="21" t="s">
        <v>22682</v>
      </c>
      <c r="D7381" s="22">
        <v>46034</v>
      </c>
      <c r="E7381" s="23" t="s">
        <v>22658</v>
      </c>
      <c r="F7381" s="24" t="s">
        <v>22657</v>
      </c>
      <c r="G7381" s="25">
        <v>4</v>
      </c>
      <c r="H7381" s="29"/>
      <c r="I7381" s="30"/>
    </row>
    <row r="7382" spans="1:9" ht="15.75" thickBot="1" x14ac:dyDescent="0.3">
      <c r="A7382" s="43" t="s">
        <v>15319</v>
      </c>
      <c r="B7382" s="21" t="s">
        <v>15320</v>
      </c>
      <c r="C7382" s="21" t="s">
        <v>22682</v>
      </c>
      <c r="D7382" s="22">
        <v>46034</v>
      </c>
      <c r="E7382" s="23" t="s">
        <v>22658</v>
      </c>
      <c r="F7382" s="24" t="s">
        <v>22657</v>
      </c>
      <c r="G7382" s="25">
        <v>4</v>
      </c>
      <c r="H7382" s="26"/>
      <c r="I7382" s="27"/>
    </row>
    <row r="7383" spans="1:9" ht="15.75" thickBot="1" x14ac:dyDescent="0.3">
      <c r="A7383" s="43" t="s">
        <v>15321</v>
      </c>
      <c r="B7383" s="21" t="s">
        <v>15322</v>
      </c>
      <c r="C7383" s="21" t="s">
        <v>22682</v>
      </c>
      <c r="D7383" s="22">
        <v>46034</v>
      </c>
      <c r="E7383" s="23" t="s">
        <v>22656</v>
      </c>
      <c r="F7383" s="24" t="s">
        <v>22657</v>
      </c>
      <c r="G7383" s="25">
        <v>4</v>
      </c>
      <c r="H7383" s="29"/>
      <c r="I7383" s="30"/>
    </row>
    <row r="7384" spans="1:9" ht="15.75" thickBot="1" x14ac:dyDescent="0.3">
      <c r="A7384" s="43" t="s">
        <v>15323</v>
      </c>
      <c r="B7384" s="21" t="s">
        <v>15324</v>
      </c>
      <c r="C7384" s="21" t="s">
        <v>22682</v>
      </c>
      <c r="D7384" s="22">
        <v>46034</v>
      </c>
      <c r="E7384" s="23" t="s">
        <v>22658</v>
      </c>
      <c r="F7384" s="24" t="s">
        <v>22657</v>
      </c>
      <c r="G7384" s="25">
        <v>4</v>
      </c>
      <c r="H7384" s="26"/>
      <c r="I7384" s="27"/>
    </row>
    <row r="7385" spans="1:9" ht="15.75" thickBot="1" x14ac:dyDescent="0.3">
      <c r="A7385" s="43" t="s">
        <v>15325</v>
      </c>
      <c r="B7385" s="21" t="s">
        <v>15326</v>
      </c>
      <c r="C7385" s="21" t="s">
        <v>22682</v>
      </c>
      <c r="D7385" s="22">
        <v>46034</v>
      </c>
      <c r="E7385" s="23" t="s">
        <v>22658</v>
      </c>
      <c r="F7385" s="24" t="s">
        <v>22657</v>
      </c>
      <c r="G7385" s="25">
        <v>4</v>
      </c>
      <c r="H7385" s="29"/>
      <c r="I7385" s="30"/>
    </row>
    <row r="7386" spans="1:9" ht="15.75" thickBot="1" x14ac:dyDescent="0.3">
      <c r="A7386" s="43" t="s">
        <v>15327</v>
      </c>
      <c r="B7386" s="21" t="s">
        <v>15328</v>
      </c>
      <c r="C7386" s="21" t="s">
        <v>22682</v>
      </c>
      <c r="D7386" s="22">
        <v>46034</v>
      </c>
      <c r="E7386" s="23" t="s">
        <v>22656</v>
      </c>
      <c r="F7386" s="24" t="s">
        <v>22657</v>
      </c>
      <c r="G7386" s="25">
        <v>4</v>
      </c>
      <c r="H7386" s="26"/>
      <c r="I7386" s="27"/>
    </row>
    <row r="7387" spans="1:9" ht="15.75" thickBot="1" x14ac:dyDescent="0.3">
      <c r="A7387" s="43" t="s">
        <v>15329</v>
      </c>
      <c r="B7387" s="21" t="s">
        <v>15330</v>
      </c>
      <c r="C7387" s="21" t="s">
        <v>22682</v>
      </c>
      <c r="D7387" s="22">
        <v>46034</v>
      </c>
      <c r="E7387" s="23" t="s">
        <v>22658</v>
      </c>
      <c r="F7387" s="24" t="s">
        <v>22657</v>
      </c>
      <c r="G7387" s="25">
        <v>4</v>
      </c>
      <c r="H7387" s="29"/>
      <c r="I7387" s="30"/>
    </row>
    <row r="7388" spans="1:9" ht="15.75" thickBot="1" x14ac:dyDescent="0.3">
      <c r="A7388" s="43" t="s">
        <v>15331</v>
      </c>
      <c r="B7388" s="21" t="s">
        <v>15332</v>
      </c>
      <c r="C7388" s="21" t="s">
        <v>22682</v>
      </c>
      <c r="D7388" s="22">
        <v>46034</v>
      </c>
      <c r="E7388" s="23" t="s">
        <v>22658</v>
      </c>
      <c r="F7388" s="24" t="s">
        <v>22657</v>
      </c>
      <c r="G7388" s="25">
        <v>4</v>
      </c>
      <c r="H7388" s="26"/>
      <c r="I7388" s="27"/>
    </row>
    <row r="7389" spans="1:9" ht="15.75" thickBot="1" x14ac:dyDescent="0.3">
      <c r="A7389" s="43" t="s">
        <v>15333</v>
      </c>
      <c r="B7389" s="21" t="s">
        <v>15334</v>
      </c>
      <c r="C7389" s="21" t="s">
        <v>22682</v>
      </c>
      <c r="D7389" s="22">
        <v>46034</v>
      </c>
      <c r="E7389" s="23" t="s">
        <v>22658</v>
      </c>
      <c r="F7389" s="24" t="s">
        <v>22657</v>
      </c>
      <c r="G7389" s="25">
        <v>4</v>
      </c>
      <c r="H7389" s="29"/>
      <c r="I7389" s="30"/>
    </row>
    <row r="7390" spans="1:9" ht="15.75" thickBot="1" x14ac:dyDescent="0.3">
      <c r="A7390" s="43" t="s">
        <v>15335</v>
      </c>
      <c r="B7390" s="21" t="s">
        <v>15336</v>
      </c>
      <c r="C7390" s="21" t="s">
        <v>22682</v>
      </c>
      <c r="D7390" s="22">
        <v>46034</v>
      </c>
      <c r="E7390" s="23" t="s">
        <v>22658</v>
      </c>
      <c r="F7390" s="24" t="s">
        <v>22657</v>
      </c>
      <c r="G7390" s="25">
        <v>4</v>
      </c>
      <c r="H7390" s="26"/>
      <c r="I7390" s="27"/>
    </row>
    <row r="7391" spans="1:9" ht="15.75" thickBot="1" x14ac:dyDescent="0.3">
      <c r="A7391" s="43" t="s">
        <v>15337</v>
      </c>
      <c r="B7391" s="21" t="s">
        <v>15338</v>
      </c>
      <c r="C7391" s="21" t="s">
        <v>22682</v>
      </c>
      <c r="D7391" s="22">
        <v>46034</v>
      </c>
      <c r="E7391" s="23" t="s">
        <v>22656</v>
      </c>
      <c r="F7391" s="24" t="s">
        <v>22657</v>
      </c>
      <c r="G7391" s="25">
        <v>4</v>
      </c>
      <c r="H7391" s="29"/>
      <c r="I7391" s="30"/>
    </row>
    <row r="7392" spans="1:9" ht="15.75" thickBot="1" x14ac:dyDescent="0.3">
      <c r="A7392" s="43" t="s">
        <v>15339</v>
      </c>
      <c r="B7392" s="21" t="s">
        <v>15340</v>
      </c>
      <c r="C7392" s="21" t="s">
        <v>22682</v>
      </c>
      <c r="D7392" s="22">
        <v>46034</v>
      </c>
      <c r="E7392" s="23" t="s">
        <v>22656</v>
      </c>
      <c r="F7392" s="24" t="s">
        <v>22657</v>
      </c>
      <c r="G7392" s="25">
        <v>4</v>
      </c>
      <c r="H7392" s="26"/>
      <c r="I7392" s="27"/>
    </row>
    <row r="7393" spans="1:9" ht="15.75" thickBot="1" x14ac:dyDescent="0.3">
      <c r="A7393" s="43" t="s">
        <v>15341</v>
      </c>
      <c r="B7393" s="21" t="s">
        <v>15342</v>
      </c>
      <c r="C7393" s="21" t="s">
        <v>22663</v>
      </c>
      <c r="D7393" s="31">
        <v>1</v>
      </c>
      <c r="E7393" s="23" t="s">
        <v>22658</v>
      </c>
      <c r="F7393" s="24" t="s">
        <v>22657</v>
      </c>
      <c r="G7393" s="25">
        <v>2</v>
      </c>
      <c r="H7393" s="29"/>
      <c r="I7393" s="30"/>
    </row>
    <row r="7394" spans="1:9" ht="15.75" thickBot="1" x14ac:dyDescent="0.3">
      <c r="A7394" s="43" t="s">
        <v>15343</v>
      </c>
      <c r="B7394" s="21" t="s">
        <v>15344</v>
      </c>
      <c r="C7394" s="21" t="s">
        <v>22663</v>
      </c>
      <c r="D7394" s="31">
        <v>1</v>
      </c>
      <c r="E7394" s="23" t="s">
        <v>22658</v>
      </c>
      <c r="F7394" s="24" t="s">
        <v>22657</v>
      </c>
      <c r="G7394" s="25">
        <v>2</v>
      </c>
      <c r="H7394" s="26"/>
      <c r="I7394" s="27"/>
    </row>
    <row r="7395" spans="1:9" ht="15.75" thickBot="1" x14ac:dyDescent="0.3">
      <c r="A7395" s="43" t="s">
        <v>15345</v>
      </c>
      <c r="B7395" s="21" t="s">
        <v>15346</v>
      </c>
      <c r="C7395" s="21" t="s">
        <v>22663</v>
      </c>
      <c r="D7395" s="31">
        <v>1</v>
      </c>
      <c r="E7395" s="23" t="s">
        <v>22658</v>
      </c>
      <c r="F7395" s="24" t="s">
        <v>22657</v>
      </c>
      <c r="G7395" s="25">
        <v>2</v>
      </c>
      <c r="H7395" s="29"/>
      <c r="I7395" s="30"/>
    </row>
    <row r="7396" spans="1:9" ht="15.75" thickBot="1" x14ac:dyDescent="0.3">
      <c r="A7396" s="43" t="s">
        <v>15347</v>
      </c>
      <c r="B7396" s="21" t="s">
        <v>15348</v>
      </c>
      <c r="C7396" s="21" t="s">
        <v>22682</v>
      </c>
      <c r="D7396" s="22">
        <v>46034</v>
      </c>
      <c r="E7396" s="23" t="s">
        <v>22658</v>
      </c>
      <c r="F7396" s="24" t="s">
        <v>22657</v>
      </c>
      <c r="G7396" s="25">
        <v>4</v>
      </c>
      <c r="H7396" s="26"/>
      <c r="I7396" s="27"/>
    </row>
    <row r="7397" spans="1:9" ht="15.75" thickBot="1" x14ac:dyDescent="0.3">
      <c r="A7397" s="43" t="s">
        <v>15349</v>
      </c>
      <c r="B7397" s="21" t="s">
        <v>15350</v>
      </c>
      <c r="C7397" s="21" t="s">
        <v>22682</v>
      </c>
      <c r="D7397" s="22">
        <v>46034</v>
      </c>
      <c r="E7397" s="23" t="s">
        <v>22658</v>
      </c>
      <c r="F7397" s="24" t="s">
        <v>22657</v>
      </c>
      <c r="G7397" s="25">
        <v>4</v>
      </c>
      <c r="H7397" s="29"/>
      <c r="I7397" s="30"/>
    </row>
    <row r="7398" spans="1:9" ht="15.75" thickBot="1" x14ac:dyDescent="0.3">
      <c r="A7398" s="43" t="s">
        <v>15351</v>
      </c>
      <c r="B7398" s="21" t="s">
        <v>15352</v>
      </c>
      <c r="C7398" s="21" t="s">
        <v>22682</v>
      </c>
      <c r="D7398" s="22">
        <v>46034</v>
      </c>
      <c r="E7398" s="23" t="s">
        <v>22658</v>
      </c>
      <c r="F7398" s="24" t="s">
        <v>22657</v>
      </c>
      <c r="G7398" s="25">
        <v>4</v>
      </c>
      <c r="H7398" s="26"/>
      <c r="I7398" s="27"/>
    </row>
    <row r="7399" spans="1:9" ht="15.75" thickBot="1" x14ac:dyDescent="0.3">
      <c r="A7399" s="43" t="s">
        <v>15353</v>
      </c>
      <c r="B7399" s="21" t="s">
        <v>15354</v>
      </c>
      <c r="C7399" s="21" t="s">
        <v>22682</v>
      </c>
      <c r="D7399" s="22">
        <v>46034</v>
      </c>
      <c r="E7399" s="23" t="s">
        <v>22656</v>
      </c>
      <c r="F7399" s="24" t="s">
        <v>22657</v>
      </c>
      <c r="G7399" s="25">
        <v>4</v>
      </c>
      <c r="H7399" s="29"/>
      <c r="I7399" s="30"/>
    </row>
    <row r="7400" spans="1:9" ht="15.75" thickBot="1" x14ac:dyDescent="0.3">
      <c r="A7400" s="43" t="s">
        <v>15355</v>
      </c>
      <c r="B7400" s="21" t="s">
        <v>15356</v>
      </c>
      <c r="C7400" s="21" t="s">
        <v>22682</v>
      </c>
      <c r="D7400" s="22">
        <v>46034</v>
      </c>
      <c r="E7400" s="23" t="s">
        <v>22656</v>
      </c>
      <c r="F7400" s="24" t="s">
        <v>22657</v>
      </c>
      <c r="G7400" s="25">
        <v>4</v>
      </c>
      <c r="H7400" s="26"/>
      <c r="I7400" s="27"/>
    </row>
    <row r="7401" spans="1:9" ht="15.75" thickBot="1" x14ac:dyDescent="0.3">
      <c r="A7401" s="43" t="s">
        <v>15357</v>
      </c>
      <c r="B7401" s="21" t="s">
        <v>15358</v>
      </c>
      <c r="C7401" s="21" t="s">
        <v>22682</v>
      </c>
      <c r="D7401" s="22">
        <v>46034</v>
      </c>
      <c r="E7401" s="23" t="s">
        <v>22658</v>
      </c>
      <c r="F7401" s="24" t="s">
        <v>22657</v>
      </c>
      <c r="G7401" s="25">
        <v>4</v>
      </c>
      <c r="H7401" s="29"/>
      <c r="I7401" s="30"/>
    </row>
    <row r="7402" spans="1:9" ht="15.75" thickBot="1" x14ac:dyDescent="0.3">
      <c r="A7402" s="43" t="s">
        <v>15359</v>
      </c>
      <c r="B7402" s="21" t="s">
        <v>15360</v>
      </c>
      <c r="C7402" s="21" t="s">
        <v>22682</v>
      </c>
      <c r="D7402" s="22">
        <v>46034</v>
      </c>
      <c r="E7402" s="23" t="s">
        <v>22658</v>
      </c>
      <c r="F7402" s="24" t="s">
        <v>22657</v>
      </c>
      <c r="G7402" s="25">
        <v>4</v>
      </c>
      <c r="H7402" s="26"/>
      <c r="I7402" s="27"/>
    </row>
    <row r="7403" spans="1:9" ht="15.75" thickBot="1" x14ac:dyDescent="0.3">
      <c r="A7403" s="43" t="s">
        <v>15361</v>
      </c>
      <c r="B7403" s="21" t="s">
        <v>15362</v>
      </c>
      <c r="C7403" s="21" t="s">
        <v>22682</v>
      </c>
      <c r="D7403" s="22">
        <v>46034</v>
      </c>
      <c r="E7403" s="23" t="s">
        <v>22656</v>
      </c>
      <c r="F7403" s="24" t="s">
        <v>22657</v>
      </c>
      <c r="G7403" s="25">
        <v>4</v>
      </c>
      <c r="H7403" s="29"/>
      <c r="I7403" s="30"/>
    </row>
    <row r="7404" spans="1:9" ht="15.75" thickBot="1" x14ac:dyDescent="0.3">
      <c r="A7404" s="43" t="s">
        <v>15363</v>
      </c>
      <c r="B7404" s="21" t="s">
        <v>15364</v>
      </c>
      <c r="C7404" s="21" t="s">
        <v>22682</v>
      </c>
      <c r="D7404" s="22">
        <v>46034</v>
      </c>
      <c r="E7404" s="23" t="s">
        <v>22656</v>
      </c>
      <c r="F7404" s="24" t="s">
        <v>22657</v>
      </c>
      <c r="G7404" s="25">
        <v>4</v>
      </c>
      <c r="H7404" s="26"/>
      <c r="I7404" s="27"/>
    </row>
    <row r="7405" spans="1:9" ht="15.75" thickBot="1" x14ac:dyDescent="0.3">
      <c r="A7405" s="43" t="s">
        <v>15365</v>
      </c>
      <c r="B7405" s="21" t="s">
        <v>15366</v>
      </c>
      <c r="C7405" s="21" t="s">
        <v>22667</v>
      </c>
      <c r="D7405" s="31" t="s">
        <v>22721</v>
      </c>
      <c r="E7405" s="23" t="s">
        <v>22656</v>
      </c>
      <c r="F7405" s="24" t="s">
        <v>22657</v>
      </c>
      <c r="G7405" s="25">
        <v>2</v>
      </c>
      <c r="H7405" s="29"/>
      <c r="I7405" s="30"/>
    </row>
    <row r="7406" spans="1:9" ht="15.75" thickBot="1" x14ac:dyDescent="0.3">
      <c r="A7406" s="43" t="s">
        <v>15367</v>
      </c>
      <c r="B7406" s="21" t="s">
        <v>15368</v>
      </c>
      <c r="C7406" s="21" t="s">
        <v>22667</v>
      </c>
      <c r="D7406" s="31" t="s">
        <v>22721</v>
      </c>
      <c r="E7406" s="23" t="s">
        <v>22656</v>
      </c>
      <c r="F7406" s="24" t="s">
        <v>22657</v>
      </c>
      <c r="G7406" s="25">
        <v>4</v>
      </c>
      <c r="H7406" s="26"/>
      <c r="I7406" s="27"/>
    </row>
    <row r="7407" spans="1:9" ht="15.75" thickBot="1" x14ac:dyDescent="0.3">
      <c r="A7407" s="43" t="s">
        <v>15369</v>
      </c>
      <c r="B7407" s="21" t="s">
        <v>15370</v>
      </c>
      <c r="C7407" s="21" t="s">
        <v>22847</v>
      </c>
      <c r="D7407" s="31" t="s">
        <v>22848</v>
      </c>
      <c r="E7407" s="23" t="s">
        <v>22661</v>
      </c>
      <c r="F7407" s="24" t="s">
        <v>22657</v>
      </c>
      <c r="G7407" s="25">
        <v>12</v>
      </c>
      <c r="H7407" s="32">
        <v>12</v>
      </c>
      <c r="I7407" s="33">
        <v>24</v>
      </c>
    </row>
    <row r="7408" spans="1:9" ht="15.75" thickBot="1" x14ac:dyDescent="0.3">
      <c r="A7408" s="43" t="s">
        <v>15371</v>
      </c>
      <c r="B7408" s="21" t="s">
        <v>15372</v>
      </c>
      <c r="C7408" s="21" t="s">
        <v>22847</v>
      </c>
      <c r="D7408" s="31" t="s">
        <v>22713</v>
      </c>
      <c r="E7408" s="23" t="s">
        <v>22661</v>
      </c>
      <c r="F7408" s="24" t="s">
        <v>22657</v>
      </c>
      <c r="G7408" s="25">
        <v>20</v>
      </c>
      <c r="H7408" s="26"/>
      <c r="I7408" s="27"/>
    </row>
    <row r="7409" spans="1:9" ht="15.75" thickBot="1" x14ac:dyDescent="0.3">
      <c r="A7409" s="43" t="s">
        <v>15373</v>
      </c>
      <c r="B7409" s="21" t="s">
        <v>15374</v>
      </c>
      <c r="C7409" s="21" t="s">
        <v>22667</v>
      </c>
      <c r="D7409" s="31" t="s">
        <v>22670</v>
      </c>
      <c r="E7409" s="23" t="s">
        <v>22656</v>
      </c>
      <c r="F7409" s="24" t="s">
        <v>22657</v>
      </c>
      <c r="G7409" s="25">
        <v>6</v>
      </c>
      <c r="H7409" s="29"/>
      <c r="I7409" s="30"/>
    </row>
    <row r="7410" spans="1:9" ht="15.75" thickBot="1" x14ac:dyDescent="0.3">
      <c r="A7410" s="43" t="s">
        <v>15375</v>
      </c>
      <c r="B7410" s="21" t="s">
        <v>15376</v>
      </c>
      <c r="C7410" s="21" t="s">
        <v>22655</v>
      </c>
      <c r="D7410" s="22">
        <v>46037</v>
      </c>
      <c r="E7410" s="23" t="s">
        <v>22658</v>
      </c>
      <c r="F7410" s="24" t="s">
        <v>22657</v>
      </c>
      <c r="G7410" s="25">
        <v>5</v>
      </c>
      <c r="H7410" s="26"/>
      <c r="I7410" s="27"/>
    </row>
    <row r="7411" spans="1:9" ht="15.75" thickBot="1" x14ac:dyDescent="0.3">
      <c r="A7411" s="43" t="s">
        <v>15377</v>
      </c>
      <c r="B7411" s="21" t="s">
        <v>15378</v>
      </c>
      <c r="C7411" s="21" t="s">
        <v>22667</v>
      </c>
      <c r="D7411" s="31" t="s">
        <v>22668</v>
      </c>
      <c r="E7411" s="23" t="s">
        <v>22661</v>
      </c>
      <c r="F7411" s="24" t="s">
        <v>22657</v>
      </c>
      <c r="G7411" s="25">
        <v>10</v>
      </c>
      <c r="H7411" s="29"/>
      <c r="I7411" s="30"/>
    </row>
    <row r="7412" spans="1:9" ht="15.75" thickBot="1" x14ac:dyDescent="0.3">
      <c r="A7412" s="43" t="s">
        <v>15379</v>
      </c>
      <c r="B7412" s="21" t="s">
        <v>15380</v>
      </c>
      <c r="C7412" s="21" t="s">
        <v>22667</v>
      </c>
      <c r="D7412" s="31" t="s">
        <v>22668</v>
      </c>
      <c r="E7412" s="23" t="s">
        <v>22661</v>
      </c>
      <c r="F7412" s="24" t="s">
        <v>22657</v>
      </c>
      <c r="G7412" s="25">
        <v>17</v>
      </c>
      <c r="H7412" s="26"/>
      <c r="I7412" s="27"/>
    </row>
    <row r="7413" spans="1:9" ht="15.75" thickBot="1" x14ac:dyDescent="0.3">
      <c r="A7413" s="43" t="s">
        <v>15381</v>
      </c>
      <c r="B7413" s="21" t="s">
        <v>15382</v>
      </c>
      <c r="C7413" s="21" t="s">
        <v>22667</v>
      </c>
      <c r="D7413" s="31" t="s">
        <v>22668</v>
      </c>
      <c r="E7413" s="23" t="s">
        <v>22661</v>
      </c>
      <c r="F7413" s="24" t="s">
        <v>22657</v>
      </c>
      <c r="G7413" s="25">
        <v>10</v>
      </c>
      <c r="H7413" s="29"/>
      <c r="I7413" s="30"/>
    </row>
    <row r="7414" spans="1:9" ht="15.75" thickBot="1" x14ac:dyDescent="0.3">
      <c r="A7414" s="43" t="s">
        <v>15383</v>
      </c>
      <c r="B7414" s="21" t="s">
        <v>15384</v>
      </c>
      <c r="C7414" s="21" t="s">
        <v>22667</v>
      </c>
      <c r="D7414" s="31" t="s">
        <v>22668</v>
      </c>
      <c r="E7414" s="23" t="s">
        <v>22661</v>
      </c>
      <c r="F7414" s="24" t="s">
        <v>22657</v>
      </c>
      <c r="G7414" s="25">
        <v>10</v>
      </c>
      <c r="H7414" s="26"/>
      <c r="I7414" s="27"/>
    </row>
    <row r="7415" spans="1:9" ht="15.75" thickBot="1" x14ac:dyDescent="0.3">
      <c r="A7415" s="43" t="s">
        <v>15385</v>
      </c>
      <c r="B7415" s="21" t="s">
        <v>15386</v>
      </c>
      <c r="C7415" s="21" t="s">
        <v>22667</v>
      </c>
      <c r="D7415" s="31" t="s">
        <v>22668</v>
      </c>
      <c r="E7415" s="23" t="s">
        <v>22656</v>
      </c>
      <c r="F7415" s="24" t="s">
        <v>22657</v>
      </c>
      <c r="G7415" s="25">
        <v>4</v>
      </c>
      <c r="H7415" s="29"/>
      <c r="I7415" s="30"/>
    </row>
    <row r="7416" spans="1:9" ht="15.75" thickBot="1" x14ac:dyDescent="0.3">
      <c r="A7416" s="43" t="s">
        <v>15387</v>
      </c>
      <c r="B7416" s="21" t="s">
        <v>15388</v>
      </c>
      <c r="C7416" s="21" t="s">
        <v>22667</v>
      </c>
      <c r="D7416" s="31" t="s">
        <v>22668</v>
      </c>
      <c r="E7416" s="23" t="s">
        <v>22656</v>
      </c>
      <c r="F7416" s="24" t="s">
        <v>22657</v>
      </c>
      <c r="G7416" s="25">
        <v>4</v>
      </c>
      <c r="H7416" s="26"/>
      <c r="I7416" s="27"/>
    </row>
    <row r="7417" spans="1:9" ht="15.75" thickBot="1" x14ac:dyDescent="0.3">
      <c r="A7417" s="43" t="s">
        <v>15389</v>
      </c>
      <c r="B7417" s="21" t="s">
        <v>15390</v>
      </c>
      <c r="C7417" s="21" t="s">
        <v>22667</v>
      </c>
      <c r="D7417" s="31" t="s">
        <v>22668</v>
      </c>
      <c r="E7417" s="23" t="s">
        <v>22656</v>
      </c>
      <c r="F7417" s="24" t="s">
        <v>22657</v>
      </c>
      <c r="G7417" s="25">
        <v>4</v>
      </c>
      <c r="H7417" s="29"/>
      <c r="I7417" s="30"/>
    </row>
    <row r="7418" spans="1:9" ht="15.75" thickBot="1" x14ac:dyDescent="0.3">
      <c r="A7418" s="43" t="s">
        <v>15391</v>
      </c>
      <c r="B7418" s="21" t="s">
        <v>15392</v>
      </c>
      <c r="C7418" s="21" t="s">
        <v>22667</v>
      </c>
      <c r="D7418" s="31" t="s">
        <v>22668</v>
      </c>
      <c r="E7418" s="23" t="s">
        <v>22656</v>
      </c>
      <c r="F7418" s="24" t="s">
        <v>22657</v>
      </c>
      <c r="G7418" s="25">
        <v>4</v>
      </c>
      <c r="H7418" s="26"/>
      <c r="I7418" s="27"/>
    </row>
    <row r="7419" spans="1:9" ht="15.75" thickBot="1" x14ac:dyDescent="0.3">
      <c r="A7419" s="43" t="s">
        <v>15393</v>
      </c>
      <c r="B7419" s="21" t="s">
        <v>15394</v>
      </c>
      <c r="C7419" s="21" t="s">
        <v>22667</v>
      </c>
      <c r="D7419" s="31" t="s">
        <v>22668</v>
      </c>
      <c r="E7419" s="23" t="s">
        <v>22656</v>
      </c>
      <c r="F7419" s="24" t="s">
        <v>22657</v>
      </c>
      <c r="G7419" s="25">
        <v>4</v>
      </c>
      <c r="H7419" s="29"/>
      <c r="I7419" s="30"/>
    </row>
    <row r="7420" spans="1:9" ht="15.75" thickBot="1" x14ac:dyDescent="0.3">
      <c r="A7420" s="43" t="s">
        <v>15395</v>
      </c>
      <c r="B7420" s="21" t="s">
        <v>15396</v>
      </c>
      <c r="C7420" s="21" t="s">
        <v>22667</v>
      </c>
      <c r="D7420" s="31" t="s">
        <v>22668</v>
      </c>
      <c r="E7420" s="23" t="s">
        <v>22656</v>
      </c>
      <c r="F7420" s="24" t="s">
        <v>22657</v>
      </c>
      <c r="G7420" s="25">
        <v>4</v>
      </c>
      <c r="H7420" s="26"/>
      <c r="I7420" s="27"/>
    </row>
    <row r="7421" spans="1:9" ht="15.75" thickBot="1" x14ac:dyDescent="0.3">
      <c r="A7421" s="43" t="s">
        <v>15397</v>
      </c>
      <c r="B7421" s="21" t="s">
        <v>15398</v>
      </c>
      <c r="C7421" s="21" t="s">
        <v>22667</v>
      </c>
      <c r="D7421" s="31" t="s">
        <v>22668</v>
      </c>
      <c r="E7421" s="23" t="s">
        <v>22656</v>
      </c>
      <c r="F7421" s="24" t="s">
        <v>22657</v>
      </c>
      <c r="G7421" s="25">
        <v>4</v>
      </c>
      <c r="H7421" s="29"/>
      <c r="I7421" s="30"/>
    </row>
    <row r="7422" spans="1:9" ht="15.75" thickBot="1" x14ac:dyDescent="0.3">
      <c r="A7422" s="43" t="s">
        <v>15399</v>
      </c>
      <c r="B7422" s="21" t="s">
        <v>15400</v>
      </c>
      <c r="C7422" s="21" t="s">
        <v>22667</v>
      </c>
      <c r="D7422" s="31" t="s">
        <v>22668</v>
      </c>
      <c r="E7422" s="23" t="s">
        <v>22661</v>
      </c>
      <c r="F7422" s="24" t="s">
        <v>22657</v>
      </c>
      <c r="G7422" s="25">
        <v>5</v>
      </c>
      <c r="H7422" s="26"/>
      <c r="I7422" s="27"/>
    </row>
    <row r="7423" spans="1:9" ht="15.75" thickBot="1" x14ac:dyDescent="0.3">
      <c r="A7423" s="43" t="s">
        <v>15401</v>
      </c>
      <c r="B7423" s="21" t="s">
        <v>15402</v>
      </c>
      <c r="C7423" s="21" t="s">
        <v>22667</v>
      </c>
      <c r="D7423" s="31" t="s">
        <v>22668</v>
      </c>
      <c r="E7423" s="23" t="s">
        <v>22661</v>
      </c>
      <c r="F7423" s="24" t="s">
        <v>22657</v>
      </c>
      <c r="G7423" s="25">
        <v>12</v>
      </c>
      <c r="H7423" s="29"/>
      <c r="I7423" s="30"/>
    </row>
    <row r="7424" spans="1:9" ht="15.75" thickBot="1" x14ac:dyDescent="0.3">
      <c r="A7424" s="43" t="s">
        <v>15403</v>
      </c>
      <c r="B7424" s="21" t="s">
        <v>15404</v>
      </c>
      <c r="C7424" s="21" t="s">
        <v>22667</v>
      </c>
      <c r="D7424" s="31" t="s">
        <v>22668</v>
      </c>
      <c r="E7424" s="23" t="s">
        <v>22661</v>
      </c>
      <c r="F7424" s="24" t="s">
        <v>22657</v>
      </c>
      <c r="G7424" s="25">
        <v>8</v>
      </c>
      <c r="H7424" s="26"/>
      <c r="I7424" s="27"/>
    </row>
    <row r="7425" spans="1:9" ht="15.75" thickBot="1" x14ac:dyDescent="0.3">
      <c r="A7425" s="43" t="s">
        <v>673</v>
      </c>
      <c r="B7425" s="21" t="s">
        <v>674</v>
      </c>
      <c r="C7425" s="21" t="s">
        <v>22655</v>
      </c>
      <c r="D7425" s="22">
        <v>46034</v>
      </c>
      <c r="E7425" s="23" t="s">
        <v>22661</v>
      </c>
      <c r="F7425" s="24" t="s">
        <v>22657</v>
      </c>
      <c r="G7425" s="25">
        <v>12</v>
      </c>
      <c r="H7425" s="32">
        <v>12</v>
      </c>
      <c r="I7425" s="33">
        <v>24</v>
      </c>
    </row>
    <row r="7426" spans="1:9" ht="15.75" thickBot="1" x14ac:dyDescent="0.3">
      <c r="A7426" s="43" t="s">
        <v>15405</v>
      </c>
      <c r="B7426" s="21" t="s">
        <v>15406</v>
      </c>
      <c r="C7426" s="21" t="s">
        <v>22655</v>
      </c>
      <c r="D7426" s="22">
        <v>46034</v>
      </c>
      <c r="E7426" s="23" t="s">
        <v>22656</v>
      </c>
      <c r="F7426" s="24" t="s">
        <v>22657</v>
      </c>
      <c r="G7426" s="25">
        <v>4</v>
      </c>
      <c r="H7426" s="26"/>
      <c r="I7426" s="27"/>
    </row>
    <row r="7427" spans="1:9" ht="15.75" thickBot="1" x14ac:dyDescent="0.3">
      <c r="A7427" s="43" t="s">
        <v>15407</v>
      </c>
      <c r="B7427" s="21" t="s">
        <v>15408</v>
      </c>
      <c r="C7427" s="21" t="s">
        <v>22655</v>
      </c>
      <c r="D7427" s="22">
        <v>46034</v>
      </c>
      <c r="E7427" s="23" t="s">
        <v>22658</v>
      </c>
      <c r="F7427" s="24" t="s">
        <v>22657</v>
      </c>
      <c r="G7427" s="25">
        <v>4</v>
      </c>
      <c r="H7427" s="29"/>
      <c r="I7427" s="30"/>
    </row>
    <row r="7428" spans="1:9" ht="15.75" thickBot="1" x14ac:dyDescent="0.3">
      <c r="A7428" s="43" t="s">
        <v>15409</v>
      </c>
      <c r="B7428" s="21" t="s">
        <v>15410</v>
      </c>
      <c r="C7428" s="21" t="s">
        <v>22655</v>
      </c>
      <c r="D7428" s="22">
        <v>46034</v>
      </c>
      <c r="E7428" s="23" t="s">
        <v>22656</v>
      </c>
      <c r="F7428" s="24" t="s">
        <v>22657</v>
      </c>
      <c r="G7428" s="25">
        <v>6</v>
      </c>
      <c r="H7428" s="34">
        <v>6</v>
      </c>
      <c r="I7428" s="35">
        <v>12</v>
      </c>
    </row>
    <row r="7429" spans="1:9" ht="15.75" thickBot="1" x14ac:dyDescent="0.3">
      <c r="A7429" s="43" t="s">
        <v>15411</v>
      </c>
      <c r="B7429" s="21" t="s">
        <v>15412</v>
      </c>
      <c r="C7429" s="21" t="s">
        <v>22655</v>
      </c>
      <c r="D7429" s="22">
        <v>46034</v>
      </c>
      <c r="E7429" s="23" t="s">
        <v>22656</v>
      </c>
      <c r="F7429" s="24" t="s">
        <v>22657</v>
      </c>
      <c r="G7429" s="25">
        <v>4</v>
      </c>
      <c r="H7429" s="29"/>
      <c r="I7429" s="30"/>
    </row>
    <row r="7430" spans="1:9" ht="15.75" thickBot="1" x14ac:dyDescent="0.3">
      <c r="A7430" s="43" t="s">
        <v>15413</v>
      </c>
      <c r="B7430" s="21" t="s">
        <v>15414</v>
      </c>
      <c r="C7430" s="21" t="s">
        <v>22655</v>
      </c>
      <c r="D7430" s="22">
        <v>46034</v>
      </c>
      <c r="E7430" s="23" t="s">
        <v>22656</v>
      </c>
      <c r="F7430" s="24" t="s">
        <v>22657</v>
      </c>
      <c r="G7430" s="25">
        <v>4</v>
      </c>
      <c r="H7430" s="26"/>
      <c r="I7430" s="27"/>
    </row>
    <row r="7431" spans="1:9" ht="15.75" thickBot="1" x14ac:dyDescent="0.3">
      <c r="A7431" s="43" t="s">
        <v>15415</v>
      </c>
      <c r="B7431" s="21" t="s">
        <v>15416</v>
      </c>
      <c r="C7431" s="21" t="s">
        <v>22655</v>
      </c>
      <c r="D7431" s="22">
        <v>46046</v>
      </c>
      <c r="E7431" s="23" t="s">
        <v>22661</v>
      </c>
      <c r="F7431" s="24" t="s">
        <v>22657</v>
      </c>
      <c r="G7431" s="25">
        <v>24</v>
      </c>
      <c r="H7431" s="32">
        <v>24</v>
      </c>
      <c r="I7431" s="33">
        <v>48</v>
      </c>
    </row>
    <row r="7432" spans="1:9" ht="15.75" thickBot="1" x14ac:dyDescent="0.3">
      <c r="A7432" s="43" t="s">
        <v>15417</v>
      </c>
      <c r="B7432" s="21" t="s">
        <v>15418</v>
      </c>
      <c r="C7432" s="21" t="s">
        <v>22682</v>
      </c>
      <c r="D7432" s="22">
        <v>46034</v>
      </c>
      <c r="E7432" s="23" t="s">
        <v>22658</v>
      </c>
      <c r="F7432" s="24" t="s">
        <v>22657</v>
      </c>
      <c r="G7432" s="25">
        <v>4</v>
      </c>
      <c r="H7432" s="26"/>
      <c r="I7432" s="27"/>
    </row>
    <row r="7433" spans="1:9" ht="15.75" thickBot="1" x14ac:dyDescent="0.3">
      <c r="A7433" s="43" t="s">
        <v>15419</v>
      </c>
      <c r="B7433" s="21" t="s">
        <v>15420</v>
      </c>
      <c r="C7433" s="21" t="s">
        <v>22682</v>
      </c>
      <c r="D7433" s="22">
        <v>46034</v>
      </c>
      <c r="E7433" s="23" t="s">
        <v>22656</v>
      </c>
      <c r="F7433" s="24" t="s">
        <v>22657</v>
      </c>
      <c r="G7433" s="25">
        <v>4</v>
      </c>
      <c r="H7433" s="29"/>
      <c r="I7433" s="30"/>
    </row>
    <row r="7434" spans="1:9" ht="15.75" thickBot="1" x14ac:dyDescent="0.3">
      <c r="A7434" s="43" t="s">
        <v>15421</v>
      </c>
      <c r="B7434" s="21" t="s">
        <v>15422</v>
      </c>
      <c r="C7434" s="21" t="s">
        <v>22682</v>
      </c>
      <c r="D7434" s="22">
        <v>46034</v>
      </c>
      <c r="E7434" s="23" t="s">
        <v>22658</v>
      </c>
      <c r="F7434" s="24" t="s">
        <v>22657</v>
      </c>
      <c r="G7434" s="25">
        <v>4</v>
      </c>
      <c r="H7434" s="26"/>
      <c r="I7434" s="27"/>
    </row>
    <row r="7435" spans="1:9" ht="15.75" thickBot="1" x14ac:dyDescent="0.3">
      <c r="A7435" s="43" t="s">
        <v>15423</v>
      </c>
      <c r="B7435" s="21" t="s">
        <v>15424</v>
      </c>
      <c r="C7435" s="21" t="s">
        <v>22682</v>
      </c>
      <c r="D7435" s="22">
        <v>46034</v>
      </c>
      <c r="E7435" s="23" t="s">
        <v>22658</v>
      </c>
      <c r="F7435" s="24" t="s">
        <v>22657</v>
      </c>
      <c r="G7435" s="25">
        <v>4</v>
      </c>
      <c r="H7435" s="29"/>
      <c r="I7435" s="30"/>
    </row>
    <row r="7436" spans="1:9" ht="15.75" thickBot="1" x14ac:dyDescent="0.3">
      <c r="A7436" s="43" t="s">
        <v>15425</v>
      </c>
      <c r="B7436" s="21" t="s">
        <v>15426</v>
      </c>
      <c r="C7436" s="21" t="s">
        <v>22682</v>
      </c>
      <c r="D7436" s="22">
        <v>46034</v>
      </c>
      <c r="E7436" s="23" t="s">
        <v>22658</v>
      </c>
      <c r="F7436" s="24" t="s">
        <v>22657</v>
      </c>
      <c r="G7436" s="25">
        <v>4</v>
      </c>
      <c r="H7436" s="26"/>
      <c r="I7436" s="27"/>
    </row>
    <row r="7437" spans="1:9" ht="15.75" thickBot="1" x14ac:dyDescent="0.3">
      <c r="A7437" s="43" t="s">
        <v>15427</v>
      </c>
      <c r="B7437" s="21" t="s">
        <v>15428</v>
      </c>
      <c r="C7437" s="21" t="s">
        <v>22655</v>
      </c>
      <c r="D7437" s="22">
        <v>46046</v>
      </c>
      <c r="E7437" s="23" t="s">
        <v>22656</v>
      </c>
      <c r="F7437" s="24" t="s">
        <v>22657</v>
      </c>
      <c r="G7437" s="25">
        <v>2</v>
      </c>
      <c r="H7437" s="29"/>
      <c r="I7437" s="30"/>
    </row>
    <row r="7438" spans="1:9" ht="15.75" thickBot="1" x14ac:dyDescent="0.3">
      <c r="A7438" s="43" t="s">
        <v>15429</v>
      </c>
      <c r="B7438" s="21" t="s">
        <v>15430</v>
      </c>
      <c r="C7438" s="21" t="s">
        <v>22655</v>
      </c>
      <c r="D7438" s="31" t="s">
        <v>22660</v>
      </c>
      <c r="E7438" s="23" t="s">
        <v>22665</v>
      </c>
      <c r="F7438" s="24" t="s">
        <v>22657</v>
      </c>
      <c r="G7438" s="25">
        <v>12</v>
      </c>
      <c r="H7438" s="34">
        <v>12</v>
      </c>
      <c r="I7438" s="35">
        <v>24</v>
      </c>
    </row>
    <row r="7439" spans="1:9" ht="15.75" thickBot="1" x14ac:dyDescent="0.3">
      <c r="A7439" s="43" t="s">
        <v>15431</v>
      </c>
      <c r="B7439" s="21" t="s">
        <v>15432</v>
      </c>
      <c r="C7439" s="21" t="s">
        <v>22655</v>
      </c>
      <c r="D7439" s="22">
        <v>46046</v>
      </c>
      <c r="E7439" s="23" t="s">
        <v>22656</v>
      </c>
      <c r="F7439" s="24" t="s">
        <v>22657</v>
      </c>
      <c r="G7439" s="25">
        <v>8</v>
      </c>
      <c r="H7439" s="29"/>
      <c r="I7439" s="30"/>
    </row>
    <row r="7440" spans="1:9" ht="15.75" thickBot="1" x14ac:dyDescent="0.3">
      <c r="A7440" s="43" t="s">
        <v>15433</v>
      </c>
      <c r="B7440" s="21" t="s">
        <v>15434</v>
      </c>
      <c r="C7440" s="21" t="s">
        <v>22655</v>
      </c>
      <c r="D7440" s="22">
        <v>46046</v>
      </c>
      <c r="E7440" s="23" t="s">
        <v>22656</v>
      </c>
      <c r="F7440" s="24" t="s">
        <v>22657</v>
      </c>
      <c r="G7440" s="25">
        <v>8</v>
      </c>
      <c r="H7440" s="26"/>
      <c r="I7440" s="27"/>
    </row>
    <row r="7441" spans="1:9" ht="15.75" thickBot="1" x14ac:dyDescent="0.3">
      <c r="A7441" s="43" t="s">
        <v>15435</v>
      </c>
      <c r="B7441" s="21" t="s">
        <v>15436</v>
      </c>
      <c r="C7441" s="21" t="s">
        <v>22655</v>
      </c>
      <c r="D7441" s="22">
        <v>46046</v>
      </c>
      <c r="E7441" s="23" t="s">
        <v>22656</v>
      </c>
      <c r="F7441" s="24" t="s">
        <v>22657</v>
      </c>
      <c r="G7441" s="25">
        <v>8</v>
      </c>
      <c r="H7441" s="29"/>
      <c r="I7441" s="30"/>
    </row>
    <row r="7442" spans="1:9" ht="15.75" thickBot="1" x14ac:dyDescent="0.3">
      <c r="A7442" s="43" t="s">
        <v>15437</v>
      </c>
      <c r="B7442" s="21" t="s">
        <v>15438</v>
      </c>
      <c r="C7442" s="21" t="s">
        <v>22655</v>
      </c>
      <c r="D7442" s="22">
        <v>46046</v>
      </c>
      <c r="E7442" s="23" t="s">
        <v>22656</v>
      </c>
      <c r="F7442" s="24" t="s">
        <v>22657</v>
      </c>
      <c r="G7442" s="25">
        <v>8</v>
      </c>
      <c r="H7442" s="26"/>
      <c r="I7442" s="27"/>
    </row>
    <row r="7443" spans="1:9" ht="15.75" thickBot="1" x14ac:dyDescent="0.3">
      <c r="A7443" s="43" t="s">
        <v>15439</v>
      </c>
      <c r="B7443" s="21" t="s">
        <v>15440</v>
      </c>
      <c r="C7443" s="21" t="s">
        <v>22655</v>
      </c>
      <c r="D7443" s="22">
        <v>46046</v>
      </c>
      <c r="E7443" s="23" t="s">
        <v>22656</v>
      </c>
      <c r="F7443" s="24" t="s">
        <v>22657</v>
      </c>
      <c r="G7443" s="25">
        <v>8</v>
      </c>
      <c r="H7443" s="29"/>
      <c r="I7443" s="30"/>
    </row>
    <row r="7444" spans="1:9" ht="15.75" thickBot="1" x14ac:dyDescent="0.3">
      <c r="A7444" s="43" t="s">
        <v>15441</v>
      </c>
      <c r="B7444" s="21" t="s">
        <v>15442</v>
      </c>
      <c r="C7444" s="21" t="s">
        <v>22655</v>
      </c>
      <c r="D7444" s="22">
        <v>46046</v>
      </c>
      <c r="E7444" s="23" t="s">
        <v>22656</v>
      </c>
      <c r="F7444" s="24" t="s">
        <v>22657</v>
      </c>
      <c r="G7444" s="25">
        <v>8</v>
      </c>
      <c r="H7444" s="26"/>
      <c r="I7444" s="27"/>
    </row>
    <row r="7445" spans="1:9" ht="15.75" thickBot="1" x14ac:dyDescent="0.3">
      <c r="A7445" s="43" t="s">
        <v>15443</v>
      </c>
      <c r="B7445" s="21" t="s">
        <v>15444</v>
      </c>
      <c r="C7445" s="21" t="s">
        <v>22655</v>
      </c>
      <c r="D7445" s="31" t="s">
        <v>22708</v>
      </c>
      <c r="E7445" s="23" t="s">
        <v>22658</v>
      </c>
      <c r="F7445" s="24" t="s">
        <v>22657</v>
      </c>
      <c r="G7445" s="25">
        <v>4</v>
      </c>
      <c r="H7445" s="29"/>
      <c r="I7445" s="30"/>
    </row>
    <row r="7446" spans="1:9" ht="15.75" thickBot="1" x14ac:dyDescent="0.3">
      <c r="A7446" s="43" t="s">
        <v>15445</v>
      </c>
      <c r="B7446" s="21" t="s">
        <v>15446</v>
      </c>
      <c r="C7446" s="21" t="s">
        <v>22655</v>
      </c>
      <c r="D7446" s="31" t="s">
        <v>22708</v>
      </c>
      <c r="E7446" s="23" t="s">
        <v>22658</v>
      </c>
      <c r="F7446" s="24" t="s">
        <v>22657</v>
      </c>
      <c r="G7446" s="25">
        <v>4</v>
      </c>
      <c r="H7446" s="26"/>
      <c r="I7446" s="27"/>
    </row>
    <row r="7447" spans="1:9" ht="15.75" thickBot="1" x14ac:dyDescent="0.3">
      <c r="A7447" s="43" t="s">
        <v>15447</v>
      </c>
      <c r="B7447" s="21" t="s">
        <v>15448</v>
      </c>
      <c r="C7447" s="21" t="s">
        <v>22655</v>
      </c>
      <c r="D7447" s="31" t="s">
        <v>22708</v>
      </c>
      <c r="E7447" s="23" t="s">
        <v>22658</v>
      </c>
      <c r="F7447" s="24" t="s">
        <v>22657</v>
      </c>
      <c r="G7447" s="25">
        <v>4</v>
      </c>
      <c r="H7447" s="29"/>
      <c r="I7447" s="30"/>
    </row>
    <row r="7448" spans="1:9" ht="15.75" thickBot="1" x14ac:dyDescent="0.3">
      <c r="A7448" s="43" t="s">
        <v>15449</v>
      </c>
      <c r="B7448" s="21" t="s">
        <v>15450</v>
      </c>
      <c r="C7448" s="21" t="s">
        <v>22655</v>
      </c>
      <c r="D7448" s="22">
        <v>46046</v>
      </c>
      <c r="E7448" s="23" t="s">
        <v>22656</v>
      </c>
      <c r="F7448" s="24" t="s">
        <v>22657</v>
      </c>
      <c r="G7448" s="25">
        <v>8</v>
      </c>
      <c r="H7448" s="26"/>
      <c r="I7448" s="27"/>
    </row>
    <row r="7449" spans="1:9" ht="15.75" thickBot="1" x14ac:dyDescent="0.3">
      <c r="A7449" s="43" t="s">
        <v>15451</v>
      </c>
      <c r="B7449" s="21" t="s">
        <v>15452</v>
      </c>
      <c r="C7449" s="21" t="s">
        <v>22690</v>
      </c>
      <c r="D7449" s="31" t="s">
        <v>22699</v>
      </c>
      <c r="E7449" s="23" t="s">
        <v>22656</v>
      </c>
      <c r="F7449" s="24" t="s">
        <v>22657</v>
      </c>
      <c r="G7449" s="25">
        <v>4</v>
      </c>
      <c r="H7449" s="29"/>
      <c r="I7449" s="30"/>
    </row>
    <row r="7450" spans="1:9" ht="15.75" thickBot="1" x14ac:dyDescent="0.3">
      <c r="A7450" s="43" t="s">
        <v>15453</v>
      </c>
      <c r="B7450" s="21" t="s">
        <v>15454</v>
      </c>
      <c r="C7450" s="21" t="s">
        <v>22655</v>
      </c>
      <c r="D7450" s="22">
        <v>46032</v>
      </c>
      <c r="E7450" s="23" t="s">
        <v>22656</v>
      </c>
      <c r="F7450" s="24" t="s">
        <v>22657</v>
      </c>
      <c r="G7450" s="25">
        <v>4</v>
      </c>
      <c r="H7450" s="26"/>
      <c r="I7450" s="27"/>
    </row>
    <row r="7451" spans="1:9" ht="15.75" thickBot="1" x14ac:dyDescent="0.3">
      <c r="A7451" s="43" t="s">
        <v>15455</v>
      </c>
      <c r="B7451" s="21" t="s">
        <v>15456</v>
      </c>
      <c r="C7451" s="21" t="s">
        <v>22655</v>
      </c>
      <c r="D7451" s="31" t="s">
        <v>22660</v>
      </c>
      <c r="E7451" s="23" t="s">
        <v>22656</v>
      </c>
      <c r="F7451" s="24" t="s">
        <v>22657</v>
      </c>
      <c r="G7451" s="25">
        <v>4</v>
      </c>
      <c r="H7451" s="29"/>
      <c r="I7451" s="30"/>
    </row>
    <row r="7452" spans="1:9" ht="15.75" thickBot="1" x14ac:dyDescent="0.3">
      <c r="A7452" s="43" t="s">
        <v>15457</v>
      </c>
      <c r="B7452" s="21" t="s">
        <v>15458</v>
      </c>
      <c r="C7452" s="21" t="s">
        <v>22655</v>
      </c>
      <c r="D7452" s="22">
        <v>46032</v>
      </c>
      <c r="E7452" s="23" t="s">
        <v>22656</v>
      </c>
      <c r="F7452" s="24" t="s">
        <v>22657</v>
      </c>
      <c r="G7452" s="25">
        <v>4</v>
      </c>
      <c r="H7452" s="26"/>
      <c r="I7452" s="27"/>
    </row>
    <row r="7453" spans="1:9" ht="15.75" thickBot="1" x14ac:dyDescent="0.3">
      <c r="A7453" s="43" t="s">
        <v>15459</v>
      </c>
      <c r="B7453" s="21" t="s">
        <v>15460</v>
      </c>
      <c r="C7453" s="21" t="s">
        <v>22690</v>
      </c>
      <c r="D7453" s="31" t="s">
        <v>22773</v>
      </c>
      <c r="E7453" s="23" t="s">
        <v>22656</v>
      </c>
      <c r="F7453" s="24" t="s">
        <v>22657</v>
      </c>
      <c r="G7453" s="25">
        <v>4</v>
      </c>
      <c r="H7453" s="29"/>
      <c r="I7453" s="30"/>
    </row>
    <row r="7454" spans="1:9" ht="15.75" thickBot="1" x14ac:dyDescent="0.3">
      <c r="A7454" s="43" t="s">
        <v>15461</v>
      </c>
      <c r="B7454" s="21" t="s">
        <v>15462</v>
      </c>
      <c r="C7454" s="21" t="s">
        <v>22655</v>
      </c>
      <c r="D7454" s="31" t="s">
        <v>22660</v>
      </c>
      <c r="E7454" s="23" t="s">
        <v>22656</v>
      </c>
      <c r="F7454" s="24" t="s">
        <v>22657</v>
      </c>
      <c r="G7454" s="25">
        <v>4</v>
      </c>
      <c r="H7454" s="26"/>
      <c r="I7454" s="27"/>
    </row>
    <row r="7455" spans="1:9" ht="15.75" thickBot="1" x14ac:dyDescent="0.3">
      <c r="A7455" s="43" t="s">
        <v>15463</v>
      </c>
      <c r="B7455" s="21" t="s">
        <v>15464</v>
      </c>
      <c r="C7455" s="21" t="s">
        <v>22655</v>
      </c>
      <c r="D7455" s="22">
        <v>46034</v>
      </c>
      <c r="E7455" s="23" t="s">
        <v>22656</v>
      </c>
      <c r="F7455" s="24" t="s">
        <v>22657</v>
      </c>
      <c r="G7455" s="25">
        <v>2</v>
      </c>
      <c r="H7455" s="32">
        <v>2</v>
      </c>
      <c r="I7455" s="33">
        <v>6</v>
      </c>
    </row>
    <row r="7456" spans="1:9" ht="15.75" thickBot="1" x14ac:dyDescent="0.3">
      <c r="A7456" s="43" t="s">
        <v>15465</v>
      </c>
      <c r="B7456" s="21" t="s">
        <v>15466</v>
      </c>
      <c r="C7456" s="21" t="s">
        <v>22690</v>
      </c>
      <c r="D7456" s="31" t="s">
        <v>22773</v>
      </c>
      <c r="E7456" s="23" t="s">
        <v>22656</v>
      </c>
      <c r="F7456" s="24" t="s">
        <v>22657</v>
      </c>
      <c r="G7456" s="25">
        <v>4</v>
      </c>
      <c r="H7456" s="26"/>
      <c r="I7456" s="27"/>
    </row>
    <row r="7457" spans="1:9" ht="15.75" thickBot="1" x14ac:dyDescent="0.3">
      <c r="A7457" s="43" t="s">
        <v>15467</v>
      </c>
      <c r="B7457" s="21" t="s">
        <v>15468</v>
      </c>
      <c r="C7457" s="21" t="s">
        <v>22655</v>
      </c>
      <c r="D7457" s="31" t="s">
        <v>22660</v>
      </c>
      <c r="E7457" s="23" t="s">
        <v>22656</v>
      </c>
      <c r="F7457" s="24" t="s">
        <v>22657</v>
      </c>
      <c r="G7457" s="25">
        <v>4</v>
      </c>
      <c r="H7457" s="29"/>
      <c r="I7457" s="30"/>
    </row>
    <row r="7458" spans="1:9" ht="15.75" thickBot="1" x14ac:dyDescent="0.3">
      <c r="A7458" s="43" t="s">
        <v>15469</v>
      </c>
      <c r="B7458" s="21" t="s">
        <v>15470</v>
      </c>
      <c r="C7458" s="21" t="s">
        <v>22655</v>
      </c>
      <c r="D7458" s="22">
        <v>46046</v>
      </c>
      <c r="E7458" s="23" t="s">
        <v>22658</v>
      </c>
      <c r="F7458" s="24" t="s">
        <v>22657</v>
      </c>
      <c r="G7458" s="25">
        <v>8</v>
      </c>
      <c r="H7458" s="26"/>
      <c r="I7458" s="27"/>
    </row>
    <row r="7459" spans="1:9" ht="15.75" thickBot="1" x14ac:dyDescent="0.3">
      <c r="A7459" s="43" t="s">
        <v>15471</v>
      </c>
      <c r="B7459" s="21" t="s">
        <v>15472</v>
      </c>
      <c r="C7459" s="21" t="s">
        <v>22690</v>
      </c>
      <c r="D7459" s="31" t="s">
        <v>22730</v>
      </c>
      <c r="E7459" s="23" t="s">
        <v>22656</v>
      </c>
      <c r="F7459" s="24" t="s">
        <v>22657</v>
      </c>
      <c r="G7459" s="25">
        <v>4</v>
      </c>
      <c r="H7459" s="29"/>
      <c r="I7459" s="30"/>
    </row>
    <row r="7460" spans="1:9" ht="15.75" thickBot="1" x14ac:dyDescent="0.3">
      <c r="A7460" s="43" t="s">
        <v>15475</v>
      </c>
      <c r="B7460" s="21" t="s">
        <v>15476</v>
      </c>
      <c r="C7460" s="21" t="s">
        <v>22655</v>
      </c>
      <c r="D7460" s="22">
        <v>46046</v>
      </c>
      <c r="E7460" s="23" t="s">
        <v>22656</v>
      </c>
      <c r="F7460" s="24" t="s">
        <v>22657</v>
      </c>
      <c r="G7460" s="25">
        <v>8</v>
      </c>
      <c r="H7460" s="26"/>
      <c r="I7460" s="27"/>
    </row>
    <row r="7461" spans="1:9" ht="15.75" thickBot="1" x14ac:dyDescent="0.3">
      <c r="A7461" s="43" t="s">
        <v>15477</v>
      </c>
      <c r="B7461" s="21" t="s">
        <v>15478</v>
      </c>
      <c r="C7461" s="21" t="s">
        <v>22655</v>
      </c>
      <c r="D7461" s="22">
        <v>46046</v>
      </c>
      <c r="E7461" s="23" t="s">
        <v>22656</v>
      </c>
      <c r="F7461" s="24" t="s">
        <v>22657</v>
      </c>
      <c r="G7461" s="25">
        <v>8</v>
      </c>
      <c r="H7461" s="29"/>
      <c r="I7461" s="30"/>
    </row>
    <row r="7462" spans="1:9" ht="15.75" thickBot="1" x14ac:dyDescent="0.3">
      <c r="A7462" s="43" t="s">
        <v>15479</v>
      </c>
      <c r="B7462" s="21" t="s">
        <v>15480</v>
      </c>
      <c r="C7462" s="21" t="s">
        <v>22655</v>
      </c>
      <c r="D7462" s="31" t="s">
        <v>22660</v>
      </c>
      <c r="E7462" s="23" t="s">
        <v>22656</v>
      </c>
      <c r="F7462" s="24" t="s">
        <v>22657</v>
      </c>
      <c r="G7462" s="25">
        <v>4</v>
      </c>
      <c r="H7462" s="26"/>
      <c r="I7462" s="27"/>
    </row>
    <row r="7463" spans="1:9" ht="15.75" thickBot="1" x14ac:dyDescent="0.3">
      <c r="A7463" s="43" t="s">
        <v>15481</v>
      </c>
      <c r="B7463" s="21" t="s">
        <v>15482</v>
      </c>
      <c r="C7463" s="21" t="s">
        <v>22667</v>
      </c>
      <c r="D7463" s="31" t="s">
        <v>22730</v>
      </c>
      <c r="E7463" s="23" t="s">
        <v>22661</v>
      </c>
      <c r="F7463" s="24" t="s">
        <v>22657</v>
      </c>
      <c r="G7463" s="25">
        <v>4</v>
      </c>
      <c r="H7463" s="29"/>
      <c r="I7463" s="30"/>
    </row>
    <row r="7464" spans="1:9" ht="15.75" thickBot="1" x14ac:dyDescent="0.3">
      <c r="A7464" s="43" t="s">
        <v>15483</v>
      </c>
      <c r="B7464" s="21" t="s">
        <v>15484</v>
      </c>
      <c r="C7464" s="21" t="s">
        <v>22667</v>
      </c>
      <c r="D7464" s="31" t="s">
        <v>22678</v>
      </c>
      <c r="E7464" s="23" t="s">
        <v>22658</v>
      </c>
      <c r="F7464" s="24" t="s">
        <v>22657</v>
      </c>
      <c r="G7464" s="25">
        <v>2</v>
      </c>
      <c r="H7464" s="26"/>
      <c r="I7464" s="27"/>
    </row>
    <row r="7465" spans="1:9" ht="15.75" thickBot="1" x14ac:dyDescent="0.3">
      <c r="A7465" s="43" t="s">
        <v>15485</v>
      </c>
      <c r="B7465" s="21" t="s">
        <v>15486</v>
      </c>
      <c r="C7465" s="21" t="s">
        <v>22667</v>
      </c>
      <c r="D7465" s="31" t="s">
        <v>22678</v>
      </c>
      <c r="E7465" s="23" t="s">
        <v>22658</v>
      </c>
      <c r="F7465" s="24" t="s">
        <v>22657</v>
      </c>
      <c r="G7465" s="25">
        <v>2</v>
      </c>
      <c r="H7465" s="29"/>
      <c r="I7465" s="30"/>
    </row>
    <row r="7466" spans="1:9" ht="15.75" thickBot="1" x14ac:dyDescent="0.3">
      <c r="A7466" s="43" t="s">
        <v>15487</v>
      </c>
      <c r="B7466" s="21" t="s">
        <v>15488</v>
      </c>
      <c r="C7466" s="21" t="s">
        <v>22667</v>
      </c>
      <c r="D7466" s="31" t="s">
        <v>22678</v>
      </c>
      <c r="E7466" s="23" t="s">
        <v>22656</v>
      </c>
      <c r="F7466" s="24" t="s">
        <v>22657</v>
      </c>
      <c r="G7466" s="25">
        <v>4</v>
      </c>
      <c r="H7466" s="26"/>
      <c r="I7466" s="27"/>
    </row>
    <row r="7467" spans="1:9" ht="15.75" thickBot="1" x14ac:dyDescent="0.3">
      <c r="A7467" s="43" t="s">
        <v>15489</v>
      </c>
      <c r="B7467" s="21" t="s">
        <v>15490</v>
      </c>
      <c r="C7467" s="21" t="s">
        <v>22667</v>
      </c>
      <c r="D7467" s="31" t="s">
        <v>22678</v>
      </c>
      <c r="E7467" s="23" t="s">
        <v>22656</v>
      </c>
      <c r="F7467" s="24" t="s">
        <v>22657</v>
      </c>
      <c r="G7467" s="25">
        <v>4</v>
      </c>
      <c r="H7467" s="29"/>
      <c r="I7467" s="30"/>
    </row>
    <row r="7468" spans="1:9" ht="15.75" thickBot="1" x14ac:dyDescent="0.3">
      <c r="A7468" s="43" t="s">
        <v>15491</v>
      </c>
      <c r="B7468" s="21" t="s">
        <v>15492</v>
      </c>
      <c r="C7468" s="21" t="s">
        <v>22667</v>
      </c>
      <c r="D7468" s="31" t="s">
        <v>22678</v>
      </c>
      <c r="E7468" s="23" t="s">
        <v>22658</v>
      </c>
      <c r="F7468" s="24" t="s">
        <v>22657</v>
      </c>
      <c r="G7468" s="25">
        <v>2</v>
      </c>
      <c r="H7468" s="26"/>
      <c r="I7468" s="27"/>
    </row>
    <row r="7469" spans="1:9" ht="15.75" thickBot="1" x14ac:dyDescent="0.3">
      <c r="A7469" s="43" t="s">
        <v>15493</v>
      </c>
      <c r="B7469" s="21" t="s">
        <v>15494</v>
      </c>
      <c r="C7469" s="21" t="s">
        <v>22667</v>
      </c>
      <c r="D7469" s="31" t="s">
        <v>22678</v>
      </c>
      <c r="E7469" s="23" t="s">
        <v>22658</v>
      </c>
      <c r="F7469" s="24" t="s">
        <v>22657</v>
      </c>
      <c r="G7469" s="25">
        <v>2</v>
      </c>
      <c r="H7469" s="29"/>
      <c r="I7469" s="30"/>
    </row>
    <row r="7470" spans="1:9" ht="15.75" thickBot="1" x14ac:dyDescent="0.3">
      <c r="A7470" s="43" t="s">
        <v>15495</v>
      </c>
      <c r="B7470" s="21" t="s">
        <v>15496</v>
      </c>
      <c r="C7470" s="21" t="s">
        <v>22667</v>
      </c>
      <c r="D7470" s="31" t="s">
        <v>22678</v>
      </c>
      <c r="E7470" s="23" t="s">
        <v>22656</v>
      </c>
      <c r="F7470" s="24" t="s">
        <v>22657</v>
      </c>
      <c r="G7470" s="25">
        <v>2</v>
      </c>
      <c r="H7470" s="26"/>
      <c r="I7470" s="27"/>
    </row>
    <row r="7471" spans="1:9" ht="15.75" thickBot="1" x14ac:dyDescent="0.3">
      <c r="A7471" s="43" t="s">
        <v>15497</v>
      </c>
      <c r="B7471" s="21" t="s">
        <v>15498</v>
      </c>
      <c r="C7471" s="21" t="s">
        <v>22667</v>
      </c>
      <c r="D7471" s="31" t="s">
        <v>22678</v>
      </c>
      <c r="E7471" s="23" t="s">
        <v>22656</v>
      </c>
      <c r="F7471" s="24" t="s">
        <v>22657</v>
      </c>
      <c r="G7471" s="25">
        <v>4</v>
      </c>
      <c r="H7471" s="29"/>
      <c r="I7471" s="30"/>
    </row>
    <row r="7472" spans="1:9" ht="15.75" thickBot="1" x14ac:dyDescent="0.3">
      <c r="A7472" s="43" t="s">
        <v>15499</v>
      </c>
      <c r="B7472" s="21" t="s">
        <v>15500</v>
      </c>
      <c r="C7472" s="21" t="s">
        <v>22667</v>
      </c>
      <c r="D7472" s="31" t="s">
        <v>22678</v>
      </c>
      <c r="E7472" s="23" t="s">
        <v>22658</v>
      </c>
      <c r="F7472" s="24" t="s">
        <v>22657</v>
      </c>
      <c r="G7472" s="25">
        <v>2</v>
      </c>
      <c r="H7472" s="26"/>
      <c r="I7472" s="27"/>
    </row>
    <row r="7473" spans="1:9" ht="15.75" thickBot="1" x14ac:dyDescent="0.3">
      <c r="A7473" s="43" t="s">
        <v>15501</v>
      </c>
      <c r="B7473" s="21" t="s">
        <v>15502</v>
      </c>
      <c r="C7473" s="21" t="s">
        <v>22667</v>
      </c>
      <c r="D7473" s="31" t="s">
        <v>22678</v>
      </c>
      <c r="E7473" s="23" t="s">
        <v>22658</v>
      </c>
      <c r="F7473" s="24" t="s">
        <v>22657</v>
      </c>
      <c r="G7473" s="25">
        <v>2</v>
      </c>
      <c r="H7473" s="29"/>
      <c r="I7473" s="30"/>
    </row>
    <row r="7474" spans="1:9" ht="15.75" thickBot="1" x14ac:dyDescent="0.3">
      <c r="A7474" s="43" t="s">
        <v>15503</v>
      </c>
      <c r="B7474" s="21" t="s">
        <v>15504</v>
      </c>
      <c r="C7474" s="21" t="s">
        <v>22667</v>
      </c>
      <c r="D7474" s="31" t="s">
        <v>22678</v>
      </c>
      <c r="E7474" s="23" t="s">
        <v>22658</v>
      </c>
      <c r="F7474" s="24" t="s">
        <v>22657</v>
      </c>
      <c r="G7474" s="25">
        <v>2</v>
      </c>
      <c r="H7474" s="26"/>
      <c r="I7474" s="27"/>
    </row>
    <row r="7475" spans="1:9" ht="15.75" thickBot="1" x14ac:dyDescent="0.3">
      <c r="A7475" s="43" t="s">
        <v>15505</v>
      </c>
      <c r="B7475" s="21" t="s">
        <v>15506</v>
      </c>
      <c r="C7475" s="21" t="s">
        <v>22667</v>
      </c>
      <c r="D7475" s="31" t="s">
        <v>22678</v>
      </c>
      <c r="E7475" s="23" t="s">
        <v>22658</v>
      </c>
      <c r="F7475" s="24" t="s">
        <v>22657</v>
      </c>
      <c r="G7475" s="25">
        <v>4</v>
      </c>
      <c r="H7475" s="29"/>
      <c r="I7475" s="30"/>
    </row>
    <row r="7476" spans="1:9" ht="15.75" thickBot="1" x14ac:dyDescent="0.3">
      <c r="A7476" s="43" t="s">
        <v>15507</v>
      </c>
      <c r="B7476" s="21" t="s">
        <v>15508</v>
      </c>
      <c r="C7476" s="21" t="s">
        <v>22667</v>
      </c>
      <c r="D7476" s="31" t="s">
        <v>22678</v>
      </c>
      <c r="E7476" s="23" t="s">
        <v>22656</v>
      </c>
      <c r="F7476" s="24" t="s">
        <v>22657</v>
      </c>
      <c r="G7476" s="25">
        <v>5</v>
      </c>
      <c r="H7476" s="26"/>
      <c r="I7476" s="27"/>
    </row>
    <row r="7477" spans="1:9" ht="15.75" thickBot="1" x14ac:dyDescent="0.3">
      <c r="A7477" s="43" t="s">
        <v>15509</v>
      </c>
      <c r="B7477" s="21" t="s">
        <v>15510</v>
      </c>
      <c r="C7477" s="21" t="s">
        <v>22667</v>
      </c>
      <c r="D7477" s="31" t="s">
        <v>22730</v>
      </c>
      <c r="E7477" s="23" t="s">
        <v>22656</v>
      </c>
      <c r="F7477" s="24" t="s">
        <v>22657</v>
      </c>
      <c r="G7477" s="25">
        <v>4</v>
      </c>
      <c r="H7477" s="29"/>
      <c r="I7477" s="30"/>
    </row>
    <row r="7478" spans="1:9" ht="15.75" thickBot="1" x14ac:dyDescent="0.3">
      <c r="A7478" s="43" t="s">
        <v>15511</v>
      </c>
      <c r="B7478" s="21" t="s">
        <v>15512</v>
      </c>
      <c r="C7478" s="21" t="s">
        <v>22667</v>
      </c>
      <c r="D7478" s="31" t="s">
        <v>22730</v>
      </c>
      <c r="E7478" s="23" t="s">
        <v>22658</v>
      </c>
      <c r="F7478" s="24" t="s">
        <v>22657</v>
      </c>
      <c r="G7478" s="25">
        <v>4</v>
      </c>
      <c r="H7478" s="26"/>
      <c r="I7478" s="27"/>
    </row>
    <row r="7479" spans="1:9" ht="15.75" thickBot="1" x14ac:dyDescent="0.3">
      <c r="A7479" s="43" t="s">
        <v>15513</v>
      </c>
      <c r="B7479" s="21" t="s">
        <v>15514</v>
      </c>
      <c r="C7479" s="21" t="s">
        <v>22667</v>
      </c>
      <c r="D7479" s="31" t="s">
        <v>22730</v>
      </c>
      <c r="E7479" s="23" t="s">
        <v>22656</v>
      </c>
      <c r="F7479" s="24" t="s">
        <v>22657</v>
      </c>
      <c r="G7479" s="25">
        <v>4</v>
      </c>
      <c r="H7479" s="29"/>
      <c r="I7479" s="30"/>
    </row>
    <row r="7480" spans="1:9" ht="15.75" thickBot="1" x14ac:dyDescent="0.3">
      <c r="A7480" s="43" t="s">
        <v>15515</v>
      </c>
      <c r="B7480" s="21" t="s">
        <v>15516</v>
      </c>
      <c r="C7480" s="21" t="s">
        <v>22667</v>
      </c>
      <c r="D7480" s="31" t="s">
        <v>22730</v>
      </c>
      <c r="E7480" s="23" t="s">
        <v>22656</v>
      </c>
      <c r="F7480" s="24" t="s">
        <v>22657</v>
      </c>
      <c r="G7480" s="25">
        <v>4</v>
      </c>
      <c r="H7480" s="26"/>
      <c r="I7480" s="27"/>
    </row>
    <row r="7481" spans="1:9" ht="15.75" thickBot="1" x14ac:dyDescent="0.3">
      <c r="A7481" s="43" t="s">
        <v>15517</v>
      </c>
      <c r="B7481" s="21" t="s">
        <v>15518</v>
      </c>
      <c r="C7481" s="21" t="s">
        <v>22667</v>
      </c>
      <c r="D7481" s="31" t="s">
        <v>22730</v>
      </c>
      <c r="E7481" s="23" t="s">
        <v>22656</v>
      </c>
      <c r="F7481" s="24" t="s">
        <v>22657</v>
      </c>
      <c r="G7481" s="25">
        <v>4</v>
      </c>
      <c r="H7481" s="29"/>
      <c r="I7481" s="30"/>
    </row>
    <row r="7482" spans="1:9" ht="15.75" thickBot="1" x14ac:dyDescent="0.3">
      <c r="A7482" s="43" t="s">
        <v>15519</v>
      </c>
      <c r="B7482" s="21" t="s">
        <v>15520</v>
      </c>
      <c r="C7482" s="21" t="s">
        <v>22655</v>
      </c>
      <c r="D7482" s="22">
        <v>46046</v>
      </c>
      <c r="E7482" s="23" t="s">
        <v>22658</v>
      </c>
      <c r="F7482" s="24" t="s">
        <v>22657</v>
      </c>
      <c r="G7482" s="25">
        <v>8</v>
      </c>
      <c r="H7482" s="26"/>
      <c r="I7482" s="27"/>
    </row>
    <row r="7483" spans="1:9" ht="15.75" thickBot="1" x14ac:dyDescent="0.3">
      <c r="A7483" s="43" t="s">
        <v>15521</v>
      </c>
      <c r="B7483" s="21" t="s">
        <v>15522</v>
      </c>
      <c r="C7483" s="21" t="s">
        <v>22655</v>
      </c>
      <c r="D7483" s="31" t="s">
        <v>22660</v>
      </c>
      <c r="E7483" s="23" t="s">
        <v>22656</v>
      </c>
      <c r="F7483" s="24" t="s">
        <v>22657</v>
      </c>
      <c r="G7483" s="25">
        <v>4</v>
      </c>
      <c r="H7483" s="29"/>
      <c r="I7483" s="30"/>
    </row>
    <row r="7484" spans="1:9" ht="15.75" thickBot="1" x14ac:dyDescent="0.3">
      <c r="A7484" s="43" t="s">
        <v>15523</v>
      </c>
      <c r="B7484" s="21" t="s">
        <v>15524</v>
      </c>
      <c r="C7484" s="21" t="s">
        <v>22655</v>
      </c>
      <c r="D7484" s="31" t="s">
        <v>22660</v>
      </c>
      <c r="E7484" s="23" t="s">
        <v>22656</v>
      </c>
      <c r="F7484" s="24" t="s">
        <v>22657</v>
      </c>
      <c r="G7484" s="25">
        <v>4</v>
      </c>
      <c r="H7484" s="26"/>
      <c r="I7484" s="27"/>
    </row>
    <row r="7485" spans="1:9" ht="15.75" thickBot="1" x14ac:dyDescent="0.3">
      <c r="A7485" s="43" t="s">
        <v>15525</v>
      </c>
      <c r="B7485" s="21" t="s">
        <v>15526</v>
      </c>
      <c r="C7485" s="21" t="s">
        <v>22655</v>
      </c>
      <c r="D7485" s="31" t="s">
        <v>22660</v>
      </c>
      <c r="E7485" s="23" t="s">
        <v>22656</v>
      </c>
      <c r="F7485" s="24" t="s">
        <v>22657</v>
      </c>
      <c r="G7485" s="25">
        <v>4</v>
      </c>
      <c r="H7485" s="29"/>
      <c r="I7485" s="30"/>
    </row>
    <row r="7486" spans="1:9" ht="15.75" thickBot="1" x14ac:dyDescent="0.3">
      <c r="A7486" s="43" t="s">
        <v>15527</v>
      </c>
      <c r="B7486" s="21" t="s">
        <v>15528</v>
      </c>
      <c r="C7486" s="21" t="s">
        <v>22655</v>
      </c>
      <c r="D7486" s="31" t="s">
        <v>22660</v>
      </c>
      <c r="E7486" s="23" t="s">
        <v>22656</v>
      </c>
      <c r="F7486" s="24" t="s">
        <v>22657</v>
      </c>
      <c r="G7486" s="25">
        <v>4</v>
      </c>
      <c r="H7486" s="26"/>
      <c r="I7486" s="27"/>
    </row>
    <row r="7487" spans="1:9" ht="15.75" thickBot="1" x14ac:dyDescent="0.3">
      <c r="A7487" s="43" t="s">
        <v>15529</v>
      </c>
      <c r="B7487" s="21" t="s">
        <v>15530</v>
      </c>
      <c r="C7487" s="21" t="s">
        <v>22655</v>
      </c>
      <c r="D7487" s="31" t="s">
        <v>22660</v>
      </c>
      <c r="E7487" s="23" t="s">
        <v>22656</v>
      </c>
      <c r="F7487" s="24" t="s">
        <v>22657</v>
      </c>
      <c r="G7487" s="25">
        <v>6</v>
      </c>
      <c r="H7487" s="29"/>
      <c r="I7487" s="30"/>
    </row>
    <row r="7488" spans="1:9" ht="15.75" thickBot="1" x14ac:dyDescent="0.3">
      <c r="A7488" s="43" t="s">
        <v>15531</v>
      </c>
      <c r="B7488" s="21" t="s">
        <v>15532</v>
      </c>
      <c r="C7488" s="21" t="s">
        <v>22672</v>
      </c>
      <c r="D7488" s="22">
        <v>46034</v>
      </c>
      <c r="E7488" s="23" t="s">
        <v>22661</v>
      </c>
      <c r="F7488" s="24" t="s">
        <v>22657</v>
      </c>
      <c r="G7488" s="25">
        <v>4</v>
      </c>
      <c r="H7488" s="26"/>
      <c r="I7488" s="27"/>
    </row>
    <row r="7489" spans="1:9" ht="15.75" thickBot="1" x14ac:dyDescent="0.3">
      <c r="A7489" s="43" t="s">
        <v>15533</v>
      </c>
      <c r="B7489" s="21" t="s">
        <v>15534</v>
      </c>
      <c r="C7489" s="21" t="s">
        <v>22672</v>
      </c>
      <c r="D7489" s="22">
        <v>46034</v>
      </c>
      <c r="E7489" s="23" t="s">
        <v>22661</v>
      </c>
      <c r="F7489" s="24" t="s">
        <v>22657</v>
      </c>
      <c r="G7489" s="25">
        <v>4</v>
      </c>
      <c r="H7489" s="29"/>
      <c r="I7489" s="30"/>
    </row>
    <row r="7490" spans="1:9" ht="15.75" thickBot="1" x14ac:dyDescent="0.3">
      <c r="A7490" s="43" t="s">
        <v>15535</v>
      </c>
      <c r="B7490" s="21" t="s">
        <v>15536</v>
      </c>
      <c r="C7490" s="21" t="s">
        <v>22672</v>
      </c>
      <c r="D7490" s="22">
        <v>46034</v>
      </c>
      <c r="E7490" s="23" t="s">
        <v>22656</v>
      </c>
      <c r="F7490" s="24" t="s">
        <v>22657</v>
      </c>
      <c r="G7490" s="25">
        <v>4</v>
      </c>
      <c r="H7490" s="26"/>
      <c r="I7490" s="27"/>
    </row>
    <row r="7491" spans="1:9" ht="15.75" thickBot="1" x14ac:dyDescent="0.3">
      <c r="A7491" s="43" t="s">
        <v>15537</v>
      </c>
      <c r="B7491" s="21" t="s">
        <v>15538</v>
      </c>
      <c r="C7491" s="21" t="s">
        <v>22672</v>
      </c>
      <c r="D7491" s="22">
        <v>46034</v>
      </c>
      <c r="E7491" s="23" t="s">
        <v>22656</v>
      </c>
      <c r="F7491" s="24" t="s">
        <v>22657</v>
      </c>
      <c r="G7491" s="25">
        <v>4</v>
      </c>
      <c r="H7491" s="29"/>
      <c r="I7491" s="30"/>
    </row>
    <row r="7492" spans="1:9" ht="15.75" thickBot="1" x14ac:dyDescent="0.3">
      <c r="A7492" s="43" t="s">
        <v>15539</v>
      </c>
      <c r="B7492" s="21" t="s">
        <v>15540</v>
      </c>
      <c r="C7492" s="21" t="s">
        <v>22655</v>
      </c>
      <c r="D7492" s="22">
        <v>46034</v>
      </c>
      <c r="E7492" s="23" t="s">
        <v>22658</v>
      </c>
      <c r="F7492" s="24" t="s">
        <v>22657</v>
      </c>
      <c r="G7492" s="25">
        <v>2</v>
      </c>
      <c r="H7492" s="26"/>
      <c r="I7492" s="27"/>
    </row>
    <row r="7493" spans="1:9" ht="15.75" thickBot="1" x14ac:dyDescent="0.3">
      <c r="A7493" s="43" t="s">
        <v>15541</v>
      </c>
      <c r="B7493" s="21" t="s">
        <v>15542</v>
      </c>
      <c r="C7493" s="21" t="s">
        <v>22655</v>
      </c>
      <c r="D7493" s="22">
        <v>46034</v>
      </c>
      <c r="E7493" s="23" t="s">
        <v>22656</v>
      </c>
      <c r="F7493" s="24" t="s">
        <v>22657</v>
      </c>
      <c r="G7493" s="25">
        <v>2</v>
      </c>
      <c r="H7493" s="29"/>
      <c r="I7493" s="30"/>
    </row>
    <row r="7494" spans="1:9" ht="15.75" thickBot="1" x14ac:dyDescent="0.3">
      <c r="A7494" s="43" t="s">
        <v>15543</v>
      </c>
      <c r="B7494" s="21" t="s">
        <v>15544</v>
      </c>
      <c r="C7494" s="21" t="s">
        <v>22655</v>
      </c>
      <c r="D7494" s="22">
        <v>46034</v>
      </c>
      <c r="E7494" s="23" t="s">
        <v>22658</v>
      </c>
      <c r="F7494" s="24" t="s">
        <v>22657</v>
      </c>
      <c r="G7494" s="25">
        <v>2</v>
      </c>
      <c r="H7494" s="26"/>
      <c r="I7494" s="27"/>
    </row>
    <row r="7495" spans="1:9" ht="15.75" thickBot="1" x14ac:dyDescent="0.3">
      <c r="A7495" s="43" t="s">
        <v>15545</v>
      </c>
      <c r="B7495" s="21" t="s">
        <v>15546</v>
      </c>
      <c r="C7495" s="21" t="s">
        <v>22655</v>
      </c>
      <c r="D7495" s="31" t="s">
        <v>22660</v>
      </c>
      <c r="E7495" s="23" t="s">
        <v>22656</v>
      </c>
      <c r="F7495" s="24" t="s">
        <v>22657</v>
      </c>
      <c r="G7495" s="25">
        <v>4</v>
      </c>
      <c r="H7495" s="29"/>
      <c r="I7495" s="30"/>
    </row>
    <row r="7496" spans="1:9" ht="15.75" thickBot="1" x14ac:dyDescent="0.3">
      <c r="A7496" s="43" t="s">
        <v>15547</v>
      </c>
      <c r="B7496" s="21" t="s">
        <v>15548</v>
      </c>
      <c r="C7496" s="21" t="s">
        <v>22655</v>
      </c>
      <c r="D7496" s="31" t="s">
        <v>22660</v>
      </c>
      <c r="E7496" s="23" t="s">
        <v>22656</v>
      </c>
      <c r="F7496" s="24" t="s">
        <v>22657</v>
      </c>
      <c r="G7496" s="25">
        <v>4</v>
      </c>
      <c r="H7496" s="26"/>
      <c r="I7496" s="27"/>
    </row>
    <row r="7497" spans="1:9" ht="15.75" thickBot="1" x14ac:dyDescent="0.3">
      <c r="A7497" s="43" t="s">
        <v>15549</v>
      </c>
      <c r="B7497" s="21" t="s">
        <v>15550</v>
      </c>
      <c r="C7497" s="21" t="s">
        <v>22655</v>
      </c>
      <c r="D7497" s="31" t="s">
        <v>22660</v>
      </c>
      <c r="E7497" s="23" t="s">
        <v>22656</v>
      </c>
      <c r="F7497" s="24" t="s">
        <v>22657</v>
      </c>
      <c r="G7497" s="25">
        <v>4</v>
      </c>
      <c r="H7497" s="29"/>
      <c r="I7497" s="30"/>
    </row>
    <row r="7498" spans="1:9" ht="15.75" thickBot="1" x14ac:dyDescent="0.3">
      <c r="A7498" s="43" t="s">
        <v>15551</v>
      </c>
      <c r="B7498" s="21" t="s">
        <v>15552</v>
      </c>
      <c r="C7498" s="21" t="s">
        <v>22655</v>
      </c>
      <c r="D7498" s="22">
        <v>46046</v>
      </c>
      <c r="E7498" s="23" t="s">
        <v>22656</v>
      </c>
      <c r="F7498" s="24" t="s">
        <v>22657</v>
      </c>
      <c r="G7498" s="25">
        <v>8</v>
      </c>
      <c r="H7498" s="26"/>
      <c r="I7498" s="27"/>
    </row>
    <row r="7499" spans="1:9" ht="15.75" thickBot="1" x14ac:dyDescent="0.3">
      <c r="A7499" s="43" t="s">
        <v>15553</v>
      </c>
      <c r="B7499" s="21" t="s">
        <v>15554</v>
      </c>
      <c r="C7499" s="21" t="s">
        <v>22655</v>
      </c>
      <c r="D7499" s="22">
        <v>46046</v>
      </c>
      <c r="E7499" s="23" t="s">
        <v>22656</v>
      </c>
      <c r="F7499" s="24" t="s">
        <v>22657</v>
      </c>
      <c r="G7499" s="25">
        <v>4</v>
      </c>
      <c r="H7499" s="29"/>
      <c r="I7499" s="30"/>
    </row>
    <row r="7500" spans="1:9" ht="15.75" thickBot="1" x14ac:dyDescent="0.3">
      <c r="A7500" s="43" t="s">
        <v>15555</v>
      </c>
      <c r="B7500" s="21" t="s">
        <v>15556</v>
      </c>
      <c r="C7500" s="21" t="s">
        <v>22672</v>
      </c>
      <c r="D7500" s="22">
        <v>46028</v>
      </c>
      <c r="E7500" s="23" t="s">
        <v>22656</v>
      </c>
      <c r="F7500" s="24" t="s">
        <v>22657</v>
      </c>
      <c r="G7500" s="25">
        <v>2</v>
      </c>
      <c r="H7500" s="26"/>
      <c r="I7500" s="27"/>
    </row>
    <row r="7501" spans="1:9" ht="15.75" thickBot="1" x14ac:dyDescent="0.3">
      <c r="A7501" s="43" t="s">
        <v>15557</v>
      </c>
      <c r="B7501" s="21" t="s">
        <v>15558</v>
      </c>
      <c r="C7501" s="21" t="s">
        <v>22672</v>
      </c>
      <c r="D7501" s="22">
        <v>46028</v>
      </c>
      <c r="E7501" s="23" t="s">
        <v>22656</v>
      </c>
      <c r="F7501" s="24" t="s">
        <v>22657</v>
      </c>
      <c r="G7501" s="25">
        <v>4</v>
      </c>
      <c r="H7501" s="29"/>
      <c r="I7501" s="30"/>
    </row>
    <row r="7502" spans="1:9" ht="15.75" thickBot="1" x14ac:dyDescent="0.3">
      <c r="A7502" s="43" t="s">
        <v>15559</v>
      </c>
      <c r="B7502" s="21" t="s">
        <v>15560</v>
      </c>
      <c r="C7502" s="21" t="s">
        <v>22655</v>
      </c>
      <c r="D7502" s="22">
        <v>46046</v>
      </c>
      <c r="E7502" s="23" t="s">
        <v>22661</v>
      </c>
      <c r="F7502" s="24" t="s">
        <v>22657</v>
      </c>
      <c r="G7502" s="25">
        <v>8</v>
      </c>
      <c r="H7502" s="26"/>
      <c r="I7502" s="27"/>
    </row>
    <row r="7503" spans="1:9" ht="15.75" thickBot="1" x14ac:dyDescent="0.3">
      <c r="A7503" s="43" t="s">
        <v>1759</v>
      </c>
      <c r="B7503" s="21" t="s">
        <v>1760</v>
      </c>
      <c r="C7503" s="21" t="s">
        <v>22667</v>
      </c>
      <c r="D7503" s="31" t="s">
        <v>22730</v>
      </c>
      <c r="E7503" s="23" t="s">
        <v>22665</v>
      </c>
      <c r="F7503" s="24" t="s">
        <v>22657</v>
      </c>
      <c r="G7503" s="25">
        <v>16</v>
      </c>
      <c r="H7503" s="29"/>
      <c r="I7503" s="30"/>
    </row>
    <row r="7504" spans="1:9" ht="15.75" thickBot="1" x14ac:dyDescent="0.3">
      <c r="A7504" s="43" t="s">
        <v>1029</v>
      </c>
      <c r="B7504" s="21" t="s">
        <v>1030</v>
      </c>
      <c r="C7504" s="21" t="s">
        <v>22655</v>
      </c>
      <c r="D7504" s="22">
        <v>46046</v>
      </c>
      <c r="E7504" s="23" t="s">
        <v>22661</v>
      </c>
      <c r="F7504" s="24" t="s">
        <v>22657</v>
      </c>
      <c r="G7504" s="25">
        <v>8</v>
      </c>
      <c r="H7504" s="26"/>
      <c r="I7504" s="27"/>
    </row>
    <row r="7505" spans="1:9" ht="15.75" thickBot="1" x14ac:dyDescent="0.3">
      <c r="A7505" s="43" t="s">
        <v>15561</v>
      </c>
      <c r="B7505" s="21" t="s">
        <v>15562</v>
      </c>
      <c r="C7505" s="21" t="s">
        <v>22798</v>
      </c>
      <c r="D7505" s="39">
        <v>37036</v>
      </c>
      <c r="E7505" s="23" t="s">
        <v>22656</v>
      </c>
      <c r="F7505" s="24" t="s">
        <v>22657</v>
      </c>
      <c r="G7505" s="25">
        <v>4</v>
      </c>
      <c r="H7505" s="29"/>
      <c r="I7505" s="30"/>
    </row>
    <row r="7506" spans="1:9" ht="15.75" thickBot="1" x14ac:dyDescent="0.3">
      <c r="A7506" s="43" t="s">
        <v>15563</v>
      </c>
      <c r="B7506" s="21" t="s">
        <v>15564</v>
      </c>
      <c r="C7506" s="21" t="s">
        <v>22798</v>
      </c>
      <c r="D7506" s="39">
        <v>37036</v>
      </c>
      <c r="E7506" s="23" t="s">
        <v>22656</v>
      </c>
      <c r="F7506" s="24" t="s">
        <v>22657</v>
      </c>
      <c r="G7506" s="25">
        <v>2</v>
      </c>
      <c r="H7506" s="26"/>
      <c r="I7506" s="27"/>
    </row>
    <row r="7507" spans="1:9" ht="15.75" thickBot="1" x14ac:dyDescent="0.3">
      <c r="A7507" s="43" t="s">
        <v>15565</v>
      </c>
      <c r="B7507" s="21" t="s">
        <v>15566</v>
      </c>
      <c r="C7507" s="21" t="s">
        <v>22798</v>
      </c>
      <c r="D7507" s="39">
        <v>37036</v>
      </c>
      <c r="E7507" s="23" t="s">
        <v>22656</v>
      </c>
      <c r="F7507" s="24" t="s">
        <v>22657</v>
      </c>
      <c r="G7507" s="25">
        <v>2</v>
      </c>
      <c r="H7507" s="29"/>
      <c r="I7507" s="30"/>
    </row>
    <row r="7508" spans="1:9" ht="15.75" thickBot="1" x14ac:dyDescent="0.3">
      <c r="A7508" s="43" t="s">
        <v>15567</v>
      </c>
      <c r="B7508" s="21" t="s">
        <v>15568</v>
      </c>
      <c r="C7508" s="21" t="s">
        <v>22798</v>
      </c>
      <c r="D7508" s="39">
        <v>37036</v>
      </c>
      <c r="E7508" s="23" t="s">
        <v>22656</v>
      </c>
      <c r="F7508" s="24" t="s">
        <v>22657</v>
      </c>
      <c r="G7508" s="25">
        <v>2</v>
      </c>
      <c r="H7508" s="26"/>
      <c r="I7508" s="27"/>
    </row>
    <row r="7509" spans="1:9" ht="15.75" thickBot="1" x14ac:dyDescent="0.3">
      <c r="A7509" s="43" t="s">
        <v>15569</v>
      </c>
      <c r="B7509" s="21" t="s">
        <v>15570</v>
      </c>
      <c r="C7509" s="21" t="s">
        <v>22798</v>
      </c>
      <c r="D7509" s="39">
        <v>37036</v>
      </c>
      <c r="E7509" s="23" t="s">
        <v>22656</v>
      </c>
      <c r="F7509" s="24" t="s">
        <v>22657</v>
      </c>
      <c r="G7509" s="25">
        <v>2</v>
      </c>
      <c r="H7509" s="29"/>
      <c r="I7509" s="30"/>
    </row>
    <row r="7510" spans="1:9" ht="15.75" thickBot="1" x14ac:dyDescent="0.3">
      <c r="A7510" s="43" t="s">
        <v>15571</v>
      </c>
      <c r="B7510" s="21" t="s">
        <v>15572</v>
      </c>
      <c r="C7510" s="21" t="s">
        <v>22798</v>
      </c>
      <c r="D7510" s="39">
        <v>37036</v>
      </c>
      <c r="E7510" s="23" t="s">
        <v>22661</v>
      </c>
      <c r="F7510" s="24" t="s">
        <v>22657</v>
      </c>
      <c r="G7510" s="25">
        <v>9</v>
      </c>
      <c r="H7510" s="26"/>
      <c r="I7510" s="27"/>
    </row>
    <row r="7511" spans="1:9" ht="15.75" thickBot="1" x14ac:dyDescent="0.3">
      <c r="A7511" s="43" t="s">
        <v>15573</v>
      </c>
      <c r="B7511" s="21" t="s">
        <v>15574</v>
      </c>
      <c r="C7511" s="21" t="s">
        <v>22798</v>
      </c>
      <c r="D7511" s="39">
        <v>37036</v>
      </c>
      <c r="E7511" s="23" t="s">
        <v>22656</v>
      </c>
      <c r="F7511" s="24" t="s">
        <v>22657</v>
      </c>
      <c r="G7511" s="25">
        <v>2</v>
      </c>
      <c r="H7511" s="29"/>
      <c r="I7511" s="30"/>
    </row>
    <row r="7512" spans="1:9" ht="15.75" thickBot="1" x14ac:dyDescent="0.3">
      <c r="A7512" s="43" t="s">
        <v>15575</v>
      </c>
      <c r="B7512" s="21" t="s">
        <v>15576</v>
      </c>
      <c r="C7512" s="21" t="s">
        <v>22798</v>
      </c>
      <c r="D7512" s="39">
        <v>37036</v>
      </c>
      <c r="E7512" s="23" t="s">
        <v>22656</v>
      </c>
      <c r="F7512" s="24" t="s">
        <v>22657</v>
      </c>
      <c r="G7512" s="25">
        <v>9</v>
      </c>
      <c r="H7512" s="26"/>
      <c r="I7512" s="27"/>
    </row>
    <row r="7513" spans="1:9" ht="15.75" thickBot="1" x14ac:dyDescent="0.3">
      <c r="A7513" s="43" t="s">
        <v>15577</v>
      </c>
      <c r="B7513" s="21" t="s">
        <v>15578</v>
      </c>
      <c r="C7513" s="21" t="s">
        <v>22798</v>
      </c>
      <c r="D7513" s="39">
        <v>37036</v>
      </c>
      <c r="E7513" s="23" t="s">
        <v>22656</v>
      </c>
      <c r="F7513" s="24" t="s">
        <v>22657</v>
      </c>
      <c r="G7513" s="25">
        <v>2</v>
      </c>
      <c r="H7513" s="29"/>
      <c r="I7513" s="30"/>
    </row>
    <row r="7514" spans="1:9" ht="15.75" thickBot="1" x14ac:dyDescent="0.3">
      <c r="A7514" s="43" t="s">
        <v>15579</v>
      </c>
      <c r="B7514" s="21" t="s">
        <v>15580</v>
      </c>
      <c r="C7514" s="21" t="s">
        <v>22798</v>
      </c>
      <c r="D7514" s="39">
        <v>37036</v>
      </c>
      <c r="E7514" s="23" t="s">
        <v>22656</v>
      </c>
      <c r="F7514" s="24" t="s">
        <v>22657</v>
      </c>
      <c r="G7514" s="25">
        <v>2</v>
      </c>
      <c r="H7514" s="26"/>
      <c r="I7514" s="27"/>
    </row>
    <row r="7515" spans="1:9" ht="15.75" thickBot="1" x14ac:dyDescent="0.3">
      <c r="A7515" s="43" t="s">
        <v>15581</v>
      </c>
      <c r="B7515" s="21" t="s">
        <v>15582</v>
      </c>
      <c r="C7515" s="21" t="s">
        <v>22798</v>
      </c>
      <c r="D7515" s="39">
        <v>37036</v>
      </c>
      <c r="E7515" s="23" t="s">
        <v>22656</v>
      </c>
      <c r="F7515" s="24" t="s">
        <v>22657</v>
      </c>
      <c r="G7515" s="25">
        <v>2</v>
      </c>
      <c r="H7515" s="29"/>
      <c r="I7515" s="30"/>
    </row>
    <row r="7516" spans="1:9" ht="15.75" thickBot="1" x14ac:dyDescent="0.3">
      <c r="A7516" s="43" t="s">
        <v>15583</v>
      </c>
      <c r="B7516" s="21" t="s">
        <v>15584</v>
      </c>
      <c r="C7516" s="21" t="s">
        <v>22798</v>
      </c>
      <c r="D7516" s="39">
        <v>37036</v>
      </c>
      <c r="E7516" s="23" t="s">
        <v>22656</v>
      </c>
      <c r="F7516" s="24" t="s">
        <v>22657</v>
      </c>
      <c r="G7516" s="25">
        <v>2</v>
      </c>
      <c r="H7516" s="26"/>
      <c r="I7516" s="27"/>
    </row>
    <row r="7517" spans="1:9" ht="15.75" thickBot="1" x14ac:dyDescent="0.3">
      <c r="A7517" s="43" t="s">
        <v>15585</v>
      </c>
      <c r="B7517" s="21" t="s">
        <v>15586</v>
      </c>
      <c r="C7517" s="21" t="s">
        <v>22798</v>
      </c>
      <c r="D7517" s="39">
        <v>37036</v>
      </c>
      <c r="E7517" s="23" t="s">
        <v>22661</v>
      </c>
      <c r="F7517" s="24" t="s">
        <v>22657</v>
      </c>
      <c r="G7517" s="25">
        <v>9</v>
      </c>
      <c r="H7517" s="29"/>
      <c r="I7517" s="30"/>
    </row>
    <row r="7518" spans="1:9" ht="15.75" thickBot="1" x14ac:dyDescent="0.3">
      <c r="A7518" s="43" t="s">
        <v>15587</v>
      </c>
      <c r="B7518" s="21" t="s">
        <v>15588</v>
      </c>
      <c r="C7518" s="21" t="s">
        <v>22798</v>
      </c>
      <c r="D7518" s="39">
        <v>37036</v>
      </c>
      <c r="E7518" s="23" t="s">
        <v>22656</v>
      </c>
      <c r="F7518" s="24" t="s">
        <v>22657</v>
      </c>
      <c r="G7518" s="25">
        <v>2</v>
      </c>
      <c r="H7518" s="26"/>
      <c r="I7518" s="27"/>
    </row>
    <row r="7519" spans="1:9" ht="15.75" thickBot="1" x14ac:dyDescent="0.3">
      <c r="A7519" s="43" t="s">
        <v>15589</v>
      </c>
      <c r="B7519" s="21" t="s">
        <v>15590</v>
      </c>
      <c r="C7519" s="21" t="s">
        <v>22798</v>
      </c>
      <c r="D7519" s="39">
        <v>37036</v>
      </c>
      <c r="E7519" s="23" t="s">
        <v>22656</v>
      </c>
      <c r="F7519" s="24" t="s">
        <v>22657</v>
      </c>
      <c r="G7519" s="25">
        <v>9</v>
      </c>
      <c r="H7519" s="29"/>
      <c r="I7519" s="30"/>
    </row>
    <row r="7520" spans="1:9" ht="15.75" thickBot="1" x14ac:dyDescent="0.3">
      <c r="A7520" s="43" t="s">
        <v>15591</v>
      </c>
      <c r="B7520" s="21" t="s">
        <v>15592</v>
      </c>
      <c r="C7520" s="21" t="s">
        <v>22798</v>
      </c>
      <c r="D7520" s="39">
        <v>37036</v>
      </c>
      <c r="E7520" s="23" t="s">
        <v>22656</v>
      </c>
      <c r="F7520" s="24" t="s">
        <v>22657</v>
      </c>
      <c r="G7520" s="25">
        <v>9</v>
      </c>
      <c r="H7520" s="26"/>
      <c r="I7520" s="27"/>
    </row>
    <row r="7521" spans="1:9" ht="15.75" thickBot="1" x14ac:dyDescent="0.3">
      <c r="A7521" s="43" t="s">
        <v>15593</v>
      </c>
      <c r="B7521" s="21" t="s">
        <v>15594</v>
      </c>
      <c r="C7521" s="21" t="s">
        <v>22798</v>
      </c>
      <c r="D7521" s="39">
        <v>37036</v>
      </c>
      <c r="E7521" s="23" t="s">
        <v>22656</v>
      </c>
      <c r="F7521" s="24" t="s">
        <v>22657</v>
      </c>
      <c r="G7521" s="25">
        <v>9</v>
      </c>
      <c r="H7521" s="29"/>
      <c r="I7521" s="30"/>
    </row>
    <row r="7522" spans="1:9" ht="15.75" thickBot="1" x14ac:dyDescent="0.3">
      <c r="A7522" s="43" t="s">
        <v>15595</v>
      </c>
      <c r="B7522" s="21" t="s">
        <v>15596</v>
      </c>
      <c r="C7522" s="21" t="s">
        <v>22798</v>
      </c>
      <c r="D7522" s="39">
        <v>37036</v>
      </c>
      <c r="E7522" s="23" t="s">
        <v>22658</v>
      </c>
      <c r="F7522" s="24" t="s">
        <v>22657</v>
      </c>
      <c r="G7522" s="25">
        <v>2</v>
      </c>
      <c r="H7522" s="26"/>
      <c r="I7522" s="27"/>
    </row>
    <row r="7523" spans="1:9" ht="15.75" thickBot="1" x14ac:dyDescent="0.3">
      <c r="A7523" s="43" t="s">
        <v>15597</v>
      </c>
      <c r="B7523" s="21" t="s">
        <v>15598</v>
      </c>
      <c r="C7523" s="21" t="s">
        <v>22798</v>
      </c>
      <c r="D7523" s="39">
        <v>37036</v>
      </c>
      <c r="E7523" s="23" t="s">
        <v>22656</v>
      </c>
      <c r="F7523" s="24" t="s">
        <v>22657</v>
      </c>
      <c r="G7523" s="25">
        <v>3</v>
      </c>
      <c r="H7523" s="29"/>
      <c r="I7523" s="30"/>
    </row>
    <row r="7524" spans="1:9" ht="15.75" thickBot="1" x14ac:dyDescent="0.3">
      <c r="A7524" s="43" t="s">
        <v>15599</v>
      </c>
      <c r="B7524" s="21" t="s">
        <v>15600</v>
      </c>
      <c r="C7524" s="21" t="s">
        <v>22798</v>
      </c>
      <c r="D7524" s="39">
        <v>37036</v>
      </c>
      <c r="E7524" s="23" t="s">
        <v>22656</v>
      </c>
      <c r="F7524" s="24" t="s">
        <v>22657</v>
      </c>
      <c r="G7524" s="25">
        <v>9</v>
      </c>
      <c r="H7524" s="26"/>
      <c r="I7524" s="27"/>
    </row>
    <row r="7525" spans="1:9" ht="15.75" thickBot="1" x14ac:dyDescent="0.3">
      <c r="A7525" s="43" t="s">
        <v>15601</v>
      </c>
      <c r="B7525" s="21" t="s">
        <v>15602</v>
      </c>
      <c r="C7525" s="21" t="s">
        <v>22798</v>
      </c>
      <c r="D7525" s="39">
        <v>37036</v>
      </c>
      <c r="E7525" s="23" t="s">
        <v>22656</v>
      </c>
      <c r="F7525" s="24" t="s">
        <v>22657</v>
      </c>
      <c r="G7525" s="25">
        <v>2</v>
      </c>
      <c r="H7525" s="29"/>
      <c r="I7525" s="30"/>
    </row>
    <row r="7526" spans="1:9" ht="15.75" thickBot="1" x14ac:dyDescent="0.3">
      <c r="A7526" s="43" t="s">
        <v>15603</v>
      </c>
      <c r="B7526" s="21" t="s">
        <v>15604</v>
      </c>
      <c r="C7526" s="21" t="s">
        <v>22798</v>
      </c>
      <c r="D7526" s="39">
        <v>37036</v>
      </c>
      <c r="E7526" s="23" t="s">
        <v>22656</v>
      </c>
      <c r="F7526" s="24" t="s">
        <v>22657</v>
      </c>
      <c r="G7526" s="25">
        <v>2</v>
      </c>
      <c r="H7526" s="26"/>
      <c r="I7526" s="27"/>
    </row>
    <row r="7527" spans="1:9" ht="15.75" thickBot="1" x14ac:dyDescent="0.3">
      <c r="A7527" s="43" t="s">
        <v>15605</v>
      </c>
      <c r="B7527" s="21" t="s">
        <v>15606</v>
      </c>
      <c r="C7527" s="21" t="s">
        <v>22798</v>
      </c>
      <c r="D7527" s="39">
        <v>37036</v>
      </c>
      <c r="E7527" s="23" t="s">
        <v>22656</v>
      </c>
      <c r="F7527" s="24" t="s">
        <v>22657</v>
      </c>
      <c r="G7527" s="25">
        <v>2</v>
      </c>
      <c r="H7527" s="29"/>
      <c r="I7527" s="30"/>
    </row>
    <row r="7528" spans="1:9" ht="15.75" thickBot="1" x14ac:dyDescent="0.3">
      <c r="A7528" s="43" t="s">
        <v>15607</v>
      </c>
      <c r="B7528" s="21" t="s">
        <v>15608</v>
      </c>
      <c r="C7528" s="21" t="s">
        <v>22667</v>
      </c>
      <c r="D7528" s="31" t="s">
        <v>22670</v>
      </c>
      <c r="E7528" s="23" t="s">
        <v>22661</v>
      </c>
      <c r="F7528" s="24" t="s">
        <v>22657</v>
      </c>
      <c r="G7528" s="25">
        <v>38</v>
      </c>
      <c r="H7528" s="26"/>
      <c r="I7528" s="27"/>
    </row>
    <row r="7529" spans="1:9" ht="15.75" thickBot="1" x14ac:dyDescent="0.3">
      <c r="A7529" s="43" t="s">
        <v>15609</v>
      </c>
      <c r="B7529" s="21" t="s">
        <v>15610</v>
      </c>
      <c r="C7529" s="21" t="s">
        <v>22663</v>
      </c>
      <c r="D7529" s="31">
        <v>1</v>
      </c>
      <c r="E7529" s="23" t="s">
        <v>22658</v>
      </c>
      <c r="F7529" s="24" t="s">
        <v>22657</v>
      </c>
      <c r="G7529" s="25">
        <v>1</v>
      </c>
      <c r="H7529" s="29"/>
      <c r="I7529" s="30"/>
    </row>
    <row r="7530" spans="1:9" ht="15.75" thickBot="1" x14ac:dyDescent="0.3">
      <c r="A7530" s="43" t="s">
        <v>15611</v>
      </c>
      <c r="B7530" s="21" t="s">
        <v>15612</v>
      </c>
      <c r="C7530" s="21" t="s">
        <v>22682</v>
      </c>
      <c r="D7530" s="22">
        <v>46034</v>
      </c>
      <c r="E7530" s="23" t="s">
        <v>22656</v>
      </c>
      <c r="F7530" s="24" t="s">
        <v>22657</v>
      </c>
      <c r="G7530" s="25">
        <v>4</v>
      </c>
      <c r="H7530" s="26"/>
      <c r="I7530" s="27"/>
    </row>
    <row r="7531" spans="1:9" ht="15.75" thickBot="1" x14ac:dyDescent="0.3">
      <c r="A7531" s="43" t="s">
        <v>15613</v>
      </c>
      <c r="B7531" s="21" t="s">
        <v>15614</v>
      </c>
      <c r="C7531" s="21" t="s">
        <v>22682</v>
      </c>
      <c r="D7531" s="22">
        <v>46034</v>
      </c>
      <c r="E7531" s="23" t="s">
        <v>22656</v>
      </c>
      <c r="F7531" s="24" t="s">
        <v>22657</v>
      </c>
      <c r="G7531" s="25">
        <v>4</v>
      </c>
      <c r="H7531" s="29"/>
      <c r="I7531" s="30"/>
    </row>
    <row r="7532" spans="1:9" ht="15.75" thickBot="1" x14ac:dyDescent="0.3">
      <c r="A7532" s="43" t="s">
        <v>15615</v>
      </c>
      <c r="B7532" s="21" t="s">
        <v>15616</v>
      </c>
      <c r="C7532" s="21" t="s">
        <v>22682</v>
      </c>
      <c r="D7532" s="22">
        <v>46034</v>
      </c>
      <c r="E7532" s="23" t="s">
        <v>22658</v>
      </c>
      <c r="F7532" s="24" t="s">
        <v>22657</v>
      </c>
      <c r="G7532" s="25">
        <v>4</v>
      </c>
      <c r="H7532" s="26"/>
      <c r="I7532" s="27"/>
    </row>
    <row r="7533" spans="1:9" ht="15.75" thickBot="1" x14ac:dyDescent="0.3">
      <c r="A7533" s="43" t="s">
        <v>15617</v>
      </c>
      <c r="B7533" s="21" t="s">
        <v>15618</v>
      </c>
      <c r="C7533" s="21" t="s">
        <v>22682</v>
      </c>
      <c r="D7533" s="22">
        <v>46034</v>
      </c>
      <c r="E7533" s="23" t="s">
        <v>22658</v>
      </c>
      <c r="F7533" s="24" t="s">
        <v>22657</v>
      </c>
      <c r="G7533" s="25">
        <v>4</v>
      </c>
      <c r="H7533" s="29"/>
      <c r="I7533" s="30"/>
    </row>
    <row r="7534" spans="1:9" ht="15.75" thickBot="1" x14ac:dyDescent="0.3">
      <c r="A7534" s="43" t="s">
        <v>15619</v>
      </c>
      <c r="B7534" s="21" t="s">
        <v>15620</v>
      </c>
      <c r="C7534" s="21" t="s">
        <v>22849</v>
      </c>
      <c r="D7534" s="22">
        <v>46047</v>
      </c>
      <c r="E7534" s="23" t="s">
        <v>22656</v>
      </c>
      <c r="F7534" s="24" t="s">
        <v>22657</v>
      </c>
      <c r="G7534" s="25">
        <v>2</v>
      </c>
      <c r="H7534" s="26"/>
      <c r="I7534" s="27"/>
    </row>
    <row r="7535" spans="1:9" ht="15.75" thickBot="1" x14ac:dyDescent="0.3">
      <c r="A7535" s="43" t="s">
        <v>15621</v>
      </c>
      <c r="B7535" s="21" t="s">
        <v>15622</v>
      </c>
      <c r="C7535" s="21" t="s">
        <v>22725</v>
      </c>
      <c r="D7535" s="22">
        <v>46047</v>
      </c>
      <c r="E7535" s="23" t="s">
        <v>22656</v>
      </c>
      <c r="F7535" s="24" t="s">
        <v>22657</v>
      </c>
      <c r="G7535" s="25">
        <v>2</v>
      </c>
      <c r="H7535" s="29"/>
      <c r="I7535" s="30"/>
    </row>
    <row r="7536" spans="1:9" ht="15.75" thickBot="1" x14ac:dyDescent="0.3">
      <c r="A7536" s="43" t="s">
        <v>15623</v>
      </c>
      <c r="B7536" s="21" t="s">
        <v>15624</v>
      </c>
      <c r="C7536" s="21" t="s">
        <v>22725</v>
      </c>
      <c r="D7536" s="22">
        <v>46047</v>
      </c>
      <c r="E7536" s="23" t="s">
        <v>22658</v>
      </c>
      <c r="F7536" s="24" t="s">
        <v>22657</v>
      </c>
      <c r="G7536" s="25">
        <v>2</v>
      </c>
      <c r="H7536" s="26"/>
      <c r="I7536" s="27"/>
    </row>
    <row r="7537" spans="1:9" ht="15.75" thickBot="1" x14ac:dyDescent="0.3">
      <c r="A7537" s="43" t="s">
        <v>15625</v>
      </c>
      <c r="B7537" s="21" t="s">
        <v>15626</v>
      </c>
      <c r="C7537" s="21" t="s">
        <v>22849</v>
      </c>
      <c r="D7537" s="22">
        <v>46047</v>
      </c>
      <c r="E7537" s="23" t="s">
        <v>22658</v>
      </c>
      <c r="F7537" s="24" t="s">
        <v>22657</v>
      </c>
      <c r="G7537" s="25">
        <v>2</v>
      </c>
      <c r="H7537" s="29"/>
      <c r="I7537" s="30"/>
    </row>
    <row r="7538" spans="1:9" ht="15.75" thickBot="1" x14ac:dyDescent="0.3">
      <c r="A7538" s="43" t="s">
        <v>15627</v>
      </c>
      <c r="B7538" s="21" t="s">
        <v>15628</v>
      </c>
      <c r="C7538" s="21" t="s">
        <v>22849</v>
      </c>
      <c r="D7538" s="22">
        <v>46047</v>
      </c>
      <c r="E7538" s="23" t="s">
        <v>22658</v>
      </c>
      <c r="F7538" s="24" t="s">
        <v>22657</v>
      </c>
      <c r="G7538" s="25">
        <v>2</v>
      </c>
      <c r="H7538" s="26"/>
      <c r="I7538" s="27"/>
    </row>
    <row r="7539" spans="1:9" ht="15.75" thickBot="1" x14ac:dyDescent="0.3">
      <c r="A7539" s="43" t="s">
        <v>15629</v>
      </c>
      <c r="B7539" s="21" t="s">
        <v>15630</v>
      </c>
      <c r="C7539" s="21" t="s">
        <v>22849</v>
      </c>
      <c r="D7539" s="22">
        <v>46047</v>
      </c>
      <c r="E7539" s="23" t="s">
        <v>22658</v>
      </c>
      <c r="F7539" s="24" t="s">
        <v>22657</v>
      </c>
      <c r="G7539" s="25">
        <v>2</v>
      </c>
      <c r="H7539" s="29"/>
      <c r="I7539" s="30"/>
    </row>
    <row r="7540" spans="1:9" ht="15.75" thickBot="1" x14ac:dyDescent="0.3">
      <c r="A7540" s="43" t="s">
        <v>15631</v>
      </c>
      <c r="B7540" s="21" t="s">
        <v>15632</v>
      </c>
      <c r="C7540" s="21" t="s">
        <v>22725</v>
      </c>
      <c r="D7540" s="22">
        <v>46047</v>
      </c>
      <c r="E7540" s="23" t="s">
        <v>22658</v>
      </c>
      <c r="F7540" s="24" t="s">
        <v>22657</v>
      </c>
      <c r="G7540" s="25">
        <v>2</v>
      </c>
      <c r="H7540" s="26"/>
      <c r="I7540" s="27"/>
    </row>
    <row r="7541" spans="1:9" ht="15.75" thickBot="1" x14ac:dyDescent="0.3">
      <c r="A7541" s="43" t="s">
        <v>15633</v>
      </c>
      <c r="B7541" s="21" t="s">
        <v>15634</v>
      </c>
      <c r="C7541" s="21" t="s">
        <v>22849</v>
      </c>
      <c r="D7541" s="22">
        <v>46047</v>
      </c>
      <c r="E7541" s="23" t="s">
        <v>22658</v>
      </c>
      <c r="F7541" s="24" t="s">
        <v>22657</v>
      </c>
      <c r="G7541" s="25">
        <v>2</v>
      </c>
      <c r="H7541" s="29"/>
      <c r="I7541" s="30"/>
    </row>
    <row r="7542" spans="1:9" ht="15.75" thickBot="1" x14ac:dyDescent="0.3">
      <c r="A7542" s="43" t="s">
        <v>15635</v>
      </c>
      <c r="B7542" s="21" t="s">
        <v>15636</v>
      </c>
      <c r="C7542" s="21" t="s">
        <v>22698</v>
      </c>
      <c r="D7542" s="31">
        <v>1</v>
      </c>
      <c r="E7542" s="23" t="s">
        <v>22658</v>
      </c>
      <c r="F7542" s="24" t="s">
        <v>22657</v>
      </c>
      <c r="G7542" s="25">
        <v>2</v>
      </c>
      <c r="H7542" s="26"/>
      <c r="I7542" s="27"/>
    </row>
    <row r="7543" spans="1:9" ht="15.75" thickBot="1" x14ac:dyDescent="0.3">
      <c r="A7543" s="43" t="s">
        <v>15637</v>
      </c>
      <c r="B7543" s="21" t="s">
        <v>15638</v>
      </c>
      <c r="C7543" s="21" t="s">
        <v>22717</v>
      </c>
      <c r="D7543" s="31" t="s">
        <v>22850</v>
      </c>
      <c r="E7543" s="23" t="s">
        <v>22658</v>
      </c>
      <c r="F7543" s="24" t="s">
        <v>22657</v>
      </c>
      <c r="G7543" s="25">
        <v>2</v>
      </c>
      <c r="H7543" s="29"/>
      <c r="I7543" s="30"/>
    </row>
    <row r="7544" spans="1:9" ht="15.75" thickBot="1" x14ac:dyDescent="0.3">
      <c r="A7544" s="43" t="s">
        <v>15639</v>
      </c>
      <c r="B7544" s="21" t="s">
        <v>15640</v>
      </c>
      <c r="C7544" s="21" t="s">
        <v>22717</v>
      </c>
      <c r="D7544" s="31" t="s">
        <v>22850</v>
      </c>
      <c r="E7544" s="23" t="s">
        <v>22658</v>
      </c>
      <c r="F7544" s="24" t="s">
        <v>22657</v>
      </c>
      <c r="G7544" s="25">
        <v>2</v>
      </c>
      <c r="H7544" s="26"/>
      <c r="I7544" s="27"/>
    </row>
    <row r="7545" spans="1:9" ht="15.75" thickBot="1" x14ac:dyDescent="0.3">
      <c r="A7545" s="43" t="s">
        <v>15641</v>
      </c>
      <c r="B7545" s="21" t="s">
        <v>15642</v>
      </c>
      <c r="C7545" s="21" t="s">
        <v>22667</v>
      </c>
      <c r="D7545" s="31" t="s">
        <v>22802</v>
      </c>
      <c r="E7545" s="23" t="s">
        <v>22656</v>
      </c>
      <c r="F7545" s="24" t="s">
        <v>22657</v>
      </c>
      <c r="G7545" s="25">
        <v>2</v>
      </c>
      <c r="H7545" s="29"/>
      <c r="I7545" s="30"/>
    </row>
    <row r="7546" spans="1:9" ht="15.75" thickBot="1" x14ac:dyDescent="0.3">
      <c r="A7546" s="43" t="s">
        <v>15643</v>
      </c>
      <c r="B7546" s="21" t="s">
        <v>15644</v>
      </c>
      <c r="C7546" s="21" t="s">
        <v>22667</v>
      </c>
      <c r="D7546" s="31" t="s">
        <v>22802</v>
      </c>
      <c r="E7546" s="23" t="s">
        <v>22656</v>
      </c>
      <c r="F7546" s="24" t="s">
        <v>22657</v>
      </c>
      <c r="G7546" s="25">
        <v>3</v>
      </c>
      <c r="H7546" s="26"/>
      <c r="I7546" s="27"/>
    </row>
    <row r="7547" spans="1:9" ht="15.75" thickBot="1" x14ac:dyDescent="0.3">
      <c r="A7547" s="43" t="s">
        <v>15645</v>
      </c>
      <c r="B7547" s="21" t="s">
        <v>15646</v>
      </c>
      <c r="C7547" s="21" t="s">
        <v>22667</v>
      </c>
      <c r="D7547" s="31" t="s">
        <v>22802</v>
      </c>
      <c r="E7547" s="23" t="s">
        <v>22656</v>
      </c>
      <c r="F7547" s="24" t="s">
        <v>22657</v>
      </c>
      <c r="G7547" s="25">
        <v>2</v>
      </c>
      <c r="H7547" s="29"/>
      <c r="I7547" s="30"/>
    </row>
    <row r="7548" spans="1:9" ht="15.75" thickBot="1" x14ac:dyDescent="0.3">
      <c r="A7548" s="43" t="s">
        <v>15647</v>
      </c>
      <c r="B7548" s="21" t="s">
        <v>15648</v>
      </c>
      <c r="C7548" s="21" t="s">
        <v>22667</v>
      </c>
      <c r="D7548" s="31" t="s">
        <v>22802</v>
      </c>
      <c r="E7548" s="23" t="s">
        <v>22656</v>
      </c>
      <c r="F7548" s="24" t="s">
        <v>22657</v>
      </c>
      <c r="G7548" s="25">
        <v>2</v>
      </c>
      <c r="H7548" s="26"/>
      <c r="I7548" s="27"/>
    </row>
    <row r="7549" spans="1:9" ht="15.75" thickBot="1" x14ac:dyDescent="0.3">
      <c r="A7549" s="43" t="s">
        <v>15649</v>
      </c>
      <c r="B7549" s="21" t="s">
        <v>15650</v>
      </c>
      <c r="C7549" s="21" t="s">
        <v>22667</v>
      </c>
      <c r="D7549" s="31" t="s">
        <v>22802</v>
      </c>
      <c r="E7549" s="23" t="s">
        <v>22656</v>
      </c>
      <c r="F7549" s="24" t="s">
        <v>22657</v>
      </c>
      <c r="G7549" s="25">
        <v>2</v>
      </c>
      <c r="H7549" s="29"/>
      <c r="I7549" s="30"/>
    </row>
    <row r="7550" spans="1:9" ht="15.75" thickBot="1" x14ac:dyDescent="0.3">
      <c r="A7550" s="43" t="s">
        <v>15651</v>
      </c>
      <c r="B7550" s="21" t="s">
        <v>15652</v>
      </c>
      <c r="C7550" s="21" t="s">
        <v>22667</v>
      </c>
      <c r="D7550" s="31" t="s">
        <v>22802</v>
      </c>
      <c r="E7550" s="23" t="s">
        <v>22658</v>
      </c>
      <c r="F7550" s="24" t="s">
        <v>22657</v>
      </c>
      <c r="G7550" s="25">
        <v>2</v>
      </c>
      <c r="H7550" s="26"/>
      <c r="I7550" s="27"/>
    </row>
    <row r="7551" spans="1:9" ht="15.75" thickBot="1" x14ac:dyDescent="0.3">
      <c r="A7551" s="43" t="s">
        <v>15653</v>
      </c>
      <c r="B7551" s="21" t="s">
        <v>15654</v>
      </c>
      <c r="C7551" s="21" t="s">
        <v>22667</v>
      </c>
      <c r="D7551" s="31" t="s">
        <v>22802</v>
      </c>
      <c r="E7551" s="23" t="s">
        <v>22658</v>
      </c>
      <c r="F7551" s="24" t="s">
        <v>22657</v>
      </c>
      <c r="G7551" s="25">
        <v>2</v>
      </c>
      <c r="H7551" s="29"/>
      <c r="I7551" s="30"/>
    </row>
    <row r="7552" spans="1:9" ht="15.75" thickBot="1" x14ac:dyDescent="0.3">
      <c r="A7552" s="43" t="s">
        <v>15655</v>
      </c>
      <c r="B7552" s="21" t="s">
        <v>15656</v>
      </c>
      <c r="C7552" s="21" t="s">
        <v>22667</v>
      </c>
      <c r="D7552" s="31" t="s">
        <v>22802</v>
      </c>
      <c r="E7552" s="23" t="s">
        <v>22656</v>
      </c>
      <c r="F7552" s="24" t="s">
        <v>22657</v>
      </c>
      <c r="G7552" s="25">
        <v>2</v>
      </c>
      <c r="H7552" s="26"/>
      <c r="I7552" s="27"/>
    </row>
    <row r="7553" spans="1:9" ht="15.75" thickBot="1" x14ac:dyDescent="0.3">
      <c r="A7553" s="43" t="s">
        <v>15657</v>
      </c>
      <c r="B7553" s="21" t="s">
        <v>15658</v>
      </c>
      <c r="C7553" s="21" t="s">
        <v>22667</v>
      </c>
      <c r="D7553" s="31" t="s">
        <v>22802</v>
      </c>
      <c r="E7553" s="23" t="s">
        <v>22656</v>
      </c>
      <c r="F7553" s="24" t="s">
        <v>22657</v>
      </c>
      <c r="G7553" s="25">
        <v>2</v>
      </c>
      <c r="H7553" s="29"/>
      <c r="I7553" s="30"/>
    </row>
    <row r="7554" spans="1:9" ht="15.75" thickBot="1" x14ac:dyDescent="0.3">
      <c r="A7554" s="43" t="s">
        <v>15659</v>
      </c>
      <c r="B7554" s="21" t="s">
        <v>15660</v>
      </c>
      <c r="C7554" s="21" t="s">
        <v>22667</v>
      </c>
      <c r="D7554" s="31" t="s">
        <v>22802</v>
      </c>
      <c r="E7554" s="23" t="s">
        <v>22656</v>
      </c>
      <c r="F7554" s="24" t="s">
        <v>22657</v>
      </c>
      <c r="G7554" s="25">
        <v>2</v>
      </c>
      <c r="H7554" s="26"/>
      <c r="I7554" s="27"/>
    </row>
    <row r="7555" spans="1:9" ht="15.75" thickBot="1" x14ac:dyDescent="0.3">
      <c r="A7555" s="43" t="s">
        <v>15661</v>
      </c>
      <c r="B7555" s="21" t="s">
        <v>15662</v>
      </c>
      <c r="C7555" s="21" t="s">
        <v>22667</v>
      </c>
      <c r="D7555" s="31" t="s">
        <v>22851</v>
      </c>
      <c r="E7555" s="23" t="s">
        <v>22656</v>
      </c>
      <c r="F7555" s="24" t="s">
        <v>22657</v>
      </c>
      <c r="G7555" s="25">
        <v>2</v>
      </c>
      <c r="H7555" s="29"/>
      <c r="I7555" s="30"/>
    </row>
    <row r="7556" spans="1:9" ht="15.75" thickBot="1" x14ac:dyDescent="0.3">
      <c r="A7556" s="43" t="s">
        <v>15663</v>
      </c>
      <c r="B7556" s="21" t="s">
        <v>15664</v>
      </c>
      <c r="C7556" s="21" t="s">
        <v>22667</v>
      </c>
      <c r="D7556" s="31" t="s">
        <v>22851</v>
      </c>
      <c r="E7556" s="23" t="s">
        <v>22656</v>
      </c>
      <c r="F7556" s="24" t="s">
        <v>22657</v>
      </c>
      <c r="G7556" s="25">
        <v>2</v>
      </c>
      <c r="H7556" s="26"/>
      <c r="I7556" s="27"/>
    </row>
    <row r="7557" spans="1:9" ht="15.75" thickBot="1" x14ac:dyDescent="0.3">
      <c r="A7557" s="43" t="s">
        <v>15665</v>
      </c>
      <c r="B7557" s="21" t="s">
        <v>15666</v>
      </c>
      <c r="C7557" s="21" t="s">
        <v>22667</v>
      </c>
      <c r="D7557" s="31" t="s">
        <v>22851</v>
      </c>
      <c r="E7557" s="23" t="s">
        <v>22656</v>
      </c>
      <c r="F7557" s="24" t="s">
        <v>22657</v>
      </c>
      <c r="G7557" s="25">
        <v>2</v>
      </c>
      <c r="H7557" s="29"/>
      <c r="I7557" s="30"/>
    </row>
    <row r="7558" spans="1:9" ht="15.75" thickBot="1" x14ac:dyDescent="0.3">
      <c r="A7558" s="43" t="s">
        <v>15667</v>
      </c>
      <c r="B7558" s="21" t="s">
        <v>15668</v>
      </c>
      <c r="C7558" s="21" t="s">
        <v>22667</v>
      </c>
      <c r="D7558" s="31" t="s">
        <v>22851</v>
      </c>
      <c r="E7558" s="23" t="s">
        <v>22656</v>
      </c>
      <c r="F7558" s="24" t="s">
        <v>22657</v>
      </c>
      <c r="G7558" s="25">
        <v>2</v>
      </c>
      <c r="H7558" s="26"/>
      <c r="I7558" s="27"/>
    </row>
    <row r="7559" spans="1:9" ht="15.75" thickBot="1" x14ac:dyDescent="0.3">
      <c r="A7559" s="43" t="s">
        <v>15669</v>
      </c>
      <c r="B7559" s="21" t="s">
        <v>15670</v>
      </c>
      <c r="C7559" s="21" t="s">
        <v>22667</v>
      </c>
      <c r="D7559" s="31" t="s">
        <v>22851</v>
      </c>
      <c r="E7559" s="23" t="s">
        <v>22656</v>
      </c>
      <c r="F7559" s="24" t="s">
        <v>22657</v>
      </c>
      <c r="G7559" s="25">
        <v>2</v>
      </c>
      <c r="H7559" s="29"/>
      <c r="I7559" s="30"/>
    </row>
    <row r="7560" spans="1:9" ht="15.75" thickBot="1" x14ac:dyDescent="0.3">
      <c r="A7560" s="43" t="s">
        <v>15671</v>
      </c>
      <c r="B7560" s="21" t="s">
        <v>15672</v>
      </c>
      <c r="C7560" s="21" t="s">
        <v>22667</v>
      </c>
      <c r="D7560" s="31" t="s">
        <v>22851</v>
      </c>
      <c r="E7560" s="23" t="s">
        <v>22658</v>
      </c>
      <c r="F7560" s="24" t="s">
        <v>22657</v>
      </c>
      <c r="G7560" s="25">
        <v>1</v>
      </c>
      <c r="H7560" s="26"/>
      <c r="I7560" s="27"/>
    </row>
    <row r="7561" spans="1:9" ht="15.75" thickBot="1" x14ac:dyDescent="0.3">
      <c r="A7561" s="43" t="s">
        <v>15673</v>
      </c>
      <c r="B7561" s="21" t="s">
        <v>15674</v>
      </c>
      <c r="C7561" s="21" t="s">
        <v>22667</v>
      </c>
      <c r="D7561" s="31" t="s">
        <v>22851</v>
      </c>
      <c r="E7561" s="23" t="s">
        <v>22656</v>
      </c>
      <c r="F7561" s="24" t="s">
        <v>22657</v>
      </c>
      <c r="G7561" s="25">
        <v>2</v>
      </c>
      <c r="H7561" s="29"/>
      <c r="I7561" s="30"/>
    </row>
    <row r="7562" spans="1:9" ht="15.75" thickBot="1" x14ac:dyDescent="0.3">
      <c r="A7562" s="43" t="s">
        <v>15675</v>
      </c>
      <c r="B7562" s="21" t="s">
        <v>15676</v>
      </c>
      <c r="C7562" s="21" t="s">
        <v>22667</v>
      </c>
      <c r="D7562" s="31" t="s">
        <v>22851</v>
      </c>
      <c r="E7562" s="23" t="s">
        <v>22656</v>
      </c>
      <c r="F7562" s="24" t="s">
        <v>22657</v>
      </c>
      <c r="G7562" s="25">
        <v>2</v>
      </c>
      <c r="H7562" s="26"/>
      <c r="I7562" s="27"/>
    </row>
    <row r="7563" spans="1:9" ht="15.75" thickBot="1" x14ac:dyDescent="0.3">
      <c r="A7563" s="43" t="s">
        <v>15677</v>
      </c>
      <c r="B7563" s="21" t="s">
        <v>15678</v>
      </c>
      <c r="C7563" s="21" t="s">
        <v>22667</v>
      </c>
      <c r="D7563" s="31" t="s">
        <v>22851</v>
      </c>
      <c r="E7563" s="23" t="s">
        <v>22658</v>
      </c>
      <c r="F7563" s="24" t="s">
        <v>22657</v>
      </c>
      <c r="G7563" s="25">
        <v>1</v>
      </c>
      <c r="H7563" s="29"/>
      <c r="I7563" s="30"/>
    </row>
    <row r="7564" spans="1:9" ht="15.75" thickBot="1" x14ac:dyDescent="0.3">
      <c r="A7564" s="43" t="s">
        <v>15679</v>
      </c>
      <c r="B7564" s="21" t="s">
        <v>15680</v>
      </c>
      <c r="C7564" s="21" t="s">
        <v>22667</v>
      </c>
      <c r="D7564" s="31" t="s">
        <v>22851</v>
      </c>
      <c r="E7564" s="23" t="s">
        <v>22656</v>
      </c>
      <c r="F7564" s="24" t="s">
        <v>22657</v>
      </c>
      <c r="G7564" s="25">
        <v>2</v>
      </c>
      <c r="H7564" s="26"/>
      <c r="I7564" s="27"/>
    </row>
    <row r="7565" spans="1:9" ht="15.75" thickBot="1" x14ac:dyDescent="0.3">
      <c r="A7565" s="43" t="s">
        <v>15681</v>
      </c>
      <c r="B7565" s="21" t="s">
        <v>15682</v>
      </c>
      <c r="C7565" s="21" t="s">
        <v>22746</v>
      </c>
      <c r="D7565" s="31" t="s">
        <v>22802</v>
      </c>
      <c r="E7565" s="23" t="s">
        <v>22656</v>
      </c>
      <c r="F7565" s="24" t="s">
        <v>22657</v>
      </c>
      <c r="G7565" s="25">
        <v>2</v>
      </c>
      <c r="H7565" s="29"/>
      <c r="I7565" s="30"/>
    </row>
    <row r="7566" spans="1:9" ht="15.75" thickBot="1" x14ac:dyDescent="0.3">
      <c r="A7566" s="43" t="s">
        <v>15683</v>
      </c>
      <c r="B7566" s="21" t="s">
        <v>15684</v>
      </c>
      <c r="C7566" s="21" t="s">
        <v>22746</v>
      </c>
      <c r="D7566" s="31" t="s">
        <v>22802</v>
      </c>
      <c r="E7566" s="23" t="s">
        <v>22656</v>
      </c>
      <c r="F7566" s="24" t="s">
        <v>22657</v>
      </c>
      <c r="G7566" s="25">
        <v>2</v>
      </c>
      <c r="H7566" s="26"/>
      <c r="I7566" s="27"/>
    </row>
    <row r="7567" spans="1:9" ht="15.75" thickBot="1" x14ac:dyDescent="0.3">
      <c r="A7567" s="43" t="s">
        <v>15685</v>
      </c>
      <c r="B7567" s="21" t="s">
        <v>15686</v>
      </c>
      <c r="C7567" s="21" t="s">
        <v>22746</v>
      </c>
      <c r="D7567" s="31" t="s">
        <v>22802</v>
      </c>
      <c r="E7567" s="23" t="s">
        <v>22656</v>
      </c>
      <c r="F7567" s="24" t="s">
        <v>22657</v>
      </c>
      <c r="G7567" s="25">
        <v>2</v>
      </c>
      <c r="H7567" s="29"/>
      <c r="I7567" s="30"/>
    </row>
    <row r="7568" spans="1:9" ht="15.75" thickBot="1" x14ac:dyDescent="0.3">
      <c r="A7568" s="43" t="s">
        <v>15687</v>
      </c>
      <c r="B7568" s="21" t="s">
        <v>15688</v>
      </c>
      <c r="C7568" s="21" t="s">
        <v>22746</v>
      </c>
      <c r="D7568" s="31" t="s">
        <v>22802</v>
      </c>
      <c r="E7568" s="23" t="s">
        <v>22656</v>
      </c>
      <c r="F7568" s="24" t="s">
        <v>22657</v>
      </c>
      <c r="G7568" s="25">
        <v>2</v>
      </c>
      <c r="H7568" s="26"/>
      <c r="I7568" s="27"/>
    </row>
    <row r="7569" spans="1:9" ht="15.75" thickBot="1" x14ac:dyDescent="0.3">
      <c r="A7569" s="43" t="s">
        <v>15689</v>
      </c>
      <c r="B7569" s="21" t="s">
        <v>15690</v>
      </c>
      <c r="C7569" s="21" t="s">
        <v>22746</v>
      </c>
      <c r="D7569" s="31" t="s">
        <v>22802</v>
      </c>
      <c r="E7569" s="23" t="s">
        <v>22656</v>
      </c>
      <c r="F7569" s="24" t="s">
        <v>22657</v>
      </c>
      <c r="G7569" s="25">
        <v>2</v>
      </c>
      <c r="H7569" s="29"/>
      <c r="I7569" s="30"/>
    </row>
    <row r="7570" spans="1:9" ht="15.75" thickBot="1" x14ac:dyDescent="0.3">
      <c r="A7570" s="43" t="s">
        <v>15691</v>
      </c>
      <c r="B7570" s="21" t="s">
        <v>15692</v>
      </c>
      <c r="C7570" s="21" t="s">
        <v>22746</v>
      </c>
      <c r="D7570" s="31" t="s">
        <v>22802</v>
      </c>
      <c r="E7570" s="23" t="s">
        <v>22656</v>
      </c>
      <c r="F7570" s="24" t="s">
        <v>22657</v>
      </c>
      <c r="G7570" s="25">
        <v>2</v>
      </c>
      <c r="H7570" s="26"/>
      <c r="I7570" s="27"/>
    </row>
    <row r="7571" spans="1:9" ht="15.75" thickBot="1" x14ac:dyDescent="0.3">
      <c r="A7571" s="43" t="s">
        <v>15693</v>
      </c>
      <c r="B7571" s="21" t="s">
        <v>15694</v>
      </c>
      <c r="C7571" s="21" t="s">
        <v>22746</v>
      </c>
      <c r="D7571" s="31" t="s">
        <v>22802</v>
      </c>
      <c r="E7571" s="23" t="s">
        <v>22656</v>
      </c>
      <c r="F7571" s="24" t="s">
        <v>22657</v>
      </c>
      <c r="G7571" s="25">
        <v>2</v>
      </c>
      <c r="H7571" s="29"/>
      <c r="I7571" s="30"/>
    </row>
    <row r="7572" spans="1:9" ht="15.75" thickBot="1" x14ac:dyDescent="0.3">
      <c r="A7572" s="43" t="s">
        <v>15695</v>
      </c>
      <c r="B7572" s="21" t="s">
        <v>15696</v>
      </c>
      <c r="C7572" s="21" t="s">
        <v>22746</v>
      </c>
      <c r="D7572" s="31" t="s">
        <v>22802</v>
      </c>
      <c r="E7572" s="23" t="s">
        <v>22658</v>
      </c>
      <c r="F7572" s="24" t="s">
        <v>22657</v>
      </c>
      <c r="G7572" s="25">
        <v>2</v>
      </c>
      <c r="H7572" s="26"/>
      <c r="I7572" s="27"/>
    </row>
    <row r="7573" spans="1:9" ht="15.75" thickBot="1" x14ac:dyDescent="0.3">
      <c r="A7573" s="43" t="s">
        <v>15697</v>
      </c>
      <c r="B7573" s="21" t="s">
        <v>15698</v>
      </c>
      <c r="C7573" s="21" t="s">
        <v>22746</v>
      </c>
      <c r="D7573" s="31" t="s">
        <v>22802</v>
      </c>
      <c r="E7573" s="23" t="s">
        <v>22656</v>
      </c>
      <c r="F7573" s="24" t="s">
        <v>22657</v>
      </c>
      <c r="G7573" s="25">
        <v>4</v>
      </c>
      <c r="H7573" s="29"/>
      <c r="I7573" s="30"/>
    </row>
    <row r="7574" spans="1:9" ht="15.75" thickBot="1" x14ac:dyDescent="0.3">
      <c r="A7574" s="43" t="s">
        <v>15699</v>
      </c>
      <c r="B7574" s="21" t="s">
        <v>15700</v>
      </c>
      <c r="C7574" s="21" t="s">
        <v>22746</v>
      </c>
      <c r="D7574" s="31" t="s">
        <v>22802</v>
      </c>
      <c r="E7574" s="23" t="s">
        <v>22656</v>
      </c>
      <c r="F7574" s="24" t="s">
        <v>22657</v>
      </c>
      <c r="G7574" s="25">
        <v>2</v>
      </c>
      <c r="H7574" s="26"/>
      <c r="I7574" s="27"/>
    </row>
    <row r="7575" spans="1:9" ht="15.75" thickBot="1" x14ac:dyDescent="0.3">
      <c r="A7575" s="43" t="s">
        <v>15701</v>
      </c>
      <c r="B7575" s="21" t="s">
        <v>15702</v>
      </c>
      <c r="C7575" s="21" t="s">
        <v>22746</v>
      </c>
      <c r="D7575" s="31" t="s">
        <v>22802</v>
      </c>
      <c r="E7575" s="23" t="s">
        <v>22656</v>
      </c>
      <c r="F7575" s="24" t="s">
        <v>22657</v>
      </c>
      <c r="G7575" s="25">
        <v>2</v>
      </c>
      <c r="H7575" s="29"/>
      <c r="I7575" s="30"/>
    </row>
    <row r="7576" spans="1:9" ht="15.75" thickBot="1" x14ac:dyDescent="0.3">
      <c r="A7576" s="43" t="s">
        <v>15703</v>
      </c>
      <c r="B7576" s="21" t="s">
        <v>15704</v>
      </c>
      <c r="C7576" s="21" t="s">
        <v>22746</v>
      </c>
      <c r="D7576" s="31" t="s">
        <v>22802</v>
      </c>
      <c r="E7576" s="23" t="s">
        <v>22656</v>
      </c>
      <c r="F7576" s="24" t="s">
        <v>22657</v>
      </c>
      <c r="G7576" s="25">
        <v>3</v>
      </c>
      <c r="H7576" s="26"/>
      <c r="I7576" s="27"/>
    </row>
    <row r="7577" spans="1:9" ht="15.75" thickBot="1" x14ac:dyDescent="0.3">
      <c r="A7577" s="43" t="s">
        <v>15705</v>
      </c>
      <c r="B7577" s="21" t="s">
        <v>15706</v>
      </c>
      <c r="C7577" s="21" t="s">
        <v>22746</v>
      </c>
      <c r="D7577" s="31" t="s">
        <v>22802</v>
      </c>
      <c r="E7577" s="23" t="s">
        <v>22656</v>
      </c>
      <c r="F7577" s="24" t="s">
        <v>22657</v>
      </c>
      <c r="G7577" s="25">
        <v>2</v>
      </c>
      <c r="H7577" s="29"/>
      <c r="I7577" s="30"/>
    </row>
    <row r="7578" spans="1:9" ht="15.75" thickBot="1" x14ac:dyDescent="0.3">
      <c r="A7578" s="43" t="s">
        <v>15707</v>
      </c>
      <c r="B7578" s="21" t="s">
        <v>15708</v>
      </c>
      <c r="C7578" s="21" t="s">
        <v>22746</v>
      </c>
      <c r="D7578" s="31" t="s">
        <v>22802</v>
      </c>
      <c r="E7578" s="23" t="s">
        <v>22656</v>
      </c>
      <c r="F7578" s="24" t="s">
        <v>22657</v>
      </c>
      <c r="G7578" s="25">
        <v>3</v>
      </c>
      <c r="H7578" s="26"/>
      <c r="I7578" s="27"/>
    </row>
    <row r="7579" spans="1:9" ht="15.75" thickBot="1" x14ac:dyDescent="0.3">
      <c r="A7579" s="43" t="s">
        <v>15709</v>
      </c>
      <c r="B7579" s="21" t="s">
        <v>15710</v>
      </c>
      <c r="C7579" s="21" t="s">
        <v>22655</v>
      </c>
      <c r="D7579" s="22">
        <v>46047</v>
      </c>
      <c r="E7579" s="23" t="s">
        <v>22656</v>
      </c>
      <c r="F7579" s="24" t="s">
        <v>22657</v>
      </c>
      <c r="G7579" s="25">
        <v>2</v>
      </c>
      <c r="H7579" s="29"/>
      <c r="I7579" s="30"/>
    </row>
    <row r="7580" spans="1:9" ht="15.75" thickBot="1" x14ac:dyDescent="0.3">
      <c r="A7580" s="43" t="s">
        <v>15711</v>
      </c>
      <c r="B7580" s="21" t="s">
        <v>15712</v>
      </c>
      <c r="C7580" s="21" t="s">
        <v>22682</v>
      </c>
      <c r="D7580" s="22">
        <v>46034</v>
      </c>
      <c r="E7580" s="23" t="s">
        <v>22658</v>
      </c>
      <c r="F7580" s="24" t="s">
        <v>22657</v>
      </c>
      <c r="G7580" s="25">
        <v>4</v>
      </c>
      <c r="H7580" s="26"/>
      <c r="I7580" s="27"/>
    </row>
    <row r="7581" spans="1:9" ht="15.75" thickBot="1" x14ac:dyDescent="0.3">
      <c r="A7581" s="43" t="s">
        <v>15713</v>
      </c>
      <c r="B7581" s="21" t="s">
        <v>15714</v>
      </c>
      <c r="C7581" s="21" t="s">
        <v>22655</v>
      </c>
      <c r="D7581" s="31" t="s">
        <v>22669</v>
      </c>
      <c r="E7581" s="23" t="s">
        <v>22656</v>
      </c>
      <c r="F7581" s="24" t="s">
        <v>22657</v>
      </c>
      <c r="G7581" s="25">
        <v>5</v>
      </c>
      <c r="H7581" s="29"/>
      <c r="I7581" s="30"/>
    </row>
    <row r="7582" spans="1:9" ht="15.75" thickBot="1" x14ac:dyDescent="0.3">
      <c r="A7582" s="43" t="s">
        <v>15715</v>
      </c>
      <c r="B7582" s="21" t="s">
        <v>15716</v>
      </c>
      <c r="C7582" s="21" t="s">
        <v>22655</v>
      </c>
      <c r="D7582" s="22">
        <v>46038</v>
      </c>
      <c r="E7582" s="23" t="s">
        <v>22656</v>
      </c>
      <c r="F7582" s="24" t="s">
        <v>22657</v>
      </c>
      <c r="G7582" s="25">
        <v>6</v>
      </c>
      <c r="H7582" s="26"/>
      <c r="I7582" s="27"/>
    </row>
    <row r="7583" spans="1:9" ht="15.75" thickBot="1" x14ac:dyDescent="0.3">
      <c r="A7583" s="43" t="s">
        <v>15717</v>
      </c>
      <c r="B7583" s="21" t="s">
        <v>15718</v>
      </c>
      <c r="C7583" s="21" t="s">
        <v>22655</v>
      </c>
      <c r="D7583" s="31" t="s">
        <v>22673</v>
      </c>
      <c r="E7583" s="23" t="s">
        <v>22661</v>
      </c>
      <c r="F7583" s="24" t="s">
        <v>22657</v>
      </c>
      <c r="G7583" s="25">
        <v>11</v>
      </c>
      <c r="H7583" s="29"/>
      <c r="I7583" s="30"/>
    </row>
    <row r="7584" spans="1:9" ht="15.75" thickBot="1" x14ac:dyDescent="0.3">
      <c r="A7584" s="43" t="s">
        <v>15719</v>
      </c>
      <c r="B7584" s="21" t="s">
        <v>15720</v>
      </c>
      <c r="C7584" s="21" t="s">
        <v>22655</v>
      </c>
      <c r="D7584" s="31" t="s">
        <v>22786</v>
      </c>
      <c r="E7584" s="23" t="s">
        <v>22656</v>
      </c>
      <c r="F7584" s="24" t="s">
        <v>22657</v>
      </c>
      <c r="G7584" s="25">
        <v>10</v>
      </c>
      <c r="H7584" s="26"/>
      <c r="I7584" s="27"/>
    </row>
    <row r="7585" spans="1:9" ht="15.75" thickBot="1" x14ac:dyDescent="0.3">
      <c r="A7585" s="43" t="s">
        <v>15721</v>
      </c>
      <c r="B7585" s="21" t="s">
        <v>15722</v>
      </c>
      <c r="C7585" s="21" t="s">
        <v>22655</v>
      </c>
      <c r="D7585" s="22">
        <v>46034</v>
      </c>
      <c r="E7585" s="23" t="s">
        <v>22656</v>
      </c>
      <c r="F7585" s="24" t="s">
        <v>22657</v>
      </c>
      <c r="G7585" s="25">
        <v>3</v>
      </c>
      <c r="H7585" s="29"/>
      <c r="I7585" s="30"/>
    </row>
    <row r="7586" spans="1:9" ht="15.75" thickBot="1" x14ac:dyDescent="0.3">
      <c r="A7586" s="43" t="s">
        <v>15723</v>
      </c>
      <c r="B7586" s="21" t="s">
        <v>15724</v>
      </c>
      <c r="C7586" s="21" t="s">
        <v>22655</v>
      </c>
      <c r="D7586" s="22">
        <v>46046</v>
      </c>
      <c r="E7586" s="23" t="s">
        <v>22658</v>
      </c>
      <c r="F7586" s="24" t="s">
        <v>22657</v>
      </c>
      <c r="G7586" s="25">
        <v>8</v>
      </c>
      <c r="H7586" s="26"/>
      <c r="I7586" s="27"/>
    </row>
    <row r="7587" spans="1:9" ht="15.75" thickBot="1" x14ac:dyDescent="0.3">
      <c r="A7587" s="43" t="s">
        <v>15725</v>
      </c>
      <c r="B7587" s="21" t="s">
        <v>15726</v>
      </c>
      <c r="C7587" s="21" t="s">
        <v>22655</v>
      </c>
      <c r="D7587" s="22">
        <v>46034</v>
      </c>
      <c r="E7587" s="23" t="s">
        <v>22656</v>
      </c>
      <c r="F7587" s="24" t="s">
        <v>22657</v>
      </c>
      <c r="G7587" s="25">
        <v>3</v>
      </c>
      <c r="H7587" s="29"/>
      <c r="I7587" s="30"/>
    </row>
    <row r="7588" spans="1:9" ht="15.75" thickBot="1" x14ac:dyDescent="0.3">
      <c r="A7588" s="43" t="s">
        <v>15727</v>
      </c>
      <c r="B7588" s="21" t="s">
        <v>15728</v>
      </c>
      <c r="C7588" s="21" t="s">
        <v>22655</v>
      </c>
      <c r="D7588" s="31" t="s">
        <v>22688</v>
      </c>
      <c r="E7588" s="23" t="s">
        <v>22658</v>
      </c>
      <c r="F7588" s="24" t="s">
        <v>22657</v>
      </c>
      <c r="G7588" s="25">
        <v>1</v>
      </c>
      <c r="H7588" s="26"/>
      <c r="I7588" s="27"/>
    </row>
    <row r="7589" spans="1:9" ht="15.75" thickBot="1" x14ac:dyDescent="0.3">
      <c r="A7589" s="43" t="s">
        <v>15729</v>
      </c>
      <c r="B7589" s="21" t="s">
        <v>15730</v>
      </c>
      <c r="C7589" s="21" t="s">
        <v>22655</v>
      </c>
      <c r="D7589" s="31" t="s">
        <v>22688</v>
      </c>
      <c r="E7589" s="23" t="s">
        <v>22658</v>
      </c>
      <c r="F7589" s="24" t="s">
        <v>22657</v>
      </c>
      <c r="G7589" s="25">
        <v>1</v>
      </c>
      <c r="H7589" s="29"/>
      <c r="I7589" s="30"/>
    </row>
    <row r="7590" spans="1:9" ht="15.75" thickBot="1" x14ac:dyDescent="0.3">
      <c r="A7590" s="43" t="s">
        <v>15731</v>
      </c>
      <c r="B7590" s="21" t="s">
        <v>15732</v>
      </c>
      <c r="C7590" s="21" t="s">
        <v>22682</v>
      </c>
      <c r="D7590" s="22">
        <v>46034</v>
      </c>
      <c r="E7590" s="23" t="s">
        <v>22658</v>
      </c>
      <c r="F7590" s="24" t="s">
        <v>22657</v>
      </c>
      <c r="G7590" s="25">
        <v>2</v>
      </c>
      <c r="H7590" s="26"/>
      <c r="I7590" s="27"/>
    </row>
    <row r="7591" spans="1:9" ht="15.75" thickBot="1" x14ac:dyDescent="0.3">
      <c r="A7591" s="43" t="s">
        <v>15733</v>
      </c>
      <c r="B7591" s="21" t="s">
        <v>15734</v>
      </c>
      <c r="C7591" s="21" t="s">
        <v>22682</v>
      </c>
      <c r="D7591" s="22">
        <v>46034</v>
      </c>
      <c r="E7591" s="23" t="s">
        <v>22658</v>
      </c>
      <c r="F7591" s="24" t="s">
        <v>22657</v>
      </c>
      <c r="G7591" s="25">
        <v>2</v>
      </c>
      <c r="H7591" s="29"/>
      <c r="I7591" s="30"/>
    </row>
    <row r="7592" spans="1:9" ht="15.75" thickBot="1" x14ac:dyDescent="0.3">
      <c r="A7592" s="43" t="s">
        <v>15735</v>
      </c>
      <c r="B7592" s="21" t="s">
        <v>15736</v>
      </c>
      <c r="C7592" s="21" t="s">
        <v>22667</v>
      </c>
      <c r="D7592" s="31" t="s">
        <v>22668</v>
      </c>
      <c r="E7592" s="23" t="s">
        <v>22658</v>
      </c>
      <c r="F7592" s="24" t="s">
        <v>22657</v>
      </c>
      <c r="G7592" s="25">
        <v>4</v>
      </c>
      <c r="H7592" s="26"/>
      <c r="I7592" s="27"/>
    </row>
    <row r="7593" spans="1:9" ht="15.75" thickBot="1" x14ac:dyDescent="0.3">
      <c r="A7593" s="43" t="s">
        <v>15737</v>
      </c>
      <c r="B7593" s="21" t="s">
        <v>15738</v>
      </c>
      <c r="C7593" s="21" t="s">
        <v>22667</v>
      </c>
      <c r="D7593" s="31" t="s">
        <v>22668</v>
      </c>
      <c r="E7593" s="23" t="s">
        <v>22656</v>
      </c>
      <c r="F7593" s="24" t="s">
        <v>22657</v>
      </c>
      <c r="G7593" s="25">
        <v>7</v>
      </c>
      <c r="H7593" s="29"/>
      <c r="I7593" s="30"/>
    </row>
    <row r="7594" spans="1:9" ht="15.75" thickBot="1" x14ac:dyDescent="0.3">
      <c r="A7594" s="43" t="s">
        <v>15739</v>
      </c>
      <c r="B7594" s="21" t="s">
        <v>15740</v>
      </c>
      <c r="C7594" s="21" t="s">
        <v>22655</v>
      </c>
      <c r="D7594" s="22">
        <v>46032</v>
      </c>
      <c r="E7594" s="23" t="s">
        <v>22656</v>
      </c>
      <c r="F7594" s="28" t="s">
        <v>22659</v>
      </c>
      <c r="G7594" s="25">
        <v>2</v>
      </c>
      <c r="H7594" s="26"/>
      <c r="I7594" s="27"/>
    </row>
    <row r="7595" spans="1:9" ht="15.75" thickBot="1" x14ac:dyDescent="0.3">
      <c r="A7595" s="43" t="s">
        <v>15741</v>
      </c>
      <c r="B7595" s="21" t="s">
        <v>15742</v>
      </c>
      <c r="C7595" s="21" t="s">
        <v>22655</v>
      </c>
      <c r="D7595" s="22">
        <v>46034</v>
      </c>
      <c r="E7595" s="23" t="s">
        <v>22656</v>
      </c>
      <c r="F7595" s="24" t="s">
        <v>22657</v>
      </c>
      <c r="G7595" s="25">
        <v>6</v>
      </c>
      <c r="H7595" s="29"/>
      <c r="I7595" s="30"/>
    </row>
    <row r="7596" spans="1:9" ht="15.75" thickBot="1" x14ac:dyDescent="0.3">
      <c r="A7596" s="43" t="s">
        <v>15743</v>
      </c>
      <c r="B7596" s="21" t="s">
        <v>15744</v>
      </c>
      <c r="C7596" s="21" t="s">
        <v>22655</v>
      </c>
      <c r="D7596" s="22">
        <v>46046</v>
      </c>
      <c r="E7596" s="23" t="s">
        <v>22661</v>
      </c>
      <c r="F7596" s="24" t="s">
        <v>22657</v>
      </c>
      <c r="G7596" s="25">
        <v>20</v>
      </c>
      <c r="H7596" s="26"/>
      <c r="I7596" s="27"/>
    </row>
    <row r="7597" spans="1:9" ht="15.75" thickBot="1" x14ac:dyDescent="0.3">
      <c r="A7597" s="43" t="s">
        <v>15745</v>
      </c>
      <c r="B7597" s="21" t="s">
        <v>15746</v>
      </c>
      <c r="C7597" s="21" t="s">
        <v>22655</v>
      </c>
      <c r="D7597" s="22">
        <v>46046</v>
      </c>
      <c r="E7597" s="23" t="s">
        <v>22661</v>
      </c>
      <c r="F7597" s="24" t="s">
        <v>22657</v>
      </c>
      <c r="G7597" s="25">
        <v>32</v>
      </c>
      <c r="H7597" s="29"/>
      <c r="I7597" s="30"/>
    </row>
    <row r="7598" spans="1:9" ht="15.75" thickBot="1" x14ac:dyDescent="0.3">
      <c r="A7598" s="43" t="s">
        <v>697</v>
      </c>
      <c r="B7598" s="21" t="s">
        <v>698</v>
      </c>
      <c r="C7598" s="21" t="s">
        <v>22655</v>
      </c>
      <c r="D7598" s="22">
        <v>46034</v>
      </c>
      <c r="E7598" s="23" t="s">
        <v>22661</v>
      </c>
      <c r="F7598" s="24" t="s">
        <v>22657</v>
      </c>
      <c r="G7598" s="25">
        <v>8</v>
      </c>
      <c r="H7598" s="26"/>
      <c r="I7598" s="27"/>
    </row>
    <row r="7599" spans="1:9" ht="15.75" thickBot="1" x14ac:dyDescent="0.3">
      <c r="A7599" s="43" t="s">
        <v>15747</v>
      </c>
      <c r="B7599" s="21" t="s">
        <v>15748</v>
      </c>
      <c r="C7599" s="21" t="s">
        <v>22655</v>
      </c>
      <c r="D7599" s="22">
        <v>46046</v>
      </c>
      <c r="E7599" s="23" t="s">
        <v>22661</v>
      </c>
      <c r="F7599" s="24" t="s">
        <v>22657</v>
      </c>
      <c r="G7599" s="25">
        <v>4</v>
      </c>
      <c r="H7599" s="29"/>
      <c r="I7599" s="30"/>
    </row>
    <row r="7600" spans="1:9" ht="15.75" thickBot="1" x14ac:dyDescent="0.3">
      <c r="A7600" s="43" t="s">
        <v>15749</v>
      </c>
      <c r="B7600" s="21" t="s">
        <v>15750</v>
      </c>
      <c r="C7600" s="21" t="s">
        <v>22655</v>
      </c>
      <c r="D7600" s="22">
        <v>46046</v>
      </c>
      <c r="E7600" s="23" t="s">
        <v>22656</v>
      </c>
      <c r="F7600" s="24" t="s">
        <v>22657</v>
      </c>
      <c r="G7600" s="25">
        <v>12</v>
      </c>
      <c r="H7600" s="34">
        <v>12</v>
      </c>
      <c r="I7600" s="35">
        <v>24</v>
      </c>
    </row>
    <row r="7601" spans="1:9" ht="15.75" thickBot="1" x14ac:dyDescent="0.3">
      <c r="A7601" s="43" t="s">
        <v>15751</v>
      </c>
      <c r="B7601" s="21" t="s">
        <v>15752</v>
      </c>
      <c r="C7601" s="21" t="s">
        <v>22655</v>
      </c>
      <c r="D7601" s="22">
        <v>46046</v>
      </c>
      <c r="E7601" s="23" t="s">
        <v>22656</v>
      </c>
      <c r="F7601" s="24" t="s">
        <v>22657</v>
      </c>
      <c r="G7601" s="25">
        <v>6</v>
      </c>
      <c r="H7601" s="29"/>
      <c r="I7601" s="30"/>
    </row>
    <row r="7602" spans="1:9" ht="15.75" thickBot="1" x14ac:dyDescent="0.3">
      <c r="A7602" s="43" t="s">
        <v>15753</v>
      </c>
      <c r="B7602" s="21" t="s">
        <v>15754</v>
      </c>
      <c r="C7602" s="21" t="s">
        <v>22655</v>
      </c>
      <c r="D7602" s="22">
        <v>46046</v>
      </c>
      <c r="E7602" s="23" t="s">
        <v>22658</v>
      </c>
      <c r="F7602" s="24" t="s">
        <v>22657</v>
      </c>
      <c r="G7602" s="25">
        <v>4</v>
      </c>
      <c r="H7602" s="26"/>
      <c r="I7602" s="27"/>
    </row>
    <row r="7603" spans="1:9" ht="15.75" thickBot="1" x14ac:dyDescent="0.3">
      <c r="A7603" s="43" t="s">
        <v>15755</v>
      </c>
      <c r="B7603" s="21" t="s">
        <v>15756</v>
      </c>
      <c r="C7603" s="21" t="s">
        <v>22655</v>
      </c>
      <c r="D7603" s="22">
        <v>46046</v>
      </c>
      <c r="E7603" s="23" t="s">
        <v>22656</v>
      </c>
      <c r="F7603" s="24" t="s">
        <v>22657</v>
      </c>
      <c r="G7603" s="25">
        <v>4</v>
      </c>
      <c r="H7603" s="29"/>
      <c r="I7603" s="30"/>
    </row>
    <row r="7604" spans="1:9" ht="15.75" thickBot="1" x14ac:dyDescent="0.3">
      <c r="A7604" s="43" t="s">
        <v>15757</v>
      </c>
      <c r="B7604" s="21" t="s">
        <v>15758</v>
      </c>
      <c r="C7604" s="21" t="s">
        <v>22655</v>
      </c>
      <c r="D7604" s="31" t="s">
        <v>22660</v>
      </c>
      <c r="E7604" s="23" t="s">
        <v>22656</v>
      </c>
      <c r="F7604" s="24" t="s">
        <v>22657</v>
      </c>
      <c r="G7604" s="25">
        <v>4</v>
      </c>
      <c r="H7604" s="26"/>
      <c r="I7604" s="27"/>
    </row>
    <row r="7605" spans="1:9" ht="15.75" thickBot="1" x14ac:dyDescent="0.3">
      <c r="A7605" s="43" t="s">
        <v>15759</v>
      </c>
      <c r="B7605" s="21" t="s">
        <v>15760</v>
      </c>
      <c r="C7605" s="21" t="s">
        <v>22655</v>
      </c>
      <c r="D7605" s="31" t="s">
        <v>22660</v>
      </c>
      <c r="E7605" s="23" t="s">
        <v>22656</v>
      </c>
      <c r="F7605" s="24" t="s">
        <v>22657</v>
      </c>
      <c r="G7605" s="25">
        <v>4</v>
      </c>
      <c r="H7605" s="29"/>
      <c r="I7605" s="30"/>
    </row>
    <row r="7606" spans="1:9" ht="15.75" thickBot="1" x14ac:dyDescent="0.3">
      <c r="A7606" s="43" t="s">
        <v>15761</v>
      </c>
      <c r="B7606" s="21" t="s">
        <v>15762</v>
      </c>
      <c r="C7606" s="21" t="s">
        <v>22655</v>
      </c>
      <c r="D7606" s="31" t="s">
        <v>22660</v>
      </c>
      <c r="E7606" s="23" t="s">
        <v>22656</v>
      </c>
      <c r="F7606" s="24" t="s">
        <v>22657</v>
      </c>
      <c r="G7606" s="25">
        <v>3</v>
      </c>
      <c r="H7606" s="34">
        <v>3</v>
      </c>
      <c r="I7606" s="35">
        <v>6</v>
      </c>
    </row>
    <row r="7607" spans="1:9" ht="15.75" thickBot="1" x14ac:dyDescent="0.3">
      <c r="A7607" s="43" t="s">
        <v>15763</v>
      </c>
      <c r="B7607" s="21" t="s">
        <v>15764</v>
      </c>
      <c r="C7607" s="21" t="s">
        <v>22655</v>
      </c>
      <c r="D7607" s="31" t="s">
        <v>22660</v>
      </c>
      <c r="E7607" s="23" t="s">
        <v>22656</v>
      </c>
      <c r="F7607" s="24" t="s">
        <v>22657</v>
      </c>
      <c r="G7607" s="25">
        <v>4</v>
      </c>
      <c r="H7607" s="29"/>
      <c r="I7607" s="30"/>
    </row>
    <row r="7608" spans="1:9" ht="15.75" thickBot="1" x14ac:dyDescent="0.3">
      <c r="A7608" s="43" t="s">
        <v>15765</v>
      </c>
      <c r="B7608" s="21" t="s">
        <v>15766</v>
      </c>
      <c r="C7608" s="21" t="s">
        <v>22655</v>
      </c>
      <c r="D7608" s="22">
        <v>46046</v>
      </c>
      <c r="E7608" s="23" t="s">
        <v>22656</v>
      </c>
      <c r="F7608" s="24" t="s">
        <v>22657</v>
      </c>
      <c r="G7608" s="25">
        <v>6</v>
      </c>
      <c r="H7608" s="26"/>
      <c r="I7608" s="27"/>
    </row>
    <row r="7609" spans="1:9" ht="15.75" thickBot="1" x14ac:dyDescent="0.3">
      <c r="A7609" s="43" t="s">
        <v>15767</v>
      </c>
      <c r="B7609" s="21" t="s">
        <v>15768</v>
      </c>
      <c r="C7609" s="21" t="s">
        <v>22694</v>
      </c>
      <c r="D7609" s="22">
        <v>46034</v>
      </c>
      <c r="E7609" s="23" t="s">
        <v>22656</v>
      </c>
      <c r="F7609" s="24" t="s">
        <v>22657</v>
      </c>
      <c r="G7609" s="25">
        <v>4</v>
      </c>
      <c r="H7609" s="29"/>
      <c r="I7609" s="30"/>
    </row>
    <row r="7610" spans="1:9" ht="15.75" thickBot="1" x14ac:dyDescent="0.3">
      <c r="A7610" s="43" t="s">
        <v>15769</v>
      </c>
      <c r="B7610" s="21" t="s">
        <v>15770</v>
      </c>
      <c r="C7610" s="21" t="s">
        <v>22694</v>
      </c>
      <c r="D7610" s="22">
        <v>46034</v>
      </c>
      <c r="E7610" s="23" t="s">
        <v>22656</v>
      </c>
      <c r="F7610" s="24" t="s">
        <v>22657</v>
      </c>
      <c r="G7610" s="25">
        <v>4</v>
      </c>
      <c r="H7610" s="26"/>
      <c r="I7610" s="27"/>
    </row>
    <row r="7611" spans="1:9" ht="15.75" thickBot="1" x14ac:dyDescent="0.3">
      <c r="A7611" s="43" t="s">
        <v>15771</v>
      </c>
      <c r="B7611" s="21" t="s">
        <v>15772</v>
      </c>
      <c r="C7611" s="21" t="s">
        <v>22655</v>
      </c>
      <c r="D7611" s="22">
        <v>46046</v>
      </c>
      <c r="E7611" s="23" t="s">
        <v>22658</v>
      </c>
      <c r="F7611" s="24" t="s">
        <v>22657</v>
      </c>
      <c r="G7611" s="25">
        <v>4</v>
      </c>
      <c r="H7611" s="29"/>
      <c r="I7611" s="30"/>
    </row>
    <row r="7612" spans="1:9" ht="15.75" thickBot="1" x14ac:dyDescent="0.3">
      <c r="A7612" s="43" t="s">
        <v>15773</v>
      </c>
      <c r="B7612" s="21" t="s">
        <v>15774</v>
      </c>
      <c r="C7612" s="21" t="s">
        <v>22694</v>
      </c>
      <c r="D7612" s="22">
        <v>46034</v>
      </c>
      <c r="E7612" s="23" t="s">
        <v>22656</v>
      </c>
      <c r="F7612" s="24" t="s">
        <v>22657</v>
      </c>
      <c r="G7612" s="25">
        <v>4</v>
      </c>
      <c r="H7612" s="26"/>
      <c r="I7612" s="27"/>
    </row>
    <row r="7613" spans="1:9" ht="15.75" thickBot="1" x14ac:dyDescent="0.3">
      <c r="A7613" s="43" t="s">
        <v>15775</v>
      </c>
      <c r="B7613" s="21" t="s">
        <v>15776</v>
      </c>
      <c r="C7613" s="21" t="s">
        <v>22690</v>
      </c>
      <c r="D7613" s="31" t="s">
        <v>22699</v>
      </c>
      <c r="E7613" s="23" t="s">
        <v>22656</v>
      </c>
      <c r="F7613" s="24" t="s">
        <v>22657</v>
      </c>
      <c r="G7613" s="25">
        <v>4</v>
      </c>
      <c r="H7613" s="29"/>
      <c r="I7613" s="30"/>
    </row>
    <row r="7614" spans="1:9" ht="15.75" thickBot="1" x14ac:dyDescent="0.3">
      <c r="A7614" s="43" t="s">
        <v>15777</v>
      </c>
      <c r="B7614" s="21" t="s">
        <v>15778</v>
      </c>
      <c r="C7614" s="21" t="s">
        <v>22655</v>
      </c>
      <c r="D7614" s="31" t="s">
        <v>22660</v>
      </c>
      <c r="E7614" s="23" t="s">
        <v>22656</v>
      </c>
      <c r="F7614" s="24" t="s">
        <v>22657</v>
      </c>
      <c r="G7614" s="25">
        <v>4</v>
      </c>
      <c r="H7614" s="26"/>
      <c r="I7614" s="27"/>
    </row>
    <row r="7615" spans="1:9" ht="15.75" thickBot="1" x14ac:dyDescent="0.3">
      <c r="A7615" s="43" t="s">
        <v>15779</v>
      </c>
      <c r="B7615" s="21" t="s">
        <v>15780</v>
      </c>
      <c r="C7615" s="21" t="s">
        <v>22655</v>
      </c>
      <c r="D7615" s="22">
        <v>46034</v>
      </c>
      <c r="E7615" s="23" t="s">
        <v>22656</v>
      </c>
      <c r="F7615" s="24" t="s">
        <v>22657</v>
      </c>
      <c r="G7615" s="25">
        <v>2</v>
      </c>
      <c r="H7615" s="29"/>
      <c r="I7615" s="30"/>
    </row>
    <row r="7616" spans="1:9" ht="15.75" thickBot="1" x14ac:dyDescent="0.3">
      <c r="A7616" s="43" t="s">
        <v>15781</v>
      </c>
      <c r="B7616" s="21" t="s">
        <v>15782</v>
      </c>
      <c r="C7616" s="21" t="s">
        <v>22655</v>
      </c>
      <c r="D7616" s="31" t="s">
        <v>22660</v>
      </c>
      <c r="E7616" s="23" t="s">
        <v>22656</v>
      </c>
      <c r="F7616" s="24" t="s">
        <v>22657</v>
      </c>
      <c r="G7616" s="25">
        <v>4</v>
      </c>
      <c r="H7616" s="26"/>
      <c r="I7616" s="27"/>
    </row>
    <row r="7617" spans="1:9" ht="15.75" thickBot="1" x14ac:dyDescent="0.3">
      <c r="A7617" s="43" t="s">
        <v>15783</v>
      </c>
      <c r="B7617" s="21" t="s">
        <v>15784</v>
      </c>
      <c r="C7617" s="21" t="s">
        <v>22655</v>
      </c>
      <c r="D7617" s="22">
        <v>46046</v>
      </c>
      <c r="E7617" s="23" t="s">
        <v>22656</v>
      </c>
      <c r="F7617" s="24" t="s">
        <v>22657</v>
      </c>
      <c r="G7617" s="25">
        <v>4</v>
      </c>
      <c r="H7617" s="29"/>
      <c r="I7617" s="30"/>
    </row>
    <row r="7618" spans="1:9" ht="15.75" thickBot="1" x14ac:dyDescent="0.3">
      <c r="A7618" s="43" t="s">
        <v>15785</v>
      </c>
      <c r="B7618" s="21" t="s">
        <v>15786</v>
      </c>
      <c r="C7618" s="21" t="s">
        <v>22655</v>
      </c>
      <c r="D7618" s="22">
        <v>46046</v>
      </c>
      <c r="E7618" s="23" t="s">
        <v>22656</v>
      </c>
      <c r="F7618" s="24" t="s">
        <v>22657</v>
      </c>
      <c r="G7618" s="25">
        <v>4</v>
      </c>
      <c r="H7618" s="26"/>
      <c r="I7618" s="27"/>
    </row>
    <row r="7619" spans="1:9" ht="15.75" thickBot="1" x14ac:dyDescent="0.3">
      <c r="A7619" s="43" t="s">
        <v>15787</v>
      </c>
      <c r="B7619" s="21" t="s">
        <v>15788</v>
      </c>
      <c r="C7619" s="21" t="s">
        <v>22655</v>
      </c>
      <c r="D7619" s="22">
        <v>46046</v>
      </c>
      <c r="E7619" s="23" t="s">
        <v>22656</v>
      </c>
      <c r="F7619" s="24" t="s">
        <v>22657</v>
      </c>
      <c r="G7619" s="25">
        <v>4</v>
      </c>
      <c r="H7619" s="29"/>
      <c r="I7619" s="30"/>
    </row>
    <row r="7620" spans="1:9" ht="15.75" thickBot="1" x14ac:dyDescent="0.3">
      <c r="A7620" s="43" t="s">
        <v>15789</v>
      </c>
      <c r="B7620" s="21" t="s">
        <v>15790</v>
      </c>
      <c r="C7620" s="21" t="s">
        <v>22655</v>
      </c>
      <c r="D7620" s="31" t="s">
        <v>22660</v>
      </c>
      <c r="E7620" s="23" t="s">
        <v>22656</v>
      </c>
      <c r="F7620" s="24" t="s">
        <v>22657</v>
      </c>
      <c r="G7620" s="25">
        <v>4</v>
      </c>
      <c r="H7620" s="26"/>
      <c r="I7620" s="27"/>
    </row>
    <row r="7621" spans="1:9" ht="15.75" thickBot="1" x14ac:dyDescent="0.3">
      <c r="A7621" s="43" t="s">
        <v>15791</v>
      </c>
      <c r="B7621" s="21" t="s">
        <v>15792</v>
      </c>
      <c r="C7621" s="21" t="s">
        <v>22655</v>
      </c>
      <c r="D7621" s="22">
        <v>46046</v>
      </c>
      <c r="E7621" s="23" t="s">
        <v>22656</v>
      </c>
      <c r="F7621" s="24" t="s">
        <v>22657</v>
      </c>
      <c r="G7621" s="25">
        <v>4</v>
      </c>
      <c r="H7621" s="29"/>
      <c r="I7621" s="30"/>
    </row>
    <row r="7622" spans="1:9" ht="15.75" thickBot="1" x14ac:dyDescent="0.3">
      <c r="A7622" s="43" t="s">
        <v>15793</v>
      </c>
      <c r="B7622" s="21" t="s">
        <v>15794</v>
      </c>
      <c r="C7622" s="21" t="s">
        <v>22655</v>
      </c>
      <c r="D7622" s="31" t="s">
        <v>22660</v>
      </c>
      <c r="E7622" s="23" t="s">
        <v>22656</v>
      </c>
      <c r="F7622" s="24" t="s">
        <v>22657</v>
      </c>
      <c r="G7622" s="25">
        <v>4</v>
      </c>
      <c r="H7622" s="26"/>
      <c r="I7622" s="27"/>
    </row>
    <row r="7623" spans="1:9" ht="15.75" thickBot="1" x14ac:dyDescent="0.3">
      <c r="A7623" s="43" t="s">
        <v>15795</v>
      </c>
      <c r="B7623" s="21" t="s">
        <v>15796</v>
      </c>
      <c r="C7623" s="21" t="s">
        <v>22655</v>
      </c>
      <c r="D7623" s="22">
        <v>46046</v>
      </c>
      <c r="E7623" s="23" t="s">
        <v>22656</v>
      </c>
      <c r="F7623" s="24" t="s">
        <v>22657</v>
      </c>
      <c r="G7623" s="25">
        <v>4</v>
      </c>
      <c r="H7623" s="29"/>
      <c r="I7623" s="30"/>
    </row>
    <row r="7624" spans="1:9" ht="15.75" thickBot="1" x14ac:dyDescent="0.3">
      <c r="A7624" s="43" t="s">
        <v>15797</v>
      </c>
      <c r="B7624" s="21" t="s">
        <v>15798</v>
      </c>
      <c r="C7624" s="21" t="s">
        <v>22655</v>
      </c>
      <c r="D7624" s="22">
        <v>46046</v>
      </c>
      <c r="E7624" s="23" t="s">
        <v>22656</v>
      </c>
      <c r="F7624" s="24" t="s">
        <v>22657</v>
      </c>
      <c r="G7624" s="25">
        <v>4</v>
      </c>
      <c r="H7624" s="26"/>
      <c r="I7624" s="27"/>
    </row>
    <row r="7625" spans="1:9" ht="15.75" thickBot="1" x14ac:dyDescent="0.3">
      <c r="A7625" s="43" t="s">
        <v>15799</v>
      </c>
      <c r="B7625" s="21" t="s">
        <v>15800</v>
      </c>
      <c r="C7625" s="21" t="s">
        <v>22655</v>
      </c>
      <c r="D7625" s="31" t="s">
        <v>22673</v>
      </c>
      <c r="E7625" s="23" t="s">
        <v>22656</v>
      </c>
      <c r="F7625" s="24" t="s">
        <v>22657</v>
      </c>
      <c r="G7625" s="25">
        <v>4</v>
      </c>
      <c r="H7625" s="29"/>
      <c r="I7625" s="30"/>
    </row>
    <row r="7626" spans="1:9" ht="15.75" thickBot="1" x14ac:dyDescent="0.3">
      <c r="A7626" s="43" t="s">
        <v>15801</v>
      </c>
      <c r="B7626" s="21" t="s">
        <v>15802</v>
      </c>
      <c r="C7626" s="21" t="s">
        <v>22655</v>
      </c>
      <c r="D7626" s="22">
        <v>46046</v>
      </c>
      <c r="E7626" s="23" t="s">
        <v>22656</v>
      </c>
      <c r="F7626" s="24" t="s">
        <v>22657</v>
      </c>
      <c r="G7626" s="25">
        <v>4</v>
      </c>
      <c r="H7626" s="26"/>
      <c r="I7626" s="27"/>
    </row>
    <row r="7627" spans="1:9" ht="15.75" thickBot="1" x14ac:dyDescent="0.3">
      <c r="A7627" s="43" t="s">
        <v>15803</v>
      </c>
      <c r="B7627" s="21" t="s">
        <v>15804</v>
      </c>
      <c r="C7627" s="21" t="s">
        <v>22655</v>
      </c>
      <c r="D7627" s="31" t="s">
        <v>22673</v>
      </c>
      <c r="E7627" s="23" t="s">
        <v>22656</v>
      </c>
      <c r="F7627" s="24" t="s">
        <v>22657</v>
      </c>
      <c r="G7627" s="25">
        <v>7</v>
      </c>
      <c r="H7627" s="29"/>
      <c r="I7627" s="30"/>
    </row>
    <row r="7628" spans="1:9" ht="15.75" thickBot="1" x14ac:dyDescent="0.3">
      <c r="A7628" s="43" t="s">
        <v>15805</v>
      </c>
      <c r="B7628" s="21" t="s">
        <v>15806</v>
      </c>
      <c r="C7628" s="21" t="s">
        <v>22655</v>
      </c>
      <c r="D7628" s="22">
        <v>46046</v>
      </c>
      <c r="E7628" s="23" t="s">
        <v>22658</v>
      </c>
      <c r="F7628" s="24" t="s">
        <v>22657</v>
      </c>
      <c r="G7628" s="25">
        <v>4</v>
      </c>
      <c r="H7628" s="26"/>
      <c r="I7628" s="27"/>
    </row>
    <row r="7629" spans="1:9" ht="15.75" thickBot="1" x14ac:dyDescent="0.3">
      <c r="A7629" s="43" t="s">
        <v>15807</v>
      </c>
      <c r="B7629" s="21" t="s">
        <v>15808</v>
      </c>
      <c r="C7629" s="21" t="s">
        <v>22655</v>
      </c>
      <c r="D7629" s="22">
        <v>46046</v>
      </c>
      <c r="E7629" s="23" t="s">
        <v>22656</v>
      </c>
      <c r="F7629" s="24" t="s">
        <v>22657</v>
      </c>
      <c r="G7629" s="25">
        <v>4</v>
      </c>
      <c r="H7629" s="29"/>
      <c r="I7629" s="30"/>
    </row>
    <row r="7630" spans="1:9" ht="15.75" thickBot="1" x14ac:dyDescent="0.3">
      <c r="A7630" s="43" t="s">
        <v>15809</v>
      </c>
      <c r="B7630" s="21" t="s">
        <v>15810</v>
      </c>
      <c r="C7630" s="21" t="s">
        <v>22655</v>
      </c>
      <c r="D7630" s="31" t="s">
        <v>22688</v>
      </c>
      <c r="E7630" s="23" t="s">
        <v>22656</v>
      </c>
      <c r="F7630" s="24" t="s">
        <v>22657</v>
      </c>
      <c r="G7630" s="25">
        <v>4</v>
      </c>
      <c r="H7630" s="26"/>
      <c r="I7630" s="27"/>
    </row>
    <row r="7631" spans="1:9" ht="15.75" thickBot="1" x14ac:dyDescent="0.3">
      <c r="A7631" s="43" t="s">
        <v>15811</v>
      </c>
      <c r="B7631" s="21" t="s">
        <v>15812</v>
      </c>
      <c r="C7631" s="21" t="s">
        <v>22655</v>
      </c>
      <c r="D7631" s="22">
        <v>46042</v>
      </c>
      <c r="E7631" s="23" t="s">
        <v>22656</v>
      </c>
      <c r="F7631" s="24" t="s">
        <v>22657</v>
      </c>
      <c r="G7631" s="25">
        <v>7</v>
      </c>
      <c r="H7631" s="29"/>
      <c r="I7631" s="30"/>
    </row>
    <row r="7632" spans="1:9" ht="15.75" thickBot="1" x14ac:dyDescent="0.3">
      <c r="A7632" s="43" t="s">
        <v>15813</v>
      </c>
      <c r="B7632" s="21" t="s">
        <v>15814</v>
      </c>
      <c r="C7632" s="21" t="s">
        <v>22655</v>
      </c>
      <c r="D7632" s="31" t="s">
        <v>22688</v>
      </c>
      <c r="E7632" s="23" t="s">
        <v>22656</v>
      </c>
      <c r="F7632" s="24" t="s">
        <v>22657</v>
      </c>
      <c r="G7632" s="25">
        <v>4</v>
      </c>
      <c r="H7632" s="26"/>
      <c r="I7632" s="27"/>
    </row>
    <row r="7633" spans="1:9" ht="15.75" thickBot="1" x14ac:dyDescent="0.3">
      <c r="A7633" s="43" t="s">
        <v>15815</v>
      </c>
      <c r="B7633" s="21" t="s">
        <v>15816</v>
      </c>
      <c r="C7633" s="21" t="s">
        <v>22655</v>
      </c>
      <c r="D7633" s="22">
        <v>46042</v>
      </c>
      <c r="E7633" s="23" t="s">
        <v>22656</v>
      </c>
      <c r="F7633" s="24" t="s">
        <v>22657</v>
      </c>
      <c r="G7633" s="25">
        <v>7</v>
      </c>
      <c r="H7633" s="29"/>
      <c r="I7633" s="30"/>
    </row>
    <row r="7634" spans="1:9" ht="15.75" thickBot="1" x14ac:dyDescent="0.3">
      <c r="A7634" s="43" t="s">
        <v>15817</v>
      </c>
      <c r="B7634" s="21" t="s">
        <v>15818</v>
      </c>
      <c r="C7634" s="21" t="s">
        <v>22655</v>
      </c>
      <c r="D7634" s="22">
        <v>46046</v>
      </c>
      <c r="E7634" s="23" t="s">
        <v>22656</v>
      </c>
      <c r="F7634" s="24" t="s">
        <v>22657</v>
      </c>
      <c r="G7634" s="25">
        <v>4</v>
      </c>
      <c r="H7634" s="26"/>
      <c r="I7634" s="27"/>
    </row>
    <row r="7635" spans="1:9" ht="15.75" thickBot="1" x14ac:dyDescent="0.3">
      <c r="A7635" s="43" t="s">
        <v>15819</v>
      </c>
      <c r="B7635" s="21" t="s">
        <v>15820</v>
      </c>
      <c r="C7635" s="21" t="s">
        <v>22655</v>
      </c>
      <c r="D7635" s="31" t="s">
        <v>22673</v>
      </c>
      <c r="E7635" s="23" t="s">
        <v>22656</v>
      </c>
      <c r="F7635" s="24" t="s">
        <v>22657</v>
      </c>
      <c r="G7635" s="25">
        <v>4</v>
      </c>
      <c r="H7635" s="29"/>
      <c r="I7635" s="30"/>
    </row>
    <row r="7636" spans="1:9" ht="15.75" thickBot="1" x14ac:dyDescent="0.3">
      <c r="A7636" s="43" t="s">
        <v>15821</v>
      </c>
      <c r="B7636" s="21" t="s">
        <v>15822</v>
      </c>
      <c r="C7636" s="21" t="s">
        <v>22655</v>
      </c>
      <c r="D7636" s="22">
        <v>46046</v>
      </c>
      <c r="E7636" s="23" t="s">
        <v>22656</v>
      </c>
      <c r="F7636" s="24" t="s">
        <v>22657</v>
      </c>
      <c r="G7636" s="25">
        <v>4</v>
      </c>
      <c r="H7636" s="26"/>
      <c r="I7636" s="27"/>
    </row>
    <row r="7637" spans="1:9" ht="15.75" thickBot="1" x14ac:dyDescent="0.3">
      <c r="A7637" s="43" t="s">
        <v>15823</v>
      </c>
      <c r="B7637" s="21" t="s">
        <v>15824</v>
      </c>
      <c r="C7637" s="21" t="s">
        <v>22655</v>
      </c>
      <c r="D7637" s="31" t="s">
        <v>22673</v>
      </c>
      <c r="E7637" s="23" t="s">
        <v>22658</v>
      </c>
      <c r="F7637" s="24" t="s">
        <v>22657</v>
      </c>
      <c r="G7637" s="25">
        <v>4</v>
      </c>
      <c r="H7637" s="29"/>
      <c r="I7637" s="30"/>
    </row>
    <row r="7638" spans="1:9" ht="15.75" thickBot="1" x14ac:dyDescent="0.3">
      <c r="A7638" s="43" t="s">
        <v>15825</v>
      </c>
      <c r="B7638" s="21" t="s">
        <v>15826</v>
      </c>
      <c r="C7638" s="21" t="s">
        <v>22655</v>
      </c>
      <c r="D7638" s="22">
        <v>46046</v>
      </c>
      <c r="E7638" s="23" t="s">
        <v>22656</v>
      </c>
      <c r="F7638" s="24" t="s">
        <v>22657</v>
      </c>
      <c r="G7638" s="25">
        <v>4</v>
      </c>
      <c r="H7638" s="26"/>
      <c r="I7638" s="27"/>
    </row>
    <row r="7639" spans="1:9" ht="15.75" thickBot="1" x14ac:dyDescent="0.3">
      <c r="A7639" s="43" t="s">
        <v>15827</v>
      </c>
      <c r="B7639" s="21" t="s">
        <v>15828</v>
      </c>
      <c r="C7639" s="21" t="s">
        <v>22655</v>
      </c>
      <c r="D7639" s="22">
        <v>46046</v>
      </c>
      <c r="E7639" s="23" t="s">
        <v>22656</v>
      </c>
      <c r="F7639" s="24" t="s">
        <v>22657</v>
      </c>
      <c r="G7639" s="25">
        <v>4</v>
      </c>
      <c r="H7639" s="29"/>
      <c r="I7639" s="30"/>
    </row>
    <row r="7640" spans="1:9" ht="15.75" thickBot="1" x14ac:dyDescent="0.3">
      <c r="A7640" s="43" t="s">
        <v>15829</v>
      </c>
      <c r="B7640" s="21" t="s">
        <v>15830</v>
      </c>
      <c r="C7640" s="21" t="s">
        <v>22655</v>
      </c>
      <c r="D7640" s="22">
        <v>46046</v>
      </c>
      <c r="E7640" s="23" t="s">
        <v>22656</v>
      </c>
      <c r="F7640" s="24" t="s">
        <v>22657</v>
      </c>
      <c r="G7640" s="25">
        <v>4</v>
      </c>
      <c r="H7640" s="26"/>
      <c r="I7640" s="27"/>
    </row>
    <row r="7641" spans="1:9" ht="15.75" thickBot="1" x14ac:dyDescent="0.3">
      <c r="A7641" s="43" t="s">
        <v>15831</v>
      </c>
      <c r="B7641" s="21" t="s">
        <v>15832</v>
      </c>
      <c r="C7641" s="21" t="s">
        <v>22655</v>
      </c>
      <c r="D7641" s="22">
        <v>46046</v>
      </c>
      <c r="E7641" s="23" t="s">
        <v>22661</v>
      </c>
      <c r="F7641" s="24" t="s">
        <v>22657</v>
      </c>
      <c r="G7641" s="25">
        <v>4</v>
      </c>
      <c r="H7641" s="29"/>
      <c r="I7641" s="30"/>
    </row>
    <row r="7642" spans="1:9" ht="15.75" thickBot="1" x14ac:dyDescent="0.3">
      <c r="A7642" s="43" t="s">
        <v>15833</v>
      </c>
      <c r="B7642" s="21" t="s">
        <v>15834</v>
      </c>
      <c r="C7642" s="21" t="s">
        <v>22655</v>
      </c>
      <c r="D7642" s="22">
        <v>46046</v>
      </c>
      <c r="E7642" s="23" t="s">
        <v>22656</v>
      </c>
      <c r="F7642" s="24" t="s">
        <v>22657</v>
      </c>
      <c r="G7642" s="25">
        <v>8</v>
      </c>
      <c r="H7642" s="26"/>
      <c r="I7642" s="27"/>
    </row>
    <row r="7643" spans="1:9" ht="15.75" thickBot="1" x14ac:dyDescent="0.3">
      <c r="A7643" s="43" t="s">
        <v>15835</v>
      </c>
      <c r="B7643" s="21" t="s">
        <v>15836</v>
      </c>
      <c r="C7643" s="21" t="s">
        <v>22655</v>
      </c>
      <c r="D7643" s="22">
        <v>46046</v>
      </c>
      <c r="E7643" s="23" t="s">
        <v>22661</v>
      </c>
      <c r="F7643" s="24" t="s">
        <v>22657</v>
      </c>
      <c r="G7643" s="25">
        <v>5</v>
      </c>
      <c r="H7643" s="29"/>
      <c r="I7643" s="30"/>
    </row>
    <row r="7644" spans="1:9" ht="15.75" thickBot="1" x14ac:dyDescent="0.3">
      <c r="A7644" s="43" t="s">
        <v>15837</v>
      </c>
      <c r="B7644" s="21" t="s">
        <v>15838</v>
      </c>
      <c r="C7644" s="21" t="s">
        <v>22655</v>
      </c>
      <c r="D7644" s="22">
        <v>46046</v>
      </c>
      <c r="E7644" s="23" t="s">
        <v>22656</v>
      </c>
      <c r="F7644" s="24" t="s">
        <v>22657</v>
      </c>
      <c r="G7644" s="25">
        <v>6</v>
      </c>
      <c r="H7644" s="26"/>
      <c r="I7644" s="27"/>
    </row>
    <row r="7645" spans="1:9" ht="15.75" thickBot="1" x14ac:dyDescent="0.3">
      <c r="A7645" s="43" t="s">
        <v>15839</v>
      </c>
      <c r="B7645" s="21" t="s">
        <v>15840</v>
      </c>
      <c r="C7645" s="21" t="s">
        <v>22655</v>
      </c>
      <c r="D7645" s="22">
        <v>46046</v>
      </c>
      <c r="E7645" s="23" t="s">
        <v>22661</v>
      </c>
      <c r="F7645" s="24" t="s">
        <v>22657</v>
      </c>
      <c r="G7645" s="25">
        <v>4</v>
      </c>
      <c r="H7645" s="29"/>
      <c r="I7645" s="30"/>
    </row>
    <row r="7646" spans="1:9" ht="15.75" thickBot="1" x14ac:dyDescent="0.3">
      <c r="A7646" s="43" t="s">
        <v>15841</v>
      </c>
      <c r="B7646" s="21" t="s">
        <v>15842</v>
      </c>
      <c r="C7646" s="21" t="s">
        <v>22655</v>
      </c>
      <c r="D7646" s="31" t="s">
        <v>22660</v>
      </c>
      <c r="E7646" s="23" t="s">
        <v>22656</v>
      </c>
      <c r="F7646" s="24" t="s">
        <v>22657</v>
      </c>
      <c r="G7646" s="25">
        <v>2</v>
      </c>
      <c r="H7646" s="26"/>
      <c r="I7646" s="27"/>
    </row>
    <row r="7647" spans="1:9" ht="15.75" thickBot="1" x14ac:dyDescent="0.3">
      <c r="A7647" s="43" t="s">
        <v>15843</v>
      </c>
      <c r="B7647" s="21" t="s">
        <v>15844</v>
      </c>
      <c r="C7647" s="21" t="s">
        <v>22655</v>
      </c>
      <c r="D7647" s="31" t="s">
        <v>22660</v>
      </c>
      <c r="E7647" s="23" t="s">
        <v>22656</v>
      </c>
      <c r="F7647" s="24" t="s">
        <v>22657</v>
      </c>
      <c r="G7647" s="25">
        <v>2</v>
      </c>
      <c r="H7647" s="29"/>
      <c r="I7647" s="30"/>
    </row>
    <row r="7648" spans="1:9" ht="15.75" thickBot="1" x14ac:dyDescent="0.3">
      <c r="A7648" s="43" t="s">
        <v>15845</v>
      </c>
      <c r="B7648" s="21" t="s">
        <v>15846</v>
      </c>
      <c r="C7648" s="21" t="s">
        <v>22655</v>
      </c>
      <c r="D7648" s="31" t="s">
        <v>22660</v>
      </c>
      <c r="E7648" s="23" t="s">
        <v>22656</v>
      </c>
      <c r="F7648" s="24" t="s">
        <v>22657</v>
      </c>
      <c r="G7648" s="25">
        <v>2</v>
      </c>
      <c r="H7648" s="26"/>
      <c r="I7648" s="27"/>
    </row>
    <row r="7649" spans="1:9" ht="15.75" thickBot="1" x14ac:dyDescent="0.3">
      <c r="A7649" s="43" t="s">
        <v>15847</v>
      </c>
      <c r="B7649" s="21" t="s">
        <v>15848</v>
      </c>
      <c r="C7649" s="21" t="s">
        <v>22655</v>
      </c>
      <c r="D7649" s="22">
        <v>46046</v>
      </c>
      <c r="E7649" s="23" t="s">
        <v>22658</v>
      </c>
      <c r="F7649" s="24" t="s">
        <v>22657</v>
      </c>
      <c r="G7649" s="25">
        <v>4</v>
      </c>
      <c r="H7649" s="29"/>
      <c r="I7649" s="30"/>
    </row>
    <row r="7650" spans="1:9" ht="15.75" thickBot="1" x14ac:dyDescent="0.3">
      <c r="A7650" s="43" t="s">
        <v>15849</v>
      </c>
      <c r="B7650" s="21" t="s">
        <v>15850</v>
      </c>
      <c r="C7650" s="21" t="s">
        <v>22655</v>
      </c>
      <c r="D7650" s="22">
        <v>46046</v>
      </c>
      <c r="E7650" s="23" t="s">
        <v>22656</v>
      </c>
      <c r="F7650" s="24" t="s">
        <v>22657</v>
      </c>
      <c r="G7650" s="25">
        <v>7</v>
      </c>
      <c r="H7650" s="26"/>
      <c r="I7650" s="27"/>
    </row>
    <row r="7651" spans="1:9" ht="15.75" thickBot="1" x14ac:dyDescent="0.3">
      <c r="A7651" s="43" t="s">
        <v>15851</v>
      </c>
      <c r="B7651" s="21" t="s">
        <v>15852</v>
      </c>
      <c r="C7651" s="21" t="s">
        <v>22698</v>
      </c>
      <c r="D7651" s="31">
        <v>1</v>
      </c>
      <c r="E7651" s="23" t="s">
        <v>22656</v>
      </c>
      <c r="F7651" s="24" t="s">
        <v>22657</v>
      </c>
      <c r="G7651" s="25">
        <v>2</v>
      </c>
      <c r="H7651" s="29"/>
      <c r="I7651" s="30"/>
    </row>
    <row r="7652" spans="1:9" ht="15.75" thickBot="1" x14ac:dyDescent="0.3">
      <c r="A7652" s="43" t="s">
        <v>15853</v>
      </c>
      <c r="B7652" s="21" t="s">
        <v>15854</v>
      </c>
      <c r="C7652" s="21" t="s">
        <v>22663</v>
      </c>
      <c r="D7652" s="31">
        <v>1</v>
      </c>
      <c r="E7652" s="23" t="s">
        <v>22656</v>
      </c>
      <c r="F7652" s="24" t="s">
        <v>22657</v>
      </c>
      <c r="G7652" s="25">
        <v>4</v>
      </c>
      <c r="H7652" s="26"/>
      <c r="I7652" s="27"/>
    </row>
    <row r="7653" spans="1:9" ht="15.75" thickBot="1" x14ac:dyDescent="0.3">
      <c r="A7653" s="43" t="s">
        <v>15855</v>
      </c>
      <c r="B7653" s="21" t="s">
        <v>15856</v>
      </c>
      <c r="C7653" s="21" t="s">
        <v>22663</v>
      </c>
      <c r="D7653" s="31">
        <v>1</v>
      </c>
      <c r="E7653" s="23" t="s">
        <v>22658</v>
      </c>
      <c r="F7653" s="28" t="s">
        <v>22659</v>
      </c>
      <c r="G7653" s="25">
        <v>1</v>
      </c>
      <c r="H7653" s="29"/>
      <c r="I7653" s="30"/>
    </row>
    <row r="7654" spans="1:9" ht="15.75" thickBot="1" x14ac:dyDescent="0.3">
      <c r="A7654" s="43" t="s">
        <v>15857</v>
      </c>
      <c r="B7654" s="21" t="s">
        <v>15858</v>
      </c>
      <c r="C7654" s="21" t="s">
        <v>22672</v>
      </c>
      <c r="D7654" s="22">
        <v>46028</v>
      </c>
      <c r="E7654" s="23" t="s">
        <v>22658</v>
      </c>
      <c r="F7654" s="24" t="s">
        <v>22657</v>
      </c>
      <c r="G7654" s="25">
        <v>2</v>
      </c>
      <c r="H7654" s="26"/>
      <c r="I7654" s="27"/>
    </row>
    <row r="7655" spans="1:9" ht="15.75" thickBot="1" x14ac:dyDescent="0.3">
      <c r="A7655" s="43" t="s">
        <v>15859</v>
      </c>
      <c r="B7655" s="21" t="s">
        <v>15860</v>
      </c>
      <c r="C7655" s="21" t="s">
        <v>22672</v>
      </c>
      <c r="D7655" s="22">
        <v>46028</v>
      </c>
      <c r="E7655" s="23" t="s">
        <v>22656</v>
      </c>
      <c r="F7655" s="24" t="s">
        <v>22657</v>
      </c>
      <c r="G7655" s="25">
        <v>2</v>
      </c>
      <c r="H7655" s="29"/>
      <c r="I7655" s="30"/>
    </row>
    <row r="7656" spans="1:9" ht="15.75" thickBot="1" x14ac:dyDescent="0.3">
      <c r="A7656" s="43" t="s">
        <v>15861</v>
      </c>
      <c r="B7656" s="21" t="s">
        <v>15862</v>
      </c>
      <c r="C7656" s="21" t="s">
        <v>22672</v>
      </c>
      <c r="D7656" s="22">
        <v>46028</v>
      </c>
      <c r="E7656" s="23" t="s">
        <v>22658</v>
      </c>
      <c r="F7656" s="24" t="s">
        <v>22657</v>
      </c>
      <c r="G7656" s="25">
        <v>2</v>
      </c>
      <c r="H7656" s="26"/>
      <c r="I7656" s="27"/>
    </row>
    <row r="7657" spans="1:9" ht="15.75" thickBot="1" x14ac:dyDescent="0.3">
      <c r="A7657" s="43" t="s">
        <v>15863</v>
      </c>
      <c r="B7657" s="21" t="s">
        <v>15864</v>
      </c>
      <c r="C7657" s="21" t="s">
        <v>22682</v>
      </c>
      <c r="D7657" s="22">
        <v>46034</v>
      </c>
      <c r="E7657" s="23" t="s">
        <v>22658</v>
      </c>
      <c r="F7657" s="24" t="s">
        <v>22657</v>
      </c>
      <c r="G7657" s="25">
        <v>4</v>
      </c>
      <c r="H7657" s="29"/>
      <c r="I7657" s="30"/>
    </row>
    <row r="7658" spans="1:9" ht="15.75" thickBot="1" x14ac:dyDescent="0.3">
      <c r="A7658" s="43" t="s">
        <v>15865</v>
      </c>
      <c r="B7658" s="21" t="s">
        <v>15866</v>
      </c>
      <c r="C7658" s="21" t="s">
        <v>22698</v>
      </c>
      <c r="D7658" s="31">
        <v>1</v>
      </c>
      <c r="E7658" s="23" t="s">
        <v>22658</v>
      </c>
      <c r="F7658" s="28" t="s">
        <v>22659</v>
      </c>
      <c r="G7658" s="25">
        <v>1</v>
      </c>
      <c r="H7658" s="26"/>
      <c r="I7658" s="27"/>
    </row>
    <row r="7659" spans="1:9" ht="15.75" thickBot="1" x14ac:dyDescent="0.3">
      <c r="A7659" s="43" t="s">
        <v>15867</v>
      </c>
      <c r="B7659" s="21" t="s">
        <v>15868</v>
      </c>
      <c r="C7659" s="21" t="s">
        <v>22663</v>
      </c>
      <c r="D7659" s="31">
        <v>1</v>
      </c>
      <c r="E7659" s="23" t="s">
        <v>22656</v>
      </c>
      <c r="F7659" s="24" t="s">
        <v>22657</v>
      </c>
      <c r="G7659" s="25">
        <v>2</v>
      </c>
      <c r="H7659" s="29"/>
      <c r="I7659" s="30"/>
    </row>
    <row r="7660" spans="1:9" ht="15.75" thickBot="1" x14ac:dyDescent="0.3">
      <c r="A7660" s="43" t="s">
        <v>15869</v>
      </c>
      <c r="B7660" s="21" t="s">
        <v>15870</v>
      </c>
      <c r="C7660" s="21" t="s">
        <v>22655</v>
      </c>
      <c r="D7660" s="31" t="s">
        <v>22732</v>
      </c>
      <c r="E7660" s="23" t="s">
        <v>22656</v>
      </c>
      <c r="F7660" s="24" t="s">
        <v>22657</v>
      </c>
      <c r="G7660" s="25">
        <v>4</v>
      </c>
      <c r="H7660" s="26"/>
      <c r="I7660" s="27"/>
    </row>
    <row r="7661" spans="1:9" ht="15.75" thickBot="1" x14ac:dyDescent="0.3">
      <c r="A7661" s="43" t="s">
        <v>15871</v>
      </c>
      <c r="B7661" s="21" t="s">
        <v>15872</v>
      </c>
      <c r="C7661" s="21" t="s">
        <v>22655</v>
      </c>
      <c r="D7661" s="31" t="s">
        <v>22666</v>
      </c>
      <c r="E7661" s="23" t="s">
        <v>22656</v>
      </c>
      <c r="F7661" s="24" t="s">
        <v>22657</v>
      </c>
      <c r="G7661" s="25">
        <v>4</v>
      </c>
      <c r="H7661" s="29"/>
      <c r="I7661" s="30"/>
    </row>
    <row r="7662" spans="1:9" ht="15.75" thickBot="1" x14ac:dyDescent="0.3">
      <c r="A7662" s="43" t="s">
        <v>15873</v>
      </c>
      <c r="B7662" s="21" t="s">
        <v>15874</v>
      </c>
      <c r="C7662" s="21" t="s">
        <v>22655</v>
      </c>
      <c r="D7662" s="22">
        <v>46032</v>
      </c>
      <c r="E7662" s="23" t="s">
        <v>22656</v>
      </c>
      <c r="F7662" s="24" t="s">
        <v>22657</v>
      </c>
      <c r="G7662" s="25">
        <v>4</v>
      </c>
      <c r="H7662" s="26"/>
      <c r="I7662" s="27"/>
    </row>
    <row r="7663" spans="1:9" ht="15.75" thickBot="1" x14ac:dyDescent="0.3">
      <c r="A7663" s="43" t="s">
        <v>1653</v>
      </c>
      <c r="B7663" s="21" t="s">
        <v>1654</v>
      </c>
      <c r="C7663" s="21" t="s">
        <v>22655</v>
      </c>
      <c r="D7663" s="22">
        <v>46034</v>
      </c>
      <c r="E7663" s="23" t="s">
        <v>22656</v>
      </c>
      <c r="F7663" s="24" t="s">
        <v>22657</v>
      </c>
      <c r="G7663" s="25">
        <v>6</v>
      </c>
      <c r="H7663" s="32">
        <v>6</v>
      </c>
      <c r="I7663" s="33">
        <v>12</v>
      </c>
    </row>
    <row r="7664" spans="1:9" ht="15.75" thickBot="1" x14ac:dyDescent="0.3">
      <c r="A7664" s="43" t="s">
        <v>15875</v>
      </c>
      <c r="B7664" s="21" t="s">
        <v>15876</v>
      </c>
      <c r="C7664" s="21" t="s">
        <v>22655</v>
      </c>
      <c r="D7664" s="22">
        <v>46032</v>
      </c>
      <c r="E7664" s="23" t="s">
        <v>22656</v>
      </c>
      <c r="F7664" s="24" t="s">
        <v>22657</v>
      </c>
      <c r="G7664" s="25">
        <v>4</v>
      </c>
      <c r="H7664" s="26"/>
      <c r="I7664" s="27"/>
    </row>
    <row r="7665" spans="1:9" ht="15.75" thickBot="1" x14ac:dyDescent="0.3">
      <c r="A7665" s="43" t="s">
        <v>15877</v>
      </c>
      <c r="B7665" s="21" t="s">
        <v>15878</v>
      </c>
      <c r="C7665" s="21" t="s">
        <v>22655</v>
      </c>
      <c r="D7665" s="22">
        <v>46032</v>
      </c>
      <c r="E7665" s="23" t="s">
        <v>22656</v>
      </c>
      <c r="F7665" s="24" t="s">
        <v>22657</v>
      </c>
      <c r="G7665" s="25">
        <v>4</v>
      </c>
      <c r="H7665" s="29"/>
      <c r="I7665" s="30"/>
    </row>
    <row r="7666" spans="1:9" ht="15.75" thickBot="1" x14ac:dyDescent="0.3">
      <c r="A7666" s="43" t="s">
        <v>15879</v>
      </c>
      <c r="B7666" s="21" t="s">
        <v>15880</v>
      </c>
      <c r="C7666" s="21" t="s">
        <v>22655</v>
      </c>
      <c r="D7666" s="22">
        <v>46028</v>
      </c>
      <c r="E7666" s="23" t="s">
        <v>22658</v>
      </c>
      <c r="F7666" s="24" t="s">
        <v>22657</v>
      </c>
      <c r="G7666" s="25">
        <v>2</v>
      </c>
      <c r="H7666" s="26"/>
      <c r="I7666" s="27"/>
    </row>
    <row r="7667" spans="1:9" ht="15.75" thickBot="1" x14ac:dyDescent="0.3">
      <c r="A7667" s="43" t="s">
        <v>15881</v>
      </c>
      <c r="B7667" s="21" t="s">
        <v>15882</v>
      </c>
      <c r="C7667" s="21" t="s">
        <v>22655</v>
      </c>
      <c r="D7667" s="22">
        <v>46032</v>
      </c>
      <c r="E7667" s="23" t="s">
        <v>22656</v>
      </c>
      <c r="F7667" s="24" t="s">
        <v>22657</v>
      </c>
      <c r="G7667" s="25">
        <v>4</v>
      </c>
      <c r="H7667" s="32">
        <v>4</v>
      </c>
      <c r="I7667" s="33">
        <v>6</v>
      </c>
    </row>
    <row r="7668" spans="1:9" ht="15.75" thickBot="1" x14ac:dyDescent="0.3">
      <c r="A7668" s="43" t="s">
        <v>15883</v>
      </c>
      <c r="B7668" s="21" t="s">
        <v>15884</v>
      </c>
      <c r="C7668" s="21" t="s">
        <v>22655</v>
      </c>
      <c r="D7668" s="22">
        <v>46032</v>
      </c>
      <c r="E7668" s="23" t="s">
        <v>22658</v>
      </c>
      <c r="F7668" s="24" t="s">
        <v>22657</v>
      </c>
      <c r="G7668" s="25">
        <v>4</v>
      </c>
      <c r="H7668" s="26"/>
      <c r="I7668" s="27"/>
    </row>
    <row r="7669" spans="1:9" ht="15.75" thickBot="1" x14ac:dyDescent="0.3">
      <c r="A7669" s="43" t="s">
        <v>15885</v>
      </c>
      <c r="B7669" s="21" t="s">
        <v>15886</v>
      </c>
      <c r="C7669" s="21" t="s">
        <v>22655</v>
      </c>
      <c r="D7669" s="22">
        <v>46032</v>
      </c>
      <c r="E7669" s="23" t="s">
        <v>22658</v>
      </c>
      <c r="F7669" s="24" t="s">
        <v>22657</v>
      </c>
      <c r="G7669" s="25">
        <v>4</v>
      </c>
      <c r="H7669" s="29"/>
      <c r="I7669" s="30"/>
    </row>
    <row r="7670" spans="1:9" ht="15.75" thickBot="1" x14ac:dyDescent="0.3">
      <c r="A7670" s="43" t="s">
        <v>15887</v>
      </c>
      <c r="B7670" s="21" t="s">
        <v>15888</v>
      </c>
      <c r="C7670" s="21" t="s">
        <v>22655</v>
      </c>
      <c r="D7670" s="22">
        <v>46032</v>
      </c>
      <c r="E7670" s="23" t="s">
        <v>22658</v>
      </c>
      <c r="F7670" s="24" t="s">
        <v>22657</v>
      </c>
      <c r="G7670" s="25">
        <v>4</v>
      </c>
      <c r="H7670" s="26"/>
      <c r="I7670" s="27"/>
    </row>
    <row r="7671" spans="1:9" ht="15.75" thickBot="1" x14ac:dyDescent="0.3">
      <c r="A7671" s="43" t="s">
        <v>15889</v>
      </c>
      <c r="B7671" s="21" t="s">
        <v>15890</v>
      </c>
      <c r="C7671" s="21" t="s">
        <v>22655</v>
      </c>
      <c r="D7671" s="22">
        <v>46032</v>
      </c>
      <c r="E7671" s="23" t="s">
        <v>22656</v>
      </c>
      <c r="F7671" s="24" t="s">
        <v>22657</v>
      </c>
      <c r="G7671" s="25">
        <v>4</v>
      </c>
      <c r="H7671" s="29"/>
      <c r="I7671" s="30"/>
    </row>
    <row r="7672" spans="1:9" ht="15.75" thickBot="1" x14ac:dyDescent="0.3">
      <c r="A7672" s="43" t="s">
        <v>15891</v>
      </c>
      <c r="B7672" s="21" t="s">
        <v>15892</v>
      </c>
      <c r="C7672" s="21" t="s">
        <v>22655</v>
      </c>
      <c r="D7672" s="22">
        <v>46032</v>
      </c>
      <c r="E7672" s="23" t="s">
        <v>22658</v>
      </c>
      <c r="F7672" s="24" t="s">
        <v>22657</v>
      </c>
      <c r="G7672" s="25">
        <v>4</v>
      </c>
      <c r="H7672" s="26"/>
      <c r="I7672" s="27"/>
    </row>
    <row r="7673" spans="1:9" ht="15.75" thickBot="1" x14ac:dyDescent="0.3">
      <c r="A7673" s="43" t="s">
        <v>15893</v>
      </c>
      <c r="B7673" s="21" t="s">
        <v>15894</v>
      </c>
      <c r="C7673" s="21" t="s">
        <v>22655</v>
      </c>
      <c r="D7673" s="22">
        <v>46032</v>
      </c>
      <c r="E7673" s="23" t="s">
        <v>22658</v>
      </c>
      <c r="F7673" s="24" t="s">
        <v>22657</v>
      </c>
      <c r="G7673" s="25">
        <v>4</v>
      </c>
      <c r="H7673" s="29"/>
      <c r="I7673" s="30"/>
    </row>
    <row r="7674" spans="1:9" ht="15.75" thickBot="1" x14ac:dyDescent="0.3">
      <c r="A7674" s="43" t="s">
        <v>15895</v>
      </c>
      <c r="B7674" s="21" t="s">
        <v>15896</v>
      </c>
      <c r="C7674" s="21" t="s">
        <v>22655</v>
      </c>
      <c r="D7674" s="22">
        <v>46032</v>
      </c>
      <c r="E7674" s="23" t="s">
        <v>22656</v>
      </c>
      <c r="F7674" s="24" t="s">
        <v>22657</v>
      </c>
      <c r="G7674" s="25">
        <v>4</v>
      </c>
      <c r="H7674" s="26"/>
      <c r="I7674" s="27"/>
    </row>
    <row r="7675" spans="1:9" ht="15.75" thickBot="1" x14ac:dyDescent="0.3">
      <c r="A7675" s="43" t="s">
        <v>22614</v>
      </c>
      <c r="B7675" s="21" t="s">
        <v>15896</v>
      </c>
      <c r="C7675" s="36" t="e">
        <v>#N/A</v>
      </c>
      <c r="D7675" s="37" t="e">
        <v>#N/A</v>
      </c>
      <c r="E7675" s="23" t="e">
        <v>#N/A</v>
      </c>
      <c r="F7675" s="24" t="s">
        <v>22657</v>
      </c>
      <c r="G7675" s="25" t="e">
        <v>#N/A</v>
      </c>
      <c r="H7675" s="29"/>
      <c r="I7675" s="30"/>
    </row>
    <row r="7676" spans="1:9" ht="15.75" thickBot="1" x14ac:dyDescent="0.3">
      <c r="A7676" s="43" t="s">
        <v>15897</v>
      </c>
      <c r="B7676" s="21" t="s">
        <v>15898</v>
      </c>
      <c r="C7676" s="21" t="s">
        <v>22655</v>
      </c>
      <c r="D7676" s="22">
        <v>46024</v>
      </c>
      <c r="E7676" s="23" t="s">
        <v>22656</v>
      </c>
      <c r="F7676" s="24" t="s">
        <v>22657</v>
      </c>
      <c r="G7676" s="25">
        <v>2</v>
      </c>
      <c r="H7676" s="26"/>
      <c r="I7676" s="27"/>
    </row>
    <row r="7677" spans="1:9" ht="15.75" thickBot="1" x14ac:dyDescent="0.3">
      <c r="A7677" s="43" t="s">
        <v>15899</v>
      </c>
      <c r="B7677" s="21" t="s">
        <v>15900</v>
      </c>
      <c r="C7677" s="21" t="s">
        <v>22655</v>
      </c>
      <c r="D7677" s="22">
        <v>46032</v>
      </c>
      <c r="E7677" s="23" t="s">
        <v>22656</v>
      </c>
      <c r="F7677" s="24" t="s">
        <v>22657</v>
      </c>
      <c r="G7677" s="25">
        <v>4</v>
      </c>
      <c r="H7677" s="29"/>
      <c r="I7677" s="30"/>
    </row>
    <row r="7678" spans="1:9" ht="15.75" thickBot="1" x14ac:dyDescent="0.3">
      <c r="A7678" s="43" t="s">
        <v>15901</v>
      </c>
      <c r="B7678" s="21" t="s">
        <v>15902</v>
      </c>
      <c r="C7678" s="21" t="s">
        <v>22655</v>
      </c>
      <c r="D7678" s="22">
        <v>46024</v>
      </c>
      <c r="E7678" s="23" t="s">
        <v>22656</v>
      </c>
      <c r="F7678" s="24" t="s">
        <v>22657</v>
      </c>
      <c r="G7678" s="25">
        <v>2</v>
      </c>
      <c r="H7678" s="26"/>
      <c r="I7678" s="27"/>
    </row>
    <row r="7679" spans="1:9" ht="15.75" thickBot="1" x14ac:dyDescent="0.3">
      <c r="A7679" s="43" t="s">
        <v>15903</v>
      </c>
      <c r="B7679" s="21" t="s">
        <v>15904</v>
      </c>
      <c r="C7679" s="21" t="s">
        <v>22655</v>
      </c>
      <c r="D7679" s="22">
        <v>46032</v>
      </c>
      <c r="E7679" s="23" t="s">
        <v>22658</v>
      </c>
      <c r="F7679" s="24" t="s">
        <v>22657</v>
      </c>
      <c r="G7679" s="25">
        <v>4</v>
      </c>
      <c r="H7679" s="29"/>
      <c r="I7679" s="30"/>
    </row>
    <row r="7680" spans="1:9" ht="15.75" thickBot="1" x14ac:dyDescent="0.3">
      <c r="A7680" s="43" t="s">
        <v>15905</v>
      </c>
      <c r="B7680" s="21" t="s">
        <v>15906</v>
      </c>
      <c r="C7680" s="21" t="s">
        <v>22655</v>
      </c>
      <c r="D7680" s="22">
        <v>46034</v>
      </c>
      <c r="E7680" s="23" t="s">
        <v>22658</v>
      </c>
      <c r="F7680" s="24" t="s">
        <v>22657</v>
      </c>
      <c r="G7680" s="25">
        <v>4</v>
      </c>
      <c r="H7680" s="26"/>
      <c r="I7680" s="27"/>
    </row>
    <row r="7681" spans="1:9" ht="15.75" thickBot="1" x14ac:dyDescent="0.3">
      <c r="A7681" s="43" t="s">
        <v>15907</v>
      </c>
      <c r="B7681" s="21" t="s">
        <v>15908</v>
      </c>
      <c r="C7681" s="21" t="s">
        <v>22663</v>
      </c>
      <c r="D7681" s="31">
        <v>1</v>
      </c>
      <c r="E7681" s="23" t="s">
        <v>22656</v>
      </c>
      <c r="F7681" s="24" t="s">
        <v>22657</v>
      </c>
      <c r="G7681" s="25">
        <v>2</v>
      </c>
      <c r="H7681" s="29"/>
      <c r="I7681" s="30"/>
    </row>
    <row r="7682" spans="1:9" ht="15.75" thickBot="1" x14ac:dyDescent="0.3">
      <c r="A7682" s="43" t="s">
        <v>15909</v>
      </c>
      <c r="B7682" s="21" t="s">
        <v>15910</v>
      </c>
      <c r="C7682" s="21" t="s">
        <v>22698</v>
      </c>
      <c r="D7682" s="31">
        <v>1</v>
      </c>
      <c r="E7682" s="23" t="s">
        <v>22656</v>
      </c>
      <c r="F7682" s="24" t="s">
        <v>22657</v>
      </c>
      <c r="G7682" s="25">
        <v>3</v>
      </c>
      <c r="H7682" s="26"/>
      <c r="I7682" s="27"/>
    </row>
    <row r="7683" spans="1:9" ht="15.75" thickBot="1" x14ac:dyDescent="0.3">
      <c r="A7683" s="43" t="s">
        <v>15911</v>
      </c>
      <c r="B7683" s="21" t="s">
        <v>15912</v>
      </c>
      <c r="C7683" s="21" t="s">
        <v>22663</v>
      </c>
      <c r="D7683" s="31">
        <v>1</v>
      </c>
      <c r="E7683" s="23" t="s">
        <v>22656</v>
      </c>
      <c r="F7683" s="24" t="s">
        <v>22657</v>
      </c>
      <c r="G7683" s="25">
        <v>2</v>
      </c>
      <c r="H7683" s="29"/>
      <c r="I7683" s="30"/>
    </row>
    <row r="7684" spans="1:9" ht="15.75" thickBot="1" x14ac:dyDescent="0.3">
      <c r="A7684" s="43" t="s">
        <v>1019</v>
      </c>
      <c r="B7684" s="21" t="s">
        <v>1020</v>
      </c>
      <c r="C7684" s="21" t="s">
        <v>22727</v>
      </c>
      <c r="D7684" s="31">
        <v>1</v>
      </c>
      <c r="E7684" s="23" t="s">
        <v>22656</v>
      </c>
      <c r="F7684" s="24" t="s">
        <v>22657</v>
      </c>
      <c r="G7684" s="25">
        <v>4</v>
      </c>
      <c r="H7684" s="34">
        <v>4</v>
      </c>
      <c r="I7684" s="35">
        <v>6</v>
      </c>
    </row>
    <row r="7685" spans="1:9" ht="15.75" thickBot="1" x14ac:dyDescent="0.3">
      <c r="A7685" s="43" t="s">
        <v>15913</v>
      </c>
      <c r="B7685" s="21" t="s">
        <v>15914</v>
      </c>
      <c r="C7685" s="21" t="s">
        <v>22655</v>
      </c>
      <c r="D7685" s="22">
        <v>46042</v>
      </c>
      <c r="E7685" s="23" t="s">
        <v>22656</v>
      </c>
      <c r="F7685" s="24" t="s">
        <v>22657</v>
      </c>
      <c r="G7685" s="25">
        <v>7</v>
      </c>
      <c r="H7685" s="29"/>
      <c r="I7685" s="30"/>
    </row>
    <row r="7686" spans="1:9" ht="15.75" thickBot="1" x14ac:dyDescent="0.3">
      <c r="A7686" s="43" t="s">
        <v>15915</v>
      </c>
      <c r="B7686" s="21" t="s">
        <v>15916</v>
      </c>
      <c r="C7686" s="21" t="s">
        <v>22655</v>
      </c>
      <c r="D7686" s="22">
        <v>46042</v>
      </c>
      <c r="E7686" s="23" t="s">
        <v>22656</v>
      </c>
      <c r="F7686" s="24" t="s">
        <v>22657</v>
      </c>
      <c r="G7686" s="25">
        <v>3</v>
      </c>
      <c r="H7686" s="34">
        <v>3</v>
      </c>
      <c r="I7686" s="35">
        <v>6</v>
      </c>
    </row>
    <row r="7687" spans="1:9" ht="15.75" thickBot="1" x14ac:dyDescent="0.3">
      <c r="A7687" s="43" t="s">
        <v>15917</v>
      </c>
      <c r="B7687" s="21" t="s">
        <v>15918</v>
      </c>
      <c r="C7687" s="21" t="s">
        <v>22663</v>
      </c>
      <c r="D7687" s="31">
        <v>1</v>
      </c>
      <c r="E7687" s="23" t="s">
        <v>22656</v>
      </c>
      <c r="F7687" s="24" t="s">
        <v>22657</v>
      </c>
      <c r="G7687" s="25">
        <v>2</v>
      </c>
      <c r="H7687" s="29"/>
      <c r="I7687" s="30"/>
    </row>
    <row r="7688" spans="1:9" ht="15.75" thickBot="1" x14ac:dyDescent="0.3">
      <c r="A7688" s="43" t="s">
        <v>15919</v>
      </c>
      <c r="B7688" s="21" t="s">
        <v>15920</v>
      </c>
      <c r="C7688" s="21" t="s">
        <v>22727</v>
      </c>
      <c r="D7688" s="31">
        <v>1</v>
      </c>
      <c r="E7688" s="23" t="s">
        <v>22658</v>
      </c>
      <c r="F7688" s="28" t="s">
        <v>22659</v>
      </c>
      <c r="G7688" s="25">
        <v>1</v>
      </c>
      <c r="H7688" s="26"/>
      <c r="I7688" s="27"/>
    </row>
    <row r="7689" spans="1:9" ht="15.75" thickBot="1" x14ac:dyDescent="0.3">
      <c r="A7689" s="43" t="s">
        <v>15921</v>
      </c>
      <c r="B7689" s="21" t="s">
        <v>15922</v>
      </c>
      <c r="C7689" s="21" t="s">
        <v>22698</v>
      </c>
      <c r="D7689" s="31">
        <v>1</v>
      </c>
      <c r="E7689" s="23" t="s">
        <v>22656</v>
      </c>
      <c r="F7689" s="24" t="s">
        <v>22657</v>
      </c>
      <c r="G7689" s="25">
        <v>2</v>
      </c>
      <c r="H7689" s="29"/>
      <c r="I7689" s="30"/>
    </row>
    <row r="7690" spans="1:9" ht="15.75" thickBot="1" x14ac:dyDescent="0.3">
      <c r="A7690" s="43" t="s">
        <v>15923</v>
      </c>
      <c r="B7690" s="21" t="s">
        <v>15924</v>
      </c>
      <c r="C7690" s="21" t="s">
        <v>22663</v>
      </c>
      <c r="D7690" s="31">
        <v>1</v>
      </c>
      <c r="E7690" s="23" t="s">
        <v>22656</v>
      </c>
      <c r="F7690" s="24" t="s">
        <v>22657</v>
      </c>
      <c r="G7690" s="25">
        <v>2</v>
      </c>
      <c r="H7690" s="26"/>
      <c r="I7690" s="27"/>
    </row>
    <row r="7691" spans="1:9" ht="15.75" thickBot="1" x14ac:dyDescent="0.3">
      <c r="A7691" s="43" t="s">
        <v>721</v>
      </c>
      <c r="B7691" s="21" t="s">
        <v>722</v>
      </c>
      <c r="C7691" s="21" t="s">
        <v>22709</v>
      </c>
      <c r="D7691" s="31">
        <v>1</v>
      </c>
      <c r="E7691" s="23" t="s">
        <v>22656</v>
      </c>
      <c r="F7691" s="24" t="s">
        <v>22657</v>
      </c>
      <c r="G7691" s="25">
        <v>3</v>
      </c>
      <c r="H7691" s="29"/>
      <c r="I7691" s="30"/>
    </row>
    <row r="7692" spans="1:9" ht="15.75" thickBot="1" x14ac:dyDescent="0.3">
      <c r="A7692" s="43" t="s">
        <v>15925</v>
      </c>
      <c r="B7692" s="21" t="s">
        <v>15926</v>
      </c>
      <c r="C7692" s="21" t="s">
        <v>22663</v>
      </c>
      <c r="D7692" s="31">
        <v>1</v>
      </c>
      <c r="E7692" s="23" t="s">
        <v>22656</v>
      </c>
      <c r="F7692" s="24" t="s">
        <v>22657</v>
      </c>
      <c r="G7692" s="25">
        <v>3</v>
      </c>
      <c r="H7692" s="26"/>
      <c r="I7692" s="27"/>
    </row>
    <row r="7693" spans="1:9" ht="15.75" thickBot="1" x14ac:dyDescent="0.3">
      <c r="A7693" s="43" t="s">
        <v>15927</v>
      </c>
      <c r="B7693" s="21" t="s">
        <v>15928</v>
      </c>
      <c r="C7693" s="21" t="s">
        <v>22682</v>
      </c>
      <c r="D7693" s="22">
        <v>46034</v>
      </c>
      <c r="E7693" s="23" t="s">
        <v>22658</v>
      </c>
      <c r="F7693" s="24" t="s">
        <v>22657</v>
      </c>
      <c r="G7693" s="25">
        <v>4</v>
      </c>
      <c r="H7693" s="29"/>
      <c r="I7693" s="30"/>
    </row>
    <row r="7694" spans="1:9" ht="15.75" thickBot="1" x14ac:dyDescent="0.3">
      <c r="A7694" s="43" t="s">
        <v>15929</v>
      </c>
      <c r="B7694" s="21" t="s">
        <v>15930</v>
      </c>
      <c r="C7694" s="21" t="s">
        <v>22682</v>
      </c>
      <c r="D7694" s="22">
        <v>46034</v>
      </c>
      <c r="E7694" s="23" t="s">
        <v>22658</v>
      </c>
      <c r="F7694" s="24" t="s">
        <v>22657</v>
      </c>
      <c r="G7694" s="25">
        <v>4</v>
      </c>
      <c r="H7694" s="26"/>
      <c r="I7694" s="27"/>
    </row>
    <row r="7695" spans="1:9" ht="15.75" thickBot="1" x14ac:dyDescent="0.3">
      <c r="A7695" s="43" t="s">
        <v>15931</v>
      </c>
      <c r="B7695" s="21" t="s">
        <v>15932</v>
      </c>
      <c r="C7695" s="21" t="s">
        <v>22682</v>
      </c>
      <c r="D7695" s="22">
        <v>46034</v>
      </c>
      <c r="E7695" s="23" t="s">
        <v>22658</v>
      </c>
      <c r="F7695" s="24" t="s">
        <v>22657</v>
      </c>
      <c r="G7695" s="25">
        <v>4</v>
      </c>
      <c r="H7695" s="29"/>
      <c r="I7695" s="30"/>
    </row>
    <row r="7696" spans="1:9" ht="15.75" thickBot="1" x14ac:dyDescent="0.3">
      <c r="A7696" s="43" t="s">
        <v>15933</v>
      </c>
      <c r="B7696" s="21" t="s">
        <v>15934</v>
      </c>
      <c r="C7696" s="21" t="s">
        <v>22682</v>
      </c>
      <c r="D7696" s="22">
        <v>46034</v>
      </c>
      <c r="E7696" s="23" t="s">
        <v>22658</v>
      </c>
      <c r="F7696" s="24" t="s">
        <v>22657</v>
      </c>
      <c r="G7696" s="25">
        <v>4</v>
      </c>
      <c r="H7696" s="26"/>
      <c r="I7696" s="27"/>
    </row>
    <row r="7697" spans="1:9" ht="15.75" thickBot="1" x14ac:dyDescent="0.3">
      <c r="A7697" s="43" t="s">
        <v>15935</v>
      </c>
      <c r="B7697" s="21" t="s">
        <v>15936</v>
      </c>
      <c r="C7697" s="21" t="s">
        <v>22682</v>
      </c>
      <c r="D7697" s="22">
        <v>46034</v>
      </c>
      <c r="E7697" s="23" t="s">
        <v>22658</v>
      </c>
      <c r="F7697" s="24" t="s">
        <v>22657</v>
      </c>
      <c r="G7697" s="25">
        <v>4</v>
      </c>
      <c r="H7697" s="29"/>
      <c r="I7697" s="30"/>
    </row>
    <row r="7698" spans="1:9" ht="15.75" thickBot="1" x14ac:dyDescent="0.3">
      <c r="A7698" s="43" t="s">
        <v>15937</v>
      </c>
      <c r="B7698" s="21" t="s">
        <v>15938</v>
      </c>
      <c r="C7698" s="21" t="s">
        <v>22682</v>
      </c>
      <c r="D7698" s="22">
        <v>46034</v>
      </c>
      <c r="E7698" s="23" t="s">
        <v>22658</v>
      </c>
      <c r="F7698" s="24" t="s">
        <v>22657</v>
      </c>
      <c r="G7698" s="25">
        <v>4</v>
      </c>
      <c r="H7698" s="26"/>
      <c r="I7698" s="27"/>
    </row>
    <row r="7699" spans="1:9" ht="15.75" thickBot="1" x14ac:dyDescent="0.3">
      <c r="A7699" s="43" t="s">
        <v>15939</v>
      </c>
      <c r="B7699" s="21" t="s">
        <v>15940</v>
      </c>
      <c r="C7699" s="21" t="s">
        <v>22682</v>
      </c>
      <c r="D7699" s="22">
        <v>46034</v>
      </c>
      <c r="E7699" s="23" t="s">
        <v>22658</v>
      </c>
      <c r="F7699" s="24" t="s">
        <v>22657</v>
      </c>
      <c r="G7699" s="25">
        <v>4</v>
      </c>
      <c r="H7699" s="29"/>
      <c r="I7699" s="30"/>
    </row>
    <row r="7700" spans="1:9" ht="15.75" thickBot="1" x14ac:dyDescent="0.3">
      <c r="A7700" s="43" t="s">
        <v>15941</v>
      </c>
      <c r="B7700" s="21" t="s">
        <v>15942</v>
      </c>
      <c r="C7700" s="21" t="s">
        <v>22682</v>
      </c>
      <c r="D7700" s="22">
        <v>46034</v>
      </c>
      <c r="E7700" s="23" t="s">
        <v>22658</v>
      </c>
      <c r="F7700" s="24" t="s">
        <v>22657</v>
      </c>
      <c r="G7700" s="25">
        <v>4</v>
      </c>
      <c r="H7700" s="26"/>
      <c r="I7700" s="27"/>
    </row>
    <row r="7701" spans="1:9" ht="15.75" thickBot="1" x14ac:dyDescent="0.3">
      <c r="A7701" s="43" t="s">
        <v>15943</v>
      </c>
      <c r="B7701" s="21" t="s">
        <v>15944</v>
      </c>
      <c r="C7701" s="21" t="s">
        <v>22682</v>
      </c>
      <c r="D7701" s="22">
        <v>46034</v>
      </c>
      <c r="E7701" s="23" t="s">
        <v>22658</v>
      </c>
      <c r="F7701" s="24" t="s">
        <v>22657</v>
      </c>
      <c r="G7701" s="25">
        <v>4</v>
      </c>
      <c r="H7701" s="29"/>
      <c r="I7701" s="30"/>
    </row>
    <row r="7702" spans="1:9" ht="15.75" thickBot="1" x14ac:dyDescent="0.3">
      <c r="A7702" s="43" t="s">
        <v>15945</v>
      </c>
      <c r="B7702" s="21" t="s">
        <v>15946</v>
      </c>
      <c r="C7702" s="21" t="s">
        <v>22682</v>
      </c>
      <c r="D7702" s="22">
        <v>46034</v>
      </c>
      <c r="E7702" s="23" t="s">
        <v>22658</v>
      </c>
      <c r="F7702" s="24" t="s">
        <v>22657</v>
      </c>
      <c r="G7702" s="25">
        <v>4</v>
      </c>
      <c r="H7702" s="26"/>
      <c r="I7702" s="27"/>
    </row>
    <row r="7703" spans="1:9" ht="15.75" thickBot="1" x14ac:dyDescent="0.3">
      <c r="A7703" s="43" t="s">
        <v>15947</v>
      </c>
      <c r="B7703" s="21" t="s">
        <v>15948</v>
      </c>
      <c r="C7703" s="21" t="s">
        <v>22682</v>
      </c>
      <c r="D7703" s="22">
        <v>46034</v>
      </c>
      <c r="E7703" s="23" t="s">
        <v>22658</v>
      </c>
      <c r="F7703" s="24" t="s">
        <v>22657</v>
      </c>
      <c r="G7703" s="25">
        <v>4</v>
      </c>
      <c r="H7703" s="29"/>
      <c r="I7703" s="30"/>
    </row>
    <row r="7704" spans="1:9" ht="15.75" thickBot="1" x14ac:dyDescent="0.3">
      <c r="A7704" s="43" t="s">
        <v>15949</v>
      </c>
      <c r="B7704" s="21" t="s">
        <v>15950</v>
      </c>
      <c r="C7704" s="21" t="s">
        <v>22682</v>
      </c>
      <c r="D7704" s="22">
        <v>46034</v>
      </c>
      <c r="E7704" s="23" t="s">
        <v>22658</v>
      </c>
      <c r="F7704" s="24" t="s">
        <v>22657</v>
      </c>
      <c r="G7704" s="25">
        <v>4</v>
      </c>
      <c r="H7704" s="26"/>
      <c r="I7704" s="27"/>
    </row>
    <row r="7705" spans="1:9" ht="15.75" thickBot="1" x14ac:dyDescent="0.3">
      <c r="A7705" s="43" t="s">
        <v>15951</v>
      </c>
      <c r="B7705" s="21" t="s">
        <v>15952</v>
      </c>
      <c r="C7705" s="21" t="s">
        <v>22655</v>
      </c>
      <c r="D7705" s="31" t="s">
        <v>22669</v>
      </c>
      <c r="E7705" s="23" t="s">
        <v>22656</v>
      </c>
      <c r="F7705" s="24" t="s">
        <v>22657</v>
      </c>
      <c r="G7705" s="25">
        <v>4</v>
      </c>
      <c r="H7705" s="29"/>
      <c r="I7705" s="30"/>
    </row>
    <row r="7706" spans="1:9" ht="15.75" thickBot="1" x14ac:dyDescent="0.3">
      <c r="A7706" s="43" t="s">
        <v>15953</v>
      </c>
      <c r="B7706" s="21" t="s">
        <v>15954</v>
      </c>
      <c r="C7706" s="21" t="s">
        <v>22655</v>
      </c>
      <c r="D7706" s="22">
        <v>46034</v>
      </c>
      <c r="E7706" s="23" t="s">
        <v>22656</v>
      </c>
      <c r="F7706" s="24" t="s">
        <v>22657</v>
      </c>
      <c r="G7706" s="25">
        <v>4</v>
      </c>
      <c r="H7706" s="26"/>
      <c r="I7706" s="27"/>
    </row>
    <row r="7707" spans="1:9" ht="15.75" thickBot="1" x14ac:dyDescent="0.3">
      <c r="A7707" s="43" t="s">
        <v>15955</v>
      </c>
      <c r="B7707" s="21" t="s">
        <v>15956</v>
      </c>
      <c r="C7707" s="21" t="s">
        <v>22655</v>
      </c>
      <c r="D7707" s="22">
        <v>46034</v>
      </c>
      <c r="E7707" s="23" t="s">
        <v>22656</v>
      </c>
      <c r="F7707" s="24" t="s">
        <v>22657</v>
      </c>
      <c r="G7707" s="25">
        <v>4</v>
      </c>
      <c r="H7707" s="29"/>
      <c r="I7707" s="30"/>
    </row>
    <row r="7708" spans="1:9" ht="15.75" thickBot="1" x14ac:dyDescent="0.3">
      <c r="A7708" s="43" t="s">
        <v>15957</v>
      </c>
      <c r="B7708" s="21" t="s">
        <v>15958</v>
      </c>
      <c r="C7708" s="21" t="s">
        <v>22655</v>
      </c>
      <c r="D7708" s="31" t="s">
        <v>22669</v>
      </c>
      <c r="E7708" s="23" t="s">
        <v>22656</v>
      </c>
      <c r="F7708" s="24" t="s">
        <v>22657</v>
      </c>
      <c r="G7708" s="25">
        <v>4</v>
      </c>
      <c r="H7708" s="26"/>
      <c r="I7708" s="27"/>
    </row>
    <row r="7709" spans="1:9" ht="15.75" thickBot="1" x14ac:dyDescent="0.3">
      <c r="A7709" s="43" t="s">
        <v>15959</v>
      </c>
      <c r="B7709" s="21" t="s">
        <v>15960</v>
      </c>
      <c r="C7709" s="21" t="s">
        <v>22655</v>
      </c>
      <c r="D7709" s="22">
        <v>46034</v>
      </c>
      <c r="E7709" s="23" t="s">
        <v>22656</v>
      </c>
      <c r="F7709" s="24" t="s">
        <v>22657</v>
      </c>
      <c r="G7709" s="25">
        <v>4</v>
      </c>
      <c r="H7709" s="29"/>
      <c r="I7709" s="30"/>
    </row>
    <row r="7710" spans="1:9" ht="15.75" thickBot="1" x14ac:dyDescent="0.3">
      <c r="A7710" s="43" t="s">
        <v>15961</v>
      </c>
      <c r="B7710" s="21" t="s">
        <v>15962</v>
      </c>
      <c r="C7710" s="21" t="s">
        <v>22655</v>
      </c>
      <c r="D7710" s="22">
        <v>46034</v>
      </c>
      <c r="E7710" s="23" t="s">
        <v>22656</v>
      </c>
      <c r="F7710" s="24" t="s">
        <v>22657</v>
      </c>
      <c r="G7710" s="25">
        <v>4</v>
      </c>
      <c r="H7710" s="26"/>
      <c r="I7710" s="27"/>
    </row>
    <row r="7711" spans="1:9" ht="15.75" thickBot="1" x14ac:dyDescent="0.3">
      <c r="A7711" s="43" t="s">
        <v>15963</v>
      </c>
      <c r="B7711" s="21" t="s">
        <v>15964</v>
      </c>
      <c r="C7711" s="21" t="s">
        <v>22804</v>
      </c>
      <c r="D7711" s="22">
        <v>46032</v>
      </c>
      <c r="E7711" s="23" t="s">
        <v>22658</v>
      </c>
      <c r="F7711" s="24" t="s">
        <v>22657</v>
      </c>
      <c r="G7711" s="25">
        <v>4</v>
      </c>
      <c r="H7711" s="29"/>
      <c r="I7711" s="30"/>
    </row>
    <row r="7712" spans="1:9" ht="15.75" thickBot="1" x14ac:dyDescent="0.3">
      <c r="A7712" s="43" t="s">
        <v>1906</v>
      </c>
      <c r="B7712" s="21" t="s">
        <v>1907</v>
      </c>
      <c r="C7712" s="21" t="s">
        <v>22655</v>
      </c>
      <c r="D7712" s="22">
        <v>46042</v>
      </c>
      <c r="E7712" s="23" t="s">
        <v>22665</v>
      </c>
      <c r="F7712" s="24" t="s">
        <v>22657</v>
      </c>
      <c r="G7712" s="25">
        <v>12</v>
      </c>
      <c r="H7712" s="34">
        <v>12</v>
      </c>
      <c r="I7712" s="35">
        <v>20</v>
      </c>
    </row>
    <row r="7713" spans="1:9" ht="15.75" thickBot="1" x14ac:dyDescent="0.3">
      <c r="A7713" s="43" t="s">
        <v>15965</v>
      </c>
      <c r="B7713" s="21" t="s">
        <v>15966</v>
      </c>
      <c r="C7713" s="21" t="s">
        <v>22852</v>
      </c>
      <c r="D7713" s="31" t="s">
        <v>22853</v>
      </c>
      <c r="E7713" s="23" t="s">
        <v>22658</v>
      </c>
      <c r="F7713" s="24" t="s">
        <v>22657</v>
      </c>
      <c r="G7713" s="25">
        <v>20</v>
      </c>
      <c r="H7713" s="29"/>
      <c r="I7713" s="30"/>
    </row>
    <row r="7714" spans="1:9" ht="15.75" thickBot="1" x14ac:dyDescent="0.3">
      <c r="A7714" s="43" t="s">
        <v>15967</v>
      </c>
      <c r="B7714" s="21" t="s">
        <v>15968</v>
      </c>
      <c r="C7714" s="21" t="s">
        <v>22655</v>
      </c>
      <c r="D7714" s="22">
        <v>46042</v>
      </c>
      <c r="E7714" s="23" t="s">
        <v>22658</v>
      </c>
      <c r="F7714" s="24" t="s">
        <v>22657</v>
      </c>
      <c r="G7714" s="25">
        <v>7</v>
      </c>
      <c r="H7714" s="26"/>
      <c r="I7714" s="27"/>
    </row>
    <row r="7715" spans="1:9" ht="15.75" thickBot="1" x14ac:dyDescent="0.3">
      <c r="A7715" s="43" t="s">
        <v>1549</v>
      </c>
      <c r="B7715" s="21" t="s">
        <v>1550</v>
      </c>
      <c r="C7715" s="21" t="s">
        <v>22854</v>
      </c>
      <c r="D7715" s="31" t="s">
        <v>22855</v>
      </c>
      <c r="E7715" s="23" t="s">
        <v>22662</v>
      </c>
      <c r="F7715" s="24" t="s">
        <v>22657</v>
      </c>
      <c r="G7715" s="25">
        <v>480</v>
      </c>
      <c r="H7715" s="32">
        <v>480</v>
      </c>
      <c r="I7715" s="33">
        <v>720</v>
      </c>
    </row>
    <row r="7716" spans="1:9" ht="15.75" thickBot="1" x14ac:dyDescent="0.3">
      <c r="A7716" s="43" t="s">
        <v>15969</v>
      </c>
      <c r="B7716" s="21" t="s">
        <v>15970</v>
      </c>
      <c r="C7716" s="21" t="s">
        <v>22667</v>
      </c>
      <c r="D7716" s="31" t="s">
        <v>22718</v>
      </c>
      <c r="E7716" s="23" t="s">
        <v>22656</v>
      </c>
      <c r="F7716" s="24" t="s">
        <v>22657</v>
      </c>
      <c r="G7716" s="25">
        <v>2</v>
      </c>
      <c r="H7716" s="26"/>
      <c r="I7716" s="27"/>
    </row>
    <row r="7717" spans="1:9" ht="15.75" thickBot="1" x14ac:dyDescent="0.3">
      <c r="A7717" s="43" t="s">
        <v>15971</v>
      </c>
      <c r="B7717" s="21" t="s">
        <v>15972</v>
      </c>
      <c r="C7717" s="21" t="s">
        <v>22655</v>
      </c>
      <c r="D7717" s="31" t="s">
        <v>22683</v>
      </c>
      <c r="E7717" s="23" t="s">
        <v>22656</v>
      </c>
      <c r="F7717" s="24" t="s">
        <v>22657</v>
      </c>
      <c r="G7717" s="25">
        <v>2</v>
      </c>
      <c r="H7717" s="29"/>
      <c r="I7717" s="30"/>
    </row>
    <row r="7718" spans="1:9" ht="15.75" thickBot="1" x14ac:dyDescent="0.3">
      <c r="A7718" s="43" t="s">
        <v>15973</v>
      </c>
      <c r="B7718" s="21" t="s">
        <v>15974</v>
      </c>
      <c r="C7718" s="21" t="s">
        <v>22690</v>
      </c>
      <c r="D7718" s="31" t="s">
        <v>22718</v>
      </c>
      <c r="E7718" s="23" t="s">
        <v>22656</v>
      </c>
      <c r="F7718" s="24" t="s">
        <v>22657</v>
      </c>
      <c r="G7718" s="25">
        <v>2</v>
      </c>
      <c r="H7718" s="26"/>
      <c r="I7718" s="27"/>
    </row>
    <row r="7719" spans="1:9" ht="15.75" thickBot="1" x14ac:dyDescent="0.3">
      <c r="A7719" s="43" t="s">
        <v>15977</v>
      </c>
      <c r="B7719" s="21" t="s">
        <v>15976</v>
      </c>
      <c r="C7719" s="21" t="s">
        <v>22655</v>
      </c>
      <c r="D7719" s="22">
        <v>46042</v>
      </c>
      <c r="E7719" s="23" t="s">
        <v>22656</v>
      </c>
      <c r="F7719" s="24" t="s">
        <v>22657</v>
      </c>
      <c r="G7719" s="25">
        <v>7</v>
      </c>
      <c r="H7719" s="29"/>
      <c r="I7719" s="30"/>
    </row>
    <row r="7720" spans="1:9" ht="15.75" thickBot="1" x14ac:dyDescent="0.3">
      <c r="A7720" s="43" t="s">
        <v>15975</v>
      </c>
      <c r="B7720" s="21" t="s">
        <v>15976</v>
      </c>
      <c r="C7720" s="21" t="s">
        <v>22655</v>
      </c>
      <c r="D7720" s="22">
        <v>46042</v>
      </c>
      <c r="E7720" s="23" t="s">
        <v>22656</v>
      </c>
      <c r="F7720" s="24" t="s">
        <v>22657</v>
      </c>
      <c r="G7720" s="25">
        <v>7</v>
      </c>
      <c r="H7720" s="26"/>
      <c r="I7720" s="27"/>
    </row>
    <row r="7721" spans="1:9" ht="15.75" thickBot="1" x14ac:dyDescent="0.3">
      <c r="A7721" s="43" t="s">
        <v>15978</v>
      </c>
      <c r="B7721" s="21" t="s">
        <v>15979</v>
      </c>
      <c r="C7721" s="21" t="s">
        <v>22667</v>
      </c>
      <c r="D7721" s="31" t="s">
        <v>22856</v>
      </c>
      <c r="E7721" s="23" t="s">
        <v>22665</v>
      </c>
      <c r="F7721" s="24" t="s">
        <v>22657</v>
      </c>
      <c r="G7721" s="25">
        <v>20</v>
      </c>
      <c r="H7721" s="29"/>
      <c r="I7721" s="30"/>
    </row>
    <row r="7722" spans="1:9" ht="15.75" thickBot="1" x14ac:dyDescent="0.3">
      <c r="A7722" s="43" t="s">
        <v>15980</v>
      </c>
      <c r="B7722" s="21" t="s">
        <v>15981</v>
      </c>
      <c r="C7722" s="21" t="s">
        <v>22655</v>
      </c>
      <c r="D7722" s="22">
        <v>46042</v>
      </c>
      <c r="E7722" s="23" t="s">
        <v>22656</v>
      </c>
      <c r="F7722" s="24" t="s">
        <v>22657</v>
      </c>
      <c r="G7722" s="25">
        <v>7</v>
      </c>
      <c r="H7722" s="26"/>
      <c r="I7722" s="27"/>
    </row>
    <row r="7723" spans="1:9" ht="15.75" thickBot="1" x14ac:dyDescent="0.3">
      <c r="A7723" s="43" t="s">
        <v>15982</v>
      </c>
      <c r="B7723" s="21" t="s">
        <v>15983</v>
      </c>
      <c r="C7723" s="21" t="s">
        <v>22655</v>
      </c>
      <c r="D7723" s="22">
        <v>46042</v>
      </c>
      <c r="E7723" s="23" t="s">
        <v>22656</v>
      </c>
      <c r="F7723" s="24" t="s">
        <v>22657</v>
      </c>
      <c r="G7723" s="25">
        <v>7</v>
      </c>
      <c r="H7723" s="29"/>
      <c r="I7723" s="30"/>
    </row>
    <row r="7724" spans="1:9" ht="15.75" thickBot="1" x14ac:dyDescent="0.3">
      <c r="A7724" s="43" t="s">
        <v>15984</v>
      </c>
      <c r="B7724" s="21" t="s">
        <v>15985</v>
      </c>
      <c r="C7724" s="21" t="s">
        <v>22655</v>
      </c>
      <c r="D7724" s="22">
        <v>46042</v>
      </c>
      <c r="E7724" s="23" t="s">
        <v>22656</v>
      </c>
      <c r="F7724" s="24" t="s">
        <v>22657</v>
      </c>
      <c r="G7724" s="25">
        <v>7</v>
      </c>
      <c r="H7724" s="26"/>
      <c r="I7724" s="27"/>
    </row>
    <row r="7725" spans="1:9" ht="15.75" thickBot="1" x14ac:dyDescent="0.3">
      <c r="A7725" s="43" t="s">
        <v>15986</v>
      </c>
      <c r="B7725" s="21" t="s">
        <v>15987</v>
      </c>
      <c r="C7725" s="21" t="s">
        <v>22655</v>
      </c>
      <c r="D7725" s="22">
        <v>46042</v>
      </c>
      <c r="E7725" s="23" t="s">
        <v>22658</v>
      </c>
      <c r="F7725" s="24" t="s">
        <v>22657</v>
      </c>
      <c r="G7725" s="25">
        <v>7</v>
      </c>
      <c r="H7725" s="29"/>
      <c r="I7725" s="30"/>
    </row>
    <row r="7726" spans="1:9" ht="15.75" thickBot="1" x14ac:dyDescent="0.3">
      <c r="A7726" s="43" t="s">
        <v>15988</v>
      </c>
      <c r="B7726" s="21" t="s">
        <v>15989</v>
      </c>
      <c r="C7726" s="21" t="s">
        <v>22690</v>
      </c>
      <c r="D7726" s="31" t="s">
        <v>22857</v>
      </c>
      <c r="E7726" s="23" t="s">
        <v>22658</v>
      </c>
      <c r="F7726" s="24" t="s">
        <v>22657</v>
      </c>
      <c r="G7726" s="25">
        <v>2</v>
      </c>
      <c r="H7726" s="26"/>
      <c r="I7726" s="27"/>
    </row>
    <row r="7727" spans="1:9" ht="15.75" thickBot="1" x14ac:dyDescent="0.3">
      <c r="A7727" s="43" t="s">
        <v>15990</v>
      </c>
      <c r="B7727" s="21" t="s">
        <v>15991</v>
      </c>
      <c r="C7727" s="21" t="s">
        <v>22655</v>
      </c>
      <c r="D7727" s="22">
        <v>46042</v>
      </c>
      <c r="E7727" s="23" t="s">
        <v>22656</v>
      </c>
      <c r="F7727" s="24" t="s">
        <v>22657</v>
      </c>
      <c r="G7727" s="25">
        <v>7</v>
      </c>
      <c r="H7727" s="29"/>
      <c r="I7727" s="30"/>
    </row>
    <row r="7728" spans="1:9" ht="15.75" thickBot="1" x14ac:dyDescent="0.3">
      <c r="A7728" s="43" t="s">
        <v>15992</v>
      </c>
      <c r="B7728" s="21" t="s">
        <v>15991</v>
      </c>
      <c r="C7728" s="21" t="s">
        <v>22655</v>
      </c>
      <c r="D7728" s="22">
        <v>46042</v>
      </c>
      <c r="E7728" s="23" t="s">
        <v>22658</v>
      </c>
      <c r="F7728" s="24" t="s">
        <v>22657</v>
      </c>
      <c r="G7728" s="25">
        <v>7</v>
      </c>
      <c r="H7728" s="26"/>
      <c r="I7728" s="27"/>
    </row>
    <row r="7729" spans="1:9" ht="15.75" thickBot="1" x14ac:dyDescent="0.3">
      <c r="A7729" s="43" t="s">
        <v>15993</v>
      </c>
      <c r="B7729" s="21" t="s">
        <v>15991</v>
      </c>
      <c r="C7729" s="21" t="s">
        <v>22655</v>
      </c>
      <c r="D7729" s="22">
        <v>46042</v>
      </c>
      <c r="E7729" s="23" t="s">
        <v>22656</v>
      </c>
      <c r="F7729" s="24" t="s">
        <v>22657</v>
      </c>
      <c r="G7729" s="25">
        <v>7</v>
      </c>
      <c r="H7729" s="29"/>
      <c r="I7729" s="30"/>
    </row>
    <row r="7730" spans="1:9" ht="15.75" thickBot="1" x14ac:dyDescent="0.3">
      <c r="A7730" s="43" t="s">
        <v>884</v>
      </c>
      <c r="B7730" s="21" t="s">
        <v>885</v>
      </c>
      <c r="C7730" s="21" t="s">
        <v>22667</v>
      </c>
      <c r="D7730" s="31" t="s">
        <v>22857</v>
      </c>
      <c r="E7730" s="23" t="s">
        <v>22662</v>
      </c>
      <c r="F7730" s="24" t="s">
        <v>22657</v>
      </c>
      <c r="G7730" s="25">
        <v>480</v>
      </c>
      <c r="H7730" s="34">
        <v>480</v>
      </c>
      <c r="I7730" s="35">
        <v>720</v>
      </c>
    </row>
    <row r="7731" spans="1:9" ht="15.75" thickBot="1" x14ac:dyDescent="0.3">
      <c r="A7731" s="43" t="s">
        <v>1061</v>
      </c>
      <c r="B7731" s="21" t="s">
        <v>15994</v>
      </c>
      <c r="C7731" s="21" t="s">
        <v>22655</v>
      </c>
      <c r="D7731" s="22">
        <v>46042</v>
      </c>
      <c r="E7731" s="23" t="s">
        <v>22661</v>
      </c>
      <c r="F7731" s="24" t="s">
        <v>22657</v>
      </c>
      <c r="G7731" s="25">
        <v>7</v>
      </c>
      <c r="H7731" s="29"/>
      <c r="I7731" s="30"/>
    </row>
    <row r="7732" spans="1:9" ht="15.75" thickBot="1" x14ac:dyDescent="0.3">
      <c r="A7732" s="43" t="s">
        <v>1787</v>
      </c>
      <c r="B7732" s="21" t="s">
        <v>1788</v>
      </c>
      <c r="C7732" s="21" t="s">
        <v>22655</v>
      </c>
      <c r="D7732" s="22">
        <v>46042</v>
      </c>
      <c r="E7732" s="23" t="s">
        <v>22665</v>
      </c>
      <c r="F7732" s="24" t="s">
        <v>22657</v>
      </c>
      <c r="G7732" s="25">
        <v>12</v>
      </c>
      <c r="H7732" s="34">
        <v>12</v>
      </c>
      <c r="I7732" s="35">
        <v>24</v>
      </c>
    </row>
    <row r="7733" spans="1:9" ht="15.75" thickBot="1" x14ac:dyDescent="0.3">
      <c r="A7733" s="43" t="s">
        <v>15995</v>
      </c>
      <c r="B7733" s="21" t="s">
        <v>15996</v>
      </c>
      <c r="C7733" s="21" t="s">
        <v>22716</v>
      </c>
      <c r="D7733" s="22">
        <v>46047</v>
      </c>
      <c r="E7733" s="23" t="s">
        <v>22656</v>
      </c>
      <c r="F7733" s="24" t="s">
        <v>22657</v>
      </c>
      <c r="G7733" s="25">
        <v>9</v>
      </c>
      <c r="H7733" s="29"/>
      <c r="I7733" s="30"/>
    </row>
    <row r="7734" spans="1:9" ht="15.75" thickBot="1" x14ac:dyDescent="0.3">
      <c r="A7734" s="43" t="s">
        <v>15997</v>
      </c>
      <c r="B7734" s="21" t="s">
        <v>15998</v>
      </c>
      <c r="C7734" s="21" t="s">
        <v>22655</v>
      </c>
      <c r="D7734" s="31" t="s">
        <v>22673</v>
      </c>
      <c r="E7734" s="23" t="s">
        <v>22656</v>
      </c>
      <c r="F7734" s="24" t="s">
        <v>22657</v>
      </c>
      <c r="G7734" s="25">
        <v>2</v>
      </c>
      <c r="H7734" s="26"/>
      <c r="I7734" s="27"/>
    </row>
    <row r="7735" spans="1:9" ht="15.75" thickBot="1" x14ac:dyDescent="0.3">
      <c r="A7735" s="43" t="s">
        <v>15999</v>
      </c>
      <c r="B7735" s="21" t="s">
        <v>16000</v>
      </c>
      <c r="C7735" s="21" t="s">
        <v>22682</v>
      </c>
      <c r="D7735" s="22">
        <v>46034</v>
      </c>
      <c r="E7735" s="23" t="s">
        <v>22658</v>
      </c>
      <c r="F7735" s="24" t="s">
        <v>22657</v>
      </c>
      <c r="G7735" s="25">
        <v>4</v>
      </c>
      <c r="H7735" s="29"/>
      <c r="I7735" s="30"/>
    </row>
    <row r="7736" spans="1:9" ht="15.75" thickBot="1" x14ac:dyDescent="0.3">
      <c r="A7736" s="43" t="s">
        <v>16001</v>
      </c>
      <c r="B7736" s="21" t="s">
        <v>16002</v>
      </c>
      <c r="C7736" s="21" t="s">
        <v>22682</v>
      </c>
      <c r="D7736" s="22">
        <v>46034</v>
      </c>
      <c r="E7736" s="23" t="s">
        <v>22656</v>
      </c>
      <c r="F7736" s="24" t="s">
        <v>22657</v>
      </c>
      <c r="G7736" s="25">
        <v>4</v>
      </c>
      <c r="H7736" s="26"/>
      <c r="I7736" s="27"/>
    </row>
    <row r="7737" spans="1:9" ht="15.75" thickBot="1" x14ac:dyDescent="0.3">
      <c r="A7737" s="43" t="s">
        <v>16003</v>
      </c>
      <c r="B7737" s="21" t="s">
        <v>16004</v>
      </c>
      <c r="C7737" s="21" t="s">
        <v>22682</v>
      </c>
      <c r="D7737" s="22">
        <v>46034</v>
      </c>
      <c r="E7737" s="23" t="s">
        <v>22658</v>
      </c>
      <c r="F7737" s="24" t="s">
        <v>22657</v>
      </c>
      <c r="G7737" s="25">
        <v>4</v>
      </c>
      <c r="H7737" s="29"/>
      <c r="I7737" s="30"/>
    </row>
    <row r="7738" spans="1:9" ht="15.75" thickBot="1" x14ac:dyDescent="0.3">
      <c r="A7738" s="43" t="s">
        <v>16005</v>
      </c>
      <c r="B7738" s="21" t="s">
        <v>16006</v>
      </c>
      <c r="C7738" s="21" t="s">
        <v>22655</v>
      </c>
      <c r="D7738" s="31" t="s">
        <v>22673</v>
      </c>
      <c r="E7738" s="23" t="s">
        <v>22656</v>
      </c>
      <c r="F7738" s="24" t="s">
        <v>22657</v>
      </c>
      <c r="G7738" s="25">
        <v>9</v>
      </c>
      <c r="H7738" s="26"/>
      <c r="I7738" s="27"/>
    </row>
    <row r="7739" spans="1:9" ht="15.75" thickBot="1" x14ac:dyDescent="0.3">
      <c r="A7739" s="43" t="s">
        <v>16007</v>
      </c>
      <c r="B7739" s="21" t="s">
        <v>16008</v>
      </c>
      <c r="C7739" s="21" t="s">
        <v>22655</v>
      </c>
      <c r="D7739" s="31" t="s">
        <v>22673</v>
      </c>
      <c r="E7739" s="23" t="s">
        <v>22656</v>
      </c>
      <c r="F7739" s="24" t="s">
        <v>22657</v>
      </c>
      <c r="G7739" s="25">
        <v>9</v>
      </c>
      <c r="H7739" s="29"/>
      <c r="I7739" s="30"/>
    </row>
    <row r="7740" spans="1:9" ht="15.75" thickBot="1" x14ac:dyDescent="0.3">
      <c r="A7740" s="43" t="s">
        <v>16009</v>
      </c>
      <c r="B7740" s="21" t="s">
        <v>16010</v>
      </c>
      <c r="C7740" s="21" t="s">
        <v>22655</v>
      </c>
      <c r="D7740" s="31" t="s">
        <v>22673</v>
      </c>
      <c r="E7740" s="23" t="s">
        <v>22656</v>
      </c>
      <c r="F7740" s="24" t="s">
        <v>22657</v>
      </c>
      <c r="G7740" s="25">
        <v>9</v>
      </c>
      <c r="H7740" s="26"/>
      <c r="I7740" s="27"/>
    </row>
    <row r="7741" spans="1:9" ht="15.75" thickBot="1" x14ac:dyDescent="0.3">
      <c r="A7741" s="43" t="s">
        <v>16011</v>
      </c>
      <c r="B7741" s="21" t="s">
        <v>16012</v>
      </c>
      <c r="C7741" s="21" t="s">
        <v>22655</v>
      </c>
      <c r="D7741" s="31" t="s">
        <v>22673</v>
      </c>
      <c r="E7741" s="23" t="s">
        <v>22656</v>
      </c>
      <c r="F7741" s="24" t="s">
        <v>22657</v>
      </c>
      <c r="G7741" s="25">
        <v>9</v>
      </c>
      <c r="H7741" s="29"/>
      <c r="I7741" s="30"/>
    </row>
    <row r="7742" spans="1:9" ht="15.75" thickBot="1" x14ac:dyDescent="0.3">
      <c r="A7742" s="43" t="s">
        <v>16013</v>
      </c>
      <c r="B7742" s="21" t="s">
        <v>16014</v>
      </c>
      <c r="C7742" s="21" t="s">
        <v>22655</v>
      </c>
      <c r="D7742" s="31" t="s">
        <v>22673</v>
      </c>
      <c r="E7742" s="23" t="s">
        <v>22656</v>
      </c>
      <c r="F7742" s="24" t="s">
        <v>22657</v>
      </c>
      <c r="G7742" s="25">
        <v>9</v>
      </c>
      <c r="H7742" s="26"/>
      <c r="I7742" s="27"/>
    </row>
    <row r="7743" spans="1:9" ht="15.75" thickBot="1" x14ac:dyDescent="0.3">
      <c r="A7743" s="43" t="s">
        <v>16015</v>
      </c>
      <c r="B7743" s="21" t="s">
        <v>16016</v>
      </c>
      <c r="C7743" s="21" t="s">
        <v>22655</v>
      </c>
      <c r="D7743" s="22">
        <v>46030</v>
      </c>
      <c r="E7743" s="23" t="s">
        <v>22658</v>
      </c>
      <c r="F7743" s="24" t="s">
        <v>22657</v>
      </c>
      <c r="G7743" s="25">
        <v>1</v>
      </c>
      <c r="H7743" s="29"/>
      <c r="I7743" s="30"/>
    </row>
    <row r="7744" spans="1:9" ht="15.75" thickBot="1" x14ac:dyDescent="0.3">
      <c r="A7744" s="43" t="s">
        <v>16017</v>
      </c>
      <c r="B7744" s="21" t="s">
        <v>16018</v>
      </c>
      <c r="C7744" s="21" t="s">
        <v>22667</v>
      </c>
      <c r="D7744" s="31" t="s">
        <v>22728</v>
      </c>
      <c r="E7744" s="23" t="s">
        <v>22656</v>
      </c>
      <c r="F7744" s="24" t="s">
        <v>22657</v>
      </c>
      <c r="G7744" s="25">
        <v>2</v>
      </c>
      <c r="H7744" s="26"/>
      <c r="I7744" s="27"/>
    </row>
    <row r="7745" spans="1:9" ht="15.75" thickBot="1" x14ac:dyDescent="0.3">
      <c r="A7745" s="43" t="s">
        <v>16019</v>
      </c>
      <c r="B7745" s="21" t="s">
        <v>16020</v>
      </c>
      <c r="C7745" s="21" t="s">
        <v>22667</v>
      </c>
      <c r="D7745" s="31" t="s">
        <v>22728</v>
      </c>
      <c r="E7745" s="23" t="s">
        <v>22661</v>
      </c>
      <c r="F7745" s="24" t="s">
        <v>22657</v>
      </c>
      <c r="G7745" s="25">
        <v>8</v>
      </c>
      <c r="H7745" s="29"/>
      <c r="I7745" s="30"/>
    </row>
    <row r="7746" spans="1:9" ht="15.75" thickBot="1" x14ac:dyDescent="0.3">
      <c r="A7746" s="43" t="s">
        <v>16021</v>
      </c>
      <c r="B7746" s="21" t="s">
        <v>16022</v>
      </c>
      <c r="C7746" s="21" t="s">
        <v>22667</v>
      </c>
      <c r="D7746" s="31" t="s">
        <v>22728</v>
      </c>
      <c r="E7746" s="23" t="s">
        <v>22661</v>
      </c>
      <c r="F7746" s="24" t="s">
        <v>22657</v>
      </c>
      <c r="G7746" s="25">
        <v>6</v>
      </c>
      <c r="H7746" s="26"/>
      <c r="I7746" s="27"/>
    </row>
    <row r="7747" spans="1:9" ht="15.75" thickBot="1" x14ac:dyDescent="0.3">
      <c r="A7747" s="43" t="s">
        <v>16023</v>
      </c>
      <c r="B7747" s="21" t="s">
        <v>16024</v>
      </c>
      <c r="C7747" s="21" t="s">
        <v>22667</v>
      </c>
      <c r="D7747" s="31" t="s">
        <v>22728</v>
      </c>
      <c r="E7747" s="23" t="s">
        <v>22661</v>
      </c>
      <c r="F7747" s="24" t="s">
        <v>22657</v>
      </c>
      <c r="G7747" s="25">
        <v>15</v>
      </c>
      <c r="H7747" s="29"/>
      <c r="I7747" s="30"/>
    </row>
    <row r="7748" spans="1:9" ht="15.75" thickBot="1" x14ac:dyDescent="0.3">
      <c r="A7748" s="43" t="s">
        <v>16025</v>
      </c>
      <c r="B7748" s="21" t="s">
        <v>16026</v>
      </c>
      <c r="C7748" s="21" t="s">
        <v>22667</v>
      </c>
      <c r="D7748" s="31" t="s">
        <v>22728</v>
      </c>
      <c r="E7748" s="23" t="s">
        <v>22656</v>
      </c>
      <c r="F7748" s="24" t="s">
        <v>22657</v>
      </c>
      <c r="G7748" s="25">
        <v>2</v>
      </c>
      <c r="H7748" s="26"/>
      <c r="I7748" s="27"/>
    </row>
    <row r="7749" spans="1:9" ht="15.75" thickBot="1" x14ac:dyDescent="0.3">
      <c r="A7749" s="43" t="s">
        <v>16027</v>
      </c>
      <c r="B7749" s="21" t="s">
        <v>16028</v>
      </c>
      <c r="C7749" s="21" t="s">
        <v>22667</v>
      </c>
      <c r="D7749" s="31" t="s">
        <v>22728</v>
      </c>
      <c r="E7749" s="23" t="s">
        <v>22656</v>
      </c>
      <c r="F7749" s="24" t="s">
        <v>22657</v>
      </c>
      <c r="G7749" s="25">
        <v>4</v>
      </c>
      <c r="H7749" s="29"/>
      <c r="I7749" s="30"/>
    </row>
    <row r="7750" spans="1:9" ht="15.75" thickBot="1" x14ac:dyDescent="0.3">
      <c r="A7750" s="43" t="s">
        <v>16029</v>
      </c>
      <c r="B7750" s="21" t="s">
        <v>16030</v>
      </c>
      <c r="C7750" s="21" t="s">
        <v>22667</v>
      </c>
      <c r="D7750" s="31" t="s">
        <v>22728</v>
      </c>
      <c r="E7750" s="23" t="s">
        <v>22656</v>
      </c>
      <c r="F7750" s="24" t="s">
        <v>22657</v>
      </c>
      <c r="G7750" s="25">
        <v>2</v>
      </c>
      <c r="H7750" s="26"/>
      <c r="I7750" s="27"/>
    </row>
    <row r="7751" spans="1:9" ht="15.75" thickBot="1" x14ac:dyDescent="0.3">
      <c r="A7751" s="43" t="s">
        <v>16031</v>
      </c>
      <c r="B7751" s="21" t="s">
        <v>16032</v>
      </c>
      <c r="C7751" s="21" t="s">
        <v>22667</v>
      </c>
      <c r="D7751" s="31" t="s">
        <v>22728</v>
      </c>
      <c r="E7751" s="23" t="s">
        <v>22656</v>
      </c>
      <c r="F7751" s="24" t="s">
        <v>22657</v>
      </c>
      <c r="G7751" s="25">
        <v>2</v>
      </c>
      <c r="H7751" s="29"/>
      <c r="I7751" s="30"/>
    </row>
    <row r="7752" spans="1:9" ht="15.75" thickBot="1" x14ac:dyDescent="0.3">
      <c r="A7752" s="43" t="s">
        <v>16033</v>
      </c>
      <c r="B7752" s="21" t="s">
        <v>16034</v>
      </c>
      <c r="C7752" s="21" t="s">
        <v>22667</v>
      </c>
      <c r="D7752" s="31" t="s">
        <v>22728</v>
      </c>
      <c r="E7752" s="23" t="s">
        <v>22656</v>
      </c>
      <c r="F7752" s="24" t="s">
        <v>22657</v>
      </c>
      <c r="G7752" s="25">
        <v>2</v>
      </c>
      <c r="H7752" s="26"/>
      <c r="I7752" s="27"/>
    </row>
    <row r="7753" spans="1:9" ht="15.75" thickBot="1" x14ac:dyDescent="0.3">
      <c r="A7753" s="43" t="s">
        <v>16035</v>
      </c>
      <c r="B7753" s="21" t="s">
        <v>16036</v>
      </c>
      <c r="C7753" s="21" t="s">
        <v>22667</v>
      </c>
      <c r="D7753" s="31" t="s">
        <v>22728</v>
      </c>
      <c r="E7753" s="23" t="s">
        <v>22656</v>
      </c>
      <c r="F7753" s="24" t="s">
        <v>22657</v>
      </c>
      <c r="G7753" s="25">
        <v>2</v>
      </c>
      <c r="H7753" s="29"/>
      <c r="I7753" s="30"/>
    </row>
    <row r="7754" spans="1:9" ht="15.75" thickBot="1" x14ac:dyDescent="0.3">
      <c r="A7754" s="43" t="s">
        <v>16037</v>
      </c>
      <c r="B7754" s="21" t="s">
        <v>16038</v>
      </c>
      <c r="C7754" s="21" t="s">
        <v>22667</v>
      </c>
      <c r="D7754" s="31" t="s">
        <v>22728</v>
      </c>
      <c r="E7754" s="23" t="s">
        <v>22656</v>
      </c>
      <c r="F7754" s="24" t="s">
        <v>22657</v>
      </c>
      <c r="G7754" s="25">
        <v>5</v>
      </c>
      <c r="H7754" s="26"/>
      <c r="I7754" s="27"/>
    </row>
    <row r="7755" spans="1:9" ht="15.75" thickBot="1" x14ac:dyDescent="0.3">
      <c r="A7755" s="43" t="s">
        <v>16039</v>
      </c>
      <c r="B7755" s="21" t="s">
        <v>16040</v>
      </c>
      <c r="C7755" s="21" t="s">
        <v>22667</v>
      </c>
      <c r="D7755" s="31" t="s">
        <v>22728</v>
      </c>
      <c r="E7755" s="23" t="s">
        <v>22656</v>
      </c>
      <c r="F7755" s="24" t="s">
        <v>22657</v>
      </c>
      <c r="G7755" s="25">
        <v>2</v>
      </c>
      <c r="H7755" s="29"/>
      <c r="I7755" s="30"/>
    </row>
    <row r="7756" spans="1:9" ht="15.75" thickBot="1" x14ac:dyDescent="0.3">
      <c r="A7756" s="43" t="s">
        <v>16041</v>
      </c>
      <c r="B7756" s="21" t="s">
        <v>16042</v>
      </c>
      <c r="C7756" s="21" t="s">
        <v>22667</v>
      </c>
      <c r="D7756" s="31" t="s">
        <v>22728</v>
      </c>
      <c r="E7756" s="23" t="s">
        <v>22656</v>
      </c>
      <c r="F7756" s="24" t="s">
        <v>22657</v>
      </c>
      <c r="G7756" s="25">
        <v>2</v>
      </c>
      <c r="H7756" s="26"/>
      <c r="I7756" s="27"/>
    </row>
    <row r="7757" spans="1:9" ht="15.75" thickBot="1" x14ac:dyDescent="0.3">
      <c r="A7757" s="43" t="s">
        <v>16043</v>
      </c>
      <c r="B7757" s="21" t="s">
        <v>16044</v>
      </c>
      <c r="C7757" s="21" t="s">
        <v>22667</v>
      </c>
      <c r="D7757" s="31" t="s">
        <v>22728</v>
      </c>
      <c r="E7757" s="23" t="s">
        <v>22656</v>
      </c>
      <c r="F7757" s="24" t="s">
        <v>22657</v>
      </c>
      <c r="G7757" s="25">
        <v>2</v>
      </c>
      <c r="H7757" s="29"/>
      <c r="I7757" s="30"/>
    </row>
    <row r="7758" spans="1:9" ht="15.75" thickBot="1" x14ac:dyDescent="0.3">
      <c r="A7758" s="43" t="s">
        <v>16045</v>
      </c>
      <c r="B7758" s="21" t="s">
        <v>16046</v>
      </c>
      <c r="C7758" s="21" t="s">
        <v>22667</v>
      </c>
      <c r="D7758" s="31" t="s">
        <v>22728</v>
      </c>
      <c r="E7758" s="23" t="s">
        <v>22656</v>
      </c>
      <c r="F7758" s="24" t="s">
        <v>22657</v>
      </c>
      <c r="G7758" s="25">
        <v>2</v>
      </c>
      <c r="H7758" s="26"/>
      <c r="I7758" s="27"/>
    </row>
    <row r="7759" spans="1:9" ht="15.75" thickBot="1" x14ac:dyDescent="0.3">
      <c r="A7759" s="43" t="s">
        <v>1113</v>
      </c>
      <c r="B7759" s="21" t="s">
        <v>1114</v>
      </c>
      <c r="C7759" s="21" t="s">
        <v>22667</v>
      </c>
      <c r="D7759" s="31" t="s">
        <v>22728</v>
      </c>
      <c r="E7759" s="23" t="s">
        <v>22665</v>
      </c>
      <c r="F7759" s="24" t="s">
        <v>22657</v>
      </c>
      <c r="G7759" s="25">
        <v>48</v>
      </c>
      <c r="H7759" s="29"/>
      <c r="I7759" s="30"/>
    </row>
    <row r="7760" spans="1:9" ht="15.75" thickBot="1" x14ac:dyDescent="0.3">
      <c r="A7760" s="43" t="s">
        <v>16047</v>
      </c>
      <c r="B7760" s="21" t="s">
        <v>16048</v>
      </c>
      <c r="C7760" s="21" t="s">
        <v>22667</v>
      </c>
      <c r="D7760" s="31" t="s">
        <v>22728</v>
      </c>
      <c r="E7760" s="23" t="s">
        <v>22656</v>
      </c>
      <c r="F7760" s="24" t="s">
        <v>22657</v>
      </c>
      <c r="G7760" s="25">
        <v>3</v>
      </c>
      <c r="H7760" s="26"/>
      <c r="I7760" s="27"/>
    </row>
    <row r="7761" spans="1:9" ht="15.75" thickBot="1" x14ac:dyDescent="0.3">
      <c r="A7761" s="43" t="s">
        <v>16049</v>
      </c>
      <c r="B7761" s="21" t="s">
        <v>16050</v>
      </c>
      <c r="C7761" s="21" t="s">
        <v>22667</v>
      </c>
      <c r="D7761" s="31" t="s">
        <v>22728</v>
      </c>
      <c r="E7761" s="23" t="s">
        <v>22661</v>
      </c>
      <c r="F7761" s="24" t="s">
        <v>22657</v>
      </c>
      <c r="G7761" s="25">
        <v>6</v>
      </c>
      <c r="H7761" s="29"/>
      <c r="I7761" s="30"/>
    </row>
    <row r="7762" spans="1:9" ht="15.75" thickBot="1" x14ac:dyDescent="0.3">
      <c r="A7762" s="43" t="s">
        <v>16051</v>
      </c>
      <c r="B7762" s="21" t="s">
        <v>16052</v>
      </c>
      <c r="C7762" s="21" t="s">
        <v>22667</v>
      </c>
      <c r="D7762" s="31" t="s">
        <v>22728</v>
      </c>
      <c r="E7762" s="23" t="s">
        <v>22656</v>
      </c>
      <c r="F7762" s="24" t="s">
        <v>22657</v>
      </c>
      <c r="G7762" s="25">
        <v>2</v>
      </c>
      <c r="H7762" s="26"/>
      <c r="I7762" s="27"/>
    </row>
    <row r="7763" spans="1:9" ht="15.75" thickBot="1" x14ac:dyDescent="0.3">
      <c r="A7763" s="43" t="s">
        <v>16053</v>
      </c>
      <c r="B7763" s="21" t="s">
        <v>16054</v>
      </c>
      <c r="C7763" s="21" t="s">
        <v>22667</v>
      </c>
      <c r="D7763" s="31" t="s">
        <v>22728</v>
      </c>
      <c r="E7763" s="23" t="s">
        <v>22656</v>
      </c>
      <c r="F7763" s="24" t="s">
        <v>22657</v>
      </c>
      <c r="G7763" s="25">
        <v>2</v>
      </c>
      <c r="H7763" s="29"/>
      <c r="I7763" s="30"/>
    </row>
    <row r="7764" spans="1:9" ht="15.75" thickBot="1" x14ac:dyDescent="0.3">
      <c r="A7764" s="43" t="s">
        <v>16055</v>
      </c>
      <c r="B7764" s="21" t="s">
        <v>16056</v>
      </c>
      <c r="C7764" s="21" t="s">
        <v>22725</v>
      </c>
      <c r="D7764" s="31" t="s">
        <v>22688</v>
      </c>
      <c r="E7764" s="23" t="s">
        <v>22661</v>
      </c>
      <c r="F7764" s="24" t="s">
        <v>22657</v>
      </c>
      <c r="G7764" s="25">
        <v>14</v>
      </c>
      <c r="H7764" s="26"/>
      <c r="I7764" s="27"/>
    </row>
    <row r="7765" spans="1:9" ht="15.75" thickBot="1" x14ac:dyDescent="0.3">
      <c r="A7765" s="43" t="s">
        <v>16057</v>
      </c>
      <c r="B7765" s="21" t="s">
        <v>16058</v>
      </c>
      <c r="C7765" s="21" t="s">
        <v>22725</v>
      </c>
      <c r="D7765" s="22">
        <v>46042</v>
      </c>
      <c r="E7765" s="23" t="s">
        <v>22661</v>
      </c>
      <c r="F7765" s="24" t="s">
        <v>22657</v>
      </c>
      <c r="G7765" s="25">
        <v>7</v>
      </c>
      <c r="H7765" s="29"/>
      <c r="I7765" s="30"/>
    </row>
    <row r="7766" spans="1:9" ht="15.75" thickBot="1" x14ac:dyDescent="0.3">
      <c r="A7766" s="43" t="s">
        <v>1733</v>
      </c>
      <c r="B7766" s="21" t="s">
        <v>1734</v>
      </c>
      <c r="C7766" s="21" t="s">
        <v>22655</v>
      </c>
      <c r="D7766" s="22">
        <v>46046</v>
      </c>
      <c r="E7766" s="23" t="s">
        <v>22662</v>
      </c>
      <c r="F7766" s="24" t="s">
        <v>22657</v>
      </c>
      <c r="G7766" s="25">
        <v>24</v>
      </c>
      <c r="H7766" s="34">
        <v>24</v>
      </c>
      <c r="I7766" s="35">
        <v>48</v>
      </c>
    </row>
    <row r="7767" spans="1:9" ht="15.75" thickBot="1" x14ac:dyDescent="0.3">
      <c r="A7767" s="43" t="s">
        <v>16059</v>
      </c>
      <c r="B7767" s="21" t="s">
        <v>16060</v>
      </c>
      <c r="C7767" s="21" t="s">
        <v>22655</v>
      </c>
      <c r="D7767" s="22">
        <v>46040</v>
      </c>
      <c r="E7767" s="23" t="s">
        <v>22658</v>
      </c>
      <c r="F7767" s="24" t="s">
        <v>22657</v>
      </c>
      <c r="G7767" s="25">
        <v>6</v>
      </c>
      <c r="H7767" s="29"/>
      <c r="I7767" s="30"/>
    </row>
    <row r="7768" spans="1:9" ht="15.75" thickBot="1" x14ac:dyDescent="0.3">
      <c r="A7768" s="43" t="s">
        <v>16061</v>
      </c>
      <c r="B7768" s="21" t="s">
        <v>16062</v>
      </c>
      <c r="C7768" s="21" t="s">
        <v>22655</v>
      </c>
      <c r="D7768" s="22">
        <v>46052</v>
      </c>
      <c r="E7768" s="23" t="s">
        <v>22656</v>
      </c>
      <c r="F7768" s="24" t="s">
        <v>22657</v>
      </c>
      <c r="G7768" s="25">
        <v>4</v>
      </c>
      <c r="H7768" s="26"/>
      <c r="I7768" s="27"/>
    </row>
    <row r="7769" spans="1:9" ht="15.75" thickBot="1" x14ac:dyDescent="0.3">
      <c r="A7769" s="43" t="s">
        <v>16063</v>
      </c>
      <c r="B7769" s="21" t="s">
        <v>16064</v>
      </c>
      <c r="C7769" s="21" t="s">
        <v>22655</v>
      </c>
      <c r="D7769" s="31" t="s">
        <v>22819</v>
      </c>
      <c r="E7769" s="23" t="s">
        <v>22656</v>
      </c>
      <c r="F7769" s="24" t="s">
        <v>22657</v>
      </c>
      <c r="G7769" s="25">
        <v>8</v>
      </c>
      <c r="H7769" s="29"/>
      <c r="I7769" s="30"/>
    </row>
    <row r="7770" spans="1:9" ht="15.75" thickBot="1" x14ac:dyDescent="0.3">
      <c r="A7770" s="43" t="s">
        <v>16065</v>
      </c>
      <c r="B7770" s="21" t="s">
        <v>16066</v>
      </c>
      <c r="C7770" s="21" t="s">
        <v>22655</v>
      </c>
      <c r="D7770" s="31" t="s">
        <v>22688</v>
      </c>
      <c r="E7770" s="23" t="s">
        <v>22656</v>
      </c>
      <c r="F7770" s="24" t="s">
        <v>22657</v>
      </c>
      <c r="G7770" s="25">
        <v>4</v>
      </c>
      <c r="H7770" s="26"/>
      <c r="I7770" s="27"/>
    </row>
    <row r="7771" spans="1:9" ht="15.75" thickBot="1" x14ac:dyDescent="0.3">
      <c r="A7771" s="43" t="s">
        <v>16067</v>
      </c>
      <c r="B7771" s="21" t="s">
        <v>16068</v>
      </c>
      <c r="C7771" s="21" t="s">
        <v>22655</v>
      </c>
      <c r="D7771" s="22">
        <v>46042</v>
      </c>
      <c r="E7771" s="23" t="s">
        <v>22656</v>
      </c>
      <c r="F7771" s="24" t="s">
        <v>22657</v>
      </c>
      <c r="G7771" s="25">
        <v>7</v>
      </c>
      <c r="H7771" s="29"/>
      <c r="I7771" s="30"/>
    </row>
    <row r="7772" spans="1:9" ht="15.75" thickBot="1" x14ac:dyDescent="0.3">
      <c r="A7772" s="43" t="s">
        <v>16069</v>
      </c>
      <c r="B7772" s="21" t="s">
        <v>16070</v>
      </c>
      <c r="C7772" s="21" t="s">
        <v>22655</v>
      </c>
      <c r="D7772" s="31" t="s">
        <v>22819</v>
      </c>
      <c r="E7772" s="23" t="s">
        <v>22656</v>
      </c>
      <c r="F7772" s="24" t="s">
        <v>22657</v>
      </c>
      <c r="G7772" s="25">
        <v>4</v>
      </c>
      <c r="H7772" s="26"/>
      <c r="I7772" s="27"/>
    </row>
    <row r="7773" spans="1:9" ht="15.75" thickBot="1" x14ac:dyDescent="0.3">
      <c r="A7773" s="43" t="s">
        <v>16071</v>
      </c>
      <c r="B7773" s="21" t="s">
        <v>16072</v>
      </c>
      <c r="C7773" s="21" t="s">
        <v>22655</v>
      </c>
      <c r="D7773" s="31" t="s">
        <v>22688</v>
      </c>
      <c r="E7773" s="23" t="s">
        <v>22656</v>
      </c>
      <c r="F7773" s="24" t="s">
        <v>22657</v>
      </c>
      <c r="G7773" s="25">
        <v>7</v>
      </c>
      <c r="H7773" s="29"/>
      <c r="I7773" s="30"/>
    </row>
    <row r="7774" spans="1:9" ht="15.75" thickBot="1" x14ac:dyDescent="0.3">
      <c r="A7774" s="43" t="s">
        <v>16073</v>
      </c>
      <c r="B7774" s="21" t="s">
        <v>16074</v>
      </c>
      <c r="C7774" s="21" t="s">
        <v>22655</v>
      </c>
      <c r="D7774" s="22">
        <v>46042</v>
      </c>
      <c r="E7774" s="23" t="s">
        <v>22656</v>
      </c>
      <c r="F7774" s="24" t="s">
        <v>22657</v>
      </c>
      <c r="G7774" s="25">
        <v>7</v>
      </c>
      <c r="H7774" s="26"/>
      <c r="I7774" s="27"/>
    </row>
    <row r="7775" spans="1:9" ht="15.75" thickBot="1" x14ac:dyDescent="0.3">
      <c r="A7775" s="43" t="s">
        <v>1934</v>
      </c>
      <c r="B7775" s="21" t="s">
        <v>1935</v>
      </c>
      <c r="C7775" s="21" t="s">
        <v>22655</v>
      </c>
      <c r="D7775" s="22">
        <v>46034</v>
      </c>
      <c r="E7775" s="23" t="s">
        <v>22656</v>
      </c>
      <c r="F7775" s="24" t="s">
        <v>22657</v>
      </c>
      <c r="G7775" s="25">
        <v>4</v>
      </c>
      <c r="H7775" s="29"/>
      <c r="I7775" s="30"/>
    </row>
    <row r="7776" spans="1:9" ht="15.75" thickBot="1" x14ac:dyDescent="0.3">
      <c r="A7776" s="43" t="s">
        <v>1583</v>
      </c>
      <c r="B7776" s="21" t="s">
        <v>1584</v>
      </c>
      <c r="C7776" s="21" t="s">
        <v>22655</v>
      </c>
      <c r="D7776" s="22">
        <v>46046</v>
      </c>
      <c r="E7776" s="23" t="s">
        <v>22665</v>
      </c>
      <c r="F7776" s="24" t="s">
        <v>22657</v>
      </c>
      <c r="G7776" s="25">
        <v>24</v>
      </c>
      <c r="H7776" s="34">
        <v>24</v>
      </c>
      <c r="I7776" s="35">
        <v>36</v>
      </c>
    </row>
    <row r="7777" spans="1:9" ht="15.75" thickBot="1" x14ac:dyDescent="0.3">
      <c r="A7777" s="43" t="s">
        <v>1972</v>
      </c>
      <c r="B7777" s="21" t="s">
        <v>1973</v>
      </c>
      <c r="C7777" s="21" t="s">
        <v>22655</v>
      </c>
      <c r="D7777" s="22">
        <v>46046</v>
      </c>
      <c r="E7777" s="23" t="s">
        <v>22656</v>
      </c>
      <c r="F7777" s="24" t="s">
        <v>22657</v>
      </c>
      <c r="G7777" s="25">
        <v>4</v>
      </c>
      <c r="H7777" s="29"/>
      <c r="I7777" s="30"/>
    </row>
    <row r="7778" spans="1:9" ht="15.75" thickBot="1" x14ac:dyDescent="0.3">
      <c r="A7778" s="43" t="s">
        <v>16075</v>
      </c>
      <c r="B7778" s="21" t="s">
        <v>16076</v>
      </c>
      <c r="C7778" s="21" t="s">
        <v>22655</v>
      </c>
      <c r="D7778" s="22">
        <v>46034</v>
      </c>
      <c r="E7778" s="23" t="s">
        <v>22656</v>
      </c>
      <c r="F7778" s="24" t="s">
        <v>22657</v>
      </c>
      <c r="G7778" s="25">
        <v>4</v>
      </c>
      <c r="H7778" s="26"/>
      <c r="I7778" s="27"/>
    </row>
    <row r="7779" spans="1:9" ht="15.75" thickBot="1" x14ac:dyDescent="0.3">
      <c r="A7779" s="43" t="s">
        <v>16077</v>
      </c>
      <c r="B7779" s="21" t="s">
        <v>16078</v>
      </c>
      <c r="C7779" s="21" t="s">
        <v>22655</v>
      </c>
      <c r="D7779" s="22">
        <v>46034</v>
      </c>
      <c r="E7779" s="23" t="s">
        <v>22656</v>
      </c>
      <c r="F7779" s="24" t="s">
        <v>22657</v>
      </c>
      <c r="G7779" s="25">
        <v>6</v>
      </c>
      <c r="H7779" s="32">
        <v>6</v>
      </c>
      <c r="I7779" s="33">
        <v>12</v>
      </c>
    </row>
    <row r="7780" spans="1:9" ht="15.75" thickBot="1" x14ac:dyDescent="0.3">
      <c r="A7780" s="43" t="s">
        <v>437</v>
      </c>
      <c r="B7780" s="21" t="s">
        <v>438</v>
      </c>
      <c r="C7780" s="21" t="s">
        <v>22655</v>
      </c>
      <c r="D7780" s="22">
        <v>46046</v>
      </c>
      <c r="E7780" s="23" t="s">
        <v>22665</v>
      </c>
      <c r="F7780" s="24" t="s">
        <v>22657</v>
      </c>
      <c r="G7780" s="25">
        <v>12</v>
      </c>
      <c r="H7780" s="26"/>
      <c r="I7780" s="27"/>
    </row>
    <row r="7781" spans="1:9" ht="15.75" thickBot="1" x14ac:dyDescent="0.3">
      <c r="A7781" s="43" t="s">
        <v>1333</v>
      </c>
      <c r="B7781" s="21" t="s">
        <v>1334</v>
      </c>
      <c r="C7781" s="21" t="s">
        <v>22655</v>
      </c>
      <c r="D7781" s="22">
        <v>46034</v>
      </c>
      <c r="E7781" s="23" t="s">
        <v>22662</v>
      </c>
      <c r="F7781" s="24" t="s">
        <v>22657</v>
      </c>
      <c r="G7781" s="25">
        <v>120</v>
      </c>
      <c r="H7781" s="32">
        <v>120</v>
      </c>
      <c r="I7781" s="33">
        <v>600</v>
      </c>
    </row>
    <row r="7782" spans="1:9" ht="15.75" thickBot="1" x14ac:dyDescent="0.3">
      <c r="A7782" s="43" t="s">
        <v>16079</v>
      </c>
      <c r="B7782" s="21" t="s">
        <v>16080</v>
      </c>
      <c r="C7782" s="21" t="s">
        <v>22655</v>
      </c>
      <c r="D7782" s="22">
        <v>46046</v>
      </c>
      <c r="E7782" s="23" t="s">
        <v>22656</v>
      </c>
      <c r="F7782" s="24" t="s">
        <v>22657</v>
      </c>
      <c r="G7782" s="25">
        <v>8</v>
      </c>
      <c r="H7782" s="26"/>
      <c r="I7782" s="27"/>
    </row>
    <row r="7783" spans="1:9" ht="15.75" thickBot="1" x14ac:dyDescent="0.3">
      <c r="A7783" s="43" t="s">
        <v>16081</v>
      </c>
      <c r="B7783" s="21" t="s">
        <v>16082</v>
      </c>
      <c r="C7783" s="21" t="s">
        <v>22655</v>
      </c>
      <c r="D7783" s="22">
        <v>46034</v>
      </c>
      <c r="E7783" s="23" t="s">
        <v>22658</v>
      </c>
      <c r="F7783" s="24" t="s">
        <v>22657</v>
      </c>
      <c r="G7783" s="25">
        <v>4</v>
      </c>
      <c r="H7783" s="29"/>
      <c r="I7783" s="30"/>
    </row>
    <row r="7784" spans="1:9" ht="15.75" thickBot="1" x14ac:dyDescent="0.3">
      <c r="A7784" s="43" t="s">
        <v>235</v>
      </c>
      <c r="B7784" s="21" t="s">
        <v>236</v>
      </c>
      <c r="C7784" s="21" t="s">
        <v>22655</v>
      </c>
      <c r="D7784" s="22">
        <v>46042</v>
      </c>
      <c r="E7784" s="23" t="s">
        <v>22656</v>
      </c>
      <c r="F7784" s="24" t="s">
        <v>22657</v>
      </c>
      <c r="G7784" s="25">
        <v>10</v>
      </c>
      <c r="H7784" s="26"/>
      <c r="I7784" s="27"/>
    </row>
    <row r="7785" spans="1:9" ht="15.75" thickBot="1" x14ac:dyDescent="0.3">
      <c r="A7785" s="43" t="s">
        <v>815</v>
      </c>
      <c r="B7785" s="21" t="s">
        <v>816</v>
      </c>
      <c r="C7785" s="21" t="s">
        <v>22655</v>
      </c>
      <c r="D7785" s="22">
        <v>46046</v>
      </c>
      <c r="E7785" s="23" t="s">
        <v>22661</v>
      </c>
      <c r="F7785" s="24" t="s">
        <v>22657</v>
      </c>
      <c r="G7785" s="25">
        <v>24</v>
      </c>
      <c r="H7785" s="32">
        <v>24</v>
      </c>
      <c r="I7785" s="33">
        <v>48</v>
      </c>
    </row>
    <row r="7786" spans="1:9" ht="15.75" thickBot="1" x14ac:dyDescent="0.3">
      <c r="A7786" s="43" t="s">
        <v>115</v>
      </c>
      <c r="B7786" s="21" t="s">
        <v>116</v>
      </c>
      <c r="C7786" s="21" t="s">
        <v>22655</v>
      </c>
      <c r="D7786" s="22">
        <v>46042</v>
      </c>
      <c r="E7786" s="23" t="s">
        <v>22661</v>
      </c>
      <c r="F7786" s="24" t="s">
        <v>22657</v>
      </c>
      <c r="G7786" s="25">
        <v>24</v>
      </c>
      <c r="H7786" s="34">
        <v>24</v>
      </c>
      <c r="I7786" s="35">
        <v>48</v>
      </c>
    </row>
    <row r="7787" spans="1:9" ht="15.75" thickBot="1" x14ac:dyDescent="0.3">
      <c r="A7787" s="43" t="s">
        <v>253</v>
      </c>
      <c r="B7787" s="21" t="s">
        <v>254</v>
      </c>
      <c r="C7787" s="21" t="s">
        <v>22655</v>
      </c>
      <c r="D7787" s="22">
        <v>46046</v>
      </c>
      <c r="E7787" s="23" t="s">
        <v>22661</v>
      </c>
      <c r="F7787" s="24" t="s">
        <v>22657</v>
      </c>
      <c r="G7787" s="25">
        <v>60</v>
      </c>
      <c r="H7787" s="32">
        <v>60</v>
      </c>
      <c r="I7787" s="33">
        <v>100</v>
      </c>
    </row>
    <row r="7788" spans="1:9" ht="15.75" thickBot="1" x14ac:dyDescent="0.3">
      <c r="A7788" s="43" t="s">
        <v>866</v>
      </c>
      <c r="B7788" s="21" t="s">
        <v>867</v>
      </c>
      <c r="C7788" s="21" t="s">
        <v>22655</v>
      </c>
      <c r="D7788" s="22">
        <v>46046</v>
      </c>
      <c r="E7788" s="23" t="s">
        <v>22661</v>
      </c>
      <c r="F7788" s="24" t="s">
        <v>22657</v>
      </c>
      <c r="G7788" s="25">
        <v>13</v>
      </c>
      <c r="H7788" s="26"/>
      <c r="I7788" s="27"/>
    </row>
    <row r="7789" spans="1:9" ht="15.75" thickBot="1" x14ac:dyDescent="0.3">
      <c r="A7789" s="43" t="s">
        <v>16083</v>
      </c>
      <c r="B7789" s="21" t="s">
        <v>16084</v>
      </c>
      <c r="C7789" s="21" t="s">
        <v>22682</v>
      </c>
      <c r="D7789" s="22">
        <v>46034</v>
      </c>
      <c r="E7789" s="23" t="s">
        <v>22656</v>
      </c>
      <c r="F7789" s="24" t="s">
        <v>22657</v>
      </c>
      <c r="G7789" s="25">
        <v>6</v>
      </c>
      <c r="H7789" s="29"/>
      <c r="I7789" s="30"/>
    </row>
    <row r="7790" spans="1:9" ht="15.75" thickBot="1" x14ac:dyDescent="0.3">
      <c r="A7790" s="43" t="s">
        <v>16085</v>
      </c>
      <c r="B7790" s="21" t="s">
        <v>16086</v>
      </c>
      <c r="C7790" s="21" t="s">
        <v>22682</v>
      </c>
      <c r="D7790" s="22">
        <v>46034</v>
      </c>
      <c r="E7790" s="23" t="s">
        <v>22656</v>
      </c>
      <c r="F7790" s="24" t="s">
        <v>22657</v>
      </c>
      <c r="G7790" s="25">
        <v>4</v>
      </c>
      <c r="H7790" s="26"/>
      <c r="I7790" s="27"/>
    </row>
    <row r="7791" spans="1:9" ht="15.75" thickBot="1" x14ac:dyDescent="0.3">
      <c r="A7791" s="43" t="s">
        <v>16087</v>
      </c>
      <c r="B7791" s="21" t="s">
        <v>16088</v>
      </c>
      <c r="C7791" s="21" t="s">
        <v>22682</v>
      </c>
      <c r="D7791" s="22">
        <v>46034</v>
      </c>
      <c r="E7791" s="23" t="s">
        <v>22656</v>
      </c>
      <c r="F7791" s="24" t="s">
        <v>22657</v>
      </c>
      <c r="G7791" s="25">
        <v>4</v>
      </c>
      <c r="H7791" s="29"/>
      <c r="I7791" s="30"/>
    </row>
    <row r="7792" spans="1:9" ht="15.75" thickBot="1" x14ac:dyDescent="0.3">
      <c r="A7792" s="43" t="s">
        <v>16089</v>
      </c>
      <c r="B7792" s="21" t="s">
        <v>16090</v>
      </c>
      <c r="C7792" s="21" t="s">
        <v>22682</v>
      </c>
      <c r="D7792" s="22">
        <v>46034</v>
      </c>
      <c r="E7792" s="23" t="s">
        <v>22656</v>
      </c>
      <c r="F7792" s="24" t="s">
        <v>22657</v>
      </c>
      <c r="G7792" s="25">
        <v>4</v>
      </c>
      <c r="H7792" s="26"/>
      <c r="I7792" s="27"/>
    </row>
    <row r="7793" spans="1:9" ht="15.75" thickBot="1" x14ac:dyDescent="0.3">
      <c r="A7793" s="43" t="s">
        <v>16091</v>
      </c>
      <c r="B7793" s="21" t="s">
        <v>16092</v>
      </c>
      <c r="C7793" s="21" t="s">
        <v>22682</v>
      </c>
      <c r="D7793" s="22">
        <v>46034</v>
      </c>
      <c r="E7793" s="23" t="s">
        <v>22656</v>
      </c>
      <c r="F7793" s="24" t="s">
        <v>22657</v>
      </c>
      <c r="G7793" s="25">
        <v>4</v>
      </c>
      <c r="H7793" s="29"/>
      <c r="I7793" s="30"/>
    </row>
    <row r="7794" spans="1:9" ht="15.75" thickBot="1" x14ac:dyDescent="0.3">
      <c r="A7794" s="43" t="s">
        <v>16093</v>
      </c>
      <c r="B7794" s="21" t="s">
        <v>16094</v>
      </c>
      <c r="C7794" s="21" t="s">
        <v>22682</v>
      </c>
      <c r="D7794" s="22">
        <v>46034</v>
      </c>
      <c r="E7794" s="23" t="s">
        <v>22658</v>
      </c>
      <c r="F7794" s="24" t="s">
        <v>22657</v>
      </c>
      <c r="G7794" s="25">
        <v>4</v>
      </c>
      <c r="H7794" s="26"/>
      <c r="I7794" s="27"/>
    </row>
    <row r="7795" spans="1:9" ht="15.75" thickBot="1" x14ac:dyDescent="0.3">
      <c r="A7795" s="43" t="s">
        <v>16095</v>
      </c>
      <c r="B7795" s="21" t="s">
        <v>16096</v>
      </c>
      <c r="C7795" s="21" t="s">
        <v>22667</v>
      </c>
      <c r="D7795" s="31" t="s">
        <v>22829</v>
      </c>
      <c r="E7795" s="23" t="s">
        <v>22656</v>
      </c>
      <c r="F7795" s="24" t="s">
        <v>22657</v>
      </c>
      <c r="G7795" s="25">
        <v>15</v>
      </c>
      <c r="H7795" s="29"/>
      <c r="I7795" s="30"/>
    </row>
    <row r="7796" spans="1:9" ht="15.75" thickBot="1" x14ac:dyDescent="0.3">
      <c r="A7796" s="43" t="s">
        <v>16097</v>
      </c>
      <c r="B7796" s="21" t="s">
        <v>16098</v>
      </c>
      <c r="C7796" s="21" t="s">
        <v>22655</v>
      </c>
      <c r="D7796" s="22">
        <v>46046</v>
      </c>
      <c r="E7796" s="23" t="s">
        <v>22658</v>
      </c>
      <c r="F7796" s="24" t="s">
        <v>22657</v>
      </c>
      <c r="G7796" s="25">
        <v>8</v>
      </c>
      <c r="H7796" s="26"/>
      <c r="I7796" s="27"/>
    </row>
    <row r="7797" spans="1:9" ht="15.75" thickBot="1" x14ac:dyDescent="0.3">
      <c r="A7797" s="43" t="s">
        <v>16099</v>
      </c>
      <c r="B7797" s="21" t="s">
        <v>16100</v>
      </c>
      <c r="C7797" s="21" t="s">
        <v>22672</v>
      </c>
      <c r="D7797" s="22">
        <v>46032</v>
      </c>
      <c r="E7797" s="23" t="s">
        <v>22656</v>
      </c>
      <c r="F7797" s="24" t="s">
        <v>22657</v>
      </c>
      <c r="G7797" s="25">
        <v>4</v>
      </c>
      <c r="H7797" s="29"/>
      <c r="I7797" s="30"/>
    </row>
    <row r="7798" spans="1:9" ht="15.75" thickBot="1" x14ac:dyDescent="0.3">
      <c r="A7798" s="43" t="s">
        <v>16101</v>
      </c>
      <c r="B7798" s="21" t="s">
        <v>16102</v>
      </c>
      <c r="C7798" s="21" t="s">
        <v>22682</v>
      </c>
      <c r="D7798" s="22">
        <v>46034</v>
      </c>
      <c r="E7798" s="23" t="s">
        <v>22658</v>
      </c>
      <c r="F7798" s="24" t="s">
        <v>22657</v>
      </c>
      <c r="G7798" s="25">
        <v>4</v>
      </c>
      <c r="H7798" s="26"/>
      <c r="I7798" s="27"/>
    </row>
    <row r="7799" spans="1:9" ht="15.75" thickBot="1" x14ac:dyDescent="0.3">
      <c r="A7799" s="43" t="s">
        <v>16103</v>
      </c>
      <c r="B7799" s="21" t="s">
        <v>16104</v>
      </c>
      <c r="C7799" s="21" t="s">
        <v>22682</v>
      </c>
      <c r="D7799" s="22">
        <v>46034</v>
      </c>
      <c r="E7799" s="23" t="s">
        <v>22658</v>
      </c>
      <c r="F7799" s="24" t="s">
        <v>22657</v>
      </c>
      <c r="G7799" s="25">
        <v>4</v>
      </c>
      <c r="H7799" s="29"/>
      <c r="I7799" s="30"/>
    </row>
    <row r="7800" spans="1:9" ht="15.75" thickBot="1" x14ac:dyDescent="0.3">
      <c r="A7800" s="43" t="s">
        <v>16105</v>
      </c>
      <c r="B7800" s="21" t="s">
        <v>16106</v>
      </c>
      <c r="C7800" s="21" t="s">
        <v>22682</v>
      </c>
      <c r="D7800" s="22">
        <v>46034</v>
      </c>
      <c r="E7800" s="23" t="s">
        <v>22658</v>
      </c>
      <c r="F7800" s="24" t="s">
        <v>22657</v>
      </c>
      <c r="G7800" s="25">
        <v>4</v>
      </c>
      <c r="H7800" s="26"/>
      <c r="I7800" s="27"/>
    </row>
    <row r="7801" spans="1:9" ht="15.75" thickBot="1" x14ac:dyDescent="0.3">
      <c r="A7801" s="43" t="s">
        <v>16107</v>
      </c>
      <c r="B7801" s="21" t="s">
        <v>16108</v>
      </c>
      <c r="C7801" s="21" t="s">
        <v>22682</v>
      </c>
      <c r="D7801" s="22">
        <v>46034</v>
      </c>
      <c r="E7801" s="23" t="s">
        <v>22658</v>
      </c>
      <c r="F7801" s="24" t="s">
        <v>22657</v>
      </c>
      <c r="G7801" s="25">
        <v>4</v>
      </c>
      <c r="H7801" s="29"/>
      <c r="I7801" s="30"/>
    </row>
    <row r="7802" spans="1:9" ht="15.75" thickBot="1" x14ac:dyDescent="0.3">
      <c r="A7802" s="43" t="s">
        <v>16109</v>
      </c>
      <c r="B7802" s="21" t="s">
        <v>16110</v>
      </c>
      <c r="C7802" s="21" t="s">
        <v>22682</v>
      </c>
      <c r="D7802" s="22">
        <v>46034</v>
      </c>
      <c r="E7802" s="23" t="s">
        <v>22656</v>
      </c>
      <c r="F7802" s="24" t="s">
        <v>22657</v>
      </c>
      <c r="G7802" s="25">
        <v>4</v>
      </c>
      <c r="H7802" s="26"/>
      <c r="I7802" s="27"/>
    </row>
    <row r="7803" spans="1:9" ht="15.75" thickBot="1" x14ac:dyDescent="0.3">
      <c r="A7803" s="43" t="s">
        <v>16111</v>
      </c>
      <c r="B7803" s="21" t="s">
        <v>16112</v>
      </c>
      <c r="C7803" s="21" t="s">
        <v>22682</v>
      </c>
      <c r="D7803" s="22">
        <v>46034</v>
      </c>
      <c r="E7803" s="23" t="s">
        <v>22656</v>
      </c>
      <c r="F7803" s="24" t="s">
        <v>22657</v>
      </c>
      <c r="G7803" s="25">
        <v>4</v>
      </c>
      <c r="H7803" s="29"/>
      <c r="I7803" s="30"/>
    </row>
    <row r="7804" spans="1:9" ht="15.75" thickBot="1" x14ac:dyDescent="0.3">
      <c r="A7804" s="43" t="s">
        <v>16113</v>
      </c>
      <c r="B7804" s="21" t="s">
        <v>16114</v>
      </c>
      <c r="C7804" s="21" t="s">
        <v>22682</v>
      </c>
      <c r="D7804" s="22">
        <v>46034</v>
      </c>
      <c r="E7804" s="23" t="s">
        <v>22656</v>
      </c>
      <c r="F7804" s="24" t="s">
        <v>22657</v>
      </c>
      <c r="G7804" s="25">
        <v>4</v>
      </c>
      <c r="H7804" s="26"/>
      <c r="I7804" s="27"/>
    </row>
    <row r="7805" spans="1:9" ht="15.75" thickBot="1" x14ac:dyDescent="0.3">
      <c r="A7805" s="43" t="s">
        <v>16115</v>
      </c>
      <c r="B7805" s="21" t="s">
        <v>16116</v>
      </c>
      <c r="C7805" s="21" t="s">
        <v>22682</v>
      </c>
      <c r="D7805" s="22">
        <v>46034</v>
      </c>
      <c r="E7805" s="23" t="s">
        <v>22658</v>
      </c>
      <c r="F7805" s="24" t="s">
        <v>22657</v>
      </c>
      <c r="G7805" s="25">
        <v>4</v>
      </c>
      <c r="H7805" s="29"/>
      <c r="I7805" s="30"/>
    </row>
    <row r="7806" spans="1:9" ht="15.75" thickBot="1" x14ac:dyDescent="0.3">
      <c r="A7806" s="43" t="s">
        <v>16117</v>
      </c>
      <c r="B7806" s="21" t="s">
        <v>16118</v>
      </c>
      <c r="C7806" s="21" t="s">
        <v>22682</v>
      </c>
      <c r="D7806" s="22">
        <v>46034</v>
      </c>
      <c r="E7806" s="23" t="s">
        <v>22658</v>
      </c>
      <c r="F7806" s="24" t="s">
        <v>22657</v>
      </c>
      <c r="G7806" s="25">
        <v>4</v>
      </c>
      <c r="H7806" s="26"/>
      <c r="I7806" s="27"/>
    </row>
    <row r="7807" spans="1:9" ht="15.75" thickBot="1" x14ac:dyDescent="0.3">
      <c r="A7807" s="43" t="s">
        <v>16119</v>
      </c>
      <c r="B7807" s="21" t="s">
        <v>16120</v>
      </c>
      <c r="C7807" s="21" t="s">
        <v>22682</v>
      </c>
      <c r="D7807" s="22">
        <v>46034</v>
      </c>
      <c r="E7807" s="23" t="s">
        <v>22658</v>
      </c>
      <c r="F7807" s="24" t="s">
        <v>22657</v>
      </c>
      <c r="G7807" s="25">
        <v>4</v>
      </c>
      <c r="H7807" s="29"/>
      <c r="I7807" s="30"/>
    </row>
    <row r="7808" spans="1:9" ht="15.75" thickBot="1" x14ac:dyDescent="0.3">
      <c r="A7808" s="43" t="s">
        <v>16121</v>
      </c>
      <c r="B7808" s="21" t="s">
        <v>16122</v>
      </c>
      <c r="C7808" s="21" t="s">
        <v>22682</v>
      </c>
      <c r="D7808" s="22">
        <v>46034</v>
      </c>
      <c r="E7808" s="23" t="s">
        <v>22656</v>
      </c>
      <c r="F7808" s="24" t="s">
        <v>22657</v>
      </c>
      <c r="G7808" s="25">
        <v>4</v>
      </c>
      <c r="H7808" s="26"/>
      <c r="I7808" s="27"/>
    </row>
    <row r="7809" spans="1:9" ht="15.75" thickBot="1" x14ac:dyDescent="0.3">
      <c r="A7809" s="43" t="s">
        <v>16123</v>
      </c>
      <c r="B7809" s="21" t="s">
        <v>16124</v>
      </c>
      <c r="C7809" s="21" t="s">
        <v>22682</v>
      </c>
      <c r="D7809" s="22">
        <v>46034</v>
      </c>
      <c r="E7809" s="23" t="s">
        <v>22658</v>
      </c>
      <c r="F7809" s="24" t="s">
        <v>22657</v>
      </c>
      <c r="G7809" s="25">
        <v>4</v>
      </c>
      <c r="H7809" s="29"/>
      <c r="I7809" s="30"/>
    </row>
    <row r="7810" spans="1:9" ht="15.75" thickBot="1" x14ac:dyDescent="0.3">
      <c r="A7810" s="43" t="s">
        <v>16125</v>
      </c>
      <c r="B7810" s="21" t="s">
        <v>16126</v>
      </c>
      <c r="C7810" s="21" t="s">
        <v>22682</v>
      </c>
      <c r="D7810" s="22">
        <v>46034</v>
      </c>
      <c r="E7810" s="23" t="s">
        <v>22658</v>
      </c>
      <c r="F7810" s="24" t="s">
        <v>22657</v>
      </c>
      <c r="G7810" s="25">
        <v>4</v>
      </c>
      <c r="H7810" s="26"/>
      <c r="I7810" s="27"/>
    </row>
    <row r="7811" spans="1:9" ht="15.75" thickBot="1" x14ac:dyDescent="0.3">
      <c r="A7811" s="43" t="s">
        <v>16127</v>
      </c>
      <c r="B7811" s="21" t="s">
        <v>16128</v>
      </c>
      <c r="C7811" s="21" t="s">
        <v>22682</v>
      </c>
      <c r="D7811" s="22">
        <v>46034</v>
      </c>
      <c r="E7811" s="23" t="s">
        <v>22658</v>
      </c>
      <c r="F7811" s="24" t="s">
        <v>22657</v>
      </c>
      <c r="G7811" s="25">
        <v>4</v>
      </c>
      <c r="H7811" s="29"/>
      <c r="I7811" s="30"/>
    </row>
    <row r="7812" spans="1:9" ht="15.75" thickBot="1" x14ac:dyDescent="0.3">
      <c r="A7812" s="43" t="s">
        <v>16129</v>
      </c>
      <c r="B7812" s="21" t="s">
        <v>16130</v>
      </c>
      <c r="C7812" s="21" t="s">
        <v>22682</v>
      </c>
      <c r="D7812" s="22">
        <v>46034</v>
      </c>
      <c r="E7812" s="23" t="s">
        <v>22658</v>
      </c>
      <c r="F7812" s="24" t="s">
        <v>22657</v>
      </c>
      <c r="G7812" s="25">
        <v>4</v>
      </c>
      <c r="H7812" s="26"/>
      <c r="I7812" s="27"/>
    </row>
    <row r="7813" spans="1:9" ht="15.75" thickBot="1" x14ac:dyDescent="0.3">
      <c r="A7813" s="43" t="s">
        <v>16131</v>
      </c>
      <c r="B7813" s="21" t="s">
        <v>16132</v>
      </c>
      <c r="C7813" s="21" t="s">
        <v>22682</v>
      </c>
      <c r="D7813" s="22">
        <v>46034</v>
      </c>
      <c r="E7813" s="23" t="s">
        <v>22658</v>
      </c>
      <c r="F7813" s="24" t="s">
        <v>22657</v>
      </c>
      <c r="G7813" s="25">
        <v>4</v>
      </c>
      <c r="H7813" s="29"/>
      <c r="I7813" s="30"/>
    </row>
    <row r="7814" spans="1:9" ht="15.75" thickBot="1" x14ac:dyDescent="0.3">
      <c r="A7814" s="43" t="s">
        <v>16133</v>
      </c>
      <c r="B7814" s="21" t="s">
        <v>16134</v>
      </c>
      <c r="C7814" s="21" t="s">
        <v>22682</v>
      </c>
      <c r="D7814" s="22">
        <v>46034</v>
      </c>
      <c r="E7814" s="23" t="s">
        <v>22658</v>
      </c>
      <c r="F7814" s="24" t="s">
        <v>22657</v>
      </c>
      <c r="G7814" s="25">
        <v>4</v>
      </c>
      <c r="H7814" s="26"/>
      <c r="I7814" s="27"/>
    </row>
    <row r="7815" spans="1:9" ht="15.75" thickBot="1" x14ac:dyDescent="0.3">
      <c r="A7815" s="43" t="s">
        <v>1195</v>
      </c>
      <c r="B7815" s="21" t="s">
        <v>1196</v>
      </c>
      <c r="C7815" s="21" t="s">
        <v>22655</v>
      </c>
      <c r="D7815" s="22">
        <v>46042</v>
      </c>
      <c r="E7815" s="23" t="s">
        <v>22662</v>
      </c>
      <c r="F7815" s="24" t="s">
        <v>22657</v>
      </c>
      <c r="G7815" s="25">
        <v>100</v>
      </c>
      <c r="H7815" s="32">
        <v>100</v>
      </c>
      <c r="I7815" s="33">
        <v>300</v>
      </c>
    </row>
    <row r="7816" spans="1:9" ht="15.75" thickBot="1" x14ac:dyDescent="0.3">
      <c r="A7816" s="43" t="s">
        <v>443</v>
      </c>
      <c r="B7816" s="21" t="s">
        <v>444</v>
      </c>
      <c r="C7816" s="21" t="s">
        <v>22655</v>
      </c>
      <c r="D7816" s="22">
        <v>46042</v>
      </c>
      <c r="E7816" s="23" t="s">
        <v>22662</v>
      </c>
      <c r="F7816" s="24" t="s">
        <v>22657</v>
      </c>
      <c r="G7816" s="25">
        <v>100</v>
      </c>
      <c r="H7816" s="34">
        <v>100</v>
      </c>
      <c r="I7816" s="35">
        <v>200</v>
      </c>
    </row>
    <row r="7817" spans="1:9" ht="15.75" thickBot="1" x14ac:dyDescent="0.3">
      <c r="A7817" s="43" t="s">
        <v>16135</v>
      </c>
      <c r="B7817" s="21" t="s">
        <v>16136</v>
      </c>
      <c r="C7817" s="21" t="s">
        <v>22655</v>
      </c>
      <c r="D7817" s="31" t="s">
        <v>22666</v>
      </c>
      <c r="E7817" s="23" t="s">
        <v>22661</v>
      </c>
      <c r="F7817" s="24" t="s">
        <v>22657</v>
      </c>
      <c r="G7817" s="25">
        <v>10</v>
      </c>
      <c r="H7817" s="29"/>
      <c r="I7817" s="30"/>
    </row>
    <row r="7818" spans="1:9" ht="15.75" thickBot="1" x14ac:dyDescent="0.3">
      <c r="A7818" s="43" t="s">
        <v>16137</v>
      </c>
      <c r="B7818" s="21" t="s">
        <v>16138</v>
      </c>
      <c r="C7818" s="21" t="s">
        <v>22655</v>
      </c>
      <c r="D7818" s="22">
        <v>46046</v>
      </c>
      <c r="E7818" s="23" t="s">
        <v>22656</v>
      </c>
      <c r="F7818" s="24" t="s">
        <v>22657</v>
      </c>
      <c r="G7818" s="25">
        <v>8</v>
      </c>
      <c r="H7818" s="26"/>
      <c r="I7818" s="27"/>
    </row>
    <row r="7819" spans="1:9" ht="15.75" thickBot="1" x14ac:dyDescent="0.3">
      <c r="A7819" s="43" t="s">
        <v>16139</v>
      </c>
      <c r="B7819" s="21" t="s">
        <v>16140</v>
      </c>
      <c r="C7819" s="21" t="s">
        <v>22655</v>
      </c>
      <c r="D7819" s="31" t="s">
        <v>22669</v>
      </c>
      <c r="E7819" s="23" t="s">
        <v>22656</v>
      </c>
      <c r="F7819" s="24" t="s">
        <v>22657</v>
      </c>
      <c r="G7819" s="25">
        <v>12</v>
      </c>
      <c r="H7819" s="29"/>
      <c r="I7819" s="30"/>
    </row>
    <row r="7820" spans="1:9" ht="15.75" thickBot="1" x14ac:dyDescent="0.3">
      <c r="A7820" s="43" t="s">
        <v>16141</v>
      </c>
      <c r="B7820" s="21" t="s">
        <v>16142</v>
      </c>
      <c r="C7820" s="21" t="s">
        <v>22682</v>
      </c>
      <c r="D7820" s="22">
        <v>46034</v>
      </c>
      <c r="E7820" s="23" t="s">
        <v>22658</v>
      </c>
      <c r="F7820" s="24" t="s">
        <v>22657</v>
      </c>
      <c r="G7820" s="25">
        <v>4</v>
      </c>
      <c r="H7820" s="26"/>
      <c r="I7820" s="27"/>
    </row>
    <row r="7821" spans="1:9" ht="15.75" thickBot="1" x14ac:dyDescent="0.3">
      <c r="A7821" s="43" t="s">
        <v>16143</v>
      </c>
      <c r="B7821" s="21" t="s">
        <v>16144</v>
      </c>
      <c r="C7821" s="21" t="s">
        <v>22682</v>
      </c>
      <c r="D7821" s="22">
        <v>46034</v>
      </c>
      <c r="E7821" s="23" t="s">
        <v>22658</v>
      </c>
      <c r="F7821" s="24" t="s">
        <v>22657</v>
      </c>
      <c r="G7821" s="25">
        <v>4</v>
      </c>
      <c r="H7821" s="29"/>
      <c r="I7821" s="30"/>
    </row>
    <row r="7822" spans="1:9" ht="15.75" thickBot="1" x14ac:dyDescent="0.3">
      <c r="A7822" s="43" t="s">
        <v>16145</v>
      </c>
      <c r="B7822" s="21" t="s">
        <v>16146</v>
      </c>
      <c r="C7822" s="21" t="s">
        <v>22682</v>
      </c>
      <c r="D7822" s="22">
        <v>46034</v>
      </c>
      <c r="E7822" s="23" t="s">
        <v>22656</v>
      </c>
      <c r="F7822" s="24" t="s">
        <v>22657</v>
      </c>
      <c r="G7822" s="25">
        <v>4</v>
      </c>
      <c r="H7822" s="26"/>
      <c r="I7822" s="27"/>
    </row>
    <row r="7823" spans="1:9" ht="15.75" thickBot="1" x14ac:dyDescent="0.3">
      <c r="A7823" s="43" t="s">
        <v>16147</v>
      </c>
      <c r="B7823" s="21" t="s">
        <v>16148</v>
      </c>
      <c r="C7823" s="21" t="s">
        <v>22655</v>
      </c>
      <c r="D7823" s="22">
        <v>46042</v>
      </c>
      <c r="E7823" s="23" t="s">
        <v>22658</v>
      </c>
      <c r="F7823" s="24" t="s">
        <v>22657</v>
      </c>
      <c r="G7823" s="25">
        <v>7</v>
      </c>
      <c r="H7823" s="29"/>
      <c r="I7823" s="30"/>
    </row>
    <row r="7824" spans="1:9" ht="15.75" thickBot="1" x14ac:dyDescent="0.3">
      <c r="A7824" s="43" t="s">
        <v>16149</v>
      </c>
      <c r="B7824" s="21" t="s">
        <v>16150</v>
      </c>
      <c r="C7824" s="21" t="s">
        <v>22655</v>
      </c>
      <c r="D7824" s="22">
        <v>46042</v>
      </c>
      <c r="E7824" s="23" t="s">
        <v>22658</v>
      </c>
      <c r="F7824" s="24" t="s">
        <v>22657</v>
      </c>
      <c r="G7824" s="25">
        <v>7</v>
      </c>
      <c r="H7824" s="26"/>
      <c r="I7824" s="27"/>
    </row>
    <row r="7825" spans="1:9" ht="15.75" thickBot="1" x14ac:dyDescent="0.3">
      <c r="A7825" s="43" t="s">
        <v>16151</v>
      </c>
      <c r="B7825" s="21" t="s">
        <v>16152</v>
      </c>
      <c r="C7825" s="21" t="s">
        <v>22655</v>
      </c>
      <c r="D7825" s="22">
        <v>46042</v>
      </c>
      <c r="E7825" s="23" t="s">
        <v>22658</v>
      </c>
      <c r="F7825" s="24" t="s">
        <v>22657</v>
      </c>
      <c r="G7825" s="25">
        <v>7</v>
      </c>
      <c r="H7825" s="29"/>
      <c r="I7825" s="30"/>
    </row>
    <row r="7826" spans="1:9" ht="15.75" thickBot="1" x14ac:dyDescent="0.3">
      <c r="A7826" s="43" t="s">
        <v>651</v>
      </c>
      <c r="B7826" s="21" t="s">
        <v>652</v>
      </c>
      <c r="C7826" s="21" t="s">
        <v>22663</v>
      </c>
      <c r="D7826" s="31">
        <v>1</v>
      </c>
      <c r="E7826" s="23" t="s">
        <v>22661</v>
      </c>
      <c r="F7826" s="24" t="s">
        <v>22657</v>
      </c>
      <c r="G7826" s="25">
        <v>6</v>
      </c>
      <c r="H7826" s="34">
        <v>6</v>
      </c>
      <c r="I7826" s="35">
        <v>12</v>
      </c>
    </row>
    <row r="7827" spans="1:9" ht="15.75" thickBot="1" x14ac:dyDescent="0.3">
      <c r="A7827" s="43" t="s">
        <v>37</v>
      </c>
      <c r="B7827" s="21" t="s">
        <v>38</v>
      </c>
      <c r="C7827" s="21" t="s">
        <v>22663</v>
      </c>
      <c r="D7827" s="31">
        <v>1</v>
      </c>
      <c r="E7827" s="23" t="s">
        <v>22661</v>
      </c>
      <c r="F7827" s="24" t="s">
        <v>22657</v>
      </c>
      <c r="G7827" s="25">
        <v>6</v>
      </c>
      <c r="H7827" s="32">
        <v>6</v>
      </c>
      <c r="I7827" s="33">
        <v>12</v>
      </c>
    </row>
    <row r="7828" spans="1:9" ht="15.75" thickBot="1" x14ac:dyDescent="0.3">
      <c r="A7828" s="43" t="s">
        <v>1165</v>
      </c>
      <c r="B7828" s="21" t="s">
        <v>1166</v>
      </c>
      <c r="C7828" s="21" t="s">
        <v>22663</v>
      </c>
      <c r="D7828" s="31">
        <v>1</v>
      </c>
      <c r="E7828" s="23" t="s">
        <v>22656</v>
      </c>
      <c r="F7828" s="24" t="s">
        <v>22657</v>
      </c>
      <c r="G7828" s="25">
        <v>1</v>
      </c>
      <c r="H7828" s="34">
        <v>1</v>
      </c>
      <c r="I7828" s="35">
        <v>2</v>
      </c>
    </row>
    <row r="7829" spans="1:9" ht="15.75" thickBot="1" x14ac:dyDescent="0.3">
      <c r="A7829" s="43" t="s">
        <v>1327</v>
      </c>
      <c r="B7829" s="21" t="s">
        <v>1328</v>
      </c>
      <c r="C7829" s="21" t="s">
        <v>22663</v>
      </c>
      <c r="D7829" s="31">
        <v>1</v>
      </c>
      <c r="E7829" s="23" t="s">
        <v>22661</v>
      </c>
      <c r="F7829" s="24" t="s">
        <v>22657</v>
      </c>
      <c r="G7829" s="25">
        <v>12</v>
      </c>
      <c r="H7829" s="32">
        <v>12</v>
      </c>
      <c r="I7829" s="33">
        <v>18</v>
      </c>
    </row>
    <row r="7830" spans="1:9" ht="15.75" thickBot="1" x14ac:dyDescent="0.3">
      <c r="A7830" s="43" t="s">
        <v>63</v>
      </c>
      <c r="B7830" s="21" t="s">
        <v>64</v>
      </c>
      <c r="C7830" s="21" t="s">
        <v>22655</v>
      </c>
      <c r="D7830" s="22">
        <v>46028</v>
      </c>
      <c r="E7830" s="23" t="s">
        <v>22656</v>
      </c>
      <c r="F7830" s="24" t="s">
        <v>22657</v>
      </c>
      <c r="G7830" s="25">
        <v>3</v>
      </c>
      <c r="H7830" s="26"/>
      <c r="I7830" s="27"/>
    </row>
    <row r="7831" spans="1:9" ht="15.75" thickBot="1" x14ac:dyDescent="0.3">
      <c r="A7831" s="43" t="s">
        <v>149</v>
      </c>
      <c r="B7831" s="21" t="s">
        <v>150</v>
      </c>
      <c r="C7831" s="21" t="s">
        <v>22655</v>
      </c>
      <c r="D7831" s="22">
        <v>46046</v>
      </c>
      <c r="E7831" s="23" t="s">
        <v>22661</v>
      </c>
      <c r="F7831" s="24" t="s">
        <v>22657</v>
      </c>
      <c r="G7831" s="25">
        <v>10</v>
      </c>
      <c r="H7831" s="32">
        <v>10</v>
      </c>
      <c r="I7831" s="33">
        <v>12</v>
      </c>
    </row>
    <row r="7832" spans="1:9" ht="15.75" thickBot="1" x14ac:dyDescent="0.3">
      <c r="A7832" s="43" t="s">
        <v>16153</v>
      </c>
      <c r="B7832" s="21" t="s">
        <v>16154</v>
      </c>
      <c r="C7832" s="21" t="s">
        <v>22663</v>
      </c>
      <c r="D7832" s="31">
        <v>1</v>
      </c>
      <c r="E7832" s="23" t="s">
        <v>22656</v>
      </c>
      <c r="F7832" s="24" t="s">
        <v>22657</v>
      </c>
      <c r="G7832" s="25">
        <v>6</v>
      </c>
      <c r="H7832" s="34">
        <v>6</v>
      </c>
      <c r="I7832" s="35">
        <v>12</v>
      </c>
    </row>
    <row r="7833" spans="1:9" ht="15.75" thickBot="1" x14ac:dyDescent="0.3">
      <c r="A7833" s="43" t="s">
        <v>16155</v>
      </c>
      <c r="B7833" s="21" t="s">
        <v>16156</v>
      </c>
      <c r="C7833" s="21" t="s">
        <v>22663</v>
      </c>
      <c r="D7833" s="31">
        <v>1</v>
      </c>
      <c r="E7833" s="23" t="s">
        <v>22658</v>
      </c>
      <c r="F7833" s="24" t="s">
        <v>22657</v>
      </c>
      <c r="G7833" s="25">
        <v>1</v>
      </c>
      <c r="H7833" s="29"/>
      <c r="I7833" s="30"/>
    </row>
    <row r="7834" spans="1:9" ht="15.75" thickBot="1" x14ac:dyDescent="0.3">
      <c r="A7834" s="43" t="s">
        <v>16157</v>
      </c>
      <c r="B7834" s="21" t="s">
        <v>16158</v>
      </c>
      <c r="C7834" s="21" t="s">
        <v>22663</v>
      </c>
      <c r="D7834" s="31">
        <v>1</v>
      </c>
      <c r="E7834" s="23" t="s">
        <v>22656</v>
      </c>
      <c r="F7834" s="24" t="s">
        <v>22657</v>
      </c>
      <c r="G7834" s="25">
        <v>3</v>
      </c>
      <c r="H7834" s="34">
        <v>3</v>
      </c>
      <c r="I7834" s="35">
        <v>6</v>
      </c>
    </row>
    <row r="7835" spans="1:9" ht="15.75" thickBot="1" x14ac:dyDescent="0.3">
      <c r="A7835" s="43" t="s">
        <v>605</v>
      </c>
      <c r="B7835" s="21" t="s">
        <v>16159</v>
      </c>
      <c r="C7835" s="21" t="s">
        <v>22655</v>
      </c>
      <c r="D7835" s="31" t="s">
        <v>22666</v>
      </c>
      <c r="E7835" s="23" t="s">
        <v>22662</v>
      </c>
      <c r="F7835" s="24" t="s">
        <v>22657</v>
      </c>
      <c r="G7835" s="25">
        <v>300</v>
      </c>
      <c r="H7835" s="32">
        <v>300</v>
      </c>
      <c r="I7835" s="33">
        <v>600</v>
      </c>
    </row>
    <row r="7836" spans="1:9" ht="15.75" thickBot="1" x14ac:dyDescent="0.3">
      <c r="A7836" s="43" t="s">
        <v>983</v>
      </c>
      <c r="B7836" s="21" t="s">
        <v>984</v>
      </c>
      <c r="C7836" s="21" t="s">
        <v>22655</v>
      </c>
      <c r="D7836" s="22">
        <v>46028</v>
      </c>
      <c r="E7836" s="23" t="s">
        <v>22661</v>
      </c>
      <c r="F7836" s="24" t="s">
        <v>22657</v>
      </c>
      <c r="G7836" s="25">
        <v>12</v>
      </c>
      <c r="H7836" s="34">
        <v>12</v>
      </c>
      <c r="I7836" s="35">
        <v>24</v>
      </c>
    </row>
    <row r="7837" spans="1:9" ht="15.75" thickBot="1" x14ac:dyDescent="0.3">
      <c r="A7837" s="43" t="s">
        <v>16160</v>
      </c>
      <c r="B7837" s="21" t="s">
        <v>16161</v>
      </c>
      <c r="C7837" s="21" t="s">
        <v>22655</v>
      </c>
      <c r="D7837" s="22">
        <v>46046</v>
      </c>
      <c r="E7837" s="23" t="s">
        <v>22665</v>
      </c>
      <c r="F7837" s="24" t="s">
        <v>22657</v>
      </c>
      <c r="G7837" s="25">
        <v>12</v>
      </c>
      <c r="H7837" s="32">
        <v>12</v>
      </c>
      <c r="I7837" s="33">
        <v>24</v>
      </c>
    </row>
    <row r="7838" spans="1:9" ht="15.75" thickBot="1" x14ac:dyDescent="0.3">
      <c r="A7838" s="43" t="s">
        <v>16162</v>
      </c>
      <c r="B7838" s="21" t="s">
        <v>16163</v>
      </c>
      <c r="C7838" s="21" t="s">
        <v>22655</v>
      </c>
      <c r="D7838" s="22">
        <v>46034</v>
      </c>
      <c r="E7838" s="23" t="s">
        <v>22661</v>
      </c>
      <c r="F7838" s="24" t="s">
        <v>22657</v>
      </c>
      <c r="G7838" s="25">
        <v>4</v>
      </c>
      <c r="H7838" s="26"/>
      <c r="I7838" s="27"/>
    </row>
    <row r="7839" spans="1:9" ht="15.75" thickBot="1" x14ac:dyDescent="0.3">
      <c r="A7839" s="43" t="s">
        <v>16164</v>
      </c>
      <c r="B7839" s="21" t="s">
        <v>16165</v>
      </c>
      <c r="C7839" s="21" t="s">
        <v>22655</v>
      </c>
      <c r="D7839" s="31" t="s">
        <v>22681</v>
      </c>
      <c r="E7839" s="23" t="s">
        <v>22661</v>
      </c>
      <c r="F7839" s="24" t="s">
        <v>22657</v>
      </c>
      <c r="G7839" s="25">
        <v>51</v>
      </c>
      <c r="H7839" s="29"/>
      <c r="I7839" s="30"/>
    </row>
    <row r="7840" spans="1:9" ht="15.75" thickBot="1" x14ac:dyDescent="0.3">
      <c r="A7840" s="43" t="s">
        <v>22615</v>
      </c>
      <c r="B7840" s="21" t="s">
        <v>16165</v>
      </c>
      <c r="C7840" s="36" t="e">
        <v>#N/A</v>
      </c>
      <c r="D7840" s="37" t="e">
        <v>#N/A</v>
      </c>
      <c r="E7840" s="23" t="e">
        <v>#N/A</v>
      </c>
      <c r="F7840" s="24" t="s">
        <v>22657</v>
      </c>
      <c r="G7840" s="25" t="e">
        <v>#N/A</v>
      </c>
      <c r="H7840" s="26"/>
      <c r="I7840" s="27"/>
    </row>
    <row r="7841" spans="1:9" ht="15.75" thickBot="1" x14ac:dyDescent="0.3">
      <c r="A7841" s="43" t="s">
        <v>16166</v>
      </c>
      <c r="B7841" s="21" t="s">
        <v>16167</v>
      </c>
      <c r="C7841" s="21" t="s">
        <v>22655</v>
      </c>
      <c r="D7841" s="31" t="s">
        <v>22669</v>
      </c>
      <c r="E7841" s="23" t="s">
        <v>22665</v>
      </c>
      <c r="F7841" s="24" t="s">
        <v>22657</v>
      </c>
      <c r="G7841" s="25">
        <v>12</v>
      </c>
      <c r="H7841" s="29"/>
      <c r="I7841" s="30"/>
    </row>
    <row r="7842" spans="1:9" ht="15.75" thickBot="1" x14ac:dyDescent="0.3">
      <c r="A7842" s="43" t="s">
        <v>16168</v>
      </c>
      <c r="B7842" s="21" t="s">
        <v>22616</v>
      </c>
      <c r="C7842" s="21" t="s">
        <v>22655</v>
      </c>
      <c r="D7842" s="31" t="s">
        <v>22669</v>
      </c>
      <c r="E7842" s="23" t="s">
        <v>22656</v>
      </c>
      <c r="F7842" s="24" t="s">
        <v>22657</v>
      </c>
      <c r="G7842" s="25">
        <v>12</v>
      </c>
      <c r="H7842" s="26"/>
      <c r="I7842" s="27"/>
    </row>
    <row r="7843" spans="1:9" ht="15.75" thickBot="1" x14ac:dyDescent="0.3">
      <c r="A7843" s="43" t="s">
        <v>16169</v>
      </c>
      <c r="B7843" s="21" t="s">
        <v>16170</v>
      </c>
      <c r="C7843" s="21" t="s">
        <v>22655</v>
      </c>
      <c r="D7843" s="31" t="s">
        <v>22660</v>
      </c>
      <c r="E7843" s="23" t="s">
        <v>22656</v>
      </c>
      <c r="F7843" s="24" t="s">
        <v>22657</v>
      </c>
      <c r="G7843" s="25">
        <v>8</v>
      </c>
      <c r="H7843" s="29"/>
      <c r="I7843" s="30"/>
    </row>
    <row r="7844" spans="1:9" ht="15.75" thickBot="1" x14ac:dyDescent="0.3">
      <c r="A7844" s="43" t="s">
        <v>16171</v>
      </c>
      <c r="B7844" s="21" t="s">
        <v>16172</v>
      </c>
      <c r="C7844" s="21" t="s">
        <v>22655</v>
      </c>
      <c r="D7844" s="31" t="s">
        <v>22669</v>
      </c>
      <c r="E7844" s="23" t="s">
        <v>22658</v>
      </c>
      <c r="F7844" s="24" t="s">
        <v>22657</v>
      </c>
      <c r="G7844" s="25">
        <v>4</v>
      </c>
      <c r="H7844" s="26"/>
      <c r="I7844" s="27"/>
    </row>
    <row r="7845" spans="1:9" ht="15.75" thickBot="1" x14ac:dyDescent="0.3">
      <c r="A7845" s="43" t="s">
        <v>16173</v>
      </c>
      <c r="B7845" s="21" t="s">
        <v>16174</v>
      </c>
      <c r="C7845" s="21" t="s">
        <v>22655</v>
      </c>
      <c r="D7845" s="22">
        <v>46046</v>
      </c>
      <c r="E7845" s="23" t="s">
        <v>22656</v>
      </c>
      <c r="F7845" s="24" t="s">
        <v>22657</v>
      </c>
      <c r="G7845" s="25">
        <v>8</v>
      </c>
      <c r="H7845" s="29"/>
      <c r="I7845" s="30"/>
    </row>
    <row r="7846" spans="1:9" ht="15.75" thickBot="1" x14ac:dyDescent="0.3">
      <c r="A7846" s="43" t="s">
        <v>16175</v>
      </c>
      <c r="B7846" s="21" t="s">
        <v>16176</v>
      </c>
      <c r="C7846" s="21" t="s">
        <v>22655</v>
      </c>
      <c r="D7846" s="31" t="s">
        <v>22669</v>
      </c>
      <c r="E7846" s="23" t="s">
        <v>22656</v>
      </c>
      <c r="F7846" s="24" t="s">
        <v>22657</v>
      </c>
      <c r="G7846" s="25">
        <v>4</v>
      </c>
      <c r="H7846" s="26"/>
      <c r="I7846" s="27"/>
    </row>
    <row r="7847" spans="1:9" ht="15.75" thickBot="1" x14ac:dyDescent="0.3">
      <c r="A7847" s="43" t="s">
        <v>16177</v>
      </c>
      <c r="B7847" s="21" t="s">
        <v>16178</v>
      </c>
      <c r="C7847" s="21" t="s">
        <v>22655</v>
      </c>
      <c r="D7847" s="31" t="s">
        <v>22669</v>
      </c>
      <c r="E7847" s="23" t="s">
        <v>22656</v>
      </c>
      <c r="F7847" s="24" t="s">
        <v>22657</v>
      </c>
      <c r="G7847" s="25">
        <v>5</v>
      </c>
      <c r="H7847" s="29"/>
      <c r="I7847" s="30"/>
    </row>
    <row r="7848" spans="1:9" ht="15.75" thickBot="1" x14ac:dyDescent="0.3">
      <c r="A7848" s="43" t="s">
        <v>331</v>
      </c>
      <c r="B7848" s="21" t="s">
        <v>332</v>
      </c>
      <c r="C7848" s="21" t="s">
        <v>22655</v>
      </c>
      <c r="D7848" s="22">
        <v>46028</v>
      </c>
      <c r="E7848" s="23" t="s">
        <v>22656</v>
      </c>
      <c r="F7848" s="24" t="s">
        <v>22657</v>
      </c>
      <c r="G7848" s="25">
        <v>6</v>
      </c>
      <c r="H7848" s="26"/>
      <c r="I7848" s="27"/>
    </row>
    <row r="7849" spans="1:9" ht="15.75" thickBot="1" x14ac:dyDescent="0.3">
      <c r="A7849" s="43" t="s">
        <v>16179</v>
      </c>
      <c r="B7849" s="21" t="s">
        <v>16180</v>
      </c>
      <c r="C7849" s="21" t="s">
        <v>22655</v>
      </c>
      <c r="D7849" s="22">
        <v>46046</v>
      </c>
      <c r="E7849" s="23" t="s">
        <v>22661</v>
      </c>
      <c r="F7849" s="24" t="s">
        <v>22657</v>
      </c>
      <c r="G7849" s="25">
        <v>12</v>
      </c>
      <c r="H7849" s="32">
        <v>12</v>
      </c>
      <c r="I7849" s="33">
        <v>24</v>
      </c>
    </row>
    <row r="7850" spans="1:9" ht="15.75" thickBot="1" x14ac:dyDescent="0.3">
      <c r="A7850" s="43" t="s">
        <v>16181</v>
      </c>
      <c r="B7850" s="21" t="s">
        <v>16182</v>
      </c>
      <c r="C7850" s="21" t="s">
        <v>22655</v>
      </c>
      <c r="D7850" s="22">
        <v>46034</v>
      </c>
      <c r="E7850" s="23" t="s">
        <v>22661</v>
      </c>
      <c r="F7850" s="24" t="s">
        <v>22657</v>
      </c>
      <c r="G7850" s="25">
        <v>12</v>
      </c>
      <c r="H7850" s="34">
        <v>12</v>
      </c>
      <c r="I7850" s="35">
        <v>24</v>
      </c>
    </row>
    <row r="7851" spans="1:9" ht="15.75" thickBot="1" x14ac:dyDescent="0.3">
      <c r="A7851" s="43" t="s">
        <v>16185</v>
      </c>
      <c r="B7851" s="21" t="s">
        <v>16184</v>
      </c>
      <c r="C7851" s="21" t="s">
        <v>22655</v>
      </c>
      <c r="D7851" s="31" t="s">
        <v>22681</v>
      </c>
      <c r="E7851" s="23" t="s">
        <v>22658</v>
      </c>
      <c r="F7851" s="24" t="s">
        <v>22657</v>
      </c>
      <c r="G7851" s="25">
        <v>16</v>
      </c>
      <c r="H7851" s="29"/>
      <c r="I7851" s="30"/>
    </row>
    <row r="7852" spans="1:9" ht="15.75" thickBot="1" x14ac:dyDescent="0.3">
      <c r="A7852" s="43" t="s">
        <v>16183</v>
      </c>
      <c r="B7852" s="21" t="s">
        <v>16184</v>
      </c>
      <c r="C7852" s="21" t="s">
        <v>22655</v>
      </c>
      <c r="D7852" s="31" t="s">
        <v>22681</v>
      </c>
      <c r="E7852" s="23" t="s">
        <v>22661</v>
      </c>
      <c r="F7852" s="24" t="s">
        <v>22657</v>
      </c>
      <c r="G7852" s="25">
        <v>29</v>
      </c>
      <c r="H7852" s="26"/>
      <c r="I7852" s="27"/>
    </row>
    <row r="7853" spans="1:9" ht="15.75" thickBot="1" x14ac:dyDescent="0.3">
      <c r="A7853" s="43" t="s">
        <v>16186</v>
      </c>
      <c r="B7853" s="21" t="s">
        <v>16187</v>
      </c>
      <c r="C7853" s="21" t="s">
        <v>22655</v>
      </c>
      <c r="D7853" s="31" t="s">
        <v>22669</v>
      </c>
      <c r="E7853" s="23" t="s">
        <v>22661</v>
      </c>
      <c r="F7853" s="24" t="s">
        <v>22657</v>
      </c>
      <c r="G7853" s="25">
        <v>12</v>
      </c>
      <c r="H7853" s="29"/>
      <c r="I7853" s="30"/>
    </row>
    <row r="7854" spans="1:9" ht="15.75" thickBot="1" x14ac:dyDescent="0.3">
      <c r="A7854" s="43" t="s">
        <v>16188</v>
      </c>
      <c r="B7854" s="21" t="s">
        <v>16189</v>
      </c>
      <c r="C7854" s="21" t="s">
        <v>22655</v>
      </c>
      <c r="D7854" s="31" t="s">
        <v>22660</v>
      </c>
      <c r="E7854" s="23" t="s">
        <v>22661</v>
      </c>
      <c r="F7854" s="24" t="s">
        <v>22657</v>
      </c>
      <c r="G7854" s="25">
        <v>4</v>
      </c>
      <c r="H7854" s="26"/>
      <c r="I7854" s="27"/>
    </row>
    <row r="7855" spans="1:9" ht="15.75" thickBot="1" x14ac:dyDescent="0.3">
      <c r="A7855" s="43" t="s">
        <v>16190</v>
      </c>
      <c r="B7855" s="21" t="s">
        <v>16191</v>
      </c>
      <c r="C7855" s="21" t="s">
        <v>22655</v>
      </c>
      <c r="D7855" s="22">
        <v>46046</v>
      </c>
      <c r="E7855" s="23" t="s">
        <v>22656</v>
      </c>
      <c r="F7855" s="24" t="s">
        <v>22657</v>
      </c>
      <c r="G7855" s="25">
        <v>8</v>
      </c>
      <c r="H7855" s="29"/>
      <c r="I7855" s="30"/>
    </row>
    <row r="7856" spans="1:9" ht="15.75" thickBot="1" x14ac:dyDescent="0.3">
      <c r="A7856" s="43" t="s">
        <v>16192</v>
      </c>
      <c r="B7856" s="21" t="s">
        <v>16193</v>
      </c>
      <c r="C7856" s="21" t="s">
        <v>22655</v>
      </c>
      <c r="D7856" s="31" t="s">
        <v>22660</v>
      </c>
      <c r="E7856" s="23" t="s">
        <v>22656</v>
      </c>
      <c r="F7856" s="24" t="s">
        <v>22657</v>
      </c>
      <c r="G7856" s="25">
        <v>8</v>
      </c>
      <c r="H7856" s="26"/>
      <c r="I7856" s="27"/>
    </row>
    <row r="7857" spans="1:9" ht="15.75" thickBot="1" x14ac:dyDescent="0.3">
      <c r="A7857" s="43" t="s">
        <v>16194</v>
      </c>
      <c r="B7857" s="21" t="s">
        <v>16195</v>
      </c>
      <c r="C7857" s="21" t="s">
        <v>22655</v>
      </c>
      <c r="D7857" s="22">
        <v>46034</v>
      </c>
      <c r="E7857" s="23" t="s">
        <v>22656</v>
      </c>
      <c r="F7857" s="24" t="s">
        <v>22657</v>
      </c>
      <c r="G7857" s="25">
        <v>4</v>
      </c>
      <c r="H7857" s="29"/>
      <c r="I7857" s="30"/>
    </row>
    <row r="7858" spans="1:9" ht="15.75" thickBot="1" x14ac:dyDescent="0.3">
      <c r="A7858" s="43" t="s">
        <v>16196</v>
      </c>
      <c r="B7858" s="21" t="s">
        <v>16197</v>
      </c>
      <c r="C7858" s="21" t="s">
        <v>22655</v>
      </c>
      <c r="D7858" s="22">
        <v>46034</v>
      </c>
      <c r="E7858" s="23" t="s">
        <v>22656</v>
      </c>
      <c r="F7858" s="24" t="s">
        <v>22657</v>
      </c>
      <c r="G7858" s="25">
        <v>4</v>
      </c>
      <c r="H7858" s="26"/>
      <c r="I7858" s="27"/>
    </row>
    <row r="7859" spans="1:9" ht="15.75" thickBot="1" x14ac:dyDescent="0.3">
      <c r="A7859" s="43" t="s">
        <v>16198</v>
      </c>
      <c r="B7859" s="21" t="s">
        <v>16199</v>
      </c>
      <c r="C7859" s="21" t="s">
        <v>22682</v>
      </c>
      <c r="D7859" s="22">
        <v>46034</v>
      </c>
      <c r="E7859" s="23" t="s">
        <v>22658</v>
      </c>
      <c r="F7859" s="24" t="s">
        <v>22657</v>
      </c>
      <c r="G7859" s="25">
        <v>4</v>
      </c>
      <c r="H7859" s="29"/>
      <c r="I7859" s="30"/>
    </row>
    <row r="7860" spans="1:9" ht="15.75" thickBot="1" x14ac:dyDescent="0.3">
      <c r="A7860" s="43" t="s">
        <v>16200</v>
      </c>
      <c r="B7860" s="21" t="s">
        <v>16201</v>
      </c>
      <c r="C7860" s="21" t="s">
        <v>22682</v>
      </c>
      <c r="D7860" s="22">
        <v>46034</v>
      </c>
      <c r="E7860" s="23" t="s">
        <v>22658</v>
      </c>
      <c r="F7860" s="24" t="s">
        <v>22657</v>
      </c>
      <c r="G7860" s="25">
        <v>4</v>
      </c>
      <c r="H7860" s="26"/>
      <c r="I7860" s="27"/>
    </row>
    <row r="7861" spans="1:9" ht="15.75" thickBot="1" x14ac:dyDescent="0.3">
      <c r="A7861" s="43" t="s">
        <v>16202</v>
      </c>
      <c r="B7861" s="21" t="s">
        <v>16203</v>
      </c>
      <c r="C7861" s="21" t="s">
        <v>22663</v>
      </c>
      <c r="D7861" s="31">
        <v>1</v>
      </c>
      <c r="E7861" s="23" t="s">
        <v>22656</v>
      </c>
      <c r="F7861" s="24" t="s">
        <v>22657</v>
      </c>
      <c r="G7861" s="25">
        <v>2</v>
      </c>
      <c r="H7861" s="29"/>
      <c r="I7861" s="30"/>
    </row>
    <row r="7862" spans="1:9" ht="15.75" thickBot="1" x14ac:dyDescent="0.3">
      <c r="A7862" s="43" t="s">
        <v>16204</v>
      </c>
      <c r="B7862" s="21" t="s">
        <v>16205</v>
      </c>
      <c r="C7862" s="21" t="s">
        <v>22698</v>
      </c>
      <c r="D7862" s="31">
        <v>1</v>
      </c>
      <c r="E7862" s="23" t="s">
        <v>22658</v>
      </c>
      <c r="F7862" s="24" t="s">
        <v>22657</v>
      </c>
      <c r="G7862" s="25">
        <v>1</v>
      </c>
      <c r="H7862" s="26"/>
      <c r="I7862" s="27"/>
    </row>
    <row r="7863" spans="1:9" ht="15.75" thickBot="1" x14ac:dyDescent="0.3">
      <c r="A7863" s="43" t="s">
        <v>16206</v>
      </c>
      <c r="B7863" s="21" t="s">
        <v>16207</v>
      </c>
      <c r="C7863" s="21" t="s">
        <v>22682</v>
      </c>
      <c r="D7863" s="22">
        <v>46034</v>
      </c>
      <c r="E7863" s="23" t="s">
        <v>22656</v>
      </c>
      <c r="F7863" s="24" t="s">
        <v>22657</v>
      </c>
      <c r="G7863" s="25">
        <v>4</v>
      </c>
      <c r="H7863" s="29"/>
      <c r="I7863" s="30"/>
    </row>
    <row r="7864" spans="1:9" ht="15.75" thickBot="1" x14ac:dyDescent="0.3">
      <c r="A7864" s="43" t="s">
        <v>16210</v>
      </c>
      <c r="B7864" s="21" t="s">
        <v>16211</v>
      </c>
      <c r="C7864" s="21" t="s">
        <v>22682</v>
      </c>
      <c r="D7864" s="22">
        <v>46034</v>
      </c>
      <c r="E7864" s="23" t="s">
        <v>22658</v>
      </c>
      <c r="F7864" s="24" t="s">
        <v>22657</v>
      </c>
      <c r="G7864" s="25">
        <v>4</v>
      </c>
      <c r="H7864" s="26"/>
      <c r="I7864" s="27"/>
    </row>
    <row r="7865" spans="1:9" ht="15.75" thickBot="1" x14ac:dyDescent="0.3">
      <c r="A7865" s="43" t="s">
        <v>16208</v>
      </c>
      <c r="B7865" s="21" t="s">
        <v>16209</v>
      </c>
      <c r="C7865" s="21" t="s">
        <v>22655</v>
      </c>
      <c r="D7865" s="22">
        <v>46046</v>
      </c>
      <c r="E7865" s="23" t="s">
        <v>22658</v>
      </c>
      <c r="F7865" s="24" t="s">
        <v>22657</v>
      </c>
      <c r="G7865" s="25">
        <v>4</v>
      </c>
      <c r="H7865" s="29"/>
      <c r="I7865" s="30"/>
    </row>
    <row r="7866" spans="1:9" ht="15.75" thickBot="1" x14ac:dyDescent="0.3">
      <c r="A7866" s="43" t="s">
        <v>16212</v>
      </c>
      <c r="B7866" s="21" t="s">
        <v>16213</v>
      </c>
      <c r="C7866" s="21" t="s">
        <v>22663</v>
      </c>
      <c r="D7866" s="31">
        <v>1</v>
      </c>
      <c r="E7866" s="23" t="s">
        <v>22658</v>
      </c>
      <c r="F7866" s="24" t="s">
        <v>22657</v>
      </c>
      <c r="G7866" s="25">
        <v>1</v>
      </c>
      <c r="H7866" s="26"/>
      <c r="I7866" s="27"/>
    </row>
    <row r="7867" spans="1:9" ht="15.75" thickBot="1" x14ac:dyDescent="0.3">
      <c r="A7867" s="43" t="s">
        <v>16214</v>
      </c>
      <c r="B7867" s="21" t="s">
        <v>16215</v>
      </c>
      <c r="C7867" s="21" t="s">
        <v>22655</v>
      </c>
      <c r="D7867" s="22">
        <v>46034</v>
      </c>
      <c r="E7867" s="23" t="s">
        <v>22656</v>
      </c>
      <c r="F7867" s="24" t="s">
        <v>22657</v>
      </c>
      <c r="G7867" s="25">
        <v>4</v>
      </c>
      <c r="H7867" s="29"/>
      <c r="I7867" s="30"/>
    </row>
    <row r="7868" spans="1:9" ht="15.75" thickBot="1" x14ac:dyDescent="0.3">
      <c r="A7868" s="43" t="s">
        <v>16216</v>
      </c>
      <c r="B7868" s="21" t="s">
        <v>16217</v>
      </c>
      <c r="C7868" s="21" t="s">
        <v>22655</v>
      </c>
      <c r="D7868" s="22">
        <v>46034</v>
      </c>
      <c r="E7868" s="23" t="s">
        <v>22656</v>
      </c>
      <c r="F7868" s="24" t="s">
        <v>22657</v>
      </c>
      <c r="G7868" s="25">
        <v>4</v>
      </c>
      <c r="H7868" s="26"/>
      <c r="I7868" s="27"/>
    </row>
    <row r="7869" spans="1:9" ht="15.75" thickBot="1" x14ac:dyDescent="0.3">
      <c r="A7869" s="43" t="s">
        <v>16218</v>
      </c>
      <c r="B7869" s="21" t="s">
        <v>16219</v>
      </c>
      <c r="C7869" s="21" t="s">
        <v>22655</v>
      </c>
      <c r="D7869" s="22">
        <v>46034</v>
      </c>
      <c r="E7869" s="23" t="s">
        <v>22656</v>
      </c>
      <c r="F7869" s="24" t="s">
        <v>22657</v>
      </c>
      <c r="G7869" s="25">
        <v>4</v>
      </c>
      <c r="H7869" s="29"/>
      <c r="I7869" s="30"/>
    </row>
    <row r="7870" spans="1:9" ht="15.75" thickBot="1" x14ac:dyDescent="0.3">
      <c r="A7870" s="43" t="s">
        <v>16220</v>
      </c>
      <c r="B7870" s="21" t="s">
        <v>16221</v>
      </c>
      <c r="C7870" s="21" t="s">
        <v>22655</v>
      </c>
      <c r="D7870" s="22">
        <v>46032</v>
      </c>
      <c r="E7870" s="23" t="s">
        <v>22656</v>
      </c>
      <c r="F7870" s="24" t="s">
        <v>22657</v>
      </c>
      <c r="G7870" s="25">
        <v>2</v>
      </c>
      <c r="H7870" s="34">
        <v>2</v>
      </c>
      <c r="I7870" s="35">
        <v>3</v>
      </c>
    </row>
    <row r="7871" spans="1:9" ht="15.75" thickBot="1" x14ac:dyDescent="0.3">
      <c r="A7871" s="43" t="s">
        <v>16222</v>
      </c>
      <c r="B7871" s="21" t="s">
        <v>16223</v>
      </c>
      <c r="C7871" s="21" t="s">
        <v>22655</v>
      </c>
      <c r="D7871" s="31" t="s">
        <v>22673</v>
      </c>
      <c r="E7871" s="23" t="s">
        <v>22656</v>
      </c>
      <c r="F7871" s="24" t="s">
        <v>22657</v>
      </c>
      <c r="G7871" s="25">
        <v>2</v>
      </c>
      <c r="H7871" s="29"/>
      <c r="I7871" s="30"/>
    </row>
    <row r="7872" spans="1:9" ht="15.75" thickBot="1" x14ac:dyDescent="0.3">
      <c r="A7872" s="43" t="s">
        <v>16224</v>
      </c>
      <c r="B7872" s="21" t="s">
        <v>16225</v>
      </c>
      <c r="C7872" s="21" t="s">
        <v>22655</v>
      </c>
      <c r="D7872" s="31" t="s">
        <v>22683</v>
      </c>
      <c r="E7872" s="23" t="s">
        <v>22661</v>
      </c>
      <c r="F7872" s="24" t="s">
        <v>22657</v>
      </c>
      <c r="G7872" s="25">
        <v>6</v>
      </c>
      <c r="H7872" s="34">
        <v>6</v>
      </c>
      <c r="I7872" s="35">
        <v>12</v>
      </c>
    </row>
    <row r="7873" spans="1:9" ht="15.75" thickBot="1" x14ac:dyDescent="0.3">
      <c r="A7873" s="43" t="s">
        <v>16226</v>
      </c>
      <c r="B7873" s="21" t="s">
        <v>16227</v>
      </c>
      <c r="C7873" s="21" t="s">
        <v>22663</v>
      </c>
      <c r="D7873" s="31">
        <v>1</v>
      </c>
      <c r="E7873" s="23" t="s">
        <v>22656</v>
      </c>
      <c r="F7873" s="24" t="s">
        <v>22657</v>
      </c>
      <c r="G7873" s="25">
        <v>3</v>
      </c>
      <c r="H7873" s="29"/>
      <c r="I7873" s="30"/>
    </row>
    <row r="7874" spans="1:9" ht="15.75" thickBot="1" x14ac:dyDescent="0.3">
      <c r="A7874" s="43" t="s">
        <v>16228</v>
      </c>
      <c r="B7874" s="21" t="s">
        <v>16229</v>
      </c>
      <c r="C7874" s="21" t="s">
        <v>22663</v>
      </c>
      <c r="D7874" s="31">
        <v>1</v>
      </c>
      <c r="E7874" s="23" t="s">
        <v>22665</v>
      </c>
      <c r="F7874" s="24" t="s">
        <v>22657</v>
      </c>
      <c r="G7874" s="25">
        <v>8</v>
      </c>
      <c r="H7874" s="26"/>
      <c r="I7874" s="27"/>
    </row>
    <row r="7875" spans="1:9" ht="15.75" thickBot="1" x14ac:dyDescent="0.3">
      <c r="A7875" s="43" t="s">
        <v>1343</v>
      </c>
      <c r="B7875" s="21" t="s">
        <v>16230</v>
      </c>
      <c r="C7875" s="21" t="s">
        <v>22727</v>
      </c>
      <c r="D7875" s="31">
        <v>1</v>
      </c>
      <c r="E7875" s="23" t="s">
        <v>22656</v>
      </c>
      <c r="F7875" s="24" t="s">
        <v>22657</v>
      </c>
      <c r="G7875" s="25">
        <v>2</v>
      </c>
      <c r="H7875" s="29"/>
      <c r="I7875" s="30"/>
    </row>
    <row r="7876" spans="1:9" ht="15.75" thickBot="1" x14ac:dyDescent="0.3">
      <c r="A7876" s="43" t="s">
        <v>823</v>
      </c>
      <c r="B7876" s="21" t="s">
        <v>824</v>
      </c>
      <c r="C7876" s="21" t="s">
        <v>22698</v>
      </c>
      <c r="D7876" s="31">
        <v>1</v>
      </c>
      <c r="E7876" s="23" t="s">
        <v>22661</v>
      </c>
      <c r="F7876" s="24" t="s">
        <v>22657</v>
      </c>
      <c r="G7876" s="25">
        <v>8</v>
      </c>
      <c r="H7876" s="34">
        <v>8</v>
      </c>
      <c r="I7876" s="35">
        <v>12</v>
      </c>
    </row>
    <row r="7877" spans="1:9" ht="15.75" thickBot="1" x14ac:dyDescent="0.3">
      <c r="A7877" s="43" t="s">
        <v>16231</v>
      </c>
      <c r="B7877" s="21" t="s">
        <v>16232</v>
      </c>
      <c r="C7877" s="21" t="s">
        <v>22663</v>
      </c>
      <c r="D7877" s="31">
        <v>1</v>
      </c>
      <c r="E7877" s="23" t="s">
        <v>22658</v>
      </c>
      <c r="F7877" s="28" t="s">
        <v>22659</v>
      </c>
      <c r="G7877" s="25">
        <v>1</v>
      </c>
      <c r="H7877" s="29"/>
      <c r="I7877" s="30"/>
    </row>
    <row r="7878" spans="1:9" ht="15.75" thickBot="1" x14ac:dyDescent="0.3">
      <c r="A7878" s="43" t="s">
        <v>16233</v>
      </c>
      <c r="B7878" s="21" t="s">
        <v>16234</v>
      </c>
      <c r="C7878" s="21" t="s">
        <v>22655</v>
      </c>
      <c r="D7878" s="31" t="s">
        <v>22844</v>
      </c>
      <c r="E7878" s="23" t="s">
        <v>22661</v>
      </c>
      <c r="F7878" s="24" t="s">
        <v>22657</v>
      </c>
      <c r="G7878" s="25">
        <v>12</v>
      </c>
      <c r="H7878" s="26"/>
      <c r="I7878" s="27"/>
    </row>
    <row r="7879" spans="1:9" ht="15.75" thickBot="1" x14ac:dyDescent="0.3">
      <c r="A7879" s="43" t="s">
        <v>1896</v>
      </c>
      <c r="B7879" s="21" t="s">
        <v>16235</v>
      </c>
      <c r="C7879" s="21" t="s">
        <v>22655</v>
      </c>
      <c r="D7879" s="22">
        <v>46034</v>
      </c>
      <c r="E7879" s="23" t="s">
        <v>22661</v>
      </c>
      <c r="F7879" s="24" t="s">
        <v>22657</v>
      </c>
      <c r="G7879" s="25">
        <v>12</v>
      </c>
      <c r="H7879" s="32">
        <v>12</v>
      </c>
      <c r="I7879" s="33">
        <v>24</v>
      </c>
    </row>
    <row r="7880" spans="1:9" ht="15.75" thickBot="1" x14ac:dyDescent="0.3">
      <c r="A7880" s="43" t="s">
        <v>16236</v>
      </c>
      <c r="B7880" s="21" t="s">
        <v>16237</v>
      </c>
      <c r="C7880" s="21" t="s">
        <v>22667</v>
      </c>
      <c r="D7880" s="31" t="s">
        <v>22713</v>
      </c>
      <c r="E7880" s="23" t="s">
        <v>22656</v>
      </c>
      <c r="F7880" s="24" t="s">
        <v>22657</v>
      </c>
      <c r="G7880" s="25">
        <v>4</v>
      </c>
      <c r="H7880" s="26"/>
      <c r="I7880" s="27"/>
    </row>
    <row r="7881" spans="1:9" ht="15.75" thickBot="1" x14ac:dyDescent="0.3">
      <c r="A7881" s="43" t="s">
        <v>16238</v>
      </c>
      <c r="B7881" s="21" t="s">
        <v>16239</v>
      </c>
      <c r="C7881" s="21" t="s">
        <v>22655</v>
      </c>
      <c r="D7881" s="31" t="s">
        <v>22688</v>
      </c>
      <c r="E7881" s="23" t="s">
        <v>22656</v>
      </c>
      <c r="F7881" s="24" t="s">
        <v>22657</v>
      </c>
      <c r="G7881" s="25">
        <v>4</v>
      </c>
      <c r="H7881" s="29"/>
      <c r="I7881" s="30"/>
    </row>
    <row r="7882" spans="1:9" ht="15.75" thickBot="1" x14ac:dyDescent="0.3">
      <c r="A7882" s="43" t="s">
        <v>16240</v>
      </c>
      <c r="B7882" s="21" t="s">
        <v>16241</v>
      </c>
      <c r="C7882" s="21" t="s">
        <v>22858</v>
      </c>
      <c r="D7882" s="31" t="s">
        <v>22668</v>
      </c>
      <c r="E7882" s="23" t="s">
        <v>22656</v>
      </c>
      <c r="F7882" s="24" t="s">
        <v>22657</v>
      </c>
      <c r="G7882" s="25">
        <v>4</v>
      </c>
      <c r="H7882" s="26"/>
      <c r="I7882" s="27"/>
    </row>
    <row r="7883" spans="1:9" ht="15.75" thickBot="1" x14ac:dyDescent="0.3">
      <c r="A7883" s="43" t="s">
        <v>16242</v>
      </c>
      <c r="B7883" s="21" t="s">
        <v>16243</v>
      </c>
      <c r="C7883" s="21" t="s">
        <v>22667</v>
      </c>
      <c r="D7883" s="31" t="s">
        <v>22713</v>
      </c>
      <c r="E7883" s="23" t="s">
        <v>22656</v>
      </c>
      <c r="F7883" s="24" t="s">
        <v>22657</v>
      </c>
      <c r="G7883" s="25">
        <v>4</v>
      </c>
      <c r="H7883" s="29"/>
      <c r="I7883" s="30"/>
    </row>
    <row r="7884" spans="1:9" ht="15.75" thickBot="1" x14ac:dyDescent="0.3">
      <c r="A7884" s="43" t="s">
        <v>16244</v>
      </c>
      <c r="B7884" s="21" t="s">
        <v>16245</v>
      </c>
      <c r="C7884" s="21" t="s">
        <v>22655</v>
      </c>
      <c r="D7884" s="31" t="s">
        <v>22688</v>
      </c>
      <c r="E7884" s="23" t="s">
        <v>22661</v>
      </c>
      <c r="F7884" s="24" t="s">
        <v>22657</v>
      </c>
      <c r="G7884" s="25">
        <v>8</v>
      </c>
      <c r="H7884" s="26"/>
      <c r="I7884" s="27"/>
    </row>
    <row r="7885" spans="1:9" ht="15.75" thickBot="1" x14ac:dyDescent="0.3">
      <c r="A7885" s="43" t="s">
        <v>16246</v>
      </c>
      <c r="B7885" s="21" t="s">
        <v>16247</v>
      </c>
      <c r="C7885" s="21" t="s">
        <v>22667</v>
      </c>
      <c r="D7885" s="31" t="s">
        <v>22781</v>
      </c>
      <c r="E7885" s="23" t="s">
        <v>22656</v>
      </c>
      <c r="F7885" s="24" t="s">
        <v>22657</v>
      </c>
      <c r="G7885" s="25">
        <v>7</v>
      </c>
      <c r="H7885" s="29"/>
      <c r="I7885" s="30"/>
    </row>
    <row r="7886" spans="1:9" ht="15.75" thickBot="1" x14ac:dyDescent="0.3">
      <c r="A7886" s="43" t="s">
        <v>16248</v>
      </c>
      <c r="B7886" s="21" t="s">
        <v>16249</v>
      </c>
      <c r="C7886" s="21" t="s">
        <v>22655</v>
      </c>
      <c r="D7886" s="31" t="s">
        <v>22822</v>
      </c>
      <c r="E7886" s="23" t="s">
        <v>22661</v>
      </c>
      <c r="F7886" s="24" t="s">
        <v>22657</v>
      </c>
      <c r="G7886" s="25">
        <v>11</v>
      </c>
      <c r="H7886" s="26"/>
      <c r="I7886" s="27"/>
    </row>
    <row r="7887" spans="1:9" ht="15.75" thickBot="1" x14ac:dyDescent="0.3">
      <c r="A7887" s="43" t="s">
        <v>16250</v>
      </c>
      <c r="B7887" s="21" t="s">
        <v>16251</v>
      </c>
      <c r="C7887" s="21" t="s">
        <v>22667</v>
      </c>
      <c r="D7887" s="31" t="s">
        <v>22713</v>
      </c>
      <c r="E7887" s="23" t="s">
        <v>22656</v>
      </c>
      <c r="F7887" s="24" t="s">
        <v>22657</v>
      </c>
      <c r="G7887" s="25">
        <v>4</v>
      </c>
      <c r="H7887" s="29"/>
      <c r="I7887" s="30"/>
    </row>
    <row r="7888" spans="1:9" ht="15.75" thickBot="1" x14ac:dyDescent="0.3">
      <c r="A7888" s="43" t="s">
        <v>16252</v>
      </c>
      <c r="B7888" s="21" t="s">
        <v>16253</v>
      </c>
      <c r="C7888" s="21" t="s">
        <v>22667</v>
      </c>
      <c r="D7888" s="31" t="s">
        <v>22713</v>
      </c>
      <c r="E7888" s="23" t="s">
        <v>22656</v>
      </c>
      <c r="F7888" s="24" t="s">
        <v>22657</v>
      </c>
      <c r="G7888" s="25">
        <v>4</v>
      </c>
      <c r="H7888" s="26"/>
      <c r="I7888" s="27"/>
    </row>
    <row r="7889" spans="1:9" ht="15.75" thickBot="1" x14ac:dyDescent="0.3">
      <c r="A7889" s="43" t="s">
        <v>16254</v>
      </c>
      <c r="B7889" s="21" t="s">
        <v>16255</v>
      </c>
      <c r="C7889" s="21" t="s">
        <v>22667</v>
      </c>
      <c r="D7889" s="31" t="s">
        <v>22713</v>
      </c>
      <c r="E7889" s="23" t="s">
        <v>22656</v>
      </c>
      <c r="F7889" s="24" t="s">
        <v>22657</v>
      </c>
      <c r="G7889" s="25">
        <v>4</v>
      </c>
      <c r="H7889" s="29"/>
      <c r="I7889" s="30"/>
    </row>
    <row r="7890" spans="1:9" ht="15.75" thickBot="1" x14ac:dyDescent="0.3">
      <c r="A7890" s="43" t="s">
        <v>16256</v>
      </c>
      <c r="B7890" s="21" t="s">
        <v>16257</v>
      </c>
      <c r="C7890" s="21" t="s">
        <v>22667</v>
      </c>
      <c r="D7890" s="31" t="s">
        <v>22713</v>
      </c>
      <c r="E7890" s="23" t="s">
        <v>22656</v>
      </c>
      <c r="F7890" s="24" t="s">
        <v>22657</v>
      </c>
      <c r="G7890" s="25">
        <v>4</v>
      </c>
      <c r="H7890" s="26"/>
      <c r="I7890" s="27"/>
    </row>
    <row r="7891" spans="1:9" ht="15.75" thickBot="1" x14ac:dyDescent="0.3">
      <c r="A7891" s="43" t="s">
        <v>16260</v>
      </c>
      <c r="B7891" s="21" t="s">
        <v>16261</v>
      </c>
      <c r="C7891" s="21" t="s">
        <v>22655</v>
      </c>
      <c r="D7891" s="31" t="s">
        <v>22688</v>
      </c>
      <c r="E7891" s="23" t="s">
        <v>22661</v>
      </c>
      <c r="F7891" s="24" t="s">
        <v>22657</v>
      </c>
      <c r="G7891" s="25">
        <v>14</v>
      </c>
      <c r="H7891" s="29"/>
      <c r="I7891" s="30"/>
    </row>
    <row r="7892" spans="1:9" ht="15.75" thickBot="1" x14ac:dyDescent="0.3">
      <c r="A7892" s="43" t="s">
        <v>16258</v>
      </c>
      <c r="B7892" s="21" t="s">
        <v>16259</v>
      </c>
      <c r="C7892" s="21" t="s">
        <v>22667</v>
      </c>
      <c r="D7892" s="31" t="s">
        <v>22781</v>
      </c>
      <c r="E7892" s="23" t="s">
        <v>22656</v>
      </c>
      <c r="F7892" s="24" t="s">
        <v>22657</v>
      </c>
      <c r="G7892" s="25">
        <v>4</v>
      </c>
      <c r="H7892" s="26"/>
      <c r="I7892" s="27"/>
    </row>
    <row r="7893" spans="1:9" ht="15.75" thickBot="1" x14ac:dyDescent="0.3">
      <c r="A7893" s="43" t="s">
        <v>16262</v>
      </c>
      <c r="B7893" s="21" t="s">
        <v>16263</v>
      </c>
      <c r="C7893" s="21" t="s">
        <v>22667</v>
      </c>
      <c r="D7893" s="31" t="s">
        <v>22668</v>
      </c>
      <c r="E7893" s="23" t="s">
        <v>22656</v>
      </c>
      <c r="F7893" s="24" t="s">
        <v>22657</v>
      </c>
      <c r="G7893" s="25">
        <v>4</v>
      </c>
      <c r="H7893" s="29"/>
      <c r="I7893" s="30"/>
    </row>
    <row r="7894" spans="1:9" ht="15.75" thickBot="1" x14ac:dyDescent="0.3">
      <c r="A7894" s="43" t="s">
        <v>1199</v>
      </c>
      <c r="B7894" s="21" t="s">
        <v>16264</v>
      </c>
      <c r="C7894" s="21" t="s">
        <v>22655</v>
      </c>
      <c r="D7894" s="22">
        <v>46038</v>
      </c>
      <c r="E7894" s="23" t="s">
        <v>22665</v>
      </c>
      <c r="F7894" s="24" t="s">
        <v>22657</v>
      </c>
      <c r="G7894" s="25">
        <v>12</v>
      </c>
      <c r="H7894" s="34">
        <v>12</v>
      </c>
      <c r="I7894" s="35">
        <v>20</v>
      </c>
    </row>
    <row r="7895" spans="1:9" ht="15.75" thickBot="1" x14ac:dyDescent="0.3">
      <c r="A7895" s="43" t="s">
        <v>16265</v>
      </c>
      <c r="B7895" s="21" t="s">
        <v>16266</v>
      </c>
      <c r="C7895" s="21" t="s">
        <v>22655</v>
      </c>
      <c r="D7895" s="22">
        <v>46042</v>
      </c>
      <c r="E7895" s="23" t="s">
        <v>22658</v>
      </c>
      <c r="F7895" s="28" t="s">
        <v>22659</v>
      </c>
      <c r="G7895" s="25">
        <v>1</v>
      </c>
      <c r="H7895" s="29"/>
      <c r="I7895" s="30"/>
    </row>
    <row r="7896" spans="1:9" ht="15.75" thickBot="1" x14ac:dyDescent="0.3">
      <c r="A7896" s="43" t="s">
        <v>16267</v>
      </c>
      <c r="B7896" s="21" t="s">
        <v>16268</v>
      </c>
      <c r="C7896" s="21" t="s">
        <v>22787</v>
      </c>
      <c r="D7896" s="22">
        <v>46033</v>
      </c>
      <c r="E7896" s="23" t="s">
        <v>22656</v>
      </c>
      <c r="F7896" s="24" t="s">
        <v>22657</v>
      </c>
      <c r="G7896" s="25">
        <v>4</v>
      </c>
      <c r="H7896" s="26"/>
      <c r="I7896" s="27"/>
    </row>
    <row r="7897" spans="1:9" ht="15.75" thickBot="1" x14ac:dyDescent="0.3">
      <c r="A7897" s="43" t="s">
        <v>16270</v>
      </c>
      <c r="B7897" s="21" t="s">
        <v>16271</v>
      </c>
      <c r="C7897" s="21" t="s">
        <v>22655</v>
      </c>
      <c r="D7897" s="31" t="s">
        <v>22688</v>
      </c>
      <c r="E7897" s="23" t="s">
        <v>22656</v>
      </c>
      <c r="F7897" s="24" t="s">
        <v>22657</v>
      </c>
      <c r="G7897" s="25">
        <v>6</v>
      </c>
      <c r="H7897" s="29"/>
      <c r="I7897" s="30"/>
    </row>
    <row r="7898" spans="1:9" ht="15.75" thickBot="1" x14ac:dyDescent="0.3">
      <c r="A7898" s="43" t="s">
        <v>16272</v>
      </c>
      <c r="B7898" s="21" t="s">
        <v>16271</v>
      </c>
      <c r="C7898" s="21" t="s">
        <v>22655</v>
      </c>
      <c r="D7898" s="31" t="s">
        <v>22688</v>
      </c>
      <c r="E7898" s="23" t="s">
        <v>22656</v>
      </c>
      <c r="F7898" s="24" t="s">
        <v>22657</v>
      </c>
      <c r="G7898" s="25">
        <v>9</v>
      </c>
      <c r="H7898" s="26"/>
      <c r="I7898" s="27"/>
    </row>
    <row r="7899" spans="1:9" ht="15.75" thickBot="1" x14ac:dyDescent="0.3">
      <c r="A7899" s="43" t="s">
        <v>16273</v>
      </c>
      <c r="B7899" s="21" t="s">
        <v>16274</v>
      </c>
      <c r="C7899" s="21" t="s">
        <v>22682</v>
      </c>
      <c r="D7899" s="22">
        <v>46034</v>
      </c>
      <c r="E7899" s="23" t="s">
        <v>22658</v>
      </c>
      <c r="F7899" s="24" t="s">
        <v>22657</v>
      </c>
      <c r="G7899" s="25">
        <v>4</v>
      </c>
      <c r="H7899" s="29"/>
      <c r="I7899" s="30"/>
    </row>
    <row r="7900" spans="1:9" ht="15.75" thickBot="1" x14ac:dyDescent="0.3">
      <c r="A7900" s="43" t="s">
        <v>16275</v>
      </c>
      <c r="B7900" s="21" t="s">
        <v>16276</v>
      </c>
      <c r="C7900" s="21" t="s">
        <v>22655</v>
      </c>
      <c r="D7900" s="22">
        <v>46046</v>
      </c>
      <c r="E7900" s="23" t="s">
        <v>22658</v>
      </c>
      <c r="F7900" s="24" t="s">
        <v>22657</v>
      </c>
      <c r="G7900" s="25">
        <v>8</v>
      </c>
      <c r="H7900" s="26"/>
      <c r="I7900" s="27"/>
    </row>
    <row r="7901" spans="1:9" ht="15.75" thickBot="1" x14ac:dyDescent="0.3">
      <c r="A7901" s="43" t="s">
        <v>16277</v>
      </c>
      <c r="B7901" s="21" t="s">
        <v>16278</v>
      </c>
      <c r="C7901" s="21" t="s">
        <v>22655</v>
      </c>
      <c r="D7901" s="22">
        <v>46046</v>
      </c>
      <c r="E7901" s="23" t="s">
        <v>22661</v>
      </c>
      <c r="F7901" s="24" t="s">
        <v>22657</v>
      </c>
      <c r="G7901" s="25">
        <v>8</v>
      </c>
      <c r="H7901" s="29"/>
      <c r="I7901" s="30"/>
    </row>
    <row r="7902" spans="1:9" ht="15.75" thickBot="1" x14ac:dyDescent="0.3">
      <c r="A7902" s="43" t="s">
        <v>22617</v>
      </c>
      <c r="B7902" s="21" t="s">
        <v>22618</v>
      </c>
      <c r="C7902" s="36" t="e">
        <v>#N/A</v>
      </c>
      <c r="D7902" s="37" t="e">
        <v>#N/A</v>
      </c>
      <c r="E7902" s="23" t="e">
        <v>#N/A</v>
      </c>
      <c r="F7902" s="24" t="s">
        <v>22657</v>
      </c>
      <c r="G7902" s="25" t="e">
        <v>#N/A</v>
      </c>
      <c r="H7902" s="26"/>
      <c r="I7902" s="27"/>
    </row>
    <row r="7903" spans="1:9" ht="15.75" thickBot="1" x14ac:dyDescent="0.3">
      <c r="A7903" s="43" t="s">
        <v>921</v>
      </c>
      <c r="B7903" s="21" t="s">
        <v>922</v>
      </c>
      <c r="C7903" s="21" t="s">
        <v>22655</v>
      </c>
      <c r="D7903" s="22">
        <v>46034</v>
      </c>
      <c r="E7903" s="23" t="s">
        <v>22656</v>
      </c>
      <c r="F7903" s="24" t="s">
        <v>22657</v>
      </c>
      <c r="G7903" s="25">
        <v>4</v>
      </c>
      <c r="H7903" s="29"/>
      <c r="I7903" s="30"/>
    </row>
    <row r="7904" spans="1:9" ht="15.75" thickBot="1" x14ac:dyDescent="0.3">
      <c r="A7904" s="43" t="s">
        <v>16279</v>
      </c>
      <c r="B7904" s="21" t="s">
        <v>16280</v>
      </c>
      <c r="C7904" s="21" t="s">
        <v>22655</v>
      </c>
      <c r="D7904" s="22">
        <v>46046</v>
      </c>
      <c r="E7904" s="23" t="s">
        <v>22658</v>
      </c>
      <c r="F7904" s="24" t="s">
        <v>22657</v>
      </c>
      <c r="G7904" s="25">
        <v>8</v>
      </c>
      <c r="H7904" s="26"/>
      <c r="I7904" s="27"/>
    </row>
    <row r="7905" spans="1:9" ht="15.75" thickBot="1" x14ac:dyDescent="0.3">
      <c r="A7905" s="43" t="s">
        <v>16281</v>
      </c>
      <c r="B7905" s="21" t="s">
        <v>16282</v>
      </c>
      <c r="C7905" s="21" t="s">
        <v>22655</v>
      </c>
      <c r="D7905" s="22">
        <v>46034</v>
      </c>
      <c r="E7905" s="23" t="s">
        <v>22656</v>
      </c>
      <c r="F7905" s="24" t="s">
        <v>22657</v>
      </c>
      <c r="G7905" s="25">
        <v>4</v>
      </c>
      <c r="H7905" s="29"/>
      <c r="I7905" s="30"/>
    </row>
    <row r="7906" spans="1:9" ht="15.75" thickBot="1" x14ac:dyDescent="0.3">
      <c r="A7906" s="43" t="s">
        <v>16283</v>
      </c>
      <c r="B7906" s="21" t="s">
        <v>16284</v>
      </c>
      <c r="C7906" s="21" t="s">
        <v>22655</v>
      </c>
      <c r="D7906" s="22">
        <v>46042</v>
      </c>
      <c r="E7906" s="23" t="s">
        <v>22656</v>
      </c>
      <c r="F7906" s="24" t="s">
        <v>22657</v>
      </c>
      <c r="G7906" s="25">
        <v>7</v>
      </c>
      <c r="H7906" s="26"/>
      <c r="I7906" s="27"/>
    </row>
    <row r="7907" spans="1:9" ht="15.75" thickBot="1" x14ac:dyDescent="0.3">
      <c r="A7907" s="43" t="s">
        <v>16285</v>
      </c>
      <c r="B7907" s="21" t="s">
        <v>16286</v>
      </c>
      <c r="C7907" s="21" t="s">
        <v>22655</v>
      </c>
      <c r="D7907" s="22">
        <v>46034</v>
      </c>
      <c r="E7907" s="23" t="s">
        <v>22656</v>
      </c>
      <c r="F7907" s="24" t="s">
        <v>22657</v>
      </c>
      <c r="G7907" s="25">
        <v>4</v>
      </c>
      <c r="H7907" s="29"/>
      <c r="I7907" s="30"/>
    </row>
    <row r="7908" spans="1:9" ht="15.75" thickBot="1" x14ac:dyDescent="0.3">
      <c r="A7908" s="43" t="s">
        <v>16287</v>
      </c>
      <c r="B7908" s="21" t="s">
        <v>16288</v>
      </c>
      <c r="C7908" s="21" t="s">
        <v>22655</v>
      </c>
      <c r="D7908" s="22">
        <v>46034</v>
      </c>
      <c r="E7908" s="23" t="s">
        <v>22656</v>
      </c>
      <c r="F7908" s="24" t="s">
        <v>22657</v>
      </c>
      <c r="G7908" s="25">
        <v>4</v>
      </c>
      <c r="H7908" s="26"/>
      <c r="I7908" s="27"/>
    </row>
    <row r="7909" spans="1:9" ht="15.75" thickBot="1" x14ac:dyDescent="0.3">
      <c r="A7909" s="43" t="s">
        <v>16289</v>
      </c>
      <c r="B7909" s="21" t="s">
        <v>16290</v>
      </c>
      <c r="C7909" s="21" t="s">
        <v>22655</v>
      </c>
      <c r="D7909" s="22">
        <v>46046</v>
      </c>
      <c r="E7909" s="23" t="s">
        <v>22656</v>
      </c>
      <c r="F7909" s="24" t="s">
        <v>22657</v>
      </c>
      <c r="G7909" s="25">
        <v>8</v>
      </c>
      <c r="H7909" s="29"/>
      <c r="I7909" s="30"/>
    </row>
    <row r="7910" spans="1:9" ht="15.75" thickBot="1" x14ac:dyDescent="0.3">
      <c r="A7910" s="43" t="s">
        <v>16291</v>
      </c>
      <c r="B7910" s="21" t="s">
        <v>16292</v>
      </c>
      <c r="C7910" s="21" t="s">
        <v>22655</v>
      </c>
      <c r="D7910" s="22">
        <v>46042</v>
      </c>
      <c r="E7910" s="23" t="s">
        <v>22656</v>
      </c>
      <c r="F7910" s="24" t="s">
        <v>22657</v>
      </c>
      <c r="G7910" s="25">
        <v>7</v>
      </c>
      <c r="H7910" s="26"/>
      <c r="I7910" s="27"/>
    </row>
    <row r="7911" spans="1:9" ht="15.75" thickBot="1" x14ac:dyDescent="0.3">
      <c r="A7911" s="43" t="s">
        <v>16293</v>
      </c>
      <c r="B7911" s="21" t="s">
        <v>16294</v>
      </c>
      <c r="C7911" s="21" t="s">
        <v>22655</v>
      </c>
      <c r="D7911" s="22">
        <v>46042</v>
      </c>
      <c r="E7911" s="23" t="s">
        <v>22656</v>
      </c>
      <c r="F7911" s="24" t="s">
        <v>22657</v>
      </c>
      <c r="G7911" s="25">
        <v>7</v>
      </c>
      <c r="H7911" s="29"/>
      <c r="I7911" s="30"/>
    </row>
    <row r="7912" spans="1:9" ht="15.75" thickBot="1" x14ac:dyDescent="0.3">
      <c r="A7912" s="43" t="s">
        <v>16295</v>
      </c>
      <c r="B7912" s="21" t="s">
        <v>16296</v>
      </c>
      <c r="C7912" s="21" t="s">
        <v>22655</v>
      </c>
      <c r="D7912" s="22">
        <v>46034</v>
      </c>
      <c r="E7912" s="23" t="s">
        <v>22656</v>
      </c>
      <c r="F7912" s="24" t="s">
        <v>22657</v>
      </c>
      <c r="G7912" s="25">
        <v>4</v>
      </c>
      <c r="H7912" s="26"/>
      <c r="I7912" s="27"/>
    </row>
    <row r="7913" spans="1:9" ht="15.75" thickBot="1" x14ac:dyDescent="0.3">
      <c r="A7913" s="43" t="s">
        <v>16297</v>
      </c>
      <c r="B7913" s="21" t="s">
        <v>16298</v>
      </c>
      <c r="C7913" s="21" t="s">
        <v>22655</v>
      </c>
      <c r="D7913" s="22">
        <v>46042</v>
      </c>
      <c r="E7913" s="23" t="s">
        <v>22658</v>
      </c>
      <c r="F7913" s="24" t="s">
        <v>22657</v>
      </c>
      <c r="G7913" s="25">
        <v>7</v>
      </c>
      <c r="H7913" s="29"/>
      <c r="I7913" s="30"/>
    </row>
    <row r="7914" spans="1:9" ht="15.75" thickBot="1" x14ac:dyDescent="0.3">
      <c r="A7914" s="43" t="s">
        <v>1565</v>
      </c>
      <c r="B7914" s="21" t="s">
        <v>16299</v>
      </c>
      <c r="C7914" s="21" t="s">
        <v>22655</v>
      </c>
      <c r="D7914" s="22">
        <v>46032</v>
      </c>
      <c r="E7914" s="23" t="s">
        <v>22661</v>
      </c>
      <c r="F7914" s="24" t="s">
        <v>22657</v>
      </c>
      <c r="G7914" s="25">
        <v>12</v>
      </c>
      <c r="H7914" s="34">
        <v>12</v>
      </c>
      <c r="I7914" s="35">
        <v>24</v>
      </c>
    </row>
    <row r="7915" spans="1:9" ht="15.75" thickBot="1" x14ac:dyDescent="0.3">
      <c r="A7915" s="43" t="s">
        <v>16300</v>
      </c>
      <c r="B7915" s="21" t="s">
        <v>16301</v>
      </c>
      <c r="C7915" s="21" t="s">
        <v>22682</v>
      </c>
      <c r="D7915" s="22">
        <v>46034</v>
      </c>
      <c r="E7915" s="23" t="s">
        <v>22658</v>
      </c>
      <c r="F7915" s="24" t="s">
        <v>22657</v>
      </c>
      <c r="G7915" s="25">
        <v>4</v>
      </c>
      <c r="H7915" s="29"/>
      <c r="I7915" s="30"/>
    </row>
    <row r="7916" spans="1:9" ht="15.75" thickBot="1" x14ac:dyDescent="0.3">
      <c r="A7916" s="43" t="s">
        <v>1227</v>
      </c>
      <c r="B7916" s="21" t="s">
        <v>1228</v>
      </c>
      <c r="C7916" s="21" t="s">
        <v>22655</v>
      </c>
      <c r="D7916" s="31" t="s">
        <v>22669</v>
      </c>
      <c r="E7916" s="23" t="s">
        <v>22662</v>
      </c>
      <c r="F7916" s="24" t="s">
        <v>22657</v>
      </c>
      <c r="G7916" s="25">
        <v>180</v>
      </c>
      <c r="H7916" s="34">
        <v>180</v>
      </c>
      <c r="I7916" s="35">
        <v>240</v>
      </c>
    </row>
    <row r="7917" spans="1:9" ht="15.75" thickBot="1" x14ac:dyDescent="0.3">
      <c r="A7917" s="43" t="s">
        <v>16302</v>
      </c>
      <c r="B7917" s="21" t="s">
        <v>16303</v>
      </c>
      <c r="C7917" s="21" t="s">
        <v>22663</v>
      </c>
      <c r="D7917" s="31">
        <v>1</v>
      </c>
      <c r="E7917" s="23" t="s">
        <v>22656</v>
      </c>
      <c r="F7917" s="24" t="s">
        <v>22657</v>
      </c>
      <c r="G7917" s="25">
        <v>4</v>
      </c>
      <c r="H7917" s="29"/>
      <c r="I7917" s="30"/>
    </row>
    <row r="7918" spans="1:9" ht="15.75" thickBot="1" x14ac:dyDescent="0.3">
      <c r="A7918" s="43" t="s">
        <v>16304</v>
      </c>
      <c r="B7918" s="21" t="s">
        <v>16305</v>
      </c>
      <c r="C7918" s="21" t="s">
        <v>22727</v>
      </c>
      <c r="D7918" s="31">
        <v>1</v>
      </c>
      <c r="E7918" s="23" t="s">
        <v>22658</v>
      </c>
      <c r="F7918" s="24" t="s">
        <v>22657</v>
      </c>
      <c r="G7918" s="25">
        <v>1</v>
      </c>
      <c r="H7918" s="26"/>
      <c r="I7918" s="27"/>
    </row>
    <row r="7919" spans="1:9" ht="15.75" thickBot="1" x14ac:dyDescent="0.3">
      <c r="A7919" s="43" t="s">
        <v>16306</v>
      </c>
      <c r="B7919" s="21" t="s">
        <v>16307</v>
      </c>
      <c r="C7919" s="21" t="s">
        <v>22667</v>
      </c>
      <c r="D7919" s="31" t="s">
        <v>22703</v>
      </c>
      <c r="E7919" s="23" t="s">
        <v>22656</v>
      </c>
      <c r="F7919" s="24" t="s">
        <v>22657</v>
      </c>
      <c r="G7919" s="25">
        <v>4</v>
      </c>
      <c r="H7919" s="29"/>
      <c r="I7919" s="30"/>
    </row>
    <row r="7920" spans="1:9" ht="15.75" thickBot="1" x14ac:dyDescent="0.3">
      <c r="A7920" s="43" t="s">
        <v>299</v>
      </c>
      <c r="B7920" s="21" t="s">
        <v>300</v>
      </c>
      <c r="C7920" s="21" t="s">
        <v>22655</v>
      </c>
      <c r="D7920" s="22">
        <v>46046</v>
      </c>
      <c r="E7920" s="23" t="s">
        <v>22665</v>
      </c>
      <c r="F7920" s="24" t="s">
        <v>22657</v>
      </c>
      <c r="G7920" s="25">
        <v>24</v>
      </c>
      <c r="H7920" s="34">
        <v>24</v>
      </c>
      <c r="I7920" s="35">
        <v>48</v>
      </c>
    </row>
    <row r="7921" spans="1:9" ht="15.75" thickBot="1" x14ac:dyDescent="0.3">
      <c r="A7921" s="43" t="s">
        <v>511</v>
      </c>
      <c r="B7921" s="21" t="s">
        <v>512</v>
      </c>
      <c r="C7921" s="21" t="s">
        <v>22655</v>
      </c>
      <c r="D7921" s="22">
        <v>46034</v>
      </c>
      <c r="E7921" s="23" t="s">
        <v>22665</v>
      </c>
      <c r="F7921" s="24" t="s">
        <v>22657</v>
      </c>
      <c r="G7921" s="25">
        <v>24</v>
      </c>
      <c r="H7921" s="32">
        <v>24</v>
      </c>
      <c r="I7921" s="33">
        <v>48</v>
      </c>
    </row>
    <row r="7922" spans="1:9" ht="15.75" thickBot="1" x14ac:dyDescent="0.3">
      <c r="A7922" s="43" t="s">
        <v>16308</v>
      </c>
      <c r="B7922" s="21" t="s">
        <v>16309</v>
      </c>
      <c r="C7922" s="21" t="s">
        <v>22655</v>
      </c>
      <c r="D7922" s="22">
        <v>46046</v>
      </c>
      <c r="E7922" s="23" t="s">
        <v>22656</v>
      </c>
      <c r="F7922" s="24" t="s">
        <v>22657</v>
      </c>
      <c r="G7922" s="25">
        <v>8</v>
      </c>
      <c r="H7922" s="26"/>
      <c r="I7922" s="27"/>
    </row>
    <row r="7923" spans="1:9" ht="15.75" thickBot="1" x14ac:dyDescent="0.3">
      <c r="A7923" s="43" t="s">
        <v>16310</v>
      </c>
      <c r="B7923" s="21" t="s">
        <v>16311</v>
      </c>
      <c r="C7923" s="21" t="s">
        <v>22667</v>
      </c>
      <c r="D7923" s="31" t="s">
        <v>22668</v>
      </c>
      <c r="E7923" s="23" t="s">
        <v>22661</v>
      </c>
      <c r="F7923" s="24" t="s">
        <v>22657</v>
      </c>
      <c r="G7923" s="25">
        <v>14</v>
      </c>
      <c r="H7923" s="29"/>
      <c r="I7923" s="30"/>
    </row>
    <row r="7924" spans="1:9" ht="15.75" thickBot="1" x14ac:dyDescent="0.3">
      <c r="A7924" s="43" t="s">
        <v>16312</v>
      </c>
      <c r="B7924" s="21" t="s">
        <v>16313</v>
      </c>
      <c r="C7924" s="21" t="s">
        <v>22655</v>
      </c>
      <c r="D7924" s="22">
        <v>46046</v>
      </c>
      <c r="E7924" s="23" t="s">
        <v>22656</v>
      </c>
      <c r="F7924" s="24" t="s">
        <v>22657</v>
      </c>
      <c r="G7924" s="25">
        <v>4</v>
      </c>
      <c r="H7924" s="26"/>
      <c r="I7924" s="27"/>
    </row>
    <row r="7925" spans="1:9" ht="15.75" thickBot="1" x14ac:dyDescent="0.3">
      <c r="A7925" s="43" t="s">
        <v>16314</v>
      </c>
      <c r="B7925" s="21" t="s">
        <v>16315</v>
      </c>
      <c r="C7925" s="21" t="s">
        <v>22667</v>
      </c>
      <c r="D7925" s="31" t="s">
        <v>22703</v>
      </c>
      <c r="E7925" s="23" t="s">
        <v>22656</v>
      </c>
      <c r="F7925" s="24" t="s">
        <v>22657</v>
      </c>
      <c r="G7925" s="25">
        <v>4</v>
      </c>
      <c r="H7925" s="29"/>
      <c r="I7925" s="30"/>
    </row>
    <row r="7926" spans="1:9" ht="15.75" thickBot="1" x14ac:dyDescent="0.3">
      <c r="A7926" s="43" t="s">
        <v>16316</v>
      </c>
      <c r="B7926" s="21" t="s">
        <v>16317</v>
      </c>
      <c r="C7926" s="21" t="s">
        <v>22667</v>
      </c>
      <c r="D7926" s="31" t="s">
        <v>22703</v>
      </c>
      <c r="E7926" s="23" t="s">
        <v>22656</v>
      </c>
      <c r="F7926" s="24" t="s">
        <v>22657</v>
      </c>
      <c r="G7926" s="25">
        <v>4</v>
      </c>
      <c r="H7926" s="26"/>
      <c r="I7926" s="27"/>
    </row>
    <row r="7927" spans="1:9" ht="15.75" thickBot="1" x14ac:dyDescent="0.3">
      <c r="A7927" s="43" t="s">
        <v>16318</v>
      </c>
      <c r="B7927" s="21" t="s">
        <v>16319</v>
      </c>
      <c r="C7927" s="21" t="s">
        <v>22655</v>
      </c>
      <c r="D7927" s="22">
        <v>46046</v>
      </c>
      <c r="E7927" s="23" t="s">
        <v>22661</v>
      </c>
      <c r="F7927" s="24" t="s">
        <v>22657</v>
      </c>
      <c r="G7927" s="25">
        <v>8</v>
      </c>
      <c r="H7927" s="29"/>
      <c r="I7927" s="30"/>
    </row>
    <row r="7928" spans="1:9" ht="15.75" thickBot="1" x14ac:dyDescent="0.3">
      <c r="A7928" s="43" t="s">
        <v>16320</v>
      </c>
      <c r="B7928" s="21" t="s">
        <v>16321</v>
      </c>
      <c r="C7928" s="21" t="s">
        <v>22655</v>
      </c>
      <c r="D7928" s="22">
        <v>46034</v>
      </c>
      <c r="E7928" s="23" t="s">
        <v>22661</v>
      </c>
      <c r="F7928" s="24" t="s">
        <v>22657</v>
      </c>
      <c r="G7928" s="25">
        <v>4</v>
      </c>
      <c r="H7928" s="26"/>
      <c r="I7928" s="27"/>
    </row>
    <row r="7929" spans="1:9" ht="15.75" thickBot="1" x14ac:dyDescent="0.3">
      <c r="A7929" s="43" t="s">
        <v>51</v>
      </c>
      <c r="B7929" s="21" t="s">
        <v>52</v>
      </c>
      <c r="C7929" s="21" t="s">
        <v>22655</v>
      </c>
      <c r="D7929" s="22">
        <v>46028</v>
      </c>
      <c r="E7929" s="23" t="s">
        <v>22661</v>
      </c>
      <c r="F7929" s="24" t="s">
        <v>22657</v>
      </c>
      <c r="G7929" s="25">
        <v>24</v>
      </c>
      <c r="H7929" s="32">
        <v>24</v>
      </c>
      <c r="I7929" s="33">
        <v>48</v>
      </c>
    </row>
    <row r="7930" spans="1:9" ht="15.75" thickBot="1" x14ac:dyDescent="0.3">
      <c r="A7930" s="43" t="s">
        <v>16322</v>
      </c>
      <c r="B7930" s="21" t="s">
        <v>16323</v>
      </c>
      <c r="C7930" s="21" t="s">
        <v>22655</v>
      </c>
      <c r="D7930" s="22">
        <v>46032</v>
      </c>
      <c r="E7930" s="23" t="s">
        <v>22656</v>
      </c>
      <c r="F7930" s="24" t="s">
        <v>22657</v>
      </c>
      <c r="G7930" s="25">
        <v>8</v>
      </c>
      <c r="H7930" s="26"/>
      <c r="I7930" s="27"/>
    </row>
    <row r="7931" spans="1:9" ht="15.75" thickBot="1" x14ac:dyDescent="0.3">
      <c r="A7931" s="43" t="s">
        <v>16324</v>
      </c>
      <c r="B7931" s="21" t="s">
        <v>16325</v>
      </c>
      <c r="C7931" s="21" t="s">
        <v>22655</v>
      </c>
      <c r="D7931" s="31" t="s">
        <v>22732</v>
      </c>
      <c r="E7931" s="23" t="s">
        <v>22656</v>
      </c>
      <c r="F7931" s="24" t="s">
        <v>22657</v>
      </c>
      <c r="G7931" s="25">
        <v>4</v>
      </c>
      <c r="H7931" s="29"/>
      <c r="I7931" s="30"/>
    </row>
    <row r="7932" spans="1:9" ht="15.75" thickBot="1" x14ac:dyDescent="0.3">
      <c r="A7932" s="43" t="s">
        <v>16326</v>
      </c>
      <c r="B7932" s="21" t="s">
        <v>16327</v>
      </c>
      <c r="C7932" s="21" t="s">
        <v>22655</v>
      </c>
      <c r="D7932" s="22">
        <v>46028</v>
      </c>
      <c r="E7932" s="23" t="s">
        <v>22656</v>
      </c>
      <c r="F7932" s="24" t="s">
        <v>22657</v>
      </c>
      <c r="G7932" s="25">
        <v>4</v>
      </c>
      <c r="H7932" s="26"/>
      <c r="I7932" s="27"/>
    </row>
    <row r="7933" spans="1:9" ht="15.75" thickBot="1" x14ac:dyDescent="0.3">
      <c r="A7933" s="43" t="s">
        <v>16328</v>
      </c>
      <c r="B7933" s="21" t="s">
        <v>16329</v>
      </c>
      <c r="C7933" s="21" t="s">
        <v>22655</v>
      </c>
      <c r="D7933" s="22">
        <v>46034</v>
      </c>
      <c r="E7933" s="23" t="s">
        <v>22658</v>
      </c>
      <c r="F7933" s="24" t="s">
        <v>22657</v>
      </c>
      <c r="G7933" s="25">
        <v>4</v>
      </c>
      <c r="H7933" s="29"/>
      <c r="I7933" s="30"/>
    </row>
    <row r="7934" spans="1:9" ht="15.75" thickBot="1" x14ac:dyDescent="0.3">
      <c r="A7934" s="43" t="s">
        <v>16330</v>
      </c>
      <c r="B7934" s="21" t="s">
        <v>16331</v>
      </c>
      <c r="C7934" s="21" t="s">
        <v>22655</v>
      </c>
      <c r="D7934" s="22">
        <v>46046</v>
      </c>
      <c r="E7934" s="23" t="s">
        <v>22658</v>
      </c>
      <c r="F7934" s="24" t="s">
        <v>22657</v>
      </c>
      <c r="G7934" s="25">
        <v>4</v>
      </c>
      <c r="H7934" s="26"/>
      <c r="I7934" s="27"/>
    </row>
    <row r="7935" spans="1:9" ht="15.75" thickBot="1" x14ac:dyDescent="0.3">
      <c r="A7935" s="43" t="s">
        <v>16332</v>
      </c>
      <c r="B7935" s="21" t="s">
        <v>16333</v>
      </c>
      <c r="C7935" s="21" t="s">
        <v>22663</v>
      </c>
      <c r="D7935" s="31">
        <v>1</v>
      </c>
      <c r="E7935" s="23" t="s">
        <v>22656</v>
      </c>
      <c r="F7935" s="24" t="s">
        <v>22657</v>
      </c>
      <c r="G7935" s="25">
        <v>4</v>
      </c>
      <c r="H7935" s="29"/>
      <c r="I7935" s="30"/>
    </row>
    <row r="7936" spans="1:9" ht="15.75" thickBot="1" x14ac:dyDescent="0.3">
      <c r="A7936" s="43" t="s">
        <v>16334</v>
      </c>
      <c r="B7936" s="21" t="s">
        <v>16335</v>
      </c>
      <c r="C7936" s="21" t="s">
        <v>22663</v>
      </c>
      <c r="D7936" s="31">
        <v>1</v>
      </c>
      <c r="E7936" s="23" t="s">
        <v>22656</v>
      </c>
      <c r="F7936" s="24" t="s">
        <v>22657</v>
      </c>
      <c r="G7936" s="25">
        <v>7</v>
      </c>
      <c r="H7936" s="26"/>
      <c r="I7936" s="27"/>
    </row>
    <row r="7937" spans="1:9" ht="15.75" thickBot="1" x14ac:dyDescent="0.3">
      <c r="A7937" s="43" t="s">
        <v>16336</v>
      </c>
      <c r="B7937" s="21" t="s">
        <v>16337</v>
      </c>
      <c r="C7937" s="21" t="s">
        <v>22655</v>
      </c>
      <c r="D7937" s="22">
        <v>46052</v>
      </c>
      <c r="E7937" s="23" t="s">
        <v>22658</v>
      </c>
      <c r="F7937" s="28" t="s">
        <v>22659</v>
      </c>
      <c r="G7937" s="25">
        <v>1</v>
      </c>
      <c r="H7937" s="29"/>
      <c r="I7937" s="30"/>
    </row>
    <row r="7938" spans="1:9" ht="15.75" thickBot="1" x14ac:dyDescent="0.3">
      <c r="A7938" s="43" t="s">
        <v>16338</v>
      </c>
      <c r="B7938" s="21" t="s">
        <v>16339</v>
      </c>
      <c r="C7938" s="21" t="s">
        <v>22655</v>
      </c>
      <c r="D7938" s="22">
        <v>46032</v>
      </c>
      <c r="E7938" s="23" t="s">
        <v>22658</v>
      </c>
      <c r="F7938" s="28" t="s">
        <v>22659</v>
      </c>
      <c r="G7938" s="25">
        <v>1</v>
      </c>
      <c r="H7938" s="26"/>
      <c r="I7938" s="27"/>
    </row>
    <row r="7939" spans="1:9" ht="15.75" thickBot="1" x14ac:dyDescent="0.3">
      <c r="A7939" s="43" t="s">
        <v>16342</v>
      </c>
      <c r="B7939" s="21" t="s">
        <v>16343</v>
      </c>
      <c r="C7939" s="21" t="s">
        <v>22655</v>
      </c>
      <c r="D7939" s="22">
        <v>46034</v>
      </c>
      <c r="E7939" s="23" t="s">
        <v>22656</v>
      </c>
      <c r="F7939" s="24" t="s">
        <v>22657</v>
      </c>
      <c r="G7939" s="25">
        <v>5</v>
      </c>
      <c r="H7939" s="29"/>
      <c r="I7939" s="30"/>
    </row>
    <row r="7940" spans="1:9" ht="15.75" thickBot="1" x14ac:dyDescent="0.3">
      <c r="A7940" s="43" t="s">
        <v>16340</v>
      </c>
      <c r="B7940" s="21" t="s">
        <v>16341</v>
      </c>
      <c r="C7940" s="21" t="s">
        <v>22655</v>
      </c>
      <c r="D7940" s="31" t="s">
        <v>22660</v>
      </c>
      <c r="E7940" s="23" t="s">
        <v>22661</v>
      </c>
      <c r="F7940" s="24" t="s">
        <v>22657</v>
      </c>
      <c r="G7940" s="25">
        <v>2</v>
      </c>
      <c r="H7940" s="26"/>
      <c r="I7940" s="27"/>
    </row>
    <row r="7941" spans="1:9" ht="15.75" thickBot="1" x14ac:dyDescent="0.3">
      <c r="A7941" s="43" t="s">
        <v>16344</v>
      </c>
      <c r="B7941" s="21" t="s">
        <v>16345</v>
      </c>
      <c r="C7941" s="21" t="s">
        <v>22655</v>
      </c>
      <c r="D7941" s="22">
        <v>46046</v>
      </c>
      <c r="E7941" s="23" t="s">
        <v>22656</v>
      </c>
      <c r="F7941" s="24" t="s">
        <v>22657</v>
      </c>
      <c r="G7941" s="25">
        <v>8</v>
      </c>
      <c r="H7941" s="29"/>
      <c r="I7941" s="30"/>
    </row>
    <row r="7942" spans="1:9" ht="15.75" thickBot="1" x14ac:dyDescent="0.3">
      <c r="A7942" s="43" t="s">
        <v>16346</v>
      </c>
      <c r="B7942" s="21" t="s">
        <v>16347</v>
      </c>
      <c r="C7942" s="21" t="s">
        <v>22655</v>
      </c>
      <c r="D7942" s="31" t="s">
        <v>22660</v>
      </c>
      <c r="E7942" s="23" t="s">
        <v>22656</v>
      </c>
      <c r="F7942" s="24" t="s">
        <v>22657</v>
      </c>
      <c r="G7942" s="25">
        <v>4</v>
      </c>
      <c r="H7942" s="26"/>
      <c r="I7942" s="27"/>
    </row>
    <row r="7943" spans="1:9" ht="15.75" thickBot="1" x14ac:dyDescent="0.3">
      <c r="A7943" s="43" t="s">
        <v>16348</v>
      </c>
      <c r="B7943" s="21" t="s">
        <v>16349</v>
      </c>
      <c r="C7943" s="21" t="s">
        <v>22682</v>
      </c>
      <c r="D7943" s="22">
        <v>46034</v>
      </c>
      <c r="E7943" s="23" t="s">
        <v>22658</v>
      </c>
      <c r="F7943" s="24" t="s">
        <v>22657</v>
      </c>
      <c r="G7943" s="25">
        <v>4</v>
      </c>
      <c r="H7943" s="29"/>
      <c r="I7943" s="30"/>
    </row>
    <row r="7944" spans="1:9" ht="15.75" thickBot="1" x14ac:dyDescent="0.3">
      <c r="A7944" s="43" t="s">
        <v>16350</v>
      </c>
      <c r="B7944" s="21" t="s">
        <v>16351</v>
      </c>
      <c r="C7944" s="21" t="s">
        <v>22682</v>
      </c>
      <c r="D7944" s="22">
        <v>46034</v>
      </c>
      <c r="E7944" s="23" t="s">
        <v>22658</v>
      </c>
      <c r="F7944" s="24" t="s">
        <v>22657</v>
      </c>
      <c r="G7944" s="25">
        <v>4</v>
      </c>
      <c r="H7944" s="26"/>
      <c r="I7944" s="27"/>
    </row>
    <row r="7945" spans="1:9" ht="15.75" thickBot="1" x14ac:dyDescent="0.3">
      <c r="A7945" s="43" t="s">
        <v>16352</v>
      </c>
      <c r="B7945" s="21" t="s">
        <v>16353</v>
      </c>
      <c r="C7945" s="21" t="s">
        <v>22682</v>
      </c>
      <c r="D7945" s="22">
        <v>46034</v>
      </c>
      <c r="E7945" s="23" t="s">
        <v>22658</v>
      </c>
      <c r="F7945" s="24" t="s">
        <v>22657</v>
      </c>
      <c r="G7945" s="25">
        <v>4</v>
      </c>
      <c r="H7945" s="29"/>
      <c r="I7945" s="30"/>
    </row>
    <row r="7946" spans="1:9" ht="15.75" thickBot="1" x14ac:dyDescent="0.3">
      <c r="A7946" s="43" t="s">
        <v>16354</v>
      </c>
      <c r="B7946" s="21" t="s">
        <v>16355</v>
      </c>
      <c r="C7946" s="21" t="s">
        <v>22682</v>
      </c>
      <c r="D7946" s="22">
        <v>46034</v>
      </c>
      <c r="E7946" s="23" t="s">
        <v>22661</v>
      </c>
      <c r="F7946" s="24" t="s">
        <v>22657</v>
      </c>
      <c r="G7946" s="25">
        <v>6</v>
      </c>
      <c r="H7946" s="26"/>
      <c r="I7946" s="27"/>
    </row>
    <row r="7947" spans="1:9" ht="15.75" thickBot="1" x14ac:dyDescent="0.3">
      <c r="A7947" s="43" t="s">
        <v>16356</v>
      </c>
      <c r="B7947" s="21" t="s">
        <v>16357</v>
      </c>
      <c r="C7947" s="21" t="s">
        <v>22682</v>
      </c>
      <c r="D7947" s="22">
        <v>46034</v>
      </c>
      <c r="E7947" s="23" t="s">
        <v>22658</v>
      </c>
      <c r="F7947" s="24" t="s">
        <v>22657</v>
      </c>
      <c r="G7947" s="25">
        <v>4</v>
      </c>
      <c r="H7947" s="29"/>
      <c r="I7947" s="30"/>
    </row>
    <row r="7948" spans="1:9" ht="15.75" thickBot="1" x14ac:dyDescent="0.3">
      <c r="A7948" s="43" t="s">
        <v>16358</v>
      </c>
      <c r="B7948" s="21" t="s">
        <v>16359</v>
      </c>
      <c r="C7948" s="21" t="s">
        <v>22682</v>
      </c>
      <c r="D7948" s="22">
        <v>46034</v>
      </c>
      <c r="E7948" s="23" t="s">
        <v>22656</v>
      </c>
      <c r="F7948" s="24" t="s">
        <v>22657</v>
      </c>
      <c r="G7948" s="25">
        <v>4</v>
      </c>
      <c r="H7948" s="26"/>
      <c r="I7948" s="27"/>
    </row>
    <row r="7949" spans="1:9" ht="15.75" thickBot="1" x14ac:dyDescent="0.3">
      <c r="A7949" s="43" t="s">
        <v>16360</v>
      </c>
      <c r="B7949" s="21" t="s">
        <v>16361</v>
      </c>
      <c r="C7949" s="21" t="s">
        <v>22682</v>
      </c>
      <c r="D7949" s="22">
        <v>46034</v>
      </c>
      <c r="E7949" s="23" t="s">
        <v>22658</v>
      </c>
      <c r="F7949" s="24" t="s">
        <v>22657</v>
      </c>
      <c r="G7949" s="25">
        <v>4</v>
      </c>
      <c r="H7949" s="29"/>
      <c r="I7949" s="30"/>
    </row>
    <row r="7950" spans="1:9" ht="15.75" thickBot="1" x14ac:dyDescent="0.3">
      <c r="A7950" s="43" t="s">
        <v>16362</v>
      </c>
      <c r="B7950" s="21" t="s">
        <v>16363</v>
      </c>
      <c r="C7950" s="21" t="s">
        <v>22663</v>
      </c>
      <c r="D7950" s="31">
        <v>1</v>
      </c>
      <c r="E7950" s="23" t="s">
        <v>22658</v>
      </c>
      <c r="F7950" s="24" t="s">
        <v>22657</v>
      </c>
      <c r="G7950" s="25">
        <v>2</v>
      </c>
      <c r="H7950" s="26"/>
      <c r="I7950" s="27"/>
    </row>
    <row r="7951" spans="1:9" ht="15.75" thickBot="1" x14ac:dyDescent="0.3">
      <c r="A7951" s="43" t="s">
        <v>16364</v>
      </c>
      <c r="B7951" s="21" t="s">
        <v>16365</v>
      </c>
      <c r="C7951" s="21" t="s">
        <v>22682</v>
      </c>
      <c r="D7951" s="22">
        <v>46034</v>
      </c>
      <c r="E7951" s="23" t="s">
        <v>22658</v>
      </c>
      <c r="F7951" s="24" t="s">
        <v>22657</v>
      </c>
      <c r="G7951" s="25">
        <v>4</v>
      </c>
      <c r="H7951" s="29"/>
      <c r="I7951" s="30"/>
    </row>
    <row r="7952" spans="1:9" ht="15.75" thickBot="1" x14ac:dyDescent="0.3">
      <c r="A7952" s="43" t="s">
        <v>16366</v>
      </c>
      <c r="B7952" s="21" t="s">
        <v>16367</v>
      </c>
      <c r="C7952" s="21" t="s">
        <v>22682</v>
      </c>
      <c r="D7952" s="22">
        <v>46034</v>
      </c>
      <c r="E7952" s="23" t="s">
        <v>22658</v>
      </c>
      <c r="F7952" s="24" t="s">
        <v>22657</v>
      </c>
      <c r="G7952" s="25">
        <v>4</v>
      </c>
      <c r="H7952" s="26"/>
      <c r="I7952" s="27"/>
    </row>
    <row r="7953" spans="1:9" ht="15.75" thickBot="1" x14ac:dyDescent="0.3">
      <c r="A7953" s="43" t="s">
        <v>16368</v>
      </c>
      <c r="B7953" s="21" t="s">
        <v>16369</v>
      </c>
      <c r="C7953" s="21" t="s">
        <v>22682</v>
      </c>
      <c r="D7953" s="22">
        <v>46034</v>
      </c>
      <c r="E7953" s="23" t="s">
        <v>22658</v>
      </c>
      <c r="F7953" s="24" t="s">
        <v>22657</v>
      </c>
      <c r="G7953" s="25">
        <v>4</v>
      </c>
      <c r="H7953" s="29"/>
      <c r="I7953" s="30"/>
    </row>
    <row r="7954" spans="1:9" ht="15.75" thickBot="1" x14ac:dyDescent="0.3">
      <c r="A7954" s="43" t="s">
        <v>16370</v>
      </c>
      <c r="B7954" s="21" t="s">
        <v>16371</v>
      </c>
      <c r="C7954" s="21" t="s">
        <v>22682</v>
      </c>
      <c r="D7954" s="22">
        <v>46034</v>
      </c>
      <c r="E7954" s="23" t="s">
        <v>22658</v>
      </c>
      <c r="F7954" s="24" t="s">
        <v>22657</v>
      </c>
      <c r="G7954" s="25">
        <v>4</v>
      </c>
      <c r="H7954" s="26"/>
      <c r="I7954" s="27"/>
    </row>
    <row r="7955" spans="1:9" ht="15.75" thickBot="1" x14ac:dyDescent="0.3">
      <c r="A7955" s="43" t="s">
        <v>16372</v>
      </c>
      <c r="B7955" s="21" t="s">
        <v>16373</v>
      </c>
      <c r="C7955" s="21" t="s">
        <v>22682</v>
      </c>
      <c r="D7955" s="22">
        <v>46034</v>
      </c>
      <c r="E7955" s="23" t="s">
        <v>22658</v>
      </c>
      <c r="F7955" s="24" t="s">
        <v>22657</v>
      </c>
      <c r="G7955" s="25">
        <v>4</v>
      </c>
      <c r="H7955" s="29"/>
      <c r="I7955" s="30"/>
    </row>
    <row r="7956" spans="1:9" ht="15.75" thickBot="1" x14ac:dyDescent="0.3">
      <c r="A7956" s="43" t="s">
        <v>16374</v>
      </c>
      <c r="B7956" s="21" t="s">
        <v>16375</v>
      </c>
      <c r="C7956" s="21" t="s">
        <v>22655</v>
      </c>
      <c r="D7956" s="31" t="s">
        <v>22660</v>
      </c>
      <c r="E7956" s="23" t="s">
        <v>22658</v>
      </c>
      <c r="F7956" s="24" t="s">
        <v>22657</v>
      </c>
      <c r="G7956" s="25">
        <v>4</v>
      </c>
      <c r="H7956" s="26"/>
      <c r="I7956" s="27"/>
    </row>
    <row r="7957" spans="1:9" ht="15.75" thickBot="1" x14ac:dyDescent="0.3">
      <c r="A7957" s="43" t="s">
        <v>16376</v>
      </c>
      <c r="B7957" s="21" t="s">
        <v>16377</v>
      </c>
      <c r="C7957" s="21" t="s">
        <v>22655</v>
      </c>
      <c r="D7957" s="31" t="s">
        <v>22660</v>
      </c>
      <c r="E7957" s="23" t="s">
        <v>22656</v>
      </c>
      <c r="F7957" s="24" t="s">
        <v>22657</v>
      </c>
      <c r="G7957" s="25">
        <v>4</v>
      </c>
      <c r="H7957" s="29"/>
      <c r="I7957" s="30"/>
    </row>
    <row r="7958" spans="1:9" ht="15.75" thickBot="1" x14ac:dyDescent="0.3">
      <c r="A7958" s="43" t="s">
        <v>16378</v>
      </c>
      <c r="B7958" s="21" t="s">
        <v>16379</v>
      </c>
      <c r="C7958" s="21" t="s">
        <v>22682</v>
      </c>
      <c r="D7958" s="22">
        <v>46034</v>
      </c>
      <c r="E7958" s="23" t="s">
        <v>22658</v>
      </c>
      <c r="F7958" s="24" t="s">
        <v>22657</v>
      </c>
      <c r="G7958" s="25">
        <v>4</v>
      </c>
      <c r="H7958" s="26"/>
      <c r="I7958" s="27"/>
    </row>
    <row r="7959" spans="1:9" ht="15.75" thickBot="1" x14ac:dyDescent="0.3">
      <c r="A7959" s="43" t="s">
        <v>583</v>
      </c>
      <c r="B7959" s="21" t="s">
        <v>584</v>
      </c>
      <c r="C7959" s="21" t="s">
        <v>22655</v>
      </c>
      <c r="D7959" s="31" t="s">
        <v>22673</v>
      </c>
      <c r="E7959" s="23" t="s">
        <v>22665</v>
      </c>
      <c r="F7959" s="24" t="s">
        <v>22657</v>
      </c>
      <c r="G7959" s="25">
        <v>100</v>
      </c>
      <c r="H7959" s="32">
        <v>100</v>
      </c>
      <c r="I7959" s="33">
        <v>200</v>
      </c>
    </row>
    <row r="7960" spans="1:9" ht="15.75" thickBot="1" x14ac:dyDescent="0.3">
      <c r="A7960" s="43" t="s">
        <v>16380</v>
      </c>
      <c r="B7960" s="21" t="s">
        <v>16381</v>
      </c>
      <c r="C7960" s="21" t="s">
        <v>22682</v>
      </c>
      <c r="D7960" s="22">
        <v>46034</v>
      </c>
      <c r="E7960" s="23" t="s">
        <v>22658</v>
      </c>
      <c r="F7960" s="24" t="s">
        <v>22657</v>
      </c>
      <c r="G7960" s="25">
        <v>4</v>
      </c>
      <c r="H7960" s="26"/>
      <c r="I7960" s="27"/>
    </row>
    <row r="7961" spans="1:9" ht="15.75" thickBot="1" x14ac:dyDescent="0.3">
      <c r="A7961" s="43" t="s">
        <v>16384</v>
      </c>
      <c r="B7961" s="21" t="s">
        <v>16385</v>
      </c>
      <c r="C7961" s="21" t="s">
        <v>22682</v>
      </c>
      <c r="D7961" s="22">
        <v>46034</v>
      </c>
      <c r="E7961" s="23" t="s">
        <v>22658</v>
      </c>
      <c r="F7961" s="24" t="s">
        <v>22657</v>
      </c>
      <c r="G7961" s="25">
        <v>4</v>
      </c>
      <c r="H7961" s="29"/>
      <c r="I7961" s="30"/>
    </row>
    <row r="7962" spans="1:9" ht="15.75" thickBot="1" x14ac:dyDescent="0.3">
      <c r="A7962" s="43" t="s">
        <v>16386</v>
      </c>
      <c r="B7962" s="21" t="s">
        <v>16387</v>
      </c>
      <c r="C7962" s="21" t="s">
        <v>22682</v>
      </c>
      <c r="D7962" s="22">
        <v>46034</v>
      </c>
      <c r="E7962" s="23" t="s">
        <v>22658</v>
      </c>
      <c r="F7962" s="24" t="s">
        <v>22657</v>
      </c>
      <c r="G7962" s="25">
        <v>4</v>
      </c>
      <c r="H7962" s="26"/>
      <c r="I7962" s="27"/>
    </row>
    <row r="7963" spans="1:9" ht="15.75" thickBot="1" x14ac:dyDescent="0.3">
      <c r="A7963" s="43" t="s">
        <v>16388</v>
      </c>
      <c r="B7963" s="21" t="s">
        <v>16389</v>
      </c>
      <c r="C7963" s="21" t="s">
        <v>22682</v>
      </c>
      <c r="D7963" s="22">
        <v>46034</v>
      </c>
      <c r="E7963" s="23" t="s">
        <v>22658</v>
      </c>
      <c r="F7963" s="24" t="s">
        <v>22657</v>
      </c>
      <c r="G7963" s="25">
        <v>4</v>
      </c>
      <c r="H7963" s="29"/>
      <c r="I7963" s="30"/>
    </row>
    <row r="7964" spans="1:9" ht="15.75" thickBot="1" x14ac:dyDescent="0.3">
      <c r="A7964" s="43" t="s">
        <v>16390</v>
      </c>
      <c r="B7964" s="21" t="s">
        <v>16391</v>
      </c>
      <c r="C7964" s="21" t="s">
        <v>22682</v>
      </c>
      <c r="D7964" s="22">
        <v>46034</v>
      </c>
      <c r="E7964" s="23" t="s">
        <v>22658</v>
      </c>
      <c r="F7964" s="24" t="s">
        <v>22657</v>
      </c>
      <c r="G7964" s="25">
        <v>4</v>
      </c>
      <c r="H7964" s="26"/>
      <c r="I7964" s="27"/>
    </row>
    <row r="7965" spans="1:9" ht="15.75" thickBot="1" x14ac:dyDescent="0.3">
      <c r="A7965" s="43" t="s">
        <v>16392</v>
      </c>
      <c r="B7965" s="21" t="s">
        <v>16393</v>
      </c>
      <c r="C7965" s="21" t="s">
        <v>22682</v>
      </c>
      <c r="D7965" s="22">
        <v>46034</v>
      </c>
      <c r="E7965" s="23" t="s">
        <v>22658</v>
      </c>
      <c r="F7965" s="24" t="s">
        <v>22657</v>
      </c>
      <c r="G7965" s="25">
        <v>4</v>
      </c>
      <c r="H7965" s="29"/>
      <c r="I7965" s="30"/>
    </row>
    <row r="7966" spans="1:9" ht="15.75" thickBot="1" x14ac:dyDescent="0.3">
      <c r="A7966" s="43" t="s">
        <v>16394</v>
      </c>
      <c r="B7966" s="21" t="s">
        <v>16395</v>
      </c>
      <c r="C7966" s="21" t="s">
        <v>22682</v>
      </c>
      <c r="D7966" s="22">
        <v>46034</v>
      </c>
      <c r="E7966" s="23" t="s">
        <v>22658</v>
      </c>
      <c r="F7966" s="24" t="s">
        <v>22657</v>
      </c>
      <c r="G7966" s="25">
        <v>4</v>
      </c>
      <c r="H7966" s="26"/>
      <c r="I7966" s="27"/>
    </row>
    <row r="7967" spans="1:9" ht="15.75" thickBot="1" x14ac:dyDescent="0.3">
      <c r="A7967" s="43" t="s">
        <v>16396</v>
      </c>
      <c r="B7967" s="21" t="s">
        <v>16397</v>
      </c>
      <c r="C7967" s="21" t="s">
        <v>22682</v>
      </c>
      <c r="D7967" s="22">
        <v>46034</v>
      </c>
      <c r="E7967" s="23" t="s">
        <v>22658</v>
      </c>
      <c r="F7967" s="24" t="s">
        <v>22657</v>
      </c>
      <c r="G7967" s="25">
        <v>4</v>
      </c>
      <c r="H7967" s="29"/>
      <c r="I7967" s="30"/>
    </row>
    <row r="7968" spans="1:9" ht="15.75" thickBot="1" x14ac:dyDescent="0.3">
      <c r="A7968" s="43" t="s">
        <v>16398</v>
      </c>
      <c r="B7968" s="21" t="s">
        <v>16399</v>
      </c>
      <c r="C7968" s="21" t="s">
        <v>22682</v>
      </c>
      <c r="D7968" s="22">
        <v>46034</v>
      </c>
      <c r="E7968" s="23" t="s">
        <v>22658</v>
      </c>
      <c r="F7968" s="24" t="s">
        <v>22657</v>
      </c>
      <c r="G7968" s="25">
        <v>4</v>
      </c>
      <c r="H7968" s="26"/>
      <c r="I7968" s="27"/>
    </row>
    <row r="7969" spans="1:9" ht="15.75" thickBot="1" x14ac:dyDescent="0.3">
      <c r="A7969" s="43" t="s">
        <v>16400</v>
      </c>
      <c r="B7969" s="21" t="s">
        <v>16401</v>
      </c>
      <c r="C7969" s="21" t="s">
        <v>22682</v>
      </c>
      <c r="D7969" s="22">
        <v>46034</v>
      </c>
      <c r="E7969" s="23" t="s">
        <v>22658</v>
      </c>
      <c r="F7969" s="24" t="s">
        <v>22657</v>
      </c>
      <c r="G7969" s="25">
        <v>4</v>
      </c>
      <c r="H7969" s="29"/>
      <c r="I7969" s="30"/>
    </row>
    <row r="7970" spans="1:9" ht="15.75" thickBot="1" x14ac:dyDescent="0.3">
      <c r="A7970" s="43" t="s">
        <v>16402</v>
      </c>
      <c r="B7970" s="21" t="s">
        <v>16403</v>
      </c>
      <c r="C7970" s="21" t="s">
        <v>22682</v>
      </c>
      <c r="D7970" s="22">
        <v>46034</v>
      </c>
      <c r="E7970" s="23" t="s">
        <v>22658</v>
      </c>
      <c r="F7970" s="24" t="s">
        <v>22657</v>
      </c>
      <c r="G7970" s="25">
        <v>4</v>
      </c>
      <c r="H7970" s="26"/>
      <c r="I7970" s="27"/>
    </row>
    <row r="7971" spans="1:9" ht="15.75" thickBot="1" x14ac:dyDescent="0.3">
      <c r="A7971" s="43" t="s">
        <v>16404</v>
      </c>
      <c r="B7971" s="21" t="s">
        <v>16405</v>
      </c>
      <c r="C7971" s="21" t="s">
        <v>22682</v>
      </c>
      <c r="D7971" s="22">
        <v>46034</v>
      </c>
      <c r="E7971" s="23" t="s">
        <v>22658</v>
      </c>
      <c r="F7971" s="24" t="s">
        <v>22657</v>
      </c>
      <c r="G7971" s="25">
        <v>4</v>
      </c>
      <c r="H7971" s="29"/>
      <c r="I7971" s="30"/>
    </row>
    <row r="7972" spans="1:9" ht="15.75" thickBot="1" x14ac:dyDescent="0.3">
      <c r="A7972" s="43" t="s">
        <v>16406</v>
      </c>
      <c r="B7972" s="21" t="s">
        <v>16407</v>
      </c>
      <c r="C7972" s="21" t="s">
        <v>22682</v>
      </c>
      <c r="D7972" s="22">
        <v>46034</v>
      </c>
      <c r="E7972" s="23" t="s">
        <v>22658</v>
      </c>
      <c r="F7972" s="24" t="s">
        <v>22657</v>
      </c>
      <c r="G7972" s="25">
        <v>4</v>
      </c>
      <c r="H7972" s="26"/>
      <c r="I7972" s="27"/>
    </row>
    <row r="7973" spans="1:9" ht="15.75" thickBot="1" x14ac:dyDescent="0.3">
      <c r="A7973" s="43" t="s">
        <v>16408</v>
      </c>
      <c r="B7973" s="21" t="s">
        <v>16409</v>
      </c>
      <c r="C7973" s="21" t="s">
        <v>22682</v>
      </c>
      <c r="D7973" s="22">
        <v>46034</v>
      </c>
      <c r="E7973" s="23" t="s">
        <v>22656</v>
      </c>
      <c r="F7973" s="24" t="s">
        <v>22657</v>
      </c>
      <c r="G7973" s="25">
        <v>4</v>
      </c>
      <c r="H7973" s="29"/>
      <c r="I7973" s="30"/>
    </row>
    <row r="7974" spans="1:9" ht="15.75" thickBot="1" x14ac:dyDescent="0.3">
      <c r="A7974" s="43" t="s">
        <v>16410</v>
      </c>
      <c r="B7974" s="21" t="s">
        <v>16411</v>
      </c>
      <c r="C7974" s="21" t="s">
        <v>22682</v>
      </c>
      <c r="D7974" s="22">
        <v>46034</v>
      </c>
      <c r="E7974" s="23" t="s">
        <v>22658</v>
      </c>
      <c r="F7974" s="24" t="s">
        <v>22657</v>
      </c>
      <c r="G7974" s="25">
        <v>4</v>
      </c>
      <c r="H7974" s="26"/>
      <c r="I7974" s="27"/>
    </row>
    <row r="7975" spans="1:9" ht="15.75" thickBot="1" x14ac:dyDescent="0.3">
      <c r="A7975" s="43" t="s">
        <v>16412</v>
      </c>
      <c r="B7975" s="21" t="s">
        <v>16413</v>
      </c>
      <c r="C7975" s="21" t="s">
        <v>22682</v>
      </c>
      <c r="D7975" s="22">
        <v>46034</v>
      </c>
      <c r="E7975" s="23" t="s">
        <v>22658</v>
      </c>
      <c r="F7975" s="24" t="s">
        <v>22657</v>
      </c>
      <c r="G7975" s="25">
        <v>4</v>
      </c>
      <c r="H7975" s="29"/>
      <c r="I7975" s="30"/>
    </row>
    <row r="7976" spans="1:9" ht="15.75" thickBot="1" x14ac:dyDescent="0.3">
      <c r="A7976" s="43" t="s">
        <v>16414</v>
      </c>
      <c r="B7976" s="21" t="s">
        <v>16415</v>
      </c>
      <c r="C7976" s="21" t="s">
        <v>22682</v>
      </c>
      <c r="D7976" s="22">
        <v>46034</v>
      </c>
      <c r="E7976" s="23" t="s">
        <v>22658</v>
      </c>
      <c r="F7976" s="24" t="s">
        <v>22657</v>
      </c>
      <c r="G7976" s="25">
        <v>4</v>
      </c>
      <c r="H7976" s="26"/>
      <c r="I7976" s="27"/>
    </row>
    <row r="7977" spans="1:9" ht="15.75" thickBot="1" x14ac:dyDescent="0.3">
      <c r="A7977" s="43" t="s">
        <v>16416</v>
      </c>
      <c r="B7977" s="21" t="s">
        <v>16417</v>
      </c>
      <c r="C7977" s="21" t="s">
        <v>22667</v>
      </c>
      <c r="D7977" s="31" t="s">
        <v>22704</v>
      </c>
      <c r="E7977" s="23" t="s">
        <v>22656</v>
      </c>
      <c r="F7977" s="24" t="s">
        <v>22657</v>
      </c>
      <c r="G7977" s="25">
        <v>7</v>
      </c>
      <c r="H7977" s="29"/>
      <c r="I7977" s="30"/>
    </row>
    <row r="7978" spans="1:9" ht="15.75" thickBot="1" x14ac:dyDescent="0.3">
      <c r="A7978" s="43" t="s">
        <v>16418</v>
      </c>
      <c r="B7978" s="21" t="s">
        <v>16419</v>
      </c>
      <c r="C7978" s="21" t="s">
        <v>22667</v>
      </c>
      <c r="D7978" s="31" t="s">
        <v>22668</v>
      </c>
      <c r="E7978" s="23" t="s">
        <v>22656</v>
      </c>
      <c r="F7978" s="24" t="s">
        <v>22657</v>
      </c>
      <c r="G7978" s="25">
        <v>4</v>
      </c>
      <c r="H7978" s="26"/>
      <c r="I7978" s="27"/>
    </row>
    <row r="7979" spans="1:9" ht="15.75" thickBot="1" x14ac:dyDescent="0.3">
      <c r="A7979" s="43" t="s">
        <v>1605</v>
      </c>
      <c r="B7979" s="21" t="s">
        <v>1606</v>
      </c>
      <c r="C7979" s="21" t="s">
        <v>22655</v>
      </c>
      <c r="D7979" s="22">
        <v>46034</v>
      </c>
      <c r="E7979" s="23" t="s">
        <v>22656</v>
      </c>
      <c r="F7979" s="24" t="s">
        <v>22657</v>
      </c>
      <c r="G7979" s="25">
        <v>6</v>
      </c>
      <c r="H7979" s="32">
        <v>6</v>
      </c>
      <c r="I7979" s="33">
        <v>10</v>
      </c>
    </row>
    <row r="7980" spans="1:9" ht="15.75" thickBot="1" x14ac:dyDescent="0.3">
      <c r="A7980" s="43" t="s">
        <v>16420</v>
      </c>
      <c r="B7980" s="21" t="s">
        <v>16421</v>
      </c>
      <c r="C7980" s="21" t="s">
        <v>22655</v>
      </c>
      <c r="D7980" s="31" t="s">
        <v>22660</v>
      </c>
      <c r="E7980" s="23" t="s">
        <v>22661</v>
      </c>
      <c r="F7980" s="24" t="s">
        <v>22657</v>
      </c>
      <c r="G7980" s="25">
        <v>4</v>
      </c>
      <c r="H7980" s="26"/>
      <c r="I7980" s="27"/>
    </row>
    <row r="7981" spans="1:9" ht="15.75" thickBot="1" x14ac:dyDescent="0.3">
      <c r="A7981" s="43" t="s">
        <v>16422</v>
      </c>
      <c r="B7981" s="21" t="s">
        <v>16423</v>
      </c>
      <c r="C7981" s="21" t="s">
        <v>22655</v>
      </c>
      <c r="D7981" s="31" t="s">
        <v>22732</v>
      </c>
      <c r="E7981" s="23" t="s">
        <v>22661</v>
      </c>
      <c r="F7981" s="24" t="s">
        <v>22657</v>
      </c>
      <c r="G7981" s="25">
        <v>7</v>
      </c>
      <c r="H7981" s="29"/>
      <c r="I7981" s="30"/>
    </row>
    <row r="7982" spans="1:9" ht="15.75" thickBot="1" x14ac:dyDescent="0.3">
      <c r="A7982" s="43" t="s">
        <v>16424</v>
      </c>
      <c r="B7982" s="21" t="s">
        <v>16425</v>
      </c>
      <c r="C7982" s="21" t="s">
        <v>22655</v>
      </c>
      <c r="D7982" s="31" t="s">
        <v>22737</v>
      </c>
      <c r="E7982" s="23" t="s">
        <v>22656</v>
      </c>
      <c r="F7982" s="24" t="s">
        <v>22657</v>
      </c>
      <c r="G7982" s="25">
        <v>7</v>
      </c>
      <c r="H7982" s="26"/>
      <c r="I7982" s="27"/>
    </row>
    <row r="7983" spans="1:9" ht="15.75" thickBot="1" x14ac:dyDescent="0.3">
      <c r="A7983" s="43" t="s">
        <v>16426</v>
      </c>
      <c r="B7983" s="21" t="s">
        <v>16427</v>
      </c>
      <c r="C7983" s="21" t="s">
        <v>22672</v>
      </c>
      <c r="D7983" s="22">
        <v>46032</v>
      </c>
      <c r="E7983" s="23" t="s">
        <v>22656</v>
      </c>
      <c r="F7983" s="24" t="s">
        <v>22657</v>
      </c>
      <c r="G7983" s="25">
        <v>4</v>
      </c>
      <c r="H7983" s="29"/>
      <c r="I7983" s="30"/>
    </row>
    <row r="7984" spans="1:9" ht="15.75" thickBot="1" x14ac:dyDescent="0.3">
      <c r="A7984" s="43" t="s">
        <v>16428</v>
      </c>
      <c r="B7984" s="21" t="s">
        <v>16429</v>
      </c>
      <c r="C7984" s="21" t="s">
        <v>22667</v>
      </c>
      <c r="D7984" s="31" t="s">
        <v>22668</v>
      </c>
      <c r="E7984" s="23" t="s">
        <v>22656</v>
      </c>
      <c r="F7984" s="24" t="s">
        <v>22657</v>
      </c>
      <c r="G7984" s="25">
        <v>4</v>
      </c>
      <c r="H7984" s="26"/>
      <c r="I7984" s="27"/>
    </row>
    <row r="7985" spans="1:9" ht="15.75" thickBot="1" x14ac:dyDescent="0.3">
      <c r="A7985" s="43" t="s">
        <v>16430</v>
      </c>
      <c r="B7985" s="21" t="s">
        <v>16431</v>
      </c>
      <c r="C7985" s="21" t="s">
        <v>22655</v>
      </c>
      <c r="D7985" s="22">
        <v>46046</v>
      </c>
      <c r="E7985" s="23" t="s">
        <v>22656</v>
      </c>
      <c r="F7985" s="24" t="s">
        <v>22657</v>
      </c>
      <c r="G7985" s="25">
        <v>4</v>
      </c>
      <c r="H7985" s="29"/>
      <c r="I7985" s="30"/>
    </row>
    <row r="7986" spans="1:9" ht="15.75" thickBot="1" x14ac:dyDescent="0.3">
      <c r="A7986" s="43" t="s">
        <v>16432</v>
      </c>
      <c r="B7986" s="21" t="s">
        <v>16433</v>
      </c>
      <c r="C7986" s="21" t="s">
        <v>22667</v>
      </c>
      <c r="D7986" s="31" t="s">
        <v>22668</v>
      </c>
      <c r="E7986" s="23" t="s">
        <v>22656</v>
      </c>
      <c r="F7986" s="24" t="s">
        <v>22657</v>
      </c>
      <c r="G7986" s="25">
        <v>6</v>
      </c>
      <c r="H7986" s="26"/>
      <c r="I7986" s="27"/>
    </row>
    <row r="7987" spans="1:9" ht="15.75" thickBot="1" x14ac:dyDescent="0.3">
      <c r="A7987" s="43" t="s">
        <v>16434</v>
      </c>
      <c r="B7987" s="21" t="s">
        <v>16435</v>
      </c>
      <c r="C7987" s="21" t="s">
        <v>22804</v>
      </c>
      <c r="D7987" s="22">
        <v>46032</v>
      </c>
      <c r="E7987" s="23" t="s">
        <v>22656</v>
      </c>
      <c r="F7987" s="24" t="s">
        <v>22657</v>
      </c>
      <c r="G7987" s="25">
        <v>4</v>
      </c>
      <c r="H7987" s="29"/>
      <c r="I7987" s="30"/>
    </row>
    <row r="7988" spans="1:9" ht="15.75" thickBot="1" x14ac:dyDescent="0.3">
      <c r="A7988" s="43" t="s">
        <v>16436</v>
      </c>
      <c r="B7988" s="21" t="s">
        <v>16437</v>
      </c>
      <c r="C7988" s="21" t="s">
        <v>22804</v>
      </c>
      <c r="D7988" s="22">
        <v>46032</v>
      </c>
      <c r="E7988" s="23" t="s">
        <v>22656</v>
      </c>
      <c r="F7988" s="24" t="s">
        <v>22657</v>
      </c>
      <c r="G7988" s="25">
        <v>4</v>
      </c>
      <c r="H7988" s="26"/>
      <c r="I7988" s="27"/>
    </row>
    <row r="7989" spans="1:9" ht="15.75" thickBot="1" x14ac:dyDescent="0.3">
      <c r="A7989" s="43" t="s">
        <v>16438</v>
      </c>
      <c r="B7989" s="21" t="s">
        <v>16439</v>
      </c>
      <c r="C7989" s="21" t="s">
        <v>22804</v>
      </c>
      <c r="D7989" s="22">
        <v>46032</v>
      </c>
      <c r="E7989" s="23" t="s">
        <v>22656</v>
      </c>
      <c r="F7989" s="24" t="s">
        <v>22657</v>
      </c>
      <c r="G7989" s="25">
        <v>4</v>
      </c>
      <c r="H7989" s="29"/>
      <c r="I7989" s="30"/>
    </row>
    <row r="7990" spans="1:9" ht="15.75" thickBot="1" x14ac:dyDescent="0.3">
      <c r="A7990" s="43" t="s">
        <v>16440</v>
      </c>
      <c r="B7990" s="21" t="s">
        <v>16441</v>
      </c>
      <c r="C7990" s="21" t="s">
        <v>22655</v>
      </c>
      <c r="D7990" s="22">
        <v>46046</v>
      </c>
      <c r="E7990" s="23" t="s">
        <v>22656</v>
      </c>
      <c r="F7990" s="24" t="s">
        <v>22657</v>
      </c>
      <c r="G7990" s="25">
        <v>4</v>
      </c>
      <c r="H7990" s="26"/>
      <c r="I7990" s="27"/>
    </row>
    <row r="7991" spans="1:9" ht="15.75" thickBot="1" x14ac:dyDescent="0.3">
      <c r="A7991" s="43" t="s">
        <v>16442</v>
      </c>
      <c r="B7991" s="21" t="s">
        <v>16443</v>
      </c>
      <c r="C7991" s="21" t="s">
        <v>22655</v>
      </c>
      <c r="D7991" s="22">
        <v>46046</v>
      </c>
      <c r="E7991" s="23" t="s">
        <v>22658</v>
      </c>
      <c r="F7991" s="24" t="s">
        <v>22657</v>
      </c>
      <c r="G7991" s="25">
        <v>3</v>
      </c>
      <c r="H7991" s="29"/>
      <c r="I7991" s="30"/>
    </row>
    <row r="7992" spans="1:9" ht="15.75" thickBot="1" x14ac:dyDescent="0.3">
      <c r="A7992" s="43" t="s">
        <v>1177</v>
      </c>
      <c r="B7992" s="21" t="s">
        <v>1178</v>
      </c>
      <c r="C7992" s="21" t="s">
        <v>22655</v>
      </c>
      <c r="D7992" s="22">
        <v>46032</v>
      </c>
      <c r="E7992" s="23" t="s">
        <v>22665</v>
      </c>
      <c r="F7992" s="24" t="s">
        <v>22657</v>
      </c>
      <c r="G7992" s="25">
        <v>24</v>
      </c>
      <c r="H7992" s="34">
        <v>24</v>
      </c>
      <c r="I7992" s="35">
        <v>48</v>
      </c>
    </row>
    <row r="7993" spans="1:9" ht="15.75" thickBot="1" x14ac:dyDescent="0.3">
      <c r="A7993" s="43" t="s">
        <v>16444</v>
      </c>
      <c r="B7993" s="21" t="s">
        <v>16445</v>
      </c>
      <c r="C7993" s="21" t="s">
        <v>22655</v>
      </c>
      <c r="D7993" s="31" t="s">
        <v>22688</v>
      </c>
      <c r="E7993" s="23" t="s">
        <v>22656</v>
      </c>
      <c r="F7993" s="24" t="s">
        <v>22657</v>
      </c>
      <c r="G7993" s="25">
        <v>14</v>
      </c>
      <c r="H7993" s="29"/>
      <c r="I7993" s="30"/>
    </row>
    <row r="7994" spans="1:9" ht="15.75" thickBot="1" x14ac:dyDescent="0.3">
      <c r="A7994" s="43" t="s">
        <v>16446</v>
      </c>
      <c r="B7994" s="21" t="s">
        <v>16447</v>
      </c>
      <c r="C7994" s="21" t="s">
        <v>22655</v>
      </c>
      <c r="D7994" s="31" t="s">
        <v>22660</v>
      </c>
      <c r="E7994" s="23" t="s">
        <v>22656</v>
      </c>
      <c r="F7994" s="24" t="s">
        <v>22657</v>
      </c>
      <c r="G7994" s="25">
        <v>4</v>
      </c>
      <c r="H7994" s="26"/>
      <c r="I7994" s="27"/>
    </row>
    <row r="7995" spans="1:9" ht="15.75" thickBot="1" x14ac:dyDescent="0.3">
      <c r="A7995" s="43" t="s">
        <v>16448</v>
      </c>
      <c r="B7995" s="21" t="s">
        <v>16449</v>
      </c>
      <c r="C7995" s="21" t="s">
        <v>22655</v>
      </c>
      <c r="D7995" s="22">
        <v>46046</v>
      </c>
      <c r="E7995" s="23" t="s">
        <v>22658</v>
      </c>
      <c r="F7995" s="24" t="s">
        <v>22657</v>
      </c>
      <c r="G7995" s="25">
        <v>3</v>
      </c>
      <c r="H7995" s="29"/>
      <c r="I7995" s="30"/>
    </row>
    <row r="7996" spans="1:9" ht="15.75" thickBot="1" x14ac:dyDescent="0.3">
      <c r="A7996" s="43" t="s">
        <v>495</v>
      </c>
      <c r="B7996" s="21" t="s">
        <v>496</v>
      </c>
      <c r="C7996" s="21" t="s">
        <v>22655</v>
      </c>
      <c r="D7996" s="31" t="s">
        <v>22688</v>
      </c>
      <c r="E7996" s="23" t="s">
        <v>22665</v>
      </c>
      <c r="F7996" s="24" t="s">
        <v>22657</v>
      </c>
      <c r="G7996" s="25">
        <v>30</v>
      </c>
      <c r="H7996" s="34">
        <v>30</v>
      </c>
      <c r="I7996" s="35">
        <v>60</v>
      </c>
    </row>
    <row r="7997" spans="1:9" ht="15.75" thickBot="1" x14ac:dyDescent="0.3">
      <c r="A7997" s="43" t="s">
        <v>16450</v>
      </c>
      <c r="B7997" s="21" t="s">
        <v>16451</v>
      </c>
      <c r="C7997" s="21" t="s">
        <v>22655</v>
      </c>
      <c r="D7997" s="22">
        <v>46034</v>
      </c>
      <c r="E7997" s="23" t="s">
        <v>22656</v>
      </c>
      <c r="F7997" s="24" t="s">
        <v>22657</v>
      </c>
      <c r="G7997" s="25">
        <v>6</v>
      </c>
      <c r="H7997" s="32">
        <v>6</v>
      </c>
      <c r="I7997" s="33">
        <v>12</v>
      </c>
    </row>
    <row r="7998" spans="1:9" ht="15.75" thickBot="1" x14ac:dyDescent="0.3">
      <c r="A7998" s="43" t="s">
        <v>1866</v>
      </c>
      <c r="B7998" s="21" t="s">
        <v>1867</v>
      </c>
      <c r="C7998" s="21" t="s">
        <v>22655</v>
      </c>
      <c r="D7998" s="22">
        <v>46046</v>
      </c>
      <c r="E7998" s="23" t="s">
        <v>22665</v>
      </c>
      <c r="F7998" s="24" t="s">
        <v>22657</v>
      </c>
      <c r="G7998" s="25">
        <v>36</v>
      </c>
      <c r="H7998" s="34">
        <v>36</v>
      </c>
      <c r="I7998" s="35">
        <v>60</v>
      </c>
    </row>
    <row r="7999" spans="1:9" ht="15.75" thickBot="1" x14ac:dyDescent="0.3">
      <c r="A7999" s="43" t="s">
        <v>1485</v>
      </c>
      <c r="B7999" s="21" t="s">
        <v>1486</v>
      </c>
      <c r="C7999" s="21" t="s">
        <v>22655</v>
      </c>
      <c r="D7999" s="31" t="s">
        <v>22715</v>
      </c>
      <c r="E7999" s="23" t="s">
        <v>22665</v>
      </c>
      <c r="F7999" s="24" t="s">
        <v>22657</v>
      </c>
      <c r="G7999" s="25">
        <v>36</v>
      </c>
      <c r="H7999" s="32">
        <v>36</v>
      </c>
      <c r="I7999" s="33">
        <v>60</v>
      </c>
    </row>
    <row r="8000" spans="1:9" ht="15.75" thickBot="1" x14ac:dyDescent="0.3">
      <c r="A8000" s="43" t="s">
        <v>16452</v>
      </c>
      <c r="B8000" s="21" t="s">
        <v>16453</v>
      </c>
      <c r="C8000" s="21" t="s">
        <v>22655</v>
      </c>
      <c r="D8000" s="22">
        <v>46025</v>
      </c>
      <c r="E8000" s="23" t="s">
        <v>22656</v>
      </c>
      <c r="F8000" s="24" t="s">
        <v>22657</v>
      </c>
      <c r="G8000" s="25">
        <v>2</v>
      </c>
      <c r="H8000" s="26"/>
      <c r="I8000" s="27"/>
    </row>
    <row r="8001" spans="1:9" ht="15.75" thickBot="1" x14ac:dyDescent="0.3">
      <c r="A8001" s="43" t="s">
        <v>16454</v>
      </c>
      <c r="B8001" s="21" t="s">
        <v>16455</v>
      </c>
      <c r="C8001" s="21" t="s">
        <v>22655</v>
      </c>
      <c r="D8001" s="22">
        <v>46046</v>
      </c>
      <c r="E8001" s="23" t="s">
        <v>22656</v>
      </c>
      <c r="F8001" s="24" t="s">
        <v>22657</v>
      </c>
      <c r="G8001" s="25">
        <v>3</v>
      </c>
      <c r="H8001" s="29"/>
      <c r="I8001" s="30"/>
    </row>
    <row r="8002" spans="1:9" ht="15.75" thickBot="1" x14ac:dyDescent="0.3">
      <c r="A8002" s="43" t="s">
        <v>16456</v>
      </c>
      <c r="B8002" s="21" t="s">
        <v>16457</v>
      </c>
      <c r="C8002" s="21" t="s">
        <v>22655</v>
      </c>
      <c r="D8002" s="22">
        <v>46026</v>
      </c>
      <c r="E8002" s="23" t="s">
        <v>22656</v>
      </c>
      <c r="F8002" s="24" t="s">
        <v>22657</v>
      </c>
      <c r="G8002" s="25">
        <v>2</v>
      </c>
      <c r="H8002" s="26"/>
      <c r="I8002" s="27"/>
    </row>
    <row r="8003" spans="1:9" ht="15.75" thickBot="1" x14ac:dyDescent="0.3">
      <c r="A8003" s="43" t="s">
        <v>16458</v>
      </c>
      <c r="B8003" s="21" t="s">
        <v>16459</v>
      </c>
      <c r="C8003" s="21" t="s">
        <v>22655</v>
      </c>
      <c r="D8003" s="22">
        <v>46032</v>
      </c>
      <c r="E8003" s="23" t="s">
        <v>22661</v>
      </c>
      <c r="F8003" s="24" t="s">
        <v>22657</v>
      </c>
      <c r="G8003" s="25">
        <v>4</v>
      </c>
      <c r="H8003" s="29"/>
      <c r="I8003" s="30"/>
    </row>
    <row r="8004" spans="1:9" ht="15.75" thickBot="1" x14ac:dyDescent="0.3">
      <c r="A8004" s="43" t="s">
        <v>16460</v>
      </c>
      <c r="B8004" s="21" t="s">
        <v>16461</v>
      </c>
      <c r="C8004" s="21" t="s">
        <v>22655</v>
      </c>
      <c r="D8004" s="22">
        <v>46046</v>
      </c>
      <c r="E8004" s="23" t="s">
        <v>22656</v>
      </c>
      <c r="F8004" s="24" t="s">
        <v>22657</v>
      </c>
      <c r="G8004" s="25">
        <v>8</v>
      </c>
      <c r="H8004" s="26"/>
      <c r="I8004" s="27"/>
    </row>
    <row r="8005" spans="1:9" ht="15.75" thickBot="1" x14ac:dyDescent="0.3">
      <c r="A8005" s="43" t="s">
        <v>16462</v>
      </c>
      <c r="B8005" s="21" t="s">
        <v>16463</v>
      </c>
      <c r="C8005" s="21" t="s">
        <v>22655</v>
      </c>
      <c r="D8005" s="22">
        <v>46046</v>
      </c>
      <c r="E8005" s="23" t="s">
        <v>22661</v>
      </c>
      <c r="F8005" s="24" t="s">
        <v>22657</v>
      </c>
      <c r="G8005" s="25">
        <v>4</v>
      </c>
      <c r="H8005" s="29"/>
      <c r="I8005" s="30"/>
    </row>
    <row r="8006" spans="1:9" ht="15.75" thickBot="1" x14ac:dyDescent="0.3">
      <c r="A8006" s="43" t="s">
        <v>16464</v>
      </c>
      <c r="B8006" s="21" t="s">
        <v>16465</v>
      </c>
      <c r="C8006" s="21" t="s">
        <v>22672</v>
      </c>
      <c r="D8006" s="22">
        <v>46032</v>
      </c>
      <c r="E8006" s="23" t="s">
        <v>22656</v>
      </c>
      <c r="F8006" s="24" t="s">
        <v>22657</v>
      </c>
      <c r="G8006" s="25">
        <v>4</v>
      </c>
      <c r="H8006" s="26"/>
      <c r="I8006" s="27"/>
    </row>
    <row r="8007" spans="1:9" ht="15.75" thickBot="1" x14ac:dyDescent="0.3">
      <c r="A8007" s="43" t="s">
        <v>16466</v>
      </c>
      <c r="B8007" s="21" t="s">
        <v>16467</v>
      </c>
      <c r="C8007" s="21" t="s">
        <v>22655</v>
      </c>
      <c r="D8007" s="22">
        <v>46034</v>
      </c>
      <c r="E8007" s="23" t="s">
        <v>22656</v>
      </c>
      <c r="F8007" s="24" t="s">
        <v>22657</v>
      </c>
      <c r="G8007" s="25">
        <v>4</v>
      </c>
      <c r="H8007" s="29"/>
      <c r="I8007" s="30"/>
    </row>
    <row r="8008" spans="1:9" ht="15.75" thickBot="1" x14ac:dyDescent="0.3">
      <c r="A8008" s="43" t="s">
        <v>16468</v>
      </c>
      <c r="B8008" s="21" t="s">
        <v>16469</v>
      </c>
      <c r="C8008" s="21" t="s">
        <v>22655</v>
      </c>
      <c r="D8008" s="22">
        <v>46046</v>
      </c>
      <c r="E8008" s="23" t="s">
        <v>22656</v>
      </c>
      <c r="F8008" s="24" t="s">
        <v>22657</v>
      </c>
      <c r="G8008" s="25">
        <v>4</v>
      </c>
      <c r="H8008" s="26"/>
      <c r="I8008" s="27"/>
    </row>
    <row r="8009" spans="1:9" ht="15.75" thickBot="1" x14ac:dyDescent="0.3">
      <c r="A8009" s="43" t="s">
        <v>16470</v>
      </c>
      <c r="B8009" s="21" t="s">
        <v>16471</v>
      </c>
      <c r="C8009" s="21" t="s">
        <v>22655</v>
      </c>
      <c r="D8009" s="31" t="s">
        <v>22795</v>
      </c>
      <c r="E8009" s="23" t="s">
        <v>22656</v>
      </c>
      <c r="F8009" s="24" t="s">
        <v>22657</v>
      </c>
      <c r="G8009" s="25">
        <v>7</v>
      </c>
      <c r="H8009" s="29"/>
      <c r="I8009" s="30"/>
    </row>
    <row r="8010" spans="1:9" ht="15.75" thickBot="1" x14ac:dyDescent="0.3">
      <c r="A8010" s="43" t="s">
        <v>16472</v>
      </c>
      <c r="B8010" s="21" t="s">
        <v>16473</v>
      </c>
      <c r="C8010" s="21" t="s">
        <v>22655</v>
      </c>
      <c r="D8010" s="22">
        <v>46046</v>
      </c>
      <c r="E8010" s="23" t="s">
        <v>22661</v>
      </c>
      <c r="F8010" s="24" t="s">
        <v>22657</v>
      </c>
      <c r="G8010" s="25">
        <v>5</v>
      </c>
      <c r="H8010" s="26"/>
      <c r="I8010" s="27"/>
    </row>
    <row r="8011" spans="1:9" ht="15.75" thickBot="1" x14ac:dyDescent="0.3">
      <c r="A8011" s="43" t="s">
        <v>16474</v>
      </c>
      <c r="B8011" s="21" t="s">
        <v>16475</v>
      </c>
      <c r="C8011" s="21" t="s">
        <v>22655</v>
      </c>
      <c r="D8011" s="31" t="s">
        <v>22786</v>
      </c>
      <c r="E8011" s="23" t="s">
        <v>22656</v>
      </c>
      <c r="F8011" s="24" t="s">
        <v>22657</v>
      </c>
      <c r="G8011" s="25">
        <v>7</v>
      </c>
      <c r="H8011" s="29"/>
      <c r="I8011" s="30"/>
    </row>
    <row r="8012" spans="1:9" ht="15.75" thickBot="1" x14ac:dyDescent="0.3">
      <c r="A8012" s="43" t="s">
        <v>16476</v>
      </c>
      <c r="B8012" s="21" t="s">
        <v>16477</v>
      </c>
      <c r="C8012" s="21" t="s">
        <v>22655</v>
      </c>
      <c r="D8012" s="22">
        <v>46046</v>
      </c>
      <c r="E8012" s="23" t="s">
        <v>22656</v>
      </c>
      <c r="F8012" s="24" t="s">
        <v>22657</v>
      </c>
      <c r="G8012" s="25">
        <v>6</v>
      </c>
      <c r="H8012" s="26"/>
      <c r="I8012" s="27"/>
    </row>
    <row r="8013" spans="1:9" ht="15.75" thickBot="1" x14ac:dyDescent="0.3">
      <c r="A8013" s="43" t="s">
        <v>16478</v>
      </c>
      <c r="B8013" s="21" t="s">
        <v>16479</v>
      </c>
      <c r="C8013" s="21" t="s">
        <v>22672</v>
      </c>
      <c r="D8013" s="22">
        <v>46032</v>
      </c>
      <c r="E8013" s="23" t="s">
        <v>22656</v>
      </c>
      <c r="F8013" s="24" t="s">
        <v>22657</v>
      </c>
      <c r="G8013" s="25">
        <v>4</v>
      </c>
      <c r="H8013" s="29"/>
      <c r="I8013" s="30"/>
    </row>
    <row r="8014" spans="1:9" ht="15.75" thickBot="1" x14ac:dyDescent="0.3">
      <c r="A8014" s="43" t="s">
        <v>1761</v>
      </c>
      <c r="B8014" s="21" t="s">
        <v>1762</v>
      </c>
      <c r="C8014" s="21" t="s">
        <v>22690</v>
      </c>
      <c r="D8014" s="31" t="s">
        <v>22700</v>
      </c>
      <c r="E8014" s="23" t="s">
        <v>22665</v>
      </c>
      <c r="F8014" s="24" t="s">
        <v>22657</v>
      </c>
      <c r="G8014" s="25">
        <v>60</v>
      </c>
      <c r="H8014" s="34">
        <v>60</v>
      </c>
      <c r="I8014" s="35">
        <v>120</v>
      </c>
    </row>
    <row r="8015" spans="1:9" ht="15.75" thickBot="1" x14ac:dyDescent="0.3">
      <c r="A8015" s="43" t="s">
        <v>297</v>
      </c>
      <c r="B8015" s="21" t="s">
        <v>298</v>
      </c>
      <c r="C8015" s="21" t="s">
        <v>22690</v>
      </c>
      <c r="D8015" s="31" t="s">
        <v>22700</v>
      </c>
      <c r="E8015" s="23" t="s">
        <v>22665</v>
      </c>
      <c r="F8015" s="24" t="s">
        <v>22657</v>
      </c>
      <c r="G8015" s="25">
        <v>261</v>
      </c>
      <c r="H8015" s="29"/>
      <c r="I8015" s="30"/>
    </row>
    <row r="8016" spans="1:9" ht="15.75" thickBot="1" x14ac:dyDescent="0.3">
      <c r="A8016" s="43" t="s">
        <v>16480</v>
      </c>
      <c r="B8016" s="21" t="s">
        <v>16481</v>
      </c>
      <c r="C8016" s="21" t="s">
        <v>22655</v>
      </c>
      <c r="D8016" s="22">
        <v>46046</v>
      </c>
      <c r="E8016" s="23" t="s">
        <v>22658</v>
      </c>
      <c r="F8016" s="24" t="s">
        <v>22657</v>
      </c>
      <c r="G8016" s="25">
        <v>8</v>
      </c>
      <c r="H8016" s="26"/>
      <c r="I8016" s="27"/>
    </row>
    <row r="8017" spans="1:9" ht="15.75" thickBot="1" x14ac:dyDescent="0.3">
      <c r="A8017" s="43" t="s">
        <v>16482</v>
      </c>
      <c r="B8017" s="21" t="s">
        <v>16483</v>
      </c>
      <c r="C8017" s="21" t="s">
        <v>22655</v>
      </c>
      <c r="D8017" s="22">
        <v>46034</v>
      </c>
      <c r="E8017" s="23" t="s">
        <v>22658</v>
      </c>
      <c r="F8017" s="24" t="s">
        <v>22657</v>
      </c>
      <c r="G8017" s="25">
        <v>4</v>
      </c>
      <c r="H8017" s="29"/>
      <c r="I8017" s="30"/>
    </row>
    <row r="8018" spans="1:9" ht="15.75" thickBot="1" x14ac:dyDescent="0.3">
      <c r="A8018" s="43" t="s">
        <v>16484</v>
      </c>
      <c r="B8018" s="21" t="s">
        <v>16485</v>
      </c>
      <c r="C8018" s="21" t="s">
        <v>22655</v>
      </c>
      <c r="D8018" s="31" t="s">
        <v>22708</v>
      </c>
      <c r="E8018" s="23" t="s">
        <v>22656</v>
      </c>
      <c r="F8018" s="24" t="s">
        <v>22657</v>
      </c>
      <c r="G8018" s="25">
        <v>4</v>
      </c>
      <c r="H8018" s="26"/>
      <c r="I8018" s="27"/>
    </row>
    <row r="8019" spans="1:9" ht="15.75" thickBot="1" x14ac:dyDescent="0.3">
      <c r="A8019" s="43" t="s">
        <v>16486</v>
      </c>
      <c r="B8019" s="21" t="s">
        <v>16487</v>
      </c>
      <c r="C8019" s="21" t="s">
        <v>22655</v>
      </c>
      <c r="D8019" s="22">
        <v>46046</v>
      </c>
      <c r="E8019" s="23" t="s">
        <v>22656</v>
      </c>
      <c r="F8019" s="24" t="s">
        <v>22657</v>
      </c>
      <c r="G8019" s="25">
        <v>4</v>
      </c>
      <c r="H8019" s="29"/>
      <c r="I8019" s="30"/>
    </row>
    <row r="8020" spans="1:9" ht="15.75" thickBot="1" x14ac:dyDescent="0.3">
      <c r="A8020" s="43" t="s">
        <v>16488</v>
      </c>
      <c r="B8020" s="21" t="s">
        <v>16489</v>
      </c>
      <c r="C8020" s="21" t="s">
        <v>22655</v>
      </c>
      <c r="D8020" s="22">
        <v>46046</v>
      </c>
      <c r="E8020" s="23" t="s">
        <v>22656</v>
      </c>
      <c r="F8020" s="24" t="s">
        <v>22657</v>
      </c>
      <c r="G8020" s="25">
        <v>4</v>
      </c>
      <c r="H8020" s="26"/>
      <c r="I8020" s="27"/>
    </row>
    <row r="8021" spans="1:9" ht="15.75" thickBot="1" x14ac:dyDescent="0.3">
      <c r="A8021" s="43" t="s">
        <v>16490</v>
      </c>
      <c r="B8021" s="21" t="s">
        <v>16491</v>
      </c>
      <c r="C8021" s="21" t="s">
        <v>22655</v>
      </c>
      <c r="D8021" s="22">
        <v>46046</v>
      </c>
      <c r="E8021" s="23" t="s">
        <v>22656</v>
      </c>
      <c r="F8021" s="24" t="s">
        <v>22657</v>
      </c>
      <c r="G8021" s="25">
        <v>4</v>
      </c>
      <c r="H8021" s="29"/>
      <c r="I8021" s="30"/>
    </row>
    <row r="8022" spans="1:9" ht="15.75" thickBot="1" x14ac:dyDescent="0.3">
      <c r="A8022" s="43" t="s">
        <v>16492</v>
      </c>
      <c r="B8022" s="21" t="s">
        <v>16493</v>
      </c>
      <c r="C8022" s="21" t="s">
        <v>22672</v>
      </c>
      <c r="D8022" s="22">
        <v>46034</v>
      </c>
      <c r="E8022" s="23" t="s">
        <v>22658</v>
      </c>
      <c r="F8022" s="24" t="s">
        <v>22657</v>
      </c>
      <c r="G8022" s="25">
        <v>4</v>
      </c>
      <c r="H8022" s="26"/>
      <c r="I8022" s="27"/>
    </row>
    <row r="8023" spans="1:9" ht="15.75" thickBot="1" x14ac:dyDescent="0.3">
      <c r="A8023" s="43" t="s">
        <v>16494</v>
      </c>
      <c r="B8023" s="21" t="s">
        <v>16495</v>
      </c>
      <c r="C8023" s="21" t="s">
        <v>22716</v>
      </c>
      <c r="D8023" s="22">
        <v>46042</v>
      </c>
      <c r="E8023" s="23" t="s">
        <v>22658</v>
      </c>
      <c r="F8023" s="24" t="s">
        <v>22657</v>
      </c>
      <c r="G8023" s="25">
        <v>7</v>
      </c>
      <c r="H8023" s="29"/>
      <c r="I8023" s="30"/>
    </row>
    <row r="8024" spans="1:9" ht="15.75" thickBot="1" x14ac:dyDescent="0.3">
      <c r="A8024" s="43" t="s">
        <v>16496</v>
      </c>
      <c r="B8024" s="21" t="s">
        <v>16497</v>
      </c>
      <c r="C8024" s="21" t="s">
        <v>22655</v>
      </c>
      <c r="D8024" s="22">
        <v>46042</v>
      </c>
      <c r="E8024" s="23" t="s">
        <v>22658</v>
      </c>
      <c r="F8024" s="24" t="s">
        <v>22657</v>
      </c>
      <c r="G8024" s="25">
        <v>2</v>
      </c>
      <c r="H8024" s="26"/>
      <c r="I8024" s="27"/>
    </row>
    <row r="8025" spans="1:9" ht="15.75" thickBot="1" x14ac:dyDescent="0.3">
      <c r="A8025" s="43" t="s">
        <v>16498</v>
      </c>
      <c r="B8025" s="21" t="s">
        <v>16499</v>
      </c>
      <c r="C8025" s="21" t="s">
        <v>22655</v>
      </c>
      <c r="D8025" s="22">
        <v>46042</v>
      </c>
      <c r="E8025" s="23" t="s">
        <v>22658</v>
      </c>
      <c r="F8025" s="24" t="s">
        <v>22657</v>
      </c>
      <c r="G8025" s="25">
        <v>7</v>
      </c>
      <c r="H8025" s="29"/>
      <c r="I8025" s="30"/>
    </row>
    <row r="8026" spans="1:9" ht="15.75" thickBot="1" x14ac:dyDescent="0.3">
      <c r="A8026" s="43" t="s">
        <v>16500</v>
      </c>
      <c r="B8026" s="21" t="s">
        <v>16501</v>
      </c>
      <c r="C8026" s="21" t="s">
        <v>22663</v>
      </c>
      <c r="D8026" s="31">
        <v>1</v>
      </c>
      <c r="E8026" s="23" t="s">
        <v>22658</v>
      </c>
      <c r="F8026" s="24" t="s">
        <v>22657</v>
      </c>
      <c r="G8026" s="25">
        <v>1</v>
      </c>
      <c r="H8026" s="26"/>
      <c r="I8026" s="27"/>
    </row>
    <row r="8027" spans="1:9" ht="15.75" thickBot="1" x14ac:dyDescent="0.3">
      <c r="A8027" s="43" t="s">
        <v>16502</v>
      </c>
      <c r="B8027" s="21" t="s">
        <v>16503</v>
      </c>
      <c r="C8027" s="21" t="s">
        <v>22716</v>
      </c>
      <c r="D8027" s="22">
        <v>46042</v>
      </c>
      <c r="E8027" s="23" t="s">
        <v>22658</v>
      </c>
      <c r="F8027" s="24" t="s">
        <v>22657</v>
      </c>
      <c r="G8027" s="25">
        <v>7</v>
      </c>
      <c r="H8027" s="29"/>
      <c r="I8027" s="30"/>
    </row>
    <row r="8028" spans="1:9" ht="15.75" thickBot="1" x14ac:dyDescent="0.3">
      <c r="A8028" s="43" t="s">
        <v>16504</v>
      </c>
      <c r="B8028" s="21" t="s">
        <v>16505</v>
      </c>
      <c r="C8028" s="21" t="s">
        <v>22663</v>
      </c>
      <c r="D8028" s="31">
        <v>1</v>
      </c>
      <c r="E8028" s="23" t="s">
        <v>22656</v>
      </c>
      <c r="F8028" s="24" t="s">
        <v>22657</v>
      </c>
      <c r="G8028" s="25">
        <v>3</v>
      </c>
      <c r="H8028" s="26"/>
      <c r="I8028" s="27"/>
    </row>
    <row r="8029" spans="1:9" ht="15.75" thickBot="1" x14ac:dyDescent="0.3">
      <c r="A8029" s="43" t="s">
        <v>16506</v>
      </c>
      <c r="B8029" s="21" t="s">
        <v>16507</v>
      </c>
      <c r="C8029" s="21" t="s">
        <v>22682</v>
      </c>
      <c r="D8029" s="22">
        <v>46034</v>
      </c>
      <c r="E8029" s="23" t="s">
        <v>22658</v>
      </c>
      <c r="F8029" s="24" t="s">
        <v>22657</v>
      </c>
      <c r="G8029" s="25">
        <v>2</v>
      </c>
      <c r="H8029" s="29"/>
      <c r="I8029" s="30"/>
    </row>
    <row r="8030" spans="1:9" ht="15.75" thickBot="1" x14ac:dyDescent="0.3">
      <c r="A8030" s="43" t="s">
        <v>16508</v>
      </c>
      <c r="B8030" s="21" t="s">
        <v>16509</v>
      </c>
      <c r="C8030" s="21" t="s">
        <v>22682</v>
      </c>
      <c r="D8030" s="22">
        <v>46034</v>
      </c>
      <c r="E8030" s="23" t="s">
        <v>22658</v>
      </c>
      <c r="F8030" s="24" t="s">
        <v>22657</v>
      </c>
      <c r="G8030" s="25">
        <v>2</v>
      </c>
      <c r="H8030" s="26"/>
      <c r="I8030" s="27"/>
    </row>
    <row r="8031" spans="1:9" ht="15.75" thickBot="1" x14ac:dyDescent="0.3">
      <c r="A8031" s="43" t="s">
        <v>16510</v>
      </c>
      <c r="B8031" s="21" t="s">
        <v>16511</v>
      </c>
      <c r="C8031" s="21" t="s">
        <v>22682</v>
      </c>
      <c r="D8031" s="22">
        <v>46034</v>
      </c>
      <c r="E8031" s="23" t="s">
        <v>22658</v>
      </c>
      <c r="F8031" s="24" t="s">
        <v>22657</v>
      </c>
      <c r="G8031" s="25">
        <v>2</v>
      </c>
      <c r="H8031" s="29"/>
      <c r="I8031" s="30"/>
    </row>
    <row r="8032" spans="1:9" ht="15.75" thickBot="1" x14ac:dyDescent="0.3">
      <c r="A8032" s="43" t="s">
        <v>16512</v>
      </c>
      <c r="B8032" s="21" t="s">
        <v>16513</v>
      </c>
      <c r="C8032" s="21" t="s">
        <v>22682</v>
      </c>
      <c r="D8032" s="22">
        <v>46034</v>
      </c>
      <c r="E8032" s="23" t="s">
        <v>22658</v>
      </c>
      <c r="F8032" s="24" t="s">
        <v>22657</v>
      </c>
      <c r="G8032" s="25">
        <v>4</v>
      </c>
      <c r="H8032" s="26"/>
      <c r="I8032" s="27"/>
    </row>
    <row r="8033" spans="1:9" ht="15.75" thickBot="1" x14ac:dyDescent="0.3">
      <c r="A8033" s="43" t="s">
        <v>16514</v>
      </c>
      <c r="B8033" s="21" t="s">
        <v>16515</v>
      </c>
      <c r="C8033" s="21" t="s">
        <v>22682</v>
      </c>
      <c r="D8033" s="22">
        <v>46034</v>
      </c>
      <c r="E8033" s="23" t="s">
        <v>22658</v>
      </c>
      <c r="F8033" s="24" t="s">
        <v>22657</v>
      </c>
      <c r="G8033" s="25">
        <v>4</v>
      </c>
      <c r="H8033" s="29"/>
      <c r="I8033" s="30"/>
    </row>
    <row r="8034" spans="1:9" ht="15.75" thickBot="1" x14ac:dyDescent="0.3">
      <c r="A8034" s="43" t="s">
        <v>16516</v>
      </c>
      <c r="B8034" s="21" t="s">
        <v>16517</v>
      </c>
      <c r="C8034" s="21" t="s">
        <v>22682</v>
      </c>
      <c r="D8034" s="22">
        <v>46034</v>
      </c>
      <c r="E8034" s="23" t="s">
        <v>22658</v>
      </c>
      <c r="F8034" s="24" t="s">
        <v>22657</v>
      </c>
      <c r="G8034" s="25">
        <v>4</v>
      </c>
      <c r="H8034" s="26"/>
      <c r="I8034" s="27"/>
    </row>
    <row r="8035" spans="1:9" ht="15.75" thickBot="1" x14ac:dyDescent="0.3">
      <c r="A8035" s="43" t="s">
        <v>16518</v>
      </c>
      <c r="B8035" s="21" t="s">
        <v>16519</v>
      </c>
      <c r="C8035" s="21" t="s">
        <v>22682</v>
      </c>
      <c r="D8035" s="22">
        <v>46034</v>
      </c>
      <c r="E8035" s="23" t="s">
        <v>22658</v>
      </c>
      <c r="F8035" s="24" t="s">
        <v>22657</v>
      </c>
      <c r="G8035" s="25">
        <v>4</v>
      </c>
      <c r="H8035" s="29"/>
      <c r="I8035" s="30"/>
    </row>
    <row r="8036" spans="1:9" ht="15.75" thickBot="1" x14ac:dyDescent="0.3">
      <c r="A8036" s="43" t="s">
        <v>16520</v>
      </c>
      <c r="B8036" s="21" t="s">
        <v>16521</v>
      </c>
      <c r="C8036" s="21" t="s">
        <v>22682</v>
      </c>
      <c r="D8036" s="22">
        <v>46034</v>
      </c>
      <c r="E8036" s="23" t="s">
        <v>22658</v>
      </c>
      <c r="F8036" s="24" t="s">
        <v>22657</v>
      </c>
      <c r="G8036" s="25">
        <v>4</v>
      </c>
      <c r="H8036" s="26"/>
      <c r="I8036" s="27"/>
    </row>
    <row r="8037" spans="1:9" ht="15.75" thickBot="1" x14ac:dyDescent="0.3">
      <c r="A8037" s="43" t="s">
        <v>16522</v>
      </c>
      <c r="B8037" s="21" t="s">
        <v>16523</v>
      </c>
      <c r="C8037" s="21" t="s">
        <v>22682</v>
      </c>
      <c r="D8037" s="22">
        <v>46034</v>
      </c>
      <c r="E8037" s="23" t="s">
        <v>22658</v>
      </c>
      <c r="F8037" s="24" t="s">
        <v>22657</v>
      </c>
      <c r="G8037" s="25">
        <v>4</v>
      </c>
      <c r="H8037" s="29"/>
      <c r="I8037" s="30"/>
    </row>
    <row r="8038" spans="1:9" ht="15.75" thickBot="1" x14ac:dyDescent="0.3">
      <c r="A8038" s="43" t="s">
        <v>16524</v>
      </c>
      <c r="B8038" s="21" t="s">
        <v>16525</v>
      </c>
      <c r="C8038" s="21" t="s">
        <v>22682</v>
      </c>
      <c r="D8038" s="22">
        <v>46034</v>
      </c>
      <c r="E8038" s="23" t="s">
        <v>22656</v>
      </c>
      <c r="F8038" s="24" t="s">
        <v>22657</v>
      </c>
      <c r="G8038" s="25">
        <v>4</v>
      </c>
      <c r="H8038" s="26"/>
      <c r="I8038" s="27"/>
    </row>
    <row r="8039" spans="1:9" ht="15.75" thickBot="1" x14ac:dyDescent="0.3">
      <c r="A8039" s="43" t="s">
        <v>16526</v>
      </c>
      <c r="B8039" s="21" t="s">
        <v>16527</v>
      </c>
      <c r="C8039" s="21" t="s">
        <v>22682</v>
      </c>
      <c r="D8039" s="22">
        <v>46034</v>
      </c>
      <c r="E8039" s="23" t="s">
        <v>22658</v>
      </c>
      <c r="F8039" s="24" t="s">
        <v>22657</v>
      </c>
      <c r="G8039" s="25">
        <v>4</v>
      </c>
      <c r="H8039" s="29"/>
      <c r="I8039" s="30"/>
    </row>
    <row r="8040" spans="1:9" ht="15.75" thickBot="1" x14ac:dyDescent="0.3">
      <c r="A8040" s="43" t="s">
        <v>16528</v>
      </c>
      <c r="B8040" s="21" t="s">
        <v>16529</v>
      </c>
      <c r="C8040" s="21" t="s">
        <v>22682</v>
      </c>
      <c r="D8040" s="22">
        <v>46034</v>
      </c>
      <c r="E8040" s="23" t="s">
        <v>22658</v>
      </c>
      <c r="F8040" s="24" t="s">
        <v>22657</v>
      </c>
      <c r="G8040" s="25">
        <v>4</v>
      </c>
      <c r="H8040" s="26"/>
      <c r="I8040" s="27"/>
    </row>
    <row r="8041" spans="1:9" ht="15.75" thickBot="1" x14ac:dyDescent="0.3">
      <c r="A8041" s="43" t="s">
        <v>16530</v>
      </c>
      <c r="B8041" s="21" t="s">
        <v>16531</v>
      </c>
      <c r="C8041" s="21" t="s">
        <v>22663</v>
      </c>
      <c r="D8041" s="31">
        <v>1</v>
      </c>
      <c r="E8041" s="23" t="s">
        <v>22658</v>
      </c>
      <c r="F8041" s="24" t="s">
        <v>22657</v>
      </c>
      <c r="G8041" s="25">
        <v>1</v>
      </c>
      <c r="H8041" s="29"/>
      <c r="I8041" s="30"/>
    </row>
    <row r="8042" spans="1:9" ht="15.75" thickBot="1" x14ac:dyDescent="0.3">
      <c r="A8042" s="43" t="s">
        <v>16532</v>
      </c>
      <c r="B8042" s="21" t="s">
        <v>16533</v>
      </c>
      <c r="C8042" s="21" t="s">
        <v>22682</v>
      </c>
      <c r="D8042" s="22">
        <v>46034</v>
      </c>
      <c r="E8042" s="23" t="s">
        <v>22658</v>
      </c>
      <c r="F8042" s="24" t="s">
        <v>22657</v>
      </c>
      <c r="G8042" s="25">
        <v>4</v>
      </c>
      <c r="H8042" s="26"/>
      <c r="I8042" s="27"/>
    </row>
    <row r="8043" spans="1:9" ht="15.75" thickBot="1" x14ac:dyDescent="0.3">
      <c r="A8043" s="43" t="s">
        <v>16534</v>
      </c>
      <c r="B8043" s="21" t="s">
        <v>16535</v>
      </c>
      <c r="C8043" s="21" t="s">
        <v>22682</v>
      </c>
      <c r="D8043" s="22">
        <v>46034</v>
      </c>
      <c r="E8043" s="23" t="s">
        <v>22658</v>
      </c>
      <c r="F8043" s="24" t="s">
        <v>22657</v>
      </c>
      <c r="G8043" s="25">
        <v>4</v>
      </c>
      <c r="H8043" s="29"/>
      <c r="I8043" s="30"/>
    </row>
    <row r="8044" spans="1:9" ht="15.75" thickBot="1" x14ac:dyDescent="0.3">
      <c r="A8044" s="43" t="s">
        <v>16536</v>
      </c>
      <c r="B8044" s="21" t="s">
        <v>16537</v>
      </c>
      <c r="C8044" s="21" t="s">
        <v>22682</v>
      </c>
      <c r="D8044" s="22">
        <v>46034</v>
      </c>
      <c r="E8044" s="23" t="s">
        <v>22658</v>
      </c>
      <c r="F8044" s="24" t="s">
        <v>22657</v>
      </c>
      <c r="G8044" s="25">
        <v>4</v>
      </c>
      <c r="H8044" s="26"/>
      <c r="I8044" s="27"/>
    </row>
    <row r="8045" spans="1:9" ht="15.75" thickBot="1" x14ac:dyDescent="0.3">
      <c r="A8045" s="43" t="s">
        <v>16538</v>
      </c>
      <c r="B8045" s="21" t="s">
        <v>16539</v>
      </c>
      <c r="C8045" s="21" t="s">
        <v>22682</v>
      </c>
      <c r="D8045" s="22">
        <v>46034</v>
      </c>
      <c r="E8045" s="23" t="s">
        <v>22658</v>
      </c>
      <c r="F8045" s="24" t="s">
        <v>22657</v>
      </c>
      <c r="G8045" s="25">
        <v>4</v>
      </c>
      <c r="H8045" s="29"/>
      <c r="I8045" s="30"/>
    </row>
    <row r="8046" spans="1:9" ht="15.75" thickBot="1" x14ac:dyDescent="0.3">
      <c r="A8046" s="43" t="s">
        <v>16540</v>
      </c>
      <c r="B8046" s="21" t="s">
        <v>16541</v>
      </c>
      <c r="C8046" s="21" t="s">
        <v>22682</v>
      </c>
      <c r="D8046" s="22">
        <v>46034</v>
      </c>
      <c r="E8046" s="23" t="s">
        <v>22656</v>
      </c>
      <c r="F8046" s="24" t="s">
        <v>22657</v>
      </c>
      <c r="G8046" s="25">
        <v>4</v>
      </c>
      <c r="H8046" s="26"/>
      <c r="I8046" s="27"/>
    </row>
    <row r="8047" spans="1:9" ht="15.75" thickBot="1" x14ac:dyDescent="0.3">
      <c r="A8047" s="43" t="s">
        <v>16542</v>
      </c>
      <c r="B8047" s="21" t="s">
        <v>16543</v>
      </c>
      <c r="C8047" s="21" t="s">
        <v>22682</v>
      </c>
      <c r="D8047" s="22">
        <v>46034</v>
      </c>
      <c r="E8047" s="23" t="s">
        <v>22656</v>
      </c>
      <c r="F8047" s="24" t="s">
        <v>22657</v>
      </c>
      <c r="G8047" s="25">
        <v>4</v>
      </c>
      <c r="H8047" s="29"/>
      <c r="I8047" s="30"/>
    </row>
    <row r="8048" spans="1:9" ht="15.75" thickBot="1" x14ac:dyDescent="0.3">
      <c r="A8048" s="43" t="s">
        <v>16544</v>
      </c>
      <c r="B8048" s="21" t="s">
        <v>16545</v>
      </c>
      <c r="C8048" s="21" t="s">
        <v>22682</v>
      </c>
      <c r="D8048" s="22">
        <v>46034</v>
      </c>
      <c r="E8048" s="23" t="s">
        <v>22658</v>
      </c>
      <c r="F8048" s="24" t="s">
        <v>22657</v>
      </c>
      <c r="G8048" s="25">
        <v>4</v>
      </c>
      <c r="H8048" s="26"/>
      <c r="I8048" s="27"/>
    </row>
    <row r="8049" spans="1:9" ht="15.75" thickBot="1" x14ac:dyDescent="0.3">
      <c r="A8049" s="43" t="s">
        <v>16546</v>
      </c>
      <c r="B8049" s="21" t="s">
        <v>16547</v>
      </c>
      <c r="C8049" s="21" t="s">
        <v>22682</v>
      </c>
      <c r="D8049" s="22">
        <v>46034</v>
      </c>
      <c r="E8049" s="23" t="s">
        <v>22656</v>
      </c>
      <c r="F8049" s="24" t="s">
        <v>22657</v>
      </c>
      <c r="G8049" s="25">
        <v>4</v>
      </c>
      <c r="H8049" s="29"/>
      <c r="I8049" s="30"/>
    </row>
    <row r="8050" spans="1:9" ht="15.75" thickBot="1" x14ac:dyDescent="0.3">
      <c r="A8050" s="43" t="s">
        <v>16548</v>
      </c>
      <c r="B8050" s="21" t="s">
        <v>16549</v>
      </c>
      <c r="C8050" s="21" t="s">
        <v>22682</v>
      </c>
      <c r="D8050" s="22">
        <v>46034</v>
      </c>
      <c r="E8050" s="23" t="s">
        <v>22658</v>
      </c>
      <c r="F8050" s="24" t="s">
        <v>22657</v>
      </c>
      <c r="G8050" s="25">
        <v>4</v>
      </c>
      <c r="H8050" s="26"/>
      <c r="I8050" s="27"/>
    </row>
    <row r="8051" spans="1:9" ht="15.75" thickBot="1" x14ac:dyDescent="0.3">
      <c r="A8051" s="43" t="s">
        <v>16550</v>
      </c>
      <c r="B8051" s="21" t="s">
        <v>16551</v>
      </c>
      <c r="C8051" s="21" t="s">
        <v>22682</v>
      </c>
      <c r="D8051" s="22">
        <v>46034</v>
      </c>
      <c r="E8051" s="23" t="s">
        <v>22658</v>
      </c>
      <c r="F8051" s="24" t="s">
        <v>22657</v>
      </c>
      <c r="G8051" s="25">
        <v>4</v>
      </c>
      <c r="H8051" s="29"/>
      <c r="I8051" s="30"/>
    </row>
    <row r="8052" spans="1:9" ht="15.75" thickBot="1" x14ac:dyDescent="0.3">
      <c r="A8052" s="43" t="s">
        <v>16552</v>
      </c>
      <c r="B8052" s="21" t="s">
        <v>16553</v>
      </c>
      <c r="C8052" s="21" t="s">
        <v>22682</v>
      </c>
      <c r="D8052" s="22">
        <v>46034</v>
      </c>
      <c r="E8052" s="23" t="s">
        <v>22658</v>
      </c>
      <c r="F8052" s="24" t="s">
        <v>22657</v>
      </c>
      <c r="G8052" s="25">
        <v>4</v>
      </c>
      <c r="H8052" s="26"/>
      <c r="I8052" s="27"/>
    </row>
    <row r="8053" spans="1:9" ht="15.75" thickBot="1" x14ac:dyDescent="0.3">
      <c r="A8053" s="43" t="s">
        <v>16554</v>
      </c>
      <c r="B8053" s="21" t="s">
        <v>16555</v>
      </c>
      <c r="C8053" s="21" t="s">
        <v>22655</v>
      </c>
      <c r="D8053" s="22">
        <v>46042</v>
      </c>
      <c r="E8053" s="23" t="s">
        <v>22656</v>
      </c>
      <c r="F8053" s="24" t="s">
        <v>22657</v>
      </c>
      <c r="G8053" s="25">
        <v>2</v>
      </c>
      <c r="H8053" s="29"/>
      <c r="I8053" s="30"/>
    </row>
    <row r="8054" spans="1:9" ht="15.75" thickBot="1" x14ac:dyDescent="0.3">
      <c r="A8054" s="43" t="s">
        <v>16556</v>
      </c>
      <c r="B8054" s="21" t="s">
        <v>16557</v>
      </c>
      <c r="C8054" s="21" t="s">
        <v>22655</v>
      </c>
      <c r="D8054" s="22">
        <v>46042</v>
      </c>
      <c r="E8054" s="23" t="s">
        <v>22658</v>
      </c>
      <c r="F8054" s="24" t="s">
        <v>22657</v>
      </c>
      <c r="G8054" s="25">
        <v>2</v>
      </c>
      <c r="H8054" s="26"/>
      <c r="I8054" s="27"/>
    </row>
    <row r="8055" spans="1:9" ht="15.75" thickBot="1" x14ac:dyDescent="0.3">
      <c r="A8055" s="43" t="s">
        <v>16558</v>
      </c>
      <c r="B8055" s="21" t="s">
        <v>16559</v>
      </c>
      <c r="C8055" s="21" t="s">
        <v>22682</v>
      </c>
      <c r="D8055" s="22">
        <v>46034</v>
      </c>
      <c r="E8055" s="23" t="s">
        <v>22656</v>
      </c>
      <c r="F8055" s="24" t="s">
        <v>22657</v>
      </c>
      <c r="G8055" s="25">
        <v>4</v>
      </c>
      <c r="H8055" s="29"/>
      <c r="I8055" s="30"/>
    </row>
    <row r="8056" spans="1:9" ht="15.75" thickBot="1" x14ac:dyDescent="0.3">
      <c r="A8056" s="43" t="s">
        <v>16560</v>
      </c>
      <c r="B8056" s="21" t="s">
        <v>16561</v>
      </c>
      <c r="C8056" s="21" t="s">
        <v>22682</v>
      </c>
      <c r="D8056" s="22">
        <v>46034</v>
      </c>
      <c r="E8056" s="23" t="s">
        <v>22658</v>
      </c>
      <c r="F8056" s="24" t="s">
        <v>22657</v>
      </c>
      <c r="G8056" s="25">
        <v>4</v>
      </c>
      <c r="H8056" s="26"/>
      <c r="I8056" s="27"/>
    </row>
    <row r="8057" spans="1:9" ht="15.75" thickBot="1" x14ac:dyDescent="0.3">
      <c r="A8057" s="43" t="s">
        <v>16562</v>
      </c>
      <c r="B8057" s="21" t="s">
        <v>16563</v>
      </c>
      <c r="C8057" s="21" t="s">
        <v>22682</v>
      </c>
      <c r="D8057" s="22">
        <v>46034</v>
      </c>
      <c r="E8057" s="23" t="s">
        <v>22656</v>
      </c>
      <c r="F8057" s="24" t="s">
        <v>22657</v>
      </c>
      <c r="G8057" s="25">
        <v>4</v>
      </c>
      <c r="H8057" s="29"/>
      <c r="I8057" s="30"/>
    </row>
    <row r="8058" spans="1:9" ht="15.75" thickBot="1" x14ac:dyDescent="0.3">
      <c r="A8058" s="43" t="s">
        <v>16564</v>
      </c>
      <c r="B8058" s="21" t="s">
        <v>16565</v>
      </c>
      <c r="C8058" s="21" t="s">
        <v>22682</v>
      </c>
      <c r="D8058" s="22">
        <v>46034</v>
      </c>
      <c r="E8058" s="23" t="s">
        <v>22658</v>
      </c>
      <c r="F8058" s="24" t="s">
        <v>22657</v>
      </c>
      <c r="G8058" s="25">
        <v>4</v>
      </c>
      <c r="H8058" s="26"/>
      <c r="I8058" s="27"/>
    </row>
    <row r="8059" spans="1:9" ht="15.75" thickBot="1" x14ac:dyDescent="0.3">
      <c r="A8059" s="43" t="s">
        <v>16566</v>
      </c>
      <c r="B8059" s="21" t="s">
        <v>16567</v>
      </c>
      <c r="C8059" s="21" t="s">
        <v>22682</v>
      </c>
      <c r="D8059" s="22">
        <v>46034</v>
      </c>
      <c r="E8059" s="23" t="s">
        <v>22658</v>
      </c>
      <c r="F8059" s="24" t="s">
        <v>22657</v>
      </c>
      <c r="G8059" s="25">
        <v>4</v>
      </c>
      <c r="H8059" s="29"/>
      <c r="I8059" s="30"/>
    </row>
    <row r="8060" spans="1:9" ht="15.75" thickBot="1" x14ac:dyDescent="0.3">
      <c r="A8060" s="43" t="s">
        <v>16568</v>
      </c>
      <c r="B8060" s="21" t="s">
        <v>16569</v>
      </c>
      <c r="C8060" s="21" t="s">
        <v>22682</v>
      </c>
      <c r="D8060" s="22">
        <v>46034</v>
      </c>
      <c r="E8060" s="23" t="s">
        <v>22658</v>
      </c>
      <c r="F8060" s="24" t="s">
        <v>22657</v>
      </c>
      <c r="G8060" s="25">
        <v>4</v>
      </c>
      <c r="H8060" s="26"/>
      <c r="I8060" s="27"/>
    </row>
    <row r="8061" spans="1:9" ht="15.75" thickBot="1" x14ac:dyDescent="0.3">
      <c r="A8061" s="43" t="s">
        <v>16570</v>
      </c>
      <c r="B8061" s="21" t="s">
        <v>16571</v>
      </c>
      <c r="C8061" s="21" t="s">
        <v>22682</v>
      </c>
      <c r="D8061" s="22">
        <v>46034</v>
      </c>
      <c r="E8061" s="23" t="s">
        <v>22658</v>
      </c>
      <c r="F8061" s="24" t="s">
        <v>22657</v>
      </c>
      <c r="G8061" s="25">
        <v>4</v>
      </c>
      <c r="H8061" s="29"/>
      <c r="I8061" s="30"/>
    </row>
    <row r="8062" spans="1:9" ht="15.75" thickBot="1" x14ac:dyDescent="0.3">
      <c r="A8062" s="43" t="s">
        <v>16572</v>
      </c>
      <c r="B8062" s="21" t="s">
        <v>16573</v>
      </c>
      <c r="C8062" s="21" t="s">
        <v>22682</v>
      </c>
      <c r="D8062" s="22">
        <v>46034</v>
      </c>
      <c r="E8062" s="23" t="s">
        <v>22658</v>
      </c>
      <c r="F8062" s="24" t="s">
        <v>22657</v>
      </c>
      <c r="G8062" s="25">
        <v>4</v>
      </c>
      <c r="H8062" s="26"/>
      <c r="I8062" s="27"/>
    </row>
    <row r="8063" spans="1:9" ht="15.75" thickBot="1" x14ac:dyDescent="0.3">
      <c r="A8063" s="43" t="s">
        <v>16574</v>
      </c>
      <c r="B8063" s="21" t="s">
        <v>16575</v>
      </c>
      <c r="C8063" s="21" t="s">
        <v>22682</v>
      </c>
      <c r="D8063" s="22">
        <v>46034</v>
      </c>
      <c r="E8063" s="23" t="s">
        <v>22656</v>
      </c>
      <c r="F8063" s="24" t="s">
        <v>22657</v>
      </c>
      <c r="G8063" s="25">
        <v>4</v>
      </c>
      <c r="H8063" s="29"/>
      <c r="I8063" s="30"/>
    </row>
    <row r="8064" spans="1:9" ht="15.75" thickBot="1" x14ac:dyDescent="0.3">
      <c r="A8064" s="43" t="s">
        <v>16576</v>
      </c>
      <c r="B8064" s="21" t="s">
        <v>16577</v>
      </c>
      <c r="C8064" s="21" t="s">
        <v>22682</v>
      </c>
      <c r="D8064" s="22">
        <v>46034</v>
      </c>
      <c r="E8064" s="23" t="s">
        <v>22658</v>
      </c>
      <c r="F8064" s="24" t="s">
        <v>22657</v>
      </c>
      <c r="G8064" s="25">
        <v>4</v>
      </c>
      <c r="H8064" s="26"/>
      <c r="I8064" s="27"/>
    </row>
    <row r="8065" spans="1:9" ht="15.75" thickBot="1" x14ac:dyDescent="0.3">
      <c r="A8065" s="43" t="s">
        <v>16578</v>
      </c>
      <c r="B8065" s="21" t="s">
        <v>16579</v>
      </c>
      <c r="C8065" s="21" t="s">
        <v>22682</v>
      </c>
      <c r="D8065" s="22">
        <v>46034</v>
      </c>
      <c r="E8065" s="23" t="s">
        <v>22658</v>
      </c>
      <c r="F8065" s="24" t="s">
        <v>22657</v>
      </c>
      <c r="G8065" s="25">
        <v>4</v>
      </c>
      <c r="H8065" s="29"/>
      <c r="I8065" s="30"/>
    </row>
    <row r="8066" spans="1:9" ht="15.75" thickBot="1" x14ac:dyDescent="0.3">
      <c r="A8066" s="43" t="s">
        <v>16580</v>
      </c>
      <c r="B8066" s="21" t="s">
        <v>16581</v>
      </c>
      <c r="C8066" s="21" t="s">
        <v>22655</v>
      </c>
      <c r="D8066" s="31" t="s">
        <v>22708</v>
      </c>
      <c r="E8066" s="23" t="s">
        <v>22656</v>
      </c>
      <c r="F8066" s="24" t="s">
        <v>22657</v>
      </c>
      <c r="G8066" s="25">
        <v>4</v>
      </c>
      <c r="H8066" s="26"/>
      <c r="I8066" s="27"/>
    </row>
    <row r="8067" spans="1:9" ht="15.75" thickBot="1" x14ac:dyDescent="0.3">
      <c r="A8067" s="43" t="s">
        <v>16582</v>
      </c>
      <c r="B8067" s="21" t="s">
        <v>16583</v>
      </c>
      <c r="C8067" s="21" t="s">
        <v>22655</v>
      </c>
      <c r="D8067" s="31" t="s">
        <v>22708</v>
      </c>
      <c r="E8067" s="23" t="s">
        <v>22656</v>
      </c>
      <c r="F8067" s="24" t="s">
        <v>22657</v>
      </c>
      <c r="G8067" s="25">
        <v>4</v>
      </c>
      <c r="H8067" s="29"/>
      <c r="I8067" s="30"/>
    </row>
    <row r="8068" spans="1:9" ht="15.75" thickBot="1" x14ac:dyDescent="0.3">
      <c r="A8068" s="43" t="s">
        <v>16584</v>
      </c>
      <c r="B8068" s="21" t="s">
        <v>16585</v>
      </c>
      <c r="C8068" s="21" t="s">
        <v>22655</v>
      </c>
      <c r="D8068" s="22">
        <v>46034</v>
      </c>
      <c r="E8068" s="23" t="s">
        <v>22656</v>
      </c>
      <c r="F8068" s="24" t="s">
        <v>22657</v>
      </c>
      <c r="G8068" s="25">
        <v>4</v>
      </c>
      <c r="H8068" s="26"/>
      <c r="I8068" s="27"/>
    </row>
    <row r="8069" spans="1:9" ht="15.75" thickBot="1" x14ac:dyDescent="0.3">
      <c r="A8069" s="43" t="s">
        <v>16586</v>
      </c>
      <c r="B8069" s="21" t="s">
        <v>16587</v>
      </c>
      <c r="C8069" s="21" t="s">
        <v>22655</v>
      </c>
      <c r="D8069" s="22">
        <v>46034</v>
      </c>
      <c r="E8069" s="23" t="s">
        <v>22658</v>
      </c>
      <c r="F8069" s="24" t="s">
        <v>22657</v>
      </c>
      <c r="G8069" s="25">
        <v>4</v>
      </c>
      <c r="H8069" s="29"/>
      <c r="I8069" s="30"/>
    </row>
    <row r="8070" spans="1:9" ht="15.75" thickBot="1" x14ac:dyDescent="0.3">
      <c r="A8070" s="43" t="s">
        <v>16588</v>
      </c>
      <c r="B8070" s="21" t="s">
        <v>16589</v>
      </c>
      <c r="C8070" s="21" t="s">
        <v>22655</v>
      </c>
      <c r="D8070" s="22">
        <v>46034</v>
      </c>
      <c r="E8070" s="23" t="s">
        <v>22656</v>
      </c>
      <c r="F8070" s="24" t="s">
        <v>22657</v>
      </c>
      <c r="G8070" s="25">
        <v>4</v>
      </c>
      <c r="H8070" s="26"/>
      <c r="I8070" s="27"/>
    </row>
    <row r="8071" spans="1:9" ht="15.75" thickBot="1" x14ac:dyDescent="0.3">
      <c r="A8071" s="43" t="s">
        <v>16590</v>
      </c>
      <c r="B8071" s="21" t="s">
        <v>16591</v>
      </c>
      <c r="C8071" s="21" t="s">
        <v>22655</v>
      </c>
      <c r="D8071" s="22">
        <v>46034</v>
      </c>
      <c r="E8071" s="23" t="s">
        <v>22658</v>
      </c>
      <c r="F8071" s="24" t="s">
        <v>22657</v>
      </c>
      <c r="G8071" s="25">
        <v>4</v>
      </c>
      <c r="H8071" s="29"/>
      <c r="I8071" s="30"/>
    </row>
    <row r="8072" spans="1:9" ht="15.75" thickBot="1" x14ac:dyDescent="0.3">
      <c r="A8072" s="43" t="s">
        <v>16592</v>
      </c>
      <c r="B8072" s="21" t="s">
        <v>16593</v>
      </c>
      <c r="C8072" s="21" t="s">
        <v>22655</v>
      </c>
      <c r="D8072" s="22">
        <v>46025</v>
      </c>
      <c r="E8072" s="23" t="s">
        <v>22658</v>
      </c>
      <c r="F8072" s="24" t="s">
        <v>22657</v>
      </c>
      <c r="G8072" s="25">
        <v>1</v>
      </c>
      <c r="H8072" s="26"/>
      <c r="I8072" s="27"/>
    </row>
    <row r="8073" spans="1:9" ht="15.75" thickBot="1" x14ac:dyDescent="0.3">
      <c r="A8073" s="43" t="s">
        <v>16594</v>
      </c>
      <c r="B8073" s="21" t="s">
        <v>16595</v>
      </c>
      <c r="C8073" s="21" t="s">
        <v>22655</v>
      </c>
      <c r="D8073" s="22">
        <v>46034</v>
      </c>
      <c r="E8073" s="23" t="s">
        <v>22661</v>
      </c>
      <c r="F8073" s="24" t="s">
        <v>22657</v>
      </c>
      <c r="G8073" s="25">
        <v>4</v>
      </c>
      <c r="H8073" s="29"/>
      <c r="I8073" s="30"/>
    </row>
    <row r="8074" spans="1:9" ht="15.75" thickBot="1" x14ac:dyDescent="0.3">
      <c r="A8074" s="43" t="s">
        <v>16596</v>
      </c>
      <c r="B8074" s="21" t="s">
        <v>16597</v>
      </c>
      <c r="C8074" s="21" t="s">
        <v>22655</v>
      </c>
      <c r="D8074" s="22">
        <v>46034</v>
      </c>
      <c r="E8074" s="23" t="s">
        <v>22658</v>
      </c>
      <c r="F8074" s="24" t="s">
        <v>22657</v>
      </c>
      <c r="G8074" s="25">
        <v>4</v>
      </c>
      <c r="H8074" s="26"/>
      <c r="I8074" s="27"/>
    </row>
    <row r="8075" spans="1:9" ht="15.75" thickBot="1" x14ac:dyDescent="0.3">
      <c r="A8075" s="43" t="s">
        <v>16598</v>
      </c>
      <c r="B8075" s="21" t="s">
        <v>16599</v>
      </c>
      <c r="C8075" s="21" t="s">
        <v>22655</v>
      </c>
      <c r="D8075" s="22">
        <v>46034</v>
      </c>
      <c r="E8075" s="23" t="s">
        <v>22656</v>
      </c>
      <c r="F8075" s="24" t="s">
        <v>22657</v>
      </c>
      <c r="G8075" s="25">
        <v>4</v>
      </c>
      <c r="H8075" s="29"/>
      <c r="I8075" s="30"/>
    </row>
    <row r="8076" spans="1:9" ht="15.75" thickBot="1" x14ac:dyDescent="0.3">
      <c r="A8076" s="43" t="s">
        <v>16600</v>
      </c>
      <c r="B8076" s="21" t="s">
        <v>16601</v>
      </c>
      <c r="C8076" s="21" t="s">
        <v>22655</v>
      </c>
      <c r="D8076" s="22">
        <v>46025</v>
      </c>
      <c r="E8076" s="23" t="s">
        <v>22658</v>
      </c>
      <c r="F8076" s="24" t="s">
        <v>22657</v>
      </c>
      <c r="G8076" s="25">
        <v>1</v>
      </c>
      <c r="H8076" s="26"/>
      <c r="I8076" s="27"/>
    </row>
    <row r="8077" spans="1:9" ht="15.75" thickBot="1" x14ac:dyDescent="0.3">
      <c r="A8077" s="43" t="s">
        <v>16602</v>
      </c>
      <c r="B8077" s="21" t="s">
        <v>16603</v>
      </c>
      <c r="C8077" s="21" t="s">
        <v>22655</v>
      </c>
      <c r="D8077" s="22">
        <v>46025</v>
      </c>
      <c r="E8077" s="23" t="s">
        <v>22658</v>
      </c>
      <c r="F8077" s="24" t="s">
        <v>22657</v>
      </c>
      <c r="G8077" s="25">
        <v>1</v>
      </c>
      <c r="H8077" s="29"/>
      <c r="I8077" s="30"/>
    </row>
    <row r="8078" spans="1:9" ht="15.75" thickBot="1" x14ac:dyDescent="0.3">
      <c r="A8078" s="43" t="s">
        <v>16604</v>
      </c>
      <c r="B8078" s="21" t="s">
        <v>16605</v>
      </c>
      <c r="C8078" s="21" t="s">
        <v>22655</v>
      </c>
      <c r="D8078" s="22">
        <v>46034</v>
      </c>
      <c r="E8078" s="23" t="s">
        <v>22656</v>
      </c>
      <c r="F8078" s="24" t="s">
        <v>22657</v>
      </c>
      <c r="G8078" s="25">
        <v>4</v>
      </c>
      <c r="H8078" s="26"/>
      <c r="I8078" s="27"/>
    </row>
    <row r="8079" spans="1:9" ht="15.75" thickBot="1" x14ac:dyDescent="0.3">
      <c r="A8079" s="43" t="s">
        <v>22619</v>
      </c>
      <c r="B8079" s="21" t="s">
        <v>22620</v>
      </c>
      <c r="C8079" s="36" t="e">
        <v>#N/A</v>
      </c>
      <c r="D8079" s="37" t="e">
        <v>#N/A</v>
      </c>
      <c r="E8079" s="23" t="e">
        <v>#N/A</v>
      </c>
      <c r="F8079" s="24" t="s">
        <v>22657</v>
      </c>
      <c r="G8079" s="25" t="e">
        <v>#N/A</v>
      </c>
      <c r="H8079" s="29"/>
      <c r="I8079" s="30"/>
    </row>
    <row r="8080" spans="1:9" ht="15.75" thickBot="1" x14ac:dyDescent="0.3">
      <c r="A8080" s="43" t="s">
        <v>1831</v>
      </c>
      <c r="B8080" s="21" t="s">
        <v>1832</v>
      </c>
      <c r="C8080" s="21" t="s">
        <v>22655</v>
      </c>
      <c r="D8080" s="22">
        <v>46032</v>
      </c>
      <c r="E8080" s="23" t="s">
        <v>22662</v>
      </c>
      <c r="F8080" s="24" t="s">
        <v>22657</v>
      </c>
      <c r="G8080" s="25">
        <v>40</v>
      </c>
      <c r="H8080" s="34">
        <v>40</v>
      </c>
      <c r="I8080" s="35">
        <v>60</v>
      </c>
    </row>
    <row r="8081" spans="1:9" ht="15.75" thickBot="1" x14ac:dyDescent="0.3">
      <c r="A8081" s="43" t="s">
        <v>16606</v>
      </c>
      <c r="B8081" s="21" t="s">
        <v>16607</v>
      </c>
      <c r="C8081" s="21" t="s">
        <v>22655</v>
      </c>
      <c r="D8081" s="22">
        <v>46042</v>
      </c>
      <c r="E8081" s="23" t="s">
        <v>22658</v>
      </c>
      <c r="F8081" s="24" t="s">
        <v>22657</v>
      </c>
      <c r="G8081" s="25">
        <v>7</v>
      </c>
      <c r="H8081" s="29"/>
      <c r="I8081" s="30"/>
    </row>
    <row r="8082" spans="1:9" ht="15.75" thickBot="1" x14ac:dyDescent="0.3">
      <c r="A8082" s="43" t="s">
        <v>16608</v>
      </c>
      <c r="B8082" s="21" t="s">
        <v>16609</v>
      </c>
      <c r="C8082" s="21" t="s">
        <v>22655</v>
      </c>
      <c r="D8082" s="22">
        <v>46042</v>
      </c>
      <c r="E8082" s="23" t="s">
        <v>22656</v>
      </c>
      <c r="F8082" s="24" t="s">
        <v>22657</v>
      </c>
      <c r="G8082" s="25">
        <v>7</v>
      </c>
      <c r="H8082" s="26"/>
      <c r="I8082" s="27"/>
    </row>
    <row r="8083" spans="1:9" ht="15.75" thickBot="1" x14ac:dyDescent="0.3">
      <c r="A8083" s="43" t="s">
        <v>886</v>
      </c>
      <c r="B8083" s="21" t="s">
        <v>16610</v>
      </c>
      <c r="C8083" s="21" t="s">
        <v>22655</v>
      </c>
      <c r="D8083" s="22">
        <v>46034</v>
      </c>
      <c r="E8083" s="23" t="s">
        <v>22662</v>
      </c>
      <c r="F8083" s="24" t="s">
        <v>22657</v>
      </c>
      <c r="G8083" s="25">
        <v>120</v>
      </c>
      <c r="H8083" s="32">
        <v>120</v>
      </c>
      <c r="I8083" s="33">
        <v>480</v>
      </c>
    </row>
    <row r="8084" spans="1:9" ht="15.75" thickBot="1" x14ac:dyDescent="0.3">
      <c r="A8084" s="43" t="s">
        <v>575</v>
      </c>
      <c r="B8084" s="21" t="s">
        <v>16611</v>
      </c>
      <c r="C8084" s="21" t="s">
        <v>22787</v>
      </c>
      <c r="D8084" s="22">
        <v>46027</v>
      </c>
      <c r="E8084" s="23" t="s">
        <v>22665</v>
      </c>
      <c r="F8084" s="24" t="s">
        <v>22657</v>
      </c>
      <c r="G8084" s="25">
        <v>30</v>
      </c>
      <c r="H8084" s="34">
        <v>30</v>
      </c>
      <c r="I8084" s="35">
        <v>60</v>
      </c>
    </row>
    <row r="8085" spans="1:9" ht="15.75" thickBot="1" x14ac:dyDescent="0.3">
      <c r="A8085" s="43" t="s">
        <v>16612</v>
      </c>
      <c r="B8085" s="21" t="s">
        <v>16613</v>
      </c>
      <c r="C8085" s="21" t="s">
        <v>22655</v>
      </c>
      <c r="D8085" s="31" t="s">
        <v>22683</v>
      </c>
      <c r="E8085" s="23" t="s">
        <v>22661</v>
      </c>
      <c r="F8085" s="24" t="s">
        <v>22657</v>
      </c>
      <c r="G8085" s="25">
        <v>10</v>
      </c>
      <c r="H8085" s="29"/>
      <c r="I8085" s="30"/>
    </row>
    <row r="8086" spans="1:9" ht="15.75" thickBot="1" x14ac:dyDescent="0.3">
      <c r="A8086" s="43" t="s">
        <v>16614</v>
      </c>
      <c r="B8086" s="21" t="s">
        <v>16615</v>
      </c>
      <c r="C8086" s="21" t="s">
        <v>22655</v>
      </c>
      <c r="D8086" s="22">
        <v>46042</v>
      </c>
      <c r="E8086" s="23" t="s">
        <v>22656</v>
      </c>
      <c r="F8086" s="24" t="s">
        <v>22657</v>
      </c>
      <c r="G8086" s="25">
        <v>7</v>
      </c>
      <c r="H8086" s="26"/>
      <c r="I8086" s="27"/>
    </row>
    <row r="8087" spans="1:9" ht="15.75" thickBot="1" x14ac:dyDescent="0.3">
      <c r="A8087" s="43" t="s">
        <v>16616</v>
      </c>
      <c r="B8087" s="21" t="s">
        <v>16617</v>
      </c>
      <c r="C8087" s="21" t="s">
        <v>22716</v>
      </c>
      <c r="D8087" s="22">
        <v>46032</v>
      </c>
      <c r="E8087" s="23" t="s">
        <v>22656</v>
      </c>
      <c r="F8087" s="24" t="s">
        <v>22657</v>
      </c>
      <c r="G8087" s="25">
        <v>4</v>
      </c>
      <c r="H8087" s="29"/>
      <c r="I8087" s="30"/>
    </row>
    <row r="8088" spans="1:9" ht="15.75" thickBot="1" x14ac:dyDescent="0.3">
      <c r="A8088" s="43" t="s">
        <v>16618</v>
      </c>
      <c r="B8088" s="21" t="s">
        <v>16619</v>
      </c>
      <c r="C8088" s="21" t="s">
        <v>22655</v>
      </c>
      <c r="D8088" s="22">
        <v>46042</v>
      </c>
      <c r="E8088" s="23" t="s">
        <v>22656</v>
      </c>
      <c r="F8088" s="24" t="s">
        <v>22657</v>
      </c>
      <c r="G8088" s="25">
        <v>7</v>
      </c>
      <c r="H8088" s="26"/>
      <c r="I8088" s="27"/>
    </row>
    <row r="8089" spans="1:9" ht="15.75" thickBot="1" x14ac:dyDescent="0.3">
      <c r="A8089" s="43" t="s">
        <v>1507</v>
      </c>
      <c r="B8089" s="21" t="s">
        <v>1508</v>
      </c>
      <c r="C8089" s="21" t="s">
        <v>22655</v>
      </c>
      <c r="D8089" s="22">
        <v>46034</v>
      </c>
      <c r="E8089" s="23" t="s">
        <v>22662</v>
      </c>
      <c r="F8089" s="24" t="s">
        <v>22657</v>
      </c>
      <c r="G8089" s="25">
        <v>360</v>
      </c>
      <c r="H8089" s="32">
        <v>360</v>
      </c>
      <c r="I8089" s="33">
        <v>600</v>
      </c>
    </row>
    <row r="8090" spans="1:9" ht="15.75" thickBot="1" x14ac:dyDescent="0.3">
      <c r="A8090" s="43" t="s">
        <v>16620</v>
      </c>
      <c r="B8090" s="21" t="s">
        <v>16621</v>
      </c>
      <c r="C8090" s="21" t="s">
        <v>22663</v>
      </c>
      <c r="D8090" s="31">
        <v>1</v>
      </c>
      <c r="E8090" s="23" t="s">
        <v>22658</v>
      </c>
      <c r="F8090" s="24" t="s">
        <v>22657</v>
      </c>
      <c r="G8090" s="25">
        <v>1</v>
      </c>
      <c r="H8090" s="26"/>
      <c r="I8090" s="27"/>
    </row>
    <row r="8091" spans="1:9" ht="15.75" thickBot="1" x14ac:dyDescent="0.3">
      <c r="A8091" s="43" t="s">
        <v>16622</v>
      </c>
      <c r="B8091" s="21" t="s">
        <v>16623</v>
      </c>
      <c r="C8091" s="21" t="s">
        <v>22698</v>
      </c>
      <c r="D8091" s="31">
        <v>1</v>
      </c>
      <c r="E8091" s="23" t="s">
        <v>22656</v>
      </c>
      <c r="F8091" s="24" t="s">
        <v>22657</v>
      </c>
      <c r="G8091" s="25">
        <v>4</v>
      </c>
      <c r="H8091" s="29"/>
      <c r="I8091" s="30"/>
    </row>
    <row r="8092" spans="1:9" ht="15.75" thickBot="1" x14ac:dyDescent="0.3">
      <c r="A8092" s="43" t="s">
        <v>21</v>
      </c>
      <c r="B8092" s="21" t="s">
        <v>22</v>
      </c>
      <c r="C8092" s="21" t="s">
        <v>22727</v>
      </c>
      <c r="D8092" s="31">
        <v>1</v>
      </c>
      <c r="E8092" s="23" t="s">
        <v>22658</v>
      </c>
      <c r="F8092" s="28" t="s">
        <v>22659</v>
      </c>
      <c r="G8092" s="25">
        <v>1</v>
      </c>
      <c r="H8092" s="26"/>
      <c r="I8092" s="27"/>
    </row>
    <row r="8093" spans="1:9" ht="15.75" thickBot="1" x14ac:dyDescent="0.3">
      <c r="A8093" s="43" t="s">
        <v>16624</v>
      </c>
      <c r="B8093" s="21" t="s">
        <v>16625</v>
      </c>
      <c r="C8093" s="21" t="s">
        <v>22682</v>
      </c>
      <c r="D8093" s="22">
        <v>46034</v>
      </c>
      <c r="E8093" s="23" t="s">
        <v>22658</v>
      </c>
      <c r="F8093" s="24" t="s">
        <v>22657</v>
      </c>
      <c r="G8093" s="25">
        <v>4</v>
      </c>
      <c r="H8093" s="29"/>
      <c r="I8093" s="30"/>
    </row>
    <row r="8094" spans="1:9" ht="15.75" thickBot="1" x14ac:dyDescent="0.3">
      <c r="A8094" s="43" t="s">
        <v>16626</v>
      </c>
      <c r="B8094" s="21" t="s">
        <v>16627</v>
      </c>
      <c r="C8094" s="21" t="s">
        <v>22655</v>
      </c>
      <c r="D8094" s="31" t="s">
        <v>22673</v>
      </c>
      <c r="E8094" s="23" t="s">
        <v>22656</v>
      </c>
      <c r="F8094" s="24" t="s">
        <v>22657</v>
      </c>
      <c r="G8094" s="25">
        <v>7</v>
      </c>
      <c r="H8094" s="26"/>
      <c r="I8094" s="27"/>
    </row>
    <row r="8095" spans="1:9" ht="15.75" thickBot="1" x14ac:dyDescent="0.3">
      <c r="A8095" s="43" t="s">
        <v>16628</v>
      </c>
      <c r="B8095" s="21" t="s">
        <v>16629</v>
      </c>
      <c r="C8095" s="21" t="s">
        <v>22663</v>
      </c>
      <c r="D8095" s="31">
        <v>1</v>
      </c>
      <c r="E8095" s="23" t="s">
        <v>22656</v>
      </c>
      <c r="F8095" s="24" t="s">
        <v>22657</v>
      </c>
      <c r="G8095" s="25">
        <v>2</v>
      </c>
      <c r="H8095" s="29"/>
      <c r="I8095" s="30"/>
    </row>
    <row r="8096" spans="1:9" ht="15.75" thickBot="1" x14ac:dyDescent="0.3">
      <c r="A8096" s="43" t="s">
        <v>16630</v>
      </c>
      <c r="B8096" s="21" t="s">
        <v>16631</v>
      </c>
      <c r="C8096" s="21" t="s">
        <v>22698</v>
      </c>
      <c r="D8096" s="31">
        <v>1</v>
      </c>
      <c r="E8096" s="23" t="s">
        <v>22656</v>
      </c>
      <c r="F8096" s="24" t="s">
        <v>22657</v>
      </c>
      <c r="G8096" s="25">
        <v>6</v>
      </c>
      <c r="H8096" s="34">
        <v>6</v>
      </c>
      <c r="I8096" s="35">
        <v>12</v>
      </c>
    </row>
    <row r="8097" spans="1:9" ht="15.75" thickBot="1" x14ac:dyDescent="0.3">
      <c r="A8097" s="43" t="s">
        <v>16632</v>
      </c>
      <c r="B8097" s="21" t="s">
        <v>16633</v>
      </c>
      <c r="C8097" s="21" t="s">
        <v>22663</v>
      </c>
      <c r="D8097" s="31">
        <v>1</v>
      </c>
      <c r="E8097" s="23" t="s">
        <v>22656</v>
      </c>
      <c r="F8097" s="28" t="s">
        <v>22659</v>
      </c>
      <c r="G8097" s="25">
        <v>2</v>
      </c>
      <c r="H8097" s="32">
        <v>2</v>
      </c>
      <c r="I8097" s="33">
        <v>3</v>
      </c>
    </row>
    <row r="8098" spans="1:9" ht="15.75" thickBot="1" x14ac:dyDescent="0.3">
      <c r="A8098" s="43" t="s">
        <v>16634</v>
      </c>
      <c r="B8098" s="21" t="s">
        <v>16635</v>
      </c>
      <c r="C8098" s="21" t="s">
        <v>22663</v>
      </c>
      <c r="D8098" s="31">
        <v>1</v>
      </c>
      <c r="E8098" s="23" t="s">
        <v>22656</v>
      </c>
      <c r="F8098" s="24" t="s">
        <v>22657</v>
      </c>
      <c r="G8098" s="25">
        <v>2</v>
      </c>
      <c r="H8098" s="26"/>
      <c r="I8098" s="27"/>
    </row>
    <row r="8099" spans="1:9" ht="15.75" thickBot="1" x14ac:dyDescent="0.3">
      <c r="A8099" s="43" t="s">
        <v>635</v>
      </c>
      <c r="B8099" s="21" t="s">
        <v>22621</v>
      </c>
      <c r="C8099" s="21" t="s">
        <v>22655</v>
      </c>
      <c r="D8099" s="22">
        <v>46042</v>
      </c>
      <c r="E8099" s="23" t="s">
        <v>22661</v>
      </c>
      <c r="F8099" s="24" t="s">
        <v>22657</v>
      </c>
      <c r="G8099" s="25">
        <v>20</v>
      </c>
      <c r="H8099" s="32">
        <v>20</v>
      </c>
      <c r="I8099" s="33">
        <v>40</v>
      </c>
    </row>
    <row r="8100" spans="1:9" ht="15.75" thickBot="1" x14ac:dyDescent="0.3">
      <c r="A8100" s="43" t="s">
        <v>16636</v>
      </c>
      <c r="B8100" s="21" t="s">
        <v>16637</v>
      </c>
      <c r="C8100" s="21" t="s">
        <v>22682</v>
      </c>
      <c r="D8100" s="22">
        <v>46034</v>
      </c>
      <c r="E8100" s="23" t="s">
        <v>22658</v>
      </c>
      <c r="F8100" s="24" t="s">
        <v>22657</v>
      </c>
      <c r="G8100" s="25">
        <v>4</v>
      </c>
      <c r="H8100" s="26"/>
      <c r="I8100" s="27"/>
    </row>
    <row r="8101" spans="1:9" ht="15.75" thickBot="1" x14ac:dyDescent="0.3">
      <c r="A8101" s="43" t="s">
        <v>16638</v>
      </c>
      <c r="B8101" s="21" t="s">
        <v>16639</v>
      </c>
      <c r="C8101" s="21" t="s">
        <v>22663</v>
      </c>
      <c r="D8101" s="31">
        <v>1</v>
      </c>
      <c r="E8101" s="23" t="s">
        <v>22658</v>
      </c>
      <c r="F8101" s="24" t="s">
        <v>22657</v>
      </c>
      <c r="G8101" s="25">
        <v>4</v>
      </c>
      <c r="H8101" s="29"/>
      <c r="I8101" s="30"/>
    </row>
    <row r="8102" spans="1:9" ht="15.75" thickBot="1" x14ac:dyDescent="0.3">
      <c r="A8102" s="43" t="s">
        <v>16640</v>
      </c>
      <c r="B8102" s="21" t="s">
        <v>16641</v>
      </c>
      <c r="C8102" s="21" t="s">
        <v>22663</v>
      </c>
      <c r="D8102" s="31">
        <v>1</v>
      </c>
      <c r="E8102" s="23" t="s">
        <v>22656</v>
      </c>
      <c r="F8102" s="24" t="s">
        <v>22657</v>
      </c>
      <c r="G8102" s="25">
        <v>7</v>
      </c>
      <c r="H8102" s="26"/>
      <c r="I8102" s="27"/>
    </row>
    <row r="8103" spans="1:9" ht="15.75" thickBot="1" x14ac:dyDescent="0.3">
      <c r="A8103" s="43" t="s">
        <v>16642</v>
      </c>
      <c r="B8103" s="21" t="s">
        <v>16643</v>
      </c>
      <c r="C8103" s="21" t="s">
        <v>22698</v>
      </c>
      <c r="D8103" s="31">
        <v>1</v>
      </c>
      <c r="E8103" s="23" t="s">
        <v>22658</v>
      </c>
      <c r="F8103" s="24" t="s">
        <v>22657</v>
      </c>
      <c r="G8103" s="25">
        <v>2</v>
      </c>
      <c r="H8103" s="29"/>
      <c r="I8103" s="30"/>
    </row>
    <row r="8104" spans="1:9" ht="15.75" thickBot="1" x14ac:dyDescent="0.3">
      <c r="A8104" s="43" t="s">
        <v>16644</v>
      </c>
      <c r="B8104" s="21" t="s">
        <v>16645</v>
      </c>
      <c r="C8104" s="21" t="s">
        <v>22663</v>
      </c>
      <c r="D8104" s="31">
        <v>1</v>
      </c>
      <c r="E8104" s="23" t="s">
        <v>22656</v>
      </c>
      <c r="F8104" s="24" t="s">
        <v>22657</v>
      </c>
      <c r="G8104" s="25">
        <v>4</v>
      </c>
      <c r="H8104" s="26"/>
      <c r="I8104" s="27"/>
    </row>
    <row r="8105" spans="1:9" ht="15.75" thickBot="1" x14ac:dyDescent="0.3">
      <c r="A8105" s="43" t="s">
        <v>16646</v>
      </c>
      <c r="B8105" s="21" t="s">
        <v>16647</v>
      </c>
      <c r="C8105" s="21" t="s">
        <v>22663</v>
      </c>
      <c r="D8105" s="31">
        <v>1</v>
      </c>
      <c r="E8105" s="23" t="s">
        <v>22658</v>
      </c>
      <c r="F8105" s="24" t="s">
        <v>22657</v>
      </c>
      <c r="G8105" s="25">
        <v>1</v>
      </c>
      <c r="H8105" s="29"/>
      <c r="I8105" s="30"/>
    </row>
    <row r="8106" spans="1:9" ht="15.75" thickBot="1" x14ac:dyDescent="0.3">
      <c r="A8106" s="43" t="s">
        <v>16648</v>
      </c>
      <c r="B8106" s="21" t="s">
        <v>16649</v>
      </c>
      <c r="C8106" s="21" t="s">
        <v>22686</v>
      </c>
      <c r="D8106" s="31" t="s">
        <v>22668</v>
      </c>
      <c r="E8106" s="23" t="s">
        <v>22656</v>
      </c>
      <c r="F8106" s="24" t="s">
        <v>22657</v>
      </c>
      <c r="G8106" s="25">
        <v>7</v>
      </c>
      <c r="H8106" s="26"/>
      <c r="I8106" s="27"/>
    </row>
    <row r="8107" spans="1:9" ht="15.75" thickBot="1" x14ac:dyDescent="0.3">
      <c r="A8107" s="43" t="s">
        <v>16650</v>
      </c>
      <c r="B8107" s="21" t="s">
        <v>16651</v>
      </c>
      <c r="C8107" s="21" t="s">
        <v>22663</v>
      </c>
      <c r="D8107" s="31">
        <v>1</v>
      </c>
      <c r="E8107" s="23" t="s">
        <v>22658</v>
      </c>
      <c r="F8107" s="24" t="s">
        <v>22657</v>
      </c>
      <c r="G8107" s="25">
        <v>1</v>
      </c>
      <c r="H8107" s="29"/>
      <c r="I8107" s="30"/>
    </row>
    <row r="8108" spans="1:9" ht="15.75" thickBot="1" x14ac:dyDescent="0.3">
      <c r="A8108" s="43" t="s">
        <v>16652</v>
      </c>
      <c r="B8108" s="21" t="s">
        <v>16653</v>
      </c>
      <c r="C8108" s="21" t="s">
        <v>22663</v>
      </c>
      <c r="D8108" s="31">
        <v>1</v>
      </c>
      <c r="E8108" s="23" t="s">
        <v>22656</v>
      </c>
      <c r="F8108" s="24" t="s">
        <v>22657</v>
      </c>
      <c r="G8108" s="25">
        <v>2</v>
      </c>
      <c r="H8108" s="26"/>
      <c r="I8108" s="27"/>
    </row>
    <row r="8109" spans="1:9" ht="15.75" thickBot="1" x14ac:dyDescent="0.3">
      <c r="A8109" s="43" t="s">
        <v>16654</v>
      </c>
      <c r="B8109" s="21" t="s">
        <v>16655</v>
      </c>
      <c r="C8109" s="21" t="s">
        <v>22663</v>
      </c>
      <c r="D8109" s="31">
        <v>1</v>
      </c>
      <c r="E8109" s="23" t="s">
        <v>22658</v>
      </c>
      <c r="F8109" s="24" t="s">
        <v>22657</v>
      </c>
      <c r="G8109" s="25">
        <v>2</v>
      </c>
      <c r="H8109" s="29"/>
      <c r="I8109" s="30"/>
    </row>
    <row r="8110" spans="1:9" ht="15.75" thickBot="1" x14ac:dyDescent="0.3">
      <c r="A8110" s="43" t="s">
        <v>16656</v>
      </c>
      <c r="B8110" s="21" t="s">
        <v>16657</v>
      </c>
      <c r="C8110" s="21" t="s">
        <v>22663</v>
      </c>
      <c r="D8110" s="31">
        <v>1</v>
      </c>
      <c r="E8110" s="23" t="s">
        <v>22658</v>
      </c>
      <c r="F8110" s="24" t="s">
        <v>22657</v>
      </c>
      <c r="G8110" s="25">
        <v>2</v>
      </c>
      <c r="H8110" s="26"/>
      <c r="I8110" s="27"/>
    </row>
    <row r="8111" spans="1:9" ht="15.75" thickBot="1" x14ac:dyDescent="0.3">
      <c r="A8111" s="43" t="s">
        <v>16658</v>
      </c>
      <c r="B8111" s="21" t="s">
        <v>16659</v>
      </c>
      <c r="C8111" s="21" t="s">
        <v>22663</v>
      </c>
      <c r="D8111" s="31">
        <v>1</v>
      </c>
      <c r="E8111" s="23" t="s">
        <v>22658</v>
      </c>
      <c r="F8111" s="24" t="s">
        <v>22657</v>
      </c>
      <c r="G8111" s="25">
        <v>2</v>
      </c>
      <c r="H8111" s="29"/>
      <c r="I8111" s="30"/>
    </row>
    <row r="8112" spans="1:9" ht="15.75" thickBot="1" x14ac:dyDescent="0.3">
      <c r="A8112" s="43" t="s">
        <v>16660</v>
      </c>
      <c r="B8112" s="21" t="s">
        <v>16661</v>
      </c>
      <c r="C8112" s="21" t="s">
        <v>22698</v>
      </c>
      <c r="D8112" s="31">
        <v>1</v>
      </c>
      <c r="E8112" s="23" t="s">
        <v>22658</v>
      </c>
      <c r="F8112" s="24" t="s">
        <v>22657</v>
      </c>
      <c r="G8112" s="25">
        <v>2</v>
      </c>
      <c r="H8112" s="26"/>
      <c r="I8112" s="27"/>
    </row>
    <row r="8113" spans="1:9" ht="15.75" thickBot="1" x14ac:dyDescent="0.3">
      <c r="A8113" s="43" t="s">
        <v>16662</v>
      </c>
      <c r="B8113" s="21" t="s">
        <v>16663</v>
      </c>
      <c r="C8113" s="21" t="s">
        <v>22663</v>
      </c>
      <c r="D8113" s="31">
        <v>1</v>
      </c>
      <c r="E8113" s="23" t="s">
        <v>22656</v>
      </c>
      <c r="F8113" s="24" t="s">
        <v>22657</v>
      </c>
      <c r="G8113" s="25">
        <v>2</v>
      </c>
      <c r="H8113" s="29"/>
      <c r="I8113" s="30"/>
    </row>
    <row r="8114" spans="1:9" ht="15.75" thickBot="1" x14ac:dyDescent="0.3">
      <c r="A8114" s="43" t="s">
        <v>16664</v>
      </c>
      <c r="B8114" s="21" t="s">
        <v>16665</v>
      </c>
      <c r="C8114" s="21" t="s">
        <v>22663</v>
      </c>
      <c r="D8114" s="31">
        <v>1</v>
      </c>
      <c r="E8114" s="23" t="s">
        <v>22656</v>
      </c>
      <c r="F8114" s="24" t="s">
        <v>22657</v>
      </c>
      <c r="G8114" s="25">
        <v>2</v>
      </c>
      <c r="H8114" s="26"/>
      <c r="I8114" s="27"/>
    </row>
    <row r="8115" spans="1:9" ht="15.75" thickBot="1" x14ac:dyDescent="0.3">
      <c r="A8115" s="43" t="s">
        <v>16666</v>
      </c>
      <c r="B8115" s="21" t="s">
        <v>16667</v>
      </c>
      <c r="C8115" s="21" t="s">
        <v>22663</v>
      </c>
      <c r="D8115" s="31">
        <v>1</v>
      </c>
      <c r="E8115" s="23" t="s">
        <v>22656</v>
      </c>
      <c r="F8115" s="24" t="s">
        <v>22657</v>
      </c>
      <c r="G8115" s="25">
        <v>2</v>
      </c>
      <c r="H8115" s="29"/>
      <c r="I8115" s="30"/>
    </row>
    <row r="8116" spans="1:9" ht="15.75" thickBot="1" x14ac:dyDescent="0.3">
      <c r="A8116" s="43" t="s">
        <v>16668</v>
      </c>
      <c r="B8116" s="21" t="s">
        <v>16669</v>
      </c>
      <c r="C8116" s="21" t="s">
        <v>22663</v>
      </c>
      <c r="D8116" s="31">
        <v>1</v>
      </c>
      <c r="E8116" s="23" t="s">
        <v>22658</v>
      </c>
      <c r="F8116" s="24" t="s">
        <v>22657</v>
      </c>
      <c r="G8116" s="25">
        <v>1</v>
      </c>
      <c r="H8116" s="26"/>
      <c r="I8116" s="27"/>
    </row>
    <row r="8117" spans="1:9" ht="15.75" thickBot="1" x14ac:dyDescent="0.3">
      <c r="A8117" s="43" t="s">
        <v>16670</v>
      </c>
      <c r="B8117" s="21" t="s">
        <v>16671</v>
      </c>
      <c r="C8117" s="21" t="s">
        <v>22716</v>
      </c>
      <c r="D8117" s="31" t="s">
        <v>22683</v>
      </c>
      <c r="E8117" s="23" t="s">
        <v>22658</v>
      </c>
      <c r="F8117" s="24" t="s">
        <v>22657</v>
      </c>
      <c r="G8117" s="25">
        <v>34</v>
      </c>
      <c r="H8117" s="29"/>
      <c r="I8117" s="30"/>
    </row>
    <row r="8118" spans="1:9" ht="15.75" thickBot="1" x14ac:dyDescent="0.3">
      <c r="A8118" s="43" t="s">
        <v>16672</v>
      </c>
      <c r="B8118" s="21" t="s">
        <v>16673</v>
      </c>
      <c r="C8118" s="21" t="s">
        <v>22655</v>
      </c>
      <c r="D8118" s="31" t="s">
        <v>22683</v>
      </c>
      <c r="E8118" s="23" t="s">
        <v>22665</v>
      </c>
      <c r="F8118" s="24" t="s">
        <v>22657</v>
      </c>
      <c r="G8118" s="25">
        <v>34</v>
      </c>
      <c r="H8118" s="26"/>
      <c r="I8118" s="27"/>
    </row>
    <row r="8119" spans="1:9" ht="15.75" thickBot="1" x14ac:dyDescent="0.3">
      <c r="A8119" s="43" t="s">
        <v>16674</v>
      </c>
      <c r="B8119" s="21" t="s">
        <v>16675</v>
      </c>
      <c r="C8119" s="21" t="s">
        <v>22655</v>
      </c>
      <c r="D8119" s="31" t="s">
        <v>22683</v>
      </c>
      <c r="E8119" s="23" t="s">
        <v>22665</v>
      </c>
      <c r="F8119" s="24" t="s">
        <v>22657</v>
      </c>
      <c r="G8119" s="25">
        <v>34</v>
      </c>
      <c r="H8119" s="29"/>
      <c r="I8119" s="30"/>
    </row>
    <row r="8120" spans="1:9" ht="15.75" thickBot="1" x14ac:dyDescent="0.3">
      <c r="A8120" s="43" t="s">
        <v>16676</v>
      </c>
      <c r="B8120" s="21" t="s">
        <v>16677</v>
      </c>
      <c r="C8120" s="21" t="s">
        <v>22682</v>
      </c>
      <c r="D8120" s="22">
        <v>46034</v>
      </c>
      <c r="E8120" s="23" t="s">
        <v>22658</v>
      </c>
      <c r="F8120" s="24" t="s">
        <v>22657</v>
      </c>
      <c r="G8120" s="25">
        <v>4</v>
      </c>
      <c r="H8120" s="26"/>
      <c r="I8120" s="27"/>
    </row>
    <row r="8121" spans="1:9" ht="15.75" thickBot="1" x14ac:dyDescent="0.3">
      <c r="A8121" s="43" t="s">
        <v>16678</v>
      </c>
      <c r="B8121" s="21" t="s">
        <v>16679</v>
      </c>
      <c r="C8121" s="21" t="s">
        <v>22682</v>
      </c>
      <c r="D8121" s="22">
        <v>46034</v>
      </c>
      <c r="E8121" s="23" t="s">
        <v>22656</v>
      </c>
      <c r="F8121" s="24" t="s">
        <v>22657</v>
      </c>
      <c r="G8121" s="25">
        <v>4</v>
      </c>
      <c r="H8121" s="29"/>
      <c r="I8121" s="30"/>
    </row>
    <row r="8122" spans="1:9" ht="15.75" thickBot="1" x14ac:dyDescent="0.3">
      <c r="A8122" s="43" t="s">
        <v>16680</v>
      </c>
      <c r="B8122" s="21" t="s">
        <v>16681</v>
      </c>
      <c r="C8122" s="21" t="s">
        <v>22682</v>
      </c>
      <c r="D8122" s="22">
        <v>46034</v>
      </c>
      <c r="E8122" s="23" t="s">
        <v>22656</v>
      </c>
      <c r="F8122" s="24" t="s">
        <v>22657</v>
      </c>
      <c r="G8122" s="25">
        <v>4</v>
      </c>
      <c r="H8122" s="26"/>
      <c r="I8122" s="27"/>
    </row>
    <row r="8123" spans="1:9" ht="15.75" thickBot="1" x14ac:dyDescent="0.3">
      <c r="A8123" s="43" t="s">
        <v>16682</v>
      </c>
      <c r="B8123" s="21" t="s">
        <v>16683</v>
      </c>
      <c r="C8123" s="21" t="s">
        <v>22682</v>
      </c>
      <c r="D8123" s="22">
        <v>46034</v>
      </c>
      <c r="E8123" s="23" t="s">
        <v>22658</v>
      </c>
      <c r="F8123" s="24" t="s">
        <v>22657</v>
      </c>
      <c r="G8123" s="25">
        <v>4</v>
      </c>
      <c r="H8123" s="29"/>
      <c r="I8123" s="30"/>
    </row>
    <row r="8124" spans="1:9" ht="15.75" thickBot="1" x14ac:dyDescent="0.3">
      <c r="A8124" s="43" t="s">
        <v>16684</v>
      </c>
      <c r="B8124" s="21" t="s">
        <v>16685</v>
      </c>
      <c r="C8124" s="21" t="s">
        <v>22655</v>
      </c>
      <c r="D8124" s="31" t="s">
        <v>22786</v>
      </c>
      <c r="E8124" s="23" t="s">
        <v>22658</v>
      </c>
      <c r="F8124" s="24" t="s">
        <v>22657</v>
      </c>
      <c r="G8124" s="25">
        <v>40</v>
      </c>
      <c r="H8124" s="26"/>
      <c r="I8124" s="27"/>
    </row>
    <row r="8125" spans="1:9" ht="15.75" thickBot="1" x14ac:dyDescent="0.3">
      <c r="A8125" s="43" t="s">
        <v>16686</v>
      </c>
      <c r="B8125" s="21" t="s">
        <v>16687</v>
      </c>
      <c r="C8125" s="21" t="s">
        <v>22838</v>
      </c>
      <c r="D8125" s="31">
        <v>1</v>
      </c>
      <c r="E8125" s="23" t="s">
        <v>22658</v>
      </c>
      <c r="F8125" s="24" t="s">
        <v>22657</v>
      </c>
      <c r="G8125" s="25">
        <v>1</v>
      </c>
      <c r="H8125" s="29"/>
      <c r="I8125" s="30"/>
    </row>
    <row r="8126" spans="1:9" ht="15.75" thickBot="1" x14ac:dyDescent="0.3">
      <c r="A8126" s="43" t="s">
        <v>16688</v>
      </c>
      <c r="B8126" s="21" t="s">
        <v>16689</v>
      </c>
      <c r="C8126" s="21" t="s">
        <v>22655</v>
      </c>
      <c r="D8126" s="31" t="s">
        <v>22786</v>
      </c>
      <c r="E8126" s="23" t="s">
        <v>22658</v>
      </c>
      <c r="F8126" s="24" t="s">
        <v>22657</v>
      </c>
      <c r="G8126" s="25">
        <v>40</v>
      </c>
      <c r="H8126" s="26"/>
      <c r="I8126" s="27"/>
    </row>
    <row r="8127" spans="1:9" ht="15.75" thickBot="1" x14ac:dyDescent="0.3">
      <c r="A8127" s="43" t="s">
        <v>16690</v>
      </c>
      <c r="B8127" s="21" t="s">
        <v>16691</v>
      </c>
      <c r="C8127" s="21" t="s">
        <v>22655</v>
      </c>
      <c r="D8127" s="22">
        <v>46052</v>
      </c>
      <c r="E8127" s="23" t="s">
        <v>22658</v>
      </c>
      <c r="F8127" s="24" t="s">
        <v>22657</v>
      </c>
      <c r="G8127" s="25">
        <v>10</v>
      </c>
      <c r="H8127" s="29"/>
      <c r="I8127" s="30"/>
    </row>
    <row r="8128" spans="1:9" ht="15.75" thickBot="1" x14ac:dyDescent="0.3">
      <c r="A8128" s="43" t="s">
        <v>16692</v>
      </c>
      <c r="B8128" s="21" t="s">
        <v>16693</v>
      </c>
      <c r="C8128" s="21" t="s">
        <v>22655</v>
      </c>
      <c r="D8128" s="31" t="s">
        <v>22786</v>
      </c>
      <c r="E8128" s="23" t="s">
        <v>22658</v>
      </c>
      <c r="F8128" s="24" t="s">
        <v>22657</v>
      </c>
      <c r="G8128" s="25">
        <v>40</v>
      </c>
      <c r="H8128" s="26"/>
      <c r="I8128" s="27"/>
    </row>
    <row r="8129" spans="1:9" ht="15.75" thickBot="1" x14ac:dyDescent="0.3">
      <c r="A8129" s="43" t="s">
        <v>16694</v>
      </c>
      <c r="B8129" s="21" t="s">
        <v>16695</v>
      </c>
      <c r="C8129" s="21" t="s">
        <v>22655</v>
      </c>
      <c r="D8129" s="31" t="s">
        <v>22786</v>
      </c>
      <c r="E8129" s="23" t="s">
        <v>22658</v>
      </c>
      <c r="F8129" s="24" t="s">
        <v>22657</v>
      </c>
      <c r="G8129" s="25">
        <v>40</v>
      </c>
      <c r="H8129" s="29"/>
      <c r="I8129" s="30"/>
    </row>
    <row r="8130" spans="1:9" ht="15.75" thickBot="1" x14ac:dyDescent="0.3">
      <c r="A8130" s="43" t="s">
        <v>16696</v>
      </c>
      <c r="B8130" s="21" t="s">
        <v>16697</v>
      </c>
      <c r="C8130" s="21" t="s">
        <v>22655</v>
      </c>
      <c r="D8130" s="31" t="s">
        <v>22688</v>
      </c>
      <c r="E8130" s="23" t="s">
        <v>22661</v>
      </c>
      <c r="F8130" s="24" t="s">
        <v>22657</v>
      </c>
      <c r="G8130" s="25">
        <v>14</v>
      </c>
      <c r="H8130" s="26"/>
      <c r="I8130" s="27"/>
    </row>
    <row r="8131" spans="1:9" ht="15.75" thickBot="1" x14ac:dyDescent="0.3">
      <c r="A8131" s="43" t="s">
        <v>16698</v>
      </c>
      <c r="B8131" s="21" t="s">
        <v>16699</v>
      </c>
      <c r="C8131" s="21" t="s">
        <v>22655</v>
      </c>
      <c r="D8131" s="22">
        <v>46052</v>
      </c>
      <c r="E8131" s="23" t="s">
        <v>22658</v>
      </c>
      <c r="F8131" s="24" t="s">
        <v>22657</v>
      </c>
      <c r="G8131" s="25">
        <v>10</v>
      </c>
      <c r="H8131" s="29"/>
      <c r="I8131" s="30"/>
    </row>
    <row r="8132" spans="1:9" ht="15.75" thickBot="1" x14ac:dyDescent="0.3">
      <c r="A8132" s="43" t="s">
        <v>16700</v>
      </c>
      <c r="B8132" s="21" t="s">
        <v>16701</v>
      </c>
      <c r="C8132" s="21" t="s">
        <v>22655</v>
      </c>
      <c r="D8132" s="31" t="s">
        <v>22786</v>
      </c>
      <c r="E8132" s="23" t="s">
        <v>22656</v>
      </c>
      <c r="F8132" s="24" t="s">
        <v>22657</v>
      </c>
      <c r="G8132" s="25">
        <v>40</v>
      </c>
      <c r="H8132" s="26"/>
      <c r="I8132" s="27"/>
    </row>
    <row r="8133" spans="1:9" ht="15.75" thickBot="1" x14ac:dyDescent="0.3">
      <c r="A8133" s="43" t="s">
        <v>16702</v>
      </c>
      <c r="B8133" s="21" t="s">
        <v>16703</v>
      </c>
      <c r="C8133" s="21" t="s">
        <v>22655</v>
      </c>
      <c r="D8133" s="31" t="s">
        <v>22786</v>
      </c>
      <c r="E8133" s="23" t="s">
        <v>22658</v>
      </c>
      <c r="F8133" s="24" t="s">
        <v>22657</v>
      </c>
      <c r="G8133" s="25">
        <v>40</v>
      </c>
      <c r="H8133" s="29"/>
      <c r="I8133" s="30"/>
    </row>
    <row r="8134" spans="1:9" ht="15.75" thickBot="1" x14ac:dyDescent="0.3">
      <c r="A8134" s="43" t="s">
        <v>151</v>
      </c>
      <c r="B8134" s="21" t="s">
        <v>152</v>
      </c>
      <c r="C8134" s="21" t="s">
        <v>22655</v>
      </c>
      <c r="D8134" s="22">
        <v>46052</v>
      </c>
      <c r="E8134" s="23" t="s">
        <v>22665</v>
      </c>
      <c r="F8134" s="24" t="s">
        <v>22657</v>
      </c>
      <c r="G8134" s="25">
        <v>60</v>
      </c>
      <c r="H8134" s="34">
        <v>60</v>
      </c>
      <c r="I8134" s="35">
        <v>100</v>
      </c>
    </row>
    <row r="8135" spans="1:9" ht="15.75" thickBot="1" x14ac:dyDescent="0.3">
      <c r="A8135" s="43" t="s">
        <v>16704</v>
      </c>
      <c r="B8135" s="21" t="s">
        <v>16705</v>
      </c>
      <c r="C8135" s="21" t="s">
        <v>22655</v>
      </c>
      <c r="D8135" s="31" t="s">
        <v>22786</v>
      </c>
      <c r="E8135" s="23" t="s">
        <v>22665</v>
      </c>
      <c r="F8135" s="24" t="s">
        <v>22657</v>
      </c>
      <c r="G8135" s="25">
        <v>40</v>
      </c>
      <c r="H8135" s="29"/>
      <c r="I8135" s="30"/>
    </row>
    <row r="8136" spans="1:9" ht="15.75" thickBot="1" x14ac:dyDescent="0.3">
      <c r="A8136" s="43" t="s">
        <v>279</v>
      </c>
      <c r="B8136" s="21" t="s">
        <v>280</v>
      </c>
      <c r="C8136" s="21" t="s">
        <v>22655</v>
      </c>
      <c r="D8136" s="22">
        <v>46052</v>
      </c>
      <c r="E8136" s="23" t="s">
        <v>22661</v>
      </c>
      <c r="F8136" s="24" t="s">
        <v>22657</v>
      </c>
      <c r="G8136" s="25">
        <v>24</v>
      </c>
      <c r="H8136" s="26"/>
      <c r="I8136" s="27"/>
    </row>
    <row r="8137" spans="1:9" ht="15.75" thickBot="1" x14ac:dyDescent="0.3">
      <c r="A8137" s="43" t="s">
        <v>16706</v>
      </c>
      <c r="B8137" s="21" t="s">
        <v>16707</v>
      </c>
      <c r="C8137" s="21" t="s">
        <v>22655</v>
      </c>
      <c r="D8137" s="31" t="s">
        <v>22786</v>
      </c>
      <c r="E8137" s="23" t="s">
        <v>22661</v>
      </c>
      <c r="F8137" s="24" t="s">
        <v>22657</v>
      </c>
      <c r="G8137" s="25">
        <v>60</v>
      </c>
      <c r="H8137" s="32">
        <v>60</v>
      </c>
      <c r="I8137" s="33">
        <v>120</v>
      </c>
    </row>
    <row r="8138" spans="1:9" ht="15.75" thickBot="1" x14ac:dyDescent="0.3">
      <c r="A8138" s="43" t="s">
        <v>16708</v>
      </c>
      <c r="B8138" s="21" t="s">
        <v>16709</v>
      </c>
      <c r="C8138" s="21" t="s">
        <v>22682</v>
      </c>
      <c r="D8138" s="22">
        <v>46034</v>
      </c>
      <c r="E8138" s="23" t="s">
        <v>22658</v>
      </c>
      <c r="F8138" s="24" t="s">
        <v>22657</v>
      </c>
      <c r="G8138" s="25">
        <v>4</v>
      </c>
      <c r="H8138" s="26"/>
      <c r="I8138" s="27"/>
    </row>
    <row r="8139" spans="1:9" ht="15.75" thickBot="1" x14ac:dyDescent="0.3">
      <c r="A8139" s="43" t="s">
        <v>16710</v>
      </c>
      <c r="B8139" s="21" t="s">
        <v>16711</v>
      </c>
      <c r="C8139" s="21" t="s">
        <v>22682</v>
      </c>
      <c r="D8139" s="22">
        <v>46034</v>
      </c>
      <c r="E8139" s="23" t="s">
        <v>22658</v>
      </c>
      <c r="F8139" s="24" t="s">
        <v>22657</v>
      </c>
      <c r="G8139" s="25">
        <v>4</v>
      </c>
      <c r="H8139" s="29"/>
      <c r="I8139" s="30"/>
    </row>
    <row r="8140" spans="1:9" ht="15.75" thickBot="1" x14ac:dyDescent="0.3">
      <c r="A8140" s="43" t="s">
        <v>16712</v>
      </c>
      <c r="B8140" s="21" t="s">
        <v>16713</v>
      </c>
      <c r="C8140" s="21" t="s">
        <v>22655</v>
      </c>
      <c r="D8140" s="22">
        <v>46032</v>
      </c>
      <c r="E8140" s="23" t="s">
        <v>22658</v>
      </c>
      <c r="F8140" s="24" t="s">
        <v>22657</v>
      </c>
      <c r="G8140" s="25">
        <v>2</v>
      </c>
      <c r="H8140" s="26"/>
      <c r="I8140" s="27"/>
    </row>
    <row r="8141" spans="1:9" ht="15.75" thickBot="1" x14ac:dyDescent="0.3">
      <c r="A8141" s="43" t="s">
        <v>16714</v>
      </c>
      <c r="B8141" s="21" t="s">
        <v>16715</v>
      </c>
      <c r="C8141" s="21" t="s">
        <v>22682</v>
      </c>
      <c r="D8141" s="22">
        <v>46034</v>
      </c>
      <c r="E8141" s="23" t="s">
        <v>22658</v>
      </c>
      <c r="F8141" s="24" t="s">
        <v>22657</v>
      </c>
      <c r="G8141" s="25">
        <v>4</v>
      </c>
      <c r="H8141" s="29"/>
      <c r="I8141" s="30"/>
    </row>
    <row r="8142" spans="1:9" ht="15.75" thickBot="1" x14ac:dyDescent="0.3">
      <c r="A8142" s="43" t="s">
        <v>16716</v>
      </c>
      <c r="B8142" s="21" t="s">
        <v>16717</v>
      </c>
      <c r="C8142" s="21" t="s">
        <v>22682</v>
      </c>
      <c r="D8142" s="22">
        <v>46034</v>
      </c>
      <c r="E8142" s="23" t="s">
        <v>22658</v>
      </c>
      <c r="F8142" s="24" t="s">
        <v>22657</v>
      </c>
      <c r="G8142" s="25">
        <v>4</v>
      </c>
      <c r="H8142" s="26"/>
      <c r="I8142" s="27"/>
    </row>
    <row r="8143" spans="1:9" ht="15.75" thickBot="1" x14ac:dyDescent="0.3">
      <c r="A8143" s="43" t="s">
        <v>16718</v>
      </c>
      <c r="B8143" s="21" t="s">
        <v>16719</v>
      </c>
      <c r="C8143" s="21" t="s">
        <v>22682</v>
      </c>
      <c r="D8143" s="22">
        <v>46034</v>
      </c>
      <c r="E8143" s="23" t="s">
        <v>22658</v>
      </c>
      <c r="F8143" s="24" t="s">
        <v>22657</v>
      </c>
      <c r="G8143" s="25">
        <v>4</v>
      </c>
      <c r="H8143" s="29"/>
      <c r="I8143" s="30"/>
    </row>
    <row r="8144" spans="1:9" ht="15.75" thickBot="1" x14ac:dyDescent="0.3">
      <c r="A8144" s="43" t="s">
        <v>16720</v>
      </c>
      <c r="B8144" s="21" t="s">
        <v>16721</v>
      </c>
      <c r="C8144" s="21" t="s">
        <v>22682</v>
      </c>
      <c r="D8144" s="22">
        <v>46034</v>
      </c>
      <c r="E8144" s="23" t="s">
        <v>22656</v>
      </c>
      <c r="F8144" s="24" t="s">
        <v>22657</v>
      </c>
      <c r="G8144" s="25">
        <v>4</v>
      </c>
      <c r="H8144" s="26"/>
      <c r="I8144" s="27"/>
    </row>
    <row r="8145" spans="1:9" ht="15.75" thickBot="1" x14ac:dyDescent="0.3">
      <c r="A8145" s="43" t="s">
        <v>16722</v>
      </c>
      <c r="B8145" s="21" t="s">
        <v>16723</v>
      </c>
      <c r="C8145" s="21" t="s">
        <v>22682</v>
      </c>
      <c r="D8145" s="22">
        <v>46034</v>
      </c>
      <c r="E8145" s="23" t="s">
        <v>22658</v>
      </c>
      <c r="F8145" s="24" t="s">
        <v>22657</v>
      </c>
      <c r="G8145" s="25">
        <v>4</v>
      </c>
      <c r="H8145" s="29"/>
      <c r="I8145" s="30"/>
    </row>
    <row r="8146" spans="1:9" ht="15.75" thickBot="1" x14ac:dyDescent="0.3">
      <c r="A8146" s="43" t="s">
        <v>16724</v>
      </c>
      <c r="B8146" s="21" t="s">
        <v>16725</v>
      </c>
      <c r="C8146" s="21" t="s">
        <v>22682</v>
      </c>
      <c r="D8146" s="22">
        <v>46034</v>
      </c>
      <c r="E8146" s="23" t="s">
        <v>22658</v>
      </c>
      <c r="F8146" s="24" t="s">
        <v>22657</v>
      </c>
      <c r="G8146" s="25">
        <v>4</v>
      </c>
      <c r="H8146" s="26"/>
      <c r="I8146" s="27"/>
    </row>
    <row r="8147" spans="1:9" ht="15.75" thickBot="1" x14ac:dyDescent="0.3">
      <c r="A8147" s="43" t="s">
        <v>16726</v>
      </c>
      <c r="B8147" s="21" t="s">
        <v>16727</v>
      </c>
      <c r="C8147" s="21" t="s">
        <v>22682</v>
      </c>
      <c r="D8147" s="22">
        <v>46034</v>
      </c>
      <c r="E8147" s="23" t="s">
        <v>22658</v>
      </c>
      <c r="F8147" s="24" t="s">
        <v>22657</v>
      </c>
      <c r="G8147" s="25">
        <v>4</v>
      </c>
      <c r="H8147" s="29"/>
      <c r="I8147" s="30"/>
    </row>
    <row r="8148" spans="1:9" ht="15.75" thickBot="1" x14ac:dyDescent="0.3">
      <c r="A8148" s="43" t="s">
        <v>16728</v>
      </c>
      <c r="B8148" s="21" t="s">
        <v>16729</v>
      </c>
      <c r="C8148" s="21" t="s">
        <v>22682</v>
      </c>
      <c r="D8148" s="22">
        <v>46034</v>
      </c>
      <c r="E8148" s="23" t="s">
        <v>22658</v>
      </c>
      <c r="F8148" s="24" t="s">
        <v>22657</v>
      </c>
      <c r="G8148" s="25">
        <v>4</v>
      </c>
      <c r="H8148" s="26"/>
      <c r="I8148" s="27"/>
    </row>
    <row r="8149" spans="1:9" ht="15.75" thickBot="1" x14ac:dyDescent="0.3">
      <c r="A8149" s="43" t="s">
        <v>16730</v>
      </c>
      <c r="B8149" s="21" t="s">
        <v>16731</v>
      </c>
      <c r="C8149" s="21" t="s">
        <v>22682</v>
      </c>
      <c r="D8149" s="22">
        <v>46034</v>
      </c>
      <c r="E8149" s="23" t="s">
        <v>22658</v>
      </c>
      <c r="F8149" s="24" t="s">
        <v>22657</v>
      </c>
      <c r="G8149" s="25">
        <v>4</v>
      </c>
      <c r="H8149" s="29"/>
      <c r="I8149" s="30"/>
    </row>
    <row r="8150" spans="1:9" ht="15.75" thickBot="1" x14ac:dyDescent="0.3">
      <c r="A8150" s="43" t="s">
        <v>16732</v>
      </c>
      <c r="B8150" s="21" t="s">
        <v>16733</v>
      </c>
      <c r="C8150" s="21" t="s">
        <v>22682</v>
      </c>
      <c r="D8150" s="22">
        <v>46034</v>
      </c>
      <c r="E8150" s="23" t="s">
        <v>22658</v>
      </c>
      <c r="F8150" s="24" t="s">
        <v>22657</v>
      </c>
      <c r="G8150" s="25">
        <v>4</v>
      </c>
      <c r="H8150" s="26"/>
      <c r="I8150" s="27"/>
    </row>
    <row r="8151" spans="1:9" ht="15.75" thickBot="1" x14ac:dyDescent="0.3">
      <c r="A8151" s="43" t="s">
        <v>16734</v>
      </c>
      <c r="B8151" s="21" t="s">
        <v>16735</v>
      </c>
      <c r="C8151" s="21" t="s">
        <v>22682</v>
      </c>
      <c r="D8151" s="22">
        <v>46034</v>
      </c>
      <c r="E8151" s="23" t="s">
        <v>22658</v>
      </c>
      <c r="F8151" s="24" t="s">
        <v>22657</v>
      </c>
      <c r="G8151" s="25">
        <v>4</v>
      </c>
      <c r="H8151" s="29"/>
      <c r="I8151" s="30"/>
    </row>
    <row r="8152" spans="1:9" ht="15.75" thickBot="1" x14ac:dyDescent="0.3">
      <c r="A8152" s="43" t="s">
        <v>16736</v>
      </c>
      <c r="B8152" s="21" t="s">
        <v>16737</v>
      </c>
      <c r="C8152" s="21" t="s">
        <v>22682</v>
      </c>
      <c r="D8152" s="22">
        <v>46034</v>
      </c>
      <c r="E8152" s="23" t="s">
        <v>22656</v>
      </c>
      <c r="F8152" s="24" t="s">
        <v>22657</v>
      </c>
      <c r="G8152" s="25">
        <v>4</v>
      </c>
      <c r="H8152" s="26"/>
      <c r="I8152" s="27"/>
    </row>
    <row r="8153" spans="1:9" ht="15.75" thickBot="1" x14ac:dyDescent="0.3">
      <c r="A8153" s="43" t="s">
        <v>16738</v>
      </c>
      <c r="B8153" s="21" t="s">
        <v>16739</v>
      </c>
      <c r="C8153" s="21" t="s">
        <v>22682</v>
      </c>
      <c r="D8153" s="22">
        <v>46034</v>
      </c>
      <c r="E8153" s="23" t="s">
        <v>22656</v>
      </c>
      <c r="F8153" s="24" t="s">
        <v>22657</v>
      </c>
      <c r="G8153" s="25">
        <v>4</v>
      </c>
      <c r="H8153" s="29"/>
      <c r="I8153" s="30"/>
    </row>
    <row r="8154" spans="1:9" ht="15.75" thickBot="1" x14ac:dyDescent="0.3">
      <c r="A8154" s="43" t="s">
        <v>16740</v>
      </c>
      <c r="B8154" s="21" t="s">
        <v>16741</v>
      </c>
      <c r="C8154" s="21" t="s">
        <v>22682</v>
      </c>
      <c r="D8154" s="22">
        <v>46034</v>
      </c>
      <c r="E8154" s="23" t="s">
        <v>22658</v>
      </c>
      <c r="F8154" s="24" t="s">
        <v>22657</v>
      </c>
      <c r="G8154" s="25">
        <v>4</v>
      </c>
      <c r="H8154" s="26"/>
      <c r="I8154" s="27"/>
    </row>
    <row r="8155" spans="1:9" ht="15.75" thickBot="1" x14ac:dyDescent="0.3">
      <c r="A8155" s="43" t="s">
        <v>16742</v>
      </c>
      <c r="B8155" s="21" t="s">
        <v>16743</v>
      </c>
      <c r="C8155" s="21" t="s">
        <v>22682</v>
      </c>
      <c r="D8155" s="22">
        <v>46034</v>
      </c>
      <c r="E8155" s="23" t="s">
        <v>22658</v>
      </c>
      <c r="F8155" s="24" t="s">
        <v>22657</v>
      </c>
      <c r="G8155" s="25">
        <v>4</v>
      </c>
      <c r="H8155" s="29"/>
      <c r="I8155" s="30"/>
    </row>
    <row r="8156" spans="1:9" ht="15.75" thickBot="1" x14ac:dyDescent="0.3">
      <c r="A8156" s="43" t="s">
        <v>16744</v>
      </c>
      <c r="B8156" s="21" t="s">
        <v>16745</v>
      </c>
      <c r="C8156" s="21" t="s">
        <v>22682</v>
      </c>
      <c r="D8156" s="22">
        <v>46034</v>
      </c>
      <c r="E8156" s="23" t="s">
        <v>22658</v>
      </c>
      <c r="F8156" s="24" t="s">
        <v>22657</v>
      </c>
      <c r="G8156" s="25">
        <v>4</v>
      </c>
      <c r="H8156" s="26"/>
      <c r="I8156" s="27"/>
    </row>
    <row r="8157" spans="1:9" ht="15.75" thickBot="1" x14ac:dyDescent="0.3">
      <c r="A8157" s="43" t="s">
        <v>16746</v>
      </c>
      <c r="B8157" s="21" t="s">
        <v>16747</v>
      </c>
      <c r="C8157" s="21" t="s">
        <v>22682</v>
      </c>
      <c r="D8157" s="22">
        <v>46034</v>
      </c>
      <c r="E8157" s="23" t="s">
        <v>22658</v>
      </c>
      <c r="F8157" s="24" t="s">
        <v>22657</v>
      </c>
      <c r="G8157" s="25">
        <v>4</v>
      </c>
      <c r="H8157" s="29"/>
      <c r="I8157" s="30"/>
    </row>
    <row r="8158" spans="1:9" ht="15.75" thickBot="1" x14ac:dyDescent="0.3">
      <c r="A8158" s="43" t="s">
        <v>16748</v>
      </c>
      <c r="B8158" s="21" t="s">
        <v>16749</v>
      </c>
      <c r="C8158" s="21" t="s">
        <v>22682</v>
      </c>
      <c r="D8158" s="22">
        <v>46034</v>
      </c>
      <c r="E8158" s="23" t="s">
        <v>22656</v>
      </c>
      <c r="F8158" s="24" t="s">
        <v>22657</v>
      </c>
      <c r="G8158" s="25">
        <v>4</v>
      </c>
      <c r="H8158" s="26"/>
      <c r="I8158" s="27"/>
    </row>
    <row r="8159" spans="1:9" ht="15.75" thickBot="1" x14ac:dyDescent="0.3">
      <c r="A8159" s="43" t="s">
        <v>16750</v>
      </c>
      <c r="B8159" s="21" t="s">
        <v>16751</v>
      </c>
      <c r="C8159" s="21" t="s">
        <v>22682</v>
      </c>
      <c r="D8159" s="22">
        <v>46034</v>
      </c>
      <c r="E8159" s="23" t="s">
        <v>22658</v>
      </c>
      <c r="F8159" s="24" t="s">
        <v>22657</v>
      </c>
      <c r="G8159" s="25">
        <v>4</v>
      </c>
      <c r="H8159" s="29"/>
      <c r="I8159" s="30"/>
    </row>
    <row r="8160" spans="1:9" ht="15.75" thickBot="1" x14ac:dyDescent="0.3">
      <c r="A8160" s="43" t="s">
        <v>16752</v>
      </c>
      <c r="B8160" s="21" t="s">
        <v>16753</v>
      </c>
      <c r="C8160" s="21" t="s">
        <v>22682</v>
      </c>
      <c r="D8160" s="22">
        <v>46034</v>
      </c>
      <c r="E8160" s="23" t="s">
        <v>22656</v>
      </c>
      <c r="F8160" s="24" t="s">
        <v>22657</v>
      </c>
      <c r="G8160" s="25">
        <v>4</v>
      </c>
      <c r="H8160" s="26"/>
      <c r="I8160" s="27"/>
    </row>
    <row r="8161" spans="1:9" ht="15.75" thickBot="1" x14ac:dyDescent="0.3">
      <c r="A8161" s="43" t="s">
        <v>16754</v>
      </c>
      <c r="B8161" s="21" t="s">
        <v>16755</v>
      </c>
      <c r="C8161" s="21" t="s">
        <v>22682</v>
      </c>
      <c r="D8161" s="22">
        <v>46034</v>
      </c>
      <c r="E8161" s="23" t="s">
        <v>22658</v>
      </c>
      <c r="F8161" s="24" t="s">
        <v>22657</v>
      </c>
      <c r="G8161" s="25">
        <v>4</v>
      </c>
      <c r="H8161" s="29"/>
      <c r="I8161" s="30"/>
    </row>
    <row r="8162" spans="1:9" ht="15.75" thickBot="1" x14ac:dyDescent="0.3">
      <c r="A8162" s="43" t="s">
        <v>16756</v>
      </c>
      <c r="B8162" s="21" t="s">
        <v>16757</v>
      </c>
      <c r="C8162" s="21" t="s">
        <v>22663</v>
      </c>
      <c r="D8162" s="31">
        <v>1</v>
      </c>
      <c r="E8162" s="23" t="s">
        <v>22656</v>
      </c>
      <c r="F8162" s="24" t="s">
        <v>22657</v>
      </c>
      <c r="G8162" s="25">
        <v>2</v>
      </c>
      <c r="H8162" s="26"/>
      <c r="I8162" s="27"/>
    </row>
    <row r="8163" spans="1:9" ht="15.75" thickBot="1" x14ac:dyDescent="0.3">
      <c r="A8163" s="43" t="s">
        <v>16758</v>
      </c>
      <c r="B8163" s="21" t="s">
        <v>16759</v>
      </c>
      <c r="C8163" s="21" t="s">
        <v>22663</v>
      </c>
      <c r="D8163" s="31">
        <v>1</v>
      </c>
      <c r="E8163" s="23" t="s">
        <v>22661</v>
      </c>
      <c r="F8163" s="24" t="s">
        <v>22657</v>
      </c>
      <c r="G8163" s="25">
        <v>4</v>
      </c>
      <c r="H8163" s="29"/>
      <c r="I8163" s="30"/>
    </row>
    <row r="8164" spans="1:9" ht="15.75" thickBot="1" x14ac:dyDescent="0.3">
      <c r="A8164" s="43" t="s">
        <v>16760</v>
      </c>
      <c r="B8164" s="21" t="s">
        <v>16761</v>
      </c>
      <c r="C8164" s="21" t="s">
        <v>22663</v>
      </c>
      <c r="D8164" s="31">
        <v>1</v>
      </c>
      <c r="E8164" s="23" t="s">
        <v>22658</v>
      </c>
      <c r="F8164" s="24" t="s">
        <v>22657</v>
      </c>
      <c r="G8164" s="25">
        <v>2</v>
      </c>
      <c r="H8164" s="26"/>
      <c r="I8164" s="27"/>
    </row>
    <row r="8165" spans="1:9" ht="15.75" thickBot="1" x14ac:dyDescent="0.3">
      <c r="A8165" s="43" t="s">
        <v>16762</v>
      </c>
      <c r="B8165" s="21" t="s">
        <v>16763</v>
      </c>
      <c r="C8165" s="21" t="s">
        <v>22663</v>
      </c>
      <c r="D8165" s="31">
        <v>1</v>
      </c>
      <c r="E8165" s="23" t="s">
        <v>22656</v>
      </c>
      <c r="F8165" s="24" t="s">
        <v>22657</v>
      </c>
      <c r="G8165" s="25">
        <v>2</v>
      </c>
      <c r="H8165" s="29"/>
      <c r="I8165" s="30"/>
    </row>
    <row r="8166" spans="1:9" ht="15.75" thickBot="1" x14ac:dyDescent="0.3">
      <c r="A8166" s="43" t="s">
        <v>16764</v>
      </c>
      <c r="B8166" s="21" t="s">
        <v>16765</v>
      </c>
      <c r="C8166" s="21" t="s">
        <v>22682</v>
      </c>
      <c r="D8166" s="22">
        <v>46034</v>
      </c>
      <c r="E8166" s="23" t="s">
        <v>22658</v>
      </c>
      <c r="F8166" s="24" t="s">
        <v>22657</v>
      </c>
      <c r="G8166" s="25">
        <v>4</v>
      </c>
      <c r="H8166" s="26"/>
      <c r="I8166" s="27"/>
    </row>
    <row r="8167" spans="1:9" ht="15.75" thickBot="1" x14ac:dyDescent="0.3">
      <c r="A8167" s="43" t="s">
        <v>16766</v>
      </c>
      <c r="B8167" s="21" t="s">
        <v>16767</v>
      </c>
      <c r="C8167" s="21" t="s">
        <v>22682</v>
      </c>
      <c r="D8167" s="22">
        <v>46034</v>
      </c>
      <c r="E8167" s="23" t="s">
        <v>22656</v>
      </c>
      <c r="F8167" s="24" t="s">
        <v>22657</v>
      </c>
      <c r="G8167" s="25">
        <v>4</v>
      </c>
      <c r="H8167" s="29"/>
      <c r="I8167" s="30"/>
    </row>
    <row r="8168" spans="1:9" ht="15.75" thickBot="1" x14ac:dyDescent="0.3">
      <c r="A8168" s="43" t="s">
        <v>16768</v>
      </c>
      <c r="B8168" s="21" t="s">
        <v>16769</v>
      </c>
      <c r="C8168" s="21" t="s">
        <v>22682</v>
      </c>
      <c r="D8168" s="22">
        <v>46034</v>
      </c>
      <c r="E8168" s="23" t="s">
        <v>22658</v>
      </c>
      <c r="F8168" s="24" t="s">
        <v>22657</v>
      </c>
      <c r="G8168" s="25">
        <v>4</v>
      </c>
      <c r="H8168" s="26"/>
      <c r="I8168" s="27"/>
    </row>
    <row r="8169" spans="1:9" ht="15.75" thickBot="1" x14ac:dyDescent="0.3">
      <c r="A8169" s="43" t="s">
        <v>16770</v>
      </c>
      <c r="B8169" s="21" t="s">
        <v>16771</v>
      </c>
      <c r="C8169" s="21" t="s">
        <v>22663</v>
      </c>
      <c r="D8169" s="31">
        <v>1</v>
      </c>
      <c r="E8169" s="23" t="s">
        <v>22656</v>
      </c>
      <c r="F8169" s="24" t="s">
        <v>22657</v>
      </c>
      <c r="G8169" s="25">
        <v>2</v>
      </c>
      <c r="H8169" s="29"/>
      <c r="I8169" s="30"/>
    </row>
    <row r="8170" spans="1:9" ht="15.75" thickBot="1" x14ac:dyDescent="0.3">
      <c r="A8170" s="43" t="s">
        <v>16772</v>
      </c>
      <c r="B8170" s="21" t="s">
        <v>16773</v>
      </c>
      <c r="C8170" s="21" t="s">
        <v>22682</v>
      </c>
      <c r="D8170" s="22">
        <v>46034</v>
      </c>
      <c r="E8170" s="23" t="s">
        <v>22658</v>
      </c>
      <c r="F8170" s="24" t="s">
        <v>22657</v>
      </c>
      <c r="G8170" s="25">
        <v>4</v>
      </c>
      <c r="H8170" s="26"/>
      <c r="I8170" s="27"/>
    </row>
    <row r="8171" spans="1:9" ht="15.75" thickBot="1" x14ac:dyDescent="0.3">
      <c r="A8171" s="43" t="s">
        <v>16774</v>
      </c>
      <c r="B8171" s="21" t="s">
        <v>16775</v>
      </c>
      <c r="C8171" s="21" t="s">
        <v>22663</v>
      </c>
      <c r="D8171" s="31">
        <v>1</v>
      </c>
      <c r="E8171" s="23" t="s">
        <v>22656</v>
      </c>
      <c r="F8171" s="24" t="s">
        <v>22657</v>
      </c>
      <c r="G8171" s="25">
        <v>2</v>
      </c>
      <c r="H8171" s="29"/>
      <c r="I8171" s="30"/>
    </row>
    <row r="8172" spans="1:9" ht="15.75" thickBot="1" x14ac:dyDescent="0.3">
      <c r="A8172" s="43" t="s">
        <v>16776</v>
      </c>
      <c r="B8172" s="21" t="s">
        <v>16777</v>
      </c>
      <c r="C8172" s="21" t="s">
        <v>22663</v>
      </c>
      <c r="D8172" s="31">
        <v>1</v>
      </c>
      <c r="E8172" s="23" t="s">
        <v>22658</v>
      </c>
      <c r="F8172" s="24" t="s">
        <v>22657</v>
      </c>
      <c r="G8172" s="25">
        <v>2</v>
      </c>
      <c r="H8172" s="26"/>
      <c r="I8172" s="27"/>
    </row>
    <row r="8173" spans="1:9" ht="15.75" thickBot="1" x14ac:dyDescent="0.3">
      <c r="A8173" s="43" t="s">
        <v>16778</v>
      </c>
      <c r="B8173" s="21" t="s">
        <v>16779</v>
      </c>
      <c r="C8173" s="21" t="s">
        <v>22663</v>
      </c>
      <c r="D8173" s="31">
        <v>1</v>
      </c>
      <c r="E8173" s="23" t="s">
        <v>22658</v>
      </c>
      <c r="F8173" s="24" t="s">
        <v>22657</v>
      </c>
      <c r="G8173" s="25">
        <v>2</v>
      </c>
      <c r="H8173" s="29"/>
      <c r="I8173" s="30"/>
    </row>
    <row r="8174" spans="1:9" ht="15.75" thickBot="1" x14ac:dyDescent="0.3">
      <c r="A8174" s="43" t="s">
        <v>16780</v>
      </c>
      <c r="B8174" s="21" t="s">
        <v>16781</v>
      </c>
      <c r="C8174" s="21" t="s">
        <v>22663</v>
      </c>
      <c r="D8174" s="31">
        <v>1</v>
      </c>
      <c r="E8174" s="23" t="s">
        <v>22658</v>
      </c>
      <c r="F8174" s="24" t="s">
        <v>22657</v>
      </c>
      <c r="G8174" s="25">
        <v>2</v>
      </c>
      <c r="H8174" s="26"/>
      <c r="I8174" s="27"/>
    </row>
    <row r="8175" spans="1:9" ht="15.75" thickBot="1" x14ac:dyDescent="0.3">
      <c r="A8175" s="43" t="s">
        <v>16782</v>
      </c>
      <c r="B8175" s="21" t="s">
        <v>16783</v>
      </c>
      <c r="C8175" s="21" t="s">
        <v>22663</v>
      </c>
      <c r="D8175" s="31">
        <v>1</v>
      </c>
      <c r="E8175" s="23" t="s">
        <v>22658</v>
      </c>
      <c r="F8175" s="24" t="s">
        <v>22657</v>
      </c>
      <c r="G8175" s="25">
        <v>2</v>
      </c>
      <c r="H8175" s="29"/>
      <c r="I8175" s="30"/>
    </row>
    <row r="8176" spans="1:9" ht="15.75" thickBot="1" x14ac:dyDescent="0.3">
      <c r="A8176" s="43" t="s">
        <v>16784</v>
      </c>
      <c r="B8176" s="21" t="s">
        <v>16785</v>
      </c>
      <c r="C8176" s="21" t="s">
        <v>22663</v>
      </c>
      <c r="D8176" s="31">
        <v>1</v>
      </c>
      <c r="E8176" s="23" t="s">
        <v>22658</v>
      </c>
      <c r="F8176" s="24" t="s">
        <v>22657</v>
      </c>
      <c r="G8176" s="25">
        <v>2</v>
      </c>
      <c r="H8176" s="26"/>
      <c r="I8176" s="27"/>
    </row>
    <row r="8177" spans="1:9" ht="15.75" thickBot="1" x14ac:dyDescent="0.3">
      <c r="A8177" s="43" t="s">
        <v>16786</v>
      </c>
      <c r="B8177" s="21" t="s">
        <v>16787</v>
      </c>
      <c r="C8177" s="21" t="s">
        <v>22663</v>
      </c>
      <c r="D8177" s="31">
        <v>1</v>
      </c>
      <c r="E8177" s="23" t="s">
        <v>22656</v>
      </c>
      <c r="F8177" s="24" t="s">
        <v>22657</v>
      </c>
      <c r="G8177" s="25">
        <v>2</v>
      </c>
      <c r="H8177" s="29"/>
      <c r="I8177" s="30"/>
    </row>
    <row r="8178" spans="1:9" ht="15.75" thickBot="1" x14ac:dyDescent="0.3">
      <c r="A8178" s="43" t="s">
        <v>16788</v>
      </c>
      <c r="B8178" s="21" t="s">
        <v>16789</v>
      </c>
      <c r="C8178" s="21" t="s">
        <v>22663</v>
      </c>
      <c r="D8178" s="31">
        <v>1</v>
      </c>
      <c r="E8178" s="23" t="s">
        <v>22658</v>
      </c>
      <c r="F8178" s="24" t="s">
        <v>22657</v>
      </c>
      <c r="G8178" s="25">
        <v>2</v>
      </c>
      <c r="H8178" s="26"/>
      <c r="I8178" s="27"/>
    </row>
    <row r="8179" spans="1:9" ht="15.75" thickBot="1" x14ac:dyDescent="0.3">
      <c r="A8179" s="43" t="s">
        <v>16790</v>
      </c>
      <c r="B8179" s="21" t="s">
        <v>16791</v>
      </c>
      <c r="C8179" s="21" t="s">
        <v>22663</v>
      </c>
      <c r="D8179" s="31">
        <v>1</v>
      </c>
      <c r="E8179" s="23" t="s">
        <v>22658</v>
      </c>
      <c r="F8179" s="24" t="s">
        <v>22657</v>
      </c>
      <c r="G8179" s="25">
        <v>2</v>
      </c>
      <c r="H8179" s="29"/>
      <c r="I8179" s="30"/>
    </row>
    <row r="8180" spans="1:9" ht="15.75" thickBot="1" x14ac:dyDescent="0.3">
      <c r="A8180" s="43" t="s">
        <v>16792</v>
      </c>
      <c r="B8180" s="21" t="s">
        <v>16793</v>
      </c>
      <c r="C8180" s="21" t="s">
        <v>22682</v>
      </c>
      <c r="D8180" s="22">
        <v>46034</v>
      </c>
      <c r="E8180" s="23" t="s">
        <v>22658</v>
      </c>
      <c r="F8180" s="24" t="s">
        <v>22657</v>
      </c>
      <c r="G8180" s="25">
        <v>4</v>
      </c>
      <c r="H8180" s="26"/>
      <c r="I8180" s="27"/>
    </row>
    <row r="8181" spans="1:9" ht="15.75" thickBot="1" x14ac:dyDescent="0.3">
      <c r="A8181" s="43" t="s">
        <v>16794</v>
      </c>
      <c r="B8181" s="21" t="s">
        <v>16795</v>
      </c>
      <c r="C8181" s="21" t="s">
        <v>22663</v>
      </c>
      <c r="D8181" s="31">
        <v>1</v>
      </c>
      <c r="E8181" s="23" t="s">
        <v>22656</v>
      </c>
      <c r="F8181" s="24" t="s">
        <v>22657</v>
      </c>
      <c r="G8181" s="25">
        <v>2</v>
      </c>
      <c r="H8181" s="29"/>
      <c r="I8181" s="30"/>
    </row>
    <row r="8182" spans="1:9" ht="15.75" thickBot="1" x14ac:dyDescent="0.3">
      <c r="A8182" s="43" t="s">
        <v>16796</v>
      </c>
      <c r="B8182" s="21" t="s">
        <v>16797</v>
      </c>
      <c r="C8182" s="21" t="s">
        <v>22663</v>
      </c>
      <c r="D8182" s="31">
        <v>1</v>
      </c>
      <c r="E8182" s="23" t="s">
        <v>22656</v>
      </c>
      <c r="F8182" s="24" t="s">
        <v>22657</v>
      </c>
      <c r="G8182" s="25">
        <v>2</v>
      </c>
      <c r="H8182" s="26"/>
      <c r="I8182" s="27"/>
    </row>
    <row r="8183" spans="1:9" ht="15.75" thickBot="1" x14ac:dyDescent="0.3">
      <c r="A8183" s="43" t="s">
        <v>16798</v>
      </c>
      <c r="B8183" s="21" t="s">
        <v>16799</v>
      </c>
      <c r="C8183" s="21" t="s">
        <v>22682</v>
      </c>
      <c r="D8183" s="22">
        <v>46034</v>
      </c>
      <c r="E8183" s="23" t="s">
        <v>22656</v>
      </c>
      <c r="F8183" s="24" t="s">
        <v>22657</v>
      </c>
      <c r="G8183" s="25">
        <v>4</v>
      </c>
      <c r="H8183" s="29"/>
      <c r="I8183" s="30"/>
    </row>
    <row r="8184" spans="1:9" ht="15.75" thickBot="1" x14ac:dyDescent="0.3">
      <c r="A8184" s="43" t="s">
        <v>16800</v>
      </c>
      <c r="B8184" s="21" t="s">
        <v>16801</v>
      </c>
      <c r="C8184" s="21" t="s">
        <v>22655</v>
      </c>
      <c r="D8184" s="31" t="s">
        <v>22683</v>
      </c>
      <c r="E8184" s="23" t="s">
        <v>22662</v>
      </c>
      <c r="F8184" s="24" t="s">
        <v>22657</v>
      </c>
      <c r="G8184" s="25">
        <v>34</v>
      </c>
      <c r="H8184" s="26"/>
      <c r="I8184" s="27"/>
    </row>
    <row r="8185" spans="1:9" ht="15.75" thickBot="1" x14ac:dyDescent="0.3">
      <c r="A8185" s="43" t="s">
        <v>16802</v>
      </c>
      <c r="B8185" s="21" t="s">
        <v>16803</v>
      </c>
      <c r="C8185" s="21" t="s">
        <v>22655</v>
      </c>
      <c r="D8185" s="31" t="s">
        <v>22683</v>
      </c>
      <c r="E8185" s="23" t="s">
        <v>22665</v>
      </c>
      <c r="F8185" s="24" t="s">
        <v>22657</v>
      </c>
      <c r="G8185" s="25">
        <v>30</v>
      </c>
      <c r="H8185" s="32">
        <v>30</v>
      </c>
      <c r="I8185" s="33">
        <v>60</v>
      </c>
    </row>
    <row r="8186" spans="1:9" ht="15.75" thickBot="1" x14ac:dyDescent="0.3">
      <c r="A8186" s="43" t="s">
        <v>16804</v>
      </c>
      <c r="B8186" s="21" t="s">
        <v>16805</v>
      </c>
      <c r="C8186" s="21" t="s">
        <v>22655</v>
      </c>
      <c r="D8186" s="31" t="s">
        <v>22859</v>
      </c>
      <c r="E8186" s="23" t="s">
        <v>22658</v>
      </c>
      <c r="F8186" s="24" t="s">
        <v>22657</v>
      </c>
      <c r="G8186" s="25">
        <v>34</v>
      </c>
      <c r="H8186" s="26"/>
      <c r="I8186" s="27"/>
    </row>
    <row r="8187" spans="1:9" ht="15.75" thickBot="1" x14ac:dyDescent="0.3">
      <c r="A8187" s="43" t="s">
        <v>16806</v>
      </c>
      <c r="B8187" s="21" t="s">
        <v>16807</v>
      </c>
      <c r="C8187" s="21" t="s">
        <v>22655</v>
      </c>
      <c r="D8187" s="31" t="s">
        <v>22683</v>
      </c>
      <c r="E8187" s="23" t="s">
        <v>22665</v>
      </c>
      <c r="F8187" s="24" t="s">
        <v>22657</v>
      </c>
      <c r="G8187" s="25">
        <v>34</v>
      </c>
      <c r="H8187" s="29"/>
      <c r="I8187" s="30"/>
    </row>
    <row r="8188" spans="1:9" ht="15.75" thickBot="1" x14ac:dyDescent="0.3">
      <c r="A8188" s="43" t="s">
        <v>16808</v>
      </c>
      <c r="B8188" s="21" t="s">
        <v>16809</v>
      </c>
      <c r="C8188" s="21" t="s">
        <v>22655</v>
      </c>
      <c r="D8188" s="31" t="s">
        <v>22683</v>
      </c>
      <c r="E8188" s="23" t="s">
        <v>22661</v>
      </c>
      <c r="F8188" s="24" t="s">
        <v>22657</v>
      </c>
      <c r="G8188" s="25">
        <v>34</v>
      </c>
      <c r="H8188" s="26"/>
      <c r="I8188" s="27"/>
    </row>
    <row r="8189" spans="1:9" ht="15.75" thickBot="1" x14ac:dyDescent="0.3">
      <c r="A8189" s="43" t="s">
        <v>16810</v>
      </c>
      <c r="B8189" s="21" t="s">
        <v>16811</v>
      </c>
      <c r="C8189" s="21" t="s">
        <v>22655</v>
      </c>
      <c r="D8189" s="22">
        <v>46052</v>
      </c>
      <c r="E8189" s="23" t="s">
        <v>22658</v>
      </c>
      <c r="F8189" s="24" t="s">
        <v>22657</v>
      </c>
      <c r="G8189" s="25">
        <v>4</v>
      </c>
      <c r="H8189" s="29"/>
      <c r="I8189" s="30"/>
    </row>
    <row r="8190" spans="1:9" ht="15.75" thickBot="1" x14ac:dyDescent="0.3">
      <c r="A8190" s="43" t="s">
        <v>16812</v>
      </c>
      <c r="B8190" s="21" t="s">
        <v>16813</v>
      </c>
      <c r="C8190" s="21" t="s">
        <v>22655</v>
      </c>
      <c r="D8190" s="22">
        <v>46052</v>
      </c>
      <c r="E8190" s="23" t="s">
        <v>22658</v>
      </c>
      <c r="F8190" s="24" t="s">
        <v>22657</v>
      </c>
      <c r="G8190" s="25">
        <v>4</v>
      </c>
      <c r="H8190" s="26"/>
      <c r="I8190" s="27"/>
    </row>
    <row r="8191" spans="1:9" ht="15.75" thickBot="1" x14ac:dyDescent="0.3">
      <c r="A8191" s="43" t="s">
        <v>16814</v>
      </c>
      <c r="B8191" s="21" t="s">
        <v>16815</v>
      </c>
      <c r="C8191" s="21" t="s">
        <v>22682</v>
      </c>
      <c r="D8191" s="22">
        <v>46034</v>
      </c>
      <c r="E8191" s="23" t="s">
        <v>22656</v>
      </c>
      <c r="F8191" s="24" t="s">
        <v>22657</v>
      </c>
      <c r="G8191" s="25">
        <v>4</v>
      </c>
      <c r="H8191" s="29"/>
      <c r="I8191" s="30"/>
    </row>
    <row r="8192" spans="1:9" ht="15.75" thickBot="1" x14ac:dyDescent="0.3">
      <c r="A8192" s="43" t="s">
        <v>16816</v>
      </c>
      <c r="B8192" s="21" t="s">
        <v>16817</v>
      </c>
      <c r="C8192" s="21" t="s">
        <v>22655</v>
      </c>
      <c r="D8192" s="22">
        <v>46032</v>
      </c>
      <c r="E8192" s="23" t="s">
        <v>22656</v>
      </c>
      <c r="F8192" s="24" t="s">
        <v>22657</v>
      </c>
      <c r="G8192" s="25">
        <v>4</v>
      </c>
      <c r="H8192" s="26"/>
      <c r="I8192" s="27"/>
    </row>
    <row r="8193" spans="1:9" ht="15.75" thickBot="1" x14ac:dyDescent="0.3">
      <c r="A8193" s="43" t="s">
        <v>16818</v>
      </c>
      <c r="B8193" s="21" t="s">
        <v>16819</v>
      </c>
      <c r="C8193" s="21" t="s">
        <v>22655</v>
      </c>
      <c r="D8193" s="22">
        <v>46032</v>
      </c>
      <c r="E8193" s="23" t="s">
        <v>22656</v>
      </c>
      <c r="F8193" s="24" t="s">
        <v>22657</v>
      </c>
      <c r="G8193" s="25">
        <v>4</v>
      </c>
      <c r="H8193" s="29"/>
      <c r="I8193" s="30"/>
    </row>
    <row r="8194" spans="1:9" ht="15.75" thickBot="1" x14ac:dyDescent="0.3">
      <c r="A8194" s="43" t="s">
        <v>16820</v>
      </c>
      <c r="B8194" s="21" t="s">
        <v>16821</v>
      </c>
      <c r="C8194" s="21" t="s">
        <v>22716</v>
      </c>
      <c r="D8194" s="22">
        <v>46052</v>
      </c>
      <c r="E8194" s="23" t="s">
        <v>22656</v>
      </c>
      <c r="F8194" s="24" t="s">
        <v>22657</v>
      </c>
      <c r="G8194" s="25">
        <v>11</v>
      </c>
      <c r="H8194" s="26"/>
      <c r="I8194" s="27"/>
    </row>
    <row r="8195" spans="1:9" ht="15.75" thickBot="1" x14ac:dyDescent="0.3">
      <c r="A8195" s="43" t="s">
        <v>16822</v>
      </c>
      <c r="B8195" s="21" t="s">
        <v>16823</v>
      </c>
      <c r="C8195" s="21" t="s">
        <v>22725</v>
      </c>
      <c r="D8195" s="22">
        <v>46032</v>
      </c>
      <c r="E8195" s="23" t="s">
        <v>22656</v>
      </c>
      <c r="F8195" s="24" t="s">
        <v>22657</v>
      </c>
      <c r="G8195" s="25">
        <v>4</v>
      </c>
      <c r="H8195" s="29"/>
      <c r="I8195" s="30"/>
    </row>
    <row r="8196" spans="1:9" ht="15.75" thickBot="1" x14ac:dyDescent="0.3">
      <c r="A8196" s="43" t="s">
        <v>16824</v>
      </c>
      <c r="B8196" s="21" t="s">
        <v>16825</v>
      </c>
      <c r="C8196" s="21" t="s">
        <v>22725</v>
      </c>
      <c r="D8196" s="31" t="s">
        <v>22673</v>
      </c>
      <c r="E8196" s="23" t="s">
        <v>22658</v>
      </c>
      <c r="F8196" s="24" t="s">
        <v>22657</v>
      </c>
      <c r="G8196" s="25">
        <v>4</v>
      </c>
      <c r="H8196" s="26"/>
      <c r="I8196" s="27"/>
    </row>
    <row r="8197" spans="1:9" ht="15.75" thickBot="1" x14ac:dyDescent="0.3">
      <c r="A8197" s="43" t="s">
        <v>1171</v>
      </c>
      <c r="B8197" s="21" t="s">
        <v>22622</v>
      </c>
      <c r="C8197" s="21" t="s">
        <v>22655</v>
      </c>
      <c r="D8197" s="22">
        <v>46032</v>
      </c>
      <c r="E8197" s="23" t="s">
        <v>22665</v>
      </c>
      <c r="F8197" s="24" t="s">
        <v>22657</v>
      </c>
      <c r="G8197" s="25">
        <v>20</v>
      </c>
      <c r="H8197" s="32">
        <v>20</v>
      </c>
      <c r="I8197" s="33">
        <v>30</v>
      </c>
    </row>
    <row r="8198" spans="1:9" ht="15.75" thickBot="1" x14ac:dyDescent="0.3">
      <c r="A8198" s="43" t="s">
        <v>16826</v>
      </c>
      <c r="B8198" s="21" t="s">
        <v>16827</v>
      </c>
      <c r="C8198" s="21" t="s">
        <v>22682</v>
      </c>
      <c r="D8198" s="22">
        <v>46034</v>
      </c>
      <c r="E8198" s="23" t="s">
        <v>22656</v>
      </c>
      <c r="F8198" s="24" t="s">
        <v>22657</v>
      </c>
      <c r="G8198" s="25">
        <v>4</v>
      </c>
      <c r="H8198" s="26"/>
      <c r="I8198" s="27"/>
    </row>
    <row r="8199" spans="1:9" ht="15.75" thickBot="1" x14ac:dyDescent="0.3">
      <c r="A8199" s="43" t="s">
        <v>16828</v>
      </c>
      <c r="B8199" s="21" t="s">
        <v>16829</v>
      </c>
      <c r="C8199" s="21" t="s">
        <v>22682</v>
      </c>
      <c r="D8199" s="22">
        <v>46034</v>
      </c>
      <c r="E8199" s="23" t="s">
        <v>22656</v>
      </c>
      <c r="F8199" s="24" t="s">
        <v>22657</v>
      </c>
      <c r="G8199" s="25">
        <v>4</v>
      </c>
      <c r="H8199" s="29"/>
      <c r="I8199" s="30"/>
    </row>
    <row r="8200" spans="1:9" ht="15.75" thickBot="1" x14ac:dyDescent="0.3">
      <c r="A8200" s="43" t="s">
        <v>16830</v>
      </c>
      <c r="B8200" s="21" t="s">
        <v>16831</v>
      </c>
      <c r="C8200" s="21" t="s">
        <v>22682</v>
      </c>
      <c r="D8200" s="22">
        <v>46034</v>
      </c>
      <c r="E8200" s="23" t="s">
        <v>22658</v>
      </c>
      <c r="F8200" s="24" t="s">
        <v>22657</v>
      </c>
      <c r="G8200" s="25">
        <v>4</v>
      </c>
      <c r="H8200" s="26"/>
      <c r="I8200" s="27"/>
    </row>
    <row r="8201" spans="1:9" ht="15.75" thickBot="1" x14ac:dyDescent="0.3">
      <c r="A8201" s="43" t="s">
        <v>16832</v>
      </c>
      <c r="B8201" s="21" t="s">
        <v>16833</v>
      </c>
      <c r="C8201" s="21" t="s">
        <v>22690</v>
      </c>
      <c r="D8201" s="31" t="s">
        <v>22860</v>
      </c>
      <c r="E8201" s="23" t="s">
        <v>22661</v>
      </c>
      <c r="F8201" s="24" t="s">
        <v>22657</v>
      </c>
      <c r="G8201" s="25">
        <v>13</v>
      </c>
      <c r="H8201" s="29"/>
      <c r="I8201" s="30"/>
    </row>
    <row r="8202" spans="1:9" ht="15.75" thickBot="1" x14ac:dyDescent="0.3">
      <c r="A8202" s="43" t="s">
        <v>16834</v>
      </c>
      <c r="B8202" s="21" t="s">
        <v>16835</v>
      </c>
      <c r="C8202" s="21" t="s">
        <v>22690</v>
      </c>
      <c r="D8202" s="31" t="s">
        <v>22860</v>
      </c>
      <c r="E8202" s="23" t="s">
        <v>22656</v>
      </c>
      <c r="F8202" s="24" t="s">
        <v>22657</v>
      </c>
      <c r="G8202" s="25">
        <v>4</v>
      </c>
      <c r="H8202" s="26"/>
      <c r="I8202" s="27"/>
    </row>
    <row r="8203" spans="1:9" ht="15.75" thickBot="1" x14ac:dyDescent="0.3">
      <c r="A8203" s="43" t="s">
        <v>16836</v>
      </c>
      <c r="B8203" s="21" t="s">
        <v>16837</v>
      </c>
      <c r="C8203" s="21" t="s">
        <v>22690</v>
      </c>
      <c r="D8203" s="31" t="s">
        <v>22860</v>
      </c>
      <c r="E8203" s="23" t="s">
        <v>22656</v>
      </c>
      <c r="F8203" s="24" t="s">
        <v>22657</v>
      </c>
      <c r="G8203" s="25">
        <v>4</v>
      </c>
      <c r="H8203" s="29"/>
      <c r="I8203" s="30"/>
    </row>
    <row r="8204" spans="1:9" ht="15.75" thickBot="1" x14ac:dyDescent="0.3">
      <c r="A8204" s="43" t="s">
        <v>16838</v>
      </c>
      <c r="B8204" s="21" t="s">
        <v>16839</v>
      </c>
      <c r="C8204" s="21" t="s">
        <v>22690</v>
      </c>
      <c r="D8204" s="31" t="s">
        <v>22860</v>
      </c>
      <c r="E8204" s="23" t="s">
        <v>22661</v>
      </c>
      <c r="F8204" s="24" t="s">
        <v>22657</v>
      </c>
      <c r="G8204" s="25">
        <v>5</v>
      </c>
      <c r="H8204" s="26"/>
      <c r="I8204" s="27"/>
    </row>
    <row r="8205" spans="1:9" ht="15.75" thickBot="1" x14ac:dyDescent="0.3">
      <c r="A8205" s="43" t="s">
        <v>16840</v>
      </c>
      <c r="B8205" s="21" t="s">
        <v>16841</v>
      </c>
      <c r="C8205" s="21" t="s">
        <v>22690</v>
      </c>
      <c r="D8205" s="31" t="s">
        <v>22860</v>
      </c>
      <c r="E8205" s="23" t="s">
        <v>22656</v>
      </c>
      <c r="F8205" s="24" t="s">
        <v>22657</v>
      </c>
      <c r="G8205" s="25">
        <v>4</v>
      </c>
      <c r="H8205" s="29"/>
      <c r="I8205" s="30"/>
    </row>
    <row r="8206" spans="1:9" ht="15.75" thickBot="1" x14ac:dyDescent="0.3">
      <c r="A8206" s="43" t="s">
        <v>16842</v>
      </c>
      <c r="B8206" s="21" t="s">
        <v>16843</v>
      </c>
      <c r="C8206" s="21" t="s">
        <v>22690</v>
      </c>
      <c r="D8206" s="31" t="s">
        <v>22860</v>
      </c>
      <c r="E8206" s="23" t="s">
        <v>22656</v>
      </c>
      <c r="F8206" s="24" t="s">
        <v>22657</v>
      </c>
      <c r="G8206" s="25">
        <v>4</v>
      </c>
      <c r="H8206" s="26"/>
      <c r="I8206" s="27"/>
    </row>
    <row r="8207" spans="1:9" ht="15.75" thickBot="1" x14ac:dyDescent="0.3">
      <c r="A8207" s="43" t="s">
        <v>16844</v>
      </c>
      <c r="B8207" s="21" t="s">
        <v>16845</v>
      </c>
      <c r="C8207" s="21" t="s">
        <v>22690</v>
      </c>
      <c r="D8207" s="31" t="s">
        <v>22860</v>
      </c>
      <c r="E8207" s="23" t="s">
        <v>22656</v>
      </c>
      <c r="F8207" s="24" t="s">
        <v>22657</v>
      </c>
      <c r="G8207" s="25">
        <v>4</v>
      </c>
      <c r="H8207" s="29"/>
      <c r="I8207" s="30"/>
    </row>
    <row r="8208" spans="1:9" ht="15.75" thickBot="1" x14ac:dyDescent="0.3">
      <c r="A8208" s="43" t="s">
        <v>16846</v>
      </c>
      <c r="B8208" s="21" t="s">
        <v>16847</v>
      </c>
      <c r="C8208" s="21" t="s">
        <v>22690</v>
      </c>
      <c r="D8208" s="31" t="s">
        <v>22860</v>
      </c>
      <c r="E8208" s="23" t="s">
        <v>22656</v>
      </c>
      <c r="F8208" s="24" t="s">
        <v>22657</v>
      </c>
      <c r="G8208" s="25">
        <v>4</v>
      </c>
      <c r="H8208" s="26"/>
      <c r="I8208" s="27"/>
    </row>
    <row r="8209" spans="1:9" ht="15.75" thickBot="1" x14ac:dyDescent="0.3">
      <c r="A8209" s="43" t="s">
        <v>16848</v>
      </c>
      <c r="B8209" s="21" t="s">
        <v>16849</v>
      </c>
      <c r="C8209" s="21" t="s">
        <v>22682</v>
      </c>
      <c r="D8209" s="22">
        <v>46034</v>
      </c>
      <c r="E8209" s="23" t="s">
        <v>22656</v>
      </c>
      <c r="F8209" s="24" t="s">
        <v>22657</v>
      </c>
      <c r="G8209" s="25">
        <v>2</v>
      </c>
      <c r="H8209" s="29"/>
      <c r="I8209" s="30"/>
    </row>
    <row r="8210" spans="1:9" ht="15.75" thickBot="1" x14ac:dyDescent="0.3">
      <c r="A8210" s="43" t="s">
        <v>16850</v>
      </c>
      <c r="B8210" s="21" t="s">
        <v>16851</v>
      </c>
      <c r="C8210" s="21" t="s">
        <v>22682</v>
      </c>
      <c r="D8210" s="22">
        <v>46034</v>
      </c>
      <c r="E8210" s="23" t="s">
        <v>22656</v>
      </c>
      <c r="F8210" s="24" t="s">
        <v>22657</v>
      </c>
      <c r="G8210" s="25">
        <v>2</v>
      </c>
      <c r="H8210" s="26"/>
      <c r="I8210" s="27"/>
    </row>
    <row r="8211" spans="1:9" ht="15.75" thickBot="1" x14ac:dyDescent="0.3">
      <c r="A8211" s="43" t="s">
        <v>16852</v>
      </c>
      <c r="B8211" s="21" t="s">
        <v>16853</v>
      </c>
      <c r="C8211" s="21" t="s">
        <v>22682</v>
      </c>
      <c r="D8211" s="22">
        <v>46034</v>
      </c>
      <c r="E8211" s="23" t="s">
        <v>22658</v>
      </c>
      <c r="F8211" s="24" t="s">
        <v>22657</v>
      </c>
      <c r="G8211" s="25">
        <v>2</v>
      </c>
      <c r="H8211" s="29"/>
      <c r="I8211" s="30"/>
    </row>
    <row r="8212" spans="1:9" ht="15.75" thickBot="1" x14ac:dyDescent="0.3">
      <c r="A8212" s="43" t="s">
        <v>16854</v>
      </c>
      <c r="B8212" s="21" t="s">
        <v>16855</v>
      </c>
      <c r="C8212" s="21" t="s">
        <v>22682</v>
      </c>
      <c r="D8212" s="22">
        <v>46034</v>
      </c>
      <c r="E8212" s="23" t="s">
        <v>22656</v>
      </c>
      <c r="F8212" s="24" t="s">
        <v>22657</v>
      </c>
      <c r="G8212" s="25">
        <v>2</v>
      </c>
      <c r="H8212" s="26"/>
      <c r="I8212" s="27"/>
    </row>
    <row r="8213" spans="1:9" ht="15.75" thickBot="1" x14ac:dyDescent="0.3">
      <c r="A8213" s="43" t="s">
        <v>16856</v>
      </c>
      <c r="B8213" s="21" t="s">
        <v>16857</v>
      </c>
      <c r="C8213" s="21" t="s">
        <v>22682</v>
      </c>
      <c r="D8213" s="22">
        <v>46034</v>
      </c>
      <c r="E8213" s="23" t="s">
        <v>22658</v>
      </c>
      <c r="F8213" s="24" t="s">
        <v>22657</v>
      </c>
      <c r="G8213" s="25">
        <v>2</v>
      </c>
      <c r="H8213" s="29"/>
      <c r="I8213" s="30"/>
    </row>
    <row r="8214" spans="1:9" ht="15.75" thickBot="1" x14ac:dyDescent="0.3">
      <c r="A8214" s="43" t="s">
        <v>16858</v>
      </c>
      <c r="B8214" s="21" t="s">
        <v>16859</v>
      </c>
      <c r="C8214" s="21" t="s">
        <v>22682</v>
      </c>
      <c r="D8214" s="22">
        <v>46034</v>
      </c>
      <c r="E8214" s="23" t="s">
        <v>22658</v>
      </c>
      <c r="F8214" s="24" t="s">
        <v>22657</v>
      </c>
      <c r="G8214" s="25">
        <v>2</v>
      </c>
      <c r="H8214" s="26"/>
      <c r="I8214" s="27"/>
    </row>
    <row r="8215" spans="1:9" ht="15.75" thickBot="1" x14ac:dyDescent="0.3">
      <c r="A8215" s="43" t="s">
        <v>16860</v>
      </c>
      <c r="B8215" s="21" t="s">
        <v>16861</v>
      </c>
      <c r="C8215" s="21" t="s">
        <v>22682</v>
      </c>
      <c r="D8215" s="22">
        <v>46034</v>
      </c>
      <c r="E8215" s="23" t="s">
        <v>22658</v>
      </c>
      <c r="F8215" s="24" t="s">
        <v>22657</v>
      </c>
      <c r="G8215" s="25">
        <v>2</v>
      </c>
      <c r="H8215" s="29"/>
      <c r="I8215" s="30"/>
    </row>
    <row r="8216" spans="1:9" ht="15.75" thickBot="1" x14ac:dyDescent="0.3">
      <c r="A8216" s="43" t="s">
        <v>16862</v>
      </c>
      <c r="B8216" s="21" t="s">
        <v>16863</v>
      </c>
      <c r="C8216" s="21" t="s">
        <v>22682</v>
      </c>
      <c r="D8216" s="22">
        <v>46034</v>
      </c>
      <c r="E8216" s="23" t="s">
        <v>22656</v>
      </c>
      <c r="F8216" s="24" t="s">
        <v>22657</v>
      </c>
      <c r="G8216" s="25">
        <v>2</v>
      </c>
      <c r="H8216" s="26"/>
      <c r="I8216" s="27"/>
    </row>
    <row r="8217" spans="1:9" ht="15.75" thickBot="1" x14ac:dyDescent="0.3">
      <c r="A8217" s="43" t="s">
        <v>16864</v>
      </c>
      <c r="B8217" s="21" t="s">
        <v>16865</v>
      </c>
      <c r="C8217" s="21" t="s">
        <v>22682</v>
      </c>
      <c r="D8217" s="22">
        <v>46034</v>
      </c>
      <c r="E8217" s="23" t="s">
        <v>22658</v>
      </c>
      <c r="F8217" s="24" t="s">
        <v>22657</v>
      </c>
      <c r="G8217" s="25">
        <v>2</v>
      </c>
      <c r="H8217" s="29"/>
      <c r="I8217" s="30"/>
    </row>
    <row r="8218" spans="1:9" ht="15.75" thickBot="1" x14ac:dyDescent="0.3">
      <c r="A8218" s="43" t="s">
        <v>16866</v>
      </c>
      <c r="B8218" s="21" t="s">
        <v>16867</v>
      </c>
      <c r="C8218" s="21" t="s">
        <v>22663</v>
      </c>
      <c r="D8218" s="31">
        <v>1</v>
      </c>
      <c r="E8218" s="23" t="s">
        <v>22658</v>
      </c>
      <c r="F8218" s="24" t="s">
        <v>22657</v>
      </c>
      <c r="G8218" s="25">
        <v>2</v>
      </c>
      <c r="H8218" s="26"/>
      <c r="I8218" s="27"/>
    </row>
    <row r="8219" spans="1:9" ht="15.75" thickBot="1" x14ac:dyDescent="0.3">
      <c r="A8219" s="43" t="s">
        <v>16868</v>
      </c>
      <c r="B8219" s="21" t="s">
        <v>16869</v>
      </c>
      <c r="C8219" s="21" t="s">
        <v>22655</v>
      </c>
      <c r="D8219" s="31" t="s">
        <v>22775</v>
      </c>
      <c r="E8219" s="23" t="s">
        <v>22656</v>
      </c>
      <c r="F8219" s="24" t="s">
        <v>22657</v>
      </c>
      <c r="G8219" s="25">
        <v>2</v>
      </c>
      <c r="H8219" s="29"/>
      <c r="I8219" s="30"/>
    </row>
    <row r="8220" spans="1:9" ht="15.75" thickBot="1" x14ac:dyDescent="0.3">
      <c r="A8220" s="43" t="s">
        <v>16870</v>
      </c>
      <c r="B8220" s="21" t="s">
        <v>16871</v>
      </c>
      <c r="C8220" s="21" t="s">
        <v>22663</v>
      </c>
      <c r="D8220" s="31">
        <v>1</v>
      </c>
      <c r="E8220" s="23" t="s">
        <v>22658</v>
      </c>
      <c r="F8220" s="24" t="s">
        <v>22657</v>
      </c>
      <c r="G8220" s="25">
        <v>2</v>
      </c>
      <c r="H8220" s="26"/>
      <c r="I8220" s="27"/>
    </row>
    <row r="8221" spans="1:9" ht="15.75" thickBot="1" x14ac:dyDescent="0.3">
      <c r="A8221" s="43" t="s">
        <v>16872</v>
      </c>
      <c r="B8221" s="21" t="s">
        <v>16873</v>
      </c>
      <c r="C8221" s="21" t="s">
        <v>22663</v>
      </c>
      <c r="D8221" s="31">
        <v>1</v>
      </c>
      <c r="E8221" s="23" t="s">
        <v>22658</v>
      </c>
      <c r="F8221" s="24" t="s">
        <v>22657</v>
      </c>
      <c r="G8221" s="25">
        <v>2</v>
      </c>
      <c r="H8221" s="29"/>
      <c r="I8221" s="30"/>
    </row>
    <row r="8222" spans="1:9" ht="15.75" thickBot="1" x14ac:dyDescent="0.3">
      <c r="A8222" s="43" t="s">
        <v>16874</v>
      </c>
      <c r="B8222" s="21" t="s">
        <v>16875</v>
      </c>
      <c r="C8222" s="21" t="s">
        <v>22663</v>
      </c>
      <c r="D8222" s="31">
        <v>1</v>
      </c>
      <c r="E8222" s="23" t="s">
        <v>22658</v>
      </c>
      <c r="F8222" s="24" t="s">
        <v>22657</v>
      </c>
      <c r="G8222" s="25">
        <v>2</v>
      </c>
      <c r="H8222" s="26"/>
      <c r="I8222" s="27"/>
    </row>
    <row r="8223" spans="1:9" ht="15.75" thickBot="1" x14ac:dyDescent="0.3">
      <c r="A8223" s="43" t="s">
        <v>16876</v>
      </c>
      <c r="B8223" s="21" t="s">
        <v>16877</v>
      </c>
      <c r="C8223" s="21" t="s">
        <v>22663</v>
      </c>
      <c r="D8223" s="31">
        <v>1</v>
      </c>
      <c r="E8223" s="23" t="s">
        <v>22658</v>
      </c>
      <c r="F8223" s="24" t="s">
        <v>22657</v>
      </c>
      <c r="G8223" s="25">
        <v>2</v>
      </c>
      <c r="H8223" s="29"/>
      <c r="I8223" s="30"/>
    </row>
    <row r="8224" spans="1:9" ht="15.75" thickBot="1" x14ac:dyDescent="0.3">
      <c r="A8224" s="43" t="s">
        <v>16878</v>
      </c>
      <c r="B8224" s="21" t="s">
        <v>16879</v>
      </c>
      <c r="C8224" s="21" t="s">
        <v>22663</v>
      </c>
      <c r="D8224" s="31">
        <v>1</v>
      </c>
      <c r="E8224" s="23" t="s">
        <v>22658</v>
      </c>
      <c r="F8224" s="24" t="s">
        <v>22657</v>
      </c>
      <c r="G8224" s="25">
        <v>2</v>
      </c>
      <c r="H8224" s="26"/>
      <c r="I8224" s="27"/>
    </row>
    <row r="8225" spans="1:9" ht="15.75" thickBot="1" x14ac:dyDescent="0.3">
      <c r="A8225" s="43" t="s">
        <v>16880</v>
      </c>
      <c r="B8225" s="21" t="s">
        <v>16881</v>
      </c>
      <c r="C8225" s="21" t="s">
        <v>22663</v>
      </c>
      <c r="D8225" s="31">
        <v>1</v>
      </c>
      <c r="E8225" s="23" t="s">
        <v>22658</v>
      </c>
      <c r="F8225" s="24" t="s">
        <v>22657</v>
      </c>
      <c r="G8225" s="25">
        <v>2</v>
      </c>
      <c r="H8225" s="29"/>
      <c r="I8225" s="30"/>
    </row>
    <row r="8226" spans="1:9" ht="15.75" thickBot="1" x14ac:dyDescent="0.3">
      <c r="A8226" s="43" t="s">
        <v>16882</v>
      </c>
      <c r="B8226" s="21" t="s">
        <v>16883</v>
      </c>
      <c r="C8226" s="21" t="s">
        <v>22663</v>
      </c>
      <c r="D8226" s="31">
        <v>1</v>
      </c>
      <c r="E8226" s="23" t="s">
        <v>22658</v>
      </c>
      <c r="F8226" s="24" t="s">
        <v>22657</v>
      </c>
      <c r="G8226" s="25">
        <v>2</v>
      </c>
      <c r="H8226" s="26"/>
      <c r="I8226" s="27"/>
    </row>
    <row r="8227" spans="1:9" ht="15.75" thickBot="1" x14ac:dyDescent="0.3">
      <c r="A8227" s="43" t="s">
        <v>16884</v>
      </c>
      <c r="B8227" s="21" t="s">
        <v>16885</v>
      </c>
      <c r="C8227" s="21" t="s">
        <v>22663</v>
      </c>
      <c r="D8227" s="31">
        <v>1</v>
      </c>
      <c r="E8227" s="23" t="s">
        <v>22658</v>
      </c>
      <c r="F8227" s="24" t="s">
        <v>22657</v>
      </c>
      <c r="G8227" s="25">
        <v>2</v>
      </c>
      <c r="H8227" s="29"/>
      <c r="I8227" s="30"/>
    </row>
    <row r="8228" spans="1:9" ht="15.75" thickBot="1" x14ac:dyDescent="0.3">
      <c r="A8228" s="43" t="s">
        <v>16886</v>
      </c>
      <c r="B8228" s="21" t="s">
        <v>16887</v>
      </c>
      <c r="C8228" s="21" t="s">
        <v>22663</v>
      </c>
      <c r="D8228" s="31">
        <v>1</v>
      </c>
      <c r="E8228" s="23" t="s">
        <v>22658</v>
      </c>
      <c r="F8228" s="24" t="s">
        <v>22657</v>
      </c>
      <c r="G8228" s="25">
        <v>2</v>
      </c>
      <c r="H8228" s="26"/>
      <c r="I8228" s="27"/>
    </row>
    <row r="8229" spans="1:9" ht="15.75" thickBot="1" x14ac:dyDescent="0.3">
      <c r="A8229" s="43" t="s">
        <v>16888</v>
      </c>
      <c r="B8229" s="21" t="s">
        <v>16889</v>
      </c>
      <c r="C8229" s="21" t="s">
        <v>22663</v>
      </c>
      <c r="D8229" s="31">
        <v>1</v>
      </c>
      <c r="E8229" s="23" t="s">
        <v>22658</v>
      </c>
      <c r="F8229" s="24" t="s">
        <v>22657</v>
      </c>
      <c r="G8229" s="25">
        <v>2</v>
      </c>
      <c r="H8229" s="29"/>
      <c r="I8229" s="30"/>
    </row>
    <row r="8230" spans="1:9" ht="15.75" thickBot="1" x14ac:dyDescent="0.3">
      <c r="A8230" s="43" t="s">
        <v>16890</v>
      </c>
      <c r="B8230" s="21" t="s">
        <v>16891</v>
      </c>
      <c r="C8230" s="21" t="s">
        <v>22655</v>
      </c>
      <c r="D8230" s="22">
        <v>46032</v>
      </c>
      <c r="E8230" s="23" t="s">
        <v>22658</v>
      </c>
      <c r="F8230" s="24" t="s">
        <v>22657</v>
      </c>
      <c r="G8230" s="25">
        <v>4</v>
      </c>
      <c r="H8230" s="26"/>
      <c r="I8230" s="27"/>
    </row>
    <row r="8231" spans="1:9" ht="15.75" thickBot="1" x14ac:dyDescent="0.3">
      <c r="A8231" s="43" t="s">
        <v>1926</v>
      </c>
      <c r="B8231" s="21" t="s">
        <v>1927</v>
      </c>
      <c r="C8231" s="21" t="s">
        <v>22655</v>
      </c>
      <c r="D8231" s="22">
        <v>46034</v>
      </c>
      <c r="E8231" s="23" t="s">
        <v>22661</v>
      </c>
      <c r="F8231" s="24" t="s">
        <v>22657</v>
      </c>
      <c r="G8231" s="25">
        <v>4</v>
      </c>
      <c r="H8231" s="29"/>
      <c r="I8231" s="30"/>
    </row>
    <row r="8232" spans="1:9" ht="15.75" thickBot="1" x14ac:dyDescent="0.3">
      <c r="A8232" s="43" t="s">
        <v>16892</v>
      </c>
      <c r="B8232" s="21" t="s">
        <v>16893</v>
      </c>
      <c r="C8232" s="21" t="s">
        <v>22655</v>
      </c>
      <c r="D8232" s="22">
        <v>46034</v>
      </c>
      <c r="E8232" s="23" t="s">
        <v>22656</v>
      </c>
      <c r="F8232" s="24" t="s">
        <v>22657</v>
      </c>
      <c r="G8232" s="25">
        <v>2</v>
      </c>
      <c r="H8232" s="26"/>
      <c r="I8232" s="27"/>
    </row>
    <row r="8233" spans="1:9" ht="15.75" thickBot="1" x14ac:dyDescent="0.3">
      <c r="A8233" s="43" t="s">
        <v>16894</v>
      </c>
      <c r="B8233" s="21" t="s">
        <v>16895</v>
      </c>
      <c r="C8233" s="21" t="s">
        <v>22655</v>
      </c>
      <c r="D8233" s="22">
        <v>46034</v>
      </c>
      <c r="E8233" s="23" t="s">
        <v>22656</v>
      </c>
      <c r="F8233" s="24" t="s">
        <v>22657</v>
      </c>
      <c r="G8233" s="25">
        <v>12</v>
      </c>
      <c r="H8233" s="32">
        <v>12</v>
      </c>
      <c r="I8233" s="33">
        <v>24</v>
      </c>
    </row>
    <row r="8234" spans="1:9" ht="15.75" thickBot="1" x14ac:dyDescent="0.3">
      <c r="A8234" s="43" t="s">
        <v>16896</v>
      </c>
      <c r="B8234" s="21" t="s">
        <v>16897</v>
      </c>
      <c r="C8234" s="21" t="s">
        <v>22655</v>
      </c>
      <c r="D8234" s="22">
        <v>46034</v>
      </c>
      <c r="E8234" s="23" t="s">
        <v>22656</v>
      </c>
      <c r="F8234" s="24" t="s">
        <v>22657</v>
      </c>
      <c r="G8234" s="25">
        <v>2</v>
      </c>
      <c r="H8234" s="26"/>
      <c r="I8234" s="27"/>
    </row>
    <row r="8235" spans="1:9" ht="15.75" thickBot="1" x14ac:dyDescent="0.3">
      <c r="A8235" s="43" t="s">
        <v>16898</v>
      </c>
      <c r="B8235" s="21" t="s">
        <v>16899</v>
      </c>
      <c r="C8235" s="21" t="s">
        <v>22655</v>
      </c>
      <c r="D8235" s="22">
        <v>46034</v>
      </c>
      <c r="E8235" s="23" t="s">
        <v>22658</v>
      </c>
      <c r="F8235" s="24" t="s">
        <v>22657</v>
      </c>
      <c r="G8235" s="25">
        <v>2</v>
      </c>
      <c r="H8235" s="29"/>
      <c r="I8235" s="30"/>
    </row>
    <row r="8236" spans="1:9" ht="15.75" thickBot="1" x14ac:dyDescent="0.3">
      <c r="A8236" s="43" t="s">
        <v>16900</v>
      </c>
      <c r="B8236" s="21" t="s">
        <v>16901</v>
      </c>
      <c r="C8236" s="21" t="s">
        <v>22655</v>
      </c>
      <c r="D8236" s="31" t="s">
        <v>22660</v>
      </c>
      <c r="E8236" s="23" t="s">
        <v>22656</v>
      </c>
      <c r="F8236" s="24" t="s">
        <v>22657</v>
      </c>
      <c r="G8236" s="25">
        <v>4</v>
      </c>
      <c r="H8236" s="26"/>
      <c r="I8236" s="27"/>
    </row>
    <row r="8237" spans="1:9" ht="15.75" thickBot="1" x14ac:dyDescent="0.3">
      <c r="A8237" s="43" t="s">
        <v>16902</v>
      </c>
      <c r="B8237" s="21" t="s">
        <v>16903</v>
      </c>
      <c r="C8237" s="21" t="s">
        <v>22655</v>
      </c>
      <c r="D8237" s="22">
        <v>46040</v>
      </c>
      <c r="E8237" s="23" t="s">
        <v>22656</v>
      </c>
      <c r="F8237" s="24" t="s">
        <v>22657</v>
      </c>
      <c r="G8237" s="25">
        <v>6</v>
      </c>
      <c r="H8237" s="29"/>
      <c r="I8237" s="30"/>
    </row>
    <row r="8238" spans="1:9" ht="15.75" thickBot="1" x14ac:dyDescent="0.3">
      <c r="A8238" s="43" t="s">
        <v>16904</v>
      </c>
      <c r="B8238" s="21" t="s">
        <v>16905</v>
      </c>
      <c r="C8238" s="21" t="s">
        <v>22682</v>
      </c>
      <c r="D8238" s="22">
        <v>46034</v>
      </c>
      <c r="E8238" s="23" t="s">
        <v>22658</v>
      </c>
      <c r="F8238" s="24" t="s">
        <v>22657</v>
      </c>
      <c r="G8238" s="25">
        <v>4</v>
      </c>
      <c r="H8238" s="26"/>
      <c r="I8238" s="27"/>
    </row>
    <row r="8239" spans="1:9" ht="15.75" thickBot="1" x14ac:dyDescent="0.3">
      <c r="A8239" s="43" t="s">
        <v>16906</v>
      </c>
      <c r="B8239" s="21" t="s">
        <v>16907</v>
      </c>
      <c r="C8239" s="21" t="s">
        <v>22682</v>
      </c>
      <c r="D8239" s="22">
        <v>46034</v>
      </c>
      <c r="E8239" s="23" t="s">
        <v>22658</v>
      </c>
      <c r="F8239" s="24" t="s">
        <v>22657</v>
      </c>
      <c r="G8239" s="25">
        <v>4</v>
      </c>
      <c r="H8239" s="29"/>
      <c r="I8239" s="30"/>
    </row>
    <row r="8240" spans="1:9" ht="15.75" thickBot="1" x14ac:dyDescent="0.3">
      <c r="A8240" s="43" t="s">
        <v>16908</v>
      </c>
      <c r="B8240" s="21" t="s">
        <v>16909</v>
      </c>
      <c r="C8240" s="21" t="s">
        <v>22663</v>
      </c>
      <c r="D8240" s="31">
        <v>1</v>
      </c>
      <c r="E8240" s="23" t="s">
        <v>22656</v>
      </c>
      <c r="F8240" s="28" t="s">
        <v>22659</v>
      </c>
      <c r="G8240" s="25">
        <v>3</v>
      </c>
      <c r="H8240" s="26"/>
      <c r="I8240" s="27"/>
    </row>
    <row r="8241" spans="1:9" ht="15.75" thickBot="1" x14ac:dyDescent="0.3">
      <c r="A8241" s="43" t="s">
        <v>16910</v>
      </c>
      <c r="B8241" s="21" t="s">
        <v>16911</v>
      </c>
      <c r="C8241" s="21" t="s">
        <v>22663</v>
      </c>
      <c r="D8241" s="31">
        <v>1</v>
      </c>
      <c r="E8241" s="23" t="s">
        <v>22661</v>
      </c>
      <c r="F8241" s="24" t="s">
        <v>22657</v>
      </c>
      <c r="G8241" s="25">
        <v>4</v>
      </c>
      <c r="H8241" s="29"/>
      <c r="I8241" s="30"/>
    </row>
    <row r="8242" spans="1:9" ht="15.75" thickBot="1" x14ac:dyDescent="0.3">
      <c r="A8242" s="43" t="s">
        <v>16912</v>
      </c>
      <c r="B8242" s="21" t="s">
        <v>16913</v>
      </c>
      <c r="C8242" s="21" t="s">
        <v>22682</v>
      </c>
      <c r="D8242" s="22">
        <v>46034</v>
      </c>
      <c r="E8242" s="23" t="s">
        <v>22658</v>
      </c>
      <c r="F8242" s="24" t="s">
        <v>22657</v>
      </c>
      <c r="G8242" s="25">
        <v>4</v>
      </c>
      <c r="H8242" s="26"/>
      <c r="I8242" s="27"/>
    </row>
    <row r="8243" spans="1:9" ht="15.75" thickBot="1" x14ac:dyDescent="0.3">
      <c r="A8243" s="43" t="s">
        <v>16914</v>
      </c>
      <c r="B8243" s="21" t="s">
        <v>16915</v>
      </c>
      <c r="C8243" s="21" t="s">
        <v>22682</v>
      </c>
      <c r="D8243" s="22">
        <v>46034</v>
      </c>
      <c r="E8243" s="23" t="s">
        <v>22658</v>
      </c>
      <c r="F8243" s="24" t="s">
        <v>22657</v>
      </c>
      <c r="G8243" s="25">
        <v>4</v>
      </c>
      <c r="H8243" s="29"/>
      <c r="I8243" s="30"/>
    </row>
    <row r="8244" spans="1:9" ht="15.75" thickBot="1" x14ac:dyDescent="0.3">
      <c r="A8244" s="43" t="s">
        <v>16916</v>
      </c>
      <c r="B8244" s="21" t="s">
        <v>16917</v>
      </c>
      <c r="C8244" s="21" t="s">
        <v>22682</v>
      </c>
      <c r="D8244" s="22">
        <v>46034</v>
      </c>
      <c r="E8244" s="23" t="s">
        <v>22658</v>
      </c>
      <c r="F8244" s="24" t="s">
        <v>22657</v>
      </c>
      <c r="G8244" s="25">
        <v>4</v>
      </c>
      <c r="H8244" s="26"/>
      <c r="I8244" s="27"/>
    </row>
    <row r="8245" spans="1:9" ht="15.75" thickBot="1" x14ac:dyDescent="0.3">
      <c r="A8245" s="43" t="s">
        <v>16918</v>
      </c>
      <c r="B8245" s="21" t="s">
        <v>16919</v>
      </c>
      <c r="C8245" s="21" t="s">
        <v>22682</v>
      </c>
      <c r="D8245" s="22">
        <v>46034</v>
      </c>
      <c r="E8245" s="23" t="s">
        <v>22658</v>
      </c>
      <c r="F8245" s="24" t="s">
        <v>22657</v>
      </c>
      <c r="G8245" s="25">
        <v>4</v>
      </c>
      <c r="H8245" s="29"/>
      <c r="I8245" s="30"/>
    </row>
    <row r="8246" spans="1:9" ht="15.75" thickBot="1" x14ac:dyDescent="0.3">
      <c r="A8246" s="43" t="s">
        <v>16920</v>
      </c>
      <c r="B8246" s="21" t="s">
        <v>16921</v>
      </c>
      <c r="C8246" s="21" t="s">
        <v>22682</v>
      </c>
      <c r="D8246" s="22">
        <v>46034</v>
      </c>
      <c r="E8246" s="23" t="s">
        <v>22656</v>
      </c>
      <c r="F8246" s="24" t="s">
        <v>22657</v>
      </c>
      <c r="G8246" s="25">
        <v>4</v>
      </c>
      <c r="H8246" s="26"/>
      <c r="I8246" s="27"/>
    </row>
    <row r="8247" spans="1:9" ht="15.75" thickBot="1" x14ac:dyDescent="0.3">
      <c r="A8247" s="43" t="s">
        <v>16922</v>
      </c>
      <c r="B8247" s="21" t="s">
        <v>16923</v>
      </c>
      <c r="C8247" s="21" t="s">
        <v>22682</v>
      </c>
      <c r="D8247" s="22">
        <v>46034</v>
      </c>
      <c r="E8247" s="23" t="s">
        <v>22658</v>
      </c>
      <c r="F8247" s="24" t="s">
        <v>22657</v>
      </c>
      <c r="G8247" s="25">
        <v>4</v>
      </c>
      <c r="H8247" s="29"/>
      <c r="I8247" s="30"/>
    </row>
    <row r="8248" spans="1:9" ht="15.75" thickBot="1" x14ac:dyDescent="0.3">
      <c r="A8248" s="43" t="s">
        <v>16924</v>
      </c>
      <c r="B8248" s="21" t="s">
        <v>16925</v>
      </c>
      <c r="C8248" s="21" t="s">
        <v>22682</v>
      </c>
      <c r="D8248" s="22">
        <v>46034</v>
      </c>
      <c r="E8248" s="23" t="s">
        <v>22658</v>
      </c>
      <c r="F8248" s="24" t="s">
        <v>22657</v>
      </c>
      <c r="G8248" s="25">
        <v>4</v>
      </c>
      <c r="H8248" s="26"/>
      <c r="I8248" s="27"/>
    </row>
    <row r="8249" spans="1:9" ht="15.75" thickBot="1" x14ac:dyDescent="0.3">
      <c r="A8249" s="43" t="s">
        <v>16926</v>
      </c>
      <c r="B8249" s="21" t="s">
        <v>16927</v>
      </c>
      <c r="C8249" s="21" t="s">
        <v>22682</v>
      </c>
      <c r="D8249" s="22">
        <v>46034</v>
      </c>
      <c r="E8249" s="23" t="s">
        <v>22656</v>
      </c>
      <c r="F8249" s="24" t="s">
        <v>22657</v>
      </c>
      <c r="G8249" s="25">
        <v>4</v>
      </c>
      <c r="H8249" s="29"/>
      <c r="I8249" s="30"/>
    </row>
    <row r="8250" spans="1:9" ht="15.75" thickBot="1" x14ac:dyDescent="0.3">
      <c r="A8250" s="43" t="s">
        <v>16928</v>
      </c>
      <c r="B8250" s="21" t="s">
        <v>16929</v>
      </c>
      <c r="C8250" s="21" t="s">
        <v>22682</v>
      </c>
      <c r="D8250" s="22">
        <v>46034</v>
      </c>
      <c r="E8250" s="23" t="s">
        <v>22656</v>
      </c>
      <c r="F8250" s="24" t="s">
        <v>22657</v>
      </c>
      <c r="G8250" s="25">
        <v>4</v>
      </c>
      <c r="H8250" s="26"/>
      <c r="I8250" s="27"/>
    </row>
    <row r="8251" spans="1:9" ht="15.75" thickBot="1" x14ac:dyDescent="0.3">
      <c r="A8251" s="43" t="s">
        <v>16930</v>
      </c>
      <c r="B8251" s="21" t="s">
        <v>16931</v>
      </c>
      <c r="C8251" s="21" t="s">
        <v>22682</v>
      </c>
      <c r="D8251" s="22">
        <v>46034</v>
      </c>
      <c r="E8251" s="23" t="s">
        <v>22658</v>
      </c>
      <c r="F8251" s="24" t="s">
        <v>22657</v>
      </c>
      <c r="G8251" s="25">
        <v>4</v>
      </c>
      <c r="H8251" s="29"/>
      <c r="I8251" s="30"/>
    </row>
    <row r="8252" spans="1:9" ht="15.75" thickBot="1" x14ac:dyDescent="0.3">
      <c r="A8252" s="43" t="s">
        <v>16932</v>
      </c>
      <c r="B8252" s="21" t="s">
        <v>16933</v>
      </c>
      <c r="C8252" s="21" t="s">
        <v>22655</v>
      </c>
      <c r="D8252" s="22">
        <v>46046</v>
      </c>
      <c r="E8252" s="23" t="s">
        <v>22656</v>
      </c>
      <c r="F8252" s="24" t="s">
        <v>22657</v>
      </c>
      <c r="G8252" s="25">
        <v>8</v>
      </c>
      <c r="H8252" s="26"/>
      <c r="I8252" s="27"/>
    </row>
    <row r="8253" spans="1:9" ht="15.75" thickBot="1" x14ac:dyDescent="0.3">
      <c r="A8253" s="43" t="s">
        <v>16934</v>
      </c>
      <c r="B8253" s="21" t="s">
        <v>16935</v>
      </c>
      <c r="C8253" s="21" t="s">
        <v>22655</v>
      </c>
      <c r="D8253" s="22">
        <v>46046</v>
      </c>
      <c r="E8253" s="23" t="s">
        <v>22656</v>
      </c>
      <c r="F8253" s="24" t="s">
        <v>22657</v>
      </c>
      <c r="G8253" s="25">
        <v>8</v>
      </c>
      <c r="H8253" s="29"/>
      <c r="I8253" s="30"/>
    </row>
    <row r="8254" spans="1:9" ht="15.75" thickBot="1" x14ac:dyDescent="0.3">
      <c r="A8254" s="43" t="s">
        <v>16936</v>
      </c>
      <c r="B8254" s="21" t="s">
        <v>16937</v>
      </c>
      <c r="C8254" s="21" t="s">
        <v>22655</v>
      </c>
      <c r="D8254" s="22">
        <v>46046</v>
      </c>
      <c r="E8254" s="23" t="s">
        <v>22656</v>
      </c>
      <c r="F8254" s="24" t="s">
        <v>22657</v>
      </c>
      <c r="G8254" s="25">
        <v>8</v>
      </c>
      <c r="H8254" s="26"/>
      <c r="I8254" s="27"/>
    </row>
    <row r="8255" spans="1:9" ht="15.75" thickBot="1" x14ac:dyDescent="0.3">
      <c r="A8255" s="43" t="s">
        <v>16938</v>
      </c>
      <c r="B8255" s="21" t="s">
        <v>16939</v>
      </c>
      <c r="C8255" s="21" t="s">
        <v>22655</v>
      </c>
      <c r="D8255" s="22">
        <v>46034</v>
      </c>
      <c r="E8255" s="23" t="s">
        <v>22656</v>
      </c>
      <c r="F8255" s="24" t="s">
        <v>22657</v>
      </c>
      <c r="G8255" s="25">
        <v>4</v>
      </c>
      <c r="H8255" s="29"/>
      <c r="I8255" s="30"/>
    </row>
    <row r="8256" spans="1:9" ht="15.75" thickBot="1" x14ac:dyDescent="0.3">
      <c r="A8256" s="43" t="s">
        <v>16940</v>
      </c>
      <c r="B8256" s="21" t="s">
        <v>16941</v>
      </c>
      <c r="C8256" s="21" t="s">
        <v>22655</v>
      </c>
      <c r="D8256" s="22">
        <v>46034</v>
      </c>
      <c r="E8256" s="23" t="s">
        <v>22656</v>
      </c>
      <c r="F8256" s="24" t="s">
        <v>22657</v>
      </c>
      <c r="G8256" s="25">
        <v>4</v>
      </c>
      <c r="H8256" s="26"/>
      <c r="I8256" s="27"/>
    </row>
    <row r="8257" spans="1:9" ht="15.75" thickBot="1" x14ac:dyDescent="0.3">
      <c r="A8257" s="43" t="s">
        <v>16942</v>
      </c>
      <c r="B8257" s="21" t="s">
        <v>16943</v>
      </c>
      <c r="C8257" s="21" t="s">
        <v>22655</v>
      </c>
      <c r="D8257" s="22">
        <v>46034</v>
      </c>
      <c r="E8257" s="23" t="s">
        <v>22656</v>
      </c>
      <c r="F8257" s="24" t="s">
        <v>22657</v>
      </c>
      <c r="G8257" s="25">
        <v>4</v>
      </c>
      <c r="H8257" s="29"/>
      <c r="I8257" s="30"/>
    </row>
    <row r="8258" spans="1:9" ht="15.75" thickBot="1" x14ac:dyDescent="0.3">
      <c r="A8258" s="43" t="s">
        <v>16944</v>
      </c>
      <c r="B8258" s="21" t="s">
        <v>16945</v>
      </c>
      <c r="C8258" s="21" t="s">
        <v>22655</v>
      </c>
      <c r="D8258" s="22">
        <v>46046</v>
      </c>
      <c r="E8258" s="23" t="s">
        <v>22656</v>
      </c>
      <c r="F8258" s="24" t="s">
        <v>22657</v>
      </c>
      <c r="G8258" s="25">
        <v>8</v>
      </c>
      <c r="H8258" s="26"/>
      <c r="I8258" s="27"/>
    </row>
    <row r="8259" spans="1:9" ht="15.75" thickBot="1" x14ac:dyDescent="0.3">
      <c r="A8259" s="43" t="s">
        <v>16946</v>
      </c>
      <c r="B8259" s="21" t="s">
        <v>16947</v>
      </c>
      <c r="C8259" s="21" t="s">
        <v>22655</v>
      </c>
      <c r="D8259" s="22">
        <v>46034</v>
      </c>
      <c r="E8259" s="23" t="s">
        <v>22656</v>
      </c>
      <c r="F8259" s="24" t="s">
        <v>22657</v>
      </c>
      <c r="G8259" s="25">
        <v>4</v>
      </c>
      <c r="H8259" s="29"/>
      <c r="I8259" s="30"/>
    </row>
    <row r="8260" spans="1:9" ht="15.75" thickBot="1" x14ac:dyDescent="0.3">
      <c r="A8260" s="43" t="s">
        <v>16948</v>
      </c>
      <c r="B8260" s="21" t="s">
        <v>16949</v>
      </c>
      <c r="C8260" s="21" t="s">
        <v>22655</v>
      </c>
      <c r="D8260" s="22">
        <v>46034</v>
      </c>
      <c r="E8260" s="23" t="s">
        <v>22658</v>
      </c>
      <c r="F8260" s="24" t="s">
        <v>22657</v>
      </c>
      <c r="G8260" s="25">
        <v>4</v>
      </c>
      <c r="H8260" s="26"/>
      <c r="I8260" s="27"/>
    </row>
    <row r="8261" spans="1:9" ht="15.75" thickBot="1" x14ac:dyDescent="0.3">
      <c r="A8261" s="43" t="s">
        <v>16950</v>
      </c>
      <c r="B8261" s="21" t="s">
        <v>16951</v>
      </c>
      <c r="C8261" s="21" t="s">
        <v>22655</v>
      </c>
      <c r="D8261" s="22">
        <v>46046</v>
      </c>
      <c r="E8261" s="23" t="s">
        <v>22656</v>
      </c>
      <c r="F8261" s="24" t="s">
        <v>22657</v>
      </c>
      <c r="G8261" s="25">
        <v>8</v>
      </c>
      <c r="H8261" s="29"/>
      <c r="I8261" s="30"/>
    </row>
    <row r="8262" spans="1:9" ht="15.75" thickBot="1" x14ac:dyDescent="0.3">
      <c r="A8262" s="43" t="s">
        <v>16952</v>
      </c>
      <c r="B8262" s="21" t="s">
        <v>16953</v>
      </c>
      <c r="C8262" s="21" t="s">
        <v>22655</v>
      </c>
      <c r="D8262" s="22">
        <v>46046</v>
      </c>
      <c r="E8262" s="23" t="s">
        <v>22661</v>
      </c>
      <c r="F8262" s="24" t="s">
        <v>22657</v>
      </c>
      <c r="G8262" s="25">
        <v>8</v>
      </c>
      <c r="H8262" s="26"/>
      <c r="I8262" s="27"/>
    </row>
    <row r="8263" spans="1:9" ht="15.75" thickBot="1" x14ac:dyDescent="0.3">
      <c r="A8263" s="43" t="s">
        <v>16954</v>
      </c>
      <c r="B8263" s="21" t="s">
        <v>16955</v>
      </c>
      <c r="C8263" s="21" t="s">
        <v>22655</v>
      </c>
      <c r="D8263" s="22">
        <v>46034</v>
      </c>
      <c r="E8263" s="23" t="s">
        <v>22656</v>
      </c>
      <c r="F8263" s="24" t="s">
        <v>22657</v>
      </c>
      <c r="G8263" s="25">
        <v>4</v>
      </c>
      <c r="H8263" s="29"/>
      <c r="I8263" s="30"/>
    </row>
    <row r="8264" spans="1:9" ht="15.75" thickBot="1" x14ac:dyDescent="0.3">
      <c r="A8264" s="43" t="s">
        <v>16956</v>
      </c>
      <c r="B8264" s="21" t="s">
        <v>16957</v>
      </c>
      <c r="C8264" s="21" t="s">
        <v>22655</v>
      </c>
      <c r="D8264" s="22">
        <v>46034</v>
      </c>
      <c r="E8264" s="23" t="s">
        <v>22656</v>
      </c>
      <c r="F8264" s="24" t="s">
        <v>22657</v>
      </c>
      <c r="G8264" s="25">
        <v>4</v>
      </c>
      <c r="H8264" s="26"/>
      <c r="I8264" s="27"/>
    </row>
    <row r="8265" spans="1:9" ht="15.75" thickBot="1" x14ac:dyDescent="0.3">
      <c r="A8265" s="43" t="s">
        <v>16958</v>
      </c>
      <c r="B8265" s="21" t="s">
        <v>16959</v>
      </c>
      <c r="C8265" s="21" t="s">
        <v>22655</v>
      </c>
      <c r="D8265" s="22">
        <v>46046</v>
      </c>
      <c r="E8265" s="23" t="s">
        <v>22656</v>
      </c>
      <c r="F8265" s="24" t="s">
        <v>22657</v>
      </c>
      <c r="G8265" s="25">
        <v>8</v>
      </c>
      <c r="H8265" s="29"/>
      <c r="I8265" s="30"/>
    </row>
    <row r="8266" spans="1:9" ht="15.75" thickBot="1" x14ac:dyDescent="0.3">
      <c r="A8266" s="43" t="s">
        <v>16960</v>
      </c>
      <c r="B8266" s="21" t="s">
        <v>16961</v>
      </c>
      <c r="C8266" s="21" t="s">
        <v>22682</v>
      </c>
      <c r="D8266" s="22">
        <v>46034</v>
      </c>
      <c r="E8266" s="23" t="s">
        <v>22658</v>
      </c>
      <c r="F8266" s="24" t="s">
        <v>22657</v>
      </c>
      <c r="G8266" s="25">
        <v>4</v>
      </c>
      <c r="H8266" s="26"/>
      <c r="I8266" s="27"/>
    </row>
    <row r="8267" spans="1:9" ht="15.75" thickBot="1" x14ac:dyDescent="0.3">
      <c r="A8267" s="43" t="s">
        <v>16962</v>
      </c>
      <c r="B8267" s="21" t="s">
        <v>16963</v>
      </c>
      <c r="C8267" s="21" t="s">
        <v>22682</v>
      </c>
      <c r="D8267" s="22">
        <v>46034</v>
      </c>
      <c r="E8267" s="23" t="s">
        <v>22656</v>
      </c>
      <c r="F8267" s="24" t="s">
        <v>22657</v>
      </c>
      <c r="G8267" s="25">
        <v>4</v>
      </c>
      <c r="H8267" s="29"/>
      <c r="I8267" s="30"/>
    </row>
    <row r="8268" spans="1:9" ht="15.75" thickBot="1" x14ac:dyDescent="0.3">
      <c r="A8268" s="43" t="s">
        <v>16964</v>
      </c>
      <c r="B8268" s="21" t="s">
        <v>16965</v>
      </c>
      <c r="C8268" s="21" t="s">
        <v>22682</v>
      </c>
      <c r="D8268" s="22">
        <v>46034</v>
      </c>
      <c r="E8268" s="23" t="s">
        <v>22656</v>
      </c>
      <c r="F8268" s="24" t="s">
        <v>22657</v>
      </c>
      <c r="G8268" s="25">
        <v>4</v>
      </c>
      <c r="H8268" s="26"/>
      <c r="I8268" s="27"/>
    </row>
    <row r="8269" spans="1:9" ht="15.75" thickBot="1" x14ac:dyDescent="0.3">
      <c r="A8269" s="43" t="s">
        <v>16966</v>
      </c>
      <c r="B8269" s="21" t="s">
        <v>16967</v>
      </c>
      <c r="C8269" s="21" t="s">
        <v>22682</v>
      </c>
      <c r="D8269" s="22">
        <v>46034</v>
      </c>
      <c r="E8269" s="23" t="s">
        <v>22656</v>
      </c>
      <c r="F8269" s="24" t="s">
        <v>22657</v>
      </c>
      <c r="G8269" s="25">
        <v>4</v>
      </c>
      <c r="H8269" s="29"/>
      <c r="I8269" s="30"/>
    </row>
    <row r="8270" spans="1:9" ht="15.75" thickBot="1" x14ac:dyDescent="0.3">
      <c r="A8270" s="43" t="s">
        <v>661</v>
      </c>
      <c r="B8270" s="21" t="s">
        <v>662</v>
      </c>
      <c r="C8270" s="21" t="s">
        <v>22690</v>
      </c>
      <c r="D8270" s="31" t="s">
        <v>22788</v>
      </c>
      <c r="E8270" s="23" t="s">
        <v>22662</v>
      </c>
      <c r="F8270" s="24" t="s">
        <v>22657</v>
      </c>
      <c r="G8270" s="25">
        <v>300</v>
      </c>
      <c r="H8270" s="34">
        <v>300</v>
      </c>
      <c r="I8270" s="35">
        <v>600</v>
      </c>
    </row>
    <row r="8271" spans="1:9" ht="15.75" thickBot="1" x14ac:dyDescent="0.3">
      <c r="A8271" s="43" t="s">
        <v>16968</v>
      </c>
      <c r="B8271" s="21" t="s">
        <v>16969</v>
      </c>
      <c r="C8271" s="21" t="s">
        <v>22655</v>
      </c>
      <c r="D8271" s="22">
        <v>46024</v>
      </c>
      <c r="E8271" s="23" t="s">
        <v>22658</v>
      </c>
      <c r="F8271" s="24" t="s">
        <v>22657</v>
      </c>
      <c r="G8271" s="25">
        <v>1</v>
      </c>
      <c r="H8271" s="29"/>
      <c r="I8271" s="30"/>
    </row>
    <row r="8272" spans="1:9" ht="15.75" thickBot="1" x14ac:dyDescent="0.3">
      <c r="A8272" s="43" t="s">
        <v>16970</v>
      </c>
      <c r="B8272" s="21" t="s">
        <v>16971</v>
      </c>
      <c r="C8272" s="21" t="s">
        <v>22655</v>
      </c>
      <c r="D8272" s="22">
        <v>46024</v>
      </c>
      <c r="E8272" s="23" t="s">
        <v>22658</v>
      </c>
      <c r="F8272" s="24" t="s">
        <v>22657</v>
      </c>
      <c r="G8272" s="25">
        <v>1</v>
      </c>
      <c r="H8272" s="26"/>
      <c r="I8272" s="27"/>
    </row>
    <row r="8273" spans="1:9" ht="15.75" thickBot="1" x14ac:dyDescent="0.3">
      <c r="A8273" s="43" t="s">
        <v>16972</v>
      </c>
      <c r="B8273" s="21" t="s">
        <v>16973</v>
      </c>
      <c r="C8273" s="21" t="s">
        <v>22698</v>
      </c>
      <c r="D8273" s="31">
        <v>1</v>
      </c>
      <c r="E8273" s="23" t="s">
        <v>22658</v>
      </c>
      <c r="F8273" s="28" t="s">
        <v>22659</v>
      </c>
      <c r="G8273" s="25">
        <v>1</v>
      </c>
      <c r="H8273" s="29"/>
      <c r="I8273" s="30"/>
    </row>
    <row r="8274" spans="1:9" ht="15.75" thickBot="1" x14ac:dyDescent="0.3">
      <c r="A8274" s="43" t="s">
        <v>16974</v>
      </c>
      <c r="B8274" s="21" t="s">
        <v>16975</v>
      </c>
      <c r="C8274" s="21" t="s">
        <v>22663</v>
      </c>
      <c r="D8274" s="31">
        <v>1</v>
      </c>
      <c r="E8274" s="23" t="s">
        <v>22656</v>
      </c>
      <c r="F8274" s="24" t="s">
        <v>22657</v>
      </c>
      <c r="G8274" s="25">
        <v>4</v>
      </c>
      <c r="H8274" s="26"/>
      <c r="I8274" s="27"/>
    </row>
    <row r="8275" spans="1:9" ht="15.75" thickBot="1" x14ac:dyDescent="0.3">
      <c r="A8275" s="43" t="s">
        <v>16976</v>
      </c>
      <c r="B8275" s="21" t="s">
        <v>16977</v>
      </c>
      <c r="C8275" s="21" t="s">
        <v>22655</v>
      </c>
      <c r="D8275" s="22">
        <v>46028</v>
      </c>
      <c r="E8275" s="23" t="s">
        <v>22658</v>
      </c>
      <c r="F8275" s="24" t="s">
        <v>22657</v>
      </c>
      <c r="G8275" s="25">
        <v>2</v>
      </c>
      <c r="H8275" s="29"/>
      <c r="I8275" s="30"/>
    </row>
    <row r="8276" spans="1:9" ht="15.75" thickBot="1" x14ac:dyDescent="0.3">
      <c r="A8276" s="43" t="s">
        <v>16978</v>
      </c>
      <c r="B8276" s="21" t="s">
        <v>16979</v>
      </c>
      <c r="C8276" s="21" t="s">
        <v>22655</v>
      </c>
      <c r="D8276" s="22">
        <v>46034</v>
      </c>
      <c r="E8276" s="23" t="s">
        <v>22656</v>
      </c>
      <c r="F8276" s="24" t="s">
        <v>22657</v>
      </c>
      <c r="G8276" s="25">
        <v>4</v>
      </c>
      <c r="H8276" s="26"/>
      <c r="I8276" s="27"/>
    </row>
    <row r="8277" spans="1:9" ht="15.75" thickBot="1" x14ac:dyDescent="0.3">
      <c r="A8277" s="43" t="s">
        <v>1920</v>
      </c>
      <c r="B8277" s="21" t="s">
        <v>1921</v>
      </c>
      <c r="C8277" s="21" t="s">
        <v>22655</v>
      </c>
      <c r="D8277" s="22">
        <v>46034</v>
      </c>
      <c r="E8277" s="23" t="s">
        <v>22656</v>
      </c>
      <c r="F8277" s="24" t="s">
        <v>22657</v>
      </c>
      <c r="G8277" s="25">
        <v>4</v>
      </c>
      <c r="H8277" s="29"/>
      <c r="I8277" s="30"/>
    </row>
    <row r="8278" spans="1:9" ht="15.75" thickBot="1" x14ac:dyDescent="0.3">
      <c r="A8278" s="43" t="s">
        <v>16980</v>
      </c>
      <c r="B8278" s="21" t="s">
        <v>16981</v>
      </c>
      <c r="C8278" s="21" t="s">
        <v>22655</v>
      </c>
      <c r="D8278" s="22">
        <v>46034</v>
      </c>
      <c r="E8278" s="23" t="s">
        <v>22656</v>
      </c>
      <c r="F8278" s="24" t="s">
        <v>22657</v>
      </c>
      <c r="G8278" s="25">
        <v>4</v>
      </c>
      <c r="H8278" s="26"/>
      <c r="I8278" s="27"/>
    </row>
    <row r="8279" spans="1:9" ht="15.75" thickBot="1" x14ac:dyDescent="0.3">
      <c r="A8279" s="43" t="s">
        <v>177</v>
      </c>
      <c r="B8279" s="21" t="s">
        <v>178</v>
      </c>
      <c r="C8279" s="21" t="s">
        <v>22655</v>
      </c>
      <c r="D8279" s="22">
        <v>46034</v>
      </c>
      <c r="E8279" s="23" t="s">
        <v>22656</v>
      </c>
      <c r="F8279" s="24" t="s">
        <v>22657</v>
      </c>
      <c r="G8279" s="25">
        <v>6</v>
      </c>
      <c r="H8279" s="32">
        <v>6</v>
      </c>
      <c r="I8279" s="33">
        <v>12</v>
      </c>
    </row>
    <row r="8280" spans="1:9" ht="15.75" thickBot="1" x14ac:dyDescent="0.3">
      <c r="A8280" s="43" t="s">
        <v>16982</v>
      </c>
      <c r="B8280" s="21" t="s">
        <v>16983</v>
      </c>
      <c r="C8280" s="21" t="s">
        <v>22663</v>
      </c>
      <c r="D8280" s="31">
        <v>1</v>
      </c>
      <c r="E8280" s="23" t="s">
        <v>22656</v>
      </c>
      <c r="F8280" s="24" t="s">
        <v>22657</v>
      </c>
      <c r="G8280" s="25">
        <v>2</v>
      </c>
      <c r="H8280" s="26"/>
      <c r="I8280" s="27"/>
    </row>
    <row r="8281" spans="1:9" ht="15.75" thickBot="1" x14ac:dyDescent="0.3">
      <c r="A8281" s="43" t="s">
        <v>16984</v>
      </c>
      <c r="B8281" s="21" t="s">
        <v>16985</v>
      </c>
      <c r="C8281" s="21" t="s">
        <v>22682</v>
      </c>
      <c r="D8281" s="22">
        <v>46034</v>
      </c>
      <c r="E8281" s="23" t="s">
        <v>22658</v>
      </c>
      <c r="F8281" s="24" t="s">
        <v>22657</v>
      </c>
      <c r="G8281" s="25">
        <v>4</v>
      </c>
      <c r="H8281" s="29"/>
      <c r="I8281" s="30"/>
    </row>
    <row r="8282" spans="1:9" ht="15.75" thickBot="1" x14ac:dyDescent="0.3">
      <c r="A8282" s="43" t="s">
        <v>16986</v>
      </c>
      <c r="B8282" s="21" t="s">
        <v>16987</v>
      </c>
      <c r="C8282" s="21" t="s">
        <v>22663</v>
      </c>
      <c r="D8282" s="31">
        <v>1</v>
      </c>
      <c r="E8282" s="23" t="s">
        <v>22656</v>
      </c>
      <c r="F8282" s="24" t="s">
        <v>22657</v>
      </c>
      <c r="G8282" s="25">
        <v>2</v>
      </c>
      <c r="H8282" s="26"/>
      <c r="I8282" s="27"/>
    </row>
    <row r="8283" spans="1:9" ht="15.75" thickBot="1" x14ac:dyDescent="0.3">
      <c r="A8283" s="43" t="s">
        <v>16988</v>
      </c>
      <c r="B8283" s="21" t="s">
        <v>16989</v>
      </c>
      <c r="C8283" s="21" t="s">
        <v>22682</v>
      </c>
      <c r="D8283" s="22">
        <v>46034</v>
      </c>
      <c r="E8283" s="23" t="s">
        <v>22658</v>
      </c>
      <c r="F8283" s="24" t="s">
        <v>22657</v>
      </c>
      <c r="G8283" s="25">
        <v>4</v>
      </c>
      <c r="H8283" s="29"/>
      <c r="I8283" s="30"/>
    </row>
    <row r="8284" spans="1:9" ht="15.75" thickBot="1" x14ac:dyDescent="0.3">
      <c r="A8284" s="43" t="s">
        <v>16990</v>
      </c>
      <c r="B8284" s="21" t="s">
        <v>16991</v>
      </c>
      <c r="C8284" s="21" t="s">
        <v>22682</v>
      </c>
      <c r="D8284" s="22">
        <v>46034</v>
      </c>
      <c r="E8284" s="23" t="s">
        <v>22658</v>
      </c>
      <c r="F8284" s="24" t="s">
        <v>22657</v>
      </c>
      <c r="G8284" s="25">
        <v>4</v>
      </c>
      <c r="H8284" s="26"/>
      <c r="I8284" s="27"/>
    </row>
    <row r="8285" spans="1:9" ht="15.75" thickBot="1" x14ac:dyDescent="0.3">
      <c r="A8285" s="43" t="s">
        <v>16992</v>
      </c>
      <c r="B8285" s="21" t="s">
        <v>16993</v>
      </c>
      <c r="C8285" s="21" t="s">
        <v>22682</v>
      </c>
      <c r="D8285" s="22">
        <v>46034</v>
      </c>
      <c r="E8285" s="23" t="s">
        <v>22656</v>
      </c>
      <c r="F8285" s="24" t="s">
        <v>22657</v>
      </c>
      <c r="G8285" s="25">
        <v>4</v>
      </c>
      <c r="H8285" s="29"/>
      <c r="I8285" s="30"/>
    </row>
    <row r="8286" spans="1:9" ht="15.75" thickBot="1" x14ac:dyDescent="0.3">
      <c r="A8286" s="43" t="s">
        <v>16994</v>
      </c>
      <c r="B8286" s="21" t="s">
        <v>16995</v>
      </c>
      <c r="C8286" s="21" t="s">
        <v>22682</v>
      </c>
      <c r="D8286" s="22">
        <v>46034</v>
      </c>
      <c r="E8286" s="23" t="s">
        <v>22658</v>
      </c>
      <c r="F8286" s="24" t="s">
        <v>22657</v>
      </c>
      <c r="G8286" s="25">
        <v>4</v>
      </c>
      <c r="H8286" s="26"/>
      <c r="I8286" s="27"/>
    </row>
    <row r="8287" spans="1:9" ht="15.75" thickBot="1" x14ac:dyDescent="0.3">
      <c r="A8287" s="43" t="s">
        <v>16996</v>
      </c>
      <c r="B8287" s="21" t="s">
        <v>16997</v>
      </c>
      <c r="C8287" s="21" t="s">
        <v>22682</v>
      </c>
      <c r="D8287" s="22">
        <v>46034</v>
      </c>
      <c r="E8287" s="23" t="s">
        <v>22658</v>
      </c>
      <c r="F8287" s="24" t="s">
        <v>22657</v>
      </c>
      <c r="G8287" s="25">
        <v>4</v>
      </c>
      <c r="H8287" s="29"/>
      <c r="I8287" s="30"/>
    </row>
    <row r="8288" spans="1:9" ht="15.75" thickBot="1" x14ac:dyDescent="0.3">
      <c r="A8288" s="43" t="s">
        <v>16998</v>
      </c>
      <c r="B8288" s="21" t="s">
        <v>16999</v>
      </c>
      <c r="C8288" s="21" t="s">
        <v>22682</v>
      </c>
      <c r="D8288" s="22">
        <v>46034</v>
      </c>
      <c r="E8288" s="23" t="s">
        <v>22658</v>
      </c>
      <c r="F8288" s="24" t="s">
        <v>22657</v>
      </c>
      <c r="G8288" s="25">
        <v>4</v>
      </c>
      <c r="H8288" s="26"/>
      <c r="I8288" s="27"/>
    </row>
    <row r="8289" spans="1:9" ht="15.75" thickBot="1" x14ac:dyDescent="0.3">
      <c r="A8289" s="43" t="s">
        <v>17000</v>
      </c>
      <c r="B8289" s="21" t="s">
        <v>17001</v>
      </c>
      <c r="C8289" s="21" t="s">
        <v>22682</v>
      </c>
      <c r="D8289" s="22">
        <v>46034</v>
      </c>
      <c r="E8289" s="23" t="s">
        <v>22658</v>
      </c>
      <c r="F8289" s="24" t="s">
        <v>22657</v>
      </c>
      <c r="G8289" s="25">
        <v>4</v>
      </c>
      <c r="H8289" s="29"/>
      <c r="I8289" s="30"/>
    </row>
    <row r="8290" spans="1:9" ht="15.75" thickBot="1" x14ac:dyDescent="0.3">
      <c r="A8290" s="43" t="s">
        <v>17002</v>
      </c>
      <c r="B8290" s="21" t="s">
        <v>17003</v>
      </c>
      <c r="C8290" s="21" t="s">
        <v>22682</v>
      </c>
      <c r="D8290" s="22">
        <v>46034</v>
      </c>
      <c r="E8290" s="23" t="s">
        <v>22658</v>
      </c>
      <c r="F8290" s="24" t="s">
        <v>22657</v>
      </c>
      <c r="G8290" s="25">
        <v>4</v>
      </c>
      <c r="H8290" s="26"/>
      <c r="I8290" s="27"/>
    </row>
    <row r="8291" spans="1:9" ht="15.75" thickBot="1" x14ac:dyDescent="0.3">
      <c r="A8291" s="43" t="s">
        <v>17004</v>
      </c>
      <c r="B8291" s="21" t="s">
        <v>17005</v>
      </c>
      <c r="C8291" s="21" t="s">
        <v>22682</v>
      </c>
      <c r="D8291" s="22">
        <v>46034</v>
      </c>
      <c r="E8291" s="23" t="s">
        <v>22658</v>
      </c>
      <c r="F8291" s="24" t="s">
        <v>22657</v>
      </c>
      <c r="G8291" s="25">
        <v>4</v>
      </c>
      <c r="H8291" s="29"/>
      <c r="I8291" s="30"/>
    </row>
    <row r="8292" spans="1:9" ht="15.75" thickBot="1" x14ac:dyDescent="0.3">
      <c r="A8292" s="43" t="s">
        <v>17006</v>
      </c>
      <c r="B8292" s="21" t="s">
        <v>17007</v>
      </c>
      <c r="C8292" s="21" t="s">
        <v>22725</v>
      </c>
      <c r="D8292" s="22">
        <v>46047</v>
      </c>
      <c r="E8292" s="23" t="s">
        <v>22656</v>
      </c>
      <c r="F8292" s="24" t="s">
        <v>22657</v>
      </c>
      <c r="G8292" s="25">
        <v>2</v>
      </c>
      <c r="H8292" s="26"/>
      <c r="I8292" s="27"/>
    </row>
    <row r="8293" spans="1:9" ht="15.75" thickBot="1" x14ac:dyDescent="0.3">
      <c r="A8293" s="43" t="s">
        <v>17008</v>
      </c>
      <c r="B8293" s="21" t="s">
        <v>17009</v>
      </c>
      <c r="C8293" s="21" t="s">
        <v>22725</v>
      </c>
      <c r="D8293" s="22">
        <v>46047</v>
      </c>
      <c r="E8293" s="23" t="s">
        <v>22656</v>
      </c>
      <c r="F8293" s="24" t="s">
        <v>22657</v>
      </c>
      <c r="G8293" s="25">
        <v>2</v>
      </c>
      <c r="H8293" s="29"/>
      <c r="I8293" s="30"/>
    </row>
    <row r="8294" spans="1:9" ht="15.75" thickBot="1" x14ac:dyDescent="0.3">
      <c r="A8294" s="43" t="s">
        <v>17010</v>
      </c>
      <c r="B8294" s="21" t="s">
        <v>17011</v>
      </c>
      <c r="C8294" s="21" t="s">
        <v>22725</v>
      </c>
      <c r="D8294" s="22">
        <v>46047</v>
      </c>
      <c r="E8294" s="23" t="s">
        <v>22656</v>
      </c>
      <c r="F8294" s="24" t="s">
        <v>22657</v>
      </c>
      <c r="G8294" s="25">
        <v>6</v>
      </c>
      <c r="H8294" s="34">
        <v>6</v>
      </c>
      <c r="I8294" s="35">
        <v>10</v>
      </c>
    </row>
    <row r="8295" spans="1:9" ht="15.75" thickBot="1" x14ac:dyDescent="0.3">
      <c r="A8295" s="43" t="s">
        <v>17012</v>
      </c>
      <c r="B8295" s="21" t="s">
        <v>17013</v>
      </c>
      <c r="C8295" s="21" t="s">
        <v>22725</v>
      </c>
      <c r="D8295" s="22">
        <v>46047</v>
      </c>
      <c r="E8295" s="23" t="s">
        <v>22656</v>
      </c>
      <c r="F8295" s="24" t="s">
        <v>22657</v>
      </c>
      <c r="G8295" s="25">
        <v>9</v>
      </c>
      <c r="H8295" s="29"/>
      <c r="I8295" s="30"/>
    </row>
    <row r="8296" spans="1:9" ht="15.75" thickBot="1" x14ac:dyDescent="0.3">
      <c r="A8296" s="43" t="s">
        <v>17014</v>
      </c>
      <c r="B8296" s="21" t="s">
        <v>17015</v>
      </c>
      <c r="C8296" s="21" t="s">
        <v>22725</v>
      </c>
      <c r="D8296" s="22">
        <v>46047</v>
      </c>
      <c r="E8296" s="23" t="s">
        <v>22656</v>
      </c>
      <c r="F8296" s="24" t="s">
        <v>22657</v>
      </c>
      <c r="G8296" s="25">
        <v>3</v>
      </c>
      <c r="H8296" s="26"/>
      <c r="I8296" s="27"/>
    </row>
    <row r="8297" spans="1:9" ht="15.75" thickBot="1" x14ac:dyDescent="0.3">
      <c r="A8297" s="43" t="s">
        <v>17016</v>
      </c>
      <c r="B8297" s="21" t="s">
        <v>17017</v>
      </c>
      <c r="C8297" s="21" t="s">
        <v>22725</v>
      </c>
      <c r="D8297" s="22">
        <v>46047</v>
      </c>
      <c r="E8297" s="23" t="s">
        <v>22656</v>
      </c>
      <c r="F8297" s="24" t="s">
        <v>22657</v>
      </c>
      <c r="G8297" s="25">
        <v>9</v>
      </c>
      <c r="H8297" s="29"/>
      <c r="I8297" s="30"/>
    </row>
    <row r="8298" spans="1:9" ht="15.75" thickBot="1" x14ac:dyDescent="0.3">
      <c r="A8298" s="43" t="s">
        <v>17018</v>
      </c>
      <c r="B8298" s="21" t="s">
        <v>17019</v>
      </c>
      <c r="C8298" s="21" t="s">
        <v>22725</v>
      </c>
      <c r="D8298" s="22">
        <v>46047</v>
      </c>
      <c r="E8298" s="23" t="s">
        <v>22656</v>
      </c>
      <c r="F8298" s="24" t="s">
        <v>22657</v>
      </c>
      <c r="G8298" s="25">
        <v>2</v>
      </c>
      <c r="H8298" s="26"/>
      <c r="I8298" s="27"/>
    </row>
    <row r="8299" spans="1:9" ht="15.75" thickBot="1" x14ac:dyDescent="0.3">
      <c r="A8299" s="43" t="s">
        <v>17020</v>
      </c>
      <c r="B8299" s="21" t="s">
        <v>17021</v>
      </c>
      <c r="C8299" s="21" t="s">
        <v>22725</v>
      </c>
      <c r="D8299" s="22">
        <v>46047</v>
      </c>
      <c r="E8299" s="23" t="s">
        <v>22656</v>
      </c>
      <c r="F8299" s="24" t="s">
        <v>22657</v>
      </c>
      <c r="G8299" s="25">
        <v>2</v>
      </c>
      <c r="H8299" s="29"/>
      <c r="I8299" s="30"/>
    </row>
    <row r="8300" spans="1:9" ht="15.75" thickBot="1" x14ac:dyDescent="0.3">
      <c r="A8300" s="43" t="s">
        <v>17022</v>
      </c>
      <c r="B8300" s="21" t="s">
        <v>17023</v>
      </c>
      <c r="C8300" s="21" t="s">
        <v>22725</v>
      </c>
      <c r="D8300" s="22">
        <v>46047</v>
      </c>
      <c r="E8300" s="23" t="s">
        <v>22656</v>
      </c>
      <c r="F8300" s="24" t="s">
        <v>22657</v>
      </c>
      <c r="G8300" s="25">
        <v>2</v>
      </c>
      <c r="H8300" s="26"/>
      <c r="I8300" s="27"/>
    </row>
    <row r="8301" spans="1:9" ht="15.75" thickBot="1" x14ac:dyDescent="0.3">
      <c r="A8301" s="43" t="s">
        <v>17024</v>
      </c>
      <c r="B8301" s="21" t="s">
        <v>17025</v>
      </c>
      <c r="C8301" s="21" t="s">
        <v>22725</v>
      </c>
      <c r="D8301" s="22">
        <v>46047</v>
      </c>
      <c r="E8301" s="23" t="s">
        <v>22656</v>
      </c>
      <c r="F8301" s="24" t="s">
        <v>22657</v>
      </c>
      <c r="G8301" s="25">
        <v>2</v>
      </c>
      <c r="H8301" s="29"/>
      <c r="I8301" s="30"/>
    </row>
    <row r="8302" spans="1:9" ht="15.75" thickBot="1" x14ac:dyDescent="0.3">
      <c r="A8302" s="43" t="s">
        <v>17026</v>
      </c>
      <c r="B8302" s="21" t="s">
        <v>17027</v>
      </c>
      <c r="C8302" s="21" t="s">
        <v>22725</v>
      </c>
      <c r="D8302" s="31" t="s">
        <v>22673</v>
      </c>
      <c r="E8302" s="23" t="s">
        <v>22656</v>
      </c>
      <c r="F8302" s="24" t="s">
        <v>22657</v>
      </c>
      <c r="G8302" s="25">
        <v>2</v>
      </c>
      <c r="H8302" s="26"/>
      <c r="I8302" s="27"/>
    </row>
    <row r="8303" spans="1:9" ht="15.75" thickBot="1" x14ac:dyDescent="0.3">
      <c r="A8303" s="43" t="s">
        <v>17028</v>
      </c>
      <c r="B8303" s="21" t="s">
        <v>17029</v>
      </c>
      <c r="C8303" s="21" t="s">
        <v>22725</v>
      </c>
      <c r="D8303" s="22">
        <v>46047</v>
      </c>
      <c r="E8303" s="23" t="s">
        <v>22656</v>
      </c>
      <c r="F8303" s="24" t="s">
        <v>22657</v>
      </c>
      <c r="G8303" s="25">
        <v>2</v>
      </c>
      <c r="H8303" s="29"/>
      <c r="I8303" s="30"/>
    </row>
    <row r="8304" spans="1:9" ht="15.75" thickBot="1" x14ac:dyDescent="0.3">
      <c r="A8304" s="43" t="s">
        <v>17030</v>
      </c>
      <c r="B8304" s="21" t="s">
        <v>17031</v>
      </c>
      <c r="C8304" s="21" t="s">
        <v>22725</v>
      </c>
      <c r="D8304" s="22">
        <v>46047</v>
      </c>
      <c r="E8304" s="23" t="s">
        <v>22656</v>
      </c>
      <c r="F8304" s="24" t="s">
        <v>22657</v>
      </c>
      <c r="G8304" s="25">
        <v>2</v>
      </c>
      <c r="H8304" s="26"/>
      <c r="I8304" s="27"/>
    </row>
    <row r="8305" spans="1:9" ht="15.75" thickBot="1" x14ac:dyDescent="0.3">
      <c r="A8305" s="43" t="s">
        <v>17032</v>
      </c>
      <c r="B8305" s="21" t="s">
        <v>17033</v>
      </c>
      <c r="C8305" s="21" t="s">
        <v>22725</v>
      </c>
      <c r="D8305" s="31" t="s">
        <v>22673</v>
      </c>
      <c r="E8305" s="23" t="s">
        <v>22656</v>
      </c>
      <c r="F8305" s="24" t="s">
        <v>22657</v>
      </c>
      <c r="G8305" s="25">
        <v>3</v>
      </c>
      <c r="H8305" s="29"/>
      <c r="I8305" s="30"/>
    </row>
    <row r="8306" spans="1:9" ht="15.75" thickBot="1" x14ac:dyDescent="0.3">
      <c r="A8306" s="43" t="s">
        <v>17034</v>
      </c>
      <c r="B8306" s="21" t="s">
        <v>17035</v>
      </c>
      <c r="C8306" s="21" t="s">
        <v>22725</v>
      </c>
      <c r="D8306" s="31" t="s">
        <v>22673</v>
      </c>
      <c r="E8306" s="23" t="s">
        <v>22656</v>
      </c>
      <c r="F8306" s="24" t="s">
        <v>22657</v>
      </c>
      <c r="G8306" s="25">
        <v>2</v>
      </c>
      <c r="H8306" s="26"/>
      <c r="I8306" s="27"/>
    </row>
    <row r="8307" spans="1:9" ht="15.75" thickBot="1" x14ac:dyDescent="0.3">
      <c r="A8307" s="43" t="s">
        <v>17036</v>
      </c>
      <c r="B8307" s="21" t="s">
        <v>17037</v>
      </c>
      <c r="C8307" s="21" t="s">
        <v>22725</v>
      </c>
      <c r="D8307" s="31" t="s">
        <v>22673</v>
      </c>
      <c r="E8307" s="23" t="s">
        <v>22656</v>
      </c>
      <c r="F8307" s="24" t="s">
        <v>22657</v>
      </c>
      <c r="G8307" s="25">
        <v>2</v>
      </c>
      <c r="H8307" s="29"/>
      <c r="I8307" s="30"/>
    </row>
    <row r="8308" spans="1:9" ht="15.75" thickBot="1" x14ac:dyDescent="0.3">
      <c r="A8308" s="43" t="s">
        <v>17038</v>
      </c>
      <c r="B8308" s="21" t="s">
        <v>17039</v>
      </c>
      <c r="C8308" s="21" t="s">
        <v>22725</v>
      </c>
      <c r="D8308" s="31" t="s">
        <v>22673</v>
      </c>
      <c r="E8308" s="23" t="s">
        <v>22656</v>
      </c>
      <c r="F8308" s="24" t="s">
        <v>22657</v>
      </c>
      <c r="G8308" s="25">
        <v>2</v>
      </c>
      <c r="H8308" s="26"/>
      <c r="I8308" s="27"/>
    </row>
    <row r="8309" spans="1:9" ht="15.75" thickBot="1" x14ac:dyDescent="0.3">
      <c r="A8309" s="43" t="s">
        <v>17040</v>
      </c>
      <c r="B8309" s="21" t="s">
        <v>17041</v>
      </c>
      <c r="C8309" s="21" t="s">
        <v>22682</v>
      </c>
      <c r="D8309" s="22">
        <v>46034</v>
      </c>
      <c r="E8309" s="23" t="s">
        <v>22658</v>
      </c>
      <c r="F8309" s="24" t="s">
        <v>22657</v>
      </c>
      <c r="G8309" s="25">
        <v>4</v>
      </c>
      <c r="H8309" s="29"/>
      <c r="I8309" s="30"/>
    </row>
    <row r="8310" spans="1:9" ht="15.75" thickBot="1" x14ac:dyDescent="0.3">
      <c r="A8310" s="43" t="s">
        <v>17042</v>
      </c>
      <c r="B8310" s="21" t="s">
        <v>17043</v>
      </c>
      <c r="C8310" s="21" t="s">
        <v>22682</v>
      </c>
      <c r="D8310" s="22">
        <v>46034</v>
      </c>
      <c r="E8310" s="23" t="s">
        <v>22658</v>
      </c>
      <c r="F8310" s="24" t="s">
        <v>22657</v>
      </c>
      <c r="G8310" s="25">
        <v>4</v>
      </c>
      <c r="H8310" s="26"/>
      <c r="I8310" s="27"/>
    </row>
    <row r="8311" spans="1:9" ht="15.75" thickBot="1" x14ac:dyDescent="0.3">
      <c r="A8311" s="43" t="s">
        <v>17044</v>
      </c>
      <c r="B8311" s="21" t="s">
        <v>17045</v>
      </c>
      <c r="C8311" s="21" t="s">
        <v>22682</v>
      </c>
      <c r="D8311" s="22">
        <v>46034</v>
      </c>
      <c r="E8311" s="23" t="s">
        <v>22658</v>
      </c>
      <c r="F8311" s="24" t="s">
        <v>22657</v>
      </c>
      <c r="G8311" s="25">
        <v>4</v>
      </c>
      <c r="H8311" s="29"/>
      <c r="I8311" s="30"/>
    </row>
    <row r="8312" spans="1:9" ht="15.75" thickBot="1" x14ac:dyDescent="0.3">
      <c r="A8312" s="43" t="s">
        <v>17046</v>
      </c>
      <c r="B8312" s="21" t="s">
        <v>17047</v>
      </c>
      <c r="C8312" s="21" t="s">
        <v>22682</v>
      </c>
      <c r="D8312" s="22">
        <v>46034</v>
      </c>
      <c r="E8312" s="23" t="s">
        <v>22658</v>
      </c>
      <c r="F8312" s="24" t="s">
        <v>22657</v>
      </c>
      <c r="G8312" s="25">
        <v>4</v>
      </c>
      <c r="H8312" s="26"/>
      <c r="I8312" s="27"/>
    </row>
    <row r="8313" spans="1:9" ht="15.75" thickBot="1" x14ac:dyDescent="0.3">
      <c r="A8313" s="43" t="s">
        <v>17048</v>
      </c>
      <c r="B8313" s="21" t="s">
        <v>17049</v>
      </c>
      <c r="C8313" s="21" t="s">
        <v>22655</v>
      </c>
      <c r="D8313" s="22">
        <v>46034</v>
      </c>
      <c r="E8313" s="23" t="s">
        <v>22658</v>
      </c>
      <c r="F8313" s="24" t="s">
        <v>22657</v>
      </c>
      <c r="G8313" s="25">
        <v>4</v>
      </c>
      <c r="H8313" s="29"/>
      <c r="I8313" s="30"/>
    </row>
    <row r="8314" spans="1:9" ht="15.75" thickBot="1" x14ac:dyDescent="0.3">
      <c r="A8314" s="43" t="s">
        <v>17050</v>
      </c>
      <c r="B8314" s="21" t="s">
        <v>17051</v>
      </c>
      <c r="C8314" s="21" t="s">
        <v>22663</v>
      </c>
      <c r="D8314" s="31">
        <v>1</v>
      </c>
      <c r="E8314" s="23" t="s">
        <v>22658</v>
      </c>
      <c r="F8314" s="24" t="s">
        <v>22657</v>
      </c>
      <c r="G8314" s="25">
        <v>2</v>
      </c>
      <c r="H8314" s="26"/>
      <c r="I8314" s="27"/>
    </row>
    <row r="8315" spans="1:9" ht="15.75" thickBot="1" x14ac:dyDescent="0.3">
      <c r="A8315" s="43" t="s">
        <v>17052</v>
      </c>
      <c r="B8315" s="21" t="s">
        <v>17053</v>
      </c>
      <c r="C8315" s="21" t="s">
        <v>22698</v>
      </c>
      <c r="D8315" s="31">
        <v>1</v>
      </c>
      <c r="E8315" s="23" t="s">
        <v>22658</v>
      </c>
      <c r="F8315" s="24" t="s">
        <v>22657</v>
      </c>
      <c r="G8315" s="25">
        <v>2</v>
      </c>
      <c r="H8315" s="29"/>
      <c r="I8315" s="30"/>
    </row>
    <row r="8316" spans="1:9" ht="15.75" thickBot="1" x14ac:dyDescent="0.3">
      <c r="A8316" s="43" t="s">
        <v>17054</v>
      </c>
      <c r="B8316" s="21" t="s">
        <v>17055</v>
      </c>
      <c r="C8316" s="21" t="s">
        <v>22663</v>
      </c>
      <c r="D8316" s="31">
        <v>1</v>
      </c>
      <c r="E8316" s="23" t="s">
        <v>22658</v>
      </c>
      <c r="F8316" s="24" t="s">
        <v>22657</v>
      </c>
      <c r="G8316" s="25">
        <v>3</v>
      </c>
      <c r="H8316" s="26"/>
      <c r="I8316" s="27"/>
    </row>
    <row r="8317" spans="1:9" ht="15.75" thickBot="1" x14ac:dyDescent="0.3">
      <c r="A8317" s="43" t="s">
        <v>22623</v>
      </c>
      <c r="B8317" s="21" t="s">
        <v>22624</v>
      </c>
      <c r="C8317" s="21" t="s">
        <v>22727</v>
      </c>
      <c r="D8317" s="31">
        <v>1</v>
      </c>
      <c r="E8317" s="23" t="s">
        <v>22658</v>
      </c>
      <c r="F8317" s="28" t="s">
        <v>22659</v>
      </c>
      <c r="G8317" s="25">
        <v>1</v>
      </c>
      <c r="H8317" s="29"/>
      <c r="I8317" s="30"/>
    </row>
    <row r="8318" spans="1:9" ht="15.75" thickBot="1" x14ac:dyDescent="0.3">
      <c r="A8318" s="43" t="s">
        <v>17056</v>
      </c>
      <c r="B8318" s="21" t="s">
        <v>17057</v>
      </c>
      <c r="C8318" s="21" t="s">
        <v>22663</v>
      </c>
      <c r="D8318" s="31">
        <v>1</v>
      </c>
      <c r="E8318" s="23" t="s">
        <v>22658</v>
      </c>
      <c r="F8318" s="24" t="s">
        <v>22657</v>
      </c>
      <c r="G8318" s="25">
        <v>1</v>
      </c>
      <c r="H8318" s="26"/>
      <c r="I8318" s="27"/>
    </row>
    <row r="8319" spans="1:9" ht="15.75" thickBot="1" x14ac:dyDescent="0.3">
      <c r="A8319" s="43" t="s">
        <v>17058</v>
      </c>
      <c r="B8319" s="21" t="s">
        <v>17059</v>
      </c>
      <c r="C8319" s="21" t="s">
        <v>22655</v>
      </c>
      <c r="D8319" s="22">
        <v>46034</v>
      </c>
      <c r="E8319" s="23" t="s">
        <v>22658</v>
      </c>
      <c r="F8319" s="24" t="s">
        <v>22657</v>
      </c>
      <c r="G8319" s="25">
        <v>2</v>
      </c>
      <c r="H8319" s="29"/>
      <c r="I8319" s="30"/>
    </row>
    <row r="8320" spans="1:9" ht="15.75" thickBot="1" x14ac:dyDescent="0.3">
      <c r="A8320" s="43" t="s">
        <v>17060</v>
      </c>
      <c r="B8320" s="21" t="s">
        <v>17061</v>
      </c>
      <c r="C8320" s="21" t="s">
        <v>22655</v>
      </c>
      <c r="D8320" s="31" t="s">
        <v>22775</v>
      </c>
      <c r="E8320" s="23" t="s">
        <v>22665</v>
      </c>
      <c r="F8320" s="24" t="s">
        <v>22657</v>
      </c>
      <c r="G8320" s="25">
        <v>20</v>
      </c>
      <c r="H8320" s="26"/>
      <c r="I8320" s="27"/>
    </row>
    <row r="8321" spans="1:9" ht="15.75" thickBot="1" x14ac:dyDescent="0.3">
      <c r="A8321" s="43" t="s">
        <v>17062</v>
      </c>
      <c r="B8321" s="21" t="s">
        <v>17063</v>
      </c>
      <c r="C8321" s="21" t="s">
        <v>22682</v>
      </c>
      <c r="D8321" s="22">
        <v>46034</v>
      </c>
      <c r="E8321" s="23" t="s">
        <v>22658</v>
      </c>
      <c r="F8321" s="24" t="s">
        <v>22657</v>
      </c>
      <c r="G8321" s="25">
        <v>1</v>
      </c>
      <c r="H8321" s="29"/>
      <c r="I8321" s="30"/>
    </row>
    <row r="8322" spans="1:9" ht="15.75" thickBot="1" x14ac:dyDescent="0.3">
      <c r="A8322" s="43" t="s">
        <v>17064</v>
      </c>
      <c r="B8322" s="21" t="s">
        <v>17065</v>
      </c>
      <c r="C8322" s="21" t="s">
        <v>22690</v>
      </c>
      <c r="D8322" s="31" t="s">
        <v>22736</v>
      </c>
      <c r="E8322" s="23" t="s">
        <v>22658</v>
      </c>
      <c r="F8322" s="24" t="s">
        <v>22657</v>
      </c>
      <c r="G8322" s="25">
        <v>2</v>
      </c>
      <c r="H8322" s="26"/>
      <c r="I8322" s="27"/>
    </row>
    <row r="8323" spans="1:9" ht="15.75" thickBot="1" x14ac:dyDescent="0.3">
      <c r="A8323" s="43" t="s">
        <v>17066</v>
      </c>
      <c r="B8323" s="21" t="s">
        <v>17067</v>
      </c>
      <c r="C8323" s="21" t="s">
        <v>22655</v>
      </c>
      <c r="D8323" s="22">
        <v>46034</v>
      </c>
      <c r="E8323" s="23" t="s">
        <v>22658</v>
      </c>
      <c r="F8323" s="24" t="s">
        <v>22657</v>
      </c>
      <c r="G8323" s="25">
        <v>2</v>
      </c>
      <c r="H8323" s="29"/>
      <c r="I8323" s="30"/>
    </row>
    <row r="8324" spans="1:9" ht="15.75" thickBot="1" x14ac:dyDescent="0.3">
      <c r="A8324" s="43" t="s">
        <v>17068</v>
      </c>
      <c r="B8324" s="21" t="s">
        <v>17069</v>
      </c>
      <c r="C8324" s="21" t="s">
        <v>22655</v>
      </c>
      <c r="D8324" s="22">
        <v>46034</v>
      </c>
      <c r="E8324" s="23" t="s">
        <v>22658</v>
      </c>
      <c r="F8324" s="24" t="s">
        <v>22657</v>
      </c>
      <c r="G8324" s="25">
        <v>2</v>
      </c>
      <c r="H8324" s="26"/>
      <c r="I8324" s="27"/>
    </row>
    <row r="8325" spans="1:9" ht="15.75" thickBot="1" x14ac:dyDescent="0.3">
      <c r="A8325" s="43" t="s">
        <v>17070</v>
      </c>
      <c r="B8325" s="21" t="s">
        <v>17071</v>
      </c>
      <c r="C8325" s="21" t="s">
        <v>22655</v>
      </c>
      <c r="D8325" s="22">
        <v>46046</v>
      </c>
      <c r="E8325" s="23" t="s">
        <v>22656</v>
      </c>
      <c r="F8325" s="24" t="s">
        <v>22657</v>
      </c>
      <c r="G8325" s="25">
        <v>4</v>
      </c>
      <c r="H8325" s="29"/>
      <c r="I8325" s="30"/>
    </row>
    <row r="8326" spans="1:9" ht="15.75" thickBot="1" x14ac:dyDescent="0.3">
      <c r="A8326" s="43" t="s">
        <v>17072</v>
      </c>
      <c r="B8326" s="21" t="s">
        <v>17073</v>
      </c>
      <c r="C8326" s="21" t="s">
        <v>22655</v>
      </c>
      <c r="D8326" s="22">
        <v>46034</v>
      </c>
      <c r="E8326" s="23" t="s">
        <v>22656</v>
      </c>
      <c r="F8326" s="24" t="s">
        <v>22657</v>
      </c>
      <c r="G8326" s="25">
        <v>2</v>
      </c>
      <c r="H8326" s="26"/>
      <c r="I8326" s="27"/>
    </row>
    <row r="8327" spans="1:9" ht="15.75" thickBot="1" x14ac:dyDescent="0.3">
      <c r="A8327" s="43" t="s">
        <v>17074</v>
      </c>
      <c r="B8327" s="21" t="s">
        <v>17075</v>
      </c>
      <c r="C8327" s="21" t="s">
        <v>22663</v>
      </c>
      <c r="D8327" s="31">
        <v>1</v>
      </c>
      <c r="E8327" s="23" t="s">
        <v>22658</v>
      </c>
      <c r="F8327" s="24" t="s">
        <v>22657</v>
      </c>
      <c r="G8327" s="25">
        <v>1</v>
      </c>
      <c r="H8327" s="29"/>
      <c r="I8327" s="30"/>
    </row>
    <row r="8328" spans="1:9" ht="15.75" thickBot="1" x14ac:dyDescent="0.3">
      <c r="A8328" s="43" t="s">
        <v>22388</v>
      </c>
      <c r="B8328" s="21" t="s">
        <v>17075</v>
      </c>
      <c r="C8328" s="36" t="e">
        <v>#N/A</v>
      </c>
      <c r="D8328" s="37" t="e">
        <v>#N/A</v>
      </c>
      <c r="E8328" s="23" t="e">
        <v>#N/A</v>
      </c>
      <c r="F8328" s="24" t="s">
        <v>22657</v>
      </c>
      <c r="G8328" s="25" t="e">
        <v>#N/A</v>
      </c>
      <c r="H8328" s="26"/>
      <c r="I8328" s="27"/>
    </row>
    <row r="8329" spans="1:9" ht="15.75" thickBot="1" x14ac:dyDescent="0.3">
      <c r="A8329" s="43" t="s">
        <v>17076</v>
      </c>
      <c r="B8329" s="21" t="s">
        <v>17077</v>
      </c>
      <c r="C8329" s="21" t="s">
        <v>22655</v>
      </c>
      <c r="D8329" s="22">
        <v>46046</v>
      </c>
      <c r="E8329" s="23" t="s">
        <v>22656</v>
      </c>
      <c r="F8329" s="24" t="s">
        <v>22657</v>
      </c>
      <c r="G8329" s="25">
        <v>4</v>
      </c>
      <c r="H8329" s="29"/>
      <c r="I8329" s="30"/>
    </row>
    <row r="8330" spans="1:9" ht="15.75" thickBot="1" x14ac:dyDescent="0.3">
      <c r="A8330" s="43" t="s">
        <v>17078</v>
      </c>
      <c r="B8330" s="21" t="s">
        <v>17079</v>
      </c>
      <c r="C8330" s="21" t="s">
        <v>22682</v>
      </c>
      <c r="D8330" s="22">
        <v>46034</v>
      </c>
      <c r="E8330" s="23" t="s">
        <v>22658</v>
      </c>
      <c r="F8330" s="24" t="s">
        <v>22657</v>
      </c>
      <c r="G8330" s="25">
        <v>4</v>
      </c>
      <c r="H8330" s="26"/>
      <c r="I8330" s="27"/>
    </row>
    <row r="8331" spans="1:9" ht="15.75" thickBot="1" x14ac:dyDescent="0.3">
      <c r="A8331" s="43" t="s">
        <v>17080</v>
      </c>
      <c r="B8331" s="21" t="s">
        <v>17081</v>
      </c>
      <c r="C8331" s="21" t="s">
        <v>22682</v>
      </c>
      <c r="D8331" s="22">
        <v>46034</v>
      </c>
      <c r="E8331" s="23" t="s">
        <v>22658</v>
      </c>
      <c r="F8331" s="24" t="s">
        <v>22657</v>
      </c>
      <c r="G8331" s="25">
        <v>4</v>
      </c>
      <c r="H8331" s="29"/>
      <c r="I8331" s="30"/>
    </row>
    <row r="8332" spans="1:9" ht="15.75" thickBot="1" x14ac:dyDescent="0.3">
      <c r="A8332" s="43" t="s">
        <v>17082</v>
      </c>
      <c r="B8332" s="21" t="s">
        <v>17083</v>
      </c>
      <c r="C8332" s="21" t="s">
        <v>22682</v>
      </c>
      <c r="D8332" s="22">
        <v>46034</v>
      </c>
      <c r="E8332" s="23" t="s">
        <v>22656</v>
      </c>
      <c r="F8332" s="24" t="s">
        <v>22657</v>
      </c>
      <c r="G8332" s="25">
        <v>4</v>
      </c>
      <c r="H8332" s="26"/>
      <c r="I8332" s="27"/>
    </row>
    <row r="8333" spans="1:9" ht="15.75" thickBot="1" x14ac:dyDescent="0.3">
      <c r="A8333" s="43" t="s">
        <v>17084</v>
      </c>
      <c r="B8333" s="21" t="s">
        <v>17085</v>
      </c>
      <c r="C8333" s="21" t="s">
        <v>22682</v>
      </c>
      <c r="D8333" s="22">
        <v>46034</v>
      </c>
      <c r="E8333" s="23" t="s">
        <v>22658</v>
      </c>
      <c r="F8333" s="24" t="s">
        <v>22657</v>
      </c>
      <c r="G8333" s="25">
        <v>4</v>
      </c>
      <c r="H8333" s="29"/>
      <c r="I8333" s="30"/>
    </row>
    <row r="8334" spans="1:9" ht="15.75" thickBot="1" x14ac:dyDescent="0.3">
      <c r="A8334" s="43" t="s">
        <v>17086</v>
      </c>
      <c r="B8334" s="21" t="s">
        <v>17087</v>
      </c>
      <c r="C8334" s="21" t="s">
        <v>22682</v>
      </c>
      <c r="D8334" s="22">
        <v>46034</v>
      </c>
      <c r="E8334" s="23" t="s">
        <v>22656</v>
      </c>
      <c r="F8334" s="24" t="s">
        <v>22657</v>
      </c>
      <c r="G8334" s="25">
        <v>4</v>
      </c>
      <c r="H8334" s="26"/>
      <c r="I8334" s="27"/>
    </row>
    <row r="8335" spans="1:9" ht="15.75" thickBot="1" x14ac:dyDescent="0.3">
      <c r="A8335" s="43" t="s">
        <v>17088</v>
      </c>
      <c r="B8335" s="21" t="s">
        <v>17089</v>
      </c>
      <c r="C8335" s="21" t="s">
        <v>22682</v>
      </c>
      <c r="D8335" s="22">
        <v>46034</v>
      </c>
      <c r="E8335" s="23" t="s">
        <v>22658</v>
      </c>
      <c r="F8335" s="24" t="s">
        <v>22657</v>
      </c>
      <c r="G8335" s="25">
        <v>4</v>
      </c>
      <c r="H8335" s="29"/>
      <c r="I8335" s="30"/>
    </row>
    <row r="8336" spans="1:9" ht="15.75" thickBot="1" x14ac:dyDescent="0.3">
      <c r="A8336" s="43" t="s">
        <v>17090</v>
      </c>
      <c r="B8336" s="21" t="s">
        <v>17091</v>
      </c>
      <c r="C8336" s="21" t="s">
        <v>22682</v>
      </c>
      <c r="D8336" s="22">
        <v>46034</v>
      </c>
      <c r="E8336" s="23" t="s">
        <v>22658</v>
      </c>
      <c r="F8336" s="24" t="s">
        <v>22657</v>
      </c>
      <c r="G8336" s="25">
        <v>4</v>
      </c>
      <c r="H8336" s="26"/>
      <c r="I8336" s="27"/>
    </row>
    <row r="8337" spans="1:9" ht="15.75" thickBot="1" x14ac:dyDescent="0.3">
      <c r="A8337" s="43" t="s">
        <v>17092</v>
      </c>
      <c r="B8337" s="21" t="s">
        <v>17093</v>
      </c>
      <c r="C8337" s="21" t="s">
        <v>22682</v>
      </c>
      <c r="D8337" s="22">
        <v>46034</v>
      </c>
      <c r="E8337" s="23" t="s">
        <v>22656</v>
      </c>
      <c r="F8337" s="24" t="s">
        <v>22657</v>
      </c>
      <c r="G8337" s="25">
        <v>4</v>
      </c>
      <c r="H8337" s="29"/>
      <c r="I8337" s="30"/>
    </row>
    <row r="8338" spans="1:9" ht="15.75" thickBot="1" x14ac:dyDescent="0.3">
      <c r="A8338" s="43" t="s">
        <v>17094</v>
      </c>
      <c r="B8338" s="21" t="s">
        <v>17095</v>
      </c>
      <c r="C8338" s="21" t="s">
        <v>22682</v>
      </c>
      <c r="D8338" s="22">
        <v>46034</v>
      </c>
      <c r="E8338" s="23" t="s">
        <v>22658</v>
      </c>
      <c r="F8338" s="24" t="s">
        <v>22657</v>
      </c>
      <c r="G8338" s="25">
        <v>4</v>
      </c>
      <c r="H8338" s="26"/>
      <c r="I8338" s="27"/>
    </row>
    <row r="8339" spans="1:9" ht="15.75" thickBot="1" x14ac:dyDescent="0.3">
      <c r="A8339" s="43" t="s">
        <v>17096</v>
      </c>
      <c r="B8339" s="21" t="s">
        <v>17097</v>
      </c>
      <c r="C8339" s="21" t="s">
        <v>22682</v>
      </c>
      <c r="D8339" s="22">
        <v>46034</v>
      </c>
      <c r="E8339" s="23" t="s">
        <v>22658</v>
      </c>
      <c r="F8339" s="24" t="s">
        <v>22657</v>
      </c>
      <c r="G8339" s="25">
        <v>4</v>
      </c>
      <c r="H8339" s="29"/>
      <c r="I8339" s="30"/>
    </row>
    <row r="8340" spans="1:9" ht="15.75" thickBot="1" x14ac:dyDescent="0.3">
      <c r="A8340" s="43" t="s">
        <v>17098</v>
      </c>
      <c r="B8340" s="21" t="s">
        <v>17099</v>
      </c>
      <c r="C8340" s="21" t="s">
        <v>22682</v>
      </c>
      <c r="D8340" s="22">
        <v>46034</v>
      </c>
      <c r="E8340" s="23" t="s">
        <v>22658</v>
      </c>
      <c r="F8340" s="24" t="s">
        <v>22657</v>
      </c>
      <c r="G8340" s="25">
        <v>4</v>
      </c>
      <c r="H8340" s="26"/>
      <c r="I8340" s="27"/>
    </row>
    <row r="8341" spans="1:9" ht="15.75" thickBot="1" x14ac:dyDescent="0.3">
      <c r="A8341" s="43" t="s">
        <v>17100</v>
      </c>
      <c r="B8341" s="21" t="s">
        <v>17101</v>
      </c>
      <c r="C8341" s="21" t="s">
        <v>22682</v>
      </c>
      <c r="D8341" s="22">
        <v>46034</v>
      </c>
      <c r="E8341" s="23" t="s">
        <v>22658</v>
      </c>
      <c r="F8341" s="24" t="s">
        <v>22657</v>
      </c>
      <c r="G8341" s="25">
        <v>4</v>
      </c>
      <c r="H8341" s="29"/>
      <c r="I8341" s="30"/>
    </row>
    <row r="8342" spans="1:9" ht="15.75" thickBot="1" x14ac:dyDescent="0.3">
      <c r="A8342" s="43" t="s">
        <v>17102</v>
      </c>
      <c r="B8342" s="21" t="s">
        <v>17103</v>
      </c>
      <c r="C8342" s="21" t="s">
        <v>22682</v>
      </c>
      <c r="D8342" s="22">
        <v>46034</v>
      </c>
      <c r="E8342" s="23" t="s">
        <v>22658</v>
      </c>
      <c r="F8342" s="24" t="s">
        <v>22657</v>
      </c>
      <c r="G8342" s="25">
        <v>4</v>
      </c>
      <c r="H8342" s="26"/>
      <c r="I8342" s="27"/>
    </row>
    <row r="8343" spans="1:9" ht="15.75" thickBot="1" x14ac:dyDescent="0.3">
      <c r="A8343" s="43" t="s">
        <v>17104</v>
      </c>
      <c r="B8343" s="21" t="s">
        <v>17105</v>
      </c>
      <c r="C8343" s="21" t="s">
        <v>22682</v>
      </c>
      <c r="D8343" s="22">
        <v>46034</v>
      </c>
      <c r="E8343" s="23" t="s">
        <v>22658</v>
      </c>
      <c r="F8343" s="24" t="s">
        <v>22657</v>
      </c>
      <c r="G8343" s="25">
        <v>4</v>
      </c>
      <c r="H8343" s="29"/>
      <c r="I8343" s="30"/>
    </row>
    <row r="8344" spans="1:9" ht="15.75" thickBot="1" x14ac:dyDescent="0.3">
      <c r="A8344" s="43" t="s">
        <v>17106</v>
      </c>
      <c r="B8344" s="21" t="s">
        <v>17107</v>
      </c>
      <c r="C8344" s="21" t="s">
        <v>22682</v>
      </c>
      <c r="D8344" s="22">
        <v>46034</v>
      </c>
      <c r="E8344" s="23" t="s">
        <v>22658</v>
      </c>
      <c r="F8344" s="24" t="s">
        <v>22657</v>
      </c>
      <c r="G8344" s="25">
        <v>4</v>
      </c>
      <c r="H8344" s="26"/>
      <c r="I8344" s="27"/>
    </row>
    <row r="8345" spans="1:9" ht="15.75" thickBot="1" x14ac:dyDescent="0.3">
      <c r="A8345" s="43" t="s">
        <v>17108</v>
      </c>
      <c r="B8345" s="21" t="s">
        <v>17109</v>
      </c>
      <c r="C8345" s="21" t="s">
        <v>22682</v>
      </c>
      <c r="D8345" s="22">
        <v>46034</v>
      </c>
      <c r="E8345" s="23" t="s">
        <v>22658</v>
      </c>
      <c r="F8345" s="24" t="s">
        <v>22657</v>
      </c>
      <c r="G8345" s="25">
        <v>4</v>
      </c>
      <c r="H8345" s="29"/>
      <c r="I8345" s="30"/>
    </row>
    <row r="8346" spans="1:9" ht="15.75" thickBot="1" x14ac:dyDescent="0.3">
      <c r="A8346" s="43" t="s">
        <v>17110</v>
      </c>
      <c r="B8346" s="21" t="s">
        <v>17111</v>
      </c>
      <c r="C8346" s="21" t="s">
        <v>22682</v>
      </c>
      <c r="D8346" s="22">
        <v>46034</v>
      </c>
      <c r="E8346" s="23" t="s">
        <v>22658</v>
      </c>
      <c r="F8346" s="24" t="s">
        <v>22657</v>
      </c>
      <c r="G8346" s="25">
        <v>4</v>
      </c>
      <c r="H8346" s="26"/>
      <c r="I8346" s="27"/>
    </row>
    <row r="8347" spans="1:9" ht="15.75" thickBot="1" x14ac:dyDescent="0.3">
      <c r="A8347" s="43" t="s">
        <v>17112</v>
      </c>
      <c r="B8347" s="21" t="s">
        <v>17113</v>
      </c>
      <c r="C8347" s="21" t="s">
        <v>22682</v>
      </c>
      <c r="D8347" s="22">
        <v>46034</v>
      </c>
      <c r="E8347" s="23" t="s">
        <v>22656</v>
      </c>
      <c r="F8347" s="24" t="s">
        <v>22657</v>
      </c>
      <c r="G8347" s="25">
        <v>4</v>
      </c>
      <c r="H8347" s="29"/>
      <c r="I8347" s="30"/>
    </row>
    <row r="8348" spans="1:9" ht="15.75" thickBot="1" x14ac:dyDescent="0.3">
      <c r="A8348" s="43" t="s">
        <v>17114</v>
      </c>
      <c r="B8348" s="21" t="s">
        <v>17115</v>
      </c>
      <c r="C8348" s="21" t="s">
        <v>22682</v>
      </c>
      <c r="D8348" s="22">
        <v>46034</v>
      </c>
      <c r="E8348" s="23" t="s">
        <v>22658</v>
      </c>
      <c r="F8348" s="24" t="s">
        <v>22657</v>
      </c>
      <c r="G8348" s="25">
        <v>4</v>
      </c>
      <c r="H8348" s="26"/>
      <c r="I8348" s="27"/>
    </row>
    <row r="8349" spans="1:9" ht="15.75" thickBot="1" x14ac:dyDescent="0.3">
      <c r="A8349" s="43" t="s">
        <v>17116</v>
      </c>
      <c r="B8349" s="21" t="s">
        <v>17117</v>
      </c>
      <c r="C8349" s="21" t="s">
        <v>22682</v>
      </c>
      <c r="D8349" s="22">
        <v>46034</v>
      </c>
      <c r="E8349" s="23" t="s">
        <v>22658</v>
      </c>
      <c r="F8349" s="24" t="s">
        <v>22657</v>
      </c>
      <c r="G8349" s="25">
        <v>4</v>
      </c>
      <c r="H8349" s="29"/>
      <c r="I8349" s="30"/>
    </row>
    <row r="8350" spans="1:9" ht="15.75" thickBot="1" x14ac:dyDescent="0.3">
      <c r="A8350" s="43" t="s">
        <v>17118</v>
      </c>
      <c r="B8350" s="21" t="s">
        <v>17119</v>
      </c>
      <c r="C8350" s="21" t="s">
        <v>22682</v>
      </c>
      <c r="D8350" s="22">
        <v>46034</v>
      </c>
      <c r="E8350" s="23" t="s">
        <v>22658</v>
      </c>
      <c r="F8350" s="24" t="s">
        <v>22657</v>
      </c>
      <c r="G8350" s="25">
        <v>4</v>
      </c>
      <c r="H8350" s="26"/>
      <c r="I8350" s="27"/>
    </row>
    <row r="8351" spans="1:9" ht="15.75" thickBot="1" x14ac:dyDescent="0.3">
      <c r="A8351" s="43" t="s">
        <v>17120</v>
      </c>
      <c r="B8351" s="21" t="s">
        <v>17121</v>
      </c>
      <c r="C8351" s="21" t="s">
        <v>22682</v>
      </c>
      <c r="D8351" s="22">
        <v>46034</v>
      </c>
      <c r="E8351" s="23" t="s">
        <v>22658</v>
      </c>
      <c r="F8351" s="24" t="s">
        <v>22657</v>
      </c>
      <c r="G8351" s="25">
        <v>4</v>
      </c>
      <c r="H8351" s="29"/>
      <c r="I8351" s="30"/>
    </row>
    <row r="8352" spans="1:9" ht="15.75" thickBot="1" x14ac:dyDescent="0.3">
      <c r="A8352" s="43" t="s">
        <v>17122</v>
      </c>
      <c r="B8352" s="21" t="s">
        <v>17123</v>
      </c>
      <c r="C8352" s="21" t="s">
        <v>22682</v>
      </c>
      <c r="D8352" s="22">
        <v>46034</v>
      </c>
      <c r="E8352" s="23" t="s">
        <v>22658</v>
      </c>
      <c r="F8352" s="24" t="s">
        <v>22657</v>
      </c>
      <c r="G8352" s="25">
        <v>4</v>
      </c>
      <c r="H8352" s="26"/>
      <c r="I8352" s="27"/>
    </row>
    <row r="8353" spans="1:9" ht="15.75" thickBot="1" x14ac:dyDescent="0.3">
      <c r="A8353" s="43" t="s">
        <v>17124</v>
      </c>
      <c r="B8353" s="21" t="s">
        <v>17125</v>
      </c>
      <c r="C8353" s="21" t="s">
        <v>22682</v>
      </c>
      <c r="D8353" s="22">
        <v>46034</v>
      </c>
      <c r="E8353" s="23" t="s">
        <v>22658</v>
      </c>
      <c r="F8353" s="24" t="s">
        <v>22657</v>
      </c>
      <c r="G8353" s="25">
        <v>4</v>
      </c>
      <c r="H8353" s="29"/>
      <c r="I8353" s="30"/>
    </row>
    <row r="8354" spans="1:9" ht="15.75" thickBot="1" x14ac:dyDescent="0.3">
      <c r="A8354" s="43" t="s">
        <v>17126</v>
      </c>
      <c r="B8354" s="21" t="s">
        <v>17127</v>
      </c>
      <c r="C8354" s="21" t="s">
        <v>22682</v>
      </c>
      <c r="D8354" s="22">
        <v>46034</v>
      </c>
      <c r="E8354" s="23" t="s">
        <v>22658</v>
      </c>
      <c r="F8354" s="24" t="s">
        <v>22657</v>
      </c>
      <c r="G8354" s="25">
        <v>4</v>
      </c>
      <c r="H8354" s="26"/>
      <c r="I8354" s="27"/>
    </row>
    <row r="8355" spans="1:9" ht="15.75" thickBot="1" x14ac:dyDescent="0.3">
      <c r="A8355" s="43" t="s">
        <v>17128</v>
      </c>
      <c r="B8355" s="21" t="s">
        <v>17129</v>
      </c>
      <c r="C8355" s="21" t="s">
        <v>22682</v>
      </c>
      <c r="D8355" s="22">
        <v>46034</v>
      </c>
      <c r="E8355" s="23" t="s">
        <v>22658</v>
      </c>
      <c r="F8355" s="24" t="s">
        <v>22657</v>
      </c>
      <c r="G8355" s="25">
        <v>4</v>
      </c>
      <c r="H8355" s="29"/>
      <c r="I8355" s="30"/>
    </row>
    <row r="8356" spans="1:9" ht="15.75" thickBot="1" x14ac:dyDescent="0.3">
      <c r="A8356" s="43" t="s">
        <v>17130</v>
      </c>
      <c r="B8356" s="21" t="s">
        <v>17131</v>
      </c>
      <c r="C8356" s="21" t="s">
        <v>22682</v>
      </c>
      <c r="D8356" s="22">
        <v>46034</v>
      </c>
      <c r="E8356" s="23" t="s">
        <v>22658</v>
      </c>
      <c r="F8356" s="24" t="s">
        <v>22657</v>
      </c>
      <c r="G8356" s="25">
        <v>4</v>
      </c>
      <c r="H8356" s="26"/>
      <c r="I8356" s="27"/>
    </row>
    <row r="8357" spans="1:9" ht="15.75" thickBot="1" x14ac:dyDescent="0.3">
      <c r="A8357" s="43" t="s">
        <v>17132</v>
      </c>
      <c r="B8357" s="21" t="s">
        <v>17133</v>
      </c>
      <c r="C8357" s="21" t="s">
        <v>22682</v>
      </c>
      <c r="D8357" s="22">
        <v>46034</v>
      </c>
      <c r="E8357" s="23" t="s">
        <v>22656</v>
      </c>
      <c r="F8357" s="24" t="s">
        <v>22657</v>
      </c>
      <c r="G8357" s="25">
        <v>4</v>
      </c>
      <c r="H8357" s="29"/>
      <c r="I8357" s="30"/>
    </row>
    <row r="8358" spans="1:9" ht="15.75" thickBot="1" x14ac:dyDescent="0.3">
      <c r="A8358" s="43" t="s">
        <v>17134</v>
      </c>
      <c r="B8358" s="21" t="s">
        <v>17135</v>
      </c>
      <c r="C8358" s="21" t="s">
        <v>22682</v>
      </c>
      <c r="D8358" s="22">
        <v>46034</v>
      </c>
      <c r="E8358" s="23" t="s">
        <v>22658</v>
      </c>
      <c r="F8358" s="24" t="s">
        <v>22657</v>
      </c>
      <c r="G8358" s="25">
        <v>4</v>
      </c>
      <c r="H8358" s="26"/>
      <c r="I8358" s="27"/>
    </row>
    <row r="8359" spans="1:9" ht="15.75" thickBot="1" x14ac:dyDescent="0.3">
      <c r="A8359" s="43" t="s">
        <v>17136</v>
      </c>
      <c r="B8359" s="21" t="s">
        <v>17137</v>
      </c>
      <c r="C8359" s="21" t="s">
        <v>22682</v>
      </c>
      <c r="D8359" s="22">
        <v>46034</v>
      </c>
      <c r="E8359" s="23" t="s">
        <v>22656</v>
      </c>
      <c r="F8359" s="24" t="s">
        <v>22657</v>
      </c>
      <c r="G8359" s="25">
        <v>4</v>
      </c>
      <c r="H8359" s="29"/>
      <c r="I8359" s="30"/>
    </row>
    <row r="8360" spans="1:9" ht="15.75" thickBot="1" x14ac:dyDescent="0.3">
      <c r="A8360" s="43" t="s">
        <v>17138</v>
      </c>
      <c r="B8360" s="21" t="s">
        <v>17139</v>
      </c>
      <c r="C8360" s="21" t="s">
        <v>22682</v>
      </c>
      <c r="D8360" s="22">
        <v>46034</v>
      </c>
      <c r="E8360" s="23" t="s">
        <v>22658</v>
      </c>
      <c r="F8360" s="24" t="s">
        <v>22657</v>
      </c>
      <c r="G8360" s="25">
        <v>4</v>
      </c>
      <c r="H8360" s="26"/>
      <c r="I8360" s="27"/>
    </row>
    <row r="8361" spans="1:9" ht="15.75" thickBot="1" x14ac:dyDescent="0.3">
      <c r="A8361" s="43" t="s">
        <v>17140</v>
      </c>
      <c r="B8361" s="21" t="s">
        <v>17141</v>
      </c>
      <c r="C8361" s="21" t="s">
        <v>22682</v>
      </c>
      <c r="D8361" s="22">
        <v>46034</v>
      </c>
      <c r="E8361" s="23" t="s">
        <v>22658</v>
      </c>
      <c r="F8361" s="24" t="s">
        <v>22657</v>
      </c>
      <c r="G8361" s="25">
        <v>4</v>
      </c>
      <c r="H8361" s="29"/>
      <c r="I8361" s="30"/>
    </row>
    <row r="8362" spans="1:9" ht="15.75" thickBot="1" x14ac:dyDescent="0.3">
      <c r="A8362" s="43" t="s">
        <v>17142</v>
      </c>
      <c r="B8362" s="21" t="s">
        <v>17143</v>
      </c>
      <c r="C8362" s="21" t="s">
        <v>22682</v>
      </c>
      <c r="D8362" s="22">
        <v>46034</v>
      </c>
      <c r="E8362" s="23" t="s">
        <v>22658</v>
      </c>
      <c r="F8362" s="24" t="s">
        <v>22657</v>
      </c>
      <c r="G8362" s="25">
        <v>4</v>
      </c>
      <c r="H8362" s="26"/>
      <c r="I8362" s="27"/>
    </row>
    <row r="8363" spans="1:9" ht="15.75" thickBot="1" x14ac:dyDescent="0.3">
      <c r="A8363" s="43" t="s">
        <v>17144</v>
      </c>
      <c r="B8363" s="21" t="s">
        <v>17145</v>
      </c>
      <c r="C8363" s="21" t="s">
        <v>22682</v>
      </c>
      <c r="D8363" s="22">
        <v>46034</v>
      </c>
      <c r="E8363" s="23" t="s">
        <v>22658</v>
      </c>
      <c r="F8363" s="24" t="s">
        <v>22657</v>
      </c>
      <c r="G8363" s="25">
        <v>4</v>
      </c>
      <c r="H8363" s="29"/>
      <c r="I8363" s="30"/>
    </row>
    <row r="8364" spans="1:9" ht="15.75" thickBot="1" x14ac:dyDescent="0.3">
      <c r="A8364" s="43" t="s">
        <v>17146</v>
      </c>
      <c r="B8364" s="21" t="s">
        <v>17147</v>
      </c>
      <c r="C8364" s="21" t="s">
        <v>22682</v>
      </c>
      <c r="D8364" s="22">
        <v>46034</v>
      </c>
      <c r="E8364" s="23" t="s">
        <v>22658</v>
      </c>
      <c r="F8364" s="24" t="s">
        <v>22657</v>
      </c>
      <c r="G8364" s="25">
        <v>4</v>
      </c>
      <c r="H8364" s="26"/>
      <c r="I8364" s="27"/>
    </row>
    <row r="8365" spans="1:9" ht="15.75" thickBot="1" x14ac:dyDescent="0.3">
      <c r="A8365" s="43" t="s">
        <v>17148</v>
      </c>
      <c r="B8365" s="21" t="s">
        <v>17149</v>
      </c>
      <c r="C8365" s="21" t="s">
        <v>22682</v>
      </c>
      <c r="D8365" s="22">
        <v>46034</v>
      </c>
      <c r="E8365" s="23" t="s">
        <v>22658</v>
      </c>
      <c r="F8365" s="24" t="s">
        <v>22657</v>
      </c>
      <c r="G8365" s="25">
        <v>4</v>
      </c>
      <c r="H8365" s="29"/>
      <c r="I8365" s="30"/>
    </row>
    <row r="8366" spans="1:9" ht="15.75" thickBot="1" x14ac:dyDescent="0.3">
      <c r="A8366" s="43" t="s">
        <v>17150</v>
      </c>
      <c r="B8366" s="21" t="s">
        <v>17151</v>
      </c>
      <c r="C8366" s="21" t="s">
        <v>22682</v>
      </c>
      <c r="D8366" s="22">
        <v>46034</v>
      </c>
      <c r="E8366" s="23" t="s">
        <v>22658</v>
      </c>
      <c r="F8366" s="24" t="s">
        <v>22657</v>
      </c>
      <c r="G8366" s="25">
        <v>4</v>
      </c>
      <c r="H8366" s="26"/>
      <c r="I8366" s="27"/>
    </row>
    <row r="8367" spans="1:9" ht="15.75" thickBot="1" x14ac:dyDescent="0.3">
      <c r="A8367" s="43" t="s">
        <v>17152</v>
      </c>
      <c r="B8367" s="21" t="s">
        <v>17153</v>
      </c>
      <c r="C8367" s="21" t="s">
        <v>22682</v>
      </c>
      <c r="D8367" s="22">
        <v>46034</v>
      </c>
      <c r="E8367" s="23" t="s">
        <v>22658</v>
      </c>
      <c r="F8367" s="24" t="s">
        <v>22657</v>
      </c>
      <c r="G8367" s="25">
        <v>4</v>
      </c>
      <c r="H8367" s="29"/>
      <c r="I8367" s="30"/>
    </row>
    <row r="8368" spans="1:9" ht="15.75" thickBot="1" x14ac:dyDescent="0.3">
      <c r="A8368" s="43" t="s">
        <v>17154</v>
      </c>
      <c r="B8368" s="21" t="s">
        <v>17155</v>
      </c>
      <c r="C8368" s="21" t="s">
        <v>22682</v>
      </c>
      <c r="D8368" s="22">
        <v>46034</v>
      </c>
      <c r="E8368" s="23" t="s">
        <v>22656</v>
      </c>
      <c r="F8368" s="24" t="s">
        <v>22657</v>
      </c>
      <c r="G8368" s="25">
        <v>4</v>
      </c>
      <c r="H8368" s="26"/>
      <c r="I8368" s="27"/>
    </row>
    <row r="8369" spans="1:9" ht="15.75" thickBot="1" x14ac:dyDescent="0.3">
      <c r="A8369" s="43" t="s">
        <v>17156</v>
      </c>
      <c r="B8369" s="21" t="s">
        <v>17157</v>
      </c>
      <c r="C8369" s="21" t="s">
        <v>22682</v>
      </c>
      <c r="D8369" s="22">
        <v>46034</v>
      </c>
      <c r="E8369" s="23" t="s">
        <v>22656</v>
      </c>
      <c r="F8369" s="24" t="s">
        <v>22657</v>
      </c>
      <c r="G8369" s="25">
        <v>4</v>
      </c>
      <c r="H8369" s="29"/>
      <c r="I8369" s="30"/>
    </row>
    <row r="8370" spans="1:9" ht="15.75" thickBot="1" x14ac:dyDescent="0.3">
      <c r="A8370" s="43" t="s">
        <v>17158</v>
      </c>
      <c r="B8370" s="21" t="s">
        <v>17159</v>
      </c>
      <c r="C8370" s="21" t="s">
        <v>22682</v>
      </c>
      <c r="D8370" s="22">
        <v>46034</v>
      </c>
      <c r="E8370" s="23" t="s">
        <v>22658</v>
      </c>
      <c r="F8370" s="24" t="s">
        <v>22657</v>
      </c>
      <c r="G8370" s="25">
        <v>4</v>
      </c>
      <c r="H8370" s="26"/>
      <c r="I8370" s="27"/>
    </row>
    <row r="8371" spans="1:9" ht="15.75" thickBot="1" x14ac:dyDescent="0.3">
      <c r="A8371" s="43" t="s">
        <v>17160</v>
      </c>
      <c r="B8371" s="21" t="s">
        <v>17161</v>
      </c>
      <c r="C8371" s="21" t="s">
        <v>22682</v>
      </c>
      <c r="D8371" s="22">
        <v>46034</v>
      </c>
      <c r="E8371" s="23" t="s">
        <v>22656</v>
      </c>
      <c r="F8371" s="24" t="s">
        <v>22657</v>
      </c>
      <c r="G8371" s="25">
        <v>4</v>
      </c>
      <c r="H8371" s="29"/>
      <c r="I8371" s="30"/>
    </row>
    <row r="8372" spans="1:9" ht="15.75" thickBot="1" x14ac:dyDescent="0.3">
      <c r="A8372" s="43" t="s">
        <v>17162</v>
      </c>
      <c r="B8372" s="21" t="s">
        <v>17163</v>
      </c>
      <c r="C8372" s="21" t="s">
        <v>22682</v>
      </c>
      <c r="D8372" s="22">
        <v>46034</v>
      </c>
      <c r="E8372" s="23" t="s">
        <v>22658</v>
      </c>
      <c r="F8372" s="24" t="s">
        <v>22657</v>
      </c>
      <c r="G8372" s="25">
        <v>4</v>
      </c>
      <c r="H8372" s="26"/>
      <c r="I8372" s="27"/>
    </row>
    <row r="8373" spans="1:9" ht="15.75" thickBot="1" x14ac:dyDescent="0.3">
      <c r="A8373" s="43" t="s">
        <v>17164</v>
      </c>
      <c r="B8373" s="21" t="s">
        <v>17165</v>
      </c>
      <c r="C8373" s="21" t="s">
        <v>22682</v>
      </c>
      <c r="D8373" s="22">
        <v>46034</v>
      </c>
      <c r="E8373" s="23" t="s">
        <v>22656</v>
      </c>
      <c r="F8373" s="24" t="s">
        <v>22657</v>
      </c>
      <c r="G8373" s="25">
        <v>4</v>
      </c>
      <c r="H8373" s="29"/>
      <c r="I8373" s="30"/>
    </row>
    <row r="8374" spans="1:9" ht="15.75" thickBot="1" x14ac:dyDescent="0.3">
      <c r="A8374" s="43" t="s">
        <v>17166</v>
      </c>
      <c r="B8374" s="21" t="s">
        <v>17167</v>
      </c>
      <c r="C8374" s="21" t="s">
        <v>22682</v>
      </c>
      <c r="D8374" s="22">
        <v>46034</v>
      </c>
      <c r="E8374" s="23" t="s">
        <v>22658</v>
      </c>
      <c r="F8374" s="24" t="s">
        <v>22657</v>
      </c>
      <c r="G8374" s="25">
        <v>4</v>
      </c>
      <c r="H8374" s="26"/>
      <c r="I8374" s="27"/>
    </row>
    <row r="8375" spans="1:9" ht="15.75" thickBot="1" x14ac:dyDescent="0.3">
      <c r="A8375" s="43" t="s">
        <v>17168</v>
      </c>
      <c r="B8375" s="21" t="s">
        <v>17169</v>
      </c>
      <c r="C8375" s="21" t="s">
        <v>22682</v>
      </c>
      <c r="D8375" s="22">
        <v>46034</v>
      </c>
      <c r="E8375" s="23" t="s">
        <v>22656</v>
      </c>
      <c r="F8375" s="24" t="s">
        <v>22657</v>
      </c>
      <c r="G8375" s="25">
        <v>4</v>
      </c>
      <c r="H8375" s="29"/>
      <c r="I8375" s="30"/>
    </row>
    <row r="8376" spans="1:9" ht="15.75" thickBot="1" x14ac:dyDescent="0.3">
      <c r="A8376" s="43" t="s">
        <v>17170</v>
      </c>
      <c r="B8376" s="21" t="s">
        <v>17171</v>
      </c>
      <c r="C8376" s="21" t="s">
        <v>22682</v>
      </c>
      <c r="D8376" s="22">
        <v>46034</v>
      </c>
      <c r="E8376" s="23" t="s">
        <v>22658</v>
      </c>
      <c r="F8376" s="24" t="s">
        <v>22657</v>
      </c>
      <c r="G8376" s="25">
        <v>4</v>
      </c>
      <c r="H8376" s="26"/>
      <c r="I8376" s="27"/>
    </row>
    <row r="8377" spans="1:9" ht="15.75" thickBot="1" x14ac:dyDescent="0.3">
      <c r="A8377" s="43" t="s">
        <v>17172</v>
      </c>
      <c r="B8377" s="21" t="s">
        <v>17173</v>
      </c>
      <c r="C8377" s="21" t="s">
        <v>22682</v>
      </c>
      <c r="D8377" s="22">
        <v>46034</v>
      </c>
      <c r="E8377" s="23" t="s">
        <v>22658</v>
      </c>
      <c r="F8377" s="24" t="s">
        <v>22657</v>
      </c>
      <c r="G8377" s="25">
        <v>4</v>
      </c>
      <c r="H8377" s="29"/>
      <c r="I8377" s="30"/>
    </row>
    <row r="8378" spans="1:9" ht="15.75" thickBot="1" x14ac:dyDescent="0.3">
      <c r="A8378" s="43" t="s">
        <v>17174</v>
      </c>
      <c r="B8378" s="21" t="s">
        <v>17175</v>
      </c>
      <c r="C8378" s="21" t="s">
        <v>22682</v>
      </c>
      <c r="D8378" s="22">
        <v>46034</v>
      </c>
      <c r="E8378" s="23" t="s">
        <v>22656</v>
      </c>
      <c r="F8378" s="24" t="s">
        <v>22657</v>
      </c>
      <c r="G8378" s="25">
        <v>4</v>
      </c>
      <c r="H8378" s="26"/>
      <c r="I8378" s="27"/>
    </row>
    <row r="8379" spans="1:9" ht="15.75" thickBot="1" x14ac:dyDescent="0.3">
      <c r="A8379" s="43" t="s">
        <v>17176</v>
      </c>
      <c r="B8379" s="21" t="s">
        <v>17177</v>
      </c>
      <c r="C8379" s="21" t="s">
        <v>22682</v>
      </c>
      <c r="D8379" s="22">
        <v>46034</v>
      </c>
      <c r="E8379" s="23" t="s">
        <v>22656</v>
      </c>
      <c r="F8379" s="24" t="s">
        <v>22657</v>
      </c>
      <c r="G8379" s="25">
        <v>4</v>
      </c>
      <c r="H8379" s="29"/>
      <c r="I8379" s="30"/>
    </row>
    <row r="8380" spans="1:9" ht="15.75" thickBot="1" x14ac:dyDescent="0.3">
      <c r="A8380" s="43" t="s">
        <v>17178</v>
      </c>
      <c r="B8380" s="21" t="s">
        <v>17179</v>
      </c>
      <c r="C8380" s="21" t="s">
        <v>22682</v>
      </c>
      <c r="D8380" s="22">
        <v>46034</v>
      </c>
      <c r="E8380" s="23" t="s">
        <v>22658</v>
      </c>
      <c r="F8380" s="24" t="s">
        <v>22657</v>
      </c>
      <c r="G8380" s="25">
        <v>4</v>
      </c>
      <c r="H8380" s="26"/>
      <c r="I8380" s="27"/>
    </row>
    <row r="8381" spans="1:9" ht="15.75" thickBot="1" x14ac:dyDescent="0.3">
      <c r="A8381" s="43" t="s">
        <v>17180</v>
      </c>
      <c r="B8381" s="21" t="s">
        <v>17181</v>
      </c>
      <c r="C8381" s="21" t="s">
        <v>22682</v>
      </c>
      <c r="D8381" s="22">
        <v>46034</v>
      </c>
      <c r="E8381" s="23" t="s">
        <v>22656</v>
      </c>
      <c r="F8381" s="24" t="s">
        <v>22657</v>
      </c>
      <c r="G8381" s="25">
        <v>4</v>
      </c>
      <c r="H8381" s="29"/>
      <c r="I8381" s="30"/>
    </row>
    <row r="8382" spans="1:9" ht="15.75" thickBot="1" x14ac:dyDescent="0.3">
      <c r="A8382" s="43" t="s">
        <v>17182</v>
      </c>
      <c r="B8382" s="21" t="s">
        <v>17183</v>
      </c>
      <c r="C8382" s="21" t="s">
        <v>22682</v>
      </c>
      <c r="D8382" s="22">
        <v>46034</v>
      </c>
      <c r="E8382" s="23" t="s">
        <v>22658</v>
      </c>
      <c r="F8382" s="24" t="s">
        <v>22657</v>
      </c>
      <c r="G8382" s="25">
        <v>4</v>
      </c>
      <c r="H8382" s="26"/>
      <c r="I8382" s="27"/>
    </row>
    <row r="8383" spans="1:9" ht="15.75" thickBot="1" x14ac:dyDescent="0.3">
      <c r="A8383" s="43" t="s">
        <v>17184</v>
      </c>
      <c r="B8383" s="21" t="s">
        <v>17185</v>
      </c>
      <c r="C8383" s="21" t="s">
        <v>22682</v>
      </c>
      <c r="D8383" s="22">
        <v>46034</v>
      </c>
      <c r="E8383" s="23" t="s">
        <v>22656</v>
      </c>
      <c r="F8383" s="24" t="s">
        <v>22657</v>
      </c>
      <c r="G8383" s="25">
        <v>4</v>
      </c>
      <c r="H8383" s="29"/>
      <c r="I8383" s="30"/>
    </row>
    <row r="8384" spans="1:9" ht="15.75" thickBot="1" x14ac:dyDescent="0.3">
      <c r="A8384" s="43" t="s">
        <v>17186</v>
      </c>
      <c r="B8384" s="21" t="s">
        <v>17187</v>
      </c>
      <c r="C8384" s="21" t="s">
        <v>22682</v>
      </c>
      <c r="D8384" s="22">
        <v>46034</v>
      </c>
      <c r="E8384" s="23" t="s">
        <v>22656</v>
      </c>
      <c r="F8384" s="24" t="s">
        <v>22657</v>
      </c>
      <c r="G8384" s="25">
        <v>4</v>
      </c>
      <c r="H8384" s="26"/>
      <c r="I8384" s="27"/>
    </row>
    <row r="8385" spans="1:9" ht="15.75" thickBot="1" x14ac:dyDescent="0.3">
      <c r="A8385" s="43" t="s">
        <v>17188</v>
      </c>
      <c r="B8385" s="21" t="s">
        <v>17189</v>
      </c>
      <c r="C8385" s="21" t="s">
        <v>22682</v>
      </c>
      <c r="D8385" s="22">
        <v>46034</v>
      </c>
      <c r="E8385" s="23" t="s">
        <v>22658</v>
      </c>
      <c r="F8385" s="24" t="s">
        <v>22657</v>
      </c>
      <c r="G8385" s="25">
        <v>4</v>
      </c>
      <c r="H8385" s="29"/>
      <c r="I8385" s="30"/>
    </row>
    <row r="8386" spans="1:9" ht="15.75" thickBot="1" x14ac:dyDescent="0.3">
      <c r="A8386" s="43" t="s">
        <v>17190</v>
      </c>
      <c r="B8386" s="21" t="s">
        <v>17191</v>
      </c>
      <c r="C8386" s="21" t="s">
        <v>22682</v>
      </c>
      <c r="D8386" s="22">
        <v>46034</v>
      </c>
      <c r="E8386" s="23" t="s">
        <v>22658</v>
      </c>
      <c r="F8386" s="24" t="s">
        <v>22657</v>
      </c>
      <c r="G8386" s="25">
        <v>4</v>
      </c>
      <c r="H8386" s="26"/>
      <c r="I8386" s="27"/>
    </row>
    <row r="8387" spans="1:9" ht="15.75" thickBot="1" x14ac:dyDescent="0.3">
      <c r="A8387" s="43" t="s">
        <v>17192</v>
      </c>
      <c r="B8387" s="21" t="s">
        <v>17193</v>
      </c>
      <c r="C8387" s="21" t="s">
        <v>22655</v>
      </c>
      <c r="D8387" s="31" t="s">
        <v>22669</v>
      </c>
      <c r="E8387" s="23" t="s">
        <v>22656</v>
      </c>
      <c r="F8387" s="24" t="s">
        <v>22657</v>
      </c>
      <c r="G8387" s="25">
        <v>4</v>
      </c>
      <c r="H8387" s="29"/>
      <c r="I8387" s="30"/>
    </row>
    <row r="8388" spans="1:9" ht="15.75" thickBot="1" x14ac:dyDescent="0.3">
      <c r="A8388" s="43" t="s">
        <v>17194</v>
      </c>
      <c r="B8388" s="21" t="s">
        <v>17195</v>
      </c>
      <c r="C8388" s="21" t="s">
        <v>22655</v>
      </c>
      <c r="D8388" s="31" t="s">
        <v>22683</v>
      </c>
      <c r="E8388" s="23" t="s">
        <v>22656</v>
      </c>
      <c r="F8388" s="24" t="s">
        <v>22657</v>
      </c>
      <c r="G8388" s="25">
        <v>7</v>
      </c>
      <c r="H8388" s="26"/>
      <c r="I8388" s="27"/>
    </row>
    <row r="8389" spans="1:9" ht="15.75" thickBot="1" x14ac:dyDescent="0.3">
      <c r="A8389" s="43" t="s">
        <v>17196</v>
      </c>
      <c r="B8389" s="21" t="s">
        <v>17197</v>
      </c>
      <c r="C8389" s="21" t="s">
        <v>22655</v>
      </c>
      <c r="D8389" s="31" t="s">
        <v>22673</v>
      </c>
      <c r="E8389" s="23" t="s">
        <v>22656</v>
      </c>
      <c r="F8389" s="24" t="s">
        <v>22657</v>
      </c>
      <c r="G8389" s="25">
        <v>4</v>
      </c>
      <c r="H8389" s="29"/>
      <c r="I8389" s="30"/>
    </row>
    <row r="8390" spans="1:9" ht="15.75" thickBot="1" x14ac:dyDescent="0.3">
      <c r="A8390" s="43" t="s">
        <v>17198</v>
      </c>
      <c r="B8390" s="21" t="s">
        <v>17199</v>
      </c>
      <c r="C8390" s="21" t="s">
        <v>22655</v>
      </c>
      <c r="D8390" s="31" t="s">
        <v>22683</v>
      </c>
      <c r="E8390" s="23" t="s">
        <v>22656</v>
      </c>
      <c r="F8390" s="24" t="s">
        <v>22657</v>
      </c>
      <c r="G8390" s="25">
        <v>7</v>
      </c>
      <c r="H8390" s="26"/>
      <c r="I8390" s="27"/>
    </row>
    <row r="8391" spans="1:9" ht="15.75" thickBot="1" x14ac:dyDescent="0.3">
      <c r="A8391" s="43" t="s">
        <v>17200</v>
      </c>
      <c r="B8391" s="21" t="s">
        <v>17201</v>
      </c>
      <c r="C8391" s="21" t="s">
        <v>22667</v>
      </c>
      <c r="D8391" s="31" t="s">
        <v>22721</v>
      </c>
      <c r="E8391" s="23" t="s">
        <v>22656</v>
      </c>
      <c r="F8391" s="24" t="s">
        <v>22657</v>
      </c>
      <c r="G8391" s="25">
        <v>4</v>
      </c>
      <c r="H8391" s="29"/>
      <c r="I8391" s="30"/>
    </row>
    <row r="8392" spans="1:9" ht="15.75" thickBot="1" x14ac:dyDescent="0.3">
      <c r="A8392" s="43" t="s">
        <v>17202</v>
      </c>
      <c r="B8392" s="21" t="s">
        <v>17203</v>
      </c>
      <c r="C8392" s="21" t="s">
        <v>22655</v>
      </c>
      <c r="D8392" s="31" t="s">
        <v>22673</v>
      </c>
      <c r="E8392" s="23" t="s">
        <v>22656</v>
      </c>
      <c r="F8392" s="24" t="s">
        <v>22657</v>
      </c>
      <c r="G8392" s="25">
        <v>7</v>
      </c>
      <c r="H8392" s="26"/>
      <c r="I8392" s="27"/>
    </row>
    <row r="8393" spans="1:9" ht="15.75" thickBot="1" x14ac:dyDescent="0.3">
      <c r="A8393" s="43" t="s">
        <v>17204</v>
      </c>
      <c r="B8393" s="21" t="s">
        <v>17205</v>
      </c>
      <c r="C8393" s="21" t="s">
        <v>22655</v>
      </c>
      <c r="D8393" s="22">
        <v>46028</v>
      </c>
      <c r="E8393" s="23" t="s">
        <v>22656</v>
      </c>
      <c r="F8393" s="24" t="s">
        <v>22657</v>
      </c>
      <c r="G8393" s="25">
        <v>2</v>
      </c>
      <c r="H8393" s="29"/>
      <c r="I8393" s="30"/>
    </row>
    <row r="8394" spans="1:9" ht="15.75" thickBot="1" x14ac:dyDescent="0.3">
      <c r="A8394" s="43" t="s">
        <v>17206</v>
      </c>
      <c r="B8394" s="21" t="s">
        <v>17207</v>
      </c>
      <c r="C8394" s="21" t="s">
        <v>22663</v>
      </c>
      <c r="D8394" s="31">
        <v>1</v>
      </c>
      <c r="E8394" s="23" t="s">
        <v>22656</v>
      </c>
      <c r="F8394" s="24" t="s">
        <v>22657</v>
      </c>
      <c r="G8394" s="25">
        <v>2</v>
      </c>
      <c r="H8394" s="26"/>
      <c r="I8394" s="27"/>
    </row>
    <row r="8395" spans="1:9" ht="15.75" thickBot="1" x14ac:dyDescent="0.3">
      <c r="A8395" s="43" t="s">
        <v>17208</v>
      </c>
      <c r="B8395" s="21" t="s">
        <v>17209</v>
      </c>
      <c r="C8395" s="21" t="s">
        <v>22663</v>
      </c>
      <c r="D8395" s="31">
        <v>1</v>
      </c>
      <c r="E8395" s="23" t="s">
        <v>22658</v>
      </c>
      <c r="F8395" s="24" t="s">
        <v>22657</v>
      </c>
      <c r="G8395" s="25">
        <v>1</v>
      </c>
      <c r="H8395" s="29"/>
      <c r="I8395" s="30"/>
    </row>
    <row r="8396" spans="1:9" ht="15.75" thickBot="1" x14ac:dyDescent="0.3">
      <c r="A8396" s="43" t="s">
        <v>227</v>
      </c>
      <c r="B8396" s="21" t="s">
        <v>228</v>
      </c>
      <c r="C8396" s="21" t="s">
        <v>22663</v>
      </c>
      <c r="D8396" s="31">
        <v>1</v>
      </c>
      <c r="E8396" s="23" t="s">
        <v>22658</v>
      </c>
      <c r="F8396" s="24" t="s">
        <v>22657</v>
      </c>
      <c r="G8396" s="25">
        <v>1</v>
      </c>
      <c r="H8396" s="26"/>
      <c r="I8396" s="27"/>
    </row>
    <row r="8397" spans="1:9" ht="15.75" thickBot="1" x14ac:dyDescent="0.3">
      <c r="A8397" s="43" t="s">
        <v>17210</v>
      </c>
      <c r="B8397" s="21" t="s">
        <v>17211</v>
      </c>
      <c r="C8397" s="21" t="s">
        <v>22663</v>
      </c>
      <c r="D8397" s="31">
        <v>1</v>
      </c>
      <c r="E8397" s="23" t="s">
        <v>22656</v>
      </c>
      <c r="F8397" s="24" t="s">
        <v>22657</v>
      </c>
      <c r="G8397" s="25">
        <v>2</v>
      </c>
      <c r="H8397" s="29"/>
      <c r="I8397" s="30"/>
    </row>
    <row r="8398" spans="1:9" ht="15.75" thickBot="1" x14ac:dyDescent="0.3">
      <c r="A8398" s="43" t="s">
        <v>1757</v>
      </c>
      <c r="B8398" s="21" t="s">
        <v>1758</v>
      </c>
      <c r="C8398" s="21" t="s">
        <v>22655</v>
      </c>
      <c r="D8398" s="22">
        <v>46037</v>
      </c>
      <c r="E8398" s="23" t="s">
        <v>22656</v>
      </c>
      <c r="F8398" s="24" t="s">
        <v>22657</v>
      </c>
      <c r="G8398" s="25">
        <v>5</v>
      </c>
      <c r="H8398" s="26"/>
      <c r="I8398" s="27"/>
    </row>
    <row r="8399" spans="1:9" ht="15.75" thickBot="1" x14ac:dyDescent="0.3">
      <c r="A8399" s="43" t="s">
        <v>17212</v>
      </c>
      <c r="B8399" s="21" t="s">
        <v>17213</v>
      </c>
      <c r="C8399" s="21" t="s">
        <v>22682</v>
      </c>
      <c r="D8399" s="22">
        <v>46034</v>
      </c>
      <c r="E8399" s="23" t="s">
        <v>22658</v>
      </c>
      <c r="F8399" s="24" t="s">
        <v>22657</v>
      </c>
      <c r="G8399" s="25">
        <v>4</v>
      </c>
      <c r="H8399" s="29"/>
      <c r="I8399" s="30"/>
    </row>
    <row r="8400" spans="1:9" ht="15.75" thickBot="1" x14ac:dyDescent="0.3">
      <c r="A8400" s="43" t="s">
        <v>17214</v>
      </c>
      <c r="B8400" s="21" t="s">
        <v>17215</v>
      </c>
      <c r="C8400" s="21" t="s">
        <v>22682</v>
      </c>
      <c r="D8400" s="22">
        <v>46034</v>
      </c>
      <c r="E8400" s="23" t="s">
        <v>22658</v>
      </c>
      <c r="F8400" s="24" t="s">
        <v>22657</v>
      </c>
      <c r="G8400" s="25">
        <v>4</v>
      </c>
      <c r="H8400" s="26"/>
      <c r="I8400" s="27"/>
    </row>
    <row r="8401" spans="1:9" ht="15.75" thickBot="1" x14ac:dyDescent="0.3">
      <c r="A8401" s="43" t="s">
        <v>17216</v>
      </c>
      <c r="B8401" s="21" t="s">
        <v>17217</v>
      </c>
      <c r="C8401" s="21" t="s">
        <v>22682</v>
      </c>
      <c r="D8401" s="22">
        <v>46034</v>
      </c>
      <c r="E8401" s="23" t="s">
        <v>22658</v>
      </c>
      <c r="F8401" s="24" t="s">
        <v>22657</v>
      </c>
      <c r="G8401" s="25">
        <v>4</v>
      </c>
      <c r="H8401" s="29"/>
      <c r="I8401" s="30"/>
    </row>
    <row r="8402" spans="1:9" ht="15.75" thickBot="1" x14ac:dyDescent="0.3">
      <c r="A8402" s="43" t="s">
        <v>17218</v>
      </c>
      <c r="B8402" s="21" t="s">
        <v>17219</v>
      </c>
      <c r="C8402" s="21" t="s">
        <v>22682</v>
      </c>
      <c r="D8402" s="22">
        <v>46034</v>
      </c>
      <c r="E8402" s="23" t="s">
        <v>22658</v>
      </c>
      <c r="F8402" s="24" t="s">
        <v>22657</v>
      </c>
      <c r="G8402" s="25">
        <v>4</v>
      </c>
      <c r="H8402" s="26"/>
      <c r="I8402" s="27"/>
    </row>
    <row r="8403" spans="1:9" ht="15.75" thickBot="1" x14ac:dyDescent="0.3">
      <c r="A8403" s="43" t="s">
        <v>17220</v>
      </c>
      <c r="B8403" s="21" t="s">
        <v>17221</v>
      </c>
      <c r="C8403" s="21" t="s">
        <v>22682</v>
      </c>
      <c r="D8403" s="22">
        <v>46034</v>
      </c>
      <c r="E8403" s="23" t="s">
        <v>22658</v>
      </c>
      <c r="F8403" s="24" t="s">
        <v>22657</v>
      </c>
      <c r="G8403" s="25">
        <v>4</v>
      </c>
      <c r="H8403" s="29"/>
      <c r="I8403" s="30"/>
    </row>
    <row r="8404" spans="1:9" ht="15.75" thickBot="1" x14ac:dyDescent="0.3">
      <c r="A8404" s="43" t="s">
        <v>17222</v>
      </c>
      <c r="B8404" s="21" t="s">
        <v>17223</v>
      </c>
      <c r="C8404" s="21" t="s">
        <v>22682</v>
      </c>
      <c r="D8404" s="22">
        <v>46034</v>
      </c>
      <c r="E8404" s="23" t="s">
        <v>22658</v>
      </c>
      <c r="F8404" s="24" t="s">
        <v>22657</v>
      </c>
      <c r="G8404" s="25">
        <v>4</v>
      </c>
      <c r="H8404" s="26"/>
      <c r="I8404" s="27"/>
    </row>
    <row r="8405" spans="1:9" ht="15.75" thickBot="1" x14ac:dyDescent="0.3">
      <c r="A8405" s="43" t="s">
        <v>17224</v>
      </c>
      <c r="B8405" s="21" t="s">
        <v>17225</v>
      </c>
      <c r="C8405" s="21" t="s">
        <v>22682</v>
      </c>
      <c r="D8405" s="22">
        <v>46034</v>
      </c>
      <c r="E8405" s="23" t="s">
        <v>22658</v>
      </c>
      <c r="F8405" s="24" t="s">
        <v>22657</v>
      </c>
      <c r="G8405" s="25">
        <v>4</v>
      </c>
      <c r="H8405" s="29"/>
      <c r="I8405" s="30"/>
    </row>
    <row r="8406" spans="1:9" ht="15.75" thickBot="1" x14ac:dyDescent="0.3">
      <c r="A8406" s="43" t="s">
        <v>17226</v>
      </c>
      <c r="B8406" s="21" t="s">
        <v>17227</v>
      </c>
      <c r="C8406" s="21" t="s">
        <v>22682</v>
      </c>
      <c r="D8406" s="22">
        <v>46034</v>
      </c>
      <c r="E8406" s="23" t="s">
        <v>22658</v>
      </c>
      <c r="F8406" s="24" t="s">
        <v>22657</v>
      </c>
      <c r="G8406" s="25">
        <v>4</v>
      </c>
      <c r="H8406" s="26"/>
      <c r="I8406" s="27"/>
    </row>
    <row r="8407" spans="1:9" ht="15.75" thickBot="1" x14ac:dyDescent="0.3">
      <c r="A8407" s="43" t="s">
        <v>17228</v>
      </c>
      <c r="B8407" s="21" t="s">
        <v>17229</v>
      </c>
      <c r="C8407" s="21" t="s">
        <v>22682</v>
      </c>
      <c r="D8407" s="22">
        <v>46034</v>
      </c>
      <c r="E8407" s="23" t="s">
        <v>22658</v>
      </c>
      <c r="F8407" s="24" t="s">
        <v>22657</v>
      </c>
      <c r="G8407" s="25">
        <v>4</v>
      </c>
      <c r="H8407" s="29"/>
      <c r="I8407" s="30"/>
    </row>
    <row r="8408" spans="1:9" ht="15.75" thickBot="1" x14ac:dyDescent="0.3">
      <c r="A8408" s="43" t="s">
        <v>17230</v>
      </c>
      <c r="B8408" s="21" t="s">
        <v>17231</v>
      </c>
      <c r="C8408" s="21" t="s">
        <v>22682</v>
      </c>
      <c r="D8408" s="22">
        <v>46034</v>
      </c>
      <c r="E8408" s="23" t="s">
        <v>22658</v>
      </c>
      <c r="F8408" s="24" t="s">
        <v>22657</v>
      </c>
      <c r="G8408" s="25">
        <v>4</v>
      </c>
      <c r="H8408" s="26"/>
      <c r="I8408" s="27"/>
    </row>
    <row r="8409" spans="1:9" ht="15.75" thickBot="1" x14ac:dyDescent="0.3">
      <c r="A8409" s="43" t="s">
        <v>17232</v>
      </c>
      <c r="B8409" s="21" t="s">
        <v>17233</v>
      </c>
      <c r="C8409" s="21" t="s">
        <v>22682</v>
      </c>
      <c r="D8409" s="22">
        <v>46034</v>
      </c>
      <c r="E8409" s="23" t="s">
        <v>22658</v>
      </c>
      <c r="F8409" s="24" t="s">
        <v>22657</v>
      </c>
      <c r="G8409" s="25">
        <v>4</v>
      </c>
      <c r="H8409" s="29"/>
      <c r="I8409" s="30"/>
    </row>
    <row r="8410" spans="1:9" ht="15.75" thickBot="1" x14ac:dyDescent="0.3">
      <c r="A8410" s="43" t="s">
        <v>17234</v>
      </c>
      <c r="B8410" s="21" t="s">
        <v>17235</v>
      </c>
      <c r="C8410" s="21" t="s">
        <v>22682</v>
      </c>
      <c r="D8410" s="22">
        <v>46034</v>
      </c>
      <c r="E8410" s="23" t="s">
        <v>22656</v>
      </c>
      <c r="F8410" s="24" t="s">
        <v>22657</v>
      </c>
      <c r="G8410" s="25">
        <v>4</v>
      </c>
      <c r="H8410" s="26"/>
      <c r="I8410" s="27"/>
    </row>
    <row r="8411" spans="1:9" ht="15.75" thickBot="1" x14ac:dyDescent="0.3">
      <c r="A8411" s="43" t="s">
        <v>17236</v>
      </c>
      <c r="B8411" s="21" t="s">
        <v>17237</v>
      </c>
      <c r="C8411" s="21" t="s">
        <v>22682</v>
      </c>
      <c r="D8411" s="22">
        <v>46034</v>
      </c>
      <c r="E8411" s="23" t="s">
        <v>22658</v>
      </c>
      <c r="F8411" s="24" t="s">
        <v>22657</v>
      </c>
      <c r="G8411" s="25">
        <v>4</v>
      </c>
      <c r="H8411" s="29"/>
      <c r="I8411" s="30"/>
    </row>
    <row r="8412" spans="1:9" ht="15.75" thickBot="1" x14ac:dyDescent="0.3">
      <c r="A8412" s="43" t="s">
        <v>17238</v>
      </c>
      <c r="B8412" s="21" t="s">
        <v>17239</v>
      </c>
      <c r="C8412" s="21" t="s">
        <v>22682</v>
      </c>
      <c r="D8412" s="22">
        <v>46034</v>
      </c>
      <c r="E8412" s="23" t="s">
        <v>22658</v>
      </c>
      <c r="F8412" s="24" t="s">
        <v>22657</v>
      </c>
      <c r="G8412" s="25">
        <v>4</v>
      </c>
      <c r="H8412" s="26"/>
      <c r="I8412" s="27"/>
    </row>
    <row r="8413" spans="1:9" ht="15.75" thickBot="1" x14ac:dyDescent="0.3">
      <c r="A8413" s="43" t="s">
        <v>17240</v>
      </c>
      <c r="B8413" s="21" t="s">
        <v>17241</v>
      </c>
      <c r="C8413" s="21" t="s">
        <v>22682</v>
      </c>
      <c r="D8413" s="22">
        <v>46034</v>
      </c>
      <c r="E8413" s="23" t="s">
        <v>22658</v>
      </c>
      <c r="F8413" s="24" t="s">
        <v>22657</v>
      </c>
      <c r="G8413" s="25">
        <v>4</v>
      </c>
      <c r="H8413" s="29"/>
      <c r="I8413" s="30"/>
    </row>
    <row r="8414" spans="1:9" ht="15.75" thickBot="1" x14ac:dyDescent="0.3">
      <c r="A8414" s="43" t="s">
        <v>17242</v>
      </c>
      <c r="B8414" s="21" t="s">
        <v>17243</v>
      </c>
      <c r="C8414" s="21" t="s">
        <v>22682</v>
      </c>
      <c r="D8414" s="22">
        <v>46034</v>
      </c>
      <c r="E8414" s="23" t="s">
        <v>22658</v>
      </c>
      <c r="F8414" s="24" t="s">
        <v>22657</v>
      </c>
      <c r="G8414" s="25">
        <v>4</v>
      </c>
      <c r="H8414" s="26"/>
      <c r="I8414" s="27"/>
    </row>
    <row r="8415" spans="1:9" ht="15.75" thickBot="1" x14ac:dyDescent="0.3">
      <c r="A8415" s="43" t="s">
        <v>17244</v>
      </c>
      <c r="B8415" s="21" t="s">
        <v>17245</v>
      </c>
      <c r="C8415" s="21" t="s">
        <v>22682</v>
      </c>
      <c r="D8415" s="22">
        <v>46034</v>
      </c>
      <c r="E8415" s="23" t="s">
        <v>22658</v>
      </c>
      <c r="F8415" s="24" t="s">
        <v>22657</v>
      </c>
      <c r="G8415" s="25">
        <v>4</v>
      </c>
      <c r="H8415" s="29"/>
      <c r="I8415" s="30"/>
    </row>
    <row r="8416" spans="1:9" ht="15.75" thickBot="1" x14ac:dyDescent="0.3">
      <c r="A8416" s="43" t="s">
        <v>17246</v>
      </c>
      <c r="B8416" s="21" t="s">
        <v>17247</v>
      </c>
      <c r="C8416" s="21" t="s">
        <v>22682</v>
      </c>
      <c r="D8416" s="22">
        <v>46034</v>
      </c>
      <c r="E8416" s="23" t="s">
        <v>22658</v>
      </c>
      <c r="F8416" s="24" t="s">
        <v>22657</v>
      </c>
      <c r="G8416" s="25">
        <v>4</v>
      </c>
      <c r="H8416" s="26"/>
      <c r="I8416" s="27"/>
    </row>
    <row r="8417" spans="1:9" ht="15.75" thickBot="1" x14ac:dyDescent="0.3">
      <c r="A8417" s="43" t="s">
        <v>17248</v>
      </c>
      <c r="B8417" s="21" t="s">
        <v>17249</v>
      </c>
      <c r="C8417" s="21" t="s">
        <v>22682</v>
      </c>
      <c r="D8417" s="22">
        <v>46034</v>
      </c>
      <c r="E8417" s="23" t="s">
        <v>22658</v>
      </c>
      <c r="F8417" s="24" t="s">
        <v>22657</v>
      </c>
      <c r="G8417" s="25">
        <v>4</v>
      </c>
      <c r="H8417" s="29"/>
      <c r="I8417" s="30"/>
    </row>
    <row r="8418" spans="1:9" ht="15.75" thickBot="1" x14ac:dyDescent="0.3">
      <c r="A8418" s="43" t="s">
        <v>17250</v>
      </c>
      <c r="B8418" s="21" t="s">
        <v>17251</v>
      </c>
      <c r="C8418" s="21" t="s">
        <v>22682</v>
      </c>
      <c r="D8418" s="22">
        <v>46034</v>
      </c>
      <c r="E8418" s="23" t="s">
        <v>22658</v>
      </c>
      <c r="F8418" s="24" t="s">
        <v>22657</v>
      </c>
      <c r="G8418" s="25">
        <v>4</v>
      </c>
      <c r="H8418" s="26"/>
      <c r="I8418" s="27"/>
    </row>
    <row r="8419" spans="1:9" ht="15.75" thickBot="1" x14ac:dyDescent="0.3">
      <c r="A8419" s="43" t="s">
        <v>17252</v>
      </c>
      <c r="B8419" s="21" t="s">
        <v>17253</v>
      </c>
      <c r="C8419" s="21" t="s">
        <v>22682</v>
      </c>
      <c r="D8419" s="22">
        <v>46034</v>
      </c>
      <c r="E8419" s="23" t="s">
        <v>22658</v>
      </c>
      <c r="F8419" s="24" t="s">
        <v>22657</v>
      </c>
      <c r="G8419" s="25">
        <v>4</v>
      </c>
      <c r="H8419" s="29"/>
      <c r="I8419" s="30"/>
    </row>
    <row r="8420" spans="1:9" ht="15.75" thickBot="1" x14ac:dyDescent="0.3">
      <c r="A8420" s="43" t="s">
        <v>17254</v>
      </c>
      <c r="B8420" s="21" t="s">
        <v>17255</v>
      </c>
      <c r="C8420" s="21" t="s">
        <v>22682</v>
      </c>
      <c r="D8420" s="22">
        <v>46034</v>
      </c>
      <c r="E8420" s="23" t="s">
        <v>22658</v>
      </c>
      <c r="F8420" s="24" t="s">
        <v>22657</v>
      </c>
      <c r="G8420" s="25">
        <v>4</v>
      </c>
      <c r="H8420" s="26"/>
      <c r="I8420" s="27"/>
    </row>
    <row r="8421" spans="1:9" ht="15.75" thickBot="1" x14ac:dyDescent="0.3">
      <c r="A8421" s="43" t="s">
        <v>17256</v>
      </c>
      <c r="B8421" s="21" t="s">
        <v>17257</v>
      </c>
      <c r="C8421" s="21" t="s">
        <v>22682</v>
      </c>
      <c r="D8421" s="22">
        <v>46034</v>
      </c>
      <c r="E8421" s="23" t="s">
        <v>22656</v>
      </c>
      <c r="F8421" s="24" t="s">
        <v>22657</v>
      </c>
      <c r="G8421" s="25">
        <v>4</v>
      </c>
      <c r="H8421" s="29"/>
      <c r="I8421" s="30"/>
    </row>
    <row r="8422" spans="1:9" ht="15.75" thickBot="1" x14ac:dyDescent="0.3">
      <c r="A8422" s="43" t="s">
        <v>17258</v>
      </c>
      <c r="B8422" s="21" t="s">
        <v>17259</v>
      </c>
      <c r="C8422" s="21" t="s">
        <v>22682</v>
      </c>
      <c r="D8422" s="22">
        <v>46034</v>
      </c>
      <c r="E8422" s="23" t="s">
        <v>22658</v>
      </c>
      <c r="F8422" s="24" t="s">
        <v>22657</v>
      </c>
      <c r="G8422" s="25">
        <v>4</v>
      </c>
      <c r="H8422" s="26"/>
      <c r="I8422" s="27"/>
    </row>
    <row r="8423" spans="1:9" ht="15.75" thickBot="1" x14ac:dyDescent="0.3">
      <c r="A8423" s="43" t="s">
        <v>17260</v>
      </c>
      <c r="B8423" s="21" t="s">
        <v>17261</v>
      </c>
      <c r="C8423" s="21" t="s">
        <v>22682</v>
      </c>
      <c r="D8423" s="22">
        <v>46034</v>
      </c>
      <c r="E8423" s="23" t="s">
        <v>22658</v>
      </c>
      <c r="F8423" s="24" t="s">
        <v>22657</v>
      </c>
      <c r="G8423" s="25">
        <v>4</v>
      </c>
      <c r="H8423" s="29"/>
      <c r="I8423" s="30"/>
    </row>
    <row r="8424" spans="1:9" ht="15.75" thickBot="1" x14ac:dyDescent="0.3">
      <c r="A8424" s="43" t="s">
        <v>17262</v>
      </c>
      <c r="B8424" s="21" t="s">
        <v>17263</v>
      </c>
      <c r="C8424" s="21" t="s">
        <v>22682</v>
      </c>
      <c r="D8424" s="22">
        <v>46034</v>
      </c>
      <c r="E8424" s="23" t="s">
        <v>22656</v>
      </c>
      <c r="F8424" s="24" t="s">
        <v>22657</v>
      </c>
      <c r="G8424" s="25">
        <v>4</v>
      </c>
      <c r="H8424" s="26"/>
      <c r="I8424" s="27"/>
    </row>
    <row r="8425" spans="1:9" ht="15.75" thickBot="1" x14ac:dyDescent="0.3">
      <c r="A8425" s="43" t="s">
        <v>17264</v>
      </c>
      <c r="B8425" s="21" t="s">
        <v>17265</v>
      </c>
      <c r="C8425" s="21" t="s">
        <v>22682</v>
      </c>
      <c r="D8425" s="22">
        <v>46034</v>
      </c>
      <c r="E8425" s="23" t="s">
        <v>22658</v>
      </c>
      <c r="F8425" s="24" t="s">
        <v>22657</v>
      </c>
      <c r="G8425" s="25">
        <v>4</v>
      </c>
      <c r="H8425" s="29"/>
      <c r="I8425" s="30"/>
    </row>
    <row r="8426" spans="1:9" ht="15.75" thickBot="1" x14ac:dyDescent="0.3">
      <c r="A8426" s="43" t="s">
        <v>17266</v>
      </c>
      <c r="B8426" s="21" t="s">
        <v>17267</v>
      </c>
      <c r="C8426" s="21" t="s">
        <v>22655</v>
      </c>
      <c r="D8426" s="22">
        <v>46042</v>
      </c>
      <c r="E8426" s="23" t="s">
        <v>22658</v>
      </c>
      <c r="F8426" s="24" t="s">
        <v>22657</v>
      </c>
      <c r="G8426" s="25">
        <v>7</v>
      </c>
      <c r="H8426" s="26"/>
      <c r="I8426" s="27"/>
    </row>
    <row r="8427" spans="1:9" ht="15.75" thickBot="1" x14ac:dyDescent="0.3">
      <c r="A8427" s="43" t="s">
        <v>17268</v>
      </c>
      <c r="B8427" s="21" t="s">
        <v>17269</v>
      </c>
      <c r="C8427" s="21" t="s">
        <v>22663</v>
      </c>
      <c r="D8427" s="31">
        <v>1</v>
      </c>
      <c r="E8427" s="23" t="s">
        <v>22658</v>
      </c>
      <c r="F8427" s="24" t="s">
        <v>22657</v>
      </c>
      <c r="G8427" s="25">
        <v>2</v>
      </c>
      <c r="H8427" s="29"/>
      <c r="I8427" s="30"/>
    </row>
    <row r="8428" spans="1:9" ht="15.75" thickBot="1" x14ac:dyDescent="0.3">
      <c r="A8428" s="43" t="s">
        <v>17270</v>
      </c>
      <c r="B8428" s="21" t="s">
        <v>17271</v>
      </c>
      <c r="C8428" s="21" t="s">
        <v>22698</v>
      </c>
      <c r="D8428" s="31">
        <v>1</v>
      </c>
      <c r="E8428" s="23" t="s">
        <v>22658</v>
      </c>
      <c r="F8428" s="24" t="s">
        <v>22657</v>
      </c>
      <c r="G8428" s="25">
        <v>1</v>
      </c>
      <c r="H8428" s="26"/>
      <c r="I8428" s="27"/>
    </row>
    <row r="8429" spans="1:9" ht="15.75" thickBot="1" x14ac:dyDescent="0.3">
      <c r="A8429" s="43" t="s">
        <v>17272</v>
      </c>
      <c r="B8429" s="21" t="s">
        <v>17273</v>
      </c>
      <c r="C8429" s="21" t="s">
        <v>22663</v>
      </c>
      <c r="D8429" s="31">
        <v>1</v>
      </c>
      <c r="E8429" s="23" t="s">
        <v>22658</v>
      </c>
      <c r="F8429" s="24" t="s">
        <v>22657</v>
      </c>
      <c r="G8429" s="25">
        <v>2</v>
      </c>
      <c r="H8429" s="29"/>
      <c r="I8429" s="30"/>
    </row>
    <row r="8430" spans="1:9" ht="15.75" thickBot="1" x14ac:dyDescent="0.3">
      <c r="A8430" s="43" t="s">
        <v>17274</v>
      </c>
      <c r="B8430" s="21" t="s">
        <v>17275</v>
      </c>
      <c r="C8430" s="21" t="s">
        <v>22698</v>
      </c>
      <c r="D8430" s="31">
        <v>1</v>
      </c>
      <c r="E8430" s="23" t="s">
        <v>22658</v>
      </c>
      <c r="F8430" s="24" t="s">
        <v>22657</v>
      </c>
      <c r="G8430" s="25">
        <v>2</v>
      </c>
      <c r="H8430" s="26"/>
      <c r="I8430" s="27"/>
    </row>
    <row r="8431" spans="1:9" ht="15.75" thickBot="1" x14ac:dyDescent="0.3">
      <c r="A8431" s="43" t="s">
        <v>17276</v>
      </c>
      <c r="B8431" s="21" t="s">
        <v>17277</v>
      </c>
      <c r="C8431" s="21" t="s">
        <v>22663</v>
      </c>
      <c r="D8431" s="31">
        <v>1</v>
      </c>
      <c r="E8431" s="23" t="s">
        <v>22658</v>
      </c>
      <c r="F8431" s="24" t="s">
        <v>22657</v>
      </c>
      <c r="G8431" s="25">
        <v>2</v>
      </c>
      <c r="H8431" s="29"/>
      <c r="I8431" s="30"/>
    </row>
    <row r="8432" spans="1:9" ht="15.75" thickBot="1" x14ac:dyDescent="0.3">
      <c r="A8432" s="43" t="s">
        <v>17278</v>
      </c>
      <c r="B8432" s="21" t="s">
        <v>17279</v>
      </c>
      <c r="C8432" s="21" t="s">
        <v>22698</v>
      </c>
      <c r="D8432" s="31">
        <v>1</v>
      </c>
      <c r="E8432" s="23" t="s">
        <v>22658</v>
      </c>
      <c r="F8432" s="24" t="s">
        <v>22657</v>
      </c>
      <c r="G8432" s="25">
        <v>1</v>
      </c>
      <c r="H8432" s="26"/>
      <c r="I8432" s="27"/>
    </row>
    <row r="8433" spans="1:9" ht="15.75" thickBot="1" x14ac:dyDescent="0.3">
      <c r="A8433" s="43" t="s">
        <v>17280</v>
      </c>
      <c r="B8433" s="21" t="s">
        <v>17281</v>
      </c>
      <c r="C8433" s="21" t="s">
        <v>22663</v>
      </c>
      <c r="D8433" s="31">
        <v>1</v>
      </c>
      <c r="E8433" s="23" t="s">
        <v>22658</v>
      </c>
      <c r="F8433" s="24" t="s">
        <v>22657</v>
      </c>
      <c r="G8433" s="25">
        <v>2</v>
      </c>
      <c r="H8433" s="29"/>
      <c r="I8433" s="30"/>
    </row>
    <row r="8434" spans="1:9" ht="15.75" thickBot="1" x14ac:dyDescent="0.3">
      <c r="A8434" s="43" t="s">
        <v>17282</v>
      </c>
      <c r="B8434" s="21" t="s">
        <v>17283</v>
      </c>
      <c r="C8434" s="21" t="s">
        <v>22698</v>
      </c>
      <c r="D8434" s="31">
        <v>1</v>
      </c>
      <c r="E8434" s="23" t="s">
        <v>22658</v>
      </c>
      <c r="F8434" s="28" t="s">
        <v>22659</v>
      </c>
      <c r="G8434" s="25">
        <v>1</v>
      </c>
      <c r="H8434" s="26"/>
      <c r="I8434" s="27"/>
    </row>
    <row r="8435" spans="1:9" ht="15.75" thickBot="1" x14ac:dyDescent="0.3">
      <c r="A8435" s="43" t="s">
        <v>17284</v>
      </c>
      <c r="B8435" s="21" t="s">
        <v>17285</v>
      </c>
      <c r="C8435" s="21" t="s">
        <v>22663</v>
      </c>
      <c r="D8435" s="31">
        <v>1</v>
      </c>
      <c r="E8435" s="23" t="s">
        <v>22658</v>
      </c>
      <c r="F8435" s="24" t="s">
        <v>22657</v>
      </c>
      <c r="G8435" s="25">
        <v>2</v>
      </c>
      <c r="H8435" s="29"/>
      <c r="I8435" s="30"/>
    </row>
    <row r="8436" spans="1:9" ht="15.75" thickBot="1" x14ac:dyDescent="0.3">
      <c r="A8436" s="43" t="s">
        <v>17286</v>
      </c>
      <c r="B8436" s="21" t="s">
        <v>17287</v>
      </c>
      <c r="C8436" s="21" t="s">
        <v>22698</v>
      </c>
      <c r="D8436" s="31">
        <v>1</v>
      </c>
      <c r="E8436" s="23" t="s">
        <v>22658</v>
      </c>
      <c r="F8436" s="28" t="s">
        <v>22659</v>
      </c>
      <c r="G8436" s="25">
        <v>1</v>
      </c>
      <c r="H8436" s="26"/>
      <c r="I8436" s="27"/>
    </row>
    <row r="8437" spans="1:9" ht="15.75" thickBot="1" x14ac:dyDescent="0.3">
      <c r="A8437" s="43" t="s">
        <v>17288</v>
      </c>
      <c r="B8437" s="21" t="s">
        <v>17289</v>
      </c>
      <c r="C8437" s="21" t="s">
        <v>22663</v>
      </c>
      <c r="D8437" s="31">
        <v>1</v>
      </c>
      <c r="E8437" s="23" t="s">
        <v>22658</v>
      </c>
      <c r="F8437" s="24" t="s">
        <v>22657</v>
      </c>
      <c r="G8437" s="25">
        <v>2</v>
      </c>
      <c r="H8437" s="29"/>
      <c r="I8437" s="30"/>
    </row>
    <row r="8438" spans="1:9" ht="15.75" thickBot="1" x14ac:dyDescent="0.3">
      <c r="A8438" s="43" t="s">
        <v>17290</v>
      </c>
      <c r="B8438" s="21" t="s">
        <v>17291</v>
      </c>
      <c r="C8438" s="21" t="s">
        <v>22663</v>
      </c>
      <c r="D8438" s="31">
        <v>1</v>
      </c>
      <c r="E8438" s="23" t="s">
        <v>22658</v>
      </c>
      <c r="F8438" s="24" t="s">
        <v>22657</v>
      </c>
      <c r="G8438" s="25">
        <v>2</v>
      </c>
      <c r="H8438" s="26"/>
      <c r="I8438" s="27"/>
    </row>
    <row r="8439" spans="1:9" ht="15.75" thickBot="1" x14ac:dyDescent="0.3">
      <c r="A8439" s="43" t="s">
        <v>17292</v>
      </c>
      <c r="B8439" s="21" t="s">
        <v>17293</v>
      </c>
      <c r="C8439" s="21" t="s">
        <v>22861</v>
      </c>
      <c r="D8439" s="22">
        <v>46034</v>
      </c>
      <c r="E8439" s="23" t="s">
        <v>22658</v>
      </c>
      <c r="F8439" s="28" t="s">
        <v>22659</v>
      </c>
      <c r="G8439" s="25">
        <v>4</v>
      </c>
      <c r="H8439" s="29"/>
      <c r="I8439" s="30"/>
    </row>
    <row r="8440" spans="1:9" ht="15.75" thickBot="1" x14ac:dyDescent="0.3">
      <c r="A8440" s="43" t="s">
        <v>17294</v>
      </c>
      <c r="B8440" s="21" t="s">
        <v>17295</v>
      </c>
      <c r="C8440" s="21" t="s">
        <v>22663</v>
      </c>
      <c r="D8440" s="31">
        <v>1</v>
      </c>
      <c r="E8440" s="23" t="s">
        <v>22658</v>
      </c>
      <c r="F8440" s="24" t="s">
        <v>22657</v>
      </c>
      <c r="G8440" s="25">
        <v>2</v>
      </c>
      <c r="H8440" s="26"/>
      <c r="I8440" s="27"/>
    </row>
    <row r="8441" spans="1:9" ht="15.75" thickBot="1" x14ac:dyDescent="0.3">
      <c r="A8441" s="43" t="s">
        <v>17296</v>
      </c>
      <c r="B8441" s="21" t="s">
        <v>17297</v>
      </c>
      <c r="C8441" s="21" t="s">
        <v>22663</v>
      </c>
      <c r="D8441" s="31">
        <v>1</v>
      </c>
      <c r="E8441" s="23" t="s">
        <v>22658</v>
      </c>
      <c r="F8441" s="24" t="s">
        <v>22657</v>
      </c>
      <c r="G8441" s="25">
        <v>2</v>
      </c>
      <c r="H8441" s="29"/>
      <c r="I8441" s="30"/>
    </row>
    <row r="8442" spans="1:9" ht="15.75" thickBot="1" x14ac:dyDescent="0.3">
      <c r="A8442" s="43" t="s">
        <v>17298</v>
      </c>
      <c r="B8442" s="21" t="s">
        <v>17299</v>
      </c>
      <c r="C8442" s="21" t="s">
        <v>22663</v>
      </c>
      <c r="D8442" s="31">
        <v>1</v>
      </c>
      <c r="E8442" s="23" t="s">
        <v>22658</v>
      </c>
      <c r="F8442" s="24" t="s">
        <v>22657</v>
      </c>
      <c r="G8442" s="25">
        <v>2</v>
      </c>
      <c r="H8442" s="26"/>
      <c r="I8442" s="27"/>
    </row>
    <row r="8443" spans="1:9" ht="15.75" thickBot="1" x14ac:dyDescent="0.3">
      <c r="A8443" s="43" t="s">
        <v>17300</v>
      </c>
      <c r="B8443" s="21" t="s">
        <v>17301</v>
      </c>
      <c r="C8443" s="21" t="s">
        <v>22663</v>
      </c>
      <c r="D8443" s="31">
        <v>1</v>
      </c>
      <c r="E8443" s="23" t="s">
        <v>22658</v>
      </c>
      <c r="F8443" s="24" t="s">
        <v>22657</v>
      </c>
      <c r="G8443" s="25">
        <v>2</v>
      </c>
      <c r="H8443" s="29"/>
      <c r="I8443" s="30"/>
    </row>
    <row r="8444" spans="1:9" ht="15.75" thickBot="1" x14ac:dyDescent="0.3">
      <c r="A8444" s="43" t="s">
        <v>17302</v>
      </c>
      <c r="B8444" s="21" t="s">
        <v>17303</v>
      </c>
      <c r="C8444" s="21" t="s">
        <v>22663</v>
      </c>
      <c r="D8444" s="31">
        <v>1</v>
      </c>
      <c r="E8444" s="23" t="s">
        <v>22658</v>
      </c>
      <c r="F8444" s="24" t="s">
        <v>22657</v>
      </c>
      <c r="G8444" s="25">
        <v>2</v>
      </c>
      <c r="H8444" s="26"/>
      <c r="I8444" s="27"/>
    </row>
    <row r="8445" spans="1:9" ht="15.75" thickBot="1" x14ac:dyDescent="0.3">
      <c r="A8445" s="43" t="s">
        <v>17304</v>
      </c>
      <c r="B8445" s="21" t="s">
        <v>17305</v>
      </c>
      <c r="C8445" s="21" t="s">
        <v>22663</v>
      </c>
      <c r="D8445" s="31">
        <v>1</v>
      </c>
      <c r="E8445" s="23" t="s">
        <v>22658</v>
      </c>
      <c r="F8445" s="24" t="s">
        <v>22657</v>
      </c>
      <c r="G8445" s="25">
        <v>2</v>
      </c>
      <c r="H8445" s="29"/>
      <c r="I8445" s="30"/>
    </row>
    <row r="8446" spans="1:9" ht="15.75" thickBot="1" x14ac:dyDescent="0.3">
      <c r="A8446" s="43" t="s">
        <v>17306</v>
      </c>
      <c r="B8446" s="21" t="s">
        <v>17307</v>
      </c>
      <c r="C8446" s="21" t="s">
        <v>22663</v>
      </c>
      <c r="D8446" s="31">
        <v>1</v>
      </c>
      <c r="E8446" s="23" t="s">
        <v>22658</v>
      </c>
      <c r="F8446" s="24" t="s">
        <v>22657</v>
      </c>
      <c r="G8446" s="25">
        <v>2</v>
      </c>
      <c r="H8446" s="26"/>
      <c r="I8446" s="27"/>
    </row>
    <row r="8447" spans="1:9" ht="15.75" thickBot="1" x14ac:dyDescent="0.3">
      <c r="A8447" s="43" t="s">
        <v>17308</v>
      </c>
      <c r="B8447" s="21" t="s">
        <v>17309</v>
      </c>
      <c r="C8447" s="21" t="s">
        <v>22663</v>
      </c>
      <c r="D8447" s="31">
        <v>1</v>
      </c>
      <c r="E8447" s="23" t="s">
        <v>22658</v>
      </c>
      <c r="F8447" s="24" t="s">
        <v>22657</v>
      </c>
      <c r="G8447" s="25">
        <v>2</v>
      </c>
      <c r="H8447" s="29"/>
      <c r="I8447" s="30"/>
    </row>
    <row r="8448" spans="1:9" ht="15.75" thickBot="1" x14ac:dyDescent="0.3">
      <c r="A8448" s="43" t="s">
        <v>17310</v>
      </c>
      <c r="B8448" s="21" t="s">
        <v>17311</v>
      </c>
      <c r="C8448" s="21" t="s">
        <v>22682</v>
      </c>
      <c r="D8448" s="22">
        <v>46034</v>
      </c>
      <c r="E8448" s="23" t="s">
        <v>22656</v>
      </c>
      <c r="F8448" s="24" t="s">
        <v>22657</v>
      </c>
      <c r="G8448" s="25">
        <v>4</v>
      </c>
      <c r="H8448" s="26"/>
      <c r="I8448" s="27"/>
    </row>
    <row r="8449" spans="1:9" ht="15.75" thickBot="1" x14ac:dyDescent="0.3">
      <c r="A8449" s="43" t="s">
        <v>17312</v>
      </c>
      <c r="B8449" s="21" t="s">
        <v>17313</v>
      </c>
      <c r="C8449" s="21" t="s">
        <v>22682</v>
      </c>
      <c r="D8449" s="22">
        <v>46034</v>
      </c>
      <c r="E8449" s="23" t="s">
        <v>22656</v>
      </c>
      <c r="F8449" s="24" t="s">
        <v>22657</v>
      </c>
      <c r="G8449" s="25">
        <v>4</v>
      </c>
      <c r="H8449" s="29"/>
      <c r="I8449" s="30"/>
    </row>
    <row r="8450" spans="1:9" ht="15.75" thickBot="1" x14ac:dyDescent="0.3">
      <c r="A8450" s="43" t="s">
        <v>17316</v>
      </c>
      <c r="B8450" s="21" t="s">
        <v>17317</v>
      </c>
      <c r="C8450" s="21" t="s">
        <v>22861</v>
      </c>
      <c r="D8450" s="22">
        <v>46034</v>
      </c>
      <c r="E8450" s="23" t="s">
        <v>22658</v>
      </c>
      <c r="F8450" s="24" t="s">
        <v>22657</v>
      </c>
      <c r="G8450" s="25">
        <v>4</v>
      </c>
      <c r="H8450" s="26"/>
      <c r="I8450" s="27"/>
    </row>
    <row r="8451" spans="1:9" ht="15.75" thickBot="1" x14ac:dyDescent="0.3">
      <c r="A8451" s="43" t="s">
        <v>17318</v>
      </c>
      <c r="B8451" s="21" t="s">
        <v>17319</v>
      </c>
      <c r="C8451" s="21" t="s">
        <v>22663</v>
      </c>
      <c r="D8451" s="31">
        <v>1</v>
      </c>
      <c r="E8451" s="23" t="s">
        <v>22656</v>
      </c>
      <c r="F8451" s="24" t="s">
        <v>22657</v>
      </c>
      <c r="G8451" s="25">
        <v>2</v>
      </c>
      <c r="H8451" s="29"/>
      <c r="I8451" s="30"/>
    </row>
    <row r="8452" spans="1:9" ht="15.75" thickBot="1" x14ac:dyDescent="0.3">
      <c r="A8452" s="43" t="s">
        <v>17320</v>
      </c>
      <c r="B8452" s="21" t="s">
        <v>17321</v>
      </c>
      <c r="C8452" s="21" t="s">
        <v>22663</v>
      </c>
      <c r="D8452" s="31">
        <v>1</v>
      </c>
      <c r="E8452" s="23" t="s">
        <v>22658</v>
      </c>
      <c r="F8452" s="24" t="s">
        <v>22657</v>
      </c>
      <c r="G8452" s="25">
        <v>2</v>
      </c>
      <c r="H8452" s="26"/>
      <c r="I8452" s="27"/>
    </row>
    <row r="8453" spans="1:9" ht="15.75" thickBot="1" x14ac:dyDescent="0.3">
      <c r="A8453" s="43" t="s">
        <v>17322</v>
      </c>
      <c r="B8453" s="21" t="s">
        <v>17323</v>
      </c>
      <c r="C8453" s="21" t="s">
        <v>22861</v>
      </c>
      <c r="D8453" s="22">
        <v>46034</v>
      </c>
      <c r="E8453" s="23" t="s">
        <v>22658</v>
      </c>
      <c r="F8453" s="24" t="s">
        <v>22657</v>
      </c>
      <c r="G8453" s="25">
        <v>4</v>
      </c>
      <c r="H8453" s="29"/>
      <c r="I8453" s="30"/>
    </row>
    <row r="8454" spans="1:9" ht="15.75" thickBot="1" x14ac:dyDescent="0.3">
      <c r="A8454" s="43" t="s">
        <v>17324</v>
      </c>
      <c r="B8454" s="21" t="s">
        <v>17325</v>
      </c>
      <c r="C8454" s="21" t="s">
        <v>22663</v>
      </c>
      <c r="D8454" s="31">
        <v>1</v>
      </c>
      <c r="E8454" s="23" t="s">
        <v>22658</v>
      </c>
      <c r="F8454" s="24" t="s">
        <v>22657</v>
      </c>
      <c r="G8454" s="25">
        <v>2</v>
      </c>
      <c r="H8454" s="26"/>
      <c r="I8454" s="27"/>
    </row>
    <row r="8455" spans="1:9" ht="15.75" thickBot="1" x14ac:dyDescent="0.3">
      <c r="A8455" s="43" t="s">
        <v>17326</v>
      </c>
      <c r="B8455" s="21" t="s">
        <v>17327</v>
      </c>
      <c r="C8455" s="21" t="s">
        <v>22663</v>
      </c>
      <c r="D8455" s="31">
        <v>1</v>
      </c>
      <c r="E8455" s="23" t="s">
        <v>22658</v>
      </c>
      <c r="F8455" s="24" t="s">
        <v>22657</v>
      </c>
      <c r="G8455" s="25">
        <v>2</v>
      </c>
      <c r="H8455" s="29"/>
      <c r="I8455" s="30"/>
    </row>
    <row r="8456" spans="1:9" ht="15.75" thickBot="1" x14ac:dyDescent="0.3">
      <c r="A8456" s="43" t="s">
        <v>17328</v>
      </c>
      <c r="B8456" s="21" t="s">
        <v>17329</v>
      </c>
      <c r="C8456" s="21" t="s">
        <v>22682</v>
      </c>
      <c r="D8456" s="22">
        <v>46034</v>
      </c>
      <c r="E8456" s="23" t="s">
        <v>22658</v>
      </c>
      <c r="F8456" s="24" t="s">
        <v>22657</v>
      </c>
      <c r="G8456" s="25">
        <v>4</v>
      </c>
      <c r="H8456" s="26"/>
      <c r="I8456" s="27"/>
    </row>
    <row r="8457" spans="1:9" ht="15.75" thickBot="1" x14ac:dyDescent="0.3">
      <c r="A8457" s="43" t="s">
        <v>17330</v>
      </c>
      <c r="B8457" s="21" t="s">
        <v>17331</v>
      </c>
      <c r="C8457" s="21" t="s">
        <v>22663</v>
      </c>
      <c r="D8457" s="31">
        <v>1</v>
      </c>
      <c r="E8457" s="23" t="s">
        <v>22656</v>
      </c>
      <c r="F8457" s="24" t="s">
        <v>22657</v>
      </c>
      <c r="G8457" s="25">
        <v>5</v>
      </c>
      <c r="H8457" s="29"/>
      <c r="I8457" s="30"/>
    </row>
    <row r="8458" spans="1:9" ht="15.75" thickBot="1" x14ac:dyDescent="0.3">
      <c r="A8458" s="43" t="s">
        <v>17332</v>
      </c>
      <c r="B8458" s="21" t="s">
        <v>17333</v>
      </c>
      <c r="C8458" s="21" t="s">
        <v>22663</v>
      </c>
      <c r="D8458" s="31">
        <v>1</v>
      </c>
      <c r="E8458" s="23" t="s">
        <v>22656</v>
      </c>
      <c r="F8458" s="24" t="s">
        <v>22657</v>
      </c>
      <c r="G8458" s="25">
        <v>3</v>
      </c>
      <c r="H8458" s="26"/>
      <c r="I8458" s="27"/>
    </row>
    <row r="8459" spans="1:9" ht="15.75" thickBot="1" x14ac:dyDescent="0.3">
      <c r="A8459" s="43" t="s">
        <v>1533</v>
      </c>
      <c r="B8459" s="21" t="s">
        <v>1534</v>
      </c>
      <c r="C8459" s="21" t="s">
        <v>22655</v>
      </c>
      <c r="D8459" s="22">
        <v>46032</v>
      </c>
      <c r="E8459" s="23" t="s">
        <v>22661</v>
      </c>
      <c r="F8459" s="24" t="s">
        <v>22657</v>
      </c>
      <c r="G8459" s="25">
        <v>6</v>
      </c>
      <c r="H8459" s="32">
        <v>6</v>
      </c>
      <c r="I8459" s="33">
        <v>12</v>
      </c>
    </row>
    <row r="8460" spans="1:9" ht="15.75" thickBot="1" x14ac:dyDescent="0.3">
      <c r="A8460" s="43" t="s">
        <v>892</v>
      </c>
      <c r="B8460" s="21" t="s">
        <v>893</v>
      </c>
      <c r="C8460" s="21" t="s">
        <v>22663</v>
      </c>
      <c r="D8460" s="31">
        <v>1</v>
      </c>
      <c r="E8460" s="23" t="s">
        <v>22656</v>
      </c>
      <c r="F8460" s="24" t="s">
        <v>22657</v>
      </c>
      <c r="G8460" s="25">
        <v>2</v>
      </c>
      <c r="H8460" s="26"/>
      <c r="I8460" s="27"/>
    </row>
    <row r="8461" spans="1:9" ht="15.75" thickBot="1" x14ac:dyDescent="0.3">
      <c r="A8461" s="43" t="s">
        <v>17334</v>
      </c>
      <c r="B8461" s="21" t="s">
        <v>17335</v>
      </c>
      <c r="C8461" s="21" t="s">
        <v>22663</v>
      </c>
      <c r="D8461" s="31">
        <v>1</v>
      </c>
      <c r="E8461" s="23" t="s">
        <v>22656</v>
      </c>
      <c r="F8461" s="24" t="s">
        <v>22657</v>
      </c>
      <c r="G8461" s="25">
        <v>6</v>
      </c>
      <c r="H8461" s="29"/>
      <c r="I8461" s="30"/>
    </row>
    <row r="8462" spans="1:9" ht="15.75" thickBot="1" x14ac:dyDescent="0.3">
      <c r="A8462" s="43" t="s">
        <v>17336</v>
      </c>
      <c r="B8462" s="21" t="s">
        <v>17337</v>
      </c>
      <c r="C8462" s="21" t="s">
        <v>22667</v>
      </c>
      <c r="D8462" s="31" t="s">
        <v>22862</v>
      </c>
      <c r="E8462" s="23" t="s">
        <v>22661</v>
      </c>
      <c r="F8462" s="24" t="s">
        <v>22657</v>
      </c>
      <c r="G8462" s="25">
        <v>12</v>
      </c>
      <c r="H8462" s="34">
        <v>12</v>
      </c>
      <c r="I8462" s="35">
        <v>24</v>
      </c>
    </row>
    <row r="8463" spans="1:9" ht="15.75" thickBot="1" x14ac:dyDescent="0.3">
      <c r="A8463" s="43" t="s">
        <v>17338</v>
      </c>
      <c r="B8463" s="21" t="s">
        <v>17339</v>
      </c>
      <c r="C8463" s="21" t="s">
        <v>22682</v>
      </c>
      <c r="D8463" s="22">
        <v>46034</v>
      </c>
      <c r="E8463" s="23" t="s">
        <v>22658</v>
      </c>
      <c r="F8463" s="24" t="s">
        <v>22657</v>
      </c>
      <c r="G8463" s="25">
        <v>4</v>
      </c>
      <c r="H8463" s="29"/>
      <c r="I8463" s="30"/>
    </row>
    <row r="8464" spans="1:9" ht="15.75" thickBot="1" x14ac:dyDescent="0.3">
      <c r="A8464" s="43" t="s">
        <v>17340</v>
      </c>
      <c r="B8464" s="21" t="s">
        <v>17341</v>
      </c>
      <c r="C8464" s="21" t="s">
        <v>22663</v>
      </c>
      <c r="D8464" s="31">
        <v>1</v>
      </c>
      <c r="E8464" s="23" t="s">
        <v>22658</v>
      </c>
      <c r="F8464" s="24" t="s">
        <v>22657</v>
      </c>
      <c r="G8464" s="25">
        <v>4</v>
      </c>
      <c r="H8464" s="26"/>
      <c r="I8464" s="27"/>
    </row>
    <row r="8465" spans="1:9" ht="15.75" thickBot="1" x14ac:dyDescent="0.3">
      <c r="A8465" s="43" t="s">
        <v>17342</v>
      </c>
      <c r="B8465" s="21" t="s">
        <v>17343</v>
      </c>
      <c r="C8465" s="21" t="s">
        <v>22663</v>
      </c>
      <c r="D8465" s="31">
        <v>1</v>
      </c>
      <c r="E8465" s="23" t="s">
        <v>22658</v>
      </c>
      <c r="F8465" s="24" t="s">
        <v>22657</v>
      </c>
      <c r="G8465" s="25">
        <v>1</v>
      </c>
      <c r="H8465" s="29"/>
      <c r="I8465" s="30"/>
    </row>
    <row r="8466" spans="1:9" ht="15.75" thickBot="1" x14ac:dyDescent="0.3">
      <c r="A8466" s="43" t="s">
        <v>17344</v>
      </c>
      <c r="B8466" s="21" t="s">
        <v>17345</v>
      </c>
      <c r="C8466" s="21" t="s">
        <v>22663</v>
      </c>
      <c r="D8466" s="31">
        <v>1</v>
      </c>
      <c r="E8466" s="23" t="s">
        <v>22656</v>
      </c>
      <c r="F8466" s="24" t="s">
        <v>22657</v>
      </c>
      <c r="G8466" s="25">
        <v>3</v>
      </c>
      <c r="H8466" s="26"/>
      <c r="I8466" s="27"/>
    </row>
    <row r="8467" spans="1:9" ht="15.75" thickBot="1" x14ac:dyDescent="0.3">
      <c r="A8467" s="43" t="s">
        <v>17346</v>
      </c>
      <c r="B8467" s="21" t="s">
        <v>17347</v>
      </c>
      <c r="C8467" s="21" t="s">
        <v>22663</v>
      </c>
      <c r="D8467" s="31">
        <v>1</v>
      </c>
      <c r="E8467" s="23" t="s">
        <v>22658</v>
      </c>
      <c r="F8467" s="24" t="s">
        <v>22657</v>
      </c>
      <c r="G8467" s="25">
        <v>1</v>
      </c>
      <c r="H8467" s="29"/>
      <c r="I8467" s="30"/>
    </row>
    <row r="8468" spans="1:9" ht="15.75" thickBot="1" x14ac:dyDescent="0.3">
      <c r="A8468" s="43" t="s">
        <v>17348</v>
      </c>
      <c r="B8468" s="21" t="s">
        <v>17349</v>
      </c>
      <c r="C8468" s="21" t="s">
        <v>22663</v>
      </c>
      <c r="D8468" s="31">
        <v>1</v>
      </c>
      <c r="E8468" s="23" t="s">
        <v>22658</v>
      </c>
      <c r="F8468" s="24" t="s">
        <v>22657</v>
      </c>
      <c r="G8468" s="25">
        <v>1</v>
      </c>
      <c r="H8468" s="26"/>
      <c r="I8468" s="27"/>
    </row>
    <row r="8469" spans="1:9" ht="15.75" thickBot="1" x14ac:dyDescent="0.3">
      <c r="A8469" s="43" t="s">
        <v>17350</v>
      </c>
      <c r="B8469" s="21" t="s">
        <v>17351</v>
      </c>
      <c r="C8469" s="21" t="s">
        <v>22682</v>
      </c>
      <c r="D8469" s="22">
        <v>46034</v>
      </c>
      <c r="E8469" s="23" t="s">
        <v>22656</v>
      </c>
      <c r="F8469" s="24" t="s">
        <v>22657</v>
      </c>
      <c r="G8469" s="25">
        <v>4</v>
      </c>
      <c r="H8469" s="29"/>
      <c r="I8469" s="30"/>
    </row>
    <row r="8470" spans="1:9" ht="15.75" thickBot="1" x14ac:dyDescent="0.3">
      <c r="A8470" s="43" t="s">
        <v>17352</v>
      </c>
      <c r="B8470" s="21" t="s">
        <v>17353</v>
      </c>
      <c r="C8470" s="21" t="s">
        <v>22663</v>
      </c>
      <c r="D8470" s="31">
        <v>1</v>
      </c>
      <c r="E8470" s="23" t="s">
        <v>22658</v>
      </c>
      <c r="F8470" s="24" t="s">
        <v>22657</v>
      </c>
      <c r="G8470" s="25">
        <v>4</v>
      </c>
      <c r="H8470" s="26"/>
      <c r="I8470" s="27"/>
    </row>
    <row r="8471" spans="1:9" ht="15.75" thickBot="1" x14ac:dyDescent="0.3">
      <c r="A8471" s="43" t="s">
        <v>17354</v>
      </c>
      <c r="B8471" s="21" t="s">
        <v>17355</v>
      </c>
      <c r="C8471" s="21" t="s">
        <v>22663</v>
      </c>
      <c r="D8471" s="31">
        <v>1</v>
      </c>
      <c r="E8471" s="23" t="s">
        <v>22658</v>
      </c>
      <c r="F8471" s="24" t="s">
        <v>22657</v>
      </c>
      <c r="G8471" s="25">
        <v>4</v>
      </c>
      <c r="H8471" s="29"/>
      <c r="I8471" s="30"/>
    </row>
    <row r="8472" spans="1:9" ht="15.75" thickBot="1" x14ac:dyDescent="0.3">
      <c r="A8472" s="43" t="s">
        <v>17356</v>
      </c>
      <c r="B8472" s="21" t="s">
        <v>17357</v>
      </c>
      <c r="C8472" s="21" t="s">
        <v>22663</v>
      </c>
      <c r="D8472" s="31">
        <v>1</v>
      </c>
      <c r="E8472" s="23" t="s">
        <v>22658</v>
      </c>
      <c r="F8472" s="24" t="s">
        <v>22657</v>
      </c>
      <c r="G8472" s="25">
        <v>4</v>
      </c>
      <c r="H8472" s="26"/>
      <c r="I8472" s="27"/>
    </row>
    <row r="8473" spans="1:9" ht="15.75" thickBot="1" x14ac:dyDescent="0.3">
      <c r="A8473" s="43" t="s">
        <v>17358</v>
      </c>
      <c r="B8473" s="21" t="s">
        <v>17359</v>
      </c>
      <c r="C8473" s="21" t="s">
        <v>22663</v>
      </c>
      <c r="D8473" s="31">
        <v>1</v>
      </c>
      <c r="E8473" s="23" t="s">
        <v>22658</v>
      </c>
      <c r="F8473" s="24" t="s">
        <v>22657</v>
      </c>
      <c r="G8473" s="25">
        <v>4</v>
      </c>
      <c r="H8473" s="29"/>
      <c r="I8473" s="30"/>
    </row>
    <row r="8474" spans="1:9" ht="15.75" thickBot="1" x14ac:dyDescent="0.3">
      <c r="A8474" s="43" t="s">
        <v>17360</v>
      </c>
      <c r="B8474" s="21" t="s">
        <v>17361</v>
      </c>
      <c r="C8474" s="21" t="s">
        <v>22663</v>
      </c>
      <c r="D8474" s="31">
        <v>1</v>
      </c>
      <c r="E8474" s="23" t="s">
        <v>22658</v>
      </c>
      <c r="F8474" s="24" t="s">
        <v>22657</v>
      </c>
      <c r="G8474" s="25">
        <v>4</v>
      </c>
      <c r="H8474" s="26"/>
      <c r="I8474" s="27"/>
    </row>
    <row r="8475" spans="1:9" ht="15.75" thickBot="1" x14ac:dyDescent="0.3">
      <c r="A8475" s="43" t="s">
        <v>17362</v>
      </c>
      <c r="B8475" s="21" t="s">
        <v>17363</v>
      </c>
      <c r="C8475" s="21" t="s">
        <v>22663</v>
      </c>
      <c r="D8475" s="31">
        <v>1</v>
      </c>
      <c r="E8475" s="23" t="s">
        <v>22658</v>
      </c>
      <c r="F8475" s="24" t="s">
        <v>22657</v>
      </c>
      <c r="G8475" s="25">
        <v>4</v>
      </c>
      <c r="H8475" s="29"/>
      <c r="I8475" s="30"/>
    </row>
    <row r="8476" spans="1:9" ht="15.75" thickBot="1" x14ac:dyDescent="0.3">
      <c r="A8476" s="43" t="s">
        <v>17364</v>
      </c>
      <c r="B8476" s="21" t="s">
        <v>17365</v>
      </c>
      <c r="C8476" s="21" t="s">
        <v>22663</v>
      </c>
      <c r="D8476" s="31">
        <v>1</v>
      </c>
      <c r="E8476" s="23" t="s">
        <v>22656</v>
      </c>
      <c r="F8476" s="24" t="s">
        <v>22657</v>
      </c>
      <c r="G8476" s="25">
        <v>4</v>
      </c>
      <c r="H8476" s="34">
        <v>4</v>
      </c>
      <c r="I8476" s="35">
        <v>6</v>
      </c>
    </row>
    <row r="8477" spans="1:9" ht="15.75" thickBot="1" x14ac:dyDescent="0.3">
      <c r="A8477" s="43" t="s">
        <v>1835</v>
      </c>
      <c r="B8477" s="21" t="s">
        <v>1836</v>
      </c>
      <c r="C8477" s="21" t="s">
        <v>22663</v>
      </c>
      <c r="D8477" s="31">
        <v>1</v>
      </c>
      <c r="E8477" s="23" t="s">
        <v>22665</v>
      </c>
      <c r="F8477" s="24" t="s">
        <v>22657</v>
      </c>
      <c r="G8477" s="25">
        <v>12</v>
      </c>
      <c r="H8477" s="32">
        <v>12</v>
      </c>
      <c r="I8477" s="33">
        <v>20</v>
      </c>
    </row>
    <row r="8478" spans="1:9" ht="15.75" thickBot="1" x14ac:dyDescent="0.3">
      <c r="A8478" s="43" t="s">
        <v>17366</v>
      </c>
      <c r="B8478" s="21" t="s">
        <v>17367</v>
      </c>
      <c r="C8478" s="21" t="s">
        <v>22698</v>
      </c>
      <c r="D8478" s="31">
        <v>1</v>
      </c>
      <c r="E8478" s="23" t="s">
        <v>22656</v>
      </c>
      <c r="F8478" s="24" t="s">
        <v>22657</v>
      </c>
      <c r="G8478" s="25">
        <v>2</v>
      </c>
      <c r="H8478" s="34">
        <v>2</v>
      </c>
      <c r="I8478" s="35">
        <v>4</v>
      </c>
    </row>
    <row r="8479" spans="1:9" ht="15.75" thickBot="1" x14ac:dyDescent="0.3">
      <c r="A8479" s="43" t="s">
        <v>385</v>
      </c>
      <c r="B8479" s="21" t="s">
        <v>386</v>
      </c>
      <c r="C8479" s="21" t="s">
        <v>22663</v>
      </c>
      <c r="D8479" s="31">
        <v>1</v>
      </c>
      <c r="E8479" s="23" t="s">
        <v>22661</v>
      </c>
      <c r="F8479" s="24" t="s">
        <v>22657</v>
      </c>
      <c r="G8479" s="25">
        <v>4</v>
      </c>
      <c r="H8479" s="32">
        <v>4</v>
      </c>
      <c r="I8479" s="33">
        <v>6</v>
      </c>
    </row>
    <row r="8480" spans="1:9" ht="15.75" thickBot="1" x14ac:dyDescent="0.3">
      <c r="A8480" s="43" t="s">
        <v>17368</v>
      </c>
      <c r="B8480" s="21" t="s">
        <v>17369</v>
      </c>
      <c r="C8480" s="21" t="s">
        <v>22835</v>
      </c>
      <c r="D8480" s="31">
        <v>1</v>
      </c>
      <c r="E8480" s="23" t="s">
        <v>22658</v>
      </c>
      <c r="F8480" s="28" t="s">
        <v>22659</v>
      </c>
      <c r="G8480" s="25">
        <v>1</v>
      </c>
      <c r="H8480" s="26"/>
      <c r="I8480" s="27"/>
    </row>
    <row r="8481" spans="1:9" ht="15.75" thickBot="1" x14ac:dyDescent="0.3">
      <c r="A8481" s="43" t="s">
        <v>17370</v>
      </c>
      <c r="B8481" s="21" t="s">
        <v>17371</v>
      </c>
      <c r="C8481" s="21" t="s">
        <v>22663</v>
      </c>
      <c r="D8481" s="31">
        <v>1</v>
      </c>
      <c r="E8481" s="23" t="s">
        <v>22658</v>
      </c>
      <c r="F8481" s="24" t="s">
        <v>22657</v>
      </c>
      <c r="G8481" s="25">
        <v>1</v>
      </c>
      <c r="H8481" s="29"/>
      <c r="I8481" s="30"/>
    </row>
    <row r="8482" spans="1:9" ht="15.75" thickBot="1" x14ac:dyDescent="0.3">
      <c r="A8482" s="43" t="s">
        <v>17372</v>
      </c>
      <c r="B8482" s="21" t="s">
        <v>17373</v>
      </c>
      <c r="C8482" s="21" t="s">
        <v>22663</v>
      </c>
      <c r="D8482" s="31">
        <v>1</v>
      </c>
      <c r="E8482" s="23" t="s">
        <v>22658</v>
      </c>
      <c r="F8482" s="24" t="s">
        <v>22657</v>
      </c>
      <c r="G8482" s="25">
        <v>1</v>
      </c>
      <c r="H8482" s="26"/>
      <c r="I8482" s="27"/>
    </row>
    <row r="8483" spans="1:9" ht="15.75" thickBot="1" x14ac:dyDescent="0.3">
      <c r="A8483" s="43" t="s">
        <v>17374</v>
      </c>
      <c r="B8483" s="21" t="s">
        <v>17375</v>
      </c>
      <c r="C8483" s="21" t="s">
        <v>22655</v>
      </c>
      <c r="D8483" s="31" t="s">
        <v>22708</v>
      </c>
      <c r="E8483" s="23" t="s">
        <v>22656</v>
      </c>
      <c r="F8483" s="24" t="s">
        <v>22657</v>
      </c>
      <c r="G8483" s="25">
        <v>4</v>
      </c>
      <c r="H8483" s="29"/>
      <c r="I8483" s="30"/>
    </row>
    <row r="8484" spans="1:9" ht="15.75" thickBot="1" x14ac:dyDescent="0.3">
      <c r="A8484" s="43" t="s">
        <v>17376</v>
      </c>
      <c r="B8484" s="21" t="s">
        <v>17377</v>
      </c>
      <c r="C8484" s="21" t="s">
        <v>22663</v>
      </c>
      <c r="D8484" s="31">
        <v>1</v>
      </c>
      <c r="E8484" s="23" t="s">
        <v>22658</v>
      </c>
      <c r="F8484" s="24" t="s">
        <v>22657</v>
      </c>
      <c r="G8484" s="25">
        <v>2</v>
      </c>
      <c r="H8484" s="26"/>
      <c r="I8484" s="27"/>
    </row>
    <row r="8485" spans="1:9" ht="15.75" thickBot="1" x14ac:dyDescent="0.3">
      <c r="A8485" s="43" t="s">
        <v>17378</v>
      </c>
      <c r="B8485" s="21" t="s">
        <v>17379</v>
      </c>
      <c r="C8485" s="21" t="s">
        <v>22663</v>
      </c>
      <c r="D8485" s="31">
        <v>1</v>
      </c>
      <c r="E8485" s="23" t="s">
        <v>22656</v>
      </c>
      <c r="F8485" s="24" t="s">
        <v>22657</v>
      </c>
      <c r="G8485" s="25">
        <v>2</v>
      </c>
      <c r="H8485" s="29"/>
      <c r="I8485" s="30"/>
    </row>
    <row r="8486" spans="1:9" ht="15.75" thickBot="1" x14ac:dyDescent="0.3">
      <c r="A8486" s="43" t="s">
        <v>17380</v>
      </c>
      <c r="B8486" s="21" t="s">
        <v>17381</v>
      </c>
      <c r="C8486" s="21" t="s">
        <v>22861</v>
      </c>
      <c r="D8486" s="22">
        <v>46034</v>
      </c>
      <c r="E8486" s="23" t="s">
        <v>22658</v>
      </c>
      <c r="F8486" s="28" t="s">
        <v>22659</v>
      </c>
      <c r="G8486" s="25">
        <v>1</v>
      </c>
      <c r="H8486" s="26"/>
      <c r="I8486" s="27"/>
    </row>
    <row r="8487" spans="1:9" ht="15.75" thickBot="1" x14ac:dyDescent="0.3">
      <c r="A8487" s="43" t="s">
        <v>17382</v>
      </c>
      <c r="B8487" s="21" t="s">
        <v>17383</v>
      </c>
      <c r="C8487" s="21" t="s">
        <v>22663</v>
      </c>
      <c r="D8487" s="31">
        <v>1</v>
      </c>
      <c r="E8487" s="23" t="s">
        <v>22658</v>
      </c>
      <c r="F8487" s="24" t="s">
        <v>22657</v>
      </c>
      <c r="G8487" s="25">
        <v>2</v>
      </c>
      <c r="H8487" s="29"/>
      <c r="I8487" s="30"/>
    </row>
    <row r="8488" spans="1:9" ht="15.75" thickBot="1" x14ac:dyDescent="0.3">
      <c r="A8488" s="43" t="s">
        <v>17384</v>
      </c>
      <c r="B8488" s="21" t="s">
        <v>17385</v>
      </c>
      <c r="C8488" s="21" t="s">
        <v>22663</v>
      </c>
      <c r="D8488" s="31">
        <v>1</v>
      </c>
      <c r="E8488" s="23" t="s">
        <v>22658</v>
      </c>
      <c r="F8488" s="24" t="s">
        <v>22657</v>
      </c>
      <c r="G8488" s="25">
        <v>2</v>
      </c>
      <c r="H8488" s="26"/>
      <c r="I8488" s="27"/>
    </row>
    <row r="8489" spans="1:9" ht="15.75" thickBot="1" x14ac:dyDescent="0.3">
      <c r="A8489" s="43" t="s">
        <v>17386</v>
      </c>
      <c r="B8489" s="21" t="s">
        <v>17387</v>
      </c>
      <c r="C8489" s="21" t="s">
        <v>22861</v>
      </c>
      <c r="D8489" s="22">
        <v>46034</v>
      </c>
      <c r="E8489" s="23" t="s">
        <v>22658</v>
      </c>
      <c r="F8489" s="28" t="s">
        <v>22659</v>
      </c>
      <c r="G8489" s="25">
        <v>1</v>
      </c>
      <c r="H8489" s="29"/>
      <c r="I8489" s="30"/>
    </row>
    <row r="8490" spans="1:9" ht="15.75" thickBot="1" x14ac:dyDescent="0.3">
      <c r="A8490" s="43" t="s">
        <v>17388</v>
      </c>
      <c r="B8490" s="21" t="s">
        <v>17389</v>
      </c>
      <c r="C8490" s="21" t="s">
        <v>22663</v>
      </c>
      <c r="D8490" s="31">
        <v>1</v>
      </c>
      <c r="E8490" s="23" t="s">
        <v>22658</v>
      </c>
      <c r="F8490" s="24" t="s">
        <v>22657</v>
      </c>
      <c r="G8490" s="25">
        <v>2</v>
      </c>
      <c r="H8490" s="26"/>
      <c r="I8490" s="27"/>
    </row>
    <row r="8491" spans="1:9" ht="15.75" thickBot="1" x14ac:dyDescent="0.3">
      <c r="A8491" s="43" t="s">
        <v>17390</v>
      </c>
      <c r="B8491" s="21" t="s">
        <v>17391</v>
      </c>
      <c r="C8491" s="21" t="s">
        <v>22861</v>
      </c>
      <c r="D8491" s="22">
        <v>46034</v>
      </c>
      <c r="E8491" s="23" t="s">
        <v>22658</v>
      </c>
      <c r="F8491" s="28" t="s">
        <v>22659</v>
      </c>
      <c r="G8491" s="25">
        <v>1</v>
      </c>
      <c r="H8491" s="29"/>
      <c r="I8491" s="30"/>
    </row>
    <row r="8492" spans="1:9" ht="15.75" thickBot="1" x14ac:dyDescent="0.3">
      <c r="A8492" s="43" t="s">
        <v>17392</v>
      </c>
      <c r="B8492" s="21" t="s">
        <v>17393</v>
      </c>
      <c r="C8492" s="21" t="s">
        <v>22663</v>
      </c>
      <c r="D8492" s="31">
        <v>1</v>
      </c>
      <c r="E8492" s="23" t="s">
        <v>22658</v>
      </c>
      <c r="F8492" s="24" t="s">
        <v>22657</v>
      </c>
      <c r="G8492" s="25">
        <v>2</v>
      </c>
      <c r="H8492" s="26"/>
      <c r="I8492" s="27"/>
    </row>
    <row r="8493" spans="1:9" ht="15.75" thickBot="1" x14ac:dyDescent="0.3">
      <c r="A8493" s="43" t="s">
        <v>17394</v>
      </c>
      <c r="B8493" s="21" t="s">
        <v>17395</v>
      </c>
      <c r="C8493" s="21" t="s">
        <v>22861</v>
      </c>
      <c r="D8493" s="22">
        <v>46034</v>
      </c>
      <c r="E8493" s="23" t="s">
        <v>22658</v>
      </c>
      <c r="F8493" s="28" t="s">
        <v>22659</v>
      </c>
      <c r="G8493" s="25">
        <v>1</v>
      </c>
      <c r="H8493" s="29"/>
      <c r="I8493" s="30"/>
    </row>
    <row r="8494" spans="1:9" ht="15.75" thickBot="1" x14ac:dyDescent="0.3">
      <c r="A8494" s="43" t="s">
        <v>17396</v>
      </c>
      <c r="B8494" s="21" t="s">
        <v>17397</v>
      </c>
      <c r="C8494" s="21" t="s">
        <v>22663</v>
      </c>
      <c r="D8494" s="31">
        <v>1</v>
      </c>
      <c r="E8494" s="23" t="s">
        <v>22658</v>
      </c>
      <c r="F8494" s="24" t="s">
        <v>22657</v>
      </c>
      <c r="G8494" s="25">
        <v>2</v>
      </c>
      <c r="H8494" s="26"/>
      <c r="I8494" s="27"/>
    </row>
    <row r="8495" spans="1:9" ht="15.75" thickBot="1" x14ac:dyDescent="0.3">
      <c r="A8495" s="43" t="s">
        <v>17398</v>
      </c>
      <c r="B8495" s="21" t="s">
        <v>17399</v>
      </c>
      <c r="C8495" s="21" t="s">
        <v>22682</v>
      </c>
      <c r="D8495" s="22">
        <v>46034</v>
      </c>
      <c r="E8495" s="23" t="s">
        <v>22656</v>
      </c>
      <c r="F8495" s="24" t="s">
        <v>22657</v>
      </c>
      <c r="G8495" s="25">
        <v>4</v>
      </c>
      <c r="H8495" s="29"/>
      <c r="I8495" s="30"/>
    </row>
    <row r="8496" spans="1:9" ht="15.75" thickBot="1" x14ac:dyDescent="0.3">
      <c r="A8496" s="43" t="s">
        <v>17400</v>
      </c>
      <c r="B8496" s="21" t="s">
        <v>17401</v>
      </c>
      <c r="C8496" s="21" t="s">
        <v>22682</v>
      </c>
      <c r="D8496" s="22">
        <v>46034</v>
      </c>
      <c r="E8496" s="23" t="s">
        <v>22656</v>
      </c>
      <c r="F8496" s="24" t="s">
        <v>22657</v>
      </c>
      <c r="G8496" s="25">
        <v>4</v>
      </c>
      <c r="H8496" s="26"/>
      <c r="I8496" s="27"/>
    </row>
    <row r="8497" spans="1:9" ht="15.75" thickBot="1" x14ac:dyDescent="0.3">
      <c r="A8497" s="43" t="s">
        <v>17402</v>
      </c>
      <c r="B8497" s="21" t="s">
        <v>17403</v>
      </c>
      <c r="C8497" s="21" t="s">
        <v>22682</v>
      </c>
      <c r="D8497" s="22">
        <v>46034</v>
      </c>
      <c r="E8497" s="23" t="s">
        <v>22656</v>
      </c>
      <c r="F8497" s="24" t="s">
        <v>22657</v>
      </c>
      <c r="G8497" s="25">
        <v>4</v>
      </c>
      <c r="H8497" s="29"/>
      <c r="I8497" s="30"/>
    </row>
    <row r="8498" spans="1:9" ht="15.75" thickBot="1" x14ac:dyDescent="0.3">
      <c r="A8498" s="43" t="s">
        <v>17404</v>
      </c>
      <c r="B8498" s="21" t="s">
        <v>17405</v>
      </c>
      <c r="C8498" s="21" t="s">
        <v>22682</v>
      </c>
      <c r="D8498" s="22">
        <v>46034</v>
      </c>
      <c r="E8498" s="23" t="s">
        <v>22658</v>
      </c>
      <c r="F8498" s="24" t="s">
        <v>22657</v>
      </c>
      <c r="G8498" s="25">
        <v>4</v>
      </c>
      <c r="H8498" s="26"/>
      <c r="I8498" s="27"/>
    </row>
    <row r="8499" spans="1:9" ht="15.75" thickBot="1" x14ac:dyDescent="0.3">
      <c r="A8499" s="43" t="s">
        <v>17406</v>
      </c>
      <c r="B8499" s="21" t="s">
        <v>17407</v>
      </c>
      <c r="C8499" s="21" t="s">
        <v>22682</v>
      </c>
      <c r="D8499" s="22">
        <v>46034</v>
      </c>
      <c r="E8499" s="23" t="s">
        <v>22658</v>
      </c>
      <c r="F8499" s="24" t="s">
        <v>22657</v>
      </c>
      <c r="G8499" s="25">
        <v>4</v>
      </c>
      <c r="H8499" s="29"/>
      <c r="I8499" s="30"/>
    </row>
    <row r="8500" spans="1:9" ht="15.75" thickBot="1" x14ac:dyDescent="0.3">
      <c r="A8500" s="43" t="s">
        <v>17408</v>
      </c>
      <c r="B8500" s="21" t="s">
        <v>17409</v>
      </c>
      <c r="C8500" s="21" t="s">
        <v>22682</v>
      </c>
      <c r="D8500" s="22">
        <v>46034</v>
      </c>
      <c r="E8500" s="23" t="s">
        <v>22658</v>
      </c>
      <c r="F8500" s="24" t="s">
        <v>22657</v>
      </c>
      <c r="G8500" s="25">
        <v>4</v>
      </c>
      <c r="H8500" s="26"/>
      <c r="I8500" s="27"/>
    </row>
    <row r="8501" spans="1:9" ht="15.75" thickBot="1" x14ac:dyDescent="0.3">
      <c r="A8501" s="43" t="s">
        <v>17410</v>
      </c>
      <c r="B8501" s="21" t="s">
        <v>17411</v>
      </c>
      <c r="C8501" s="21" t="s">
        <v>22682</v>
      </c>
      <c r="D8501" s="22">
        <v>46034</v>
      </c>
      <c r="E8501" s="23" t="s">
        <v>22658</v>
      </c>
      <c r="F8501" s="24" t="s">
        <v>22657</v>
      </c>
      <c r="G8501" s="25">
        <v>4</v>
      </c>
      <c r="H8501" s="29"/>
      <c r="I8501" s="30"/>
    </row>
    <row r="8502" spans="1:9" ht="15.75" thickBot="1" x14ac:dyDescent="0.3">
      <c r="A8502" s="43" t="s">
        <v>17412</v>
      </c>
      <c r="B8502" s="21" t="s">
        <v>17413</v>
      </c>
      <c r="C8502" s="21" t="s">
        <v>22682</v>
      </c>
      <c r="D8502" s="22">
        <v>46034</v>
      </c>
      <c r="E8502" s="23" t="s">
        <v>22658</v>
      </c>
      <c r="F8502" s="24" t="s">
        <v>22657</v>
      </c>
      <c r="G8502" s="25">
        <v>4</v>
      </c>
      <c r="H8502" s="26"/>
      <c r="I8502" s="27"/>
    </row>
    <row r="8503" spans="1:9" ht="15.75" thickBot="1" x14ac:dyDescent="0.3">
      <c r="A8503" s="43" t="s">
        <v>17414</v>
      </c>
      <c r="B8503" s="21" t="s">
        <v>17415</v>
      </c>
      <c r="C8503" s="21" t="s">
        <v>22682</v>
      </c>
      <c r="D8503" s="22">
        <v>46034</v>
      </c>
      <c r="E8503" s="23" t="s">
        <v>22658</v>
      </c>
      <c r="F8503" s="24" t="s">
        <v>22657</v>
      </c>
      <c r="G8503" s="25">
        <v>4</v>
      </c>
      <c r="H8503" s="29"/>
      <c r="I8503" s="30"/>
    </row>
    <row r="8504" spans="1:9" ht="15.75" thickBot="1" x14ac:dyDescent="0.3">
      <c r="A8504" s="43" t="s">
        <v>17416</v>
      </c>
      <c r="B8504" s="21" t="s">
        <v>17417</v>
      </c>
      <c r="C8504" s="21" t="s">
        <v>22682</v>
      </c>
      <c r="D8504" s="22">
        <v>46034</v>
      </c>
      <c r="E8504" s="23" t="s">
        <v>22658</v>
      </c>
      <c r="F8504" s="24" t="s">
        <v>22657</v>
      </c>
      <c r="G8504" s="25">
        <v>4</v>
      </c>
      <c r="H8504" s="26"/>
      <c r="I8504" s="27"/>
    </row>
    <row r="8505" spans="1:9" ht="15.75" thickBot="1" x14ac:dyDescent="0.3">
      <c r="A8505" s="43" t="s">
        <v>17418</v>
      </c>
      <c r="B8505" s="21" t="s">
        <v>17419</v>
      </c>
      <c r="C8505" s="21" t="s">
        <v>22682</v>
      </c>
      <c r="D8505" s="22">
        <v>46034</v>
      </c>
      <c r="E8505" s="23" t="s">
        <v>22658</v>
      </c>
      <c r="F8505" s="24" t="s">
        <v>22657</v>
      </c>
      <c r="G8505" s="25">
        <v>4</v>
      </c>
      <c r="H8505" s="29"/>
      <c r="I8505" s="30"/>
    </row>
    <row r="8506" spans="1:9" ht="15.75" thickBot="1" x14ac:dyDescent="0.3">
      <c r="A8506" s="43" t="s">
        <v>17420</v>
      </c>
      <c r="B8506" s="21" t="s">
        <v>17421</v>
      </c>
      <c r="C8506" s="21" t="s">
        <v>22682</v>
      </c>
      <c r="D8506" s="22">
        <v>46034</v>
      </c>
      <c r="E8506" s="23" t="s">
        <v>22658</v>
      </c>
      <c r="F8506" s="24" t="s">
        <v>22657</v>
      </c>
      <c r="G8506" s="25">
        <v>4</v>
      </c>
      <c r="H8506" s="26"/>
      <c r="I8506" s="27"/>
    </row>
    <row r="8507" spans="1:9" ht="15.75" thickBot="1" x14ac:dyDescent="0.3">
      <c r="A8507" s="43" t="s">
        <v>17422</v>
      </c>
      <c r="B8507" s="21" t="s">
        <v>17423</v>
      </c>
      <c r="C8507" s="21" t="s">
        <v>22682</v>
      </c>
      <c r="D8507" s="22">
        <v>46034</v>
      </c>
      <c r="E8507" s="23" t="s">
        <v>22656</v>
      </c>
      <c r="F8507" s="24" t="s">
        <v>22657</v>
      </c>
      <c r="G8507" s="25">
        <v>4</v>
      </c>
      <c r="H8507" s="29"/>
      <c r="I8507" s="30"/>
    </row>
    <row r="8508" spans="1:9" ht="15.75" thickBot="1" x14ac:dyDescent="0.3">
      <c r="A8508" s="43" t="s">
        <v>17424</v>
      </c>
      <c r="B8508" s="21" t="s">
        <v>17425</v>
      </c>
      <c r="C8508" s="21" t="s">
        <v>22682</v>
      </c>
      <c r="D8508" s="22">
        <v>46034</v>
      </c>
      <c r="E8508" s="23" t="s">
        <v>22658</v>
      </c>
      <c r="F8508" s="24" t="s">
        <v>22657</v>
      </c>
      <c r="G8508" s="25">
        <v>4</v>
      </c>
      <c r="H8508" s="26"/>
      <c r="I8508" s="27"/>
    </row>
    <row r="8509" spans="1:9" ht="15.75" thickBot="1" x14ac:dyDescent="0.3">
      <c r="A8509" s="43" t="s">
        <v>17426</v>
      </c>
      <c r="B8509" s="21" t="s">
        <v>17427</v>
      </c>
      <c r="C8509" s="21" t="s">
        <v>22682</v>
      </c>
      <c r="D8509" s="22">
        <v>46034</v>
      </c>
      <c r="E8509" s="23" t="s">
        <v>22658</v>
      </c>
      <c r="F8509" s="24" t="s">
        <v>22657</v>
      </c>
      <c r="G8509" s="25">
        <v>4</v>
      </c>
      <c r="H8509" s="29"/>
      <c r="I8509" s="30"/>
    </row>
    <row r="8510" spans="1:9" ht="15.75" thickBot="1" x14ac:dyDescent="0.3">
      <c r="A8510" s="43" t="s">
        <v>17428</v>
      </c>
      <c r="B8510" s="21" t="s">
        <v>17429</v>
      </c>
      <c r="C8510" s="21" t="s">
        <v>22682</v>
      </c>
      <c r="D8510" s="22">
        <v>46034</v>
      </c>
      <c r="E8510" s="23" t="s">
        <v>22658</v>
      </c>
      <c r="F8510" s="24" t="s">
        <v>22657</v>
      </c>
      <c r="G8510" s="25">
        <v>4</v>
      </c>
      <c r="H8510" s="26"/>
      <c r="I8510" s="27"/>
    </row>
    <row r="8511" spans="1:9" ht="15.75" thickBot="1" x14ac:dyDescent="0.3">
      <c r="A8511" s="43" t="s">
        <v>17430</v>
      </c>
      <c r="B8511" s="21" t="s">
        <v>17431</v>
      </c>
      <c r="C8511" s="21" t="s">
        <v>22682</v>
      </c>
      <c r="D8511" s="22">
        <v>46034</v>
      </c>
      <c r="E8511" s="23" t="s">
        <v>22658</v>
      </c>
      <c r="F8511" s="24" t="s">
        <v>22657</v>
      </c>
      <c r="G8511" s="25">
        <v>4</v>
      </c>
      <c r="H8511" s="29"/>
      <c r="I8511" s="30"/>
    </row>
    <row r="8512" spans="1:9" ht="15.75" thickBot="1" x14ac:dyDescent="0.3">
      <c r="A8512" s="43" t="s">
        <v>17432</v>
      </c>
      <c r="B8512" s="21" t="s">
        <v>17433</v>
      </c>
      <c r="C8512" s="21" t="s">
        <v>22682</v>
      </c>
      <c r="D8512" s="22">
        <v>46034</v>
      </c>
      <c r="E8512" s="23" t="s">
        <v>22656</v>
      </c>
      <c r="F8512" s="24" t="s">
        <v>22657</v>
      </c>
      <c r="G8512" s="25">
        <v>4</v>
      </c>
      <c r="H8512" s="26"/>
      <c r="I8512" s="27"/>
    </row>
    <row r="8513" spans="1:9" ht="15.75" thickBot="1" x14ac:dyDescent="0.3">
      <c r="A8513" s="43" t="s">
        <v>17434</v>
      </c>
      <c r="B8513" s="21" t="s">
        <v>17435</v>
      </c>
      <c r="C8513" s="21" t="s">
        <v>22682</v>
      </c>
      <c r="D8513" s="22">
        <v>46034</v>
      </c>
      <c r="E8513" s="23" t="s">
        <v>22658</v>
      </c>
      <c r="F8513" s="24" t="s">
        <v>22657</v>
      </c>
      <c r="G8513" s="25">
        <v>4</v>
      </c>
      <c r="H8513" s="29"/>
      <c r="I8513" s="30"/>
    </row>
    <row r="8514" spans="1:9" ht="15.75" thickBot="1" x14ac:dyDescent="0.3">
      <c r="A8514" s="43" t="s">
        <v>17436</v>
      </c>
      <c r="B8514" s="21" t="s">
        <v>17437</v>
      </c>
      <c r="C8514" s="21" t="s">
        <v>22682</v>
      </c>
      <c r="D8514" s="22">
        <v>46034</v>
      </c>
      <c r="E8514" s="23" t="s">
        <v>22658</v>
      </c>
      <c r="F8514" s="24" t="s">
        <v>22657</v>
      </c>
      <c r="G8514" s="25">
        <v>4</v>
      </c>
      <c r="H8514" s="26"/>
      <c r="I8514" s="27"/>
    </row>
    <row r="8515" spans="1:9" ht="15.75" thickBot="1" x14ac:dyDescent="0.3">
      <c r="A8515" s="43" t="s">
        <v>17438</v>
      </c>
      <c r="B8515" s="21" t="s">
        <v>17439</v>
      </c>
      <c r="C8515" s="21" t="s">
        <v>22682</v>
      </c>
      <c r="D8515" s="22">
        <v>46034</v>
      </c>
      <c r="E8515" s="23" t="s">
        <v>22658</v>
      </c>
      <c r="F8515" s="24" t="s">
        <v>22657</v>
      </c>
      <c r="G8515" s="25">
        <v>4</v>
      </c>
      <c r="H8515" s="29"/>
      <c r="I8515" s="30"/>
    </row>
    <row r="8516" spans="1:9" ht="15.75" thickBot="1" x14ac:dyDescent="0.3">
      <c r="A8516" s="43" t="s">
        <v>17440</v>
      </c>
      <c r="B8516" s="21" t="s">
        <v>17441</v>
      </c>
      <c r="C8516" s="21" t="s">
        <v>22682</v>
      </c>
      <c r="D8516" s="22">
        <v>46034</v>
      </c>
      <c r="E8516" s="23" t="s">
        <v>22656</v>
      </c>
      <c r="F8516" s="24" t="s">
        <v>22657</v>
      </c>
      <c r="G8516" s="25">
        <v>4</v>
      </c>
      <c r="H8516" s="26"/>
      <c r="I8516" s="27"/>
    </row>
    <row r="8517" spans="1:9" ht="15.75" thickBot="1" x14ac:dyDescent="0.3">
      <c r="A8517" s="43" t="s">
        <v>17442</v>
      </c>
      <c r="B8517" s="21" t="s">
        <v>17443</v>
      </c>
      <c r="C8517" s="21" t="s">
        <v>22682</v>
      </c>
      <c r="D8517" s="22">
        <v>46034</v>
      </c>
      <c r="E8517" s="23" t="s">
        <v>22658</v>
      </c>
      <c r="F8517" s="24" t="s">
        <v>22657</v>
      </c>
      <c r="G8517" s="25">
        <v>4</v>
      </c>
      <c r="H8517" s="29"/>
      <c r="I8517" s="30"/>
    </row>
    <row r="8518" spans="1:9" ht="15.75" thickBot="1" x14ac:dyDescent="0.3">
      <c r="A8518" s="43" t="s">
        <v>17444</v>
      </c>
      <c r="B8518" s="21" t="s">
        <v>17445</v>
      </c>
      <c r="C8518" s="21" t="s">
        <v>22682</v>
      </c>
      <c r="D8518" s="22">
        <v>46034</v>
      </c>
      <c r="E8518" s="23" t="s">
        <v>22656</v>
      </c>
      <c r="F8518" s="24" t="s">
        <v>22657</v>
      </c>
      <c r="G8518" s="25">
        <v>4</v>
      </c>
      <c r="H8518" s="26"/>
      <c r="I8518" s="27"/>
    </row>
    <row r="8519" spans="1:9" ht="15.75" thickBot="1" x14ac:dyDescent="0.3">
      <c r="A8519" s="43" t="s">
        <v>17446</v>
      </c>
      <c r="B8519" s="21" t="s">
        <v>17447</v>
      </c>
      <c r="C8519" s="21" t="s">
        <v>22682</v>
      </c>
      <c r="D8519" s="22">
        <v>46034</v>
      </c>
      <c r="E8519" s="23" t="s">
        <v>22658</v>
      </c>
      <c r="F8519" s="24" t="s">
        <v>22657</v>
      </c>
      <c r="G8519" s="25">
        <v>4</v>
      </c>
      <c r="H8519" s="29"/>
      <c r="I8519" s="30"/>
    </row>
    <row r="8520" spans="1:9" ht="15.75" thickBot="1" x14ac:dyDescent="0.3">
      <c r="A8520" s="43" t="s">
        <v>17448</v>
      </c>
      <c r="B8520" s="21" t="s">
        <v>17449</v>
      </c>
      <c r="C8520" s="21" t="s">
        <v>22682</v>
      </c>
      <c r="D8520" s="22">
        <v>46034</v>
      </c>
      <c r="E8520" s="23" t="s">
        <v>22658</v>
      </c>
      <c r="F8520" s="24" t="s">
        <v>22657</v>
      </c>
      <c r="G8520" s="25">
        <v>4</v>
      </c>
      <c r="H8520" s="26"/>
      <c r="I8520" s="27"/>
    </row>
    <row r="8521" spans="1:9" ht="15.75" thickBot="1" x14ac:dyDescent="0.3">
      <c r="A8521" s="43" t="s">
        <v>17450</v>
      </c>
      <c r="B8521" s="21" t="s">
        <v>17451</v>
      </c>
      <c r="C8521" s="21" t="s">
        <v>22682</v>
      </c>
      <c r="D8521" s="22">
        <v>46034</v>
      </c>
      <c r="E8521" s="23" t="s">
        <v>22658</v>
      </c>
      <c r="F8521" s="24" t="s">
        <v>22657</v>
      </c>
      <c r="G8521" s="25">
        <v>4</v>
      </c>
      <c r="H8521" s="29"/>
      <c r="I8521" s="30"/>
    </row>
    <row r="8522" spans="1:9" ht="15.75" thickBot="1" x14ac:dyDescent="0.3">
      <c r="A8522" s="43" t="s">
        <v>17452</v>
      </c>
      <c r="B8522" s="21" t="s">
        <v>17453</v>
      </c>
      <c r="C8522" s="21" t="s">
        <v>22682</v>
      </c>
      <c r="D8522" s="22">
        <v>46034</v>
      </c>
      <c r="E8522" s="23" t="s">
        <v>22658</v>
      </c>
      <c r="F8522" s="24" t="s">
        <v>22657</v>
      </c>
      <c r="G8522" s="25">
        <v>4</v>
      </c>
      <c r="H8522" s="26"/>
      <c r="I8522" s="27"/>
    </row>
    <row r="8523" spans="1:9" ht="15.75" thickBot="1" x14ac:dyDescent="0.3">
      <c r="A8523" s="43" t="s">
        <v>17454</v>
      </c>
      <c r="B8523" s="21" t="s">
        <v>17455</v>
      </c>
      <c r="C8523" s="21" t="s">
        <v>22682</v>
      </c>
      <c r="D8523" s="22">
        <v>46034</v>
      </c>
      <c r="E8523" s="23" t="s">
        <v>22656</v>
      </c>
      <c r="F8523" s="24" t="s">
        <v>22657</v>
      </c>
      <c r="G8523" s="25">
        <v>4</v>
      </c>
      <c r="H8523" s="29"/>
      <c r="I8523" s="30"/>
    </row>
    <row r="8524" spans="1:9" ht="15.75" thickBot="1" x14ac:dyDescent="0.3">
      <c r="A8524" s="43" t="s">
        <v>17456</v>
      </c>
      <c r="B8524" s="21" t="s">
        <v>17457</v>
      </c>
      <c r="C8524" s="21" t="s">
        <v>22682</v>
      </c>
      <c r="D8524" s="22">
        <v>46034</v>
      </c>
      <c r="E8524" s="23" t="s">
        <v>22658</v>
      </c>
      <c r="F8524" s="24" t="s">
        <v>22657</v>
      </c>
      <c r="G8524" s="25">
        <v>4</v>
      </c>
      <c r="H8524" s="26"/>
      <c r="I8524" s="27"/>
    </row>
    <row r="8525" spans="1:9" ht="15.75" thickBot="1" x14ac:dyDescent="0.3">
      <c r="A8525" s="43" t="s">
        <v>17458</v>
      </c>
      <c r="B8525" s="21" t="s">
        <v>17459</v>
      </c>
      <c r="C8525" s="21" t="s">
        <v>22682</v>
      </c>
      <c r="D8525" s="22">
        <v>46034</v>
      </c>
      <c r="E8525" s="23" t="s">
        <v>22656</v>
      </c>
      <c r="F8525" s="24" t="s">
        <v>22657</v>
      </c>
      <c r="G8525" s="25">
        <v>4</v>
      </c>
      <c r="H8525" s="29"/>
      <c r="I8525" s="30"/>
    </row>
    <row r="8526" spans="1:9" ht="15.75" thickBot="1" x14ac:dyDescent="0.3">
      <c r="A8526" s="43" t="s">
        <v>17460</v>
      </c>
      <c r="B8526" s="21" t="s">
        <v>17461</v>
      </c>
      <c r="C8526" s="21" t="s">
        <v>22682</v>
      </c>
      <c r="D8526" s="22">
        <v>46034</v>
      </c>
      <c r="E8526" s="23" t="s">
        <v>22656</v>
      </c>
      <c r="F8526" s="24" t="s">
        <v>22657</v>
      </c>
      <c r="G8526" s="25">
        <v>4</v>
      </c>
      <c r="H8526" s="26"/>
      <c r="I8526" s="27"/>
    </row>
    <row r="8527" spans="1:9" ht="15.75" thickBot="1" x14ac:dyDescent="0.3">
      <c r="A8527" s="43" t="s">
        <v>17462</v>
      </c>
      <c r="B8527" s="21" t="s">
        <v>17463</v>
      </c>
      <c r="C8527" s="21" t="s">
        <v>22682</v>
      </c>
      <c r="D8527" s="22">
        <v>46034</v>
      </c>
      <c r="E8527" s="23" t="s">
        <v>22656</v>
      </c>
      <c r="F8527" s="24" t="s">
        <v>22657</v>
      </c>
      <c r="G8527" s="25">
        <v>4</v>
      </c>
      <c r="H8527" s="29"/>
      <c r="I8527" s="30"/>
    </row>
    <row r="8528" spans="1:9" ht="15.75" thickBot="1" x14ac:dyDescent="0.3">
      <c r="A8528" s="43" t="s">
        <v>17464</v>
      </c>
      <c r="B8528" s="21" t="s">
        <v>17465</v>
      </c>
      <c r="C8528" s="21" t="s">
        <v>22682</v>
      </c>
      <c r="D8528" s="22">
        <v>46034</v>
      </c>
      <c r="E8528" s="23" t="s">
        <v>22658</v>
      </c>
      <c r="F8528" s="24" t="s">
        <v>22657</v>
      </c>
      <c r="G8528" s="25">
        <v>4</v>
      </c>
      <c r="H8528" s="26"/>
      <c r="I8528" s="27"/>
    </row>
    <row r="8529" spans="1:9" ht="15.75" thickBot="1" x14ac:dyDescent="0.3">
      <c r="A8529" s="43" t="s">
        <v>17466</v>
      </c>
      <c r="B8529" s="21" t="s">
        <v>17467</v>
      </c>
      <c r="C8529" s="21" t="s">
        <v>22663</v>
      </c>
      <c r="D8529" s="31">
        <v>1</v>
      </c>
      <c r="E8529" s="23" t="s">
        <v>22658</v>
      </c>
      <c r="F8529" s="24" t="s">
        <v>22657</v>
      </c>
      <c r="G8529" s="25">
        <v>4</v>
      </c>
      <c r="H8529" s="29"/>
      <c r="I8529" s="30"/>
    </row>
    <row r="8530" spans="1:9" ht="15.75" thickBot="1" x14ac:dyDescent="0.3">
      <c r="A8530" s="43" t="s">
        <v>17468</v>
      </c>
      <c r="B8530" s="21" t="s">
        <v>17469</v>
      </c>
      <c r="C8530" s="21" t="s">
        <v>22682</v>
      </c>
      <c r="D8530" s="22">
        <v>46034</v>
      </c>
      <c r="E8530" s="23" t="s">
        <v>22658</v>
      </c>
      <c r="F8530" s="24" t="s">
        <v>22657</v>
      </c>
      <c r="G8530" s="25">
        <v>4</v>
      </c>
      <c r="H8530" s="26"/>
      <c r="I8530" s="27"/>
    </row>
    <row r="8531" spans="1:9" ht="15.75" thickBot="1" x14ac:dyDescent="0.3">
      <c r="A8531" s="43" t="s">
        <v>17470</v>
      </c>
      <c r="B8531" s="21" t="s">
        <v>17471</v>
      </c>
      <c r="C8531" s="21" t="s">
        <v>22682</v>
      </c>
      <c r="D8531" s="22">
        <v>46034</v>
      </c>
      <c r="E8531" s="23" t="s">
        <v>22658</v>
      </c>
      <c r="F8531" s="24" t="s">
        <v>22657</v>
      </c>
      <c r="G8531" s="25">
        <v>4</v>
      </c>
      <c r="H8531" s="29"/>
      <c r="I8531" s="30"/>
    </row>
    <row r="8532" spans="1:9" ht="15.75" thickBot="1" x14ac:dyDescent="0.3">
      <c r="A8532" s="43" t="s">
        <v>17472</v>
      </c>
      <c r="B8532" s="21" t="s">
        <v>17473</v>
      </c>
      <c r="C8532" s="21" t="s">
        <v>22682</v>
      </c>
      <c r="D8532" s="22">
        <v>46034</v>
      </c>
      <c r="E8532" s="23" t="s">
        <v>22658</v>
      </c>
      <c r="F8532" s="24" t="s">
        <v>22657</v>
      </c>
      <c r="G8532" s="25">
        <v>4</v>
      </c>
      <c r="H8532" s="26"/>
      <c r="I8532" s="27"/>
    </row>
    <row r="8533" spans="1:9" ht="15.75" thickBot="1" x14ac:dyDescent="0.3">
      <c r="A8533" s="43" t="s">
        <v>17474</v>
      </c>
      <c r="B8533" s="21" t="s">
        <v>17475</v>
      </c>
      <c r="C8533" s="21" t="s">
        <v>22682</v>
      </c>
      <c r="D8533" s="22">
        <v>46034</v>
      </c>
      <c r="E8533" s="23" t="s">
        <v>22658</v>
      </c>
      <c r="F8533" s="24" t="s">
        <v>22657</v>
      </c>
      <c r="G8533" s="25">
        <v>4</v>
      </c>
      <c r="H8533" s="29"/>
      <c r="I8533" s="30"/>
    </row>
    <row r="8534" spans="1:9" ht="15.75" thickBot="1" x14ac:dyDescent="0.3">
      <c r="A8534" s="43" t="s">
        <v>17476</v>
      </c>
      <c r="B8534" s="21" t="s">
        <v>17477</v>
      </c>
      <c r="C8534" s="21" t="s">
        <v>22682</v>
      </c>
      <c r="D8534" s="22">
        <v>46034</v>
      </c>
      <c r="E8534" s="23" t="s">
        <v>22658</v>
      </c>
      <c r="F8534" s="24" t="s">
        <v>22657</v>
      </c>
      <c r="G8534" s="25">
        <v>4</v>
      </c>
      <c r="H8534" s="26"/>
      <c r="I8534" s="27"/>
    </row>
    <row r="8535" spans="1:9" ht="15.75" thickBot="1" x14ac:dyDescent="0.3">
      <c r="A8535" s="43" t="s">
        <v>17478</v>
      </c>
      <c r="B8535" s="21" t="s">
        <v>17479</v>
      </c>
      <c r="C8535" s="21" t="s">
        <v>22682</v>
      </c>
      <c r="D8535" s="22">
        <v>46034</v>
      </c>
      <c r="E8535" s="23" t="s">
        <v>22658</v>
      </c>
      <c r="F8535" s="24" t="s">
        <v>22657</v>
      </c>
      <c r="G8535" s="25">
        <v>4</v>
      </c>
      <c r="H8535" s="29"/>
      <c r="I8535" s="30"/>
    </row>
    <row r="8536" spans="1:9" ht="15.75" thickBot="1" x14ac:dyDescent="0.3">
      <c r="A8536" s="43" t="s">
        <v>17480</v>
      </c>
      <c r="B8536" s="21" t="s">
        <v>17481</v>
      </c>
      <c r="C8536" s="21" t="s">
        <v>22682</v>
      </c>
      <c r="D8536" s="22">
        <v>46034</v>
      </c>
      <c r="E8536" s="23" t="s">
        <v>22658</v>
      </c>
      <c r="F8536" s="24" t="s">
        <v>22657</v>
      </c>
      <c r="G8536" s="25">
        <v>4</v>
      </c>
      <c r="H8536" s="26"/>
      <c r="I8536" s="27"/>
    </row>
    <row r="8537" spans="1:9" ht="15.75" thickBot="1" x14ac:dyDescent="0.3">
      <c r="A8537" s="43" t="s">
        <v>17482</v>
      </c>
      <c r="B8537" s="21" t="s">
        <v>17483</v>
      </c>
      <c r="C8537" s="21" t="s">
        <v>22682</v>
      </c>
      <c r="D8537" s="22">
        <v>46034</v>
      </c>
      <c r="E8537" s="23" t="s">
        <v>22658</v>
      </c>
      <c r="F8537" s="24" t="s">
        <v>22657</v>
      </c>
      <c r="G8537" s="25">
        <v>4</v>
      </c>
      <c r="H8537" s="29"/>
      <c r="I8537" s="30"/>
    </row>
    <row r="8538" spans="1:9" ht="15.75" thickBot="1" x14ac:dyDescent="0.3">
      <c r="A8538" s="43" t="s">
        <v>17484</v>
      </c>
      <c r="B8538" s="21" t="s">
        <v>17485</v>
      </c>
      <c r="C8538" s="21" t="s">
        <v>22682</v>
      </c>
      <c r="D8538" s="22">
        <v>46034</v>
      </c>
      <c r="E8538" s="23" t="s">
        <v>22658</v>
      </c>
      <c r="F8538" s="24" t="s">
        <v>22657</v>
      </c>
      <c r="G8538" s="25">
        <v>4</v>
      </c>
      <c r="H8538" s="26"/>
      <c r="I8538" s="27"/>
    </row>
    <row r="8539" spans="1:9" ht="15.75" thickBot="1" x14ac:dyDescent="0.3">
      <c r="A8539" s="43" t="s">
        <v>17486</v>
      </c>
      <c r="B8539" s="21" t="s">
        <v>17487</v>
      </c>
      <c r="C8539" s="21" t="s">
        <v>22682</v>
      </c>
      <c r="D8539" s="22">
        <v>46034</v>
      </c>
      <c r="E8539" s="23" t="s">
        <v>22656</v>
      </c>
      <c r="F8539" s="24" t="s">
        <v>22657</v>
      </c>
      <c r="G8539" s="25">
        <v>4</v>
      </c>
      <c r="H8539" s="29"/>
      <c r="I8539" s="30"/>
    </row>
    <row r="8540" spans="1:9" ht="15.75" thickBot="1" x14ac:dyDescent="0.3">
      <c r="A8540" s="43" t="s">
        <v>17488</v>
      </c>
      <c r="B8540" s="21" t="s">
        <v>17489</v>
      </c>
      <c r="C8540" s="21" t="s">
        <v>22682</v>
      </c>
      <c r="D8540" s="22">
        <v>46034</v>
      </c>
      <c r="E8540" s="23" t="s">
        <v>22658</v>
      </c>
      <c r="F8540" s="24" t="s">
        <v>22657</v>
      </c>
      <c r="G8540" s="25">
        <v>4</v>
      </c>
      <c r="H8540" s="26"/>
      <c r="I8540" s="27"/>
    </row>
    <row r="8541" spans="1:9" ht="15.75" thickBot="1" x14ac:dyDescent="0.3">
      <c r="A8541" s="43" t="s">
        <v>17490</v>
      </c>
      <c r="B8541" s="21" t="s">
        <v>17491</v>
      </c>
      <c r="C8541" s="21" t="s">
        <v>22682</v>
      </c>
      <c r="D8541" s="22">
        <v>46034</v>
      </c>
      <c r="E8541" s="23" t="s">
        <v>22658</v>
      </c>
      <c r="F8541" s="24" t="s">
        <v>22657</v>
      </c>
      <c r="G8541" s="25">
        <v>4</v>
      </c>
      <c r="H8541" s="29"/>
      <c r="I8541" s="30"/>
    </row>
    <row r="8542" spans="1:9" ht="15.75" thickBot="1" x14ac:dyDescent="0.3">
      <c r="A8542" s="43" t="s">
        <v>17492</v>
      </c>
      <c r="B8542" s="21" t="s">
        <v>17493</v>
      </c>
      <c r="C8542" s="21" t="s">
        <v>22682</v>
      </c>
      <c r="D8542" s="22">
        <v>46034</v>
      </c>
      <c r="E8542" s="23" t="s">
        <v>22658</v>
      </c>
      <c r="F8542" s="24" t="s">
        <v>22657</v>
      </c>
      <c r="G8542" s="25">
        <v>4</v>
      </c>
      <c r="H8542" s="26"/>
      <c r="I8542" s="27"/>
    </row>
    <row r="8543" spans="1:9" ht="15.75" thickBot="1" x14ac:dyDescent="0.3">
      <c r="A8543" s="43" t="s">
        <v>17494</v>
      </c>
      <c r="B8543" s="21" t="s">
        <v>17495</v>
      </c>
      <c r="C8543" s="21" t="s">
        <v>22682</v>
      </c>
      <c r="D8543" s="22">
        <v>46034</v>
      </c>
      <c r="E8543" s="23" t="s">
        <v>22658</v>
      </c>
      <c r="F8543" s="24" t="s">
        <v>22657</v>
      </c>
      <c r="G8543" s="25">
        <v>4</v>
      </c>
      <c r="H8543" s="29"/>
      <c r="I8543" s="30"/>
    </row>
    <row r="8544" spans="1:9" ht="15.75" thickBot="1" x14ac:dyDescent="0.3">
      <c r="A8544" s="43" t="s">
        <v>17496</v>
      </c>
      <c r="B8544" s="21" t="s">
        <v>17497</v>
      </c>
      <c r="C8544" s="21" t="s">
        <v>22682</v>
      </c>
      <c r="D8544" s="22">
        <v>46034</v>
      </c>
      <c r="E8544" s="23" t="s">
        <v>22658</v>
      </c>
      <c r="F8544" s="24" t="s">
        <v>22657</v>
      </c>
      <c r="G8544" s="25">
        <v>4</v>
      </c>
      <c r="H8544" s="26"/>
      <c r="I8544" s="27"/>
    </row>
    <row r="8545" spans="1:9" ht="15.75" thickBot="1" x14ac:dyDescent="0.3">
      <c r="A8545" s="43" t="s">
        <v>17498</v>
      </c>
      <c r="B8545" s="21" t="s">
        <v>17499</v>
      </c>
      <c r="C8545" s="21" t="s">
        <v>22682</v>
      </c>
      <c r="D8545" s="22">
        <v>46034</v>
      </c>
      <c r="E8545" s="23" t="s">
        <v>22658</v>
      </c>
      <c r="F8545" s="24" t="s">
        <v>22657</v>
      </c>
      <c r="G8545" s="25">
        <v>4</v>
      </c>
      <c r="H8545" s="29"/>
      <c r="I8545" s="30"/>
    </row>
    <row r="8546" spans="1:9" ht="15.75" thickBot="1" x14ac:dyDescent="0.3">
      <c r="A8546" s="43" t="s">
        <v>17500</v>
      </c>
      <c r="B8546" s="21" t="s">
        <v>17501</v>
      </c>
      <c r="C8546" s="21" t="s">
        <v>22682</v>
      </c>
      <c r="D8546" s="22">
        <v>46034</v>
      </c>
      <c r="E8546" s="23" t="s">
        <v>22658</v>
      </c>
      <c r="F8546" s="24" t="s">
        <v>22657</v>
      </c>
      <c r="G8546" s="25">
        <v>4</v>
      </c>
      <c r="H8546" s="26"/>
      <c r="I8546" s="27"/>
    </row>
    <row r="8547" spans="1:9" ht="15.75" thickBot="1" x14ac:dyDescent="0.3">
      <c r="A8547" s="43" t="s">
        <v>17502</v>
      </c>
      <c r="B8547" s="21" t="s">
        <v>17503</v>
      </c>
      <c r="C8547" s="21" t="s">
        <v>22682</v>
      </c>
      <c r="D8547" s="22">
        <v>46034</v>
      </c>
      <c r="E8547" s="23" t="s">
        <v>22656</v>
      </c>
      <c r="F8547" s="24" t="s">
        <v>22657</v>
      </c>
      <c r="G8547" s="25">
        <v>4</v>
      </c>
      <c r="H8547" s="29"/>
      <c r="I8547" s="30"/>
    </row>
    <row r="8548" spans="1:9" ht="15.75" thickBot="1" x14ac:dyDescent="0.3">
      <c r="A8548" s="43" t="s">
        <v>17504</v>
      </c>
      <c r="B8548" s="21" t="s">
        <v>17505</v>
      </c>
      <c r="C8548" s="21" t="s">
        <v>22682</v>
      </c>
      <c r="D8548" s="22">
        <v>46034</v>
      </c>
      <c r="E8548" s="23" t="s">
        <v>22658</v>
      </c>
      <c r="F8548" s="24" t="s">
        <v>22657</v>
      </c>
      <c r="G8548" s="25">
        <v>4</v>
      </c>
      <c r="H8548" s="26"/>
      <c r="I8548" s="27"/>
    </row>
    <row r="8549" spans="1:9" ht="15.75" thickBot="1" x14ac:dyDescent="0.3">
      <c r="A8549" s="43" t="s">
        <v>17506</v>
      </c>
      <c r="B8549" s="21" t="s">
        <v>17507</v>
      </c>
      <c r="C8549" s="21" t="s">
        <v>22682</v>
      </c>
      <c r="D8549" s="22">
        <v>46034</v>
      </c>
      <c r="E8549" s="23" t="s">
        <v>22658</v>
      </c>
      <c r="F8549" s="24" t="s">
        <v>22657</v>
      </c>
      <c r="G8549" s="25">
        <v>4</v>
      </c>
      <c r="H8549" s="29"/>
      <c r="I8549" s="30"/>
    </row>
    <row r="8550" spans="1:9" ht="15.75" thickBot="1" x14ac:dyDescent="0.3">
      <c r="A8550" s="43" t="s">
        <v>17508</v>
      </c>
      <c r="B8550" s="21" t="s">
        <v>17509</v>
      </c>
      <c r="C8550" s="21" t="s">
        <v>22682</v>
      </c>
      <c r="D8550" s="22">
        <v>46034</v>
      </c>
      <c r="E8550" s="23" t="s">
        <v>22658</v>
      </c>
      <c r="F8550" s="24" t="s">
        <v>22657</v>
      </c>
      <c r="G8550" s="25">
        <v>4</v>
      </c>
      <c r="H8550" s="26"/>
      <c r="I8550" s="27"/>
    </row>
    <row r="8551" spans="1:9" ht="15.75" thickBot="1" x14ac:dyDescent="0.3">
      <c r="A8551" s="43" t="s">
        <v>17510</v>
      </c>
      <c r="B8551" s="21" t="s">
        <v>17511</v>
      </c>
      <c r="C8551" s="21" t="s">
        <v>22682</v>
      </c>
      <c r="D8551" s="22">
        <v>46034</v>
      </c>
      <c r="E8551" s="23" t="s">
        <v>22656</v>
      </c>
      <c r="F8551" s="24" t="s">
        <v>22657</v>
      </c>
      <c r="G8551" s="25">
        <v>4</v>
      </c>
      <c r="H8551" s="29"/>
      <c r="I8551" s="30"/>
    </row>
    <row r="8552" spans="1:9" ht="15.75" thickBot="1" x14ac:dyDescent="0.3">
      <c r="A8552" s="43" t="s">
        <v>17512</v>
      </c>
      <c r="B8552" s="21" t="s">
        <v>17513</v>
      </c>
      <c r="C8552" s="21" t="s">
        <v>22682</v>
      </c>
      <c r="D8552" s="22">
        <v>46034</v>
      </c>
      <c r="E8552" s="23" t="s">
        <v>22658</v>
      </c>
      <c r="F8552" s="24" t="s">
        <v>22657</v>
      </c>
      <c r="G8552" s="25">
        <v>4</v>
      </c>
      <c r="H8552" s="26"/>
      <c r="I8552" s="27"/>
    </row>
    <row r="8553" spans="1:9" ht="15.75" thickBot="1" x14ac:dyDescent="0.3">
      <c r="A8553" s="43" t="s">
        <v>17514</v>
      </c>
      <c r="B8553" s="21" t="s">
        <v>17515</v>
      </c>
      <c r="C8553" s="21" t="s">
        <v>22682</v>
      </c>
      <c r="D8553" s="22">
        <v>46034</v>
      </c>
      <c r="E8553" s="23" t="s">
        <v>22658</v>
      </c>
      <c r="F8553" s="24" t="s">
        <v>22657</v>
      </c>
      <c r="G8553" s="25">
        <v>4</v>
      </c>
      <c r="H8553" s="29"/>
      <c r="I8553" s="30"/>
    </row>
    <row r="8554" spans="1:9" ht="15.75" thickBot="1" x14ac:dyDescent="0.3">
      <c r="A8554" s="43" t="s">
        <v>17516</v>
      </c>
      <c r="B8554" s="21" t="s">
        <v>17517</v>
      </c>
      <c r="C8554" s="21" t="s">
        <v>22682</v>
      </c>
      <c r="D8554" s="22">
        <v>46034</v>
      </c>
      <c r="E8554" s="23" t="s">
        <v>22656</v>
      </c>
      <c r="F8554" s="24" t="s">
        <v>22657</v>
      </c>
      <c r="G8554" s="25">
        <v>4</v>
      </c>
      <c r="H8554" s="26"/>
      <c r="I8554" s="27"/>
    </row>
    <row r="8555" spans="1:9" ht="15.75" thickBot="1" x14ac:dyDescent="0.3">
      <c r="A8555" s="43" t="s">
        <v>17518</v>
      </c>
      <c r="B8555" s="21" t="s">
        <v>17519</v>
      </c>
      <c r="C8555" s="21" t="s">
        <v>22682</v>
      </c>
      <c r="D8555" s="22">
        <v>46034</v>
      </c>
      <c r="E8555" s="23" t="s">
        <v>22658</v>
      </c>
      <c r="F8555" s="24" t="s">
        <v>22657</v>
      </c>
      <c r="G8555" s="25">
        <v>4</v>
      </c>
      <c r="H8555" s="29"/>
      <c r="I8555" s="30"/>
    </row>
    <row r="8556" spans="1:9" ht="15.75" thickBot="1" x14ac:dyDescent="0.3">
      <c r="A8556" s="43" t="s">
        <v>17520</v>
      </c>
      <c r="B8556" s="21" t="s">
        <v>17521</v>
      </c>
      <c r="C8556" s="21" t="s">
        <v>22682</v>
      </c>
      <c r="D8556" s="22">
        <v>46034</v>
      </c>
      <c r="E8556" s="23" t="s">
        <v>22658</v>
      </c>
      <c r="F8556" s="24" t="s">
        <v>22657</v>
      </c>
      <c r="G8556" s="25">
        <v>4</v>
      </c>
      <c r="H8556" s="26"/>
      <c r="I8556" s="27"/>
    </row>
    <row r="8557" spans="1:9" ht="15.75" thickBot="1" x14ac:dyDescent="0.3">
      <c r="A8557" s="43" t="s">
        <v>17522</v>
      </c>
      <c r="B8557" s="21" t="s">
        <v>17523</v>
      </c>
      <c r="C8557" s="21" t="s">
        <v>22682</v>
      </c>
      <c r="D8557" s="22">
        <v>46034</v>
      </c>
      <c r="E8557" s="23" t="s">
        <v>22658</v>
      </c>
      <c r="F8557" s="24" t="s">
        <v>22657</v>
      </c>
      <c r="G8557" s="25">
        <v>4</v>
      </c>
      <c r="H8557" s="29"/>
      <c r="I8557" s="30"/>
    </row>
    <row r="8558" spans="1:9" ht="15.75" thickBot="1" x14ac:dyDescent="0.3">
      <c r="A8558" s="43" t="s">
        <v>17524</v>
      </c>
      <c r="B8558" s="21" t="s">
        <v>17525</v>
      </c>
      <c r="C8558" s="21" t="s">
        <v>22682</v>
      </c>
      <c r="D8558" s="22">
        <v>46034</v>
      </c>
      <c r="E8558" s="23" t="s">
        <v>22656</v>
      </c>
      <c r="F8558" s="24" t="s">
        <v>22657</v>
      </c>
      <c r="G8558" s="25">
        <v>4</v>
      </c>
      <c r="H8558" s="26"/>
      <c r="I8558" s="27"/>
    </row>
    <row r="8559" spans="1:9" ht="15.75" thickBot="1" x14ac:dyDescent="0.3">
      <c r="A8559" s="43" t="s">
        <v>17526</v>
      </c>
      <c r="B8559" s="21" t="s">
        <v>17527</v>
      </c>
      <c r="C8559" s="21" t="s">
        <v>22682</v>
      </c>
      <c r="D8559" s="22">
        <v>46034</v>
      </c>
      <c r="E8559" s="23" t="s">
        <v>22656</v>
      </c>
      <c r="F8559" s="24" t="s">
        <v>22657</v>
      </c>
      <c r="G8559" s="25">
        <v>4</v>
      </c>
      <c r="H8559" s="29"/>
      <c r="I8559" s="30"/>
    </row>
    <row r="8560" spans="1:9" ht="15.75" thickBot="1" x14ac:dyDescent="0.3">
      <c r="A8560" s="43" t="s">
        <v>17528</v>
      </c>
      <c r="B8560" s="21" t="s">
        <v>17529</v>
      </c>
      <c r="C8560" s="21" t="s">
        <v>22682</v>
      </c>
      <c r="D8560" s="22">
        <v>46034</v>
      </c>
      <c r="E8560" s="23" t="s">
        <v>22656</v>
      </c>
      <c r="F8560" s="24" t="s">
        <v>22657</v>
      </c>
      <c r="G8560" s="25">
        <v>4</v>
      </c>
      <c r="H8560" s="26"/>
      <c r="I8560" s="27"/>
    </row>
    <row r="8561" spans="1:9" ht="15.75" thickBot="1" x14ac:dyDescent="0.3">
      <c r="A8561" s="43" t="s">
        <v>17530</v>
      </c>
      <c r="B8561" s="21" t="s">
        <v>17531</v>
      </c>
      <c r="C8561" s="21" t="s">
        <v>22690</v>
      </c>
      <c r="D8561" s="31" t="s">
        <v>22863</v>
      </c>
      <c r="E8561" s="23" t="s">
        <v>22661</v>
      </c>
      <c r="F8561" s="24" t="s">
        <v>22657</v>
      </c>
      <c r="G8561" s="25">
        <v>6</v>
      </c>
      <c r="H8561" s="32">
        <v>6</v>
      </c>
      <c r="I8561" s="33">
        <v>12</v>
      </c>
    </row>
    <row r="8562" spans="1:9" ht="15.75" thickBot="1" x14ac:dyDescent="0.3">
      <c r="A8562" s="43" t="s">
        <v>17532</v>
      </c>
      <c r="B8562" s="21" t="s">
        <v>17533</v>
      </c>
      <c r="C8562" s="21" t="s">
        <v>22694</v>
      </c>
      <c r="D8562" s="22">
        <v>46034</v>
      </c>
      <c r="E8562" s="23" t="s">
        <v>22661</v>
      </c>
      <c r="F8562" s="24" t="s">
        <v>22657</v>
      </c>
      <c r="G8562" s="25">
        <v>4</v>
      </c>
      <c r="H8562" s="26"/>
      <c r="I8562" s="27"/>
    </row>
    <row r="8563" spans="1:9" ht="15.75" thickBot="1" x14ac:dyDescent="0.3">
      <c r="A8563" s="43" t="s">
        <v>17534</v>
      </c>
      <c r="B8563" s="21" t="s">
        <v>17535</v>
      </c>
      <c r="C8563" s="21" t="s">
        <v>22694</v>
      </c>
      <c r="D8563" s="22">
        <v>46034</v>
      </c>
      <c r="E8563" s="23" t="s">
        <v>22656</v>
      </c>
      <c r="F8563" s="24" t="s">
        <v>22657</v>
      </c>
      <c r="G8563" s="25">
        <v>4</v>
      </c>
      <c r="H8563" s="29"/>
      <c r="I8563" s="30"/>
    </row>
    <row r="8564" spans="1:9" ht="15.75" thickBot="1" x14ac:dyDescent="0.3">
      <c r="A8564" s="43" t="s">
        <v>17536</v>
      </c>
      <c r="B8564" s="21" t="s">
        <v>17537</v>
      </c>
      <c r="C8564" s="21" t="s">
        <v>22690</v>
      </c>
      <c r="D8564" s="31" t="s">
        <v>22863</v>
      </c>
      <c r="E8564" s="23" t="s">
        <v>22656</v>
      </c>
      <c r="F8564" s="24" t="s">
        <v>22657</v>
      </c>
      <c r="G8564" s="25">
        <v>8</v>
      </c>
      <c r="H8564" s="26"/>
      <c r="I8564" s="27"/>
    </row>
    <row r="8565" spans="1:9" ht="15.75" thickBot="1" x14ac:dyDescent="0.3">
      <c r="A8565" s="43" t="s">
        <v>17538</v>
      </c>
      <c r="B8565" s="21" t="s">
        <v>17539</v>
      </c>
      <c r="C8565" s="21" t="s">
        <v>22655</v>
      </c>
      <c r="D8565" s="22">
        <v>46042</v>
      </c>
      <c r="E8565" s="23" t="s">
        <v>22656</v>
      </c>
      <c r="F8565" s="24" t="s">
        <v>22657</v>
      </c>
      <c r="G8565" s="25">
        <v>7</v>
      </c>
      <c r="H8565" s="29"/>
      <c r="I8565" s="30"/>
    </row>
    <row r="8566" spans="1:9" ht="15.75" thickBot="1" x14ac:dyDescent="0.3">
      <c r="A8566" s="43" t="s">
        <v>17540</v>
      </c>
      <c r="B8566" s="21" t="s">
        <v>17541</v>
      </c>
      <c r="C8566" s="21" t="s">
        <v>22655</v>
      </c>
      <c r="D8566" s="22">
        <v>46052</v>
      </c>
      <c r="E8566" s="23" t="s">
        <v>22661</v>
      </c>
      <c r="F8566" s="24" t="s">
        <v>22657</v>
      </c>
      <c r="G8566" s="25">
        <v>6</v>
      </c>
      <c r="H8566" s="26"/>
      <c r="I8566" s="27"/>
    </row>
    <row r="8567" spans="1:9" ht="15.75" thickBot="1" x14ac:dyDescent="0.3">
      <c r="A8567" s="43" t="s">
        <v>17542</v>
      </c>
      <c r="B8567" s="21" t="s">
        <v>17543</v>
      </c>
      <c r="C8567" s="21" t="s">
        <v>22682</v>
      </c>
      <c r="D8567" s="22">
        <v>46034</v>
      </c>
      <c r="E8567" s="23" t="s">
        <v>22658</v>
      </c>
      <c r="F8567" s="24" t="s">
        <v>22657</v>
      </c>
      <c r="G8567" s="25">
        <v>4</v>
      </c>
      <c r="H8567" s="29"/>
      <c r="I8567" s="30"/>
    </row>
    <row r="8568" spans="1:9" ht="15.75" thickBot="1" x14ac:dyDescent="0.3">
      <c r="A8568" s="43" t="s">
        <v>17544</v>
      </c>
      <c r="B8568" s="21" t="s">
        <v>17545</v>
      </c>
      <c r="C8568" s="21" t="s">
        <v>22655</v>
      </c>
      <c r="D8568" s="22">
        <v>46034</v>
      </c>
      <c r="E8568" s="23" t="s">
        <v>22656</v>
      </c>
      <c r="F8568" s="24" t="s">
        <v>22657</v>
      </c>
      <c r="G8568" s="25">
        <v>4</v>
      </c>
      <c r="H8568" s="26"/>
      <c r="I8568" s="27"/>
    </row>
    <row r="8569" spans="1:9" ht="15.75" thickBot="1" x14ac:dyDescent="0.3">
      <c r="A8569" s="43" t="s">
        <v>17546</v>
      </c>
      <c r="B8569" s="21" t="s">
        <v>17547</v>
      </c>
      <c r="C8569" s="21" t="s">
        <v>22663</v>
      </c>
      <c r="D8569" s="31">
        <v>1</v>
      </c>
      <c r="E8569" s="23" t="s">
        <v>22658</v>
      </c>
      <c r="F8569" s="24" t="s">
        <v>22657</v>
      </c>
      <c r="G8569" s="25">
        <v>2</v>
      </c>
      <c r="H8569" s="29"/>
      <c r="I8569" s="30"/>
    </row>
    <row r="8570" spans="1:9" ht="15.75" thickBot="1" x14ac:dyDescent="0.3">
      <c r="A8570" s="43" t="s">
        <v>17548</v>
      </c>
      <c r="B8570" s="21" t="s">
        <v>17549</v>
      </c>
      <c r="C8570" s="21" t="s">
        <v>22682</v>
      </c>
      <c r="D8570" s="22">
        <v>46034</v>
      </c>
      <c r="E8570" s="23" t="s">
        <v>22656</v>
      </c>
      <c r="F8570" s="24" t="s">
        <v>22657</v>
      </c>
      <c r="G8570" s="25">
        <v>4</v>
      </c>
      <c r="H8570" s="26"/>
      <c r="I8570" s="27"/>
    </row>
    <row r="8571" spans="1:9" ht="15.75" thickBot="1" x14ac:dyDescent="0.3">
      <c r="A8571" s="43" t="s">
        <v>17550</v>
      </c>
      <c r="B8571" s="21" t="s">
        <v>17551</v>
      </c>
      <c r="C8571" s="21" t="s">
        <v>22682</v>
      </c>
      <c r="D8571" s="22">
        <v>46034</v>
      </c>
      <c r="E8571" s="23" t="s">
        <v>22658</v>
      </c>
      <c r="F8571" s="24" t="s">
        <v>22657</v>
      </c>
      <c r="G8571" s="25">
        <v>4</v>
      </c>
      <c r="H8571" s="29"/>
      <c r="I8571" s="30"/>
    </row>
    <row r="8572" spans="1:9" ht="15.75" thickBot="1" x14ac:dyDescent="0.3">
      <c r="A8572" s="43" t="s">
        <v>17552</v>
      </c>
      <c r="B8572" s="21" t="s">
        <v>17553</v>
      </c>
      <c r="C8572" s="21" t="s">
        <v>22725</v>
      </c>
      <c r="D8572" s="31" t="s">
        <v>22864</v>
      </c>
      <c r="E8572" s="23" t="s">
        <v>22656</v>
      </c>
      <c r="F8572" s="24" t="s">
        <v>22657</v>
      </c>
      <c r="G8572" s="25">
        <v>5</v>
      </c>
      <c r="H8572" s="26"/>
      <c r="I8572" s="27"/>
    </row>
    <row r="8573" spans="1:9" ht="15.75" thickBot="1" x14ac:dyDescent="0.3">
      <c r="A8573" s="43" t="s">
        <v>17554</v>
      </c>
      <c r="B8573" s="21" t="s">
        <v>17555</v>
      </c>
      <c r="C8573" s="21" t="s">
        <v>22725</v>
      </c>
      <c r="D8573" s="31" t="s">
        <v>22819</v>
      </c>
      <c r="E8573" s="23" t="s">
        <v>22656</v>
      </c>
      <c r="F8573" s="24" t="s">
        <v>22657</v>
      </c>
      <c r="G8573" s="25">
        <v>5</v>
      </c>
      <c r="H8573" s="29"/>
      <c r="I8573" s="30"/>
    </row>
    <row r="8574" spans="1:9" ht="15.75" thickBot="1" x14ac:dyDescent="0.3">
      <c r="A8574" s="43" t="s">
        <v>17556</v>
      </c>
      <c r="B8574" s="21" t="s">
        <v>17557</v>
      </c>
      <c r="C8574" s="21" t="s">
        <v>22725</v>
      </c>
      <c r="D8574" s="31" t="s">
        <v>22808</v>
      </c>
      <c r="E8574" s="23" t="s">
        <v>22656</v>
      </c>
      <c r="F8574" s="24" t="s">
        <v>22657</v>
      </c>
      <c r="G8574" s="25">
        <v>5</v>
      </c>
      <c r="H8574" s="26"/>
      <c r="I8574" s="27"/>
    </row>
    <row r="8575" spans="1:9" ht="15.75" thickBot="1" x14ac:dyDescent="0.3">
      <c r="A8575" s="43" t="s">
        <v>17558</v>
      </c>
      <c r="B8575" s="21" t="s">
        <v>17559</v>
      </c>
      <c r="C8575" s="21" t="s">
        <v>22725</v>
      </c>
      <c r="D8575" s="31" t="s">
        <v>22669</v>
      </c>
      <c r="E8575" s="23" t="s">
        <v>22656</v>
      </c>
      <c r="F8575" s="24" t="s">
        <v>22657</v>
      </c>
      <c r="G8575" s="25">
        <v>10</v>
      </c>
      <c r="H8575" s="32">
        <v>10</v>
      </c>
      <c r="I8575" s="33">
        <v>20</v>
      </c>
    </row>
    <row r="8576" spans="1:9" ht="15.75" thickBot="1" x14ac:dyDescent="0.3">
      <c r="A8576" s="43" t="s">
        <v>817</v>
      </c>
      <c r="B8576" s="21" t="s">
        <v>818</v>
      </c>
      <c r="C8576" s="21" t="s">
        <v>22725</v>
      </c>
      <c r="D8576" s="22">
        <v>46050</v>
      </c>
      <c r="E8576" s="23" t="s">
        <v>22656</v>
      </c>
      <c r="F8576" s="24" t="s">
        <v>22657</v>
      </c>
      <c r="G8576" s="25">
        <v>4</v>
      </c>
      <c r="H8576" s="34">
        <v>4</v>
      </c>
      <c r="I8576" s="35">
        <v>6</v>
      </c>
    </row>
    <row r="8577" spans="1:9" ht="15.75" thickBot="1" x14ac:dyDescent="0.3">
      <c r="A8577" s="43" t="s">
        <v>1639</v>
      </c>
      <c r="B8577" s="21" t="s">
        <v>1640</v>
      </c>
      <c r="C8577" s="21" t="s">
        <v>22725</v>
      </c>
      <c r="D8577" s="22">
        <v>46046</v>
      </c>
      <c r="E8577" s="23" t="s">
        <v>22656</v>
      </c>
      <c r="F8577" s="24" t="s">
        <v>22657</v>
      </c>
      <c r="G8577" s="25">
        <v>4</v>
      </c>
      <c r="H8577" s="32">
        <v>4</v>
      </c>
      <c r="I8577" s="33">
        <v>8</v>
      </c>
    </row>
    <row r="8578" spans="1:9" ht="15.75" thickBot="1" x14ac:dyDescent="0.3">
      <c r="A8578" s="43" t="s">
        <v>17560</v>
      </c>
      <c r="B8578" s="21" t="s">
        <v>17561</v>
      </c>
      <c r="C8578" s="21" t="s">
        <v>22725</v>
      </c>
      <c r="D8578" s="31" t="s">
        <v>22865</v>
      </c>
      <c r="E8578" s="23" t="s">
        <v>22661</v>
      </c>
      <c r="F8578" s="24" t="s">
        <v>22657</v>
      </c>
      <c r="G8578" s="25">
        <v>5</v>
      </c>
      <c r="H8578" s="26"/>
      <c r="I8578" s="27"/>
    </row>
    <row r="8579" spans="1:9" ht="15.75" thickBot="1" x14ac:dyDescent="0.3">
      <c r="A8579" s="43" t="s">
        <v>17562</v>
      </c>
      <c r="B8579" s="21" t="s">
        <v>17563</v>
      </c>
      <c r="C8579" s="21" t="s">
        <v>22682</v>
      </c>
      <c r="D8579" s="22">
        <v>46034</v>
      </c>
      <c r="E8579" s="23" t="s">
        <v>22656</v>
      </c>
      <c r="F8579" s="24" t="s">
        <v>22657</v>
      </c>
      <c r="G8579" s="25">
        <v>4</v>
      </c>
      <c r="H8579" s="29"/>
      <c r="I8579" s="30"/>
    </row>
    <row r="8580" spans="1:9" ht="15.75" thickBot="1" x14ac:dyDescent="0.3">
      <c r="A8580" s="43" t="s">
        <v>17564</v>
      </c>
      <c r="B8580" s="21" t="s">
        <v>17565</v>
      </c>
      <c r="C8580" s="21" t="s">
        <v>22655</v>
      </c>
      <c r="D8580" s="22">
        <v>46044</v>
      </c>
      <c r="E8580" s="23" t="s">
        <v>22656</v>
      </c>
      <c r="F8580" s="24" t="s">
        <v>22657</v>
      </c>
      <c r="G8580" s="25">
        <v>4</v>
      </c>
      <c r="H8580" s="26"/>
      <c r="I8580" s="27"/>
    </row>
    <row r="8581" spans="1:9" ht="15.75" thickBot="1" x14ac:dyDescent="0.3">
      <c r="A8581" s="43" t="s">
        <v>17566</v>
      </c>
      <c r="B8581" s="21" t="s">
        <v>17567</v>
      </c>
      <c r="C8581" s="21" t="s">
        <v>22698</v>
      </c>
      <c r="D8581" s="31">
        <v>1</v>
      </c>
      <c r="E8581" s="23" t="s">
        <v>22658</v>
      </c>
      <c r="F8581" s="24" t="s">
        <v>22657</v>
      </c>
      <c r="G8581" s="25">
        <v>1</v>
      </c>
      <c r="H8581" s="29"/>
      <c r="I8581" s="30"/>
    </row>
    <row r="8582" spans="1:9" ht="15.75" thickBot="1" x14ac:dyDescent="0.3">
      <c r="A8582" s="43" t="s">
        <v>17568</v>
      </c>
      <c r="B8582" s="21" t="s">
        <v>17569</v>
      </c>
      <c r="C8582" s="21" t="s">
        <v>22663</v>
      </c>
      <c r="D8582" s="31">
        <v>1</v>
      </c>
      <c r="E8582" s="23" t="s">
        <v>22658</v>
      </c>
      <c r="F8582" s="24" t="s">
        <v>22657</v>
      </c>
      <c r="G8582" s="25">
        <v>1</v>
      </c>
      <c r="H8582" s="26"/>
      <c r="I8582" s="27"/>
    </row>
    <row r="8583" spans="1:9" ht="15.75" thickBot="1" x14ac:dyDescent="0.3">
      <c r="A8583" s="43" t="s">
        <v>17570</v>
      </c>
      <c r="B8583" s="21" t="s">
        <v>17571</v>
      </c>
      <c r="C8583" s="21" t="s">
        <v>22663</v>
      </c>
      <c r="D8583" s="31">
        <v>1</v>
      </c>
      <c r="E8583" s="23" t="s">
        <v>22658</v>
      </c>
      <c r="F8583" s="24" t="s">
        <v>22657</v>
      </c>
      <c r="G8583" s="25">
        <v>1</v>
      </c>
      <c r="H8583" s="29"/>
      <c r="I8583" s="30"/>
    </row>
    <row r="8584" spans="1:9" ht="15.75" thickBot="1" x14ac:dyDescent="0.3">
      <c r="A8584" s="43" t="s">
        <v>17572</v>
      </c>
      <c r="B8584" s="21" t="s">
        <v>17573</v>
      </c>
      <c r="C8584" s="21" t="s">
        <v>22663</v>
      </c>
      <c r="D8584" s="31">
        <v>1</v>
      </c>
      <c r="E8584" s="23" t="s">
        <v>22658</v>
      </c>
      <c r="F8584" s="24" t="s">
        <v>22657</v>
      </c>
      <c r="G8584" s="25">
        <v>1</v>
      </c>
      <c r="H8584" s="26"/>
      <c r="I8584" s="27"/>
    </row>
    <row r="8585" spans="1:9" ht="15.75" thickBot="1" x14ac:dyDescent="0.3">
      <c r="A8585" s="43" t="s">
        <v>17574</v>
      </c>
      <c r="B8585" s="21" t="s">
        <v>17575</v>
      </c>
      <c r="C8585" s="21" t="s">
        <v>22682</v>
      </c>
      <c r="D8585" s="22">
        <v>46034</v>
      </c>
      <c r="E8585" s="23" t="s">
        <v>22656</v>
      </c>
      <c r="F8585" s="24" t="s">
        <v>22657</v>
      </c>
      <c r="G8585" s="25">
        <v>4</v>
      </c>
      <c r="H8585" s="29"/>
      <c r="I8585" s="30"/>
    </row>
    <row r="8586" spans="1:9" ht="15.75" thickBot="1" x14ac:dyDescent="0.3">
      <c r="A8586" s="43" t="s">
        <v>17576</v>
      </c>
      <c r="B8586" s="21" t="s">
        <v>17577</v>
      </c>
      <c r="C8586" s="21" t="s">
        <v>22682</v>
      </c>
      <c r="D8586" s="22">
        <v>46034</v>
      </c>
      <c r="E8586" s="23" t="s">
        <v>22656</v>
      </c>
      <c r="F8586" s="24" t="s">
        <v>22657</v>
      </c>
      <c r="G8586" s="25">
        <v>4</v>
      </c>
      <c r="H8586" s="26"/>
      <c r="I8586" s="27"/>
    </row>
    <row r="8587" spans="1:9" ht="15.75" thickBot="1" x14ac:dyDescent="0.3">
      <c r="A8587" s="43" t="s">
        <v>17578</v>
      </c>
      <c r="B8587" s="21" t="s">
        <v>17579</v>
      </c>
      <c r="C8587" s="21" t="s">
        <v>22682</v>
      </c>
      <c r="D8587" s="22">
        <v>46034</v>
      </c>
      <c r="E8587" s="23" t="s">
        <v>22656</v>
      </c>
      <c r="F8587" s="24" t="s">
        <v>22657</v>
      </c>
      <c r="G8587" s="25">
        <v>4</v>
      </c>
      <c r="H8587" s="29"/>
      <c r="I8587" s="30"/>
    </row>
    <row r="8588" spans="1:9" ht="15.75" thickBot="1" x14ac:dyDescent="0.3">
      <c r="A8588" s="43" t="s">
        <v>17580</v>
      </c>
      <c r="B8588" s="21" t="s">
        <v>17581</v>
      </c>
      <c r="C8588" s="21" t="s">
        <v>22682</v>
      </c>
      <c r="D8588" s="22">
        <v>46034</v>
      </c>
      <c r="E8588" s="23" t="s">
        <v>22656</v>
      </c>
      <c r="F8588" s="24" t="s">
        <v>22657</v>
      </c>
      <c r="G8588" s="25">
        <v>4</v>
      </c>
      <c r="H8588" s="26"/>
      <c r="I8588" s="27"/>
    </row>
    <row r="8589" spans="1:9" ht="15.75" thickBot="1" x14ac:dyDescent="0.3">
      <c r="A8589" s="43" t="s">
        <v>17582</v>
      </c>
      <c r="B8589" s="21" t="s">
        <v>17583</v>
      </c>
      <c r="C8589" s="21" t="s">
        <v>22682</v>
      </c>
      <c r="D8589" s="22">
        <v>46034</v>
      </c>
      <c r="E8589" s="23" t="s">
        <v>22656</v>
      </c>
      <c r="F8589" s="24" t="s">
        <v>22657</v>
      </c>
      <c r="G8589" s="25">
        <v>4</v>
      </c>
      <c r="H8589" s="29"/>
      <c r="I8589" s="30"/>
    </row>
    <row r="8590" spans="1:9" ht="15.75" thickBot="1" x14ac:dyDescent="0.3">
      <c r="A8590" s="43" t="s">
        <v>17584</v>
      </c>
      <c r="B8590" s="21" t="s">
        <v>17585</v>
      </c>
      <c r="C8590" s="21" t="s">
        <v>22682</v>
      </c>
      <c r="D8590" s="22">
        <v>46034</v>
      </c>
      <c r="E8590" s="23" t="s">
        <v>22658</v>
      </c>
      <c r="F8590" s="24" t="s">
        <v>22657</v>
      </c>
      <c r="G8590" s="25">
        <v>4</v>
      </c>
      <c r="H8590" s="26"/>
      <c r="I8590" s="27"/>
    </row>
    <row r="8591" spans="1:9" ht="15.75" thickBot="1" x14ac:dyDescent="0.3">
      <c r="A8591" s="43" t="s">
        <v>17586</v>
      </c>
      <c r="B8591" s="21" t="s">
        <v>17587</v>
      </c>
      <c r="C8591" s="21" t="s">
        <v>22682</v>
      </c>
      <c r="D8591" s="22">
        <v>46034</v>
      </c>
      <c r="E8591" s="23" t="s">
        <v>22656</v>
      </c>
      <c r="F8591" s="24" t="s">
        <v>22657</v>
      </c>
      <c r="G8591" s="25">
        <v>4</v>
      </c>
      <c r="H8591" s="29"/>
      <c r="I8591" s="30"/>
    </row>
    <row r="8592" spans="1:9" ht="15.75" thickBot="1" x14ac:dyDescent="0.3">
      <c r="A8592" s="43" t="s">
        <v>17588</v>
      </c>
      <c r="B8592" s="21" t="s">
        <v>17589</v>
      </c>
      <c r="C8592" s="21" t="s">
        <v>22682</v>
      </c>
      <c r="D8592" s="22">
        <v>46034</v>
      </c>
      <c r="E8592" s="23" t="s">
        <v>22658</v>
      </c>
      <c r="F8592" s="24" t="s">
        <v>22657</v>
      </c>
      <c r="G8592" s="25">
        <v>4</v>
      </c>
      <c r="H8592" s="26"/>
      <c r="I8592" s="27"/>
    </row>
    <row r="8593" spans="1:9" ht="15.75" thickBot="1" x14ac:dyDescent="0.3">
      <c r="A8593" s="43" t="s">
        <v>17590</v>
      </c>
      <c r="B8593" s="21" t="s">
        <v>17591</v>
      </c>
      <c r="C8593" s="21" t="s">
        <v>22682</v>
      </c>
      <c r="D8593" s="22">
        <v>46034</v>
      </c>
      <c r="E8593" s="23" t="s">
        <v>22658</v>
      </c>
      <c r="F8593" s="24" t="s">
        <v>22657</v>
      </c>
      <c r="G8593" s="25">
        <v>4</v>
      </c>
      <c r="H8593" s="29"/>
      <c r="I8593" s="30"/>
    </row>
    <row r="8594" spans="1:9" ht="15.75" thickBot="1" x14ac:dyDescent="0.3">
      <c r="A8594" s="43" t="s">
        <v>17592</v>
      </c>
      <c r="B8594" s="21" t="s">
        <v>17593</v>
      </c>
      <c r="C8594" s="21" t="s">
        <v>22682</v>
      </c>
      <c r="D8594" s="22">
        <v>46034</v>
      </c>
      <c r="E8594" s="23" t="s">
        <v>22656</v>
      </c>
      <c r="F8594" s="24" t="s">
        <v>22657</v>
      </c>
      <c r="G8594" s="25">
        <v>4</v>
      </c>
      <c r="H8594" s="26"/>
      <c r="I8594" s="27"/>
    </row>
    <row r="8595" spans="1:9" ht="15.75" thickBot="1" x14ac:dyDescent="0.3">
      <c r="A8595" s="43" t="s">
        <v>17594</v>
      </c>
      <c r="B8595" s="21" t="s">
        <v>17595</v>
      </c>
      <c r="C8595" s="21" t="s">
        <v>22682</v>
      </c>
      <c r="D8595" s="22">
        <v>46034</v>
      </c>
      <c r="E8595" s="23" t="s">
        <v>22656</v>
      </c>
      <c r="F8595" s="24" t="s">
        <v>22657</v>
      </c>
      <c r="G8595" s="25">
        <v>4</v>
      </c>
      <c r="H8595" s="29"/>
      <c r="I8595" s="30"/>
    </row>
    <row r="8596" spans="1:9" ht="15.75" thickBot="1" x14ac:dyDescent="0.3">
      <c r="A8596" s="43" t="s">
        <v>17596</v>
      </c>
      <c r="B8596" s="21" t="s">
        <v>17597</v>
      </c>
      <c r="C8596" s="21" t="s">
        <v>22682</v>
      </c>
      <c r="D8596" s="22">
        <v>46034</v>
      </c>
      <c r="E8596" s="23" t="s">
        <v>22656</v>
      </c>
      <c r="F8596" s="24" t="s">
        <v>22657</v>
      </c>
      <c r="G8596" s="25">
        <v>4</v>
      </c>
      <c r="H8596" s="26"/>
      <c r="I8596" s="27"/>
    </row>
    <row r="8597" spans="1:9" ht="15.75" thickBot="1" x14ac:dyDescent="0.3">
      <c r="A8597" s="43" t="s">
        <v>17598</v>
      </c>
      <c r="B8597" s="21" t="s">
        <v>17599</v>
      </c>
      <c r="C8597" s="21" t="s">
        <v>22682</v>
      </c>
      <c r="D8597" s="22">
        <v>46034</v>
      </c>
      <c r="E8597" s="23" t="s">
        <v>22656</v>
      </c>
      <c r="F8597" s="24" t="s">
        <v>22657</v>
      </c>
      <c r="G8597" s="25">
        <v>4</v>
      </c>
      <c r="H8597" s="29"/>
      <c r="I8597" s="30"/>
    </row>
    <row r="8598" spans="1:9" ht="15.75" thickBot="1" x14ac:dyDescent="0.3">
      <c r="A8598" s="43" t="s">
        <v>17600</v>
      </c>
      <c r="B8598" s="21" t="s">
        <v>17601</v>
      </c>
      <c r="C8598" s="21" t="s">
        <v>22682</v>
      </c>
      <c r="D8598" s="22">
        <v>46034</v>
      </c>
      <c r="E8598" s="23" t="s">
        <v>22658</v>
      </c>
      <c r="F8598" s="24" t="s">
        <v>22657</v>
      </c>
      <c r="G8598" s="25">
        <v>4</v>
      </c>
      <c r="H8598" s="26"/>
      <c r="I8598" s="27"/>
    </row>
    <row r="8599" spans="1:9" ht="15.75" thickBot="1" x14ac:dyDescent="0.3">
      <c r="A8599" s="43" t="s">
        <v>17602</v>
      </c>
      <c r="B8599" s="21" t="s">
        <v>17603</v>
      </c>
      <c r="C8599" s="21" t="s">
        <v>22682</v>
      </c>
      <c r="D8599" s="22">
        <v>46034</v>
      </c>
      <c r="E8599" s="23" t="s">
        <v>22656</v>
      </c>
      <c r="F8599" s="24" t="s">
        <v>22657</v>
      </c>
      <c r="G8599" s="25">
        <v>4</v>
      </c>
      <c r="H8599" s="29"/>
      <c r="I8599" s="30"/>
    </row>
    <row r="8600" spans="1:9" ht="15.75" thickBot="1" x14ac:dyDescent="0.3">
      <c r="A8600" s="43" t="s">
        <v>17604</v>
      </c>
      <c r="B8600" s="21" t="s">
        <v>17605</v>
      </c>
      <c r="C8600" s="21" t="s">
        <v>22682</v>
      </c>
      <c r="D8600" s="22">
        <v>46034</v>
      </c>
      <c r="E8600" s="23" t="s">
        <v>22656</v>
      </c>
      <c r="F8600" s="24" t="s">
        <v>22657</v>
      </c>
      <c r="G8600" s="25">
        <v>4</v>
      </c>
      <c r="H8600" s="26"/>
      <c r="I8600" s="27"/>
    </row>
    <row r="8601" spans="1:9" ht="15.75" thickBot="1" x14ac:dyDescent="0.3">
      <c r="A8601" s="43" t="s">
        <v>17606</v>
      </c>
      <c r="B8601" s="21" t="s">
        <v>17607</v>
      </c>
      <c r="C8601" s="21" t="s">
        <v>22682</v>
      </c>
      <c r="D8601" s="22">
        <v>46034</v>
      </c>
      <c r="E8601" s="23" t="s">
        <v>22656</v>
      </c>
      <c r="F8601" s="24" t="s">
        <v>22657</v>
      </c>
      <c r="G8601" s="25">
        <v>4</v>
      </c>
      <c r="H8601" s="29"/>
      <c r="I8601" s="30"/>
    </row>
    <row r="8602" spans="1:9" ht="15.75" thickBot="1" x14ac:dyDescent="0.3">
      <c r="A8602" s="43" t="s">
        <v>17608</v>
      </c>
      <c r="B8602" s="21" t="s">
        <v>17609</v>
      </c>
      <c r="C8602" s="21" t="s">
        <v>22682</v>
      </c>
      <c r="D8602" s="22">
        <v>46034</v>
      </c>
      <c r="E8602" s="23" t="s">
        <v>22656</v>
      </c>
      <c r="F8602" s="24" t="s">
        <v>22657</v>
      </c>
      <c r="G8602" s="25">
        <v>4</v>
      </c>
      <c r="H8602" s="26"/>
      <c r="I8602" s="27"/>
    </row>
    <row r="8603" spans="1:9" ht="15.75" thickBot="1" x14ac:dyDescent="0.3">
      <c r="A8603" s="43" t="s">
        <v>17610</v>
      </c>
      <c r="B8603" s="21" t="s">
        <v>17611</v>
      </c>
      <c r="C8603" s="21" t="s">
        <v>22682</v>
      </c>
      <c r="D8603" s="22">
        <v>46034</v>
      </c>
      <c r="E8603" s="23" t="s">
        <v>22656</v>
      </c>
      <c r="F8603" s="24" t="s">
        <v>22657</v>
      </c>
      <c r="G8603" s="25">
        <v>4</v>
      </c>
      <c r="H8603" s="29"/>
      <c r="I8603" s="30"/>
    </row>
    <row r="8604" spans="1:9" ht="15.75" thickBot="1" x14ac:dyDescent="0.3">
      <c r="A8604" s="43" t="s">
        <v>17612</v>
      </c>
      <c r="B8604" s="21" t="s">
        <v>17613</v>
      </c>
      <c r="C8604" s="21" t="s">
        <v>22682</v>
      </c>
      <c r="D8604" s="22">
        <v>46034</v>
      </c>
      <c r="E8604" s="23" t="s">
        <v>22656</v>
      </c>
      <c r="F8604" s="24" t="s">
        <v>22657</v>
      </c>
      <c r="G8604" s="25">
        <v>4</v>
      </c>
      <c r="H8604" s="26"/>
      <c r="I8604" s="27"/>
    </row>
    <row r="8605" spans="1:9" ht="15.75" thickBot="1" x14ac:dyDescent="0.3">
      <c r="A8605" s="43" t="s">
        <v>17614</v>
      </c>
      <c r="B8605" s="21" t="s">
        <v>17615</v>
      </c>
      <c r="C8605" s="21" t="s">
        <v>22682</v>
      </c>
      <c r="D8605" s="22">
        <v>46034</v>
      </c>
      <c r="E8605" s="23" t="s">
        <v>22656</v>
      </c>
      <c r="F8605" s="24" t="s">
        <v>22657</v>
      </c>
      <c r="G8605" s="25">
        <v>4</v>
      </c>
      <c r="H8605" s="29"/>
      <c r="I8605" s="30"/>
    </row>
    <row r="8606" spans="1:9" ht="15.75" thickBot="1" x14ac:dyDescent="0.3">
      <c r="A8606" s="43" t="s">
        <v>17616</v>
      </c>
      <c r="B8606" s="21" t="s">
        <v>17617</v>
      </c>
      <c r="C8606" s="21" t="s">
        <v>22682</v>
      </c>
      <c r="D8606" s="22">
        <v>46034</v>
      </c>
      <c r="E8606" s="23" t="s">
        <v>22656</v>
      </c>
      <c r="F8606" s="24" t="s">
        <v>22657</v>
      </c>
      <c r="G8606" s="25">
        <v>4</v>
      </c>
      <c r="H8606" s="26"/>
      <c r="I8606" s="27"/>
    </row>
    <row r="8607" spans="1:9" ht="15.75" thickBot="1" x14ac:dyDescent="0.3">
      <c r="A8607" s="43" t="s">
        <v>17618</v>
      </c>
      <c r="B8607" s="21" t="s">
        <v>17619</v>
      </c>
      <c r="C8607" s="21" t="s">
        <v>22682</v>
      </c>
      <c r="D8607" s="22">
        <v>46034</v>
      </c>
      <c r="E8607" s="23" t="s">
        <v>22656</v>
      </c>
      <c r="F8607" s="24" t="s">
        <v>22657</v>
      </c>
      <c r="G8607" s="25">
        <v>4</v>
      </c>
      <c r="H8607" s="29"/>
      <c r="I8607" s="30"/>
    </row>
    <row r="8608" spans="1:9" ht="15.75" thickBot="1" x14ac:dyDescent="0.3">
      <c r="A8608" s="43" t="s">
        <v>17620</v>
      </c>
      <c r="B8608" s="21" t="s">
        <v>17621</v>
      </c>
      <c r="C8608" s="21" t="s">
        <v>22682</v>
      </c>
      <c r="D8608" s="22">
        <v>46034</v>
      </c>
      <c r="E8608" s="23" t="s">
        <v>22656</v>
      </c>
      <c r="F8608" s="24" t="s">
        <v>22657</v>
      </c>
      <c r="G8608" s="25">
        <v>4</v>
      </c>
      <c r="H8608" s="26"/>
      <c r="I8608" s="27"/>
    </row>
    <row r="8609" spans="1:9" ht="15.75" thickBot="1" x14ac:dyDescent="0.3">
      <c r="A8609" s="43" t="s">
        <v>17622</v>
      </c>
      <c r="B8609" s="21" t="s">
        <v>17623</v>
      </c>
      <c r="C8609" s="21" t="s">
        <v>22682</v>
      </c>
      <c r="D8609" s="22">
        <v>46034</v>
      </c>
      <c r="E8609" s="23" t="s">
        <v>22656</v>
      </c>
      <c r="F8609" s="24" t="s">
        <v>22657</v>
      </c>
      <c r="G8609" s="25">
        <v>4</v>
      </c>
      <c r="H8609" s="29"/>
      <c r="I8609" s="30"/>
    </row>
    <row r="8610" spans="1:9" ht="15.75" thickBot="1" x14ac:dyDescent="0.3">
      <c r="A8610" s="43" t="s">
        <v>17624</v>
      </c>
      <c r="B8610" s="21" t="s">
        <v>17625</v>
      </c>
      <c r="C8610" s="21" t="s">
        <v>22682</v>
      </c>
      <c r="D8610" s="22">
        <v>46034</v>
      </c>
      <c r="E8610" s="23" t="s">
        <v>22656</v>
      </c>
      <c r="F8610" s="24" t="s">
        <v>22657</v>
      </c>
      <c r="G8610" s="25">
        <v>4</v>
      </c>
      <c r="H8610" s="26"/>
      <c r="I8610" s="27"/>
    </row>
    <row r="8611" spans="1:9" ht="15.75" thickBot="1" x14ac:dyDescent="0.3">
      <c r="A8611" s="43" t="s">
        <v>17626</v>
      </c>
      <c r="B8611" s="21" t="s">
        <v>17627</v>
      </c>
      <c r="C8611" s="21" t="s">
        <v>22682</v>
      </c>
      <c r="D8611" s="22">
        <v>46034</v>
      </c>
      <c r="E8611" s="23" t="s">
        <v>22656</v>
      </c>
      <c r="F8611" s="24" t="s">
        <v>22657</v>
      </c>
      <c r="G8611" s="25">
        <v>4</v>
      </c>
      <c r="H8611" s="29"/>
      <c r="I8611" s="30"/>
    </row>
    <row r="8612" spans="1:9" ht="15.75" thickBot="1" x14ac:dyDescent="0.3">
      <c r="A8612" s="43" t="s">
        <v>17628</v>
      </c>
      <c r="B8612" s="21" t="s">
        <v>17629</v>
      </c>
      <c r="C8612" s="21" t="s">
        <v>22682</v>
      </c>
      <c r="D8612" s="22">
        <v>46034</v>
      </c>
      <c r="E8612" s="23" t="s">
        <v>22658</v>
      </c>
      <c r="F8612" s="24" t="s">
        <v>22657</v>
      </c>
      <c r="G8612" s="25">
        <v>4</v>
      </c>
      <c r="H8612" s="26"/>
      <c r="I8612" s="27"/>
    </row>
    <row r="8613" spans="1:9" ht="15.75" thickBot="1" x14ac:dyDescent="0.3">
      <c r="A8613" s="43" t="s">
        <v>17630</v>
      </c>
      <c r="B8613" s="21" t="s">
        <v>17631</v>
      </c>
      <c r="C8613" s="21" t="s">
        <v>22682</v>
      </c>
      <c r="D8613" s="22">
        <v>46034</v>
      </c>
      <c r="E8613" s="23" t="s">
        <v>22656</v>
      </c>
      <c r="F8613" s="24" t="s">
        <v>22657</v>
      </c>
      <c r="G8613" s="25">
        <v>4</v>
      </c>
      <c r="H8613" s="29"/>
      <c r="I8613" s="30"/>
    </row>
    <row r="8614" spans="1:9" ht="15.75" thickBot="1" x14ac:dyDescent="0.3">
      <c r="A8614" s="43" t="s">
        <v>17648</v>
      </c>
      <c r="B8614" s="21" t="s">
        <v>17649</v>
      </c>
      <c r="C8614" s="21" t="s">
        <v>22682</v>
      </c>
      <c r="D8614" s="22">
        <v>46034</v>
      </c>
      <c r="E8614" s="23" t="s">
        <v>22656</v>
      </c>
      <c r="F8614" s="24" t="s">
        <v>22657</v>
      </c>
      <c r="G8614" s="25">
        <v>4</v>
      </c>
      <c r="H8614" s="26"/>
      <c r="I8614" s="27"/>
    </row>
    <row r="8615" spans="1:9" ht="15.75" thickBot="1" x14ac:dyDescent="0.3">
      <c r="A8615" s="43" t="s">
        <v>17632</v>
      </c>
      <c r="B8615" s="21" t="s">
        <v>17633</v>
      </c>
      <c r="C8615" s="21" t="s">
        <v>22682</v>
      </c>
      <c r="D8615" s="22">
        <v>46034</v>
      </c>
      <c r="E8615" s="23" t="s">
        <v>22658</v>
      </c>
      <c r="F8615" s="24" t="s">
        <v>22657</v>
      </c>
      <c r="G8615" s="25">
        <v>4</v>
      </c>
      <c r="H8615" s="29"/>
      <c r="I8615" s="30"/>
    </row>
    <row r="8616" spans="1:9" ht="15.75" thickBot="1" x14ac:dyDescent="0.3">
      <c r="A8616" s="43" t="s">
        <v>17650</v>
      </c>
      <c r="B8616" s="21" t="s">
        <v>17651</v>
      </c>
      <c r="C8616" s="21" t="s">
        <v>22682</v>
      </c>
      <c r="D8616" s="22">
        <v>46034</v>
      </c>
      <c r="E8616" s="23" t="s">
        <v>22656</v>
      </c>
      <c r="F8616" s="24" t="s">
        <v>22657</v>
      </c>
      <c r="G8616" s="25">
        <v>4</v>
      </c>
      <c r="H8616" s="26"/>
      <c r="I8616" s="27"/>
    </row>
    <row r="8617" spans="1:9" ht="15.75" thickBot="1" x14ac:dyDescent="0.3">
      <c r="A8617" s="43" t="s">
        <v>17634</v>
      </c>
      <c r="B8617" s="21" t="s">
        <v>17635</v>
      </c>
      <c r="C8617" s="21" t="s">
        <v>22682</v>
      </c>
      <c r="D8617" s="22">
        <v>46034</v>
      </c>
      <c r="E8617" s="23" t="s">
        <v>22656</v>
      </c>
      <c r="F8617" s="24" t="s">
        <v>22657</v>
      </c>
      <c r="G8617" s="25">
        <v>4</v>
      </c>
      <c r="H8617" s="29"/>
      <c r="I8617" s="30"/>
    </row>
    <row r="8618" spans="1:9" ht="15.75" thickBot="1" x14ac:dyDescent="0.3">
      <c r="A8618" s="43" t="s">
        <v>17636</v>
      </c>
      <c r="B8618" s="21" t="s">
        <v>17637</v>
      </c>
      <c r="C8618" s="21" t="s">
        <v>22682</v>
      </c>
      <c r="D8618" s="22">
        <v>46034</v>
      </c>
      <c r="E8618" s="23" t="s">
        <v>22656</v>
      </c>
      <c r="F8618" s="24" t="s">
        <v>22657</v>
      </c>
      <c r="G8618" s="25">
        <v>4</v>
      </c>
      <c r="H8618" s="26"/>
      <c r="I8618" s="27"/>
    </row>
    <row r="8619" spans="1:9" ht="15.75" thickBot="1" x14ac:dyDescent="0.3">
      <c r="A8619" s="43" t="s">
        <v>17638</v>
      </c>
      <c r="B8619" s="21" t="s">
        <v>17639</v>
      </c>
      <c r="C8619" s="21" t="s">
        <v>22682</v>
      </c>
      <c r="D8619" s="22">
        <v>46034</v>
      </c>
      <c r="E8619" s="23" t="s">
        <v>22656</v>
      </c>
      <c r="F8619" s="24" t="s">
        <v>22657</v>
      </c>
      <c r="G8619" s="25">
        <v>4</v>
      </c>
      <c r="H8619" s="29"/>
      <c r="I8619" s="30"/>
    </row>
    <row r="8620" spans="1:9" ht="15.75" thickBot="1" x14ac:dyDescent="0.3">
      <c r="A8620" s="43" t="s">
        <v>17640</v>
      </c>
      <c r="B8620" s="21" t="s">
        <v>17641</v>
      </c>
      <c r="C8620" s="21" t="s">
        <v>22682</v>
      </c>
      <c r="D8620" s="22">
        <v>46034</v>
      </c>
      <c r="E8620" s="23" t="s">
        <v>22656</v>
      </c>
      <c r="F8620" s="24" t="s">
        <v>22657</v>
      </c>
      <c r="G8620" s="25">
        <v>4</v>
      </c>
      <c r="H8620" s="26"/>
      <c r="I8620" s="27"/>
    </row>
    <row r="8621" spans="1:9" ht="15.75" thickBot="1" x14ac:dyDescent="0.3">
      <c r="A8621" s="43" t="s">
        <v>17642</v>
      </c>
      <c r="B8621" s="21" t="s">
        <v>17643</v>
      </c>
      <c r="C8621" s="21" t="s">
        <v>22682</v>
      </c>
      <c r="D8621" s="22">
        <v>46034</v>
      </c>
      <c r="E8621" s="23" t="s">
        <v>22656</v>
      </c>
      <c r="F8621" s="24" t="s">
        <v>22657</v>
      </c>
      <c r="G8621" s="25">
        <v>4</v>
      </c>
      <c r="H8621" s="29"/>
      <c r="I8621" s="30"/>
    </row>
    <row r="8622" spans="1:9" ht="15.75" thickBot="1" x14ac:dyDescent="0.3">
      <c r="A8622" s="43" t="s">
        <v>17644</v>
      </c>
      <c r="B8622" s="21" t="s">
        <v>17645</v>
      </c>
      <c r="C8622" s="21" t="s">
        <v>22682</v>
      </c>
      <c r="D8622" s="22">
        <v>46034</v>
      </c>
      <c r="E8622" s="23" t="s">
        <v>22658</v>
      </c>
      <c r="F8622" s="24" t="s">
        <v>22657</v>
      </c>
      <c r="G8622" s="25">
        <v>4</v>
      </c>
      <c r="H8622" s="26"/>
      <c r="I8622" s="27"/>
    </row>
    <row r="8623" spans="1:9" ht="15.75" thickBot="1" x14ac:dyDescent="0.3">
      <c r="A8623" s="43" t="s">
        <v>17646</v>
      </c>
      <c r="B8623" s="21" t="s">
        <v>17647</v>
      </c>
      <c r="C8623" s="21" t="s">
        <v>22682</v>
      </c>
      <c r="D8623" s="22">
        <v>46034</v>
      </c>
      <c r="E8623" s="23" t="s">
        <v>22658</v>
      </c>
      <c r="F8623" s="24" t="s">
        <v>22657</v>
      </c>
      <c r="G8623" s="25">
        <v>4</v>
      </c>
      <c r="H8623" s="29"/>
      <c r="I8623" s="30"/>
    </row>
    <row r="8624" spans="1:9" ht="15.75" thickBot="1" x14ac:dyDescent="0.3">
      <c r="A8624" s="43" t="s">
        <v>17652</v>
      </c>
      <c r="B8624" s="21" t="s">
        <v>17653</v>
      </c>
      <c r="C8624" s="21" t="s">
        <v>22682</v>
      </c>
      <c r="D8624" s="22">
        <v>46034</v>
      </c>
      <c r="E8624" s="23" t="s">
        <v>22656</v>
      </c>
      <c r="F8624" s="24" t="s">
        <v>22657</v>
      </c>
      <c r="G8624" s="25">
        <v>4</v>
      </c>
      <c r="H8624" s="26"/>
      <c r="I8624" s="27"/>
    </row>
    <row r="8625" spans="1:9" ht="15.75" thickBot="1" x14ac:dyDescent="0.3">
      <c r="A8625" s="43" t="s">
        <v>17654</v>
      </c>
      <c r="B8625" s="21" t="s">
        <v>17655</v>
      </c>
      <c r="C8625" s="21" t="s">
        <v>22682</v>
      </c>
      <c r="D8625" s="22">
        <v>46034</v>
      </c>
      <c r="E8625" s="23" t="s">
        <v>22656</v>
      </c>
      <c r="F8625" s="24" t="s">
        <v>22657</v>
      </c>
      <c r="G8625" s="25">
        <v>4</v>
      </c>
      <c r="H8625" s="29"/>
      <c r="I8625" s="30"/>
    </row>
    <row r="8626" spans="1:9" ht="15.75" thickBot="1" x14ac:dyDescent="0.3">
      <c r="A8626" s="43" t="s">
        <v>17656</v>
      </c>
      <c r="B8626" s="21" t="s">
        <v>17657</v>
      </c>
      <c r="C8626" s="21" t="s">
        <v>22682</v>
      </c>
      <c r="D8626" s="22">
        <v>46034</v>
      </c>
      <c r="E8626" s="23" t="s">
        <v>22658</v>
      </c>
      <c r="F8626" s="24" t="s">
        <v>22657</v>
      </c>
      <c r="G8626" s="25">
        <v>4</v>
      </c>
      <c r="H8626" s="26"/>
      <c r="I8626" s="27"/>
    </row>
    <row r="8627" spans="1:9" ht="15.75" thickBot="1" x14ac:dyDescent="0.3">
      <c r="A8627" s="43" t="s">
        <v>17658</v>
      </c>
      <c r="B8627" s="21" t="s">
        <v>17659</v>
      </c>
      <c r="C8627" s="21" t="s">
        <v>22682</v>
      </c>
      <c r="D8627" s="22">
        <v>46034</v>
      </c>
      <c r="E8627" s="23" t="s">
        <v>22658</v>
      </c>
      <c r="F8627" s="24" t="s">
        <v>22657</v>
      </c>
      <c r="G8627" s="25">
        <v>4</v>
      </c>
      <c r="H8627" s="29"/>
      <c r="I8627" s="30"/>
    </row>
    <row r="8628" spans="1:9" ht="15.75" thickBot="1" x14ac:dyDescent="0.3">
      <c r="A8628" s="43" t="s">
        <v>17660</v>
      </c>
      <c r="B8628" s="21" t="s">
        <v>17661</v>
      </c>
      <c r="C8628" s="21" t="s">
        <v>22682</v>
      </c>
      <c r="D8628" s="22">
        <v>46034</v>
      </c>
      <c r="E8628" s="23" t="s">
        <v>22656</v>
      </c>
      <c r="F8628" s="24" t="s">
        <v>22657</v>
      </c>
      <c r="G8628" s="25">
        <v>4</v>
      </c>
      <c r="H8628" s="26"/>
      <c r="I8628" s="27"/>
    </row>
    <row r="8629" spans="1:9" ht="15.75" thickBot="1" x14ac:dyDescent="0.3">
      <c r="A8629" s="43" t="s">
        <v>17662</v>
      </c>
      <c r="B8629" s="21" t="s">
        <v>17663</v>
      </c>
      <c r="C8629" s="21" t="s">
        <v>22682</v>
      </c>
      <c r="D8629" s="22">
        <v>46034</v>
      </c>
      <c r="E8629" s="23" t="s">
        <v>22658</v>
      </c>
      <c r="F8629" s="24" t="s">
        <v>22657</v>
      </c>
      <c r="G8629" s="25">
        <v>4</v>
      </c>
      <c r="H8629" s="29"/>
      <c r="I8629" s="30"/>
    </row>
    <row r="8630" spans="1:9" ht="15.75" thickBot="1" x14ac:dyDescent="0.3">
      <c r="A8630" s="43" t="s">
        <v>17664</v>
      </c>
      <c r="B8630" s="21" t="s">
        <v>17665</v>
      </c>
      <c r="C8630" s="21" t="s">
        <v>22682</v>
      </c>
      <c r="D8630" s="22">
        <v>46034</v>
      </c>
      <c r="E8630" s="23" t="s">
        <v>22658</v>
      </c>
      <c r="F8630" s="24" t="s">
        <v>22657</v>
      </c>
      <c r="G8630" s="25">
        <v>4</v>
      </c>
      <c r="H8630" s="26"/>
      <c r="I8630" s="27"/>
    </row>
    <row r="8631" spans="1:9" ht="15.75" thickBot="1" x14ac:dyDescent="0.3">
      <c r="A8631" s="43" t="s">
        <v>17666</v>
      </c>
      <c r="B8631" s="21" t="s">
        <v>17667</v>
      </c>
      <c r="C8631" s="21" t="s">
        <v>22682</v>
      </c>
      <c r="D8631" s="22">
        <v>46034</v>
      </c>
      <c r="E8631" s="23" t="s">
        <v>22656</v>
      </c>
      <c r="F8631" s="24" t="s">
        <v>22657</v>
      </c>
      <c r="G8631" s="25">
        <v>4</v>
      </c>
      <c r="H8631" s="29"/>
      <c r="I8631" s="30"/>
    </row>
    <row r="8632" spans="1:9" ht="15.75" thickBot="1" x14ac:dyDescent="0.3">
      <c r="A8632" s="43" t="s">
        <v>17668</v>
      </c>
      <c r="B8632" s="21" t="s">
        <v>17669</v>
      </c>
      <c r="C8632" s="21" t="s">
        <v>22682</v>
      </c>
      <c r="D8632" s="22">
        <v>46034</v>
      </c>
      <c r="E8632" s="23" t="s">
        <v>22656</v>
      </c>
      <c r="F8632" s="24" t="s">
        <v>22657</v>
      </c>
      <c r="G8632" s="25">
        <v>4</v>
      </c>
      <c r="H8632" s="26"/>
      <c r="I8632" s="27"/>
    </row>
    <row r="8633" spans="1:9" ht="15.75" thickBot="1" x14ac:dyDescent="0.3">
      <c r="A8633" s="43" t="s">
        <v>17670</v>
      </c>
      <c r="B8633" s="21" t="s">
        <v>17671</v>
      </c>
      <c r="C8633" s="21" t="s">
        <v>22682</v>
      </c>
      <c r="D8633" s="22">
        <v>46034</v>
      </c>
      <c r="E8633" s="23" t="s">
        <v>22656</v>
      </c>
      <c r="F8633" s="24" t="s">
        <v>22657</v>
      </c>
      <c r="G8633" s="25">
        <v>4</v>
      </c>
      <c r="H8633" s="29"/>
      <c r="I8633" s="30"/>
    </row>
    <row r="8634" spans="1:9" ht="15.75" thickBot="1" x14ac:dyDescent="0.3">
      <c r="A8634" s="43" t="s">
        <v>17672</v>
      </c>
      <c r="B8634" s="21" t="s">
        <v>17673</v>
      </c>
      <c r="C8634" s="21" t="s">
        <v>22682</v>
      </c>
      <c r="D8634" s="22">
        <v>46034</v>
      </c>
      <c r="E8634" s="23" t="s">
        <v>22656</v>
      </c>
      <c r="F8634" s="24" t="s">
        <v>22657</v>
      </c>
      <c r="G8634" s="25">
        <v>4</v>
      </c>
      <c r="H8634" s="26"/>
      <c r="I8634" s="27"/>
    </row>
    <row r="8635" spans="1:9" ht="15.75" thickBot="1" x14ac:dyDescent="0.3">
      <c r="A8635" s="43" t="s">
        <v>17674</v>
      </c>
      <c r="B8635" s="21" t="s">
        <v>17675</v>
      </c>
      <c r="C8635" s="21" t="s">
        <v>22682</v>
      </c>
      <c r="D8635" s="22">
        <v>46034</v>
      </c>
      <c r="E8635" s="23" t="s">
        <v>22656</v>
      </c>
      <c r="F8635" s="24" t="s">
        <v>22657</v>
      </c>
      <c r="G8635" s="25">
        <v>4</v>
      </c>
      <c r="H8635" s="29"/>
      <c r="I8635" s="30"/>
    </row>
    <row r="8636" spans="1:9" ht="15.75" thickBot="1" x14ac:dyDescent="0.3">
      <c r="A8636" s="43" t="s">
        <v>17676</v>
      </c>
      <c r="B8636" s="21" t="s">
        <v>17677</v>
      </c>
      <c r="C8636" s="21" t="s">
        <v>22682</v>
      </c>
      <c r="D8636" s="22">
        <v>46034</v>
      </c>
      <c r="E8636" s="23" t="s">
        <v>22656</v>
      </c>
      <c r="F8636" s="24" t="s">
        <v>22657</v>
      </c>
      <c r="G8636" s="25">
        <v>4</v>
      </c>
      <c r="H8636" s="26"/>
      <c r="I8636" s="27"/>
    </row>
    <row r="8637" spans="1:9" ht="15.75" thickBot="1" x14ac:dyDescent="0.3">
      <c r="A8637" s="43" t="s">
        <v>17678</v>
      </c>
      <c r="B8637" s="21" t="s">
        <v>17679</v>
      </c>
      <c r="C8637" s="21" t="s">
        <v>22682</v>
      </c>
      <c r="D8637" s="22">
        <v>46034</v>
      </c>
      <c r="E8637" s="23" t="s">
        <v>22656</v>
      </c>
      <c r="F8637" s="24" t="s">
        <v>22657</v>
      </c>
      <c r="G8637" s="25">
        <v>4</v>
      </c>
      <c r="H8637" s="29"/>
      <c r="I8637" s="30"/>
    </row>
    <row r="8638" spans="1:9" ht="15.75" thickBot="1" x14ac:dyDescent="0.3">
      <c r="A8638" s="43" t="s">
        <v>17680</v>
      </c>
      <c r="B8638" s="21" t="s">
        <v>17681</v>
      </c>
      <c r="C8638" s="21" t="s">
        <v>22682</v>
      </c>
      <c r="D8638" s="22">
        <v>46034</v>
      </c>
      <c r="E8638" s="23" t="s">
        <v>22656</v>
      </c>
      <c r="F8638" s="24" t="s">
        <v>22657</v>
      </c>
      <c r="G8638" s="25">
        <v>4</v>
      </c>
      <c r="H8638" s="26"/>
      <c r="I8638" s="27"/>
    </row>
    <row r="8639" spans="1:9" ht="15.75" thickBot="1" x14ac:dyDescent="0.3">
      <c r="A8639" s="43" t="s">
        <v>17682</v>
      </c>
      <c r="B8639" s="21" t="s">
        <v>17683</v>
      </c>
      <c r="C8639" s="21" t="s">
        <v>22682</v>
      </c>
      <c r="D8639" s="22">
        <v>46034</v>
      </c>
      <c r="E8639" s="23" t="s">
        <v>22656</v>
      </c>
      <c r="F8639" s="24" t="s">
        <v>22657</v>
      </c>
      <c r="G8639" s="25">
        <v>4</v>
      </c>
      <c r="H8639" s="29"/>
      <c r="I8639" s="30"/>
    </row>
    <row r="8640" spans="1:9" ht="15.75" thickBot="1" x14ac:dyDescent="0.3">
      <c r="A8640" s="43" t="s">
        <v>17684</v>
      </c>
      <c r="B8640" s="21" t="s">
        <v>17685</v>
      </c>
      <c r="C8640" s="21" t="s">
        <v>22682</v>
      </c>
      <c r="D8640" s="22">
        <v>46034</v>
      </c>
      <c r="E8640" s="23" t="s">
        <v>22658</v>
      </c>
      <c r="F8640" s="24" t="s">
        <v>22657</v>
      </c>
      <c r="G8640" s="25">
        <v>4</v>
      </c>
      <c r="H8640" s="26"/>
      <c r="I8640" s="27"/>
    </row>
    <row r="8641" spans="1:9" ht="15.75" thickBot="1" x14ac:dyDescent="0.3">
      <c r="A8641" s="43" t="s">
        <v>17686</v>
      </c>
      <c r="B8641" s="21" t="s">
        <v>17687</v>
      </c>
      <c r="C8641" s="21" t="s">
        <v>22682</v>
      </c>
      <c r="D8641" s="22">
        <v>46034</v>
      </c>
      <c r="E8641" s="23" t="s">
        <v>22656</v>
      </c>
      <c r="F8641" s="24" t="s">
        <v>22657</v>
      </c>
      <c r="G8641" s="25">
        <v>4</v>
      </c>
      <c r="H8641" s="29"/>
      <c r="I8641" s="30"/>
    </row>
    <row r="8642" spans="1:9" ht="15.75" thickBot="1" x14ac:dyDescent="0.3">
      <c r="A8642" s="43" t="s">
        <v>17688</v>
      </c>
      <c r="B8642" s="21" t="s">
        <v>17689</v>
      </c>
      <c r="C8642" s="21" t="s">
        <v>22682</v>
      </c>
      <c r="D8642" s="22">
        <v>46034</v>
      </c>
      <c r="E8642" s="23" t="s">
        <v>22656</v>
      </c>
      <c r="F8642" s="24" t="s">
        <v>22657</v>
      </c>
      <c r="G8642" s="25">
        <v>4</v>
      </c>
      <c r="H8642" s="26"/>
      <c r="I8642" s="27"/>
    </row>
    <row r="8643" spans="1:9" ht="15.75" thickBot="1" x14ac:dyDescent="0.3">
      <c r="A8643" s="43" t="s">
        <v>17690</v>
      </c>
      <c r="B8643" s="21" t="s">
        <v>17691</v>
      </c>
      <c r="C8643" s="21" t="s">
        <v>22682</v>
      </c>
      <c r="D8643" s="22">
        <v>46034</v>
      </c>
      <c r="E8643" s="23" t="s">
        <v>22658</v>
      </c>
      <c r="F8643" s="24" t="s">
        <v>22657</v>
      </c>
      <c r="G8643" s="25">
        <v>4</v>
      </c>
      <c r="H8643" s="29"/>
      <c r="I8643" s="30"/>
    </row>
    <row r="8644" spans="1:9" ht="15.75" thickBot="1" x14ac:dyDescent="0.3">
      <c r="A8644" s="43" t="s">
        <v>17692</v>
      </c>
      <c r="B8644" s="21" t="s">
        <v>17693</v>
      </c>
      <c r="C8644" s="21" t="s">
        <v>22682</v>
      </c>
      <c r="D8644" s="22">
        <v>46034</v>
      </c>
      <c r="E8644" s="23" t="s">
        <v>22656</v>
      </c>
      <c r="F8644" s="24" t="s">
        <v>22657</v>
      </c>
      <c r="G8644" s="25">
        <v>4</v>
      </c>
      <c r="H8644" s="26"/>
      <c r="I8644" s="27"/>
    </row>
    <row r="8645" spans="1:9" ht="15.75" thickBot="1" x14ac:dyDescent="0.3">
      <c r="A8645" s="43" t="s">
        <v>17694</v>
      </c>
      <c r="B8645" s="21" t="s">
        <v>17695</v>
      </c>
      <c r="C8645" s="21" t="s">
        <v>22682</v>
      </c>
      <c r="D8645" s="22">
        <v>46034</v>
      </c>
      <c r="E8645" s="23" t="s">
        <v>22658</v>
      </c>
      <c r="F8645" s="24" t="s">
        <v>22657</v>
      </c>
      <c r="G8645" s="25">
        <v>4</v>
      </c>
      <c r="H8645" s="29"/>
      <c r="I8645" s="30"/>
    </row>
    <row r="8646" spans="1:9" ht="15.75" thickBot="1" x14ac:dyDescent="0.3">
      <c r="A8646" s="43" t="s">
        <v>17696</v>
      </c>
      <c r="B8646" s="21" t="s">
        <v>17697</v>
      </c>
      <c r="C8646" s="21" t="s">
        <v>22682</v>
      </c>
      <c r="D8646" s="22">
        <v>46034</v>
      </c>
      <c r="E8646" s="23" t="s">
        <v>22656</v>
      </c>
      <c r="F8646" s="24" t="s">
        <v>22657</v>
      </c>
      <c r="G8646" s="25">
        <v>4</v>
      </c>
      <c r="H8646" s="26"/>
      <c r="I8646" s="27"/>
    </row>
    <row r="8647" spans="1:9" ht="15.75" thickBot="1" x14ac:dyDescent="0.3">
      <c r="A8647" s="43" t="s">
        <v>17698</v>
      </c>
      <c r="B8647" s="21" t="s">
        <v>17699</v>
      </c>
      <c r="C8647" s="21" t="s">
        <v>22682</v>
      </c>
      <c r="D8647" s="22">
        <v>46034</v>
      </c>
      <c r="E8647" s="23" t="s">
        <v>22656</v>
      </c>
      <c r="F8647" s="24" t="s">
        <v>22657</v>
      </c>
      <c r="G8647" s="25">
        <v>4</v>
      </c>
      <c r="H8647" s="29"/>
      <c r="I8647" s="30"/>
    </row>
    <row r="8648" spans="1:9" ht="15.75" thickBot="1" x14ac:dyDescent="0.3">
      <c r="A8648" s="43" t="s">
        <v>17700</v>
      </c>
      <c r="B8648" s="21" t="s">
        <v>17701</v>
      </c>
      <c r="C8648" s="21" t="s">
        <v>22682</v>
      </c>
      <c r="D8648" s="22">
        <v>46034</v>
      </c>
      <c r="E8648" s="23" t="s">
        <v>22656</v>
      </c>
      <c r="F8648" s="24" t="s">
        <v>22657</v>
      </c>
      <c r="G8648" s="25">
        <v>4</v>
      </c>
      <c r="H8648" s="26"/>
      <c r="I8648" s="27"/>
    </row>
    <row r="8649" spans="1:9" ht="15.75" thickBot="1" x14ac:dyDescent="0.3">
      <c r="A8649" s="43" t="s">
        <v>17702</v>
      </c>
      <c r="B8649" s="21" t="s">
        <v>17703</v>
      </c>
      <c r="C8649" s="21" t="s">
        <v>22682</v>
      </c>
      <c r="D8649" s="22">
        <v>46034</v>
      </c>
      <c r="E8649" s="23" t="s">
        <v>22656</v>
      </c>
      <c r="F8649" s="24" t="s">
        <v>22657</v>
      </c>
      <c r="G8649" s="25">
        <v>4</v>
      </c>
      <c r="H8649" s="29"/>
      <c r="I8649" s="30"/>
    </row>
    <row r="8650" spans="1:9" ht="15.75" thickBot="1" x14ac:dyDescent="0.3">
      <c r="A8650" s="43" t="s">
        <v>17704</v>
      </c>
      <c r="B8650" s="21" t="s">
        <v>17705</v>
      </c>
      <c r="C8650" s="21" t="s">
        <v>22682</v>
      </c>
      <c r="D8650" s="22">
        <v>46034</v>
      </c>
      <c r="E8650" s="23" t="s">
        <v>22656</v>
      </c>
      <c r="F8650" s="24" t="s">
        <v>22657</v>
      </c>
      <c r="G8650" s="25">
        <v>4</v>
      </c>
      <c r="H8650" s="26"/>
      <c r="I8650" s="27"/>
    </row>
    <row r="8651" spans="1:9" ht="15.75" thickBot="1" x14ac:dyDescent="0.3">
      <c r="A8651" s="43" t="s">
        <v>17706</v>
      </c>
      <c r="B8651" s="21" t="s">
        <v>17707</v>
      </c>
      <c r="C8651" s="21" t="s">
        <v>22682</v>
      </c>
      <c r="D8651" s="22">
        <v>46034</v>
      </c>
      <c r="E8651" s="23" t="s">
        <v>22658</v>
      </c>
      <c r="F8651" s="24" t="s">
        <v>22657</v>
      </c>
      <c r="G8651" s="25">
        <v>4</v>
      </c>
      <c r="H8651" s="29"/>
      <c r="I8651" s="30"/>
    </row>
    <row r="8652" spans="1:9" ht="15.75" thickBot="1" x14ac:dyDescent="0.3">
      <c r="A8652" s="43" t="s">
        <v>17708</v>
      </c>
      <c r="B8652" s="21" t="s">
        <v>17709</v>
      </c>
      <c r="C8652" s="21" t="s">
        <v>22682</v>
      </c>
      <c r="D8652" s="22">
        <v>46034</v>
      </c>
      <c r="E8652" s="23" t="s">
        <v>22656</v>
      </c>
      <c r="F8652" s="24" t="s">
        <v>22657</v>
      </c>
      <c r="G8652" s="25">
        <v>4</v>
      </c>
      <c r="H8652" s="26"/>
      <c r="I8652" s="27"/>
    </row>
    <row r="8653" spans="1:9" ht="15.75" thickBot="1" x14ac:dyDescent="0.3">
      <c r="A8653" s="43" t="s">
        <v>17710</v>
      </c>
      <c r="B8653" s="21" t="s">
        <v>17711</v>
      </c>
      <c r="C8653" s="21" t="s">
        <v>22682</v>
      </c>
      <c r="D8653" s="22">
        <v>46034</v>
      </c>
      <c r="E8653" s="23" t="s">
        <v>22658</v>
      </c>
      <c r="F8653" s="24" t="s">
        <v>22657</v>
      </c>
      <c r="G8653" s="25">
        <v>4</v>
      </c>
      <c r="H8653" s="29"/>
      <c r="I8653" s="30"/>
    </row>
    <row r="8654" spans="1:9" ht="15.75" thickBot="1" x14ac:dyDescent="0.3">
      <c r="A8654" s="43" t="s">
        <v>17712</v>
      </c>
      <c r="B8654" s="21" t="s">
        <v>17713</v>
      </c>
      <c r="C8654" s="21" t="s">
        <v>22682</v>
      </c>
      <c r="D8654" s="22">
        <v>46034</v>
      </c>
      <c r="E8654" s="23" t="s">
        <v>22658</v>
      </c>
      <c r="F8654" s="24" t="s">
        <v>22657</v>
      </c>
      <c r="G8654" s="25">
        <v>4</v>
      </c>
      <c r="H8654" s="26"/>
      <c r="I8654" s="27"/>
    </row>
    <row r="8655" spans="1:9" ht="15.75" thickBot="1" x14ac:dyDescent="0.3">
      <c r="A8655" s="43" t="s">
        <v>17714</v>
      </c>
      <c r="B8655" s="21" t="s">
        <v>17715</v>
      </c>
      <c r="C8655" s="21" t="s">
        <v>22682</v>
      </c>
      <c r="D8655" s="22">
        <v>46034</v>
      </c>
      <c r="E8655" s="23" t="s">
        <v>22656</v>
      </c>
      <c r="F8655" s="24" t="s">
        <v>22657</v>
      </c>
      <c r="G8655" s="25">
        <v>4</v>
      </c>
      <c r="H8655" s="29"/>
      <c r="I8655" s="30"/>
    </row>
    <row r="8656" spans="1:9" ht="15.75" thickBot="1" x14ac:dyDescent="0.3">
      <c r="A8656" s="43" t="s">
        <v>17716</v>
      </c>
      <c r="B8656" s="21" t="s">
        <v>17717</v>
      </c>
      <c r="C8656" s="21" t="s">
        <v>22682</v>
      </c>
      <c r="D8656" s="22">
        <v>46034</v>
      </c>
      <c r="E8656" s="23" t="s">
        <v>22656</v>
      </c>
      <c r="F8656" s="24" t="s">
        <v>22657</v>
      </c>
      <c r="G8656" s="25">
        <v>4</v>
      </c>
      <c r="H8656" s="26"/>
      <c r="I8656" s="27"/>
    </row>
    <row r="8657" spans="1:9" ht="15.75" thickBot="1" x14ac:dyDescent="0.3">
      <c r="A8657" s="43" t="s">
        <v>17718</v>
      </c>
      <c r="B8657" s="21" t="s">
        <v>17719</v>
      </c>
      <c r="C8657" s="21" t="s">
        <v>22682</v>
      </c>
      <c r="D8657" s="22">
        <v>46034</v>
      </c>
      <c r="E8657" s="23" t="s">
        <v>22658</v>
      </c>
      <c r="F8657" s="24" t="s">
        <v>22657</v>
      </c>
      <c r="G8657" s="25">
        <v>4</v>
      </c>
      <c r="H8657" s="29"/>
      <c r="I8657" s="30"/>
    </row>
    <row r="8658" spans="1:9" ht="15.75" thickBot="1" x14ac:dyDescent="0.3">
      <c r="A8658" s="43" t="s">
        <v>17720</v>
      </c>
      <c r="B8658" s="21" t="s">
        <v>17721</v>
      </c>
      <c r="C8658" s="21" t="s">
        <v>22682</v>
      </c>
      <c r="D8658" s="22">
        <v>46034</v>
      </c>
      <c r="E8658" s="23" t="s">
        <v>22658</v>
      </c>
      <c r="F8658" s="24" t="s">
        <v>22657</v>
      </c>
      <c r="G8658" s="25">
        <v>4</v>
      </c>
      <c r="H8658" s="26"/>
      <c r="I8658" s="27"/>
    </row>
    <row r="8659" spans="1:9" ht="15.75" thickBot="1" x14ac:dyDescent="0.3">
      <c r="A8659" s="43" t="s">
        <v>17722</v>
      </c>
      <c r="B8659" s="21" t="s">
        <v>17723</v>
      </c>
      <c r="C8659" s="21" t="s">
        <v>22682</v>
      </c>
      <c r="D8659" s="22">
        <v>46034</v>
      </c>
      <c r="E8659" s="23" t="s">
        <v>22656</v>
      </c>
      <c r="F8659" s="24" t="s">
        <v>22657</v>
      </c>
      <c r="G8659" s="25">
        <v>4</v>
      </c>
      <c r="H8659" s="29"/>
      <c r="I8659" s="30"/>
    </row>
    <row r="8660" spans="1:9" ht="15.75" thickBot="1" x14ac:dyDescent="0.3">
      <c r="A8660" s="43" t="s">
        <v>17724</v>
      </c>
      <c r="B8660" s="21" t="s">
        <v>17725</v>
      </c>
      <c r="C8660" s="21" t="s">
        <v>22682</v>
      </c>
      <c r="D8660" s="22">
        <v>46034</v>
      </c>
      <c r="E8660" s="23" t="s">
        <v>22656</v>
      </c>
      <c r="F8660" s="24" t="s">
        <v>22657</v>
      </c>
      <c r="G8660" s="25">
        <v>4</v>
      </c>
      <c r="H8660" s="26"/>
      <c r="I8660" s="27"/>
    </row>
    <row r="8661" spans="1:9" ht="15.75" thickBot="1" x14ac:dyDescent="0.3">
      <c r="A8661" s="43" t="s">
        <v>17726</v>
      </c>
      <c r="B8661" s="21" t="s">
        <v>17727</v>
      </c>
      <c r="C8661" s="21" t="s">
        <v>22682</v>
      </c>
      <c r="D8661" s="22">
        <v>46034</v>
      </c>
      <c r="E8661" s="23" t="s">
        <v>22656</v>
      </c>
      <c r="F8661" s="24" t="s">
        <v>22657</v>
      </c>
      <c r="G8661" s="25">
        <v>4</v>
      </c>
      <c r="H8661" s="29"/>
      <c r="I8661" s="30"/>
    </row>
    <row r="8662" spans="1:9" ht="15.75" thickBot="1" x14ac:dyDescent="0.3">
      <c r="A8662" s="43" t="s">
        <v>17728</v>
      </c>
      <c r="B8662" s="21" t="s">
        <v>17729</v>
      </c>
      <c r="C8662" s="21" t="s">
        <v>22682</v>
      </c>
      <c r="D8662" s="22">
        <v>46034</v>
      </c>
      <c r="E8662" s="23" t="s">
        <v>22656</v>
      </c>
      <c r="F8662" s="24" t="s">
        <v>22657</v>
      </c>
      <c r="G8662" s="25">
        <v>4</v>
      </c>
      <c r="H8662" s="26"/>
      <c r="I8662" s="27"/>
    </row>
    <row r="8663" spans="1:9" ht="15.75" thickBot="1" x14ac:dyDescent="0.3">
      <c r="A8663" s="43" t="s">
        <v>17730</v>
      </c>
      <c r="B8663" s="21" t="s">
        <v>17731</v>
      </c>
      <c r="C8663" s="21" t="s">
        <v>22663</v>
      </c>
      <c r="D8663" s="31">
        <v>1</v>
      </c>
      <c r="E8663" s="23" t="s">
        <v>22658</v>
      </c>
      <c r="F8663" s="24" t="s">
        <v>22657</v>
      </c>
      <c r="G8663" s="25">
        <v>2</v>
      </c>
      <c r="H8663" s="29"/>
      <c r="I8663" s="30"/>
    </row>
    <row r="8664" spans="1:9" ht="15.75" thickBot="1" x14ac:dyDescent="0.3">
      <c r="A8664" s="43" t="s">
        <v>17732</v>
      </c>
      <c r="B8664" s="21" t="s">
        <v>17733</v>
      </c>
      <c r="C8664" s="21" t="s">
        <v>22682</v>
      </c>
      <c r="D8664" s="22">
        <v>46034</v>
      </c>
      <c r="E8664" s="23" t="s">
        <v>22658</v>
      </c>
      <c r="F8664" s="24" t="s">
        <v>22657</v>
      </c>
      <c r="G8664" s="25">
        <v>4</v>
      </c>
      <c r="H8664" s="26"/>
      <c r="I8664" s="27"/>
    </row>
    <row r="8665" spans="1:9" ht="15.75" thickBot="1" x14ac:dyDescent="0.3">
      <c r="A8665" s="43" t="s">
        <v>17734</v>
      </c>
      <c r="B8665" s="21" t="s">
        <v>17735</v>
      </c>
      <c r="C8665" s="21" t="s">
        <v>22682</v>
      </c>
      <c r="D8665" s="22">
        <v>46034</v>
      </c>
      <c r="E8665" s="23" t="s">
        <v>22656</v>
      </c>
      <c r="F8665" s="24" t="s">
        <v>22657</v>
      </c>
      <c r="G8665" s="25">
        <v>4</v>
      </c>
      <c r="H8665" s="29"/>
      <c r="I8665" s="30"/>
    </row>
    <row r="8666" spans="1:9" ht="15.75" thickBot="1" x14ac:dyDescent="0.3">
      <c r="A8666" s="43" t="s">
        <v>17736</v>
      </c>
      <c r="B8666" s="21" t="s">
        <v>17737</v>
      </c>
      <c r="C8666" s="21" t="s">
        <v>22682</v>
      </c>
      <c r="D8666" s="22">
        <v>46034</v>
      </c>
      <c r="E8666" s="23" t="s">
        <v>22656</v>
      </c>
      <c r="F8666" s="24" t="s">
        <v>22657</v>
      </c>
      <c r="G8666" s="25">
        <v>4</v>
      </c>
      <c r="H8666" s="26"/>
      <c r="I8666" s="27"/>
    </row>
    <row r="8667" spans="1:9" ht="15.75" thickBot="1" x14ac:dyDescent="0.3">
      <c r="A8667" s="43" t="s">
        <v>17738</v>
      </c>
      <c r="B8667" s="21" t="s">
        <v>17739</v>
      </c>
      <c r="C8667" s="21" t="s">
        <v>22682</v>
      </c>
      <c r="D8667" s="22">
        <v>46034</v>
      </c>
      <c r="E8667" s="23" t="s">
        <v>22658</v>
      </c>
      <c r="F8667" s="24" t="s">
        <v>22657</v>
      </c>
      <c r="G8667" s="25">
        <v>4</v>
      </c>
      <c r="H8667" s="29"/>
      <c r="I8667" s="30"/>
    </row>
    <row r="8668" spans="1:9" ht="15.75" thickBot="1" x14ac:dyDescent="0.3">
      <c r="A8668" s="43" t="s">
        <v>17740</v>
      </c>
      <c r="B8668" s="21" t="s">
        <v>17741</v>
      </c>
      <c r="C8668" s="21" t="s">
        <v>22682</v>
      </c>
      <c r="D8668" s="22">
        <v>46034</v>
      </c>
      <c r="E8668" s="23" t="s">
        <v>22658</v>
      </c>
      <c r="F8668" s="24" t="s">
        <v>22657</v>
      </c>
      <c r="G8668" s="25">
        <v>4</v>
      </c>
      <c r="H8668" s="26"/>
      <c r="I8668" s="27"/>
    </row>
    <row r="8669" spans="1:9" ht="15.75" thickBot="1" x14ac:dyDescent="0.3">
      <c r="A8669" s="43" t="s">
        <v>17742</v>
      </c>
      <c r="B8669" s="21" t="s">
        <v>17743</v>
      </c>
      <c r="C8669" s="21" t="s">
        <v>22682</v>
      </c>
      <c r="D8669" s="22">
        <v>46034</v>
      </c>
      <c r="E8669" s="23" t="s">
        <v>22658</v>
      </c>
      <c r="F8669" s="24" t="s">
        <v>22657</v>
      </c>
      <c r="G8669" s="25">
        <v>4</v>
      </c>
      <c r="H8669" s="29"/>
      <c r="I8669" s="30"/>
    </row>
    <row r="8670" spans="1:9" ht="15.75" thickBot="1" x14ac:dyDescent="0.3">
      <c r="A8670" s="43" t="s">
        <v>17744</v>
      </c>
      <c r="B8670" s="21" t="s">
        <v>17745</v>
      </c>
      <c r="C8670" s="21" t="s">
        <v>22682</v>
      </c>
      <c r="D8670" s="22">
        <v>46034</v>
      </c>
      <c r="E8670" s="23" t="s">
        <v>22658</v>
      </c>
      <c r="F8670" s="24" t="s">
        <v>22657</v>
      </c>
      <c r="G8670" s="25">
        <v>4</v>
      </c>
      <c r="H8670" s="26"/>
      <c r="I8670" s="27"/>
    </row>
    <row r="8671" spans="1:9" ht="15.75" thickBot="1" x14ac:dyDescent="0.3">
      <c r="A8671" s="43" t="s">
        <v>17746</v>
      </c>
      <c r="B8671" s="21" t="s">
        <v>17747</v>
      </c>
      <c r="C8671" s="21" t="s">
        <v>22682</v>
      </c>
      <c r="D8671" s="22">
        <v>46034</v>
      </c>
      <c r="E8671" s="23" t="s">
        <v>22658</v>
      </c>
      <c r="F8671" s="24" t="s">
        <v>22657</v>
      </c>
      <c r="G8671" s="25">
        <v>4</v>
      </c>
      <c r="H8671" s="29"/>
      <c r="I8671" s="30"/>
    </row>
    <row r="8672" spans="1:9" ht="15.75" thickBot="1" x14ac:dyDescent="0.3">
      <c r="A8672" s="43" t="s">
        <v>17748</v>
      </c>
      <c r="B8672" s="21" t="s">
        <v>17749</v>
      </c>
      <c r="C8672" s="21" t="s">
        <v>22682</v>
      </c>
      <c r="D8672" s="22">
        <v>46034</v>
      </c>
      <c r="E8672" s="23" t="s">
        <v>22656</v>
      </c>
      <c r="F8672" s="24" t="s">
        <v>22657</v>
      </c>
      <c r="G8672" s="25">
        <v>4</v>
      </c>
      <c r="H8672" s="26"/>
      <c r="I8672" s="27"/>
    </row>
    <row r="8673" spans="1:9" ht="15.75" thickBot="1" x14ac:dyDescent="0.3">
      <c r="A8673" s="43" t="s">
        <v>17750</v>
      </c>
      <c r="B8673" s="21" t="s">
        <v>17751</v>
      </c>
      <c r="C8673" s="21" t="s">
        <v>22682</v>
      </c>
      <c r="D8673" s="22">
        <v>46034</v>
      </c>
      <c r="E8673" s="23" t="s">
        <v>22658</v>
      </c>
      <c r="F8673" s="24" t="s">
        <v>22657</v>
      </c>
      <c r="G8673" s="25">
        <v>4</v>
      </c>
      <c r="H8673" s="29"/>
      <c r="I8673" s="30"/>
    </row>
    <row r="8674" spans="1:9" ht="15.75" thickBot="1" x14ac:dyDescent="0.3">
      <c r="A8674" s="43" t="s">
        <v>17752</v>
      </c>
      <c r="B8674" s="21" t="s">
        <v>17753</v>
      </c>
      <c r="C8674" s="21" t="s">
        <v>22682</v>
      </c>
      <c r="D8674" s="22">
        <v>46034</v>
      </c>
      <c r="E8674" s="23" t="s">
        <v>22658</v>
      </c>
      <c r="F8674" s="24" t="s">
        <v>22657</v>
      </c>
      <c r="G8674" s="25">
        <v>4</v>
      </c>
      <c r="H8674" s="26"/>
      <c r="I8674" s="27"/>
    </row>
    <row r="8675" spans="1:9" ht="15.75" thickBot="1" x14ac:dyDescent="0.3">
      <c r="A8675" s="43" t="s">
        <v>17754</v>
      </c>
      <c r="B8675" s="21" t="s">
        <v>17755</v>
      </c>
      <c r="C8675" s="21" t="s">
        <v>22682</v>
      </c>
      <c r="D8675" s="22">
        <v>46034</v>
      </c>
      <c r="E8675" s="23" t="s">
        <v>22658</v>
      </c>
      <c r="F8675" s="24" t="s">
        <v>22657</v>
      </c>
      <c r="G8675" s="25">
        <v>4</v>
      </c>
      <c r="H8675" s="29"/>
      <c r="I8675" s="30"/>
    </row>
    <row r="8676" spans="1:9" ht="15.75" thickBot="1" x14ac:dyDescent="0.3">
      <c r="A8676" s="43" t="s">
        <v>17756</v>
      </c>
      <c r="B8676" s="21" t="s">
        <v>17757</v>
      </c>
      <c r="C8676" s="21" t="s">
        <v>22682</v>
      </c>
      <c r="D8676" s="22">
        <v>46034</v>
      </c>
      <c r="E8676" s="23" t="s">
        <v>22658</v>
      </c>
      <c r="F8676" s="24" t="s">
        <v>22657</v>
      </c>
      <c r="G8676" s="25">
        <v>4</v>
      </c>
      <c r="H8676" s="26"/>
      <c r="I8676" s="27"/>
    </row>
    <row r="8677" spans="1:9" ht="15.75" thickBot="1" x14ac:dyDescent="0.3">
      <c r="A8677" s="43" t="s">
        <v>17758</v>
      </c>
      <c r="B8677" s="21" t="s">
        <v>17759</v>
      </c>
      <c r="C8677" s="21" t="s">
        <v>22682</v>
      </c>
      <c r="D8677" s="22">
        <v>46034</v>
      </c>
      <c r="E8677" s="23" t="s">
        <v>22658</v>
      </c>
      <c r="F8677" s="24" t="s">
        <v>22657</v>
      </c>
      <c r="G8677" s="25">
        <v>4</v>
      </c>
      <c r="H8677" s="29"/>
      <c r="I8677" s="30"/>
    </row>
    <row r="8678" spans="1:9" ht="15.75" thickBot="1" x14ac:dyDescent="0.3">
      <c r="A8678" s="43" t="s">
        <v>17760</v>
      </c>
      <c r="B8678" s="21" t="s">
        <v>17761</v>
      </c>
      <c r="C8678" s="21" t="s">
        <v>22682</v>
      </c>
      <c r="D8678" s="22">
        <v>46034</v>
      </c>
      <c r="E8678" s="23" t="s">
        <v>22658</v>
      </c>
      <c r="F8678" s="24" t="s">
        <v>22657</v>
      </c>
      <c r="G8678" s="25">
        <v>4</v>
      </c>
      <c r="H8678" s="26"/>
      <c r="I8678" s="27"/>
    </row>
    <row r="8679" spans="1:9" ht="15.75" thickBot="1" x14ac:dyDescent="0.3">
      <c r="A8679" s="43" t="s">
        <v>17762</v>
      </c>
      <c r="B8679" s="21" t="s">
        <v>17763</v>
      </c>
      <c r="C8679" s="21" t="s">
        <v>22682</v>
      </c>
      <c r="D8679" s="22">
        <v>46034</v>
      </c>
      <c r="E8679" s="23" t="s">
        <v>22658</v>
      </c>
      <c r="F8679" s="24" t="s">
        <v>22657</v>
      </c>
      <c r="G8679" s="25">
        <v>4</v>
      </c>
      <c r="H8679" s="29"/>
      <c r="I8679" s="30"/>
    </row>
    <row r="8680" spans="1:9" ht="15.75" thickBot="1" x14ac:dyDescent="0.3">
      <c r="A8680" s="43" t="s">
        <v>17764</v>
      </c>
      <c r="B8680" s="21" t="s">
        <v>17765</v>
      </c>
      <c r="C8680" s="21" t="s">
        <v>22682</v>
      </c>
      <c r="D8680" s="22">
        <v>46034</v>
      </c>
      <c r="E8680" s="23" t="s">
        <v>22658</v>
      </c>
      <c r="F8680" s="24" t="s">
        <v>22657</v>
      </c>
      <c r="G8680" s="25">
        <v>4</v>
      </c>
      <c r="H8680" s="26"/>
      <c r="I8680" s="27"/>
    </row>
    <row r="8681" spans="1:9" ht="15.75" thickBot="1" x14ac:dyDescent="0.3">
      <c r="A8681" s="43" t="s">
        <v>17766</v>
      </c>
      <c r="B8681" s="21" t="s">
        <v>17767</v>
      </c>
      <c r="C8681" s="21" t="s">
        <v>22682</v>
      </c>
      <c r="D8681" s="22">
        <v>46034</v>
      </c>
      <c r="E8681" s="23" t="s">
        <v>22658</v>
      </c>
      <c r="F8681" s="24" t="s">
        <v>22657</v>
      </c>
      <c r="G8681" s="25">
        <v>4</v>
      </c>
      <c r="H8681" s="29"/>
      <c r="I8681" s="30"/>
    </row>
    <row r="8682" spans="1:9" ht="15.75" thickBot="1" x14ac:dyDescent="0.3">
      <c r="A8682" s="43" t="s">
        <v>17768</v>
      </c>
      <c r="B8682" s="21" t="s">
        <v>17769</v>
      </c>
      <c r="C8682" s="21" t="s">
        <v>22663</v>
      </c>
      <c r="D8682" s="31">
        <v>1</v>
      </c>
      <c r="E8682" s="23" t="s">
        <v>22658</v>
      </c>
      <c r="F8682" s="24" t="s">
        <v>22657</v>
      </c>
      <c r="G8682" s="25">
        <v>4</v>
      </c>
      <c r="H8682" s="26"/>
      <c r="I8682" s="27"/>
    </row>
    <row r="8683" spans="1:9" ht="15.75" thickBot="1" x14ac:dyDescent="0.3">
      <c r="A8683" s="43" t="s">
        <v>17770</v>
      </c>
      <c r="B8683" s="21" t="s">
        <v>17771</v>
      </c>
      <c r="C8683" s="21" t="s">
        <v>22663</v>
      </c>
      <c r="D8683" s="31">
        <v>1</v>
      </c>
      <c r="E8683" s="23" t="s">
        <v>22658</v>
      </c>
      <c r="F8683" s="24" t="s">
        <v>22657</v>
      </c>
      <c r="G8683" s="25">
        <v>4</v>
      </c>
      <c r="H8683" s="29"/>
      <c r="I8683" s="30"/>
    </row>
    <row r="8684" spans="1:9" ht="15.75" thickBot="1" x14ac:dyDescent="0.3">
      <c r="A8684" s="43" t="s">
        <v>17772</v>
      </c>
      <c r="B8684" s="21" t="s">
        <v>17773</v>
      </c>
      <c r="C8684" s="21" t="s">
        <v>22663</v>
      </c>
      <c r="D8684" s="31">
        <v>1</v>
      </c>
      <c r="E8684" s="23" t="s">
        <v>22658</v>
      </c>
      <c r="F8684" s="24" t="s">
        <v>22657</v>
      </c>
      <c r="G8684" s="25">
        <v>2</v>
      </c>
      <c r="H8684" s="26"/>
      <c r="I8684" s="27"/>
    </row>
    <row r="8685" spans="1:9" ht="15.75" thickBot="1" x14ac:dyDescent="0.3">
      <c r="A8685" s="43" t="s">
        <v>17774</v>
      </c>
      <c r="B8685" s="21" t="s">
        <v>17775</v>
      </c>
      <c r="C8685" s="21" t="s">
        <v>22663</v>
      </c>
      <c r="D8685" s="31">
        <v>1</v>
      </c>
      <c r="E8685" s="23" t="s">
        <v>22661</v>
      </c>
      <c r="F8685" s="24" t="s">
        <v>22657</v>
      </c>
      <c r="G8685" s="25">
        <v>6</v>
      </c>
      <c r="H8685" s="29"/>
      <c r="I8685" s="30"/>
    </row>
    <row r="8686" spans="1:9" ht="15.75" thickBot="1" x14ac:dyDescent="0.3">
      <c r="A8686" s="43" t="s">
        <v>17776</v>
      </c>
      <c r="B8686" s="21" t="s">
        <v>17777</v>
      </c>
      <c r="C8686" s="21" t="s">
        <v>22655</v>
      </c>
      <c r="D8686" s="22">
        <v>46032</v>
      </c>
      <c r="E8686" s="23" t="s">
        <v>22656</v>
      </c>
      <c r="F8686" s="24" t="s">
        <v>22657</v>
      </c>
      <c r="G8686" s="25">
        <v>4</v>
      </c>
      <c r="H8686" s="26"/>
      <c r="I8686" s="27"/>
    </row>
    <row r="8687" spans="1:9" ht="15.75" thickBot="1" x14ac:dyDescent="0.3">
      <c r="A8687" s="43" t="s">
        <v>17778</v>
      </c>
      <c r="B8687" s="21" t="s">
        <v>17779</v>
      </c>
      <c r="C8687" s="21" t="s">
        <v>22663</v>
      </c>
      <c r="D8687" s="31">
        <v>1</v>
      </c>
      <c r="E8687" s="23" t="s">
        <v>22661</v>
      </c>
      <c r="F8687" s="24" t="s">
        <v>22657</v>
      </c>
      <c r="G8687" s="25">
        <v>6</v>
      </c>
      <c r="H8687" s="32">
        <v>6</v>
      </c>
      <c r="I8687" s="33">
        <v>12</v>
      </c>
    </row>
    <row r="8688" spans="1:9" ht="15.75" thickBot="1" x14ac:dyDescent="0.3">
      <c r="A8688" s="43" t="s">
        <v>17780</v>
      </c>
      <c r="B8688" s="21" t="s">
        <v>17781</v>
      </c>
      <c r="C8688" s="21" t="s">
        <v>22655</v>
      </c>
      <c r="D8688" s="22">
        <v>46034</v>
      </c>
      <c r="E8688" s="23" t="s">
        <v>22658</v>
      </c>
      <c r="F8688" s="24" t="s">
        <v>22657</v>
      </c>
      <c r="G8688" s="25">
        <v>8</v>
      </c>
      <c r="H8688" s="26"/>
      <c r="I8688" s="27"/>
    </row>
    <row r="8689" spans="1:9" ht="15.75" thickBot="1" x14ac:dyDescent="0.3">
      <c r="A8689" s="43" t="s">
        <v>1131</v>
      </c>
      <c r="B8689" s="21" t="s">
        <v>1132</v>
      </c>
      <c r="C8689" s="21" t="s">
        <v>22655</v>
      </c>
      <c r="D8689" s="31" t="s">
        <v>22819</v>
      </c>
      <c r="E8689" s="23" t="s">
        <v>22662</v>
      </c>
      <c r="F8689" s="24" t="s">
        <v>22657</v>
      </c>
      <c r="G8689" s="25">
        <v>140</v>
      </c>
      <c r="H8689" s="32">
        <v>140</v>
      </c>
      <c r="I8689" s="33">
        <v>210</v>
      </c>
    </row>
    <row r="8690" spans="1:9" ht="15.75" thickBot="1" x14ac:dyDescent="0.3">
      <c r="A8690" s="43" t="s">
        <v>17782</v>
      </c>
      <c r="B8690" s="21" t="s">
        <v>17783</v>
      </c>
      <c r="C8690" s="21" t="s">
        <v>22667</v>
      </c>
      <c r="D8690" s="31" t="s">
        <v>22714</v>
      </c>
      <c r="E8690" s="23" t="s">
        <v>22658</v>
      </c>
      <c r="F8690" s="24" t="s">
        <v>22657</v>
      </c>
      <c r="G8690" s="25">
        <v>17</v>
      </c>
      <c r="H8690" s="26"/>
      <c r="I8690" s="27"/>
    </row>
    <row r="8691" spans="1:9" ht="15.75" thickBot="1" x14ac:dyDescent="0.3">
      <c r="A8691" s="43" t="s">
        <v>17784</v>
      </c>
      <c r="B8691" s="21" t="s">
        <v>17785</v>
      </c>
      <c r="C8691" s="21" t="s">
        <v>22663</v>
      </c>
      <c r="D8691" s="31">
        <v>1</v>
      </c>
      <c r="E8691" s="23" t="s">
        <v>22658</v>
      </c>
      <c r="F8691" s="24" t="s">
        <v>22657</v>
      </c>
      <c r="G8691" s="25">
        <v>4</v>
      </c>
      <c r="H8691" s="29"/>
      <c r="I8691" s="30"/>
    </row>
    <row r="8692" spans="1:9" ht="15.75" thickBot="1" x14ac:dyDescent="0.3">
      <c r="A8692" s="43" t="s">
        <v>17786</v>
      </c>
      <c r="B8692" s="21" t="s">
        <v>17787</v>
      </c>
      <c r="C8692" s="21" t="s">
        <v>22655</v>
      </c>
      <c r="D8692" s="31" t="s">
        <v>22666</v>
      </c>
      <c r="E8692" s="23" t="s">
        <v>22656</v>
      </c>
      <c r="F8692" s="24" t="s">
        <v>22657</v>
      </c>
      <c r="G8692" s="25">
        <v>20</v>
      </c>
      <c r="H8692" s="26"/>
      <c r="I8692" s="27"/>
    </row>
    <row r="8693" spans="1:9" ht="15.75" thickBot="1" x14ac:dyDescent="0.3">
      <c r="A8693" s="43" t="s">
        <v>1513</v>
      </c>
      <c r="B8693" s="21" t="s">
        <v>1514</v>
      </c>
      <c r="C8693" s="21" t="s">
        <v>22655</v>
      </c>
      <c r="D8693" s="22">
        <v>46046</v>
      </c>
      <c r="E8693" s="23" t="s">
        <v>22661</v>
      </c>
      <c r="F8693" s="24" t="s">
        <v>22657</v>
      </c>
      <c r="G8693" s="25">
        <v>63</v>
      </c>
      <c r="H8693" s="29"/>
      <c r="I8693" s="30"/>
    </row>
    <row r="8694" spans="1:9" ht="15.75" thickBot="1" x14ac:dyDescent="0.3">
      <c r="A8694" s="43" t="s">
        <v>1499</v>
      </c>
      <c r="B8694" s="21" t="s">
        <v>1500</v>
      </c>
      <c r="C8694" s="21" t="s">
        <v>22655</v>
      </c>
      <c r="D8694" s="22">
        <v>46034</v>
      </c>
      <c r="E8694" s="23" t="s">
        <v>22661</v>
      </c>
      <c r="F8694" s="24" t="s">
        <v>22657</v>
      </c>
      <c r="G8694" s="25">
        <v>36</v>
      </c>
      <c r="H8694" s="34">
        <v>36</v>
      </c>
      <c r="I8694" s="35">
        <v>60</v>
      </c>
    </row>
    <row r="8695" spans="1:9" ht="15.75" thickBot="1" x14ac:dyDescent="0.3">
      <c r="A8695" s="43" t="s">
        <v>1884</v>
      </c>
      <c r="B8695" s="21" t="s">
        <v>1885</v>
      </c>
      <c r="C8695" s="21" t="s">
        <v>22655</v>
      </c>
      <c r="D8695" s="22">
        <v>46034</v>
      </c>
      <c r="E8695" s="23" t="s">
        <v>22665</v>
      </c>
      <c r="F8695" s="24" t="s">
        <v>22657</v>
      </c>
      <c r="G8695" s="25">
        <v>60</v>
      </c>
      <c r="H8695" s="32">
        <v>60</v>
      </c>
      <c r="I8695" s="33">
        <v>120</v>
      </c>
    </row>
    <row r="8696" spans="1:9" ht="15.75" thickBot="1" x14ac:dyDescent="0.3">
      <c r="A8696" s="43" t="s">
        <v>249</v>
      </c>
      <c r="B8696" s="21" t="s">
        <v>250</v>
      </c>
      <c r="C8696" s="21" t="s">
        <v>22655</v>
      </c>
      <c r="D8696" s="31" t="s">
        <v>22660</v>
      </c>
      <c r="E8696" s="23" t="s">
        <v>22661</v>
      </c>
      <c r="F8696" s="24" t="s">
        <v>22657</v>
      </c>
      <c r="G8696" s="25">
        <v>16</v>
      </c>
      <c r="H8696" s="26"/>
      <c r="I8696" s="27"/>
    </row>
    <row r="8697" spans="1:9" ht="15.75" thickBot="1" x14ac:dyDescent="0.3">
      <c r="A8697" s="43" t="s">
        <v>17788</v>
      </c>
      <c r="B8697" s="21" t="s">
        <v>17789</v>
      </c>
      <c r="C8697" s="21" t="s">
        <v>22655</v>
      </c>
      <c r="D8697" s="31" t="s">
        <v>22660</v>
      </c>
      <c r="E8697" s="23" t="s">
        <v>22658</v>
      </c>
      <c r="F8697" s="24" t="s">
        <v>22657</v>
      </c>
      <c r="G8697" s="25">
        <v>2</v>
      </c>
      <c r="H8697" s="29"/>
      <c r="I8697" s="30"/>
    </row>
    <row r="8698" spans="1:9" ht="15.75" thickBot="1" x14ac:dyDescent="0.3">
      <c r="A8698" s="43" t="s">
        <v>17790</v>
      </c>
      <c r="B8698" s="21" t="s">
        <v>17791</v>
      </c>
      <c r="C8698" s="21" t="s">
        <v>22655</v>
      </c>
      <c r="D8698" s="31" t="s">
        <v>22660</v>
      </c>
      <c r="E8698" s="23" t="s">
        <v>22658</v>
      </c>
      <c r="F8698" s="24" t="s">
        <v>22657</v>
      </c>
      <c r="G8698" s="25">
        <v>2</v>
      </c>
      <c r="H8698" s="26"/>
      <c r="I8698" s="27"/>
    </row>
    <row r="8699" spans="1:9" ht="15.75" thickBot="1" x14ac:dyDescent="0.3">
      <c r="A8699" s="43" t="s">
        <v>17792</v>
      </c>
      <c r="B8699" s="21" t="s">
        <v>17793</v>
      </c>
      <c r="C8699" s="21" t="s">
        <v>22655</v>
      </c>
      <c r="D8699" s="22">
        <v>46034</v>
      </c>
      <c r="E8699" s="23" t="s">
        <v>22656</v>
      </c>
      <c r="F8699" s="24" t="s">
        <v>22657</v>
      </c>
      <c r="G8699" s="25">
        <v>4</v>
      </c>
      <c r="H8699" s="29"/>
      <c r="I8699" s="30"/>
    </row>
    <row r="8700" spans="1:9" ht="15.75" thickBot="1" x14ac:dyDescent="0.3">
      <c r="A8700" s="43" t="s">
        <v>17794</v>
      </c>
      <c r="B8700" s="21" t="s">
        <v>17795</v>
      </c>
      <c r="C8700" s="21" t="s">
        <v>22655</v>
      </c>
      <c r="D8700" s="31" t="s">
        <v>22660</v>
      </c>
      <c r="E8700" s="23" t="s">
        <v>22656</v>
      </c>
      <c r="F8700" s="24" t="s">
        <v>22657</v>
      </c>
      <c r="G8700" s="25">
        <v>2</v>
      </c>
      <c r="H8700" s="26"/>
      <c r="I8700" s="27"/>
    </row>
    <row r="8701" spans="1:9" ht="15.75" thickBot="1" x14ac:dyDescent="0.3">
      <c r="A8701" s="43" t="s">
        <v>17796</v>
      </c>
      <c r="B8701" s="21" t="s">
        <v>17797</v>
      </c>
      <c r="C8701" s="21" t="s">
        <v>22655</v>
      </c>
      <c r="D8701" s="31" t="s">
        <v>22660</v>
      </c>
      <c r="E8701" s="23" t="s">
        <v>22656</v>
      </c>
      <c r="F8701" s="24" t="s">
        <v>22657</v>
      </c>
      <c r="G8701" s="25">
        <v>2</v>
      </c>
      <c r="H8701" s="29"/>
      <c r="I8701" s="30"/>
    </row>
    <row r="8702" spans="1:9" ht="15.75" thickBot="1" x14ac:dyDescent="0.3">
      <c r="A8702" s="43" t="s">
        <v>17798</v>
      </c>
      <c r="B8702" s="21" t="s">
        <v>17799</v>
      </c>
      <c r="C8702" s="21" t="s">
        <v>22655</v>
      </c>
      <c r="D8702" s="31" t="s">
        <v>22660</v>
      </c>
      <c r="E8702" s="23" t="s">
        <v>22658</v>
      </c>
      <c r="F8702" s="24" t="s">
        <v>22657</v>
      </c>
      <c r="G8702" s="25">
        <v>2</v>
      </c>
      <c r="H8702" s="26"/>
      <c r="I8702" s="27"/>
    </row>
    <row r="8703" spans="1:9" ht="15.75" thickBot="1" x14ac:dyDescent="0.3">
      <c r="A8703" s="43" t="s">
        <v>17800</v>
      </c>
      <c r="B8703" s="21" t="s">
        <v>17801</v>
      </c>
      <c r="C8703" s="21" t="s">
        <v>22655</v>
      </c>
      <c r="D8703" s="22">
        <v>46034</v>
      </c>
      <c r="E8703" s="23" t="s">
        <v>22656</v>
      </c>
      <c r="F8703" s="24" t="s">
        <v>22657</v>
      </c>
      <c r="G8703" s="25">
        <v>4</v>
      </c>
      <c r="H8703" s="29"/>
      <c r="I8703" s="30"/>
    </row>
    <row r="8704" spans="1:9" ht="15.75" thickBot="1" x14ac:dyDescent="0.3">
      <c r="A8704" s="43" t="s">
        <v>17802</v>
      </c>
      <c r="B8704" s="21" t="s">
        <v>17803</v>
      </c>
      <c r="C8704" s="21" t="s">
        <v>22655</v>
      </c>
      <c r="D8704" s="22">
        <v>46026</v>
      </c>
      <c r="E8704" s="23" t="s">
        <v>22656</v>
      </c>
      <c r="F8704" s="24" t="s">
        <v>22657</v>
      </c>
      <c r="G8704" s="25">
        <v>2</v>
      </c>
      <c r="H8704" s="26"/>
      <c r="I8704" s="27"/>
    </row>
    <row r="8705" spans="1:9" ht="15.75" thickBot="1" x14ac:dyDescent="0.3">
      <c r="A8705" s="43" t="s">
        <v>17804</v>
      </c>
      <c r="B8705" s="21" t="s">
        <v>17805</v>
      </c>
      <c r="C8705" s="21" t="s">
        <v>22655</v>
      </c>
      <c r="D8705" s="22">
        <v>46030</v>
      </c>
      <c r="E8705" s="23" t="s">
        <v>22658</v>
      </c>
      <c r="F8705" s="24" t="s">
        <v>22657</v>
      </c>
      <c r="G8705" s="25">
        <v>3</v>
      </c>
      <c r="H8705" s="29"/>
      <c r="I8705" s="30"/>
    </row>
    <row r="8706" spans="1:9" ht="15.75" thickBot="1" x14ac:dyDescent="0.3">
      <c r="A8706" s="43" t="s">
        <v>17806</v>
      </c>
      <c r="B8706" s="21" t="s">
        <v>17807</v>
      </c>
      <c r="C8706" s="21" t="s">
        <v>22663</v>
      </c>
      <c r="D8706" s="31">
        <v>1</v>
      </c>
      <c r="E8706" s="23" t="s">
        <v>22658</v>
      </c>
      <c r="F8706" s="28" t="s">
        <v>22659</v>
      </c>
      <c r="G8706" s="25">
        <v>1</v>
      </c>
      <c r="H8706" s="26"/>
      <c r="I8706" s="27"/>
    </row>
    <row r="8707" spans="1:9" ht="15.75" thickBot="1" x14ac:dyDescent="0.3">
      <c r="A8707" s="43" t="s">
        <v>17808</v>
      </c>
      <c r="B8707" s="21" t="s">
        <v>17809</v>
      </c>
      <c r="C8707" s="21" t="s">
        <v>22663</v>
      </c>
      <c r="D8707" s="31">
        <v>1</v>
      </c>
      <c r="E8707" s="23" t="s">
        <v>22658</v>
      </c>
      <c r="F8707" s="28" t="s">
        <v>22659</v>
      </c>
      <c r="G8707" s="25">
        <v>1</v>
      </c>
      <c r="H8707" s="29"/>
      <c r="I8707" s="30"/>
    </row>
    <row r="8708" spans="1:9" ht="15.75" thickBot="1" x14ac:dyDescent="0.3">
      <c r="A8708" s="43" t="s">
        <v>17810</v>
      </c>
      <c r="B8708" s="21" t="s">
        <v>17811</v>
      </c>
      <c r="C8708" s="21" t="s">
        <v>22655</v>
      </c>
      <c r="D8708" s="22">
        <v>46034</v>
      </c>
      <c r="E8708" s="23" t="s">
        <v>22658</v>
      </c>
      <c r="F8708" s="24" t="s">
        <v>22657</v>
      </c>
      <c r="G8708" s="25">
        <v>2</v>
      </c>
      <c r="H8708" s="26"/>
      <c r="I8708" s="27"/>
    </row>
    <row r="8709" spans="1:9" ht="15.75" thickBot="1" x14ac:dyDescent="0.3">
      <c r="A8709" s="43" t="s">
        <v>17812</v>
      </c>
      <c r="B8709" s="21" t="s">
        <v>17813</v>
      </c>
      <c r="C8709" s="21" t="s">
        <v>22655</v>
      </c>
      <c r="D8709" s="22">
        <v>46046</v>
      </c>
      <c r="E8709" s="23" t="s">
        <v>22658</v>
      </c>
      <c r="F8709" s="24" t="s">
        <v>22657</v>
      </c>
      <c r="G8709" s="25">
        <v>3</v>
      </c>
      <c r="H8709" s="29"/>
      <c r="I8709" s="30"/>
    </row>
    <row r="8710" spans="1:9" ht="15.75" thickBot="1" x14ac:dyDescent="0.3">
      <c r="A8710" s="43" t="s">
        <v>17814</v>
      </c>
      <c r="B8710" s="21" t="s">
        <v>17815</v>
      </c>
      <c r="C8710" s="21" t="s">
        <v>22655</v>
      </c>
      <c r="D8710" s="22">
        <v>46046</v>
      </c>
      <c r="E8710" s="23" t="s">
        <v>22658</v>
      </c>
      <c r="F8710" s="24" t="s">
        <v>22657</v>
      </c>
      <c r="G8710" s="25">
        <v>3</v>
      </c>
      <c r="H8710" s="26"/>
      <c r="I8710" s="27"/>
    </row>
    <row r="8711" spans="1:9" ht="15.75" thickBot="1" x14ac:dyDescent="0.3">
      <c r="A8711" s="43" t="s">
        <v>17816</v>
      </c>
      <c r="B8711" s="21" t="s">
        <v>17817</v>
      </c>
      <c r="C8711" s="21" t="s">
        <v>22655</v>
      </c>
      <c r="D8711" s="22">
        <v>46046</v>
      </c>
      <c r="E8711" s="23" t="s">
        <v>22658</v>
      </c>
      <c r="F8711" s="24" t="s">
        <v>22657</v>
      </c>
      <c r="G8711" s="25">
        <v>3</v>
      </c>
      <c r="H8711" s="29"/>
      <c r="I8711" s="30"/>
    </row>
    <row r="8712" spans="1:9" ht="15.75" thickBot="1" x14ac:dyDescent="0.3">
      <c r="A8712" s="43" t="s">
        <v>1791</v>
      </c>
      <c r="B8712" s="21" t="s">
        <v>17818</v>
      </c>
      <c r="C8712" s="21" t="s">
        <v>22655</v>
      </c>
      <c r="D8712" s="22">
        <v>46034</v>
      </c>
      <c r="E8712" s="23" t="s">
        <v>22661</v>
      </c>
      <c r="F8712" s="24" t="s">
        <v>22657</v>
      </c>
      <c r="G8712" s="25">
        <v>4</v>
      </c>
      <c r="H8712" s="26"/>
      <c r="I8712" s="27"/>
    </row>
    <row r="8713" spans="1:9" ht="15.75" thickBot="1" x14ac:dyDescent="0.3">
      <c r="A8713" s="43" t="s">
        <v>17819</v>
      </c>
      <c r="B8713" s="21" t="s">
        <v>17820</v>
      </c>
      <c r="C8713" s="21" t="s">
        <v>22655</v>
      </c>
      <c r="D8713" s="22">
        <v>46034</v>
      </c>
      <c r="E8713" s="23" t="s">
        <v>22656</v>
      </c>
      <c r="F8713" s="24" t="s">
        <v>22657</v>
      </c>
      <c r="G8713" s="25">
        <v>4</v>
      </c>
      <c r="H8713" s="29"/>
      <c r="I8713" s="30"/>
    </row>
    <row r="8714" spans="1:9" ht="15.75" thickBot="1" x14ac:dyDescent="0.3">
      <c r="A8714" s="43" t="s">
        <v>403</v>
      </c>
      <c r="B8714" s="21" t="s">
        <v>404</v>
      </c>
      <c r="C8714" s="21" t="s">
        <v>22655</v>
      </c>
      <c r="D8714" s="22">
        <v>46028</v>
      </c>
      <c r="E8714" s="23" t="s">
        <v>22656</v>
      </c>
      <c r="F8714" s="24" t="s">
        <v>22657</v>
      </c>
      <c r="G8714" s="25">
        <v>3</v>
      </c>
      <c r="H8714" s="26"/>
      <c r="I8714" s="27"/>
    </row>
    <row r="8715" spans="1:9" ht="15.75" thickBot="1" x14ac:dyDescent="0.3">
      <c r="A8715" s="43" t="s">
        <v>1589</v>
      </c>
      <c r="B8715" s="21" t="s">
        <v>1590</v>
      </c>
      <c r="C8715" s="21" t="s">
        <v>22655</v>
      </c>
      <c r="D8715" s="22">
        <v>46028</v>
      </c>
      <c r="E8715" s="23" t="s">
        <v>22656</v>
      </c>
      <c r="F8715" s="24" t="s">
        <v>22657</v>
      </c>
      <c r="G8715" s="25">
        <v>2</v>
      </c>
      <c r="H8715" s="32">
        <v>2</v>
      </c>
      <c r="I8715" s="33">
        <v>6</v>
      </c>
    </row>
    <row r="8716" spans="1:9" ht="15.75" thickBot="1" x14ac:dyDescent="0.3">
      <c r="A8716" s="43" t="s">
        <v>17821</v>
      </c>
      <c r="B8716" s="21" t="s">
        <v>17822</v>
      </c>
      <c r="C8716" s="21" t="s">
        <v>22655</v>
      </c>
      <c r="D8716" s="22">
        <v>46034</v>
      </c>
      <c r="E8716" s="23" t="s">
        <v>22656</v>
      </c>
      <c r="F8716" s="24" t="s">
        <v>22657</v>
      </c>
      <c r="G8716" s="25">
        <v>4</v>
      </c>
      <c r="H8716" s="26"/>
      <c r="I8716" s="27"/>
    </row>
    <row r="8717" spans="1:9" ht="15.75" thickBot="1" x14ac:dyDescent="0.3">
      <c r="A8717" s="43" t="s">
        <v>1615</v>
      </c>
      <c r="B8717" s="21" t="s">
        <v>1616</v>
      </c>
      <c r="C8717" s="21" t="s">
        <v>22655</v>
      </c>
      <c r="D8717" s="22">
        <v>46028</v>
      </c>
      <c r="E8717" s="23" t="s">
        <v>22656</v>
      </c>
      <c r="F8717" s="24" t="s">
        <v>22657</v>
      </c>
      <c r="G8717" s="25">
        <v>2</v>
      </c>
      <c r="H8717" s="32">
        <v>2</v>
      </c>
      <c r="I8717" s="33">
        <v>4</v>
      </c>
    </row>
    <row r="8718" spans="1:9" ht="15.75" thickBot="1" x14ac:dyDescent="0.3">
      <c r="A8718" s="43" t="s">
        <v>17823</v>
      </c>
      <c r="B8718" s="21" t="s">
        <v>17824</v>
      </c>
      <c r="C8718" s="21" t="s">
        <v>22655</v>
      </c>
      <c r="D8718" s="22">
        <v>46034</v>
      </c>
      <c r="E8718" s="23" t="s">
        <v>22661</v>
      </c>
      <c r="F8718" s="24" t="s">
        <v>22657</v>
      </c>
      <c r="G8718" s="25">
        <v>4</v>
      </c>
      <c r="H8718" s="34">
        <v>4</v>
      </c>
      <c r="I8718" s="35">
        <v>6</v>
      </c>
    </row>
    <row r="8719" spans="1:9" ht="15.75" thickBot="1" x14ac:dyDescent="0.3">
      <c r="A8719" s="43" t="s">
        <v>1709</v>
      </c>
      <c r="B8719" s="21" t="s">
        <v>1710</v>
      </c>
      <c r="C8719" s="21" t="s">
        <v>22655</v>
      </c>
      <c r="D8719" s="22">
        <v>46028</v>
      </c>
      <c r="E8719" s="23" t="s">
        <v>22656</v>
      </c>
      <c r="F8719" s="24" t="s">
        <v>22657</v>
      </c>
      <c r="G8719" s="25">
        <v>2</v>
      </c>
      <c r="H8719" s="32">
        <v>2</v>
      </c>
      <c r="I8719" s="33">
        <v>6</v>
      </c>
    </row>
    <row r="8720" spans="1:9" ht="15.75" thickBot="1" x14ac:dyDescent="0.3">
      <c r="A8720" s="43" t="s">
        <v>17825</v>
      </c>
      <c r="B8720" s="21" t="s">
        <v>17826</v>
      </c>
      <c r="C8720" s="21" t="s">
        <v>22655</v>
      </c>
      <c r="D8720" s="22">
        <v>46025</v>
      </c>
      <c r="E8720" s="23" t="s">
        <v>22656</v>
      </c>
      <c r="F8720" s="24" t="s">
        <v>22657</v>
      </c>
      <c r="G8720" s="25">
        <v>2</v>
      </c>
      <c r="H8720" s="26"/>
      <c r="I8720" s="27"/>
    </row>
    <row r="8721" spans="1:9" ht="15.75" thickBot="1" x14ac:dyDescent="0.3">
      <c r="A8721" s="43" t="s">
        <v>17827</v>
      </c>
      <c r="B8721" s="21" t="s">
        <v>17828</v>
      </c>
      <c r="C8721" s="21" t="s">
        <v>22655</v>
      </c>
      <c r="D8721" s="22">
        <v>46024</v>
      </c>
      <c r="E8721" s="23" t="s">
        <v>22658</v>
      </c>
      <c r="F8721" s="24" t="s">
        <v>22657</v>
      </c>
      <c r="G8721" s="25">
        <v>1</v>
      </c>
      <c r="H8721" s="29"/>
      <c r="I8721" s="30"/>
    </row>
    <row r="8722" spans="1:9" ht="15.75" thickBot="1" x14ac:dyDescent="0.3">
      <c r="A8722" s="43" t="s">
        <v>17829</v>
      </c>
      <c r="B8722" s="21" t="s">
        <v>17830</v>
      </c>
      <c r="C8722" s="21" t="s">
        <v>22682</v>
      </c>
      <c r="D8722" s="22">
        <v>46034</v>
      </c>
      <c r="E8722" s="23" t="s">
        <v>22658</v>
      </c>
      <c r="F8722" s="24" t="s">
        <v>22657</v>
      </c>
      <c r="G8722" s="25">
        <v>4</v>
      </c>
      <c r="H8722" s="26"/>
      <c r="I8722" s="27"/>
    </row>
    <row r="8723" spans="1:9" ht="15.75" thickBot="1" x14ac:dyDescent="0.3">
      <c r="A8723" s="43" t="s">
        <v>17831</v>
      </c>
      <c r="B8723" s="21" t="s">
        <v>17832</v>
      </c>
      <c r="C8723" s="21" t="s">
        <v>22682</v>
      </c>
      <c r="D8723" s="22">
        <v>46034</v>
      </c>
      <c r="E8723" s="23" t="s">
        <v>22658</v>
      </c>
      <c r="F8723" s="24" t="s">
        <v>22657</v>
      </c>
      <c r="G8723" s="25">
        <v>4</v>
      </c>
      <c r="H8723" s="29"/>
      <c r="I8723" s="30"/>
    </row>
    <row r="8724" spans="1:9" ht="15.75" thickBot="1" x14ac:dyDescent="0.3">
      <c r="A8724" s="43" t="s">
        <v>17833</v>
      </c>
      <c r="B8724" s="21" t="s">
        <v>17834</v>
      </c>
      <c r="C8724" s="21" t="s">
        <v>22682</v>
      </c>
      <c r="D8724" s="22">
        <v>46034</v>
      </c>
      <c r="E8724" s="23" t="s">
        <v>22658</v>
      </c>
      <c r="F8724" s="24" t="s">
        <v>22657</v>
      </c>
      <c r="G8724" s="25">
        <v>4</v>
      </c>
      <c r="H8724" s="26"/>
      <c r="I8724" s="27"/>
    </row>
    <row r="8725" spans="1:9" ht="15.75" thickBot="1" x14ac:dyDescent="0.3">
      <c r="A8725" s="43" t="s">
        <v>17835</v>
      </c>
      <c r="B8725" s="21" t="s">
        <v>17836</v>
      </c>
      <c r="C8725" s="21" t="s">
        <v>22682</v>
      </c>
      <c r="D8725" s="22">
        <v>46034</v>
      </c>
      <c r="E8725" s="23" t="s">
        <v>22658</v>
      </c>
      <c r="F8725" s="24" t="s">
        <v>22657</v>
      </c>
      <c r="G8725" s="25">
        <v>4</v>
      </c>
      <c r="H8725" s="29"/>
      <c r="I8725" s="30"/>
    </row>
    <row r="8726" spans="1:9" ht="15.75" thickBot="1" x14ac:dyDescent="0.3">
      <c r="A8726" s="43" t="s">
        <v>1185</v>
      </c>
      <c r="B8726" s="21" t="s">
        <v>17837</v>
      </c>
      <c r="C8726" s="21" t="s">
        <v>22663</v>
      </c>
      <c r="D8726" s="31">
        <v>1</v>
      </c>
      <c r="E8726" s="23" t="s">
        <v>22661</v>
      </c>
      <c r="F8726" s="24" t="s">
        <v>22657</v>
      </c>
      <c r="G8726" s="25">
        <v>15</v>
      </c>
      <c r="H8726" s="34">
        <v>15</v>
      </c>
      <c r="I8726" s="35">
        <v>24</v>
      </c>
    </row>
    <row r="8727" spans="1:9" ht="15.75" thickBot="1" x14ac:dyDescent="0.3">
      <c r="A8727" s="43" t="s">
        <v>1970</v>
      </c>
      <c r="B8727" s="21" t="s">
        <v>17838</v>
      </c>
      <c r="C8727" s="21" t="s">
        <v>22663</v>
      </c>
      <c r="D8727" s="31">
        <v>1</v>
      </c>
      <c r="E8727" s="23" t="s">
        <v>22661</v>
      </c>
      <c r="F8727" s="24" t="s">
        <v>22657</v>
      </c>
      <c r="G8727" s="25">
        <v>9</v>
      </c>
      <c r="H8727" s="29"/>
      <c r="I8727" s="30"/>
    </row>
    <row r="8728" spans="1:9" ht="15.75" thickBot="1" x14ac:dyDescent="0.3">
      <c r="A8728" s="43" t="s">
        <v>17839</v>
      </c>
      <c r="B8728" s="21" t="s">
        <v>17840</v>
      </c>
      <c r="C8728" s="21" t="s">
        <v>22663</v>
      </c>
      <c r="D8728" s="31">
        <v>1</v>
      </c>
      <c r="E8728" s="23" t="s">
        <v>22665</v>
      </c>
      <c r="F8728" s="24" t="s">
        <v>22657</v>
      </c>
      <c r="G8728" s="25">
        <v>20</v>
      </c>
      <c r="H8728" s="34">
        <v>20</v>
      </c>
      <c r="I8728" s="35">
        <v>30</v>
      </c>
    </row>
    <row r="8729" spans="1:9" ht="15.75" thickBot="1" x14ac:dyDescent="0.3">
      <c r="A8729" s="43" t="s">
        <v>757</v>
      </c>
      <c r="B8729" s="21" t="s">
        <v>17841</v>
      </c>
      <c r="C8729" s="21" t="s">
        <v>22698</v>
      </c>
      <c r="D8729" s="31">
        <v>1</v>
      </c>
      <c r="E8729" s="23" t="s">
        <v>22665</v>
      </c>
      <c r="F8729" s="24" t="s">
        <v>22657</v>
      </c>
      <c r="G8729" s="25">
        <v>25</v>
      </c>
      <c r="H8729" s="32">
        <v>25</v>
      </c>
      <c r="I8729" s="33">
        <v>50</v>
      </c>
    </row>
    <row r="8730" spans="1:9" ht="15.75" thickBot="1" x14ac:dyDescent="0.3">
      <c r="A8730" s="43" t="s">
        <v>83</v>
      </c>
      <c r="B8730" s="21" t="s">
        <v>17842</v>
      </c>
      <c r="C8730" s="21" t="s">
        <v>22727</v>
      </c>
      <c r="D8730" s="31">
        <v>1</v>
      </c>
      <c r="E8730" s="23" t="s">
        <v>22656</v>
      </c>
      <c r="F8730" s="24" t="s">
        <v>22657</v>
      </c>
      <c r="G8730" s="25">
        <v>2</v>
      </c>
      <c r="H8730" s="34">
        <v>2</v>
      </c>
      <c r="I8730" s="35">
        <v>4</v>
      </c>
    </row>
    <row r="8731" spans="1:9" ht="15.75" thickBot="1" x14ac:dyDescent="0.3">
      <c r="A8731" s="43" t="s">
        <v>17843</v>
      </c>
      <c r="B8731" s="21" t="s">
        <v>17844</v>
      </c>
      <c r="C8731" s="21" t="s">
        <v>22682</v>
      </c>
      <c r="D8731" s="22">
        <v>46034</v>
      </c>
      <c r="E8731" s="23" t="s">
        <v>22658</v>
      </c>
      <c r="F8731" s="24" t="s">
        <v>22657</v>
      </c>
      <c r="G8731" s="25">
        <v>4</v>
      </c>
      <c r="H8731" s="29"/>
      <c r="I8731" s="30"/>
    </row>
    <row r="8732" spans="1:9" ht="15.75" thickBot="1" x14ac:dyDescent="0.3">
      <c r="A8732" s="43" t="s">
        <v>17845</v>
      </c>
      <c r="B8732" s="21" t="s">
        <v>17846</v>
      </c>
      <c r="C8732" s="21" t="s">
        <v>22682</v>
      </c>
      <c r="D8732" s="22">
        <v>46034</v>
      </c>
      <c r="E8732" s="23" t="s">
        <v>22658</v>
      </c>
      <c r="F8732" s="24" t="s">
        <v>22657</v>
      </c>
      <c r="G8732" s="25">
        <v>4</v>
      </c>
      <c r="H8732" s="26"/>
      <c r="I8732" s="27"/>
    </row>
    <row r="8733" spans="1:9" ht="15.75" thickBot="1" x14ac:dyDescent="0.3">
      <c r="A8733" s="43" t="s">
        <v>1503</v>
      </c>
      <c r="B8733" s="21" t="s">
        <v>1504</v>
      </c>
      <c r="C8733" s="21" t="s">
        <v>22690</v>
      </c>
      <c r="D8733" s="31" t="s">
        <v>22700</v>
      </c>
      <c r="E8733" s="23" t="s">
        <v>22662</v>
      </c>
      <c r="F8733" s="24" t="s">
        <v>22657</v>
      </c>
      <c r="G8733" s="25">
        <v>144</v>
      </c>
      <c r="H8733" s="32">
        <v>144</v>
      </c>
      <c r="I8733" s="33">
        <v>288</v>
      </c>
    </row>
    <row r="8734" spans="1:9" ht="15.75" thickBot="1" x14ac:dyDescent="0.3">
      <c r="A8734" s="43" t="s">
        <v>17847</v>
      </c>
      <c r="B8734" s="21" t="s">
        <v>17848</v>
      </c>
      <c r="C8734" s="21" t="s">
        <v>22655</v>
      </c>
      <c r="D8734" s="22">
        <v>46042</v>
      </c>
      <c r="E8734" s="23" t="s">
        <v>22656</v>
      </c>
      <c r="F8734" s="24" t="s">
        <v>22657</v>
      </c>
      <c r="G8734" s="25">
        <v>7</v>
      </c>
      <c r="H8734" s="26"/>
      <c r="I8734" s="27"/>
    </row>
    <row r="8735" spans="1:9" ht="15.75" thickBot="1" x14ac:dyDescent="0.3">
      <c r="A8735" s="43" t="s">
        <v>17849</v>
      </c>
      <c r="B8735" s="21" t="s">
        <v>17850</v>
      </c>
      <c r="C8735" s="21" t="s">
        <v>22655</v>
      </c>
      <c r="D8735" s="22">
        <v>46042</v>
      </c>
      <c r="E8735" s="23" t="s">
        <v>22656</v>
      </c>
      <c r="F8735" s="24" t="s">
        <v>22657</v>
      </c>
      <c r="G8735" s="25">
        <v>7</v>
      </c>
      <c r="H8735" s="29"/>
      <c r="I8735" s="30"/>
    </row>
    <row r="8736" spans="1:9" ht="15.75" thickBot="1" x14ac:dyDescent="0.3">
      <c r="A8736" s="43" t="s">
        <v>17851</v>
      </c>
      <c r="B8736" s="21" t="s">
        <v>17852</v>
      </c>
      <c r="C8736" s="21" t="s">
        <v>22655</v>
      </c>
      <c r="D8736" s="22">
        <v>46042</v>
      </c>
      <c r="E8736" s="23" t="s">
        <v>22656</v>
      </c>
      <c r="F8736" s="24" t="s">
        <v>22657</v>
      </c>
      <c r="G8736" s="25">
        <v>7</v>
      </c>
      <c r="H8736" s="26"/>
      <c r="I8736" s="27"/>
    </row>
    <row r="8737" spans="1:9" ht="15.75" thickBot="1" x14ac:dyDescent="0.3">
      <c r="A8737" s="43" t="s">
        <v>1725</v>
      </c>
      <c r="B8737" s="21" t="s">
        <v>1726</v>
      </c>
      <c r="C8737" s="21" t="s">
        <v>22655</v>
      </c>
      <c r="D8737" s="22">
        <v>46042</v>
      </c>
      <c r="E8737" s="23" t="s">
        <v>22656</v>
      </c>
      <c r="F8737" s="24" t="s">
        <v>22657</v>
      </c>
      <c r="G8737" s="25">
        <v>10</v>
      </c>
      <c r="H8737" s="32">
        <v>10</v>
      </c>
      <c r="I8737" s="33">
        <v>20</v>
      </c>
    </row>
    <row r="8738" spans="1:9" ht="15.75" thickBot="1" x14ac:dyDescent="0.3">
      <c r="A8738" s="43" t="s">
        <v>17853</v>
      </c>
      <c r="B8738" s="21" t="s">
        <v>17854</v>
      </c>
      <c r="C8738" s="21" t="s">
        <v>22655</v>
      </c>
      <c r="D8738" s="22">
        <v>46042</v>
      </c>
      <c r="E8738" s="23" t="s">
        <v>22656</v>
      </c>
      <c r="F8738" s="24" t="s">
        <v>22657</v>
      </c>
      <c r="G8738" s="25">
        <v>7</v>
      </c>
      <c r="H8738" s="26"/>
      <c r="I8738" s="27"/>
    </row>
    <row r="8739" spans="1:9" ht="15.75" thickBot="1" x14ac:dyDescent="0.3">
      <c r="A8739" s="43" t="s">
        <v>17855</v>
      </c>
      <c r="B8739" s="21" t="s">
        <v>17856</v>
      </c>
      <c r="C8739" s="21" t="s">
        <v>22655</v>
      </c>
      <c r="D8739" s="22">
        <v>46042</v>
      </c>
      <c r="E8739" s="23" t="s">
        <v>22658</v>
      </c>
      <c r="F8739" s="24" t="s">
        <v>22657</v>
      </c>
      <c r="G8739" s="25">
        <v>7</v>
      </c>
      <c r="H8739" s="29"/>
      <c r="I8739" s="30"/>
    </row>
    <row r="8740" spans="1:9" ht="15.75" thickBot="1" x14ac:dyDescent="0.3">
      <c r="A8740" s="43" t="s">
        <v>17857</v>
      </c>
      <c r="B8740" s="21" t="s">
        <v>17858</v>
      </c>
      <c r="C8740" s="21" t="s">
        <v>22655</v>
      </c>
      <c r="D8740" s="22">
        <v>46042</v>
      </c>
      <c r="E8740" s="23" t="s">
        <v>22656</v>
      </c>
      <c r="F8740" s="24" t="s">
        <v>22657</v>
      </c>
      <c r="G8740" s="25">
        <v>7</v>
      </c>
      <c r="H8740" s="26"/>
      <c r="I8740" s="27"/>
    </row>
    <row r="8741" spans="1:9" ht="15.75" thickBot="1" x14ac:dyDescent="0.3">
      <c r="A8741" s="43" t="s">
        <v>17859</v>
      </c>
      <c r="B8741" s="21" t="s">
        <v>17860</v>
      </c>
      <c r="C8741" s="21" t="s">
        <v>22655</v>
      </c>
      <c r="D8741" s="22">
        <v>46042</v>
      </c>
      <c r="E8741" s="23" t="s">
        <v>22656</v>
      </c>
      <c r="F8741" s="24" t="s">
        <v>22657</v>
      </c>
      <c r="G8741" s="25">
        <v>7</v>
      </c>
      <c r="H8741" s="29"/>
      <c r="I8741" s="30"/>
    </row>
    <row r="8742" spans="1:9" ht="15.75" thickBot="1" x14ac:dyDescent="0.3">
      <c r="A8742" s="43" t="s">
        <v>17861</v>
      </c>
      <c r="B8742" s="21" t="s">
        <v>17862</v>
      </c>
      <c r="C8742" s="21" t="s">
        <v>22655</v>
      </c>
      <c r="D8742" s="22">
        <v>46042</v>
      </c>
      <c r="E8742" s="23" t="s">
        <v>22656</v>
      </c>
      <c r="F8742" s="24" t="s">
        <v>22657</v>
      </c>
      <c r="G8742" s="25">
        <v>7</v>
      </c>
      <c r="H8742" s="26"/>
      <c r="I8742" s="27"/>
    </row>
    <row r="8743" spans="1:9" ht="15.75" thickBot="1" x14ac:dyDescent="0.3">
      <c r="A8743" s="43" t="s">
        <v>17863</v>
      </c>
      <c r="B8743" s="21" t="s">
        <v>17864</v>
      </c>
      <c r="C8743" s="21" t="s">
        <v>22655</v>
      </c>
      <c r="D8743" s="22">
        <v>46042</v>
      </c>
      <c r="E8743" s="23" t="s">
        <v>22656</v>
      </c>
      <c r="F8743" s="24" t="s">
        <v>22657</v>
      </c>
      <c r="G8743" s="25">
        <v>7</v>
      </c>
      <c r="H8743" s="29"/>
      <c r="I8743" s="30"/>
    </row>
    <row r="8744" spans="1:9" ht="15.75" thickBot="1" x14ac:dyDescent="0.3">
      <c r="A8744" s="43" t="s">
        <v>165</v>
      </c>
      <c r="B8744" s="21" t="s">
        <v>166</v>
      </c>
      <c r="C8744" s="21" t="s">
        <v>22655</v>
      </c>
      <c r="D8744" s="22">
        <v>46042</v>
      </c>
      <c r="E8744" s="23" t="s">
        <v>22661</v>
      </c>
      <c r="F8744" s="24" t="s">
        <v>22657</v>
      </c>
      <c r="G8744" s="25">
        <v>12</v>
      </c>
      <c r="H8744" s="26"/>
      <c r="I8744" s="27"/>
    </row>
    <row r="8745" spans="1:9" ht="15.75" thickBot="1" x14ac:dyDescent="0.3">
      <c r="A8745" s="43" t="s">
        <v>187</v>
      </c>
      <c r="B8745" s="21" t="s">
        <v>188</v>
      </c>
      <c r="C8745" s="21" t="s">
        <v>22655</v>
      </c>
      <c r="D8745" s="22">
        <v>46042</v>
      </c>
      <c r="E8745" s="23" t="s">
        <v>22661</v>
      </c>
      <c r="F8745" s="24" t="s">
        <v>22657</v>
      </c>
      <c r="G8745" s="25">
        <v>7</v>
      </c>
      <c r="H8745" s="29"/>
      <c r="I8745" s="30"/>
    </row>
    <row r="8746" spans="1:9" ht="15.75" thickBot="1" x14ac:dyDescent="0.3">
      <c r="A8746" s="43" t="s">
        <v>17865</v>
      </c>
      <c r="B8746" s="21" t="s">
        <v>17866</v>
      </c>
      <c r="C8746" s="21" t="s">
        <v>22655</v>
      </c>
      <c r="D8746" s="22">
        <v>46042</v>
      </c>
      <c r="E8746" s="23" t="s">
        <v>22656</v>
      </c>
      <c r="F8746" s="24" t="s">
        <v>22657</v>
      </c>
      <c r="G8746" s="25">
        <v>7</v>
      </c>
      <c r="H8746" s="26"/>
      <c r="I8746" s="27"/>
    </row>
    <row r="8747" spans="1:9" ht="15.75" thickBot="1" x14ac:dyDescent="0.3">
      <c r="A8747" s="43" t="s">
        <v>17867</v>
      </c>
      <c r="B8747" s="21" t="s">
        <v>17868</v>
      </c>
      <c r="C8747" s="21" t="s">
        <v>22655</v>
      </c>
      <c r="D8747" s="22">
        <v>46042</v>
      </c>
      <c r="E8747" s="23" t="s">
        <v>22658</v>
      </c>
      <c r="F8747" s="24" t="s">
        <v>22657</v>
      </c>
      <c r="G8747" s="25">
        <v>7</v>
      </c>
      <c r="H8747" s="29"/>
      <c r="I8747" s="30"/>
    </row>
    <row r="8748" spans="1:9" ht="15.75" thickBot="1" x14ac:dyDescent="0.3">
      <c r="A8748" s="43" t="s">
        <v>17869</v>
      </c>
      <c r="B8748" s="21" t="s">
        <v>17870</v>
      </c>
      <c r="C8748" s="21" t="s">
        <v>22655</v>
      </c>
      <c r="D8748" s="22">
        <v>46042</v>
      </c>
      <c r="E8748" s="23" t="s">
        <v>22658</v>
      </c>
      <c r="F8748" s="24" t="s">
        <v>22657</v>
      </c>
      <c r="G8748" s="25">
        <v>7</v>
      </c>
      <c r="H8748" s="26"/>
      <c r="I8748" s="27"/>
    </row>
    <row r="8749" spans="1:9" ht="15.75" thickBot="1" x14ac:dyDescent="0.3">
      <c r="A8749" s="43" t="s">
        <v>985</v>
      </c>
      <c r="B8749" s="21" t="s">
        <v>986</v>
      </c>
      <c r="C8749" s="21" t="s">
        <v>22655</v>
      </c>
      <c r="D8749" s="22">
        <v>46042</v>
      </c>
      <c r="E8749" s="23" t="s">
        <v>22661</v>
      </c>
      <c r="F8749" s="24" t="s">
        <v>22657</v>
      </c>
      <c r="G8749" s="25">
        <v>10</v>
      </c>
      <c r="H8749" s="32">
        <v>10</v>
      </c>
      <c r="I8749" s="33">
        <v>20</v>
      </c>
    </row>
    <row r="8750" spans="1:9" ht="15.75" thickBot="1" x14ac:dyDescent="0.3">
      <c r="A8750" s="43" t="s">
        <v>233</v>
      </c>
      <c r="B8750" s="21" t="s">
        <v>234</v>
      </c>
      <c r="C8750" s="21" t="s">
        <v>22655</v>
      </c>
      <c r="D8750" s="22">
        <v>46042</v>
      </c>
      <c r="E8750" s="23" t="s">
        <v>22656</v>
      </c>
      <c r="F8750" s="24" t="s">
        <v>22657</v>
      </c>
      <c r="G8750" s="25">
        <v>9</v>
      </c>
      <c r="H8750" s="26"/>
      <c r="I8750" s="27"/>
    </row>
    <row r="8751" spans="1:9" ht="15.75" thickBot="1" x14ac:dyDescent="0.3">
      <c r="A8751" s="43" t="s">
        <v>17871</v>
      </c>
      <c r="B8751" s="21" t="s">
        <v>17872</v>
      </c>
      <c r="C8751" s="21" t="s">
        <v>22655</v>
      </c>
      <c r="D8751" s="22">
        <v>46042</v>
      </c>
      <c r="E8751" s="23" t="s">
        <v>22656</v>
      </c>
      <c r="F8751" s="24" t="s">
        <v>22657</v>
      </c>
      <c r="G8751" s="25">
        <v>7</v>
      </c>
      <c r="H8751" s="29"/>
      <c r="I8751" s="30"/>
    </row>
    <row r="8752" spans="1:9" ht="15.75" thickBot="1" x14ac:dyDescent="0.3">
      <c r="A8752" s="43" t="s">
        <v>1829</v>
      </c>
      <c r="B8752" s="21" t="s">
        <v>1830</v>
      </c>
      <c r="C8752" s="21" t="s">
        <v>22655</v>
      </c>
      <c r="D8752" s="22">
        <v>46042</v>
      </c>
      <c r="E8752" s="23" t="s">
        <v>22656</v>
      </c>
      <c r="F8752" s="24" t="s">
        <v>22657</v>
      </c>
      <c r="G8752" s="25">
        <v>7</v>
      </c>
      <c r="H8752" s="26"/>
      <c r="I8752" s="27"/>
    </row>
    <row r="8753" spans="1:9" ht="15.75" thickBot="1" x14ac:dyDescent="0.3">
      <c r="A8753" s="43" t="s">
        <v>477</v>
      </c>
      <c r="B8753" s="21" t="s">
        <v>478</v>
      </c>
      <c r="C8753" s="21" t="s">
        <v>22655</v>
      </c>
      <c r="D8753" s="22">
        <v>46042</v>
      </c>
      <c r="E8753" s="23" t="s">
        <v>22656</v>
      </c>
      <c r="F8753" s="24" t="s">
        <v>22657</v>
      </c>
      <c r="G8753" s="25">
        <v>7</v>
      </c>
      <c r="H8753" s="29"/>
      <c r="I8753" s="30"/>
    </row>
    <row r="8754" spans="1:9" ht="15.75" thickBot="1" x14ac:dyDescent="0.3">
      <c r="A8754" s="43" t="s">
        <v>365</v>
      </c>
      <c r="B8754" s="21" t="s">
        <v>366</v>
      </c>
      <c r="C8754" s="21" t="s">
        <v>22655</v>
      </c>
      <c r="D8754" s="22">
        <v>46042</v>
      </c>
      <c r="E8754" s="23" t="s">
        <v>22661</v>
      </c>
      <c r="F8754" s="24" t="s">
        <v>22657</v>
      </c>
      <c r="G8754" s="25">
        <v>7</v>
      </c>
      <c r="H8754" s="26"/>
      <c r="I8754" s="27"/>
    </row>
    <row r="8755" spans="1:9" ht="15.75" thickBot="1" x14ac:dyDescent="0.3">
      <c r="A8755" s="43" t="s">
        <v>493</v>
      </c>
      <c r="B8755" s="21" t="s">
        <v>494</v>
      </c>
      <c r="C8755" s="21" t="s">
        <v>22655</v>
      </c>
      <c r="D8755" s="22">
        <v>46042</v>
      </c>
      <c r="E8755" s="23" t="s">
        <v>22661</v>
      </c>
      <c r="F8755" s="24" t="s">
        <v>22657</v>
      </c>
      <c r="G8755" s="25">
        <v>6</v>
      </c>
      <c r="H8755" s="32">
        <v>6</v>
      </c>
      <c r="I8755" s="33">
        <v>10</v>
      </c>
    </row>
    <row r="8756" spans="1:9" ht="15.75" thickBot="1" x14ac:dyDescent="0.3">
      <c r="A8756" s="43" t="s">
        <v>17873</v>
      </c>
      <c r="B8756" s="21" t="s">
        <v>17874</v>
      </c>
      <c r="C8756" s="21" t="s">
        <v>22655</v>
      </c>
      <c r="D8756" s="22">
        <v>46042</v>
      </c>
      <c r="E8756" s="23" t="s">
        <v>22656</v>
      </c>
      <c r="F8756" s="24" t="s">
        <v>22657</v>
      </c>
      <c r="G8756" s="25">
        <v>7</v>
      </c>
      <c r="H8756" s="26"/>
      <c r="I8756" s="27"/>
    </row>
    <row r="8757" spans="1:9" ht="15.75" thickBot="1" x14ac:dyDescent="0.3">
      <c r="A8757" s="43" t="s">
        <v>1593</v>
      </c>
      <c r="B8757" s="21" t="s">
        <v>1594</v>
      </c>
      <c r="C8757" s="21" t="s">
        <v>22655</v>
      </c>
      <c r="D8757" s="22">
        <v>46042</v>
      </c>
      <c r="E8757" s="23" t="s">
        <v>22661</v>
      </c>
      <c r="F8757" s="24" t="s">
        <v>22657</v>
      </c>
      <c r="G8757" s="25">
        <v>6</v>
      </c>
      <c r="H8757" s="32">
        <v>6</v>
      </c>
      <c r="I8757" s="33">
        <v>10</v>
      </c>
    </row>
    <row r="8758" spans="1:9" ht="15.75" thickBot="1" x14ac:dyDescent="0.3">
      <c r="A8758" s="43" t="s">
        <v>17875</v>
      </c>
      <c r="B8758" s="21" t="s">
        <v>17876</v>
      </c>
      <c r="C8758" s="21" t="s">
        <v>22655</v>
      </c>
      <c r="D8758" s="22">
        <v>46042</v>
      </c>
      <c r="E8758" s="23" t="s">
        <v>22658</v>
      </c>
      <c r="F8758" s="24" t="s">
        <v>22657</v>
      </c>
      <c r="G8758" s="25">
        <v>7</v>
      </c>
      <c r="H8758" s="26"/>
      <c r="I8758" s="27"/>
    </row>
    <row r="8759" spans="1:9" ht="15.75" thickBot="1" x14ac:dyDescent="0.3">
      <c r="A8759" s="43" t="s">
        <v>1257</v>
      </c>
      <c r="B8759" s="21" t="s">
        <v>1258</v>
      </c>
      <c r="C8759" s="21" t="s">
        <v>22655</v>
      </c>
      <c r="D8759" s="22">
        <v>46032</v>
      </c>
      <c r="E8759" s="23" t="s">
        <v>22662</v>
      </c>
      <c r="F8759" s="24" t="s">
        <v>22657</v>
      </c>
      <c r="G8759" s="25">
        <v>60</v>
      </c>
      <c r="H8759" s="32">
        <v>60</v>
      </c>
      <c r="I8759" s="33">
        <v>100</v>
      </c>
    </row>
    <row r="8760" spans="1:9" ht="15.75" thickBot="1" x14ac:dyDescent="0.3">
      <c r="A8760" s="43" t="s">
        <v>17877</v>
      </c>
      <c r="B8760" s="21" t="s">
        <v>17878</v>
      </c>
      <c r="C8760" s="21" t="s">
        <v>22716</v>
      </c>
      <c r="D8760" s="22">
        <v>46042</v>
      </c>
      <c r="E8760" s="23" t="s">
        <v>22665</v>
      </c>
      <c r="F8760" s="24" t="s">
        <v>22657</v>
      </c>
      <c r="G8760" s="25">
        <v>60</v>
      </c>
      <c r="H8760" s="34">
        <v>60</v>
      </c>
      <c r="I8760" s="35">
        <v>80</v>
      </c>
    </row>
    <row r="8761" spans="1:9" ht="15.75" thickBot="1" x14ac:dyDescent="0.3">
      <c r="A8761" s="43" t="s">
        <v>961</v>
      </c>
      <c r="B8761" s="21" t="s">
        <v>962</v>
      </c>
      <c r="C8761" s="21" t="s">
        <v>22655</v>
      </c>
      <c r="D8761" s="22">
        <v>46042</v>
      </c>
      <c r="E8761" s="23" t="s">
        <v>22665</v>
      </c>
      <c r="F8761" s="24" t="s">
        <v>22657</v>
      </c>
      <c r="G8761" s="25">
        <v>32</v>
      </c>
      <c r="H8761" s="29"/>
      <c r="I8761" s="30"/>
    </row>
    <row r="8762" spans="1:9" ht="15.75" thickBot="1" x14ac:dyDescent="0.3">
      <c r="A8762" s="43" t="s">
        <v>870</v>
      </c>
      <c r="B8762" s="21" t="s">
        <v>871</v>
      </c>
      <c r="C8762" s="21" t="s">
        <v>22716</v>
      </c>
      <c r="D8762" s="22">
        <v>46046</v>
      </c>
      <c r="E8762" s="23" t="s">
        <v>22665</v>
      </c>
      <c r="F8762" s="24" t="s">
        <v>22657</v>
      </c>
      <c r="G8762" s="25">
        <v>60</v>
      </c>
      <c r="H8762" s="34">
        <v>60</v>
      </c>
      <c r="I8762" s="35">
        <v>100</v>
      </c>
    </row>
    <row r="8763" spans="1:9" ht="15.75" thickBot="1" x14ac:dyDescent="0.3">
      <c r="A8763" s="43" t="s">
        <v>18979</v>
      </c>
      <c r="B8763" s="21" t="s">
        <v>22625</v>
      </c>
      <c r="C8763" s="21" t="s">
        <v>22655</v>
      </c>
      <c r="D8763" s="22">
        <v>46034</v>
      </c>
      <c r="E8763" s="23" t="s">
        <v>22656</v>
      </c>
      <c r="F8763" s="24" t="s">
        <v>22657</v>
      </c>
      <c r="G8763" s="25">
        <v>2</v>
      </c>
      <c r="H8763" s="29"/>
      <c r="I8763" s="30"/>
    </row>
    <row r="8764" spans="1:9" ht="15.75" thickBot="1" x14ac:dyDescent="0.3">
      <c r="A8764" s="43" t="s">
        <v>17879</v>
      </c>
      <c r="B8764" s="21" t="s">
        <v>17880</v>
      </c>
      <c r="C8764" s="21" t="s">
        <v>22682</v>
      </c>
      <c r="D8764" s="22">
        <v>46034</v>
      </c>
      <c r="E8764" s="23" t="s">
        <v>22656</v>
      </c>
      <c r="F8764" s="24" t="s">
        <v>22657</v>
      </c>
      <c r="G8764" s="25">
        <v>4</v>
      </c>
      <c r="H8764" s="26"/>
      <c r="I8764" s="27"/>
    </row>
    <row r="8765" spans="1:9" ht="15.75" thickBot="1" x14ac:dyDescent="0.3">
      <c r="A8765" s="43" t="s">
        <v>17881</v>
      </c>
      <c r="B8765" s="21" t="s">
        <v>17882</v>
      </c>
      <c r="C8765" s="21" t="s">
        <v>22682</v>
      </c>
      <c r="D8765" s="22">
        <v>46034</v>
      </c>
      <c r="E8765" s="23" t="s">
        <v>22656</v>
      </c>
      <c r="F8765" s="24" t="s">
        <v>22657</v>
      </c>
      <c r="G8765" s="25">
        <v>4</v>
      </c>
      <c r="H8765" s="29"/>
      <c r="I8765" s="30"/>
    </row>
    <row r="8766" spans="1:9" ht="15.75" thickBot="1" x14ac:dyDescent="0.3">
      <c r="A8766" s="43" t="s">
        <v>1095</v>
      </c>
      <c r="B8766" s="21" t="s">
        <v>1096</v>
      </c>
      <c r="C8766" s="21" t="s">
        <v>22655</v>
      </c>
      <c r="D8766" s="22">
        <v>46028</v>
      </c>
      <c r="E8766" s="23" t="s">
        <v>22665</v>
      </c>
      <c r="F8766" s="24" t="s">
        <v>22657</v>
      </c>
      <c r="G8766" s="25">
        <v>12</v>
      </c>
      <c r="H8766" s="34">
        <v>12</v>
      </c>
      <c r="I8766" s="35">
        <v>24</v>
      </c>
    </row>
    <row r="8767" spans="1:9" ht="15.75" thickBot="1" x14ac:dyDescent="0.3">
      <c r="A8767" s="43" t="s">
        <v>17883</v>
      </c>
      <c r="B8767" s="21" t="s">
        <v>17884</v>
      </c>
      <c r="C8767" s="21" t="s">
        <v>22682</v>
      </c>
      <c r="D8767" s="22">
        <v>46034</v>
      </c>
      <c r="E8767" s="23" t="s">
        <v>22658</v>
      </c>
      <c r="F8767" s="24" t="s">
        <v>22657</v>
      </c>
      <c r="G8767" s="25">
        <v>4</v>
      </c>
      <c r="H8767" s="29"/>
      <c r="I8767" s="30"/>
    </row>
    <row r="8768" spans="1:9" ht="15.75" thickBot="1" x14ac:dyDescent="0.3">
      <c r="A8768" s="43" t="s">
        <v>17885</v>
      </c>
      <c r="B8768" s="21" t="s">
        <v>17886</v>
      </c>
      <c r="C8768" s="21" t="s">
        <v>22682</v>
      </c>
      <c r="D8768" s="22">
        <v>46034</v>
      </c>
      <c r="E8768" s="23" t="s">
        <v>22656</v>
      </c>
      <c r="F8768" s="24" t="s">
        <v>22657</v>
      </c>
      <c r="G8768" s="25">
        <v>4</v>
      </c>
      <c r="H8768" s="26"/>
      <c r="I8768" s="27"/>
    </row>
    <row r="8769" spans="1:9" ht="15.75" thickBot="1" x14ac:dyDescent="0.3">
      <c r="A8769" s="43" t="s">
        <v>17887</v>
      </c>
      <c r="B8769" s="21" t="s">
        <v>17888</v>
      </c>
      <c r="C8769" s="21" t="s">
        <v>22682</v>
      </c>
      <c r="D8769" s="22">
        <v>46034</v>
      </c>
      <c r="E8769" s="23" t="s">
        <v>22658</v>
      </c>
      <c r="F8769" s="24" t="s">
        <v>22657</v>
      </c>
      <c r="G8769" s="25">
        <v>4</v>
      </c>
      <c r="H8769" s="29"/>
      <c r="I8769" s="30"/>
    </row>
    <row r="8770" spans="1:9" ht="15.75" thickBot="1" x14ac:dyDescent="0.3">
      <c r="A8770" s="43" t="s">
        <v>17889</v>
      </c>
      <c r="B8770" s="21" t="s">
        <v>17890</v>
      </c>
      <c r="C8770" s="21" t="s">
        <v>22663</v>
      </c>
      <c r="D8770" s="31">
        <v>1</v>
      </c>
      <c r="E8770" s="23" t="s">
        <v>22658</v>
      </c>
      <c r="F8770" s="24" t="s">
        <v>22657</v>
      </c>
      <c r="G8770" s="25">
        <v>4</v>
      </c>
      <c r="H8770" s="26"/>
      <c r="I8770" s="27"/>
    </row>
    <row r="8771" spans="1:9" ht="15.75" thickBot="1" x14ac:dyDescent="0.3">
      <c r="A8771" s="43" t="s">
        <v>17891</v>
      </c>
      <c r="B8771" s="21" t="s">
        <v>17892</v>
      </c>
      <c r="C8771" s="21" t="s">
        <v>22667</v>
      </c>
      <c r="D8771" s="31" t="s">
        <v>22829</v>
      </c>
      <c r="E8771" s="23" t="s">
        <v>22658</v>
      </c>
      <c r="F8771" s="24" t="s">
        <v>22657</v>
      </c>
      <c r="G8771" s="25">
        <v>2</v>
      </c>
      <c r="H8771" s="29"/>
      <c r="I8771" s="30"/>
    </row>
    <row r="8772" spans="1:9" ht="15.75" thickBot="1" x14ac:dyDescent="0.3">
      <c r="A8772" s="43" t="s">
        <v>17893</v>
      </c>
      <c r="B8772" s="21" t="s">
        <v>17894</v>
      </c>
      <c r="C8772" s="21" t="s">
        <v>22655</v>
      </c>
      <c r="D8772" s="22">
        <v>46034</v>
      </c>
      <c r="E8772" s="23" t="s">
        <v>22656</v>
      </c>
      <c r="F8772" s="24" t="s">
        <v>22657</v>
      </c>
      <c r="G8772" s="25">
        <v>4</v>
      </c>
      <c r="H8772" s="26"/>
      <c r="I8772" s="27"/>
    </row>
    <row r="8773" spans="1:9" ht="15.75" thickBot="1" x14ac:dyDescent="0.3">
      <c r="A8773" s="43" t="s">
        <v>17895</v>
      </c>
      <c r="B8773" s="21" t="s">
        <v>17896</v>
      </c>
      <c r="C8773" s="21" t="s">
        <v>22655</v>
      </c>
      <c r="D8773" s="22">
        <v>46034</v>
      </c>
      <c r="E8773" s="23" t="s">
        <v>22658</v>
      </c>
      <c r="F8773" s="24" t="s">
        <v>22657</v>
      </c>
      <c r="G8773" s="25">
        <v>4</v>
      </c>
      <c r="H8773" s="29"/>
      <c r="I8773" s="30"/>
    </row>
    <row r="8774" spans="1:9" ht="15.75" thickBot="1" x14ac:dyDescent="0.3">
      <c r="A8774" s="43" t="s">
        <v>17897</v>
      </c>
      <c r="B8774" s="21" t="s">
        <v>17898</v>
      </c>
      <c r="C8774" s="21" t="s">
        <v>22655</v>
      </c>
      <c r="D8774" s="22">
        <v>46034</v>
      </c>
      <c r="E8774" s="23" t="s">
        <v>22656</v>
      </c>
      <c r="F8774" s="24" t="s">
        <v>22657</v>
      </c>
      <c r="G8774" s="25">
        <v>4</v>
      </c>
      <c r="H8774" s="26"/>
      <c r="I8774" s="27"/>
    </row>
    <row r="8775" spans="1:9" ht="15.75" thickBot="1" x14ac:dyDescent="0.3">
      <c r="A8775" s="43" t="s">
        <v>17899</v>
      </c>
      <c r="B8775" s="21" t="s">
        <v>17900</v>
      </c>
      <c r="C8775" s="21" t="s">
        <v>22655</v>
      </c>
      <c r="D8775" s="31" t="s">
        <v>22740</v>
      </c>
      <c r="E8775" s="23" t="s">
        <v>22656</v>
      </c>
      <c r="F8775" s="24" t="s">
        <v>22657</v>
      </c>
      <c r="G8775" s="25">
        <v>4</v>
      </c>
      <c r="H8775" s="29"/>
      <c r="I8775" s="30"/>
    </row>
    <row r="8776" spans="1:9" ht="15.75" thickBot="1" x14ac:dyDescent="0.3">
      <c r="A8776" s="43" t="s">
        <v>17901</v>
      </c>
      <c r="B8776" s="21" t="s">
        <v>17902</v>
      </c>
      <c r="C8776" s="21" t="s">
        <v>22682</v>
      </c>
      <c r="D8776" s="22">
        <v>46034</v>
      </c>
      <c r="E8776" s="23" t="s">
        <v>22658</v>
      </c>
      <c r="F8776" s="24" t="s">
        <v>22657</v>
      </c>
      <c r="G8776" s="25">
        <v>4</v>
      </c>
      <c r="H8776" s="26"/>
      <c r="I8776" s="27"/>
    </row>
    <row r="8777" spans="1:9" ht="15.75" thickBot="1" x14ac:dyDescent="0.3">
      <c r="A8777" s="43" t="s">
        <v>17903</v>
      </c>
      <c r="B8777" s="21" t="s">
        <v>17904</v>
      </c>
      <c r="C8777" s="21" t="s">
        <v>22682</v>
      </c>
      <c r="D8777" s="22">
        <v>46034</v>
      </c>
      <c r="E8777" s="23" t="s">
        <v>22658</v>
      </c>
      <c r="F8777" s="24" t="s">
        <v>22657</v>
      </c>
      <c r="G8777" s="25">
        <v>4</v>
      </c>
      <c r="H8777" s="29"/>
      <c r="I8777" s="30"/>
    </row>
    <row r="8778" spans="1:9" ht="15.75" thickBot="1" x14ac:dyDescent="0.3">
      <c r="A8778" s="43" t="s">
        <v>17905</v>
      </c>
      <c r="B8778" s="21" t="s">
        <v>17906</v>
      </c>
      <c r="C8778" s="21" t="s">
        <v>22682</v>
      </c>
      <c r="D8778" s="22">
        <v>46034</v>
      </c>
      <c r="E8778" s="23" t="s">
        <v>22658</v>
      </c>
      <c r="F8778" s="24" t="s">
        <v>22657</v>
      </c>
      <c r="G8778" s="25">
        <v>4</v>
      </c>
      <c r="H8778" s="26"/>
      <c r="I8778" s="27"/>
    </row>
    <row r="8779" spans="1:9" ht="15.75" thickBot="1" x14ac:dyDescent="0.3">
      <c r="A8779" s="43" t="s">
        <v>17907</v>
      </c>
      <c r="B8779" s="21" t="s">
        <v>17908</v>
      </c>
      <c r="C8779" s="21" t="s">
        <v>22682</v>
      </c>
      <c r="D8779" s="22">
        <v>46034</v>
      </c>
      <c r="E8779" s="23" t="s">
        <v>22656</v>
      </c>
      <c r="F8779" s="24" t="s">
        <v>22657</v>
      </c>
      <c r="G8779" s="25">
        <v>4</v>
      </c>
      <c r="H8779" s="29"/>
      <c r="I8779" s="30"/>
    </row>
    <row r="8780" spans="1:9" ht="15.75" thickBot="1" x14ac:dyDescent="0.3">
      <c r="A8780" s="43" t="s">
        <v>17909</v>
      </c>
      <c r="B8780" s="21" t="s">
        <v>17910</v>
      </c>
      <c r="C8780" s="21" t="s">
        <v>22682</v>
      </c>
      <c r="D8780" s="22">
        <v>46034</v>
      </c>
      <c r="E8780" s="23" t="s">
        <v>22656</v>
      </c>
      <c r="F8780" s="24" t="s">
        <v>22657</v>
      </c>
      <c r="G8780" s="25">
        <v>4</v>
      </c>
      <c r="H8780" s="26"/>
      <c r="I8780" s="27"/>
    </row>
    <row r="8781" spans="1:9" ht="15.75" thickBot="1" x14ac:dyDescent="0.3">
      <c r="A8781" s="43" t="s">
        <v>17911</v>
      </c>
      <c r="B8781" s="21" t="s">
        <v>17912</v>
      </c>
      <c r="C8781" s="21" t="s">
        <v>22682</v>
      </c>
      <c r="D8781" s="22">
        <v>46034</v>
      </c>
      <c r="E8781" s="23" t="s">
        <v>22658</v>
      </c>
      <c r="F8781" s="24" t="s">
        <v>22657</v>
      </c>
      <c r="G8781" s="25">
        <v>4</v>
      </c>
      <c r="H8781" s="29"/>
      <c r="I8781" s="30"/>
    </row>
    <row r="8782" spans="1:9" ht="15.75" thickBot="1" x14ac:dyDescent="0.3">
      <c r="A8782" s="43" t="s">
        <v>17913</v>
      </c>
      <c r="B8782" s="21" t="s">
        <v>17914</v>
      </c>
      <c r="C8782" s="21" t="s">
        <v>22682</v>
      </c>
      <c r="D8782" s="22">
        <v>46034</v>
      </c>
      <c r="E8782" s="23" t="s">
        <v>22658</v>
      </c>
      <c r="F8782" s="24" t="s">
        <v>22657</v>
      </c>
      <c r="G8782" s="25">
        <v>4</v>
      </c>
      <c r="H8782" s="26"/>
      <c r="I8782" s="27"/>
    </row>
    <row r="8783" spans="1:9" ht="15.75" thickBot="1" x14ac:dyDescent="0.3">
      <c r="A8783" s="43" t="s">
        <v>17915</v>
      </c>
      <c r="B8783" s="21" t="s">
        <v>17916</v>
      </c>
      <c r="C8783" s="21" t="s">
        <v>22682</v>
      </c>
      <c r="D8783" s="22">
        <v>46034</v>
      </c>
      <c r="E8783" s="23" t="s">
        <v>22658</v>
      </c>
      <c r="F8783" s="24" t="s">
        <v>22657</v>
      </c>
      <c r="G8783" s="25">
        <v>4</v>
      </c>
      <c r="H8783" s="29"/>
      <c r="I8783" s="30"/>
    </row>
    <row r="8784" spans="1:9" ht="15.75" thickBot="1" x14ac:dyDescent="0.3">
      <c r="A8784" s="43" t="s">
        <v>17917</v>
      </c>
      <c r="B8784" s="21" t="s">
        <v>17918</v>
      </c>
      <c r="C8784" s="21" t="s">
        <v>22655</v>
      </c>
      <c r="D8784" s="31" t="s">
        <v>22673</v>
      </c>
      <c r="E8784" s="23" t="s">
        <v>22658</v>
      </c>
      <c r="F8784" s="24" t="s">
        <v>22657</v>
      </c>
      <c r="G8784" s="25">
        <v>17</v>
      </c>
      <c r="H8784" s="26"/>
      <c r="I8784" s="27"/>
    </row>
    <row r="8785" spans="1:9" ht="15.75" thickBot="1" x14ac:dyDescent="0.3">
      <c r="A8785" s="43" t="s">
        <v>17919</v>
      </c>
      <c r="B8785" s="21" t="s">
        <v>17920</v>
      </c>
      <c r="C8785" s="21" t="s">
        <v>22655</v>
      </c>
      <c r="D8785" s="31" t="s">
        <v>22753</v>
      </c>
      <c r="E8785" s="23" t="s">
        <v>22658</v>
      </c>
      <c r="F8785" s="24" t="s">
        <v>22657</v>
      </c>
      <c r="G8785" s="25">
        <v>50</v>
      </c>
      <c r="H8785" s="29"/>
      <c r="I8785" s="30"/>
    </row>
    <row r="8786" spans="1:9" ht="15.75" thickBot="1" x14ac:dyDescent="0.3">
      <c r="A8786" s="43" t="s">
        <v>17921</v>
      </c>
      <c r="B8786" s="21" t="s">
        <v>17922</v>
      </c>
      <c r="C8786" s="21" t="s">
        <v>22655</v>
      </c>
      <c r="D8786" s="31" t="s">
        <v>22753</v>
      </c>
      <c r="E8786" s="23" t="s">
        <v>22658</v>
      </c>
      <c r="F8786" s="24" t="s">
        <v>22657</v>
      </c>
      <c r="G8786" s="25">
        <v>50</v>
      </c>
      <c r="H8786" s="26"/>
      <c r="I8786" s="27"/>
    </row>
    <row r="8787" spans="1:9" ht="15.75" thickBot="1" x14ac:dyDescent="0.3">
      <c r="A8787" s="43" t="s">
        <v>17923</v>
      </c>
      <c r="B8787" s="21" t="s">
        <v>17924</v>
      </c>
      <c r="C8787" s="21" t="s">
        <v>22655</v>
      </c>
      <c r="D8787" s="31" t="s">
        <v>22683</v>
      </c>
      <c r="E8787" s="23" t="s">
        <v>22658</v>
      </c>
      <c r="F8787" s="24" t="s">
        <v>22657</v>
      </c>
      <c r="G8787" s="25">
        <v>50</v>
      </c>
      <c r="H8787" s="29"/>
      <c r="I8787" s="30"/>
    </row>
    <row r="8788" spans="1:9" ht="15.75" thickBot="1" x14ac:dyDescent="0.3">
      <c r="A8788" s="43" t="s">
        <v>17925</v>
      </c>
      <c r="B8788" s="21" t="s">
        <v>17926</v>
      </c>
      <c r="C8788" s="21" t="s">
        <v>22655</v>
      </c>
      <c r="D8788" s="31" t="s">
        <v>22673</v>
      </c>
      <c r="E8788" s="23" t="s">
        <v>22656</v>
      </c>
      <c r="F8788" s="24" t="s">
        <v>22657</v>
      </c>
      <c r="G8788" s="25">
        <v>17</v>
      </c>
      <c r="H8788" s="26"/>
      <c r="I8788" s="27"/>
    </row>
    <row r="8789" spans="1:9" ht="15.75" thickBot="1" x14ac:dyDescent="0.3">
      <c r="A8789" s="43" t="s">
        <v>17927</v>
      </c>
      <c r="B8789" s="21" t="s">
        <v>17928</v>
      </c>
      <c r="C8789" s="21" t="s">
        <v>22655</v>
      </c>
      <c r="D8789" s="31" t="s">
        <v>22673</v>
      </c>
      <c r="E8789" s="23" t="s">
        <v>22658</v>
      </c>
      <c r="F8789" s="24" t="s">
        <v>22657</v>
      </c>
      <c r="G8789" s="25">
        <v>17</v>
      </c>
      <c r="H8789" s="29"/>
      <c r="I8789" s="30"/>
    </row>
    <row r="8790" spans="1:9" ht="15.75" thickBot="1" x14ac:dyDescent="0.3">
      <c r="A8790" s="43" t="s">
        <v>17929</v>
      </c>
      <c r="B8790" s="21" t="s">
        <v>17930</v>
      </c>
      <c r="C8790" s="21" t="s">
        <v>22655</v>
      </c>
      <c r="D8790" s="31" t="s">
        <v>22673</v>
      </c>
      <c r="E8790" s="23" t="s">
        <v>22658</v>
      </c>
      <c r="F8790" s="24" t="s">
        <v>22657</v>
      </c>
      <c r="G8790" s="25">
        <v>17</v>
      </c>
      <c r="H8790" s="26"/>
      <c r="I8790" s="27"/>
    </row>
    <row r="8791" spans="1:9" ht="15.75" thickBot="1" x14ac:dyDescent="0.3">
      <c r="A8791" s="43" t="s">
        <v>17931</v>
      </c>
      <c r="B8791" s="21" t="s">
        <v>17932</v>
      </c>
      <c r="C8791" s="21" t="s">
        <v>22655</v>
      </c>
      <c r="D8791" s="31" t="s">
        <v>22673</v>
      </c>
      <c r="E8791" s="23" t="s">
        <v>22658</v>
      </c>
      <c r="F8791" s="24" t="s">
        <v>22657</v>
      </c>
      <c r="G8791" s="25">
        <v>17</v>
      </c>
      <c r="H8791" s="29"/>
      <c r="I8791" s="30"/>
    </row>
    <row r="8792" spans="1:9" ht="15.75" thickBot="1" x14ac:dyDescent="0.3">
      <c r="A8792" s="43" t="s">
        <v>17933</v>
      </c>
      <c r="B8792" s="21" t="s">
        <v>17934</v>
      </c>
      <c r="C8792" s="21" t="s">
        <v>22655</v>
      </c>
      <c r="D8792" s="31" t="s">
        <v>22673</v>
      </c>
      <c r="E8792" s="23" t="s">
        <v>22658</v>
      </c>
      <c r="F8792" s="24" t="s">
        <v>22657</v>
      </c>
      <c r="G8792" s="25">
        <v>17</v>
      </c>
      <c r="H8792" s="26"/>
      <c r="I8792" s="27"/>
    </row>
    <row r="8793" spans="1:9" ht="15.75" thickBot="1" x14ac:dyDescent="0.3">
      <c r="A8793" s="43" t="s">
        <v>17935</v>
      </c>
      <c r="B8793" s="21" t="s">
        <v>17936</v>
      </c>
      <c r="C8793" s="21" t="s">
        <v>22655</v>
      </c>
      <c r="D8793" s="31" t="s">
        <v>22673</v>
      </c>
      <c r="E8793" s="23" t="s">
        <v>22658</v>
      </c>
      <c r="F8793" s="24" t="s">
        <v>22657</v>
      </c>
      <c r="G8793" s="25">
        <v>17</v>
      </c>
      <c r="H8793" s="29"/>
      <c r="I8793" s="30"/>
    </row>
    <row r="8794" spans="1:9" ht="15.75" thickBot="1" x14ac:dyDescent="0.3">
      <c r="A8794" s="43" t="s">
        <v>17937</v>
      </c>
      <c r="B8794" s="21" t="s">
        <v>17938</v>
      </c>
      <c r="C8794" s="21" t="s">
        <v>22655</v>
      </c>
      <c r="D8794" s="31" t="s">
        <v>22673</v>
      </c>
      <c r="E8794" s="23" t="s">
        <v>22656</v>
      </c>
      <c r="F8794" s="24" t="s">
        <v>22657</v>
      </c>
      <c r="G8794" s="25">
        <v>17</v>
      </c>
      <c r="H8794" s="26"/>
      <c r="I8794" s="27"/>
    </row>
    <row r="8795" spans="1:9" ht="15.75" thickBot="1" x14ac:dyDescent="0.3">
      <c r="A8795" s="43" t="s">
        <v>17939</v>
      </c>
      <c r="B8795" s="21" t="s">
        <v>17940</v>
      </c>
      <c r="C8795" s="21" t="s">
        <v>22655</v>
      </c>
      <c r="D8795" s="31" t="s">
        <v>22673</v>
      </c>
      <c r="E8795" s="23" t="s">
        <v>22658</v>
      </c>
      <c r="F8795" s="24" t="s">
        <v>22657</v>
      </c>
      <c r="G8795" s="25">
        <v>17</v>
      </c>
      <c r="H8795" s="29"/>
      <c r="I8795" s="30"/>
    </row>
    <row r="8796" spans="1:9" ht="15.75" thickBot="1" x14ac:dyDescent="0.3">
      <c r="A8796" s="43" t="s">
        <v>17941</v>
      </c>
      <c r="B8796" s="21" t="s">
        <v>17942</v>
      </c>
      <c r="C8796" s="21" t="s">
        <v>22655</v>
      </c>
      <c r="D8796" s="31" t="s">
        <v>22673</v>
      </c>
      <c r="E8796" s="23" t="s">
        <v>22658</v>
      </c>
      <c r="F8796" s="24" t="s">
        <v>22657</v>
      </c>
      <c r="G8796" s="25">
        <v>17</v>
      </c>
      <c r="H8796" s="26"/>
      <c r="I8796" s="27"/>
    </row>
    <row r="8797" spans="1:9" ht="15.75" thickBot="1" x14ac:dyDescent="0.3">
      <c r="A8797" s="43" t="s">
        <v>17943</v>
      </c>
      <c r="B8797" s="21" t="s">
        <v>17944</v>
      </c>
      <c r="C8797" s="21" t="s">
        <v>22682</v>
      </c>
      <c r="D8797" s="22">
        <v>46034</v>
      </c>
      <c r="E8797" s="23" t="s">
        <v>22658</v>
      </c>
      <c r="F8797" s="24" t="s">
        <v>22657</v>
      </c>
      <c r="G8797" s="25">
        <v>4</v>
      </c>
      <c r="H8797" s="29"/>
      <c r="I8797" s="30"/>
    </row>
    <row r="8798" spans="1:9" ht="15.75" thickBot="1" x14ac:dyDescent="0.3">
      <c r="A8798" s="43" t="s">
        <v>22368</v>
      </c>
      <c r="B8798" s="21" t="s">
        <v>22369</v>
      </c>
      <c r="C8798" s="36" t="e">
        <v>#N/A</v>
      </c>
      <c r="D8798" s="37" t="e">
        <v>#N/A</v>
      </c>
      <c r="E8798" s="23" t="e">
        <v>#N/A</v>
      </c>
      <c r="F8798" s="24" t="s">
        <v>22657</v>
      </c>
      <c r="G8798" s="25" t="e">
        <v>#N/A</v>
      </c>
      <c r="H8798" s="26"/>
      <c r="I8798" s="27"/>
    </row>
    <row r="8799" spans="1:9" ht="15.75" thickBot="1" x14ac:dyDescent="0.3">
      <c r="A8799" s="43" t="s">
        <v>17945</v>
      </c>
      <c r="B8799" s="21" t="s">
        <v>17946</v>
      </c>
      <c r="C8799" s="21" t="s">
        <v>22684</v>
      </c>
      <c r="D8799" s="22">
        <v>46042</v>
      </c>
      <c r="E8799" s="23" t="s">
        <v>22656</v>
      </c>
      <c r="F8799" s="24" t="s">
        <v>22657</v>
      </c>
      <c r="G8799" s="25">
        <v>7</v>
      </c>
      <c r="H8799" s="29"/>
      <c r="I8799" s="30"/>
    </row>
    <row r="8800" spans="1:9" ht="15.75" thickBot="1" x14ac:dyDescent="0.3">
      <c r="A8800" s="43" t="s">
        <v>17947</v>
      </c>
      <c r="B8800" s="21" t="s">
        <v>17948</v>
      </c>
      <c r="C8800" s="21" t="s">
        <v>22866</v>
      </c>
      <c r="D8800" s="31" t="s">
        <v>22822</v>
      </c>
      <c r="E8800" s="23" t="s">
        <v>22656</v>
      </c>
      <c r="F8800" s="24" t="s">
        <v>22657</v>
      </c>
      <c r="G8800" s="25">
        <v>7</v>
      </c>
      <c r="H8800" s="26"/>
      <c r="I8800" s="27"/>
    </row>
    <row r="8801" spans="1:9" ht="15.75" thickBot="1" x14ac:dyDescent="0.3">
      <c r="A8801" s="43" t="s">
        <v>17949</v>
      </c>
      <c r="B8801" s="21" t="s">
        <v>17950</v>
      </c>
      <c r="C8801" s="21" t="s">
        <v>22866</v>
      </c>
      <c r="D8801" s="31" t="s">
        <v>22683</v>
      </c>
      <c r="E8801" s="23" t="s">
        <v>22656</v>
      </c>
      <c r="F8801" s="24" t="s">
        <v>22657</v>
      </c>
      <c r="G8801" s="25">
        <v>7</v>
      </c>
      <c r="H8801" s="29"/>
      <c r="I8801" s="30"/>
    </row>
    <row r="8802" spans="1:9" ht="15.75" thickBot="1" x14ac:dyDescent="0.3">
      <c r="A8802" s="43" t="s">
        <v>17951</v>
      </c>
      <c r="B8802" s="21" t="s">
        <v>17952</v>
      </c>
      <c r="C8802" s="21" t="s">
        <v>22866</v>
      </c>
      <c r="D8802" s="31" t="s">
        <v>22732</v>
      </c>
      <c r="E8802" s="23" t="s">
        <v>22658</v>
      </c>
      <c r="F8802" s="24" t="s">
        <v>22657</v>
      </c>
      <c r="G8802" s="25">
        <v>7</v>
      </c>
      <c r="H8802" s="26"/>
      <c r="I8802" s="27"/>
    </row>
    <row r="8803" spans="1:9" ht="15.75" thickBot="1" x14ac:dyDescent="0.3">
      <c r="A8803" s="43" t="s">
        <v>17953</v>
      </c>
      <c r="B8803" s="21" t="s">
        <v>17954</v>
      </c>
      <c r="C8803" s="21" t="s">
        <v>22866</v>
      </c>
      <c r="D8803" s="31" t="s">
        <v>22673</v>
      </c>
      <c r="E8803" s="23" t="s">
        <v>22656</v>
      </c>
      <c r="F8803" s="24" t="s">
        <v>22657</v>
      </c>
      <c r="G8803" s="25">
        <v>7</v>
      </c>
      <c r="H8803" s="29"/>
      <c r="I8803" s="30"/>
    </row>
    <row r="8804" spans="1:9" ht="15.75" thickBot="1" x14ac:dyDescent="0.3">
      <c r="A8804" s="43" t="s">
        <v>17955</v>
      </c>
      <c r="B8804" s="21" t="s">
        <v>17956</v>
      </c>
      <c r="C8804" s="21" t="s">
        <v>22866</v>
      </c>
      <c r="D8804" s="31" t="s">
        <v>22822</v>
      </c>
      <c r="E8804" s="23" t="s">
        <v>22656</v>
      </c>
      <c r="F8804" s="24" t="s">
        <v>22657</v>
      </c>
      <c r="G8804" s="25">
        <v>7</v>
      </c>
      <c r="H8804" s="26"/>
      <c r="I8804" s="27"/>
    </row>
    <row r="8805" spans="1:9" ht="15.75" thickBot="1" x14ac:dyDescent="0.3">
      <c r="A8805" s="43" t="s">
        <v>17957</v>
      </c>
      <c r="B8805" s="21" t="s">
        <v>17958</v>
      </c>
      <c r="C8805" s="21" t="s">
        <v>22866</v>
      </c>
      <c r="D8805" s="31" t="s">
        <v>22683</v>
      </c>
      <c r="E8805" s="23" t="s">
        <v>22656</v>
      </c>
      <c r="F8805" s="24" t="s">
        <v>22657</v>
      </c>
      <c r="G8805" s="25">
        <v>7</v>
      </c>
      <c r="H8805" s="29"/>
      <c r="I8805" s="30"/>
    </row>
    <row r="8806" spans="1:9" ht="15.75" thickBot="1" x14ac:dyDescent="0.3">
      <c r="A8806" s="43" t="s">
        <v>17959</v>
      </c>
      <c r="B8806" s="21" t="s">
        <v>17960</v>
      </c>
      <c r="C8806" s="21" t="s">
        <v>22866</v>
      </c>
      <c r="D8806" s="31" t="s">
        <v>22732</v>
      </c>
      <c r="E8806" s="23" t="s">
        <v>22658</v>
      </c>
      <c r="F8806" s="24" t="s">
        <v>22657</v>
      </c>
      <c r="G8806" s="25">
        <v>7</v>
      </c>
      <c r="H8806" s="26"/>
      <c r="I8806" s="27"/>
    </row>
    <row r="8807" spans="1:9" ht="15.75" thickBot="1" x14ac:dyDescent="0.3">
      <c r="A8807" s="43" t="s">
        <v>17961</v>
      </c>
      <c r="B8807" s="21" t="s">
        <v>17962</v>
      </c>
      <c r="C8807" s="21" t="s">
        <v>22866</v>
      </c>
      <c r="D8807" s="31" t="s">
        <v>22673</v>
      </c>
      <c r="E8807" s="23" t="s">
        <v>22656</v>
      </c>
      <c r="F8807" s="24" t="s">
        <v>22657</v>
      </c>
      <c r="G8807" s="25">
        <v>7</v>
      </c>
      <c r="H8807" s="29"/>
      <c r="I8807" s="30"/>
    </row>
    <row r="8808" spans="1:9" ht="15.75" thickBot="1" x14ac:dyDescent="0.3">
      <c r="A8808" s="43" t="s">
        <v>17963</v>
      </c>
      <c r="B8808" s="21" t="s">
        <v>17964</v>
      </c>
      <c r="C8808" s="21" t="s">
        <v>22866</v>
      </c>
      <c r="D8808" s="31" t="s">
        <v>22688</v>
      </c>
      <c r="E8808" s="23" t="s">
        <v>22656</v>
      </c>
      <c r="F8808" s="24" t="s">
        <v>22657</v>
      </c>
      <c r="G8808" s="25">
        <v>7</v>
      </c>
      <c r="H8808" s="26"/>
      <c r="I8808" s="27"/>
    </row>
    <row r="8809" spans="1:9" ht="15.75" thickBot="1" x14ac:dyDescent="0.3">
      <c r="A8809" s="43" t="s">
        <v>17965</v>
      </c>
      <c r="B8809" s="21" t="s">
        <v>17966</v>
      </c>
      <c r="C8809" s="21" t="s">
        <v>22682</v>
      </c>
      <c r="D8809" s="22">
        <v>46034</v>
      </c>
      <c r="E8809" s="23" t="s">
        <v>22656</v>
      </c>
      <c r="F8809" s="24" t="s">
        <v>22657</v>
      </c>
      <c r="G8809" s="25">
        <v>4</v>
      </c>
      <c r="H8809" s="29"/>
      <c r="I8809" s="30"/>
    </row>
    <row r="8810" spans="1:9" ht="15.75" thickBot="1" x14ac:dyDescent="0.3">
      <c r="A8810" s="43" t="s">
        <v>17967</v>
      </c>
      <c r="B8810" s="21" t="s">
        <v>17968</v>
      </c>
      <c r="C8810" s="21" t="s">
        <v>22682</v>
      </c>
      <c r="D8810" s="22">
        <v>46034</v>
      </c>
      <c r="E8810" s="23" t="s">
        <v>22656</v>
      </c>
      <c r="F8810" s="24" t="s">
        <v>22657</v>
      </c>
      <c r="G8810" s="25">
        <v>4</v>
      </c>
      <c r="H8810" s="26"/>
      <c r="I8810" s="27"/>
    </row>
    <row r="8811" spans="1:9" ht="15.75" thickBot="1" x14ac:dyDescent="0.3">
      <c r="A8811" s="43" t="s">
        <v>17969</v>
      </c>
      <c r="B8811" s="21" t="s">
        <v>17970</v>
      </c>
      <c r="C8811" s="21" t="s">
        <v>22682</v>
      </c>
      <c r="D8811" s="22">
        <v>46034</v>
      </c>
      <c r="E8811" s="23" t="s">
        <v>22658</v>
      </c>
      <c r="F8811" s="24" t="s">
        <v>22657</v>
      </c>
      <c r="G8811" s="25">
        <v>4</v>
      </c>
      <c r="H8811" s="29"/>
      <c r="I8811" s="30"/>
    </row>
    <row r="8812" spans="1:9" ht="15.75" thickBot="1" x14ac:dyDescent="0.3">
      <c r="A8812" s="43" t="s">
        <v>17971</v>
      </c>
      <c r="B8812" s="21" t="s">
        <v>17972</v>
      </c>
      <c r="C8812" s="21" t="s">
        <v>22682</v>
      </c>
      <c r="D8812" s="22">
        <v>46034</v>
      </c>
      <c r="E8812" s="23" t="s">
        <v>22656</v>
      </c>
      <c r="F8812" s="24" t="s">
        <v>22657</v>
      </c>
      <c r="G8812" s="25">
        <v>4</v>
      </c>
      <c r="H8812" s="26"/>
      <c r="I8812" s="27"/>
    </row>
    <row r="8813" spans="1:9" ht="15.75" thickBot="1" x14ac:dyDescent="0.3">
      <c r="A8813" s="43" t="s">
        <v>17973</v>
      </c>
      <c r="B8813" s="21" t="s">
        <v>17974</v>
      </c>
      <c r="C8813" s="21" t="s">
        <v>22682</v>
      </c>
      <c r="D8813" s="22">
        <v>46034</v>
      </c>
      <c r="E8813" s="23" t="s">
        <v>22658</v>
      </c>
      <c r="F8813" s="24" t="s">
        <v>22657</v>
      </c>
      <c r="G8813" s="25">
        <v>4</v>
      </c>
      <c r="H8813" s="29"/>
      <c r="I8813" s="30"/>
    </row>
    <row r="8814" spans="1:9" ht="15.75" thickBot="1" x14ac:dyDescent="0.3">
      <c r="A8814" s="43" t="s">
        <v>17975</v>
      </c>
      <c r="B8814" s="21" t="s">
        <v>17976</v>
      </c>
      <c r="C8814" s="21" t="s">
        <v>22682</v>
      </c>
      <c r="D8814" s="22">
        <v>46034</v>
      </c>
      <c r="E8814" s="23" t="s">
        <v>22658</v>
      </c>
      <c r="F8814" s="24" t="s">
        <v>22657</v>
      </c>
      <c r="G8814" s="25">
        <v>4</v>
      </c>
      <c r="H8814" s="26"/>
      <c r="I8814" s="27"/>
    </row>
    <row r="8815" spans="1:9" ht="15.75" thickBot="1" x14ac:dyDescent="0.3">
      <c r="A8815" s="43" t="s">
        <v>17977</v>
      </c>
      <c r="B8815" s="21" t="s">
        <v>17978</v>
      </c>
      <c r="C8815" s="21" t="s">
        <v>22682</v>
      </c>
      <c r="D8815" s="22">
        <v>46034</v>
      </c>
      <c r="E8815" s="23" t="s">
        <v>22658</v>
      </c>
      <c r="F8815" s="24" t="s">
        <v>22657</v>
      </c>
      <c r="G8815" s="25">
        <v>4</v>
      </c>
      <c r="H8815" s="29"/>
      <c r="I8815" s="30"/>
    </row>
    <row r="8816" spans="1:9" ht="15.75" thickBot="1" x14ac:dyDescent="0.3">
      <c r="A8816" s="43" t="s">
        <v>17979</v>
      </c>
      <c r="B8816" s="21" t="s">
        <v>17980</v>
      </c>
      <c r="C8816" s="21" t="s">
        <v>22682</v>
      </c>
      <c r="D8816" s="22">
        <v>46034</v>
      </c>
      <c r="E8816" s="23" t="s">
        <v>22658</v>
      </c>
      <c r="F8816" s="24" t="s">
        <v>22657</v>
      </c>
      <c r="G8816" s="25">
        <v>4</v>
      </c>
      <c r="H8816" s="26"/>
      <c r="I8816" s="27"/>
    </row>
    <row r="8817" spans="1:9" ht="15.75" thickBot="1" x14ac:dyDescent="0.3">
      <c r="A8817" s="43" t="s">
        <v>17981</v>
      </c>
      <c r="B8817" s="21" t="s">
        <v>17982</v>
      </c>
      <c r="C8817" s="21" t="s">
        <v>22698</v>
      </c>
      <c r="D8817" s="31">
        <v>1</v>
      </c>
      <c r="E8817" s="23" t="s">
        <v>22656</v>
      </c>
      <c r="F8817" s="24" t="s">
        <v>22657</v>
      </c>
      <c r="G8817" s="25">
        <v>2</v>
      </c>
      <c r="H8817" s="29"/>
      <c r="I8817" s="30"/>
    </row>
    <row r="8818" spans="1:9" ht="15.75" thickBot="1" x14ac:dyDescent="0.3">
      <c r="A8818" s="43" t="s">
        <v>1143</v>
      </c>
      <c r="B8818" s="21" t="s">
        <v>1144</v>
      </c>
      <c r="C8818" s="21" t="s">
        <v>22655</v>
      </c>
      <c r="D8818" s="22">
        <v>46028</v>
      </c>
      <c r="E8818" s="23" t="s">
        <v>22661</v>
      </c>
      <c r="F8818" s="24" t="s">
        <v>22657</v>
      </c>
      <c r="G8818" s="25">
        <v>12</v>
      </c>
      <c r="H8818" s="34">
        <v>12</v>
      </c>
      <c r="I8818" s="35">
        <v>24</v>
      </c>
    </row>
    <row r="8819" spans="1:9" ht="15.75" thickBot="1" x14ac:dyDescent="0.3">
      <c r="A8819" s="43" t="s">
        <v>17983</v>
      </c>
      <c r="B8819" s="21" t="s">
        <v>17984</v>
      </c>
      <c r="C8819" s="21" t="s">
        <v>22682</v>
      </c>
      <c r="D8819" s="22">
        <v>46034</v>
      </c>
      <c r="E8819" s="23" t="s">
        <v>22658</v>
      </c>
      <c r="F8819" s="24" t="s">
        <v>22657</v>
      </c>
      <c r="G8819" s="25">
        <v>4</v>
      </c>
      <c r="H8819" s="29"/>
      <c r="I8819" s="30"/>
    </row>
    <row r="8820" spans="1:9" ht="15.75" thickBot="1" x14ac:dyDescent="0.3">
      <c r="A8820" s="43" t="s">
        <v>17987</v>
      </c>
      <c r="B8820" s="21" t="s">
        <v>17988</v>
      </c>
      <c r="C8820" s="21" t="s">
        <v>22682</v>
      </c>
      <c r="D8820" s="22">
        <v>46034</v>
      </c>
      <c r="E8820" s="23" t="s">
        <v>22658</v>
      </c>
      <c r="F8820" s="24" t="s">
        <v>22657</v>
      </c>
      <c r="G8820" s="25">
        <v>4</v>
      </c>
      <c r="H8820" s="26"/>
      <c r="I8820" s="27"/>
    </row>
    <row r="8821" spans="1:9" ht="15.75" thickBot="1" x14ac:dyDescent="0.3">
      <c r="A8821" s="43" t="s">
        <v>17989</v>
      </c>
      <c r="B8821" s="21" t="s">
        <v>17990</v>
      </c>
      <c r="C8821" s="21" t="s">
        <v>22655</v>
      </c>
      <c r="D8821" s="22">
        <v>46046</v>
      </c>
      <c r="E8821" s="23" t="s">
        <v>22656</v>
      </c>
      <c r="F8821" s="24" t="s">
        <v>22657</v>
      </c>
      <c r="G8821" s="25">
        <v>4</v>
      </c>
      <c r="H8821" s="29"/>
      <c r="I8821" s="30"/>
    </row>
    <row r="8822" spans="1:9" ht="15.75" thickBot="1" x14ac:dyDescent="0.3">
      <c r="A8822" s="43" t="s">
        <v>17991</v>
      </c>
      <c r="B8822" s="21" t="s">
        <v>17992</v>
      </c>
      <c r="C8822" s="21" t="s">
        <v>22682</v>
      </c>
      <c r="D8822" s="22">
        <v>46034</v>
      </c>
      <c r="E8822" s="23" t="s">
        <v>22658</v>
      </c>
      <c r="F8822" s="24" t="s">
        <v>22657</v>
      </c>
      <c r="G8822" s="25">
        <v>4</v>
      </c>
      <c r="H8822" s="26"/>
      <c r="I8822" s="27"/>
    </row>
    <row r="8823" spans="1:9" ht="15.75" thickBot="1" x14ac:dyDescent="0.3">
      <c r="A8823" s="43" t="s">
        <v>17993</v>
      </c>
      <c r="B8823" s="21" t="s">
        <v>17994</v>
      </c>
      <c r="C8823" s="21" t="s">
        <v>22682</v>
      </c>
      <c r="D8823" s="22">
        <v>46034</v>
      </c>
      <c r="E8823" s="23" t="s">
        <v>22658</v>
      </c>
      <c r="F8823" s="24" t="s">
        <v>22657</v>
      </c>
      <c r="G8823" s="25">
        <v>4</v>
      </c>
      <c r="H8823" s="29"/>
      <c r="I8823" s="30"/>
    </row>
    <row r="8824" spans="1:9" ht="15.75" thickBot="1" x14ac:dyDescent="0.3">
      <c r="A8824" s="43" t="s">
        <v>17995</v>
      </c>
      <c r="B8824" s="21" t="s">
        <v>17996</v>
      </c>
      <c r="C8824" s="21" t="s">
        <v>22663</v>
      </c>
      <c r="D8824" s="31">
        <v>1</v>
      </c>
      <c r="E8824" s="23" t="s">
        <v>22656</v>
      </c>
      <c r="F8824" s="24" t="s">
        <v>22657</v>
      </c>
      <c r="G8824" s="25">
        <v>2</v>
      </c>
      <c r="H8824" s="26"/>
      <c r="I8824" s="27"/>
    </row>
    <row r="8825" spans="1:9" ht="15.75" thickBot="1" x14ac:dyDescent="0.3">
      <c r="A8825" s="43" t="s">
        <v>17997</v>
      </c>
      <c r="B8825" s="21" t="s">
        <v>17998</v>
      </c>
      <c r="C8825" s="21" t="s">
        <v>22655</v>
      </c>
      <c r="D8825" s="22">
        <v>46034</v>
      </c>
      <c r="E8825" s="23" t="s">
        <v>22656</v>
      </c>
      <c r="F8825" s="24" t="s">
        <v>22657</v>
      </c>
      <c r="G8825" s="25">
        <v>4</v>
      </c>
      <c r="H8825" s="29"/>
      <c r="I8825" s="30"/>
    </row>
    <row r="8826" spans="1:9" ht="15.75" thickBot="1" x14ac:dyDescent="0.3">
      <c r="A8826" s="43" t="s">
        <v>17999</v>
      </c>
      <c r="B8826" s="21" t="s">
        <v>18000</v>
      </c>
      <c r="C8826" s="21" t="s">
        <v>22655</v>
      </c>
      <c r="D8826" s="22">
        <v>46046</v>
      </c>
      <c r="E8826" s="23" t="s">
        <v>22658</v>
      </c>
      <c r="F8826" s="24" t="s">
        <v>22657</v>
      </c>
      <c r="G8826" s="25">
        <v>8</v>
      </c>
      <c r="H8826" s="26"/>
      <c r="I8826" s="27"/>
    </row>
    <row r="8827" spans="1:9" ht="15.75" thickBot="1" x14ac:dyDescent="0.3">
      <c r="A8827" s="43" t="s">
        <v>18001</v>
      </c>
      <c r="B8827" s="21" t="s">
        <v>18002</v>
      </c>
      <c r="C8827" s="21" t="s">
        <v>22655</v>
      </c>
      <c r="D8827" s="22">
        <v>46046</v>
      </c>
      <c r="E8827" s="23" t="s">
        <v>22656</v>
      </c>
      <c r="F8827" s="24" t="s">
        <v>22657</v>
      </c>
      <c r="G8827" s="25">
        <v>8</v>
      </c>
      <c r="H8827" s="29"/>
      <c r="I8827" s="30"/>
    </row>
    <row r="8828" spans="1:9" ht="15.75" thickBot="1" x14ac:dyDescent="0.3">
      <c r="A8828" s="43" t="s">
        <v>18003</v>
      </c>
      <c r="B8828" s="21" t="s">
        <v>18004</v>
      </c>
      <c r="C8828" s="21" t="s">
        <v>22655</v>
      </c>
      <c r="D8828" s="31" t="s">
        <v>22660</v>
      </c>
      <c r="E8828" s="23" t="s">
        <v>22656</v>
      </c>
      <c r="F8828" s="24" t="s">
        <v>22657</v>
      </c>
      <c r="G8828" s="25">
        <v>4</v>
      </c>
      <c r="H8828" s="26"/>
      <c r="I8828" s="27"/>
    </row>
    <row r="8829" spans="1:9" ht="15.75" thickBot="1" x14ac:dyDescent="0.3">
      <c r="A8829" s="43" t="s">
        <v>18005</v>
      </c>
      <c r="B8829" s="21" t="s">
        <v>18006</v>
      </c>
      <c r="C8829" s="21" t="s">
        <v>22655</v>
      </c>
      <c r="D8829" s="31" t="s">
        <v>22822</v>
      </c>
      <c r="E8829" s="23" t="s">
        <v>22656</v>
      </c>
      <c r="F8829" s="24" t="s">
        <v>22657</v>
      </c>
      <c r="G8829" s="25">
        <v>7</v>
      </c>
      <c r="H8829" s="29"/>
      <c r="I8829" s="30"/>
    </row>
    <row r="8830" spans="1:9" ht="15.75" thickBot="1" x14ac:dyDescent="0.3">
      <c r="A8830" s="43" t="s">
        <v>18007</v>
      </c>
      <c r="B8830" s="21" t="s">
        <v>18008</v>
      </c>
      <c r="C8830" s="21" t="s">
        <v>22655</v>
      </c>
      <c r="D8830" s="31" t="s">
        <v>22660</v>
      </c>
      <c r="E8830" s="23" t="s">
        <v>22656</v>
      </c>
      <c r="F8830" s="24" t="s">
        <v>22657</v>
      </c>
      <c r="G8830" s="25">
        <v>4</v>
      </c>
      <c r="H8830" s="26"/>
      <c r="I8830" s="27"/>
    </row>
    <row r="8831" spans="1:9" ht="15.75" thickBot="1" x14ac:dyDescent="0.3">
      <c r="A8831" s="43" t="s">
        <v>18009</v>
      </c>
      <c r="B8831" s="21" t="s">
        <v>18010</v>
      </c>
      <c r="C8831" s="21" t="s">
        <v>22655</v>
      </c>
      <c r="D8831" s="31" t="s">
        <v>22660</v>
      </c>
      <c r="E8831" s="23" t="s">
        <v>22656</v>
      </c>
      <c r="F8831" s="24" t="s">
        <v>22657</v>
      </c>
      <c r="G8831" s="25">
        <v>4</v>
      </c>
      <c r="H8831" s="29"/>
      <c r="I8831" s="30"/>
    </row>
    <row r="8832" spans="1:9" ht="15.75" thickBot="1" x14ac:dyDescent="0.3">
      <c r="A8832" s="43" t="s">
        <v>18011</v>
      </c>
      <c r="B8832" s="21" t="s">
        <v>18012</v>
      </c>
      <c r="C8832" s="21" t="s">
        <v>22655</v>
      </c>
      <c r="D8832" s="31" t="s">
        <v>22660</v>
      </c>
      <c r="E8832" s="23" t="s">
        <v>22656</v>
      </c>
      <c r="F8832" s="24" t="s">
        <v>22657</v>
      </c>
      <c r="G8832" s="25">
        <v>4</v>
      </c>
      <c r="H8832" s="26"/>
      <c r="I8832" s="27"/>
    </row>
    <row r="8833" spans="1:9" ht="15.75" thickBot="1" x14ac:dyDescent="0.3">
      <c r="A8833" s="43" t="s">
        <v>18013</v>
      </c>
      <c r="B8833" s="21" t="s">
        <v>18014</v>
      </c>
      <c r="C8833" s="21" t="s">
        <v>22655</v>
      </c>
      <c r="D8833" s="31" t="s">
        <v>22660</v>
      </c>
      <c r="E8833" s="23" t="s">
        <v>22656</v>
      </c>
      <c r="F8833" s="24" t="s">
        <v>22657</v>
      </c>
      <c r="G8833" s="25">
        <v>4</v>
      </c>
      <c r="H8833" s="29"/>
      <c r="I8833" s="30"/>
    </row>
    <row r="8834" spans="1:9" ht="15.75" thickBot="1" x14ac:dyDescent="0.3">
      <c r="A8834" s="43" t="s">
        <v>18015</v>
      </c>
      <c r="B8834" s="21" t="s">
        <v>18016</v>
      </c>
      <c r="C8834" s="21" t="s">
        <v>22655</v>
      </c>
      <c r="D8834" s="22">
        <v>46034</v>
      </c>
      <c r="E8834" s="23" t="s">
        <v>22658</v>
      </c>
      <c r="F8834" s="24" t="s">
        <v>22657</v>
      </c>
      <c r="G8834" s="25">
        <v>4</v>
      </c>
      <c r="H8834" s="26"/>
      <c r="I8834" s="27"/>
    </row>
    <row r="8835" spans="1:9" ht="15.75" thickBot="1" x14ac:dyDescent="0.3">
      <c r="A8835" s="43" t="s">
        <v>18017</v>
      </c>
      <c r="B8835" s="21" t="s">
        <v>18018</v>
      </c>
      <c r="C8835" s="21" t="s">
        <v>22655</v>
      </c>
      <c r="D8835" s="31" t="s">
        <v>22660</v>
      </c>
      <c r="E8835" s="23" t="s">
        <v>22656</v>
      </c>
      <c r="F8835" s="24" t="s">
        <v>22657</v>
      </c>
      <c r="G8835" s="25">
        <v>4</v>
      </c>
      <c r="H8835" s="29"/>
      <c r="I8835" s="30"/>
    </row>
    <row r="8836" spans="1:9" ht="15.75" thickBot="1" x14ac:dyDescent="0.3">
      <c r="A8836" s="43" t="s">
        <v>18019</v>
      </c>
      <c r="B8836" s="21" t="s">
        <v>18020</v>
      </c>
      <c r="C8836" s="21" t="s">
        <v>22655</v>
      </c>
      <c r="D8836" s="31" t="s">
        <v>22660</v>
      </c>
      <c r="E8836" s="23" t="s">
        <v>22658</v>
      </c>
      <c r="F8836" s="24" t="s">
        <v>22657</v>
      </c>
      <c r="G8836" s="25">
        <v>4</v>
      </c>
      <c r="H8836" s="26"/>
      <c r="I8836" s="27"/>
    </row>
    <row r="8837" spans="1:9" ht="15.75" thickBot="1" x14ac:dyDescent="0.3">
      <c r="A8837" s="43" t="s">
        <v>18021</v>
      </c>
      <c r="B8837" s="21" t="s">
        <v>18022</v>
      </c>
      <c r="C8837" s="21" t="s">
        <v>22746</v>
      </c>
      <c r="D8837" s="31" t="s">
        <v>22670</v>
      </c>
      <c r="E8837" s="23" t="s">
        <v>22656</v>
      </c>
      <c r="F8837" s="24" t="s">
        <v>22657</v>
      </c>
      <c r="G8837" s="25">
        <v>10</v>
      </c>
      <c r="H8837" s="29"/>
      <c r="I8837" s="30"/>
    </row>
    <row r="8838" spans="1:9" ht="15.75" thickBot="1" x14ac:dyDescent="0.3">
      <c r="A8838" s="43" t="s">
        <v>18023</v>
      </c>
      <c r="B8838" s="21" t="s">
        <v>18024</v>
      </c>
      <c r="C8838" s="21" t="s">
        <v>22746</v>
      </c>
      <c r="D8838" s="31" t="s">
        <v>22767</v>
      </c>
      <c r="E8838" s="23" t="s">
        <v>22656</v>
      </c>
      <c r="F8838" s="24" t="s">
        <v>22657</v>
      </c>
      <c r="G8838" s="25">
        <v>7</v>
      </c>
      <c r="H8838" s="26"/>
      <c r="I8838" s="27"/>
    </row>
    <row r="8839" spans="1:9" ht="15.75" thickBot="1" x14ac:dyDescent="0.3">
      <c r="A8839" s="43" t="s">
        <v>18025</v>
      </c>
      <c r="B8839" s="21" t="s">
        <v>18026</v>
      </c>
      <c r="C8839" s="21" t="s">
        <v>22655</v>
      </c>
      <c r="D8839" s="31" t="s">
        <v>22673</v>
      </c>
      <c r="E8839" s="23" t="s">
        <v>22656</v>
      </c>
      <c r="F8839" s="24" t="s">
        <v>22657</v>
      </c>
      <c r="G8839" s="25">
        <v>4</v>
      </c>
      <c r="H8839" s="29"/>
      <c r="I8839" s="30"/>
    </row>
    <row r="8840" spans="1:9" ht="15.75" thickBot="1" x14ac:dyDescent="0.3">
      <c r="A8840" s="43" t="s">
        <v>1711</v>
      </c>
      <c r="B8840" s="21" t="s">
        <v>1712</v>
      </c>
      <c r="C8840" s="21" t="s">
        <v>22655</v>
      </c>
      <c r="D8840" s="22">
        <v>46032</v>
      </c>
      <c r="E8840" s="23" t="s">
        <v>22661</v>
      </c>
      <c r="F8840" s="24" t="s">
        <v>22657</v>
      </c>
      <c r="G8840" s="25">
        <v>4</v>
      </c>
      <c r="H8840" s="26"/>
      <c r="I8840" s="27"/>
    </row>
    <row r="8841" spans="1:9" ht="15.75" thickBot="1" x14ac:dyDescent="0.3">
      <c r="A8841" s="43" t="s">
        <v>1609</v>
      </c>
      <c r="B8841" s="21" t="s">
        <v>1610</v>
      </c>
      <c r="C8841" s="21" t="s">
        <v>22663</v>
      </c>
      <c r="D8841" s="31">
        <v>1</v>
      </c>
      <c r="E8841" s="23" t="s">
        <v>22656</v>
      </c>
      <c r="F8841" s="24" t="s">
        <v>22657</v>
      </c>
      <c r="G8841" s="25">
        <v>2</v>
      </c>
      <c r="H8841" s="29"/>
      <c r="I8841" s="30"/>
    </row>
    <row r="8842" spans="1:9" ht="15.75" thickBot="1" x14ac:dyDescent="0.3">
      <c r="A8842" s="43" t="s">
        <v>18027</v>
      </c>
      <c r="B8842" s="21" t="s">
        <v>18028</v>
      </c>
      <c r="C8842" s="21" t="s">
        <v>22798</v>
      </c>
      <c r="D8842" s="31" t="s">
        <v>22699</v>
      </c>
      <c r="E8842" s="23" t="s">
        <v>22656</v>
      </c>
      <c r="F8842" s="24" t="s">
        <v>22657</v>
      </c>
      <c r="G8842" s="25">
        <v>4</v>
      </c>
      <c r="H8842" s="26"/>
      <c r="I8842" s="27"/>
    </row>
    <row r="8843" spans="1:9" ht="15.75" thickBot="1" x14ac:dyDescent="0.3">
      <c r="A8843" s="43" t="s">
        <v>18029</v>
      </c>
      <c r="B8843" s="21" t="s">
        <v>18030</v>
      </c>
      <c r="C8843" s="21" t="s">
        <v>22798</v>
      </c>
      <c r="D8843" s="31" t="s">
        <v>22699</v>
      </c>
      <c r="E8843" s="23" t="s">
        <v>22656</v>
      </c>
      <c r="F8843" s="24" t="s">
        <v>22657</v>
      </c>
      <c r="G8843" s="25">
        <v>4</v>
      </c>
      <c r="H8843" s="29"/>
      <c r="I8843" s="30"/>
    </row>
    <row r="8844" spans="1:9" ht="15.75" thickBot="1" x14ac:dyDescent="0.3">
      <c r="A8844" s="43" t="s">
        <v>18031</v>
      </c>
      <c r="B8844" s="21" t="s">
        <v>18032</v>
      </c>
      <c r="C8844" s="21" t="s">
        <v>22798</v>
      </c>
      <c r="D8844" s="31" t="s">
        <v>22699</v>
      </c>
      <c r="E8844" s="23" t="s">
        <v>22656</v>
      </c>
      <c r="F8844" s="24" t="s">
        <v>22657</v>
      </c>
      <c r="G8844" s="25">
        <v>4</v>
      </c>
      <c r="H8844" s="26"/>
      <c r="I8844" s="27"/>
    </row>
    <row r="8845" spans="1:9" ht="15.75" thickBot="1" x14ac:dyDescent="0.3">
      <c r="A8845" s="43" t="s">
        <v>18033</v>
      </c>
      <c r="B8845" s="21" t="s">
        <v>18034</v>
      </c>
      <c r="C8845" s="21" t="s">
        <v>22798</v>
      </c>
      <c r="D8845" s="31" t="s">
        <v>22699</v>
      </c>
      <c r="E8845" s="23" t="s">
        <v>22656</v>
      </c>
      <c r="F8845" s="24" t="s">
        <v>22657</v>
      </c>
      <c r="G8845" s="25">
        <v>4</v>
      </c>
      <c r="H8845" s="29"/>
      <c r="I8845" s="30"/>
    </row>
    <row r="8846" spans="1:9" ht="15.75" thickBot="1" x14ac:dyDescent="0.3">
      <c r="A8846" s="43" t="s">
        <v>18035</v>
      </c>
      <c r="B8846" s="21" t="s">
        <v>18036</v>
      </c>
      <c r="C8846" s="21" t="s">
        <v>22798</v>
      </c>
      <c r="D8846" s="39">
        <v>36965</v>
      </c>
      <c r="E8846" s="23" t="s">
        <v>22656</v>
      </c>
      <c r="F8846" s="24" t="s">
        <v>22657</v>
      </c>
      <c r="G8846" s="25">
        <v>2</v>
      </c>
      <c r="H8846" s="26"/>
      <c r="I8846" s="27"/>
    </row>
    <row r="8847" spans="1:9" ht="15.75" thickBot="1" x14ac:dyDescent="0.3">
      <c r="A8847" s="43" t="s">
        <v>18037</v>
      </c>
      <c r="B8847" s="21" t="s">
        <v>18038</v>
      </c>
      <c r="C8847" s="21" t="s">
        <v>22682</v>
      </c>
      <c r="D8847" s="22">
        <v>46034</v>
      </c>
      <c r="E8847" s="23" t="s">
        <v>22656</v>
      </c>
      <c r="F8847" s="24" t="s">
        <v>22657</v>
      </c>
      <c r="G8847" s="25">
        <v>2</v>
      </c>
      <c r="H8847" s="29"/>
      <c r="I8847" s="30"/>
    </row>
    <row r="8848" spans="1:9" ht="15.75" thickBot="1" x14ac:dyDescent="0.3">
      <c r="A8848" s="43" t="s">
        <v>22626</v>
      </c>
      <c r="B8848" s="21" t="s">
        <v>22627</v>
      </c>
      <c r="C8848" s="21" t="s">
        <v>22655</v>
      </c>
      <c r="D8848" s="22">
        <v>46034</v>
      </c>
      <c r="E8848" s="23" t="s">
        <v>22658</v>
      </c>
      <c r="F8848" s="28" t="s">
        <v>22659</v>
      </c>
      <c r="G8848" s="25">
        <v>1</v>
      </c>
      <c r="H8848" s="26"/>
      <c r="I8848" s="27"/>
    </row>
    <row r="8849" spans="1:9" ht="15.75" thickBot="1" x14ac:dyDescent="0.3">
      <c r="A8849" s="43" t="s">
        <v>18039</v>
      </c>
      <c r="B8849" s="21" t="s">
        <v>18040</v>
      </c>
      <c r="C8849" s="21" t="s">
        <v>22655</v>
      </c>
      <c r="D8849" s="22">
        <v>46034</v>
      </c>
      <c r="E8849" s="23" t="s">
        <v>22658</v>
      </c>
      <c r="F8849" s="28" t="s">
        <v>22659</v>
      </c>
      <c r="G8849" s="25">
        <v>1</v>
      </c>
      <c r="H8849" s="29"/>
      <c r="I8849" s="30"/>
    </row>
    <row r="8850" spans="1:9" ht="15.75" thickBot="1" x14ac:dyDescent="0.3">
      <c r="A8850" s="43" t="s">
        <v>18041</v>
      </c>
      <c r="B8850" s="21" t="s">
        <v>18042</v>
      </c>
      <c r="C8850" s="21" t="s">
        <v>22655</v>
      </c>
      <c r="D8850" s="22">
        <v>46034</v>
      </c>
      <c r="E8850" s="23" t="s">
        <v>22656</v>
      </c>
      <c r="F8850" s="28" t="s">
        <v>22659</v>
      </c>
      <c r="G8850" s="25">
        <v>2</v>
      </c>
      <c r="H8850" s="26"/>
      <c r="I8850" s="27"/>
    </row>
    <row r="8851" spans="1:9" ht="15.75" thickBot="1" x14ac:dyDescent="0.3">
      <c r="A8851" s="43" t="s">
        <v>18043</v>
      </c>
      <c r="B8851" s="21" t="s">
        <v>18044</v>
      </c>
      <c r="C8851" s="21" t="s">
        <v>22682</v>
      </c>
      <c r="D8851" s="22">
        <v>46034</v>
      </c>
      <c r="E8851" s="23" t="s">
        <v>22658</v>
      </c>
      <c r="F8851" s="24" t="s">
        <v>22657</v>
      </c>
      <c r="G8851" s="25">
        <v>4</v>
      </c>
      <c r="H8851" s="29"/>
      <c r="I8851" s="30"/>
    </row>
    <row r="8852" spans="1:9" ht="15.75" thickBot="1" x14ac:dyDescent="0.3">
      <c r="A8852" s="43" t="s">
        <v>18045</v>
      </c>
      <c r="B8852" s="21" t="s">
        <v>18046</v>
      </c>
      <c r="C8852" s="21" t="s">
        <v>22682</v>
      </c>
      <c r="D8852" s="22">
        <v>46034</v>
      </c>
      <c r="E8852" s="23" t="s">
        <v>22658</v>
      </c>
      <c r="F8852" s="24" t="s">
        <v>22657</v>
      </c>
      <c r="G8852" s="25">
        <v>4</v>
      </c>
      <c r="H8852" s="26"/>
      <c r="I8852" s="27"/>
    </row>
    <row r="8853" spans="1:9" ht="15.75" thickBot="1" x14ac:dyDescent="0.3">
      <c r="A8853" s="43" t="s">
        <v>18047</v>
      </c>
      <c r="B8853" s="21" t="s">
        <v>18048</v>
      </c>
      <c r="C8853" s="21" t="s">
        <v>22698</v>
      </c>
      <c r="D8853" s="31">
        <v>1</v>
      </c>
      <c r="E8853" s="23" t="s">
        <v>22658</v>
      </c>
      <c r="F8853" s="28" t="s">
        <v>22659</v>
      </c>
      <c r="G8853" s="25">
        <v>1</v>
      </c>
      <c r="H8853" s="29"/>
      <c r="I8853" s="30"/>
    </row>
    <row r="8854" spans="1:9" ht="15.75" thickBot="1" x14ac:dyDescent="0.3">
      <c r="A8854" s="43" t="s">
        <v>18049</v>
      </c>
      <c r="B8854" s="21" t="s">
        <v>18050</v>
      </c>
      <c r="C8854" s="21" t="s">
        <v>22663</v>
      </c>
      <c r="D8854" s="31">
        <v>1</v>
      </c>
      <c r="E8854" s="23" t="s">
        <v>22656</v>
      </c>
      <c r="F8854" s="24" t="s">
        <v>22657</v>
      </c>
      <c r="G8854" s="25">
        <v>2</v>
      </c>
      <c r="H8854" s="26"/>
      <c r="I8854" s="27"/>
    </row>
    <row r="8855" spans="1:9" ht="15.75" thickBot="1" x14ac:dyDescent="0.3">
      <c r="A8855" s="43" t="s">
        <v>18051</v>
      </c>
      <c r="B8855" s="21" t="s">
        <v>18052</v>
      </c>
      <c r="C8855" s="21" t="s">
        <v>22655</v>
      </c>
      <c r="D8855" s="31" t="s">
        <v>22688</v>
      </c>
      <c r="E8855" s="23" t="s">
        <v>22656</v>
      </c>
      <c r="F8855" s="24" t="s">
        <v>22657</v>
      </c>
      <c r="G8855" s="25">
        <v>14</v>
      </c>
      <c r="H8855" s="29"/>
      <c r="I8855" s="30"/>
    </row>
    <row r="8856" spans="1:9" ht="15.75" thickBot="1" x14ac:dyDescent="0.3">
      <c r="A8856" s="43" t="s">
        <v>18053</v>
      </c>
      <c r="B8856" s="21" t="s">
        <v>18054</v>
      </c>
      <c r="C8856" s="21" t="s">
        <v>22655</v>
      </c>
      <c r="D8856" s="31" t="s">
        <v>22688</v>
      </c>
      <c r="E8856" s="23" t="s">
        <v>22656</v>
      </c>
      <c r="F8856" s="24" t="s">
        <v>22657</v>
      </c>
      <c r="G8856" s="25">
        <v>14</v>
      </c>
      <c r="H8856" s="26"/>
      <c r="I8856" s="27"/>
    </row>
    <row r="8857" spans="1:9" ht="15.75" thickBot="1" x14ac:dyDescent="0.3">
      <c r="A8857" s="43" t="s">
        <v>18055</v>
      </c>
      <c r="B8857" s="21" t="s">
        <v>18056</v>
      </c>
      <c r="C8857" s="21" t="s">
        <v>22655</v>
      </c>
      <c r="D8857" s="31" t="s">
        <v>22688</v>
      </c>
      <c r="E8857" s="23" t="s">
        <v>22656</v>
      </c>
      <c r="F8857" s="24" t="s">
        <v>22657</v>
      </c>
      <c r="G8857" s="25">
        <v>14</v>
      </c>
      <c r="H8857" s="29"/>
      <c r="I8857" s="30"/>
    </row>
    <row r="8858" spans="1:9" ht="15.75" thickBot="1" x14ac:dyDescent="0.3">
      <c r="A8858" s="43" t="s">
        <v>18057</v>
      </c>
      <c r="B8858" s="21" t="s">
        <v>18058</v>
      </c>
      <c r="C8858" s="21" t="s">
        <v>22655</v>
      </c>
      <c r="D8858" s="31" t="s">
        <v>22688</v>
      </c>
      <c r="E8858" s="23" t="s">
        <v>22656</v>
      </c>
      <c r="F8858" s="24" t="s">
        <v>22657</v>
      </c>
      <c r="G8858" s="25">
        <v>14</v>
      </c>
      <c r="H8858" s="26"/>
      <c r="I8858" s="27"/>
    </row>
    <row r="8859" spans="1:9" ht="15.75" thickBot="1" x14ac:dyDescent="0.3">
      <c r="A8859" s="43" t="s">
        <v>18059</v>
      </c>
      <c r="B8859" s="21" t="s">
        <v>18060</v>
      </c>
      <c r="C8859" s="21" t="s">
        <v>22694</v>
      </c>
      <c r="D8859" s="31" t="s">
        <v>22867</v>
      </c>
      <c r="E8859" s="23" t="s">
        <v>22656</v>
      </c>
      <c r="F8859" s="24" t="s">
        <v>22657</v>
      </c>
      <c r="G8859" s="25">
        <v>34</v>
      </c>
      <c r="H8859" s="29"/>
      <c r="I8859" s="30"/>
    </row>
    <row r="8860" spans="1:9" ht="15.75" thickBot="1" x14ac:dyDescent="0.3">
      <c r="A8860" s="43" t="s">
        <v>1409</v>
      </c>
      <c r="B8860" s="21" t="s">
        <v>1410</v>
      </c>
      <c r="C8860" s="21" t="s">
        <v>22655</v>
      </c>
      <c r="D8860" s="22">
        <v>46042</v>
      </c>
      <c r="E8860" s="23" t="s">
        <v>22665</v>
      </c>
      <c r="F8860" s="24" t="s">
        <v>22657</v>
      </c>
      <c r="G8860" s="25">
        <v>40</v>
      </c>
      <c r="H8860" s="34">
        <v>40</v>
      </c>
      <c r="I8860" s="35">
        <v>80</v>
      </c>
    </row>
    <row r="8861" spans="1:9" ht="15.75" thickBot="1" x14ac:dyDescent="0.3">
      <c r="A8861" s="43" t="s">
        <v>753</v>
      </c>
      <c r="B8861" s="21" t="s">
        <v>754</v>
      </c>
      <c r="C8861" s="21" t="s">
        <v>22655</v>
      </c>
      <c r="D8861" s="22">
        <v>46042</v>
      </c>
      <c r="E8861" s="23" t="s">
        <v>22662</v>
      </c>
      <c r="F8861" s="24" t="s">
        <v>22657</v>
      </c>
      <c r="G8861" s="25">
        <v>100</v>
      </c>
      <c r="H8861" s="32">
        <v>100</v>
      </c>
      <c r="I8861" s="33">
        <v>200</v>
      </c>
    </row>
    <row r="8862" spans="1:9" ht="15.75" thickBot="1" x14ac:dyDescent="0.3">
      <c r="A8862" s="43" t="s">
        <v>959</v>
      </c>
      <c r="B8862" s="21" t="s">
        <v>960</v>
      </c>
      <c r="C8862" s="21" t="s">
        <v>22655</v>
      </c>
      <c r="D8862" s="22">
        <v>46042</v>
      </c>
      <c r="E8862" s="23" t="s">
        <v>22665</v>
      </c>
      <c r="F8862" s="24" t="s">
        <v>22657</v>
      </c>
      <c r="G8862" s="25">
        <v>100</v>
      </c>
      <c r="H8862" s="34">
        <v>100</v>
      </c>
      <c r="I8862" s="35">
        <v>200</v>
      </c>
    </row>
    <row r="8863" spans="1:9" ht="15.75" thickBot="1" x14ac:dyDescent="0.3">
      <c r="A8863" s="43" t="s">
        <v>1201</v>
      </c>
      <c r="B8863" s="21" t="s">
        <v>1202</v>
      </c>
      <c r="C8863" s="21" t="s">
        <v>22655</v>
      </c>
      <c r="D8863" s="22">
        <v>46042</v>
      </c>
      <c r="E8863" s="23" t="s">
        <v>22665</v>
      </c>
      <c r="F8863" s="24" t="s">
        <v>22657</v>
      </c>
      <c r="G8863" s="25">
        <v>40</v>
      </c>
      <c r="H8863" s="32">
        <v>40</v>
      </c>
      <c r="I8863" s="33">
        <v>60</v>
      </c>
    </row>
    <row r="8864" spans="1:9" ht="15.75" thickBot="1" x14ac:dyDescent="0.3">
      <c r="A8864" s="43" t="s">
        <v>18063</v>
      </c>
      <c r="B8864" s="21" t="s">
        <v>18064</v>
      </c>
      <c r="C8864" s="21" t="s">
        <v>22663</v>
      </c>
      <c r="D8864" s="31">
        <v>1</v>
      </c>
      <c r="E8864" s="23" t="s">
        <v>22656</v>
      </c>
      <c r="F8864" s="24" t="s">
        <v>22657</v>
      </c>
      <c r="G8864" s="25">
        <v>4</v>
      </c>
      <c r="H8864" s="26"/>
      <c r="I8864" s="27"/>
    </row>
    <row r="8865" spans="1:9" ht="15.75" thickBot="1" x14ac:dyDescent="0.3">
      <c r="A8865" s="43" t="s">
        <v>18065</v>
      </c>
      <c r="B8865" s="21" t="s">
        <v>18066</v>
      </c>
      <c r="C8865" s="21" t="s">
        <v>22663</v>
      </c>
      <c r="D8865" s="31">
        <v>1</v>
      </c>
      <c r="E8865" s="23" t="s">
        <v>22656</v>
      </c>
      <c r="F8865" s="24" t="s">
        <v>22657</v>
      </c>
      <c r="G8865" s="25">
        <v>4</v>
      </c>
      <c r="H8865" s="29"/>
      <c r="I8865" s="30"/>
    </row>
    <row r="8866" spans="1:9" ht="15.75" thickBot="1" x14ac:dyDescent="0.3">
      <c r="A8866" s="43" t="s">
        <v>18067</v>
      </c>
      <c r="B8866" s="21" t="s">
        <v>18068</v>
      </c>
      <c r="C8866" s="21" t="s">
        <v>22655</v>
      </c>
      <c r="D8866" s="31" t="s">
        <v>22688</v>
      </c>
      <c r="E8866" s="23" t="s">
        <v>22658</v>
      </c>
      <c r="F8866" s="24" t="s">
        <v>22657</v>
      </c>
      <c r="G8866" s="25">
        <v>4</v>
      </c>
      <c r="H8866" s="26"/>
      <c r="I8866" s="27"/>
    </row>
    <row r="8867" spans="1:9" ht="15.75" thickBot="1" x14ac:dyDescent="0.3">
      <c r="A8867" s="43" t="s">
        <v>18069</v>
      </c>
      <c r="B8867" s="21" t="s">
        <v>18070</v>
      </c>
      <c r="C8867" s="21" t="s">
        <v>22655</v>
      </c>
      <c r="D8867" s="31" t="s">
        <v>22868</v>
      </c>
      <c r="E8867" s="23" t="s">
        <v>22656</v>
      </c>
      <c r="F8867" s="24" t="s">
        <v>22657</v>
      </c>
      <c r="G8867" s="25">
        <v>4</v>
      </c>
      <c r="H8867" s="29"/>
      <c r="I8867" s="30"/>
    </row>
    <row r="8868" spans="1:9" ht="15.75" thickBot="1" x14ac:dyDescent="0.3">
      <c r="A8868" s="43" t="s">
        <v>18071</v>
      </c>
      <c r="B8868" s="21" t="s">
        <v>18072</v>
      </c>
      <c r="C8868" s="21" t="s">
        <v>22663</v>
      </c>
      <c r="D8868" s="31">
        <v>1</v>
      </c>
      <c r="E8868" s="23" t="s">
        <v>22656</v>
      </c>
      <c r="F8868" s="24" t="s">
        <v>22657</v>
      </c>
      <c r="G8868" s="25">
        <v>2</v>
      </c>
      <c r="H8868" s="26"/>
      <c r="I8868" s="27"/>
    </row>
    <row r="8869" spans="1:9" ht="15.75" thickBot="1" x14ac:dyDescent="0.3">
      <c r="A8869" s="43" t="s">
        <v>18073</v>
      </c>
      <c r="B8869" s="21" t="s">
        <v>18074</v>
      </c>
      <c r="C8869" s="21" t="s">
        <v>22655</v>
      </c>
      <c r="D8869" s="22">
        <v>46032</v>
      </c>
      <c r="E8869" s="23" t="s">
        <v>22656</v>
      </c>
      <c r="F8869" s="24" t="s">
        <v>22657</v>
      </c>
      <c r="G8869" s="25">
        <v>4</v>
      </c>
      <c r="H8869" s="29"/>
      <c r="I8869" s="30"/>
    </row>
    <row r="8870" spans="1:9" ht="15.75" thickBot="1" x14ac:dyDescent="0.3">
      <c r="A8870" s="43" t="s">
        <v>18075</v>
      </c>
      <c r="B8870" s="21" t="s">
        <v>18076</v>
      </c>
      <c r="C8870" s="21" t="s">
        <v>22655</v>
      </c>
      <c r="D8870" s="22">
        <v>46032</v>
      </c>
      <c r="E8870" s="23" t="s">
        <v>22656</v>
      </c>
      <c r="F8870" s="24" t="s">
        <v>22657</v>
      </c>
      <c r="G8870" s="25">
        <v>5</v>
      </c>
      <c r="H8870" s="26"/>
      <c r="I8870" s="27"/>
    </row>
    <row r="8871" spans="1:9" ht="15.75" thickBot="1" x14ac:dyDescent="0.3">
      <c r="A8871" s="43" t="s">
        <v>1401</v>
      </c>
      <c r="B8871" s="21" t="s">
        <v>18077</v>
      </c>
      <c r="C8871" s="21" t="s">
        <v>22655</v>
      </c>
      <c r="D8871" s="22">
        <v>46034</v>
      </c>
      <c r="E8871" s="23" t="s">
        <v>22662</v>
      </c>
      <c r="F8871" s="24" t="s">
        <v>22657</v>
      </c>
      <c r="G8871" s="25">
        <v>240</v>
      </c>
      <c r="H8871" s="32">
        <v>240</v>
      </c>
      <c r="I8871" s="33">
        <v>420</v>
      </c>
    </row>
    <row r="8872" spans="1:9" ht="15.75" thickBot="1" x14ac:dyDescent="0.3">
      <c r="A8872" s="43" t="s">
        <v>1089</v>
      </c>
      <c r="B8872" s="21" t="s">
        <v>18078</v>
      </c>
      <c r="C8872" s="21" t="s">
        <v>22655</v>
      </c>
      <c r="D8872" s="22">
        <v>46034</v>
      </c>
      <c r="E8872" s="23" t="s">
        <v>22665</v>
      </c>
      <c r="F8872" s="24" t="s">
        <v>22657</v>
      </c>
      <c r="G8872" s="25">
        <v>36</v>
      </c>
      <c r="H8872" s="34">
        <v>36</v>
      </c>
      <c r="I8872" s="35">
        <v>60</v>
      </c>
    </row>
    <row r="8873" spans="1:9" ht="15.75" thickBot="1" x14ac:dyDescent="0.3">
      <c r="A8873" s="43" t="s">
        <v>18079</v>
      </c>
      <c r="B8873" s="21" t="s">
        <v>18080</v>
      </c>
      <c r="C8873" s="21" t="s">
        <v>22712</v>
      </c>
      <c r="D8873" s="22">
        <v>46032</v>
      </c>
      <c r="E8873" s="23" t="s">
        <v>22656</v>
      </c>
      <c r="F8873" s="24" t="s">
        <v>22657</v>
      </c>
      <c r="G8873" s="25">
        <v>4</v>
      </c>
      <c r="H8873" s="29"/>
      <c r="I8873" s="30"/>
    </row>
    <row r="8874" spans="1:9" ht="15.75" thickBot="1" x14ac:dyDescent="0.3">
      <c r="A8874" s="43" t="s">
        <v>18081</v>
      </c>
      <c r="B8874" s="21" t="s">
        <v>18082</v>
      </c>
      <c r="C8874" s="21" t="s">
        <v>22663</v>
      </c>
      <c r="D8874" s="31">
        <v>1</v>
      </c>
      <c r="E8874" s="23" t="s">
        <v>22656</v>
      </c>
      <c r="F8874" s="24" t="s">
        <v>22657</v>
      </c>
      <c r="G8874" s="25">
        <v>2</v>
      </c>
      <c r="H8874" s="26"/>
      <c r="I8874" s="27"/>
    </row>
    <row r="8875" spans="1:9" ht="15.75" thickBot="1" x14ac:dyDescent="0.3">
      <c r="A8875" s="43" t="s">
        <v>277</v>
      </c>
      <c r="B8875" s="21" t="s">
        <v>278</v>
      </c>
      <c r="C8875" s="21" t="s">
        <v>22727</v>
      </c>
      <c r="D8875" s="31">
        <v>1</v>
      </c>
      <c r="E8875" s="23" t="s">
        <v>22658</v>
      </c>
      <c r="F8875" s="28" t="s">
        <v>22659</v>
      </c>
      <c r="G8875" s="25">
        <v>1</v>
      </c>
      <c r="H8875" s="29"/>
      <c r="I8875" s="30"/>
    </row>
    <row r="8876" spans="1:9" ht="15.75" thickBot="1" x14ac:dyDescent="0.3">
      <c r="A8876" s="43" t="s">
        <v>18083</v>
      </c>
      <c r="B8876" s="21" t="s">
        <v>18084</v>
      </c>
      <c r="C8876" s="21" t="s">
        <v>22655</v>
      </c>
      <c r="D8876" s="22">
        <v>46028</v>
      </c>
      <c r="E8876" s="23" t="s">
        <v>22656</v>
      </c>
      <c r="F8876" s="24" t="s">
        <v>22657</v>
      </c>
      <c r="G8876" s="25">
        <v>2</v>
      </c>
      <c r="H8876" s="26"/>
      <c r="I8876" s="27"/>
    </row>
    <row r="8877" spans="1:9" ht="15.75" thickBot="1" x14ac:dyDescent="0.3">
      <c r="A8877" s="43" t="s">
        <v>18085</v>
      </c>
      <c r="B8877" s="21" t="s">
        <v>18086</v>
      </c>
      <c r="C8877" s="21" t="s">
        <v>22682</v>
      </c>
      <c r="D8877" s="22">
        <v>46034</v>
      </c>
      <c r="E8877" s="23" t="s">
        <v>22658</v>
      </c>
      <c r="F8877" s="24" t="s">
        <v>22657</v>
      </c>
      <c r="G8877" s="25">
        <v>4</v>
      </c>
      <c r="H8877" s="29"/>
      <c r="I8877" s="30"/>
    </row>
    <row r="8878" spans="1:9" ht="15.75" thickBot="1" x14ac:dyDescent="0.3">
      <c r="A8878" s="43" t="s">
        <v>18087</v>
      </c>
      <c r="B8878" s="21" t="s">
        <v>18088</v>
      </c>
      <c r="C8878" s="21" t="s">
        <v>22682</v>
      </c>
      <c r="D8878" s="22">
        <v>46034</v>
      </c>
      <c r="E8878" s="23" t="s">
        <v>22656</v>
      </c>
      <c r="F8878" s="24" t="s">
        <v>22657</v>
      </c>
      <c r="G8878" s="25">
        <v>4</v>
      </c>
      <c r="H8878" s="26"/>
      <c r="I8878" s="27"/>
    </row>
    <row r="8879" spans="1:9" ht="15.75" thickBot="1" x14ac:dyDescent="0.3">
      <c r="A8879" s="43" t="s">
        <v>18089</v>
      </c>
      <c r="B8879" s="21" t="s">
        <v>18090</v>
      </c>
      <c r="C8879" s="21" t="s">
        <v>22663</v>
      </c>
      <c r="D8879" s="31">
        <v>1</v>
      </c>
      <c r="E8879" s="23" t="s">
        <v>22656</v>
      </c>
      <c r="F8879" s="24" t="s">
        <v>22657</v>
      </c>
      <c r="G8879" s="25">
        <v>2</v>
      </c>
      <c r="H8879" s="29"/>
      <c r="I8879" s="30"/>
    </row>
    <row r="8880" spans="1:9" ht="15.75" thickBot="1" x14ac:dyDescent="0.3">
      <c r="A8880" s="43" t="s">
        <v>18091</v>
      </c>
      <c r="B8880" s="21" t="s">
        <v>18092</v>
      </c>
      <c r="C8880" s="21" t="s">
        <v>22655</v>
      </c>
      <c r="D8880" s="22">
        <v>46042</v>
      </c>
      <c r="E8880" s="23" t="s">
        <v>22656</v>
      </c>
      <c r="F8880" s="24" t="s">
        <v>22657</v>
      </c>
      <c r="G8880" s="25">
        <v>4</v>
      </c>
      <c r="H8880" s="26"/>
      <c r="I8880" s="27"/>
    </row>
    <row r="8881" spans="1:9" ht="15.75" thickBot="1" x14ac:dyDescent="0.3">
      <c r="A8881" s="43" t="s">
        <v>18093</v>
      </c>
      <c r="B8881" s="21" t="s">
        <v>18094</v>
      </c>
      <c r="C8881" s="21" t="s">
        <v>22655</v>
      </c>
      <c r="D8881" s="31" t="s">
        <v>22688</v>
      </c>
      <c r="E8881" s="23" t="s">
        <v>22656</v>
      </c>
      <c r="F8881" s="24" t="s">
        <v>22657</v>
      </c>
      <c r="G8881" s="25">
        <v>4</v>
      </c>
      <c r="H8881" s="29"/>
      <c r="I8881" s="30"/>
    </row>
    <row r="8882" spans="1:9" ht="15.75" thickBot="1" x14ac:dyDescent="0.3">
      <c r="A8882" s="43" t="s">
        <v>18095</v>
      </c>
      <c r="B8882" s="21" t="s">
        <v>18096</v>
      </c>
      <c r="C8882" s="21" t="s">
        <v>22655</v>
      </c>
      <c r="D8882" s="22">
        <v>46046</v>
      </c>
      <c r="E8882" s="23" t="s">
        <v>22656</v>
      </c>
      <c r="F8882" s="24" t="s">
        <v>22657</v>
      </c>
      <c r="G8882" s="25">
        <v>8</v>
      </c>
      <c r="H8882" s="26"/>
      <c r="I8882" s="27"/>
    </row>
    <row r="8883" spans="1:9" ht="15.75" thickBot="1" x14ac:dyDescent="0.3">
      <c r="A8883" s="43" t="s">
        <v>18097</v>
      </c>
      <c r="B8883" s="21" t="s">
        <v>18098</v>
      </c>
      <c r="C8883" s="21" t="s">
        <v>22655</v>
      </c>
      <c r="D8883" s="31" t="s">
        <v>22660</v>
      </c>
      <c r="E8883" s="23" t="s">
        <v>22656</v>
      </c>
      <c r="F8883" s="24" t="s">
        <v>22657</v>
      </c>
      <c r="G8883" s="25">
        <v>4</v>
      </c>
      <c r="H8883" s="29"/>
      <c r="I8883" s="30"/>
    </row>
    <row r="8884" spans="1:9" ht="15.75" thickBot="1" x14ac:dyDescent="0.3">
      <c r="A8884" s="43" t="s">
        <v>18099</v>
      </c>
      <c r="B8884" s="21" t="s">
        <v>18100</v>
      </c>
      <c r="C8884" s="21" t="s">
        <v>22655</v>
      </c>
      <c r="D8884" s="31" t="s">
        <v>22732</v>
      </c>
      <c r="E8884" s="23" t="s">
        <v>22656</v>
      </c>
      <c r="F8884" s="24" t="s">
        <v>22657</v>
      </c>
      <c r="G8884" s="25">
        <v>7</v>
      </c>
      <c r="H8884" s="26"/>
      <c r="I8884" s="27"/>
    </row>
    <row r="8885" spans="1:9" ht="15.75" thickBot="1" x14ac:dyDescent="0.3">
      <c r="A8885" s="43" t="s">
        <v>18101</v>
      </c>
      <c r="B8885" s="21" t="s">
        <v>18102</v>
      </c>
      <c r="C8885" s="21" t="s">
        <v>22655</v>
      </c>
      <c r="D8885" s="31" t="s">
        <v>22660</v>
      </c>
      <c r="E8885" s="23" t="s">
        <v>22656</v>
      </c>
      <c r="F8885" s="24" t="s">
        <v>22657</v>
      </c>
      <c r="G8885" s="25">
        <v>4</v>
      </c>
      <c r="H8885" s="29"/>
      <c r="I8885" s="30"/>
    </row>
    <row r="8886" spans="1:9" ht="15.75" thickBot="1" x14ac:dyDescent="0.3">
      <c r="A8886" s="43" t="s">
        <v>18103</v>
      </c>
      <c r="B8886" s="21" t="s">
        <v>18104</v>
      </c>
      <c r="C8886" s="21" t="s">
        <v>22663</v>
      </c>
      <c r="D8886" s="31">
        <v>1</v>
      </c>
      <c r="E8886" s="23" t="s">
        <v>22658</v>
      </c>
      <c r="F8886" s="24" t="s">
        <v>22657</v>
      </c>
      <c r="G8886" s="25">
        <v>1</v>
      </c>
      <c r="H8886" s="26"/>
      <c r="I8886" s="27"/>
    </row>
    <row r="8887" spans="1:9" ht="15.75" thickBot="1" x14ac:dyDescent="0.3">
      <c r="A8887" s="43" t="s">
        <v>18105</v>
      </c>
      <c r="B8887" s="21" t="s">
        <v>18106</v>
      </c>
      <c r="C8887" s="21" t="s">
        <v>22663</v>
      </c>
      <c r="D8887" s="31">
        <v>1</v>
      </c>
      <c r="E8887" s="23" t="s">
        <v>22656</v>
      </c>
      <c r="F8887" s="24" t="s">
        <v>22657</v>
      </c>
      <c r="G8887" s="25">
        <v>2</v>
      </c>
      <c r="H8887" s="29"/>
      <c r="I8887" s="30"/>
    </row>
    <row r="8888" spans="1:9" ht="15.75" thickBot="1" x14ac:dyDescent="0.3">
      <c r="A8888" s="43" t="s">
        <v>18107</v>
      </c>
      <c r="B8888" s="21" t="s">
        <v>18108</v>
      </c>
      <c r="C8888" s="21" t="s">
        <v>22663</v>
      </c>
      <c r="D8888" s="31">
        <v>1</v>
      </c>
      <c r="E8888" s="23" t="s">
        <v>22658</v>
      </c>
      <c r="F8888" s="24" t="s">
        <v>22657</v>
      </c>
      <c r="G8888" s="25">
        <v>1</v>
      </c>
      <c r="H8888" s="26"/>
      <c r="I8888" s="27"/>
    </row>
    <row r="8889" spans="1:9" ht="15.75" thickBot="1" x14ac:dyDescent="0.3">
      <c r="A8889" s="43" t="s">
        <v>18109</v>
      </c>
      <c r="B8889" s="21" t="s">
        <v>18110</v>
      </c>
      <c r="C8889" s="21" t="s">
        <v>22663</v>
      </c>
      <c r="D8889" s="31">
        <v>1</v>
      </c>
      <c r="E8889" s="23" t="s">
        <v>22656</v>
      </c>
      <c r="F8889" s="24" t="s">
        <v>22657</v>
      </c>
      <c r="G8889" s="25">
        <v>2</v>
      </c>
      <c r="H8889" s="29"/>
      <c r="I8889" s="30"/>
    </row>
    <row r="8890" spans="1:9" ht="15.75" thickBot="1" x14ac:dyDescent="0.3">
      <c r="A8890" s="43" t="s">
        <v>18111</v>
      </c>
      <c r="B8890" s="21" t="s">
        <v>18112</v>
      </c>
      <c r="C8890" s="21" t="s">
        <v>22663</v>
      </c>
      <c r="D8890" s="31">
        <v>1</v>
      </c>
      <c r="E8890" s="23" t="s">
        <v>22658</v>
      </c>
      <c r="F8890" s="24" t="s">
        <v>22657</v>
      </c>
      <c r="G8890" s="25">
        <v>1</v>
      </c>
      <c r="H8890" s="26"/>
      <c r="I8890" s="27"/>
    </row>
    <row r="8891" spans="1:9" ht="15.75" thickBot="1" x14ac:dyDescent="0.3">
      <c r="A8891" s="43" t="s">
        <v>18113</v>
      </c>
      <c r="B8891" s="21" t="s">
        <v>18114</v>
      </c>
      <c r="C8891" s="21" t="s">
        <v>22690</v>
      </c>
      <c r="D8891" s="31" t="s">
        <v>22699</v>
      </c>
      <c r="E8891" s="23" t="s">
        <v>22656</v>
      </c>
      <c r="F8891" s="24" t="s">
        <v>22657</v>
      </c>
      <c r="G8891" s="25">
        <v>4</v>
      </c>
      <c r="H8891" s="29"/>
      <c r="I8891" s="30"/>
    </row>
    <row r="8892" spans="1:9" ht="15.75" thickBot="1" x14ac:dyDescent="0.3">
      <c r="A8892" s="43" t="s">
        <v>18115</v>
      </c>
      <c r="B8892" s="21" t="s">
        <v>18116</v>
      </c>
      <c r="C8892" s="21" t="s">
        <v>22690</v>
      </c>
      <c r="D8892" s="31" t="s">
        <v>22699</v>
      </c>
      <c r="E8892" s="23" t="s">
        <v>22658</v>
      </c>
      <c r="F8892" s="24" t="s">
        <v>22657</v>
      </c>
      <c r="G8892" s="25">
        <v>4</v>
      </c>
      <c r="H8892" s="26"/>
      <c r="I8892" s="27"/>
    </row>
    <row r="8893" spans="1:9" ht="15.75" thickBot="1" x14ac:dyDescent="0.3">
      <c r="A8893" s="43" t="s">
        <v>18117</v>
      </c>
      <c r="B8893" s="21" t="s">
        <v>18118</v>
      </c>
      <c r="C8893" s="21" t="s">
        <v>22690</v>
      </c>
      <c r="D8893" s="31" t="s">
        <v>22699</v>
      </c>
      <c r="E8893" s="23" t="s">
        <v>22656</v>
      </c>
      <c r="F8893" s="24" t="s">
        <v>22657</v>
      </c>
      <c r="G8893" s="25">
        <v>4</v>
      </c>
      <c r="H8893" s="29"/>
      <c r="I8893" s="30"/>
    </row>
    <row r="8894" spans="1:9" ht="15.75" thickBot="1" x14ac:dyDescent="0.3">
      <c r="A8894" s="43" t="s">
        <v>18119</v>
      </c>
      <c r="B8894" s="21" t="s">
        <v>18120</v>
      </c>
      <c r="C8894" s="21" t="s">
        <v>22690</v>
      </c>
      <c r="D8894" s="31" t="s">
        <v>22699</v>
      </c>
      <c r="E8894" s="23" t="s">
        <v>22656</v>
      </c>
      <c r="F8894" s="24" t="s">
        <v>22657</v>
      </c>
      <c r="G8894" s="25">
        <v>4</v>
      </c>
      <c r="H8894" s="26"/>
      <c r="I8894" s="27"/>
    </row>
    <row r="8895" spans="1:9" ht="15.75" thickBot="1" x14ac:dyDescent="0.3">
      <c r="A8895" s="43" t="s">
        <v>18121</v>
      </c>
      <c r="B8895" s="21" t="s">
        <v>18122</v>
      </c>
      <c r="C8895" s="21" t="s">
        <v>22690</v>
      </c>
      <c r="D8895" s="31" t="s">
        <v>22699</v>
      </c>
      <c r="E8895" s="23" t="s">
        <v>22656</v>
      </c>
      <c r="F8895" s="24" t="s">
        <v>22657</v>
      </c>
      <c r="G8895" s="25">
        <v>4</v>
      </c>
      <c r="H8895" s="29"/>
      <c r="I8895" s="30"/>
    </row>
    <row r="8896" spans="1:9" ht="15.75" thickBot="1" x14ac:dyDescent="0.3">
      <c r="A8896" s="43" t="s">
        <v>1767</v>
      </c>
      <c r="B8896" s="21" t="s">
        <v>22628</v>
      </c>
      <c r="C8896" s="21" t="s">
        <v>22655</v>
      </c>
      <c r="D8896" s="22">
        <v>46034</v>
      </c>
      <c r="E8896" s="23" t="s">
        <v>22665</v>
      </c>
      <c r="F8896" s="24" t="s">
        <v>22657</v>
      </c>
      <c r="G8896" s="25">
        <v>24</v>
      </c>
      <c r="H8896" s="34">
        <v>24</v>
      </c>
      <c r="I8896" s="35">
        <v>36</v>
      </c>
    </row>
    <row r="8897" spans="1:9" ht="15.75" thickBot="1" x14ac:dyDescent="0.3">
      <c r="A8897" s="43" t="s">
        <v>18123</v>
      </c>
      <c r="B8897" s="21" t="s">
        <v>18124</v>
      </c>
      <c r="C8897" s="21" t="s">
        <v>22682</v>
      </c>
      <c r="D8897" s="22">
        <v>46034</v>
      </c>
      <c r="E8897" s="23" t="s">
        <v>22656</v>
      </c>
      <c r="F8897" s="24" t="s">
        <v>22657</v>
      </c>
      <c r="G8897" s="25">
        <v>4</v>
      </c>
      <c r="H8897" s="29"/>
      <c r="I8897" s="30"/>
    </row>
    <row r="8898" spans="1:9" ht="15.75" thickBot="1" x14ac:dyDescent="0.3">
      <c r="A8898" s="43" t="s">
        <v>18125</v>
      </c>
      <c r="B8898" s="21" t="s">
        <v>18126</v>
      </c>
      <c r="C8898" s="21" t="s">
        <v>22655</v>
      </c>
      <c r="D8898" s="22">
        <v>46042</v>
      </c>
      <c r="E8898" s="23" t="s">
        <v>22656</v>
      </c>
      <c r="F8898" s="24" t="s">
        <v>22657</v>
      </c>
      <c r="G8898" s="25">
        <v>7</v>
      </c>
      <c r="H8898" s="26"/>
      <c r="I8898" s="27"/>
    </row>
    <row r="8899" spans="1:9" ht="15.75" thickBot="1" x14ac:dyDescent="0.3">
      <c r="A8899" s="43" t="s">
        <v>373</v>
      </c>
      <c r="B8899" s="21" t="s">
        <v>374</v>
      </c>
      <c r="C8899" s="21" t="s">
        <v>22655</v>
      </c>
      <c r="D8899" s="22">
        <v>46042</v>
      </c>
      <c r="E8899" s="23" t="s">
        <v>22661</v>
      </c>
      <c r="F8899" s="24" t="s">
        <v>22657</v>
      </c>
      <c r="G8899" s="25">
        <v>20</v>
      </c>
      <c r="H8899" s="32">
        <v>20</v>
      </c>
      <c r="I8899" s="33">
        <v>40</v>
      </c>
    </row>
    <row r="8900" spans="1:9" ht="15.75" thickBot="1" x14ac:dyDescent="0.3">
      <c r="A8900" s="43" t="s">
        <v>309</v>
      </c>
      <c r="B8900" s="21" t="s">
        <v>310</v>
      </c>
      <c r="C8900" s="21" t="s">
        <v>22655</v>
      </c>
      <c r="D8900" s="22">
        <v>46038</v>
      </c>
      <c r="E8900" s="23" t="s">
        <v>22665</v>
      </c>
      <c r="F8900" s="24" t="s">
        <v>22657</v>
      </c>
      <c r="G8900" s="25">
        <v>20</v>
      </c>
      <c r="H8900" s="34">
        <v>20</v>
      </c>
      <c r="I8900" s="35">
        <v>40</v>
      </c>
    </row>
    <row r="8901" spans="1:9" ht="15.75" thickBot="1" x14ac:dyDescent="0.3">
      <c r="A8901" s="43" t="s">
        <v>561</v>
      </c>
      <c r="B8901" s="21" t="s">
        <v>562</v>
      </c>
      <c r="C8901" s="21" t="s">
        <v>22655</v>
      </c>
      <c r="D8901" s="22">
        <v>46038</v>
      </c>
      <c r="E8901" s="23" t="s">
        <v>22665</v>
      </c>
      <c r="F8901" s="24" t="s">
        <v>22657</v>
      </c>
      <c r="G8901" s="25">
        <v>80</v>
      </c>
      <c r="H8901" s="32">
        <v>80</v>
      </c>
      <c r="I8901" s="33">
        <v>120</v>
      </c>
    </row>
    <row r="8902" spans="1:9" ht="15.75" thickBot="1" x14ac:dyDescent="0.3">
      <c r="A8902" s="43" t="s">
        <v>18127</v>
      </c>
      <c r="B8902" s="21" t="s">
        <v>18128</v>
      </c>
      <c r="C8902" s="21" t="s">
        <v>22655</v>
      </c>
      <c r="D8902" s="22">
        <v>46038</v>
      </c>
      <c r="E8902" s="23" t="s">
        <v>22661</v>
      </c>
      <c r="F8902" s="24" t="s">
        <v>22657</v>
      </c>
      <c r="G8902" s="25">
        <v>6</v>
      </c>
      <c r="H8902" s="26"/>
      <c r="I8902" s="27"/>
    </row>
    <row r="8903" spans="1:9" ht="15.75" thickBot="1" x14ac:dyDescent="0.3">
      <c r="A8903" s="43" t="s">
        <v>91</v>
      </c>
      <c r="B8903" s="21" t="s">
        <v>92</v>
      </c>
      <c r="C8903" s="21" t="s">
        <v>22655</v>
      </c>
      <c r="D8903" s="22">
        <v>46042</v>
      </c>
      <c r="E8903" s="23" t="s">
        <v>22665</v>
      </c>
      <c r="F8903" s="24" t="s">
        <v>22657</v>
      </c>
      <c r="G8903" s="25">
        <v>40</v>
      </c>
      <c r="H8903" s="32">
        <v>40</v>
      </c>
      <c r="I8903" s="33">
        <v>80</v>
      </c>
    </row>
    <row r="8904" spans="1:9" ht="15.75" thickBot="1" x14ac:dyDescent="0.3">
      <c r="A8904" s="43" t="s">
        <v>69</v>
      </c>
      <c r="B8904" s="21" t="s">
        <v>70</v>
      </c>
      <c r="C8904" s="21" t="s">
        <v>22655</v>
      </c>
      <c r="D8904" s="22">
        <v>46042</v>
      </c>
      <c r="E8904" s="23" t="s">
        <v>22662</v>
      </c>
      <c r="F8904" s="24" t="s">
        <v>22657</v>
      </c>
      <c r="G8904" s="25">
        <v>40</v>
      </c>
      <c r="H8904" s="34">
        <v>40</v>
      </c>
      <c r="I8904" s="35">
        <v>60</v>
      </c>
    </row>
    <row r="8905" spans="1:9" ht="15.75" thickBot="1" x14ac:dyDescent="0.3">
      <c r="A8905" s="43" t="s">
        <v>103</v>
      </c>
      <c r="B8905" s="21" t="s">
        <v>104</v>
      </c>
      <c r="C8905" s="21" t="s">
        <v>22655</v>
      </c>
      <c r="D8905" s="22">
        <v>46042</v>
      </c>
      <c r="E8905" s="23" t="s">
        <v>22662</v>
      </c>
      <c r="F8905" s="24" t="s">
        <v>22657</v>
      </c>
      <c r="G8905" s="25">
        <v>40</v>
      </c>
      <c r="H8905" s="32">
        <v>40</v>
      </c>
      <c r="I8905" s="33">
        <v>60</v>
      </c>
    </row>
    <row r="8906" spans="1:9" ht="15.75" thickBot="1" x14ac:dyDescent="0.3">
      <c r="A8906" s="43" t="s">
        <v>18129</v>
      </c>
      <c r="B8906" s="21" t="s">
        <v>18130</v>
      </c>
      <c r="C8906" s="21" t="s">
        <v>22655</v>
      </c>
      <c r="D8906" s="22">
        <v>46042</v>
      </c>
      <c r="E8906" s="23" t="s">
        <v>22661</v>
      </c>
      <c r="F8906" s="24" t="s">
        <v>22657</v>
      </c>
      <c r="G8906" s="25">
        <v>26</v>
      </c>
      <c r="H8906" s="26"/>
      <c r="I8906" s="27"/>
    </row>
    <row r="8907" spans="1:9" ht="15.75" thickBot="1" x14ac:dyDescent="0.3">
      <c r="A8907" s="43" t="s">
        <v>18131</v>
      </c>
      <c r="B8907" s="21" t="s">
        <v>18132</v>
      </c>
      <c r="C8907" s="21" t="s">
        <v>22655</v>
      </c>
      <c r="D8907" s="22">
        <v>46042</v>
      </c>
      <c r="E8907" s="23" t="s">
        <v>22661</v>
      </c>
      <c r="F8907" s="24" t="s">
        <v>22657</v>
      </c>
      <c r="G8907" s="25">
        <v>7</v>
      </c>
      <c r="H8907" s="29"/>
      <c r="I8907" s="30"/>
    </row>
    <row r="8908" spans="1:9" ht="15.75" thickBot="1" x14ac:dyDescent="0.3">
      <c r="A8908" s="43" t="s">
        <v>291</v>
      </c>
      <c r="B8908" s="21" t="s">
        <v>292</v>
      </c>
      <c r="C8908" s="21" t="s">
        <v>22655</v>
      </c>
      <c r="D8908" s="22">
        <v>46042</v>
      </c>
      <c r="E8908" s="23" t="s">
        <v>22665</v>
      </c>
      <c r="F8908" s="24" t="s">
        <v>22657</v>
      </c>
      <c r="G8908" s="25">
        <v>45</v>
      </c>
      <c r="H8908" s="26"/>
      <c r="I8908" s="27"/>
    </row>
    <row r="8909" spans="1:9" ht="15.75" thickBot="1" x14ac:dyDescent="0.3">
      <c r="A8909" s="43" t="s">
        <v>681</v>
      </c>
      <c r="B8909" s="21" t="s">
        <v>682</v>
      </c>
      <c r="C8909" s="21" t="s">
        <v>22655</v>
      </c>
      <c r="D8909" s="22">
        <v>46042</v>
      </c>
      <c r="E8909" s="23" t="s">
        <v>22656</v>
      </c>
      <c r="F8909" s="24" t="s">
        <v>22657</v>
      </c>
      <c r="G8909" s="25">
        <v>9</v>
      </c>
      <c r="H8909" s="29"/>
      <c r="I8909" s="30"/>
    </row>
    <row r="8910" spans="1:9" ht="15.75" thickBot="1" x14ac:dyDescent="0.3">
      <c r="A8910" s="43" t="s">
        <v>665</v>
      </c>
      <c r="B8910" s="21" t="s">
        <v>666</v>
      </c>
      <c r="C8910" s="21" t="s">
        <v>22655</v>
      </c>
      <c r="D8910" s="22">
        <v>46042</v>
      </c>
      <c r="E8910" s="23" t="s">
        <v>22665</v>
      </c>
      <c r="F8910" s="24" t="s">
        <v>22657</v>
      </c>
      <c r="G8910" s="25">
        <v>11</v>
      </c>
      <c r="H8910" s="26"/>
      <c r="I8910" s="27"/>
    </row>
    <row r="8911" spans="1:9" ht="15.75" thickBot="1" x14ac:dyDescent="0.3">
      <c r="A8911" s="43" t="s">
        <v>433</v>
      </c>
      <c r="B8911" s="21" t="s">
        <v>434</v>
      </c>
      <c r="C8911" s="21" t="s">
        <v>22655</v>
      </c>
      <c r="D8911" s="22">
        <v>46042</v>
      </c>
      <c r="E8911" s="23" t="s">
        <v>22661</v>
      </c>
      <c r="F8911" s="24" t="s">
        <v>22657</v>
      </c>
      <c r="G8911" s="25">
        <v>13</v>
      </c>
      <c r="H8911" s="29"/>
      <c r="I8911" s="30"/>
    </row>
    <row r="8912" spans="1:9" ht="15.75" thickBot="1" x14ac:dyDescent="0.3">
      <c r="A8912" s="43" t="s">
        <v>18133</v>
      </c>
      <c r="B8912" s="21" t="s">
        <v>18134</v>
      </c>
      <c r="C8912" s="21" t="s">
        <v>22655</v>
      </c>
      <c r="D8912" s="22">
        <v>46042</v>
      </c>
      <c r="E8912" s="23" t="s">
        <v>22656</v>
      </c>
      <c r="F8912" s="24" t="s">
        <v>22657</v>
      </c>
      <c r="G8912" s="25">
        <v>7</v>
      </c>
      <c r="H8912" s="26"/>
      <c r="I8912" s="27"/>
    </row>
    <row r="8913" spans="1:9" ht="15.75" thickBot="1" x14ac:dyDescent="0.3">
      <c r="A8913" s="43" t="s">
        <v>18135</v>
      </c>
      <c r="B8913" s="21" t="s">
        <v>18136</v>
      </c>
      <c r="C8913" s="21" t="s">
        <v>22655</v>
      </c>
      <c r="D8913" s="22">
        <v>46042</v>
      </c>
      <c r="E8913" s="23" t="s">
        <v>22661</v>
      </c>
      <c r="F8913" s="24" t="s">
        <v>22657</v>
      </c>
      <c r="G8913" s="25">
        <v>40</v>
      </c>
      <c r="H8913" s="32">
        <v>40</v>
      </c>
      <c r="I8913" s="33">
        <v>60</v>
      </c>
    </row>
    <row r="8914" spans="1:9" ht="15.75" thickBot="1" x14ac:dyDescent="0.3">
      <c r="A8914" s="43" t="s">
        <v>18137</v>
      </c>
      <c r="B8914" s="21" t="s">
        <v>18138</v>
      </c>
      <c r="C8914" s="21" t="s">
        <v>22655</v>
      </c>
      <c r="D8914" s="22">
        <v>46042</v>
      </c>
      <c r="E8914" s="23" t="s">
        <v>22661</v>
      </c>
      <c r="F8914" s="24" t="s">
        <v>22657</v>
      </c>
      <c r="G8914" s="25">
        <v>9</v>
      </c>
      <c r="H8914" s="26"/>
      <c r="I8914" s="27"/>
    </row>
    <row r="8915" spans="1:9" ht="15.75" thickBot="1" x14ac:dyDescent="0.3">
      <c r="A8915" s="43" t="s">
        <v>18139</v>
      </c>
      <c r="B8915" s="21" t="s">
        <v>18140</v>
      </c>
      <c r="C8915" s="21" t="s">
        <v>22655</v>
      </c>
      <c r="D8915" s="22">
        <v>46042</v>
      </c>
      <c r="E8915" s="23" t="s">
        <v>22661</v>
      </c>
      <c r="F8915" s="24" t="s">
        <v>22657</v>
      </c>
      <c r="G8915" s="25">
        <v>9</v>
      </c>
      <c r="H8915" s="29"/>
      <c r="I8915" s="30"/>
    </row>
    <row r="8916" spans="1:9" ht="15.75" thickBot="1" x14ac:dyDescent="0.3">
      <c r="A8916" s="43" t="s">
        <v>18141</v>
      </c>
      <c r="B8916" s="21" t="s">
        <v>18142</v>
      </c>
      <c r="C8916" s="21" t="s">
        <v>22655</v>
      </c>
      <c r="D8916" s="22">
        <v>46042</v>
      </c>
      <c r="E8916" s="23" t="s">
        <v>22661</v>
      </c>
      <c r="F8916" s="24" t="s">
        <v>22657</v>
      </c>
      <c r="G8916" s="25">
        <v>17</v>
      </c>
      <c r="H8916" s="26"/>
      <c r="I8916" s="27"/>
    </row>
    <row r="8917" spans="1:9" ht="15.75" thickBot="1" x14ac:dyDescent="0.3">
      <c r="A8917" s="43" t="s">
        <v>18143</v>
      </c>
      <c r="B8917" s="21" t="s">
        <v>18144</v>
      </c>
      <c r="C8917" s="21" t="s">
        <v>22655</v>
      </c>
      <c r="D8917" s="22">
        <v>46028</v>
      </c>
      <c r="E8917" s="23" t="s">
        <v>22656</v>
      </c>
      <c r="F8917" s="24" t="s">
        <v>22657</v>
      </c>
      <c r="G8917" s="25">
        <v>2</v>
      </c>
      <c r="H8917" s="29"/>
      <c r="I8917" s="30"/>
    </row>
    <row r="8918" spans="1:9" ht="15.75" thickBot="1" x14ac:dyDescent="0.3">
      <c r="A8918" s="43" t="s">
        <v>315</v>
      </c>
      <c r="B8918" s="21" t="s">
        <v>316</v>
      </c>
      <c r="C8918" s="21" t="s">
        <v>22655</v>
      </c>
      <c r="D8918" s="22">
        <v>46042</v>
      </c>
      <c r="E8918" s="23" t="s">
        <v>22665</v>
      </c>
      <c r="F8918" s="24" t="s">
        <v>22657</v>
      </c>
      <c r="G8918" s="25">
        <v>40</v>
      </c>
      <c r="H8918" s="34">
        <v>40</v>
      </c>
      <c r="I8918" s="35">
        <v>60</v>
      </c>
    </row>
    <row r="8919" spans="1:9" ht="15.75" thickBot="1" x14ac:dyDescent="0.3">
      <c r="A8919" s="43" t="s">
        <v>409</v>
      </c>
      <c r="B8919" s="21" t="s">
        <v>410</v>
      </c>
      <c r="C8919" s="21" t="s">
        <v>22655</v>
      </c>
      <c r="D8919" s="22">
        <v>46028</v>
      </c>
      <c r="E8919" s="23" t="s">
        <v>22656</v>
      </c>
      <c r="F8919" s="24" t="s">
        <v>22657</v>
      </c>
      <c r="G8919" s="25">
        <v>3</v>
      </c>
      <c r="H8919" s="29"/>
      <c r="I8919" s="30"/>
    </row>
    <row r="8920" spans="1:9" ht="15.75" thickBot="1" x14ac:dyDescent="0.3">
      <c r="A8920" s="43" t="s">
        <v>415</v>
      </c>
      <c r="B8920" s="21" t="s">
        <v>416</v>
      </c>
      <c r="C8920" s="21" t="s">
        <v>22655</v>
      </c>
      <c r="D8920" s="22">
        <v>46042</v>
      </c>
      <c r="E8920" s="23" t="s">
        <v>22661</v>
      </c>
      <c r="F8920" s="24" t="s">
        <v>22657</v>
      </c>
      <c r="G8920" s="25">
        <v>22</v>
      </c>
      <c r="H8920" s="26"/>
      <c r="I8920" s="27"/>
    </row>
    <row r="8921" spans="1:9" ht="15.75" thickBot="1" x14ac:dyDescent="0.3">
      <c r="A8921" s="43" t="s">
        <v>257</v>
      </c>
      <c r="B8921" s="21" t="s">
        <v>258</v>
      </c>
      <c r="C8921" s="21" t="s">
        <v>22655</v>
      </c>
      <c r="D8921" s="22">
        <v>46028</v>
      </c>
      <c r="E8921" s="23" t="s">
        <v>22661</v>
      </c>
      <c r="F8921" s="24" t="s">
        <v>22657</v>
      </c>
      <c r="G8921" s="25">
        <v>16</v>
      </c>
      <c r="H8921" s="32">
        <v>16</v>
      </c>
      <c r="I8921" s="33">
        <v>24</v>
      </c>
    </row>
    <row r="8922" spans="1:9" ht="15.75" thickBot="1" x14ac:dyDescent="0.3">
      <c r="A8922" s="43" t="s">
        <v>323</v>
      </c>
      <c r="B8922" s="21" t="s">
        <v>324</v>
      </c>
      <c r="C8922" s="21" t="s">
        <v>22655</v>
      </c>
      <c r="D8922" s="22">
        <v>46030</v>
      </c>
      <c r="E8922" s="23" t="s">
        <v>22656</v>
      </c>
      <c r="F8922" s="24" t="s">
        <v>22657</v>
      </c>
      <c r="G8922" s="25">
        <v>8</v>
      </c>
      <c r="H8922" s="26"/>
      <c r="I8922" s="27"/>
    </row>
    <row r="8923" spans="1:9" ht="15.75" thickBot="1" x14ac:dyDescent="0.3">
      <c r="A8923" s="43" t="s">
        <v>367</v>
      </c>
      <c r="B8923" s="21" t="s">
        <v>368</v>
      </c>
      <c r="C8923" s="21" t="s">
        <v>22655</v>
      </c>
      <c r="D8923" s="22">
        <v>46042</v>
      </c>
      <c r="E8923" s="23" t="s">
        <v>22661</v>
      </c>
      <c r="F8923" s="24" t="s">
        <v>22657</v>
      </c>
      <c r="G8923" s="25">
        <v>23</v>
      </c>
      <c r="H8923" s="29"/>
      <c r="I8923" s="30"/>
    </row>
    <row r="8924" spans="1:9" ht="15.75" thickBot="1" x14ac:dyDescent="0.3">
      <c r="A8924" s="43" t="s">
        <v>829</v>
      </c>
      <c r="B8924" s="21" t="s">
        <v>830</v>
      </c>
      <c r="C8924" s="21" t="s">
        <v>22655</v>
      </c>
      <c r="D8924" s="22">
        <v>46042</v>
      </c>
      <c r="E8924" s="23" t="s">
        <v>22656</v>
      </c>
      <c r="F8924" s="24" t="s">
        <v>22657</v>
      </c>
      <c r="G8924" s="25">
        <v>21</v>
      </c>
      <c r="H8924" s="26"/>
      <c r="I8924" s="27"/>
    </row>
    <row r="8925" spans="1:9" ht="15.75" thickBot="1" x14ac:dyDescent="0.3">
      <c r="A8925" s="43" t="s">
        <v>18147</v>
      </c>
      <c r="B8925" s="21" t="s">
        <v>18148</v>
      </c>
      <c r="C8925" s="21" t="s">
        <v>22655</v>
      </c>
      <c r="D8925" s="22">
        <v>46042</v>
      </c>
      <c r="E8925" s="23" t="s">
        <v>22658</v>
      </c>
      <c r="F8925" s="24" t="s">
        <v>22657</v>
      </c>
      <c r="G8925" s="25">
        <v>7</v>
      </c>
      <c r="H8925" s="29"/>
      <c r="I8925" s="30"/>
    </row>
    <row r="8926" spans="1:9" ht="15.75" thickBot="1" x14ac:dyDescent="0.3">
      <c r="A8926" s="43" t="s">
        <v>18149</v>
      </c>
      <c r="B8926" s="21" t="s">
        <v>18150</v>
      </c>
      <c r="C8926" s="21" t="s">
        <v>22655</v>
      </c>
      <c r="D8926" s="22">
        <v>46032</v>
      </c>
      <c r="E8926" s="23" t="s">
        <v>22658</v>
      </c>
      <c r="F8926" s="24" t="s">
        <v>22657</v>
      </c>
      <c r="G8926" s="25">
        <v>4</v>
      </c>
      <c r="H8926" s="26"/>
      <c r="I8926" s="27"/>
    </row>
    <row r="8927" spans="1:9" ht="15.75" thickBot="1" x14ac:dyDescent="0.3">
      <c r="A8927" s="43" t="s">
        <v>18151</v>
      </c>
      <c r="B8927" s="21" t="s">
        <v>18152</v>
      </c>
      <c r="C8927" s="21" t="s">
        <v>22655</v>
      </c>
      <c r="D8927" s="22">
        <v>46032</v>
      </c>
      <c r="E8927" s="23" t="s">
        <v>22658</v>
      </c>
      <c r="F8927" s="24" t="s">
        <v>22657</v>
      </c>
      <c r="G8927" s="25">
        <v>4</v>
      </c>
      <c r="H8927" s="29"/>
      <c r="I8927" s="30"/>
    </row>
    <row r="8928" spans="1:9" ht="15.75" thickBot="1" x14ac:dyDescent="0.3">
      <c r="A8928" s="43" t="s">
        <v>18153</v>
      </c>
      <c r="B8928" s="21" t="s">
        <v>18154</v>
      </c>
      <c r="C8928" s="21" t="s">
        <v>22655</v>
      </c>
      <c r="D8928" s="22">
        <v>46032</v>
      </c>
      <c r="E8928" s="23" t="s">
        <v>22658</v>
      </c>
      <c r="F8928" s="24" t="s">
        <v>22657</v>
      </c>
      <c r="G8928" s="25">
        <v>4</v>
      </c>
      <c r="H8928" s="26"/>
      <c r="I8928" s="27"/>
    </row>
    <row r="8929" spans="1:9" ht="15.75" thickBot="1" x14ac:dyDescent="0.3">
      <c r="A8929" s="43" t="s">
        <v>18155</v>
      </c>
      <c r="B8929" s="21" t="s">
        <v>18156</v>
      </c>
      <c r="C8929" s="21" t="s">
        <v>22655</v>
      </c>
      <c r="D8929" s="22">
        <v>46032</v>
      </c>
      <c r="E8929" s="23" t="s">
        <v>22658</v>
      </c>
      <c r="F8929" s="24" t="s">
        <v>22657</v>
      </c>
      <c r="G8929" s="25">
        <v>4</v>
      </c>
      <c r="H8929" s="29"/>
      <c r="I8929" s="30"/>
    </row>
    <row r="8930" spans="1:9" ht="15.75" thickBot="1" x14ac:dyDescent="0.3">
      <c r="A8930" s="43" t="s">
        <v>18157</v>
      </c>
      <c r="B8930" s="21" t="s">
        <v>18158</v>
      </c>
      <c r="C8930" s="21" t="s">
        <v>22655</v>
      </c>
      <c r="D8930" s="22">
        <v>46042</v>
      </c>
      <c r="E8930" s="23" t="s">
        <v>22658</v>
      </c>
      <c r="F8930" s="24" t="s">
        <v>22657</v>
      </c>
      <c r="G8930" s="25">
        <v>7</v>
      </c>
      <c r="H8930" s="26"/>
      <c r="I8930" s="27"/>
    </row>
    <row r="8931" spans="1:9" ht="15.75" thickBot="1" x14ac:dyDescent="0.3">
      <c r="A8931" s="43" t="s">
        <v>18159</v>
      </c>
      <c r="B8931" s="21" t="s">
        <v>18160</v>
      </c>
      <c r="C8931" s="21" t="s">
        <v>22655</v>
      </c>
      <c r="D8931" s="22">
        <v>46042</v>
      </c>
      <c r="E8931" s="23" t="s">
        <v>22656</v>
      </c>
      <c r="F8931" s="24" t="s">
        <v>22657</v>
      </c>
      <c r="G8931" s="25">
        <v>7</v>
      </c>
      <c r="H8931" s="29"/>
      <c r="I8931" s="30"/>
    </row>
    <row r="8932" spans="1:9" ht="15.75" thickBot="1" x14ac:dyDescent="0.3">
      <c r="A8932" s="43" t="s">
        <v>18161</v>
      </c>
      <c r="B8932" s="21" t="s">
        <v>18162</v>
      </c>
      <c r="C8932" s="21" t="s">
        <v>22655</v>
      </c>
      <c r="D8932" s="22">
        <v>46032</v>
      </c>
      <c r="E8932" s="23" t="s">
        <v>22658</v>
      </c>
      <c r="F8932" s="24" t="s">
        <v>22657</v>
      </c>
      <c r="G8932" s="25">
        <v>4</v>
      </c>
      <c r="H8932" s="26"/>
      <c r="I8932" s="27"/>
    </row>
    <row r="8933" spans="1:9" ht="15.75" thickBot="1" x14ac:dyDescent="0.3">
      <c r="A8933" s="43" t="s">
        <v>18163</v>
      </c>
      <c r="B8933" s="21" t="s">
        <v>18164</v>
      </c>
      <c r="C8933" s="21" t="s">
        <v>22663</v>
      </c>
      <c r="D8933" s="31">
        <v>1</v>
      </c>
      <c r="E8933" s="23" t="s">
        <v>22658</v>
      </c>
      <c r="F8933" s="24" t="s">
        <v>22657</v>
      </c>
      <c r="G8933" s="25">
        <v>2</v>
      </c>
      <c r="H8933" s="29"/>
      <c r="I8933" s="30"/>
    </row>
    <row r="8934" spans="1:9" ht="15.75" thickBot="1" x14ac:dyDescent="0.3">
      <c r="A8934" s="43" t="s">
        <v>18165</v>
      </c>
      <c r="B8934" s="21" t="s">
        <v>18166</v>
      </c>
      <c r="C8934" s="21" t="s">
        <v>22682</v>
      </c>
      <c r="D8934" s="22">
        <v>46034</v>
      </c>
      <c r="E8934" s="23" t="s">
        <v>22658</v>
      </c>
      <c r="F8934" s="24" t="s">
        <v>22657</v>
      </c>
      <c r="G8934" s="25">
        <v>4</v>
      </c>
      <c r="H8934" s="26"/>
      <c r="I8934" s="27"/>
    </row>
    <row r="8935" spans="1:9" ht="15.75" thickBot="1" x14ac:dyDescent="0.3">
      <c r="A8935" s="43" t="s">
        <v>18167</v>
      </c>
      <c r="B8935" s="21" t="s">
        <v>18168</v>
      </c>
      <c r="C8935" s="21" t="s">
        <v>22682</v>
      </c>
      <c r="D8935" s="22">
        <v>46034</v>
      </c>
      <c r="E8935" s="23" t="s">
        <v>22658</v>
      </c>
      <c r="F8935" s="24" t="s">
        <v>22657</v>
      </c>
      <c r="G8935" s="25">
        <v>4</v>
      </c>
      <c r="H8935" s="29"/>
      <c r="I8935" s="30"/>
    </row>
    <row r="8936" spans="1:9" ht="15.75" thickBot="1" x14ac:dyDescent="0.3">
      <c r="A8936" s="43" t="s">
        <v>557</v>
      </c>
      <c r="B8936" s="21" t="s">
        <v>558</v>
      </c>
      <c r="C8936" s="21" t="s">
        <v>22655</v>
      </c>
      <c r="D8936" s="22">
        <v>46034</v>
      </c>
      <c r="E8936" s="23" t="s">
        <v>22665</v>
      </c>
      <c r="F8936" s="24" t="s">
        <v>22657</v>
      </c>
      <c r="G8936" s="25">
        <v>120</v>
      </c>
      <c r="H8936" s="34">
        <v>120</v>
      </c>
      <c r="I8936" s="35">
        <v>240</v>
      </c>
    </row>
    <row r="8937" spans="1:9" ht="15.75" thickBot="1" x14ac:dyDescent="0.3">
      <c r="A8937" s="43" t="s">
        <v>22629</v>
      </c>
      <c r="B8937" s="21" t="s">
        <v>22630</v>
      </c>
      <c r="C8937" s="21" t="s">
        <v>22655</v>
      </c>
      <c r="D8937" s="22">
        <v>46042</v>
      </c>
      <c r="E8937" s="23" t="s">
        <v>22658</v>
      </c>
      <c r="F8937" s="24" t="s">
        <v>22657</v>
      </c>
      <c r="G8937" s="25">
        <v>7</v>
      </c>
      <c r="H8937" s="29"/>
      <c r="I8937" s="30"/>
    </row>
    <row r="8938" spans="1:9" ht="15.75" thickBot="1" x14ac:dyDescent="0.3">
      <c r="A8938" s="43" t="s">
        <v>1297</v>
      </c>
      <c r="B8938" s="21" t="s">
        <v>1298</v>
      </c>
      <c r="C8938" s="21" t="s">
        <v>22655</v>
      </c>
      <c r="D8938" s="31" t="s">
        <v>22660</v>
      </c>
      <c r="E8938" s="23" t="s">
        <v>22662</v>
      </c>
      <c r="F8938" s="24" t="s">
        <v>22657</v>
      </c>
      <c r="G8938" s="25">
        <v>144</v>
      </c>
      <c r="H8938" s="34">
        <v>144</v>
      </c>
      <c r="I8938" s="35">
        <v>244</v>
      </c>
    </row>
    <row r="8939" spans="1:9" ht="15.75" thickBot="1" x14ac:dyDescent="0.3">
      <c r="A8939" s="43" t="s">
        <v>18169</v>
      </c>
      <c r="B8939" s="21" t="s">
        <v>18170</v>
      </c>
      <c r="C8939" s="21" t="s">
        <v>22655</v>
      </c>
      <c r="D8939" s="31" t="s">
        <v>22660</v>
      </c>
      <c r="E8939" s="23" t="s">
        <v>22661</v>
      </c>
      <c r="F8939" s="24" t="s">
        <v>22657</v>
      </c>
      <c r="G8939" s="25">
        <v>8</v>
      </c>
      <c r="H8939" s="29"/>
      <c r="I8939" s="30"/>
    </row>
    <row r="8940" spans="1:9" ht="15.75" thickBot="1" x14ac:dyDescent="0.3">
      <c r="A8940" s="43" t="s">
        <v>18171</v>
      </c>
      <c r="B8940" s="21" t="s">
        <v>18172</v>
      </c>
      <c r="C8940" s="21" t="s">
        <v>22655</v>
      </c>
      <c r="D8940" s="22">
        <v>46034</v>
      </c>
      <c r="E8940" s="23" t="s">
        <v>22658</v>
      </c>
      <c r="F8940" s="24" t="s">
        <v>22657</v>
      </c>
      <c r="G8940" s="25">
        <v>1</v>
      </c>
      <c r="H8940" s="26"/>
      <c r="I8940" s="27"/>
    </row>
    <row r="8941" spans="1:9" ht="15.75" thickBot="1" x14ac:dyDescent="0.3">
      <c r="A8941" s="43" t="s">
        <v>18173</v>
      </c>
      <c r="B8941" s="21" t="s">
        <v>18174</v>
      </c>
      <c r="C8941" s="21" t="s">
        <v>22655</v>
      </c>
      <c r="D8941" s="22">
        <v>46034</v>
      </c>
      <c r="E8941" s="23" t="s">
        <v>22658</v>
      </c>
      <c r="F8941" s="24" t="s">
        <v>22657</v>
      </c>
      <c r="G8941" s="25">
        <v>1</v>
      </c>
      <c r="H8941" s="29"/>
      <c r="I8941" s="30"/>
    </row>
    <row r="8942" spans="1:9" ht="15.75" thickBot="1" x14ac:dyDescent="0.3">
      <c r="A8942" s="43" t="s">
        <v>18175</v>
      </c>
      <c r="B8942" s="21" t="s">
        <v>18176</v>
      </c>
      <c r="C8942" s="21" t="s">
        <v>22655</v>
      </c>
      <c r="D8942" s="22">
        <v>46034</v>
      </c>
      <c r="E8942" s="23" t="s">
        <v>22658</v>
      </c>
      <c r="F8942" s="24" t="s">
        <v>22657</v>
      </c>
      <c r="G8942" s="25">
        <v>1</v>
      </c>
      <c r="H8942" s="26"/>
      <c r="I8942" s="27"/>
    </row>
    <row r="8943" spans="1:9" ht="15.75" thickBot="1" x14ac:dyDescent="0.3">
      <c r="A8943" s="43" t="s">
        <v>18177</v>
      </c>
      <c r="B8943" s="21" t="s">
        <v>18178</v>
      </c>
      <c r="C8943" s="21" t="s">
        <v>22655</v>
      </c>
      <c r="D8943" s="22">
        <v>46034</v>
      </c>
      <c r="E8943" s="23" t="s">
        <v>22658</v>
      </c>
      <c r="F8943" s="24" t="s">
        <v>22657</v>
      </c>
      <c r="G8943" s="25">
        <v>1</v>
      </c>
      <c r="H8943" s="29"/>
      <c r="I8943" s="30"/>
    </row>
    <row r="8944" spans="1:9" ht="15.75" thickBot="1" x14ac:dyDescent="0.3">
      <c r="A8944" s="43" t="s">
        <v>18179</v>
      </c>
      <c r="B8944" s="21" t="s">
        <v>18180</v>
      </c>
      <c r="C8944" s="21" t="s">
        <v>22655</v>
      </c>
      <c r="D8944" s="22">
        <v>46034</v>
      </c>
      <c r="E8944" s="23" t="s">
        <v>22658</v>
      </c>
      <c r="F8944" s="24" t="s">
        <v>22657</v>
      </c>
      <c r="G8944" s="25">
        <v>1</v>
      </c>
      <c r="H8944" s="26"/>
      <c r="I8944" s="27"/>
    </row>
    <row r="8945" spans="1:9" ht="15.75" thickBot="1" x14ac:dyDescent="0.3">
      <c r="A8945" s="43" t="s">
        <v>18181</v>
      </c>
      <c r="B8945" s="21" t="s">
        <v>18182</v>
      </c>
      <c r="C8945" s="21" t="s">
        <v>22655</v>
      </c>
      <c r="D8945" s="22">
        <v>46034</v>
      </c>
      <c r="E8945" s="23" t="s">
        <v>22658</v>
      </c>
      <c r="F8945" s="24" t="s">
        <v>22657</v>
      </c>
      <c r="G8945" s="25">
        <v>1</v>
      </c>
      <c r="H8945" s="29"/>
      <c r="I8945" s="30"/>
    </row>
    <row r="8946" spans="1:9" ht="15.75" thickBot="1" x14ac:dyDescent="0.3">
      <c r="A8946" s="43" t="s">
        <v>18183</v>
      </c>
      <c r="B8946" s="21" t="s">
        <v>18184</v>
      </c>
      <c r="C8946" s="21" t="s">
        <v>22655</v>
      </c>
      <c r="D8946" s="22">
        <v>46034</v>
      </c>
      <c r="E8946" s="23" t="s">
        <v>22656</v>
      </c>
      <c r="F8946" s="24" t="s">
        <v>22657</v>
      </c>
      <c r="G8946" s="25">
        <v>2</v>
      </c>
      <c r="H8946" s="26"/>
      <c r="I8946" s="27"/>
    </row>
    <row r="8947" spans="1:9" ht="15.75" thickBot="1" x14ac:dyDescent="0.3">
      <c r="A8947" s="43" t="s">
        <v>18191</v>
      </c>
      <c r="B8947" s="21" t="s">
        <v>18192</v>
      </c>
      <c r="C8947" s="21" t="s">
        <v>22655</v>
      </c>
      <c r="D8947" s="22">
        <v>46034</v>
      </c>
      <c r="E8947" s="23" t="s">
        <v>22658</v>
      </c>
      <c r="F8947" s="24" t="s">
        <v>22657</v>
      </c>
      <c r="G8947" s="25">
        <v>1</v>
      </c>
      <c r="H8947" s="29"/>
      <c r="I8947" s="30"/>
    </row>
    <row r="8948" spans="1:9" ht="15.75" thickBot="1" x14ac:dyDescent="0.3">
      <c r="A8948" s="43" t="s">
        <v>18193</v>
      </c>
      <c r="B8948" s="21" t="s">
        <v>18194</v>
      </c>
      <c r="C8948" s="21" t="s">
        <v>22655</v>
      </c>
      <c r="D8948" s="31" t="s">
        <v>22688</v>
      </c>
      <c r="E8948" s="23" t="s">
        <v>22658</v>
      </c>
      <c r="F8948" s="24" t="s">
        <v>22657</v>
      </c>
      <c r="G8948" s="25">
        <v>1</v>
      </c>
      <c r="H8948" s="26"/>
      <c r="I8948" s="27"/>
    </row>
    <row r="8949" spans="1:9" ht="15.75" thickBot="1" x14ac:dyDescent="0.3">
      <c r="A8949" s="43" t="s">
        <v>18195</v>
      </c>
      <c r="B8949" s="21" t="s">
        <v>18196</v>
      </c>
      <c r="C8949" s="21" t="s">
        <v>22655</v>
      </c>
      <c r="D8949" s="22">
        <v>46046</v>
      </c>
      <c r="E8949" s="23" t="s">
        <v>22658</v>
      </c>
      <c r="F8949" s="24" t="s">
        <v>22657</v>
      </c>
      <c r="G8949" s="25">
        <v>1</v>
      </c>
      <c r="H8949" s="29"/>
      <c r="I8949" s="30"/>
    </row>
    <row r="8950" spans="1:9" ht="15.75" thickBot="1" x14ac:dyDescent="0.3">
      <c r="A8950" s="43" t="s">
        <v>18197</v>
      </c>
      <c r="B8950" s="21" t="s">
        <v>18198</v>
      </c>
      <c r="C8950" s="21" t="s">
        <v>22655</v>
      </c>
      <c r="D8950" s="22">
        <v>46034</v>
      </c>
      <c r="E8950" s="23" t="s">
        <v>22658</v>
      </c>
      <c r="F8950" s="24" t="s">
        <v>22657</v>
      </c>
      <c r="G8950" s="25">
        <v>1</v>
      </c>
      <c r="H8950" s="26"/>
      <c r="I8950" s="27"/>
    </row>
    <row r="8951" spans="1:9" ht="15.75" thickBot="1" x14ac:dyDescent="0.3">
      <c r="A8951" s="43" t="s">
        <v>18199</v>
      </c>
      <c r="B8951" s="21" t="s">
        <v>18200</v>
      </c>
      <c r="C8951" s="21" t="s">
        <v>22655</v>
      </c>
      <c r="D8951" s="22">
        <v>46034</v>
      </c>
      <c r="E8951" s="23" t="s">
        <v>22658</v>
      </c>
      <c r="F8951" s="24" t="s">
        <v>22657</v>
      </c>
      <c r="G8951" s="25">
        <v>1</v>
      </c>
      <c r="H8951" s="29"/>
      <c r="I8951" s="30"/>
    </row>
    <row r="8952" spans="1:9" ht="15.75" thickBot="1" x14ac:dyDescent="0.3">
      <c r="A8952" s="43" t="s">
        <v>18201</v>
      </c>
      <c r="B8952" s="21" t="s">
        <v>18202</v>
      </c>
      <c r="C8952" s="21" t="s">
        <v>22655</v>
      </c>
      <c r="D8952" s="22">
        <v>46034</v>
      </c>
      <c r="E8952" s="23" t="s">
        <v>22658</v>
      </c>
      <c r="F8952" s="24" t="s">
        <v>22657</v>
      </c>
      <c r="G8952" s="25">
        <v>1</v>
      </c>
      <c r="H8952" s="26"/>
      <c r="I8952" s="27"/>
    </row>
    <row r="8953" spans="1:9" ht="15.75" thickBot="1" x14ac:dyDescent="0.3">
      <c r="A8953" s="43" t="s">
        <v>18203</v>
      </c>
      <c r="B8953" s="21" t="s">
        <v>18204</v>
      </c>
      <c r="C8953" s="21" t="s">
        <v>22655</v>
      </c>
      <c r="D8953" s="22">
        <v>46046</v>
      </c>
      <c r="E8953" s="23" t="s">
        <v>22658</v>
      </c>
      <c r="F8953" s="24" t="s">
        <v>22657</v>
      </c>
      <c r="G8953" s="25">
        <v>1</v>
      </c>
      <c r="H8953" s="29"/>
      <c r="I8953" s="30"/>
    </row>
    <row r="8954" spans="1:9" ht="15.75" thickBot="1" x14ac:dyDescent="0.3">
      <c r="A8954" s="43" t="s">
        <v>18205</v>
      </c>
      <c r="B8954" s="21" t="s">
        <v>18206</v>
      </c>
      <c r="C8954" s="21" t="s">
        <v>22655</v>
      </c>
      <c r="D8954" s="22">
        <v>46034</v>
      </c>
      <c r="E8954" s="23" t="s">
        <v>22658</v>
      </c>
      <c r="F8954" s="24" t="s">
        <v>22657</v>
      </c>
      <c r="G8954" s="25">
        <v>1</v>
      </c>
      <c r="H8954" s="26"/>
      <c r="I8954" s="27"/>
    </row>
    <row r="8955" spans="1:9" ht="15.75" thickBot="1" x14ac:dyDescent="0.3">
      <c r="A8955" s="43" t="s">
        <v>18207</v>
      </c>
      <c r="B8955" s="21" t="s">
        <v>18208</v>
      </c>
      <c r="C8955" s="21" t="s">
        <v>22655</v>
      </c>
      <c r="D8955" s="22">
        <v>46034</v>
      </c>
      <c r="E8955" s="23" t="s">
        <v>22658</v>
      </c>
      <c r="F8955" s="24" t="s">
        <v>22657</v>
      </c>
      <c r="G8955" s="25">
        <v>1</v>
      </c>
      <c r="H8955" s="29"/>
      <c r="I8955" s="30"/>
    </row>
    <row r="8956" spans="1:9" ht="15.75" thickBot="1" x14ac:dyDescent="0.3">
      <c r="A8956" s="43" t="s">
        <v>18209</v>
      </c>
      <c r="B8956" s="21" t="s">
        <v>18210</v>
      </c>
      <c r="C8956" s="21" t="s">
        <v>22655</v>
      </c>
      <c r="D8956" s="22">
        <v>46034</v>
      </c>
      <c r="E8956" s="23" t="s">
        <v>22658</v>
      </c>
      <c r="F8956" s="24" t="s">
        <v>22657</v>
      </c>
      <c r="G8956" s="25">
        <v>1</v>
      </c>
      <c r="H8956" s="26"/>
      <c r="I8956" s="27"/>
    </row>
    <row r="8957" spans="1:9" ht="15.75" thickBot="1" x14ac:dyDescent="0.3">
      <c r="A8957" s="43" t="s">
        <v>18211</v>
      </c>
      <c r="B8957" s="21" t="s">
        <v>18212</v>
      </c>
      <c r="C8957" s="21" t="s">
        <v>22655</v>
      </c>
      <c r="D8957" s="22">
        <v>46034</v>
      </c>
      <c r="E8957" s="23" t="s">
        <v>22658</v>
      </c>
      <c r="F8957" s="24" t="s">
        <v>22657</v>
      </c>
      <c r="G8957" s="25">
        <v>1</v>
      </c>
      <c r="H8957" s="29"/>
      <c r="I8957" s="30"/>
    </row>
    <row r="8958" spans="1:9" ht="15.75" thickBot="1" x14ac:dyDescent="0.3">
      <c r="A8958" s="43" t="s">
        <v>307</v>
      </c>
      <c r="B8958" s="21" t="s">
        <v>308</v>
      </c>
      <c r="C8958" s="21" t="s">
        <v>22655</v>
      </c>
      <c r="D8958" s="31" t="s">
        <v>22688</v>
      </c>
      <c r="E8958" s="23" t="s">
        <v>22656</v>
      </c>
      <c r="F8958" s="24" t="s">
        <v>22657</v>
      </c>
      <c r="G8958" s="25">
        <v>8</v>
      </c>
      <c r="H8958" s="26"/>
      <c r="I8958" s="27"/>
    </row>
    <row r="8959" spans="1:9" ht="15.75" thickBot="1" x14ac:dyDescent="0.3">
      <c r="A8959" s="43" t="s">
        <v>18213</v>
      </c>
      <c r="B8959" s="21" t="s">
        <v>18214</v>
      </c>
      <c r="C8959" s="21" t="s">
        <v>22655</v>
      </c>
      <c r="D8959" s="22">
        <v>46034</v>
      </c>
      <c r="E8959" s="23" t="s">
        <v>22658</v>
      </c>
      <c r="F8959" s="24" t="s">
        <v>22657</v>
      </c>
      <c r="G8959" s="25">
        <v>1</v>
      </c>
      <c r="H8959" s="29"/>
      <c r="I8959" s="30"/>
    </row>
    <row r="8960" spans="1:9" ht="15.75" thickBot="1" x14ac:dyDescent="0.3">
      <c r="A8960" s="43" t="s">
        <v>18215</v>
      </c>
      <c r="B8960" s="21" t="s">
        <v>18216</v>
      </c>
      <c r="C8960" s="21" t="s">
        <v>22655</v>
      </c>
      <c r="D8960" s="22">
        <v>46034</v>
      </c>
      <c r="E8960" s="23" t="s">
        <v>22658</v>
      </c>
      <c r="F8960" s="24" t="s">
        <v>22657</v>
      </c>
      <c r="G8960" s="25">
        <v>1</v>
      </c>
      <c r="H8960" s="26"/>
      <c r="I8960" s="27"/>
    </row>
    <row r="8961" spans="1:9" ht="15.75" thickBot="1" x14ac:dyDescent="0.3">
      <c r="A8961" s="43" t="s">
        <v>18217</v>
      </c>
      <c r="B8961" s="21" t="s">
        <v>18218</v>
      </c>
      <c r="C8961" s="21" t="s">
        <v>22655</v>
      </c>
      <c r="D8961" s="22">
        <v>46034</v>
      </c>
      <c r="E8961" s="23" t="s">
        <v>22656</v>
      </c>
      <c r="F8961" s="24" t="s">
        <v>22657</v>
      </c>
      <c r="G8961" s="25">
        <v>2</v>
      </c>
      <c r="H8961" s="29"/>
      <c r="I8961" s="30"/>
    </row>
    <row r="8962" spans="1:9" ht="15.75" thickBot="1" x14ac:dyDescent="0.3">
      <c r="A8962" s="43" t="s">
        <v>18219</v>
      </c>
      <c r="B8962" s="21" t="s">
        <v>18220</v>
      </c>
      <c r="C8962" s="21" t="s">
        <v>22655</v>
      </c>
      <c r="D8962" s="22">
        <v>46034</v>
      </c>
      <c r="E8962" s="23" t="s">
        <v>22658</v>
      </c>
      <c r="F8962" s="24" t="s">
        <v>22657</v>
      </c>
      <c r="G8962" s="25">
        <v>1</v>
      </c>
      <c r="H8962" s="26"/>
      <c r="I8962" s="27"/>
    </row>
    <row r="8963" spans="1:9" ht="15.75" thickBot="1" x14ac:dyDescent="0.3">
      <c r="A8963" s="43" t="s">
        <v>18221</v>
      </c>
      <c r="B8963" s="21" t="s">
        <v>18222</v>
      </c>
      <c r="C8963" s="21" t="s">
        <v>22655</v>
      </c>
      <c r="D8963" s="22">
        <v>46028</v>
      </c>
      <c r="E8963" s="23" t="s">
        <v>22656</v>
      </c>
      <c r="F8963" s="24" t="s">
        <v>22657</v>
      </c>
      <c r="G8963" s="25">
        <v>2</v>
      </c>
      <c r="H8963" s="29"/>
      <c r="I8963" s="30"/>
    </row>
    <row r="8964" spans="1:9" ht="15.75" thickBot="1" x14ac:dyDescent="0.3">
      <c r="A8964" s="43" t="s">
        <v>18223</v>
      </c>
      <c r="B8964" s="21" t="s">
        <v>18224</v>
      </c>
      <c r="C8964" s="21" t="s">
        <v>22682</v>
      </c>
      <c r="D8964" s="22">
        <v>46034</v>
      </c>
      <c r="E8964" s="23" t="s">
        <v>22656</v>
      </c>
      <c r="F8964" s="24" t="s">
        <v>22657</v>
      </c>
      <c r="G8964" s="25">
        <v>4</v>
      </c>
      <c r="H8964" s="26"/>
      <c r="I8964" s="27"/>
    </row>
    <row r="8965" spans="1:9" ht="15.75" thickBot="1" x14ac:dyDescent="0.3">
      <c r="A8965" s="43" t="s">
        <v>18225</v>
      </c>
      <c r="B8965" s="21" t="s">
        <v>18226</v>
      </c>
      <c r="C8965" s="21" t="s">
        <v>22655</v>
      </c>
      <c r="D8965" s="22">
        <v>46034</v>
      </c>
      <c r="E8965" s="23" t="s">
        <v>22658</v>
      </c>
      <c r="F8965" s="24" t="s">
        <v>22657</v>
      </c>
      <c r="G8965" s="25">
        <v>1</v>
      </c>
      <c r="H8965" s="29"/>
      <c r="I8965" s="30"/>
    </row>
    <row r="8966" spans="1:9" ht="15.75" thickBot="1" x14ac:dyDescent="0.3">
      <c r="A8966" s="43" t="s">
        <v>18227</v>
      </c>
      <c r="B8966" s="21" t="s">
        <v>18228</v>
      </c>
      <c r="C8966" s="21" t="s">
        <v>22655</v>
      </c>
      <c r="D8966" s="31" t="s">
        <v>22732</v>
      </c>
      <c r="E8966" s="23" t="s">
        <v>22656</v>
      </c>
      <c r="F8966" s="24" t="s">
        <v>22657</v>
      </c>
      <c r="G8966" s="25">
        <v>27</v>
      </c>
      <c r="H8966" s="26"/>
      <c r="I8966" s="27"/>
    </row>
    <row r="8967" spans="1:9" ht="15.75" thickBot="1" x14ac:dyDescent="0.3">
      <c r="A8967" s="43" t="s">
        <v>18229</v>
      </c>
      <c r="B8967" s="21" t="s">
        <v>18230</v>
      </c>
      <c r="C8967" s="21" t="s">
        <v>22655</v>
      </c>
      <c r="D8967" s="22">
        <v>46042</v>
      </c>
      <c r="E8967" s="23" t="s">
        <v>22656</v>
      </c>
      <c r="F8967" s="24" t="s">
        <v>22657</v>
      </c>
      <c r="G8967" s="25">
        <v>7</v>
      </c>
      <c r="H8967" s="29"/>
      <c r="I8967" s="30"/>
    </row>
    <row r="8968" spans="1:9" ht="15.75" thickBot="1" x14ac:dyDescent="0.3">
      <c r="A8968" s="43" t="s">
        <v>18231</v>
      </c>
      <c r="B8968" s="21" t="s">
        <v>18232</v>
      </c>
      <c r="C8968" s="21" t="s">
        <v>22655</v>
      </c>
      <c r="D8968" s="22">
        <v>46042</v>
      </c>
      <c r="E8968" s="23" t="s">
        <v>22656</v>
      </c>
      <c r="F8968" s="24" t="s">
        <v>22657</v>
      </c>
      <c r="G8968" s="25">
        <v>7</v>
      </c>
      <c r="H8968" s="26"/>
      <c r="I8968" s="27"/>
    </row>
    <row r="8969" spans="1:9" ht="15.75" thickBot="1" x14ac:dyDescent="0.3">
      <c r="A8969" s="43" t="s">
        <v>18233</v>
      </c>
      <c r="B8969" s="21" t="s">
        <v>18234</v>
      </c>
      <c r="C8969" s="21" t="s">
        <v>22655</v>
      </c>
      <c r="D8969" s="22">
        <v>46034</v>
      </c>
      <c r="E8969" s="23" t="s">
        <v>22658</v>
      </c>
      <c r="F8969" s="24" t="s">
        <v>22657</v>
      </c>
      <c r="G8969" s="25">
        <v>4</v>
      </c>
      <c r="H8969" s="29"/>
      <c r="I8969" s="30"/>
    </row>
    <row r="8970" spans="1:9" ht="15.75" thickBot="1" x14ac:dyDescent="0.3">
      <c r="A8970" s="43" t="s">
        <v>18235</v>
      </c>
      <c r="B8970" s="21" t="s">
        <v>18236</v>
      </c>
      <c r="C8970" s="21" t="s">
        <v>22655</v>
      </c>
      <c r="D8970" s="22">
        <v>46042</v>
      </c>
      <c r="E8970" s="23" t="s">
        <v>22656</v>
      </c>
      <c r="F8970" s="24" t="s">
        <v>22657</v>
      </c>
      <c r="G8970" s="25">
        <v>7</v>
      </c>
      <c r="H8970" s="26"/>
      <c r="I8970" s="27"/>
    </row>
    <row r="8971" spans="1:9" ht="15.75" thickBot="1" x14ac:dyDescent="0.3">
      <c r="A8971" s="43" t="s">
        <v>18237</v>
      </c>
      <c r="B8971" s="21" t="s">
        <v>18238</v>
      </c>
      <c r="C8971" s="21" t="s">
        <v>22663</v>
      </c>
      <c r="D8971" s="31">
        <v>1</v>
      </c>
      <c r="E8971" s="23" t="s">
        <v>22658</v>
      </c>
      <c r="F8971" s="24" t="s">
        <v>22657</v>
      </c>
      <c r="G8971" s="25">
        <v>1</v>
      </c>
      <c r="H8971" s="29"/>
      <c r="I8971" s="30"/>
    </row>
    <row r="8972" spans="1:9" ht="15.75" thickBot="1" x14ac:dyDescent="0.3">
      <c r="A8972" s="43" t="s">
        <v>18239</v>
      </c>
      <c r="B8972" s="21" t="s">
        <v>18240</v>
      </c>
      <c r="C8972" s="21" t="s">
        <v>22682</v>
      </c>
      <c r="D8972" s="22">
        <v>46034</v>
      </c>
      <c r="E8972" s="23" t="s">
        <v>22658</v>
      </c>
      <c r="F8972" s="24" t="s">
        <v>22657</v>
      </c>
      <c r="G8972" s="25">
        <v>4</v>
      </c>
      <c r="H8972" s="26"/>
      <c r="I8972" s="27"/>
    </row>
    <row r="8973" spans="1:9" ht="15.75" thickBot="1" x14ac:dyDescent="0.3">
      <c r="A8973" s="43" t="s">
        <v>18241</v>
      </c>
      <c r="B8973" s="21" t="s">
        <v>18242</v>
      </c>
      <c r="C8973" s="21" t="s">
        <v>22663</v>
      </c>
      <c r="D8973" s="31">
        <v>1</v>
      </c>
      <c r="E8973" s="23" t="s">
        <v>22656</v>
      </c>
      <c r="F8973" s="24" t="s">
        <v>22657</v>
      </c>
      <c r="G8973" s="25">
        <v>2</v>
      </c>
      <c r="H8973" s="29"/>
      <c r="I8973" s="30"/>
    </row>
    <row r="8974" spans="1:9" ht="15.75" thickBot="1" x14ac:dyDescent="0.3">
      <c r="A8974" s="43" t="s">
        <v>18243</v>
      </c>
      <c r="B8974" s="21" t="s">
        <v>18244</v>
      </c>
      <c r="C8974" s="21" t="s">
        <v>22682</v>
      </c>
      <c r="D8974" s="22">
        <v>46034</v>
      </c>
      <c r="E8974" s="23" t="s">
        <v>22658</v>
      </c>
      <c r="F8974" s="24" t="s">
        <v>22657</v>
      </c>
      <c r="G8974" s="25">
        <v>4</v>
      </c>
      <c r="H8974" s="26"/>
      <c r="I8974" s="27"/>
    </row>
    <row r="8975" spans="1:9" ht="15.75" thickBot="1" x14ac:dyDescent="0.3">
      <c r="A8975" s="43" t="s">
        <v>17985</v>
      </c>
      <c r="B8975" s="21" t="s">
        <v>17986</v>
      </c>
      <c r="C8975" s="21" t="s">
        <v>22682</v>
      </c>
      <c r="D8975" s="22">
        <v>46034</v>
      </c>
      <c r="E8975" s="23" t="s">
        <v>22658</v>
      </c>
      <c r="F8975" s="24" t="s">
        <v>22657</v>
      </c>
      <c r="G8975" s="25">
        <v>4</v>
      </c>
      <c r="H8975" s="29"/>
      <c r="I8975" s="30"/>
    </row>
    <row r="8976" spans="1:9" ht="15.75" thickBot="1" x14ac:dyDescent="0.3">
      <c r="A8976" s="43" t="s">
        <v>18245</v>
      </c>
      <c r="B8976" s="21" t="s">
        <v>17986</v>
      </c>
      <c r="C8976" s="21" t="s">
        <v>22682</v>
      </c>
      <c r="D8976" s="22">
        <v>46034</v>
      </c>
      <c r="E8976" s="23" t="s">
        <v>22658</v>
      </c>
      <c r="F8976" s="24" t="s">
        <v>22657</v>
      </c>
      <c r="G8976" s="25">
        <v>4</v>
      </c>
      <c r="H8976" s="26"/>
      <c r="I8976" s="27"/>
    </row>
    <row r="8977" spans="1:9" ht="15.75" thickBot="1" x14ac:dyDescent="0.3">
      <c r="A8977" s="43" t="s">
        <v>18246</v>
      </c>
      <c r="B8977" s="21" t="s">
        <v>18247</v>
      </c>
      <c r="C8977" s="21" t="s">
        <v>22655</v>
      </c>
      <c r="D8977" s="22">
        <v>46046</v>
      </c>
      <c r="E8977" s="23" t="s">
        <v>22656</v>
      </c>
      <c r="F8977" s="24" t="s">
        <v>22657</v>
      </c>
      <c r="G8977" s="25">
        <v>2</v>
      </c>
      <c r="H8977" s="29"/>
      <c r="I8977" s="30"/>
    </row>
    <row r="8978" spans="1:9" ht="15.75" thickBot="1" x14ac:dyDescent="0.3">
      <c r="A8978" s="43" t="s">
        <v>18248</v>
      </c>
      <c r="B8978" s="21" t="s">
        <v>18249</v>
      </c>
      <c r="C8978" s="21" t="s">
        <v>22655</v>
      </c>
      <c r="D8978" s="22">
        <v>46046</v>
      </c>
      <c r="E8978" s="23" t="s">
        <v>22656</v>
      </c>
      <c r="F8978" s="24" t="s">
        <v>22657</v>
      </c>
      <c r="G8978" s="25">
        <v>2</v>
      </c>
      <c r="H8978" s="26"/>
      <c r="I8978" s="27"/>
    </row>
    <row r="8979" spans="1:9" ht="15.75" thickBot="1" x14ac:dyDescent="0.3">
      <c r="A8979" s="43" t="s">
        <v>18250</v>
      </c>
      <c r="B8979" s="21" t="s">
        <v>18251</v>
      </c>
      <c r="C8979" s="21" t="s">
        <v>22655</v>
      </c>
      <c r="D8979" s="22">
        <v>46046</v>
      </c>
      <c r="E8979" s="23" t="s">
        <v>22658</v>
      </c>
      <c r="F8979" s="24" t="s">
        <v>22657</v>
      </c>
      <c r="G8979" s="25">
        <v>2</v>
      </c>
      <c r="H8979" s="29"/>
      <c r="I8979" s="30"/>
    </row>
    <row r="8980" spans="1:9" ht="15.75" thickBot="1" x14ac:dyDescent="0.3">
      <c r="A8980" s="43" t="s">
        <v>18252</v>
      </c>
      <c r="B8980" s="21" t="s">
        <v>18253</v>
      </c>
      <c r="C8980" s="21" t="s">
        <v>22655</v>
      </c>
      <c r="D8980" s="22">
        <v>46046</v>
      </c>
      <c r="E8980" s="23" t="s">
        <v>22656</v>
      </c>
      <c r="F8980" s="24" t="s">
        <v>22657</v>
      </c>
      <c r="G8980" s="25">
        <v>4</v>
      </c>
      <c r="H8980" s="26"/>
      <c r="I8980" s="27"/>
    </row>
    <row r="8981" spans="1:9" ht="15.75" thickBot="1" x14ac:dyDescent="0.3">
      <c r="A8981" s="43" t="s">
        <v>18254</v>
      </c>
      <c r="B8981" s="21" t="s">
        <v>18255</v>
      </c>
      <c r="C8981" s="21" t="s">
        <v>22655</v>
      </c>
      <c r="D8981" s="22">
        <v>46046</v>
      </c>
      <c r="E8981" s="23" t="s">
        <v>22656</v>
      </c>
      <c r="F8981" s="24" t="s">
        <v>22657</v>
      </c>
      <c r="G8981" s="25">
        <v>4</v>
      </c>
      <c r="H8981" s="29"/>
      <c r="I8981" s="30"/>
    </row>
    <row r="8982" spans="1:9" ht="15.75" thickBot="1" x14ac:dyDescent="0.3">
      <c r="A8982" s="43" t="s">
        <v>18256</v>
      </c>
      <c r="B8982" s="21" t="s">
        <v>18257</v>
      </c>
      <c r="C8982" s="21" t="s">
        <v>22655</v>
      </c>
      <c r="D8982" s="22">
        <v>46046</v>
      </c>
      <c r="E8982" s="23" t="s">
        <v>22656</v>
      </c>
      <c r="F8982" s="24" t="s">
        <v>22657</v>
      </c>
      <c r="G8982" s="25">
        <v>4</v>
      </c>
      <c r="H8982" s="26"/>
      <c r="I8982" s="27"/>
    </row>
    <row r="8983" spans="1:9" ht="15.75" thickBot="1" x14ac:dyDescent="0.3">
      <c r="A8983" s="43" t="s">
        <v>18258</v>
      </c>
      <c r="B8983" s="21" t="s">
        <v>18259</v>
      </c>
      <c r="C8983" s="21" t="s">
        <v>22655</v>
      </c>
      <c r="D8983" s="22">
        <v>46046</v>
      </c>
      <c r="E8983" s="23" t="s">
        <v>22656</v>
      </c>
      <c r="F8983" s="24" t="s">
        <v>22657</v>
      </c>
      <c r="G8983" s="25">
        <v>4</v>
      </c>
      <c r="H8983" s="29"/>
      <c r="I8983" s="30"/>
    </row>
    <row r="8984" spans="1:9" ht="15.75" thickBot="1" x14ac:dyDescent="0.3">
      <c r="A8984" s="43" t="s">
        <v>18260</v>
      </c>
      <c r="B8984" s="21" t="s">
        <v>18261</v>
      </c>
      <c r="C8984" s="21" t="s">
        <v>22655</v>
      </c>
      <c r="D8984" s="22">
        <v>46046</v>
      </c>
      <c r="E8984" s="23" t="s">
        <v>22656</v>
      </c>
      <c r="F8984" s="24" t="s">
        <v>22657</v>
      </c>
      <c r="G8984" s="25">
        <v>4</v>
      </c>
      <c r="H8984" s="26"/>
      <c r="I8984" s="27"/>
    </row>
    <row r="8985" spans="1:9" ht="15.75" thickBot="1" x14ac:dyDescent="0.3">
      <c r="A8985" s="43" t="s">
        <v>18262</v>
      </c>
      <c r="B8985" s="21" t="s">
        <v>18263</v>
      </c>
      <c r="C8985" s="21" t="s">
        <v>22655</v>
      </c>
      <c r="D8985" s="22">
        <v>46046</v>
      </c>
      <c r="E8985" s="23" t="s">
        <v>22656</v>
      </c>
      <c r="F8985" s="24" t="s">
        <v>22657</v>
      </c>
      <c r="G8985" s="25">
        <v>4</v>
      </c>
      <c r="H8985" s="29"/>
      <c r="I8985" s="30"/>
    </row>
    <row r="8986" spans="1:9" ht="15.75" thickBot="1" x14ac:dyDescent="0.3">
      <c r="A8986" s="43" t="s">
        <v>18264</v>
      </c>
      <c r="B8986" s="21" t="s">
        <v>18265</v>
      </c>
      <c r="C8986" s="21" t="s">
        <v>22655</v>
      </c>
      <c r="D8986" s="22">
        <v>46046</v>
      </c>
      <c r="E8986" s="23" t="s">
        <v>22656</v>
      </c>
      <c r="F8986" s="24" t="s">
        <v>22657</v>
      </c>
      <c r="G8986" s="25">
        <v>4</v>
      </c>
      <c r="H8986" s="26"/>
      <c r="I8986" s="27"/>
    </row>
    <row r="8987" spans="1:9" ht="15.75" thickBot="1" x14ac:dyDescent="0.3">
      <c r="A8987" s="43" t="s">
        <v>18266</v>
      </c>
      <c r="B8987" s="21" t="s">
        <v>18267</v>
      </c>
      <c r="C8987" s="21" t="s">
        <v>22655</v>
      </c>
      <c r="D8987" s="22">
        <v>46046</v>
      </c>
      <c r="E8987" s="23" t="s">
        <v>22656</v>
      </c>
      <c r="F8987" s="24" t="s">
        <v>22657</v>
      </c>
      <c r="G8987" s="25">
        <v>4</v>
      </c>
      <c r="H8987" s="29"/>
      <c r="I8987" s="30"/>
    </row>
    <row r="8988" spans="1:9" ht="15.75" thickBot="1" x14ac:dyDescent="0.3">
      <c r="A8988" s="43" t="s">
        <v>18268</v>
      </c>
      <c r="B8988" s="21" t="s">
        <v>18269</v>
      </c>
      <c r="C8988" s="21" t="s">
        <v>22655</v>
      </c>
      <c r="D8988" s="22">
        <v>46046</v>
      </c>
      <c r="E8988" s="23" t="s">
        <v>22656</v>
      </c>
      <c r="F8988" s="24" t="s">
        <v>22657</v>
      </c>
      <c r="G8988" s="25">
        <v>4</v>
      </c>
      <c r="H8988" s="26"/>
      <c r="I8988" s="27"/>
    </row>
    <row r="8989" spans="1:9" ht="15.75" thickBot="1" x14ac:dyDescent="0.3">
      <c r="A8989" s="43" t="s">
        <v>18270</v>
      </c>
      <c r="B8989" s="21" t="s">
        <v>18271</v>
      </c>
      <c r="C8989" s="21" t="s">
        <v>22655</v>
      </c>
      <c r="D8989" s="22">
        <v>46046</v>
      </c>
      <c r="E8989" s="23" t="s">
        <v>22656</v>
      </c>
      <c r="F8989" s="24" t="s">
        <v>22657</v>
      </c>
      <c r="G8989" s="25">
        <v>4</v>
      </c>
      <c r="H8989" s="29"/>
      <c r="I8989" s="30"/>
    </row>
    <row r="8990" spans="1:9" ht="15.75" thickBot="1" x14ac:dyDescent="0.3">
      <c r="A8990" s="43" t="s">
        <v>18272</v>
      </c>
      <c r="B8990" s="21" t="s">
        <v>18273</v>
      </c>
      <c r="C8990" s="21" t="s">
        <v>22655</v>
      </c>
      <c r="D8990" s="22">
        <v>46046</v>
      </c>
      <c r="E8990" s="23" t="s">
        <v>22656</v>
      </c>
      <c r="F8990" s="24" t="s">
        <v>22657</v>
      </c>
      <c r="G8990" s="25">
        <v>4</v>
      </c>
      <c r="H8990" s="26"/>
      <c r="I8990" s="27"/>
    </row>
    <row r="8991" spans="1:9" ht="15.75" thickBot="1" x14ac:dyDescent="0.3">
      <c r="A8991" s="43" t="s">
        <v>18274</v>
      </c>
      <c r="B8991" s="21" t="s">
        <v>18275</v>
      </c>
      <c r="C8991" s="21" t="s">
        <v>22655</v>
      </c>
      <c r="D8991" s="22">
        <v>46046</v>
      </c>
      <c r="E8991" s="23" t="s">
        <v>22656</v>
      </c>
      <c r="F8991" s="24" t="s">
        <v>22657</v>
      </c>
      <c r="G8991" s="25">
        <v>4</v>
      </c>
      <c r="H8991" s="29"/>
      <c r="I8991" s="30"/>
    </row>
    <row r="8992" spans="1:9" ht="15.75" thickBot="1" x14ac:dyDescent="0.3">
      <c r="A8992" s="43" t="s">
        <v>18276</v>
      </c>
      <c r="B8992" s="21" t="s">
        <v>18277</v>
      </c>
      <c r="C8992" s="21" t="s">
        <v>22655</v>
      </c>
      <c r="D8992" s="22">
        <v>46046</v>
      </c>
      <c r="E8992" s="23" t="s">
        <v>22656</v>
      </c>
      <c r="F8992" s="24" t="s">
        <v>22657</v>
      </c>
      <c r="G8992" s="25">
        <v>4</v>
      </c>
      <c r="H8992" s="26"/>
      <c r="I8992" s="27"/>
    </row>
    <row r="8993" spans="1:9" ht="15.75" thickBot="1" x14ac:dyDescent="0.3">
      <c r="A8993" s="43" t="s">
        <v>18278</v>
      </c>
      <c r="B8993" s="21" t="s">
        <v>18279</v>
      </c>
      <c r="C8993" s="21" t="s">
        <v>22655</v>
      </c>
      <c r="D8993" s="22">
        <v>46046</v>
      </c>
      <c r="E8993" s="23" t="s">
        <v>22661</v>
      </c>
      <c r="F8993" s="24" t="s">
        <v>22657</v>
      </c>
      <c r="G8993" s="25">
        <v>10</v>
      </c>
      <c r="H8993" s="32">
        <v>10</v>
      </c>
      <c r="I8993" s="33">
        <v>16</v>
      </c>
    </row>
    <row r="8994" spans="1:9" ht="15.75" thickBot="1" x14ac:dyDescent="0.3">
      <c r="A8994" s="43" t="s">
        <v>1827</v>
      </c>
      <c r="B8994" s="21" t="s">
        <v>1828</v>
      </c>
      <c r="C8994" s="21" t="s">
        <v>22655</v>
      </c>
      <c r="D8994" s="22">
        <v>46034</v>
      </c>
      <c r="E8994" s="23" t="s">
        <v>22656</v>
      </c>
      <c r="F8994" s="24" t="s">
        <v>22657</v>
      </c>
      <c r="G8994" s="25">
        <v>2</v>
      </c>
      <c r="H8994" s="26"/>
      <c r="I8994" s="27"/>
    </row>
    <row r="8995" spans="1:9" ht="15.75" thickBot="1" x14ac:dyDescent="0.3">
      <c r="A8995" s="43" t="s">
        <v>18280</v>
      </c>
      <c r="B8995" s="21" t="s">
        <v>18281</v>
      </c>
      <c r="C8995" s="21" t="s">
        <v>22655</v>
      </c>
      <c r="D8995" s="22">
        <v>46046</v>
      </c>
      <c r="E8995" s="23" t="s">
        <v>22656</v>
      </c>
      <c r="F8995" s="24" t="s">
        <v>22657</v>
      </c>
      <c r="G8995" s="25">
        <v>2</v>
      </c>
      <c r="H8995" s="29"/>
      <c r="I8995" s="30"/>
    </row>
    <row r="8996" spans="1:9" ht="15.75" thickBot="1" x14ac:dyDescent="0.3">
      <c r="A8996" s="43" t="s">
        <v>18282</v>
      </c>
      <c r="B8996" s="21" t="s">
        <v>18283</v>
      </c>
      <c r="C8996" s="21" t="s">
        <v>22655</v>
      </c>
      <c r="D8996" s="22">
        <v>46046</v>
      </c>
      <c r="E8996" s="23" t="s">
        <v>22656</v>
      </c>
      <c r="F8996" s="24" t="s">
        <v>22657</v>
      </c>
      <c r="G8996" s="25">
        <v>2</v>
      </c>
      <c r="H8996" s="26"/>
      <c r="I8996" s="27"/>
    </row>
    <row r="8997" spans="1:9" ht="15.75" thickBot="1" x14ac:dyDescent="0.3">
      <c r="A8997" s="43" t="s">
        <v>777</v>
      </c>
      <c r="B8997" s="21" t="s">
        <v>778</v>
      </c>
      <c r="C8997" s="21" t="s">
        <v>22655</v>
      </c>
      <c r="D8997" s="22">
        <v>46034</v>
      </c>
      <c r="E8997" s="23" t="s">
        <v>22656</v>
      </c>
      <c r="F8997" s="24" t="s">
        <v>22657</v>
      </c>
      <c r="G8997" s="25">
        <v>4</v>
      </c>
      <c r="H8997" s="32">
        <v>4</v>
      </c>
      <c r="I8997" s="33">
        <v>6</v>
      </c>
    </row>
    <row r="8998" spans="1:9" ht="15.75" thickBot="1" x14ac:dyDescent="0.3">
      <c r="A8998" s="43" t="s">
        <v>18284</v>
      </c>
      <c r="B8998" s="21" t="s">
        <v>18285</v>
      </c>
      <c r="C8998" s="21" t="s">
        <v>22655</v>
      </c>
      <c r="D8998" s="22">
        <v>46046</v>
      </c>
      <c r="E8998" s="23" t="s">
        <v>22656</v>
      </c>
      <c r="F8998" s="24" t="s">
        <v>22657</v>
      </c>
      <c r="G8998" s="25">
        <v>4</v>
      </c>
      <c r="H8998" s="26"/>
      <c r="I8998" s="27"/>
    </row>
    <row r="8999" spans="1:9" ht="15.75" thickBot="1" x14ac:dyDescent="0.3">
      <c r="A8999" s="43" t="s">
        <v>18286</v>
      </c>
      <c r="B8999" s="21" t="s">
        <v>18287</v>
      </c>
      <c r="C8999" s="21" t="s">
        <v>22655</v>
      </c>
      <c r="D8999" s="22">
        <v>46046</v>
      </c>
      <c r="E8999" s="23" t="s">
        <v>22656</v>
      </c>
      <c r="F8999" s="24" t="s">
        <v>22657</v>
      </c>
      <c r="G8999" s="25">
        <v>2</v>
      </c>
      <c r="H8999" s="29"/>
      <c r="I8999" s="30"/>
    </row>
    <row r="9000" spans="1:9" ht="15.75" thickBot="1" x14ac:dyDescent="0.3">
      <c r="A9000" s="43" t="s">
        <v>18288</v>
      </c>
      <c r="B9000" s="21" t="s">
        <v>18289</v>
      </c>
      <c r="C9000" s="21" t="s">
        <v>22655</v>
      </c>
      <c r="D9000" s="22">
        <v>46046</v>
      </c>
      <c r="E9000" s="23" t="s">
        <v>22656</v>
      </c>
      <c r="F9000" s="24" t="s">
        <v>22657</v>
      </c>
      <c r="G9000" s="25">
        <v>2</v>
      </c>
      <c r="H9000" s="26"/>
      <c r="I9000" s="27"/>
    </row>
    <row r="9001" spans="1:9" ht="15.75" thickBot="1" x14ac:dyDescent="0.3">
      <c r="A9001" s="43" t="s">
        <v>18290</v>
      </c>
      <c r="B9001" s="21" t="s">
        <v>18291</v>
      </c>
      <c r="C9001" s="21" t="s">
        <v>22655</v>
      </c>
      <c r="D9001" s="22">
        <v>46046</v>
      </c>
      <c r="E9001" s="23" t="s">
        <v>22656</v>
      </c>
      <c r="F9001" s="24" t="s">
        <v>22657</v>
      </c>
      <c r="G9001" s="25">
        <v>4</v>
      </c>
      <c r="H9001" s="29"/>
      <c r="I9001" s="30"/>
    </row>
    <row r="9002" spans="1:9" ht="15.75" thickBot="1" x14ac:dyDescent="0.3">
      <c r="A9002" s="43" t="s">
        <v>18294</v>
      </c>
      <c r="B9002" s="21" t="s">
        <v>18295</v>
      </c>
      <c r="C9002" s="21" t="s">
        <v>22655</v>
      </c>
      <c r="D9002" s="22">
        <v>46046</v>
      </c>
      <c r="E9002" s="23" t="s">
        <v>22656</v>
      </c>
      <c r="F9002" s="24" t="s">
        <v>22657</v>
      </c>
      <c r="G9002" s="25">
        <v>4</v>
      </c>
      <c r="H9002" s="26"/>
      <c r="I9002" s="27"/>
    </row>
    <row r="9003" spans="1:9" ht="15.75" thickBot="1" x14ac:dyDescent="0.3">
      <c r="A9003" s="43" t="s">
        <v>18292</v>
      </c>
      <c r="B9003" s="21" t="s">
        <v>18293</v>
      </c>
      <c r="C9003" s="21" t="s">
        <v>22655</v>
      </c>
      <c r="D9003" s="22">
        <v>46046</v>
      </c>
      <c r="E9003" s="23" t="s">
        <v>22658</v>
      </c>
      <c r="F9003" s="24" t="s">
        <v>22657</v>
      </c>
      <c r="G9003" s="25">
        <v>4</v>
      </c>
      <c r="H9003" s="29"/>
      <c r="I9003" s="30"/>
    </row>
    <row r="9004" spans="1:9" ht="15.75" thickBot="1" x14ac:dyDescent="0.3">
      <c r="A9004" s="43" t="s">
        <v>18296</v>
      </c>
      <c r="B9004" s="21" t="s">
        <v>18297</v>
      </c>
      <c r="C9004" s="21" t="s">
        <v>22655</v>
      </c>
      <c r="D9004" s="22">
        <v>46046</v>
      </c>
      <c r="E9004" s="23" t="s">
        <v>22656</v>
      </c>
      <c r="F9004" s="24" t="s">
        <v>22657</v>
      </c>
      <c r="G9004" s="25">
        <v>4</v>
      </c>
      <c r="H9004" s="26"/>
      <c r="I9004" s="27"/>
    </row>
    <row r="9005" spans="1:9" ht="15.75" thickBot="1" x14ac:dyDescent="0.3">
      <c r="A9005" s="43" t="s">
        <v>18298</v>
      </c>
      <c r="B9005" s="21" t="s">
        <v>18299</v>
      </c>
      <c r="C9005" s="21" t="s">
        <v>22655</v>
      </c>
      <c r="D9005" s="22">
        <v>46046</v>
      </c>
      <c r="E9005" s="23" t="s">
        <v>22656</v>
      </c>
      <c r="F9005" s="24" t="s">
        <v>22657</v>
      </c>
      <c r="G9005" s="25">
        <v>4</v>
      </c>
      <c r="H9005" s="29"/>
      <c r="I9005" s="30"/>
    </row>
    <row r="9006" spans="1:9" ht="15.75" thickBot="1" x14ac:dyDescent="0.3">
      <c r="A9006" s="43" t="s">
        <v>18300</v>
      </c>
      <c r="B9006" s="21" t="s">
        <v>18301</v>
      </c>
      <c r="C9006" s="21" t="s">
        <v>22655</v>
      </c>
      <c r="D9006" s="22">
        <v>46046</v>
      </c>
      <c r="E9006" s="23" t="s">
        <v>22656</v>
      </c>
      <c r="F9006" s="24" t="s">
        <v>22657</v>
      </c>
      <c r="G9006" s="25">
        <v>4</v>
      </c>
      <c r="H9006" s="26"/>
      <c r="I9006" s="27"/>
    </row>
    <row r="9007" spans="1:9" ht="15.75" thickBot="1" x14ac:dyDescent="0.3">
      <c r="A9007" s="43" t="s">
        <v>18302</v>
      </c>
      <c r="B9007" s="21" t="s">
        <v>18303</v>
      </c>
      <c r="C9007" s="21" t="s">
        <v>22655</v>
      </c>
      <c r="D9007" s="22">
        <v>46046</v>
      </c>
      <c r="E9007" s="23" t="s">
        <v>22656</v>
      </c>
      <c r="F9007" s="24" t="s">
        <v>22657</v>
      </c>
      <c r="G9007" s="25">
        <v>4</v>
      </c>
      <c r="H9007" s="29"/>
      <c r="I9007" s="30"/>
    </row>
    <row r="9008" spans="1:9" ht="15.75" thickBot="1" x14ac:dyDescent="0.3">
      <c r="A9008" s="43" t="s">
        <v>18304</v>
      </c>
      <c r="B9008" s="21" t="s">
        <v>18305</v>
      </c>
      <c r="C9008" s="21" t="s">
        <v>22655</v>
      </c>
      <c r="D9008" s="22">
        <v>46046</v>
      </c>
      <c r="E9008" s="23" t="s">
        <v>22656</v>
      </c>
      <c r="F9008" s="24" t="s">
        <v>22657</v>
      </c>
      <c r="G9008" s="25">
        <v>4</v>
      </c>
      <c r="H9008" s="26"/>
      <c r="I9008" s="27"/>
    </row>
    <row r="9009" spans="1:9" ht="15.75" thickBot="1" x14ac:dyDescent="0.3">
      <c r="A9009" s="43" t="s">
        <v>18306</v>
      </c>
      <c r="B9009" s="21" t="s">
        <v>18307</v>
      </c>
      <c r="C9009" s="21" t="s">
        <v>22655</v>
      </c>
      <c r="D9009" s="22">
        <v>46046</v>
      </c>
      <c r="E9009" s="23" t="s">
        <v>22656</v>
      </c>
      <c r="F9009" s="24" t="s">
        <v>22657</v>
      </c>
      <c r="G9009" s="25">
        <v>4</v>
      </c>
      <c r="H9009" s="29"/>
      <c r="I9009" s="30"/>
    </row>
    <row r="9010" spans="1:9" ht="15.75" thickBot="1" x14ac:dyDescent="0.3">
      <c r="A9010" s="43" t="s">
        <v>18308</v>
      </c>
      <c r="B9010" s="21" t="s">
        <v>18309</v>
      </c>
      <c r="C9010" s="21" t="s">
        <v>22655</v>
      </c>
      <c r="D9010" s="22">
        <v>46046</v>
      </c>
      <c r="E9010" s="23" t="s">
        <v>22656</v>
      </c>
      <c r="F9010" s="24" t="s">
        <v>22657</v>
      </c>
      <c r="G9010" s="25">
        <v>4</v>
      </c>
      <c r="H9010" s="26"/>
      <c r="I9010" s="27"/>
    </row>
    <row r="9011" spans="1:9" ht="15.75" thickBot="1" x14ac:dyDescent="0.3">
      <c r="A9011" s="43" t="s">
        <v>18310</v>
      </c>
      <c r="B9011" s="21" t="s">
        <v>18311</v>
      </c>
      <c r="C9011" s="21" t="s">
        <v>22655</v>
      </c>
      <c r="D9011" s="22">
        <v>46034</v>
      </c>
      <c r="E9011" s="23" t="s">
        <v>22658</v>
      </c>
      <c r="F9011" s="24" t="s">
        <v>22657</v>
      </c>
      <c r="G9011" s="25">
        <v>2</v>
      </c>
      <c r="H9011" s="29"/>
      <c r="I9011" s="30"/>
    </row>
    <row r="9012" spans="1:9" ht="15.75" thickBot="1" x14ac:dyDescent="0.3">
      <c r="A9012" s="43" t="s">
        <v>18312</v>
      </c>
      <c r="B9012" s="21" t="s">
        <v>18313</v>
      </c>
      <c r="C9012" s="21" t="s">
        <v>22655</v>
      </c>
      <c r="D9012" s="22">
        <v>46046</v>
      </c>
      <c r="E9012" s="23" t="s">
        <v>22656</v>
      </c>
      <c r="F9012" s="24" t="s">
        <v>22657</v>
      </c>
      <c r="G9012" s="25">
        <v>4</v>
      </c>
      <c r="H9012" s="26"/>
      <c r="I9012" s="27"/>
    </row>
    <row r="9013" spans="1:9" ht="15.75" thickBot="1" x14ac:dyDescent="0.3">
      <c r="A9013" s="43" t="s">
        <v>18314</v>
      </c>
      <c r="B9013" s="21" t="s">
        <v>18315</v>
      </c>
      <c r="C9013" s="21" t="s">
        <v>22655</v>
      </c>
      <c r="D9013" s="22">
        <v>46046</v>
      </c>
      <c r="E9013" s="23" t="s">
        <v>22656</v>
      </c>
      <c r="F9013" s="24" t="s">
        <v>22657</v>
      </c>
      <c r="G9013" s="25">
        <v>4</v>
      </c>
      <c r="H9013" s="29"/>
      <c r="I9013" s="30"/>
    </row>
    <row r="9014" spans="1:9" ht="15.75" thickBot="1" x14ac:dyDescent="0.3">
      <c r="A9014" s="43" t="s">
        <v>18316</v>
      </c>
      <c r="B9014" s="21" t="s">
        <v>18317</v>
      </c>
      <c r="C9014" s="21" t="s">
        <v>22655</v>
      </c>
      <c r="D9014" s="22">
        <v>46034</v>
      </c>
      <c r="E9014" s="23" t="s">
        <v>22656</v>
      </c>
      <c r="F9014" s="24" t="s">
        <v>22657</v>
      </c>
      <c r="G9014" s="25">
        <v>2</v>
      </c>
      <c r="H9014" s="26"/>
      <c r="I9014" s="27"/>
    </row>
    <row r="9015" spans="1:9" ht="15.75" thickBot="1" x14ac:dyDescent="0.3">
      <c r="A9015" s="43" t="s">
        <v>18318</v>
      </c>
      <c r="B9015" s="21" t="s">
        <v>18319</v>
      </c>
      <c r="C9015" s="21" t="s">
        <v>22655</v>
      </c>
      <c r="D9015" s="22">
        <v>46046</v>
      </c>
      <c r="E9015" s="23" t="s">
        <v>22656</v>
      </c>
      <c r="F9015" s="24" t="s">
        <v>22657</v>
      </c>
      <c r="G9015" s="25">
        <v>4</v>
      </c>
      <c r="H9015" s="29"/>
      <c r="I9015" s="30"/>
    </row>
    <row r="9016" spans="1:9" ht="15.75" thickBot="1" x14ac:dyDescent="0.3">
      <c r="A9016" s="43" t="s">
        <v>18320</v>
      </c>
      <c r="B9016" s="21" t="s">
        <v>18321</v>
      </c>
      <c r="C9016" s="21" t="s">
        <v>22655</v>
      </c>
      <c r="D9016" s="22">
        <v>46046</v>
      </c>
      <c r="E9016" s="23" t="s">
        <v>22656</v>
      </c>
      <c r="F9016" s="24" t="s">
        <v>22657</v>
      </c>
      <c r="G9016" s="25">
        <v>4</v>
      </c>
      <c r="H9016" s="26"/>
      <c r="I9016" s="27"/>
    </row>
    <row r="9017" spans="1:9" ht="15.75" thickBot="1" x14ac:dyDescent="0.3">
      <c r="A9017" s="43" t="s">
        <v>18322</v>
      </c>
      <c r="B9017" s="21" t="s">
        <v>18323</v>
      </c>
      <c r="C9017" s="21" t="s">
        <v>22655</v>
      </c>
      <c r="D9017" s="22">
        <v>46046</v>
      </c>
      <c r="E9017" s="23" t="s">
        <v>22656</v>
      </c>
      <c r="F9017" s="24" t="s">
        <v>22657</v>
      </c>
      <c r="G9017" s="25">
        <v>4</v>
      </c>
      <c r="H9017" s="29"/>
      <c r="I9017" s="30"/>
    </row>
    <row r="9018" spans="1:9" ht="15.75" thickBot="1" x14ac:dyDescent="0.3">
      <c r="A9018" s="43" t="s">
        <v>18324</v>
      </c>
      <c r="B9018" s="21" t="s">
        <v>18325</v>
      </c>
      <c r="C9018" s="21" t="s">
        <v>22655</v>
      </c>
      <c r="D9018" s="22">
        <v>46046</v>
      </c>
      <c r="E9018" s="23" t="s">
        <v>22656</v>
      </c>
      <c r="F9018" s="24" t="s">
        <v>22657</v>
      </c>
      <c r="G9018" s="25">
        <v>4</v>
      </c>
      <c r="H9018" s="26"/>
      <c r="I9018" s="27"/>
    </row>
    <row r="9019" spans="1:9" ht="15.75" thickBot="1" x14ac:dyDescent="0.3">
      <c r="A9019" s="43" t="s">
        <v>18326</v>
      </c>
      <c r="B9019" s="21" t="s">
        <v>18327</v>
      </c>
      <c r="C9019" s="21" t="s">
        <v>22655</v>
      </c>
      <c r="D9019" s="22">
        <v>46046</v>
      </c>
      <c r="E9019" s="23" t="s">
        <v>22656</v>
      </c>
      <c r="F9019" s="24" t="s">
        <v>22657</v>
      </c>
      <c r="G9019" s="25">
        <v>4</v>
      </c>
      <c r="H9019" s="29"/>
      <c r="I9019" s="30"/>
    </row>
    <row r="9020" spans="1:9" ht="15.75" thickBot="1" x14ac:dyDescent="0.3">
      <c r="A9020" s="43" t="s">
        <v>18328</v>
      </c>
      <c r="B9020" s="21" t="s">
        <v>18329</v>
      </c>
      <c r="C9020" s="21" t="s">
        <v>22655</v>
      </c>
      <c r="D9020" s="22">
        <v>46046</v>
      </c>
      <c r="E9020" s="23" t="s">
        <v>22656</v>
      </c>
      <c r="F9020" s="24" t="s">
        <v>22657</v>
      </c>
      <c r="G9020" s="25">
        <v>4</v>
      </c>
      <c r="H9020" s="26"/>
      <c r="I9020" s="27"/>
    </row>
    <row r="9021" spans="1:9" ht="15.75" thickBot="1" x14ac:dyDescent="0.3">
      <c r="A9021" s="43" t="s">
        <v>18330</v>
      </c>
      <c r="B9021" s="21" t="s">
        <v>18331</v>
      </c>
      <c r="C9021" s="21" t="s">
        <v>22655</v>
      </c>
      <c r="D9021" s="22">
        <v>46034</v>
      </c>
      <c r="E9021" s="23" t="s">
        <v>22656</v>
      </c>
      <c r="F9021" s="24" t="s">
        <v>22657</v>
      </c>
      <c r="G9021" s="25">
        <v>2</v>
      </c>
      <c r="H9021" s="29"/>
      <c r="I9021" s="30"/>
    </row>
    <row r="9022" spans="1:9" ht="15.75" thickBot="1" x14ac:dyDescent="0.3">
      <c r="A9022" s="43" t="s">
        <v>18332</v>
      </c>
      <c r="B9022" s="21" t="s">
        <v>18333</v>
      </c>
      <c r="C9022" s="21" t="s">
        <v>22655</v>
      </c>
      <c r="D9022" s="22">
        <v>46046</v>
      </c>
      <c r="E9022" s="23" t="s">
        <v>22656</v>
      </c>
      <c r="F9022" s="24" t="s">
        <v>22657</v>
      </c>
      <c r="G9022" s="25">
        <v>4</v>
      </c>
      <c r="H9022" s="26"/>
      <c r="I9022" s="27"/>
    </row>
    <row r="9023" spans="1:9" ht="15.75" thickBot="1" x14ac:dyDescent="0.3">
      <c r="A9023" s="43" t="s">
        <v>18334</v>
      </c>
      <c r="B9023" s="21" t="s">
        <v>18335</v>
      </c>
      <c r="C9023" s="21" t="s">
        <v>22655</v>
      </c>
      <c r="D9023" s="22">
        <v>46046</v>
      </c>
      <c r="E9023" s="23" t="s">
        <v>22656</v>
      </c>
      <c r="F9023" s="24" t="s">
        <v>22657</v>
      </c>
      <c r="G9023" s="25">
        <v>4</v>
      </c>
      <c r="H9023" s="29"/>
      <c r="I9023" s="30"/>
    </row>
    <row r="9024" spans="1:9" ht="15.75" thickBot="1" x14ac:dyDescent="0.3">
      <c r="A9024" s="43" t="s">
        <v>18336</v>
      </c>
      <c r="B9024" s="21" t="s">
        <v>18337</v>
      </c>
      <c r="C9024" s="21" t="s">
        <v>22655</v>
      </c>
      <c r="D9024" s="22">
        <v>46046</v>
      </c>
      <c r="E9024" s="23" t="s">
        <v>22656</v>
      </c>
      <c r="F9024" s="24" t="s">
        <v>22657</v>
      </c>
      <c r="G9024" s="25">
        <v>4</v>
      </c>
      <c r="H9024" s="26"/>
      <c r="I9024" s="27"/>
    </row>
    <row r="9025" spans="1:9" ht="15.75" thickBot="1" x14ac:dyDescent="0.3">
      <c r="A9025" s="43" t="s">
        <v>18338</v>
      </c>
      <c r="B9025" s="21" t="s">
        <v>18339</v>
      </c>
      <c r="C9025" s="21" t="s">
        <v>22655</v>
      </c>
      <c r="D9025" s="22">
        <v>46046</v>
      </c>
      <c r="E9025" s="23" t="s">
        <v>22656</v>
      </c>
      <c r="F9025" s="24" t="s">
        <v>22657</v>
      </c>
      <c r="G9025" s="25">
        <v>4</v>
      </c>
      <c r="H9025" s="29"/>
      <c r="I9025" s="30"/>
    </row>
    <row r="9026" spans="1:9" ht="15.75" thickBot="1" x14ac:dyDescent="0.3">
      <c r="A9026" s="43" t="s">
        <v>18340</v>
      </c>
      <c r="B9026" s="21" t="s">
        <v>18341</v>
      </c>
      <c r="C9026" s="21" t="s">
        <v>22655</v>
      </c>
      <c r="D9026" s="22">
        <v>46046</v>
      </c>
      <c r="E9026" s="23" t="s">
        <v>22656</v>
      </c>
      <c r="F9026" s="24" t="s">
        <v>22657</v>
      </c>
      <c r="G9026" s="25">
        <v>4</v>
      </c>
      <c r="H9026" s="26"/>
      <c r="I9026" s="27"/>
    </row>
    <row r="9027" spans="1:9" ht="15.75" thickBot="1" x14ac:dyDescent="0.3">
      <c r="A9027" s="43" t="s">
        <v>18342</v>
      </c>
      <c r="B9027" s="21" t="s">
        <v>18343</v>
      </c>
      <c r="C9027" s="21" t="s">
        <v>22655</v>
      </c>
      <c r="D9027" s="22">
        <v>46046</v>
      </c>
      <c r="E9027" s="23" t="s">
        <v>22656</v>
      </c>
      <c r="F9027" s="24" t="s">
        <v>22657</v>
      </c>
      <c r="G9027" s="25">
        <v>4</v>
      </c>
      <c r="H9027" s="29"/>
      <c r="I9027" s="30"/>
    </row>
    <row r="9028" spans="1:9" ht="15.75" thickBot="1" x14ac:dyDescent="0.3">
      <c r="A9028" s="43" t="s">
        <v>18344</v>
      </c>
      <c r="B9028" s="21" t="s">
        <v>18345</v>
      </c>
      <c r="C9028" s="21" t="s">
        <v>22655</v>
      </c>
      <c r="D9028" s="22">
        <v>46046</v>
      </c>
      <c r="E9028" s="23" t="s">
        <v>22656</v>
      </c>
      <c r="F9028" s="24" t="s">
        <v>22657</v>
      </c>
      <c r="G9028" s="25">
        <v>4</v>
      </c>
      <c r="H9028" s="26"/>
      <c r="I9028" s="27"/>
    </row>
    <row r="9029" spans="1:9" ht="15.75" thickBot="1" x14ac:dyDescent="0.3">
      <c r="A9029" s="43" t="s">
        <v>18346</v>
      </c>
      <c r="B9029" s="21" t="s">
        <v>18347</v>
      </c>
      <c r="C9029" s="21" t="s">
        <v>22655</v>
      </c>
      <c r="D9029" s="22">
        <v>46046</v>
      </c>
      <c r="E9029" s="23" t="s">
        <v>22656</v>
      </c>
      <c r="F9029" s="24" t="s">
        <v>22657</v>
      </c>
      <c r="G9029" s="25">
        <v>4</v>
      </c>
      <c r="H9029" s="29"/>
      <c r="I9029" s="30"/>
    </row>
    <row r="9030" spans="1:9" ht="15.75" thickBot="1" x14ac:dyDescent="0.3">
      <c r="A9030" s="43" t="s">
        <v>18348</v>
      </c>
      <c r="B9030" s="21" t="s">
        <v>18349</v>
      </c>
      <c r="C9030" s="21" t="s">
        <v>22655</v>
      </c>
      <c r="D9030" s="22">
        <v>46046</v>
      </c>
      <c r="E9030" s="23" t="s">
        <v>22661</v>
      </c>
      <c r="F9030" s="24" t="s">
        <v>22657</v>
      </c>
      <c r="G9030" s="25">
        <v>12</v>
      </c>
      <c r="H9030" s="34">
        <v>12</v>
      </c>
      <c r="I9030" s="35">
        <v>24</v>
      </c>
    </row>
    <row r="9031" spans="1:9" ht="15.75" thickBot="1" x14ac:dyDescent="0.3">
      <c r="A9031" s="43" t="s">
        <v>1946</v>
      </c>
      <c r="B9031" s="21" t="s">
        <v>1947</v>
      </c>
      <c r="C9031" s="21" t="s">
        <v>22655</v>
      </c>
      <c r="D9031" s="22">
        <v>46034</v>
      </c>
      <c r="E9031" s="23" t="s">
        <v>22656</v>
      </c>
      <c r="F9031" s="24" t="s">
        <v>22657</v>
      </c>
      <c r="G9031" s="25">
        <v>6</v>
      </c>
      <c r="H9031" s="32">
        <v>6</v>
      </c>
      <c r="I9031" s="33">
        <v>12</v>
      </c>
    </row>
    <row r="9032" spans="1:9" ht="15.75" thickBot="1" x14ac:dyDescent="0.3">
      <c r="A9032" s="43" t="s">
        <v>18350</v>
      </c>
      <c r="B9032" s="21" t="s">
        <v>18351</v>
      </c>
      <c r="C9032" s="21" t="s">
        <v>22655</v>
      </c>
      <c r="D9032" s="22">
        <v>46046</v>
      </c>
      <c r="E9032" s="23" t="s">
        <v>22656</v>
      </c>
      <c r="F9032" s="24" t="s">
        <v>22657</v>
      </c>
      <c r="G9032" s="25">
        <v>6</v>
      </c>
      <c r="H9032" s="34">
        <v>6</v>
      </c>
      <c r="I9032" s="35">
        <v>12</v>
      </c>
    </row>
    <row r="9033" spans="1:9" ht="15.75" thickBot="1" x14ac:dyDescent="0.3">
      <c r="A9033" s="43" t="s">
        <v>18352</v>
      </c>
      <c r="B9033" s="21" t="s">
        <v>18353</v>
      </c>
      <c r="C9033" s="21" t="s">
        <v>22655</v>
      </c>
      <c r="D9033" s="22">
        <v>46046</v>
      </c>
      <c r="E9033" s="23" t="s">
        <v>22656</v>
      </c>
      <c r="F9033" s="24" t="s">
        <v>22657</v>
      </c>
      <c r="G9033" s="25">
        <v>4</v>
      </c>
      <c r="H9033" s="32">
        <v>4</v>
      </c>
      <c r="I9033" s="33">
        <v>6</v>
      </c>
    </row>
    <row r="9034" spans="1:9" ht="15.75" thickBot="1" x14ac:dyDescent="0.3">
      <c r="A9034" s="43" t="s">
        <v>18354</v>
      </c>
      <c r="B9034" s="21" t="s">
        <v>18355</v>
      </c>
      <c r="C9034" s="21" t="s">
        <v>22655</v>
      </c>
      <c r="D9034" s="22">
        <v>46046</v>
      </c>
      <c r="E9034" s="23" t="s">
        <v>22656</v>
      </c>
      <c r="F9034" s="24" t="s">
        <v>22657</v>
      </c>
      <c r="G9034" s="25">
        <v>4</v>
      </c>
      <c r="H9034" s="26"/>
      <c r="I9034" s="27"/>
    </row>
    <row r="9035" spans="1:9" ht="15.75" thickBot="1" x14ac:dyDescent="0.3">
      <c r="A9035" s="43" t="s">
        <v>18356</v>
      </c>
      <c r="B9035" s="21" t="s">
        <v>18357</v>
      </c>
      <c r="C9035" s="21" t="s">
        <v>22655</v>
      </c>
      <c r="D9035" s="22">
        <v>46046</v>
      </c>
      <c r="E9035" s="23" t="s">
        <v>22656</v>
      </c>
      <c r="F9035" s="24" t="s">
        <v>22657</v>
      </c>
      <c r="G9035" s="25">
        <v>6</v>
      </c>
      <c r="H9035" s="32">
        <v>6</v>
      </c>
      <c r="I9035" s="33">
        <v>12</v>
      </c>
    </row>
    <row r="9036" spans="1:9" ht="15.75" thickBot="1" x14ac:dyDescent="0.3">
      <c r="A9036" s="43" t="s">
        <v>1443</v>
      </c>
      <c r="B9036" s="21" t="s">
        <v>1444</v>
      </c>
      <c r="C9036" s="21" t="s">
        <v>22655</v>
      </c>
      <c r="D9036" s="22">
        <v>46034</v>
      </c>
      <c r="E9036" s="23" t="s">
        <v>22656</v>
      </c>
      <c r="F9036" s="24" t="s">
        <v>22657</v>
      </c>
      <c r="G9036" s="25">
        <v>6</v>
      </c>
      <c r="H9036" s="34">
        <v>6</v>
      </c>
      <c r="I9036" s="35">
        <v>8</v>
      </c>
    </row>
    <row r="9037" spans="1:9" ht="15.75" thickBot="1" x14ac:dyDescent="0.3">
      <c r="A9037" s="43" t="s">
        <v>18358</v>
      </c>
      <c r="B9037" s="21" t="s">
        <v>18359</v>
      </c>
      <c r="C9037" s="21" t="s">
        <v>22655</v>
      </c>
      <c r="D9037" s="22">
        <v>46046</v>
      </c>
      <c r="E9037" s="23" t="s">
        <v>22656</v>
      </c>
      <c r="F9037" s="24" t="s">
        <v>22657</v>
      </c>
      <c r="G9037" s="25">
        <v>5</v>
      </c>
      <c r="H9037" s="29"/>
      <c r="I9037" s="30"/>
    </row>
    <row r="9038" spans="1:9" ht="15.75" thickBot="1" x14ac:dyDescent="0.3">
      <c r="A9038" s="43" t="s">
        <v>1799</v>
      </c>
      <c r="B9038" s="21" t="s">
        <v>1800</v>
      </c>
      <c r="C9038" s="21" t="s">
        <v>22655</v>
      </c>
      <c r="D9038" s="22">
        <v>46034</v>
      </c>
      <c r="E9038" s="23" t="s">
        <v>22656</v>
      </c>
      <c r="F9038" s="24" t="s">
        <v>22657</v>
      </c>
      <c r="G9038" s="25">
        <v>2</v>
      </c>
      <c r="H9038" s="26"/>
      <c r="I9038" s="27"/>
    </row>
    <row r="9039" spans="1:9" ht="15.75" thickBot="1" x14ac:dyDescent="0.3">
      <c r="A9039" s="43" t="s">
        <v>18360</v>
      </c>
      <c r="B9039" s="21" t="s">
        <v>18361</v>
      </c>
      <c r="C9039" s="21" t="s">
        <v>22655</v>
      </c>
      <c r="D9039" s="22">
        <v>46034</v>
      </c>
      <c r="E9039" s="23" t="s">
        <v>22658</v>
      </c>
      <c r="F9039" s="24" t="s">
        <v>22657</v>
      </c>
      <c r="G9039" s="25">
        <v>2</v>
      </c>
      <c r="H9039" s="29"/>
      <c r="I9039" s="30"/>
    </row>
    <row r="9040" spans="1:9" ht="15.75" thickBot="1" x14ac:dyDescent="0.3">
      <c r="A9040" s="43" t="s">
        <v>1938</v>
      </c>
      <c r="B9040" s="21" t="s">
        <v>1939</v>
      </c>
      <c r="C9040" s="21" t="s">
        <v>22655</v>
      </c>
      <c r="D9040" s="22">
        <v>46046</v>
      </c>
      <c r="E9040" s="23" t="s">
        <v>22661</v>
      </c>
      <c r="F9040" s="24" t="s">
        <v>22657</v>
      </c>
      <c r="G9040" s="25">
        <v>10</v>
      </c>
      <c r="H9040" s="34">
        <v>10</v>
      </c>
      <c r="I9040" s="35">
        <v>16</v>
      </c>
    </row>
    <row r="9041" spans="1:9" ht="15.75" thickBot="1" x14ac:dyDescent="0.3">
      <c r="A9041" s="43" t="s">
        <v>1153</v>
      </c>
      <c r="B9041" s="21" t="s">
        <v>1154</v>
      </c>
      <c r="C9041" s="21" t="s">
        <v>22655</v>
      </c>
      <c r="D9041" s="22">
        <v>46034</v>
      </c>
      <c r="E9041" s="23" t="s">
        <v>22656</v>
      </c>
      <c r="F9041" s="24" t="s">
        <v>22657</v>
      </c>
      <c r="G9041" s="25">
        <v>2</v>
      </c>
      <c r="H9041" s="32">
        <v>2</v>
      </c>
      <c r="I9041" s="33">
        <v>4</v>
      </c>
    </row>
    <row r="9042" spans="1:9" ht="15.75" thickBot="1" x14ac:dyDescent="0.3">
      <c r="A9042" s="43" t="s">
        <v>18362</v>
      </c>
      <c r="B9042" s="21" t="s">
        <v>18363</v>
      </c>
      <c r="C9042" s="21" t="s">
        <v>22655</v>
      </c>
      <c r="D9042" s="22">
        <v>46046</v>
      </c>
      <c r="E9042" s="23" t="s">
        <v>22656</v>
      </c>
      <c r="F9042" s="24" t="s">
        <v>22657</v>
      </c>
      <c r="G9042" s="25">
        <v>2</v>
      </c>
      <c r="H9042" s="26"/>
      <c r="I9042" s="27"/>
    </row>
    <row r="9043" spans="1:9" ht="15.75" thickBot="1" x14ac:dyDescent="0.3">
      <c r="A9043" s="43" t="s">
        <v>18364</v>
      </c>
      <c r="B9043" s="21" t="s">
        <v>18365</v>
      </c>
      <c r="C9043" s="21" t="s">
        <v>22655</v>
      </c>
      <c r="D9043" s="22">
        <v>46046</v>
      </c>
      <c r="E9043" s="23" t="s">
        <v>22656</v>
      </c>
      <c r="F9043" s="24" t="s">
        <v>22657</v>
      </c>
      <c r="G9043" s="25">
        <v>2</v>
      </c>
      <c r="H9043" s="29"/>
      <c r="I9043" s="30"/>
    </row>
    <row r="9044" spans="1:9" ht="15.75" thickBot="1" x14ac:dyDescent="0.3">
      <c r="A9044" s="43" t="s">
        <v>18366</v>
      </c>
      <c r="B9044" s="21" t="s">
        <v>18367</v>
      </c>
      <c r="C9044" s="21" t="s">
        <v>22655</v>
      </c>
      <c r="D9044" s="22">
        <v>46046</v>
      </c>
      <c r="E9044" s="23" t="s">
        <v>22656</v>
      </c>
      <c r="F9044" s="24" t="s">
        <v>22657</v>
      </c>
      <c r="G9044" s="25">
        <v>4</v>
      </c>
      <c r="H9044" s="26"/>
      <c r="I9044" s="27"/>
    </row>
    <row r="9045" spans="1:9" ht="15.75" thickBot="1" x14ac:dyDescent="0.3">
      <c r="A9045" s="43" t="s">
        <v>18368</v>
      </c>
      <c r="B9045" s="21" t="s">
        <v>18369</v>
      </c>
      <c r="C9045" s="21" t="s">
        <v>22655</v>
      </c>
      <c r="D9045" s="22">
        <v>46046</v>
      </c>
      <c r="E9045" s="23" t="s">
        <v>22656</v>
      </c>
      <c r="F9045" s="24" t="s">
        <v>22657</v>
      </c>
      <c r="G9045" s="25">
        <v>4</v>
      </c>
      <c r="H9045" s="29"/>
      <c r="I9045" s="30"/>
    </row>
    <row r="9046" spans="1:9" ht="15.75" thickBot="1" x14ac:dyDescent="0.3">
      <c r="A9046" s="43" t="s">
        <v>18370</v>
      </c>
      <c r="B9046" s="21" t="s">
        <v>18371</v>
      </c>
      <c r="C9046" s="21" t="s">
        <v>22655</v>
      </c>
      <c r="D9046" s="22">
        <v>46046</v>
      </c>
      <c r="E9046" s="23" t="s">
        <v>22656</v>
      </c>
      <c r="F9046" s="24" t="s">
        <v>22657</v>
      </c>
      <c r="G9046" s="25">
        <v>4</v>
      </c>
      <c r="H9046" s="26"/>
      <c r="I9046" s="27"/>
    </row>
    <row r="9047" spans="1:9" ht="15.75" thickBot="1" x14ac:dyDescent="0.3">
      <c r="A9047" s="43" t="s">
        <v>18372</v>
      </c>
      <c r="B9047" s="21" t="s">
        <v>18373</v>
      </c>
      <c r="C9047" s="21" t="s">
        <v>22655</v>
      </c>
      <c r="D9047" s="22">
        <v>46034</v>
      </c>
      <c r="E9047" s="23" t="s">
        <v>22656</v>
      </c>
      <c r="F9047" s="24" t="s">
        <v>22657</v>
      </c>
      <c r="G9047" s="25">
        <v>2</v>
      </c>
      <c r="H9047" s="29"/>
      <c r="I9047" s="30"/>
    </row>
    <row r="9048" spans="1:9" ht="15.75" thickBot="1" x14ac:dyDescent="0.3">
      <c r="A9048" s="43" t="s">
        <v>18374</v>
      </c>
      <c r="B9048" s="21" t="s">
        <v>18375</v>
      </c>
      <c r="C9048" s="21" t="s">
        <v>22655</v>
      </c>
      <c r="D9048" s="22">
        <v>46046</v>
      </c>
      <c r="E9048" s="23" t="s">
        <v>22656</v>
      </c>
      <c r="F9048" s="24" t="s">
        <v>22657</v>
      </c>
      <c r="G9048" s="25">
        <v>4</v>
      </c>
      <c r="H9048" s="26"/>
      <c r="I9048" s="27"/>
    </row>
    <row r="9049" spans="1:9" ht="15.75" thickBot="1" x14ac:dyDescent="0.3">
      <c r="A9049" s="43" t="s">
        <v>18376</v>
      </c>
      <c r="B9049" s="21" t="s">
        <v>18377</v>
      </c>
      <c r="C9049" s="21" t="s">
        <v>22655</v>
      </c>
      <c r="D9049" s="22">
        <v>46046</v>
      </c>
      <c r="E9049" s="23" t="s">
        <v>22656</v>
      </c>
      <c r="F9049" s="24" t="s">
        <v>22657</v>
      </c>
      <c r="G9049" s="25">
        <v>4</v>
      </c>
      <c r="H9049" s="29"/>
      <c r="I9049" s="30"/>
    </row>
    <row r="9050" spans="1:9" ht="15.75" thickBot="1" x14ac:dyDescent="0.3">
      <c r="A9050" s="43" t="s">
        <v>18378</v>
      </c>
      <c r="B9050" s="21" t="s">
        <v>18379</v>
      </c>
      <c r="C9050" s="21" t="s">
        <v>22655</v>
      </c>
      <c r="D9050" s="22">
        <v>46046</v>
      </c>
      <c r="E9050" s="23" t="s">
        <v>22656</v>
      </c>
      <c r="F9050" s="24" t="s">
        <v>22657</v>
      </c>
      <c r="G9050" s="25">
        <v>4</v>
      </c>
      <c r="H9050" s="26"/>
      <c r="I9050" s="27"/>
    </row>
    <row r="9051" spans="1:9" ht="15.75" thickBot="1" x14ac:dyDescent="0.3">
      <c r="A9051" s="43" t="s">
        <v>18380</v>
      </c>
      <c r="B9051" s="21" t="s">
        <v>18381</v>
      </c>
      <c r="C9051" s="21" t="s">
        <v>22655</v>
      </c>
      <c r="D9051" s="22">
        <v>46034</v>
      </c>
      <c r="E9051" s="23" t="s">
        <v>22656</v>
      </c>
      <c r="F9051" s="24" t="s">
        <v>22657</v>
      </c>
      <c r="G9051" s="25">
        <v>2</v>
      </c>
      <c r="H9051" s="29"/>
      <c r="I9051" s="30"/>
    </row>
    <row r="9052" spans="1:9" ht="15.75" thickBot="1" x14ac:dyDescent="0.3">
      <c r="A9052" s="43" t="s">
        <v>18382</v>
      </c>
      <c r="B9052" s="21" t="s">
        <v>18383</v>
      </c>
      <c r="C9052" s="21" t="s">
        <v>22655</v>
      </c>
      <c r="D9052" s="22">
        <v>46046</v>
      </c>
      <c r="E9052" s="23" t="s">
        <v>22656</v>
      </c>
      <c r="F9052" s="24" t="s">
        <v>22657</v>
      </c>
      <c r="G9052" s="25">
        <v>4</v>
      </c>
      <c r="H9052" s="26"/>
      <c r="I9052" s="27"/>
    </row>
    <row r="9053" spans="1:9" ht="15.75" thickBot="1" x14ac:dyDescent="0.3">
      <c r="A9053" s="43" t="s">
        <v>18384</v>
      </c>
      <c r="B9053" s="21" t="s">
        <v>18385</v>
      </c>
      <c r="C9053" s="21" t="s">
        <v>22655</v>
      </c>
      <c r="D9053" s="22">
        <v>46046</v>
      </c>
      <c r="E9053" s="23" t="s">
        <v>22656</v>
      </c>
      <c r="F9053" s="24" t="s">
        <v>22657</v>
      </c>
      <c r="G9053" s="25">
        <v>4</v>
      </c>
      <c r="H9053" s="29"/>
      <c r="I9053" s="30"/>
    </row>
    <row r="9054" spans="1:9" ht="15.75" thickBot="1" x14ac:dyDescent="0.3">
      <c r="A9054" s="43" t="s">
        <v>18386</v>
      </c>
      <c r="B9054" s="21" t="s">
        <v>18387</v>
      </c>
      <c r="C9054" s="21" t="s">
        <v>22655</v>
      </c>
      <c r="D9054" s="22">
        <v>46046</v>
      </c>
      <c r="E9054" s="23" t="s">
        <v>22656</v>
      </c>
      <c r="F9054" s="24" t="s">
        <v>22657</v>
      </c>
      <c r="G9054" s="25">
        <v>4</v>
      </c>
      <c r="H9054" s="26"/>
      <c r="I9054" s="27"/>
    </row>
    <row r="9055" spans="1:9" ht="15.75" thickBot="1" x14ac:dyDescent="0.3">
      <c r="A9055" s="43" t="s">
        <v>18388</v>
      </c>
      <c r="B9055" s="21" t="s">
        <v>18389</v>
      </c>
      <c r="C9055" s="21" t="s">
        <v>22655</v>
      </c>
      <c r="D9055" s="22">
        <v>46046</v>
      </c>
      <c r="E9055" s="23" t="s">
        <v>22656</v>
      </c>
      <c r="F9055" s="24" t="s">
        <v>22657</v>
      </c>
      <c r="G9055" s="25">
        <v>4</v>
      </c>
      <c r="H9055" s="29"/>
      <c r="I9055" s="30"/>
    </row>
    <row r="9056" spans="1:9" ht="15.75" thickBot="1" x14ac:dyDescent="0.3">
      <c r="A9056" s="43" t="s">
        <v>18390</v>
      </c>
      <c r="B9056" s="21" t="s">
        <v>18391</v>
      </c>
      <c r="C9056" s="21" t="s">
        <v>22655</v>
      </c>
      <c r="D9056" s="22">
        <v>46046</v>
      </c>
      <c r="E9056" s="23" t="s">
        <v>22656</v>
      </c>
      <c r="F9056" s="24" t="s">
        <v>22657</v>
      </c>
      <c r="G9056" s="25">
        <v>4</v>
      </c>
      <c r="H9056" s="26"/>
      <c r="I9056" s="27"/>
    </row>
    <row r="9057" spans="1:9" ht="15.75" thickBot="1" x14ac:dyDescent="0.3">
      <c r="A9057" s="43" t="s">
        <v>18392</v>
      </c>
      <c r="B9057" s="21" t="s">
        <v>18393</v>
      </c>
      <c r="C9057" s="21" t="s">
        <v>22655</v>
      </c>
      <c r="D9057" s="22">
        <v>46046</v>
      </c>
      <c r="E9057" s="23" t="s">
        <v>22661</v>
      </c>
      <c r="F9057" s="24" t="s">
        <v>22657</v>
      </c>
      <c r="G9057" s="25">
        <v>12</v>
      </c>
      <c r="H9057" s="32">
        <v>12</v>
      </c>
      <c r="I9057" s="33">
        <v>24</v>
      </c>
    </row>
    <row r="9058" spans="1:9" ht="15.75" thickBot="1" x14ac:dyDescent="0.3">
      <c r="A9058" s="43" t="s">
        <v>459</v>
      </c>
      <c r="B9058" s="21" t="s">
        <v>460</v>
      </c>
      <c r="C9058" s="21" t="s">
        <v>22655</v>
      </c>
      <c r="D9058" s="22">
        <v>46034</v>
      </c>
      <c r="E9058" s="23" t="s">
        <v>22656</v>
      </c>
      <c r="F9058" s="24" t="s">
        <v>22657</v>
      </c>
      <c r="G9058" s="25">
        <v>4</v>
      </c>
      <c r="H9058" s="34">
        <v>4</v>
      </c>
      <c r="I9058" s="35">
        <v>6</v>
      </c>
    </row>
    <row r="9059" spans="1:9" ht="15.75" thickBot="1" x14ac:dyDescent="0.3">
      <c r="A9059" s="43" t="s">
        <v>18394</v>
      </c>
      <c r="B9059" s="21" t="s">
        <v>18395</v>
      </c>
      <c r="C9059" s="21" t="s">
        <v>22655</v>
      </c>
      <c r="D9059" s="22">
        <v>46046</v>
      </c>
      <c r="E9059" s="23" t="s">
        <v>22656</v>
      </c>
      <c r="F9059" s="24" t="s">
        <v>22657</v>
      </c>
      <c r="G9059" s="25">
        <v>2</v>
      </c>
      <c r="H9059" s="29"/>
      <c r="I9059" s="30"/>
    </row>
    <row r="9060" spans="1:9" ht="15.75" thickBot="1" x14ac:dyDescent="0.3">
      <c r="A9060" s="43" t="s">
        <v>939</v>
      </c>
      <c r="B9060" s="21" t="s">
        <v>18396</v>
      </c>
      <c r="C9060" s="21" t="s">
        <v>22655</v>
      </c>
      <c r="D9060" s="22">
        <v>46034</v>
      </c>
      <c r="E9060" s="23" t="s">
        <v>22656</v>
      </c>
      <c r="F9060" s="24" t="s">
        <v>22657</v>
      </c>
      <c r="G9060" s="25">
        <v>6</v>
      </c>
      <c r="H9060" s="34">
        <v>6</v>
      </c>
      <c r="I9060" s="35">
        <v>12</v>
      </c>
    </row>
    <row r="9061" spans="1:9" ht="15.75" thickBot="1" x14ac:dyDescent="0.3">
      <c r="A9061" s="43" t="s">
        <v>18397</v>
      </c>
      <c r="B9061" s="21" t="s">
        <v>18398</v>
      </c>
      <c r="C9061" s="21" t="s">
        <v>22655</v>
      </c>
      <c r="D9061" s="22">
        <v>46046</v>
      </c>
      <c r="E9061" s="23" t="s">
        <v>22661</v>
      </c>
      <c r="F9061" s="24" t="s">
        <v>22657</v>
      </c>
      <c r="G9061" s="25">
        <v>6</v>
      </c>
      <c r="H9061" s="32">
        <v>6</v>
      </c>
      <c r="I9061" s="33">
        <v>12</v>
      </c>
    </row>
    <row r="9062" spans="1:9" ht="15.75" thickBot="1" x14ac:dyDescent="0.3">
      <c r="A9062" s="43" t="s">
        <v>303</v>
      </c>
      <c r="B9062" s="21" t="s">
        <v>304</v>
      </c>
      <c r="C9062" s="21" t="s">
        <v>22655</v>
      </c>
      <c r="D9062" s="22">
        <v>46046</v>
      </c>
      <c r="E9062" s="23" t="s">
        <v>22656</v>
      </c>
      <c r="F9062" s="24" t="s">
        <v>22657</v>
      </c>
      <c r="G9062" s="25">
        <v>3</v>
      </c>
      <c r="H9062" s="26"/>
      <c r="I9062" s="27"/>
    </row>
    <row r="9063" spans="1:9" ht="15.75" thickBot="1" x14ac:dyDescent="0.3">
      <c r="A9063" s="43" t="s">
        <v>18399</v>
      </c>
      <c r="B9063" s="21" t="s">
        <v>18400</v>
      </c>
      <c r="C9063" s="21" t="s">
        <v>22655</v>
      </c>
      <c r="D9063" s="22">
        <v>46046</v>
      </c>
      <c r="E9063" s="23" t="s">
        <v>22656</v>
      </c>
      <c r="F9063" s="24" t="s">
        <v>22657</v>
      </c>
      <c r="G9063" s="25">
        <v>4</v>
      </c>
      <c r="H9063" s="29"/>
      <c r="I9063" s="30"/>
    </row>
    <row r="9064" spans="1:9" ht="15.75" thickBot="1" x14ac:dyDescent="0.3">
      <c r="A9064" s="43" t="s">
        <v>925</v>
      </c>
      <c r="B9064" s="21" t="s">
        <v>18401</v>
      </c>
      <c r="C9064" s="21" t="s">
        <v>22655</v>
      </c>
      <c r="D9064" s="22">
        <v>46046</v>
      </c>
      <c r="E9064" s="23" t="s">
        <v>22661</v>
      </c>
      <c r="F9064" s="24" t="s">
        <v>22657</v>
      </c>
      <c r="G9064" s="25">
        <v>12</v>
      </c>
      <c r="H9064" s="34">
        <v>12</v>
      </c>
      <c r="I9064" s="35">
        <v>24</v>
      </c>
    </row>
    <row r="9065" spans="1:9" ht="15.75" thickBot="1" x14ac:dyDescent="0.3">
      <c r="A9065" s="43" t="s">
        <v>18402</v>
      </c>
      <c r="B9065" s="21" t="s">
        <v>18403</v>
      </c>
      <c r="C9065" s="21" t="s">
        <v>22655</v>
      </c>
      <c r="D9065" s="22">
        <v>46046</v>
      </c>
      <c r="E9065" s="23" t="s">
        <v>22656</v>
      </c>
      <c r="F9065" s="24" t="s">
        <v>22657</v>
      </c>
      <c r="G9065" s="25">
        <v>12</v>
      </c>
      <c r="H9065" s="32">
        <v>12</v>
      </c>
      <c r="I9065" s="33">
        <v>16</v>
      </c>
    </row>
    <row r="9066" spans="1:9" ht="15.75" thickBot="1" x14ac:dyDescent="0.3">
      <c r="A9066" s="43" t="s">
        <v>18406</v>
      </c>
      <c r="B9066" s="21" t="s">
        <v>18405</v>
      </c>
      <c r="C9066" s="21" t="s">
        <v>22655</v>
      </c>
      <c r="D9066" s="22">
        <v>46034</v>
      </c>
      <c r="E9066" s="23" t="s">
        <v>22658</v>
      </c>
      <c r="F9066" s="24" t="s">
        <v>22657</v>
      </c>
      <c r="G9066" s="25">
        <v>2</v>
      </c>
      <c r="H9066" s="26"/>
      <c r="I9066" s="27"/>
    </row>
    <row r="9067" spans="1:9" ht="15.75" thickBot="1" x14ac:dyDescent="0.3">
      <c r="A9067" s="43" t="s">
        <v>18404</v>
      </c>
      <c r="B9067" s="21" t="s">
        <v>18405</v>
      </c>
      <c r="C9067" s="21" t="s">
        <v>22655</v>
      </c>
      <c r="D9067" s="22">
        <v>46034</v>
      </c>
      <c r="E9067" s="23" t="s">
        <v>22656</v>
      </c>
      <c r="F9067" s="24" t="s">
        <v>22657</v>
      </c>
      <c r="G9067" s="25">
        <v>6</v>
      </c>
      <c r="H9067" s="32">
        <v>6</v>
      </c>
      <c r="I9067" s="33">
        <v>12</v>
      </c>
    </row>
    <row r="9068" spans="1:9" ht="15.75" thickBot="1" x14ac:dyDescent="0.3">
      <c r="A9068" s="43" t="s">
        <v>18407</v>
      </c>
      <c r="B9068" s="21" t="s">
        <v>18408</v>
      </c>
      <c r="C9068" s="21" t="s">
        <v>22655</v>
      </c>
      <c r="D9068" s="22">
        <v>46042</v>
      </c>
      <c r="E9068" s="23" t="s">
        <v>22656</v>
      </c>
      <c r="F9068" s="24" t="s">
        <v>22657</v>
      </c>
      <c r="G9068" s="25">
        <v>7</v>
      </c>
      <c r="H9068" s="26"/>
      <c r="I9068" s="27"/>
    </row>
    <row r="9069" spans="1:9" ht="15.75" thickBot="1" x14ac:dyDescent="0.3">
      <c r="A9069" s="43" t="s">
        <v>18409</v>
      </c>
      <c r="B9069" s="21" t="s">
        <v>18410</v>
      </c>
      <c r="C9069" s="21" t="s">
        <v>22655</v>
      </c>
      <c r="D9069" s="31" t="s">
        <v>22688</v>
      </c>
      <c r="E9069" s="23" t="s">
        <v>22658</v>
      </c>
      <c r="F9069" s="24" t="s">
        <v>22657</v>
      </c>
      <c r="G9069" s="25">
        <v>4</v>
      </c>
      <c r="H9069" s="29"/>
      <c r="I9069" s="30"/>
    </row>
    <row r="9070" spans="1:9" ht="15.75" thickBot="1" x14ac:dyDescent="0.3">
      <c r="A9070" s="43" t="s">
        <v>18411</v>
      </c>
      <c r="B9070" s="21" t="s">
        <v>18412</v>
      </c>
      <c r="C9070" s="21" t="s">
        <v>22655</v>
      </c>
      <c r="D9070" s="31" t="s">
        <v>22666</v>
      </c>
      <c r="E9070" s="23" t="s">
        <v>22656</v>
      </c>
      <c r="F9070" s="24" t="s">
        <v>22657</v>
      </c>
      <c r="G9070" s="25">
        <v>7</v>
      </c>
      <c r="H9070" s="26"/>
      <c r="I9070" s="27"/>
    </row>
    <row r="9071" spans="1:9" ht="15.75" thickBot="1" x14ac:dyDescent="0.3">
      <c r="A9071" s="43" t="s">
        <v>18413</v>
      </c>
      <c r="B9071" s="21" t="s">
        <v>18414</v>
      </c>
      <c r="C9071" s="21" t="s">
        <v>22655</v>
      </c>
      <c r="D9071" s="22">
        <v>46052</v>
      </c>
      <c r="E9071" s="23" t="s">
        <v>22656</v>
      </c>
      <c r="F9071" s="24" t="s">
        <v>22657</v>
      </c>
      <c r="G9071" s="25">
        <v>7</v>
      </c>
      <c r="H9071" s="29"/>
      <c r="I9071" s="30"/>
    </row>
    <row r="9072" spans="1:9" ht="15.75" thickBot="1" x14ac:dyDescent="0.3">
      <c r="A9072" s="43" t="s">
        <v>18415</v>
      </c>
      <c r="B9072" s="21" t="s">
        <v>18416</v>
      </c>
      <c r="C9072" s="21" t="s">
        <v>22655</v>
      </c>
      <c r="D9072" s="31" t="s">
        <v>22673</v>
      </c>
      <c r="E9072" s="23" t="s">
        <v>22656</v>
      </c>
      <c r="F9072" s="24" t="s">
        <v>22657</v>
      </c>
      <c r="G9072" s="25">
        <v>4</v>
      </c>
      <c r="H9072" s="26"/>
      <c r="I9072" s="27"/>
    </row>
    <row r="9073" spans="1:9" ht="15.75" thickBot="1" x14ac:dyDescent="0.3">
      <c r="A9073" s="43" t="s">
        <v>18417</v>
      </c>
      <c r="B9073" s="21" t="s">
        <v>18418</v>
      </c>
      <c r="C9073" s="21" t="s">
        <v>22655</v>
      </c>
      <c r="D9073" s="31" t="s">
        <v>22688</v>
      </c>
      <c r="E9073" s="23" t="s">
        <v>22656</v>
      </c>
      <c r="F9073" s="24" t="s">
        <v>22657</v>
      </c>
      <c r="G9073" s="25">
        <v>4</v>
      </c>
      <c r="H9073" s="29"/>
      <c r="I9073" s="30"/>
    </row>
    <row r="9074" spans="1:9" ht="15.75" thickBot="1" x14ac:dyDescent="0.3">
      <c r="A9074" s="43" t="s">
        <v>18419</v>
      </c>
      <c r="B9074" s="21" t="s">
        <v>18420</v>
      </c>
      <c r="C9074" s="21" t="s">
        <v>22655</v>
      </c>
      <c r="D9074" s="22">
        <v>46046</v>
      </c>
      <c r="E9074" s="23" t="s">
        <v>22656</v>
      </c>
      <c r="F9074" s="24" t="s">
        <v>22657</v>
      </c>
      <c r="G9074" s="25">
        <v>4</v>
      </c>
      <c r="H9074" s="26"/>
      <c r="I9074" s="27"/>
    </row>
    <row r="9075" spans="1:9" ht="15.75" thickBot="1" x14ac:dyDescent="0.3">
      <c r="A9075" s="43" t="s">
        <v>18421</v>
      </c>
      <c r="B9075" s="21" t="s">
        <v>18422</v>
      </c>
      <c r="C9075" s="21" t="s">
        <v>22746</v>
      </c>
      <c r="D9075" s="31" t="s">
        <v>22670</v>
      </c>
      <c r="E9075" s="23" t="s">
        <v>22661</v>
      </c>
      <c r="F9075" s="24" t="s">
        <v>22657</v>
      </c>
      <c r="G9075" s="25">
        <v>12</v>
      </c>
      <c r="H9075" s="29"/>
      <c r="I9075" s="30"/>
    </row>
    <row r="9076" spans="1:9" ht="15.75" thickBot="1" x14ac:dyDescent="0.3">
      <c r="A9076" s="43" t="s">
        <v>18423</v>
      </c>
      <c r="B9076" s="21" t="s">
        <v>18424</v>
      </c>
      <c r="C9076" s="21" t="s">
        <v>22746</v>
      </c>
      <c r="D9076" s="31" t="s">
        <v>22670</v>
      </c>
      <c r="E9076" s="23" t="s">
        <v>22661</v>
      </c>
      <c r="F9076" s="24" t="s">
        <v>22657</v>
      </c>
      <c r="G9076" s="25">
        <v>35</v>
      </c>
      <c r="H9076" s="26"/>
      <c r="I9076" s="27"/>
    </row>
    <row r="9077" spans="1:9" ht="15.75" thickBot="1" x14ac:dyDescent="0.3">
      <c r="A9077" s="43" t="s">
        <v>18425</v>
      </c>
      <c r="B9077" s="21" t="s">
        <v>18426</v>
      </c>
      <c r="C9077" s="21" t="s">
        <v>22655</v>
      </c>
      <c r="D9077" s="31" t="s">
        <v>22673</v>
      </c>
      <c r="E9077" s="23" t="s">
        <v>22656</v>
      </c>
      <c r="F9077" s="24" t="s">
        <v>22657</v>
      </c>
      <c r="G9077" s="25">
        <v>4</v>
      </c>
      <c r="H9077" s="29"/>
      <c r="I9077" s="30"/>
    </row>
    <row r="9078" spans="1:9" ht="15.75" thickBot="1" x14ac:dyDescent="0.3">
      <c r="A9078" s="43" t="s">
        <v>18427</v>
      </c>
      <c r="B9078" s="21" t="s">
        <v>18428</v>
      </c>
      <c r="C9078" s="21" t="s">
        <v>22655</v>
      </c>
      <c r="D9078" s="22">
        <v>46032</v>
      </c>
      <c r="E9078" s="23" t="s">
        <v>22656</v>
      </c>
      <c r="F9078" s="24" t="s">
        <v>22657</v>
      </c>
      <c r="G9078" s="25">
        <v>4</v>
      </c>
      <c r="H9078" s="26"/>
      <c r="I9078" s="27"/>
    </row>
    <row r="9079" spans="1:9" ht="15.75" thickBot="1" x14ac:dyDescent="0.3">
      <c r="A9079" s="43" t="s">
        <v>18429</v>
      </c>
      <c r="B9079" s="21" t="s">
        <v>18430</v>
      </c>
      <c r="C9079" s="21" t="s">
        <v>22655</v>
      </c>
      <c r="D9079" s="22">
        <v>46052</v>
      </c>
      <c r="E9079" s="23" t="s">
        <v>22656</v>
      </c>
      <c r="F9079" s="24" t="s">
        <v>22657</v>
      </c>
      <c r="G9079" s="25">
        <v>4</v>
      </c>
      <c r="H9079" s="29"/>
      <c r="I9079" s="30"/>
    </row>
    <row r="9080" spans="1:9" ht="15.75" thickBot="1" x14ac:dyDescent="0.3">
      <c r="A9080" s="43" t="s">
        <v>18431</v>
      </c>
      <c r="B9080" s="21" t="s">
        <v>18432</v>
      </c>
      <c r="C9080" s="21" t="s">
        <v>22655</v>
      </c>
      <c r="D9080" s="31" t="s">
        <v>22688</v>
      </c>
      <c r="E9080" s="23" t="s">
        <v>22656</v>
      </c>
      <c r="F9080" s="24" t="s">
        <v>22657</v>
      </c>
      <c r="G9080" s="25">
        <v>4</v>
      </c>
      <c r="H9080" s="26"/>
      <c r="I9080" s="27"/>
    </row>
    <row r="9081" spans="1:9" ht="15.75" thickBot="1" x14ac:dyDescent="0.3">
      <c r="A9081" s="43" t="s">
        <v>18433</v>
      </c>
      <c r="B9081" s="21" t="s">
        <v>18434</v>
      </c>
      <c r="C9081" s="21" t="s">
        <v>22655</v>
      </c>
      <c r="D9081" s="31" t="s">
        <v>22673</v>
      </c>
      <c r="E9081" s="23" t="s">
        <v>22656</v>
      </c>
      <c r="F9081" s="24" t="s">
        <v>22657</v>
      </c>
      <c r="G9081" s="25">
        <v>4</v>
      </c>
      <c r="H9081" s="29"/>
      <c r="I9081" s="30"/>
    </row>
    <row r="9082" spans="1:9" ht="15.75" thickBot="1" x14ac:dyDescent="0.3">
      <c r="A9082" s="43" t="s">
        <v>18435</v>
      </c>
      <c r="B9082" s="21" t="s">
        <v>18436</v>
      </c>
      <c r="C9082" s="21" t="s">
        <v>22667</v>
      </c>
      <c r="D9082" s="31" t="s">
        <v>22670</v>
      </c>
      <c r="E9082" s="23" t="s">
        <v>22656</v>
      </c>
      <c r="F9082" s="24" t="s">
        <v>22657</v>
      </c>
      <c r="G9082" s="25">
        <v>7</v>
      </c>
      <c r="H9082" s="26"/>
      <c r="I9082" s="27"/>
    </row>
    <row r="9083" spans="1:9" ht="15.75" thickBot="1" x14ac:dyDescent="0.3">
      <c r="A9083" s="43" t="s">
        <v>18437</v>
      </c>
      <c r="B9083" s="21" t="s">
        <v>18438</v>
      </c>
      <c r="C9083" s="21" t="s">
        <v>22655</v>
      </c>
      <c r="D9083" s="22">
        <v>46032</v>
      </c>
      <c r="E9083" s="23" t="s">
        <v>22656</v>
      </c>
      <c r="F9083" s="24" t="s">
        <v>22657</v>
      </c>
      <c r="G9083" s="25">
        <v>4</v>
      </c>
      <c r="H9083" s="29"/>
      <c r="I9083" s="30"/>
    </row>
    <row r="9084" spans="1:9" ht="15.75" thickBot="1" x14ac:dyDescent="0.3">
      <c r="A9084" s="43" t="s">
        <v>18439</v>
      </c>
      <c r="B9084" s="21" t="s">
        <v>18440</v>
      </c>
      <c r="C9084" s="21" t="s">
        <v>22655</v>
      </c>
      <c r="D9084" s="22">
        <v>46052</v>
      </c>
      <c r="E9084" s="23" t="s">
        <v>22656</v>
      </c>
      <c r="F9084" s="24" t="s">
        <v>22657</v>
      </c>
      <c r="G9084" s="25">
        <v>4</v>
      </c>
      <c r="H9084" s="26"/>
      <c r="I9084" s="27"/>
    </row>
    <row r="9085" spans="1:9" ht="15.75" thickBot="1" x14ac:dyDescent="0.3">
      <c r="A9085" s="43" t="s">
        <v>18441</v>
      </c>
      <c r="B9085" s="21" t="s">
        <v>18442</v>
      </c>
      <c r="C9085" s="21" t="s">
        <v>22655</v>
      </c>
      <c r="D9085" s="31" t="s">
        <v>22673</v>
      </c>
      <c r="E9085" s="23" t="s">
        <v>22656</v>
      </c>
      <c r="F9085" s="24" t="s">
        <v>22657</v>
      </c>
      <c r="G9085" s="25">
        <v>4</v>
      </c>
      <c r="H9085" s="29"/>
      <c r="I9085" s="30"/>
    </row>
    <row r="9086" spans="1:9" ht="15.75" thickBot="1" x14ac:dyDescent="0.3">
      <c r="A9086" s="43" t="s">
        <v>18443</v>
      </c>
      <c r="B9086" s="21" t="s">
        <v>18444</v>
      </c>
      <c r="C9086" s="21" t="s">
        <v>22667</v>
      </c>
      <c r="D9086" s="31" t="s">
        <v>22670</v>
      </c>
      <c r="E9086" s="23" t="s">
        <v>22656</v>
      </c>
      <c r="F9086" s="24" t="s">
        <v>22657</v>
      </c>
      <c r="G9086" s="25">
        <v>7</v>
      </c>
      <c r="H9086" s="26"/>
      <c r="I9086" s="27"/>
    </row>
    <row r="9087" spans="1:9" ht="15.75" thickBot="1" x14ac:dyDescent="0.3">
      <c r="A9087" s="43" t="s">
        <v>18445</v>
      </c>
      <c r="B9087" s="21" t="s">
        <v>18446</v>
      </c>
      <c r="C9087" s="21" t="s">
        <v>22655</v>
      </c>
      <c r="D9087" s="22">
        <v>46042</v>
      </c>
      <c r="E9087" s="23" t="s">
        <v>22656</v>
      </c>
      <c r="F9087" s="24" t="s">
        <v>22657</v>
      </c>
      <c r="G9087" s="25">
        <v>4</v>
      </c>
      <c r="H9087" s="29"/>
      <c r="I9087" s="30"/>
    </row>
    <row r="9088" spans="1:9" ht="15.75" thickBot="1" x14ac:dyDescent="0.3">
      <c r="A9088" s="43" t="s">
        <v>18447</v>
      </c>
      <c r="B9088" s="21" t="s">
        <v>18448</v>
      </c>
      <c r="C9088" s="21" t="s">
        <v>22690</v>
      </c>
      <c r="D9088" s="31" t="s">
        <v>22670</v>
      </c>
      <c r="E9088" s="23" t="s">
        <v>22656</v>
      </c>
      <c r="F9088" s="24" t="s">
        <v>22657</v>
      </c>
      <c r="G9088" s="25">
        <v>4</v>
      </c>
      <c r="H9088" s="26"/>
      <c r="I9088" s="27"/>
    </row>
    <row r="9089" spans="1:9" ht="15.75" thickBot="1" x14ac:dyDescent="0.3">
      <c r="A9089" s="43" t="s">
        <v>18449</v>
      </c>
      <c r="B9089" s="21" t="s">
        <v>18450</v>
      </c>
      <c r="C9089" s="21" t="s">
        <v>22667</v>
      </c>
      <c r="D9089" s="31" t="s">
        <v>22670</v>
      </c>
      <c r="E9089" s="23" t="s">
        <v>22661</v>
      </c>
      <c r="F9089" s="24" t="s">
        <v>22657</v>
      </c>
      <c r="G9089" s="25">
        <v>37</v>
      </c>
      <c r="H9089" s="29"/>
      <c r="I9089" s="30"/>
    </row>
    <row r="9090" spans="1:9" ht="15.75" thickBot="1" x14ac:dyDescent="0.3">
      <c r="A9090" s="43" t="s">
        <v>1125</v>
      </c>
      <c r="B9090" s="21" t="s">
        <v>18451</v>
      </c>
      <c r="C9090" s="21" t="s">
        <v>22655</v>
      </c>
      <c r="D9090" s="31" t="s">
        <v>22673</v>
      </c>
      <c r="E9090" s="23" t="s">
        <v>22661</v>
      </c>
      <c r="F9090" s="24" t="s">
        <v>22657</v>
      </c>
      <c r="G9090" s="25">
        <v>19</v>
      </c>
      <c r="H9090" s="26"/>
      <c r="I9090" s="27"/>
    </row>
    <row r="9091" spans="1:9" ht="15.75" thickBot="1" x14ac:dyDescent="0.3">
      <c r="A9091" s="43" t="s">
        <v>18452</v>
      </c>
      <c r="B9091" s="21" t="s">
        <v>18453</v>
      </c>
      <c r="C9091" s="21" t="s">
        <v>22655</v>
      </c>
      <c r="D9091" s="22">
        <v>46032</v>
      </c>
      <c r="E9091" s="23" t="s">
        <v>22656</v>
      </c>
      <c r="F9091" s="24" t="s">
        <v>22657</v>
      </c>
      <c r="G9091" s="25">
        <v>4</v>
      </c>
      <c r="H9091" s="29"/>
      <c r="I9091" s="30"/>
    </row>
    <row r="9092" spans="1:9" ht="15.75" thickBot="1" x14ac:dyDescent="0.3">
      <c r="A9092" s="43" t="s">
        <v>18454</v>
      </c>
      <c r="B9092" s="21" t="s">
        <v>18455</v>
      </c>
      <c r="C9092" s="21" t="s">
        <v>22655</v>
      </c>
      <c r="D9092" s="22">
        <v>46046</v>
      </c>
      <c r="E9092" s="23" t="s">
        <v>22656</v>
      </c>
      <c r="F9092" s="24" t="s">
        <v>22657</v>
      </c>
      <c r="G9092" s="25">
        <v>4</v>
      </c>
      <c r="H9092" s="26"/>
      <c r="I9092" s="27"/>
    </row>
    <row r="9093" spans="1:9" ht="15.75" thickBot="1" x14ac:dyDescent="0.3">
      <c r="A9093" s="43" t="s">
        <v>18456</v>
      </c>
      <c r="B9093" s="21" t="s">
        <v>18457</v>
      </c>
      <c r="C9093" s="21" t="s">
        <v>22655</v>
      </c>
      <c r="D9093" s="22">
        <v>46046</v>
      </c>
      <c r="E9093" s="23" t="s">
        <v>22656</v>
      </c>
      <c r="F9093" s="24" t="s">
        <v>22657</v>
      </c>
      <c r="G9093" s="25">
        <v>4</v>
      </c>
      <c r="H9093" s="29"/>
      <c r="I9093" s="30"/>
    </row>
    <row r="9094" spans="1:9" ht="15.75" thickBot="1" x14ac:dyDescent="0.3">
      <c r="A9094" s="43" t="s">
        <v>18458</v>
      </c>
      <c r="B9094" s="21" t="s">
        <v>18459</v>
      </c>
      <c r="C9094" s="21" t="s">
        <v>22655</v>
      </c>
      <c r="D9094" s="22">
        <v>46046</v>
      </c>
      <c r="E9094" s="23" t="s">
        <v>22656</v>
      </c>
      <c r="F9094" s="24" t="s">
        <v>22657</v>
      </c>
      <c r="G9094" s="25">
        <v>4</v>
      </c>
      <c r="H9094" s="26"/>
      <c r="I9094" s="27"/>
    </row>
    <row r="9095" spans="1:9" ht="15.75" thickBot="1" x14ac:dyDescent="0.3">
      <c r="A9095" s="43" t="s">
        <v>18460</v>
      </c>
      <c r="B9095" s="21" t="s">
        <v>18461</v>
      </c>
      <c r="C9095" s="21" t="s">
        <v>22655</v>
      </c>
      <c r="D9095" s="22">
        <v>46032</v>
      </c>
      <c r="E9095" s="23" t="s">
        <v>22656</v>
      </c>
      <c r="F9095" s="24" t="s">
        <v>22657</v>
      </c>
      <c r="G9095" s="25">
        <v>4</v>
      </c>
      <c r="H9095" s="29"/>
      <c r="I9095" s="30"/>
    </row>
    <row r="9096" spans="1:9" ht="15.75" thickBot="1" x14ac:dyDescent="0.3">
      <c r="A9096" s="43" t="s">
        <v>18462</v>
      </c>
      <c r="B9096" s="21" t="s">
        <v>18463</v>
      </c>
      <c r="C9096" s="21" t="s">
        <v>22655</v>
      </c>
      <c r="D9096" s="22">
        <v>46032</v>
      </c>
      <c r="E9096" s="23" t="s">
        <v>22656</v>
      </c>
      <c r="F9096" s="24" t="s">
        <v>22657</v>
      </c>
      <c r="G9096" s="25">
        <v>4</v>
      </c>
      <c r="H9096" s="26"/>
      <c r="I9096" s="27"/>
    </row>
    <row r="9097" spans="1:9" ht="15.75" thickBot="1" x14ac:dyDescent="0.3">
      <c r="A9097" s="43" t="s">
        <v>18464</v>
      </c>
      <c r="B9097" s="21" t="s">
        <v>18465</v>
      </c>
      <c r="C9097" s="21" t="s">
        <v>22655</v>
      </c>
      <c r="D9097" s="31" t="s">
        <v>22673</v>
      </c>
      <c r="E9097" s="23" t="s">
        <v>22656</v>
      </c>
      <c r="F9097" s="24" t="s">
        <v>22657</v>
      </c>
      <c r="G9097" s="25">
        <v>4</v>
      </c>
      <c r="H9097" s="29"/>
      <c r="I9097" s="30"/>
    </row>
    <row r="9098" spans="1:9" ht="15.75" thickBot="1" x14ac:dyDescent="0.3">
      <c r="A9098" s="43" t="s">
        <v>18466</v>
      </c>
      <c r="B9098" s="21" t="s">
        <v>18467</v>
      </c>
      <c r="C9098" s="21" t="s">
        <v>22655</v>
      </c>
      <c r="D9098" s="22">
        <v>46046</v>
      </c>
      <c r="E9098" s="23" t="s">
        <v>22656</v>
      </c>
      <c r="F9098" s="24" t="s">
        <v>22657</v>
      </c>
      <c r="G9098" s="25">
        <v>4</v>
      </c>
      <c r="H9098" s="26"/>
      <c r="I9098" s="27"/>
    </row>
    <row r="9099" spans="1:9" ht="15.75" thickBot="1" x14ac:dyDescent="0.3">
      <c r="A9099" s="43" t="s">
        <v>18468</v>
      </c>
      <c r="B9099" s="21" t="s">
        <v>18469</v>
      </c>
      <c r="C9099" s="21" t="s">
        <v>22655</v>
      </c>
      <c r="D9099" s="22">
        <v>46046</v>
      </c>
      <c r="E9099" s="23" t="s">
        <v>22656</v>
      </c>
      <c r="F9099" s="24" t="s">
        <v>22657</v>
      </c>
      <c r="G9099" s="25">
        <v>4</v>
      </c>
      <c r="H9099" s="29"/>
      <c r="I9099" s="30"/>
    </row>
    <row r="9100" spans="1:9" ht="15.75" thickBot="1" x14ac:dyDescent="0.3">
      <c r="A9100" s="43" t="s">
        <v>18470</v>
      </c>
      <c r="B9100" s="21" t="s">
        <v>18471</v>
      </c>
      <c r="C9100" s="21" t="s">
        <v>22667</v>
      </c>
      <c r="D9100" s="31" t="s">
        <v>22699</v>
      </c>
      <c r="E9100" s="23" t="s">
        <v>22656</v>
      </c>
      <c r="F9100" s="24" t="s">
        <v>22657</v>
      </c>
      <c r="G9100" s="25">
        <v>8</v>
      </c>
      <c r="H9100" s="26"/>
      <c r="I9100" s="27"/>
    </row>
    <row r="9101" spans="1:9" ht="15.75" thickBot="1" x14ac:dyDescent="0.3">
      <c r="A9101" s="43" t="s">
        <v>18472</v>
      </c>
      <c r="B9101" s="21" t="s">
        <v>18473</v>
      </c>
      <c r="C9101" s="21" t="s">
        <v>22798</v>
      </c>
      <c r="D9101" s="31" t="s">
        <v>22869</v>
      </c>
      <c r="E9101" s="23" t="s">
        <v>22658</v>
      </c>
      <c r="F9101" s="24" t="s">
        <v>22657</v>
      </c>
      <c r="G9101" s="25">
        <v>8</v>
      </c>
      <c r="H9101" s="29"/>
      <c r="I9101" s="30"/>
    </row>
    <row r="9102" spans="1:9" ht="15.75" thickBot="1" x14ac:dyDescent="0.3">
      <c r="A9102" s="43" t="s">
        <v>18474</v>
      </c>
      <c r="B9102" s="21" t="s">
        <v>18475</v>
      </c>
      <c r="C9102" s="21" t="s">
        <v>22798</v>
      </c>
      <c r="D9102" s="31" t="s">
        <v>22699</v>
      </c>
      <c r="E9102" s="23" t="s">
        <v>22656</v>
      </c>
      <c r="F9102" s="24" t="s">
        <v>22657</v>
      </c>
      <c r="G9102" s="25">
        <v>8</v>
      </c>
      <c r="H9102" s="26"/>
      <c r="I9102" s="27"/>
    </row>
    <row r="9103" spans="1:9" ht="15.75" thickBot="1" x14ac:dyDescent="0.3">
      <c r="A9103" s="43" t="s">
        <v>18476</v>
      </c>
      <c r="B9103" s="21" t="s">
        <v>18477</v>
      </c>
      <c r="C9103" s="21" t="s">
        <v>22798</v>
      </c>
      <c r="D9103" s="31" t="s">
        <v>22869</v>
      </c>
      <c r="E9103" s="23" t="s">
        <v>22656</v>
      </c>
      <c r="F9103" s="24" t="s">
        <v>22657</v>
      </c>
      <c r="G9103" s="25">
        <v>8</v>
      </c>
      <c r="H9103" s="29"/>
      <c r="I9103" s="30"/>
    </row>
    <row r="9104" spans="1:9" ht="15.75" thickBot="1" x14ac:dyDescent="0.3">
      <c r="A9104" s="43" t="s">
        <v>18478</v>
      </c>
      <c r="B9104" s="21" t="s">
        <v>18479</v>
      </c>
      <c r="C9104" s="21" t="s">
        <v>22798</v>
      </c>
      <c r="D9104" s="31" t="s">
        <v>22869</v>
      </c>
      <c r="E9104" s="23" t="s">
        <v>22658</v>
      </c>
      <c r="F9104" s="24" t="s">
        <v>22657</v>
      </c>
      <c r="G9104" s="25">
        <v>8</v>
      </c>
      <c r="H9104" s="26"/>
      <c r="I9104" s="27"/>
    </row>
    <row r="9105" spans="1:9" ht="15.75" thickBot="1" x14ac:dyDescent="0.3">
      <c r="A9105" s="43" t="s">
        <v>18480</v>
      </c>
      <c r="B9105" s="21" t="s">
        <v>18481</v>
      </c>
      <c r="C9105" s="21" t="s">
        <v>22798</v>
      </c>
      <c r="D9105" s="31" t="s">
        <v>22869</v>
      </c>
      <c r="E9105" s="23" t="s">
        <v>22658</v>
      </c>
      <c r="F9105" s="24" t="s">
        <v>22657</v>
      </c>
      <c r="G9105" s="25">
        <v>8</v>
      </c>
      <c r="H9105" s="29"/>
      <c r="I9105" s="30"/>
    </row>
    <row r="9106" spans="1:9" ht="15.75" thickBot="1" x14ac:dyDescent="0.3">
      <c r="A9106" s="43" t="s">
        <v>18482</v>
      </c>
      <c r="B9106" s="21" t="s">
        <v>18483</v>
      </c>
      <c r="C9106" s="21" t="s">
        <v>22655</v>
      </c>
      <c r="D9106" s="31" t="s">
        <v>22741</v>
      </c>
      <c r="E9106" s="23" t="s">
        <v>22656</v>
      </c>
      <c r="F9106" s="24" t="s">
        <v>22657</v>
      </c>
      <c r="G9106" s="25">
        <v>96</v>
      </c>
      <c r="H9106" s="26"/>
      <c r="I9106" s="27"/>
    </row>
    <row r="9107" spans="1:9" ht="15.75" thickBot="1" x14ac:dyDescent="0.3">
      <c r="A9107" s="43" t="s">
        <v>18484</v>
      </c>
      <c r="B9107" s="21" t="s">
        <v>18485</v>
      </c>
      <c r="C9107" s="21" t="s">
        <v>22655</v>
      </c>
      <c r="D9107" s="31" t="s">
        <v>22870</v>
      </c>
      <c r="E9107" s="23" t="s">
        <v>22658</v>
      </c>
      <c r="F9107" s="24" t="s">
        <v>22657</v>
      </c>
      <c r="G9107" s="25">
        <v>112</v>
      </c>
      <c r="H9107" s="29"/>
      <c r="I9107" s="30"/>
    </row>
    <row r="9108" spans="1:9" ht="15.75" thickBot="1" x14ac:dyDescent="0.3">
      <c r="A9108" s="43" t="s">
        <v>18486</v>
      </c>
      <c r="B9108" s="21" t="s">
        <v>18487</v>
      </c>
      <c r="C9108" s="21" t="s">
        <v>22655</v>
      </c>
      <c r="D9108" s="22">
        <v>46052</v>
      </c>
      <c r="E9108" s="23" t="s">
        <v>22656</v>
      </c>
      <c r="F9108" s="24" t="s">
        <v>22657</v>
      </c>
      <c r="G9108" s="25">
        <v>30</v>
      </c>
      <c r="H9108" s="26"/>
      <c r="I9108" s="27"/>
    </row>
    <row r="9109" spans="1:9" ht="15.75" thickBot="1" x14ac:dyDescent="0.3">
      <c r="A9109" s="43" t="s">
        <v>18488</v>
      </c>
      <c r="B9109" s="21" t="s">
        <v>18489</v>
      </c>
      <c r="C9109" s="21" t="s">
        <v>22655</v>
      </c>
      <c r="D9109" s="22">
        <v>46052</v>
      </c>
      <c r="E9109" s="23" t="s">
        <v>22656</v>
      </c>
      <c r="F9109" s="24" t="s">
        <v>22657</v>
      </c>
      <c r="G9109" s="25">
        <v>30</v>
      </c>
      <c r="H9109" s="29"/>
      <c r="I9109" s="30"/>
    </row>
    <row r="9110" spans="1:9" ht="15.75" thickBot="1" x14ac:dyDescent="0.3">
      <c r="A9110" s="43" t="s">
        <v>18490</v>
      </c>
      <c r="B9110" s="21" t="s">
        <v>18491</v>
      </c>
      <c r="C9110" s="21" t="s">
        <v>22655</v>
      </c>
      <c r="D9110" s="31" t="s">
        <v>22708</v>
      </c>
      <c r="E9110" s="23" t="s">
        <v>22656</v>
      </c>
      <c r="F9110" s="24" t="s">
        <v>22657</v>
      </c>
      <c r="G9110" s="25">
        <v>72</v>
      </c>
      <c r="H9110" s="26"/>
      <c r="I9110" s="27"/>
    </row>
    <row r="9111" spans="1:9" ht="15.75" thickBot="1" x14ac:dyDescent="0.3">
      <c r="A9111" s="43" t="s">
        <v>18492</v>
      </c>
      <c r="B9111" s="21" t="s">
        <v>18493</v>
      </c>
      <c r="C9111" s="21" t="s">
        <v>22871</v>
      </c>
      <c r="D9111" s="22">
        <v>46034</v>
      </c>
      <c r="E9111" s="23" t="s">
        <v>22656</v>
      </c>
      <c r="F9111" s="24" t="s">
        <v>22657</v>
      </c>
      <c r="G9111" s="25">
        <v>20</v>
      </c>
      <c r="H9111" s="29"/>
      <c r="I9111" s="30"/>
    </row>
    <row r="9112" spans="1:9" ht="15.75" thickBot="1" x14ac:dyDescent="0.3">
      <c r="A9112" s="43" t="s">
        <v>18494</v>
      </c>
      <c r="B9112" s="21" t="s">
        <v>18495</v>
      </c>
      <c r="C9112" s="21" t="s">
        <v>22871</v>
      </c>
      <c r="D9112" s="22">
        <v>46034</v>
      </c>
      <c r="E9112" s="23" t="s">
        <v>22656</v>
      </c>
      <c r="F9112" s="24" t="s">
        <v>22657</v>
      </c>
      <c r="G9112" s="25">
        <v>20</v>
      </c>
      <c r="H9112" s="26"/>
      <c r="I9112" s="27"/>
    </row>
    <row r="9113" spans="1:9" ht="15.75" thickBot="1" x14ac:dyDescent="0.3">
      <c r="A9113" s="43" t="s">
        <v>18496</v>
      </c>
      <c r="B9113" s="21" t="s">
        <v>18497</v>
      </c>
      <c r="C9113" s="21" t="s">
        <v>22871</v>
      </c>
      <c r="D9113" s="22">
        <v>46034</v>
      </c>
      <c r="E9113" s="23" t="s">
        <v>22656</v>
      </c>
      <c r="F9113" s="24" t="s">
        <v>22657</v>
      </c>
      <c r="G9113" s="25">
        <v>6</v>
      </c>
      <c r="H9113" s="32">
        <v>6</v>
      </c>
      <c r="I9113" s="33">
        <v>12</v>
      </c>
    </row>
    <row r="9114" spans="1:9" ht="15.75" thickBot="1" x14ac:dyDescent="0.3">
      <c r="A9114" s="43" t="s">
        <v>18498</v>
      </c>
      <c r="B9114" s="21" t="s">
        <v>18499</v>
      </c>
      <c r="C9114" s="21" t="s">
        <v>22871</v>
      </c>
      <c r="D9114" s="22">
        <v>46034</v>
      </c>
      <c r="E9114" s="23" t="s">
        <v>22656</v>
      </c>
      <c r="F9114" s="24" t="s">
        <v>22657</v>
      </c>
      <c r="G9114" s="25">
        <v>6</v>
      </c>
      <c r="H9114" s="34">
        <v>6</v>
      </c>
      <c r="I9114" s="35">
        <v>12</v>
      </c>
    </row>
    <row r="9115" spans="1:9" ht="15.75" thickBot="1" x14ac:dyDescent="0.3">
      <c r="A9115" s="43" t="s">
        <v>18500</v>
      </c>
      <c r="B9115" s="21" t="s">
        <v>18501</v>
      </c>
      <c r="C9115" s="21" t="s">
        <v>22709</v>
      </c>
      <c r="D9115" s="31">
        <v>1</v>
      </c>
      <c r="E9115" s="23" t="s">
        <v>22658</v>
      </c>
      <c r="F9115" s="24" t="s">
        <v>22657</v>
      </c>
      <c r="G9115" s="25">
        <v>20</v>
      </c>
      <c r="H9115" s="29"/>
      <c r="I9115" s="30"/>
    </row>
    <row r="9116" spans="1:9" ht="15.75" thickBot="1" x14ac:dyDescent="0.3">
      <c r="A9116" s="43" t="s">
        <v>18502</v>
      </c>
      <c r="B9116" s="21" t="s">
        <v>18503</v>
      </c>
      <c r="C9116" s="21" t="s">
        <v>22709</v>
      </c>
      <c r="D9116" s="31">
        <v>1</v>
      </c>
      <c r="E9116" s="23" t="s">
        <v>22656</v>
      </c>
      <c r="F9116" s="24" t="s">
        <v>22657</v>
      </c>
      <c r="G9116" s="25">
        <v>20</v>
      </c>
      <c r="H9116" s="26"/>
      <c r="I9116" s="27"/>
    </row>
    <row r="9117" spans="1:9" ht="15.75" thickBot="1" x14ac:dyDescent="0.3">
      <c r="A9117" s="43" t="s">
        <v>827</v>
      </c>
      <c r="B9117" s="21" t="s">
        <v>828</v>
      </c>
      <c r="C9117" s="21" t="s">
        <v>22871</v>
      </c>
      <c r="D9117" s="22">
        <v>46034</v>
      </c>
      <c r="E9117" s="23" t="s">
        <v>22661</v>
      </c>
      <c r="F9117" s="24" t="s">
        <v>22657</v>
      </c>
      <c r="G9117" s="25">
        <v>6</v>
      </c>
      <c r="H9117" s="32">
        <v>6</v>
      </c>
      <c r="I9117" s="33">
        <v>10</v>
      </c>
    </row>
    <row r="9118" spans="1:9" ht="15.75" thickBot="1" x14ac:dyDescent="0.3">
      <c r="A9118" s="43" t="s">
        <v>18504</v>
      </c>
      <c r="B9118" s="21" t="s">
        <v>18505</v>
      </c>
      <c r="C9118" s="21" t="s">
        <v>22871</v>
      </c>
      <c r="D9118" s="22">
        <v>46028</v>
      </c>
      <c r="E9118" s="23" t="s">
        <v>22656</v>
      </c>
      <c r="F9118" s="24" t="s">
        <v>22657</v>
      </c>
      <c r="G9118" s="25">
        <v>20</v>
      </c>
      <c r="H9118" s="26"/>
      <c r="I9118" s="27"/>
    </row>
    <row r="9119" spans="1:9" ht="15.75" thickBot="1" x14ac:dyDescent="0.3">
      <c r="A9119" s="43" t="s">
        <v>1213</v>
      </c>
      <c r="B9119" s="21" t="s">
        <v>1214</v>
      </c>
      <c r="C9119" s="21" t="s">
        <v>22871</v>
      </c>
      <c r="D9119" s="22">
        <v>46028</v>
      </c>
      <c r="E9119" s="23" t="s">
        <v>22656</v>
      </c>
      <c r="F9119" s="24" t="s">
        <v>22657</v>
      </c>
      <c r="G9119" s="25">
        <v>6</v>
      </c>
      <c r="H9119" s="32">
        <v>6</v>
      </c>
      <c r="I9119" s="33">
        <v>10</v>
      </c>
    </row>
    <row r="9120" spans="1:9" ht="15.75" thickBot="1" x14ac:dyDescent="0.3">
      <c r="A9120" s="43" t="s">
        <v>18506</v>
      </c>
      <c r="B9120" s="21" t="s">
        <v>18507</v>
      </c>
      <c r="C9120" s="21" t="s">
        <v>22871</v>
      </c>
      <c r="D9120" s="22">
        <v>46030</v>
      </c>
      <c r="E9120" s="23" t="s">
        <v>22656</v>
      </c>
      <c r="F9120" s="24" t="s">
        <v>22657</v>
      </c>
      <c r="G9120" s="25">
        <v>20</v>
      </c>
      <c r="H9120" s="26"/>
      <c r="I9120" s="27"/>
    </row>
    <row r="9121" spans="1:9" ht="15.75" thickBot="1" x14ac:dyDescent="0.3">
      <c r="A9121" s="43" t="s">
        <v>18508</v>
      </c>
      <c r="B9121" s="21" t="s">
        <v>18509</v>
      </c>
      <c r="C9121" s="21" t="s">
        <v>22871</v>
      </c>
      <c r="D9121" s="22">
        <v>46032</v>
      </c>
      <c r="E9121" s="23" t="s">
        <v>22656</v>
      </c>
      <c r="F9121" s="24" t="s">
        <v>22657</v>
      </c>
      <c r="G9121" s="25">
        <v>20</v>
      </c>
      <c r="H9121" s="29"/>
      <c r="I9121" s="30"/>
    </row>
    <row r="9122" spans="1:9" ht="15.75" thickBot="1" x14ac:dyDescent="0.3">
      <c r="A9122" s="43" t="s">
        <v>18510</v>
      </c>
      <c r="B9122" s="21" t="s">
        <v>18511</v>
      </c>
      <c r="C9122" s="21" t="s">
        <v>22709</v>
      </c>
      <c r="D9122" s="31">
        <v>1</v>
      </c>
      <c r="E9122" s="23" t="s">
        <v>22658</v>
      </c>
      <c r="F9122" s="24" t="s">
        <v>22657</v>
      </c>
      <c r="G9122" s="25">
        <v>20</v>
      </c>
      <c r="H9122" s="26"/>
      <c r="I9122" s="27"/>
    </row>
    <row r="9123" spans="1:9" ht="15.75" thickBot="1" x14ac:dyDescent="0.3">
      <c r="A9123" s="43" t="s">
        <v>18512</v>
      </c>
      <c r="B9123" s="21" t="s">
        <v>18513</v>
      </c>
      <c r="C9123" s="21" t="s">
        <v>22871</v>
      </c>
      <c r="D9123" s="22">
        <v>46034</v>
      </c>
      <c r="E9123" s="23" t="s">
        <v>22656</v>
      </c>
      <c r="F9123" s="24" t="s">
        <v>22657</v>
      </c>
      <c r="G9123" s="25">
        <v>20</v>
      </c>
      <c r="H9123" s="29"/>
      <c r="I9123" s="30"/>
    </row>
    <row r="9124" spans="1:9" ht="15.75" thickBot="1" x14ac:dyDescent="0.3">
      <c r="A9124" s="43" t="s">
        <v>18514</v>
      </c>
      <c r="B9124" s="21" t="s">
        <v>18515</v>
      </c>
      <c r="C9124" s="21" t="s">
        <v>22871</v>
      </c>
      <c r="D9124" s="22">
        <v>46028</v>
      </c>
      <c r="E9124" s="23" t="s">
        <v>22658</v>
      </c>
      <c r="F9124" s="24" t="s">
        <v>22657</v>
      </c>
      <c r="G9124" s="25">
        <v>20</v>
      </c>
      <c r="H9124" s="26"/>
      <c r="I9124" s="27"/>
    </row>
    <row r="9125" spans="1:9" ht="15.75" thickBot="1" x14ac:dyDescent="0.3">
      <c r="A9125" s="43" t="s">
        <v>589</v>
      </c>
      <c r="B9125" s="21" t="s">
        <v>590</v>
      </c>
      <c r="C9125" s="21" t="s">
        <v>22871</v>
      </c>
      <c r="D9125" s="22">
        <v>46030</v>
      </c>
      <c r="E9125" s="23" t="s">
        <v>22656</v>
      </c>
      <c r="F9125" s="24" t="s">
        <v>22657</v>
      </c>
      <c r="G9125" s="25">
        <v>6</v>
      </c>
      <c r="H9125" s="32">
        <v>6</v>
      </c>
      <c r="I9125" s="33">
        <v>12</v>
      </c>
    </row>
    <row r="9126" spans="1:9" ht="15.75" thickBot="1" x14ac:dyDescent="0.3">
      <c r="A9126" s="43" t="s">
        <v>894</v>
      </c>
      <c r="B9126" s="21" t="s">
        <v>895</v>
      </c>
      <c r="C9126" s="21" t="s">
        <v>22871</v>
      </c>
      <c r="D9126" s="22">
        <v>46028</v>
      </c>
      <c r="E9126" s="23" t="s">
        <v>22656</v>
      </c>
      <c r="F9126" s="24" t="s">
        <v>22657</v>
      </c>
      <c r="G9126" s="25">
        <v>20</v>
      </c>
      <c r="H9126" s="26"/>
      <c r="I9126" s="27"/>
    </row>
    <row r="9127" spans="1:9" ht="15.75" thickBot="1" x14ac:dyDescent="0.3">
      <c r="A9127" s="43" t="s">
        <v>18516</v>
      </c>
      <c r="B9127" s="21" t="s">
        <v>18517</v>
      </c>
      <c r="C9127" s="21" t="s">
        <v>22871</v>
      </c>
      <c r="D9127" s="22">
        <v>46028</v>
      </c>
      <c r="E9127" s="23" t="s">
        <v>22656</v>
      </c>
      <c r="F9127" s="24" t="s">
        <v>22657</v>
      </c>
      <c r="G9127" s="25">
        <v>6</v>
      </c>
      <c r="H9127" s="32">
        <v>6</v>
      </c>
      <c r="I9127" s="33">
        <v>12</v>
      </c>
    </row>
    <row r="9128" spans="1:9" ht="15.75" thickBot="1" x14ac:dyDescent="0.3">
      <c r="A9128" s="43" t="s">
        <v>18518</v>
      </c>
      <c r="B9128" s="21" t="s">
        <v>18519</v>
      </c>
      <c r="C9128" s="21" t="s">
        <v>22709</v>
      </c>
      <c r="D9128" s="31">
        <v>1</v>
      </c>
      <c r="E9128" s="23" t="s">
        <v>22658</v>
      </c>
      <c r="F9128" s="24" t="s">
        <v>22657</v>
      </c>
      <c r="G9128" s="25">
        <v>20</v>
      </c>
      <c r="H9128" s="26"/>
      <c r="I9128" s="27"/>
    </row>
    <row r="9129" spans="1:9" ht="15.75" thickBot="1" x14ac:dyDescent="0.3">
      <c r="A9129" s="43" t="s">
        <v>18520</v>
      </c>
      <c r="B9129" s="21" t="s">
        <v>18521</v>
      </c>
      <c r="C9129" s="21" t="s">
        <v>22709</v>
      </c>
      <c r="D9129" s="31">
        <v>1</v>
      </c>
      <c r="E9129" s="23" t="s">
        <v>22656</v>
      </c>
      <c r="F9129" s="24" t="s">
        <v>22657</v>
      </c>
      <c r="G9129" s="25">
        <v>20</v>
      </c>
      <c r="H9129" s="29"/>
      <c r="I9129" s="30"/>
    </row>
    <row r="9130" spans="1:9" ht="15.75" thickBot="1" x14ac:dyDescent="0.3">
      <c r="A9130" s="43" t="s">
        <v>18522</v>
      </c>
      <c r="B9130" s="21" t="s">
        <v>18523</v>
      </c>
      <c r="C9130" s="21" t="s">
        <v>22709</v>
      </c>
      <c r="D9130" s="31">
        <v>1</v>
      </c>
      <c r="E9130" s="23" t="s">
        <v>22658</v>
      </c>
      <c r="F9130" s="24" t="s">
        <v>22657</v>
      </c>
      <c r="G9130" s="25">
        <v>20</v>
      </c>
      <c r="H9130" s="26"/>
      <c r="I9130" s="27"/>
    </row>
    <row r="9131" spans="1:9" ht="15.75" thickBot="1" x14ac:dyDescent="0.3">
      <c r="A9131" s="43" t="s">
        <v>18524</v>
      </c>
      <c r="B9131" s="21" t="s">
        <v>18525</v>
      </c>
      <c r="C9131" s="21" t="s">
        <v>22709</v>
      </c>
      <c r="D9131" s="31">
        <v>1</v>
      </c>
      <c r="E9131" s="23" t="s">
        <v>22656</v>
      </c>
      <c r="F9131" s="24" t="s">
        <v>22657</v>
      </c>
      <c r="G9131" s="25">
        <v>20</v>
      </c>
      <c r="H9131" s="29"/>
      <c r="I9131" s="30"/>
    </row>
    <row r="9132" spans="1:9" ht="15.75" thickBot="1" x14ac:dyDescent="0.3">
      <c r="A9132" s="43" t="s">
        <v>18526</v>
      </c>
      <c r="B9132" s="21" t="s">
        <v>18527</v>
      </c>
      <c r="C9132" s="21" t="s">
        <v>22871</v>
      </c>
      <c r="D9132" s="22">
        <v>46034</v>
      </c>
      <c r="E9132" s="23" t="s">
        <v>22658</v>
      </c>
      <c r="F9132" s="24" t="s">
        <v>22657</v>
      </c>
      <c r="G9132" s="25">
        <v>20</v>
      </c>
      <c r="H9132" s="26"/>
      <c r="I9132" s="27"/>
    </row>
    <row r="9133" spans="1:9" ht="15.75" thickBot="1" x14ac:dyDescent="0.3">
      <c r="A9133" s="43" t="s">
        <v>18528</v>
      </c>
      <c r="B9133" s="21" t="s">
        <v>18529</v>
      </c>
      <c r="C9133" s="21" t="s">
        <v>22760</v>
      </c>
      <c r="D9133" s="22">
        <v>46032</v>
      </c>
      <c r="E9133" s="23" t="s">
        <v>22656</v>
      </c>
      <c r="F9133" s="24" t="s">
        <v>22657</v>
      </c>
      <c r="G9133" s="25">
        <v>6</v>
      </c>
      <c r="H9133" s="32">
        <v>6</v>
      </c>
      <c r="I9133" s="33">
        <v>12</v>
      </c>
    </row>
    <row r="9134" spans="1:9" ht="15.75" thickBot="1" x14ac:dyDescent="0.3">
      <c r="A9134" s="43" t="s">
        <v>18530</v>
      </c>
      <c r="B9134" s="21" t="s">
        <v>18531</v>
      </c>
      <c r="C9134" s="21" t="s">
        <v>22663</v>
      </c>
      <c r="D9134" s="31">
        <v>1</v>
      </c>
      <c r="E9134" s="23" t="s">
        <v>22656</v>
      </c>
      <c r="F9134" s="24" t="s">
        <v>22657</v>
      </c>
      <c r="G9134" s="25">
        <v>30</v>
      </c>
      <c r="H9134" s="26"/>
      <c r="I9134" s="27"/>
    </row>
    <row r="9135" spans="1:9" ht="15.75" thickBot="1" x14ac:dyDescent="0.3">
      <c r="A9135" s="43" t="s">
        <v>18532</v>
      </c>
      <c r="B9135" s="21" t="s">
        <v>18533</v>
      </c>
      <c r="C9135" s="21" t="s">
        <v>22871</v>
      </c>
      <c r="D9135" s="22">
        <v>46028</v>
      </c>
      <c r="E9135" s="23" t="s">
        <v>22658</v>
      </c>
      <c r="F9135" s="24" t="s">
        <v>22657</v>
      </c>
      <c r="G9135" s="25">
        <v>20</v>
      </c>
      <c r="H9135" s="29"/>
      <c r="I9135" s="30"/>
    </row>
    <row r="9136" spans="1:9" ht="15.75" thickBot="1" x14ac:dyDescent="0.3">
      <c r="A9136" s="43" t="s">
        <v>18534</v>
      </c>
      <c r="B9136" s="21" t="s">
        <v>18535</v>
      </c>
      <c r="C9136" s="21" t="s">
        <v>22871</v>
      </c>
      <c r="D9136" s="22">
        <v>46028</v>
      </c>
      <c r="E9136" s="23" t="s">
        <v>22656</v>
      </c>
      <c r="F9136" s="24" t="s">
        <v>22657</v>
      </c>
      <c r="G9136" s="25">
        <v>5</v>
      </c>
      <c r="H9136" s="34">
        <v>5</v>
      </c>
      <c r="I9136" s="35">
        <v>10</v>
      </c>
    </row>
    <row r="9137" spans="1:9" ht="15.75" thickBot="1" x14ac:dyDescent="0.3">
      <c r="A9137" s="43" t="s">
        <v>18536</v>
      </c>
      <c r="B9137" s="21" t="s">
        <v>18537</v>
      </c>
      <c r="C9137" s="21" t="s">
        <v>22871</v>
      </c>
      <c r="D9137" s="22">
        <v>46034</v>
      </c>
      <c r="E9137" s="23" t="s">
        <v>22658</v>
      </c>
      <c r="F9137" s="24" t="s">
        <v>22657</v>
      </c>
      <c r="G9137" s="25">
        <v>20</v>
      </c>
      <c r="H9137" s="29"/>
      <c r="I9137" s="30"/>
    </row>
    <row r="9138" spans="1:9" ht="15.75" thickBot="1" x14ac:dyDescent="0.3">
      <c r="A9138" s="43" t="s">
        <v>18538</v>
      </c>
      <c r="B9138" s="21" t="s">
        <v>18539</v>
      </c>
      <c r="C9138" s="21" t="s">
        <v>22871</v>
      </c>
      <c r="D9138" s="22">
        <v>46034</v>
      </c>
      <c r="E9138" s="23" t="s">
        <v>22658</v>
      </c>
      <c r="F9138" s="24" t="s">
        <v>22657</v>
      </c>
      <c r="G9138" s="25">
        <v>20</v>
      </c>
      <c r="H9138" s="26"/>
      <c r="I9138" s="27"/>
    </row>
    <row r="9139" spans="1:9" ht="15.75" thickBot="1" x14ac:dyDescent="0.3">
      <c r="A9139" s="43" t="s">
        <v>18540</v>
      </c>
      <c r="B9139" s="21" t="s">
        <v>18541</v>
      </c>
      <c r="C9139" s="21" t="s">
        <v>22871</v>
      </c>
      <c r="D9139" s="22">
        <v>46032</v>
      </c>
      <c r="E9139" s="23" t="s">
        <v>22656</v>
      </c>
      <c r="F9139" s="24" t="s">
        <v>22657</v>
      </c>
      <c r="G9139" s="25">
        <v>6</v>
      </c>
      <c r="H9139" s="32">
        <v>6</v>
      </c>
      <c r="I9139" s="33">
        <v>12</v>
      </c>
    </row>
    <row r="9140" spans="1:9" ht="15.75" thickBot="1" x14ac:dyDescent="0.3">
      <c r="A9140" s="43" t="s">
        <v>1067</v>
      </c>
      <c r="B9140" s="21" t="s">
        <v>1068</v>
      </c>
      <c r="C9140" s="21" t="s">
        <v>22871</v>
      </c>
      <c r="D9140" s="22">
        <v>46034</v>
      </c>
      <c r="E9140" s="23" t="s">
        <v>22656</v>
      </c>
      <c r="F9140" s="24" t="s">
        <v>22657</v>
      </c>
      <c r="G9140" s="25">
        <v>3</v>
      </c>
      <c r="H9140" s="34">
        <v>3</v>
      </c>
      <c r="I9140" s="35">
        <v>6</v>
      </c>
    </row>
    <row r="9141" spans="1:9" ht="15.75" thickBot="1" x14ac:dyDescent="0.3">
      <c r="A9141" s="43" t="s">
        <v>18542</v>
      </c>
      <c r="B9141" s="21" t="s">
        <v>18543</v>
      </c>
      <c r="C9141" s="21" t="s">
        <v>22871</v>
      </c>
      <c r="D9141" s="22">
        <v>46034</v>
      </c>
      <c r="E9141" s="23" t="s">
        <v>22658</v>
      </c>
      <c r="F9141" s="24" t="s">
        <v>22657</v>
      </c>
      <c r="G9141" s="25">
        <v>20</v>
      </c>
      <c r="H9141" s="29"/>
      <c r="I9141" s="30"/>
    </row>
    <row r="9142" spans="1:9" ht="15.75" thickBot="1" x14ac:dyDescent="0.3">
      <c r="A9142" s="43" t="s">
        <v>18544</v>
      </c>
      <c r="B9142" s="21" t="s">
        <v>18545</v>
      </c>
      <c r="C9142" s="21" t="s">
        <v>22871</v>
      </c>
      <c r="D9142" s="22">
        <v>46034</v>
      </c>
      <c r="E9142" s="23" t="s">
        <v>22656</v>
      </c>
      <c r="F9142" s="24" t="s">
        <v>22657</v>
      </c>
      <c r="G9142" s="25">
        <v>6</v>
      </c>
      <c r="H9142" s="34">
        <v>6</v>
      </c>
      <c r="I9142" s="35">
        <v>12</v>
      </c>
    </row>
    <row r="9143" spans="1:9" ht="15.75" thickBot="1" x14ac:dyDescent="0.3">
      <c r="A9143" s="43" t="s">
        <v>1663</v>
      </c>
      <c r="B9143" s="21" t="s">
        <v>1664</v>
      </c>
      <c r="C9143" s="21" t="s">
        <v>22871</v>
      </c>
      <c r="D9143" s="22">
        <v>46034</v>
      </c>
      <c r="E9143" s="23" t="s">
        <v>22656</v>
      </c>
      <c r="F9143" s="24" t="s">
        <v>22657</v>
      </c>
      <c r="G9143" s="25">
        <v>6</v>
      </c>
      <c r="H9143" s="32">
        <v>6</v>
      </c>
      <c r="I9143" s="33">
        <v>12</v>
      </c>
    </row>
    <row r="9144" spans="1:9" ht="15.75" thickBot="1" x14ac:dyDescent="0.3">
      <c r="A9144" s="43" t="s">
        <v>18546</v>
      </c>
      <c r="B9144" s="21" t="s">
        <v>18547</v>
      </c>
      <c r="C9144" s="21" t="s">
        <v>22871</v>
      </c>
      <c r="D9144" s="22">
        <v>46028</v>
      </c>
      <c r="E9144" s="23" t="s">
        <v>22656</v>
      </c>
      <c r="F9144" s="24" t="s">
        <v>22657</v>
      </c>
      <c r="G9144" s="25">
        <v>20</v>
      </c>
      <c r="H9144" s="26"/>
      <c r="I9144" s="27"/>
    </row>
    <row r="9145" spans="1:9" ht="15.75" thickBot="1" x14ac:dyDescent="0.3">
      <c r="A9145" s="43" t="s">
        <v>18548</v>
      </c>
      <c r="B9145" s="21" t="s">
        <v>18549</v>
      </c>
      <c r="C9145" s="21" t="s">
        <v>22871</v>
      </c>
      <c r="D9145" s="22">
        <v>46030</v>
      </c>
      <c r="E9145" s="23" t="s">
        <v>22656</v>
      </c>
      <c r="F9145" s="24" t="s">
        <v>22657</v>
      </c>
      <c r="G9145" s="25">
        <v>20</v>
      </c>
      <c r="H9145" s="29"/>
      <c r="I9145" s="30"/>
    </row>
    <row r="9146" spans="1:9" ht="15.75" thickBot="1" x14ac:dyDescent="0.3">
      <c r="A9146" s="43" t="s">
        <v>18550</v>
      </c>
      <c r="B9146" s="21" t="s">
        <v>18551</v>
      </c>
      <c r="C9146" s="21" t="s">
        <v>22871</v>
      </c>
      <c r="D9146" s="22">
        <v>46032</v>
      </c>
      <c r="E9146" s="23" t="s">
        <v>22656</v>
      </c>
      <c r="F9146" s="24" t="s">
        <v>22657</v>
      </c>
      <c r="G9146" s="25">
        <v>20</v>
      </c>
      <c r="H9146" s="26"/>
      <c r="I9146" s="27"/>
    </row>
    <row r="9147" spans="1:9" ht="15.75" thickBot="1" x14ac:dyDescent="0.3">
      <c r="A9147" s="43" t="s">
        <v>18552</v>
      </c>
      <c r="B9147" s="21" t="s">
        <v>18553</v>
      </c>
      <c r="C9147" s="21" t="s">
        <v>22709</v>
      </c>
      <c r="D9147" s="31">
        <v>1</v>
      </c>
      <c r="E9147" s="23" t="s">
        <v>22656</v>
      </c>
      <c r="F9147" s="24" t="s">
        <v>22657</v>
      </c>
      <c r="G9147" s="25">
        <v>20</v>
      </c>
      <c r="H9147" s="29"/>
      <c r="I9147" s="30"/>
    </row>
    <row r="9148" spans="1:9" ht="15.75" thickBot="1" x14ac:dyDescent="0.3">
      <c r="A9148" s="43" t="s">
        <v>18554</v>
      </c>
      <c r="B9148" s="21" t="s">
        <v>18555</v>
      </c>
      <c r="C9148" s="21" t="s">
        <v>22871</v>
      </c>
      <c r="D9148" s="22">
        <v>46034</v>
      </c>
      <c r="E9148" s="23" t="s">
        <v>22658</v>
      </c>
      <c r="F9148" s="24" t="s">
        <v>22657</v>
      </c>
      <c r="G9148" s="25">
        <v>30</v>
      </c>
      <c r="H9148" s="26"/>
      <c r="I9148" s="27"/>
    </row>
    <row r="9149" spans="1:9" ht="15.75" thickBot="1" x14ac:dyDescent="0.3">
      <c r="A9149" s="43" t="s">
        <v>629</v>
      </c>
      <c r="B9149" s="21" t="s">
        <v>630</v>
      </c>
      <c r="C9149" s="21" t="s">
        <v>22871</v>
      </c>
      <c r="D9149" s="22">
        <v>46034</v>
      </c>
      <c r="E9149" s="23" t="s">
        <v>22656</v>
      </c>
      <c r="F9149" s="24" t="s">
        <v>22657</v>
      </c>
      <c r="G9149" s="25">
        <v>20</v>
      </c>
      <c r="H9149" s="29"/>
      <c r="I9149" s="30"/>
    </row>
    <row r="9150" spans="1:9" ht="15.75" thickBot="1" x14ac:dyDescent="0.3">
      <c r="A9150" s="43" t="s">
        <v>18556</v>
      </c>
      <c r="B9150" s="21" t="s">
        <v>18557</v>
      </c>
      <c r="C9150" s="21" t="s">
        <v>22871</v>
      </c>
      <c r="D9150" s="22">
        <v>46032</v>
      </c>
      <c r="E9150" s="23" t="s">
        <v>22656</v>
      </c>
      <c r="F9150" s="24" t="s">
        <v>22657</v>
      </c>
      <c r="G9150" s="25">
        <v>20</v>
      </c>
      <c r="H9150" s="26"/>
      <c r="I9150" s="27"/>
    </row>
    <row r="9151" spans="1:9" ht="15.75" thickBot="1" x14ac:dyDescent="0.3">
      <c r="A9151" s="43" t="s">
        <v>18558</v>
      </c>
      <c r="B9151" s="21" t="s">
        <v>18559</v>
      </c>
      <c r="C9151" s="21" t="s">
        <v>22871</v>
      </c>
      <c r="D9151" s="22">
        <v>46034</v>
      </c>
      <c r="E9151" s="23" t="s">
        <v>22656</v>
      </c>
      <c r="F9151" s="24" t="s">
        <v>22657</v>
      </c>
      <c r="G9151" s="25">
        <v>20</v>
      </c>
      <c r="H9151" s="29"/>
      <c r="I9151" s="30"/>
    </row>
    <row r="9152" spans="1:9" ht="15.75" thickBot="1" x14ac:dyDescent="0.3">
      <c r="A9152" s="43" t="s">
        <v>18560</v>
      </c>
      <c r="B9152" s="21" t="s">
        <v>18561</v>
      </c>
      <c r="C9152" s="21" t="s">
        <v>22871</v>
      </c>
      <c r="D9152" s="22">
        <v>46034</v>
      </c>
      <c r="E9152" s="23" t="s">
        <v>22656</v>
      </c>
      <c r="F9152" s="24" t="s">
        <v>22657</v>
      </c>
      <c r="G9152" s="25">
        <v>4</v>
      </c>
      <c r="H9152" s="34">
        <v>4</v>
      </c>
      <c r="I9152" s="35">
        <v>8</v>
      </c>
    </row>
    <row r="9153" spans="1:9" ht="15.75" thickBot="1" x14ac:dyDescent="0.3">
      <c r="A9153" s="43" t="s">
        <v>18562</v>
      </c>
      <c r="B9153" s="21" t="s">
        <v>18563</v>
      </c>
      <c r="C9153" s="21" t="s">
        <v>22871</v>
      </c>
      <c r="D9153" s="22">
        <v>46034</v>
      </c>
      <c r="E9153" s="23" t="s">
        <v>22656</v>
      </c>
      <c r="F9153" s="24" t="s">
        <v>22657</v>
      </c>
      <c r="G9153" s="25">
        <v>20</v>
      </c>
      <c r="H9153" s="29"/>
      <c r="I9153" s="30"/>
    </row>
    <row r="9154" spans="1:9" ht="15.75" thickBot="1" x14ac:dyDescent="0.3">
      <c r="A9154" s="43" t="s">
        <v>18564</v>
      </c>
      <c r="B9154" s="21" t="s">
        <v>18565</v>
      </c>
      <c r="C9154" s="21" t="s">
        <v>22871</v>
      </c>
      <c r="D9154" s="22">
        <v>46034</v>
      </c>
      <c r="E9154" s="23" t="s">
        <v>22656</v>
      </c>
      <c r="F9154" s="24" t="s">
        <v>22657</v>
      </c>
      <c r="G9154" s="25">
        <v>20</v>
      </c>
      <c r="H9154" s="26"/>
      <c r="I9154" s="27"/>
    </row>
    <row r="9155" spans="1:9" ht="15.75" thickBot="1" x14ac:dyDescent="0.3">
      <c r="A9155" s="43" t="s">
        <v>18566</v>
      </c>
      <c r="B9155" s="21" t="s">
        <v>18567</v>
      </c>
      <c r="C9155" s="21" t="s">
        <v>22709</v>
      </c>
      <c r="D9155" s="31">
        <v>1</v>
      </c>
      <c r="E9155" s="23" t="s">
        <v>22656</v>
      </c>
      <c r="F9155" s="24" t="s">
        <v>22657</v>
      </c>
      <c r="G9155" s="25">
        <v>20</v>
      </c>
      <c r="H9155" s="29"/>
      <c r="I9155" s="30"/>
    </row>
    <row r="9156" spans="1:9" ht="15.75" thickBot="1" x14ac:dyDescent="0.3">
      <c r="A9156" s="43" t="s">
        <v>631</v>
      </c>
      <c r="B9156" s="21" t="s">
        <v>632</v>
      </c>
      <c r="C9156" s="21" t="s">
        <v>22871</v>
      </c>
      <c r="D9156" s="22">
        <v>46032</v>
      </c>
      <c r="E9156" s="23" t="s">
        <v>22656</v>
      </c>
      <c r="F9156" s="24" t="s">
        <v>22657</v>
      </c>
      <c r="G9156" s="25">
        <v>6</v>
      </c>
      <c r="H9156" s="34">
        <v>6</v>
      </c>
      <c r="I9156" s="35">
        <v>12</v>
      </c>
    </row>
    <row r="9157" spans="1:9" ht="15.75" thickBot="1" x14ac:dyDescent="0.3">
      <c r="A9157" s="43" t="s">
        <v>18568</v>
      </c>
      <c r="B9157" s="21" t="s">
        <v>18569</v>
      </c>
      <c r="C9157" s="21" t="s">
        <v>22871</v>
      </c>
      <c r="D9157" s="22">
        <v>46032</v>
      </c>
      <c r="E9157" s="23" t="s">
        <v>22656</v>
      </c>
      <c r="F9157" s="24" t="s">
        <v>22657</v>
      </c>
      <c r="G9157" s="25">
        <v>20</v>
      </c>
      <c r="H9157" s="29"/>
      <c r="I9157" s="30"/>
    </row>
    <row r="9158" spans="1:9" ht="15.75" thickBot="1" x14ac:dyDescent="0.3">
      <c r="A9158" s="43" t="s">
        <v>18570</v>
      </c>
      <c r="B9158" s="21" t="s">
        <v>18571</v>
      </c>
      <c r="C9158" s="21" t="s">
        <v>22871</v>
      </c>
      <c r="D9158" s="22">
        <v>46032</v>
      </c>
      <c r="E9158" s="23" t="s">
        <v>22656</v>
      </c>
      <c r="F9158" s="24" t="s">
        <v>22657</v>
      </c>
      <c r="G9158" s="25">
        <v>20</v>
      </c>
      <c r="H9158" s="26"/>
      <c r="I9158" s="27"/>
    </row>
    <row r="9159" spans="1:9" ht="15.75" thickBot="1" x14ac:dyDescent="0.3">
      <c r="A9159" s="43" t="s">
        <v>18572</v>
      </c>
      <c r="B9159" s="21" t="s">
        <v>18573</v>
      </c>
      <c r="C9159" s="21" t="s">
        <v>22709</v>
      </c>
      <c r="D9159" s="31">
        <v>1</v>
      </c>
      <c r="E9159" s="23" t="s">
        <v>22658</v>
      </c>
      <c r="F9159" s="24" t="s">
        <v>22657</v>
      </c>
      <c r="G9159" s="25">
        <v>20</v>
      </c>
      <c r="H9159" s="29"/>
      <c r="I9159" s="30"/>
    </row>
    <row r="9160" spans="1:9" ht="15.75" thickBot="1" x14ac:dyDescent="0.3">
      <c r="A9160" s="43" t="s">
        <v>18574</v>
      </c>
      <c r="B9160" s="21" t="s">
        <v>18575</v>
      </c>
      <c r="C9160" s="21" t="s">
        <v>22709</v>
      </c>
      <c r="D9160" s="31">
        <v>1</v>
      </c>
      <c r="E9160" s="23" t="s">
        <v>22656</v>
      </c>
      <c r="F9160" s="24" t="s">
        <v>22657</v>
      </c>
      <c r="G9160" s="25">
        <v>20</v>
      </c>
      <c r="H9160" s="26"/>
      <c r="I9160" s="27"/>
    </row>
    <row r="9161" spans="1:9" ht="15.75" thickBot="1" x14ac:dyDescent="0.3">
      <c r="A9161" s="43" t="s">
        <v>18576</v>
      </c>
      <c r="B9161" s="21" t="s">
        <v>18577</v>
      </c>
      <c r="C9161" s="21" t="s">
        <v>22871</v>
      </c>
      <c r="D9161" s="22">
        <v>46032</v>
      </c>
      <c r="E9161" s="23" t="s">
        <v>22656</v>
      </c>
      <c r="F9161" s="24" t="s">
        <v>22657</v>
      </c>
      <c r="G9161" s="25">
        <v>20</v>
      </c>
      <c r="H9161" s="29"/>
      <c r="I9161" s="30"/>
    </row>
    <row r="9162" spans="1:9" ht="15.75" thickBot="1" x14ac:dyDescent="0.3">
      <c r="A9162" s="43" t="s">
        <v>1229</v>
      </c>
      <c r="B9162" s="21" t="s">
        <v>1230</v>
      </c>
      <c r="C9162" s="21" t="s">
        <v>22709</v>
      </c>
      <c r="D9162" s="31">
        <v>1</v>
      </c>
      <c r="E9162" s="23" t="s">
        <v>22656</v>
      </c>
      <c r="F9162" s="24" t="s">
        <v>22657</v>
      </c>
      <c r="G9162" s="25">
        <v>20</v>
      </c>
      <c r="H9162" s="26"/>
      <c r="I9162" s="27"/>
    </row>
    <row r="9163" spans="1:9" ht="15.75" thickBot="1" x14ac:dyDescent="0.3">
      <c r="A9163" s="43" t="s">
        <v>18578</v>
      </c>
      <c r="B9163" s="21" t="s">
        <v>18579</v>
      </c>
      <c r="C9163" s="21" t="s">
        <v>22709</v>
      </c>
      <c r="D9163" s="31">
        <v>1</v>
      </c>
      <c r="E9163" s="23" t="s">
        <v>22656</v>
      </c>
      <c r="F9163" s="24" t="s">
        <v>22657</v>
      </c>
      <c r="G9163" s="25">
        <v>6</v>
      </c>
      <c r="H9163" s="32">
        <v>6</v>
      </c>
      <c r="I9163" s="33">
        <v>12</v>
      </c>
    </row>
    <row r="9164" spans="1:9" ht="15.75" thickBot="1" x14ac:dyDescent="0.3">
      <c r="A9164" s="43" t="s">
        <v>591</v>
      </c>
      <c r="B9164" s="21" t="s">
        <v>592</v>
      </c>
      <c r="C9164" s="21" t="s">
        <v>22709</v>
      </c>
      <c r="D9164" s="31">
        <v>1</v>
      </c>
      <c r="E9164" s="23" t="s">
        <v>22656</v>
      </c>
      <c r="F9164" s="24" t="s">
        <v>22657</v>
      </c>
      <c r="G9164" s="25">
        <v>20</v>
      </c>
      <c r="H9164" s="26"/>
      <c r="I9164" s="27"/>
    </row>
    <row r="9165" spans="1:9" ht="15.75" thickBot="1" x14ac:dyDescent="0.3">
      <c r="A9165" s="43" t="s">
        <v>18580</v>
      </c>
      <c r="B9165" s="21" t="s">
        <v>18581</v>
      </c>
      <c r="C9165" s="21" t="s">
        <v>22709</v>
      </c>
      <c r="D9165" s="31">
        <v>1</v>
      </c>
      <c r="E9165" s="23" t="s">
        <v>22656</v>
      </c>
      <c r="F9165" s="24" t="s">
        <v>22657</v>
      </c>
      <c r="G9165" s="25">
        <v>6</v>
      </c>
      <c r="H9165" s="32">
        <v>6</v>
      </c>
      <c r="I9165" s="33">
        <v>12</v>
      </c>
    </row>
    <row r="9166" spans="1:9" ht="15.75" thickBot="1" x14ac:dyDescent="0.3">
      <c r="A9166" s="43" t="s">
        <v>18582</v>
      </c>
      <c r="B9166" s="21" t="s">
        <v>18583</v>
      </c>
      <c r="C9166" s="21" t="s">
        <v>22709</v>
      </c>
      <c r="D9166" s="31">
        <v>1</v>
      </c>
      <c r="E9166" s="23" t="s">
        <v>22656</v>
      </c>
      <c r="F9166" s="24" t="s">
        <v>22657</v>
      </c>
      <c r="G9166" s="25">
        <v>6</v>
      </c>
      <c r="H9166" s="34">
        <v>6</v>
      </c>
      <c r="I9166" s="35">
        <v>12</v>
      </c>
    </row>
    <row r="9167" spans="1:9" ht="15.75" thickBot="1" x14ac:dyDescent="0.3">
      <c r="A9167" s="43" t="s">
        <v>18584</v>
      </c>
      <c r="B9167" s="21" t="s">
        <v>18585</v>
      </c>
      <c r="C9167" s="21" t="s">
        <v>22709</v>
      </c>
      <c r="D9167" s="31">
        <v>1</v>
      </c>
      <c r="E9167" s="23" t="s">
        <v>22656</v>
      </c>
      <c r="F9167" s="24" t="s">
        <v>22657</v>
      </c>
      <c r="G9167" s="25">
        <v>6</v>
      </c>
      <c r="H9167" s="32">
        <v>6</v>
      </c>
      <c r="I9167" s="33">
        <v>12</v>
      </c>
    </row>
    <row r="9168" spans="1:9" ht="15.75" thickBot="1" x14ac:dyDescent="0.3">
      <c r="A9168" s="43" t="s">
        <v>18586</v>
      </c>
      <c r="B9168" s="21" t="s">
        <v>18587</v>
      </c>
      <c r="C9168" s="21" t="s">
        <v>22709</v>
      </c>
      <c r="D9168" s="31">
        <v>1</v>
      </c>
      <c r="E9168" s="23" t="s">
        <v>22656</v>
      </c>
      <c r="F9168" s="24" t="s">
        <v>22657</v>
      </c>
      <c r="G9168" s="25">
        <v>6</v>
      </c>
      <c r="H9168" s="34">
        <v>6</v>
      </c>
      <c r="I9168" s="35">
        <v>12</v>
      </c>
    </row>
    <row r="9169" spans="1:9" ht="15.75" thickBot="1" x14ac:dyDescent="0.3">
      <c r="A9169" s="43" t="s">
        <v>18588</v>
      </c>
      <c r="B9169" s="21" t="s">
        <v>18589</v>
      </c>
      <c r="C9169" s="21" t="s">
        <v>22709</v>
      </c>
      <c r="D9169" s="31">
        <v>1</v>
      </c>
      <c r="E9169" s="23" t="s">
        <v>22656</v>
      </c>
      <c r="F9169" s="24" t="s">
        <v>22657</v>
      </c>
      <c r="G9169" s="25">
        <v>20</v>
      </c>
      <c r="H9169" s="29"/>
      <c r="I9169" s="30"/>
    </row>
    <row r="9170" spans="1:9" ht="15.75" thickBot="1" x14ac:dyDescent="0.3">
      <c r="A9170" s="43" t="s">
        <v>1079</v>
      </c>
      <c r="B9170" s="21" t="s">
        <v>1080</v>
      </c>
      <c r="C9170" s="21" t="s">
        <v>22871</v>
      </c>
      <c r="D9170" s="22">
        <v>46034</v>
      </c>
      <c r="E9170" s="23" t="s">
        <v>22661</v>
      </c>
      <c r="F9170" s="24" t="s">
        <v>22657</v>
      </c>
      <c r="G9170" s="25">
        <v>6</v>
      </c>
      <c r="H9170" s="34">
        <v>6</v>
      </c>
      <c r="I9170" s="35">
        <v>10</v>
      </c>
    </row>
    <row r="9171" spans="1:9" ht="15.75" thickBot="1" x14ac:dyDescent="0.3">
      <c r="A9171" s="43" t="s">
        <v>18590</v>
      </c>
      <c r="B9171" s="21" t="s">
        <v>18591</v>
      </c>
      <c r="C9171" s="21" t="s">
        <v>22709</v>
      </c>
      <c r="D9171" s="31">
        <v>1</v>
      </c>
      <c r="E9171" s="23" t="s">
        <v>22656</v>
      </c>
      <c r="F9171" s="24" t="s">
        <v>22657</v>
      </c>
      <c r="G9171" s="25">
        <v>20</v>
      </c>
      <c r="H9171" s="29"/>
      <c r="I9171" s="30"/>
    </row>
    <row r="9172" spans="1:9" ht="15.75" thickBot="1" x14ac:dyDescent="0.3">
      <c r="A9172" s="43" t="s">
        <v>18592</v>
      </c>
      <c r="B9172" s="21" t="s">
        <v>18593</v>
      </c>
      <c r="C9172" s="21" t="s">
        <v>22709</v>
      </c>
      <c r="D9172" s="31">
        <v>1</v>
      </c>
      <c r="E9172" s="23" t="s">
        <v>22658</v>
      </c>
      <c r="F9172" s="24" t="s">
        <v>22657</v>
      </c>
      <c r="G9172" s="25">
        <v>20</v>
      </c>
      <c r="H9172" s="26"/>
      <c r="I9172" s="27"/>
    </row>
    <row r="9173" spans="1:9" ht="15.75" thickBot="1" x14ac:dyDescent="0.3">
      <c r="A9173" s="43" t="s">
        <v>18594</v>
      </c>
      <c r="B9173" s="21" t="s">
        <v>18595</v>
      </c>
      <c r="C9173" s="21" t="s">
        <v>22709</v>
      </c>
      <c r="D9173" s="31">
        <v>1</v>
      </c>
      <c r="E9173" s="23" t="s">
        <v>22656</v>
      </c>
      <c r="F9173" s="24" t="s">
        <v>22657</v>
      </c>
      <c r="G9173" s="25">
        <v>20</v>
      </c>
      <c r="H9173" s="29"/>
      <c r="I9173" s="30"/>
    </row>
    <row r="9174" spans="1:9" ht="15.75" thickBot="1" x14ac:dyDescent="0.3">
      <c r="A9174" s="43" t="s">
        <v>18596</v>
      </c>
      <c r="B9174" s="21" t="s">
        <v>18597</v>
      </c>
      <c r="C9174" s="21" t="s">
        <v>22871</v>
      </c>
      <c r="D9174" s="22">
        <v>46034</v>
      </c>
      <c r="E9174" s="23" t="s">
        <v>22656</v>
      </c>
      <c r="F9174" s="24" t="s">
        <v>22657</v>
      </c>
      <c r="G9174" s="25">
        <v>20</v>
      </c>
      <c r="H9174" s="26"/>
      <c r="I9174" s="27"/>
    </row>
    <row r="9175" spans="1:9" ht="15.75" thickBot="1" x14ac:dyDescent="0.3">
      <c r="A9175" s="43" t="s">
        <v>18598</v>
      </c>
      <c r="B9175" s="21" t="s">
        <v>18599</v>
      </c>
      <c r="C9175" s="21" t="s">
        <v>22655</v>
      </c>
      <c r="D9175" s="22">
        <v>46034</v>
      </c>
      <c r="E9175" s="23" t="s">
        <v>22656</v>
      </c>
      <c r="F9175" s="24" t="s">
        <v>22657</v>
      </c>
      <c r="G9175" s="25">
        <v>20</v>
      </c>
      <c r="H9175" s="29"/>
      <c r="I9175" s="30"/>
    </row>
    <row r="9176" spans="1:9" ht="15.75" thickBot="1" x14ac:dyDescent="0.3">
      <c r="A9176" s="43" t="s">
        <v>18600</v>
      </c>
      <c r="B9176" s="21" t="s">
        <v>18601</v>
      </c>
      <c r="C9176" s="21" t="s">
        <v>22725</v>
      </c>
      <c r="D9176" s="31" t="s">
        <v>22660</v>
      </c>
      <c r="E9176" s="23" t="s">
        <v>22656</v>
      </c>
      <c r="F9176" s="24" t="s">
        <v>22657</v>
      </c>
      <c r="G9176" s="25">
        <v>48</v>
      </c>
      <c r="H9176" s="26"/>
      <c r="I9176" s="27"/>
    </row>
    <row r="9177" spans="1:9" ht="15.75" thickBot="1" x14ac:dyDescent="0.3">
      <c r="A9177" s="43" t="s">
        <v>18602</v>
      </c>
      <c r="B9177" s="21" t="s">
        <v>18603</v>
      </c>
      <c r="C9177" s="21" t="s">
        <v>22725</v>
      </c>
      <c r="D9177" s="31" t="s">
        <v>22660</v>
      </c>
      <c r="E9177" s="23" t="s">
        <v>22658</v>
      </c>
      <c r="F9177" s="24" t="s">
        <v>22657</v>
      </c>
      <c r="G9177" s="25">
        <v>48</v>
      </c>
      <c r="H9177" s="29"/>
      <c r="I9177" s="30"/>
    </row>
    <row r="9178" spans="1:9" ht="15.75" thickBot="1" x14ac:dyDescent="0.3">
      <c r="A9178" s="43" t="s">
        <v>18604</v>
      </c>
      <c r="B9178" s="21" t="s">
        <v>18605</v>
      </c>
      <c r="C9178" s="21" t="s">
        <v>22725</v>
      </c>
      <c r="D9178" s="31" t="s">
        <v>22660</v>
      </c>
      <c r="E9178" s="23" t="s">
        <v>22656</v>
      </c>
      <c r="F9178" s="24" t="s">
        <v>22657</v>
      </c>
      <c r="G9178" s="25">
        <v>48</v>
      </c>
      <c r="H9178" s="26"/>
      <c r="I9178" s="27"/>
    </row>
    <row r="9179" spans="1:9" ht="15.75" thickBot="1" x14ac:dyDescent="0.3">
      <c r="A9179" s="43" t="s">
        <v>18606</v>
      </c>
      <c r="B9179" s="21" t="s">
        <v>18607</v>
      </c>
      <c r="C9179" s="21" t="s">
        <v>22725</v>
      </c>
      <c r="D9179" s="31" t="s">
        <v>22660</v>
      </c>
      <c r="E9179" s="23" t="s">
        <v>22656</v>
      </c>
      <c r="F9179" s="24" t="s">
        <v>22657</v>
      </c>
      <c r="G9179" s="25">
        <v>24</v>
      </c>
      <c r="H9179" s="32">
        <v>24</v>
      </c>
      <c r="I9179" s="33">
        <v>40</v>
      </c>
    </row>
    <row r="9180" spans="1:9" ht="15.75" thickBot="1" x14ac:dyDescent="0.3">
      <c r="A9180" s="43" t="s">
        <v>18608</v>
      </c>
      <c r="B9180" s="21" t="s">
        <v>18609</v>
      </c>
      <c r="C9180" s="21" t="s">
        <v>22725</v>
      </c>
      <c r="D9180" s="31" t="s">
        <v>22660</v>
      </c>
      <c r="E9180" s="23" t="s">
        <v>22658</v>
      </c>
      <c r="F9180" s="24" t="s">
        <v>22657</v>
      </c>
      <c r="G9180" s="25">
        <v>48</v>
      </c>
      <c r="H9180" s="26"/>
      <c r="I9180" s="27"/>
    </row>
    <row r="9181" spans="1:9" ht="15.75" thickBot="1" x14ac:dyDescent="0.3">
      <c r="A9181" s="43" t="s">
        <v>18610</v>
      </c>
      <c r="B9181" s="21" t="s">
        <v>18611</v>
      </c>
      <c r="C9181" s="21" t="s">
        <v>22725</v>
      </c>
      <c r="D9181" s="31" t="s">
        <v>22660</v>
      </c>
      <c r="E9181" s="23" t="s">
        <v>22658</v>
      </c>
      <c r="F9181" s="24" t="s">
        <v>22657</v>
      </c>
      <c r="G9181" s="25">
        <v>48</v>
      </c>
      <c r="H9181" s="29"/>
      <c r="I9181" s="30"/>
    </row>
    <row r="9182" spans="1:9" ht="15.75" thickBot="1" x14ac:dyDescent="0.3">
      <c r="A9182" s="43" t="s">
        <v>18612</v>
      </c>
      <c r="B9182" s="21" t="s">
        <v>18613</v>
      </c>
      <c r="C9182" s="21" t="s">
        <v>22725</v>
      </c>
      <c r="D9182" s="31" t="s">
        <v>22660</v>
      </c>
      <c r="E9182" s="23" t="s">
        <v>22656</v>
      </c>
      <c r="F9182" s="24" t="s">
        <v>22657</v>
      </c>
      <c r="G9182" s="25">
        <v>48</v>
      </c>
      <c r="H9182" s="26"/>
      <c r="I9182" s="27"/>
    </row>
    <row r="9183" spans="1:9" ht="15.75" thickBot="1" x14ac:dyDescent="0.3">
      <c r="A9183" s="43" t="s">
        <v>18614</v>
      </c>
      <c r="B9183" s="21" t="s">
        <v>18615</v>
      </c>
      <c r="C9183" s="21" t="s">
        <v>22725</v>
      </c>
      <c r="D9183" s="31" t="s">
        <v>22660</v>
      </c>
      <c r="E9183" s="23" t="s">
        <v>22656</v>
      </c>
      <c r="F9183" s="24" t="s">
        <v>22657</v>
      </c>
      <c r="G9183" s="25">
        <v>48</v>
      </c>
      <c r="H9183" s="29"/>
      <c r="I9183" s="30"/>
    </row>
    <row r="9184" spans="1:9" ht="15.75" thickBot="1" x14ac:dyDescent="0.3">
      <c r="A9184" s="43" t="s">
        <v>18616</v>
      </c>
      <c r="B9184" s="21" t="s">
        <v>18617</v>
      </c>
      <c r="C9184" s="21" t="s">
        <v>22725</v>
      </c>
      <c r="D9184" s="31" t="s">
        <v>22660</v>
      </c>
      <c r="E9184" s="23" t="s">
        <v>22656</v>
      </c>
      <c r="F9184" s="24" t="s">
        <v>22657</v>
      </c>
      <c r="G9184" s="25">
        <v>48</v>
      </c>
      <c r="H9184" s="26"/>
      <c r="I9184" s="27"/>
    </row>
    <row r="9185" spans="1:9" ht="15.75" thickBot="1" x14ac:dyDescent="0.3">
      <c r="A9185" s="43" t="s">
        <v>18618</v>
      </c>
      <c r="B9185" s="21" t="s">
        <v>18619</v>
      </c>
      <c r="C9185" s="21" t="s">
        <v>22725</v>
      </c>
      <c r="D9185" s="31" t="s">
        <v>22660</v>
      </c>
      <c r="E9185" s="23" t="s">
        <v>22656</v>
      </c>
      <c r="F9185" s="24" t="s">
        <v>22657</v>
      </c>
      <c r="G9185" s="25">
        <v>48</v>
      </c>
      <c r="H9185" s="29"/>
      <c r="I9185" s="30"/>
    </row>
    <row r="9186" spans="1:9" ht="15.75" thickBot="1" x14ac:dyDescent="0.3">
      <c r="A9186" s="43" t="s">
        <v>18620</v>
      </c>
      <c r="B9186" s="21" t="s">
        <v>18621</v>
      </c>
      <c r="C9186" s="21" t="s">
        <v>22725</v>
      </c>
      <c r="D9186" s="31" t="s">
        <v>22660</v>
      </c>
      <c r="E9186" s="23" t="s">
        <v>22656</v>
      </c>
      <c r="F9186" s="24" t="s">
        <v>22657</v>
      </c>
      <c r="G9186" s="25">
        <v>48</v>
      </c>
      <c r="H9186" s="26"/>
      <c r="I9186" s="27"/>
    </row>
    <row r="9187" spans="1:9" ht="15.75" thickBot="1" x14ac:dyDescent="0.3">
      <c r="A9187" s="43" t="s">
        <v>18622</v>
      </c>
      <c r="B9187" s="21" t="s">
        <v>18623</v>
      </c>
      <c r="C9187" s="21" t="s">
        <v>22725</v>
      </c>
      <c r="D9187" s="31" t="s">
        <v>22660</v>
      </c>
      <c r="E9187" s="23" t="s">
        <v>22658</v>
      </c>
      <c r="F9187" s="24" t="s">
        <v>22657</v>
      </c>
      <c r="G9187" s="25">
        <v>48</v>
      </c>
      <c r="H9187" s="29"/>
      <c r="I9187" s="30"/>
    </row>
    <row r="9188" spans="1:9" ht="15.75" thickBot="1" x14ac:dyDescent="0.3">
      <c r="A9188" s="43" t="s">
        <v>18624</v>
      </c>
      <c r="B9188" s="21" t="s">
        <v>18625</v>
      </c>
      <c r="C9188" s="21" t="s">
        <v>22725</v>
      </c>
      <c r="D9188" s="31" t="s">
        <v>22660</v>
      </c>
      <c r="E9188" s="23" t="s">
        <v>22656</v>
      </c>
      <c r="F9188" s="24" t="s">
        <v>22657</v>
      </c>
      <c r="G9188" s="25">
        <v>36</v>
      </c>
      <c r="H9188" s="34">
        <v>36</v>
      </c>
      <c r="I9188" s="35">
        <v>56</v>
      </c>
    </row>
    <row r="9189" spans="1:9" ht="15.75" thickBot="1" x14ac:dyDescent="0.3">
      <c r="A9189" s="43" t="s">
        <v>18626</v>
      </c>
      <c r="B9189" s="21" t="s">
        <v>18627</v>
      </c>
      <c r="C9189" s="21" t="s">
        <v>22725</v>
      </c>
      <c r="D9189" s="31" t="s">
        <v>22660</v>
      </c>
      <c r="E9189" s="23" t="s">
        <v>22656</v>
      </c>
      <c r="F9189" s="24" t="s">
        <v>22657</v>
      </c>
      <c r="G9189" s="25">
        <v>40</v>
      </c>
      <c r="H9189" s="32">
        <v>40</v>
      </c>
      <c r="I9189" s="33">
        <v>60</v>
      </c>
    </row>
    <row r="9190" spans="1:9" ht="15.75" thickBot="1" x14ac:dyDescent="0.3">
      <c r="A9190" s="43" t="s">
        <v>18628</v>
      </c>
      <c r="B9190" s="21" t="s">
        <v>18629</v>
      </c>
      <c r="C9190" s="21" t="s">
        <v>22725</v>
      </c>
      <c r="D9190" s="31" t="s">
        <v>22660</v>
      </c>
      <c r="E9190" s="23" t="s">
        <v>22656</v>
      </c>
      <c r="F9190" s="24" t="s">
        <v>22657</v>
      </c>
      <c r="G9190" s="25">
        <v>40</v>
      </c>
      <c r="H9190" s="34">
        <v>40</v>
      </c>
      <c r="I9190" s="35">
        <v>60</v>
      </c>
    </row>
    <row r="9191" spans="1:9" ht="15.75" thickBot="1" x14ac:dyDescent="0.3">
      <c r="A9191" s="43" t="s">
        <v>1673</v>
      </c>
      <c r="B9191" s="21" t="s">
        <v>1674</v>
      </c>
      <c r="C9191" s="21" t="s">
        <v>22871</v>
      </c>
      <c r="D9191" s="22">
        <v>46034</v>
      </c>
      <c r="E9191" s="23" t="s">
        <v>22656</v>
      </c>
      <c r="F9191" s="24" t="s">
        <v>22657</v>
      </c>
      <c r="G9191" s="25">
        <v>6</v>
      </c>
      <c r="H9191" s="32">
        <v>6</v>
      </c>
      <c r="I9191" s="33">
        <v>12</v>
      </c>
    </row>
    <row r="9192" spans="1:9" ht="15.75" thickBot="1" x14ac:dyDescent="0.3">
      <c r="A9192" s="43" t="s">
        <v>18630</v>
      </c>
      <c r="B9192" s="21" t="s">
        <v>18631</v>
      </c>
      <c r="C9192" s="21" t="s">
        <v>22655</v>
      </c>
      <c r="D9192" s="31" t="s">
        <v>22666</v>
      </c>
      <c r="E9192" s="23" t="s">
        <v>22656</v>
      </c>
      <c r="F9192" s="24" t="s">
        <v>22657</v>
      </c>
      <c r="G9192" s="25">
        <v>4</v>
      </c>
      <c r="H9192" s="26"/>
      <c r="I9192" s="27"/>
    </row>
    <row r="9193" spans="1:9" ht="15.75" thickBot="1" x14ac:dyDescent="0.3">
      <c r="A9193" s="43" t="s">
        <v>18632</v>
      </c>
      <c r="B9193" s="21" t="s">
        <v>18633</v>
      </c>
      <c r="C9193" s="21" t="s">
        <v>22663</v>
      </c>
      <c r="D9193" s="31">
        <v>1</v>
      </c>
      <c r="E9193" s="23" t="s">
        <v>22658</v>
      </c>
      <c r="F9193" s="24" t="s">
        <v>22657</v>
      </c>
      <c r="G9193" s="25">
        <v>4</v>
      </c>
      <c r="H9193" s="29"/>
      <c r="I9193" s="30"/>
    </row>
    <row r="9194" spans="1:9" ht="15.75" thickBot="1" x14ac:dyDescent="0.3">
      <c r="A9194" s="43" t="s">
        <v>18634</v>
      </c>
      <c r="B9194" s="21" t="s">
        <v>18635</v>
      </c>
      <c r="C9194" s="21" t="s">
        <v>22682</v>
      </c>
      <c r="D9194" s="22">
        <v>46034</v>
      </c>
      <c r="E9194" s="23" t="s">
        <v>22658</v>
      </c>
      <c r="F9194" s="24" t="s">
        <v>22657</v>
      </c>
      <c r="G9194" s="25">
        <v>4</v>
      </c>
      <c r="H9194" s="26"/>
      <c r="I9194" s="27"/>
    </row>
    <row r="9195" spans="1:9" ht="15.75" thickBot="1" x14ac:dyDescent="0.3">
      <c r="A9195" s="43" t="s">
        <v>18636</v>
      </c>
      <c r="B9195" s="21" t="s">
        <v>18637</v>
      </c>
      <c r="C9195" s="21" t="s">
        <v>22663</v>
      </c>
      <c r="D9195" s="31">
        <v>1</v>
      </c>
      <c r="E9195" s="23" t="s">
        <v>22658</v>
      </c>
      <c r="F9195" s="24" t="s">
        <v>22657</v>
      </c>
      <c r="G9195" s="25">
        <v>4</v>
      </c>
      <c r="H9195" s="29"/>
      <c r="I9195" s="30"/>
    </row>
    <row r="9196" spans="1:9" ht="15.75" thickBot="1" x14ac:dyDescent="0.3">
      <c r="A9196" s="43" t="s">
        <v>18638</v>
      </c>
      <c r="B9196" s="21" t="s">
        <v>18639</v>
      </c>
      <c r="C9196" s="21" t="s">
        <v>22682</v>
      </c>
      <c r="D9196" s="22">
        <v>46034</v>
      </c>
      <c r="E9196" s="23" t="s">
        <v>22658</v>
      </c>
      <c r="F9196" s="24" t="s">
        <v>22657</v>
      </c>
      <c r="G9196" s="25">
        <v>4</v>
      </c>
      <c r="H9196" s="26"/>
      <c r="I9196" s="27"/>
    </row>
    <row r="9197" spans="1:9" ht="15.75" thickBot="1" x14ac:dyDescent="0.3">
      <c r="A9197" s="43" t="s">
        <v>18640</v>
      </c>
      <c r="B9197" s="21" t="s">
        <v>18641</v>
      </c>
      <c r="C9197" s="21" t="s">
        <v>22682</v>
      </c>
      <c r="D9197" s="22">
        <v>46034</v>
      </c>
      <c r="E9197" s="23" t="s">
        <v>22656</v>
      </c>
      <c r="F9197" s="24" t="s">
        <v>22657</v>
      </c>
      <c r="G9197" s="25">
        <v>4</v>
      </c>
      <c r="H9197" s="29"/>
      <c r="I9197" s="30"/>
    </row>
    <row r="9198" spans="1:9" ht="15.75" thickBot="1" x14ac:dyDescent="0.3">
      <c r="A9198" s="43" t="s">
        <v>18642</v>
      </c>
      <c r="B9198" s="21" t="s">
        <v>18643</v>
      </c>
      <c r="C9198" s="21" t="s">
        <v>22682</v>
      </c>
      <c r="D9198" s="22">
        <v>46034</v>
      </c>
      <c r="E9198" s="23" t="s">
        <v>22658</v>
      </c>
      <c r="F9198" s="24" t="s">
        <v>22657</v>
      </c>
      <c r="G9198" s="25">
        <v>4</v>
      </c>
      <c r="H9198" s="26"/>
      <c r="I9198" s="27"/>
    </row>
    <row r="9199" spans="1:9" ht="15.75" thickBot="1" x14ac:dyDescent="0.3">
      <c r="A9199" s="43" t="s">
        <v>18644</v>
      </c>
      <c r="B9199" s="21" t="s">
        <v>18645</v>
      </c>
      <c r="C9199" s="21" t="s">
        <v>22682</v>
      </c>
      <c r="D9199" s="22">
        <v>46034</v>
      </c>
      <c r="E9199" s="23" t="s">
        <v>22658</v>
      </c>
      <c r="F9199" s="24" t="s">
        <v>22657</v>
      </c>
      <c r="G9199" s="25">
        <v>4</v>
      </c>
      <c r="H9199" s="29"/>
      <c r="I9199" s="30"/>
    </row>
    <row r="9200" spans="1:9" ht="15.75" thickBot="1" x14ac:dyDescent="0.3">
      <c r="A9200" s="43" t="s">
        <v>18646</v>
      </c>
      <c r="B9200" s="21" t="s">
        <v>18647</v>
      </c>
      <c r="C9200" s="21" t="s">
        <v>22682</v>
      </c>
      <c r="D9200" s="22">
        <v>46034</v>
      </c>
      <c r="E9200" s="23" t="s">
        <v>22658</v>
      </c>
      <c r="F9200" s="24" t="s">
        <v>22657</v>
      </c>
      <c r="G9200" s="25">
        <v>4</v>
      </c>
      <c r="H9200" s="26"/>
      <c r="I9200" s="27"/>
    </row>
    <row r="9201" spans="1:9" ht="15.75" thickBot="1" x14ac:dyDescent="0.3">
      <c r="A9201" s="43" t="s">
        <v>18648</v>
      </c>
      <c r="B9201" s="21" t="s">
        <v>18649</v>
      </c>
      <c r="C9201" s="21" t="s">
        <v>22682</v>
      </c>
      <c r="D9201" s="22">
        <v>46034</v>
      </c>
      <c r="E9201" s="23" t="s">
        <v>22658</v>
      </c>
      <c r="F9201" s="24" t="s">
        <v>22657</v>
      </c>
      <c r="G9201" s="25">
        <v>4</v>
      </c>
      <c r="H9201" s="29"/>
      <c r="I9201" s="30"/>
    </row>
    <row r="9202" spans="1:9" ht="15.75" thickBot="1" x14ac:dyDescent="0.3">
      <c r="A9202" s="43" t="s">
        <v>18650</v>
      </c>
      <c r="B9202" s="21" t="s">
        <v>18651</v>
      </c>
      <c r="C9202" s="21" t="s">
        <v>22682</v>
      </c>
      <c r="D9202" s="22">
        <v>46034</v>
      </c>
      <c r="E9202" s="23" t="s">
        <v>22658</v>
      </c>
      <c r="F9202" s="24" t="s">
        <v>22657</v>
      </c>
      <c r="G9202" s="25">
        <v>4</v>
      </c>
      <c r="H9202" s="26"/>
      <c r="I9202" s="27"/>
    </row>
    <row r="9203" spans="1:9" ht="15.75" thickBot="1" x14ac:dyDescent="0.3">
      <c r="A9203" s="43" t="s">
        <v>18652</v>
      </c>
      <c r="B9203" s="21" t="s">
        <v>18653</v>
      </c>
      <c r="C9203" s="21" t="s">
        <v>22682</v>
      </c>
      <c r="D9203" s="22">
        <v>46034</v>
      </c>
      <c r="E9203" s="23" t="s">
        <v>22658</v>
      </c>
      <c r="F9203" s="24" t="s">
        <v>22657</v>
      </c>
      <c r="G9203" s="25">
        <v>4</v>
      </c>
      <c r="H9203" s="29"/>
      <c r="I9203" s="30"/>
    </row>
    <row r="9204" spans="1:9" ht="15.75" thickBot="1" x14ac:dyDescent="0.3">
      <c r="A9204" s="43" t="s">
        <v>18654</v>
      </c>
      <c r="B9204" s="21" t="s">
        <v>18655</v>
      </c>
      <c r="C9204" s="21" t="s">
        <v>22682</v>
      </c>
      <c r="D9204" s="22">
        <v>46034</v>
      </c>
      <c r="E9204" s="23" t="s">
        <v>22658</v>
      </c>
      <c r="F9204" s="24" t="s">
        <v>22657</v>
      </c>
      <c r="G9204" s="25">
        <v>4</v>
      </c>
      <c r="H9204" s="26"/>
      <c r="I9204" s="27"/>
    </row>
    <row r="9205" spans="1:9" ht="15.75" thickBot="1" x14ac:dyDescent="0.3">
      <c r="A9205" s="43" t="s">
        <v>18656</v>
      </c>
      <c r="B9205" s="21" t="s">
        <v>18657</v>
      </c>
      <c r="C9205" s="21" t="s">
        <v>22682</v>
      </c>
      <c r="D9205" s="22">
        <v>46034</v>
      </c>
      <c r="E9205" s="23" t="s">
        <v>22656</v>
      </c>
      <c r="F9205" s="24" t="s">
        <v>22657</v>
      </c>
      <c r="G9205" s="25">
        <v>4</v>
      </c>
      <c r="H9205" s="29"/>
      <c r="I9205" s="30"/>
    </row>
    <row r="9206" spans="1:9" ht="15.75" thickBot="1" x14ac:dyDescent="0.3">
      <c r="A9206" s="43" t="s">
        <v>18658</v>
      </c>
      <c r="B9206" s="21" t="s">
        <v>18659</v>
      </c>
      <c r="C9206" s="21" t="s">
        <v>22682</v>
      </c>
      <c r="D9206" s="22">
        <v>46034</v>
      </c>
      <c r="E9206" s="23" t="s">
        <v>22658</v>
      </c>
      <c r="F9206" s="24" t="s">
        <v>22657</v>
      </c>
      <c r="G9206" s="25">
        <v>4</v>
      </c>
      <c r="H9206" s="26"/>
      <c r="I9206" s="27"/>
    </row>
    <row r="9207" spans="1:9" ht="15.75" thickBot="1" x14ac:dyDescent="0.3">
      <c r="A9207" s="43" t="s">
        <v>18660</v>
      </c>
      <c r="B9207" s="21" t="s">
        <v>18661</v>
      </c>
      <c r="C9207" s="21" t="s">
        <v>22682</v>
      </c>
      <c r="D9207" s="22">
        <v>46034</v>
      </c>
      <c r="E9207" s="23" t="s">
        <v>22658</v>
      </c>
      <c r="F9207" s="24" t="s">
        <v>22657</v>
      </c>
      <c r="G9207" s="25">
        <v>4</v>
      </c>
      <c r="H9207" s="29"/>
      <c r="I9207" s="30"/>
    </row>
    <row r="9208" spans="1:9" ht="15.75" thickBot="1" x14ac:dyDescent="0.3">
      <c r="A9208" s="43" t="s">
        <v>18662</v>
      </c>
      <c r="B9208" s="21" t="s">
        <v>18663</v>
      </c>
      <c r="C9208" s="21" t="s">
        <v>22682</v>
      </c>
      <c r="D9208" s="22">
        <v>46034</v>
      </c>
      <c r="E9208" s="23" t="s">
        <v>22658</v>
      </c>
      <c r="F9208" s="24" t="s">
        <v>22657</v>
      </c>
      <c r="G9208" s="25">
        <v>4</v>
      </c>
      <c r="H9208" s="26"/>
      <c r="I9208" s="27"/>
    </row>
    <row r="9209" spans="1:9" ht="15.75" thickBot="1" x14ac:dyDescent="0.3">
      <c r="A9209" s="43" t="s">
        <v>18664</v>
      </c>
      <c r="B9209" s="21" t="s">
        <v>18665</v>
      </c>
      <c r="C9209" s="21" t="s">
        <v>22682</v>
      </c>
      <c r="D9209" s="22">
        <v>46034</v>
      </c>
      <c r="E9209" s="23" t="s">
        <v>22656</v>
      </c>
      <c r="F9209" s="24" t="s">
        <v>22657</v>
      </c>
      <c r="G9209" s="25">
        <v>4</v>
      </c>
      <c r="H9209" s="29"/>
      <c r="I9209" s="30"/>
    </row>
    <row r="9210" spans="1:9" ht="15.75" thickBot="1" x14ac:dyDescent="0.3">
      <c r="A9210" s="43" t="s">
        <v>18666</v>
      </c>
      <c r="B9210" s="21" t="s">
        <v>18667</v>
      </c>
      <c r="C9210" s="21" t="s">
        <v>22682</v>
      </c>
      <c r="D9210" s="22">
        <v>46034</v>
      </c>
      <c r="E9210" s="23" t="s">
        <v>22658</v>
      </c>
      <c r="F9210" s="24" t="s">
        <v>22657</v>
      </c>
      <c r="G9210" s="25">
        <v>4</v>
      </c>
      <c r="H9210" s="26"/>
      <c r="I9210" s="27"/>
    </row>
    <row r="9211" spans="1:9" ht="15.75" thickBot="1" x14ac:dyDescent="0.3">
      <c r="A9211" s="43" t="s">
        <v>18668</v>
      </c>
      <c r="B9211" s="21" t="s">
        <v>18669</v>
      </c>
      <c r="C9211" s="21" t="s">
        <v>22682</v>
      </c>
      <c r="D9211" s="22">
        <v>46034</v>
      </c>
      <c r="E9211" s="23" t="s">
        <v>22656</v>
      </c>
      <c r="F9211" s="24" t="s">
        <v>22657</v>
      </c>
      <c r="G9211" s="25">
        <v>4</v>
      </c>
      <c r="H9211" s="29"/>
      <c r="I9211" s="30"/>
    </row>
    <row r="9212" spans="1:9" ht="15.75" thickBot="1" x14ac:dyDescent="0.3">
      <c r="A9212" s="43" t="s">
        <v>18670</v>
      </c>
      <c r="B9212" s="21" t="s">
        <v>18671</v>
      </c>
      <c r="C9212" s="21" t="s">
        <v>22682</v>
      </c>
      <c r="D9212" s="22">
        <v>46034</v>
      </c>
      <c r="E9212" s="23" t="s">
        <v>22656</v>
      </c>
      <c r="F9212" s="24" t="s">
        <v>22657</v>
      </c>
      <c r="G9212" s="25">
        <v>4</v>
      </c>
      <c r="H9212" s="26"/>
      <c r="I9212" s="27"/>
    </row>
    <row r="9213" spans="1:9" ht="15.75" thickBot="1" x14ac:dyDescent="0.3">
      <c r="A9213" s="43" t="s">
        <v>18672</v>
      </c>
      <c r="B9213" s="21" t="s">
        <v>18673</v>
      </c>
      <c r="C9213" s="21" t="s">
        <v>22682</v>
      </c>
      <c r="D9213" s="22">
        <v>46034</v>
      </c>
      <c r="E9213" s="23" t="s">
        <v>22656</v>
      </c>
      <c r="F9213" s="24" t="s">
        <v>22657</v>
      </c>
      <c r="G9213" s="25">
        <v>4</v>
      </c>
      <c r="H9213" s="29"/>
      <c r="I9213" s="30"/>
    </row>
    <row r="9214" spans="1:9" ht="15.75" thickBot="1" x14ac:dyDescent="0.3">
      <c r="A9214" s="43" t="s">
        <v>18674</v>
      </c>
      <c r="B9214" s="21" t="s">
        <v>18675</v>
      </c>
      <c r="C9214" s="21" t="s">
        <v>22682</v>
      </c>
      <c r="D9214" s="22">
        <v>46034</v>
      </c>
      <c r="E9214" s="23" t="s">
        <v>22656</v>
      </c>
      <c r="F9214" s="24" t="s">
        <v>22657</v>
      </c>
      <c r="G9214" s="25">
        <v>4</v>
      </c>
      <c r="H9214" s="26"/>
      <c r="I9214" s="27"/>
    </row>
    <row r="9215" spans="1:9" ht="15.75" thickBot="1" x14ac:dyDescent="0.3">
      <c r="A9215" s="43" t="s">
        <v>18676</v>
      </c>
      <c r="B9215" s="21" t="s">
        <v>18677</v>
      </c>
      <c r="C9215" s="21" t="s">
        <v>22682</v>
      </c>
      <c r="D9215" s="22">
        <v>46034</v>
      </c>
      <c r="E9215" s="23" t="s">
        <v>22656</v>
      </c>
      <c r="F9215" s="24" t="s">
        <v>22657</v>
      </c>
      <c r="G9215" s="25">
        <v>4</v>
      </c>
      <c r="H9215" s="29"/>
      <c r="I9215" s="30"/>
    </row>
    <row r="9216" spans="1:9" ht="15.75" thickBot="1" x14ac:dyDescent="0.3">
      <c r="A9216" s="43" t="s">
        <v>18678</v>
      </c>
      <c r="B9216" s="21" t="s">
        <v>18679</v>
      </c>
      <c r="C9216" s="21" t="s">
        <v>22682</v>
      </c>
      <c r="D9216" s="22">
        <v>46034</v>
      </c>
      <c r="E9216" s="23" t="s">
        <v>22656</v>
      </c>
      <c r="F9216" s="24" t="s">
        <v>22657</v>
      </c>
      <c r="G9216" s="25">
        <v>4</v>
      </c>
      <c r="H9216" s="26"/>
      <c r="I9216" s="27"/>
    </row>
    <row r="9217" spans="1:9" ht="15.75" thickBot="1" x14ac:dyDescent="0.3">
      <c r="A9217" s="43" t="s">
        <v>18680</v>
      </c>
      <c r="B9217" s="21" t="s">
        <v>18681</v>
      </c>
      <c r="C9217" s="21" t="s">
        <v>22682</v>
      </c>
      <c r="D9217" s="22">
        <v>46034</v>
      </c>
      <c r="E9217" s="23" t="s">
        <v>22658</v>
      </c>
      <c r="F9217" s="24" t="s">
        <v>22657</v>
      </c>
      <c r="G9217" s="25">
        <v>4</v>
      </c>
      <c r="H9217" s="29"/>
      <c r="I9217" s="30"/>
    </row>
    <row r="9218" spans="1:9" ht="15.75" thickBot="1" x14ac:dyDescent="0.3">
      <c r="A9218" s="43" t="s">
        <v>18682</v>
      </c>
      <c r="B9218" s="21" t="s">
        <v>18683</v>
      </c>
      <c r="C9218" s="21" t="s">
        <v>22682</v>
      </c>
      <c r="D9218" s="22">
        <v>46034</v>
      </c>
      <c r="E9218" s="23" t="s">
        <v>22656</v>
      </c>
      <c r="F9218" s="24" t="s">
        <v>22657</v>
      </c>
      <c r="G9218" s="25">
        <v>4</v>
      </c>
      <c r="H9218" s="26"/>
      <c r="I9218" s="27"/>
    </row>
    <row r="9219" spans="1:9" ht="15.75" thickBot="1" x14ac:dyDescent="0.3">
      <c r="A9219" s="43" t="s">
        <v>18684</v>
      </c>
      <c r="B9219" s="21" t="s">
        <v>18685</v>
      </c>
      <c r="C9219" s="21" t="s">
        <v>22682</v>
      </c>
      <c r="D9219" s="22">
        <v>46034</v>
      </c>
      <c r="E9219" s="23" t="s">
        <v>22656</v>
      </c>
      <c r="F9219" s="24" t="s">
        <v>22657</v>
      </c>
      <c r="G9219" s="25">
        <v>4</v>
      </c>
      <c r="H9219" s="29"/>
      <c r="I9219" s="30"/>
    </row>
    <row r="9220" spans="1:9" ht="15.75" thickBot="1" x14ac:dyDescent="0.3">
      <c r="A9220" s="43" t="s">
        <v>18686</v>
      </c>
      <c r="B9220" s="21" t="s">
        <v>18687</v>
      </c>
      <c r="C9220" s="21" t="s">
        <v>22682</v>
      </c>
      <c r="D9220" s="22">
        <v>46034</v>
      </c>
      <c r="E9220" s="23" t="s">
        <v>22656</v>
      </c>
      <c r="F9220" s="24" t="s">
        <v>22657</v>
      </c>
      <c r="G9220" s="25">
        <v>4</v>
      </c>
      <c r="H9220" s="26"/>
      <c r="I9220" s="27"/>
    </row>
    <row r="9221" spans="1:9" ht="15.75" thickBot="1" x14ac:dyDescent="0.3">
      <c r="A9221" s="43" t="s">
        <v>18688</v>
      </c>
      <c r="B9221" s="21" t="s">
        <v>18689</v>
      </c>
      <c r="C9221" s="21" t="s">
        <v>22682</v>
      </c>
      <c r="D9221" s="22">
        <v>46034</v>
      </c>
      <c r="E9221" s="23" t="s">
        <v>22656</v>
      </c>
      <c r="F9221" s="24" t="s">
        <v>22657</v>
      </c>
      <c r="G9221" s="25">
        <v>4</v>
      </c>
      <c r="H9221" s="29"/>
      <c r="I9221" s="30"/>
    </row>
    <row r="9222" spans="1:9" ht="15.75" thickBot="1" x14ac:dyDescent="0.3">
      <c r="A9222" s="43" t="s">
        <v>18690</v>
      </c>
      <c r="B9222" s="21" t="s">
        <v>18691</v>
      </c>
      <c r="C9222" s="21" t="s">
        <v>22682</v>
      </c>
      <c r="D9222" s="22">
        <v>46034</v>
      </c>
      <c r="E9222" s="23" t="s">
        <v>22656</v>
      </c>
      <c r="F9222" s="24" t="s">
        <v>22657</v>
      </c>
      <c r="G9222" s="25">
        <v>4</v>
      </c>
      <c r="H9222" s="26"/>
      <c r="I9222" s="27"/>
    </row>
    <row r="9223" spans="1:9" ht="15.75" thickBot="1" x14ac:dyDescent="0.3">
      <c r="A9223" s="43" t="s">
        <v>18692</v>
      </c>
      <c r="B9223" s="21" t="s">
        <v>18693</v>
      </c>
      <c r="C9223" s="21" t="s">
        <v>22682</v>
      </c>
      <c r="D9223" s="22">
        <v>46034</v>
      </c>
      <c r="E9223" s="23" t="s">
        <v>22656</v>
      </c>
      <c r="F9223" s="24" t="s">
        <v>22657</v>
      </c>
      <c r="G9223" s="25">
        <v>4</v>
      </c>
      <c r="H9223" s="29"/>
      <c r="I9223" s="30"/>
    </row>
    <row r="9224" spans="1:9" ht="15.75" thickBot="1" x14ac:dyDescent="0.3">
      <c r="A9224" s="43" t="s">
        <v>18694</v>
      </c>
      <c r="B9224" s="21" t="s">
        <v>18695</v>
      </c>
      <c r="C9224" s="21" t="s">
        <v>22682</v>
      </c>
      <c r="D9224" s="22">
        <v>46034</v>
      </c>
      <c r="E9224" s="23" t="s">
        <v>22658</v>
      </c>
      <c r="F9224" s="24" t="s">
        <v>22657</v>
      </c>
      <c r="G9224" s="25">
        <v>4</v>
      </c>
      <c r="H9224" s="26"/>
      <c r="I9224" s="27"/>
    </row>
    <row r="9225" spans="1:9" ht="15.75" thickBot="1" x14ac:dyDescent="0.3">
      <c r="A9225" s="43" t="s">
        <v>18696</v>
      </c>
      <c r="B9225" s="21" t="s">
        <v>18697</v>
      </c>
      <c r="C9225" s="21" t="s">
        <v>22682</v>
      </c>
      <c r="D9225" s="22">
        <v>46034</v>
      </c>
      <c r="E9225" s="23" t="s">
        <v>22656</v>
      </c>
      <c r="F9225" s="24" t="s">
        <v>22657</v>
      </c>
      <c r="G9225" s="25">
        <v>4</v>
      </c>
      <c r="H9225" s="29"/>
      <c r="I9225" s="30"/>
    </row>
    <row r="9226" spans="1:9" ht="15.75" thickBot="1" x14ac:dyDescent="0.3">
      <c r="A9226" s="43" t="s">
        <v>18698</v>
      </c>
      <c r="B9226" s="21" t="s">
        <v>18699</v>
      </c>
      <c r="C9226" s="21" t="s">
        <v>22682</v>
      </c>
      <c r="D9226" s="22">
        <v>46034</v>
      </c>
      <c r="E9226" s="23" t="s">
        <v>22656</v>
      </c>
      <c r="F9226" s="24" t="s">
        <v>22657</v>
      </c>
      <c r="G9226" s="25">
        <v>4</v>
      </c>
      <c r="H9226" s="26"/>
      <c r="I9226" s="27"/>
    </row>
    <row r="9227" spans="1:9" ht="15.75" thickBot="1" x14ac:dyDescent="0.3">
      <c r="A9227" s="43" t="s">
        <v>18700</v>
      </c>
      <c r="B9227" s="21" t="s">
        <v>18701</v>
      </c>
      <c r="C9227" s="21" t="s">
        <v>22682</v>
      </c>
      <c r="D9227" s="22">
        <v>46034</v>
      </c>
      <c r="E9227" s="23" t="s">
        <v>22656</v>
      </c>
      <c r="F9227" s="24" t="s">
        <v>22657</v>
      </c>
      <c r="G9227" s="25">
        <v>4</v>
      </c>
      <c r="H9227" s="29"/>
      <c r="I9227" s="30"/>
    </row>
    <row r="9228" spans="1:9" ht="15.75" thickBot="1" x14ac:dyDescent="0.3">
      <c r="A9228" s="43" t="s">
        <v>18702</v>
      </c>
      <c r="B9228" s="21" t="s">
        <v>18703</v>
      </c>
      <c r="C9228" s="21" t="s">
        <v>22682</v>
      </c>
      <c r="D9228" s="22">
        <v>46034</v>
      </c>
      <c r="E9228" s="23" t="s">
        <v>22658</v>
      </c>
      <c r="F9228" s="24" t="s">
        <v>22657</v>
      </c>
      <c r="G9228" s="25">
        <v>4</v>
      </c>
      <c r="H9228" s="26"/>
      <c r="I9228" s="27"/>
    </row>
    <row r="9229" spans="1:9" ht="15.75" thickBot="1" x14ac:dyDescent="0.3">
      <c r="A9229" s="43" t="s">
        <v>18704</v>
      </c>
      <c r="B9229" s="21" t="s">
        <v>18705</v>
      </c>
      <c r="C9229" s="21" t="s">
        <v>22682</v>
      </c>
      <c r="D9229" s="22">
        <v>46034</v>
      </c>
      <c r="E9229" s="23" t="s">
        <v>22658</v>
      </c>
      <c r="F9229" s="24" t="s">
        <v>22657</v>
      </c>
      <c r="G9229" s="25">
        <v>4</v>
      </c>
      <c r="H9229" s="29"/>
      <c r="I9229" s="30"/>
    </row>
    <row r="9230" spans="1:9" ht="15.75" thickBot="1" x14ac:dyDescent="0.3">
      <c r="A9230" s="43" t="s">
        <v>18706</v>
      </c>
      <c r="B9230" s="21" t="s">
        <v>18707</v>
      </c>
      <c r="C9230" s="21" t="s">
        <v>22682</v>
      </c>
      <c r="D9230" s="22">
        <v>46034</v>
      </c>
      <c r="E9230" s="23" t="s">
        <v>22656</v>
      </c>
      <c r="F9230" s="24" t="s">
        <v>22657</v>
      </c>
      <c r="G9230" s="25">
        <v>4</v>
      </c>
      <c r="H9230" s="26"/>
      <c r="I9230" s="27"/>
    </row>
    <row r="9231" spans="1:9" ht="15.75" thickBot="1" x14ac:dyDescent="0.3">
      <c r="A9231" s="43" t="s">
        <v>18708</v>
      </c>
      <c r="B9231" s="21" t="s">
        <v>18709</v>
      </c>
      <c r="C9231" s="21" t="s">
        <v>22682</v>
      </c>
      <c r="D9231" s="22">
        <v>46034</v>
      </c>
      <c r="E9231" s="23" t="s">
        <v>22658</v>
      </c>
      <c r="F9231" s="24" t="s">
        <v>22657</v>
      </c>
      <c r="G9231" s="25">
        <v>4</v>
      </c>
      <c r="H9231" s="29"/>
      <c r="I9231" s="30"/>
    </row>
    <row r="9232" spans="1:9" ht="15.75" thickBot="1" x14ac:dyDescent="0.3">
      <c r="A9232" s="43" t="s">
        <v>18710</v>
      </c>
      <c r="B9232" s="21" t="s">
        <v>18711</v>
      </c>
      <c r="C9232" s="21" t="s">
        <v>22682</v>
      </c>
      <c r="D9232" s="22">
        <v>46034</v>
      </c>
      <c r="E9232" s="23" t="s">
        <v>22656</v>
      </c>
      <c r="F9232" s="24" t="s">
        <v>22657</v>
      </c>
      <c r="G9232" s="25">
        <v>4</v>
      </c>
      <c r="H9232" s="26"/>
      <c r="I9232" s="27"/>
    </row>
    <row r="9233" spans="1:9" ht="15.75" thickBot="1" x14ac:dyDescent="0.3">
      <c r="A9233" s="43" t="s">
        <v>18712</v>
      </c>
      <c r="B9233" s="21" t="s">
        <v>18713</v>
      </c>
      <c r="C9233" s="21" t="s">
        <v>22682</v>
      </c>
      <c r="D9233" s="22">
        <v>46034</v>
      </c>
      <c r="E9233" s="23" t="s">
        <v>22656</v>
      </c>
      <c r="F9233" s="24" t="s">
        <v>22657</v>
      </c>
      <c r="G9233" s="25">
        <v>4</v>
      </c>
      <c r="H9233" s="29"/>
      <c r="I9233" s="30"/>
    </row>
    <row r="9234" spans="1:9" ht="15.75" thickBot="1" x14ac:dyDescent="0.3">
      <c r="A9234" s="43" t="s">
        <v>18714</v>
      </c>
      <c r="B9234" s="21" t="s">
        <v>18715</v>
      </c>
      <c r="C9234" s="21" t="s">
        <v>22682</v>
      </c>
      <c r="D9234" s="22">
        <v>46034</v>
      </c>
      <c r="E9234" s="23" t="s">
        <v>22656</v>
      </c>
      <c r="F9234" s="24" t="s">
        <v>22657</v>
      </c>
      <c r="G9234" s="25">
        <v>4</v>
      </c>
      <c r="H9234" s="26"/>
      <c r="I9234" s="27"/>
    </row>
    <row r="9235" spans="1:9" ht="15.75" thickBot="1" x14ac:dyDescent="0.3">
      <c r="A9235" s="43" t="s">
        <v>18716</v>
      </c>
      <c r="B9235" s="21" t="s">
        <v>18717</v>
      </c>
      <c r="C9235" s="21" t="s">
        <v>22682</v>
      </c>
      <c r="D9235" s="22">
        <v>46034</v>
      </c>
      <c r="E9235" s="23" t="s">
        <v>22656</v>
      </c>
      <c r="F9235" s="24" t="s">
        <v>22657</v>
      </c>
      <c r="G9235" s="25">
        <v>4</v>
      </c>
      <c r="H9235" s="29"/>
      <c r="I9235" s="30"/>
    </row>
    <row r="9236" spans="1:9" ht="15.75" thickBot="1" x14ac:dyDescent="0.3">
      <c r="A9236" s="43" t="s">
        <v>18718</v>
      </c>
      <c r="B9236" s="21" t="s">
        <v>18719</v>
      </c>
      <c r="C9236" s="21" t="s">
        <v>22682</v>
      </c>
      <c r="D9236" s="22">
        <v>46034</v>
      </c>
      <c r="E9236" s="23" t="s">
        <v>22658</v>
      </c>
      <c r="F9236" s="24" t="s">
        <v>22657</v>
      </c>
      <c r="G9236" s="25">
        <v>4</v>
      </c>
      <c r="H9236" s="26"/>
      <c r="I9236" s="27"/>
    </row>
    <row r="9237" spans="1:9" ht="15.75" thickBot="1" x14ac:dyDescent="0.3">
      <c r="A9237" s="43" t="s">
        <v>18720</v>
      </c>
      <c r="B9237" s="21" t="s">
        <v>18721</v>
      </c>
      <c r="C9237" s="21" t="s">
        <v>22682</v>
      </c>
      <c r="D9237" s="22">
        <v>46034</v>
      </c>
      <c r="E9237" s="23" t="s">
        <v>22658</v>
      </c>
      <c r="F9237" s="24" t="s">
        <v>22657</v>
      </c>
      <c r="G9237" s="25">
        <v>4</v>
      </c>
      <c r="H9237" s="29"/>
      <c r="I9237" s="30"/>
    </row>
    <row r="9238" spans="1:9" ht="15.75" thickBot="1" x14ac:dyDescent="0.3">
      <c r="A9238" s="43" t="s">
        <v>18722</v>
      </c>
      <c r="B9238" s="21" t="s">
        <v>18723</v>
      </c>
      <c r="C9238" s="21" t="s">
        <v>22682</v>
      </c>
      <c r="D9238" s="22">
        <v>46034</v>
      </c>
      <c r="E9238" s="23" t="s">
        <v>22658</v>
      </c>
      <c r="F9238" s="24" t="s">
        <v>22657</v>
      </c>
      <c r="G9238" s="25">
        <v>4</v>
      </c>
      <c r="H9238" s="26"/>
      <c r="I9238" s="27"/>
    </row>
    <row r="9239" spans="1:9" ht="15.75" thickBot="1" x14ac:dyDescent="0.3">
      <c r="A9239" s="43" t="s">
        <v>18724</v>
      </c>
      <c r="B9239" s="21" t="s">
        <v>18725</v>
      </c>
      <c r="C9239" s="21" t="s">
        <v>22682</v>
      </c>
      <c r="D9239" s="22">
        <v>46034</v>
      </c>
      <c r="E9239" s="23" t="s">
        <v>22658</v>
      </c>
      <c r="F9239" s="24" t="s">
        <v>22657</v>
      </c>
      <c r="G9239" s="25">
        <v>4</v>
      </c>
      <c r="H9239" s="29"/>
      <c r="I9239" s="30"/>
    </row>
    <row r="9240" spans="1:9" ht="15.75" thickBot="1" x14ac:dyDescent="0.3">
      <c r="A9240" s="43" t="s">
        <v>18726</v>
      </c>
      <c r="B9240" s="21" t="s">
        <v>18727</v>
      </c>
      <c r="C9240" s="21" t="s">
        <v>22682</v>
      </c>
      <c r="D9240" s="22">
        <v>46034</v>
      </c>
      <c r="E9240" s="23" t="s">
        <v>22658</v>
      </c>
      <c r="F9240" s="24" t="s">
        <v>22657</v>
      </c>
      <c r="G9240" s="25">
        <v>4</v>
      </c>
      <c r="H9240" s="26"/>
      <c r="I9240" s="27"/>
    </row>
    <row r="9241" spans="1:9" ht="15.75" thickBot="1" x14ac:dyDescent="0.3">
      <c r="A9241" s="43" t="s">
        <v>18728</v>
      </c>
      <c r="B9241" s="21" t="s">
        <v>18729</v>
      </c>
      <c r="C9241" s="21" t="s">
        <v>22682</v>
      </c>
      <c r="D9241" s="22">
        <v>46034</v>
      </c>
      <c r="E9241" s="23" t="s">
        <v>22658</v>
      </c>
      <c r="F9241" s="24" t="s">
        <v>22657</v>
      </c>
      <c r="G9241" s="25">
        <v>4</v>
      </c>
      <c r="H9241" s="29"/>
      <c r="I9241" s="30"/>
    </row>
    <row r="9242" spans="1:9" ht="15.75" thickBot="1" x14ac:dyDescent="0.3">
      <c r="A9242" s="43" t="s">
        <v>18730</v>
      </c>
      <c r="B9242" s="21" t="s">
        <v>18731</v>
      </c>
      <c r="C9242" s="21" t="s">
        <v>22682</v>
      </c>
      <c r="D9242" s="22">
        <v>46034</v>
      </c>
      <c r="E9242" s="23" t="s">
        <v>22656</v>
      </c>
      <c r="F9242" s="24" t="s">
        <v>22657</v>
      </c>
      <c r="G9242" s="25">
        <v>4</v>
      </c>
      <c r="H9242" s="26"/>
      <c r="I9242" s="27"/>
    </row>
    <row r="9243" spans="1:9" ht="15.75" thickBot="1" x14ac:dyDescent="0.3">
      <c r="A9243" s="43" t="s">
        <v>18732</v>
      </c>
      <c r="B9243" s="21" t="s">
        <v>18733</v>
      </c>
      <c r="C9243" s="21" t="s">
        <v>22682</v>
      </c>
      <c r="D9243" s="22">
        <v>46034</v>
      </c>
      <c r="E9243" s="23" t="s">
        <v>22658</v>
      </c>
      <c r="F9243" s="24" t="s">
        <v>22657</v>
      </c>
      <c r="G9243" s="25">
        <v>4</v>
      </c>
      <c r="H9243" s="29"/>
      <c r="I9243" s="30"/>
    </row>
    <row r="9244" spans="1:9" ht="15.75" thickBot="1" x14ac:dyDescent="0.3">
      <c r="A9244" s="43" t="s">
        <v>18734</v>
      </c>
      <c r="B9244" s="21" t="s">
        <v>18735</v>
      </c>
      <c r="C9244" s="21" t="s">
        <v>22682</v>
      </c>
      <c r="D9244" s="22">
        <v>46034</v>
      </c>
      <c r="E9244" s="23" t="s">
        <v>22656</v>
      </c>
      <c r="F9244" s="24" t="s">
        <v>22657</v>
      </c>
      <c r="G9244" s="25">
        <v>4</v>
      </c>
      <c r="H9244" s="26"/>
      <c r="I9244" s="27"/>
    </row>
    <row r="9245" spans="1:9" ht="15.75" thickBot="1" x14ac:dyDescent="0.3">
      <c r="A9245" s="43" t="s">
        <v>18736</v>
      </c>
      <c r="B9245" s="21" t="s">
        <v>18737</v>
      </c>
      <c r="C9245" s="21" t="s">
        <v>22682</v>
      </c>
      <c r="D9245" s="22">
        <v>46034</v>
      </c>
      <c r="E9245" s="23" t="s">
        <v>22658</v>
      </c>
      <c r="F9245" s="24" t="s">
        <v>22657</v>
      </c>
      <c r="G9245" s="25">
        <v>4</v>
      </c>
      <c r="H9245" s="29"/>
      <c r="I9245" s="30"/>
    </row>
    <row r="9246" spans="1:9" ht="15.75" thickBot="1" x14ac:dyDescent="0.3">
      <c r="A9246" s="43" t="s">
        <v>18738</v>
      </c>
      <c r="B9246" s="21" t="s">
        <v>18739</v>
      </c>
      <c r="C9246" s="21" t="s">
        <v>22682</v>
      </c>
      <c r="D9246" s="22">
        <v>46034</v>
      </c>
      <c r="E9246" s="23" t="s">
        <v>22658</v>
      </c>
      <c r="F9246" s="24" t="s">
        <v>22657</v>
      </c>
      <c r="G9246" s="25">
        <v>4</v>
      </c>
      <c r="H9246" s="26"/>
      <c r="I9246" s="27"/>
    </row>
    <row r="9247" spans="1:9" ht="15.75" thickBot="1" x14ac:dyDescent="0.3">
      <c r="A9247" s="43" t="s">
        <v>18740</v>
      </c>
      <c r="B9247" s="21" t="s">
        <v>18741</v>
      </c>
      <c r="C9247" s="21" t="s">
        <v>22682</v>
      </c>
      <c r="D9247" s="22">
        <v>46034</v>
      </c>
      <c r="E9247" s="23" t="s">
        <v>22656</v>
      </c>
      <c r="F9247" s="24" t="s">
        <v>22657</v>
      </c>
      <c r="G9247" s="25">
        <v>4</v>
      </c>
      <c r="H9247" s="29"/>
      <c r="I9247" s="30"/>
    </row>
    <row r="9248" spans="1:9" ht="15.75" thickBot="1" x14ac:dyDescent="0.3">
      <c r="A9248" s="43" t="s">
        <v>18742</v>
      </c>
      <c r="B9248" s="21" t="s">
        <v>18743</v>
      </c>
      <c r="C9248" s="21" t="s">
        <v>22682</v>
      </c>
      <c r="D9248" s="22">
        <v>46034</v>
      </c>
      <c r="E9248" s="23" t="s">
        <v>22656</v>
      </c>
      <c r="F9248" s="24" t="s">
        <v>22657</v>
      </c>
      <c r="G9248" s="25">
        <v>4</v>
      </c>
      <c r="H9248" s="26"/>
      <c r="I9248" s="27"/>
    </row>
    <row r="9249" spans="1:9" ht="15.75" thickBot="1" x14ac:dyDescent="0.3">
      <c r="A9249" s="43" t="s">
        <v>18744</v>
      </c>
      <c r="B9249" s="21" t="s">
        <v>18745</v>
      </c>
      <c r="C9249" s="21" t="s">
        <v>22682</v>
      </c>
      <c r="D9249" s="22">
        <v>46034</v>
      </c>
      <c r="E9249" s="23" t="s">
        <v>22658</v>
      </c>
      <c r="F9249" s="24" t="s">
        <v>22657</v>
      </c>
      <c r="G9249" s="25">
        <v>4</v>
      </c>
      <c r="H9249" s="29"/>
      <c r="I9249" s="30"/>
    </row>
    <row r="9250" spans="1:9" ht="15.75" thickBot="1" x14ac:dyDescent="0.3">
      <c r="A9250" s="43" t="s">
        <v>18746</v>
      </c>
      <c r="B9250" s="21" t="s">
        <v>18747</v>
      </c>
      <c r="C9250" s="21" t="s">
        <v>22682</v>
      </c>
      <c r="D9250" s="22">
        <v>46034</v>
      </c>
      <c r="E9250" s="23" t="s">
        <v>22656</v>
      </c>
      <c r="F9250" s="24" t="s">
        <v>22657</v>
      </c>
      <c r="G9250" s="25">
        <v>4</v>
      </c>
      <c r="H9250" s="26"/>
      <c r="I9250" s="27"/>
    </row>
    <row r="9251" spans="1:9" ht="15.75" thickBot="1" x14ac:dyDescent="0.3">
      <c r="A9251" s="43" t="s">
        <v>18748</v>
      </c>
      <c r="B9251" s="21" t="s">
        <v>18749</v>
      </c>
      <c r="C9251" s="21" t="s">
        <v>22682</v>
      </c>
      <c r="D9251" s="22">
        <v>46034</v>
      </c>
      <c r="E9251" s="23" t="s">
        <v>22658</v>
      </c>
      <c r="F9251" s="24" t="s">
        <v>22657</v>
      </c>
      <c r="G9251" s="25">
        <v>4</v>
      </c>
      <c r="H9251" s="29"/>
      <c r="I9251" s="30"/>
    </row>
    <row r="9252" spans="1:9" ht="15.75" thickBot="1" x14ac:dyDescent="0.3">
      <c r="A9252" s="43" t="s">
        <v>18750</v>
      </c>
      <c r="B9252" s="21" t="s">
        <v>18751</v>
      </c>
      <c r="C9252" s="21" t="s">
        <v>22682</v>
      </c>
      <c r="D9252" s="22">
        <v>46034</v>
      </c>
      <c r="E9252" s="23" t="s">
        <v>22656</v>
      </c>
      <c r="F9252" s="24" t="s">
        <v>22657</v>
      </c>
      <c r="G9252" s="25">
        <v>4</v>
      </c>
      <c r="H9252" s="26"/>
      <c r="I9252" s="27"/>
    </row>
    <row r="9253" spans="1:9" ht="15.75" thickBot="1" x14ac:dyDescent="0.3">
      <c r="A9253" s="43" t="s">
        <v>18752</v>
      </c>
      <c r="B9253" s="21" t="s">
        <v>18753</v>
      </c>
      <c r="C9253" s="21" t="s">
        <v>22682</v>
      </c>
      <c r="D9253" s="22">
        <v>46034</v>
      </c>
      <c r="E9253" s="23" t="s">
        <v>22658</v>
      </c>
      <c r="F9253" s="24" t="s">
        <v>22657</v>
      </c>
      <c r="G9253" s="25">
        <v>4</v>
      </c>
      <c r="H9253" s="29"/>
      <c r="I9253" s="30"/>
    </row>
    <row r="9254" spans="1:9" ht="15.75" thickBot="1" x14ac:dyDescent="0.3">
      <c r="A9254" s="43" t="s">
        <v>18754</v>
      </c>
      <c r="B9254" s="21" t="s">
        <v>18755</v>
      </c>
      <c r="C9254" s="21" t="s">
        <v>22682</v>
      </c>
      <c r="D9254" s="22">
        <v>46034</v>
      </c>
      <c r="E9254" s="23" t="s">
        <v>22658</v>
      </c>
      <c r="F9254" s="24" t="s">
        <v>22657</v>
      </c>
      <c r="G9254" s="25">
        <v>4</v>
      </c>
      <c r="H9254" s="26"/>
      <c r="I9254" s="27"/>
    </row>
    <row r="9255" spans="1:9" ht="15.75" thickBot="1" x14ac:dyDescent="0.3">
      <c r="A9255" s="43" t="s">
        <v>18756</v>
      </c>
      <c r="B9255" s="21" t="s">
        <v>18757</v>
      </c>
      <c r="C9255" s="21" t="s">
        <v>22663</v>
      </c>
      <c r="D9255" s="31">
        <v>1</v>
      </c>
      <c r="E9255" s="23" t="s">
        <v>22658</v>
      </c>
      <c r="F9255" s="24" t="s">
        <v>22657</v>
      </c>
      <c r="G9255" s="25">
        <v>4</v>
      </c>
      <c r="H9255" s="29"/>
      <c r="I9255" s="30"/>
    </row>
    <row r="9256" spans="1:9" ht="15.75" thickBot="1" x14ac:dyDescent="0.3">
      <c r="A9256" s="43" t="s">
        <v>18758</v>
      </c>
      <c r="B9256" s="21" t="s">
        <v>18759</v>
      </c>
      <c r="C9256" s="21" t="s">
        <v>22682</v>
      </c>
      <c r="D9256" s="22">
        <v>46034</v>
      </c>
      <c r="E9256" s="23" t="s">
        <v>22658</v>
      </c>
      <c r="F9256" s="24" t="s">
        <v>22657</v>
      </c>
      <c r="G9256" s="25">
        <v>4</v>
      </c>
      <c r="H9256" s="26"/>
      <c r="I9256" s="27"/>
    </row>
    <row r="9257" spans="1:9" ht="15.75" thickBot="1" x14ac:dyDescent="0.3">
      <c r="A9257" s="43" t="s">
        <v>18760</v>
      </c>
      <c r="B9257" s="21" t="s">
        <v>18761</v>
      </c>
      <c r="C9257" s="21" t="s">
        <v>22663</v>
      </c>
      <c r="D9257" s="31">
        <v>1</v>
      </c>
      <c r="E9257" s="23" t="s">
        <v>22656</v>
      </c>
      <c r="F9257" s="24" t="s">
        <v>22657</v>
      </c>
      <c r="G9257" s="25">
        <v>4</v>
      </c>
      <c r="H9257" s="29"/>
      <c r="I9257" s="30"/>
    </row>
    <row r="9258" spans="1:9" ht="15.75" thickBot="1" x14ac:dyDescent="0.3">
      <c r="A9258" s="43" t="s">
        <v>18762</v>
      </c>
      <c r="B9258" s="21" t="s">
        <v>18763</v>
      </c>
      <c r="C9258" s="21" t="s">
        <v>22682</v>
      </c>
      <c r="D9258" s="22">
        <v>46034</v>
      </c>
      <c r="E9258" s="23" t="s">
        <v>22658</v>
      </c>
      <c r="F9258" s="24" t="s">
        <v>22657</v>
      </c>
      <c r="G9258" s="25">
        <v>4</v>
      </c>
      <c r="H9258" s="26"/>
      <c r="I9258" s="27"/>
    </row>
    <row r="9259" spans="1:9" ht="15.75" thickBot="1" x14ac:dyDescent="0.3">
      <c r="A9259" s="43" t="s">
        <v>18764</v>
      </c>
      <c r="B9259" s="21" t="s">
        <v>18765</v>
      </c>
      <c r="C9259" s="21" t="s">
        <v>22682</v>
      </c>
      <c r="D9259" s="22">
        <v>46034</v>
      </c>
      <c r="E9259" s="23" t="s">
        <v>22658</v>
      </c>
      <c r="F9259" s="24" t="s">
        <v>22657</v>
      </c>
      <c r="G9259" s="25">
        <v>4</v>
      </c>
      <c r="H9259" s="29"/>
      <c r="I9259" s="30"/>
    </row>
    <row r="9260" spans="1:9" ht="15.75" thickBot="1" x14ac:dyDescent="0.3">
      <c r="A9260" s="43" t="s">
        <v>18766</v>
      </c>
      <c r="B9260" s="21" t="s">
        <v>18767</v>
      </c>
      <c r="C9260" s="21" t="s">
        <v>22682</v>
      </c>
      <c r="D9260" s="22">
        <v>46034</v>
      </c>
      <c r="E9260" s="23" t="s">
        <v>22658</v>
      </c>
      <c r="F9260" s="24" t="s">
        <v>22657</v>
      </c>
      <c r="G9260" s="25">
        <v>4</v>
      </c>
      <c r="H9260" s="26"/>
      <c r="I9260" s="27"/>
    </row>
    <row r="9261" spans="1:9" ht="15.75" thickBot="1" x14ac:dyDescent="0.3">
      <c r="A9261" s="43" t="s">
        <v>18768</v>
      </c>
      <c r="B9261" s="21" t="s">
        <v>18769</v>
      </c>
      <c r="C9261" s="21" t="s">
        <v>22682</v>
      </c>
      <c r="D9261" s="22">
        <v>46034</v>
      </c>
      <c r="E9261" s="23" t="s">
        <v>22656</v>
      </c>
      <c r="F9261" s="24" t="s">
        <v>22657</v>
      </c>
      <c r="G9261" s="25">
        <v>4</v>
      </c>
      <c r="H9261" s="29"/>
      <c r="I9261" s="30"/>
    </row>
    <row r="9262" spans="1:9" ht="15.75" thickBot="1" x14ac:dyDescent="0.3">
      <c r="A9262" s="43" t="s">
        <v>18770</v>
      </c>
      <c r="B9262" s="21" t="s">
        <v>18771</v>
      </c>
      <c r="C9262" s="21" t="s">
        <v>22682</v>
      </c>
      <c r="D9262" s="22">
        <v>46034</v>
      </c>
      <c r="E9262" s="23" t="s">
        <v>22656</v>
      </c>
      <c r="F9262" s="24" t="s">
        <v>22657</v>
      </c>
      <c r="G9262" s="25">
        <v>4</v>
      </c>
      <c r="H9262" s="26"/>
      <c r="I9262" s="27"/>
    </row>
    <row r="9263" spans="1:9" ht="15.75" thickBot="1" x14ac:dyDescent="0.3">
      <c r="A9263" s="43" t="s">
        <v>18772</v>
      </c>
      <c r="B9263" s="21" t="s">
        <v>18773</v>
      </c>
      <c r="C9263" s="21" t="s">
        <v>22682</v>
      </c>
      <c r="D9263" s="22">
        <v>46034</v>
      </c>
      <c r="E9263" s="23" t="s">
        <v>22656</v>
      </c>
      <c r="F9263" s="24" t="s">
        <v>22657</v>
      </c>
      <c r="G9263" s="25">
        <v>4</v>
      </c>
      <c r="H9263" s="29"/>
      <c r="I9263" s="30"/>
    </row>
    <row r="9264" spans="1:9" ht="15.75" thickBot="1" x14ac:dyDescent="0.3">
      <c r="A9264" s="43" t="s">
        <v>18774</v>
      </c>
      <c r="B9264" s="21" t="s">
        <v>18775</v>
      </c>
      <c r="C9264" s="21" t="s">
        <v>22682</v>
      </c>
      <c r="D9264" s="22">
        <v>46034</v>
      </c>
      <c r="E9264" s="23" t="s">
        <v>22656</v>
      </c>
      <c r="F9264" s="24" t="s">
        <v>22657</v>
      </c>
      <c r="G9264" s="25">
        <v>4</v>
      </c>
      <c r="H9264" s="26"/>
      <c r="I9264" s="27"/>
    </row>
    <row r="9265" spans="1:9" ht="15.75" thickBot="1" x14ac:dyDescent="0.3">
      <c r="A9265" s="43" t="s">
        <v>18776</v>
      </c>
      <c r="B9265" s="21" t="s">
        <v>18777</v>
      </c>
      <c r="C9265" s="21" t="s">
        <v>22682</v>
      </c>
      <c r="D9265" s="22">
        <v>46034</v>
      </c>
      <c r="E9265" s="23" t="s">
        <v>22658</v>
      </c>
      <c r="F9265" s="24" t="s">
        <v>22657</v>
      </c>
      <c r="G9265" s="25">
        <v>4</v>
      </c>
      <c r="H9265" s="29"/>
      <c r="I9265" s="30"/>
    </row>
    <row r="9266" spans="1:9" ht="15.75" thickBot="1" x14ac:dyDescent="0.3">
      <c r="A9266" s="43" t="s">
        <v>18778</v>
      </c>
      <c r="B9266" s="21" t="s">
        <v>18779</v>
      </c>
      <c r="C9266" s="21" t="s">
        <v>22682</v>
      </c>
      <c r="D9266" s="22">
        <v>46034</v>
      </c>
      <c r="E9266" s="23" t="s">
        <v>22658</v>
      </c>
      <c r="F9266" s="24" t="s">
        <v>22657</v>
      </c>
      <c r="G9266" s="25">
        <v>4</v>
      </c>
      <c r="H9266" s="26"/>
      <c r="I9266" s="27"/>
    </row>
    <row r="9267" spans="1:9" ht="15.75" thickBot="1" x14ac:dyDescent="0.3">
      <c r="A9267" s="43" t="s">
        <v>18780</v>
      </c>
      <c r="B9267" s="21" t="s">
        <v>18781</v>
      </c>
      <c r="C9267" s="21" t="s">
        <v>22682</v>
      </c>
      <c r="D9267" s="22">
        <v>46034</v>
      </c>
      <c r="E9267" s="23" t="s">
        <v>22658</v>
      </c>
      <c r="F9267" s="24" t="s">
        <v>22657</v>
      </c>
      <c r="G9267" s="25">
        <v>4</v>
      </c>
      <c r="H9267" s="29"/>
      <c r="I9267" s="30"/>
    </row>
    <row r="9268" spans="1:9" ht="15.75" thickBot="1" x14ac:dyDescent="0.3">
      <c r="A9268" s="43" t="s">
        <v>18782</v>
      </c>
      <c r="B9268" s="21" t="s">
        <v>18783</v>
      </c>
      <c r="C9268" s="21" t="s">
        <v>22682</v>
      </c>
      <c r="D9268" s="22">
        <v>46034</v>
      </c>
      <c r="E9268" s="23" t="s">
        <v>22656</v>
      </c>
      <c r="F9268" s="24" t="s">
        <v>22657</v>
      </c>
      <c r="G9268" s="25">
        <v>4</v>
      </c>
      <c r="H9268" s="26"/>
      <c r="I9268" s="27"/>
    </row>
    <row r="9269" spans="1:9" ht="15.75" thickBot="1" x14ac:dyDescent="0.3">
      <c r="A9269" s="43" t="s">
        <v>18784</v>
      </c>
      <c r="B9269" s="21" t="s">
        <v>18785</v>
      </c>
      <c r="C9269" s="21" t="s">
        <v>22682</v>
      </c>
      <c r="D9269" s="22">
        <v>46034</v>
      </c>
      <c r="E9269" s="23" t="s">
        <v>22658</v>
      </c>
      <c r="F9269" s="24" t="s">
        <v>22657</v>
      </c>
      <c r="G9269" s="25">
        <v>4</v>
      </c>
      <c r="H9269" s="29"/>
      <c r="I9269" s="30"/>
    </row>
    <row r="9270" spans="1:9" ht="15.75" thickBot="1" x14ac:dyDescent="0.3">
      <c r="A9270" s="43" t="s">
        <v>18786</v>
      </c>
      <c r="B9270" s="21" t="s">
        <v>18787</v>
      </c>
      <c r="C9270" s="21" t="s">
        <v>22682</v>
      </c>
      <c r="D9270" s="22">
        <v>46034</v>
      </c>
      <c r="E9270" s="23" t="s">
        <v>22658</v>
      </c>
      <c r="F9270" s="24" t="s">
        <v>22657</v>
      </c>
      <c r="G9270" s="25">
        <v>4</v>
      </c>
      <c r="H9270" s="26"/>
      <c r="I9270" s="27"/>
    </row>
    <row r="9271" spans="1:9" ht="15.75" thickBot="1" x14ac:dyDescent="0.3">
      <c r="A9271" s="43" t="s">
        <v>18788</v>
      </c>
      <c r="B9271" s="21" t="s">
        <v>18789</v>
      </c>
      <c r="C9271" s="21" t="s">
        <v>22682</v>
      </c>
      <c r="D9271" s="22">
        <v>46034</v>
      </c>
      <c r="E9271" s="23" t="s">
        <v>22658</v>
      </c>
      <c r="F9271" s="24" t="s">
        <v>22657</v>
      </c>
      <c r="G9271" s="25">
        <v>4</v>
      </c>
      <c r="H9271" s="29"/>
      <c r="I9271" s="30"/>
    </row>
    <row r="9272" spans="1:9" ht="15.75" thickBot="1" x14ac:dyDescent="0.3">
      <c r="A9272" s="43" t="s">
        <v>18790</v>
      </c>
      <c r="B9272" s="21" t="s">
        <v>18791</v>
      </c>
      <c r="C9272" s="21" t="s">
        <v>22682</v>
      </c>
      <c r="D9272" s="22">
        <v>46034</v>
      </c>
      <c r="E9272" s="23" t="s">
        <v>22658</v>
      </c>
      <c r="F9272" s="24" t="s">
        <v>22657</v>
      </c>
      <c r="G9272" s="25">
        <v>4</v>
      </c>
      <c r="H9272" s="26"/>
      <c r="I9272" s="27"/>
    </row>
    <row r="9273" spans="1:9" ht="15.75" thickBot="1" x14ac:dyDescent="0.3">
      <c r="A9273" s="43" t="s">
        <v>18792</v>
      </c>
      <c r="B9273" s="21" t="s">
        <v>18793</v>
      </c>
      <c r="C9273" s="21" t="s">
        <v>22682</v>
      </c>
      <c r="D9273" s="22">
        <v>46034</v>
      </c>
      <c r="E9273" s="23" t="s">
        <v>22658</v>
      </c>
      <c r="F9273" s="24" t="s">
        <v>22657</v>
      </c>
      <c r="G9273" s="25">
        <v>4</v>
      </c>
      <c r="H9273" s="29"/>
      <c r="I9273" s="30"/>
    </row>
    <row r="9274" spans="1:9" ht="15.75" thickBot="1" x14ac:dyDescent="0.3">
      <c r="A9274" s="43" t="s">
        <v>18794</v>
      </c>
      <c r="B9274" s="21" t="s">
        <v>18795</v>
      </c>
      <c r="C9274" s="21" t="s">
        <v>22682</v>
      </c>
      <c r="D9274" s="22">
        <v>46034</v>
      </c>
      <c r="E9274" s="23" t="s">
        <v>22656</v>
      </c>
      <c r="F9274" s="24" t="s">
        <v>22657</v>
      </c>
      <c r="G9274" s="25">
        <v>4</v>
      </c>
      <c r="H9274" s="26"/>
      <c r="I9274" s="27"/>
    </row>
    <row r="9275" spans="1:9" ht="15.75" thickBot="1" x14ac:dyDescent="0.3">
      <c r="A9275" s="43" t="s">
        <v>18796</v>
      </c>
      <c r="B9275" s="21" t="s">
        <v>18797</v>
      </c>
      <c r="C9275" s="21" t="s">
        <v>22682</v>
      </c>
      <c r="D9275" s="22">
        <v>46034</v>
      </c>
      <c r="E9275" s="23" t="s">
        <v>22656</v>
      </c>
      <c r="F9275" s="24" t="s">
        <v>22657</v>
      </c>
      <c r="G9275" s="25">
        <v>4</v>
      </c>
      <c r="H9275" s="29"/>
      <c r="I9275" s="30"/>
    </row>
    <row r="9276" spans="1:9" ht="15.75" thickBot="1" x14ac:dyDescent="0.3">
      <c r="A9276" s="43" t="s">
        <v>18798</v>
      </c>
      <c r="B9276" s="21" t="s">
        <v>18799</v>
      </c>
      <c r="C9276" s="21" t="s">
        <v>22682</v>
      </c>
      <c r="D9276" s="22">
        <v>46034</v>
      </c>
      <c r="E9276" s="23" t="s">
        <v>22656</v>
      </c>
      <c r="F9276" s="24" t="s">
        <v>22657</v>
      </c>
      <c r="G9276" s="25">
        <v>4</v>
      </c>
      <c r="H9276" s="26"/>
      <c r="I9276" s="27"/>
    </row>
    <row r="9277" spans="1:9" ht="15.75" thickBot="1" x14ac:dyDescent="0.3">
      <c r="A9277" s="43" t="s">
        <v>18800</v>
      </c>
      <c r="B9277" s="21" t="s">
        <v>18801</v>
      </c>
      <c r="C9277" s="21" t="s">
        <v>22682</v>
      </c>
      <c r="D9277" s="22">
        <v>46034</v>
      </c>
      <c r="E9277" s="23" t="s">
        <v>22658</v>
      </c>
      <c r="F9277" s="24" t="s">
        <v>22657</v>
      </c>
      <c r="G9277" s="25">
        <v>4</v>
      </c>
      <c r="H9277" s="29"/>
      <c r="I9277" s="30"/>
    </row>
    <row r="9278" spans="1:9" ht="15.75" thickBot="1" x14ac:dyDescent="0.3">
      <c r="A9278" s="43" t="s">
        <v>18802</v>
      </c>
      <c r="B9278" s="21" t="s">
        <v>18803</v>
      </c>
      <c r="C9278" s="21" t="s">
        <v>22682</v>
      </c>
      <c r="D9278" s="22">
        <v>46034</v>
      </c>
      <c r="E9278" s="23" t="s">
        <v>22658</v>
      </c>
      <c r="F9278" s="24" t="s">
        <v>22657</v>
      </c>
      <c r="G9278" s="25">
        <v>4</v>
      </c>
      <c r="H9278" s="26"/>
      <c r="I9278" s="27"/>
    </row>
    <row r="9279" spans="1:9" ht="15.75" thickBot="1" x14ac:dyDescent="0.3">
      <c r="A9279" s="43" t="s">
        <v>18804</v>
      </c>
      <c r="B9279" s="21" t="s">
        <v>18805</v>
      </c>
      <c r="C9279" s="21" t="s">
        <v>22682</v>
      </c>
      <c r="D9279" s="22">
        <v>46034</v>
      </c>
      <c r="E9279" s="23" t="s">
        <v>22658</v>
      </c>
      <c r="F9279" s="24" t="s">
        <v>22657</v>
      </c>
      <c r="G9279" s="25">
        <v>4</v>
      </c>
      <c r="H9279" s="29"/>
      <c r="I9279" s="30"/>
    </row>
    <row r="9280" spans="1:9" ht="15.75" thickBot="1" x14ac:dyDescent="0.3">
      <c r="A9280" s="43" t="s">
        <v>18806</v>
      </c>
      <c r="B9280" s="21" t="s">
        <v>18807</v>
      </c>
      <c r="C9280" s="21" t="s">
        <v>22682</v>
      </c>
      <c r="D9280" s="22">
        <v>46034</v>
      </c>
      <c r="E9280" s="23" t="s">
        <v>22656</v>
      </c>
      <c r="F9280" s="24" t="s">
        <v>22657</v>
      </c>
      <c r="G9280" s="25">
        <v>4</v>
      </c>
      <c r="H9280" s="26"/>
      <c r="I9280" s="27"/>
    </row>
    <row r="9281" spans="1:9" ht="15.75" thickBot="1" x14ac:dyDescent="0.3">
      <c r="A9281" s="43" t="s">
        <v>18808</v>
      </c>
      <c r="B9281" s="21" t="s">
        <v>18809</v>
      </c>
      <c r="C9281" s="21" t="s">
        <v>22682</v>
      </c>
      <c r="D9281" s="22">
        <v>46034</v>
      </c>
      <c r="E9281" s="23" t="s">
        <v>22658</v>
      </c>
      <c r="F9281" s="24" t="s">
        <v>22657</v>
      </c>
      <c r="G9281" s="25">
        <v>4</v>
      </c>
      <c r="H9281" s="29"/>
      <c r="I9281" s="30"/>
    </row>
    <row r="9282" spans="1:9" ht="15.75" thickBot="1" x14ac:dyDescent="0.3">
      <c r="A9282" s="43" t="s">
        <v>18810</v>
      </c>
      <c r="B9282" s="21" t="s">
        <v>18811</v>
      </c>
      <c r="C9282" s="21" t="s">
        <v>22682</v>
      </c>
      <c r="D9282" s="22">
        <v>46034</v>
      </c>
      <c r="E9282" s="23" t="s">
        <v>22656</v>
      </c>
      <c r="F9282" s="24" t="s">
        <v>22657</v>
      </c>
      <c r="G9282" s="25">
        <v>4</v>
      </c>
      <c r="H9282" s="26"/>
      <c r="I9282" s="27"/>
    </row>
    <row r="9283" spans="1:9" ht="15.75" thickBot="1" x14ac:dyDescent="0.3">
      <c r="A9283" s="43" t="s">
        <v>18812</v>
      </c>
      <c r="B9283" s="21" t="s">
        <v>18813</v>
      </c>
      <c r="C9283" s="21" t="s">
        <v>22682</v>
      </c>
      <c r="D9283" s="22">
        <v>46034</v>
      </c>
      <c r="E9283" s="23" t="s">
        <v>22656</v>
      </c>
      <c r="F9283" s="24" t="s">
        <v>22657</v>
      </c>
      <c r="G9283" s="25">
        <v>4</v>
      </c>
      <c r="H9283" s="29"/>
      <c r="I9283" s="30"/>
    </row>
    <row r="9284" spans="1:9" ht="15.75" thickBot="1" x14ac:dyDescent="0.3">
      <c r="A9284" s="43" t="s">
        <v>18814</v>
      </c>
      <c r="B9284" s="21" t="s">
        <v>18815</v>
      </c>
      <c r="C9284" s="21" t="s">
        <v>22682</v>
      </c>
      <c r="D9284" s="22">
        <v>46034</v>
      </c>
      <c r="E9284" s="23" t="s">
        <v>22656</v>
      </c>
      <c r="F9284" s="24" t="s">
        <v>22657</v>
      </c>
      <c r="G9284" s="25">
        <v>4</v>
      </c>
      <c r="H9284" s="26"/>
      <c r="I9284" s="27"/>
    </row>
    <row r="9285" spans="1:9" ht="15.75" thickBot="1" x14ac:dyDescent="0.3">
      <c r="A9285" s="43" t="s">
        <v>18816</v>
      </c>
      <c r="B9285" s="21" t="s">
        <v>18817</v>
      </c>
      <c r="C9285" s="21" t="s">
        <v>22682</v>
      </c>
      <c r="D9285" s="22">
        <v>46034</v>
      </c>
      <c r="E9285" s="23" t="s">
        <v>22658</v>
      </c>
      <c r="F9285" s="24" t="s">
        <v>22657</v>
      </c>
      <c r="G9285" s="25">
        <v>4</v>
      </c>
      <c r="H9285" s="29"/>
      <c r="I9285" s="30"/>
    </row>
    <row r="9286" spans="1:9" ht="15.75" thickBot="1" x14ac:dyDescent="0.3">
      <c r="A9286" s="43" t="s">
        <v>18818</v>
      </c>
      <c r="B9286" s="21" t="s">
        <v>18819</v>
      </c>
      <c r="C9286" s="21" t="s">
        <v>22682</v>
      </c>
      <c r="D9286" s="22">
        <v>46034</v>
      </c>
      <c r="E9286" s="23" t="s">
        <v>22658</v>
      </c>
      <c r="F9286" s="24" t="s">
        <v>22657</v>
      </c>
      <c r="G9286" s="25">
        <v>4</v>
      </c>
      <c r="H9286" s="26"/>
      <c r="I9286" s="27"/>
    </row>
    <row r="9287" spans="1:9" ht="15.75" thickBot="1" x14ac:dyDescent="0.3">
      <c r="A9287" s="43" t="s">
        <v>18820</v>
      </c>
      <c r="B9287" s="21" t="s">
        <v>18821</v>
      </c>
      <c r="C9287" s="21" t="s">
        <v>22682</v>
      </c>
      <c r="D9287" s="22">
        <v>46034</v>
      </c>
      <c r="E9287" s="23" t="s">
        <v>22658</v>
      </c>
      <c r="F9287" s="24" t="s">
        <v>22657</v>
      </c>
      <c r="G9287" s="25">
        <v>4</v>
      </c>
      <c r="H9287" s="29"/>
      <c r="I9287" s="30"/>
    </row>
    <row r="9288" spans="1:9" ht="15.75" thickBot="1" x14ac:dyDescent="0.3">
      <c r="A9288" s="43" t="s">
        <v>18822</v>
      </c>
      <c r="B9288" s="21" t="s">
        <v>18823</v>
      </c>
      <c r="C9288" s="21" t="s">
        <v>22682</v>
      </c>
      <c r="D9288" s="22">
        <v>46034</v>
      </c>
      <c r="E9288" s="23" t="s">
        <v>22656</v>
      </c>
      <c r="F9288" s="24" t="s">
        <v>22657</v>
      </c>
      <c r="G9288" s="25">
        <v>4</v>
      </c>
      <c r="H9288" s="26"/>
      <c r="I9288" s="27"/>
    </row>
    <row r="9289" spans="1:9" ht="15.75" thickBot="1" x14ac:dyDescent="0.3">
      <c r="A9289" s="43" t="s">
        <v>18824</v>
      </c>
      <c r="B9289" s="21" t="s">
        <v>18825</v>
      </c>
      <c r="C9289" s="21" t="s">
        <v>22682</v>
      </c>
      <c r="D9289" s="22">
        <v>46034</v>
      </c>
      <c r="E9289" s="23" t="s">
        <v>22658</v>
      </c>
      <c r="F9289" s="24" t="s">
        <v>22657</v>
      </c>
      <c r="G9289" s="25">
        <v>4</v>
      </c>
      <c r="H9289" s="29"/>
      <c r="I9289" s="30"/>
    </row>
    <row r="9290" spans="1:9" ht="15.75" thickBot="1" x14ac:dyDescent="0.3">
      <c r="A9290" s="43" t="s">
        <v>18826</v>
      </c>
      <c r="B9290" s="21" t="s">
        <v>18827</v>
      </c>
      <c r="C9290" s="21" t="s">
        <v>22682</v>
      </c>
      <c r="D9290" s="22">
        <v>46034</v>
      </c>
      <c r="E9290" s="23" t="s">
        <v>22658</v>
      </c>
      <c r="F9290" s="24" t="s">
        <v>22657</v>
      </c>
      <c r="G9290" s="25">
        <v>4</v>
      </c>
      <c r="H9290" s="26"/>
      <c r="I9290" s="27"/>
    </row>
    <row r="9291" spans="1:9" ht="15.75" thickBot="1" x14ac:dyDescent="0.3">
      <c r="A9291" s="43" t="s">
        <v>18828</v>
      </c>
      <c r="B9291" s="21" t="s">
        <v>18829</v>
      </c>
      <c r="C9291" s="21" t="s">
        <v>22682</v>
      </c>
      <c r="D9291" s="22">
        <v>46034</v>
      </c>
      <c r="E9291" s="23" t="s">
        <v>22658</v>
      </c>
      <c r="F9291" s="24" t="s">
        <v>22657</v>
      </c>
      <c r="G9291" s="25">
        <v>4</v>
      </c>
      <c r="H9291" s="29"/>
      <c r="I9291" s="30"/>
    </row>
    <row r="9292" spans="1:9" ht="15.75" thickBot="1" x14ac:dyDescent="0.3">
      <c r="A9292" s="43" t="s">
        <v>18830</v>
      </c>
      <c r="B9292" s="21" t="s">
        <v>18831</v>
      </c>
      <c r="C9292" s="21" t="s">
        <v>22663</v>
      </c>
      <c r="D9292" s="31">
        <v>1</v>
      </c>
      <c r="E9292" s="23" t="s">
        <v>22658</v>
      </c>
      <c r="F9292" s="24" t="s">
        <v>22657</v>
      </c>
      <c r="G9292" s="25">
        <v>4</v>
      </c>
      <c r="H9292" s="26"/>
      <c r="I9292" s="27"/>
    </row>
    <row r="9293" spans="1:9" ht="15.75" thickBot="1" x14ac:dyDescent="0.3">
      <c r="A9293" s="43" t="s">
        <v>18832</v>
      </c>
      <c r="B9293" s="21" t="s">
        <v>18833</v>
      </c>
      <c r="C9293" s="21" t="s">
        <v>22682</v>
      </c>
      <c r="D9293" s="22">
        <v>46034</v>
      </c>
      <c r="E9293" s="23" t="s">
        <v>22656</v>
      </c>
      <c r="F9293" s="24" t="s">
        <v>22657</v>
      </c>
      <c r="G9293" s="25">
        <v>4</v>
      </c>
      <c r="H9293" s="29"/>
      <c r="I9293" s="30"/>
    </row>
    <row r="9294" spans="1:9" ht="15.75" thickBot="1" x14ac:dyDescent="0.3">
      <c r="A9294" s="43" t="s">
        <v>18834</v>
      </c>
      <c r="B9294" s="21" t="s">
        <v>18835</v>
      </c>
      <c r="C9294" s="21" t="s">
        <v>22682</v>
      </c>
      <c r="D9294" s="22">
        <v>46034</v>
      </c>
      <c r="E9294" s="23" t="s">
        <v>22658</v>
      </c>
      <c r="F9294" s="24" t="s">
        <v>22657</v>
      </c>
      <c r="G9294" s="25">
        <v>4</v>
      </c>
      <c r="H9294" s="26"/>
      <c r="I9294" s="27"/>
    </row>
    <row r="9295" spans="1:9" ht="15.75" thickBot="1" x14ac:dyDescent="0.3">
      <c r="A9295" s="43" t="s">
        <v>18836</v>
      </c>
      <c r="B9295" s="21" t="s">
        <v>18837</v>
      </c>
      <c r="C9295" s="21" t="s">
        <v>22682</v>
      </c>
      <c r="D9295" s="22">
        <v>46034</v>
      </c>
      <c r="E9295" s="23" t="s">
        <v>22658</v>
      </c>
      <c r="F9295" s="24" t="s">
        <v>22657</v>
      </c>
      <c r="G9295" s="25">
        <v>4</v>
      </c>
      <c r="H9295" s="29"/>
      <c r="I9295" s="30"/>
    </row>
    <row r="9296" spans="1:9" ht="15.75" thickBot="1" x14ac:dyDescent="0.3">
      <c r="A9296" s="43" t="s">
        <v>18838</v>
      </c>
      <c r="B9296" s="21" t="s">
        <v>18839</v>
      </c>
      <c r="C9296" s="21" t="s">
        <v>22682</v>
      </c>
      <c r="D9296" s="22">
        <v>46034</v>
      </c>
      <c r="E9296" s="23" t="s">
        <v>22658</v>
      </c>
      <c r="F9296" s="24" t="s">
        <v>22657</v>
      </c>
      <c r="G9296" s="25">
        <v>4</v>
      </c>
      <c r="H9296" s="26"/>
      <c r="I9296" s="27"/>
    </row>
    <row r="9297" spans="1:9" ht="15.75" thickBot="1" x14ac:dyDescent="0.3">
      <c r="A9297" s="43" t="s">
        <v>18840</v>
      </c>
      <c r="B9297" s="21" t="s">
        <v>18841</v>
      </c>
      <c r="C9297" s="21" t="s">
        <v>22655</v>
      </c>
      <c r="D9297" s="22">
        <v>46032</v>
      </c>
      <c r="E9297" s="23" t="s">
        <v>22656</v>
      </c>
      <c r="F9297" s="24" t="s">
        <v>22657</v>
      </c>
      <c r="G9297" s="25">
        <v>2</v>
      </c>
      <c r="H9297" s="29"/>
      <c r="I9297" s="30"/>
    </row>
    <row r="9298" spans="1:9" ht="15.75" thickBot="1" x14ac:dyDescent="0.3">
      <c r="A9298" s="43" t="s">
        <v>18842</v>
      </c>
      <c r="B9298" s="21" t="s">
        <v>18843</v>
      </c>
      <c r="C9298" s="21" t="s">
        <v>22655</v>
      </c>
      <c r="D9298" s="22">
        <v>46034</v>
      </c>
      <c r="E9298" s="23" t="s">
        <v>22658</v>
      </c>
      <c r="F9298" s="24" t="s">
        <v>22657</v>
      </c>
      <c r="G9298" s="25">
        <v>1</v>
      </c>
      <c r="H9298" s="26"/>
      <c r="I9298" s="27"/>
    </row>
    <row r="9299" spans="1:9" ht="15.75" thickBot="1" x14ac:dyDescent="0.3">
      <c r="A9299" s="43" t="s">
        <v>18844</v>
      </c>
      <c r="B9299" s="21" t="s">
        <v>18845</v>
      </c>
      <c r="C9299" s="21" t="s">
        <v>22655</v>
      </c>
      <c r="D9299" s="22">
        <v>46034</v>
      </c>
      <c r="E9299" s="23" t="s">
        <v>22658</v>
      </c>
      <c r="F9299" s="24" t="s">
        <v>22657</v>
      </c>
      <c r="G9299" s="25">
        <v>1</v>
      </c>
      <c r="H9299" s="29"/>
      <c r="I9299" s="30"/>
    </row>
    <row r="9300" spans="1:9" ht="15.75" thickBot="1" x14ac:dyDescent="0.3">
      <c r="A9300" s="43" t="s">
        <v>18846</v>
      </c>
      <c r="B9300" s="21" t="s">
        <v>18847</v>
      </c>
      <c r="C9300" s="21" t="s">
        <v>22655</v>
      </c>
      <c r="D9300" s="22">
        <v>46034</v>
      </c>
      <c r="E9300" s="23" t="s">
        <v>22658</v>
      </c>
      <c r="F9300" s="24" t="s">
        <v>22657</v>
      </c>
      <c r="G9300" s="25">
        <v>1</v>
      </c>
      <c r="H9300" s="26"/>
      <c r="I9300" s="27"/>
    </row>
    <row r="9301" spans="1:9" ht="15.75" thickBot="1" x14ac:dyDescent="0.3">
      <c r="A9301" s="43" t="s">
        <v>18848</v>
      </c>
      <c r="B9301" s="21" t="s">
        <v>18849</v>
      </c>
      <c r="C9301" s="21" t="s">
        <v>22655</v>
      </c>
      <c r="D9301" s="22">
        <v>46034</v>
      </c>
      <c r="E9301" s="23" t="s">
        <v>22656</v>
      </c>
      <c r="F9301" s="24" t="s">
        <v>22657</v>
      </c>
      <c r="G9301" s="25">
        <v>2</v>
      </c>
      <c r="H9301" s="29"/>
      <c r="I9301" s="30"/>
    </row>
    <row r="9302" spans="1:9" ht="15.75" thickBot="1" x14ac:dyDescent="0.3">
      <c r="A9302" s="43" t="s">
        <v>18850</v>
      </c>
      <c r="B9302" s="21" t="s">
        <v>18851</v>
      </c>
      <c r="C9302" s="21" t="s">
        <v>22682</v>
      </c>
      <c r="D9302" s="22">
        <v>46034</v>
      </c>
      <c r="E9302" s="23" t="s">
        <v>22656</v>
      </c>
      <c r="F9302" s="24" t="s">
        <v>22657</v>
      </c>
      <c r="G9302" s="25">
        <v>2</v>
      </c>
      <c r="H9302" s="26"/>
      <c r="I9302" s="27"/>
    </row>
    <row r="9303" spans="1:9" ht="15.75" thickBot="1" x14ac:dyDescent="0.3">
      <c r="A9303" s="43" t="s">
        <v>18852</v>
      </c>
      <c r="B9303" s="21" t="s">
        <v>18853</v>
      </c>
      <c r="C9303" s="21" t="s">
        <v>22682</v>
      </c>
      <c r="D9303" s="22">
        <v>46034</v>
      </c>
      <c r="E9303" s="23" t="s">
        <v>22656</v>
      </c>
      <c r="F9303" s="24" t="s">
        <v>22657</v>
      </c>
      <c r="G9303" s="25">
        <v>2</v>
      </c>
      <c r="H9303" s="29"/>
      <c r="I9303" s="30"/>
    </row>
    <row r="9304" spans="1:9" ht="15.75" thickBot="1" x14ac:dyDescent="0.3">
      <c r="A9304" s="43" t="s">
        <v>18854</v>
      </c>
      <c r="B9304" s="21" t="s">
        <v>18855</v>
      </c>
      <c r="C9304" s="21" t="s">
        <v>22682</v>
      </c>
      <c r="D9304" s="22">
        <v>46034</v>
      </c>
      <c r="E9304" s="23" t="s">
        <v>22656</v>
      </c>
      <c r="F9304" s="24" t="s">
        <v>22657</v>
      </c>
      <c r="G9304" s="25">
        <v>4</v>
      </c>
      <c r="H9304" s="26"/>
      <c r="I9304" s="27"/>
    </row>
    <row r="9305" spans="1:9" ht="15.75" thickBot="1" x14ac:dyDescent="0.3">
      <c r="A9305" s="43" t="s">
        <v>18856</v>
      </c>
      <c r="B9305" s="21" t="s">
        <v>18857</v>
      </c>
      <c r="C9305" s="21" t="s">
        <v>22682</v>
      </c>
      <c r="D9305" s="22">
        <v>46034</v>
      </c>
      <c r="E9305" s="23" t="s">
        <v>22656</v>
      </c>
      <c r="F9305" s="24" t="s">
        <v>22657</v>
      </c>
      <c r="G9305" s="25">
        <v>4</v>
      </c>
      <c r="H9305" s="29"/>
      <c r="I9305" s="30"/>
    </row>
    <row r="9306" spans="1:9" ht="15.75" thickBot="1" x14ac:dyDescent="0.3">
      <c r="A9306" s="43" t="s">
        <v>18858</v>
      </c>
      <c r="B9306" s="21" t="s">
        <v>18859</v>
      </c>
      <c r="C9306" s="21" t="s">
        <v>22682</v>
      </c>
      <c r="D9306" s="22">
        <v>46034</v>
      </c>
      <c r="E9306" s="23" t="s">
        <v>22656</v>
      </c>
      <c r="F9306" s="24" t="s">
        <v>22657</v>
      </c>
      <c r="G9306" s="25">
        <v>4</v>
      </c>
      <c r="H9306" s="26"/>
      <c r="I9306" s="27"/>
    </row>
    <row r="9307" spans="1:9" ht="15.75" thickBot="1" x14ac:dyDescent="0.3">
      <c r="A9307" s="43" t="s">
        <v>18860</v>
      </c>
      <c r="B9307" s="21" t="s">
        <v>18861</v>
      </c>
      <c r="C9307" s="21" t="s">
        <v>22655</v>
      </c>
      <c r="D9307" s="22">
        <v>46046</v>
      </c>
      <c r="E9307" s="23" t="s">
        <v>22656</v>
      </c>
      <c r="F9307" s="24" t="s">
        <v>22657</v>
      </c>
      <c r="G9307" s="25">
        <v>8</v>
      </c>
      <c r="H9307" s="29"/>
      <c r="I9307" s="30"/>
    </row>
    <row r="9308" spans="1:9" ht="15.75" thickBot="1" x14ac:dyDescent="0.3">
      <c r="A9308" s="43" t="s">
        <v>18862</v>
      </c>
      <c r="B9308" s="21" t="s">
        <v>18863</v>
      </c>
      <c r="C9308" s="21" t="s">
        <v>22655</v>
      </c>
      <c r="D9308" s="22">
        <v>46046</v>
      </c>
      <c r="E9308" s="23" t="s">
        <v>22656</v>
      </c>
      <c r="F9308" s="24" t="s">
        <v>22657</v>
      </c>
      <c r="G9308" s="25">
        <v>8</v>
      </c>
      <c r="H9308" s="26"/>
      <c r="I9308" s="27"/>
    </row>
    <row r="9309" spans="1:9" ht="15.75" thickBot="1" x14ac:dyDescent="0.3">
      <c r="A9309" s="43" t="s">
        <v>18864</v>
      </c>
      <c r="B9309" s="21" t="s">
        <v>18865</v>
      </c>
      <c r="C9309" s="21" t="s">
        <v>22655</v>
      </c>
      <c r="D9309" s="22">
        <v>46046</v>
      </c>
      <c r="E9309" s="23" t="s">
        <v>22656</v>
      </c>
      <c r="F9309" s="24" t="s">
        <v>22657</v>
      </c>
      <c r="G9309" s="25">
        <v>24</v>
      </c>
      <c r="H9309" s="32">
        <v>24</v>
      </c>
      <c r="I9309" s="33">
        <v>48</v>
      </c>
    </row>
    <row r="9310" spans="1:9" ht="15.75" thickBot="1" x14ac:dyDescent="0.3">
      <c r="A9310" s="43" t="s">
        <v>1908</v>
      </c>
      <c r="B9310" s="21" t="s">
        <v>1909</v>
      </c>
      <c r="C9310" s="21" t="s">
        <v>22655</v>
      </c>
      <c r="D9310" s="22">
        <v>46046</v>
      </c>
      <c r="E9310" s="23" t="s">
        <v>22661</v>
      </c>
      <c r="F9310" s="24" t="s">
        <v>22657</v>
      </c>
      <c r="G9310" s="25">
        <v>24</v>
      </c>
      <c r="H9310" s="34">
        <v>24</v>
      </c>
      <c r="I9310" s="35">
        <v>48</v>
      </c>
    </row>
    <row r="9311" spans="1:9" ht="15.75" thickBot="1" x14ac:dyDescent="0.3">
      <c r="A9311" s="43" t="s">
        <v>487</v>
      </c>
      <c r="B9311" s="21" t="s">
        <v>488</v>
      </c>
      <c r="C9311" s="21" t="s">
        <v>22655</v>
      </c>
      <c r="D9311" s="22">
        <v>46046</v>
      </c>
      <c r="E9311" s="23" t="s">
        <v>22661</v>
      </c>
      <c r="F9311" s="24" t="s">
        <v>22657</v>
      </c>
      <c r="G9311" s="25">
        <v>24</v>
      </c>
      <c r="H9311" s="32">
        <v>24</v>
      </c>
      <c r="I9311" s="33">
        <v>48</v>
      </c>
    </row>
    <row r="9312" spans="1:9" ht="15.75" thickBot="1" x14ac:dyDescent="0.3">
      <c r="A9312" s="43" t="s">
        <v>941</v>
      </c>
      <c r="B9312" s="21" t="s">
        <v>942</v>
      </c>
      <c r="C9312" s="21" t="s">
        <v>22655</v>
      </c>
      <c r="D9312" s="22">
        <v>46046</v>
      </c>
      <c r="E9312" s="23" t="s">
        <v>22661</v>
      </c>
      <c r="F9312" s="24" t="s">
        <v>22657</v>
      </c>
      <c r="G9312" s="25">
        <v>9</v>
      </c>
      <c r="H9312" s="26"/>
      <c r="I9312" s="27"/>
    </row>
    <row r="9313" spans="1:9" ht="15.75" thickBot="1" x14ac:dyDescent="0.3">
      <c r="A9313" s="43" t="s">
        <v>18866</v>
      </c>
      <c r="B9313" s="21" t="s">
        <v>18867</v>
      </c>
      <c r="C9313" s="21" t="s">
        <v>22655</v>
      </c>
      <c r="D9313" s="22">
        <v>46046</v>
      </c>
      <c r="E9313" s="23" t="s">
        <v>22661</v>
      </c>
      <c r="F9313" s="24" t="s">
        <v>22657</v>
      </c>
      <c r="G9313" s="25">
        <v>24</v>
      </c>
      <c r="H9313" s="32">
        <v>24</v>
      </c>
      <c r="I9313" s="33">
        <v>48</v>
      </c>
    </row>
    <row r="9314" spans="1:9" ht="15.75" thickBot="1" x14ac:dyDescent="0.3">
      <c r="A9314" s="43" t="s">
        <v>18868</v>
      </c>
      <c r="B9314" s="21" t="s">
        <v>18869</v>
      </c>
      <c r="C9314" s="21" t="s">
        <v>22655</v>
      </c>
      <c r="D9314" s="22">
        <v>46046</v>
      </c>
      <c r="E9314" s="23" t="s">
        <v>22656</v>
      </c>
      <c r="F9314" s="24" t="s">
        <v>22657</v>
      </c>
      <c r="G9314" s="25">
        <v>8</v>
      </c>
      <c r="H9314" s="26"/>
      <c r="I9314" s="27"/>
    </row>
    <row r="9315" spans="1:9" ht="15.75" thickBot="1" x14ac:dyDescent="0.3">
      <c r="A9315" s="43" t="s">
        <v>18870</v>
      </c>
      <c r="B9315" s="21" t="s">
        <v>18871</v>
      </c>
      <c r="C9315" s="21" t="s">
        <v>22655</v>
      </c>
      <c r="D9315" s="22">
        <v>46046</v>
      </c>
      <c r="E9315" s="23" t="s">
        <v>22656</v>
      </c>
      <c r="F9315" s="24" t="s">
        <v>22657</v>
      </c>
      <c r="G9315" s="25">
        <v>8</v>
      </c>
      <c r="H9315" s="29"/>
      <c r="I9315" s="30"/>
    </row>
    <row r="9316" spans="1:9" ht="15.75" thickBot="1" x14ac:dyDescent="0.3">
      <c r="A9316" s="43" t="s">
        <v>18872</v>
      </c>
      <c r="B9316" s="21" t="s">
        <v>18873</v>
      </c>
      <c r="C9316" s="21" t="s">
        <v>22667</v>
      </c>
      <c r="D9316" s="31" t="s">
        <v>22763</v>
      </c>
      <c r="E9316" s="23" t="s">
        <v>22656</v>
      </c>
      <c r="F9316" s="24" t="s">
        <v>22657</v>
      </c>
      <c r="G9316" s="25">
        <v>17</v>
      </c>
      <c r="H9316" s="26"/>
      <c r="I9316" s="27"/>
    </row>
    <row r="9317" spans="1:9" ht="15.75" thickBot="1" x14ac:dyDescent="0.3">
      <c r="A9317" s="43" t="s">
        <v>1707</v>
      </c>
      <c r="B9317" s="21" t="s">
        <v>1708</v>
      </c>
      <c r="C9317" s="21" t="s">
        <v>22655</v>
      </c>
      <c r="D9317" s="22">
        <v>46032</v>
      </c>
      <c r="E9317" s="23" t="s">
        <v>22656</v>
      </c>
      <c r="F9317" s="24" t="s">
        <v>22657</v>
      </c>
      <c r="G9317" s="25">
        <v>12</v>
      </c>
      <c r="H9317" s="32">
        <v>12</v>
      </c>
      <c r="I9317" s="33">
        <v>24</v>
      </c>
    </row>
    <row r="9318" spans="1:9" ht="15.75" thickBot="1" x14ac:dyDescent="0.3">
      <c r="A9318" s="43" t="s">
        <v>1413</v>
      </c>
      <c r="B9318" s="21" t="s">
        <v>18874</v>
      </c>
      <c r="C9318" s="21" t="s">
        <v>22655</v>
      </c>
      <c r="D9318" s="31" t="s">
        <v>22688</v>
      </c>
      <c r="E9318" s="23" t="s">
        <v>22665</v>
      </c>
      <c r="F9318" s="24" t="s">
        <v>22657</v>
      </c>
      <c r="G9318" s="25">
        <v>20</v>
      </c>
      <c r="H9318" s="34">
        <v>20</v>
      </c>
      <c r="I9318" s="35">
        <v>24</v>
      </c>
    </row>
    <row r="9319" spans="1:9" ht="15.75" thickBot="1" x14ac:dyDescent="0.3">
      <c r="A9319" s="43" t="s">
        <v>831</v>
      </c>
      <c r="B9319" s="21" t="s">
        <v>18875</v>
      </c>
      <c r="C9319" s="21" t="s">
        <v>22655</v>
      </c>
      <c r="D9319" s="22">
        <v>46042</v>
      </c>
      <c r="E9319" s="23" t="s">
        <v>22665</v>
      </c>
      <c r="F9319" s="24" t="s">
        <v>22657</v>
      </c>
      <c r="G9319" s="25">
        <v>24</v>
      </c>
      <c r="H9319" s="32">
        <v>24</v>
      </c>
      <c r="I9319" s="33">
        <v>40</v>
      </c>
    </row>
    <row r="9320" spans="1:9" ht="15.75" thickBot="1" x14ac:dyDescent="0.3">
      <c r="A9320" s="43" t="s">
        <v>18876</v>
      </c>
      <c r="B9320" s="21" t="s">
        <v>18877</v>
      </c>
      <c r="C9320" s="21" t="s">
        <v>22667</v>
      </c>
      <c r="D9320" s="31" t="s">
        <v>22763</v>
      </c>
      <c r="E9320" s="23" t="s">
        <v>22662</v>
      </c>
      <c r="F9320" s="24" t="s">
        <v>22657</v>
      </c>
      <c r="G9320" s="25">
        <v>24</v>
      </c>
      <c r="H9320" s="34">
        <v>24</v>
      </c>
      <c r="I9320" s="35">
        <v>40</v>
      </c>
    </row>
    <row r="9321" spans="1:9" ht="15.75" thickBot="1" x14ac:dyDescent="0.3">
      <c r="A9321" s="43" t="s">
        <v>1679</v>
      </c>
      <c r="B9321" s="21" t="s">
        <v>18878</v>
      </c>
      <c r="C9321" s="21" t="s">
        <v>22655</v>
      </c>
      <c r="D9321" s="31" t="s">
        <v>22683</v>
      </c>
      <c r="E9321" s="23" t="s">
        <v>22661</v>
      </c>
      <c r="F9321" s="24" t="s">
        <v>22657</v>
      </c>
      <c r="G9321" s="25">
        <v>24</v>
      </c>
      <c r="H9321" s="32">
        <v>24</v>
      </c>
      <c r="I9321" s="33">
        <v>40</v>
      </c>
    </row>
    <row r="9322" spans="1:9" ht="15.75" thickBot="1" x14ac:dyDescent="0.3">
      <c r="A9322" s="43" t="s">
        <v>1637</v>
      </c>
      <c r="B9322" s="21" t="s">
        <v>1638</v>
      </c>
      <c r="C9322" s="21" t="s">
        <v>22655</v>
      </c>
      <c r="D9322" s="22">
        <v>46042</v>
      </c>
      <c r="E9322" s="23" t="s">
        <v>22665</v>
      </c>
      <c r="F9322" s="24" t="s">
        <v>22657</v>
      </c>
      <c r="G9322" s="25">
        <v>31</v>
      </c>
      <c r="H9322" s="26"/>
      <c r="I9322" s="27"/>
    </row>
    <row r="9323" spans="1:9" ht="15.75" thickBot="1" x14ac:dyDescent="0.3">
      <c r="A9323" s="43" t="s">
        <v>18879</v>
      </c>
      <c r="B9323" s="21" t="s">
        <v>18880</v>
      </c>
      <c r="C9323" s="21" t="s">
        <v>22655</v>
      </c>
      <c r="D9323" s="31" t="s">
        <v>22688</v>
      </c>
      <c r="E9323" s="23" t="s">
        <v>22658</v>
      </c>
      <c r="F9323" s="24" t="s">
        <v>22657</v>
      </c>
      <c r="G9323" s="25">
        <v>4</v>
      </c>
      <c r="H9323" s="29"/>
      <c r="I9323" s="30"/>
    </row>
    <row r="9324" spans="1:9" ht="15.75" thickBot="1" x14ac:dyDescent="0.3">
      <c r="A9324" s="43" t="s">
        <v>18881</v>
      </c>
      <c r="B9324" s="21" t="s">
        <v>18882</v>
      </c>
      <c r="C9324" s="21" t="s">
        <v>22663</v>
      </c>
      <c r="D9324" s="31">
        <v>1</v>
      </c>
      <c r="E9324" s="23" t="s">
        <v>22661</v>
      </c>
      <c r="F9324" s="24" t="s">
        <v>22657</v>
      </c>
      <c r="G9324" s="25">
        <v>10</v>
      </c>
      <c r="H9324" s="34">
        <v>10</v>
      </c>
      <c r="I9324" s="35">
        <v>15</v>
      </c>
    </row>
    <row r="9325" spans="1:9" ht="15.75" thickBot="1" x14ac:dyDescent="0.3">
      <c r="A9325" s="43" t="s">
        <v>18883</v>
      </c>
      <c r="B9325" s="21" t="s">
        <v>18884</v>
      </c>
      <c r="C9325" s="21" t="s">
        <v>22663</v>
      </c>
      <c r="D9325" s="31">
        <v>1</v>
      </c>
      <c r="E9325" s="23" t="s">
        <v>22661</v>
      </c>
      <c r="F9325" s="24" t="s">
        <v>22657</v>
      </c>
      <c r="G9325" s="25">
        <v>5</v>
      </c>
      <c r="H9325" s="29"/>
      <c r="I9325" s="30"/>
    </row>
    <row r="9326" spans="1:9" ht="15.75" thickBot="1" x14ac:dyDescent="0.3">
      <c r="A9326" s="43" t="s">
        <v>1789</v>
      </c>
      <c r="B9326" s="21" t="s">
        <v>18885</v>
      </c>
      <c r="C9326" s="21" t="s">
        <v>22698</v>
      </c>
      <c r="D9326" s="31">
        <v>1</v>
      </c>
      <c r="E9326" s="23" t="s">
        <v>22665</v>
      </c>
      <c r="F9326" s="24" t="s">
        <v>22657</v>
      </c>
      <c r="G9326" s="25">
        <v>25</v>
      </c>
      <c r="H9326" s="34">
        <v>25</v>
      </c>
      <c r="I9326" s="35">
        <v>50</v>
      </c>
    </row>
    <row r="9327" spans="1:9" ht="15.75" thickBot="1" x14ac:dyDescent="0.3">
      <c r="A9327" s="43" t="s">
        <v>18886</v>
      </c>
      <c r="B9327" s="21" t="s">
        <v>18887</v>
      </c>
      <c r="C9327" s="21" t="s">
        <v>22727</v>
      </c>
      <c r="D9327" s="31">
        <v>1</v>
      </c>
      <c r="E9327" s="23" t="s">
        <v>22656</v>
      </c>
      <c r="F9327" s="24" t="s">
        <v>22657</v>
      </c>
      <c r="G9327" s="25">
        <v>2</v>
      </c>
      <c r="H9327" s="32">
        <v>2</v>
      </c>
      <c r="I9327" s="33">
        <v>4</v>
      </c>
    </row>
    <row r="9328" spans="1:9" ht="15.75" thickBot="1" x14ac:dyDescent="0.3">
      <c r="A9328" s="43" t="s">
        <v>491</v>
      </c>
      <c r="B9328" s="21" t="s">
        <v>492</v>
      </c>
      <c r="C9328" s="21" t="s">
        <v>22655</v>
      </c>
      <c r="D9328" s="31" t="s">
        <v>22688</v>
      </c>
      <c r="E9328" s="23" t="s">
        <v>22665</v>
      </c>
      <c r="F9328" s="24" t="s">
        <v>22657</v>
      </c>
      <c r="G9328" s="25">
        <v>24</v>
      </c>
      <c r="H9328" s="34">
        <v>24</v>
      </c>
      <c r="I9328" s="35">
        <v>36</v>
      </c>
    </row>
    <row r="9329" spans="1:9" ht="15.75" thickBot="1" x14ac:dyDescent="0.3">
      <c r="A9329" s="43" t="s">
        <v>479</v>
      </c>
      <c r="B9329" s="21" t="s">
        <v>480</v>
      </c>
      <c r="C9329" s="21" t="s">
        <v>22655</v>
      </c>
      <c r="D9329" s="22">
        <v>46042</v>
      </c>
      <c r="E9329" s="23" t="s">
        <v>22665</v>
      </c>
      <c r="F9329" s="24" t="s">
        <v>22657</v>
      </c>
      <c r="G9329" s="25">
        <v>60</v>
      </c>
      <c r="H9329" s="32">
        <v>60</v>
      </c>
      <c r="I9329" s="33">
        <v>80</v>
      </c>
    </row>
    <row r="9330" spans="1:9" ht="15.75" thickBot="1" x14ac:dyDescent="0.3">
      <c r="A9330" s="43" t="s">
        <v>89</v>
      </c>
      <c r="B9330" s="21" t="s">
        <v>18888</v>
      </c>
      <c r="C9330" s="21" t="s">
        <v>22760</v>
      </c>
      <c r="D9330" s="22">
        <v>46042</v>
      </c>
      <c r="E9330" s="23" t="s">
        <v>22661</v>
      </c>
      <c r="F9330" s="28" t="s">
        <v>22659</v>
      </c>
      <c r="G9330" s="25">
        <v>23</v>
      </c>
      <c r="H9330" s="34">
        <v>0</v>
      </c>
      <c r="I9330" s="35">
        <v>0</v>
      </c>
    </row>
    <row r="9331" spans="1:9" ht="15.75" thickBot="1" x14ac:dyDescent="0.3">
      <c r="A9331" s="43" t="s">
        <v>7</v>
      </c>
      <c r="B9331" s="21" t="s">
        <v>18889</v>
      </c>
      <c r="C9331" s="21" t="s">
        <v>22760</v>
      </c>
      <c r="D9331" s="22">
        <v>46032</v>
      </c>
      <c r="E9331" s="23" t="s">
        <v>22656</v>
      </c>
      <c r="F9331" s="28" t="s">
        <v>22659</v>
      </c>
      <c r="G9331" s="25">
        <v>47</v>
      </c>
      <c r="H9331" s="29"/>
      <c r="I9331" s="30"/>
    </row>
    <row r="9332" spans="1:9" ht="15.75" thickBot="1" x14ac:dyDescent="0.3">
      <c r="A9332" s="43" t="s">
        <v>18890</v>
      </c>
      <c r="B9332" s="21" t="s">
        <v>18891</v>
      </c>
      <c r="C9332" s="21" t="s">
        <v>22655</v>
      </c>
      <c r="D9332" s="31" t="s">
        <v>22822</v>
      </c>
      <c r="E9332" s="23" t="s">
        <v>22661</v>
      </c>
      <c r="F9332" s="24" t="s">
        <v>22657</v>
      </c>
      <c r="G9332" s="25">
        <v>49</v>
      </c>
      <c r="H9332" s="26"/>
      <c r="I9332" s="27"/>
    </row>
    <row r="9333" spans="1:9" ht="15.75" thickBot="1" x14ac:dyDescent="0.3">
      <c r="A9333" s="43" t="s">
        <v>18892</v>
      </c>
      <c r="B9333" s="21" t="s">
        <v>18893</v>
      </c>
      <c r="C9333" s="21" t="s">
        <v>22727</v>
      </c>
      <c r="D9333" s="31">
        <v>1</v>
      </c>
      <c r="E9333" s="23" t="s">
        <v>22658</v>
      </c>
      <c r="F9333" s="24" t="s">
        <v>22657</v>
      </c>
      <c r="G9333" s="25">
        <v>1</v>
      </c>
      <c r="H9333" s="29"/>
      <c r="I9333" s="30"/>
    </row>
    <row r="9334" spans="1:9" ht="15.75" thickBot="1" x14ac:dyDescent="0.3">
      <c r="A9334" s="43" t="s">
        <v>18894</v>
      </c>
      <c r="B9334" s="21" t="s">
        <v>18895</v>
      </c>
      <c r="C9334" s="21" t="s">
        <v>22663</v>
      </c>
      <c r="D9334" s="31">
        <v>1</v>
      </c>
      <c r="E9334" s="23" t="s">
        <v>22656</v>
      </c>
      <c r="F9334" s="24" t="s">
        <v>22657</v>
      </c>
      <c r="G9334" s="25">
        <v>2</v>
      </c>
      <c r="H9334" s="26"/>
      <c r="I9334" s="27"/>
    </row>
    <row r="9335" spans="1:9" ht="15.75" thickBot="1" x14ac:dyDescent="0.3">
      <c r="A9335" s="43" t="s">
        <v>18896</v>
      </c>
      <c r="B9335" s="21" t="s">
        <v>18897</v>
      </c>
      <c r="C9335" s="21" t="s">
        <v>22663</v>
      </c>
      <c r="D9335" s="31">
        <v>1</v>
      </c>
      <c r="E9335" s="23" t="s">
        <v>22656</v>
      </c>
      <c r="F9335" s="24" t="s">
        <v>22657</v>
      </c>
      <c r="G9335" s="25">
        <v>2</v>
      </c>
      <c r="H9335" s="29"/>
      <c r="I9335" s="30"/>
    </row>
    <row r="9336" spans="1:9" ht="15.75" thickBot="1" x14ac:dyDescent="0.3">
      <c r="A9336" s="43" t="s">
        <v>18898</v>
      </c>
      <c r="B9336" s="21" t="s">
        <v>18899</v>
      </c>
      <c r="C9336" s="21" t="s">
        <v>22727</v>
      </c>
      <c r="D9336" s="31">
        <v>1</v>
      </c>
      <c r="E9336" s="23" t="s">
        <v>22658</v>
      </c>
      <c r="F9336" s="28" t="s">
        <v>22659</v>
      </c>
      <c r="G9336" s="25">
        <v>1</v>
      </c>
      <c r="H9336" s="26"/>
      <c r="I9336" s="27"/>
    </row>
    <row r="9337" spans="1:9" ht="15.75" thickBot="1" x14ac:dyDescent="0.3">
      <c r="A9337" s="43" t="s">
        <v>1045</v>
      </c>
      <c r="B9337" s="21" t="s">
        <v>18900</v>
      </c>
      <c r="C9337" s="21" t="s">
        <v>22655</v>
      </c>
      <c r="D9337" s="22">
        <v>46042</v>
      </c>
      <c r="E9337" s="23" t="s">
        <v>22662</v>
      </c>
      <c r="F9337" s="24" t="s">
        <v>22657</v>
      </c>
      <c r="G9337" s="25">
        <v>100</v>
      </c>
      <c r="H9337" s="32">
        <v>100</v>
      </c>
      <c r="I9337" s="33">
        <v>200</v>
      </c>
    </row>
    <row r="9338" spans="1:9" ht="15.75" thickBot="1" x14ac:dyDescent="0.3">
      <c r="A9338" s="43" t="s">
        <v>687</v>
      </c>
      <c r="B9338" s="21" t="s">
        <v>18901</v>
      </c>
      <c r="C9338" s="21" t="s">
        <v>22655</v>
      </c>
      <c r="D9338" s="22">
        <v>46047</v>
      </c>
      <c r="E9338" s="23" t="s">
        <v>22661</v>
      </c>
      <c r="F9338" s="24" t="s">
        <v>22657</v>
      </c>
      <c r="G9338" s="25">
        <v>50</v>
      </c>
      <c r="H9338" s="34">
        <v>50</v>
      </c>
      <c r="I9338" s="35">
        <v>100</v>
      </c>
    </row>
    <row r="9339" spans="1:9" ht="15.75" thickBot="1" x14ac:dyDescent="0.3">
      <c r="A9339" s="43" t="s">
        <v>18902</v>
      </c>
      <c r="B9339" s="21" t="s">
        <v>18903</v>
      </c>
      <c r="C9339" s="21" t="s">
        <v>22663</v>
      </c>
      <c r="D9339" s="31">
        <v>1</v>
      </c>
      <c r="E9339" s="23" t="s">
        <v>22656</v>
      </c>
      <c r="F9339" s="24" t="s">
        <v>22657</v>
      </c>
      <c r="G9339" s="25">
        <v>2</v>
      </c>
      <c r="H9339" s="29"/>
      <c r="I9339" s="30"/>
    </row>
    <row r="9340" spans="1:9" ht="15.75" thickBot="1" x14ac:dyDescent="0.3">
      <c r="A9340" s="43" t="s">
        <v>18904</v>
      </c>
      <c r="B9340" s="21" t="s">
        <v>18905</v>
      </c>
      <c r="C9340" s="21" t="s">
        <v>22698</v>
      </c>
      <c r="D9340" s="31">
        <v>1</v>
      </c>
      <c r="E9340" s="23" t="s">
        <v>22656</v>
      </c>
      <c r="F9340" s="24" t="s">
        <v>22657</v>
      </c>
      <c r="G9340" s="25">
        <v>2</v>
      </c>
      <c r="H9340" s="26"/>
      <c r="I9340" s="27"/>
    </row>
    <row r="9341" spans="1:9" ht="15.75" thickBot="1" x14ac:dyDescent="0.3">
      <c r="A9341" s="43" t="s">
        <v>117</v>
      </c>
      <c r="B9341" s="21" t="s">
        <v>118</v>
      </c>
      <c r="C9341" s="21" t="s">
        <v>22727</v>
      </c>
      <c r="D9341" s="31">
        <v>1</v>
      </c>
      <c r="E9341" s="23" t="s">
        <v>22658</v>
      </c>
      <c r="F9341" s="28" t="s">
        <v>22659</v>
      </c>
      <c r="G9341" s="25">
        <v>1</v>
      </c>
      <c r="H9341" s="29"/>
      <c r="I9341" s="30"/>
    </row>
    <row r="9342" spans="1:9" ht="15.75" thickBot="1" x14ac:dyDescent="0.3">
      <c r="A9342" s="43" t="s">
        <v>1395</v>
      </c>
      <c r="B9342" s="21" t="s">
        <v>1396</v>
      </c>
      <c r="C9342" s="21" t="s">
        <v>22655</v>
      </c>
      <c r="D9342" s="22">
        <v>46032</v>
      </c>
      <c r="E9342" s="23" t="s">
        <v>22661</v>
      </c>
      <c r="F9342" s="24" t="s">
        <v>22657</v>
      </c>
      <c r="G9342" s="25">
        <v>20</v>
      </c>
      <c r="H9342" s="34">
        <v>20</v>
      </c>
      <c r="I9342" s="35">
        <v>60</v>
      </c>
    </row>
    <row r="9343" spans="1:9" ht="15.75" thickBot="1" x14ac:dyDescent="0.3">
      <c r="A9343" s="43" t="s">
        <v>18906</v>
      </c>
      <c r="B9343" s="21" t="s">
        <v>18907</v>
      </c>
      <c r="C9343" s="21" t="s">
        <v>22655</v>
      </c>
      <c r="D9343" s="22">
        <v>46042</v>
      </c>
      <c r="E9343" s="23" t="s">
        <v>22661</v>
      </c>
      <c r="F9343" s="24" t="s">
        <v>22657</v>
      </c>
      <c r="G9343" s="25">
        <v>7</v>
      </c>
      <c r="H9343" s="29"/>
      <c r="I9343" s="30"/>
    </row>
    <row r="9344" spans="1:9" ht="15.75" thickBot="1" x14ac:dyDescent="0.3">
      <c r="A9344" s="43" t="s">
        <v>1223</v>
      </c>
      <c r="B9344" s="21" t="s">
        <v>18908</v>
      </c>
      <c r="C9344" s="21" t="s">
        <v>22655</v>
      </c>
      <c r="D9344" s="22">
        <v>46042</v>
      </c>
      <c r="E9344" s="23" t="s">
        <v>22662</v>
      </c>
      <c r="F9344" s="24" t="s">
        <v>22657</v>
      </c>
      <c r="G9344" s="25">
        <v>60</v>
      </c>
      <c r="H9344" s="34">
        <v>60</v>
      </c>
      <c r="I9344" s="35">
        <v>120</v>
      </c>
    </row>
    <row r="9345" spans="1:9" ht="15.75" thickBot="1" x14ac:dyDescent="0.3">
      <c r="A9345" s="43" t="s">
        <v>251</v>
      </c>
      <c r="B9345" s="21" t="s">
        <v>252</v>
      </c>
      <c r="C9345" s="21" t="s">
        <v>22716</v>
      </c>
      <c r="D9345" s="22">
        <v>46042</v>
      </c>
      <c r="E9345" s="23" t="s">
        <v>22661</v>
      </c>
      <c r="F9345" s="24" t="s">
        <v>22657</v>
      </c>
      <c r="G9345" s="25">
        <v>20</v>
      </c>
      <c r="H9345" s="32">
        <v>20</v>
      </c>
      <c r="I9345" s="33">
        <v>30</v>
      </c>
    </row>
    <row r="9346" spans="1:9" ht="15.75" thickBot="1" x14ac:dyDescent="0.3">
      <c r="A9346" s="43" t="s">
        <v>643</v>
      </c>
      <c r="B9346" s="21" t="s">
        <v>644</v>
      </c>
      <c r="C9346" s="21" t="s">
        <v>22716</v>
      </c>
      <c r="D9346" s="22">
        <v>46032</v>
      </c>
      <c r="E9346" s="23" t="s">
        <v>22665</v>
      </c>
      <c r="F9346" s="24" t="s">
        <v>22657</v>
      </c>
      <c r="G9346" s="25">
        <v>24</v>
      </c>
      <c r="H9346" s="34">
        <v>24</v>
      </c>
      <c r="I9346" s="35">
        <v>40</v>
      </c>
    </row>
    <row r="9347" spans="1:9" ht="15.75" thickBot="1" x14ac:dyDescent="0.3">
      <c r="A9347" s="43" t="s">
        <v>167</v>
      </c>
      <c r="B9347" s="21" t="s">
        <v>168</v>
      </c>
      <c r="C9347" s="21" t="s">
        <v>22663</v>
      </c>
      <c r="D9347" s="31">
        <v>1</v>
      </c>
      <c r="E9347" s="23" t="s">
        <v>22656</v>
      </c>
      <c r="F9347" s="24" t="s">
        <v>22657</v>
      </c>
      <c r="G9347" s="25">
        <v>3</v>
      </c>
      <c r="H9347" s="32">
        <v>3</v>
      </c>
      <c r="I9347" s="33">
        <v>6</v>
      </c>
    </row>
    <row r="9348" spans="1:9" ht="15.75" thickBot="1" x14ac:dyDescent="0.3">
      <c r="A9348" s="43" t="s">
        <v>18909</v>
      </c>
      <c r="B9348" s="21" t="s">
        <v>18910</v>
      </c>
      <c r="C9348" s="21" t="s">
        <v>22663</v>
      </c>
      <c r="D9348" s="31">
        <v>1</v>
      </c>
      <c r="E9348" s="23" t="s">
        <v>22656</v>
      </c>
      <c r="F9348" s="24" t="s">
        <v>22657</v>
      </c>
      <c r="G9348" s="25">
        <v>4</v>
      </c>
      <c r="H9348" s="26"/>
      <c r="I9348" s="27"/>
    </row>
    <row r="9349" spans="1:9" ht="15.75" thickBot="1" x14ac:dyDescent="0.3">
      <c r="A9349" s="43" t="s">
        <v>18911</v>
      </c>
      <c r="B9349" s="21" t="s">
        <v>18912</v>
      </c>
      <c r="C9349" s="21" t="s">
        <v>22698</v>
      </c>
      <c r="D9349" s="31">
        <v>1</v>
      </c>
      <c r="E9349" s="23" t="s">
        <v>22656</v>
      </c>
      <c r="F9349" s="24" t="s">
        <v>22657</v>
      </c>
      <c r="G9349" s="25">
        <v>6</v>
      </c>
      <c r="H9349" s="29"/>
      <c r="I9349" s="30"/>
    </row>
    <row r="9350" spans="1:9" ht="15.75" thickBot="1" x14ac:dyDescent="0.3">
      <c r="A9350" s="43" t="s">
        <v>18913</v>
      </c>
      <c r="B9350" s="21" t="s">
        <v>18914</v>
      </c>
      <c r="C9350" s="21" t="s">
        <v>22727</v>
      </c>
      <c r="D9350" s="31">
        <v>1</v>
      </c>
      <c r="E9350" s="23" t="s">
        <v>22656</v>
      </c>
      <c r="F9350" s="24" t="s">
        <v>22657</v>
      </c>
      <c r="G9350" s="25">
        <v>2</v>
      </c>
      <c r="H9350" s="26"/>
      <c r="I9350" s="27"/>
    </row>
    <row r="9351" spans="1:9" ht="15.75" thickBot="1" x14ac:dyDescent="0.3">
      <c r="A9351" s="43" t="s">
        <v>18915</v>
      </c>
      <c r="B9351" s="21" t="s">
        <v>18916</v>
      </c>
      <c r="C9351" s="21" t="s">
        <v>22655</v>
      </c>
      <c r="D9351" s="22">
        <v>46034</v>
      </c>
      <c r="E9351" s="23" t="s">
        <v>22656</v>
      </c>
      <c r="F9351" s="24" t="s">
        <v>22657</v>
      </c>
      <c r="G9351" s="25">
        <v>2</v>
      </c>
      <c r="H9351" s="29"/>
      <c r="I9351" s="30"/>
    </row>
    <row r="9352" spans="1:9" ht="15.75" thickBot="1" x14ac:dyDescent="0.3">
      <c r="A9352" s="43" t="s">
        <v>18917</v>
      </c>
      <c r="B9352" s="21" t="s">
        <v>18918</v>
      </c>
      <c r="C9352" s="21" t="s">
        <v>22655</v>
      </c>
      <c r="D9352" s="22">
        <v>46034</v>
      </c>
      <c r="E9352" s="23" t="s">
        <v>22658</v>
      </c>
      <c r="F9352" s="24" t="s">
        <v>22657</v>
      </c>
      <c r="G9352" s="25">
        <v>1</v>
      </c>
      <c r="H9352" s="26"/>
      <c r="I9352" s="27"/>
    </row>
    <row r="9353" spans="1:9" ht="15.75" thickBot="1" x14ac:dyDescent="0.3">
      <c r="A9353" s="43" t="s">
        <v>18919</v>
      </c>
      <c r="B9353" s="21" t="s">
        <v>18920</v>
      </c>
      <c r="C9353" s="21" t="s">
        <v>22663</v>
      </c>
      <c r="D9353" s="31">
        <v>1</v>
      </c>
      <c r="E9353" s="23" t="s">
        <v>22658</v>
      </c>
      <c r="F9353" s="24" t="s">
        <v>22657</v>
      </c>
      <c r="G9353" s="25">
        <v>4</v>
      </c>
      <c r="H9353" s="29"/>
      <c r="I9353" s="30"/>
    </row>
    <row r="9354" spans="1:9" ht="15.75" thickBot="1" x14ac:dyDescent="0.3">
      <c r="A9354" s="43" t="s">
        <v>18921</v>
      </c>
      <c r="B9354" s="21" t="s">
        <v>18922</v>
      </c>
      <c r="C9354" s="21" t="s">
        <v>22698</v>
      </c>
      <c r="D9354" s="31">
        <v>1</v>
      </c>
      <c r="E9354" s="23" t="s">
        <v>22658</v>
      </c>
      <c r="F9354" s="24" t="s">
        <v>22657</v>
      </c>
      <c r="G9354" s="25">
        <v>2</v>
      </c>
      <c r="H9354" s="26"/>
      <c r="I9354" s="27"/>
    </row>
    <row r="9355" spans="1:9" ht="15.75" thickBot="1" x14ac:dyDescent="0.3">
      <c r="A9355" s="43" t="s">
        <v>18923</v>
      </c>
      <c r="B9355" s="21" t="s">
        <v>18924</v>
      </c>
      <c r="C9355" s="21" t="s">
        <v>22727</v>
      </c>
      <c r="D9355" s="31">
        <v>1</v>
      </c>
      <c r="E9355" s="23" t="s">
        <v>22658</v>
      </c>
      <c r="F9355" s="24" t="s">
        <v>22657</v>
      </c>
      <c r="G9355" s="25">
        <v>1</v>
      </c>
      <c r="H9355" s="29"/>
      <c r="I9355" s="30"/>
    </row>
    <row r="9356" spans="1:9" ht="15.75" thickBot="1" x14ac:dyDescent="0.3">
      <c r="A9356" s="43" t="s">
        <v>18925</v>
      </c>
      <c r="B9356" s="21" t="s">
        <v>18926</v>
      </c>
      <c r="C9356" s="21" t="s">
        <v>22655</v>
      </c>
      <c r="D9356" s="22">
        <v>46052</v>
      </c>
      <c r="E9356" s="23" t="s">
        <v>22656</v>
      </c>
      <c r="F9356" s="24" t="s">
        <v>22657</v>
      </c>
      <c r="G9356" s="25">
        <v>4</v>
      </c>
      <c r="H9356" s="26"/>
      <c r="I9356" s="27"/>
    </row>
    <row r="9357" spans="1:9" ht="15.75" thickBot="1" x14ac:dyDescent="0.3">
      <c r="A9357" s="43" t="s">
        <v>349</v>
      </c>
      <c r="B9357" s="21" t="s">
        <v>350</v>
      </c>
      <c r="C9357" s="21" t="s">
        <v>22727</v>
      </c>
      <c r="D9357" s="31">
        <v>1</v>
      </c>
      <c r="E9357" s="23" t="s">
        <v>22656</v>
      </c>
      <c r="F9357" s="24" t="s">
        <v>22657</v>
      </c>
      <c r="G9357" s="25">
        <v>2</v>
      </c>
      <c r="H9357" s="29"/>
      <c r="I9357" s="30"/>
    </row>
    <row r="9358" spans="1:9" ht="15.75" thickBot="1" x14ac:dyDescent="0.3">
      <c r="A9358" s="43" t="s">
        <v>18927</v>
      </c>
      <c r="B9358" s="21" t="s">
        <v>18928</v>
      </c>
      <c r="C9358" s="21" t="s">
        <v>22727</v>
      </c>
      <c r="D9358" s="31">
        <v>1</v>
      </c>
      <c r="E9358" s="23" t="s">
        <v>22658</v>
      </c>
      <c r="F9358" s="24" t="s">
        <v>22657</v>
      </c>
      <c r="G9358" s="25">
        <v>1</v>
      </c>
      <c r="H9358" s="26"/>
      <c r="I9358" s="27"/>
    </row>
    <row r="9359" spans="1:9" ht="15.75" thickBot="1" x14ac:dyDescent="0.3">
      <c r="A9359" s="43" t="s">
        <v>18929</v>
      </c>
      <c r="B9359" s="21" t="s">
        <v>18930</v>
      </c>
      <c r="C9359" s="21" t="s">
        <v>22663</v>
      </c>
      <c r="D9359" s="31">
        <v>1</v>
      </c>
      <c r="E9359" s="23" t="s">
        <v>22661</v>
      </c>
      <c r="F9359" s="24" t="s">
        <v>22657</v>
      </c>
      <c r="G9359" s="25">
        <v>20</v>
      </c>
      <c r="H9359" s="32">
        <v>20</v>
      </c>
      <c r="I9359" s="33">
        <v>30</v>
      </c>
    </row>
    <row r="9360" spans="1:9" ht="15.75" thickBot="1" x14ac:dyDescent="0.3">
      <c r="A9360" s="43" t="s">
        <v>18931</v>
      </c>
      <c r="B9360" s="21" t="s">
        <v>18932</v>
      </c>
      <c r="C9360" s="21" t="s">
        <v>22663</v>
      </c>
      <c r="D9360" s="31">
        <v>1</v>
      </c>
      <c r="E9360" s="23" t="s">
        <v>22661</v>
      </c>
      <c r="F9360" s="24" t="s">
        <v>22657</v>
      </c>
      <c r="G9360" s="25">
        <v>12</v>
      </c>
      <c r="H9360" s="26"/>
      <c r="I9360" s="27"/>
    </row>
    <row r="9361" spans="1:9" ht="15.75" thickBot="1" x14ac:dyDescent="0.3">
      <c r="A9361" s="43" t="s">
        <v>659</v>
      </c>
      <c r="B9361" s="21" t="s">
        <v>660</v>
      </c>
      <c r="C9361" s="21" t="s">
        <v>22698</v>
      </c>
      <c r="D9361" s="31">
        <v>1</v>
      </c>
      <c r="E9361" s="23" t="s">
        <v>22665</v>
      </c>
      <c r="F9361" s="24" t="s">
        <v>22657</v>
      </c>
      <c r="G9361" s="25">
        <v>25</v>
      </c>
      <c r="H9361" s="32">
        <v>25</v>
      </c>
      <c r="I9361" s="33">
        <v>45</v>
      </c>
    </row>
    <row r="9362" spans="1:9" ht="15.75" thickBot="1" x14ac:dyDescent="0.3">
      <c r="A9362" s="43" t="s">
        <v>18933</v>
      </c>
      <c r="B9362" s="21" t="s">
        <v>18934</v>
      </c>
      <c r="C9362" s="21" t="s">
        <v>22663</v>
      </c>
      <c r="D9362" s="31">
        <v>1</v>
      </c>
      <c r="E9362" s="23" t="s">
        <v>22665</v>
      </c>
      <c r="F9362" s="24" t="s">
        <v>22657</v>
      </c>
      <c r="G9362" s="25">
        <v>20</v>
      </c>
      <c r="H9362" s="34">
        <v>20</v>
      </c>
      <c r="I9362" s="35">
        <v>36</v>
      </c>
    </row>
    <row r="9363" spans="1:9" ht="15.75" thickBot="1" x14ac:dyDescent="0.3">
      <c r="A9363" s="43" t="s">
        <v>93</v>
      </c>
      <c r="B9363" s="21" t="s">
        <v>94</v>
      </c>
      <c r="C9363" s="21" t="s">
        <v>22727</v>
      </c>
      <c r="D9363" s="31">
        <v>1</v>
      </c>
      <c r="E9363" s="23" t="s">
        <v>22656</v>
      </c>
      <c r="F9363" s="24" t="s">
        <v>22657</v>
      </c>
      <c r="G9363" s="25">
        <v>2</v>
      </c>
      <c r="H9363" s="32">
        <v>2</v>
      </c>
      <c r="I9363" s="33">
        <v>4</v>
      </c>
    </row>
    <row r="9364" spans="1:9" ht="15.75" thickBot="1" x14ac:dyDescent="0.3">
      <c r="A9364" s="43" t="s">
        <v>85</v>
      </c>
      <c r="B9364" s="21" t="s">
        <v>18935</v>
      </c>
      <c r="C9364" s="21" t="s">
        <v>22663</v>
      </c>
      <c r="D9364" s="31">
        <v>1</v>
      </c>
      <c r="E9364" s="23" t="s">
        <v>22661</v>
      </c>
      <c r="F9364" s="24" t="s">
        <v>22657</v>
      </c>
      <c r="G9364" s="25">
        <v>12</v>
      </c>
      <c r="H9364" s="34">
        <v>12</v>
      </c>
      <c r="I9364" s="35">
        <v>15</v>
      </c>
    </row>
    <row r="9365" spans="1:9" ht="15.75" thickBot="1" x14ac:dyDescent="0.3">
      <c r="A9365" s="43" t="s">
        <v>837</v>
      </c>
      <c r="B9365" s="21" t="s">
        <v>838</v>
      </c>
      <c r="C9365" s="21" t="s">
        <v>22663</v>
      </c>
      <c r="D9365" s="31">
        <v>1</v>
      </c>
      <c r="E9365" s="23" t="s">
        <v>22661</v>
      </c>
      <c r="F9365" s="24" t="s">
        <v>22657</v>
      </c>
      <c r="G9365" s="25">
        <v>20</v>
      </c>
      <c r="H9365" s="32">
        <v>20</v>
      </c>
      <c r="I9365" s="33">
        <v>36</v>
      </c>
    </row>
    <row r="9366" spans="1:9" ht="15.75" thickBot="1" x14ac:dyDescent="0.3">
      <c r="A9366" s="43" t="s">
        <v>39</v>
      </c>
      <c r="B9366" s="21" t="s">
        <v>18936</v>
      </c>
      <c r="C9366" s="21" t="s">
        <v>22698</v>
      </c>
      <c r="D9366" s="31">
        <v>1</v>
      </c>
      <c r="E9366" s="23" t="s">
        <v>22661</v>
      </c>
      <c r="F9366" s="24" t="s">
        <v>22657</v>
      </c>
      <c r="G9366" s="25">
        <v>25</v>
      </c>
      <c r="H9366" s="34">
        <v>25</v>
      </c>
      <c r="I9366" s="35">
        <v>50</v>
      </c>
    </row>
    <row r="9367" spans="1:9" ht="15.75" thickBot="1" x14ac:dyDescent="0.3">
      <c r="A9367" s="43" t="s">
        <v>71</v>
      </c>
      <c r="B9367" s="21" t="s">
        <v>72</v>
      </c>
      <c r="C9367" s="21" t="s">
        <v>22663</v>
      </c>
      <c r="D9367" s="31">
        <v>1</v>
      </c>
      <c r="E9367" s="23" t="s">
        <v>22665</v>
      </c>
      <c r="F9367" s="24" t="s">
        <v>22657</v>
      </c>
      <c r="G9367" s="25">
        <v>4</v>
      </c>
      <c r="H9367" s="32">
        <v>0</v>
      </c>
      <c r="I9367" s="33">
        <v>0</v>
      </c>
    </row>
    <row r="9368" spans="1:9" ht="15.75" thickBot="1" x14ac:dyDescent="0.3">
      <c r="A9368" s="43" t="s">
        <v>1501</v>
      </c>
      <c r="B9368" s="21" t="s">
        <v>1502</v>
      </c>
      <c r="C9368" s="21" t="s">
        <v>22655</v>
      </c>
      <c r="D9368" s="22">
        <v>46042</v>
      </c>
      <c r="E9368" s="23" t="s">
        <v>22662</v>
      </c>
      <c r="F9368" s="24" t="s">
        <v>22657</v>
      </c>
      <c r="G9368" s="25">
        <v>20</v>
      </c>
      <c r="H9368" s="34">
        <v>20</v>
      </c>
      <c r="I9368" s="35">
        <v>60</v>
      </c>
    </row>
    <row r="9369" spans="1:9" ht="15.75" thickBot="1" x14ac:dyDescent="0.3">
      <c r="A9369" s="43" t="s">
        <v>18937</v>
      </c>
      <c r="B9369" s="21" t="s">
        <v>18938</v>
      </c>
      <c r="C9369" s="21" t="s">
        <v>22682</v>
      </c>
      <c r="D9369" s="22">
        <v>46034</v>
      </c>
      <c r="E9369" s="23" t="s">
        <v>22656</v>
      </c>
      <c r="F9369" s="24" t="s">
        <v>22657</v>
      </c>
      <c r="G9369" s="25">
        <v>4</v>
      </c>
      <c r="H9369" s="29"/>
      <c r="I9369" s="30"/>
    </row>
    <row r="9370" spans="1:9" ht="15.75" thickBot="1" x14ac:dyDescent="0.3">
      <c r="A9370" s="43" t="s">
        <v>18939</v>
      </c>
      <c r="B9370" s="21" t="s">
        <v>18940</v>
      </c>
      <c r="C9370" s="21" t="s">
        <v>22655</v>
      </c>
      <c r="D9370" s="22">
        <v>46042</v>
      </c>
      <c r="E9370" s="23" t="s">
        <v>22658</v>
      </c>
      <c r="F9370" s="24" t="s">
        <v>22657</v>
      </c>
      <c r="G9370" s="25">
        <v>4</v>
      </c>
      <c r="H9370" s="26"/>
      <c r="I9370" s="27"/>
    </row>
    <row r="9371" spans="1:9" ht="15.75" thickBot="1" x14ac:dyDescent="0.3">
      <c r="A9371" s="43" t="s">
        <v>201</v>
      </c>
      <c r="B9371" s="21" t="s">
        <v>202</v>
      </c>
      <c r="C9371" s="21" t="s">
        <v>22655</v>
      </c>
      <c r="D9371" s="22">
        <v>46034</v>
      </c>
      <c r="E9371" s="23" t="s">
        <v>22658</v>
      </c>
      <c r="F9371" s="28" t="s">
        <v>22659</v>
      </c>
      <c r="G9371" s="25">
        <v>4</v>
      </c>
      <c r="H9371" s="29"/>
      <c r="I9371" s="30"/>
    </row>
    <row r="9372" spans="1:9" ht="15.75" thickBot="1" x14ac:dyDescent="0.3">
      <c r="A9372" s="43" t="s">
        <v>287</v>
      </c>
      <c r="B9372" s="21" t="s">
        <v>288</v>
      </c>
      <c r="C9372" s="21" t="s">
        <v>22655</v>
      </c>
      <c r="D9372" s="22">
        <v>46034</v>
      </c>
      <c r="E9372" s="23" t="s">
        <v>22658</v>
      </c>
      <c r="F9372" s="28" t="s">
        <v>22659</v>
      </c>
      <c r="G9372" s="25">
        <v>4</v>
      </c>
      <c r="H9372" s="26"/>
      <c r="I9372" s="27"/>
    </row>
    <row r="9373" spans="1:9" ht="15.75" thickBot="1" x14ac:dyDescent="0.3">
      <c r="A9373" s="43" t="s">
        <v>18941</v>
      </c>
      <c r="B9373" s="21" t="s">
        <v>18942</v>
      </c>
      <c r="C9373" s="21" t="s">
        <v>22682</v>
      </c>
      <c r="D9373" s="22">
        <v>46034</v>
      </c>
      <c r="E9373" s="23" t="s">
        <v>22658</v>
      </c>
      <c r="F9373" s="24" t="s">
        <v>22657</v>
      </c>
      <c r="G9373" s="25">
        <v>2</v>
      </c>
      <c r="H9373" s="29"/>
      <c r="I9373" s="30"/>
    </row>
    <row r="9374" spans="1:9" ht="15.75" thickBot="1" x14ac:dyDescent="0.3">
      <c r="A9374" s="43" t="s">
        <v>18943</v>
      </c>
      <c r="B9374" s="21" t="s">
        <v>18944</v>
      </c>
      <c r="C9374" s="21" t="s">
        <v>22663</v>
      </c>
      <c r="D9374" s="31">
        <v>1</v>
      </c>
      <c r="E9374" s="23" t="s">
        <v>22658</v>
      </c>
      <c r="F9374" s="24" t="s">
        <v>22657</v>
      </c>
      <c r="G9374" s="25">
        <v>1</v>
      </c>
      <c r="H9374" s="26"/>
      <c r="I9374" s="27"/>
    </row>
    <row r="9375" spans="1:9" ht="15.75" thickBot="1" x14ac:dyDescent="0.3">
      <c r="A9375" s="43" t="s">
        <v>18945</v>
      </c>
      <c r="B9375" s="21" t="s">
        <v>18946</v>
      </c>
      <c r="C9375" s="21" t="s">
        <v>22663</v>
      </c>
      <c r="D9375" s="31">
        <v>1</v>
      </c>
      <c r="E9375" s="23" t="s">
        <v>22658</v>
      </c>
      <c r="F9375" s="24" t="s">
        <v>22657</v>
      </c>
      <c r="G9375" s="25">
        <v>1</v>
      </c>
      <c r="H9375" s="29"/>
      <c r="I9375" s="30"/>
    </row>
    <row r="9376" spans="1:9" ht="15.75" thickBot="1" x14ac:dyDescent="0.3">
      <c r="A9376" s="43" t="s">
        <v>18947</v>
      </c>
      <c r="B9376" s="21" t="s">
        <v>18948</v>
      </c>
      <c r="C9376" s="21" t="s">
        <v>22663</v>
      </c>
      <c r="D9376" s="31">
        <v>1</v>
      </c>
      <c r="E9376" s="23" t="s">
        <v>22658</v>
      </c>
      <c r="F9376" s="24" t="s">
        <v>22657</v>
      </c>
      <c r="G9376" s="25">
        <v>1</v>
      </c>
      <c r="H9376" s="26"/>
      <c r="I9376" s="27"/>
    </row>
    <row r="9377" spans="1:9" ht="15.75" thickBot="1" x14ac:dyDescent="0.3">
      <c r="A9377" s="43" t="s">
        <v>18949</v>
      </c>
      <c r="B9377" s="21" t="s">
        <v>18950</v>
      </c>
      <c r="C9377" s="21" t="s">
        <v>22655</v>
      </c>
      <c r="D9377" s="22">
        <v>46034</v>
      </c>
      <c r="E9377" s="23" t="s">
        <v>22656</v>
      </c>
      <c r="F9377" s="24" t="s">
        <v>22657</v>
      </c>
      <c r="G9377" s="25">
        <v>2</v>
      </c>
      <c r="H9377" s="29"/>
      <c r="I9377" s="30"/>
    </row>
    <row r="9378" spans="1:9" ht="15.75" thickBot="1" x14ac:dyDescent="0.3">
      <c r="A9378" s="43" t="s">
        <v>18951</v>
      </c>
      <c r="B9378" s="21" t="s">
        <v>18952</v>
      </c>
      <c r="C9378" s="21" t="s">
        <v>22655</v>
      </c>
      <c r="D9378" s="22">
        <v>46034</v>
      </c>
      <c r="E9378" s="23" t="s">
        <v>22658</v>
      </c>
      <c r="F9378" s="24" t="s">
        <v>22657</v>
      </c>
      <c r="G9378" s="25">
        <v>1</v>
      </c>
      <c r="H9378" s="26"/>
      <c r="I9378" s="27"/>
    </row>
    <row r="9379" spans="1:9" ht="15.75" thickBot="1" x14ac:dyDescent="0.3">
      <c r="A9379" s="43" t="s">
        <v>18955</v>
      </c>
      <c r="B9379" s="21" t="s">
        <v>18956</v>
      </c>
      <c r="C9379" s="21" t="s">
        <v>22655</v>
      </c>
      <c r="D9379" s="22">
        <v>46046</v>
      </c>
      <c r="E9379" s="23" t="s">
        <v>22656</v>
      </c>
      <c r="F9379" s="24" t="s">
        <v>22657</v>
      </c>
      <c r="G9379" s="25">
        <v>2</v>
      </c>
      <c r="H9379" s="29"/>
      <c r="I9379" s="30"/>
    </row>
    <row r="9380" spans="1:9" ht="15.75" thickBot="1" x14ac:dyDescent="0.3">
      <c r="A9380" s="43" t="s">
        <v>18957</v>
      </c>
      <c r="B9380" s="21" t="s">
        <v>18958</v>
      </c>
      <c r="C9380" s="21" t="s">
        <v>22655</v>
      </c>
      <c r="D9380" s="22">
        <v>46046</v>
      </c>
      <c r="E9380" s="23" t="s">
        <v>22658</v>
      </c>
      <c r="F9380" s="24" t="s">
        <v>22657</v>
      </c>
      <c r="G9380" s="25">
        <v>2</v>
      </c>
      <c r="H9380" s="26"/>
      <c r="I9380" s="27"/>
    </row>
    <row r="9381" spans="1:9" ht="15.75" thickBot="1" x14ac:dyDescent="0.3">
      <c r="A9381" s="43" t="s">
        <v>18959</v>
      </c>
      <c r="B9381" s="21" t="s">
        <v>18960</v>
      </c>
      <c r="C9381" s="21" t="s">
        <v>22655</v>
      </c>
      <c r="D9381" s="22">
        <v>46034</v>
      </c>
      <c r="E9381" s="23" t="s">
        <v>22656</v>
      </c>
      <c r="F9381" s="24" t="s">
        <v>22657</v>
      </c>
      <c r="G9381" s="25">
        <v>4</v>
      </c>
      <c r="H9381" s="29"/>
      <c r="I9381" s="30"/>
    </row>
    <row r="9382" spans="1:9" ht="15.75" thickBot="1" x14ac:dyDescent="0.3">
      <c r="A9382" s="43" t="s">
        <v>18961</v>
      </c>
      <c r="B9382" s="21" t="s">
        <v>18962</v>
      </c>
      <c r="C9382" s="21" t="s">
        <v>22655</v>
      </c>
      <c r="D9382" s="22">
        <v>46034</v>
      </c>
      <c r="E9382" s="23" t="s">
        <v>22656</v>
      </c>
      <c r="F9382" s="24" t="s">
        <v>22657</v>
      </c>
      <c r="G9382" s="25">
        <v>3</v>
      </c>
      <c r="H9382" s="34">
        <v>3</v>
      </c>
      <c r="I9382" s="35">
        <v>6</v>
      </c>
    </row>
    <row r="9383" spans="1:9" ht="15.75" thickBot="1" x14ac:dyDescent="0.3">
      <c r="A9383" s="43" t="s">
        <v>18963</v>
      </c>
      <c r="B9383" s="21" t="s">
        <v>18964</v>
      </c>
      <c r="C9383" s="21" t="s">
        <v>22655</v>
      </c>
      <c r="D9383" s="22">
        <v>46034</v>
      </c>
      <c r="E9383" s="23" t="s">
        <v>22656</v>
      </c>
      <c r="F9383" s="24" t="s">
        <v>22657</v>
      </c>
      <c r="G9383" s="25">
        <v>4</v>
      </c>
      <c r="H9383" s="29"/>
      <c r="I9383" s="30"/>
    </row>
    <row r="9384" spans="1:9" ht="15.75" thickBot="1" x14ac:dyDescent="0.3">
      <c r="A9384" s="43" t="s">
        <v>18965</v>
      </c>
      <c r="B9384" s="21" t="s">
        <v>18966</v>
      </c>
      <c r="C9384" s="21" t="s">
        <v>22655</v>
      </c>
      <c r="D9384" s="22">
        <v>46028</v>
      </c>
      <c r="E9384" s="23" t="s">
        <v>22658</v>
      </c>
      <c r="F9384" s="24" t="s">
        <v>22657</v>
      </c>
      <c r="G9384" s="25">
        <v>2</v>
      </c>
      <c r="H9384" s="26"/>
      <c r="I9384" s="27"/>
    </row>
    <row r="9385" spans="1:9" ht="15.75" thickBot="1" x14ac:dyDescent="0.3">
      <c r="A9385" s="43" t="s">
        <v>18989</v>
      </c>
      <c r="B9385" s="21" t="s">
        <v>22631</v>
      </c>
      <c r="C9385" s="21" t="s">
        <v>22655</v>
      </c>
      <c r="D9385" s="22">
        <v>46034</v>
      </c>
      <c r="E9385" s="23" t="s">
        <v>22656</v>
      </c>
      <c r="F9385" s="24" t="s">
        <v>22657</v>
      </c>
      <c r="G9385" s="25">
        <v>2</v>
      </c>
      <c r="H9385" s="29"/>
      <c r="I9385" s="30"/>
    </row>
    <row r="9386" spans="1:9" ht="15.75" thickBot="1" x14ac:dyDescent="0.3">
      <c r="A9386" s="43" t="s">
        <v>18967</v>
      </c>
      <c r="B9386" s="21" t="s">
        <v>18968</v>
      </c>
      <c r="C9386" s="21" t="s">
        <v>22655</v>
      </c>
      <c r="D9386" s="22">
        <v>46046</v>
      </c>
      <c r="E9386" s="23" t="s">
        <v>22656</v>
      </c>
      <c r="F9386" s="24" t="s">
        <v>22657</v>
      </c>
      <c r="G9386" s="25">
        <v>2</v>
      </c>
      <c r="H9386" s="26"/>
      <c r="I9386" s="27"/>
    </row>
    <row r="9387" spans="1:9" ht="15.75" thickBot="1" x14ac:dyDescent="0.3">
      <c r="A9387" s="43" t="s">
        <v>18973</v>
      </c>
      <c r="B9387" s="21" t="s">
        <v>18974</v>
      </c>
      <c r="C9387" s="21" t="s">
        <v>22655</v>
      </c>
      <c r="D9387" s="22">
        <v>46034</v>
      </c>
      <c r="E9387" s="23" t="s">
        <v>22656</v>
      </c>
      <c r="F9387" s="24" t="s">
        <v>22657</v>
      </c>
      <c r="G9387" s="25">
        <v>2</v>
      </c>
      <c r="H9387" s="29"/>
      <c r="I9387" s="30"/>
    </row>
    <row r="9388" spans="1:9" ht="15.75" thickBot="1" x14ac:dyDescent="0.3">
      <c r="A9388" s="43" t="s">
        <v>18975</v>
      </c>
      <c r="B9388" s="21" t="s">
        <v>18976</v>
      </c>
      <c r="C9388" s="21" t="s">
        <v>22655</v>
      </c>
      <c r="D9388" s="22">
        <v>46034</v>
      </c>
      <c r="E9388" s="23" t="s">
        <v>22656</v>
      </c>
      <c r="F9388" s="24" t="s">
        <v>22657</v>
      </c>
      <c r="G9388" s="25">
        <v>2</v>
      </c>
      <c r="H9388" s="26"/>
      <c r="I9388" s="27"/>
    </row>
    <row r="9389" spans="1:9" ht="15.75" thickBot="1" x14ac:dyDescent="0.3">
      <c r="A9389" s="43" t="s">
        <v>18977</v>
      </c>
      <c r="B9389" s="21" t="s">
        <v>18978</v>
      </c>
      <c r="C9389" s="21" t="s">
        <v>22655</v>
      </c>
      <c r="D9389" s="22">
        <v>46034</v>
      </c>
      <c r="E9389" s="23" t="s">
        <v>22656</v>
      </c>
      <c r="F9389" s="24" t="s">
        <v>22657</v>
      </c>
      <c r="G9389" s="25">
        <v>2</v>
      </c>
      <c r="H9389" s="29"/>
      <c r="I9389" s="30"/>
    </row>
    <row r="9390" spans="1:9" ht="15.75" thickBot="1" x14ac:dyDescent="0.3">
      <c r="A9390" s="43" t="s">
        <v>18953</v>
      </c>
      <c r="B9390" s="21" t="s">
        <v>22632</v>
      </c>
      <c r="C9390" s="21" t="s">
        <v>22655</v>
      </c>
      <c r="D9390" s="22">
        <v>46034</v>
      </c>
      <c r="E9390" s="23" t="s">
        <v>22658</v>
      </c>
      <c r="F9390" s="24" t="s">
        <v>22657</v>
      </c>
      <c r="G9390" s="25">
        <v>1</v>
      </c>
      <c r="H9390" s="26"/>
      <c r="I9390" s="27"/>
    </row>
    <row r="9391" spans="1:9" ht="15.75" thickBot="1" x14ac:dyDescent="0.3">
      <c r="A9391" s="43" t="s">
        <v>18981</v>
      </c>
      <c r="B9391" s="21" t="s">
        <v>18982</v>
      </c>
      <c r="C9391" s="21" t="s">
        <v>22655</v>
      </c>
      <c r="D9391" s="22">
        <v>46046</v>
      </c>
      <c r="E9391" s="23" t="s">
        <v>22656</v>
      </c>
      <c r="F9391" s="24" t="s">
        <v>22657</v>
      </c>
      <c r="G9391" s="25">
        <v>2</v>
      </c>
      <c r="H9391" s="29"/>
      <c r="I9391" s="30"/>
    </row>
    <row r="9392" spans="1:9" ht="15.75" thickBot="1" x14ac:dyDescent="0.3">
      <c r="A9392" s="43" t="s">
        <v>18983</v>
      </c>
      <c r="B9392" s="21" t="s">
        <v>18984</v>
      </c>
      <c r="C9392" s="21" t="s">
        <v>22655</v>
      </c>
      <c r="D9392" s="31" t="s">
        <v>22688</v>
      </c>
      <c r="E9392" s="23" t="s">
        <v>22656</v>
      </c>
      <c r="F9392" s="24" t="s">
        <v>22657</v>
      </c>
      <c r="G9392" s="25">
        <v>4</v>
      </c>
      <c r="H9392" s="26"/>
      <c r="I9392" s="27"/>
    </row>
    <row r="9393" spans="1:9" ht="15.75" thickBot="1" x14ac:dyDescent="0.3">
      <c r="A9393" s="43" t="s">
        <v>18985</v>
      </c>
      <c r="B9393" s="21" t="s">
        <v>18986</v>
      </c>
      <c r="C9393" s="21" t="s">
        <v>22655</v>
      </c>
      <c r="D9393" s="22">
        <v>46046</v>
      </c>
      <c r="E9393" s="23" t="s">
        <v>22658</v>
      </c>
      <c r="F9393" s="24" t="s">
        <v>22657</v>
      </c>
      <c r="G9393" s="25">
        <v>2</v>
      </c>
      <c r="H9393" s="29"/>
      <c r="I9393" s="30"/>
    </row>
    <row r="9394" spans="1:9" ht="15.75" thickBot="1" x14ac:dyDescent="0.3">
      <c r="A9394" s="43" t="s">
        <v>18987</v>
      </c>
      <c r="B9394" s="21" t="s">
        <v>18988</v>
      </c>
      <c r="C9394" s="21" t="s">
        <v>22655</v>
      </c>
      <c r="D9394" s="22">
        <v>46046</v>
      </c>
      <c r="E9394" s="23" t="s">
        <v>22656</v>
      </c>
      <c r="F9394" s="24" t="s">
        <v>22657</v>
      </c>
      <c r="G9394" s="25">
        <v>2</v>
      </c>
      <c r="H9394" s="26"/>
      <c r="I9394" s="27"/>
    </row>
    <row r="9395" spans="1:9" ht="15.75" thickBot="1" x14ac:dyDescent="0.3">
      <c r="A9395" s="43" t="s">
        <v>18993</v>
      </c>
      <c r="B9395" s="21" t="s">
        <v>18994</v>
      </c>
      <c r="C9395" s="21" t="s">
        <v>22655</v>
      </c>
      <c r="D9395" s="22">
        <v>46034</v>
      </c>
      <c r="E9395" s="23" t="s">
        <v>22658</v>
      </c>
      <c r="F9395" s="24" t="s">
        <v>22657</v>
      </c>
      <c r="G9395" s="25">
        <v>1</v>
      </c>
      <c r="H9395" s="29"/>
      <c r="I9395" s="30"/>
    </row>
    <row r="9396" spans="1:9" ht="15.75" thickBot="1" x14ac:dyDescent="0.3">
      <c r="A9396" s="43" t="s">
        <v>18995</v>
      </c>
      <c r="B9396" s="21" t="s">
        <v>18996</v>
      </c>
      <c r="C9396" s="21" t="s">
        <v>22655</v>
      </c>
      <c r="D9396" s="22">
        <v>46028</v>
      </c>
      <c r="E9396" s="23" t="s">
        <v>22656</v>
      </c>
      <c r="F9396" s="24" t="s">
        <v>22657</v>
      </c>
      <c r="G9396" s="25">
        <v>2</v>
      </c>
      <c r="H9396" s="26"/>
      <c r="I9396" s="27"/>
    </row>
    <row r="9397" spans="1:9" ht="15.75" thickBot="1" x14ac:dyDescent="0.3">
      <c r="A9397" s="43" t="s">
        <v>18997</v>
      </c>
      <c r="B9397" s="21" t="s">
        <v>18998</v>
      </c>
      <c r="C9397" s="21" t="s">
        <v>22655</v>
      </c>
      <c r="D9397" s="22">
        <v>46046</v>
      </c>
      <c r="E9397" s="23" t="s">
        <v>22656</v>
      </c>
      <c r="F9397" s="24" t="s">
        <v>22657</v>
      </c>
      <c r="G9397" s="25">
        <v>2</v>
      </c>
      <c r="H9397" s="29"/>
      <c r="I9397" s="30"/>
    </row>
    <row r="9398" spans="1:9" ht="15.75" thickBot="1" x14ac:dyDescent="0.3">
      <c r="A9398" s="43" t="s">
        <v>18991</v>
      </c>
      <c r="B9398" s="21" t="s">
        <v>22633</v>
      </c>
      <c r="C9398" s="21" t="s">
        <v>22655</v>
      </c>
      <c r="D9398" s="22">
        <v>46040</v>
      </c>
      <c r="E9398" s="23" t="s">
        <v>22656</v>
      </c>
      <c r="F9398" s="24" t="s">
        <v>22657</v>
      </c>
      <c r="G9398" s="25">
        <v>2</v>
      </c>
      <c r="H9398" s="26"/>
      <c r="I9398" s="27"/>
    </row>
    <row r="9399" spans="1:9" ht="15.75" thickBot="1" x14ac:dyDescent="0.3">
      <c r="A9399" s="43" t="s">
        <v>18969</v>
      </c>
      <c r="B9399" s="21" t="s">
        <v>22634</v>
      </c>
      <c r="C9399" s="21" t="s">
        <v>22655</v>
      </c>
      <c r="D9399" s="22">
        <v>46034</v>
      </c>
      <c r="E9399" s="23" t="s">
        <v>22658</v>
      </c>
      <c r="F9399" s="24" t="s">
        <v>22657</v>
      </c>
      <c r="G9399" s="25">
        <v>2</v>
      </c>
      <c r="H9399" s="29"/>
      <c r="I9399" s="30"/>
    </row>
    <row r="9400" spans="1:9" ht="15.75" thickBot="1" x14ac:dyDescent="0.3">
      <c r="A9400" s="43" t="s">
        <v>18971</v>
      </c>
      <c r="B9400" s="21" t="s">
        <v>22635</v>
      </c>
      <c r="C9400" s="21" t="s">
        <v>22655</v>
      </c>
      <c r="D9400" s="22">
        <v>46034</v>
      </c>
      <c r="E9400" s="23" t="s">
        <v>22656</v>
      </c>
      <c r="F9400" s="24" t="s">
        <v>22657</v>
      </c>
      <c r="G9400" s="25">
        <v>2</v>
      </c>
      <c r="H9400" s="26"/>
      <c r="I9400" s="27"/>
    </row>
    <row r="9401" spans="1:9" ht="15.75" thickBot="1" x14ac:dyDescent="0.3">
      <c r="A9401" s="43" t="s">
        <v>18999</v>
      </c>
      <c r="B9401" s="21" t="s">
        <v>19000</v>
      </c>
      <c r="C9401" s="21" t="s">
        <v>22682</v>
      </c>
      <c r="D9401" s="22">
        <v>46034</v>
      </c>
      <c r="E9401" s="23" t="s">
        <v>22658</v>
      </c>
      <c r="F9401" s="24" t="s">
        <v>22657</v>
      </c>
      <c r="G9401" s="25">
        <v>4</v>
      </c>
      <c r="H9401" s="29"/>
      <c r="I9401" s="30"/>
    </row>
    <row r="9402" spans="1:9" ht="15.75" thickBot="1" x14ac:dyDescent="0.3">
      <c r="A9402" s="43" t="s">
        <v>19001</v>
      </c>
      <c r="B9402" s="21" t="s">
        <v>19002</v>
      </c>
      <c r="C9402" s="21" t="s">
        <v>22682</v>
      </c>
      <c r="D9402" s="22">
        <v>46034</v>
      </c>
      <c r="E9402" s="23" t="s">
        <v>22658</v>
      </c>
      <c r="F9402" s="24" t="s">
        <v>22657</v>
      </c>
      <c r="G9402" s="25">
        <v>4</v>
      </c>
      <c r="H9402" s="26"/>
      <c r="I9402" s="27"/>
    </row>
    <row r="9403" spans="1:9" ht="15.75" thickBot="1" x14ac:dyDescent="0.3">
      <c r="A9403" s="43" t="s">
        <v>19003</v>
      </c>
      <c r="B9403" s="21" t="s">
        <v>19004</v>
      </c>
      <c r="C9403" s="21" t="s">
        <v>22655</v>
      </c>
      <c r="D9403" s="22">
        <v>46047</v>
      </c>
      <c r="E9403" s="23" t="s">
        <v>22656</v>
      </c>
      <c r="F9403" s="24" t="s">
        <v>22657</v>
      </c>
      <c r="G9403" s="25">
        <v>2</v>
      </c>
      <c r="H9403" s="29"/>
      <c r="I9403" s="30"/>
    </row>
    <row r="9404" spans="1:9" ht="15.75" thickBot="1" x14ac:dyDescent="0.3">
      <c r="A9404" s="43" t="s">
        <v>19005</v>
      </c>
      <c r="B9404" s="21" t="s">
        <v>19006</v>
      </c>
      <c r="C9404" s="21" t="s">
        <v>22655</v>
      </c>
      <c r="D9404" s="22">
        <v>46030</v>
      </c>
      <c r="E9404" s="23" t="s">
        <v>22656</v>
      </c>
      <c r="F9404" s="24" t="s">
        <v>22657</v>
      </c>
      <c r="G9404" s="25">
        <v>3</v>
      </c>
      <c r="H9404" s="26"/>
      <c r="I9404" s="27"/>
    </row>
    <row r="9405" spans="1:9" ht="15.75" thickBot="1" x14ac:dyDescent="0.3">
      <c r="A9405" s="43" t="s">
        <v>19007</v>
      </c>
      <c r="B9405" s="21" t="s">
        <v>19008</v>
      </c>
      <c r="C9405" s="21" t="s">
        <v>22663</v>
      </c>
      <c r="D9405" s="31">
        <v>1</v>
      </c>
      <c r="E9405" s="23" t="s">
        <v>22656</v>
      </c>
      <c r="F9405" s="24" t="s">
        <v>22657</v>
      </c>
      <c r="G9405" s="25">
        <v>9</v>
      </c>
      <c r="H9405" s="29"/>
      <c r="I9405" s="30"/>
    </row>
    <row r="9406" spans="1:9" ht="15.75" thickBot="1" x14ac:dyDescent="0.3">
      <c r="A9406" s="43" t="s">
        <v>19009</v>
      </c>
      <c r="B9406" s="21" t="s">
        <v>19010</v>
      </c>
      <c r="C9406" s="21" t="s">
        <v>22655</v>
      </c>
      <c r="D9406" s="22">
        <v>46032</v>
      </c>
      <c r="E9406" s="23" t="s">
        <v>22658</v>
      </c>
      <c r="F9406" s="24" t="s">
        <v>22657</v>
      </c>
      <c r="G9406" s="25">
        <v>4</v>
      </c>
      <c r="H9406" s="26"/>
      <c r="I9406" s="27"/>
    </row>
    <row r="9407" spans="1:9" ht="15.75" thickBot="1" x14ac:dyDescent="0.3">
      <c r="A9407" s="43" t="s">
        <v>19011</v>
      </c>
      <c r="B9407" s="21" t="s">
        <v>19012</v>
      </c>
      <c r="C9407" s="21" t="s">
        <v>22655</v>
      </c>
      <c r="D9407" s="22">
        <v>46042</v>
      </c>
      <c r="E9407" s="23" t="s">
        <v>22658</v>
      </c>
      <c r="F9407" s="24" t="s">
        <v>22657</v>
      </c>
      <c r="G9407" s="25">
        <v>7</v>
      </c>
      <c r="H9407" s="29"/>
      <c r="I9407" s="30"/>
    </row>
    <row r="9408" spans="1:9" ht="15.75" thickBot="1" x14ac:dyDescent="0.3">
      <c r="A9408" s="43" t="s">
        <v>19013</v>
      </c>
      <c r="B9408" s="21" t="s">
        <v>19014</v>
      </c>
      <c r="C9408" s="21" t="s">
        <v>22655</v>
      </c>
      <c r="D9408" s="22">
        <v>46042</v>
      </c>
      <c r="E9408" s="23" t="s">
        <v>22656</v>
      </c>
      <c r="F9408" s="24" t="s">
        <v>22657</v>
      </c>
      <c r="G9408" s="25">
        <v>7</v>
      </c>
      <c r="H9408" s="26"/>
      <c r="I9408" s="27"/>
    </row>
    <row r="9409" spans="1:9" ht="15.75" thickBot="1" x14ac:dyDescent="0.3">
      <c r="A9409" s="43" t="s">
        <v>19015</v>
      </c>
      <c r="B9409" s="21" t="s">
        <v>19016</v>
      </c>
      <c r="C9409" s="21" t="s">
        <v>22655</v>
      </c>
      <c r="D9409" s="22">
        <v>46042</v>
      </c>
      <c r="E9409" s="23" t="s">
        <v>22658</v>
      </c>
      <c r="F9409" s="24" t="s">
        <v>22657</v>
      </c>
      <c r="G9409" s="25">
        <v>7</v>
      </c>
      <c r="H9409" s="29"/>
      <c r="I9409" s="30"/>
    </row>
    <row r="9410" spans="1:9" ht="15.75" thickBot="1" x14ac:dyDescent="0.3">
      <c r="A9410" s="43" t="s">
        <v>19017</v>
      </c>
      <c r="B9410" s="21" t="s">
        <v>19018</v>
      </c>
      <c r="C9410" s="21" t="s">
        <v>22655</v>
      </c>
      <c r="D9410" s="22">
        <v>46030</v>
      </c>
      <c r="E9410" s="23" t="s">
        <v>22656</v>
      </c>
      <c r="F9410" s="24" t="s">
        <v>22657</v>
      </c>
      <c r="G9410" s="25">
        <v>3</v>
      </c>
      <c r="H9410" s="26"/>
      <c r="I9410" s="27"/>
    </row>
    <row r="9411" spans="1:9" ht="15.75" thickBot="1" x14ac:dyDescent="0.3">
      <c r="A9411" s="43" t="s">
        <v>19019</v>
      </c>
      <c r="B9411" s="21" t="s">
        <v>19020</v>
      </c>
      <c r="C9411" s="21" t="s">
        <v>22655</v>
      </c>
      <c r="D9411" s="22">
        <v>46042</v>
      </c>
      <c r="E9411" s="23" t="s">
        <v>22656</v>
      </c>
      <c r="F9411" s="24" t="s">
        <v>22657</v>
      </c>
      <c r="G9411" s="25">
        <v>7</v>
      </c>
      <c r="H9411" s="29"/>
      <c r="I9411" s="30"/>
    </row>
    <row r="9412" spans="1:9" ht="15.75" thickBot="1" x14ac:dyDescent="0.3">
      <c r="A9412" s="43" t="s">
        <v>22384</v>
      </c>
      <c r="B9412" s="21" t="s">
        <v>19020</v>
      </c>
      <c r="C9412" s="36" t="e">
        <v>#N/A</v>
      </c>
      <c r="D9412" s="37" t="e">
        <v>#N/A</v>
      </c>
      <c r="E9412" s="23" t="e">
        <v>#N/A</v>
      </c>
      <c r="F9412" s="24" t="s">
        <v>22657</v>
      </c>
      <c r="G9412" s="25" t="e">
        <v>#N/A</v>
      </c>
      <c r="H9412" s="26"/>
      <c r="I9412" s="27"/>
    </row>
    <row r="9413" spans="1:9" ht="15.75" thickBot="1" x14ac:dyDescent="0.3">
      <c r="A9413" s="43" t="s">
        <v>19021</v>
      </c>
      <c r="B9413" s="21" t="s">
        <v>19022</v>
      </c>
      <c r="C9413" s="21" t="s">
        <v>22663</v>
      </c>
      <c r="D9413" s="31">
        <v>1</v>
      </c>
      <c r="E9413" s="23" t="s">
        <v>22656</v>
      </c>
      <c r="F9413" s="24" t="s">
        <v>22657</v>
      </c>
      <c r="G9413" s="25">
        <v>7</v>
      </c>
      <c r="H9413" s="29"/>
      <c r="I9413" s="30"/>
    </row>
    <row r="9414" spans="1:9" ht="15.75" thickBot="1" x14ac:dyDescent="0.3">
      <c r="A9414" s="43" t="s">
        <v>19023</v>
      </c>
      <c r="B9414" s="21" t="s">
        <v>19024</v>
      </c>
      <c r="C9414" s="21" t="s">
        <v>22655</v>
      </c>
      <c r="D9414" s="22">
        <v>46042</v>
      </c>
      <c r="E9414" s="23" t="s">
        <v>22658</v>
      </c>
      <c r="F9414" s="24" t="s">
        <v>22657</v>
      </c>
      <c r="G9414" s="25">
        <v>7</v>
      </c>
      <c r="H9414" s="26"/>
      <c r="I9414" s="27"/>
    </row>
    <row r="9415" spans="1:9" ht="15.75" thickBot="1" x14ac:dyDescent="0.3">
      <c r="A9415" s="43" t="s">
        <v>19025</v>
      </c>
      <c r="B9415" s="21" t="s">
        <v>19026</v>
      </c>
      <c r="C9415" s="21" t="s">
        <v>22655</v>
      </c>
      <c r="D9415" s="22">
        <v>46042</v>
      </c>
      <c r="E9415" s="23" t="s">
        <v>22661</v>
      </c>
      <c r="F9415" s="24" t="s">
        <v>22657</v>
      </c>
      <c r="G9415" s="25">
        <v>9</v>
      </c>
      <c r="H9415" s="29"/>
      <c r="I9415" s="30"/>
    </row>
    <row r="9416" spans="1:9" ht="15.75" thickBot="1" x14ac:dyDescent="0.3">
      <c r="A9416" s="43" t="s">
        <v>19027</v>
      </c>
      <c r="B9416" s="21" t="s">
        <v>19028</v>
      </c>
      <c r="C9416" s="21" t="s">
        <v>22655</v>
      </c>
      <c r="D9416" s="22">
        <v>46042</v>
      </c>
      <c r="E9416" s="23" t="s">
        <v>22656</v>
      </c>
      <c r="F9416" s="24" t="s">
        <v>22657</v>
      </c>
      <c r="G9416" s="25">
        <v>7</v>
      </c>
      <c r="H9416" s="26"/>
      <c r="I9416" s="27"/>
    </row>
    <row r="9417" spans="1:9" ht="15.75" thickBot="1" x14ac:dyDescent="0.3">
      <c r="A9417" s="43" t="s">
        <v>19029</v>
      </c>
      <c r="B9417" s="21" t="s">
        <v>19030</v>
      </c>
      <c r="C9417" s="21" t="s">
        <v>22655</v>
      </c>
      <c r="D9417" s="22">
        <v>46042</v>
      </c>
      <c r="E9417" s="23" t="s">
        <v>22665</v>
      </c>
      <c r="F9417" s="24" t="s">
        <v>22657</v>
      </c>
      <c r="G9417" s="25">
        <v>7</v>
      </c>
      <c r="H9417" s="29"/>
      <c r="I9417" s="30"/>
    </row>
    <row r="9418" spans="1:9" ht="15.75" thickBot="1" x14ac:dyDescent="0.3">
      <c r="A9418" s="43" t="s">
        <v>19033</v>
      </c>
      <c r="B9418" s="21" t="s">
        <v>20089</v>
      </c>
      <c r="C9418" s="21" t="s">
        <v>22655</v>
      </c>
      <c r="D9418" s="22">
        <v>46042</v>
      </c>
      <c r="E9418" s="23" t="s">
        <v>22658</v>
      </c>
      <c r="F9418" s="24" t="s">
        <v>22657</v>
      </c>
      <c r="G9418" s="25">
        <v>7</v>
      </c>
      <c r="H9418" s="26"/>
      <c r="I9418" s="27"/>
    </row>
    <row r="9419" spans="1:9" ht="15.75" thickBot="1" x14ac:dyDescent="0.3">
      <c r="A9419" s="43" t="s">
        <v>19031</v>
      </c>
      <c r="B9419" s="21" t="s">
        <v>19032</v>
      </c>
      <c r="C9419" s="21" t="s">
        <v>22655</v>
      </c>
      <c r="D9419" s="22">
        <v>46042</v>
      </c>
      <c r="E9419" s="23" t="s">
        <v>22658</v>
      </c>
      <c r="F9419" s="24" t="s">
        <v>22657</v>
      </c>
      <c r="G9419" s="25">
        <v>7</v>
      </c>
      <c r="H9419" s="29"/>
      <c r="I9419" s="30"/>
    </row>
    <row r="9420" spans="1:9" ht="15.75" thickBot="1" x14ac:dyDescent="0.3">
      <c r="A9420" s="43" t="s">
        <v>19034</v>
      </c>
      <c r="B9420" s="21" t="s">
        <v>19035</v>
      </c>
      <c r="C9420" s="21" t="s">
        <v>22655</v>
      </c>
      <c r="D9420" s="22">
        <v>46047</v>
      </c>
      <c r="E9420" s="23" t="s">
        <v>22658</v>
      </c>
      <c r="F9420" s="24" t="s">
        <v>22657</v>
      </c>
      <c r="G9420" s="25">
        <v>7</v>
      </c>
      <c r="H9420" s="26"/>
      <c r="I9420" s="27"/>
    </row>
    <row r="9421" spans="1:9" ht="15.75" thickBot="1" x14ac:dyDescent="0.3">
      <c r="A9421" s="43" t="s">
        <v>19036</v>
      </c>
      <c r="B9421" s="21" t="s">
        <v>19037</v>
      </c>
      <c r="C9421" s="21" t="s">
        <v>22655</v>
      </c>
      <c r="D9421" s="22">
        <v>46042</v>
      </c>
      <c r="E9421" s="23" t="s">
        <v>22658</v>
      </c>
      <c r="F9421" s="24" t="s">
        <v>22657</v>
      </c>
      <c r="G9421" s="25">
        <v>7</v>
      </c>
      <c r="H9421" s="29"/>
      <c r="I9421" s="30"/>
    </row>
    <row r="9422" spans="1:9" ht="15.75" thickBot="1" x14ac:dyDescent="0.3">
      <c r="A9422" s="43" t="s">
        <v>19038</v>
      </c>
      <c r="B9422" s="21" t="s">
        <v>19039</v>
      </c>
      <c r="C9422" s="21" t="s">
        <v>22655</v>
      </c>
      <c r="D9422" s="22">
        <v>46042</v>
      </c>
      <c r="E9422" s="23" t="s">
        <v>22656</v>
      </c>
      <c r="F9422" s="24" t="s">
        <v>22657</v>
      </c>
      <c r="G9422" s="25">
        <v>7</v>
      </c>
      <c r="H9422" s="26"/>
      <c r="I9422" s="27"/>
    </row>
    <row r="9423" spans="1:9" ht="15.75" thickBot="1" x14ac:dyDescent="0.3">
      <c r="A9423" s="43" t="s">
        <v>19040</v>
      </c>
      <c r="B9423" s="21" t="s">
        <v>19041</v>
      </c>
      <c r="C9423" s="21" t="s">
        <v>22655</v>
      </c>
      <c r="D9423" s="22">
        <v>46042</v>
      </c>
      <c r="E9423" s="23" t="s">
        <v>22658</v>
      </c>
      <c r="F9423" s="24" t="s">
        <v>22657</v>
      </c>
      <c r="G9423" s="25">
        <v>7</v>
      </c>
      <c r="H9423" s="29"/>
      <c r="I9423" s="30"/>
    </row>
    <row r="9424" spans="1:9" ht="15.75" thickBot="1" x14ac:dyDescent="0.3">
      <c r="A9424" s="43" t="s">
        <v>19042</v>
      </c>
      <c r="B9424" s="21" t="s">
        <v>19043</v>
      </c>
      <c r="C9424" s="21" t="s">
        <v>22655</v>
      </c>
      <c r="D9424" s="22">
        <v>46042</v>
      </c>
      <c r="E9424" s="23" t="s">
        <v>22656</v>
      </c>
      <c r="F9424" s="24" t="s">
        <v>22657</v>
      </c>
      <c r="G9424" s="25">
        <v>7</v>
      </c>
      <c r="H9424" s="26"/>
      <c r="I9424" s="27"/>
    </row>
    <row r="9425" spans="1:9" ht="15.75" thickBot="1" x14ac:dyDescent="0.3">
      <c r="A9425" s="43" t="s">
        <v>19044</v>
      </c>
      <c r="B9425" s="21" t="s">
        <v>19045</v>
      </c>
      <c r="C9425" s="21" t="s">
        <v>22655</v>
      </c>
      <c r="D9425" s="22">
        <v>46042</v>
      </c>
      <c r="E9425" s="23" t="s">
        <v>22656</v>
      </c>
      <c r="F9425" s="24" t="s">
        <v>22657</v>
      </c>
      <c r="G9425" s="25">
        <v>7</v>
      </c>
      <c r="H9425" s="29"/>
      <c r="I9425" s="30"/>
    </row>
    <row r="9426" spans="1:9" ht="15.75" thickBot="1" x14ac:dyDescent="0.3">
      <c r="A9426" s="43" t="s">
        <v>19046</v>
      </c>
      <c r="B9426" s="21" t="s">
        <v>19047</v>
      </c>
      <c r="C9426" s="21" t="s">
        <v>22682</v>
      </c>
      <c r="D9426" s="22">
        <v>46034</v>
      </c>
      <c r="E9426" s="23" t="s">
        <v>22658</v>
      </c>
      <c r="F9426" s="24" t="s">
        <v>22657</v>
      </c>
      <c r="G9426" s="25">
        <v>4</v>
      </c>
      <c r="H9426" s="26"/>
      <c r="I9426" s="27"/>
    </row>
    <row r="9427" spans="1:9" ht="15.75" thickBot="1" x14ac:dyDescent="0.3">
      <c r="A9427" s="43" t="s">
        <v>19048</v>
      </c>
      <c r="B9427" s="21" t="s">
        <v>19049</v>
      </c>
      <c r="C9427" s="21" t="s">
        <v>22682</v>
      </c>
      <c r="D9427" s="22">
        <v>46034</v>
      </c>
      <c r="E9427" s="23" t="s">
        <v>22658</v>
      </c>
      <c r="F9427" s="24" t="s">
        <v>22657</v>
      </c>
      <c r="G9427" s="25">
        <v>4</v>
      </c>
      <c r="H9427" s="29"/>
      <c r="I9427" s="30"/>
    </row>
    <row r="9428" spans="1:9" ht="15.75" thickBot="1" x14ac:dyDescent="0.3">
      <c r="A9428" s="43" t="s">
        <v>19050</v>
      </c>
      <c r="B9428" s="21" t="s">
        <v>19051</v>
      </c>
      <c r="C9428" s="21" t="s">
        <v>22682</v>
      </c>
      <c r="D9428" s="22">
        <v>46034</v>
      </c>
      <c r="E9428" s="23" t="s">
        <v>22658</v>
      </c>
      <c r="F9428" s="24" t="s">
        <v>22657</v>
      </c>
      <c r="G9428" s="25">
        <v>4</v>
      </c>
      <c r="H9428" s="26"/>
      <c r="I9428" s="27"/>
    </row>
    <row r="9429" spans="1:9" ht="15.75" thickBot="1" x14ac:dyDescent="0.3">
      <c r="A9429" s="43" t="s">
        <v>19052</v>
      </c>
      <c r="B9429" s="21" t="s">
        <v>19053</v>
      </c>
      <c r="C9429" s="21" t="s">
        <v>22682</v>
      </c>
      <c r="D9429" s="22">
        <v>46034</v>
      </c>
      <c r="E9429" s="23" t="s">
        <v>22658</v>
      </c>
      <c r="F9429" s="24" t="s">
        <v>22657</v>
      </c>
      <c r="G9429" s="25">
        <v>4</v>
      </c>
      <c r="H9429" s="29"/>
      <c r="I9429" s="30"/>
    </row>
    <row r="9430" spans="1:9" ht="15.75" thickBot="1" x14ac:dyDescent="0.3">
      <c r="A9430" s="43" t="s">
        <v>19054</v>
      </c>
      <c r="B9430" s="21" t="s">
        <v>19055</v>
      </c>
      <c r="C9430" s="21" t="s">
        <v>22682</v>
      </c>
      <c r="D9430" s="22">
        <v>46034</v>
      </c>
      <c r="E9430" s="23" t="s">
        <v>22658</v>
      </c>
      <c r="F9430" s="24" t="s">
        <v>22657</v>
      </c>
      <c r="G9430" s="25">
        <v>4</v>
      </c>
      <c r="H9430" s="26"/>
      <c r="I9430" s="27"/>
    </row>
    <row r="9431" spans="1:9" ht="15.75" thickBot="1" x14ac:dyDescent="0.3">
      <c r="A9431" s="43" t="s">
        <v>19056</v>
      </c>
      <c r="B9431" s="21" t="s">
        <v>19057</v>
      </c>
      <c r="C9431" s="21" t="s">
        <v>22663</v>
      </c>
      <c r="D9431" s="31">
        <v>1</v>
      </c>
      <c r="E9431" s="23" t="s">
        <v>22658</v>
      </c>
      <c r="F9431" s="24" t="s">
        <v>22657</v>
      </c>
      <c r="G9431" s="25">
        <v>4</v>
      </c>
      <c r="H9431" s="29"/>
      <c r="I9431" s="30"/>
    </row>
    <row r="9432" spans="1:9" ht="15.75" thickBot="1" x14ac:dyDescent="0.3">
      <c r="A9432" s="43" t="s">
        <v>19058</v>
      </c>
      <c r="B9432" s="21" t="s">
        <v>19059</v>
      </c>
      <c r="C9432" s="21" t="s">
        <v>22682</v>
      </c>
      <c r="D9432" s="22">
        <v>46034</v>
      </c>
      <c r="E9432" s="23" t="s">
        <v>22658</v>
      </c>
      <c r="F9432" s="24" t="s">
        <v>22657</v>
      </c>
      <c r="G9432" s="25">
        <v>4</v>
      </c>
      <c r="H9432" s="26"/>
      <c r="I9432" s="27"/>
    </row>
    <row r="9433" spans="1:9" ht="15.75" thickBot="1" x14ac:dyDescent="0.3">
      <c r="A9433" s="43" t="s">
        <v>19060</v>
      </c>
      <c r="B9433" s="21" t="s">
        <v>19061</v>
      </c>
      <c r="C9433" s="21" t="s">
        <v>22663</v>
      </c>
      <c r="D9433" s="31">
        <v>1</v>
      </c>
      <c r="E9433" s="23" t="s">
        <v>22658</v>
      </c>
      <c r="F9433" s="24" t="s">
        <v>22657</v>
      </c>
      <c r="G9433" s="25">
        <v>4</v>
      </c>
      <c r="H9433" s="29"/>
      <c r="I9433" s="30"/>
    </row>
    <row r="9434" spans="1:9" ht="15.75" thickBot="1" x14ac:dyDescent="0.3">
      <c r="A9434" s="43" t="s">
        <v>19062</v>
      </c>
      <c r="B9434" s="21" t="s">
        <v>19063</v>
      </c>
      <c r="C9434" s="21" t="s">
        <v>22663</v>
      </c>
      <c r="D9434" s="31">
        <v>1</v>
      </c>
      <c r="E9434" s="23" t="s">
        <v>22658</v>
      </c>
      <c r="F9434" s="24" t="s">
        <v>22657</v>
      </c>
      <c r="G9434" s="25">
        <v>4</v>
      </c>
      <c r="H9434" s="26"/>
      <c r="I9434" s="27"/>
    </row>
    <row r="9435" spans="1:9" ht="15.75" thickBot="1" x14ac:dyDescent="0.3">
      <c r="A9435" s="43" t="s">
        <v>19064</v>
      </c>
      <c r="B9435" s="21" t="s">
        <v>19065</v>
      </c>
      <c r="C9435" s="21" t="s">
        <v>22663</v>
      </c>
      <c r="D9435" s="31">
        <v>1</v>
      </c>
      <c r="E9435" s="23" t="s">
        <v>22656</v>
      </c>
      <c r="F9435" s="24" t="s">
        <v>22657</v>
      </c>
      <c r="G9435" s="25">
        <v>4</v>
      </c>
      <c r="H9435" s="29"/>
      <c r="I9435" s="30"/>
    </row>
    <row r="9436" spans="1:9" ht="15.75" thickBot="1" x14ac:dyDescent="0.3">
      <c r="A9436" s="43" t="s">
        <v>19066</v>
      </c>
      <c r="B9436" s="21" t="s">
        <v>19067</v>
      </c>
      <c r="C9436" s="21" t="s">
        <v>22682</v>
      </c>
      <c r="D9436" s="22">
        <v>46034</v>
      </c>
      <c r="E9436" s="23" t="s">
        <v>22658</v>
      </c>
      <c r="F9436" s="24" t="s">
        <v>22657</v>
      </c>
      <c r="G9436" s="25">
        <v>4</v>
      </c>
      <c r="H9436" s="26"/>
      <c r="I9436" s="27"/>
    </row>
    <row r="9437" spans="1:9" ht="15.75" thickBot="1" x14ac:dyDescent="0.3">
      <c r="A9437" s="43" t="s">
        <v>19068</v>
      </c>
      <c r="B9437" s="21" t="s">
        <v>19069</v>
      </c>
      <c r="C9437" s="21" t="s">
        <v>22663</v>
      </c>
      <c r="D9437" s="31">
        <v>1</v>
      </c>
      <c r="E9437" s="23" t="s">
        <v>22658</v>
      </c>
      <c r="F9437" s="24" t="s">
        <v>22657</v>
      </c>
      <c r="G9437" s="25">
        <v>4</v>
      </c>
      <c r="H9437" s="29"/>
      <c r="I9437" s="30"/>
    </row>
    <row r="9438" spans="1:9" ht="15.75" thickBot="1" x14ac:dyDescent="0.3">
      <c r="A9438" s="43" t="s">
        <v>19070</v>
      </c>
      <c r="B9438" s="21" t="s">
        <v>19071</v>
      </c>
      <c r="C9438" s="21" t="s">
        <v>22682</v>
      </c>
      <c r="D9438" s="22">
        <v>46034</v>
      </c>
      <c r="E9438" s="23" t="s">
        <v>22658</v>
      </c>
      <c r="F9438" s="24" t="s">
        <v>22657</v>
      </c>
      <c r="G9438" s="25">
        <v>4</v>
      </c>
      <c r="H9438" s="26"/>
      <c r="I9438" s="27"/>
    </row>
    <row r="9439" spans="1:9" ht="15.75" thickBot="1" x14ac:dyDescent="0.3">
      <c r="A9439" s="43" t="s">
        <v>19072</v>
      </c>
      <c r="B9439" s="21" t="s">
        <v>19073</v>
      </c>
      <c r="C9439" s="21" t="s">
        <v>22663</v>
      </c>
      <c r="D9439" s="31">
        <v>1</v>
      </c>
      <c r="E9439" s="23" t="s">
        <v>22658</v>
      </c>
      <c r="F9439" s="24" t="s">
        <v>22657</v>
      </c>
      <c r="G9439" s="25">
        <v>4</v>
      </c>
      <c r="H9439" s="29"/>
      <c r="I9439" s="30"/>
    </row>
    <row r="9440" spans="1:9" ht="15.75" thickBot="1" x14ac:dyDescent="0.3">
      <c r="A9440" s="43" t="s">
        <v>19074</v>
      </c>
      <c r="B9440" s="21" t="s">
        <v>19075</v>
      </c>
      <c r="C9440" s="21" t="s">
        <v>22682</v>
      </c>
      <c r="D9440" s="22">
        <v>46034</v>
      </c>
      <c r="E9440" s="23" t="s">
        <v>22658</v>
      </c>
      <c r="F9440" s="24" t="s">
        <v>22657</v>
      </c>
      <c r="G9440" s="25">
        <v>4</v>
      </c>
      <c r="H9440" s="26"/>
      <c r="I9440" s="27"/>
    </row>
    <row r="9441" spans="1:9" ht="15.75" thickBot="1" x14ac:dyDescent="0.3">
      <c r="A9441" s="43" t="s">
        <v>19076</v>
      </c>
      <c r="B9441" s="21" t="s">
        <v>19077</v>
      </c>
      <c r="C9441" s="21" t="s">
        <v>22663</v>
      </c>
      <c r="D9441" s="31">
        <v>1</v>
      </c>
      <c r="E9441" s="23" t="s">
        <v>22658</v>
      </c>
      <c r="F9441" s="24" t="s">
        <v>22657</v>
      </c>
      <c r="G9441" s="25">
        <v>4</v>
      </c>
      <c r="H9441" s="29"/>
      <c r="I9441" s="30"/>
    </row>
    <row r="9442" spans="1:9" ht="15.75" thickBot="1" x14ac:dyDescent="0.3">
      <c r="A9442" s="43" t="s">
        <v>19078</v>
      </c>
      <c r="B9442" s="21" t="s">
        <v>19079</v>
      </c>
      <c r="C9442" s="21" t="s">
        <v>22682</v>
      </c>
      <c r="D9442" s="22">
        <v>46034</v>
      </c>
      <c r="E9442" s="23" t="s">
        <v>22658</v>
      </c>
      <c r="F9442" s="24" t="s">
        <v>22657</v>
      </c>
      <c r="G9442" s="25">
        <v>4</v>
      </c>
      <c r="H9442" s="26"/>
      <c r="I9442" s="27"/>
    </row>
    <row r="9443" spans="1:9" ht="15.75" thickBot="1" x14ac:dyDescent="0.3">
      <c r="A9443" s="43" t="s">
        <v>19080</v>
      </c>
      <c r="B9443" s="21" t="s">
        <v>19081</v>
      </c>
      <c r="C9443" s="21" t="s">
        <v>22682</v>
      </c>
      <c r="D9443" s="22">
        <v>46034</v>
      </c>
      <c r="E9443" s="23" t="s">
        <v>22658</v>
      </c>
      <c r="F9443" s="24" t="s">
        <v>22657</v>
      </c>
      <c r="G9443" s="25">
        <v>4</v>
      </c>
      <c r="H9443" s="29"/>
      <c r="I9443" s="30"/>
    </row>
    <row r="9444" spans="1:9" ht="15.75" thickBot="1" x14ac:dyDescent="0.3">
      <c r="A9444" s="43" t="s">
        <v>19082</v>
      </c>
      <c r="B9444" s="21" t="s">
        <v>19083</v>
      </c>
      <c r="C9444" s="21" t="s">
        <v>22663</v>
      </c>
      <c r="D9444" s="31">
        <v>1</v>
      </c>
      <c r="E9444" s="23" t="s">
        <v>22658</v>
      </c>
      <c r="F9444" s="24" t="s">
        <v>22657</v>
      </c>
      <c r="G9444" s="25">
        <v>4</v>
      </c>
      <c r="H9444" s="26"/>
      <c r="I9444" s="27"/>
    </row>
    <row r="9445" spans="1:9" ht="15.75" thickBot="1" x14ac:dyDescent="0.3">
      <c r="A9445" s="43" t="s">
        <v>19084</v>
      </c>
      <c r="B9445" s="21" t="s">
        <v>19085</v>
      </c>
      <c r="C9445" s="21" t="s">
        <v>22682</v>
      </c>
      <c r="D9445" s="22">
        <v>46034</v>
      </c>
      <c r="E9445" s="23" t="s">
        <v>22658</v>
      </c>
      <c r="F9445" s="24" t="s">
        <v>22657</v>
      </c>
      <c r="G9445" s="25">
        <v>4</v>
      </c>
      <c r="H9445" s="29"/>
      <c r="I9445" s="30"/>
    </row>
    <row r="9446" spans="1:9" ht="15.75" thickBot="1" x14ac:dyDescent="0.3">
      <c r="A9446" s="43" t="s">
        <v>19086</v>
      </c>
      <c r="B9446" s="21" t="s">
        <v>19087</v>
      </c>
      <c r="C9446" s="21" t="s">
        <v>22663</v>
      </c>
      <c r="D9446" s="31">
        <v>1</v>
      </c>
      <c r="E9446" s="23" t="s">
        <v>22658</v>
      </c>
      <c r="F9446" s="24" t="s">
        <v>22657</v>
      </c>
      <c r="G9446" s="25">
        <v>4</v>
      </c>
      <c r="H9446" s="26"/>
      <c r="I9446" s="27"/>
    </row>
    <row r="9447" spans="1:9" ht="15.75" thickBot="1" x14ac:dyDescent="0.3">
      <c r="A9447" s="43" t="s">
        <v>19088</v>
      </c>
      <c r="B9447" s="21" t="s">
        <v>19089</v>
      </c>
      <c r="C9447" s="21" t="s">
        <v>22682</v>
      </c>
      <c r="D9447" s="22">
        <v>46034</v>
      </c>
      <c r="E9447" s="23" t="s">
        <v>22658</v>
      </c>
      <c r="F9447" s="24" t="s">
        <v>22657</v>
      </c>
      <c r="G9447" s="25">
        <v>4</v>
      </c>
      <c r="H9447" s="29"/>
      <c r="I9447" s="30"/>
    </row>
    <row r="9448" spans="1:9" ht="15.75" thickBot="1" x14ac:dyDescent="0.3">
      <c r="A9448" s="43" t="s">
        <v>19090</v>
      </c>
      <c r="B9448" s="21" t="s">
        <v>19091</v>
      </c>
      <c r="C9448" s="21" t="s">
        <v>22682</v>
      </c>
      <c r="D9448" s="22">
        <v>46034</v>
      </c>
      <c r="E9448" s="23" t="s">
        <v>22658</v>
      </c>
      <c r="F9448" s="24" t="s">
        <v>22657</v>
      </c>
      <c r="G9448" s="25">
        <v>4</v>
      </c>
      <c r="H9448" s="26"/>
      <c r="I9448" s="27"/>
    </row>
    <row r="9449" spans="1:9" ht="15.75" thickBot="1" x14ac:dyDescent="0.3">
      <c r="A9449" s="43" t="s">
        <v>19092</v>
      </c>
      <c r="B9449" s="21" t="s">
        <v>19093</v>
      </c>
      <c r="C9449" s="21" t="s">
        <v>22663</v>
      </c>
      <c r="D9449" s="31">
        <v>1</v>
      </c>
      <c r="E9449" s="23" t="s">
        <v>22658</v>
      </c>
      <c r="F9449" s="24" t="s">
        <v>22657</v>
      </c>
      <c r="G9449" s="25">
        <v>4</v>
      </c>
      <c r="H9449" s="29"/>
      <c r="I9449" s="30"/>
    </row>
    <row r="9450" spans="1:9" ht="15.75" thickBot="1" x14ac:dyDescent="0.3">
      <c r="A9450" s="43" t="s">
        <v>19094</v>
      </c>
      <c r="B9450" s="21" t="s">
        <v>19095</v>
      </c>
      <c r="C9450" s="21" t="s">
        <v>22682</v>
      </c>
      <c r="D9450" s="22">
        <v>46034</v>
      </c>
      <c r="E9450" s="23" t="s">
        <v>22658</v>
      </c>
      <c r="F9450" s="24" t="s">
        <v>22657</v>
      </c>
      <c r="G9450" s="25">
        <v>4</v>
      </c>
      <c r="H9450" s="26"/>
      <c r="I9450" s="27"/>
    </row>
    <row r="9451" spans="1:9" ht="15.75" thickBot="1" x14ac:dyDescent="0.3">
      <c r="A9451" s="43" t="s">
        <v>19096</v>
      </c>
      <c r="B9451" s="21" t="s">
        <v>19097</v>
      </c>
      <c r="C9451" s="21" t="s">
        <v>22663</v>
      </c>
      <c r="D9451" s="31">
        <v>1</v>
      </c>
      <c r="E9451" s="23" t="s">
        <v>22656</v>
      </c>
      <c r="F9451" s="24" t="s">
        <v>22657</v>
      </c>
      <c r="G9451" s="25">
        <v>4</v>
      </c>
      <c r="H9451" s="29"/>
      <c r="I9451" s="30"/>
    </row>
    <row r="9452" spans="1:9" ht="15.75" thickBot="1" x14ac:dyDescent="0.3">
      <c r="A9452" s="43" t="s">
        <v>19098</v>
      </c>
      <c r="B9452" s="21" t="s">
        <v>19099</v>
      </c>
      <c r="C9452" s="21" t="s">
        <v>22682</v>
      </c>
      <c r="D9452" s="22">
        <v>46034</v>
      </c>
      <c r="E9452" s="23" t="s">
        <v>22658</v>
      </c>
      <c r="F9452" s="24" t="s">
        <v>22657</v>
      </c>
      <c r="G9452" s="25">
        <v>4</v>
      </c>
      <c r="H9452" s="26"/>
      <c r="I9452" s="27"/>
    </row>
    <row r="9453" spans="1:9" ht="15.75" thickBot="1" x14ac:dyDescent="0.3">
      <c r="A9453" s="43" t="s">
        <v>19100</v>
      </c>
      <c r="B9453" s="21" t="s">
        <v>19101</v>
      </c>
      <c r="C9453" s="21" t="s">
        <v>22663</v>
      </c>
      <c r="D9453" s="31">
        <v>1</v>
      </c>
      <c r="E9453" s="23" t="s">
        <v>22656</v>
      </c>
      <c r="F9453" s="24" t="s">
        <v>22657</v>
      </c>
      <c r="G9453" s="25">
        <v>4</v>
      </c>
      <c r="H9453" s="29"/>
      <c r="I9453" s="30"/>
    </row>
    <row r="9454" spans="1:9" ht="15.75" thickBot="1" x14ac:dyDescent="0.3">
      <c r="A9454" s="43" t="s">
        <v>19102</v>
      </c>
      <c r="B9454" s="21" t="s">
        <v>19103</v>
      </c>
      <c r="C9454" s="21" t="s">
        <v>22663</v>
      </c>
      <c r="D9454" s="31">
        <v>1</v>
      </c>
      <c r="E9454" s="23" t="s">
        <v>22658</v>
      </c>
      <c r="F9454" s="24" t="s">
        <v>22657</v>
      </c>
      <c r="G9454" s="25">
        <v>4</v>
      </c>
      <c r="H9454" s="26"/>
      <c r="I9454" s="27"/>
    </row>
    <row r="9455" spans="1:9" ht="15.75" thickBot="1" x14ac:dyDescent="0.3">
      <c r="A9455" s="43" t="s">
        <v>19104</v>
      </c>
      <c r="B9455" s="21" t="s">
        <v>19105</v>
      </c>
      <c r="C9455" s="21" t="s">
        <v>22663</v>
      </c>
      <c r="D9455" s="31">
        <v>1</v>
      </c>
      <c r="E9455" s="23" t="s">
        <v>22658</v>
      </c>
      <c r="F9455" s="24" t="s">
        <v>22657</v>
      </c>
      <c r="G9455" s="25">
        <v>4</v>
      </c>
      <c r="H9455" s="29"/>
      <c r="I9455" s="30"/>
    </row>
    <row r="9456" spans="1:9" ht="15.75" thickBot="1" x14ac:dyDescent="0.3">
      <c r="A9456" s="43" t="s">
        <v>19106</v>
      </c>
      <c r="B9456" s="21" t="s">
        <v>19107</v>
      </c>
      <c r="C9456" s="21" t="s">
        <v>22663</v>
      </c>
      <c r="D9456" s="31">
        <v>1</v>
      </c>
      <c r="E9456" s="23" t="s">
        <v>22658</v>
      </c>
      <c r="F9456" s="24" t="s">
        <v>22657</v>
      </c>
      <c r="G9456" s="25">
        <v>4</v>
      </c>
      <c r="H9456" s="26"/>
      <c r="I9456" s="27"/>
    </row>
    <row r="9457" spans="1:9" ht="15.75" thickBot="1" x14ac:dyDescent="0.3">
      <c r="A9457" s="43" t="s">
        <v>19108</v>
      </c>
      <c r="B9457" s="21" t="s">
        <v>19109</v>
      </c>
      <c r="C9457" s="21" t="s">
        <v>22663</v>
      </c>
      <c r="D9457" s="31">
        <v>1</v>
      </c>
      <c r="E9457" s="23" t="s">
        <v>22658</v>
      </c>
      <c r="F9457" s="24" t="s">
        <v>22657</v>
      </c>
      <c r="G9457" s="25">
        <v>4</v>
      </c>
      <c r="H9457" s="29"/>
      <c r="I9457" s="30"/>
    </row>
    <row r="9458" spans="1:9" ht="15.75" thickBot="1" x14ac:dyDescent="0.3">
      <c r="A9458" s="43" t="s">
        <v>19110</v>
      </c>
      <c r="B9458" s="21" t="s">
        <v>19111</v>
      </c>
      <c r="C9458" s="21" t="s">
        <v>22663</v>
      </c>
      <c r="D9458" s="31">
        <v>1</v>
      </c>
      <c r="E9458" s="23" t="s">
        <v>22658</v>
      </c>
      <c r="F9458" s="24" t="s">
        <v>22657</v>
      </c>
      <c r="G9458" s="25">
        <v>4</v>
      </c>
      <c r="H9458" s="26"/>
      <c r="I9458" s="27"/>
    </row>
    <row r="9459" spans="1:9" ht="15.75" thickBot="1" x14ac:dyDescent="0.3">
      <c r="A9459" s="43" t="s">
        <v>19112</v>
      </c>
      <c r="B9459" s="21" t="s">
        <v>19113</v>
      </c>
      <c r="C9459" s="21" t="s">
        <v>22663</v>
      </c>
      <c r="D9459" s="31">
        <v>1</v>
      </c>
      <c r="E9459" s="23" t="s">
        <v>22656</v>
      </c>
      <c r="F9459" s="24" t="s">
        <v>22657</v>
      </c>
      <c r="G9459" s="25">
        <v>4</v>
      </c>
      <c r="H9459" s="29"/>
      <c r="I9459" s="30"/>
    </row>
    <row r="9460" spans="1:9" ht="15.75" thickBot="1" x14ac:dyDescent="0.3">
      <c r="A9460" s="43" t="s">
        <v>19114</v>
      </c>
      <c r="B9460" s="21" t="s">
        <v>19115</v>
      </c>
      <c r="C9460" s="21" t="s">
        <v>22663</v>
      </c>
      <c r="D9460" s="31">
        <v>1</v>
      </c>
      <c r="E9460" s="23" t="s">
        <v>22658</v>
      </c>
      <c r="F9460" s="24" t="s">
        <v>22657</v>
      </c>
      <c r="G9460" s="25">
        <v>4</v>
      </c>
      <c r="H9460" s="26"/>
      <c r="I9460" s="27"/>
    </row>
    <row r="9461" spans="1:9" ht="15.75" thickBot="1" x14ac:dyDescent="0.3">
      <c r="A9461" s="43" t="s">
        <v>19116</v>
      </c>
      <c r="B9461" s="21" t="s">
        <v>19117</v>
      </c>
      <c r="C9461" s="21" t="s">
        <v>22663</v>
      </c>
      <c r="D9461" s="31">
        <v>1</v>
      </c>
      <c r="E9461" s="23" t="s">
        <v>22656</v>
      </c>
      <c r="F9461" s="24" t="s">
        <v>22657</v>
      </c>
      <c r="G9461" s="25">
        <v>4</v>
      </c>
      <c r="H9461" s="29"/>
      <c r="I9461" s="30"/>
    </row>
    <row r="9462" spans="1:9" ht="15.75" thickBot="1" x14ac:dyDescent="0.3">
      <c r="A9462" s="43" t="s">
        <v>19118</v>
      </c>
      <c r="B9462" s="21" t="s">
        <v>19119</v>
      </c>
      <c r="C9462" s="21" t="s">
        <v>22663</v>
      </c>
      <c r="D9462" s="31">
        <v>1</v>
      </c>
      <c r="E9462" s="23" t="s">
        <v>22658</v>
      </c>
      <c r="F9462" s="24" t="s">
        <v>22657</v>
      </c>
      <c r="G9462" s="25">
        <v>4</v>
      </c>
      <c r="H9462" s="26"/>
      <c r="I9462" s="27"/>
    </row>
    <row r="9463" spans="1:9" ht="15.75" thickBot="1" x14ac:dyDescent="0.3">
      <c r="A9463" s="43" t="s">
        <v>19120</v>
      </c>
      <c r="B9463" s="21" t="s">
        <v>19121</v>
      </c>
      <c r="C9463" s="21" t="s">
        <v>22682</v>
      </c>
      <c r="D9463" s="22">
        <v>46034</v>
      </c>
      <c r="E9463" s="23" t="s">
        <v>22658</v>
      </c>
      <c r="F9463" s="24" t="s">
        <v>22657</v>
      </c>
      <c r="G9463" s="25">
        <v>4</v>
      </c>
      <c r="H9463" s="29"/>
      <c r="I9463" s="30"/>
    </row>
    <row r="9464" spans="1:9" ht="15.75" thickBot="1" x14ac:dyDescent="0.3">
      <c r="A9464" s="43" t="s">
        <v>19122</v>
      </c>
      <c r="B9464" s="21" t="s">
        <v>19123</v>
      </c>
      <c r="C9464" s="21" t="s">
        <v>22663</v>
      </c>
      <c r="D9464" s="31">
        <v>1</v>
      </c>
      <c r="E9464" s="23" t="s">
        <v>22656</v>
      </c>
      <c r="F9464" s="24" t="s">
        <v>22657</v>
      </c>
      <c r="G9464" s="25">
        <v>4</v>
      </c>
      <c r="H9464" s="26"/>
      <c r="I9464" s="27"/>
    </row>
    <row r="9465" spans="1:9" ht="15.75" thickBot="1" x14ac:dyDescent="0.3">
      <c r="A9465" s="43" t="s">
        <v>19124</v>
      </c>
      <c r="B9465" s="21" t="s">
        <v>19125</v>
      </c>
      <c r="C9465" s="21" t="s">
        <v>22682</v>
      </c>
      <c r="D9465" s="22">
        <v>46034</v>
      </c>
      <c r="E9465" s="23" t="s">
        <v>22658</v>
      </c>
      <c r="F9465" s="24" t="s">
        <v>22657</v>
      </c>
      <c r="G9465" s="25">
        <v>4</v>
      </c>
      <c r="H9465" s="29"/>
      <c r="I9465" s="30"/>
    </row>
    <row r="9466" spans="1:9" ht="15.75" thickBot="1" x14ac:dyDescent="0.3">
      <c r="A9466" s="43" t="s">
        <v>19126</v>
      </c>
      <c r="B9466" s="21" t="s">
        <v>19127</v>
      </c>
      <c r="C9466" s="21" t="s">
        <v>22682</v>
      </c>
      <c r="D9466" s="22">
        <v>46034</v>
      </c>
      <c r="E9466" s="23" t="s">
        <v>22658</v>
      </c>
      <c r="F9466" s="24" t="s">
        <v>22657</v>
      </c>
      <c r="G9466" s="25">
        <v>4</v>
      </c>
      <c r="H9466" s="26"/>
      <c r="I9466" s="27"/>
    </row>
    <row r="9467" spans="1:9" ht="15.75" thickBot="1" x14ac:dyDescent="0.3">
      <c r="A9467" s="43" t="s">
        <v>19128</v>
      </c>
      <c r="B9467" s="21" t="s">
        <v>19129</v>
      </c>
      <c r="C9467" s="21" t="s">
        <v>22663</v>
      </c>
      <c r="D9467" s="31">
        <v>1</v>
      </c>
      <c r="E9467" s="23" t="s">
        <v>22658</v>
      </c>
      <c r="F9467" s="24" t="s">
        <v>22657</v>
      </c>
      <c r="G9467" s="25">
        <v>4</v>
      </c>
      <c r="H9467" s="29"/>
      <c r="I9467" s="30"/>
    </row>
    <row r="9468" spans="1:9" ht="15.75" thickBot="1" x14ac:dyDescent="0.3">
      <c r="A9468" s="43" t="s">
        <v>19130</v>
      </c>
      <c r="B9468" s="21" t="s">
        <v>19131</v>
      </c>
      <c r="C9468" s="21" t="s">
        <v>22663</v>
      </c>
      <c r="D9468" s="31">
        <v>1</v>
      </c>
      <c r="E9468" s="23" t="s">
        <v>22658</v>
      </c>
      <c r="F9468" s="24" t="s">
        <v>22657</v>
      </c>
      <c r="G9468" s="25">
        <v>4</v>
      </c>
      <c r="H9468" s="26"/>
      <c r="I9468" s="27"/>
    </row>
    <row r="9469" spans="1:9" ht="15.75" thickBot="1" x14ac:dyDescent="0.3">
      <c r="A9469" s="43" t="s">
        <v>19132</v>
      </c>
      <c r="B9469" s="21" t="s">
        <v>19133</v>
      </c>
      <c r="C9469" s="21" t="s">
        <v>22682</v>
      </c>
      <c r="D9469" s="22">
        <v>46034</v>
      </c>
      <c r="E9469" s="23" t="s">
        <v>22658</v>
      </c>
      <c r="F9469" s="24" t="s">
        <v>22657</v>
      </c>
      <c r="G9469" s="25">
        <v>4</v>
      </c>
      <c r="H9469" s="29"/>
      <c r="I9469" s="30"/>
    </row>
    <row r="9470" spans="1:9" ht="15.75" thickBot="1" x14ac:dyDescent="0.3">
      <c r="A9470" s="43" t="s">
        <v>19134</v>
      </c>
      <c r="B9470" s="21" t="s">
        <v>19135</v>
      </c>
      <c r="C9470" s="21" t="s">
        <v>22682</v>
      </c>
      <c r="D9470" s="22">
        <v>46034</v>
      </c>
      <c r="E9470" s="23" t="s">
        <v>22658</v>
      </c>
      <c r="F9470" s="24" t="s">
        <v>22657</v>
      </c>
      <c r="G9470" s="25">
        <v>4</v>
      </c>
      <c r="H9470" s="26"/>
      <c r="I9470" s="27"/>
    </row>
    <row r="9471" spans="1:9" ht="15.75" thickBot="1" x14ac:dyDescent="0.3">
      <c r="A9471" s="43" t="s">
        <v>19136</v>
      </c>
      <c r="B9471" s="21" t="s">
        <v>19137</v>
      </c>
      <c r="C9471" s="21" t="s">
        <v>22663</v>
      </c>
      <c r="D9471" s="31">
        <v>1</v>
      </c>
      <c r="E9471" s="23" t="s">
        <v>22658</v>
      </c>
      <c r="F9471" s="24" t="s">
        <v>22657</v>
      </c>
      <c r="G9471" s="25">
        <v>4</v>
      </c>
      <c r="H9471" s="29"/>
      <c r="I9471" s="30"/>
    </row>
    <row r="9472" spans="1:9" ht="15.75" thickBot="1" x14ac:dyDescent="0.3">
      <c r="A9472" s="43" t="s">
        <v>19138</v>
      </c>
      <c r="B9472" s="21" t="s">
        <v>19139</v>
      </c>
      <c r="C9472" s="21" t="s">
        <v>22682</v>
      </c>
      <c r="D9472" s="22">
        <v>46034</v>
      </c>
      <c r="E9472" s="23" t="s">
        <v>22658</v>
      </c>
      <c r="F9472" s="24" t="s">
        <v>22657</v>
      </c>
      <c r="G9472" s="25">
        <v>4</v>
      </c>
      <c r="H9472" s="26"/>
      <c r="I9472" s="27"/>
    </row>
    <row r="9473" spans="1:9" ht="15.75" thickBot="1" x14ac:dyDescent="0.3">
      <c r="A9473" s="43" t="s">
        <v>19140</v>
      </c>
      <c r="B9473" s="21" t="s">
        <v>19141</v>
      </c>
      <c r="C9473" s="21" t="s">
        <v>22663</v>
      </c>
      <c r="D9473" s="31">
        <v>1</v>
      </c>
      <c r="E9473" s="23" t="s">
        <v>22658</v>
      </c>
      <c r="F9473" s="24" t="s">
        <v>22657</v>
      </c>
      <c r="G9473" s="25">
        <v>4</v>
      </c>
      <c r="H9473" s="29"/>
      <c r="I9473" s="30"/>
    </row>
    <row r="9474" spans="1:9" ht="15.75" thickBot="1" x14ac:dyDescent="0.3">
      <c r="A9474" s="43" t="s">
        <v>19142</v>
      </c>
      <c r="B9474" s="21" t="s">
        <v>19143</v>
      </c>
      <c r="C9474" s="21" t="s">
        <v>22682</v>
      </c>
      <c r="D9474" s="22">
        <v>46034</v>
      </c>
      <c r="E9474" s="23" t="s">
        <v>22658</v>
      </c>
      <c r="F9474" s="24" t="s">
        <v>22657</v>
      </c>
      <c r="G9474" s="25">
        <v>4</v>
      </c>
      <c r="H9474" s="26"/>
      <c r="I9474" s="27"/>
    </row>
    <row r="9475" spans="1:9" ht="15.75" thickBot="1" x14ac:dyDescent="0.3">
      <c r="A9475" s="43" t="s">
        <v>19144</v>
      </c>
      <c r="B9475" s="21" t="s">
        <v>19145</v>
      </c>
      <c r="C9475" s="21" t="s">
        <v>22663</v>
      </c>
      <c r="D9475" s="31">
        <v>1</v>
      </c>
      <c r="E9475" s="23" t="s">
        <v>22658</v>
      </c>
      <c r="F9475" s="24" t="s">
        <v>22657</v>
      </c>
      <c r="G9475" s="25">
        <v>4</v>
      </c>
      <c r="H9475" s="29"/>
      <c r="I9475" s="30"/>
    </row>
    <row r="9476" spans="1:9" ht="15.75" thickBot="1" x14ac:dyDescent="0.3">
      <c r="A9476" s="43" t="s">
        <v>19146</v>
      </c>
      <c r="B9476" s="21" t="s">
        <v>19147</v>
      </c>
      <c r="C9476" s="21" t="s">
        <v>22682</v>
      </c>
      <c r="D9476" s="22">
        <v>46034</v>
      </c>
      <c r="E9476" s="23" t="s">
        <v>22658</v>
      </c>
      <c r="F9476" s="24" t="s">
        <v>22657</v>
      </c>
      <c r="G9476" s="25">
        <v>4</v>
      </c>
      <c r="H9476" s="26"/>
      <c r="I9476" s="27"/>
    </row>
    <row r="9477" spans="1:9" ht="15.75" thickBot="1" x14ac:dyDescent="0.3">
      <c r="A9477" s="43" t="s">
        <v>19148</v>
      </c>
      <c r="B9477" s="21" t="s">
        <v>19149</v>
      </c>
      <c r="C9477" s="21" t="s">
        <v>22682</v>
      </c>
      <c r="D9477" s="22">
        <v>46034</v>
      </c>
      <c r="E9477" s="23" t="s">
        <v>22658</v>
      </c>
      <c r="F9477" s="24" t="s">
        <v>22657</v>
      </c>
      <c r="G9477" s="25">
        <v>4</v>
      </c>
      <c r="H9477" s="29"/>
      <c r="I9477" s="30"/>
    </row>
    <row r="9478" spans="1:9" ht="15.75" thickBot="1" x14ac:dyDescent="0.3">
      <c r="A9478" s="43" t="s">
        <v>19150</v>
      </c>
      <c r="B9478" s="21" t="s">
        <v>19151</v>
      </c>
      <c r="C9478" s="21" t="s">
        <v>22682</v>
      </c>
      <c r="D9478" s="22">
        <v>46034</v>
      </c>
      <c r="E9478" s="23" t="s">
        <v>22658</v>
      </c>
      <c r="F9478" s="24" t="s">
        <v>22657</v>
      </c>
      <c r="G9478" s="25">
        <v>4</v>
      </c>
      <c r="H9478" s="26"/>
      <c r="I9478" s="27"/>
    </row>
    <row r="9479" spans="1:9" ht="15.75" thickBot="1" x14ac:dyDescent="0.3">
      <c r="A9479" s="43" t="s">
        <v>19152</v>
      </c>
      <c r="B9479" s="21" t="s">
        <v>19153</v>
      </c>
      <c r="C9479" s="21" t="s">
        <v>22682</v>
      </c>
      <c r="D9479" s="22">
        <v>46034</v>
      </c>
      <c r="E9479" s="23" t="s">
        <v>22658</v>
      </c>
      <c r="F9479" s="24" t="s">
        <v>22657</v>
      </c>
      <c r="G9479" s="25">
        <v>4</v>
      </c>
      <c r="H9479" s="29"/>
      <c r="I9479" s="30"/>
    </row>
    <row r="9480" spans="1:9" ht="15.75" thickBot="1" x14ac:dyDescent="0.3">
      <c r="A9480" s="43" t="s">
        <v>19154</v>
      </c>
      <c r="B9480" s="21" t="s">
        <v>19155</v>
      </c>
      <c r="C9480" s="21" t="s">
        <v>22663</v>
      </c>
      <c r="D9480" s="31">
        <v>1</v>
      </c>
      <c r="E9480" s="23" t="s">
        <v>22658</v>
      </c>
      <c r="F9480" s="24" t="s">
        <v>22657</v>
      </c>
      <c r="G9480" s="25">
        <v>4</v>
      </c>
      <c r="H9480" s="26"/>
      <c r="I9480" s="27"/>
    </row>
    <row r="9481" spans="1:9" ht="15.75" thickBot="1" x14ac:dyDescent="0.3">
      <c r="A9481" s="43" t="s">
        <v>19156</v>
      </c>
      <c r="B9481" s="21" t="s">
        <v>19157</v>
      </c>
      <c r="C9481" s="21" t="s">
        <v>22682</v>
      </c>
      <c r="D9481" s="22">
        <v>46034</v>
      </c>
      <c r="E9481" s="23" t="s">
        <v>22658</v>
      </c>
      <c r="F9481" s="24" t="s">
        <v>22657</v>
      </c>
      <c r="G9481" s="25">
        <v>4</v>
      </c>
      <c r="H9481" s="29"/>
      <c r="I9481" s="30"/>
    </row>
    <row r="9482" spans="1:9" ht="15.75" thickBot="1" x14ac:dyDescent="0.3">
      <c r="A9482" s="43" t="s">
        <v>19158</v>
      </c>
      <c r="B9482" s="21" t="s">
        <v>19159</v>
      </c>
      <c r="C9482" s="21" t="s">
        <v>22663</v>
      </c>
      <c r="D9482" s="31">
        <v>1</v>
      </c>
      <c r="E9482" s="23" t="s">
        <v>22658</v>
      </c>
      <c r="F9482" s="24" t="s">
        <v>22657</v>
      </c>
      <c r="G9482" s="25">
        <v>4</v>
      </c>
      <c r="H9482" s="26"/>
      <c r="I9482" s="27"/>
    </row>
    <row r="9483" spans="1:9" ht="15.75" thickBot="1" x14ac:dyDescent="0.3">
      <c r="A9483" s="43" t="s">
        <v>19160</v>
      </c>
      <c r="B9483" s="21" t="s">
        <v>19161</v>
      </c>
      <c r="C9483" s="21" t="s">
        <v>22682</v>
      </c>
      <c r="D9483" s="22">
        <v>46034</v>
      </c>
      <c r="E9483" s="23" t="s">
        <v>22658</v>
      </c>
      <c r="F9483" s="24" t="s">
        <v>22657</v>
      </c>
      <c r="G9483" s="25">
        <v>4</v>
      </c>
      <c r="H9483" s="29"/>
      <c r="I9483" s="30"/>
    </row>
    <row r="9484" spans="1:9" ht="15.75" thickBot="1" x14ac:dyDescent="0.3">
      <c r="A9484" s="43" t="s">
        <v>19162</v>
      </c>
      <c r="B9484" s="21" t="s">
        <v>19163</v>
      </c>
      <c r="C9484" s="21" t="s">
        <v>22663</v>
      </c>
      <c r="D9484" s="31">
        <v>1</v>
      </c>
      <c r="E9484" s="23" t="s">
        <v>22658</v>
      </c>
      <c r="F9484" s="24" t="s">
        <v>22657</v>
      </c>
      <c r="G9484" s="25">
        <v>4</v>
      </c>
      <c r="H9484" s="26"/>
      <c r="I9484" s="27"/>
    </row>
    <row r="9485" spans="1:9" ht="15.75" thickBot="1" x14ac:dyDescent="0.3">
      <c r="A9485" s="43" t="s">
        <v>19164</v>
      </c>
      <c r="B9485" s="21" t="s">
        <v>19165</v>
      </c>
      <c r="C9485" s="21" t="s">
        <v>22682</v>
      </c>
      <c r="D9485" s="22">
        <v>46034</v>
      </c>
      <c r="E9485" s="23" t="s">
        <v>22658</v>
      </c>
      <c r="F9485" s="24" t="s">
        <v>22657</v>
      </c>
      <c r="G9485" s="25">
        <v>4</v>
      </c>
      <c r="H9485" s="29"/>
      <c r="I9485" s="30"/>
    </row>
    <row r="9486" spans="1:9" ht="15.75" thickBot="1" x14ac:dyDescent="0.3">
      <c r="A9486" s="43" t="s">
        <v>19166</v>
      </c>
      <c r="B9486" s="21" t="s">
        <v>19167</v>
      </c>
      <c r="C9486" s="21" t="s">
        <v>22663</v>
      </c>
      <c r="D9486" s="31">
        <v>1</v>
      </c>
      <c r="E9486" s="23" t="s">
        <v>22656</v>
      </c>
      <c r="F9486" s="24" t="s">
        <v>22657</v>
      </c>
      <c r="G9486" s="25">
        <v>4</v>
      </c>
      <c r="H9486" s="26"/>
      <c r="I9486" s="27"/>
    </row>
    <row r="9487" spans="1:9" ht="15.75" thickBot="1" x14ac:dyDescent="0.3">
      <c r="A9487" s="43" t="s">
        <v>19168</v>
      </c>
      <c r="B9487" s="21" t="s">
        <v>19169</v>
      </c>
      <c r="C9487" s="21" t="s">
        <v>22682</v>
      </c>
      <c r="D9487" s="22">
        <v>46034</v>
      </c>
      <c r="E9487" s="23" t="s">
        <v>22658</v>
      </c>
      <c r="F9487" s="24" t="s">
        <v>22657</v>
      </c>
      <c r="G9487" s="25">
        <v>4</v>
      </c>
      <c r="H9487" s="29"/>
      <c r="I9487" s="30"/>
    </row>
    <row r="9488" spans="1:9" ht="15.75" thickBot="1" x14ac:dyDescent="0.3">
      <c r="A9488" s="43" t="s">
        <v>19170</v>
      </c>
      <c r="B9488" s="21" t="s">
        <v>19171</v>
      </c>
      <c r="C9488" s="21" t="s">
        <v>22663</v>
      </c>
      <c r="D9488" s="31">
        <v>1</v>
      </c>
      <c r="E9488" s="23" t="s">
        <v>22658</v>
      </c>
      <c r="F9488" s="24" t="s">
        <v>22657</v>
      </c>
      <c r="G9488" s="25">
        <v>4</v>
      </c>
      <c r="H9488" s="26"/>
      <c r="I9488" s="27"/>
    </row>
    <row r="9489" spans="1:9" ht="15.75" thickBot="1" x14ac:dyDescent="0.3">
      <c r="A9489" s="43" t="s">
        <v>19172</v>
      </c>
      <c r="B9489" s="21" t="s">
        <v>19173</v>
      </c>
      <c r="C9489" s="21" t="s">
        <v>22682</v>
      </c>
      <c r="D9489" s="22">
        <v>46034</v>
      </c>
      <c r="E9489" s="23" t="s">
        <v>22658</v>
      </c>
      <c r="F9489" s="24" t="s">
        <v>22657</v>
      </c>
      <c r="G9489" s="25">
        <v>4</v>
      </c>
      <c r="H9489" s="29"/>
      <c r="I9489" s="30"/>
    </row>
    <row r="9490" spans="1:9" ht="15.75" thickBot="1" x14ac:dyDescent="0.3">
      <c r="A9490" s="43" t="s">
        <v>19174</v>
      </c>
      <c r="B9490" s="21" t="s">
        <v>19175</v>
      </c>
      <c r="C9490" s="21" t="s">
        <v>22663</v>
      </c>
      <c r="D9490" s="31">
        <v>1</v>
      </c>
      <c r="E9490" s="23" t="s">
        <v>22656</v>
      </c>
      <c r="F9490" s="24" t="s">
        <v>22657</v>
      </c>
      <c r="G9490" s="25">
        <v>4</v>
      </c>
      <c r="H9490" s="26"/>
      <c r="I9490" s="27"/>
    </row>
    <row r="9491" spans="1:9" ht="15.75" thickBot="1" x14ac:dyDescent="0.3">
      <c r="A9491" s="43" t="s">
        <v>19176</v>
      </c>
      <c r="B9491" s="21" t="s">
        <v>19177</v>
      </c>
      <c r="C9491" s="21" t="s">
        <v>22682</v>
      </c>
      <c r="D9491" s="22">
        <v>46034</v>
      </c>
      <c r="E9491" s="23" t="s">
        <v>22658</v>
      </c>
      <c r="F9491" s="24" t="s">
        <v>22657</v>
      </c>
      <c r="G9491" s="25">
        <v>4</v>
      </c>
      <c r="H9491" s="29"/>
      <c r="I9491" s="30"/>
    </row>
    <row r="9492" spans="1:9" ht="15.75" thickBot="1" x14ac:dyDescent="0.3">
      <c r="A9492" s="43" t="s">
        <v>19178</v>
      </c>
      <c r="B9492" s="21" t="s">
        <v>19179</v>
      </c>
      <c r="C9492" s="21" t="s">
        <v>22663</v>
      </c>
      <c r="D9492" s="31">
        <v>1</v>
      </c>
      <c r="E9492" s="23" t="s">
        <v>22656</v>
      </c>
      <c r="F9492" s="24" t="s">
        <v>22657</v>
      </c>
      <c r="G9492" s="25">
        <v>4</v>
      </c>
      <c r="H9492" s="26"/>
      <c r="I9492" s="27"/>
    </row>
    <row r="9493" spans="1:9" ht="15.75" thickBot="1" x14ac:dyDescent="0.3">
      <c r="A9493" s="43" t="s">
        <v>19180</v>
      </c>
      <c r="B9493" s="21" t="s">
        <v>19181</v>
      </c>
      <c r="C9493" s="21" t="s">
        <v>22682</v>
      </c>
      <c r="D9493" s="22">
        <v>46034</v>
      </c>
      <c r="E9493" s="23" t="s">
        <v>22658</v>
      </c>
      <c r="F9493" s="24" t="s">
        <v>22657</v>
      </c>
      <c r="G9493" s="25">
        <v>4</v>
      </c>
      <c r="H9493" s="29"/>
      <c r="I9493" s="30"/>
    </row>
    <row r="9494" spans="1:9" ht="15.75" thickBot="1" x14ac:dyDescent="0.3">
      <c r="A9494" s="43" t="s">
        <v>19182</v>
      </c>
      <c r="B9494" s="21" t="s">
        <v>19183</v>
      </c>
      <c r="C9494" s="21" t="s">
        <v>22682</v>
      </c>
      <c r="D9494" s="22">
        <v>46034</v>
      </c>
      <c r="E9494" s="23" t="s">
        <v>22658</v>
      </c>
      <c r="F9494" s="24" t="s">
        <v>22657</v>
      </c>
      <c r="G9494" s="25">
        <v>4</v>
      </c>
      <c r="H9494" s="26"/>
      <c r="I9494" s="27"/>
    </row>
    <row r="9495" spans="1:9" ht="15.75" thickBot="1" x14ac:dyDescent="0.3">
      <c r="A9495" s="43" t="s">
        <v>19184</v>
      </c>
      <c r="B9495" s="21" t="s">
        <v>19185</v>
      </c>
      <c r="C9495" s="21" t="s">
        <v>22663</v>
      </c>
      <c r="D9495" s="31">
        <v>1</v>
      </c>
      <c r="E9495" s="23" t="s">
        <v>22658</v>
      </c>
      <c r="F9495" s="24" t="s">
        <v>22657</v>
      </c>
      <c r="G9495" s="25">
        <v>4</v>
      </c>
      <c r="H9495" s="29"/>
      <c r="I9495" s="30"/>
    </row>
    <row r="9496" spans="1:9" ht="15.75" thickBot="1" x14ac:dyDescent="0.3">
      <c r="A9496" s="43" t="s">
        <v>19186</v>
      </c>
      <c r="B9496" s="21" t="s">
        <v>19187</v>
      </c>
      <c r="C9496" s="21" t="s">
        <v>22663</v>
      </c>
      <c r="D9496" s="31">
        <v>1</v>
      </c>
      <c r="E9496" s="23" t="s">
        <v>22658</v>
      </c>
      <c r="F9496" s="24" t="s">
        <v>22657</v>
      </c>
      <c r="G9496" s="25">
        <v>4</v>
      </c>
      <c r="H9496" s="26"/>
      <c r="I9496" s="27"/>
    </row>
    <row r="9497" spans="1:9" ht="15.75" thickBot="1" x14ac:dyDescent="0.3">
      <c r="A9497" s="43" t="s">
        <v>19188</v>
      </c>
      <c r="B9497" s="21" t="s">
        <v>19189</v>
      </c>
      <c r="C9497" s="21" t="s">
        <v>22682</v>
      </c>
      <c r="D9497" s="22">
        <v>46034</v>
      </c>
      <c r="E9497" s="23" t="s">
        <v>22658</v>
      </c>
      <c r="F9497" s="24" t="s">
        <v>22657</v>
      </c>
      <c r="G9497" s="25">
        <v>4</v>
      </c>
      <c r="H9497" s="29"/>
      <c r="I9497" s="30"/>
    </row>
    <row r="9498" spans="1:9" ht="15.75" thickBot="1" x14ac:dyDescent="0.3">
      <c r="A9498" s="43" t="s">
        <v>19190</v>
      </c>
      <c r="B9498" s="21" t="s">
        <v>19191</v>
      </c>
      <c r="C9498" s="21" t="s">
        <v>22682</v>
      </c>
      <c r="D9498" s="22">
        <v>46034</v>
      </c>
      <c r="E9498" s="23" t="s">
        <v>22658</v>
      </c>
      <c r="F9498" s="24" t="s">
        <v>22657</v>
      </c>
      <c r="G9498" s="25">
        <v>4</v>
      </c>
      <c r="H9498" s="26"/>
      <c r="I9498" s="27"/>
    </row>
    <row r="9499" spans="1:9" ht="15.75" thickBot="1" x14ac:dyDescent="0.3">
      <c r="A9499" s="43" t="s">
        <v>19192</v>
      </c>
      <c r="B9499" s="21" t="s">
        <v>19193</v>
      </c>
      <c r="C9499" s="21" t="s">
        <v>22682</v>
      </c>
      <c r="D9499" s="22">
        <v>46034</v>
      </c>
      <c r="E9499" s="23" t="s">
        <v>22658</v>
      </c>
      <c r="F9499" s="24" t="s">
        <v>22657</v>
      </c>
      <c r="G9499" s="25">
        <v>4</v>
      </c>
      <c r="H9499" s="29"/>
      <c r="I9499" s="30"/>
    </row>
    <row r="9500" spans="1:9" ht="15.75" thickBot="1" x14ac:dyDescent="0.3">
      <c r="A9500" s="43" t="s">
        <v>19194</v>
      </c>
      <c r="B9500" s="21" t="s">
        <v>19195</v>
      </c>
      <c r="C9500" s="21" t="s">
        <v>22663</v>
      </c>
      <c r="D9500" s="31">
        <v>1</v>
      </c>
      <c r="E9500" s="23" t="s">
        <v>22656</v>
      </c>
      <c r="F9500" s="24" t="s">
        <v>22657</v>
      </c>
      <c r="G9500" s="25">
        <v>4</v>
      </c>
      <c r="H9500" s="26"/>
      <c r="I9500" s="27"/>
    </row>
    <row r="9501" spans="1:9" ht="15.75" thickBot="1" x14ac:dyDescent="0.3">
      <c r="A9501" s="43" t="s">
        <v>19196</v>
      </c>
      <c r="B9501" s="21" t="s">
        <v>19197</v>
      </c>
      <c r="C9501" s="21" t="s">
        <v>22682</v>
      </c>
      <c r="D9501" s="22">
        <v>46034</v>
      </c>
      <c r="E9501" s="23" t="s">
        <v>22658</v>
      </c>
      <c r="F9501" s="24" t="s">
        <v>22657</v>
      </c>
      <c r="G9501" s="25">
        <v>4</v>
      </c>
      <c r="H9501" s="29"/>
      <c r="I9501" s="30"/>
    </row>
    <row r="9502" spans="1:9" ht="15.75" thickBot="1" x14ac:dyDescent="0.3">
      <c r="A9502" s="43" t="s">
        <v>19198</v>
      </c>
      <c r="B9502" s="21" t="s">
        <v>19199</v>
      </c>
      <c r="C9502" s="21" t="s">
        <v>22663</v>
      </c>
      <c r="D9502" s="31">
        <v>1</v>
      </c>
      <c r="E9502" s="23" t="s">
        <v>22658</v>
      </c>
      <c r="F9502" s="24" t="s">
        <v>22657</v>
      </c>
      <c r="G9502" s="25">
        <v>4</v>
      </c>
      <c r="H9502" s="26"/>
      <c r="I9502" s="27"/>
    </row>
    <row r="9503" spans="1:9" ht="15.75" thickBot="1" x14ac:dyDescent="0.3">
      <c r="A9503" s="43" t="s">
        <v>19200</v>
      </c>
      <c r="B9503" s="21" t="s">
        <v>19201</v>
      </c>
      <c r="C9503" s="21" t="s">
        <v>22682</v>
      </c>
      <c r="D9503" s="22">
        <v>46034</v>
      </c>
      <c r="E9503" s="23" t="s">
        <v>22658</v>
      </c>
      <c r="F9503" s="24" t="s">
        <v>22657</v>
      </c>
      <c r="G9503" s="25">
        <v>4</v>
      </c>
      <c r="H9503" s="29"/>
      <c r="I9503" s="30"/>
    </row>
    <row r="9504" spans="1:9" ht="15.75" thickBot="1" x14ac:dyDescent="0.3">
      <c r="A9504" s="43" t="s">
        <v>19202</v>
      </c>
      <c r="B9504" s="21" t="s">
        <v>19203</v>
      </c>
      <c r="C9504" s="21" t="s">
        <v>22663</v>
      </c>
      <c r="D9504" s="31">
        <v>1</v>
      </c>
      <c r="E9504" s="23" t="s">
        <v>22658</v>
      </c>
      <c r="F9504" s="24" t="s">
        <v>22657</v>
      </c>
      <c r="G9504" s="25">
        <v>4</v>
      </c>
      <c r="H9504" s="26"/>
      <c r="I9504" s="27"/>
    </row>
    <row r="9505" spans="1:9" ht="15.75" thickBot="1" x14ac:dyDescent="0.3">
      <c r="A9505" s="43" t="s">
        <v>19204</v>
      </c>
      <c r="B9505" s="21" t="s">
        <v>19205</v>
      </c>
      <c r="C9505" s="21" t="s">
        <v>22682</v>
      </c>
      <c r="D9505" s="22">
        <v>46034</v>
      </c>
      <c r="E9505" s="23" t="s">
        <v>22658</v>
      </c>
      <c r="F9505" s="24" t="s">
        <v>22657</v>
      </c>
      <c r="G9505" s="25">
        <v>4</v>
      </c>
      <c r="H9505" s="29"/>
      <c r="I9505" s="30"/>
    </row>
    <row r="9506" spans="1:9" ht="15.75" thickBot="1" x14ac:dyDescent="0.3">
      <c r="A9506" s="43" t="s">
        <v>19206</v>
      </c>
      <c r="B9506" s="21" t="s">
        <v>19207</v>
      </c>
      <c r="C9506" s="21" t="s">
        <v>22663</v>
      </c>
      <c r="D9506" s="31">
        <v>1</v>
      </c>
      <c r="E9506" s="23" t="s">
        <v>22656</v>
      </c>
      <c r="F9506" s="24" t="s">
        <v>22657</v>
      </c>
      <c r="G9506" s="25">
        <v>4</v>
      </c>
      <c r="H9506" s="26"/>
      <c r="I9506" s="27"/>
    </row>
    <row r="9507" spans="1:9" ht="15.75" thickBot="1" x14ac:dyDescent="0.3">
      <c r="A9507" s="43" t="s">
        <v>19208</v>
      </c>
      <c r="B9507" s="21" t="s">
        <v>19209</v>
      </c>
      <c r="C9507" s="21" t="s">
        <v>22682</v>
      </c>
      <c r="D9507" s="22">
        <v>46034</v>
      </c>
      <c r="E9507" s="23" t="s">
        <v>22658</v>
      </c>
      <c r="F9507" s="24" t="s">
        <v>22657</v>
      </c>
      <c r="G9507" s="25">
        <v>4</v>
      </c>
      <c r="H9507" s="29"/>
      <c r="I9507" s="30"/>
    </row>
    <row r="9508" spans="1:9" ht="15.75" thickBot="1" x14ac:dyDescent="0.3">
      <c r="A9508" s="43" t="s">
        <v>19210</v>
      </c>
      <c r="B9508" s="21" t="s">
        <v>19211</v>
      </c>
      <c r="C9508" s="21" t="s">
        <v>22663</v>
      </c>
      <c r="D9508" s="31">
        <v>1</v>
      </c>
      <c r="E9508" s="23" t="s">
        <v>22656</v>
      </c>
      <c r="F9508" s="24" t="s">
        <v>22657</v>
      </c>
      <c r="G9508" s="25">
        <v>4</v>
      </c>
      <c r="H9508" s="26"/>
      <c r="I9508" s="27"/>
    </row>
    <row r="9509" spans="1:9" ht="15.75" thickBot="1" x14ac:dyDescent="0.3">
      <c r="A9509" s="43" t="s">
        <v>19212</v>
      </c>
      <c r="B9509" s="21" t="s">
        <v>19213</v>
      </c>
      <c r="C9509" s="21" t="s">
        <v>22682</v>
      </c>
      <c r="D9509" s="22">
        <v>46034</v>
      </c>
      <c r="E9509" s="23" t="s">
        <v>22658</v>
      </c>
      <c r="F9509" s="24" t="s">
        <v>22657</v>
      </c>
      <c r="G9509" s="25">
        <v>4</v>
      </c>
      <c r="H9509" s="29"/>
      <c r="I9509" s="30"/>
    </row>
    <row r="9510" spans="1:9" ht="15.75" thickBot="1" x14ac:dyDescent="0.3">
      <c r="A9510" s="43" t="s">
        <v>19214</v>
      </c>
      <c r="B9510" s="21" t="s">
        <v>19215</v>
      </c>
      <c r="C9510" s="21" t="s">
        <v>22663</v>
      </c>
      <c r="D9510" s="31">
        <v>1</v>
      </c>
      <c r="E9510" s="23" t="s">
        <v>22656</v>
      </c>
      <c r="F9510" s="24" t="s">
        <v>22657</v>
      </c>
      <c r="G9510" s="25">
        <v>4</v>
      </c>
      <c r="H9510" s="26"/>
      <c r="I9510" s="27"/>
    </row>
    <row r="9511" spans="1:9" ht="15.75" thickBot="1" x14ac:dyDescent="0.3">
      <c r="A9511" s="43" t="s">
        <v>19216</v>
      </c>
      <c r="B9511" s="21" t="s">
        <v>19217</v>
      </c>
      <c r="C9511" s="21" t="s">
        <v>22682</v>
      </c>
      <c r="D9511" s="22">
        <v>46034</v>
      </c>
      <c r="E9511" s="23" t="s">
        <v>22658</v>
      </c>
      <c r="F9511" s="24" t="s">
        <v>22657</v>
      </c>
      <c r="G9511" s="25">
        <v>4</v>
      </c>
      <c r="H9511" s="29"/>
      <c r="I9511" s="30"/>
    </row>
    <row r="9512" spans="1:9" ht="15.75" thickBot="1" x14ac:dyDescent="0.3">
      <c r="A9512" s="43" t="s">
        <v>19218</v>
      </c>
      <c r="B9512" s="21" t="s">
        <v>19219</v>
      </c>
      <c r="C9512" s="21" t="s">
        <v>22663</v>
      </c>
      <c r="D9512" s="31">
        <v>1</v>
      </c>
      <c r="E9512" s="23" t="s">
        <v>22656</v>
      </c>
      <c r="F9512" s="24" t="s">
        <v>22657</v>
      </c>
      <c r="G9512" s="25">
        <v>4</v>
      </c>
      <c r="H9512" s="26"/>
      <c r="I9512" s="27"/>
    </row>
    <row r="9513" spans="1:9" ht="15.75" thickBot="1" x14ac:dyDescent="0.3">
      <c r="A9513" s="43" t="s">
        <v>19220</v>
      </c>
      <c r="B9513" s="21" t="s">
        <v>19221</v>
      </c>
      <c r="C9513" s="21" t="s">
        <v>22682</v>
      </c>
      <c r="D9513" s="22">
        <v>46034</v>
      </c>
      <c r="E9513" s="23" t="s">
        <v>22658</v>
      </c>
      <c r="F9513" s="24" t="s">
        <v>22657</v>
      </c>
      <c r="G9513" s="25">
        <v>4</v>
      </c>
      <c r="H9513" s="29"/>
      <c r="I9513" s="30"/>
    </row>
    <row r="9514" spans="1:9" ht="15.75" thickBot="1" x14ac:dyDescent="0.3">
      <c r="A9514" s="43" t="s">
        <v>19222</v>
      </c>
      <c r="B9514" s="21" t="s">
        <v>19223</v>
      </c>
      <c r="C9514" s="21" t="s">
        <v>22663</v>
      </c>
      <c r="D9514" s="31">
        <v>1</v>
      </c>
      <c r="E9514" s="23" t="s">
        <v>22656</v>
      </c>
      <c r="F9514" s="24" t="s">
        <v>22657</v>
      </c>
      <c r="G9514" s="25">
        <v>4</v>
      </c>
      <c r="H9514" s="26"/>
      <c r="I9514" s="27"/>
    </row>
    <row r="9515" spans="1:9" ht="15.75" thickBot="1" x14ac:dyDescent="0.3">
      <c r="A9515" s="43" t="s">
        <v>19224</v>
      </c>
      <c r="B9515" s="21" t="s">
        <v>19225</v>
      </c>
      <c r="C9515" s="21" t="s">
        <v>22663</v>
      </c>
      <c r="D9515" s="31">
        <v>1</v>
      </c>
      <c r="E9515" s="23" t="s">
        <v>22658</v>
      </c>
      <c r="F9515" s="24" t="s">
        <v>22657</v>
      </c>
      <c r="G9515" s="25">
        <v>4</v>
      </c>
      <c r="H9515" s="29"/>
      <c r="I9515" s="30"/>
    </row>
    <row r="9516" spans="1:9" ht="15.75" thickBot="1" x14ac:dyDescent="0.3">
      <c r="A9516" s="43" t="s">
        <v>19226</v>
      </c>
      <c r="B9516" s="21" t="s">
        <v>19227</v>
      </c>
      <c r="C9516" s="21" t="s">
        <v>22663</v>
      </c>
      <c r="D9516" s="31">
        <v>1</v>
      </c>
      <c r="E9516" s="23" t="s">
        <v>22658</v>
      </c>
      <c r="F9516" s="24" t="s">
        <v>22657</v>
      </c>
      <c r="G9516" s="25">
        <v>4</v>
      </c>
      <c r="H9516" s="26"/>
      <c r="I9516" s="27"/>
    </row>
    <row r="9517" spans="1:9" ht="15.75" thickBot="1" x14ac:dyDescent="0.3">
      <c r="A9517" s="43" t="s">
        <v>19228</v>
      </c>
      <c r="B9517" s="21" t="s">
        <v>19229</v>
      </c>
      <c r="C9517" s="21" t="s">
        <v>22682</v>
      </c>
      <c r="D9517" s="22">
        <v>46034</v>
      </c>
      <c r="E9517" s="23" t="s">
        <v>22656</v>
      </c>
      <c r="F9517" s="24" t="s">
        <v>22657</v>
      </c>
      <c r="G9517" s="25">
        <v>4</v>
      </c>
      <c r="H9517" s="29"/>
      <c r="I9517" s="30"/>
    </row>
    <row r="9518" spans="1:9" ht="15.75" thickBot="1" x14ac:dyDescent="0.3">
      <c r="A9518" s="43" t="s">
        <v>19230</v>
      </c>
      <c r="B9518" s="21" t="s">
        <v>19231</v>
      </c>
      <c r="C9518" s="21" t="s">
        <v>22682</v>
      </c>
      <c r="D9518" s="22">
        <v>46034</v>
      </c>
      <c r="E9518" s="23" t="s">
        <v>22658</v>
      </c>
      <c r="F9518" s="24" t="s">
        <v>22657</v>
      </c>
      <c r="G9518" s="25">
        <v>4</v>
      </c>
      <c r="H9518" s="26"/>
      <c r="I9518" s="27"/>
    </row>
    <row r="9519" spans="1:9" ht="15.75" thickBot="1" x14ac:dyDescent="0.3">
      <c r="A9519" s="43" t="s">
        <v>19232</v>
      </c>
      <c r="B9519" s="21" t="s">
        <v>19233</v>
      </c>
      <c r="C9519" s="21" t="s">
        <v>22682</v>
      </c>
      <c r="D9519" s="22">
        <v>46034</v>
      </c>
      <c r="E9519" s="23" t="s">
        <v>22656</v>
      </c>
      <c r="F9519" s="24" t="s">
        <v>22657</v>
      </c>
      <c r="G9519" s="25">
        <v>4</v>
      </c>
      <c r="H9519" s="29"/>
      <c r="I9519" s="30"/>
    </row>
    <row r="9520" spans="1:9" ht="15.75" thickBot="1" x14ac:dyDescent="0.3">
      <c r="A9520" s="43" t="s">
        <v>19234</v>
      </c>
      <c r="B9520" s="21" t="s">
        <v>19235</v>
      </c>
      <c r="C9520" s="21" t="s">
        <v>22682</v>
      </c>
      <c r="D9520" s="22">
        <v>46034</v>
      </c>
      <c r="E9520" s="23" t="s">
        <v>22658</v>
      </c>
      <c r="F9520" s="24" t="s">
        <v>22657</v>
      </c>
      <c r="G9520" s="25">
        <v>4</v>
      </c>
      <c r="H9520" s="26"/>
      <c r="I9520" s="27"/>
    </row>
    <row r="9521" spans="1:9" ht="15.75" thickBot="1" x14ac:dyDescent="0.3">
      <c r="A9521" s="43" t="s">
        <v>19236</v>
      </c>
      <c r="B9521" s="21" t="s">
        <v>19237</v>
      </c>
      <c r="C9521" s="21" t="s">
        <v>22682</v>
      </c>
      <c r="D9521" s="22">
        <v>46034</v>
      </c>
      <c r="E9521" s="23" t="s">
        <v>22658</v>
      </c>
      <c r="F9521" s="24" t="s">
        <v>22657</v>
      </c>
      <c r="G9521" s="25">
        <v>4</v>
      </c>
      <c r="H9521" s="29"/>
      <c r="I9521" s="30"/>
    </row>
    <row r="9522" spans="1:9" ht="15.75" thickBot="1" x14ac:dyDescent="0.3">
      <c r="A9522" s="43" t="s">
        <v>19238</v>
      </c>
      <c r="B9522" s="21" t="s">
        <v>19239</v>
      </c>
      <c r="C9522" s="21" t="s">
        <v>22682</v>
      </c>
      <c r="D9522" s="22">
        <v>46034</v>
      </c>
      <c r="E9522" s="23" t="s">
        <v>22658</v>
      </c>
      <c r="F9522" s="24" t="s">
        <v>22657</v>
      </c>
      <c r="G9522" s="25">
        <v>4</v>
      </c>
      <c r="H9522" s="26"/>
      <c r="I9522" s="27"/>
    </row>
    <row r="9523" spans="1:9" ht="15.75" thickBot="1" x14ac:dyDescent="0.3">
      <c r="A9523" s="43" t="s">
        <v>915</v>
      </c>
      <c r="B9523" s="21" t="s">
        <v>916</v>
      </c>
      <c r="C9523" s="21" t="s">
        <v>22663</v>
      </c>
      <c r="D9523" s="31">
        <v>1</v>
      </c>
      <c r="E9523" s="23" t="s">
        <v>22656</v>
      </c>
      <c r="F9523" s="24" t="s">
        <v>22657</v>
      </c>
      <c r="G9523" s="25">
        <v>2</v>
      </c>
      <c r="H9523" s="32">
        <v>2</v>
      </c>
      <c r="I9523" s="33">
        <v>4</v>
      </c>
    </row>
    <row r="9524" spans="1:9" ht="15.75" thickBot="1" x14ac:dyDescent="0.3">
      <c r="A9524" s="43" t="s">
        <v>1715</v>
      </c>
      <c r="B9524" s="21" t="s">
        <v>19240</v>
      </c>
      <c r="C9524" s="21" t="s">
        <v>22663</v>
      </c>
      <c r="D9524" s="31">
        <v>1</v>
      </c>
      <c r="E9524" s="23" t="s">
        <v>22661</v>
      </c>
      <c r="F9524" s="24" t="s">
        <v>22657</v>
      </c>
      <c r="G9524" s="25">
        <v>6</v>
      </c>
      <c r="H9524" s="34">
        <v>6</v>
      </c>
      <c r="I9524" s="35">
        <v>12</v>
      </c>
    </row>
    <row r="9525" spans="1:9" ht="15.75" thickBot="1" x14ac:dyDescent="0.3">
      <c r="A9525" s="43" t="s">
        <v>906</v>
      </c>
      <c r="B9525" s="21" t="s">
        <v>19241</v>
      </c>
      <c r="C9525" s="21" t="s">
        <v>22698</v>
      </c>
      <c r="D9525" s="31">
        <v>1</v>
      </c>
      <c r="E9525" s="23" t="s">
        <v>22656</v>
      </c>
      <c r="F9525" s="24" t="s">
        <v>22657</v>
      </c>
      <c r="G9525" s="25">
        <v>2</v>
      </c>
      <c r="H9525" s="32">
        <v>2</v>
      </c>
      <c r="I9525" s="33">
        <v>4</v>
      </c>
    </row>
    <row r="9526" spans="1:9" ht="15.75" thickBot="1" x14ac:dyDescent="0.3">
      <c r="A9526" s="43" t="s">
        <v>1357</v>
      </c>
      <c r="B9526" s="21" t="s">
        <v>19242</v>
      </c>
      <c r="C9526" s="21" t="s">
        <v>22655</v>
      </c>
      <c r="D9526" s="22">
        <v>46024</v>
      </c>
      <c r="E9526" s="23" t="s">
        <v>22656</v>
      </c>
      <c r="F9526" s="24" t="s">
        <v>22657</v>
      </c>
      <c r="G9526" s="25">
        <v>1</v>
      </c>
      <c r="H9526" s="34">
        <v>1</v>
      </c>
      <c r="I9526" s="35">
        <v>2</v>
      </c>
    </row>
    <row r="9527" spans="1:9" ht="15.75" thickBot="1" x14ac:dyDescent="0.3">
      <c r="A9527" s="43" t="s">
        <v>381</v>
      </c>
      <c r="B9527" s="21" t="s">
        <v>382</v>
      </c>
      <c r="C9527" s="21" t="s">
        <v>22663</v>
      </c>
      <c r="D9527" s="31">
        <v>1</v>
      </c>
      <c r="E9527" s="23" t="s">
        <v>22656</v>
      </c>
      <c r="F9527" s="24" t="s">
        <v>22657</v>
      </c>
      <c r="G9527" s="25">
        <v>3</v>
      </c>
      <c r="H9527" s="29"/>
      <c r="I9527" s="30"/>
    </row>
    <row r="9528" spans="1:9" ht="15.75" thickBot="1" x14ac:dyDescent="0.3">
      <c r="A9528" s="43" t="s">
        <v>945</v>
      </c>
      <c r="B9528" s="21" t="s">
        <v>946</v>
      </c>
      <c r="C9528" s="21" t="s">
        <v>22655</v>
      </c>
      <c r="D9528" s="22">
        <v>46032</v>
      </c>
      <c r="E9528" s="23" t="s">
        <v>22656</v>
      </c>
      <c r="F9528" s="24" t="s">
        <v>22657</v>
      </c>
      <c r="G9528" s="25">
        <v>4</v>
      </c>
      <c r="H9528" s="34">
        <v>4</v>
      </c>
      <c r="I9528" s="35">
        <v>6</v>
      </c>
    </row>
    <row r="9529" spans="1:9" ht="15.75" thickBot="1" x14ac:dyDescent="0.3">
      <c r="A9529" s="43" t="s">
        <v>19243</v>
      </c>
      <c r="B9529" s="21" t="s">
        <v>19244</v>
      </c>
      <c r="C9529" s="21" t="s">
        <v>22663</v>
      </c>
      <c r="D9529" s="31">
        <v>1</v>
      </c>
      <c r="E9529" s="23" t="s">
        <v>22661</v>
      </c>
      <c r="F9529" s="24" t="s">
        <v>22657</v>
      </c>
      <c r="G9529" s="25">
        <v>6</v>
      </c>
      <c r="H9529" s="32">
        <v>6</v>
      </c>
      <c r="I9529" s="33">
        <v>12</v>
      </c>
    </row>
    <row r="9530" spans="1:9" ht="15.75" thickBot="1" x14ac:dyDescent="0.3">
      <c r="A9530" s="43" t="s">
        <v>19245</v>
      </c>
      <c r="B9530" s="21" t="s">
        <v>19246</v>
      </c>
      <c r="C9530" s="21" t="s">
        <v>22655</v>
      </c>
      <c r="D9530" s="22">
        <v>46024</v>
      </c>
      <c r="E9530" s="23" t="s">
        <v>22656</v>
      </c>
      <c r="F9530" s="24" t="s">
        <v>22657</v>
      </c>
      <c r="G9530" s="25">
        <v>1</v>
      </c>
      <c r="H9530" s="34">
        <v>1</v>
      </c>
      <c r="I9530" s="35">
        <v>2</v>
      </c>
    </row>
    <row r="9531" spans="1:9" ht="15.75" thickBot="1" x14ac:dyDescent="0.3">
      <c r="A9531" s="43" t="s">
        <v>19247</v>
      </c>
      <c r="B9531" s="21" t="s">
        <v>19248</v>
      </c>
      <c r="C9531" s="21" t="s">
        <v>22663</v>
      </c>
      <c r="D9531" s="31">
        <v>1</v>
      </c>
      <c r="E9531" s="23" t="s">
        <v>22656</v>
      </c>
      <c r="F9531" s="24" t="s">
        <v>22657</v>
      </c>
      <c r="G9531" s="25">
        <v>6</v>
      </c>
      <c r="H9531" s="32">
        <v>6</v>
      </c>
      <c r="I9531" s="33">
        <v>8</v>
      </c>
    </row>
    <row r="9532" spans="1:9" ht="15.75" thickBot="1" x14ac:dyDescent="0.3">
      <c r="A9532" s="43" t="s">
        <v>19249</v>
      </c>
      <c r="B9532" s="21" t="s">
        <v>19250</v>
      </c>
      <c r="C9532" s="21" t="s">
        <v>22655</v>
      </c>
      <c r="D9532" s="22">
        <v>46032</v>
      </c>
      <c r="E9532" s="23" t="s">
        <v>22656</v>
      </c>
      <c r="F9532" s="24" t="s">
        <v>22657</v>
      </c>
      <c r="G9532" s="25">
        <v>4</v>
      </c>
      <c r="H9532" s="26"/>
      <c r="I9532" s="27"/>
    </row>
    <row r="9533" spans="1:9" ht="15.75" thickBot="1" x14ac:dyDescent="0.3">
      <c r="A9533" s="43" t="s">
        <v>19251</v>
      </c>
      <c r="B9533" s="21" t="s">
        <v>19252</v>
      </c>
      <c r="C9533" s="21" t="s">
        <v>22663</v>
      </c>
      <c r="D9533" s="31">
        <v>1</v>
      </c>
      <c r="E9533" s="23" t="s">
        <v>22656</v>
      </c>
      <c r="F9533" s="24" t="s">
        <v>22657</v>
      </c>
      <c r="G9533" s="25">
        <v>2</v>
      </c>
      <c r="H9533" s="29"/>
      <c r="I9533" s="30"/>
    </row>
    <row r="9534" spans="1:9" ht="15.75" thickBot="1" x14ac:dyDescent="0.3">
      <c r="A9534" s="43" t="s">
        <v>19253</v>
      </c>
      <c r="B9534" s="21" t="s">
        <v>19254</v>
      </c>
      <c r="C9534" s="21" t="s">
        <v>22663</v>
      </c>
      <c r="D9534" s="31">
        <v>1</v>
      </c>
      <c r="E9534" s="23" t="s">
        <v>22656</v>
      </c>
      <c r="F9534" s="24" t="s">
        <v>22657</v>
      </c>
      <c r="G9534" s="25">
        <v>4</v>
      </c>
      <c r="H9534" s="26"/>
      <c r="I9534" s="27"/>
    </row>
    <row r="9535" spans="1:9" ht="15.75" thickBot="1" x14ac:dyDescent="0.3">
      <c r="A9535" s="43" t="s">
        <v>19255</v>
      </c>
      <c r="B9535" s="21" t="s">
        <v>19256</v>
      </c>
      <c r="C9535" s="21" t="s">
        <v>22663</v>
      </c>
      <c r="D9535" s="31">
        <v>1</v>
      </c>
      <c r="E9535" s="23" t="s">
        <v>22658</v>
      </c>
      <c r="F9535" s="24" t="s">
        <v>22657</v>
      </c>
      <c r="G9535" s="25">
        <v>2</v>
      </c>
      <c r="H9535" s="29"/>
      <c r="I9535" s="30"/>
    </row>
    <row r="9536" spans="1:9" ht="15.75" thickBot="1" x14ac:dyDescent="0.3">
      <c r="A9536" s="43" t="s">
        <v>19257</v>
      </c>
      <c r="B9536" s="21" t="s">
        <v>19258</v>
      </c>
      <c r="C9536" s="21" t="s">
        <v>22655</v>
      </c>
      <c r="D9536" s="22">
        <v>46024</v>
      </c>
      <c r="E9536" s="23" t="s">
        <v>22658</v>
      </c>
      <c r="F9536" s="24" t="s">
        <v>22657</v>
      </c>
      <c r="G9536" s="25">
        <v>1</v>
      </c>
      <c r="H9536" s="26"/>
      <c r="I9536" s="27"/>
    </row>
    <row r="9537" spans="1:9" ht="15.75" thickBot="1" x14ac:dyDescent="0.3">
      <c r="A9537" s="43" t="s">
        <v>19259</v>
      </c>
      <c r="B9537" s="21" t="s">
        <v>19260</v>
      </c>
      <c r="C9537" s="21" t="s">
        <v>22663</v>
      </c>
      <c r="D9537" s="31">
        <v>1</v>
      </c>
      <c r="E9537" s="23" t="s">
        <v>22656</v>
      </c>
      <c r="F9537" s="24" t="s">
        <v>22657</v>
      </c>
      <c r="G9537" s="25">
        <v>3</v>
      </c>
      <c r="H9537" s="29"/>
      <c r="I9537" s="30"/>
    </row>
    <row r="9538" spans="1:9" ht="15.75" thickBot="1" x14ac:dyDescent="0.3">
      <c r="A9538" s="43" t="s">
        <v>19261</v>
      </c>
      <c r="B9538" s="21" t="s">
        <v>19262</v>
      </c>
      <c r="C9538" s="21" t="s">
        <v>22663</v>
      </c>
      <c r="D9538" s="31">
        <v>1</v>
      </c>
      <c r="E9538" s="23" t="s">
        <v>22658</v>
      </c>
      <c r="F9538" s="24" t="s">
        <v>22657</v>
      </c>
      <c r="G9538" s="25">
        <v>4</v>
      </c>
      <c r="H9538" s="26"/>
      <c r="I9538" s="27"/>
    </row>
    <row r="9539" spans="1:9" ht="15.75" thickBot="1" x14ac:dyDescent="0.3">
      <c r="A9539" s="43" t="s">
        <v>19263</v>
      </c>
      <c r="B9539" s="21" t="s">
        <v>19264</v>
      </c>
      <c r="C9539" s="21" t="s">
        <v>22655</v>
      </c>
      <c r="D9539" s="22">
        <v>46026</v>
      </c>
      <c r="E9539" s="23" t="s">
        <v>22658</v>
      </c>
      <c r="F9539" s="24" t="s">
        <v>22657</v>
      </c>
      <c r="G9539" s="25">
        <v>1</v>
      </c>
      <c r="H9539" s="29"/>
      <c r="I9539" s="30"/>
    </row>
    <row r="9540" spans="1:9" ht="15.75" thickBot="1" x14ac:dyDescent="0.3">
      <c r="A9540" s="43" t="s">
        <v>19265</v>
      </c>
      <c r="B9540" s="21" t="s">
        <v>19266</v>
      </c>
      <c r="C9540" s="21" t="s">
        <v>22663</v>
      </c>
      <c r="D9540" s="31">
        <v>1</v>
      </c>
      <c r="E9540" s="23" t="s">
        <v>22656</v>
      </c>
      <c r="F9540" s="24" t="s">
        <v>22657</v>
      </c>
      <c r="G9540" s="25">
        <v>3</v>
      </c>
      <c r="H9540" s="26"/>
      <c r="I9540" s="27"/>
    </row>
    <row r="9541" spans="1:9" ht="15.75" thickBot="1" x14ac:dyDescent="0.3">
      <c r="A9541" s="43" t="s">
        <v>1279</v>
      </c>
      <c r="B9541" s="21" t="s">
        <v>1280</v>
      </c>
      <c r="C9541" s="21" t="s">
        <v>22655</v>
      </c>
      <c r="D9541" s="22">
        <v>46034</v>
      </c>
      <c r="E9541" s="23" t="s">
        <v>22656</v>
      </c>
      <c r="F9541" s="24" t="s">
        <v>22657</v>
      </c>
      <c r="G9541" s="25">
        <v>4</v>
      </c>
      <c r="H9541" s="29"/>
      <c r="I9541" s="30"/>
    </row>
    <row r="9542" spans="1:9" ht="15.75" thickBot="1" x14ac:dyDescent="0.3">
      <c r="A9542" s="43" t="s">
        <v>1389</v>
      </c>
      <c r="B9542" s="21" t="s">
        <v>19267</v>
      </c>
      <c r="C9542" s="21" t="s">
        <v>22663</v>
      </c>
      <c r="D9542" s="31">
        <v>1</v>
      </c>
      <c r="E9542" s="23" t="s">
        <v>22661</v>
      </c>
      <c r="F9542" s="24" t="s">
        <v>22657</v>
      </c>
      <c r="G9542" s="25">
        <v>12</v>
      </c>
      <c r="H9542" s="34">
        <v>12</v>
      </c>
      <c r="I9542" s="35">
        <v>15</v>
      </c>
    </row>
    <row r="9543" spans="1:9" ht="15.75" thickBot="1" x14ac:dyDescent="0.3">
      <c r="A9543" s="43" t="s">
        <v>19268</v>
      </c>
      <c r="B9543" s="21" t="s">
        <v>19269</v>
      </c>
      <c r="C9543" s="21" t="s">
        <v>22663</v>
      </c>
      <c r="D9543" s="31">
        <v>1</v>
      </c>
      <c r="E9543" s="23" t="s">
        <v>22661</v>
      </c>
      <c r="F9543" s="24" t="s">
        <v>22657</v>
      </c>
      <c r="G9543" s="25">
        <v>16</v>
      </c>
      <c r="H9543" s="29"/>
      <c r="I9543" s="30"/>
    </row>
    <row r="9544" spans="1:9" ht="15.75" thickBot="1" x14ac:dyDescent="0.3">
      <c r="A9544" s="43" t="s">
        <v>19270</v>
      </c>
      <c r="B9544" s="21" t="s">
        <v>19271</v>
      </c>
      <c r="C9544" s="21" t="s">
        <v>22709</v>
      </c>
      <c r="D9544" s="31">
        <v>1</v>
      </c>
      <c r="E9544" s="23" t="s">
        <v>22656</v>
      </c>
      <c r="F9544" s="24" t="s">
        <v>22657</v>
      </c>
      <c r="G9544" s="25">
        <v>1</v>
      </c>
      <c r="H9544" s="34">
        <v>1</v>
      </c>
      <c r="I9544" s="35">
        <v>3</v>
      </c>
    </row>
    <row r="9545" spans="1:9" ht="15.75" thickBot="1" x14ac:dyDescent="0.3">
      <c r="A9545" s="43" t="s">
        <v>1669</v>
      </c>
      <c r="B9545" s="21" t="s">
        <v>19272</v>
      </c>
      <c r="C9545" s="21" t="s">
        <v>22698</v>
      </c>
      <c r="D9545" s="31">
        <v>1</v>
      </c>
      <c r="E9545" s="23" t="s">
        <v>22661</v>
      </c>
      <c r="F9545" s="24" t="s">
        <v>22657</v>
      </c>
      <c r="G9545" s="25">
        <v>6</v>
      </c>
      <c r="H9545" s="32">
        <v>6</v>
      </c>
      <c r="I9545" s="33">
        <v>12</v>
      </c>
    </row>
    <row r="9546" spans="1:9" ht="15.75" thickBot="1" x14ac:dyDescent="0.3">
      <c r="A9546" s="43" t="s">
        <v>1017</v>
      </c>
      <c r="B9546" s="21" t="s">
        <v>1018</v>
      </c>
      <c r="C9546" s="21" t="s">
        <v>22663</v>
      </c>
      <c r="D9546" s="31">
        <v>1</v>
      </c>
      <c r="E9546" s="23" t="s">
        <v>22665</v>
      </c>
      <c r="F9546" s="24" t="s">
        <v>22657</v>
      </c>
      <c r="G9546" s="25">
        <v>12</v>
      </c>
      <c r="H9546" s="34">
        <v>12</v>
      </c>
      <c r="I9546" s="35">
        <v>15</v>
      </c>
    </row>
    <row r="9547" spans="1:9" ht="15.75" thickBot="1" x14ac:dyDescent="0.3">
      <c r="A9547" s="43" t="s">
        <v>1930</v>
      </c>
      <c r="B9547" s="21" t="s">
        <v>19273</v>
      </c>
      <c r="C9547" s="21" t="s">
        <v>22655</v>
      </c>
      <c r="D9547" s="22">
        <v>46034</v>
      </c>
      <c r="E9547" s="23" t="s">
        <v>22665</v>
      </c>
      <c r="F9547" s="24" t="s">
        <v>22657</v>
      </c>
      <c r="G9547" s="25">
        <v>24</v>
      </c>
      <c r="H9547" s="32">
        <v>24</v>
      </c>
      <c r="I9547" s="33">
        <v>48</v>
      </c>
    </row>
    <row r="9548" spans="1:9" ht="15.75" thickBot="1" x14ac:dyDescent="0.3">
      <c r="A9548" s="43" t="s">
        <v>1916</v>
      </c>
      <c r="B9548" s="21" t="s">
        <v>1917</v>
      </c>
      <c r="C9548" s="21" t="s">
        <v>22655</v>
      </c>
      <c r="D9548" s="22">
        <v>46034</v>
      </c>
      <c r="E9548" s="23" t="s">
        <v>22661</v>
      </c>
      <c r="F9548" s="24" t="s">
        <v>22657</v>
      </c>
      <c r="G9548" s="25">
        <v>12</v>
      </c>
      <c r="H9548" s="34">
        <v>12</v>
      </c>
      <c r="I9548" s="35">
        <v>24</v>
      </c>
    </row>
    <row r="9549" spans="1:9" ht="15.75" thickBot="1" x14ac:dyDescent="0.3">
      <c r="A9549" s="43" t="s">
        <v>1537</v>
      </c>
      <c r="B9549" s="21" t="s">
        <v>19274</v>
      </c>
      <c r="C9549" s="21" t="s">
        <v>22655</v>
      </c>
      <c r="D9549" s="22">
        <v>46034</v>
      </c>
      <c r="E9549" s="23" t="s">
        <v>22656</v>
      </c>
      <c r="F9549" s="24" t="s">
        <v>22657</v>
      </c>
      <c r="G9549" s="25">
        <v>12</v>
      </c>
      <c r="H9549" s="32">
        <v>12</v>
      </c>
      <c r="I9549" s="33">
        <v>24</v>
      </c>
    </row>
    <row r="9550" spans="1:9" ht="15.75" thickBot="1" x14ac:dyDescent="0.3">
      <c r="A9550" s="43" t="s">
        <v>19275</v>
      </c>
      <c r="B9550" s="21" t="s">
        <v>19276</v>
      </c>
      <c r="C9550" s="21" t="s">
        <v>22663</v>
      </c>
      <c r="D9550" s="31">
        <v>1</v>
      </c>
      <c r="E9550" s="23" t="s">
        <v>22656</v>
      </c>
      <c r="F9550" s="24" t="s">
        <v>22657</v>
      </c>
      <c r="G9550" s="25">
        <v>6</v>
      </c>
      <c r="H9550" s="34">
        <v>6</v>
      </c>
      <c r="I9550" s="35">
        <v>12</v>
      </c>
    </row>
    <row r="9551" spans="1:9" ht="15.75" thickBot="1" x14ac:dyDescent="0.3">
      <c r="A9551" s="43" t="s">
        <v>19277</v>
      </c>
      <c r="B9551" s="21" t="s">
        <v>19278</v>
      </c>
      <c r="C9551" s="21" t="s">
        <v>22655</v>
      </c>
      <c r="D9551" s="22">
        <v>46027</v>
      </c>
      <c r="E9551" s="23" t="s">
        <v>22658</v>
      </c>
      <c r="F9551" s="24" t="s">
        <v>22657</v>
      </c>
      <c r="G9551" s="25">
        <v>2</v>
      </c>
      <c r="H9551" s="29"/>
      <c r="I9551" s="30"/>
    </row>
    <row r="9552" spans="1:9" ht="15.75" thickBot="1" x14ac:dyDescent="0.3">
      <c r="A9552" s="43" t="s">
        <v>19279</v>
      </c>
      <c r="B9552" s="21" t="s">
        <v>19280</v>
      </c>
      <c r="C9552" s="21" t="s">
        <v>22663</v>
      </c>
      <c r="D9552" s="31">
        <v>1</v>
      </c>
      <c r="E9552" s="23" t="s">
        <v>22658</v>
      </c>
      <c r="F9552" s="24" t="s">
        <v>22657</v>
      </c>
      <c r="G9552" s="25">
        <v>2</v>
      </c>
      <c r="H9552" s="26"/>
      <c r="I9552" s="27"/>
    </row>
    <row r="9553" spans="1:9" ht="15.75" thickBot="1" x14ac:dyDescent="0.3">
      <c r="A9553" s="43" t="s">
        <v>19281</v>
      </c>
      <c r="B9553" s="21" t="s">
        <v>19282</v>
      </c>
      <c r="C9553" s="21" t="s">
        <v>22709</v>
      </c>
      <c r="D9553" s="31">
        <v>1</v>
      </c>
      <c r="E9553" s="23" t="s">
        <v>22658</v>
      </c>
      <c r="F9553" s="24" t="s">
        <v>22657</v>
      </c>
      <c r="G9553" s="25">
        <v>1</v>
      </c>
      <c r="H9553" s="29"/>
      <c r="I9553" s="30"/>
    </row>
    <row r="9554" spans="1:9" ht="15.75" thickBot="1" x14ac:dyDescent="0.3">
      <c r="A9554" s="43" t="s">
        <v>19283</v>
      </c>
      <c r="B9554" s="21" t="s">
        <v>19284</v>
      </c>
      <c r="C9554" s="21" t="s">
        <v>22655</v>
      </c>
      <c r="D9554" s="22">
        <v>46046</v>
      </c>
      <c r="E9554" s="23" t="s">
        <v>22656</v>
      </c>
      <c r="F9554" s="24" t="s">
        <v>22657</v>
      </c>
      <c r="G9554" s="25">
        <v>8</v>
      </c>
      <c r="H9554" s="26"/>
      <c r="I9554" s="27"/>
    </row>
    <row r="9555" spans="1:9" ht="15.75" thickBot="1" x14ac:dyDescent="0.3">
      <c r="A9555" s="43" t="s">
        <v>19285</v>
      </c>
      <c r="B9555" s="21" t="s">
        <v>19286</v>
      </c>
      <c r="C9555" s="21" t="s">
        <v>22663</v>
      </c>
      <c r="D9555" s="31">
        <v>1</v>
      </c>
      <c r="E9555" s="23" t="s">
        <v>22661</v>
      </c>
      <c r="F9555" s="24" t="s">
        <v>22657</v>
      </c>
      <c r="G9555" s="25">
        <v>6</v>
      </c>
      <c r="H9555" s="32">
        <v>6</v>
      </c>
      <c r="I9555" s="33">
        <v>12</v>
      </c>
    </row>
    <row r="9556" spans="1:9" ht="15.75" thickBot="1" x14ac:dyDescent="0.3">
      <c r="A9556" s="43" t="s">
        <v>19287</v>
      </c>
      <c r="B9556" s="21" t="s">
        <v>19288</v>
      </c>
      <c r="C9556" s="21" t="s">
        <v>22663</v>
      </c>
      <c r="D9556" s="31">
        <v>1</v>
      </c>
      <c r="E9556" s="23" t="s">
        <v>22665</v>
      </c>
      <c r="F9556" s="24" t="s">
        <v>22657</v>
      </c>
      <c r="G9556" s="25">
        <v>10</v>
      </c>
      <c r="H9556" s="34">
        <v>10</v>
      </c>
      <c r="I9556" s="35">
        <v>15</v>
      </c>
    </row>
    <row r="9557" spans="1:9" ht="15.75" thickBot="1" x14ac:dyDescent="0.3">
      <c r="A9557" s="43" t="s">
        <v>19289</v>
      </c>
      <c r="B9557" s="21" t="s">
        <v>19290</v>
      </c>
      <c r="C9557" s="21" t="s">
        <v>22655</v>
      </c>
      <c r="D9557" s="22">
        <v>46034</v>
      </c>
      <c r="E9557" s="23" t="s">
        <v>22658</v>
      </c>
      <c r="F9557" s="24" t="s">
        <v>22657</v>
      </c>
      <c r="G9557" s="25">
        <v>4</v>
      </c>
      <c r="H9557" s="29"/>
      <c r="I9557" s="30"/>
    </row>
    <row r="9558" spans="1:9" ht="15.75" thickBot="1" x14ac:dyDescent="0.3">
      <c r="A9558" s="43" t="s">
        <v>19291</v>
      </c>
      <c r="B9558" s="21" t="s">
        <v>19292</v>
      </c>
      <c r="C9558" s="21" t="s">
        <v>22655</v>
      </c>
      <c r="D9558" s="22">
        <v>46034</v>
      </c>
      <c r="E9558" s="23" t="s">
        <v>22658</v>
      </c>
      <c r="F9558" s="24" t="s">
        <v>22657</v>
      </c>
      <c r="G9558" s="25">
        <v>4</v>
      </c>
      <c r="H9558" s="26"/>
      <c r="I9558" s="27"/>
    </row>
    <row r="9559" spans="1:9" ht="15.75" thickBot="1" x14ac:dyDescent="0.3">
      <c r="A9559" s="43" t="s">
        <v>19293</v>
      </c>
      <c r="B9559" s="21" t="s">
        <v>19294</v>
      </c>
      <c r="C9559" s="21" t="s">
        <v>22655</v>
      </c>
      <c r="D9559" s="22">
        <v>46034</v>
      </c>
      <c r="E9559" s="23" t="s">
        <v>22658</v>
      </c>
      <c r="F9559" s="24" t="s">
        <v>22657</v>
      </c>
      <c r="G9559" s="25">
        <v>4</v>
      </c>
      <c r="H9559" s="29"/>
      <c r="I9559" s="30"/>
    </row>
    <row r="9560" spans="1:9" ht="15.75" thickBot="1" x14ac:dyDescent="0.3">
      <c r="A9560" s="43" t="s">
        <v>19295</v>
      </c>
      <c r="B9560" s="21" t="s">
        <v>19296</v>
      </c>
      <c r="C9560" s="21" t="s">
        <v>22690</v>
      </c>
      <c r="D9560" s="31" t="s">
        <v>22779</v>
      </c>
      <c r="E9560" s="23" t="s">
        <v>22656</v>
      </c>
      <c r="F9560" s="24" t="s">
        <v>22657</v>
      </c>
      <c r="G9560" s="25">
        <v>10</v>
      </c>
      <c r="H9560" s="26"/>
      <c r="I9560" s="27"/>
    </row>
    <row r="9561" spans="1:9" ht="15.75" thickBot="1" x14ac:dyDescent="0.3">
      <c r="A9561" s="43" t="s">
        <v>19297</v>
      </c>
      <c r="B9561" s="21" t="s">
        <v>19298</v>
      </c>
      <c r="C9561" s="21" t="s">
        <v>22690</v>
      </c>
      <c r="D9561" s="31" t="s">
        <v>22779</v>
      </c>
      <c r="E9561" s="23" t="s">
        <v>22656</v>
      </c>
      <c r="F9561" s="24" t="s">
        <v>22657</v>
      </c>
      <c r="G9561" s="25">
        <v>10</v>
      </c>
      <c r="H9561" s="29"/>
      <c r="I9561" s="30"/>
    </row>
    <row r="9562" spans="1:9" ht="15.75" thickBot="1" x14ac:dyDescent="0.3">
      <c r="A9562" s="43" t="s">
        <v>19299</v>
      </c>
      <c r="B9562" s="21" t="s">
        <v>19300</v>
      </c>
      <c r="C9562" s="21" t="s">
        <v>22655</v>
      </c>
      <c r="D9562" s="22">
        <v>46034</v>
      </c>
      <c r="E9562" s="23" t="s">
        <v>22658</v>
      </c>
      <c r="F9562" s="24" t="s">
        <v>22657</v>
      </c>
      <c r="G9562" s="25">
        <v>4</v>
      </c>
      <c r="H9562" s="26"/>
      <c r="I9562" s="27"/>
    </row>
    <row r="9563" spans="1:9" ht="15.75" thickBot="1" x14ac:dyDescent="0.3">
      <c r="A9563" s="43" t="s">
        <v>217</v>
      </c>
      <c r="B9563" s="21" t="s">
        <v>218</v>
      </c>
      <c r="C9563" s="21" t="s">
        <v>22655</v>
      </c>
      <c r="D9563" s="22">
        <v>46024</v>
      </c>
      <c r="E9563" s="23" t="s">
        <v>22656</v>
      </c>
      <c r="F9563" s="24" t="s">
        <v>22657</v>
      </c>
      <c r="G9563" s="25">
        <v>2</v>
      </c>
      <c r="H9563" s="29"/>
      <c r="I9563" s="30"/>
    </row>
    <row r="9564" spans="1:9" ht="15.75" thickBot="1" x14ac:dyDescent="0.3">
      <c r="A9564" s="43" t="s">
        <v>19301</v>
      </c>
      <c r="B9564" s="21" t="s">
        <v>19302</v>
      </c>
      <c r="C9564" s="21" t="s">
        <v>22663</v>
      </c>
      <c r="D9564" s="31">
        <v>1</v>
      </c>
      <c r="E9564" s="23" t="s">
        <v>22658</v>
      </c>
      <c r="F9564" s="24" t="s">
        <v>22657</v>
      </c>
      <c r="G9564" s="25">
        <v>2</v>
      </c>
      <c r="H9564" s="26"/>
      <c r="I9564" s="27"/>
    </row>
    <row r="9565" spans="1:9" ht="15.75" thickBot="1" x14ac:dyDescent="0.3">
      <c r="A9565" s="43" t="s">
        <v>1181</v>
      </c>
      <c r="B9565" s="21" t="s">
        <v>19303</v>
      </c>
      <c r="C9565" s="21" t="s">
        <v>22655</v>
      </c>
      <c r="D9565" s="22">
        <v>46026</v>
      </c>
      <c r="E9565" s="23" t="s">
        <v>22656</v>
      </c>
      <c r="F9565" s="24" t="s">
        <v>22657</v>
      </c>
      <c r="G9565" s="25">
        <v>4</v>
      </c>
      <c r="H9565" s="32">
        <v>4</v>
      </c>
      <c r="I9565" s="33">
        <v>8</v>
      </c>
    </row>
    <row r="9566" spans="1:9" ht="15.75" thickBot="1" x14ac:dyDescent="0.3">
      <c r="A9566" s="43" t="s">
        <v>507</v>
      </c>
      <c r="B9566" s="21" t="s">
        <v>508</v>
      </c>
      <c r="C9566" s="21" t="s">
        <v>22663</v>
      </c>
      <c r="D9566" s="31">
        <v>1</v>
      </c>
      <c r="E9566" s="23" t="s">
        <v>22665</v>
      </c>
      <c r="F9566" s="24" t="s">
        <v>22657</v>
      </c>
      <c r="G9566" s="25">
        <v>10</v>
      </c>
      <c r="H9566" s="34">
        <v>10</v>
      </c>
      <c r="I9566" s="35">
        <v>12</v>
      </c>
    </row>
    <row r="9567" spans="1:9" ht="15.75" thickBot="1" x14ac:dyDescent="0.3">
      <c r="A9567" s="43" t="s">
        <v>1205</v>
      </c>
      <c r="B9567" s="21" t="s">
        <v>1206</v>
      </c>
      <c r="C9567" s="21" t="s">
        <v>22655</v>
      </c>
      <c r="D9567" s="22">
        <v>46026</v>
      </c>
      <c r="E9567" s="23" t="s">
        <v>22665</v>
      </c>
      <c r="F9567" s="24" t="s">
        <v>22657</v>
      </c>
      <c r="G9567" s="25">
        <v>12</v>
      </c>
      <c r="H9567" s="32">
        <v>12</v>
      </c>
      <c r="I9567" s="33">
        <v>20</v>
      </c>
    </row>
    <row r="9568" spans="1:9" ht="15.75" thickBot="1" x14ac:dyDescent="0.3">
      <c r="A9568" s="43" t="s">
        <v>19304</v>
      </c>
      <c r="B9568" s="21" t="s">
        <v>19305</v>
      </c>
      <c r="C9568" s="21" t="s">
        <v>22655</v>
      </c>
      <c r="D9568" s="22">
        <v>46046</v>
      </c>
      <c r="E9568" s="23" t="s">
        <v>22658</v>
      </c>
      <c r="F9568" s="24" t="s">
        <v>22657</v>
      </c>
      <c r="G9568" s="25">
        <v>8</v>
      </c>
      <c r="H9568" s="26"/>
      <c r="I9568" s="27"/>
    </row>
    <row r="9569" spans="1:9" ht="15.75" thickBot="1" x14ac:dyDescent="0.3">
      <c r="A9569" s="43" t="s">
        <v>19306</v>
      </c>
      <c r="B9569" s="21" t="s">
        <v>19307</v>
      </c>
      <c r="C9569" s="21" t="s">
        <v>22663</v>
      </c>
      <c r="D9569" s="31">
        <v>1</v>
      </c>
      <c r="E9569" s="23" t="s">
        <v>22656</v>
      </c>
      <c r="F9569" s="24" t="s">
        <v>22657</v>
      </c>
      <c r="G9569" s="25">
        <v>8</v>
      </c>
      <c r="H9569" s="32">
        <v>8</v>
      </c>
      <c r="I9569" s="33">
        <v>12</v>
      </c>
    </row>
    <row r="9570" spans="1:9" ht="15.75" thickBot="1" x14ac:dyDescent="0.3">
      <c r="A9570" s="43" t="s">
        <v>1952</v>
      </c>
      <c r="B9570" s="21" t="s">
        <v>1953</v>
      </c>
      <c r="C9570" s="21" t="s">
        <v>22698</v>
      </c>
      <c r="D9570" s="31">
        <v>1</v>
      </c>
      <c r="E9570" s="23" t="s">
        <v>22656</v>
      </c>
      <c r="F9570" s="24" t="s">
        <v>22657</v>
      </c>
      <c r="G9570" s="25">
        <v>2</v>
      </c>
      <c r="H9570" s="26"/>
      <c r="I9570" s="27"/>
    </row>
    <row r="9571" spans="1:9" ht="15.75" thickBot="1" x14ac:dyDescent="0.3">
      <c r="A9571" s="43" t="s">
        <v>19308</v>
      </c>
      <c r="B9571" s="21" t="s">
        <v>19309</v>
      </c>
      <c r="C9571" s="21" t="s">
        <v>22663</v>
      </c>
      <c r="D9571" s="31">
        <v>1</v>
      </c>
      <c r="E9571" s="23" t="s">
        <v>22661</v>
      </c>
      <c r="F9571" s="24" t="s">
        <v>22657</v>
      </c>
      <c r="G9571" s="25">
        <v>12</v>
      </c>
      <c r="H9571" s="32">
        <v>12</v>
      </c>
      <c r="I9571" s="33">
        <v>20</v>
      </c>
    </row>
    <row r="9572" spans="1:9" ht="15.75" thickBot="1" x14ac:dyDescent="0.3">
      <c r="A9572" s="43" t="s">
        <v>1874</v>
      </c>
      <c r="B9572" s="21" t="s">
        <v>1875</v>
      </c>
      <c r="C9572" s="21" t="s">
        <v>22655</v>
      </c>
      <c r="D9572" s="22">
        <v>46024</v>
      </c>
      <c r="E9572" s="23" t="s">
        <v>22656</v>
      </c>
      <c r="F9572" s="24" t="s">
        <v>22657</v>
      </c>
      <c r="G9572" s="25">
        <v>2</v>
      </c>
      <c r="H9572" s="26"/>
      <c r="I9572" s="27"/>
    </row>
    <row r="9573" spans="1:9" ht="15.75" thickBot="1" x14ac:dyDescent="0.3">
      <c r="A9573" s="43" t="s">
        <v>1601</v>
      </c>
      <c r="B9573" s="21" t="s">
        <v>1602</v>
      </c>
      <c r="C9573" s="21" t="s">
        <v>22655</v>
      </c>
      <c r="D9573" s="22">
        <v>46037</v>
      </c>
      <c r="E9573" s="23" t="s">
        <v>22656</v>
      </c>
      <c r="F9573" s="24" t="s">
        <v>22657</v>
      </c>
      <c r="G9573" s="25">
        <v>5</v>
      </c>
      <c r="H9573" s="29"/>
      <c r="I9573" s="30"/>
    </row>
    <row r="9574" spans="1:9" ht="15.75" thickBot="1" x14ac:dyDescent="0.3">
      <c r="A9574" s="43" t="s">
        <v>19310</v>
      </c>
      <c r="B9574" s="21" t="s">
        <v>19311</v>
      </c>
      <c r="C9574" s="21" t="s">
        <v>22663</v>
      </c>
      <c r="D9574" s="31">
        <v>1</v>
      </c>
      <c r="E9574" s="23" t="s">
        <v>22656</v>
      </c>
      <c r="F9574" s="24" t="s">
        <v>22657</v>
      </c>
      <c r="G9574" s="25">
        <v>4</v>
      </c>
      <c r="H9574" s="26"/>
      <c r="I9574" s="27"/>
    </row>
    <row r="9575" spans="1:9" ht="15.75" thickBot="1" x14ac:dyDescent="0.3">
      <c r="A9575" s="43" t="s">
        <v>19312</v>
      </c>
      <c r="B9575" s="21" t="s">
        <v>19313</v>
      </c>
      <c r="C9575" s="21" t="s">
        <v>22655</v>
      </c>
      <c r="D9575" s="22">
        <v>46024</v>
      </c>
      <c r="E9575" s="23" t="s">
        <v>22658</v>
      </c>
      <c r="F9575" s="28" t="s">
        <v>22659</v>
      </c>
      <c r="G9575" s="25">
        <v>1</v>
      </c>
      <c r="H9575" s="29"/>
      <c r="I9575" s="30"/>
    </row>
    <row r="9576" spans="1:9" ht="15.75" thickBot="1" x14ac:dyDescent="0.3">
      <c r="A9576" s="43" t="s">
        <v>19314</v>
      </c>
      <c r="B9576" s="21" t="s">
        <v>19315</v>
      </c>
      <c r="C9576" s="21" t="s">
        <v>22663</v>
      </c>
      <c r="D9576" s="31">
        <v>1</v>
      </c>
      <c r="E9576" s="23" t="s">
        <v>22656</v>
      </c>
      <c r="F9576" s="24" t="s">
        <v>22657</v>
      </c>
      <c r="G9576" s="25">
        <v>7</v>
      </c>
      <c r="H9576" s="26"/>
      <c r="I9576" s="27"/>
    </row>
    <row r="9577" spans="1:9" ht="15.75" thickBot="1" x14ac:dyDescent="0.3">
      <c r="A9577" s="43" t="s">
        <v>19316</v>
      </c>
      <c r="B9577" s="21" t="s">
        <v>19317</v>
      </c>
      <c r="C9577" s="21" t="s">
        <v>22698</v>
      </c>
      <c r="D9577" s="31">
        <v>1</v>
      </c>
      <c r="E9577" s="23" t="s">
        <v>22656</v>
      </c>
      <c r="F9577" s="24" t="s">
        <v>22657</v>
      </c>
      <c r="G9577" s="25">
        <v>2</v>
      </c>
      <c r="H9577" s="29"/>
      <c r="I9577" s="30"/>
    </row>
    <row r="9578" spans="1:9" ht="15.75" thickBot="1" x14ac:dyDescent="0.3">
      <c r="A9578" s="43" t="s">
        <v>19318</v>
      </c>
      <c r="B9578" s="21" t="s">
        <v>19319</v>
      </c>
      <c r="C9578" s="21" t="s">
        <v>22663</v>
      </c>
      <c r="D9578" s="31">
        <v>1</v>
      </c>
      <c r="E9578" s="23" t="s">
        <v>22661</v>
      </c>
      <c r="F9578" s="24" t="s">
        <v>22657</v>
      </c>
      <c r="G9578" s="25">
        <v>7</v>
      </c>
      <c r="H9578" s="26"/>
      <c r="I9578" s="27"/>
    </row>
    <row r="9579" spans="1:9" ht="15.75" thickBot="1" x14ac:dyDescent="0.3">
      <c r="A9579" s="43" t="s">
        <v>19320</v>
      </c>
      <c r="B9579" s="21" t="s">
        <v>19321</v>
      </c>
      <c r="C9579" s="21" t="s">
        <v>22655</v>
      </c>
      <c r="D9579" s="22">
        <v>46024</v>
      </c>
      <c r="E9579" s="23" t="s">
        <v>22658</v>
      </c>
      <c r="F9579" s="24" t="s">
        <v>22657</v>
      </c>
      <c r="G9579" s="25">
        <v>1</v>
      </c>
      <c r="H9579" s="29"/>
      <c r="I9579" s="30"/>
    </row>
    <row r="9580" spans="1:9" ht="15.75" thickBot="1" x14ac:dyDescent="0.3">
      <c r="A9580" s="43" t="s">
        <v>1237</v>
      </c>
      <c r="B9580" s="21" t="s">
        <v>19322</v>
      </c>
      <c r="C9580" s="21" t="s">
        <v>22663</v>
      </c>
      <c r="D9580" s="31">
        <v>1</v>
      </c>
      <c r="E9580" s="23" t="s">
        <v>22661</v>
      </c>
      <c r="F9580" s="24" t="s">
        <v>22657</v>
      </c>
      <c r="G9580" s="25">
        <v>3</v>
      </c>
      <c r="H9580" s="34">
        <v>3</v>
      </c>
      <c r="I9580" s="35">
        <v>4</v>
      </c>
    </row>
    <row r="9581" spans="1:9" ht="15.75" thickBot="1" x14ac:dyDescent="0.3">
      <c r="A9581" s="43" t="s">
        <v>19</v>
      </c>
      <c r="B9581" s="21" t="s">
        <v>19323</v>
      </c>
      <c r="C9581" s="21" t="s">
        <v>22655</v>
      </c>
      <c r="D9581" s="22">
        <v>46030</v>
      </c>
      <c r="E9581" s="23" t="s">
        <v>22661</v>
      </c>
      <c r="F9581" s="24" t="s">
        <v>22657</v>
      </c>
      <c r="G9581" s="25">
        <v>3</v>
      </c>
      <c r="H9581" s="32">
        <v>3</v>
      </c>
      <c r="I9581" s="33">
        <v>8</v>
      </c>
    </row>
    <row r="9582" spans="1:9" ht="15.75" thickBot="1" x14ac:dyDescent="0.3">
      <c r="A9582" s="43" t="s">
        <v>1381</v>
      </c>
      <c r="B9582" s="21" t="s">
        <v>1382</v>
      </c>
      <c r="C9582" s="21" t="s">
        <v>22655</v>
      </c>
      <c r="D9582" s="22">
        <v>46032</v>
      </c>
      <c r="E9582" s="23" t="s">
        <v>22662</v>
      </c>
      <c r="F9582" s="24" t="s">
        <v>22657</v>
      </c>
      <c r="G9582" s="25">
        <v>100</v>
      </c>
      <c r="H9582" s="34">
        <v>100</v>
      </c>
      <c r="I9582" s="35">
        <v>200</v>
      </c>
    </row>
    <row r="9583" spans="1:9" ht="15.75" thickBot="1" x14ac:dyDescent="0.3">
      <c r="A9583" s="43" t="s">
        <v>19324</v>
      </c>
      <c r="B9583" s="21" t="s">
        <v>19325</v>
      </c>
      <c r="C9583" s="21" t="s">
        <v>22655</v>
      </c>
      <c r="D9583" s="22">
        <v>46046</v>
      </c>
      <c r="E9583" s="23" t="s">
        <v>22656</v>
      </c>
      <c r="F9583" s="24" t="s">
        <v>22657</v>
      </c>
      <c r="G9583" s="25">
        <v>8</v>
      </c>
      <c r="H9583" s="29"/>
      <c r="I9583" s="30"/>
    </row>
    <row r="9584" spans="1:9" ht="15.75" thickBot="1" x14ac:dyDescent="0.3">
      <c r="A9584" s="43" t="s">
        <v>19326</v>
      </c>
      <c r="B9584" s="21" t="s">
        <v>19327</v>
      </c>
      <c r="C9584" s="21" t="s">
        <v>22682</v>
      </c>
      <c r="D9584" s="22">
        <v>46034</v>
      </c>
      <c r="E9584" s="23" t="s">
        <v>22658</v>
      </c>
      <c r="F9584" s="24" t="s">
        <v>22657</v>
      </c>
      <c r="G9584" s="25">
        <v>4</v>
      </c>
      <c r="H9584" s="26"/>
      <c r="I9584" s="27"/>
    </row>
    <row r="9585" spans="1:9" ht="15.75" thickBot="1" x14ac:dyDescent="0.3">
      <c r="A9585" s="43" t="s">
        <v>19328</v>
      </c>
      <c r="B9585" s="21" t="s">
        <v>19329</v>
      </c>
      <c r="C9585" s="21" t="s">
        <v>22682</v>
      </c>
      <c r="D9585" s="22">
        <v>46034</v>
      </c>
      <c r="E9585" s="23" t="s">
        <v>22658</v>
      </c>
      <c r="F9585" s="24" t="s">
        <v>22657</v>
      </c>
      <c r="G9585" s="25">
        <v>4</v>
      </c>
      <c r="H9585" s="29"/>
      <c r="I9585" s="30"/>
    </row>
    <row r="9586" spans="1:9" ht="15.75" thickBot="1" x14ac:dyDescent="0.3">
      <c r="A9586" s="43" t="s">
        <v>19330</v>
      </c>
      <c r="B9586" s="21" t="s">
        <v>19331</v>
      </c>
      <c r="C9586" s="21" t="s">
        <v>22682</v>
      </c>
      <c r="D9586" s="22">
        <v>46034</v>
      </c>
      <c r="E9586" s="23" t="s">
        <v>22658</v>
      </c>
      <c r="F9586" s="24" t="s">
        <v>22657</v>
      </c>
      <c r="G9586" s="25">
        <v>4</v>
      </c>
      <c r="H9586" s="26"/>
      <c r="I9586" s="27"/>
    </row>
    <row r="9587" spans="1:9" ht="15.75" thickBot="1" x14ac:dyDescent="0.3">
      <c r="A9587" s="43" t="s">
        <v>19332</v>
      </c>
      <c r="B9587" s="21" t="s">
        <v>19333</v>
      </c>
      <c r="C9587" s="21" t="s">
        <v>22663</v>
      </c>
      <c r="D9587" s="31">
        <v>1</v>
      </c>
      <c r="E9587" s="23" t="s">
        <v>22656</v>
      </c>
      <c r="F9587" s="24" t="s">
        <v>22657</v>
      </c>
      <c r="G9587" s="25">
        <v>4</v>
      </c>
      <c r="H9587" s="29"/>
      <c r="I9587" s="30"/>
    </row>
    <row r="9588" spans="1:9" ht="15.75" thickBot="1" x14ac:dyDescent="0.3">
      <c r="A9588" s="43" t="s">
        <v>19334</v>
      </c>
      <c r="B9588" s="21" t="s">
        <v>19335</v>
      </c>
      <c r="C9588" s="21" t="s">
        <v>22682</v>
      </c>
      <c r="D9588" s="22">
        <v>46034</v>
      </c>
      <c r="E9588" s="23" t="s">
        <v>22658</v>
      </c>
      <c r="F9588" s="24" t="s">
        <v>22657</v>
      </c>
      <c r="G9588" s="25">
        <v>4</v>
      </c>
      <c r="H9588" s="26"/>
      <c r="I9588" s="27"/>
    </row>
    <row r="9589" spans="1:9" ht="15.75" thickBot="1" x14ac:dyDescent="0.3">
      <c r="A9589" s="43" t="s">
        <v>19336</v>
      </c>
      <c r="B9589" s="21" t="s">
        <v>19337</v>
      </c>
      <c r="C9589" s="21" t="s">
        <v>22663</v>
      </c>
      <c r="D9589" s="31">
        <v>1</v>
      </c>
      <c r="E9589" s="23" t="s">
        <v>22656</v>
      </c>
      <c r="F9589" s="24" t="s">
        <v>22657</v>
      </c>
      <c r="G9589" s="25">
        <v>4</v>
      </c>
      <c r="H9589" s="29"/>
      <c r="I9589" s="30"/>
    </row>
    <row r="9590" spans="1:9" ht="15.75" thickBot="1" x14ac:dyDescent="0.3">
      <c r="A9590" s="43" t="s">
        <v>19338</v>
      </c>
      <c r="B9590" s="21" t="s">
        <v>19339</v>
      </c>
      <c r="C9590" s="21" t="s">
        <v>22682</v>
      </c>
      <c r="D9590" s="22">
        <v>46034</v>
      </c>
      <c r="E9590" s="23" t="s">
        <v>22658</v>
      </c>
      <c r="F9590" s="24" t="s">
        <v>22657</v>
      </c>
      <c r="G9590" s="25">
        <v>4</v>
      </c>
      <c r="H9590" s="26"/>
      <c r="I9590" s="27"/>
    </row>
    <row r="9591" spans="1:9" ht="15.75" thickBot="1" x14ac:dyDescent="0.3">
      <c r="A9591" s="43" t="s">
        <v>19340</v>
      </c>
      <c r="B9591" s="21" t="s">
        <v>19341</v>
      </c>
      <c r="C9591" s="21" t="s">
        <v>22663</v>
      </c>
      <c r="D9591" s="31">
        <v>1</v>
      </c>
      <c r="E9591" s="23" t="s">
        <v>22656</v>
      </c>
      <c r="F9591" s="24" t="s">
        <v>22657</v>
      </c>
      <c r="G9591" s="25">
        <v>4</v>
      </c>
      <c r="H9591" s="29"/>
      <c r="I9591" s="30"/>
    </row>
    <row r="9592" spans="1:9" ht="15.75" thickBot="1" x14ac:dyDescent="0.3">
      <c r="A9592" s="43" t="s">
        <v>19342</v>
      </c>
      <c r="B9592" s="21" t="s">
        <v>19343</v>
      </c>
      <c r="C9592" s="21" t="s">
        <v>22682</v>
      </c>
      <c r="D9592" s="22">
        <v>46034</v>
      </c>
      <c r="E9592" s="23" t="s">
        <v>22658</v>
      </c>
      <c r="F9592" s="24" t="s">
        <v>22657</v>
      </c>
      <c r="G9592" s="25">
        <v>4</v>
      </c>
      <c r="H9592" s="26"/>
      <c r="I9592" s="27"/>
    </row>
    <row r="9593" spans="1:9" ht="15.75" thickBot="1" x14ac:dyDescent="0.3">
      <c r="A9593" s="43" t="s">
        <v>19344</v>
      </c>
      <c r="B9593" s="21" t="s">
        <v>19345</v>
      </c>
      <c r="C9593" s="21" t="s">
        <v>22663</v>
      </c>
      <c r="D9593" s="31">
        <v>1</v>
      </c>
      <c r="E9593" s="23" t="s">
        <v>22656</v>
      </c>
      <c r="F9593" s="24" t="s">
        <v>22657</v>
      </c>
      <c r="G9593" s="25">
        <v>4</v>
      </c>
      <c r="H9593" s="29"/>
      <c r="I9593" s="30"/>
    </row>
    <row r="9594" spans="1:9" ht="15.75" thickBot="1" x14ac:dyDescent="0.3">
      <c r="A9594" s="43" t="s">
        <v>19346</v>
      </c>
      <c r="B9594" s="21" t="s">
        <v>19347</v>
      </c>
      <c r="C9594" s="21" t="s">
        <v>22682</v>
      </c>
      <c r="D9594" s="22">
        <v>46034</v>
      </c>
      <c r="E9594" s="23" t="s">
        <v>22658</v>
      </c>
      <c r="F9594" s="24" t="s">
        <v>22657</v>
      </c>
      <c r="G9594" s="25">
        <v>4</v>
      </c>
      <c r="H9594" s="26"/>
      <c r="I9594" s="27"/>
    </row>
    <row r="9595" spans="1:9" ht="15.75" thickBot="1" x14ac:dyDescent="0.3">
      <c r="A9595" s="43" t="s">
        <v>19348</v>
      </c>
      <c r="B9595" s="21" t="s">
        <v>19349</v>
      </c>
      <c r="C9595" s="21" t="s">
        <v>22663</v>
      </c>
      <c r="D9595" s="31">
        <v>1</v>
      </c>
      <c r="E9595" s="23" t="s">
        <v>22656</v>
      </c>
      <c r="F9595" s="24" t="s">
        <v>22657</v>
      </c>
      <c r="G9595" s="25">
        <v>4</v>
      </c>
      <c r="H9595" s="29"/>
      <c r="I9595" s="30"/>
    </row>
    <row r="9596" spans="1:9" ht="15.75" thickBot="1" x14ac:dyDescent="0.3">
      <c r="A9596" s="43" t="s">
        <v>19350</v>
      </c>
      <c r="B9596" s="21" t="s">
        <v>19351</v>
      </c>
      <c r="C9596" s="21" t="s">
        <v>22682</v>
      </c>
      <c r="D9596" s="22">
        <v>46034</v>
      </c>
      <c r="E9596" s="23" t="s">
        <v>22658</v>
      </c>
      <c r="F9596" s="24" t="s">
        <v>22657</v>
      </c>
      <c r="G9596" s="25">
        <v>4</v>
      </c>
      <c r="H9596" s="26"/>
      <c r="I9596" s="27"/>
    </row>
    <row r="9597" spans="1:9" ht="15.75" thickBot="1" x14ac:dyDescent="0.3">
      <c r="A9597" s="43" t="s">
        <v>19352</v>
      </c>
      <c r="B9597" s="21" t="s">
        <v>19353</v>
      </c>
      <c r="C9597" s="21" t="s">
        <v>22663</v>
      </c>
      <c r="D9597" s="31">
        <v>1</v>
      </c>
      <c r="E9597" s="23" t="s">
        <v>22656</v>
      </c>
      <c r="F9597" s="24" t="s">
        <v>22657</v>
      </c>
      <c r="G9597" s="25">
        <v>4</v>
      </c>
      <c r="H9597" s="29"/>
      <c r="I9597" s="30"/>
    </row>
    <row r="9598" spans="1:9" ht="15.75" thickBot="1" x14ac:dyDescent="0.3">
      <c r="A9598" s="43" t="s">
        <v>19354</v>
      </c>
      <c r="B9598" s="21" t="s">
        <v>19355</v>
      </c>
      <c r="C9598" s="21" t="s">
        <v>22682</v>
      </c>
      <c r="D9598" s="22">
        <v>46034</v>
      </c>
      <c r="E9598" s="23" t="s">
        <v>22658</v>
      </c>
      <c r="F9598" s="24" t="s">
        <v>22657</v>
      </c>
      <c r="G9598" s="25">
        <v>4</v>
      </c>
      <c r="H9598" s="26"/>
      <c r="I9598" s="27"/>
    </row>
    <row r="9599" spans="1:9" ht="15.75" thickBot="1" x14ac:dyDescent="0.3">
      <c r="A9599" s="43" t="s">
        <v>19356</v>
      </c>
      <c r="B9599" s="21" t="s">
        <v>19357</v>
      </c>
      <c r="C9599" s="21" t="s">
        <v>22663</v>
      </c>
      <c r="D9599" s="31">
        <v>1</v>
      </c>
      <c r="E9599" s="23" t="s">
        <v>22658</v>
      </c>
      <c r="F9599" s="24" t="s">
        <v>22657</v>
      </c>
      <c r="G9599" s="25">
        <v>4</v>
      </c>
      <c r="H9599" s="29"/>
      <c r="I9599" s="30"/>
    </row>
    <row r="9600" spans="1:9" ht="15.75" thickBot="1" x14ac:dyDescent="0.3">
      <c r="A9600" s="43" t="s">
        <v>19358</v>
      </c>
      <c r="B9600" s="21" t="s">
        <v>19359</v>
      </c>
      <c r="C9600" s="21" t="s">
        <v>22682</v>
      </c>
      <c r="D9600" s="22">
        <v>46034</v>
      </c>
      <c r="E9600" s="23" t="s">
        <v>22658</v>
      </c>
      <c r="F9600" s="24" t="s">
        <v>22657</v>
      </c>
      <c r="G9600" s="25">
        <v>4</v>
      </c>
      <c r="H9600" s="26"/>
      <c r="I9600" s="27"/>
    </row>
    <row r="9601" spans="1:9" ht="15.75" thickBot="1" x14ac:dyDescent="0.3">
      <c r="A9601" s="43" t="s">
        <v>19360</v>
      </c>
      <c r="B9601" s="21" t="s">
        <v>19361</v>
      </c>
      <c r="C9601" s="21" t="s">
        <v>22663</v>
      </c>
      <c r="D9601" s="31">
        <v>1</v>
      </c>
      <c r="E9601" s="23" t="s">
        <v>22658</v>
      </c>
      <c r="F9601" s="24" t="s">
        <v>22657</v>
      </c>
      <c r="G9601" s="25">
        <v>4</v>
      </c>
      <c r="H9601" s="29"/>
      <c r="I9601" s="30"/>
    </row>
    <row r="9602" spans="1:9" ht="15.75" thickBot="1" x14ac:dyDescent="0.3">
      <c r="A9602" s="43" t="s">
        <v>19362</v>
      </c>
      <c r="B9602" s="21" t="s">
        <v>19363</v>
      </c>
      <c r="C9602" s="21" t="s">
        <v>22682</v>
      </c>
      <c r="D9602" s="22">
        <v>46034</v>
      </c>
      <c r="E9602" s="23" t="s">
        <v>22658</v>
      </c>
      <c r="F9602" s="24" t="s">
        <v>22657</v>
      </c>
      <c r="G9602" s="25">
        <v>4</v>
      </c>
      <c r="H9602" s="26"/>
      <c r="I9602" s="27"/>
    </row>
    <row r="9603" spans="1:9" ht="15.75" thickBot="1" x14ac:dyDescent="0.3">
      <c r="A9603" s="43" t="s">
        <v>19364</v>
      </c>
      <c r="B9603" s="21" t="s">
        <v>19365</v>
      </c>
      <c r="C9603" s="21" t="s">
        <v>22682</v>
      </c>
      <c r="D9603" s="22">
        <v>46034</v>
      </c>
      <c r="E9603" s="23" t="s">
        <v>22658</v>
      </c>
      <c r="F9603" s="24" t="s">
        <v>22657</v>
      </c>
      <c r="G9603" s="25">
        <v>4</v>
      </c>
      <c r="H9603" s="29"/>
      <c r="I9603" s="30"/>
    </row>
    <row r="9604" spans="1:9" ht="15.75" thickBot="1" x14ac:dyDescent="0.3">
      <c r="A9604" s="43" t="s">
        <v>19366</v>
      </c>
      <c r="B9604" s="21" t="s">
        <v>19367</v>
      </c>
      <c r="C9604" s="21" t="s">
        <v>22682</v>
      </c>
      <c r="D9604" s="22">
        <v>46034</v>
      </c>
      <c r="E9604" s="23" t="s">
        <v>22658</v>
      </c>
      <c r="F9604" s="24" t="s">
        <v>22657</v>
      </c>
      <c r="G9604" s="25">
        <v>4</v>
      </c>
      <c r="H9604" s="26"/>
      <c r="I9604" s="27"/>
    </row>
    <row r="9605" spans="1:9" ht="15.75" thickBot="1" x14ac:dyDescent="0.3">
      <c r="A9605" s="43" t="s">
        <v>19368</v>
      </c>
      <c r="B9605" s="21" t="s">
        <v>19369</v>
      </c>
      <c r="C9605" s="21" t="s">
        <v>22682</v>
      </c>
      <c r="D9605" s="22">
        <v>46034</v>
      </c>
      <c r="E9605" s="23" t="s">
        <v>22658</v>
      </c>
      <c r="F9605" s="24" t="s">
        <v>22657</v>
      </c>
      <c r="G9605" s="25">
        <v>4</v>
      </c>
      <c r="H9605" s="29"/>
      <c r="I9605" s="30"/>
    </row>
    <row r="9606" spans="1:9" ht="15.75" thickBot="1" x14ac:dyDescent="0.3">
      <c r="A9606" s="43" t="s">
        <v>19370</v>
      </c>
      <c r="B9606" s="21" t="s">
        <v>19371</v>
      </c>
      <c r="C9606" s="21" t="s">
        <v>22682</v>
      </c>
      <c r="D9606" s="22">
        <v>46034</v>
      </c>
      <c r="E9606" s="23" t="s">
        <v>22658</v>
      </c>
      <c r="F9606" s="24" t="s">
        <v>22657</v>
      </c>
      <c r="G9606" s="25">
        <v>4</v>
      </c>
      <c r="H9606" s="26"/>
      <c r="I9606" s="27"/>
    </row>
    <row r="9607" spans="1:9" ht="15.75" thickBot="1" x14ac:dyDescent="0.3">
      <c r="A9607" s="43" t="s">
        <v>19372</v>
      </c>
      <c r="B9607" s="21" t="s">
        <v>19373</v>
      </c>
      <c r="C9607" s="21" t="s">
        <v>22663</v>
      </c>
      <c r="D9607" s="31">
        <v>1</v>
      </c>
      <c r="E9607" s="23" t="s">
        <v>22656</v>
      </c>
      <c r="F9607" s="24" t="s">
        <v>22657</v>
      </c>
      <c r="G9607" s="25">
        <v>4</v>
      </c>
      <c r="H9607" s="29"/>
      <c r="I9607" s="30"/>
    </row>
    <row r="9608" spans="1:9" ht="15.75" thickBot="1" x14ac:dyDescent="0.3">
      <c r="A9608" s="43" t="s">
        <v>19374</v>
      </c>
      <c r="B9608" s="21" t="s">
        <v>19375</v>
      </c>
      <c r="C9608" s="21" t="s">
        <v>22663</v>
      </c>
      <c r="D9608" s="31">
        <v>1</v>
      </c>
      <c r="E9608" s="23" t="s">
        <v>22656</v>
      </c>
      <c r="F9608" s="24" t="s">
        <v>22657</v>
      </c>
      <c r="G9608" s="25">
        <v>4</v>
      </c>
      <c r="H9608" s="26"/>
      <c r="I9608" s="27"/>
    </row>
    <row r="9609" spans="1:9" ht="15.75" thickBot="1" x14ac:dyDescent="0.3">
      <c r="A9609" s="43" t="s">
        <v>19376</v>
      </c>
      <c r="B9609" s="21" t="s">
        <v>19377</v>
      </c>
      <c r="C9609" s="21" t="s">
        <v>22663</v>
      </c>
      <c r="D9609" s="31">
        <v>1</v>
      </c>
      <c r="E9609" s="23" t="s">
        <v>22658</v>
      </c>
      <c r="F9609" s="24" t="s">
        <v>22657</v>
      </c>
      <c r="G9609" s="25">
        <v>4</v>
      </c>
      <c r="H9609" s="29"/>
      <c r="I9609" s="30"/>
    </row>
    <row r="9610" spans="1:9" ht="15.75" thickBot="1" x14ac:dyDescent="0.3">
      <c r="A9610" s="43" t="s">
        <v>19378</v>
      </c>
      <c r="B9610" s="21" t="s">
        <v>19379</v>
      </c>
      <c r="C9610" s="21" t="s">
        <v>22663</v>
      </c>
      <c r="D9610" s="31">
        <v>1</v>
      </c>
      <c r="E9610" s="23" t="s">
        <v>22658</v>
      </c>
      <c r="F9610" s="24" t="s">
        <v>22657</v>
      </c>
      <c r="G9610" s="25">
        <v>4</v>
      </c>
      <c r="H9610" s="26"/>
      <c r="I9610" s="27"/>
    </row>
    <row r="9611" spans="1:9" ht="15.75" thickBot="1" x14ac:dyDescent="0.3">
      <c r="A9611" s="43" t="s">
        <v>19380</v>
      </c>
      <c r="B9611" s="21" t="s">
        <v>19381</v>
      </c>
      <c r="C9611" s="21" t="s">
        <v>22663</v>
      </c>
      <c r="D9611" s="31">
        <v>1</v>
      </c>
      <c r="E9611" s="23" t="s">
        <v>22658</v>
      </c>
      <c r="F9611" s="24" t="s">
        <v>22657</v>
      </c>
      <c r="G9611" s="25">
        <v>4</v>
      </c>
      <c r="H9611" s="29"/>
      <c r="I9611" s="30"/>
    </row>
    <row r="9612" spans="1:9" ht="15.75" thickBot="1" x14ac:dyDescent="0.3">
      <c r="A9612" s="43" t="s">
        <v>19382</v>
      </c>
      <c r="B9612" s="21" t="s">
        <v>19383</v>
      </c>
      <c r="C9612" s="21" t="s">
        <v>22682</v>
      </c>
      <c r="D9612" s="22">
        <v>46034</v>
      </c>
      <c r="E9612" s="23" t="s">
        <v>22658</v>
      </c>
      <c r="F9612" s="24" t="s">
        <v>22657</v>
      </c>
      <c r="G9612" s="25">
        <v>4</v>
      </c>
      <c r="H9612" s="26"/>
      <c r="I9612" s="27"/>
    </row>
    <row r="9613" spans="1:9" ht="15.75" thickBot="1" x14ac:dyDescent="0.3">
      <c r="A9613" s="43" t="s">
        <v>19384</v>
      </c>
      <c r="B9613" s="21" t="s">
        <v>19385</v>
      </c>
      <c r="C9613" s="21" t="s">
        <v>22663</v>
      </c>
      <c r="D9613" s="31">
        <v>1</v>
      </c>
      <c r="E9613" s="23" t="s">
        <v>22656</v>
      </c>
      <c r="F9613" s="24" t="s">
        <v>22657</v>
      </c>
      <c r="G9613" s="25">
        <v>4</v>
      </c>
      <c r="H9613" s="29"/>
      <c r="I9613" s="30"/>
    </row>
    <row r="9614" spans="1:9" ht="15.75" thickBot="1" x14ac:dyDescent="0.3">
      <c r="A9614" s="43" t="s">
        <v>19386</v>
      </c>
      <c r="B9614" s="21" t="s">
        <v>19387</v>
      </c>
      <c r="C9614" s="21" t="s">
        <v>22682</v>
      </c>
      <c r="D9614" s="22">
        <v>46034</v>
      </c>
      <c r="E9614" s="23" t="s">
        <v>22658</v>
      </c>
      <c r="F9614" s="24" t="s">
        <v>22657</v>
      </c>
      <c r="G9614" s="25">
        <v>4</v>
      </c>
      <c r="H9614" s="26"/>
      <c r="I9614" s="27"/>
    </row>
    <row r="9615" spans="1:9" ht="15.75" thickBot="1" x14ac:dyDescent="0.3">
      <c r="A9615" s="43" t="s">
        <v>19388</v>
      </c>
      <c r="B9615" s="21" t="s">
        <v>19389</v>
      </c>
      <c r="C9615" s="21" t="s">
        <v>22663</v>
      </c>
      <c r="D9615" s="31">
        <v>1</v>
      </c>
      <c r="E9615" s="23" t="s">
        <v>22656</v>
      </c>
      <c r="F9615" s="24" t="s">
        <v>22657</v>
      </c>
      <c r="G9615" s="25">
        <v>4</v>
      </c>
      <c r="H9615" s="29"/>
      <c r="I9615" s="30"/>
    </row>
    <row r="9616" spans="1:9" ht="15.75" thickBot="1" x14ac:dyDescent="0.3">
      <c r="A9616" s="43" t="s">
        <v>19390</v>
      </c>
      <c r="B9616" s="21" t="s">
        <v>19391</v>
      </c>
      <c r="C9616" s="21" t="s">
        <v>22682</v>
      </c>
      <c r="D9616" s="22">
        <v>46034</v>
      </c>
      <c r="E9616" s="23" t="s">
        <v>22658</v>
      </c>
      <c r="F9616" s="24" t="s">
        <v>22657</v>
      </c>
      <c r="G9616" s="25">
        <v>4</v>
      </c>
      <c r="H9616" s="26"/>
      <c r="I9616" s="27"/>
    </row>
    <row r="9617" spans="1:9" ht="15.75" thickBot="1" x14ac:dyDescent="0.3">
      <c r="A9617" s="43" t="s">
        <v>19392</v>
      </c>
      <c r="B9617" s="21" t="s">
        <v>19393</v>
      </c>
      <c r="C9617" s="21" t="s">
        <v>22663</v>
      </c>
      <c r="D9617" s="31">
        <v>1</v>
      </c>
      <c r="E9617" s="23" t="s">
        <v>22658</v>
      </c>
      <c r="F9617" s="24" t="s">
        <v>22657</v>
      </c>
      <c r="G9617" s="25">
        <v>4</v>
      </c>
      <c r="H9617" s="29"/>
      <c r="I9617" s="30"/>
    </row>
    <row r="9618" spans="1:9" ht="15.75" thickBot="1" x14ac:dyDescent="0.3">
      <c r="A9618" s="43" t="s">
        <v>19394</v>
      </c>
      <c r="B9618" s="21" t="s">
        <v>19395</v>
      </c>
      <c r="C9618" s="21" t="s">
        <v>22682</v>
      </c>
      <c r="D9618" s="22">
        <v>46034</v>
      </c>
      <c r="E9618" s="23" t="s">
        <v>22658</v>
      </c>
      <c r="F9618" s="24" t="s">
        <v>22657</v>
      </c>
      <c r="G9618" s="25">
        <v>4</v>
      </c>
      <c r="H9618" s="26"/>
      <c r="I9618" s="27"/>
    </row>
    <row r="9619" spans="1:9" ht="15.75" thickBot="1" x14ac:dyDescent="0.3">
      <c r="A9619" s="43" t="s">
        <v>19396</v>
      </c>
      <c r="B9619" s="21" t="s">
        <v>19397</v>
      </c>
      <c r="C9619" s="21" t="s">
        <v>22663</v>
      </c>
      <c r="D9619" s="31">
        <v>1</v>
      </c>
      <c r="E9619" s="23" t="s">
        <v>22656</v>
      </c>
      <c r="F9619" s="24" t="s">
        <v>22657</v>
      </c>
      <c r="G9619" s="25">
        <v>4</v>
      </c>
      <c r="H9619" s="29"/>
      <c r="I9619" s="30"/>
    </row>
    <row r="9620" spans="1:9" ht="15.75" thickBot="1" x14ac:dyDescent="0.3">
      <c r="A9620" s="43" t="s">
        <v>19398</v>
      </c>
      <c r="B9620" s="21" t="s">
        <v>19399</v>
      </c>
      <c r="C9620" s="21" t="s">
        <v>22682</v>
      </c>
      <c r="D9620" s="22">
        <v>46034</v>
      </c>
      <c r="E9620" s="23" t="s">
        <v>22658</v>
      </c>
      <c r="F9620" s="24" t="s">
        <v>22657</v>
      </c>
      <c r="G9620" s="25">
        <v>4</v>
      </c>
      <c r="H9620" s="26"/>
      <c r="I9620" s="27"/>
    </row>
    <row r="9621" spans="1:9" ht="15.75" thickBot="1" x14ac:dyDescent="0.3">
      <c r="A9621" s="43" t="s">
        <v>19400</v>
      </c>
      <c r="B9621" s="21" t="s">
        <v>19401</v>
      </c>
      <c r="C9621" s="21" t="s">
        <v>22663</v>
      </c>
      <c r="D9621" s="31">
        <v>1</v>
      </c>
      <c r="E9621" s="23" t="s">
        <v>22658</v>
      </c>
      <c r="F9621" s="24" t="s">
        <v>22657</v>
      </c>
      <c r="G9621" s="25">
        <v>4</v>
      </c>
      <c r="H9621" s="29"/>
      <c r="I9621" s="30"/>
    </row>
    <row r="9622" spans="1:9" ht="15.75" thickBot="1" x14ac:dyDescent="0.3">
      <c r="A9622" s="43" t="s">
        <v>19402</v>
      </c>
      <c r="B9622" s="21" t="s">
        <v>19403</v>
      </c>
      <c r="C9622" s="21" t="s">
        <v>22682</v>
      </c>
      <c r="D9622" s="22">
        <v>46034</v>
      </c>
      <c r="E9622" s="23" t="s">
        <v>22658</v>
      </c>
      <c r="F9622" s="24" t="s">
        <v>22657</v>
      </c>
      <c r="G9622" s="25">
        <v>4</v>
      </c>
      <c r="H9622" s="26"/>
      <c r="I9622" s="27"/>
    </row>
    <row r="9623" spans="1:9" ht="15.75" thickBot="1" x14ac:dyDescent="0.3">
      <c r="A9623" s="43" t="s">
        <v>19404</v>
      </c>
      <c r="B9623" s="21" t="s">
        <v>19405</v>
      </c>
      <c r="C9623" s="21" t="s">
        <v>22682</v>
      </c>
      <c r="D9623" s="22">
        <v>46034</v>
      </c>
      <c r="E9623" s="23" t="s">
        <v>22658</v>
      </c>
      <c r="F9623" s="24" t="s">
        <v>22657</v>
      </c>
      <c r="G9623" s="25">
        <v>4</v>
      </c>
      <c r="H9623" s="29"/>
      <c r="I9623" s="30"/>
    </row>
    <row r="9624" spans="1:9" ht="15.75" thickBot="1" x14ac:dyDescent="0.3">
      <c r="A9624" s="43" t="s">
        <v>19406</v>
      </c>
      <c r="B9624" s="21" t="s">
        <v>19407</v>
      </c>
      <c r="C9624" s="21" t="s">
        <v>22682</v>
      </c>
      <c r="D9624" s="22">
        <v>46034</v>
      </c>
      <c r="E9624" s="23" t="s">
        <v>22658</v>
      </c>
      <c r="F9624" s="24" t="s">
        <v>22657</v>
      </c>
      <c r="G9624" s="25">
        <v>4</v>
      </c>
      <c r="H9624" s="26"/>
      <c r="I9624" s="27"/>
    </row>
    <row r="9625" spans="1:9" ht="15.75" thickBot="1" x14ac:dyDescent="0.3">
      <c r="A9625" s="43" t="s">
        <v>19408</v>
      </c>
      <c r="B9625" s="21" t="s">
        <v>19409</v>
      </c>
      <c r="C9625" s="21" t="s">
        <v>22682</v>
      </c>
      <c r="D9625" s="22">
        <v>46034</v>
      </c>
      <c r="E9625" s="23" t="s">
        <v>22658</v>
      </c>
      <c r="F9625" s="24" t="s">
        <v>22657</v>
      </c>
      <c r="G9625" s="25">
        <v>4</v>
      </c>
      <c r="H9625" s="29"/>
      <c r="I9625" s="30"/>
    </row>
    <row r="9626" spans="1:9" ht="15.75" thickBot="1" x14ac:dyDescent="0.3">
      <c r="A9626" s="43" t="s">
        <v>19410</v>
      </c>
      <c r="B9626" s="21" t="s">
        <v>19411</v>
      </c>
      <c r="C9626" s="21" t="s">
        <v>22682</v>
      </c>
      <c r="D9626" s="22">
        <v>46034</v>
      </c>
      <c r="E9626" s="23" t="s">
        <v>22658</v>
      </c>
      <c r="F9626" s="24" t="s">
        <v>22657</v>
      </c>
      <c r="G9626" s="25">
        <v>4</v>
      </c>
      <c r="H9626" s="26"/>
      <c r="I9626" s="27"/>
    </row>
    <row r="9627" spans="1:9" ht="15.75" thickBot="1" x14ac:dyDescent="0.3">
      <c r="A9627" s="43" t="s">
        <v>19412</v>
      </c>
      <c r="B9627" s="21" t="s">
        <v>19413</v>
      </c>
      <c r="C9627" s="21" t="s">
        <v>22682</v>
      </c>
      <c r="D9627" s="22">
        <v>46034</v>
      </c>
      <c r="E9627" s="23" t="s">
        <v>22656</v>
      </c>
      <c r="F9627" s="24" t="s">
        <v>22657</v>
      </c>
      <c r="G9627" s="25">
        <v>4</v>
      </c>
      <c r="H9627" s="29"/>
      <c r="I9627" s="30"/>
    </row>
    <row r="9628" spans="1:9" ht="15.75" thickBot="1" x14ac:dyDescent="0.3">
      <c r="A9628" s="43" t="s">
        <v>19414</v>
      </c>
      <c r="B9628" s="21" t="s">
        <v>19415</v>
      </c>
      <c r="C9628" s="21" t="s">
        <v>22682</v>
      </c>
      <c r="D9628" s="22">
        <v>46034</v>
      </c>
      <c r="E9628" s="23" t="s">
        <v>22656</v>
      </c>
      <c r="F9628" s="24" t="s">
        <v>22657</v>
      </c>
      <c r="G9628" s="25">
        <v>4</v>
      </c>
      <c r="H9628" s="26"/>
      <c r="I9628" s="27"/>
    </row>
    <row r="9629" spans="1:9" ht="15.75" thickBot="1" x14ac:dyDescent="0.3">
      <c r="A9629" s="43" t="s">
        <v>19416</v>
      </c>
      <c r="B9629" s="21" t="s">
        <v>19417</v>
      </c>
      <c r="C9629" s="21" t="s">
        <v>22682</v>
      </c>
      <c r="D9629" s="22">
        <v>46034</v>
      </c>
      <c r="E9629" s="23" t="s">
        <v>22658</v>
      </c>
      <c r="F9629" s="24" t="s">
        <v>22657</v>
      </c>
      <c r="G9629" s="25">
        <v>4</v>
      </c>
      <c r="H9629" s="29"/>
      <c r="I9629" s="30"/>
    </row>
    <row r="9630" spans="1:9" ht="15.75" thickBot="1" x14ac:dyDescent="0.3">
      <c r="A9630" s="43" t="s">
        <v>19418</v>
      </c>
      <c r="B9630" s="21" t="s">
        <v>19419</v>
      </c>
      <c r="C9630" s="21" t="s">
        <v>22682</v>
      </c>
      <c r="D9630" s="22">
        <v>46034</v>
      </c>
      <c r="E9630" s="23" t="s">
        <v>22656</v>
      </c>
      <c r="F9630" s="24" t="s">
        <v>22657</v>
      </c>
      <c r="G9630" s="25">
        <v>4</v>
      </c>
      <c r="H9630" s="26"/>
      <c r="I9630" s="27"/>
    </row>
    <row r="9631" spans="1:9" ht="15.75" thickBot="1" x14ac:dyDescent="0.3">
      <c r="A9631" s="43" t="s">
        <v>19420</v>
      </c>
      <c r="B9631" s="21" t="s">
        <v>19421</v>
      </c>
      <c r="C9631" s="21" t="s">
        <v>22682</v>
      </c>
      <c r="D9631" s="22">
        <v>46034</v>
      </c>
      <c r="E9631" s="23" t="s">
        <v>22656</v>
      </c>
      <c r="F9631" s="24" t="s">
        <v>22657</v>
      </c>
      <c r="G9631" s="25">
        <v>4</v>
      </c>
      <c r="H9631" s="29"/>
      <c r="I9631" s="30"/>
    </row>
    <row r="9632" spans="1:9" ht="15.75" thickBot="1" x14ac:dyDescent="0.3">
      <c r="A9632" s="43" t="s">
        <v>19422</v>
      </c>
      <c r="B9632" s="21" t="s">
        <v>19423</v>
      </c>
      <c r="C9632" s="21" t="s">
        <v>22682</v>
      </c>
      <c r="D9632" s="22">
        <v>46034</v>
      </c>
      <c r="E9632" s="23" t="s">
        <v>22656</v>
      </c>
      <c r="F9632" s="24" t="s">
        <v>22657</v>
      </c>
      <c r="G9632" s="25">
        <v>4</v>
      </c>
      <c r="H9632" s="26"/>
      <c r="I9632" s="27"/>
    </row>
    <row r="9633" spans="1:9" ht="15.75" thickBot="1" x14ac:dyDescent="0.3">
      <c r="A9633" s="43" t="s">
        <v>19424</v>
      </c>
      <c r="B9633" s="21" t="s">
        <v>19425</v>
      </c>
      <c r="C9633" s="21" t="s">
        <v>22682</v>
      </c>
      <c r="D9633" s="22">
        <v>46034</v>
      </c>
      <c r="E9633" s="23" t="s">
        <v>22656</v>
      </c>
      <c r="F9633" s="24" t="s">
        <v>22657</v>
      </c>
      <c r="G9633" s="25">
        <v>4</v>
      </c>
      <c r="H9633" s="29"/>
      <c r="I9633" s="30"/>
    </row>
    <row r="9634" spans="1:9" ht="15.75" thickBot="1" x14ac:dyDescent="0.3">
      <c r="A9634" s="43" t="s">
        <v>19426</v>
      </c>
      <c r="B9634" s="21" t="s">
        <v>19427</v>
      </c>
      <c r="C9634" s="21" t="s">
        <v>22682</v>
      </c>
      <c r="D9634" s="22">
        <v>46034</v>
      </c>
      <c r="E9634" s="23" t="s">
        <v>22656</v>
      </c>
      <c r="F9634" s="24" t="s">
        <v>22657</v>
      </c>
      <c r="G9634" s="25">
        <v>4</v>
      </c>
      <c r="H9634" s="26"/>
      <c r="I9634" s="27"/>
    </row>
    <row r="9635" spans="1:9" ht="15.75" thickBot="1" x14ac:dyDescent="0.3">
      <c r="A9635" s="43" t="s">
        <v>19428</v>
      </c>
      <c r="B9635" s="21" t="s">
        <v>19429</v>
      </c>
      <c r="C9635" s="21" t="s">
        <v>22682</v>
      </c>
      <c r="D9635" s="22">
        <v>46034</v>
      </c>
      <c r="E9635" s="23" t="s">
        <v>22658</v>
      </c>
      <c r="F9635" s="24" t="s">
        <v>22657</v>
      </c>
      <c r="G9635" s="25">
        <v>4</v>
      </c>
      <c r="H9635" s="29"/>
      <c r="I9635" s="30"/>
    </row>
    <row r="9636" spans="1:9" ht="15.75" thickBot="1" x14ac:dyDescent="0.3">
      <c r="A9636" s="43" t="s">
        <v>19430</v>
      </c>
      <c r="B9636" s="21" t="s">
        <v>19431</v>
      </c>
      <c r="C9636" s="21" t="s">
        <v>22682</v>
      </c>
      <c r="D9636" s="22">
        <v>46034</v>
      </c>
      <c r="E9636" s="23" t="s">
        <v>22658</v>
      </c>
      <c r="F9636" s="24" t="s">
        <v>22657</v>
      </c>
      <c r="G9636" s="25">
        <v>4</v>
      </c>
      <c r="H9636" s="26"/>
      <c r="I9636" s="27"/>
    </row>
    <row r="9637" spans="1:9" ht="15.75" thickBot="1" x14ac:dyDescent="0.3">
      <c r="A9637" s="43" t="s">
        <v>19432</v>
      </c>
      <c r="B9637" s="21" t="s">
        <v>19433</v>
      </c>
      <c r="C9637" s="21" t="s">
        <v>22663</v>
      </c>
      <c r="D9637" s="31">
        <v>1</v>
      </c>
      <c r="E9637" s="23" t="s">
        <v>22658</v>
      </c>
      <c r="F9637" s="24" t="s">
        <v>22657</v>
      </c>
      <c r="G9637" s="25">
        <v>4</v>
      </c>
      <c r="H9637" s="29"/>
      <c r="I9637" s="30"/>
    </row>
    <row r="9638" spans="1:9" ht="15.75" thickBot="1" x14ac:dyDescent="0.3">
      <c r="A9638" s="43" t="s">
        <v>19434</v>
      </c>
      <c r="B9638" s="21" t="s">
        <v>19435</v>
      </c>
      <c r="C9638" s="21" t="s">
        <v>22663</v>
      </c>
      <c r="D9638" s="31">
        <v>1</v>
      </c>
      <c r="E9638" s="23" t="s">
        <v>22658</v>
      </c>
      <c r="F9638" s="24" t="s">
        <v>22657</v>
      </c>
      <c r="G9638" s="25">
        <v>4</v>
      </c>
      <c r="H9638" s="26"/>
      <c r="I9638" s="27"/>
    </row>
    <row r="9639" spans="1:9" ht="15.75" thickBot="1" x14ac:dyDescent="0.3">
      <c r="A9639" s="43" t="s">
        <v>19436</v>
      </c>
      <c r="B9639" s="21" t="s">
        <v>19437</v>
      </c>
      <c r="C9639" s="21" t="s">
        <v>22663</v>
      </c>
      <c r="D9639" s="31">
        <v>1</v>
      </c>
      <c r="E9639" s="23" t="s">
        <v>22658</v>
      </c>
      <c r="F9639" s="24" t="s">
        <v>22657</v>
      </c>
      <c r="G9639" s="25">
        <v>4</v>
      </c>
      <c r="H9639" s="29"/>
      <c r="I9639" s="30"/>
    </row>
    <row r="9640" spans="1:9" ht="15.75" thickBot="1" x14ac:dyDescent="0.3">
      <c r="A9640" s="43" t="s">
        <v>19438</v>
      </c>
      <c r="B9640" s="21" t="s">
        <v>19439</v>
      </c>
      <c r="C9640" s="21" t="s">
        <v>22682</v>
      </c>
      <c r="D9640" s="22">
        <v>46034</v>
      </c>
      <c r="E9640" s="23" t="s">
        <v>22656</v>
      </c>
      <c r="F9640" s="24" t="s">
        <v>22657</v>
      </c>
      <c r="G9640" s="25">
        <v>4</v>
      </c>
      <c r="H9640" s="26"/>
      <c r="I9640" s="27"/>
    </row>
    <row r="9641" spans="1:9" ht="15.75" thickBot="1" x14ac:dyDescent="0.3">
      <c r="A9641" s="43" t="s">
        <v>19440</v>
      </c>
      <c r="B9641" s="21" t="s">
        <v>19441</v>
      </c>
      <c r="C9641" s="21" t="s">
        <v>22682</v>
      </c>
      <c r="D9641" s="22">
        <v>46034</v>
      </c>
      <c r="E9641" s="23" t="s">
        <v>22656</v>
      </c>
      <c r="F9641" s="24" t="s">
        <v>22657</v>
      </c>
      <c r="G9641" s="25">
        <v>4</v>
      </c>
      <c r="H9641" s="29"/>
      <c r="I9641" s="30"/>
    </row>
    <row r="9642" spans="1:9" ht="15.75" thickBot="1" x14ac:dyDescent="0.3">
      <c r="A9642" s="43" t="s">
        <v>19442</v>
      </c>
      <c r="B9642" s="21" t="s">
        <v>19443</v>
      </c>
      <c r="C9642" s="21" t="s">
        <v>22682</v>
      </c>
      <c r="D9642" s="22">
        <v>46034</v>
      </c>
      <c r="E9642" s="23" t="s">
        <v>22656</v>
      </c>
      <c r="F9642" s="24" t="s">
        <v>22657</v>
      </c>
      <c r="G9642" s="25">
        <v>4</v>
      </c>
      <c r="H9642" s="26"/>
      <c r="I9642" s="27"/>
    </row>
    <row r="9643" spans="1:9" ht="15.75" thickBot="1" x14ac:dyDescent="0.3">
      <c r="A9643" s="43" t="s">
        <v>19444</v>
      </c>
      <c r="B9643" s="21" t="s">
        <v>19445</v>
      </c>
      <c r="C9643" s="21" t="s">
        <v>22682</v>
      </c>
      <c r="D9643" s="22">
        <v>46034</v>
      </c>
      <c r="E9643" s="23" t="s">
        <v>22658</v>
      </c>
      <c r="F9643" s="24" t="s">
        <v>22657</v>
      </c>
      <c r="G9643" s="25">
        <v>4</v>
      </c>
      <c r="H9643" s="29"/>
      <c r="I9643" s="30"/>
    </row>
    <row r="9644" spans="1:9" ht="15.75" thickBot="1" x14ac:dyDescent="0.3">
      <c r="A9644" s="43" t="s">
        <v>19446</v>
      </c>
      <c r="B9644" s="21" t="s">
        <v>19447</v>
      </c>
      <c r="C9644" s="21" t="s">
        <v>22663</v>
      </c>
      <c r="D9644" s="31">
        <v>1</v>
      </c>
      <c r="E9644" s="23" t="s">
        <v>22661</v>
      </c>
      <c r="F9644" s="24" t="s">
        <v>22657</v>
      </c>
      <c r="G9644" s="25">
        <v>8</v>
      </c>
      <c r="H9644" s="26"/>
      <c r="I9644" s="27"/>
    </row>
    <row r="9645" spans="1:9" ht="15.75" thickBot="1" x14ac:dyDescent="0.3">
      <c r="A9645" s="43" t="s">
        <v>19448</v>
      </c>
      <c r="B9645" s="21" t="s">
        <v>19449</v>
      </c>
      <c r="C9645" s="21" t="s">
        <v>22655</v>
      </c>
      <c r="D9645" s="22">
        <v>46040</v>
      </c>
      <c r="E9645" s="23" t="s">
        <v>22656</v>
      </c>
      <c r="F9645" s="24" t="s">
        <v>22657</v>
      </c>
      <c r="G9645" s="25">
        <v>6</v>
      </c>
      <c r="H9645" s="29"/>
      <c r="I9645" s="30"/>
    </row>
    <row r="9646" spans="1:9" ht="15.75" thickBot="1" x14ac:dyDescent="0.3">
      <c r="A9646" s="43" t="s">
        <v>19450</v>
      </c>
      <c r="B9646" s="21" t="s">
        <v>19451</v>
      </c>
      <c r="C9646" s="21" t="s">
        <v>22682</v>
      </c>
      <c r="D9646" s="22">
        <v>46034</v>
      </c>
      <c r="E9646" s="23" t="s">
        <v>22658</v>
      </c>
      <c r="F9646" s="24" t="s">
        <v>22657</v>
      </c>
      <c r="G9646" s="25">
        <v>4</v>
      </c>
      <c r="H9646" s="26"/>
      <c r="I9646" s="27"/>
    </row>
    <row r="9647" spans="1:9" ht="15.75" thickBot="1" x14ac:dyDescent="0.3">
      <c r="A9647" s="43" t="s">
        <v>1845</v>
      </c>
      <c r="B9647" s="21" t="s">
        <v>1846</v>
      </c>
      <c r="C9647" s="21" t="s">
        <v>22655</v>
      </c>
      <c r="D9647" s="31" t="s">
        <v>22688</v>
      </c>
      <c r="E9647" s="23" t="s">
        <v>22665</v>
      </c>
      <c r="F9647" s="24" t="s">
        <v>22657</v>
      </c>
      <c r="G9647" s="25">
        <v>30</v>
      </c>
      <c r="H9647" s="29"/>
      <c r="I9647" s="30"/>
    </row>
    <row r="9648" spans="1:9" ht="15.75" thickBot="1" x14ac:dyDescent="0.3">
      <c r="A9648" s="43" t="s">
        <v>19452</v>
      </c>
      <c r="B9648" s="21" t="s">
        <v>19453</v>
      </c>
      <c r="C9648" s="21" t="s">
        <v>22655</v>
      </c>
      <c r="D9648" s="31" t="s">
        <v>22688</v>
      </c>
      <c r="E9648" s="23" t="s">
        <v>22658</v>
      </c>
      <c r="F9648" s="24" t="s">
        <v>22657</v>
      </c>
      <c r="G9648" s="25">
        <v>14</v>
      </c>
      <c r="H9648" s="26"/>
      <c r="I9648" s="27"/>
    </row>
    <row r="9649" spans="1:9" ht="15.75" thickBot="1" x14ac:dyDescent="0.3">
      <c r="A9649" s="43" t="s">
        <v>19454</v>
      </c>
      <c r="B9649" s="21" t="s">
        <v>19455</v>
      </c>
      <c r="C9649" s="21" t="s">
        <v>22655</v>
      </c>
      <c r="D9649" s="31" t="s">
        <v>22688</v>
      </c>
      <c r="E9649" s="23" t="s">
        <v>22662</v>
      </c>
      <c r="F9649" s="24" t="s">
        <v>22657</v>
      </c>
      <c r="G9649" s="25">
        <v>24</v>
      </c>
      <c r="H9649" s="32">
        <v>24</v>
      </c>
      <c r="I9649" s="33">
        <v>40</v>
      </c>
    </row>
    <row r="9650" spans="1:9" ht="15.75" thickBot="1" x14ac:dyDescent="0.3">
      <c r="A9650" s="43" t="s">
        <v>19456</v>
      </c>
      <c r="B9650" s="21" t="s">
        <v>19457</v>
      </c>
      <c r="C9650" s="21" t="s">
        <v>22655</v>
      </c>
      <c r="D9650" s="31" t="s">
        <v>22732</v>
      </c>
      <c r="E9650" s="23" t="s">
        <v>22656</v>
      </c>
      <c r="F9650" s="24" t="s">
        <v>22657</v>
      </c>
      <c r="G9650" s="25">
        <v>27</v>
      </c>
      <c r="H9650" s="26"/>
      <c r="I9650" s="27"/>
    </row>
    <row r="9651" spans="1:9" ht="15.75" thickBot="1" x14ac:dyDescent="0.3">
      <c r="A9651" s="43" t="s">
        <v>19458</v>
      </c>
      <c r="B9651" s="21" t="s">
        <v>19459</v>
      </c>
      <c r="C9651" s="21" t="s">
        <v>22655</v>
      </c>
      <c r="D9651" s="22">
        <v>46042</v>
      </c>
      <c r="E9651" s="23" t="s">
        <v>22656</v>
      </c>
      <c r="F9651" s="24" t="s">
        <v>22657</v>
      </c>
      <c r="G9651" s="25">
        <v>7</v>
      </c>
      <c r="H9651" s="29"/>
      <c r="I9651" s="30"/>
    </row>
    <row r="9652" spans="1:9" ht="15.75" thickBot="1" x14ac:dyDescent="0.3">
      <c r="A9652" s="43" t="s">
        <v>19460</v>
      </c>
      <c r="B9652" s="21" t="s">
        <v>19461</v>
      </c>
      <c r="C9652" s="21" t="s">
        <v>22655</v>
      </c>
      <c r="D9652" s="22">
        <v>46042</v>
      </c>
      <c r="E9652" s="23" t="s">
        <v>22656</v>
      </c>
      <c r="F9652" s="24" t="s">
        <v>22657</v>
      </c>
      <c r="G9652" s="25">
        <v>7</v>
      </c>
      <c r="H9652" s="26"/>
      <c r="I9652" s="27"/>
    </row>
    <row r="9653" spans="1:9" ht="15.75" thickBot="1" x14ac:dyDescent="0.3">
      <c r="A9653" s="43" t="s">
        <v>19462</v>
      </c>
      <c r="B9653" s="21" t="s">
        <v>19463</v>
      </c>
      <c r="C9653" s="21" t="s">
        <v>22655</v>
      </c>
      <c r="D9653" s="22">
        <v>46042</v>
      </c>
      <c r="E9653" s="23" t="s">
        <v>22658</v>
      </c>
      <c r="F9653" s="24" t="s">
        <v>22657</v>
      </c>
      <c r="G9653" s="25">
        <v>7</v>
      </c>
      <c r="H9653" s="29"/>
      <c r="I9653" s="30"/>
    </row>
    <row r="9654" spans="1:9" ht="15.75" thickBot="1" x14ac:dyDescent="0.3">
      <c r="A9654" s="43" t="s">
        <v>19464</v>
      </c>
      <c r="B9654" s="21" t="s">
        <v>19465</v>
      </c>
      <c r="C9654" s="21" t="s">
        <v>22655</v>
      </c>
      <c r="D9654" s="22">
        <v>46042</v>
      </c>
      <c r="E9654" s="23" t="s">
        <v>22658</v>
      </c>
      <c r="F9654" s="24" t="s">
        <v>22657</v>
      </c>
      <c r="G9654" s="25">
        <v>7</v>
      </c>
      <c r="H9654" s="26"/>
      <c r="I9654" s="27"/>
    </row>
    <row r="9655" spans="1:9" ht="15.75" thickBot="1" x14ac:dyDescent="0.3">
      <c r="A9655" s="43" t="s">
        <v>19466</v>
      </c>
      <c r="B9655" s="21" t="s">
        <v>19467</v>
      </c>
      <c r="C9655" s="21" t="s">
        <v>22655</v>
      </c>
      <c r="D9655" s="31" t="s">
        <v>22688</v>
      </c>
      <c r="E9655" s="23" t="s">
        <v>22656</v>
      </c>
      <c r="F9655" s="24" t="s">
        <v>22657</v>
      </c>
      <c r="G9655" s="25">
        <v>14</v>
      </c>
      <c r="H9655" s="29"/>
      <c r="I9655" s="30"/>
    </row>
    <row r="9656" spans="1:9" ht="15.75" thickBot="1" x14ac:dyDescent="0.3">
      <c r="A9656" s="43" t="s">
        <v>19468</v>
      </c>
      <c r="B9656" s="21" t="s">
        <v>19469</v>
      </c>
      <c r="C9656" s="21" t="s">
        <v>22663</v>
      </c>
      <c r="D9656" s="31">
        <v>1</v>
      </c>
      <c r="E9656" s="23" t="s">
        <v>22658</v>
      </c>
      <c r="F9656" s="24" t="s">
        <v>22657</v>
      </c>
      <c r="G9656" s="25">
        <v>4</v>
      </c>
      <c r="H9656" s="26"/>
      <c r="I9656" s="27"/>
    </row>
    <row r="9657" spans="1:9" ht="15.75" thickBot="1" x14ac:dyDescent="0.3">
      <c r="A9657" s="43" t="s">
        <v>19470</v>
      </c>
      <c r="B9657" s="21" t="s">
        <v>19471</v>
      </c>
      <c r="C9657" s="21" t="s">
        <v>22663</v>
      </c>
      <c r="D9657" s="31">
        <v>1</v>
      </c>
      <c r="E9657" s="23" t="s">
        <v>22658</v>
      </c>
      <c r="F9657" s="24" t="s">
        <v>22657</v>
      </c>
      <c r="G9657" s="25">
        <v>4</v>
      </c>
      <c r="H9657" s="29"/>
      <c r="I9657" s="30"/>
    </row>
    <row r="9658" spans="1:9" ht="15.75" thickBot="1" x14ac:dyDescent="0.3">
      <c r="A9658" s="43" t="s">
        <v>19472</v>
      </c>
      <c r="B9658" s="21" t="s">
        <v>19473</v>
      </c>
      <c r="C9658" s="21" t="s">
        <v>22663</v>
      </c>
      <c r="D9658" s="31">
        <v>1</v>
      </c>
      <c r="E9658" s="23" t="s">
        <v>22658</v>
      </c>
      <c r="F9658" s="24" t="s">
        <v>22657</v>
      </c>
      <c r="G9658" s="25">
        <v>4</v>
      </c>
      <c r="H9658" s="26"/>
      <c r="I9658" s="27"/>
    </row>
    <row r="9659" spans="1:9" ht="15.75" thickBot="1" x14ac:dyDescent="0.3">
      <c r="A9659" s="43" t="s">
        <v>19474</v>
      </c>
      <c r="B9659" s="21" t="s">
        <v>19475</v>
      </c>
      <c r="C9659" s="21" t="s">
        <v>22663</v>
      </c>
      <c r="D9659" s="31">
        <v>1</v>
      </c>
      <c r="E9659" s="23" t="s">
        <v>22658</v>
      </c>
      <c r="F9659" s="24" t="s">
        <v>22657</v>
      </c>
      <c r="G9659" s="25">
        <v>2</v>
      </c>
      <c r="H9659" s="29"/>
      <c r="I9659" s="30"/>
    </row>
    <row r="9660" spans="1:9" ht="15.75" thickBot="1" x14ac:dyDescent="0.3">
      <c r="A9660" s="43" t="s">
        <v>19476</v>
      </c>
      <c r="B9660" s="21" t="s">
        <v>19477</v>
      </c>
      <c r="C9660" s="21" t="s">
        <v>22663</v>
      </c>
      <c r="D9660" s="31">
        <v>1</v>
      </c>
      <c r="E9660" s="23" t="s">
        <v>22658</v>
      </c>
      <c r="F9660" s="24" t="s">
        <v>22657</v>
      </c>
      <c r="G9660" s="25">
        <v>4</v>
      </c>
      <c r="H9660" s="26"/>
      <c r="I9660" s="27"/>
    </row>
    <row r="9661" spans="1:9" ht="15.75" thickBot="1" x14ac:dyDescent="0.3">
      <c r="A9661" s="43" t="s">
        <v>19478</v>
      </c>
      <c r="B9661" s="21" t="s">
        <v>19479</v>
      </c>
      <c r="C9661" s="21" t="s">
        <v>22655</v>
      </c>
      <c r="D9661" s="22">
        <v>46052</v>
      </c>
      <c r="E9661" s="23" t="s">
        <v>22661</v>
      </c>
      <c r="F9661" s="24" t="s">
        <v>22657</v>
      </c>
      <c r="G9661" s="25">
        <v>10</v>
      </c>
      <c r="H9661" s="32">
        <v>10</v>
      </c>
      <c r="I9661" s="33">
        <v>15</v>
      </c>
    </row>
    <row r="9662" spans="1:9" ht="15.75" thickBot="1" x14ac:dyDescent="0.3">
      <c r="A9662" s="43" t="s">
        <v>19480</v>
      </c>
      <c r="B9662" s="21" t="s">
        <v>19481</v>
      </c>
      <c r="C9662" s="21" t="s">
        <v>22655</v>
      </c>
      <c r="D9662" s="22">
        <v>46046</v>
      </c>
      <c r="E9662" s="23" t="s">
        <v>22656</v>
      </c>
      <c r="F9662" s="24" t="s">
        <v>22657</v>
      </c>
      <c r="G9662" s="25">
        <v>2</v>
      </c>
      <c r="H9662" s="26"/>
      <c r="I9662" s="27"/>
    </row>
    <row r="9663" spans="1:9" ht="15.75" thickBot="1" x14ac:dyDescent="0.3">
      <c r="A9663" s="43" t="s">
        <v>1864</v>
      </c>
      <c r="B9663" s="21" t="s">
        <v>1865</v>
      </c>
      <c r="C9663" s="21" t="s">
        <v>22655</v>
      </c>
      <c r="D9663" s="31" t="s">
        <v>22688</v>
      </c>
      <c r="E9663" s="23" t="s">
        <v>22661</v>
      </c>
      <c r="F9663" s="24" t="s">
        <v>22657</v>
      </c>
      <c r="G9663" s="25">
        <v>12</v>
      </c>
      <c r="H9663" s="32">
        <v>12</v>
      </c>
      <c r="I9663" s="33">
        <v>24</v>
      </c>
    </row>
    <row r="9664" spans="1:9" ht="15.75" thickBot="1" x14ac:dyDescent="0.3">
      <c r="A9664" s="43" t="s">
        <v>19482</v>
      </c>
      <c r="B9664" s="21" t="s">
        <v>19483</v>
      </c>
      <c r="C9664" s="21" t="s">
        <v>22655</v>
      </c>
      <c r="D9664" s="31" t="s">
        <v>22688</v>
      </c>
      <c r="E9664" s="23" t="s">
        <v>22656</v>
      </c>
      <c r="F9664" s="24" t="s">
        <v>22657</v>
      </c>
      <c r="G9664" s="25">
        <v>6</v>
      </c>
      <c r="H9664" s="34">
        <v>6</v>
      </c>
      <c r="I9664" s="35">
        <v>12</v>
      </c>
    </row>
    <row r="9665" spans="1:9" ht="15.75" thickBot="1" x14ac:dyDescent="0.3">
      <c r="A9665" s="43" t="s">
        <v>19484</v>
      </c>
      <c r="B9665" s="21" t="s">
        <v>19485</v>
      </c>
      <c r="C9665" s="21" t="s">
        <v>22655</v>
      </c>
      <c r="D9665" s="22">
        <v>46034</v>
      </c>
      <c r="E9665" s="23" t="s">
        <v>22658</v>
      </c>
      <c r="F9665" s="28" t="s">
        <v>22659</v>
      </c>
      <c r="G9665" s="25">
        <v>1</v>
      </c>
      <c r="H9665" s="29"/>
      <c r="I9665" s="30"/>
    </row>
    <row r="9666" spans="1:9" ht="15.75" thickBot="1" x14ac:dyDescent="0.3">
      <c r="A9666" s="43" t="s">
        <v>19486</v>
      </c>
      <c r="B9666" s="21" t="s">
        <v>19487</v>
      </c>
      <c r="C9666" s="21" t="s">
        <v>22655</v>
      </c>
      <c r="D9666" s="22">
        <v>46034</v>
      </c>
      <c r="E9666" s="23" t="s">
        <v>22658</v>
      </c>
      <c r="F9666" s="28" t="s">
        <v>22659</v>
      </c>
      <c r="G9666" s="25">
        <v>1</v>
      </c>
      <c r="H9666" s="26"/>
      <c r="I9666" s="27"/>
    </row>
    <row r="9667" spans="1:9" ht="15.75" thickBot="1" x14ac:dyDescent="0.3">
      <c r="A9667" s="43" t="s">
        <v>22636</v>
      </c>
      <c r="B9667" s="21" t="s">
        <v>22637</v>
      </c>
      <c r="C9667" s="21" t="s">
        <v>22655</v>
      </c>
      <c r="D9667" s="22">
        <v>46028</v>
      </c>
      <c r="E9667" s="23" t="s">
        <v>22658</v>
      </c>
      <c r="F9667" s="28" t="s">
        <v>22659</v>
      </c>
      <c r="G9667" s="25">
        <v>1</v>
      </c>
      <c r="H9667" s="29"/>
      <c r="I9667" s="30"/>
    </row>
    <row r="9668" spans="1:9" ht="15.75" thickBot="1" x14ac:dyDescent="0.3">
      <c r="A9668" s="43" t="s">
        <v>19488</v>
      </c>
      <c r="B9668" s="21" t="s">
        <v>19489</v>
      </c>
      <c r="C9668" s="21" t="s">
        <v>22655</v>
      </c>
      <c r="D9668" s="22">
        <v>46034</v>
      </c>
      <c r="E9668" s="23" t="s">
        <v>22658</v>
      </c>
      <c r="F9668" s="28" t="s">
        <v>22659</v>
      </c>
      <c r="G9668" s="25">
        <v>1</v>
      </c>
      <c r="H9668" s="26"/>
      <c r="I9668" s="27"/>
    </row>
    <row r="9669" spans="1:9" ht="15.75" thickBot="1" x14ac:dyDescent="0.3">
      <c r="A9669" s="43" t="s">
        <v>19490</v>
      </c>
      <c r="B9669" s="21" t="s">
        <v>19491</v>
      </c>
      <c r="C9669" s="21" t="s">
        <v>22655</v>
      </c>
      <c r="D9669" s="22">
        <v>46034</v>
      </c>
      <c r="E9669" s="23" t="s">
        <v>22658</v>
      </c>
      <c r="F9669" s="24" t="s">
        <v>22657</v>
      </c>
      <c r="G9669" s="25">
        <v>1</v>
      </c>
      <c r="H9669" s="29"/>
      <c r="I9669" s="30"/>
    </row>
    <row r="9670" spans="1:9" ht="15.75" thickBot="1" x14ac:dyDescent="0.3">
      <c r="A9670" s="43" t="s">
        <v>19492</v>
      </c>
      <c r="B9670" s="21" t="s">
        <v>19493</v>
      </c>
      <c r="C9670" s="21" t="s">
        <v>22655</v>
      </c>
      <c r="D9670" s="22">
        <v>46034</v>
      </c>
      <c r="E9670" s="23" t="s">
        <v>22658</v>
      </c>
      <c r="F9670" s="24" t="s">
        <v>22657</v>
      </c>
      <c r="G9670" s="25">
        <v>1</v>
      </c>
      <c r="H9670" s="26"/>
      <c r="I9670" s="27"/>
    </row>
    <row r="9671" spans="1:9" ht="15.75" thickBot="1" x14ac:dyDescent="0.3">
      <c r="A9671" s="43" t="s">
        <v>19494</v>
      </c>
      <c r="B9671" s="21" t="s">
        <v>19495</v>
      </c>
      <c r="C9671" s="21" t="s">
        <v>22655</v>
      </c>
      <c r="D9671" s="22">
        <v>46028</v>
      </c>
      <c r="E9671" s="23" t="s">
        <v>22658</v>
      </c>
      <c r="F9671" s="24" t="s">
        <v>22657</v>
      </c>
      <c r="G9671" s="25">
        <v>1</v>
      </c>
      <c r="H9671" s="29"/>
      <c r="I9671" s="30"/>
    </row>
    <row r="9672" spans="1:9" ht="15.75" thickBot="1" x14ac:dyDescent="0.3">
      <c r="A9672" s="43" t="s">
        <v>19496</v>
      </c>
      <c r="B9672" s="21" t="s">
        <v>19497</v>
      </c>
      <c r="C9672" s="21" t="s">
        <v>22655</v>
      </c>
      <c r="D9672" s="22">
        <v>46028</v>
      </c>
      <c r="E9672" s="23" t="s">
        <v>22658</v>
      </c>
      <c r="F9672" s="24" t="s">
        <v>22657</v>
      </c>
      <c r="G9672" s="25">
        <v>1</v>
      </c>
      <c r="H9672" s="26"/>
      <c r="I9672" s="27"/>
    </row>
    <row r="9673" spans="1:9" ht="15.75" thickBot="1" x14ac:dyDescent="0.3">
      <c r="A9673" s="43" t="s">
        <v>19498</v>
      </c>
      <c r="B9673" s="21" t="s">
        <v>19499</v>
      </c>
      <c r="C9673" s="21" t="s">
        <v>22682</v>
      </c>
      <c r="D9673" s="22">
        <v>46034</v>
      </c>
      <c r="E9673" s="23" t="s">
        <v>22656</v>
      </c>
      <c r="F9673" s="24" t="s">
        <v>22657</v>
      </c>
      <c r="G9673" s="25">
        <v>4</v>
      </c>
      <c r="H9673" s="29"/>
      <c r="I9673" s="30"/>
    </row>
    <row r="9674" spans="1:9" ht="15.75" thickBot="1" x14ac:dyDescent="0.3">
      <c r="A9674" s="43" t="s">
        <v>19500</v>
      </c>
      <c r="B9674" s="21" t="s">
        <v>19501</v>
      </c>
      <c r="C9674" s="21" t="s">
        <v>22655</v>
      </c>
      <c r="D9674" s="22">
        <v>46034</v>
      </c>
      <c r="E9674" s="23" t="s">
        <v>22656</v>
      </c>
      <c r="F9674" s="24" t="s">
        <v>22657</v>
      </c>
      <c r="G9674" s="25">
        <v>17</v>
      </c>
      <c r="H9674" s="26"/>
      <c r="I9674" s="27"/>
    </row>
    <row r="9675" spans="1:9" ht="15.75" thickBot="1" x14ac:dyDescent="0.3">
      <c r="A9675" s="43" t="s">
        <v>551</v>
      </c>
      <c r="B9675" s="21" t="s">
        <v>552</v>
      </c>
      <c r="C9675" s="21" t="s">
        <v>22655</v>
      </c>
      <c r="D9675" s="22">
        <v>46034</v>
      </c>
      <c r="E9675" s="23" t="s">
        <v>22665</v>
      </c>
      <c r="F9675" s="24" t="s">
        <v>22657</v>
      </c>
      <c r="G9675" s="25">
        <v>360</v>
      </c>
      <c r="H9675" s="32">
        <v>360</v>
      </c>
      <c r="I9675" s="33">
        <v>600</v>
      </c>
    </row>
    <row r="9676" spans="1:9" ht="15.75" thickBot="1" x14ac:dyDescent="0.3">
      <c r="A9676" s="43" t="s">
        <v>19502</v>
      </c>
      <c r="B9676" s="21" t="s">
        <v>19503</v>
      </c>
      <c r="C9676" s="21" t="s">
        <v>22655</v>
      </c>
      <c r="D9676" s="22">
        <v>46034</v>
      </c>
      <c r="E9676" s="23" t="s">
        <v>22656</v>
      </c>
      <c r="F9676" s="24" t="s">
        <v>22657</v>
      </c>
      <c r="G9676" s="25">
        <v>6</v>
      </c>
      <c r="H9676" s="26"/>
      <c r="I9676" s="27"/>
    </row>
    <row r="9677" spans="1:9" ht="15.75" thickBot="1" x14ac:dyDescent="0.3">
      <c r="A9677" s="43" t="s">
        <v>19504</v>
      </c>
      <c r="B9677" s="21" t="s">
        <v>19505</v>
      </c>
      <c r="C9677" s="21" t="s">
        <v>22682</v>
      </c>
      <c r="D9677" s="22">
        <v>46034</v>
      </c>
      <c r="E9677" s="23" t="s">
        <v>22658</v>
      </c>
      <c r="F9677" s="24" t="s">
        <v>22657</v>
      </c>
      <c r="G9677" s="25">
        <v>4</v>
      </c>
      <c r="H9677" s="29"/>
      <c r="I9677" s="30"/>
    </row>
    <row r="9678" spans="1:9" ht="15.75" thickBot="1" x14ac:dyDescent="0.3">
      <c r="A9678" s="43" t="s">
        <v>19506</v>
      </c>
      <c r="B9678" s="21" t="s">
        <v>19507</v>
      </c>
      <c r="C9678" s="21" t="s">
        <v>22682</v>
      </c>
      <c r="D9678" s="22">
        <v>46034</v>
      </c>
      <c r="E9678" s="23" t="s">
        <v>22658</v>
      </c>
      <c r="F9678" s="24" t="s">
        <v>22657</v>
      </c>
      <c r="G9678" s="25">
        <v>4</v>
      </c>
      <c r="H9678" s="26"/>
      <c r="I9678" s="27"/>
    </row>
    <row r="9679" spans="1:9" ht="15.75" thickBot="1" x14ac:dyDescent="0.3">
      <c r="A9679" s="43" t="s">
        <v>19508</v>
      </c>
      <c r="B9679" s="21" t="s">
        <v>19509</v>
      </c>
      <c r="C9679" s="21" t="s">
        <v>22655</v>
      </c>
      <c r="D9679" s="22">
        <v>46034</v>
      </c>
      <c r="E9679" s="23" t="s">
        <v>22656</v>
      </c>
      <c r="F9679" s="28" t="s">
        <v>22659</v>
      </c>
      <c r="G9679" s="25">
        <v>2</v>
      </c>
      <c r="H9679" s="29"/>
      <c r="I9679" s="30"/>
    </row>
    <row r="9680" spans="1:9" ht="15.75" thickBot="1" x14ac:dyDescent="0.3">
      <c r="A9680" s="43" t="s">
        <v>19510</v>
      </c>
      <c r="B9680" s="21" t="s">
        <v>19511</v>
      </c>
      <c r="C9680" s="21" t="s">
        <v>22655</v>
      </c>
      <c r="D9680" s="22">
        <v>46034</v>
      </c>
      <c r="E9680" s="23" t="s">
        <v>22656</v>
      </c>
      <c r="F9680" s="28" t="s">
        <v>22659</v>
      </c>
      <c r="G9680" s="25">
        <v>2</v>
      </c>
      <c r="H9680" s="26"/>
      <c r="I9680" s="27"/>
    </row>
    <row r="9681" spans="1:9" ht="15.75" thickBot="1" x14ac:dyDescent="0.3">
      <c r="A9681" s="43" t="s">
        <v>19512</v>
      </c>
      <c r="B9681" s="21" t="s">
        <v>19513</v>
      </c>
      <c r="C9681" s="21" t="s">
        <v>22655</v>
      </c>
      <c r="D9681" s="22">
        <v>46040</v>
      </c>
      <c r="E9681" s="23" t="s">
        <v>22658</v>
      </c>
      <c r="F9681" s="28" t="s">
        <v>22659</v>
      </c>
      <c r="G9681" s="25">
        <v>1</v>
      </c>
      <c r="H9681" s="29"/>
      <c r="I9681" s="30"/>
    </row>
    <row r="9682" spans="1:9" ht="15.75" thickBot="1" x14ac:dyDescent="0.3">
      <c r="A9682" s="43" t="s">
        <v>19514</v>
      </c>
      <c r="B9682" s="21" t="s">
        <v>19515</v>
      </c>
      <c r="C9682" s="21" t="s">
        <v>22682</v>
      </c>
      <c r="D9682" s="22">
        <v>46034</v>
      </c>
      <c r="E9682" s="23" t="s">
        <v>22656</v>
      </c>
      <c r="F9682" s="24" t="s">
        <v>22657</v>
      </c>
      <c r="G9682" s="25">
        <v>4</v>
      </c>
      <c r="H9682" s="26"/>
      <c r="I9682" s="27"/>
    </row>
    <row r="9683" spans="1:9" ht="15.75" thickBot="1" x14ac:dyDescent="0.3">
      <c r="A9683" s="43" t="s">
        <v>19516</v>
      </c>
      <c r="B9683" s="21" t="s">
        <v>19517</v>
      </c>
      <c r="C9683" s="21" t="s">
        <v>22667</v>
      </c>
      <c r="D9683" s="31" t="s">
        <v>22687</v>
      </c>
      <c r="E9683" s="23" t="s">
        <v>22658</v>
      </c>
      <c r="F9683" s="24" t="s">
        <v>22657</v>
      </c>
      <c r="G9683" s="25">
        <v>4</v>
      </c>
      <c r="H9683" s="29"/>
      <c r="I9683" s="30"/>
    </row>
    <row r="9684" spans="1:9" ht="15.75" thickBot="1" x14ac:dyDescent="0.3">
      <c r="A9684" s="43" t="s">
        <v>19518</v>
      </c>
      <c r="B9684" s="21" t="s">
        <v>19519</v>
      </c>
      <c r="C9684" s="21" t="s">
        <v>22655</v>
      </c>
      <c r="D9684" s="31" t="s">
        <v>22660</v>
      </c>
      <c r="E9684" s="23" t="s">
        <v>22658</v>
      </c>
      <c r="F9684" s="24" t="s">
        <v>22657</v>
      </c>
      <c r="G9684" s="25">
        <v>4</v>
      </c>
      <c r="H9684" s="26"/>
      <c r="I9684" s="27"/>
    </row>
    <row r="9685" spans="1:9" ht="15.75" thickBot="1" x14ac:dyDescent="0.3">
      <c r="A9685" s="43" t="s">
        <v>19520</v>
      </c>
      <c r="B9685" s="21" t="s">
        <v>19521</v>
      </c>
      <c r="C9685" s="21" t="s">
        <v>22655</v>
      </c>
      <c r="D9685" s="22">
        <v>46034</v>
      </c>
      <c r="E9685" s="23" t="s">
        <v>22656</v>
      </c>
      <c r="F9685" s="24" t="s">
        <v>22657</v>
      </c>
      <c r="G9685" s="25">
        <v>4</v>
      </c>
      <c r="H9685" s="32">
        <v>4</v>
      </c>
      <c r="I9685" s="33">
        <v>6</v>
      </c>
    </row>
    <row r="9686" spans="1:9" ht="15.75" thickBot="1" x14ac:dyDescent="0.3">
      <c r="A9686" s="43" t="s">
        <v>19522</v>
      </c>
      <c r="B9686" s="21" t="s">
        <v>19523</v>
      </c>
      <c r="C9686" s="21" t="s">
        <v>22655</v>
      </c>
      <c r="D9686" s="22">
        <v>46034</v>
      </c>
      <c r="E9686" s="23" t="s">
        <v>22656</v>
      </c>
      <c r="F9686" s="24" t="s">
        <v>22657</v>
      </c>
      <c r="G9686" s="25">
        <v>4</v>
      </c>
      <c r="H9686" s="26"/>
      <c r="I9686" s="27"/>
    </row>
    <row r="9687" spans="1:9" ht="15.75" thickBot="1" x14ac:dyDescent="0.3">
      <c r="A9687" s="43" t="s">
        <v>19524</v>
      </c>
      <c r="B9687" s="21" t="s">
        <v>19525</v>
      </c>
      <c r="C9687" s="21" t="s">
        <v>22682</v>
      </c>
      <c r="D9687" s="22">
        <v>46034</v>
      </c>
      <c r="E9687" s="23" t="s">
        <v>22658</v>
      </c>
      <c r="F9687" s="24" t="s">
        <v>22657</v>
      </c>
      <c r="G9687" s="25">
        <v>1</v>
      </c>
      <c r="H9687" s="29"/>
      <c r="I9687" s="30"/>
    </row>
    <row r="9688" spans="1:9" ht="15.75" thickBot="1" x14ac:dyDescent="0.3">
      <c r="A9688" s="43" t="s">
        <v>1727</v>
      </c>
      <c r="B9688" s="21" t="s">
        <v>1728</v>
      </c>
      <c r="C9688" s="21" t="s">
        <v>22655</v>
      </c>
      <c r="D9688" s="31" t="s">
        <v>22673</v>
      </c>
      <c r="E9688" s="23" t="s">
        <v>22661</v>
      </c>
      <c r="F9688" s="24" t="s">
        <v>22657</v>
      </c>
      <c r="G9688" s="25">
        <v>40</v>
      </c>
      <c r="H9688" s="34">
        <v>40</v>
      </c>
      <c r="I9688" s="35">
        <v>60</v>
      </c>
    </row>
    <row r="9689" spans="1:9" ht="15.75" thickBot="1" x14ac:dyDescent="0.3">
      <c r="A9689" s="43" t="s">
        <v>1587</v>
      </c>
      <c r="B9689" s="21" t="s">
        <v>1588</v>
      </c>
      <c r="C9689" s="21" t="s">
        <v>22655</v>
      </c>
      <c r="D9689" s="31" t="s">
        <v>22683</v>
      </c>
      <c r="E9689" s="23" t="s">
        <v>22662</v>
      </c>
      <c r="F9689" s="24" t="s">
        <v>22657</v>
      </c>
      <c r="G9689" s="25">
        <v>60</v>
      </c>
      <c r="H9689" s="32">
        <v>60</v>
      </c>
      <c r="I9689" s="33">
        <v>100</v>
      </c>
    </row>
    <row r="9690" spans="1:9" ht="15.75" thickBot="1" x14ac:dyDescent="0.3">
      <c r="A9690" s="43" t="s">
        <v>1467</v>
      </c>
      <c r="B9690" s="21" t="s">
        <v>1468</v>
      </c>
      <c r="C9690" s="21" t="s">
        <v>22655</v>
      </c>
      <c r="D9690" s="31" t="s">
        <v>22683</v>
      </c>
      <c r="E9690" s="23" t="s">
        <v>22662</v>
      </c>
      <c r="F9690" s="24" t="s">
        <v>22657</v>
      </c>
      <c r="G9690" s="25">
        <v>60</v>
      </c>
      <c r="H9690" s="34">
        <v>60</v>
      </c>
      <c r="I9690" s="35">
        <v>120</v>
      </c>
    </row>
    <row r="9691" spans="1:9" ht="15.75" thickBot="1" x14ac:dyDescent="0.3">
      <c r="A9691" s="43" t="s">
        <v>19526</v>
      </c>
      <c r="B9691" s="21" t="s">
        <v>19527</v>
      </c>
      <c r="C9691" s="21" t="s">
        <v>22698</v>
      </c>
      <c r="D9691" s="31">
        <v>1</v>
      </c>
      <c r="E9691" s="23" t="s">
        <v>22658</v>
      </c>
      <c r="F9691" s="24" t="s">
        <v>22657</v>
      </c>
      <c r="G9691" s="25">
        <v>2</v>
      </c>
      <c r="H9691" s="29"/>
      <c r="I9691" s="30"/>
    </row>
    <row r="9692" spans="1:9" ht="15.75" thickBot="1" x14ac:dyDescent="0.3">
      <c r="A9692" s="43" t="s">
        <v>19528</v>
      </c>
      <c r="B9692" s="21" t="s">
        <v>19529</v>
      </c>
      <c r="C9692" s="21" t="s">
        <v>22663</v>
      </c>
      <c r="D9692" s="31">
        <v>1</v>
      </c>
      <c r="E9692" s="23" t="s">
        <v>22658</v>
      </c>
      <c r="F9692" s="24" t="s">
        <v>22657</v>
      </c>
      <c r="G9692" s="25">
        <v>4</v>
      </c>
      <c r="H9692" s="26"/>
      <c r="I9692" s="27"/>
    </row>
    <row r="9693" spans="1:9" ht="15.75" thickBot="1" x14ac:dyDescent="0.3">
      <c r="A9693" s="43" t="s">
        <v>19530</v>
      </c>
      <c r="B9693" s="21" t="s">
        <v>19531</v>
      </c>
      <c r="C9693" s="21" t="s">
        <v>22663</v>
      </c>
      <c r="D9693" s="31">
        <v>1</v>
      </c>
      <c r="E9693" s="23" t="s">
        <v>22658</v>
      </c>
      <c r="F9693" s="24" t="s">
        <v>22657</v>
      </c>
      <c r="G9693" s="25">
        <v>4</v>
      </c>
      <c r="H9693" s="29"/>
      <c r="I9693" s="30"/>
    </row>
    <row r="9694" spans="1:9" ht="15.75" thickBot="1" x14ac:dyDescent="0.3">
      <c r="A9694" s="43" t="s">
        <v>19532</v>
      </c>
      <c r="B9694" s="21" t="s">
        <v>19533</v>
      </c>
      <c r="C9694" s="21" t="s">
        <v>22663</v>
      </c>
      <c r="D9694" s="31">
        <v>1</v>
      </c>
      <c r="E9694" s="23" t="s">
        <v>22658</v>
      </c>
      <c r="F9694" s="24" t="s">
        <v>22657</v>
      </c>
      <c r="G9694" s="25">
        <v>2</v>
      </c>
      <c r="H9694" s="26"/>
      <c r="I9694" s="27"/>
    </row>
    <row r="9695" spans="1:9" ht="15.75" thickBot="1" x14ac:dyDescent="0.3">
      <c r="A9695" s="43" t="s">
        <v>19534</v>
      </c>
      <c r="B9695" s="21" t="s">
        <v>19535</v>
      </c>
      <c r="C9695" s="21" t="s">
        <v>22709</v>
      </c>
      <c r="D9695" s="31">
        <v>1</v>
      </c>
      <c r="E9695" s="23" t="s">
        <v>22658</v>
      </c>
      <c r="F9695" s="28" t="s">
        <v>22659</v>
      </c>
      <c r="G9695" s="25">
        <v>1</v>
      </c>
      <c r="H9695" s="29"/>
      <c r="I9695" s="30"/>
    </row>
    <row r="9696" spans="1:9" ht="15.75" thickBot="1" x14ac:dyDescent="0.3">
      <c r="A9696" s="43" t="s">
        <v>19536</v>
      </c>
      <c r="B9696" s="21" t="s">
        <v>19537</v>
      </c>
      <c r="C9696" s="21" t="s">
        <v>22663</v>
      </c>
      <c r="D9696" s="31">
        <v>1</v>
      </c>
      <c r="E9696" s="23" t="s">
        <v>22658</v>
      </c>
      <c r="F9696" s="24" t="s">
        <v>22657</v>
      </c>
      <c r="G9696" s="25">
        <v>4</v>
      </c>
      <c r="H9696" s="26"/>
      <c r="I9696" s="27"/>
    </row>
    <row r="9697" spans="1:9" ht="15.75" thickBot="1" x14ac:dyDescent="0.3">
      <c r="A9697" s="43" t="s">
        <v>19538</v>
      </c>
      <c r="B9697" s="21" t="s">
        <v>19539</v>
      </c>
      <c r="C9697" s="21" t="s">
        <v>22663</v>
      </c>
      <c r="D9697" s="31">
        <v>1</v>
      </c>
      <c r="E9697" s="23" t="s">
        <v>22658</v>
      </c>
      <c r="F9697" s="24" t="s">
        <v>22657</v>
      </c>
      <c r="G9697" s="25">
        <v>4</v>
      </c>
      <c r="H9697" s="29"/>
      <c r="I9697" s="30"/>
    </row>
    <row r="9698" spans="1:9" ht="15.75" thickBot="1" x14ac:dyDescent="0.3">
      <c r="A9698" s="43" t="s">
        <v>19540</v>
      </c>
      <c r="B9698" s="21" t="s">
        <v>19541</v>
      </c>
      <c r="C9698" s="21" t="s">
        <v>22655</v>
      </c>
      <c r="D9698" s="22">
        <v>46032</v>
      </c>
      <c r="E9698" s="23" t="s">
        <v>22658</v>
      </c>
      <c r="F9698" s="24" t="s">
        <v>22657</v>
      </c>
      <c r="G9698" s="25">
        <v>4</v>
      </c>
      <c r="H9698" s="26"/>
      <c r="I9698" s="27"/>
    </row>
    <row r="9699" spans="1:9" ht="15.75" thickBot="1" x14ac:dyDescent="0.3">
      <c r="A9699" s="43" t="s">
        <v>19542</v>
      </c>
      <c r="B9699" s="21" t="s">
        <v>19543</v>
      </c>
      <c r="C9699" s="21" t="s">
        <v>22690</v>
      </c>
      <c r="D9699" s="31" t="s">
        <v>22860</v>
      </c>
      <c r="E9699" s="23" t="s">
        <v>22658</v>
      </c>
      <c r="F9699" s="24" t="s">
        <v>22657</v>
      </c>
      <c r="G9699" s="25">
        <v>4</v>
      </c>
      <c r="H9699" s="29"/>
      <c r="I9699" s="30"/>
    </row>
    <row r="9700" spans="1:9" ht="15.75" thickBot="1" x14ac:dyDescent="0.3">
      <c r="A9700" s="43" t="s">
        <v>19544</v>
      </c>
      <c r="B9700" s="21" t="s">
        <v>19545</v>
      </c>
      <c r="C9700" s="21" t="s">
        <v>22663</v>
      </c>
      <c r="D9700" s="31">
        <v>1</v>
      </c>
      <c r="E9700" s="23" t="s">
        <v>22656</v>
      </c>
      <c r="F9700" s="24" t="s">
        <v>22657</v>
      </c>
      <c r="G9700" s="25">
        <v>4</v>
      </c>
      <c r="H9700" s="26"/>
      <c r="I9700" s="27"/>
    </row>
    <row r="9701" spans="1:9" ht="15.75" thickBot="1" x14ac:dyDescent="0.3">
      <c r="A9701" s="43" t="s">
        <v>1269</v>
      </c>
      <c r="B9701" s="21" t="s">
        <v>19546</v>
      </c>
      <c r="C9701" s="21" t="s">
        <v>22655</v>
      </c>
      <c r="D9701" s="22">
        <v>46042</v>
      </c>
      <c r="E9701" s="23" t="s">
        <v>22656</v>
      </c>
      <c r="F9701" s="24" t="s">
        <v>22657</v>
      </c>
      <c r="G9701" s="25">
        <v>4</v>
      </c>
      <c r="H9701" s="29"/>
      <c r="I9701" s="30"/>
    </row>
    <row r="9702" spans="1:9" ht="15.75" thickBot="1" x14ac:dyDescent="0.3">
      <c r="A9702" s="43" t="s">
        <v>19547</v>
      </c>
      <c r="B9702" s="21" t="s">
        <v>19548</v>
      </c>
      <c r="C9702" s="21" t="s">
        <v>22663</v>
      </c>
      <c r="D9702" s="31">
        <v>1</v>
      </c>
      <c r="E9702" s="23" t="s">
        <v>22656</v>
      </c>
      <c r="F9702" s="24" t="s">
        <v>22657</v>
      </c>
      <c r="G9702" s="25">
        <v>4</v>
      </c>
      <c r="H9702" s="26"/>
      <c r="I9702" s="27"/>
    </row>
    <row r="9703" spans="1:9" ht="15.75" thickBot="1" x14ac:dyDescent="0.3">
      <c r="A9703" s="43" t="s">
        <v>19549</v>
      </c>
      <c r="B9703" s="21" t="s">
        <v>19550</v>
      </c>
      <c r="C9703" s="21" t="s">
        <v>22655</v>
      </c>
      <c r="D9703" s="31" t="s">
        <v>22688</v>
      </c>
      <c r="E9703" s="23" t="s">
        <v>22656</v>
      </c>
      <c r="F9703" s="24" t="s">
        <v>22657</v>
      </c>
      <c r="G9703" s="25">
        <v>4</v>
      </c>
      <c r="H9703" s="29"/>
      <c r="I9703" s="30"/>
    </row>
    <row r="9704" spans="1:9" ht="15.75" thickBot="1" x14ac:dyDescent="0.3">
      <c r="A9704" s="43" t="s">
        <v>19551</v>
      </c>
      <c r="B9704" s="21" t="s">
        <v>19552</v>
      </c>
      <c r="C9704" s="21" t="s">
        <v>22655</v>
      </c>
      <c r="D9704" s="31" t="s">
        <v>22775</v>
      </c>
      <c r="E9704" s="23" t="s">
        <v>22665</v>
      </c>
      <c r="F9704" s="24" t="s">
        <v>22657</v>
      </c>
      <c r="G9704" s="25">
        <v>24</v>
      </c>
      <c r="H9704" s="34">
        <v>24</v>
      </c>
      <c r="I9704" s="35">
        <v>36</v>
      </c>
    </row>
    <row r="9705" spans="1:9" ht="15.75" thickBot="1" x14ac:dyDescent="0.3">
      <c r="A9705" s="43" t="s">
        <v>19553</v>
      </c>
      <c r="B9705" s="21" t="s">
        <v>19554</v>
      </c>
      <c r="C9705" s="21" t="s">
        <v>22682</v>
      </c>
      <c r="D9705" s="22">
        <v>46034</v>
      </c>
      <c r="E9705" s="23" t="s">
        <v>22658</v>
      </c>
      <c r="F9705" s="24" t="s">
        <v>22657</v>
      </c>
      <c r="G9705" s="25">
        <v>4</v>
      </c>
      <c r="H9705" s="29"/>
      <c r="I9705" s="30"/>
    </row>
    <row r="9706" spans="1:9" ht="15.75" thickBot="1" x14ac:dyDescent="0.3">
      <c r="A9706" s="43" t="s">
        <v>19555</v>
      </c>
      <c r="B9706" s="21" t="s">
        <v>19556</v>
      </c>
      <c r="C9706" s="21" t="s">
        <v>22682</v>
      </c>
      <c r="D9706" s="22">
        <v>46034</v>
      </c>
      <c r="E9706" s="23" t="s">
        <v>22656</v>
      </c>
      <c r="F9706" s="24" t="s">
        <v>22657</v>
      </c>
      <c r="G9706" s="25">
        <v>4</v>
      </c>
      <c r="H9706" s="26"/>
      <c r="I9706" s="27"/>
    </row>
    <row r="9707" spans="1:9" ht="15.75" thickBot="1" x14ac:dyDescent="0.3">
      <c r="A9707" s="43" t="s">
        <v>19557</v>
      </c>
      <c r="B9707" s="21" t="s">
        <v>19558</v>
      </c>
      <c r="C9707" s="21" t="s">
        <v>22682</v>
      </c>
      <c r="D9707" s="22">
        <v>46034</v>
      </c>
      <c r="E9707" s="23" t="s">
        <v>22656</v>
      </c>
      <c r="F9707" s="24" t="s">
        <v>22657</v>
      </c>
      <c r="G9707" s="25">
        <v>4</v>
      </c>
      <c r="H9707" s="29"/>
      <c r="I9707" s="30"/>
    </row>
    <row r="9708" spans="1:9" ht="15.75" thickBot="1" x14ac:dyDescent="0.3">
      <c r="A9708" s="43" t="s">
        <v>19559</v>
      </c>
      <c r="B9708" s="21" t="s">
        <v>19560</v>
      </c>
      <c r="C9708" s="21" t="s">
        <v>22663</v>
      </c>
      <c r="D9708" s="31">
        <v>1</v>
      </c>
      <c r="E9708" s="23" t="s">
        <v>22658</v>
      </c>
      <c r="F9708" s="24" t="s">
        <v>22657</v>
      </c>
      <c r="G9708" s="25">
        <v>1</v>
      </c>
      <c r="H9708" s="26"/>
      <c r="I9708" s="27"/>
    </row>
    <row r="9709" spans="1:9" ht="15.75" thickBot="1" x14ac:dyDescent="0.3">
      <c r="A9709" s="43" t="s">
        <v>19561</v>
      </c>
      <c r="B9709" s="21" t="s">
        <v>19562</v>
      </c>
      <c r="C9709" s="21" t="s">
        <v>22663</v>
      </c>
      <c r="D9709" s="31">
        <v>1</v>
      </c>
      <c r="E9709" s="23" t="s">
        <v>22658</v>
      </c>
      <c r="F9709" s="24" t="s">
        <v>22657</v>
      </c>
      <c r="G9709" s="25">
        <v>1</v>
      </c>
      <c r="H9709" s="29"/>
      <c r="I9709" s="30"/>
    </row>
    <row r="9710" spans="1:9" ht="15.75" thickBot="1" x14ac:dyDescent="0.3">
      <c r="A9710" s="43" t="s">
        <v>19563</v>
      </c>
      <c r="B9710" s="21" t="s">
        <v>19564</v>
      </c>
      <c r="C9710" s="21" t="s">
        <v>22655</v>
      </c>
      <c r="D9710" s="22">
        <v>46034</v>
      </c>
      <c r="E9710" s="23" t="s">
        <v>22658</v>
      </c>
      <c r="F9710" s="24" t="s">
        <v>22657</v>
      </c>
      <c r="G9710" s="25">
        <v>1</v>
      </c>
      <c r="H9710" s="26"/>
      <c r="I9710" s="27"/>
    </row>
    <row r="9711" spans="1:9" ht="15.75" thickBot="1" x14ac:dyDescent="0.3">
      <c r="A9711" s="43" t="s">
        <v>19565</v>
      </c>
      <c r="B9711" s="21" t="s">
        <v>19566</v>
      </c>
      <c r="C9711" s="21" t="s">
        <v>22655</v>
      </c>
      <c r="D9711" s="31" t="s">
        <v>22823</v>
      </c>
      <c r="E9711" s="23" t="s">
        <v>22661</v>
      </c>
      <c r="F9711" s="24" t="s">
        <v>22657</v>
      </c>
      <c r="G9711" s="25">
        <v>5</v>
      </c>
      <c r="H9711" s="29"/>
      <c r="I9711" s="30"/>
    </row>
    <row r="9712" spans="1:9" ht="15.75" thickBot="1" x14ac:dyDescent="0.3">
      <c r="A9712" s="43" t="s">
        <v>19567</v>
      </c>
      <c r="B9712" s="21" t="s">
        <v>19568</v>
      </c>
      <c r="C9712" s="21" t="s">
        <v>22655</v>
      </c>
      <c r="D9712" s="31" t="s">
        <v>22822</v>
      </c>
      <c r="E9712" s="23" t="s">
        <v>22656</v>
      </c>
      <c r="F9712" s="24" t="s">
        <v>22657</v>
      </c>
      <c r="G9712" s="25">
        <v>4</v>
      </c>
      <c r="H9712" s="26"/>
      <c r="I9712" s="27"/>
    </row>
    <row r="9713" spans="1:9" ht="15.75" thickBot="1" x14ac:dyDescent="0.3">
      <c r="A9713" s="43" t="s">
        <v>19569</v>
      </c>
      <c r="B9713" s="21" t="s">
        <v>19568</v>
      </c>
      <c r="C9713" s="21" t="s">
        <v>22655</v>
      </c>
      <c r="D9713" s="31" t="s">
        <v>22683</v>
      </c>
      <c r="E9713" s="23" t="s">
        <v>22661</v>
      </c>
      <c r="F9713" s="24" t="s">
        <v>22657</v>
      </c>
      <c r="G9713" s="25">
        <v>10</v>
      </c>
      <c r="H9713" s="29"/>
      <c r="I9713" s="30"/>
    </row>
    <row r="9714" spans="1:9" ht="15.75" thickBot="1" x14ac:dyDescent="0.3">
      <c r="A9714" s="43" t="s">
        <v>19572</v>
      </c>
      <c r="B9714" s="21" t="s">
        <v>19571</v>
      </c>
      <c r="C9714" s="21" t="s">
        <v>22655</v>
      </c>
      <c r="D9714" s="31" t="s">
        <v>22673</v>
      </c>
      <c r="E9714" s="23" t="s">
        <v>22656</v>
      </c>
      <c r="F9714" s="24" t="s">
        <v>22657</v>
      </c>
      <c r="G9714" s="25">
        <v>11</v>
      </c>
      <c r="H9714" s="26"/>
      <c r="I9714" s="27"/>
    </row>
    <row r="9715" spans="1:9" ht="15.75" thickBot="1" x14ac:dyDescent="0.3">
      <c r="A9715" s="43" t="s">
        <v>19570</v>
      </c>
      <c r="B9715" s="21" t="s">
        <v>19571</v>
      </c>
      <c r="C9715" s="21" t="s">
        <v>22655</v>
      </c>
      <c r="D9715" s="31" t="s">
        <v>22673</v>
      </c>
      <c r="E9715" s="23" t="s">
        <v>22656</v>
      </c>
      <c r="F9715" s="24" t="s">
        <v>22657</v>
      </c>
      <c r="G9715" s="25">
        <v>7</v>
      </c>
      <c r="H9715" s="29"/>
      <c r="I9715" s="30"/>
    </row>
    <row r="9716" spans="1:9" ht="15.75" thickBot="1" x14ac:dyDescent="0.3">
      <c r="A9716" s="43" t="s">
        <v>19575</v>
      </c>
      <c r="B9716" s="21" t="s">
        <v>19574</v>
      </c>
      <c r="C9716" s="21" t="s">
        <v>22655</v>
      </c>
      <c r="D9716" s="31" t="s">
        <v>22683</v>
      </c>
      <c r="E9716" s="23" t="s">
        <v>22658</v>
      </c>
      <c r="F9716" s="24" t="s">
        <v>22657</v>
      </c>
      <c r="G9716" s="25">
        <v>4</v>
      </c>
      <c r="H9716" s="26"/>
      <c r="I9716" s="27"/>
    </row>
    <row r="9717" spans="1:9" ht="15.75" thickBot="1" x14ac:dyDescent="0.3">
      <c r="A9717" s="43" t="s">
        <v>19573</v>
      </c>
      <c r="B9717" s="21" t="s">
        <v>19574</v>
      </c>
      <c r="C9717" s="21" t="s">
        <v>22655</v>
      </c>
      <c r="D9717" s="31" t="s">
        <v>22822</v>
      </c>
      <c r="E9717" s="23" t="s">
        <v>22656</v>
      </c>
      <c r="F9717" s="24" t="s">
        <v>22657</v>
      </c>
      <c r="G9717" s="25">
        <v>6</v>
      </c>
      <c r="H9717" s="29"/>
      <c r="I9717" s="30"/>
    </row>
    <row r="9718" spans="1:9" ht="15.75" thickBot="1" x14ac:dyDescent="0.3">
      <c r="A9718" s="43" t="s">
        <v>19576</v>
      </c>
      <c r="B9718" s="21" t="s">
        <v>19577</v>
      </c>
      <c r="C9718" s="21" t="s">
        <v>22672</v>
      </c>
      <c r="D9718" s="22">
        <v>46042</v>
      </c>
      <c r="E9718" s="23" t="s">
        <v>22656</v>
      </c>
      <c r="F9718" s="24" t="s">
        <v>22657</v>
      </c>
      <c r="G9718" s="25">
        <v>7</v>
      </c>
      <c r="H9718" s="26"/>
      <c r="I9718" s="27"/>
    </row>
    <row r="9719" spans="1:9" ht="15.75" thickBot="1" x14ac:dyDescent="0.3">
      <c r="A9719" s="43" t="s">
        <v>19578</v>
      </c>
      <c r="B9719" s="21" t="s">
        <v>19579</v>
      </c>
      <c r="C9719" s="21" t="s">
        <v>22655</v>
      </c>
      <c r="D9719" s="22">
        <v>46038</v>
      </c>
      <c r="E9719" s="23" t="s">
        <v>22656</v>
      </c>
      <c r="F9719" s="24" t="s">
        <v>22657</v>
      </c>
      <c r="G9719" s="25">
        <v>6</v>
      </c>
      <c r="H9719" s="29"/>
      <c r="I9719" s="30"/>
    </row>
    <row r="9720" spans="1:9" ht="15.75" thickBot="1" x14ac:dyDescent="0.3">
      <c r="A9720" s="43" t="s">
        <v>1023</v>
      </c>
      <c r="B9720" s="21" t="s">
        <v>1024</v>
      </c>
      <c r="C9720" s="21" t="s">
        <v>22655</v>
      </c>
      <c r="D9720" s="22">
        <v>46034</v>
      </c>
      <c r="E9720" s="23" t="s">
        <v>22665</v>
      </c>
      <c r="F9720" s="24" t="s">
        <v>22657</v>
      </c>
      <c r="G9720" s="25">
        <v>20</v>
      </c>
      <c r="H9720" s="34">
        <v>20</v>
      </c>
      <c r="I9720" s="35">
        <v>40</v>
      </c>
    </row>
    <row r="9721" spans="1:9" ht="15.75" thickBot="1" x14ac:dyDescent="0.3">
      <c r="A9721" s="43" t="s">
        <v>19580</v>
      </c>
      <c r="B9721" s="21" t="s">
        <v>19581</v>
      </c>
      <c r="C9721" s="21" t="s">
        <v>22655</v>
      </c>
      <c r="D9721" s="22">
        <v>46034</v>
      </c>
      <c r="E9721" s="23" t="s">
        <v>22656</v>
      </c>
      <c r="F9721" s="24" t="s">
        <v>22657</v>
      </c>
      <c r="G9721" s="25">
        <v>4</v>
      </c>
      <c r="H9721" s="29"/>
      <c r="I9721" s="30"/>
    </row>
    <row r="9722" spans="1:9" ht="15.75" thickBot="1" x14ac:dyDescent="0.3">
      <c r="A9722" s="43" t="s">
        <v>19582</v>
      </c>
      <c r="B9722" s="21" t="s">
        <v>19583</v>
      </c>
      <c r="C9722" s="21" t="s">
        <v>22655</v>
      </c>
      <c r="D9722" s="22">
        <v>46034</v>
      </c>
      <c r="E9722" s="23" t="s">
        <v>22656</v>
      </c>
      <c r="F9722" s="24" t="s">
        <v>22657</v>
      </c>
      <c r="G9722" s="25">
        <v>7</v>
      </c>
      <c r="H9722" s="26"/>
      <c r="I9722" s="27"/>
    </row>
    <row r="9723" spans="1:9" ht="15.75" thickBot="1" x14ac:dyDescent="0.3">
      <c r="A9723" s="43" t="s">
        <v>19584</v>
      </c>
      <c r="B9723" s="21" t="s">
        <v>19585</v>
      </c>
      <c r="C9723" s="21" t="s">
        <v>22655</v>
      </c>
      <c r="D9723" s="22">
        <v>46034</v>
      </c>
      <c r="E9723" s="23" t="s">
        <v>22656</v>
      </c>
      <c r="F9723" s="24" t="s">
        <v>22657</v>
      </c>
      <c r="G9723" s="25">
        <v>4</v>
      </c>
      <c r="H9723" s="29"/>
      <c r="I9723" s="30"/>
    </row>
    <row r="9724" spans="1:9" ht="15.75" thickBot="1" x14ac:dyDescent="0.3">
      <c r="A9724" s="43" t="s">
        <v>19586</v>
      </c>
      <c r="B9724" s="21" t="s">
        <v>19587</v>
      </c>
      <c r="C9724" s="21" t="s">
        <v>22655</v>
      </c>
      <c r="D9724" s="22">
        <v>46034</v>
      </c>
      <c r="E9724" s="23" t="s">
        <v>22661</v>
      </c>
      <c r="F9724" s="24" t="s">
        <v>22657</v>
      </c>
      <c r="G9724" s="25">
        <v>6</v>
      </c>
      <c r="H9724" s="34">
        <v>6</v>
      </c>
      <c r="I9724" s="35">
        <v>12</v>
      </c>
    </row>
    <row r="9725" spans="1:9" ht="15.75" thickBot="1" x14ac:dyDescent="0.3">
      <c r="A9725" s="43" t="s">
        <v>663</v>
      </c>
      <c r="B9725" s="21" t="s">
        <v>664</v>
      </c>
      <c r="C9725" s="21" t="s">
        <v>22655</v>
      </c>
      <c r="D9725" s="22">
        <v>46042</v>
      </c>
      <c r="E9725" s="23" t="s">
        <v>22665</v>
      </c>
      <c r="F9725" s="24" t="s">
        <v>22657</v>
      </c>
      <c r="G9725" s="25">
        <v>16</v>
      </c>
      <c r="H9725" s="29"/>
      <c r="I9725" s="30"/>
    </row>
    <row r="9726" spans="1:9" ht="15.75" thickBot="1" x14ac:dyDescent="0.3">
      <c r="A9726" s="43" t="s">
        <v>647</v>
      </c>
      <c r="B9726" s="21" t="s">
        <v>648</v>
      </c>
      <c r="C9726" s="21" t="s">
        <v>22655</v>
      </c>
      <c r="D9726" s="22">
        <v>46042</v>
      </c>
      <c r="E9726" s="23" t="s">
        <v>22656</v>
      </c>
      <c r="F9726" s="24" t="s">
        <v>22657</v>
      </c>
      <c r="G9726" s="25">
        <v>7</v>
      </c>
      <c r="H9726" s="26"/>
      <c r="I9726" s="27"/>
    </row>
    <row r="9727" spans="1:9" ht="15.75" thickBot="1" x14ac:dyDescent="0.3">
      <c r="A9727" s="43" t="s">
        <v>637</v>
      </c>
      <c r="B9727" s="21" t="s">
        <v>638</v>
      </c>
      <c r="C9727" s="21" t="s">
        <v>22655</v>
      </c>
      <c r="D9727" s="22">
        <v>46042</v>
      </c>
      <c r="E9727" s="23" t="s">
        <v>22661</v>
      </c>
      <c r="F9727" s="24" t="s">
        <v>22657</v>
      </c>
      <c r="G9727" s="25">
        <v>9</v>
      </c>
      <c r="H9727" s="29"/>
      <c r="I9727" s="30"/>
    </row>
    <row r="9728" spans="1:9" ht="15.75" thickBot="1" x14ac:dyDescent="0.3">
      <c r="A9728" s="43" t="s">
        <v>333</v>
      </c>
      <c r="B9728" s="21" t="s">
        <v>334</v>
      </c>
      <c r="C9728" s="21" t="s">
        <v>22655</v>
      </c>
      <c r="D9728" s="22">
        <v>46042</v>
      </c>
      <c r="E9728" s="23" t="s">
        <v>22656</v>
      </c>
      <c r="F9728" s="24" t="s">
        <v>22657</v>
      </c>
      <c r="G9728" s="25">
        <v>7</v>
      </c>
      <c r="H9728" s="26"/>
      <c r="I9728" s="27"/>
    </row>
    <row r="9729" spans="1:9" ht="15.75" thickBot="1" x14ac:dyDescent="0.3">
      <c r="A9729" s="43" t="s">
        <v>255</v>
      </c>
      <c r="B9729" s="21" t="s">
        <v>256</v>
      </c>
      <c r="C9729" s="21" t="s">
        <v>22655</v>
      </c>
      <c r="D9729" s="22">
        <v>46042</v>
      </c>
      <c r="E9729" s="23" t="s">
        <v>22661</v>
      </c>
      <c r="F9729" s="24" t="s">
        <v>22657</v>
      </c>
      <c r="G9729" s="25">
        <v>20</v>
      </c>
      <c r="H9729" s="32">
        <v>20</v>
      </c>
      <c r="I9729" s="33">
        <v>40</v>
      </c>
    </row>
    <row r="9730" spans="1:9" ht="15.75" thickBot="1" x14ac:dyDescent="0.3">
      <c r="A9730" s="43" t="s">
        <v>19588</v>
      </c>
      <c r="B9730" s="21" t="s">
        <v>19589</v>
      </c>
      <c r="C9730" s="21" t="s">
        <v>22655</v>
      </c>
      <c r="D9730" s="22">
        <v>46042</v>
      </c>
      <c r="E9730" s="23" t="s">
        <v>22656</v>
      </c>
      <c r="F9730" s="24" t="s">
        <v>22657</v>
      </c>
      <c r="G9730" s="25">
        <v>7</v>
      </c>
      <c r="H9730" s="26"/>
      <c r="I9730" s="27"/>
    </row>
    <row r="9731" spans="1:9" ht="15.75" thickBot="1" x14ac:dyDescent="0.3">
      <c r="A9731" s="43" t="s">
        <v>123</v>
      </c>
      <c r="B9731" s="21" t="s">
        <v>124</v>
      </c>
      <c r="C9731" s="21" t="s">
        <v>22655</v>
      </c>
      <c r="D9731" s="22">
        <v>46042</v>
      </c>
      <c r="E9731" s="23" t="s">
        <v>22661</v>
      </c>
      <c r="F9731" s="24" t="s">
        <v>22657</v>
      </c>
      <c r="G9731" s="25">
        <v>21</v>
      </c>
      <c r="H9731" s="29"/>
      <c r="I9731" s="30"/>
    </row>
    <row r="9732" spans="1:9" ht="15.75" thickBot="1" x14ac:dyDescent="0.3">
      <c r="A9732" s="43" t="s">
        <v>1187</v>
      </c>
      <c r="B9732" s="21" t="s">
        <v>1188</v>
      </c>
      <c r="C9732" s="21" t="s">
        <v>22655</v>
      </c>
      <c r="D9732" s="22">
        <v>46042</v>
      </c>
      <c r="E9732" s="23" t="s">
        <v>22656</v>
      </c>
      <c r="F9732" s="24" t="s">
        <v>22657</v>
      </c>
      <c r="G9732" s="25">
        <v>12</v>
      </c>
      <c r="H9732" s="26"/>
      <c r="I9732" s="27"/>
    </row>
    <row r="9733" spans="1:9" ht="15.75" thickBot="1" x14ac:dyDescent="0.3">
      <c r="A9733" s="43" t="s">
        <v>181</v>
      </c>
      <c r="B9733" s="21" t="s">
        <v>182</v>
      </c>
      <c r="C9733" s="21" t="s">
        <v>22655</v>
      </c>
      <c r="D9733" s="22">
        <v>46042</v>
      </c>
      <c r="E9733" s="23" t="s">
        <v>22661</v>
      </c>
      <c r="F9733" s="24" t="s">
        <v>22657</v>
      </c>
      <c r="G9733" s="25">
        <v>10</v>
      </c>
      <c r="H9733" s="29"/>
      <c r="I9733" s="30"/>
    </row>
    <row r="9734" spans="1:9" ht="15.75" thickBot="1" x14ac:dyDescent="0.3">
      <c r="A9734" s="43" t="s">
        <v>423</v>
      </c>
      <c r="B9734" s="21" t="s">
        <v>19590</v>
      </c>
      <c r="C9734" s="21" t="s">
        <v>22655</v>
      </c>
      <c r="D9734" s="22">
        <v>46028</v>
      </c>
      <c r="E9734" s="23" t="s">
        <v>22656</v>
      </c>
      <c r="F9734" s="24" t="s">
        <v>22657</v>
      </c>
      <c r="G9734" s="25">
        <v>6</v>
      </c>
      <c r="H9734" s="34">
        <v>6</v>
      </c>
      <c r="I9734" s="35">
        <v>12</v>
      </c>
    </row>
    <row r="9735" spans="1:9" ht="15.75" thickBot="1" x14ac:dyDescent="0.3">
      <c r="A9735" s="43" t="s">
        <v>19591</v>
      </c>
      <c r="B9735" s="21" t="s">
        <v>19592</v>
      </c>
      <c r="C9735" s="21" t="s">
        <v>22655</v>
      </c>
      <c r="D9735" s="22">
        <v>46042</v>
      </c>
      <c r="E9735" s="23" t="s">
        <v>22656</v>
      </c>
      <c r="F9735" s="24" t="s">
        <v>22657</v>
      </c>
      <c r="G9735" s="25">
        <v>7</v>
      </c>
      <c r="H9735" s="29"/>
      <c r="I9735" s="30"/>
    </row>
    <row r="9736" spans="1:9" ht="15.75" thickBot="1" x14ac:dyDescent="0.3">
      <c r="A9736" s="43" t="s">
        <v>19593</v>
      </c>
      <c r="B9736" s="21" t="s">
        <v>19594</v>
      </c>
      <c r="C9736" s="21" t="s">
        <v>22655</v>
      </c>
      <c r="D9736" s="22">
        <v>46042</v>
      </c>
      <c r="E9736" s="23" t="s">
        <v>22656</v>
      </c>
      <c r="F9736" s="24" t="s">
        <v>22657</v>
      </c>
      <c r="G9736" s="25">
        <v>7</v>
      </c>
      <c r="H9736" s="26"/>
      <c r="I9736" s="27"/>
    </row>
    <row r="9737" spans="1:9" ht="15.75" thickBot="1" x14ac:dyDescent="0.3">
      <c r="A9737" s="43" t="s">
        <v>229</v>
      </c>
      <c r="B9737" s="21" t="s">
        <v>230</v>
      </c>
      <c r="C9737" s="21" t="s">
        <v>22655</v>
      </c>
      <c r="D9737" s="22">
        <v>46028</v>
      </c>
      <c r="E9737" s="23" t="s">
        <v>22656</v>
      </c>
      <c r="F9737" s="24" t="s">
        <v>22657</v>
      </c>
      <c r="G9737" s="25">
        <v>3</v>
      </c>
      <c r="H9737" s="29"/>
      <c r="I9737" s="30"/>
    </row>
    <row r="9738" spans="1:9" ht="15.75" thickBot="1" x14ac:dyDescent="0.3">
      <c r="A9738" s="43" t="s">
        <v>19595</v>
      </c>
      <c r="B9738" s="21" t="s">
        <v>19596</v>
      </c>
      <c r="C9738" s="21" t="s">
        <v>22655</v>
      </c>
      <c r="D9738" s="22">
        <v>46042</v>
      </c>
      <c r="E9738" s="23" t="s">
        <v>22661</v>
      </c>
      <c r="F9738" s="24" t="s">
        <v>22657</v>
      </c>
      <c r="G9738" s="25">
        <v>20</v>
      </c>
      <c r="H9738" s="34">
        <v>20</v>
      </c>
      <c r="I9738" s="35">
        <v>24</v>
      </c>
    </row>
    <row r="9739" spans="1:9" ht="15.75" thickBot="1" x14ac:dyDescent="0.3">
      <c r="A9739" s="43" t="s">
        <v>129</v>
      </c>
      <c r="B9739" s="21" t="s">
        <v>130</v>
      </c>
      <c r="C9739" s="21" t="s">
        <v>22655</v>
      </c>
      <c r="D9739" s="22">
        <v>46028</v>
      </c>
      <c r="E9739" s="23" t="s">
        <v>22661</v>
      </c>
      <c r="F9739" s="24" t="s">
        <v>22657</v>
      </c>
      <c r="G9739" s="25">
        <v>12</v>
      </c>
      <c r="H9739" s="32">
        <v>12</v>
      </c>
      <c r="I9739" s="33">
        <v>18</v>
      </c>
    </row>
    <row r="9740" spans="1:9" ht="15.75" thickBot="1" x14ac:dyDescent="0.3">
      <c r="A9740" s="43" t="s">
        <v>1149</v>
      </c>
      <c r="B9740" s="21" t="s">
        <v>1150</v>
      </c>
      <c r="C9740" s="21" t="s">
        <v>22655</v>
      </c>
      <c r="D9740" s="22">
        <v>46028</v>
      </c>
      <c r="E9740" s="23" t="s">
        <v>22656</v>
      </c>
      <c r="F9740" s="24" t="s">
        <v>22657</v>
      </c>
      <c r="G9740" s="25">
        <v>2</v>
      </c>
      <c r="H9740" s="26"/>
      <c r="I9740" s="27"/>
    </row>
    <row r="9741" spans="1:9" ht="15.75" thickBot="1" x14ac:dyDescent="0.3">
      <c r="A9741" s="43" t="s">
        <v>1057</v>
      </c>
      <c r="B9741" s="21" t="s">
        <v>1058</v>
      </c>
      <c r="C9741" s="21" t="s">
        <v>22655</v>
      </c>
      <c r="D9741" s="22">
        <v>46042</v>
      </c>
      <c r="E9741" s="23" t="s">
        <v>22656</v>
      </c>
      <c r="F9741" s="24" t="s">
        <v>22657</v>
      </c>
      <c r="G9741" s="25">
        <v>6</v>
      </c>
      <c r="H9741" s="32">
        <v>6</v>
      </c>
      <c r="I9741" s="33">
        <v>10</v>
      </c>
    </row>
    <row r="9742" spans="1:9" ht="15.75" thickBot="1" x14ac:dyDescent="0.3">
      <c r="A9742" s="43" t="s">
        <v>1255</v>
      </c>
      <c r="B9742" s="21" t="s">
        <v>1256</v>
      </c>
      <c r="C9742" s="21" t="s">
        <v>22655</v>
      </c>
      <c r="D9742" s="22">
        <v>46042</v>
      </c>
      <c r="E9742" s="23" t="s">
        <v>22661</v>
      </c>
      <c r="F9742" s="24" t="s">
        <v>22657</v>
      </c>
      <c r="G9742" s="25">
        <v>12</v>
      </c>
      <c r="H9742" s="34">
        <v>12</v>
      </c>
      <c r="I9742" s="35">
        <v>20</v>
      </c>
    </row>
    <row r="9743" spans="1:9" ht="15.75" thickBot="1" x14ac:dyDescent="0.3">
      <c r="A9743" s="43" t="s">
        <v>19597</v>
      </c>
      <c r="B9743" s="21" t="s">
        <v>19598</v>
      </c>
      <c r="C9743" s="21" t="s">
        <v>22655</v>
      </c>
      <c r="D9743" s="22">
        <v>46042</v>
      </c>
      <c r="E9743" s="23" t="s">
        <v>22656</v>
      </c>
      <c r="F9743" s="24" t="s">
        <v>22657</v>
      </c>
      <c r="G9743" s="25">
        <v>7</v>
      </c>
      <c r="H9743" s="29"/>
      <c r="I9743" s="30"/>
    </row>
    <row r="9744" spans="1:9" ht="15.75" thickBot="1" x14ac:dyDescent="0.3">
      <c r="A9744" s="43" t="s">
        <v>719</v>
      </c>
      <c r="B9744" s="21" t="s">
        <v>720</v>
      </c>
      <c r="C9744" s="21" t="s">
        <v>22655</v>
      </c>
      <c r="D9744" s="22">
        <v>46042</v>
      </c>
      <c r="E9744" s="23" t="s">
        <v>22661</v>
      </c>
      <c r="F9744" s="24" t="s">
        <v>22657</v>
      </c>
      <c r="G9744" s="25">
        <v>9</v>
      </c>
      <c r="H9744" s="26"/>
      <c r="I9744" s="27"/>
    </row>
    <row r="9745" spans="1:9" ht="15.75" thickBot="1" x14ac:dyDescent="0.3">
      <c r="A9745" s="43" t="s">
        <v>159</v>
      </c>
      <c r="B9745" s="21" t="s">
        <v>160</v>
      </c>
      <c r="C9745" s="21" t="s">
        <v>22655</v>
      </c>
      <c r="D9745" s="31" t="s">
        <v>22688</v>
      </c>
      <c r="E9745" s="23" t="s">
        <v>22661</v>
      </c>
      <c r="F9745" s="24" t="s">
        <v>22657</v>
      </c>
      <c r="G9745" s="25">
        <v>24</v>
      </c>
      <c r="H9745" s="29"/>
      <c r="I9745" s="30"/>
    </row>
    <row r="9746" spans="1:9" ht="15.75" thickBot="1" x14ac:dyDescent="0.3">
      <c r="A9746" s="43" t="s">
        <v>457</v>
      </c>
      <c r="B9746" s="21" t="s">
        <v>458</v>
      </c>
      <c r="C9746" s="21" t="s">
        <v>22655</v>
      </c>
      <c r="D9746" s="22">
        <v>46046</v>
      </c>
      <c r="E9746" s="23" t="s">
        <v>22661</v>
      </c>
      <c r="F9746" s="24" t="s">
        <v>22657</v>
      </c>
      <c r="G9746" s="25">
        <v>10</v>
      </c>
      <c r="H9746" s="26"/>
      <c r="I9746" s="27"/>
    </row>
    <row r="9747" spans="1:9" ht="15.75" thickBot="1" x14ac:dyDescent="0.3">
      <c r="A9747" s="43" t="s">
        <v>211</v>
      </c>
      <c r="B9747" s="21" t="s">
        <v>212</v>
      </c>
      <c r="C9747" s="21" t="s">
        <v>22655</v>
      </c>
      <c r="D9747" s="22">
        <v>46046</v>
      </c>
      <c r="E9747" s="23" t="s">
        <v>22665</v>
      </c>
      <c r="F9747" s="24" t="s">
        <v>22657</v>
      </c>
      <c r="G9747" s="25">
        <v>16</v>
      </c>
      <c r="H9747" s="29"/>
      <c r="I9747" s="30"/>
    </row>
    <row r="9748" spans="1:9" ht="15.75" thickBot="1" x14ac:dyDescent="0.3">
      <c r="A9748" s="43" t="s">
        <v>499</v>
      </c>
      <c r="B9748" s="21" t="s">
        <v>500</v>
      </c>
      <c r="C9748" s="21" t="s">
        <v>22655</v>
      </c>
      <c r="D9748" s="22">
        <v>46046</v>
      </c>
      <c r="E9748" s="23" t="s">
        <v>22665</v>
      </c>
      <c r="F9748" s="24" t="s">
        <v>22657</v>
      </c>
      <c r="G9748" s="25">
        <v>24</v>
      </c>
      <c r="H9748" s="34">
        <v>24</v>
      </c>
      <c r="I9748" s="35">
        <v>48</v>
      </c>
    </row>
    <row r="9749" spans="1:9" ht="15.75" thickBot="1" x14ac:dyDescent="0.3">
      <c r="A9749" s="43" t="s">
        <v>19599</v>
      </c>
      <c r="B9749" s="21" t="s">
        <v>19600</v>
      </c>
      <c r="C9749" s="21" t="s">
        <v>22655</v>
      </c>
      <c r="D9749" s="22">
        <v>46042</v>
      </c>
      <c r="E9749" s="23" t="s">
        <v>22658</v>
      </c>
      <c r="F9749" s="24" t="s">
        <v>22657</v>
      </c>
      <c r="G9749" s="25">
        <v>7</v>
      </c>
      <c r="H9749" s="29"/>
      <c r="I9749" s="30"/>
    </row>
    <row r="9750" spans="1:9" ht="15.75" thickBot="1" x14ac:dyDescent="0.3">
      <c r="A9750" s="43" t="s">
        <v>19601</v>
      </c>
      <c r="B9750" s="21" t="s">
        <v>19602</v>
      </c>
      <c r="C9750" s="21" t="s">
        <v>22655</v>
      </c>
      <c r="D9750" s="22">
        <v>46042</v>
      </c>
      <c r="E9750" s="23" t="s">
        <v>22656</v>
      </c>
      <c r="F9750" s="24" t="s">
        <v>22657</v>
      </c>
      <c r="G9750" s="25">
        <v>7</v>
      </c>
      <c r="H9750" s="26"/>
      <c r="I9750" s="27"/>
    </row>
    <row r="9751" spans="1:9" ht="15.75" thickBot="1" x14ac:dyDescent="0.3">
      <c r="A9751" s="43" t="s">
        <v>19603</v>
      </c>
      <c r="B9751" s="21" t="s">
        <v>19604</v>
      </c>
      <c r="C9751" s="21" t="s">
        <v>22655</v>
      </c>
      <c r="D9751" s="22">
        <v>46042</v>
      </c>
      <c r="E9751" s="23" t="s">
        <v>22656</v>
      </c>
      <c r="F9751" s="24" t="s">
        <v>22657</v>
      </c>
      <c r="G9751" s="25">
        <v>7</v>
      </c>
      <c r="H9751" s="29"/>
      <c r="I9751" s="30"/>
    </row>
    <row r="9752" spans="1:9" ht="15.75" thickBot="1" x14ac:dyDescent="0.3">
      <c r="A9752" s="43" t="s">
        <v>19605</v>
      </c>
      <c r="B9752" s="21" t="s">
        <v>19606</v>
      </c>
      <c r="C9752" s="21" t="s">
        <v>22655</v>
      </c>
      <c r="D9752" s="22">
        <v>46046</v>
      </c>
      <c r="E9752" s="23" t="s">
        <v>22661</v>
      </c>
      <c r="F9752" s="24" t="s">
        <v>22657</v>
      </c>
      <c r="G9752" s="25">
        <v>10</v>
      </c>
      <c r="H9752" s="26"/>
      <c r="I9752" s="27"/>
    </row>
    <row r="9753" spans="1:9" ht="15.75" thickBot="1" x14ac:dyDescent="0.3">
      <c r="A9753" s="43" t="s">
        <v>19607</v>
      </c>
      <c r="B9753" s="21" t="s">
        <v>19608</v>
      </c>
      <c r="C9753" s="21" t="s">
        <v>22655</v>
      </c>
      <c r="D9753" s="22">
        <v>46042</v>
      </c>
      <c r="E9753" s="23" t="s">
        <v>22658</v>
      </c>
      <c r="F9753" s="24" t="s">
        <v>22657</v>
      </c>
      <c r="G9753" s="25">
        <v>7</v>
      </c>
      <c r="H9753" s="29"/>
      <c r="I9753" s="30"/>
    </row>
    <row r="9754" spans="1:9" ht="15.75" thickBot="1" x14ac:dyDescent="0.3">
      <c r="A9754" s="43" t="s">
        <v>19609</v>
      </c>
      <c r="B9754" s="21" t="s">
        <v>19610</v>
      </c>
      <c r="C9754" s="21" t="s">
        <v>22655</v>
      </c>
      <c r="D9754" s="22">
        <v>46042</v>
      </c>
      <c r="E9754" s="23" t="s">
        <v>22656</v>
      </c>
      <c r="F9754" s="24" t="s">
        <v>22657</v>
      </c>
      <c r="G9754" s="25">
        <v>7</v>
      </c>
      <c r="H9754" s="26"/>
      <c r="I9754" s="27"/>
    </row>
    <row r="9755" spans="1:9" ht="15.75" thickBot="1" x14ac:dyDescent="0.3">
      <c r="A9755" s="43" t="s">
        <v>1723</v>
      </c>
      <c r="B9755" s="21" t="s">
        <v>1724</v>
      </c>
      <c r="C9755" s="21" t="s">
        <v>22655</v>
      </c>
      <c r="D9755" s="22">
        <v>46042</v>
      </c>
      <c r="E9755" s="23" t="s">
        <v>22661</v>
      </c>
      <c r="F9755" s="24" t="s">
        <v>22657</v>
      </c>
      <c r="G9755" s="25">
        <v>7</v>
      </c>
      <c r="H9755" s="29"/>
      <c r="I9755" s="30"/>
    </row>
    <row r="9756" spans="1:9" ht="15.75" thickBot="1" x14ac:dyDescent="0.3">
      <c r="A9756" s="43" t="s">
        <v>275</v>
      </c>
      <c r="B9756" s="21" t="s">
        <v>276</v>
      </c>
      <c r="C9756" s="21" t="s">
        <v>22655</v>
      </c>
      <c r="D9756" s="22">
        <v>46042</v>
      </c>
      <c r="E9756" s="23" t="s">
        <v>22656</v>
      </c>
      <c r="F9756" s="24" t="s">
        <v>22657</v>
      </c>
      <c r="G9756" s="25">
        <v>9</v>
      </c>
      <c r="H9756" s="26"/>
      <c r="I9756" s="27"/>
    </row>
    <row r="9757" spans="1:9" ht="15.75" thickBot="1" x14ac:dyDescent="0.3">
      <c r="A9757" s="43" t="s">
        <v>163</v>
      </c>
      <c r="B9757" s="21" t="s">
        <v>164</v>
      </c>
      <c r="C9757" s="21" t="s">
        <v>22655</v>
      </c>
      <c r="D9757" s="22">
        <v>46042</v>
      </c>
      <c r="E9757" s="23" t="s">
        <v>22661</v>
      </c>
      <c r="F9757" s="24" t="s">
        <v>22657</v>
      </c>
      <c r="G9757" s="25">
        <v>9</v>
      </c>
      <c r="H9757" s="29"/>
      <c r="I9757" s="30"/>
    </row>
    <row r="9758" spans="1:9" ht="15.75" thickBot="1" x14ac:dyDescent="0.3">
      <c r="A9758" s="43" t="s">
        <v>937</v>
      </c>
      <c r="B9758" s="21" t="s">
        <v>938</v>
      </c>
      <c r="C9758" s="21" t="s">
        <v>22655</v>
      </c>
      <c r="D9758" s="22">
        <v>46042</v>
      </c>
      <c r="E9758" s="23" t="s">
        <v>22661</v>
      </c>
      <c r="F9758" s="24" t="s">
        <v>22657</v>
      </c>
      <c r="G9758" s="25">
        <v>12</v>
      </c>
      <c r="H9758" s="34">
        <v>12</v>
      </c>
      <c r="I9758" s="35">
        <v>20</v>
      </c>
    </row>
    <row r="9759" spans="1:9" ht="15.75" thickBot="1" x14ac:dyDescent="0.3">
      <c r="A9759" s="43" t="s">
        <v>289</v>
      </c>
      <c r="B9759" s="21" t="s">
        <v>290</v>
      </c>
      <c r="C9759" s="21" t="s">
        <v>22655</v>
      </c>
      <c r="D9759" s="22">
        <v>46042</v>
      </c>
      <c r="E9759" s="23" t="s">
        <v>22656</v>
      </c>
      <c r="F9759" s="24" t="s">
        <v>22657</v>
      </c>
      <c r="G9759" s="25">
        <v>26</v>
      </c>
      <c r="H9759" s="29"/>
      <c r="I9759" s="30"/>
    </row>
    <row r="9760" spans="1:9" ht="15.75" thickBot="1" x14ac:dyDescent="0.3">
      <c r="A9760" s="43" t="s">
        <v>856</v>
      </c>
      <c r="B9760" s="21" t="s">
        <v>857</v>
      </c>
      <c r="C9760" s="21" t="s">
        <v>22655</v>
      </c>
      <c r="D9760" s="22">
        <v>46042</v>
      </c>
      <c r="E9760" s="23" t="s">
        <v>22661</v>
      </c>
      <c r="F9760" s="24" t="s">
        <v>22657</v>
      </c>
      <c r="G9760" s="25">
        <v>11</v>
      </c>
      <c r="H9760" s="26"/>
      <c r="I9760" s="27"/>
    </row>
    <row r="9761" spans="1:9" ht="15.75" thickBot="1" x14ac:dyDescent="0.3">
      <c r="A9761" s="43" t="s">
        <v>19611</v>
      </c>
      <c r="B9761" s="21" t="s">
        <v>19612</v>
      </c>
      <c r="C9761" s="21" t="s">
        <v>22655</v>
      </c>
      <c r="D9761" s="22">
        <v>46042</v>
      </c>
      <c r="E9761" s="23" t="s">
        <v>22656</v>
      </c>
      <c r="F9761" s="24" t="s">
        <v>22657</v>
      </c>
      <c r="G9761" s="25">
        <v>7</v>
      </c>
      <c r="H9761" s="29"/>
      <c r="I9761" s="30"/>
    </row>
    <row r="9762" spans="1:9" ht="15.75" thickBot="1" x14ac:dyDescent="0.3">
      <c r="A9762" s="43" t="s">
        <v>19613</v>
      </c>
      <c r="B9762" s="21" t="s">
        <v>19614</v>
      </c>
      <c r="C9762" s="21" t="s">
        <v>22655</v>
      </c>
      <c r="D9762" s="22">
        <v>46046</v>
      </c>
      <c r="E9762" s="23" t="s">
        <v>22656</v>
      </c>
      <c r="F9762" s="24" t="s">
        <v>22657</v>
      </c>
      <c r="G9762" s="25">
        <v>4</v>
      </c>
      <c r="H9762" s="26"/>
      <c r="I9762" s="27"/>
    </row>
    <row r="9763" spans="1:9" ht="15.75" thickBot="1" x14ac:dyDescent="0.3">
      <c r="A9763" s="43" t="s">
        <v>19615</v>
      </c>
      <c r="B9763" s="21" t="s">
        <v>19616</v>
      </c>
      <c r="C9763" s="21" t="s">
        <v>22655</v>
      </c>
      <c r="D9763" s="22">
        <v>46046</v>
      </c>
      <c r="E9763" s="23" t="s">
        <v>22656</v>
      </c>
      <c r="F9763" s="24" t="s">
        <v>22657</v>
      </c>
      <c r="G9763" s="25">
        <v>2</v>
      </c>
      <c r="H9763" s="29"/>
      <c r="I9763" s="30"/>
    </row>
    <row r="9764" spans="1:9" ht="15.75" thickBot="1" x14ac:dyDescent="0.3">
      <c r="A9764" s="43" t="s">
        <v>19617</v>
      </c>
      <c r="B9764" s="21" t="s">
        <v>19618</v>
      </c>
      <c r="C9764" s="21" t="s">
        <v>22655</v>
      </c>
      <c r="D9764" s="22">
        <v>46046</v>
      </c>
      <c r="E9764" s="23" t="s">
        <v>22656</v>
      </c>
      <c r="F9764" s="24" t="s">
        <v>22657</v>
      </c>
      <c r="G9764" s="25">
        <v>2</v>
      </c>
      <c r="H9764" s="26"/>
      <c r="I9764" s="27"/>
    </row>
    <row r="9765" spans="1:9" ht="15.75" thickBot="1" x14ac:dyDescent="0.3">
      <c r="A9765" s="43" t="s">
        <v>19619</v>
      </c>
      <c r="B9765" s="21" t="s">
        <v>19620</v>
      </c>
      <c r="C9765" s="21" t="s">
        <v>22655</v>
      </c>
      <c r="D9765" s="22">
        <v>46034</v>
      </c>
      <c r="E9765" s="23" t="s">
        <v>22656</v>
      </c>
      <c r="F9765" s="24" t="s">
        <v>22657</v>
      </c>
      <c r="G9765" s="25">
        <v>2</v>
      </c>
      <c r="H9765" s="29"/>
      <c r="I9765" s="30"/>
    </row>
    <row r="9766" spans="1:9" ht="15.75" thickBot="1" x14ac:dyDescent="0.3">
      <c r="A9766" s="43" t="s">
        <v>19621</v>
      </c>
      <c r="B9766" s="21" t="s">
        <v>19622</v>
      </c>
      <c r="C9766" s="21" t="s">
        <v>22655</v>
      </c>
      <c r="D9766" s="22">
        <v>46046</v>
      </c>
      <c r="E9766" s="23" t="s">
        <v>22656</v>
      </c>
      <c r="F9766" s="24" t="s">
        <v>22657</v>
      </c>
      <c r="G9766" s="25">
        <v>2</v>
      </c>
      <c r="H9766" s="26"/>
      <c r="I9766" s="27"/>
    </row>
    <row r="9767" spans="1:9" ht="15.75" thickBot="1" x14ac:dyDescent="0.3">
      <c r="A9767" s="43" t="s">
        <v>19623</v>
      </c>
      <c r="B9767" s="21" t="s">
        <v>19624</v>
      </c>
      <c r="C9767" s="21" t="s">
        <v>22655</v>
      </c>
      <c r="D9767" s="22">
        <v>46046</v>
      </c>
      <c r="E9767" s="23" t="s">
        <v>22656</v>
      </c>
      <c r="F9767" s="24" t="s">
        <v>22657</v>
      </c>
      <c r="G9767" s="25">
        <v>2</v>
      </c>
      <c r="H9767" s="29"/>
      <c r="I9767" s="30"/>
    </row>
    <row r="9768" spans="1:9" ht="15.75" thickBot="1" x14ac:dyDescent="0.3">
      <c r="A9768" s="43" t="s">
        <v>19625</v>
      </c>
      <c r="B9768" s="21" t="s">
        <v>19626</v>
      </c>
      <c r="C9768" s="21" t="s">
        <v>22655</v>
      </c>
      <c r="D9768" s="22">
        <v>46046</v>
      </c>
      <c r="E9768" s="23" t="s">
        <v>22656</v>
      </c>
      <c r="F9768" s="24" t="s">
        <v>22657</v>
      </c>
      <c r="G9768" s="25">
        <v>2</v>
      </c>
      <c r="H9768" s="26"/>
      <c r="I9768" s="27"/>
    </row>
    <row r="9769" spans="1:9" ht="15.75" thickBot="1" x14ac:dyDescent="0.3">
      <c r="A9769" s="43" t="s">
        <v>19627</v>
      </c>
      <c r="B9769" s="21" t="s">
        <v>19628</v>
      </c>
      <c r="C9769" s="21" t="s">
        <v>22655</v>
      </c>
      <c r="D9769" s="22">
        <v>46046</v>
      </c>
      <c r="E9769" s="23" t="s">
        <v>22656</v>
      </c>
      <c r="F9769" s="24" t="s">
        <v>22657</v>
      </c>
      <c r="G9769" s="25">
        <v>2</v>
      </c>
      <c r="H9769" s="29"/>
      <c r="I9769" s="30"/>
    </row>
    <row r="9770" spans="1:9" ht="15.75" thickBot="1" x14ac:dyDescent="0.3">
      <c r="A9770" s="43" t="s">
        <v>19629</v>
      </c>
      <c r="B9770" s="21" t="s">
        <v>19630</v>
      </c>
      <c r="C9770" s="21" t="s">
        <v>22655</v>
      </c>
      <c r="D9770" s="22">
        <v>46046</v>
      </c>
      <c r="E9770" s="23" t="s">
        <v>22656</v>
      </c>
      <c r="F9770" s="24" t="s">
        <v>22657</v>
      </c>
      <c r="G9770" s="25">
        <v>2</v>
      </c>
      <c r="H9770" s="26"/>
      <c r="I9770" s="27"/>
    </row>
    <row r="9771" spans="1:9" ht="15.75" thickBot="1" x14ac:dyDescent="0.3">
      <c r="A9771" s="43" t="s">
        <v>19631</v>
      </c>
      <c r="B9771" s="21" t="s">
        <v>19632</v>
      </c>
      <c r="C9771" s="21" t="s">
        <v>22655</v>
      </c>
      <c r="D9771" s="22">
        <v>46046</v>
      </c>
      <c r="E9771" s="23" t="s">
        <v>22656</v>
      </c>
      <c r="F9771" s="24" t="s">
        <v>22657</v>
      </c>
      <c r="G9771" s="25">
        <v>2</v>
      </c>
      <c r="H9771" s="29"/>
      <c r="I9771" s="30"/>
    </row>
    <row r="9772" spans="1:9" ht="15.75" thickBot="1" x14ac:dyDescent="0.3">
      <c r="A9772" s="43" t="s">
        <v>19633</v>
      </c>
      <c r="B9772" s="21" t="s">
        <v>19634</v>
      </c>
      <c r="C9772" s="21" t="s">
        <v>22655</v>
      </c>
      <c r="D9772" s="22">
        <v>46046</v>
      </c>
      <c r="E9772" s="23" t="s">
        <v>22656</v>
      </c>
      <c r="F9772" s="24" t="s">
        <v>22657</v>
      </c>
      <c r="G9772" s="25">
        <v>2</v>
      </c>
      <c r="H9772" s="26"/>
      <c r="I9772" s="27"/>
    </row>
    <row r="9773" spans="1:9" ht="15.75" thickBot="1" x14ac:dyDescent="0.3">
      <c r="A9773" s="43" t="s">
        <v>19635</v>
      </c>
      <c r="B9773" s="21" t="s">
        <v>19636</v>
      </c>
      <c r="C9773" s="21" t="s">
        <v>22655</v>
      </c>
      <c r="D9773" s="22">
        <v>46046</v>
      </c>
      <c r="E9773" s="23" t="s">
        <v>22656</v>
      </c>
      <c r="F9773" s="24" t="s">
        <v>22657</v>
      </c>
      <c r="G9773" s="25">
        <v>2</v>
      </c>
      <c r="H9773" s="29"/>
      <c r="I9773" s="30"/>
    </row>
    <row r="9774" spans="1:9" ht="15.75" thickBot="1" x14ac:dyDescent="0.3">
      <c r="A9774" s="43" t="s">
        <v>19637</v>
      </c>
      <c r="B9774" s="21" t="s">
        <v>19638</v>
      </c>
      <c r="C9774" s="21" t="s">
        <v>22655</v>
      </c>
      <c r="D9774" s="22">
        <v>46046</v>
      </c>
      <c r="E9774" s="23" t="s">
        <v>22656</v>
      </c>
      <c r="F9774" s="24" t="s">
        <v>22657</v>
      </c>
      <c r="G9774" s="25">
        <v>2</v>
      </c>
      <c r="H9774" s="26"/>
      <c r="I9774" s="27"/>
    </row>
    <row r="9775" spans="1:9" ht="15.75" thickBot="1" x14ac:dyDescent="0.3">
      <c r="A9775" s="43" t="s">
        <v>19639</v>
      </c>
      <c r="B9775" s="21" t="s">
        <v>19640</v>
      </c>
      <c r="C9775" s="21" t="s">
        <v>22709</v>
      </c>
      <c r="D9775" s="31">
        <v>1</v>
      </c>
      <c r="E9775" s="23" t="s">
        <v>22658</v>
      </c>
      <c r="F9775" s="28" t="s">
        <v>22659</v>
      </c>
      <c r="G9775" s="25">
        <v>1</v>
      </c>
      <c r="H9775" s="29"/>
      <c r="I9775" s="30"/>
    </row>
    <row r="9776" spans="1:9" ht="15.75" thickBot="1" x14ac:dyDescent="0.3">
      <c r="A9776" s="43" t="s">
        <v>19641</v>
      </c>
      <c r="B9776" s="21" t="s">
        <v>19642</v>
      </c>
      <c r="C9776" s="21" t="s">
        <v>22663</v>
      </c>
      <c r="D9776" s="31">
        <v>1</v>
      </c>
      <c r="E9776" s="23" t="s">
        <v>22656</v>
      </c>
      <c r="F9776" s="24" t="s">
        <v>22657</v>
      </c>
      <c r="G9776" s="25">
        <v>4</v>
      </c>
      <c r="H9776" s="26"/>
      <c r="I9776" s="27"/>
    </row>
    <row r="9777" spans="1:9" ht="15.75" thickBot="1" x14ac:dyDescent="0.3">
      <c r="A9777" s="43" t="s">
        <v>19643</v>
      </c>
      <c r="B9777" s="21" t="s">
        <v>19644</v>
      </c>
      <c r="C9777" s="21" t="s">
        <v>22698</v>
      </c>
      <c r="D9777" s="31">
        <v>1</v>
      </c>
      <c r="E9777" s="23" t="s">
        <v>22658</v>
      </c>
      <c r="F9777" s="24" t="s">
        <v>22657</v>
      </c>
      <c r="G9777" s="25">
        <v>1</v>
      </c>
      <c r="H9777" s="29"/>
      <c r="I9777" s="30"/>
    </row>
    <row r="9778" spans="1:9" ht="15.75" thickBot="1" x14ac:dyDescent="0.3">
      <c r="A9778" s="43" t="s">
        <v>19645</v>
      </c>
      <c r="B9778" s="21" t="s">
        <v>19646</v>
      </c>
      <c r="C9778" s="21" t="s">
        <v>22663</v>
      </c>
      <c r="D9778" s="31">
        <v>1</v>
      </c>
      <c r="E9778" s="23" t="s">
        <v>22656</v>
      </c>
      <c r="F9778" s="24" t="s">
        <v>22657</v>
      </c>
      <c r="G9778" s="25">
        <v>3</v>
      </c>
      <c r="H9778" s="26"/>
      <c r="I9778" s="27"/>
    </row>
    <row r="9779" spans="1:9" ht="15.75" thickBot="1" x14ac:dyDescent="0.3">
      <c r="A9779" s="43" t="s">
        <v>19647</v>
      </c>
      <c r="B9779" s="21" t="s">
        <v>19648</v>
      </c>
      <c r="C9779" s="21" t="s">
        <v>22663</v>
      </c>
      <c r="D9779" s="31">
        <v>1</v>
      </c>
      <c r="E9779" s="23" t="s">
        <v>22658</v>
      </c>
      <c r="F9779" s="24" t="s">
        <v>22657</v>
      </c>
      <c r="G9779" s="25">
        <v>2</v>
      </c>
      <c r="H9779" s="29"/>
      <c r="I9779" s="30"/>
    </row>
    <row r="9780" spans="1:9" ht="15.75" thickBot="1" x14ac:dyDescent="0.3">
      <c r="A9780" s="43" t="s">
        <v>19649</v>
      </c>
      <c r="B9780" s="21" t="s">
        <v>19650</v>
      </c>
      <c r="C9780" s="21" t="s">
        <v>22663</v>
      </c>
      <c r="D9780" s="31">
        <v>1</v>
      </c>
      <c r="E9780" s="23" t="s">
        <v>22658</v>
      </c>
      <c r="F9780" s="24" t="s">
        <v>22657</v>
      </c>
      <c r="G9780" s="25">
        <v>4</v>
      </c>
      <c r="H9780" s="26"/>
      <c r="I9780" s="27"/>
    </row>
    <row r="9781" spans="1:9" ht="15.75" thickBot="1" x14ac:dyDescent="0.3">
      <c r="A9781" s="43" t="s">
        <v>19651</v>
      </c>
      <c r="B9781" s="21" t="s">
        <v>19652</v>
      </c>
      <c r="C9781" s="21" t="s">
        <v>22712</v>
      </c>
      <c r="D9781" s="22">
        <v>46032</v>
      </c>
      <c r="E9781" s="23" t="s">
        <v>22658</v>
      </c>
      <c r="F9781" s="28" t="s">
        <v>22659</v>
      </c>
      <c r="G9781" s="25">
        <v>1</v>
      </c>
      <c r="H9781" s="29"/>
      <c r="I9781" s="30"/>
    </row>
    <row r="9782" spans="1:9" ht="15.75" thickBot="1" x14ac:dyDescent="0.3">
      <c r="A9782" s="43" t="s">
        <v>19653</v>
      </c>
      <c r="B9782" s="21" t="s">
        <v>19654</v>
      </c>
      <c r="C9782" s="21" t="s">
        <v>22655</v>
      </c>
      <c r="D9782" s="22">
        <v>46035</v>
      </c>
      <c r="E9782" s="23" t="s">
        <v>22658</v>
      </c>
      <c r="F9782" s="24" t="s">
        <v>22657</v>
      </c>
      <c r="G9782" s="25">
        <v>2</v>
      </c>
      <c r="H9782" s="26"/>
      <c r="I9782" s="27"/>
    </row>
    <row r="9783" spans="1:9" ht="15.75" thickBot="1" x14ac:dyDescent="0.3">
      <c r="A9783" s="43" t="s">
        <v>19655</v>
      </c>
      <c r="B9783" s="21" t="s">
        <v>19656</v>
      </c>
      <c r="C9783" s="21" t="s">
        <v>22682</v>
      </c>
      <c r="D9783" s="22">
        <v>46034</v>
      </c>
      <c r="E9783" s="23" t="s">
        <v>22658</v>
      </c>
      <c r="F9783" s="24" t="s">
        <v>22657</v>
      </c>
      <c r="G9783" s="25">
        <v>1</v>
      </c>
      <c r="H9783" s="29"/>
      <c r="I9783" s="30"/>
    </row>
    <row r="9784" spans="1:9" ht="15.75" thickBot="1" x14ac:dyDescent="0.3">
      <c r="A9784" s="43" t="s">
        <v>19659</v>
      </c>
      <c r="B9784" s="21" t="s">
        <v>19658</v>
      </c>
      <c r="C9784" s="21" t="s">
        <v>22655</v>
      </c>
      <c r="D9784" s="22">
        <v>46047</v>
      </c>
      <c r="E9784" s="23" t="s">
        <v>22656</v>
      </c>
      <c r="F9784" s="24" t="s">
        <v>22657</v>
      </c>
      <c r="G9784" s="25">
        <v>4</v>
      </c>
      <c r="H9784" s="26"/>
      <c r="I9784" s="27"/>
    </row>
    <row r="9785" spans="1:9" ht="15.75" thickBot="1" x14ac:dyDescent="0.3">
      <c r="A9785" s="43" t="s">
        <v>19657</v>
      </c>
      <c r="B9785" s="21" t="s">
        <v>19658</v>
      </c>
      <c r="C9785" s="21" t="s">
        <v>22655</v>
      </c>
      <c r="D9785" s="22">
        <v>46046</v>
      </c>
      <c r="E9785" s="23" t="s">
        <v>22658</v>
      </c>
      <c r="F9785" s="24" t="s">
        <v>22657</v>
      </c>
      <c r="G9785" s="25">
        <v>4</v>
      </c>
      <c r="H9785" s="29"/>
      <c r="I9785" s="30"/>
    </row>
    <row r="9786" spans="1:9" ht="15.75" thickBot="1" x14ac:dyDescent="0.3">
      <c r="A9786" s="43" t="s">
        <v>19660</v>
      </c>
      <c r="B9786" s="21" t="s">
        <v>19661</v>
      </c>
      <c r="C9786" s="21" t="s">
        <v>22655</v>
      </c>
      <c r="D9786" s="22">
        <v>46047</v>
      </c>
      <c r="E9786" s="23" t="s">
        <v>22656</v>
      </c>
      <c r="F9786" s="24" t="s">
        <v>22657</v>
      </c>
      <c r="G9786" s="25">
        <v>4</v>
      </c>
      <c r="H9786" s="26"/>
      <c r="I9786" s="27"/>
    </row>
    <row r="9787" spans="1:9" ht="15.75" thickBot="1" x14ac:dyDescent="0.3">
      <c r="A9787" s="43" t="s">
        <v>19662</v>
      </c>
      <c r="B9787" s="21" t="s">
        <v>19663</v>
      </c>
      <c r="C9787" s="21" t="s">
        <v>22655</v>
      </c>
      <c r="D9787" s="22">
        <v>46047</v>
      </c>
      <c r="E9787" s="23" t="s">
        <v>22658</v>
      </c>
      <c r="F9787" s="24" t="s">
        <v>22657</v>
      </c>
      <c r="G9787" s="25">
        <v>4</v>
      </c>
      <c r="H9787" s="29"/>
      <c r="I9787" s="30"/>
    </row>
    <row r="9788" spans="1:9" ht="15.75" thickBot="1" x14ac:dyDescent="0.3">
      <c r="A9788" s="43" t="s">
        <v>19664</v>
      </c>
      <c r="B9788" s="21" t="s">
        <v>19665</v>
      </c>
      <c r="C9788" s="21" t="s">
        <v>22682</v>
      </c>
      <c r="D9788" s="22">
        <v>46034</v>
      </c>
      <c r="E9788" s="23" t="s">
        <v>22658</v>
      </c>
      <c r="F9788" s="24" t="s">
        <v>22657</v>
      </c>
      <c r="G9788" s="25">
        <v>1</v>
      </c>
      <c r="H9788" s="26"/>
      <c r="I9788" s="27"/>
    </row>
    <row r="9789" spans="1:9" ht="15.75" thickBot="1" x14ac:dyDescent="0.3">
      <c r="A9789" s="43" t="s">
        <v>19666</v>
      </c>
      <c r="B9789" s="21" t="s">
        <v>19667</v>
      </c>
      <c r="C9789" s="21" t="s">
        <v>22682</v>
      </c>
      <c r="D9789" s="22">
        <v>46034</v>
      </c>
      <c r="E9789" s="23" t="s">
        <v>22658</v>
      </c>
      <c r="F9789" s="24" t="s">
        <v>22657</v>
      </c>
      <c r="G9789" s="25">
        <v>1</v>
      </c>
      <c r="H9789" s="29"/>
      <c r="I9789" s="30"/>
    </row>
    <row r="9790" spans="1:9" ht="15.75" thickBot="1" x14ac:dyDescent="0.3">
      <c r="A9790" s="43" t="s">
        <v>19668</v>
      </c>
      <c r="B9790" s="21" t="s">
        <v>19669</v>
      </c>
      <c r="C9790" s="21" t="s">
        <v>22682</v>
      </c>
      <c r="D9790" s="22">
        <v>46034</v>
      </c>
      <c r="E9790" s="23" t="s">
        <v>22656</v>
      </c>
      <c r="F9790" s="24" t="s">
        <v>22657</v>
      </c>
      <c r="G9790" s="25">
        <v>3</v>
      </c>
      <c r="H9790" s="26"/>
      <c r="I9790" s="27"/>
    </row>
    <row r="9791" spans="1:9" ht="15.75" thickBot="1" x14ac:dyDescent="0.3">
      <c r="A9791" s="43" t="s">
        <v>19670</v>
      </c>
      <c r="B9791" s="21" t="s">
        <v>19671</v>
      </c>
      <c r="C9791" s="21" t="s">
        <v>22682</v>
      </c>
      <c r="D9791" s="22">
        <v>46034</v>
      </c>
      <c r="E9791" s="23" t="s">
        <v>22658</v>
      </c>
      <c r="F9791" s="24" t="s">
        <v>22657</v>
      </c>
      <c r="G9791" s="25">
        <v>2</v>
      </c>
      <c r="H9791" s="29"/>
      <c r="I9791" s="30"/>
    </row>
    <row r="9792" spans="1:9" ht="15.75" thickBot="1" x14ac:dyDescent="0.3">
      <c r="A9792" s="43" t="s">
        <v>19672</v>
      </c>
      <c r="B9792" s="21" t="s">
        <v>19673</v>
      </c>
      <c r="C9792" s="21" t="s">
        <v>22682</v>
      </c>
      <c r="D9792" s="22">
        <v>46034</v>
      </c>
      <c r="E9792" s="23" t="s">
        <v>22656</v>
      </c>
      <c r="F9792" s="24" t="s">
        <v>22657</v>
      </c>
      <c r="G9792" s="25">
        <v>2</v>
      </c>
      <c r="H9792" s="26"/>
      <c r="I9792" s="27"/>
    </row>
    <row r="9793" spans="1:9" ht="15.75" thickBot="1" x14ac:dyDescent="0.3">
      <c r="A9793" s="43" t="s">
        <v>19674</v>
      </c>
      <c r="B9793" s="21" t="s">
        <v>19675</v>
      </c>
      <c r="C9793" s="21" t="s">
        <v>22682</v>
      </c>
      <c r="D9793" s="22">
        <v>46034</v>
      </c>
      <c r="E9793" s="23" t="s">
        <v>22656</v>
      </c>
      <c r="F9793" s="24" t="s">
        <v>22657</v>
      </c>
      <c r="G9793" s="25">
        <v>3</v>
      </c>
      <c r="H9793" s="29"/>
      <c r="I9793" s="30"/>
    </row>
    <row r="9794" spans="1:9" ht="15.75" thickBot="1" x14ac:dyDescent="0.3">
      <c r="A9794" s="43" t="s">
        <v>19676</v>
      </c>
      <c r="B9794" s="21" t="s">
        <v>19677</v>
      </c>
      <c r="C9794" s="21" t="s">
        <v>22682</v>
      </c>
      <c r="D9794" s="22">
        <v>46034</v>
      </c>
      <c r="E9794" s="23" t="s">
        <v>22658</v>
      </c>
      <c r="F9794" s="24" t="s">
        <v>22657</v>
      </c>
      <c r="G9794" s="25">
        <v>2</v>
      </c>
      <c r="H9794" s="26"/>
      <c r="I9794" s="27"/>
    </row>
    <row r="9795" spans="1:9" ht="15.75" thickBot="1" x14ac:dyDescent="0.3">
      <c r="A9795" s="43" t="s">
        <v>19678</v>
      </c>
      <c r="B9795" s="21" t="s">
        <v>19679</v>
      </c>
      <c r="C9795" s="21" t="s">
        <v>22663</v>
      </c>
      <c r="D9795" s="31">
        <v>1</v>
      </c>
      <c r="E9795" s="23" t="s">
        <v>22658</v>
      </c>
      <c r="F9795" s="24" t="s">
        <v>22657</v>
      </c>
      <c r="G9795" s="25">
        <v>2</v>
      </c>
      <c r="H9795" s="29"/>
      <c r="I9795" s="30"/>
    </row>
    <row r="9796" spans="1:9" ht="15.75" thickBot="1" x14ac:dyDescent="0.3">
      <c r="A9796" s="43" t="s">
        <v>19680</v>
      </c>
      <c r="B9796" s="21" t="s">
        <v>19681</v>
      </c>
      <c r="C9796" s="21" t="s">
        <v>22663</v>
      </c>
      <c r="D9796" s="31">
        <v>1</v>
      </c>
      <c r="E9796" s="23" t="s">
        <v>22658</v>
      </c>
      <c r="F9796" s="24" t="s">
        <v>22657</v>
      </c>
      <c r="G9796" s="25">
        <v>2</v>
      </c>
      <c r="H9796" s="26"/>
      <c r="I9796" s="27"/>
    </row>
    <row r="9797" spans="1:9" ht="15.75" thickBot="1" x14ac:dyDescent="0.3">
      <c r="A9797" s="43" t="s">
        <v>19682</v>
      </c>
      <c r="B9797" s="21" t="s">
        <v>19683</v>
      </c>
      <c r="C9797" s="21" t="s">
        <v>22663</v>
      </c>
      <c r="D9797" s="31">
        <v>1</v>
      </c>
      <c r="E9797" s="23" t="s">
        <v>22658</v>
      </c>
      <c r="F9797" s="24" t="s">
        <v>22657</v>
      </c>
      <c r="G9797" s="25">
        <v>2</v>
      </c>
      <c r="H9797" s="29"/>
      <c r="I9797" s="30"/>
    </row>
    <row r="9798" spans="1:9" ht="15.75" thickBot="1" x14ac:dyDescent="0.3">
      <c r="A9798" s="43" t="s">
        <v>19684</v>
      </c>
      <c r="B9798" s="21" t="s">
        <v>19685</v>
      </c>
      <c r="C9798" s="21" t="s">
        <v>22682</v>
      </c>
      <c r="D9798" s="22">
        <v>46034</v>
      </c>
      <c r="E9798" s="23" t="s">
        <v>22658</v>
      </c>
      <c r="F9798" s="24" t="s">
        <v>22657</v>
      </c>
      <c r="G9798" s="25">
        <v>2</v>
      </c>
      <c r="H9798" s="26"/>
      <c r="I9798" s="27"/>
    </row>
    <row r="9799" spans="1:9" ht="15.75" thickBot="1" x14ac:dyDescent="0.3">
      <c r="A9799" s="43" t="s">
        <v>19686</v>
      </c>
      <c r="B9799" s="21" t="s">
        <v>19687</v>
      </c>
      <c r="C9799" s="21" t="s">
        <v>22682</v>
      </c>
      <c r="D9799" s="22">
        <v>46034</v>
      </c>
      <c r="E9799" s="23" t="s">
        <v>22658</v>
      </c>
      <c r="F9799" s="24" t="s">
        <v>22657</v>
      </c>
      <c r="G9799" s="25">
        <v>2</v>
      </c>
      <c r="H9799" s="29"/>
      <c r="I9799" s="30"/>
    </row>
    <row r="9800" spans="1:9" ht="15.75" thickBot="1" x14ac:dyDescent="0.3">
      <c r="A9800" s="43" t="s">
        <v>19688</v>
      </c>
      <c r="B9800" s="21" t="s">
        <v>19689</v>
      </c>
      <c r="C9800" s="21" t="s">
        <v>22682</v>
      </c>
      <c r="D9800" s="22">
        <v>46034</v>
      </c>
      <c r="E9800" s="23" t="s">
        <v>22658</v>
      </c>
      <c r="F9800" s="24" t="s">
        <v>22657</v>
      </c>
      <c r="G9800" s="25">
        <v>2</v>
      </c>
      <c r="H9800" s="26"/>
      <c r="I9800" s="27"/>
    </row>
    <row r="9801" spans="1:9" ht="15.75" thickBot="1" x14ac:dyDescent="0.3">
      <c r="A9801" s="43" t="s">
        <v>19690</v>
      </c>
      <c r="B9801" s="21" t="s">
        <v>19691</v>
      </c>
      <c r="C9801" s="21" t="s">
        <v>22682</v>
      </c>
      <c r="D9801" s="22">
        <v>46034</v>
      </c>
      <c r="E9801" s="23" t="s">
        <v>22658</v>
      </c>
      <c r="F9801" s="24" t="s">
        <v>22657</v>
      </c>
      <c r="G9801" s="25">
        <v>2</v>
      </c>
      <c r="H9801" s="29"/>
      <c r="I9801" s="30"/>
    </row>
    <row r="9802" spans="1:9" ht="15.75" thickBot="1" x14ac:dyDescent="0.3">
      <c r="A9802" s="43" t="s">
        <v>19692</v>
      </c>
      <c r="B9802" s="21" t="s">
        <v>19693</v>
      </c>
      <c r="C9802" s="21" t="s">
        <v>22682</v>
      </c>
      <c r="D9802" s="22">
        <v>46034</v>
      </c>
      <c r="E9802" s="23" t="s">
        <v>22656</v>
      </c>
      <c r="F9802" s="24" t="s">
        <v>22657</v>
      </c>
      <c r="G9802" s="25">
        <v>2</v>
      </c>
      <c r="H9802" s="26"/>
      <c r="I9802" s="27"/>
    </row>
    <row r="9803" spans="1:9" ht="15.75" thickBot="1" x14ac:dyDescent="0.3">
      <c r="A9803" s="43" t="s">
        <v>19694</v>
      </c>
      <c r="B9803" s="21" t="s">
        <v>19695</v>
      </c>
      <c r="C9803" s="21" t="s">
        <v>22663</v>
      </c>
      <c r="D9803" s="31">
        <v>1</v>
      </c>
      <c r="E9803" s="23" t="s">
        <v>22658</v>
      </c>
      <c r="F9803" s="24" t="s">
        <v>22657</v>
      </c>
      <c r="G9803" s="25">
        <v>2</v>
      </c>
      <c r="H9803" s="29"/>
      <c r="I9803" s="30"/>
    </row>
    <row r="9804" spans="1:9" ht="15.75" thickBot="1" x14ac:dyDescent="0.3">
      <c r="A9804" s="43" t="s">
        <v>19696</v>
      </c>
      <c r="B9804" s="21" t="s">
        <v>19697</v>
      </c>
      <c r="C9804" s="21" t="s">
        <v>22663</v>
      </c>
      <c r="D9804" s="31">
        <v>1</v>
      </c>
      <c r="E9804" s="23" t="s">
        <v>22658</v>
      </c>
      <c r="F9804" s="24" t="s">
        <v>22657</v>
      </c>
      <c r="G9804" s="25">
        <v>2</v>
      </c>
      <c r="H9804" s="26"/>
      <c r="I9804" s="27"/>
    </row>
    <row r="9805" spans="1:9" ht="15.75" thickBot="1" x14ac:dyDescent="0.3">
      <c r="A9805" s="43" t="s">
        <v>19698</v>
      </c>
      <c r="B9805" s="21" t="s">
        <v>19699</v>
      </c>
      <c r="C9805" s="21" t="s">
        <v>22682</v>
      </c>
      <c r="D9805" s="22">
        <v>46034</v>
      </c>
      <c r="E9805" s="23" t="s">
        <v>22658</v>
      </c>
      <c r="F9805" s="24" t="s">
        <v>22657</v>
      </c>
      <c r="G9805" s="25">
        <v>2</v>
      </c>
      <c r="H9805" s="29"/>
      <c r="I9805" s="30"/>
    </row>
    <row r="9806" spans="1:9" ht="15.75" thickBot="1" x14ac:dyDescent="0.3">
      <c r="A9806" s="43" t="s">
        <v>19700</v>
      </c>
      <c r="B9806" s="21" t="s">
        <v>19701</v>
      </c>
      <c r="C9806" s="21" t="s">
        <v>22663</v>
      </c>
      <c r="D9806" s="31">
        <v>1</v>
      </c>
      <c r="E9806" s="23" t="s">
        <v>22658</v>
      </c>
      <c r="F9806" s="24" t="s">
        <v>22657</v>
      </c>
      <c r="G9806" s="25">
        <v>2</v>
      </c>
      <c r="H9806" s="26"/>
      <c r="I9806" s="27"/>
    </row>
    <row r="9807" spans="1:9" ht="15.75" thickBot="1" x14ac:dyDescent="0.3">
      <c r="A9807" s="43" t="s">
        <v>19702</v>
      </c>
      <c r="B9807" s="21" t="s">
        <v>19703</v>
      </c>
      <c r="C9807" s="21" t="s">
        <v>22682</v>
      </c>
      <c r="D9807" s="22">
        <v>46034</v>
      </c>
      <c r="E9807" s="23" t="s">
        <v>22656</v>
      </c>
      <c r="F9807" s="24" t="s">
        <v>22657</v>
      </c>
      <c r="G9807" s="25">
        <v>2</v>
      </c>
      <c r="H9807" s="29"/>
      <c r="I9807" s="30"/>
    </row>
    <row r="9808" spans="1:9" ht="15.75" thickBot="1" x14ac:dyDescent="0.3">
      <c r="A9808" s="43" t="s">
        <v>19704</v>
      </c>
      <c r="B9808" s="21" t="s">
        <v>19705</v>
      </c>
      <c r="C9808" s="21" t="s">
        <v>22682</v>
      </c>
      <c r="D9808" s="22">
        <v>46034</v>
      </c>
      <c r="E9808" s="23" t="s">
        <v>22658</v>
      </c>
      <c r="F9808" s="24" t="s">
        <v>22657</v>
      </c>
      <c r="G9808" s="25">
        <v>2</v>
      </c>
      <c r="H9808" s="26"/>
      <c r="I9808" s="27"/>
    </row>
    <row r="9809" spans="1:9" ht="15.75" thickBot="1" x14ac:dyDescent="0.3">
      <c r="A9809" s="43" t="s">
        <v>19706</v>
      </c>
      <c r="B9809" s="21" t="s">
        <v>19707</v>
      </c>
      <c r="C9809" s="21" t="s">
        <v>22682</v>
      </c>
      <c r="D9809" s="22">
        <v>46034</v>
      </c>
      <c r="E9809" s="23" t="s">
        <v>22658</v>
      </c>
      <c r="F9809" s="24" t="s">
        <v>22657</v>
      </c>
      <c r="G9809" s="25">
        <v>2</v>
      </c>
      <c r="H9809" s="29"/>
      <c r="I9809" s="30"/>
    </row>
    <row r="9810" spans="1:9" ht="15.75" thickBot="1" x14ac:dyDescent="0.3">
      <c r="A9810" s="43" t="s">
        <v>19708</v>
      </c>
      <c r="B9810" s="21" t="s">
        <v>19709</v>
      </c>
      <c r="C9810" s="21" t="s">
        <v>22682</v>
      </c>
      <c r="D9810" s="22">
        <v>46034</v>
      </c>
      <c r="E9810" s="23" t="s">
        <v>22658</v>
      </c>
      <c r="F9810" s="24" t="s">
        <v>22657</v>
      </c>
      <c r="G9810" s="25">
        <v>2</v>
      </c>
      <c r="H9810" s="26"/>
      <c r="I9810" s="27"/>
    </row>
    <row r="9811" spans="1:9" ht="15.75" thickBot="1" x14ac:dyDescent="0.3">
      <c r="A9811" s="43" t="s">
        <v>19710</v>
      </c>
      <c r="B9811" s="21" t="s">
        <v>19711</v>
      </c>
      <c r="C9811" s="21" t="s">
        <v>22682</v>
      </c>
      <c r="D9811" s="22">
        <v>46034</v>
      </c>
      <c r="E9811" s="23" t="s">
        <v>22658</v>
      </c>
      <c r="F9811" s="24" t="s">
        <v>22657</v>
      </c>
      <c r="G9811" s="25">
        <v>2</v>
      </c>
      <c r="H9811" s="29"/>
      <c r="I9811" s="30"/>
    </row>
    <row r="9812" spans="1:9" ht="15.75" thickBot="1" x14ac:dyDescent="0.3">
      <c r="A9812" s="43" t="s">
        <v>19712</v>
      </c>
      <c r="B9812" s="21" t="s">
        <v>19713</v>
      </c>
      <c r="C9812" s="21" t="s">
        <v>22682</v>
      </c>
      <c r="D9812" s="22">
        <v>46034</v>
      </c>
      <c r="E9812" s="23" t="s">
        <v>22656</v>
      </c>
      <c r="F9812" s="24" t="s">
        <v>22657</v>
      </c>
      <c r="G9812" s="25">
        <v>2</v>
      </c>
      <c r="H9812" s="26"/>
      <c r="I9812" s="27"/>
    </row>
    <row r="9813" spans="1:9" ht="15.75" thickBot="1" x14ac:dyDescent="0.3">
      <c r="A9813" s="43" t="s">
        <v>19714</v>
      </c>
      <c r="B9813" s="21" t="s">
        <v>19715</v>
      </c>
      <c r="C9813" s="21" t="s">
        <v>22682</v>
      </c>
      <c r="D9813" s="22">
        <v>46034</v>
      </c>
      <c r="E9813" s="23" t="s">
        <v>22656</v>
      </c>
      <c r="F9813" s="24" t="s">
        <v>22657</v>
      </c>
      <c r="G9813" s="25">
        <v>2</v>
      </c>
      <c r="H9813" s="29"/>
      <c r="I9813" s="30"/>
    </row>
    <row r="9814" spans="1:9" ht="15.75" thickBot="1" x14ac:dyDescent="0.3">
      <c r="A9814" s="43" t="s">
        <v>19716</v>
      </c>
      <c r="B9814" s="21" t="s">
        <v>19717</v>
      </c>
      <c r="C9814" s="21" t="s">
        <v>22655</v>
      </c>
      <c r="D9814" s="22">
        <v>46046</v>
      </c>
      <c r="E9814" s="23" t="s">
        <v>22656</v>
      </c>
      <c r="F9814" s="24" t="s">
        <v>22657</v>
      </c>
      <c r="G9814" s="25">
        <v>3</v>
      </c>
      <c r="H9814" s="26"/>
      <c r="I9814" s="27"/>
    </row>
    <row r="9815" spans="1:9" ht="15.75" thickBot="1" x14ac:dyDescent="0.3">
      <c r="A9815" s="43" t="s">
        <v>975</v>
      </c>
      <c r="B9815" s="21" t="s">
        <v>976</v>
      </c>
      <c r="C9815" s="21" t="s">
        <v>22655</v>
      </c>
      <c r="D9815" s="22">
        <v>46046</v>
      </c>
      <c r="E9815" s="23" t="s">
        <v>22661</v>
      </c>
      <c r="F9815" s="24" t="s">
        <v>22657</v>
      </c>
      <c r="G9815" s="25">
        <v>24</v>
      </c>
      <c r="H9815" s="32">
        <v>24</v>
      </c>
      <c r="I9815" s="33">
        <v>48</v>
      </c>
    </row>
    <row r="9816" spans="1:9" ht="15.75" thickBot="1" x14ac:dyDescent="0.3">
      <c r="A9816" s="43" t="s">
        <v>19718</v>
      </c>
      <c r="B9816" s="21" t="s">
        <v>19719</v>
      </c>
      <c r="C9816" s="21" t="s">
        <v>22655</v>
      </c>
      <c r="D9816" s="22">
        <v>46034</v>
      </c>
      <c r="E9816" s="23" t="s">
        <v>22656</v>
      </c>
      <c r="F9816" s="24" t="s">
        <v>22657</v>
      </c>
      <c r="G9816" s="25">
        <v>6</v>
      </c>
      <c r="H9816" s="26"/>
      <c r="I9816" s="27"/>
    </row>
    <row r="9817" spans="1:9" ht="15.75" thickBot="1" x14ac:dyDescent="0.3">
      <c r="A9817" s="43" t="s">
        <v>19720</v>
      </c>
      <c r="B9817" s="21" t="s">
        <v>19721</v>
      </c>
      <c r="C9817" s="21" t="s">
        <v>22655</v>
      </c>
      <c r="D9817" s="22">
        <v>46034</v>
      </c>
      <c r="E9817" s="23" t="s">
        <v>22656</v>
      </c>
      <c r="F9817" s="24" t="s">
        <v>22657</v>
      </c>
      <c r="G9817" s="25">
        <v>4</v>
      </c>
      <c r="H9817" s="29"/>
      <c r="I9817" s="30"/>
    </row>
    <row r="9818" spans="1:9" ht="15.75" thickBot="1" x14ac:dyDescent="0.3">
      <c r="A9818" s="43" t="s">
        <v>19722</v>
      </c>
      <c r="B9818" s="21" t="s">
        <v>19723</v>
      </c>
      <c r="C9818" s="21" t="s">
        <v>22655</v>
      </c>
      <c r="D9818" s="22">
        <v>46034</v>
      </c>
      <c r="E9818" s="23" t="s">
        <v>22656</v>
      </c>
      <c r="F9818" s="24" t="s">
        <v>22657</v>
      </c>
      <c r="G9818" s="25">
        <v>12</v>
      </c>
      <c r="H9818" s="34">
        <v>12</v>
      </c>
      <c r="I9818" s="35">
        <v>24</v>
      </c>
    </row>
    <row r="9819" spans="1:9" ht="15.75" thickBot="1" x14ac:dyDescent="0.3">
      <c r="A9819" s="43" t="s">
        <v>19724</v>
      </c>
      <c r="B9819" s="21" t="s">
        <v>19725</v>
      </c>
      <c r="C9819" s="21" t="s">
        <v>22655</v>
      </c>
      <c r="D9819" s="22">
        <v>46046</v>
      </c>
      <c r="E9819" s="23" t="s">
        <v>22656</v>
      </c>
      <c r="F9819" s="24" t="s">
        <v>22657</v>
      </c>
      <c r="G9819" s="25">
        <v>3</v>
      </c>
      <c r="H9819" s="29"/>
      <c r="I9819" s="30"/>
    </row>
    <row r="9820" spans="1:9" ht="15.75" thickBot="1" x14ac:dyDescent="0.3">
      <c r="A9820" s="43" t="s">
        <v>19726</v>
      </c>
      <c r="B9820" s="21" t="s">
        <v>19727</v>
      </c>
      <c r="C9820" s="21" t="s">
        <v>22655</v>
      </c>
      <c r="D9820" s="22">
        <v>46046</v>
      </c>
      <c r="E9820" s="23" t="s">
        <v>22656</v>
      </c>
      <c r="F9820" s="24" t="s">
        <v>22657</v>
      </c>
      <c r="G9820" s="25">
        <v>8</v>
      </c>
      <c r="H9820" s="26"/>
      <c r="I9820" s="27"/>
    </row>
    <row r="9821" spans="1:9" ht="15.75" thickBot="1" x14ac:dyDescent="0.3">
      <c r="A9821" s="43" t="s">
        <v>19728</v>
      </c>
      <c r="B9821" s="21" t="s">
        <v>19729</v>
      </c>
      <c r="C9821" s="21" t="s">
        <v>22655</v>
      </c>
      <c r="D9821" s="22">
        <v>46034</v>
      </c>
      <c r="E9821" s="23" t="s">
        <v>22658</v>
      </c>
      <c r="F9821" s="28" t="s">
        <v>22659</v>
      </c>
      <c r="G9821" s="25">
        <v>1</v>
      </c>
      <c r="H9821" s="29"/>
      <c r="I9821" s="30"/>
    </row>
    <row r="9822" spans="1:9" ht="15.75" thickBot="1" x14ac:dyDescent="0.3">
      <c r="A9822" s="43" t="s">
        <v>19730</v>
      </c>
      <c r="B9822" s="21" t="s">
        <v>19731</v>
      </c>
      <c r="C9822" s="21" t="s">
        <v>22655</v>
      </c>
      <c r="D9822" s="22">
        <v>46034</v>
      </c>
      <c r="E9822" s="23" t="s">
        <v>22656</v>
      </c>
      <c r="F9822" s="24" t="s">
        <v>22657</v>
      </c>
      <c r="G9822" s="25">
        <v>2</v>
      </c>
      <c r="H9822" s="26"/>
      <c r="I9822" s="27"/>
    </row>
    <row r="9823" spans="1:9" ht="15.75" thickBot="1" x14ac:dyDescent="0.3">
      <c r="A9823" s="43" t="s">
        <v>19732</v>
      </c>
      <c r="B9823" s="21" t="s">
        <v>19733</v>
      </c>
      <c r="C9823" s="21" t="s">
        <v>22655</v>
      </c>
      <c r="D9823" s="22">
        <v>46042</v>
      </c>
      <c r="E9823" s="23" t="s">
        <v>22656</v>
      </c>
      <c r="F9823" s="24" t="s">
        <v>22657</v>
      </c>
      <c r="G9823" s="25">
        <v>7</v>
      </c>
      <c r="H9823" s="29"/>
      <c r="I9823" s="30"/>
    </row>
    <row r="9824" spans="1:9" ht="15.75" thickBot="1" x14ac:dyDescent="0.3">
      <c r="A9824" s="43" t="s">
        <v>1375</v>
      </c>
      <c r="B9824" s="21" t="s">
        <v>22638</v>
      </c>
      <c r="C9824" s="21" t="s">
        <v>22655</v>
      </c>
      <c r="D9824" s="22">
        <v>46030</v>
      </c>
      <c r="E9824" s="23" t="s">
        <v>22656</v>
      </c>
      <c r="F9824" s="24" t="s">
        <v>22657</v>
      </c>
      <c r="G9824" s="25">
        <v>3</v>
      </c>
      <c r="H9824" s="26"/>
      <c r="I9824" s="27"/>
    </row>
    <row r="9825" spans="1:9" ht="15.75" thickBot="1" x14ac:dyDescent="0.3">
      <c r="A9825" s="43" t="s">
        <v>19734</v>
      </c>
      <c r="B9825" s="21" t="s">
        <v>19735</v>
      </c>
      <c r="C9825" s="21" t="s">
        <v>22727</v>
      </c>
      <c r="D9825" s="31">
        <v>1</v>
      </c>
      <c r="E9825" s="23" t="s">
        <v>22658</v>
      </c>
      <c r="F9825" s="28" t="s">
        <v>22659</v>
      </c>
      <c r="G9825" s="25">
        <v>1</v>
      </c>
      <c r="H9825" s="29"/>
      <c r="I9825" s="30"/>
    </row>
    <row r="9826" spans="1:9" ht="15.75" thickBot="1" x14ac:dyDescent="0.3">
      <c r="A9826" s="43" t="s">
        <v>19736</v>
      </c>
      <c r="B9826" s="21" t="s">
        <v>19737</v>
      </c>
      <c r="C9826" s="21" t="s">
        <v>22663</v>
      </c>
      <c r="D9826" s="31">
        <v>1</v>
      </c>
      <c r="E9826" s="23" t="s">
        <v>22656</v>
      </c>
      <c r="F9826" s="24" t="s">
        <v>22657</v>
      </c>
      <c r="G9826" s="25">
        <v>2</v>
      </c>
      <c r="H9826" s="26"/>
      <c r="I9826" s="27"/>
    </row>
    <row r="9827" spans="1:9" ht="15.75" thickBot="1" x14ac:dyDescent="0.3">
      <c r="A9827" s="43" t="s">
        <v>19738</v>
      </c>
      <c r="B9827" s="21" t="s">
        <v>19739</v>
      </c>
      <c r="C9827" s="21" t="s">
        <v>22655</v>
      </c>
      <c r="D9827" s="22">
        <v>46046</v>
      </c>
      <c r="E9827" s="23" t="s">
        <v>22661</v>
      </c>
      <c r="F9827" s="24" t="s">
        <v>22657</v>
      </c>
      <c r="G9827" s="25">
        <v>8</v>
      </c>
      <c r="H9827" s="29"/>
      <c r="I9827" s="30"/>
    </row>
    <row r="9828" spans="1:9" ht="15.75" thickBot="1" x14ac:dyDescent="0.3">
      <c r="A9828" s="43" t="s">
        <v>19740</v>
      </c>
      <c r="B9828" s="21" t="s">
        <v>19741</v>
      </c>
      <c r="C9828" s="21" t="s">
        <v>22682</v>
      </c>
      <c r="D9828" s="22">
        <v>46034</v>
      </c>
      <c r="E9828" s="23" t="s">
        <v>22658</v>
      </c>
      <c r="F9828" s="24" t="s">
        <v>22657</v>
      </c>
      <c r="G9828" s="25">
        <v>4</v>
      </c>
      <c r="H9828" s="26"/>
      <c r="I9828" s="27"/>
    </row>
    <row r="9829" spans="1:9" ht="15.75" thickBot="1" x14ac:dyDescent="0.3">
      <c r="A9829" s="43" t="s">
        <v>19742</v>
      </c>
      <c r="B9829" s="21" t="s">
        <v>19743</v>
      </c>
      <c r="C9829" s="21" t="s">
        <v>22682</v>
      </c>
      <c r="D9829" s="22">
        <v>46034</v>
      </c>
      <c r="E9829" s="23" t="s">
        <v>22658</v>
      </c>
      <c r="F9829" s="24" t="s">
        <v>22657</v>
      </c>
      <c r="G9829" s="25">
        <v>4</v>
      </c>
      <c r="H9829" s="29"/>
      <c r="I9829" s="30"/>
    </row>
    <row r="9830" spans="1:9" ht="15.75" thickBot="1" x14ac:dyDescent="0.3">
      <c r="A9830" s="43" t="s">
        <v>19744</v>
      </c>
      <c r="B9830" s="21" t="s">
        <v>19745</v>
      </c>
      <c r="C9830" s="21" t="s">
        <v>22682</v>
      </c>
      <c r="D9830" s="22">
        <v>46034</v>
      </c>
      <c r="E9830" s="23" t="s">
        <v>22656</v>
      </c>
      <c r="F9830" s="24" t="s">
        <v>22657</v>
      </c>
      <c r="G9830" s="25">
        <v>4</v>
      </c>
      <c r="H9830" s="26"/>
      <c r="I9830" s="27"/>
    </row>
    <row r="9831" spans="1:9" ht="15.75" thickBot="1" x14ac:dyDescent="0.3">
      <c r="A9831" s="43" t="s">
        <v>19746</v>
      </c>
      <c r="B9831" s="21" t="s">
        <v>19747</v>
      </c>
      <c r="C9831" s="21" t="s">
        <v>22663</v>
      </c>
      <c r="D9831" s="31">
        <v>1</v>
      </c>
      <c r="E9831" s="23" t="s">
        <v>22658</v>
      </c>
      <c r="F9831" s="24" t="s">
        <v>22657</v>
      </c>
      <c r="G9831" s="25">
        <v>1</v>
      </c>
      <c r="H9831" s="29"/>
      <c r="I9831" s="30"/>
    </row>
    <row r="9832" spans="1:9" ht="15.75" thickBot="1" x14ac:dyDescent="0.3">
      <c r="A9832" s="43" t="s">
        <v>19748</v>
      </c>
      <c r="B9832" s="21" t="s">
        <v>19749</v>
      </c>
      <c r="C9832" s="21" t="s">
        <v>22663</v>
      </c>
      <c r="D9832" s="31">
        <v>1</v>
      </c>
      <c r="E9832" s="23" t="s">
        <v>22658</v>
      </c>
      <c r="F9832" s="24" t="s">
        <v>22657</v>
      </c>
      <c r="G9832" s="25">
        <v>1</v>
      </c>
      <c r="H9832" s="26"/>
      <c r="I9832" s="27"/>
    </row>
    <row r="9833" spans="1:9" ht="15.75" thickBot="1" x14ac:dyDescent="0.3">
      <c r="A9833" s="43" t="s">
        <v>735</v>
      </c>
      <c r="B9833" s="21" t="s">
        <v>736</v>
      </c>
      <c r="C9833" s="21" t="s">
        <v>22655</v>
      </c>
      <c r="D9833" s="31" t="s">
        <v>22688</v>
      </c>
      <c r="E9833" s="23" t="s">
        <v>22661</v>
      </c>
      <c r="F9833" s="24" t="s">
        <v>22657</v>
      </c>
      <c r="G9833" s="25">
        <v>10</v>
      </c>
      <c r="H9833" s="32">
        <v>10</v>
      </c>
      <c r="I9833" s="33">
        <v>15</v>
      </c>
    </row>
    <row r="9834" spans="1:9" ht="15.75" thickBot="1" x14ac:dyDescent="0.3">
      <c r="A9834" s="43" t="s">
        <v>19750</v>
      </c>
      <c r="B9834" s="21" t="s">
        <v>19751</v>
      </c>
      <c r="C9834" s="21" t="s">
        <v>22655</v>
      </c>
      <c r="D9834" s="22">
        <v>46052</v>
      </c>
      <c r="E9834" s="23" t="s">
        <v>22656</v>
      </c>
      <c r="F9834" s="24" t="s">
        <v>22657</v>
      </c>
      <c r="G9834" s="25">
        <v>4</v>
      </c>
      <c r="H9834" s="26"/>
      <c r="I9834" s="27"/>
    </row>
    <row r="9835" spans="1:9" ht="15.75" thickBot="1" x14ac:dyDescent="0.3">
      <c r="A9835" s="43" t="s">
        <v>19752</v>
      </c>
      <c r="B9835" s="21" t="s">
        <v>19753</v>
      </c>
      <c r="C9835" s="21" t="s">
        <v>22663</v>
      </c>
      <c r="D9835" s="31">
        <v>1</v>
      </c>
      <c r="E9835" s="23" t="s">
        <v>22658</v>
      </c>
      <c r="F9835" s="28" t="s">
        <v>22659</v>
      </c>
      <c r="G9835" s="25">
        <v>1</v>
      </c>
      <c r="H9835" s="29"/>
      <c r="I9835" s="30"/>
    </row>
    <row r="9836" spans="1:9" ht="15.75" thickBot="1" x14ac:dyDescent="0.3">
      <c r="A9836" s="43" t="s">
        <v>19754</v>
      </c>
      <c r="B9836" s="21" t="s">
        <v>19755</v>
      </c>
      <c r="C9836" s="21" t="s">
        <v>22663</v>
      </c>
      <c r="D9836" s="31">
        <v>1</v>
      </c>
      <c r="E9836" s="23" t="s">
        <v>22658</v>
      </c>
      <c r="F9836" s="28" t="s">
        <v>22659</v>
      </c>
      <c r="G9836" s="25">
        <v>1</v>
      </c>
      <c r="H9836" s="26"/>
      <c r="I9836" s="27"/>
    </row>
    <row r="9837" spans="1:9" ht="15.75" thickBot="1" x14ac:dyDescent="0.3">
      <c r="A9837" s="43" t="s">
        <v>19756</v>
      </c>
      <c r="B9837" s="21" t="s">
        <v>19757</v>
      </c>
      <c r="C9837" s="21" t="s">
        <v>22663</v>
      </c>
      <c r="D9837" s="31">
        <v>1</v>
      </c>
      <c r="E9837" s="23" t="s">
        <v>22656</v>
      </c>
      <c r="F9837" s="24" t="s">
        <v>22657</v>
      </c>
      <c r="G9837" s="25">
        <v>2</v>
      </c>
      <c r="H9837" s="29"/>
      <c r="I9837" s="30"/>
    </row>
    <row r="9838" spans="1:9" ht="15.75" thickBot="1" x14ac:dyDescent="0.3">
      <c r="A9838" s="43" t="s">
        <v>19758</v>
      </c>
      <c r="B9838" s="21" t="s">
        <v>19759</v>
      </c>
      <c r="C9838" s="21" t="s">
        <v>22655</v>
      </c>
      <c r="D9838" s="22">
        <v>46046</v>
      </c>
      <c r="E9838" s="23" t="s">
        <v>22656</v>
      </c>
      <c r="F9838" s="24" t="s">
        <v>22657</v>
      </c>
      <c r="G9838" s="25">
        <v>8</v>
      </c>
      <c r="H9838" s="26"/>
      <c r="I9838" s="27"/>
    </row>
    <row r="9839" spans="1:9" ht="15.75" thickBot="1" x14ac:dyDescent="0.3">
      <c r="A9839" s="43" t="s">
        <v>1155</v>
      </c>
      <c r="B9839" s="21" t="s">
        <v>19760</v>
      </c>
      <c r="C9839" s="21" t="s">
        <v>22655</v>
      </c>
      <c r="D9839" s="22">
        <v>46046</v>
      </c>
      <c r="E9839" s="23" t="s">
        <v>22656</v>
      </c>
      <c r="F9839" s="24" t="s">
        <v>22657</v>
      </c>
      <c r="G9839" s="25">
        <v>8</v>
      </c>
      <c r="H9839" s="29"/>
      <c r="I9839" s="30"/>
    </row>
    <row r="9840" spans="1:9" ht="15.75" thickBot="1" x14ac:dyDescent="0.3">
      <c r="A9840" s="43" t="s">
        <v>19761</v>
      </c>
      <c r="B9840" s="21" t="s">
        <v>19762</v>
      </c>
      <c r="C9840" s="21" t="s">
        <v>22655</v>
      </c>
      <c r="D9840" s="22">
        <v>46042</v>
      </c>
      <c r="E9840" s="23" t="s">
        <v>22661</v>
      </c>
      <c r="F9840" s="24" t="s">
        <v>22657</v>
      </c>
      <c r="G9840" s="25">
        <v>18</v>
      </c>
      <c r="H9840" s="26"/>
      <c r="I9840" s="27"/>
    </row>
    <row r="9841" spans="1:9" ht="15.75" thickBot="1" x14ac:dyDescent="0.3">
      <c r="A9841" s="43" t="s">
        <v>19763</v>
      </c>
      <c r="B9841" s="21" t="s">
        <v>19764</v>
      </c>
      <c r="C9841" s="21" t="s">
        <v>22655</v>
      </c>
      <c r="D9841" s="22">
        <v>46042</v>
      </c>
      <c r="E9841" s="23" t="s">
        <v>22661</v>
      </c>
      <c r="F9841" s="24" t="s">
        <v>22657</v>
      </c>
      <c r="G9841" s="25">
        <v>9</v>
      </c>
      <c r="H9841" s="29"/>
      <c r="I9841" s="30"/>
    </row>
    <row r="9842" spans="1:9" ht="15.75" thickBot="1" x14ac:dyDescent="0.3">
      <c r="A9842" s="43" t="s">
        <v>19765</v>
      </c>
      <c r="B9842" s="21" t="s">
        <v>19766</v>
      </c>
      <c r="C9842" s="21" t="s">
        <v>22655</v>
      </c>
      <c r="D9842" s="22">
        <v>46042</v>
      </c>
      <c r="E9842" s="23" t="s">
        <v>22656</v>
      </c>
      <c r="F9842" s="24" t="s">
        <v>22657</v>
      </c>
      <c r="G9842" s="25">
        <v>12</v>
      </c>
      <c r="H9842" s="26"/>
      <c r="I9842" s="27"/>
    </row>
    <row r="9843" spans="1:9" ht="15.75" thickBot="1" x14ac:dyDescent="0.3">
      <c r="A9843" s="43" t="s">
        <v>19767</v>
      </c>
      <c r="B9843" s="21" t="s">
        <v>19768</v>
      </c>
      <c r="C9843" s="21" t="s">
        <v>22655</v>
      </c>
      <c r="D9843" s="22">
        <v>46034</v>
      </c>
      <c r="E9843" s="23" t="s">
        <v>22656</v>
      </c>
      <c r="F9843" s="24" t="s">
        <v>22657</v>
      </c>
      <c r="G9843" s="25">
        <v>6</v>
      </c>
      <c r="H9843" s="29"/>
      <c r="I9843" s="30"/>
    </row>
    <row r="9844" spans="1:9" ht="15.75" thickBot="1" x14ac:dyDescent="0.3">
      <c r="A9844" s="43" t="s">
        <v>19769</v>
      </c>
      <c r="B9844" s="21" t="s">
        <v>19770</v>
      </c>
      <c r="C9844" s="21" t="s">
        <v>22655</v>
      </c>
      <c r="D9844" s="22">
        <v>46028</v>
      </c>
      <c r="E9844" s="23" t="s">
        <v>22656</v>
      </c>
      <c r="F9844" s="24" t="s">
        <v>22657</v>
      </c>
      <c r="G9844" s="25">
        <v>2</v>
      </c>
      <c r="H9844" s="26"/>
      <c r="I9844" s="27"/>
    </row>
    <row r="9845" spans="1:9" ht="15.75" thickBot="1" x14ac:dyDescent="0.3">
      <c r="A9845" s="43" t="s">
        <v>19771</v>
      </c>
      <c r="B9845" s="21" t="s">
        <v>19772</v>
      </c>
      <c r="C9845" s="21" t="s">
        <v>22655</v>
      </c>
      <c r="D9845" s="22">
        <v>46028</v>
      </c>
      <c r="E9845" s="23" t="s">
        <v>22658</v>
      </c>
      <c r="F9845" s="24" t="s">
        <v>22657</v>
      </c>
      <c r="G9845" s="25">
        <v>1</v>
      </c>
      <c r="H9845" s="29"/>
      <c r="I9845" s="30"/>
    </row>
    <row r="9846" spans="1:9" ht="15.75" thickBot="1" x14ac:dyDescent="0.3">
      <c r="A9846" s="43" t="s">
        <v>19773</v>
      </c>
      <c r="B9846" s="21" t="s">
        <v>19774</v>
      </c>
      <c r="C9846" s="21" t="s">
        <v>22655</v>
      </c>
      <c r="D9846" s="22">
        <v>46042</v>
      </c>
      <c r="E9846" s="23" t="s">
        <v>22656</v>
      </c>
      <c r="F9846" s="24" t="s">
        <v>22657</v>
      </c>
      <c r="G9846" s="25">
        <v>5</v>
      </c>
      <c r="H9846" s="26"/>
      <c r="I9846" s="27"/>
    </row>
    <row r="9847" spans="1:9" ht="15.75" thickBot="1" x14ac:dyDescent="0.3">
      <c r="A9847" s="43" t="s">
        <v>19775</v>
      </c>
      <c r="B9847" s="21" t="s">
        <v>19776</v>
      </c>
      <c r="C9847" s="21" t="s">
        <v>22655</v>
      </c>
      <c r="D9847" s="22">
        <v>46042</v>
      </c>
      <c r="E9847" s="23" t="s">
        <v>22658</v>
      </c>
      <c r="F9847" s="24" t="s">
        <v>22657</v>
      </c>
      <c r="G9847" s="25">
        <v>2</v>
      </c>
      <c r="H9847" s="29"/>
      <c r="I9847" s="30"/>
    </row>
    <row r="9848" spans="1:9" ht="15.75" thickBot="1" x14ac:dyDescent="0.3">
      <c r="A9848" s="43" t="s">
        <v>19777</v>
      </c>
      <c r="B9848" s="21" t="s">
        <v>19778</v>
      </c>
      <c r="C9848" s="21" t="s">
        <v>22655</v>
      </c>
      <c r="D9848" s="22">
        <v>46042</v>
      </c>
      <c r="E9848" s="23" t="s">
        <v>22658</v>
      </c>
      <c r="F9848" s="24" t="s">
        <v>22657</v>
      </c>
      <c r="G9848" s="25">
        <v>2</v>
      </c>
      <c r="H9848" s="26"/>
      <c r="I9848" s="27"/>
    </row>
    <row r="9849" spans="1:9" ht="15.75" thickBot="1" x14ac:dyDescent="0.3">
      <c r="A9849" s="43" t="s">
        <v>19779</v>
      </c>
      <c r="B9849" s="21" t="s">
        <v>19780</v>
      </c>
      <c r="C9849" s="21" t="s">
        <v>22655</v>
      </c>
      <c r="D9849" s="22">
        <v>46024</v>
      </c>
      <c r="E9849" s="23" t="s">
        <v>22656</v>
      </c>
      <c r="F9849" s="24" t="s">
        <v>22657</v>
      </c>
      <c r="G9849" s="25">
        <v>2</v>
      </c>
      <c r="H9849" s="29"/>
      <c r="I9849" s="30"/>
    </row>
    <row r="9850" spans="1:9" ht="15.75" thickBot="1" x14ac:dyDescent="0.3">
      <c r="A9850" s="43" t="s">
        <v>19781</v>
      </c>
      <c r="B9850" s="21" t="s">
        <v>19782</v>
      </c>
      <c r="C9850" s="21" t="s">
        <v>22655</v>
      </c>
      <c r="D9850" s="22">
        <v>46032</v>
      </c>
      <c r="E9850" s="23" t="s">
        <v>22658</v>
      </c>
      <c r="F9850" s="24" t="s">
        <v>22657</v>
      </c>
      <c r="G9850" s="25">
        <v>4</v>
      </c>
      <c r="H9850" s="26"/>
      <c r="I9850" s="27"/>
    </row>
    <row r="9851" spans="1:9" ht="15.75" thickBot="1" x14ac:dyDescent="0.3">
      <c r="A9851" s="43" t="s">
        <v>19783</v>
      </c>
      <c r="B9851" s="21" t="s">
        <v>19784</v>
      </c>
      <c r="C9851" s="21" t="s">
        <v>22655</v>
      </c>
      <c r="D9851" s="22">
        <v>46024</v>
      </c>
      <c r="E9851" s="23" t="s">
        <v>22658</v>
      </c>
      <c r="F9851" s="24" t="s">
        <v>22657</v>
      </c>
      <c r="G9851" s="25">
        <v>1</v>
      </c>
      <c r="H9851" s="29"/>
      <c r="I9851" s="30"/>
    </row>
    <row r="9852" spans="1:9" ht="15.75" thickBot="1" x14ac:dyDescent="0.3">
      <c r="A9852" s="43" t="s">
        <v>19785</v>
      </c>
      <c r="B9852" s="21" t="s">
        <v>19786</v>
      </c>
      <c r="C9852" s="21" t="s">
        <v>22655</v>
      </c>
      <c r="D9852" s="22">
        <v>46032</v>
      </c>
      <c r="E9852" s="23" t="s">
        <v>22658</v>
      </c>
      <c r="F9852" s="24" t="s">
        <v>22657</v>
      </c>
      <c r="G9852" s="25">
        <v>4</v>
      </c>
      <c r="H9852" s="26"/>
      <c r="I9852" s="27"/>
    </row>
    <row r="9853" spans="1:9" ht="15.75" thickBot="1" x14ac:dyDescent="0.3">
      <c r="A9853" s="43" t="s">
        <v>19787</v>
      </c>
      <c r="B9853" s="21" t="s">
        <v>19788</v>
      </c>
      <c r="C9853" s="21" t="s">
        <v>22698</v>
      </c>
      <c r="D9853" s="31">
        <v>1</v>
      </c>
      <c r="E9853" s="23" t="s">
        <v>22656</v>
      </c>
      <c r="F9853" s="24" t="s">
        <v>22657</v>
      </c>
      <c r="G9853" s="25">
        <v>2</v>
      </c>
      <c r="H9853" s="29"/>
      <c r="I9853" s="30"/>
    </row>
    <row r="9854" spans="1:9" ht="15.75" thickBot="1" x14ac:dyDescent="0.3">
      <c r="A9854" s="43" t="s">
        <v>19789</v>
      </c>
      <c r="B9854" s="21" t="s">
        <v>19790</v>
      </c>
      <c r="C9854" s="21" t="s">
        <v>22663</v>
      </c>
      <c r="D9854" s="31">
        <v>1</v>
      </c>
      <c r="E9854" s="23" t="s">
        <v>22656</v>
      </c>
      <c r="F9854" s="24" t="s">
        <v>22657</v>
      </c>
      <c r="G9854" s="25">
        <v>2</v>
      </c>
      <c r="H9854" s="26"/>
      <c r="I9854" s="27"/>
    </row>
    <row r="9855" spans="1:9" ht="15.75" thickBot="1" x14ac:dyDescent="0.3">
      <c r="A9855" s="43" t="s">
        <v>19791</v>
      </c>
      <c r="B9855" s="21" t="s">
        <v>19792</v>
      </c>
      <c r="C9855" s="21" t="s">
        <v>22655</v>
      </c>
      <c r="D9855" s="22">
        <v>46024</v>
      </c>
      <c r="E9855" s="23" t="s">
        <v>22656</v>
      </c>
      <c r="F9855" s="24" t="s">
        <v>22657</v>
      </c>
      <c r="G9855" s="25">
        <v>2</v>
      </c>
      <c r="H9855" s="29"/>
      <c r="I9855" s="30"/>
    </row>
    <row r="9856" spans="1:9" ht="15.75" thickBot="1" x14ac:dyDescent="0.3">
      <c r="A9856" s="43" t="s">
        <v>19793</v>
      </c>
      <c r="B9856" s="21" t="s">
        <v>19794</v>
      </c>
      <c r="C9856" s="21" t="s">
        <v>22655</v>
      </c>
      <c r="D9856" s="22">
        <v>46024</v>
      </c>
      <c r="E9856" s="23" t="s">
        <v>22656</v>
      </c>
      <c r="F9856" s="24" t="s">
        <v>22657</v>
      </c>
      <c r="G9856" s="25">
        <v>2</v>
      </c>
      <c r="H9856" s="26"/>
      <c r="I9856" s="27"/>
    </row>
    <row r="9857" spans="1:9" ht="15.75" thickBot="1" x14ac:dyDescent="0.3">
      <c r="A9857" s="43" t="s">
        <v>19795</v>
      </c>
      <c r="B9857" s="21" t="s">
        <v>19796</v>
      </c>
      <c r="C9857" s="21" t="s">
        <v>22663</v>
      </c>
      <c r="D9857" s="31">
        <v>1</v>
      </c>
      <c r="E9857" s="23" t="s">
        <v>22658</v>
      </c>
      <c r="F9857" s="24" t="s">
        <v>22657</v>
      </c>
      <c r="G9857" s="25">
        <v>1</v>
      </c>
      <c r="H9857" s="29"/>
      <c r="I9857" s="30"/>
    </row>
    <row r="9858" spans="1:9" ht="15.75" thickBot="1" x14ac:dyDescent="0.3">
      <c r="A9858" s="43" t="s">
        <v>19797</v>
      </c>
      <c r="B9858" s="21" t="s">
        <v>19798</v>
      </c>
      <c r="C9858" s="21" t="s">
        <v>22663</v>
      </c>
      <c r="D9858" s="31">
        <v>1</v>
      </c>
      <c r="E9858" s="23" t="s">
        <v>22656</v>
      </c>
      <c r="F9858" s="24" t="s">
        <v>22657</v>
      </c>
      <c r="G9858" s="25">
        <v>2</v>
      </c>
      <c r="H9858" s="26"/>
      <c r="I9858" s="27"/>
    </row>
    <row r="9859" spans="1:9" ht="15.75" thickBot="1" x14ac:dyDescent="0.3">
      <c r="A9859" s="43" t="s">
        <v>19799</v>
      </c>
      <c r="B9859" s="21" t="s">
        <v>19800</v>
      </c>
      <c r="C9859" s="21" t="s">
        <v>22655</v>
      </c>
      <c r="D9859" s="22">
        <v>46024</v>
      </c>
      <c r="E9859" s="23" t="s">
        <v>22656</v>
      </c>
      <c r="F9859" s="24" t="s">
        <v>22657</v>
      </c>
      <c r="G9859" s="25">
        <v>2</v>
      </c>
      <c r="H9859" s="29"/>
      <c r="I9859" s="30"/>
    </row>
    <row r="9860" spans="1:9" ht="15.75" thickBot="1" x14ac:dyDescent="0.3">
      <c r="A9860" s="43" t="s">
        <v>19801</v>
      </c>
      <c r="B9860" s="21" t="s">
        <v>19802</v>
      </c>
      <c r="C9860" s="21" t="s">
        <v>22655</v>
      </c>
      <c r="D9860" s="22">
        <v>46030</v>
      </c>
      <c r="E9860" s="23" t="s">
        <v>22658</v>
      </c>
      <c r="F9860" s="24" t="s">
        <v>22657</v>
      </c>
      <c r="G9860" s="25">
        <v>2</v>
      </c>
      <c r="H9860" s="26"/>
      <c r="I9860" s="27"/>
    </row>
    <row r="9861" spans="1:9" ht="15.75" thickBot="1" x14ac:dyDescent="0.3">
      <c r="A9861" s="43" t="s">
        <v>19803</v>
      </c>
      <c r="B9861" s="21" t="s">
        <v>19804</v>
      </c>
      <c r="C9861" s="21" t="s">
        <v>22655</v>
      </c>
      <c r="D9861" s="22">
        <v>46034</v>
      </c>
      <c r="E9861" s="23" t="s">
        <v>22656</v>
      </c>
      <c r="F9861" s="24" t="s">
        <v>22657</v>
      </c>
      <c r="G9861" s="25">
        <v>2</v>
      </c>
      <c r="H9861" s="29"/>
      <c r="I9861" s="30"/>
    </row>
    <row r="9862" spans="1:9" ht="15.75" thickBot="1" x14ac:dyDescent="0.3">
      <c r="A9862" s="43" t="s">
        <v>19805</v>
      </c>
      <c r="B9862" s="21" t="s">
        <v>19806</v>
      </c>
      <c r="C9862" s="21" t="s">
        <v>22655</v>
      </c>
      <c r="D9862" s="22">
        <v>46028</v>
      </c>
      <c r="E9862" s="23" t="s">
        <v>22656</v>
      </c>
      <c r="F9862" s="24" t="s">
        <v>22657</v>
      </c>
      <c r="G9862" s="25">
        <v>2</v>
      </c>
      <c r="H9862" s="26"/>
      <c r="I9862" s="27"/>
    </row>
    <row r="9863" spans="1:9" ht="15.75" thickBot="1" x14ac:dyDescent="0.3">
      <c r="A9863" s="43" t="s">
        <v>19807</v>
      </c>
      <c r="B9863" s="21" t="s">
        <v>19808</v>
      </c>
      <c r="C9863" s="21" t="s">
        <v>22655</v>
      </c>
      <c r="D9863" s="22">
        <v>46024</v>
      </c>
      <c r="E9863" s="23" t="s">
        <v>22656</v>
      </c>
      <c r="F9863" s="24" t="s">
        <v>22657</v>
      </c>
      <c r="G9863" s="25">
        <v>2</v>
      </c>
      <c r="H9863" s="29"/>
      <c r="I9863" s="30"/>
    </row>
    <row r="9864" spans="1:9" ht="15.75" thickBot="1" x14ac:dyDescent="0.3">
      <c r="A9864" s="43" t="s">
        <v>19809</v>
      </c>
      <c r="B9864" s="21" t="s">
        <v>19810</v>
      </c>
      <c r="C9864" s="21" t="s">
        <v>22667</v>
      </c>
      <c r="D9864" s="31" t="s">
        <v>22671</v>
      </c>
      <c r="E9864" s="23" t="s">
        <v>22661</v>
      </c>
      <c r="F9864" s="24" t="s">
        <v>22657</v>
      </c>
      <c r="G9864" s="25">
        <v>6</v>
      </c>
      <c r="H9864" s="34">
        <v>6</v>
      </c>
      <c r="I9864" s="35">
        <v>12</v>
      </c>
    </row>
    <row r="9865" spans="1:9" ht="15.75" thickBot="1" x14ac:dyDescent="0.3">
      <c r="A9865" s="43" t="s">
        <v>19811</v>
      </c>
      <c r="B9865" s="21" t="s">
        <v>19812</v>
      </c>
      <c r="C9865" s="21" t="s">
        <v>22655</v>
      </c>
      <c r="D9865" s="22">
        <v>46032</v>
      </c>
      <c r="E9865" s="23" t="s">
        <v>22656</v>
      </c>
      <c r="F9865" s="24" t="s">
        <v>22657</v>
      </c>
      <c r="G9865" s="25">
        <v>2</v>
      </c>
      <c r="H9865" s="29"/>
      <c r="I9865" s="30"/>
    </row>
    <row r="9866" spans="1:9" ht="15.75" thickBot="1" x14ac:dyDescent="0.3">
      <c r="A9866" s="43" t="s">
        <v>19813</v>
      </c>
      <c r="B9866" s="21" t="s">
        <v>19814</v>
      </c>
      <c r="C9866" s="21" t="s">
        <v>22655</v>
      </c>
      <c r="D9866" s="22">
        <v>46034</v>
      </c>
      <c r="E9866" s="23" t="s">
        <v>22658</v>
      </c>
      <c r="F9866" s="24" t="s">
        <v>22657</v>
      </c>
      <c r="G9866" s="25">
        <v>2</v>
      </c>
      <c r="H9866" s="26"/>
      <c r="I9866" s="27"/>
    </row>
    <row r="9867" spans="1:9" ht="15.75" thickBot="1" x14ac:dyDescent="0.3">
      <c r="A9867" s="43" t="s">
        <v>19815</v>
      </c>
      <c r="B9867" s="21" t="s">
        <v>19816</v>
      </c>
      <c r="C9867" s="21" t="s">
        <v>22655</v>
      </c>
      <c r="D9867" s="22">
        <v>46032</v>
      </c>
      <c r="E9867" s="23" t="s">
        <v>22656</v>
      </c>
      <c r="F9867" s="24" t="s">
        <v>22657</v>
      </c>
      <c r="G9867" s="25">
        <v>3</v>
      </c>
      <c r="H9867" s="29"/>
      <c r="I9867" s="30"/>
    </row>
    <row r="9868" spans="1:9" ht="15.75" thickBot="1" x14ac:dyDescent="0.3">
      <c r="A9868" s="43" t="s">
        <v>19817</v>
      </c>
      <c r="B9868" s="21" t="s">
        <v>19818</v>
      </c>
      <c r="C9868" s="21" t="s">
        <v>22655</v>
      </c>
      <c r="D9868" s="22">
        <v>46032</v>
      </c>
      <c r="E9868" s="23" t="s">
        <v>22661</v>
      </c>
      <c r="F9868" s="24" t="s">
        <v>22657</v>
      </c>
      <c r="G9868" s="25">
        <v>5</v>
      </c>
      <c r="H9868" s="26"/>
      <c r="I9868" s="27"/>
    </row>
    <row r="9869" spans="1:9" ht="15.75" thickBot="1" x14ac:dyDescent="0.3">
      <c r="A9869" s="43" t="s">
        <v>19819</v>
      </c>
      <c r="B9869" s="21" t="s">
        <v>19820</v>
      </c>
      <c r="C9869" s="21" t="s">
        <v>22655</v>
      </c>
      <c r="D9869" s="22">
        <v>46032</v>
      </c>
      <c r="E9869" s="23" t="s">
        <v>22658</v>
      </c>
      <c r="F9869" s="24" t="s">
        <v>22657</v>
      </c>
      <c r="G9869" s="25">
        <v>2</v>
      </c>
      <c r="H9869" s="29"/>
      <c r="I9869" s="30"/>
    </row>
    <row r="9870" spans="1:9" ht="15.75" thickBot="1" x14ac:dyDescent="0.3">
      <c r="A9870" s="43" t="s">
        <v>1115</v>
      </c>
      <c r="B9870" s="21" t="s">
        <v>1116</v>
      </c>
      <c r="C9870" s="21" t="s">
        <v>22655</v>
      </c>
      <c r="D9870" s="22">
        <v>46032</v>
      </c>
      <c r="E9870" s="23" t="s">
        <v>22661</v>
      </c>
      <c r="F9870" s="24" t="s">
        <v>22657</v>
      </c>
      <c r="G9870" s="25">
        <v>36</v>
      </c>
      <c r="H9870" s="34">
        <v>36</v>
      </c>
      <c r="I9870" s="35">
        <v>48</v>
      </c>
    </row>
    <row r="9871" spans="1:9" ht="15.75" thickBot="1" x14ac:dyDescent="0.3">
      <c r="A9871" s="43" t="s">
        <v>19821</v>
      </c>
      <c r="B9871" s="21" t="s">
        <v>19822</v>
      </c>
      <c r="C9871" s="21" t="s">
        <v>22655</v>
      </c>
      <c r="D9871" s="22">
        <v>46032</v>
      </c>
      <c r="E9871" s="23" t="s">
        <v>22658</v>
      </c>
      <c r="F9871" s="24" t="s">
        <v>22657</v>
      </c>
      <c r="G9871" s="25">
        <v>2</v>
      </c>
      <c r="H9871" s="29"/>
      <c r="I9871" s="30"/>
    </row>
    <row r="9872" spans="1:9" ht="15.75" thickBot="1" x14ac:dyDescent="0.3">
      <c r="A9872" s="43" t="s">
        <v>19823</v>
      </c>
      <c r="B9872" s="21" t="s">
        <v>19824</v>
      </c>
      <c r="C9872" s="21" t="s">
        <v>22655</v>
      </c>
      <c r="D9872" s="22">
        <v>46032</v>
      </c>
      <c r="E9872" s="23" t="s">
        <v>22658</v>
      </c>
      <c r="F9872" s="24" t="s">
        <v>22657</v>
      </c>
      <c r="G9872" s="25">
        <v>2</v>
      </c>
      <c r="H9872" s="26"/>
      <c r="I9872" s="27"/>
    </row>
    <row r="9873" spans="1:9" ht="15.75" thickBot="1" x14ac:dyDescent="0.3">
      <c r="A9873" s="43" t="s">
        <v>19825</v>
      </c>
      <c r="B9873" s="21" t="s">
        <v>19826</v>
      </c>
      <c r="C9873" s="21" t="s">
        <v>22655</v>
      </c>
      <c r="D9873" s="22">
        <v>46042</v>
      </c>
      <c r="E9873" s="23" t="s">
        <v>22656</v>
      </c>
      <c r="F9873" s="24" t="s">
        <v>22657</v>
      </c>
      <c r="G9873" s="25">
        <v>7</v>
      </c>
      <c r="H9873" s="29"/>
      <c r="I9873" s="30"/>
    </row>
    <row r="9874" spans="1:9" ht="15.75" thickBot="1" x14ac:dyDescent="0.3">
      <c r="A9874" s="43" t="s">
        <v>19827</v>
      </c>
      <c r="B9874" s="21" t="s">
        <v>19828</v>
      </c>
      <c r="C9874" s="21" t="s">
        <v>22663</v>
      </c>
      <c r="D9874" s="31">
        <v>1</v>
      </c>
      <c r="E9874" s="23" t="s">
        <v>22656</v>
      </c>
      <c r="F9874" s="24" t="s">
        <v>22657</v>
      </c>
      <c r="G9874" s="25">
        <v>2</v>
      </c>
      <c r="H9874" s="26"/>
      <c r="I9874" s="27"/>
    </row>
    <row r="9875" spans="1:9" ht="15.75" thickBot="1" x14ac:dyDescent="0.3">
      <c r="A9875" s="43" t="s">
        <v>19829</v>
      </c>
      <c r="B9875" s="21" t="s">
        <v>19830</v>
      </c>
      <c r="C9875" s="21" t="s">
        <v>22663</v>
      </c>
      <c r="D9875" s="31">
        <v>1</v>
      </c>
      <c r="E9875" s="23" t="s">
        <v>22656</v>
      </c>
      <c r="F9875" s="24" t="s">
        <v>22657</v>
      </c>
      <c r="G9875" s="25">
        <v>5</v>
      </c>
      <c r="H9875" s="29"/>
      <c r="I9875" s="30"/>
    </row>
    <row r="9876" spans="1:9" ht="15.75" thickBot="1" x14ac:dyDescent="0.3">
      <c r="A9876" s="43" t="s">
        <v>19831</v>
      </c>
      <c r="B9876" s="21" t="s">
        <v>19832</v>
      </c>
      <c r="C9876" s="21" t="s">
        <v>22655</v>
      </c>
      <c r="D9876" s="22">
        <v>46046</v>
      </c>
      <c r="E9876" s="23" t="s">
        <v>22656</v>
      </c>
      <c r="F9876" s="24" t="s">
        <v>22657</v>
      </c>
      <c r="G9876" s="25">
        <v>2</v>
      </c>
      <c r="H9876" s="26"/>
      <c r="I9876" s="27"/>
    </row>
    <row r="9877" spans="1:9" ht="15.75" thickBot="1" x14ac:dyDescent="0.3">
      <c r="A9877" s="43" t="s">
        <v>19833</v>
      </c>
      <c r="B9877" s="21" t="s">
        <v>19834</v>
      </c>
      <c r="C9877" s="21" t="s">
        <v>22655</v>
      </c>
      <c r="D9877" s="22">
        <v>46034</v>
      </c>
      <c r="E9877" s="23" t="s">
        <v>22658</v>
      </c>
      <c r="F9877" s="24" t="s">
        <v>22657</v>
      </c>
      <c r="G9877" s="25">
        <v>1</v>
      </c>
      <c r="H9877" s="29"/>
      <c r="I9877" s="30"/>
    </row>
    <row r="9878" spans="1:9" ht="15.75" thickBot="1" x14ac:dyDescent="0.3">
      <c r="A9878" s="43" t="s">
        <v>841</v>
      </c>
      <c r="B9878" s="21" t="s">
        <v>22639</v>
      </c>
      <c r="C9878" s="21" t="s">
        <v>22655</v>
      </c>
      <c r="D9878" s="22">
        <v>46037</v>
      </c>
      <c r="E9878" s="23" t="s">
        <v>22661</v>
      </c>
      <c r="F9878" s="24" t="s">
        <v>22657</v>
      </c>
      <c r="G9878" s="25">
        <v>15</v>
      </c>
      <c r="H9878" s="34">
        <v>15</v>
      </c>
      <c r="I9878" s="35">
        <v>30</v>
      </c>
    </row>
    <row r="9879" spans="1:9" ht="15.75" thickBot="1" x14ac:dyDescent="0.3">
      <c r="A9879" s="43" t="s">
        <v>19839</v>
      </c>
      <c r="B9879" s="21" t="s">
        <v>19840</v>
      </c>
      <c r="C9879" s="21" t="s">
        <v>22655</v>
      </c>
      <c r="D9879" s="22">
        <v>46032</v>
      </c>
      <c r="E9879" s="23" t="s">
        <v>22658</v>
      </c>
      <c r="F9879" s="24" t="s">
        <v>22657</v>
      </c>
      <c r="G9879" s="25">
        <v>1</v>
      </c>
      <c r="H9879" s="29"/>
      <c r="I9879" s="30"/>
    </row>
    <row r="9880" spans="1:9" ht="15.75" thickBot="1" x14ac:dyDescent="0.3">
      <c r="A9880" s="43" t="s">
        <v>259</v>
      </c>
      <c r="B9880" s="21" t="s">
        <v>260</v>
      </c>
      <c r="C9880" s="21" t="s">
        <v>22655</v>
      </c>
      <c r="D9880" s="22">
        <v>46034</v>
      </c>
      <c r="E9880" s="23" t="s">
        <v>22656</v>
      </c>
      <c r="F9880" s="24" t="s">
        <v>22657</v>
      </c>
      <c r="G9880" s="25">
        <v>4</v>
      </c>
      <c r="H9880" s="34">
        <v>4</v>
      </c>
      <c r="I9880" s="35">
        <v>6</v>
      </c>
    </row>
    <row r="9881" spans="1:9" ht="15.75" thickBot="1" x14ac:dyDescent="0.3">
      <c r="A9881" s="43" t="s">
        <v>19841</v>
      </c>
      <c r="B9881" s="21" t="s">
        <v>19842</v>
      </c>
      <c r="C9881" s="21" t="s">
        <v>22655</v>
      </c>
      <c r="D9881" s="31" t="s">
        <v>22872</v>
      </c>
      <c r="E9881" s="23" t="s">
        <v>22656</v>
      </c>
      <c r="F9881" s="24" t="s">
        <v>22657</v>
      </c>
      <c r="G9881" s="25">
        <v>2</v>
      </c>
      <c r="H9881" s="29"/>
      <c r="I9881" s="30"/>
    </row>
    <row r="9882" spans="1:9" ht="15.75" thickBot="1" x14ac:dyDescent="0.3">
      <c r="A9882" s="43" t="s">
        <v>19843</v>
      </c>
      <c r="B9882" s="21" t="s">
        <v>19844</v>
      </c>
      <c r="C9882" s="21" t="s">
        <v>22655</v>
      </c>
      <c r="D9882" s="22">
        <v>46034</v>
      </c>
      <c r="E9882" s="23" t="s">
        <v>22658</v>
      </c>
      <c r="F9882" s="24" t="s">
        <v>22657</v>
      </c>
      <c r="G9882" s="25">
        <v>1</v>
      </c>
      <c r="H9882" s="26"/>
      <c r="I9882" s="27"/>
    </row>
    <row r="9883" spans="1:9" ht="15.75" thickBot="1" x14ac:dyDescent="0.3">
      <c r="A9883" s="43" t="s">
        <v>19845</v>
      </c>
      <c r="B9883" s="21" t="s">
        <v>19846</v>
      </c>
      <c r="C9883" s="21" t="s">
        <v>22655</v>
      </c>
      <c r="D9883" s="22">
        <v>46034</v>
      </c>
      <c r="E9883" s="23" t="s">
        <v>22656</v>
      </c>
      <c r="F9883" s="24" t="s">
        <v>22657</v>
      </c>
      <c r="G9883" s="25">
        <v>4</v>
      </c>
      <c r="H9883" s="29"/>
      <c r="I9883" s="30"/>
    </row>
    <row r="9884" spans="1:9" ht="15.75" thickBot="1" x14ac:dyDescent="0.3">
      <c r="A9884" s="43" t="s">
        <v>19847</v>
      </c>
      <c r="B9884" s="21" t="s">
        <v>19848</v>
      </c>
      <c r="C9884" s="21" t="s">
        <v>22655</v>
      </c>
      <c r="D9884" s="22">
        <v>46034</v>
      </c>
      <c r="E9884" s="23" t="s">
        <v>22658</v>
      </c>
      <c r="F9884" s="24" t="s">
        <v>22657</v>
      </c>
      <c r="G9884" s="25">
        <v>1</v>
      </c>
      <c r="H9884" s="26"/>
      <c r="I9884" s="27"/>
    </row>
    <row r="9885" spans="1:9" ht="15.75" thickBot="1" x14ac:dyDescent="0.3">
      <c r="A9885" s="43" t="s">
        <v>19849</v>
      </c>
      <c r="B9885" s="21" t="s">
        <v>19850</v>
      </c>
      <c r="C9885" s="21" t="s">
        <v>22663</v>
      </c>
      <c r="D9885" s="31">
        <v>1</v>
      </c>
      <c r="E9885" s="23" t="s">
        <v>22658</v>
      </c>
      <c r="F9885" s="24" t="s">
        <v>22657</v>
      </c>
      <c r="G9885" s="25">
        <v>1</v>
      </c>
      <c r="H9885" s="29"/>
      <c r="I9885" s="30"/>
    </row>
    <row r="9886" spans="1:9" ht="15.75" thickBot="1" x14ac:dyDescent="0.3">
      <c r="A9886" s="43" t="s">
        <v>19851</v>
      </c>
      <c r="B9886" s="21" t="s">
        <v>19852</v>
      </c>
      <c r="C9886" s="21" t="s">
        <v>22655</v>
      </c>
      <c r="D9886" s="22">
        <v>46024</v>
      </c>
      <c r="E9886" s="23" t="s">
        <v>22658</v>
      </c>
      <c r="F9886" s="24" t="s">
        <v>22657</v>
      </c>
      <c r="G9886" s="25">
        <v>1</v>
      </c>
      <c r="H9886" s="26"/>
      <c r="I9886" s="27"/>
    </row>
    <row r="9887" spans="1:9" ht="15.75" thickBot="1" x14ac:dyDescent="0.3">
      <c r="A9887" s="43" t="s">
        <v>19853</v>
      </c>
      <c r="B9887" s="21" t="s">
        <v>19854</v>
      </c>
      <c r="C9887" s="21" t="s">
        <v>22655</v>
      </c>
      <c r="D9887" s="22">
        <v>46032</v>
      </c>
      <c r="E9887" s="23" t="s">
        <v>22656</v>
      </c>
      <c r="F9887" s="24" t="s">
        <v>22657</v>
      </c>
      <c r="G9887" s="25">
        <v>2</v>
      </c>
      <c r="H9887" s="29"/>
      <c r="I9887" s="30"/>
    </row>
    <row r="9888" spans="1:9" ht="15.75" thickBot="1" x14ac:dyDescent="0.3">
      <c r="A9888" s="43" t="s">
        <v>19855</v>
      </c>
      <c r="B9888" s="21" t="s">
        <v>19856</v>
      </c>
      <c r="C9888" s="21" t="s">
        <v>22655</v>
      </c>
      <c r="D9888" s="22">
        <v>46032</v>
      </c>
      <c r="E9888" s="23" t="s">
        <v>22658</v>
      </c>
      <c r="F9888" s="24" t="s">
        <v>22657</v>
      </c>
      <c r="G9888" s="25">
        <v>1</v>
      </c>
      <c r="H9888" s="26"/>
      <c r="I9888" s="27"/>
    </row>
    <row r="9889" spans="1:9" ht="15.75" thickBot="1" x14ac:dyDescent="0.3">
      <c r="A9889" s="43" t="s">
        <v>19857</v>
      </c>
      <c r="B9889" s="21" t="s">
        <v>19858</v>
      </c>
      <c r="C9889" s="21" t="s">
        <v>22682</v>
      </c>
      <c r="D9889" s="22">
        <v>46034</v>
      </c>
      <c r="E9889" s="23" t="s">
        <v>22656</v>
      </c>
      <c r="F9889" s="24" t="s">
        <v>22657</v>
      </c>
      <c r="G9889" s="25">
        <v>14</v>
      </c>
      <c r="H9889" s="29"/>
      <c r="I9889" s="30"/>
    </row>
    <row r="9890" spans="1:9" ht="15.75" thickBot="1" x14ac:dyDescent="0.3">
      <c r="A9890" s="43" t="s">
        <v>19859</v>
      </c>
      <c r="B9890" s="21" t="s">
        <v>19860</v>
      </c>
      <c r="C9890" s="21" t="s">
        <v>22663</v>
      </c>
      <c r="D9890" s="31">
        <v>1</v>
      </c>
      <c r="E9890" s="23" t="s">
        <v>22658</v>
      </c>
      <c r="F9890" s="24" t="s">
        <v>22657</v>
      </c>
      <c r="G9890" s="25">
        <v>1</v>
      </c>
      <c r="H9890" s="26"/>
      <c r="I9890" s="27"/>
    </row>
    <row r="9891" spans="1:9" ht="15.75" thickBot="1" x14ac:dyDescent="0.3">
      <c r="A9891" s="43" t="s">
        <v>19863</v>
      </c>
      <c r="B9891" s="21" t="s">
        <v>19864</v>
      </c>
      <c r="C9891" s="21" t="s">
        <v>22655</v>
      </c>
      <c r="D9891" s="22">
        <v>46046</v>
      </c>
      <c r="E9891" s="23" t="s">
        <v>22661</v>
      </c>
      <c r="F9891" s="24" t="s">
        <v>22657</v>
      </c>
      <c r="G9891" s="25">
        <v>23</v>
      </c>
      <c r="H9891" s="29"/>
      <c r="I9891" s="30"/>
    </row>
    <row r="9892" spans="1:9" ht="15.75" thickBot="1" x14ac:dyDescent="0.3">
      <c r="A9892" s="43" t="s">
        <v>9463</v>
      </c>
      <c r="B9892" s="21" t="s">
        <v>9464</v>
      </c>
      <c r="C9892" s="21" t="s">
        <v>22655</v>
      </c>
      <c r="D9892" s="31" t="s">
        <v>22660</v>
      </c>
      <c r="E9892" s="23" t="s">
        <v>22661</v>
      </c>
      <c r="F9892" s="24" t="s">
        <v>22657</v>
      </c>
      <c r="G9892" s="25">
        <v>24</v>
      </c>
      <c r="H9892" s="34">
        <v>24</v>
      </c>
      <c r="I9892" s="35">
        <v>48</v>
      </c>
    </row>
    <row r="9893" spans="1:9" ht="15.75" thickBot="1" x14ac:dyDescent="0.3">
      <c r="A9893" s="43" t="s">
        <v>2667</v>
      </c>
      <c r="B9893" s="21" t="s">
        <v>2668</v>
      </c>
      <c r="C9893" s="21" t="s">
        <v>22663</v>
      </c>
      <c r="D9893" s="31">
        <v>1</v>
      </c>
      <c r="E9893" s="23" t="s">
        <v>22658</v>
      </c>
      <c r="F9893" s="24" t="s">
        <v>22657</v>
      </c>
      <c r="G9893" s="25">
        <v>4</v>
      </c>
      <c r="H9893" s="29"/>
      <c r="I9893" s="30"/>
    </row>
    <row r="9894" spans="1:9" ht="15.75" thickBot="1" x14ac:dyDescent="0.3">
      <c r="A9894" s="43" t="s">
        <v>22640</v>
      </c>
      <c r="B9894" s="21" t="s">
        <v>22641</v>
      </c>
      <c r="C9894" s="36" t="e">
        <v>#N/A</v>
      </c>
      <c r="D9894" s="37" t="e">
        <v>#N/A</v>
      </c>
      <c r="E9894" s="23" t="e">
        <v>#N/A</v>
      </c>
      <c r="F9894" s="28" t="s">
        <v>22659</v>
      </c>
      <c r="G9894" s="25" t="e">
        <v>#N/A</v>
      </c>
      <c r="H9894" s="26"/>
      <c r="I9894" s="27"/>
    </row>
    <row r="9895" spans="1:9" ht="15.75" thickBot="1" x14ac:dyDescent="0.3">
      <c r="A9895" s="43" t="s">
        <v>4659</v>
      </c>
      <c r="B9895" s="21" t="s">
        <v>4660</v>
      </c>
      <c r="C9895" s="21" t="s">
        <v>22663</v>
      </c>
      <c r="D9895" s="31">
        <v>1</v>
      </c>
      <c r="E9895" s="23" t="s">
        <v>22656</v>
      </c>
      <c r="F9895" s="24" t="s">
        <v>22657</v>
      </c>
      <c r="G9895" s="25">
        <v>2</v>
      </c>
      <c r="H9895" s="29"/>
      <c r="I9895" s="30"/>
    </row>
    <row r="9896" spans="1:9" ht="15.75" thickBot="1" x14ac:dyDescent="0.3">
      <c r="A9896" s="43" t="s">
        <v>19861</v>
      </c>
      <c r="B9896" s="21" t="s">
        <v>19862</v>
      </c>
      <c r="C9896" s="21" t="s">
        <v>22663</v>
      </c>
      <c r="D9896" s="31">
        <v>1</v>
      </c>
      <c r="E9896" s="23" t="s">
        <v>22658</v>
      </c>
      <c r="F9896" s="24" t="s">
        <v>22657</v>
      </c>
      <c r="G9896" s="25">
        <v>2</v>
      </c>
      <c r="H9896" s="26"/>
      <c r="I9896" s="27"/>
    </row>
    <row r="9897" spans="1:9" ht="15.75" thickBot="1" x14ac:dyDescent="0.3">
      <c r="A9897" s="43" t="s">
        <v>2138</v>
      </c>
      <c r="B9897" s="21" t="s">
        <v>2139</v>
      </c>
      <c r="C9897" s="21" t="s">
        <v>22663</v>
      </c>
      <c r="D9897" s="31">
        <v>1</v>
      </c>
      <c r="E9897" s="23" t="s">
        <v>22656</v>
      </c>
      <c r="F9897" s="24" t="s">
        <v>22657</v>
      </c>
      <c r="G9897" s="25">
        <v>12</v>
      </c>
      <c r="H9897" s="32">
        <v>12</v>
      </c>
      <c r="I9897" s="33">
        <v>24</v>
      </c>
    </row>
    <row r="9898" spans="1:9" ht="15.75" thickBot="1" x14ac:dyDescent="0.3">
      <c r="A9898" s="43" t="s">
        <v>2142</v>
      </c>
      <c r="B9898" s="21" t="s">
        <v>2143</v>
      </c>
      <c r="C9898" s="21" t="s">
        <v>22663</v>
      </c>
      <c r="D9898" s="31">
        <v>1</v>
      </c>
      <c r="E9898" s="23" t="s">
        <v>22656</v>
      </c>
      <c r="F9898" s="24" t="s">
        <v>22657</v>
      </c>
      <c r="G9898" s="25">
        <v>2</v>
      </c>
      <c r="H9898" s="26"/>
      <c r="I9898" s="27"/>
    </row>
    <row r="9899" spans="1:9" ht="15.75" thickBot="1" x14ac:dyDescent="0.3">
      <c r="A9899" s="43" t="s">
        <v>6142</v>
      </c>
      <c r="B9899" s="21" t="s">
        <v>6143</v>
      </c>
      <c r="C9899" s="21" t="s">
        <v>22663</v>
      </c>
      <c r="D9899" s="31">
        <v>1</v>
      </c>
      <c r="E9899" s="23" t="s">
        <v>22658</v>
      </c>
      <c r="F9899" s="24" t="s">
        <v>22657</v>
      </c>
      <c r="G9899" s="25">
        <v>2</v>
      </c>
      <c r="H9899" s="29"/>
      <c r="I9899" s="30"/>
    </row>
    <row r="9900" spans="1:9" ht="15.75" thickBot="1" x14ac:dyDescent="0.3">
      <c r="A9900" s="43" t="s">
        <v>9591</v>
      </c>
      <c r="B9900" s="21" t="s">
        <v>9592</v>
      </c>
      <c r="C9900" s="21" t="s">
        <v>22667</v>
      </c>
      <c r="D9900" s="31" t="s">
        <v>22836</v>
      </c>
      <c r="E9900" s="23" t="s">
        <v>22656</v>
      </c>
      <c r="F9900" s="24" t="s">
        <v>22657</v>
      </c>
      <c r="G9900" s="25">
        <v>4</v>
      </c>
      <c r="H9900" s="26"/>
      <c r="I9900" s="27"/>
    </row>
    <row r="9901" spans="1:9" ht="15.75" thickBot="1" x14ac:dyDescent="0.3">
      <c r="A9901" s="43" t="s">
        <v>9595</v>
      </c>
      <c r="B9901" s="21" t="s">
        <v>9596</v>
      </c>
      <c r="C9901" s="21" t="s">
        <v>22667</v>
      </c>
      <c r="D9901" s="31" t="s">
        <v>22836</v>
      </c>
      <c r="E9901" s="23" t="s">
        <v>22656</v>
      </c>
      <c r="F9901" s="24" t="s">
        <v>22657</v>
      </c>
      <c r="G9901" s="25">
        <v>4</v>
      </c>
      <c r="H9901" s="29"/>
      <c r="I9901" s="30"/>
    </row>
    <row r="9902" spans="1:9" ht="15.75" thickBot="1" x14ac:dyDescent="0.3">
      <c r="A9902" s="43" t="s">
        <v>9597</v>
      </c>
      <c r="B9902" s="21" t="s">
        <v>9598</v>
      </c>
      <c r="C9902" s="21" t="s">
        <v>22655</v>
      </c>
      <c r="D9902" s="22">
        <v>46028</v>
      </c>
      <c r="E9902" s="23" t="s">
        <v>22656</v>
      </c>
      <c r="F9902" s="24" t="s">
        <v>22657</v>
      </c>
      <c r="G9902" s="25">
        <v>3</v>
      </c>
      <c r="H9902" s="26"/>
      <c r="I9902" s="27"/>
    </row>
    <row r="9903" spans="1:9" ht="15.75" thickBot="1" x14ac:dyDescent="0.3">
      <c r="A9903" s="43" t="s">
        <v>9603</v>
      </c>
      <c r="B9903" s="21" t="s">
        <v>9604</v>
      </c>
      <c r="C9903" s="21" t="s">
        <v>22655</v>
      </c>
      <c r="D9903" s="22">
        <v>46034</v>
      </c>
      <c r="E9903" s="23" t="s">
        <v>22656</v>
      </c>
      <c r="F9903" s="24" t="s">
        <v>22657</v>
      </c>
      <c r="G9903" s="25">
        <v>2</v>
      </c>
      <c r="H9903" s="29"/>
      <c r="I9903" s="30"/>
    </row>
    <row r="9904" spans="1:9" ht="15.75" thickBot="1" x14ac:dyDescent="0.3">
      <c r="A9904" s="43" t="s">
        <v>9605</v>
      </c>
      <c r="B9904" s="21" t="s">
        <v>9606</v>
      </c>
      <c r="C9904" s="21" t="s">
        <v>22655</v>
      </c>
      <c r="D9904" s="22">
        <v>46028</v>
      </c>
      <c r="E9904" s="23" t="s">
        <v>22656</v>
      </c>
      <c r="F9904" s="24" t="s">
        <v>22657</v>
      </c>
      <c r="G9904" s="25">
        <v>2</v>
      </c>
      <c r="H9904" s="26"/>
      <c r="I9904" s="27"/>
    </row>
    <row r="9905" spans="1:9" ht="15.75" thickBot="1" x14ac:dyDescent="0.3">
      <c r="A9905" s="43" t="s">
        <v>9620</v>
      </c>
      <c r="B9905" s="21" t="s">
        <v>9621</v>
      </c>
      <c r="C9905" s="21" t="s">
        <v>22655</v>
      </c>
      <c r="D9905" s="22">
        <v>46036</v>
      </c>
      <c r="E9905" s="23" t="s">
        <v>22656</v>
      </c>
      <c r="F9905" s="24" t="s">
        <v>22657</v>
      </c>
      <c r="G9905" s="25">
        <v>2</v>
      </c>
      <c r="H9905" s="29"/>
      <c r="I9905" s="30"/>
    </row>
    <row r="9906" spans="1:9" ht="15.75" thickBot="1" x14ac:dyDescent="0.3">
      <c r="A9906" s="43" t="s">
        <v>9624</v>
      </c>
      <c r="B9906" s="21" t="s">
        <v>9625</v>
      </c>
      <c r="C9906" s="21" t="s">
        <v>22667</v>
      </c>
      <c r="D9906" s="31" t="s">
        <v>22836</v>
      </c>
      <c r="E9906" s="23" t="s">
        <v>22656</v>
      </c>
      <c r="F9906" s="24" t="s">
        <v>22657</v>
      </c>
      <c r="G9906" s="25">
        <v>4</v>
      </c>
      <c r="H9906" s="26"/>
      <c r="I9906" s="27"/>
    </row>
    <row r="9907" spans="1:9" ht="15.75" thickBot="1" x14ac:dyDescent="0.3">
      <c r="A9907" s="43" t="s">
        <v>9626</v>
      </c>
      <c r="B9907" s="21" t="s">
        <v>9627</v>
      </c>
      <c r="C9907" s="21" t="s">
        <v>22655</v>
      </c>
      <c r="D9907" s="22">
        <v>46028</v>
      </c>
      <c r="E9907" s="23" t="s">
        <v>22658</v>
      </c>
      <c r="F9907" s="24" t="s">
        <v>22657</v>
      </c>
      <c r="G9907" s="25">
        <v>1</v>
      </c>
      <c r="H9907" s="29"/>
      <c r="I9907" s="30"/>
    </row>
    <row r="9908" spans="1:9" ht="15.75" thickBot="1" x14ac:dyDescent="0.3">
      <c r="A9908" s="43" t="s">
        <v>9630</v>
      </c>
      <c r="B9908" s="21" t="s">
        <v>9631</v>
      </c>
      <c r="C9908" s="21" t="s">
        <v>22667</v>
      </c>
      <c r="D9908" s="31" t="s">
        <v>22836</v>
      </c>
      <c r="E9908" s="23" t="s">
        <v>22656</v>
      </c>
      <c r="F9908" s="24" t="s">
        <v>22657</v>
      </c>
      <c r="G9908" s="25">
        <v>4</v>
      </c>
      <c r="H9908" s="26"/>
      <c r="I9908" s="27"/>
    </row>
    <row r="9909" spans="1:9" ht="15.75" thickBot="1" x14ac:dyDescent="0.3">
      <c r="A9909" s="43" t="s">
        <v>2149</v>
      </c>
      <c r="B9909" s="21" t="s">
        <v>2150</v>
      </c>
      <c r="C9909" s="21" t="s">
        <v>22655</v>
      </c>
      <c r="D9909" s="22">
        <v>46032</v>
      </c>
      <c r="E9909" s="23" t="s">
        <v>22658</v>
      </c>
      <c r="F9909" s="24" t="s">
        <v>22657</v>
      </c>
      <c r="G9909" s="25">
        <v>4</v>
      </c>
      <c r="H9909" s="29"/>
      <c r="I9909" s="30"/>
    </row>
    <row r="9910" spans="1:9" ht="15.75" thickBot="1" x14ac:dyDescent="0.3">
      <c r="A9910" s="43" t="s">
        <v>3195</v>
      </c>
      <c r="B9910" s="21" t="s">
        <v>3196</v>
      </c>
      <c r="C9910" s="21" t="s">
        <v>22655</v>
      </c>
      <c r="D9910" s="22">
        <v>46042</v>
      </c>
      <c r="E9910" s="23" t="s">
        <v>22656</v>
      </c>
      <c r="F9910" s="24" t="s">
        <v>22657</v>
      </c>
      <c r="G9910" s="25">
        <v>20</v>
      </c>
      <c r="H9910" s="26"/>
      <c r="I9910" s="27"/>
    </row>
    <row r="9911" spans="1:9" ht="15.75" thickBot="1" x14ac:dyDescent="0.3">
      <c r="A9911" s="43" t="s">
        <v>4732</v>
      </c>
      <c r="B9911" s="21" t="s">
        <v>4733</v>
      </c>
      <c r="C9911" s="21" t="s">
        <v>22663</v>
      </c>
      <c r="D9911" s="31">
        <v>1</v>
      </c>
      <c r="E9911" s="23" t="s">
        <v>22658</v>
      </c>
      <c r="F9911" s="28" t="s">
        <v>22659</v>
      </c>
      <c r="G9911" s="25">
        <v>1</v>
      </c>
      <c r="H9911" s="29"/>
      <c r="I9911" s="30"/>
    </row>
    <row r="9912" spans="1:9" ht="15.75" thickBot="1" x14ac:dyDescent="0.3">
      <c r="A9912" s="43" t="s">
        <v>9220</v>
      </c>
      <c r="B9912" s="21" t="s">
        <v>22642</v>
      </c>
      <c r="C9912" s="21" t="s">
        <v>22655</v>
      </c>
      <c r="D9912" s="22">
        <v>46027</v>
      </c>
      <c r="E9912" s="23" t="s">
        <v>22658</v>
      </c>
      <c r="F9912" s="24" t="s">
        <v>22657</v>
      </c>
      <c r="G9912" s="25">
        <v>2</v>
      </c>
      <c r="H9912" s="26"/>
      <c r="I9912" s="27"/>
    </row>
    <row r="9913" spans="1:9" ht="15.75" thickBot="1" x14ac:dyDescent="0.3">
      <c r="A9913" s="43" t="s">
        <v>12335</v>
      </c>
      <c r="B9913" s="21" t="s">
        <v>12336</v>
      </c>
      <c r="C9913" s="21" t="s">
        <v>22655</v>
      </c>
      <c r="D9913" s="22">
        <v>46042</v>
      </c>
      <c r="E9913" s="23" t="s">
        <v>22658</v>
      </c>
      <c r="F9913" s="28" t="s">
        <v>22659</v>
      </c>
      <c r="G9913" s="25">
        <v>1</v>
      </c>
      <c r="H9913" s="29"/>
      <c r="I9913" s="30"/>
    </row>
    <row r="9914" spans="1:9" ht="15.75" thickBot="1" x14ac:dyDescent="0.3">
      <c r="A9914" s="43" t="s">
        <v>15072</v>
      </c>
      <c r="B9914" s="21" t="s">
        <v>15073</v>
      </c>
      <c r="C9914" s="21" t="s">
        <v>22655</v>
      </c>
      <c r="D9914" s="31" t="s">
        <v>22673</v>
      </c>
      <c r="E9914" s="23" t="s">
        <v>22656</v>
      </c>
      <c r="F9914" s="24" t="s">
        <v>22657</v>
      </c>
      <c r="G9914" s="25">
        <v>17</v>
      </c>
      <c r="H9914" s="26"/>
      <c r="I9914" s="27"/>
    </row>
    <row r="9915" spans="1:9" ht="15.75" thickBot="1" x14ac:dyDescent="0.3">
      <c r="A9915" s="43" t="s">
        <v>15074</v>
      </c>
      <c r="B9915" s="21" t="s">
        <v>15075</v>
      </c>
      <c r="C9915" s="21" t="s">
        <v>22655</v>
      </c>
      <c r="D9915" s="31" t="s">
        <v>22673</v>
      </c>
      <c r="E9915" s="23" t="s">
        <v>22656</v>
      </c>
      <c r="F9915" s="24" t="s">
        <v>22657</v>
      </c>
      <c r="G9915" s="25">
        <v>17</v>
      </c>
      <c r="H9915" s="29"/>
      <c r="I9915" s="30"/>
    </row>
    <row r="9916" spans="1:9" ht="15.75" thickBot="1" x14ac:dyDescent="0.3">
      <c r="A9916" s="43" t="s">
        <v>16382</v>
      </c>
      <c r="B9916" s="21" t="s">
        <v>16383</v>
      </c>
      <c r="C9916" s="21" t="s">
        <v>22655</v>
      </c>
      <c r="D9916" s="31" t="s">
        <v>22673</v>
      </c>
      <c r="E9916" s="23" t="s">
        <v>22656</v>
      </c>
      <c r="F9916" s="24" t="s">
        <v>22657</v>
      </c>
      <c r="G9916" s="25">
        <v>17</v>
      </c>
      <c r="H9916" s="26"/>
      <c r="I9916" s="27"/>
    </row>
    <row r="9917" spans="1:9" ht="15.75" thickBot="1" x14ac:dyDescent="0.3">
      <c r="A9917" s="43" t="s">
        <v>2640</v>
      </c>
      <c r="B9917" s="21" t="s">
        <v>2641</v>
      </c>
      <c r="C9917" s="21" t="s">
        <v>22690</v>
      </c>
      <c r="D9917" s="31" t="s">
        <v>22699</v>
      </c>
      <c r="E9917" s="23" t="s">
        <v>22656</v>
      </c>
      <c r="F9917" s="24" t="s">
        <v>22657</v>
      </c>
      <c r="G9917" s="25">
        <v>4</v>
      </c>
      <c r="H9917" s="29"/>
      <c r="I9917" s="30"/>
    </row>
    <row r="9918" spans="1:9" ht="15.75" thickBot="1" x14ac:dyDescent="0.3">
      <c r="A9918" s="43" t="s">
        <v>9832</v>
      </c>
      <c r="B9918" s="21" t="s">
        <v>9831</v>
      </c>
      <c r="C9918" s="21" t="s">
        <v>22655</v>
      </c>
      <c r="D9918" s="22">
        <v>46028</v>
      </c>
      <c r="E9918" s="23" t="s">
        <v>22656</v>
      </c>
      <c r="F9918" s="24" t="s">
        <v>22657</v>
      </c>
      <c r="G9918" s="25">
        <v>2</v>
      </c>
      <c r="H9918" s="26"/>
      <c r="I9918" s="27"/>
    </row>
    <row r="9919" spans="1:9" ht="15.75" thickBot="1" x14ac:dyDescent="0.3">
      <c r="A9919" s="43" t="s">
        <v>10539</v>
      </c>
      <c r="B9919" s="21" t="s">
        <v>10538</v>
      </c>
      <c r="C9919" s="21" t="s">
        <v>22663</v>
      </c>
      <c r="D9919" s="31">
        <v>1</v>
      </c>
      <c r="E9919" s="23" t="s">
        <v>22658</v>
      </c>
      <c r="F9919" s="24" t="s">
        <v>22657</v>
      </c>
      <c r="G9919" s="25">
        <v>4</v>
      </c>
      <c r="H9919" s="29"/>
      <c r="I9919" s="30"/>
    </row>
    <row r="9920" spans="1:9" ht="15.75" thickBot="1" x14ac:dyDescent="0.3">
      <c r="A9920" s="43" t="s">
        <v>13522</v>
      </c>
      <c r="B9920" s="21" t="s">
        <v>13523</v>
      </c>
      <c r="C9920" s="21" t="s">
        <v>22663</v>
      </c>
      <c r="D9920" s="31">
        <v>1</v>
      </c>
      <c r="E9920" s="23" t="s">
        <v>22658</v>
      </c>
      <c r="F9920" s="24" t="s">
        <v>22657</v>
      </c>
      <c r="G9920" s="25">
        <v>2</v>
      </c>
      <c r="H9920" s="26"/>
      <c r="I9920" s="27"/>
    </row>
    <row r="9921" spans="1:9" ht="15.75" thickBot="1" x14ac:dyDescent="0.3">
      <c r="A9921" s="43" t="s">
        <v>14598</v>
      </c>
      <c r="B9921" s="21" t="s">
        <v>14599</v>
      </c>
      <c r="C9921" s="21" t="s">
        <v>22778</v>
      </c>
      <c r="D9921" s="22">
        <v>46042</v>
      </c>
      <c r="E9921" s="23" t="s">
        <v>22658</v>
      </c>
      <c r="F9921" s="24" t="s">
        <v>22657</v>
      </c>
      <c r="G9921" s="25">
        <v>7</v>
      </c>
      <c r="H9921" s="29"/>
      <c r="I9921" s="30"/>
    </row>
    <row r="9922" spans="1:9" ht="15.75" thickBot="1" x14ac:dyDescent="0.3">
      <c r="A9922" s="43" t="s">
        <v>18145</v>
      </c>
      <c r="B9922" s="21" t="s">
        <v>18146</v>
      </c>
      <c r="C9922" s="21" t="s">
        <v>22655</v>
      </c>
      <c r="D9922" s="22">
        <v>46034</v>
      </c>
      <c r="E9922" s="23" t="s">
        <v>22658</v>
      </c>
      <c r="F9922" s="24" t="s">
        <v>22657</v>
      </c>
      <c r="G9922" s="25">
        <v>4</v>
      </c>
      <c r="H9922" s="26"/>
      <c r="I9922" s="27"/>
    </row>
    <row r="9923" spans="1:9" ht="15.75" thickBot="1" x14ac:dyDescent="0.3">
      <c r="A9923" s="43" t="s">
        <v>2027</v>
      </c>
      <c r="B9923" s="21" t="s">
        <v>2028</v>
      </c>
      <c r="C9923" s="21" t="s">
        <v>22655</v>
      </c>
      <c r="D9923" s="31" t="s">
        <v>22666</v>
      </c>
      <c r="E9923" s="23" t="s">
        <v>22656</v>
      </c>
      <c r="F9923" s="24" t="s">
        <v>22657</v>
      </c>
      <c r="G9923" s="25">
        <v>4</v>
      </c>
      <c r="H9923" s="29"/>
      <c r="I9923" s="30"/>
    </row>
    <row r="9924" spans="1:9" ht="15.75" thickBot="1" x14ac:dyDescent="0.3">
      <c r="A9924" s="43" t="s">
        <v>917</v>
      </c>
      <c r="B9924" s="21" t="s">
        <v>918</v>
      </c>
      <c r="C9924" s="21" t="s">
        <v>22655</v>
      </c>
      <c r="D9924" s="31" t="s">
        <v>22673</v>
      </c>
      <c r="E9924" s="23" t="s">
        <v>22656</v>
      </c>
      <c r="F9924" s="24" t="s">
        <v>22657</v>
      </c>
      <c r="G9924" s="25">
        <v>12</v>
      </c>
      <c r="H9924" s="34">
        <v>12</v>
      </c>
      <c r="I9924" s="35">
        <v>120</v>
      </c>
    </row>
    <row r="9925" spans="1:9" ht="15.75" thickBot="1" x14ac:dyDescent="0.3">
      <c r="A9925" s="43" t="s">
        <v>13695</v>
      </c>
      <c r="B9925" s="21" t="s">
        <v>13694</v>
      </c>
      <c r="C9925" s="21" t="s">
        <v>22655</v>
      </c>
      <c r="D9925" s="22">
        <v>46052</v>
      </c>
      <c r="E9925" s="23" t="s">
        <v>22656</v>
      </c>
      <c r="F9925" s="24" t="s">
        <v>22657</v>
      </c>
      <c r="G9925" s="25">
        <v>10</v>
      </c>
      <c r="H9925" s="29"/>
      <c r="I9925" s="30"/>
    </row>
    <row r="9926" spans="1:9" ht="15.75" thickBot="1" x14ac:dyDescent="0.3">
      <c r="A9926" s="43" t="s">
        <v>2065</v>
      </c>
      <c r="B9926" s="21" t="s">
        <v>2066</v>
      </c>
      <c r="C9926" s="21" t="s">
        <v>22655</v>
      </c>
      <c r="D9926" s="22">
        <v>46043</v>
      </c>
      <c r="E9926" s="23" t="s">
        <v>22656</v>
      </c>
      <c r="F9926" s="24" t="s">
        <v>22657</v>
      </c>
      <c r="G9926" s="25">
        <v>7</v>
      </c>
      <c r="H9926" s="26"/>
      <c r="I9926" s="27"/>
    </row>
    <row r="9927" spans="1:9" ht="15.75" thickBot="1" x14ac:dyDescent="0.3">
      <c r="A9927" s="43" t="s">
        <v>3118</v>
      </c>
      <c r="B9927" s="21" t="s">
        <v>3119</v>
      </c>
      <c r="C9927" s="21" t="s">
        <v>22655</v>
      </c>
      <c r="D9927" s="22">
        <v>46034</v>
      </c>
      <c r="E9927" s="23" t="s">
        <v>22658</v>
      </c>
      <c r="F9927" s="24" t="s">
        <v>22657</v>
      </c>
      <c r="G9927" s="25">
        <v>4</v>
      </c>
      <c r="H9927" s="29"/>
      <c r="I9927" s="30"/>
    </row>
    <row r="9928" spans="1:9" ht="15.75" thickBot="1" x14ac:dyDescent="0.3">
      <c r="A9928" s="43" t="s">
        <v>3573</v>
      </c>
      <c r="B9928" s="21" t="s">
        <v>3574</v>
      </c>
      <c r="C9928" s="21" t="s">
        <v>22655</v>
      </c>
      <c r="D9928" s="22">
        <v>46047</v>
      </c>
      <c r="E9928" s="23" t="s">
        <v>22656</v>
      </c>
      <c r="F9928" s="24" t="s">
        <v>22657</v>
      </c>
      <c r="G9928" s="25">
        <v>4</v>
      </c>
      <c r="H9928" s="26"/>
      <c r="I9928" s="27"/>
    </row>
    <row r="9929" spans="1:9" ht="15.75" thickBot="1" x14ac:dyDescent="0.3">
      <c r="A9929" s="43" t="s">
        <v>11189</v>
      </c>
      <c r="B9929" s="21" t="s">
        <v>11190</v>
      </c>
      <c r="C9929" s="21" t="s">
        <v>22804</v>
      </c>
      <c r="D9929" s="22">
        <v>46032</v>
      </c>
      <c r="E9929" s="23" t="s">
        <v>22658</v>
      </c>
      <c r="F9929" s="24" t="s">
        <v>22657</v>
      </c>
      <c r="G9929" s="25">
        <v>4</v>
      </c>
      <c r="H9929" s="29"/>
      <c r="I9929" s="30"/>
    </row>
    <row r="9930" spans="1:9" ht="15.75" thickBot="1" x14ac:dyDescent="0.3">
      <c r="A9930" s="43" t="s">
        <v>11888</v>
      </c>
      <c r="B9930" s="21" t="s">
        <v>11889</v>
      </c>
      <c r="C9930" s="21" t="s">
        <v>22663</v>
      </c>
      <c r="D9930" s="31">
        <v>1</v>
      </c>
      <c r="E9930" s="23" t="s">
        <v>22656</v>
      </c>
      <c r="F9930" s="24" t="s">
        <v>22657</v>
      </c>
      <c r="G9930" s="25">
        <v>2</v>
      </c>
      <c r="H9930" s="34">
        <v>2</v>
      </c>
      <c r="I9930" s="35">
        <v>3</v>
      </c>
    </row>
    <row r="9931" spans="1:9" ht="15.75" thickBot="1" x14ac:dyDescent="0.3">
      <c r="A9931" s="43" t="s">
        <v>13352</v>
      </c>
      <c r="B9931" s="21" t="s">
        <v>13353</v>
      </c>
      <c r="C9931" s="21" t="s">
        <v>22655</v>
      </c>
      <c r="D9931" s="31" t="s">
        <v>22688</v>
      </c>
      <c r="E9931" s="23" t="s">
        <v>22658</v>
      </c>
      <c r="F9931" s="24" t="s">
        <v>22657</v>
      </c>
      <c r="G9931" s="25">
        <v>7</v>
      </c>
      <c r="H9931" s="29"/>
      <c r="I9931" s="30"/>
    </row>
    <row r="9932" spans="1:9" ht="15.75" thickBot="1" x14ac:dyDescent="0.3">
      <c r="A9932" s="43" t="s">
        <v>375</v>
      </c>
      <c r="B9932" s="21" t="s">
        <v>376</v>
      </c>
      <c r="C9932" s="21" t="s">
        <v>22655</v>
      </c>
      <c r="D9932" s="22">
        <v>46042</v>
      </c>
      <c r="E9932" s="23" t="s">
        <v>22658</v>
      </c>
      <c r="F9932" s="24" t="s">
        <v>22657</v>
      </c>
      <c r="G9932" s="25">
        <v>7</v>
      </c>
      <c r="H9932" s="26"/>
      <c r="I9932" s="27"/>
    </row>
    <row r="9933" spans="1:9" ht="15.75" thickBot="1" x14ac:dyDescent="0.3">
      <c r="A9933" s="43" t="s">
        <v>3859</v>
      </c>
      <c r="B9933" s="21" t="s">
        <v>3860</v>
      </c>
      <c r="C9933" s="21" t="s">
        <v>22655</v>
      </c>
      <c r="D9933" s="31" t="s">
        <v>22666</v>
      </c>
      <c r="E9933" s="23" t="s">
        <v>22656</v>
      </c>
      <c r="F9933" s="24" t="s">
        <v>22657</v>
      </c>
      <c r="G9933" s="25">
        <v>30</v>
      </c>
      <c r="H9933" s="32">
        <v>30</v>
      </c>
      <c r="I9933" s="33">
        <v>60</v>
      </c>
    </row>
    <row r="9934" spans="1:9" ht="15.75" thickBot="1" x14ac:dyDescent="0.3">
      <c r="A9934" s="43" t="s">
        <v>4233</v>
      </c>
      <c r="B9934" s="21" t="s">
        <v>4234</v>
      </c>
      <c r="C9934" s="21" t="s">
        <v>22752</v>
      </c>
      <c r="D9934" s="31" t="s">
        <v>22747</v>
      </c>
      <c r="E9934" s="23" t="s">
        <v>22658</v>
      </c>
      <c r="F9934" s="24" t="s">
        <v>22657</v>
      </c>
      <c r="G9934" s="25">
        <v>34</v>
      </c>
      <c r="H9934" s="26"/>
      <c r="I9934" s="27"/>
    </row>
    <row r="9935" spans="1:9" ht="15.75" thickBot="1" x14ac:dyDescent="0.3">
      <c r="A9935" s="43" t="s">
        <v>5803</v>
      </c>
      <c r="B9935" s="21" t="s">
        <v>5804</v>
      </c>
      <c r="C9935" s="36" t="e">
        <v>#N/A</v>
      </c>
      <c r="D9935" s="37" t="e">
        <v>#N/A</v>
      </c>
      <c r="E9935" s="23" t="e">
        <v>#N/A</v>
      </c>
      <c r="F9935" s="24" t="s">
        <v>22657</v>
      </c>
      <c r="G9935" s="25" t="e">
        <v>#N/A</v>
      </c>
      <c r="H9935" s="29"/>
      <c r="I9935" s="30"/>
    </row>
    <row r="9936" spans="1:9" ht="15.75" thickBot="1" x14ac:dyDescent="0.3">
      <c r="A9936" s="43" t="s">
        <v>22643</v>
      </c>
      <c r="B9936" s="21" t="s">
        <v>22644</v>
      </c>
      <c r="C9936" s="21" t="s">
        <v>22709</v>
      </c>
      <c r="D9936" s="31">
        <v>1</v>
      </c>
      <c r="E9936" s="23" t="s">
        <v>22658</v>
      </c>
      <c r="F9936" s="24" t="s">
        <v>22657</v>
      </c>
      <c r="G9936" s="25">
        <v>1</v>
      </c>
      <c r="H9936" s="26"/>
      <c r="I9936" s="27"/>
    </row>
    <row r="9937" spans="1:9" ht="15.75" thickBot="1" x14ac:dyDescent="0.3">
      <c r="A9937" s="43" t="s">
        <v>6640</v>
      </c>
      <c r="B9937" s="21" t="s">
        <v>6641</v>
      </c>
      <c r="C9937" s="21" t="s">
        <v>22655</v>
      </c>
      <c r="D9937" s="22">
        <v>46028</v>
      </c>
      <c r="E9937" s="23" t="s">
        <v>22656</v>
      </c>
      <c r="F9937" s="24" t="s">
        <v>22657</v>
      </c>
      <c r="G9937" s="25">
        <v>2</v>
      </c>
      <c r="H9937" s="29"/>
      <c r="I9937" s="30"/>
    </row>
    <row r="9938" spans="1:9" ht="15.75" thickBot="1" x14ac:dyDescent="0.3">
      <c r="A9938" s="43" t="s">
        <v>8603</v>
      </c>
      <c r="B9938" s="21" t="s">
        <v>8602</v>
      </c>
      <c r="C9938" s="21" t="s">
        <v>22663</v>
      </c>
      <c r="D9938" s="31">
        <v>1</v>
      </c>
      <c r="E9938" s="23" t="s">
        <v>22658</v>
      </c>
      <c r="F9938" s="24" t="s">
        <v>22657</v>
      </c>
      <c r="G9938" s="25">
        <v>2</v>
      </c>
      <c r="H9938" s="34">
        <v>2</v>
      </c>
      <c r="I9938" s="35">
        <v>4</v>
      </c>
    </row>
    <row r="9939" spans="1:9" ht="15.75" thickBot="1" x14ac:dyDescent="0.3">
      <c r="A9939" s="43" t="s">
        <v>9269</v>
      </c>
      <c r="B9939" s="21" t="s">
        <v>9270</v>
      </c>
      <c r="C9939" s="21" t="s">
        <v>22663</v>
      </c>
      <c r="D9939" s="31">
        <v>1</v>
      </c>
      <c r="E9939" s="23" t="s">
        <v>22658</v>
      </c>
      <c r="F9939" s="28" t="s">
        <v>22659</v>
      </c>
      <c r="G9939" s="25">
        <v>1</v>
      </c>
      <c r="H9939" s="29"/>
      <c r="I9939" s="30"/>
    </row>
    <row r="9940" spans="1:9" ht="15.75" thickBot="1" x14ac:dyDescent="0.3">
      <c r="A9940" s="43" t="s">
        <v>9555</v>
      </c>
      <c r="B9940" s="21" t="s">
        <v>9556</v>
      </c>
      <c r="C9940" s="21" t="s">
        <v>22655</v>
      </c>
      <c r="D9940" s="22">
        <v>46042</v>
      </c>
      <c r="E9940" s="23" t="s">
        <v>22656</v>
      </c>
      <c r="F9940" s="24" t="s">
        <v>22657</v>
      </c>
      <c r="G9940" s="25">
        <v>7</v>
      </c>
      <c r="H9940" s="26"/>
      <c r="I9940" s="27"/>
    </row>
    <row r="9941" spans="1:9" ht="15.75" thickBot="1" x14ac:dyDescent="0.3">
      <c r="A9941" s="43" t="s">
        <v>10213</v>
      </c>
      <c r="B9941" s="21" t="s">
        <v>10214</v>
      </c>
      <c r="C9941" s="21" t="s">
        <v>22663</v>
      </c>
      <c r="D9941" s="31">
        <v>1</v>
      </c>
      <c r="E9941" s="23" t="s">
        <v>22658</v>
      </c>
      <c r="F9941" s="24" t="s">
        <v>22657</v>
      </c>
      <c r="G9941" s="25">
        <v>4</v>
      </c>
      <c r="H9941" s="29"/>
      <c r="I9941" s="30"/>
    </row>
    <row r="9942" spans="1:9" ht="15.75" thickBot="1" x14ac:dyDescent="0.3">
      <c r="A9942" s="43" t="s">
        <v>10357</v>
      </c>
      <c r="B9942" s="21" t="s">
        <v>10356</v>
      </c>
      <c r="C9942" s="21" t="s">
        <v>22655</v>
      </c>
      <c r="D9942" s="22">
        <v>46032</v>
      </c>
      <c r="E9942" s="23" t="s">
        <v>22658</v>
      </c>
      <c r="F9942" s="24" t="s">
        <v>22657</v>
      </c>
      <c r="G9942" s="25">
        <v>4</v>
      </c>
      <c r="H9942" s="26"/>
      <c r="I9942" s="27"/>
    </row>
    <row r="9943" spans="1:9" ht="15.75" thickBot="1" x14ac:dyDescent="0.3">
      <c r="A9943" s="43" t="s">
        <v>12145</v>
      </c>
      <c r="B9943" s="21" t="s">
        <v>12146</v>
      </c>
      <c r="C9943" s="21" t="s">
        <v>22655</v>
      </c>
      <c r="D9943" s="22">
        <v>46028</v>
      </c>
      <c r="E9943" s="23" t="s">
        <v>22656</v>
      </c>
      <c r="F9943" s="24" t="s">
        <v>22657</v>
      </c>
      <c r="G9943" s="25">
        <v>2</v>
      </c>
      <c r="H9943" s="29"/>
      <c r="I9943" s="30"/>
    </row>
    <row r="9944" spans="1:9" ht="15.75" thickBot="1" x14ac:dyDescent="0.3">
      <c r="A9944" s="43" t="s">
        <v>15192</v>
      </c>
      <c r="B9944" s="21" t="s">
        <v>15193</v>
      </c>
      <c r="C9944" s="21" t="s">
        <v>22667</v>
      </c>
      <c r="D9944" s="31" t="s">
        <v>22788</v>
      </c>
      <c r="E9944" s="23" t="s">
        <v>22658</v>
      </c>
      <c r="F9944" s="24" t="s">
        <v>22657</v>
      </c>
      <c r="G9944" s="25">
        <v>4</v>
      </c>
      <c r="H9944" s="26"/>
      <c r="I9944" s="27"/>
    </row>
    <row r="9945" spans="1:9" ht="15.75" thickBot="1" x14ac:dyDescent="0.3">
      <c r="A9945" s="43" t="s">
        <v>15196</v>
      </c>
      <c r="B9945" s="21" t="s">
        <v>15195</v>
      </c>
      <c r="C9945" s="21" t="s">
        <v>22667</v>
      </c>
      <c r="D9945" s="31" t="s">
        <v>22788</v>
      </c>
      <c r="E9945" s="23" t="s">
        <v>22658</v>
      </c>
      <c r="F9945" s="24" t="s">
        <v>22657</v>
      </c>
      <c r="G9945" s="25">
        <v>4</v>
      </c>
      <c r="H9945" s="29"/>
      <c r="I9945" s="30"/>
    </row>
    <row r="9946" spans="1:9" ht="15.75" thickBot="1" x14ac:dyDescent="0.3">
      <c r="A9946" s="43" t="s">
        <v>15473</v>
      </c>
      <c r="B9946" s="21" t="s">
        <v>15474</v>
      </c>
      <c r="C9946" s="21" t="s">
        <v>22655</v>
      </c>
      <c r="D9946" s="22">
        <v>46046</v>
      </c>
      <c r="E9946" s="23" t="s">
        <v>22658</v>
      </c>
      <c r="F9946" s="24" t="s">
        <v>22657</v>
      </c>
      <c r="G9946" s="25">
        <v>4</v>
      </c>
      <c r="H9946" s="26"/>
      <c r="I9946" s="27"/>
    </row>
    <row r="9947" spans="1:9" ht="15.75" thickBot="1" x14ac:dyDescent="0.3">
      <c r="A9947" s="43" t="s">
        <v>16269</v>
      </c>
      <c r="B9947" s="21" t="s">
        <v>16268</v>
      </c>
      <c r="C9947" s="21" t="s">
        <v>22787</v>
      </c>
      <c r="D9947" s="22">
        <v>46033</v>
      </c>
      <c r="E9947" s="23" t="s">
        <v>22656</v>
      </c>
      <c r="F9947" s="24" t="s">
        <v>22657</v>
      </c>
      <c r="G9947" s="25">
        <v>4</v>
      </c>
      <c r="H9947" s="29"/>
      <c r="I9947" s="30"/>
    </row>
    <row r="9948" spans="1:9" ht="15.75" thickBot="1" x14ac:dyDescent="0.3">
      <c r="A9948" s="43" t="s">
        <v>17314</v>
      </c>
      <c r="B9948" s="21" t="s">
        <v>17315</v>
      </c>
      <c r="C9948" s="21" t="s">
        <v>22663</v>
      </c>
      <c r="D9948" s="31">
        <v>1</v>
      </c>
      <c r="E9948" s="23" t="s">
        <v>22658</v>
      </c>
      <c r="F9948" s="24" t="s">
        <v>22657</v>
      </c>
      <c r="G9948" s="25">
        <v>4</v>
      </c>
      <c r="H9948" s="26"/>
      <c r="I9948" s="27"/>
    </row>
    <row r="9949" spans="1:9" ht="15.75" thickBot="1" x14ac:dyDescent="0.3">
      <c r="A9949" s="43" t="s">
        <v>18061</v>
      </c>
      <c r="B9949" s="21" t="s">
        <v>18062</v>
      </c>
      <c r="C9949" s="21" t="s">
        <v>22655</v>
      </c>
      <c r="D9949" s="22">
        <v>46042</v>
      </c>
      <c r="E9949" s="23" t="s">
        <v>22656</v>
      </c>
      <c r="F9949" s="24" t="s">
        <v>22657</v>
      </c>
      <c r="G9949" s="25">
        <v>7</v>
      </c>
      <c r="H9949" s="29"/>
      <c r="I9949" s="30"/>
    </row>
    <row r="9950" spans="1:9" ht="15.75" thickBot="1" x14ac:dyDescent="0.3">
      <c r="A9950" s="43" t="s">
        <v>2008</v>
      </c>
      <c r="B9950" s="21" t="s">
        <v>2009</v>
      </c>
      <c r="C9950" s="21" t="s">
        <v>22663</v>
      </c>
      <c r="D9950" s="31">
        <v>1</v>
      </c>
      <c r="E9950" s="23" t="s">
        <v>22658</v>
      </c>
      <c r="F9950" s="24" t="s">
        <v>22657</v>
      </c>
      <c r="G9950" s="25">
        <v>1</v>
      </c>
      <c r="H9950" s="26"/>
      <c r="I9950" s="27"/>
    </row>
    <row r="9951" spans="1:9" ht="15.75" thickBot="1" x14ac:dyDescent="0.3">
      <c r="A9951" s="43" t="s">
        <v>18185</v>
      </c>
      <c r="B9951" s="21" t="s">
        <v>18186</v>
      </c>
      <c r="C9951" s="21" t="s">
        <v>22663</v>
      </c>
      <c r="D9951" s="31">
        <v>1</v>
      </c>
      <c r="E9951" s="23" t="s">
        <v>22658</v>
      </c>
      <c r="F9951" s="24" t="s">
        <v>22657</v>
      </c>
      <c r="G9951" s="25">
        <v>1</v>
      </c>
      <c r="H9951" s="29"/>
      <c r="I9951" s="30"/>
    </row>
    <row r="9952" spans="1:9" ht="15.75" thickBot="1" x14ac:dyDescent="0.3">
      <c r="A9952" s="43" t="s">
        <v>18187</v>
      </c>
      <c r="B9952" s="21" t="s">
        <v>18188</v>
      </c>
      <c r="C9952" s="21" t="s">
        <v>22663</v>
      </c>
      <c r="D9952" s="31">
        <v>1</v>
      </c>
      <c r="E9952" s="23" t="s">
        <v>22658</v>
      </c>
      <c r="F9952" s="24" t="s">
        <v>22657</v>
      </c>
      <c r="G9952" s="25">
        <v>1</v>
      </c>
      <c r="H9952" s="26"/>
      <c r="I9952" s="27"/>
    </row>
    <row r="9953" spans="1:9" ht="15.75" thickBot="1" x14ac:dyDescent="0.3">
      <c r="A9953" s="43" t="s">
        <v>18189</v>
      </c>
      <c r="B9953" s="21" t="s">
        <v>18190</v>
      </c>
      <c r="C9953" s="21" t="s">
        <v>22663</v>
      </c>
      <c r="D9953" s="31">
        <v>1</v>
      </c>
      <c r="E9953" s="23" t="s">
        <v>22658</v>
      </c>
      <c r="F9953" s="24" t="s">
        <v>22657</v>
      </c>
      <c r="G9953" s="25">
        <v>1</v>
      </c>
      <c r="H9953" s="29"/>
      <c r="I9953" s="30"/>
    </row>
    <row r="9954" spans="1:9" ht="15.75" thickBot="1" x14ac:dyDescent="0.3">
      <c r="A9954" s="43" t="s">
        <v>691</v>
      </c>
      <c r="B9954" s="21" t="s">
        <v>692</v>
      </c>
      <c r="C9954" s="21" t="s">
        <v>22655</v>
      </c>
      <c r="D9954" s="22">
        <v>46032</v>
      </c>
      <c r="E9954" s="23" t="s">
        <v>22656</v>
      </c>
      <c r="F9954" s="24" t="s">
        <v>22657</v>
      </c>
      <c r="G9954" s="25">
        <v>20</v>
      </c>
      <c r="H9954" s="34">
        <v>20</v>
      </c>
      <c r="I9954" s="35">
        <v>60</v>
      </c>
    </row>
    <row r="9955" spans="1:9" ht="15.75" thickBot="1" x14ac:dyDescent="0.3">
      <c r="A9955" s="43" t="s">
        <v>2265</v>
      </c>
      <c r="B9955" s="21" t="s">
        <v>2266</v>
      </c>
      <c r="C9955" s="21" t="s">
        <v>22655</v>
      </c>
      <c r="D9955" s="22">
        <v>46034</v>
      </c>
      <c r="E9955" s="23" t="s">
        <v>22658</v>
      </c>
      <c r="F9955" s="24" t="s">
        <v>22657</v>
      </c>
      <c r="G9955" s="25">
        <v>2</v>
      </c>
      <c r="H9955" s="29"/>
      <c r="I9955" s="30"/>
    </row>
    <row r="9956" spans="1:9" ht="15.75" thickBot="1" x14ac:dyDescent="0.3">
      <c r="A9956" s="43" t="s">
        <v>3197</v>
      </c>
      <c r="B9956" s="21" t="s">
        <v>3198</v>
      </c>
      <c r="C9956" s="21" t="s">
        <v>22655</v>
      </c>
      <c r="D9956" s="31" t="s">
        <v>22688</v>
      </c>
      <c r="E9956" s="23" t="s">
        <v>22656</v>
      </c>
      <c r="F9956" s="24" t="s">
        <v>22657</v>
      </c>
      <c r="G9956" s="25">
        <v>14</v>
      </c>
      <c r="H9956" s="26"/>
      <c r="I9956" s="27"/>
    </row>
    <row r="9957" spans="1:9" ht="15.75" thickBot="1" x14ac:dyDescent="0.3">
      <c r="A9957" s="43" t="s">
        <v>3199</v>
      </c>
      <c r="B9957" s="21" t="s">
        <v>3200</v>
      </c>
      <c r="C9957" s="21" t="s">
        <v>22655</v>
      </c>
      <c r="D9957" s="22">
        <v>46042</v>
      </c>
      <c r="E9957" s="23" t="s">
        <v>22658</v>
      </c>
      <c r="F9957" s="24" t="s">
        <v>22657</v>
      </c>
      <c r="G9957" s="25">
        <v>7</v>
      </c>
      <c r="H9957" s="29"/>
      <c r="I9957" s="30"/>
    </row>
    <row r="9958" spans="1:9" ht="15.75" thickBot="1" x14ac:dyDescent="0.3">
      <c r="A9958" s="43" t="s">
        <v>3201</v>
      </c>
      <c r="B9958" s="21" t="s">
        <v>3202</v>
      </c>
      <c r="C9958" s="21" t="s">
        <v>22655</v>
      </c>
      <c r="D9958" s="31" t="s">
        <v>22688</v>
      </c>
      <c r="E9958" s="23" t="s">
        <v>22656</v>
      </c>
      <c r="F9958" s="24" t="s">
        <v>22657</v>
      </c>
      <c r="G9958" s="25">
        <v>14</v>
      </c>
      <c r="H9958" s="26"/>
      <c r="I9958" s="27"/>
    </row>
    <row r="9959" spans="1:9" ht="15.75" thickBot="1" x14ac:dyDescent="0.3">
      <c r="A9959" s="43" t="s">
        <v>3203</v>
      </c>
      <c r="B9959" s="21" t="s">
        <v>3204</v>
      </c>
      <c r="C9959" s="21" t="s">
        <v>22655</v>
      </c>
      <c r="D9959" s="22">
        <v>46042</v>
      </c>
      <c r="E9959" s="23" t="s">
        <v>22656</v>
      </c>
      <c r="F9959" s="24" t="s">
        <v>22657</v>
      </c>
      <c r="G9959" s="25">
        <v>7</v>
      </c>
      <c r="H9959" s="29"/>
      <c r="I9959" s="30"/>
    </row>
    <row r="9960" spans="1:9" ht="15.75" thickBot="1" x14ac:dyDescent="0.3">
      <c r="A9960" s="43" t="s">
        <v>3205</v>
      </c>
      <c r="B9960" s="21" t="s">
        <v>3206</v>
      </c>
      <c r="C9960" s="21" t="s">
        <v>22655</v>
      </c>
      <c r="D9960" s="31" t="s">
        <v>22688</v>
      </c>
      <c r="E9960" s="23" t="s">
        <v>22656</v>
      </c>
      <c r="F9960" s="24" t="s">
        <v>22657</v>
      </c>
      <c r="G9960" s="25">
        <v>14</v>
      </c>
      <c r="H9960" s="26"/>
      <c r="I9960" s="27"/>
    </row>
    <row r="9961" spans="1:9" ht="15.75" thickBot="1" x14ac:dyDescent="0.3">
      <c r="A9961" s="43" t="s">
        <v>3207</v>
      </c>
      <c r="B9961" s="21" t="s">
        <v>3208</v>
      </c>
      <c r="C9961" s="21" t="s">
        <v>22655</v>
      </c>
      <c r="D9961" s="22">
        <v>46042</v>
      </c>
      <c r="E9961" s="23" t="s">
        <v>22656</v>
      </c>
      <c r="F9961" s="24" t="s">
        <v>22657</v>
      </c>
      <c r="G9961" s="25">
        <v>7</v>
      </c>
      <c r="H9961" s="29"/>
      <c r="I9961" s="30"/>
    </row>
    <row r="9962" spans="1:9" ht="15.75" thickBot="1" x14ac:dyDescent="0.3">
      <c r="A9962" s="43" t="s">
        <v>3209</v>
      </c>
      <c r="B9962" s="21" t="s">
        <v>3210</v>
      </c>
      <c r="C9962" s="21" t="s">
        <v>22655</v>
      </c>
      <c r="D9962" s="31" t="s">
        <v>22688</v>
      </c>
      <c r="E9962" s="23" t="s">
        <v>22656</v>
      </c>
      <c r="F9962" s="24" t="s">
        <v>22657</v>
      </c>
      <c r="G9962" s="25">
        <v>14</v>
      </c>
      <c r="H9962" s="26"/>
      <c r="I9962" s="27"/>
    </row>
    <row r="9963" spans="1:9" ht="15.75" thickBot="1" x14ac:dyDescent="0.3">
      <c r="A9963" s="43" t="s">
        <v>3211</v>
      </c>
      <c r="B9963" s="21" t="s">
        <v>3212</v>
      </c>
      <c r="C9963" s="21" t="s">
        <v>22655</v>
      </c>
      <c r="D9963" s="22">
        <v>46042</v>
      </c>
      <c r="E9963" s="23" t="s">
        <v>22656</v>
      </c>
      <c r="F9963" s="24" t="s">
        <v>22657</v>
      </c>
      <c r="G9963" s="25">
        <v>7</v>
      </c>
      <c r="H9963" s="29"/>
      <c r="I9963" s="30"/>
    </row>
    <row r="9964" spans="1:9" ht="15.75" thickBot="1" x14ac:dyDescent="0.3">
      <c r="A9964" s="43" t="s">
        <v>3213</v>
      </c>
      <c r="B9964" s="21" t="s">
        <v>3214</v>
      </c>
      <c r="C9964" s="21" t="s">
        <v>22655</v>
      </c>
      <c r="D9964" s="31" t="s">
        <v>22688</v>
      </c>
      <c r="E9964" s="23" t="s">
        <v>22656</v>
      </c>
      <c r="F9964" s="24" t="s">
        <v>22657</v>
      </c>
      <c r="G9964" s="25">
        <v>14</v>
      </c>
      <c r="H9964" s="26"/>
      <c r="I9964" s="27"/>
    </row>
    <row r="9965" spans="1:9" ht="15.75" thickBot="1" x14ac:dyDescent="0.3">
      <c r="A9965" s="43" t="s">
        <v>3215</v>
      </c>
      <c r="B9965" s="21" t="s">
        <v>3216</v>
      </c>
      <c r="C9965" s="21" t="s">
        <v>22655</v>
      </c>
      <c r="D9965" s="22">
        <v>46042</v>
      </c>
      <c r="E9965" s="23" t="s">
        <v>22658</v>
      </c>
      <c r="F9965" s="24" t="s">
        <v>22657</v>
      </c>
      <c r="G9965" s="25">
        <v>7</v>
      </c>
      <c r="H9965" s="29"/>
      <c r="I9965" s="30"/>
    </row>
    <row r="9966" spans="1:9" ht="15.75" thickBot="1" x14ac:dyDescent="0.3">
      <c r="A9966" s="43" t="s">
        <v>6171</v>
      </c>
      <c r="B9966" s="21" t="s">
        <v>6172</v>
      </c>
      <c r="C9966" s="21" t="s">
        <v>22655</v>
      </c>
      <c r="D9966" s="22">
        <v>46030</v>
      </c>
      <c r="E9966" s="23" t="s">
        <v>22658</v>
      </c>
      <c r="F9966" s="24" t="s">
        <v>22657</v>
      </c>
      <c r="G9966" s="25">
        <v>3</v>
      </c>
      <c r="H9966" s="26"/>
      <c r="I9966" s="27"/>
    </row>
    <row r="9967" spans="1:9" ht="15.75" thickBot="1" x14ac:dyDescent="0.3">
      <c r="A9967" s="43" t="s">
        <v>6173</v>
      </c>
      <c r="B9967" s="21" t="s">
        <v>6174</v>
      </c>
      <c r="C9967" s="21" t="s">
        <v>22655</v>
      </c>
      <c r="D9967" s="22">
        <v>46046</v>
      </c>
      <c r="E9967" s="23" t="s">
        <v>22656</v>
      </c>
      <c r="F9967" s="24" t="s">
        <v>22657</v>
      </c>
      <c r="G9967" s="25">
        <v>8</v>
      </c>
      <c r="H9967" s="29"/>
      <c r="I9967" s="30"/>
    </row>
    <row r="9968" spans="1:9" ht="15.75" thickBot="1" x14ac:dyDescent="0.3">
      <c r="A9968" s="43" t="s">
        <v>6708</v>
      </c>
      <c r="B9968" s="21" t="s">
        <v>6709</v>
      </c>
      <c r="C9968" s="21" t="s">
        <v>22655</v>
      </c>
      <c r="D9968" s="22">
        <v>46046</v>
      </c>
      <c r="E9968" s="23" t="s">
        <v>22658</v>
      </c>
      <c r="F9968" s="24" t="s">
        <v>22657</v>
      </c>
      <c r="G9968" s="25">
        <v>8</v>
      </c>
      <c r="H9968" s="26"/>
      <c r="I9968" s="27"/>
    </row>
    <row r="9969" spans="1:9" ht="15.75" thickBot="1" x14ac:dyDescent="0.3">
      <c r="A9969" s="43" t="s">
        <v>8814</v>
      </c>
      <c r="B9969" s="21" t="s">
        <v>8815</v>
      </c>
      <c r="C9969" s="36" t="e">
        <v>#N/A</v>
      </c>
      <c r="D9969" s="37" t="e">
        <v>#N/A</v>
      </c>
      <c r="E9969" s="23" t="e">
        <v>#N/A</v>
      </c>
      <c r="F9969" s="24" t="s">
        <v>22657</v>
      </c>
      <c r="G9969" s="25" t="e">
        <v>#N/A</v>
      </c>
      <c r="H9969" s="29"/>
      <c r="I9969" s="30"/>
    </row>
    <row r="9970" spans="1:9" ht="15.75" thickBot="1" x14ac:dyDescent="0.3">
      <c r="A9970" s="43" t="s">
        <v>9615</v>
      </c>
      <c r="B9970" s="21" t="s">
        <v>1480</v>
      </c>
      <c r="C9970" s="21" t="s">
        <v>22655</v>
      </c>
      <c r="D9970" s="22">
        <v>46034</v>
      </c>
      <c r="E9970" s="23" t="s">
        <v>22658</v>
      </c>
      <c r="F9970" s="24" t="s">
        <v>22657</v>
      </c>
      <c r="G9970" s="25">
        <v>4</v>
      </c>
      <c r="H9970" s="26"/>
      <c r="I9970" s="27"/>
    </row>
    <row r="9971" spans="1:9" ht="15.75" thickBot="1" x14ac:dyDescent="0.3">
      <c r="A9971" s="43" t="s">
        <v>15189</v>
      </c>
      <c r="B9971" s="21" t="s">
        <v>22271</v>
      </c>
      <c r="C9971" s="21" t="s">
        <v>22655</v>
      </c>
      <c r="D9971" s="22">
        <v>46034</v>
      </c>
      <c r="E9971" s="23" t="s">
        <v>22656</v>
      </c>
      <c r="F9971" s="24" t="s">
        <v>22657</v>
      </c>
      <c r="G9971" s="25">
        <v>3</v>
      </c>
      <c r="H9971" s="29"/>
      <c r="I9971" s="30"/>
    </row>
  </sheetData>
  <mergeCells count="2">
    <mergeCell ref="E2:F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B37FAC-732D-4BFB-A482-8B5879AFF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rekapan max llg</vt:lpstr>
      <vt:lpstr>stock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2026-04-09T12:37:21Z</dcterms:created>
  <dcterms:modified xsi:type="dcterms:W3CDTF">2026-07-10T01:22:08Z</dcterms:modified>
</cp:coreProperties>
</file>